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2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drawings/drawing3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drawings/drawing5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cptfile01\icd$\Uipath\Daily Plan\"/>
    </mc:Choice>
  </mc:AlternateContent>
  <bookViews>
    <workbookView xWindow="-135" yWindow="105" windowWidth="18210" windowHeight="11895" tabRatio="796"/>
  </bookViews>
  <sheets>
    <sheet name="Main" sheetId="35" r:id="rId1"/>
    <sheet name="1.DailyPlan" sheetId="16" r:id="rId2"/>
    <sheet name="2.TimelyPlan" sheetId="34" r:id="rId3"/>
    <sheet name="DB_(T599)(55B1)" sheetId="38" state="hidden" r:id="rId4"/>
    <sheet name="DB_(T709)(55C1)" sheetId="36" state="hidden" r:id="rId5"/>
    <sheet name="3.Result" sheetId="42" r:id="rId6"/>
    <sheet name="CONDITION ONLY COPIER" sheetId="40" r:id="rId7"/>
    <sheet name="CAP OT" sheetId="41" r:id="rId8"/>
    <sheet name="Temp" sheetId="31" state="hidden" r:id="rId9"/>
    <sheet name="DB_(T463)(55D1)" sheetId="37" state="hidden" r:id="rId10"/>
    <sheet name="DB_(T469)(55A1)" sheetId="39" state="hidden" r:id="rId11"/>
  </sheets>
  <definedNames>
    <definedName name="_xlnm._FilterDatabase" localSheetId="5" hidden="1">'3.Result'!#REF!</definedName>
    <definedName name="_xlnm._FilterDatabase" localSheetId="4" hidden="1">'DB_(T709)(55C1)'!$A$2:$W$269</definedName>
    <definedName name="_xlnm._FilterDatabase" localSheetId="8" hidden="1">Temp!$A$1:$G$3073</definedName>
    <definedName name="Century" localSheetId="4">#REF!</definedName>
    <definedName name="Century">'1.DailyPlan'!#REF!</definedName>
    <definedName name="_xlnm.Print_Area" localSheetId="5">'3.Result'!#REF!</definedName>
  </definedNames>
  <calcPr calcId="162913"/>
</workbook>
</file>

<file path=xl/calcChain.xml><?xml version="1.0" encoding="utf-8"?>
<calcChain xmlns="http://schemas.openxmlformats.org/spreadsheetml/2006/main">
  <c r="DD191" i="42" l="1"/>
  <c r="DD190" i="42"/>
  <c r="DD189" i="42"/>
  <c r="DD188" i="42"/>
  <c r="DD187" i="42"/>
  <c r="DD186" i="42"/>
  <c r="DD185" i="42"/>
  <c r="DD184" i="42"/>
  <c r="DD183" i="42"/>
  <c r="DD182" i="42"/>
  <c r="DD181" i="42"/>
  <c r="DD180" i="42"/>
  <c r="DD179" i="42"/>
  <c r="DD178" i="42"/>
  <c r="DD177" i="42"/>
  <c r="DD176" i="42"/>
  <c r="DD175" i="42"/>
  <c r="DD174" i="42"/>
  <c r="DD173" i="42"/>
  <c r="DD172" i="42"/>
  <c r="DD171" i="42"/>
  <c r="DD170" i="42"/>
  <c r="DD169" i="42"/>
  <c r="DD168" i="42"/>
  <c r="DD167" i="42"/>
  <c r="DD166" i="42"/>
  <c r="DD165" i="42"/>
  <c r="DD164" i="42"/>
  <c r="DD163" i="42"/>
  <c r="DD162" i="42"/>
  <c r="DD161" i="42"/>
  <c r="DD160" i="42"/>
  <c r="DD159" i="42"/>
  <c r="DD158" i="42"/>
  <c r="DD157" i="42"/>
  <c r="DD156" i="42"/>
  <c r="DD155" i="42"/>
  <c r="DD154" i="42"/>
  <c r="DD153" i="42"/>
  <c r="DD152" i="42"/>
  <c r="DD151" i="42"/>
  <c r="DD150" i="42"/>
  <c r="DD149" i="42"/>
  <c r="DD148" i="42"/>
  <c r="DD147" i="42"/>
  <c r="DD146" i="42"/>
  <c r="DD145" i="42"/>
  <c r="DD144" i="42"/>
  <c r="DD143" i="42"/>
  <c r="DD142" i="42"/>
  <c r="DD141" i="42"/>
  <c r="DD140" i="42"/>
  <c r="DD139" i="42"/>
  <c r="DD138" i="42"/>
  <c r="DD137" i="42"/>
  <c r="DD136" i="42"/>
  <c r="DD135" i="42"/>
  <c r="DD134" i="42"/>
  <c r="DD133" i="42"/>
  <c r="DD132" i="42"/>
  <c r="DD131" i="42"/>
  <c r="DD130" i="42"/>
  <c r="DD129" i="42"/>
  <c r="DD128" i="42"/>
  <c r="DD127" i="42"/>
  <c r="DD126" i="42"/>
  <c r="DD125" i="42"/>
  <c r="DD124" i="42"/>
  <c r="DD123" i="42"/>
  <c r="DD122" i="42"/>
  <c r="DD121" i="42"/>
  <c r="DD120" i="42"/>
  <c r="DD119" i="42"/>
  <c r="DD118" i="42"/>
  <c r="DD117" i="42"/>
  <c r="DD116" i="42"/>
  <c r="DD115" i="42"/>
  <c r="DD114" i="42"/>
  <c r="DD113" i="42"/>
  <c r="DD112" i="42"/>
  <c r="DD106" i="42"/>
  <c r="DD105" i="42"/>
  <c r="DD104" i="42"/>
  <c r="DD103" i="42"/>
  <c r="DD102" i="42"/>
  <c r="DD101" i="42"/>
  <c r="DD100" i="42"/>
  <c r="DD99" i="42"/>
  <c r="DD98" i="42"/>
  <c r="DD97" i="42"/>
  <c r="DD96" i="42"/>
  <c r="DD95" i="42"/>
  <c r="DD94" i="42"/>
  <c r="DD93" i="42"/>
  <c r="DD92" i="42"/>
  <c r="DD91" i="42"/>
  <c r="DD90" i="42"/>
  <c r="DD89" i="42"/>
  <c r="DD88" i="42"/>
  <c r="DD87" i="42"/>
  <c r="DD86" i="42"/>
  <c r="DD85" i="42"/>
  <c r="DD84" i="42"/>
  <c r="DD83" i="42"/>
  <c r="DD82" i="42"/>
  <c r="DD81" i="42"/>
  <c r="DD80" i="42"/>
  <c r="DD79" i="42"/>
  <c r="DD78" i="42"/>
  <c r="DD77" i="42"/>
  <c r="DD76" i="42"/>
  <c r="DD75" i="42"/>
  <c r="DD74" i="42"/>
  <c r="DD73" i="42"/>
  <c r="DD72" i="42"/>
  <c r="DD71" i="42"/>
  <c r="DD70" i="42"/>
  <c r="DD69" i="42"/>
  <c r="DD68" i="42"/>
  <c r="DD67" i="42"/>
  <c r="DD66" i="42"/>
  <c r="DD65" i="42"/>
  <c r="DD64" i="42"/>
  <c r="DD63" i="42"/>
  <c r="DD62" i="42"/>
  <c r="DD61" i="42"/>
  <c r="DD60" i="42"/>
  <c r="DD59" i="42"/>
  <c r="DD58" i="42"/>
  <c r="DD57" i="42"/>
  <c r="DD56" i="42"/>
  <c r="DD55" i="42"/>
  <c r="DD54" i="42"/>
  <c r="DD53" i="42"/>
  <c r="DD52" i="42"/>
  <c r="DD51" i="42"/>
  <c r="DD50" i="42"/>
  <c r="DD49" i="42"/>
  <c r="DD48" i="42"/>
  <c r="DD47" i="42"/>
  <c r="DD46" i="42"/>
  <c r="DD45" i="42"/>
  <c r="DD44" i="42"/>
  <c r="DD43" i="42"/>
  <c r="DD42" i="42"/>
  <c r="DD41" i="42"/>
  <c r="DD40" i="42"/>
  <c r="DD39" i="42"/>
  <c r="DD38" i="42"/>
  <c r="DD37" i="42"/>
  <c r="DD36" i="42"/>
  <c r="DD35" i="42"/>
  <c r="DD34" i="42"/>
  <c r="DD33" i="42"/>
  <c r="DD32" i="42"/>
  <c r="DD31" i="42"/>
  <c r="DD30" i="42"/>
  <c r="DD29" i="42"/>
  <c r="DD28" i="42"/>
  <c r="DD27" i="42"/>
  <c r="DD26" i="42"/>
  <c r="DD25" i="42"/>
  <c r="DD24" i="42"/>
  <c r="DD23" i="42"/>
  <c r="DD22" i="42"/>
  <c r="DD21" i="42"/>
  <c r="DD20" i="42"/>
  <c r="DD19" i="42"/>
  <c r="DD18" i="42"/>
  <c r="DD17" i="42"/>
  <c r="DD16" i="42"/>
  <c r="DD15" i="42"/>
  <c r="DD14" i="42"/>
  <c r="DD13" i="42"/>
  <c r="DD12" i="42"/>
  <c r="DD11" i="42"/>
  <c r="DD10" i="42"/>
  <c r="DD9" i="42"/>
  <c r="DB106" i="42"/>
  <c r="CY106" i="42"/>
  <c r="CW106" i="42"/>
  <c r="CU106" i="42"/>
  <c r="CS106" i="42"/>
  <c r="CP106" i="42"/>
  <c r="CN106" i="42"/>
  <c r="CL106" i="42"/>
  <c r="CJ106" i="42"/>
  <c r="CH106" i="42"/>
  <c r="CF106" i="42"/>
  <c r="CC106" i="42"/>
  <c r="CA106" i="42"/>
  <c r="BY106" i="42"/>
  <c r="BW106" i="42"/>
  <c r="BU106" i="42"/>
  <c r="BS106" i="42"/>
  <c r="BP106" i="42"/>
  <c r="BN106" i="42"/>
  <c r="BL106" i="42"/>
  <c r="BJ106" i="42"/>
  <c r="BH106" i="42"/>
  <c r="BF106" i="42"/>
  <c r="BC106" i="42"/>
  <c r="BA106" i="42"/>
  <c r="AY106" i="42"/>
  <c r="AW106" i="42"/>
  <c r="AU106" i="42"/>
  <c r="AS106" i="42"/>
  <c r="AP106" i="42"/>
  <c r="AN106" i="42"/>
  <c r="AL106" i="42"/>
  <c r="AJ106" i="42"/>
  <c r="AH106" i="42"/>
  <c r="AE106" i="42"/>
  <c r="AC106" i="42"/>
  <c r="AA106" i="42"/>
  <c r="Y106" i="42"/>
  <c r="W106" i="42"/>
  <c r="T106" i="42"/>
  <c r="R106" i="42"/>
  <c r="P106" i="42"/>
  <c r="N106" i="42"/>
  <c r="L106" i="42"/>
  <c r="J106" i="42"/>
  <c r="DB191" i="42"/>
  <c r="CY191" i="42"/>
  <c r="CW191" i="42"/>
  <c r="CU191" i="42"/>
  <c r="CS191" i="42"/>
  <c r="CP191" i="42"/>
  <c r="CN191" i="42"/>
  <c r="CL191" i="42"/>
  <c r="CJ191" i="42"/>
  <c r="CH191" i="42"/>
  <c r="CF191" i="42"/>
  <c r="CC191" i="42"/>
  <c r="CA191" i="42"/>
  <c r="BY191" i="42"/>
  <c r="BW191" i="42"/>
  <c r="BU191" i="42"/>
  <c r="BS191" i="42"/>
  <c r="BP191" i="42"/>
  <c r="BN191" i="42"/>
  <c r="BL191" i="42"/>
  <c r="BJ191" i="42"/>
  <c r="BH191" i="42"/>
  <c r="BF191" i="42"/>
  <c r="BC191" i="42"/>
  <c r="BA191" i="42"/>
  <c r="AY191" i="42"/>
  <c r="AW191" i="42"/>
  <c r="AU191" i="42"/>
  <c r="AS191" i="42"/>
  <c r="AP191" i="42"/>
  <c r="AN191" i="42"/>
  <c r="AL191" i="42"/>
  <c r="AJ191" i="42"/>
  <c r="AH191" i="42"/>
  <c r="AE191" i="42"/>
  <c r="AC191" i="42"/>
  <c r="AA191" i="42"/>
  <c r="Y191" i="42"/>
  <c r="W191" i="42"/>
  <c r="T191" i="42"/>
  <c r="R191" i="42"/>
  <c r="P191" i="42"/>
  <c r="N191" i="42"/>
  <c r="L191" i="42"/>
  <c r="J191" i="42"/>
  <c r="DB20" i="42"/>
  <c r="DB23" i="42"/>
  <c r="DB25" i="42"/>
  <c r="DB27" i="42"/>
  <c r="DB51" i="42"/>
  <c r="DB76" i="42"/>
  <c r="DB101" i="42"/>
  <c r="DB105" i="42"/>
  <c r="DB123" i="42"/>
  <c r="DB126" i="42"/>
  <c r="DB128" i="42"/>
  <c r="DB130" i="42"/>
  <c r="DB148" i="42"/>
  <c r="DB166" i="42"/>
  <c r="DB186" i="42"/>
  <c r="DB190" i="42"/>
  <c r="CY20" i="42"/>
  <c r="CY23" i="42"/>
  <c r="CY25" i="42"/>
  <c r="CY27" i="42"/>
  <c r="CY51" i="42"/>
  <c r="CY76" i="42"/>
  <c r="CY101" i="42"/>
  <c r="CY105" i="42"/>
  <c r="CY123" i="42"/>
  <c r="CY126" i="42"/>
  <c r="CY128" i="42"/>
  <c r="CY130" i="42"/>
  <c r="CY148" i="42"/>
  <c r="CY166" i="42"/>
  <c r="CY186" i="42"/>
  <c r="CY190" i="42"/>
  <c r="CW20" i="42"/>
  <c r="CW23" i="42"/>
  <c r="CW25" i="42"/>
  <c r="CW27" i="42"/>
  <c r="CW51" i="42"/>
  <c r="CW76" i="42"/>
  <c r="CW101" i="42"/>
  <c r="CW105" i="42"/>
  <c r="CW123" i="42"/>
  <c r="CW126" i="42"/>
  <c r="CW128" i="42"/>
  <c r="CW130" i="42"/>
  <c r="CW148" i="42"/>
  <c r="CW166" i="42"/>
  <c r="CW186" i="42"/>
  <c r="CW190" i="42"/>
  <c r="CU20" i="42"/>
  <c r="CU23" i="42"/>
  <c r="CU25" i="42"/>
  <c r="CU27" i="42"/>
  <c r="CU51" i="42"/>
  <c r="CU76" i="42"/>
  <c r="CU101" i="42"/>
  <c r="CU105" i="42"/>
  <c r="CU123" i="42"/>
  <c r="CU126" i="42"/>
  <c r="CU128" i="42"/>
  <c r="CU130" i="42"/>
  <c r="CU148" i="42"/>
  <c r="CU166" i="42"/>
  <c r="CU186" i="42"/>
  <c r="CU190" i="42"/>
  <c r="CS20" i="42"/>
  <c r="CS23" i="42"/>
  <c r="CS25" i="42"/>
  <c r="CS27" i="42"/>
  <c r="CS51" i="42"/>
  <c r="CS76" i="42"/>
  <c r="CS101" i="42"/>
  <c r="CS105" i="42"/>
  <c r="CS123" i="42"/>
  <c r="CS126" i="42"/>
  <c r="CS128" i="42"/>
  <c r="CS130" i="42"/>
  <c r="CS148" i="42"/>
  <c r="CS166" i="42"/>
  <c r="CS186" i="42"/>
  <c r="CS190" i="42"/>
  <c r="CP20" i="42"/>
  <c r="CP23" i="42"/>
  <c r="CP25" i="42"/>
  <c r="CP27" i="42"/>
  <c r="CP51" i="42"/>
  <c r="CP76" i="42"/>
  <c r="CP101" i="42"/>
  <c r="CP105" i="42"/>
  <c r="CP123" i="42"/>
  <c r="CP126" i="42"/>
  <c r="CP128" i="42"/>
  <c r="CP130" i="42"/>
  <c r="CP148" i="42"/>
  <c r="CP166" i="42"/>
  <c r="CP186" i="42"/>
  <c r="CP190" i="42"/>
  <c r="CN20" i="42"/>
  <c r="CN23" i="42"/>
  <c r="CN25" i="42"/>
  <c r="CN27" i="42"/>
  <c r="CN51" i="42"/>
  <c r="CN76" i="42"/>
  <c r="CN101" i="42"/>
  <c r="CN105" i="42"/>
  <c r="CN123" i="42"/>
  <c r="CN126" i="42"/>
  <c r="CN128" i="42"/>
  <c r="CN130" i="42"/>
  <c r="CN148" i="42"/>
  <c r="CN166" i="42"/>
  <c r="CN186" i="42"/>
  <c r="CN190" i="42"/>
  <c r="CL20" i="42"/>
  <c r="CL23" i="42"/>
  <c r="CL25" i="42"/>
  <c r="CL27" i="42"/>
  <c r="CL51" i="42"/>
  <c r="CL76" i="42"/>
  <c r="CL101" i="42"/>
  <c r="CL105" i="42"/>
  <c r="CL123" i="42"/>
  <c r="CL126" i="42"/>
  <c r="CL128" i="42"/>
  <c r="CL130" i="42"/>
  <c r="CL148" i="42"/>
  <c r="CL166" i="42"/>
  <c r="CL186" i="42"/>
  <c r="CL190" i="42"/>
  <c r="CJ20" i="42"/>
  <c r="CJ23" i="42"/>
  <c r="CJ25" i="42"/>
  <c r="CJ27" i="42"/>
  <c r="CJ51" i="42"/>
  <c r="CJ76" i="42"/>
  <c r="CJ101" i="42"/>
  <c r="CJ105" i="42"/>
  <c r="CJ123" i="42"/>
  <c r="CJ126" i="42"/>
  <c r="CJ128" i="42"/>
  <c r="CJ130" i="42"/>
  <c r="CJ148" i="42"/>
  <c r="CJ166" i="42"/>
  <c r="CJ186" i="42"/>
  <c r="CJ190" i="42"/>
  <c r="CH20" i="42"/>
  <c r="CH23" i="42"/>
  <c r="CH25" i="42"/>
  <c r="CH27" i="42"/>
  <c r="CH51" i="42"/>
  <c r="CH76" i="42"/>
  <c r="CH101" i="42"/>
  <c r="CH105" i="42"/>
  <c r="CH123" i="42"/>
  <c r="CH126" i="42"/>
  <c r="CH128" i="42"/>
  <c r="CH130" i="42"/>
  <c r="CH148" i="42"/>
  <c r="CH166" i="42"/>
  <c r="CH186" i="42"/>
  <c r="CH190" i="42"/>
  <c r="CF20" i="42"/>
  <c r="CF23" i="42"/>
  <c r="CF25" i="42"/>
  <c r="CF27" i="42"/>
  <c r="CF51" i="42"/>
  <c r="CF76" i="42"/>
  <c r="CF101" i="42"/>
  <c r="CF105" i="42"/>
  <c r="CF123" i="42"/>
  <c r="CF126" i="42"/>
  <c r="CF128" i="42"/>
  <c r="CF130" i="42"/>
  <c r="CF148" i="42"/>
  <c r="CF166" i="42"/>
  <c r="CF186" i="42"/>
  <c r="CF190" i="42"/>
  <c r="CC20" i="42"/>
  <c r="CC23" i="42"/>
  <c r="CC25" i="42"/>
  <c r="CC27" i="42"/>
  <c r="CC51" i="42"/>
  <c r="CC76" i="42"/>
  <c r="CC101" i="42"/>
  <c r="CC105" i="42"/>
  <c r="CC123" i="42"/>
  <c r="CC126" i="42"/>
  <c r="CC128" i="42"/>
  <c r="CC130" i="42"/>
  <c r="CC148" i="42"/>
  <c r="CC166" i="42"/>
  <c r="CC186" i="42"/>
  <c r="CC190" i="42"/>
  <c r="CA20" i="42"/>
  <c r="CA23" i="42"/>
  <c r="CA25" i="42"/>
  <c r="CA27" i="42"/>
  <c r="CA51" i="42"/>
  <c r="CA76" i="42"/>
  <c r="CA101" i="42"/>
  <c r="CA105" i="42"/>
  <c r="CA123" i="42"/>
  <c r="CA126" i="42"/>
  <c r="CA128" i="42"/>
  <c r="CA130" i="42"/>
  <c r="CA148" i="42"/>
  <c r="CA166" i="42"/>
  <c r="CA186" i="42"/>
  <c r="CA190" i="42"/>
  <c r="BY20" i="42"/>
  <c r="BY23" i="42"/>
  <c r="BY25" i="42"/>
  <c r="BY27" i="42"/>
  <c r="BY51" i="42"/>
  <c r="BY76" i="42"/>
  <c r="BY101" i="42"/>
  <c r="BY105" i="42"/>
  <c r="BY123" i="42"/>
  <c r="BY126" i="42"/>
  <c r="BY128" i="42"/>
  <c r="BY130" i="42"/>
  <c r="BY148" i="42"/>
  <c r="BY166" i="42"/>
  <c r="BY186" i="42"/>
  <c r="BY190" i="42"/>
  <c r="BW20" i="42"/>
  <c r="BW23" i="42"/>
  <c r="BW25" i="42"/>
  <c r="BW27" i="42"/>
  <c r="BW51" i="42"/>
  <c r="BW76" i="42"/>
  <c r="BW101" i="42"/>
  <c r="BW105" i="42"/>
  <c r="BW123" i="42"/>
  <c r="BW126" i="42"/>
  <c r="BW128" i="42"/>
  <c r="BW130" i="42"/>
  <c r="BW148" i="42"/>
  <c r="BW166" i="42"/>
  <c r="BW186" i="42"/>
  <c r="BW190" i="42"/>
  <c r="BU20" i="42"/>
  <c r="BU23" i="42"/>
  <c r="BU25" i="42"/>
  <c r="BU27" i="42"/>
  <c r="BU51" i="42"/>
  <c r="BU76" i="42"/>
  <c r="BU101" i="42"/>
  <c r="BU105" i="42"/>
  <c r="BU123" i="42"/>
  <c r="BU126" i="42"/>
  <c r="BU128" i="42"/>
  <c r="BU130" i="42"/>
  <c r="BU148" i="42"/>
  <c r="BU166" i="42"/>
  <c r="BU186" i="42"/>
  <c r="BU190" i="42"/>
  <c r="BS20" i="42"/>
  <c r="BS23" i="42"/>
  <c r="BS25" i="42"/>
  <c r="BS27" i="42"/>
  <c r="BS51" i="42"/>
  <c r="BS76" i="42"/>
  <c r="BS101" i="42"/>
  <c r="BS105" i="42"/>
  <c r="BS123" i="42"/>
  <c r="BS126" i="42"/>
  <c r="BS128" i="42"/>
  <c r="BS130" i="42"/>
  <c r="BS148" i="42"/>
  <c r="BS166" i="42"/>
  <c r="BS186" i="42"/>
  <c r="BS190" i="42"/>
  <c r="BP20" i="42"/>
  <c r="BP23" i="42"/>
  <c r="BP25" i="42"/>
  <c r="BP27" i="42"/>
  <c r="BP51" i="42"/>
  <c r="BP76" i="42"/>
  <c r="BP101" i="42"/>
  <c r="BP105" i="42"/>
  <c r="BP123" i="42"/>
  <c r="BP126" i="42"/>
  <c r="BP128" i="42"/>
  <c r="BP130" i="42"/>
  <c r="BP148" i="42"/>
  <c r="BP166" i="42"/>
  <c r="BP186" i="42"/>
  <c r="BP190" i="42"/>
  <c r="BN20" i="42"/>
  <c r="BN23" i="42"/>
  <c r="BN25" i="42"/>
  <c r="BN27" i="42"/>
  <c r="BN51" i="42"/>
  <c r="BN76" i="42"/>
  <c r="BN101" i="42"/>
  <c r="BN105" i="42"/>
  <c r="BN123" i="42"/>
  <c r="BN126" i="42"/>
  <c r="BN128" i="42"/>
  <c r="BN130" i="42"/>
  <c r="BN148" i="42"/>
  <c r="BN166" i="42"/>
  <c r="BN186" i="42"/>
  <c r="BN190" i="42"/>
  <c r="BL20" i="42"/>
  <c r="BL23" i="42"/>
  <c r="BL25" i="42"/>
  <c r="BL27" i="42"/>
  <c r="BL51" i="42"/>
  <c r="BL76" i="42"/>
  <c r="BL101" i="42"/>
  <c r="BL105" i="42"/>
  <c r="BL123" i="42"/>
  <c r="BL126" i="42"/>
  <c r="BL128" i="42"/>
  <c r="BL130" i="42"/>
  <c r="BL148" i="42"/>
  <c r="BL166" i="42"/>
  <c r="BL186" i="42"/>
  <c r="BL190" i="42"/>
  <c r="BJ20" i="42"/>
  <c r="BJ23" i="42"/>
  <c r="BJ25" i="42"/>
  <c r="BJ27" i="42"/>
  <c r="BJ51" i="42"/>
  <c r="BJ76" i="42"/>
  <c r="BJ101" i="42"/>
  <c r="BJ105" i="42"/>
  <c r="BJ123" i="42"/>
  <c r="BJ126" i="42"/>
  <c r="BJ128" i="42"/>
  <c r="BJ130" i="42"/>
  <c r="BJ148" i="42"/>
  <c r="BJ166" i="42"/>
  <c r="BJ186" i="42"/>
  <c r="BJ190" i="42"/>
  <c r="BH20" i="42"/>
  <c r="BH23" i="42"/>
  <c r="BH25" i="42"/>
  <c r="BH27" i="42"/>
  <c r="BH51" i="42"/>
  <c r="BH76" i="42"/>
  <c r="BH101" i="42"/>
  <c r="BH105" i="42"/>
  <c r="BH123" i="42"/>
  <c r="BH126" i="42"/>
  <c r="BH128" i="42"/>
  <c r="BH130" i="42"/>
  <c r="BH148" i="42"/>
  <c r="BH166" i="42"/>
  <c r="BH186" i="42"/>
  <c r="BH190" i="42"/>
  <c r="BF20" i="42"/>
  <c r="BF23" i="42"/>
  <c r="BF25" i="42"/>
  <c r="BF27" i="42"/>
  <c r="BF51" i="42"/>
  <c r="BF76" i="42"/>
  <c r="BF101" i="42"/>
  <c r="BF105" i="42"/>
  <c r="BF123" i="42"/>
  <c r="BF126" i="42"/>
  <c r="BF128" i="42"/>
  <c r="BF130" i="42"/>
  <c r="BF148" i="42"/>
  <c r="BF166" i="42"/>
  <c r="BF186" i="42"/>
  <c r="BF190" i="42"/>
  <c r="BC20" i="42"/>
  <c r="BC23" i="42"/>
  <c r="BC25" i="42"/>
  <c r="BC27" i="42"/>
  <c r="BC51" i="42"/>
  <c r="BC76" i="42"/>
  <c r="BC101" i="42"/>
  <c r="BC105" i="42"/>
  <c r="BC123" i="42"/>
  <c r="BC126" i="42"/>
  <c r="BC128" i="42"/>
  <c r="BD128" i="42" s="1"/>
  <c r="BC130" i="42"/>
  <c r="BC148" i="42"/>
  <c r="BC166" i="42"/>
  <c r="BC186" i="42"/>
  <c r="BC190" i="42"/>
  <c r="BA20" i="42"/>
  <c r="BA23" i="42"/>
  <c r="BA25" i="42"/>
  <c r="BA27" i="42"/>
  <c r="BA51" i="42"/>
  <c r="BA76" i="42"/>
  <c r="BA101" i="42"/>
  <c r="BA105" i="42"/>
  <c r="BA123" i="42"/>
  <c r="BA126" i="42"/>
  <c r="BA128" i="42"/>
  <c r="BA130" i="42"/>
  <c r="BA148" i="42"/>
  <c r="BA166" i="42"/>
  <c r="BA186" i="42"/>
  <c r="BA190" i="42"/>
  <c r="AY20" i="42"/>
  <c r="AY23" i="42"/>
  <c r="AY25" i="42"/>
  <c r="AY27" i="42"/>
  <c r="AY51" i="42"/>
  <c r="AY76" i="42"/>
  <c r="AY101" i="42"/>
  <c r="AY105" i="42"/>
  <c r="AY123" i="42"/>
  <c r="AY126" i="42"/>
  <c r="AY128" i="42"/>
  <c r="AY130" i="42"/>
  <c r="AY148" i="42"/>
  <c r="AY166" i="42"/>
  <c r="AY186" i="42"/>
  <c r="AY190" i="42"/>
  <c r="AW20" i="42"/>
  <c r="AW23" i="42"/>
  <c r="AW25" i="42"/>
  <c r="AW27" i="42"/>
  <c r="AW51" i="42"/>
  <c r="AW76" i="42"/>
  <c r="AW101" i="42"/>
  <c r="AW105" i="42"/>
  <c r="AW123" i="42"/>
  <c r="AW126" i="42"/>
  <c r="AW128" i="42"/>
  <c r="AW130" i="42"/>
  <c r="AW148" i="42"/>
  <c r="AW166" i="42"/>
  <c r="AW186" i="42"/>
  <c r="AW190" i="42"/>
  <c r="AU20" i="42"/>
  <c r="AU23" i="42"/>
  <c r="AU25" i="42"/>
  <c r="AU27" i="42"/>
  <c r="AU51" i="42"/>
  <c r="AU76" i="42"/>
  <c r="AU101" i="42"/>
  <c r="AU105" i="42"/>
  <c r="AU123" i="42"/>
  <c r="AU126" i="42"/>
  <c r="AU128" i="42"/>
  <c r="AU130" i="42"/>
  <c r="AU148" i="42"/>
  <c r="AU166" i="42"/>
  <c r="AU186" i="42"/>
  <c r="AU190" i="42"/>
  <c r="AS20" i="42"/>
  <c r="AS23" i="42"/>
  <c r="AS25" i="42"/>
  <c r="AS27" i="42"/>
  <c r="AS51" i="42"/>
  <c r="AS76" i="42"/>
  <c r="AS101" i="42"/>
  <c r="AS105" i="42"/>
  <c r="AS123" i="42"/>
  <c r="AS126" i="42"/>
  <c r="AS128" i="42"/>
  <c r="AS130" i="42"/>
  <c r="AS148" i="42"/>
  <c r="AS166" i="42"/>
  <c r="AS186" i="42"/>
  <c r="AS190" i="42"/>
  <c r="AP20" i="42"/>
  <c r="AP23" i="42"/>
  <c r="AP25" i="42"/>
  <c r="AP27" i="42"/>
  <c r="AP51" i="42"/>
  <c r="AP76" i="42"/>
  <c r="AP101" i="42"/>
  <c r="AP105" i="42"/>
  <c r="AP123" i="42"/>
  <c r="AP126" i="42"/>
  <c r="AP128" i="42"/>
  <c r="AP130" i="42"/>
  <c r="AP148" i="42"/>
  <c r="AP166" i="42"/>
  <c r="AP186" i="42"/>
  <c r="AP190" i="42"/>
  <c r="AN20" i="42"/>
  <c r="AN23" i="42"/>
  <c r="AN25" i="42"/>
  <c r="AN27" i="42"/>
  <c r="AN51" i="42"/>
  <c r="AN76" i="42"/>
  <c r="AN101" i="42"/>
  <c r="AN105" i="42"/>
  <c r="AN123" i="42"/>
  <c r="AN126" i="42"/>
  <c r="AN128" i="42"/>
  <c r="AN130" i="42"/>
  <c r="AN148" i="42"/>
  <c r="AN166" i="42"/>
  <c r="AN186" i="42"/>
  <c r="AN190" i="42"/>
  <c r="AL20" i="42"/>
  <c r="AL23" i="42"/>
  <c r="AL25" i="42"/>
  <c r="AL27" i="42"/>
  <c r="AL51" i="42"/>
  <c r="AL76" i="42"/>
  <c r="AL101" i="42"/>
  <c r="AL105" i="42"/>
  <c r="AL123" i="42"/>
  <c r="AL126" i="42"/>
  <c r="AL128" i="42"/>
  <c r="AL130" i="42"/>
  <c r="AL148" i="42"/>
  <c r="AL166" i="42"/>
  <c r="AL186" i="42"/>
  <c r="AL190" i="42"/>
  <c r="AJ20" i="42"/>
  <c r="AJ23" i="42"/>
  <c r="AJ25" i="42"/>
  <c r="AJ27" i="42"/>
  <c r="AJ51" i="42"/>
  <c r="AJ76" i="42"/>
  <c r="AJ101" i="42"/>
  <c r="AJ105" i="42"/>
  <c r="AJ123" i="42"/>
  <c r="AJ126" i="42"/>
  <c r="AJ128" i="42"/>
  <c r="AJ130" i="42"/>
  <c r="AJ148" i="42"/>
  <c r="AJ166" i="42"/>
  <c r="AJ186" i="42"/>
  <c r="AJ190" i="42"/>
  <c r="AH20" i="42"/>
  <c r="AH23" i="42"/>
  <c r="AH25" i="42"/>
  <c r="AH27" i="42"/>
  <c r="AH51" i="42"/>
  <c r="AH76" i="42"/>
  <c r="AH101" i="42"/>
  <c r="AH105" i="42"/>
  <c r="AH123" i="42"/>
  <c r="AH126" i="42"/>
  <c r="AH128" i="42"/>
  <c r="AH130" i="42"/>
  <c r="AH148" i="42"/>
  <c r="AH166" i="42"/>
  <c r="AH186" i="42"/>
  <c r="AH190" i="42"/>
  <c r="AE20" i="42"/>
  <c r="AE23" i="42"/>
  <c r="AE25" i="42"/>
  <c r="AE27" i="42"/>
  <c r="AE51" i="42"/>
  <c r="AE76" i="42"/>
  <c r="AE101" i="42"/>
  <c r="AE105" i="42"/>
  <c r="AE123" i="42"/>
  <c r="AE126" i="42"/>
  <c r="AE128" i="42"/>
  <c r="AE130" i="42"/>
  <c r="AE148" i="42"/>
  <c r="AE166" i="42"/>
  <c r="AE186" i="42"/>
  <c r="AE190" i="42"/>
  <c r="AC20" i="42"/>
  <c r="AC23" i="42"/>
  <c r="AC25" i="42"/>
  <c r="AC27" i="42"/>
  <c r="AC51" i="42"/>
  <c r="AC76" i="42"/>
  <c r="AC101" i="42"/>
  <c r="AC105" i="42"/>
  <c r="AC123" i="42"/>
  <c r="AC126" i="42"/>
  <c r="AC128" i="42"/>
  <c r="AC130" i="42"/>
  <c r="AC148" i="42"/>
  <c r="AC166" i="42"/>
  <c r="AC186" i="42"/>
  <c r="AC190" i="42"/>
  <c r="AA20" i="42"/>
  <c r="AA23" i="42"/>
  <c r="AA25" i="42"/>
  <c r="AA27" i="42"/>
  <c r="AA51" i="42"/>
  <c r="AA76" i="42"/>
  <c r="AA101" i="42"/>
  <c r="AA105" i="42"/>
  <c r="AA123" i="42"/>
  <c r="AA126" i="42"/>
  <c r="AA128" i="42"/>
  <c r="AA130" i="42"/>
  <c r="AA148" i="42"/>
  <c r="AA166" i="42"/>
  <c r="AA186" i="42"/>
  <c r="AA190" i="42"/>
  <c r="Y20" i="42"/>
  <c r="Y23" i="42"/>
  <c r="Y25" i="42"/>
  <c r="Y27" i="42"/>
  <c r="Y51" i="42"/>
  <c r="Y76" i="42"/>
  <c r="Y101" i="42"/>
  <c r="Y105" i="42"/>
  <c r="Y123" i="42"/>
  <c r="Y126" i="42"/>
  <c r="Y128" i="42"/>
  <c r="Y130" i="42"/>
  <c r="Y148" i="42"/>
  <c r="Y166" i="42"/>
  <c r="Y186" i="42"/>
  <c r="Y190" i="42"/>
  <c r="W20" i="42"/>
  <c r="W23" i="42"/>
  <c r="W25" i="42"/>
  <c r="W27" i="42"/>
  <c r="W51" i="42"/>
  <c r="W76" i="42"/>
  <c r="W101" i="42"/>
  <c r="W105" i="42"/>
  <c r="W123" i="42"/>
  <c r="W126" i="42"/>
  <c r="W128" i="42"/>
  <c r="W130" i="42"/>
  <c r="W148" i="42"/>
  <c r="W166" i="42"/>
  <c r="W186" i="42"/>
  <c r="W190" i="42"/>
  <c r="T20" i="42"/>
  <c r="T23" i="42"/>
  <c r="T25" i="42"/>
  <c r="T27" i="42"/>
  <c r="T51" i="42"/>
  <c r="T76" i="42"/>
  <c r="T101" i="42"/>
  <c r="T105" i="42"/>
  <c r="T123" i="42"/>
  <c r="T126" i="42"/>
  <c r="T128" i="42"/>
  <c r="T130" i="42"/>
  <c r="T148" i="42"/>
  <c r="T166" i="42"/>
  <c r="T186" i="42"/>
  <c r="T190" i="42"/>
  <c r="R20" i="42"/>
  <c r="R23" i="42"/>
  <c r="R25" i="42"/>
  <c r="R27" i="42"/>
  <c r="R51" i="42"/>
  <c r="R76" i="42"/>
  <c r="R101" i="42"/>
  <c r="R105" i="42"/>
  <c r="R123" i="42"/>
  <c r="R126" i="42"/>
  <c r="R128" i="42"/>
  <c r="R130" i="42"/>
  <c r="R148" i="42"/>
  <c r="R166" i="42"/>
  <c r="R186" i="42"/>
  <c r="R190" i="42"/>
  <c r="P20" i="42"/>
  <c r="P23" i="42"/>
  <c r="P25" i="42"/>
  <c r="P27" i="42"/>
  <c r="P51" i="42"/>
  <c r="P76" i="42"/>
  <c r="P101" i="42"/>
  <c r="P105" i="42"/>
  <c r="P123" i="42"/>
  <c r="P126" i="42"/>
  <c r="P128" i="42"/>
  <c r="P130" i="42"/>
  <c r="P148" i="42"/>
  <c r="P166" i="42"/>
  <c r="P186" i="42"/>
  <c r="P190" i="42"/>
  <c r="N20" i="42"/>
  <c r="N23" i="42"/>
  <c r="N25" i="42"/>
  <c r="N27" i="42"/>
  <c r="N51" i="42"/>
  <c r="N76" i="42"/>
  <c r="N101" i="42"/>
  <c r="N105" i="42"/>
  <c r="N123" i="42"/>
  <c r="N126" i="42"/>
  <c r="N128" i="42"/>
  <c r="N130" i="42"/>
  <c r="N148" i="42"/>
  <c r="N166" i="42"/>
  <c r="N186" i="42"/>
  <c r="N190" i="42"/>
  <c r="L20" i="42"/>
  <c r="L23" i="42"/>
  <c r="L25" i="42"/>
  <c r="L27" i="42"/>
  <c r="L51" i="42"/>
  <c r="L76" i="42"/>
  <c r="L101" i="42"/>
  <c r="L105" i="42"/>
  <c r="L123" i="42"/>
  <c r="L126" i="42"/>
  <c r="L128" i="42"/>
  <c r="L130" i="42"/>
  <c r="L148" i="42"/>
  <c r="L166" i="42"/>
  <c r="L186" i="42"/>
  <c r="L190" i="42"/>
  <c r="J20" i="42"/>
  <c r="J23" i="42"/>
  <c r="J25" i="42"/>
  <c r="J27" i="42"/>
  <c r="J51" i="42"/>
  <c r="J76" i="42"/>
  <c r="J101" i="42"/>
  <c r="J105" i="42"/>
  <c r="J123" i="42"/>
  <c r="J126" i="42"/>
  <c r="J128" i="42"/>
  <c r="J130" i="42"/>
  <c r="J148" i="42"/>
  <c r="J166" i="42"/>
  <c r="J186" i="42"/>
  <c r="J190" i="42"/>
  <c r="I1" i="31"/>
  <c r="H1" i="31"/>
  <c r="DC93" i="42"/>
  <c r="CZ93" i="42"/>
  <c r="CQ93" i="42"/>
  <c r="CD93" i="42"/>
  <c r="BQ93" i="42"/>
  <c r="BD93" i="42"/>
  <c r="AQ93" i="42"/>
  <c r="AF93" i="42"/>
  <c r="U93" i="42"/>
  <c r="DC90" i="42"/>
  <c r="CZ90" i="42"/>
  <c r="CQ90" i="42"/>
  <c r="CD90" i="42"/>
  <c r="BQ90" i="42"/>
  <c r="BD90" i="42"/>
  <c r="AQ90" i="42"/>
  <c r="AF90" i="42"/>
  <c r="U90" i="42"/>
  <c r="DC88" i="42"/>
  <c r="CZ88" i="42"/>
  <c r="CQ88" i="42"/>
  <c r="CD88" i="42"/>
  <c r="BQ88" i="42"/>
  <c r="BD88" i="42"/>
  <c r="AQ88" i="42"/>
  <c r="AF88" i="42"/>
  <c r="U88" i="42"/>
  <c r="DC80" i="42"/>
  <c r="CZ80" i="42"/>
  <c r="CQ80" i="42"/>
  <c r="CD80" i="42"/>
  <c r="BQ80" i="42"/>
  <c r="BD80" i="42"/>
  <c r="AQ80" i="42"/>
  <c r="AF80" i="42"/>
  <c r="U80" i="42"/>
  <c r="DC77" i="42"/>
  <c r="CZ77" i="42"/>
  <c r="CQ77" i="42"/>
  <c r="CD77" i="42"/>
  <c r="BQ77" i="42"/>
  <c r="BD77" i="42"/>
  <c r="AQ77" i="42"/>
  <c r="AF77" i="42"/>
  <c r="U77" i="42"/>
  <c r="DC74" i="42"/>
  <c r="CZ74" i="42"/>
  <c r="CQ74" i="42"/>
  <c r="CD74" i="42"/>
  <c r="BQ74" i="42"/>
  <c r="BD74" i="42"/>
  <c r="AQ74" i="42"/>
  <c r="AF74" i="42"/>
  <c r="U74" i="42"/>
  <c r="DC72" i="42"/>
  <c r="CZ72" i="42"/>
  <c r="CQ72" i="42"/>
  <c r="CD72" i="42"/>
  <c r="BQ72" i="42"/>
  <c r="BD72" i="42"/>
  <c r="AQ72" i="42"/>
  <c r="AF72" i="42"/>
  <c r="U72" i="42"/>
  <c r="DC65" i="42"/>
  <c r="CZ65" i="42"/>
  <c r="CQ65" i="42"/>
  <c r="CD65" i="42"/>
  <c r="BQ65" i="42"/>
  <c r="BD65" i="42"/>
  <c r="AQ65" i="42"/>
  <c r="AF65" i="42"/>
  <c r="U65" i="42"/>
  <c r="DC63" i="42"/>
  <c r="CZ63" i="42"/>
  <c r="CQ63" i="42"/>
  <c r="CD63" i="42"/>
  <c r="BQ63" i="42"/>
  <c r="BD63" i="42"/>
  <c r="AQ63" i="42"/>
  <c r="AF63" i="42"/>
  <c r="U63" i="42"/>
  <c r="DC61" i="42"/>
  <c r="CZ61" i="42"/>
  <c r="CQ61" i="42"/>
  <c r="CD61" i="42"/>
  <c r="BQ61" i="42"/>
  <c r="BD61" i="42"/>
  <c r="AQ61" i="42"/>
  <c r="AF61" i="42"/>
  <c r="U61" i="42"/>
  <c r="DC59" i="42"/>
  <c r="CZ59" i="42"/>
  <c r="CQ59" i="42"/>
  <c r="CD59" i="42"/>
  <c r="BQ59" i="42"/>
  <c r="BD59" i="42"/>
  <c r="AQ59" i="42"/>
  <c r="AF59" i="42"/>
  <c r="U59" i="42"/>
  <c r="DC57" i="42"/>
  <c r="CZ57" i="42"/>
  <c r="CQ57" i="42"/>
  <c r="CD57" i="42"/>
  <c r="BQ57" i="42"/>
  <c r="BD57" i="42"/>
  <c r="AQ57" i="42"/>
  <c r="AF57" i="42"/>
  <c r="U57" i="42"/>
  <c r="DC39" i="42"/>
  <c r="CZ39" i="42"/>
  <c r="CQ39" i="42"/>
  <c r="CD39" i="42"/>
  <c r="BQ39" i="42"/>
  <c r="BD39" i="42"/>
  <c r="AQ39" i="42"/>
  <c r="AF39" i="42"/>
  <c r="U39" i="42"/>
  <c r="DC37" i="42"/>
  <c r="CZ37" i="42"/>
  <c r="CQ37" i="42"/>
  <c r="CD37" i="42"/>
  <c r="BQ37" i="42"/>
  <c r="BD37" i="42"/>
  <c r="AQ37" i="42"/>
  <c r="AF37" i="42"/>
  <c r="U37" i="42"/>
  <c r="DC35" i="42"/>
  <c r="CZ35" i="42"/>
  <c r="CQ35" i="42"/>
  <c r="CD35" i="42"/>
  <c r="BQ35" i="42"/>
  <c r="BD35" i="42"/>
  <c r="AQ35" i="42"/>
  <c r="AF35" i="42"/>
  <c r="U35" i="42"/>
  <c r="DC33" i="42"/>
  <c r="CZ33" i="42"/>
  <c r="CQ33" i="42"/>
  <c r="CD33" i="42"/>
  <c r="BQ33" i="42"/>
  <c r="BD33" i="42"/>
  <c r="AQ33" i="42"/>
  <c r="AF33" i="42"/>
  <c r="U33" i="42"/>
  <c r="DC30" i="42"/>
  <c r="CZ30" i="42"/>
  <c r="CQ30" i="42"/>
  <c r="CD30" i="42"/>
  <c r="BQ30" i="42"/>
  <c r="BD30" i="42"/>
  <c r="AQ30" i="42"/>
  <c r="AF30" i="42"/>
  <c r="U30" i="42"/>
  <c r="DC28" i="42"/>
  <c r="CZ28" i="42"/>
  <c r="CQ28" i="42"/>
  <c r="CD28" i="42"/>
  <c r="BQ28" i="42"/>
  <c r="BD28" i="42"/>
  <c r="AQ28" i="42"/>
  <c r="AF28" i="42"/>
  <c r="U28" i="42"/>
  <c r="DC191" i="42"/>
  <c r="CZ191" i="42"/>
  <c r="CQ191" i="42"/>
  <c r="CD191" i="42"/>
  <c r="BQ191" i="42"/>
  <c r="BD191" i="42"/>
  <c r="AQ191" i="42"/>
  <c r="AF191" i="42"/>
  <c r="U191" i="42"/>
  <c r="DC190" i="42"/>
  <c r="CZ190" i="42"/>
  <c r="CQ190" i="42"/>
  <c r="CD190" i="42"/>
  <c r="BQ190" i="42"/>
  <c r="BD190" i="42"/>
  <c r="AQ190" i="42"/>
  <c r="AF190" i="42"/>
  <c r="U190" i="42"/>
  <c r="DC189" i="42"/>
  <c r="CZ189" i="42"/>
  <c r="CQ189" i="42"/>
  <c r="CD189" i="42"/>
  <c r="BQ189" i="42"/>
  <c r="BD189" i="42"/>
  <c r="AQ189" i="42"/>
  <c r="AF189" i="42"/>
  <c r="U189" i="42"/>
  <c r="DC188" i="42"/>
  <c r="CZ188" i="42"/>
  <c r="CQ188" i="42"/>
  <c r="CD188" i="42"/>
  <c r="BQ188" i="42"/>
  <c r="BD188" i="42"/>
  <c r="AQ188" i="42"/>
  <c r="AF188" i="42"/>
  <c r="U188" i="42"/>
  <c r="DC187" i="42"/>
  <c r="CZ187" i="42"/>
  <c r="CQ187" i="42"/>
  <c r="CD187" i="42"/>
  <c r="BQ187" i="42"/>
  <c r="BD187" i="42"/>
  <c r="AQ187" i="42"/>
  <c r="AF187" i="42"/>
  <c r="U187" i="42"/>
  <c r="DC186" i="42"/>
  <c r="CZ186" i="42"/>
  <c r="CQ186" i="42"/>
  <c r="CD186" i="42"/>
  <c r="BQ186" i="42"/>
  <c r="BD186" i="42"/>
  <c r="AQ186" i="42"/>
  <c r="AF186" i="42"/>
  <c r="U186" i="42"/>
  <c r="DC185" i="42"/>
  <c r="CZ185" i="42"/>
  <c r="CQ185" i="42"/>
  <c r="CD185" i="42"/>
  <c r="BQ185" i="42"/>
  <c r="BD185" i="42"/>
  <c r="AQ185" i="42"/>
  <c r="AF185" i="42"/>
  <c r="U185" i="42"/>
  <c r="DC184" i="42"/>
  <c r="CZ184" i="42"/>
  <c r="CQ184" i="42"/>
  <c r="CD184" i="42"/>
  <c r="BQ184" i="42"/>
  <c r="BD184" i="42"/>
  <c r="AQ184" i="42"/>
  <c r="AF184" i="42"/>
  <c r="U184" i="42"/>
  <c r="DC183" i="42"/>
  <c r="CZ183" i="42"/>
  <c r="CQ183" i="42"/>
  <c r="CD183" i="42"/>
  <c r="BQ183" i="42"/>
  <c r="BD183" i="42"/>
  <c r="AQ183" i="42"/>
  <c r="AF183" i="42"/>
  <c r="U183" i="42"/>
  <c r="DC182" i="42"/>
  <c r="CZ182" i="42"/>
  <c r="CQ182" i="42"/>
  <c r="CD182" i="42"/>
  <c r="BQ182" i="42"/>
  <c r="BD182" i="42"/>
  <c r="AQ182" i="42"/>
  <c r="AF182" i="42"/>
  <c r="U182" i="42"/>
  <c r="DC181" i="42"/>
  <c r="CZ181" i="42"/>
  <c r="CQ181" i="42"/>
  <c r="CD181" i="42"/>
  <c r="BQ181" i="42"/>
  <c r="BD181" i="42"/>
  <c r="AQ181" i="42"/>
  <c r="AF181" i="42"/>
  <c r="U181" i="42"/>
  <c r="DC180" i="42"/>
  <c r="CZ180" i="42"/>
  <c r="CQ180" i="42"/>
  <c r="CD180" i="42"/>
  <c r="BQ180" i="42"/>
  <c r="BD180" i="42"/>
  <c r="AQ180" i="42"/>
  <c r="AF180" i="42"/>
  <c r="U180" i="42"/>
  <c r="DC179" i="42"/>
  <c r="CZ179" i="42"/>
  <c r="CQ179" i="42"/>
  <c r="CD179" i="42"/>
  <c r="BQ179" i="42"/>
  <c r="BD179" i="42"/>
  <c r="AQ179" i="42"/>
  <c r="AF179" i="42"/>
  <c r="U179" i="42"/>
  <c r="DC178" i="42"/>
  <c r="CZ178" i="42"/>
  <c r="CQ178" i="42"/>
  <c r="CD178" i="42"/>
  <c r="BQ178" i="42"/>
  <c r="BD178" i="42"/>
  <c r="AQ178" i="42"/>
  <c r="AF178" i="42"/>
  <c r="U178" i="42"/>
  <c r="DC177" i="42"/>
  <c r="CZ177" i="42"/>
  <c r="CQ177" i="42"/>
  <c r="CD177" i="42"/>
  <c r="BQ177" i="42"/>
  <c r="BD177" i="42"/>
  <c r="AQ177" i="42"/>
  <c r="AF177" i="42"/>
  <c r="U177" i="42"/>
  <c r="DC176" i="42"/>
  <c r="CZ176" i="42"/>
  <c r="CQ176" i="42"/>
  <c r="CD176" i="42"/>
  <c r="BQ176" i="42"/>
  <c r="BD176" i="42"/>
  <c r="AQ176" i="42"/>
  <c r="AF176" i="42"/>
  <c r="U176" i="42"/>
  <c r="DC175" i="42"/>
  <c r="CZ175" i="42"/>
  <c r="CQ175" i="42"/>
  <c r="CD175" i="42"/>
  <c r="BQ175" i="42"/>
  <c r="BD175" i="42"/>
  <c r="AQ175" i="42"/>
  <c r="AF175" i="42"/>
  <c r="U175" i="42"/>
  <c r="DC174" i="42"/>
  <c r="CZ174" i="42"/>
  <c r="CQ174" i="42"/>
  <c r="CD174" i="42"/>
  <c r="BQ174" i="42"/>
  <c r="BD174" i="42"/>
  <c r="AQ174" i="42"/>
  <c r="AF174" i="42"/>
  <c r="U174" i="42"/>
  <c r="DC173" i="42"/>
  <c r="CZ173" i="42"/>
  <c r="CQ173" i="42"/>
  <c r="CD173" i="42"/>
  <c r="BQ173" i="42"/>
  <c r="BD173" i="42"/>
  <c r="AQ173" i="42"/>
  <c r="AF173" i="42"/>
  <c r="U173" i="42"/>
  <c r="DC172" i="42"/>
  <c r="CZ172" i="42"/>
  <c r="CQ172" i="42"/>
  <c r="CD172" i="42"/>
  <c r="BQ172" i="42"/>
  <c r="BD172" i="42"/>
  <c r="AQ172" i="42"/>
  <c r="AF172" i="42"/>
  <c r="U172" i="42"/>
  <c r="DC171" i="42"/>
  <c r="CZ171" i="42"/>
  <c r="CQ171" i="42"/>
  <c r="CD171" i="42"/>
  <c r="BQ171" i="42"/>
  <c r="BD171" i="42"/>
  <c r="AQ171" i="42"/>
  <c r="AF171" i="42"/>
  <c r="U171" i="42"/>
  <c r="DC170" i="42"/>
  <c r="CZ170" i="42"/>
  <c r="CQ170" i="42"/>
  <c r="CD170" i="42"/>
  <c r="BQ170" i="42"/>
  <c r="BD170" i="42"/>
  <c r="AQ170" i="42"/>
  <c r="AF170" i="42"/>
  <c r="U170" i="42"/>
  <c r="DC169" i="42"/>
  <c r="CZ169" i="42"/>
  <c r="CQ169" i="42"/>
  <c r="CD169" i="42"/>
  <c r="BQ169" i="42"/>
  <c r="BD169" i="42"/>
  <c r="AQ169" i="42"/>
  <c r="AF169" i="42"/>
  <c r="U169" i="42"/>
  <c r="DC168" i="42"/>
  <c r="CZ168" i="42"/>
  <c r="CQ168" i="42"/>
  <c r="CD168" i="42"/>
  <c r="BQ168" i="42"/>
  <c r="BD168" i="42"/>
  <c r="AQ168" i="42"/>
  <c r="AF168" i="42"/>
  <c r="U168" i="42"/>
  <c r="DC167" i="42"/>
  <c r="CZ167" i="42"/>
  <c r="CQ167" i="42"/>
  <c r="CD167" i="42"/>
  <c r="BQ167" i="42"/>
  <c r="BD167" i="42"/>
  <c r="AQ167" i="42"/>
  <c r="AF167" i="42"/>
  <c r="U167" i="42"/>
  <c r="DC166" i="42"/>
  <c r="CZ166" i="42"/>
  <c r="CQ166" i="42"/>
  <c r="CD166" i="42"/>
  <c r="BQ166" i="42"/>
  <c r="BD166" i="42"/>
  <c r="AQ166" i="42"/>
  <c r="AF166" i="42"/>
  <c r="U166" i="42"/>
  <c r="DC165" i="42"/>
  <c r="CZ165" i="42"/>
  <c r="CQ165" i="42"/>
  <c r="CD165" i="42"/>
  <c r="BQ165" i="42"/>
  <c r="BD165" i="42"/>
  <c r="AQ165" i="42"/>
  <c r="AF165" i="42"/>
  <c r="U165" i="42"/>
  <c r="DC164" i="42"/>
  <c r="CZ164" i="42"/>
  <c r="CQ164" i="42"/>
  <c r="CD164" i="42"/>
  <c r="BQ164" i="42"/>
  <c r="BD164" i="42"/>
  <c r="AQ164" i="42"/>
  <c r="AF164" i="42"/>
  <c r="U164" i="42"/>
  <c r="DC163" i="42"/>
  <c r="CZ163" i="42"/>
  <c r="CQ163" i="42"/>
  <c r="CD163" i="42"/>
  <c r="BQ163" i="42"/>
  <c r="BD163" i="42"/>
  <c r="AQ163" i="42"/>
  <c r="AF163" i="42"/>
  <c r="U163" i="42"/>
  <c r="DC162" i="42"/>
  <c r="CZ162" i="42"/>
  <c r="CQ162" i="42"/>
  <c r="CD162" i="42"/>
  <c r="BQ162" i="42"/>
  <c r="BD162" i="42"/>
  <c r="AQ162" i="42"/>
  <c r="AF162" i="42"/>
  <c r="U162" i="42"/>
  <c r="DC161" i="42"/>
  <c r="CZ161" i="42"/>
  <c r="CQ161" i="42"/>
  <c r="CD161" i="42"/>
  <c r="BQ161" i="42"/>
  <c r="BD161" i="42"/>
  <c r="AQ161" i="42"/>
  <c r="AF161" i="42"/>
  <c r="U161" i="42"/>
  <c r="DC160" i="42"/>
  <c r="CZ160" i="42"/>
  <c r="CQ160" i="42"/>
  <c r="CD160" i="42"/>
  <c r="BQ160" i="42"/>
  <c r="BD160" i="42"/>
  <c r="AQ160" i="42"/>
  <c r="AF160" i="42"/>
  <c r="U160" i="42"/>
  <c r="DC159" i="42"/>
  <c r="CZ159" i="42"/>
  <c r="CQ159" i="42"/>
  <c r="CD159" i="42"/>
  <c r="BQ159" i="42"/>
  <c r="BD159" i="42"/>
  <c r="AQ159" i="42"/>
  <c r="AF159" i="42"/>
  <c r="U159" i="42"/>
  <c r="DC158" i="42"/>
  <c r="CZ158" i="42"/>
  <c r="CQ158" i="42"/>
  <c r="CD158" i="42"/>
  <c r="BQ158" i="42"/>
  <c r="BD158" i="42"/>
  <c r="AQ158" i="42"/>
  <c r="AF158" i="42"/>
  <c r="U158" i="42"/>
  <c r="DC157" i="42"/>
  <c r="CZ157" i="42"/>
  <c r="CQ157" i="42"/>
  <c r="CD157" i="42"/>
  <c r="BQ157" i="42"/>
  <c r="BD157" i="42"/>
  <c r="AQ157" i="42"/>
  <c r="AF157" i="42"/>
  <c r="U157" i="42"/>
  <c r="DC156" i="42"/>
  <c r="CZ156" i="42"/>
  <c r="CQ156" i="42"/>
  <c r="CD156" i="42"/>
  <c r="BQ156" i="42"/>
  <c r="BD156" i="42"/>
  <c r="AQ156" i="42"/>
  <c r="AF156" i="42"/>
  <c r="U156" i="42"/>
  <c r="DC155" i="42"/>
  <c r="CZ155" i="42"/>
  <c r="CQ155" i="42"/>
  <c r="CD155" i="42"/>
  <c r="BQ155" i="42"/>
  <c r="BD155" i="42"/>
  <c r="AQ155" i="42"/>
  <c r="AF155" i="42"/>
  <c r="U155" i="42"/>
  <c r="DC154" i="42"/>
  <c r="CZ154" i="42"/>
  <c r="CQ154" i="42"/>
  <c r="CD154" i="42"/>
  <c r="BQ154" i="42"/>
  <c r="BD154" i="42"/>
  <c r="AQ154" i="42"/>
  <c r="AF154" i="42"/>
  <c r="U154" i="42"/>
  <c r="DC153" i="42"/>
  <c r="CZ153" i="42"/>
  <c r="CQ153" i="42"/>
  <c r="CD153" i="42"/>
  <c r="BQ153" i="42"/>
  <c r="BD153" i="42"/>
  <c r="AQ153" i="42"/>
  <c r="AF153" i="42"/>
  <c r="U153" i="42"/>
  <c r="DC152" i="42"/>
  <c r="CZ152" i="42"/>
  <c r="CQ152" i="42"/>
  <c r="CD152" i="42"/>
  <c r="BQ152" i="42"/>
  <c r="BD152" i="42"/>
  <c r="AQ152" i="42"/>
  <c r="AF152" i="42"/>
  <c r="U152" i="42"/>
  <c r="DC151" i="42"/>
  <c r="CZ151" i="42"/>
  <c r="CQ151" i="42"/>
  <c r="CD151" i="42"/>
  <c r="BQ151" i="42"/>
  <c r="BD151" i="42"/>
  <c r="AQ151" i="42"/>
  <c r="AF151" i="42"/>
  <c r="U151" i="42"/>
  <c r="DC150" i="42"/>
  <c r="CZ150" i="42"/>
  <c r="CQ150" i="42"/>
  <c r="CD150" i="42"/>
  <c r="BQ150" i="42"/>
  <c r="BD150" i="42"/>
  <c r="AQ150" i="42"/>
  <c r="AF150" i="42"/>
  <c r="U150" i="42"/>
  <c r="DC149" i="42"/>
  <c r="CZ149" i="42"/>
  <c r="CQ149" i="42"/>
  <c r="CD149" i="42"/>
  <c r="BQ149" i="42"/>
  <c r="BD149" i="42"/>
  <c r="AQ149" i="42"/>
  <c r="AF149" i="42"/>
  <c r="U149" i="42"/>
  <c r="DC148" i="42"/>
  <c r="CZ148" i="42"/>
  <c r="CQ148" i="42"/>
  <c r="CD148" i="42"/>
  <c r="BQ148" i="42"/>
  <c r="BD148" i="42"/>
  <c r="AQ148" i="42"/>
  <c r="AF148" i="42"/>
  <c r="U148" i="42"/>
  <c r="DC147" i="42"/>
  <c r="CZ147" i="42"/>
  <c r="CQ147" i="42"/>
  <c r="CD147" i="42"/>
  <c r="BQ147" i="42"/>
  <c r="BD147" i="42"/>
  <c r="AQ147" i="42"/>
  <c r="AF147" i="42"/>
  <c r="U147" i="42"/>
  <c r="DC146" i="42"/>
  <c r="CZ146" i="42"/>
  <c r="CQ146" i="42"/>
  <c r="CD146" i="42"/>
  <c r="BQ146" i="42"/>
  <c r="BD146" i="42"/>
  <c r="AQ146" i="42"/>
  <c r="AF146" i="42"/>
  <c r="U146" i="42"/>
  <c r="DC145" i="42"/>
  <c r="CZ145" i="42"/>
  <c r="CQ145" i="42"/>
  <c r="CD145" i="42"/>
  <c r="BQ145" i="42"/>
  <c r="BD145" i="42"/>
  <c r="AQ145" i="42"/>
  <c r="AF145" i="42"/>
  <c r="U145" i="42"/>
  <c r="DC144" i="42"/>
  <c r="CZ144" i="42"/>
  <c r="CQ144" i="42"/>
  <c r="CD144" i="42"/>
  <c r="BQ144" i="42"/>
  <c r="BD144" i="42"/>
  <c r="AQ144" i="42"/>
  <c r="AF144" i="42"/>
  <c r="U144" i="42"/>
  <c r="DC143" i="42"/>
  <c r="CZ143" i="42"/>
  <c r="CQ143" i="42"/>
  <c r="CD143" i="42"/>
  <c r="BQ143" i="42"/>
  <c r="BD143" i="42"/>
  <c r="AQ143" i="42"/>
  <c r="AF143" i="42"/>
  <c r="U143" i="42"/>
  <c r="DC142" i="42"/>
  <c r="CZ142" i="42"/>
  <c r="CQ142" i="42"/>
  <c r="CD142" i="42"/>
  <c r="BQ142" i="42"/>
  <c r="BD142" i="42"/>
  <c r="AQ142" i="42"/>
  <c r="AF142" i="42"/>
  <c r="U142" i="42"/>
  <c r="DC141" i="42"/>
  <c r="CZ141" i="42"/>
  <c r="CQ141" i="42"/>
  <c r="CD141" i="42"/>
  <c r="BQ141" i="42"/>
  <c r="BD141" i="42"/>
  <c r="AQ141" i="42"/>
  <c r="AF141" i="42"/>
  <c r="U141" i="42"/>
  <c r="DC140" i="42"/>
  <c r="CZ140" i="42"/>
  <c r="CQ140" i="42"/>
  <c r="CD140" i="42"/>
  <c r="BQ140" i="42"/>
  <c r="BD140" i="42"/>
  <c r="AQ140" i="42"/>
  <c r="AF140" i="42"/>
  <c r="U140" i="42"/>
  <c r="DC139" i="42"/>
  <c r="CZ139" i="42"/>
  <c r="CQ139" i="42"/>
  <c r="CD139" i="42"/>
  <c r="BQ139" i="42"/>
  <c r="BD139" i="42"/>
  <c r="AQ139" i="42"/>
  <c r="AF139" i="42"/>
  <c r="U139" i="42"/>
  <c r="DC138" i="42"/>
  <c r="CZ138" i="42"/>
  <c r="CQ138" i="42"/>
  <c r="CD138" i="42"/>
  <c r="BQ138" i="42"/>
  <c r="BD138" i="42"/>
  <c r="AQ138" i="42"/>
  <c r="AF138" i="42"/>
  <c r="U138" i="42"/>
  <c r="DC137" i="42"/>
  <c r="CZ137" i="42"/>
  <c r="CQ137" i="42"/>
  <c r="CD137" i="42"/>
  <c r="BQ137" i="42"/>
  <c r="BD137" i="42"/>
  <c r="AQ137" i="42"/>
  <c r="AF137" i="42"/>
  <c r="U137" i="42"/>
  <c r="DC136" i="42"/>
  <c r="CZ136" i="42"/>
  <c r="CQ136" i="42"/>
  <c r="CD136" i="42"/>
  <c r="BQ136" i="42"/>
  <c r="BD136" i="42"/>
  <c r="AQ136" i="42"/>
  <c r="AF136" i="42"/>
  <c r="U136" i="42"/>
  <c r="DC135" i="42"/>
  <c r="CZ135" i="42"/>
  <c r="CQ135" i="42"/>
  <c r="CD135" i="42"/>
  <c r="BQ135" i="42"/>
  <c r="BD135" i="42"/>
  <c r="AQ135" i="42"/>
  <c r="AF135" i="42"/>
  <c r="U135" i="42"/>
  <c r="DC134" i="42"/>
  <c r="CZ134" i="42"/>
  <c r="CQ134" i="42"/>
  <c r="CD134" i="42"/>
  <c r="BQ134" i="42"/>
  <c r="BD134" i="42"/>
  <c r="AQ134" i="42"/>
  <c r="AF134" i="42"/>
  <c r="U134" i="42"/>
  <c r="DC133" i="42"/>
  <c r="CZ133" i="42"/>
  <c r="CQ133" i="42"/>
  <c r="CD133" i="42"/>
  <c r="BQ133" i="42"/>
  <c r="BD133" i="42"/>
  <c r="AQ133" i="42"/>
  <c r="AF133" i="42"/>
  <c r="U133" i="42"/>
  <c r="DC132" i="42"/>
  <c r="CZ132" i="42"/>
  <c r="CQ132" i="42"/>
  <c r="CD132" i="42"/>
  <c r="BQ132" i="42"/>
  <c r="BD132" i="42"/>
  <c r="AQ132" i="42"/>
  <c r="AF132" i="42"/>
  <c r="U132" i="42"/>
  <c r="DC131" i="42"/>
  <c r="CZ131" i="42"/>
  <c r="CQ131" i="42"/>
  <c r="CD131" i="42"/>
  <c r="BQ131" i="42"/>
  <c r="BD131" i="42"/>
  <c r="AQ131" i="42"/>
  <c r="AF131" i="42"/>
  <c r="U131" i="42"/>
  <c r="DC130" i="42"/>
  <c r="CZ130" i="42"/>
  <c r="CQ130" i="42"/>
  <c r="CD130" i="42"/>
  <c r="BQ130" i="42"/>
  <c r="BD130" i="42"/>
  <c r="AQ130" i="42"/>
  <c r="AF130" i="42"/>
  <c r="U130" i="42"/>
  <c r="DC129" i="42"/>
  <c r="CZ129" i="42"/>
  <c r="CQ129" i="42"/>
  <c r="CD129" i="42"/>
  <c r="BQ129" i="42"/>
  <c r="BD129" i="42"/>
  <c r="AQ129" i="42"/>
  <c r="AF129" i="42"/>
  <c r="U129" i="42"/>
  <c r="DC128" i="42"/>
  <c r="CZ128" i="42"/>
  <c r="CQ128" i="42"/>
  <c r="CD128" i="42"/>
  <c r="BQ128" i="42"/>
  <c r="AQ128" i="42"/>
  <c r="AF128" i="42"/>
  <c r="U128" i="42"/>
  <c r="DC127" i="42"/>
  <c r="CZ127" i="42"/>
  <c r="CQ127" i="42"/>
  <c r="CD127" i="42"/>
  <c r="BQ127" i="42"/>
  <c r="BD127" i="42"/>
  <c r="AQ127" i="42"/>
  <c r="AF127" i="42"/>
  <c r="U127" i="42"/>
  <c r="DC126" i="42"/>
  <c r="CZ126" i="42"/>
  <c r="CQ126" i="42"/>
  <c r="CD126" i="42"/>
  <c r="BQ126" i="42"/>
  <c r="BD126" i="42"/>
  <c r="AQ126" i="42"/>
  <c r="AF126" i="42"/>
  <c r="U126" i="42"/>
  <c r="DC125" i="42"/>
  <c r="CZ125" i="42"/>
  <c r="CQ125" i="42"/>
  <c r="CD125" i="42"/>
  <c r="BQ125" i="42"/>
  <c r="BD125" i="42"/>
  <c r="AQ125" i="42"/>
  <c r="AF125" i="42"/>
  <c r="U125" i="42"/>
  <c r="DC124" i="42"/>
  <c r="CZ124" i="42"/>
  <c r="CQ124" i="42"/>
  <c r="CD124" i="42"/>
  <c r="BQ124" i="42"/>
  <c r="BD124" i="42"/>
  <c r="AQ124" i="42"/>
  <c r="AF124" i="42"/>
  <c r="U124" i="42"/>
  <c r="DC123" i="42"/>
  <c r="CZ123" i="42"/>
  <c r="CQ123" i="42"/>
  <c r="CD123" i="42"/>
  <c r="BQ123" i="42"/>
  <c r="BD123" i="42"/>
  <c r="AQ123" i="42"/>
  <c r="AF123" i="42"/>
  <c r="U123" i="42"/>
  <c r="DC122" i="42"/>
  <c r="CZ122" i="42"/>
  <c r="CQ122" i="42"/>
  <c r="CD122" i="42"/>
  <c r="BQ122" i="42"/>
  <c r="BD122" i="42"/>
  <c r="AQ122" i="42"/>
  <c r="AF122" i="42"/>
  <c r="U122" i="42"/>
  <c r="DC121" i="42"/>
  <c r="CZ121" i="42"/>
  <c r="CQ121" i="42"/>
  <c r="CD121" i="42"/>
  <c r="BQ121" i="42"/>
  <c r="BD121" i="42"/>
  <c r="AQ121" i="42"/>
  <c r="AF121" i="42"/>
  <c r="U121" i="42"/>
  <c r="DC120" i="42"/>
  <c r="CZ120" i="42"/>
  <c r="CQ120" i="42"/>
  <c r="CD120" i="42"/>
  <c r="BQ120" i="42"/>
  <c r="BD120" i="42"/>
  <c r="AQ120" i="42"/>
  <c r="AF120" i="42"/>
  <c r="U120" i="42"/>
  <c r="DC119" i="42"/>
  <c r="CZ119" i="42"/>
  <c r="CQ119" i="42"/>
  <c r="CD119" i="42"/>
  <c r="BQ119" i="42"/>
  <c r="BD119" i="42"/>
  <c r="AQ119" i="42"/>
  <c r="AF119" i="42"/>
  <c r="U119" i="42"/>
  <c r="DC118" i="42"/>
  <c r="CZ118" i="42"/>
  <c r="CQ118" i="42"/>
  <c r="CD118" i="42"/>
  <c r="BQ118" i="42"/>
  <c r="BD118" i="42"/>
  <c r="AQ118" i="42"/>
  <c r="AF118" i="42"/>
  <c r="U118" i="42"/>
  <c r="DC117" i="42"/>
  <c r="CZ117" i="42"/>
  <c r="CQ117" i="42"/>
  <c r="CD117" i="42"/>
  <c r="BQ117" i="42"/>
  <c r="BD117" i="42"/>
  <c r="AQ117" i="42"/>
  <c r="AF117" i="42"/>
  <c r="U117" i="42"/>
  <c r="DC116" i="42"/>
  <c r="CZ116" i="42"/>
  <c r="CQ116" i="42"/>
  <c r="CD116" i="42"/>
  <c r="BQ116" i="42"/>
  <c r="BD116" i="42"/>
  <c r="AQ116" i="42"/>
  <c r="AF116" i="42"/>
  <c r="U116" i="42"/>
  <c r="DC115" i="42"/>
  <c r="CZ115" i="42"/>
  <c r="CQ115" i="42"/>
  <c r="CD115" i="42"/>
  <c r="BQ115" i="42"/>
  <c r="BD115" i="42"/>
  <c r="AQ115" i="42"/>
  <c r="AF115" i="42"/>
  <c r="U115" i="42"/>
  <c r="DC114" i="42"/>
  <c r="CZ114" i="42"/>
  <c r="CQ114" i="42"/>
  <c r="CD114" i="42"/>
  <c r="BQ114" i="42"/>
  <c r="BD114" i="42"/>
  <c r="AQ114" i="42"/>
  <c r="AF114" i="42"/>
  <c r="U114" i="42"/>
  <c r="DC113" i="42"/>
  <c r="CZ113" i="42"/>
  <c r="CQ113" i="42"/>
  <c r="CD113" i="42"/>
  <c r="BQ113" i="42"/>
  <c r="BD113" i="42"/>
  <c r="AQ113" i="42"/>
  <c r="AF113" i="42"/>
  <c r="U113" i="42"/>
  <c r="DC112" i="42"/>
  <c r="CZ112" i="42"/>
  <c r="CQ112" i="42"/>
  <c r="CD112" i="42"/>
  <c r="BQ112" i="42"/>
  <c r="BD112" i="42"/>
  <c r="AQ112" i="42"/>
  <c r="AF112" i="42"/>
  <c r="U112" i="42"/>
  <c r="DC106" i="42"/>
  <c r="CZ106" i="42"/>
  <c r="CQ106" i="42"/>
  <c r="CD106" i="42"/>
  <c r="BQ106" i="42"/>
  <c r="BD106" i="42"/>
  <c r="AQ106" i="42"/>
  <c r="AF106" i="42"/>
  <c r="U106" i="42"/>
  <c r="DC105" i="42"/>
  <c r="CZ105" i="42"/>
  <c r="CQ105" i="42"/>
  <c r="CD105" i="42"/>
  <c r="BQ105" i="42"/>
  <c r="BD105" i="42"/>
  <c r="AQ105" i="42"/>
  <c r="AF105" i="42"/>
  <c r="U105" i="42"/>
  <c r="DC104" i="42"/>
  <c r="CZ104" i="42"/>
  <c r="CQ104" i="42"/>
  <c r="CD104" i="42"/>
  <c r="BQ104" i="42"/>
  <c r="BD104" i="42"/>
  <c r="AQ104" i="42"/>
  <c r="AF104" i="42"/>
  <c r="U104" i="42"/>
  <c r="DC103" i="42"/>
  <c r="CZ103" i="42"/>
  <c r="CQ103" i="42"/>
  <c r="CD103" i="42"/>
  <c r="BQ103" i="42"/>
  <c r="BD103" i="42"/>
  <c r="AQ103" i="42"/>
  <c r="AF103" i="42"/>
  <c r="U103" i="42"/>
  <c r="DC102" i="42"/>
  <c r="CZ102" i="42"/>
  <c r="CQ102" i="42"/>
  <c r="CD102" i="42"/>
  <c r="BQ102" i="42"/>
  <c r="BD102" i="42"/>
  <c r="AQ102" i="42"/>
  <c r="AF102" i="42"/>
  <c r="U102" i="42"/>
  <c r="DC101" i="42"/>
  <c r="CZ101" i="42"/>
  <c r="CQ101" i="42"/>
  <c r="CD101" i="42"/>
  <c r="BQ101" i="42"/>
  <c r="BD101" i="42"/>
  <c r="AQ101" i="42"/>
  <c r="AF101" i="42"/>
  <c r="U101" i="42"/>
  <c r="DC100" i="42"/>
  <c r="CZ100" i="42"/>
  <c r="CQ100" i="42"/>
  <c r="CD100" i="42"/>
  <c r="BQ100" i="42"/>
  <c r="BD100" i="42"/>
  <c r="AQ100" i="42"/>
  <c r="AF100" i="42"/>
  <c r="U100" i="42"/>
  <c r="DC99" i="42"/>
  <c r="CZ99" i="42"/>
  <c r="CQ99" i="42"/>
  <c r="CD99" i="42"/>
  <c r="BQ99" i="42"/>
  <c r="BD99" i="42"/>
  <c r="AQ99" i="42"/>
  <c r="AF99" i="42"/>
  <c r="U99" i="42"/>
  <c r="DC98" i="42"/>
  <c r="CZ98" i="42"/>
  <c r="CQ98" i="42"/>
  <c r="CD98" i="42"/>
  <c r="BQ98" i="42"/>
  <c r="BD98" i="42"/>
  <c r="AQ98" i="42"/>
  <c r="AF98" i="42"/>
  <c r="U98" i="42"/>
  <c r="DC97" i="42"/>
  <c r="CZ97" i="42"/>
  <c r="CQ97" i="42"/>
  <c r="CD97" i="42"/>
  <c r="BQ97" i="42"/>
  <c r="BD97" i="42"/>
  <c r="AQ97" i="42"/>
  <c r="AF97" i="42"/>
  <c r="U97" i="42"/>
  <c r="DC96" i="42"/>
  <c r="CZ96" i="42"/>
  <c r="CQ96" i="42"/>
  <c r="CD96" i="42"/>
  <c r="BQ96" i="42"/>
  <c r="BD96" i="42"/>
  <c r="AQ96" i="42"/>
  <c r="AF96" i="42"/>
  <c r="U96" i="42"/>
  <c r="DC95" i="42"/>
  <c r="CZ95" i="42"/>
  <c r="CQ95" i="42"/>
  <c r="CD95" i="42"/>
  <c r="BQ95" i="42"/>
  <c r="BD95" i="42"/>
  <c r="AQ95" i="42"/>
  <c r="AF95" i="42"/>
  <c r="U95" i="42"/>
  <c r="DC94" i="42"/>
  <c r="CZ94" i="42"/>
  <c r="CQ94" i="42"/>
  <c r="CD94" i="42"/>
  <c r="BQ94" i="42"/>
  <c r="BD94" i="42"/>
  <c r="AQ94" i="42"/>
  <c r="AF94" i="42"/>
  <c r="U94" i="42"/>
  <c r="DC92" i="42"/>
  <c r="CZ92" i="42"/>
  <c r="CQ92" i="42"/>
  <c r="CD92" i="42"/>
  <c r="BQ92" i="42"/>
  <c r="BD92" i="42"/>
  <c r="AQ92" i="42"/>
  <c r="AF92" i="42"/>
  <c r="U92" i="42"/>
  <c r="DC91" i="42"/>
  <c r="CZ91" i="42"/>
  <c r="CQ91" i="42"/>
  <c r="CD91" i="42"/>
  <c r="BQ91" i="42"/>
  <c r="BD91" i="42"/>
  <c r="AQ91" i="42"/>
  <c r="AF91" i="42"/>
  <c r="U91" i="42"/>
  <c r="DC89" i="42"/>
  <c r="CZ89" i="42"/>
  <c r="CQ89" i="42"/>
  <c r="CD89" i="42"/>
  <c r="BQ89" i="42"/>
  <c r="BD89" i="42"/>
  <c r="AQ89" i="42"/>
  <c r="AF89" i="42"/>
  <c r="U89" i="42"/>
  <c r="DC87" i="42"/>
  <c r="CZ87" i="42"/>
  <c r="CQ87" i="42"/>
  <c r="CD87" i="42"/>
  <c r="BQ87" i="42"/>
  <c r="BD87" i="42"/>
  <c r="AQ87" i="42"/>
  <c r="AF87" i="42"/>
  <c r="U87" i="42"/>
  <c r="DC86" i="42"/>
  <c r="CZ86" i="42"/>
  <c r="CQ86" i="42"/>
  <c r="CD86" i="42"/>
  <c r="BQ86" i="42"/>
  <c r="BD86" i="42"/>
  <c r="AQ86" i="42"/>
  <c r="AF86" i="42"/>
  <c r="U86" i="42"/>
  <c r="DC85" i="42"/>
  <c r="CZ85" i="42"/>
  <c r="CQ85" i="42"/>
  <c r="CD85" i="42"/>
  <c r="BQ85" i="42"/>
  <c r="BD85" i="42"/>
  <c r="AQ85" i="42"/>
  <c r="AF85" i="42"/>
  <c r="U85" i="42"/>
  <c r="DC84" i="42"/>
  <c r="CZ84" i="42"/>
  <c r="CQ84" i="42"/>
  <c r="CD84" i="42"/>
  <c r="BQ84" i="42"/>
  <c r="BD84" i="42"/>
  <c r="AQ84" i="42"/>
  <c r="AF84" i="42"/>
  <c r="U84" i="42"/>
  <c r="DC83" i="42"/>
  <c r="CZ83" i="42"/>
  <c r="CQ83" i="42"/>
  <c r="CD83" i="42"/>
  <c r="BQ83" i="42"/>
  <c r="BD83" i="42"/>
  <c r="AQ83" i="42"/>
  <c r="AF83" i="42"/>
  <c r="U83" i="42"/>
  <c r="DC82" i="42"/>
  <c r="CZ82" i="42"/>
  <c r="CQ82" i="42"/>
  <c r="CD82" i="42"/>
  <c r="BQ82" i="42"/>
  <c r="BD82" i="42"/>
  <c r="AQ82" i="42"/>
  <c r="AF82" i="42"/>
  <c r="U82" i="42"/>
  <c r="DC81" i="42"/>
  <c r="CZ81" i="42"/>
  <c r="CQ81" i="42"/>
  <c r="CD81" i="42"/>
  <c r="BQ81" i="42"/>
  <c r="BD81" i="42"/>
  <c r="AQ81" i="42"/>
  <c r="AF81" i="42"/>
  <c r="U81" i="42"/>
  <c r="DC79" i="42"/>
  <c r="CZ79" i="42"/>
  <c r="CQ79" i="42"/>
  <c r="CD79" i="42"/>
  <c r="BQ79" i="42"/>
  <c r="BD79" i="42"/>
  <c r="AQ79" i="42"/>
  <c r="AF79" i="42"/>
  <c r="U79" i="42"/>
  <c r="DC78" i="42"/>
  <c r="CZ78" i="42"/>
  <c r="CQ78" i="42"/>
  <c r="CD78" i="42"/>
  <c r="BQ78" i="42"/>
  <c r="BD78" i="42"/>
  <c r="AQ78" i="42"/>
  <c r="AF78" i="42"/>
  <c r="U78" i="42"/>
  <c r="DC76" i="42"/>
  <c r="CZ76" i="42"/>
  <c r="CQ76" i="42"/>
  <c r="CD76" i="42"/>
  <c r="BQ76" i="42"/>
  <c r="BD76" i="42"/>
  <c r="AQ76" i="42"/>
  <c r="AF76" i="42"/>
  <c r="U76" i="42"/>
  <c r="DC75" i="42"/>
  <c r="CZ75" i="42"/>
  <c r="CQ75" i="42"/>
  <c r="CD75" i="42"/>
  <c r="BQ75" i="42"/>
  <c r="BD75" i="42"/>
  <c r="AQ75" i="42"/>
  <c r="AF75" i="42"/>
  <c r="U75" i="42"/>
  <c r="DC73" i="42"/>
  <c r="CZ73" i="42"/>
  <c r="CQ73" i="42"/>
  <c r="CD73" i="42"/>
  <c r="BQ73" i="42"/>
  <c r="BD73" i="42"/>
  <c r="AQ73" i="42"/>
  <c r="AF73" i="42"/>
  <c r="U73" i="42"/>
  <c r="DC71" i="42"/>
  <c r="CZ71" i="42"/>
  <c r="CQ71" i="42"/>
  <c r="CD71" i="42"/>
  <c r="BQ71" i="42"/>
  <c r="BD71" i="42"/>
  <c r="AQ71" i="42"/>
  <c r="AF71" i="42"/>
  <c r="U71" i="42"/>
  <c r="DC70" i="42"/>
  <c r="CZ70" i="42"/>
  <c r="CQ70" i="42"/>
  <c r="CD70" i="42"/>
  <c r="BQ70" i="42"/>
  <c r="BD70" i="42"/>
  <c r="AQ70" i="42"/>
  <c r="AF70" i="42"/>
  <c r="U70" i="42"/>
  <c r="DC69" i="42"/>
  <c r="CZ69" i="42"/>
  <c r="CQ69" i="42"/>
  <c r="CD69" i="42"/>
  <c r="BQ69" i="42"/>
  <c r="BD69" i="42"/>
  <c r="AQ69" i="42"/>
  <c r="AF69" i="42"/>
  <c r="U69" i="42"/>
  <c r="DC68" i="42"/>
  <c r="CZ68" i="42"/>
  <c r="CQ68" i="42"/>
  <c r="CD68" i="42"/>
  <c r="BQ68" i="42"/>
  <c r="BD68" i="42"/>
  <c r="AQ68" i="42"/>
  <c r="AF68" i="42"/>
  <c r="U68" i="42"/>
  <c r="DC67" i="42"/>
  <c r="CZ67" i="42"/>
  <c r="CQ67" i="42"/>
  <c r="CD67" i="42"/>
  <c r="BQ67" i="42"/>
  <c r="BD67" i="42"/>
  <c r="AQ67" i="42"/>
  <c r="AF67" i="42"/>
  <c r="U67" i="42"/>
  <c r="DC66" i="42"/>
  <c r="CZ66" i="42"/>
  <c r="CQ66" i="42"/>
  <c r="CD66" i="42"/>
  <c r="BQ66" i="42"/>
  <c r="BD66" i="42"/>
  <c r="AQ66" i="42"/>
  <c r="AF66" i="42"/>
  <c r="U66" i="42"/>
  <c r="DC64" i="42"/>
  <c r="CZ64" i="42"/>
  <c r="CQ64" i="42"/>
  <c r="CD64" i="42"/>
  <c r="BQ64" i="42"/>
  <c r="BD64" i="42"/>
  <c r="AQ64" i="42"/>
  <c r="AF64" i="42"/>
  <c r="U64" i="42"/>
  <c r="DC62" i="42"/>
  <c r="CZ62" i="42"/>
  <c r="CQ62" i="42"/>
  <c r="CD62" i="42"/>
  <c r="BQ62" i="42"/>
  <c r="BD62" i="42"/>
  <c r="AQ62" i="42"/>
  <c r="AF62" i="42"/>
  <c r="U62" i="42"/>
  <c r="DC60" i="42"/>
  <c r="CZ60" i="42"/>
  <c r="CQ60" i="42"/>
  <c r="CD60" i="42"/>
  <c r="BQ60" i="42"/>
  <c r="BD60" i="42"/>
  <c r="AQ60" i="42"/>
  <c r="AF60" i="42"/>
  <c r="U60" i="42"/>
  <c r="DC58" i="42"/>
  <c r="CZ58" i="42"/>
  <c r="CQ58" i="42"/>
  <c r="CD58" i="42"/>
  <c r="BQ58" i="42"/>
  <c r="BD58" i="42"/>
  <c r="AQ58" i="42"/>
  <c r="AF58" i="42"/>
  <c r="U58" i="42"/>
  <c r="DC56" i="42"/>
  <c r="CZ56" i="42"/>
  <c r="CQ56" i="42"/>
  <c r="CD56" i="42"/>
  <c r="BQ56" i="42"/>
  <c r="BD56" i="42"/>
  <c r="AQ56" i="42"/>
  <c r="AF56" i="42"/>
  <c r="U56" i="42"/>
  <c r="DC55" i="42"/>
  <c r="CZ55" i="42"/>
  <c r="CQ55" i="42"/>
  <c r="CD55" i="42"/>
  <c r="BQ55" i="42"/>
  <c r="BD55" i="42"/>
  <c r="AQ55" i="42"/>
  <c r="AF55" i="42"/>
  <c r="U55" i="42"/>
  <c r="DC54" i="42"/>
  <c r="CZ54" i="42"/>
  <c r="CQ54" i="42"/>
  <c r="CD54" i="42"/>
  <c r="BQ54" i="42"/>
  <c r="BD54" i="42"/>
  <c r="AQ54" i="42"/>
  <c r="AF54" i="42"/>
  <c r="U54" i="42"/>
  <c r="DC53" i="42"/>
  <c r="CZ53" i="42"/>
  <c r="CQ53" i="42"/>
  <c r="CD53" i="42"/>
  <c r="BQ53" i="42"/>
  <c r="BD53" i="42"/>
  <c r="AQ53" i="42"/>
  <c r="AF53" i="42"/>
  <c r="U53" i="42"/>
  <c r="DC52" i="42"/>
  <c r="CZ52" i="42"/>
  <c r="CQ52" i="42"/>
  <c r="CD52" i="42"/>
  <c r="BQ52" i="42"/>
  <c r="BD52" i="42"/>
  <c r="AQ52" i="42"/>
  <c r="AF52" i="42"/>
  <c r="U52" i="42"/>
  <c r="DC51" i="42"/>
  <c r="CZ51" i="42"/>
  <c r="CQ51" i="42"/>
  <c r="CD51" i="42"/>
  <c r="BQ51" i="42"/>
  <c r="BD51" i="42"/>
  <c r="AQ51" i="42"/>
  <c r="AF51" i="42"/>
  <c r="U51" i="42"/>
  <c r="DC50" i="42"/>
  <c r="CZ50" i="42"/>
  <c r="CQ50" i="42"/>
  <c r="CD50" i="42"/>
  <c r="BQ50" i="42"/>
  <c r="BD50" i="42"/>
  <c r="AQ50" i="42"/>
  <c r="AF50" i="42"/>
  <c r="U50" i="42"/>
  <c r="DC49" i="42"/>
  <c r="CZ49" i="42"/>
  <c r="CQ49" i="42"/>
  <c r="CD49" i="42"/>
  <c r="BQ49" i="42"/>
  <c r="BD49" i="42"/>
  <c r="AQ49" i="42"/>
  <c r="AF49" i="42"/>
  <c r="U49" i="42"/>
  <c r="DC48" i="42"/>
  <c r="CZ48" i="42"/>
  <c r="CQ48" i="42"/>
  <c r="CD48" i="42"/>
  <c r="BQ48" i="42"/>
  <c r="BD48" i="42"/>
  <c r="AQ48" i="42"/>
  <c r="AF48" i="42"/>
  <c r="U48" i="42"/>
  <c r="DC47" i="42"/>
  <c r="CZ47" i="42"/>
  <c r="CQ47" i="42"/>
  <c r="CD47" i="42"/>
  <c r="BQ47" i="42"/>
  <c r="BD47" i="42"/>
  <c r="AQ47" i="42"/>
  <c r="AF47" i="42"/>
  <c r="U47" i="42"/>
  <c r="DC46" i="42"/>
  <c r="CZ46" i="42"/>
  <c r="CQ46" i="42"/>
  <c r="CD46" i="42"/>
  <c r="BQ46" i="42"/>
  <c r="BD46" i="42"/>
  <c r="AQ46" i="42"/>
  <c r="AF46" i="42"/>
  <c r="U46" i="42"/>
  <c r="DC45" i="42"/>
  <c r="CZ45" i="42"/>
  <c r="CQ45" i="42"/>
  <c r="CD45" i="42"/>
  <c r="BQ45" i="42"/>
  <c r="BD45" i="42"/>
  <c r="AQ45" i="42"/>
  <c r="AF45" i="42"/>
  <c r="U45" i="42"/>
  <c r="DC44" i="42"/>
  <c r="CZ44" i="42"/>
  <c r="CQ44" i="42"/>
  <c r="CD44" i="42"/>
  <c r="BQ44" i="42"/>
  <c r="BD44" i="42"/>
  <c r="AQ44" i="42"/>
  <c r="AF44" i="42"/>
  <c r="U44" i="42"/>
  <c r="DC43" i="42"/>
  <c r="CZ43" i="42"/>
  <c r="CQ43" i="42"/>
  <c r="CD43" i="42"/>
  <c r="BQ43" i="42"/>
  <c r="BD43" i="42"/>
  <c r="AQ43" i="42"/>
  <c r="AF43" i="42"/>
  <c r="U43" i="42"/>
  <c r="DC42" i="42"/>
  <c r="CZ42" i="42"/>
  <c r="CQ42" i="42"/>
  <c r="CD42" i="42"/>
  <c r="BQ42" i="42"/>
  <c r="BD42" i="42"/>
  <c r="AQ42" i="42"/>
  <c r="AF42" i="42"/>
  <c r="U42" i="42"/>
  <c r="DC41" i="42"/>
  <c r="CZ41" i="42"/>
  <c r="CQ41" i="42"/>
  <c r="CD41" i="42"/>
  <c r="BQ41" i="42"/>
  <c r="BD41" i="42"/>
  <c r="AQ41" i="42"/>
  <c r="AF41" i="42"/>
  <c r="U41" i="42"/>
  <c r="DC40" i="42"/>
  <c r="CZ40" i="42"/>
  <c r="CQ40" i="42"/>
  <c r="CD40" i="42"/>
  <c r="BQ40" i="42"/>
  <c r="BD40" i="42"/>
  <c r="AQ40" i="42"/>
  <c r="AF40" i="42"/>
  <c r="U40" i="42"/>
  <c r="DC38" i="42"/>
  <c r="CZ38" i="42"/>
  <c r="CQ38" i="42"/>
  <c r="CD38" i="42"/>
  <c r="BQ38" i="42"/>
  <c r="BD38" i="42"/>
  <c r="AQ38" i="42"/>
  <c r="AF38" i="42"/>
  <c r="U38" i="42"/>
  <c r="DC36" i="42"/>
  <c r="CZ36" i="42"/>
  <c r="CQ36" i="42"/>
  <c r="CD36" i="42"/>
  <c r="BQ36" i="42"/>
  <c r="BD36" i="42"/>
  <c r="AQ36" i="42"/>
  <c r="AF36" i="42"/>
  <c r="U36" i="42"/>
  <c r="DC34" i="42"/>
  <c r="CZ34" i="42"/>
  <c r="CQ34" i="42"/>
  <c r="CD34" i="42"/>
  <c r="BQ34" i="42"/>
  <c r="BD34" i="42"/>
  <c r="AQ34" i="42"/>
  <c r="AF34" i="42"/>
  <c r="U34" i="42"/>
  <c r="DC32" i="42"/>
  <c r="CZ32" i="42"/>
  <c r="CQ32" i="42"/>
  <c r="CD32" i="42"/>
  <c r="BQ32" i="42"/>
  <c r="BD32" i="42"/>
  <c r="AQ32" i="42"/>
  <c r="AF32" i="42"/>
  <c r="U32" i="42"/>
  <c r="DC31" i="42"/>
  <c r="CZ31" i="42"/>
  <c r="CQ31" i="42"/>
  <c r="CD31" i="42"/>
  <c r="BQ31" i="42"/>
  <c r="BD31" i="42"/>
  <c r="AQ31" i="42"/>
  <c r="AF31" i="42"/>
  <c r="U31" i="42"/>
  <c r="DC29" i="42"/>
  <c r="CZ29" i="42"/>
  <c r="CQ29" i="42"/>
  <c r="CD29" i="42"/>
  <c r="BQ29" i="42"/>
  <c r="BD29" i="42"/>
  <c r="AQ29" i="42"/>
  <c r="AF29" i="42"/>
  <c r="U29" i="42"/>
  <c r="DC27" i="42"/>
  <c r="CZ27" i="42"/>
  <c r="CQ27" i="42"/>
  <c r="CD27" i="42"/>
  <c r="BQ27" i="42"/>
  <c r="BD27" i="42"/>
  <c r="AQ27" i="42"/>
  <c r="AF27" i="42"/>
  <c r="U27" i="42"/>
  <c r="DC26" i="42"/>
  <c r="CZ26" i="42"/>
  <c r="CQ26" i="42"/>
  <c r="CD26" i="42"/>
  <c r="BQ26" i="42"/>
  <c r="BD26" i="42"/>
  <c r="AQ26" i="42"/>
  <c r="AF26" i="42"/>
  <c r="U26" i="42"/>
  <c r="DC25" i="42"/>
  <c r="CZ25" i="42"/>
  <c r="CQ25" i="42"/>
  <c r="CD25" i="42"/>
  <c r="BQ25" i="42"/>
  <c r="BD25" i="42"/>
  <c r="AQ25" i="42"/>
  <c r="AF25" i="42"/>
  <c r="U25" i="42"/>
  <c r="DC24" i="42"/>
  <c r="CZ24" i="42"/>
  <c r="CQ24" i="42"/>
  <c r="CD24" i="42"/>
  <c r="BQ24" i="42"/>
  <c r="BD24" i="42"/>
  <c r="AQ24" i="42"/>
  <c r="AF24" i="42"/>
  <c r="U24" i="42"/>
  <c r="DC23" i="42"/>
  <c r="CZ23" i="42"/>
  <c r="CQ23" i="42"/>
  <c r="CD23" i="42"/>
  <c r="BQ23" i="42"/>
  <c r="BD23" i="42"/>
  <c r="AQ23" i="42"/>
  <c r="AF23" i="42"/>
  <c r="U23" i="42"/>
  <c r="DC22" i="42"/>
  <c r="CZ22" i="42"/>
  <c r="CQ22" i="42"/>
  <c r="CD22" i="42"/>
  <c r="BQ22" i="42"/>
  <c r="BD22" i="42"/>
  <c r="AQ22" i="42"/>
  <c r="AF22" i="42"/>
  <c r="U22" i="42"/>
  <c r="DC21" i="42"/>
  <c r="CZ21" i="42"/>
  <c r="CQ21" i="42"/>
  <c r="CD21" i="42"/>
  <c r="BQ21" i="42"/>
  <c r="BD21" i="42"/>
  <c r="AQ21" i="42"/>
  <c r="AF21" i="42"/>
  <c r="U21" i="42"/>
  <c r="DC20" i="42"/>
  <c r="CZ20" i="42"/>
  <c r="CQ20" i="42"/>
  <c r="CD20" i="42"/>
  <c r="BQ20" i="42"/>
  <c r="BD20" i="42"/>
  <c r="AQ20" i="42"/>
  <c r="AF20" i="42"/>
  <c r="U20" i="42"/>
  <c r="DC19" i="42"/>
  <c r="CZ19" i="42"/>
  <c r="CQ19" i="42"/>
  <c r="CD19" i="42"/>
  <c r="BQ19" i="42"/>
  <c r="BD19" i="42"/>
  <c r="AQ19" i="42"/>
  <c r="AF19" i="42"/>
  <c r="U19" i="42"/>
  <c r="DC18" i="42"/>
  <c r="CZ18" i="42"/>
  <c r="CQ18" i="42"/>
  <c r="CD18" i="42"/>
  <c r="BQ18" i="42"/>
  <c r="BD18" i="42"/>
  <c r="AQ18" i="42"/>
  <c r="AF18" i="42"/>
  <c r="U18" i="42"/>
  <c r="DC17" i="42"/>
  <c r="CZ17" i="42"/>
  <c r="CQ17" i="42"/>
  <c r="CD17" i="42"/>
  <c r="BQ17" i="42"/>
  <c r="BD17" i="42"/>
  <c r="AQ17" i="42"/>
  <c r="AF17" i="42"/>
  <c r="U17" i="42"/>
  <c r="DC16" i="42"/>
  <c r="CZ16" i="42"/>
  <c r="CQ16" i="42"/>
  <c r="CD16" i="42"/>
  <c r="BQ16" i="42"/>
  <c r="BD16" i="42"/>
  <c r="AQ16" i="42"/>
  <c r="AF16" i="42"/>
  <c r="U16" i="42"/>
  <c r="DC15" i="42"/>
  <c r="CZ15" i="42"/>
  <c r="CQ15" i="42"/>
  <c r="CD15" i="42"/>
  <c r="BQ15" i="42"/>
  <c r="BD15" i="42"/>
  <c r="AQ15" i="42"/>
  <c r="AF15" i="42"/>
  <c r="U15" i="42"/>
  <c r="DC14" i="42"/>
  <c r="CZ14" i="42"/>
  <c r="CQ14" i="42"/>
  <c r="CD14" i="42"/>
  <c r="BQ14" i="42"/>
  <c r="BD14" i="42"/>
  <c r="AQ14" i="42"/>
  <c r="AF14" i="42"/>
  <c r="U14" i="42"/>
  <c r="DC13" i="42"/>
  <c r="CZ13" i="42"/>
  <c r="CQ13" i="42"/>
  <c r="CD13" i="42"/>
  <c r="BQ13" i="42"/>
  <c r="BD13" i="42"/>
  <c r="AQ13" i="42"/>
  <c r="AF13" i="42"/>
  <c r="U13" i="42"/>
  <c r="DC12" i="42"/>
  <c r="CZ12" i="42"/>
  <c r="CQ12" i="42"/>
  <c r="CD12" i="42"/>
  <c r="BQ12" i="42"/>
  <c r="BD12" i="42"/>
  <c r="AQ12" i="42"/>
  <c r="AF12" i="42"/>
  <c r="U12" i="42"/>
  <c r="DC11" i="42"/>
  <c r="CZ11" i="42"/>
  <c r="CQ11" i="42"/>
  <c r="CD11" i="42"/>
  <c r="BQ11" i="42"/>
  <c r="BD11" i="42"/>
  <c r="AQ11" i="42"/>
  <c r="AF11" i="42"/>
  <c r="U11" i="42"/>
  <c r="DC10" i="42"/>
  <c r="CZ10" i="42"/>
  <c r="CQ10" i="42"/>
  <c r="CD10" i="42"/>
  <c r="BQ10" i="42"/>
  <c r="BD10" i="42"/>
  <c r="AQ10" i="42"/>
  <c r="AF10" i="42"/>
  <c r="U10" i="42"/>
  <c r="DC9" i="42"/>
  <c r="CZ9" i="42"/>
  <c r="CQ9" i="42"/>
  <c r="CD9" i="42"/>
  <c r="BQ9" i="42"/>
  <c r="BD9" i="42"/>
  <c r="AQ9" i="42"/>
  <c r="AF9" i="42"/>
  <c r="U9" i="42"/>
  <c r="BG173" i="16"/>
  <c r="BE173" i="16"/>
  <c r="AZ173" i="16"/>
  <c r="AS173" i="16"/>
  <c r="AL173" i="16"/>
  <c r="AE173" i="16"/>
  <c r="X173" i="16"/>
  <c r="R173" i="16"/>
  <c r="L173" i="16"/>
  <c r="BG172" i="16"/>
  <c r="BE172" i="16"/>
  <c r="AZ172" i="16"/>
  <c r="AS172" i="16"/>
  <c r="AL172" i="16"/>
  <c r="AE172" i="16"/>
  <c r="X172" i="16"/>
  <c r="R172" i="16"/>
  <c r="L172" i="16"/>
  <c r="BG171" i="16"/>
  <c r="BE171" i="16"/>
  <c r="AZ171" i="16"/>
  <c r="AS171" i="16"/>
  <c r="AL171" i="16"/>
  <c r="AE171" i="16"/>
  <c r="X171" i="16"/>
  <c r="R171" i="16"/>
  <c r="L171" i="16"/>
  <c r="BG170" i="16"/>
  <c r="BE170" i="16"/>
  <c r="AZ170" i="16"/>
  <c r="AS170" i="16"/>
  <c r="AL170" i="16"/>
  <c r="AE170" i="16"/>
  <c r="X170" i="16"/>
  <c r="R170" i="16"/>
  <c r="L170" i="16"/>
  <c r="BG169" i="16"/>
  <c r="BE169" i="16"/>
  <c r="AZ169" i="16"/>
  <c r="AS169" i="16"/>
  <c r="AL169" i="16"/>
  <c r="AE169" i="16"/>
  <c r="X169" i="16"/>
  <c r="R169" i="16"/>
  <c r="L169" i="16"/>
  <c r="BG168" i="16"/>
  <c r="BE168" i="16"/>
  <c r="AZ168" i="16"/>
  <c r="AS168" i="16"/>
  <c r="AL168" i="16"/>
  <c r="AE168" i="16"/>
  <c r="X168" i="16"/>
  <c r="R168" i="16"/>
  <c r="L168" i="16"/>
  <c r="BG167" i="16"/>
  <c r="BE167" i="16"/>
  <c r="AZ167" i="16"/>
  <c r="AS167" i="16"/>
  <c r="AL167" i="16"/>
  <c r="AE167" i="16"/>
  <c r="X167" i="16"/>
  <c r="R167" i="16"/>
  <c r="L167" i="16"/>
  <c r="BG166" i="16"/>
  <c r="BE166" i="16"/>
  <c r="AZ166" i="16"/>
  <c r="AS166" i="16"/>
  <c r="AL166" i="16"/>
  <c r="AE166" i="16"/>
  <c r="X166" i="16"/>
  <c r="R166" i="16"/>
  <c r="L166" i="16"/>
  <c r="BG165" i="16"/>
  <c r="BE165" i="16"/>
  <c r="AZ165" i="16"/>
  <c r="AS165" i="16"/>
  <c r="AL165" i="16"/>
  <c r="AE165" i="16"/>
  <c r="X165" i="16"/>
  <c r="R165" i="16"/>
  <c r="L165" i="16"/>
  <c r="BG164" i="16"/>
  <c r="BE164" i="16"/>
  <c r="AZ164" i="16"/>
  <c r="AS164" i="16"/>
  <c r="AL164" i="16"/>
  <c r="AE164" i="16"/>
  <c r="X164" i="16"/>
  <c r="R164" i="16"/>
  <c r="L164" i="16"/>
  <c r="BG163" i="16"/>
  <c r="BE163" i="16"/>
  <c r="AZ163" i="16"/>
  <c r="AS163" i="16"/>
  <c r="AL163" i="16"/>
  <c r="AE163" i="16"/>
  <c r="X163" i="16"/>
  <c r="R163" i="16"/>
  <c r="L163" i="16"/>
  <c r="BG162" i="16"/>
  <c r="BE162" i="16"/>
  <c r="AZ162" i="16"/>
  <c r="AS162" i="16"/>
  <c r="AL162" i="16"/>
  <c r="AE162" i="16"/>
  <c r="X162" i="16"/>
  <c r="R162" i="16"/>
  <c r="L162" i="16"/>
  <c r="BG161" i="16"/>
  <c r="BE161" i="16"/>
  <c r="AZ161" i="16"/>
  <c r="AS161" i="16"/>
  <c r="AL161" i="16"/>
  <c r="AE161" i="16"/>
  <c r="X161" i="16"/>
  <c r="R161" i="16"/>
  <c r="L161" i="16"/>
  <c r="BG160" i="16"/>
  <c r="BE160" i="16"/>
  <c r="AZ160" i="16"/>
  <c r="AS160" i="16"/>
  <c r="AL160" i="16"/>
  <c r="AE160" i="16"/>
  <c r="X160" i="16"/>
  <c r="R160" i="16"/>
  <c r="L160" i="16"/>
  <c r="BG159" i="16"/>
  <c r="BE159" i="16"/>
  <c r="AZ159" i="16"/>
  <c r="AS159" i="16"/>
  <c r="AL159" i="16"/>
  <c r="AE159" i="16"/>
  <c r="X159" i="16"/>
  <c r="R159" i="16"/>
  <c r="L159" i="16"/>
  <c r="BG158" i="16"/>
  <c r="BE158" i="16"/>
  <c r="AZ158" i="16"/>
  <c r="AS158" i="16"/>
  <c r="AL158" i="16"/>
  <c r="AE158" i="16"/>
  <c r="X158" i="16"/>
  <c r="R158" i="16"/>
  <c r="L158" i="16"/>
  <c r="BG157" i="16"/>
  <c r="BE157" i="16"/>
  <c r="AZ157" i="16"/>
  <c r="AS157" i="16"/>
  <c r="AL157" i="16"/>
  <c r="AE157" i="16"/>
  <c r="X157" i="16"/>
  <c r="R157" i="16"/>
  <c r="L157" i="16"/>
  <c r="BG156" i="16"/>
  <c r="BE156" i="16"/>
  <c r="AZ156" i="16"/>
  <c r="AS156" i="16"/>
  <c r="AL156" i="16"/>
  <c r="AE156" i="16"/>
  <c r="X156" i="16"/>
  <c r="R156" i="16"/>
  <c r="L156" i="16"/>
  <c r="BG155" i="16"/>
  <c r="BE155" i="16"/>
  <c r="AZ155" i="16"/>
  <c r="AS155" i="16"/>
  <c r="AL155" i="16"/>
  <c r="AE155" i="16"/>
  <c r="X155" i="16"/>
  <c r="R155" i="16"/>
  <c r="L155" i="16"/>
  <c r="BG154" i="16"/>
  <c r="BE154" i="16"/>
  <c r="AZ154" i="16"/>
  <c r="AS154" i="16"/>
  <c r="AL154" i="16"/>
  <c r="AE154" i="16"/>
  <c r="X154" i="16"/>
  <c r="R154" i="16"/>
  <c r="L154" i="16"/>
  <c r="BG153" i="16"/>
  <c r="BE153" i="16"/>
  <c r="AZ153" i="16"/>
  <c r="AS153" i="16"/>
  <c r="AL153" i="16"/>
  <c r="AE153" i="16"/>
  <c r="X153" i="16"/>
  <c r="R153" i="16"/>
  <c r="L153" i="16"/>
  <c r="BG152" i="16"/>
  <c r="BE152" i="16"/>
  <c r="AZ152" i="16"/>
  <c r="AS152" i="16"/>
  <c r="AL152" i="16"/>
  <c r="AE152" i="16"/>
  <c r="X152" i="16"/>
  <c r="R152" i="16"/>
  <c r="L152" i="16"/>
  <c r="BG151" i="16"/>
  <c r="BE151" i="16"/>
  <c r="AZ151" i="16"/>
  <c r="AS151" i="16"/>
  <c r="AL151" i="16"/>
  <c r="AE151" i="16"/>
  <c r="X151" i="16"/>
  <c r="R151" i="16"/>
  <c r="L151" i="16"/>
  <c r="BG150" i="16"/>
  <c r="BE150" i="16"/>
  <c r="AZ150" i="16"/>
  <c r="AS150" i="16"/>
  <c r="AL150" i="16"/>
  <c r="AE150" i="16"/>
  <c r="X150" i="16"/>
  <c r="R150" i="16"/>
  <c r="L150" i="16"/>
  <c r="BG149" i="16"/>
  <c r="BE149" i="16"/>
  <c r="AZ149" i="16"/>
  <c r="AS149" i="16"/>
  <c r="AL149" i="16"/>
  <c r="AE149" i="16"/>
  <c r="X149" i="16"/>
  <c r="R149" i="16"/>
  <c r="L149" i="16"/>
  <c r="BG148" i="16"/>
  <c r="BE148" i="16"/>
  <c r="AZ148" i="16"/>
  <c r="AS148" i="16"/>
  <c r="AL148" i="16"/>
  <c r="AE148" i="16"/>
  <c r="X148" i="16"/>
  <c r="R148" i="16"/>
  <c r="L148" i="16"/>
  <c r="BG147" i="16"/>
  <c r="BE147" i="16"/>
  <c r="AZ147" i="16"/>
  <c r="AS147" i="16"/>
  <c r="AL147" i="16"/>
  <c r="AE147" i="16"/>
  <c r="X147" i="16"/>
  <c r="R147" i="16"/>
  <c r="L147" i="16"/>
  <c r="BG146" i="16"/>
  <c r="BE146" i="16"/>
  <c r="AZ146" i="16"/>
  <c r="AS146" i="16"/>
  <c r="AL146" i="16"/>
  <c r="AE146" i="16"/>
  <c r="X146" i="16"/>
  <c r="R146" i="16"/>
  <c r="L146" i="16"/>
  <c r="BG145" i="16"/>
  <c r="BE145" i="16"/>
  <c r="AZ145" i="16"/>
  <c r="AS145" i="16"/>
  <c r="AL145" i="16"/>
  <c r="AE145" i="16"/>
  <c r="X145" i="16"/>
  <c r="R145" i="16"/>
  <c r="L145" i="16"/>
  <c r="BG144" i="16"/>
  <c r="BE144" i="16"/>
  <c r="AZ144" i="16"/>
  <c r="AS144" i="16"/>
  <c r="AL144" i="16"/>
  <c r="AE144" i="16"/>
  <c r="X144" i="16"/>
  <c r="R144" i="16"/>
  <c r="L144" i="16"/>
  <c r="BG143" i="16"/>
  <c r="BE143" i="16"/>
  <c r="AZ143" i="16"/>
  <c r="AS143" i="16"/>
  <c r="AL143" i="16"/>
  <c r="AE143" i="16"/>
  <c r="X143" i="16"/>
  <c r="R143" i="16"/>
  <c r="L143" i="16"/>
  <c r="BG142" i="16"/>
  <c r="BE142" i="16"/>
  <c r="AZ142" i="16"/>
  <c r="AS142" i="16"/>
  <c r="AL142" i="16"/>
  <c r="AE142" i="16"/>
  <c r="X142" i="16"/>
  <c r="R142" i="16"/>
  <c r="L142" i="16"/>
  <c r="BG141" i="16"/>
  <c r="BE141" i="16"/>
  <c r="AZ141" i="16"/>
  <c r="AS141" i="16"/>
  <c r="AL141" i="16"/>
  <c r="AE141" i="16"/>
  <c r="X141" i="16"/>
  <c r="R141" i="16"/>
  <c r="L141" i="16"/>
  <c r="BG140" i="16"/>
  <c r="BE140" i="16"/>
  <c r="AZ140" i="16"/>
  <c r="AS140" i="16"/>
  <c r="AL140" i="16"/>
  <c r="AE140" i="16"/>
  <c r="X140" i="16"/>
  <c r="R140" i="16"/>
  <c r="L140" i="16"/>
  <c r="BG139" i="16"/>
  <c r="BE139" i="16"/>
  <c r="AZ139" i="16"/>
  <c r="AS139" i="16"/>
  <c r="AL139" i="16"/>
  <c r="AE139" i="16"/>
  <c r="X139" i="16"/>
  <c r="R139" i="16"/>
  <c r="L139" i="16"/>
  <c r="BG138" i="16"/>
  <c r="BE138" i="16"/>
  <c r="AZ138" i="16"/>
  <c r="AS138" i="16"/>
  <c r="AL138" i="16"/>
  <c r="AE138" i="16"/>
  <c r="X138" i="16"/>
  <c r="R138" i="16"/>
  <c r="L138" i="16"/>
  <c r="BG137" i="16"/>
  <c r="BE137" i="16"/>
  <c r="AZ137" i="16"/>
  <c r="AS137" i="16"/>
  <c r="AL137" i="16"/>
  <c r="AE137" i="16"/>
  <c r="X137" i="16"/>
  <c r="R137" i="16"/>
  <c r="L137" i="16"/>
  <c r="BG136" i="16"/>
  <c r="BE136" i="16"/>
  <c r="AZ136" i="16"/>
  <c r="AS136" i="16"/>
  <c r="AL136" i="16"/>
  <c r="AE136" i="16"/>
  <c r="X136" i="16"/>
  <c r="R136" i="16"/>
  <c r="L136" i="16"/>
  <c r="BG135" i="16"/>
  <c r="BE135" i="16"/>
  <c r="AZ135" i="16"/>
  <c r="AS135" i="16"/>
  <c r="AL135" i="16"/>
  <c r="AE135" i="16"/>
  <c r="X135" i="16"/>
  <c r="R135" i="16"/>
  <c r="L135" i="16"/>
  <c r="BG134" i="16"/>
  <c r="BE134" i="16"/>
  <c r="AZ134" i="16"/>
  <c r="AS134" i="16"/>
  <c r="AL134" i="16"/>
  <c r="AE134" i="16"/>
  <c r="X134" i="16"/>
  <c r="R134" i="16"/>
  <c r="L134" i="16"/>
  <c r="BG133" i="16"/>
  <c r="BE133" i="16"/>
  <c r="AZ133" i="16"/>
  <c r="AS133" i="16"/>
  <c r="AL133" i="16"/>
  <c r="AE133" i="16"/>
  <c r="X133" i="16"/>
  <c r="R133" i="16"/>
  <c r="L133" i="16"/>
  <c r="BG132" i="16"/>
  <c r="BE132" i="16"/>
  <c r="AZ132" i="16"/>
  <c r="AS132" i="16"/>
  <c r="AL132" i="16"/>
  <c r="AE132" i="16"/>
  <c r="X132" i="16"/>
  <c r="R132" i="16"/>
  <c r="L132" i="16"/>
  <c r="BG131" i="16"/>
  <c r="BE131" i="16"/>
  <c r="AZ131" i="16"/>
  <c r="AS131" i="16"/>
  <c r="AL131" i="16"/>
  <c r="AE131" i="16"/>
  <c r="X131" i="16"/>
  <c r="R131" i="16"/>
  <c r="L131" i="16"/>
  <c r="BG130" i="16"/>
  <c r="BE130" i="16"/>
  <c r="AZ130" i="16"/>
  <c r="AS130" i="16"/>
  <c r="AL130" i="16"/>
  <c r="AE130" i="16"/>
  <c r="X130" i="16"/>
  <c r="R130" i="16"/>
  <c r="L130" i="16"/>
  <c r="BG129" i="16"/>
  <c r="BE129" i="16"/>
  <c r="AZ129" i="16"/>
  <c r="AS129" i="16"/>
  <c r="AL129" i="16"/>
  <c r="AE129" i="16"/>
  <c r="X129" i="16"/>
  <c r="R129" i="16"/>
  <c r="L129" i="16"/>
  <c r="BG128" i="16"/>
  <c r="BE128" i="16"/>
  <c r="AZ128" i="16"/>
  <c r="AS128" i="16"/>
  <c r="AL128" i="16"/>
  <c r="AE128" i="16"/>
  <c r="X128" i="16"/>
  <c r="R128" i="16"/>
  <c r="L128" i="16"/>
  <c r="BG127" i="16"/>
  <c r="BE127" i="16"/>
  <c r="AZ127" i="16"/>
  <c r="AS127" i="16"/>
  <c r="AL127" i="16"/>
  <c r="AE127" i="16"/>
  <c r="X127" i="16"/>
  <c r="R127" i="16"/>
  <c r="L127" i="16"/>
  <c r="BG126" i="16"/>
  <c r="BE126" i="16"/>
  <c r="AZ126" i="16"/>
  <c r="AS126" i="16"/>
  <c r="AL126" i="16"/>
  <c r="AE126" i="16"/>
  <c r="X126" i="16"/>
  <c r="R126" i="16"/>
  <c r="L126" i="16"/>
  <c r="BG125" i="16"/>
  <c r="BE125" i="16"/>
  <c r="AZ125" i="16"/>
  <c r="AS125" i="16"/>
  <c r="AL125" i="16"/>
  <c r="AE125" i="16"/>
  <c r="X125" i="16"/>
  <c r="R125" i="16"/>
  <c r="L125" i="16"/>
  <c r="BG124" i="16"/>
  <c r="BE124" i="16"/>
  <c r="AZ124" i="16"/>
  <c r="AS124" i="16"/>
  <c r="AL124" i="16"/>
  <c r="AE124" i="16"/>
  <c r="X124" i="16"/>
  <c r="R124" i="16"/>
  <c r="L124" i="16"/>
  <c r="BG123" i="16"/>
  <c r="BE123" i="16"/>
  <c r="AZ123" i="16"/>
  <c r="AS123" i="16"/>
  <c r="AL123" i="16"/>
  <c r="AE123" i="16"/>
  <c r="X123" i="16"/>
  <c r="R123" i="16"/>
  <c r="L123" i="16"/>
  <c r="BG122" i="16"/>
  <c r="BE122" i="16"/>
  <c r="AZ122" i="16"/>
  <c r="AS122" i="16"/>
  <c r="AL122" i="16"/>
  <c r="AE122" i="16"/>
  <c r="X122" i="16"/>
  <c r="R122" i="16"/>
  <c r="L122" i="16"/>
  <c r="BG121" i="16"/>
  <c r="BE121" i="16"/>
  <c r="AZ121" i="16"/>
  <c r="AS121" i="16"/>
  <c r="AL121" i="16"/>
  <c r="AE121" i="16"/>
  <c r="X121" i="16"/>
  <c r="R121" i="16"/>
  <c r="L121" i="16"/>
  <c r="BG120" i="16"/>
  <c r="BE120" i="16"/>
  <c r="AZ120" i="16"/>
  <c r="AS120" i="16"/>
  <c r="AL120" i="16"/>
  <c r="AE120" i="16"/>
  <c r="X120" i="16"/>
  <c r="R120" i="16"/>
  <c r="L120" i="16"/>
  <c r="BG119" i="16"/>
  <c r="BE119" i="16"/>
  <c r="AZ119" i="16"/>
  <c r="AS119" i="16"/>
  <c r="AL119" i="16"/>
  <c r="AE119" i="16"/>
  <c r="X119" i="16"/>
  <c r="R119" i="16"/>
  <c r="L119" i="16"/>
  <c r="BG118" i="16"/>
  <c r="BE118" i="16"/>
  <c r="AZ118" i="16"/>
  <c r="AS118" i="16"/>
  <c r="AL118" i="16"/>
  <c r="AE118" i="16"/>
  <c r="X118" i="16"/>
  <c r="R118" i="16"/>
  <c r="L118" i="16"/>
  <c r="BG117" i="16"/>
  <c r="BE117" i="16"/>
  <c r="AZ117" i="16"/>
  <c r="AS117" i="16"/>
  <c r="AL117" i="16"/>
  <c r="AE117" i="16"/>
  <c r="X117" i="16"/>
  <c r="R117" i="16"/>
  <c r="L117" i="16"/>
  <c r="BG116" i="16"/>
  <c r="BE116" i="16"/>
  <c r="AZ116" i="16"/>
  <c r="AS116" i="16"/>
  <c r="AL116" i="16"/>
  <c r="AE116" i="16"/>
  <c r="X116" i="16"/>
  <c r="R116" i="16"/>
  <c r="L116" i="16"/>
  <c r="BG115" i="16"/>
  <c r="BE115" i="16"/>
  <c r="AZ115" i="16"/>
  <c r="AS115" i="16"/>
  <c r="AL115" i="16"/>
  <c r="AE115" i="16"/>
  <c r="X115" i="16"/>
  <c r="R115" i="16"/>
  <c r="L115" i="16"/>
  <c r="BG114" i="16"/>
  <c r="BE114" i="16"/>
  <c r="AZ114" i="16"/>
  <c r="AS114" i="16"/>
  <c r="AL114" i="16"/>
  <c r="AE114" i="16"/>
  <c r="X114" i="16"/>
  <c r="R114" i="16"/>
  <c r="L114" i="16"/>
  <c r="BG113" i="16"/>
  <c r="BE113" i="16"/>
  <c r="AZ113" i="16"/>
  <c r="AS113" i="16"/>
  <c r="AL113" i="16"/>
  <c r="AE113" i="16"/>
  <c r="X113" i="16"/>
  <c r="R113" i="16"/>
  <c r="L113" i="16"/>
  <c r="BG112" i="16"/>
  <c r="BE112" i="16"/>
  <c r="AZ112" i="16"/>
  <c r="AS112" i="16"/>
  <c r="AL112" i="16"/>
  <c r="AE112" i="16"/>
  <c r="X112" i="16"/>
  <c r="R112" i="16"/>
  <c r="L112" i="16"/>
  <c r="BG111" i="16"/>
  <c r="BE111" i="16"/>
  <c r="AZ111" i="16"/>
  <c r="AS111" i="16"/>
  <c r="AL111" i="16"/>
  <c r="AE111" i="16"/>
  <c r="X111" i="16"/>
  <c r="R111" i="16"/>
  <c r="L111" i="16"/>
  <c r="BG110" i="16"/>
  <c r="BE110" i="16"/>
  <c r="AZ110" i="16"/>
  <c r="AS110" i="16"/>
  <c r="AL110" i="16"/>
  <c r="AE110" i="16"/>
  <c r="X110" i="16"/>
  <c r="R110" i="16"/>
  <c r="L110" i="16"/>
  <c r="BG109" i="16"/>
  <c r="BE109" i="16"/>
  <c r="AZ109" i="16"/>
  <c r="AS109" i="16"/>
  <c r="AL109" i="16"/>
  <c r="AE109" i="16"/>
  <c r="X109" i="16"/>
  <c r="R109" i="16"/>
  <c r="L109" i="16"/>
  <c r="BG108" i="16"/>
  <c r="BE108" i="16"/>
  <c r="AZ108" i="16"/>
  <c r="AS108" i="16"/>
  <c r="AL108" i="16"/>
  <c r="AE108" i="16"/>
  <c r="X108" i="16"/>
  <c r="R108" i="16"/>
  <c r="L108" i="16"/>
  <c r="BG107" i="16"/>
  <c r="BE107" i="16"/>
  <c r="AZ107" i="16"/>
  <c r="AS107" i="16"/>
  <c r="AL107" i="16"/>
  <c r="AE107" i="16"/>
  <c r="X107" i="16"/>
  <c r="R107" i="16"/>
  <c r="L107" i="16"/>
  <c r="BG106" i="16"/>
  <c r="BE106" i="16"/>
  <c r="AZ106" i="16"/>
  <c r="AS106" i="16"/>
  <c r="AL106" i="16"/>
  <c r="AE106" i="16"/>
  <c r="X106" i="16"/>
  <c r="R106" i="16"/>
  <c r="L106" i="16"/>
  <c r="BG105" i="16"/>
  <c r="BE105" i="16"/>
  <c r="AZ105" i="16"/>
  <c r="AS105" i="16"/>
  <c r="AL105" i="16"/>
  <c r="AE105" i="16"/>
  <c r="X105" i="16"/>
  <c r="R105" i="16"/>
  <c r="L105" i="16"/>
  <c r="BG104" i="16"/>
  <c r="BE104" i="16"/>
  <c r="AZ104" i="16"/>
  <c r="AS104" i="16"/>
  <c r="AL104" i="16"/>
  <c r="AE104" i="16"/>
  <c r="X104" i="16"/>
  <c r="R104" i="16"/>
  <c r="L104" i="16"/>
  <c r="BG103" i="16"/>
  <c r="BE103" i="16"/>
  <c r="AZ103" i="16"/>
  <c r="AS103" i="16"/>
  <c r="AL103" i="16"/>
  <c r="AE103" i="16"/>
  <c r="X103" i="16"/>
  <c r="R103" i="16"/>
  <c r="L103" i="16"/>
  <c r="BG102" i="16"/>
  <c r="BE102" i="16"/>
  <c r="AZ102" i="16"/>
  <c r="AS102" i="16"/>
  <c r="AL102" i="16"/>
  <c r="AE102" i="16"/>
  <c r="X102" i="16"/>
  <c r="R102" i="16"/>
  <c r="L102" i="16"/>
  <c r="BG101" i="16"/>
  <c r="BE101" i="16"/>
  <c r="AZ101" i="16"/>
  <c r="AS101" i="16"/>
  <c r="AL101" i="16"/>
  <c r="AE101" i="16"/>
  <c r="X101" i="16"/>
  <c r="R101" i="16"/>
  <c r="L101" i="16"/>
  <c r="BG100" i="16"/>
  <c r="BE100" i="16"/>
  <c r="AZ100" i="16"/>
  <c r="AS100" i="16"/>
  <c r="AL100" i="16"/>
  <c r="AE100" i="16"/>
  <c r="X100" i="16"/>
  <c r="R100" i="16"/>
  <c r="L100" i="16"/>
  <c r="BG99" i="16"/>
  <c r="BE99" i="16"/>
  <c r="AZ99" i="16"/>
  <c r="AS99" i="16"/>
  <c r="AL99" i="16"/>
  <c r="AE99" i="16"/>
  <c r="X99" i="16"/>
  <c r="R99" i="16"/>
  <c r="L99" i="16"/>
  <c r="BG98" i="16"/>
  <c r="BE98" i="16"/>
  <c r="AZ98" i="16"/>
  <c r="AS98" i="16"/>
  <c r="AL98" i="16"/>
  <c r="AE98" i="16"/>
  <c r="X98" i="16"/>
  <c r="R98" i="16"/>
  <c r="L98" i="16"/>
  <c r="BG97" i="16"/>
  <c r="BE97" i="16"/>
  <c r="AZ97" i="16"/>
  <c r="AS97" i="16"/>
  <c r="AL97" i="16"/>
  <c r="AE97" i="16"/>
  <c r="X97" i="16"/>
  <c r="R97" i="16"/>
  <c r="L97" i="16"/>
  <c r="BG96" i="16"/>
  <c r="BE96" i="16"/>
  <c r="AZ96" i="16"/>
  <c r="AS96" i="16"/>
  <c r="AL96" i="16"/>
  <c r="AE96" i="16"/>
  <c r="X96" i="16"/>
  <c r="R96" i="16"/>
  <c r="L96" i="16"/>
  <c r="BG95" i="16"/>
  <c r="BE95" i="16"/>
  <c r="AZ95" i="16"/>
  <c r="AS95" i="16"/>
  <c r="AL95" i="16"/>
  <c r="AE95" i="16"/>
  <c r="X95" i="16"/>
  <c r="R95" i="16"/>
  <c r="L95" i="16"/>
  <c r="BG94" i="16"/>
  <c r="BE94" i="16"/>
  <c r="AZ94" i="16"/>
  <c r="AS94" i="16"/>
  <c r="AL94" i="16"/>
  <c r="AE94" i="16"/>
  <c r="X94" i="16"/>
  <c r="R94" i="16"/>
  <c r="L94" i="16"/>
  <c r="BG88" i="16"/>
  <c r="BE88" i="16"/>
  <c r="AZ88" i="16"/>
  <c r="AS88" i="16"/>
  <c r="AL88" i="16"/>
  <c r="AE88" i="16"/>
  <c r="X88" i="16"/>
  <c r="R88" i="16"/>
  <c r="L88" i="16"/>
  <c r="BG87" i="16"/>
  <c r="BE87" i="16"/>
  <c r="AZ87" i="16"/>
  <c r="AS87" i="16"/>
  <c r="AL87" i="16"/>
  <c r="AE87" i="16"/>
  <c r="X87" i="16"/>
  <c r="R87" i="16"/>
  <c r="L87" i="16"/>
  <c r="BG86" i="16"/>
  <c r="BE86" i="16"/>
  <c r="AZ86" i="16"/>
  <c r="AS86" i="16"/>
  <c r="AL86" i="16"/>
  <c r="AE86" i="16"/>
  <c r="X86" i="16"/>
  <c r="R86" i="16"/>
  <c r="L86" i="16"/>
  <c r="BG85" i="16"/>
  <c r="BE85" i="16"/>
  <c r="AZ85" i="16"/>
  <c r="AS85" i="16"/>
  <c r="AL85" i="16"/>
  <c r="AE85" i="16"/>
  <c r="X85" i="16"/>
  <c r="R85" i="16"/>
  <c r="L85" i="16"/>
  <c r="BG84" i="16"/>
  <c r="BE84" i="16"/>
  <c r="AZ84" i="16"/>
  <c r="AS84" i="16"/>
  <c r="AL84" i="16"/>
  <c r="AE84" i="16"/>
  <c r="X84" i="16"/>
  <c r="R84" i="16"/>
  <c r="L84" i="16"/>
  <c r="BG83" i="16"/>
  <c r="BE83" i="16"/>
  <c r="AZ83" i="16"/>
  <c r="AS83" i="16"/>
  <c r="AL83" i="16"/>
  <c r="AE83" i="16"/>
  <c r="X83" i="16"/>
  <c r="R83" i="16"/>
  <c r="L83" i="16"/>
  <c r="BG82" i="16"/>
  <c r="BE82" i="16"/>
  <c r="AZ82" i="16"/>
  <c r="AS82" i="16"/>
  <c r="AL82" i="16"/>
  <c r="AE82" i="16"/>
  <c r="X82" i="16"/>
  <c r="R82" i="16"/>
  <c r="L82" i="16"/>
  <c r="BG81" i="16"/>
  <c r="BE81" i="16"/>
  <c r="AZ81" i="16"/>
  <c r="AS81" i="16"/>
  <c r="AL81" i="16"/>
  <c r="AE81" i="16"/>
  <c r="X81" i="16"/>
  <c r="R81" i="16"/>
  <c r="L81" i="16"/>
  <c r="BG80" i="16"/>
  <c r="BE80" i="16"/>
  <c r="AZ80" i="16"/>
  <c r="AS80" i="16"/>
  <c r="AL80" i="16"/>
  <c r="AE80" i="16"/>
  <c r="X80" i="16"/>
  <c r="R80" i="16"/>
  <c r="L80" i="16"/>
  <c r="BG79" i="16"/>
  <c r="BE79" i="16"/>
  <c r="AZ79" i="16"/>
  <c r="AS79" i="16"/>
  <c r="AL79" i="16"/>
  <c r="AE79" i="16"/>
  <c r="X79" i="16"/>
  <c r="R79" i="16"/>
  <c r="L79" i="16"/>
  <c r="BG78" i="16"/>
  <c r="BE78" i="16"/>
  <c r="AZ78" i="16"/>
  <c r="AS78" i="16"/>
  <c r="AL78" i="16"/>
  <c r="AE78" i="16"/>
  <c r="X78" i="16"/>
  <c r="R78" i="16"/>
  <c r="L78" i="16"/>
  <c r="BG77" i="16"/>
  <c r="BE77" i="16"/>
  <c r="AZ77" i="16"/>
  <c r="AS77" i="16"/>
  <c r="AL77" i="16"/>
  <c r="AE77" i="16"/>
  <c r="X77" i="16"/>
  <c r="R77" i="16"/>
  <c r="L77" i="16"/>
  <c r="BG76" i="16"/>
  <c r="BE76" i="16"/>
  <c r="AZ76" i="16"/>
  <c r="AS76" i="16"/>
  <c r="AL76" i="16"/>
  <c r="AE76" i="16"/>
  <c r="X76" i="16"/>
  <c r="R76" i="16"/>
  <c r="L76" i="16"/>
  <c r="BG75" i="16"/>
  <c r="BE75" i="16"/>
  <c r="AZ75" i="16"/>
  <c r="AS75" i="16"/>
  <c r="AL75" i="16"/>
  <c r="AE75" i="16"/>
  <c r="X75" i="16"/>
  <c r="R75" i="16"/>
  <c r="L75" i="16"/>
  <c r="BG74" i="16"/>
  <c r="BE74" i="16"/>
  <c r="AZ74" i="16"/>
  <c r="AS74" i="16"/>
  <c r="AL74" i="16"/>
  <c r="AE74" i="16"/>
  <c r="X74" i="16"/>
  <c r="R74" i="16"/>
  <c r="L74" i="16"/>
  <c r="BG73" i="16"/>
  <c r="BE73" i="16"/>
  <c r="AZ73" i="16"/>
  <c r="AS73" i="16"/>
  <c r="AL73" i="16"/>
  <c r="AE73" i="16"/>
  <c r="X73" i="16"/>
  <c r="R73" i="16"/>
  <c r="L73" i="16"/>
  <c r="BG72" i="16"/>
  <c r="BE72" i="16"/>
  <c r="AZ72" i="16"/>
  <c r="AS72" i="16"/>
  <c r="AL72" i="16"/>
  <c r="AE72" i="16"/>
  <c r="X72" i="16"/>
  <c r="R72" i="16"/>
  <c r="L72" i="16"/>
  <c r="BG71" i="16"/>
  <c r="BE71" i="16"/>
  <c r="AZ71" i="16"/>
  <c r="AS71" i="16"/>
  <c r="AL71" i="16"/>
  <c r="AE71" i="16"/>
  <c r="X71" i="16"/>
  <c r="R71" i="16"/>
  <c r="L71" i="16"/>
  <c r="BG70" i="16"/>
  <c r="BE70" i="16"/>
  <c r="AZ70" i="16"/>
  <c r="AS70" i="16"/>
  <c r="AL70" i="16"/>
  <c r="AE70" i="16"/>
  <c r="X70" i="16"/>
  <c r="R70" i="16"/>
  <c r="L70" i="16"/>
  <c r="BG69" i="16"/>
  <c r="BE69" i="16"/>
  <c r="AZ69" i="16"/>
  <c r="AS69" i="16"/>
  <c r="AL69" i="16"/>
  <c r="AE69" i="16"/>
  <c r="X69" i="16"/>
  <c r="R69" i="16"/>
  <c r="L69" i="16"/>
  <c r="BG68" i="16"/>
  <c r="BE68" i="16"/>
  <c r="AZ68" i="16"/>
  <c r="AS68" i="16"/>
  <c r="AL68" i="16"/>
  <c r="AE68" i="16"/>
  <c r="X68" i="16"/>
  <c r="R68" i="16"/>
  <c r="L68" i="16"/>
  <c r="BG67" i="16"/>
  <c r="BE67" i="16"/>
  <c r="AZ67" i="16"/>
  <c r="AS67" i="16"/>
  <c r="AL67" i="16"/>
  <c r="AE67" i="16"/>
  <c r="X67" i="16"/>
  <c r="R67" i="16"/>
  <c r="L67" i="16"/>
  <c r="BG66" i="16"/>
  <c r="BE66" i="16"/>
  <c r="AZ66" i="16"/>
  <c r="AS66" i="16"/>
  <c r="AL66" i="16"/>
  <c r="AE66" i="16"/>
  <c r="X66" i="16"/>
  <c r="R66" i="16"/>
  <c r="L66" i="16"/>
  <c r="BG65" i="16"/>
  <c r="BE65" i="16"/>
  <c r="AZ65" i="16"/>
  <c r="AS65" i="16"/>
  <c r="AL65" i="16"/>
  <c r="AE65" i="16"/>
  <c r="X65" i="16"/>
  <c r="R65" i="16"/>
  <c r="L65" i="16"/>
  <c r="BG64" i="16"/>
  <c r="BE64" i="16"/>
  <c r="AZ64" i="16"/>
  <c r="AS64" i="16"/>
  <c r="AL64" i="16"/>
  <c r="AE64" i="16"/>
  <c r="X64" i="16"/>
  <c r="R64" i="16"/>
  <c r="L64" i="16"/>
  <c r="BG63" i="16"/>
  <c r="BE63" i="16"/>
  <c r="AZ63" i="16"/>
  <c r="AS63" i="16"/>
  <c r="AL63" i="16"/>
  <c r="AE63" i="16"/>
  <c r="X63" i="16"/>
  <c r="R63" i="16"/>
  <c r="L63" i="16"/>
  <c r="BG62" i="16"/>
  <c r="BE62" i="16"/>
  <c r="AZ62" i="16"/>
  <c r="AS62" i="16"/>
  <c r="AL62" i="16"/>
  <c r="AE62" i="16"/>
  <c r="X62" i="16"/>
  <c r="R62" i="16"/>
  <c r="L62" i="16"/>
  <c r="BG61" i="16"/>
  <c r="BE61" i="16"/>
  <c r="AZ61" i="16"/>
  <c r="AS61" i="16"/>
  <c r="AL61" i="16"/>
  <c r="AE61" i="16"/>
  <c r="X61" i="16"/>
  <c r="R61" i="16"/>
  <c r="L61" i="16"/>
  <c r="BG60" i="16"/>
  <c r="BE60" i="16"/>
  <c r="AZ60" i="16"/>
  <c r="AS60" i="16"/>
  <c r="AL60" i="16"/>
  <c r="AE60" i="16"/>
  <c r="X60" i="16"/>
  <c r="R60" i="16"/>
  <c r="L60" i="16"/>
  <c r="BG59" i="16"/>
  <c r="BE59" i="16"/>
  <c r="AZ59" i="16"/>
  <c r="AS59" i="16"/>
  <c r="AL59" i="16"/>
  <c r="AE59" i="16"/>
  <c r="X59" i="16"/>
  <c r="R59" i="16"/>
  <c r="L59" i="16"/>
  <c r="BG58" i="16"/>
  <c r="BE58" i="16"/>
  <c r="AZ58" i="16"/>
  <c r="AS58" i="16"/>
  <c r="AL58" i="16"/>
  <c r="AE58" i="16"/>
  <c r="X58" i="16"/>
  <c r="R58" i="16"/>
  <c r="L58" i="16"/>
  <c r="BG57" i="16"/>
  <c r="BE57" i="16"/>
  <c r="AZ57" i="16"/>
  <c r="AS57" i="16"/>
  <c r="AL57" i="16"/>
  <c r="AE57" i="16"/>
  <c r="X57" i="16"/>
  <c r="R57" i="16"/>
  <c r="L57" i="16"/>
  <c r="BG56" i="16"/>
  <c r="BE56" i="16"/>
  <c r="AZ56" i="16"/>
  <c r="AS56" i="16"/>
  <c r="AL56" i="16"/>
  <c r="AE56" i="16"/>
  <c r="X56" i="16"/>
  <c r="R56" i="16"/>
  <c r="L56" i="16"/>
  <c r="BG55" i="16"/>
  <c r="BE55" i="16"/>
  <c r="AZ55" i="16"/>
  <c r="AS55" i="16"/>
  <c r="AL55" i="16"/>
  <c r="AE55" i="16"/>
  <c r="X55" i="16"/>
  <c r="R55" i="16"/>
  <c r="L55" i="16"/>
  <c r="BG54" i="16"/>
  <c r="BE54" i="16"/>
  <c r="AZ54" i="16"/>
  <c r="AS54" i="16"/>
  <c r="AL54" i="16"/>
  <c r="AE54" i="16"/>
  <c r="X54" i="16"/>
  <c r="R54" i="16"/>
  <c r="L54" i="16"/>
  <c r="BG53" i="16"/>
  <c r="BE53" i="16"/>
  <c r="AZ53" i="16"/>
  <c r="AS53" i="16"/>
  <c r="AL53" i="16"/>
  <c r="AE53" i="16"/>
  <c r="X53" i="16"/>
  <c r="R53" i="16"/>
  <c r="L53" i="16"/>
  <c r="BG52" i="16"/>
  <c r="BE52" i="16"/>
  <c r="AZ52" i="16"/>
  <c r="AS52" i="16"/>
  <c r="AL52" i="16"/>
  <c r="AE52" i="16"/>
  <c r="X52" i="16"/>
  <c r="R52" i="16"/>
  <c r="L52" i="16"/>
  <c r="BG51" i="16"/>
  <c r="BE51" i="16"/>
  <c r="AZ51" i="16"/>
  <c r="AS51" i="16"/>
  <c r="AL51" i="16"/>
  <c r="AE51" i="16"/>
  <c r="X51" i="16"/>
  <c r="R51" i="16"/>
  <c r="L51" i="16"/>
  <c r="BG50" i="16"/>
  <c r="BE50" i="16"/>
  <c r="AZ50" i="16"/>
  <c r="AS50" i="16"/>
  <c r="AL50" i="16"/>
  <c r="AE50" i="16"/>
  <c r="X50" i="16"/>
  <c r="R50" i="16"/>
  <c r="L50" i="16"/>
  <c r="BG49" i="16"/>
  <c r="BE49" i="16"/>
  <c r="AZ49" i="16"/>
  <c r="AS49" i="16"/>
  <c r="AL49" i="16"/>
  <c r="AE49" i="16"/>
  <c r="X49" i="16"/>
  <c r="R49" i="16"/>
  <c r="L49" i="16"/>
  <c r="BG48" i="16"/>
  <c r="BE48" i="16"/>
  <c r="AZ48" i="16"/>
  <c r="AS48" i="16"/>
  <c r="AL48" i="16"/>
  <c r="AE48" i="16"/>
  <c r="X48" i="16"/>
  <c r="R48" i="16"/>
  <c r="L48" i="16"/>
  <c r="BG47" i="16"/>
  <c r="BE47" i="16"/>
  <c r="AZ47" i="16"/>
  <c r="AS47" i="16"/>
  <c r="AL47" i="16"/>
  <c r="AE47" i="16"/>
  <c r="X47" i="16"/>
  <c r="R47" i="16"/>
  <c r="L47" i="16"/>
  <c r="BG46" i="16"/>
  <c r="BE46" i="16"/>
  <c r="AZ46" i="16"/>
  <c r="AS46" i="16"/>
  <c r="AL46" i="16"/>
  <c r="AE46" i="16"/>
  <c r="X46" i="16"/>
  <c r="R46" i="16"/>
  <c r="L46" i="16"/>
  <c r="BG45" i="16"/>
  <c r="BE45" i="16"/>
  <c r="AZ45" i="16"/>
  <c r="AS45" i="16"/>
  <c r="AL45" i="16"/>
  <c r="AE45" i="16"/>
  <c r="X45" i="16"/>
  <c r="R45" i="16"/>
  <c r="L45" i="16"/>
  <c r="BG44" i="16"/>
  <c r="BE44" i="16"/>
  <c r="AZ44" i="16"/>
  <c r="AS44" i="16"/>
  <c r="AL44" i="16"/>
  <c r="AE44" i="16"/>
  <c r="X44" i="16"/>
  <c r="R44" i="16"/>
  <c r="L44" i="16"/>
  <c r="BG43" i="16"/>
  <c r="BE43" i="16"/>
  <c r="AZ43" i="16"/>
  <c r="AS43" i="16"/>
  <c r="AL43" i="16"/>
  <c r="AE43" i="16"/>
  <c r="X43" i="16"/>
  <c r="R43" i="16"/>
  <c r="L43" i="16"/>
  <c r="BG42" i="16"/>
  <c r="BE42" i="16"/>
  <c r="AZ42" i="16"/>
  <c r="AS42" i="16"/>
  <c r="AL42" i="16"/>
  <c r="AE42" i="16"/>
  <c r="X42" i="16"/>
  <c r="R42" i="16"/>
  <c r="L42" i="16"/>
  <c r="BG41" i="16"/>
  <c r="BE41" i="16"/>
  <c r="AZ41" i="16"/>
  <c r="AS41" i="16"/>
  <c r="AL41" i="16"/>
  <c r="AE41" i="16"/>
  <c r="X41" i="16"/>
  <c r="R41" i="16"/>
  <c r="L41" i="16"/>
  <c r="BG40" i="16"/>
  <c r="BE40" i="16"/>
  <c r="AZ40" i="16"/>
  <c r="AS40" i="16"/>
  <c r="AL40" i="16"/>
  <c r="AE40" i="16"/>
  <c r="X40" i="16"/>
  <c r="R40" i="16"/>
  <c r="L40" i="16"/>
  <c r="BG39" i="16"/>
  <c r="BE39" i="16"/>
  <c r="AZ39" i="16"/>
  <c r="AS39" i="16"/>
  <c r="AL39" i="16"/>
  <c r="AE39" i="16"/>
  <c r="X39" i="16"/>
  <c r="R39" i="16"/>
  <c r="L39" i="16"/>
  <c r="BG38" i="16"/>
  <c r="BE38" i="16"/>
  <c r="AZ38" i="16"/>
  <c r="AS38" i="16"/>
  <c r="AL38" i="16"/>
  <c r="AE38" i="16"/>
  <c r="X38" i="16"/>
  <c r="R38" i="16"/>
  <c r="L38" i="16"/>
  <c r="BG37" i="16"/>
  <c r="BE37" i="16"/>
  <c r="AZ37" i="16"/>
  <c r="AS37" i="16"/>
  <c r="AL37" i="16"/>
  <c r="AE37" i="16"/>
  <c r="X37" i="16"/>
  <c r="R37" i="16"/>
  <c r="L37" i="16"/>
  <c r="BG36" i="16"/>
  <c r="BE36" i="16"/>
  <c r="AZ36" i="16"/>
  <c r="AS36" i="16"/>
  <c r="AL36" i="16"/>
  <c r="AE36" i="16"/>
  <c r="X36" i="16"/>
  <c r="R36" i="16"/>
  <c r="L36" i="16"/>
  <c r="BG35" i="16"/>
  <c r="BE35" i="16"/>
  <c r="AZ35" i="16"/>
  <c r="AS35" i="16"/>
  <c r="AL35" i="16"/>
  <c r="AE35" i="16"/>
  <c r="X35" i="16"/>
  <c r="R35" i="16"/>
  <c r="L35" i="16"/>
  <c r="BG34" i="16"/>
  <c r="BE34" i="16"/>
  <c r="AZ34" i="16"/>
  <c r="AS34" i="16"/>
  <c r="AL34" i="16"/>
  <c r="AE34" i="16"/>
  <c r="X34" i="16"/>
  <c r="R34" i="16"/>
  <c r="L34" i="16"/>
  <c r="BG33" i="16"/>
  <c r="BE33" i="16"/>
  <c r="AZ33" i="16"/>
  <c r="AS33" i="16"/>
  <c r="AL33" i="16"/>
  <c r="AE33" i="16"/>
  <c r="X33" i="16"/>
  <c r="R33" i="16"/>
  <c r="L33" i="16"/>
  <c r="BG32" i="16"/>
  <c r="BE32" i="16"/>
  <c r="AZ32" i="16"/>
  <c r="AS32" i="16"/>
  <c r="AL32" i="16"/>
  <c r="AE32" i="16"/>
  <c r="X32" i="16"/>
  <c r="R32" i="16"/>
  <c r="L32" i="16"/>
  <c r="BG31" i="16"/>
  <c r="BE31" i="16"/>
  <c r="AZ31" i="16"/>
  <c r="AS31" i="16"/>
  <c r="AL31" i="16"/>
  <c r="AE31" i="16"/>
  <c r="X31" i="16"/>
  <c r="R31" i="16"/>
  <c r="L31" i="16"/>
  <c r="BG30" i="16"/>
  <c r="BE30" i="16"/>
  <c r="AZ30" i="16"/>
  <c r="AS30" i="16"/>
  <c r="AL30" i="16"/>
  <c r="AE30" i="16"/>
  <c r="X30" i="16"/>
  <c r="R30" i="16"/>
  <c r="L30" i="16"/>
  <c r="BG29" i="16"/>
  <c r="BE29" i="16"/>
  <c r="AZ29" i="16"/>
  <c r="AS29" i="16"/>
  <c r="AL29" i="16"/>
  <c r="AE29" i="16"/>
  <c r="X29" i="16"/>
  <c r="R29" i="16"/>
  <c r="L29" i="16"/>
  <c r="BG28" i="16"/>
  <c r="BE28" i="16"/>
  <c r="AZ28" i="16"/>
  <c r="AS28" i="16"/>
  <c r="AL28" i="16"/>
  <c r="AE28" i="16"/>
  <c r="X28" i="16"/>
  <c r="R28" i="16"/>
  <c r="L28" i="16"/>
  <c r="BG27" i="16"/>
  <c r="BE27" i="16"/>
  <c r="AZ27" i="16"/>
  <c r="AS27" i="16"/>
  <c r="AL27" i="16"/>
  <c r="AE27" i="16"/>
  <c r="X27" i="16"/>
  <c r="R27" i="16"/>
  <c r="L27" i="16"/>
  <c r="BG26" i="16"/>
  <c r="BE26" i="16"/>
  <c r="AZ26" i="16"/>
  <c r="AS26" i="16"/>
  <c r="AL26" i="16"/>
  <c r="AE26" i="16"/>
  <c r="X26" i="16"/>
  <c r="R26" i="16"/>
  <c r="L26" i="16"/>
  <c r="BG25" i="16"/>
  <c r="BE25" i="16"/>
  <c r="AZ25" i="16"/>
  <c r="AS25" i="16"/>
  <c r="AL25" i="16"/>
  <c r="AE25" i="16"/>
  <c r="X25" i="16"/>
  <c r="R25" i="16"/>
  <c r="L25" i="16"/>
  <c r="BG24" i="16"/>
  <c r="BE24" i="16"/>
  <c r="AZ24" i="16"/>
  <c r="AS24" i="16"/>
  <c r="AL24" i="16"/>
  <c r="AE24" i="16"/>
  <c r="X24" i="16"/>
  <c r="R24" i="16"/>
  <c r="L24" i="16"/>
  <c r="BG23" i="16"/>
  <c r="BE23" i="16"/>
  <c r="AZ23" i="16"/>
  <c r="AS23" i="16"/>
  <c r="AL23" i="16"/>
  <c r="AE23" i="16"/>
  <c r="X23" i="16"/>
  <c r="R23" i="16"/>
  <c r="L23" i="16"/>
  <c r="BG22" i="16"/>
  <c r="BE22" i="16"/>
  <c r="AZ22" i="16"/>
  <c r="AS22" i="16"/>
  <c r="AL22" i="16"/>
  <c r="AE22" i="16"/>
  <c r="X22" i="16"/>
  <c r="R22" i="16"/>
  <c r="L22" i="16"/>
  <c r="BG21" i="16"/>
  <c r="BE21" i="16"/>
  <c r="AZ21" i="16"/>
  <c r="AS21" i="16"/>
  <c r="AL21" i="16"/>
  <c r="AE21" i="16"/>
  <c r="X21" i="16"/>
  <c r="R21" i="16"/>
  <c r="L21" i="16"/>
  <c r="BG20" i="16"/>
  <c r="BE20" i="16"/>
  <c r="AZ20" i="16"/>
  <c r="AS20" i="16"/>
  <c r="AL20" i="16"/>
  <c r="AE20" i="16"/>
  <c r="X20" i="16"/>
  <c r="R20" i="16"/>
  <c r="L20" i="16"/>
  <c r="BG19" i="16"/>
  <c r="BE19" i="16"/>
  <c r="AZ19" i="16"/>
  <c r="AS19" i="16"/>
  <c r="AL19" i="16"/>
  <c r="AE19" i="16"/>
  <c r="X19" i="16"/>
  <c r="R19" i="16"/>
  <c r="L19" i="16"/>
  <c r="BG18" i="16"/>
  <c r="BE18" i="16"/>
  <c r="AZ18" i="16"/>
  <c r="AS18" i="16"/>
  <c r="AL18" i="16"/>
  <c r="AE18" i="16"/>
  <c r="X18" i="16"/>
  <c r="R18" i="16"/>
  <c r="L18" i="16"/>
  <c r="BG17" i="16"/>
  <c r="BE17" i="16"/>
  <c r="AZ17" i="16"/>
  <c r="AS17" i="16"/>
  <c r="AL17" i="16"/>
  <c r="AE17" i="16"/>
  <c r="X17" i="16"/>
  <c r="R17" i="16"/>
  <c r="L17" i="16"/>
  <c r="BG16" i="16"/>
  <c r="BE16" i="16"/>
  <c r="AZ16" i="16"/>
  <c r="AS16" i="16"/>
  <c r="AL16" i="16"/>
  <c r="AE16" i="16"/>
  <c r="X16" i="16"/>
  <c r="R16" i="16"/>
  <c r="L16" i="16"/>
  <c r="BG15" i="16"/>
  <c r="BE15" i="16"/>
  <c r="AZ15" i="16"/>
  <c r="AS15" i="16"/>
  <c r="AL15" i="16"/>
  <c r="AE15" i="16"/>
  <c r="X15" i="16"/>
  <c r="R15" i="16"/>
  <c r="L15" i="16"/>
  <c r="BG14" i="16"/>
  <c r="BE14" i="16"/>
  <c r="AZ14" i="16"/>
  <c r="AS14" i="16"/>
  <c r="AL14" i="16"/>
  <c r="AE14" i="16"/>
  <c r="X14" i="16"/>
  <c r="R14" i="16"/>
  <c r="L14" i="16"/>
  <c r="BG13" i="16"/>
  <c r="BE13" i="16"/>
  <c r="AZ13" i="16"/>
  <c r="AS13" i="16"/>
  <c r="AL13" i="16"/>
  <c r="AE13" i="16"/>
  <c r="X13" i="16"/>
  <c r="R13" i="16"/>
  <c r="L13" i="16"/>
  <c r="BG12" i="16"/>
  <c r="BE12" i="16"/>
  <c r="AZ12" i="16"/>
  <c r="AS12" i="16"/>
  <c r="AL12" i="16"/>
  <c r="AE12" i="16"/>
  <c r="X12" i="16"/>
  <c r="R12" i="16"/>
  <c r="L12" i="16"/>
  <c r="BG11" i="16"/>
  <c r="BE11" i="16"/>
  <c r="AZ11" i="16"/>
  <c r="AS11" i="16"/>
  <c r="AL11" i="16"/>
  <c r="AE11" i="16"/>
  <c r="X11" i="16"/>
  <c r="R11" i="16"/>
  <c r="L11" i="16"/>
  <c r="BG10" i="16"/>
  <c r="BE10" i="16"/>
  <c r="AZ10" i="16"/>
  <c r="AS10" i="16"/>
  <c r="AL10" i="16"/>
  <c r="AE10" i="16"/>
  <c r="X10" i="16"/>
  <c r="R10" i="16"/>
  <c r="L10" i="16"/>
  <c r="BG9" i="16"/>
  <c r="BE9" i="16"/>
  <c r="AZ9" i="16"/>
  <c r="AS9" i="16"/>
  <c r="AL9" i="16"/>
  <c r="AE9" i="16"/>
  <c r="X9" i="16"/>
  <c r="R9" i="16"/>
  <c r="L9" i="16"/>
  <c r="E6" i="41" l="1"/>
  <c r="E5" i="41"/>
  <c r="B4" i="41"/>
  <c r="E4" i="41" s="1"/>
  <c r="E3" i="41"/>
  <c r="E2" i="41"/>
</calcChain>
</file>

<file path=xl/comments1.xml><?xml version="1.0" encoding="utf-8"?>
<comments xmlns="http://schemas.openxmlformats.org/spreadsheetml/2006/main">
  <authors>
    <author>Nitipong.P (ICD)</author>
  </authors>
  <commentList>
    <comment ref="G2" authorId="0" shapeId="0">
      <text>
        <r>
          <rPr>
            <b/>
            <sz val="9"/>
            <color indexed="81"/>
            <rFont val="Tahoma"/>
            <family val="2"/>
          </rPr>
          <t>Nitipong.P (ICD):</t>
        </r>
        <r>
          <rPr>
            <sz val="9"/>
            <color indexed="81"/>
            <rFont val="Tahoma"/>
            <family val="2"/>
          </rPr>
          <t xml:space="preserve">
D2</t>
        </r>
      </text>
    </comment>
  </commentList>
</comments>
</file>

<file path=xl/sharedStrings.xml><?xml version="1.0" encoding="utf-8"?>
<sst xmlns="http://schemas.openxmlformats.org/spreadsheetml/2006/main" count="11109" uniqueCount="2022">
  <si>
    <t>NO_CELL</t>
  </si>
  <si>
    <t>NO_PARTS</t>
  </si>
  <si>
    <t>DT_Input</t>
  </si>
  <si>
    <t>NO_Input</t>
  </si>
  <si>
    <t>QT_QTY3</t>
  </si>
  <si>
    <t>Destination</t>
  </si>
  <si>
    <t>Reader</t>
  </si>
  <si>
    <t>ADF</t>
  </si>
  <si>
    <t>(blank)</t>
  </si>
  <si>
    <t>1492C008AA</t>
  </si>
  <si>
    <t>1492C009AA</t>
  </si>
  <si>
    <t>1492C013AA</t>
  </si>
  <si>
    <t>1493C009AA</t>
  </si>
  <si>
    <t>1493C013AA</t>
  </si>
  <si>
    <t>1494C009AA</t>
  </si>
  <si>
    <t>1494C013AA</t>
  </si>
  <si>
    <t>FM1-P699-000</t>
  </si>
  <si>
    <t>1566C008AA</t>
  </si>
  <si>
    <t>1566C009AA</t>
  </si>
  <si>
    <t>1566C010AA</t>
  </si>
  <si>
    <t>1567C003AA</t>
  </si>
  <si>
    <t>1567C005AA</t>
  </si>
  <si>
    <t>1567C007AA</t>
  </si>
  <si>
    <t>1493C008AA</t>
  </si>
  <si>
    <t>1494C008AA</t>
  </si>
  <si>
    <t>Grand Total</t>
  </si>
  <si>
    <t>FIND_MAX</t>
  </si>
  <si>
    <t>(blank)(blank)(blank)</t>
  </si>
  <si>
    <t>Grand Total(blank)(blank)</t>
  </si>
  <si>
    <t>FIND_MAX_C</t>
  </si>
  <si>
    <t>CELL/NO_PART</t>
  </si>
  <si>
    <t>MAX_CROW</t>
  </si>
  <si>
    <t>Mercury</t>
  </si>
  <si>
    <t>Product Name</t>
  </si>
  <si>
    <t>Type</t>
  </si>
  <si>
    <t>Voltage</t>
  </si>
  <si>
    <t>SD3</t>
  </si>
  <si>
    <t>SU5</t>
  </si>
  <si>
    <t>Selectable</t>
  </si>
  <si>
    <t>=</t>
  </si>
  <si>
    <t>ASIA</t>
  </si>
  <si>
    <t>CN</t>
  </si>
  <si>
    <t>EUR</t>
  </si>
  <si>
    <t>IND</t>
  </si>
  <si>
    <t>US</t>
  </si>
  <si>
    <t>KR</t>
  </si>
  <si>
    <t>LTN</t>
  </si>
  <si>
    <t>TW</t>
  </si>
  <si>
    <t>Difference Unit</t>
  </si>
  <si>
    <t>Mercury Code</t>
  </si>
  <si>
    <t xml:space="preserve">Product Name </t>
  </si>
  <si>
    <t>Product Name  Update</t>
  </si>
  <si>
    <t>Types</t>
  </si>
  <si>
    <t>CST Heater</t>
  </si>
  <si>
    <t>FAX</t>
  </si>
  <si>
    <t>CONTROLLER UNIT</t>
  </si>
  <si>
    <t>ADF+READER UNIT</t>
  </si>
  <si>
    <t>DA</t>
  </si>
  <si>
    <t>FILM UNIT</t>
  </si>
  <si>
    <t>FIXING UNIT</t>
  </si>
  <si>
    <t>SET ON UNIT</t>
  </si>
  <si>
    <t>DRUM UNIT</t>
  </si>
  <si>
    <t>BUNDING UNIT</t>
  </si>
  <si>
    <t xml:space="preserve">KIT SUB PARTS </t>
  </si>
  <si>
    <t>DEVELOP UNIT</t>
  </si>
  <si>
    <t>CASSETTE_HEATER_UNIT</t>
  </si>
  <si>
    <t>CST_HEATER_BOARD_UNIT / 
PCB_HEATER_UNIT</t>
  </si>
  <si>
    <t>Alphabet</t>
  </si>
  <si>
    <t>8029B003BA</t>
  </si>
  <si>
    <t>iR-ADV 4251</t>
  </si>
  <si>
    <t xml:space="preserve">iR-ADV 4251 </t>
  </si>
  <si>
    <t>T599</t>
  </si>
  <si>
    <t>USA</t>
  </si>
  <si>
    <t>FM1-F450-000</t>
  </si>
  <si>
    <t>FM1-F477-000</t>
  </si>
  <si>
    <t>FM1-F473-000</t>
  </si>
  <si>
    <t>FM4-7897-000</t>
  </si>
  <si>
    <t>FM4-7298-000</t>
  </si>
  <si>
    <t>FM4-7300-000</t>
  </si>
  <si>
    <t>F48-0591-001</t>
  </si>
  <si>
    <t>FM1-D565-000</t>
  </si>
  <si>
    <t>FM1-G774-000</t>
  </si>
  <si>
    <t>FM4-9730-000</t>
  </si>
  <si>
    <t>8029B005BA</t>
  </si>
  <si>
    <t>iR-ADV 4251I</t>
  </si>
  <si>
    <t xml:space="preserve">iR-ADV 4251I </t>
  </si>
  <si>
    <t>T599J</t>
  </si>
  <si>
    <t>FM1-D575-000</t>
  </si>
  <si>
    <t>FM4-7898-000</t>
  </si>
  <si>
    <t>FM4-7299-000</t>
  </si>
  <si>
    <t>F48-0571-001</t>
  </si>
  <si>
    <t>FM1-D566-000</t>
  </si>
  <si>
    <t>8029B006BA</t>
  </si>
  <si>
    <t>FM1-F474-000</t>
  </si>
  <si>
    <t>FM1-D567-000</t>
  </si>
  <si>
    <t>FM1-G775-000</t>
  </si>
  <si>
    <t>FM3-8915-000</t>
  </si>
  <si>
    <t>FM1-F486-000</t>
  </si>
  <si>
    <t>8029B007BA</t>
  </si>
  <si>
    <t>IR-ADV 4251</t>
  </si>
  <si>
    <t xml:space="preserve">IR-ADV 4251 </t>
  </si>
  <si>
    <t>FM1-F454-000</t>
  </si>
  <si>
    <t>FM1-D568-000</t>
  </si>
  <si>
    <t>FM1-G776-000</t>
  </si>
  <si>
    <t>8029B009BA</t>
  </si>
  <si>
    <t>IR-ADV 4251A</t>
  </si>
  <si>
    <t>FM1-F464-000</t>
  </si>
  <si>
    <t>FM1-F478-000</t>
  </si>
  <si>
    <t>FM1-D569-000</t>
  </si>
  <si>
    <t>FM1-G777-000</t>
  </si>
  <si>
    <t>F19-1973-000</t>
  </si>
  <si>
    <t>T599J(51)-220-KOR-A</t>
  </si>
  <si>
    <t>8029B010BA</t>
  </si>
  <si>
    <t>FM1-F468-000</t>
  </si>
  <si>
    <t>FM1-D570-000</t>
  </si>
  <si>
    <t>FM1-G778-000</t>
  </si>
  <si>
    <t>FM1-F485-000</t>
  </si>
  <si>
    <t>8029B011BA</t>
  </si>
  <si>
    <t>FM1-H002-000</t>
  </si>
  <si>
    <t>8030B001BA</t>
  </si>
  <si>
    <t>iR-ADV 4245</t>
  </si>
  <si>
    <t>JPN</t>
  </si>
  <si>
    <t>FM1-F461-000</t>
  </si>
  <si>
    <t>FM1-F476-000</t>
  </si>
  <si>
    <t>FM1-F472-000</t>
  </si>
  <si>
    <t>FM4-7899-000</t>
  </si>
  <si>
    <t>FM4-7340-000</t>
  </si>
  <si>
    <t>FM1-D563-000</t>
  </si>
  <si>
    <t>FM1-G772-000</t>
  </si>
  <si>
    <t>8030B002BA</t>
  </si>
  <si>
    <t>iR-ADV 4245F</t>
  </si>
  <si>
    <t xml:space="preserve">iR-ADV 4245F </t>
  </si>
  <si>
    <t>FM1-F458-000</t>
  </si>
  <si>
    <t>FM1-D564-000</t>
  </si>
  <si>
    <t>FM1-G773-000</t>
  </si>
  <si>
    <t>8030B003BA</t>
  </si>
  <si>
    <t xml:space="preserve">iR-ADV 4245 </t>
  </si>
  <si>
    <t>FM1-F451-000</t>
  </si>
  <si>
    <t>FM4-7900-000</t>
  </si>
  <si>
    <t>FM4-7341-000</t>
  </si>
  <si>
    <t>8030B005BA</t>
  </si>
  <si>
    <t xml:space="preserve">iR-ADV 4245I </t>
  </si>
  <si>
    <t>FM1-D576-000</t>
  </si>
  <si>
    <t>FM4-7901-000</t>
  </si>
  <si>
    <t>FM4-7342-000</t>
  </si>
  <si>
    <t>8030B006BA</t>
  </si>
  <si>
    <t>8030B007BA</t>
  </si>
  <si>
    <t xml:space="preserve">IR-ADV 4245 </t>
  </si>
  <si>
    <t>FM1-F455-000</t>
  </si>
  <si>
    <t>8030B009BA</t>
  </si>
  <si>
    <t xml:space="preserve">IR-ADV 4245A </t>
  </si>
  <si>
    <t>FM1-F465-000</t>
  </si>
  <si>
    <t>8030B010BA</t>
  </si>
  <si>
    <t>FM1-F469-000</t>
  </si>
  <si>
    <t>8030B011BA</t>
  </si>
  <si>
    <t>8031B001BA</t>
  </si>
  <si>
    <t>iR-ADV 4235</t>
  </si>
  <si>
    <t xml:space="preserve">iR-ADV 4235 </t>
  </si>
  <si>
    <t>FM1-F462-000</t>
  </si>
  <si>
    <t>FM4-7301-000</t>
  </si>
  <si>
    <t>8031B002BA</t>
  </si>
  <si>
    <t>iR-ADV 4235F</t>
  </si>
  <si>
    <t>FM1-F459-000</t>
  </si>
  <si>
    <t>F19-2019-000</t>
  </si>
  <si>
    <t>T599M(35)-F-100-JPN</t>
  </si>
  <si>
    <t>8031B003BA</t>
  </si>
  <si>
    <t>FM1-F452-000</t>
  </si>
  <si>
    <t>8031B005BA</t>
  </si>
  <si>
    <t xml:space="preserve">iR-ADV 4235I </t>
  </si>
  <si>
    <t>iR-ADV 4235I</t>
  </si>
  <si>
    <t xml:space="preserve">EUR </t>
  </si>
  <si>
    <t>FM1-D577-000</t>
  </si>
  <si>
    <t>8031B006BA</t>
  </si>
  <si>
    <t>8031B007BA</t>
  </si>
  <si>
    <t xml:space="preserve">IR-ADV 4235 </t>
  </si>
  <si>
    <t>FM1-F456-000</t>
  </si>
  <si>
    <t>8031B009BA</t>
  </si>
  <si>
    <t xml:space="preserve">IR-ADV 4235A </t>
  </si>
  <si>
    <t>FM1-F466-000</t>
  </si>
  <si>
    <t>8031B010BA</t>
  </si>
  <si>
    <t>IR-ADV 4235</t>
  </si>
  <si>
    <t>FM1-F470-000</t>
  </si>
  <si>
    <t>8031B011BA</t>
  </si>
  <si>
    <t>8032B001BA</t>
  </si>
  <si>
    <t xml:space="preserve">iR-ADV 4225 </t>
  </si>
  <si>
    <t>iR-ADV 4225</t>
  </si>
  <si>
    <t>FM1-F463-000</t>
  </si>
  <si>
    <t>8032B002BA</t>
  </si>
  <si>
    <t xml:space="preserve">iR-ADV 4225F </t>
  </si>
  <si>
    <t>iR-ADV 4225F</t>
  </si>
  <si>
    <t>FM1-F460-000</t>
  </si>
  <si>
    <t>8032B003BA</t>
  </si>
  <si>
    <t>FM1-F453-000</t>
  </si>
  <si>
    <t>8032B005BA</t>
  </si>
  <si>
    <t xml:space="preserve">iR-ADV 4225I </t>
  </si>
  <si>
    <t>FM1-D578-000</t>
  </si>
  <si>
    <t>8032B006BA</t>
  </si>
  <si>
    <t>8032B007BA</t>
  </si>
  <si>
    <t xml:space="preserve">IR-ADV 4225 </t>
  </si>
  <si>
    <t>IR-ADV 4225</t>
  </si>
  <si>
    <t>FM1-F457-000</t>
  </si>
  <si>
    <t>8032B009BA</t>
  </si>
  <si>
    <t xml:space="preserve">IR-ADV 4225A </t>
  </si>
  <si>
    <t>FM1-F467-000</t>
  </si>
  <si>
    <t>8032B011BA</t>
  </si>
  <si>
    <t>9537B001AA</t>
  </si>
  <si>
    <t xml:space="preserve">LBP8900 </t>
  </si>
  <si>
    <t>LBP8900</t>
  </si>
  <si>
    <t>SA</t>
  </si>
  <si>
    <t>FM1-F096-000</t>
  </si>
  <si>
    <t>FM1-F103-000</t>
  </si>
  <si>
    <t>FM1-F101-000</t>
  </si>
  <si>
    <t>FM1-F099-000</t>
  </si>
  <si>
    <t>F48-0590-001</t>
  </si>
  <si>
    <t>FM1-H444-000</t>
  </si>
  <si>
    <t>FM1-F635-000</t>
  </si>
  <si>
    <t>T599M(25)-G-CN-UNFINISHED</t>
  </si>
  <si>
    <t>T599N(25)-G-CN-UNFINIDHED</t>
  </si>
  <si>
    <t>GOV</t>
  </si>
  <si>
    <t>FM1-A595-000</t>
  </si>
  <si>
    <t>FM1-J413-000</t>
  </si>
  <si>
    <t>FM1-F636-000</t>
  </si>
  <si>
    <t>T599M(35)-G-CN-UNFINISHED</t>
  </si>
  <si>
    <t>T599M(35)-G-CN-UNFINIDHED</t>
  </si>
  <si>
    <t>FM1-F637-000</t>
  </si>
  <si>
    <t>T599L(45)-G-CN-UNFINIDHED</t>
  </si>
  <si>
    <t>FM1-F644-000</t>
  </si>
  <si>
    <t>T599J(51)-G-CN-UNFINISHED</t>
  </si>
  <si>
    <t>T599J(51)-G-CN-UNFINIDHED</t>
  </si>
  <si>
    <t>FM1-H013-000</t>
  </si>
  <si>
    <t>T599J(51)-G-UNFINISHED_CPT</t>
  </si>
  <si>
    <t>FM1-A601-000</t>
  </si>
  <si>
    <t>FM1-A597-000</t>
  </si>
  <si>
    <t>FM1-H014-000</t>
  </si>
  <si>
    <t>T599J(45)-G-UNFINISHED_CPT</t>
  </si>
  <si>
    <t>T599L(45)-G-UNFINISHED_CPT</t>
  </si>
  <si>
    <t>FM1-A602-000</t>
  </si>
  <si>
    <t>FM1-A598-000</t>
  </si>
  <si>
    <t>FM1-H015-000</t>
  </si>
  <si>
    <t>T599J(35)-G-UNFINISHED_CPT</t>
  </si>
  <si>
    <t>T599M(35)-G-UNFINISHED_CPT</t>
  </si>
  <si>
    <t>FM1-H016-000</t>
  </si>
  <si>
    <t>T599J(25)-G-UNFINISHED_CPT</t>
  </si>
  <si>
    <t>T599N(25)-G-UNFINISHED_CPT</t>
  </si>
  <si>
    <t>0127T163</t>
  </si>
  <si>
    <t>IR-ADV 4245 230 V</t>
  </si>
  <si>
    <t>IR-ADV 4245</t>
  </si>
  <si>
    <t>F19-2035-000</t>
  </si>
  <si>
    <t>T599L(45)-120-USA</t>
  </si>
  <si>
    <t>F19-2036-000</t>
  </si>
  <si>
    <t>T599M(35)-120-USA</t>
  </si>
  <si>
    <t>1403C001AA</t>
  </si>
  <si>
    <t>iR-ADV 4525i 120V</t>
  </si>
  <si>
    <t xml:space="preserve">iR-ADV 4525i </t>
  </si>
  <si>
    <t>T599E</t>
  </si>
  <si>
    <t>0127T867</t>
  </si>
  <si>
    <t xml:space="preserve">IR-ADV 4525I </t>
  </si>
  <si>
    <t>1403C002AA</t>
  </si>
  <si>
    <t>iR-ADV 4525 100V</t>
  </si>
  <si>
    <t xml:space="preserve">iR-ADV 4525 </t>
  </si>
  <si>
    <t>1403C003AA</t>
  </si>
  <si>
    <t>iR-ADV 4525i LTN 230V</t>
  </si>
  <si>
    <t>1403C004AA</t>
  </si>
  <si>
    <t>iR-ADV 4525 KR 220V</t>
  </si>
  <si>
    <t>iR-ADV 4525</t>
  </si>
  <si>
    <t>0127T864</t>
  </si>
  <si>
    <t xml:space="preserve">IR-ADV 4525 </t>
  </si>
  <si>
    <t>1403C005AA</t>
  </si>
  <si>
    <t>iR-ADV 4525 CN 220V</t>
  </si>
  <si>
    <t>0127T865</t>
  </si>
  <si>
    <t>IR-ADV 4525</t>
  </si>
  <si>
    <t>1403C007AA</t>
  </si>
  <si>
    <t>iR-ADV 4525i TW 120V</t>
  </si>
  <si>
    <t>0127T868</t>
  </si>
  <si>
    <t>1403C009AA</t>
  </si>
  <si>
    <t>iR-ADV 4525F 100V</t>
  </si>
  <si>
    <t xml:space="preserve">iR-ADV 4525F </t>
  </si>
  <si>
    <t>0127T866</t>
  </si>
  <si>
    <t>IR-ADV 4525F</t>
  </si>
  <si>
    <t>1403C010AA</t>
  </si>
  <si>
    <t>iR-ADV 4525i EUR 230V</t>
  </si>
  <si>
    <t>0127T869</t>
  </si>
  <si>
    <t>1403C012AA</t>
  </si>
  <si>
    <t>iR-ADV 4525i 230V</t>
  </si>
  <si>
    <t>1403C013AA</t>
  </si>
  <si>
    <t>iR-ADV 4525 IND 230V</t>
  </si>
  <si>
    <t>0127T870</t>
  </si>
  <si>
    <t>1404C001AA</t>
  </si>
  <si>
    <t>iR-ADV 4535i 120V</t>
  </si>
  <si>
    <t xml:space="preserve">iR-ADV 4535i </t>
  </si>
  <si>
    <t>0127T862</t>
  </si>
  <si>
    <t xml:space="preserve">IR-ADV 4535I </t>
  </si>
  <si>
    <t>1404C002AA</t>
  </si>
  <si>
    <t>iR-ADV 4535i EUR 230V</t>
  </si>
  <si>
    <t>0127T863</t>
  </si>
  <si>
    <t>IR-ADV 4535I</t>
  </si>
  <si>
    <t>1404C003AA</t>
  </si>
  <si>
    <t>iR-ADV 4535 100V</t>
  </si>
  <si>
    <t>iR-ADV 4535</t>
  </si>
  <si>
    <t>1404C004AA</t>
  </si>
  <si>
    <t>iR-ADV 4535i LTN 230V</t>
  </si>
  <si>
    <t>1404C005AA</t>
  </si>
  <si>
    <t>iR-ADV 4535 CN 220V</t>
  </si>
  <si>
    <t xml:space="preserve">iR-ADV 4535 </t>
  </si>
  <si>
    <t>1404C006AA</t>
  </si>
  <si>
    <t>iR-ADV 4535i TW 120V</t>
  </si>
  <si>
    <t>1404C007AA</t>
  </si>
  <si>
    <t>iR-ADV 4535 KR 220V</t>
  </si>
  <si>
    <t>0127T861</t>
  </si>
  <si>
    <t>IR-ADV 4535</t>
  </si>
  <si>
    <t>1404C008AA</t>
  </si>
  <si>
    <t>iR-ADV 4535F 100V</t>
  </si>
  <si>
    <t>iR-ADV 4535F</t>
  </si>
  <si>
    <t>0129T305</t>
  </si>
  <si>
    <t>IR-ADV 4535F 100V</t>
  </si>
  <si>
    <t xml:space="preserve">IR-ADV 4535F </t>
  </si>
  <si>
    <t>1404C009AA</t>
  </si>
  <si>
    <t>iR-ADV 4535i 230V</t>
  </si>
  <si>
    <t>1404C010AA</t>
  </si>
  <si>
    <t>iR-ADV 4535 IND 230V</t>
  </si>
  <si>
    <t>1407C001AA</t>
  </si>
  <si>
    <t>iR-ADV 4545i 120V</t>
  </si>
  <si>
    <t xml:space="preserve">iR-ADV 4545i </t>
  </si>
  <si>
    <t>0127T857</t>
  </si>
  <si>
    <t xml:space="preserve">IR-ADV 4545I </t>
  </si>
  <si>
    <t>1407C002AA</t>
  </si>
  <si>
    <t>iR-ADV 4545i EUR 230V</t>
  </si>
  <si>
    <t>iR-ADV 4545i</t>
  </si>
  <si>
    <t>0127T858</t>
  </si>
  <si>
    <t>1407C003AA</t>
  </si>
  <si>
    <t>iR-ADV 4545 100V</t>
  </si>
  <si>
    <t xml:space="preserve">iR-ADV 4545 </t>
  </si>
  <si>
    <t>0128T450</t>
  </si>
  <si>
    <t xml:space="preserve">IR-ADV 4545 </t>
  </si>
  <si>
    <t>1407C004AA</t>
  </si>
  <si>
    <t>iR-ADV 4545i LTN 230V</t>
  </si>
  <si>
    <t>1407C005AA</t>
  </si>
  <si>
    <t>iR-ADV 4545i TW 120V</t>
  </si>
  <si>
    <t>0127T859</t>
  </si>
  <si>
    <t>1407C006AA</t>
  </si>
  <si>
    <t>iR-ADV 4545 KR 220V</t>
  </si>
  <si>
    <t>0127T854</t>
  </si>
  <si>
    <t>1407C007AA</t>
  </si>
  <si>
    <t>iR-ADV 4545 CN 220V</t>
  </si>
  <si>
    <t>0127T855</t>
  </si>
  <si>
    <t>1407C008AA</t>
  </si>
  <si>
    <t>iR-ADV 4545F 100V</t>
  </si>
  <si>
    <t xml:space="preserve">iR-ADV 4545F </t>
  </si>
  <si>
    <t>0127T856</t>
  </si>
  <si>
    <t xml:space="preserve">IR-ADV 4545F </t>
  </si>
  <si>
    <t>1407C009AA</t>
  </si>
  <si>
    <t>iR-ADV 4545i 230V</t>
  </si>
  <si>
    <t>1407C010AA</t>
  </si>
  <si>
    <t>iR-ADV 4545 IND 230V</t>
  </si>
  <si>
    <t>iR-ADV 4545</t>
  </si>
  <si>
    <t>0127T860</t>
  </si>
  <si>
    <t>1408C001AA</t>
  </si>
  <si>
    <t>iR-ADV 4551i 120V</t>
  </si>
  <si>
    <t xml:space="preserve">iR-ADV 4551i </t>
  </si>
  <si>
    <t>0127T847</t>
  </si>
  <si>
    <t xml:space="preserve">IR-ADV 4551I </t>
  </si>
  <si>
    <t>1408C002AA</t>
  </si>
  <si>
    <t>iR-ADV 4551i EUR 230V</t>
  </si>
  <si>
    <t>0127T848</t>
  </si>
  <si>
    <t>1408C003AA</t>
  </si>
  <si>
    <t>iR-ADV 4551i LTN 230V</t>
  </si>
  <si>
    <t>0127T851</t>
  </si>
  <si>
    <t>1408C004AA</t>
  </si>
  <si>
    <t>iR-ADV 4551i TW 120V</t>
  </si>
  <si>
    <t>0127T852</t>
  </si>
  <si>
    <t>1408C005AA</t>
  </si>
  <si>
    <t>iR-ADV 4551 KR 220V</t>
  </si>
  <si>
    <t xml:space="preserve">iR-ADV 4551 </t>
  </si>
  <si>
    <t>0127T850</t>
  </si>
  <si>
    <t xml:space="preserve">IR-ADV 4551 </t>
  </si>
  <si>
    <t>1408C006AA</t>
  </si>
  <si>
    <t>iR-ADV 4551 CN 220V</t>
  </si>
  <si>
    <t>0127T849</t>
  </si>
  <si>
    <t>IR-ADV 4551</t>
  </si>
  <si>
    <t>1408C007AA</t>
  </si>
  <si>
    <t>iR-ADV 4551i 230V</t>
  </si>
  <si>
    <t>iR-ADV 4551i</t>
  </si>
  <si>
    <t>1408C008AA</t>
  </si>
  <si>
    <t>iR-ADV 4551 IND 230V</t>
  </si>
  <si>
    <t>iR-ADV 4551</t>
  </si>
  <si>
    <t>0127T853</t>
  </si>
  <si>
    <t>F19-2431-000</t>
  </si>
  <si>
    <t>iR-ADV 4551i 120V (1408C001AA)</t>
  </si>
  <si>
    <t>T599E(51)-120-USA (1408C001AA)</t>
  </si>
  <si>
    <t>F19-2641-000</t>
  </si>
  <si>
    <t>iR-ADV 4525i 230V (1403C012AA)</t>
  </si>
  <si>
    <t>T599E(25)-230-ASI (1403C012AA)</t>
  </si>
  <si>
    <t>F19-2514-000</t>
  </si>
  <si>
    <t>iR-ADV 4535F 100V (1404C008AA)</t>
  </si>
  <si>
    <t>T599E(35)-100-JPN-FAX (1404C008AA)</t>
  </si>
  <si>
    <t>FM1-J068-000</t>
  </si>
  <si>
    <t>UNFINISHED_UNIT_T599E(51)</t>
  </si>
  <si>
    <t>FM1-J069-000</t>
  </si>
  <si>
    <t>UNFINISHED_UNIT_T599E(45)</t>
  </si>
  <si>
    <t>FM1-J070-000</t>
  </si>
  <si>
    <t>UNFINISHED_UNIT_T599E(35)</t>
  </si>
  <si>
    <t>FM1-J071-000</t>
  </si>
  <si>
    <t>UNFINISHED_UNIT_T599E(25)</t>
  </si>
  <si>
    <t>F19-2631-000</t>
  </si>
  <si>
    <t>iR-ADV 4525i (1403C001AA)</t>
  </si>
  <si>
    <t>FM1-J072-000</t>
  </si>
  <si>
    <t>FM1-J073-000</t>
  </si>
  <si>
    <t>FM1-J074-000</t>
  </si>
  <si>
    <t>F19-2048-000</t>
  </si>
  <si>
    <t>IR-ADV 4235 (8031B011BA)</t>
  </si>
  <si>
    <t>F19-2691-000</t>
  </si>
  <si>
    <t>iR-ADV 4525i(1403C010AA)</t>
  </si>
  <si>
    <t>F19-2592-000</t>
  </si>
  <si>
    <t>READER</t>
  </si>
  <si>
    <t>1438C001AA</t>
  </si>
  <si>
    <t>iR2520W 230V</t>
  </si>
  <si>
    <t>1438C002AA</t>
  </si>
  <si>
    <t>iR2520W 230V IND</t>
  </si>
  <si>
    <t>1438C005AA</t>
  </si>
  <si>
    <t>iR2520W 120V TW</t>
  </si>
  <si>
    <t>1439C001AA</t>
  </si>
  <si>
    <t>iR2525W 230V</t>
  </si>
  <si>
    <t>1439C002AA</t>
  </si>
  <si>
    <t>iR2525W 230V IND</t>
  </si>
  <si>
    <t>1439C005AA</t>
  </si>
  <si>
    <t>iR2525W 120V TW</t>
  </si>
  <si>
    <t>1440C001AA</t>
  </si>
  <si>
    <t>iR2530W 230V</t>
  </si>
  <si>
    <t>1441C001AA</t>
  </si>
  <si>
    <t>iR2535W 230V</t>
  </si>
  <si>
    <t>2834B002BA</t>
  </si>
  <si>
    <t>2834B003BA</t>
  </si>
  <si>
    <t>2834B004BA</t>
  </si>
  <si>
    <t>IR2525 230V</t>
  </si>
  <si>
    <t>2834B007BA</t>
  </si>
  <si>
    <t>IR2525I 220V CN</t>
  </si>
  <si>
    <t>2835B001BA</t>
  </si>
  <si>
    <t>IR2530 120V US</t>
  </si>
  <si>
    <t>2835B005BA</t>
  </si>
  <si>
    <t>IR2530I 220V CN</t>
  </si>
  <si>
    <t>2835B008BA</t>
  </si>
  <si>
    <t>IR2530I 230V EU</t>
  </si>
  <si>
    <t>2836B011BA</t>
  </si>
  <si>
    <t>IR2535I 220V CN</t>
  </si>
  <si>
    <t>2864B006BA</t>
  </si>
  <si>
    <t>IR2545I 230V EU</t>
  </si>
  <si>
    <t>3796B003BA</t>
  </si>
  <si>
    <t>IR2520 230V EU</t>
  </si>
  <si>
    <t>3796B005BA</t>
  </si>
  <si>
    <t>IR2520 230V</t>
  </si>
  <si>
    <t>3796B007BA</t>
  </si>
  <si>
    <t>IR2520I 220V CN</t>
  </si>
  <si>
    <t>FM1-F638-000</t>
  </si>
  <si>
    <t>FM1-F640-000</t>
  </si>
  <si>
    <t>FM1-F641-000</t>
  </si>
  <si>
    <t>H ทำเอง</t>
  </si>
  <si>
    <t>L/M ทำเอง</t>
  </si>
  <si>
    <t>L/M ซื้อ</t>
  </si>
  <si>
    <t>H ซื้อ</t>
  </si>
  <si>
    <t>FX2-1096</t>
  </si>
  <si>
    <t>FM1-F282</t>
  </si>
  <si>
    <t>Different</t>
  </si>
  <si>
    <t>COVER</t>
  </si>
  <si>
    <t>DUMMY</t>
  </si>
  <si>
    <t>HAISHI 2ND</t>
  </si>
  <si>
    <t>M</t>
  </si>
  <si>
    <t>•</t>
  </si>
  <si>
    <t>IR2530 230V</t>
  </si>
  <si>
    <t>EU</t>
  </si>
  <si>
    <t>L</t>
  </si>
  <si>
    <t>-</t>
  </si>
  <si>
    <t>2834B006BA</t>
  </si>
  <si>
    <t>IR2525I 230V AU</t>
  </si>
  <si>
    <t>AU</t>
  </si>
  <si>
    <t>2834B008BA</t>
  </si>
  <si>
    <t>IR2525 220V KR</t>
  </si>
  <si>
    <t>2834B009BA</t>
  </si>
  <si>
    <t>IR2525 120V TW</t>
  </si>
  <si>
    <t>2834B010BA</t>
  </si>
  <si>
    <t>IR2525I 220V KR</t>
  </si>
  <si>
    <t>2834B011BA</t>
  </si>
  <si>
    <t>IR2525I 120V TW</t>
  </si>
  <si>
    <t>2834B013BA</t>
  </si>
  <si>
    <t>IR2525 220V CN</t>
  </si>
  <si>
    <t>2834B056BA</t>
  </si>
  <si>
    <t>IR2525 230V IND</t>
  </si>
  <si>
    <t>2835B003BA</t>
  </si>
  <si>
    <t>2835B006BA</t>
  </si>
  <si>
    <t>IR2530 220V KR</t>
  </si>
  <si>
    <t>2835B007BA</t>
  </si>
  <si>
    <t>IR2530I 120V TW</t>
  </si>
  <si>
    <t>2835B009BA</t>
  </si>
  <si>
    <t>IR2530I 220V KR</t>
  </si>
  <si>
    <t>2835B055BA</t>
  </si>
  <si>
    <t>IR2530 230V IND</t>
  </si>
  <si>
    <t>2836B003BA</t>
  </si>
  <si>
    <t>IR2535 120V US</t>
  </si>
  <si>
    <t>H</t>
  </si>
  <si>
    <t>2836B004BA</t>
  </si>
  <si>
    <t>IR2535I 120V US</t>
  </si>
  <si>
    <t>2836B007BA</t>
  </si>
  <si>
    <t>IR2535 230V</t>
  </si>
  <si>
    <t>2836B010BA</t>
  </si>
  <si>
    <t>IR2535I 230V AU</t>
  </si>
  <si>
    <t>2836B012BA</t>
  </si>
  <si>
    <t>IR2535 220V KR</t>
  </si>
  <si>
    <t>2836B013BA</t>
  </si>
  <si>
    <t>IR2535I 120V TW</t>
  </si>
  <si>
    <t>2836B014BA</t>
  </si>
  <si>
    <t>IR2535I 220V KR</t>
  </si>
  <si>
    <t>2836B038BA</t>
  </si>
  <si>
    <t>IR2535 230V IND</t>
  </si>
  <si>
    <t>2864B003BA</t>
  </si>
  <si>
    <t>IR2545 120V US</t>
  </si>
  <si>
    <t>2864B004BA</t>
  </si>
  <si>
    <t>IR2545I 120V US</t>
  </si>
  <si>
    <t>2864B007BA</t>
  </si>
  <si>
    <t>IR2545 230V</t>
  </si>
  <si>
    <t>2864B010BA</t>
  </si>
  <si>
    <t>IR2545I 230V AU</t>
  </si>
  <si>
    <t>2864B011BA</t>
  </si>
  <si>
    <t>IR2545I 220V CN</t>
  </si>
  <si>
    <t>2864B012BA</t>
  </si>
  <si>
    <t>IR2545 220V KR</t>
  </si>
  <si>
    <t>2864B013BA</t>
  </si>
  <si>
    <t>IR2545I 120V TW</t>
  </si>
  <si>
    <t>2864B014BA</t>
  </si>
  <si>
    <t>IR2545I 220V KR</t>
  </si>
  <si>
    <t>2864B032BA</t>
  </si>
  <si>
    <t>IR2545 230V IND</t>
  </si>
  <si>
    <t>3796B002BA</t>
  </si>
  <si>
    <t>IR2520 120V US</t>
  </si>
  <si>
    <t>3796B006BA</t>
  </si>
  <si>
    <t>3796B008BA</t>
  </si>
  <si>
    <t>IR2520 220V KR</t>
  </si>
  <si>
    <t>3796B009BA</t>
  </si>
  <si>
    <t>IR2520I 220V KR</t>
  </si>
  <si>
    <t>3796B010BA</t>
  </si>
  <si>
    <t>IR2520 120V TW</t>
  </si>
  <si>
    <t>3796B034BA</t>
  </si>
  <si>
    <t>IR2520 230V IND</t>
  </si>
  <si>
    <t>G_MODEL_U_T463(45)
UNFINISHED(CN_i)</t>
  </si>
  <si>
    <t>G_MODEL_U_T463(30)
UNFINISHED(CN_i)</t>
  </si>
  <si>
    <t>G_MODEL_U_T463(25)
UNFINISHED(CN_i)</t>
  </si>
  <si>
    <t>FM1-F643-000</t>
  </si>
  <si>
    <t>G_MODEL_U_T463(20)
UNFINISHED(CN_i)</t>
  </si>
  <si>
    <t>FM1-H003-000</t>
  </si>
  <si>
    <t>G_MODEL_U_T463(25)
UNFINISHED(Vup)_CPT</t>
  </si>
  <si>
    <t>FM1-H004-000</t>
  </si>
  <si>
    <t>G_MODEL_U_T463(30)
UNFINISHED(Vup2)_CPT</t>
  </si>
  <si>
    <t>MSDG140507</t>
  </si>
  <si>
    <t>IR2525 230V
(2834B004BA)</t>
  </si>
  <si>
    <t>MSDG140508</t>
  </si>
  <si>
    <t>IR2545I 230V EU
(2864B006BA)</t>
  </si>
  <si>
    <t>MSDG140509</t>
  </si>
  <si>
    <t>IR2545I 120V TW
(2864B013BA)</t>
  </si>
  <si>
    <t>F19-2942-000</t>
  </si>
  <si>
    <t>IR2545 230V
(2864B007BA)</t>
  </si>
  <si>
    <t>F19-2891-000</t>
  </si>
  <si>
    <t>T463L_IR2520_EUR_CPT
 (3796B003BA)</t>
  </si>
  <si>
    <t>F19-2892-000</t>
  </si>
  <si>
    <t>T463M_IR2525_EUR_CPT
(2834B003BA)</t>
  </si>
  <si>
    <t>F19-2843-000</t>
  </si>
  <si>
    <t>T463(30)L_N_230_CPT</t>
  </si>
  <si>
    <t>XL</t>
  </si>
  <si>
    <t>1438C003AA</t>
  </si>
  <si>
    <t>iR2520W 220V KR</t>
  </si>
  <si>
    <t>1438C004AA</t>
  </si>
  <si>
    <t>iR2520Wi 220V KR</t>
  </si>
  <si>
    <t>1439C003AA</t>
  </si>
  <si>
    <t>iR2525W 220V KR</t>
  </si>
  <si>
    <t>XM</t>
  </si>
  <si>
    <t>1439C004AA</t>
  </si>
  <si>
    <t>iR2525Wi 220V KR</t>
  </si>
  <si>
    <t>1440C003AA</t>
  </si>
  <si>
    <t>iR2530W 220V KR</t>
  </si>
  <si>
    <t>1440C004AA</t>
  </si>
  <si>
    <t>iR2530Wi 220V KR</t>
  </si>
  <si>
    <t>1440C005AA</t>
  </si>
  <si>
    <t>iR2530Wi 120V TW</t>
  </si>
  <si>
    <t>XH</t>
  </si>
  <si>
    <t>1441C003AA</t>
  </si>
  <si>
    <t>iR2535W 220V KR</t>
  </si>
  <si>
    <t>1441C004AA</t>
  </si>
  <si>
    <t>iR2535Wi 220V KR</t>
  </si>
  <si>
    <t>1442C001AA</t>
  </si>
  <si>
    <t>iR2545W 230V</t>
  </si>
  <si>
    <t>1442C003AA</t>
  </si>
  <si>
    <t>iR2545W 220V KR</t>
  </si>
  <si>
    <t>1442C004AA</t>
  </si>
  <si>
    <t>iR2545Wi 220V KR</t>
  </si>
  <si>
    <t>1440C002AA</t>
  </si>
  <si>
    <t>iR2530W 230V IND</t>
  </si>
  <si>
    <t>1441C002AA</t>
  </si>
  <si>
    <t>iR2535W 230V IND</t>
  </si>
  <si>
    <t>1442C002AA</t>
  </si>
  <si>
    <t>iR2545W 230V IND</t>
  </si>
  <si>
    <t>RKP</t>
  </si>
  <si>
    <t>QXJ</t>
  </si>
  <si>
    <t>RKW</t>
  </si>
  <si>
    <t>RLJ</t>
  </si>
  <si>
    <t>RLP</t>
  </si>
  <si>
    <t>RLW</t>
  </si>
  <si>
    <t>RLC</t>
  </si>
  <si>
    <t>RKD</t>
  </si>
  <si>
    <t>RKE</t>
  </si>
  <si>
    <t>RKM</t>
  </si>
  <si>
    <t>QXK</t>
  </si>
  <si>
    <t>RKV</t>
  </si>
  <si>
    <t>RLH</t>
  </si>
  <si>
    <t>RLN</t>
  </si>
  <si>
    <t>RLV</t>
  </si>
  <si>
    <t>RKZ</t>
  </si>
  <si>
    <t>RKB</t>
  </si>
  <si>
    <t>RKC</t>
  </si>
  <si>
    <t>RKJ</t>
  </si>
  <si>
    <t>QXL</t>
  </si>
  <si>
    <t>RKU</t>
  </si>
  <si>
    <t>RKF</t>
  </si>
  <si>
    <t>RLL</t>
  </si>
  <si>
    <t>RLT</t>
  </si>
  <si>
    <t>RKY</t>
  </si>
  <si>
    <t>RJY</t>
  </si>
  <si>
    <t>RJZ</t>
  </si>
  <si>
    <t>QXM</t>
  </si>
  <si>
    <t>RKT</t>
  </si>
  <si>
    <t>RLD</t>
  </si>
  <si>
    <t>RLK</t>
  </si>
  <si>
    <t>RKX</t>
  </si>
  <si>
    <t>RYR</t>
  </si>
  <si>
    <t>RYD</t>
  </si>
  <si>
    <t>RYB</t>
  </si>
  <si>
    <t>QHT</t>
  </si>
  <si>
    <t>QHR</t>
  </si>
  <si>
    <t>QHN</t>
  </si>
  <si>
    <t>QHL</t>
  </si>
  <si>
    <t>UMT</t>
  </si>
  <si>
    <t>UMM</t>
  </si>
  <si>
    <t>UPH</t>
  </si>
  <si>
    <t>UPT</t>
  </si>
  <si>
    <t>WNS</t>
  </si>
  <si>
    <t>WNU</t>
  </si>
  <si>
    <t>UMN</t>
  </si>
  <si>
    <t>UMX</t>
  </si>
  <si>
    <t>UNU</t>
  </si>
  <si>
    <t>UPC</t>
  </si>
  <si>
    <t>UMU</t>
  </si>
  <si>
    <t>UMY</t>
  </si>
  <si>
    <t>UMP</t>
  </si>
  <si>
    <t>UPJ</t>
  </si>
  <si>
    <t>UPP</t>
  </si>
  <si>
    <t>UPX</t>
  </si>
  <si>
    <t>UPU</t>
  </si>
  <si>
    <t>UMQ</t>
  </si>
  <si>
    <t>UNV</t>
  </si>
  <si>
    <t>UPD</t>
  </si>
  <si>
    <t>UMV</t>
  </si>
  <si>
    <t>UMZ</t>
  </si>
  <si>
    <t>UMR</t>
  </si>
  <si>
    <t>UPL</t>
  </si>
  <si>
    <t>UPY</t>
  </si>
  <si>
    <t>UPV</t>
  </si>
  <si>
    <t>UQH</t>
  </si>
  <si>
    <t>UMS</t>
  </si>
  <si>
    <t>UNW</t>
  </si>
  <si>
    <t>UPF</t>
  </si>
  <si>
    <t>UMW</t>
  </si>
  <si>
    <t>UNT</t>
  </si>
  <si>
    <t>UPN</t>
  </si>
  <si>
    <t>UPZ</t>
  </si>
  <si>
    <t>UPW</t>
  </si>
  <si>
    <t>UQJ</t>
  </si>
  <si>
    <t>UPB</t>
  </si>
  <si>
    <t>UPG</t>
  </si>
  <si>
    <t>UQE</t>
  </si>
  <si>
    <t>UQD</t>
  </si>
  <si>
    <t>UQC</t>
  </si>
  <si>
    <t>UQB</t>
  </si>
  <si>
    <t>WNQ</t>
  </si>
  <si>
    <t>UQG</t>
  </si>
  <si>
    <t>WNR</t>
  </si>
  <si>
    <t>1403C010AB</t>
  </si>
  <si>
    <t>1403C034AA</t>
  </si>
  <si>
    <t>1403C035AA</t>
  </si>
  <si>
    <t>1403C036AA</t>
  </si>
  <si>
    <t>1403C038AA</t>
  </si>
  <si>
    <t>1403C039AA</t>
  </si>
  <si>
    <t>1403C041AA</t>
  </si>
  <si>
    <t>1404C002AB</t>
  </si>
  <si>
    <t>1404C031AA</t>
  </si>
  <si>
    <t>1404C032AA</t>
  </si>
  <si>
    <t>1404C033AA</t>
  </si>
  <si>
    <t>1404C035AA</t>
  </si>
  <si>
    <t>1404C036AA</t>
  </si>
  <si>
    <t>1404C038AA</t>
  </si>
  <si>
    <t>1407C002AB</t>
  </si>
  <si>
    <t>1407C025AA</t>
  </si>
  <si>
    <t>1407C027AA</t>
  </si>
  <si>
    <t>1407C028AA</t>
  </si>
  <si>
    <t>1407C030AA</t>
  </si>
  <si>
    <t>1407C031AA</t>
  </si>
  <si>
    <t>1407C032AA</t>
  </si>
  <si>
    <t>1408C002AB</t>
  </si>
  <si>
    <t>1408C026AA</t>
  </si>
  <si>
    <t>1408C028AA</t>
  </si>
  <si>
    <t>1408C029AA</t>
  </si>
  <si>
    <t>1408C031AA</t>
  </si>
  <si>
    <t>(IR-ADV 4525I EUR 230V)</t>
  </si>
  <si>
    <t>(IR-ADV 4525 100V)</t>
  </si>
  <si>
    <t>(IR-ADV 4525F 100V)</t>
  </si>
  <si>
    <t>(IR-ADV 4525I 120V)</t>
  </si>
  <si>
    <t>(IR-ADV 4525I LTN 230V)</t>
  </si>
  <si>
    <t>(IR-ADV 4525 CN 220V)</t>
  </si>
  <si>
    <t>(IR-ADV 4525 KR 220V)</t>
  </si>
  <si>
    <t>(IR-ADV 4535I EUR 230V)</t>
  </si>
  <si>
    <t>(IR-ADV 4535 100V)</t>
  </si>
  <si>
    <t>(IR-ADV 4535F 100V)</t>
  </si>
  <si>
    <t>(IR-ADV 4535I 120V)</t>
  </si>
  <si>
    <t>(IR-ADV 4535I LTN 230V)</t>
  </si>
  <si>
    <t>(IR-ADV 4535 CN 220V)</t>
  </si>
  <si>
    <t>(IR-ADV 4535 KR 220V)</t>
  </si>
  <si>
    <t>(IR-ADV 4545I EUR 230V)</t>
  </si>
  <si>
    <t>(IR-ADV 4545 100V)</t>
  </si>
  <si>
    <t>(IR-ADV 4545F 100V)</t>
  </si>
  <si>
    <t>(IR-ADV 4545I 120V)</t>
  </si>
  <si>
    <t>(IR-ADV 4545I LTN 230V)</t>
  </si>
  <si>
    <t>(IR-ADV 4545 CN 220V)</t>
  </si>
  <si>
    <t>(IR-ADV 4545 KR 220V)</t>
  </si>
  <si>
    <t>(IR-ADV 4551I EUR 230V)</t>
  </si>
  <si>
    <t>(IR-ADV 4551I 120V)</t>
  </si>
  <si>
    <t>(IR-ADV 4551I LTN 230V)</t>
  </si>
  <si>
    <t>(IR-ADV 4551 CN 220V)</t>
  </si>
  <si>
    <t>(IR-ADV 4551 KR 220V)</t>
  </si>
  <si>
    <t xml:space="preserve"> CN</t>
  </si>
  <si>
    <t>1492C006AB</t>
  </si>
  <si>
    <t>1492C036AA</t>
  </si>
  <si>
    <t>1492C038AA</t>
  </si>
  <si>
    <t>1492C040AA</t>
  </si>
  <si>
    <t>1492C041AA</t>
  </si>
  <si>
    <t>1493C006AB</t>
  </si>
  <si>
    <t>1493C036AA</t>
  </si>
  <si>
    <t>1493C037AA</t>
  </si>
  <si>
    <t>1493C038AA</t>
  </si>
  <si>
    <t>1493C040AA</t>
  </si>
  <si>
    <t>1494C006AB</t>
  </si>
  <si>
    <t>1494C033AA</t>
  </si>
  <si>
    <t>1494C034AA</t>
  </si>
  <si>
    <t>1494C036AA</t>
  </si>
  <si>
    <t>last of Jul</t>
  </si>
  <si>
    <t>แกะเครื่องประมาณ 30 นาที (Temporary)</t>
  </si>
  <si>
    <t>Platen</t>
  </si>
  <si>
    <t>Fax</t>
  </si>
  <si>
    <t>CST HEATER</t>
  </si>
  <si>
    <t>SHARP</t>
  </si>
  <si>
    <t>TRULY</t>
  </si>
  <si>
    <t>Common</t>
  </si>
  <si>
    <t xml:space="preserve"> Agency model</t>
  </si>
  <si>
    <t>ST Agency</t>
  </si>
  <si>
    <t>ST HB</t>
  </si>
  <si>
    <t>8477B002AA</t>
  </si>
  <si>
    <t>iR-ADV C3330 100V</t>
  </si>
  <si>
    <t xml:space="preserve">Reader </t>
  </si>
  <si>
    <t>JP</t>
  </si>
  <si>
    <t>0117T138</t>
  </si>
  <si>
    <t>iR-ADV C3330 100V (8477B002AA)</t>
  </si>
  <si>
    <t>FM1-N163-000</t>
  </si>
  <si>
    <t>UNIT_HB JP30B (8477B002AA)</t>
  </si>
  <si>
    <t>HB</t>
  </si>
  <si>
    <t>8477B006AA</t>
  </si>
  <si>
    <t>iR-ADV C3330 230V</t>
  </si>
  <si>
    <t>0116T505</t>
  </si>
  <si>
    <t>iR-ADV C3330 230V (8477B006AA)</t>
  </si>
  <si>
    <t>J-3541-222</t>
  </si>
  <si>
    <t>T709 ASIA30 B MODEL</t>
  </si>
  <si>
    <t>F16-4541-000</t>
  </si>
  <si>
    <t>8477B008AA</t>
  </si>
  <si>
    <t>iR-ADV C3330 CN 220V</t>
  </si>
  <si>
    <t>0116T506</t>
  </si>
  <si>
    <t>iR-ADV C3330 CN 220V (8477B008AA)</t>
  </si>
  <si>
    <t>FM1-N165-000</t>
  </si>
  <si>
    <t>UNIT_HB CN30G (8477B015AA)</t>
  </si>
  <si>
    <t>8478B006AA</t>
  </si>
  <si>
    <t>iR-ADV C3325 230V</t>
  </si>
  <si>
    <t>0116T512</t>
  </si>
  <si>
    <t>iR-ADV C3325 230V (8478B006AA)</t>
  </si>
  <si>
    <t>8478B008AA</t>
  </si>
  <si>
    <t>iR-ADV C3325 CN 220V</t>
  </si>
  <si>
    <t>0116T513</t>
  </si>
  <si>
    <t>iR-ADV C3325 CN 220V (8478B008AA)</t>
  </si>
  <si>
    <t>FM1-N166-000</t>
  </si>
  <si>
    <t>UNIT_HB CN25G (8479B015AA)</t>
  </si>
  <si>
    <t>8479B004AA</t>
  </si>
  <si>
    <t>iR-ADV C3320 EUR 230V</t>
  </si>
  <si>
    <t>F16-7691-000</t>
  </si>
  <si>
    <t>T709 EU20 B MODEL</t>
  </si>
  <si>
    <t>8479B006AA</t>
  </si>
  <si>
    <t>iR-ADV C3320 230V</t>
  </si>
  <si>
    <t>0116T515</t>
  </si>
  <si>
    <t>iR-ADV C3320 230V (8479B006AA)</t>
  </si>
  <si>
    <t>8479B008AA</t>
  </si>
  <si>
    <t>iR-ADV C3320 CN 220V</t>
  </si>
  <si>
    <t>0116T516</t>
  </si>
  <si>
    <t>iR-ADV C3320 CN 220V (8479B008AA)</t>
  </si>
  <si>
    <t>FM1-N167-000</t>
  </si>
  <si>
    <t>UNIT_HB CN20G (8478B015AA)</t>
  </si>
  <si>
    <t>8479B009AA</t>
  </si>
  <si>
    <t>iR-ADV C3320L CN 220V</t>
  </si>
  <si>
    <t>0116T517</t>
  </si>
  <si>
    <t>iR-ADV C3320L CN 220V (8479B009AA)</t>
  </si>
  <si>
    <t>0116T507</t>
  </si>
  <si>
    <t>iR-ADV C3330 TW 120V (8477B011AA)</t>
  </si>
  <si>
    <t xml:space="preserve"> TW</t>
  </si>
  <si>
    <t>8477B014AA</t>
  </si>
  <si>
    <t>iR-ADV C3330 IND 230V</t>
  </si>
  <si>
    <t>0116T508</t>
  </si>
  <si>
    <t>iR-ADV C3330 IND 230V (8477B014AA)</t>
  </si>
  <si>
    <t>8478B014AA</t>
  </si>
  <si>
    <t>iR-ADV C3325 IND 230V</t>
  </si>
  <si>
    <t>8479B014AA</t>
  </si>
  <si>
    <t>iR-ADV C3320 IND 230V</t>
  </si>
  <si>
    <t>0116T518</t>
  </si>
  <si>
    <t>iR-ADV C3320 IND 230V (8479B014AA)</t>
  </si>
  <si>
    <t>8477B001AA</t>
  </si>
  <si>
    <t>iR-ADV C3330F 100V</t>
  </si>
  <si>
    <t>Reader + ADF</t>
  </si>
  <si>
    <t>0117T139</t>
  </si>
  <si>
    <t>iR-ADV C3330F 100V (8477B001AA)</t>
  </si>
  <si>
    <t>0116T509</t>
  </si>
  <si>
    <t>J-3541-220</t>
  </si>
  <si>
    <t>T709B JP30 F MODEL</t>
  </si>
  <si>
    <t>F16-4512-000</t>
  </si>
  <si>
    <t>FM1-N161-000</t>
  </si>
  <si>
    <t>UNIT_HB JP30F (8477B001AA)</t>
  </si>
  <si>
    <t xml:space="preserve">HB </t>
  </si>
  <si>
    <t>8477B003AA</t>
  </si>
  <si>
    <t>iR-ADV C3330i EUR 230V</t>
  </si>
  <si>
    <t>0117T610</t>
  </si>
  <si>
    <t>iR-ADV C3330i EUR 230V (8477B003AA)</t>
  </si>
  <si>
    <t>0116T510</t>
  </si>
  <si>
    <t>8477B004AA</t>
  </si>
  <si>
    <t>iR-ADV C3330i 120V</t>
  </si>
  <si>
    <t>0117T611</t>
  </si>
  <si>
    <t>iR-ADV C3330i 120V (8477B004AA)</t>
  </si>
  <si>
    <t>0116T511</t>
  </si>
  <si>
    <t>J-3541-221</t>
  </si>
  <si>
    <t>T709B US30 B MODEL</t>
  </si>
  <si>
    <t>FM1-N164-000</t>
  </si>
  <si>
    <t>UNIT_HB US30G (8477B005AA)</t>
  </si>
  <si>
    <t>UL</t>
  </si>
  <si>
    <t>8477B010AA</t>
  </si>
  <si>
    <t>iR-ADV C3330 KR 220V</t>
  </si>
  <si>
    <t>8477B013AA</t>
  </si>
  <si>
    <t>iR-ADV C3330i LTN 230V</t>
  </si>
  <si>
    <t>8478B003AA</t>
  </si>
  <si>
    <t>iR-ADV C3325i EUR 230V</t>
  </si>
  <si>
    <t>0117T612</t>
  </si>
  <si>
    <t>iR-ADV C3325i EUR 230V (8478B003AA)</t>
  </si>
  <si>
    <t>8478B004AA</t>
  </si>
  <si>
    <t>iR-ADV C3325i 120V</t>
  </si>
  <si>
    <t>0117T613</t>
  </si>
  <si>
    <t>iR-ADV C3325i 120V (8478B004AA)</t>
  </si>
  <si>
    <t>0116T514</t>
  </si>
  <si>
    <t>8478B010AA</t>
  </si>
  <si>
    <t>iR-ADV C3325 KR 220V</t>
  </si>
  <si>
    <t>8478B013AA</t>
  </si>
  <si>
    <t>iR-ADV C3325i LTN 230V</t>
  </si>
  <si>
    <t>8479B001AA</t>
  </si>
  <si>
    <t>iR-ADV C3320F 100V</t>
  </si>
  <si>
    <t>0117T091</t>
  </si>
  <si>
    <t>iR-ADV C3320F 100V (8479B001AA)</t>
  </si>
  <si>
    <t>FM1-N162-000</t>
  </si>
  <si>
    <t>UNIT_HB JP20F (8479B001AA)</t>
  </si>
  <si>
    <t>8479B003AA</t>
  </si>
  <si>
    <t>iR-ADV C3320i EUR 230V</t>
  </si>
  <si>
    <t>0116T519</t>
  </si>
  <si>
    <t>8479B010AA</t>
  </si>
  <si>
    <t>iR-ADV C3320 KR 220V</t>
  </si>
  <si>
    <t>8477B011AA</t>
  </si>
  <si>
    <t>iR-ADV C3330 TW 120V</t>
  </si>
  <si>
    <t>8478B011AA</t>
  </si>
  <si>
    <t>iR-ADV C3325 TW 120V</t>
  </si>
  <si>
    <t>8479B011AA</t>
  </si>
  <si>
    <t>iR-ADV C3320 TW 120V</t>
  </si>
  <si>
    <t>F16-4594-000</t>
  </si>
  <si>
    <t>T709B EU30 i MODEL</t>
  </si>
  <si>
    <t>0128T918</t>
  </si>
  <si>
    <t>B465F 100V F</t>
  </si>
  <si>
    <t>HB Reader+ADF SU5</t>
  </si>
  <si>
    <t>1492C001BA</t>
  </si>
  <si>
    <t>0128T919</t>
  </si>
  <si>
    <t>B465F 120V I</t>
  </si>
  <si>
    <t>Reader+ADF SD3</t>
  </si>
  <si>
    <t>1492C003AA</t>
  </si>
  <si>
    <t>0128T920</t>
  </si>
  <si>
    <t>B465F EUR 230V I</t>
  </si>
  <si>
    <t>1492C006AA</t>
  </si>
  <si>
    <t>0128T921</t>
  </si>
  <si>
    <t>B465F 230V I</t>
  </si>
  <si>
    <t>0128T922</t>
  </si>
  <si>
    <t>B465E 120V I</t>
  </si>
  <si>
    <t>1493C003AA</t>
  </si>
  <si>
    <t>0128T923</t>
  </si>
  <si>
    <t>B465E EUR 230V I</t>
  </si>
  <si>
    <t>1493C006AA</t>
  </si>
  <si>
    <t>0128T924</t>
  </si>
  <si>
    <t>B465E 230V I</t>
  </si>
  <si>
    <t>0128T925</t>
  </si>
  <si>
    <t>B465E TW 120V I</t>
  </si>
  <si>
    <t>0128T926</t>
  </si>
  <si>
    <t>B465D 100V F</t>
  </si>
  <si>
    <t>1494C001BA</t>
  </si>
  <si>
    <t>0128T927</t>
  </si>
  <si>
    <t>B465D EUR 230V I</t>
  </si>
  <si>
    <t>1494C006AA</t>
  </si>
  <si>
    <t>0128T928</t>
  </si>
  <si>
    <t>1492C001AA</t>
  </si>
  <si>
    <t>IR-ADV C3530F 100V</t>
  </si>
  <si>
    <t>Reader+ADF SU5</t>
  </si>
  <si>
    <t>1492C002AA</t>
  </si>
  <si>
    <t>IR-ADV C3530 100V</t>
  </si>
  <si>
    <t>iR-ADV C3530i 120V</t>
  </si>
  <si>
    <t>1492C004AA</t>
  </si>
  <si>
    <t>IR-ADV C3530I 120V G</t>
  </si>
  <si>
    <t>1492C005AA</t>
  </si>
  <si>
    <t>IR-ADV C3530I LTN 230V</t>
  </si>
  <si>
    <t>iR-ADV C3530i EUR 230V</t>
  </si>
  <si>
    <t>iR-ADV C3530i 230V</t>
  </si>
  <si>
    <t>IR-ADV C3530 IND 230V</t>
  </si>
  <si>
    <t>1492C010AA</t>
  </si>
  <si>
    <t>IR-ADV C3530 CN 220V</t>
  </si>
  <si>
    <t>1492C011AA</t>
  </si>
  <si>
    <t>IR-ADV C3530 CN 220V G</t>
  </si>
  <si>
    <t>1492C012AA</t>
  </si>
  <si>
    <t>IR-ADV C3530 KR 220V</t>
  </si>
  <si>
    <t>IR-ADV C3530I TW 120V</t>
  </si>
  <si>
    <t>iR-ADV C3525i 120V</t>
  </si>
  <si>
    <t>1493C005AA</t>
  </si>
  <si>
    <t>IR-ADV C3525I LTN 230V</t>
  </si>
  <si>
    <t>iR-ADV C3525i EUR 230V</t>
  </si>
  <si>
    <t>iR-ADV C3525i 230V</t>
  </si>
  <si>
    <t>IR-ADV C3525 IND 230V</t>
  </si>
  <si>
    <t>1493C010AA</t>
  </si>
  <si>
    <t>IR-ADV C3525 CN 220V</t>
  </si>
  <si>
    <t>1493C011AA</t>
  </si>
  <si>
    <t>IR-ADV C3525 CN 220V G</t>
  </si>
  <si>
    <t>1493C012AA</t>
  </si>
  <si>
    <t>IR-ADV C3525 KR 220V</t>
  </si>
  <si>
    <t>iR-ADV C3525i TW 120V</t>
  </si>
  <si>
    <t>1494C001AA</t>
  </si>
  <si>
    <t>IR-ADV C3520F 100V</t>
  </si>
  <si>
    <t>iR-ADV C3520i EUR 230V</t>
  </si>
  <si>
    <t>IR-ADV C3520I 230V</t>
  </si>
  <si>
    <t>IR-ADV C3520 IND 230V</t>
  </si>
  <si>
    <t>1494C010AA</t>
  </si>
  <si>
    <t>IR-ADV C3520 CN 220V</t>
  </si>
  <si>
    <t>1494C011AA</t>
  </si>
  <si>
    <t>IR-ADV C3520 CN 220V G</t>
  </si>
  <si>
    <t>1494C012AA</t>
  </si>
  <si>
    <t>IR-ADV C3520 KR 220V</t>
  </si>
  <si>
    <t>iR-ADV C3520i TW 120V</t>
  </si>
  <si>
    <t xml:space="preserve">iR-ADV C3530F 100V </t>
  </si>
  <si>
    <t>HB Reader</t>
  </si>
  <si>
    <t>FM1-P696</t>
  </si>
  <si>
    <t>1492C002BA</t>
  </si>
  <si>
    <t>iR-ADV C3530 100V</t>
  </si>
  <si>
    <t>FM1-P698</t>
  </si>
  <si>
    <t>iR-ADV C3520F 100V</t>
  </si>
  <si>
    <t>FM1-P697</t>
  </si>
  <si>
    <t>0129T603</t>
  </si>
  <si>
    <t>B465F 100V</t>
  </si>
  <si>
    <t>1566C001AA</t>
  </si>
  <si>
    <t>iR C3020F 100V</t>
  </si>
  <si>
    <t>iR C3020 230V</t>
  </si>
  <si>
    <t>iR C3020 IND 230V</t>
  </si>
  <si>
    <t>1566C013AA</t>
  </si>
  <si>
    <t>iR C3020 TW 120V</t>
  </si>
  <si>
    <t>iR C3025i LTN 120V</t>
  </si>
  <si>
    <t>FM1-P698-000</t>
  </si>
  <si>
    <t>UNIT DHB JP30B</t>
  </si>
  <si>
    <t>D HB</t>
  </si>
  <si>
    <t>FM1-P700-000</t>
  </si>
  <si>
    <t>UNIT DHB CN30G</t>
  </si>
  <si>
    <t>FM1-P701-000</t>
  </si>
  <si>
    <t>UNIT DHB CN25G</t>
  </si>
  <si>
    <t>FM1-P702-000</t>
  </si>
  <si>
    <t>UNIT DHB CN20G</t>
  </si>
  <si>
    <t>iR C3025i EUR 230V</t>
  </si>
  <si>
    <t>UNIT DHB US30G</t>
  </si>
  <si>
    <t>FM1-P696-000</t>
  </si>
  <si>
    <t>UNIT DHB JP30F</t>
  </si>
  <si>
    <t>FM1-P697-000</t>
  </si>
  <si>
    <t>UNIT DHB JP20F</t>
  </si>
  <si>
    <t>iR C3020 CN 220V</t>
  </si>
  <si>
    <t>1566C012AA</t>
  </si>
  <si>
    <t>iR C3020 KR 220V</t>
  </si>
  <si>
    <t>iR C3025i LTN 230V</t>
  </si>
  <si>
    <t>1567C006AA</t>
  </si>
  <si>
    <t>iR C3025 EUR 230V</t>
  </si>
  <si>
    <t>0129T677</t>
  </si>
  <si>
    <t>B465C 230V</t>
  </si>
  <si>
    <t>C</t>
  </si>
  <si>
    <t>0129T678</t>
  </si>
  <si>
    <t xml:space="preserve">B465C IND 230V </t>
  </si>
  <si>
    <t xml:space="preserve">1566C009AA </t>
  </si>
  <si>
    <t>0129T679</t>
  </si>
  <si>
    <t>B465C TW 120V</t>
  </si>
  <si>
    <t xml:space="preserve">1566C013AA </t>
  </si>
  <si>
    <t>0129T680</t>
  </si>
  <si>
    <t xml:space="preserve">B465C 100V F </t>
  </si>
  <si>
    <t>0129T681</t>
  </si>
  <si>
    <t xml:space="preserve">B465P LTN 120V </t>
  </si>
  <si>
    <t>0129T682</t>
  </si>
  <si>
    <t>B465P EUR 230V PLATEN</t>
  </si>
  <si>
    <t>0129T683</t>
  </si>
  <si>
    <t xml:space="preserve">B465P EUR 230V DADF </t>
  </si>
  <si>
    <t>0131T143</t>
  </si>
  <si>
    <t>B465P EUR 230V DADF</t>
  </si>
  <si>
    <t>(IR-ADV C3530I EUR 230V)</t>
  </si>
  <si>
    <t>(IR-ADV C3530F 100V)</t>
  </si>
  <si>
    <r>
      <rPr>
        <sz val="14"/>
        <rFont val="Calibri"/>
        <family val="2"/>
      </rPr>
      <t>D</t>
    </r>
    <r>
      <rPr>
        <sz val="9.8000000000000007"/>
        <rFont val="Calibri"/>
        <family val="2"/>
      </rPr>
      <t>2</t>
    </r>
  </si>
  <si>
    <t>1492C037AA</t>
  </si>
  <si>
    <t>(IR-ADV C3530 100V)</t>
  </si>
  <si>
    <t>(IR-ADV C3530I 120V)</t>
  </si>
  <si>
    <t>(IR-ADV C3530I LTN 230V)</t>
  </si>
  <si>
    <t>(IR-ADV C3530 CN 220V)</t>
  </si>
  <si>
    <t>1492C043AA</t>
  </si>
  <si>
    <t>(IR-ADV C3530 KR 220V)</t>
  </si>
  <si>
    <t>(IR-ADV C3525I EUR 230V)</t>
  </si>
  <si>
    <t>(IR-ADV C3525I 120V)</t>
  </si>
  <si>
    <t>(IR-ADV C3525I LTN 230V)</t>
  </si>
  <si>
    <t>(IR-ADV C3525 CN 220V)</t>
  </si>
  <si>
    <t>(IR-ADV C3525 KR 220V)</t>
  </si>
  <si>
    <t>(IR-ADV C3520I EUR 230V)</t>
  </si>
  <si>
    <t>(IR-ADV C3520F 100V)</t>
  </si>
  <si>
    <t>(IR-ADV C3520 CN 220V)</t>
  </si>
  <si>
    <t>(IR-ADV C3520 KR 220V)</t>
  </si>
  <si>
    <t>UNIT_DHB US30G</t>
  </si>
  <si>
    <t>iR-ADV C3530i LTN 230V</t>
  </si>
  <si>
    <t>iR-ADV C3530 KR 220V</t>
  </si>
  <si>
    <t>iR-ADV C3525i LTN 230V</t>
  </si>
  <si>
    <t>iR-ADV C3525 KR 220V</t>
  </si>
  <si>
    <t>iR-ADV C3520 KR 220V</t>
  </si>
  <si>
    <t>X2</t>
  </si>
  <si>
    <t>X1</t>
  </si>
  <si>
    <t>3278C001AA</t>
  </si>
  <si>
    <t>IR-ADV C3530F 100V 3</t>
  </si>
  <si>
    <t>3278C002AA</t>
  </si>
  <si>
    <t>IR-ADV C3530I 120V 3</t>
  </si>
  <si>
    <t>3278C004AA</t>
  </si>
  <si>
    <t>IR-ADV C3530I LT230V 3</t>
  </si>
  <si>
    <t>3278C005AA</t>
  </si>
  <si>
    <t>IR-ADV C3530I EU230V 3</t>
  </si>
  <si>
    <t>3278C006AA</t>
  </si>
  <si>
    <t>IR-ADV C3530I 230V 3</t>
  </si>
  <si>
    <t>3279C002AA</t>
  </si>
  <si>
    <t>IR-ADV C3525I 120V 3</t>
  </si>
  <si>
    <t>3279C004AA</t>
  </si>
  <si>
    <t>IR-ADV C3525I LT230V 3</t>
  </si>
  <si>
    <t>3279C005AA</t>
  </si>
  <si>
    <t>IR-ADV C3525I EU230V 3</t>
  </si>
  <si>
    <t>3279C006AA</t>
  </si>
  <si>
    <t>IR-ADV C3525I 230V 3</t>
  </si>
  <si>
    <t>3280C001AA</t>
  </si>
  <si>
    <t>IR-ADV C3520F 100V 3</t>
  </si>
  <si>
    <t>3280C005AA</t>
  </si>
  <si>
    <t>IR-ADV C3520I EU230V 3</t>
  </si>
  <si>
    <t>3280C006AA</t>
  </si>
  <si>
    <t>IR-ADV C3520I 230V 3</t>
  </si>
  <si>
    <t>3303C001AA</t>
  </si>
  <si>
    <t>SP DADF-B1 A</t>
  </si>
  <si>
    <t>3303C002AA</t>
  </si>
  <si>
    <t>SP DADF-B1 INCH/AB/K</t>
  </si>
  <si>
    <t>3303C003AA</t>
  </si>
  <si>
    <t>SP DADF-B1 AB</t>
  </si>
  <si>
    <t>3284C001AA</t>
  </si>
  <si>
    <t>SUPER G3 FAX BD-AZ1 US</t>
  </si>
  <si>
    <t>3284C002AA</t>
  </si>
  <si>
    <t>SUPER G3 FAX BD-AZ1 EU</t>
  </si>
  <si>
    <t>3284C003AA</t>
  </si>
  <si>
    <t>SUPER G3 FAX BD-AZ1 AS</t>
  </si>
  <si>
    <t>1566C012AB</t>
  </si>
  <si>
    <t>FM1-V051-000</t>
  </si>
  <si>
    <t>UNIT_RHB_US30G</t>
  </si>
  <si>
    <t>3278C010AA</t>
  </si>
  <si>
    <t>iR-ADV C3530i III TW120V</t>
  </si>
  <si>
    <t>3279C008AA</t>
  </si>
  <si>
    <t>iR-ADV C3525 III CN 220V</t>
  </si>
  <si>
    <t>3279C009AA</t>
  </si>
  <si>
    <t>iR-ADV C3525 III KR 220V</t>
  </si>
  <si>
    <t>3279C010AA</t>
  </si>
  <si>
    <t>iR-ADV C3525i III TW120V</t>
  </si>
  <si>
    <t>3278C008AA</t>
  </si>
  <si>
    <t>iR-ADV C3530 III CN 220V</t>
  </si>
  <si>
    <t>3278C009AA</t>
  </si>
  <si>
    <t>iR-ADV C3530 III KR 220V</t>
  </si>
  <si>
    <t>3280C008AA</t>
  </si>
  <si>
    <t>iR-ADV C3520 III CN 220V</t>
  </si>
  <si>
    <t>3280C009AA</t>
  </si>
  <si>
    <t>iR-ADV C3520 III KR 220V</t>
  </si>
  <si>
    <t>3280C010AA</t>
  </si>
  <si>
    <t>iR-ADV C3520i III TW120V</t>
  </si>
  <si>
    <t>3278C007AA</t>
  </si>
  <si>
    <t>iR-ADV C3530 III IND230V</t>
  </si>
  <si>
    <t>3279C007AA</t>
  </si>
  <si>
    <t>iR-ADV C3525 III IND230V</t>
  </si>
  <si>
    <t>3280C007AA</t>
  </si>
  <si>
    <t>iR-ADV C3520 III IND230V</t>
  </si>
  <si>
    <t>Gra/tal</t>
  </si>
  <si>
    <t>X3</t>
  </si>
  <si>
    <t>X4</t>
  </si>
  <si>
    <t>3856C001AA</t>
  </si>
  <si>
    <t>iR-ADV C3730F 100V</t>
  </si>
  <si>
    <t>3653C003AA</t>
  </si>
  <si>
    <t>iR C3125i LTN 120V</t>
  </si>
  <si>
    <t>3653C005AA</t>
  </si>
  <si>
    <t>iR C3125i EUR 230V</t>
  </si>
  <si>
    <t>1633C011AA</t>
  </si>
  <si>
    <t>3856C004AA</t>
  </si>
  <si>
    <t>iR-ADV C3730i LTN 230V</t>
  </si>
  <si>
    <t>3856C005AA</t>
  </si>
  <si>
    <t>iR-ADV C3730i EUR 230V</t>
  </si>
  <si>
    <t>3856C006AA</t>
  </si>
  <si>
    <t>iR-ADV C3730i 230V</t>
  </si>
  <si>
    <t>3856C012AA</t>
  </si>
  <si>
    <t>iR-ADV C3730i AU 230V</t>
  </si>
  <si>
    <t>3857C004AA</t>
  </si>
  <si>
    <t>iR-ADV C3725i LTN 230V</t>
  </si>
  <si>
    <t>3857C005AA</t>
  </si>
  <si>
    <t>iR-ADV C3725i EUR 230V</t>
  </si>
  <si>
    <t>3857C006AA</t>
  </si>
  <si>
    <t>iR-ADV C3725i 230V</t>
  </si>
  <si>
    <t>3858C001AA</t>
  </si>
  <si>
    <t>iR-ADV C3720F 100V</t>
  </si>
  <si>
    <t>3858C005AA</t>
  </si>
  <si>
    <t>iR-ADV C3720i EUR 230V</t>
  </si>
  <si>
    <t>3858C006AA</t>
  </si>
  <si>
    <t>iR-ADV C3720i 230V</t>
  </si>
  <si>
    <t>3858C012AA</t>
  </si>
  <si>
    <t>iR-ADV C3720i AU 230V</t>
  </si>
  <si>
    <t>FM1-W620-000</t>
  </si>
  <si>
    <t>UNIT_JHB_US30G</t>
  </si>
  <si>
    <t>3652C007AA</t>
  </si>
  <si>
    <t>iR C3120 IND 230V</t>
  </si>
  <si>
    <t>3652C008AA</t>
  </si>
  <si>
    <t>iR C3120 CN 220V</t>
  </si>
  <si>
    <t>3652C010AA</t>
  </si>
  <si>
    <t>iR C3120 TW 120V</t>
  </si>
  <si>
    <t>3653C004AA</t>
  </si>
  <si>
    <t>iR C3125i LTN 230V</t>
  </si>
  <si>
    <t>3653C008AA</t>
  </si>
  <si>
    <t>iR C3125 CN 220V</t>
  </si>
  <si>
    <t>3653C009AA</t>
  </si>
  <si>
    <t>iR C3125 KR 220V</t>
  </si>
  <si>
    <t>3860C008AA</t>
  </si>
  <si>
    <t>iR C3120L CN 220V</t>
  </si>
  <si>
    <t>3856C002AA</t>
  </si>
  <si>
    <t>iR-ADV C3730i 120V</t>
  </si>
  <si>
    <t>3857C002AA</t>
  </si>
  <si>
    <t>iR-ADV C3725i 120V</t>
  </si>
  <si>
    <t xml:space="preserve">0146T035 </t>
  </si>
  <si>
    <t>0146T037</t>
  </si>
  <si>
    <t>0146T031</t>
  </si>
  <si>
    <t xml:space="preserve">0146T036 </t>
  </si>
  <si>
    <t>0146T032</t>
  </si>
  <si>
    <t>0146T033</t>
  </si>
  <si>
    <t>0146T039</t>
  </si>
  <si>
    <t xml:space="preserve">0146T038 </t>
  </si>
  <si>
    <t>0146T030</t>
  </si>
  <si>
    <t>0146T040</t>
  </si>
  <si>
    <t>0146T034</t>
  </si>
  <si>
    <t xml:space="preserve">0146T108 </t>
  </si>
  <si>
    <t>0146T107</t>
  </si>
  <si>
    <t>0146T027</t>
  </si>
  <si>
    <t>0146T024</t>
  </si>
  <si>
    <t>0146T018</t>
  </si>
  <si>
    <t>0146T019</t>
  </si>
  <si>
    <t>0146T020</t>
  </si>
  <si>
    <t>0146T021</t>
  </si>
  <si>
    <t>0146T022</t>
  </si>
  <si>
    <t>3856C008AA</t>
  </si>
  <si>
    <t>3857C009AA</t>
  </si>
  <si>
    <t>3858C010AA</t>
  </si>
  <si>
    <t>3857C008AA</t>
  </si>
  <si>
    <t>3857C010AA</t>
  </si>
  <si>
    <t>3858C009AA</t>
  </si>
  <si>
    <t>3856C010AA</t>
  </si>
  <si>
    <t>3857C007AA</t>
  </si>
  <si>
    <t>3856C009AA</t>
  </si>
  <si>
    <t>3858C007AA</t>
  </si>
  <si>
    <t>3856C007AA</t>
  </si>
  <si>
    <t>3858C008AA</t>
  </si>
  <si>
    <t xml:space="preserve">0146T910 </t>
  </si>
  <si>
    <t>0146T839</t>
  </si>
  <si>
    <t>0146T840</t>
  </si>
  <si>
    <t>0146T841</t>
  </si>
  <si>
    <t>0146T842</t>
  </si>
  <si>
    <t>0146T843</t>
  </si>
  <si>
    <t>0146T844</t>
  </si>
  <si>
    <t>0146T925</t>
  </si>
  <si>
    <t>0146T924</t>
  </si>
  <si>
    <t xml:space="preserve">0146T926 </t>
  </si>
  <si>
    <t>iR-ADV C3730 CN 220V</t>
  </si>
  <si>
    <t>iR-ADV C3725 KR 220V</t>
  </si>
  <si>
    <t>iR-ADV C3720i TW 120V</t>
  </si>
  <si>
    <t>iR-ADV C3725 CN 220V</t>
  </si>
  <si>
    <t>iR-ADV C3725i TW 120V</t>
  </si>
  <si>
    <t>iR-ADV C3720 KR 220V</t>
  </si>
  <si>
    <t>iR-ADV C3730i TW 120V</t>
  </si>
  <si>
    <t>iR-ADV C3725 IND 230V</t>
  </si>
  <si>
    <t>iR-ADV C3730 KR 220V</t>
  </si>
  <si>
    <t>iR-ADV C3720 IND 230V</t>
  </si>
  <si>
    <t>iR-ADV C3730 IND 230V</t>
  </si>
  <si>
    <t>iR-ADV C3720 CN 220V</t>
  </si>
  <si>
    <t>iR C3120 230V</t>
  </si>
  <si>
    <t>1633C012AA</t>
  </si>
  <si>
    <t>3652C006AA</t>
  </si>
  <si>
    <t>SD5</t>
  </si>
  <si>
    <t>3856C019AA</t>
  </si>
  <si>
    <t>55C1</t>
  </si>
  <si>
    <t>FCN</t>
  </si>
  <si>
    <t>0166C007CA</t>
  </si>
  <si>
    <t>1633C006AA</t>
  </si>
  <si>
    <t>1633C007AA</t>
  </si>
  <si>
    <t>1633C009AA</t>
  </si>
  <si>
    <t>1633C010AA</t>
  </si>
  <si>
    <t>3284C004AA</t>
  </si>
  <si>
    <t>3284C005AA</t>
  </si>
  <si>
    <t>4378C005BA</t>
  </si>
  <si>
    <t>FCQ</t>
  </si>
  <si>
    <t>1428C002AA</t>
  </si>
  <si>
    <t>3813C001AA</t>
  </si>
  <si>
    <t>FCS</t>
  </si>
  <si>
    <t>8952B001AA</t>
  </si>
  <si>
    <t>FCA</t>
  </si>
  <si>
    <t>FCB</t>
  </si>
  <si>
    <t>FM2-B125-000</t>
  </si>
  <si>
    <t>FCC</t>
  </si>
  <si>
    <t>FCZ</t>
  </si>
  <si>
    <t>8528B001AA</t>
  </si>
  <si>
    <t>8528B003AA</t>
  </si>
  <si>
    <t>8528B004AA</t>
  </si>
  <si>
    <t>FCA440463856C012AA</t>
  </si>
  <si>
    <t>FCA440463857C005AA</t>
  </si>
  <si>
    <t>FCA440463858C005AA</t>
  </si>
  <si>
    <t>FCA440463858C012AA</t>
  </si>
  <si>
    <t>FCA44046FM1-W620-000</t>
  </si>
  <si>
    <t>FCA440473856C012AA</t>
  </si>
  <si>
    <t>FCA440473857C005AA</t>
  </si>
  <si>
    <t>FCA440473858C005AA</t>
  </si>
  <si>
    <t>FCA440473858C012AA</t>
  </si>
  <si>
    <t>FCA440483856C002AA</t>
  </si>
  <si>
    <t>FCA440483856C005AA</t>
  </si>
  <si>
    <t>FCA440483856C012AA</t>
  </si>
  <si>
    <t>FCA440483857C005AA</t>
  </si>
  <si>
    <t>FCA440483857C006AA</t>
  </si>
  <si>
    <t>FCA440483857C008AA</t>
  </si>
  <si>
    <t>FCA440483857C009AA</t>
  </si>
  <si>
    <t>FCA440483858C005AA</t>
  </si>
  <si>
    <t>FCA440483858C012AA</t>
  </si>
  <si>
    <t>FCA440493856C002AA</t>
  </si>
  <si>
    <t>FCA440493856C005AA</t>
  </si>
  <si>
    <t>FCA440493856C012AA</t>
  </si>
  <si>
    <t>FCA440493857C002AA</t>
  </si>
  <si>
    <t>FCA440493857C005AA</t>
  </si>
  <si>
    <t>FCA440493857C009AA</t>
  </si>
  <si>
    <t>FCA440493858C005AA</t>
  </si>
  <si>
    <t>FCA440503856C002AA</t>
  </si>
  <si>
    <t>FCA440503856C005AA</t>
  </si>
  <si>
    <t>FCA440503857C002AA</t>
  </si>
  <si>
    <t>FCA440503857C005AA</t>
  </si>
  <si>
    <t>FCA440513856C002AA</t>
  </si>
  <si>
    <t>FCA440513856C005AA</t>
  </si>
  <si>
    <t>FCA440513857C002AA</t>
  </si>
  <si>
    <t>FCA440513857C005AA</t>
  </si>
  <si>
    <t>FCA440513858C001AA</t>
  </si>
  <si>
    <t>FCA44051FM1-W620-000</t>
  </si>
  <si>
    <t>FCA440533856C005AA</t>
  </si>
  <si>
    <t>FCA440533857C005AA</t>
  </si>
  <si>
    <t>FCA440533857C006AA</t>
  </si>
  <si>
    <t>FCA440533857C008AA</t>
  </si>
  <si>
    <t>FCA440533858C001AA</t>
  </si>
  <si>
    <t>FCA440533858C005AA</t>
  </si>
  <si>
    <t>FCA440543856C005AA</t>
  </si>
  <si>
    <t>FCA440543856C012AA</t>
  </si>
  <si>
    <t>FCA440543857C005AA</t>
  </si>
  <si>
    <t>FCA440603856C012AA</t>
  </si>
  <si>
    <t>FCA440603857C005AA</t>
  </si>
  <si>
    <t>FCA440603858C012AA</t>
  </si>
  <si>
    <t>FCA44060FM1-W620-000</t>
  </si>
  <si>
    <t>FCA440613856C002AA</t>
  </si>
  <si>
    <t>FCA440613856C012AA</t>
  </si>
  <si>
    <t>FCA440613857C005AA</t>
  </si>
  <si>
    <t>FCA440613857C010AA</t>
  </si>
  <si>
    <t>FCA440623856C002AA</t>
  </si>
  <si>
    <t>FCA440623856C012AA</t>
  </si>
  <si>
    <t>FCA440623856C019AA</t>
  </si>
  <si>
    <t>FCA440623857C008AA</t>
  </si>
  <si>
    <t>FCA440623858C001AA</t>
  </si>
  <si>
    <t>FCA440633856C002AA</t>
  </si>
  <si>
    <t>FCA440633857C002AA</t>
  </si>
  <si>
    <t>FCA440633857C005AA</t>
  </si>
  <si>
    <t>FCA440643856C002AA</t>
  </si>
  <si>
    <t>FCA440643857C002AA</t>
  </si>
  <si>
    <t>FCA440643857C005AA</t>
  </si>
  <si>
    <t>FCA440643857C009AA</t>
  </si>
  <si>
    <t>FCA440653856C012AA</t>
  </si>
  <si>
    <t>FCA440653857C002AA</t>
  </si>
  <si>
    <t>FCA440653857C005AA</t>
  </si>
  <si>
    <t>FCA440673856C002AA</t>
  </si>
  <si>
    <t>FCA440673856C005AA</t>
  </si>
  <si>
    <t>FCA440673856C012AA</t>
  </si>
  <si>
    <t>FCA440673858C001AA</t>
  </si>
  <si>
    <t>FCA440673858C012AA</t>
  </si>
  <si>
    <t>FCA440683856C002AA</t>
  </si>
  <si>
    <t>FCA440683856C005AA</t>
  </si>
  <si>
    <t>FCA440683856C012AA</t>
  </si>
  <si>
    <t>FCA440683858C001AA</t>
  </si>
  <si>
    <t>FCA440683858C012AA</t>
  </si>
  <si>
    <t>FCA440693856C002AA</t>
  </si>
  <si>
    <t>FCA440693856C005AA</t>
  </si>
  <si>
    <t>FCA440693856C019AA</t>
  </si>
  <si>
    <t>FCA440693857C002AA</t>
  </si>
  <si>
    <t>FCA440693857C010AA</t>
  </si>
  <si>
    <t>FCA440693858C001AA</t>
  </si>
  <si>
    <t>FCA440703856C005AA</t>
  </si>
  <si>
    <t>FCA440703856C019AA</t>
  </si>
  <si>
    <t>FCA440703857C002AA</t>
  </si>
  <si>
    <t>FCA440713856C019AA</t>
  </si>
  <si>
    <t>FCA440713857C002AA</t>
  </si>
  <si>
    <t>FCA440713858C001AA</t>
  </si>
  <si>
    <t>FCA440723856C019AA</t>
  </si>
  <si>
    <t>FCA440723858C001AA</t>
  </si>
  <si>
    <t>FCB440463653C008AA</t>
  </si>
  <si>
    <t>FCB440463860C008AA</t>
  </si>
  <si>
    <t>FCB44046FM2-B125-000</t>
  </si>
  <si>
    <t>FCB440473653C008AA</t>
  </si>
  <si>
    <t>FCB440473856C005AA</t>
  </si>
  <si>
    <t>FCB440473860C008AA</t>
  </si>
  <si>
    <t>FCB44047FM2-B125-000</t>
  </si>
  <si>
    <t>FCB440483653C008AA</t>
  </si>
  <si>
    <t>FCB440483856C005AA</t>
  </si>
  <si>
    <t>FCB440483860C008AA</t>
  </si>
  <si>
    <t>FCB44048FM2-B125-000</t>
  </si>
  <si>
    <t>FCB440493653C005AA</t>
  </si>
  <si>
    <t>FCB440493653C008AA</t>
  </si>
  <si>
    <t>FCB440493856C005AA</t>
  </si>
  <si>
    <t>FCB440493860C008AA</t>
  </si>
  <si>
    <t>FCB44049FM2-B125-000</t>
  </si>
  <si>
    <t>FCB440503653C005AA</t>
  </si>
  <si>
    <t>FCB440503856C005AA</t>
  </si>
  <si>
    <t>FCB440503860C008AA</t>
  </si>
  <si>
    <t>FCB44050FM2-B125-000</t>
  </si>
  <si>
    <t>FCB440513653C005AA</t>
  </si>
  <si>
    <t>FCB440513856C005AA</t>
  </si>
  <si>
    <t>FCB440513858C005AA</t>
  </si>
  <si>
    <t>FCB440513860C008AA</t>
  </si>
  <si>
    <t>FCB44051FM2-B125-000</t>
  </si>
  <si>
    <t>FCB440533653C005AA</t>
  </si>
  <si>
    <t>FCB440533653C008AA</t>
  </si>
  <si>
    <t>FCB440533857C005AA</t>
  </si>
  <si>
    <t>FCB440533858C005AA</t>
  </si>
  <si>
    <t>FCB440533860C008AA</t>
  </si>
  <si>
    <t>FCB44053FM2-B125-000</t>
  </si>
  <si>
    <t>FCB440543653C005AA</t>
  </si>
  <si>
    <t>FCB440543653C008AA</t>
  </si>
  <si>
    <t>FCB440543857C005AA</t>
  </si>
  <si>
    <t>FCB440543860C008AA</t>
  </si>
  <si>
    <t>FCB44054FM2-B125-000</t>
  </si>
  <si>
    <t>FCB440603653C005AA</t>
  </si>
  <si>
    <t>FCB440603858C005AA</t>
  </si>
  <si>
    <t>FCB440603860C008AA</t>
  </si>
  <si>
    <t>FCB44060FM2-B125-000</t>
  </si>
  <si>
    <t>FCB440613653C005AA</t>
  </si>
  <si>
    <t>FCB440613653C008AA</t>
  </si>
  <si>
    <t>FCB440613653C009AA</t>
  </si>
  <si>
    <t>FCB440613858C005AA</t>
  </si>
  <si>
    <t>FCB440613860C008AA</t>
  </si>
  <si>
    <t>FCB44061FM2-B125-000</t>
  </si>
  <si>
    <t>FCB440623653C005AA</t>
  </si>
  <si>
    <t>FCB440623653C008AA</t>
  </si>
  <si>
    <t>FCB440623858C005AA</t>
  </si>
  <si>
    <t>FCB440623860C008AA</t>
  </si>
  <si>
    <t>FCB44062FM2-B125-000</t>
  </si>
  <si>
    <t>FCB440633653C003AA</t>
  </si>
  <si>
    <t>FCB440633653C008AA</t>
  </si>
  <si>
    <t>FCB440633858C005AA</t>
  </si>
  <si>
    <t>FCB440633860C008AA</t>
  </si>
  <si>
    <t>FCB44063FM2-B125-000</t>
  </si>
  <si>
    <t>FCB440643653C008AA</t>
  </si>
  <si>
    <t>FCB440643860C008AA</t>
  </si>
  <si>
    <t>FCB44064FM2-B125-000</t>
  </si>
  <si>
    <t>FCB440653653C008AA</t>
  </si>
  <si>
    <t>FCB440653858C005AA</t>
  </si>
  <si>
    <t>FCB440653860C008AA</t>
  </si>
  <si>
    <t>FCB44065FM2-B125-000</t>
  </si>
  <si>
    <t>FCB440673653C005AA</t>
  </si>
  <si>
    <t>FCB440673857C005AA</t>
  </si>
  <si>
    <t>FCB440673858C005AA</t>
  </si>
  <si>
    <t>FCB440673860C008AA</t>
  </si>
  <si>
    <t>FCB44067FM2-B125-000</t>
  </si>
  <si>
    <t>FCB440683653C005AA</t>
  </si>
  <si>
    <t>FCB440683653C008AA</t>
  </si>
  <si>
    <t>FCB440683857C005AA</t>
  </si>
  <si>
    <t>FCB440683858C005AA</t>
  </si>
  <si>
    <t>FCB440683860C008AA</t>
  </si>
  <si>
    <t>FCB44068FM2-B125-000</t>
  </si>
  <si>
    <t>FCB440693653C005AA</t>
  </si>
  <si>
    <t>FCB440693653C008AA</t>
  </si>
  <si>
    <t>FCB440693857C005AA</t>
  </si>
  <si>
    <t>FCB440693858C005AA</t>
  </si>
  <si>
    <t>FCB440693860C008AA</t>
  </si>
  <si>
    <t>FCB44069FM2-B125-000</t>
  </si>
  <si>
    <t>FCB440703653C005AA</t>
  </si>
  <si>
    <t>FCB440703653C009AA</t>
  </si>
  <si>
    <t>FCB440703858C005AA</t>
  </si>
  <si>
    <t>FCB440703860C008AA</t>
  </si>
  <si>
    <t>FCB44070FM2-B125-000</t>
  </si>
  <si>
    <t>FCB440713653C008AA</t>
  </si>
  <si>
    <t>FCB440713653C009AA</t>
  </si>
  <si>
    <t>FCB440713857C005AA</t>
  </si>
  <si>
    <t>FCB440713860C008AA</t>
  </si>
  <si>
    <t>FCB44071FM2-B125-000</t>
  </si>
  <si>
    <t>FCB440723653C008AA</t>
  </si>
  <si>
    <t>FCB440723857C005AA</t>
  </si>
  <si>
    <t>FCB440723858C005AA</t>
  </si>
  <si>
    <t>FCB440723860C008AA</t>
  </si>
  <si>
    <t>FCC440463856C005AA</t>
  </si>
  <si>
    <t>FCC440463856C006AA</t>
  </si>
  <si>
    <t>FCC440463857C005AA</t>
  </si>
  <si>
    <t>FCC440463858C005AA</t>
  </si>
  <si>
    <t>FCC440473856C005AA</t>
  </si>
  <si>
    <t>FCC440473856C008AA</t>
  </si>
  <si>
    <t>FCC440473857C005AA</t>
  </si>
  <si>
    <t>FCC440473858C005AA</t>
  </si>
  <si>
    <t>FCC440483856C005AA</t>
  </si>
  <si>
    <t>FCC440483856C008AA</t>
  </si>
  <si>
    <t>FCC440483857C005AA</t>
  </si>
  <si>
    <t>FCC440483858C008AA</t>
  </si>
  <si>
    <t>FCC440493856C005AA</t>
  </si>
  <si>
    <t>FCC440493857C005AA</t>
  </si>
  <si>
    <t>FCC440493858C006AA</t>
  </si>
  <si>
    <t>FCC440503856C005AA</t>
  </si>
  <si>
    <t>FCC440503857C005AA</t>
  </si>
  <si>
    <t>FCC440513856C001AA</t>
  </si>
  <si>
    <t>FCC440513856C005AA</t>
  </si>
  <si>
    <t>FCC440513857C005AA</t>
  </si>
  <si>
    <t>FCC440513858C005AA</t>
  </si>
  <si>
    <t>FCC440533856C001AA</t>
  </si>
  <si>
    <t>FCC440533856C005AA</t>
  </si>
  <si>
    <t>FCC440533856C006AA</t>
  </si>
  <si>
    <t>FCC440533856C008AA</t>
  </si>
  <si>
    <t>FCC440533857C005AA</t>
  </si>
  <si>
    <t>FCC440533858C006AA</t>
  </si>
  <si>
    <t>FCC440543856C005AA</t>
  </si>
  <si>
    <t>FCC440543857C005AA</t>
  </si>
  <si>
    <t>FCC440603856C001AA</t>
  </si>
  <si>
    <t>FCC440603856C005AA</t>
  </si>
  <si>
    <t>FCC440613856C001AA</t>
  </si>
  <si>
    <t>FCC440613856C005AA</t>
  </si>
  <si>
    <t>FCC440613858C006AA</t>
  </si>
  <si>
    <t>FCC440613858C008AA</t>
  </si>
  <si>
    <t>FCC440623856C001AA</t>
  </si>
  <si>
    <t>FCC440623856C008AA</t>
  </si>
  <si>
    <t>FCC440623856C009AA</t>
  </si>
  <si>
    <t>FCC440623857C005AA</t>
  </si>
  <si>
    <t>FCC440623858C008AA</t>
  </si>
  <si>
    <t>FCC440623858C010AA</t>
  </si>
  <si>
    <t>FCC440633856C001AA</t>
  </si>
  <si>
    <t>FCC440633856C005AA</t>
  </si>
  <si>
    <t>FCC440633856C006AA</t>
  </si>
  <si>
    <t>FCC440633857C005AA</t>
  </si>
  <si>
    <t>FCC440643856C001AA</t>
  </si>
  <si>
    <t>FCC440643856C005AA</t>
  </si>
  <si>
    <t>FCC440653856C001AA</t>
  </si>
  <si>
    <t>FCC440653856C005AA</t>
  </si>
  <si>
    <t>FCC440653856C009AA</t>
  </si>
  <si>
    <t>FCC440653857C005AA</t>
  </si>
  <si>
    <t>FCC440673856C008AA</t>
  </si>
  <si>
    <t>FCC440673857C005AA</t>
  </si>
  <si>
    <t>FCC440673857C009AA</t>
  </si>
  <si>
    <t>FCC440673858C001AA</t>
  </si>
  <si>
    <t>FCC440673858C009AA</t>
  </si>
  <si>
    <t>FCC440683856C001AA</t>
  </si>
  <si>
    <t>FCC440683857C005AA</t>
  </si>
  <si>
    <t>FCC440683857C009AA</t>
  </si>
  <si>
    <t>FCC440683858C001AA</t>
  </si>
  <si>
    <t>FCC440693856C006AA</t>
  </si>
  <si>
    <t>FCC440693857C005AA</t>
  </si>
  <si>
    <t>FCC440693857C006AA</t>
  </si>
  <si>
    <t>FCC440693857C009AA</t>
  </si>
  <si>
    <t>FCC440693858C001AA</t>
  </si>
  <si>
    <t>FCC440703856C006AA</t>
  </si>
  <si>
    <t>FCC440703857C006AA</t>
  </si>
  <si>
    <t>FCC440703857C009AA</t>
  </si>
  <si>
    <t>FCC440703858C001AA</t>
  </si>
  <si>
    <t>FCC440703858C006AA</t>
  </si>
  <si>
    <t>FCC440713856C005AA</t>
  </si>
  <si>
    <t>FCC440713857C006AA</t>
  </si>
  <si>
    <t>FCC440713858C001AA</t>
  </si>
  <si>
    <t>FCC440713858C006AA</t>
  </si>
  <si>
    <t>FCC440723856C005AA</t>
  </si>
  <si>
    <t>FCC440723857C005AA</t>
  </si>
  <si>
    <t>FCC440723858C001AA</t>
  </si>
  <si>
    <t>FCC440723858C006AA</t>
  </si>
  <si>
    <t>FCN440460166C007CA</t>
  </si>
  <si>
    <t>FCN440470166C007CA</t>
  </si>
  <si>
    <t>FCN440480166C007CA</t>
  </si>
  <si>
    <t>FCN440490166C007CA</t>
  </si>
  <si>
    <t>FCN440491633C010AA</t>
  </si>
  <si>
    <t>FCN440491633C012AA</t>
  </si>
  <si>
    <t>FCN440493284C001AA</t>
  </si>
  <si>
    <t>FCN440493284C002AA</t>
  </si>
  <si>
    <t>FCN440493284C003AA</t>
  </si>
  <si>
    <t>FCN440503284C003AA</t>
  </si>
  <si>
    <t>FCN440504378C005BA</t>
  </si>
  <si>
    <t>FCN440514378C005BA</t>
  </si>
  <si>
    <t>FCN440530166C007CA</t>
  </si>
  <si>
    <t>FCN440531633C007AA</t>
  </si>
  <si>
    <t>FCN440531633C010AA</t>
  </si>
  <si>
    <t>FCN440533284C001AA</t>
  </si>
  <si>
    <t>FCN440533284C002AA</t>
  </si>
  <si>
    <t>FCN440543284C002AA</t>
  </si>
  <si>
    <t>FCN440543284C003AA</t>
  </si>
  <si>
    <t>FCN440543284C005AA</t>
  </si>
  <si>
    <t>FCN440544378C005BA</t>
  </si>
  <si>
    <t>FCN440600166C007CA</t>
  </si>
  <si>
    <t>FCN440610166C007CA</t>
  </si>
  <si>
    <t>FCN440620166C007CA</t>
  </si>
  <si>
    <t>FCN440621633C009AA</t>
  </si>
  <si>
    <t>FCN440621633C010AA</t>
  </si>
  <si>
    <t>FCN440623284C001AA</t>
  </si>
  <si>
    <t>FCN440633284C001AA</t>
  </si>
  <si>
    <t>FCN440633284C002AA</t>
  </si>
  <si>
    <t>FCN440643284C002AA</t>
  </si>
  <si>
    <t>FCN440643284C003AA</t>
  </si>
  <si>
    <t>FCN440643284C005AA</t>
  </si>
  <si>
    <t>FCN440644378C005BA</t>
  </si>
  <si>
    <t>FCN440654378C005BA</t>
  </si>
  <si>
    <t>FCN440670166C007CA</t>
  </si>
  <si>
    <t>FCN440680166C007CA</t>
  </si>
  <si>
    <t>FCN440681633C006AA</t>
  </si>
  <si>
    <t>FCN440681633C009AA</t>
  </si>
  <si>
    <t>FCN440681633C010AA</t>
  </si>
  <si>
    <t>FCN440681633C012AA</t>
  </si>
  <si>
    <t>FCN440683284C001AA</t>
  </si>
  <si>
    <t>FCN440693284C001AA</t>
  </si>
  <si>
    <t>FCN440703284C001AA</t>
  </si>
  <si>
    <t>FCN440703284C002AA</t>
  </si>
  <si>
    <t>FCN440713284C002AA</t>
  </si>
  <si>
    <t>FCN440713284C003AA</t>
  </si>
  <si>
    <t>FCN440713284C004AA</t>
  </si>
  <si>
    <t>FCN440713284C005AA</t>
  </si>
  <si>
    <t>FCQ440461428C002AA</t>
  </si>
  <si>
    <t>FCQ440463813C001AA</t>
  </si>
  <si>
    <t>FCQ440473813C001AA</t>
  </si>
  <si>
    <t>FCQ440483813C001AA</t>
  </si>
  <si>
    <t>FCQ440493813C001AA</t>
  </si>
  <si>
    <t>FCQ440503813C001AA</t>
  </si>
  <si>
    <t>FCQ440513813C001AA</t>
  </si>
  <si>
    <t>FCQ440531428C002AA</t>
  </si>
  <si>
    <t>FCQ440533813C001AA</t>
  </si>
  <si>
    <t>FCQ440543813C001AA</t>
  </si>
  <si>
    <t>FCQ440601428C002AA</t>
  </si>
  <si>
    <t>FCQ440603813C001AA</t>
  </si>
  <si>
    <t>FCQ440613813C001AA</t>
  </si>
  <si>
    <t>FCQ440623813C001AA</t>
  </si>
  <si>
    <t>FCQ440633813C001AA</t>
  </si>
  <si>
    <t>FCQ440643813C001AA</t>
  </si>
  <si>
    <t>FCQ440653813C001AA</t>
  </si>
  <si>
    <t>FCQ440671428C002AA</t>
  </si>
  <si>
    <t>FCQ440673813C001AA</t>
  </si>
  <si>
    <t>FCQ440683813C001AA</t>
  </si>
  <si>
    <t>FCQ440693813C001AA</t>
  </si>
  <si>
    <t>FCQ440703813C001AA</t>
  </si>
  <si>
    <t>FCQ440713813C001AA</t>
  </si>
  <si>
    <t>FCS440468952B001AA</t>
  </si>
  <si>
    <t>FCS440478952B001AA</t>
  </si>
  <si>
    <t>FCS440488952B001AA</t>
  </si>
  <si>
    <t>FCS440498952B001AA</t>
  </si>
  <si>
    <t>FCS440508952B001AA</t>
  </si>
  <si>
    <t>FCS440518952B001AA</t>
  </si>
  <si>
    <t>FCS440538952B001AA</t>
  </si>
  <si>
    <t>FCS440548952B001AA</t>
  </si>
  <si>
    <t>FCS440608952B001AA</t>
  </si>
  <si>
    <t>FCS440618952B001AA</t>
  </si>
  <si>
    <t>FCS440628952B001AA</t>
  </si>
  <si>
    <t>FCS440638952B001AA</t>
  </si>
  <si>
    <t>FCS440648952B001AA</t>
  </si>
  <si>
    <t>FCS440658952B001AA</t>
  </si>
  <si>
    <t>FCS440678952B001AA</t>
  </si>
  <si>
    <t>FCS440688952B001AA</t>
  </si>
  <si>
    <t>FCS440698952B001AA</t>
  </si>
  <si>
    <t>FCS440708952B001AA</t>
  </si>
  <si>
    <t>FCS440718952B001AA</t>
  </si>
  <si>
    <t>FCZ440468528B001AA</t>
  </si>
  <si>
    <t>FCZ440478528B001AA</t>
  </si>
  <si>
    <t>FCZ440488528B001AA</t>
  </si>
  <si>
    <t>FCZ440498528B001AA</t>
  </si>
  <si>
    <t>FCZ440498528B003AA</t>
  </si>
  <si>
    <t>FCZ440498528B004AA</t>
  </si>
  <si>
    <t>FCZ440508528B003AA</t>
  </si>
  <si>
    <t>FCZ440518528B003AA</t>
  </si>
  <si>
    <t>FCZ440538528B003AA</t>
  </si>
  <si>
    <t>FCZ440538528B004AA</t>
  </si>
  <si>
    <t>FCZ440548528B003AA</t>
  </si>
  <si>
    <t>FCZ440608528B001AA</t>
  </si>
  <si>
    <t>FCZ440618528B001AA</t>
  </si>
  <si>
    <t>FCZ440628528B001AA</t>
  </si>
  <si>
    <t>FCZ440628528B004AA</t>
  </si>
  <si>
    <t>FCZ440638528B003AA</t>
  </si>
  <si>
    <t>FCZ440638528B004AA</t>
  </si>
  <si>
    <t>FCZ440648528B003AA</t>
  </si>
  <si>
    <t>FCZ440658528B003AA</t>
  </si>
  <si>
    <t>FCZ440678528B001AA</t>
  </si>
  <si>
    <t>FCZ440688528B001AA</t>
  </si>
  <si>
    <t>FCZ440698528B001AA</t>
  </si>
  <si>
    <t>FCZ440698528B003AA</t>
  </si>
  <si>
    <t>FCZ440698528B004AA</t>
  </si>
  <si>
    <t>FCZ440708528B003AA</t>
  </si>
  <si>
    <t>FCZ440718528B003AA</t>
  </si>
  <si>
    <t>FCA/3856C012AA</t>
  </si>
  <si>
    <t>FCA/3857C005AA</t>
  </si>
  <si>
    <t>FCA/3856C002AA</t>
  </si>
  <si>
    <t>FCA/3857C002AA</t>
  </si>
  <si>
    <t>FCA/3856C019AA</t>
  </si>
  <si>
    <t>FCB/3860C008AA</t>
  </si>
  <si>
    <t>FCB/FM2-B125-000</t>
  </si>
  <si>
    <t>FCB/3856C005AA</t>
  </si>
  <si>
    <t>FCB/3858C005AA</t>
  </si>
  <si>
    <t>FCB/3857C005AA</t>
  </si>
  <si>
    <t>FCC/3856C005AA</t>
  </si>
  <si>
    <t>FCC/3857C005AA</t>
  </si>
  <si>
    <t>FCC/3856C001AA</t>
  </si>
  <si>
    <t>FCC/3857C006AA</t>
  </si>
  <si>
    <t>X5</t>
  </si>
  <si>
    <t>X6</t>
  </si>
  <si>
    <t>X7</t>
  </si>
  <si>
    <t>MODEL</t>
  </si>
  <si>
    <t>●</t>
  </si>
  <si>
    <t>JLM</t>
  </si>
  <si>
    <t>UV</t>
  </si>
  <si>
    <t>W</t>
  </si>
  <si>
    <t>OT</t>
  </si>
  <si>
    <t>M5</t>
  </si>
  <si>
    <t>BC</t>
  </si>
  <si>
    <t>NO-PART</t>
  </si>
  <si>
    <t>55B1</t>
  </si>
  <si>
    <t>3808C001AA</t>
  </si>
  <si>
    <t>T597M</t>
  </si>
  <si>
    <t>3808C004AA</t>
  </si>
  <si>
    <t>3808C005AA</t>
  </si>
  <si>
    <t>3808C006AA</t>
  </si>
  <si>
    <t>3808C007AA</t>
  </si>
  <si>
    <t>3808C008AA</t>
  </si>
  <si>
    <t>3808C009AA</t>
  </si>
  <si>
    <t>3809C002AA</t>
  </si>
  <si>
    <t>3809C003AA</t>
  </si>
  <si>
    <t>3809C004AA</t>
  </si>
  <si>
    <t>3809C005AA</t>
  </si>
  <si>
    <t>3809C006AA</t>
  </si>
  <si>
    <t>3809C007AA</t>
  </si>
  <si>
    <t>3809C008AA</t>
  </si>
  <si>
    <t>3810C005AA</t>
  </si>
  <si>
    <t>T597H</t>
  </si>
  <si>
    <t>3810C007AA</t>
  </si>
  <si>
    <t>3810C008AA</t>
  </si>
  <si>
    <t>3811C004AA</t>
  </si>
  <si>
    <t>3811C005AA</t>
  </si>
  <si>
    <t>3811C006AA</t>
  </si>
  <si>
    <t>3811C007AA</t>
  </si>
  <si>
    <t>3811C008AA</t>
  </si>
  <si>
    <t>4053C002AA</t>
  </si>
  <si>
    <t>T599P</t>
  </si>
  <si>
    <t>4053C004AA</t>
  </si>
  <si>
    <t>4053C005AA</t>
  </si>
  <si>
    <t>4053C006AA</t>
  </si>
  <si>
    <t>4053C007AA</t>
  </si>
  <si>
    <t>4053C008AA</t>
  </si>
  <si>
    <t>4053C009AA</t>
  </si>
  <si>
    <t>4053C010AA</t>
  </si>
  <si>
    <t>4054C001AA</t>
  </si>
  <si>
    <t>4054C003AA</t>
  </si>
  <si>
    <t>4054C004AA</t>
  </si>
  <si>
    <t>4054C005AA</t>
  </si>
  <si>
    <t>4054C006AA</t>
  </si>
  <si>
    <t>4054C007AA</t>
  </si>
  <si>
    <t>4054C008AA</t>
  </si>
  <si>
    <t>4054C009AA</t>
  </si>
  <si>
    <t>4054C010AA</t>
  </si>
  <si>
    <t>4055C001AA</t>
  </si>
  <si>
    <t>4055C002AA</t>
  </si>
  <si>
    <t>4055C004AA</t>
  </si>
  <si>
    <t>4055C005AA</t>
  </si>
  <si>
    <t>4055C006AA</t>
  </si>
  <si>
    <t>4055C007AA</t>
  </si>
  <si>
    <t>4055C008AA</t>
  </si>
  <si>
    <t>4055C009AA</t>
  </si>
  <si>
    <t>4055C010AA</t>
  </si>
  <si>
    <t>4056C001AA</t>
  </si>
  <si>
    <t>4056C002AA</t>
  </si>
  <si>
    <t>4056C004AA</t>
  </si>
  <si>
    <t>4056C005AA</t>
  </si>
  <si>
    <t>4056C006AA</t>
  </si>
  <si>
    <t>4056C007AA</t>
  </si>
  <si>
    <t>4056C008AA</t>
  </si>
  <si>
    <t>4056C009AA</t>
  </si>
  <si>
    <t>4056C010AA</t>
  </si>
  <si>
    <t>FM1-Y420-000</t>
  </si>
  <si>
    <t>55J1</t>
  </si>
  <si>
    <t>4492C001AA</t>
  </si>
  <si>
    <t>651ZE</t>
  </si>
  <si>
    <t>4492C002AA</t>
  </si>
  <si>
    <t>4492C004AA</t>
  </si>
  <si>
    <t>4300C001AA</t>
  </si>
  <si>
    <t>4300C002AA</t>
  </si>
  <si>
    <t>4300C005AA</t>
  </si>
  <si>
    <t>4301C001AA</t>
  </si>
  <si>
    <t>4301C002AA</t>
  </si>
  <si>
    <t>4301C005AA</t>
  </si>
  <si>
    <t>4302C001AA</t>
  </si>
  <si>
    <t>4302C002AA</t>
  </si>
  <si>
    <t>4302C005AA</t>
  </si>
  <si>
    <t>4303C001AA</t>
  </si>
  <si>
    <t>4303C002AA</t>
  </si>
  <si>
    <t>4303C005AA</t>
  </si>
  <si>
    <t>55G1</t>
  </si>
  <si>
    <t>3824C001AA</t>
  </si>
  <si>
    <t>T773</t>
  </si>
  <si>
    <t>3824C002AA</t>
  </si>
  <si>
    <t>3824C010AA</t>
  </si>
  <si>
    <t>3825C008AA</t>
  </si>
  <si>
    <t>3825C001AA</t>
  </si>
  <si>
    <t>3825C002AA</t>
  </si>
  <si>
    <t>3825C004AA</t>
  </si>
  <si>
    <t>3825C005AA</t>
  </si>
  <si>
    <t>3825C006AA</t>
  </si>
  <si>
    <t>3825C007AA</t>
  </si>
  <si>
    <t>3825C009AA</t>
  </si>
  <si>
    <t>3825C010AA</t>
  </si>
  <si>
    <t>3826C008AA</t>
  </si>
  <si>
    <t>3826C001AA</t>
  </si>
  <si>
    <t>3826C002AA</t>
  </si>
  <si>
    <t>3826C004AA</t>
  </si>
  <si>
    <t>3826C005AA</t>
  </si>
  <si>
    <t>3826C006AA</t>
  </si>
  <si>
    <t>3826C007AA</t>
  </si>
  <si>
    <t>3826C009AA</t>
  </si>
  <si>
    <t>3826C010AA</t>
  </si>
  <si>
    <t>3827C008AA</t>
  </si>
  <si>
    <t>3827C001AA</t>
  </si>
  <si>
    <t>3827C002AA</t>
  </si>
  <si>
    <t>3827C004AA</t>
  </si>
  <si>
    <t>3827C005AA</t>
  </si>
  <si>
    <t>3827C006AA</t>
  </si>
  <si>
    <t>3827C007AA</t>
  </si>
  <si>
    <t>3827C009AA</t>
  </si>
  <si>
    <t>3827C010AA</t>
  </si>
  <si>
    <t>3824C008AA</t>
  </si>
  <si>
    <t>3824C004AA</t>
  </si>
  <si>
    <t>3824C005AA</t>
  </si>
  <si>
    <t>3824C006AA</t>
  </si>
  <si>
    <t>3824C007AA</t>
  </si>
  <si>
    <t>3824C009AA</t>
  </si>
  <si>
    <t>FM2-C425-000</t>
  </si>
  <si>
    <t>T773 GOV</t>
  </si>
  <si>
    <t>FM2-C426-000</t>
  </si>
  <si>
    <t>FM2-C427-000</t>
  </si>
  <si>
    <t>FM2-C428-000</t>
  </si>
  <si>
    <t>FLOW</t>
  </si>
  <si>
    <t>SHIFT</t>
  </si>
  <si>
    <t>CELL</t>
  </si>
  <si>
    <t>BASE</t>
  </si>
  <si>
    <t>780+</t>
  </si>
  <si>
    <t>320+</t>
  </si>
  <si>
    <t>420+</t>
  </si>
  <si>
    <t>480+</t>
  </si>
  <si>
    <t>120+</t>
  </si>
  <si>
    <t>CD_BLOCK</t>
  </si>
  <si>
    <t>NO_CELL_GR</t>
  </si>
  <si>
    <t>NM_PARTS_ENG</t>
  </si>
  <si>
    <t>TA04</t>
  </si>
  <si>
    <t>SUPER G3 FAX BD-AS2 US</t>
  </si>
  <si>
    <t>SUPER G3 FAX BD-AV2 US</t>
  </si>
  <si>
    <t>SUPER G3 FAX BD-AV2 CN</t>
  </si>
  <si>
    <t>SUPER G3 FAX BD-AV2 TW</t>
  </si>
  <si>
    <t>SUPER G3 FAX BD-AV3 EU</t>
  </si>
  <si>
    <t>SUPER G3 FAX BD-AV3 AS</t>
  </si>
  <si>
    <t>SUPER G3 FAX BD-AZ1 CN</t>
  </si>
  <si>
    <t>SUPER G3 FAX BD-AZ1 TW</t>
  </si>
  <si>
    <t>TA07</t>
  </si>
  <si>
    <t>DADF-AV1 INCH/AB/K</t>
  </si>
  <si>
    <t>DADF-BA1 INCH/AB/K</t>
  </si>
  <si>
    <t>TA09</t>
  </si>
  <si>
    <t>3 WAY UNIT-D1</t>
  </si>
  <si>
    <t>TA10</t>
  </si>
  <si>
    <t>FCT</t>
  </si>
  <si>
    <t>1303C001BA</t>
  </si>
  <si>
    <t>BLE CONNECTION KIT-A1</t>
  </si>
  <si>
    <t>TC01</t>
  </si>
  <si>
    <t>UNIT_WHB_CN20_OEM</t>
  </si>
  <si>
    <t>TD01</t>
  </si>
  <si>
    <t>NPG-67 DRUM UNIT</t>
  </si>
  <si>
    <t>C-EXV 49 DRUM UNIT</t>
  </si>
  <si>
    <t>GPR-53 DRUM UNIT</t>
  </si>
  <si>
    <t>item
code</t>
  </si>
  <si>
    <t>G3
Fax</t>
  </si>
  <si>
    <t>CST
Heater</t>
  </si>
  <si>
    <t>Toner
CRG</t>
  </si>
  <si>
    <t>others</t>
  </si>
  <si>
    <t>Daily Input/Output plan</t>
  </si>
  <si>
    <t>Approved</t>
  </si>
  <si>
    <t>Checked</t>
  </si>
  <si>
    <t>Prepared</t>
  </si>
  <si>
    <t>Input</t>
  </si>
  <si>
    <t>Aug</t>
  </si>
  <si>
    <t/>
  </si>
  <si>
    <t>Sep</t>
  </si>
  <si>
    <t>Oct</t>
  </si>
  <si>
    <t>Mon</t>
  </si>
  <si>
    <t>Tue</t>
  </si>
  <si>
    <t>Wed</t>
  </si>
  <si>
    <t>Thu</t>
  </si>
  <si>
    <t>Fri</t>
  </si>
  <si>
    <t>Sat</t>
  </si>
  <si>
    <t>Weekly</t>
  </si>
  <si>
    <t>total</t>
  </si>
  <si>
    <t>G-Total</t>
  </si>
  <si>
    <t>FCN Total</t>
  </si>
  <si>
    <t>FCQ Total</t>
  </si>
  <si>
    <t>FCS Total</t>
  </si>
  <si>
    <t>FCT Total</t>
  </si>
  <si>
    <t>FCA Total</t>
  </si>
  <si>
    <t>FCB Total</t>
  </si>
  <si>
    <t>FCC Total</t>
  </si>
  <si>
    <t>FCZ Total</t>
  </si>
  <si>
    <t>55C1 Total</t>
  </si>
  <si>
    <t>Output</t>
  </si>
  <si>
    <t>Q</t>
  </si>
  <si>
    <t>S</t>
  </si>
  <si>
    <t>FCB440703856C005AA</t>
  </si>
  <si>
    <t>FCB440703857C005AA</t>
  </si>
  <si>
    <t>FCB440713856C005AA</t>
  </si>
  <si>
    <t>FCC440683858C005AA</t>
  </si>
  <si>
    <t>FCZ440728528B001AA</t>
  </si>
  <si>
    <t>FCZ440728528B003AA</t>
  </si>
  <si>
    <t>FCA/3856C005AA</t>
  </si>
  <si>
    <t>FCB/3653C008AA</t>
  </si>
  <si>
    <t>FCB/3653C009AA</t>
  </si>
  <si>
    <t>FCC/3857C009AA</t>
  </si>
  <si>
    <t>1</t>
  </si>
  <si>
    <t>2</t>
  </si>
  <si>
    <t>5</t>
  </si>
  <si>
    <t>4</t>
  </si>
  <si>
    <t>3</t>
  </si>
  <si>
    <t>6</t>
  </si>
  <si>
    <t>7</t>
  </si>
  <si>
    <t>DailyInputPlan + TimelyInputPlan</t>
  </si>
  <si>
    <t>Datafile1 : Run File : (55C1) 1.PDC_Daily_input_plan_(ICD)+Drum.xlsm</t>
  </si>
  <si>
    <t>Datafile2 : Run File : (55C1) 2.PDC_Timely_input_plan_By_BC_(ICD)+Drum.xlsm</t>
  </si>
  <si>
    <t>D2</t>
  </si>
  <si>
    <t>SUPER G3 FAX BD-BF1 US</t>
  </si>
  <si>
    <t>SUPER G3 FAX BD-AV2 EU</t>
  </si>
  <si>
    <t>FCA440623856C005AA</t>
  </si>
  <si>
    <t>FCA440623858C005AA</t>
  </si>
  <si>
    <t>FCA440633856C005AA</t>
  </si>
  <si>
    <t>FCA440633856C019AA</t>
  </si>
  <si>
    <t>FCB440543858C005AA</t>
  </si>
  <si>
    <t>FCB440623857C005AA</t>
  </si>
  <si>
    <t>FCB440633857C005AA</t>
  </si>
  <si>
    <t>FCB440643857C005AA</t>
  </si>
  <si>
    <t>FCB440653857C005AA</t>
  </si>
  <si>
    <t>FCC440603858C005AA</t>
  </si>
  <si>
    <t>FCA440323856C012AA</t>
  </si>
  <si>
    <t>FCA440323857C009AA</t>
  </si>
  <si>
    <t>FCA440333856C012AA</t>
  </si>
  <si>
    <t>FCA440333857C009AA</t>
  </si>
  <si>
    <t>FCA440333858C008AA</t>
  </si>
  <si>
    <t>FCA440343856C002AA</t>
  </si>
  <si>
    <t>FCA440343856C019AA</t>
  </si>
  <si>
    <t>FCA440343858C008AA</t>
  </si>
  <si>
    <t>FCA440343858C009AA</t>
  </si>
  <si>
    <t>FCA440353856C002AA</t>
  </si>
  <si>
    <t>FCA440353858C001AA</t>
  </si>
  <si>
    <t>FCA440353858C009AA</t>
  </si>
  <si>
    <t>FCA440353858C012AA</t>
  </si>
  <si>
    <t>FCA440363856C002AA</t>
  </si>
  <si>
    <t>FCA440363858C001AA</t>
  </si>
  <si>
    <t>FCA440363858C009AA</t>
  </si>
  <si>
    <t>FCA440373856C005AA</t>
  </si>
  <si>
    <t>FCA440373858C001AA</t>
  </si>
  <si>
    <t>FCA440413856C005AA</t>
  </si>
  <si>
    <t>FCA440413858C012AA</t>
  </si>
  <si>
    <t>FCA440423856C005AA</t>
  </si>
  <si>
    <t>FCA440423858C006AA</t>
  </si>
  <si>
    <t>FCA440423858C010AA</t>
  </si>
  <si>
    <t>FCA440423858C012AA</t>
  </si>
  <si>
    <t>FCA440433856C005AA</t>
  </si>
  <si>
    <t>FCA440433856C006AA</t>
  </si>
  <si>
    <t>FCA440433856C012AA</t>
  </si>
  <si>
    <t>FCA440433857C005AA</t>
  </si>
  <si>
    <t>FCA440433857C006AA</t>
  </si>
  <si>
    <t>FCA440433858C012AA</t>
  </si>
  <si>
    <t>FCB440323653C008AA</t>
  </si>
  <si>
    <t>FCB440323860C008AA</t>
  </si>
  <si>
    <t>FCB44032FM2-B125-000</t>
  </si>
  <si>
    <t>FCB440333653C008AA</t>
  </si>
  <si>
    <t>FCB440333860C008AA</t>
  </si>
  <si>
    <t>FCB44033FM2-B125-000</t>
  </si>
  <si>
    <t>FCB440343653C008AA</t>
  </si>
  <si>
    <t>FCB440343653C009AA</t>
  </si>
  <si>
    <t>FCB440343860C008AA</t>
  </si>
  <si>
    <t>FCB44034FM2-B125-000</t>
  </si>
  <si>
    <t>FCB440353653C003AA</t>
  </si>
  <si>
    <t>FCB440353653C009AA</t>
  </si>
  <si>
    <t>FCB440353860C008AA</t>
  </si>
  <si>
    <t>FCB44035FM2-B125-000</t>
  </si>
  <si>
    <t>FCB440363652C006AA</t>
  </si>
  <si>
    <t>FCB440363653C008AA</t>
  </si>
  <si>
    <t>FCB440363653C009AA</t>
  </si>
  <si>
    <t>FCB440363860C008AA</t>
  </si>
  <si>
    <t>FCB44036FM2-B125-000</t>
  </si>
  <si>
    <t>FCB440373653C005AA</t>
  </si>
  <si>
    <t>FCB440373653C008AA</t>
  </si>
  <si>
    <t>FCB440373653C009AA</t>
  </si>
  <si>
    <t>FCB440373860C008AA</t>
  </si>
  <si>
    <t>FCB44037FM2-B125-000</t>
  </si>
  <si>
    <t>FCB440413653C005AA</t>
  </si>
  <si>
    <t>FCB440413653C008AA</t>
  </si>
  <si>
    <t>FCB440413653C009AA</t>
  </si>
  <si>
    <t>FCB440413860C008AA</t>
  </si>
  <si>
    <t>FCB44041FM2-B125-000</t>
  </si>
  <si>
    <t>FCB440423653C005AA</t>
  </si>
  <si>
    <t>FCB440423653C009AA</t>
  </si>
  <si>
    <t>FCB440423860C008AA</t>
  </si>
  <si>
    <t>FCB44042FM2-B125-000</t>
  </si>
  <si>
    <t>FCB440433653C005AA</t>
  </si>
  <si>
    <t>FCB440433653C008AA</t>
  </si>
  <si>
    <t>FCB440433653C009AA</t>
  </si>
  <si>
    <t>FCB440433860C008AA</t>
  </si>
  <si>
    <t>FCB44043FM2-B125-000</t>
  </si>
  <si>
    <t>FCC440323856C001AA</t>
  </si>
  <si>
    <t>FCC440323856C006AA</t>
  </si>
  <si>
    <t>FCC440323857C008AA</t>
  </si>
  <si>
    <t>FCC440333856C001AA</t>
  </si>
  <si>
    <t>FCC440333856C008AA</t>
  </si>
  <si>
    <t>FCC440333856C009AA</t>
  </si>
  <si>
    <t>FCC440333857C009AA</t>
  </si>
  <si>
    <t>FCC440343856C006AA</t>
  </si>
  <si>
    <t>FCC440343856C009AA</t>
  </si>
  <si>
    <t>FCC440343857C009AA</t>
  </si>
  <si>
    <t>FCC440353856C006AA</t>
  </si>
  <si>
    <t>FCC440353857C006AA</t>
  </si>
  <si>
    <t>FCC440353857C009AA</t>
  </si>
  <si>
    <t>FCC440353858C006AA</t>
  </si>
  <si>
    <t>FCC440363856C001AA</t>
  </si>
  <si>
    <t>FCC440363857C009AA</t>
  </si>
  <si>
    <t>FCC440363858C006AA</t>
  </si>
  <si>
    <t>FCC440373856C001AA</t>
  </si>
  <si>
    <t>FCC440373856C005AA</t>
  </si>
  <si>
    <t>FCC440373856C006AA</t>
  </si>
  <si>
    <t>FCC440373856C009AA</t>
  </si>
  <si>
    <t>FCC440373857C009AA</t>
  </si>
  <si>
    <t>FCC440413856C005AA</t>
  </si>
  <si>
    <t>FCC440413857C005AA</t>
  </si>
  <si>
    <t>FCC440423857C005AA</t>
  </si>
  <si>
    <t>FCC440433856C006AA</t>
  </si>
  <si>
    <t>FCC440433857C005AA</t>
  </si>
  <si>
    <t>FCN440320166C007CA</t>
  </si>
  <si>
    <t>FCN440321633C006AA</t>
  </si>
  <si>
    <t>FCN440321633C009AA</t>
  </si>
  <si>
    <t>FCN440321633C012AA</t>
  </si>
  <si>
    <t>FCN440323284C001AA</t>
  </si>
  <si>
    <t>FCN440333284C001AA</t>
  </si>
  <si>
    <t>FCN440343284C001AA</t>
  </si>
  <si>
    <t>FCN440343284C003AA</t>
  </si>
  <si>
    <t>FCN440353284C003AA</t>
  </si>
  <si>
    <t>FCN440353284C004AA</t>
  </si>
  <si>
    <t>FCN440354378C005BA</t>
  </si>
  <si>
    <t>FCN440364378C005BA</t>
  </si>
  <si>
    <t>FCN440374378C005BA</t>
  </si>
  <si>
    <t>FCN440411633C006AA</t>
  </si>
  <si>
    <t>FCN440421633C006AA</t>
  </si>
  <si>
    <t>FCN440421633C012AA</t>
  </si>
  <si>
    <t>FCN440423284C003AA</t>
  </si>
  <si>
    <t>FCN440433284C003AA</t>
  </si>
  <si>
    <t>FCN440433284C004AA</t>
  </si>
  <si>
    <t>FCN440433284C005AA</t>
  </si>
  <si>
    <t>FCQ440321428C002AA</t>
  </si>
  <si>
    <t>FCQ440323813C001AA</t>
  </si>
  <si>
    <t>FCQ440333813C001AA</t>
  </si>
  <si>
    <t>FCQ440343813C001AA</t>
  </si>
  <si>
    <t>FCQ440353813C001AA</t>
  </si>
  <si>
    <t>FCQ440363813C001AA</t>
  </si>
  <si>
    <t>FCQ440373813C001AA</t>
  </si>
  <si>
    <t>FCQ440411428C002AA</t>
  </si>
  <si>
    <t>FCQ440413813C001AA</t>
  </si>
  <si>
    <t>FCQ440423813C001AA</t>
  </si>
  <si>
    <t>FCQ440433813C001AA</t>
  </si>
  <si>
    <t>FCS440328952B001AA</t>
  </si>
  <si>
    <t>FCS440338952B001AA</t>
  </si>
  <si>
    <t>FCS440348952B001AA</t>
  </si>
  <si>
    <t>FCS440358952B001AA</t>
  </si>
  <si>
    <t>FCS440368952B001AA</t>
  </si>
  <si>
    <t>FCS440378952B001AA</t>
  </si>
  <si>
    <t>FCS440418952B001AA</t>
  </si>
  <si>
    <t>FCS440428952B001AA</t>
  </si>
  <si>
    <t>FCS440438952B001AA</t>
  </si>
  <si>
    <t>FCZ440328528B001AA</t>
  </si>
  <si>
    <t>FCZ440338528B001AA</t>
  </si>
  <si>
    <t>FCZ440348528B001AA</t>
  </si>
  <si>
    <t>FCZ440358528B001AA</t>
  </si>
  <si>
    <t>FCZ440358528B003AA</t>
  </si>
  <si>
    <t>FCZ440358528B004AA</t>
  </si>
  <si>
    <t>FCZ440368528B003AA</t>
  </si>
  <si>
    <t>FCZ440378528B003AA</t>
  </si>
  <si>
    <t>FCZ440418528B001AA</t>
  </si>
  <si>
    <t>FCZ440418528B004AA</t>
  </si>
  <si>
    <t>FCZ440428528B003AA</t>
  </si>
  <si>
    <t>FCZ440428528B004AA</t>
  </si>
  <si>
    <t>FCZ440438528B003AA</t>
  </si>
  <si>
    <t>FCA/3858C009AA</t>
  </si>
  <si>
    <t>UpdDate : 2020-0902 10:18:42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</si>
</sst>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[$-409]dd\-mmm\-yy;@"/>
    <numFmt numFmtId="165" formatCode="_(* #,##0_);_(* \(#,##0\);_(* &quot;-&quot;??_);_(@_)"/>
    <numFmt numFmtId="166" formatCode="m/d"/>
  </numFmts>
  <fonts count="62"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6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rgb="FFFF0000"/>
      <name val="Calibri"/>
      <family val="2"/>
      <charset val="128"/>
      <scheme val="minor"/>
    </font>
    <font>
      <sz val="11"/>
      <name val="ＭＳ Ｐゴシック"/>
      <family val="3"/>
      <charset val="128"/>
    </font>
    <font>
      <sz val="11"/>
      <color theme="1"/>
      <name val="Calibri"/>
      <family val="3"/>
      <charset val="128"/>
      <scheme val="minor"/>
    </font>
    <font>
      <sz val="11"/>
      <color theme="0"/>
      <name val="Calibri"/>
      <family val="3"/>
      <charset val="128"/>
      <scheme val="minor"/>
    </font>
    <font>
      <sz val="11"/>
      <color rgb="FF9C0006"/>
      <name val="Calibri"/>
      <family val="3"/>
      <charset val="128"/>
      <scheme val="minor"/>
    </font>
    <font>
      <b/>
      <sz val="11"/>
      <color rgb="FFFA7D00"/>
      <name val="Calibri"/>
      <family val="3"/>
      <charset val="128"/>
      <scheme val="minor"/>
    </font>
    <font>
      <b/>
      <sz val="11"/>
      <color theme="0"/>
      <name val="Calibri"/>
      <family val="3"/>
      <charset val="128"/>
      <scheme val="minor"/>
    </font>
    <font>
      <i/>
      <sz val="11"/>
      <color rgb="FF7F7F7F"/>
      <name val="Calibri"/>
      <family val="3"/>
      <charset val="128"/>
      <scheme val="minor"/>
    </font>
    <font>
      <sz val="11"/>
      <color rgb="FF006100"/>
      <name val="Calibri"/>
      <family val="3"/>
      <charset val="128"/>
      <scheme val="minor"/>
    </font>
    <font>
      <b/>
      <sz val="15"/>
      <color theme="3"/>
      <name val="Calibri"/>
      <family val="3"/>
      <charset val="128"/>
      <scheme val="minor"/>
    </font>
    <font>
      <b/>
      <sz val="13"/>
      <color theme="3"/>
      <name val="Calibri"/>
      <family val="3"/>
      <charset val="128"/>
      <scheme val="minor"/>
    </font>
    <font>
      <b/>
      <sz val="11"/>
      <color theme="3"/>
      <name val="Calibri"/>
      <family val="3"/>
      <charset val="128"/>
      <scheme val="minor"/>
    </font>
    <font>
      <sz val="11"/>
      <color rgb="FF3F3F76"/>
      <name val="Calibri"/>
      <family val="3"/>
      <charset val="128"/>
      <scheme val="minor"/>
    </font>
    <font>
      <sz val="11"/>
      <color rgb="FFFA7D00"/>
      <name val="Calibri"/>
      <family val="3"/>
      <charset val="128"/>
      <scheme val="minor"/>
    </font>
    <font>
      <sz val="11"/>
      <color rgb="FF9C6500"/>
      <name val="Calibri"/>
      <family val="3"/>
      <charset val="128"/>
      <scheme val="minor"/>
    </font>
    <font>
      <b/>
      <sz val="11"/>
      <color rgb="FF3F3F3F"/>
      <name val="Calibri"/>
      <family val="3"/>
      <charset val="128"/>
      <scheme val="minor"/>
    </font>
    <font>
      <b/>
      <sz val="18"/>
      <color theme="3"/>
      <name val="Cambria"/>
      <family val="3"/>
      <charset val="128"/>
      <scheme val="major"/>
    </font>
    <font>
      <b/>
      <sz val="11"/>
      <color theme="1"/>
      <name val="Calibri"/>
      <family val="3"/>
      <charset val="128"/>
      <scheme val="minor"/>
    </font>
    <font>
      <sz val="11"/>
      <color rgb="FFFF0000"/>
      <name val="Calibri"/>
      <family val="3"/>
      <charset val="128"/>
      <scheme val="minor"/>
    </font>
    <font>
      <b/>
      <sz val="18"/>
      <color indexed="62"/>
      <name val="Cambria"/>
      <family val="3"/>
      <charset val="128"/>
      <scheme val="major"/>
    </font>
    <font>
      <sz val="11"/>
      <color indexed="8"/>
      <name val="ＭＳ Ｐゴシック"/>
      <family val="3"/>
      <charset val="128"/>
    </font>
    <font>
      <b/>
      <sz val="15"/>
      <color indexed="62"/>
      <name val="Calibri"/>
      <family val="3"/>
      <charset val="128"/>
      <scheme val="minor"/>
    </font>
    <font>
      <b/>
      <sz val="13"/>
      <color indexed="62"/>
      <name val="Calibri"/>
      <family val="3"/>
      <charset val="128"/>
      <scheme val="minor"/>
    </font>
    <font>
      <b/>
      <sz val="11"/>
      <color indexed="62"/>
      <name val="Calibri"/>
      <family val="3"/>
      <charset val="128"/>
      <scheme val="minor"/>
    </font>
    <font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ebdings"/>
      <family val="1"/>
      <charset val="2"/>
    </font>
    <font>
      <sz val="11"/>
      <color rgb="FFFF0000"/>
      <name val="Webdings"/>
      <family val="1"/>
      <charset val="2"/>
    </font>
    <font>
      <sz val="10"/>
      <color theme="5" tint="0.39997558519241921"/>
      <name val="Calibri"/>
      <family val="2"/>
      <scheme val="minor"/>
    </font>
    <font>
      <sz val="10"/>
      <color theme="3" tint="0.39997558519241921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  <charset val="128"/>
      <scheme val="minor"/>
    </font>
    <font>
      <sz val="10"/>
      <color theme="1"/>
      <name val="Calibri"/>
      <family val="2"/>
      <charset val="128"/>
      <scheme val="minor"/>
    </font>
    <font>
      <sz val="14"/>
      <color rgb="FFFFFF00"/>
      <name val="Calibri"/>
      <family val="2"/>
      <scheme val="minor"/>
    </font>
    <font>
      <sz val="14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name val="Calibri"/>
      <family val="2"/>
    </font>
    <font>
      <sz val="14"/>
      <name val="Webdings"/>
      <family val="1"/>
      <charset val="2"/>
    </font>
    <font>
      <sz val="14"/>
      <name val="Calibri"/>
      <family val="2"/>
    </font>
    <font>
      <sz val="14"/>
      <color rgb="FFFF0000"/>
      <name val="Webdings"/>
      <family val="1"/>
      <charset val="2"/>
    </font>
    <font>
      <sz val="9.8000000000000007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name val="Calibri"/>
      <family val="2"/>
      <charset val="128"/>
      <scheme val="minor"/>
    </font>
    <font>
      <sz val="14"/>
      <color rgb="FFFF0000"/>
      <name val="Calibri"/>
      <family val="2"/>
      <scheme val="minor"/>
    </font>
    <font>
      <sz val="11"/>
      <color theme="1"/>
      <name val="Calibri"/>
      <family val="2"/>
    </font>
    <font>
      <b/>
      <sz val="20"/>
      <color theme="1"/>
      <name val="Century"/>
      <family val="1"/>
    </font>
    <font>
      <b/>
      <sz val="14"/>
      <color theme="1"/>
      <name val="Century"/>
      <family val="1"/>
    </font>
    <font>
      <b/>
      <sz val="14"/>
      <color rgb="FF0070C0"/>
      <name val="Calibri"/>
      <family val="2"/>
      <scheme val="minor"/>
    </font>
    <font>
      <b/>
      <sz val="14"/>
      <color rgb="FFC00000"/>
      <name val="Calibri"/>
      <family val="2"/>
      <scheme val="minor"/>
    </font>
    <font>
      <sz val="11"/>
      <color theme="0"/>
      <name val="Calibri"/>
      <family val="2"/>
      <charset val="128"/>
      <scheme val="minor"/>
    </font>
    <font>
      <b/>
      <sz val="16"/>
      <color theme="1"/>
      <name val="Calibri"/>
      <family val="2"/>
      <scheme val="minor"/>
    </font>
    <font>
      <sz val="11"/>
      <color rgb="FFFFFF00"/>
      <name val="Calibri"/>
      <family val="2"/>
      <charset val="128"/>
      <scheme val="minor"/>
    </font>
  </fonts>
  <fills count="7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49"/>
      </patternFill>
    </fill>
    <fill>
      <patternFill patternType="solid">
        <fgColor indexed="54"/>
      </patternFill>
    </fill>
    <fill>
      <patternFill patternType="solid">
        <fgColor indexed="9"/>
      </patternFill>
    </fill>
    <fill>
      <patternFill patternType="solid">
        <fgColor rgb="FFB3E6FF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DF2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FFCC00"/>
        <bgColor indexed="64"/>
      </patternFill>
    </fill>
  </fills>
  <borders count="8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auto="1"/>
      </right>
      <top style="medium">
        <color rgb="FFFF0000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rgb="FFFF0000"/>
      </top>
      <bottom style="thin">
        <color auto="1"/>
      </bottom>
      <diagonal/>
    </border>
    <border>
      <left style="thin">
        <color auto="1"/>
      </left>
      <right style="medium">
        <color rgb="FFFF0000"/>
      </right>
      <top style="medium">
        <color rgb="FFFF0000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medium">
        <color rgb="FFFF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medium">
        <color rgb="FFFF0000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rgb="FFFF0000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medium">
        <color rgb="FFFF0000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/>
      <diagonal/>
    </border>
    <border>
      <left style="medium">
        <color rgb="FFFF0000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rgb="FFFF0000"/>
      </right>
      <top style="hair">
        <color auto="1"/>
      </top>
      <bottom/>
      <diagonal/>
    </border>
    <border>
      <left style="medium">
        <color rgb="FFFF0000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medium">
        <color rgb="FFFF0000"/>
      </left>
      <right style="thin">
        <color auto="1"/>
      </right>
      <top style="hair">
        <color auto="1"/>
      </top>
      <bottom style="medium">
        <color rgb="FFFF0000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rgb="FFFF0000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FF0000"/>
      </left>
      <right style="thin">
        <color auto="1"/>
      </right>
      <top/>
      <bottom style="medium">
        <color rgb="FFFF0000"/>
      </bottom>
      <diagonal/>
    </border>
    <border>
      <left style="thin">
        <color auto="1"/>
      </left>
      <right style="thin">
        <color auto="1"/>
      </right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9080">
    <xf numFmtId="0" fontId="0" fillId="0" borderId="0">
      <alignment vertical="center"/>
    </xf>
    <xf numFmtId="0" fontId="5" fillId="0" borderId="0"/>
    <xf numFmtId="0" fontId="7" fillId="0" borderId="0">
      <alignment vertical="center"/>
    </xf>
    <xf numFmtId="38" fontId="7" fillId="0" borderId="0" applyFont="0" applyFill="0" applyBorder="0" applyAlignment="0" applyProtection="0">
      <alignment vertical="center"/>
    </xf>
    <xf numFmtId="0" fontId="4" fillId="0" borderId="0"/>
    <xf numFmtId="0" fontId="9" fillId="0" borderId="0"/>
    <xf numFmtId="0" fontId="9" fillId="0" borderId="0"/>
    <xf numFmtId="43" fontId="4" fillId="0" borderId="0" applyFont="0" applyFill="0" applyBorder="0" applyAlignment="0" applyProtection="0"/>
    <xf numFmtId="0" fontId="9" fillId="0" borderId="0"/>
    <xf numFmtId="0" fontId="9" fillId="0" borderId="0"/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11" fillId="25" borderId="0" applyNumberFormat="0" applyBorder="0" applyAlignment="0" applyProtection="0">
      <alignment vertical="center"/>
    </xf>
    <xf numFmtId="0" fontId="11" fillId="25" borderId="0" applyNumberFormat="0" applyBorder="0" applyAlignment="0" applyProtection="0">
      <alignment vertical="center"/>
    </xf>
    <xf numFmtId="0" fontId="11" fillId="25" borderId="0" applyNumberFormat="0" applyBorder="0" applyAlignment="0" applyProtection="0">
      <alignment vertical="center"/>
    </xf>
    <xf numFmtId="0" fontId="11" fillId="25" borderId="0" applyNumberFormat="0" applyBorder="0" applyAlignment="0" applyProtection="0">
      <alignment vertical="center"/>
    </xf>
    <xf numFmtId="0" fontId="11" fillId="25" borderId="0" applyNumberFormat="0" applyBorder="0" applyAlignment="0" applyProtection="0">
      <alignment vertical="center"/>
    </xf>
    <xf numFmtId="0" fontId="11" fillId="25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25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25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25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7" borderId="4" applyNumberFormat="0" applyAlignment="0" applyProtection="0">
      <alignment vertical="center"/>
    </xf>
    <xf numFmtId="0" fontId="13" fillId="7" borderId="4" applyNumberFormat="0" applyAlignment="0" applyProtection="0">
      <alignment vertical="center"/>
    </xf>
    <xf numFmtId="0" fontId="13" fillId="7" borderId="4" applyNumberFormat="0" applyAlignment="0" applyProtection="0">
      <alignment vertical="center"/>
    </xf>
    <xf numFmtId="0" fontId="13" fillId="7" borderId="4" applyNumberFormat="0" applyAlignment="0" applyProtection="0">
      <alignment vertical="center"/>
    </xf>
    <xf numFmtId="0" fontId="13" fillId="7" borderId="4" applyNumberFormat="0" applyAlignment="0" applyProtection="0">
      <alignment vertical="center"/>
    </xf>
    <xf numFmtId="0" fontId="13" fillId="7" borderId="4" applyNumberFormat="0" applyAlignment="0" applyProtection="0">
      <alignment vertical="center"/>
    </xf>
    <xf numFmtId="0" fontId="14" fillId="8" borderId="7" applyNumberFormat="0" applyAlignment="0" applyProtection="0">
      <alignment vertical="center"/>
    </xf>
    <xf numFmtId="0" fontId="14" fillId="8" borderId="7" applyNumberFormat="0" applyAlignment="0" applyProtection="0">
      <alignment vertical="center"/>
    </xf>
    <xf numFmtId="0" fontId="14" fillId="8" borderId="7" applyNumberFormat="0" applyAlignment="0" applyProtection="0">
      <alignment vertical="center"/>
    </xf>
    <xf numFmtId="0" fontId="14" fillId="8" borderId="7" applyNumberFormat="0" applyAlignment="0" applyProtection="0">
      <alignment vertical="center"/>
    </xf>
    <xf numFmtId="0" fontId="14" fillId="8" borderId="7" applyNumberFormat="0" applyAlignment="0" applyProtection="0">
      <alignment vertical="center"/>
    </xf>
    <xf numFmtId="0" fontId="14" fillId="8" borderId="7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7" fillId="0" borderId="1" applyNumberFormat="0" applyFill="0" applyAlignment="0" applyProtection="0">
      <alignment vertical="center"/>
    </xf>
    <xf numFmtId="0" fontId="17" fillId="0" borderId="1" applyNumberFormat="0" applyFill="0" applyAlignment="0" applyProtection="0">
      <alignment vertical="center"/>
    </xf>
    <xf numFmtId="0" fontId="17" fillId="0" borderId="1" applyNumberFormat="0" applyFill="0" applyAlignment="0" applyProtection="0">
      <alignment vertical="center"/>
    </xf>
    <xf numFmtId="0" fontId="17" fillId="0" borderId="1" applyNumberFormat="0" applyFill="0" applyAlignment="0" applyProtection="0">
      <alignment vertical="center"/>
    </xf>
    <xf numFmtId="0" fontId="17" fillId="0" borderId="1" applyNumberFormat="0" applyFill="0" applyAlignment="0" applyProtection="0">
      <alignment vertical="center"/>
    </xf>
    <xf numFmtId="0" fontId="17" fillId="0" borderId="1" applyNumberFormat="0" applyFill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19" fillId="0" borderId="3" applyNumberFormat="0" applyFill="0" applyAlignment="0" applyProtection="0">
      <alignment vertical="center"/>
    </xf>
    <xf numFmtId="0" fontId="19" fillId="0" borderId="3" applyNumberFormat="0" applyFill="0" applyAlignment="0" applyProtection="0">
      <alignment vertical="center"/>
    </xf>
    <xf numFmtId="0" fontId="19" fillId="0" borderId="3" applyNumberFormat="0" applyFill="0" applyAlignment="0" applyProtection="0">
      <alignment vertical="center"/>
    </xf>
    <xf numFmtId="0" fontId="19" fillId="0" borderId="3" applyNumberFormat="0" applyFill="0" applyAlignment="0" applyProtection="0">
      <alignment vertical="center"/>
    </xf>
    <xf numFmtId="0" fontId="19" fillId="0" borderId="3" applyNumberFormat="0" applyFill="0" applyAlignment="0" applyProtection="0">
      <alignment vertical="center"/>
    </xf>
    <xf numFmtId="0" fontId="19" fillId="0" borderId="3" applyNumberFormat="0" applyFill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6" borderId="4" applyNumberFormat="0" applyAlignment="0" applyProtection="0">
      <alignment vertical="center"/>
    </xf>
    <xf numFmtId="0" fontId="20" fillId="6" borderId="4" applyNumberFormat="0" applyAlignment="0" applyProtection="0">
      <alignment vertical="center"/>
    </xf>
    <xf numFmtId="0" fontId="20" fillId="6" borderId="4" applyNumberFormat="0" applyAlignment="0" applyProtection="0">
      <alignment vertical="center"/>
    </xf>
    <xf numFmtId="0" fontId="20" fillId="6" borderId="4" applyNumberFormat="0" applyAlignment="0" applyProtection="0">
      <alignment vertical="center"/>
    </xf>
    <xf numFmtId="0" fontId="20" fillId="6" borderId="4" applyNumberFormat="0" applyAlignment="0" applyProtection="0">
      <alignment vertical="center"/>
    </xf>
    <xf numFmtId="0" fontId="20" fillId="6" borderId="4" applyNumberFormat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7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4" fillId="0" borderId="0"/>
    <xf numFmtId="0" fontId="23" fillId="7" borderId="5" applyNumberFormat="0" applyAlignment="0" applyProtection="0">
      <alignment vertical="center"/>
    </xf>
    <xf numFmtId="0" fontId="23" fillId="7" borderId="5" applyNumberFormat="0" applyAlignment="0" applyProtection="0">
      <alignment vertical="center"/>
    </xf>
    <xf numFmtId="0" fontId="23" fillId="7" borderId="5" applyNumberFormat="0" applyAlignment="0" applyProtection="0">
      <alignment vertical="center"/>
    </xf>
    <xf numFmtId="0" fontId="23" fillId="7" borderId="5" applyNumberFormat="0" applyAlignment="0" applyProtection="0">
      <alignment vertical="center"/>
    </xf>
    <xf numFmtId="0" fontId="23" fillId="7" borderId="5" applyNumberFormat="0" applyAlignment="0" applyProtection="0">
      <alignment vertical="center"/>
    </xf>
    <xf numFmtId="0" fontId="23" fillId="7" borderId="5" applyNumberFormat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9" applyNumberFormat="0" applyFill="0" applyAlignment="0" applyProtection="0">
      <alignment vertical="center"/>
    </xf>
    <xf numFmtId="0" fontId="25" fillId="0" borderId="9" applyNumberFormat="0" applyFill="0" applyAlignment="0" applyProtection="0">
      <alignment vertical="center"/>
    </xf>
    <xf numFmtId="0" fontId="25" fillId="0" borderId="9" applyNumberFormat="0" applyFill="0" applyAlignment="0" applyProtection="0">
      <alignment vertical="center"/>
    </xf>
    <xf numFmtId="0" fontId="25" fillId="0" borderId="9" applyNumberFormat="0" applyFill="0" applyAlignment="0" applyProtection="0">
      <alignment vertical="center"/>
    </xf>
    <xf numFmtId="0" fontId="25" fillId="0" borderId="9" applyNumberFormat="0" applyFill="0" applyAlignment="0" applyProtection="0">
      <alignment vertical="center"/>
    </xf>
    <xf numFmtId="0" fontId="25" fillId="0" borderId="9" applyNumberFormat="0" applyFill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14" fillId="8" borderId="7" applyNumberFormat="0" applyAlignment="0" applyProtection="0">
      <alignment vertical="center"/>
    </xf>
    <xf numFmtId="0" fontId="14" fillId="8" borderId="7" applyNumberFormat="0" applyAlignment="0" applyProtection="0">
      <alignment vertical="center"/>
    </xf>
    <xf numFmtId="0" fontId="14" fillId="8" borderId="7" applyNumberFormat="0" applyAlignment="0" applyProtection="0">
      <alignment vertical="center"/>
    </xf>
    <xf numFmtId="0" fontId="14" fillId="8" borderId="7" applyNumberFormat="0" applyAlignment="0" applyProtection="0">
      <alignment vertical="center"/>
    </xf>
    <xf numFmtId="0" fontId="14" fillId="8" borderId="7" applyNumberFormat="0" applyAlignment="0" applyProtection="0">
      <alignment vertical="center"/>
    </xf>
    <xf numFmtId="0" fontId="14" fillId="8" borderId="7" applyNumberFormat="0" applyAlignment="0" applyProtection="0">
      <alignment vertical="center"/>
    </xf>
    <xf numFmtId="0" fontId="14" fillId="8" borderId="7" applyNumberFormat="0" applyAlignment="0" applyProtection="0">
      <alignment vertical="center"/>
    </xf>
    <xf numFmtId="0" fontId="14" fillId="8" borderId="7" applyNumberFormat="0" applyAlignment="0" applyProtection="0">
      <alignment vertical="center"/>
    </xf>
    <xf numFmtId="0" fontId="14" fillId="8" borderId="7" applyNumberFormat="0" applyAlignment="0" applyProtection="0">
      <alignment vertical="center"/>
    </xf>
    <xf numFmtId="0" fontId="14" fillId="8" borderId="7" applyNumberFormat="0" applyAlignment="0" applyProtection="0">
      <alignment vertical="center"/>
    </xf>
    <xf numFmtId="0" fontId="14" fillId="8" borderId="7" applyNumberFormat="0" applyAlignment="0" applyProtection="0">
      <alignment vertical="center"/>
    </xf>
    <xf numFmtId="0" fontId="14" fillId="8" borderId="7" applyNumberFormat="0" applyAlignment="0" applyProtection="0">
      <alignment vertical="center"/>
    </xf>
    <xf numFmtId="0" fontId="14" fillId="8" borderId="7" applyNumberFormat="0" applyAlignment="0" applyProtection="0">
      <alignment vertical="center"/>
    </xf>
    <xf numFmtId="0" fontId="14" fillId="8" borderId="7" applyNumberFormat="0" applyAlignment="0" applyProtection="0">
      <alignment vertical="center"/>
    </xf>
    <xf numFmtId="0" fontId="14" fillId="8" borderId="7" applyNumberFormat="0" applyAlignment="0" applyProtection="0">
      <alignment vertical="center"/>
    </xf>
    <xf numFmtId="0" fontId="14" fillId="8" borderId="7" applyNumberFormat="0" applyAlignment="0" applyProtection="0">
      <alignment vertical="center"/>
    </xf>
    <xf numFmtId="0" fontId="14" fillId="8" borderId="7" applyNumberFormat="0" applyAlignment="0" applyProtection="0">
      <alignment vertical="center"/>
    </xf>
    <xf numFmtId="0" fontId="14" fillId="8" borderId="7" applyNumberFormat="0" applyAlignment="0" applyProtection="0">
      <alignment vertical="center"/>
    </xf>
    <xf numFmtId="0" fontId="14" fillId="8" borderId="7" applyNumberFormat="0" applyAlignment="0" applyProtection="0">
      <alignment vertical="center"/>
    </xf>
    <xf numFmtId="0" fontId="14" fillId="8" borderId="7" applyNumberFormat="0" applyAlignment="0" applyProtection="0">
      <alignment vertical="center"/>
    </xf>
    <xf numFmtId="0" fontId="14" fillId="8" borderId="7" applyNumberFormat="0" applyAlignment="0" applyProtection="0">
      <alignment vertical="center"/>
    </xf>
    <xf numFmtId="0" fontId="14" fillId="8" borderId="7" applyNumberFormat="0" applyAlignment="0" applyProtection="0">
      <alignment vertical="center"/>
    </xf>
    <xf numFmtId="0" fontId="14" fillId="8" borderId="7" applyNumberFormat="0" applyAlignment="0" applyProtection="0">
      <alignment vertical="center"/>
    </xf>
    <xf numFmtId="0" fontId="14" fillId="8" borderId="7" applyNumberFormat="0" applyAlignment="0" applyProtection="0">
      <alignment vertical="center"/>
    </xf>
    <xf numFmtId="0" fontId="14" fillId="8" borderId="7" applyNumberFormat="0" applyAlignment="0" applyProtection="0">
      <alignment vertical="center"/>
    </xf>
    <xf numFmtId="0" fontId="14" fillId="8" borderId="7" applyNumberFormat="0" applyAlignment="0" applyProtection="0">
      <alignment vertical="center"/>
    </xf>
    <xf numFmtId="0" fontId="14" fillId="8" borderId="7" applyNumberFormat="0" applyAlignment="0" applyProtection="0">
      <alignment vertical="center"/>
    </xf>
    <xf numFmtId="0" fontId="14" fillId="8" borderId="7" applyNumberFormat="0" applyAlignment="0" applyProtection="0">
      <alignment vertical="center"/>
    </xf>
    <xf numFmtId="0" fontId="14" fillId="8" borderId="7" applyNumberFormat="0" applyAlignment="0" applyProtection="0">
      <alignment vertical="center"/>
    </xf>
    <xf numFmtId="0" fontId="14" fillId="8" borderId="7" applyNumberFormat="0" applyAlignment="0" applyProtection="0">
      <alignment vertical="center"/>
    </xf>
    <xf numFmtId="0" fontId="14" fillId="8" borderId="7" applyNumberFormat="0" applyAlignment="0" applyProtection="0">
      <alignment vertical="center"/>
    </xf>
    <xf numFmtId="0" fontId="14" fillId="8" borderId="7" applyNumberFormat="0" applyAlignment="0" applyProtection="0">
      <alignment vertical="center"/>
    </xf>
    <xf numFmtId="0" fontId="14" fillId="8" borderId="7" applyNumberFormat="0" applyAlignment="0" applyProtection="0">
      <alignment vertical="center"/>
    </xf>
    <xf numFmtId="0" fontId="14" fillId="8" borderId="7" applyNumberFormat="0" applyAlignment="0" applyProtection="0">
      <alignment vertical="center"/>
    </xf>
    <xf numFmtId="0" fontId="14" fillId="8" borderId="7" applyNumberFormat="0" applyAlignment="0" applyProtection="0">
      <alignment vertical="center"/>
    </xf>
    <xf numFmtId="0" fontId="14" fillId="8" borderId="7" applyNumberFormat="0" applyAlignment="0" applyProtection="0">
      <alignment vertical="center"/>
    </xf>
    <xf numFmtId="0" fontId="14" fillId="8" borderId="7" applyNumberFormat="0" applyAlignment="0" applyProtection="0">
      <alignment vertical="center"/>
    </xf>
    <xf numFmtId="0" fontId="14" fillId="8" borderId="7" applyNumberFormat="0" applyAlignment="0" applyProtection="0">
      <alignment vertical="center"/>
    </xf>
    <xf numFmtId="0" fontId="14" fillId="8" borderId="7" applyNumberFormat="0" applyAlignment="0" applyProtection="0">
      <alignment vertical="center"/>
    </xf>
    <xf numFmtId="0" fontId="14" fillId="8" borderId="7" applyNumberFormat="0" applyAlignment="0" applyProtection="0">
      <alignment vertical="center"/>
    </xf>
    <xf numFmtId="0" fontId="14" fillId="8" borderId="7" applyNumberFormat="0" applyAlignment="0" applyProtection="0">
      <alignment vertical="center"/>
    </xf>
    <xf numFmtId="0" fontId="14" fillId="8" borderId="7" applyNumberFormat="0" applyAlignment="0" applyProtection="0">
      <alignment vertical="center"/>
    </xf>
    <xf numFmtId="0" fontId="14" fillId="8" borderId="7" applyNumberFormat="0" applyAlignment="0" applyProtection="0">
      <alignment vertical="center"/>
    </xf>
    <xf numFmtId="0" fontId="14" fillId="8" borderId="7" applyNumberFormat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10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10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10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10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8" fillId="9" borderId="8" applyNumberFormat="0" applyFont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0" fillId="41" borderId="4" applyNumberFormat="0" applyAlignment="0" applyProtection="0">
      <alignment vertical="center"/>
    </xf>
    <xf numFmtId="0" fontId="20" fillId="41" borderId="4" applyNumberFormat="0" applyAlignment="0" applyProtection="0">
      <alignment vertical="center"/>
    </xf>
    <xf numFmtId="0" fontId="20" fillId="41" borderId="4" applyNumberFormat="0" applyAlignment="0" applyProtection="0">
      <alignment vertical="center"/>
    </xf>
    <xf numFmtId="0" fontId="20" fillId="41" borderId="4" applyNumberFormat="0" applyAlignment="0" applyProtection="0">
      <alignment vertical="center"/>
    </xf>
    <xf numFmtId="0" fontId="20" fillId="41" borderId="4" applyNumberFormat="0" applyAlignment="0" applyProtection="0">
      <alignment vertical="center"/>
    </xf>
    <xf numFmtId="0" fontId="20" fillId="41" borderId="4" applyNumberFormat="0" applyAlignment="0" applyProtection="0">
      <alignment vertical="center"/>
    </xf>
    <xf numFmtId="0" fontId="20" fillId="41" borderId="4" applyNumberFormat="0" applyAlignment="0" applyProtection="0">
      <alignment vertical="center"/>
    </xf>
    <xf numFmtId="0" fontId="20" fillId="41" borderId="4" applyNumberFormat="0" applyAlignment="0" applyProtection="0">
      <alignment vertical="center"/>
    </xf>
    <xf numFmtId="0" fontId="20" fillId="41" borderId="4" applyNumberFormat="0" applyAlignment="0" applyProtection="0">
      <alignment vertical="center"/>
    </xf>
    <xf numFmtId="0" fontId="20" fillId="41" borderId="4" applyNumberFormat="0" applyAlignment="0" applyProtection="0">
      <alignment vertical="center"/>
    </xf>
    <xf numFmtId="0" fontId="20" fillId="6" borderId="4" applyNumberFormat="0" applyAlignment="0" applyProtection="0">
      <alignment vertical="center"/>
    </xf>
    <xf numFmtId="0" fontId="20" fillId="41" borderId="4" applyNumberFormat="0" applyAlignment="0" applyProtection="0">
      <alignment vertical="center"/>
    </xf>
    <xf numFmtId="0" fontId="20" fillId="41" borderId="4" applyNumberFormat="0" applyAlignment="0" applyProtection="0">
      <alignment vertical="center"/>
    </xf>
    <xf numFmtId="0" fontId="20" fillId="41" borderId="4" applyNumberFormat="0" applyAlignment="0" applyProtection="0">
      <alignment vertical="center"/>
    </xf>
    <xf numFmtId="0" fontId="20" fillId="41" borderId="4" applyNumberFormat="0" applyAlignment="0" applyProtection="0">
      <alignment vertical="center"/>
    </xf>
    <xf numFmtId="0" fontId="20" fillId="41" borderId="4" applyNumberFormat="0" applyAlignment="0" applyProtection="0">
      <alignment vertical="center"/>
    </xf>
    <xf numFmtId="0" fontId="20" fillId="41" borderId="4" applyNumberFormat="0" applyAlignment="0" applyProtection="0">
      <alignment vertical="center"/>
    </xf>
    <xf numFmtId="0" fontId="20" fillId="41" borderId="4" applyNumberFormat="0" applyAlignment="0" applyProtection="0">
      <alignment vertical="center"/>
    </xf>
    <xf numFmtId="0" fontId="20" fillId="41" borderId="4" applyNumberFormat="0" applyAlignment="0" applyProtection="0">
      <alignment vertical="center"/>
    </xf>
    <xf numFmtId="0" fontId="20" fillId="41" borderId="4" applyNumberFormat="0" applyAlignment="0" applyProtection="0">
      <alignment vertical="center"/>
    </xf>
    <xf numFmtId="0" fontId="20" fillId="41" borderId="4" applyNumberFormat="0" applyAlignment="0" applyProtection="0">
      <alignment vertical="center"/>
    </xf>
    <xf numFmtId="0" fontId="20" fillId="41" borderId="4" applyNumberFormat="0" applyAlignment="0" applyProtection="0">
      <alignment vertical="center"/>
    </xf>
    <xf numFmtId="0" fontId="20" fillId="41" borderId="4" applyNumberFormat="0" applyAlignment="0" applyProtection="0">
      <alignment vertical="center"/>
    </xf>
    <xf numFmtId="0" fontId="20" fillId="41" borderId="4" applyNumberFormat="0" applyAlignment="0" applyProtection="0">
      <alignment vertical="center"/>
    </xf>
    <xf numFmtId="0" fontId="20" fillId="6" borderId="4" applyNumberFormat="0" applyAlignment="0" applyProtection="0">
      <alignment vertical="center"/>
    </xf>
    <xf numFmtId="0" fontId="20" fillId="41" borderId="4" applyNumberFormat="0" applyAlignment="0" applyProtection="0">
      <alignment vertical="center"/>
    </xf>
    <xf numFmtId="0" fontId="20" fillId="41" borderId="4" applyNumberFormat="0" applyAlignment="0" applyProtection="0">
      <alignment vertical="center"/>
    </xf>
    <xf numFmtId="0" fontId="20" fillId="41" borderId="4" applyNumberFormat="0" applyAlignment="0" applyProtection="0">
      <alignment vertical="center"/>
    </xf>
    <xf numFmtId="0" fontId="20" fillId="41" borderId="4" applyNumberFormat="0" applyAlignment="0" applyProtection="0">
      <alignment vertical="center"/>
    </xf>
    <xf numFmtId="0" fontId="20" fillId="41" borderId="4" applyNumberFormat="0" applyAlignment="0" applyProtection="0">
      <alignment vertical="center"/>
    </xf>
    <xf numFmtId="0" fontId="20" fillId="41" borderId="4" applyNumberFormat="0" applyAlignment="0" applyProtection="0">
      <alignment vertical="center"/>
    </xf>
    <xf numFmtId="0" fontId="20" fillId="41" borderId="4" applyNumberFormat="0" applyAlignment="0" applyProtection="0">
      <alignment vertical="center"/>
    </xf>
    <xf numFmtId="0" fontId="20" fillId="41" borderId="4" applyNumberFormat="0" applyAlignment="0" applyProtection="0">
      <alignment vertical="center"/>
    </xf>
    <xf numFmtId="0" fontId="20" fillId="41" borderId="4" applyNumberFormat="0" applyAlignment="0" applyProtection="0">
      <alignment vertical="center"/>
    </xf>
    <xf numFmtId="0" fontId="20" fillId="41" borderId="4" applyNumberFormat="0" applyAlignment="0" applyProtection="0">
      <alignment vertical="center"/>
    </xf>
    <xf numFmtId="0" fontId="20" fillId="41" borderId="4" applyNumberFormat="0" applyAlignment="0" applyProtection="0">
      <alignment vertical="center"/>
    </xf>
    <xf numFmtId="0" fontId="20" fillId="6" borderId="4" applyNumberFormat="0" applyAlignment="0" applyProtection="0">
      <alignment vertical="center"/>
    </xf>
    <xf numFmtId="0" fontId="20" fillId="41" borderId="4" applyNumberFormat="0" applyAlignment="0" applyProtection="0">
      <alignment vertical="center"/>
    </xf>
    <xf numFmtId="0" fontId="20" fillId="41" borderId="4" applyNumberFormat="0" applyAlignment="0" applyProtection="0">
      <alignment vertical="center"/>
    </xf>
    <xf numFmtId="0" fontId="20" fillId="41" borderId="4" applyNumberFormat="0" applyAlignment="0" applyProtection="0">
      <alignment vertical="center"/>
    </xf>
    <xf numFmtId="0" fontId="20" fillId="41" borderId="4" applyNumberFormat="0" applyAlignment="0" applyProtection="0">
      <alignment vertical="center"/>
    </xf>
    <xf numFmtId="0" fontId="20" fillId="41" borderId="4" applyNumberFormat="0" applyAlignment="0" applyProtection="0">
      <alignment vertical="center"/>
    </xf>
    <xf numFmtId="0" fontId="20" fillId="41" borderId="4" applyNumberFormat="0" applyAlignment="0" applyProtection="0">
      <alignment vertical="center"/>
    </xf>
    <xf numFmtId="0" fontId="20" fillId="41" borderId="4" applyNumberFormat="0" applyAlignment="0" applyProtection="0">
      <alignment vertical="center"/>
    </xf>
    <xf numFmtId="0" fontId="20" fillId="41" borderId="4" applyNumberFormat="0" applyAlignment="0" applyProtection="0">
      <alignment vertical="center"/>
    </xf>
    <xf numFmtId="0" fontId="20" fillId="41" borderId="4" applyNumberFormat="0" applyAlignment="0" applyProtection="0">
      <alignment vertical="center"/>
    </xf>
    <xf numFmtId="0" fontId="20" fillId="41" borderId="4" applyNumberFormat="0" applyAlignment="0" applyProtection="0">
      <alignment vertical="center"/>
    </xf>
    <xf numFmtId="0" fontId="20" fillId="41" borderId="4" applyNumberFormat="0" applyAlignment="0" applyProtection="0">
      <alignment vertical="center"/>
    </xf>
    <xf numFmtId="0" fontId="20" fillId="41" borderId="4" applyNumberFormat="0" applyAlignment="0" applyProtection="0">
      <alignment vertical="center"/>
    </xf>
    <xf numFmtId="0" fontId="23" fillId="44" borderId="5" applyNumberFormat="0" applyAlignment="0" applyProtection="0">
      <alignment vertical="center"/>
    </xf>
    <xf numFmtId="0" fontId="23" fillId="44" borderId="5" applyNumberFormat="0" applyAlignment="0" applyProtection="0">
      <alignment vertical="center"/>
    </xf>
    <xf numFmtId="0" fontId="23" fillId="44" borderId="5" applyNumberFormat="0" applyAlignment="0" applyProtection="0">
      <alignment vertical="center"/>
    </xf>
    <xf numFmtId="0" fontId="23" fillId="44" borderId="5" applyNumberFormat="0" applyAlignment="0" applyProtection="0">
      <alignment vertical="center"/>
    </xf>
    <xf numFmtId="0" fontId="23" fillId="44" borderId="5" applyNumberFormat="0" applyAlignment="0" applyProtection="0">
      <alignment vertical="center"/>
    </xf>
    <xf numFmtId="0" fontId="23" fillId="44" borderId="5" applyNumberFormat="0" applyAlignment="0" applyProtection="0">
      <alignment vertical="center"/>
    </xf>
    <xf numFmtId="0" fontId="23" fillId="44" borderId="5" applyNumberFormat="0" applyAlignment="0" applyProtection="0">
      <alignment vertical="center"/>
    </xf>
    <xf numFmtId="0" fontId="23" fillId="44" borderId="5" applyNumberFormat="0" applyAlignment="0" applyProtection="0">
      <alignment vertical="center"/>
    </xf>
    <xf numFmtId="0" fontId="23" fillId="44" borderId="5" applyNumberFormat="0" applyAlignment="0" applyProtection="0">
      <alignment vertical="center"/>
    </xf>
    <xf numFmtId="0" fontId="23" fillId="44" borderId="5" applyNumberFormat="0" applyAlignment="0" applyProtection="0">
      <alignment vertical="center"/>
    </xf>
    <xf numFmtId="0" fontId="23" fillId="7" borderId="5" applyNumberFormat="0" applyAlignment="0" applyProtection="0">
      <alignment vertical="center"/>
    </xf>
    <xf numFmtId="0" fontId="23" fillId="44" borderId="5" applyNumberFormat="0" applyAlignment="0" applyProtection="0">
      <alignment vertical="center"/>
    </xf>
    <xf numFmtId="0" fontId="23" fillId="44" borderId="5" applyNumberFormat="0" applyAlignment="0" applyProtection="0">
      <alignment vertical="center"/>
    </xf>
    <xf numFmtId="0" fontId="23" fillId="44" borderId="5" applyNumberFormat="0" applyAlignment="0" applyProtection="0">
      <alignment vertical="center"/>
    </xf>
    <xf numFmtId="0" fontId="23" fillId="44" borderId="5" applyNumberFormat="0" applyAlignment="0" applyProtection="0">
      <alignment vertical="center"/>
    </xf>
    <xf numFmtId="0" fontId="23" fillId="44" borderId="5" applyNumberFormat="0" applyAlignment="0" applyProtection="0">
      <alignment vertical="center"/>
    </xf>
    <xf numFmtId="0" fontId="23" fillId="44" borderId="5" applyNumberFormat="0" applyAlignment="0" applyProtection="0">
      <alignment vertical="center"/>
    </xf>
    <xf numFmtId="0" fontId="23" fillId="44" borderId="5" applyNumberFormat="0" applyAlignment="0" applyProtection="0">
      <alignment vertical="center"/>
    </xf>
    <xf numFmtId="0" fontId="23" fillId="44" borderId="5" applyNumberFormat="0" applyAlignment="0" applyProtection="0">
      <alignment vertical="center"/>
    </xf>
    <xf numFmtId="0" fontId="23" fillId="44" borderId="5" applyNumberFormat="0" applyAlignment="0" applyProtection="0">
      <alignment vertical="center"/>
    </xf>
    <xf numFmtId="0" fontId="23" fillId="44" borderId="5" applyNumberFormat="0" applyAlignment="0" applyProtection="0">
      <alignment vertical="center"/>
    </xf>
    <xf numFmtId="0" fontId="23" fillId="44" borderId="5" applyNumberFormat="0" applyAlignment="0" applyProtection="0">
      <alignment vertical="center"/>
    </xf>
    <xf numFmtId="0" fontId="23" fillId="44" borderId="5" applyNumberFormat="0" applyAlignment="0" applyProtection="0">
      <alignment vertical="center"/>
    </xf>
    <xf numFmtId="0" fontId="23" fillId="44" borderId="5" applyNumberFormat="0" applyAlignment="0" applyProtection="0">
      <alignment vertical="center"/>
    </xf>
    <xf numFmtId="0" fontId="23" fillId="7" borderId="5" applyNumberFormat="0" applyAlignment="0" applyProtection="0">
      <alignment vertical="center"/>
    </xf>
    <xf numFmtId="0" fontId="23" fillId="44" borderId="5" applyNumberFormat="0" applyAlignment="0" applyProtection="0">
      <alignment vertical="center"/>
    </xf>
    <xf numFmtId="0" fontId="23" fillId="44" borderId="5" applyNumberFormat="0" applyAlignment="0" applyProtection="0">
      <alignment vertical="center"/>
    </xf>
    <xf numFmtId="0" fontId="23" fillId="44" borderId="5" applyNumberFormat="0" applyAlignment="0" applyProtection="0">
      <alignment vertical="center"/>
    </xf>
    <xf numFmtId="0" fontId="23" fillId="44" borderId="5" applyNumberFormat="0" applyAlignment="0" applyProtection="0">
      <alignment vertical="center"/>
    </xf>
    <xf numFmtId="0" fontId="23" fillId="44" borderId="5" applyNumberFormat="0" applyAlignment="0" applyProtection="0">
      <alignment vertical="center"/>
    </xf>
    <xf numFmtId="0" fontId="23" fillId="44" borderId="5" applyNumberFormat="0" applyAlignment="0" applyProtection="0">
      <alignment vertical="center"/>
    </xf>
    <xf numFmtId="0" fontId="23" fillId="44" borderId="5" applyNumberFormat="0" applyAlignment="0" applyProtection="0">
      <alignment vertical="center"/>
    </xf>
    <xf numFmtId="0" fontId="23" fillId="44" borderId="5" applyNumberFormat="0" applyAlignment="0" applyProtection="0">
      <alignment vertical="center"/>
    </xf>
    <xf numFmtId="0" fontId="23" fillId="44" borderId="5" applyNumberFormat="0" applyAlignment="0" applyProtection="0">
      <alignment vertical="center"/>
    </xf>
    <xf numFmtId="0" fontId="23" fillId="44" borderId="5" applyNumberFormat="0" applyAlignment="0" applyProtection="0">
      <alignment vertical="center"/>
    </xf>
    <xf numFmtId="0" fontId="23" fillId="44" borderId="5" applyNumberFormat="0" applyAlignment="0" applyProtection="0">
      <alignment vertical="center"/>
    </xf>
    <xf numFmtId="0" fontId="23" fillId="7" borderId="5" applyNumberFormat="0" applyAlignment="0" applyProtection="0">
      <alignment vertical="center"/>
    </xf>
    <xf numFmtId="0" fontId="23" fillId="44" borderId="5" applyNumberFormat="0" applyAlignment="0" applyProtection="0">
      <alignment vertical="center"/>
    </xf>
    <xf numFmtId="0" fontId="23" fillId="44" borderId="5" applyNumberFormat="0" applyAlignment="0" applyProtection="0">
      <alignment vertical="center"/>
    </xf>
    <xf numFmtId="0" fontId="23" fillId="44" borderId="5" applyNumberFormat="0" applyAlignment="0" applyProtection="0">
      <alignment vertical="center"/>
    </xf>
    <xf numFmtId="0" fontId="23" fillId="44" borderId="5" applyNumberFormat="0" applyAlignment="0" applyProtection="0">
      <alignment vertical="center"/>
    </xf>
    <xf numFmtId="0" fontId="23" fillId="44" borderId="5" applyNumberFormat="0" applyAlignment="0" applyProtection="0">
      <alignment vertical="center"/>
    </xf>
    <xf numFmtId="0" fontId="23" fillId="44" borderId="5" applyNumberFormat="0" applyAlignment="0" applyProtection="0">
      <alignment vertical="center"/>
    </xf>
    <xf numFmtId="0" fontId="23" fillId="44" borderId="5" applyNumberFormat="0" applyAlignment="0" applyProtection="0">
      <alignment vertical="center"/>
    </xf>
    <xf numFmtId="0" fontId="23" fillId="44" borderId="5" applyNumberFormat="0" applyAlignment="0" applyProtection="0">
      <alignment vertical="center"/>
    </xf>
    <xf numFmtId="0" fontId="23" fillId="44" borderId="5" applyNumberFormat="0" applyAlignment="0" applyProtection="0">
      <alignment vertical="center"/>
    </xf>
    <xf numFmtId="0" fontId="23" fillId="44" borderId="5" applyNumberFormat="0" applyAlignment="0" applyProtection="0">
      <alignment vertical="center"/>
    </xf>
    <xf numFmtId="0" fontId="23" fillId="44" borderId="5" applyNumberFormat="0" applyAlignment="0" applyProtection="0">
      <alignment vertical="center"/>
    </xf>
    <xf numFmtId="0" fontId="23" fillId="44" borderId="5" applyNumberFormat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38" fontId="9" fillId="0" borderId="0" applyFont="0" applyFill="0" applyBorder="0" applyAlignment="0" applyProtection="0"/>
    <xf numFmtId="38" fontId="9" fillId="0" borderId="0" applyFont="0" applyFill="0" applyBorder="0" applyAlignment="0" applyProtection="0"/>
    <xf numFmtId="38" fontId="9" fillId="0" borderId="0" applyFont="0" applyFill="0" applyBorder="0" applyAlignment="0" applyProtection="0"/>
    <xf numFmtId="38" fontId="9" fillId="0" borderId="0" applyFont="0" applyFill="0" applyBorder="0" applyAlignment="0" applyProtection="0"/>
    <xf numFmtId="38" fontId="9" fillId="0" borderId="0" applyFont="0" applyFill="0" applyBorder="0" applyAlignment="0" applyProtection="0"/>
    <xf numFmtId="38" fontId="9" fillId="0" borderId="0" applyFont="0" applyFill="0" applyBorder="0" applyAlignment="0" applyProtection="0"/>
    <xf numFmtId="0" fontId="7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9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9" fillId="0" borderId="0"/>
    <xf numFmtId="0" fontId="10" fillId="0" borderId="0">
      <alignment vertical="center"/>
    </xf>
    <xf numFmtId="0" fontId="9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7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9" fillId="0" borderId="0"/>
    <xf numFmtId="0" fontId="9" fillId="0" borderId="0"/>
    <xf numFmtId="0" fontId="9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9" fillId="0" borderId="0"/>
    <xf numFmtId="0" fontId="10" fillId="0" borderId="0">
      <alignment vertical="center"/>
    </xf>
    <xf numFmtId="0" fontId="9" fillId="0" borderId="0"/>
    <xf numFmtId="0" fontId="10" fillId="0" borderId="0">
      <alignment vertical="center"/>
    </xf>
    <xf numFmtId="0" fontId="9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7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29" fillId="0" borderId="15" applyNumberFormat="0" applyFill="0" applyAlignment="0" applyProtection="0">
      <alignment vertical="center"/>
    </xf>
    <xf numFmtId="0" fontId="29" fillId="0" borderId="15" applyNumberFormat="0" applyFill="0" applyAlignment="0" applyProtection="0">
      <alignment vertical="center"/>
    </xf>
    <xf numFmtId="0" fontId="29" fillId="0" borderId="15" applyNumberFormat="0" applyFill="0" applyAlignment="0" applyProtection="0">
      <alignment vertical="center"/>
    </xf>
    <xf numFmtId="0" fontId="29" fillId="0" borderId="15" applyNumberFormat="0" applyFill="0" applyAlignment="0" applyProtection="0">
      <alignment vertical="center"/>
    </xf>
    <xf numFmtId="0" fontId="29" fillId="0" borderId="15" applyNumberFormat="0" applyFill="0" applyAlignment="0" applyProtection="0">
      <alignment vertical="center"/>
    </xf>
    <xf numFmtId="0" fontId="29" fillId="0" borderId="15" applyNumberFormat="0" applyFill="0" applyAlignment="0" applyProtection="0">
      <alignment vertical="center"/>
    </xf>
    <xf numFmtId="0" fontId="29" fillId="0" borderId="15" applyNumberFormat="0" applyFill="0" applyAlignment="0" applyProtection="0">
      <alignment vertical="center"/>
    </xf>
    <xf numFmtId="0" fontId="29" fillId="0" borderId="15" applyNumberFormat="0" applyFill="0" applyAlignment="0" applyProtection="0">
      <alignment vertical="center"/>
    </xf>
    <xf numFmtId="0" fontId="29" fillId="0" borderId="15" applyNumberFormat="0" applyFill="0" applyAlignment="0" applyProtection="0">
      <alignment vertical="center"/>
    </xf>
    <xf numFmtId="0" fontId="29" fillId="0" borderId="15" applyNumberFormat="0" applyFill="0" applyAlignment="0" applyProtection="0">
      <alignment vertical="center"/>
    </xf>
    <xf numFmtId="0" fontId="17" fillId="0" borderId="1" applyNumberFormat="0" applyFill="0" applyAlignment="0" applyProtection="0">
      <alignment vertical="center"/>
    </xf>
    <xf numFmtId="0" fontId="29" fillId="0" borderId="15" applyNumberFormat="0" applyFill="0" applyAlignment="0" applyProtection="0">
      <alignment vertical="center"/>
    </xf>
    <xf numFmtId="0" fontId="29" fillId="0" borderId="15" applyNumberFormat="0" applyFill="0" applyAlignment="0" applyProtection="0">
      <alignment vertical="center"/>
    </xf>
    <xf numFmtId="0" fontId="29" fillId="0" borderId="15" applyNumberFormat="0" applyFill="0" applyAlignment="0" applyProtection="0">
      <alignment vertical="center"/>
    </xf>
    <xf numFmtId="0" fontId="29" fillId="0" borderId="15" applyNumberFormat="0" applyFill="0" applyAlignment="0" applyProtection="0">
      <alignment vertical="center"/>
    </xf>
    <xf numFmtId="0" fontId="29" fillId="0" borderId="15" applyNumberFormat="0" applyFill="0" applyAlignment="0" applyProtection="0">
      <alignment vertical="center"/>
    </xf>
    <xf numFmtId="0" fontId="29" fillId="0" borderId="15" applyNumberFormat="0" applyFill="0" applyAlignment="0" applyProtection="0">
      <alignment vertical="center"/>
    </xf>
    <xf numFmtId="0" fontId="29" fillId="0" borderId="15" applyNumberFormat="0" applyFill="0" applyAlignment="0" applyProtection="0">
      <alignment vertical="center"/>
    </xf>
    <xf numFmtId="0" fontId="29" fillId="0" borderId="15" applyNumberFormat="0" applyFill="0" applyAlignment="0" applyProtection="0">
      <alignment vertical="center"/>
    </xf>
    <xf numFmtId="0" fontId="29" fillId="0" borderId="15" applyNumberFormat="0" applyFill="0" applyAlignment="0" applyProtection="0">
      <alignment vertical="center"/>
    </xf>
    <xf numFmtId="0" fontId="29" fillId="0" borderId="15" applyNumberFormat="0" applyFill="0" applyAlignment="0" applyProtection="0">
      <alignment vertical="center"/>
    </xf>
    <xf numFmtId="0" fontId="29" fillId="0" borderId="15" applyNumberFormat="0" applyFill="0" applyAlignment="0" applyProtection="0">
      <alignment vertical="center"/>
    </xf>
    <xf numFmtId="0" fontId="29" fillId="0" borderId="15" applyNumberFormat="0" applyFill="0" applyAlignment="0" applyProtection="0">
      <alignment vertical="center"/>
    </xf>
    <xf numFmtId="0" fontId="29" fillId="0" borderId="15" applyNumberFormat="0" applyFill="0" applyAlignment="0" applyProtection="0">
      <alignment vertical="center"/>
    </xf>
    <xf numFmtId="0" fontId="17" fillId="0" borderId="1" applyNumberFormat="0" applyFill="0" applyAlignment="0" applyProtection="0">
      <alignment vertical="center"/>
    </xf>
    <xf numFmtId="0" fontId="29" fillId="0" borderId="15" applyNumberFormat="0" applyFill="0" applyAlignment="0" applyProtection="0">
      <alignment vertical="center"/>
    </xf>
    <xf numFmtId="0" fontId="29" fillId="0" borderId="15" applyNumberFormat="0" applyFill="0" applyAlignment="0" applyProtection="0">
      <alignment vertical="center"/>
    </xf>
    <xf numFmtId="0" fontId="29" fillId="0" borderId="15" applyNumberFormat="0" applyFill="0" applyAlignment="0" applyProtection="0">
      <alignment vertical="center"/>
    </xf>
    <xf numFmtId="0" fontId="29" fillId="0" borderId="15" applyNumberFormat="0" applyFill="0" applyAlignment="0" applyProtection="0">
      <alignment vertical="center"/>
    </xf>
    <xf numFmtId="0" fontId="29" fillId="0" borderId="15" applyNumberFormat="0" applyFill="0" applyAlignment="0" applyProtection="0">
      <alignment vertical="center"/>
    </xf>
    <xf numFmtId="0" fontId="29" fillId="0" borderId="15" applyNumberFormat="0" applyFill="0" applyAlignment="0" applyProtection="0">
      <alignment vertical="center"/>
    </xf>
    <xf numFmtId="0" fontId="29" fillId="0" borderId="15" applyNumberFormat="0" applyFill="0" applyAlignment="0" applyProtection="0">
      <alignment vertical="center"/>
    </xf>
    <xf numFmtId="0" fontId="29" fillId="0" borderId="15" applyNumberFormat="0" applyFill="0" applyAlignment="0" applyProtection="0">
      <alignment vertical="center"/>
    </xf>
    <xf numFmtId="0" fontId="29" fillId="0" borderId="15" applyNumberFormat="0" applyFill="0" applyAlignment="0" applyProtection="0">
      <alignment vertical="center"/>
    </xf>
    <xf numFmtId="0" fontId="29" fillId="0" borderId="15" applyNumberFormat="0" applyFill="0" applyAlignment="0" applyProtection="0">
      <alignment vertical="center"/>
    </xf>
    <xf numFmtId="0" fontId="29" fillId="0" borderId="15" applyNumberFormat="0" applyFill="0" applyAlignment="0" applyProtection="0">
      <alignment vertical="center"/>
    </xf>
    <xf numFmtId="0" fontId="17" fillId="0" borderId="1" applyNumberFormat="0" applyFill="0" applyAlignment="0" applyProtection="0">
      <alignment vertical="center"/>
    </xf>
    <xf numFmtId="0" fontId="29" fillId="0" borderId="15" applyNumberFormat="0" applyFill="0" applyAlignment="0" applyProtection="0">
      <alignment vertical="center"/>
    </xf>
    <xf numFmtId="0" fontId="29" fillId="0" borderId="15" applyNumberFormat="0" applyFill="0" applyAlignment="0" applyProtection="0">
      <alignment vertical="center"/>
    </xf>
    <xf numFmtId="0" fontId="29" fillId="0" borderId="15" applyNumberFormat="0" applyFill="0" applyAlignment="0" applyProtection="0">
      <alignment vertical="center"/>
    </xf>
    <xf numFmtId="0" fontId="29" fillId="0" borderId="15" applyNumberFormat="0" applyFill="0" applyAlignment="0" applyProtection="0">
      <alignment vertical="center"/>
    </xf>
    <xf numFmtId="0" fontId="29" fillId="0" borderId="15" applyNumberFormat="0" applyFill="0" applyAlignment="0" applyProtection="0">
      <alignment vertical="center"/>
    </xf>
    <xf numFmtId="0" fontId="29" fillId="0" borderId="15" applyNumberFormat="0" applyFill="0" applyAlignment="0" applyProtection="0">
      <alignment vertical="center"/>
    </xf>
    <xf numFmtId="0" fontId="29" fillId="0" borderId="15" applyNumberFormat="0" applyFill="0" applyAlignment="0" applyProtection="0">
      <alignment vertical="center"/>
    </xf>
    <xf numFmtId="0" fontId="29" fillId="0" borderId="15" applyNumberFormat="0" applyFill="0" applyAlignment="0" applyProtection="0">
      <alignment vertical="center"/>
    </xf>
    <xf numFmtId="0" fontId="29" fillId="0" borderId="15" applyNumberFormat="0" applyFill="0" applyAlignment="0" applyProtection="0">
      <alignment vertical="center"/>
    </xf>
    <xf numFmtId="0" fontId="29" fillId="0" borderId="15" applyNumberFormat="0" applyFill="0" applyAlignment="0" applyProtection="0">
      <alignment vertical="center"/>
    </xf>
    <xf numFmtId="0" fontId="29" fillId="0" borderId="15" applyNumberFormat="0" applyFill="0" applyAlignment="0" applyProtection="0">
      <alignment vertical="center"/>
    </xf>
    <xf numFmtId="0" fontId="29" fillId="0" borderId="15" applyNumberFormat="0" applyFill="0" applyAlignment="0" applyProtection="0">
      <alignment vertical="center"/>
    </xf>
    <xf numFmtId="0" fontId="30" fillId="0" borderId="2" applyNumberFormat="0" applyFill="0" applyAlignment="0" applyProtection="0">
      <alignment vertical="center"/>
    </xf>
    <xf numFmtId="0" fontId="30" fillId="0" borderId="2" applyNumberFormat="0" applyFill="0" applyAlignment="0" applyProtection="0">
      <alignment vertical="center"/>
    </xf>
    <xf numFmtId="0" fontId="30" fillId="0" borderId="2" applyNumberFormat="0" applyFill="0" applyAlignment="0" applyProtection="0">
      <alignment vertical="center"/>
    </xf>
    <xf numFmtId="0" fontId="30" fillId="0" borderId="2" applyNumberFormat="0" applyFill="0" applyAlignment="0" applyProtection="0">
      <alignment vertical="center"/>
    </xf>
    <xf numFmtId="0" fontId="30" fillId="0" borderId="2" applyNumberFormat="0" applyFill="0" applyAlignment="0" applyProtection="0">
      <alignment vertical="center"/>
    </xf>
    <xf numFmtId="0" fontId="30" fillId="0" borderId="2" applyNumberFormat="0" applyFill="0" applyAlignment="0" applyProtection="0">
      <alignment vertical="center"/>
    </xf>
    <xf numFmtId="0" fontId="30" fillId="0" borderId="2" applyNumberFormat="0" applyFill="0" applyAlignment="0" applyProtection="0">
      <alignment vertical="center"/>
    </xf>
    <xf numFmtId="0" fontId="30" fillId="0" borderId="2" applyNumberFormat="0" applyFill="0" applyAlignment="0" applyProtection="0">
      <alignment vertical="center"/>
    </xf>
    <xf numFmtId="0" fontId="30" fillId="0" borderId="2" applyNumberFormat="0" applyFill="0" applyAlignment="0" applyProtection="0">
      <alignment vertical="center"/>
    </xf>
    <xf numFmtId="0" fontId="30" fillId="0" borderId="2" applyNumberFormat="0" applyFill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30" fillId="0" borderId="2" applyNumberFormat="0" applyFill="0" applyAlignment="0" applyProtection="0">
      <alignment vertical="center"/>
    </xf>
    <xf numFmtId="0" fontId="30" fillId="0" borderId="2" applyNumberFormat="0" applyFill="0" applyAlignment="0" applyProtection="0">
      <alignment vertical="center"/>
    </xf>
    <xf numFmtId="0" fontId="30" fillId="0" borderId="2" applyNumberFormat="0" applyFill="0" applyAlignment="0" applyProtection="0">
      <alignment vertical="center"/>
    </xf>
    <xf numFmtId="0" fontId="30" fillId="0" borderId="2" applyNumberFormat="0" applyFill="0" applyAlignment="0" applyProtection="0">
      <alignment vertical="center"/>
    </xf>
    <xf numFmtId="0" fontId="30" fillId="0" borderId="2" applyNumberFormat="0" applyFill="0" applyAlignment="0" applyProtection="0">
      <alignment vertical="center"/>
    </xf>
    <xf numFmtId="0" fontId="30" fillId="0" borderId="2" applyNumberFormat="0" applyFill="0" applyAlignment="0" applyProtection="0">
      <alignment vertical="center"/>
    </xf>
    <xf numFmtId="0" fontId="30" fillId="0" borderId="2" applyNumberFormat="0" applyFill="0" applyAlignment="0" applyProtection="0">
      <alignment vertical="center"/>
    </xf>
    <xf numFmtId="0" fontId="30" fillId="0" borderId="2" applyNumberFormat="0" applyFill="0" applyAlignment="0" applyProtection="0">
      <alignment vertical="center"/>
    </xf>
    <xf numFmtId="0" fontId="30" fillId="0" borderId="2" applyNumberFormat="0" applyFill="0" applyAlignment="0" applyProtection="0">
      <alignment vertical="center"/>
    </xf>
    <xf numFmtId="0" fontId="30" fillId="0" borderId="2" applyNumberFormat="0" applyFill="0" applyAlignment="0" applyProtection="0">
      <alignment vertical="center"/>
    </xf>
    <xf numFmtId="0" fontId="30" fillId="0" borderId="2" applyNumberFormat="0" applyFill="0" applyAlignment="0" applyProtection="0">
      <alignment vertical="center"/>
    </xf>
    <xf numFmtId="0" fontId="30" fillId="0" borderId="2" applyNumberFormat="0" applyFill="0" applyAlignment="0" applyProtection="0">
      <alignment vertical="center"/>
    </xf>
    <xf numFmtId="0" fontId="30" fillId="0" borderId="2" applyNumberFormat="0" applyFill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30" fillId="0" borderId="2" applyNumberFormat="0" applyFill="0" applyAlignment="0" applyProtection="0">
      <alignment vertical="center"/>
    </xf>
    <xf numFmtId="0" fontId="30" fillId="0" borderId="2" applyNumberFormat="0" applyFill="0" applyAlignment="0" applyProtection="0">
      <alignment vertical="center"/>
    </xf>
    <xf numFmtId="0" fontId="30" fillId="0" borderId="2" applyNumberFormat="0" applyFill="0" applyAlignment="0" applyProtection="0">
      <alignment vertical="center"/>
    </xf>
    <xf numFmtId="0" fontId="30" fillId="0" borderId="2" applyNumberFormat="0" applyFill="0" applyAlignment="0" applyProtection="0">
      <alignment vertical="center"/>
    </xf>
    <xf numFmtId="0" fontId="30" fillId="0" borderId="2" applyNumberFormat="0" applyFill="0" applyAlignment="0" applyProtection="0">
      <alignment vertical="center"/>
    </xf>
    <xf numFmtId="0" fontId="30" fillId="0" borderId="2" applyNumberFormat="0" applyFill="0" applyAlignment="0" applyProtection="0">
      <alignment vertical="center"/>
    </xf>
    <xf numFmtId="0" fontId="30" fillId="0" borderId="2" applyNumberFormat="0" applyFill="0" applyAlignment="0" applyProtection="0">
      <alignment vertical="center"/>
    </xf>
    <xf numFmtId="0" fontId="30" fillId="0" borderId="2" applyNumberFormat="0" applyFill="0" applyAlignment="0" applyProtection="0">
      <alignment vertical="center"/>
    </xf>
    <xf numFmtId="0" fontId="30" fillId="0" borderId="2" applyNumberFormat="0" applyFill="0" applyAlignment="0" applyProtection="0">
      <alignment vertical="center"/>
    </xf>
    <xf numFmtId="0" fontId="30" fillId="0" borderId="2" applyNumberFormat="0" applyFill="0" applyAlignment="0" applyProtection="0">
      <alignment vertical="center"/>
    </xf>
    <xf numFmtId="0" fontId="30" fillId="0" borderId="2" applyNumberFormat="0" applyFill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30" fillId="0" borderId="2" applyNumberFormat="0" applyFill="0" applyAlignment="0" applyProtection="0">
      <alignment vertical="center"/>
    </xf>
    <xf numFmtId="0" fontId="30" fillId="0" borderId="2" applyNumberFormat="0" applyFill="0" applyAlignment="0" applyProtection="0">
      <alignment vertical="center"/>
    </xf>
    <xf numFmtId="0" fontId="30" fillId="0" borderId="2" applyNumberFormat="0" applyFill="0" applyAlignment="0" applyProtection="0">
      <alignment vertical="center"/>
    </xf>
    <xf numFmtId="0" fontId="30" fillId="0" borderId="2" applyNumberFormat="0" applyFill="0" applyAlignment="0" applyProtection="0">
      <alignment vertical="center"/>
    </xf>
    <xf numFmtId="0" fontId="30" fillId="0" borderId="2" applyNumberFormat="0" applyFill="0" applyAlignment="0" applyProtection="0">
      <alignment vertical="center"/>
    </xf>
    <xf numFmtId="0" fontId="30" fillId="0" borderId="2" applyNumberFormat="0" applyFill="0" applyAlignment="0" applyProtection="0">
      <alignment vertical="center"/>
    </xf>
    <xf numFmtId="0" fontId="30" fillId="0" borderId="2" applyNumberFormat="0" applyFill="0" applyAlignment="0" applyProtection="0">
      <alignment vertical="center"/>
    </xf>
    <xf numFmtId="0" fontId="30" fillId="0" borderId="2" applyNumberFormat="0" applyFill="0" applyAlignment="0" applyProtection="0">
      <alignment vertical="center"/>
    </xf>
    <xf numFmtId="0" fontId="30" fillId="0" borderId="2" applyNumberFormat="0" applyFill="0" applyAlignment="0" applyProtection="0">
      <alignment vertical="center"/>
    </xf>
    <xf numFmtId="0" fontId="30" fillId="0" borderId="2" applyNumberFormat="0" applyFill="0" applyAlignment="0" applyProtection="0">
      <alignment vertical="center"/>
    </xf>
    <xf numFmtId="0" fontId="30" fillId="0" borderId="2" applyNumberFormat="0" applyFill="0" applyAlignment="0" applyProtection="0">
      <alignment vertical="center"/>
    </xf>
    <xf numFmtId="0" fontId="30" fillId="0" borderId="2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19" fillId="0" borderId="3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19" fillId="0" borderId="3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19" fillId="0" borderId="3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13" fillId="44" borderId="4" applyNumberFormat="0" applyAlignment="0" applyProtection="0">
      <alignment vertical="center"/>
    </xf>
    <xf numFmtId="0" fontId="13" fillId="44" borderId="4" applyNumberFormat="0" applyAlignment="0" applyProtection="0">
      <alignment vertical="center"/>
    </xf>
    <xf numFmtId="0" fontId="13" fillId="44" borderId="4" applyNumberFormat="0" applyAlignment="0" applyProtection="0">
      <alignment vertical="center"/>
    </xf>
    <xf numFmtId="0" fontId="13" fillId="44" borderId="4" applyNumberFormat="0" applyAlignment="0" applyProtection="0">
      <alignment vertical="center"/>
    </xf>
    <xf numFmtId="0" fontId="13" fillId="44" borderId="4" applyNumberFormat="0" applyAlignment="0" applyProtection="0">
      <alignment vertical="center"/>
    </xf>
    <xf numFmtId="0" fontId="13" fillId="44" borderId="4" applyNumberFormat="0" applyAlignment="0" applyProtection="0">
      <alignment vertical="center"/>
    </xf>
    <xf numFmtId="0" fontId="13" fillId="44" borderId="4" applyNumberFormat="0" applyAlignment="0" applyProtection="0">
      <alignment vertical="center"/>
    </xf>
    <xf numFmtId="0" fontId="13" fillId="44" borderId="4" applyNumberFormat="0" applyAlignment="0" applyProtection="0">
      <alignment vertical="center"/>
    </xf>
    <xf numFmtId="0" fontId="13" fillId="44" borderId="4" applyNumberFormat="0" applyAlignment="0" applyProtection="0">
      <alignment vertical="center"/>
    </xf>
    <xf numFmtId="0" fontId="13" fillId="44" borderId="4" applyNumberFormat="0" applyAlignment="0" applyProtection="0">
      <alignment vertical="center"/>
    </xf>
    <xf numFmtId="0" fontId="13" fillId="7" borderId="4" applyNumberFormat="0" applyAlignment="0" applyProtection="0">
      <alignment vertical="center"/>
    </xf>
    <xf numFmtId="0" fontId="13" fillId="44" borderId="4" applyNumberFormat="0" applyAlignment="0" applyProtection="0">
      <alignment vertical="center"/>
    </xf>
    <xf numFmtId="0" fontId="13" fillId="44" borderId="4" applyNumberFormat="0" applyAlignment="0" applyProtection="0">
      <alignment vertical="center"/>
    </xf>
    <xf numFmtId="0" fontId="13" fillId="44" borderId="4" applyNumberFormat="0" applyAlignment="0" applyProtection="0">
      <alignment vertical="center"/>
    </xf>
    <xf numFmtId="0" fontId="13" fillId="44" borderId="4" applyNumberFormat="0" applyAlignment="0" applyProtection="0">
      <alignment vertical="center"/>
    </xf>
    <xf numFmtId="0" fontId="13" fillId="44" borderId="4" applyNumberFormat="0" applyAlignment="0" applyProtection="0">
      <alignment vertical="center"/>
    </xf>
    <xf numFmtId="0" fontId="13" fillId="44" borderId="4" applyNumberFormat="0" applyAlignment="0" applyProtection="0">
      <alignment vertical="center"/>
    </xf>
    <xf numFmtId="0" fontId="13" fillId="44" borderId="4" applyNumberFormat="0" applyAlignment="0" applyProtection="0">
      <alignment vertical="center"/>
    </xf>
    <xf numFmtId="0" fontId="13" fillId="44" borderId="4" applyNumberFormat="0" applyAlignment="0" applyProtection="0">
      <alignment vertical="center"/>
    </xf>
    <xf numFmtId="0" fontId="13" fillId="44" borderId="4" applyNumberFormat="0" applyAlignment="0" applyProtection="0">
      <alignment vertical="center"/>
    </xf>
    <xf numFmtId="0" fontId="13" fillId="44" borderId="4" applyNumberFormat="0" applyAlignment="0" applyProtection="0">
      <alignment vertical="center"/>
    </xf>
    <xf numFmtId="0" fontId="13" fillId="44" borderId="4" applyNumberFormat="0" applyAlignment="0" applyProtection="0">
      <alignment vertical="center"/>
    </xf>
    <xf numFmtId="0" fontId="13" fillId="44" borderId="4" applyNumberFormat="0" applyAlignment="0" applyProtection="0">
      <alignment vertical="center"/>
    </xf>
    <xf numFmtId="0" fontId="13" fillId="44" borderId="4" applyNumberFormat="0" applyAlignment="0" applyProtection="0">
      <alignment vertical="center"/>
    </xf>
    <xf numFmtId="0" fontId="13" fillId="7" borderId="4" applyNumberFormat="0" applyAlignment="0" applyProtection="0">
      <alignment vertical="center"/>
    </xf>
    <xf numFmtId="0" fontId="13" fillId="44" borderId="4" applyNumberFormat="0" applyAlignment="0" applyProtection="0">
      <alignment vertical="center"/>
    </xf>
    <xf numFmtId="0" fontId="13" fillId="44" borderId="4" applyNumberFormat="0" applyAlignment="0" applyProtection="0">
      <alignment vertical="center"/>
    </xf>
    <xf numFmtId="0" fontId="13" fillId="44" borderId="4" applyNumberFormat="0" applyAlignment="0" applyProtection="0">
      <alignment vertical="center"/>
    </xf>
    <xf numFmtId="0" fontId="13" fillId="44" borderId="4" applyNumberFormat="0" applyAlignment="0" applyProtection="0">
      <alignment vertical="center"/>
    </xf>
    <xf numFmtId="0" fontId="13" fillId="44" borderId="4" applyNumberFormat="0" applyAlignment="0" applyProtection="0">
      <alignment vertical="center"/>
    </xf>
    <xf numFmtId="0" fontId="13" fillId="44" borderId="4" applyNumberFormat="0" applyAlignment="0" applyProtection="0">
      <alignment vertical="center"/>
    </xf>
    <xf numFmtId="0" fontId="13" fillId="44" borderId="4" applyNumberFormat="0" applyAlignment="0" applyProtection="0">
      <alignment vertical="center"/>
    </xf>
    <xf numFmtId="0" fontId="13" fillId="44" borderId="4" applyNumberFormat="0" applyAlignment="0" applyProtection="0">
      <alignment vertical="center"/>
    </xf>
    <xf numFmtId="0" fontId="13" fillId="44" borderId="4" applyNumberFormat="0" applyAlignment="0" applyProtection="0">
      <alignment vertical="center"/>
    </xf>
    <xf numFmtId="0" fontId="13" fillId="44" borderId="4" applyNumberFormat="0" applyAlignment="0" applyProtection="0">
      <alignment vertical="center"/>
    </xf>
    <xf numFmtId="0" fontId="13" fillId="44" borderId="4" applyNumberFormat="0" applyAlignment="0" applyProtection="0">
      <alignment vertical="center"/>
    </xf>
    <xf numFmtId="0" fontId="13" fillId="7" borderId="4" applyNumberFormat="0" applyAlignment="0" applyProtection="0">
      <alignment vertical="center"/>
    </xf>
    <xf numFmtId="0" fontId="13" fillId="44" borderId="4" applyNumberFormat="0" applyAlignment="0" applyProtection="0">
      <alignment vertical="center"/>
    </xf>
    <xf numFmtId="0" fontId="13" fillId="44" borderId="4" applyNumberFormat="0" applyAlignment="0" applyProtection="0">
      <alignment vertical="center"/>
    </xf>
    <xf numFmtId="0" fontId="13" fillId="44" borderId="4" applyNumberFormat="0" applyAlignment="0" applyProtection="0">
      <alignment vertical="center"/>
    </xf>
    <xf numFmtId="0" fontId="13" fillId="44" borderId="4" applyNumberFormat="0" applyAlignment="0" applyProtection="0">
      <alignment vertical="center"/>
    </xf>
    <xf numFmtId="0" fontId="13" fillId="44" borderId="4" applyNumberFormat="0" applyAlignment="0" applyProtection="0">
      <alignment vertical="center"/>
    </xf>
    <xf numFmtId="0" fontId="13" fillId="44" borderId="4" applyNumberFormat="0" applyAlignment="0" applyProtection="0">
      <alignment vertical="center"/>
    </xf>
    <xf numFmtId="0" fontId="13" fillId="44" borderId="4" applyNumberFormat="0" applyAlignment="0" applyProtection="0">
      <alignment vertical="center"/>
    </xf>
    <xf numFmtId="0" fontId="13" fillId="44" borderId="4" applyNumberFormat="0" applyAlignment="0" applyProtection="0">
      <alignment vertical="center"/>
    </xf>
    <xf numFmtId="0" fontId="13" fillId="44" borderId="4" applyNumberFormat="0" applyAlignment="0" applyProtection="0">
      <alignment vertical="center"/>
    </xf>
    <xf numFmtId="0" fontId="13" fillId="44" borderId="4" applyNumberFormat="0" applyAlignment="0" applyProtection="0">
      <alignment vertical="center"/>
    </xf>
    <xf numFmtId="0" fontId="13" fillId="44" borderId="4" applyNumberFormat="0" applyAlignment="0" applyProtection="0">
      <alignment vertical="center"/>
    </xf>
    <xf numFmtId="0" fontId="13" fillId="44" borderId="4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9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9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9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3" fillId="0" borderId="0"/>
    <xf numFmtId="0" fontId="1" fillId="0" borderId="0"/>
  </cellStyleXfs>
  <cellXfs count="420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Alignment="1">
      <alignment vertical="center" shrinkToFi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0" fontId="8" fillId="0" borderId="0" xfId="0" applyFont="1">
      <alignment vertical="center"/>
    </xf>
    <xf numFmtId="0" fontId="33" fillId="0" borderId="0" xfId="4" applyFont="1" applyAlignment="1">
      <alignment wrapText="1"/>
    </xf>
    <xf numFmtId="0" fontId="32" fillId="0" borderId="0" xfId="4" applyFont="1" applyFill="1"/>
    <xf numFmtId="0" fontId="32" fillId="0" borderId="0" xfId="4" applyFont="1"/>
    <xf numFmtId="0" fontId="32" fillId="36" borderId="0" xfId="4" applyFont="1" applyFill="1"/>
    <xf numFmtId="0" fontId="32" fillId="36" borderId="0" xfId="4" applyNumberFormat="1" applyFont="1" applyFill="1"/>
    <xf numFmtId="0" fontId="32" fillId="36" borderId="0" xfId="4" applyFont="1" applyFill="1" applyAlignment="1">
      <alignment horizontal="center"/>
    </xf>
    <xf numFmtId="164" fontId="0" fillId="0" borderId="0" xfId="0" applyNumberFormat="1">
      <alignment vertical="center"/>
    </xf>
    <xf numFmtId="0" fontId="33" fillId="0" borderId="0" xfId="0" applyFont="1" applyAlignment="1"/>
    <xf numFmtId="0" fontId="33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Fill="1" applyAlignment="1">
      <alignment horizontal="center"/>
    </xf>
    <xf numFmtId="0" fontId="37" fillId="0" borderId="0" xfId="0" applyFont="1" applyFill="1" applyAlignment="1">
      <alignment horizontal="center"/>
    </xf>
    <xf numFmtId="0" fontId="33" fillId="48" borderId="25" xfId="0" applyFont="1" applyFill="1" applyBorder="1" applyAlignment="1">
      <alignment horizontal="center" vertical="center"/>
    </xf>
    <xf numFmtId="0" fontId="33" fillId="48" borderId="26" xfId="0" applyFont="1" applyFill="1" applyBorder="1" applyAlignment="1">
      <alignment horizontal="center" vertical="center"/>
    </xf>
    <xf numFmtId="0" fontId="33" fillId="48" borderId="27" xfId="0" applyFont="1" applyFill="1" applyBorder="1" applyAlignment="1">
      <alignment horizontal="center" vertical="center"/>
    </xf>
    <xf numFmtId="0" fontId="33" fillId="49" borderId="19" xfId="0" applyFont="1" applyFill="1" applyBorder="1" applyAlignment="1">
      <alignment horizontal="left" vertical="center"/>
    </xf>
    <xf numFmtId="0" fontId="33" fillId="0" borderId="19" xfId="0" applyFont="1" applyBorder="1" applyAlignment="1">
      <alignment horizontal="left" vertical="center"/>
    </xf>
    <xf numFmtId="0" fontId="33" fillId="0" borderId="19" xfId="0" applyFont="1" applyBorder="1" applyAlignment="1">
      <alignment horizontal="center" vertical="center"/>
    </xf>
    <xf numFmtId="0" fontId="33" fillId="0" borderId="18" xfId="0" applyFont="1" applyBorder="1" applyAlignment="1">
      <alignment horizontal="center" vertical="center"/>
    </xf>
    <xf numFmtId="0" fontId="33" fillId="0" borderId="0" xfId="0" applyFont="1" applyBorder="1" applyAlignment="1">
      <alignment horizontal="center" vertical="center"/>
    </xf>
    <xf numFmtId="0" fontId="33" fillId="0" borderId="28" xfId="0" applyFont="1" applyBorder="1" applyAlignment="1">
      <alignment horizontal="center" vertical="center"/>
    </xf>
    <xf numFmtId="0" fontId="33" fillId="49" borderId="12" xfId="0" applyFont="1" applyFill="1" applyBorder="1" applyAlignment="1">
      <alignment horizontal="left" vertical="center"/>
    </xf>
    <xf numFmtId="0" fontId="33" fillId="0" borderId="12" xfId="0" applyFont="1" applyBorder="1" applyAlignment="1">
      <alignment horizontal="left" vertical="center"/>
    </xf>
    <xf numFmtId="0" fontId="33" fillId="0" borderId="12" xfId="0" applyFont="1" applyBorder="1" applyAlignment="1">
      <alignment horizontal="center" vertical="center"/>
    </xf>
    <xf numFmtId="0" fontId="33" fillId="0" borderId="11" xfId="0" applyFont="1" applyBorder="1" applyAlignment="1">
      <alignment horizontal="center" vertical="center"/>
    </xf>
    <xf numFmtId="0" fontId="33" fillId="0" borderId="29" xfId="0" applyFont="1" applyBorder="1" applyAlignment="1">
      <alignment horizontal="center" vertical="center"/>
    </xf>
    <xf numFmtId="0" fontId="33" fillId="0" borderId="30" xfId="0" applyFont="1" applyBorder="1" applyAlignment="1">
      <alignment horizontal="center" vertical="center"/>
    </xf>
    <xf numFmtId="0" fontId="33" fillId="0" borderId="13" xfId="0" applyFont="1" applyBorder="1" applyAlignment="1">
      <alignment horizontal="left" vertical="center"/>
    </xf>
    <xf numFmtId="0" fontId="33" fillId="0" borderId="13" xfId="0" applyFont="1" applyBorder="1" applyAlignment="1">
      <alignment horizontal="center" vertical="center"/>
    </xf>
    <xf numFmtId="0" fontId="33" fillId="0" borderId="14" xfId="0" applyFont="1" applyBorder="1" applyAlignment="1">
      <alignment horizontal="center" vertical="center"/>
    </xf>
    <xf numFmtId="0" fontId="33" fillId="0" borderId="31" xfId="0" applyFont="1" applyBorder="1" applyAlignment="1">
      <alignment horizontal="center" vertical="center"/>
    </xf>
    <xf numFmtId="0" fontId="33" fillId="0" borderId="32" xfId="0" applyFont="1" applyBorder="1" applyAlignment="1">
      <alignment horizontal="center" vertical="center"/>
    </xf>
    <xf numFmtId="0" fontId="33" fillId="50" borderId="12" xfId="0" applyFont="1" applyFill="1" applyBorder="1" applyAlignment="1">
      <alignment horizontal="left" vertical="center"/>
    </xf>
    <xf numFmtId="0" fontId="33" fillId="0" borderId="12" xfId="0" applyFont="1" applyFill="1" applyBorder="1" applyAlignment="1">
      <alignment horizontal="center" vertical="center"/>
    </xf>
    <xf numFmtId="0" fontId="38" fillId="49" borderId="12" xfId="0" applyFont="1" applyFill="1" applyBorder="1" applyAlignment="1">
      <alignment horizontal="left" vertical="center"/>
    </xf>
    <xf numFmtId="0" fontId="38" fillId="0" borderId="12" xfId="0" applyFont="1" applyFill="1" applyBorder="1" applyAlignment="1">
      <alignment horizontal="left" vertical="center"/>
    </xf>
    <xf numFmtId="0" fontId="38" fillId="0" borderId="12" xfId="0" applyFont="1" applyFill="1" applyBorder="1" applyAlignment="1">
      <alignment horizontal="center" vertical="center"/>
    </xf>
    <xf numFmtId="0" fontId="38" fillId="0" borderId="29" xfId="0" applyFont="1" applyFill="1" applyBorder="1" applyAlignment="1">
      <alignment horizontal="center" vertical="center"/>
    </xf>
    <xf numFmtId="0" fontId="38" fillId="0" borderId="30" xfId="0" applyFont="1" applyFill="1" applyBorder="1" applyAlignment="1">
      <alignment horizontal="center" vertical="center"/>
    </xf>
    <xf numFmtId="0" fontId="38" fillId="0" borderId="18" xfId="0" applyFont="1" applyFill="1" applyBorder="1" applyAlignment="1">
      <alignment horizontal="center" vertical="center"/>
    </xf>
    <xf numFmtId="0" fontId="38" fillId="0" borderId="12" xfId="0" applyNumberFormat="1" applyFont="1" applyFill="1" applyBorder="1" applyAlignment="1">
      <alignment horizontal="left" vertical="center"/>
    </xf>
    <xf numFmtId="0" fontId="38" fillId="0" borderId="11" xfId="0" applyFont="1" applyFill="1" applyBorder="1" applyAlignment="1">
      <alignment horizontal="center" vertical="center"/>
    </xf>
    <xf numFmtId="0" fontId="38" fillId="50" borderId="12" xfId="0" applyFont="1" applyFill="1" applyBorder="1" applyAlignment="1">
      <alignment horizontal="left" vertical="center"/>
    </xf>
    <xf numFmtId="0" fontId="38" fillId="49" borderId="13" xfId="0" applyFont="1" applyFill="1" applyBorder="1" applyAlignment="1">
      <alignment horizontal="left" vertical="center"/>
    </xf>
    <xf numFmtId="0" fontId="38" fillId="0" borderId="13" xfId="0" applyFont="1" applyFill="1" applyBorder="1" applyAlignment="1">
      <alignment horizontal="left" vertical="center"/>
    </xf>
    <xf numFmtId="0" fontId="38" fillId="0" borderId="13" xfId="0" applyFont="1" applyFill="1" applyBorder="1" applyAlignment="1">
      <alignment horizontal="center" vertical="center"/>
    </xf>
    <xf numFmtId="0" fontId="38" fillId="0" borderId="31" xfId="0" applyFont="1" applyFill="1" applyBorder="1" applyAlignment="1">
      <alignment horizontal="center" vertical="center"/>
    </xf>
    <xf numFmtId="0" fontId="38" fillId="0" borderId="32" xfId="0" applyFont="1" applyFill="1" applyBorder="1" applyAlignment="1">
      <alignment horizontal="center" vertical="center"/>
    </xf>
    <xf numFmtId="0" fontId="38" fillId="0" borderId="33" xfId="0" applyFont="1" applyFill="1" applyBorder="1" applyAlignment="1">
      <alignment horizontal="left" vertical="center"/>
    </xf>
    <xf numFmtId="0" fontId="38" fillId="0" borderId="33" xfId="0" applyFont="1" applyFill="1" applyBorder="1" applyAlignment="1">
      <alignment horizontal="left" vertical="center" wrapText="1"/>
    </xf>
    <xf numFmtId="0" fontId="38" fillId="0" borderId="33" xfId="0" applyFont="1" applyFill="1" applyBorder="1" applyAlignment="1">
      <alignment horizontal="center" vertical="center"/>
    </xf>
    <xf numFmtId="0" fontId="38" fillId="0" borderId="34" xfId="0" applyFont="1" applyFill="1" applyBorder="1" applyAlignment="1">
      <alignment horizontal="center" vertical="center"/>
    </xf>
    <xf numFmtId="0" fontId="38" fillId="0" borderId="35" xfId="0" applyFont="1" applyFill="1" applyBorder="1" applyAlignment="1">
      <alignment horizontal="center" vertical="center"/>
    </xf>
    <xf numFmtId="0" fontId="38" fillId="0" borderId="12" xfId="0" applyFont="1" applyFill="1" applyBorder="1" applyAlignment="1">
      <alignment horizontal="left" vertical="center" wrapText="1"/>
    </xf>
    <xf numFmtId="0" fontId="38" fillId="0" borderId="24" xfId="0" applyFont="1" applyFill="1" applyBorder="1" applyAlignment="1">
      <alignment horizontal="left" vertical="center"/>
    </xf>
    <xf numFmtId="0" fontId="38" fillId="0" borderId="36" xfId="0" applyFont="1" applyFill="1" applyBorder="1" applyAlignment="1">
      <alignment vertical="center" wrapText="1"/>
    </xf>
    <xf numFmtId="0" fontId="38" fillId="0" borderId="24" xfId="0" applyFont="1" applyFill="1" applyBorder="1" applyAlignment="1">
      <alignment horizontal="center" vertical="center"/>
    </xf>
    <xf numFmtId="0" fontId="38" fillId="0" borderId="25" xfId="0" applyFont="1" applyFill="1" applyBorder="1" applyAlignment="1">
      <alignment horizontal="center" vertical="center"/>
    </xf>
    <xf numFmtId="0" fontId="38" fillId="0" borderId="26" xfId="0" applyFont="1" applyFill="1" applyBorder="1" applyAlignment="1">
      <alignment horizontal="center" vertical="center"/>
    </xf>
    <xf numFmtId="0" fontId="33" fillId="0" borderId="37" xfId="0" applyFont="1" applyBorder="1" applyAlignment="1">
      <alignment horizontal="center" vertical="center"/>
    </xf>
    <xf numFmtId="0" fontId="38" fillId="0" borderId="13" xfId="0" applyFont="1" applyFill="1" applyBorder="1" applyAlignment="1">
      <alignment horizontal="left" vertical="center" wrapText="1"/>
    </xf>
    <xf numFmtId="0" fontId="38" fillId="0" borderId="14" xfId="0" applyFont="1" applyFill="1" applyBorder="1" applyAlignment="1">
      <alignment horizontal="center" vertical="center"/>
    </xf>
    <xf numFmtId="0" fontId="38" fillId="49" borderId="36" xfId="0" applyFont="1" applyFill="1" applyBorder="1" applyAlignment="1">
      <alignment horizontal="left" vertical="center"/>
    </xf>
    <xf numFmtId="0" fontId="38" fillId="0" borderId="36" xfId="0" applyFont="1" applyFill="1" applyBorder="1" applyAlignment="1">
      <alignment horizontal="left" vertical="center" wrapText="1"/>
    </xf>
    <xf numFmtId="0" fontId="38" fillId="0" borderId="36" xfId="0" applyFont="1" applyFill="1" applyBorder="1" applyAlignment="1">
      <alignment horizontal="center" vertical="center"/>
    </xf>
    <xf numFmtId="0" fontId="33" fillId="0" borderId="36" xfId="0" applyFont="1" applyBorder="1" applyAlignment="1">
      <alignment horizontal="center" vertical="center"/>
    </xf>
    <xf numFmtId="0" fontId="38" fillId="0" borderId="38" xfId="0" applyFont="1" applyFill="1" applyBorder="1" applyAlignment="1">
      <alignment horizontal="center" vertical="center"/>
    </xf>
    <xf numFmtId="0" fontId="38" fillId="0" borderId="39" xfId="0" applyFont="1" applyFill="1" applyBorder="1" applyAlignment="1">
      <alignment horizontal="center" vertical="center"/>
    </xf>
    <xf numFmtId="0" fontId="33" fillId="0" borderId="40" xfId="0" applyFont="1" applyBorder="1" applyAlignment="1"/>
    <xf numFmtId="0" fontId="33" fillId="0" borderId="41" xfId="0" applyFont="1" applyBorder="1" applyAlignment="1">
      <alignment wrapText="1"/>
    </xf>
    <xf numFmtId="0" fontId="38" fillId="0" borderId="41" xfId="0" applyFont="1" applyFill="1" applyBorder="1" applyAlignment="1">
      <alignment horizontal="center" vertical="center"/>
    </xf>
    <xf numFmtId="0" fontId="33" fillId="0" borderId="41" xfId="0" applyFont="1" applyBorder="1" applyAlignment="1">
      <alignment horizontal="center" vertical="center"/>
    </xf>
    <xf numFmtId="0" fontId="33" fillId="0" borderId="42" xfId="0" applyFont="1" applyBorder="1" applyAlignment="1"/>
    <xf numFmtId="0" fontId="33" fillId="0" borderId="13" xfId="0" applyFont="1" applyBorder="1" applyAlignment="1">
      <alignment wrapText="1"/>
    </xf>
    <xf numFmtId="0" fontId="33" fillId="47" borderId="43" xfId="0" applyFont="1" applyFill="1" applyBorder="1" applyAlignment="1"/>
    <xf numFmtId="0" fontId="33" fillId="0" borderId="36" xfId="0" applyFont="1" applyBorder="1" applyAlignment="1">
      <alignment wrapText="1"/>
    </xf>
    <xf numFmtId="0" fontId="39" fillId="0" borderId="10" xfId="0" applyFont="1" applyFill="1" applyBorder="1" applyAlignment="1">
      <alignment vertical="center"/>
    </xf>
    <xf numFmtId="0" fontId="40" fillId="0" borderId="10" xfId="0" applyFont="1" applyBorder="1" applyAlignment="1">
      <alignment vertical="center"/>
    </xf>
    <xf numFmtId="0" fontId="33" fillId="0" borderId="10" xfId="0" applyFont="1" applyBorder="1" applyAlignment="1">
      <alignment horizontal="center" vertical="center"/>
    </xf>
    <xf numFmtId="0" fontId="39" fillId="51" borderId="12" xfId="0" applyFont="1" applyFill="1" applyBorder="1" applyAlignment="1">
      <alignment vertical="center"/>
    </xf>
    <xf numFmtId="0" fontId="40" fillId="51" borderId="12" xfId="0" applyFont="1" applyFill="1" applyBorder="1" applyAlignment="1">
      <alignment vertical="center" wrapText="1"/>
    </xf>
    <xf numFmtId="0" fontId="33" fillId="51" borderId="12" xfId="0" applyFont="1" applyFill="1" applyBorder="1" applyAlignment="1">
      <alignment horizontal="center" vertical="center"/>
    </xf>
    <xf numFmtId="0" fontId="40" fillId="51" borderId="12" xfId="0" applyFont="1" applyFill="1" applyBorder="1" applyAlignment="1">
      <alignment vertical="center"/>
    </xf>
    <xf numFmtId="0" fontId="39" fillId="0" borderId="12" xfId="0" applyFont="1" applyFill="1" applyBorder="1" applyAlignment="1">
      <alignment vertical="center"/>
    </xf>
    <xf numFmtId="0" fontId="40" fillId="0" borderId="12" xfId="0" applyFont="1" applyFill="1" applyBorder="1" applyAlignment="1">
      <alignment vertical="center"/>
    </xf>
    <xf numFmtId="0" fontId="40" fillId="0" borderId="12" xfId="0" applyFont="1" applyFill="1" applyBorder="1" applyAlignment="1">
      <alignment vertical="center" wrapText="1"/>
    </xf>
    <xf numFmtId="0" fontId="40" fillId="52" borderId="12" xfId="0" applyFont="1" applyFill="1" applyBorder="1" applyAlignment="1">
      <alignment vertical="center" wrapText="1"/>
    </xf>
    <xf numFmtId="0" fontId="39" fillId="51" borderId="13" xfId="0" applyFont="1" applyFill="1" applyBorder="1" applyAlignment="1">
      <alignment vertical="center"/>
    </xf>
    <xf numFmtId="0" fontId="40" fillId="51" borderId="13" xfId="0" applyFont="1" applyFill="1" applyBorder="1" applyAlignment="1">
      <alignment vertical="center" wrapText="1"/>
    </xf>
    <xf numFmtId="0" fontId="33" fillId="51" borderId="13" xfId="0" applyFont="1" applyFill="1" applyBorder="1" applyAlignment="1">
      <alignment horizontal="center" vertical="center"/>
    </xf>
    <xf numFmtId="2" fontId="39" fillId="0" borderId="12" xfId="0" applyNumberFormat="1" applyFont="1" applyFill="1" applyBorder="1" applyAlignment="1">
      <alignment vertical="center"/>
    </xf>
    <xf numFmtId="2" fontId="40" fillId="0" borderId="12" xfId="0" applyNumberFormat="1" applyFont="1" applyBorder="1" applyAlignment="1">
      <alignment vertical="center"/>
    </xf>
    <xf numFmtId="2" fontId="33" fillId="0" borderId="12" xfId="0" applyNumberFormat="1" applyFont="1" applyBorder="1" applyAlignment="1">
      <alignment horizontal="center" vertical="center"/>
    </xf>
    <xf numFmtId="1" fontId="33" fillId="0" borderId="12" xfId="0" applyNumberFormat="1" applyFont="1" applyBorder="1" applyAlignment="1">
      <alignment horizontal="center" vertical="center"/>
    </xf>
    <xf numFmtId="0" fontId="33" fillId="0" borderId="36" xfId="0" applyFont="1" applyBorder="1" applyAlignment="1"/>
    <xf numFmtId="0" fontId="33" fillId="0" borderId="36" xfId="0" applyFont="1" applyBorder="1" applyAlignment="1">
      <alignment horizontal="center"/>
    </xf>
    <xf numFmtId="1" fontId="33" fillId="0" borderId="36" xfId="0" applyNumberFormat="1" applyFont="1" applyBorder="1" applyAlignment="1">
      <alignment horizontal="center"/>
    </xf>
    <xf numFmtId="0" fontId="34" fillId="45" borderId="44" xfId="4" applyFont="1" applyFill="1" applyBorder="1"/>
    <xf numFmtId="0" fontId="34" fillId="46" borderId="44" xfId="4" applyFont="1" applyFill="1" applyBorder="1"/>
    <xf numFmtId="0" fontId="35" fillId="45" borderId="44" xfId="4" applyFont="1" applyFill="1" applyBorder="1"/>
    <xf numFmtId="0" fontId="35" fillId="46" borderId="44" xfId="4" applyFont="1" applyFill="1" applyBorder="1"/>
    <xf numFmtId="0" fontId="32" fillId="45" borderId="44" xfId="4" applyFont="1" applyFill="1" applyBorder="1"/>
    <xf numFmtId="0" fontId="34" fillId="34" borderId="44" xfId="4" applyFont="1" applyFill="1" applyBorder="1"/>
    <xf numFmtId="0" fontId="35" fillId="34" borderId="44" xfId="4" applyFont="1" applyFill="1" applyBorder="1"/>
    <xf numFmtId="0" fontId="32" fillId="34" borderId="44" xfId="4" applyFont="1" applyFill="1" applyBorder="1"/>
    <xf numFmtId="0" fontId="3" fillId="0" borderId="0" xfId="49078" applyFill="1"/>
    <xf numFmtId="0" fontId="3" fillId="0" borderId="0" xfId="49078"/>
    <xf numFmtId="0" fontId="3" fillId="53" borderId="29" xfId="49078" applyFill="1" applyBorder="1" applyAlignment="1"/>
    <xf numFmtId="0" fontId="3" fillId="54" borderId="0" xfId="49078" applyFill="1"/>
    <xf numFmtId="0" fontId="34" fillId="54" borderId="44" xfId="4" applyFont="1" applyFill="1" applyBorder="1"/>
    <xf numFmtId="0" fontId="35" fillId="54" borderId="44" xfId="4" applyFont="1" applyFill="1" applyBorder="1"/>
    <xf numFmtId="0" fontId="32" fillId="54" borderId="44" xfId="4" applyFont="1" applyFill="1" applyBorder="1"/>
    <xf numFmtId="0" fontId="3" fillId="55" borderId="0" xfId="49078" applyFill="1"/>
    <xf numFmtId="0" fontId="34" fillId="55" borderId="44" xfId="4" applyFont="1" applyFill="1" applyBorder="1"/>
    <xf numFmtId="0" fontId="35" fillId="55" borderId="44" xfId="4" applyFont="1" applyFill="1" applyBorder="1"/>
    <xf numFmtId="0" fontId="32" fillId="55" borderId="44" xfId="4" applyFont="1" applyFill="1" applyBorder="1"/>
    <xf numFmtId="0" fontId="34" fillId="46" borderId="45" xfId="4" applyFont="1" applyFill="1" applyBorder="1"/>
    <xf numFmtId="0" fontId="0" fillId="57" borderId="44" xfId="0" applyFill="1" applyBorder="1" applyAlignment="1"/>
    <xf numFmtId="0" fontId="33" fillId="48" borderId="24" xfId="0" applyFont="1" applyFill="1" applyBorder="1" applyAlignment="1">
      <alignment horizontal="center" vertical="center"/>
    </xf>
    <xf numFmtId="0" fontId="2" fillId="0" borderId="0" xfId="4" applyFont="1" applyFill="1"/>
    <xf numFmtId="0" fontId="2" fillId="0" borderId="0" xfId="4" applyFont="1"/>
    <xf numFmtId="0" fontId="2" fillId="45" borderId="44" xfId="4" applyFont="1" applyFill="1" applyBorder="1"/>
    <xf numFmtId="0" fontId="2" fillId="34" borderId="44" xfId="4" applyFont="1" applyFill="1" applyBorder="1"/>
    <xf numFmtId="0" fontId="2" fillId="46" borderId="44" xfId="4" applyFont="1" applyFill="1" applyBorder="1"/>
    <xf numFmtId="0" fontId="2" fillId="55" borderId="44" xfId="4" applyFont="1" applyFill="1" applyBorder="1"/>
    <xf numFmtId="0" fontId="2" fillId="54" borderId="44" xfId="4" applyFont="1" applyFill="1" applyBorder="1"/>
    <xf numFmtId="0" fontId="2" fillId="0" borderId="0" xfId="4" applyFont="1" applyAlignment="1">
      <alignment horizontal="center"/>
    </xf>
    <xf numFmtId="0" fontId="2" fillId="47" borderId="0" xfId="4" applyFont="1" applyFill="1"/>
    <xf numFmtId="0" fontId="2" fillId="47" borderId="0" xfId="4" applyFont="1" applyFill="1" applyAlignment="1">
      <alignment horizontal="center"/>
    </xf>
    <xf numFmtId="0" fontId="2" fillId="35" borderId="0" xfId="4" applyFont="1" applyFill="1"/>
    <xf numFmtId="0" fontId="2" fillId="35" borderId="0" xfId="4" applyFont="1" applyFill="1" applyAlignment="1">
      <alignment horizontal="center"/>
    </xf>
    <xf numFmtId="0" fontId="2" fillId="36" borderId="0" xfId="4" applyNumberFormat="1" applyFont="1" applyFill="1"/>
    <xf numFmtId="0" fontId="2" fillId="36" borderId="0" xfId="4" applyFont="1" applyFill="1"/>
    <xf numFmtId="0" fontId="2" fillId="36" borderId="0" xfId="4" applyFont="1" applyFill="1" applyAlignment="1">
      <alignment horizontal="center"/>
    </xf>
    <xf numFmtId="0" fontId="2" fillId="0" borderId="0" xfId="4" applyNumberFormat="1" applyFont="1" applyFill="1"/>
    <xf numFmtId="0" fontId="2" fillId="0" borderId="0" xfId="4" applyFont="1" applyFill="1" applyAlignment="1">
      <alignment horizontal="center"/>
    </xf>
    <xf numFmtId="0" fontId="2" fillId="45" borderId="45" xfId="4" applyFont="1" applyFill="1" applyBorder="1"/>
    <xf numFmtId="0" fontId="2" fillId="34" borderId="45" xfId="4" applyFont="1" applyFill="1" applyBorder="1"/>
    <xf numFmtId="0" fontId="2" fillId="55" borderId="45" xfId="4" applyFont="1" applyFill="1" applyBorder="1"/>
    <xf numFmtId="0" fontId="2" fillId="54" borderId="45" xfId="4" applyFont="1" applyFill="1" applyBorder="1"/>
    <xf numFmtId="0" fontId="2" fillId="56" borderId="0" xfId="4" applyFont="1" applyFill="1"/>
    <xf numFmtId="0" fontId="2" fillId="57" borderId="44" xfId="4" applyFont="1" applyFill="1" applyBorder="1"/>
    <xf numFmtId="0" fontId="2" fillId="45" borderId="0" xfId="4" applyFont="1" applyFill="1"/>
    <xf numFmtId="0" fontId="2" fillId="34" borderId="0" xfId="4" applyFont="1" applyFill="1"/>
    <xf numFmtId="0" fontId="2" fillId="46" borderId="0" xfId="4" applyFont="1" applyFill="1"/>
    <xf numFmtId="0" fontId="2" fillId="55" borderId="0" xfId="4" applyFont="1" applyFill="1"/>
    <xf numFmtId="0" fontId="2" fillId="54" borderId="0" xfId="4" applyFont="1" applyFill="1"/>
    <xf numFmtId="0" fontId="41" fillId="0" borderId="0" xfId="4" applyFont="1" applyBorder="1" applyAlignment="1">
      <alignment horizontal="center"/>
    </xf>
    <xf numFmtId="0" fontId="42" fillId="0" borderId="0" xfId="4" applyFont="1" applyBorder="1" applyAlignment="1">
      <alignment horizontal="center"/>
    </xf>
    <xf numFmtId="0" fontId="42" fillId="0" borderId="0" xfId="4" applyFont="1" applyBorder="1" applyAlignment="1">
      <alignment horizontal="left"/>
    </xf>
    <xf numFmtId="0" fontId="42" fillId="34" borderId="0" xfId="4" applyFont="1" applyFill="1" applyBorder="1" applyAlignment="1">
      <alignment horizontal="center"/>
    </xf>
    <xf numFmtId="0" fontId="43" fillId="0" borderId="0" xfId="4" applyFont="1" applyBorder="1" applyAlignment="1">
      <alignment horizontal="center"/>
    </xf>
    <xf numFmtId="0" fontId="41" fillId="58" borderId="0" xfId="4" applyFont="1" applyFill="1" applyBorder="1" applyAlignment="1">
      <alignment horizontal="center" vertical="center"/>
    </xf>
    <xf numFmtId="0" fontId="44" fillId="58" borderId="46" xfId="4" applyFont="1" applyFill="1" applyBorder="1" applyAlignment="1">
      <alignment horizontal="center" vertical="center"/>
    </xf>
    <xf numFmtId="0" fontId="44" fillId="58" borderId="46" xfId="4" applyFont="1" applyFill="1" applyBorder="1" applyAlignment="1">
      <alignment horizontal="center" vertical="center" wrapText="1"/>
    </xf>
    <xf numFmtId="0" fontId="44" fillId="58" borderId="47" xfId="4" applyFont="1" applyFill="1" applyBorder="1" applyAlignment="1">
      <alignment horizontal="center" vertical="center"/>
    </xf>
    <xf numFmtId="0" fontId="44" fillId="34" borderId="48" xfId="4" applyFont="1" applyFill="1" applyBorder="1" applyAlignment="1">
      <alignment horizontal="center" vertical="center"/>
    </xf>
    <xf numFmtId="0" fontId="44" fillId="58" borderId="49" xfId="4" applyFont="1" applyFill="1" applyBorder="1" applyAlignment="1">
      <alignment horizontal="center" vertical="center"/>
    </xf>
    <xf numFmtId="0" fontId="44" fillId="58" borderId="50" xfId="4" applyFont="1" applyFill="1" applyBorder="1" applyAlignment="1">
      <alignment horizontal="center" vertical="center"/>
    </xf>
    <xf numFmtId="0" fontId="44" fillId="58" borderId="34" xfId="4" applyFont="1" applyFill="1" applyBorder="1" applyAlignment="1">
      <alignment horizontal="center" vertical="center"/>
    </xf>
    <xf numFmtId="0" fontId="44" fillId="34" borderId="51" xfId="4" applyFont="1" applyFill="1" applyBorder="1" applyAlignment="1">
      <alignment horizontal="center" vertical="center"/>
    </xf>
    <xf numFmtId="0" fontId="43" fillId="58" borderId="0" xfId="4" applyFont="1" applyFill="1" applyBorder="1" applyAlignment="1">
      <alignment horizontal="center" vertical="center"/>
    </xf>
    <xf numFmtId="0" fontId="42" fillId="58" borderId="0" xfId="4" applyFont="1" applyFill="1" applyBorder="1" applyAlignment="1">
      <alignment horizontal="center" vertical="center"/>
    </xf>
    <xf numFmtId="0" fontId="41" fillId="59" borderId="0" xfId="4" applyFont="1" applyFill="1" applyBorder="1" applyAlignment="1">
      <alignment horizontal="center"/>
    </xf>
    <xf numFmtId="0" fontId="45" fillId="35" borderId="33" xfId="5" applyFont="1" applyFill="1" applyBorder="1" applyAlignment="1">
      <alignment vertical="center"/>
    </xf>
    <xf numFmtId="0" fontId="45" fillId="35" borderId="33" xfId="6" applyFont="1" applyFill="1" applyBorder="1" applyAlignment="1">
      <alignment vertical="center"/>
    </xf>
    <xf numFmtId="0" fontId="42" fillId="0" borderId="33" xfId="4" applyFont="1" applyBorder="1" applyAlignment="1">
      <alignment horizontal="center" vertical="center"/>
    </xf>
    <xf numFmtId="0" fontId="42" fillId="0" borderId="52" xfId="4" applyFont="1" applyBorder="1" applyAlignment="1">
      <alignment horizontal="center" vertical="center"/>
    </xf>
    <xf numFmtId="0" fontId="42" fillId="34" borderId="53" xfId="4" applyFont="1" applyFill="1" applyBorder="1" applyAlignment="1">
      <alignment horizontal="center" vertical="center"/>
    </xf>
    <xf numFmtId="0" fontId="42" fillId="0" borderId="10" xfId="4" applyFont="1" applyBorder="1" applyAlignment="1">
      <alignment horizontal="center" vertical="center"/>
    </xf>
    <xf numFmtId="0" fontId="42" fillId="0" borderId="54" xfId="4" applyFont="1" applyBorder="1" applyAlignment="1">
      <alignment horizontal="center" vertical="center"/>
    </xf>
    <xf numFmtId="0" fontId="42" fillId="0" borderId="11" xfId="4" applyFont="1" applyBorder="1" applyAlignment="1">
      <alignment horizontal="center" vertical="center"/>
    </xf>
    <xf numFmtId="0" fontId="46" fillId="34" borderId="11" xfId="4" applyFont="1" applyFill="1" applyBorder="1" applyAlignment="1">
      <alignment horizontal="center" vertical="center"/>
    </xf>
    <xf numFmtId="0" fontId="46" fillId="0" borderId="33" xfId="4" applyFont="1" applyBorder="1" applyAlignment="1">
      <alignment horizontal="center" vertical="center"/>
    </xf>
    <xf numFmtId="0" fontId="46" fillId="0" borderId="33" xfId="4" applyNumberFormat="1" applyFont="1" applyBorder="1" applyAlignment="1">
      <alignment horizontal="center" vertical="center"/>
    </xf>
    <xf numFmtId="0" fontId="47" fillId="35" borderId="12" xfId="5" applyFont="1" applyFill="1" applyBorder="1" applyAlignment="1">
      <alignment vertical="center"/>
    </xf>
    <xf numFmtId="0" fontId="47" fillId="35" borderId="12" xfId="6" applyFont="1" applyFill="1" applyBorder="1" applyAlignment="1">
      <alignment vertical="center"/>
    </xf>
    <xf numFmtId="0" fontId="42" fillId="0" borderId="12" xfId="4" applyFont="1" applyBorder="1" applyAlignment="1">
      <alignment horizontal="center" vertical="center"/>
    </xf>
    <xf numFmtId="0" fontId="42" fillId="34" borderId="12" xfId="4" applyFont="1" applyFill="1" applyBorder="1" applyAlignment="1">
      <alignment horizontal="center" vertical="center"/>
    </xf>
    <xf numFmtId="0" fontId="46" fillId="0" borderId="12" xfId="4" applyFont="1" applyBorder="1" applyAlignment="1">
      <alignment horizontal="center" vertical="center"/>
    </xf>
    <xf numFmtId="0" fontId="46" fillId="0" borderId="12" xfId="4" applyNumberFormat="1" applyFont="1" applyBorder="1" applyAlignment="1">
      <alignment horizontal="center" vertical="center"/>
    </xf>
    <xf numFmtId="0" fontId="42" fillId="0" borderId="0" xfId="4" applyFont="1" applyBorder="1" applyAlignment="1">
      <alignment horizontal="center" vertical="center"/>
    </xf>
    <xf numFmtId="0" fontId="42" fillId="60" borderId="12" xfId="4" applyFont="1" applyFill="1" applyBorder="1" applyAlignment="1">
      <alignment horizontal="left" vertical="center"/>
    </xf>
    <xf numFmtId="0" fontId="42" fillId="60" borderId="12" xfId="4" applyFont="1" applyFill="1" applyBorder="1" applyAlignment="1">
      <alignment vertical="center"/>
    </xf>
    <xf numFmtId="0" fontId="43" fillId="0" borderId="0" xfId="4" applyFont="1" applyBorder="1" applyAlignment="1">
      <alignment horizontal="center" vertical="center"/>
    </xf>
    <xf numFmtId="165" fontId="42" fillId="0" borderId="0" xfId="7" applyNumberFormat="1" applyFont="1" applyBorder="1" applyAlignment="1">
      <alignment horizontal="center" vertical="center"/>
    </xf>
    <xf numFmtId="0" fontId="42" fillId="0" borderId="55" xfId="4" applyFont="1" applyBorder="1" applyAlignment="1">
      <alignment horizontal="center" vertical="center"/>
    </xf>
    <xf numFmtId="0" fontId="42" fillId="34" borderId="56" xfId="4" applyFont="1" applyFill="1" applyBorder="1" applyAlignment="1">
      <alignment horizontal="center" vertical="center"/>
    </xf>
    <xf numFmtId="0" fontId="42" fillId="0" borderId="57" xfId="4" applyFont="1" applyBorder="1" applyAlignment="1">
      <alignment horizontal="center" vertical="center"/>
    </xf>
    <xf numFmtId="0" fontId="42" fillId="35" borderId="12" xfId="4" applyFont="1" applyFill="1" applyBorder="1" applyAlignment="1">
      <alignment horizontal="left" vertical="center"/>
    </xf>
    <xf numFmtId="0" fontId="47" fillId="35" borderId="12" xfId="8" applyFont="1" applyFill="1" applyBorder="1" applyAlignment="1">
      <alignment vertical="center"/>
    </xf>
    <xf numFmtId="0" fontId="46" fillId="34" borderId="56" xfId="4" applyFont="1" applyFill="1" applyBorder="1" applyAlignment="1">
      <alignment horizontal="center" vertical="center"/>
    </xf>
    <xf numFmtId="0" fontId="46" fillId="0" borderId="57" xfId="4" applyFont="1" applyBorder="1" applyAlignment="1">
      <alignment horizontal="center" vertical="center"/>
    </xf>
    <xf numFmtId="0" fontId="46" fillId="0" borderId="11" xfId="4" applyFont="1" applyBorder="1" applyAlignment="1">
      <alignment horizontal="center" vertical="center"/>
    </xf>
    <xf numFmtId="0" fontId="47" fillId="35" borderId="12" xfId="9" applyFont="1" applyFill="1" applyBorder="1" applyAlignment="1">
      <alignment vertical="center"/>
    </xf>
    <xf numFmtId="0" fontId="46" fillId="34" borderId="12" xfId="4" applyFont="1" applyFill="1" applyBorder="1" applyAlignment="1">
      <alignment horizontal="center" vertical="center"/>
    </xf>
    <xf numFmtId="0" fontId="45" fillId="61" borderId="12" xfId="8" applyFont="1" applyFill="1" applyBorder="1" applyAlignment="1">
      <alignment vertical="center"/>
    </xf>
    <xf numFmtId="0" fontId="45" fillId="61" borderId="12" xfId="9" applyFont="1" applyFill="1" applyBorder="1" applyAlignment="1">
      <alignment vertical="center"/>
    </xf>
    <xf numFmtId="0" fontId="47" fillId="61" borderId="12" xfId="8" applyFont="1" applyFill="1" applyBorder="1" applyAlignment="1">
      <alignment vertical="center"/>
    </xf>
    <xf numFmtId="0" fontId="47" fillId="61" borderId="12" xfId="9" applyFont="1" applyFill="1" applyBorder="1" applyAlignment="1">
      <alignment vertical="center"/>
    </xf>
    <xf numFmtId="0" fontId="42" fillId="61" borderId="12" xfId="4" applyFont="1" applyFill="1" applyBorder="1" applyAlignment="1">
      <alignment horizontal="left" vertical="center"/>
    </xf>
    <xf numFmtId="0" fontId="42" fillId="0" borderId="12" xfId="4" applyFont="1" applyFill="1" applyBorder="1" applyAlignment="1">
      <alignment horizontal="center" vertical="center"/>
    </xf>
    <xf numFmtId="0" fontId="42" fillId="0" borderId="55" xfId="4" applyFont="1" applyFill="1" applyBorder="1" applyAlignment="1">
      <alignment horizontal="center" vertical="center"/>
    </xf>
    <xf numFmtId="0" fontId="43" fillId="0" borderId="0" xfId="4" applyFont="1" applyFill="1" applyBorder="1" applyAlignment="1">
      <alignment horizontal="center"/>
    </xf>
    <xf numFmtId="0" fontId="42" fillId="0" borderId="0" xfId="4" applyFont="1" applyFill="1" applyBorder="1" applyAlignment="1">
      <alignment horizontal="center"/>
    </xf>
    <xf numFmtId="0" fontId="47" fillId="61" borderId="12" xfId="5" applyFont="1" applyFill="1" applyBorder="1" applyAlignment="1">
      <alignment vertical="center"/>
    </xf>
    <xf numFmtId="0" fontId="48" fillId="0" borderId="12" xfId="4" applyFont="1" applyBorder="1" applyAlignment="1">
      <alignment horizontal="center" vertical="center"/>
    </xf>
    <xf numFmtId="0" fontId="47" fillId="61" borderId="13" xfId="8" applyFont="1" applyFill="1" applyBorder="1" applyAlignment="1">
      <alignment vertical="center"/>
    </xf>
    <xf numFmtId="0" fontId="47" fillId="61" borderId="13" xfId="9" applyFont="1" applyFill="1" applyBorder="1" applyAlignment="1">
      <alignment vertical="center"/>
    </xf>
    <xf numFmtId="0" fontId="42" fillId="0" borderId="13" xfId="4" applyFont="1" applyBorder="1" applyAlignment="1">
      <alignment horizontal="center" vertical="center"/>
    </xf>
    <xf numFmtId="0" fontId="42" fillId="0" borderId="58" xfId="4" applyFont="1" applyBorder="1" applyAlignment="1">
      <alignment horizontal="center" vertical="center"/>
    </xf>
    <xf numFmtId="0" fontId="46" fillId="34" borderId="59" xfId="4" applyFont="1" applyFill="1" applyBorder="1" applyAlignment="1">
      <alignment horizontal="center" vertical="center"/>
    </xf>
    <xf numFmtId="0" fontId="46" fillId="0" borderId="13" xfId="4" applyFont="1" applyBorder="1" applyAlignment="1">
      <alignment horizontal="center" vertical="center"/>
    </xf>
    <xf numFmtId="0" fontId="46" fillId="0" borderId="60" xfId="4" applyFont="1" applyBorder="1" applyAlignment="1">
      <alignment horizontal="center" vertical="center"/>
    </xf>
    <xf numFmtId="0" fontId="46" fillId="34" borderId="14" xfId="4" applyFont="1" applyFill="1" applyBorder="1" applyAlignment="1">
      <alignment horizontal="center" vertical="center"/>
    </xf>
    <xf numFmtId="0" fontId="48" fillId="0" borderId="13" xfId="4" applyFont="1" applyBorder="1" applyAlignment="1">
      <alignment horizontal="center" vertical="center"/>
    </xf>
    <xf numFmtId="0" fontId="46" fillId="0" borderId="13" xfId="4" applyNumberFormat="1" applyFont="1" applyBorder="1" applyAlignment="1">
      <alignment horizontal="center" vertical="center"/>
    </xf>
    <xf numFmtId="0" fontId="42" fillId="0" borderId="12" xfId="4" applyFont="1" applyBorder="1" applyAlignment="1">
      <alignment horizontal="left"/>
    </xf>
    <xf numFmtId="0" fontId="42" fillId="0" borderId="12" xfId="4" applyFont="1" applyBorder="1" applyAlignment="1">
      <alignment horizontal="center"/>
    </xf>
    <xf numFmtId="0" fontId="42" fillId="0" borderId="12" xfId="4" applyFont="1" applyFill="1" applyBorder="1" applyAlignment="1">
      <alignment horizontal="left"/>
    </xf>
    <xf numFmtId="0" fontId="42" fillId="34" borderId="12" xfId="4" applyFont="1" applyFill="1" applyBorder="1" applyAlignment="1">
      <alignment horizontal="center"/>
    </xf>
    <xf numFmtId="0" fontId="42" fillId="0" borderId="55" xfId="4" applyFont="1" applyBorder="1" applyAlignment="1">
      <alignment horizontal="center"/>
    </xf>
    <xf numFmtId="0" fontId="42" fillId="34" borderId="56" xfId="4" applyFont="1" applyFill="1" applyBorder="1" applyAlignment="1">
      <alignment horizontal="center"/>
    </xf>
    <xf numFmtId="0" fontId="42" fillId="0" borderId="57" xfId="4" applyFont="1" applyBorder="1" applyAlignment="1">
      <alignment horizontal="center"/>
    </xf>
    <xf numFmtId="0" fontId="42" fillId="0" borderId="11" xfId="4" applyFont="1" applyBorder="1" applyAlignment="1">
      <alignment horizontal="center"/>
    </xf>
    <xf numFmtId="0" fontId="42" fillId="36" borderId="12" xfId="4" applyFont="1" applyFill="1" applyBorder="1" applyAlignment="1">
      <alignment horizontal="left"/>
    </xf>
    <xf numFmtId="0" fontId="47" fillId="36" borderId="12" xfId="9" applyFont="1" applyFill="1" applyBorder="1" applyAlignment="1">
      <alignment vertical="center"/>
    </xf>
    <xf numFmtId="0" fontId="42" fillId="36" borderId="12" xfId="4" applyFont="1" applyFill="1" applyBorder="1" applyAlignment="1">
      <alignment horizontal="center"/>
    </xf>
    <xf numFmtId="0" fontId="42" fillId="36" borderId="55" xfId="4" applyFont="1" applyFill="1" applyBorder="1" applyAlignment="1">
      <alignment horizontal="center"/>
    </xf>
    <xf numFmtId="0" fontId="42" fillId="34" borderId="61" xfId="4" applyFont="1" applyFill="1" applyBorder="1" applyAlignment="1">
      <alignment horizontal="center"/>
    </xf>
    <xf numFmtId="0" fontId="46" fillId="36" borderId="12" xfId="4" applyFont="1" applyFill="1" applyBorder="1" applyAlignment="1">
      <alignment horizontal="center" vertical="center"/>
    </xf>
    <xf numFmtId="0" fontId="46" fillId="36" borderId="57" xfId="4" applyFont="1" applyFill="1" applyBorder="1" applyAlignment="1">
      <alignment horizontal="center" vertical="center"/>
    </xf>
    <xf numFmtId="0" fontId="46" fillId="36" borderId="11" xfId="4" applyFont="1" applyFill="1" applyBorder="1" applyAlignment="1">
      <alignment horizontal="center" vertical="center"/>
    </xf>
    <xf numFmtId="0" fontId="43" fillId="36" borderId="0" xfId="4" applyFont="1" applyFill="1" applyBorder="1" applyAlignment="1">
      <alignment horizontal="center"/>
    </xf>
    <xf numFmtId="0" fontId="42" fillId="36" borderId="0" xfId="4" applyFont="1" applyFill="1" applyBorder="1" applyAlignment="1">
      <alignment horizontal="center"/>
    </xf>
    <xf numFmtId="0" fontId="42" fillId="36" borderId="12" xfId="4" applyFont="1" applyFill="1" applyBorder="1" applyAlignment="1">
      <alignment horizontal="center" vertical="center"/>
    </xf>
    <xf numFmtId="0" fontId="42" fillId="36" borderId="57" xfId="4" applyFont="1" applyFill="1" applyBorder="1" applyAlignment="1">
      <alignment horizontal="center"/>
    </xf>
    <xf numFmtId="0" fontId="42" fillId="36" borderId="11" xfId="4" applyFont="1" applyFill="1" applyBorder="1" applyAlignment="1">
      <alignment horizontal="center"/>
    </xf>
    <xf numFmtId="0" fontId="42" fillId="34" borderId="11" xfId="4" applyFont="1" applyFill="1" applyBorder="1" applyAlignment="1">
      <alignment horizontal="center"/>
    </xf>
    <xf numFmtId="0" fontId="42" fillId="62" borderId="12" xfId="4" applyFont="1" applyFill="1" applyBorder="1" applyAlignment="1">
      <alignment horizontal="left"/>
    </xf>
    <xf numFmtId="0" fontId="42" fillId="62" borderId="12" xfId="4" applyFont="1" applyFill="1" applyBorder="1" applyAlignment="1">
      <alignment horizontal="center"/>
    </xf>
    <xf numFmtId="0" fontId="42" fillId="62" borderId="55" xfId="4" applyFont="1" applyFill="1" applyBorder="1" applyAlignment="1">
      <alignment horizontal="center"/>
    </xf>
    <xf numFmtId="0" fontId="46" fillId="62" borderId="11" xfId="4" applyFont="1" applyFill="1" applyBorder="1" applyAlignment="1">
      <alignment horizontal="center" vertical="center"/>
    </xf>
    <xf numFmtId="0" fontId="46" fillId="62" borderId="12" xfId="4" applyFont="1" applyFill="1" applyBorder="1" applyAlignment="1">
      <alignment horizontal="center" vertical="center"/>
    </xf>
    <xf numFmtId="0" fontId="43" fillId="62" borderId="0" xfId="4" applyFont="1" applyFill="1" applyBorder="1" applyAlignment="1">
      <alignment horizontal="center"/>
    </xf>
    <xf numFmtId="0" fontId="42" fillId="62" borderId="0" xfId="4" applyFont="1" applyFill="1" applyBorder="1" applyAlignment="1">
      <alignment horizontal="center"/>
    </xf>
    <xf numFmtId="0" fontId="42" fillId="62" borderId="57" xfId="4" applyFont="1" applyFill="1" applyBorder="1" applyAlignment="1">
      <alignment horizontal="center"/>
    </xf>
    <xf numFmtId="0" fontId="42" fillId="62" borderId="11" xfId="4" applyFont="1" applyFill="1" applyBorder="1" applyAlignment="1">
      <alignment horizontal="center"/>
    </xf>
    <xf numFmtId="0" fontId="46" fillId="62" borderId="57" xfId="4" applyFont="1" applyFill="1" applyBorder="1" applyAlignment="1">
      <alignment horizontal="center" vertical="center"/>
    </xf>
    <xf numFmtId="0" fontId="47" fillId="62" borderId="12" xfId="9" applyFont="1" applyFill="1" applyBorder="1" applyAlignment="1">
      <alignment vertical="center"/>
    </xf>
    <xf numFmtId="0" fontId="42" fillId="63" borderId="12" xfId="4" applyFont="1" applyFill="1" applyBorder="1" applyAlignment="1">
      <alignment horizontal="left"/>
    </xf>
    <xf numFmtId="0" fontId="42" fillId="63" borderId="12" xfId="4" applyFont="1" applyFill="1" applyBorder="1" applyAlignment="1">
      <alignment horizontal="center"/>
    </xf>
    <xf numFmtId="0" fontId="42" fillId="63" borderId="55" xfId="4" applyFont="1" applyFill="1" applyBorder="1" applyAlignment="1">
      <alignment horizontal="center"/>
    </xf>
    <xf numFmtId="0" fontId="46" fillId="63" borderId="11" xfId="4" applyFont="1" applyFill="1" applyBorder="1" applyAlignment="1">
      <alignment horizontal="center" vertical="center"/>
    </xf>
    <xf numFmtId="0" fontId="43" fillId="63" borderId="0" xfId="4" applyFont="1" applyFill="1" applyBorder="1" applyAlignment="1">
      <alignment horizontal="center"/>
    </xf>
    <xf numFmtId="0" fontId="42" fillId="63" borderId="0" xfId="4" applyFont="1" applyFill="1" applyBorder="1" applyAlignment="1">
      <alignment horizontal="center"/>
    </xf>
    <xf numFmtId="0" fontId="46" fillId="63" borderId="12" xfId="4" applyFont="1" applyFill="1" applyBorder="1" applyAlignment="1">
      <alignment horizontal="center" vertical="center"/>
    </xf>
    <xf numFmtId="0" fontId="47" fillId="63" borderId="12" xfId="9" applyFont="1" applyFill="1" applyBorder="1" applyAlignment="1">
      <alignment vertical="center"/>
    </xf>
    <xf numFmtId="0" fontId="42" fillId="64" borderId="12" xfId="4" applyFont="1" applyFill="1" applyBorder="1" applyAlignment="1">
      <alignment horizontal="left"/>
    </xf>
    <xf numFmtId="0" fontId="42" fillId="64" borderId="12" xfId="4" applyFont="1" applyFill="1" applyBorder="1" applyAlignment="1">
      <alignment horizontal="center"/>
    </xf>
    <xf numFmtId="0" fontId="42" fillId="64" borderId="55" xfId="4" applyFont="1" applyFill="1" applyBorder="1" applyAlignment="1">
      <alignment horizontal="center"/>
    </xf>
    <xf numFmtId="0" fontId="46" fillId="64" borderId="12" xfId="4" applyFont="1" applyFill="1" applyBorder="1" applyAlignment="1">
      <alignment horizontal="center" vertical="center"/>
    </xf>
    <xf numFmtId="0" fontId="46" fillId="64" borderId="57" xfId="4" applyFont="1" applyFill="1" applyBorder="1" applyAlignment="1">
      <alignment horizontal="center" vertical="center"/>
    </xf>
    <xf numFmtId="0" fontId="46" fillId="64" borderId="11" xfId="4" applyFont="1" applyFill="1" applyBorder="1" applyAlignment="1">
      <alignment horizontal="center" vertical="center"/>
    </xf>
    <xf numFmtId="0" fontId="42" fillId="64" borderId="0" xfId="4" applyFont="1" applyFill="1" applyBorder="1" applyAlignment="1">
      <alignment horizontal="center"/>
    </xf>
    <xf numFmtId="0" fontId="43" fillId="64" borderId="0" xfId="4" applyFont="1" applyFill="1" applyBorder="1" applyAlignment="1">
      <alignment horizontal="center"/>
    </xf>
    <xf numFmtId="0" fontId="0" fillId="0" borderId="62" xfId="0" applyBorder="1" applyAlignment="1"/>
    <xf numFmtId="0" fontId="42" fillId="65" borderId="12" xfId="4" applyFont="1" applyFill="1" applyBorder="1" applyAlignment="1">
      <alignment horizontal="left"/>
    </xf>
    <xf numFmtId="0" fontId="47" fillId="34" borderId="56" xfId="4" applyFont="1" applyFill="1" applyBorder="1" applyAlignment="1">
      <alignment horizontal="center" vertical="center"/>
    </xf>
    <xf numFmtId="0" fontId="0" fillId="0" borderId="46" xfId="0" applyBorder="1" applyAlignment="1"/>
    <xf numFmtId="0" fontId="42" fillId="0" borderId="63" xfId="4" applyFont="1" applyBorder="1" applyAlignment="1">
      <alignment horizontal="center"/>
    </xf>
    <xf numFmtId="0" fontId="42" fillId="34" borderId="65" xfId="4" applyFont="1" applyFill="1" applyBorder="1" applyAlignment="1">
      <alignment horizontal="center"/>
    </xf>
    <xf numFmtId="0" fontId="42" fillId="0" borderId="66" xfId="4" applyFont="1" applyBorder="1" applyAlignment="1">
      <alignment horizontal="center"/>
    </xf>
    <xf numFmtId="0" fontId="42" fillId="0" borderId="67" xfId="4" applyFont="1" applyBorder="1" applyAlignment="1">
      <alignment horizontal="center"/>
    </xf>
    <xf numFmtId="0" fontId="46" fillId="34" borderId="67" xfId="4" applyFont="1" applyFill="1" applyBorder="1" applyAlignment="1">
      <alignment horizontal="center" vertical="center"/>
    </xf>
    <xf numFmtId="0" fontId="52" fillId="2" borderId="0" xfId="0" applyFont="1" applyFill="1">
      <alignment vertical="center"/>
    </xf>
    <xf numFmtId="14" fontId="0" fillId="0" borderId="0" xfId="0" applyNumberFormat="1">
      <alignment vertical="center"/>
    </xf>
    <xf numFmtId="0" fontId="53" fillId="0" borderId="63" xfId="4" applyFont="1" applyBorder="1" applyAlignment="1">
      <alignment horizontal="left"/>
    </xf>
    <xf numFmtId="0" fontId="53" fillId="0" borderId="63" xfId="4" applyFont="1" applyBorder="1" applyAlignment="1">
      <alignment horizontal="center"/>
    </xf>
    <xf numFmtId="0" fontId="53" fillId="0" borderId="64" xfId="4" applyFont="1" applyBorder="1" applyAlignment="1">
      <alignment horizontal="center"/>
    </xf>
    <xf numFmtId="0" fontId="53" fillId="0" borderId="62" xfId="4" applyFont="1" applyBorder="1" applyAlignment="1">
      <alignment horizontal="left"/>
    </xf>
    <xf numFmtId="0" fontId="53" fillId="0" borderId="62" xfId="4" applyFont="1" applyBorder="1" applyAlignment="1">
      <alignment horizontal="center"/>
    </xf>
    <xf numFmtId="0" fontId="53" fillId="0" borderId="69" xfId="4" applyFont="1" applyBorder="1" applyAlignment="1">
      <alignment horizontal="center"/>
    </xf>
    <xf numFmtId="0" fontId="42" fillId="34" borderId="72" xfId="4" applyFont="1" applyFill="1" applyBorder="1" applyAlignment="1">
      <alignment horizontal="center"/>
    </xf>
    <xf numFmtId="0" fontId="42" fillId="0" borderId="73" xfId="4" applyFont="1" applyBorder="1" applyAlignment="1">
      <alignment horizontal="center"/>
    </xf>
    <xf numFmtId="0" fontId="46" fillId="36" borderId="10" xfId="4" applyFont="1" applyFill="1" applyBorder="1" applyAlignment="1">
      <alignment horizontal="center" vertical="center"/>
    </xf>
    <xf numFmtId="0" fontId="42" fillId="0" borderId="70" xfId="4" applyFont="1" applyBorder="1" applyAlignment="1">
      <alignment horizontal="center"/>
    </xf>
    <xf numFmtId="0" fontId="46" fillId="34" borderId="70" xfId="4" applyFont="1" applyFill="1" applyBorder="1" applyAlignment="1">
      <alignment horizontal="center" vertical="center"/>
    </xf>
    <xf numFmtId="0" fontId="42" fillId="0" borderId="62" xfId="4" applyFont="1" applyBorder="1" applyAlignment="1">
      <alignment horizontal="center"/>
    </xf>
    <xf numFmtId="0" fontId="42" fillId="0" borderId="62" xfId="0" applyFont="1" applyFill="1" applyBorder="1" applyAlignment="1">
      <alignment horizontal="center"/>
    </xf>
    <xf numFmtId="0" fontId="42" fillId="0" borderId="46" xfId="0" applyFont="1" applyFill="1" applyBorder="1" applyAlignment="1">
      <alignment horizontal="center"/>
    </xf>
    <xf numFmtId="0" fontId="42" fillId="0" borderId="71" xfId="0" applyFont="1" applyFill="1" applyBorder="1" applyAlignment="1">
      <alignment horizontal="center"/>
    </xf>
    <xf numFmtId="0" fontId="42" fillId="0" borderId="74" xfId="0" applyFont="1" applyFill="1" applyBorder="1" applyAlignment="1">
      <alignment horizontal="center"/>
    </xf>
    <xf numFmtId="0" fontId="42" fillId="0" borderId="19" xfId="0" applyFont="1" applyFill="1" applyBorder="1" applyAlignment="1">
      <alignment horizontal="center"/>
    </xf>
    <xf numFmtId="0" fontId="42" fillId="0" borderId="75" xfId="0" applyFont="1" applyFill="1" applyBorder="1" applyAlignment="1">
      <alignment horizontal="center"/>
    </xf>
    <xf numFmtId="0" fontId="53" fillId="0" borderId="62" xfId="0" applyFont="1" applyFill="1" applyBorder="1" applyAlignment="1">
      <alignment horizontal="center"/>
    </xf>
    <xf numFmtId="0" fontId="42" fillId="0" borderId="68" xfId="0" applyFont="1" applyFill="1" applyBorder="1" applyAlignment="1">
      <alignment horizontal="left"/>
    </xf>
    <xf numFmtId="0" fontId="42" fillId="0" borderId="47" xfId="0" applyFont="1" applyFill="1" applyBorder="1" applyAlignment="1">
      <alignment horizontal="left"/>
    </xf>
    <xf numFmtId="0" fontId="42" fillId="0" borderId="76" xfId="0" applyFont="1" applyFill="1" applyBorder="1" applyAlignment="1">
      <alignment horizontal="left"/>
    </xf>
    <xf numFmtId="0" fontId="42" fillId="0" borderId="69" xfId="0" applyFont="1" applyFill="1" applyBorder="1" applyAlignment="1">
      <alignment horizontal="left"/>
    </xf>
    <xf numFmtId="0" fontId="42" fillId="0" borderId="47" xfId="0" applyFont="1" applyFill="1" applyBorder="1" applyAlignment="1">
      <alignment horizontal="left" wrapText="1"/>
    </xf>
    <xf numFmtId="0" fontId="42" fillId="0" borderId="77" xfId="0" applyFont="1" applyFill="1" applyBorder="1" applyAlignment="1">
      <alignment horizontal="left"/>
    </xf>
    <xf numFmtId="0" fontId="42" fillId="0" borderId="46" xfId="0" applyFont="1" applyFill="1" applyBorder="1" applyAlignment="1">
      <alignment horizontal="center" wrapText="1"/>
    </xf>
    <xf numFmtId="0" fontId="1" fillId="34" borderId="0" xfId="49079" applyFont="1" applyFill="1"/>
    <xf numFmtId="0" fontId="1" fillId="34" borderId="79" xfId="49079" applyFill="1" applyBorder="1"/>
    <xf numFmtId="0" fontId="1" fillId="34" borderId="79" xfId="49079" applyFill="1" applyBorder="1" applyAlignment="1">
      <alignment horizontal="center"/>
    </xf>
    <xf numFmtId="0" fontId="1" fillId="0" borderId="0" xfId="49079"/>
    <xf numFmtId="0" fontId="1" fillId="0" borderId="79" xfId="49079" applyFont="1" applyBorder="1"/>
    <xf numFmtId="0" fontId="1" fillId="0" borderId="79" xfId="49079" applyBorder="1" applyAlignment="1">
      <alignment horizontal="center"/>
    </xf>
    <xf numFmtId="0" fontId="54" fillId="0" borderId="79" xfId="49079" applyFont="1" applyBorder="1" applyAlignment="1">
      <alignment horizontal="center"/>
    </xf>
    <xf numFmtId="0" fontId="1" fillId="0" borderId="79" xfId="49079" applyBorder="1"/>
    <xf numFmtId="0" fontId="1" fillId="34" borderId="0" xfId="49079" applyFill="1"/>
    <xf numFmtId="0" fontId="0" fillId="64" borderId="79" xfId="0" applyFill="1" applyBorder="1" applyAlignment="1">
      <alignment horizontal="center"/>
    </xf>
    <xf numFmtId="0" fontId="32" fillId="47" borderId="79" xfId="0" applyFont="1" applyFill="1" applyBorder="1" applyAlignment="1">
      <alignment horizontal="center"/>
    </xf>
    <xf numFmtId="0" fontId="0" fillId="0" borderId="79" xfId="0" applyBorder="1" applyAlignment="1">
      <alignment horizontal="center"/>
    </xf>
    <xf numFmtId="0" fontId="2" fillId="47" borderId="44" xfId="4" applyFont="1" applyFill="1" applyBorder="1" applyAlignment="1">
      <alignment horizontal="center"/>
    </xf>
    <xf numFmtId="0" fontId="3" fillId="49" borderId="29" xfId="49078" applyFill="1" applyBorder="1" applyAlignment="1">
      <alignment horizontal="center" vertical="center"/>
    </xf>
    <xf numFmtId="0" fontId="3" fillId="34" borderId="29" xfId="49078" applyFill="1" applyBorder="1" applyAlignment="1">
      <alignment horizontal="center"/>
    </xf>
    <xf numFmtId="0" fontId="0" fillId="0" borderId="78" xfId="0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33" fillId="48" borderId="21" xfId="0" applyFont="1" applyFill="1" applyBorder="1" applyAlignment="1">
      <alignment horizontal="center" vertical="center"/>
    </xf>
    <xf numFmtId="0" fontId="33" fillId="48" borderId="22" xfId="0" applyFont="1" applyFill="1" applyBorder="1" applyAlignment="1">
      <alignment horizontal="center" vertical="center"/>
    </xf>
    <xf numFmtId="0" fontId="33" fillId="48" borderId="23" xfId="0" applyFont="1" applyFill="1" applyBorder="1" applyAlignment="1">
      <alignment horizontal="center" vertical="center"/>
    </xf>
    <xf numFmtId="0" fontId="33" fillId="48" borderId="20" xfId="0" applyFont="1" applyFill="1" applyBorder="1" applyAlignment="1">
      <alignment horizontal="center" vertical="center"/>
    </xf>
    <xf numFmtId="0" fontId="33" fillId="48" borderId="24" xfId="0" applyFont="1" applyFill="1" applyBorder="1" applyAlignment="1">
      <alignment horizontal="center" vertical="center"/>
    </xf>
    <xf numFmtId="0" fontId="55" fillId="0" borderId="0" xfId="0" applyFont="1">
      <alignment vertical="center"/>
    </xf>
    <xf numFmtId="0" fontId="56" fillId="0" borderId="47" xfId="0" applyFont="1" applyBorder="1" applyAlignment="1">
      <alignment horizontal="centerContinuous" vertical="center"/>
    </xf>
    <xf numFmtId="0" fontId="56" fillId="0" borderId="80" xfId="0" applyFont="1" applyBorder="1" applyAlignment="1">
      <alignment horizontal="centerContinuous" vertical="center"/>
    </xf>
    <xf numFmtId="0" fontId="56" fillId="0" borderId="51" xfId="0" applyFont="1" applyBorder="1" applyAlignment="1">
      <alignment horizontal="centerContinuous" vertical="center"/>
    </xf>
    <xf numFmtId="0" fontId="0" fillId="0" borderId="68" xfId="0" applyBorder="1">
      <alignment vertical="center"/>
    </xf>
    <xf numFmtId="0" fontId="0" fillId="0" borderId="0" xfId="0" applyBorder="1">
      <alignment vertical="center"/>
    </xf>
    <xf numFmtId="0" fontId="0" fillId="0" borderId="18" xfId="0" applyBorder="1">
      <alignment vertical="center"/>
    </xf>
    <xf numFmtId="0" fontId="0" fillId="0" borderId="69" xfId="0" applyBorder="1">
      <alignment vertical="center"/>
    </xf>
    <xf numFmtId="0" fontId="0" fillId="0" borderId="81" xfId="0" applyBorder="1">
      <alignment vertical="center"/>
    </xf>
    <xf numFmtId="0" fontId="0" fillId="0" borderId="70" xfId="0" applyBorder="1">
      <alignment vertical="center"/>
    </xf>
    <xf numFmtId="0" fontId="57" fillId="0" borderId="0" xfId="0" applyFont="1">
      <alignment vertical="center"/>
    </xf>
    <xf numFmtId="0" fontId="0" fillId="0" borderId="47" xfId="0" applyBorder="1">
      <alignment vertical="center"/>
    </xf>
    <xf numFmtId="0" fontId="0" fillId="0" borderId="80" xfId="0" applyBorder="1">
      <alignment vertical="center"/>
    </xf>
    <xf numFmtId="0" fontId="0" fillId="0" borderId="51" xfId="0" applyBorder="1">
      <alignment vertical="center"/>
    </xf>
    <xf numFmtId="0" fontId="0" fillId="0" borderId="51" xfId="0" applyBorder="1" applyAlignment="1">
      <alignment vertical="center" shrinkToFit="1"/>
    </xf>
    <xf numFmtId="0" fontId="0" fillId="0" borderId="79" xfId="0" applyBorder="1">
      <alignment vertical="center"/>
    </xf>
    <xf numFmtId="0" fontId="0" fillId="66" borderId="79" xfId="0" applyFill="1" applyBorder="1">
      <alignment vertical="center"/>
    </xf>
    <xf numFmtId="0" fontId="0" fillId="67" borderId="79" xfId="0" applyFill="1" applyBorder="1">
      <alignment vertical="center"/>
    </xf>
    <xf numFmtId="0" fontId="0" fillId="68" borderId="62" xfId="0" applyFill="1" applyBorder="1">
      <alignment vertical="center"/>
    </xf>
    <xf numFmtId="166" fontId="0" fillId="68" borderId="79" xfId="0" applyNumberFormat="1" applyFill="1" applyBorder="1" applyAlignment="1">
      <alignment vertical="center" shrinkToFit="1"/>
    </xf>
    <xf numFmtId="166" fontId="0" fillId="68" borderId="79" xfId="0" applyNumberFormat="1" applyFill="1" applyBorder="1">
      <alignment vertical="center"/>
    </xf>
    <xf numFmtId="166" fontId="0" fillId="66" borderId="79" xfId="0" applyNumberFormat="1" applyFill="1" applyBorder="1">
      <alignment vertical="center"/>
    </xf>
    <xf numFmtId="0" fontId="0" fillId="0" borderId="78" xfId="0" applyBorder="1">
      <alignment vertical="center"/>
    </xf>
    <xf numFmtId="0" fontId="0" fillId="0" borderId="79" xfId="0" applyBorder="1" applyAlignment="1">
      <alignment vertical="center" shrinkToFit="1"/>
    </xf>
    <xf numFmtId="38" fontId="0" fillId="67" borderId="79" xfId="3" applyFont="1" applyFill="1" applyBorder="1">
      <alignment vertical="center"/>
    </xf>
    <xf numFmtId="0" fontId="0" fillId="0" borderId="19" xfId="0" applyBorder="1">
      <alignment vertical="center"/>
    </xf>
    <xf numFmtId="0" fontId="0" fillId="0" borderId="62" xfId="0" applyBorder="1">
      <alignment vertical="center"/>
    </xf>
    <xf numFmtId="0" fontId="0" fillId="69" borderId="47" xfId="0" applyFill="1" applyBorder="1">
      <alignment vertical="center"/>
    </xf>
    <xf numFmtId="0" fontId="0" fillId="69" borderId="80" xfId="0" applyFill="1" applyBorder="1">
      <alignment vertical="center"/>
    </xf>
    <xf numFmtId="0" fontId="0" fillId="69" borderId="51" xfId="0" applyFill="1" applyBorder="1">
      <alignment vertical="center"/>
    </xf>
    <xf numFmtId="0" fontId="0" fillId="69" borderId="79" xfId="0" applyFill="1" applyBorder="1" applyAlignment="1">
      <alignment vertical="center" shrinkToFit="1"/>
    </xf>
    <xf numFmtId="0" fontId="0" fillId="69" borderId="79" xfId="0" applyFill="1" applyBorder="1">
      <alignment vertical="center"/>
    </xf>
    <xf numFmtId="0" fontId="0" fillId="69" borderId="82" xfId="0" applyFill="1" applyBorder="1">
      <alignment vertical="center"/>
    </xf>
    <xf numFmtId="0" fontId="0" fillId="69" borderId="83" xfId="0" applyFill="1" applyBorder="1">
      <alignment vertical="center"/>
    </xf>
    <xf numFmtId="0" fontId="0" fillId="69" borderId="84" xfId="0" applyFill="1" applyBorder="1">
      <alignment vertical="center"/>
    </xf>
    <xf numFmtId="0" fontId="0" fillId="70" borderId="47" xfId="0" applyFill="1" applyBorder="1">
      <alignment vertical="center"/>
    </xf>
    <xf numFmtId="0" fontId="0" fillId="70" borderId="80" xfId="0" applyFill="1" applyBorder="1">
      <alignment vertical="center"/>
    </xf>
    <xf numFmtId="0" fontId="0" fillId="70" borderId="51" xfId="0" applyFill="1" applyBorder="1">
      <alignment vertical="center"/>
    </xf>
    <xf numFmtId="0" fontId="0" fillId="70" borderId="51" xfId="0" applyFill="1" applyBorder="1" applyAlignment="1">
      <alignment vertical="center" shrinkToFit="1"/>
    </xf>
    <xf numFmtId="0" fontId="0" fillId="70" borderId="79" xfId="0" applyFill="1" applyBorder="1">
      <alignment vertical="center"/>
    </xf>
    <xf numFmtId="0" fontId="58" fillId="0" borderId="0" xfId="0" applyFont="1">
      <alignment vertical="center"/>
    </xf>
    <xf numFmtId="0" fontId="0" fillId="0" borderId="51" xfId="0" applyBorder="1" applyAlignment="1">
      <alignment horizontal="center" vertical="center" shrinkToFit="1"/>
    </xf>
    <xf numFmtId="0" fontId="0" fillId="0" borderId="47" xfId="0" applyBorder="1" applyAlignment="1">
      <alignment horizontal="center" vertical="center" shrinkToFit="1"/>
    </xf>
    <xf numFmtId="166" fontId="0" fillId="68" borderId="47" xfId="0" applyNumberFormat="1" applyFill="1" applyBorder="1" applyAlignment="1">
      <alignment horizontal="center" vertical="center" shrinkToFit="1"/>
    </xf>
    <xf numFmtId="166" fontId="0" fillId="68" borderId="51" xfId="0" applyNumberFormat="1" applyFill="1" applyBorder="1" applyAlignment="1">
      <alignment horizontal="center" vertical="center" shrinkToFit="1"/>
    </xf>
    <xf numFmtId="0" fontId="55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47" borderId="79" xfId="0" applyFill="1" applyBorder="1">
      <alignment vertical="center"/>
    </xf>
    <xf numFmtId="0" fontId="0" fillId="0" borderId="79" xfId="0" applyFill="1" applyBorder="1">
      <alignment vertical="center"/>
    </xf>
    <xf numFmtId="0" fontId="59" fillId="71" borderId="79" xfId="0" quotePrefix="1" applyFont="1" applyFill="1" applyBorder="1">
      <alignment vertical="center"/>
    </xf>
    <xf numFmtId="0" fontId="60" fillId="0" borderId="79" xfId="0" applyFont="1" applyBorder="1" applyAlignment="1">
      <alignment horizontal="center" vertical="center"/>
    </xf>
    <xf numFmtId="0" fontId="0" fillId="0" borderId="79" xfId="0" applyBorder="1" applyAlignment="1">
      <alignment vertical="center"/>
    </xf>
    <xf numFmtId="0" fontId="61" fillId="59" borderId="62" xfId="0" applyFont="1" applyFill="1" applyBorder="1">
      <alignment vertical="center"/>
    </xf>
    <xf numFmtId="0" fontId="0" fillId="72" borderId="47" xfId="0" applyFill="1" applyBorder="1">
      <alignment vertical="center"/>
    </xf>
    <xf numFmtId="0" fontId="0" fillId="72" borderId="80" xfId="0" applyFill="1" applyBorder="1">
      <alignment vertical="center"/>
    </xf>
    <xf numFmtId="0" fontId="0" fillId="72" borderId="51" xfId="0" applyFill="1" applyBorder="1">
      <alignment vertical="center"/>
    </xf>
    <xf numFmtId="0" fontId="0" fillId="72" borderId="79" xfId="0" applyFill="1" applyBorder="1" applyAlignment="1">
      <alignment vertical="center" shrinkToFit="1"/>
    </xf>
    <xf numFmtId="38" fontId="0" fillId="72" borderId="79" xfId="3" applyFont="1" applyFill="1" applyBorder="1">
      <alignment vertical="center"/>
    </xf>
    <xf numFmtId="0" fontId="0" fillId="0" borderId="78" xfId="0" applyFill="1" applyBorder="1">
      <alignment vertical="center"/>
    </xf>
    <xf numFmtId="0" fontId="0" fillId="0" borderId="78" xfId="0" applyBorder="1" applyAlignment="1">
      <alignment vertical="center" shrinkToFit="1"/>
    </xf>
    <xf numFmtId="0" fontId="59" fillId="71" borderId="78" xfId="0" quotePrefix="1" applyFont="1" applyFill="1" applyBorder="1">
      <alignment vertical="center"/>
    </xf>
    <xf numFmtId="38" fontId="0" fillId="67" borderId="78" xfId="3" applyFont="1" applyFill="1" applyBorder="1">
      <alignment vertical="center"/>
    </xf>
    <xf numFmtId="0" fontId="59" fillId="71" borderId="62" xfId="0" quotePrefix="1" applyFont="1" applyFill="1" applyBorder="1">
      <alignment vertical="center"/>
    </xf>
    <xf numFmtId="0" fontId="0" fillId="0" borderId="62" xfId="0" applyBorder="1" applyAlignment="1">
      <alignment vertical="center" shrinkToFit="1"/>
    </xf>
    <xf numFmtId="0" fontId="0" fillId="0" borderId="62" xfId="0" applyFill="1" applyBorder="1">
      <alignment vertical="center"/>
    </xf>
    <xf numFmtId="38" fontId="0" fillId="67" borderId="62" xfId="3" applyFont="1" applyFill="1" applyBorder="1">
      <alignment vertical="center"/>
    </xf>
    <xf numFmtId="0" fontId="59" fillId="71" borderId="19" xfId="0" quotePrefix="1" applyFont="1" applyFill="1" applyBorder="1">
      <alignment vertical="center"/>
    </xf>
    <xf numFmtId="0" fontId="0" fillId="0" borderId="19" xfId="0" applyBorder="1" applyAlignment="1">
      <alignment vertical="center" shrinkToFit="1"/>
    </xf>
    <xf numFmtId="0" fontId="0" fillId="0" borderId="19" xfId="0" applyFill="1" applyBorder="1">
      <alignment vertical="center"/>
    </xf>
    <xf numFmtId="38" fontId="0" fillId="67" borderId="19" xfId="3" applyFont="1" applyFill="1" applyBorder="1">
      <alignment vertical="center"/>
    </xf>
    <xf numFmtId="0" fontId="0" fillId="47" borderId="62" xfId="0" applyFill="1" applyBorder="1">
      <alignment vertical="center"/>
    </xf>
    <xf numFmtId="0" fontId="0" fillId="72" borderId="82" xfId="0" applyFill="1" applyBorder="1">
      <alignment vertical="center"/>
    </xf>
    <xf numFmtId="0" fontId="0" fillId="72" borderId="83" xfId="0" applyFill="1" applyBorder="1">
      <alignment vertical="center"/>
    </xf>
    <xf numFmtId="0" fontId="0" fillId="72" borderId="84" xfId="0" applyFill="1" applyBorder="1">
      <alignment vertical="center"/>
    </xf>
    <xf numFmtId="0" fontId="0" fillId="73" borderId="47" xfId="0" applyFill="1" applyBorder="1">
      <alignment vertical="center"/>
    </xf>
    <xf numFmtId="0" fontId="0" fillId="73" borderId="80" xfId="0" applyFill="1" applyBorder="1">
      <alignment vertical="center"/>
    </xf>
    <xf numFmtId="0" fontId="0" fillId="73" borderId="51" xfId="0" applyFill="1" applyBorder="1">
      <alignment vertical="center"/>
    </xf>
    <xf numFmtId="0" fontId="0" fillId="73" borderId="51" xfId="0" applyFill="1" applyBorder="1" applyAlignment="1">
      <alignment vertical="center" shrinkToFit="1"/>
    </xf>
    <xf numFmtId="0" fontId="0" fillId="73" borderId="79" xfId="0" applyFill="1" applyBorder="1" applyAlignment="1">
      <alignment vertical="center" shrinkToFit="1"/>
    </xf>
    <xf numFmtId="38" fontId="0" fillId="73" borderId="79" xfId="3" applyFont="1" applyFill="1" applyBorder="1">
      <alignment vertical="center"/>
    </xf>
    <xf numFmtId="0" fontId="0" fillId="72" borderId="78" xfId="0" applyFill="1" applyBorder="1" applyAlignment="1">
      <alignment vertical="center" shrinkToFit="1"/>
    </xf>
    <xf numFmtId="38" fontId="0" fillId="72" borderId="78" xfId="3" applyFont="1" applyFill="1" applyBorder="1">
      <alignment vertical="center"/>
    </xf>
    <xf numFmtId="0" fontId="0" fillId="74" borderId="79" xfId="0" applyFill="1" applyBorder="1">
      <alignment vertical="center"/>
    </xf>
    <xf numFmtId="166" fontId="0" fillId="74" borderId="79" xfId="0" applyNumberFormat="1" applyFill="1" applyBorder="1">
      <alignment vertical="center"/>
    </xf>
    <xf numFmtId="0" fontId="0" fillId="74" borderId="78" xfId="0" applyFill="1" applyBorder="1">
      <alignment vertical="center"/>
    </xf>
    <xf numFmtId="0" fontId="0" fillId="74" borderId="62" xfId="0" applyFill="1" applyBorder="1">
      <alignment vertical="center"/>
    </xf>
    <xf numFmtId="0" fontId="0" fillId="74" borderId="19" xfId="0" applyFill="1" applyBorder="1">
      <alignment vertical="center"/>
    </xf>
    <xf numFmtId="0" fontId="0" fillId="47" borderId="78" xfId="0" applyFill="1" applyBorder="1">
      <alignment vertical="center"/>
    </xf>
  </cellXfs>
  <cellStyles count="49080">
    <cellStyle name="20% - Accent1 2" xfId="10"/>
    <cellStyle name="20% - Accent1 3" xfId="11"/>
    <cellStyle name="20% - Accent1 4" xfId="12"/>
    <cellStyle name="20% - Accent1 5" xfId="13"/>
    <cellStyle name="20% - Accent1 6" xfId="14"/>
    <cellStyle name="20% - Accent1 7" xfId="15"/>
    <cellStyle name="20% - Accent2 2" xfId="16"/>
    <cellStyle name="20% - Accent2 3" xfId="17"/>
    <cellStyle name="20% - Accent2 4" xfId="18"/>
    <cellStyle name="20% - Accent2 5" xfId="19"/>
    <cellStyle name="20% - Accent2 6" xfId="20"/>
    <cellStyle name="20% - Accent2 7" xfId="21"/>
    <cellStyle name="20% - Accent3 2" xfId="22"/>
    <cellStyle name="20% - Accent3 3" xfId="23"/>
    <cellStyle name="20% - Accent3 4" xfId="24"/>
    <cellStyle name="20% - Accent3 5" xfId="25"/>
    <cellStyle name="20% - Accent3 6" xfId="26"/>
    <cellStyle name="20% - Accent3 7" xfId="27"/>
    <cellStyle name="20% - Accent4 2" xfId="28"/>
    <cellStyle name="20% - Accent4 3" xfId="29"/>
    <cellStyle name="20% - Accent4 4" xfId="30"/>
    <cellStyle name="20% - Accent4 5" xfId="31"/>
    <cellStyle name="20% - Accent4 6" xfId="32"/>
    <cellStyle name="20% - Accent4 7" xfId="33"/>
    <cellStyle name="20% - Accent5 2" xfId="34"/>
    <cellStyle name="20% - Accent5 3" xfId="35"/>
    <cellStyle name="20% - Accent5 4" xfId="36"/>
    <cellStyle name="20% - Accent5 5" xfId="37"/>
    <cellStyle name="20% - Accent5 6" xfId="38"/>
    <cellStyle name="20% - Accent5 7" xfId="39"/>
    <cellStyle name="20% - Accent6 2" xfId="40"/>
    <cellStyle name="20% - Accent6 3" xfId="41"/>
    <cellStyle name="20% - Accent6 4" xfId="42"/>
    <cellStyle name="20% - Accent6 5" xfId="43"/>
    <cellStyle name="20% - Accent6 6" xfId="44"/>
    <cellStyle name="20% - Accent6 7" xfId="45"/>
    <cellStyle name="20% - アクセント 1 10" xfId="46"/>
    <cellStyle name="20% - アクセント 1 11" xfId="47"/>
    <cellStyle name="20% - アクセント 1 12" xfId="48"/>
    <cellStyle name="20% - アクセント 1 13" xfId="49"/>
    <cellStyle name="20% - アクセント 1 14" xfId="50"/>
    <cellStyle name="20% - アクセント 1 15" xfId="51"/>
    <cellStyle name="20% - アクセント 1 16" xfId="52"/>
    <cellStyle name="20% - アクセント 1 17" xfId="53"/>
    <cellStyle name="20% - アクセント 1 18" xfId="54"/>
    <cellStyle name="20% - アクセント 1 19" xfId="55"/>
    <cellStyle name="20% - アクセント 1 2" xfId="56"/>
    <cellStyle name="20% - アクセント 1 2 10" xfId="57"/>
    <cellStyle name="20% - アクセント 1 2 11" xfId="58"/>
    <cellStyle name="20% - アクセント 1 2 12" xfId="59"/>
    <cellStyle name="20% - アクセント 1 2 2" xfId="60"/>
    <cellStyle name="20% - アクセント 1 2 3" xfId="61"/>
    <cellStyle name="20% - アクセント 1 2 4" xfId="62"/>
    <cellStyle name="20% - アクセント 1 2 5" xfId="63"/>
    <cellStyle name="20% - アクセント 1 2 6" xfId="64"/>
    <cellStyle name="20% - アクセント 1 2 7" xfId="65"/>
    <cellStyle name="20% - アクセント 1 2 8" xfId="66"/>
    <cellStyle name="20% - アクセント 1 2 9" xfId="67"/>
    <cellStyle name="20% - アクセント 1 20" xfId="68"/>
    <cellStyle name="20% - アクセント 1 21" xfId="69"/>
    <cellStyle name="20% - アクセント 1 3" xfId="70"/>
    <cellStyle name="20% - アクセント 1 3 10" xfId="71"/>
    <cellStyle name="20% - アクセント 1 3 11" xfId="72"/>
    <cellStyle name="20% - アクセント 1 3 12" xfId="73"/>
    <cellStyle name="20% - アクセント 1 3 2" xfId="74"/>
    <cellStyle name="20% - アクセント 1 3 3" xfId="75"/>
    <cellStyle name="20% - アクセント 1 3 4" xfId="76"/>
    <cellStyle name="20% - アクセント 1 3 5" xfId="77"/>
    <cellStyle name="20% - アクセント 1 3 6" xfId="78"/>
    <cellStyle name="20% - アクセント 1 3 7" xfId="79"/>
    <cellStyle name="20% - アクセント 1 3 8" xfId="80"/>
    <cellStyle name="20% - アクセント 1 3 9" xfId="81"/>
    <cellStyle name="20% - アクセント 1 4" xfId="82"/>
    <cellStyle name="20% - アクセント 1 4 2" xfId="83"/>
    <cellStyle name="20% - アクセント 1 4 3" xfId="84"/>
    <cellStyle name="20% - アクセント 1 5" xfId="85"/>
    <cellStyle name="20% - アクセント 1 5 2" xfId="86"/>
    <cellStyle name="20% - アクセント 1 5 3" xfId="87"/>
    <cellStyle name="20% - アクセント 1 6" xfId="88"/>
    <cellStyle name="20% - アクセント 1 6 2" xfId="89"/>
    <cellStyle name="20% - アクセント 1 7" xfId="90"/>
    <cellStyle name="20% - アクセント 1 7 2" xfId="91"/>
    <cellStyle name="20% - アクセント 1 8" xfId="92"/>
    <cellStyle name="20% - アクセント 1 8 2" xfId="93"/>
    <cellStyle name="20% - アクセント 1 9" xfId="94"/>
    <cellStyle name="20% - アクセント 2 10" xfId="95"/>
    <cellStyle name="20% - アクセント 2 11" xfId="96"/>
    <cellStyle name="20% - アクセント 2 12" xfId="97"/>
    <cellStyle name="20% - アクセント 2 13" xfId="98"/>
    <cellStyle name="20% - アクセント 2 14" xfId="99"/>
    <cellStyle name="20% - アクセント 2 15" xfId="100"/>
    <cellStyle name="20% - アクセント 2 16" xfId="101"/>
    <cellStyle name="20% - アクセント 2 17" xfId="102"/>
    <cellStyle name="20% - アクセント 2 18" xfId="103"/>
    <cellStyle name="20% - アクセント 2 19" xfId="104"/>
    <cellStyle name="20% - アクセント 2 2" xfId="105"/>
    <cellStyle name="20% - アクセント 2 2 10" xfId="106"/>
    <cellStyle name="20% - アクセント 2 2 11" xfId="107"/>
    <cellStyle name="20% - アクセント 2 2 12" xfId="108"/>
    <cellStyle name="20% - アクセント 2 2 2" xfId="109"/>
    <cellStyle name="20% - アクセント 2 2 3" xfId="110"/>
    <cellStyle name="20% - アクセント 2 2 4" xfId="111"/>
    <cellStyle name="20% - アクセント 2 2 5" xfId="112"/>
    <cellStyle name="20% - アクセント 2 2 6" xfId="113"/>
    <cellStyle name="20% - アクセント 2 2 7" xfId="114"/>
    <cellStyle name="20% - アクセント 2 2 8" xfId="115"/>
    <cellStyle name="20% - アクセント 2 2 9" xfId="116"/>
    <cellStyle name="20% - アクセント 2 20" xfId="117"/>
    <cellStyle name="20% - アクセント 2 21" xfId="118"/>
    <cellStyle name="20% - アクセント 2 3" xfId="119"/>
    <cellStyle name="20% - アクセント 2 3 10" xfId="120"/>
    <cellStyle name="20% - アクセント 2 3 11" xfId="121"/>
    <cellStyle name="20% - アクセント 2 3 12" xfId="122"/>
    <cellStyle name="20% - アクセント 2 3 2" xfId="123"/>
    <cellStyle name="20% - アクセント 2 3 3" xfId="124"/>
    <cellStyle name="20% - アクセント 2 3 4" xfId="125"/>
    <cellStyle name="20% - アクセント 2 3 5" xfId="126"/>
    <cellStyle name="20% - アクセント 2 3 6" xfId="127"/>
    <cellStyle name="20% - アクセント 2 3 7" xfId="128"/>
    <cellStyle name="20% - アクセント 2 3 8" xfId="129"/>
    <cellStyle name="20% - アクセント 2 3 9" xfId="130"/>
    <cellStyle name="20% - アクセント 2 4" xfId="131"/>
    <cellStyle name="20% - アクセント 2 4 2" xfId="132"/>
    <cellStyle name="20% - アクセント 2 4 3" xfId="133"/>
    <cellStyle name="20% - アクセント 2 5" xfId="134"/>
    <cellStyle name="20% - アクセント 2 5 2" xfId="135"/>
    <cellStyle name="20% - アクセント 2 5 3" xfId="136"/>
    <cellStyle name="20% - アクセント 2 6" xfId="137"/>
    <cellStyle name="20% - アクセント 2 6 2" xfId="138"/>
    <cellStyle name="20% - アクセント 2 7" xfId="139"/>
    <cellStyle name="20% - アクセント 2 7 2" xfId="140"/>
    <cellStyle name="20% - アクセント 2 8" xfId="141"/>
    <cellStyle name="20% - アクセント 2 8 2" xfId="142"/>
    <cellStyle name="20% - アクセント 2 9" xfId="143"/>
    <cellStyle name="20% - アクセント 3 10" xfId="144"/>
    <cellStyle name="20% - アクセント 3 11" xfId="145"/>
    <cellStyle name="20% - アクセント 3 12" xfId="146"/>
    <cellStyle name="20% - アクセント 3 13" xfId="147"/>
    <cellStyle name="20% - アクセント 3 14" xfId="148"/>
    <cellStyle name="20% - アクセント 3 15" xfId="149"/>
    <cellStyle name="20% - アクセント 3 16" xfId="150"/>
    <cellStyle name="20% - アクセント 3 17" xfId="151"/>
    <cellStyle name="20% - アクセント 3 18" xfId="152"/>
    <cellStyle name="20% - アクセント 3 19" xfId="153"/>
    <cellStyle name="20% - アクセント 3 2" xfId="154"/>
    <cellStyle name="20% - アクセント 3 2 10" xfId="155"/>
    <cellStyle name="20% - アクセント 3 2 11" xfId="156"/>
    <cellStyle name="20% - アクセント 3 2 12" xfId="157"/>
    <cellStyle name="20% - アクセント 3 2 2" xfId="158"/>
    <cellStyle name="20% - アクセント 3 2 3" xfId="159"/>
    <cellStyle name="20% - アクセント 3 2 4" xfId="160"/>
    <cellStyle name="20% - アクセント 3 2 5" xfId="161"/>
    <cellStyle name="20% - アクセント 3 2 6" xfId="162"/>
    <cellStyle name="20% - アクセント 3 2 7" xfId="163"/>
    <cellStyle name="20% - アクセント 3 2 8" xfId="164"/>
    <cellStyle name="20% - アクセント 3 2 9" xfId="165"/>
    <cellStyle name="20% - アクセント 3 20" xfId="166"/>
    <cellStyle name="20% - アクセント 3 21" xfId="167"/>
    <cellStyle name="20% - アクセント 3 3" xfId="168"/>
    <cellStyle name="20% - アクセント 3 3 10" xfId="169"/>
    <cellStyle name="20% - アクセント 3 3 11" xfId="170"/>
    <cellStyle name="20% - アクセント 3 3 12" xfId="171"/>
    <cellStyle name="20% - アクセント 3 3 2" xfId="172"/>
    <cellStyle name="20% - アクセント 3 3 3" xfId="173"/>
    <cellStyle name="20% - アクセント 3 3 4" xfId="174"/>
    <cellStyle name="20% - アクセント 3 3 5" xfId="175"/>
    <cellStyle name="20% - アクセント 3 3 6" xfId="176"/>
    <cellStyle name="20% - アクセント 3 3 7" xfId="177"/>
    <cellStyle name="20% - アクセント 3 3 8" xfId="178"/>
    <cellStyle name="20% - アクセント 3 3 9" xfId="179"/>
    <cellStyle name="20% - アクセント 3 4" xfId="180"/>
    <cellStyle name="20% - アクセント 3 4 2" xfId="181"/>
    <cellStyle name="20% - アクセント 3 4 3" xfId="182"/>
    <cellStyle name="20% - アクセント 3 5" xfId="183"/>
    <cellStyle name="20% - アクセント 3 5 2" xfId="184"/>
    <cellStyle name="20% - アクセント 3 5 3" xfId="185"/>
    <cellStyle name="20% - アクセント 3 6" xfId="186"/>
    <cellStyle name="20% - アクセント 3 6 2" xfId="187"/>
    <cellStyle name="20% - アクセント 3 7" xfId="188"/>
    <cellStyle name="20% - アクセント 3 7 2" xfId="189"/>
    <cellStyle name="20% - アクセント 3 8" xfId="190"/>
    <cellStyle name="20% - アクセント 3 8 2" xfId="191"/>
    <cellStyle name="20% - アクセント 3 9" xfId="192"/>
    <cellStyle name="20% - アクセント 4 10" xfId="193"/>
    <cellStyle name="20% - アクセント 4 11" xfId="194"/>
    <cellStyle name="20% - アクセント 4 12" xfId="195"/>
    <cellStyle name="20% - アクセント 4 13" xfId="196"/>
    <cellStyle name="20% - アクセント 4 14" xfId="197"/>
    <cellStyle name="20% - アクセント 4 15" xfId="198"/>
    <cellStyle name="20% - アクセント 4 16" xfId="199"/>
    <cellStyle name="20% - アクセント 4 17" xfId="200"/>
    <cellStyle name="20% - アクセント 4 18" xfId="201"/>
    <cellStyle name="20% - アクセント 4 19" xfId="202"/>
    <cellStyle name="20% - アクセント 4 2" xfId="203"/>
    <cellStyle name="20% - アクセント 4 2 10" xfId="204"/>
    <cellStyle name="20% - アクセント 4 2 11" xfId="205"/>
    <cellStyle name="20% - アクセント 4 2 12" xfId="206"/>
    <cellStyle name="20% - アクセント 4 2 2" xfId="207"/>
    <cellStyle name="20% - アクセント 4 2 3" xfId="208"/>
    <cellStyle name="20% - アクセント 4 2 4" xfId="209"/>
    <cellStyle name="20% - アクセント 4 2 5" xfId="210"/>
    <cellStyle name="20% - アクセント 4 2 6" xfId="211"/>
    <cellStyle name="20% - アクセント 4 2 7" xfId="212"/>
    <cellStyle name="20% - アクセント 4 2 8" xfId="213"/>
    <cellStyle name="20% - アクセント 4 2 9" xfId="214"/>
    <cellStyle name="20% - アクセント 4 20" xfId="215"/>
    <cellStyle name="20% - アクセント 4 21" xfId="216"/>
    <cellStyle name="20% - アクセント 4 3" xfId="217"/>
    <cellStyle name="20% - アクセント 4 3 10" xfId="218"/>
    <cellStyle name="20% - アクセント 4 3 11" xfId="219"/>
    <cellStyle name="20% - アクセント 4 3 12" xfId="220"/>
    <cellStyle name="20% - アクセント 4 3 2" xfId="221"/>
    <cellStyle name="20% - アクセント 4 3 3" xfId="222"/>
    <cellStyle name="20% - アクセント 4 3 4" xfId="223"/>
    <cellStyle name="20% - アクセント 4 3 5" xfId="224"/>
    <cellStyle name="20% - アクセント 4 3 6" xfId="225"/>
    <cellStyle name="20% - アクセント 4 3 7" xfId="226"/>
    <cellStyle name="20% - アクセント 4 3 8" xfId="227"/>
    <cellStyle name="20% - アクセント 4 3 9" xfId="228"/>
    <cellStyle name="20% - アクセント 4 4" xfId="229"/>
    <cellStyle name="20% - アクセント 4 4 2" xfId="230"/>
    <cellStyle name="20% - アクセント 4 4 3" xfId="231"/>
    <cellStyle name="20% - アクセント 4 5" xfId="232"/>
    <cellStyle name="20% - アクセント 4 5 2" xfId="233"/>
    <cellStyle name="20% - アクセント 4 5 3" xfId="234"/>
    <cellStyle name="20% - アクセント 4 6" xfId="235"/>
    <cellStyle name="20% - アクセント 4 6 2" xfId="236"/>
    <cellStyle name="20% - アクセント 4 7" xfId="237"/>
    <cellStyle name="20% - アクセント 4 7 2" xfId="238"/>
    <cellStyle name="20% - アクセント 4 8" xfId="239"/>
    <cellStyle name="20% - アクセント 4 8 2" xfId="240"/>
    <cellStyle name="20% - アクセント 4 9" xfId="241"/>
    <cellStyle name="20% - アクセント 5 10" xfId="242"/>
    <cellStyle name="20% - アクセント 5 11" xfId="243"/>
    <cellStyle name="20% - アクセント 5 12" xfId="244"/>
    <cellStyle name="20% - アクセント 5 13" xfId="245"/>
    <cellStyle name="20% - アクセント 5 14" xfId="246"/>
    <cellStyle name="20% - アクセント 5 15" xfId="247"/>
    <cellStyle name="20% - アクセント 5 16" xfId="248"/>
    <cellStyle name="20% - アクセント 5 17" xfId="249"/>
    <cellStyle name="20% - アクセント 5 18" xfId="250"/>
    <cellStyle name="20% - アクセント 5 19" xfId="251"/>
    <cellStyle name="20% - アクセント 5 2" xfId="252"/>
    <cellStyle name="20% - アクセント 5 2 10" xfId="253"/>
    <cellStyle name="20% - アクセント 5 2 11" xfId="254"/>
    <cellStyle name="20% - アクセント 5 2 2" xfId="255"/>
    <cellStyle name="20% - アクセント 5 2 3" xfId="256"/>
    <cellStyle name="20% - アクセント 5 2 4" xfId="257"/>
    <cellStyle name="20% - アクセント 5 2 5" xfId="258"/>
    <cellStyle name="20% - アクセント 5 2 6" xfId="259"/>
    <cellStyle name="20% - アクセント 5 2 7" xfId="260"/>
    <cellStyle name="20% - アクセント 5 2 8" xfId="261"/>
    <cellStyle name="20% - アクセント 5 2 9" xfId="262"/>
    <cellStyle name="20% - アクセント 5 20" xfId="263"/>
    <cellStyle name="20% - アクセント 5 3" xfId="264"/>
    <cellStyle name="20% - アクセント 5 3 10" xfId="265"/>
    <cellStyle name="20% - アクセント 5 3 11" xfId="266"/>
    <cellStyle name="20% - アクセント 5 3 2" xfId="267"/>
    <cellStyle name="20% - アクセント 5 3 3" xfId="268"/>
    <cellStyle name="20% - アクセント 5 3 4" xfId="269"/>
    <cellStyle name="20% - アクセント 5 3 5" xfId="270"/>
    <cellStyle name="20% - アクセント 5 3 6" xfId="271"/>
    <cellStyle name="20% - アクセント 5 3 7" xfId="272"/>
    <cellStyle name="20% - アクセント 5 3 8" xfId="273"/>
    <cellStyle name="20% - アクセント 5 3 9" xfId="274"/>
    <cellStyle name="20% - アクセント 5 4" xfId="275"/>
    <cellStyle name="20% - アクセント 5 4 2" xfId="276"/>
    <cellStyle name="20% - アクセント 5 5" xfId="277"/>
    <cellStyle name="20% - アクセント 5 5 2" xfId="278"/>
    <cellStyle name="20% - アクセント 5 6" xfId="279"/>
    <cellStyle name="20% - アクセント 5 6 2" xfId="280"/>
    <cellStyle name="20% - アクセント 5 7" xfId="281"/>
    <cellStyle name="20% - アクセント 5 7 2" xfId="282"/>
    <cellStyle name="20% - アクセント 5 8" xfId="283"/>
    <cellStyle name="20% - アクセント 5 8 2" xfId="284"/>
    <cellStyle name="20% - アクセント 5 9" xfId="285"/>
    <cellStyle name="20% - アクセント 6 10" xfId="286"/>
    <cellStyle name="20% - アクセント 6 11" xfId="287"/>
    <cellStyle name="20% - アクセント 6 12" xfId="288"/>
    <cellStyle name="20% - アクセント 6 13" xfId="289"/>
    <cellStyle name="20% - アクセント 6 14" xfId="290"/>
    <cellStyle name="20% - アクセント 6 15" xfId="291"/>
    <cellStyle name="20% - アクセント 6 16" xfId="292"/>
    <cellStyle name="20% - アクセント 6 17" xfId="293"/>
    <cellStyle name="20% - アクセント 6 18" xfId="294"/>
    <cellStyle name="20% - アクセント 6 19" xfId="295"/>
    <cellStyle name="20% - アクセント 6 2" xfId="296"/>
    <cellStyle name="20% - アクセント 6 2 10" xfId="297"/>
    <cellStyle name="20% - アクセント 6 2 11" xfId="298"/>
    <cellStyle name="20% - アクセント 6 2 12" xfId="299"/>
    <cellStyle name="20% - アクセント 6 2 2" xfId="300"/>
    <cellStyle name="20% - アクセント 6 2 3" xfId="301"/>
    <cellStyle name="20% - アクセント 6 2 4" xfId="302"/>
    <cellStyle name="20% - アクセント 6 2 5" xfId="303"/>
    <cellStyle name="20% - アクセント 6 2 6" xfId="304"/>
    <cellStyle name="20% - アクセント 6 2 7" xfId="305"/>
    <cellStyle name="20% - アクセント 6 2 8" xfId="306"/>
    <cellStyle name="20% - アクセント 6 2 9" xfId="307"/>
    <cellStyle name="20% - アクセント 6 20" xfId="308"/>
    <cellStyle name="20% - アクセント 6 21" xfId="309"/>
    <cellStyle name="20% - アクセント 6 3" xfId="310"/>
    <cellStyle name="20% - アクセント 6 3 10" xfId="311"/>
    <cellStyle name="20% - アクセント 6 3 11" xfId="312"/>
    <cellStyle name="20% - アクセント 6 3 12" xfId="313"/>
    <cellStyle name="20% - アクセント 6 3 2" xfId="314"/>
    <cellStyle name="20% - アクセント 6 3 3" xfId="315"/>
    <cellStyle name="20% - アクセント 6 3 4" xfId="316"/>
    <cellStyle name="20% - アクセント 6 3 5" xfId="317"/>
    <cellStyle name="20% - アクセント 6 3 6" xfId="318"/>
    <cellStyle name="20% - アクセント 6 3 7" xfId="319"/>
    <cellStyle name="20% - アクセント 6 3 8" xfId="320"/>
    <cellStyle name="20% - アクセント 6 3 9" xfId="321"/>
    <cellStyle name="20% - アクセント 6 4" xfId="322"/>
    <cellStyle name="20% - アクセント 6 4 2" xfId="323"/>
    <cellStyle name="20% - アクセント 6 4 3" xfId="324"/>
    <cellStyle name="20% - アクセント 6 5" xfId="325"/>
    <cellStyle name="20% - アクセント 6 5 2" xfId="326"/>
    <cellStyle name="20% - アクセント 6 5 3" xfId="327"/>
    <cellStyle name="20% - アクセント 6 6" xfId="328"/>
    <cellStyle name="20% - アクセント 6 6 2" xfId="329"/>
    <cellStyle name="20% - アクセント 6 7" xfId="330"/>
    <cellStyle name="20% - アクセント 6 7 2" xfId="331"/>
    <cellStyle name="20% - アクセント 6 8" xfId="332"/>
    <cellStyle name="20% - アクセント 6 8 2" xfId="333"/>
    <cellStyle name="20% - アクセント 6 9" xfId="334"/>
    <cellStyle name="40% - Accent1 2" xfId="335"/>
    <cellStyle name="40% - Accent1 3" xfId="336"/>
    <cellStyle name="40% - Accent1 4" xfId="337"/>
    <cellStyle name="40% - Accent1 5" xfId="338"/>
    <cellStyle name="40% - Accent1 6" xfId="339"/>
    <cellStyle name="40% - Accent1 7" xfId="340"/>
    <cellStyle name="40% - Accent2 2" xfId="341"/>
    <cellStyle name="40% - Accent2 3" xfId="342"/>
    <cellStyle name="40% - Accent2 4" xfId="343"/>
    <cellStyle name="40% - Accent2 5" xfId="344"/>
    <cellStyle name="40% - Accent2 6" xfId="345"/>
    <cellStyle name="40% - Accent2 7" xfId="346"/>
    <cellStyle name="40% - Accent3 2" xfId="347"/>
    <cellStyle name="40% - Accent3 3" xfId="348"/>
    <cellStyle name="40% - Accent3 4" xfId="349"/>
    <cellStyle name="40% - Accent3 5" xfId="350"/>
    <cellStyle name="40% - Accent3 6" xfId="351"/>
    <cellStyle name="40% - Accent3 7" xfId="352"/>
    <cellStyle name="40% - Accent4 2" xfId="353"/>
    <cellStyle name="40% - Accent4 3" xfId="354"/>
    <cellStyle name="40% - Accent4 4" xfId="355"/>
    <cellStyle name="40% - Accent4 5" xfId="356"/>
    <cellStyle name="40% - Accent4 6" xfId="357"/>
    <cellStyle name="40% - Accent4 7" xfId="358"/>
    <cellStyle name="40% - Accent5 2" xfId="359"/>
    <cellStyle name="40% - Accent5 3" xfId="360"/>
    <cellStyle name="40% - Accent5 4" xfId="361"/>
    <cellStyle name="40% - Accent5 5" xfId="362"/>
    <cellStyle name="40% - Accent5 6" xfId="363"/>
    <cellStyle name="40% - Accent5 7" xfId="364"/>
    <cellStyle name="40% - Accent6 2" xfId="365"/>
    <cellStyle name="40% - Accent6 3" xfId="366"/>
    <cellStyle name="40% - Accent6 4" xfId="367"/>
    <cellStyle name="40% - Accent6 5" xfId="368"/>
    <cellStyle name="40% - Accent6 6" xfId="369"/>
    <cellStyle name="40% - Accent6 7" xfId="370"/>
    <cellStyle name="40% - アクセント 1 10" xfId="371"/>
    <cellStyle name="40% - アクセント 1 11" xfId="372"/>
    <cellStyle name="40% - アクセント 1 12" xfId="373"/>
    <cellStyle name="40% - アクセント 1 13" xfId="374"/>
    <cellStyle name="40% - アクセント 1 14" xfId="375"/>
    <cellStyle name="40% - アクセント 1 15" xfId="376"/>
    <cellStyle name="40% - アクセント 1 16" xfId="377"/>
    <cellStyle name="40% - アクセント 1 17" xfId="378"/>
    <cellStyle name="40% - アクセント 1 18" xfId="379"/>
    <cellStyle name="40% - アクセント 1 19" xfId="380"/>
    <cellStyle name="40% - アクセント 1 2" xfId="381"/>
    <cellStyle name="40% - アクセント 1 2 10" xfId="382"/>
    <cellStyle name="40% - アクセント 1 2 11" xfId="383"/>
    <cellStyle name="40% - アクセント 1 2 12" xfId="384"/>
    <cellStyle name="40% - アクセント 1 2 2" xfId="385"/>
    <cellStyle name="40% - アクセント 1 2 3" xfId="386"/>
    <cellStyle name="40% - アクセント 1 2 4" xfId="387"/>
    <cellStyle name="40% - アクセント 1 2 5" xfId="388"/>
    <cellStyle name="40% - アクセント 1 2 6" xfId="389"/>
    <cellStyle name="40% - アクセント 1 2 7" xfId="390"/>
    <cellStyle name="40% - アクセント 1 2 8" xfId="391"/>
    <cellStyle name="40% - アクセント 1 2 9" xfId="392"/>
    <cellStyle name="40% - アクセント 1 20" xfId="393"/>
    <cellStyle name="40% - アクセント 1 21" xfId="394"/>
    <cellStyle name="40% - アクセント 1 3" xfId="395"/>
    <cellStyle name="40% - アクセント 1 3 10" xfId="396"/>
    <cellStyle name="40% - アクセント 1 3 11" xfId="397"/>
    <cellStyle name="40% - アクセント 1 3 12" xfId="398"/>
    <cellStyle name="40% - アクセント 1 3 2" xfId="399"/>
    <cellStyle name="40% - アクセント 1 3 3" xfId="400"/>
    <cellStyle name="40% - アクセント 1 3 4" xfId="401"/>
    <cellStyle name="40% - アクセント 1 3 5" xfId="402"/>
    <cellStyle name="40% - アクセント 1 3 6" xfId="403"/>
    <cellStyle name="40% - アクセント 1 3 7" xfId="404"/>
    <cellStyle name="40% - アクセント 1 3 8" xfId="405"/>
    <cellStyle name="40% - アクセント 1 3 9" xfId="406"/>
    <cellStyle name="40% - アクセント 1 4" xfId="407"/>
    <cellStyle name="40% - アクセント 1 4 2" xfId="408"/>
    <cellStyle name="40% - アクセント 1 4 3" xfId="409"/>
    <cellStyle name="40% - アクセント 1 5" xfId="410"/>
    <cellStyle name="40% - アクセント 1 5 2" xfId="411"/>
    <cellStyle name="40% - アクセント 1 5 3" xfId="412"/>
    <cellStyle name="40% - アクセント 1 6" xfId="413"/>
    <cellStyle name="40% - アクセント 1 6 2" xfId="414"/>
    <cellStyle name="40% - アクセント 1 7" xfId="415"/>
    <cellStyle name="40% - アクセント 1 7 2" xfId="416"/>
    <cellStyle name="40% - アクセント 1 8" xfId="417"/>
    <cellStyle name="40% - アクセント 1 8 2" xfId="418"/>
    <cellStyle name="40% - アクセント 1 9" xfId="419"/>
    <cellStyle name="40% - アクセント 2 10" xfId="420"/>
    <cellStyle name="40% - アクセント 2 11" xfId="421"/>
    <cellStyle name="40% - アクセント 2 12" xfId="422"/>
    <cellStyle name="40% - アクセント 2 13" xfId="423"/>
    <cellStyle name="40% - アクセント 2 14" xfId="424"/>
    <cellStyle name="40% - アクセント 2 15" xfId="425"/>
    <cellStyle name="40% - アクセント 2 16" xfId="426"/>
    <cellStyle name="40% - アクセント 2 17" xfId="427"/>
    <cellStyle name="40% - アクセント 2 18" xfId="428"/>
    <cellStyle name="40% - アクセント 2 19" xfId="429"/>
    <cellStyle name="40% - アクセント 2 2" xfId="430"/>
    <cellStyle name="40% - アクセント 2 2 10" xfId="431"/>
    <cellStyle name="40% - アクセント 2 2 11" xfId="432"/>
    <cellStyle name="40% - アクセント 2 2 2" xfId="433"/>
    <cellStyle name="40% - アクセント 2 2 3" xfId="434"/>
    <cellStyle name="40% - アクセント 2 2 4" xfId="435"/>
    <cellStyle name="40% - アクセント 2 2 5" xfId="436"/>
    <cellStyle name="40% - アクセント 2 2 6" xfId="437"/>
    <cellStyle name="40% - アクセント 2 2 7" xfId="438"/>
    <cellStyle name="40% - アクセント 2 2 8" xfId="439"/>
    <cellStyle name="40% - アクセント 2 2 9" xfId="440"/>
    <cellStyle name="40% - アクセント 2 20" xfId="441"/>
    <cellStyle name="40% - アクセント 2 3" xfId="442"/>
    <cellStyle name="40% - アクセント 2 3 10" xfId="443"/>
    <cellStyle name="40% - アクセント 2 3 11" xfId="444"/>
    <cellStyle name="40% - アクセント 2 3 2" xfId="445"/>
    <cellStyle name="40% - アクセント 2 3 3" xfId="446"/>
    <cellStyle name="40% - アクセント 2 3 4" xfId="447"/>
    <cellStyle name="40% - アクセント 2 3 5" xfId="448"/>
    <cellStyle name="40% - アクセント 2 3 6" xfId="449"/>
    <cellStyle name="40% - アクセント 2 3 7" xfId="450"/>
    <cellStyle name="40% - アクセント 2 3 8" xfId="451"/>
    <cellStyle name="40% - アクセント 2 3 9" xfId="452"/>
    <cellStyle name="40% - アクセント 2 4" xfId="453"/>
    <cellStyle name="40% - アクセント 2 4 2" xfId="454"/>
    <cellStyle name="40% - アクセント 2 5" xfId="455"/>
    <cellStyle name="40% - アクセント 2 5 2" xfId="456"/>
    <cellStyle name="40% - アクセント 2 6" xfId="457"/>
    <cellStyle name="40% - アクセント 2 6 2" xfId="458"/>
    <cellStyle name="40% - アクセント 2 7" xfId="459"/>
    <cellStyle name="40% - アクセント 2 7 2" xfId="460"/>
    <cellStyle name="40% - アクセント 2 8" xfId="461"/>
    <cellStyle name="40% - アクセント 2 8 2" xfId="462"/>
    <cellStyle name="40% - アクセント 2 9" xfId="463"/>
    <cellStyle name="40% - アクセント 3 10" xfId="464"/>
    <cellStyle name="40% - アクセント 3 11" xfId="465"/>
    <cellStyle name="40% - アクセント 3 12" xfId="466"/>
    <cellStyle name="40% - アクセント 3 13" xfId="467"/>
    <cellStyle name="40% - アクセント 3 14" xfId="468"/>
    <cellStyle name="40% - アクセント 3 15" xfId="469"/>
    <cellStyle name="40% - アクセント 3 16" xfId="470"/>
    <cellStyle name="40% - アクセント 3 17" xfId="471"/>
    <cellStyle name="40% - アクセント 3 18" xfId="472"/>
    <cellStyle name="40% - アクセント 3 19" xfId="473"/>
    <cellStyle name="40% - アクセント 3 2" xfId="474"/>
    <cellStyle name="40% - アクセント 3 2 10" xfId="475"/>
    <cellStyle name="40% - アクセント 3 2 11" xfId="476"/>
    <cellStyle name="40% - アクセント 3 2 12" xfId="477"/>
    <cellStyle name="40% - アクセント 3 2 2" xfId="478"/>
    <cellStyle name="40% - アクセント 3 2 3" xfId="479"/>
    <cellStyle name="40% - アクセント 3 2 4" xfId="480"/>
    <cellStyle name="40% - アクセント 3 2 5" xfId="481"/>
    <cellStyle name="40% - アクセント 3 2 6" xfId="482"/>
    <cellStyle name="40% - アクセント 3 2 7" xfId="483"/>
    <cellStyle name="40% - アクセント 3 2 8" xfId="484"/>
    <cellStyle name="40% - アクセント 3 2 9" xfId="485"/>
    <cellStyle name="40% - アクセント 3 20" xfId="486"/>
    <cellStyle name="40% - アクセント 3 21" xfId="487"/>
    <cellStyle name="40% - アクセント 3 3" xfId="488"/>
    <cellStyle name="40% - アクセント 3 3 10" xfId="489"/>
    <cellStyle name="40% - アクセント 3 3 11" xfId="490"/>
    <cellStyle name="40% - アクセント 3 3 12" xfId="491"/>
    <cellStyle name="40% - アクセント 3 3 2" xfId="492"/>
    <cellStyle name="40% - アクセント 3 3 3" xfId="493"/>
    <cellStyle name="40% - アクセント 3 3 4" xfId="494"/>
    <cellStyle name="40% - アクセント 3 3 5" xfId="495"/>
    <cellStyle name="40% - アクセント 3 3 6" xfId="496"/>
    <cellStyle name="40% - アクセント 3 3 7" xfId="497"/>
    <cellStyle name="40% - アクセント 3 3 8" xfId="498"/>
    <cellStyle name="40% - アクセント 3 3 9" xfId="499"/>
    <cellStyle name="40% - アクセント 3 4" xfId="500"/>
    <cellStyle name="40% - アクセント 3 4 2" xfId="501"/>
    <cellStyle name="40% - アクセント 3 4 3" xfId="502"/>
    <cellStyle name="40% - アクセント 3 5" xfId="503"/>
    <cellStyle name="40% - アクセント 3 5 2" xfId="504"/>
    <cellStyle name="40% - アクセント 3 5 3" xfId="505"/>
    <cellStyle name="40% - アクセント 3 6" xfId="506"/>
    <cellStyle name="40% - アクセント 3 6 2" xfId="507"/>
    <cellStyle name="40% - アクセント 3 7" xfId="508"/>
    <cellStyle name="40% - アクセント 3 7 2" xfId="509"/>
    <cellStyle name="40% - アクセント 3 8" xfId="510"/>
    <cellStyle name="40% - アクセント 3 8 2" xfId="511"/>
    <cellStyle name="40% - アクセント 3 9" xfId="512"/>
    <cellStyle name="40% - アクセント 4 10" xfId="513"/>
    <cellStyle name="40% - アクセント 4 11" xfId="514"/>
    <cellStyle name="40% - アクセント 4 12" xfId="515"/>
    <cellStyle name="40% - アクセント 4 13" xfId="516"/>
    <cellStyle name="40% - アクセント 4 14" xfId="517"/>
    <cellStyle name="40% - アクセント 4 15" xfId="518"/>
    <cellStyle name="40% - アクセント 4 16" xfId="519"/>
    <cellStyle name="40% - アクセント 4 17" xfId="520"/>
    <cellStyle name="40% - アクセント 4 18" xfId="521"/>
    <cellStyle name="40% - アクセント 4 19" xfId="522"/>
    <cellStyle name="40% - アクセント 4 2" xfId="523"/>
    <cellStyle name="40% - アクセント 4 2 10" xfId="524"/>
    <cellStyle name="40% - アクセント 4 2 11" xfId="525"/>
    <cellStyle name="40% - アクセント 4 2 12" xfId="526"/>
    <cellStyle name="40% - アクセント 4 2 2" xfId="527"/>
    <cellStyle name="40% - アクセント 4 2 3" xfId="528"/>
    <cellStyle name="40% - アクセント 4 2 4" xfId="529"/>
    <cellStyle name="40% - アクセント 4 2 5" xfId="530"/>
    <cellStyle name="40% - アクセント 4 2 6" xfId="531"/>
    <cellStyle name="40% - アクセント 4 2 7" xfId="532"/>
    <cellStyle name="40% - アクセント 4 2 8" xfId="533"/>
    <cellStyle name="40% - アクセント 4 2 9" xfId="534"/>
    <cellStyle name="40% - アクセント 4 20" xfId="535"/>
    <cellStyle name="40% - アクセント 4 21" xfId="536"/>
    <cellStyle name="40% - アクセント 4 3" xfId="537"/>
    <cellStyle name="40% - アクセント 4 3 10" xfId="538"/>
    <cellStyle name="40% - アクセント 4 3 11" xfId="539"/>
    <cellStyle name="40% - アクセント 4 3 12" xfId="540"/>
    <cellStyle name="40% - アクセント 4 3 2" xfId="541"/>
    <cellStyle name="40% - アクセント 4 3 3" xfId="542"/>
    <cellStyle name="40% - アクセント 4 3 4" xfId="543"/>
    <cellStyle name="40% - アクセント 4 3 5" xfId="544"/>
    <cellStyle name="40% - アクセント 4 3 6" xfId="545"/>
    <cellStyle name="40% - アクセント 4 3 7" xfId="546"/>
    <cellStyle name="40% - アクセント 4 3 8" xfId="547"/>
    <cellStyle name="40% - アクセント 4 3 9" xfId="548"/>
    <cellStyle name="40% - アクセント 4 4" xfId="549"/>
    <cellStyle name="40% - アクセント 4 4 2" xfId="550"/>
    <cellStyle name="40% - アクセント 4 4 3" xfId="551"/>
    <cellStyle name="40% - アクセント 4 5" xfId="552"/>
    <cellStyle name="40% - アクセント 4 5 2" xfId="553"/>
    <cellStyle name="40% - アクセント 4 5 3" xfId="554"/>
    <cellStyle name="40% - アクセント 4 6" xfId="555"/>
    <cellStyle name="40% - アクセント 4 6 2" xfId="556"/>
    <cellStyle name="40% - アクセント 4 7" xfId="557"/>
    <cellStyle name="40% - アクセント 4 7 2" xfId="558"/>
    <cellStyle name="40% - アクセント 4 8" xfId="559"/>
    <cellStyle name="40% - アクセント 4 8 2" xfId="560"/>
    <cellStyle name="40% - アクセント 4 9" xfId="561"/>
    <cellStyle name="40% - アクセント 5 10" xfId="562"/>
    <cellStyle name="40% - アクセント 5 11" xfId="563"/>
    <cellStyle name="40% - アクセント 5 12" xfId="564"/>
    <cellStyle name="40% - アクセント 5 13" xfId="565"/>
    <cellStyle name="40% - アクセント 5 14" xfId="566"/>
    <cellStyle name="40% - アクセント 5 15" xfId="567"/>
    <cellStyle name="40% - アクセント 5 16" xfId="568"/>
    <cellStyle name="40% - アクセント 5 17" xfId="569"/>
    <cellStyle name="40% - アクセント 5 18" xfId="570"/>
    <cellStyle name="40% - アクセント 5 19" xfId="571"/>
    <cellStyle name="40% - アクセント 5 2" xfId="572"/>
    <cellStyle name="40% - アクセント 5 2 10" xfId="573"/>
    <cellStyle name="40% - アクセント 5 2 11" xfId="574"/>
    <cellStyle name="40% - アクセント 5 2 2" xfId="575"/>
    <cellStyle name="40% - アクセント 5 2 3" xfId="576"/>
    <cellStyle name="40% - アクセント 5 2 4" xfId="577"/>
    <cellStyle name="40% - アクセント 5 2 5" xfId="578"/>
    <cellStyle name="40% - アクセント 5 2 6" xfId="579"/>
    <cellStyle name="40% - アクセント 5 2 7" xfId="580"/>
    <cellStyle name="40% - アクセント 5 2 8" xfId="581"/>
    <cellStyle name="40% - アクセント 5 2 9" xfId="582"/>
    <cellStyle name="40% - アクセント 5 20" xfId="583"/>
    <cellStyle name="40% - アクセント 5 3" xfId="584"/>
    <cellStyle name="40% - アクセント 5 3 10" xfId="585"/>
    <cellStyle name="40% - アクセント 5 3 11" xfId="586"/>
    <cellStyle name="40% - アクセント 5 3 2" xfId="587"/>
    <cellStyle name="40% - アクセント 5 3 3" xfId="588"/>
    <cellStyle name="40% - アクセント 5 3 4" xfId="589"/>
    <cellStyle name="40% - アクセント 5 3 5" xfId="590"/>
    <cellStyle name="40% - アクセント 5 3 6" xfId="591"/>
    <cellStyle name="40% - アクセント 5 3 7" xfId="592"/>
    <cellStyle name="40% - アクセント 5 3 8" xfId="593"/>
    <cellStyle name="40% - アクセント 5 3 9" xfId="594"/>
    <cellStyle name="40% - アクセント 5 4" xfId="595"/>
    <cellStyle name="40% - アクセント 5 4 2" xfId="596"/>
    <cellStyle name="40% - アクセント 5 5" xfId="597"/>
    <cellStyle name="40% - アクセント 5 5 2" xfId="598"/>
    <cellStyle name="40% - アクセント 5 6" xfId="599"/>
    <cellStyle name="40% - アクセント 5 6 2" xfId="600"/>
    <cellStyle name="40% - アクセント 5 7" xfId="601"/>
    <cellStyle name="40% - アクセント 5 7 2" xfId="602"/>
    <cellStyle name="40% - アクセント 5 8" xfId="603"/>
    <cellStyle name="40% - アクセント 5 8 2" xfId="604"/>
    <cellStyle name="40% - アクセント 5 9" xfId="605"/>
    <cellStyle name="40% - アクセント 6 10" xfId="606"/>
    <cellStyle name="40% - アクセント 6 11" xfId="607"/>
    <cellStyle name="40% - アクセント 6 12" xfId="608"/>
    <cellStyle name="40% - アクセント 6 13" xfId="609"/>
    <cellStyle name="40% - アクセント 6 14" xfId="610"/>
    <cellStyle name="40% - アクセント 6 15" xfId="611"/>
    <cellStyle name="40% - アクセント 6 16" xfId="612"/>
    <cellStyle name="40% - アクセント 6 17" xfId="613"/>
    <cellStyle name="40% - アクセント 6 18" xfId="614"/>
    <cellStyle name="40% - アクセント 6 19" xfId="615"/>
    <cellStyle name="40% - アクセント 6 2" xfId="616"/>
    <cellStyle name="40% - アクセント 6 2 10" xfId="617"/>
    <cellStyle name="40% - アクセント 6 2 11" xfId="618"/>
    <cellStyle name="40% - アクセント 6 2 12" xfId="619"/>
    <cellStyle name="40% - アクセント 6 2 2" xfId="620"/>
    <cellStyle name="40% - アクセント 6 2 3" xfId="621"/>
    <cellStyle name="40% - アクセント 6 2 4" xfId="622"/>
    <cellStyle name="40% - アクセント 6 2 5" xfId="623"/>
    <cellStyle name="40% - アクセント 6 2 6" xfId="624"/>
    <cellStyle name="40% - アクセント 6 2 7" xfId="625"/>
    <cellStyle name="40% - アクセント 6 2 8" xfId="626"/>
    <cellStyle name="40% - アクセント 6 2 9" xfId="627"/>
    <cellStyle name="40% - アクセント 6 20" xfId="628"/>
    <cellStyle name="40% - アクセント 6 21" xfId="629"/>
    <cellStyle name="40% - アクセント 6 3" xfId="630"/>
    <cellStyle name="40% - アクセント 6 3 10" xfId="631"/>
    <cellStyle name="40% - アクセント 6 3 11" xfId="632"/>
    <cellStyle name="40% - アクセント 6 3 12" xfId="633"/>
    <cellStyle name="40% - アクセント 6 3 2" xfId="634"/>
    <cellStyle name="40% - アクセント 6 3 3" xfId="635"/>
    <cellStyle name="40% - アクセント 6 3 4" xfId="636"/>
    <cellStyle name="40% - アクセント 6 3 5" xfId="637"/>
    <cellStyle name="40% - アクセント 6 3 6" xfId="638"/>
    <cellStyle name="40% - アクセント 6 3 7" xfId="639"/>
    <cellStyle name="40% - アクセント 6 3 8" xfId="640"/>
    <cellStyle name="40% - アクセント 6 3 9" xfId="641"/>
    <cellStyle name="40% - アクセント 6 4" xfId="642"/>
    <cellStyle name="40% - アクセント 6 4 2" xfId="643"/>
    <cellStyle name="40% - アクセント 6 4 3" xfId="644"/>
    <cellStyle name="40% - アクセント 6 5" xfId="645"/>
    <cellStyle name="40% - アクセント 6 5 2" xfId="646"/>
    <cellStyle name="40% - アクセント 6 5 3" xfId="647"/>
    <cellStyle name="40% - アクセント 6 6" xfId="648"/>
    <cellStyle name="40% - アクセント 6 6 2" xfId="649"/>
    <cellStyle name="40% - アクセント 6 7" xfId="650"/>
    <cellStyle name="40% - アクセント 6 7 2" xfId="651"/>
    <cellStyle name="40% - アクセント 6 8" xfId="652"/>
    <cellStyle name="40% - アクセント 6 8 2" xfId="653"/>
    <cellStyle name="40% - アクセント 6 9" xfId="654"/>
    <cellStyle name="60% - Accent1 2" xfId="655"/>
    <cellStyle name="60% - Accent1 3" xfId="656"/>
    <cellStyle name="60% - Accent1 4" xfId="657"/>
    <cellStyle name="60% - Accent1 5" xfId="658"/>
    <cellStyle name="60% - Accent1 6" xfId="659"/>
    <cellStyle name="60% - Accent1 7" xfId="660"/>
    <cellStyle name="60% - Accent2 2" xfId="661"/>
    <cellStyle name="60% - Accent2 3" xfId="662"/>
    <cellStyle name="60% - Accent2 4" xfId="663"/>
    <cellStyle name="60% - Accent2 5" xfId="664"/>
    <cellStyle name="60% - Accent2 6" xfId="665"/>
    <cellStyle name="60% - Accent2 7" xfId="666"/>
    <cellStyle name="60% - Accent3 2" xfId="667"/>
    <cellStyle name="60% - Accent3 3" xfId="668"/>
    <cellStyle name="60% - Accent3 4" xfId="669"/>
    <cellStyle name="60% - Accent3 5" xfId="670"/>
    <cellStyle name="60% - Accent3 6" xfId="671"/>
    <cellStyle name="60% - Accent3 7" xfId="672"/>
    <cellStyle name="60% - Accent4 2" xfId="673"/>
    <cellStyle name="60% - Accent4 3" xfId="674"/>
    <cellStyle name="60% - Accent4 4" xfId="675"/>
    <cellStyle name="60% - Accent4 5" xfId="676"/>
    <cellStyle name="60% - Accent4 6" xfId="677"/>
    <cellStyle name="60% - Accent4 7" xfId="678"/>
    <cellStyle name="60% - Accent5 2" xfId="679"/>
    <cellStyle name="60% - Accent5 3" xfId="680"/>
    <cellStyle name="60% - Accent5 4" xfId="681"/>
    <cellStyle name="60% - Accent5 5" xfId="682"/>
    <cellStyle name="60% - Accent5 6" xfId="683"/>
    <cellStyle name="60% - Accent5 7" xfId="684"/>
    <cellStyle name="60% - Accent6 2" xfId="685"/>
    <cellStyle name="60% - Accent6 3" xfId="686"/>
    <cellStyle name="60% - Accent6 4" xfId="687"/>
    <cellStyle name="60% - Accent6 5" xfId="688"/>
    <cellStyle name="60% - Accent6 6" xfId="689"/>
    <cellStyle name="60% - Accent6 7" xfId="690"/>
    <cellStyle name="60% - アクセント 1 10" xfId="691"/>
    <cellStyle name="60% - アクセント 1 11" xfId="692"/>
    <cellStyle name="60% - アクセント 1 12" xfId="693"/>
    <cellStyle name="60% - アクセント 1 13" xfId="694"/>
    <cellStyle name="60% - アクセント 1 14" xfId="695"/>
    <cellStyle name="60% - アクセント 1 15" xfId="696"/>
    <cellStyle name="60% - アクセント 1 16" xfId="697"/>
    <cellStyle name="60% - アクセント 1 17" xfId="698"/>
    <cellStyle name="60% - アクセント 1 18" xfId="699"/>
    <cellStyle name="60% - アクセント 1 19" xfId="700"/>
    <cellStyle name="60% - アクセント 1 2" xfId="701"/>
    <cellStyle name="60% - アクセント 1 2 10" xfId="702"/>
    <cellStyle name="60% - アクセント 1 2 11" xfId="703"/>
    <cellStyle name="60% - アクセント 1 2 12" xfId="704"/>
    <cellStyle name="60% - アクセント 1 2 2" xfId="705"/>
    <cellStyle name="60% - アクセント 1 2 3" xfId="706"/>
    <cellStyle name="60% - アクセント 1 2 4" xfId="707"/>
    <cellStyle name="60% - アクセント 1 2 5" xfId="708"/>
    <cellStyle name="60% - アクセント 1 2 6" xfId="709"/>
    <cellStyle name="60% - アクセント 1 2 7" xfId="710"/>
    <cellStyle name="60% - アクセント 1 2 8" xfId="711"/>
    <cellStyle name="60% - アクセント 1 2 9" xfId="712"/>
    <cellStyle name="60% - アクセント 1 20" xfId="713"/>
    <cellStyle name="60% - アクセント 1 21" xfId="714"/>
    <cellStyle name="60% - アクセント 1 3" xfId="715"/>
    <cellStyle name="60% - アクセント 1 3 10" xfId="716"/>
    <cellStyle name="60% - アクセント 1 3 11" xfId="717"/>
    <cellStyle name="60% - アクセント 1 3 12" xfId="718"/>
    <cellStyle name="60% - アクセント 1 3 2" xfId="719"/>
    <cellStyle name="60% - アクセント 1 3 3" xfId="720"/>
    <cellStyle name="60% - アクセント 1 3 4" xfId="721"/>
    <cellStyle name="60% - アクセント 1 3 5" xfId="722"/>
    <cellStyle name="60% - アクセント 1 3 6" xfId="723"/>
    <cellStyle name="60% - アクセント 1 3 7" xfId="724"/>
    <cellStyle name="60% - アクセント 1 3 8" xfId="725"/>
    <cellStyle name="60% - アクセント 1 3 9" xfId="726"/>
    <cellStyle name="60% - アクセント 1 4" xfId="727"/>
    <cellStyle name="60% - アクセント 1 4 2" xfId="728"/>
    <cellStyle name="60% - アクセント 1 4 3" xfId="729"/>
    <cellStyle name="60% - アクセント 1 5" xfId="730"/>
    <cellStyle name="60% - アクセント 1 5 2" xfId="731"/>
    <cellStyle name="60% - アクセント 1 5 3" xfId="732"/>
    <cellStyle name="60% - アクセント 1 6" xfId="733"/>
    <cellStyle name="60% - アクセント 1 6 2" xfId="734"/>
    <cellStyle name="60% - アクセント 1 7" xfId="735"/>
    <cellStyle name="60% - アクセント 1 7 2" xfId="736"/>
    <cellStyle name="60% - アクセント 1 8" xfId="737"/>
    <cellStyle name="60% - アクセント 1 8 2" xfId="738"/>
    <cellStyle name="60% - アクセント 1 9" xfId="739"/>
    <cellStyle name="60% - アクセント 2 10" xfId="740"/>
    <cellStyle name="60% - アクセント 2 11" xfId="741"/>
    <cellStyle name="60% - アクセント 2 12" xfId="742"/>
    <cellStyle name="60% - アクセント 2 13" xfId="743"/>
    <cellStyle name="60% - アクセント 2 14" xfId="744"/>
    <cellStyle name="60% - アクセント 2 15" xfId="745"/>
    <cellStyle name="60% - アクセント 2 16" xfId="746"/>
    <cellStyle name="60% - アクセント 2 17" xfId="747"/>
    <cellStyle name="60% - アクセント 2 18" xfId="748"/>
    <cellStyle name="60% - アクセント 2 19" xfId="749"/>
    <cellStyle name="60% - アクセント 2 2" xfId="750"/>
    <cellStyle name="60% - アクセント 2 2 10" xfId="751"/>
    <cellStyle name="60% - アクセント 2 2 11" xfId="752"/>
    <cellStyle name="60% - アクセント 2 2 2" xfId="753"/>
    <cellStyle name="60% - アクセント 2 2 3" xfId="754"/>
    <cellStyle name="60% - アクセント 2 2 4" xfId="755"/>
    <cellStyle name="60% - アクセント 2 2 5" xfId="756"/>
    <cellStyle name="60% - アクセント 2 2 6" xfId="757"/>
    <cellStyle name="60% - アクセント 2 2 7" xfId="758"/>
    <cellStyle name="60% - アクセント 2 2 8" xfId="759"/>
    <cellStyle name="60% - アクセント 2 2 9" xfId="760"/>
    <cellStyle name="60% - アクセント 2 20" xfId="761"/>
    <cellStyle name="60% - アクセント 2 3" xfId="762"/>
    <cellStyle name="60% - アクセント 2 3 10" xfId="763"/>
    <cellStyle name="60% - アクセント 2 3 11" xfId="764"/>
    <cellStyle name="60% - アクセント 2 3 2" xfId="765"/>
    <cellStyle name="60% - アクセント 2 3 3" xfId="766"/>
    <cellStyle name="60% - アクセント 2 3 4" xfId="767"/>
    <cellStyle name="60% - アクセント 2 3 5" xfId="768"/>
    <cellStyle name="60% - アクセント 2 3 6" xfId="769"/>
    <cellStyle name="60% - アクセント 2 3 7" xfId="770"/>
    <cellStyle name="60% - アクセント 2 3 8" xfId="771"/>
    <cellStyle name="60% - アクセント 2 3 9" xfId="772"/>
    <cellStyle name="60% - アクセント 2 4" xfId="773"/>
    <cellStyle name="60% - アクセント 2 4 2" xfId="774"/>
    <cellStyle name="60% - アクセント 2 5" xfId="775"/>
    <cellStyle name="60% - アクセント 2 5 2" xfId="776"/>
    <cellStyle name="60% - アクセント 2 6" xfId="777"/>
    <cellStyle name="60% - アクセント 2 6 2" xfId="778"/>
    <cellStyle name="60% - アクセント 2 7" xfId="779"/>
    <cellStyle name="60% - アクセント 2 7 2" xfId="780"/>
    <cellStyle name="60% - アクセント 2 8" xfId="781"/>
    <cellStyle name="60% - アクセント 2 8 2" xfId="782"/>
    <cellStyle name="60% - アクセント 2 9" xfId="783"/>
    <cellStyle name="60% - アクセント 3 10" xfId="784"/>
    <cellStyle name="60% - アクセント 3 11" xfId="785"/>
    <cellStyle name="60% - アクセント 3 12" xfId="786"/>
    <cellStyle name="60% - アクセント 3 13" xfId="787"/>
    <cellStyle name="60% - アクセント 3 14" xfId="788"/>
    <cellStyle name="60% - アクセント 3 15" xfId="789"/>
    <cellStyle name="60% - アクセント 3 16" xfId="790"/>
    <cellStyle name="60% - アクセント 3 17" xfId="791"/>
    <cellStyle name="60% - アクセント 3 18" xfId="792"/>
    <cellStyle name="60% - アクセント 3 19" xfId="793"/>
    <cellStyle name="60% - アクセント 3 2" xfId="794"/>
    <cellStyle name="60% - アクセント 3 2 10" xfId="795"/>
    <cellStyle name="60% - アクセント 3 2 11" xfId="796"/>
    <cellStyle name="60% - アクセント 3 2 12" xfId="797"/>
    <cellStyle name="60% - アクセント 3 2 2" xfId="798"/>
    <cellStyle name="60% - アクセント 3 2 3" xfId="799"/>
    <cellStyle name="60% - アクセント 3 2 4" xfId="800"/>
    <cellStyle name="60% - アクセント 3 2 5" xfId="801"/>
    <cellStyle name="60% - アクセント 3 2 6" xfId="802"/>
    <cellStyle name="60% - アクセント 3 2 7" xfId="803"/>
    <cellStyle name="60% - アクセント 3 2 8" xfId="804"/>
    <cellStyle name="60% - アクセント 3 2 9" xfId="805"/>
    <cellStyle name="60% - アクセント 3 20" xfId="806"/>
    <cellStyle name="60% - アクセント 3 21" xfId="807"/>
    <cellStyle name="60% - アクセント 3 3" xfId="808"/>
    <cellStyle name="60% - アクセント 3 3 10" xfId="809"/>
    <cellStyle name="60% - アクセント 3 3 11" xfId="810"/>
    <cellStyle name="60% - アクセント 3 3 12" xfId="811"/>
    <cellStyle name="60% - アクセント 3 3 2" xfId="812"/>
    <cellStyle name="60% - アクセント 3 3 3" xfId="813"/>
    <cellStyle name="60% - アクセント 3 3 4" xfId="814"/>
    <cellStyle name="60% - アクセント 3 3 5" xfId="815"/>
    <cellStyle name="60% - アクセント 3 3 6" xfId="816"/>
    <cellStyle name="60% - アクセント 3 3 7" xfId="817"/>
    <cellStyle name="60% - アクセント 3 3 8" xfId="818"/>
    <cellStyle name="60% - アクセント 3 3 9" xfId="819"/>
    <cellStyle name="60% - アクセント 3 4" xfId="820"/>
    <cellStyle name="60% - アクセント 3 4 2" xfId="821"/>
    <cellStyle name="60% - アクセント 3 4 3" xfId="822"/>
    <cellStyle name="60% - アクセント 3 5" xfId="823"/>
    <cellStyle name="60% - アクセント 3 5 2" xfId="824"/>
    <cellStyle name="60% - アクセント 3 5 3" xfId="825"/>
    <cellStyle name="60% - アクセント 3 6" xfId="826"/>
    <cellStyle name="60% - アクセント 3 6 2" xfId="827"/>
    <cellStyle name="60% - アクセント 3 7" xfId="828"/>
    <cellStyle name="60% - アクセント 3 7 2" xfId="829"/>
    <cellStyle name="60% - アクセント 3 8" xfId="830"/>
    <cellStyle name="60% - アクセント 3 8 2" xfId="831"/>
    <cellStyle name="60% - アクセント 3 9" xfId="832"/>
    <cellStyle name="60% - アクセント 4 10" xfId="833"/>
    <cellStyle name="60% - アクセント 4 11" xfId="834"/>
    <cellStyle name="60% - アクセント 4 12" xfId="835"/>
    <cellStyle name="60% - アクセント 4 13" xfId="836"/>
    <cellStyle name="60% - アクセント 4 14" xfId="837"/>
    <cellStyle name="60% - アクセント 4 15" xfId="838"/>
    <cellStyle name="60% - アクセント 4 16" xfId="839"/>
    <cellStyle name="60% - アクセント 4 17" xfId="840"/>
    <cellStyle name="60% - アクセント 4 18" xfId="841"/>
    <cellStyle name="60% - アクセント 4 19" xfId="842"/>
    <cellStyle name="60% - アクセント 4 2" xfId="843"/>
    <cellStyle name="60% - アクセント 4 2 10" xfId="844"/>
    <cellStyle name="60% - アクセント 4 2 11" xfId="845"/>
    <cellStyle name="60% - アクセント 4 2 12" xfId="846"/>
    <cellStyle name="60% - アクセント 4 2 2" xfId="847"/>
    <cellStyle name="60% - アクセント 4 2 3" xfId="848"/>
    <cellStyle name="60% - アクセント 4 2 4" xfId="849"/>
    <cellStyle name="60% - アクセント 4 2 5" xfId="850"/>
    <cellStyle name="60% - アクセント 4 2 6" xfId="851"/>
    <cellStyle name="60% - アクセント 4 2 7" xfId="852"/>
    <cellStyle name="60% - アクセント 4 2 8" xfId="853"/>
    <cellStyle name="60% - アクセント 4 2 9" xfId="854"/>
    <cellStyle name="60% - アクセント 4 20" xfId="855"/>
    <cellStyle name="60% - アクセント 4 21" xfId="856"/>
    <cellStyle name="60% - アクセント 4 3" xfId="857"/>
    <cellStyle name="60% - アクセント 4 3 10" xfId="858"/>
    <cellStyle name="60% - アクセント 4 3 11" xfId="859"/>
    <cellStyle name="60% - アクセント 4 3 12" xfId="860"/>
    <cellStyle name="60% - アクセント 4 3 2" xfId="861"/>
    <cellStyle name="60% - アクセント 4 3 3" xfId="862"/>
    <cellStyle name="60% - アクセント 4 3 4" xfId="863"/>
    <cellStyle name="60% - アクセント 4 3 5" xfId="864"/>
    <cellStyle name="60% - アクセント 4 3 6" xfId="865"/>
    <cellStyle name="60% - アクセント 4 3 7" xfId="866"/>
    <cellStyle name="60% - アクセント 4 3 8" xfId="867"/>
    <cellStyle name="60% - アクセント 4 3 9" xfId="868"/>
    <cellStyle name="60% - アクセント 4 4" xfId="869"/>
    <cellStyle name="60% - アクセント 4 4 2" xfId="870"/>
    <cellStyle name="60% - アクセント 4 4 3" xfId="871"/>
    <cellStyle name="60% - アクセント 4 5" xfId="872"/>
    <cellStyle name="60% - アクセント 4 5 2" xfId="873"/>
    <cellStyle name="60% - アクセント 4 5 3" xfId="874"/>
    <cellStyle name="60% - アクセント 4 6" xfId="875"/>
    <cellStyle name="60% - アクセント 4 6 2" xfId="876"/>
    <cellStyle name="60% - アクセント 4 7" xfId="877"/>
    <cellStyle name="60% - アクセント 4 7 2" xfId="878"/>
    <cellStyle name="60% - アクセント 4 8" xfId="879"/>
    <cellStyle name="60% - アクセント 4 8 2" xfId="880"/>
    <cellStyle name="60% - アクセント 4 9" xfId="881"/>
    <cellStyle name="60% - アクセント 5 10" xfId="882"/>
    <cellStyle name="60% - アクセント 5 11" xfId="883"/>
    <cellStyle name="60% - アクセント 5 12" xfId="884"/>
    <cellStyle name="60% - アクセント 5 13" xfId="885"/>
    <cellStyle name="60% - アクセント 5 14" xfId="886"/>
    <cellStyle name="60% - アクセント 5 15" xfId="887"/>
    <cellStyle name="60% - アクセント 5 16" xfId="888"/>
    <cellStyle name="60% - アクセント 5 17" xfId="889"/>
    <cellStyle name="60% - アクセント 5 18" xfId="890"/>
    <cellStyle name="60% - アクセント 5 19" xfId="891"/>
    <cellStyle name="60% - アクセント 5 2" xfId="892"/>
    <cellStyle name="60% - アクセント 5 2 10" xfId="893"/>
    <cellStyle name="60% - アクセント 5 2 11" xfId="894"/>
    <cellStyle name="60% - アクセント 5 2 2" xfId="895"/>
    <cellStyle name="60% - アクセント 5 2 3" xfId="896"/>
    <cellStyle name="60% - アクセント 5 2 4" xfId="897"/>
    <cellStyle name="60% - アクセント 5 2 5" xfId="898"/>
    <cellStyle name="60% - アクセント 5 2 6" xfId="899"/>
    <cellStyle name="60% - アクセント 5 2 7" xfId="900"/>
    <cellStyle name="60% - アクセント 5 2 8" xfId="901"/>
    <cellStyle name="60% - アクセント 5 2 9" xfId="902"/>
    <cellStyle name="60% - アクセント 5 20" xfId="903"/>
    <cellStyle name="60% - アクセント 5 3" xfId="904"/>
    <cellStyle name="60% - アクセント 5 3 10" xfId="905"/>
    <cellStyle name="60% - アクセント 5 3 11" xfId="906"/>
    <cellStyle name="60% - アクセント 5 3 2" xfId="907"/>
    <cellStyle name="60% - アクセント 5 3 3" xfId="908"/>
    <cellStyle name="60% - アクセント 5 3 4" xfId="909"/>
    <cellStyle name="60% - アクセント 5 3 5" xfId="910"/>
    <cellStyle name="60% - アクセント 5 3 6" xfId="911"/>
    <cellStyle name="60% - アクセント 5 3 7" xfId="912"/>
    <cellStyle name="60% - アクセント 5 3 8" xfId="913"/>
    <cellStyle name="60% - アクセント 5 3 9" xfId="914"/>
    <cellStyle name="60% - アクセント 5 4" xfId="915"/>
    <cellStyle name="60% - アクセント 5 4 2" xfId="916"/>
    <cellStyle name="60% - アクセント 5 5" xfId="917"/>
    <cellStyle name="60% - アクセント 5 5 2" xfId="918"/>
    <cellStyle name="60% - アクセント 5 6" xfId="919"/>
    <cellStyle name="60% - アクセント 5 6 2" xfId="920"/>
    <cellStyle name="60% - アクセント 5 7" xfId="921"/>
    <cellStyle name="60% - アクセント 5 7 2" xfId="922"/>
    <cellStyle name="60% - アクセント 5 8" xfId="923"/>
    <cellStyle name="60% - アクセント 5 8 2" xfId="924"/>
    <cellStyle name="60% - アクセント 5 9" xfId="925"/>
    <cellStyle name="60% - アクセント 6 10" xfId="926"/>
    <cellStyle name="60% - アクセント 6 11" xfId="927"/>
    <cellStyle name="60% - アクセント 6 12" xfId="928"/>
    <cellStyle name="60% - アクセント 6 13" xfId="929"/>
    <cellStyle name="60% - アクセント 6 14" xfId="930"/>
    <cellStyle name="60% - アクセント 6 15" xfId="931"/>
    <cellStyle name="60% - アクセント 6 16" xfId="932"/>
    <cellStyle name="60% - アクセント 6 17" xfId="933"/>
    <cellStyle name="60% - アクセント 6 18" xfId="934"/>
    <cellStyle name="60% - アクセント 6 19" xfId="935"/>
    <cellStyle name="60% - アクセント 6 2" xfId="936"/>
    <cellStyle name="60% - アクセント 6 2 10" xfId="937"/>
    <cellStyle name="60% - アクセント 6 2 11" xfId="938"/>
    <cellStyle name="60% - アクセント 6 2 12" xfId="939"/>
    <cellStyle name="60% - アクセント 6 2 2" xfId="940"/>
    <cellStyle name="60% - アクセント 6 2 3" xfId="941"/>
    <cellStyle name="60% - アクセント 6 2 4" xfId="942"/>
    <cellStyle name="60% - アクセント 6 2 5" xfId="943"/>
    <cellStyle name="60% - アクセント 6 2 6" xfId="944"/>
    <cellStyle name="60% - アクセント 6 2 7" xfId="945"/>
    <cellStyle name="60% - アクセント 6 2 8" xfId="946"/>
    <cellStyle name="60% - アクセント 6 2 9" xfId="947"/>
    <cellStyle name="60% - アクセント 6 20" xfId="948"/>
    <cellStyle name="60% - アクセント 6 21" xfId="949"/>
    <cellStyle name="60% - アクセント 6 3" xfId="950"/>
    <cellStyle name="60% - アクセント 6 3 10" xfId="951"/>
    <cellStyle name="60% - アクセント 6 3 11" xfId="952"/>
    <cellStyle name="60% - アクセント 6 3 12" xfId="953"/>
    <cellStyle name="60% - アクセント 6 3 2" xfId="954"/>
    <cellStyle name="60% - アクセント 6 3 3" xfId="955"/>
    <cellStyle name="60% - アクセント 6 3 4" xfId="956"/>
    <cellStyle name="60% - アクセント 6 3 5" xfId="957"/>
    <cellStyle name="60% - アクセント 6 3 6" xfId="958"/>
    <cellStyle name="60% - アクセント 6 3 7" xfId="959"/>
    <cellStyle name="60% - アクセント 6 3 8" xfId="960"/>
    <cellStyle name="60% - アクセント 6 3 9" xfId="961"/>
    <cellStyle name="60% - アクセント 6 4" xfId="962"/>
    <cellStyle name="60% - アクセント 6 4 2" xfId="963"/>
    <cellStyle name="60% - アクセント 6 4 3" xfId="964"/>
    <cellStyle name="60% - アクセント 6 5" xfId="965"/>
    <cellStyle name="60% - アクセント 6 5 2" xfId="966"/>
    <cellStyle name="60% - アクセント 6 5 3" xfId="967"/>
    <cellStyle name="60% - アクセント 6 6" xfId="968"/>
    <cellStyle name="60% - アクセント 6 6 2" xfId="969"/>
    <cellStyle name="60% - アクセント 6 7" xfId="970"/>
    <cellStyle name="60% - アクセント 6 7 2" xfId="971"/>
    <cellStyle name="60% - アクセント 6 8" xfId="972"/>
    <cellStyle name="60% - アクセント 6 8 2" xfId="973"/>
    <cellStyle name="60% - アクセント 6 9" xfId="974"/>
    <cellStyle name="Accent1 2" xfId="975"/>
    <cellStyle name="Accent1 3" xfId="976"/>
    <cellStyle name="Accent1 4" xfId="977"/>
    <cellStyle name="Accent1 5" xfId="978"/>
    <cellStyle name="Accent1 6" xfId="979"/>
    <cellStyle name="Accent1 7" xfId="980"/>
    <cellStyle name="Accent2 2" xfId="981"/>
    <cellStyle name="Accent2 3" xfId="982"/>
    <cellStyle name="Accent2 4" xfId="983"/>
    <cellStyle name="Accent2 5" xfId="984"/>
    <cellStyle name="Accent2 6" xfId="985"/>
    <cellStyle name="Accent2 7" xfId="986"/>
    <cellStyle name="Accent3 2" xfId="987"/>
    <cellStyle name="Accent3 3" xfId="988"/>
    <cellStyle name="Accent3 4" xfId="989"/>
    <cellStyle name="Accent3 5" xfId="990"/>
    <cellStyle name="Accent3 6" xfId="991"/>
    <cellStyle name="Accent3 7" xfId="992"/>
    <cellStyle name="Accent4 2" xfId="993"/>
    <cellStyle name="Accent4 3" xfId="994"/>
    <cellStyle name="Accent4 4" xfId="995"/>
    <cellStyle name="Accent4 5" xfId="996"/>
    <cellStyle name="Accent4 6" xfId="997"/>
    <cellStyle name="Accent4 7" xfId="998"/>
    <cellStyle name="Accent5 2" xfId="999"/>
    <cellStyle name="Accent5 3" xfId="1000"/>
    <cellStyle name="Accent5 4" xfId="1001"/>
    <cellStyle name="Accent5 5" xfId="1002"/>
    <cellStyle name="Accent5 6" xfId="1003"/>
    <cellStyle name="Accent5 7" xfId="1004"/>
    <cellStyle name="Accent6 2" xfId="1005"/>
    <cellStyle name="Accent6 3" xfId="1006"/>
    <cellStyle name="Accent6 4" xfId="1007"/>
    <cellStyle name="Accent6 5" xfId="1008"/>
    <cellStyle name="Accent6 6" xfId="1009"/>
    <cellStyle name="Accent6 7" xfId="1010"/>
    <cellStyle name="Bad 2" xfId="1011"/>
    <cellStyle name="Bad 3" xfId="1012"/>
    <cellStyle name="Bad 4" xfId="1013"/>
    <cellStyle name="Bad 5" xfId="1014"/>
    <cellStyle name="Bad 6" xfId="1015"/>
    <cellStyle name="Bad 7" xfId="1016"/>
    <cellStyle name="Calculation 2" xfId="1017"/>
    <cellStyle name="Calculation 3" xfId="1018"/>
    <cellStyle name="Calculation 4" xfId="1019"/>
    <cellStyle name="Calculation 5" xfId="1020"/>
    <cellStyle name="Calculation 6" xfId="1021"/>
    <cellStyle name="Calculation 7" xfId="1022"/>
    <cellStyle name="Check Cell 2" xfId="1023"/>
    <cellStyle name="Check Cell 3" xfId="1024"/>
    <cellStyle name="Check Cell 4" xfId="1025"/>
    <cellStyle name="Check Cell 5" xfId="1026"/>
    <cellStyle name="Check Cell 6" xfId="1027"/>
    <cellStyle name="Check Cell 7" xfId="1028"/>
    <cellStyle name="Comma [0] 2" xfId="3"/>
    <cellStyle name="Comma 2" xfId="7"/>
    <cellStyle name="Explanatory Text 2" xfId="1029"/>
    <cellStyle name="Explanatory Text 3" xfId="1030"/>
    <cellStyle name="Explanatory Text 4" xfId="1031"/>
    <cellStyle name="Explanatory Text 5" xfId="1032"/>
    <cellStyle name="Explanatory Text 6" xfId="1033"/>
    <cellStyle name="Explanatory Text 7" xfId="1034"/>
    <cellStyle name="Good 2" xfId="1035"/>
    <cellStyle name="Good 3" xfId="1036"/>
    <cellStyle name="Good 4" xfId="1037"/>
    <cellStyle name="Good 5" xfId="1038"/>
    <cellStyle name="Good 6" xfId="1039"/>
    <cellStyle name="Good 7" xfId="1040"/>
    <cellStyle name="Heading 1 2" xfId="1041"/>
    <cellStyle name="Heading 1 3" xfId="1042"/>
    <cellStyle name="Heading 1 4" xfId="1043"/>
    <cellStyle name="Heading 1 5" xfId="1044"/>
    <cellStyle name="Heading 1 6" xfId="1045"/>
    <cellStyle name="Heading 1 7" xfId="1046"/>
    <cellStyle name="Heading 2 2" xfId="1047"/>
    <cellStyle name="Heading 2 3" xfId="1048"/>
    <cellStyle name="Heading 2 4" xfId="1049"/>
    <cellStyle name="Heading 2 5" xfId="1050"/>
    <cellStyle name="Heading 2 6" xfId="1051"/>
    <cellStyle name="Heading 2 7" xfId="1052"/>
    <cellStyle name="Heading 3 2" xfId="1053"/>
    <cellStyle name="Heading 3 3" xfId="1054"/>
    <cellStyle name="Heading 3 4" xfId="1055"/>
    <cellStyle name="Heading 3 5" xfId="1056"/>
    <cellStyle name="Heading 3 6" xfId="1057"/>
    <cellStyle name="Heading 3 7" xfId="1058"/>
    <cellStyle name="Heading 4 2" xfId="1059"/>
    <cellStyle name="Heading 4 3" xfId="1060"/>
    <cellStyle name="Heading 4 4" xfId="1061"/>
    <cellStyle name="Heading 4 5" xfId="1062"/>
    <cellStyle name="Heading 4 6" xfId="1063"/>
    <cellStyle name="Heading 4 7" xfId="1064"/>
    <cellStyle name="Input 2" xfId="1065"/>
    <cellStyle name="Input 3" xfId="1066"/>
    <cellStyle name="Input 4" xfId="1067"/>
    <cellStyle name="Input 5" xfId="1068"/>
    <cellStyle name="Input 6" xfId="1069"/>
    <cellStyle name="Input 7" xfId="1070"/>
    <cellStyle name="Linked Cell 2" xfId="1071"/>
    <cellStyle name="Linked Cell 3" xfId="1072"/>
    <cellStyle name="Linked Cell 4" xfId="1073"/>
    <cellStyle name="Linked Cell 5" xfId="1074"/>
    <cellStyle name="Linked Cell 6" xfId="1075"/>
    <cellStyle name="Linked Cell 7" xfId="1076"/>
    <cellStyle name="Neutral 2" xfId="1077"/>
    <cellStyle name="Neutral 3" xfId="1078"/>
    <cellStyle name="Neutral 4" xfId="1079"/>
    <cellStyle name="Neutral 5" xfId="1080"/>
    <cellStyle name="Neutral 6" xfId="1081"/>
    <cellStyle name="Neutral 7" xfId="1082"/>
    <cellStyle name="Normal" xfId="0" builtinId="0"/>
    <cellStyle name="Normal 10" xfId="1083"/>
    <cellStyle name="Normal 11" xfId="49078"/>
    <cellStyle name="Normal 12" xfId="49079"/>
    <cellStyle name="Normal 2" xfId="2"/>
    <cellStyle name="Normal 2 2" xfId="1084"/>
    <cellStyle name="Normal 2 2 2" xfId="1085"/>
    <cellStyle name="Normal 2 3" xfId="1086"/>
    <cellStyle name="Normal 3" xfId="1"/>
    <cellStyle name="Normal 3 2" xfId="1087"/>
    <cellStyle name="Normal 3 3" xfId="1088"/>
    <cellStyle name="Normal 3 4" xfId="1089"/>
    <cellStyle name="Normal 3 5" xfId="1090"/>
    <cellStyle name="Normal 3 6" xfId="1091"/>
    <cellStyle name="Normal 3 7" xfId="1092"/>
    <cellStyle name="Normal 3 8" xfId="1093"/>
    <cellStyle name="Normal 3 9" xfId="1094"/>
    <cellStyle name="Normal 4" xfId="4"/>
    <cellStyle name="Normal 4 2" xfId="1095"/>
    <cellStyle name="Normal 5" xfId="1096"/>
    <cellStyle name="Normal 6" xfId="5"/>
    <cellStyle name="Normal 7" xfId="8"/>
    <cellStyle name="Normal 7 2" xfId="1097"/>
    <cellStyle name="Normal 8" xfId="6"/>
    <cellStyle name="Normal 9" xfId="9"/>
    <cellStyle name="Output 2" xfId="1098"/>
    <cellStyle name="Output 3" xfId="1099"/>
    <cellStyle name="Output 4" xfId="1100"/>
    <cellStyle name="Output 5" xfId="1101"/>
    <cellStyle name="Output 6" xfId="1102"/>
    <cellStyle name="Output 7" xfId="1103"/>
    <cellStyle name="Title 2" xfId="1104"/>
    <cellStyle name="Title 3" xfId="1105"/>
    <cellStyle name="Title 4" xfId="1106"/>
    <cellStyle name="Title 5" xfId="1107"/>
    <cellStyle name="Title 6" xfId="1108"/>
    <cellStyle name="Title 7" xfId="1109"/>
    <cellStyle name="Total 2" xfId="1110"/>
    <cellStyle name="Total 3" xfId="1111"/>
    <cellStyle name="Total 4" xfId="1112"/>
    <cellStyle name="Total 5" xfId="1113"/>
    <cellStyle name="Total 6" xfId="1114"/>
    <cellStyle name="Total 7" xfId="1115"/>
    <cellStyle name="Warning Text 2" xfId="1116"/>
    <cellStyle name="Warning Text 3" xfId="1117"/>
    <cellStyle name="Warning Text 4" xfId="1118"/>
    <cellStyle name="Warning Text 5" xfId="1119"/>
    <cellStyle name="Warning Text 6" xfId="1120"/>
    <cellStyle name="Warning Text 7" xfId="1121"/>
    <cellStyle name="アクセント 1 10" xfId="1122"/>
    <cellStyle name="アクセント 1 11" xfId="1123"/>
    <cellStyle name="アクセント 1 12" xfId="1124"/>
    <cellStyle name="アクセント 1 13" xfId="1125"/>
    <cellStyle name="アクセント 1 14" xfId="1126"/>
    <cellStyle name="アクセント 1 15" xfId="1127"/>
    <cellStyle name="アクセント 1 16" xfId="1128"/>
    <cellStyle name="アクセント 1 17" xfId="1129"/>
    <cellStyle name="アクセント 1 18" xfId="1130"/>
    <cellStyle name="アクセント 1 19" xfId="1131"/>
    <cellStyle name="アクセント 1 2" xfId="1132"/>
    <cellStyle name="アクセント 1 2 10" xfId="1133"/>
    <cellStyle name="アクセント 1 2 11" xfId="1134"/>
    <cellStyle name="アクセント 1 2 12" xfId="1135"/>
    <cellStyle name="アクセント 1 2 2" xfId="1136"/>
    <cellStyle name="アクセント 1 2 3" xfId="1137"/>
    <cellStyle name="アクセント 1 2 4" xfId="1138"/>
    <cellStyle name="アクセント 1 2 5" xfId="1139"/>
    <cellStyle name="アクセント 1 2 6" xfId="1140"/>
    <cellStyle name="アクセント 1 2 7" xfId="1141"/>
    <cellStyle name="アクセント 1 2 8" xfId="1142"/>
    <cellStyle name="アクセント 1 2 9" xfId="1143"/>
    <cellStyle name="アクセント 1 20" xfId="1144"/>
    <cellStyle name="アクセント 1 21" xfId="1145"/>
    <cellStyle name="アクセント 1 3" xfId="1146"/>
    <cellStyle name="アクセント 1 3 10" xfId="1147"/>
    <cellStyle name="アクセント 1 3 11" xfId="1148"/>
    <cellStyle name="アクセント 1 3 12" xfId="1149"/>
    <cellStyle name="アクセント 1 3 2" xfId="1150"/>
    <cellStyle name="アクセント 1 3 3" xfId="1151"/>
    <cellStyle name="アクセント 1 3 4" xfId="1152"/>
    <cellStyle name="アクセント 1 3 5" xfId="1153"/>
    <cellStyle name="アクセント 1 3 6" xfId="1154"/>
    <cellStyle name="アクセント 1 3 7" xfId="1155"/>
    <cellStyle name="アクセント 1 3 8" xfId="1156"/>
    <cellStyle name="アクセント 1 3 9" xfId="1157"/>
    <cellStyle name="アクセント 1 4" xfId="1158"/>
    <cellStyle name="アクセント 1 4 2" xfId="1159"/>
    <cellStyle name="アクセント 1 4 3" xfId="1160"/>
    <cellStyle name="アクセント 1 5" xfId="1161"/>
    <cellStyle name="アクセント 1 5 2" xfId="1162"/>
    <cellStyle name="アクセント 1 5 3" xfId="1163"/>
    <cellStyle name="アクセント 1 6" xfId="1164"/>
    <cellStyle name="アクセント 1 6 2" xfId="1165"/>
    <cellStyle name="アクセント 1 7" xfId="1166"/>
    <cellStyle name="アクセント 1 7 2" xfId="1167"/>
    <cellStyle name="アクセント 1 8" xfId="1168"/>
    <cellStyle name="アクセント 1 8 2" xfId="1169"/>
    <cellStyle name="アクセント 1 9" xfId="1170"/>
    <cellStyle name="アクセント 2 10" xfId="1171"/>
    <cellStyle name="アクセント 2 11" xfId="1172"/>
    <cellStyle name="アクセント 2 12" xfId="1173"/>
    <cellStyle name="アクセント 2 13" xfId="1174"/>
    <cellStyle name="アクセント 2 14" xfId="1175"/>
    <cellStyle name="アクセント 2 15" xfId="1176"/>
    <cellStyle name="アクセント 2 16" xfId="1177"/>
    <cellStyle name="アクセント 2 17" xfId="1178"/>
    <cellStyle name="アクセント 2 18" xfId="1179"/>
    <cellStyle name="アクセント 2 19" xfId="1180"/>
    <cellStyle name="アクセント 2 2" xfId="1181"/>
    <cellStyle name="アクセント 2 2 10" xfId="1182"/>
    <cellStyle name="アクセント 2 2 11" xfId="1183"/>
    <cellStyle name="アクセント 2 2 2" xfId="1184"/>
    <cellStyle name="アクセント 2 2 3" xfId="1185"/>
    <cellStyle name="アクセント 2 2 4" xfId="1186"/>
    <cellStyle name="アクセント 2 2 5" xfId="1187"/>
    <cellStyle name="アクセント 2 2 6" xfId="1188"/>
    <cellStyle name="アクセント 2 2 7" xfId="1189"/>
    <cellStyle name="アクセント 2 2 8" xfId="1190"/>
    <cellStyle name="アクセント 2 2 9" xfId="1191"/>
    <cellStyle name="アクセント 2 20" xfId="1192"/>
    <cellStyle name="アクセント 2 3" xfId="1193"/>
    <cellStyle name="アクセント 2 3 10" xfId="1194"/>
    <cellStyle name="アクセント 2 3 11" xfId="1195"/>
    <cellStyle name="アクセント 2 3 2" xfId="1196"/>
    <cellStyle name="アクセント 2 3 3" xfId="1197"/>
    <cellStyle name="アクセント 2 3 4" xfId="1198"/>
    <cellStyle name="アクセント 2 3 5" xfId="1199"/>
    <cellStyle name="アクセント 2 3 6" xfId="1200"/>
    <cellStyle name="アクセント 2 3 7" xfId="1201"/>
    <cellStyle name="アクセント 2 3 8" xfId="1202"/>
    <cellStyle name="アクセント 2 3 9" xfId="1203"/>
    <cellStyle name="アクセント 2 4" xfId="1204"/>
    <cellStyle name="アクセント 2 4 2" xfId="1205"/>
    <cellStyle name="アクセント 2 5" xfId="1206"/>
    <cellStyle name="アクセント 2 5 2" xfId="1207"/>
    <cellStyle name="アクセント 2 6" xfId="1208"/>
    <cellStyle name="アクセント 2 6 2" xfId="1209"/>
    <cellStyle name="アクセント 2 7" xfId="1210"/>
    <cellStyle name="アクセント 2 7 2" xfId="1211"/>
    <cellStyle name="アクセント 2 8" xfId="1212"/>
    <cellStyle name="アクセント 2 8 2" xfId="1213"/>
    <cellStyle name="アクセント 2 9" xfId="1214"/>
    <cellStyle name="アクセント 3 10" xfId="1215"/>
    <cellStyle name="アクセント 3 11" xfId="1216"/>
    <cellStyle name="アクセント 3 12" xfId="1217"/>
    <cellStyle name="アクセント 3 13" xfId="1218"/>
    <cellStyle name="アクセント 3 14" xfId="1219"/>
    <cellStyle name="アクセント 3 15" xfId="1220"/>
    <cellStyle name="アクセント 3 16" xfId="1221"/>
    <cellStyle name="アクセント 3 17" xfId="1222"/>
    <cellStyle name="アクセント 3 18" xfId="1223"/>
    <cellStyle name="アクセント 3 19" xfId="1224"/>
    <cellStyle name="アクセント 3 2" xfId="1225"/>
    <cellStyle name="アクセント 3 2 10" xfId="1226"/>
    <cellStyle name="アクセント 3 2 11" xfId="1227"/>
    <cellStyle name="アクセント 3 2 2" xfId="1228"/>
    <cellStyle name="アクセント 3 2 3" xfId="1229"/>
    <cellStyle name="アクセント 3 2 4" xfId="1230"/>
    <cellStyle name="アクセント 3 2 5" xfId="1231"/>
    <cellStyle name="アクセント 3 2 6" xfId="1232"/>
    <cellStyle name="アクセント 3 2 7" xfId="1233"/>
    <cellStyle name="アクセント 3 2 8" xfId="1234"/>
    <cellStyle name="アクセント 3 2 9" xfId="1235"/>
    <cellStyle name="アクセント 3 20" xfId="1236"/>
    <cellStyle name="アクセント 3 3" xfId="1237"/>
    <cellStyle name="アクセント 3 3 10" xfId="1238"/>
    <cellStyle name="アクセント 3 3 11" xfId="1239"/>
    <cellStyle name="アクセント 3 3 2" xfId="1240"/>
    <cellStyle name="アクセント 3 3 3" xfId="1241"/>
    <cellStyle name="アクセント 3 3 4" xfId="1242"/>
    <cellStyle name="アクセント 3 3 5" xfId="1243"/>
    <cellStyle name="アクセント 3 3 6" xfId="1244"/>
    <cellStyle name="アクセント 3 3 7" xfId="1245"/>
    <cellStyle name="アクセント 3 3 8" xfId="1246"/>
    <cellStyle name="アクセント 3 3 9" xfId="1247"/>
    <cellStyle name="アクセント 3 4" xfId="1248"/>
    <cellStyle name="アクセント 3 4 2" xfId="1249"/>
    <cellStyle name="アクセント 3 5" xfId="1250"/>
    <cellStyle name="アクセント 3 5 2" xfId="1251"/>
    <cellStyle name="アクセント 3 6" xfId="1252"/>
    <cellStyle name="アクセント 3 6 2" xfId="1253"/>
    <cellStyle name="アクセント 3 7" xfId="1254"/>
    <cellStyle name="アクセント 3 7 2" xfId="1255"/>
    <cellStyle name="アクセント 3 8" xfId="1256"/>
    <cellStyle name="アクセント 3 8 2" xfId="1257"/>
    <cellStyle name="アクセント 3 9" xfId="1258"/>
    <cellStyle name="アクセント 4 10" xfId="1259"/>
    <cellStyle name="アクセント 4 11" xfId="1260"/>
    <cellStyle name="アクセント 4 12" xfId="1261"/>
    <cellStyle name="アクセント 4 13" xfId="1262"/>
    <cellStyle name="アクセント 4 14" xfId="1263"/>
    <cellStyle name="アクセント 4 15" xfId="1264"/>
    <cellStyle name="アクセント 4 16" xfId="1265"/>
    <cellStyle name="アクセント 4 17" xfId="1266"/>
    <cellStyle name="アクセント 4 18" xfId="1267"/>
    <cellStyle name="アクセント 4 19" xfId="1268"/>
    <cellStyle name="アクセント 4 2" xfId="1269"/>
    <cellStyle name="アクセント 4 2 10" xfId="1270"/>
    <cellStyle name="アクセント 4 2 11" xfId="1271"/>
    <cellStyle name="アクセント 4 2 12" xfId="1272"/>
    <cellStyle name="アクセント 4 2 2" xfId="1273"/>
    <cellStyle name="アクセント 4 2 3" xfId="1274"/>
    <cellStyle name="アクセント 4 2 4" xfId="1275"/>
    <cellStyle name="アクセント 4 2 5" xfId="1276"/>
    <cellStyle name="アクセント 4 2 6" xfId="1277"/>
    <cellStyle name="アクセント 4 2 7" xfId="1278"/>
    <cellStyle name="アクセント 4 2 8" xfId="1279"/>
    <cellStyle name="アクセント 4 2 9" xfId="1280"/>
    <cellStyle name="アクセント 4 20" xfId="1281"/>
    <cellStyle name="アクセント 4 21" xfId="1282"/>
    <cellStyle name="アクセント 4 3" xfId="1283"/>
    <cellStyle name="アクセント 4 3 10" xfId="1284"/>
    <cellStyle name="アクセント 4 3 11" xfId="1285"/>
    <cellStyle name="アクセント 4 3 12" xfId="1286"/>
    <cellStyle name="アクセント 4 3 2" xfId="1287"/>
    <cellStyle name="アクセント 4 3 3" xfId="1288"/>
    <cellStyle name="アクセント 4 3 4" xfId="1289"/>
    <cellStyle name="アクセント 4 3 5" xfId="1290"/>
    <cellStyle name="アクセント 4 3 6" xfId="1291"/>
    <cellStyle name="アクセント 4 3 7" xfId="1292"/>
    <cellStyle name="アクセント 4 3 8" xfId="1293"/>
    <cellStyle name="アクセント 4 3 9" xfId="1294"/>
    <cellStyle name="アクセント 4 4" xfId="1295"/>
    <cellStyle name="アクセント 4 4 2" xfId="1296"/>
    <cellStyle name="アクセント 4 4 3" xfId="1297"/>
    <cellStyle name="アクセント 4 5" xfId="1298"/>
    <cellStyle name="アクセント 4 5 2" xfId="1299"/>
    <cellStyle name="アクセント 4 5 3" xfId="1300"/>
    <cellStyle name="アクセント 4 6" xfId="1301"/>
    <cellStyle name="アクセント 4 6 2" xfId="1302"/>
    <cellStyle name="アクセント 4 7" xfId="1303"/>
    <cellStyle name="アクセント 4 7 2" xfId="1304"/>
    <cellStyle name="アクセント 4 8" xfId="1305"/>
    <cellStyle name="アクセント 4 8 2" xfId="1306"/>
    <cellStyle name="アクセント 4 9" xfId="1307"/>
    <cellStyle name="アクセント 5 10" xfId="1308"/>
    <cellStyle name="アクセント 5 11" xfId="1309"/>
    <cellStyle name="アクセント 5 12" xfId="1310"/>
    <cellStyle name="アクセント 5 13" xfId="1311"/>
    <cellStyle name="アクセント 5 14" xfId="1312"/>
    <cellStyle name="アクセント 5 15" xfId="1313"/>
    <cellStyle name="アクセント 5 16" xfId="1314"/>
    <cellStyle name="アクセント 5 17" xfId="1315"/>
    <cellStyle name="アクセント 5 18" xfId="1316"/>
    <cellStyle name="アクセント 5 19" xfId="1317"/>
    <cellStyle name="アクセント 5 2" xfId="1318"/>
    <cellStyle name="アクセント 5 2 10" xfId="1319"/>
    <cellStyle name="アクセント 5 2 11" xfId="1320"/>
    <cellStyle name="アクセント 5 2 2" xfId="1321"/>
    <cellStyle name="アクセント 5 2 3" xfId="1322"/>
    <cellStyle name="アクセント 5 2 4" xfId="1323"/>
    <cellStyle name="アクセント 5 2 5" xfId="1324"/>
    <cellStyle name="アクセント 5 2 6" xfId="1325"/>
    <cellStyle name="アクセント 5 2 7" xfId="1326"/>
    <cellStyle name="アクセント 5 2 8" xfId="1327"/>
    <cellStyle name="アクセント 5 2 9" xfId="1328"/>
    <cellStyle name="アクセント 5 20" xfId="1329"/>
    <cellStyle name="アクセント 5 3" xfId="1330"/>
    <cellStyle name="アクセント 5 3 10" xfId="1331"/>
    <cellStyle name="アクセント 5 3 11" xfId="1332"/>
    <cellStyle name="アクセント 5 3 2" xfId="1333"/>
    <cellStyle name="アクセント 5 3 3" xfId="1334"/>
    <cellStyle name="アクセント 5 3 4" xfId="1335"/>
    <cellStyle name="アクセント 5 3 5" xfId="1336"/>
    <cellStyle name="アクセント 5 3 6" xfId="1337"/>
    <cellStyle name="アクセント 5 3 7" xfId="1338"/>
    <cellStyle name="アクセント 5 3 8" xfId="1339"/>
    <cellStyle name="アクセント 5 3 9" xfId="1340"/>
    <cellStyle name="アクセント 5 4" xfId="1341"/>
    <cellStyle name="アクセント 5 4 2" xfId="1342"/>
    <cellStyle name="アクセント 5 5" xfId="1343"/>
    <cellStyle name="アクセント 5 5 2" xfId="1344"/>
    <cellStyle name="アクセント 5 6" xfId="1345"/>
    <cellStyle name="アクセント 5 6 2" xfId="1346"/>
    <cellStyle name="アクセント 5 7" xfId="1347"/>
    <cellStyle name="アクセント 5 7 2" xfId="1348"/>
    <cellStyle name="アクセント 5 8" xfId="1349"/>
    <cellStyle name="アクセント 5 8 2" xfId="1350"/>
    <cellStyle name="アクセント 5 9" xfId="1351"/>
    <cellStyle name="アクセント 6 10" xfId="1352"/>
    <cellStyle name="アクセント 6 11" xfId="1353"/>
    <cellStyle name="アクセント 6 12" xfId="1354"/>
    <cellStyle name="アクセント 6 13" xfId="1355"/>
    <cellStyle name="アクセント 6 14" xfId="1356"/>
    <cellStyle name="アクセント 6 15" xfId="1357"/>
    <cellStyle name="アクセント 6 16" xfId="1358"/>
    <cellStyle name="アクセント 6 17" xfId="1359"/>
    <cellStyle name="アクセント 6 18" xfId="1360"/>
    <cellStyle name="アクセント 6 19" xfId="1361"/>
    <cellStyle name="アクセント 6 2" xfId="1362"/>
    <cellStyle name="アクセント 6 2 10" xfId="1363"/>
    <cellStyle name="アクセント 6 2 11" xfId="1364"/>
    <cellStyle name="アクセント 6 2 2" xfId="1365"/>
    <cellStyle name="アクセント 6 2 3" xfId="1366"/>
    <cellStyle name="アクセント 6 2 4" xfId="1367"/>
    <cellStyle name="アクセント 6 2 5" xfId="1368"/>
    <cellStyle name="アクセント 6 2 6" xfId="1369"/>
    <cellStyle name="アクセント 6 2 7" xfId="1370"/>
    <cellStyle name="アクセント 6 2 8" xfId="1371"/>
    <cellStyle name="アクセント 6 2 9" xfId="1372"/>
    <cellStyle name="アクセント 6 20" xfId="1373"/>
    <cellStyle name="アクセント 6 3" xfId="1374"/>
    <cellStyle name="アクセント 6 3 10" xfId="1375"/>
    <cellStyle name="アクセント 6 3 11" xfId="1376"/>
    <cellStyle name="アクセント 6 3 2" xfId="1377"/>
    <cellStyle name="アクセント 6 3 3" xfId="1378"/>
    <cellStyle name="アクセント 6 3 4" xfId="1379"/>
    <cellStyle name="アクセント 6 3 5" xfId="1380"/>
    <cellStyle name="アクセント 6 3 6" xfId="1381"/>
    <cellStyle name="アクセント 6 3 7" xfId="1382"/>
    <cellStyle name="アクセント 6 3 8" xfId="1383"/>
    <cellStyle name="アクセント 6 3 9" xfId="1384"/>
    <cellStyle name="アクセント 6 4" xfId="1385"/>
    <cellStyle name="アクセント 6 4 2" xfId="1386"/>
    <cellStyle name="アクセント 6 5" xfId="1387"/>
    <cellStyle name="アクセント 6 5 2" xfId="1388"/>
    <cellStyle name="アクセント 6 6" xfId="1389"/>
    <cellStyle name="アクセント 6 6 2" xfId="1390"/>
    <cellStyle name="アクセント 6 7" xfId="1391"/>
    <cellStyle name="アクセント 6 7 2" xfId="1392"/>
    <cellStyle name="アクセント 6 8" xfId="1393"/>
    <cellStyle name="アクセント 6 8 2" xfId="1394"/>
    <cellStyle name="アクセント 6 9" xfId="1395"/>
    <cellStyle name="タイトル 10" xfId="1396"/>
    <cellStyle name="タイトル 11" xfId="1397"/>
    <cellStyle name="タイトル 12" xfId="1398"/>
    <cellStyle name="タイトル 13" xfId="1399"/>
    <cellStyle name="タイトル 14" xfId="1400"/>
    <cellStyle name="タイトル 15" xfId="1401"/>
    <cellStyle name="タイトル 16" xfId="1402"/>
    <cellStyle name="タイトル 17" xfId="1403"/>
    <cellStyle name="タイトル 18" xfId="1404"/>
    <cellStyle name="タイトル 19" xfId="1405"/>
    <cellStyle name="タイトル 2" xfId="1406"/>
    <cellStyle name="タイトル 2 10" xfId="1407"/>
    <cellStyle name="タイトル 2 11" xfId="1408"/>
    <cellStyle name="タイトル 2 12" xfId="1409"/>
    <cellStyle name="タイトル 2 2" xfId="1410"/>
    <cellStyle name="タイトル 2 3" xfId="1411"/>
    <cellStyle name="タイトル 2 4" xfId="1412"/>
    <cellStyle name="タイトル 2 5" xfId="1413"/>
    <cellStyle name="タイトル 2 6" xfId="1414"/>
    <cellStyle name="タイトル 2 7" xfId="1415"/>
    <cellStyle name="タイトル 2 8" xfId="1416"/>
    <cellStyle name="タイトル 2 9" xfId="1417"/>
    <cellStyle name="タイトル 20" xfId="1418"/>
    <cellStyle name="タイトル 21" xfId="1419"/>
    <cellStyle name="タイトル 3" xfId="1420"/>
    <cellStyle name="タイトル 3 10" xfId="1421"/>
    <cellStyle name="タイトル 3 11" xfId="1422"/>
    <cellStyle name="タイトル 3 12" xfId="1423"/>
    <cellStyle name="タイトル 3 2" xfId="1424"/>
    <cellStyle name="タイトル 3 3" xfId="1425"/>
    <cellStyle name="タイトル 3 4" xfId="1426"/>
    <cellStyle name="タイトル 3 5" xfId="1427"/>
    <cellStyle name="タイトル 3 6" xfId="1428"/>
    <cellStyle name="タイトル 3 7" xfId="1429"/>
    <cellStyle name="タイトル 3 8" xfId="1430"/>
    <cellStyle name="タイトル 3 9" xfId="1431"/>
    <cellStyle name="タイトル 4" xfId="1432"/>
    <cellStyle name="タイトル 4 2" xfId="1433"/>
    <cellStyle name="タイトル 4 3" xfId="1434"/>
    <cellStyle name="タイトル 5" xfId="1435"/>
    <cellStyle name="タイトル 5 2" xfId="1436"/>
    <cellStyle name="タイトル 5 3" xfId="1437"/>
    <cellStyle name="タイトル 6" xfId="1438"/>
    <cellStyle name="タイトル 6 2" xfId="1439"/>
    <cellStyle name="タイトル 7" xfId="1440"/>
    <cellStyle name="タイトル 7 2" xfId="1441"/>
    <cellStyle name="タイトル 8" xfId="1442"/>
    <cellStyle name="タイトル 8 2" xfId="1443"/>
    <cellStyle name="タイトル 9" xfId="1444"/>
    <cellStyle name="チェック セル 10" xfId="1445"/>
    <cellStyle name="チェック セル 11" xfId="1446"/>
    <cellStyle name="チェック セル 12" xfId="1447"/>
    <cellStyle name="チェック セル 13" xfId="1448"/>
    <cellStyle name="チェック セル 14" xfId="1449"/>
    <cellStyle name="チェック セル 15" xfId="1450"/>
    <cellStyle name="チェック セル 16" xfId="1451"/>
    <cellStyle name="チェック セル 17" xfId="1452"/>
    <cellStyle name="チェック セル 18" xfId="1453"/>
    <cellStyle name="チェック セル 19" xfId="1454"/>
    <cellStyle name="チェック セル 2" xfId="1455"/>
    <cellStyle name="チェック セル 2 10" xfId="1456"/>
    <cellStyle name="チェック セル 2 11" xfId="1457"/>
    <cellStyle name="チェック セル 2 2" xfId="1458"/>
    <cellStyle name="チェック セル 2 3" xfId="1459"/>
    <cellStyle name="チェック セル 2 4" xfId="1460"/>
    <cellStyle name="チェック セル 2 5" xfId="1461"/>
    <cellStyle name="チェック セル 2 6" xfId="1462"/>
    <cellStyle name="チェック セル 2 7" xfId="1463"/>
    <cellStyle name="チェック セル 2 8" xfId="1464"/>
    <cellStyle name="チェック セル 2 9" xfId="1465"/>
    <cellStyle name="チェック セル 20" xfId="1466"/>
    <cellStyle name="チェック セル 3" xfId="1467"/>
    <cellStyle name="チェック セル 3 10" xfId="1468"/>
    <cellStyle name="チェック セル 3 11" xfId="1469"/>
    <cellStyle name="チェック セル 3 2" xfId="1470"/>
    <cellStyle name="チェック セル 3 3" xfId="1471"/>
    <cellStyle name="チェック セル 3 4" xfId="1472"/>
    <cellStyle name="チェック セル 3 5" xfId="1473"/>
    <cellStyle name="チェック セル 3 6" xfId="1474"/>
    <cellStyle name="チェック セル 3 7" xfId="1475"/>
    <cellStyle name="チェック セル 3 8" xfId="1476"/>
    <cellStyle name="チェック セル 3 9" xfId="1477"/>
    <cellStyle name="チェック セル 4" xfId="1478"/>
    <cellStyle name="チェック セル 4 2" xfId="1479"/>
    <cellStyle name="チェック セル 5" xfId="1480"/>
    <cellStyle name="チェック セル 5 2" xfId="1481"/>
    <cellStyle name="チェック セル 6" xfId="1482"/>
    <cellStyle name="チェック セル 6 2" xfId="1483"/>
    <cellStyle name="チェック セル 7" xfId="1484"/>
    <cellStyle name="チェック セル 7 2" xfId="1485"/>
    <cellStyle name="チェック セル 8" xfId="1486"/>
    <cellStyle name="チェック セル 8 2" xfId="1487"/>
    <cellStyle name="チェック セル 9" xfId="1488"/>
    <cellStyle name="どちらでもない 10" xfId="1489"/>
    <cellStyle name="どちらでもない 11" xfId="1490"/>
    <cellStyle name="どちらでもない 12" xfId="1491"/>
    <cellStyle name="どちらでもない 13" xfId="1492"/>
    <cellStyle name="どちらでもない 14" xfId="1493"/>
    <cellStyle name="どちらでもない 15" xfId="1494"/>
    <cellStyle name="どちらでもない 16" xfId="1495"/>
    <cellStyle name="どちらでもない 17" xfId="1496"/>
    <cellStyle name="どちらでもない 18" xfId="1497"/>
    <cellStyle name="どちらでもない 19" xfId="1498"/>
    <cellStyle name="どちらでもない 2" xfId="1499"/>
    <cellStyle name="どちらでもない 2 10" xfId="1500"/>
    <cellStyle name="どちらでもない 2 11" xfId="1501"/>
    <cellStyle name="どちらでもない 2 2" xfId="1502"/>
    <cellStyle name="どちらでもない 2 3" xfId="1503"/>
    <cellStyle name="どちらでもない 2 4" xfId="1504"/>
    <cellStyle name="どちらでもない 2 5" xfId="1505"/>
    <cellStyle name="どちらでもない 2 6" xfId="1506"/>
    <cellStyle name="どちらでもない 2 7" xfId="1507"/>
    <cellStyle name="どちらでもない 2 8" xfId="1508"/>
    <cellStyle name="どちらでもない 2 9" xfId="1509"/>
    <cellStyle name="どちらでもない 20" xfId="1510"/>
    <cellStyle name="どちらでもない 3" xfId="1511"/>
    <cellStyle name="どちらでもない 3 10" xfId="1512"/>
    <cellStyle name="どちらでもない 3 11" xfId="1513"/>
    <cellStyle name="どちらでもない 3 2" xfId="1514"/>
    <cellStyle name="どちらでもない 3 3" xfId="1515"/>
    <cellStyle name="どちらでもない 3 4" xfId="1516"/>
    <cellStyle name="どちらでもない 3 5" xfId="1517"/>
    <cellStyle name="どちらでもない 3 6" xfId="1518"/>
    <cellStyle name="どちらでもない 3 7" xfId="1519"/>
    <cellStyle name="どちらでもない 3 8" xfId="1520"/>
    <cellStyle name="どちらでもない 3 9" xfId="1521"/>
    <cellStyle name="どちらでもない 4" xfId="1522"/>
    <cellStyle name="どちらでもない 4 2" xfId="1523"/>
    <cellStyle name="どちらでもない 5" xfId="1524"/>
    <cellStyle name="どちらでもない 5 2" xfId="1525"/>
    <cellStyle name="どちらでもない 6" xfId="1526"/>
    <cellStyle name="どちらでもない 6 2" xfId="1527"/>
    <cellStyle name="どちらでもない 7" xfId="1528"/>
    <cellStyle name="どちらでもない 7 2" xfId="1529"/>
    <cellStyle name="どちらでもない 8" xfId="1530"/>
    <cellStyle name="どちらでもない 8 2" xfId="1531"/>
    <cellStyle name="どちらでもない 9" xfId="1532"/>
    <cellStyle name="メモ 10" xfId="1533"/>
    <cellStyle name="メモ 10 10" xfId="1534"/>
    <cellStyle name="メモ 10 2" xfId="1535"/>
    <cellStyle name="メモ 10 3" xfId="1536"/>
    <cellStyle name="メモ 10 4" xfId="1537"/>
    <cellStyle name="メモ 10 5" xfId="1538"/>
    <cellStyle name="メモ 10 6" xfId="1539"/>
    <cellStyle name="メモ 10 7" xfId="1540"/>
    <cellStyle name="メモ 10 8" xfId="1541"/>
    <cellStyle name="メモ 10 9" xfId="1542"/>
    <cellStyle name="メモ 11" xfId="1543"/>
    <cellStyle name="メモ 12" xfId="1544"/>
    <cellStyle name="メモ 13" xfId="1545"/>
    <cellStyle name="メモ 14" xfId="1546"/>
    <cellStyle name="メモ 15" xfId="1547"/>
    <cellStyle name="メモ 16" xfId="1548"/>
    <cellStyle name="メモ 17" xfId="1549"/>
    <cellStyle name="メモ 18" xfId="1550"/>
    <cellStyle name="メモ 19" xfId="1551"/>
    <cellStyle name="メモ 2" xfId="1552"/>
    <cellStyle name="メモ 2 10" xfId="1553"/>
    <cellStyle name="メモ 2 11" xfId="1554"/>
    <cellStyle name="メモ 2 12" xfId="1555"/>
    <cellStyle name="メモ 2 2" xfId="1556"/>
    <cellStyle name="メモ 2 3" xfId="1557"/>
    <cellStyle name="メモ 2 4" xfId="1558"/>
    <cellStyle name="メモ 2 5" xfId="1559"/>
    <cellStyle name="メモ 2 6" xfId="1560"/>
    <cellStyle name="メモ 2 7" xfId="1561"/>
    <cellStyle name="メモ 2 8" xfId="1562"/>
    <cellStyle name="メモ 2 9" xfId="1563"/>
    <cellStyle name="メモ 20" xfId="1564"/>
    <cellStyle name="メモ 3" xfId="1565"/>
    <cellStyle name="メモ 3 10" xfId="1566"/>
    <cellStyle name="メモ 3 11" xfId="1567"/>
    <cellStyle name="メモ 3 12" xfId="1568"/>
    <cellStyle name="メモ 3 2" xfId="1569"/>
    <cellStyle name="メモ 3 3" xfId="1570"/>
    <cellStyle name="メモ 3 4" xfId="1571"/>
    <cellStyle name="メモ 3 5" xfId="1572"/>
    <cellStyle name="メモ 3 6" xfId="1573"/>
    <cellStyle name="メモ 3 7" xfId="1574"/>
    <cellStyle name="メモ 3 8" xfId="1575"/>
    <cellStyle name="メモ 3 9" xfId="1576"/>
    <cellStyle name="メモ 4" xfId="1577"/>
    <cellStyle name="メモ 4 10" xfId="1578"/>
    <cellStyle name="メモ 4 11" xfId="1579"/>
    <cellStyle name="メモ 4 12" xfId="1580"/>
    <cellStyle name="メモ 4 2" xfId="1581"/>
    <cellStyle name="メモ 4 3" xfId="1582"/>
    <cellStyle name="メモ 4 4" xfId="1583"/>
    <cellStyle name="メモ 4 5" xfId="1584"/>
    <cellStyle name="メモ 4 6" xfId="1585"/>
    <cellStyle name="メモ 4 7" xfId="1586"/>
    <cellStyle name="メモ 4 8" xfId="1587"/>
    <cellStyle name="メモ 4 9" xfId="1588"/>
    <cellStyle name="メモ 5" xfId="1589"/>
    <cellStyle name="メモ 5 10" xfId="1590"/>
    <cellStyle name="メモ 5 11" xfId="1591"/>
    <cellStyle name="メモ 5 12" xfId="1592"/>
    <cellStyle name="メモ 5 2" xfId="1593"/>
    <cellStyle name="メモ 5 3" xfId="1594"/>
    <cellStyle name="メモ 5 4" xfId="1595"/>
    <cellStyle name="メモ 5 5" xfId="1596"/>
    <cellStyle name="メモ 5 6" xfId="1597"/>
    <cellStyle name="メモ 5 7" xfId="1598"/>
    <cellStyle name="メモ 5 8" xfId="1599"/>
    <cellStyle name="メモ 5 9" xfId="1600"/>
    <cellStyle name="メモ 6" xfId="1601"/>
    <cellStyle name="メモ 6 10" xfId="1602"/>
    <cellStyle name="メモ 6 11" xfId="1603"/>
    <cellStyle name="メモ 6 2" xfId="1604"/>
    <cellStyle name="メモ 6 3" xfId="1605"/>
    <cellStyle name="メモ 6 4" xfId="1606"/>
    <cellStyle name="メモ 6 5" xfId="1607"/>
    <cellStyle name="メモ 6 6" xfId="1608"/>
    <cellStyle name="メモ 6 7" xfId="1609"/>
    <cellStyle name="メモ 6 8" xfId="1610"/>
    <cellStyle name="メモ 6 9" xfId="1611"/>
    <cellStyle name="メモ 7" xfId="1612"/>
    <cellStyle name="メモ 7 10" xfId="1613"/>
    <cellStyle name="メモ 7 11" xfId="1614"/>
    <cellStyle name="メモ 7 2" xfId="1615"/>
    <cellStyle name="メモ 7 3" xfId="1616"/>
    <cellStyle name="メモ 7 4" xfId="1617"/>
    <cellStyle name="メモ 7 5" xfId="1618"/>
    <cellStyle name="メモ 7 6" xfId="1619"/>
    <cellStyle name="メモ 7 7" xfId="1620"/>
    <cellStyle name="メモ 7 8" xfId="1621"/>
    <cellStyle name="メモ 7 9" xfId="1622"/>
    <cellStyle name="メモ 8" xfId="1623"/>
    <cellStyle name="メモ 8 10" xfId="1624"/>
    <cellStyle name="メモ 8 11" xfId="1625"/>
    <cellStyle name="メモ 8 2" xfId="1626"/>
    <cellStyle name="メモ 8 3" xfId="1627"/>
    <cellStyle name="メモ 8 4" xfId="1628"/>
    <cellStyle name="メモ 8 5" xfId="1629"/>
    <cellStyle name="メモ 8 6" xfId="1630"/>
    <cellStyle name="メモ 8 7" xfId="1631"/>
    <cellStyle name="メモ 8 8" xfId="1632"/>
    <cellStyle name="メモ 8 9" xfId="1633"/>
    <cellStyle name="メモ 9" xfId="1634"/>
    <cellStyle name="メモ 9 10" xfId="1635"/>
    <cellStyle name="メモ 9 2" xfId="1636"/>
    <cellStyle name="メモ 9 3" xfId="1637"/>
    <cellStyle name="メモ 9 4" xfId="1638"/>
    <cellStyle name="メモ 9 5" xfId="1639"/>
    <cellStyle name="メモ 9 6" xfId="1640"/>
    <cellStyle name="メモ 9 7" xfId="1641"/>
    <cellStyle name="メモ 9 8" xfId="1642"/>
    <cellStyle name="メモ 9 9" xfId="1643"/>
    <cellStyle name="リンク セル 10" xfId="1644"/>
    <cellStyle name="リンク セル 11" xfId="1645"/>
    <cellStyle name="リンク セル 12" xfId="1646"/>
    <cellStyle name="リンク セル 13" xfId="1647"/>
    <cellStyle name="リンク セル 14" xfId="1648"/>
    <cellStyle name="リンク セル 15" xfId="1649"/>
    <cellStyle name="リンク セル 16" xfId="1650"/>
    <cellStyle name="リンク セル 17" xfId="1651"/>
    <cellStyle name="リンク セル 18" xfId="1652"/>
    <cellStyle name="リンク セル 19" xfId="1653"/>
    <cellStyle name="リンク セル 2" xfId="1654"/>
    <cellStyle name="リンク セル 2 10" xfId="1655"/>
    <cellStyle name="リンク セル 2 11" xfId="1656"/>
    <cellStyle name="リンク セル 2 2" xfId="1657"/>
    <cellStyle name="リンク セル 2 3" xfId="1658"/>
    <cellStyle name="リンク セル 2 4" xfId="1659"/>
    <cellStyle name="リンク セル 2 5" xfId="1660"/>
    <cellStyle name="リンク セル 2 6" xfId="1661"/>
    <cellStyle name="リンク セル 2 7" xfId="1662"/>
    <cellStyle name="リンク セル 2 8" xfId="1663"/>
    <cellStyle name="リンク セル 2 9" xfId="1664"/>
    <cellStyle name="リンク セル 20" xfId="1665"/>
    <cellStyle name="リンク セル 3" xfId="1666"/>
    <cellStyle name="リンク セル 3 10" xfId="1667"/>
    <cellStyle name="リンク セル 3 11" xfId="1668"/>
    <cellStyle name="リンク セル 3 2" xfId="1669"/>
    <cellStyle name="リンク セル 3 3" xfId="1670"/>
    <cellStyle name="リンク セル 3 4" xfId="1671"/>
    <cellStyle name="リンク セル 3 5" xfId="1672"/>
    <cellStyle name="リンク セル 3 6" xfId="1673"/>
    <cellStyle name="リンク セル 3 7" xfId="1674"/>
    <cellStyle name="リンク セル 3 8" xfId="1675"/>
    <cellStyle name="リンク セル 3 9" xfId="1676"/>
    <cellStyle name="リンク セル 4" xfId="1677"/>
    <cellStyle name="リンク セル 4 2" xfId="1678"/>
    <cellStyle name="リンク セル 5" xfId="1679"/>
    <cellStyle name="リンク セル 5 2" xfId="1680"/>
    <cellStyle name="リンク セル 6" xfId="1681"/>
    <cellStyle name="リンク セル 6 2" xfId="1682"/>
    <cellStyle name="リンク セル 7" xfId="1683"/>
    <cellStyle name="リンク セル 7 2" xfId="1684"/>
    <cellStyle name="リンク セル 8" xfId="1685"/>
    <cellStyle name="リンク セル 8 2" xfId="1686"/>
    <cellStyle name="リンク セル 9" xfId="1687"/>
    <cellStyle name="入力 10" xfId="1688"/>
    <cellStyle name="入力 11" xfId="1689"/>
    <cellStyle name="入力 12" xfId="1690"/>
    <cellStyle name="入力 13" xfId="1691"/>
    <cellStyle name="入力 14" xfId="1692"/>
    <cellStyle name="入力 15" xfId="1693"/>
    <cellStyle name="入力 16" xfId="1694"/>
    <cellStyle name="入力 17" xfId="1695"/>
    <cellStyle name="入力 18" xfId="1696"/>
    <cellStyle name="入力 19" xfId="1697"/>
    <cellStyle name="入力 2" xfId="1698"/>
    <cellStyle name="入力 2 10" xfId="1699"/>
    <cellStyle name="入力 2 11" xfId="1700"/>
    <cellStyle name="入力 2 12" xfId="1701"/>
    <cellStyle name="入力 2 2" xfId="1702"/>
    <cellStyle name="入力 2 3" xfId="1703"/>
    <cellStyle name="入力 2 4" xfId="1704"/>
    <cellStyle name="入力 2 5" xfId="1705"/>
    <cellStyle name="入力 2 6" xfId="1706"/>
    <cellStyle name="入力 2 7" xfId="1707"/>
    <cellStyle name="入力 2 8" xfId="1708"/>
    <cellStyle name="入力 2 9" xfId="1709"/>
    <cellStyle name="入力 20" xfId="1710"/>
    <cellStyle name="入力 21" xfId="1711"/>
    <cellStyle name="入力 3" xfId="1712"/>
    <cellStyle name="入力 3 10" xfId="1713"/>
    <cellStyle name="入力 3 11" xfId="1714"/>
    <cellStyle name="入力 3 12" xfId="1715"/>
    <cellStyle name="入力 3 2" xfId="1716"/>
    <cellStyle name="入力 3 3" xfId="1717"/>
    <cellStyle name="入力 3 4" xfId="1718"/>
    <cellStyle name="入力 3 5" xfId="1719"/>
    <cellStyle name="入力 3 6" xfId="1720"/>
    <cellStyle name="入力 3 7" xfId="1721"/>
    <cellStyle name="入力 3 8" xfId="1722"/>
    <cellStyle name="入力 3 9" xfId="1723"/>
    <cellStyle name="入力 4" xfId="1724"/>
    <cellStyle name="入力 4 2" xfId="1725"/>
    <cellStyle name="入力 4 3" xfId="1726"/>
    <cellStyle name="入力 5" xfId="1727"/>
    <cellStyle name="入力 5 2" xfId="1728"/>
    <cellStyle name="入力 5 3" xfId="1729"/>
    <cellStyle name="入力 6" xfId="1730"/>
    <cellStyle name="入力 6 2" xfId="1731"/>
    <cellStyle name="入力 7" xfId="1732"/>
    <cellStyle name="入力 7 2" xfId="1733"/>
    <cellStyle name="入力 8" xfId="1734"/>
    <cellStyle name="入力 8 2" xfId="1735"/>
    <cellStyle name="入力 9" xfId="1736"/>
    <cellStyle name="出力 10" xfId="1737"/>
    <cellStyle name="出力 11" xfId="1738"/>
    <cellStyle name="出力 12" xfId="1739"/>
    <cellStyle name="出力 13" xfId="1740"/>
    <cellStyle name="出力 14" xfId="1741"/>
    <cellStyle name="出力 15" xfId="1742"/>
    <cellStyle name="出力 16" xfId="1743"/>
    <cellStyle name="出力 17" xfId="1744"/>
    <cellStyle name="出力 18" xfId="1745"/>
    <cellStyle name="出力 19" xfId="1746"/>
    <cellStyle name="出力 2" xfId="1747"/>
    <cellStyle name="出力 2 10" xfId="1748"/>
    <cellStyle name="出力 2 11" xfId="1749"/>
    <cellStyle name="出力 2 12" xfId="1750"/>
    <cellStyle name="出力 2 2" xfId="1751"/>
    <cellStyle name="出力 2 3" xfId="1752"/>
    <cellStyle name="出力 2 4" xfId="1753"/>
    <cellStyle name="出力 2 5" xfId="1754"/>
    <cellStyle name="出力 2 6" xfId="1755"/>
    <cellStyle name="出力 2 7" xfId="1756"/>
    <cellStyle name="出力 2 8" xfId="1757"/>
    <cellStyle name="出力 2 9" xfId="1758"/>
    <cellStyle name="出力 20" xfId="1759"/>
    <cellStyle name="出力 21" xfId="1760"/>
    <cellStyle name="出力 3" xfId="1761"/>
    <cellStyle name="出力 3 10" xfId="1762"/>
    <cellStyle name="出力 3 11" xfId="1763"/>
    <cellStyle name="出力 3 12" xfId="1764"/>
    <cellStyle name="出力 3 2" xfId="1765"/>
    <cellStyle name="出力 3 3" xfId="1766"/>
    <cellStyle name="出力 3 4" xfId="1767"/>
    <cellStyle name="出力 3 5" xfId="1768"/>
    <cellStyle name="出力 3 6" xfId="1769"/>
    <cellStyle name="出力 3 7" xfId="1770"/>
    <cellStyle name="出力 3 8" xfId="1771"/>
    <cellStyle name="出力 3 9" xfId="1772"/>
    <cellStyle name="出力 4" xfId="1773"/>
    <cellStyle name="出力 4 2" xfId="1774"/>
    <cellStyle name="出力 4 3" xfId="1775"/>
    <cellStyle name="出力 5" xfId="1776"/>
    <cellStyle name="出力 5 2" xfId="1777"/>
    <cellStyle name="出力 5 3" xfId="1778"/>
    <cellStyle name="出力 6" xfId="1779"/>
    <cellStyle name="出力 6 2" xfId="1780"/>
    <cellStyle name="出力 7" xfId="1781"/>
    <cellStyle name="出力 7 2" xfId="1782"/>
    <cellStyle name="出力 8" xfId="1783"/>
    <cellStyle name="出力 8 2" xfId="1784"/>
    <cellStyle name="出力 9" xfId="1785"/>
    <cellStyle name="悪い 10" xfId="1786"/>
    <cellStyle name="悪い 11" xfId="1787"/>
    <cellStyle name="悪い 12" xfId="1788"/>
    <cellStyle name="悪い 13" xfId="1789"/>
    <cellStyle name="悪い 14" xfId="1790"/>
    <cellStyle name="悪い 15" xfId="1791"/>
    <cellStyle name="悪い 16" xfId="1792"/>
    <cellStyle name="悪い 17" xfId="1793"/>
    <cellStyle name="悪い 18" xfId="1794"/>
    <cellStyle name="悪い 19" xfId="1795"/>
    <cellStyle name="悪い 2" xfId="1796"/>
    <cellStyle name="悪い 2 10" xfId="1797"/>
    <cellStyle name="悪い 2 11" xfId="1798"/>
    <cellStyle name="悪い 2 2" xfId="1799"/>
    <cellStyle name="悪い 2 3" xfId="1800"/>
    <cellStyle name="悪い 2 4" xfId="1801"/>
    <cellStyle name="悪い 2 5" xfId="1802"/>
    <cellStyle name="悪い 2 6" xfId="1803"/>
    <cellStyle name="悪い 2 7" xfId="1804"/>
    <cellStyle name="悪い 2 8" xfId="1805"/>
    <cellStyle name="悪い 2 9" xfId="1806"/>
    <cellStyle name="悪い 20" xfId="1807"/>
    <cellStyle name="悪い 3" xfId="1808"/>
    <cellStyle name="悪い 3 10" xfId="1809"/>
    <cellStyle name="悪い 3 11" xfId="1810"/>
    <cellStyle name="悪い 3 2" xfId="1811"/>
    <cellStyle name="悪い 3 3" xfId="1812"/>
    <cellStyle name="悪い 3 4" xfId="1813"/>
    <cellStyle name="悪い 3 5" xfId="1814"/>
    <cellStyle name="悪い 3 6" xfId="1815"/>
    <cellStyle name="悪い 3 7" xfId="1816"/>
    <cellStyle name="悪い 3 8" xfId="1817"/>
    <cellStyle name="悪い 3 9" xfId="1818"/>
    <cellStyle name="悪い 4" xfId="1819"/>
    <cellStyle name="悪い 4 2" xfId="1820"/>
    <cellStyle name="悪い 5" xfId="1821"/>
    <cellStyle name="悪い 5 2" xfId="1822"/>
    <cellStyle name="悪い 6" xfId="1823"/>
    <cellStyle name="悪い 6 2" xfId="1824"/>
    <cellStyle name="悪い 7" xfId="1825"/>
    <cellStyle name="悪い 7 2" xfId="1826"/>
    <cellStyle name="悪い 8" xfId="1827"/>
    <cellStyle name="悪い 8 2" xfId="1828"/>
    <cellStyle name="悪い 9" xfId="1829"/>
    <cellStyle name="桁区切り 2" xfId="1830"/>
    <cellStyle name="桁区切り 2 2" xfId="1831"/>
    <cellStyle name="桁区切り 2 3" xfId="1832"/>
    <cellStyle name="桁区切り 2 4" xfId="1833"/>
    <cellStyle name="桁区切り 3" xfId="1834"/>
    <cellStyle name="桁区切り 9" xfId="1835"/>
    <cellStyle name="標準 10" xfId="1836"/>
    <cellStyle name="標準 10 10" xfId="1837"/>
    <cellStyle name="標準 10 2" xfId="1838"/>
    <cellStyle name="標準 10 3" xfId="1839"/>
    <cellStyle name="標準 10 4" xfId="1840"/>
    <cellStyle name="標準 10 5" xfId="1841"/>
    <cellStyle name="標準 10 6" xfId="1842"/>
    <cellStyle name="標準 10 7" xfId="1843"/>
    <cellStyle name="標準 10 8" xfId="1844"/>
    <cellStyle name="標準 10 9" xfId="1845"/>
    <cellStyle name="標準 11" xfId="1846"/>
    <cellStyle name="標準 11 10" xfId="1847"/>
    <cellStyle name="標準 11 11" xfId="1848"/>
    <cellStyle name="標準 11 2" xfId="1849"/>
    <cellStyle name="標準 11 3" xfId="1850"/>
    <cellStyle name="標準 11 4" xfId="1851"/>
    <cellStyle name="標準 11 5" xfId="1852"/>
    <cellStyle name="標準 11 6" xfId="1853"/>
    <cellStyle name="標準 11 7" xfId="1854"/>
    <cellStyle name="標準 11 8" xfId="1855"/>
    <cellStyle name="標準 11 9" xfId="1856"/>
    <cellStyle name="標準 12" xfId="1857"/>
    <cellStyle name="標準 12 2" xfId="1858"/>
    <cellStyle name="標準 13" xfId="1859"/>
    <cellStyle name="標準 13 2" xfId="1860"/>
    <cellStyle name="標準 14" xfId="1861"/>
    <cellStyle name="標準 15" xfId="1862"/>
    <cellStyle name="標準 16" xfId="1863"/>
    <cellStyle name="標準 17" xfId="1864"/>
    <cellStyle name="標準 18" xfId="1865"/>
    <cellStyle name="標準 19" xfId="1866"/>
    <cellStyle name="標準 2" xfId="1867"/>
    <cellStyle name="標準 2 10" xfId="1868"/>
    <cellStyle name="標準 2 11" xfId="1869"/>
    <cellStyle name="標準 2 2" xfId="1870"/>
    <cellStyle name="標準 2 2 10" xfId="1871"/>
    <cellStyle name="標準 2 2 2" xfId="1872"/>
    <cellStyle name="標準 2 2 3" xfId="1873"/>
    <cellStyle name="標準 2 2 4" xfId="1874"/>
    <cellStyle name="標準 2 2 5" xfId="1875"/>
    <cellStyle name="標準 2 2 6" xfId="1876"/>
    <cellStyle name="標準 2 2 7" xfId="1877"/>
    <cellStyle name="標準 2 2 8" xfId="1878"/>
    <cellStyle name="標準 2 2 9" xfId="1879"/>
    <cellStyle name="標準 2 3" xfId="1880"/>
    <cellStyle name="標準 2 4" xfId="1881"/>
    <cellStyle name="標準 2 5" xfId="1882"/>
    <cellStyle name="標準 2 6" xfId="1883"/>
    <cellStyle name="標準 2 7" xfId="1884"/>
    <cellStyle name="標準 2 8" xfId="1885"/>
    <cellStyle name="標準 2 9" xfId="1886"/>
    <cellStyle name="標準 20" xfId="1887"/>
    <cellStyle name="標準 21" xfId="1888"/>
    <cellStyle name="標準 22" xfId="1889"/>
    <cellStyle name="標準 3" xfId="1890"/>
    <cellStyle name="標準 3 10" xfId="1891"/>
    <cellStyle name="標準 3 11" xfId="1892"/>
    <cellStyle name="標準 3 12" xfId="1893"/>
    <cellStyle name="標準 3 2" xfId="1894"/>
    <cellStyle name="標準 3 2 2" xfId="1895"/>
    <cellStyle name="標準 3 3" xfId="1896"/>
    <cellStyle name="標準 3 3 2" xfId="1897"/>
    <cellStyle name="標準 3 4" xfId="1898"/>
    <cellStyle name="標準 3 4 2" xfId="1899"/>
    <cellStyle name="標準 3 5" xfId="1900"/>
    <cellStyle name="標準 3 6" xfId="1901"/>
    <cellStyle name="標準 3 7" xfId="1902"/>
    <cellStyle name="標準 3 8" xfId="1903"/>
    <cellStyle name="標準 3 9" xfId="1904"/>
    <cellStyle name="標準 4" xfId="1905"/>
    <cellStyle name="標準 4 2" xfId="1906"/>
    <cellStyle name="標準 5" xfId="1907"/>
    <cellStyle name="標準 5 10" xfId="1908"/>
    <cellStyle name="標準 5 11" xfId="1909"/>
    <cellStyle name="標準 5 2" xfId="1910"/>
    <cellStyle name="標準 5 3" xfId="1911"/>
    <cellStyle name="標準 5 4" xfId="1912"/>
    <cellStyle name="標準 5 5" xfId="1913"/>
    <cellStyle name="標準 5 6" xfId="1914"/>
    <cellStyle name="標準 5 7" xfId="1915"/>
    <cellStyle name="標準 5 8" xfId="1916"/>
    <cellStyle name="標準 5 9" xfId="1917"/>
    <cellStyle name="標準 6" xfId="1918"/>
    <cellStyle name="標準 6 10" xfId="1919"/>
    <cellStyle name="標準 6 11" xfId="1920"/>
    <cellStyle name="標準 6 2" xfId="1921"/>
    <cellStyle name="標準 6 3" xfId="1922"/>
    <cellStyle name="標準 6 4" xfId="1923"/>
    <cellStyle name="標準 6 5" xfId="1924"/>
    <cellStyle name="標準 6 6" xfId="1925"/>
    <cellStyle name="標準 6 7" xfId="1926"/>
    <cellStyle name="標準 6 8" xfId="1927"/>
    <cellStyle name="標準 6 9" xfId="1928"/>
    <cellStyle name="標準 7" xfId="1929"/>
    <cellStyle name="標準 7 10" xfId="1930"/>
    <cellStyle name="標準 7 11" xfId="1931"/>
    <cellStyle name="標準 7 2" xfId="1932"/>
    <cellStyle name="標準 7 3" xfId="1933"/>
    <cellStyle name="標準 7 4" xfId="1934"/>
    <cellStyle name="標準 7 5" xfId="1935"/>
    <cellStyle name="標準 7 6" xfId="1936"/>
    <cellStyle name="標準 7 7" xfId="1937"/>
    <cellStyle name="標準 7 8" xfId="1938"/>
    <cellStyle name="標準 7 9" xfId="1939"/>
    <cellStyle name="標準 8" xfId="1940"/>
    <cellStyle name="標準 8 10" xfId="1941"/>
    <cellStyle name="標準 8 11" xfId="1942"/>
    <cellStyle name="標準 8 2" xfId="1943"/>
    <cellStyle name="標準 8 3" xfId="1944"/>
    <cellStyle name="標準 8 4" xfId="1945"/>
    <cellStyle name="標準 8 5" xfId="1946"/>
    <cellStyle name="標準 8 6" xfId="1947"/>
    <cellStyle name="標準 8 7" xfId="1948"/>
    <cellStyle name="標準 8 8" xfId="1949"/>
    <cellStyle name="標準 8 9" xfId="1950"/>
    <cellStyle name="標準 9" xfId="1951"/>
    <cellStyle name="標準 9 10" xfId="1952"/>
    <cellStyle name="標準 9 11" xfId="1953"/>
    <cellStyle name="標準 9 2" xfId="1954"/>
    <cellStyle name="標準 9 3" xfId="1955"/>
    <cellStyle name="標準 9 4" xfId="1956"/>
    <cellStyle name="標準 9 5" xfId="1957"/>
    <cellStyle name="標準 9 6" xfId="1958"/>
    <cellStyle name="標準 9 7" xfId="1959"/>
    <cellStyle name="標準 9 8" xfId="1960"/>
    <cellStyle name="標準 9 9" xfId="1961"/>
    <cellStyle name="良い 10" xfId="1962"/>
    <cellStyle name="良い 11" xfId="1963"/>
    <cellStyle name="良い 12" xfId="1964"/>
    <cellStyle name="良い 13" xfId="1965"/>
    <cellStyle name="良い 14" xfId="1966"/>
    <cellStyle name="良い 15" xfId="1967"/>
    <cellStyle name="良い 16" xfId="1968"/>
    <cellStyle name="良い 17" xfId="1969"/>
    <cellStyle name="良い 18" xfId="1970"/>
    <cellStyle name="良い 19" xfId="1971"/>
    <cellStyle name="良い 2" xfId="1972"/>
    <cellStyle name="良い 2 10" xfId="1973"/>
    <cellStyle name="良い 2 11" xfId="1974"/>
    <cellStyle name="良い 2 2" xfId="1975"/>
    <cellStyle name="良い 2 3" xfId="1976"/>
    <cellStyle name="良い 2 4" xfId="1977"/>
    <cellStyle name="良い 2 5" xfId="1978"/>
    <cellStyle name="良い 2 6" xfId="1979"/>
    <cellStyle name="良い 2 7" xfId="1980"/>
    <cellStyle name="良い 2 8" xfId="1981"/>
    <cellStyle name="良い 2 9" xfId="1982"/>
    <cellStyle name="良い 20" xfId="1983"/>
    <cellStyle name="良い 3" xfId="1984"/>
    <cellStyle name="良い 3 10" xfId="1985"/>
    <cellStyle name="良い 3 11" xfId="1986"/>
    <cellStyle name="良い 3 2" xfId="1987"/>
    <cellStyle name="良い 3 3" xfId="1988"/>
    <cellStyle name="良い 3 4" xfId="1989"/>
    <cellStyle name="良い 3 5" xfId="1990"/>
    <cellStyle name="良い 3 6" xfId="1991"/>
    <cellStyle name="良い 3 7" xfId="1992"/>
    <cellStyle name="良い 3 8" xfId="1993"/>
    <cellStyle name="良い 3 9" xfId="1994"/>
    <cellStyle name="良い 4" xfId="1995"/>
    <cellStyle name="良い 4 2" xfId="1996"/>
    <cellStyle name="良い 5" xfId="1997"/>
    <cellStyle name="良い 5 2" xfId="1998"/>
    <cellStyle name="良い 6" xfId="1999"/>
    <cellStyle name="良い 6 2" xfId="2000"/>
    <cellStyle name="良い 7" xfId="2001"/>
    <cellStyle name="良い 7 2" xfId="2002"/>
    <cellStyle name="良い 8" xfId="2003"/>
    <cellStyle name="良い 8 2" xfId="2004"/>
    <cellStyle name="良い 9" xfId="2005"/>
    <cellStyle name="見出し 1 10" xfId="2006"/>
    <cellStyle name="見出し 1 11" xfId="2007"/>
    <cellStyle name="見出し 1 12" xfId="2008"/>
    <cellStyle name="見出し 1 13" xfId="2009"/>
    <cellStyle name="見出し 1 14" xfId="2010"/>
    <cellStyle name="見出し 1 15" xfId="2011"/>
    <cellStyle name="見出し 1 16" xfId="2012"/>
    <cellStyle name="見出し 1 17" xfId="2013"/>
    <cellStyle name="見出し 1 18" xfId="2014"/>
    <cellStyle name="見出し 1 19" xfId="2015"/>
    <cellStyle name="見出し 1 2" xfId="2016"/>
    <cellStyle name="見出し 1 2 10" xfId="2017"/>
    <cellStyle name="見出し 1 2 11" xfId="2018"/>
    <cellStyle name="見出し 1 2 12" xfId="2019"/>
    <cellStyle name="見出し 1 2 2" xfId="2020"/>
    <cellStyle name="見出し 1 2 3" xfId="2021"/>
    <cellStyle name="見出し 1 2 4" xfId="2022"/>
    <cellStyle name="見出し 1 2 5" xfId="2023"/>
    <cellStyle name="見出し 1 2 6" xfId="2024"/>
    <cellStyle name="見出し 1 2 7" xfId="2025"/>
    <cellStyle name="見出し 1 2 8" xfId="2026"/>
    <cellStyle name="見出し 1 2 9" xfId="2027"/>
    <cellStyle name="見出し 1 20" xfId="2028"/>
    <cellStyle name="見出し 1 21" xfId="2029"/>
    <cellStyle name="見出し 1 3" xfId="2030"/>
    <cellStyle name="見出し 1 3 10" xfId="2031"/>
    <cellStyle name="見出し 1 3 11" xfId="2032"/>
    <cellStyle name="見出し 1 3 12" xfId="2033"/>
    <cellStyle name="見出し 1 3 2" xfId="2034"/>
    <cellStyle name="見出し 1 3 3" xfId="2035"/>
    <cellStyle name="見出し 1 3 4" xfId="2036"/>
    <cellStyle name="見出し 1 3 5" xfId="2037"/>
    <cellStyle name="見出し 1 3 6" xfId="2038"/>
    <cellStyle name="見出し 1 3 7" xfId="2039"/>
    <cellStyle name="見出し 1 3 8" xfId="2040"/>
    <cellStyle name="見出し 1 3 9" xfId="2041"/>
    <cellStyle name="見出し 1 4" xfId="2042"/>
    <cellStyle name="見出し 1 4 2" xfId="2043"/>
    <cellStyle name="見出し 1 4 3" xfId="2044"/>
    <cellStyle name="見出し 1 5" xfId="2045"/>
    <cellStyle name="見出し 1 5 2" xfId="2046"/>
    <cellStyle name="見出し 1 5 3" xfId="2047"/>
    <cellStyle name="見出し 1 6" xfId="2048"/>
    <cellStyle name="見出し 1 6 2" xfId="2049"/>
    <cellStyle name="見出し 1 7" xfId="2050"/>
    <cellStyle name="見出し 1 7 2" xfId="2051"/>
    <cellStyle name="見出し 1 8" xfId="2052"/>
    <cellStyle name="見出し 1 8 2" xfId="2053"/>
    <cellStyle name="見出し 1 9" xfId="2054"/>
    <cellStyle name="見出し 2 10" xfId="2055"/>
    <cellStyle name="見出し 2 11" xfId="2056"/>
    <cellStyle name="見出し 2 12" xfId="2057"/>
    <cellStyle name="見出し 2 13" xfId="2058"/>
    <cellStyle name="見出し 2 14" xfId="2059"/>
    <cellStyle name="見出し 2 15" xfId="2060"/>
    <cellStyle name="見出し 2 16" xfId="2061"/>
    <cellStyle name="見出し 2 17" xfId="2062"/>
    <cellStyle name="見出し 2 18" xfId="2063"/>
    <cellStyle name="見出し 2 19" xfId="2064"/>
    <cellStyle name="見出し 2 2" xfId="2065"/>
    <cellStyle name="見出し 2 2 10" xfId="2066"/>
    <cellStyle name="見出し 2 2 11" xfId="2067"/>
    <cellStyle name="見出し 2 2 12" xfId="2068"/>
    <cellStyle name="見出し 2 2 2" xfId="2069"/>
    <cellStyle name="見出し 2 2 3" xfId="2070"/>
    <cellStyle name="見出し 2 2 4" xfId="2071"/>
    <cellStyle name="見出し 2 2 5" xfId="2072"/>
    <cellStyle name="見出し 2 2 6" xfId="2073"/>
    <cellStyle name="見出し 2 2 7" xfId="2074"/>
    <cellStyle name="見出し 2 2 8" xfId="2075"/>
    <cellStyle name="見出し 2 2 9" xfId="2076"/>
    <cellStyle name="見出し 2 20" xfId="2077"/>
    <cellStyle name="見出し 2 21" xfId="2078"/>
    <cellStyle name="見出し 2 3" xfId="2079"/>
    <cellStyle name="見出し 2 3 10" xfId="2080"/>
    <cellStyle name="見出し 2 3 11" xfId="2081"/>
    <cellStyle name="見出し 2 3 12" xfId="2082"/>
    <cellStyle name="見出し 2 3 2" xfId="2083"/>
    <cellStyle name="見出し 2 3 3" xfId="2084"/>
    <cellStyle name="見出し 2 3 4" xfId="2085"/>
    <cellStyle name="見出し 2 3 5" xfId="2086"/>
    <cellStyle name="見出し 2 3 6" xfId="2087"/>
    <cellStyle name="見出し 2 3 7" xfId="2088"/>
    <cellStyle name="見出し 2 3 8" xfId="2089"/>
    <cellStyle name="見出し 2 3 9" xfId="2090"/>
    <cellStyle name="見出し 2 4" xfId="2091"/>
    <cellStyle name="見出し 2 4 2" xfId="2092"/>
    <cellStyle name="見出し 2 4 3" xfId="2093"/>
    <cellStyle name="見出し 2 5" xfId="2094"/>
    <cellStyle name="見出し 2 5 2" xfId="2095"/>
    <cellStyle name="見出し 2 5 3" xfId="2096"/>
    <cellStyle name="見出し 2 6" xfId="2097"/>
    <cellStyle name="見出し 2 6 2" xfId="2098"/>
    <cellStyle name="見出し 2 7" xfId="2099"/>
    <cellStyle name="見出し 2 7 2" xfId="2100"/>
    <cellStyle name="見出し 2 8" xfId="2101"/>
    <cellStyle name="見出し 2 8 2" xfId="2102"/>
    <cellStyle name="見出し 2 9" xfId="2103"/>
    <cellStyle name="見出し 3 10" xfId="2104"/>
    <cellStyle name="見出し 3 10 2" xfId="2105"/>
    <cellStyle name="見出し 3 10 2 2" xfId="2106"/>
    <cellStyle name="見出し 3 10 2 3" xfId="2107"/>
    <cellStyle name="見出し 3 10 3" xfId="2108"/>
    <cellStyle name="見出し 3 10 3 2" xfId="2109"/>
    <cellStyle name="見出し 3 10 3 3" xfId="2110"/>
    <cellStyle name="見出し 3 10 4" xfId="2111"/>
    <cellStyle name="見出し 3 10 5" xfId="2112"/>
    <cellStyle name="見出し 3 11" xfId="2113"/>
    <cellStyle name="見出し 3 11 2" xfId="2114"/>
    <cellStyle name="見出し 3 11 2 2" xfId="2115"/>
    <cellStyle name="見出し 3 11 2 3" xfId="2116"/>
    <cellStyle name="見出し 3 11 3" xfId="2117"/>
    <cellStyle name="見出し 3 11 3 2" xfId="2118"/>
    <cellStyle name="見出し 3 11 3 3" xfId="2119"/>
    <cellStyle name="見出し 3 11 4" xfId="2120"/>
    <cellStyle name="見出し 3 11 5" xfId="2121"/>
    <cellStyle name="見出し 3 12" xfId="2122"/>
    <cellStyle name="見出し 3 12 2" xfId="2123"/>
    <cellStyle name="見出し 3 12 2 2" xfId="2124"/>
    <cellStyle name="見出し 3 12 2 3" xfId="2125"/>
    <cellStyle name="見出し 3 12 3" xfId="2126"/>
    <cellStyle name="見出し 3 12 3 2" xfId="2127"/>
    <cellStyle name="見出し 3 12 3 3" xfId="2128"/>
    <cellStyle name="見出し 3 12 4" xfId="2129"/>
    <cellStyle name="見出し 3 12 5" xfId="2130"/>
    <cellStyle name="見出し 3 13" xfId="2131"/>
    <cellStyle name="見出し 3 13 2" xfId="2132"/>
    <cellStyle name="見出し 3 13 2 2" xfId="2133"/>
    <cellStyle name="見出し 3 13 2 3" xfId="2134"/>
    <cellStyle name="見出し 3 13 3" xfId="2135"/>
    <cellStyle name="見出し 3 13 3 2" xfId="2136"/>
    <cellStyle name="見出し 3 13 3 3" xfId="2137"/>
    <cellStyle name="見出し 3 13 4" xfId="2138"/>
    <cellStyle name="見出し 3 13 5" xfId="2139"/>
    <cellStyle name="見出し 3 14" xfId="2140"/>
    <cellStyle name="見出し 3 14 2" xfId="2141"/>
    <cellStyle name="見出し 3 14 2 2" xfId="2142"/>
    <cellStyle name="見出し 3 14 2 3" xfId="2143"/>
    <cellStyle name="見出し 3 14 3" xfId="2144"/>
    <cellStyle name="見出し 3 14 3 2" xfId="2145"/>
    <cellStyle name="見出し 3 14 3 3" xfId="2146"/>
    <cellStyle name="見出し 3 14 4" xfId="2147"/>
    <cellStyle name="見出し 3 14 5" xfId="2148"/>
    <cellStyle name="見出し 3 15" xfId="2149"/>
    <cellStyle name="見出し 3 15 2" xfId="2150"/>
    <cellStyle name="見出し 3 15 2 2" xfId="2151"/>
    <cellStyle name="見出し 3 15 2 3" xfId="2152"/>
    <cellStyle name="見出し 3 15 3" xfId="2153"/>
    <cellStyle name="見出し 3 15 3 2" xfId="2154"/>
    <cellStyle name="見出し 3 15 3 3" xfId="2155"/>
    <cellStyle name="見出し 3 15 4" xfId="2156"/>
    <cellStyle name="見出し 3 15 5" xfId="2157"/>
    <cellStyle name="見出し 3 16" xfId="2158"/>
    <cellStyle name="見出し 3 16 2" xfId="2159"/>
    <cellStyle name="見出し 3 16 2 2" xfId="2160"/>
    <cellStyle name="見出し 3 16 2 3" xfId="2161"/>
    <cellStyle name="見出し 3 16 3" xfId="2162"/>
    <cellStyle name="見出し 3 16 3 2" xfId="2163"/>
    <cellStyle name="見出し 3 16 3 3" xfId="2164"/>
    <cellStyle name="見出し 3 16 4" xfId="2165"/>
    <cellStyle name="見出し 3 16 5" xfId="2166"/>
    <cellStyle name="見出し 3 17" xfId="2167"/>
    <cellStyle name="見出し 3 17 2" xfId="2168"/>
    <cellStyle name="見出し 3 17 2 2" xfId="2169"/>
    <cellStyle name="見出し 3 17 2 3" xfId="2170"/>
    <cellStyle name="見出し 3 17 3" xfId="2171"/>
    <cellStyle name="見出し 3 17 3 2" xfId="2172"/>
    <cellStyle name="見出し 3 17 3 3" xfId="2173"/>
    <cellStyle name="見出し 3 17 4" xfId="2174"/>
    <cellStyle name="見出し 3 17 5" xfId="2175"/>
    <cellStyle name="見出し 3 18" xfId="2176"/>
    <cellStyle name="見出し 3 18 2" xfId="2177"/>
    <cellStyle name="見出し 3 18 2 2" xfId="2178"/>
    <cellStyle name="見出し 3 18 2 3" xfId="2179"/>
    <cellStyle name="見出し 3 18 3" xfId="2180"/>
    <cellStyle name="見出し 3 18 3 2" xfId="2181"/>
    <cellStyle name="見出し 3 18 3 3" xfId="2182"/>
    <cellStyle name="見出し 3 18 4" xfId="2183"/>
    <cellStyle name="見出し 3 18 5" xfId="2184"/>
    <cellStyle name="見出し 3 19" xfId="2185"/>
    <cellStyle name="見出し 3 19 2" xfId="2186"/>
    <cellStyle name="見出し 3 19 2 2" xfId="2187"/>
    <cellStyle name="見出し 3 19 2 3" xfId="2188"/>
    <cellStyle name="見出し 3 19 3" xfId="2189"/>
    <cellStyle name="見出し 3 19 3 2" xfId="2190"/>
    <cellStyle name="見出し 3 19 3 3" xfId="2191"/>
    <cellStyle name="見出し 3 19 4" xfId="2192"/>
    <cellStyle name="見出し 3 19 5" xfId="2193"/>
    <cellStyle name="見出し 3 2" xfId="2194"/>
    <cellStyle name="見出し 3 2 10" xfId="2195"/>
    <cellStyle name="見出し 3 2 10 2" xfId="2196"/>
    <cellStyle name="見出し 3 2 10 2 2" xfId="2197"/>
    <cellStyle name="見出し 3 2 10 2 3" xfId="2198"/>
    <cellStyle name="見出し 3 2 10 3" xfId="2199"/>
    <cellStyle name="見出し 3 2 10 3 2" xfId="2200"/>
    <cellStyle name="見出し 3 2 10 3 3" xfId="2201"/>
    <cellStyle name="見出し 3 2 10 4" xfId="2202"/>
    <cellStyle name="見出し 3 2 10 5" xfId="2203"/>
    <cellStyle name="見出し 3 2 11" xfId="2204"/>
    <cellStyle name="見出し 3 2 11 2" xfId="2205"/>
    <cellStyle name="見出し 3 2 11 2 2" xfId="2206"/>
    <cellStyle name="見出し 3 2 11 2 3" xfId="2207"/>
    <cellStyle name="見出し 3 2 11 3" xfId="2208"/>
    <cellStyle name="見出し 3 2 11 3 2" xfId="2209"/>
    <cellStyle name="見出し 3 2 11 3 3" xfId="2210"/>
    <cellStyle name="見出し 3 2 11 4" xfId="2211"/>
    <cellStyle name="見出し 3 2 11 5" xfId="2212"/>
    <cellStyle name="見出し 3 2 12" xfId="2213"/>
    <cellStyle name="見出し 3 2 12 2" xfId="2214"/>
    <cellStyle name="見出し 3 2 12 2 2" xfId="2215"/>
    <cellStyle name="見出し 3 2 12 2 3" xfId="2216"/>
    <cellStyle name="見出し 3 2 12 3" xfId="2217"/>
    <cellStyle name="見出し 3 2 12 3 2" xfId="2218"/>
    <cellStyle name="見出し 3 2 12 3 3" xfId="2219"/>
    <cellStyle name="見出し 3 2 12 4" xfId="2220"/>
    <cellStyle name="見出し 3 2 12 5" xfId="2221"/>
    <cellStyle name="見出し 3 2 2" xfId="2222"/>
    <cellStyle name="見出し 3 2 2 2" xfId="2223"/>
    <cellStyle name="見出し 3 2 2 2 2" xfId="2224"/>
    <cellStyle name="見出し 3 2 2 2 3" xfId="2225"/>
    <cellStyle name="見出し 3 2 2 3" xfId="2226"/>
    <cellStyle name="見出し 3 2 2 3 2" xfId="2227"/>
    <cellStyle name="見出し 3 2 2 3 3" xfId="2228"/>
    <cellStyle name="見出し 3 2 2 4" xfId="2229"/>
    <cellStyle name="見出し 3 2 2 5" xfId="2230"/>
    <cellStyle name="見出し 3 2 3" xfId="2231"/>
    <cellStyle name="見出し 3 2 3 2" xfId="2232"/>
    <cellStyle name="見出し 3 2 3 2 2" xfId="2233"/>
    <cellStyle name="見出し 3 2 3 2 3" xfId="2234"/>
    <cellStyle name="見出し 3 2 3 3" xfId="2235"/>
    <cellStyle name="見出し 3 2 3 3 2" xfId="2236"/>
    <cellStyle name="見出し 3 2 3 3 3" xfId="2237"/>
    <cellStyle name="見出し 3 2 3 4" xfId="2238"/>
    <cellStyle name="見出し 3 2 3 5" xfId="2239"/>
    <cellStyle name="見出し 3 2 4" xfId="2240"/>
    <cellStyle name="見出し 3 2 4 2" xfId="2241"/>
    <cellStyle name="見出し 3 2 4 2 2" xfId="2242"/>
    <cellStyle name="見出し 3 2 4 2 3" xfId="2243"/>
    <cellStyle name="見出し 3 2 4 3" xfId="2244"/>
    <cellStyle name="見出し 3 2 4 3 2" xfId="2245"/>
    <cellStyle name="見出し 3 2 4 3 3" xfId="2246"/>
    <cellStyle name="見出し 3 2 4 4" xfId="2247"/>
    <cellStyle name="見出し 3 2 4 5" xfId="2248"/>
    <cellStyle name="見出し 3 2 5" xfId="2249"/>
    <cellStyle name="見出し 3 2 5 2" xfId="2250"/>
    <cellStyle name="見出し 3 2 5 2 2" xfId="2251"/>
    <cellStyle name="見出し 3 2 5 2 3" xfId="2252"/>
    <cellStyle name="見出し 3 2 5 3" xfId="2253"/>
    <cellStyle name="見出し 3 2 5 3 2" xfId="2254"/>
    <cellStyle name="見出し 3 2 5 3 3" xfId="2255"/>
    <cellStyle name="見出し 3 2 5 4" xfId="2256"/>
    <cellStyle name="見出し 3 2 5 5" xfId="2257"/>
    <cellStyle name="見出し 3 2 6" xfId="2258"/>
    <cellStyle name="見出し 3 2 6 2" xfId="2259"/>
    <cellStyle name="見出し 3 2 6 2 2" xfId="2260"/>
    <cellStyle name="見出し 3 2 6 2 3" xfId="2261"/>
    <cellStyle name="見出し 3 2 6 3" xfId="2262"/>
    <cellStyle name="見出し 3 2 6 3 2" xfId="2263"/>
    <cellStyle name="見出し 3 2 6 3 3" xfId="2264"/>
    <cellStyle name="見出し 3 2 6 4" xfId="2265"/>
    <cellStyle name="見出し 3 2 6 5" xfId="2266"/>
    <cellStyle name="見出し 3 2 7" xfId="2267"/>
    <cellStyle name="見出し 3 2 7 2" xfId="2268"/>
    <cellStyle name="見出し 3 2 7 2 2" xfId="2269"/>
    <cellStyle name="見出し 3 2 7 2 3" xfId="2270"/>
    <cellStyle name="見出し 3 2 7 3" xfId="2271"/>
    <cellStyle name="見出し 3 2 7 3 2" xfId="2272"/>
    <cellStyle name="見出し 3 2 7 3 3" xfId="2273"/>
    <cellStyle name="見出し 3 2 7 4" xfId="2274"/>
    <cellStyle name="見出し 3 2 7 5" xfId="2275"/>
    <cellStyle name="見出し 3 2 8" xfId="2276"/>
    <cellStyle name="見出し 3 2 8 2" xfId="2277"/>
    <cellStyle name="見出し 3 2 8 2 2" xfId="2278"/>
    <cellStyle name="見出し 3 2 8 2 3" xfId="2279"/>
    <cellStyle name="見出し 3 2 8 3" xfId="2280"/>
    <cellStyle name="見出し 3 2 8 3 2" xfId="2281"/>
    <cellStyle name="見出し 3 2 8 3 3" xfId="2282"/>
    <cellStyle name="見出し 3 2 8 4" xfId="2283"/>
    <cellStyle name="見出し 3 2 8 5" xfId="2284"/>
    <cellStyle name="見出し 3 2 9" xfId="2285"/>
    <cellStyle name="見出し 3 2 9 2" xfId="2286"/>
    <cellStyle name="見出し 3 2 9 2 2" xfId="2287"/>
    <cellStyle name="見出し 3 2 9 2 3" xfId="2288"/>
    <cellStyle name="見出し 3 2 9 3" xfId="2289"/>
    <cellStyle name="見出し 3 2 9 3 2" xfId="2290"/>
    <cellStyle name="見出し 3 2 9 3 3" xfId="2291"/>
    <cellStyle name="見出し 3 2 9 4" xfId="2292"/>
    <cellStyle name="見出し 3 2 9 5" xfId="2293"/>
    <cellStyle name="見出し 3 20" xfId="2294"/>
    <cellStyle name="見出し 3 20 2" xfId="2295"/>
    <cellStyle name="見出し 3 20 2 2" xfId="2296"/>
    <cellStyle name="見出し 3 20 2 3" xfId="2297"/>
    <cellStyle name="見出し 3 20 3" xfId="2298"/>
    <cellStyle name="見出し 3 20 3 2" xfId="2299"/>
    <cellStyle name="見出し 3 20 3 3" xfId="2300"/>
    <cellStyle name="見出し 3 20 4" xfId="2301"/>
    <cellStyle name="見出し 3 20 5" xfId="2302"/>
    <cellStyle name="見出し 3 21" xfId="2303"/>
    <cellStyle name="見出し 3 21 2" xfId="2304"/>
    <cellStyle name="見出し 3 21 2 2" xfId="2305"/>
    <cellStyle name="見出し 3 21 2 3" xfId="2306"/>
    <cellStyle name="見出し 3 21 3" xfId="2307"/>
    <cellStyle name="見出し 3 21 3 2" xfId="2308"/>
    <cellStyle name="見出し 3 21 3 3" xfId="2309"/>
    <cellStyle name="見出し 3 21 4" xfId="2310"/>
    <cellStyle name="見出し 3 21 5" xfId="2311"/>
    <cellStyle name="見出し 3 3" xfId="2312"/>
    <cellStyle name="見出し 3 3 10" xfId="2313"/>
    <cellStyle name="見出し 3 3 10 2" xfId="2314"/>
    <cellStyle name="見出し 3 3 10 2 2" xfId="2315"/>
    <cellStyle name="見出し 3 3 10 2 3" xfId="2316"/>
    <cellStyle name="見出し 3 3 10 3" xfId="2317"/>
    <cellStyle name="見出し 3 3 10 3 2" xfId="2318"/>
    <cellStyle name="見出し 3 3 10 3 3" xfId="2319"/>
    <cellStyle name="見出し 3 3 10 4" xfId="2320"/>
    <cellStyle name="見出し 3 3 10 5" xfId="2321"/>
    <cellStyle name="見出し 3 3 11" xfId="2322"/>
    <cellStyle name="見出し 3 3 11 2" xfId="2323"/>
    <cellStyle name="見出し 3 3 11 2 2" xfId="2324"/>
    <cellStyle name="見出し 3 3 11 2 3" xfId="2325"/>
    <cellStyle name="見出し 3 3 11 3" xfId="2326"/>
    <cellStyle name="見出し 3 3 11 3 2" xfId="2327"/>
    <cellStyle name="見出し 3 3 11 3 3" xfId="2328"/>
    <cellStyle name="見出し 3 3 11 4" xfId="2329"/>
    <cellStyle name="見出し 3 3 11 5" xfId="2330"/>
    <cellStyle name="見出し 3 3 12" xfId="2331"/>
    <cellStyle name="見出し 3 3 12 2" xfId="2332"/>
    <cellStyle name="見出し 3 3 12 2 2" xfId="2333"/>
    <cellStyle name="見出し 3 3 12 2 3" xfId="2334"/>
    <cellStyle name="見出し 3 3 12 3" xfId="2335"/>
    <cellStyle name="見出し 3 3 12 3 2" xfId="2336"/>
    <cellStyle name="見出し 3 3 12 3 3" xfId="2337"/>
    <cellStyle name="見出し 3 3 12 4" xfId="2338"/>
    <cellStyle name="見出し 3 3 12 5" xfId="2339"/>
    <cellStyle name="見出し 3 3 2" xfId="2340"/>
    <cellStyle name="見出し 3 3 2 2" xfId="2341"/>
    <cellStyle name="見出し 3 3 2 2 2" xfId="2342"/>
    <cellStyle name="見出し 3 3 2 2 3" xfId="2343"/>
    <cellStyle name="見出し 3 3 2 3" xfId="2344"/>
    <cellStyle name="見出し 3 3 2 3 2" xfId="2345"/>
    <cellStyle name="見出し 3 3 2 3 3" xfId="2346"/>
    <cellStyle name="見出し 3 3 2 4" xfId="2347"/>
    <cellStyle name="見出し 3 3 2 5" xfId="2348"/>
    <cellStyle name="見出し 3 3 3" xfId="2349"/>
    <cellStyle name="見出し 3 3 3 2" xfId="2350"/>
    <cellStyle name="見出し 3 3 3 2 2" xfId="2351"/>
    <cellStyle name="見出し 3 3 3 2 3" xfId="2352"/>
    <cellStyle name="見出し 3 3 3 3" xfId="2353"/>
    <cellStyle name="見出し 3 3 3 3 2" xfId="2354"/>
    <cellStyle name="見出し 3 3 3 3 3" xfId="2355"/>
    <cellStyle name="見出し 3 3 3 4" xfId="2356"/>
    <cellStyle name="見出し 3 3 3 5" xfId="2357"/>
    <cellStyle name="見出し 3 3 4" xfId="2358"/>
    <cellStyle name="見出し 3 3 4 2" xfId="2359"/>
    <cellStyle name="見出し 3 3 4 2 2" xfId="2360"/>
    <cellStyle name="見出し 3 3 4 2 3" xfId="2361"/>
    <cellStyle name="見出し 3 3 4 3" xfId="2362"/>
    <cellStyle name="見出し 3 3 4 3 2" xfId="2363"/>
    <cellStyle name="見出し 3 3 4 3 3" xfId="2364"/>
    <cellStyle name="見出し 3 3 4 4" xfId="2365"/>
    <cellStyle name="見出し 3 3 4 5" xfId="2366"/>
    <cellStyle name="見出し 3 3 5" xfId="2367"/>
    <cellStyle name="見出し 3 3 5 2" xfId="2368"/>
    <cellStyle name="見出し 3 3 5 2 2" xfId="2369"/>
    <cellStyle name="見出し 3 3 5 2 3" xfId="2370"/>
    <cellStyle name="見出し 3 3 5 3" xfId="2371"/>
    <cellStyle name="見出し 3 3 5 3 2" xfId="2372"/>
    <cellStyle name="見出し 3 3 5 3 3" xfId="2373"/>
    <cellStyle name="見出し 3 3 5 4" xfId="2374"/>
    <cellStyle name="見出し 3 3 5 5" xfId="2375"/>
    <cellStyle name="見出し 3 3 6" xfId="2376"/>
    <cellStyle name="見出し 3 3 6 2" xfId="2377"/>
    <cellStyle name="見出し 3 3 6 2 2" xfId="2378"/>
    <cellStyle name="見出し 3 3 6 2 3" xfId="2379"/>
    <cellStyle name="見出し 3 3 6 3" xfId="2380"/>
    <cellStyle name="見出し 3 3 6 3 2" xfId="2381"/>
    <cellStyle name="見出し 3 3 6 3 3" xfId="2382"/>
    <cellStyle name="見出し 3 3 6 4" xfId="2383"/>
    <cellStyle name="見出し 3 3 6 5" xfId="2384"/>
    <cellStyle name="見出し 3 3 7" xfId="2385"/>
    <cellStyle name="見出し 3 3 7 2" xfId="2386"/>
    <cellStyle name="見出し 3 3 7 2 2" xfId="2387"/>
    <cellStyle name="見出し 3 3 7 2 3" xfId="2388"/>
    <cellStyle name="見出し 3 3 7 3" xfId="2389"/>
    <cellStyle name="見出し 3 3 7 3 2" xfId="2390"/>
    <cellStyle name="見出し 3 3 7 3 3" xfId="2391"/>
    <cellStyle name="見出し 3 3 7 4" xfId="2392"/>
    <cellStyle name="見出し 3 3 7 5" xfId="2393"/>
    <cellStyle name="見出し 3 3 8" xfId="2394"/>
    <cellStyle name="見出し 3 3 8 2" xfId="2395"/>
    <cellStyle name="見出し 3 3 8 2 2" xfId="2396"/>
    <cellStyle name="見出し 3 3 8 2 3" xfId="2397"/>
    <cellStyle name="見出し 3 3 8 3" xfId="2398"/>
    <cellStyle name="見出し 3 3 8 3 2" xfId="2399"/>
    <cellStyle name="見出し 3 3 8 3 3" xfId="2400"/>
    <cellStyle name="見出し 3 3 8 4" xfId="2401"/>
    <cellStyle name="見出し 3 3 8 5" xfId="2402"/>
    <cellStyle name="見出し 3 3 9" xfId="2403"/>
    <cellStyle name="見出し 3 3 9 2" xfId="2404"/>
    <cellStyle name="見出し 3 3 9 2 2" xfId="2405"/>
    <cellStyle name="見出し 3 3 9 2 3" xfId="2406"/>
    <cellStyle name="見出し 3 3 9 3" xfId="2407"/>
    <cellStyle name="見出し 3 3 9 3 2" xfId="2408"/>
    <cellStyle name="見出し 3 3 9 3 3" xfId="2409"/>
    <cellStyle name="見出し 3 3 9 4" xfId="2410"/>
    <cellStyle name="見出し 3 3 9 5" xfId="2411"/>
    <cellStyle name="見出し 3 4" xfId="2412"/>
    <cellStyle name="見出し 3 4 2" xfId="2413"/>
    <cellStyle name="見出し 3 4 2 2" xfId="2414"/>
    <cellStyle name="見出し 3 4 2 2 2" xfId="2415"/>
    <cellStyle name="見出し 3 4 2 2 3" xfId="2416"/>
    <cellStyle name="見出し 3 4 2 3" xfId="2417"/>
    <cellStyle name="見出し 3 4 2 3 2" xfId="2418"/>
    <cellStyle name="見出し 3 4 2 3 3" xfId="2419"/>
    <cellStyle name="見出し 3 4 2 4" xfId="2420"/>
    <cellStyle name="見出し 3 4 2 5" xfId="2421"/>
    <cellStyle name="見出し 3 4 3" xfId="2422"/>
    <cellStyle name="見出し 3 4 3 2" xfId="2423"/>
    <cellStyle name="見出し 3 4 3 2 2" xfId="2424"/>
    <cellStyle name="見出し 3 4 3 2 3" xfId="2425"/>
    <cellStyle name="見出し 3 4 3 3" xfId="2426"/>
    <cellStyle name="見出し 3 4 3 3 2" xfId="2427"/>
    <cellStyle name="見出し 3 4 3 3 3" xfId="2428"/>
    <cellStyle name="見出し 3 4 3 4" xfId="2429"/>
    <cellStyle name="見出し 3 4 3 5" xfId="2430"/>
    <cellStyle name="見出し 3 5" xfId="2431"/>
    <cellStyle name="見出し 3 5 2" xfId="2432"/>
    <cellStyle name="見出し 3 5 2 2" xfId="2433"/>
    <cellStyle name="見出し 3 5 2 2 2" xfId="2434"/>
    <cellStyle name="見出し 3 5 2 2 3" xfId="2435"/>
    <cellStyle name="見出し 3 5 2 3" xfId="2436"/>
    <cellStyle name="見出し 3 5 2 3 2" xfId="2437"/>
    <cellStyle name="見出し 3 5 2 3 3" xfId="2438"/>
    <cellStyle name="見出し 3 5 2 4" xfId="2439"/>
    <cellStyle name="見出し 3 5 2 5" xfId="2440"/>
    <cellStyle name="見出し 3 5 3" xfId="2441"/>
    <cellStyle name="見出し 3 5 3 2" xfId="2442"/>
    <cellStyle name="見出し 3 5 3 2 2" xfId="2443"/>
    <cellStyle name="見出し 3 5 3 2 3" xfId="2444"/>
    <cellStyle name="見出し 3 5 3 3" xfId="2445"/>
    <cellStyle name="見出し 3 5 3 3 2" xfId="2446"/>
    <cellStyle name="見出し 3 5 3 3 3" xfId="2447"/>
    <cellStyle name="見出し 3 5 3 4" xfId="2448"/>
    <cellStyle name="見出し 3 5 3 5" xfId="2449"/>
    <cellStyle name="見出し 3 5 4" xfId="2450"/>
    <cellStyle name="見出し 3 5 4 2" xfId="2451"/>
    <cellStyle name="見出し 3 5 4 3" xfId="2452"/>
    <cellStyle name="見出し 3 5 5" xfId="2453"/>
    <cellStyle name="見出し 3 5 5 2" xfId="2454"/>
    <cellStyle name="見出し 3 5 5 3" xfId="2455"/>
    <cellStyle name="見出し 3 5 6" xfId="2456"/>
    <cellStyle name="見出し 3 5 7" xfId="2457"/>
    <cellStyle name="見出し 3 6" xfId="2458"/>
    <cellStyle name="見出し 3 6 2" xfId="2459"/>
    <cellStyle name="見出し 3 6 2 2" xfId="2460"/>
    <cellStyle name="見出し 3 6 2 2 2" xfId="2461"/>
    <cellStyle name="見出し 3 6 2 2 3" xfId="2462"/>
    <cellStyle name="見出し 3 6 2 3" xfId="2463"/>
    <cellStyle name="見出し 3 6 2 3 2" xfId="2464"/>
    <cellStyle name="見出し 3 6 2 3 3" xfId="2465"/>
    <cellStyle name="見出し 3 6 2 4" xfId="2466"/>
    <cellStyle name="見出し 3 6 2 5" xfId="2467"/>
    <cellStyle name="見出し 3 6 3" xfId="2468"/>
    <cellStyle name="見出し 3 6 3 2" xfId="2469"/>
    <cellStyle name="見出し 3 6 3 3" xfId="2470"/>
    <cellStyle name="見出し 3 6 4" xfId="2471"/>
    <cellStyle name="見出し 3 6 4 2" xfId="2472"/>
    <cellStyle name="見出し 3 6 4 3" xfId="2473"/>
    <cellStyle name="見出し 3 6 5" xfId="2474"/>
    <cellStyle name="見出し 3 6 6" xfId="2475"/>
    <cellStyle name="見出し 3 7" xfId="2476"/>
    <cellStyle name="見出し 3 7 2" xfId="2477"/>
    <cellStyle name="見出し 3 7 2 2" xfId="2478"/>
    <cellStyle name="見出し 3 7 2 2 2" xfId="2479"/>
    <cellStyle name="見出し 3 7 2 2 3" xfId="2480"/>
    <cellStyle name="見出し 3 7 2 3" xfId="2481"/>
    <cellStyle name="見出し 3 7 2 3 2" xfId="2482"/>
    <cellStyle name="見出し 3 7 2 3 3" xfId="2483"/>
    <cellStyle name="見出し 3 7 2 4" xfId="2484"/>
    <cellStyle name="見出し 3 7 2 5" xfId="2485"/>
    <cellStyle name="見出し 3 7 3" xfId="2486"/>
    <cellStyle name="見出し 3 7 3 2" xfId="2487"/>
    <cellStyle name="見出し 3 7 3 3" xfId="2488"/>
    <cellStyle name="見出し 3 7 4" xfId="2489"/>
    <cellStyle name="見出し 3 7 4 2" xfId="2490"/>
    <cellStyle name="見出し 3 7 4 3" xfId="2491"/>
    <cellStyle name="見出し 3 7 5" xfId="2492"/>
    <cellStyle name="見出し 3 7 6" xfId="2493"/>
    <cellStyle name="見出し 3 8" xfId="2494"/>
    <cellStyle name="見出し 3 8 2" xfId="2495"/>
    <cellStyle name="見出し 3 8 2 2" xfId="2496"/>
    <cellStyle name="見出し 3 8 2 2 2" xfId="2497"/>
    <cellStyle name="見出し 3 8 2 2 3" xfId="2498"/>
    <cellStyle name="見出し 3 8 2 3" xfId="2499"/>
    <cellStyle name="見出し 3 8 2 3 2" xfId="2500"/>
    <cellStyle name="見出し 3 8 2 3 3" xfId="2501"/>
    <cellStyle name="見出し 3 8 2 4" xfId="2502"/>
    <cellStyle name="見出し 3 8 2 5" xfId="2503"/>
    <cellStyle name="見出し 3 8 3" xfId="2504"/>
    <cellStyle name="見出し 3 8 3 2" xfId="2505"/>
    <cellStyle name="見出し 3 8 3 3" xfId="2506"/>
    <cellStyle name="見出し 3 8 4" xfId="2507"/>
    <cellStyle name="見出し 3 8 4 2" xfId="2508"/>
    <cellStyle name="見出し 3 8 4 3" xfId="2509"/>
    <cellStyle name="見出し 3 8 5" xfId="2510"/>
    <cellStyle name="見出し 3 8 6" xfId="2511"/>
    <cellStyle name="見出し 3 9" xfId="2512"/>
    <cellStyle name="見出し 3 9 2" xfId="2513"/>
    <cellStyle name="見出し 3 9 2 2" xfId="2514"/>
    <cellStyle name="見出し 3 9 2 3" xfId="2515"/>
    <cellStyle name="見出し 3 9 3" xfId="2516"/>
    <cellStyle name="見出し 3 9 3 2" xfId="2517"/>
    <cellStyle name="見出し 3 9 3 3" xfId="2518"/>
    <cellStyle name="見出し 3 9 4" xfId="2519"/>
    <cellStyle name="見出し 3 9 5" xfId="2520"/>
    <cellStyle name="見出し 4 10" xfId="2521"/>
    <cellStyle name="見出し 4 11" xfId="2522"/>
    <cellStyle name="見出し 4 12" xfId="2523"/>
    <cellStyle name="見出し 4 13" xfId="2524"/>
    <cellStyle name="見出し 4 14" xfId="2525"/>
    <cellStyle name="見出し 4 15" xfId="2526"/>
    <cellStyle name="見出し 4 16" xfId="2527"/>
    <cellStyle name="見出し 4 17" xfId="2528"/>
    <cellStyle name="見出し 4 18" xfId="2529"/>
    <cellStyle name="見出し 4 19" xfId="2530"/>
    <cellStyle name="見出し 4 2" xfId="2531"/>
    <cellStyle name="見出し 4 2 10" xfId="2532"/>
    <cellStyle name="見出し 4 2 11" xfId="2533"/>
    <cellStyle name="見出し 4 2 12" xfId="2534"/>
    <cellStyle name="見出し 4 2 2" xfId="2535"/>
    <cellStyle name="見出し 4 2 3" xfId="2536"/>
    <cellStyle name="見出し 4 2 4" xfId="2537"/>
    <cellStyle name="見出し 4 2 5" xfId="2538"/>
    <cellStyle name="見出し 4 2 6" xfId="2539"/>
    <cellStyle name="見出し 4 2 7" xfId="2540"/>
    <cellStyle name="見出し 4 2 8" xfId="2541"/>
    <cellStyle name="見出し 4 2 9" xfId="2542"/>
    <cellStyle name="見出し 4 20" xfId="2543"/>
    <cellStyle name="見出し 4 21" xfId="2544"/>
    <cellStyle name="見出し 4 3" xfId="2545"/>
    <cellStyle name="見出し 4 3 10" xfId="2546"/>
    <cellStyle name="見出し 4 3 11" xfId="2547"/>
    <cellStyle name="見出し 4 3 12" xfId="2548"/>
    <cellStyle name="見出し 4 3 2" xfId="2549"/>
    <cellStyle name="見出し 4 3 3" xfId="2550"/>
    <cellStyle name="見出し 4 3 4" xfId="2551"/>
    <cellStyle name="見出し 4 3 5" xfId="2552"/>
    <cellStyle name="見出し 4 3 6" xfId="2553"/>
    <cellStyle name="見出し 4 3 7" xfId="2554"/>
    <cellStyle name="見出し 4 3 8" xfId="2555"/>
    <cellStyle name="見出し 4 3 9" xfId="2556"/>
    <cellStyle name="見出し 4 4" xfId="2557"/>
    <cellStyle name="見出し 4 4 2" xfId="2558"/>
    <cellStyle name="見出し 4 4 3" xfId="2559"/>
    <cellStyle name="見出し 4 5" xfId="2560"/>
    <cellStyle name="見出し 4 5 2" xfId="2561"/>
    <cellStyle name="見出し 4 5 3" xfId="2562"/>
    <cellStyle name="見出し 4 6" xfId="2563"/>
    <cellStyle name="見出し 4 6 2" xfId="2564"/>
    <cellStyle name="見出し 4 7" xfId="2565"/>
    <cellStyle name="見出し 4 7 2" xfId="2566"/>
    <cellStyle name="見出し 4 8" xfId="2567"/>
    <cellStyle name="見出し 4 8 2" xfId="2568"/>
    <cellStyle name="見出し 4 9" xfId="2569"/>
    <cellStyle name="計算 10" xfId="2570"/>
    <cellStyle name="計算 11" xfId="2571"/>
    <cellStyle name="計算 12" xfId="2572"/>
    <cellStyle name="計算 13" xfId="2573"/>
    <cellStyle name="計算 14" xfId="2574"/>
    <cellStyle name="計算 15" xfId="2575"/>
    <cellStyle name="計算 16" xfId="2576"/>
    <cellStyle name="計算 17" xfId="2577"/>
    <cellStyle name="計算 18" xfId="2578"/>
    <cellStyle name="計算 19" xfId="2579"/>
    <cellStyle name="計算 2" xfId="2580"/>
    <cellStyle name="計算 2 10" xfId="2581"/>
    <cellStyle name="計算 2 11" xfId="2582"/>
    <cellStyle name="計算 2 12" xfId="2583"/>
    <cellStyle name="計算 2 2" xfId="2584"/>
    <cellStyle name="計算 2 3" xfId="2585"/>
    <cellStyle name="計算 2 4" xfId="2586"/>
    <cellStyle name="計算 2 5" xfId="2587"/>
    <cellStyle name="計算 2 6" xfId="2588"/>
    <cellStyle name="計算 2 7" xfId="2589"/>
    <cellStyle name="計算 2 8" xfId="2590"/>
    <cellStyle name="計算 2 9" xfId="2591"/>
    <cellStyle name="計算 20" xfId="2592"/>
    <cellStyle name="計算 21" xfId="2593"/>
    <cellStyle name="計算 3" xfId="2594"/>
    <cellStyle name="計算 3 10" xfId="2595"/>
    <cellStyle name="計算 3 11" xfId="2596"/>
    <cellStyle name="計算 3 12" xfId="2597"/>
    <cellStyle name="計算 3 2" xfId="2598"/>
    <cellStyle name="計算 3 3" xfId="2599"/>
    <cellStyle name="計算 3 4" xfId="2600"/>
    <cellStyle name="計算 3 5" xfId="2601"/>
    <cellStyle name="計算 3 6" xfId="2602"/>
    <cellStyle name="計算 3 7" xfId="2603"/>
    <cellStyle name="計算 3 8" xfId="2604"/>
    <cellStyle name="計算 3 9" xfId="2605"/>
    <cellStyle name="計算 4" xfId="2606"/>
    <cellStyle name="計算 4 2" xfId="2607"/>
    <cellStyle name="計算 4 3" xfId="2608"/>
    <cellStyle name="計算 5" xfId="2609"/>
    <cellStyle name="計算 5 2" xfId="2610"/>
    <cellStyle name="計算 5 3" xfId="2611"/>
    <cellStyle name="計算 6" xfId="2612"/>
    <cellStyle name="計算 6 2" xfId="2613"/>
    <cellStyle name="計算 7" xfId="2614"/>
    <cellStyle name="計算 7 2" xfId="2615"/>
    <cellStyle name="計算 8" xfId="2616"/>
    <cellStyle name="計算 8 2" xfId="2617"/>
    <cellStyle name="計算 9" xfId="2618"/>
    <cellStyle name="説明文 10" xfId="2619"/>
    <cellStyle name="説明文 11" xfId="2620"/>
    <cellStyle name="説明文 12" xfId="2621"/>
    <cellStyle name="説明文 13" xfId="2622"/>
    <cellStyle name="説明文 14" xfId="2623"/>
    <cellStyle name="説明文 15" xfId="2624"/>
    <cellStyle name="説明文 16" xfId="2625"/>
    <cellStyle name="説明文 17" xfId="2626"/>
    <cellStyle name="説明文 18" xfId="2627"/>
    <cellStyle name="説明文 19" xfId="2628"/>
    <cellStyle name="説明文 2" xfId="2629"/>
    <cellStyle name="説明文 2 10" xfId="2630"/>
    <cellStyle name="説明文 2 11" xfId="2631"/>
    <cellStyle name="説明文 2 2" xfId="2632"/>
    <cellStyle name="説明文 2 3" xfId="2633"/>
    <cellStyle name="説明文 2 4" xfId="2634"/>
    <cellStyle name="説明文 2 5" xfId="2635"/>
    <cellStyle name="説明文 2 6" xfId="2636"/>
    <cellStyle name="説明文 2 7" xfId="2637"/>
    <cellStyle name="説明文 2 8" xfId="2638"/>
    <cellStyle name="説明文 2 9" xfId="2639"/>
    <cellStyle name="説明文 20" xfId="2640"/>
    <cellStyle name="説明文 3" xfId="2641"/>
    <cellStyle name="説明文 3 10" xfId="2642"/>
    <cellStyle name="説明文 3 11" xfId="2643"/>
    <cellStyle name="説明文 3 2" xfId="2644"/>
    <cellStyle name="説明文 3 3" xfId="2645"/>
    <cellStyle name="説明文 3 4" xfId="2646"/>
    <cellStyle name="説明文 3 5" xfId="2647"/>
    <cellStyle name="説明文 3 6" xfId="2648"/>
    <cellStyle name="説明文 3 7" xfId="2649"/>
    <cellStyle name="説明文 3 8" xfId="2650"/>
    <cellStyle name="説明文 3 9" xfId="2651"/>
    <cellStyle name="説明文 4" xfId="2652"/>
    <cellStyle name="説明文 4 2" xfId="2653"/>
    <cellStyle name="説明文 5" xfId="2654"/>
    <cellStyle name="説明文 5 2" xfId="2655"/>
    <cellStyle name="説明文 6" xfId="2656"/>
    <cellStyle name="説明文 6 2" xfId="2657"/>
    <cellStyle name="説明文 7" xfId="2658"/>
    <cellStyle name="説明文 7 2" xfId="2659"/>
    <cellStyle name="説明文 8" xfId="2660"/>
    <cellStyle name="説明文 8 2" xfId="2661"/>
    <cellStyle name="説明文 9" xfId="2662"/>
    <cellStyle name="警告文 10" xfId="2663"/>
    <cellStyle name="警告文 11" xfId="2664"/>
    <cellStyle name="警告文 12" xfId="2665"/>
    <cellStyle name="警告文 13" xfId="2666"/>
    <cellStyle name="警告文 14" xfId="2667"/>
    <cellStyle name="警告文 15" xfId="2668"/>
    <cellStyle name="警告文 16" xfId="2669"/>
    <cellStyle name="警告文 17" xfId="2670"/>
    <cellStyle name="警告文 18" xfId="2671"/>
    <cellStyle name="警告文 19" xfId="2672"/>
    <cellStyle name="警告文 2" xfId="2673"/>
    <cellStyle name="警告文 2 10" xfId="2674"/>
    <cellStyle name="警告文 2 11" xfId="2675"/>
    <cellStyle name="警告文 2 2" xfId="2676"/>
    <cellStyle name="警告文 2 3" xfId="2677"/>
    <cellStyle name="警告文 2 4" xfId="2678"/>
    <cellStyle name="警告文 2 5" xfId="2679"/>
    <cellStyle name="警告文 2 6" xfId="2680"/>
    <cellStyle name="警告文 2 7" xfId="2681"/>
    <cellStyle name="警告文 2 8" xfId="2682"/>
    <cellStyle name="警告文 2 9" xfId="2683"/>
    <cellStyle name="警告文 20" xfId="2684"/>
    <cellStyle name="警告文 3" xfId="2685"/>
    <cellStyle name="警告文 3 10" xfId="2686"/>
    <cellStyle name="警告文 3 11" xfId="2687"/>
    <cellStyle name="警告文 3 2" xfId="2688"/>
    <cellStyle name="警告文 3 3" xfId="2689"/>
    <cellStyle name="警告文 3 4" xfId="2690"/>
    <cellStyle name="警告文 3 5" xfId="2691"/>
    <cellStyle name="警告文 3 6" xfId="2692"/>
    <cellStyle name="警告文 3 7" xfId="2693"/>
    <cellStyle name="警告文 3 8" xfId="2694"/>
    <cellStyle name="警告文 3 9" xfId="2695"/>
    <cellStyle name="警告文 4" xfId="2696"/>
    <cellStyle name="警告文 4 2" xfId="2697"/>
    <cellStyle name="警告文 5" xfId="2698"/>
    <cellStyle name="警告文 5 2" xfId="2699"/>
    <cellStyle name="警告文 6" xfId="2700"/>
    <cellStyle name="警告文 6 2" xfId="2701"/>
    <cellStyle name="警告文 7" xfId="2702"/>
    <cellStyle name="警告文 7 2" xfId="2703"/>
    <cellStyle name="警告文 8" xfId="2704"/>
    <cellStyle name="警告文 8 2" xfId="2705"/>
    <cellStyle name="警告文 9" xfId="2706"/>
    <cellStyle name="集計 10" xfId="2707"/>
    <cellStyle name="集計 10 10" xfId="2708"/>
    <cellStyle name="集計 10 10 2" xfId="2709"/>
    <cellStyle name="集計 10 10 3" xfId="2710"/>
    <cellStyle name="集計 10 11" xfId="2711"/>
    <cellStyle name="集計 10 11 2" xfId="2712"/>
    <cellStyle name="集計 10 11 3" xfId="2713"/>
    <cellStyle name="集計 10 12" xfId="2714"/>
    <cellStyle name="集計 10 12 2" xfId="2715"/>
    <cellStyle name="集計 10 12 3" xfId="2716"/>
    <cellStyle name="集計 10 13" xfId="2717"/>
    <cellStyle name="集計 10 14" xfId="2718"/>
    <cellStyle name="集計 10 2" xfId="2719"/>
    <cellStyle name="集計 10 2 10" xfId="2720"/>
    <cellStyle name="集計 10 2 2" xfId="2721"/>
    <cellStyle name="集計 10 2 2 10" xfId="2722"/>
    <cellStyle name="集計 10 2 2 2" xfId="2723"/>
    <cellStyle name="集計 10 2 2 2 2" xfId="2724"/>
    <cellStyle name="集計 10 2 2 2 2 2" xfId="2725"/>
    <cellStyle name="集計 10 2 2 2 2 2 2" xfId="2726"/>
    <cellStyle name="集計 10 2 2 2 2 2 2 2" xfId="2727"/>
    <cellStyle name="集計 10 2 2 2 2 2 2 3" xfId="2728"/>
    <cellStyle name="集計 10 2 2 2 2 2 3" xfId="2729"/>
    <cellStyle name="集計 10 2 2 2 2 2 3 2" xfId="2730"/>
    <cellStyle name="集計 10 2 2 2 2 2 3 3" xfId="2731"/>
    <cellStyle name="集計 10 2 2 2 2 2 4" xfId="2732"/>
    <cellStyle name="集計 10 2 2 2 2 2 4 2" xfId="2733"/>
    <cellStyle name="集計 10 2 2 2 2 2 4 3" xfId="2734"/>
    <cellStyle name="集計 10 2 2 2 2 2 5" xfId="2735"/>
    <cellStyle name="集計 10 2 2 2 2 2 6" xfId="2736"/>
    <cellStyle name="集計 10 2 2 2 2 3" xfId="2737"/>
    <cellStyle name="集計 10 2 2 2 2 3 2" xfId="2738"/>
    <cellStyle name="集計 10 2 2 2 2 3 3" xfId="2739"/>
    <cellStyle name="集計 10 2 2 2 2 4" xfId="2740"/>
    <cellStyle name="集計 10 2 2 2 2 4 2" xfId="2741"/>
    <cellStyle name="集計 10 2 2 2 2 4 3" xfId="2742"/>
    <cellStyle name="集計 10 2 2 2 2 5" xfId="2743"/>
    <cellStyle name="集計 10 2 2 2 2 5 2" xfId="2744"/>
    <cellStyle name="集計 10 2 2 2 2 5 3" xfId="2745"/>
    <cellStyle name="集計 10 2 2 2 2 6" xfId="2746"/>
    <cellStyle name="集計 10 2 2 2 2 7" xfId="2747"/>
    <cellStyle name="集計 10 2 2 2 3" xfId="2748"/>
    <cellStyle name="集計 10 2 2 2 3 2" xfId="2749"/>
    <cellStyle name="集計 10 2 2 2 3 2 2" xfId="2750"/>
    <cellStyle name="集計 10 2 2 2 3 2 2 2" xfId="2751"/>
    <cellStyle name="集計 10 2 2 2 3 2 2 3" xfId="2752"/>
    <cellStyle name="集計 10 2 2 2 3 2 3" xfId="2753"/>
    <cellStyle name="集計 10 2 2 2 3 2 3 2" xfId="2754"/>
    <cellStyle name="集計 10 2 2 2 3 2 3 3" xfId="2755"/>
    <cellStyle name="集計 10 2 2 2 3 2 4" xfId="2756"/>
    <cellStyle name="集計 10 2 2 2 3 2 4 2" xfId="2757"/>
    <cellStyle name="集計 10 2 2 2 3 2 4 3" xfId="2758"/>
    <cellStyle name="集計 10 2 2 2 3 2 5" xfId="2759"/>
    <cellStyle name="集計 10 2 2 2 3 2 6" xfId="2760"/>
    <cellStyle name="集計 10 2 2 2 3 3" xfId="2761"/>
    <cellStyle name="集計 10 2 2 2 3 3 2" xfId="2762"/>
    <cellStyle name="集計 10 2 2 2 3 3 3" xfId="2763"/>
    <cellStyle name="集計 10 2 2 2 3 4" xfId="2764"/>
    <cellStyle name="集計 10 2 2 2 3 4 2" xfId="2765"/>
    <cellStyle name="集計 10 2 2 2 3 4 3" xfId="2766"/>
    <cellStyle name="集計 10 2 2 2 3 5" xfId="2767"/>
    <cellStyle name="集計 10 2 2 2 3 5 2" xfId="2768"/>
    <cellStyle name="集計 10 2 2 2 3 5 3" xfId="2769"/>
    <cellStyle name="集計 10 2 2 2 3 6" xfId="2770"/>
    <cellStyle name="集計 10 2 2 2 3 7" xfId="2771"/>
    <cellStyle name="集計 10 2 2 2 4" xfId="2772"/>
    <cellStyle name="集計 10 2 2 2 4 2" xfId="2773"/>
    <cellStyle name="集計 10 2 2 2 4 2 2" xfId="2774"/>
    <cellStyle name="集計 10 2 2 2 4 2 3" xfId="2775"/>
    <cellStyle name="集計 10 2 2 2 4 3" xfId="2776"/>
    <cellStyle name="集計 10 2 2 2 4 3 2" xfId="2777"/>
    <cellStyle name="集計 10 2 2 2 4 3 3" xfId="2778"/>
    <cellStyle name="集計 10 2 2 2 4 4" xfId="2779"/>
    <cellStyle name="集計 10 2 2 2 4 4 2" xfId="2780"/>
    <cellStyle name="集計 10 2 2 2 4 4 3" xfId="2781"/>
    <cellStyle name="集計 10 2 2 2 4 5" xfId="2782"/>
    <cellStyle name="集計 10 2 2 2 4 6" xfId="2783"/>
    <cellStyle name="集計 10 2 2 2 5" xfId="2784"/>
    <cellStyle name="集計 10 2 2 2 5 2" xfId="2785"/>
    <cellStyle name="集計 10 2 2 2 5 3" xfId="2786"/>
    <cellStyle name="集計 10 2 2 2 6" xfId="2787"/>
    <cellStyle name="集計 10 2 2 2 6 2" xfId="2788"/>
    <cellStyle name="集計 10 2 2 2 6 3" xfId="2789"/>
    <cellStyle name="集計 10 2 2 2 7" xfId="2790"/>
    <cellStyle name="集計 10 2 2 2 7 2" xfId="2791"/>
    <cellStyle name="集計 10 2 2 2 7 3" xfId="2792"/>
    <cellStyle name="集計 10 2 2 2 8" xfId="2793"/>
    <cellStyle name="集計 10 2 2 2 9" xfId="2794"/>
    <cellStyle name="集計 10 2 2 3" xfId="2795"/>
    <cellStyle name="集計 10 2 2 3 2" xfId="2796"/>
    <cellStyle name="集計 10 2 2 3 2 2" xfId="2797"/>
    <cellStyle name="集計 10 2 2 3 2 2 2" xfId="2798"/>
    <cellStyle name="集計 10 2 2 3 2 2 3" xfId="2799"/>
    <cellStyle name="集計 10 2 2 3 2 3" xfId="2800"/>
    <cellStyle name="集計 10 2 2 3 2 3 2" xfId="2801"/>
    <cellStyle name="集計 10 2 2 3 2 3 3" xfId="2802"/>
    <cellStyle name="集計 10 2 2 3 2 4" xfId="2803"/>
    <cellStyle name="集計 10 2 2 3 2 4 2" xfId="2804"/>
    <cellStyle name="集計 10 2 2 3 2 4 3" xfId="2805"/>
    <cellStyle name="集計 10 2 2 3 2 5" xfId="2806"/>
    <cellStyle name="集計 10 2 2 3 2 6" xfId="2807"/>
    <cellStyle name="集計 10 2 2 3 3" xfId="2808"/>
    <cellStyle name="集計 10 2 2 3 3 2" xfId="2809"/>
    <cellStyle name="集計 10 2 2 3 3 3" xfId="2810"/>
    <cellStyle name="集計 10 2 2 3 4" xfId="2811"/>
    <cellStyle name="集計 10 2 2 3 4 2" xfId="2812"/>
    <cellStyle name="集計 10 2 2 3 4 3" xfId="2813"/>
    <cellStyle name="集計 10 2 2 3 5" xfId="2814"/>
    <cellStyle name="集計 10 2 2 3 5 2" xfId="2815"/>
    <cellStyle name="集計 10 2 2 3 5 3" xfId="2816"/>
    <cellStyle name="集計 10 2 2 3 6" xfId="2817"/>
    <cellStyle name="集計 10 2 2 3 7" xfId="2818"/>
    <cellStyle name="集計 10 2 2 4" xfId="2819"/>
    <cellStyle name="集計 10 2 2 4 2" xfId="2820"/>
    <cellStyle name="集計 10 2 2 4 2 2" xfId="2821"/>
    <cellStyle name="集計 10 2 2 4 2 2 2" xfId="2822"/>
    <cellStyle name="集計 10 2 2 4 2 2 3" xfId="2823"/>
    <cellStyle name="集計 10 2 2 4 2 3" xfId="2824"/>
    <cellStyle name="集計 10 2 2 4 2 3 2" xfId="2825"/>
    <cellStyle name="集計 10 2 2 4 2 3 3" xfId="2826"/>
    <cellStyle name="集計 10 2 2 4 2 4" xfId="2827"/>
    <cellStyle name="集計 10 2 2 4 2 4 2" xfId="2828"/>
    <cellStyle name="集計 10 2 2 4 2 4 3" xfId="2829"/>
    <cellStyle name="集計 10 2 2 4 2 5" xfId="2830"/>
    <cellStyle name="集計 10 2 2 4 2 6" xfId="2831"/>
    <cellStyle name="集計 10 2 2 4 3" xfId="2832"/>
    <cellStyle name="集計 10 2 2 4 3 2" xfId="2833"/>
    <cellStyle name="集計 10 2 2 4 3 3" xfId="2834"/>
    <cellStyle name="集計 10 2 2 4 4" xfId="2835"/>
    <cellStyle name="集計 10 2 2 4 4 2" xfId="2836"/>
    <cellStyle name="集計 10 2 2 4 4 3" xfId="2837"/>
    <cellStyle name="集計 10 2 2 4 5" xfId="2838"/>
    <cellStyle name="集計 10 2 2 4 5 2" xfId="2839"/>
    <cellStyle name="集計 10 2 2 4 5 3" xfId="2840"/>
    <cellStyle name="集計 10 2 2 4 6" xfId="2841"/>
    <cellStyle name="集計 10 2 2 4 7" xfId="2842"/>
    <cellStyle name="集計 10 2 2 5" xfId="2843"/>
    <cellStyle name="集計 10 2 2 5 2" xfId="2844"/>
    <cellStyle name="集計 10 2 2 5 2 2" xfId="2845"/>
    <cellStyle name="集計 10 2 2 5 2 3" xfId="2846"/>
    <cellStyle name="集計 10 2 2 5 3" xfId="2847"/>
    <cellStyle name="集計 10 2 2 5 3 2" xfId="2848"/>
    <cellStyle name="集計 10 2 2 5 3 3" xfId="2849"/>
    <cellStyle name="集計 10 2 2 5 4" xfId="2850"/>
    <cellStyle name="集計 10 2 2 5 4 2" xfId="2851"/>
    <cellStyle name="集計 10 2 2 5 4 3" xfId="2852"/>
    <cellStyle name="集計 10 2 2 5 5" xfId="2853"/>
    <cellStyle name="集計 10 2 2 5 6" xfId="2854"/>
    <cellStyle name="集計 10 2 2 6" xfId="2855"/>
    <cellStyle name="集計 10 2 2 6 2" xfId="2856"/>
    <cellStyle name="集計 10 2 2 6 3" xfId="2857"/>
    <cellStyle name="集計 10 2 2 7" xfId="2858"/>
    <cellStyle name="集計 10 2 2 7 2" xfId="2859"/>
    <cellStyle name="集計 10 2 2 7 3" xfId="2860"/>
    <cellStyle name="集計 10 2 2 8" xfId="2861"/>
    <cellStyle name="集計 10 2 2 8 2" xfId="2862"/>
    <cellStyle name="集計 10 2 2 8 3" xfId="2863"/>
    <cellStyle name="集計 10 2 2 9" xfId="2864"/>
    <cellStyle name="集計 10 2 3" xfId="2865"/>
    <cellStyle name="集計 10 2 3 2" xfId="2866"/>
    <cellStyle name="集計 10 2 3 2 2" xfId="2867"/>
    <cellStyle name="集計 10 2 3 2 2 2" xfId="2868"/>
    <cellStyle name="集計 10 2 3 2 2 3" xfId="2869"/>
    <cellStyle name="集計 10 2 3 2 3" xfId="2870"/>
    <cellStyle name="集計 10 2 3 2 3 2" xfId="2871"/>
    <cellStyle name="集計 10 2 3 2 3 3" xfId="2872"/>
    <cellStyle name="集計 10 2 3 2 4" xfId="2873"/>
    <cellStyle name="集計 10 2 3 2 4 2" xfId="2874"/>
    <cellStyle name="集計 10 2 3 2 4 3" xfId="2875"/>
    <cellStyle name="集計 10 2 3 2 5" xfId="2876"/>
    <cellStyle name="集計 10 2 3 2 6" xfId="2877"/>
    <cellStyle name="集計 10 2 3 3" xfId="2878"/>
    <cellStyle name="集計 10 2 3 3 2" xfId="2879"/>
    <cellStyle name="集計 10 2 3 3 3" xfId="2880"/>
    <cellStyle name="集計 10 2 3 4" xfId="2881"/>
    <cellStyle name="集計 10 2 3 4 2" xfId="2882"/>
    <cellStyle name="集計 10 2 3 4 3" xfId="2883"/>
    <cellStyle name="集計 10 2 3 5" xfId="2884"/>
    <cellStyle name="集計 10 2 3 5 2" xfId="2885"/>
    <cellStyle name="集計 10 2 3 5 3" xfId="2886"/>
    <cellStyle name="集計 10 2 3 6" xfId="2887"/>
    <cellStyle name="集計 10 2 3 7" xfId="2888"/>
    <cellStyle name="集計 10 2 4" xfId="2889"/>
    <cellStyle name="集計 10 2 4 2" xfId="2890"/>
    <cellStyle name="集計 10 2 4 2 2" xfId="2891"/>
    <cellStyle name="集計 10 2 4 2 2 2" xfId="2892"/>
    <cellStyle name="集計 10 2 4 2 2 3" xfId="2893"/>
    <cellStyle name="集計 10 2 4 2 3" xfId="2894"/>
    <cellStyle name="集計 10 2 4 2 3 2" xfId="2895"/>
    <cellStyle name="集計 10 2 4 2 3 3" xfId="2896"/>
    <cellStyle name="集計 10 2 4 2 4" xfId="2897"/>
    <cellStyle name="集計 10 2 4 2 4 2" xfId="2898"/>
    <cellStyle name="集計 10 2 4 2 4 3" xfId="2899"/>
    <cellStyle name="集計 10 2 4 2 5" xfId="2900"/>
    <cellStyle name="集計 10 2 4 2 6" xfId="2901"/>
    <cellStyle name="集計 10 2 4 3" xfId="2902"/>
    <cellStyle name="集計 10 2 4 3 2" xfId="2903"/>
    <cellStyle name="集計 10 2 4 3 3" xfId="2904"/>
    <cellStyle name="集計 10 2 4 4" xfId="2905"/>
    <cellStyle name="集計 10 2 4 4 2" xfId="2906"/>
    <cellStyle name="集計 10 2 4 4 3" xfId="2907"/>
    <cellStyle name="集計 10 2 4 5" xfId="2908"/>
    <cellStyle name="集計 10 2 4 5 2" xfId="2909"/>
    <cellStyle name="集計 10 2 4 5 3" xfId="2910"/>
    <cellStyle name="集計 10 2 4 6" xfId="2911"/>
    <cellStyle name="集計 10 2 4 7" xfId="2912"/>
    <cellStyle name="集計 10 2 5" xfId="2913"/>
    <cellStyle name="集計 10 2 5 2" xfId="2914"/>
    <cellStyle name="集計 10 2 5 2 2" xfId="2915"/>
    <cellStyle name="集計 10 2 5 2 3" xfId="2916"/>
    <cellStyle name="集計 10 2 5 3" xfId="2917"/>
    <cellStyle name="集計 10 2 5 3 2" xfId="2918"/>
    <cellStyle name="集計 10 2 5 3 3" xfId="2919"/>
    <cellStyle name="集計 10 2 5 4" xfId="2920"/>
    <cellStyle name="集計 10 2 5 4 2" xfId="2921"/>
    <cellStyle name="集計 10 2 5 4 3" xfId="2922"/>
    <cellStyle name="集計 10 2 5 5" xfId="2923"/>
    <cellStyle name="集計 10 2 5 6" xfId="2924"/>
    <cellStyle name="集計 10 2 6" xfId="2925"/>
    <cellStyle name="集計 10 2 6 2" xfId="2926"/>
    <cellStyle name="集計 10 2 6 3" xfId="2927"/>
    <cellStyle name="集計 10 2 7" xfId="2928"/>
    <cellStyle name="集計 10 2 7 2" xfId="2929"/>
    <cellStyle name="集計 10 2 7 3" xfId="2930"/>
    <cellStyle name="集計 10 2 8" xfId="2931"/>
    <cellStyle name="集計 10 2 8 2" xfId="2932"/>
    <cellStyle name="集計 10 2 8 3" xfId="2933"/>
    <cellStyle name="集計 10 2 9" xfId="2934"/>
    <cellStyle name="集計 10 3" xfId="2935"/>
    <cellStyle name="集計 10 3 10" xfId="2936"/>
    <cellStyle name="集計 10 3 2" xfId="2937"/>
    <cellStyle name="集計 10 3 2 10" xfId="2938"/>
    <cellStyle name="集計 10 3 2 2" xfId="2939"/>
    <cellStyle name="集計 10 3 2 2 2" xfId="2940"/>
    <cellStyle name="集計 10 3 2 2 2 2" xfId="2941"/>
    <cellStyle name="集計 10 3 2 2 2 2 2" xfId="2942"/>
    <cellStyle name="集計 10 3 2 2 2 2 2 2" xfId="2943"/>
    <cellStyle name="集計 10 3 2 2 2 2 2 3" xfId="2944"/>
    <cellStyle name="集計 10 3 2 2 2 2 3" xfId="2945"/>
    <cellStyle name="集計 10 3 2 2 2 2 3 2" xfId="2946"/>
    <cellStyle name="集計 10 3 2 2 2 2 3 3" xfId="2947"/>
    <cellStyle name="集計 10 3 2 2 2 2 4" xfId="2948"/>
    <cellStyle name="集計 10 3 2 2 2 2 4 2" xfId="2949"/>
    <cellStyle name="集計 10 3 2 2 2 2 4 3" xfId="2950"/>
    <cellStyle name="集計 10 3 2 2 2 2 5" xfId="2951"/>
    <cellStyle name="集計 10 3 2 2 2 2 6" xfId="2952"/>
    <cellStyle name="集計 10 3 2 2 2 3" xfId="2953"/>
    <cellStyle name="集計 10 3 2 2 2 3 2" xfId="2954"/>
    <cellStyle name="集計 10 3 2 2 2 3 3" xfId="2955"/>
    <cellStyle name="集計 10 3 2 2 2 4" xfId="2956"/>
    <cellStyle name="集計 10 3 2 2 2 4 2" xfId="2957"/>
    <cellStyle name="集計 10 3 2 2 2 4 3" xfId="2958"/>
    <cellStyle name="集計 10 3 2 2 2 5" xfId="2959"/>
    <cellStyle name="集計 10 3 2 2 2 5 2" xfId="2960"/>
    <cellStyle name="集計 10 3 2 2 2 5 3" xfId="2961"/>
    <cellStyle name="集計 10 3 2 2 2 6" xfId="2962"/>
    <cellStyle name="集計 10 3 2 2 2 7" xfId="2963"/>
    <cellStyle name="集計 10 3 2 2 3" xfId="2964"/>
    <cellStyle name="集計 10 3 2 2 3 2" xfId="2965"/>
    <cellStyle name="集計 10 3 2 2 3 2 2" xfId="2966"/>
    <cellStyle name="集計 10 3 2 2 3 2 2 2" xfId="2967"/>
    <cellStyle name="集計 10 3 2 2 3 2 2 3" xfId="2968"/>
    <cellStyle name="集計 10 3 2 2 3 2 3" xfId="2969"/>
    <cellStyle name="集計 10 3 2 2 3 2 3 2" xfId="2970"/>
    <cellStyle name="集計 10 3 2 2 3 2 3 3" xfId="2971"/>
    <cellStyle name="集計 10 3 2 2 3 2 4" xfId="2972"/>
    <cellStyle name="集計 10 3 2 2 3 2 4 2" xfId="2973"/>
    <cellStyle name="集計 10 3 2 2 3 2 4 3" xfId="2974"/>
    <cellStyle name="集計 10 3 2 2 3 2 5" xfId="2975"/>
    <cellStyle name="集計 10 3 2 2 3 2 6" xfId="2976"/>
    <cellStyle name="集計 10 3 2 2 3 3" xfId="2977"/>
    <cellStyle name="集計 10 3 2 2 3 3 2" xfId="2978"/>
    <cellStyle name="集計 10 3 2 2 3 3 3" xfId="2979"/>
    <cellStyle name="集計 10 3 2 2 3 4" xfId="2980"/>
    <cellStyle name="集計 10 3 2 2 3 4 2" xfId="2981"/>
    <cellStyle name="集計 10 3 2 2 3 4 3" xfId="2982"/>
    <cellStyle name="集計 10 3 2 2 3 5" xfId="2983"/>
    <cellStyle name="集計 10 3 2 2 3 5 2" xfId="2984"/>
    <cellStyle name="集計 10 3 2 2 3 5 3" xfId="2985"/>
    <cellStyle name="集計 10 3 2 2 3 6" xfId="2986"/>
    <cellStyle name="集計 10 3 2 2 3 7" xfId="2987"/>
    <cellStyle name="集計 10 3 2 2 4" xfId="2988"/>
    <cellStyle name="集計 10 3 2 2 4 2" xfId="2989"/>
    <cellStyle name="集計 10 3 2 2 4 2 2" xfId="2990"/>
    <cellStyle name="集計 10 3 2 2 4 2 3" xfId="2991"/>
    <cellStyle name="集計 10 3 2 2 4 3" xfId="2992"/>
    <cellStyle name="集計 10 3 2 2 4 3 2" xfId="2993"/>
    <cellStyle name="集計 10 3 2 2 4 3 3" xfId="2994"/>
    <cellStyle name="集計 10 3 2 2 4 4" xfId="2995"/>
    <cellStyle name="集計 10 3 2 2 4 4 2" xfId="2996"/>
    <cellStyle name="集計 10 3 2 2 4 4 3" xfId="2997"/>
    <cellStyle name="集計 10 3 2 2 4 5" xfId="2998"/>
    <cellStyle name="集計 10 3 2 2 4 6" xfId="2999"/>
    <cellStyle name="集計 10 3 2 2 5" xfId="3000"/>
    <cellStyle name="集計 10 3 2 2 5 2" xfId="3001"/>
    <cellStyle name="集計 10 3 2 2 5 3" xfId="3002"/>
    <cellStyle name="集計 10 3 2 2 6" xfId="3003"/>
    <cellStyle name="集計 10 3 2 2 6 2" xfId="3004"/>
    <cellStyle name="集計 10 3 2 2 6 3" xfId="3005"/>
    <cellStyle name="集計 10 3 2 2 7" xfId="3006"/>
    <cellStyle name="集計 10 3 2 2 7 2" xfId="3007"/>
    <cellStyle name="集計 10 3 2 2 7 3" xfId="3008"/>
    <cellStyle name="集計 10 3 2 2 8" xfId="3009"/>
    <cellStyle name="集計 10 3 2 2 9" xfId="3010"/>
    <cellStyle name="集計 10 3 2 3" xfId="3011"/>
    <cellStyle name="集計 10 3 2 3 2" xfId="3012"/>
    <cellStyle name="集計 10 3 2 3 2 2" xfId="3013"/>
    <cellStyle name="集計 10 3 2 3 2 2 2" xfId="3014"/>
    <cellStyle name="集計 10 3 2 3 2 2 3" xfId="3015"/>
    <cellStyle name="集計 10 3 2 3 2 3" xfId="3016"/>
    <cellStyle name="集計 10 3 2 3 2 3 2" xfId="3017"/>
    <cellStyle name="集計 10 3 2 3 2 3 3" xfId="3018"/>
    <cellStyle name="集計 10 3 2 3 2 4" xfId="3019"/>
    <cellStyle name="集計 10 3 2 3 2 4 2" xfId="3020"/>
    <cellStyle name="集計 10 3 2 3 2 4 3" xfId="3021"/>
    <cellStyle name="集計 10 3 2 3 2 5" xfId="3022"/>
    <cellStyle name="集計 10 3 2 3 2 6" xfId="3023"/>
    <cellStyle name="集計 10 3 2 3 3" xfId="3024"/>
    <cellStyle name="集計 10 3 2 3 3 2" xfId="3025"/>
    <cellStyle name="集計 10 3 2 3 3 3" xfId="3026"/>
    <cellStyle name="集計 10 3 2 3 4" xfId="3027"/>
    <cellStyle name="集計 10 3 2 3 4 2" xfId="3028"/>
    <cellStyle name="集計 10 3 2 3 4 3" xfId="3029"/>
    <cellStyle name="集計 10 3 2 3 5" xfId="3030"/>
    <cellStyle name="集計 10 3 2 3 5 2" xfId="3031"/>
    <cellStyle name="集計 10 3 2 3 5 3" xfId="3032"/>
    <cellStyle name="集計 10 3 2 3 6" xfId="3033"/>
    <cellStyle name="集計 10 3 2 3 7" xfId="3034"/>
    <cellStyle name="集計 10 3 2 4" xfId="3035"/>
    <cellStyle name="集計 10 3 2 4 2" xfId="3036"/>
    <cellStyle name="集計 10 3 2 4 2 2" xfId="3037"/>
    <cellStyle name="集計 10 3 2 4 2 2 2" xfId="3038"/>
    <cellStyle name="集計 10 3 2 4 2 2 3" xfId="3039"/>
    <cellStyle name="集計 10 3 2 4 2 3" xfId="3040"/>
    <cellStyle name="集計 10 3 2 4 2 3 2" xfId="3041"/>
    <cellStyle name="集計 10 3 2 4 2 3 3" xfId="3042"/>
    <cellStyle name="集計 10 3 2 4 2 4" xfId="3043"/>
    <cellStyle name="集計 10 3 2 4 2 4 2" xfId="3044"/>
    <cellStyle name="集計 10 3 2 4 2 4 3" xfId="3045"/>
    <cellStyle name="集計 10 3 2 4 2 5" xfId="3046"/>
    <cellStyle name="集計 10 3 2 4 2 6" xfId="3047"/>
    <cellStyle name="集計 10 3 2 4 3" xfId="3048"/>
    <cellStyle name="集計 10 3 2 4 3 2" xfId="3049"/>
    <cellStyle name="集計 10 3 2 4 3 3" xfId="3050"/>
    <cellStyle name="集計 10 3 2 4 4" xfId="3051"/>
    <cellStyle name="集計 10 3 2 4 4 2" xfId="3052"/>
    <cellStyle name="集計 10 3 2 4 4 3" xfId="3053"/>
    <cellStyle name="集計 10 3 2 4 5" xfId="3054"/>
    <cellStyle name="集計 10 3 2 4 5 2" xfId="3055"/>
    <cellStyle name="集計 10 3 2 4 5 3" xfId="3056"/>
    <cellStyle name="集計 10 3 2 4 6" xfId="3057"/>
    <cellStyle name="集計 10 3 2 4 7" xfId="3058"/>
    <cellStyle name="集計 10 3 2 5" xfId="3059"/>
    <cellStyle name="集計 10 3 2 5 2" xfId="3060"/>
    <cellStyle name="集計 10 3 2 5 2 2" xfId="3061"/>
    <cellStyle name="集計 10 3 2 5 2 3" xfId="3062"/>
    <cellStyle name="集計 10 3 2 5 3" xfId="3063"/>
    <cellStyle name="集計 10 3 2 5 3 2" xfId="3064"/>
    <cellStyle name="集計 10 3 2 5 3 3" xfId="3065"/>
    <cellStyle name="集計 10 3 2 5 4" xfId="3066"/>
    <cellStyle name="集計 10 3 2 5 4 2" xfId="3067"/>
    <cellStyle name="集計 10 3 2 5 4 3" xfId="3068"/>
    <cellStyle name="集計 10 3 2 5 5" xfId="3069"/>
    <cellStyle name="集計 10 3 2 5 6" xfId="3070"/>
    <cellStyle name="集計 10 3 2 6" xfId="3071"/>
    <cellStyle name="集計 10 3 2 6 2" xfId="3072"/>
    <cellStyle name="集計 10 3 2 6 3" xfId="3073"/>
    <cellStyle name="集計 10 3 2 7" xfId="3074"/>
    <cellStyle name="集計 10 3 2 7 2" xfId="3075"/>
    <cellStyle name="集計 10 3 2 7 3" xfId="3076"/>
    <cellStyle name="集計 10 3 2 8" xfId="3077"/>
    <cellStyle name="集計 10 3 2 8 2" xfId="3078"/>
    <cellStyle name="集計 10 3 2 8 3" xfId="3079"/>
    <cellStyle name="集計 10 3 2 9" xfId="3080"/>
    <cellStyle name="集計 10 3 3" xfId="3081"/>
    <cellStyle name="集計 10 3 3 2" xfId="3082"/>
    <cellStyle name="集計 10 3 3 2 2" xfId="3083"/>
    <cellStyle name="集計 10 3 3 2 2 2" xfId="3084"/>
    <cellStyle name="集計 10 3 3 2 2 3" xfId="3085"/>
    <cellStyle name="集計 10 3 3 2 3" xfId="3086"/>
    <cellStyle name="集計 10 3 3 2 3 2" xfId="3087"/>
    <cellStyle name="集計 10 3 3 2 3 3" xfId="3088"/>
    <cellStyle name="集計 10 3 3 2 4" xfId="3089"/>
    <cellStyle name="集計 10 3 3 2 4 2" xfId="3090"/>
    <cellStyle name="集計 10 3 3 2 4 3" xfId="3091"/>
    <cellStyle name="集計 10 3 3 2 5" xfId="3092"/>
    <cellStyle name="集計 10 3 3 2 6" xfId="3093"/>
    <cellStyle name="集計 10 3 3 3" xfId="3094"/>
    <cellStyle name="集計 10 3 3 3 2" xfId="3095"/>
    <cellStyle name="集計 10 3 3 3 3" xfId="3096"/>
    <cellStyle name="集計 10 3 3 4" xfId="3097"/>
    <cellStyle name="集計 10 3 3 4 2" xfId="3098"/>
    <cellStyle name="集計 10 3 3 4 3" xfId="3099"/>
    <cellStyle name="集計 10 3 3 5" xfId="3100"/>
    <cellStyle name="集計 10 3 3 5 2" xfId="3101"/>
    <cellStyle name="集計 10 3 3 5 3" xfId="3102"/>
    <cellStyle name="集計 10 3 3 6" xfId="3103"/>
    <cellStyle name="集計 10 3 3 7" xfId="3104"/>
    <cellStyle name="集計 10 3 4" xfId="3105"/>
    <cellStyle name="集計 10 3 4 2" xfId="3106"/>
    <cellStyle name="集計 10 3 4 2 2" xfId="3107"/>
    <cellStyle name="集計 10 3 4 2 2 2" xfId="3108"/>
    <cellStyle name="集計 10 3 4 2 2 3" xfId="3109"/>
    <cellStyle name="集計 10 3 4 2 3" xfId="3110"/>
    <cellStyle name="集計 10 3 4 2 3 2" xfId="3111"/>
    <cellStyle name="集計 10 3 4 2 3 3" xfId="3112"/>
    <cellStyle name="集計 10 3 4 2 4" xfId="3113"/>
    <cellStyle name="集計 10 3 4 2 4 2" xfId="3114"/>
    <cellStyle name="集計 10 3 4 2 4 3" xfId="3115"/>
    <cellStyle name="集計 10 3 4 2 5" xfId="3116"/>
    <cellStyle name="集計 10 3 4 2 6" xfId="3117"/>
    <cellStyle name="集計 10 3 4 3" xfId="3118"/>
    <cellStyle name="集計 10 3 4 3 2" xfId="3119"/>
    <cellStyle name="集計 10 3 4 3 3" xfId="3120"/>
    <cellStyle name="集計 10 3 4 4" xfId="3121"/>
    <cellStyle name="集計 10 3 4 4 2" xfId="3122"/>
    <cellStyle name="集計 10 3 4 4 3" xfId="3123"/>
    <cellStyle name="集計 10 3 4 5" xfId="3124"/>
    <cellStyle name="集計 10 3 4 5 2" xfId="3125"/>
    <cellStyle name="集計 10 3 4 5 3" xfId="3126"/>
    <cellStyle name="集計 10 3 4 6" xfId="3127"/>
    <cellStyle name="集計 10 3 4 7" xfId="3128"/>
    <cellStyle name="集計 10 3 5" xfId="3129"/>
    <cellStyle name="集計 10 3 5 2" xfId="3130"/>
    <cellStyle name="集計 10 3 5 2 2" xfId="3131"/>
    <cellStyle name="集計 10 3 5 2 3" xfId="3132"/>
    <cellStyle name="集計 10 3 5 3" xfId="3133"/>
    <cellStyle name="集計 10 3 5 3 2" xfId="3134"/>
    <cellStyle name="集計 10 3 5 3 3" xfId="3135"/>
    <cellStyle name="集計 10 3 5 4" xfId="3136"/>
    <cellStyle name="集計 10 3 5 4 2" xfId="3137"/>
    <cellStyle name="集計 10 3 5 4 3" xfId="3138"/>
    <cellStyle name="集計 10 3 5 5" xfId="3139"/>
    <cellStyle name="集計 10 3 5 6" xfId="3140"/>
    <cellStyle name="集計 10 3 6" xfId="3141"/>
    <cellStyle name="集計 10 3 6 2" xfId="3142"/>
    <cellStyle name="集計 10 3 6 3" xfId="3143"/>
    <cellStyle name="集計 10 3 7" xfId="3144"/>
    <cellStyle name="集計 10 3 7 2" xfId="3145"/>
    <cellStyle name="集計 10 3 7 3" xfId="3146"/>
    <cellStyle name="集計 10 3 8" xfId="3147"/>
    <cellStyle name="集計 10 3 8 2" xfId="3148"/>
    <cellStyle name="集計 10 3 8 3" xfId="3149"/>
    <cellStyle name="集計 10 3 9" xfId="3150"/>
    <cellStyle name="集計 10 4" xfId="3151"/>
    <cellStyle name="集計 10 4 10" xfId="3152"/>
    <cellStyle name="集計 10 4 2" xfId="3153"/>
    <cellStyle name="集計 10 4 2 10" xfId="3154"/>
    <cellStyle name="集計 10 4 2 2" xfId="3155"/>
    <cellStyle name="集計 10 4 2 2 2" xfId="3156"/>
    <cellStyle name="集計 10 4 2 2 2 2" xfId="3157"/>
    <cellStyle name="集計 10 4 2 2 2 2 2" xfId="3158"/>
    <cellStyle name="集計 10 4 2 2 2 2 2 2" xfId="3159"/>
    <cellStyle name="集計 10 4 2 2 2 2 2 3" xfId="3160"/>
    <cellStyle name="集計 10 4 2 2 2 2 3" xfId="3161"/>
    <cellStyle name="集計 10 4 2 2 2 2 3 2" xfId="3162"/>
    <cellStyle name="集計 10 4 2 2 2 2 3 3" xfId="3163"/>
    <cellStyle name="集計 10 4 2 2 2 2 4" xfId="3164"/>
    <cellStyle name="集計 10 4 2 2 2 2 4 2" xfId="3165"/>
    <cellStyle name="集計 10 4 2 2 2 2 4 3" xfId="3166"/>
    <cellStyle name="集計 10 4 2 2 2 2 5" xfId="3167"/>
    <cellStyle name="集計 10 4 2 2 2 2 6" xfId="3168"/>
    <cellStyle name="集計 10 4 2 2 2 3" xfId="3169"/>
    <cellStyle name="集計 10 4 2 2 2 3 2" xfId="3170"/>
    <cellStyle name="集計 10 4 2 2 2 3 3" xfId="3171"/>
    <cellStyle name="集計 10 4 2 2 2 4" xfId="3172"/>
    <cellStyle name="集計 10 4 2 2 2 4 2" xfId="3173"/>
    <cellStyle name="集計 10 4 2 2 2 4 3" xfId="3174"/>
    <cellStyle name="集計 10 4 2 2 2 5" xfId="3175"/>
    <cellStyle name="集計 10 4 2 2 2 5 2" xfId="3176"/>
    <cellStyle name="集計 10 4 2 2 2 5 3" xfId="3177"/>
    <cellStyle name="集計 10 4 2 2 2 6" xfId="3178"/>
    <cellStyle name="集計 10 4 2 2 2 7" xfId="3179"/>
    <cellStyle name="集計 10 4 2 2 3" xfId="3180"/>
    <cellStyle name="集計 10 4 2 2 3 2" xfId="3181"/>
    <cellStyle name="集計 10 4 2 2 3 2 2" xfId="3182"/>
    <cellStyle name="集計 10 4 2 2 3 2 2 2" xfId="3183"/>
    <cellStyle name="集計 10 4 2 2 3 2 2 3" xfId="3184"/>
    <cellStyle name="集計 10 4 2 2 3 2 3" xfId="3185"/>
    <cellStyle name="集計 10 4 2 2 3 2 3 2" xfId="3186"/>
    <cellStyle name="集計 10 4 2 2 3 2 3 3" xfId="3187"/>
    <cellStyle name="集計 10 4 2 2 3 2 4" xfId="3188"/>
    <cellStyle name="集計 10 4 2 2 3 2 4 2" xfId="3189"/>
    <cellStyle name="集計 10 4 2 2 3 2 4 3" xfId="3190"/>
    <cellStyle name="集計 10 4 2 2 3 2 5" xfId="3191"/>
    <cellStyle name="集計 10 4 2 2 3 2 6" xfId="3192"/>
    <cellStyle name="集計 10 4 2 2 3 3" xfId="3193"/>
    <cellStyle name="集計 10 4 2 2 3 3 2" xfId="3194"/>
    <cellStyle name="集計 10 4 2 2 3 3 3" xfId="3195"/>
    <cellStyle name="集計 10 4 2 2 3 4" xfId="3196"/>
    <cellStyle name="集計 10 4 2 2 3 4 2" xfId="3197"/>
    <cellStyle name="集計 10 4 2 2 3 4 3" xfId="3198"/>
    <cellStyle name="集計 10 4 2 2 3 5" xfId="3199"/>
    <cellStyle name="集計 10 4 2 2 3 5 2" xfId="3200"/>
    <cellStyle name="集計 10 4 2 2 3 5 3" xfId="3201"/>
    <cellStyle name="集計 10 4 2 2 3 6" xfId="3202"/>
    <cellStyle name="集計 10 4 2 2 3 7" xfId="3203"/>
    <cellStyle name="集計 10 4 2 2 4" xfId="3204"/>
    <cellStyle name="集計 10 4 2 2 4 2" xfId="3205"/>
    <cellStyle name="集計 10 4 2 2 4 2 2" xfId="3206"/>
    <cellStyle name="集計 10 4 2 2 4 2 3" xfId="3207"/>
    <cellStyle name="集計 10 4 2 2 4 3" xfId="3208"/>
    <cellStyle name="集計 10 4 2 2 4 3 2" xfId="3209"/>
    <cellStyle name="集計 10 4 2 2 4 3 3" xfId="3210"/>
    <cellStyle name="集計 10 4 2 2 4 4" xfId="3211"/>
    <cellStyle name="集計 10 4 2 2 4 4 2" xfId="3212"/>
    <cellStyle name="集計 10 4 2 2 4 4 3" xfId="3213"/>
    <cellStyle name="集計 10 4 2 2 4 5" xfId="3214"/>
    <cellStyle name="集計 10 4 2 2 4 6" xfId="3215"/>
    <cellStyle name="集計 10 4 2 2 5" xfId="3216"/>
    <cellStyle name="集計 10 4 2 2 5 2" xfId="3217"/>
    <cellStyle name="集計 10 4 2 2 5 3" xfId="3218"/>
    <cellStyle name="集計 10 4 2 2 6" xfId="3219"/>
    <cellStyle name="集計 10 4 2 2 6 2" xfId="3220"/>
    <cellStyle name="集計 10 4 2 2 6 3" xfId="3221"/>
    <cellStyle name="集計 10 4 2 2 7" xfId="3222"/>
    <cellStyle name="集計 10 4 2 2 7 2" xfId="3223"/>
    <cellStyle name="集計 10 4 2 2 7 3" xfId="3224"/>
    <cellStyle name="集計 10 4 2 2 8" xfId="3225"/>
    <cellStyle name="集計 10 4 2 2 9" xfId="3226"/>
    <cellStyle name="集計 10 4 2 3" xfId="3227"/>
    <cellStyle name="集計 10 4 2 3 2" xfId="3228"/>
    <cellStyle name="集計 10 4 2 3 2 2" xfId="3229"/>
    <cellStyle name="集計 10 4 2 3 2 2 2" xfId="3230"/>
    <cellStyle name="集計 10 4 2 3 2 2 3" xfId="3231"/>
    <cellStyle name="集計 10 4 2 3 2 3" xfId="3232"/>
    <cellStyle name="集計 10 4 2 3 2 3 2" xfId="3233"/>
    <cellStyle name="集計 10 4 2 3 2 3 3" xfId="3234"/>
    <cellStyle name="集計 10 4 2 3 2 4" xfId="3235"/>
    <cellStyle name="集計 10 4 2 3 2 4 2" xfId="3236"/>
    <cellStyle name="集計 10 4 2 3 2 4 3" xfId="3237"/>
    <cellStyle name="集計 10 4 2 3 2 5" xfId="3238"/>
    <cellStyle name="集計 10 4 2 3 2 6" xfId="3239"/>
    <cellStyle name="集計 10 4 2 3 3" xfId="3240"/>
    <cellStyle name="集計 10 4 2 3 3 2" xfId="3241"/>
    <cellStyle name="集計 10 4 2 3 3 3" xfId="3242"/>
    <cellStyle name="集計 10 4 2 3 4" xfId="3243"/>
    <cellStyle name="集計 10 4 2 3 4 2" xfId="3244"/>
    <cellStyle name="集計 10 4 2 3 4 3" xfId="3245"/>
    <cellStyle name="集計 10 4 2 3 5" xfId="3246"/>
    <cellStyle name="集計 10 4 2 3 5 2" xfId="3247"/>
    <cellStyle name="集計 10 4 2 3 5 3" xfId="3248"/>
    <cellStyle name="集計 10 4 2 3 6" xfId="3249"/>
    <cellStyle name="集計 10 4 2 3 7" xfId="3250"/>
    <cellStyle name="集計 10 4 2 4" xfId="3251"/>
    <cellStyle name="集計 10 4 2 4 2" xfId="3252"/>
    <cellStyle name="集計 10 4 2 4 2 2" xfId="3253"/>
    <cellStyle name="集計 10 4 2 4 2 2 2" xfId="3254"/>
    <cellStyle name="集計 10 4 2 4 2 2 3" xfId="3255"/>
    <cellStyle name="集計 10 4 2 4 2 3" xfId="3256"/>
    <cellStyle name="集計 10 4 2 4 2 3 2" xfId="3257"/>
    <cellStyle name="集計 10 4 2 4 2 3 3" xfId="3258"/>
    <cellStyle name="集計 10 4 2 4 2 4" xfId="3259"/>
    <cellStyle name="集計 10 4 2 4 2 4 2" xfId="3260"/>
    <cellStyle name="集計 10 4 2 4 2 4 3" xfId="3261"/>
    <cellStyle name="集計 10 4 2 4 2 5" xfId="3262"/>
    <cellStyle name="集計 10 4 2 4 2 6" xfId="3263"/>
    <cellStyle name="集計 10 4 2 4 3" xfId="3264"/>
    <cellStyle name="集計 10 4 2 4 3 2" xfId="3265"/>
    <cellStyle name="集計 10 4 2 4 3 3" xfId="3266"/>
    <cellStyle name="集計 10 4 2 4 4" xfId="3267"/>
    <cellStyle name="集計 10 4 2 4 4 2" xfId="3268"/>
    <cellStyle name="集計 10 4 2 4 4 3" xfId="3269"/>
    <cellStyle name="集計 10 4 2 4 5" xfId="3270"/>
    <cellStyle name="集計 10 4 2 4 5 2" xfId="3271"/>
    <cellStyle name="集計 10 4 2 4 5 3" xfId="3272"/>
    <cellStyle name="集計 10 4 2 4 6" xfId="3273"/>
    <cellStyle name="集計 10 4 2 4 7" xfId="3274"/>
    <cellStyle name="集計 10 4 2 5" xfId="3275"/>
    <cellStyle name="集計 10 4 2 5 2" xfId="3276"/>
    <cellStyle name="集計 10 4 2 5 2 2" xfId="3277"/>
    <cellStyle name="集計 10 4 2 5 2 3" xfId="3278"/>
    <cellStyle name="集計 10 4 2 5 3" xfId="3279"/>
    <cellStyle name="集計 10 4 2 5 3 2" xfId="3280"/>
    <cellStyle name="集計 10 4 2 5 3 3" xfId="3281"/>
    <cellStyle name="集計 10 4 2 5 4" xfId="3282"/>
    <cellStyle name="集計 10 4 2 5 4 2" xfId="3283"/>
    <cellStyle name="集計 10 4 2 5 4 3" xfId="3284"/>
    <cellStyle name="集計 10 4 2 5 5" xfId="3285"/>
    <cellStyle name="集計 10 4 2 5 6" xfId="3286"/>
    <cellStyle name="集計 10 4 2 6" xfId="3287"/>
    <cellStyle name="集計 10 4 2 6 2" xfId="3288"/>
    <cellStyle name="集計 10 4 2 6 3" xfId="3289"/>
    <cellStyle name="集計 10 4 2 7" xfId="3290"/>
    <cellStyle name="集計 10 4 2 7 2" xfId="3291"/>
    <cellStyle name="集計 10 4 2 7 3" xfId="3292"/>
    <cellStyle name="集計 10 4 2 8" xfId="3293"/>
    <cellStyle name="集計 10 4 2 8 2" xfId="3294"/>
    <cellStyle name="集計 10 4 2 8 3" xfId="3295"/>
    <cellStyle name="集計 10 4 2 9" xfId="3296"/>
    <cellStyle name="集計 10 4 3" xfId="3297"/>
    <cellStyle name="集計 10 4 3 2" xfId="3298"/>
    <cellStyle name="集計 10 4 3 2 2" xfId="3299"/>
    <cellStyle name="集計 10 4 3 2 2 2" xfId="3300"/>
    <cellStyle name="集計 10 4 3 2 2 3" xfId="3301"/>
    <cellStyle name="集計 10 4 3 2 3" xfId="3302"/>
    <cellStyle name="集計 10 4 3 2 3 2" xfId="3303"/>
    <cellStyle name="集計 10 4 3 2 3 3" xfId="3304"/>
    <cellStyle name="集計 10 4 3 2 4" xfId="3305"/>
    <cellStyle name="集計 10 4 3 2 4 2" xfId="3306"/>
    <cellStyle name="集計 10 4 3 2 4 3" xfId="3307"/>
    <cellStyle name="集計 10 4 3 2 5" xfId="3308"/>
    <cellStyle name="集計 10 4 3 2 6" xfId="3309"/>
    <cellStyle name="集計 10 4 3 3" xfId="3310"/>
    <cellStyle name="集計 10 4 3 3 2" xfId="3311"/>
    <cellStyle name="集計 10 4 3 3 3" xfId="3312"/>
    <cellStyle name="集計 10 4 3 4" xfId="3313"/>
    <cellStyle name="集計 10 4 3 4 2" xfId="3314"/>
    <cellStyle name="集計 10 4 3 4 3" xfId="3315"/>
    <cellStyle name="集計 10 4 3 5" xfId="3316"/>
    <cellStyle name="集計 10 4 3 5 2" xfId="3317"/>
    <cellStyle name="集計 10 4 3 5 3" xfId="3318"/>
    <cellStyle name="集計 10 4 3 6" xfId="3319"/>
    <cellStyle name="集計 10 4 3 7" xfId="3320"/>
    <cellStyle name="集計 10 4 4" xfId="3321"/>
    <cellStyle name="集計 10 4 4 2" xfId="3322"/>
    <cellStyle name="集計 10 4 4 2 2" xfId="3323"/>
    <cellStyle name="集計 10 4 4 2 2 2" xfId="3324"/>
    <cellStyle name="集計 10 4 4 2 2 3" xfId="3325"/>
    <cellStyle name="集計 10 4 4 2 3" xfId="3326"/>
    <cellStyle name="集計 10 4 4 2 3 2" xfId="3327"/>
    <cellStyle name="集計 10 4 4 2 3 3" xfId="3328"/>
    <cellStyle name="集計 10 4 4 2 4" xfId="3329"/>
    <cellStyle name="集計 10 4 4 2 4 2" xfId="3330"/>
    <cellStyle name="集計 10 4 4 2 4 3" xfId="3331"/>
    <cellStyle name="集計 10 4 4 2 5" xfId="3332"/>
    <cellStyle name="集計 10 4 4 2 6" xfId="3333"/>
    <cellStyle name="集計 10 4 4 3" xfId="3334"/>
    <cellStyle name="集計 10 4 4 3 2" xfId="3335"/>
    <cellStyle name="集計 10 4 4 3 3" xfId="3336"/>
    <cellStyle name="集計 10 4 4 4" xfId="3337"/>
    <cellStyle name="集計 10 4 4 4 2" xfId="3338"/>
    <cellStyle name="集計 10 4 4 4 3" xfId="3339"/>
    <cellStyle name="集計 10 4 4 5" xfId="3340"/>
    <cellStyle name="集計 10 4 4 5 2" xfId="3341"/>
    <cellStyle name="集計 10 4 4 5 3" xfId="3342"/>
    <cellStyle name="集計 10 4 4 6" xfId="3343"/>
    <cellStyle name="集計 10 4 4 7" xfId="3344"/>
    <cellStyle name="集計 10 4 5" xfId="3345"/>
    <cellStyle name="集計 10 4 5 2" xfId="3346"/>
    <cellStyle name="集計 10 4 5 2 2" xfId="3347"/>
    <cellStyle name="集計 10 4 5 2 3" xfId="3348"/>
    <cellStyle name="集計 10 4 5 3" xfId="3349"/>
    <cellStyle name="集計 10 4 5 3 2" xfId="3350"/>
    <cellStyle name="集計 10 4 5 3 3" xfId="3351"/>
    <cellStyle name="集計 10 4 5 4" xfId="3352"/>
    <cellStyle name="集計 10 4 5 4 2" xfId="3353"/>
    <cellStyle name="集計 10 4 5 4 3" xfId="3354"/>
    <cellStyle name="集計 10 4 5 5" xfId="3355"/>
    <cellStyle name="集計 10 4 5 6" xfId="3356"/>
    <cellStyle name="集計 10 4 6" xfId="3357"/>
    <cellStyle name="集計 10 4 6 2" xfId="3358"/>
    <cellStyle name="集計 10 4 6 3" xfId="3359"/>
    <cellStyle name="集計 10 4 7" xfId="3360"/>
    <cellStyle name="集計 10 4 7 2" xfId="3361"/>
    <cellStyle name="集計 10 4 7 3" xfId="3362"/>
    <cellStyle name="集計 10 4 8" xfId="3363"/>
    <cellStyle name="集計 10 4 8 2" xfId="3364"/>
    <cellStyle name="集計 10 4 8 3" xfId="3365"/>
    <cellStyle name="集計 10 4 9" xfId="3366"/>
    <cellStyle name="集計 10 5" xfId="3367"/>
    <cellStyle name="集計 10 5 10" xfId="3368"/>
    <cellStyle name="集計 10 5 2" xfId="3369"/>
    <cellStyle name="集計 10 5 2 2" xfId="3370"/>
    <cellStyle name="集計 10 5 2 2 2" xfId="3371"/>
    <cellStyle name="集計 10 5 2 2 2 2" xfId="3372"/>
    <cellStyle name="集計 10 5 2 2 2 2 2" xfId="3373"/>
    <cellStyle name="集計 10 5 2 2 2 2 3" xfId="3374"/>
    <cellStyle name="集計 10 5 2 2 2 3" xfId="3375"/>
    <cellStyle name="集計 10 5 2 2 2 3 2" xfId="3376"/>
    <cellStyle name="集計 10 5 2 2 2 3 3" xfId="3377"/>
    <cellStyle name="集計 10 5 2 2 2 4" xfId="3378"/>
    <cellStyle name="集計 10 5 2 2 2 4 2" xfId="3379"/>
    <cellStyle name="集計 10 5 2 2 2 4 3" xfId="3380"/>
    <cellStyle name="集計 10 5 2 2 2 5" xfId="3381"/>
    <cellStyle name="集計 10 5 2 2 2 6" xfId="3382"/>
    <cellStyle name="集計 10 5 2 2 3" xfId="3383"/>
    <cellStyle name="集計 10 5 2 2 3 2" xfId="3384"/>
    <cellStyle name="集計 10 5 2 2 3 3" xfId="3385"/>
    <cellStyle name="集計 10 5 2 2 4" xfId="3386"/>
    <cellStyle name="集計 10 5 2 2 4 2" xfId="3387"/>
    <cellStyle name="集計 10 5 2 2 4 3" xfId="3388"/>
    <cellStyle name="集計 10 5 2 2 5" xfId="3389"/>
    <cellStyle name="集計 10 5 2 2 5 2" xfId="3390"/>
    <cellStyle name="集計 10 5 2 2 5 3" xfId="3391"/>
    <cellStyle name="集計 10 5 2 2 6" xfId="3392"/>
    <cellStyle name="集計 10 5 2 2 7" xfId="3393"/>
    <cellStyle name="集計 10 5 2 3" xfId="3394"/>
    <cellStyle name="集計 10 5 2 3 2" xfId="3395"/>
    <cellStyle name="集計 10 5 2 3 2 2" xfId="3396"/>
    <cellStyle name="集計 10 5 2 3 2 2 2" xfId="3397"/>
    <cellStyle name="集計 10 5 2 3 2 2 3" xfId="3398"/>
    <cellStyle name="集計 10 5 2 3 2 3" xfId="3399"/>
    <cellStyle name="集計 10 5 2 3 2 3 2" xfId="3400"/>
    <cellStyle name="集計 10 5 2 3 2 3 3" xfId="3401"/>
    <cellStyle name="集計 10 5 2 3 2 4" xfId="3402"/>
    <cellStyle name="集計 10 5 2 3 2 4 2" xfId="3403"/>
    <cellStyle name="集計 10 5 2 3 2 4 3" xfId="3404"/>
    <cellStyle name="集計 10 5 2 3 2 5" xfId="3405"/>
    <cellStyle name="集計 10 5 2 3 2 6" xfId="3406"/>
    <cellStyle name="集計 10 5 2 3 3" xfId="3407"/>
    <cellStyle name="集計 10 5 2 3 3 2" xfId="3408"/>
    <cellStyle name="集計 10 5 2 3 3 3" xfId="3409"/>
    <cellStyle name="集計 10 5 2 3 4" xfId="3410"/>
    <cellStyle name="集計 10 5 2 3 4 2" xfId="3411"/>
    <cellStyle name="集計 10 5 2 3 4 3" xfId="3412"/>
    <cellStyle name="集計 10 5 2 3 5" xfId="3413"/>
    <cellStyle name="集計 10 5 2 3 5 2" xfId="3414"/>
    <cellStyle name="集計 10 5 2 3 5 3" xfId="3415"/>
    <cellStyle name="集計 10 5 2 3 6" xfId="3416"/>
    <cellStyle name="集計 10 5 2 3 7" xfId="3417"/>
    <cellStyle name="集計 10 5 2 4" xfId="3418"/>
    <cellStyle name="集計 10 5 2 4 2" xfId="3419"/>
    <cellStyle name="集計 10 5 2 4 2 2" xfId="3420"/>
    <cellStyle name="集計 10 5 2 4 2 3" xfId="3421"/>
    <cellStyle name="集計 10 5 2 4 3" xfId="3422"/>
    <cellStyle name="集計 10 5 2 4 3 2" xfId="3423"/>
    <cellStyle name="集計 10 5 2 4 3 3" xfId="3424"/>
    <cellStyle name="集計 10 5 2 4 4" xfId="3425"/>
    <cellStyle name="集計 10 5 2 4 4 2" xfId="3426"/>
    <cellStyle name="集計 10 5 2 4 4 3" xfId="3427"/>
    <cellStyle name="集計 10 5 2 4 5" xfId="3428"/>
    <cellStyle name="集計 10 5 2 4 6" xfId="3429"/>
    <cellStyle name="集計 10 5 2 5" xfId="3430"/>
    <cellStyle name="集計 10 5 2 5 2" xfId="3431"/>
    <cellStyle name="集計 10 5 2 5 3" xfId="3432"/>
    <cellStyle name="集計 10 5 2 6" xfId="3433"/>
    <cellStyle name="集計 10 5 2 6 2" xfId="3434"/>
    <cellStyle name="集計 10 5 2 6 3" xfId="3435"/>
    <cellStyle name="集計 10 5 2 7" xfId="3436"/>
    <cellStyle name="集計 10 5 2 7 2" xfId="3437"/>
    <cellStyle name="集計 10 5 2 7 3" xfId="3438"/>
    <cellStyle name="集計 10 5 2 8" xfId="3439"/>
    <cellStyle name="集計 10 5 2 9" xfId="3440"/>
    <cellStyle name="集計 10 5 3" xfId="3441"/>
    <cellStyle name="集計 10 5 3 2" xfId="3442"/>
    <cellStyle name="集計 10 5 3 2 2" xfId="3443"/>
    <cellStyle name="集計 10 5 3 2 2 2" xfId="3444"/>
    <cellStyle name="集計 10 5 3 2 2 3" xfId="3445"/>
    <cellStyle name="集計 10 5 3 2 3" xfId="3446"/>
    <cellStyle name="集計 10 5 3 2 3 2" xfId="3447"/>
    <cellStyle name="集計 10 5 3 2 3 3" xfId="3448"/>
    <cellStyle name="集計 10 5 3 2 4" xfId="3449"/>
    <cellStyle name="集計 10 5 3 2 4 2" xfId="3450"/>
    <cellStyle name="集計 10 5 3 2 4 3" xfId="3451"/>
    <cellStyle name="集計 10 5 3 2 5" xfId="3452"/>
    <cellStyle name="集計 10 5 3 2 6" xfId="3453"/>
    <cellStyle name="集計 10 5 3 3" xfId="3454"/>
    <cellStyle name="集計 10 5 3 3 2" xfId="3455"/>
    <cellStyle name="集計 10 5 3 3 3" xfId="3456"/>
    <cellStyle name="集計 10 5 3 4" xfId="3457"/>
    <cellStyle name="集計 10 5 3 4 2" xfId="3458"/>
    <cellStyle name="集計 10 5 3 4 3" xfId="3459"/>
    <cellStyle name="集計 10 5 3 5" xfId="3460"/>
    <cellStyle name="集計 10 5 3 5 2" xfId="3461"/>
    <cellStyle name="集計 10 5 3 5 3" xfId="3462"/>
    <cellStyle name="集計 10 5 3 6" xfId="3463"/>
    <cellStyle name="集計 10 5 3 7" xfId="3464"/>
    <cellStyle name="集計 10 5 4" xfId="3465"/>
    <cellStyle name="集計 10 5 4 2" xfId="3466"/>
    <cellStyle name="集計 10 5 4 2 2" xfId="3467"/>
    <cellStyle name="集計 10 5 4 2 2 2" xfId="3468"/>
    <cellStyle name="集計 10 5 4 2 2 3" xfId="3469"/>
    <cellStyle name="集計 10 5 4 2 3" xfId="3470"/>
    <cellStyle name="集計 10 5 4 2 3 2" xfId="3471"/>
    <cellStyle name="集計 10 5 4 2 3 3" xfId="3472"/>
    <cellStyle name="集計 10 5 4 2 4" xfId="3473"/>
    <cellStyle name="集計 10 5 4 2 4 2" xfId="3474"/>
    <cellStyle name="集計 10 5 4 2 4 3" xfId="3475"/>
    <cellStyle name="集計 10 5 4 2 5" xfId="3476"/>
    <cellStyle name="集計 10 5 4 2 6" xfId="3477"/>
    <cellStyle name="集計 10 5 4 3" xfId="3478"/>
    <cellStyle name="集計 10 5 4 3 2" xfId="3479"/>
    <cellStyle name="集計 10 5 4 3 3" xfId="3480"/>
    <cellStyle name="集計 10 5 4 4" xfId="3481"/>
    <cellStyle name="集計 10 5 4 4 2" xfId="3482"/>
    <cellStyle name="集計 10 5 4 4 3" xfId="3483"/>
    <cellStyle name="集計 10 5 4 5" xfId="3484"/>
    <cellStyle name="集計 10 5 4 5 2" xfId="3485"/>
    <cellStyle name="集計 10 5 4 5 3" xfId="3486"/>
    <cellStyle name="集計 10 5 4 6" xfId="3487"/>
    <cellStyle name="集計 10 5 4 7" xfId="3488"/>
    <cellStyle name="集計 10 5 5" xfId="3489"/>
    <cellStyle name="集計 10 5 5 2" xfId="3490"/>
    <cellStyle name="集計 10 5 5 2 2" xfId="3491"/>
    <cellStyle name="集計 10 5 5 2 3" xfId="3492"/>
    <cellStyle name="集計 10 5 5 3" xfId="3493"/>
    <cellStyle name="集計 10 5 5 3 2" xfId="3494"/>
    <cellStyle name="集計 10 5 5 3 3" xfId="3495"/>
    <cellStyle name="集計 10 5 5 4" xfId="3496"/>
    <cellStyle name="集計 10 5 5 4 2" xfId="3497"/>
    <cellStyle name="集計 10 5 5 4 3" xfId="3498"/>
    <cellStyle name="集計 10 5 5 5" xfId="3499"/>
    <cellStyle name="集計 10 5 5 6" xfId="3500"/>
    <cellStyle name="集計 10 5 6" xfId="3501"/>
    <cellStyle name="集計 10 5 6 2" xfId="3502"/>
    <cellStyle name="集計 10 5 6 3" xfId="3503"/>
    <cellStyle name="集計 10 5 7" xfId="3504"/>
    <cellStyle name="集計 10 5 7 2" xfId="3505"/>
    <cellStyle name="集計 10 5 7 3" xfId="3506"/>
    <cellStyle name="集計 10 5 8" xfId="3507"/>
    <cellStyle name="集計 10 5 8 2" xfId="3508"/>
    <cellStyle name="集計 10 5 8 3" xfId="3509"/>
    <cellStyle name="集計 10 5 9" xfId="3510"/>
    <cellStyle name="集計 10 6" xfId="3511"/>
    <cellStyle name="集計 10 6 10" xfId="3512"/>
    <cellStyle name="集計 10 6 2" xfId="3513"/>
    <cellStyle name="集計 10 6 2 2" xfId="3514"/>
    <cellStyle name="集計 10 6 2 2 2" xfId="3515"/>
    <cellStyle name="集計 10 6 2 2 2 2" xfId="3516"/>
    <cellStyle name="集計 10 6 2 2 2 2 2" xfId="3517"/>
    <cellStyle name="集計 10 6 2 2 2 2 3" xfId="3518"/>
    <cellStyle name="集計 10 6 2 2 2 3" xfId="3519"/>
    <cellStyle name="集計 10 6 2 2 2 3 2" xfId="3520"/>
    <cellStyle name="集計 10 6 2 2 2 3 3" xfId="3521"/>
    <cellStyle name="集計 10 6 2 2 2 4" xfId="3522"/>
    <cellStyle name="集計 10 6 2 2 2 4 2" xfId="3523"/>
    <cellStyle name="集計 10 6 2 2 2 4 3" xfId="3524"/>
    <cellStyle name="集計 10 6 2 2 2 5" xfId="3525"/>
    <cellStyle name="集計 10 6 2 2 2 6" xfId="3526"/>
    <cellStyle name="集計 10 6 2 2 3" xfId="3527"/>
    <cellStyle name="集計 10 6 2 2 3 2" xfId="3528"/>
    <cellStyle name="集計 10 6 2 2 3 3" xfId="3529"/>
    <cellStyle name="集計 10 6 2 2 4" xfId="3530"/>
    <cellStyle name="集計 10 6 2 2 4 2" xfId="3531"/>
    <cellStyle name="集計 10 6 2 2 4 3" xfId="3532"/>
    <cellStyle name="集計 10 6 2 2 5" xfId="3533"/>
    <cellStyle name="集計 10 6 2 2 5 2" xfId="3534"/>
    <cellStyle name="集計 10 6 2 2 5 3" xfId="3535"/>
    <cellStyle name="集計 10 6 2 2 6" xfId="3536"/>
    <cellStyle name="集計 10 6 2 2 7" xfId="3537"/>
    <cellStyle name="集計 10 6 2 3" xfId="3538"/>
    <cellStyle name="集計 10 6 2 3 2" xfId="3539"/>
    <cellStyle name="集計 10 6 2 3 2 2" xfId="3540"/>
    <cellStyle name="集計 10 6 2 3 2 2 2" xfId="3541"/>
    <cellStyle name="集計 10 6 2 3 2 2 3" xfId="3542"/>
    <cellStyle name="集計 10 6 2 3 2 3" xfId="3543"/>
    <cellStyle name="集計 10 6 2 3 2 3 2" xfId="3544"/>
    <cellStyle name="集計 10 6 2 3 2 3 3" xfId="3545"/>
    <cellStyle name="集計 10 6 2 3 2 4" xfId="3546"/>
    <cellStyle name="集計 10 6 2 3 2 4 2" xfId="3547"/>
    <cellStyle name="集計 10 6 2 3 2 4 3" xfId="3548"/>
    <cellStyle name="集計 10 6 2 3 2 5" xfId="3549"/>
    <cellStyle name="集計 10 6 2 3 2 6" xfId="3550"/>
    <cellStyle name="集計 10 6 2 3 3" xfId="3551"/>
    <cellStyle name="集計 10 6 2 3 3 2" xfId="3552"/>
    <cellStyle name="集計 10 6 2 3 3 3" xfId="3553"/>
    <cellStyle name="集計 10 6 2 3 4" xfId="3554"/>
    <cellStyle name="集計 10 6 2 3 4 2" xfId="3555"/>
    <cellStyle name="集計 10 6 2 3 4 3" xfId="3556"/>
    <cellStyle name="集計 10 6 2 3 5" xfId="3557"/>
    <cellStyle name="集計 10 6 2 3 5 2" xfId="3558"/>
    <cellStyle name="集計 10 6 2 3 5 3" xfId="3559"/>
    <cellStyle name="集計 10 6 2 3 6" xfId="3560"/>
    <cellStyle name="集計 10 6 2 3 7" xfId="3561"/>
    <cellStyle name="集計 10 6 2 4" xfId="3562"/>
    <cellStyle name="集計 10 6 2 4 2" xfId="3563"/>
    <cellStyle name="集計 10 6 2 4 2 2" xfId="3564"/>
    <cellStyle name="集計 10 6 2 4 2 3" xfId="3565"/>
    <cellStyle name="集計 10 6 2 4 3" xfId="3566"/>
    <cellStyle name="集計 10 6 2 4 3 2" xfId="3567"/>
    <cellStyle name="集計 10 6 2 4 3 3" xfId="3568"/>
    <cellStyle name="集計 10 6 2 4 4" xfId="3569"/>
    <cellStyle name="集計 10 6 2 4 4 2" xfId="3570"/>
    <cellStyle name="集計 10 6 2 4 4 3" xfId="3571"/>
    <cellStyle name="集計 10 6 2 4 5" xfId="3572"/>
    <cellStyle name="集計 10 6 2 4 6" xfId="3573"/>
    <cellStyle name="集計 10 6 2 5" xfId="3574"/>
    <cellStyle name="集計 10 6 2 5 2" xfId="3575"/>
    <cellStyle name="集計 10 6 2 5 3" xfId="3576"/>
    <cellStyle name="集計 10 6 2 6" xfId="3577"/>
    <cellStyle name="集計 10 6 2 6 2" xfId="3578"/>
    <cellStyle name="集計 10 6 2 6 3" xfId="3579"/>
    <cellStyle name="集計 10 6 2 7" xfId="3580"/>
    <cellStyle name="集計 10 6 2 7 2" xfId="3581"/>
    <cellStyle name="集計 10 6 2 7 3" xfId="3582"/>
    <cellStyle name="集計 10 6 2 8" xfId="3583"/>
    <cellStyle name="集計 10 6 2 9" xfId="3584"/>
    <cellStyle name="集計 10 6 3" xfId="3585"/>
    <cellStyle name="集計 10 6 3 2" xfId="3586"/>
    <cellStyle name="集計 10 6 3 2 2" xfId="3587"/>
    <cellStyle name="集計 10 6 3 2 2 2" xfId="3588"/>
    <cellStyle name="集計 10 6 3 2 2 3" xfId="3589"/>
    <cellStyle name="集計 10 6 3 2 3" xfId="3590"/>
    <cellStyle name="集計 10 6 3 2 3 2" xfId="3591"/>
    <cellStyle name="集計 10 6 3 2 3 3" xfId="3592"/>
    <cellStyle name="集計 10 6 3 2 4" xfId="3593"/>
    <cellStyle name="集計 10 6 3 2 4 2" xfId="3594"/>
    <cellStyle name="集計 10 6 3 2 4 3" xfId="3595"/>
    <cellStyle name="集計 10 6 3 2 5" xfId="3596"/>
    <cellStyle name="集計 10 6 3 2 6" xfId="3597"/>
    <cellStyle name="集計 10 6 3 3" xfId="3598"/>
    <cellStyle name="集計 10 6 3 3 2" xfId="3599"/>
    <cellStyle name="集計 10 6 3 3 3" xfId="3600"/>
    <cellStyle name="集計 10 6 3 4" xfId="3601"/>
    <cellStyle name="集計 10 6 3 4 2" xfId="3602"/>
    <cellStyle name="集計 10 6 3 4 3" xfId="3603"/>
    <cellStyle name="集計 10 6 3 5" xfId="3604"/>
    <cellStyle name="集計 10 6 3 5 2" xfId="3605"/>
    <cellStyle name="集計 10 6 3 5 3" xfId="3606"/>
    <cellStyle name="集計 10 6 3 6" xfId="3607"/>
    <cellStyle name="集計 10 6 3 7" xfId="3608"/>
    <cellStyle name="集計 10 6 4" xfId="3609"/>
    <cellStyle name="集計 10 6 4 2" xfId="3610"/>
    <cellStyle name="集計 10 6 4 2 2" xfId="3611"/>
    <cellStyle name="集計 10 6 4 2 2 2" xfId="3612"/>
    <cellStyle name="集計 10 6 4 2 2 3" xfId="3613"/>
    <cellStyle name="集計 10 6 4 2 3" xfId="3614"/>
    <cellStyle name="集計 10 6 4 2 3 2" xfId="3615"/>
    <cellStyle name="集計 10 6 4 2 3 3" xfId="3616"/>
    <cellStyle name="集計 10 6 4 2 4" xfId="3617"/>
    <cellStyle name="集計 10 6 4 2 4 2" xfId="3618"/>
    <cellStyle name="集計 10 6 4 2 4 3" xfId="3619"/>
    <cellStyle name="集計 10 6 4 2 5" xfId="3620"/>
    <cellStyle name="集計 10 6 4 2 6" xfId="3621"/>
    <cellStyle name="集計 10 6 4 3" xfId="3622"/>
    <cellStyle name="集計 10 6 4 3 2" xfId="3623"/>
    <cellStyle name="集計 10 6 4 3 3" xfId="3624"/>
    <cellStyle name="集計 10 6 4 4" xfId="3625"/>
    <cellStyle name="集計 10 6 4 4 2" xfId="3626"/>
    <cellStyle name="集計 10 6 4 4 3" xfId="3627"/>
    <cellStyle name="集計 10 6 4 5" xfId="3628"/>
    <cellStyle name="集計 10 6 4 5 2" xfId="3629"/>
    <cellStyle name="集計 10 6 4 5 3" xfId="3630"/>
    <cellStyle name="集計 10 6 4 6" xfId="3631"/>
    <cellStyle name="集計 10 6 4 7" xfId="3632"/>
    <cellStyle name="集計 10 6 5" xfId="3633"/>
    <cellStyle name="集計 10 6 5 2" xfId="3634"/>
    <cellStyle name="集計 10 6 5 2 2" xfId="3635"/>
    <cellStyle name="集計 10 6 5 2 3" xfId="3636"/>
    <cellStyle name="集計 10 6 5 3" xfId="3637"/>
    <cellStyle name="集計 10 6 5 3 2" xfId="3638"/>
    <cellStyle name="集計 10 6 5 3 3" xfId="3639"/>
    <cellStyle name="集計 10 6 5 4" xfId="3640"/>
    <cellStyle name="集計 10 6 5 4 2" xfId="3641"/>
    <cellStyle name="集計 10 6 5 4 3" xfId="3642"/>
    <cellStyle name="集計 10 6 5 5" xfId="3643"/>
    <cellStyle name="集計 10 6 5 6" xfId="3644"/>
    <cellStyle name="集計 10 6 6" xfId="3645"/>
    <cellStyle name="集計 10 6 6 2" xfId="3646"/>
    <cellStyle name="集計 10 6 6 3" xfId="3647"/>
    <cellStyle name="集計 10 6 7" xfId="3648"/>
    <cellStyle name="集計 10 6 7 2" xfId="3649"/>
    <cellStyle name="集計 10 6 7 3" xfId="3650"/>
    <cellStyle name="集計 10 6 8" xfId="3651"/>
    <cellStyle name="集計 10 6 8 2" xfId="3652"/>
    <cellStyle name="集計 10 6 8 3" xfId="3653"/>
    <cellStyle name="集計 10 6 9" xfId="3654"/>
    <cellStyle name="集計 10 7" xfId="3655"/>
    <cellStyle name="集計 10 7 2" xfId="3656"/>
    <cellStyle name="集計 10 7 2 2" xfId="3657"/>
    <cellStyle name="集計 10 7 2 2 2" xfId="3658"/>
    <cellStyle name="集計 10 7 2 2 3" xfId="3659"/>
    <cellStyle name="集計 10 7 2 3" xfId="3660"/>
    <cellStyle name="集計 10 7 2 3 2" xfId="3661"/>
    <cellStyle name="集計 10 7 2 3 3" xfId="3662"/>
    <cellStyle name="集計 10 7 2 4" xfId="3663"/>
    <cellStyle name="集計 10 7 2 4 2" xfId="3664"/>
    <cellStyle name="集計 10 7 2 4 3" xfId="3665"/>
    <cellStyle name="集計 10 7 2 5" xfId="3666"/>
    <cellStyle name="集計 10 7 2 6" xfId="3667"/>
    <cellStyle name="集計 10 7 3" xfId="3668"/>
    <cellStyle name="集計 10 7 3 2" xfId="3669"/>
    <cellStyle name="集計 10 7 3 3" xfId="3670"/>
    <cellStyle name="集計 10 7 4" xfId="3671"/>
    <cellStyle name="集計 10 7 4 2" xfId="3672"/>
    <cellStyle name="集計 10 7 4 3" xfId="3673"/>
    <cellStyle name="集計 10 7 5" xfId="3674"/>
    <cellStyle name="集計 10 7 5 2" xfId="3675"/>
    <cellStyle name="集計 10 7 5 3" xfId="3676"/>
    <cellStyle name="集計 10 7 6" xfId="3677"/>
    <cellStyle name="集計 10 7 7" xfId="3678"/>
    <cellStyle name="集計 10 8" xfId="3679"/>
    <cellStyle name="集計 10 8 2" xfId="3680"/>
    <cellStyle name="集計 10 8 2 2" xfId="3681"/>
    <cellStyle name="集計 10 8 2 2 2" xfId="3682"/>
    <cellStyle name="集計 10 8 2 2 3" xfId="3683"/>
    <cellStyle name="集計 10 8 2 3" xfId="3684"/>
    <cellStyle name="集計 10 8 2 3 2" xfId="3685"/>
    <cellStyle name="集計 10 8 2 3 3" xfId="3686"/>
    <cellStyle name="集計 10 8 2 4" xfId="3687"/>
    <cellStyle name="集計 10 8 2 4 2" xfId="3688"/>
    <cellStyle name="集計 10 8 2 4 3" xfId="3689"/>
    <cellStyle name="集計 10 8 2 5" xfId="3690"/>
    <cellStyle name="集計 10 8 2 6" xfId="3691"/>
    <cellStyle name="集計 10 8 3" xfId="3692"/>
    <cellStyle name="集計 10 8 3 2" xfId="3693"/>
    <cellStyle name="集計 10 8 3 3" xfId="3694"/>
    <cellStyle name="集計 10 8 4" xfId="3695"/>
    <cellStyle name="集計 10 8 4 2" xfId="3696"/>
    <cellStyle name="集計 10 8 4 3" xfId="3697"/>
    <cellStyle name="集計 10 8 5" xfId="3698"/>
    <cellStyle name="集計 10 8 5 2" xfId="3699"/>
    <cellStyle name="集計 10 8 5 3" xfId="3700"/>
    <cellStyle name="集計 10 8 6" xfId="3701"/>
    <cellStyle name="集計 10 8 7" xfId="3702"/>
    <cellStyle name="集計 10 9" xfId="3703"/>
    <cellStyle name="集計 10 9 2" xfId="3704"/>
    <cellStyle name="集計 10 9 2 2" xfId="3705"/>
    <cellStyle name="集計 10 9 2 3" xfId="3706"/>
    <cellStyle name="集計 10 9 3" xfId="3707"/>
    <cellStyle name="集計 10 9 3 2" xfId="3708"/>
    <cellStyle name="集計 10 9 3 3" xfId="3709"/>
    <cellStyle name="集計 10 9 4" xfId="3710"/>
    <cellStyle name="集計 10 9 4 2" xfId="3711"/>
    <cellStyle name="集計 10 9 4 3" xfId="3712"/>
    <cellStyle name="集計 10 9 5" xfId="3713"/>
    <cellStyle name="集計 10 9 6" xfId="3714"/>
    <cellStyle name="集計 11" xfId="3715"/>
    <cellStyle name="集計 11 10" xfId="3716"/>
    <cellStyle name="集計 11 10 2" xfId="3717"/>
    <cellStyle name="集計 11 10 3" xfId="3718"/>
    <cellStyle name="集計 11 11" xfId="3719"/>
    <cellStyle name="集計 11 11 2" xfId="3720"/>
    <cellStyle name="集計 11 11 3" xfId="3721"/>
    <cellStyle name="集計 11 12" xfId="3722"/>
    <cellStyle name="集計 11 12 2" xfId="3723"/>
    <cellStyle name="集計 11 12 3" xfId="3724"/>
    <cellStyle name="集計 11 13" xfId="3725"/>
    <cellStyle name="集計 11 14" xfId="3726"/>
    <cellStyle name="集計 11 2" xfId="3727"/>
    <cellStyle name="集計 11 2 10" xfId="3728"/>
    <cellStyle name="集計 11 2 2" xfId="3729"/>
    <cellStyle name="集計 11 2 2 10" xfId="3730"/>
    <cellStyle name="集計 11 2 2 2" xfId="3731"/>
    <cellStyle name="集計 11 2 2 2 2" xfId="3732"/>
    <cellStyle name="集計 11 2 2 2 2 2" xfId="3733"/>
    <cellStyle name="集計 11 2 2 2 2 2 2" xfId="3734"/>
    <cellStyle name="集計 11 2 2 2 2 2 2 2" xfId="3735"/>
    <cellStyle name="集計 11 2 2 2 2 2 2 3" xfId="3736"/>
    <cellStyle name="集計 11 2 2 2 2 2 3" xfId="3737"/>
    <cellStyle name="集計 11 2 2 2 2 2 3 2" xfId="3738"/>
    <cellStyle name="集計 11 2 2 2 2 2 3 3" xfId="3739"/>
    <cellStyle name="集計 11 2 2 2 2 2 4" xfId="3740"/>
    <cellStyle name="集計 11 2 2 2 2 2 4 2" xfId="3741"/>
    <cellStyle name="集計 11 2 2 2 2 2 4 3" xfId="3742"/>
    <cellStyle name="集計 11 2 2 2 2 2 5" xfId="3743"/>
    <cellStyle name="集計 11 2 2 2 2 2 6" xfId="3744"/>
    <cellStyle name="集計 11 2 2 2 2 3" xfId="3745"/>
    <cellStyle name="集計 11 2 2 2 2 3 2" xfId="3746"/>
    <cellStyle name="集計 11 2 2 2 2 3 3" xfId="3747"/>
    <cellStyle name="集計 11 2 2 2 2 4" xfId="3748"/>
    <cellStyle name="集計 11 2 2 2 2 4 2" xfId="3749"/>
    <cellStyle name="集計 11 2 2 2 2 4 3" xfId="3750"/>
    <cellStyle name="集計 11 2 2 2 2 5" xfId="3751"/>
    <cellStyle name="集計 11 2 2 2 2 5 2" xfId="3752"/>
    <cellStyle name="集計 11 2 2 2 2 5 3" xfId="3753"/>
    <cellStyle name="集計 11 2 2 2 2 6" xfId="3754"/>
    <cellStyle name="集計 11 2 2 2 2 7" xfId="3755"/>
    <cellStyle name="集計 11 2 2 2 3" xfId="3756"/>
    <cellStyle name="集計 11 2 2 2 3 2" xfId="3757"/>
    <cellStyle name="集計 11 2 2 2 3 2 2" xfId="3758"/>
    <cellStyle name="集計 11 2 2 2 3 2 2 2" xfId="3759"/>
    <cellStyle name="集計 11 2 2 2 3 2 2 3" xfId="3760"/>
    <cellStyle name="集計 11 2 2 2 3 2 3" xfId="3761"/>
    <cellStyle name="集計 11 2 2 2 3 2 3 2" xfId="3762"/>
    <cellStyle name="集計 11 2 2 2 3 2 3 3" xfId="3763"/>
    <cellStyle name="集計 11 2 2 2 3 2 4" xfId="3764"/>
    <cellStyle name="集計 11 2 2 2 3 2 4 2" xfId="3765"/>
    <cellStyle name="集計 11 2 2 2 3 2 4 3" xfId="3766"/>
    <cellStyle name="集計 11 2 2 2 3 2 5" xfId="3767"/>
    <cellStyle name="集計 11 2 2 2 3 2 6" xfId="3768"/>
    <cellStyle name="集計 11 2 2 2 3 3" xfId="3769"/>
    <cellStyle name="集計 11 2 2 2 3 3 2" xfId="3770"/>
    <cellStyle name="集計 11 2 2 2 3 3 3" xfId="3771"/>
    <cellStyle name="集計 11 2 2 2 3 4" xfId="3772"/>
    <cellStyle name="集計 11 2 2 2 3 4 2" xfId="3773"/>
    <cellStyle name="集計 11 2 2 2 3 4 3" xfId="3774"/>
    <cellStyle name="集計 11 2 2 2 3 5" xfId="3775"/>
    <cellStyle name="集計 11 2 2 2 3 5 2" xfId="3776"/>
    <cellStyle name="集計 11 2 2 2 3 5 3" xfId="3777"/>
    <cellStyle name="集計 11 2 2 2 3 6" xfId="3778"/>
    <cellStyle name="集計 11 2 2 2 3 7" xfId="3779"/>
    <cellStyle name="集計 11 2 2 2 4" xfId="3780"/>
    <cellStyle name="集計 11 2 2 2 4 2" xfId="3781"/>
    <cellStyle name="集計 11 2 2 2 4 2 2" xfId="3782"/>
    <cellStyle name="集計 11 2 2 2 4 2 3" xfId="3783"/>
    <cellStyle name="集計 11 2 2 2 4 3" xfId="3784"/>
    <cellStyle name="集計 11 2 2 2 4 3 2" xfId="3785"/>
    <cellStyle name="集計 11 2 2 2 4 3 3" xfId="3786"/>
    <cellStyle name="集計 11 2 2 2 4 4" xfId="3787"/>
    <cellStyle name="集計 11 2 2 2 4 4 2" xfId="3788"/>
    <cellStyle name="集計 11 2 2 2 4 4 3" xfId="3789"/>
    <cellStyle name="集計 11 2 2 2 4 5" xfId="3790"/>
    <cellStyle name="集計 11 2 2 2 4 6" xfId="3791"/>
    <cellStyle name="集計 11 2 2 2 5" xfId="3792"/>
    <cellStyle name="集計 11 2 2 2 5 2" xfId="3793"/>
    <cellStyle name="集計 11 2 2 2 5 3" xfId="3794"/>
    <cellStyle name="集計 11 2 2 2 6" xfId="3795"/>
    <cellStyle name="集計 11 2 2 2 6 2" xfId="3796"/>
    <cellStyle name="集計 11 2 2 2 6 3" xfId="3797"/>
    <cellStyle name="集計 11 2 2 2 7" xfId="3798"/>
    <cellStyle name="集計 11 2 2 2 7 2" xfId="3799"/>
    <cellStyle name="集計 11 2 2 2 7 3" xfId="3800"/>
    <cellStyle name="集計 11 2 2 2 8" xfId="3801"/>
    <cellStyle name="集計 11 2 2 2 9" xfId="3802"/>
    <cellStyle name="集計 11 2 2 3" xfId="3803"/>
    <cellStyle name="集計 11 2 2 3 2" xfId="3804"/>
    <cellStyle name="集計 11 2 2 3 2 2" xfId="3805"/>
    <cellStyle name="集計 11 2 2 3 2 2 2" xfId="3806"/>
    <cellStyle name="集計 11 2 2 3 2 2 3" xfId="3807"/>
    <cellStyle name="集計 11 2 2 3 2 3" xfId="3808"/>
    <cellStyle name="集計 11 2 2 3 2 3 2" xfId="3809"/>
    <cellStyle name="集計 11 2 2 3 2 3 3" xfId="3810"/>
    <cellStyle name="集計 11 2 2 3 2 4" xfId="3811"/>
    <cellStyle name="集計 11 2 2 3 2 4 2" xfId="3812"/>
    <cellStyle name="集計 11 2 2 3 2 4 3" xfId="3813"/>
    <cellStyle name="集計 11 2 2 3 2 5" xfId="3814"/>
    <cellStyle name="集計 11 2 2 3 2 6" xfId="3815"/>
    <cellStyle name="集計 11 2 2 3 3" xfId="3816"/>
    <cellStyle name="集計 11 2 2 3 3 2" xfId="3817"/>
    <cellStyle name="集計 11 2 2 3 3 3" xfId="3818"/>
    <cellStyle name="集計 11 2 2 3 4" xfId="3819"/>
    <cellStyle name="集計 11 2 2 3 4 2" xfId="3820"/>
    <cellStyle name="集計 11 2 2 3 4 3" xfId="3821"/>
    <cellStyle name="集計 11 2 2 3 5" xfId="3822"/>
    <cellStyle name="集計 11 2 2 3 5 2" xfId="3823"/>
    <cellStyle name="集計 11 2 2 3 5 3" xfId="3824"/>
    <cellStyle name="集計 11 2 2 3 6" xfId="3825"/>
    <cellStyle name="集計 11 2 2 3 7" xfId="3826"/>
    <cellStyle name="集計 11 2 2 4" xfId="3827"/>
    <cellStyle name="集計 11 2 2 4 2" xfId="3828"/>
    <cellStyle name="集計 11 2 2 4 2 2" xfId="3829"/>
    <cellStyle name="集計 11 2 2 4 2 2 2" xfId="3830"/>
    <cellStyle name="集計 11 2 2 4 2 2 3" xfId="3831"/>
    <cellStyle name="集計 11 2 2 4 2 3" xfId="3832"/>
    <cellStyle name="集計 11 2 2 4 2 3 2" xfId="3833"/>
    <cellStyle name="集計 11 2 2 4 2 3 3" xfId="3834"/>
    <cellStyle name="集計 11 2 2 4 2 4" xfId="3835"/>
    <cellStyle name="集計 11 2 2 4 2 4 2" xfId="3836"/>
    <cellStyle name="集計 11 2 2 4 2 4 3" xfId="3837"/>
    <cellStyle name="集計 11 2 2 4 2 5" xfId="3838"/>
    <cellStyle name="集計 11 2 2 4 2 6" xfId="3839"/>
    <cellStyle name="集計 11 2 2 4 3" xfId="3840"/>
    <cellStyle name="集計 11 2 2 4 3 2" xfId="3841"/>
    <cellStyle name="集計 11 2 2 4 3 3" xfId="3842"/>
    <cellStyle name="集計 11 2 2 4 4" xfId="3843"/>
    <cellStyle name="集計 11 2 2 4 4 2" xfId="3844"/>
    <cellStyle name="集計 11 2 2 4 4 3" xfId="3845"/>
    <cellStyle name="集計 11 2 2 4 5" xfId="3846"/>
    <cellStyle name="集計 11 2 2 4 5 2" xfId="3847"/>
    <cellStyle name="集計 11 2 2 4 5 3" xfId="3848"/>
    <cellStyle name="集計 11 2 2 4 6" xfId="3849"/>
    <cellStyle name="集計 11 2 2 4 7" xfId="3850"/>
    <cellStyle name="集計 11 2 2 5" xfId="3851"/>
    <cellStyle name="集計 11 2 2 5 2" xfId="3852"/>
    <cellStyle name="集計 11 2 2 5 2 2" xfId="3853"/>
    <cellStyle name="集計 11 2 2 5 2 3" xfId="3854"/>
    <cellStyle name="集計 11 2 2 5 3" xfId="3855"/>
    <cellStyle name="集計 11 2 2 5 3 2" xfId="3856"/>
    <cellStyle name="集計 11 2 2 5 3 3" xfId="3857"/>
    <cellStyle name="集計 11 2 2 5 4" xfId="3858"/>
    <cellStyle name="集計 11 2 2 5 4 2" xfId="3859"/>
    <cellStyle name="集計 11 2 2 5 4 3" xfId="3860"/>
    <cellStyle name="集計 11 2 2 5 5" xfId="3861"/>
    <cellStyle name="集計 11 2 2 5 6" xfId="3862"/>
    <cellStyle name="集計 11 2 2 6" xfId="3863"/>
    <cellStyle name="集計 11 2 2 6 2" xfId="3864"/>
    <cellStyle name="集計 11 2 2 6 3" xfId="3865"/>
    <cellStyle name="集計 11 2 2 7" xfId="3866"/>
    <cellStyle name="集計 11 2 2 7 2" xfId="3867"/>
    <cellStyle name="集計 11 2 2 7 3" xfId="3868"/>
    <cellStyle name="集計 11 2 2 8" xfId="3869"/>
    <cellStyle name="集計 11 2 2 8 2" xfId="3870"/>
    <cellStyle name="集計 11 2 2 8 3" xfId="3871"/>
    <cellStyle name="集計 11 2 2 9" xfId="3872"/>
    <cellStyle name="集計 11 2 3" xfId="3873"/>
    <cellStyle name="集計 11 2 3 2" xfId="3874"/>
    <cellStyle name="集計 11 2 3 2 2" xfId="3875"/>
    <cellStyle name="集計 11 2 3 2 2 2" xfId="3876"/>
    <cellStyle name="集計 11 2 3 2 2 3" xfId="3877"/>
    <cellStyle name="集計 11 2 3 2 3" xfId="3878"/>
    <cellStyle name="集計 11 2 3 2 3 2" xfId="3879"/>
    <cellStyle name="集計 11 2 3 2 3 3" xfId="3880"/>
    <cellStyle name="集計 11 2 3 2 4" xfId="3881"/>
    <cellStyle name="集計 11 2 3 2 4 2" xfId="3882"/>
    <cellStyle name="集計 11 2 3 2 4 3" xfId="3883"/>
    <cellStyle name="集計 11 2 3 2 5" xfId="3884"/>
    <cellStyle name="集計 11 2 3 2 6" xfId="3885"/>
    <cellStyle name="集計 11 2 3 3" xfId="3886"/>
    <cellStyle name="集計 11 2 3 3 2" xfId="3887"/>
    <cellStyle name="集計 11 2 3 3 3" xfId="3888"/>
    <cellStyle name="集計 11 2 3 4" xfId="3889"/>
    <cellStyle name="集計 11 2 3 4 2" xfId="3890"/>
    <cellStyle name="集計 11 2 3 4 3" xfId="3891"/>
    <cellStyle name="集計 11 2 3 5" xfId="3892"/>
    <cellStyle name="集計 11 2 3 5 2" xfId="3893"/>
    <cellStyle name="集計 11 2 3 5 3" xfId="3894"/>
    <cellStyle name="集計 11 2 3 6" xfId="3895"/>
    <cellStyle name="集計 11 2 3 7" xfId="3896"/>
    <cellStyle name="集計 11 2 4" xfId="3897"/>
    <cellStyle name="集計 11 2 4 2" xfId="3898"/>
    <cellStyle name="集計 11 2 4 2 2" xfId="3899"/>
    <cellStyle name="集計 11 2 4 2 2 2" xfId="3900"/>
    <cellStyle name="集計 11 2 4 2 2 3" xfId="3901"/>
    <cellStyle name="集計 11 2 4 2 3" xfId="3902"/>
    <cellStyle name="集計 11 2 4 2 3 2" xfId="3903"/>
    <cellStyle name="集計 11 2 4 2 3 3" xfId="3904"/>
    <cellStyle name="集計 11 2 4 2 4" xfId="3905"/>
    <cellStyle name="集計 11 2 4 2 4 2" xfId="3906"/>
    <cellStyle name="集計 11 2 4 2 4 3" xfId="3907"/>
    <cellStyle name="集計 11 2 4 2 5" xfId="3908"/>
    <cellStyle name="集計 11 2 4 2 6" xfId="3909"/>
    <cellStyle name="集計 11 2 4 3" xfId="3910"/>
    <cellStyle name="集計 11 2 4 3 2" xfId="3911"/>
    <cellStyle name="集計 11 2 4 3 3" xfId="3912"/>
    <cellStyle name="集計 11 2 4 4" xfId="3913"/>
    <cellStyle name="集計 11 2 4 4 2" xfId="3914"/>
    <cellStyle name="集計 11 2 4 4 3" xfId="3915"/>
    <cellStyle name="集計 11 2 4 5" xfId="3916"/>
    <cellStyle name="集計 11 2 4 5 2" xfId="3917"/>
    <cellStyle name="集計 11 2 4 5 3" xfId="3918"/>
    <cellStyle name="集計 11 2 4 6" xfId="3919"/>
    <cellStyle name="集計 11 2 4 7" xfId="3920"/>
    <cellStyle name="集計 11 2 5" xfId="3921"/>
    <cellStyle name="集計 11 2 5 2" xfId="3922"/>
    <cellStyle name="集計 11 2 5 2 2" xfId="3923"/>
    <cellStyle name="集計 11 2 5 2 3" xfId="3924"/>
    <cellStyle name="集計 11 2 5 3" xfId="3925"/>
    <cellStyle name="集計 11 2 5 3 2" xfId="3926"/>
    <cellStyle name="集計 11 2 5 3 3" xfId="3927"/>
    <cellStyle name="集計 11 2 5 4" xfId="3928"/>
    <cellStyle name="集計 11 2 5 4 2" xfId="3929"/>
    <cellStyle name="集計 11 2 5 4 3" xfId="3930"/>
    <cellStyle name="集計 11 2 5 5" xfId="3931"/>
    <cellStyle name="集計 11 2 5 6" xfId="3932"/>
    <cellStyle name="集計 11 2 6" xfId="3933"/>
    <cellStyle name="集計 11 2 6 2" xfId="3934"/>
    <cellStyle name="集計 11 2 6 3" xfId="3935"/>
    <cellStyle name="集計 11 2 7" xfId="3936"/>
    <cellStyle name="集計 11 2 7 2" xfId="3937"/>
    <cellStyle name="集計 11 2 7 3" xfId="3938"/>
    <cellStyle name="集計 11 2 8" xfId="3939"/>
    <cellStyle name="集計 11 2 8 2" xfId="3940"/>
    <cellStyle name="集計 11 2 8 3" xfId="3941"/>
    <cellStyle name="集計 11 2 9" xfId="3942"/>
    <cellStyle name="集計 11 3" xfId="3943"/>
    <cellStyle name="集計 11 3 10" xfId="3944"/>
    <cellStyle name="集計 11 3 2" xfId="3945"/>
    <cellStyle name="集計 11 3 2 10" xfId="3946"/>
    <cellStyle name="集計 11 3 2 2" xfId="3947"/>
    <cellStyle name="集計 11 3 2 2 2" xfId="3948"/>
    <cellStyle name="集計 11 3 2 2 2 2" xfId="3949"/>
    <cellStyle name="集計 11 3 2 2 2 2 2" xfId="3950"/>
    <cellStyle name="集計 11 3 2 2 2 2 2 2" xfId="3951"/>
    <cellStyle name="集計 11 3 2 2 2 2 2 3" xfId="3952"/>
    <cellStyle name="集計 11 3 2 2 2 2 3" xfId="3953"/>
    <cellStyle name="集計 11 3 2 2 2 2 3 2" xfId="3954"/>
    <cellStyle name="集計 11 3 2 2 2 2 3 3" xfId="3955"/>
    <cellStyle name="集計 11 3 2 2 2 2 4" xfId="3956"/>
    <cellStyle name="集計 11 3 2 2 2 2 4 2" xfId="3957"/>
    <cellStyle name="集計 11 3 2 2 2 2 4 3" xfId="3958"/>
    <cellStyle name="集計 11 3 2 2 2 2 5" xfId="3959"/>
    <cellStyle name="集計 11 3 2 2 2 2 6" xfId="3960"/>
    <cellStyle name="集計 11 3 2 2 2 3" xfId="3961"/>
    <cellStyle name="集計 11 3 2 2 2 3 2" xfId="3962"/>
    <cellStyle name="集計 11 3 2 2 2 3 3" xfId="3963"/>
    <cellStyle name="集計 11 3 2 2 2 4" xfId="3964"/>
    <cellStyle name="集計 11 3 2 2 2 4 2" xfId="3965"/>
    <cellStyle name="集計 11 3 2 2 2 4 3" xfId="3966"/>
    <cellStyle name="集計 11 3 2 2 2 5" xfId="3967"/>
    <cellStyle name="集計 11 3 2 2 2 5 2" xfId="3968"/>
    <cellStyle name="集計 11 3 2 2 2 5 3" xfId="3969"/>
    <cellStyle name="集計 11 3 2 2 2 6" xfId="3970"/>
    <cellStyle name="集計 11 3 2 2 2 7" xfId="3971"/>
    <cellStyle name="集計 11 3 2 2 3" xfId="3972"/>
    <cellStyle name="集計 11 3 2 2 3 2" xfId="3973"/>
    <cellStyle name="集計 11 3 2 2 3 2 2" xfId="3974"/>
    <cellStyle name="集計 11 3 2 2 3 2 2 2" xfId="3975"/>
    <cellStyle name="集計 11 3 2 2 3 2 2 3" xfId="3976"/>
    <cellStyle name="集計 11 3 2 2 3 2 3" xfId="3977"/>
    <cellStyle name="集計 11 3 2 2 3 2 3 2" xfId="3978"/>
    <cellStyle name="集計 11 3 2 2 3 2 3 3" xfId="3979"/>
    <cellStyle name="集計 11 3 2 2 3 2 4" xfId="3980"/>
    <cellStyle name="集計 11 3 2 2 3 2 4 2" xfId="3981"/>
    <cellStyle name="集計 11 3 2 2 3 2 4 3" xfId="3982"/>
    <cellStyle name="集計 11 3 2 2 3 2 5" xfId="3983"/>
    <cellStyle name="集計 11 3 2 2 3 2 6" xfId="3984"/>
    <cellStyle name="集計 11 3 2 2 3 3" xfId="3985"/>
    <cellStyle name="集計 11 3 2 2 3 3 2" xfId="3986"/>
    <cellStyle name="集計 11 3 2 2 3 3 3" xfId="3987"/>
    <cellStyle name="集計 11 3 2 2 3 4" xfId="3988"/>
    <cellStyle name="集計 11 3 2 2 3 4 2" xfId="3989"/>
    <cellStyle name="集計 11 3 2 2 3 4 3" xfId="3990"/>
    <cellStyle name="集計 11 3 2 2 3 5" xfId="3991"/>
    <cellStyle name="集計 11 3 2 2 3 5 2" xfId="3992"/>
    <cellStyle name="集計 11 3 2 2 3 5 3" xfId="3993"/>
    <cellStyle name="集計 11 3 2 2 3 6" xfId="3994"/>
    <cellStyle name="集計 11 3 2 2 3 7" xfId="3995"/>
    <cellStyle name="集計 11 3 2 2 4" xfId="3996"/>
    <cellStyle name="集計 11 3 2 2 4 2" xfId="3997"/>
    <cellStyle name="集計 11 3 2 2 4 2 2" xfId="3998"/>
    <cellStyle name="集計 11 3 2 2 4 2 3" xfId="3999"/>
    <cellStyle name="集計 11 3 2 2 4 3" xfId="4000"/>
    <cellStyle name="集計 11 3 2 2 4 3 2" xfId="4001"/>
    <cellStyle name="集計 11 3 2 2 4 3 3" xfId="4002"/>
    <cellStyle name="集計 11 3 2 2 4 4" xfId="4003"/>
    <cellStyle name="集計 11 3 2 2 4 4 2" xfId="4004"/>
    <cellStyle name="集計 11 3 2 2 4 4 3" xfId="4005"/>
    <cellStyle name="集計 11 3 2 2 4 5" xfId="4006"/>
    <cellStyle name="集計 11 3 2 2 4 6" xfId="4007"/>
    <cellStyle name="集計 11 3 2 2 5" xfId="4008"/>
    <cellStyle name="集計 11 3 2 2 5 2" xfId="4009"/>
    <cellStyle name="集計 11 3 2 2 5 3" xfId="4010"/>
    <cellStyle name="集計 11 3 2 2 6" xfId="4011"/>
    <cellStyle name="集計 11 3 2 2 6 2" xfId="4012"/>
    <cellStyle name="集計 11 3 2 2 6 3" xfId="4013"/>
    <cellStyle name="集計 11 3 2 2 7" xfId="4014"/>
    <cellStyle name="集計 11 3 2 2 7 2" xfId="4015"/>
    <cellStyle name="集計 11 3 2 2 7 3" xfId="4016"/>
    <cellStyle name="集計 11 3 2 2 8" xfId="4017"/>
    <cellStyle name="集計 11 3 2 2 9" xfId="4018"/>
    <cellStyle name="集計 11 3 2 3" xfId="4019"/>
    <cellStyle name="集計 11 3 2 3 2" xfId="4020"/>
    <cellStyle name="集計 11 3 2 3 2 2" xfId="4021"/>
    <cellStyle name="集計 11 3 2 3 2 2 2" xfId="4022"/>
    <cellStyle name="集計 11 3 2 3 2 2 3" xfId="4023"/>
    <cellStyle name="集計 11 3 2 3 2 3" xfId="4024"/>
    <cellStyle name="集計 11 3 2 3 2 3 2" xfId="4025"/>
    <cellStyle name="集計 11 3 2 3 2 3 3" xfId="4026"/>
    <cellStyle name="集計 11 3 2 3 2 4" xfId="4027"/>
    <cellStyle name="集計 11 3 2 3 2 4 2" xfId="4028"/>
    <cellStyle name="集計 11 3 2 3 2 4 3" xfId="4029"/>
    <cellStyle name="集計 11 3 2 3 2 5" xfId="4030"/>
    <cellStyle name="集計 11 3 2 3 2 6" xfId="4031"/>
    <cellStyle name="集計 11 3 2 3 3" xfId="4032"/>
    <cellStyle name="集計 11 3 2 3 3 2" xfId="4033"/>
    <cellStyle name="集計 11 3 2 3 3 3" xfId="4034"/>
    <cellStyle name="集計 11 3 2 3 4" xfId="4035"/>
    <cellStyle name="集計 11 3 2 3 4 2" xfId="4036"/>
    <cellStyle name="集計 11 3 2 3 4 3" xfId="4037"/>
    <cellStyle name="集計 11 3 2 3 5" xfId="4038"/>
    <cellStyle name="集計 11 3 2 3 5 2" xfId="4039"/>
    <cellStyle name="集計 11 3 2 3 5 3" xfId="4040"/>
    <cellStyle name="集計 11 3 2 3 6" xfId="4041"/>
    <cellStyle name="集計 11 3 2 3 7" xfId="4042"/>
    <cellStyle name="集計 11 3 2 4" xfId="4043"/>
    <cellStyle name="集計 11 3 2 4 2" xfId="4044"/>
    <cellStyle name="集計 11 3 2 4 2 2" xfId="4045"/>
    <cellStyle name="集計 11 3 2 4 2 2 2" xfId="4046"/>
    <cellStyle name="集計 11 3 2 4 2 2 3" xfId="4047"/>
    <cellStyle name="集計 11 3 2 4 2 3" xfId="4048"/>
    <cellStyle name="集計 11 3 2 4 2 3 2" xfId="4049"/>
    <cellStyle name="集計 11 3 2 4 2 3 3" xfId="4050"/>
    <cellStyle name="集計 11 3 2 4 2 4" xfId="4051"/>
    <cellStyle name="集計 11 3 2 4 2 4 2" xfId="4052"/>
    <cellStyle name="集計 11 3 2 4 2 4 3" xfId="4053"/>
    <cellStyle name="集計 11 3 2 4 2 5" xfId="4054"/>
    <cellStyle name="集計 11 3 2 4 2 6" xfId="4055"/>
    <cellStyle name="集計 11 3 2 4 3" xfId="4056"/>
    <cellStyle name="集計 11 3 2 4 3 2" xfId="4057"/>
    <cellStyle name="集計 11 3 2 4 3 3" xfId="4058"/>
    <cellStyle name="集計 11 3 2 4 4" xfId="4059"/>
    <cellStyle name="集計 11 3 2 4 4 2" xfId="4060"/>
    <cellStyle name="集計 11 3 2 4 4 3" xfId="4061"/>
    <cellStyle name="集計 11 3 2 4 5" xfId="4062"/>
    <cellStyle name="集計 11 3 2 4 5 2" xfId="4063"/>
    <cellStyle name="集計 11 3 2 4 5 3" xfId="4064"/>
    <cellStyle name="集計 11 3 2 4 6" xfId="4065"/>
    <cellStyle name="集計 11 3 2 4 7" xfId="4066"/>
    <cellStyle name="集計 11 3 2 5" xfId="4067"/>
    <cellStyle name="集計 11 3 2 5 2" xfId="4068"/>
    <cellStyle name="集計 11 3 2 5 2 2" xfId="4069"/>
    <cellStyle name="集計 11 3 2 5 2 3" xfId="4070"/>
    <cellStyle name="集計 11 3 2 5 3" xfId="4071"/>
    <cellStyle name="集計 11 3 2 5 3 2" xfId="4072"/>
    <cellStyle name="集計 11 3 2 5 3 3" xfId="4073"/>
    <cellStyle name="集計 11 3 2 5 4" xfId="4074"/>
    <cellStyle name="集計 11 3 2 5 4 2" xfId="4075"/>
    <cellStyle name="集計 11 3 2 5 4 3" xfId="4076"/>
    <cellStyle name="集計 11 3 2 5 5" xfId="4077"/>
    <cellStyle name="集計 11 3 2 5 6" xfId="4078"/>
    <cellStyle name="集計 11 3 2 6" xfId="4079"/>
    <cellStyle name="集計 11 3 2 6 2" xfId="4080"/>
    <cellStyle name="集計 11 3 2 6 3" xfId="4081"/>
    <cellStyle name="集計 11 3 2 7" xfId="4082"/>
    <cellStyle name="集計 11 3 2 7 2" xfId="4083"/>
    <cellStyle name="集計 11 3 2 7 3" xfId="4084"/>
    <cellStyle name="集計 11 3 2 8" xfId="4085"/>
    <cellStyle name="集計 11 3 2 8 2" xfId="4086"/>
    <cellStyle name="集計 11 3 2 8 3" xfId="4087"/>
    <cellStyle name="集計 11 3 2 9" xfId="4088"/>
    <cellStyle name="集計 11 3 3" xfId="4089"/>
    <cellStyle name="集計 11 3 3 2" xfId="4090"/>
    <cellStyle name="集計 11 3 3 2 2" xfId="4091"/>
    <cellStyle name="集計 11 3 3 2 2 2" xfId="4092"/>
    <cellStyle name="集計 11 3 3 2 2 3" xfId="4093"/>
    <cellStyle name="集計 11 3 3 2 3" xfId="4094"/>
    <cellStyle name="集計 11 3 3 2 3 2" xfId="4095"/>
    <cellStyle name="集計 11 3 3 2 3 3" xfId="4096"/>
    <cellStyle name="集計 11 3 3 2 4" xfId="4097"/>
    <cellStyle name="集計 11 3 3 2 4 2" xfId="4098"/>
    <cellStyle name="集計 11 3 3 2 4 3" xfId="4099"/>
    <cellStyle name="集計 11 3 3 2 5" xfId="4100"/>
    <cellStyle name="集計 11 3 3 2 6" xfId="4101"/>
    <cellStyle name="集計 11 3 3 3" xfId="4102"/>
    <cellStyle name="集計 11 3 3 3 2" xfId="4103"/>
    <cellStyle name="集計 11 3 3 3 3" xfId="4104"/>
    <cellStyle name="集計 11 3 3 4" xfId="4105"/>
    <cellStyle name="集計 11 3 3 4 2" xfId="4106"/>
    <cellStyle name="集計 11 3 3 4 3" xfId="4107"/>
    <cellStyle name="集計 11 3 3 5" xfId="4108"/>
    <cellStyle name="集計 11 3 3 5 2" xfId="4109"/>
    <cellStyle name="集計 11 3 3 5 3" xfId="4110"/>
    <cellStyle name="集計 11 3 3 6" xfId="4111"/>
    <cellStyle name="集計 11 3 3 7" xfId="4112"/>
    <cellStyle name="集計 11 3 4" xfId="4113"/>
    <cellStyle name="集計 11 3 4 2" xfId="4114"/>
    <cellStyle name="集計 11 3 4 2 2" xfId="4115"/>
    <cellStyle name="集計 11 3 4 2 2 2" xfId="4116"/>
    <cellStyle name="集計 11 3 4 2 2 3" xfId="4117"/>
    <cellStyle name="集計 11 3 4 2 3" xfId="4118"/>
    <cellStyle name="集計 11 3 4 2 3 2" xfId="4119"/>
    <cellStyle name="集計 11 3 4 2 3 3" xfId="4120"/>
    <cellStyle name="集計 11 3 4 2 4" xfId="4121"/>
    <cellStyle name="集計 11 3 4 2 4 2" xfId="4122"/>
    <cellStyle name="集計 11 3 4 2 4 3" xfId="4123"/>
    <cellStyle name="集計 11 3 4 2 5" xfId="4124"/>
    <cellStyle name="集計 11 3 4 2 6" xfId="4125"/>
    <cellStyle name="集計 11 3 4 3" xfId="4126"/>
    <cellStyle name="集計 11 3 4 3 2" xfId="4127"/>
    <cellStyle name="集計 11 3 4 3 3" xfId="4128"/>
    <cellStyle name="集計 11 3 4 4" xfId="4129"/>
    <cellStyle name="集計 11 3 4 4 2" xfId="4130"/>
    <cellStyle name="集計 11 3 4 4 3" xfId="4131"/>
    <cellStyle name="集計 11 3 4 5" xfId="4132"/>
    <cellStyle name="集計 11 3 4 5 2" xfId="4133"/>
    <cellStyle name="集計 11 3 4 5 3" xfId="4134"/>
    <cellStyle name="集計 11 3 4 6" xfId="4135"/>
    <cellStyle name="集計 11 3 4 7" xfId="4136"/>
    <cellStyle name="集計 11 3 5" xfId="4137"/>
    <cellStyle name="集計 11 3 5 2" xfId="4138"/>
    <cellStyle name="集計 11 3 5 2 2" xfId="4139"/>
    <cellStyle name="集計 11 3 5 2 3" xfId="4140"/>
    <cellStyle name="集計 11 3 5 3" xfId="4141"/>
    <cellStyle name="集計 11 3 5 3 2" xfId="4142"/>
    <cellStyle name="集計 11 3 5 3 3" xfId="4143"/>
    <cellStyle name="集計 11 3 5 4" xfId="4144"/>
    <cellStyle name="集計 11 3 5 4 2" xfId="4145"/>
    <cellStyle name="集計 11 3 5 4 3" xfId="4146"/>
    <cellStyle name="集計 11 3 5 5" xfId="4147"/>
    <cellStyle name="集計 11 3 5 6" xfId="4148"/>
    <cellStyle name="集計 11 3 6" xfId="4149"/>
    <cellStyle name="集計 11 3 6 2" xfId="4150"/>
    <cellStyle name="集計 11 3 6 3" xfId="4151"/>
    <cellStyle name="集計 11 3 7" xfId="4152"/>
    <cellStyle name="集計 11 3 7 2" xfId="4153"/>
    <cellStyle name="集計 11 3 7 3" xfId="4154"/>
    <cellStyle name="集計 11 3 8" xfId="4155"/>
    <cellStyle name="集計 11 3 8 2" xfId="4156"/>
    <cellStyle name="集計 11 3 8 3" xfId="4157"/>
    <cellStyle name="集計 11 3 9" xfId="4158"/>
    <cellStyle name="集計 11 4" xfId="4159"/>
    <cellStyle name="集計 11 4 10" xfId="4160"/>
    <cellStyle name="集計 11 4 2" xfId="4161"/>
    <cellStyle name="集計 11 4 2 10" xfId="4162"/>
    <cellStyle name="集計 11 4 2 2" xfId="4163"/>
    <cellStyle name="集計 11 4 2 2 2" xfId="4164"/>
    <cellStyle name="集計 11 4 2 2 2 2" xfId="4165"/>
    <cellStyle name="集計 11 4 2 2 2 2 2" xfId="4166"/>
    <cellStyle name="集計 11 4 2 2 2 2 2 2" xfId="4167"/>
    <cellStyle name="集計 11 4 2 2 2 2 2 3" xfId="4168"/>
    <cellStyle name="集計 11 4 2 2 2 2 3" xfId="4169"/>
    <cellStyle name="集計 11 4 2 2 2 2 3 2" xfId="4170"/>
    <cellStyle name="集計 11 4 2 2 2 2 3 3" xfId="4171"/>
    <cellStyle name="集計 11 4 2 2 2 2 4" xfId="4172"/>
    <cellStyle name="集計 11 4 2 2 2 2 4 2" xfId="4173"/>
    <cellStyle name="集計 11 4 2 2 2 2 4 3" xfId="4174"/>
    <cellStyle name="集計 11 4 2 2 2 2 5" xfId="4175"/>
    <cellStyle name="集計 11 4 2 2 2 2 6" xfId="4176"/>
    <cellStyle name="集計 11 4 2 2 2 3" xfId="4177"/>
    <cellStyle name="集計 11 4 2 2 2 3 2" xfId="4178"/>
    <cellStyle name="集計 11 4 2 2 2 3 3" xfId="4179"/>
    <cellStyle name="集計 11 4 2 2 2 4" xfId="4180"/>
    <cellStyle name="集計 11 4 2 2 2 4 2" xfId="4181"/>
    <cellStyle name="集計 11 4 2 2 2 4 3" xfId="4182"/>
    <cellStyle name="集計 11 4 2 2 2 5" xfId="4183"/>
    <cellStyle name="集計 11 4 2 2 2 5 2" xfId="4184"/>
    <cellStyle name="集計 11 4 2 2 2 5 3" xfId="4185"/>
    <cellStyle name="集計 11 4 2 2 2 6" xfId="4186"/>
    <cellStyle name="集計 11 4 2 2 2 7" xfId="4187"/>
    <cellStyle name="集計 11 4 2 2 3" xfId="4188"/>
    <cellStyle name="集計 11 4 2 2 3 2" xfId="4189"/>
    <cellStyle name="集計 11 4 2 2 3 2 2" xfId="4190"/>
    <cellStyle name="集計 11 4 2 2 3 2 2 2" xfId="4191"/>
    <cellStyle name="集計 11 4 2 2 3 2 2 3" xfId="4192"/>
    <cellStyle name="集計 11 4 2 2 3 2 3" xfId="4193"/>
    <cellStyle name="集計 11 4 2 2 3 2 3 2" xfId="4194"/>
    <cellStyle name="集計 11 4 2 2 3 2 3 3" xfId="4195"/>
    <cellStyle name="集計 11 4 2 2 3 2 4" xfId="4196"/>
    <cellStyle name="集計 11 4 2 2 3 2 4 2" xfId="4197"/>
    <cellStyle name="集計 11 4 2 2 3 2 4 3" xfId="4198"/>
    <cellStyle name="集計 11 4 2 2 3 2 5" xfId="4199"/>
    <cellStyle name="集計 11 4 2 2 3 2 6" xfId="4200"/>
    <cellStyle name="集計 11 4 2 2 3 3" xfId="4201"/>
    <cellStyle name="集計 11 4 2 2 3 3 2" xfId="4202"/>
    <cellStyle name="集計 11 4 2 2 3 3 3" xfId="4203"/>
    <cellStyle name="集計 11 4 2 2 3 4" xfId="4204"/>
    <cellStyle name="集計 11 4 2 2 3 4 2" xfId="4205"/>
    <cellStyle name="集計 11 4 2 2 3 4 3" xfId="4206"/>
    <cellStyle name="集計 11 4 2 2 3 5" xfId="4207"/>
    <cellStyle name="集計 11 4 2 2 3 5 2" xfId="4208"/>
    <cellStyle name="集計 11 4 2 2 3 5 3" xfId="4209"/>
    <cellStyle name="集計 11 4 2 2 3 6" xfId="4210"/>
    <cellStyle name="集計 11 4 2 2 3 7" xfId="4211"/>
    <cellStyle name="集計 11 4 2 2 4" xfId="4212"/>
    <cellStyle name="集計 11 4 2 2 4 2" xfId="4213"/>
    <cellStyle name="集計 11 4 2 2 4 2 2" xfId="4214"/>
    <cellStyle name="集計 11 4 2 2 4 2 3" xfId="4215"/>
    <cellStyle name="集計 11 4 2 2 4 3" xfId="4216"/>
    <cellStyle name="集計 11 4 2 2 4 3 2" xfId="4217"/>
    <cellStyle name="集計 11 4 2 2 4 3 3" xfId="4218"/>
    <cellStyle name="集計 11 4 2 2 4 4" xfId="4219"/>
    <cellStyle name="集計 11 4 2 2 4 4 2" xfId="4220"/>
    <cellStyle name="集計 11 4 2 2 4 4 3" xfId="4221"/>
    <cellStyle name="集計 11 4 2 2 4 5" xfId="4222"/>
    <cellStyle name="集計 11 4 2 2 4 6" xfId="4223"/>
    <cellStyle name="集計 11 4 2 2 5" xfId="4224"/>
    <cellStyle name="集計 11 4 2 2 5 2" xfId="4225"/>
    <cellStyle name="集計 11 4 2 2 5 3" xfId="4226"/>
    <cellStyle name="集計 11 4 2 2 6" xfId="4227"/>
    <cellStyle name="集計 11 4 2 2 6 2" xfId="4228"/>
    <cellStyle name="集計 11 4 2 2 6 3" xfId="4229"/>
    <cellStyle name="集計 11 4 2 2 7" xfId="4230"/>
    <cellStyle name="集計 11 4 2 2 7 2" xfId="4231"/>
    <cellStyle name="集計 11 4 2 2 7 3" xfId="4232"/>
    <cellStyle name="集計 11 4 2 2 8" xfId="4233"/>
    <cellStyle name="集計 11 4 2 2 9" xfId="4234"/>
    <cellStyle name="集計 11 4 2 3" xfId="4235"/>
    <cellStyle name="集計 11 4 2 3 2" xfId="4236"/>
    <cellStyle name="集計 11 4 2 3 2 2" xfId="4237"/>
    <cellStyle name="集計 11 4 2 3 2 2 2" xfId="4238"/>
    <cellStyle name="集計 11 4 2 3 2 2 3" xfId="4239"/>
    <cellStyle name="集計 11 4 2 3 2 3" xfId="4240"/>
    <cellStyle name="集計 11 4 2 3 2 3 2" xfId="4241"/>
    <cellStyle name="集計 11 4 2 3 2 3 3" xfId="4242"/>
    <cellStyle name="集計 11 4 2 3 2 4" xfId="4243"/>
    <cellStyle name="集計 11 4 2 3 2 4 2" xfId="4244"/>
    <cellStyle name="集計 11 4 2 3 2 4 3" xfId="4245"/>
    <cellStyle name="集計 11 4 2 3 2 5" xfId="4246"/>
    <cellStyle name="集計 11 4 2 3 2 6" xfId="4247"/>
    <cellStyle name="集計 11 4 2 3 3" xfId="4248"/>
    <cellStyle name="集計 11 4 2 3 3 2" xfId="4249"/>
    <cellStyle name="集計 11 4 2 3 3 3" xfId="4250"/>
    <cellStyle name="集計 11 4 2 3 4" xfId="4251"/>
    <cellStyle name="集計 11 4 2 3 4 2" xfId="4252"/>
    <cellStyle name="集計 11 4 2 3 4 3" xfId="4253"/>
    <cellStyle name="集計 11 4 2 3 5" xfId="4254"/>
    <cellStyle name="集計 11 4 2 3 5 2" xfId="4255"/>
    <cellStyle name="集計 11 4 2 3 5 3" xfId="4256"/>
    <cellStyle name="集計 11 4 2 3 6" xfId="4257"/>
    <cellStyle name="集計 11 4 2 3 7" xfId="4258"/>
    <cellStyle name="集計 11 4 2 4" xfId="4259"/>
    <cellStyle name="集計 11 4 2 4 2" xfId="4260"/>
    <cellStyle name="集計 11 4 2 4 2 2" xfId="4261"/>
    <cellStyle name="集計 11 4 2 4 2 2 2" xfId="4262"/>
    <cellStyle name="集計 11 4 2 4 2 2 3" xfId="4263"/>
    <cellStyle name="集計 11 4 2 4 2 3" xfId="4264"/>
    <cellStyle name="集計 11 4 2 4 2 3 2" xfId="4265"/>
    <cellStyle name="集計 11 4 2 4 2 3 3" xfId="4266"/>
    <cellStyle name="集計 11 4 2 4 2 4" xfId="4267"/>
    <cellStyle name="集計 11 4 2 4 2 4 2" xfId="4268"/>
    <cellStyle name="集計 11 4 2 4 2 4 3" xfId="4269"/>
    <cellStyle name="集計 11 4 2 4 2 5" xfId="4270"/>
    <cellStyle name="集計 11 4 2 4 2 6" xfId="4271"/>
    <cellStyle name="集計 11 4 2 4 3" xfId="4272"/>
    <cellStyle name="集計 11 4 2 4 3 2" xfId="4273"/>
    <cellStyle name="集計 11 4 2 4 3 3" xfId="4274"/>
    <cellStyle name="集計 11 4 2 4 4" xfId="4275"/>
    <cellStyle name="集計 11 4 2 4 4 2" xfId="4276"/>
    <cellStyle name="集計 11 4 2 4 4 3" xfId="4277"/>
    <cellStyle name="集計 11 4 2 4 5" xfId="4278"/>
    <cellStyle name="集計 11 4 2 4 5 2" xfId="4279"/>
    <cellStyle name="集計 11 4 2 4 5 3" xfId="4280"/>
    <cellStyle name="集計 11 4 2 4 6" xfId="4281"/>
    <cellStyle name="集計 11 4 2 4 7" xfId="4282"/>
    <cellStyle name="集計 11 4 2 5" xfId="4283"/>
    <cellStyle name="集計 11 4 2 5 2" xfId="4284"/>
    <cellStyle name="集計 11 4 2 5 2 2" xfId="4285"/>
    <cellStyle name="集計 11 4 2 5 2 3" xfId="4286"/>
    <cellStyle name="集計 11 4 2 5 3" xfId="4287"/>
    <cellStyle name="集計 11 4 2 5 3 2" xfId="4288"/>
    <cellStyle name="集計 11 4 2 5 3 3" xfId="4289"/>
    <cellStyle name="集計 11 4 2 5 4" xfId="4290"/>
    <cellStyle name="集計 11 4 2 5 4 2" xfId="4291"/>
    <cellStyle name="集計 11 4 2 5 4 3" xfId="4292"/>
    <cellStyle name="集計 11 4 2 5 5" xfId="4293"/>
    <cellStyle name="集計 11 4 2 5 6" xfId="4294"/>
    <cellStyle name="集計 11 4 2 6" xfId="4295"/>
    <cellStyle name="集計 11 4 2 6 2" xfId="4296"/>
    <cellStyle name="集計 11 4 2 6 3" xfId="4297"/>
    <cellStyle name="集計 11 4 2 7" xfId="4298"/>
    <cellStyle name="集計 11 4 2 7 2" xfId="4299"/>
    <cellStyle name="集計 11 4 2 7 3" xfId="4300"/>
    <cellStyle name="集計 11 4 2 8" xfId="4301"/>
    <cellStyle name="集計 11 4 2 8 2" xfId="4302"/>
    <cellStyle name="集計 11 4 2 8 3" xfId="4303"/>
    <cellStyle name="集計 11 4 2 9" xfId="4304"/>
    <cellStyle name="集計 11 4 3" xfId="4305"/>
    <cellStyle name="集計 11 4 3 2" xfId="4306"/>
    <cellStyle name="集計 11 4 3 2 2" xfId="4307"/>
    <cellStyle name="集計 11 4 3 2 2 2" xfId="4308"/>
    <cellStyle name="集計 11 4 3 2 2 3" xfId="4309"/>
    <cellStyle name="集計 11 4 3 2 3" xfId="4310"/>
    <cellStyle name="集計 11 4 3 2 3 2" xfId="4311"/>
    <cellStyle name="集計 11 4 3 2 3 3" xfId="4312"/>
    <cellStyle name="集計 11 4 3 2 4" xfId="4313"/>
    <cellStyle name="集計 11 4 3 2 4 2" xfId="4314"/>
    <cellStyle name="集計 11 4 3 2 4 3" xfId="4315"/>
    <cellStyle name="集計 11 4 3 2 5" xfId="4316"/>
    <cellStyle name="集計 11 4 3 2 6" xfId="4317"/>
    <cellStyle name="集計 11 4 3 3" xfId="4318"/>
    <cellStyle name="集計 11 4 3 3 2" xfId="4319"/>
    <cellStyle name="集計 11 4 3 3 3" xfId="4320"/>
    <cellStyle name="集計 11 4 3 4" xfId="4321"/>
    <cellStyle name="集計 11 4 3 4 2" xfId="4322"/>
    <cellStyle name="集計 11 4 3 4 3" xfId="4323"/>
    <cellStyle name="集計 11 4 3 5" xfId="4324"/>
    <cellStyle name="集計 11 4 3 5 2" xfId="4325"/>
    <cellStyle name="集計 11 4 3 5 3" xfId="4326"/>
    <cellStyle name="集計 11 4 3 6" xfId="4327"/>
    <cellStyle name="集計 11 4 3 7" xfId="4328"/>
    <cellStyle name="集計 11 4 4" xfId="4329"/>
    <cellStyle name="集計 11 4 4 2" xfId="4330"/>
    <cellStyle name="集計 11 4 4 2 2" xfId="4331"/>
    <cellStyle name="集計 11 4 4 2 2 2" xfId="4332"/>
    <cellStyle name="集計 11 4 4 2 2 3" xfId="4333"/>
    <cellStyle name="集計 11 4 4 2 3" xfId="4334"/>
    <cellStyle name="集計 11 4 4 2 3 2" xfId="4335"/>
    <cellStyle name="集計 11 4 4 2 3 3" xfId="4336"/>
    <cellStyle name="集計 11 4 4 2 4" xfId="4337"/>
    <cellStyle name="集計 11 4 4 2 4 2" xfId="4338"/>
    <cellStyle name="集計 11 4 4 2 4 3" xfId="4339"/>
    <cellStyle name="集計 11 4 4 2 5" xfId="4340"/>
    <cellStyle name="集計 11 4 4 2 6" xfId="4341"/>
    <cellStyle name="集計 11 4 4 3" xfId="4342"/>
    <cellStyle name="集計 11 4 4 3 2" xfId="4343"/>
    <cellStyle name="集計 11 4 4 3 3" xfId="4344"/>
    <cellStyle name="集計 11 4 4 4" xfId="4345"/>
    <cellStyle name="集計 11 4 4 4 2" xfId="4346"/>
    <cellStyle name="集計 11 4 4 4 3" xfId="4347"/>
    <cellStyle name="集計 11 4 4 5" xfId="4348"/>
    <cellStyle name="集計 11 4 4 5 2" xfId="4349"/>
    <cellStyle name="集計 11 4 4 5 3" xfId="4350"/>
    <cellStyle name="集計 11 4 4 6" xfId="4351"/>
    <cellStyle name="集計 11 4 4 7" xfId="4352"/>
    <cellStyle name="集計 11 4 5" xfId="4353"/>
    <cellStyle name="集計 11 4 5 2" xfId="4354"/>
    <cellStyle name="集計 11 4 5 2 2" xfId="4355"/>
    <cellStyle name="集計 11 4 5 2 3" xfId="4356"/>
    <cellStyle name="集計 11 4 5 3" xfId="4357"/>
    <cellStyle name="集計 11 4 5 3 2" xfId="4358"/>
    <cellStyle name="集計 11 4 5 3 3" xfId="4359"/>
    <cellStyle name="集計 11 4 5 4" xfId="4360"/>
    <cellStyle name="集計 11 4 5 4 2" xfId="4361"/>
    <cellStyle name="集計 11 4 5 4 3" xfId="4362"/>
    <cellStyle name="集計 11 4 5 5" xfId="4363"/>
    <cellStyle name="集計 11 4 5 6" xfId="4364"/>
    <cellStyle name="集計 11 4 6" xfId="4365"/>
    <cellStyle name="集計 11 4 6 2" xfId="4366"/>
    <cellStyle name="集計 11 4 6 3" xfId="4367"/>
    <cellStyle name="集計 11 4 7" xfId="4368"/>
    <cellStyle name="集計 11 4 7 2" xfId="4369"/>
    <cellStyle name="集計 11 4 7 3" xfId="4370"/>
    <cellStyle name="集計 11 4 8" xfId="4371"/>
    <cellStyle name="集計 11 4 8 2" xfId="4372"/>
    <cellStyle name="集計 11 4 8 3" xfId="4373"/>
    <cellStyle name="集計 11 4 9" xfId="4374"/>
    <cellStyle name="集計 11 5" xfId="4375"/>
    <cellStyle name="集計 11 5 10" xfId="4376"/>
    <cellStyle name="集計 11 5 2" xfId="4377"/>
    <cellStyle name="集計 11 5 2 2" xfId="4378"/>
    <cellStyle name="集計 11 5 2 2 2" xfId="4379"/>
    <cellStyle name="集計 11 5 2 2 2 2" xfId="4380"/>
    <cellStyle name="集計 11 5 2 2 2 2 2" xfId="4381"/>
    <cellStyle name="集計 11 5 2 2 2 2 3" xfId="4382"/>
    <cellStyle name="集計 11 5 2 2 2 3" xfId="4383"/>
    <cellStyle name="集計 11 5 2 2 2 3 2" xfId="4384"/>
    <cellStyle name="集計 11 5 2 2 2 3 3" xfId="4385"/>
    <cellStyle name="集計 11 5 2 2 2 4" xfId="4386"/>
    <cellStyle name="集計 11 5 2 2 2 4 2" xfId="4387"/>
    <cellStyle name="集計 11 5 2 2 2 4 3" xfId="4388"/>
    <cellStyle name="集計 11 5 2 2 2 5" xfId="4389"/>
    <cellStyle name="集計 11 5 2 2 2 6" xfId="4390"/>
    <cellStyle name="集計 11 5 2 2 3" xfId="4391"/>
    <cellStyle name="集計 11 5 2 2 3 2" xfId="4392"/>
    <cellStyle name="集計 11 5 2 2 3 3" xfId="4393"/>
    <cellStyle name="集計 11 5 2 2 4" xfId="4394"/>
    <cellStyle name="集計 11 5 2 2 4 2" xfId="4395"/>
    <cellStyle name="集計 11 5 2 2 4 3" xfId="4396"/>
    <cellStyle name="集計 11 5 2 2 5" xfId="4397"/>
    <cellStyle name="集計 11 5 2 2 5 2" xfId="4398"/>
    <cellStyle name="集計 11 5 2 2 5 3" xfId="4399"/>
    <cellStyle name="集計 11 5 2 2 6" xfId="4400"/>
    <cellStyle name="集計 11 5 2 2 7" xfId="4401"/>
    <cellStyle name="集計 11 5 2 3" xfId="4402"/>
    <cellStyle name="集計 11 5 2 3 2" xfId="4403"/>
    <cellStyle name="集計 11 5 2 3 2 2" xfId="4404"/>
    <cellStyle name="集計 11 5 2 3 2 2 2" xfId="4405"/>
    <cellStyle name="集計 11 5 2 3 2 2 3" xfId="4406"/>
    <cellStyle name="集計 11 5 2 3 2 3" xfId="4407"/>
    <cellStyle name="集計 11 5 2 3 2 3 2" xfId="4408"/>
    <cellStyle name="集計 11 5 2 3 2 3 3" xfId="4409"/>
    <cellStyle name="集計 11 5 2 3 2 4" xfId="4410"/>
    <cellStyle name="集計 11 5 2 3 2 4 2" xfId="4411"/>
    <cellStyle name="集計 11 5 2 3 2 4 3" xfId="4412"/>
    <cellStyle name="集計 11 5 2 3 2 5" xfId="4413"/>
    <cellStyle name="集計 11 5 2 3 2 6" xfId="4414"/>
    <cellStyle name="集計 11 5 2 3 3" xfId="4415"/>
    <cellStyle name="集計 11 5 2 3 3 2" xfId="4416"/>
    <cellStyle name="集計 11 5 2 3 3 3" xfId="4417"/>
    <cellStyle name="集計 11 5 2 3 4" xfId="4418"/>
    <cellStyle name="集計 11 5 2 3 4 2" xfId="4419"/>
    <cellStyle name="集計 11 5 2 3 4 3" xfId="4420"/>
    <cellStyle name="集計 11 5 2 3 5" xfId="4421"/>
    <cellStyle name="集計 11 5 2 3 5 2" xfId="4422"/>
    <cellStyle name="集計 11 5 2 3 5 3" xfId="4423"/>
    <cellStyle name="集計 11 5 2 3 6" xfId="4424"/>
    <cellStyle name="集計 11 5 2 3 7" xfId="4425"/>
    <cellStyle name="集計 11 5 2 4" xfId="4426"/>
    <cellStyle name="集計 11 5 2 4 2" xfId="4427"/>
    <cellStyle name="集計 11 5 2 4 2 2" xfId="4428"/>
    <cellStyle name="集計 11 5 2 4 2 3" xfId="4429"/>
    <cellStyle name="集計 11 5 2 4 3" xfId="4430"/>
    <cellStyle name="集計 11 5 2 4 3 2" xfId="4431"/>
    <cellStyle name="集計 11 5 2 4 3 3" xfId="4432"/>
    <cellStyle name="集計 11 5 2 4 4" xfId="4433"/>
    <cellStyle name="集計 11 5 2 4 4 2" xfId="4434"/>
    <cellStyle name="集計 11 5 2 4 4 3" xfId="4435"/>
    <cellStyle name="集計 11 5 2 4 5" xfId="4436"/>
    <cellStyle name="集計 11 5 2 4 6" xfId="4437"/>
    <cellStyle name="集計 11 5 2 5" xfId="4438"/>
    <cellStyle name="集計 11 5 2 5 2" xfId="4439"/>
    <cellStyle name="集計 11 5 2 5 3" xfId="4440"/>
    <cellStyle name="集計 11 5 2 6" xfId="4441"/>
    <cellStyle name="集計 11 5 2 6 2" xfId="4442"/>
    <cellStyle name="集計 11 5 2 6 3" xfId="4443"/>
    <cellStyle name="集計 11 5 2 7" xfId="4444"/>
    <cellStyle name="集計 11 5 2 7 2" xfId="4445"/>
    <cellStyle name="集計 11 5 2 7 3" xfId="4446"/>
    <cellStyle name="集計 11 5 2 8" xfId="4447"/>
    <cellStyle name="集計 11 5 2 9" xfId="4448"/>
    <cellStyle name="集計 11 5 3" xfId="4449"/>
    <cellStyle name="集計 11 5 3 2" xfId="4450"/>
    <cellStyle name="集計 11 5 3 2 2" xfId="4451"/>
    <cellStyle name="集計 11 5 3 2 2 2" xfId="4452"/>
    <cellStyle name="集計 11 5 3 2 2 3" xfId="4453"/>
    <cellStyle name="集計 11 5 3 2 3" xfId="4454"/>
    <cellStyle name="集計 11 5 3 2 3 2" xfId="4455"/>
    <cellStyle name="集計 11 5 3 2 3 3" xfId="4456"/>
    <cellStyle name="集計 11 5 3 2 4" xfId="4457"/>
    <cellStyle name="集計 11 5 3 2 4 2" xfId="4458"/>
    <cellStyle name="集計 11 5 3 2 4 3" xfId="4459"/>
    <cellStyle name="集計 11 5 3 2 5" xfId="4460"/>
    <cellStyle name="集計 11 5 3 2 6" xfId="4461"/>
    <cellStyle name="集計 11 5 3 3" xfId="4462"/>
    <cellStyle name="集計 11 5 3 3 2" xfId="4463"/>
    <cellStyle name="集計 11 5 3 3 3" xfId="4464"/>
    <cellStyle name="集計 11 5 3 4" xfId="4465"/>
    <cellStyle name="集計 11 5 3 4 2" xfId="4466"/>
    <cellStyle name="集計 11 5 3 4 3" xfId="4467"/>
    <cellStyle name="集計 11 5 3 5" xfId="4468"/>
    <cellStyle name="集計 11 5 3 5 2" xfId="4469"/>
    <cellStyle name="集計 11 5 3 5 3" xfId="4470"/>
    <cellStyle name="集計 11 5 3 6" xfId="4471"/>
    <cellStyle name="集計 11 5 3 7" xfId="4472"/>
    <cellStyle name="集計 11 5 4" xfId="4473"/>
    <cellStyle name="集計 11 5 4 2" xfId="4474"/>
    <cellStyle name="集計 11 5 4 2 2" xfId="4475"/>
    <cellStyle name="集計 11 5 4 2 2 2" xfId="4476"/>
    <cellStyle name="集計 11 5 4 2 2 3" xfId="4477"/>
    <cellStyle name="集計 11 5 4 2 3" xfId="4478"/>
    <cellStyle name="集計 11 5 4 2 3 2" xfId="4479"/>
    <cellStyle name="集計 11 5 4 2 3 3" xfId="4480"/>
    <cellStyle name="集計 11 5 4 2 4" xfId="4481"/>
    <cellStyle name="集計 11 5 4 2 4 2" xfId="4482"/>
    <cellStyle name="集計 11 5 4 2 4 3" xfId="4483"/>
    <cellStyle name="集計 11 5 4 2 5" xfId="4484"/>
    <cellStyle name="集計 11 5 4 2 6" xfId="4485"/>
    <cellStyle name="集計 11 5 4 3" xfId="4486"/>
    <cellStyle name="集計 11 5 4 3 2" xfId="4487"/>
    <cellStyle name="集計 11 5 4 3 3" xfId="4488"/>
    <cellStyle name="集計 11 5 4 4" xfId="4489"/>
    <cellStyle name="集計 11 5 4 4 2" xfId="4490"/>
    <cellStyle name="集計 11 5 4 4 3" xfId="4491"/>
    <cellStyle name="集計 11 5 4 5" xfId="4492"/>
    <cellStyle name="集計 11 5 4 5 2" xfId="4493"/>
    <cellStyle name="集計 11 5 4 5 3" xfId="4494"/>
    <cellStyle name="集計 11 5 4 6" xfId="4495"/>
    <cellStyle name="集計 11 5 4 7" xfId="4496"/>
    <cellStyle name="集計 11 5 5" xfId="4497"/>
    <cellStyle name="集計 11 5 5 2" xfId="4498"/>
    <cellStyle name="集計 11 5 5 2 2" xfId="4499"/>
    <cellStyle name="集計 11 5 5 2 3" xfId="4500"/>
    <cellStyle name="集計 11 5 5 3" xfId="4501"/>
    <cellStyle name="集計 11 5 5 3 2" xfId="4502"/>
    <cellStyle name="集計 11 5 5 3 3" xfId="4503"/>
    <cellStyle name="集計 11 5 5 4" xfId="4504"/>
    <cellStyle name="集計 11 5 5 4 2" xfId="4505"/>
    <cellStyle name="集計 11 5 5 4 3" xfId="4506"/>
    <cellStyle name="集計 11 5 5 5" xfId="4507"/>
    <cellStyle name="集計 11 5 5 6" xfId="4508"/>
    <cellStyle name="集計 11 5 6" xfId="4509"/>
    <cellStyle name="集計 11 5 6 2" xfId="4510"/>
    <cellStyle name="集計 11 5 6 3" xfId="4511"/>
    <cellStyle name="集計 11 5 7" xfId="4512"/>
    <cellStyle name="集計 11 5 7 2" xfId="4513"/>
    <cellStyle name="集計 11 5 7 3" xfId="4514"/>
    <cellStyle name="集計 11 5 8" xfId="4515"/>
    <cellStyle name="集計 11 5 8 2" xfId="4516"/>
    <cellStyle name="集計 11 5 8 3" xfId="4517"/>
    <cellStyle name="集計 11 5 9" xfId="4518"/>
    <cellStyle name="集計 11 6" xfId="4519"/>
    <cellStyle name="集計 11 6 10" xfId="4520"/>
    <cellStyle name="集計 11 6 2" xfId="4521"/>
    <cellStyle name="集計 11 6 2 2" xfId="4522"/>
    <cellStyle name="集計 11 6 2 2 2" xfId="4523"/>
    <cellStyle name="集計 11 6 2 2 2 2" xfId="4524"/>
    <cellStyle name="集計 11 6 2 2 2 2 2" xfId="4525"/>
    <cellStyle name="集計 11 6 2 2 2 2 3" xfId="4526"/>
    <cellStyle name="集計 11 6 2 2 2 3" xfId="4527"/>
    <cellStyle name="集計 11 6 2 2 2 3 2" xfId="4528"/>
    <cellStyle name="集計 11 6 2 2 2 3 3" xfId="4529"/>
    <cellStyle name="集計 11 6 2 2 2 4" xfId="4530"/>
    <cellStyle name="集計 11 6 2 2 2 4 2" xfId="4531"/>
    <cellStyle name="集計 11 6 2 2 2 4 3" xfId="4532"/>
    <cellStyle name="集計 11 6 2 2 2 5" xfId="4533"/>
    <cellStyle name="集計 11 6 2 2 2 6" xfId="4534"/>
    <cellStyle name="集計 11 6 2 2 3" xfId="4535"/>
    <cellStyle name="集計 11 6 2 2 3 2" xfId="4536"/>
    <cellStyle name="集計 11 6 2 2 3 3" xfId="4537"/>
    <cellStyle name="集計 11 6 2 2 4" xfId="4538"/>
    <cellStyle name="集計 11 6 2 2 4 2" xfId="4539"/>
    <cellStyle name="集計 11 6 2 2 4 3" xfId="4540"/>
    <cellStyle name="集計 11 6 2 2 5" xfId="4541"/>
    <cellStyle name="集計 11 6 2 2 5 2" xfId="4542"/>
    <cellStyle name="集計 11 6 2 2 5 3" xfId="4543"/>
    <cellStyle name="集計 11 6 2 2 6" xfId="4544"/>
    <cellStyle name="集計 11 6 2 2 7" xfId="4545"/>
    <cellStyle name="集計 11 6 2 3" xfId="4546"/>
    <cellStyle name="集計 11 6 2 3 2" xfId="4547"/>
    <cellStyle name="集計 11 6 2 3 2 2" xfId="4548"/>
    <cellStyle name="集計 11 6 2 3 2 2 2" xfId="4549"/>
    <cellStyle name="集計 11 6 2 3 2 2 3" xfId="4550"/>
    <cellStyle name="集計 11 6 2 3 2 3" xfId="4551"/>
    <cellStyle name="集計 11 6 2 3 2 3 2" xfId="4552"/>
    <cellStyle name="集計 11 6 2 3 2 3 3" xfId="4553"/>
    <cellStyle name="集計 11 6 2 3 2 4" xfId="4554"/>
    <cellStyle name="集計 11 6 2 3 2 4 2" xfId="4555"/>
    <cellStyle name="集計 11 6 2 3 2 4 3" xfId="4556"/>
    <cellStyle name="集計 11 6 2 3 2 5" xfId="4557"/>
    <cellStyle name="集計 11 6 2 3 2 6" xfId="4558"/>
    <cellStyle name="集計 11 6 2 3 3" xfId="4559"/>
    <cellStyle name="集計 11 6 2 3 3 2" xfId="4560"/>
    <cellStyle name="集計 11 6 2 3 3 3" xfId="4561"/>
    <cellStyle name="集計 11 6 2 3 4" xfId="4562"/>
    <cellStyle name="集計 11 6 2 3 4 2" xfId="4563"/>
    <cellStyle name="集計 11 6 2 3 4 3" xfId="4564"/>
    <cellStyle name="集計 11 6 2 3 5" xfId="4565"/>
    <cellStyle name="集計 11 6 2 3 5 2" xfId="4566"/>
    <cellStyle name="集計 11 6 2 3 5 3" xfId="4567"/>
    <cellStyle name="集計 11 6 2 3 6" xfId="4568"/>
    <cellStyle name="集計 11 6 2 3 7" xfId="4569"/>
    <cellStyle name="集計 11 6 2 4" xfId="4570"/>
    <cellStyle name="集計 11 6 2 4 2" xfId="4571"/>
    <cellStyle name="集計 11 6 2 4 2 2" xfId="4572"/>
    <cellStyle name="集計 11 6 2 4 2 3" xfId="4573"/>
    <cellStyle name="集計 11 6 2 4 3" xfId="4574"/>
    <cellStyle name="集計 11 6 2 4 3 2" xfId="4575"/>
    <cellStyle name="集計 11 6 2 4 3 3" xfId="4576"/>
    <cellStyle name="集計 11 6 2 4 4" xfId="4577"/>
    <cellStyle name="集計 11 6 2 4 4 2" xfId="4578"/>
    <cellStyle name="集計 11 6 2 4 4 3" xfId="4579"/>
    <cellStyle name="集計 11 6 2 4 5" xfId="4580"/>
    <cellStyle name="集計 11 6 2 4 6" xfId="4581"/>
    <cellStyle name="集計 11 6 2 5" xfId="4582"/>
    <cellStyle name="集計 11 6 2 5 2" xfId="4583"/>
    <cellStyle name="集計 11 6 2 5 3" xfId="4584"/>
    <cellStyle name="集計 11 6 2 6" xfId="4585"/>
    <cellStyle name="集計 11 6 2 6 2" xfId="4586"/>
    <cellStyle name="集計 11 6 2 6 3" xfId="4587"/>
    <cellStyle name="集計 11 6 2 7" xfId="4588"/>
    <cellStyle name="集計 11 6 2 7 2" xfId="4589"/>
    <cellStyle name="集計 11 6 2 7 3" xfId="4590"/>
    <cellStyle name="集計 11 6 2 8" xfId="4591"/>
    <cellStyle name="集計 11 6 2 9" xfId="4592"/>
    <cellStyle name="集計 11 6 3" xfId="4593"/>
    <cellStyle name="集計 11 6 3 2" xfId="4594"/>
    <cellStyle name="集計 11 6 3 2 2" xfId="4595"/>
    <cellStyle name="集計 11 6 3 2 2 2" xfId="4596"/>
    <cellStyle name="集計 11 6 3 2 2 3" xfId="4597"/>
    <cellStyle name="集計 11 6 3 2 3" xfId="4598"/>
    <cellStyle name="集計 11 6 3 2 3 2" xfId="4599"/>
    <cellStyle name="集計 11 6 3 2 3 3" xfId="4600"/>
    <cellStyle name="集計 11 6 3 2 4" xfId="4601"/>
    <cellStyle name="集計 11 6 3 2 4 2" xfId="4602"/>
    <cellStyle name="集計 11 6 3 2 4 3" xfId="4603"/>
    <cellStyle name="集計 11 6 3 2 5" xfId="4604"/>
    <cellStyle name="集計 11 6 3 2 6" xfId="4605"/>
    <cellStyle name="集計 11 6 3 3" xfId="4606"/>
    <cellStyle name="集計 11 6 3 3 2" xfId="4607"/>
    <cellStyle name="集計 11 6 3 3 3" xfId="4608"/>
    <cellStyle name="集計 11 6 3 4" xfId="4609"/>
    <cellStyle name="集計 11 6 3 4 2" xfId="4610"/>
    <cellStyle name="集計 11 6 3 4 3" xfId="4611"/>
    <cellStyle name="集計 11 6 3 5" xfId="4612"/>
    <cellStyle name="集計 11 6 3 5 2" xfId="4613"/>
    <cellStyle name="集計 11 6 3 5 3" xfId="4614"/>
    <cellStyle name="集計 11 6 3 6" xfId="4615"/>
    <cellStyle name="集計 11 6 3 7" xfId="4616"/>
    <cellStyle name="集計 11 6 4" xfId="4617"/>
    <cellStyle name="集計 11 6 4 2" xfId="4618"/>
    <cellStyle name="集計 11 6 4 2 2" xfId="4619"/>
    <cellStyle name="集計 11 6 4 2 2 2" xfId="4620"/>
    <cellStyle name="集計 11 6 4 2 2 3" xfId="4621"/>
    <cellStyle name="集計 11 6 4 2 3" xfId="4622"/>
    <cellStyle name="集計 11 6 4 2 3 2" xfId="4623"/>
    <cellStyle name="集計 11 6 4 2 3 3" xfId="4624"/>
    <cellStyle name="集計 11 6 4 2 4" xfId="4625"/>
    <cellStyle name="集計 11 6 4 2 4 2" xfId="4626"/>
    <cellStyle name="集計 11 6 4 2 4 3" xfId="4627"/>
    <cellStyle name="集計 11 6 4 2 5" xfId="4628"/>
    <cellStyle name="集計 11 6 4 2 6" xfId="4629"/>
    <cellStyle name="集計 11 6 4 3" xfId="4630"/>
    <cellStyle name="集計 11 6 4 3 2" xfId="4631"/>
    <cellStyle name="集計 11 6 4 3 3" xfId="4632"/>
    <cellStyle name="集計 11 6 4 4" xfId="4633"/>
    <cellStyle name="集計 11 6 4 4 2" xfId="4634"/>
    <cellStyle name="集計 11 6 4 4 3" xfId="4635"/>
    <cellStyle name="集計 11 6 4 5" xfId="4636"/>
    <cellStyle name="集計 11 6 4 5 2" xfId="4637"/>
    <cellStyle name="集計 11 6 4 5 3" xfId="4638"/>
    <cellStyle name="集計 11 6 4 6" xfId="4639"/>
    <cellStyle name="集計 11 6 4 7" xfId="4640"/>
    <cellStyle name="集計 11 6 5" xfId="4641"/>
    <cellStyle name="集計 11 6 5 2" xfId="4642"/>
    <cellStyle name="集計 11 6 5 2 2" xfId="4643"/>
    <cellStyle name="集計 11 6 5 2 3" xfId="4644"/>
    <cellStyle name="集計 11 6 5 3" xfId="4645"/>
    <cellStyle name="集計 11 6 5 3 2" xfId="4646"/>
    <cellStyle name="集計 11 6 5 3 3" xfId="4647"/>
    <cellStyle name="集計 11 6 5 4" xfId="4648"/>
    <cellStyle name="集計 11 6 5 4 2" xfId="4649"/>
    <cellStyle name="集計 11 6 5 4 3" xfId="4650"/>
    <cellStyle name="集計 11 6 5 5" xfId="4651"/>
    <cellStyle name="集計 11 6 5 6" xfId="4652"/>
    <cellStyle name="集計 11 6 6" xfId="4653"/>
    <cellStyle name="集計 11 6 6 2" xfId="4654"/>
    <cellStyle name="集計 11 6 6 3" xfId="4655"/>
    <cellStyle name="集計 11 6 7" xfId="4656"/>
    <cellStyle name="集計 11 6 7 2" xfId="4657"/>
    <cellStyle name="集計 11 6 7 3" xfId="4658"/>
    <cellStyle name="集計 11 6 8" xfId="4659"/>
    <cellStyle name="集計 11 6 8 2" xfId="4660"/>
    <cellStyle name="集計 11 6 8 3" xfId="4661"/>
    <cellStyle name="集計 11 6 9" xfId="4662"/>
    <cellStyle name="集計 11 7" xfId="4663"/>
    <cellStyle name="集計 11 7 2" xfId="4664"/>
    <cellStyle name="集計 11 7 2 2" xfId="4665"/>
    <cellStyle name="集計 11 7 2 2 2" xfId="4666"/>
    <cellStyle name="集計 11 7 2 2 3" xfId="4667"/>
    <cellStyle name="集計 11 7 2 3" xfId="4668"/>
    <cellStyle name="集計 11 7 2 3 2" xfId="4669"/>
    <cellStyle name="集計 11 7 2 3 3" xfId="4670"/>
    <cellStyle name="集計 11 7 2 4" xfId="4671"/>
    <cellStyle name="集計 11 7 2 4 2" xfId="4672"/>
    <cellStyle name="集計 11 7 2 4 3" xfId="4673"/>
    <cellStyle name="集計 11 7 2 5" xfId="4674"/>
    <cellStyle name="集計 11 7 2 6" xfId="4675"/>
    <cellStyle name="集計 11 7 3" xfId="4676"/>
    <cellStyle name="集計 11 7 3 2" xfId="4677"/>
    <cellStyle name="集計 11 7 3 3" xfId="4678"/>
    <cellStyle name="集計 11 7 4" xfId="4679"/>
    <cellStyle name="集計 11 7 4 2" xfId="4680"/>
    <cellStyle name="集計 11 7 4 3" xfId="4681"/>
    <cellStyle name="集計 11 7 5" xfId="4682"/>
    <cellStyle name="集計 11 7 5 2" xfId="4683"/>
    <cellStyle name="集計 11 7 5 3" xfId="4684"/>
    <cellStyle name="集計 11 7 6" xfId="4685"/>
    <cellStyle name="集計 11 7 7" xfId="4686"/>
    <cellStyle name="集計 11 8" xfId="4687"/>
    <cellStyle name="集計 11 8 2" xfId="4688"/>
    <cellStyle name="集計 11 8 2 2" xfId="4689"/>
    <cellStyle name="集計 11 8 2 2 2" xfId="4690"/>
    <cellStyle name="集計 11 8 2 2 3" xfId="4691"/>
    <cellStyle name="集計 11 8 2 3" xfId="4692"/>
    <cellStyle name="集計 11 8 2 3 2" xfId="4693"/>
    <cellStyle name="集計 11 8 2 3 3" xfId="4694"/>
    <cellStyle name="集計 11 8 2 4" xfId="4695"/>
    <cellStyle name="集計 11 8 2 4 2" xfId="4696"/>
    <cellStyle name="集計 11 8 2 4 3" xfId="4697"/>
    <cellStyle name="集計 11 8 2 5" xfId="4698"/>
    <cellStyle name="集計 11 8 2 6" xfId="4699"/>
    <cellStyle name="集計 11 8 3" xfId="4700"/>
    <cellStyle name="集計 11 8 3 2" xfId="4701"/>
    <cellStyle name="集計 11 8 3 3" xfId="4702"/>
    <cellStyle name="集計 11 8 4" xfId="4703"/>
    <cellStyle name="集計 11 8 4 2" xfId="4704"/>
    <cellStyle name="集計 11 8 4 3" xfId="4705"/>
    <cellStyle name="集計 11 8 5" xfId="4706"/>
    <cellStyle name="集計 11 8 5 2" xfId="4707"/>
    <cellStyle name="集計 11 8 5 3" xfId="4708"/>
    <cellStyle name="集計 11 8 6" xfId="4709"/>
    <cellStyle name="集計 11 8 7" xfId="4710"/>
    <cellStyle name="集計 11 9" xfId="4711"/>
    <cellStyle name="集計 11 9 2" xfId="4712"/>
    <cellStyle name="集計 11 9 2 2" xfId="4713"/>
    <cellStyle name="集計 11 9 2 3" xfId="4714"/>
    <cellStyle name="集計 11 9 3" xfId="4715"/>
    <cellStyle name="集計 11 9 3 2" xfId="4716"/>
    <cellStyle name="集計 11 9 3 3" xfId="4717"/>
    <cellStyle name="集計 11 9 4" xfId="4718"/>
    <cellStyle name="集計 11 9 4 2" xfId="4719"/>
    <cellStyle name="集計 11 9 4 3" xfId="4720"/>
    <cellStyle name="集計 11 9 5" xfId="4721"/>
    <cellStyle name="集計 11 9 6" xfId="4722"/>
    <cellStyle name="集計 12" xfId="4723"/>
    <cellStyle name="集計 12 10" xfId="4724"/>
    <cellStyle name="集計 12 10 2" xfId="4725"/>
    <cellStyle name="集計 12 10 3" xfId="4726"/>
    <cellStyle name="集計 12 11" xfId="4727"/>
    <cellStyle name="集計 12 11 2" xfId="4728"/>
    <cellStyle name="集計 12 11 3" xfId="4729"/>
    <cellStyle name="集計 12 12" xfId="4730"/>
    <cellStyle name="集計 12 12 2" xfId="4731"/>
    <cellStyle name="集計 12 12 3" xfId="4732"/>
    <cellStyle name="集計 12 13" xfId="4733"/>
    <cellStyle name="集計 12 14" xfId="4734"/>
    <cellStyle name="集計 12 2" xfId="4735"/>
    <cellStyle name="集計 12 2 10" xfId="4736"/>
    <cellStyle name="集計 12 2 2" xfId="4737"/>
    <cellStyle name="集計 12 2 2 10" xfId="4738"/>
    <cellStyle name="集計 12 2 2 2" xfId="4739"/>
    <cellStyle name="集計 12 2 2 2 2" xfId="4740"/>
    <cellStyle name="集計 12 2 2 2 2 2" xfId="4741"/>
    <cellStyle name="集計 12 2 2 2 2 2 2" xfId="4742"/>
    <cellStyle name="集計 12 2 2 2 2 2 2 2" xfId="4743"/>
    <cellStyle name="集計 12 2 2 2 2 2 2 3" xfId="4744"/>
    <cellStyle name="集計 12 2 2 2 2 2 3" xfId="4745"/>
    <cellStyle name="集計 12 2 2 2 2 2 3 2" xfId="4746"/>
    <cellStyle name="集計 12 2 2 2 2 2 3 3" xfId="4747"/>
    <cellStyle name="集計 12 2 2 2 2 2 4" xfId="4748"/>
    <cellStyle name="集計 12 2 2 2 2 2 4 2" xfId="4749"/>
    <cellStyle name="集計 12 2 2 2 2 2 4 3" xfId="4750"/>
    <cellStyle name="集計 12 2 2 2 2 2 5" xfId="4751"/>
    <cellStyle name="集計 12 2 2 2 2 2 6" xfId="4752"/>
    <cellStyle name="集計 12 2 2 2 2 3" xfId="4753"/>
    <cellStyle name="集計 12 2 2 2 2 3 2" xfId="4754"/>
    <cellStyle name="集計 12 2 2 2 2 3 3" xfId="4755"/>
    <cellStyle name="集計 12 2 2 2 2 4" xfId="4756"/>
    <cellStyle name="集計 12 2 2 2 2 4 2" xfId="4757"/>
    <cellStyle name="集計 12 2 2 2 2 4 3" xfId="4758"/>
    <cellStyle name="集計 12 2 2 2 2 5" xfId="4759"/>
    <cellStyle name="集計 12 2 2 2 2 5 2" xfId="4760"/>
    <cellStyle name="集計 12 2 2 2 2 5 3" xfId="4761"/>
    <cellStyle name="集計 12 2 2 2 2 6" xfId="4762"/>
    <cellStyle name="集計 12 2 2 2 2 7" xfId="4763"/>
    <cellStyle name="集計 12 2 2 2 3" xfId="4764"/>
    <cellStyle name="集計 12 2 2 2 3 2" xfId="4765"/>
    <cellStyle name="集計 12 2 2 2 3 2 2" xfId="4766"/>
    <cellStyle name="集計 12 2 2 2 3 2 2 2" xfId="4767"/>
    <cellStyle name="集計 12 2 2 2 3 2 2 3" xfId="4768"/>
    <cellStyle name="集計 12 2 2 2 3 2 3" xfId="4769"/>
    <cellStyle name="集計 12 2 2 2 3 2 3 2" xfId="4770"/>
    <cellStyle name="集計 12 2 2 2 3 2 3 3" xfId="4771"/>
    <cellStyle name="集計 12 2 2 2 3 2 4" xfId="4772"/>
    <cellStyle name="集計 12 2 2 2 3 2 4 2" xfId="4773"/>
    <cellStyle name="集計 12 2 2 2 3 2 4 3" xfId="4774"/>
    <cellStyle name="集計 12 2 2 2 3 2 5" xfId="4775"/>
    <cellStyle name="集計 12 2 2 2 3 2 6" xfId="4776"/>
    <cellStyle name="集計 12 2 2 2 3 3" xfId="4777"/>
    <cellStyle name="集計 12 2 2 2 3 3 2" xfId="4778"/>
    <cellStyle name="集計 12 2 2 2 3 3 3" xfId="4779"/>
    <cellStyle name="集計 12 2 2 2 3 4" xfId="4780"/>
    <cellStyle name="集計 12 2 2 2 3 4 2" xfId="4781"/>
    <cellStyle name="集計 12 2 2 2 3 4 3" xfId="4782"/>
    <cellStyle name="集計 12 2 2 2 3 5" xfId="4783"/>
    <cellStyle name="集計 12 2 2 2 3 5 2" xfId="4784"/>
    <cellStyle name="集計 12 2 2 2 3 5 3" xfId="4785"/>
    <cellStyle name="集計 12 2 2 2 3 6" xfId="4786"/>
    <cellStyle name="集計 12 2 2 2 3 7" xfId="4787"/>
    <cellStyle name="集計 12 2 2 2 4" xfId="4788"/>
    <cellStyle name="集計 12 2 2 2 4 2" xfId="4789"/>
    <cellStyle name="集計 12 2 2 2 4 2 2" xfId="4790"/>
    <cellStyle name="集計 12 2 2 2 4 2 3" xfId="4791"/>
    <cellStyle name="集計 12 2 2 2 4 3" xfId="4792"/>
    <cellStyle name="集計 12 2 2 2 4 3 2" xfId="4793"/>
    <cellStyle name="集計 12 2 2 2 4 3 3" xfId="4794"/>
    <cellStyle name="集計 12 2 2 2 4 4" xfId="4795"/>
    <cellStyle name="集計 12 2 2 2 4 4 2" xfId="4796"/>
    <cellStyle name="集計 12 2 2 2 4 4 3" xfId="4797"/>
    <cellStyle name="集計 12 2 2 2 4 5" xfId="4798"/>
    <cellStyle name="集計 12 2 2 2 4 6" xfId="4799"/>
    <cellStyle name="集計 12 2 2 2 5" xfId="4800"/>
    <cellStyle name="集計 12 2 2 2 5 2" xfId="4801"/>
    <cellStyle name="集計 12 2 2 2 5 3" xfId="4802"/>
    <cellStyle name="集計 12 2 2 2 6" xfId="4803"/>
    <cellStyle name="集計 12 2 2 2 6 2" xfId="4804"/>
    <cellStyle name="集計 12 2 2 2 6 3" xfId="4805"/>
    <cellStyle name="集計 12 2 2 2 7" xfId="4806"/>
    <cellStyle name="集計 12 2 2 2 7 2" xfId="4807"/>
    <cellStyle name="集計 12 2 2 2 7 3" xfId="4808"/>
    <cellStyle name="集計 12 2 2 2 8" xfId="4809"/>
    <cellStyle name="集計 12 2 2 2 9" xfId="4810"/>
    <cellStyle name="集計 12 2 2 3" xfId="4811"/>
    <cellStyle name="集計 12 2 2 3 2" xfId="4812"/>
    <cellStyle name="集計 12 2 2 3 2 2" xfId="4813"/>
    <cellStyle name="集計 12 2 2 3 2 2 2" xfId="4814"/>
    <cellStyle name="集計 12 2 2 3 2 2 3" xfId="4815"/>
    <cellStyle name="集計 12 2 2 3 2 3" xfId="4816"/>
    <cellStyle name="集計 12 2 2 3 2 3 2" xfId="4817"/>
    <cellStyle name="集計 12 2 2 3 2 3 3" xfId="4818"/>
    <cellStyle name="集計 12 2 2 3 2 4" xfId="4819"/>
    <cellStyle name="集計 12 2 2 3 2 4 2" xfId="4820"/>
    <cellStyle name="集計 12 2 2 3 2 4 3" xfId="4821"/>
    <cellStyle name="集計 12 2 2 3 2 5" xfId="4822"/>
    <cellStyle name="集計 12 2 2 3 2 6" xfId="4823"/>
    <cellStyle name="集計 12 2 2 3 3" xfId="4824"/>
    <cellStyle name="集計 12 2 2 3 3 2" xfId="4825"/>
    <cellStyle name="集計 12 2 2 3 3 3" xfId="4826"/>
    <cellStyle name="集計 12 2 2 3 4" xfId="4827"/>
    <cellStyle name="集計 12 2 2 3 4 2" xfId="4828"/>
    <cellStyle name="集計 12 2 2 3 4 3" xfId="4829"/>
    <cellStyle name="集計 12 2 2 3 5" xfId="4830"/>
    <cellStyle name="集計 12 2 2 3 5 2" xfId="4831"/>
    <cellStyle name="集計 12 2 2 3 5 3" xfId="4832"/>
    <cellStyle name="集計 12 2 2 3 6" xfId="4833"/>
    <cellStyle name="集計 12 2 2 3 7" xfId="4834"/>
    <cellStyle name="集計 12 2 2 4" xfId="4835"/>
    <cellStyle name="集計 12 2 2 4 2" xfId="4836"/>
    <cellStyle name="集計 12 2 2 4 2 2" xfId="4837"/>
    <cellStyle name="集計 12 2 2 4 2 2 2" xfId="4838"/>
    <cellStyle name="集計 12 2 2 4 2 2 3" xfId="4839"/>
    <cellStyle name="集計 12 2 2 4 2 3" xfId="4840"/>
    <cellStyle name="集計 12 2 2 4 2 3 2" xfId="4841"/>
    <cellStyle name="集計 12 2 2 4 2 3 3" xfId="4842"/>
    <cellStyle name="集計 12 2 2 4 2 4" xfId="4843"/>
    <cellStyle name="集計 12 2 2 4 2 4 2" xfId="4844"/>
    <cellStyle name="集計 12 2 2 4 2 4 3" xfId="4845"/>
    <cellStyle name="集計 12 2 2 4 2 5" xfId="4846"/>
    <cellStyle name="集計 12 2 2 4 2 6" xfId="4847"/>
    <cellStyle name="集計 12 2 2 4 3" xfId="4848"/>
    <cellStyle name="集計 12 2 2 4 3 2" xfId="4849"/>
    <cellStyle name="集計 12 2 2 4 3 3" xfId="4850"/>
    <cellStyle name="集計 12 2 2 4 4" xfId="4851"/>
    <cellStyle name="集計 12 2 2 4 4 2" xfId="4852"/>
    <cellStyle name="集計 12 2 2 4 4 3" xfId="4853"/>
    <cellStyle name="集計 12 2 2 4 5" xfId="4854"/>
    <cellStyle name="集計 12 2 2 4 5 2" xfId="4855"/>
    <cellStyle name="集計 12 2 2 4 5 3" xfId="4856"/>
    <cellStyle name="集計 12 2 2 4 6" xfId="4857"/>
    <cellStyle name="集計 12 2 2 4 7" xfId="4858"/>
    <cellStyle name="集計 12 2 2 5" xfId="4859"/>
    <cellStyle name="集計 12 2 2 5 2" xfId="4860"/>
    <cellStyle name="集計 12 2 2 5 2 2" xfId="4861"/>
    <cellStyle name="集計 12 2 2 5 2 3" xfId="4862"/>
    <cellStyle name="集計 12 2 2 5 3" xfId="4863"/>
    <cellStyle name="集計 12 2 2 5 3 2" xfId="4864"/>
    <cellStyle name="集計 12 2 2 5 3 3" xfId="4865"/>
    <cellStyle name="集計 12 2 2 5 4" xfId="4866"/>
    <cellStyle name="集計 12 2 2 5 4 2" xfId="4867"/>
    <cellStyle name="集計 12 2 2 5 4 3" xfId="4868"/>
    <cellStyle name="集計 12 2 2 5 5" xfId="4869"/>
    <cellStyle name="集計 12 2 2 5 6" xfId="4870"/>
    <cellStyle name="集計 12 2 2 6" xfId="4871"/>
    <cellStyle name="集計 12 2 2 6 2" xfId="4872"/>
    <cellStyle name="集計 12 2 2 6 3" xfId="4873"/>
    <cellStyle name="集計 12 2 2 7" xfId="4874"/>
    <cellStyle name="集計 12 2 2 7 2" xfId="4875"/>
    <cellStyle name="集計 12 2 2 7 3" xfId="4876"/>
    <cellStyle name="集計 12 2 2 8" xfId="4877"/>
    <cellStyle name="集計 12 2 2 8 2" xfId="4878"/>
    <cellStyle name="集計 12 2 2 8 3" xfId="4879"/>
    <cellStyle name="集計 12 2 2 9" xfId="4880"/>
    <cellStyle name="集計 12 2 3" xfId="4881"/>
    <cellStyle name="集計 12 2 3 2" xfId="4882"/>
    <cellStyle name="集計 12 2 3 2 2" xfId="4883"/>
    <cellStyle name="集計 12 2 3 2 2 2" xfId="4884"/>
    <cellStyle name="集計 12 2 3 2 2 3" xfId="4885"/>
    <cellStyle name="集計 12 2 3 2 3" xfId="4886"/>
    <cellStyle name="集計 12 2 3 2 3 2" xfId="4887"/>
    <cellStyle name="集計 12 2 3 2 3 3" xfId="4888"/>
    <cellStyle name="集計 12 2 3 2 4" xfId="4889"/>
    <cellStyle name="集計 12 2 3 2 4 2" xfId="4890"/>
    <cellStyle name="集計 12 2 3 2 4 3" xfId="4891"/>
    <cellStyle name="集計 12 2 3 2 5" xfId="4892"/>
    <cellStyle name="集計 12 2 3 2 6" xfId="4893"/>
    <cellStyle name="集計 12 2 3 3" xfId="4894"/>
    <cellStyle name="集計 12 2 3 3 2" xfId="4895"/>
    <cellStyle name="集計 12 2 3 3 3" xfId="4896"/>
    <cellStyle name="集計 12 2 3 4" xfId="4897"/>
    <cellStyle name="集計 12 2 3 4 2" xfId="4898"/>
    <cellStyle name="集計 12 2 3 4 3" xfId="4899"/>
    <cellStyle name="集計 12 2 3 5" xfId="4900"/>
    <cellStyle name="集計 12 2 3 5 2" xfId="4901"/>
    <cellStyle name="集計 12 2 3 5 3" xfId="4902"/>
    <cellStyle name="集計 12 2 3 6" xfId="4903"/>
    <cellStyle name="集計 12 2 3 7" xfId="4904"/>
    <cellStyle name="集計 12 2 4" xfId="4905"/>
    <cellStyle name="集計 12 2 4 2" xfId="4906"/>
    <cellStyle name="集計 12 2 4 2 2" xfId="4907"/>
    <cellStyle name="集計 12 2 4 2 2 2" xfId="4908"/>
    <cellStyle name="集計 12 2 4 2 2 3" xfId="4909"/>
    <cellStyle name="集計 12 2 4 2 3" xfId="4910"/>
    <cellStyle name="集計 12 2 4 2 3 2" xfId="4911"/>
    <cellStyle name="集計 12 2 4 2 3 3" xfId="4912"/>
    <cellStyle name="集計 12 2 4 2 4" xfId="4913"/>
    <cellStyle name="集計 12 2 4 2 4 2" xfId="4914"/>
    <cellStyle name="集計 12 2 4 2 4 3" xfId="4915"/>
    <cellStyle name="集計 12 2 4 2 5" xfId="4916"/>
    <cellStyle name="集計 12 2 4 2 6" xfId="4917"/>
    <cellStyle name="集計 12 2 4 3" xfId="4918"/>
    <cellStyle name="集計 12 2 4 3 2" xfId="4919"/>
    <cellStyle name="集計 12 2 4 3 3" xfId="4920"/>
    <cellStyle name="集計 12 2 4 4" xfId="4921"/>
    <cellStyle name="集計 12 2 4 4 2" xfId="4922"/>
    <cellStyle name="集計 12 2 4 4 3" xfId="4923"/>
    <cellStyle name="集計 12 2 4 5" xfId="4924"/>
    <cellStyle name="集計 12 2 4 5 2" xfId="4925"/>
    <cellStyle name="集計 12 2 4 5 3" xfId="4926"/>
    <cellStyle name="集計 12 2 4 6" xfId="4927"/>
    <cellStyle name="集計 12 2 4 7" xfId="4928"/>
    <cellStyle name="集計 12 2 5" xfId="4929"/>
    <cellStyle name="集計 12 2 5 2" xfId="4930"/>
    <cellStyle name="集計 12 2 5 2 2" xfId="4931"/>
    <cellStyle name="集計 12 2 5 2 3" xfId="4932"/>
    <cellStyle name="集計 12 2 5 3" xfId="4933"/>
    <cellStyle name="集計 12 2 5 3 2" xfId="4934"/>
    <cellStyle name="集計 12 2 5 3 3" xfId="4935"/>
    <cellStyle name="集計 12 2 5 4" xfId="4936"/>
    <cellStyle name="集計 12 2 5 4 2" xfId="4937"/>
    <cellStyle name="集計 12 2 5 4 3" xfId="4938"/>
    <cellStyle name="集計 12 2 5 5" xfId="4939"/>
    <cellStyle name="集計 12 2 5 6" xfId="4940"/>
    <cellStyle name="集計 12 2 6" xfId="4941"/>
    <cellStyle name="集計 12 2 6 2" xfId="4942"/>
    <cellStyle name="集計 12 2 6 3" xfId="4943"/>
    <cellStyle name="集計 12 2 7" xfId="4944"/>
    <cellStyle name="集計 12 2 7 2" xfId="4945"/>
    <cellStyle name="集計 12 2 7 3" xfId="4946"/>
    <cellStyle name="集計 12 2 8" xfId="4947"/>
    <cellStyle name="集計 12 2 8 2" xfId="4948"/>
    <cellStyle name="集計 12 2 8 3" xfId="4949"/>
    <cellStyle name="集計 12 2 9" xfId="4950"/>
    <cellStyle name="集計 12 3" xfId="4951"/>
    <cellStyle name="集計 12 3 10" xfId="4952"/>
    <cellStyle name="集計 12 3 2" xfId="4953"/>
    <cellStyle name="集計 12 3 2 10" xfId="4954"/>
    <cellStyle name="集計 12 3 2 2" xfId="4955"/>
    <cellStyle name="集計 12 3 2 2 2" xfId="4956"/>
    <cellStyle name="集計 12 3 2 2 2 2" xfId="4957"/>
    <cellStyle name="集計 12 3 2 2 2 2 2" xfId="4958"/>
    <cellStyle name="集計 12 3 2 2 2 2 2 2" xfId="4959"/>
    <cellStyle name="集計 12 3 2 2 2 2 2 3" xfId="4960"/>
    <cellStyle name="集計 12 3 2 2 2 2 3" xfId="4961"/>
    <cellStyle name="集計 12 3 2 2 2 2 3 2" xfId="4962"/>
    <cellStyle name="集計 12 3 2 2 2 2 3 3" xfId="4963"/>
    <cellStyle name="集計 12 3 2 2 2 2 4" xfId="4964"/>
    <cellStyle name="集計 12 3 2 2 2 2 4 2" xfId="4965"/>
    <cellStyle name="集計 12 3 2 2 2 2 4 3" xfId="4966"/>
    <cellStyle name="集計 12 3 2 2 2 2 5" xfId="4967"/>
    <cellStyle name="集計 12 3 2 2 2 2 6" xfId="4968"/>
    <cellStyle name="集計 12 3 2 2 2 3" xfId="4969"/>
    <cellStyle name="集計 12 3 2 2 2 3 2" xfId="4970"/>
    <cellStyle name="集計 12 3 2 2 2 3 3" xfId="4971"/>
    <cellStyle name="集計 12 3 2 2 2 4" xfId="4972"/>
    <cellStyle name="集計 12 3 2 2 2 4 2" xfId="4973"/>
    <cellStyle name="集計 12 3 2 2 2 4 3" xfId="4974"/>
    <cellStyle name="集計 12 3 2 2 2 5" xfId="4975"/>
    <cellStyle name="集計 12 3 2 2 2 5 2" xfId="4976"/>
    <cellStyle name="集計 12 3 2 2 2 5 3" xfId="4977"/>
    <cellStyle name="集計 12 3 2 2 2 6" xfId="4978"/>
    <cellStyle name="集計 12 3 2 2 2 7" xfId="4979"/>
    <cellStyle name="集計 12 3 2 2 3" xfId="4980"/>
    <cellStyle name="集計 12 3 2 2 3 2" xfId="4981"/>
    <cellStyle name="集計 12 3 2 2 3 2 2" xfId="4982"/>
    <cellStyle name="集計 12 3 2 2 3 2 2 2" xfId="4983"/>
    <cellStyle name="集計 12 3 2 2 3 2 2 3" xfId="4984"/>
    <cellStyle name="集計 12 3 2 2 3 2 3" xfId="4985"/>
    <cellStyle name="集計 12 3 2 2 3 2 3 2" xfId="4986"/>
    <cellStyle name="集計 12 3 2 2 3 2 3 3" xfId="4987"/>
    <cellStyle name="集計 12 3 2 2 3 2 4" xfId="4988"/>
    <cellStyle name="集計 12 3 2 2 3 2 4 2" xfId="4989"/>
    <cellStyle name="集計 12 3 2 2 3 2 4 3" xfId="4990"/>
    <cellStyle name="集計 12 3 2 2 3 2 5" xfId="4991"/>
    <cellStyle name="集計 12 3 2 2 3 2 6" xfId="4992"/>
    <cellStyle name="集計 12 3 2 2 3 3" xfId="4993"/>
    <cellStyle name="集計 12 3 2 2 3 3 2" xfId="4994"/>
    <cellStyle name="集計 12 3 2 2 3 3 3" xfId="4995"/>
    <cellStyle name="集計 12 3 2 2 3 4" xfId="4996"/>
    <cellStyle name="集計 12 3 2 2 3 4 2" xfId="4997"/>
    <cellStyle name="集計 12 3 2 2 3 4 3" xfId="4998"/>
    <cellStyle name="集計 12 3 2 2 3 5" xfId="4999"/>
    <cellStyle name="集計 12 3 2 2 3 5 2" xfId="5000"/>
    <cellStyle name="集計 12 3 2 2 3 5 3" xfId="5001"/>
    <cellStyle name="集計 12 3 2 2 3 6" xfId="5002"/>
    <cellStyle name="集計 12 3 2 2 3 7" xfId="5003"/>
    <cellStyle name="集計 12 3 2 2 4" xfId="5004"/>
    <cellStyle name="集計 12 3 2 2 4 2" xfId="5005"/>
    <cellStyle name="集計 12 3 2 2 4 2 2" xfId="5006"/>
    <cellStyle name="集計 12 3 2 2 4 2 3" xfId="5007"/>
    <cellStyle name="集計 12 3 2 2 4 3" xfId="5008"/>
    <cellStyle name="集計 12 3 2 2 4 3 2" xfId="5009"/>
    <cellStyle name="集計 12 3 2 2 4 3 3" xfId="5010"/>
    <cellStyle name="集計 12 3 2 2 4 4" xfId="5011"/>
    <cellStyle name="集計 12 3 2 2 4 4 2" xfId="5012"/>
    <cellStyle name="集計 12 3 2 2 4 4 3" xfId="5013"/>
    <cellStyle name="集計 12 3 2 2 4 5" xfId="5014"/>
    <cellStyle name="集計 12 3 2 2 4 6" xfId="5015"/>
    <cellStyle name="集計 12 3 2 2 5" xfId="5016"/>
    <cellStyle name="集計 12 3 2 2 5 2" xfId="5017"/>
    <cellStyle name="集計 12 3 2 2 5 3" xfId="5018"/>
    <cellStyle name="集計 12 3 2 2 6" xfId="5019"/>
    <cellStyle name="集計 12 3 2 2 6 2" xfId="5020"/>
    <cellStyle name="集計 12 3 2 2 6 3" xfId="5021"/>
    <cellStyle name="集計 12 3 2 2 7" xfId="5022"/>
    <cellStyle name="集計 12 3 2 2 7 2" xfId="5023"/>
    <cellStyle name="集計 12 3 2 2 7 3" xfId="5024"/>
    <cellStyle name="集計 12 3 2 2 8" xfId="5025"/>
    <cellStyle name="集計 12 3 2 2 9" xfId="5026"/>
    <cellStyle name="集計 12 3 2 3" xfId="5027"/>
    <cellStyle name="集計 12 3 2 3 2" xfId="5028"/>
    <cellStyle name="集計 12 3 2 3 2 2" xfId="5029"/>
    <cellStyle name="集計 12 3 2 3 2 2 2" xfId="5030"/>
    <cellStyle name="集計 12 3 2 3 2 2 3" xfId="5031"/>
    <cellStyle name="集計 12 3 2 3 2 3" xfId="5032"/>
    <cellStyle name="集計 12 3 2 3 2 3 2" xfId="5033"/>
    <cellStyle name="集計 12 3 2 3 2 3 3" xfId="5034"/>
    <cellStyle name="集計 12 3 2 3 2 4" xfId="5035"/>
    <cellStyle name="集計 12 3 2 3 2 4 2" xfId="5036"/>
    <cellStyle name="集計 12 3 2 3 2 4 3" xfId="5037"/>
    <cellStyle name="集計 12 3 2 3 2 5" xfId="5038"/>
    <cellStyle name="集計 12 3 2 3 2 6" xfId="5039"/>
    <cellStyle name="集計 12 3 2 3 3" xfId="5040"/>
    <cellStyle name="集計 12 3 2 3 3 2" xfId="5041"/>
    <cellStyle name="集計 12 3 2 3 3 3" xfId="5042"/>
    <cellStyle name="集計 12 3 2 3 4" xfId="5043"/>
    <cellStyle name="集計 12 3 2 3 4 2" xfId="5044"/>
    <cellStyle name="集計 12 3 2 3 4 3" xfId="5045"/>
    <cellStyle name="集計 12 3 2 3 5" xfId="5046"/>
    <cellStyle name="集計 12 3 2 3 5 2" xfId="5047"/>
    <cellStyle name="集計 12 3 2 3 5 3" xfId="5048"/>
    <cellStyle name="集計 12 3 2 3 6" xfId="5049"/>
    <cellStyle name="集計 12 3 2 3 7" xfId="5050"/>
    <cellStyle name="集計 12 3 2 4" xfId="5051"/>
    <cellStyle name="集計 12 3 2 4 2" xfId="5052"/>
    <cellStyle name="集計 12 3 2 4 2 2" xfId="5053"/>
    <cellStyle name="集計 12 3 2 4 2 2 2" xfId="5054"/>
    <cellStyle name="集計 12 3 2 4 2 2 3" xfId="5055"/>
    <cellStyle name="集計 12 3 2 4 2 3" xfId="5056"/>
    <cellStyle name="集計 12 3 2 4 2 3 2" xfId="5057"/>
    <cellStyle name="集計 12 3 2 4 2 3 3" xfId="5058"/>
    <cellStyle name="集計 12 3 2 4 2 4" xfId="5059"/>
    <cellStyle name="集計 12 3 2 4 2 4 2" xfId="5060"/>
    <cellStyle name="集計 12 3 2 4 2 4 3" xfId="5061"/>
    <cellStyle name="集計 12 3 2 4 2 5" xfId="5062"/>
    <cellStyle name="集計 12 3 2 4 2 6" xfId="5063"/>
    <cellStyle name="集計 12 3 2 4 3" xfId="5064"/>
    <cellStyle name="集計 12 3 2 4 3 2" xfId="5065"/>
    <cellStyle name="集計 12 3 2 4 3 3" xfId="5066"/>
    <cellStyle name="集計 12 3 2 4 4" xfId="5067"/>
    <cellStyle name="集計 12 3 2 4 4 2" xfId="5068"/>
    <cellStyle name="集計 12 3 2 4 4 3" xfId="5069"/>
    <cellStyle name="集計 12 3 2 4 5" xfId="5070"/>
    <cellStyle name="集計 12 3 2 4 5 2" xfId="5071"/>
    <cellStyle name="集計 12 3 2 4 5 3" xfId="5072"/>
    <cellStyle name="集計 12 3 2 4 6" xfId="5073"/>
    <cellStyle name="集計 12 3 2 4 7" xfId="5074"/>
    <cellStyle name="集計 12 3 2 5" xfId="5075"/>
    <cellStyle name="集計 12 3 2 5 2" xfId="5076"/>
    <cellStyle name="集計 12 3 2 5 2 2" xfId="5077"/>
    <cellStyle name="集計 12 3 2 5 2 3" xfId="5078"/>
    <cellStyle name="集計 12 3 2 5 3" xfId="5079"/>
    <cellStyle name="集計 12 3 2 5 3 2" xfId="5080"/>
    <cellStyle name="集計 12 3 2 5 3 3" xfId="5081"/>
    <cellStyle name="集計 12 3 2 5 4" xfId="5082"/>
    <cellStyle name="集計 12 3 2 5 4 2" xfId="5083"/>
    <cellStyle name="集計 12 3 2 5 4 3" xfId="5084"/>
    <cellStyle name="集計 12 3 2 5 5" xfId="5085"/>
    <cellStyle name="集計 12 3 2 5 6" xfId="5086"/>
    <cellStyle name="集計 12 3 2 6" xfId="5087"/>
    <cellStyle name="集計 12 3 2 6 2" xfId="5088"/>
    <cellStyle name="集計 12 3 2 6 3" xfId="5089"/>
    <cellStyle name="集計 12 3 2 7" xfId="5090"/>
    <cellStyle name="集計 12 3 2 7 2" xfId="5091"/>
    <cellStyle name="集計 12 3 2 7 3" xfId="5092"/>
    <cellStyle name="集計 12 3 2 8" xfId="5093"/>
    <cellStyle name="集計 12 3 2 8 2" xfId="5094"/>
    <cellStyle name="集計 12 3 2 8 3" xfId="5095"/>
    <cellStyle name="集計 12 3 2 9" xfId="5096"/>
    <cellStyle name="集計 12 3 3" xfId="5097"/>
    <cellStyle name="集計 12 3 3 2" xfId="5098"/>
    <cellStyle name="集計 12 3 3 2 2" xfId="5099"/>
    <cellStyle name="集計 12 3 3 2 2 2" xfId="5100"/>
    <cellStyle name="集計 12 3 3 2 2 3" xfId="5101"/>
    <cellStyle name="集計 12 3 3 2 3" xfId="5102"/>
    <cellStyle name="集計 12 3 3 2 3 2" xfId="5103"/>
    <cellStyle name="集計 12 3 3 2 3 3" xfId="5104"/>
    <cellStyle name="集計 12 3 3 2 4" xfId="5105"/>
    <cellStyle name="集計 12 3 3 2 4 2" xfId="5106"/>
    <cellStyle name="集計 12 3 3 2 4 3" xfId="5107"/>
    <cellStyle name="集計 12 3 3 2 5" xfId="5108"/>
    <cellStyle name="集計 12 3 3 2 6" xfId="5109"/>
    <cellStyle name="集計 12 3 3 3" xfId="5110"/>
    <cellStyle name="集計 12 3 3 3 2" xfId="5111"/>
    <cellStyle name="集計 12 3 3 3 3" xfId="5112"/>
    <cellStyle name="集計 12 3 3 4" xfId="5113"/>
    <cellStyle name="集計 12 3 3 4 2" xfId="5114"/>
    <cellStyle name="集計 12 3 3 4 3" xfId="5115"/>
    <cellStyle name="集計 12 3 3 5" xfId="5116"/>
    <cellStyle name="集計 12 3 3 5 2" xfId="5117"/>
    <cellStyle name="集計 12 3 3 5 3" xfId="5118"/>
    <cellStyle name="集計 12 3 3 6" xfId="5119"/>
    <cellStyle name="集計 12 3 3 7" xfId="5120"/>
    <cellStyle name="集計 12 3 4" xfId="5121"/>
    <cellStyle name="集計 12 3 4 2" xfId="5122"/>
    <cellStyle name="集計 12 3 4 2 2" xfId="5123"/>
    <cellStyle name="集計 12 3 4 2 2 2" xfId="5124"/>
    <cellStyle name="集計 12 3 4 2 2 3" xfId="5125"/>
    <cellStyle name="集計 12 3 4 2 3" xfId="5126"/>
    <cellStyle name="集計 12 3 4 2 3 2" xfId="5127"/>
    <cellStyle name="集計 12 3 4 2 3 3" xfId="5128"/>
    <cellStyle name="集計 12 3 4 2 4" xfId="5129"/>
    <cellStyle name="集計 12 3 4 2 4 2" xfId="5130"/>
    <cellStyle name="集計 12 3 4 2 4 3" xfId="5131"/>
    <cellStyle name="集計 12 3 4 2 5" xfId="5132"/>
    <cellStyle name="集計 12 3 4 2 6" xfId="5133"/>
    <cellStyle name="集計 12 3 4 3" xfId="5134"/>
    <cellStyle name="集計 12 3 4 3 2" xfId="5135"/>
    <cellStyle name="集計 12 3 4 3 3" xfId="5136"/>
    <cellStyle name="集計 12 3 4 4" xfId="5137"/>
    <cellStyle name="集計 12 3 4 4 2" xfId="5138"/>
    <cellStyle name="集計 12 3 4 4 3" xfId="5139"/>
    <cellStyle name="集計 12 3 4 5" xfId="5140"/>
    <cellStyle name="集計 12 3 4 5 2" xfId="5141"/>
    <cellStyle name="集計 12 3 4 5 3" xfId="5142"/>
    <cellStyle name="集計 12 3 4 6" xfId="5143"/>
    <cellStyle name="集計 12 3 4 7" xfId="5144"/>
    <cellStyle name="集計 12 3 5" xfId="5145"/>
    <cellStyle name="集計 12 3 5 2" xfId="5146"/>
    <cellStyle name="集計 12 3 5 2 2" xfId="5147"/>
    <cellStyle name="集計 12 3 5 2 3" xfId="5148"/>
    <cellStyle name="集計 12 3 5 3" xfId="5149"/>
    <cellStyle name="集計 12 3 5 3 2" xfId="5150"/>
    <cellStyle name="集計 12 3 5 3 3" xfId="5151"/>
    <cellStyle name="集計 12 3 5 4" xfId="5152"/>
    <cellStyle name="集計 12 3 5 4 2" xfId="5153"/>
    <cellStyle name="集計 12 3 5 4 3" xfId="5154"/>
    <cellStyle name="集計 12 3 5 5" xfId="5155"/>
    <cellStyle name="集計 12 3 5 6" xfId="5156"/>
    <cellStyle name="集計 12 3 6" xfId="5157"/>
    <cellStyle name="集計 12 3 6 2" xfId="5158"/>
    <cellStyle name="集計 12 3 6 3" xfId="5159"/>
    <cellStyle name="集計 12 3 7" xfId="5160"/>
    <cellStyle name="集計 12 3 7 2" xfId="5161"/>
    <cellStyle name="集計 12 3 7 3" xfId="5162"/>
    <cellStyle name="集計 12 3 8" xfId="5163"/>
    <cellStyle name="集計 12 3 8 2" xfId="5164"/>
    <cellStyle name="集計 12 3 8 3" xfId="5165"/>
    <cellStyle name="集計 12 3 9" xfId="5166"/>
    <cellStyle name="集計 12 4" xfId="5167"/>
    <cellStyle name="集計 12 4 10" xfId="5168"/>
    <cellStyle name="集計 12 4 2" xfId="5169"/>
    <cellStyle name="集計 12 4 2 10" xfId="5170"/>
    <cellStyle name="集計 12 4 2 2" xfId="5171"/>
    <cellStyle name="集計 12 4 2 2 2" xfId="5172"/>
    <cellStyle name="集計 12 4 2 2 2 2" xfId="5173"/>
    <cellStyle name="集計 12 4 2 2 2 2 2" xfId="5174"/>
    <cellStyle name="集計 12 4 2 2 2 2 2 2" xfId="5175"/>
    <cellStyle name="集計 12 4 2 2 2 2 2 3" xfId="5176"/>
    <cellStyle name="集計 12 4 2 2 2 2 3" xfId="5177"/>
    <cellStyle name="集計 12 4 2 2 2 2 3 2" xfId="5178"/>
    <cellStyle name="集計 12 4 2 2 2 2 3 3" xfId="5179"/>
    <cellStyle name="集計 12 4 2 2 2 2 4" xfId="5180"/>
    <cellStyle name="集計 12 4 2 2 2 2 4 2" xfId="5181"/>
    <cellStyle name="集計 12 4 2 2 2 2 4 3" xfId="5182"/>
    <cellStyle name="集計 12 4 2 2 2 2 5" xfId="5183"/>
    <cellStyle name="集計 12 4 2 2 2 2 6" xfId="5184"/>
    <cellStyle name="集計 12 4 2 2 2 3" xfId="5185"/>
    <cellStyle name="集計 12 4 2 2 2 3 2" xfId="5186"/>
    <cellStyle name="集計 12 4 2 2 2 3 3" xfId="5187"/>
    <cellStyle name="集計 12 4 2 2 2 4" xfId="5188"/>
    <cellStyle name="集計 12 4 2 2 2 4 2" xfId="5189"/>
    <cellStyle name="集計 12 4 2 2 2 4 3" xfId="5190"/>
    <cellStyle name="集計 12 4 2 2 2 5" xfId="5191"/>
    <cellStyle name="集計 12 4 2 2 2 5 2" xfId="5192"/>
    <cellStyle name="集計 12 4 2 2 2 5 3" xfId="5193"/>
    <cellStyle name="集計 12 4 2 2 2 6" xfId="5194"/>
    <cellStyle name="集計 12 4 2 2 2 7" xfId="5195"/>
    <cellStyle name="集計 12 4 2 2 3" xfId="5196"/>
    <cellStyle name="集計 12 4 2 2 3 2" xfId="5197"/>
    <cellStyle name="集計 12 4 2 2 3 2 2" xfId="5198"/>
    <cellStyle name="集計 12 4 2 2 3 2 2 2" xfId="5199"/>
    <cellStyle name="集計 12 4 2 2 3 2 2 3" xfId="5200"/>
    <cellStyle name="集計 12 4 2 2 3 2 3" xfId="5201"/>
    <cellStyle name="集計 12 4 2 2 3 2 3 2" xfId="5202"/>
    <cellStyle name="集計 12 4 2 2 3 2 3 3" xfId="5203"/>
    <cellStyle name="集計 12 4 2 2 3 2 4" xfId="5204"/>
    <cellStyle name="集計 12 4 2 2 3 2 4 2" xfId="5205"/>
    <cellStyle name="集計 12 4 2 2 3 2 4 3" xfId="5206"/>
    <cellStyle name="集計 12 4 2 2 3 2 5" xfId="5207"/>
    <cellStyle name="集計 12 4 2 2 3 2 6" xfId="5208"/>
    <cellStyle name="集計 12 4 2 2 3 3" xfId="5209"/>
    <cellStyle name="集計 12 4 2 2 3 3 2" xfId="5210"/>
    <cellStyle name="集計 12 4 2 2 3 3 3" xfId="5211"/>
    <cellStyle name="集計 12 4 2 2 3 4" xfId="5212"/>
    <cellStyle name="集計 12 4 2 2 3 4 2" xfId="5213"/>
    <cellStyle name="集計 12 4 2 2 3 4 3" xfId="5214"/>
    <cellStyle name="集計 12 4 2 2 3 5" xfId="5215"/>
    <cellStyle name="集計 12 4 2 2 3 5 2" xfId="5216"/>
    <cellStyle name="集計 12 4 2 2 3 5 3" xfId="5217"/>
    <cellStyle name="集計 12 4 2 2 3 6" xfId="5218"/>
    <cellStyle name="集計 12 4 2 2 3 7" xfId="5219"/>
    <cellStyle name="集計 12 4 2 2 4" xfId="5220"/>
    <cellStyle name="集計 12 4 2 2 4 2" xfId="5221"/>
    <cellStyle name="集計 12 4 2 2 4 2 2" xfId="5222"/>
    <cellStyle name="集計 12 4 2 2 4 2 3" xfId="5223"/>
    <cellStyle name="集計 12 4 2 2 4 3" xfId="5224"/>
    <cellStyle name="集計 12 4 2 2 4 3 2" xfId="5225"/>
    <cellStyle name="集計 12 4 2 2 4 3 3" xfId="5226"/>
    <cellStyle name="集計 12 4 2 2 4 4" xfId="5227"/>
    <cellStyle name="集計 12 4 2 2 4 4 2" xfId="5228"/>
    <cellStyle name="集計 12 4 2 2 4 4 3" xfId="5229"/>
    <cellStyle name="集計 12 4 2 2 4 5" xfId="5230"/>
    <cellStyle name="集計 12 4 2 2 4 6" xfId="5231"/>
    <cellStyle name="集計 12 4 2 2 5" xfId="5232"/>
    <cellStyle name="集計 12 4 2 2 5 2" xfId="5233"/>
    <cellStyle name="集計 12 4 2 2 5 3" xfId="5234"/>
    <cellStyle name="集計 12 4 2 2 6" xfId="5235"/>
    <cellStyle name="集計 12 4 2 2 6 2" xfId="5236"/>
    <cellStyle name="集計 12 4 2 2 6 3" xfId="5237"/>
    <cellStyle name="集計 12 4 2 2 7" xfId="5238"/>
    <cellStyle name="集計 12 4 2 2 7 2" xfId="5239"/>
    <cellStyle name="集計 12 4 2 2 7 3" xfId="5240"/>
    <cellStyle name="集計 12 4 2 2 8" xfId="5241"/>
    <cellStyle name="集計 12 4 2 2 9" xfId="5242"/>
    <cellStyle name="集計 12 4 2 3" xfId="5243"/>
    <cellStyle name="集計 12 4 2 3 2" xfId="5244"/>
    <cellStyle name="集計 12 4 2 3 2 2" xfId="5245"/>
    <cellStyle name="集計 12 4 2 3 2 2 2" xfId="5246"/>
    <cellStyle name="集計 12 4 2 3 2 2 3" xfId="5247"/>
    <cellStyle name="集計 12 4 2 3 2 3" xfId="5248"/>
    <cellStyle name="集計 12 4 2 3 2 3 2" xfId="5249"/>
    <cellStyle name="集計 12 4 2 3 2 3 3" xfId="5250"/>
    <cellStyle name="集計 12 4 2 3 2 4" xfId="5251"/>
    <cellStyle name="集計 12 4 2 3 2 4 2" xfId="5252"/>
    <cellStyle name="集計 12 4 2 3 2 4 3" xfId="5253"/>
    <cellStyle name="集計 12 4 2 3 2 5" xfId="5254"/>
    <cellStyle name="集計 12 4 2 3 2 6" xfId="5255"/>
    <cellStyle name="集計 12 4 2 3 3" xfId="5256"/>
    <cellStyle name="集計 12 4 2 3 3 2" xfId="5257"/>
    <cellStyle name="集計 12 4 2 3 3 3" xfId="5258"/>
    <cellStyle name="集計 12 4 2 3 4" xfId="5259"/>
    <cellStyle name="集計 12 4 2 3 4 2" xfId="5260"/>
    <cellStyle name="集計 12 4 2 3 4 3" xfId="5261"/>
    <cellStyle name="集計 12 4 2 3 5" xfId="5262"/>
    <cellStyle name="集計 12 4 2 3 5 2" xfId="5263"/>
    <cellStyle name="集計 12 4 2 3 5 3" xfId="5264"/>
    <cellStyle name="集計 12 4 2 3 6" xfId="5265"/>
    <cellStyle name="集計 12 4 2 3 7" xfId="5266"/>
    <cellStyle name="集計 12 4 2 4" xfId="5267"/>
    <cellStyle name="集計 12 4 2 4 2" xfId="5268"/>
    <cellStyle name="集計 12 4 2 4 2 2" xfId="5269"/>
    <cellStyle name="集計 12 4 2 4 2 2 2" xfId="5270"/>
    <cellStyle name="集計 12 4 2 4 2 2 3" xfId="5271"/>
    <cellStyle name="集計 12 4 2 4 2 3" xfId="5272"/>
    <cellStyle name="集計 12 4 2 4 2 3 2" xfId="5273"/>
    <cellStyle name="集計 12 4 2 4 2 3 3" xfId="5274"/>
    <cellStyle name="集計 12 4 2 4 2 4" xfId="5275"/>
    <cellStyle name="集計 12 4 2 4 2 4 2" xfId="5276"/>
    <cellStyle name="集計 12 4 2 4 2 4 3" xfId="5277"/>
    <cellStyle name="集計 12 4 2 4 2 5" xfId="5278"/>
    <cellStyle name="集計 12 4 2 4 2 6" xfId="5279"/>
    <cellStyle name="集計 12 4 2 4 3" xfId="5280"/>
    <cellStyle name="集計 12 4 2 4 3 2" xfId="5281"/>
    <cellStyle name="集計 12 4 2 4 3 3" xfId="5282"/>
    <cellStyle name="集計 12 4 2 4 4" xfId="5283"/>
    <cellStyle name="集計 12 4 2 4 4 2" xfId="5284"/>
    <cellStyle name="集計 12 4 2 4 4 3" xfId="5285"/>
    <cellStyle name="集計 12 4 2 4 5" xfId="5286"/>
    <cellStyle name="集計 12 4 2 4 5 2" xfId="5287"/>
    <cellStyle name="集計 12 4 2 4 5 3" xfId="5288"/>
    <cellStyle name="集計 12 4 2 4 6" xfId="5289"/>
    <cellStyle name="集計 12 4 2 4 7" xfId="5290"/>
    <cellStyle name="集計 12 4 2 5" xfId="5291"/>
    <cellStyle name="集計 12 4 2 5 2" xfId="5292"/>
    <cellStyle name="集計 12 4 2 5 2 2" xfId="5293"/>
    <cellStyle name="集計 12 4 2 5 2 3" xfId="5294"/>
    <cellStyle name="集計 12 4 2 5 3" xfId="5295"/>
    <cellStyle name="集計 12 4 2 5 3 2" xfId="5296"/>
    <cellStyle name="集計 12 4 2 5 3 3" xfId="5297"/>
    <cellStyle name="集計 12 4 2 5 4" xfId="5298"/>
    <cellStyle name="集計 12 4 2 5 4 2" xfId="5299"/>
    <cellStyle name="集計 12 4 2 5 4 3" xfId="5300"/>
    <cellStyle name="集計 12 4 2 5 5" xfId="5301"/>
    <cellStyle name="集計 12 4 2 5 6" xfId="5302"/>
    <cellStyle name="集計 12 4 2 6" xfId="5303"/>
    <cellStyle name="集計 12 4 2 6 2" xfId="5304"/>
    <cellStyle name="集計 12 4 2 6 3" xfId="5305"/>
    <cellStyle name="集計 12 4 2 7" xfId="5306"/>
    <cellStyle name="集計 12 4 2 7 2" xfId="5307"/>
    <cellStyle name="集計 12 4 2 7 3" xfId="5308"/>
    <cellStyle name="集計 12 4 2 8" xfId="5309"/>
    <cellStyle name="集計 12 4 2 8 2" xfId="5310"/>
    <cellStyle name="集計 12 4 2 8 3" xfId="5311"/>
    <cellStyle name="集計 12 4 2 9" xfId="5312"/>
    <cellStyle name="集計 12 4 3" xfId="5313"/>
    <cellStyle name="集計 12 4 3 2" xfId="5314"/>
    <cellStyle name="集計 12 4 3 2 2" xfId="5315"/>
    <cellStyle name="集計 12 4 3 2 2 2" xfId="5316"/>
    <cellStyle name="集計 12 4 3 2 2 3" xfId="5317"/>
    <cellStyle name="集計 12 4 3 2 3" xfId="5318"/>
    <cellStyle name="集計 12 4 3 2 3 2" xfId="5319"/>
    <cellStyle name="集計 12 4 3 2 3 3" xfId="5320"/>
    <cellStyle name="集計 12 4 3 2 4" xfId="5321"/>
    <cellStyle name="集計 12 4 3 2 4 2" xfId="5322"/>
    <cellStyle name="集計 12 4 3 2 4 3" xfId="5323"/>
    <cellStyle name="集計 12 4 3 2 5" xfId="5324"/>
    <cellStyle name="集計 12 4 3 2 6" xfId="5325"/>
    <cellStyle name="集計 12 4 3 3" xfId="5326"/>
    <cellStyle name="集計 12 4 3 3 2" xfId="5327"/>
    <cellStyle name="集計 12 4 3 3 3" xfId="5328"/>
    <cellStyle name="集計 12 4 3 4" xfId="5329"/>
    <cellStyle name="集計 12 4 3 4 2" xfId="5330"/>
    <cellStyle name="集計 12 4 3 4 3" xfId="5331"/>
    <cellStyle name="集計 12 4 3 5" xfId="5332"/>
    <cellStyle name="集計 12 4 3 5 2" xfId="5333"/>
    <cellStyle name="集計 12 4 3 5 3" xfId="5334"/>
    <cellStyle name="集計 12 4 3 6" xfId="5335"/>
    <cellStyle name="集計 12 4 3 7" xfId="5336"/>
    <cellStyle name="集計 12 4 4" xfId="5337"/>
    <cellStyle name="集計 12 4 4 2" xfId="5338"/>
    <cellStyle name="集計 12 4 4 2 2" xfId="5339"/>
    <cellStyle name="集計 12 4 4 2 2 2" xfId="5340"/>
    <cellStyle name="集計 12 4 4 2 2 3" xfId="5341"/>
    <cellStyle name="集計 12 4 4 2 3" xfId="5342"/>
    <cellStyle name="集計 12 4 4 2 3 2" xfId="5343"/>
    <cellStyle name="集計 12 4 4 2 3 3" xfId="5344"/>
    <cellStyle name="集計 12 4 4 2 4" xfId="5345"/>
    <cellStyle name="集計 12 4 4 2 4 2" xfId="5346"/>
    <cellStyle name="集計 12 4 4 2 4 3" xfId="5347"/>
    <cellStyle name="集計 12 4 4 2 5" xfId="5348"/>
    <cellStyle name="集計 12 4 4 2 6" xfId="5349"/>
    <cellStyle name="集計 12 4 4 3" xfId="5350"/>
    <cellStyle name="集計 12 4 4 3 2" xfId="5351"/>
    <cellStyle name="集計 12 4 4 3 3" xfId="5352"/>
    <cellStyle name="集計 12 4 4 4" xfId="5353"/>
    <cellStyle name="集計 12 4 4 4 2" xfId="5354"/>
    <cellStyle name="集計 12 4 4 4 3" xfId="5355"/>
    <cellStyle name="集計 12 4 4 5" xfId="5356"/>
    <cellStyle name="集計 12 4 4 5 2" xfId="5357"/>
    <cellStyle name="集計 12 4 4 5 3" xfId="5358"/>
    <cellStyle name="集計 12 4 4 6" xfId="5359"/>
    <cellStyle name="集計 12 4 4 7" xfId="5360"/>
    <cellStyle name="集計 12 4 5" xfId="5361"/>
    <cellStyle name="集計 12 4 5 2" xfId="5362"/>
    <cellStyle name="集計 12 4 5 2 2" xfId="5363"/>
    <cellStyle name="集計 12 4 5 2 3" xfId="5364"/>
    <cellStyle name="集計 12 4 5 3" xfId="5365"/>
    <cellStyle name="集計 12 4 5 3 2" xfId="5366"/>
    <cellStyle name="集計 12 4 5 3 3" xfId="5367"/>
    <cellStyle name="集計 12 4 5 4" xfId="5368"/>
    <cellStyle name="集計 12 4 5 4 2" xfId="5369"/>
    <cellStyle name="集計 12 4 5 4 3" xfId="5370"/>
    <cellStyle name="集計 12 4 5 5" xfId="5371"/>
    <cellStyle name="集計 12 4 5 6" xfId="5372"/>
    <cellStyle name="集計 12 4 6" xfId="5373"/>
    <cellStyle name="集計 12 4 6 2" xfId="5374"/>
    <cellStyle name="集計 12 4 6 3" xfId="5375"/>
    <cellStyle name="集計 12 4 7" xfId="5376"/>
    <cellStyle name="集計 12 4 7 2" xfId="5377"/>
    <cellStyle name="集計 12 4 7 3" xfId="5378"/>
    <cellStyle name="集計 12 4 8" xfId="5379"/>
    <cellStyle name="集計 12 4 8 2" xfId="5380"/>
    <cellStyle name="集計 12 4 8 3" xfId="5381"/>
    <cellStyle name="集計 12 4 9" xfId="5382"/>
    <cellStyle name="集計 12 5" xfId="5383"/>
    <cellStyle name="集計 12 5 10" xfId="5384"/>
    <cellStyle name="集計 12 5 2" xfId="5385"/>
    <cellStyle name="集計 12 5 2 2" xfId="5386"/>
    <cellStyle name="集計 12 5 2 2 2" xfId="5387"/>
    <cellStyle name="集計 12 5 2 2 2 2" xfId="5388"/>
    <cellStyle name="集計 12 5 2 2 2 2 2" xfId="5389"/>
    <cellStyle name="集計 12 5 2 2 2 2 3" xfId="5390"/>
    <cellStyle name="集計 12 5 2 2 2 3" xfId="5391"/>
    <cellStyle name="集計 12 5 2 2 2 3 2" xfId="5392"/>
    <cellStyle name="集計 12 5 2 2 2 3 3" xfId="5393"/>
    <cellStyle name="集計 12 5 2 2 2 4" xfId="5394"/>
    <cellStyle name="集計 12 5 2 2 2 4 2" xfId="5395"/>
    <cellStyle name="集計 12 5 2 2 2 4 3" xfId="5396"/>
    <cellStyle name="集計 12 5 2 2 2 5" xfId="5397"/>
    <cellStyle name="集計 12 5 2 2 2 6" xfId="5398"/>
    <cellStyle name="集計 12 5 2 2 3" xfId="5399"/>
    <cellStyle name="集計 12 5 2 2 3 2" xfId="5400"/>
    <cellStyle name="集計 12 5 2 2 3 3" xfId="5401"/>
    <cellStyle name="集計 12 5 2 2 4" xfId="5402"/>
    <cellStyle name="集計 12 5 2 2 4 2" xfId="5403"/>
    <cellStyle name="集計 12 5 2 2 4 3" xfId="5404"/>
    <cellStyle name="集計 12 5 2 2 5" xfId="5405"/>
    <cellStyle name="集計 12 5 2 2 5 2" xfId="5406"/>
    <cellStyle name="集計 12 5 2 2 5 3" xfId="5407"/>
    <cellStyle name="集計 12 5 2 2 6" xfId="5408"/>
    <cellStyle name="集計 12 5 2 2 7" xfId="5409"/>
    <cellStyle name="集計 12 5 2 3" xfId="5410"/>
    <cellStyle name="集計 12 5 2 3 2" xfId="5411"/>
    <cellStyle name="集計 12 5 2 3 2 2" xfId="5412"/>
    <cellStyle name="集計 12 5 2 3 2 2 2" xfId="5413"/>
    <cellStyle name="集計 12 5 2 3 2 2 3" xfId="5414"/>
    <cellStyle name="集計 12 5 2 3 2 3" xfId="5415"/>
    <cellStyle name="集計 12 5 2 3 2 3 2" xfId="5416"/>
    <cellStyle name="集計 12 5 2 3 2 3 3" xfId="5417"/>
    <cellStyle name="集計 12 5 2 3 2 4" xfId="5418"/>
    <cellStyle name="集計 12 5 2 3 2 4 2" xfId="5419"/>
    <cellStyle name="集計 12 5 2 3 2 4 3" xfId="5420"/>
    <cellStyle name="集計 12 5 2 3 2 5" xfId="5421"/>
    <cellStyle name="集計 12 5 2 3 2 6" xfId="5422"/>
    <cellStyle name="集計 12 5 2 3 3" xfId="5423"/>
    <cellStyle name="集計 12 5 2 3 3 2" xfId="5424"/>
    <cellStyle name="集計 12 5 2 3 3 3" xfId="5425"/>
    <cellStyle name="集計 12 5 2 3 4" xfId="5426"/>
    <cellStyle name="集計 12 5 2 3 4 2" xfId="5427"/>
    <cellStyle name="集計 12 5 2 3 4 3" xfId="5428"/>
    <cellStyle name="集計 12 5 2 3 5" xfId="5429"/>
    <cellStyle name="集計 12 5 2 3 5 2" xfId="5430"/>
    <cellStyle name="集計 12 5 2 3 5 3" xfId="5431"/>
    <cellStyle name="集計 12 5 2 3 6" xfId="5432"/>
    <cellStyle name="集計 12 5 2 3 7" xfId="5433"/>
    <cellStyle name="集計 12 5 2 4" xfId="5434"/>
    <cellStyle name="集計 12 5 2 4 2" xfId="5435"/>
    <cellStyle name="集計 12 5 2 4 2 2" xfId="5436"/>
    <cellStyle name="集計 12 5 2 4 2 3" xfId="5437"/>
    <cellStyle name="集計 12 5 2 4 3" xfId="5438"/>
    <cellStyle name="集計 12 5 2 4 3 2" xfId="5439"/>
    <cellStyle name="集計 12 5 2 4 3 3" xfId="5440"/>
    <cellStyle name="集計 12 5 2 4 4" xfId="5441"/>
    <cellStyle name="集計 12 5 2 4 4 2" xfId="5442"/>
    <cellStyle name="集計 12 5 2 4 4 3" xfId="5443"/>
    <cellStyle name="集計 12 5 2 4 5" xfId="5444"/>
    <cellStyle name="集計 12 5 2 4 6" xfId="5445"/>
    <cellStyle name="集計 12 5 2 5" xfId="5446"/>
    <cellStyle name="集計 12 5 2 5 2" xfId="5447"/>
    <cellStyle name="集計 12 5 2 5 3" xfId="5448"/>
    <cellStyle name="集計 12 5 2 6" xfId="5449"/>
    <cellStyle name="集計 12 5 2 6 2" xfId="5450"/>
    <cellStyle name="集計 12 5 2 6 3" xfId="5451"/>
    <cellStyle name="集計 12 5 2 7" xfId="5452"/>
    <cellStyle name="集計 12 5 2 7 2" xfId="5453"/>
    <cellStyle name="集計 12 5 2 7 3" xfId="5454"/>
    <cellStyle name="集計 12 5 2 8" xfId="5455"/>
    <cellStyle name="集計 12 5 2 9" xfId="5456"/>
    <cellStyle name="集計 12 5 3" xfId="5457"/>
    <cellStyle name="集計 12 5 3 2" xfId="5458"/>
    <cellStyle name="集計 12 5 3 2 2" xfId="5459"/>
    <cellStyle name="集計 12 5 3 2 2 2" xfId="5460"/>
    <cellStyle name="集計 12 5 3 2 2 3" xfId="5461"/>
    <cellStyle name="集計 12 5 3 2 3" xfId="5462"/>
    <cellStyle name="集計 12 5 3 2 3 2" xfId="5463"/>
    <cellStyle name="集計 12 5 3 2 3 3" xfId="5464"/>
    <cellStyle name="集計 12 5 3 2 4" xfId="5465"/>
    <cellStyle name="集計 12 5 3 2 4 2" xfId="5466"/>
    <cellStyle name="集計 12 5 3 2 4 3" xfId="5467"/>
    <cellStyle name="集計 12 5 3 2 5" xfId="5468"/>
    <cellStyle name="集計 12 5 3 2 6" xfId="5469"/>
    <cellStyle name="集計 12 5 3 3" xfId="5470"/>
    <cellStyle name="集計 12 5 3 3 2" xfId="5471"/>
    <cellStyle name="集計 12 5 3 3 3" xfId="5472"/>
    <cellStyle name="集計 12 5 3 4" xfId="5473"/>
    <cellStyle name="集計 12 5 3 4 2" xfId="5474"/>
    <cellStyle name="集計 12 5 3 4 3" xfId="5475"/>
    <cellStyle name="集計 12 5 3 5" xfId="5476"/>
    <cellStyle name="集計 12 5 3 5 2" xfId="5477"/>
    <cellStyle name="集計 12 5 3 5 3" xfId="5478"/>
    <cellStyle name="集計 12 5 3 6" xfId="5479"/>
    <cellStyle name="集計 12 5 3 7" xfId="5480"/>
    <cellStyle name="集計 12 5 4" xfId="5481"/>
    <cellStyle name="集計 12 5 4 2" xfId="5482"/>
    <cellStyle name="集計 12 5 4 2 2" xfId="5483"/>
    <cellStyle name="集計 12 5 4 2 2 2" xfId="5484"/>
    <cellStyle name="集計 12 5 4 2 2 3" xfId="5485"/>
    <cellStyle name="集計 12 5 4 2 3" xfId="5486"/>
    <cellStyle name="集計 12 5 4 2 3 2" xfId="5487"/>
    <cellStyle name="集計 12 5 4 2 3 3" xfId="5488"/>
    <cellStyle name="集計 12 5 4 2 4" xfId="5489"/>
    <cellStyle name="集計 12 5 4 2 4 2" xfId="5490"/>
    <cellStyle name="集計 12 5 4 2 4 3" xfId="5491"/>
    <cellStyle name="集計 12 5 4 2 5" xfId="5492"/>
    <cellStyle name="集計 12 5 4 2 6" xfId="5493"/>
    <cellStyle name="集計 12 5 4 3" xfId="5494"/>
    <cellStyle name="集計 12 5 4 3 2" xfId="5495"/>
    <cellStyle name="集計 12 5 4 3 3" xfId="5496"/>
    <cellStyle name="集計 12 5 4 4" xfId="5497"/>
    <cellStyle name="集計 12 5 4 4 2" xfId="5498"/>
    <cellStyle name="集計 12 5 4 4 3" xfId="5499"/>
    <cellStyle name="集計 12 5 4 5" xfId="5500"/>
    <cellStyle name="集計 12 5 4 5 2" xfId="5501"/>
    <cellStyle name="集計 12 5 4 5 3" xfId="5502"/>
    <cellStyle name="集計 12 5 4 6" xfId="5503"/>
    <cellStyle name="集計 12 5 4 7" xfId="5504"/>
    <cellStyle name="集計 12 5 5" xfId="5505"/>
    <cellStyle name="集計 12 5 5 2" xfId="5506"/>
    <cellStyle name="集計 12 5 5 2 2" xfId="5507"/>
    <cellStyle name="集計 12 5 5 2 3" xfId="5508"/>
    <cellStyle name="集計 12 5 5 3" xfId="5509"/>
    <cellStyle name="集計 12 5 5 3 2" xfId="5510"/>
    <cellStyle name="集計 12 5 5 3 3" xfId="5511"/>
    <cellStyle name="集計 12 5 5 4" xfId="5512"/>
    <cellStyle name="集計 12 5 5 4 2" xfId="5513"/>
    <cellStyle name="集計 12 5 5 4 3" xfId="5514"/>
    <cellStyle name="集計 12 5 5 5" xfId="5515"/>
    <cellStyle name="集計 12 5 5 6" xfId="5516"/>
    <cellStyle name="集計 12 5 6" xfId="5517"/>
    <cellStyle name="集計 12 5 6 2" xfId="5518"/>
    <cellStyle name="集計 12 5 6 3" xfId="5519"/>
    <cellStyle name="集計 12 5 7" xfId="5520"/>
    <cellStyle name="集計 12 5 7 2" xfId="5521"/>
    <cellStyle name="集計 12 5 7 3" xfId="5522"/>
    <cellStyle name="集計 12 5 8" xfId="5523"/>
    <cellStyle name="集計 12 5 8 2" xfId="5524"/>
    <cellStyle name="集計 12 5 8 3" xfId="5525"/>
    <cellStyle name="集計 12 5 9" xfId="5526"/>
    <cellStyle name="集計 12 6" xfId="5527"/>
    <cellStyle name="集計 12 6 10" xfId="5528"/>
    <cellStyle name="集計 12 6 2" xfId="5529"/>
    <cellStyle name="集計 12 6 2 2" xfId="5530"/>
    <cellStyle name="集計 12 6 2 2 2" xfId="5531"/>
    <cellStyle name="集計 12 6 2 2 2 2" xfId="5532"/>
    <cellStyle name="集計 12 6 2 2 2 2 2" xfId="5533"/>
    <cellStyle name="集計 12 6 2 2 2 2 3" xfId="5534"/>
    <cellStyle name="集計 12 6 2 2 2 3" xfId="5535"/>
    <cellStyle name="集計 12 6 2 2 2 3 2" xfId="5536"/>
    <cellStyle name="集計 12 6 2 2 2 3 3" xfId="5537"/>
    <cellStyle name="集計 12 6 2 2 2 4" xfId="5538"/>
    <cellStyle name="集計 12 6 2 2 2 4 2" xfId="5539"/>
    <cellStyle name="集計 12 6 2 2 2 4 3" xfId="5540"/>
    <cellStyle name="集計 12 6 2 2 2 5" xfId="5541"/>
    <cellStyle name="集計 12 6 2 2 2 6" xfId="5542"/>
    <cellStyle name="集計 12 6 2 2 3" xfId="5543"/>
    <cellStyle name="集計 12 6 2 2 3 2" xfId="5544"/>
    <cellStyle name="集計 12 6 2 2 3 3" xfId="5545"/>
    <cellStyle name="集計 12 6 2 2 4" xfId="5546"/>
    <cellStyle name="集計 12 6 2 2 4 2" xfId="5547"/>
    <cellStyle name="集計 12 6 2 2 4 3" xfId="5548"/>
    <cellStyle name="集計 12 6 2 2 5" xfId="5549"/>
    <cellStyle name="集計 12 6 2 2 5 2" xfId="5550"/>
    <cellStyle name="集計 12 6 2 2 5 3" xfId="5551"/>
    <cellStyle name="集計 12 6 2 2 6" xfId="5552"/>
    <cellStyle name="集計 12 6 2 2 7" xfId="5553"/>
    <cellStyle name="集計 12 6 2 3" xfId="5554"/>
    <cellStyle name="集計 12 6 2 3 2" xfId="5555"/>
    <cellStyle name="集計 12 6 2 3 2 2" xfId="5556"/>
    <cellStyle name="集計 12 6 2 3 2 2 2" xfId="5557"/>
    <cellStyle name="集計 12 6 2 3 2 2 3" xfId="5558"/>
    <cellStyle name="集計 12 6 2 3 2 3" xfId="5559"/>
    <cellStyle name="集計 12 6 2 3 2 3 2" xfId="5560"/>
    <cellStyle name="集計 12 6 2 3 2 3 3" xfId="5561"/>
    <cellStyle name="集計 12 6 2 3 2 4" xfId="5562"/>
    <cellStyle name="集計 12 6 2 3 2 4 2" xfId="5563"/>
    <cellStyle name="集計 12 6 2 3 2 4 3" xfId="5564"/>
    <cellStyle name="集計 12 6 2 3 2 5" xfId="5565"/>
    <cellStyle name="集計 12 6 2 3 2 6" xfId="5566"/>
    <cellStyle name="集計 12 6 2 3 3" xfId="5567"/>
    <cellStyle name="集計 12 6 2 3 3 2" xfId="5568"/>
    <cellStyle name="集計 12 6 2 3 3 3" xfId="5569"/>
    <cellStyle name="集計 12 6 2 3 4" xfId="5570"/>
    <cellStyle name="集計 12 6 2 3 4 2" xfId="5571"/>
    <cellStyle name="集計 12 6 2 3 4 3" xfId="5572"/>
    <cellStyle name="集計 12 6 2 3 5" xfId="5573"/>
    <cellStyle name="集計 12 6 2 3 5 2" xfId="5574"/>
    <cellStyle name="集計 12 6 2 3 5 3" xfId="5575"/>
    <cellStyle name="集計 12 6 2 3 6" xfId="5576"/>
    <cellStyle name="集計 12 6 2 3 7" xfId="5577"/>
    <cellStyle name="集計 12 6 2 4" xfId="5578"/>
    <cellStyle name="集計 12 6 2 4 2" xfId="5579"/>
    <cellStyle name="集計 12 6 2 4 2 2" xfId="5580"/>
    <cellStyle name="集計 12 6 2 4 2 3" xfId="5581"/>
    <cellStyle name="集計 12 6 2 4 3" xfId="5582"/>
    <cellStyle name="集計 12 6 2 4 3 2" xfId="5583"/>
    <cellStyle name="集計 12 6 2 4 3 3" xfId="5584"/>
    <cellStyle name="集計 12 6 2 4 4" xfId="5585"/>
    <cellStyle name="集計 12 6 2 4 4 2" xfId="5586"/>
    <cellStyle name="集計 12 6 2 4 4 3" xfId="5587"/>
    <cellStyle name="集計 12 6 2 4 5" xfId="5588"/>
    <cellStyle name="集計 12 6 2 4 6" xfId="5589"/>
    <cellStyle name="集計 12 6 2 5" xfId="5590"/>
    <cellStyle name="集計 12 6 2 5 2" xfId="5591"/>
    <cellStyle name="集計 12 6 2 5 3" xfId="5592"/>
    <cellStyle name="集計 12 6 2 6" xfId="5593"/>
    <cellStyle name="集計 12 6 2 6 2" xfId="5594"/>
    <cellStyle name="集計 12 6 2 6 3" xfId="5595"/>
    <cellStyle name="集計 12 6 2 7" xfId="5596"/>
    <cellStyle name="集計 12 6 2 7 2" xfId="5597"/>
    <cellStyle name="集計 12 6 2 7 3" xfId="5598"/>
    <cellStyle name="集計 12 6 2 8" xfId="5599"/>
    <cellStyle name="集計 12 6 2 9" xfId="5600"/>
    <cellStyle name="集計 12 6 3" xfId="5601"/>
    <cellStyle name="集計 12 6 3 2" xfId="5602"/>
    <cellStyle name="集計 12 6 3 2 2" xfId="5603"/>
    <cellStyle name="集計 12 6 3 2 2 2" xfId="5604"/>
    <cellStyle name="集計 12 6 3 2 2 3" xfId="5605"/>
    <cellStyle name="集計 12 6 3 2 3" xfId="5606"/>
    <cellStyle name="集計 12 6 3 2 3 2" xfId="5607"/>
    <cellStyle name="集計 12 6 3 2 3 3" xfId="5608"/>
    <cellStyle name="集計 12 6 3 2 4" xfId="5609"/>
    <cellStyle name="集計 12 6 3 2 4 2" xfId="5610"/>
    <cellStyle name="集計 12 6 3 2 4 3" xfId="5611"/>
    <cellStyle name="集計 12 6 3 2 5" xfId="5612"/>
    <cellStyle name="集計 12 6 3 2 6" xfId="5613"/>
    <cellStyle name="集計 12 6 3 3" xfId="5614"/>
    <cellStyle name="集計 12 6 3 3 2" xfId="5615"/>
    <cellStyle name="集計 12 6 3 3 3" xfId="5616"/>
    <cellStyle name="集計 12 6 3 4" xfId="5617"/>
    <cellStyle name="集計 12 6 3 4 2" xfId="5618"/>
    <cellStyle name="集計 12 6 3 4 3" xfId="5619"/>
    <cellStyle name="集計 12 6 3 5" xfId="5620"/>
    <cellStyle name="集計 12 6 3 5 2" xfId="5621"/>
    <cellStyle name="集計 12 6 3 5 3" xfId="5622"/>
    <cellStyle name="集計 12 6 3 6" xfId="5623"/>
    <cellStyle name="集計 12 6 3 7" xfId="5624"/>
    <cellStyle name="集計 12 6 4" xfId="5625"/>
    <cellStyle name="集計 12 6 4 2" xfId="5626"/>
    <cellStyle name="集計 12 6 4 2 2" xfId="5627"/>
    <cellStyle name="集計 12 6 4 2 2 2" xfId="5628"/>
    <cellStyle name="集計 12 6 4 2 2 3" xfId="5629"/>
    <cellStyle name="集計 12 6 4 2 3" xfId="5630"/>
    <cellStyle name="集計 12 6 4 2 3 2" xfId="5631"/>
    <cellStyle name="集計 12 6 4 2 3 3" xfId="5632"/>
    <cellStyle name="集計 12 6 4 2 4" xfId="5633"/>
    <cellStyle name="集計 12 6 4 2 4 2" xfId="5634"/>
    <cellStyle name="集計 12 6 4 2 4 3" xfId="5635"/>
    <cellStyle name="集計 12 6 4 2 5" xfId="5636"/>
    <cellStyle name="集計 12 6 4 2 6" xfId="5637"/>
    <cellStyle name="集計 12 6 4 3" xfId="5638"/>
    <cellStyle name="集計 12 6 4 3 2" xfId="5639"/>
    <cellStyle name="集計 12 6 4 3 3" xfId="5640"/>
    <cellStyle name="集計 12 6 4 4" xfId="5641"/>
    <cellStyle name="集計 12 6 4 4 2" xfId="5642"/>
    <cellStyle name="集計 12 6 4 4 3" xfId="5643"/>
    <cellStyle name="集計 12 6 4 5" xfId="5644"/>
    <cellStyle name="集計 12 6 4 5 2" xfId="5645"/>
    <cellStyle name="集計 12 6 4 5 3" xfId="5646"/>
    <cellStyle name="集計 12 6 4 6" xfId="5647"/>
    <cellStyle name="集計 12 6 4 7" xfId="5648"/>
    <cellStyle name="集計 12 6 5" xfId="5649"/>
    <cellStyle name="集計 12 6 5 2" xfId="5650"/>
    <cellStyle name="集計 12 6 5 2 2" xfId="5651"/>
    <cellStyle name="集計 12 6 5 2 3" xfId="5652"/>
    <cellStyle name="集計 12 6 5 3" xfId="5653"/>
    <cellStyle name="集計 12 6 5 3 2" xfId="5654"/>
    <cellStyle name="集計 12 6 5 3 3" xfId="5655"/>
    <cellStyle name="集計 12 6 5 4" xfId="5656"/>
    <cellStyle name="集計 12 6 5 4 2" xfId="5657"/>
    <cellStyle name="集計 12 6 5 4 3" xfId="5658"/>
    <cellStyle name="集計 12 6 5 5" xfId="5659"/>
    <cellStyle name="集計 12 6 5 6" xfId="5660"/>
    <cellStyle name="集計 12 6 6" xfId="5661"/>
    <cellStyle name="集計 12 6 6 2" xfId="5662"/>
    <cellStyle name="集計 12 6 6 3" xfId="5663"/>
    <cellStyle name="集計 12 6 7" xfId="5664"/>
    <cellStyle name="集計 12 6 7 2" xfId="5665"/>
    <cellStyle name="集計 12 6 7 3" xfId="5666"/>
    <cellStyle name="集計 12 6 8" xfId="5667"/>
    <cellStyle name="集計 12 6 8 2" xfId="5668"/>
    <cellStyle name="集計 12 6 8 3" xfId="5669"/>
    <cellStyle name="集計 12 6 9" xfId="5670"/>
    <cellStyle name="集計 12 7" xfId="5671"/>
    <cellStyle name="集計 12 7 2" xfId="5672"/>
    <cellStyle name="集計 12 7 2 2" xfId="5673"/>
    <cellStyle name="集計 12 7 2 2 2" xfId="5674"/>
    <cellStyle name="集計 12 7 2 2 3" xfId="5675"/>
    <cellStyle name="集計 12 7 2 3" xfId="5676"/>
    <cellStyle name="集計 12 7 2 3 2" xfId="5677"/>
    <cellStyle name="集計 12 7 2 3 3" xfId="5678"/>
    <cellStyle name="集計 12 7 2 4" xfId="5679"/>
    <cellStyle name="集計 12 7 2 4 2" xfId="5680"/>
    <cellStyle name="集計 12 7 2 4 3" xfId="5681"/>
    <cellStyle name="集計 12 7 2 5" xfId="5682"/>
    <cellStyle name="集計 12 7 2 6" xfId="5683"/>
    <cellStyle name="集計 12 7 3" xfId="5684"/>
    <cellStyle name="集計 12 7 3 2" xfId="5685"/>
    <cellStyle name="集計 12 7 3 3" xfId="5686"/>
    <cellStyle name="集計 12 7 4" xfId="5687"/>
    <cellStyle name="集計 12 7 4 2" xfId="5688"/>
    <cellStyle name="集計 12 7 4 3" xfId="5689"/>
    <cellStyle name="集計 12 7 5" xfId="5690"/>
    <cellStyle name="集計 12 7 5 2" xfId="5691"/>
    <cellStyle name="集計 12 7 5 3" xfId="5692"/>
    <cellStyle name="集計 12 7 6" xfId="5693"/>
    <cellStyle name="集計 12 7 7" xfId="5694"/>
    <cellStyle name="集計 12 8" xfId="5695"/>
    <cellStyle name="集計 12 8 2" xfId="5696"/>
    <cellStyle name="集計 12 8 2 2" xfId="5697"/>
    <cellStyle name="集計 12 8 2 2 2" xfId="5698"/>
    <cellStyle name="集計 12 8 2 2 3" xfId="5699"/>
    <cellStyle name="集計 12 8 2 3" xfId="5700"/>
    <cellStyle name="集計 12 8 2 3 2" xfId="5701"/>
    <cellStyle name="集計 12 8 2 3 3" xfId="5702"/>
    <cellStyle name="集計 12 8 2 4" xfId="5703"/>
    <cellStyle name="集計 12 8 2 4 2" xfId="5704"/>
    <cellStyle name="集計 12 8 2 4 3" xfId="5705"/>
    <cellStyle name="集計 12 8 2 5" xfId="5706"/>
    <cellStyle name="集計 12 8 2 6" xfId="5707"/>
    <cellStyle name="集計 12 8 3" xfId="5708"/>
    <cellStyle name="集計 12 8 3 2" xfId="5709"/>
    <cellStyle name="集計 12 8 3 3" xfId="5710"/>
    <cellStyle name="集計 12 8 4" xfId="5711"/>
    <cellStyle name="集計 12 8 4 2" xfId="5712"/>
    <cellStyle name="集計 12 8 4 3" xfId="5713"/>
    <cellStyle name="集計 12 8 5" xfId="5714"/>
    <cellStyle name="集計 12 8 5 2" xfId="5715"/>
    <cellStyle name="集計 12 8 5 3" xfId="5716"/>
    <cellStyle name="集計 12 8 6" xfId="5717"/>
    <cellStyle name="集計 12 8 7" xfId="5718"/>
    <cellStyle name="集計 12 9" xfId="5719"/>
    <cellStyle name="集計 12 9 2" xfId="5720"/>
    <cellStyle name="集計 12 9 2 2" xfId="5721"/>
    <cellStyle name="集計 12 9 2 3" xfId="5722"/>
    <cellStyle name="集計 12 9 3" xfId="5723"/>
    <cellStyle name="集計 12 9 3 2" xfId="5724"/>
    <cellStyle name="集計 12 9 3 3" xfId="5725"/>
    <cellStyle name="集計 12 9 4" xfId="5726"/>
    <cellStyle name="集計 12 9 4 2" xfId="5727"/>
    <cellStyle name="集計 12 9 4 3" xfId="5728"/>
    <cellStyle name="集計 12 9 5" xfId="5729"/>
    <cellStyle name="集計 12 9 6" xfId="5730"/>
    <cellStyle name="集計 13" xfId="5731"/>
    <cellStyle name="集計 13 10" xfId="5732"/>
    <cellStyle name="集計 13 10 2" xfId="5733"/>
    <cellStyle name="集計 13 10 3" xfId="5734"/>
    <cellStyle name="集計 13 11" xfId="5735"/>
    <cellStyle name="集計 13 11 2" xfId="5736"/>
    <cellStyle name="集計 13 11 3" xfId="5737"/>
    <cellStyle name="集計 13 12" xfId="5738"/>
    <cellStyle name="集計 13 12 2" xfId="5739"/>
    <cellStyle name="集計 13 12 3" xfId="5740"/>
    <cellStyle name="集計 13 13" xfId="5741"/>
    <cellStyle name="集計 13 14" xfId="5742"/>
    <cellStyle name="集計 13 2" xfId="5743"/>
    <cellStyle name="集計 13 2 10" xfId="5744"/>
    <cellStyle name="集計 13 2 2" xfId="5745"/>
    <cellStyle name="集計 13 2 2 10" xfId="5746"/>
    <cellStyle name="集計 13 2 2 2" xfId="5747"/>
    <cellStyle name="集計 13 2 2 2 2" xfId="5748"/>
    <cellStyle name="集計 13 2 2 2 2 2" xfId="5749"/>
    <cellStyle name="集計 13 2 2 2 2 2 2" xfId="5750"/>
    <cellStyle name="集計 13 2 2 2 2 2 2 2" xfId="5751"/>
    <cellStyle name="集計 13 2 2 2 2 2 2 3" xfId="5752"/>
    <cellStyle name="集計 13 2 2 2 2 2 3" xfId="5753"/>
    <cellStyle name="集計 13 2 2 2 2 2 3 2" xfId="5754"/>
    <cellStyle name="集計 13 2 2 2 2 2 3 3" xfId="5755"/>
    <cellStyle name="集計 13 2 2 2 2 2 4" xfId="5756"/>
    <cellStyle name="集計 13 2 2 2 2 2 4 2" xfId="5757"/>
    <cellStyle name="集計 13 2 2 2 2 2 4 3" xfId="5758"/>
    <cellStyle name="集計 13 2 2 2 2 2 5" xfId="5759"/>
    <cellStyle name="集計 13 2 2 2 2 2 6" xfId="5760"/>
    <cellStyle name="集計 13 2 2 2 2 3" xfId="5761"/>
    <cellStyle name="集計 13 2 2 2 2 3 2" xfId="5762"/>
    <cellStyle name="集計 13 2 2 2 2 3 3" xfId="5763"/>
    <cellStyle name="集計 13 2 2 2 2 4" xfId="5764"/>
    <cellStyle name="集計 13 2 2 2 2 4 2" xfId="5765"/>
    <cellStyle name="集計 13 2 2 2 2 4 3" xfId="5766"/>
    <cellStyle name="集計 13 2 2 2 2 5" xfId="5767"/>
    <cellStyle name="集計 13 2 2 2 2 5 2" xfId="5768"/>
    <cellStyle name="集計 13 2 2 2 2 5 3" xfId="5769"/>
    <cellStyle name="集計 13 2 2 2 2 6" xfId="5770"/>
    <cellStyle name="集計 13 2 2 2 2 7" xfId="5771"/>
    <cellStyle name="集計 13 2 2 2 3" xfId="5772"/>
    <cellStyle name="集計 13 2 2 2 3 2" xfId="5773"/>
    <cellStyle name="集計 13 2 2 2 3 2 2" xfId="5774"/>
    <cellStyle name="集計 13 2 2 2 3 2 2 2" xfId="5775"/>
    <cellStyle name="集計 13 2 2 2 3 2 2 3" xfId="5776"/>
    <cellStyle name="集計 13 2 2 2 3 2 3" xfId="5777"/>
    <cellStyle name="集計 13 2 2 2 3 2 3 2" xfId="5778"/>
    <cellStyle name="集計 13 2 2 2 3 2 3 3" xfId="5779"/>
    <cellStyle name="集計 13 2 2 2 3 2 4" xfId="5780"/>
    <cellStyle name="集計 13 2 2 2 3 2 4 2" xfId="5781"/>
    <cellStyle name="集計 13 2 2 2 3 2 4 3" xfId="5782"/>
    <cellStyle name="集計 13 2 2 2 3 2 5" xfId="5783"/>
    <cellStyle name="集計 13 2 2 2 3 2 6" xfId="5784"/>
    <cellStyle name="集計 13 2 2 2 3 3" xfId="5785"/>
    <cellStyle name="集計 13 2 2 2 3 3 2" xfId="5786"/>
    <cellStyle name="集計 13 2 2 2 3 3 3" xfId="5787"/>
    <cellStyle name="集計 13 2 2 2 3 4" xfId="5788"/>
    <cellStyle name="集計 13 2 2 2 3 4 2" xfId="5789"/>
    <cellStyle name="集計 13 2 2 2 3 4 3" xfId="5790"/>
    <cellStyle name="集計 13 2 2 2 3 5" xfId="5791"/>
    <cellStyle name="集計 13 2 2 2 3 5 2" xfId="5792"/>
    <cellStyle name="集計 13 2 2 2 3 5 3" xfId="5793"/>
    <cellStyle name="集計 13 2 2 2 3 6" xfId="5794"/>
    <cellStyle name="集計 13 2 2 2 3 7" xfId="5795"/>
    <cellStyle name="集計 13 2 2 2 4" xfId="5796"/>
    <cellStyle name="集計 13 2 2 2 4 2" xfId="5797"/>
    <cellStyle name="集計 13 2 2 2 4 2 2" xfId="5798"/>
    <cellStyle name="集計 13 2 2 2 4 2 3" xfId="5799"/>
    <cellStyle name="集計 13 2 2 2 4 3" xfId="5800"/>
    <cellStyle name="集計 13 2 2 2 4 3 2" xfId="5801"/>
    <cellStyle name="集計 13 2 2 2 4 3 3" xfId="5802"/>
    <cellStyle name="集計 13 2 2 2 4 4" xfId="5803"/>
    <cellStyle name="集計 13 2 2 2 4 4 2" xfId="5804"/>
    <cellStyle name="集計 13 2 2 2 4 4 3" xfId="5805"/>
    <cellStyle name="集計 13 2 2 2 4 5" xfId="5806"/>
    <cellStyle name="集計 13 2 2 2 4 6" xfId="5807"/>
    <cellStyle name="集計 13 2 2 2 5" xfId="5808"/>
    <cellStyle name="集計 13 2 2 2 5 2" xfId="5809"/>
    <cellStyle name="集計 13 2 2 2 5 3" xfId="5810"/>
    <cellStyle name="集計 13 2 2 2 6" xfId="5811"/>
    <cellStyle name="集計 13 2 2 2 6 2" xfId="5812"/>
    <cellStyle name="集計 13 2 2 2 6 3" xfId="5813"/>
    <cellStyle name="集計 13 2 2 2 7" xfId="5814"/>
    <cellStyle name="集計 13 2 2 2 7 2" xfId="5815"/>
    <cellStyle name="集計 13 2 2 2 7 3" xfId="5816"/>
    <cellStyle name="集計 13 2 2 2 8" xfId="5817"/>
    <cellStyle name="集計 13 2 2 2 9" xfId="5818"/>
    <cellStyle name="集計 13 2 2 3" xfId="5819"/>
    <cellStyle name="集計 13 2 2 3 2" xfId="5820"/>
    <cellStyle name="集計 13 2 2 3 2 2" xfId="5821"/>
    <cellStyle name="集計 13 2 2 3 2 2 2" xfId="5822"/>
    <cellStyle name="集計 13 2 2 3 2 2 3" xfId="5823"/>
    <cellStyle name="集計 13 2 2 3 2 3" xfId="5824"/>
    <cellStyle name="集計 13 2 2 3 2 3 2" xfId="5825"/>
    <cellStyle name="集計 13 2 2 3 2 3 3" xfId="5826"/>
    <cellStyle name="集計 13 2 2 3 2 4" xfId="5827"/>
    <cellStyle name="集計 13 2 2 3 2 4 2" xfId="5828"/>
    <cellStyle name="集計 13 2 2 3 2 4 3" xfId="5829"/>
    <cellStyle name="集計 13 2 2 3 2 5" xfId="5830"/>
    <cellStyle name="集計 13 2 2 3 2 6" xfId="5831"/>
    <cellStyle name="集計 13 2 2 3 3" xfId="5832"/>
    <cellStyle name="集計 13 2 2 3 3 2" xfId="5833"/>
    <cellStyle name="集計 13 2 2 3 3 3" xfId="5834"/>
    <cellStyle name="集計 13 2 2 3 4" xfId="5835"/>
    <cellStyle name="集計 13 2 2 3 4 2" xfId="5836"/>
    <cellStyle name="集計 13 2 2 3 4 3" xfId="5837"/>
    <cellStyle name="集計 13 2 2 3 5" xfId="5838"/>
    <cellStyle name="集計 13 2 2 3 5 2" xfId="5839"/>
    <cellStyle name="集計 13 2 2 3 5 3" xfId="5840"/>
    <cellStyle name="集計 13 2 2 3 6" xfId="5841"/>
    <cellStyle name="集計 13 2 2 3 7" xfId="5842"/>
    <cellStyle name="集計 13 2 2 4" xfId="5843"/>
    <cellStyle name="集計 13 2 2 4 2" xfId="5844"/>
    <cellStyle name="集計 13 2 2 4 2 2" xfId="5845"/>
    <cellStyle name="集計 13 2 2 4 2 2 2" xfId="5846"/>
    <cellStyle name="集計 13 2 2 4 2 2 3" xfId="5847"/>
    <cellStyle name="集計 13 2 2 4 2 3" xfId="5848"/>
    <cellStyle name="集計 13 2 2 4 2 3 2" xfId="5849"/>
    <cellStyle name="集計 13 2 2 4 2 3 3" xfId="5850"/>
    <cellStyle name="集計 13 2 2 4 2 4" xfId="5851"/>
    <cellStyle name="集計 13 2 2 4 2 4 2" xfId="5852"/>
    <cellStyle name="集計 13 2 2 4 2 4 3" xfId="5853"/>
    <cellStyle name="集計 13 2 2 4 2 5" xfId="5854"/>
    <cellStyle name="集計 13 2 2 4 2 6" xfId="5855"/>
    <cellStyle name="集計 13 2 2 4 3" xfId="5856"/>
    <cellStyle name="集計 13 2 2 4 3 2" xfId="5857"/>
    <cellStyle name="集計 13 2 2 4 3 3" xfId="5858"/>
    <cellStyle name="集計 13 2 2 4 4" xfId="5859"/>
    <cellStyle name="集計 13 2 2 4 4 2" xfId="5860"/>
    <cellStyle name="集計 13 2 2 4 4 3" xfId="5861"/>
    <cellStyle name="集計 13 2 2 4 5" xfId="5862"/>
    <cellStyle name="集計 13 2 2 4 5 2" xfId="5863"/>
    <cellStyle name="集計 13 2 2 4 5 3" xfId="5864"/>
    <cellStyle name="集計 13 2 2 4 6" xfId="5865"/>
    <cellStyle name="集計 13 2 2 4 7" xfId="5866"/>
    <cellStyle name="集計 13 2 2 5" xfId="5867"/>
    <cellStyle name="集計 13 2 2 5 2" xfId="5868"/>
    <cellStyle name="集計 13 2 2 5 2 2" xfId="5869"/>
    <cellStyle name="集計 13 2 2 5 2 3" xfId="5870"/>
    <cellStyle name="集計 13 2 2 5 3" xfId="5871"/>
    <cellStyle name="集計 13 2 2 5 3 2" xfId="5872"/>
    <cellStyle name="集計 13 2 2 5 3 3" xfId="5873"/>
    <cellStyle name="集計 13 2 2 5 4" xfId="5874"/>
    <cellStyle name="集計 13 2 2 5 4 2" xfId="5875"/>
    <cellStyle name="集計 13 2 2 5 4 3" xfId="5876"/>
    <cellStyle name="集計 13 2 2 5 5" xfId="5877"/>
    <cellStyle name="集計 13 2 2 5 6" xfId="5878"/>
    <cellStyle name="集計 13 2 2 6" xfId="5879"/>
    <cellStyle name="集計 13 2 2 6 2" xfId="5880"/>
    <cellStyle name="集計 13 2 2 6 3" xfId="5881"/>
    <cellStyle name="集計 13 2 2 7" xfId="5882"/>
    <cellStyle name="集計 13 2 2 7 2" xfId="5883"/>
    <cellStyle name="集計 13 2 2 7 3" xfId="5884"/>
    <cellStyle name="集計 13 2 2 8" xfId="5885"/>
    <cellStyle name="集計 13 2 2 8 2" xfId="5886"/>
    <cellStyle name="集計 13 2 2 8 3" xfId="5887"/>
    <cellStyle name="集計 13 2 2 9" xfId="5888"/>
    <cellStyle name="集計 13 2 3" xfId="5889"/>
    <cellStyle name="集計 13 2 3 2" xfId="5890"/>
    <cellStyle name="集計 13 2 3 2 2" xfId="5891"/>
    <cellStyle name="集計 13 2 3 2 2 2" xfId="5892"/>
    <cellStyle name="集計 13 2 3 2 2 3" xfId="5893"/>
    <cellStyle name="集計 13 2 3 2 3" xfId="5894"/>
    <cellStyle name="集計 13 2 3 2 3 2" xfId="5895"/>
    <cellStyle name="集計 13 2 3 2 3 3" xfId="5896"/>
    <cellStyle name="集計 13 2 3 2 4" xfId="5897"/>
    <cellStyle name="集計 13 2 3 2 4 2" xfId="5898"/>
    <cellStyle name="集計 13 2 3 2 4 3" xfId="5899"/>
    <cellStyle name="集計 13 2 3 2 5" xfId="5900"/>
    <cellStyle name="集計 13 2 3 2 6" xfId="5901"/>
    <cellStyle name="集計 13 2 3 3" xfId="5902"/>
    <cellStyle name="集計 13 2 3 3 2" xfId="5903"/>
    <cellStyle name="集計 13 2 3 3 3" xfId="5904"/>
    <cellStyle name="集計 13 2 3 4" xfId="5905"/>
    <cellStyle name="集計 13 2 3 4 2" xfId="5906"/>
    <cellStyle name="集計 13 2 3 4 3" xfId="5907"/>
    <cellStyle name="集計 13 2 3 5" xfId="5908"/>
    <cellStyle name="集計 13 2 3 5 2" xfId="5909"/>
    <cellStyle name="集計 13 2 3 5 3" xfId="5910"/>
    <cellStyle name="集計 13 2 3 6" xfId="5911"/>
    <cellStyle name="集計 13 2 3 7" xfId="5912"/>
    <cellStyle name="集計 13 2 4" xfId="5913"/>
    <cellStyle name="集計 13 2 4 2" xfId="5914"/>
    <cellStyle name="集計 13 2 4 2 2" xfId="5915"/>
    <cellStyle name="集計 13 2 4 2 2 2" xfId="5916"/>
    <cellStyle name="集計 13 2 4 2 2 3" xfId="5917"/>
    <cellStyle name="集計 13 2 4 2 3" xfId="5918"/>
    <cellStyle name="集計 13 2 4 2 3 2" xfId="5919"/>
    <cellStyle name="集計 13 2 4 2 3 3" xfId="5920"/>
    <cellStyle name="集計 13 2 4 2 4" xfId="5921"/>
    <cellStyle name="集計 13 2 4 2 4 2" xfId="5922"/>
    <cellStyle name="集計 13 2 4 2 4 3" xfId="5923"/>
    <cellStyle name="集計 13 2 4 2 5" xfId="5924"/>
    <cellStyle name="集計 13 2 4 2 6" xfId="5925"/>
    <cellStyle name="集計 13 2 4 3" xfId="5926"/>
    <cellStyle name="集計 13 2 4 3 2" xfId="5927"/>
    <cellStyle name="集計 13 2 4 3 3" xfId="5928"/>
    <cellStyle name="集計 13 2 4 4" xfId="5929"/>
    <cellStyle name="集計 13 2 4 4 2" xfId="5930"/>
    <cellStyle name="集計 13 2 4 4 3" xfId="5931"/>
    <cellStyle name="集計 13 2 4 5" xfId="5932"/>
    <cellStyle name="集計 13 2 4 5 2" xfId="5933"/>
    <cellStyle name="集計 13 2 4 5 3" xfId="5934"/>
    <cellStyle name="集計 13 2 4 6" xfId="5935"/>
    <cellStyle name="集計 13 2 4 7" xfId="5936"/>
    <cellStyle name="集計 13 2 5" xfId="5937"/>
    <cellStyle name="集計 13 2 5 2" xfId="5938"/>
    <cellStyle name="集計 13 2 5 2 2" xfId="5939"/>
    <cellStyle name="集計 13 2 5 2 3" xfId="5940"/>
    <cellStyle name="集計 13 2 5 3" xfId="5941"/>
    <cellStyle name="集計 13 2 5 3 2" xfId="5942"/>
    <cellStyle name="集計 13 2 5 3 3" xfId="5943"/>
    <cellStyle name="集計 13 2 5 4" xfId="5944"/>
    <cellStyle name="集計 13 2 5 4 2" xfId="5945"/>
    <cellStyle name="集計 13 2 5 4 3" xfId="5946"/>
    <cellStyle name="集計 13 2 5 5" xfId="5947"/>
    <cellStyle name="集計 13 2 5 6" xfId="5948"/>
    <cellStyle name="集計 13 2 6" xfId="5949"/>
    <cellStyle name="集計 13 2 6 2" xfId="5950"/>
    <cellStyle name="集計 13 2 6 3" xfId="5951"/>
    <cellStyle name="集計 13 2 7" xfId="5952"/>
    <cellStyle name="集計 13 2 7 2" xfId="5953"/>
    <cellStyle name="集計 13 2 7 3" xfId="5954"/>
    <cellStyle name="集計 13 2 8" xfId="5955"/>
    <cellStyle name="集計 13 2 8 2" xfId="5956"/>
    <cellStyle name="集計 13 2 8 3" xfId="5957"/>
    <cellStyle name="集計 13 2 9" xfId="5958"/>
    <cellStyle name="集計 13 3" xfId="5959"/>
    <cellStyle name="集計 13 3 10" xfId="5960"/>
    <cellStyle name="集計 13 3 2" xfId="5961"/>
    <cellStyle name="集計 13 3 2 10" xfId="5962"/>
    <cellStyle name="集計 13 3 2 2" xfId="5963"/>
    <cellStyle name="集計 13 3 2 2 2" xfId="5964"/>
    <cellStyle name="集計 13 3 2 2 2 2" xfId="5965"/>
    <cellStyle name="集計 13 3 2 2 2 2 2" xfId="5966"/>
    <cellStyle name="集計 13 3 2 2 2 2 2 2" xfId="5967"/>
    <cellStyle name="集計 13 3 2 2 2 2 2 3" xfId="5968"/>
    <cellStyle name="集計 13 3 2 2 2 2 3" xfId="5969"/>
    <cellStyle name="集計 13 3 2 2 2 2 3 2" xfId="5970"/>
    <cellStyle name="集計 13 3 2 2 2 2 3 3" xfId="5971"/>
    <cellStyle name="集計 13 3 2 2 2 2 4" xfId="5972"/>
    <cellStyle name="集計 13 3 2 2 2 2 4 2" xfId="5973"/>
    <cellStyle name="集計 13 3 2 2 2 2 4 3" xfId="5974"/>
    <cellStyle name="集計 13 3 2 2 2 2 5" xfId="5975"/>
    <cellStyle name="集計 13 3 2 2 2 2 6" xfId="5976"/>
    <cellStyle name="集計 13 3 2 2 2 3" xfId="5977"/>
    <cellStyle name="集計 13 3 2 2 2 3 2" xfId="5978"/>
    <cellStyle name="集計 13 3 2 2 2 3 3" xfId="5979"/>
    <cellStyle name="集計 13 3 2 2 2 4" xfId="5980"/>
    <cellStyle name="集計 13 3 2 2 2 4 2" xfId="5981"/>
    <cellStyle name="集計 13 3 2 2 2 4 3" xfId="5982"/>
    <cellStyle name="集計 13 3 2 2 2 5" xfId="5983"/>
    <cellStyle name="集計 13 3 2 2 2 5 2" xfId="5984"/>
    <cellStyle name="集計 13 3 2 2 2 5 3" xfId="5985"/>
    <cellStyle name="集計 13 3 2 2 2 6" xfId="5986"/>
    <cellStyle name="集計 13 3 2 2 2 7" xfId="5987"/>
    <cellStyle name="集計 13 3 2 2 3" xfId="5988"/>
    <cellStyle name="集計 13 3 2 2 3 2" xfId="5989"/>
    <cellStyle name="集計 13 3 2 2 3 2 2" xfId="5990"/>
    <cellStyle name="集計 13 3 2 2 3 2 2 2" xfId="5991"/>
    <cellStyle name="集計 13 3 2 2 3 2 2 3" xfId="5992"/>
    <cellStyle name="集計 13 3 2 2 3 2 3" xfId="5993"/>
    <cellStyle name="集計 13 3 2 2 3 2 3 2" xfId="5994"/>
    <cellStyle name="集計 13 3 2 2 3 2 3 3" xfId="5995"/>
    <cellStyle name="集計 13 3 2 2 3 2 4" xfId="5996"/>
    <cellStyle name="集計 13 3 2 2 3 2 4 2" xfId="5997"/>
    <cellStyle name="集計 13 3 2 2 3 2 4 3" xfId="5998"/>
    <cellStyle name="集計 13 3 2 2 3 2 5" xfId="5999"/>
    <cellStyle name="集計 13 3 2 2 3 2 6" xfId="6000"/>
    <cellStyle name="集計 13 3 2 2 3 3" xfId="6001"/>
    <cellStyle name="集計 13 3 2 2 3 3 2" xfId="6002"/>
    <cellStyle name="集計 13 3 2 2 3 3 3" xfId="6003"/>
    <cellStyle name="集計 13 3 2 2 3 4" xfId="6004"/>
    <cellStyle name="集計 13 3 2 2 3 4 2" xfId="6005"/>
    <cellStyle name="集計 13 3 2 2 3 4 3" xfId="6006"/>
    <cellStyle name="集計 13 3 2 2 3 5" xfId="6007"/>
    <cellStyle name="集計 13 3 2 2 3 5 2" xfId="6008"/>
    <cellStyle name="集計 13 3 2 2 3 5 3" xfId="6009"/>
    <cellStyle name="集計 13 3 2 2 3 6" xfId="6010"/>
    <cellStyle name="集計 13 3 2 2 3 7" xfId="6011"/>
    <cellStyle name="集計 13 3 2 2 4" xfId="6012"/>
    <cellStyle name="集計 13 3 2 2 4 2" xfId="6013"/>
    <cellStyle name="集計 13 3 2 2 4 2 2" xfId="6014"/>
    <cellStyle name="集計 13 3 2 2 4 2 3" xfId="6015"/>
    <cellStyle name="集計 13 3 2 2 4 3" xfId="6016"/>
    <cellStyle name="集計 13 3 2 2 4 3 2" xfId="6017"/>
    <cellStyle name="集計 13 3 2 2 4 3 3" xfId="6018"/>
    <cellStyle name="集計 13 3 2 2 4 4" xfId="6019"/>
    <cellStyle name="集計 13 3 2 2 4 4 2" xfId="6020"/>
    <cellStyle name="集計 13 3 2 2 4 4 3" xfId="6021"/>
    <cellStyle name="集計 13 3 2 2 4 5" xfId="6022"/>
    <cellStyle name="集計 13 3 2 2 4 6" xfId="6023"/>
    <cellStyle name="集計 13 3 2 2 5" xfId="6024"/>
    <cellStyle name="集計 13 3 2 2 5 2" xfId="6025"/>
    <cellStyle name="集計 13 3 2 2 5 3" xfId="6026"/>
    <cellStyle name="集計 13 3 2 2 6" xfId="6027"/>
    <cellStyle name="集計 13 3 2 2 6 2" xfId="6028"/>
    <cellStyle name="集計 13 3 2 2 6 3" xfId="6029"/>
    <cellStyle name="集計 13 3 2 2 7" xfId="6030"/>
    <cellStyle name="集計 13 3 2 2 7 2" xfId="6031"/>
    <cellStyle name="集計 13 3 2 2 7 3" xfId="6032"/>
    <cellStyle name="集計 13 3 2 2 8" xfId="6033"/>
    <cellStyle name="集計 13 3 2 2 9" xfId="6034"/>
    <cellStyle name="集計 13 3 2 3" xfId="6035"/>
    <cellStyle name="集計 13 3 2 3 2" xfId="6036"/>
    <cellStyle name="集計 13 3 2 3 2 2" xfId="6037"/>
    <cellStyle name="集計 13 3 2 3 2 2 2" xfId="6038"/>
    <cellStyle name="集計 13 3 2 3 2 2 3" xfId="6039"/>
    <cellStyle name="集計 13 3 2 3 2 3" xfId="6040"/>
    <cellStyle name="集計 13 3 2 3 2 3 2" xfId="6041"/>
    <cellStyle name="集計 13 3 2 3 2 3 3" xfId="6042"/>
    <cellStyle name="集計 13 3 2 3 2 4" xfId="6043"/>
    <cellStyle name="集計 13 3 2 3 2 4 2" xfId="6044"/>
    <cellStyle name="集計 13 3 2 3 2 4 3" xfId="6045"/>
    <cellStyle name="集計 13 3 2 3 2 5" xfId="6046"/>
    <cellStyle name="集計 13 3 2 3 2 6" xfId="6047"/>
    <cellStyle name="集計 13 3 2 3 3" xfId="6048"/>
    <cellStyle name="集計 13 3 2 3 3 2" xfId="6049"/>
    <cellStyle name="集計 13 3 2 3 3 3" xfId="6050"/>
    <cellStyle name="集計 13 3 2 3 4" xfId="6051"/>
    <cellStyle name="集計 13 3 2 3 4 2" xfId="6052"/>
    <cellStyle name="集計 13 3 2 3 4 3" xfId="6053"/>
    <cellStyle name="集計 13 3 2 3 5" xfId="6054"/>
    <cellStyle name="集計 13 3 2 3 5 2" xfId="6055"/>
    <cellStyle name="集計 13 3 2 3 5 3" xfId="6056"/>
    <cellStyle name="集計 13 3 2 3 6" xfId="6057"/>
    <cellStyle name="集計 13 3 2 3 7" xfId="6058"/>
    <cellStyle name="集計 13 3 2 4" xfId="6059"/>
    <cellStyle name="集計 13 3 2 4 2" xfId="6060"/>
    <cellStyle name="集計 13 3 2 4 2 2" xfId="6061"/>
    <cellStyle name="集計 13 3 2 4 2 2 2" xfId="6062"/>
    <cellStyle name="集計 13 3 2 4 2 2 3" xfId="6063"/>
    <cellStyle name="集計 13 3 2 4 2 3" xfId="6064"/>
    <cellStyle name="集計 13 3 2 4 2 3 2" xfId="6065"/>
    <cellStyle name="集計 13 3 2 4 2 3 3" xfId="6066"/>
    <cellStyle name="集計 13 3 2 4 2 4" xfId="6067"/>
    <cellStyle name="集計 13 3 2 4 2 4 2" xfId="6068"/>
    <cellStyle name="集計 13 3 2 4 2 4 3" xfId="6069"/>
    <cellStyle name="集計 13 3 2 4 2 5" xfId="6070"/>
    <cellStyle name="集計 13 3 2 4 2 6" xfId="6071"/>
    <cellStyle name="集計 13 3 2 4 3" xfId="6072"/>
    <cellStyle name="集計 13 3 2 4 3 2" xfId="6073"/>
    <cellStyle name="集計 13 3 2 4 3 3" xfId="6074"/>
    <cellStyle name="集計 13 3 2 4 4" xfId="6075"/>
    <cellStyle name="集計 13 3 2 4 4 2" xfId="6076"/>
    <cellStyle name="集計 13 3 2 4 4 3" xfId="6077"/>
    <cellStyle name="集計 13 3 2 4 5" xfId="6078"/>
    <cellStyle name="集計 13 3 2 4 5 2" xfId="6079"/>
    <cellStyle name="集計 13 3 2 4 5 3" xfId="6080"/>
    <cellStyle name="集計 13 3 2 4 6" xfId="6081"/>
    <cellStyle name="集計 13 3 2 4 7" xfId="6082"/>
    <cellStyle name="集計 13 3 2 5" xfId="6083"/>
    <cellStyle name="集計 13 3 2 5 2" xfId="6084"/>
    <cellStyle name="集計 13 3 2 5 2 2" xfId="6085"/>
    <cellStyle name="集計 13 3 2 5 2 3" xfId="6086"/>
    <cellStyle name="集計 13 3 2 5 3" xfId="6087"/>
    <cellStyle name="集計 13 3 2 5 3 2" xfId="6088"/>
    <cellStyle name="集計 13 3 2 5 3 3" xfId="6089"/>
    <cellStyle name="集計 13 3 2 5 4" xfId="6090"/>
    <cellStyle name="集計 13 3 2 5 4 2" xfId="6091"/>
    <cellStyle name="集計 13 3 2 5 4 3" xfId="6092"/>
    <cellStyle name="集計 13 3 2 5 5" xfId="6093"/>
    <cellStyle name="集計 13 3 2 5 6" xfId="6094"/>
    <cellStyle name="集計 13 3 2 6" xfId="6095"/>
    <cellStyle name="集計 13 3 2 6 2" xfId="6096"/>
    <cellStyle name="集計 13 3 2 6 3" xfId="6097"/>
    <cellStyle name="集計 13 3 2 7" xfId="6098"/>
    <cellStyle name="集計 13 3 2 7 2" xfId="6099"/>
    <cellStyle name="集計 13 3 2 7 3" xfId="6100"/>
    <cellStyle name="集計 13 3 2 8" xfId="6101"/>
    <cellStyle name="集計 13 3 2 8 2" xfId="6102"/>
    <cellStyle name="集計 13 3 2 8 3" xfId="6103"/>
    <cellStyle name="集計 13 3 2 9" xfId="6104"/>
    <cellStyle name="集計 13 3 3" xfId="6105"/>
    <cellStyle name="集計 13 3 3 2" xfId="6106"/>
    <cellStyle name="集計 13 3 3 2 2" xfId="6107"/>
    <cellStyle name="集計 13 3 3 2 2 2" xfId="6108"/>
    <cellStyle name="集計 13 3 3 2 2 3" xfId="6109"/>
    <cellStyle name="集計 13 3 3 2 3" xfId="6110"/>
    <cellStyle name="集計 13 3 3 2 3 2" xfId="6111"/>
    <cellStyle name="集計 13 3 3 2 3 3" xfId="6112"/>
    <cellStyle name="集計 13 3 3 2 4" xfId="6113"/>
    <cellStyle name="集計 13 3 3 2 4 2" xfId="6114"/>
    <cellStyle name="集計 13 3 3 2 4 3" xfId="6115"/>
    <cellStyle name="集計 13 3 3 2 5" xfId="6116"/>
    <cellStyle name="集計 13 3 3 2 6" xfId="6117"/>
    <cellStyle name="集計 13 3 3 3" xfId="6118"/>
    <cellStyle name="集計 13 3 3 3 2" xfId="6119"/>
    <cellStyle name="集計 13 3 3 3 3" xfId="6120"/>
    <cellStyle name="集計 13 3 3 4" xfId="6121"/>
    <cellStyle name="集計 13 3 3 4 2" xfId="6122"/>
    <cellStyle name="集計 13 3 3 4 3" xfId="6123"/>
    <cellStyle name="集計 13 3 3 5" xfId="6124"/>
    <cellStyle name="集計 13 3 3 5 2" xfId="6125"/>
    <cellStyle name="集計 13 3 3 5 3" xfId="6126"/>
    <cellStyle name="集計 13 3 3 6" xfId="6127"/>
    <cellStyle name="集計 13 3 3 7" xfId="6128"/>
    <cellStyle name="集計 13 3 4" xfId="6129"/>
    <cellStyle name="集計 13 3 4 2" xfId="6130"/>
    <cellStyle name="集計 13 3 4 2 2" xfId="6131"/>
    <cellStyle name="集計 13 3 4 2 2 2" xfId="6132"/>
    <cellStyle name="集計 13 3 4 2 2 3" xfId="6133"/>
    <cellStyle name="集計 13 3 4 2 3" xfId="6134"/>
    <cellStyle name="集計 13 3 4 2 3 2" xfId="6135"/>
    <cellStyle name="集計 13 3 4 2 3 3" xfId="6136"/>
    <cellStyle name="集計 13 3 4 2 4" xfId="6137"/>
    <cellStyle name="集計 13 3 4 2 4 2" xfId="6138"/>
    <cellStyle name="集計 13 3 4 2 4 3" xfId="6139"/>
    <cellStyle name="集計 13 3 4 2 5" xfId="6140"/>
    <cellStyle name="集計 13 3 4 2 6" xfId="6141"/>
    <cellStyle name="集計 13 3 4 3" xfId="6142"/>
    <cellStyle name="集計 13 3 4 3 2" xfId="6143"/>
    <cellStyle name="集計 13 3 4 3 3" xfId="6144"/>
    <cellStyle name="集計 13 3 4 4" xfId="6145"/>
    <cellStyle name="集計 13 3 4 4 2" xfId="6146"/>
    <cellStyle name="集計 13 3 4 4 3" xfId="6147"/>
    <cellStyle name="集計 13 3 4 5" xfId="6148"/>
    <cellStyle name="集計 13 3 4 5 2" xfId="6149"/>
    <cellStyle name="集計 13 3 4 5 3" xfId="6150"/>
    <cellStyle name="集計 13 3 4 6" xfId="6151"/>
    <cellStyle name="集計 13 3 4 7" xfId="6152"/>
    <cellStyle name="集計 13 3 5" xfId="6153"/>
    <cellStyle name="集計 13 3 5 2" xfId="6154"/>
    <cellStyle name="集計 13 3 5 2 2" xfId="6155"/>
    <cellStyle name="集計 13 3 5 2 3" xfId="6156"/>
    <cellStyle name="集計 13 3 5 3" xfId="6157"/>
    <cellStyle name="集計 13 3 5 3 2" xfId="6158"/>
    <cellStyle name="集計 13 3 5 3 3" xfId="6159"/>
    <cellStyle name="集計 13 3 5 4" xfId="6160"/>
    <cellStyle name="集計 13 3 5 4 2" xfId="6161"/>
    <cellStyle name="集計 13 3 5 4 3" xfId="6162"/>
    <cellStyle name="集計 13 3 5 5" xfId="6163"/>
    <cellStyle name="集計 13 3 5 6" xfId="6164"/>
    <cellStyle name="集計 13 3 6" xfId="6165"/>
    <cellStyle name="集計 13 3 6 2" xfId="6166"/>
    <cellStyle name="集計 13 3 6 3" xfId="6167"/>
    <cellStyle name="集計 13 3 7" xfId="6168"/>
    <cellStyle name="集計 13 3 7 2" xfId="6169"/>
    <cellStyle name="集計 13 3 7 3" xfId="6170"/>
    <cellStyle name="集計 13 3 8" xfId="6171"/>
    <cellStyle name="集計 13 3 8 2" xfId="6172"/>
    <cellStyle name="集計 13 3 8 3" xfId="6173"/>
    <cellStyle name="集計 13 3 9" xfId="6174"/>
    <cellStyle name="集計 13 4" xfId="6175"/>
    <cellStyle name="集計 13 4 10" xfId="6176"/>
    <cellStyle name="集計 13 4 2" xfId="6177"/>
    <cellStyle name="集計 13 4 2 10" xfId="6178"/>
    <cellStyle name="集計 13 4 2 2" xfId="6179"/>
    <cellStyle name="集計 13 4 2 2 2" xfId="6180"/>
    <cellStyle name="集計 13 4 2 2 2 2" xfId="6181"/>
    <cellStyle name="集計 13 4 2 2 2 2 2" xfId="6182"/>
    <cellStyle name="集計 13 4 2 2 2 2 2 2" xfId="6183"/>
    <cellStyle name="集計 13 4 2 2 2 2 2 3" xfId="6184"/>
    <cellStyle name="集計 13 4 2 2 2 2 3" xfId="6185"/>
    <cellStyle name="集計 13 4 2 2 2 2 3 2" xfId="6186"/>
    <cellStyle name="集計 13 4 2 2 2 2 3 3" xfId="6187"/>
    <cellStyle name="集計 13 4 2 2 2 2 4" xfId="6188"/>
    <cellStyle name="集計 13 4 2 2 2 2 4 2" xfId="6189"/>
    <cellStyle name="集計 13 4 2 2 2 2 4 3" xfId="6190"/>
    <cellStyle name="集計 13 4 2 2 2 2 5" xfId="6191"/>
    <cellStyle name="集計 13 4 2 2 2 2 6" xfId="6192"/>
    <cellStyle name="集計 13 4 2 2 2 3" xfId="6193"/>
    <cellStyle name="集計 13 4 2 2 2 3 2" xfId="6194"/>
    <cellStyle name="集計 13 4 2 2 2 3 3" xfId="6195"/>
    <cellStyle name="集計 13 4 2 2 2 4" xfId="6196"/>
    <cellStyle name="集計 13 4 2 2 2 4 2" xfId="6197"/>
    <cellStyle name="集計 13 4 2 2 2 4 3" xfId="6198"/>
    <cellStyle name="集計 13 4 2 2 2 5" xfId="6199"/>
    <cellStyle name="集計 13 4 2 2 2 5 2" xfId="6200"/>
    <cellStyle name="集計 13 4 2 2 2 5 3" xfId="6201"/>
    <cellStyle name="集計 13 4 2 2 2 6" xfId="6202"/>
    <cellStyle name="集計 13 4 2 2 2 7" xfId="6203"/>
    <cellStyle name="集計 13 4 2 2 3" xfId="6204"/>
    <cellStyle name="集計 13 4 2 2 3 2" xfId="6205"/>
    <cellStyle name="集計 13 4 2 2 3 2 2" xfId="6206"/>
    <cellStyle name="集計 13 4 2 2 3 2 2 2" xfId="6207"/>
    <cellStyle name="集計 13 4 2 2 3 2 2 3" xfId="6208"/>
    <cellStyle name="集計 13 4 2 2 3 2 3" xfId="6209"/>
    <cellStyle name="集計 13 4 2 2 3 2 3 2" xfId="6210"/>
    <cellStyle name="集計 13 4 2 2 3 2 3 3" xfId="6211"/>
    <cellStyle name="集計 13 4 2 2 3 2 4" xfId="6212"/>
    <cellStyle name="集計 13 4 2 2 3 2 4 2" xfId="6213"/>
    <cellStyle name="集計 13 4 2 2 3 2 4 3" xfId="6214"/>
    <cellStyle name="集計 13 4 2 2 3 2 5" xfId="6215"/>
    <cellStyle name="集計 13 4 2 2 3 2 6" xfId="6216"/>
    <cellStyle name="集計 13 4 2 2 3 3" xfId="6217"/>
    <cellStyle name="集計 13 4 2 2 3 3 2" xfId="6218"/>
    <cellStyle name="集計 13 4 2 2 3 3 3" xfId="6219"/>
    <cellStyle name="集計 13 4 2 2 3 4" xfId="6220"/>
    <cellStyle name="集計 13 4 2 2 3 4 2" xfId="6221"/>
    <cellStyle name="集計 13 4 2 2 3 4 3" xfId="6222"/>
    <cellStyle name="集計 13 4 2 2 3 5" xfId="6223"/>
    <cellStyle name="集計 13 4 2 2 3 5 2" xfId="6224"/>
    <cellStyle name="集計 13 4 2 2 3 5 3" xfId="6225"/>
    <cellStyle name="集計 13 4 2 2 3 6" xfId="6226"/>
    <cellStyle name="集計 13 4 2 2 3 7" xfId="6227"/>
    <cellStyle name="集計 13 4 2 2 4" xfId="6228"/>
    <cellStyle name="集計 13 4 2 2 4 2" xfId="6229"/>
    <cellStyle name="集計 13 4 2 2 4 2 2" xfId="6230"/>
    <cellStyle name="集計 13 4 2 2 4 2 3" xfId="6231"/>
    <cellStyle name="集計 13 4 2 2 4 3" xfId="6232"/>
    <cellStyle name="集計 13 4 2 2 4 3 2" xfId="6233"/>
    <cellStyle name="集計 13 4 2 2 4 3 3" xfId="6234"/>
    <cellStyle name="集計 13 4 2 2 4 4" xfId="6235"/>
    <cellStyle name="集計 13 4 2 2 4 4 2" xfId="6236"/>
    <cellStyle name="集計 13 4 2 2 4 4 3" xfId="6237"/>
    <cellStyle name="集計 13 4 2 2 4 5" xfId="6238"/>
    <cellStyle name="集計 13 4 2 2 4 6" xfId="6239"/>
    <cellStyle name="集計 13 4 2 2 5" xfId="6240"/>
    <cellStyle name="集計 13 4 2 2 5 2" xfId="6241"/>
    <cellStyle name="集計 13 4 2 2 5 3" xfId="6242"/>
    <cellStyle name="集計 13 4 2 2 6" xfId="6243"/>
    <cellStyle name="集計 13 4 2 2 6 2" xfId="6244"/>
    <cellStyle name="集計 13 4 2 2 6 3" xfId="6245"/>
    <cellStyle name="集計 13 4 2 2 7" xfId="6246"/>
    <cellStyle name="集計 13 4 2 2 7 2" xfId="6247"/>
    <cellStyle name="集計 13 4 2 2 7 3" xfId="6248"/>
    <cellStyle name="集計 13 4 2 2 8" xfId="6249"/>
    <cellStyle name="集計 13 4 2 2 9" xfId="6250"/>
    <cellStyle name="集計 13 4 2 3" xfId="6251"/>
    <cellStyle name="集計 13 4 2 3 2" xfId="6252"/>
    <cellStyle name="集計 13 4 2 3 2 2" xfId="6253"/>
    <cellStyle name="集計 13 4 2 3 2 2 2" xfId="6254"/>
    <cellStyle name="集計 13 4 2 3 2 2 3" xfId="6255"/>
    <cellStyle name="集計 13 4 2 3 2 3" xfId="6256"/>
    <cellStyle name="集計 13 4 2 3 2 3 2" xfId="6257"/>
    <cellStyle name="集計 13 4 2 3 2 3 3" xfId="6258"/>
    <cellStyle name="集計 13 4 2 3 2 4" xfId="6259"/>
    <cellStyle name="集計 13 4 2 3 2 4 2" xfId="6260"/>
    <cellStyle name="集計 13 4 2 3 2 4 3" xfId="6261"/>
    <cellStyle name="集計 13 4 2 3 2 5" xfId="6262"/>
    <cellStyle name="集計 13 4 2 3 2 6" xfId="6263"/>
    <cellStyle name="集計 13 4 2 3 3" xfId="6264"/>
    <cellStyle name="集計 13 4 2 3 3 2" xfId="6265"/>
    <cellStyle name="集計 13 4 2 3 3 3" xfId="6266"/>
    <cellStyle name="集計 13 4 2 3 4" xfId="6267"/>
    <cellStyle name="集計 13 4 2 3 4 2" xfId="6268"/>
    <cellStyle name="集計 13 4 2 3 4 3" xfId="6269"/>
    <cellStyle name="集計 13 4 2 3 5" xfId="6270"/>
    <cellStyle name="集計 13 4 2 3 5 2" xfId="6271"/>
    <cellStyle name="集計 13 4 2 3 5 3" xfId="6272"/>
    <cellStyle name="集計 13 4 2 3 6" xfId="6273"/>
    <cellStyle name="集計 13 4 2 3 7" xfId="6274"/>
    <cellStyle name="集計 13 4 2 4" xfId="6275"/>
    <cellStyle name="集計 13 4 2 4 2" xfId="6276"/>
    <cellStyle name="集計 13 4 2 4 2 2" xfId="6277"/>
    <cellStyle name="集計 13 4 2 4 2 2 2" xfId="6278"/>
    <cellStyle name="集計 13 4 2 4 2 2 3" xfId="6279"/>
    <cellStyle name="集計 13 4 2 4 2 3" xfId="6280"/>
    <cellStyle name="集計 13 4 2 4 2 3 2" xfId="6281"/>
    <cellStyle name="集計 13 4 2 4 2 3 3" xfId="6282"/>
    <cellStyle name="集計 13 4 2 4 2 4" xfId="6283"/>
    <cellStyle name="集計 13 4 2 4 2 4 2" xfId="6284"/>
    <cellStyle name="集計 13 4 2 4 2 4 3" xfId="6285"/>
    <cellStyle name="集計 13 4 2 4 2 5" xfId="6286"/>
    <cellStyle name="集計 13 4 2 4 2 6" xfId="6287"/>
    <cellStyle name="集計 13 4 2 4 3" xfId="6288"/>
    <cellStyle name="集計 13 4 2 4 3 2" xfId="6289"/>
    <cellStyle name="集計 13 4 2 4 3 3" xfId="6290"/>
    <cellStyle name="集計 13 4 2 4 4" xfId="6291"/>
    <cellStyle name="集計 13 4 2 4 4 2" xfId="6292"/>
    <cellStyle name="集計 13 4 2 4 4 3" xfId="6293"/>
    <cellStyle name="集計 13 4 2 4 5" xfId="6294"/>
    <cellStyle name="集計 13 4 2 4 5 2" xfId="6295"/>
    <cellStyle name="集計 13 4 2 4 5 3" xfId="6296"/>
    <cellStyle name="集計 13 4 2 4 6" xfId="6297"/>
    <cellStyle name="集計 13 4 2 4 7" xfId="6298"/>
    <cellStyle name="集計 13 4 2 5" xfId="6299"/>
    <cellStyle name="集計 13 4 2 5 2" xfId="6300"/>
    <cellStyle name="集計 13 4 2 5 2 2" xfId="6301"/>
    <cellStyle name="集計 13 4 2 5 2 3" xfId="6302"/>
    <cellStyle name="集計 13 4 2 5 3" xfId="6303"/>
    <cellStyle name="集計 13 4 2 5 3 2" xfId="6304"/>
    <cellStyle name="集計 13 4 2 5 3 3" xfId="6305"/>
    <cellStyle name="集計 13 4 2 5 4" xfId="6306"/>
    <cellStyle name="集計 13 4 2 5 4 2" xfId="6307"/>
    <cellStyle name="集計 13 4 2 5 4 3" xfId="6308"/>
    <cellStyle name="集計 13 4 2 5 5" xfId="6309"/>
    <cellStyle name="集計 13 4 2 5 6" xfId="6310"/>
    <cellStyle name="集計 13 4 2 6" xfId="6311"/>
    <cellStyle name="集計 13 4 2 6 2" xfId="6312"/>
    <cellStyle name="集計 13 4 2 6 3" xfId="6313"/>
    <cellStyle name="集計 13 4 2 7" xfId="6314"/>
    <cellStyle name="集計 13 4 2 7 2" xfId="6315"/>
    <cellStyle name="集計 13 4 2 7 3" xfId="6316"/>
    <cellStyle name="集計 13 4 2 8" xfId="6317"/>
    <cellStyle name="集計 13 4 2 8 2" xfId="6318"/>
    <cellStyle name="集計 13 4 2 8 3" xfId="6319"/>
    <cellStyle name="集計 13 4 2 9" xfId="6320"/>
    <cellStyle name="集計 13 4 3" xfId="6321"/>
    <cellStyle name="集計 13 4 3 2" xfId="6322"/>
    <cellStyle name="集計 13 4 3 2 2" xfId="6323"/>
    <cellStyle name="集計 13 4 3 2 2 2" xfId="6324"/>
    <cellStyle name="集計 13 4 3 2 2 3" xfId="6325"/>
    <cellStyle name="集計 13 4 3 2 3" xfId="6326"/>
    <cellStyle name="集計 13 4 3 2 3 2" xfId="6327"/>
    <cellStyle name="集計 13 4 3 2 3 3" xfId="6328"/>
    <cellStyle name="集計 13 4 3 2 4" xfId="6329"/>
    <cellStyle name="集計 13 4 3 2 4 2" xfId="6330"/>
    <cellStyle name="集計 13 4 3 2 4 3" xfId="6331"/>
    <cellStyle name="集計 13 4 3 2 5" xfId="6332"/>
    <cellStyle name="集計 13 4 3 2 6" xfId="6333"/>
    <cellStyle name="集計 13 4 3 3" xfId="6334"/>
    <cellStyle name="集計 13 4 3 3 2" xfId="6335"/>
    <cellStyle name="集計 13 4 3 3 3" xfId="6336"/>
    <cellStyle name="集計 13 4 3 4" xfId="6337"/>
    <cellStyle name="集計 13 4 3 4 2" xfId="6338"/>
    <cellStyle name="集計 13 4 3 4 3" xfId="6339"/>
    <cellStyle name="集計 13 4 3 5" xfId="6340"/>
    <cellStyle name="集計 13 4 3 5 2" xfId="6341"/>
    <cellStyle name="集計 13 4 3 5 3" xfId="6342"/>
    <cellStyle name="集計 13 4 3 6" xfId="6343"/>
    <cellStyle name="集計 13 4 3 7" xfId="6344"/>
    <cellStyle name="集計 13 4 4" xfId="6345"/>
    <cellStyle name="集計 13 4 4 2" xfId="6346"/>
    <cellStyle name="集計 13 4 4 2 2" xfId="6347"/>
    <cellStyle name="集計 13 4 4 2 2 2" xfId="6348"/>
    <cellStyle name="集計 13 4 4 2 2 3" xfId="6349"/>
    <cellStyle name="集計 13 4 4 2 3" xfId="6350"/>
    <cellStyle name="集計 13 4 4 2 3 2" xfId="6351"/>
    <cellStyle name="集計 13 4 4 2 3 3" xfId="6352"/>
    <cellStyle name="集計 13 4 4 2 4" xfId="6353"/>
    <cellStyle name="集計 13 4 4 2 4 2" xfId="6354"/>
    <cellStyle name="集計 13 4 4 2 4 3" xfId="6355"/>
    <cellStyle name="集計 13 4 4 2 5" xfId="6356"/>
    <cellStyle name="集計 13 4 4 2 6" xfId="6357"/>
    <cellStyle name="集計 13 4 4 3" xfId="6358"/>
    <cellStyle name="集計 13 4 4 3 2" xfId="6359"/>
    <cellStyle name="集計 13 4 4 3 3" xfId="6360"/>
    <cellStyle name="集計 13 4 4 4" xfId="6361"/>
    <cellStyle name="集計 13 4 4 4 2" xfId="6362"/>
    <cellStyle name="集計 13 4 4 4 3" xfId="6363"/>
    <cellStyle name="集計 13 4 4 5" xfId="6364"/>
    <cellStyle name="集計 13 4 4 5 2" xfId="6365"/>
    <cellStyle name="集計 13 4 4 5 3" xfId="6366"/>
    <cellStyle name="集計 13 4 4 6" xfId="6367"/>
    <cellStyle name="集計 13 4 4 7" xfId="6368"/>
    <cellStyle name="集計 13 4 5" xfId="6369"/>
    <cellStyle name="集計 13 4 5 2" xfId="6370"/>
    <cellStyle name="集計 13 4 5 2 2" xfId="6371"/>
    <cellStyle name="集計 13 4 5 2 3" xfId="6372"/>
    <cellStyle name="集計 13 4 5 3" xfId="6373"/>
    <cellStyle name="集計 13 4 5 3 2" xfId="6374"/>
    <cellStyle name="集計 13 4 5 3 3" xfId="6375"/>
    <cellStyle name="集計 13 4 5 4" xfId="6376"/>
    <cellStyle name="集計 13 4 5 4 2" xfId="6377"/>
    <cellStyle name="集計 13 4 5 4 3" xfId="6378"/>
    <cellStyle name="集計 13 4 5 5" xfId="6379"/>
    <cellStyle name="集計 13 4 5 6" xfId="6380"/>
    <cellStyle name="集計 13 4 6" xfId="6381"/>
    <cellStyle name="集計 13 4 6 2" xfId="6382"/>
    <cellStyle name="集計 13 4 6 3" xfId="6383"/>
    <cellStyle name="集計 13 4 7" xfId="6384"/>
    <cellStyle name="集計 13 4 7 2" xfId="6385"/>
    <cellStyle name="集計 13 4 7 3" xfId="6386"/>
    <cellStyle name="集計 13 4 8" xfId="6387"/>
    <cellStyle name="集計 13 4 8 2" xfId="6388"/>
    <cellStyle name="集計 13 4 8 3" xfId="6389"/>
    <cellStyle name="集計 13 4 9" xfId="6390"/>
    <cellStyle name="集計 13 5" xfId="6391"/>
    <cellStyle name="集計 13 5 10" xfId="6392"/>
    <cellStyle name="集計 13 5 2" xfId="6393"/>
    <cellStyle name="集計 13 5 2 2" xfId="6394"/>
    <cellStyle name="集計 13 5 2 2 2" xfId="6395"/>
    <cellStyle name="集計 13 5 2 2 2 2" xfId="6396"/>
    <cellStyle name="集計 13 5 2 2 2 2 2" xfId="6397"/>
    <cellStyle name="集計 13 5 2 2 2 2 3" xfId="6398"/>
    <cellStyle name="集計 13 5 2 2 2 3" xfId="6399"/>
    <cellStyle name="集計 13 5 2 2 2 3 2" xfId="6400"/>
    <cellStyle name="集計 13 5 2 2 2 3 3" xfId="6401"/>
    <cellStyle name="集計 13 5 2 2 2 4" xfId="6402"/>
    <cellStyle name="集計 13 5 2 2 2 4 2" xfId="6403"/>
    <cellStyle name="集計 13 5 2 2 2 4 3" xfId="6404"/>
    <cellStyle name="集計 13 5 2 2 2 5" xfId="6405"/>
    <cellStyle name="集計 13 5 2 2 2 6" xfId="6406"/>
    <cellStyle name="集計 13 5 2 2 3" xfId="6407"/>
    <cellStyle name="集計 13 5 2 2 3 2" xfId="6408"/>
    <cellStyle name="集計 13 5 2 2 3 3" xfId="6409"/>
    <cellStyle name="集計 13 5 2 2 4" xfId="6410"/>
    <cellStyle name="集計 13 5 2 2 4 2" xfId="6411"/>
    <cellStyle name="集計 13 5 2 2 4 3" xfId="6412"/>
    <cellStyle name="集計 13 5 2 2 5" xfId="6413"/>
    <cellStyle name="集計 13 5 2 2 5 2" xfId="6414"/>
    <cellStyle name="集計 13 5 2 2 5 3" xfId="6415"/>
    <cellStyle name="集計 13 5 2 2 6" xfId="6416"/>
    <cellStyle name="集計 13 5 2 2 7" xfId="6417"/>
    <cellStyle name="集計 13 5 2 3" xfId="6418"/>
    <cellStyle name="集計 13 5 2 3 2" xfId="6419"/>
    <cellStyle name="集計 13 5 2 3 2 2" xfId="6420"/>
    <cellStyle name="集計 13 5 2 3 2 2 2" xfId="6421"/>
    <cellStyle name="集計 13 5 2 3 2 2 3" xfId="6422"/>
    <cellStyle name="集計 13 5 2 3 2 3" xfId="6423"/>
    <cellStyle name="集計 13 5 2 3 2 3 2" xfId="6424"/>
    <cellStyle name="集計 13 5 2 3 2 3 3" xfId="6425"/>
    <cellStyle name="集計 13 5 2 3 2 4" xfId="6426"/>
    <cellStyle name="集計 13 5 2 3 2 4 2" xfId="6427"/>
    <cellStyle name="集計 13 5 2 3 2 4 3" xfId="6428"/>
    <cellStyle name="集計 13 5 2 3 2 5" xfId="6429"/>
    <cellStyle name="集計 13 5 2 3 2 6" xfId="6430"/>
    <cellStyle name="集計 13 5 2 3 3" xfId="6431"/>
    <cellStyle name="集計 13 5 2 3 3 2" xfId="6432"/>
    <cellStyle name="集計 13 5 2 3 3 3" xfId="6433"/>
    <cellStyle name="集計 13 5 2 3 4" xfId="6434"/>
    <cellStyle name="集計 13 5 2 3 4 2" xfId="6435"/>
    <cellStyle name="集計 13 5 2 3 4 3" xfId="6436"/>
    <cellStyle name="集計 13 5 2 3 5" xfId="6437"/>
    <cellStyle name="集計 13 5 2 3 5 2" xfId="6438"/>
    <cellStyle name="集計 13 5 2 3 5 3" xfId="6439"/>
    <cellStyle name="集計 13 5 2 3 6" xfId="6440"/>
    <cellStyle name="集計 13 5 2 3 7" xfId="6441"/>
    <cellStyle name="集計 13 5 2 4" xfId="6442"/>
    <cellStyle name="集計 13 5 2 4 2" xfId="6443"/>
    <cellStyle name="集計 13 5 2 4 2 2" xfId="6444"/>
    <cellStyle name="集計 13 5 2 4 2 3" xfId="6445"/>
    <cellStyle name="集計 13 5 2 4 3" xfId="6446"/>
    <cellStyle name="集計 13 5 2 4 3 2" xfId="6447"/>
    <cellStyle name="集計 13 5 2 4 3 3" xfId="6448"/>
    <cellStyle name="集計 13 5 2 4 4" xfId="6449"/>
    <cellStyle name="集計 13 5 2 4 4 2" xfId="6450"/>
    <cellStyle name="集計 13 5 2 4 4 3" xfId="6451"/>
    <cellStyle name="集計 13 5 2 4 5" xfId="6452"/>
    <cellStyle name="集計 13 5 2 4 6" xfId="6453"/>
    <cellStyle name="集計 13 5 2 5" xfId="6454"/>
    <cellStyle name="集計 13 5 2 5 2" xfId="6455"/>
    <cellStyle name="集計 13 5 2 5 3" xfId="6456"/>
    <cellStyle name="集計 13 5 2 6" xfId="6457"/>
    <cellStyle name="集計 13 5 2 6 2" xfId="6458"/>
    <cellStyle name="集計 13 5 2 6 3" xfId="6459"/>
    <cellStyle name="集計 13 5 2 7" xfId="6460"/>
    <cellStyle name="集計 13 5 2 7 2" xfId="6461"/>
    <cellStyle name="集計 13 5 2 7 3" xfId="6462"/>
    <cellStyle name="集計 13 5 2 8" xfId="6463"/>
    <cellStyle name="集計 13 5 2 9" xfId="6464"/>
    <cellStyle name="集計 13 5 3" xfId="6465"/>
    <cellStyle name="集計 13 5 3 2" xfId="6466"/>
    <cellStyle name="集計 13 5 3 2 2" xfId="6467"/>
    <cellStyle name="集計 13 5 3 2 2 2" xfId="6468"/>
    <cellStyle name="集計 13 5 3 2 2 3" xfId="6469"/>
    <cellStyle name="集計 13 5 3 2 3" xfId="6470"/>
    <cellStyle name="集計 13 5 3 2 3 2" xfId="6471"/>
    <cellStyle name="集計 13 5 3 2 3 3" xfId="6472"/>
    <cellStyle name="集計 13 5 3 2 4" xfId="6473"/>
    <cellStyle name="集計 13 5 3 2 4 2" xfId="6474"/>
    <cellStyle name="集計 13 5 3 2 4 3" xfId="6475"/>
    <cellStyle name="集計 13 5 3 2 5" xfId="6476"/>
    <cellStyle name="集計 13 5 3 2 6" xfId="6477"/>
    <cellStyle name="集計 13 5 3 3" xfId="6478"/>
    <cellStyle name="集計 13 5 3 3 2" xfId="6479"/>
    <cellStyle name="集計 13 5 3 3 3" xfId="6480"/>
    <cellStyle name="集計 13 5 3 4" xfId="6481"/>
    <cellStyle name="集計 13 5 3 4 2" xfId="6482"/>
    <cellStyle name="集計 13 5 3 4 3" xfId="6483"/>
    <cellStyle name="集計 13 5 3 5" xfId="6484"/>
    <cellStyle name="集計 13 5 3 5 2" xfId="6485"/>
    <cellStyle name="集計 13 5 3 5 3" xfId="6486"/>
    <cellStyle name="集計 13 5 3 6" xfId="6487"/>
    <cellStyle name="集計 13 5 3 7" xfId="6488"/>
    <cellStyle name="集計 13 5 4" xfId="6489"/>
    <cellStyle name="集計 13 5 4 2" xfId="6490"/>
    <cellStyle name="集計 13 5 4 2 2" xfId="6491"/>
    <cellStyle name="集計 13 5 4 2 2 2" xfId="6492"/>
    <cellStyle name="集計 13 5 4 2 2 3" xfId="6493"/>
    <cellStyle name="集計 13 5 4 2 3" xfId="6494"/>
    <cellStyle name="集計 13 5 4 2 3 2" xfId="6495"/>
    <cellStyle name="集計 13 5 4 2 3 3" xfId="6496"/>
    <cellStyle name="集計 13 5 4 2 4" xfId="6497"/>
    <cellStyle name="集計 13 5 4 2 4 2" xfId="6498"/>
    <cellStyle name="集計 13 5 4 2 4 3" xfId="6499"/>
    <cellStyle name="集計 13 5 4 2 5" xfId="6500"/>
    <cellStyle name="集計 13 5 4 2 6" xfId="6501"/>
    <cellStyle name="集計 13 5 4 3" xfId="6502"/>
    <cellStyle name="集計 13 5 4 3 2" xfId="6503"/>
    <cellStyle name="集計 13 5 4 3 3" xfId="6504"/>
    <cellStyle name="集計 13 5 4 4" xfId="6505"/>
    <cellStyle name="集計 13 5 4 4 2" xfId="6506"/>
    <cellStyle name="集計 13 5 4 4 3" xfId="6507"/>
    <cellStyle name="集計 13 5 4 5" xfId="6508"/>
    <cellStyle name="集計 13 5 4 5 2" xfId="6509"/>
    <cellStyle name="集計 13 5 4 5 3" xfId="6510"/>
    <cellStyle name="集計 13 5 4 6" xfId="6511"/>
    <cellStyle name="集計 13 5 4 7" xfId="6512"/>
    <cellStyle name="集計 13 5 5" xfId="6513"/>
    <cellStyle name="集計 13 5 5 2" xfId="6514"/>
    <cellStyle name="集計 13 5 5 2 2" xfId="6515"/>
    <cellStyle name="集計 13 5 5 2 3" xfId="6516"/>
    <cellStyle name="集計 13 5 5 3" xfId="6517"/>
    <cellStyle name="集計 13 5 5 3 2" xfId="6518"/>
    <cellStyle name="集計 13 5 5 3 3" xfId="6519"/>
    <cellStyle name="集計 13 5 5 4" xfId="6520"/>
    <cellStyle name="集計 13 5 5 4 2" xfId="6521"/>
    <cellStyle name="集計 13 5 5 4 3" xfId="6522"/>
    <cellStyle name="集計 13 5 5 5" xfId="6523"/>
    <cellStyle name="集計 13 5 5 6" xfId="6524"/>
    <cellStyle name="集計 13 5 6" xfId="6525"/>
    <cellStyle name="集計 13 5 6 2" xfId="6526"/>
    <cellStyle name="集計 13 5 6 3" xfId="6527"/>
    <cellStyle name="集計 13 5 7" xfId="6528"/>
    <cellStyle name="集計 13 5 7 2" xfId="6529"/>
    <cellStyle name="集計 13 5 7 3" xfId="6530"/>
    <cellStyle name="集計 13 5 8" xfId="6531"/>
    <cellStyle name="集計 13 5 8 2" xfId="6532"/>
    <cellStyle name="集計 13 5 8 3" xfId="6533"/>
    <cellStyle name="集計 13 5 9" xfId="6534"/>
    <cellStyle name="集計 13 6" xfId="6535"/>
    <cellStyle name="集計 13 6 10" xfId="6536"/>
    <cellStyle name="集計 13 6 2" xfId="6537"/>
    <cellStyle name="集計 13 6 2 2" xfId="6538"/>
    <cellStyle name="集計 13 6 2 2 2" xfId="6539"/>
    <cellStyle name="集計 13 6 2 2 2 2" xfId="6540"/>
    <cellStyle name="集計 13 6 2 2 2 2 2" xfId="6541"/>
    <cellStyle name="集計 13 6 2 2 2 2 3" xfId="6542"/>
    <cellStyle name="集計 13 6 2 2 2 3" xfId="6543"/>
    <cellStyle name="集計 13 6 2 2 2 3 2" xfId="6544"/>
    <cellStyle name="集計 13 6 2 2 2 3 3" xfId="6545"/>
    <cellStyle name="集計 13 6 2 2 2 4" xfId="6546"/>
    <cellStyle name="集計 13 6 2 2 2 4 2" xfId="6547"/>
    <cellStyle name="集計 13 6 2 2 2 4 3" xfId="6548"/>
    <cellStyle name="集計 13 6 2 2 2 5" xfId="6549"/>
    <cellStyle name="集計 13 6 2 2 2 6" xfId="6550"/>
    <cellStyle name="集計 13 6 2 2 3" xfId="6551"/>
    <cellStyle name="集計 13 6 2 2 3 2" xfId="6552"/>
    <cellStyle name="集計 13 6 2 2 3 3" xfId="6553"/>
    <cellStyle name="集計 13 6 2 2 4" xfId="6554"/>
    <cellStyle name="集計 13 6 2 2 4 2" xfId="6555"/>
    <cellStyle name="集計 13 6 2 2 4 3" xfId="6556"/>
    <cellStyle name="集計 13 6 2 2 5" xfId="6557"/>
    <cellStyle name="集計 13 6 2 2 5 2" xfId="6558"/>
    <cellStyle name="集計 13 6 2 2 5 3" xfId="6559"/>
    <cellStyle name="集計 13 6 2 2 6" xfId="6560"/>
    <cellStyle name="集計 13 6 2 2 7" xfId="6561"/>
    <cellStyle name="集計 13 6 2 3" xfId="6562"/>
    <cellStyle name="集計 13 6 2 3 2" xfId="6563"/>
    <cellStyle name="集計 13 6 2 3 2 2" xfId="6564"/>
    <cellStyle name="集計 13 6 2 3 2 2 2" xfId="6565"/>
    <cellStyle name="集計 13 6 2 3 2 2 3" xfId="6566"/>
    <cellStyle name="集計 13 6 2 3 2 3" xfId="6567"/>
    <cellStyle name="集計 13 6 2 3 2 3 2" xfId="6568"/>
    <cellStyle name="集計 13 6 2 3 2 3 3" xfId="6569"/>
    <cellStyle name="集計 13 6 2 3 2 4" xfId="6570"/>
    <cellStyle name="集計 13 6 2 3 2 4 2" xfId="6571"/>
    <cellStyle name="集計 13 6 2 3 2 4 3" xfId="6572"/>
    <cellStyle name="集計 13 6 2 3 2 5" xfId="6573"/>
    <cellStyle name="集計 13 6 2 3 2 6" xfId="6574"/>
    <cellStyle name="集計 13 6 2 3 3" xfId="6575"/>
    <cellStyle name="集計 13 6 2 3 3 2" xfId="6576"/>
    <cellStyle name="集計 13 6 2 3 3 3" xfId="6577"/>
    <cellStyle name="集計 13 6 2 3 4" xfId="6578"/>
    <cellStyle name="集計 13 6 2 3 4 2" xfId="6579"/>
    <cellStyle name="集計 13 6 2 3 4 3" xfId="6580"/>
    <cellStyle name="集計 13 6 2 3 5" xfId="6581"/>
    <cellStyle name="集計 13 6 2 3 5 2" xfId="6582"/>
    <cellStyle name="集計 13 6 2 3 5 3" xfId="6583"/>
    <cellStyle name="集計 13 6 2 3 6" xfId="6584"/>
    <cellStyle name="集計 13 6 2 3 7" xfId="6585"/>
    <cellStyle name="集計 13 6 2 4" xfId="6586"/>
    <cellStyle name="集計 13 6 2 4 2" xfId="6587"/>
    <cellStyle name="集計 13 6 2 4 2 2" xfId="6588"/>
    <cellStyle name="集計 13 6 2 4 2 3" xfId="6589"/>
    <cellStyle name="集計 13 6 2 4 3" xfId="6590"/>
    <cellStyle name="集計 13 6 2 4 3 2" xfId="6591"/>
    <cellStyle name="集計 13 6 2 4 3 3" xfId="6592"/>
    <cellStyle name="集計 13 6 2 4 4" xfId="6593"/>
    <cellStyle name="集計 13 6 2 4 4 2" xfId="6594"/>
    <cellStyle name="集計 13 6 2 4 4 3" xfId="6595"/>
    <cellStyle name="集計 13 6 2 4 5" xfId="6596"/>
    <cellStyle name="集計 13 6 2 4 6" xfId="6597"/>
    <cellStyle name="集計 13 6 2 5" xfId="6598"/>
    <cellStyle name="集計 13 6 2 5 2" xfId="6599"/>
    <cellStyle name="集計 13 6 2 5 3" xfId="6600"/>
    <cellStyle name="集計 13 6 2 6" xfId="6601"/>
    <cellStyle name="集計 13 6 2 6 2" xfId="6602"/>
    <cellStyle name="集計 13 6 2 6 3" xfId="6603"/>
    <cellStyle name="集計 13 6 2 7" xfId="6604"/>
    <cellStyle name="集計 13 6 2 7 2" xfId="6605"/>
    <cellStyle name="集計 13 6 2 7 3" xfId="6606"/>
    <cellStyle name="集計 13 6 2 8" xfId="6607"/>
    <cellStyle name="集計 13 6 2 9" xfId="6608"/>
    <cellStyle name="集計 13 6 3" xfId="6609"/>
    <cellStyle name="集計 13 6 3 2" xfId="6610"/>
    <cellStyle name="集計 13 6 3 2 2" xfId="6611"/>
    <cellStyle name="集計 13 6 3 2 2 2" xfId="6612"/>
    <cellStyle name="集計 13 6 3 2 2 3" xfId="6613"/>
    <cellStyle name="集計 13 6 3 2 3" xfId="6614"/>
    <cellStyle name="集計 13 6 3 2 3 2" xfId="6615"/>
    <cellStyle name="集計 13 6 3 2 3 3" xfId="6616"/>
    <cellStyle name="集計 13 6 3 2 4" xfId="6617"/>
    <cellStyle name="集計 13 6 3 2 4 2" xfId="6618"/>
    <cellStyle name="集計 13 6 3 2 4 3" xfId="6619"/>
    <cellStyle name="集計 13 6 3 2 5" xfId="6620"/>
    <cellStyle name="集計 13 6 3 2 6" xfId="6621"/>
    <cellStyle name="集計 13 6 3 3" xfId="6622"/>
    <cellStyle name="集計 13 6 3 3 2" xfId="6623"/>
    <cellStyle name="集計 13 6 3 3 3" xfId="6624"/>
    <cellStyle name="集計 13 6 3 4" xfId="6625"/>
    <cellStyle name="集計 13 6 3 4 2" xfId="6626"/>
    <cellStyle name="集計 13 6 3 4 3" xfId="6627"/>
    <cellStyle name="集計 13 6 3 5" xfId="6628"/>
    <cellStyle name="集計 13 6 3 5 2" xfId="6629"/>
    <cellStyle name="集計 13 6 3 5 3" xfId="6630"/>
    <cellStyle name="集計 13 6 3 6" xfId="6631"/>
    <cellStyle name="集計 13 6 3 7" xfId="6632"/>
    <cellStyle name="集計 13 6 4" xfId="6633"/>
    <cellStyle name="集計 13 6 4 2" xfId="6634"/>
    <cellStyle name="集計 13 6 4 2 2" xfId="6635"/>
    <cellStyle name="集計 13 6 4 2 2 2" xfId="6636"/>
    <cellStyle name="集計 13 6 4 2 2 3" xfId="6637"/>
    <cellStyle name="集計 13 6 4 2 3" xfId="6638"/>
    <cellStyle name="集計 13 6 4 2 3 2" xfId="6639"/>
    <cellStyle name="集計 13 6 4 2 3 3" xfId="6640"/>
    <cellStyle name="集計 13 6 4 2 4" xfId="6641"/>
    <cellStyle name="集計 13 6 4 2 4 2" xfId="6642"/>
    <cellStyle name="集計 13 6 4 2 4 3" xfId="6643"/>
    <cellStyle name="集計 13 6 4 2 5" xfId="6644"/>
    <cellStyle name="集計 13 6 4 2 6" xfId="6645"/>
    <cellStyle name="集計 13 6 4 3" xfId="6646"/>
    <cellStyle name="集計 13 6 4 3 2" xfId="6647"/>
    <cellStyle name="集計 13 6 4 3 3" xfId="6648"/>
    <cellStyle name="集計 13 6 4 4" xfId="6649"/>
    <cellStyle name="集計 13 6 4 4 2" xfId="6650"/>
    <cellStyle name="集計 13 6 4 4 3" xfId="6651"/>
    <cellStyle name="集計 13 6 4 5" xfId="6652"/>
    <cellStyle name="集計 13 6 4 5 2" xfId="6653"/>
    <cellStyle name="集計 13 6 4 5 3" xfId="6654"/>
    <cellStyle name="集計 13 6 4 6" xfId="6655"/>
    <cellStyle name="集計 13 6 4 7" xfId="6656"/>
    <cellStyle name="集計 13 6 5" xfId="6657"/>
    <cellStyle name="集計 13 6 5 2" xfId="6658"/>
    <cellStyle name="集計 13 6 5 2 2" xfId="6659"/>
    <cellStyle name="集計 13 6 5 2 3" xfId="6660"/>
    <cellStyle name="集計 13 6 5 3" xfId="6661"/>
    <cellStyle name="集計 13 6 5 3 2" xfId="6662"/>
    <cellStyle name="集計 13 6 5 3 3" xfId="6663"/>
    <cellStyle name="集計 13 6 5 4" xfId="6664"/>
    <cellStyle name="集計 13 6 5 4 2" xfId="6665"/>
    <cellStyle name="集計 13 6 5 4 3" xfId="6666"/>
    <cellStyle name="集計 13 6 5 5" xfId="6667"/>
    <cellStyle name="集計 13 6 5 6" xfId="6668"/>
    <cellStyle name="集計 13 6 6" xfId="6669"/>
    <cellStyle name="集計 13 6 6 2" xfId="6670"/>
    <cellStyle name="集計 13 6 6 3" xfId="6671"/>
    <cellStyle name="集計 13 6 7" xfId="6672"/>
    <cellStyle name="集計 13 6 7 2" xfId="6673"/>
    <cellStyle name="集計 13 6 7 3" xfId="6674"/>
    <cellStyle name="集計 13 6 8" xfId="6675"/>
    <cellStyle name="集計 13 6 8 2" xfId="6676"/>
    <cellStyle name="集計 13 6 8 3" xfId="6677"/>
    <cellStyle name="集計 13 6 9" xfId="6678"/>
    <cellStyle name="集計 13 7" xfId="6679"/>
    <cellStyle name="集計 13 7 2" xfId="6680"/>
    <cellStyle name="集計 13 7 2 2" xfId="6681"/>
    <cellStyle name="集計 13 7 2 2 2" xfId="6682"/>
    <cellStyle name="集計 13 7 2 2 3" xfId="6683"/>
    <cellStyle name="集計 13 7 2 3" xfId="6684"/>
    <cellStyle name="集計 13 7 2 3 2" xfId="6685"/>
    <cellStyle name="集計 13 7 2 3 3" xfId="6686"/>
    <cellStyle name="集計 13 7 2 4" xfId="6687"/>
    <cellStyle name="集計 13 7 2 4 2" xfId="6688"/>
    <cellStyle name="集計 13 7 2 4 3" xfId="6689"/>
    <cellStyle name="集計 13 7 2 5" xfId="6690"/>
    <cellStyle name="集計 13 7 2 6" xfId="6691"/>
    <cellStyle name="集計 13 7 3" xfId="6692"/>
    <cellStyle name="集計 13 7 3 2" xfId="6693"/>
    <cellStyle name="集計 13 7 3 3" xfId="6694"/>
    <cellStyle name="集計 13 7 4" xfId="6695"/>
    <cellStyle name="集計 13 7 4 2" xfId="6696"/>
    <cellStyle name="集計 13 7 4 3" xfId="6697"/>
    <cellStyle name="集計 13 7 5" xfId="6698"/>
    <cellStyle name="集計 13 7 5 2" xfId="6699"/>
    <cellStyle name="集計 13 7 5 3" xfId="6700"/>
    <cellStyle name="集計 13 7 6" xfId="6701"/>
    <cellStyle name="集計 13 7 7" xfId="6702"/>
    <cellStyle name="集計 13 8" xfId="6703"/>
    <cellStyle name="集計 13 8 2" xfId="6704"/>
    <cellStyle name="集計 13 8 2 2" xfId="6705"/>
    <cellStyle name="集計 13 8 2 2 2" xfId="6706"/>
    <cellStyle name="集計 13 8 2 2 3" xfId="6707"/>
    <cellStyle name="集計 13 8 2 3" xfId="6708"/>
    <cellStyle name="集計 13 8 2 3 2" xfId="6709"/>
    <cellStyle name="集計 13 8 2 3 3" xfId="6710"/>
    <cellStyle name="集計 13 8 2 4" xfId="6711"/>
    <cellStyle name="集計 13 8 2 4 2" xfId="6712"/>
    <cellStyle name="集計 13 8 2 4 3" xfId="6713"/>
    <cellStyle name="集計 13 8 2 5" xfId="6714"/>
    <cellStyle name="集計 13 8 2 6" xfId="6715"/>
    <cellStyle name="集計 13 8 3" xfId="6716"/>
    <cellStyle name="集計 13 8 3 2" xfId="6717"/>
    <cellStyle name="集計 13 8 3 3" xfId="6718"/>
    <cellStyle name="集計 13 8 4" xfId="6719"/>
    <cellStyle name="集計 13 8 4 2" xfId="6720"/>
    <cellStyle name="集計 13 8 4 3" xfId="6721"/>
    <cellStyle name="集計 13 8 5" xfId="6722"/>
    <cellStyle name="集計 13 8 5 2" xfId="6723"/>
    <cellStyle name="集計 13 8 5 3" xfId="6724"/>
    <cellStyle name="集計 13 8 6" xfId="6725"/>
    <cellStyle name="集計 13 8 7" xfId="6726"/>
    <cellStyle name="集計 13 9" xfId="6727"/>
    <cellStyle name="集計 13 9 2" xfId="6728"/>
    <cellStyle name="集計 13 9 2 2" xfId="6729"/>
    <cellStyle name="集計 13 9 2 3" xfId="6730"/>
    <cellStyle name="集計 13 9 3" xfId="6731"/>
    <cellStyle name="集計 13 9 3 2" xfId="6732"/>
    <cellStyle name="集計 13 9 3 3" xfId="6733"/>
    <cellStyle name="集計 13 9 4" xfId="6734"/>
    <cellStyle name="集計 13 9 4 2" xfId="6735"/>
    <cellStyle name="集計 13 9 4 3" xfId="6736"/>
    <cellStyle name="集計 13 9 5" xfId="6737"/>
    <cellStyle name="集計 13 9 6" xfId="6738"/>
    <cellStyle name="集計 14" xfId="6739"/>
    <cellStyle name="集計 14 10" xfId="6740"/>
    <cellStyle name="集計 14 10 2" xfId="6741"/>
    <cellStyle name="集計 14 10 3" xfId="6742"/>
    <cellStyle name="集計 14 11" xfId="6743"/>
    <cellStyle name="集計 14 11 2" xfId="6744"/>
    <cellStyle name="集計 14 11 3" xfId="6745"/>
    <cellStyle name="集計 14 12" xfId="6746"/>
    <cellStyle name="集計 14 12 2" xfId="6747"/>
    <cellStyle name="集計 14 12 3" xfId="6748"/>
    <cellStyle name="集計 14 13" xfId="6749"/>
    <cellStyle name="集計 14 14" xfId="6750"/>
    <cellStyle name="集計 14 2" xfId="6751"/>
    <cellStyle name="集計 14 2 10" xfId="6752"/>
    <cellStyle name="集計 14 2 2" xfId="6753"/>
    <cellStyle name="集計 14 2 2 10" xfId="6754"/>
    <cellStyle name="集計 14 2 2 2" xfId="6755"/>
    <cellStyle name="集計 14 2 2 2 2" xfId="6756"/>
    <cellStyle name="集計 14 2 2 2 2 2" xfId="6757"/>
    <cellStyle name="集計 14 2 2 2 2 2 2" xfId="6758"/>
    <cellStyle name="集計 14 2 2 2 2 2 2 2" xfId="6759"/>
    <cellStyle name="集計 14 2 2 2 2 2 2 3" xfId="6760"/>
    <cellStyle name="集計 14 2 2 2 2 2 3" xfId="6761"/>
    <cellStyle name="集計 14 2 2 2 2 2 3 2" xfId="6762"/>
    <cellStyle name="集計 14 2 2 2 2 2 3 3" xfId="6763"/>
    <cellStyle name="集計 14 2 2 2 2 2 4" xfId="6764"/>
    <cellStyle name="集計 14 2 2 2 2 2 4 2" xfId="6765"/>
    <cellStyle name="集計 14 2 2 2 2 2 4 3" xfId="6766"/>
    <cellStyle name="集計 14 2 2 2 2 2 5" xfId="6767"/>
    <cellStyle name="集計 14 2 2 2 2 2 6" xfId="6768"/>
    <cellStyle name="集計 14 2 2 2 2 3" xfId="6769"/>
    <cellStyle name="集計 14 2 2 2 2 3 2" xfId="6770"/>
    <cellStyle name="集計 14 2 2 2 2 3 3" xfId="6771"/>
    <cellStyle name="集計 14 2 2 2 2 4" xfId="6772"/>
    <cellStyle name="集計 14 2 2 2 2 4 2" xfId="6773"/>
    <cellStyle name="集計 14 2 2 2 2 4 3" xfId="6774"/>
    <cellStyle name="集計 14 2 2 2 2 5" xfId="6775"/>
    <cellStyle name="集計 14 2 2 2 2 5 2" xfId="6776"/>
    <cellStyle name="集計 14 2 2 2 2 5 3" xfId="6777"/>
    <cellStyle name="集計 14 2 2 2 2 6" xfId="6778"/>
    <cellStyle name="集計 14 2 2 2 2 7" xfId="6779"/>
    <cellStyle name="集計 14 2 2 2 3" xfId="6780"/>
    <cellStyle name="集計 14 2 2 2 3 2" xfId="6781"/>
    <cellStyle name="集計 14 2 2 2 3 2 2" xfId="6782"/>
    <cellStyle name="集計 14 2 2 2 3 2 2 2" xfId="6783"/>
    <cellStyle name="集計 14 2 2 2 3 2 2 3" xfId="6784"/>
    <cellStyle name="集計 14 2 2 2 3 2 3" xfId="6785"/>
    <cellStyle name="集計 14 2 2 2 3 2 3 2" xfId="6786"/>
    <cellStyle name="集計 14 2 2 2 3 2 3 3" xfId="6787"/>
    <cellStyle name="集計 14 2 2 2 3 2 4" xfId="6788"/>
    <cellStyle name="集計 14 2 2 2 3 2 4 2" xfId="6789"/>
    <cellStyle name="集計 14 2 2 2 3 2 4 3" xfId="6790"/>
    <cellStyle name="集計 14 2 2 2 3 2 5" xfId="6791"/>
    <cellStyle name="集計 14 2 2 2 3 2 6" xfId="6792"/>
    <cellStyle name="集計 14 2 2 2 3 3" xfId="6793"/>
    <cellStyle name="集計 14 2 2 2 3 3 2" xfId="6794"/>
    <cellStyle name="集計 14 2 2 2 3 3 3" xfId="6795"/>
    <cellStyle name="集計 14 2 2 2 3 4" xfId="6796"/>
    <cellStyle name="集計 14 2 2 2 3 4 2" xfId="6797"/>
    <cellStyle name="集計 14 2 2 2 3 4 3" xfId="6798"/>
    <cellStyle name="集計 14 2 2 2 3 5" xfId="6799"/>
    <cellStyle name="集計 14 2 2 2 3 5 2" xfId="6800"/>
    <cellStyle name="集計 14 2 2 2 3 5 3" xfId="6801"/>
    <cellStyle name="集計 14 2 2 2 3 6" xfId="6802"/>
    <cellStyle name="集計 14 2 2 2 3 7" xfId="6803"/>
    <cellStyle name="集計 14 2 2 2 4" xfId="6804"/>
    <cellStyle name="集計 14 2 2 2 4 2" xfId="6805"/>
    <cellStyle name="集計 14 2 2 2 4 2 2" xfId="6806"/>
    <cellStyle name="集計 14 2 2 2 4 2 3" xfId="6807"/>
    <cellStyle name="集計 14 2 2 2 4 3" xfId="6808"/>
    <cellStyle name="集計 14 2 2 2 4 3 2" xfId="6809"/>
    <cellStyle name="集計 14 2 2 2 4 3 3" xfId="6810"/>
    <cellStyle name="集計 14 2 2 2 4 4" xfId="6811"/>
    <cellStyle name="集計 14 2 2 2 4 4 2" xfId="6812"/>
    <cellStyle name="集計 14 2 2 2 4 4 3" xfId="6813"/>
    <cellStyle name="集計 14 2 2 2 4 5" xfId="6814"/>
    <cellStyle name="集計 14 2 2 2 4 6" xfId="6815"/>
    <cellStyle name="集計 14 2 2 2 5" xfId="6816"/>
    <cellStyle name="集計 14 2 2 2 5 2" xfId="6817"/>
    <cellStyle name="集計 14 2 2 2 5 3" xfId="6818"/>
    <cellStyle name="集計 14 2 2 2 6" xfId="6819"/>
    <cellStyle name="集計 14 2 2 2 6 2" xfId="6820"/>
    <cellStyle name="集計 14 2 2 2 6 3" xfId="6821"/>
    <cellStyle name="集計 14 2 2 2 7" xfId="6822"/>
    <cellStyle name="集計 14 2 2 2 7 2" xfId="6823"/>
    <cellStyle name="集計 14 2 2 2 7 3" xfId="6824"/>
    <cellStyle name="集計 14 2 2 2 8" xfId="6825"/>
    <cellStyle name="集計 14 2 2 2 9" xfId="6826"/>
    <cellStyle name="集計 14 2 2 3" xfId="6827"/>
    <cellStyle name="集計 14 2 2 3 2" xfId="6828"/>
    <cellStyle name="集計 14 2 2 3 2 2" xfId="6829"/>
    <cellStyle name="集計 14 2 2 3 2 2 2" xfId="6830"/>
    <cellStyle name="集計 14 2 2 3 2 2 3" xfId="6831"/>
    <cellStyle name="集計 14 2 2 3 2 3" xfId="6832"/>
    <cellStyle name="集計 14 2 2 3 2 3 2" xfId="6833"/>
    <cellStyle name="集計 14 2 2 3 2 3 3" xfId="6834"/>
    <cellStyle name="集計 14 2 2 3 2 4" xfId="6835"/>
    <cellStyle name="集計 14 2 2 3 2 4 2" xfId="6836"/>
    <cellStyle name="集計 14 2 2 3 2 4 3" xfId="6837"/>
    <cellStyle name="集計 14 2 2 3 2 5" xfId="6838"/>
    <cellStyle name="集計 14 2 2 3 2 6" xfId="6839"/>
    <cellStyle name="集計 14 2 2 3 3" xfId="6840"/>
    <cellStyle name="集計 14 2 2 3 3 2" xfId="6841"/>
    <cellStyle name="集計 14 2 2 3 3 3" xfId="6842"/>
    <cellStyle name="集計 14 2 2 3 4" xfId="6843"/>
    <cellStyle name="集計 14 2 2 3 4 2" xfId="6844"/>
    <cellStyle name="集計 14 2 2 3 4 3" xfId="6845"/>
    <cellStyle name="集計 14 2 2 3 5" xfId="6846"/>
    <cellStyle name="集計 14 2 2 3 5 2" xfId="6847"/>
    <cellStyle name="集計 14 2 2 3 5 3" xfId="6848"/>
    <cellStyle name="集計 14 2 2 3 6" xfId="6849"/>
    <cellStyle name="集計 14 2 2 3 7" xfId="6850"/>
    <cellStyle name="集計 14 2 2 4" xfId="6851"/>
    <cellStyle name="集計 14 2 2 4 2" xfId="6852"/>
    <cellStyle name="集計 14 2 2 4 2 2" xfId="6853"/>
    <cellStyle name="集計 14 2 2 4 2 2 2" xfId="6854"/>
    <cellStyle name="集計 14 2 2 4 2 2 3" xfId="6855"/>
    <cellStyle name="集計 14 2 2 4 2 3" xfId="6856"/>
    <cellStyle name="集計 14 2 2 4 2 3 2" xfId="6857"/>
    <cellStyle name="集計 14 2 2 4 2 3 3" xfId="6858"/>
    <cellStyle name="集計 14 2 2 4 2 4" xfId="6859"/>
    <cellStyle name="集計 14 2 2 4 2 4 2" xfId="6860"/>
    <cellStyle name="集計 14 2 2 4 2 4 3" xfId="6861"/>
    <cellStyle name="集計 14 2 2 4 2 5" xfId="6862"/>
    <cellStyle name="集計 14 2 2 4 2 6" xfId="6863"/>
    <cellStyle name="集計 14 2 2 4 3" xfId="6864"/>
    <cellStyle name="集計 14 2 2 4 3 2" xfId="6865"/>
    <cellStyle name="集計 14 2 2 4 3 3" xfId="6866"/>
    <cellStyle name="集計 14 2 2 4 4" xfId="6867"/>
    <cellStyle name="集計 14 2 2 4 4 2" xfId="6868"/>
    <cellStyle name="集計 14 2 2 4 4 3" xfId="6869"/>
    <cellStyle name="集計 14 2 2 4 5" xfId="6870"/>
    <cellStyle name="集計 14 2 2 4 5 2" xfId="6871"/>
    <cellStyle name="集計 14 2 2 4 5 3" xfId="6872"/>
    <cellStyle name="集計 14 2 2 4 6" xfId="6873"/>
    <cellStyle name="集計 14 2 2 4 7" xfId="6874"/>
    <cellStyle name="集計 14 2 2 5" xfId="6875"/>
    <cellStyle name="集計 14 2 2 5 2" xfId="6876"/>
    <cellStyle name="集計 14 2 2 5 2 2" xfId="6877"/>
    <cellStyle name="集計 14 2 2 5 2 3" xfId="6878"/>
    <cellStyle name="集計 14 2 2 5 3" xfId="6879"/>
    <cellStyle name="集計 14 2 2 5 3 2" xfId="6880"/>
    <cellStyle name="集計 14 2 2 5 3 3" xfId="6881"/>
    <cellStyle name="集計 14 2 2 5 4" xfId="6882"/>
    <cellStyle name="集計 14 2 2 5 4 2" xfId="6883"/>
    <cellStyle name="集計 14 2 2 5 4 3" xfId="6884"/>
    <cellStyle name="集計 14 2 2 5 5" xfId="6885"/>
    <cellStyle name="集計 14 2 2 5 6" xfId="6886"/>
    <cellStyle name="集計 14 2 2 6" xfId="6887"/>
    <cellStyle name="集計 14 2 2 6 2" xfId="6888"/>
    <cellStyle name="集計 14 2 2 6 3" xfId="6889"/>
    <cellStyle name="集計 14 2 2 7" xfId="6890"/>
    <cellStyle name="集計 14 2 2 7 2" xfId="6891"/>
    <cellStyle name="集計 14 2 2 7 3" xfId="6892"/>
    <cellStyle name="集計 14 2 2 8" xfId="6893"/>
    <cellStyle name="集計 14 2 2 8 2" xfId="6894"/>
    <cellStyle name="集計 14 2 2 8 3" xfId="6895"/>
    <cellStyle name="集計 14 2 2 9" xfId="6896"/>
    <cellStyle name="集計 14 2 3" xfId="6897"/>
    <cellStyle name="集計 14 2 3 2" xfId="6898"/>
    <cellStyle name="集計 14 2 3 2 2" xfId="6899"/>
    <cellStyle name="集計 14 2 3 2 2 2" xfId="6900"/>
    <cellStyle name="集計 14 2 3 2 2 3" xfId="6901"/>
    <cellStyle name="集計 14 2 3 2 3" xfId="6902"/>
    <cellStyle name="集計 14 2 3 2 3 2" xfId="6903"/>
    <cellStyle name="集計 14 2 3 2 3 3" xfId="6904"/>
    <cellStyle name="集計 14 2 3 2 4" xfId="6905"/>
    <cellStyle name="集計 14 2 3 2 4 2" xfId="6906"/>
    <cellStyle name="集計 14 2 3 2 4 3" xfId="6907"/>
    <cellStyle name="集計 14 2 3 2 5" xfId="6908"/>
    <cellStyle name="集計 14 2 3 2 6" xfId="6909"/>
    <cellStyle name="集計 14 2 3 3" xfId="6910"/>
    <cellStyle name="集計 14 2 3 3 2" xfId="6911"/>
    <cellStyle name="集計 14 2 3 3 3" xfId="6912"/>
    <cellStyle name="集計 14 2 3 4" xfId="6913"/>
    <cellStyle name="集計 14 2 3 4 2" xfId="6914"/>
    <cellStyle name="集計 14 2 3 4 3" xfId="6915"/>
    <cellStyle name="集計 14 2 3 5" xfId="6916"/>
    <cellStyle name="集計 14 2 3 5 2" xfId="6917"/>
    <cellStyle name="集計 14 2 3 5 3" xfId="6918"/>
    <cellStyle name="集計 14 2 3 6" xfId="6919"/>
    <cellStyle name="集計 14 2 3 7" xfId="6920"/>
    <cellStyle name="集計 14 2 4" xfId="6921"/>
    <cellStyle name="集計 14 2 4 2" xfId="6922"/>
    <cellStyle name="集計 14 2 4 2 2" xfId="6923"/>
    <cellStyle name="集計 14 2 4 2 2 2" xfId="6924"/>
    <cellStyle name="集計 14 2 4 2 2 3" xfId="6925"/>
    <cellStyle name="集計 14 2 4 2 3" xfId="6926"/>
    <cellStyle name="集計 14 2 4 2 3 2" xfId="6927"/>
    <cellStyle name="集計 14 2 4 2 3 3" xfId="6928"/>
    <cellStyle name="集計 14 2 4 2 4" xfId="6929"/>
    <cellStyle name="集計 14 2 4 2 4 2" xfId="6930"/>
    <cellStyle name="集計 14 2 4 2 4 3" xfId="6931"/>
    <cellStyle name="集計 14 2 4 2 5" xfId="6932"/>
    <cellStyle name="集計 14 2 4 2 6" xfId="6933"/>
    <cellStyle name="集計 14 2 4 3" xfId="6934"/>
    <cellStyle name="集計 14 2 4 3 2" xfId="6935"/>
    <cellStyle name="集計 14 2 4 3 3" xfId="6936"/>
    <cellStyle name="集計 14 2 4 4" xfId="6937"/>
    <cellStyle name="集計 14 2 4 4 2" xfId="6938"/>
    <cellStyle name="集計 14 2 4 4 3" xfId="6939"/>
    <cellStyle name="集計 14 2 4 5" xfId="6940"/>
    <cellStyle name="集計 14 2 4 5 2" xfId="6941"/>
    <cellStyle name="集計 14 2 4 5 3" xfId="6942"/>
    <cellStyle name="集計 14 2 4 6" xfId="6943"/>
    <cellStyle name="集計 14 2 4 7" xfId="6944"/>
    <cellStyle name="集計 14 2 5" xfId="6945"/>
    <cellStyle name="集計 14 2 5 2" xfId="6946"/>
    <cellStyle name="集計 14 2 5 2 2" xfId="6947"/>
    <cellStyle name="集計 14 2 5 2 3" xfId="6948"/>
    <cellStyle name="集計 14 2 5 3" xfId="6949"/>
    <cellStyle name="集計 14 2 5 3 2" xfId="6950"/>
    <cellStyle name="集計 14 2 5 3 3" xfId="6951"/>
    <cellStyle name="集計 14 2 5 4" xfId="6952"/>
    <cellStyle name="集計 14 2 5 4 2" xfId="6953"/>
    <cellStyle name="集計 14 2 5 4 3" xfId="6954"/>
    <cellStyle name="集計 14 2 5 5" xfId="6955"/>
    <cellStyle name="集計 14 2 5 6" xfId="6956"/>
    <cellStyle name="集計 14 2 6" xfId="6957"/>
    <cellStyle name="集計 14 2 6 2" xfId="6958"/>
    <cellStyle name="集計 14 2 6 3" xfId="6959"/>
    <cellStyle name="集計 14 2 7" xfId="6960"/>
    <cellStyle name="集計 14 2 7 2" xfId="6961"/>
    <cellStyle name="集計 14 2 7 3" xfId="6962"/>
    <cellStyle name="集計 14 2 8" xfId="6963"/>
    <cellStyle name="集計 14 2 8 2" xfId="6964"/>
    <cellStyle name="集計 14 2 8 3" xfId="6965"/>
    <cellStyle name="集計 14 2 9" xfId="6966"/>
    <cellStyle name="集計 14 3" xfId="6967"/>
    <cellStyle name="集計 14 3 10" xfId="6968"/>
    <cellStyle name="集計 14 3 2" xfId="6969"/>
    <cellStyle name="集計 14 3 2 10" xfId="6970"/>
    <cellStyle name="集計 14 3 2 2" xfId="6971"/>
    <cellStyle name="集計 14 3 2 2 2" xfId="6972"/>
    <cellStyle name="集計 14 3 2 2 2 2" xfId="6973"/>
    <cellStyle name="集計 14 3 2 2 2 2 2" xfId="6974"/>
    <cellStyle name="集計 14 3 2 2 2 2 2 2" xfId="6975"/>
    <cellStyle name="集計 14 3 2 2 2 2 2 3" xfId="6976"/>
    <cellStyle name="集計 14 3 2 2 2 2 3" xfId="6977"/>
    <cellStyle name="集計 14 3 2 2 2 2 3 2" xfId="6978"/>
    <cellStyle name="集計 14 3 2 2 2 2 3 3" xfId="6979"/>
    <cellStyle name="集計 14 3 2 2 2 2 4" xfId="6980"/>
    <cellStyle name="集計 14 3 2 2 2 2 4 2" xfId="6981"/>
    <cellStyle name="集計 14 3 2 2 2 2 4 3" xfId="6982"/>
    <cellStyle name="集計 14 3 2 2 2 2 5" xfId="6983"/>
    <cellStyle name="集計 14 3 2 2 2 2 6" xfId="6984"/>
    <cellStyle name="集計 14 3 2 2 2 3" xfId="6985"/>
    <cellStyle name="集計 14 3 2 2 2 3 2" xfId="6986"/>
    <cellStyle name="集計 14 3 2 2 2 3 3" xfId="6987"/>
    <cellStyle name="集計 14 3 2 2 2 4" xfId="6988"/>
    <cellStyle name="集計 14 3 2 2 2 4 2" xfId="6989"/>
    <cellStyle name="集計 14 3 2 2 2 4 3" xfId="6990"/>
    <cellStyle name="集計 14 3 2 2 2 5" xfId="6991"/>
    <cellStyle name="集計 14 3 2 2 2 5 2" xfId="6992"/>
    <cellStyle name="集計 14 3 2 2 2 5 3" xfId="6993"/>
    <cellStyle name="集計 14 3 2 2 2 6" xfId="6994"/>
    <cellStyle name="集計 14 3 2 2 2 7" xfId="6995"/>
    <cellStyle name="集計 14 3 2 2 3" xfId="6996"/>
    <cellStyle name="集計 14 3 2 2 3 2" xfId="6997"/>
    <cellStyle name="集計 14 3 2 2 3 2 2" xfId="6998"/>
    <cellStyle name="集計 14 3 2 2 3 2 2 2" xfId="6999"/>
    <cellStyle name="集計 14 3 2 2 3 2 2 3" xfId="7000"/>
    <cellStyle name="集計 14 3 2 2 3 2 3" xfId="7001"/>
    <cellStyle name="集計 14 3 2 2 3 2 3 2" xfId="7002"/>
    <cellStyle name="集計 14 3 2 2 3 2 3 3" xfId="7003"/>
    <cellStyle name="集計 14 3 2 2 3 2 4" xfId="7004"/>
    <cellStyle name="集計 14 3 2 2 3 2 4 2" xfId="7005"/>
    <cellStyle name="集計 14 3 2 2 3 2 4 3" xfId="7006"/>
    <cellStyle name="集計 14 3 2 2 3 2 5" xfId="7007"/>
    <cellStyle name="集計 14 3 2 2 3 2 6" xfId="7008"/>
    <cellStyle name="集計 14 3 2 2 3 3" xfId="7009"/>
    <cellStyle name="集計 14 3 2 2 3 3 2" xfId="7010"/>
    <cellStyle name="集計 14 3 2 2 3 3 3" xfId="7011"/>
    <cellStyle name="集計 14 3 2 2 3 4" xfId="7012"/>
    <cellStyle name="集計 14 3 2 2 3 4 2" xfId="7013"/>
    <cellStyle name="集計 14 3 2 2 3 4 3" xfId="7014"/>
    <cellStyle name="集計 14 3 2 2 3 5" xfId="7015"/>
    <cellStyle name="集計 14 3 2 2 3 5 2" xfId="7016"/>
    <cellStyle name="集計 14 3 2 2 3 5 3" xfId="7017"/>
    <cellStyle name="集計 14 3 2 2 3 6" xfId="7018"/>
    <cellStyle name="集計 14 3 2 2 3 7" xfId="7019"/>
    <cellStyle name="集計 14 3 2 2 4" xfId="7020"/>
    <cellStyle name="集計 14 3 2 2 4 2" xfId="7021"/>
    <cellStyle name="集計 14 3 2 2 4 2 2" xfId="7022"/>
    <cellStyle name="集計 14 3 2 2 4 2 3" xfId="7023"/>
    <cellStyle name="集計 14 3 2 2 4 3" xfId="7024"/>
    <cellStyle name="集計 14 3 2 2 4 3 2" xfId="7025"/>
    <cellStyle name="集計 14 3 2 2 4 3 3" xfId="7026"/>
    <cellStyle name="集計 14 3 2 2 4 4" xfId="7027"/>
    <cellStyle name="集計 14 3 2 2 4 4 2" xfId="7028"/>
    <cellStyle name="集計 14 3 2 2 4 4 3" xfId="7029"/>
    <cellStyle name="集計 14 3 2 2 4 5" xfId="7030"/>
    <cellStyle name="集計 14 3 2 2 4 6" xfId="7031"/>
    <cellStyle name="集計 14 3 2 2 5" xfId="7032"/>
    <cellStyle name="集計 14 3 2 2 5 2" xfId="7033"/>
    <cellStyle name="集計 14 3 2 2 5 3" xfId="7034"/>
    <cellStyle name="集計 14 3 2 2 6" xfId="7035"/>
    <cellStyle name="集計 14 3 2 2 6 2" xfId="7036"/>
    <cellStyle name="集計 14 3 2 2 6 3" xfId="7037"/>
    <cellStyle name="集計 14 3 2 2 7" xfId="7038"/>
    <cellStyle name="集計 14 3 2 2 7 2" xfId="7039"/>
    <cellStyle name="集計 14 3 2 2 7 3" xfId="7040"/>
    <cellStyle name="集計 14 3 2 2 8" xfId="7041"/>
    <cellStyle name="集計 14 3 2 2 9" xfId="7042"/>
    <cellStyle name="集計 14 3 2 3" xfId="7043"/>
    <cellStyle name="集計 14 3 2 3 2" xfId="7044"/>
    <cellStyle name="集計 14 3 2 3 2 2" xfId="7045"/>
    <cellStyle name="集計 14 3 2 3 2 2 2" xfId="7046"/>
    <cellStyle name="集計 14 3 2 3 2 2 3" xfId="7047"/>
    <cellStyle name="集計 14 3 2 3 2 3" xfId="7048"/>
    <cellStyle name="集計 14 3 2 3 2 3 2" xfId="7049"/>
    <cellStyle name="集計 14 3 2 3 2 3 3" xfId="7050"/>
    <cellStyle name="集計 14 3 2 3 2 4" xfId="7051"/>
    <cellStyle name="集計 14 3 2 3 2 4 2" xfId="7052"/>
    <cellStyle name="集計 14 3 2 3 2 4 3" xfId="7053"/>
    <cellStyle name="集計 14 3 2 3 2 5" xfId="7054"/>
    <cellStyle name="集計 14 3 2 3 2 6" xfId="7055"/>
    <cellStyle name="集計 14 3 2 3 3" xfId="7056"/>
    <cellStyle name="集計 14 3 2 3 3 2" xfId="7057"/>
    <cellStyle name="集計 14 3 2 3 3 3" xfId="7058"/>
    <cellStyle name="集計 14 3 2 3 4" xfId="7059"/>
    <cellStyle name="集計 14 3 2 3 4 2" xfId="7060"/>
    <cellStyle name="集計 14 3 2 3 4 3" xfId="7061"/>
    <cellStyle name="集計 14 3 2 3 5" xfId="7062"/>
    <cellStyle name="集計 14 3 2 3 5 2" xfId="7063"/>
    <cellStyle name="集計 14 3 2 3 5 3" xfId="7064"/>
    <cellStyle name="集計 14 3 2 3 6" xfId="7065"/>
    <cellStyle name="集計 14 3 2 3 7" xfId="7066"/>
    <cellStyle name="集計 14 3 2 4" xfId="7067"/>
    <cellStyle name="集計 14 3 2 4 2" xfId="7068"/>
    <cellStyle name="集計 14 3 2 4 2 2" xfId="7069"/>
    <cellStyle name="集計 14 3 2 4 2 2 2" xfId="7070"/>
    <cellStyle name="集計 14 3 2 4 2 2 3" xfId="7071"/>
    <cellStyle name="集計 14 3 2 4 2 3" xfId="7072"/>
    <cellStyle name="集計 14 3 2 4 2 3 2" xfId="7073"/>
    <cellStyle name="集計 14 3 2 4 2 3 3" xfId="7074"/>
    <cellStyle name="集計 14 3 2 4 2 4" xfId="7075"/>
    <cellStyle name="集計 14 3 2 4 2 4 2" xfId="7076"/>
    <cellStyle name="集計 14 3 2 4 2 4 3" xfId="7077"/>
    <cellStyle name="集計 14 3 2 4 2 5" xfId="7078"/>
    <cellStyle name="集計 14 3 2 4 2 6" xfId="7079"/>
    <cellStyle name="集計 14 3 2 4 3" xfId="7080"/>
    <cellStyle name="集計 14 3 2 4 3 2" xfId="7081"/>
    <cellStyle name="集計 14 3 2 4 3 3" xfId="7082"/>
    <cellStyle name="集計 14 3 2 4 4" xfId="7083"/>
    <cellStyle name="集計 14 3 2 4 4 2" xfId="7084"/>
    <cellStyle name="集計 14 3 2 4 4 3" xfId="7085"/>
    <cellStyle name="集計 14 3 2 4 5" xfId="7086"/>
    <cellStyle name="集計 14 3 2 4 5 2" xfId="7087"/>
    <cellStyle name="集計 14 3 2 4 5 3" xfId="7088"/>
    <cellStyle name="集計 14 3 2 4 6" xfId="7089"/>
    <cellStyle name="集計 14 3 2 4 7" xfId="7090"/>
    <cellStyle name="集計 14 3 2 5" xfId="7091"/>
    <cellStyle name="集計 14 3 2 5 2" xfId="7092"/>
    <cellStyle name="集計 14 3 2 5 2 2" xfId="7093"/>
    <cellStyle name="集計 14 3 2 5 2 3" xfId="7094"/>
    <cellStyle name="集計 14 3 2 5 3" xfId="7095"/>
    <cellStyle name="集計 14 3 2 5 3 2" xfId="7096"/>
    <cellStyle name="集計 14 3 2 5 3 3" xfId="7097"/>
    <cellStyle name="集計 14 3 2 5 4" xfId="7098"/>
    <cellStyle name="集計 14 3 2 5 4 2" xfId="7099"/>
    <cellStyle name="集計 14 3 2 5 4 3" xfId="7100"/>
    <cellStyle name="集計 14 3 2 5 5" xfId="7101"/>
    <cellStyle name="集計 14 3 2 5 6" xfId="7102"/>
    <cellStyle name="集計 14 3 2 6" xfId="7103"/>
    <cellStyle name="集計 14 3 2 6 2" xfId="7104"/>
    <cellStyle name="集計 14 3 2 6 3" xfId="7105"/>
    <cellStyle name="集計 14 3 2 7" xfId="7106"/>
    <cellStyle name="集計 14 3 2 7 2" xfId="7107"/>
    <cellStyle name="集計 14 3 2 7 3" xfId="7108"/>
    <cellStyle name="集計 14 3 2 8" xfId="7109"/>
    <cellStyle name="集計 14 3 2 8 2" xfId="7110"/>
    <cellStyle name="集計 14 3 2 8 3" xfId="7111"/>
    <cellStyle name="集計 14 3 2 9" xfId="7112"/>
    <cellStyle name="集計 14 3 3" xfId="7113"/>
    <cellStyle name="集計 14 3 3 2" xfId="7114"/>
    <cellStyle name="集計 14 3 3 2 2" xfId="7115"/>
    <cellStyle name="集計 14 3 3 2 2 2" xfId="7116"/>
    <cellStyle name="集計 14 3 3 2 2 3" xfId="7117"/>
    <cellStyle name="集計 14 3 3 2 3" xfId="7118"/>
    <cellStyle name="集計 14 3 3 2 3 2" xfId="7119"/>
    <cellStyle name="集計 14 3 3 2 3 3" xfId="7120"/>
    <cellStyle name="集計 14 3 3 2 4" xfId="7121"/>
    <cellStyle name="集計 14 3 3 2 4 2" xfId="7122"/>
    <cellStyle name="集計 14 3 3 2 4 3" xfId="7123"/>
    <cellStyle name="集計 14 3 3 2 5" xfId="7124"/>
    <cellStyle name="集計 14 3 3 2 6" xfId="7125"/>
    <cellStyle name="集計 14 3 3 3" xfId="7126"/>
    <cellStyle name="集計 14 3 3 3 2" xfId="7127"/>
    <cellStyle name="集計 14 3 3 3 3" xfId="7128"/>
    <cellStyle name="集計 14 3 3 4" xfId="7129"/>
    <cellStyle name="集計 14 3 3 4 2" xfId="7130"/>
    <cellStyle name="集計 14 3 3 4 3" xfId="7131"/>
    <cellStyle name="集計 14 3 3 5" xfId="7132"/>
    <cellStyle name="集計 14 3 3 5 2" xfId="7133"/>
    <cellStyle name="集計 14 3 3 5 3" xfId="7134"/>
    <cellStyle name="集計 14 3 3 6" xfId="7135"/>
    <cellStyle name="集計 14 3 3 7" xfId="7136"/>
    <cellStyle name="集計 14 3 4" xfId="7137"/>
    <cellStyle name="集計 14 3 4 2" xfId="7138"/>
    <cellStyle name="集計 14 3 4 2 2" xfId="7139"/>
    <cellStyle name="集計 14 3 4 2 2 2" xfId="7140"/>
    <cellStyle name="集計 14 3 4 2 2 3" xfId="7141"/>
    <cellStyle name="集計 14 3 4 2 3" xfId="7142"/>
    <cellStyle name="集計 14 3 4 2 3 2" xfId="7143"/>
    <cellStyle name="集計 14 3 4 2 3 3" xfId="7144"/>
    <cellStyle name="集計 14 3 4 2 4" xfId="7145"/>
    <cellStyle name="集計 14 3 4 2 4 2" xfId="7146"/>
    <cellStyle name="集計 14 3 4 2 4 3" xfId="7147"/>
    <cellStyle name="集計 14 3 4 2 5" xfId="7148"/>
    <cellStyle name="集計 14 3 4 2 6" xfId="7149"/>
    <cellStyle name="集計 14 3 4 3" xfId="7150"/>
    <cellStyle name="集計 14 3 4 3 2" xfId="7151"/>
    <cellStyle name="集計 14 3 4 3 3" xfId="7152"/>
    <cellStyle name="集計 14 3 4 4" xfId="7153"/>
    <cellStyle name="集計 14 3 4 4 2" xfId="7154"/>
    <cellStyle name="集計 14 3 4 4 3" xfId="7155"/>
    <cellStyle name="集計 14 3 4 5" xfId="7156"/>
    <cellStyle name="集計 14 3 4 5 2" xfId="7157"/>
    <cellStyle name="集計 14 3 4 5 3" xfId="7158"/>
    <cellStyle name="集計 14 3 4 6" xfId="7159"/>
    <cellStyle name="集計 14 3 4 7" xfId="7160"/>
    <cellStyle name="集計 14 3 5" xfId="7161"/>
    <cellStyle name="集計 14 3 5 2" xfId="7162"/>
    <cellStyle name="集計 14 3 5 2 2" xfId="7163"/>
    <cellStyle name="集計 14 3 5 2 3" xfId="7164"/>
    <cellStyle name="集計 14 3 5 3" xfId="7165"/>
    <cellStyle name="集計 14 3 5 3 2" xfId="7166"/>
    <cellStyle name="集計 14 3 5 3 3" xfId="7167"/>
    <cellStyle name="集計 14 3 5 4" xfId="7168"/>
    <cellStyle name="集計 14 3 5 4 2" xfId="7169"/>
    <cellStyle name="集計 14 3 5 4 3" xfId="7170"/>
    <cellStyle name="集計 14 3 5 5" xfId="7171"/>
    <cellStyle name="集計 14 3 5 6" xfId="7172"/>
    <cellStyle name="集計 14 3 6" xfId="7173"/>
    <cellStyle name="集計 14 3 6 2" xfId="7174"/>
    <cellStyle name="集計 14 3 6 3" xfId="7175"/>
    <cellStyle name="集計 14 3 7" xfId="7176"/>
    <cellStyle name="集計 14 3 7 2" xfId="7177"/>
    <cellStyle name="集計 14 3 7 3" xfId="7178"/>
    <cellStyle name="集計 14 3 8" xfId="7179"/>
    <cellStyle name="集計 14 3 8 2" xfId="7180"/>
    <cellStyle name="集計 14 3 8 3" xfId="7181"/>
    <cellStyle name="集計 14 3 9" xfId="7182"/>
    <cellStyle name="集計 14 4" xfId="7183"/>
    <cellStyle name="集計 14 4 10" xfId="7184"/>
    <cellStyle name="集計 14 4 2" xfId="7185"/>
    <cellStyle name="集計 14 4 2 10" xfId="7186"/>
    <cellStyle name="集計 14 4 2 2" xfId="7187"/>
    <cellStyle name="集計 14 4 2 2 2" xfId="7188"/>
    <cellStyle name="集計 14 4 2 2 2 2" xfId="7189"/>
    <cellStyle name="集計 14 4 2 2 2 2 2" xfId="7190"/>
    <cellStyle name="集計 14 4 2 2 2 2 2 2" xfId="7191"/>
    <cellStyle name="集計 14 4 2 2 2 2 2 3" xfId="7192"/>
    <cellStyle name="集計 14 4 2 2 2 2 3" xfId="7193"/>
    <cellStyle name="集計 14 4 2 2 2 2 3 2" xfId="7194"/>
    <cellStyle name="集計 14 4 2 2 2 2 3 3" xfId="7195"/>
    <cellStyle name="集計 14 4 2 2 2 2 4" xfId="7196"/>
    <cellStyle name="集計 14 4 2 2 2 2 4 2" xfId="7197"/>
    <cellStyle name="集計 14 4 2 2 2 2 4 3" xfId="7198"/>
    <cellStyle name="集計 14 4 2 2 2 2 5" xfId="7199"/>
    <cellStyle name="集計 14 4 2 2 2 2 6" xfId="7200"/>
    <cellStyle name="集計 14 4 2 2 2 3" xfId="7201"/>
    <cellStyle name="集計 14 4 2 2 2 3 2" xfId="7202"/>
    <cellStyle name="集計 14 4 2 2 2 3 3" xfId="7203"/>
    <cellStyle name="集計 14 4 2 2 2 4" xfId="7204"/>
    <cellStyle name="集計 14 4 2 2 2 4 2" xfId="7205"/>
    <cellStyle name="集計 14 4 2 2 2 4 3" xfId="7206"/>
    <cellStyle name="集計 14 4 2 2 2 5" xfId="7207"/>
    <cellStyle name="集計 14 4 2 2 2 5 2" xfId="7208"/>
    <cellStyle name="集計 14 4 2 2 2 5 3" xfId="7209"/>
    <cellStyle name="集計 14 4 2 2 2 6" xfId="7210"/>
    <cellStyle name="集計 14 4 2 2 2 7" xfId="7211"/>
    <cellStyle name="集計 14 4 2 2 3" xfId="7212"/>
    <cellStyle name="集計 14 4 2 2 3 2" xfId="7213"/>
    <cellStyle name="集計 14 4 2 2 3 2 2" xfId="7214"/>
    <cellStyle name="集計 14 4 2 2 3 2 2 2" xfId="7215"/>
    <cellStyle name="集計 14 4 2 2 3 2 2 3" xfId="7216"/>
    <cellStyle name="集計 14 4 2 2 3 2 3" xfId="7217"/>
    <cellStyle name="集計 14 4 2 2 3 2 3 2" xfId="7218"/>
    <cellStyle name="集計 14 4 2 2 3 2 3 3" xfId="7219"/>
    <cellStyle name="集計 14 4 2 2 3 2 4" xfId="7220"/>
    <cellStyle name="集計 14 4 2 2 3 2 4 2" xfId="7221"/>
    <cellStyle name="集計 14 4 2 2 3 2 4 3" xfId="7222"/>
    <cellStyle name="集計 14 4 2 2 3 2 5" xfId="7223"/>
    <cellStyle name="集計 14 4 2 2 3 2 6" xfId="7224"/>
    <cellStyle name="集計 14 4 2 2 3 3" xfId="7225"/>
    <cellStyle name="集計 14 4 2 2 3 3 2" xfId="7226"/>
    <cellStyle name="集計 14 4 2 2 3 3 3" xfId="7227"/>
    <cellStyle name="集計 14 4 2 2 3 4" xfId="7228"/>
    <cellStyle name="集計 14 4 2 2 3 4 2" xfId="7229"/>
    <cellStyle name="集計 14 4 2 2 3 4 3" xfId="7230"/>
    <cellStyle name="集計 14 4 2 2 3 5" xfId="7231"/>
    <cellStyle name="集計 14 4 2 2 3 5 2" xfId="7232"/>
    <cellStyle name="集計 14 4 2 2 3 5 3" xfId="7233"/>
    <cellStyle name="集計 14 4 2 2 3 6" xfId="7234"/>
    <cellStyle name="集計 14 4 2 2 3 7" xfId="7235"/>
    <cellStyle name="集計 14 4 2 2 4" xfId="7236"/>
    <cellStyle name="集計 14 4 2 2 4 2" xfId="7237"/>
    <cellStyle name="集計 14 4 2 2 4 2 2" xfId="7238"/>
    <cellStyle name="集計 14 4 2 2 4 2 3" xfId="7239"/>
    <cellStyle name="集計 14 4 2 2 4 3" xfId="7240"/>
    <cellStyle name="集計 14 4 2 2 4 3 2" xfId="7241"/>
    <cellStyle name="集計 14 4 2 2 4 3 3" xfId="7242"/>
    <cellStyle name="集計 14 4 2 2 4 4" xfId="7243"/>
    <cellStyle name="集計 14 4 2 2 4 4 2" xfId="7244"/>
    <cellStyle name="集計 14 4 2 2 4 4 3" xfId="7245"/>
    <cellStyle name="集計 14 4 2 2 4 5" xfId="7246"/>
    <cellStyle name="集計 14 4 2 2 4 6" xfId="7247"/>
    <cellStyle name="集計 14 4 2 2 5" xfId="7248"/>
    <cellStyle name="集計 14 4 2 2 5 2" xfId="7249"/>
    <cellStyle name="集計 14 4 2 2 5 3" xfId="7250"/>
    <cellStyle name="集計 14 4 2 2 6" xfId="7251"/>
    <cellStyle name="集計 14 4 2 2 6 2" xfId="7252"/>
    <cellStyle name="集計 14 4 2 2 6 3" xfId="7253"/>
    <cellStyle name="集計 14 4 2 2 7" xfId="7254"/>
    <cellStyle name="集計 14 4 2 2 7 2" xfId="7255"/>
    <cellStyle name="集計 14 4 2 2 7 3" xfId="7256"/>
    <cellStyle name="集計 14 4 2 2 8" xfId="7257"/>
    <cellStyle name="集計 14 4 2 2 9" xfId="7258"/>
    <cellStyle name="集計 14 4 2 3" xfId="7259"/>
    <cellStyle name="集計 14 4 2 3 2" xfId="7260"/>
    <cellStyle name="集計 14 4 2 3 2 2" xfId="7261"/>
    <cellStyle name="集計 14 4 2 3 2 2 2" xfId="7262"/>
    <cellStyle name="集計 14 4 2 3 2 2 3" xfId="7263"/>
    <cellStyle name="集計 14 4 2 3 2 3" xfId="7264"/>
    <cellStyle name="集計 14 4 2 3 2 3 2" xfId="7265"/>
    <cellStyle name="集計 14 4 2 3 2 3 3" xfId="7266"/>
    <cellStyle name="集計 14 4 2 3 2 4" xfId="7267"/>
    <cellStyle name="集計 14 4 2 3 2 4 2" xfId="7268"/>
    <cellStyle name="集計 14 4 2 3 2 4 3" xfId="7269"/>
    <cellStyle name="集計 14 4 2 3 2 5" xfId="7270"/>
    <cellStyle name="集計 14 4 2 3 2 6" xfId="7271"/>
    <cellStyle name="集計 14 4 2 3 3" xfId="7272"/>
    <cellStyle name="集計 14 4 2 3 3 2" xfId="7273"/>
    <cellStyle name="集計 14 4 2 3 3 3" xfId="7274"/>
    <cellStyle name="集計 14 4 2 3 4" xfId="7275"/>
    <cellStyle name="集計 14 4 2 3 4 2" xfId="7276"/>
    <cellStyle name="集計 14 4 2 3 4 3" xfId="7277"/>
    <cellStyle name="集計 14 4 2 3 5" xfId="7278"/>
    <cellStyle name="集計 14 4 2 3 5 2" xfId="7279"/>
    <cellStyle name="集計 14 4 2 3 5 3" xfId="7280"/>
    <cellStyle name="集計 14 4 2 3 6" xfId="7281"/>
    <cellStyle name="集計 14 4 2 3 7" xfId="7282"/>
    <cellStyle name="集計 14 4 2 4" xfId="7283"/>
    <cellStyle name="集計 14 4 2 4 2" xfId="7284"/>
    <cellStyle name="集計 14 4 2 4 2 2" xfId="7285"/>
    <cellStyle name="集計 14 4 2 4 2 2 2" xfId="7286"/>
    <cellStyle name="集計 14 4 2 4 2 2 3" xfId="7287"/>
    <cellStyle name="集計 14 4 2 4 2 3" xfId="7288"/>
    <cellStyle name="集計 14 4 2 4 2 3 2" xfId="7289"/>
    <cellStyle name="集計 14 4 2 4 2 3 3" xfId="7290"/>
    <cellStyle name="集計 14 4 2 4 2 4" xfId="7291"/>
    <cellStyle name="集計 14 4 2 4 2 4 2" xfId="7292"/>
    <cellStyle name="集計 14 4 2 4 2 4 3" xfId="7293"/>
    <cellStyle name="集計 14 4 2 4 2 5" xfId="7294"/>
    <cellStyle name="集計 14 4 2 4 2 6" xfId="7295"/>
    <cellStyle name="集計 14 4 2 4 3" xfId="7296"/>
    <cellStyle name="集計 14 4 2 4 3 2" xfId="7297"/>
    <cellStyle name="集計 14 4 2 4 3 3" xfId="7298"/>
    <cellStyle name="集計 14 4 2 4 4" xfId="7299"/>
    <cellStyle name="集計 14 4 2 4 4 2" xfId="7300"/>
    <cellStyle name="集計 14 4 2 4 4 3" xfId="7301"/>
    <cellStyle name="集計 14 4 2 4 5" xfId="7302"/>
    <cellStyle name="集計 14 4 2 4 5 2" xfId="7303"/>
    <cellStyle name="集計 14 4 2 4 5 3" xfId="7304"/>
    <cellStyle name="集計 14 4 2 4 6" xfId="7305"/>
    <cellStyle name="集計 14 4 2 4 7" xfId="7306"/>
    <cellStyle name="集計 14 4 2 5" xfId="7307"/>
    <cellStyle name="集計 14 4 2 5 2" xfId="7308"/>
    <cellStyle name="集計 14 4 2 5 2 2" xfId="7309"/>
    <cellStyle name="集計 14 4 2 5 2 3" xfId="7310"/>
    <cellStyle name="集計 14 4 2 5 3" xfId="7311"/>
    <cellStyle name="集計 14 4 2 5 3 2" xfId="7312"/>
    <cellStyle name="集計 14 4 2 5 3 3" xfId="7313"/>
    <cellStyle name="集計 14 4 2 5 4" xfId="7314"/>
    <cellStyle name="集計 14 4 2 5 4 2" xfId="7315"/>
    <cellStyle name="集計 14 4 2 5 4 3" xfId="7316"/>
    <cellStyle name="集計 14 4 2 5 5" xfId="7317"/>
    <cellStyle name="集計 14 4 2 5 6" xfId="7318"/>
    <cellStyle name="集計 14 4 2 6" xfId="7319"/>
    <cellStyle name="集計 14 4 2 6 2" xfId="7320"/>
    <cellStyle name="集計 14 4 2 6 3" xfId="7321"/>
    <cellStyle name="集計 14 4 2 7" xfId="7322"/>
    <cellStyle name="集計 14 4 2 7 2" xfId="7323"/>
    <cellStyle name="集計 14 4 2 7 3" xfId="7324"/>
    <cellStyle name="集計 14 4 2 8" xfId="7325"/>
    <cellStyle name="集計 14 4 2 8 2" xfId="7326"/>
    <cellStyle name="集計 14 4 2 8 3" xfId="7327"/>
    <cellStyle name="集計 14 4 2 9" xfId="7328"/>
    <cellStyle name="集計 14 4 3" xfId="7329"/>
    <cellStyle name="集計 14 4 3 2" xfId="7330"/>
    <cellStyle name="集計 14 4 3 2 2" xfId="7331"/>
    <cellStyle name="集計 14 4 3 2 2 2" xfId="7332"/>
    <cellStyle name="集計 14 4 3 2 2 3" xfId="7333"/>
    <cellStyle name="集計 14 4 3 2 3" xfId="7334"/>
    <cellStyle name="集計 14 4 3 2 3 2" xfId="7335"/>
    <cellStyle name="集計 14 4 3 2 3 3" xfId="7336"/>
    <cellStyle name="集計 14 4 3 2 4" xfId="7337"/>
    <cellStyle name="集計 14 4 3 2 4 2" xfId="7338"/>
    <cellStyle name="集計 14 4 3 2 4 3" xfId="7339"/>
    <cellStyle name="集計 14 4 3 2 5" xfId="7340"/>
    <cellStyle name="集計 14 4 3 2 6" xfId="7341"/>
    <cellStyle name="集計 14 4 3 3" xfId="7342"/>
    <cellStyle name="集計 14 4 3 3 2" xfId="7343"/>
    <cellStyle name="集計 14 4 3 3 3" xfId="7344"/>
    <cellStyle name="集計 14 4 3 4" xfId="7345"/>
    <cellStyle name="集計 14 4 3 4 2" xfId="7346"/>
    <cellStyle name="集計 14 4 3 4 3" xfId="7347"/>
    <cellStyle name="集計 14 4 3 5" xfId="7348"/>
    <cellStyle name="集計 14 4 3 5 2" xfId="7349"/>
    <cellStyle name="集計 14 4 3 5 3" xfId="7350"/>
    <cellStyle name="集計 14 4 3 6" xfId="7351"/>
    <cellStyle name="集計 14 4 3 7" xfId="7352"/>
    <cellStyle name="集計 14 4 4" xfId="7353"/>
    <cellStyle name="集計 14 4 4 2" xfId="7354"/>
    <cellStyle name="集計 14 4 4 2 2" xfId="7355"/>
    <cellStyle name="集計 14 4 4 2 2 2" xfId="7356"/>
    <cellStyle name="集計 14 4 4 2 2 3" xfId="7357"/>
    <cellStyle name="集計 14 4 4 2 3" xfId="7358"/>
    <cellStyle name="集計 14 4 4 2 3 2" xfId="7359"/>
    <cellStyle name="集計 14 4 4 2 3 3" xfId="7360"/>
    <cellStyle name="集計 14 4 4 2 4" xfId="7361"/>
    <cellStyle name="集計 14 4 4 2 4 2" xfId="7362"/>
    <cellStyle name="集計 14 4 4 2 4 3" xfId="7363"/>
    <cellStyle name="集計 14 4 4 2 5" xfId="7364"/>
    <cellStyle name="集計 14 4 4 2 6" xfId="7365"/>
    <cellStyle name="集計 14 4 4 3" xfId="7366"/>
    <cellStyle name="集計 14 4 4 3 2" xfId="7367"/>
    <cellStyle name="集計 14 4 4 3 3" xfId="7368"/>
    <cellStyle name="集計 14 4 4 4" xfId="7369"/>
    <cellStyle name="集計 14 4 4 4 2" xfId="7370"/>
    <cellStyle name="集計 14 4 4 4 3" xfId="7371"/>
    <cellStyle name="集計 14 4 4 5" xfId="7372"/>
    <cellStyle name="集計 14 4 4 5 2" xfId="7373"/>
    <cellStyle name="集計 14 4 4 5 3" xfId="7374"/>
    <cellStyle name="集計 14 4 4 6" xfId="7375"/>
    <cellStyle name="集計 14 4 4 7" xfId="7376"/>
    <cellStyle name="集計 14 4 5" xfId="7377"/>
    <cellStyle name="集計 14 4 5 2" xfId="7378"/>
    <cellStyle name="集計 14 4 5 2 2" xfId="7379"/>
    <cellStyle name="集計 14 4 5 2 3" xfId="7380"/>
    <cellStyle name="集計 14 4 5 3" xfId="7381"/>
    <cellStyle name="集計 14 4 5 3 2" xfId="7382"/>
    <cellStyle name="集計 14 4 5 3 3" xfId="7383"/>
    <cellStyle name="集計 14 4 5 4" xfId="7384"/>
    <cellStyle name="集計 14 4 5 4 2" xfId="7385"/>
    <cellStyle name="集計 14 4 5 4 3" xfId="7386"/>
    <cellStyle name="集計 14 4 5 5" xfId="7387"/>
    <cellStyle name="集計 14 4 5 6" xfId="7388"/>
    <cellStyle name="集計 14 4 6" xfId="7389"/>
    <cellStyle name="集計 14 4 6 2" xfId="7390"/>
    <cellStyle name="集計 14 4 6 3" xfId="7391"/>
    <cellStyle name="集計 14 4 7" xfId="7392"/>
    <cellStyle name="集計 14 4 7 2" xfId="7393"/>
    <cellStyle name="集計 14 4 7 3" xfId="7394"/>
    <cellStyle name="集計 14 4 8" xfId="7395"/>
    <cellStyle name="集計 14 4 8 2" xfId="7396"/>
    <cellStyle name="集計 14 4 8 3" xfId="7397"/>
    <cellStyle name="集計 14 4 9" xfId="7398"/>
    <cellStyle name="集計 14 5" xfId="7399"/>
    <cellStyle name="集計 14 5 10" xfId="7400"/>
    <cellStyle name="集計 14 5 2" xfId="7401"/>
    <cellStyle name="集計 14 5 2 2" xfId="7402"/>
    <cellStyle name="集計 14 5 2 2 2" xfId="7403"/>
    <cellStyle name="集計 14 5 2 2 2 2" xfId="7404"/>
    <cellStyle name="集計 14 5 2 2 2 2 2" xfId="7405"/>
    <cellStyle name="集計 14 5 2 2 2 2 3" xfId="7406"/>
    <cellStyle name="集計 14 5 2 2 2 3" xfId="7407"/>
    <cellStyle name="集計 14 5 2 2 2 3 2" xfId="7408"/>
    <cellStyle name="集計 14 5 2 2 2 3 3" xfId="7409"/>
    <cellStyle name="集計 14 5 2 2 2 4" xfId="7410"/>
    <cellStyle name="集計 14 5 2 2 2 4 2" xfId="7411"/>
    <cellStyle name="集計 14 5 2 2 2 4 3" xfId="7412"/>
    <cellStyle name="集計 14 5 2 2 2 5" xfId="7413"/>
    <cellStyle name="集計 14 5 2 2 2 6" xfId="7414"/>
    <cellStyle name="集計 14 5 2 2 3" xfId="7415"/>
    <cellStyle name="集計 14 5 2 2 3 2" xfId="7416"/>
    <cellStyle name="集計 14 5 2 2 3 3" xfId="7417"/>
    <cellStyle name="集計 14 5 2 2 4" xfId="7418"/>
    <cellStyle name="集計 14 5 2 2 4 2" xfId="7419"/>
    <cellStyle name="集計 14 5 2 2 4 3" xfId="7420"/>
    <cellStyle name="集計 14 5 2 2 5" xfId="7421"/>
    <cellStyle name="集計 14 5 2 2 5 2" xfId="7422"/>
    <cellStyle name="集計 14 5 2 2 5 3" xfId="7423"/>
    <cellStyle name="集計 14 5 2 2 6" xfId="7424"/>
    <cellStyle name="集計 14 5 2 2 7" xfId="7425"/>
    <cellStyle name="集計 14 5 2 3" xfId="7426"/>
    <cellStyle name="集計 14 5 2 3 2" xfId="7427"/>
    <cellStyle name="集計 14 5 2 3 2 2" xfId="7428"/>
    <cellStyle name="集計 14 5 2 3 2 2 2" xfId="7429"/>
    <cellStyle name="集計 14 5 2 3 2 2 3" xfId="7430"/>
    <cellStyle name="集計 14 5 2 3 2 3" xfId="7431"/>
    <cellStyle name="集計 14 5 2 3 2 3 2" xfId="7432"/>
    <cellStyle name="集計 14 5 2 3 2 3 3" xfId="7433"/>
    <cellStyle name="集計 14 5 2 3 2 4" xfId="7434"/>
    <cellStyle name="集計 14 5 2 3 2 4 2" xfId="7435"/>
    <cellStyle name="集計 14 5 2 3 2 4 3" xfId="7436"/>
    <cellStyle name="集計 14 5 2 3 2 5" xfId="7437"/>
    <cellStyle name="集計 14 5 2 3 2 6" xfId="7438"/>
    <cellStyle name="集計 14 5 2 3 3" xfId="7439"/>
    <cellStyle name="集計 14 5 2 3 3 2" xfId="7440"/>
    <cellStyle name="集計 14 5 2 3 3 3" xfId="7441"/>
    <cellStyle name="集計 14 5 2 3 4" xfId="7442"/>
    <cellStyle name="集計 14 5 2 3 4 2" xfId="7443"/>
    <cellStyle name="集計 14 5 2 3 4 3" xfId="7444"/>
    <cellStyle name="集計 14 5 2 3 5" xfId="7445"/>
    <cellStyle name="集計 14 5 2 3 5 2" xfId="7446"/>
    <cellStyle name="集計 14 5 2 3 5 3" xfId="7447"/>
    <cellStyle name="集計 14 5 2 3 6" xfId="7448"/>
    <cellStyle name="集計 14 5 2 3 7" xfId="7449"/>
    <cellStyle name="集計 14 5 2 4" xfId="7450"/>
    <cellStyle name="集計 14 5 2 4 2" xfId="7451"/>
    <cellStyle name="集計 14 5 2 4 2 2" xfId="7452"/>
    <cellStyle name="集計 14 5 2 4 2 3" xfId="7453"/>
    <cellStyle name="集計 14 5 2 4 3" xfId="7454"/>
    <cellStyle name="集計 14 5 2 4 3 2" xfId="7455"/>
    <cellStyle name="集計 14 5 2 4 3 3" xfId="7456"/>
    <cellStyle name="集計 14 5 2 4 4" xfId="7457"/>
    <cellStyle name="集計 14 5 2 4 4 2" xfId="7458"/>
    <cellStyle name="集計 14 5 2 4 4 3" xfId="7459"/>
    <cellStyle name="集計 14 5 2 4 5" xfId="7460"/>
    <cellStyle name="集計 14 5 2 4 6" xfId="7461"/>
    <cellStyle name="集計 14 5 2 5" xfId="7462"/>
    <cellStyle name="集計 14 5 2 5 2" xfId="7463"/>
    <cellStyle name="集計 14 5 2 5 3" xfId="7464"/>
    <cellStyle name="集計 14 5 2 6" xfId="7465"/>
    <cellStyle name="集計 14 5 2 6 2" xfId="7466"/>
    <cellStyle name="集計 14 5 2 6 3" xfId="7467"/>
    <cellStyle name="集計 14 5 2 7" xfId="7468"/>
    <cellStyle name="集計 14 5 2 7 2" xfId="7469"/>
    <cellStyle name="集計 14 5 2 7 3" xfId="7470"/>
    <cellStyle name="集計 14 5 2 8" xfId="7471"/>
    <cellStyle name="集計 14 5 2 9" xfId="7472"/>
    <cellStyle name="集計 14 5 3" xfId="7473"/>
    <cellStyle name="集計 14 5 3 2" xfId="7474"/>
    <cellStyle name="集計 14 5 3 2 2" xfId="7475"/>
    <cellStyle name="集計 14 5 3 2 2 2" xfId="7476"/>
    <cellStyle name="集計 14 5 3 2 2 3" xfId="7477"/>
    <cellStyle name="集計 14 5 3 2 3" xfId="7478"/>
    <cellStyle name="集計 14 5 3 2 3 2" xfId="7479"/>
    <cellStyle name="集計 14 5 3 2 3 3" xfId="7480"/>
    <cellStyle name="集計 14 5 3 2 4" xfId="7481"/>
    <cellStyle name="集計 14 5 3 2 4 2" xfId="7482"/>
    <cellStyle name="集計 14 5 3 2 4 3" xfId="7483"/>
    <cellStyle name="集計 14 5 3 2 5" xfId="7484"/>
    <cellStyle name="集計 14 5 3 2 6" xfId="7485"/>
    <cellStyle name="集計 14 5 3 3" xfId="7486"/>
    <cellStyle name="集計 14 5 3 3 2" xfId="7487"/>
    <cellStyle name="集計 14 5 3 3 3" xfId="7488"/>
    <cellStyle name="集計 14 5 3 4" xfId="7489"/>
    <cellStyle name="集計 14 5 3 4 2" xfId="7490"/>
    <cellStyle name="集計 14 5 3 4 3" xfId="7491"/>
    <cellStyle name="集計 14 5 3 5" xfId="7492"/>
    <cellStyle name="集計 14 5 3 5 2" xfId="7493"/>
    <cellStyle name="集計 14 5 3 5 3" xfId="7494"/>
    <cellStyle name="集計 14 5 3 6" xfId="7495"/>
    <cellStyle name="集計 14 5 3 7" xfId="7496"/>
    <cellStyle name="集計 14 5 4" xfId="7497"/>
    <cellStyle name="集計 14 5 4 2" xfId="7498"/>
    <cellStyle name="集計 14 5 4 2 2" xfId="7499"/>
    <cellStyle name="集計 14 5 4 2 2 2" xfId="7500"/>
    <cellStyle name="集計 14 5 4 2 2 3" xfId="7501"/>
    <cellStyle name="集計 14 5 4 2 3" xfId="7502"/>
    <cellStyle name="集計 14 5 4 2 3 2" xfId="7503"/>
    <cellStyle name="集計 14 5 4 2 3 3" xfId="7504"/>
    <cellStyle name="集計 14 5 4 2 4" xfId="7505"/>
    <cellStyle name="集計 14 5 4 2 4 2" xfId="7506"/>
    <cellStyle name="集計 14 5 4 2 4 3" xfId="7507"/>
    <cellStyle name="集計 14 5 4 2 5" xfId="7508"/>
    <cellStyle name="集計 14 5 4 2 6" xfId="7509"/>
    <cellStyle name="集計 14 5 4 3" xfId="7510"/>
    <cellStyle name="集計 14 5 4 3 2" xfId="7511"/>
    <cellStyle name="集計 14 5 4 3 3" xfId="7512"/>
    <cellStyle name="集計 14 5 4 4" xfId="7513"/>
    <cellStyle name="集計 14 5 4 4 2" xfId="7514"/>
    <cellStyle name="集計 14 5 4 4 3" xfId="7515"/>
    <cellStyle name="集計 14 5 4 5" xfId="7516"/>
    <cellStyle name="集計 14 5 4 5 2" xfId="7517"/>
    <cellStyle name="集計 14 5 4 5 3" xfId="7518"/>
    <cellStyle name="集計 14 5 4 6" xfId="7519"/>
    <cellStyle name="集計 14 5 4 7" xfId="7520"/>
    <cellStyle name="集計 14 5 5" xfId="7521"/>
    <cellStyle name="集計 14 5 5 2" xfId="7522"/>
    <cellStyle name="集計 14 5 5 2 2" xfId="7523"/>
    <cellStyle name="集計 14 5 5 2 3" xfId="7524"/>
    <cellStyle name="集計 14 5 5 3" xfId="7525"/>
    <cellStyle name="集計 14 5 5 3 2" xfId="7526"/>
    <cellStyle name="集計 14 5 5 3 3" xfId="7527"/>
    <cellStyle name="集計 14 5 5 4" xfId="7528"/>
    <cellStyle name="集計 14 5 5 4 2" xfId="7529"/>
    <cellStyle name="集計 14 5 5 4 3" xfId="7530"/>
    <cellStyle name="集計 14 5 5 5" xfId="7531"/>
    <cellStyle name="集計 14 5 5 6" xfId="7532"/>
    <cellStyle name="集計 14 5 6" xfId="7533"/>
    <cellStyle name="集計 14 5 6 2" xfId="7534"/>
    <cellStyle name="集計 14 5 6 3" xfId="7535"/>
    <cellStyle name="集計 14 5 7" xfId="7536"/>
    <cellStyle name="集計 14 5 7 2" xfId="7537"/>
    <cellStyle name="集計 14 5 7 3" xfId="7538"/>
    <cellStyle name="集計 14 5 8" xfId="7539"/>
    <cellStyle name="集計 14 5 8 2" xfId="7540"/>
    <cellStyle name="集計 14 5 8 3" xfId="7541"/>
    <cellStyle name="集計 14 5 9" xfId="7542"/>
    <cellStyle name="集計 14 6" xfId="7543"/>
    <cellStyle name="集計 14 6 10" xfId="7544"/>
    <cellStyle name="集計 14 6 2" xfId="7545"/>
    <cellStyle name="集計 14 6 2 2" xfId="7546"/>
    <cellStyle name="集計 14 6 2 2 2" xfId="7547"/>
    <cellStyle name="集計 14 6 2 2 2 2" xfId="7548"/>
    <cellStyle name="集計 14 6 2 2 2 2 2" xfId="7549"/>
    <cellStyle name="集計 14 6 2 2 2 2 3" xfId="7550"/>
    <cellStyle name="集計 14 6 2 2 2 3" xfId="7551"/>
    <cellStyle name="集計 14 6 2 2 2 3 2" xfId="7552"/>
    <cellStyle name="集計 14 6 2 2 2 3 3" xfId="7553"/>
    <cellStyle name="集計 14 6 2 2 2 4" xfId="7554"/>
    <cellStyle name="集計 14 6 2 2 2 4 2" xfId="7555"/>
    <cellStyle name="集計 14 6 2 2 2 4 3" xfId="7556"/>
    <cellStyle name="集計 14 6 2 2 2 5" xfId="7557"/>
    <cellStyle name="集計 14 6 2 2 2 6" xfId="7558"/>
    <cellStyle name="集計 14 6 2 2 3" xfId="7559"/>
    <cellStyle name="集計 14 6 2 2 3 2" xfId="7560"/>
    <cellStyle name="集計 14 6 2 2 3 3" xfId="7561"/>
    <cellStyle name="集計 14 6 2 2 4" xfId="7562"/>
    <cellStyle name="集計 14 6 2 2 4 2" xfId="7563"/>
    <cellStyle name="集計 14 6 2 2 4 3" xfId="7564"/>
    <cellStyle name="集計 14 6 2 2 5" xfId="7565"/>
    <cellStyle name="集計 14 6 2 2 5 2" xfId="7566"/>
    <cellStyle name="集計 14 6 2 2 5 3" xfId="7567"/>
    <cellStyle name="集計 14 6 2 2 6" xfId="7568"/>
    <cellStyle name="集計 14 6 2 2 7" xfId="7569"/>
    <cellStyle name="集計 14 6 2 3" xfId="7570"/>
    <cellStyle name="集計 14 6 2 3 2" xfId="7571"/>
    <cellStyle name="集計 14 6 2 3 2 2" xfId="7572"/>
    <cellStyle name="集計 14 6 2 3 2 2 2" xfId="7573"/>
    <cellStyle name="集計 14 6 2 3 2 2 3" xfId="7574"/>
    <cellStyle name="集計 14 6 2 3 2 3" xfId="7575"/>
    <cellStyle name="集計 14 6 2 3 2 3 2" xfId="7576"/>
    <cellStyle name="集計 14 6 2 3 2 3 3" xfId="7577"/>
    <cellStyle name="集計 14 6 2 3 2 4" xfId="7578"/>
    <cellStyle name="集計 14 6 2 3 2 4 2" xfId="7579"/>
    <cellStyle name="集計 14 6 2 3 2 4 3" xfId="7580"/>
    <cellStyle name="集計 14 6 2 3 2 5" xfId="7581"/>
    <cellStyle name="集計 14 6 2 3 2 6" xfId="7582"/>
    <cellStyle name="集計 14 6 2 3 3" xfId="7583"/>
    <cellStyle name="集計 14 6 2 3 3 2" xfId="7584"/>
    <cellStyle name="集計 14 6 2 3 3 3" xfId="7585"/>
    <cellStyle name="集計 14 6 2 3 4" xfId="7586"/>
    <cellStyle name="集計 14 6 2 3 4 2" xfId="7587"/>
    <cellStyle name="集計 14 6 2 3 4 3" xfId="7588"/>
    <cellStyle name="集計 14 6 2 3 5" xfId="7589"/>
    <cellStyle name="集計 14 6 2 3 5 2" xfId="7590"/>
    <cellStyle name="集計 14 6 2 3 5 3" xfId="7591"/>
    <cellStyle name="集計 14 6 2 3 6" xfId="7592"/>
    <cellStyle name="集計 14 6 2 3 7" xfId="7593"/>
    <cellStyle name="集計 14 6 2 4" xfId="7594"/>
    <cellStyle name="集計 14 6 2 4 2" xfId="7595"/>
    <cellStyle name="集計 14 6 2 4 2 2" xfId="7596"/>
    <cellStyle name="集計 14 6 2 4 2 3" xfId="7597"/>
    <cellStyle name="集計 14 6 2 4 3" xfId="7598"/>
    <cellStyle name="集計 14 6 2 4 3 2" xfId="7599"/>
    <cellStyle name="集計 14 6 2 4 3 3" xfId="7600"/>
    <cellStyle name="集計 14 6 2 4 4" xfId="7601"/>
    <cellStyle name="集計 14 6 2 4 4 2" xfId="7602"/>
    <cellStyle name="集計 14 6 2 4 4 3" xfId="7603"/>
    <cellStyle name="集計 14 6 2 4 5" xfId="7604"/>
    <cellStyle name="集計 14 6 2 4 6" xfId="7605"/>
    <cellStyle name="集計 14 6 2 5" xfId="7606"/>
    <cellStyle name="集計 14 6 2 5 2" xfId="7607"/>
    <cellStyle name="集計 14 6 2 5 3" xfId="7608"/>
    <cellStyle name="集計 14 6 2 6" xfId="7609"/>
    <cellStyle name="集計 14 6 2 6 2" xfId="7610"/>
    <cellStyle name="集計 14 6 2 6 3" xfId="7611"/>
    <cellStyle name="集計 14 6 2 7" xfId="7612"/>
    <cellStyle name="集計 14 6 2 7 2" xfId="7613"/>
    <cellStyle name="集計 14 6 2 7 3" xfId="7614"/>
    <cellStyle name="集計 14 6 2 8" xfId="7615"/>
    <cellStyle name="集計 14 6 2 9" xfId="7616"/>
    <cellStyle name="集計 14 6 3" xfId="7617"/>
    <cellStyle name="集計 14 6 3 2" xfId="7618"/>
    <cellStyle name="集計 14 6 3 2 2" xfId="7619"/>
    <cellStyle name="集計 14 6 3 2 2 2" xfId="7620"/>
    <cellStyle name="集計 14 6 3 2 2 3" xfId="7621"/>
    <cellStyle name="集計 14 6 3 2 3" xfId="7622"/>
    <cellStyle name="集計 14 6 3 2 3 2" xfId="7623"/>
    <cellStyle name="集計 14 6 3 2 3 3" xfId="7624"/>
    <cellStyle name="集計 14 6 3 2 4" xfId="7625"/>
    <cellStyle name="集計 14 6 3 2 4 2" xfId="7626"/>
    <cellStyle name="集計 14 6 3 2 4 3" xfId="7627"/>
    <cellStyle name="集計 14 6 3 2 5" xfId="7628"/>
    <cellStyle name="集計 14 6 3 2 6" xfId="7629"/>
    <cellStyle name="集計 14 6 3 3" xfId="7630"/>
    <cellStyle name="集計 14 6 3 3 2" xfId="7631"/>
    <cellStyle name="集計 14 6 3 3 3" xfId="7632"/>
    <cellStyle name="集計 14 6 3 4" xfId="7633"/>
    <cellStyle name="集計 14 6 3 4 2" xfId="7634"/>
    <cellStyle name="集計 14 6 3 4 3" xfId="7635"/>
    <cellStyle name="集計 14 6 3 5" xfId="7636"/>
    <cellStyle name="集計 14 6 3 5 2" xfId="7637"/>
    <cellStyle name="集計 14 6 3 5 3" xfId="7638"/>
    <cellStyle name="集計 14 6 3 6" xfId="7639"/>
    <cellStyle name="集計 14 6 3 7" xfId="7640"/>
    <cellStyle name="集計 14 6 4" xfId="7641"/>
    <cellStyle name="集計 14 6 4 2" xfId="7642"/>
    <cellStyle name="集計 14 6 4 2 2" xfId="7643"/>
    <cellStyle name="集計 14 6 4 2 2 2" xfId="7644"/>
    <cellStyle name="集計 14 6 4 2 2 3" xfId="7645"/>
    <cellStyle name="集計 14 6 4 2 3" xfId="7646"/>
    <cellStyle name="集計 14 6 4 2 3 2" xfId="7647"/>
    <cellStyle name="集計 14 6 4 2 3 3" xfId="7648"/>
    <cellStyle name="集計 14 6 4 2 4" xfId="7649"/>
    <cellStyle name="集計 14 6 4 2 4 2" xfId="7650"/>
    <cellStyle name="集計 14 6 4 2 4 3" xfId="7651"/>
    <cellStyle name="集計 14 6 4 2 5" xfId="7652"/>
    <cellStyle name="集計 14 6 4 2 6" xfId="7653"/>
    <cellStyle name="集計 14 6 4 3" xfId="7654"/>
    <cellStyle name="集計 14 6 4 3 2" xfId="7655"/>
    <cellStyle name="集計 14 6 4 3 3" xfId="7656"/>
    <cellStyle name="集計 14 6 4 4" xfId="7657"/>
    <cellStyle name="集計 14 6 4 4 2" xfId="7658"/>
    <cellStyle name="集計 14 6 4 4 3" xfId="7659"/>
    <cellStyle name="集計 14 6 4 5" xfId="7660"/>
    <cellStyle name="集計 14 6 4 5 2" xfId="7661"/>
    <cellStyle name="集計 14 6 4 5 3" xfId="7662"/>
    <cellStyle name="集計 14 6 4 6" xfId="7663"/>
    <cellStyle name="集計 14 6 4 7" xfId="7664"/>
    <cellStyle name="集計 14 6 5" xfId="7665"/>
    <cellStyle name="集計 14 6 5 2" xfId="7666"/>
    <cellStyle name="集計 14 6 5 2 2" xfId="7667"/>
    <cellStyle name="集計 14 6 5 2 3" xfId="7668"/>
    <cellStyle name="集計 14 6 5 3" xfId="7669"/>
    <cellStyle name="集計 14 6 5 3 2" xfId="7670"/>
    <cellStyle name="集計 14 6 5 3 3" xfId="7671"/>
    <cellStyle name="集計 14 6 5 4" xfId="7672"/>
    <cellStyle name="集計 14 6 5 4 2" xfId="7673"/>
    <cellStyle name="集計 14 6 5 4 3" xfId="7674"/>
    <cellStyle name="集計 14 6 5 5" xfId="7675"/>
    <cellStyle name="集計 14 6 5 6" xfId="7676"/>
    <cellStyle name="集計 14 6 6" xfId="7677"/>
    <cellStyle name="集計 14 6 6 2" xfId="7678"/>
    <cellStyle name="集計 14 6 6 3" xfId="7679"/>
    <cellStyle name="集計 14 6 7" xfId="7680"/>
    <cellStyle name="集計 14 6 7 2" xfId="7681"/>
    <cellStyle name="集計 14 6 7 3" xfId="7682"/>
    <cellStyle name="集計 14 6 8" xfId="7683"/>
    <cellStyle name="集計 14 6 8 2" xfId="7684"/>
    <cellStyle name="集計 14 6 8 3" xfId="7685"/>
    <cellStyle name="集計 14 6 9" xfId="7686"/>
    <cellStyle name="集計 14 7" xfId="7687"/>
    <cellStyle name="集計 14 7 2" xfId="7688"/>
    <cellStyle name="集計 14 7 2 2" xfId="7689"/>
    <cellStyle name="集計 14 7 2 2 2" xfId="7690"/>
    <cellStyle name="集計 14 7 2 2 3" xfId="7691"/>
    <cellStyle name="集計 14 7 2 3" xfId="7692"/>
    <cellStyle name="集計 14 7 2 3 2" xfId="7693"/>
    <cellStyle name="集計 14 7 2 3 3" xfId="7694"/>
    <cellStyle name="集計 14 7 2 4" xfId="7695"/>
    <cellStyle name="集計 14 7 2 4 2" xfId="7696"/>
    <cellStyle name="集計 14 7 2 4 3" xfId="7697"/>
    <cellStyle name="集計 14 7 2 5" xfId="7698"/>
    <cellStyle name="集計 14 7 2 6" xfId="7699"/>
    <cellStyle name="集計 14 7 3" xfId="7700"/>
    <cellStyle name="集計 14 7 3 2" xfId="7701"/>
    <cellStyle name="集計 14 7 3 3" xfId="7702"/>
    <cellStyle name="集計 14 7 4" xfId="7703"/>
    <cellStyle name="集計 14 7 4 2" xfId="7704"/>
    <cellStyle name="集計 14 7 4 3" xfId="7705"/>
    <cellStyle name="集計 14 7 5" xfId="7706"/>
    <cellStyle name="集計 14 7 5 2" xfId="7707"/>
    <cellStyle name="集計 14 7 5 3" xfId="7708"/>
    <cellStyle name="集計 14 7 6" xfId="7709"/>
    <cellStyle name="集計 14 7 7" xfId="7710"/>
    <cellStyle name="集計 14 8" xfId="7711"/>
    <cellStyle name="集計 14 8 2" xfId="7712"/>
    <cellStyle name="集計 14 8 2 2" xfId="7713"/>
    <cellStyle name="集計 14 8 2 2 2" xfId="7714"/>
    <cellStyle name="集計 14 8 2 2 3" xfId="7715"/>
    <cellStyle name="集計 14 8 2 3" xfId="7716"/>
    <cellStyle name="集計 14 8 2 3 2" xfId="7717"/>
    <cellStyle name="集計 14 8 2 3 3" xfId="7718"/>
    <cellStyle name="集計 14 8 2 4" xfId="7719"/>
    <cellStyle name="集計 14 8 2 4 2" xfId="7720"/>
    <cellStyle name="集計 14 8 2 4 3" xfId="7721"/>
    <cellStyle name="集計 14 8 2 5" xfId="7722"/>
    <cellStyle name="集計 14 8 2 6" xfId="7723"/>
    <cellStyle name="集計 14 8 3" xfId="7724"/>
    <cellStyle name="集計 14 8 3 2" xfId="7725"/>
    <cellStyle name="集計 14 8 3 3" xfId="7726"/>
    <cellStyle name="集計 14 8 4" xfId="7727"/>
    <cellStyle name="集計 14 8 4 2" xfId="7728"/>
    <cellStyle name="集計 14 8 4 3" xfId="7729"/>
    <cellStyle name="集計 14 8 5" xfId="7730"/>
    <cellStyle name="集計 14 8 5 2" xfId="7731"/>
    <cellStyle name="集計 14 8 5 3" xfId="7732"/>
    <cellStyle name="集計 14 8 6" xfId="7733"/>
    <cellStyle name="集計 14 8 7" xfId="7734"/>
    <cellStyle name="集計 14 9" xfId="7735"/>
    <cellStyle name="集計 14 9 2" xfId="7736"/>
    <cellStyle name="集計 14 9 2 2" xfId="7737"/>
    <cellStyle name="集計 14 9 2 3" xfId="7738"/>
    <cellStyle name="集計 14 9 3" xfId="7739"/>
    <cellStyle name="集計 14 9 3 2" xfId="7740"/>
    <cellStyle name="集計 14 9 3 3" xfId="7741"/>
    <cellStyle name="集計 14 9 4" xfId="7742"/>
    <cellStyle name="集計 14 9 4 2" xfId="7743"/>
    <cellStyle name="集計 14 9 4 3" xfId="7744"/>
    <cellStyle name="集計 14 9 5" xfId="7745"/>
    <cellStyle name="集計 14 9 6" xfId="7746"/>
    <cellStyle name="集計 15" xfId="7747"/>
    <cellStyle name="集計 15 10" xfId="7748"/>
    <cellStyle name="集計 15 10 2" xfId="7749"/>
    <cellStyle name="集計 15 10 3" xfId="7750"/>
    <cellStyle name="集計 15 11" xfId="7751"/>
    <cellStyle name="集計 15 11 2" xfId="7752"/>
    <cellStyle name="集計 15 11 3" xfId="7753"/>
    <cellStyle name="集計 15 12" xfId="7754"/>
    <cellStyle name="集計 15 12 2" xfId="7755"/>
    <cellStyle name="集計 15 12 3" xfId="7756"/>
    <cellStyle name="集計 15 13" xfId="7757"/>
    <cellStyle name="集計 15 14" xfId="7758"/>
    <cellStyle name="集計 15 2" xfId="7759"/>
    <cellStyle name="集計 15 2 10" xfId="7760"/>
    <cellStyle name="集計 15 2 2" xfId="7761"/>
    <cellStyle name="集計 15 2 2 10" xfId="7762"/>
    <cellStyle name="集計 15 2 2 2" xfId="7763"/>
    <cellStyle name="集計 15 2 2 2 2" xfId="7764"/>
    <cellStyle name="集計 15 2 2 2 2 2" xfId="7765"/>
    <cellStyle name="集計 15 2 2 2 2 2 2" xfId="7766"/>
    <cellStyle name="集計 15 2 2 2 2 2 2 2" xfId="7767"/>
    <cellStyle name="集計 15 2 2 2 2 2 2 3" xfId="7768"/>
    <cellStyle name="集計 15 2 2 2 2 2 3" xfId="7769"/>
    <cellStyle name="集計 15 2 2 2 2 2 3 2" xfId="7770"/>
    <cellStyle name="集計 15 2 2 2 2 2 3 3" xfId="7771"/>
    <cellStyle name="集計 15 2 2 2 2 2 4" xfId="7772"/>
    <cellStyle name="集計 15 2 2 2 2 2 4 2" xfId="7773"/>
    <cellStyle name="集計 15 2 2 2 2 2 4 3" xfId="7774"/>
    <cellStyle name="集計 15 2 2 2 2 2 5" xfId="7775"/>
    <cellStyle name="集計 15 2 2 2 2 2 6" xfId="7776"/>
    <cellStyle name="集計 15 2 2 2 2 3" xfId="7777"/>
    <cellStyle name="集計 15 2 2 2 2 3 2" xfId="7778"/>
    <cellStyle name="集計 15 2 2 2 2 3 3" xfId="7779"/>
    <cellStyle name="集計 15 2 2 2 2 4" xfId="7780"/>
    <cellStyle name="集計 15 2 2 2 2 4 2" xfId="7781"/>
    <cellStyle name="集計 15 2 2 2 2 4 3" xfId="7782"/>
    <cellStyle name="集計 15 2 2 2 2 5" xfId="7783"/>
    <cellStyle name="集計 15 2 2 2 2 5 2" xfId="7784"/>
    <cellStyle name="集計 15 2 2 2 2 5 3" xfId="7785"/>
    <cellStyle name="集計 15 2 2 2 2 6" xfId="7786"/>
    <cellStyle name="集計 15 2 2 2 2 7" xfId="7787"/>
    <cellStyle name="集計 15 2 2 2 3" xfId="7788"/>
    <cellStyle name="集計 15 2 2 2 3 2" xfId="7789"/>
    <cellStyle name="集計 15 2 2 2 3 2 2" xfId="7790"/>
    <cellStyle name="集計 15 2 2 2 3 2 2 2" xfId="7791"/>
    <cellStyle name="集計 15 2 2 2 3 2 2 3" xfId="7792"/>
    <cellStyle name="集計 15 2 2 2 3 2 3" xfId="7793"/>
    <cellStyle name="集計 15 2 2 2 3 2 3 2" xfId="7794"/>
    <cellStyle name="集計 15 2 2 2 3 2 3 3" xfId="7795"/>
    <cellStyle name="集計 15 2 2 2 3 2 4" xfId="7796"/>
    <cellStyle name="集計 15 2 2 2 3 2 4 2" xfId="7797"/>
    <cellStyle name="集計 15 2 2 2 3 2 4 3" xfId="7798"/>
    <cellStyle name="集計 15 2 2 2 3 2 5" xfId="7799"/>
    <cellStyle name="集計 15 2 2 2 3 2 6" xfId="7800"/>
    <cellStyle name="集計 15 2 2 2 3 3" xfId="7801"/>
    <cellStyle name="集計 15 2 2 2 3 3 2" xfId="7802"/>
    <cellStyle name="集計 15 2 2 2 3 3 3" xfId="7803"/>
    <cellStyle name="集計 15 2 2 2 3 4" xfId="7804"/>
    <cellStyle name="集計 15 2 2 2 3 4 2" xfId="7805"/>
    <cellStyle name="集計 15 2 2 2 3 4 3" xfId="7806"/>
    <cellStyle name="集計 15 2 2 2 3 5" xfId="7807"/>
    <cellStyle name="集計 15 2 2 2 3 5 2" xfId="7808"/>
    <cellStyle name="集計 15 2 2 2 3 5 3" xfId="7809"/>
    <cellStyle name="集計 15 2 2 2 3 6" xfId="7810"/>
    <cellStyle name="集計 15 2 2 2 3 7" xfId="7811"/>
    <cellStyle name="集計 15 2 2 2 4" xfId="7812"/>
    <cellStyle name="集計 15 2 2 2 4 2" xfId="7813"/>
    <cellStyle name="集計 15 2 2 2 4 2 2" xfId="7814"/>
    <cellStyle name="集計 15 2 2 2 4 2 3" xfId="7815"/>
    <cellStyle name="集計 15 2 2 2 4 3" xfId="7816"/>
    <cellStyle name="集計 15 2 2 2 4 3 2" xfId="7817"/>
    <cellStyle name="集計 15 2 2 2 4 3 3" xfId="7818"/>
    <cellStyle name="集計 15 2 2 2 4 4" xfId="7819"/>
    <cellStyle name="集計 15 2 2 2 4 4 2" xfId="7820"/>
    <cellStyle name="集計 15 2 2 2 4 4 3" xfId="7821"/>
    <cellStyle name="集計 15 2 2 2 4 5" xfId="7822"/>
    <cellStyle name="集計 15 2 2 2 4 6" xfId="7823"/>
    <cellStyle name="集計 15 2 2 2 5" xfId="7824"/>
    <cellStyle name="集計 15 2 2 2 5 2" xfId="7825"/>
    <cellStyle name="集計 15 2 2 2 5 3" xfId="7826"/>
    <cellStyle name="集計 15 2 2 2 6" xfId="7827"/>
    <cellStyle name="集計 15 2 2 2 6 2" xfId="7828"/>
    <cellStyle name="集計 15 2 2 2 6 3" xfId="7829"/>
    <cellStyle name="集計 15 2 2 2 7" xfId="7830"/>
    <cellStyle name="集計 15 2 2 2 7 2" xfId="7831"/>
    <cellStyle name="集計 15 2 2 2 7 3" xfId="7832"/>
    <cellStyle name="集計 15 2 2 2 8" xfId="7833"/>
    <cellStyle name="集計 15 2 2 2 9" xfId="7834"/>
    <cellStyle name="集計 15 2 2 3" xfId="7835"/>
    <cellStyle name="集計 15 2 2 3 2" xfId="7836"/>
    <cellStyle name="集計 15 2 2 3 2 2" xfId="7837"/>
    <cellStyle name="集計 15 2 2 3 2 2 2" xfId="7838"/>
    <cellStyle name="集計 15 2 2 3 2 2 3" xfId="7839"/>
    <cellStyle name="集計 15 2 2 3 2 3" xfId="7840"/>
    <cellStyle name="集計 15 2 2 3 2 3 2" xfId="7841"/>
    <cellStyle name="集計 15 2 2 3 2 3 3" xfId="7842"/>
    <cellStyle name="集計 15 2 2 3 2 4" xfId="7843"/>
    <cellStyle name="集計 15 2 2 3 2 4 2" xfId="7844"/>
    <cellStyle name="集計 15 2 2 3 2 4 3" xfId="7845"/>
    <cellStyle name="集計 15 2 2 3 2 5" xfId="7846"/>
    <cellStyle name="集計 15 2 2 3 2 6" xfId="7847"/>
    <cellStyle name="集計 15 2 2 3 3" xfId="7848"/>
    <cellStyle name="集計 15 2 2 3 3 2" xfId="7849"/>
    <cellStyle name="集計 15 2 2 3 3 3" xfId="7850"/>
    <cellStyle name="集計 15 2 2 3 4" xfId="7851"/>
    <cellStyle name="集計 15 2 2 3 4 2" xfId="7852"/>
    <cellStyle name="集計 15 2 2 3 4 3" xfId="7853"/>
    <cellStyle name="集計 15 2 2 3 5" xfId="7854"/>
    <cellStyle name="集計 15 2 2 3 5 2" xfId="7855"/>
    <cellStyle name="集計 15 2 2 3 5 3" xfId="7856"/>
    <cellStyle name="集計 15 2 2 3 6" xfId="7857"/>
    <cellStyle name="集計 15 2 2 3 7" xfId="7858"/>
    <cellStyle name="集計 15 2 2 4" xfId="7859"/>
    <cellStyle name="集計 15 2 2 4 2" xfId="7860"/>
    <cellStyle name="集計 15 2 2 4 2 2" xfId="7861"/>
    <cellStyle name="集計 15 2 2 4 2 2 2" xfId="7862"/>
    <cellStyle name="集計 15 2 2 4 2 2 3" xfId="7863"/>
    <cellStyle name="集計 15 2 2 4 2 3" xfId="7864"/>
    <cellStyle name="集計 15 2 2 4 2 3 2" xfId="7865"/>
    <cellStyle name="集計 15 2 2 4 2 3 3" xfId="7866"/>
    <cellStyle name="集計 15 2 2 4 2 4" xfId="7867"/>
    <cellStyle name="集計 15 2 2 4 2 4 2" xfId="7868"/>
    <cellStyle name="集計 15 2 2 4 2 4 3" xfId="7869"/>
    <cellStyle name="集計 15 2 2 4 2 5" xfId="7870"/>
    <cellStyle name="集計 15 2 2 4 2 6" xfId="7871"/>
    <cellStyle name="集計 15 2 2 4 3" xfId="7872"/>
    <cellStyle name="集計 15 2 2 4 3 2" xfId="7873"/>
    <cellStyle name="集計 15 2 2 4 3 3" xfId="7874"/>
    <cellStyle name="集計 15 2 2 4 4" xfId="7875"/>
    <cellStyle name="集計 15 2 2 4 4 2" xfId="7876"/>
    <cellStyle name="集計 15 2 2 4 4 3" xfId="7877"/>
    <cellStyle name="集計 15 2 2 4 5" xfId="7878"/>
    <cellStyle name="集計 15 2 2 4 5 2" xfId="7879"/>
    <cellStyle name="集計 15 2 2 4 5 3" xfId="7880"/>
    <cellStyle name="集計 15 2 2 4 6" xfId="7881"/>
    <cellStyle name="集計 15 2 2 4 7" xfId="7882"/>
    <cellStyle name="集計 15 2 2 5" xfId="7883"/>
    <cellStyle name="集計 15 2 2 5 2" xfId="7884"/>
    <cellStyle name="集計 15 2 2 5 2 2" xfId="7885"/>
    <cellStyle name="集計 15 2 2 5 2 3" xfId="7886"/>
    <cellStyle name="集計 15 2 2 5 3" xfId="7887"/>
    <cellStyle name="集計 15 2 2 5 3 2" xfId="7888"/>
    <cellStyle name="集計 15 2 2 5 3 3" xfId="7889"/>
    <cellStyle name="集計 15 2 2 5 4" xfId="7890"/>
    <cellStyle name="集計 15 2 2 5 4 2" xfId="7891"/>
    <cellStyle name="集計 15 2 2 5 4 3" xfId="7892"/>
    <cellStyle name="集計 15 2 2 5 5" xfId="7893"/>
    <cellStyle name="集計 15 2 2 5 6" xfId="7894"/>
    <cellStyle name="集計 15 2 2 6" xfId="7895"/>
    <cellStyle name="集計 15 2 2 6 2" xfId="7896"/>
    <cellStyle name="集計 15 2 2 6 3" xfId="7897"/>
    <cellStyle name="集計 15 2 2 7" xfId="7898"/>
    <cellStyle name="集計 15 2 2 7 2" xfId="7899"/>
    <cellStyle name="集計 15 2 2 7 3" xfId="7900"/>
    <cellStyle name="集計 15 2 2 8" xfId="7901"/>
    <cellStyle name="集計 15 2 2 8 2" xfId="7902"/>
    <cellStyle name="集計 15 2 2 8 3" xfId="7903"/>
    <cellStyle name="集計 15 2 2 9" xfId="7904"/>
    <cellStyle name="集計 15 2 3" xfId="7905"/>
    <cellStyle name="集計 15 2 3 2" xfId="7906"/>
    <cellStyle name="集計 15 2 3 2 2" xfId="7907"/>
    <cellStyle name="集計 15 2 3 2 2 2" xfId="7908"/>
    <cellStyle name="集計 15 2 3 2 2 3" xfId="7909"/>
    <cellStyle name="集計 15 2 3 2 3" xfId="7910"/>
    <cellStyle name="集計 15 2 3 2 3 2" xfId="7911"/>
    <cellStyle name="集計 15 2 3 2 3 3" xfId="7912"/>
    <cellStyle name="集計 15 2 3 2 4" xfId="7913"/>
    <cellStyle name="集計 15 2 3 2 4 2" xfId="7914"/>
    <cellStyle name="集計 15 2 3 2 4 3" xfId="7915"/>
    <cellStyle name="集計 15 2 3 2 5" xfId="7916"/>
    <cellStyle name="集計 15 2 3 2 6" xfId="7917"/>
    <cellStyle name="集計 15 2 3 3" xfId="7918"/>
    <cellStyle name="集計 15 2 3 3 2" xfId="7919"/>
    <cellStyle name="集計 15 2 3 3 3" xfId="7920"/>
    <cellStyle name="集計 15 2 3 4" xfId="7921"/>
    <cellStyle name="集計 15 2 3 4 2" xfId="7922"/>
    <cellStyle name="集計 15 2 3 4 3" xfId="7923"/>
    <cellStyle name="集計 15 2 3 5" xfId="7924"/>
    <cellStyle name="集計 15 2 3 5 2" xfId="7925"/>
    <cellStyle name="集計 15 2 3 5 3" xfId="7926"/>
    <cellStyle name="集計 15 2 3 6" xfId="7927"/>
    <cellStyle name="集計 15 2 3 7" xfId="7928"/>
    <cellStyle name="集計 15 2 4" xfId="7929"/>
    <cellStyle name="集計 15 2 4 2" xfId="7930"/>
    <cellStyle name="集計 15 2 4 2 2" xfId="7931"/>
    <cellStyle name="集計 15 2 4 2 2 2" xfId="7932"/>
    <cellStyle name="集計 15 2 4 2 2 3" xfId="7933"/>
    <cellStyle name="集計 15 2 4 2 3" xfId="7934"/>
    <cellStyle name="集計 15 2 4 2 3 2" xfId="7935"/>
    <cellStyle name="集計 15 2 4 2 3 3" xfId="7936"/>
    <cellStyle name="集計 15 2 4 2 4" xfId="7937"/>
    <cellStyle name="集計 15 2 4 2 4 2" xfId="7938"/>
    <cellStyle name="集計 15 2 4 2 4 3" xfId="7939"/>
    <cellStyle name="集計 15 2 4 2 5" xfId="7940"/>
    <cellStyle name="集計 15 2 4 2 6" xfId="7941"/>
    <cellStyle name="集計 15 2 4 3" xfId="7942"/>
    <cellStyle name="集計 15 2 4 3 2" xfId="7943"/>
    <cellStyle name="集計 15 2 4 3 3" xfId="7944"/>
    <cellStyle name="集計 15 2 4 4" xfId="7945"/>
    <cellStyle name="集計 15 2 4 4 2" xfId="7946"/>
    <cellStyle name="集計 15 2 4 4 3" xfId="7947"/>
    <cellStyle name="集計 15 2 4 5" xfId="7948"/>
    <cellStyle name="集計 15 2 4 5 2" xfId="7949"/>
    <cellStyle name="集計 15 2 4 5 3" xfId="7950"/>
    <cellStyle name="集計 15 2 4 6" xfId="7951"/>
    <cellStyle name="集計 15 2 4 7" xfId="7952"/>
    <cellStyle name="集計 15 2 5" xfId="7953"/>
    <cellStyle name="集計 15 2 5 2" xfId="7954"/>
    <cellStyle name="集計 15 2 5 2 2" xfId="7955"/>
    <cellStyle name="集計 15 2 5 2 3" xfId="7956"/>
    <cellStyle name="集計 15 2 5 3" xfId="7957"/>
    <cellStyle name="集計 15 2 5 3 2" xfId="7958"/>
    <cellStyle name="集計 15 2 5 3 3" xfId="7959"/>
    <cellStyle name="集計 15 2 5 4" xfId="7960"/>
    <cellStyle name="集計 15 2 5 4 2" xfId="7961"/>
    <cellStyle name="集計 15 2 5 4 3" xfId="7962"/>
    <cellStyle name="集計 15 2 5 5" xfId="7963"/>
    <cellStyle name="集計 15 2 5 6" xfId="7964"/>
    <cellStyle name="集計 15 2 6" xfId="7965"/>
    <cellStyle name="集計 15 2 6 2" xfId="7966"/>
    <cellStyle name="集計 15 2 6 3" xfId="7967"/>
    <cellStyle name="集計 15 2 7" xfId="7968"/>
    <cellStyle name="集計 15 2 7 2" xfId="7969"/>
    <cellStyle name="集計 15 2 7 3" xfId="7970"/>
    <cellStyle name="集計 15 2 8" xfId="7971"/>
    <cellStyle name="集計 15 2 8 2" xfId="7972"/>
    <cellStyle name="集計 15 2 8 3" xfId="7973"/>
    <cellStyle name="集計 15 2 9" xfId="7974"/>
    <cellStyle name="集計 15 3" xfId="7975"/>
    <cellStyle name="集計 15 3 10" xfId="7976"/>
    <cellStyle name="集計 15 3 2" xfId="7977"/>
    <cellStyle name="集計 15 3 2 10" xfId="7978"/>
    <cellStyle name="集計 15 3 2 2" xfId="7979"/>
    <cellStyle name="集計 15 3 2 2 2" xfId="7980"/>
    <cellStyle name="集計 15 3 2 2 2 2" xfId="7981"/>
    <cellStyle name="集計 15 3 2 2 2 2 2" xfId="7982"/>
    <cellStyle name="集計 15 3 2 2 2 2 2 2" xfId="7983"/>
    <cellStyle name="集計 15 3 2 2 2 2 2 3" xfId="7984"/>
    <cellStyle name="集計 15 3 2 2 2 2 3" xfId="7985"/>
    <cellStyle name="集計 15 3 2 2 2 2 3 2" xfId="7986"/>
    <cellStyle name="集計 15 3 2 2 2 2 3 3" xfId="7987"/>
    <cellStyle name="集計 15 3 2 2 2 2 4" xfId="7988"/>
    <cellStyle name="集計 15 3 2 2 2 2 4 2" xfId="7989"/>
    <cellStyle name="集計 15 3 2 2 2 2 4 3" xfId="7990"/>
    <cellStyle name="集計 15 3 2 2 2 2 5" xfId="7991"/>
    <cellStyle name="集計 15 3 2 2 2 2 6" xfId="7992"/>
    <cellStyle name="集計 15 3 2 2 2 3" xfId="7993"/>
    <cellStyle name="集計 15 3 2 2 2 3 2" xfId="7994"/>
    <cellStyle name="集計 15 3 2 2 2 3 3" xfId="7995"/>
    <cellStyle name="集計 15 3 2 2 2 4" xfId="7996"/>
    <cellStyle name="集計 15 3 2 2 2 4 2" xfId="7997"/>
    <cellStyle name="集計 15 3 2 2 2 4 3" xfId="7998"/>
    <cellStyle name="集計 15 3 2 2 2 5" xfId="7999"/>
    <cellStyle name="集計 15 3 2 2 2 5 2" xfId="8000"/>
    <cellStyle name="集計 15 3 2 2 2 5 3" xfId="8001"/>
    <cellStyle name="集計 15 3 2 2 2 6" xfId="8002"/>
    <cellStyle name="集計 15 3 2 2 2 7" xfId="8003"/>
    <cellStyle name="集計 15 3 2 2 3" xfId="8004"/>
    <cellStyle name="集計 15 3 2 2 3 2" xfId="8005"/>
    <cellStyle name="集計 15 3 2 2 3 2 2" xfId="8006"/>
    <cellStyle name="集計 15 3 2 2 3 2 2 2" xfId="8007"/>
    <cellStyle name="集計 15 3 2 2 3 2 2 3" xfId="8008"/>
    <cellStyle name="集計 15 3 2 2 3 2 3" xfId="8009"/>
    <cellStyle name="集計 15 3 2 2 3 2 3 2" xfId="8010"/>
    <cellStyle name="集計 15 3 2 2 3 2 3 3" xfId="8011"/>
    <cellStyle name="集計 15 3 2 2 3 2 4" xfId="8012"/>
    <cellStyle name="集計 15 3 2 2 3 2 4 2" xfId="8013"/>
    <cellStyle name="集計 15 3 2 2 3 2 4 3" xfId="8014"/>
    <cellStyle name="集計 15 3 2 2 3 2 5" xfId="8015"/>
    <cellStyle name="集計 15 3 2 2 3 2 6" xfId="8016"/>
    <cellStyle name="集計 15 3 2 2 3 3" xfId="8017"/>
    <cellStyle name="集計 15 3 2 2 3 3 2" xfId="8018"/>
    <cellStyle name="集計 15 3 2 2 3 3 3" xfId="8019"/>
    <cellStyle name="集計 15 3 2 2 3 4" xfId="8020"/>
    <cellStyle name="集計 15 3 2 2 3 4 2" xfId="8021"/>
    <cellStyle name="集計 15 3 2 2 3 4 3" xfId="8022"/>
    <cellStyle name="集計 15 3 2 2 3 5" xfId="8023"/>
    <cellStyle name="集計 15 3 2 2 3 5 2" xfId="8024"/>
    <cellStyle name="集計 15 3 2 2 3 5 3" xfId="8025"/>
    <cellStyle name="集計 15 3 2 2 3 6" xfId="8026"/>
    <cellStyle name="集計 15 3 2 2 3 7" xfId="8027"/>
    <cellStyle name="集計 15 3 2 2 4" xfId="8028"/>
    <cellStyle name="集計 15 3 2 2 4 2" xfId="8029"/>
    <cellStyle name="集計 15 3 2 2 4 2 2" xfId="8030"/>
    <cellStyle name="集計 15 3 2 2 4 2 3" xfId="8031"/>
    <cellStyle name="集計 15 3 2 2 4 3" xfId="8032"/>
    <cellStyle name="集計 15 3 2 2 4 3 2" xfId="8033"/>
    <cellStyle name="集計 15 3 2 2 4 3 3" xfId="8034"/>
    <cellStyle name="集計 15 3 2 2 4 4" xfId="8035"/>
    <cellStyle name="集計 15 3 2 2 4 4 2" xfId="8036"/>
    <cellStyle name="集計 15 3 2 2 4 4 3" xfId="8037"/>
    <cellStyle name="集計 15 3 2 2 4 5" xfId="8038"/>
    <cellStyle name="集計 15 3 2 2 4 6" xfId="8039"/>
    <cellStyle name="集計 15 3 2 2 5" xfId="8040"/>
    <cellStyle name="集計 15 3 2 2 5 2" xfId="8041"/>
    <cellStyle name="集計 15 3 2 2 5 3" xfId="8042"/>
    <cellStyle name="集計 15 3 2 2 6" xfId="8043"/>
    <cellStyle name="集計 15 3 2 2 6 2" xfId="8044"/>
    <cellStyle name="集計 15 3 2 2 6 3" xfId="8045"/>
    <cellStyle name="集計 15 3 2 2 7" xfId="8046"/>
    <cellStyle name="集計 15 3 2 2 7 2" xfId="8047"/>
    <cellStyle name="集計 15 3 2 2 7 3" xfId="8048"/>
    <cellStyle name="集計 15 3 2 2 8" xfId="8049"/>
    <cellStyle name="集計 15 3 2 2 9" xfId="8050"/>
    <cellStyle name="集計 15 3 2 3" xfId="8051"/>
    <cellStyle name="集計 15 3 2 3 2" xfId="8052"/>
    <cellStyle name="集計 15 3 2 3 2 2" xfId="8053"/>
    <cellStyle name="集計 15 3 2 3 2 2 2" xfId="8054"/>
    <cellStyle name="集計 15 3 2 3 2 2 3" xfId="8055"/>
    <cellStyle name="集計 15 3 2 3 2 3" xfId="8056"/>
    <cellStyle name="集計 15 3 2 3 2 3 2" xfId="8057"/>
    <cellStyle name="集計 15 3 2 3 2 3 3" xfId="8058"/>
    <cellStyle name="集計 15 3 2 3 2 4" xfId="8059"/>
    <cellStyle name="集計 15 3 2 3 2 4 2" xfId="8060"/>
    <cellStyle name="集計 15 3 2 3 2 4 3" xfId="8061"/>
    <cellStyle name="集計 15 3 2 3 2 5" xfId="8062"/>
    <cellStyle name="集計 15 3 2 3 2 6" xfId="8063"/>
    <cellStyle name="集計 15 3 2 3 3" xfId="8064"/>
    <cellStyle name="集計 15 3 2 3 3 2" xfId="8065"/>
    <cellStyle name="集計 15 3 2 3 3 3" xfId="8066"/>
    <cellStyle name="集計 15 3 2 3 4" xfId="8067"/>
    <cellStyle name="集計 15 3 2 3 4 2" xfId="8068"/>
    <cellStyle name="集計 15 3 2 3 4 3" xfId="8069"/>
    <cellStyle name="集計 15 3 2 3 5" xfId="8070"/>
    <cellStyle name="集計 15 3 2 3 5 2" xfId="8071"/>
    <cellStyle name="集計 15 3 2 3 5 3" xfId="8072"/>
    <cellStyle name="集計 15 3 2 3 6" xfId="8073"/>
    <cellStyle name="集計 15 3 2 3 7" xfId="8074"/>
    <cellStyle name="集計 15 3 2 4" xfId="8075"/>
    <cellStyle name="集計 15 3 2 4 2" xfId="8076"/>
    <cellStyle name="集計 15 3 2 4 2 2" xfId="8077"/>
    <cellStyle name="集計 15 3 2 4 2 2 2" xfId="8078"/>
    <cellStyle name="集計 15 3 2 4 2 2 3" xfId="8079"/>
    <cellStyle name="集計 15 3 2 4 2 3" xfId="8080"/>
    <cellStyle name="集計 15 3 2 4 2 3 2" xfId="8081"/>
    <cellStyle name="集計 15 3 2 4 2 3 3" xfId="8082"/>
    <cellStyle name="集計 15 3 2 4 2 4" xfId="8083"/>
    <cellStyle name="集計 15 3 2 4 2 4 2" xfId="8084"/>
    <cellStyle name="集計 15 3 2 4 2 4 3" xfId="8085"/>
    <cellStyle name="集計 15 3 2 4 2 5" xfId="8086"/>
    <cellStyle name="集計 15 3 2 4 2 6" xfId="8087"/>
    <cellStyle name="集計 15 3 2 4 3" xfId="8088"/>
    <cellStyle name="集計 15 3 2 4 3 2" xfId="8089"/>
    <cellStyle name="集計 15 3 2 4 3 3" xfId="8090"/>
    <cellStyle name="集計 15 3 2 4 4" xfId="8091"/>
    <cellStyle name="集計 15 3 2 4 4 2" xfId="8092"/>
    <cellStyle name="集計 15 3 2 4 4 3" xfId="8093"/>
    <cellStyle name="集計 15 3 2 4 5" xfId="8094"/>
    <cellStyle name="集計 15 3 2 4 5 2" xfId="8095"/>
    <cellStyle name="集計 15 3 2 4 5 3" xfId="8096"/>
    <cellStyle name="集計 15 3 2 4 6" xfId="8097"/>
    <cellStyle name="集計 15 3 2 4 7" xfId="8098"/>
    <cellStyle name="集計 15 3 2 5" xfId="8099"/>
    <cellStyle name="集計 15 3 2 5 2" xfId="8100"/>
    <cellStyle name="集計 15 3 2 5 2 2" xfId="8101"/>
    <cellStyle name="集計 15 3 2 5 2 3" xfId="8102"/>
    <cellStyle name="集計 15 3 2 5 3" xfId="8103"/>
    <cellStyle name="集計 15 3 2 5 3 2" xfId="8104"/>
    <cellStyle name="集計 15 3 2 5 3 3" xfId="8105"/>
    <cellStyle name="集計 15 3 2 5 4" xfId="8106"/>
    <cellStyle name="集計 15 3 2 5 4 2" xfId="8107"/>
    <cellStyle name="集計 15 3 2 5 4 3" xfId="8108"/>
    <cellStyle name="集計 15 3 2 5 5" xfId="8109"/>
    <cellStyle name="集計 15 3 2 5 6" xfId="8110"/>
    <cellStyle name="集計 15 3 2 6" xfId="8111"/>
    <cellStyle name="集計 15 3 2 6 2" xfId="8112"/>
    <cellStyle name="集計 15 3 2 6 3" xfId="8113"/>
    <cellStyle name="集計 15 3 2 7" xfId="8114"/>
    <cellStyle name="集計 15 3 2 7 2" xfId="8115"/>
    <cellStyle name="集計 15 3 2 7 3" xfId="8116"/>
    <cellStyle name="集計 15 3 2 8" xfId="8117"/>
    <cellStyle name="集計 15 3 2 8 2" xfId="8118"/>
    <cellStyle name="集計 15 3 2 8 3" xfId="8119"/>
    <cellStyle name="集計 15 3 2 9" xfId="8120"/>
    <cellStyle name="集計 15 3 3" xfId="8121"/>
    <cellStyle name="集計 15 3 3 2" xfId="8122"/>
    <cellStyle name="集計 15 3 3 2 2" xfId="8123"/>
    <cellStyle name="集計 15 3 3 2 2 2" xfId="8124"/>
    <cellStyle name="集計 15 3 3 2 2 3" xfId="8125"/>
    <cellStyle name="集計 15 3 3 2 3" xfId="8126"/>
    <cellStyle name="集計 15 3 3 2 3 2" xfId="8127"/>
    <cellStyle name="集計 15 3 3 2 3 3" xfId="8128"/>
    <cellStyle name="集計 15 3 3 2 4" xfId="8129"/>
    <cellStyle name="集計 15 3 3 2 4 2" xfId="8130"/>
    <cellStyle name="集計 15 3 3 2 4 3" xfId="8131"/>
    <cellStyle name="集計 15 3 3 2 5" xfId="8132"/>
    <cellStyle name="集計 15 3 3 2 6" xfId="8133"/>
    <cellStyle name="集計 15 3 3 3" xfId="8134"/>
    <cellStyle name="集計 15 3 3 3 2" xfId="8135"/>
    <cellStyle name="集計 15 3 3 3 3" xfId="8136"/>
    <cellStyle name="集計 15 3 3 4" xfId="8137"/>
    <cellStyle name="集計 15 3 3 4 2" xfId="8138"/>
    <cellStyle name="集計 15 3 3 4 3" xfId="8139"/>
    <cellStyle name="集計 15 3 3 5" xfId="8140"/>
    <cellStyle name="集計 15 3 3 5 2" xfId="8141"/>
    <cellStyle name="集計 15 3 3 5 3" xfId="8142"/>
    <cellStyle name="集計 15 3 3 6" xfId="8143"/>
    <cellStyle name="集計 15 3 3 7" xfId="8144"/>
    <cellStyle name="集計 15 3 4" xfId="8145"/>
    <cellStyle name="集計 15 3 4 2" xfId="8146"/>
    <cellStyle name="集計 15 3 4 2 2" xfId="8147"/>
    <cellStyle name="集計 15 3 4 2 2 2" xfId="8148"/>
    <cellStyle name="集計 15 3 4 2 2 3" xfId="8149"/>
    <cellStyle name="集計 15 3 4 2 3" xfId="8150"/>
    <cellStyle name="集計 15 3 4 2 3 2" xfId="8151"/>
    <cellStyle name="集計 15 3 4 2 3 3" xfId="8152"/>
    <cellStyle name="集計 15 3 4 2 4" xfId="8153"/>
    <cellStyle name="集計 15 3 4 2 4 2" xfId="8154"/>
    <cellStyle name="集計 15 3 4 2 4 3" xfId="8155"/>
    <cellStyle name="集計 15 3 4 2 5" xfId="8156"/>
    <cellStyle name="集計 15 3 4 2 6" xfId="8157"/>
    <cellStyle name="集計 15 3 4 3" xfId="8158"/>
    <cellStyle name="集計 15 3 4 3 2" xfId="8159"/>
    <cellStyle name="集計 15 3 4 3 3" xfId="8160"/>
    <cellStyle name="集計 15 3 4 4" xfId="8161"/>
    <cellStyle name="集計 15 3 4 4 2" xfId="8162"/>
    <cellStyle name="集計 15 3 4 4 3" xfId="8163"/>
    <cellStyle name="集計 15 3 4 5" xfId="8164"/>
    <cellStyle name="集計 15 3 4 5 2" xfId="8165"/>
    <cellStyle name="集計 15 3 4 5 3" xfId="8166"/>
    <cellStyle name="集計 15 3 4 6" xfId="8167"/>
    <cellStyle name="集計 15 3 4 7" xfId="8168"/>
    <cellStyle name="集計 15 3 5" xfId="8169"/>
    <cellStyle name="集計 15 3 5 2" xfId="8170"/>
    <cellStyle name="集計 15 3 5 2 2" xfId="8171"/>
    <cellStyle name="集計 15 3 5 2 3" xfId="8172"/>
    <cellStyle name="集計 15 3 5 3" xfId="8173"/>
    <cellStyle name="集計 15 3 5 3 2" xfId="8174"/>
    <cellStyle name="集計 15 3 5 3 3" xfId="8175"/>
    <cellStyle name="集計 15 3 5 4" xfId="8176"/>
    <cellStyle name="集計 15 3 5 4 2" xfId="8177"/>
    <cellStyle name="集計 15 3 5 4 3" xfId="8178"/>
    <cellStyle name="集計 15 3 5 5" xfId="8179"/>
    <cellStyle name="集計 15 3 5 6" xfId="8180"/>
    <cellStyle name="集計 15 3 6" xfId="8181"/>
    <cellStyle name="集計 15 3 6 2" xfId="8182"/>
    <cellStyle name="集計 15 3 6 3" xfId="8183"/>
    <cellStyle name="集計 15 3 7" xfId="8184"/>
    <cellStyle name="集計 15 3 7 2" xfId="8185"/>
    <cellStyle name="集計 15 3 7 3" xfId="8186"/>
    <cellStyle name="集計 15 3 8" xfId="8187"/>
    <cellStyle name="集計 15 3 8 2" xfId="8188"/>
    <cellStyle name="集計 15 3 8 3" xfId="8189"/>
    <cellStyle name="集計 15 3 9" xfId="8190"/>
    <cellStyle name="集計 15 4" xfId="8191"/>
    <cellStyle name="集計 15 4 10" xfId="8192"/>
    <cellStyle name="集計 15 4 2" xfId="8193"/>
    <cellStyle name="集計 15 4 2 10" xfId="8194"/>
    <cellStyle name="集計 15 4 2 2" xfId="8195"/>
    <cellStyle name="集計 15 4 2 2 2" xfId="8196"/>
    <cellStyle name="集計 15 4 2 2 2 2" xfId="8197"/>
    <cellStyle name="集計 15 4 2 2 2 2 2" xfId="8198"/>
    <cellStyle name="集計 15 4 2 2 2 2 2 2" xfId="8199"/>
    <cellStyle name="集計 15 4 2 2 2 2 2 3" xfId="8200"/>
    <cellStyle name="集計 15 4 2 2 2 2 3" xfId="8201"/>
    <cellStyle name="集計 15 4 2 2 2 2 3 2" xfId="8202"/>
    <cellStyle name="集計 15 4 2 2 2 2 3 3" xfId="8203"/>
    <cellStyle name="集計 15 4 2 2 2 2 4" xfId="8204"/>
    <cellStyle name="集計 15 4 2 2 2 2 4 2" xfId="8205"/>
    <cellStyle name="集計 15 4 2 2 2 2 4 3" xfId="8206"/>
    <cellStyle name="集計 15 4 2 2 2 2 5" xfId="8207"/>
    <cellStyle name="集計 15 4 2 2 2 2 6" xfId="8208"/>
    <cellStyle name="集計 15 4 2 2 2 3" xfId="8209"/>
    <cellStyle name="集計 15 4 2 2 2 3 2" xfId="8210"/>
    <cellStyle name="集計 15 4 2 2 2 3 3" xfId="8211"/>
    <cellStyle name="集計 15 4 2 2 2 4" xfId="8212"/>
    <cellStyle name="集計 15 4 2 2 2 4 2" xfId="8213"/>
    <cellStyle name="集計 15 4 2 2 2 4 3" xfId="8214"/>
    <cellStyle name="集計 15 4 2 2 2 5" xfId="8215"/>
    <cellStyle name="集計 15 4 2 2 2 5 2" xfId="8216"/>
    <cellStyle name="集計 15 4 2 2 2 5 3" xfId="8217"/>
    <cellStyle name="集計 15 4 2 2 2 6" xfId="8218"/>
    <cellStyle name="集計 15 4 2 2 2 7" xfId="8219"/>
    <cellStyle name="集計 15 4 2 2 3" xfId="8220"/>
    <cellStyle name="集計 15 4 2 2 3 2" xfId="8221"/>
    <cellStyle name="集計 15 4 2 2 3 2 2" xfId="8222"/>
    <cellStyle name="集計 15 4 2 2 3 2 2 2" xfId="8223"/>
    <cellStyle name="集計 15 4 2 2 3 2 2 3" xfId="8224"/>
    <cellStyle name="集計 15 4 2 2 3 2 3" xfId="8225"/>
    <cellStyle name="集計 15 4 2 2 3 2 3 2" xfId="8226"/>
    <cellStyle name="集計 15 4 2 2 3 2 3 3" xfId="8227"/>
    <cellStyle name="集計 15 4 2 2 3 2 4" xfId="8228"/>
    <cellStyle name="集計 15 4 2 2 3 2 4 2" xfId="8229"/>
    <cellStyle name="集計 15 4 2 2 3 2 4 3" xfId="8230"/>
    <cellStyle name="集計 15 4 2 2 3 2 5" xfId="8231"/>
    <cellStyle name="集計 15 4 2 2 3 2 6" xfId="8232"/>
    <cellStyle name="集計 15 4 2 2 3 3" xfId="8233"/>
    <cellStyle name="集計 15 4 2 2 3 3 2" xfId="8234"/>
    <cellStyle name="集計 15 4 2 2 3 3 3" xfId="8235"/>
    <cellStyle name="集計 15 4 2 2 3 4" xfId="8236"/>
    <cellStyle name="集計 15 4 2 2 3 4 2" xfId="8237"/>
    <cellStyle name="集計 15 4 2 2 3 4 3" xfId="8238"/>
    <cellStyle name="集計 15 4 2 2 3 5" xfId="8239"/>
    <cellStyle name="集計 15 4 2 2 3 5 2" xfId="8240"/>
    <cellStyle name="集計 15 4 2 2 3 5 3" xfId="8241"/>
    <cellStyle name="集計 15 4 2 2 3 6" xfId="8242"/>
    <cellStyle name="集計 15 4 2 2 3 7" xfId="8243"/>
    <cellStyle name="集計 15 4 2 2 4" xfId="8244"/>
    <cellStyle name="集計 15 4 2 2 4 2" xfId="8245"/>
    <cellStyle name="集計 15 4 2 2 4 2 2" xfId="8246"/>
    <cellStyle name="集計 15 4 2 2 4 2 3" xfId="8247"/>
    <cellStyle name="集計 15 4 2 2 4 3" xfId="8248"/>
    <cellStyle name="集計 15 4 2 2 4 3 2" xfId="8249"/>
    <cellStyle name="集計 15 4 2 2 4 3 3" xfId="8250"/>
    <cellStyle name="集計 15 4 2 2 4 4" xfId="8251"/>
    <cellStyle name="集計 15 4 2 2 4 4 2" xfId="8252"/>
    <cellStyle name="集計 15 4 2 2 4 4 3" xfId="8253"/>
    <cellStyle name="集計 15 4 2 2 4 5" xfId="8254"/>
    <cellStyle name="集計 15 4 2 2 4 6" xfId="8255"/>
    <cellStyle name="集計 15 4 2 2 5" xfId="8256"/>
    <cellStyle name="集計 15 4 2 2 5 2" xfId="8257"/>
    <cellStyle name="集計 15 4 2 2 5 3" xfId="8258"/>
    <cellStyle name="集計 15 4 2 2 6" xfId="8259"/>
    <cellStyle name="集計 15 4 2 2 6 2" xfId="8260"/>
    <cellStyle name="集計 15 4 2 2 6 3" xfId="8261"/>
    <cellStyle name="集計 15 4 2 2 7" xfId="8262"/>
    <cellStyle name="集計 15 4 2 2 7 2" xfId="8263"/>
    <cellStyle name="集計 15 4 2 2 7 3" xfId="8264"/>
    <cellStyle name="集計 15 4 2 2 8" xfId="8265"/>
    <cellStyle name="集計 15 4 2 2 9" xfId="8266"/>
    <cellStyle name="集計 15 4 2 3" xfId="8267"/>
    <cellStyle name="集計 15 4 2 3 2" xfId="8268"/>
    <cellStyle name="集計 15 4 2 3 2 2" xfId="8269"/>
    <cellStyle name="集計 15 4 2 3 2 2 2" xfId="8270"/>
    <cellStyle name="集計 15 4 2 3 2 2 3" xfId="8271"/>
    <cellStyle name="集計 15 4 2 3 2 3" xfId="8272"/>
    <cellStyle name="集計 15 4 2 3 2 3 2" xfId="8273"/>
    <cellStyle name="集計 15 4 2 3 2 3 3" xfId="8274"/>
    <cellStyle name="集計 15 4 2 3 2 4" xfId="8275"/>
    <cellStyle name="集計 15 4 2 3 2 4 2" xfId="8276"/>
    <cellStyle name="集計 15 4 2 3 2 4 3" xfId="8277"/>
    <cellStyle name="集計 15 4 2 3 2 5" xfId="8278"/>
    <cellStyle name="集計 15 4 2 3 2 6" xfId="8279"/>
    <cellStyle name="集計 15 4 2 3 3" xfId="8280"/>
    <cellStyle name="集計 15 4 2 3 3 2" xfId="8281"/>
    <cellStyle name="集計 15 4 2 3 3 3" xfId="8282"/>
    <cellStyle name="集計 15 4 2 3 4" xfId="8283"/>
    <cellStyle name="集計 15 4 2 3 4 2" xfId="8284"/>
    <cellStyle name="集計 15 4 2 3 4 3" xfId="8285"/>
    <cellStyle name="集計 15 4 2 3 5" xfId="8286"/>
    <cellStyle name="集計 15 4 2 3 5 2" xfId="8287"/>
    <cellStyle name="集計 15 4 2 3 5 3" xfId="8288"/>
    <cellStyle name="集計 15 4 2 3 6" xfId="8289"/>
    <cellStyle name="集計 15 4 2 3 7" xfId="8290"/>
    <cellStyle name="集計 15 4 2 4" xfId="8291"/>
    <cellStyle name="集計 15 4 2 4 2" xfId="8292"/>
    <cellStyle name="集計 15 4 2 4 2 2" xfId="8293"/>
    <cellStyle name="集計 15 4 2 4 2 2 2" xfId="8294"/>
    <cellStyle name="集計 15 4 2 4 2 2 3" xfId="8295"/>
    <cellStyle name="集計 15 4 2 4 2 3" xfId="8296"/>
    <cellStyle name="集計 15 4 2 4 2 3 2" xfId="8297"/>
    <cellStyle name="集計 15 4 2 4 2 3 3" xfId="8298"/>
    <cellStyle name="集計 15 4 2 4 2 4" xfId="8299"/>
    <cellStyle name="集計 15 4 2 4 2 4 2" xfId="8300"/>
    <cellStyle name="集計 15 4 2 4 2 4 3" xfId="8301"/>
    <cellStyle name="集計 15 4 2 4 2 5" xfId="8302"/>
    <cellStyle name="集計 15 4 2 4 2 6" xfId="8303"/>
    <cellStyle name="集計 15 4 2 4 3" xfId="8304"/>
    <cellStyle name="集計 15 4 2 4 3 2" xfId="8305"/>
    <cellStyle name="集計 15 4 2 4 3 3" xfId="8306"/>
    <cellStyle name="集計 15 4 2 4 4" xfId="8307"/>
    <cellStyle name="集計 15 4 2 4 4 2" xfId="8308"/>
    <cellStyle name="集計 15 4 2 4 4 3" xfId="8309"/>
    <cellStyle name="集計 15 4 2 4 5" xfId="8310"/>
    <cellStyle name="集計 15 4 2 4 5 2" xfId="8311"/>
    <cellStyle name="集計 15 4 2 4 5 3" xfId="8312"/>
    <cellStyle name="集計 15 4 2 4 6" xfId="8313"/>
    <cellStyle name="集計 15 4 2 4 7" xfId="8314"/>
    <cellStyle name="集計 15 4 2 5" xfId="8315"/>
    <cellStyle name="集計 15 4 2 5 2" xfId="8316"/>
    <cellStyle name="集計 15 4 2 5 2 2" xfId="8317"/>
    <cellStyle name="集計 15 4 2 5 2 3" xfId="8318"/>
    <cellStyle name="集計 15 4 2 5 3" xfId="8319"/>
    <cellStyle name="集計 15 4 2 5 3 2" xfId="8320"/>
    <cellStyle name="集計 15 4 2 5 3 3" xfId="8321"/>
    <cellStyle name="集計 15 4 2 5 4" xfId="8322"/>
    <cellStyle name="集計 15 4 2 5 4 2" xfId="8323"/>
    <cellStyle name="集計 15 4 2 5 4 3" xfId="8324"/>
    <cellStyle name="集計 15 4 2 5 5" xfId="8325"/>
    <cellStyle name="集計 15 4 2 5 6" xfId="8326"/>
    <cellStyle name="集計 15 4 2 6" xfId="8327"/>
    <cellStyle name="集計 15 4 2 6 2" xfId="8328"/>
    <cellStyle name="集計 15 4 2 6 3" xfId="8329"/>
    <cellStyle name="集計 15 4 2 7" xfId="8330"/>
    <cellStyle name="集計 15 4 2 7 2" xfId="8331"/>
    <cellStyle name="集計 15 4 2 7 3" xfId="8332"/>
    <cellStyle name="集計 15 4 2 8" xfId="8333"/>
    <cellStyle name="集計 15 4 2 8 2" xfId="8334"/>
    <cellStyle name="集計 15 4 2 8 3" xfId="8335"/>
    <cellStyle name="集計 15 4 2 9" xfId="8336"/>
    <cellStyle name="集計 15 4 3" xfId="8337"/>
    <cellStyle name="集計 15 4 3 2" xfId="8338"/>
    <cellStyle name="集計 15 4 3 2 2" xfId="8339"/>
    <cellStyle name="集計 15 4 3 2 2 2" xfId="8340"/>
    <cellStyle name="集計 15 4 3 2 2 3" xfId="8341"/>
    <cellStyle name="集計 15 4 3 2 3" xfId="8342"/>
    <cellStyle name="集計 15 4 3 2 3 2" xfId="8343"/>
    <cellStyle name="集計 15 4 3 2 3 3" xfId="8344"/>
    <cellStyle name="集計 15 4 3 2 4" xfId="8345"/>
    <cellStyle name="集計 15 4 3 2 4 2" xfId="8346"/>
    <cellStyle name="集計 15 4 3 2 4 3" xfId="8347"/>
    <cellStyle name="集計 15 4 3 2 5" xfId="8348"/>
    <cellStyle name="集計 15 4 3 2 6" xfId="8349"/>
    <cellStyle name="集計 15 4 3 3" xfId="8350"/>
    <cellStyle name="集計 15 4 3 3 2" xfId="8351"/>
    <cellStyle name="集計 15 4 3 3 3" xfId="8352"/>
    <cellStyle name="集計 15 4 3 4" xfId="8353"/>
    <cellStyle name="集計 15 4 3 4 2" xfId="8354"/>
    <cellStyle name="集計 15 4 3 4 3" xfId="8355"/>
    <cellStyle name="集計 15 4 3 5" xfId="8356"/>
    <cellStyle name="集計 15 4 3 5 2" xfId="8357"/>
    <cellStyle name="集計 15 4 3 5 3" xfId="8358"/>
    <cellStyle name="集計 15 4 3 6" xfId="8359"/>
    <cellStyle name="集計 15 4 3 7" xfId="8360"/>
    <cellStyle name="集計 15 4 4" xfId="8361"/>
    <cellStyle name="集計 15 4 4 2" xfId="8362"/>
    <cellStyle name="集計 15 4 4 2 2" xfId="8363"/>
    <cellStyle name="集計 15 4 4 2 2 2" xfId="8364"/>
    <cellStyle name="集計 15 4 4 2 2 3" xfId="8365"/>
    <cellStyle name="集計 15 4 4 2 3" xfId="8366"/>
    <cellStyle name="集計 15 4 4 2 3 2" xfId="8367"/>
    <cellStyle name="集計 15 4 4 2 3 3" xfId="8368"/>
    <cellStyle name="集計 15 4 4 2 4" xfId="8369"/>
    <cellStyle name="集計 15 4 4 2 4 2" xfId="8370"/>
    <cellStyle name="集計 15 4 4 2 4 3" xfId="8371"/>
    <cellStyle name="集計 15 4 4 2 5" xfId="8372"/>
    <cellStyle name="集計 15 4 4 2 6" xfId="8373"/>
    <cellStyle name="集計 15 4 4 3" xfId="8374"/>
    <cellStyle name="集計 15 4 4 3 2" xfId="8375"/>
    <cellStyle name="集計 15 4 4 3 3" xfId="8376"/>
    <cellStyle name="集計 15 4 4 4" xfId="8377"/>
    <cellStyle name="集計 15 4 4 4 2" xfId="8378"/>
    <cellStyle name="集計 15 4 4 4 3" xfId="8379"/>
    <cellStyle name="集計 15 4 4 5" xfId="8380"/>
    <cellStyle name="集計 15 4 4 5 2" xfId="8381"/>
    <cellStyle name="集計 15 4 4 5 3" xfId="8382"/>
    <cellStyle name="集計 15 4 4 6" xfId="8383"/>
    <cellStyle name="集計 15 4 4 7" xfId="8384"/>
    <cellStyle name="集計 15 4 5" xfId="8385"/>
    <cellStyle name="集計 15 4 5 2" xfId="8386"/>
    <cellStyle name="集計 15 4 5 2 2" xfId="8387"/>
    <cellStyle name="集計 15 4 5 2 3" xfId="8388"/>
    <cellStyle name="集計 15 4 5 3" xfId="8389"/>
    <cellStyle name="集計 15 4 5 3 2" xfId="8390"/>
    <cellStyle name="集計 15 4 5 3 3" xfId="8391"/>
    <cellStyle name="集計 15 4 5 4" xfId="8392"/>
    <cellStyle name="集計 15 4 5 4 2" xfId="8393"/>
    <cellStyle name="集計 15 4 5 4 3" xfId="8394"/>
    <cellStyle name="集計 15 4 5 5" xfId="8395"/>
    <cellStyle name="集計 15 4 5 6" xfId="8396"/>
    <cellStyle name="集計 15 4 6" xfId="8397"/>
    <cellStyle name="集計 15 4 6 2" xfId="8398"/>
    <cellStyle name="集計 15 4 6 3" xfId="8399"/>
    <cellStyle name="集計 15 4 7" xfId="8400"/>
    <cellStyle name="集計 15 4 7 2" xfId="8401"/>
    <cellStyle name="集計 15 4 7 3" xfId="8402"/>
    <cellStyle name="集計 15 4 8" xfId="8403"/>
    <cellStyle name="集計 15 4 8 2" xfId="8404"/>
    <cellStyle name="集計 15 4 8 3" xfId="8405"/>
    <cellStyle name="集計 15 4 9" xfId="8406"/>
    <cellStyle name="集計 15 5" xfId="8407"/>
    <cellStyle name="集計 15 5 10" xfId="8408"/>
    <cellStyle name="集計 15 5 2" xfId="8409"/>
    <cellStyle name="集計 15 5 2 2" xfId="8410"/>
    <cellStyle name="集計 15 5 2 2 2" xfId="8411"/>
    <cellStyle name="集計 15 5 2 2 2 2" xfId="8412"/>
    <cellStyle name="集計 15 5 2 2 2 2 2" xfId="8413"/>
    <cellStyle name="集計 15 5 2 2 2 2 3" xfId="8414"/>
    <cellStyle name="集計 15 5 2 2 2 3" xfId="8415"/>
    <cellStyle name="集計 15 5 2 2 2 3 2" xfId="8416"/>
    <cellStyle name="集計 15 5 2 2 2 3 3" xfId="8417"/>
    <cellStyle name="集計 15 5 2 2 2 4" xfId="8418"/>
    <cellStyle name="集計 15 5 2 2 2 4 2" xfId="8419"/>
    <cellStyle name="集計 15 5 2 2 2 4 3" xfId="8420"/>
    <cellStyle name="集計 15 5 2 2 2 5" xfId="8421"/>
    <cellStyle name="集計 15 5 2 2 2 6" xfId="8422"/>
    <cellStyle name="集計 15 5 2 2 3" xfId="8423"/>
    <cellStyle name="集計 15 5 2 2 3 2" xfId="8424"/>
    <cellStyle name="集計 15 5 2 2 3 3" xfId="8425"/>
    <cellStyle name="集計 15 5 2 2 4" xfId="8426"/>
    <cellStyle name="集計 15 5 2 2 4 2" xfId="8427"/>
    <cellStyle name="集計 15 5 2 2 4 3" xfId="8428"/>
    <cellStyle name="集計 15 5 2 2 5" xfId="8429"/>
    <cellStyle name="集計 15 5 2 2 5 2" xfId="8430"/>
    <cellStyle name="集計 15 5 2 2 5 3" xfId="8431"/>
    <cellStyle name="集計 15 5 2 2 6" xfId="8432"/>
    <cellStyle name="集計 15 5 2 2 7" xfId="8433"/>
    <cellStyle name="集計 15 5 2 3" xfId="8434"/>
    <cellStyle name="集計 15 5 2 3 2" xfId="8435"/>
    <cellStyle name="集計 15 5 2 3 2 2" xfId="8436"/>
    <cellStyle name="集計 15 5 2 3 2 2 2" xfId="8437"/>
    <cellStyle name="集計 15 5 2 3 2 2 3" xfId="8438"/>
    <cellStyle name="集計 15 5 2 3 2 3" xfId="8439"/>
    <cellStyle name="集計 15 5 2 3 2 3 2" xfId="8440"/>
    <cellStyle name="集計 15 5 2 3 2 3 3" xfId="8441"/>
    <cellStyle name="集計 15 5 2 3 2 4" xfId="8442"/>
    <cellStyle name="集計 15 5 2 3 2 4 2" xfId="8443"/>
    <cellStyle name="集計 15 5 2 3 2 4 3" xfId="8444"/>
    <cellStyle name="集計 15 5 2 3 2 5" xfId="8445"/>
    <cellStyle name="集計 15 5 2 3 2 6" xfId="8446"/>
    <cellStyle name="集計 15 5 2 3 3" xfId="8447"/>
    <cellStyle name="集計 15 5 2 3 3 2" xfId="8448"/>
    <cellStyle name="集計 15 5 2 3 3 3" xfId="8449"/>
    <cellStyle name="集計 15 5 2 3 4" xfId="8450"/>
    <cellStyle name="集計 15 5 2 3 4 2" xfId="8451"/>
    <cellStyle name="集計 15 5 2 3 4 3" xfId="8452"/>
    <cellStyle name="集計 15 5 2 3 5" xfId="8453"/>
    <cellStyle name="集計 15 5 2 3 5 2" xfId="8454"/>
    <cellStyle name="集計 15 5 2 3 5 3" xfId="8455"/>
    <cellStyle name="集計 15 5 2 3 6" xfId="8456"/>
    <cellStyle name="集計 15 5 2 3 7" xfId="8457"/>
    <cellStyle name="集計 15 5 2 4" xfId="8458"/>
    <cellStyle name="集計 15 5 2 4 2" xfId="8459"/>
    <cellStyle name="集計 15 5 2 4 2 2" xfId="8460"/>
    <cellStyle name="集計 15 5 2 4 2 3" xfId="8461"/>
    <cellStyle name="集計 15 5 2 4 3" xfId="8462"/>
    <cellStyle name="集計 15 5 2 4 3 2" xfId="8463"/>
    <cellStyle name="集計 15 5 2 4 3 3" xfId="8464"/>
    <cellStyle name="集計 15 5 2 4 4" xfId="8465"/>
    <cellStyle name="集計 15 5 2 4 4 2" xfId="8466"/>
    <cellStyle name="集計 15 5 2 4 4 3" xfId="8467"/>
    <cellStyle name="集計 15 5 2 4 5" xfId="8468"/>
    <cellStyle name="集計 15 5 2 4 6" xfId="8469"/>
    <cellStyle name="集計 15 5 2 5" xfId="8470"/>
    <cellStyle name="集計 15 5 2 5 2" xfId="8471"/>
    <cellStyle name="集計 15 5 2 5 3" xfId="8472"/>
    <cellStyle name="集計 15 5 2 6" xfId="8473"/>
    <cellStyle name="集計 15 5 2 6 2" xfId="8474"/>
    <cellStyle name="集計 15 5 2 6 3" xfId="8475"/>
    <cellStyle name="集計 15 5 2 7" xfId="8476"/>
    <cellStyle name="集計 15 5 2 7 2" xfId="8477"/>
    <cellStyle name="集計 15 5 2 7 3" xfId="8478"/>
    <cellStyle name="集計 15 5 2 8" xfId="8479"/>
    <cellStyle name="集計 15 5 2 9" xfId="8480"/>
    <cellStyle name="集計 15 5 3" xfId="8481"/>
    <cellStyle name="集計 15 5 3 2" xfId="8482"/>
    <cellStyle name="集計 15 5 3 2 2" xfId="8483"/>
    <cellStyle name="集計 15 5 3 2 2 2" xfId="8484"/>
    <cellStyle name="集計 15 5 3 2 2 3" xfId="8485"/>
    <cellStyle name="集計 15 5 3 2 3" xfId="8486"/>
    <cellStyle name="集計 15 5 3 2 3 2" xfId="8487"/>
    <cellStyle name="集計 15 5 3 2 3 3" xfId="8488"/>
    <cellStyle name="集計 15 5 3 2 4" xfId="8489"/>
    <cellStyle name="集計 15 5 3 2 4 2" xfId="8490"/>
    <cellStyle name="集計 15 5 3 2 4 3" xfId="8491"/>
    <cellStyle name="集計 15 5 3 2 5" xfId="8492"/>
    <cellStyle name="集計 15 5 3 2 6" xfId="8493"/>
    <cellStyle name="集計 15 5 3 3" xfId="8494"/>
    <cellStyle name="集計 15 5 3 3 2" xfId="8495"/>
    <cellStyle name="集計 15 5 3 3 3" xfId="8496"/>
    <cellStyle name="集計 15 5 3 4" xfId="8497"/>
    <cellStyle name="集計 15 5 3 4 2" xfId="8498"/>
    <cellStyle name="集計 15 5 3 4 3" xfId="8499"/>
    <cellStyle name="集計 15 5 3 5" xfId="8500"/>
    <cellStyle name="集計 15 5 3 5 2" xfId="8501"/>
    <cellStyle name="集計 15 5 3 5 3" xfId="8502"/>
    <cellStyle name="集計 15 5 3 6" xfId="8503"/>
    <cellStyle name="集計 15 5 3 7" xfId="8504"/>
    <cellStyle name="集計 15 5 4" xfId="8505"/>
    <cellStyle name="集計 15 5 4 2" xfId="8506"/>
    <cellStyle name="集計 15 5 4 2 2" xfId="8507"/>
    <cellStyle name="集計 15 5 4 2 2 2" xfId="8508"/>
    <cellStyle name="集計 15 5 4 2 2 3" xfId="8509"/>
    <cellStyle name="集計 15 5 4 2 3" xfId="8510"/>
    <cellStyle name="集計 15 5 4 2 3 2" xfId="8511"/>
    <cellStyle name="集計 15 5 4 2 3 3" xfId="8512"/>
    <cellStyle name="集計 15 5 4 2 4" xfId="8513"/>
    <cellStyle name="集計 15 5 4 2 4 2" xfId="8514"/>
    <cellStyle name="集計 15 5 4 2 4 3" xfId="8515"/>
    <cellStyle name="集計 15 5 4 2 5" xfId="8516"/>
    <cellStyle name="集計 15 5 4 2 6" xfId="8517"/>
    <cellStyle name="集計 15 5 4 3" xfId="8518"/>
    <cellStyle name="集計 15 5 4 3 2" xfId="8519"/>
    <cellStyle name="集計 15 5 4 3 3" xfId="8520"/>
    <cellStyle name="集計 15 5 4 4" xfId="8521"/>
    <cellStyle name="集計 15 5 4 4 2" xfId="8522"/>
    <cellStyle name="集計 15 5 4 4 3" xfId="8523"/>
    <cellStyle name="集計 15 5 4 5" xfId="8524"/>
    <cellStyle name="集計 15 5 4 5 2" xfId="8525"/>
    <cellStyle name="集計 15 5 4 5 3" xfId="8526"/>
    <cellStyle name="集計 15 5 4 6" xfId="8527"/>
    <cellStyle name="集計 15 5 4 7" xfId="8528"/>
    <cellStyle name="集計 15 5 5" xfId="8529"/>
    <cellStyle name="集計 15 5 5 2" xfId="8530"/>
    <cellStyle name="集計 15 5 5 2 2" xfId="8531"/>
    <cellStyle name="集計 15 5 5 2 3" xfId="8532"/>
    <cellStyle name="集計 15 5 5 3" xfId="8533"/>
    <cellStyle name="集計 15 5 5 3 2" xfId="8534"/>
    <cellStyle name="集計 15 5 5 3 3" xfId="8535"/>
    <cellStyle name="集計 15 5 5 4" xfId="8536"/>
    <cellStyle name="集計 15 5 5 4 2" xfId="8537"/>
    <cellStyle name="集計 15 5 5 4 3" xfId="8538"/>
    <cellStyle name="集計 15 5 5 5" xfId="8539"/>
    <cellStyle name="集計 15 5 5 6" xfId="8540"/>
    <cellStyle name="集計 15 5 6" xfId="8541"/>
    <cellStyle name="集計 15 5 6 2" xfId="8542"/>
    <cellStyle name="集計 15 5 6 3" xfId="8543"/>
    <cellStyle name="集計 15 5 7" xfId="8544"/>
    <cellStyle name="集計 15 5 7 2" xfId="8545"/>
    <cellStyle name="集計 15 5 7 3" xfId="8546"/>
    <cellStyle name="集計 15 5 8" xfId="8547"/>
    <cellStyle name="集計 15 5 8 2" xfId="8548"/>
    <cellStyle name="集計 15 5 8 3" xfId="8549"/>
    <cellStyle name="集計 15 5 9" xfId="8550"/>
    <cellStyle name="集計 15 6" xfId="8551"/>
    <cellStyle name="集計 15 6 10" xfId="8552"/>
    <cellStyle name="集計 15 6 2" xfId="8553"/>
    <cellStyle name="集計 15 6 2 2" xfId="8554"/>
    <cellStyle name="集計 15 6 2 2 2" xfId="8555"/>
    <cellStyle name="集計 15 6 2 2 2 2" xfId="8556"/>
    <cellStyle name="集計 15 6 2 2 2 2 2" xfId="8557"/>
    <cellStyle name="集計 15 6 2 2 2 2 3" xfId="8558"/>
    <cellStyle name="集計 15 6 2 2 2 3" xfId="8559"/>
    <cellStyle name="集計 15 6 2 2 2 3 2" xfId="8560"/>
    <cellStyle name="集計 15 6 2 2 2 3 3" xfId="8561"/>
    <cellStyle name="集計 15 6 2 2 2 4" xfId="8562"/>
    <cellStyle name="集計 15 6 2 2 2 4 2" xfId="8563"/>
    <cellStyle name="集計 15 6 2 2 2 4 3" xfId="8564"/>
    <cellStyle name="集計 15 6 2 2 2 5" xfId="8565"/>
    <cellStyle name="集計 15 6 2 2 2 6" xfId="8566"/>
    <cellStyle name="集計 15 6 2 2 3" xfId="8567"/>
    <cellStyle name="集計 15 6 2 2 3 2" xfId="8568"/>
    <cellStyle name="集計 15 6 2 2 3 3" xfId="8569"/>
    <cellStyle name="集計 15 6 2 2 4" xfId="8570"/>
    <cellStyle name="集計 15 6 2 2 4 2" xfId="8571"/>
    <cellStyle name="集計 15 6 2 2 4 3" xfId="8572"/>
    <cellStyle name="集計 15 6 2 2 5" xfId="8573"/>
    <cellStyle name="集計 15 6 2 2 5 2" xfId="8574"/>
    <cellStyle name="集計 15 6 2 2 5 3" xfId="8575"/>
    <cellStyle name="集計 15 6 2 2 6" xfId="8576"/>
    <cellStyle name="集計 15 6 2 2 7" xfId="8577"/>
    <cellStyle name="集計 15 6 2 3" xfId="8578"/>
    <cellStyle name="集計 15 6 2 3 2" xfId="8579"/>
    <cellStyle name="集計 15 6 2 3 2 2" xfId="8580"/>
    <cellStyle name="集計 15 6 2 3 2 2 2" xfId="8581"/>
    <cellStyle name="集計 15 6 2 3 2 2 3" xfId="8582"/>
    <cellStyle name="集計 15 6 2 3 2 3" xfId="8583"/>
    <cellStyle name="集計 15 6 2 3 2 3 2" xfId="8584"/>
    <cellStyle name="集計 15 6 2 3 2 3 3" xfId="8585"/>
    <cellStyle name="集計 15 6 2 3 2 4" xfId="8586"/>
    <cellStyle name="集計 15 6 2 3 2 4 2" xfId="8587"/>
    <cellStyle name="集計 15 6 2 3 2 4 3" xfId="8588"/>
    <cellStyle name="集計 15 6 2 3 2 5" xfId="8589"/>
    <cellStyle name="集計 15 6 2 3 2 6" xfId="8590"/>
    <cellStyle name="集計 15 6 2 3 3" xfId="8591"/>
    <cellStyle name="集計 15 6 2 3 3 2" xfId="8592"/>
    <cellStyle name="集計 15 6 2 3 3 3" xfId="8593"/>
    <cellStyle name="集計 15 6 2 3 4" xfId="8594"/>
    <cellStyle name="集計 15 6 2 3 4 2" xfId="8595"/>
    <cellStyle name="集計 15 6 2 3 4 3" xfId="8596"/>
    <cellStyle name="集計 15 6 2 3 5" xfId="8597"/>
    <cellStyle name="集計 15 6 2 3 5 2" xfId="8598"/>
    <cellStyle name="集計 15 6 2 3 5 3" xfId="8599"/>
    <cellStyle name="集計 15 6 2 3 6" xfId="8600"/>
    <cellStyle name="集計 15 6 2 3 7" xfId="8601"/>
    <cellStyle name="集計 15 6 2 4" xfId="8602"/>
    <cellStyle name="集計 15 6 2 4 2" xfId="8603"/>
    <cellStyle name="集計 15 6 2 4 2 2" xfId="8604"/>
    <cellStyle name="集計 15 6 2 4 2 3" xfId="8605"/>
    <cellStyle name="集計 15 6 2 4 3" xfId="8606"/>
    <cellStyle name="集計 15 6 2 4 3 2" xfId="8607"/>
    <cellStyle name="集計 15 6 2 4 3 3" xfId="8608"/>
    <cellStyle name="集計 15 6 2 4 4" xfId="8609"/>
    <cellStyle name="集計 15 6 2 4 4 2" xfId="8610"/>
    <cellStyle name="集計 15 6 2 4 4 3" xfId="8611"/>
    <cellStyle name="集計 15 6 2 4 5" xfId="8612"/>
    <cellStyle name="集計 15 6 2 4 6" xfId="8613"/>
    <cellStyle name="集計 15 6 2 5" xfId="8614"/>
    <cellStyle name="集計 15 6 2 5 2" xfId="8615"/>
    <cellStyle name="集計 15 6 2 5 3" xfId="8616"/>
    <cellStyle name="集計 15 6 2 6" xfId="8617"/>
    <cellStyle name="集計 15 6 2 6 2" xfId="8618"/>
    <cellStyle name="集計 15 6 2 6 3" xfId="8619"/>
    <cellStyle name="集計 15 6 2 7" xfId="8620"/>
    <cellStyle name="集計 15 6 2 7 2" xfId="8621"/>
    <cellStyle name="集計 15 6 2 7 3" xfId="8622"/>
    <cellStyle name="集計 15 6 2 8" xfId="8623"/>
    <cellStyle name="集計 15 6 2 9" xfId="8624"/>
    <cellStyle name="集計 15 6 3" xfId="8625"/>
    <cellStyle name="集計 15 6 3 2" xfId="8626"/>
    <cellStyle name="集計 15 6 3 2 2" xfId="8627"/>
    <cellStyle name="集計 15 6 3 2 2 2" xfId="8628"/>
    <cellStyle name="集計 15 6 3 2 2 3" xfId="8629"/>
    <cellStyle name="集計 15 6 3 2 3" xfId="8630"/>
    <cellStyle name="集計 15 6 3 2 3 2" xfId="8631"/>
    <cellStyle name="集計 15 6 3 2 3 3" xfId="8632"/>
    <cellStyle name="集計 15 6 3 2 4" xfId="8633"/>
    <cellStyle name="集計 15 6 3 2 4 2" xfId="8634"/>
    <cellStyle name="集計 15 6 3 2 4 3" xfId="8635"/>
    <cellStyle name="集計 15 6 3 2 5" xfId="8636"/>
    <cellStyle name="集計 15 6 3 2 6" xfId="8637"/>
    <cellStyle name="集計 15 6 3 3" xfId="8638"/>
    <cellStyle name="集計 15 6 3 3 2" xfId="8639"/>
    <cellStyle name="集計 15 6 3 3 3" xfId="8640"/>
    <cellStyle name="集計 15 6 3 4" xfId="8641"/>
    <cellStyle name="集計 15 6 3 4 2" xfId="8642"/>
    <cellStyle name="集計 15 6 3 4 3" xfId="8643"/>
    <cellStyle name="集計 15 6 3 5" xfId="8644"/>
    <cellStyle name="集計 15 6 3 5 2" xfId="8645"/>
    <cellStyle name="集計 15 6 3 5 3" xfId="8646"/>
    <cellStyle name="集計 15 6 3 6" xfId="8647"/>
    <cellStyle name="集計 15 6 3 7" xfId="8648"/>
    <cellStyle name="集計 15 6 4" xfId="8649"/>
    <cellStyle name="集計 15 6 4 2" xfId="8650"/>
    <cellStyle name="集計 15 6 4 2 2" xfId="8651"/>
    <cellStyle name="集計 15 6 4 2 2 2" xfId="8652"/>
    <cellStyle name="集計 15 6 4 2 2 3" xfId="8653"/>
    <cellStyle name="集計 15 6 4 2 3" xfId="8654"/>
    <cellStyle name="集計 15 6 4 2 3 2" xfId="8655"/>
    <cellStyle name="集計 15 6 4 2 3 3" xfId="8656"/>
    <cellStyle name="集計 15 6 4 2 4" xfId="8657"/>
    <cellStyle name="集計 15 6 4 2 4 2" xfId="8658"/>
    <cellStyle name="集計 15 6 4 2 4 3" xfId="8659"/>
    <cellStyle name="集計 15 6 4 2 5" xfId="8660"/>
    <cellStyle name="集計 15 6 4 2 6" xfId="8661"/>
    <cellStyle name="集計 15 6 4 3" xfId="8662"/>
    <cellStyle name="集計 15 6 4 3 2" xfId="8663"/>
    <cellStyle name="集計 15 6 4 3 3" xfId="8664"/>
    <cellStyle name="集計 15 6 4 4" xfId="8665"/>
    <cellStyle name="集計 15 6 4 4 2" xfId="8666"/>
    <cellStyle name="集計 15 6 4 4 3" xfId="8667"/>
    <cellStyle name="集計 15 6 4 5" xfId="8668"/>
    <cellStyle name="集計 15 6 4 5 2" xfId="8669"/>
    <cellStyle name="集計 15 6 4 5 3" xfId="8670"/>
    <cellStyle name="集計 15 6 4 6" xfId="8671"/>
    <cellStyle name="集計 15 6 4 7" xfId="8672"/>
    <cellStyle name="集計 15 6 5" xfId="8673"/>
    <cellStyle name="集計 15 6 5 2" xfId="8674"/>
    <cellStyle name="集計 15 6 5 2 2" xfId="8675"/>
    <cellStyle name="集計 15 6 5 2 3" xfId="8676"/>
    <cellStyle name="集計 15 6 5 3" xfId="8677"/>
    <cellStyle name="集計 15 6 5 3 2" xfId="8678"/>
    <cellStyle name="集計 15 6 5 3 3" xfId="8679"/>
    <cellStyle name="集計 15 6 5 4" xfId="8680"/>
    <cellStyle name="集計 15 6 5 4 2" xfId="8681"/>
    <cellStyle name="集計 15 6 5 4 3" xfId="8682"/>
    <cellStyle name="集計 15 6 5 5" xfId="8683"/>
    <cellStyle name="集計 15 6 5 6" xfId="8684"/>
    <cellStyle name="集計 15 6 6" xfId="8685"/>
    <cellStyle name="集計 15 6 6 2" xfId="8686"/>
    <cellStyle name="集計 15 6 6 3" xfId="8687"/>
    <cellStyle name="集計 15 6 7" xfId="8688"/>
    <cellStyle name="集計 15 6 7 2" xfId="8689"/>
    <cellStyle name="集計 15 6 7 3" xfId="8690"/>
    <cellStyle name="集計 15 6 8" xfId="8691"/>
    <cellStyle name="集計 15 6 8 2" xfId="8692"/>
    <cellStyle name="集計 15 6 8 3" xfId="8693"/>
    <cellStyle name="集計 15 6 9" xfId="8694"/>
    <cellStyle name="集計 15 7" xfId="8695"/>
    <cellStyle name="集計 15 7 2" xfId="8696"/>
    <cellStyle name="集計 15 7 2 2" xfId="8697"/>
    <cellStyle name="集計 15 7 2 2 2" xfId="8698"/>
    <cellStyle name="集計 15 7 2 2 3" xfId="8699"/>
    <cellStyle name="集計 15 7 2 3" xfId="8700"/>
    <cellStyle name="集計 15 7 2 3 2" xfId="8701"/>
    <cellStyle name="集計 15 7 2 3 3" xfId="8702"/>
    <cellStyle name="集計 15 7 2 4" xfId="8703"/>
    <cellStyle name="集計 15 7 2 4 2" xfId="8704"/>
    <cellStyle name="集計 15 7 2 4 3" xfId="8705"/>
    <cellStyle name="集計 15 7 2 5" xfId="8706"/>
    <cellStyle name="集計 15 7 2 6" xfId="8707"/>
    <cellStyle name="集計 15 7 3" xfId="8708"/>
    <cellStyle name="集計 15 7 3 2" xfId="8709"/>
    <cellStyle name="集計 15 7 3 3" xfId="8710"/>
    <cellStyle name="集計 15 7 4" xfId="8711"/>
    <cellStyle name="集計 15 7 4 2" xfId="8712"/>
    <cellStyle name="集計 15 7 4 3" xfId="8713"/>
    <cellStyle name="集計 15 7 5" xfId="8714"/>
    <cellStyle name="集計 15 7 5 2" xfId="8715"/>
    <cellStyle name="集計 15 7 5 3" xfId="8716"/>
    <cellStyle name="集計 15 7 6" xfId="8717"/>
    <cellStyle name="集計 15 7 7" xfId="8718"/>
    <cellStyle name="集計 15 8" xfId="8719"/>
    <cellStyle name="集計 15 8 2" xfId="8720"/>
    <cellStyle name="集計 15 8 2 2" xfId="8721"/>
    <cellStyle name="集計 15 8 2 2 2" xfId="8722"/>
    <cellStyle name="集計 15 8 2 2 3" xfId="8723"/>
    <cellStyle name="集計 15 8 2 3" xfId="8724"/>
    <cellStyle name="集計 15 8 2 3 2" xfId="8725"/>
    <cellStyle name="集計 15 8 2 3 3" xfId="8726"/>
    <cellStyle name="集計 15 8 2 4" xfId="8727"/>
    <cellStyle name="集計 15 8 2 4 2" xfId="8728"/>
    <cellStyle name="集計 15 8 2 4 3" xfId="8729"/>
    <cellStyle name="集計 15 8 2 5" xfId="8730"/>
    <cellStyle name="集計 15 8 2 6" xfId="8731"/>
    <cellStyle name="集計 15 8 3" xfId="8732"/>
    <cellStyle name="集計 15 8 3 2" xfId="8733"/>
    <cellStyle name="集計 15 8 3 3" xfId="8734"/>
    <cellStyle name="集計 15 8 4" xfId="8735"/>
    <cellStyle name="集計 15 8 4 2" xfId="8736"/>
    <cellStyle name="集計 15 8 4 3" xfId="8737"/>
    <cellStyle name="集計 15 8 5" xfId="8738"/>
    <cellStyle name="集計 15 8 5 2" xfId="8739"/>
    <cellStyle name="集計 15 8 5 3" xfId="8740"/>
    <cellStyle name="集計 15 8 6" xfId="8741"/>
    <cellStyle name="集計 15 8 7" xfId="8742"/>
    <cellStyle name="集計 15 9" xfId="8743"/>
    <cellStyle name="集計 15 9 2" xfId="8744"/>
    <cellStyle name="集計 15 9 2 2" xfId="8745"/>
    <cellStyle name="集計 15 9 2 3" xfId="8746"/>
    <cellStyle name="集計 15 9 3" xfId="8747"/>
    <cellStyle name="集計 15 9 3 2" xfId="8748"/>
    <cellStyle name="集計 15 9 3 3" xfId="8749"/>
    <cellStyle name="集計 15 9 4" xfId="8750"/>
    <cellStyle name="集計 15 9 4 2" xfId="8751"/>
    <cellStyle name="集計 15 9 4 3" xfId="8752"/>
    <cellStyle name="集計 15 9 5" xfId="8753"/>
    <cellStyle name="集計 15 9 6" xfId="8754"/>
    <cellStyle name="集計 16" xfId="8755"/>
    <cellStyle name="集計 16 10" xfId="8756"/>
    <cellStyle name="集計 16 10 2" xfId="8757"/>
    <cellStyle name="集計 16 10 3" xfId="8758"/>
    <cellStyle name="集計 16 11" xfId="8759"/>
    <cellStyle name="集計 16 11 2" xfId="8760"/>
    <cellStyle name="集計 16 11 3" xfId="8761"/>
    <cellStyle name="集計 16 12" xfId="8762"/>
    <cellStyle name="集計 16 12 2" xfId="8763"/>
    <cellStyle name="集計 16 12 3" xfId="8764"/>
    <cellStyle name="集計 16 13" xfId="8765"/>
    <cellStyle name="集計 16 14" xfId="8766"/>
    <cellStyle name="集計 16 2" xfId="8767"/>
    <cellStyle name="集計 16 2 10" xfId="8768"/>
    <cellStyle name="集計 16 2 2" xfId="8769"/>
    <cellStyle name="集計 16 2 2 10" xfId="8770"/>
    <cellStyle name="集計 16 2 2 2" xfId="8771"/>
    <cellStyle name="集計 16 2 2 2 2" xfId="8772"/>
    <cellStyle name="集計 16 2 2 2 2 2" xfId="8773"/>
    <cellStyle name="集計 16 2 2 2 2 2 2" xfId="8774"/>
    <cellStyle name="集計 16 2 2 2 2 2 2 2" xfId="8775"/>
    <cellStyle name="集計 16 2 2 2 2 2 2 3" xfId="8776"/>
    <cellStyle name="集計 16 2 2 2 2 2 3" xfId="8777"/>
    <cellStyle name="集計 16 2 2 2 2 2 3 2" xfId="8778"/>
    <cellStyle name="集計 16 2 2 2 2 2 3 3" xfId="8779"/>
    <cellStyle name="集計 16 2 2 2 2 2 4" xfId="8780"/>
    <cellStyle name="集計 16 2 2 2 2 2 4 2" xfId="8781"/>
    <cellStyle name="集計 16 2 2 2 2 2 4 3" xfId="8782"/>
    <cellStyle name="集計 16 2 2 2 2 2 5" xfId="8783"/>
    <cellStyle name="集計 16 2 2 2 2 2 6" xfId="8784"/>
    <cellStyle name="集計 16 2 2 2 2 3" xfId="8785"/>
    <cellStyle name="集計 16 2 2 2 2 3 2" xfId="8786"/>
    <cellStyle name="集計 16 2 2 2 2 3 3" xfId="8787"/>
    <cellStyle name="集計 16 2 2 2 2 4" xfId="8788"/>
    <cellStyle name="集計 16 2 2 2 2 4 2" xfId="8789"/>
    <cellStyle name="集計 16 2 2 2 2 4 3" xfId="8790"/>
    <cellStyle name="集計 16 2 2 2 2 5" xfId="8791"/>
    <cellStyle name="集計 16 2 2 2 2 5 2" xfId="8792"/>
    <cellStyle name="集計 16 2 2 2 2 5 3" xfId="8793"/>
    <cellStyle name="集計 16 2 2 2 2 6" xfId="8794"/>
    <cellStyle name="集計 16 2 2 2 2 7" xfId="8795"/>
    <cellStyle name="集計 16 2 2 2 3" xfId="8796"/>
    <cellStyle name="集計 16 2 2 2 3 2" xfId="8797"/>
    <cellStyle name="集計 16 2 2 2 3 2 2" xfId="8798"/>
    <cellStyle name="集計 16 2 2 2 3 2 2 2" xfId="8799"/>
    <cellStyle name="集計 16 2 2 2 3 2 2 3" xfId="8800"/>
    <cellStyle name="集計 16 2 2 2 3 2 3" xfId="8801"/>
    <cellStyle name="集計 16 2 2 2 3 2 3 2" xfId="8802"/>
    <cellStyle name="集計 16 2 2 2 3 2 3 3" xfId="8803"/>
    <cellStyle name="集計 16 2 2 2 3 2 4" xfId="8804"/>
    <cellStyle name="集計 16 2 2 2 3 2 4 2" xfId="8805"/>
    <cellStyle name="集計 16 2 2 2 3 2 4 3" xfId="8806"/>
    <cellStyle name="集計 16 2 2 2 3 2 5" xfId="8807"/>
    <cellStyle name="集計 16 2 2 2 3 2 6" xfId="8808"/>
    <cellStyle name="集計 16 2 2 2 3 3" xfId="8809"/>
    <cellStyle name="集計 16 2 2 2 3 3 2" xfId="8810"/>
    <cellStyle name="集計 16 2 2 2 3 3 3" xfId="8811"/>
    <cellStyle name="集計 16 2 2 2 3 4" xfId="8812"/>
    <cellStyle name="集計 16 2 2 2 3 4 2" xfId="8813"/>
    <cellStyle name="集計 16 2 2 2 3 4 3" xfId="8814"/>
    <cellStyle name="集計 16 2 2 2 3 5" xfId="8815"/>
    <cellStyle name="集計 16 2 2 2 3 5 2" xfId="8816"/>
    <cellStyle name="集計 16 2 2 2 3 5 3" xfId="8817"/>
    <cellStyle name="集計 16 2 2 2 3 6" xfId="8818"/>
    <cellStyle name="集計 16 2 2 2 3 7" xfId="8819"/>
    <cellStyle name="集計 16 2 2 2 4" xfId="8820"/>
    <cellStyle name="集計 16 2 2 2 4 2" xfId="8821"/>
    <cellStyle name="集計 16 2 2 2 4 2 2" xfId="8822"/>
    <cellStyle name="集計 16 2 2 2 4 2 3" xfId="8823"/>
    <cellStyle name="集計 16 2 2 2 4 3" xfId="8824"/>
    <cellStyle name="集計 16 2 2 2 4 3 2" xfId="8825"/>
    <cellStyle name="集計 16 2 2 2 4 3 3" xfId="8826"/>
    <cellStyle name="集計 16 2 2 2 4 4" xfId="8827"/>
    <cellStyle name="集計 16 2 2 2 4 4 2" xfId="8828"/>
    <cellStyle name="集計 16 2 2 2 4 4 3" xfId="8829"/>
    <cellStyle name="集計 16 2 2 2 4 5" xfId="8830"/>
    <cellStyle name="集計 16 2 2 2 4 6" xfId="8831"/>
    <cellStyle name="集計 16 2 2 2 5" xfId="8832"/>
    <cellStyle name="集計 16 2 2 2 5 2" xfId="8833"/>
    <cellStyle name="集計 16 2 2 2 5 3" xfId="8834"/>
    <cellStyle name="集計 16 2 2 2 6" xfId="8835"/>
    <cellStyle name="集計 16 2 2 2 6 2" xfId="8836"/>
    <cellStyle name="集計 16 2 2 2 6 3" xfId="8837"/>
    <cellStyle name="集計 16 2 2 2 7" xfId="8838"/>
    <cellStyle name="集計 16 2 2 2 7 2" xfId="8839"/>
    <cellStyle name="集計 16 2 2 2 7 3" xfId="8840"/>
    <cellStyle name="集計 16 2 2 2 8" xfId="8841"/>
    <cellStyle name="集計 16 2 2 2 9" xfId="8842"/>
    <cellStyle name="集計 16 2 2 3" xfId="8843"/>
    <cellStyle name="集計 16 2 2 3 2" xfId="8844"/>
    <cellStyle name="集計 16 2 2 3 2 2" xfId="8845"/>
    <cellStyle name="集計 16 2 2 3 2 2 2" xfId="8846"/>
    <cellStyle name="集計 16 2 2 3 2 2 3" xfId="8847"/>
    <cellStyle name="集計 16 2 2 3 2 3" xfId="8848"/>
    <cellStyle name="集計 16 2 2 3 2 3 2" xfId="8849"/>
    <cellStyle name="集計 16 2 2 3 2 3 3" xfId="8850"/>
    <cellStyle name="集計 16 2 2 3 2 4" xfId="8851"/>
    <cellStyle name="集計 16 2 2 3 2 4 2" xfId="8852"/>
    <cellStyle name="集計 16 2 2 3 2 4 3" xfId="8853"/>
    <cellStyle name="集計 16 2 2 3 2 5" xfId="8854"/>
    <cellStyle name="集計 16 2 2 3 2 6" xfId="8855"/>
    <cellStyle name="集計 16 2 2 3 3" xfId="8856"/>
    <cellStyle name="集計 16 2 2 3 3 2" xfId="8857"/>
    <cellStyle name="集計 16 2 2 3 3 3" xfId="8858"/>
    <cellStyle name="集計 16 2 2 3 4" xfId="8859"/>
    <cellStyle name="集計 16 2 2 3 4 2" xfId="8860"/>
    <cellStyle name="集計 16 2 2 3 4 3" xfId="8861"/>
    <cellStyle name="集計 16 2 2 3 5" xfId="8862"/>
    <cellStyle name="集計 16 2 2 3 5 2" xfId="8863"/>
    <cellStyle name="集計 16 2 2 3 5 3" xfId="8864"/>
    <cellStyle name="集計 16 2 2 3 6" xfId="8865"/>
    <cellStyle name="集計 16 2 2 3 7" xfId="8866"/>
    <cellStyle name="集計 16 2 2 4" xfId="8867"/>
    <cellStyle name="集計 16 2 2 4 2" xfId="8868"/>
    <cellStyle name="集計 16 2 2 4 2 2" xfId="8869"/>
    <cellStyle name="集計 16 2 2 4 2 2 2" xfId="8870"/>
    <cellStyle name="集計 16 2 2 4 2 2 3" xfId="8871"/>
    <cellStyle name="集計 16 2 2 4 2 3" xfId="8872"/>
    <cellStyle name="集計 16 2 2 4 2 3 2" xfId="8873"/>
    <cellStyle name="集計 16 2 2 4 2 3 3" xfId="8874"/>
    <cellStyle name="集計 16 2 2 4 2 4" xfId="8875"/>
    <cellStyle name="集計 16 2 2 4 2 4 2" xfId="8876"/>
    <cellStyle name="集計 16 2 2 4 2 4 3" xfId="8877"/>
    <cellStyle name="集計 16 2 2 4 2 5" xfId="8878"/>
    <cellStyle name="集計 16 2 2 4 2 6" xfId="8879"/>
    <cellStyle name="集計 16 2 2 4 3" xfId="8880"/>
    <cellStyle name="集計 16 2 2 4 3 2" xfId="8881"/>
    <cellStyle name="集計 16 2 2 4 3 3" xfId="8882"/>
    <cellStyle name="集計 16 2 2 4 4" xfId="8883"/>
    <cellStyle name="集計 16 2 2 4 4 2" xfId="8884"/>
    <cellStyle name="集計 16 2 2 4 4 3" xfId="8885"/>
    <cellStyle name="集計 16 2 2 4 5" xfId="8886"/>
    <cellStyle name="集計 16 2 2 4 5 2" xfId="8887"/>
    <cellStyle name="集計 16 2 2 4 5 3" xfId="8888"/>
    <cellStyle name="集計 16 2 2 4 6" xfId="8889"/>
    <cellStyle name="集計 16 2 2 4 7" xfId="8890"/>
    <cellStyle name="集計 16 2 2 5" xfId="8891"/>
    <cellStyle name="集計 16 2 2 5 2" xfId="8892"/>
    <cellStyle name="集計 16 2 2 5 2 2" xfId="8893"/>
    <cellStyle name="集計 16 2 2 5 2 3" xfId="8894"/>
    <cellStyle name="集計 16 2 2 5 3" xfId="8895"/>
    <cellStyle name="集計 16 2 2 5 3 2" xfId="8896"/>
    <cellStyle name="集計 16 2 2 5 3 3" xfId="8897"/>
    <cellStyle name="集計 16 2 2 5 4" xfId="8898"/>
    <cellStyle name="集計 16 2 2 5 4 2" xfId="8899"/>
    <cellStyle name="集計 16 2 2 5 4 3" xfId="8900"/>
    <cellStyle name="集計 16 2 2 5 5" xfId="8901"/>
    <cellStyle name="集計 16 2 2 5 6" xfId="8902"/>
    <cellStyle name="集計 16 2 2 6" xfId="8903"/>
    <cellStyle name="集計 16 2 2 6 2" xfId="8904"/>
    <cellStyle name="集計 16 2 2 6 3" xfId="8905"/>
    <cellStyle name="集計 16 2 2 7" xfId="8906"/>
    <cellStyle name="集計 16 2 2 7 2" xfId="8907"/>
    <cellStyle name="集計 16 2 2 7 3" xfId="8908"/>
    <cellStyle name="集計 16 2 2 8" xfId="8909"/>
    <cellStyle name="集計 16 2 2 8 2" xfId="8910"/>
    <cellStyle name="集計 16 2 2 8 3" xfId="8911"/>
    <cellStyle name="集計 16 2 2 9" xfId="8912"/>
    <cellStyle name="集計 16 2 3" xfId="8913"/>
    <cellStyle name="集計 16 2 3 2" xfId="8914"/>
    <cellStyle name="集計 16 2 3 2 2" xfId="8915"/>
    <cellStyle name="集計 16 2 3 2 2 2" xfId="8916"/>
    <cellStyle name="集計 16 2 3 2 2 3" xfId="8917"/>
    <cellStyle name="集計 16 2 3 2 3" xfId="8918"/>
    <cellStyle name="集計 16 2 3 2 3 2" xfId="8919"/>
    <cellStyle name="集計 16 2 3 2 3 3" xfId="8920"/>
    <cellStyle name="集計 16 2 3 2 4" xfId="8921"/>
    <cellStyle name="集計 16 2 3 2 4 2" xfId="8922"/>
    <cellStyle name="集計 16 2 3 2 4 3" xfId="8923"/>
    <cellStyle name="集計 16 2 3 2 5" xfId="8924"/>
    <cellStyle name="集計 16 2 3 2 6" xfId="8925"/>
    <cellStyle name="集計 16 2 3 3" xfId="8926"/>
    <cellStyle name="集計 16 2 3 3 2" xfId="8927"/>
    <cellStyle name="集計 16 2 3 3 3" xfId="8928"/>
    <cellStyle name="集計 16 2 3 4" xfId="8929"/>
    <cellStyle name="集計 16 2 3 4 2" xfId="8930"/>
    <cellStyle name="集計 16 2 3 4 3" xfId="8931"/>
    <cellStyle name="集計 16 2 3 5" xfId="8932"/>
    <cellStyle name="集計 16 2 3 5 2" xfId="8933"/>
    <cellStyle name="集計 16 2 3 5 3" xfId="8934"/>
    <cellStyle name="集計 16 2 3 6" xfId="8935"/>
    <cellStyle name="集計 16 2 3 7" xfId="8936"/>
    <cellStyle name="集計 16 2 4" xfId="8937"/>
    <cellStyle name="集計 16 2 4 2" xfId="8938"/>
    <cellStyle name="集計 16 2 4 2 2" xfId="8939"/>
    <cellStyle name="集計 16 2 4 2 2 2" xfId="8940"/>
    <cellStyle name="集計 16 2 4 2 2 3" xfId="8941"/>
    <cellStyle name="集計 16 2 4 2 3" xfId="8942"/>
    <cellStyle name="集計 16 2 4 2 3 2" xfId="8943"/>
    <cellStyle name="集計 16 2 4 2 3 3" xfId="8944"/>
    <cellStyle name="集計 16 2 4 2 4" xfId="8945"/>
    <cellStyle name="集計 16 2 4 2 4 2" xfId="8946"/>
    <cellStyle name="集計 16 2 4 2 4 3" xfId="8947"/>
    <cellStyle name="集計 16 2 4 2 5" xfId="8948"/>
    <cellStyle name="集計 16 2 4 2 6" xfId="8949"/>
    <cellStyle name="集計 16 2 4 3" xfId="8950"/>
    <cellStyle name="集計 16 2 4 3 2" xfId="8951"/>
    <cellStyle name="集計 16 2 4 3 3" xfId="8952"/>
    <cellStyle name="集計 16 2 4 4" xfId="8953"/>
    <cellStyle name="集計 16 2 4 4 2" xfId="8954"/>
    <cellStyle name="集計 16 2 4 4 3" xfId="8955"/>
    <cellStyle name="集計 16 2 4 5" xfId="8956"/>
    <cellStyle name="集計 16 2 4 5 2" xfId="8957"/>
    <cellStyle name="集計 16 2 4 5 3" xfId="8958"/>
    <cellStyle name="集計 16 2 4 6" xfId="8959"/>
    <cellStyle name="集計 16 2 4 7" xfId="8960"/>
    <cellStyle name="集計 16 2 5" xfId="8961"/>
    <cellStyle name="集計 16 2 5 2" xfId="8962"/>
    <cellStyle name="集計 16 2 5 2 2" xfId="8963"/>
    <cellStyle name="集計 16 2 5 2 3" xfId="8964"/>
    <cellStyle name="集計 16 2 5 3" xfId="8965"/>
    <cellStyle name="集計 16 2 5 3 2" xfId="8966"/>
    <cellStyle name="集計 16 2 5 3 3" xfId="8967"/>
    <cellStyle name="集計 16 2 5 4" xfId="8968"/>
    <cellStyle name="集計 16 2 5 4 2" xfId="8969"/>
    <cellStyle name="集計 16 2 5 4 3" xfId="8970"/>
    <cellStyle name="集計 16 2 5 5" xfId="8971"/>
    <cellStyle name="集計 16 2 5 6" xfId="8972"/>
    <cellStyle name="集計 16 2 6" xfId="8973"/>
    <cellStyle name="集計 16 2 6 2" xfId="8974"/>
    <cellStyle name="集計 16 2 6 3" xfId="8975"/>
    <cellStyle name="集計 16 2 7" xfId="8976"/>
    <cellStyle name="集計 16 2 7 2" xfId="8977"/>
    <cellStyle name="集計 16 2 7 3" xfId="8978"/>
    <cellStyle name="集計 16 2 8" xfId="8979"/>
    <cellStyle name="集計 16 2 8 2" xfId="8980"/>
    <cellStyle name="集計 16 2 8 3" xfId="8981"/>
    <cellStyle name="集計 16 2 9" xfId="8982"/>
    <cellStyle name="集計 16 3" xfId="8983"/>
    <cellStyle name="集計 16 3 10" xfId="8984"/>
    <cellStyle name="集計 16 3 2" xfId="8985"/>
    <cellStyle name="集計 16 3 2 10" xfId="8986"/>
    <cellStyle name="集計 16 3 2 2" xfId="8987"/>
    <cellStyle name="集計 16 3 2 2 2" xfId="8988"/>
    <cellStyle name="集計 16 3 2 2 2 2" xfId="8989"/>
    <cellStyle name="集計 16 3 2 2 2 2 2" xfId="8990"/>
    <cellStyle name="集計 16 3 2 2 2 2 2 2" xfId="8991"/>
    <cellStyle name="集計 16 3 2 2 2 2 2 3" xfId="8992"/>
    <cellStyle name="集計 16 3 2 2 2 2 3" xfId="8993"/>
    <cellStyle name="集計 16 3 2 2 2 2 3 2" xfId="8994"/>
    <cellStyle name="集計 16 3 2 2 2 2 3 3" xfId="8995"/>
    <cellStyle name="集計 16 3 2 2 2 2 4" xfId="8996"/>
    <cellStyle name="集計 16 3 2 2 2 2 4 2" xfId="8997"/>
    <cellStyle name="集計 16 3 2 2 2 2 4 3" xfId="8998"/>
    <cellStyle name="集計 16 3 2 2 2 2 5" xfId="8999"/>
    <cellStyle name="集計 16 3 2 2 2 2 6" xfId="9000"/>
    <cellStyle name="集計 16 3 2 2 2 3" xfId="9001"/>
    <cellStyle name="集計 16 3 2 2 2 3 2" xfId="9002"/>
    <cellStyle name="集計 16 3 2 2 2 3 3" xfId="9003"/>
    <cellStyle name="集計 16 3 2 2 2 4" xfId="9004"/>
    <cellStyle name="集計 16 3 2 2 2 4 2" xfId="9005"/>
    <cellStyle name="集計 16 3 2 2 2 4 3" xfId="9006"/>
    <cellStyle name="集計 16 3 2 2 2 5" xfId="9007"/>
    <cellStyle name="集計 16 3 2 2 2 5 2" xfId="9008"/>
    <cellStyle name="集計 16 3 2 2 2 5 3" xfId="9009"/>
    <cellStyle name="集計 16 3 2 2 2 6" xfId="9010"/>
    <cellStyle name="集計 16 3 2 2 2 7" xfId="9011"/>
    <cellStyle name="集計 16 3 2 2 3" xfId="9012"/>
    <cellStyle name="集計 16 3 2 2 3 2" xfId="9013"/>
    <cellStyle name="集計 16 3 2 2 3 2 2" xfId="9014"/>
    <cellStyle name="集計 16 3 2 2 3 2 2 2" xfId="9015"/>
    <cellStyle name="集計 16 3 2 2 3 2 2 3" xfId="9016"/>
    <cellStyle name="集計 16 3 2 2 3 2 3" xfId="9017"/>
    <cellStyle name="集計 16 3 2 2 3 2 3 2" xfId="9018"/>
    <cellStyle name="集計 16 3 2 2 3 2 3 3" xfId="9019"/>
    <cellStyle name="集計 16 3 2 2 3 2 4" xfId="9020"/>
    <cellStyle name="集計 16 3 2 2 3 2 4 2" xfId="9021"/>
    <cellStyle name="集計 16 3 2 2 3 2 4 3" xfId="9022"/>
    <cellStyle name="集計 16 3 2 2 3 2 5" xfId="9023"/>
    <cellStyle name="集計 16 3 2 2 3 2 6" xfId="9024"/>
    <cellStyle name="集計 16 3 2 2 3 3" xfId="9025"/>
    <cellStyle name="集計 16 3 2 2 3 3 2" xfId="9026"/>
    <cellStyle name="集計 16 3 2 2 3 3 3" xfId="9027"/>
    <cellStyle name="集計 16 3 2 2 3 4" xfId="9028"/>
    <cellStyle name="集計 16 3 2 2 3 4 2" xfId="9029"/>
    <cellStyle name="集計 16 3 2 2 3 4 3" xfId="9030"/>
    <cellStyle name="集計 16 3 2 2 3 5" xfId="9031"/>
    <cellStyle name="集計 16 3 2 2 3 5 2" xfId="9032"/>
    <cellStyle name="集計 16 3 2 2 3 5 3" xfId="9033"/>
    <cellStyle name="集計 16 3 2 2 3 6" xfId="9034"/>
    <cellStyle name="集計 16 3 2 2 3 7" xfId="9035"/>
    <cellStyle name="集計 16 3 2 2 4" xfId="9036"/>
    <cellStyle name="集計 16 3 2 2 4 2" xfId="9037"/>
    <cellStyle name="集計 16 3 2 2 4 2 2" xfId="9038"/>
    <cellStyle name="集計 16 3 2 2 4 2 3" xfId="9039"/>
    <cellStyle name="集計 16 3 2 2 4 3" xfId="9040"/>
    <cellStyle name="集計 16 3 2 2 4 3 2" xfId="9041"/>
    <cellStyle name="集計 16 3 2 2 4 3 3" xfId="9042"/>
    <cellStyle name="集計 16 3 2 2 4 4" xfId="9043"/>
    <cellStyle name="集計 16 3 2 2 4 4 2" xfId="9044"/>
    <cellStyle name="集計 16 3 2 2 4 4 3" xfId="9045"/>
    <cellStyle name="集計 16 3 2 2 4 5" xfId="9046"/>
    <cellStyle name="集計 16 3 2 2 4 6" xfId="9047"/>
    <cellStyle name="集計 16 3 2 2 5" xfId="9048"/>
    <cellStyle name="集計 16 3 2 2 5 2" xfId="9049"/>
    <cellStyle name="集計 16 3 2 2 5 3" xfId="9050"/>
    <cellStyle name="集計 16 3 2 2 6" xfId="9051"/>
    <cellStyle name="集計 16 3 2 2 6 2" xfId="9052"/>
    <cellStyle name="集計 16 3 2 2 6 3" xfId="9053"/>
    <cellStyle name="集計 16 3 2 2 7" xfId="9054"/>
    <cellStyle name="集計 16 3 2 2 7 2" xfId="9055"/>
    <cellStyle name="集計 16 3 2 2 7 3" xfId="9056"/>
    <cellStyle name="集計 16 3 2 2 8" xfId="9057"/>
    <cellStyle name="集計 16 3 2 2 9" xfId="9058"/>
    <cellStyle name="集計 16 3 2 3" xfId="9059"/>
    <cellStyle name="集計 16 3 2 3 2" xfId="9060"/>
    <cellStyle name="集計 16 3 2 3 2 2" xfId="9061"/>
    <cellStyle name="集計 16 3 2 3 2 2 2" xfId="9062"/>
    <cellStyle name="集計 16 3 2 3 2 2 3" xfId="9063"/>
    <cellStyle name="集計 16 3 2 3 2 3" xfId="9064"/>
    <cellStyle name="集計 16 3 2 3 2 3 2" xfId="9065"/>
    <cellStyle name="集計 16 3 2 3 2 3 3" xfId="9066"/>
    <cellStyle name="集計 16 3 2 3 2 4" xfId="9067"/>
    <cellStyle name="集計 16 3 2 3 2 4 2" xfId="9068"/>
    <cellStyle name="集計 16 3 2 3 2 4 3" xfId="9069"/>
    <cellStyle name="集計 16 3 2 3 2 5" xfId="9070"/>
    <cellStyle name="集計 16 3 2 3 2 6" xfId="9071"/>
    <cellStyle name="集計 16 3 2 3 3" xfId="9072"/>
    <cellStyle name="集計 16 3 2 3 3 2" xfId="9073"/>
    <cellStyle name="集計 16 3 2 3 3 3" xfId="9074"/>
    <cellStyle name="集計 16 3 2 3 4" xfId="9075"/>
    <cellStyle name="集計 16 3 2 3 4 2" xfId="9076"/>
    <cellStyle name="集計 16 3 2 3 4 3" xfId="9077"/>
    <cellStyle name="集計 16 3 2 3 5" xfId="9078"/>
    <cellStyle name="集計 16 3 2 3 5 2" xfId="9079"/>
    <cellStyle name="集計 16 3 2 3 5 3" xfId="9080"/>
    <cellStyle name="集計 16 3 2 3 6" xfId="9081"/>
    <cellStyle name="集計 16 3 2 3 7" xfId="9082"/>
    <cellStyle name="集計 16 3 2 4" xfId="9083"/>
    <cellStyle name="集計 16 3 2 4 2" xfId="9084"/>
    <cellStyle name="集計 16 3 2 4 2 2" xfId="9085"/>
    <cellStyle name="集計 16 3 2 4 2 2 2" xfId="9086"/>
    <cellStyle name="集計 16 3 2 4 2 2 3" xfId="9087"/>
    <cellStyle name="集計 16 3 2 4 2 3" xfId="9088"/>
    <cellStyle name="集計 16 3 2 4 2 3 2" xfId="9089"/>
    <cellStyle name="集計 16 3 2 4 2 3 3" xfId="9090"/>
    <cellStyle name="集計 16 3 2 4 2 4" xfId="9091"/>
    <cellStyle name="集計 16 3 2 4 2 4 2" xfId="9092"/>
    <cellStyle name="集計 16 3 2 4 2 4 3" xfId="9093"/>
    <cellStyle name="集計 16 3 2 4 2 5" xfId="9094"/>
    <cellStyle name="集計 16 3 2 4 2 6" xfId="9095"/>
    <cellStyle name="集計 16 3 2 4 3" xfId="9096"/>
    <cellStyle name="集計 16 3 2 4 3 2" xfId="9097"/>
    <cellStyle name="集計 16 3 2 4 3 3" xfId="9098"/>
    <cellStyle name="集計 16 3 2 4 4" xfId="9099"/>
    <cellStyle name="集計 16 3 2 4 4 2" xfId="9100"/>
    <cellStyle name="集計 16 3 2 4 4 3" xfId="9101"/>
    <cellStyle name="集計 16 3 2 4 5" xfId="9102"/>
    <cellStyle name="集計 16 3 2 4 5 2" xfId="9103"/>
    <cellStyle name="集計 16 3 2 4 5 3" xfId="9104"/>
    <cellStyle name="集計 16 3 2 4 6" xfId="9105"/>
    <cellStyle name="集計 16 3 2 4 7" xfId="9106"/>
    <cellStyle name="集計 16 3 2 5" xfId="9107"/>
    <cellStyle name="集計 16 3 2 5 2" xfId="9108"/>
    <cellStyle name="集計 16 3 2 5 2 2" xfId="9109"/>
    <cellStyle name="集計 16 3 2 5 2 3" xfId="9110"/>
    <cellStyle name="集計 16 3 2 5 3" xfId="9111"/>
    <cellStyle name="集計 16 3 2 5 3 2" xfId="9112"/>
    <cellStyle name="集計 16 3 2 5 3 3" xfId="9113"/>
    <cellStyle name="集計 16 3 2 5 4" xfId="9114"/>
    <cellStyle name="集計 16 3 2 5 4 2" xfId="9115"/>
    <cellStyle name="集計 16 3 2 5 4 3" xfId="9116"/>
    <cellStyle name="集計 16 3 2 5 5" xfId="9117"/>
    <cellStyle name="集計 16 3 2 5 6" xfId="9118"/>
    <cellStyle name="集計 16 3 2 6" xfId="9119"/>
    <cellStyle name="集計 16 3 2 6 2" xfId="9120"/>
    <cellStyle name="集計 16 3 2 6 3" xfId="9121"/>
    <cellStyle name="集計 16 3 2 7" xfId="9122"/>
    <cellStyle name="集計 16 3 2 7 2" xfId="9123"/>
    <cellStyle name="集計 16 3 2 7 3" xfId="9124"/>
    <cellStyle name="集計 16 3 2 8" xfId="9125"/>
    <cellStyle name="集計 16 3 2 8 2" xfId="9126"/>
    <cellStyle name="集計 16 3 2 8 3" xfId="9127"/>
    <cellStyle name="集計 16 3 2 9" xfId="9128"/>
    <cellStyle name="集計 16 3 3" xfId="9129"/>
    <cellStyle name="集計 16 3 3 2" xfId="9130"/>
    <cellStyle name="集計 16 3 3 2 2" xfId="9131"/>
    <cellStyle name="集計 16 3 3 2 2 2" xfId="9132"/>
    <cellStyle name="集計 16 3 3 2 2 3" xfId="9133"/>
    <cellStyle name="集計 16 3 3 2 3" xfId="9134"/>
    <cellStyle name="集計 16 3 3 2 3 2" xfId="9135"/>
    <cellStyle name="集計 16 3 3 2 3 3" xfId="9136"/>
    <cellStyle name="集計 16 3 3 2 4" xfId="9137"/>
    <cellStyle name="集計 16 3 3 2 4 2" xfId="9138"/>
    <cellStyle name="集計 16 3 3 2 4 3" xfId="9139"/>
    <cellStyle name="集計 16 3 3 2 5" xfId="9140"/>
    <cellStyle name="集計 16 3 3 2 6" xfId="9141"/>
    <cellStyle name="集計 16 3 3 3" xfId="9142"/>
    <cellStyle name="集計 16 3 3 3 2" xfId="9143"/>
    <cellStyle name="集計 16 3 3 3 3" xfId="9144"/>
    <cellStyle name="集計 16 3 3 4" xfId="9145"/>
    <cellStyle name="集計 16 3 3 4 2" xfId="9146"/>
    <cellStyle name="集計 16 3 3 4 3" xfId="9147"/>
    <cellStyle name="集計 16 3 3 5" xfId="9148"/>
    <cellStyle name="集計 16 3 3 5 2" xfId="9149"/>
    <cellStyle name="集計 16 3 3 5 3" xfId="9150"/>
    <cellStyle name="集計 16 3 3 6" xfId="9151"/>
    <cellStyle name="集計 16 3 3 7" xfId="9152"/>
    <cellStyle name="集計 16 3 4" xfId="9153"/>
    <cellStyle name="集計 16 3 4 2" xfId="9154"/>
    <cellStyle name="集計 16 3 4 2 2" xfId="9155"/>
    <cellStyle name="集計 16 3 4 2 2 2" xfId="9156"/>
    <cellStyle name="集計 16 3 4 2 2 3" xfId="9157"/>
    <cellStyle name="集計 16 3 4 2 3" xfId="9158"/>
    <cellStyle name="集計 16 3 4 2 3 2" xfId="9159"/>
    <cellStyle name="集計 16 3 4 2 3 3" xfId="9160"/>
    <cellStyle name="集計 16 3 4 2 4" xfId="9161"/>
    <cellStyle name="集計 16 3 4 2 4 2" xfId="9162"/>
    <cellStyle name="集計 16 3 4 2 4 3" xfId="9163"/>
    <cellStyle name="集計 16 3 4 2 5" xfId="9164"/>
    <cellStyle name="集計 16 3 4 2 6" xfId="9165"/>
    <cellStyle name="集計 16 3 4 3" xfId="9166"/>
    <cellStyle name="集計 16 3 4 3 2" xfId="9167"/>
    <cellStyle name="集計 16 3 4 3 3" xfId="9168"/>
    <cellStyle name="集計 16 3 4 4" xfId="9169"/>
    <cellStyle name="集計 16 3 4 4 2" xfId="9170"/>
    <cellStyle name="集計 16 3 4 4 3" xfId="9171"/>
    <cellStyle name="集計 16 3 4 5" xfId="9172"/>
    <cellStyle name="集計 16 3 4 5 2" xfId="9173"/>
    <cellStyle name="集計 16 3 4 5 3" xfId="9174"/>
    <cellStyle name="集計 16 3 4 6" xfId="9175"/>
    <cellStyle name="集計 16 3 4 7" xfId="9176"/>
    <cellStyle name="集計 16 3 5" xfId="9177"/>
    <cellStyle name="集計 16 3 5 2" xfId="9178"/>
    <cellStyle name="集計 16 3 5 2 2" xfId="9179"/>
    <cellStyle name="集計 16 3 5 2 3" xfId="9180"/>
    <cellStyle name="集計 16 3 5 3" xfId="9181"/>
    <cellStyle name="集計 16 3 5 3 2" xfId="9182"/>
    <cellStyle name="集計 16 3 5 3 3" xfId="9183"/>
    <cellStyle name="集計 16 3 5 4" xfId="9184"/>
    <cellStyle name="集計 16 3 5 4 2" xfId="9185"/>
    <cellStyle name="集計 16 3 5 4 3" xfId="9186"/>
    <cellStyle name="集計 16 3 5 5" xfId="9187"/>
    <cellStyle name="集計 16 3 5 6" xfId="9188"/>
    <cellStyle name="集計 16 3 6" xfId="9189"/>
    <cellStyle name="集計 16 3 6 2" xfId="9190"/>
    <cellStyle name="集計 16 3 6 3" xfId="9191"/>
    <cellStyle name="集計 16 3 7" xfId="9192"/>
    <cellStyle name="集計 16 3 7 2" xfId="9193"/>
    <cellStyle name="集計 16 3 7 3" xfId="9194"/>
    <cellStyle name="集計 16 3 8" xfId="9195"/>
    <cellStyle name="集計 16 3 8 2" xfId="9196"/>
    <cellStyle name="集計 16 3 8 3" xfId="9197"/>
    <cellStyle name="集計 16 3 9" xfId="9198"/>
    <cellStyle name="集計 16 4" xfId="9199"/>
    <cellStyle name="集計 16 4 10" xfId="9200"/>
    <cellStyle name="集計 16 4 2" xfId="9201"/>
    <cellStyle name="集計 16 4 2 10" xfId="9202"/>
    <cellStyle name="集計 16 4 2 2" xfId="9203"/>
    <cellStyle name="集計 16 4 2 2 2" xfId="9204"/>
    <cellStyle name="集計 16 4 2 2 2 2" xfId="9205"/>
    <cellStyle name="集計 16 4 2 2 2 2 2" xfId="9206"/>
    <cellStyle name="集計 16 4 2 2 2 2 2 2" xfId="9207"/>
    <cellStyle name="集計 16 4 2 2 2 2 2 3" xfId="9208"/>
    <cellStyle name="集計 16 4 2 2 2 2 3" xfId="9209"/>
    <cellStyle name="集計 16 4 2 2 2 2 3 2" xfId="9210"/>
    <cellStyle name="集計 16 4 2 2 2 2 3 3" xfId="9211"/>
    <cellStyle name="集計 16 4 2 2 2 2 4" xfId="9212"/>
    <cellStyle name="集計 16 4 2 2 2 2 4 2" xfId="9213"/>
    <cellStyle name="集計 16 4 2 2 2 2 4 3" xfId="9214"/>
    <cellStyle name="集計 16 4 2 2 2 2 5" xfId="9215"/>
    <cellStyle name="集計 16 4 2 2 2 2 6" xfId="9216"/>
    <cellStyle name="集計 16 4 2 2 2 3" xfId="9217"/>
    <cellStyle name="集計 16 4 2 2 2 3 2" xfId="9218"/>
    <cellStyle name="集計 16 4 2 2 2 3 3" xfId="9219"/>
    <cellStyle name="集計 16 4 2 2 2 4" xfId="9220"/>
    <cellStyle name="集計 16 4 2 2 2 4 2" xfId="9221"/>
    <cellStyle name="集計 16 4 2 2 2 4 3" xfId="9222"/>
    <cellStyle name="集計 16 4 2 2 2 5" xfId="9223"/>
    <cellStyle name="集計 16 4 2 2 2 5 2" xfId="9224"/>
    <cellStyle name="集計 16 4 2 2 2 5 3" xfId="9225"/>
    <cellStyle name="集計 16 4 2 2 2 6" xfId="9226"/>
    <cellStyle name="集計 16 4 2 2 2 7" xfId="9227"/>
    <cellStyle name="集計 16 4 2 2 3" xfId="9228"/>
    <cellStyle name="集計 16 4 2 2 3 2" xfId="9229"/>
    <cellStyle name="集計 16 4 2 2 3 2 2" xfId="9230"/>
    <cellStyle name="集計 16 4 2 2 3 2 2 2" xfId="9231"/>
    <cellStyle name="集計 16 4 2 2 3 2 2 3" xfId="9232"/>
    <cellStyle name="集計 16 4 2 2 3 2 3" xfId="9233"/>
    <cellStyle name="集計 16 4 2 2 3 2 3 2" xfId="9234"/>
    <cellStyle name="集計 16 4 2 2 3 2 3 3" xfId="9235"/>
    <cellStyle name="集計 16 4 2 2 3 2 4" xfId="9236"/>
    <cellStyle name="集計 16 4 2 2 3 2 4 2" xfId="9237"/>
    <cellStyle name="集計 16 4 2 2 3 2 4 3" xfId="9238"/>
    <cellStyle name="集計 16 4 2 2 3 2 5" xfId="9239"/>
    <cellStyle name="集計 16 4 2 2 3 2 6" xfId="9240"/>
    <cellStyle name="集計 16 4 2 2 3 3" xfId="9241"/>
    <cellStyle name="集計 16 4 2 2 3 3 2" xfId="9242"/>
    <cellStyle name="集計 16 4 2 2 3 3 3" xfId="9243"/>
    <cellStyle name="集計 16 4 2 2 3 4" xfId="9244"/>
    <cellStyle name="集計 16 4 2 2 3 4 2" xfId="9245"/>
    <cellStyle name="集計 16 4 2 2 3 4 3" xfId="9246"/>
    <cellStyle name="集計 16 4 2 2 3 5" xfId="9247"/>
    <cellStyle name="集計 16 4 2 2 3 5 2" xfId="9248"/>
    <cellStyle name="集計 16 4 2 2 3 5 3" xfId="9249"/>
    <cellStyle name="集計 16 4 2 2 3 6" xfId="9250"/>
    <cellStyle name="集計 16 4 2 2 3 7" xfId="9251"/>
    <cellStyle name="集計 16 4 2 2 4" xfId="9252"/>
    <cellStyle name="集計 16 4 2 2 4 2" xfId="9253"/>
    <cellStyle name="集計 16 4 2 2 4 2 2" xfId="9254"/>
    <cellStyle name="集計 16 4 2 2 4 2 3" xfId="9255"/>
    <cellStyle name="集計 16 4 2 2 4 3" xfId="9256"/>
    <cellStyle name="集計 16 4 2 2 4 3 2" xfId="9257"/>
    <cellStyle name="集計 16 4 2 2 4 3 3" xfId="9258"/>
    <cellStyle name="集計 16 4 2 2 4 4" xfId="9259"/>
    <cellStyle name="集計 16 4 2 2 4 4 2" xfId="9260"/>
    <cellStyle name="集計 16 4 2 2 4 4 3" xfId="9261"/>
    <cellStyle name="集計 16 4 2 2 4 5" xfId="9262"/>
    <cellStyle name="集計 16 4 2 2 4 6" xfId="9263"/>
    <cellStyle name="集計 16 4 2 2 5" xfId="9264"/>
    <cellStyle name="集計 16 4 2 2 5 2" xfId="9265"/>
    <cellStyle name="集計 16 4 2 2 5 3" xfId="9266"/>
    <cellStyle name="集計 16 4 2 2 6" xfId="9267"/>
    <cellStyle name="集計 16 4 2 2 6 2" xfId="9268"/>
    <cellStyle name="集計 16 4 2 2 6 3" xfId="9269"/>
    <cellStyle name="集計 16 4 2 2 7" xfId="9270"/>
    <cellStyle name="集計 16 4 2 2 7 2" xfId="9271"/>
    <cellStyle name="集計 16 4 2 2 7 3" xfId="9272"/>
    <cellStyle name="集計 16 4 2 2 8" xfId="9273"/>
    <cellStyle name="集計 16 4 2 2 9" xfId="9274"/>
    <cellStyle name="集計 16 4 2 3" xfId="9275"/>
    <cellStyle name="集計 16 4 2 3 2" xfId="9276"/>
    <cellStyle name="集計 16 4 2 3 2 2" xfId="9277"/>
    <cellStyle name="集計 16 4 2 3 2 2 2" xfId="9278"/>
    <cellStyle name="集計 16 4 2 3 2 2 3" xfId="9279"/>
    <cellStyle name="集計 16 4 2 3 2 3" xfId="9280"/>
    <cellStyle name="集計 16 4 2 3 2 3 2" xfId="9281"/>
    <cellStyle name="集計 16 4 2 3 2 3 3" xfId="9282"/>
    <cellStyle name="集計 16 4 2 3 2 4" xfId="9283"/>
    <cellStyle name="集計 16 4 2 3 2 4 2" xfId="9284"/>
    <cellStyle name="集計 16 4 2 3 2 4 3" xfId="9285"/>
    <cellStyle name="集計 16 4 2 3 2 5" xfId="9286"/>
    <cellStyle name="集計 16 4 2 3 2 6" xfId="9287"/>
    <cellStyle name="集計 16 4 2 3 3" xfId="9288"/>
    <cellStyle name="集計 16 4 2 3 3 2" xfId="9289"/>
    <cellStyle name="集計 16 4 2 3 3 3" xfId="9290"/>
    <cellStyle name="集計 16 4 2 3 4" xfId="9291"/>
    <cellStyle name="集計 16 4 2 3 4 2" xfId="9292"/>
    <cellStyle name="集計 16 4 2 3 4 3" xfId="9293"/>
    <cellStyle name="集計 16 4 2 3 5" xfId="9294"/>
    <cellStyle name="集計 16 4 2 3 5 2" xfId="9295"/>
    <cellStyle name="集計 16 4 2 3 5 3" xfId="9296"/>
    <cellStyle name="集計 16 4 2 3 6" xfId="9297"/>
    <cellStyle name="集計 16 4 2 3 7" xfId="9298"/>
    <cellStyle name="集計 16 4 2 4" xfId="9299"/>
    <cellStyle name="集計 16 4 2 4 2" xfId="9300"/>
    <cellStyle name="集計 16 4 2 4 2 2" xfId="9301"/>
    <cellStyle name="集計 16 4 2 4 2 2 2" xfId="9302"/>
    <cellStyle name="集計 16 4 2 4 2 2 3" xfId="9303"/>
    <cellStyle name="集計 16 4 2 4 2 3" xfId="9304"/>
    <cellStyle name="集計 16 4 2 4 2 3 2" xfId="9305"/>
    <cellStyle name="集計 16 4 2 4 2 3 3" xfId="9306"/>
    <cellStyle name="集計 16 4 2 4 2 4" xfId="9307"/>
    <cellStyle name="集計 16 4 2 4 2 4 2" xfId="9308"/>
    <cellStyle name="集計 16 4 2 4 2 4 3" xfId="9309"/>
    <cellStyle name="集計 16 4 2 4 2 5" xfId="9310"/>
    <cellStyle name="集計 16 4 2 4 2 6" xfId="9311"/>
    <cellStyle name="集計 16 4 2 4 3" xfId="9312"/>
    <cellStyle name="集計 16 4 2 4 3 2" xfId="9313"/>
    <cellStyle name="集計 16 4 2 4 3 3" xfId="9314"/>
    <cellStyle name="集計 16 4 2 4 4" xfId="9315"/>
    <cellStyle name="集計 16 4 2 4 4 2" xfId="9316"/>
    <cellStyle name="集計 16 4 2 4 4 3" xfId="9317"/>
    <cellStyle name="集計 16 4 2 4 5" xfId="9318"/>
    <cellStyle name="集計 16 4 2 4 5 2" xfId="9319"/>
    <cellStyle name="集計 16 4 2 4 5 3" xfId="9320"/>
    <cellStyle name="集計 16 4 2 4 6" xfId="9321"/>
    <cellStyle name="集計 16 4 2 4 7" xfId="9322"/>
    <cellStyle name="集計 16 4 2 5" xfId="9323"/>
    <cellStyle name="集計 16 4 2 5 2" xfId="9324"/>
    <cellStyle name="集計 16 4 2 5 2 2" xfId="9325"/>
    <cellStyle name="集計 16 4 2 5 2 3" xfId="9326"/>
    <cellStyle name="集計 16 4 2 5 3" xfId="9327"/>
    <cellStyle name="集計 16 4 2 5 3 2" xfId="9328"/>
    <cellStyle name="集計 16 4 2 5 3 3" xfId="9329"/>
    <cellStyle name="集計 16 4 2 5 4" xfId="9330"/>
    <cellStyle name="集計 16 4 2 5 4 2" xfId="9331"/>
    <cellStyle name="集計 16 4 2 5 4 3" xfId="9332"/>
    <cellStyle name="集計 16 4 2 5 5" xfId="9333"/>
    <cellStyle name="集計 16 4 2 5 6" xfId="9334"/>
    <cellStyle name="集計 16 4 2 6" xfId="9335"/>
    <cellStyle name="集計 16 4 2 6 2" xfId="9336"/>
    <cellStyle name="集計 16 4 2 6 3" xfId="9337"/>
    <cellStyle name="集計 16 4 2 7" xfId="9338"/>
    <cellStyle name="集計 16 4 2 7 2" xfId="9339"/>
    <cellStyle name="集計 16 4 2 7 3" xfId="9340"/>
    <cellStyle name="集計 16 4 2 8" xfId="9341"/>
    <cellStyle name="集計 16 4 2 8 2" xfId="9342"/>
    <cellStyle name="集計 16 4 2 8 3" xfId="9343"/>
    <cellStyle name="集計 16 4 2 9" xfId="9344"/>
    <cellStyle name="集計 16 4 3" xfId="9345"/>
    <cellStyle name="集計 16 4 3 2" xfId="9346"/>
    <cellStyle name="集計 16 4 3 2 2" xfId="9347"/>
    <cellStyle name="集計 16 4 3 2 2 2" xfId="9348"/>
    <cellStyle name="集計 16 4 3 2 2 3" xfId="9349"/>
    <cellStyle name="集計 16 4 3 2 3" xfId="9350"/>
    <cellStyle name="集計 16 4 3 2 3 2" xfId="9351"/>
    <cellStyle name="集計 16 4 3 2 3 3" xfId="9352"/>
    <cellStyle name="集計 16 4 3 2 4" xfId="9353"/>
    <cellStyle name="集計 16 4 3 2 4 2" xfId="9354"/>
    <cellStyle name="集計 16 4 3 2 4 3" xfId="9355"/>
    <cellStyle name="集計 16 4 3 2 5" xfId="9356"/>
    <cellStyle name="集計 16 4 3 2 6" xfId="9357"/>
    <cellStyle name="集計 16 4 3 3" xfId="9358"/>
    <cellStyle name="集計 16 4 3 3 2" xfId="9359"/>
    <cellStyle name="集計 16 4 3 3 3" xfId="9360"/>
    <cellStyle name="集計 16 4 3 4" xfId="9361"/>
    <cellStyle name="集計 16 4 3 4 2" xfId="9362"/>
    <cellStyle name="集計 16 4 3 4 3" xfId="9363"/>
    <cellStyle name="集計 16 4 3 5" xfId="9364"/>
    <cellStyle name="集計 16 4 3 5 2" xfId="9365"/>
    <cellStyle name="集計 16 4 3 5 3" xfId="9366"/>
    <cellStyle name="集計 16 4 3 6" xfId="9367"/>
    <cellStyle name="集計 16 4 3 7" xfId="9368"/>
    <cellStyle name="集計 16 4 4" xfId="9369"/>
    <cellStyle name="集計 16 4 4 2" xfId="9370"/>
    <cellStyle name="集計 16 4 4 2 2" xfId="9371"/>
    <cellStyle name="集計 16 4 4 2 2 2" xfId="9372"/>
    <cellStyle name="集計 16 4 4 2 2 3" xfId="9373"/>
    <cellStyle name="集計 16 4 4 2 3" xfId="9374"/>
    <cellStyle name="集計 16 4 4 2 3 2" xfId="9375"/>
    <cellStyle name="集計 16 4 4 2 3 3" xfId="9376"/>
    <cellStyle name="集計 16 4 4 2 4" xfId="9377"/>
    <cellStyle name="集計 16 4 4 2 4 2" xfId="9378"/>
    <cellStyle name="集計 16 4 4 2 4 3" xfId="9379"/>
    <cellStyle name="集計 16 4 4 2 5" xfId="9380"/>
    <cellStyle name="集計 16 4 4 2 6" xfId="9381"/>
    <cellStyle name="集計 16 4 4 3" xfId="9382"/>
    <cellStyle name="集計 16 4 4 3 2" xfId="9383"/>
    <cellStyle name="集計 16 4 4 3 3" xfId="9384"/>
    <cellStyle name="集計 16 4 4 4" xfId="9385"/>
    <cellStyle name="集計 16 4 4 4 2" xfId="9386"/>
    <cellStyle name="集計 16 4 4 4 3" xfId="9387"/>
    <cellStyle name="集計 16 4 4 5" xfId="9388"/>
    <cellStyle name="集計 16 4 4 5 2" xfId="9389"/>
    <cellStyle name="集計 16 4 4 5 3" xfId="9390"/>
    <cellStyle name="集計 16 4 4 6" xfId="9391"/>
    <cellStyle name="集計 16 4 4 7" xfId="9392"/>
    <cellStyle name="集計 16 4 5" xfId="9393"/>
    <cellStyle name="集計 16 4 5 2" xfId="9394"/>
    <cellStyle name="集計 16 4 5 2 2" xfId="9395"/>
    <cellStyle name="集計 16 4 5 2 3" xfId="9396"/>
    <cellStyle name="集計 16 4 5 3" xfId="9397"/>
    <cellStyle name="集計 16 4 5 3 2" xfId="9398"/>
    <cellStyle name="集計 16 4 5 3 3" xfId="9399"/>
    <cellStyle name="集計 16 4 5 4" xfId="9400"/>
    <cellStyle name="集計 16 4 5 4 2" xfId="9401"/>
    <cellStyle name="集計 16 4 5 4 3" xfId="9402"/>
    <cellStyle name="集計 16 4 5 5" xfId="9403"/>
    <cellStyle name="集計 16 4 5 6" xfId="9404"/>
    <cellStyle name="集計 16 4 6" xfId="9405"/>
    <cellStyle name="集計 16 4 6 2" xfId="9406"/>
    <cellStyle name="集計 16 4 6 3" xfId="9407"/>
    <cellStyle name="集計 16 4 7" xfId="9408"/>
    <cellStyle name="集計 16 4 7 2" xfId="9409"/>
    <cellStyle name="集計 16 4 7 3" xfId="9410"/>
    <cellStyle name="集計 16 4 8" xfId="9411"/>
    <cellStyle name="集計 16 4 8 2" xfId="9412"/>
    <cellStyle name="集計 16 4 8 3" xfId="9413"/>
    <cellStyle name="集計 16 4 9" xfId="9414"/>
    <cellStyle name="集計 16 5" xfId="9415"/>
    <cellStyle name="集計 16 5 10" xfId="9416"/>
    <cellStyle name="集計 16 5 2" xfId="9417"/>
    <cellStyle name="集計 16 5 2 2" xfId="9418"/>
    <cellStyle name="集計 16 5 2 2 2" xfId="9419"/>
    <cellStyle name="集計 16 5 2 2 2 2" xfId="9420"/>
    <cellStyle name="集計 16 5 2 2 2 2 2" xfId="9421"/>
    <cellStyle name="集計 16 5 2 2 2 2 3" xfId="9422"/>
    <cellStyle name="集計 16 5 2 2 2 3" xfId="9423"/>
    <cellStyle name="集計 16 5 2 2 2 3 2" xfId="9424"/>
    <cellStyle name="集計 16 5 2 2 2 3 3" xfId="9425"/>
    <cellStyle name="集計 16 5 2 2 2 4" xfId="9426"/>
    <cellStyle name="集計 16 5 2 2 2 4 2" xfId="9427"/>
    <cellStyle name="集計 16 5 2 2 2 4 3" xfId="9428"/>
    <cellStyle name="集計 16 5 2 2 2 5" xfId="9429"/>
    <cellStyle name="集計 16 5 2 2 2 6" xfId="9430"/>
    <cellStyle name="集計 16 5 2 2 3" xfId="9431"/>
    <cellStyle name="集計 16 5 2 2 3 2" xfId="9432"/>
    <cellStyle name="集計 16 5 2 2 3 3" xfId="9433"/>
    <cellStyle name="集計 16 5 2 2 4" xfId="9434"/>
    <cellStyle name="集計 16 5 2 2 4 2" xfId="9435"/>
    <cellStyle name="集計 16 5 2 2 4 3" xfId="9436"/>
    <cellStyle name="集計 16 5 2 2 5" xfId="9437"/>
    <cellStyle name="集計 16 5 2 2 5 2" xfId="9438"/>
    <cellStyle name="集計 16 5 2 2 5 3" xfId="9439"/>
    <cellStyle name="集計 16 5 2 2 6" xfId="9440"/>
    <cellStyle name="集計 16 5 2 2 7" xfId="9441"/>
    <cellStyle name="集計 16 5 2 3" xfId="9442"/>
    <cellStyle name="集計 16 5 2 3 2" xfId="9443"/>
    <cellStyle name="集計 16 5 2 3 2 2" xfId="9444"/>
    <cellStyle name="集計 16 5 2 3 2 2 2" xfId="9445"/>
    <cellStyle name="集計 16 5 2 3 2 2 3" xfId="9446"/>
    <cellStyle name="集計 16 5 2 3 2 3" xfId="9447"/>
    <cellStyle name="集計 16 5 2 3 2 3 2" xfId="9448"/>
    <cellStyle name="集計 16 5 2 3 2 3 3" xfId="9449"/>
    <cellStyle name="集計 16 5 2 3 2 4" xfId="9450"/>
    <cellStyle name="集計 16 5 2 3 2 4 2" xfId="9451"/>
    <cellStyle name="集計 16 5 2 3 2 4 3" xfId="9452"/>
    <cellStyle name="集計 16 5 2 3 2 5" xfId="9453"/>
    <cellStyle name="集計 16 5 2 3 2 6" xfId="9454"/>
    <cellStyle name="集計 16 5 2 3 3" xfId="9455"/>
    <cellStyle name="集計 16 5 2 3 3 2" xfId="9456"/>
    <cellStyle name="集計 16 5 2 3 3 3" xfId="9457"/>
    <cellStyle name="集計 16 5 2 3 4" xfId="9458"/>
    <cellStyle name="集計 16 5 2 3 4 2" xfId="9459"/>
    <cellStyle name="集計 16 5 2 3 4 3" xfId="9460"/>
    <cellStyle name="集計 16 5 2 3 5" xfId="9461"/>
    <cellStyle name="集計 16 5 2 3 5 2" xfId="9462"/>
    <cellStyle name="集計 16 5 2 3 5 3" xfId="9463"/>
    <cellStyle name="集計 16 5 2 3 6" xfId="9464"/>
    <cellStyle name="集計 16 5 2 3 7" xfId="9465"/>
    <cellStyle name="集計 16 5 2 4" xfId="9466"/>
    <cellStyle name="集計 16 5 2 4 2" xfId="9467"/>
    <cellStyle name="集計 16 5 2 4 2 2" xfId="9468"/>
    <cellStyle name="集計 16 5 2 4 2 3" xfId="9469"/>
    <cellStyle name="集計 16 5 2 4 3" xfId="9470"/>
    <cellStyle name="集計 16 5 2 4 3 2" xfId="9471"/>
    <cellStyle name="集計 16 5 2 4 3 3" xfId="9472"/>
    <cellStyle name="集計 16 5 2 4 4" xfId="9473"/>
    <cellStyle name="集計 16 5 2 4 4 2" xfId="9474"/>
    <cellStyle name="集計 16 5 2 4 4 3" xfId="9475"/>
    <cellStyle name="集計 16 5 2 4 5" xfId="9476"/>
    <cellStyle name="集計 16 5 2 4 6" xfId="9477"/>
    <cellStyle name="集計 16 5 2 5" xfId="9478"/>
    <cellStyle name="集計 16 5 2 5 2" xfId="9479"/>
    <cellStyle name="集計 16 5 2 5 3" xfId="9480"/>
    <cellStyle name="集計 16 5 2 6" xfId="9481"/>
    <cellStyle name="集計 16 5 2 6 2" xfId="9482"/>
    <cellStyle name="集計 16 5 2 6 3" xfId="9483"/>
    <cellStyle name="集計 16 5 2 7" xfId="9484"/>
    <cellStyle name="集計 16 5 2 7 2" xfId="9485"/>
    <cellStyle name="集計 16 5 2 7 3" xfId="9486"/>
    <cellStyle name="集計 16 5 2 8" xfId="9487"/>
    <cellStyle name="集計 16 5 2 9" xfId="9488"/>
    <cellStyle name="集計 16 5 3" xfId="9489"/>
    <cellStyle name="集計 16 5 3 2" xfId="9490"/>
    <cellStyle name="集計 16 5 3 2 2" xfId="9491"/>
    <cellStyle name="集計 16 5 3 2 2 2" xfId="9492"/>
    <cellStyle name="集計 16 5 3 2 2 3" xfId="9493"/>
    <cellStyle name="集計 16 5 3 2 3" xfId="9494"/>
    <cellStyle name="集計 16 5 3 2 3 2" xfId="9495"/>
    <cellStyle name="集計 16 5 3 2 3 3" xfId="9496"/>
    <cellStyle name="集計 16 5 3 2 4" xfId="9497"/>
    <cellStyle name="集計 16 5 3 2 4 2" xfId="9498"/>
    <cellStyle name="集計 16 5 3 2 4 3" xfId="9499"/>
    <cellStyle name="集計 16 5 3 2 5" xfId="9500"/>
    <cellStyle name="集計 16 5 3 2 6" xfId="9501"/>
    <cellStyle name="集計 16 5 3 3" xfId="9502"/>
    <cellStyle name="集計 16 5 3 3 2" xfId="9503"/>
    <cellStyle name="集計 16 5 3 3 3" xfId="9504"/>
    <cellStyle name="集計 16 5 3 4" xfId="9505"/>
    <cellStyle name="集計 16 5 3 4 2" xfId="9506"/>
    <cellStyle name="集計 16 5 3 4 3" xfId="9507"/>
    <cellStyle name="集計 16 5 3 5" xfId="9508"/>
    <cellStyle name="集計 16 5 3 5 2" xfId="9509"/>
    <cellStyle name="集計 16 5 3 5 3" xfId="9510"/>
    <cellStyle name="集計 16 5 3 6" xfId="9511"/>
    <cellStyle name="集計 16 5 3 7" xfId="9512"/>
    <cellStyle name="集計 16 5 4" xfId="9513"/>
    <cellStyle name="集計 16 5 4 2" xfId="9514"/>
    <cellStyle name="集計 16 5 4 2 2" xfId="9515"/>
    <cellStyle name="集計 16 5 4 2 2 2" xfId="9516"/>
    <cellStyle name="集計 16 5 4 2 2 3" xfId="9517"/>
    <cellStyle name="集計 16 5 4 2 3" xfId="9518"/>
    <cellStyle name="集計 16 5 4 2 3 2" xfId="9519"/>
    <cellStyle name="集計 16 5 4 2 3 3" xfId="9520"/>
    <cellStyle name="集計 16 5 4 2 4" xfId="9521"/>
    <cellStyle name="集計 16 5 4 2 4 2" xfId="9522"/>
    <cellStyle name="集計 16 5 4 2 4 3" xfId="9523"/>
    <cellStyle name="集計 16 5 4 2 5" xfId="9524"/>
    <cellStyle name="集計 16 5 4 2 6" xfId="9525"/>
    <cellStyle name="集計 16 5 4 3" xfId="9526"/>
    <cellStyle name="集計 16 5 4 3 2" xfId="9527"/>
    <cellStyle name="集計 16 5 4 3 3" xfId="9528"/>
    <cellStyle name="集計 16 5 4 4" xfId="9529"/>
    <cellStyle name="集計 16 5 4 4 2" xfId="9530"/>
    <cellStyle name="集計 16 5 4 4 3" xfId="9531"/>
    <cellStyle name="集計 16 5 4 5" xfId="9532"/>
    <cellStyle name="集計 16 5 4 5 2" xfId="9533"/>
    <cellStyle name="集計 16 5 4 5 3" xfId="9534"/>
    <cellStyle name="集計 16 5 4 6" xfId="9535"/>
    <cellStyle name="集計 16 5 4 7" xfId="9536"/>
    <cellStyle name="集計 16 5 5" xfId="9537"/>
    <cellStyle name="集計 16 5 5 2" xfId="9538"/>
    <cellStyle name="集計 16 5 5 2 2" xfId="9539"/>
    <cellStyle name="集計 16 5 5 2 3" xfId="9540"/>
    <cellStyle name="集計 16 5 5 3" xfId="9541"/>
    <cellStyle name="集計 16 5 5 3 2" xfId="9542"/>
    <cellStyle name="集計 16 5 5 3 3" xfId="9543"/>
    <cellStyle name="集計 16 5 5 4" xfId="9544"/>
    <cellStyle name="集計 16 5 5 4 2" xfId="9545"/>
    <cellStyle name="集計 16 5 5 4 3" xfId="9546"/>
    <cellStyle name="集計 16 5 5 5" xfId="9547"/>
    <cellStyle name="集計 16 5 5 6" xfId="9548"/>
    <cellStyle name="集計 16 5 6" xfId="9549"/>
    <cellStyle name="集計 16 5 6 2" xfId="9550"/>
    <cellStyle name="集計 16 5 6 3" xfId="9551"/>
    <cellStyle name="集計 16 5 7" xfId="9552"/>
    <cellStyle name="集計 16 5 7 2" xfId="9553"/>
    <cellStyle name="集計 16 5 7 3" xfId="9554"/>
    <cellStyle name="集計 16 5 8" xfId="9555"/>
    <cellStyle name="集計 16 5 8 2" xfId="9556"/>
    <cellStyle name="集計 16 5 8 3" xfId="9557"/>
    <cellStyle name="集計 16 5 9" xfId="9558"/>
    <cellStyle name="集計 16 6" xfId="9559"/>
    <cellStyle name="集計 16 6 10" xfId="9560"/>
    <cellStyle name="集計 16 6 2" xfId="9561"/>
    <cellStyle name="集計 16 6 2 2" xfId="9562"/>
    <cellStyle name="集計 16 6 2 2 2" xfId="9563"/>
    <cellStyle name="集計 16 6 2 2 2 2" xfId="9564"/>
    <cellStyle name="集計 16 6 2 2 2 2 2" xfId="9565"/>
    <cellStyle name="集計 16 6 2 2 2 2 3" xfId="9566"/>
    <cellStyle name="集計 16 6 2 2 2 3" xfId="9567"/>
    <cellStyle name="集計 16 6 2 2 2 3 2" xfId="9568"/>
    <cellStyle name="集計 16 6 2 2 2 3 3" xfId="9569"/>
    <cellStyle name="集計 16 6 2 2 2 4" xfId="9570"/>
    <cellStyle name="集計 16 6 2 2 2 4 2" xfId="9571"/>
    <cellStyle name="集計 16 6 2 2 2 4 3" xfId="9572"/>
    <cellStyle name="集計 16 6 2 2 2 5" xfId="9573"/>
    <cellStyle name="集計 16 6 2 2 2 6" xfId="9574"/>
    <cellStyle name="集計 16 6 2 2 3" xfId="9575"/>
    <cellStyle name="集計 16 6 2 2 3 2" xfId="9576"/>
    <cellStyle name="集計 16 6 2 2 3 3" xfId="9577"/>
    <cellStyle name="集計 16 6 2 2 4" xfId="9578"/>
    <cellStyle name="集計 16 6 2 2 4 2" xfId="9579"/>
    <cellStyle name="集計 16 6 2 2 4 3" xfId="9580"/>
    <cellStyle name="集計 16 6 2 2 5" xfId="9581"/>
    <cellStyle name="集計 16 6 2 2 5 2" xfId="9582"/>
    <cellStyle name="集計 16 6 2 2 5 3" xfId="9583"/>
    <cellStyle name="集計 16 6 2 2 6" xfId="9584"/>
    <cellStyle name="集計 16 6 2 2 7" xfId="9585"/>
    <cellStyle name="集計 16 6 2 3" xfId="9586"/>
    <cellStyle name="集計 16 6 2 3 2" xfId="9587"/>
    <cellStyle name="集計 16 6 2 3 2 2" xfId="9588"/>
    <cellStyle name="集計 16 6 2 3 2 2 2" xfId="9589"/>
    <cellStyle name="集計 16 6 2 3 2 2 3" xfId="9590"/>
    <cellStyle name="集計 16 6 2 3 2 3" xfId="9591"/>
    <cellStyle name="集計 16 6 2 3 2 3 2" xfId="9592"/>
    <cellStyle name="集計 16 6 2 3 2 3 3" xfId="9593"/>
    <cellStyle name="集計 16 6 2 3 2 4" xfId="9594"/>
    <cellStyle name="集計 16 6 2 3 2 4 2" xfId="9595"/>
    <cellStyle name="集計 16 6 2 3 2 4 3" xfId="9596"/>
    <cellStyle name="集計 16 6 2 3 2 5" xfId="9597"/>
    <cellStyle name="集計 16 6 2 3 2 6" xfId="9598"/>
    <cellStyle name="集計 16 6 2 3 3" xfId="9599"/>
    <cellStyle name="集計 16 6 2 3 3 2" xfId="9600"/>
    <cellStyle name="集計 16 6 2 3 3 3" xfId="9601"/>
    <cellStyle name="集計 16 6 2 3 4" xfId="9602"/>
    <cellStyle name="集計 16 6 2 3 4 2" xfId="9603"/>
    <cellStyle name="集計 16 6 2 3 4 3" xfId="9604"/>
    <cellStyle name="集計 16 6 2 3 5" xfId="9605"/>
    <cellStyle name="集計 16 6 2 3 5 2" xfId="9606"/>
    <cellStyle name="集計 16 6 2 3 5 3" xfId="9607"/>
    <cellStyle name="集計 16 6 2 3 6" xfId="9608"/>
    <cellStyle name="集計 16 6 2 3 7" xfId="9609"/>
    <cellStyle name="集計 16 6 2 4" xfId="9610"/>
    <cellStyle name="集計 16 6 2 4 2" xfId="9611"/>
    <cellStyle name="集計 16 6 2 4 2 2" xfId="9612"/>
    <cellStyle name="集計 16 6 2 4 2 3" xfId="9613"/>
    <cellStyle name="集計 16 6 2 4 3" xfId="9614"/>
    <cellStyle name="集計 16 6 2 4 3 2" xfId="9615"/>
    <cellStyle name="集計 16 6 2 4 3 3" xfId="9616"/>
    <cellStyle name="集計 16 6 2 4 4" xfId="9617"/>
    <cellStyle name="集計 16 6 2 4 4 2" xfId="9618"/>
    <cellStyle name="集計 16 6 2 4 4 3" xfId="9619"/>
    <cellStyle name="集計 16 6 2 4 5" xfId="9620"/>
    <cellStyle name="集計 16 6 2 4 6" xfId="9621"/>
    <cellStyle name="集計 16 6 2 5" xfId="9622"/>
    <cellStyle name="集計 16 6 2 5 2" xfId="9623"/>
    <cellStyle name="集計 16 6 2 5 3" xfId="9624"/>
    <cellStyle name="集計 16 6 2 6" xfId="9625"/>
    <cellStyle name="集計 16 6 2 6 2" xfId="9626"/>
    <cellStyle name="集計 16 6 2 6 3" xfId="9627"/>
    <cellStyle name="集計 16 6 2 7" xfId="9628"/>
    <cellStyle name="集計 16 6 2 7 2" xfId="9629"/>
    <cellStyle name="集計 16 6 2 7 3" xfId="9630"/>
    <cellStyle name="集計 16 6 2 8" xfId="9631"/>
    <cellStyle name="集計 16 6 2 9" xfId="9632"/>
    <cellStyle name="集計 16 6 3" xfId="9633"/>
    <cellStyle name="集計 16 6 3 2" xfId="9634"/>
    <cellStyle name="集計 16 6 3 2 2" xfId="9635"/>
    <cellStyle name="集計 16 6 3 2 2 2" xfId="9636"/>
    <cellStyle name="集計 16 6 3 2 2 3" xfId="9637"/>
    <cellStyle name="集計 16 6 3 2 3" xfId="9638"/>
    <cellStyle name="集計 16 6 3 2 3 2" xfId="9639"/>
    <cellStyle name="集計 16 6 3 2 3 3" xfId="9640"/>
    <cellStyle name="集計 16 6 3 2 4" xfId="9641"/>
    <cellStyle name="集計 16 6 3 2 4 2" xfId="9642"/>
    <cellStyle name="集計 16 6 3 2 4 3" xfId="9643"/>
    <cellStyle name="集計 16 6 3 2 5" xfId="9644"/>
    <cellStyle name="集計 16 6 3 2 6" xfId="9645"/>
    <cellStyle name="集計 16 6 3 3" xfId="9646"/>
    <cellStyle name="集計 16 6 3 3 2" xfId="9647"/>
    <cellStyle name="集計 16 6 3 3 3" xfId="9648"/>
    <cellStyle name="集計 16 6 3 4" xfId="9649"/>
    <cellStyle name="集計 16 6 3 4 2" xfId="9650"/>
    <cellStyle name="集計 16 6 3 4 3" xfId="9651"/>
    <cellStyle name="集計 16 6 3 5" xfId="9652"/>
    <cellStyle name="集計 16 6 3 5 2" xfId="9653"/>
    <cellStyle name="集計 16 6 3 5 3" xfId="9654"/>
    <cellStyle name="集計 16 6 3 6" xfId="9655"/>
    <cellStyle name="集計 16 6 3 7" xfId="9656"/>
    <cellStyle name="集計 16 6 4" xfId="9657"/>
    <cellStyle name="集計 16 6 4 2" xfId="9658"/>
    <cellStyle name="集計 16 6 4 2 2" xfId="9659"/>
    <cellStyle name="集計 16 6 4 2 2 2" xfId="9660"/>
    <cellStyle name="集計 16 6 4 2 2 3" xfId="9661"/>
    <cellStyle name="集計 16 6 4 2 3" xfId="9662"/>
    <cellStyle name="集計 16 6 4 2 3 2" xfId="9663"/>
    <cellStyle name="集計 16 6 4 2 3 3" xfId="9664"/>
    <cellStyle name="集計 16 6 4 2 4" xfId="9665"/>
    <cellStyle name="集計 16 6 4 2 4 2" xfId="9666"/>
    <cellStyle name="集計 16 6 4 2 4 3" xfId="9667"/>
    <cellStyle name="集計 16 6 4 2 5" xfId="9668"/>
    <cellStyle name="集計 16 6 4 2 6" xfId="9669"/>
    <cellStyle name="集計 16 6 4 3" xfId="9670"/>
    <cellStyle name="集計 16 6 4 3 2" xfId="9671"/>
    <cellStyle name="集計 16 6 4 3 3" xfId="9672"/>
    <cellStyle name="集計 16 6 4 4" xfId="9673"/>
    <cellStyle name="集計 16 6 4 4 2" xfId="9674"/>
    <cellStyle name="集計 16 6 4 4 3" xfId="9675"/>
    <cellStyle name="集計 16 6 4 5" xfId="9676"/>
    <cellStyle name="集計 16 6 4 5 2" xfId="9677"/>
    <cellStyle name="集計 16 6 4 5 3" xfId="9678"/>
    <cellStyle name="集計 16 6 4 6" xfId="9679"/>
    <cellStyle name="集計 16 6 4 7" xfId="9680"/>
    <cellStyle name="集計 16 6 5" xfId="9681"/>
    <cellStyle name="集計 16 6 5 2" xfId="9682"/>
    <cellStyle name="集計 16 6 5 2 2" xfId="9683"/>
    <cellStyle name="集計 16 6 5 2 3" xfId="9684"/>
    <cellStyle name="集計 16 6 5 3" xfId="9685"/>
    <cellStyle name="集計 16 6 5 3 2" xfId="9686"/>
    <cellStyle name="集計 16 6 5 3 3" xfId="9687"/>
    <cellStyle name="集計 16 6 5 4" xfId="9688"/>
    <cellStyle name="集計 16 6 5 4 2" xfId="9689"/>
    <cellStyle name="集計 16 6 5 4 3" xfId="9690"/>
    <cellStyle name="集計 16 6 5 5" xfId="9691"/>
    <cellStyle name="集計 16 6 5 6" xfId="9692"/>
    <cellStyle name="集計 16 6 6" xfId="9693"/>
    <cellStyle name="集計 16 6 6 2" xfId="9694"/>
    <cellStyle name="集計 16 6 6 3" xfId="9695"/>
    <cellStyle name="集計 16 6 7" xfId="9696"/>
    <cellStyle name="集計 16 6 7 2" xfId="9697"/>
    <cellStyle name="集計 16 6 7 3" xfId="9698"/>
    <cellStyle name="集計 16 6 8" xfId="9699"/>
    <cellStyle name="集計 16 6 8 2" xfId="9700"/>
    <cellStyle name="集計 16 6 8 3" xfId="9701"/>
    <cellStyle name="集計 16 6 9" xfId="9702"/>
    <cellStyle name="集計 16 7" xfId="9703"/>
    <cellStyle name="集計 16 7 2" xfId="9704"/>
    <cellStyle name="集計 16 7 2 2" xfId="9705"/>
    <cellStyle name="集計 16 7 2 2 2" xfId="9706"/>
    <cellStyle name="集計 16 7 2 2 3" xfId="9707"/>
    <cellStyle name="集計 16 7 2 3" xfId="9708"/>
    <cellStyle name="集計 16 7 2 3 2" xfId="9709"/>
    <cellStyle name="集計 16 7 2 3 3" xfId="9710"/>
    <cellStyle name="集計 16 7 2 4" xfId="9711"/>
    <cellStyle name="集計 16 7 2 4 2" xfId="9712"/>
    <cellStyle name="集計 16 7 2 4 3" xfId="9713"/>
    <cellStyle name="集計 16 7 2 5" xfId="9714"/>
    <cellStyle name="集計 16 7 2 6" xfId="9715"/>
    <cellStyle name="集計 16 7 3" xfId="9716"/>
    <cellStyle name="集計 16 7 3 2" xfId="9717"/>
    <cellStyle name="集計 16 7 3 3" xfId="9718"/>
    <cellStyle name="集計 16 7 4" xfId="9719"/>
    <cellStyle name="集計 16 7 4 2" xfId="9720"/>
    <cellStyle name="集計 16 7 4 3" xfId="9721"/>
    <cellStyle name="集計 16 7 5" xfId="9722"/>
    <cellStyle name="集計 16 7 5 2" xfId="9723"/>
    <cellStyle name="集計 16 7 5 3" xfId="9724"/>
    <cellStyle name="集計 16 7 6" xfId="9725"/>
    <cellStyle name="集計 16 7 7" xfId="9726"/>
    <cellStyle name="集計 16 8" xfId="9727"/>
    <cellStyle name="集計 16 8 2" xfId="9728"/>
    <cellStyle name="集計 16 8 2 2" xfId="9729"/>
    <cellStyle name="集計 16 8 2 2 2" xfId="9730"/>
    <cellStyle name="集計 16 8 2 2 3" xfId="9731"/>
    <cellStyle name="集計 16 8 2 3" xfId="9732"/>
    <cellStyle name="集計 16 8 2 3 2" xfId="9733"/>
    <cellStyle name="集計 16 8 2 3 3" xfId="9734"/>
    <cellStyle name="集計 16 8 2 4" xfId="9735"/>
    <cellStyle name="集計 16 8 2 4 2" xfId="9736"/>
    <cellStyle name="集計 16 8 2 4 3" xfId="9737"/>
    <cellStyle name="集計 16 8 2 5" xfId="9738"/>
    <cellStyle name="集計 16 8 2 6" xfId="9739"/>
    <cellStyle name="集計 16 8 3" xfId="9740"/>
    <cellStyle name="集計 16 8 3 2" xfId="9741"/>
    <cellStyle name="集計 16 8 3 3" xfId="9742"/>
    <cellStyle name="集計 16 8 4" xfId="9743"/>
    <cellStyle name="集計 16 8 4 2" xfId="9744"/>
    <cellStyle name="集計 16 8 4 3" xfId="9745"/>
    <cellStyle name="集計 16 8 5" xfId="9746"/>
    <cellStyle name="集計 16 8 5 2" xfId="9747"/>
    <cellStyle name="集計 16 8 5 3" xfId="9748"/>
    <cellStyle name="集計 16 8 6" xfId="9749"/>
    <cellStyle name="集計 16 8 7" xfId="9750"/>
    <cellStyle name="集計 16 9" xfId="9751"/>
    <cellStyle name="集計 16 9 2" xfId="9752"/>
    <cellStyle name="集計 16 9 2 2" xfId="9753"/>
    <cellStyle name="集計 16 9 2 3" xfId="9754"/>
    <cellStyle name="集計 16 9 3" xfId="9755"/>
    <cellStyle name="集計 16 9 3 2" xfId="9756"/>
    <cellStyle name="集計 16 9 3 3" xfId="9757"/>
    <cellStyle name="集計 16 9 4" xfId="9758"/>
    <cellStyle name="集計 16 9 4 2" xfId="9759"/>
    <cellStyle name="集計 16 9 4 3" xfId="9760"/>
    <cellStyle name="集計 16 9 5" xfId="9761"/>
    <cellStyle name="集計 16 9 6" xfId="9762"/>
    <cellStyle name="集計 17" xfId="9763"/>
    <cellStyle name="集計 17 10" xfId="9764"/>
    <cellStyle name="集計 17 10 2" xfId="9765"/>
    <cellStyle name="集計 17 10 3" xfId="9766"/>
    <cellStyle name="集計 17 11" xfId="9767"/>
    <cellStyle name="集計 17 11 2" xfId="9768"/>
    <cellStyle name="集計 17 11 3" xfId="9769"/>
    <cellStyle name="集計 17 12" xfId="9770"/>
    <cellStyle name="集計 17 12 2" xfId="9771"/>
    <cellStyle name="集計 17 12 3" xfId="9772"/>
    <cellStyle name="集計 17 13" xfId="9773"/>
    <cellStyle name="集計 17 14" xfId="9774"/>
    <cellStyle name="集計 17 2" xfId="9775"/>
    <cellStyle name="集計 17 2 10" xfId="9776"/>
    <cellStyle name="集計 17 2 2" xfId="9777"/>
    <cellStyle name="集計 17 2 2 10" xfId="9778"/>
    <cellStyle name="集計 17 2 2 2" xfId="9779"/>
    <cellStyle name="集計 17 2 2 2 2" xfId="9780"/>
    <cellStyle name="集計 17 2 2 2 2 2" xfId="9781"/>
    <cellStyle name="集計 17 2 2 2 2 2 2" xfId="9782"/>
    <cellStyle name="集計 17 2 2 2 2 2 2 2" xfId="9783"/>
    <cellStyle name="集計 17 2 2 2 2 2 2 3" xfId="9784"/>
    <cellStyle name="集計 17 2 2 2 2 2 3" xfId="9785"/>
    <cellStyle name="集計 17 2 2 2 2 2 3 2" xfId="9786"/>
    <cellStyle name="集計 17 2 2 2 2 2 3 3" xfId="9787"/>
    <cellStyle name="集計 17 2 2 2 2 2 4" xfId="9788"/>
    <cellStyle name="集計 17 2 2 2 2 2 4 2" xfId="9789"/>
    <cellStyle name="集計 17 2 2 2 2 2 4 3" xfId="9790"/>
    <cellStyle name="集計 17 2 2 2 2 2 5" xfId="9791"/>
    <cellStyle name="集計 17 2 2 2 2 2 6" xfId="9792"/>
    <cellStyle name="集計 17 2 2 2 2 3" xfId="9793"/>
    <cellStyle name="集計 17 2 2 2 2 3 2" xfId="9794"/>
    <cellStyle name="集計 17 2 2 2 2 3 3" xfId="9795"/>
    <cellStyle name="集計 17 2 2 2 2 4" xfId="9796"/>
    <cellStyle name="集計 17 2 2 2 2 4 2" xfId="9797"/>
    <cellStyle name="集計 17 2 2 2 2 4 3" xfId="9798"/>
    <cellStyle name="集計 17 2 2 2 2 5" xfId="9799"/>
    <cellStyle name="集計 17 2 2 2 2 5 2" xfId="9800"/>
    <cellStyle name="集計 17 2 2 2 2 5 3" xfId="9801"/>
    <cellStyle name="集計 17 2 2 2 2 6" xfId="9802"/>
    <cellStyle name="集計 17 2 2 2 2 7" xfId="9803"/>
    <cellStyle name="集計 17 2 2 2 3" xfId="9804"/>
    <cellStyle name="集計 17 2 2 2 3 2" xfId="9805"/>
    <cellStyle name="集計 17 2 2 2 3 2 2" xfId="9806"/>
    <cellStyle name="集計 17 2 2 2 3 2 2 2" xfId="9807"/>
    <cellStyle name="集計 17 2 2 2 3 2 2 3" xfId="9808"/>
    <cellStyle name="集計 17 2 2 2 3 2 3" xfId="9809"/>
    <cellStyle name="集計 17 2 2 2 3 2 3 2" xfId="9810"/>
    <cellStyle name="集計 17 2 2 2 3 2 3 3" xfId="9811"/>
    <cellStyle name="集計 17 2 2 2 3 2 4" xfId="9812"/>
    <cellStyle name="集計 17 2 2 2 3 2 4 2" xfId="9813"/>
    <cellStyle name="集計 17 2 2 2 3 2 4 3" xfId="9814"/>
    <cellStyle name="集計 17 2 2 2 3 2 5" xfId="9815"/>
    <cellStyle name="集計 17 2 2 2 3 2 6" xfId="9816"/>
    <cellStyle name="集計 17 2 2 2 3 3" xfId="9817"/>
    <cellStyle name="集計 17 2 2 2 3 3 2" xfId="9818"/>
    <cellStyle name="集計 17 2 2 2 3 3 3" xfId="9819"/>
    <cellStyle name="集計 17 2 2 2 3 4" xfId="9820"/>
    <cellStyle name="集計 17 2 2 2 3 4 2" xfId="9821"/>
    <cellStyle name="集計 17 2 2 2 3 4 3" xfId="9822"/>
    <cellStyle name="集計 17 2 2 2 3 5" xfId="9823"/>
    <cellStyle name="集計 17 2 2 2 3 5 2" xfId="9824"/>
    <cellStyle name="集計 17 2 2 2 3 5 3" xfId="9825"/>
    <cellStyle name="集計 17 2 2 2 3 6" xfId="9826"/>
    <cellStyle name="集計 17 2 2 2 3 7" xfId="9827"/>
    <cellStyle name="集計 17 2 2 2 4" xfId="9828"/>
    <cellStyle name="集計 17 2 2 2 4 2" xfId="9829"/>
    <cellStyle name="集計 17 2 2 2 4 2 2" xfId="9830"/>
    <cellStyle name="集計 17 2 2 2 4 2 3" xfId="9831"/>
    <cellStyle name="集計 17 2 2 2 4 3" xfId="9832"/>
    <cellStyle name="集計 17 2 2 2 4 3 2" xfId="9833"/>
    <cellStyle name="集計 17 2 2 2 4 3 3" xfId="9834"/>
    <cellStyle name="集計 17 2 2 2 4 4" xfId="9835"/>
    <cellStyle name="集計 17 2 2 2 4 4 2" xfId="9836"/>
    <cellStyle name="集計 17 2 2 2 4 4 3" xfId="9837"/>
    <cellStyle name="集計 17 2 2 2 4 5" xfId="9838"/>
    <cellStyle name="集計 17 2 2 2 4 6" xfId="9839"/>
    <cellStyle name="集計 17 2 2 2 5" xfId="9840"/>
    <cellStyle name="集計 17 2 2 2 5 2" xfId="9841"/>
    <cellStyle name="集計 17 2 2 2 5 3" xfId="9842"/>
    <cellStyle name="集計 17 2 2 2 6" xfId="9843"/>
    <cellStyle name="集計 17 2 2 2 6 2" xfId="9844"/>
    <cellStyle name="集計 17 2 2 2 6 3" xfId="9845"/>
    <cellStyle name="集計 17 2 2 2 7" xfId="9846"/>
    <cellStyle name="集計 17 2 2 2 7 2" xfId="9847"/>
    <cellStyle name="集計 17 2 2 2 7 3" xfId="9848"/>
    <cellStyle name="集計 17 2 2 2 8" xfId="9849"/>
    <cellStyle name="集計 17 2 2 2 9" xfId="9850"/>
    <cellStyle name="集計 17 2 2 3" xfId="9851"/>
    <cellStyle name="集計 17 2 2 3 2" xfId="9852"/>
    <cellStyle name="集計 17 2 2 3 2 2" xfId="9853"/>
    <cellStyle name="集計 17 2 2 3 2 2 2" xfId="9854"/>
    <cellStyle name="集計 17 2 2 3 2 2 3" xfId="9855"/>
    <cellStyle name="集計 17 2 2 3 2 3" xfId="9856"/>
    <cellStyle name="集計 17 2 2 3 2 3 2" xfId="9857"/>
    <cellStyle name="集計 17 2 2 3 2 3 3" xfId="9858"/>
    <cellStyle name="集計 17 2 2 3 2 4" xfId="9859"/>
    <cellStyle name="集計 17 2 2 3 2 4 2" xfId="9860"/>
    <cellStyle name="集計 17 2 2 3 2 4 3" xfId="9861"/>
    <cellStyle name="集計 17 2 2 3 2 5" xfId="9862"/>
    <cellStyle name="集計 17 2 2 3 2 6" xfId="9863"/>
    <cellStyle name="集計 17 2 2 3 3" xfId="9864"/>
    <cellStyle name="集計 17 2 2 3 3 2" xfId="9865"/>
    <cellStyle name="集計 17 2 2 3 3 3" xfId="9866"/>
    <cellStyle name="集計 17 2 2 3 4" xfId="9867"/>
    <cellStyle name="集計 17 2 2 3 4 2" xfId="9868"/>
    <cellStyle name="集計 17 2 2 3 4 3" xfId="9869"/>
    <cellStyle name="集計 17 2 2 3 5" xfId="9870"/>
    <cellStyle name="集計 17 2 2 3 5 2" xfId="9871"/>
    <cellStyle name="集計 17 2 2 3 5 3" xfId="9872"/>
    <cellStyle name="集計 17 2 2 3 6" xfId="9873"/>
    <cellStyle name="集計 17 2 2 3 7" xfId="9874"/>
    <cellStyle name="集計 17 2 2 4" xfId="9875"/>
    <cellStyle name="集計 17 2 2 4 2" xfId="9876"/>
    <cellStyle name="集計 17 2 2 4 2 2" xfId="9877"/>
    <cellStyle name="集計 17 2 2 4 2 2 2" xfId="9878"/>
    <cellStyle name="集計 17 2 2 4 2 2 3" xfId="9879"/>
    <cellStyle name="集計 17 2 2 4 2 3" xfId="9880"/>
    <cellStyle name="集計 17 2 2 4 2 3 2" xfId="9881"/>
    <cellStyle name="集計 17 2 2 4 2 3 3" xfId="9882"/>
    <cellStyle name="集計 17 2 2 4 2 4" xfId="9883"/>
    <cellStyle name="集計 17 2 2 4 2 4 2" xfId="9884"/>
    <cellStyle name="集計 17 2 2 4 2 4 3" xfId="9885"/>
    <cellStyle name="集計 17 2 2 4 2 5" xfId="9886"/>
    <cellStyle name="集計 17 2 2 4 2 6" xfId="9887"/>
    <cellStyle name="集計 17 2 2 4 3" xfId="9888"/>
    <cellStyle name="集計 17 2 2 4 3 2" xfId="9889"/>
    <cellStyle name="集計 17 2 2 4 3 3" xfId="9890"/>
    <cellStyle name="集計 17 2 2 4 4" xfId="9891"/>
    <cellStyle name="集計 17 2 2 4 4 2" xfId="9892"/>
    <cellStyle name="集計 17 2 2 4 4 3" xfId="9893"/>
    <cellStyle name="集計 17 2 2 4 5" xfId="9894"/>
    <cellStyle name="集計 17 2 2 4 5 2" xfId="9895"/>
    <cellStyle name="集計 17 2 2 4 5 3" xfId="9896"/>
    <cellStyle name="集計 17 2 2 4 6" xfId="9897"/>
    <cellStyle name="集計 17 2 2 4 7" xfId="9898"/>
    <cellStyle name="集計 17 2 2 5" xfId="9899"/>
    <cellStyle name="集計 17 2 2 5 2" xfId="9900"/>
    <cellStyle name="集計 17 2 2 5 2 2" xfId="9901"/>
    <cellStyle name="集計 17 2 2 5 2 3" xfId="9902"/>
    <cellStyle name="集計 17 2 2 5 3" xfId="9903"/>
    <cellStyle name="集計 17 2 2 5 3 2" xfId="9904"/>
    <cellStyle name="集計 17 2 2 5 3 3" xfId="9905"/>
    <cellStyle name="集計 17 2 2 5 4" xfId="9906"/>
    <cellStyle name="集計 17 2 2 5 4 2" xfId="9907"/>
    <cellStyle name="集計 17 2 2 5 4 3" xfId="9908"/>
    <cellStyle name="集計 17 2 2 5 5" xfId="9909"/>
    <cellStyle name="集計 17 2 2 5 6" xfId="9910"/>
    <cellStyle name="集計 17 2 2 6" xfId="9911"/>
    <cellStyle name="集計 17 2 2 6 2" xfId="9912"/>
    <cellStyle name="集計 17 2 2 6 3" xfId="9913"/>
    <cellStyle name="集計 17 2 2 7" xfId="9914"/>
    <cellStyle name="集計 17 2 2 7 2" xfId="9915"/>
    <cellStyle name="集計 17 2 2 7 3" xfId="9916"/>
    <cellStyle name="集計 17 2 2 8" xfId="9917"/>
    <cellStyle name="集計 17 2 2 8 2" xfId="9918"/>
    <cellStyle name="集計 17 2 2 8 3" xfId="9919"/>
    <cellStyle name="集計 17 2 2 9" xfId="9920"/>
    <cellStyle name="集計 17 2 3" xfId="9921"/>
    <cellStyle name="集計 17 2 3 2" xfId="9922"/>
    <cellStyle name="集計 17 2 3 2 2" xfId="9923"/>
    <cellStyle name="集計 17 2 3 2 2 2" xfId="9924"/>
    <cellStyle name="集計 17 2 3 2 2 3" xfId="9925"/>
    <cellStyle name="集計 17 2 3 2 3" xfId="9926"/>
    <cellStyle name="集計 17 2 3 2 3 2" xfId="9927"/>
    <cellStyle name="集計 17 2 3 2 3 3" xfId="9928"/>
    <cellStyle name="集計 17 2 3 2 4" xfId="9929"/>
    <cellStyle name="集計 17 2 3 2 4 2" xfId="9930"/>
    <cellStyle name="集計 17 2 3 2 4 3" xfId="9931"/>
    <cellStyle name="集計 17 2 3 2 5" xfId="9932"/>
    <cellStyle name="集計 17 2 3 2 6" xfId="9933"/>
    <cellStyle name="集計 17 2 3 3" xfId="9934"/>
    <cellStyle name="集計 17 2 3 3 2" xfId="9935"/>
    <cellStyle name="集計 17 2 3 3 3" xfId="9936"/>
    <cellStyle name="集計 17 2 3 4" xfId="9937"/>
    <cellStyle name="集計 17 2 3 4 2" xfId="9938"/>
    <cellStyle name="集計 17 2 3 4 3" xfId="9939"/>
    <cellStyle name="集計 17 2 3 5" xfId="9940"/>
    <cellStyle name="集計 17 2 3 5 2" xfId="9941"/>
    <cellStyle name="集計 17 2 3 5 3" xfId="9942"/>
    <cellStyle name="集計 17 2 3 6" xfId="9943"/>
    <cellStyle name="集計 17 2 3 7" xfId="9944"/>
    <cellStyle name="集計 17 2 4" xfId="9945"/>
    <cellStyle name="集計 17 2 4 2" xfId="9946"/>
    <cellStyle name="集計 17 2 4 2 2" xfId="9947"/>
    <cellStyle name="集計 17 2 4 2 2 2" xfId="9948"/>
    <cellStyle name="集計 17 2 4 2 2 3" xfId="9949"/>
    <cellStyle name="集計 17 2 4 2 3" xfId="9950"/>
    <cellStyle name="集計 17 2 4 2 3 2" xfId="9951"/>
    <cellStyle name="集計 17 2 4 2 3 3" xfId="9952"/>
    <cellStyle name="集計 17 2 4 2 4" xfId="9953"/>
    <cellStyle name="集計 17 2 4 2 4 2" xfId="9954"/>
    <cellStyle name="集計 17 2 4 2 4 3" xfId="9955"/>
    <cellStyle name="集計 17 2 4 2 5" xfId="9956"/>
    <cellStyle name="集計 17 2 4 2 6" xfId="9957"/>
    <cellStyle name="集計 17 2 4 3" xfId="9958"/>
    <cellStyle name="集計 17 2 4 3 2" xfId="9959"/>
    <cellStyle name="集計 17 2 4 3 3" xfId="9960"/>
    <cellStyle name="集計 17 2 4 4" xfId="9961"/>
    <cellStyle name="集計 17 2 4 4 2" xfId="9962"/>
    <cellStyle name="集計 17 2 4 4 3" xfId="9963"/>
    <cellStyle name="集計 17 2 4 5" xfId="9964"/>
    <cellStyle name="集計 17 2 4 5 2" xfId="9965"/>
    <cellStyle name="集計 17 2 4 5 3" xfId="9966"/>
    <cellStyle name="集計 17 2 4 6" xfId="9967"/>
    <cellStyle name="集計 17 2 4 7" xfId="9968"/>
    <cellStyle name="集計 17 2 5" xfId="9969"/>
    <cellStyle name="集計 17 2 5 2" xfId="9970"/>
    <cellStyle name="集計 17 2 5 2 2" xfId="9971"/>
    <cellStyle name="集計 17 2 5 2 3" xfId="9972"/>
    <cellStyle name="集計 17 2 5 3" xfId="9973"/>
    <cellStyle name="集計 17 2 5 3 2" xfId="9974"/>
    <cellStyle name="集計 17 2 5 3 3" xfId="9975"/>
    <cellStyle name="集計 17 2 5 4" xfId="9976"/>
    <cellStyle name="集計 17 2 5 4 2" xfId="9977"/>
    <cellStyle name="集計 17 2 5 4 3" xfId="9978"/>
    <cellStyle name="集計 17 2 5 5" xfId="9979"/>
    <cellStyle name="集計 17 2 5 6" xfId="9980"/>
    <cellStyle name="集計 17 2 6" xfId="9981"/>
    <cellStyle name="集計 17 2 6 2" xfId="9982"/>
    <cellStyle name="集計 17 2 6 3" xfId="9983"/>
    <cellStyle name="集計 17 2 7" xfId="9984"/>
    <cellStyle name="集計 17 2 7 2" xfId="9985"/>
    <cellStyle name="集計 17 2 7 3" xfId="9986"/>
    <cellStyle name="集計 17 2 8" xfId="9987"/>
    <cellStyle name="集計 17 2 8 2" xfId="9988"/>
    <cellStyle name="集計 17 2 8 3" xfId="9989"/>
    <cellStyle name="集計 17 2 9" xfId="9990"/>
    <cellStyle name="集計 17 3" xfId="9991"/>
    <cellStyle name="集計 17 3 10" xfId="9992"/>
    <cellStyle name="集計 17 3 2" xfId="9993"/>
    <cellStyle name="集計 17 3 2 10" xfId="9994"/>
    <cellStyle name="集計 17 3 2 2" xfId="9995"/>
    <cellStyle name="集計 17 3 2 2 2" xfId="9996"/>
    <cellStyle name="集計 17 3 2 2 2 2" xfId="9997"/>
    <cellStyle name="集計 17 3 2 2 2 2 2" xfId="9998"/>
    <cellStyle name="集計 17 3 2 2 2 2 2 2" xfId="9999"/>
    <cellStyle name="集計 17 3 2 2 2 2 2 3" xfId="10000"/>
    <cellStyle name="集計 17 3 2 2 2 2 3" xfId="10001"/>
    <cellStyle name="集計 17 3 2 2 2 2 3 2" xfId="10002"/>
    <cellStyle name="集計 17 3 2 2 2 2 3 3" xfId="10003"/>
    <cellStyle name="集計 17 3 2 2 2 2 4" xfId="10004"/>
    <cellStyle name="集計 17 3 2 2 2 2 4 2" xfId="10005"/>
    <cellStyle name="集計 17 3 2 2 2 2 4 3" xfId="10006"/>
    <cellStyle name="集計 17 3 2 2 2 2 5" xfId="10007"/>
    <cellStyle name="集計 17 3 2 2 2 2 6" xfId="10008"/>
    <cellStyle name="集計 17 3 2 2 2 3" xfId="10009"/>
    <cellStyle name="集計 17 3 2 2 2 3 2" xfId="10010"/>
    <cellStyle name="集計 17 3 2 2 2 3 3" xfId="10011"/>
    <cellStyle name="集計 17 3 2 2 2 4" xfId="10012"/>
    <cellStyle name="集計 17 3 2 2 2 4 2" xfId="10013"/>
    <cellStyle name="集計 17 3 2 2 2 4 3" xfId="10014"/>
    <cellStyle name="集計 17 3 2 2 2 5" xfId="10015"/>
    <cellStyle name="集計 17 3 2 2 2 5 2" xfId="10016"/>
    <cellStyle name="集計 17 3 2 2 2 5 3" xfId="10017"/>
    <cellStyle name="集計 17 3 2 2 2 6" xfId="10018"/>
    <cellStyle name="集計 17 3 2 2 2 7" xfId="10019"/>
    <cellStyle name="集計 17 3 2 2 3" xfId="10020"/>
    <cellStyle name="集計 17 3 2 2 3 2" xfId="10021"/>
    <cellStyle name="集計 17 3 2 2 3 2 2" xfId="10022"/>
    <cellStyle name="集計 17 3 2 2 3 2 2 2" xfId="10023"/>
    <cellStyle name="集計 17 3 2 2 3 2 2 3" xfId="10024"/>
    <cellStyle name="集計 17 3 2 2 3 2 3" xfId="10025"/>
    <cellStyle name="集計 17 3 2 2 3 2 3 2" xfId="10026"/>
    <cellStyle name="集計 17 3 2 2 3 2 3 3" xfId="10027"/>
    <cellStyle name="集計 17 3 2 2 3 2 4" xfId="10028"/>
    <cellStyle name="集計 17 3 2 2 3 2 4 2" xfId="10029"/>
    <cellStyle name="集計 17 3 2 2 3 2 4 3" xfId="10030"/>
    <cellStyle name="集計 17 3 2 2 3 2 5" xfId="10031"/>
    <cellStyle name="集計 17 3 2 2 3 2 6" xfId="10032"/>
    <cellStyle name="集計 17 3 2 2 3 3" xfId="10033"/>
    <cellStyle name="集計 17 3 2 2 3 3 2" xfId="10034"/>
    <cellStyle name="集計 17 3 2 2 3 3 3" xfId="10035"/>
    <cellStyle name="集計 17 3 2 2 3 4" xfId="10036"/>
    <cellStyle name="集計 17 3 2 2 3 4 2" xfId="10037"/>
    <cellStyle name="集計 17 3 2 2 3 4 3" xfId="10038"/>
    <cellStyle name="集計 17 3 2 2 3 5" xfId="10039"/>
    <cellStyle name="集計 17 3 2 2 3 5 2" xfId="10040"/>
    <cellStyle name="集計 17 3 2 2 3 5 3" xfId="10041"/>
    <cellStyle name="集計 17 3 2 2 3 6" xfId="10042"/>
    <cellStyle name="集計 17 3 2 2 3 7" xfId="10043"/>
    <cellStyle name="集計 17 3 2 2 4" xfId="10044"/>
    <cellStyle name="集計 17 3 2 2 4 2" xfId="10045"/>
    <cellStyle name="集計 17 3 2 2 4 2 2" xfId="10046"/>
    <cellStyle name="集計 17 3 2 2 4 2 3" xfId="10047"/>
    <cellStyle name="集計 17 3 2 2 4 3" xfId="10048"/>
    <cellStyle name="集計 17 3 2 2 4 3 2" xfId="10049"/>
    <cellStyle name="集計 17 3 2 2 4 3 3" xfId="10050"/>
    <cellStyle name="集計 17 3 2 2 4 4" xfId="10051"/>
    <cellStyle name="集計 17 3 2 2 4 4 2" xfId="10052"/>
    <cellStyle name="集計 17 3 2 2 4 4 3" xfId="10053"/>
    <cellStyle name="集計 17 3 2 2 4 5" xfId="10054"/>
    <cellStyle name="集計 17 3 2 2 4 6" xfId="10055"/>
    <cellStyle name="集計 17 3 2 2 5" xfId="10056"/>
    <cellStyle name="集計 17 3 2 2 5 2" xfId="10057"/>
    <cellStyle name="集計 17 3 2 2 5 3" xfId="10058"/>
    <cellStyle name="集計 17 3 2 2 6" xfId="10059"/>
    <cellStyle name="集計 17 3 2 2 6 2" xfId="10060"/>
    <cellStyle name="集計 17 3 2 2 6 3" xfId="10061"/>
    <cellStyle name="集計 17 3 2 2 7" xfId="10062"/>
    <cellStyle name="集計 17 3 2 2 7 2" xfId="10063"/>
    <cellStyle name="集計 17 3 2 2 7 3" xfId="10064"/>
    <cellStyle name="集計 17 3 2 2 8" xfId="10065"/>
    <cellStyle name="集計 17 3 2 2 9" xfId="10066"/>
    <cellStyle name="集計 17 3 2 3" xfId="10067"/>
    <cellStyle name="集計 17 3 2 3 2" xfId="10068"/>
    <cellStyle name="集計 17 3 2 3 2 2" xfId="10069"/>
    <cellStyle name="集計 17 3 2 3 2 2 2" xfId="10070"/>
    <cellStyle name="集計 17 3 2 3 2 2 3" xfId="10071"/>
    <cellStyle name="集計 17 3 2 3 2 3" xfId="10072"/>
    <cellStyle name="集計 17 3 2 3 2 3 2" xfId="10073"/>
    <cellStyle name="集計 17 3 2 3 2 3 3" xfId="10074"/>
    <cellStyle name="集計 17 3 2 3 2 4" xfId="10075"/>
    <cellStyle name="集計 17 3 2 3 2 4 2" xfId="10076"/>
    <cellStyle name="集計 17 3 2 3 2 4 3" xfId="10077"/>
    <cellStyle name="集計 17 3 2 3 2 5" xfId="10078"/>
    <cellStyle name="集計 17 3 2 3 2 6" xfId="10079"/>
    <cellStyle name="集計 17 3 2 3 3" xfId="10080"/>
    <cellStyle name="集計 17 3 2 3 3 2" xfId="10081"/>
    <cellStyle name="集計 17 3 2 3 3 3" xfId="10082"/>
    <cellStyle name="集計 17 3 2 3 4" xfId="10083"/>
    <cellStyle name="集計 17 3 2 3 4 2" xfId="10084"/>
    <cellStyle name="集計 17 3 2 3 4 3" xfId="10085"/>
    <cellStyle name="集計 17 3 2 3 5" xfId="10086"/>
    <cellStyle name="集計 17 3 2 3 5 2" xfId="10087"/>
    <cellStyle name="集計 17 3 2 3 5 3" xfId="10088"/>
    <cellStyle name="集計 17 3 2 3 6" xfId="10089"/>
    <cellStyle name="集計 17 3 2 3 7" xfId="10090"/>
    <cellStyle name="集計 17 3 2 4" xfId="10091"/>
    <cellStyle name="集計 17 3 2 4 2" xfId="10092"/>
    <cellStyle name="集計 17 3 2 4 2 2" xfId="10093"/>
    <cellStyle name="集計 17 3 2 4 2 2 2" xfId="10094"/>
    <cellStyle name="集計 17 3 2 4 2 2 3" xfId="10095"/>
    <cellStyle name="集計 17 3 2 4 2 3" xfId="10096"/>
    <cellStyle name="集計 17 3 2 4 2 3 2" xfId="10097"/>
    <cellStyle name="集計 17 3 2 4 2 3 3" xfId="10098"/>
    <cellStyle name="集計 17 3 2 4 2 4" xfId="10099"/>
    <cellStyle name="集計 17 3 2 4 2 4 2" xfId="10100"/>
    <cellStyle name="集計 17 3 2 4 2 4 3" xfId="10101"/>
    <cellStyle name="集計 17 3 2 4 2 5" xfId="10102"/>
    <cellStyle name="集計 17 3 2 4 2 6" xfId="10103"/>
    <cellStyle name="集計 17 3 2 4 3" xfId="10104"/>
    <cellStyle name="集計 17 3 2 4 3 2" xfId="10105"/>
    <cellStyle name="集計 17 3 2 4 3 3" xfId="10106"/>
    <cellStyle name="集計 17 3 2 4 4" xfId="10107"/>
    <cellStyle name="集計 17 3 2 4 4 2" xfId="10108"/>
    <cellStyle name="集計 17 3 2 4 4 3" xfId="10109"/>
    <cellStyle name="集計 17 3 2 4 5" xfId="10110"/>
    <cellStyle name="集計 17 3 2 4 5 2" xfId="10111"/>
    <cellStyle name="集計 17 3 2 4 5 3" xfId="10112"/>
    <cellStyle name="集計 17 3 2 4 6" xfId="10113"/>
    <cellStyle name="集計 17 3 2 4 7" xfId="10114"/>
    <cellStyle name="集計 17 3 2 5" xfId="10115"/>
    <cellStyle name="集計 17 3 2 5 2" xfId="10116"/>
    <cellStyle name="集計 17 3 2 5 2 2" xfId="10117"/>
    <cellStyle name="集計 17 3 2 5 2 3" xfId="10118"/>
    <cellStyle name="集計 17 3 2 5 3" xfId="10119"/>
    <cellStyle name="集計 17 3 2 5 3 2" xfId="10120"/>
    <cellStyle name="集計 17 3 2 5 3 3" xfId="10121"/>
    <cellStyle name="集計 17 3 2 5 4" xfId="10122"/>
    <cellStyle name="集計 17 3 2 5 4 2" xfId="10123"/>
    <cellStyle name="集計 17 3 2 5 4 3" xfId="10124"/>
    <cellStyle name="集計 17 3 2 5 5" xfId="10125"/>
    <cellStyle name="集計 17 3 2 5 6" xfId="10126"/>
    <cellStyle name="集計 17 3 2 6" xfId="10127"/>
    <cellStyle name="集計 17 3 2 6 2" xfId="10128"/>
    <cellStyle name="集計 17 3 2 6 3" xfId="10129"/>
    <cellStyle name="集計 17 3 2 7" xfId="10130"/>
    <cellStyle name="集計 17 3 2 7 2" xfId="10131"/>
    <cellStyle name="集計 17 3 2 7 3" xfId="10132"/>
    <cellStyle name="集計 17 3 2 8" xfId="10133"/>
    <cellStyle name="集計 17 3 2 8 2" xfId="10134"/>
    <cellStyle name="集計 17 3 2 8 3" xfId="10135"/>
    <cellStyle name="集計 17 3 2 9" xfId="10136"/>
    <cellStyle name="集計 17 3 3" xfId="10137"/>
    <cellStyle name="集計 17 3 3 2" xfId="10138"/>
    <cellStyle name="集計 17 3 3 2 2" xfId="10139"/>
    <cellStyle name="集計 17 3 3 2 2 2" xfId="10140"/>
    <cellStyle name="集計 17 3 3 2 2 3" xfId="10141"/>
    <cellStyle name="集計 17 3 3 2 3" xfId="10142"/>
    <cellStyle name="集計 17 3 3 2 3 2" xfId="10143"/>
    <cellStyle name="集計 17 3 3 2 3 3" xfId="10144"/>
    <cellStyle name="集計 17 3 3 2 4" xfId="10145"/>
    <cellStyle name="集計 17 3 3 2 4 2" xfId="10146"/>
    <cellStyle name="集計 17 3 3 2 4 3" xfId="10147"/>
    <cellStyle name="集計 17 3 3 2 5" xfId="10148"/>
    <cellStyle name="集計 17 3 3 2 6" xfId="10149"/>
    <cellStyle name="集計 17 3 3 3" xfId="10150"/>
    <cellStyle name="集計 17 3 3 3 2" xfId="10151"/>
    <cellStyle name="集計 17 3 3 3 3" xfId="10152"/>
    <cellStyle name="集計 17 3 3 4" xfId="10153"/>
    <cellStyle name="集計 17 3 3 4 2" xfId="10154"/>
    <cellStyle name="集計 17 3 3 4 3" xfId="10155"/>
    <cellStyle name="集計 17 3 3 5" xfId="10156"/>
    <cellStyle name="集計 17 3 3 5 2" xfId="10157"/>
    <cellStyle name="集計 17 3 3 5 3" xfId="10158"/>
    <cellStyle name="集計 17 3 3 6" xfId="10159"/>
    <cellStyle name="集計 17 3 3 7" xfId="10160"/>
    <cellStyle name="集計 17 3 4" xfId="10161"/>
    <cellStyle name="集計 17 3 4 2" xfId="10162"/>
    <cellStyle name="集計 17 3 4 2 2" xfId="10163"/>
    <cellStyle name="集計 17 3 4 2 2 2" xfId="10164"/>
    <cellStyle name="集計 17 3 4 2 2 3" xfId="10165"/>
    <cellStyle name="集計 17 3 4 2 3" xfId="10166"/>
    <cellStyle name="集計 17 3 4 2 3 2" xfId="10167"/>
    <cellStyle name="集計 17 3 4 2 3 3" xfId="10168"/>
    <cellStyle name="集計 17 3 4 2 4" xfId="10169"/>
    <cellStyle name="集計 17 3 4 2 4 2" xfId="10170"/>
    <cellStyle name="集計 17 3 4 2 4 3" xfId="10171"/>
    <cellStyle name="集計 17 3 4 2 5" xfId="10172"/>
    <cellStyle name="集計 17 3 4 2 6" xfId="10173"/>
    <cellStyle name="集計 17 3 4 3" xfId="10174"/>
    <cellStyle name="集計 17 3 4 3 2" xfId="10175"/>
    <cellStyle name="集計 17 3 4 3 3" xfId="10176"/>
    <cellStyle name="集計 17 3 4 4" xfId="10177"/>
    <cellStyle name="集計 17 3 4 4 2" xfId="10178"/>
    <cellStyle name="集計 17 3 4 4 3" xfId="10179"/>
    <cellStyle name="集計 17 3 4 5" xfId="10180"/>
    <cellStyle name="集計 17 3 4 5 2" xfId="10181"/>
    <cellStyle name="集計 17 3 4 5 3" xfId="10182"/>
    <cellStyle name="集計 17 3 4 6" xfId="10183"/>
    <cellStyle name="集計 17 3 4 7" xfId="10184"/>
    <cellStyle name="集計 17 3 5" xfId="10185"/>
    <cellStyle name="集計 17 3 5 2" xfId="10186"/>
    <cellStyle name="集計 17 3 5 2 2" xfId="10187"/>
    <cellStyle name="集計 17 3 5 2 3" xfId="10188"/>
    <cellStyle name="集計 17 3 5 3" xfId="10189"/>
    <cellStyle name="集計 17 3 5 3 2" xfId="10190"/>
    <cellStyle name="集計 17 3 5 3 3" xfId="10191"/>
    <cellStyle name="集計 17 3 5 4" xfId="10192"/>
    <cellStyle name="集計 17 3 5 4 2" xfId="10193"/>
    <cellStyle name="集計 17 3 5 4 3" xfId="10194"/>
    <cellStyle name="集計 17 3 5 5" xfId="10195"/>
    <cellStyle name="集計 17 3 5 6" xfId="10196"/>
    <cellStyle name="集計 17 3 6" xfId="10197"/>
    <cellStyle name="集計 17 3 6 2" xfId="10198"/>
    <cellStyle name="集計 17 3 6 3" xfId="10199"/>
    <cellStyle name="集計 17 3 7" xfId="10200"/>
    <cellStyle name="集計 17 3 7 2" xfId="10201"/>
    <cellStyle name="集計 17 3 7 3" xfId="10202"/>
    <cellStyle name="集計 17 3 8" xfId="10203"/>
    <cellStyle name="集計 17 3 8 2" xfId="10204"/>
    <cellStyle name="集計 17 3 8 3" xfId="10205"/>
    <cellStyle name="集計 17 3 9" xfId="10206"/>
    <cellStyle name="集計 17 4" xfId="10207"/>
    <cellStyle name="集計 17 4 10" xfId="10208"/>
    <cellStyle name="集計 17 4 2" xfId="10209"/>
    <cellStyle name="集計 17 4 2 10" xfId="10210"/>
    <cellStyle name="集計 17 4 2 2" xfId="10211"/>
    <cellStyle name="集計 17 4 2 2 2" xfId="10212"/>
    <cellStyle name="集計 17 4 2 2 2 2" xfId="10213"/>
    <cellStyle name="集計 17 4 2 2 2 2 2" xfId="10214"/>
    <cellStyle name="集計 17 4 2 2 2 2 2 2" xfId="10215"/>
    <cellStyle name="集計 17 4 2 2 2 2 2 3" xfId="10216"/>
    <cellStyle name="集計 17 4 2 2 2 2 3" xfId="10217"/>
    <cellStyle name="集計 17 4 2 2 2 2 3 2" xfId="10218"/>
    <cellStyle name="集計 17 4 2 2 2 2 3 3" xfId="10219"/>
    <cellStyle name="集計 17 4 2 2 2 2 4" xfId="10220"/>
    <cellStyle name="集計 17 4 2 2 2 2 4 2" xfId="10221"/>
    <cellStyle name="集計 17 4 2 2 2 2 4 3" xfId="10222"/>
    <cellStyle name="集計 17 4 2 2 2 2 5" xfId="10223"/>
    <cellStyle name="集計 17 4 2 2 2 2 6" xfId="10224"/>
    <cellStyle name="集計 17 4 2 2 2 3" xfId="10225"/>
    <cellStyle name="集計 17 4 2 2 2 3 2" xfId="10226"/>
    <cellStyle name="集計 17 4 2 2 2 3 3" xfId="10227"/>
    <cellStyle name="集計 17 4 2 2 2 4" xfId="10228"/>
    <cellStyle name="集計 17 4 2 2 2 4 2" xfId="10229"/>
    <cellStyle name="集計 17 4 2 2 2 4 3" xfId="10230"/>
    <cellStyle name="集計 17 4 2 2 2 5" xfId="10231"/>
    <cellStyle name="集計 17 4 2 2 2 5 2" xfId="10232"/>
    <cellStyle name="集計 17 4 2 2 2 5 3" xfId="10233"/>
    <cellStyle name="集計 17 4 2 2 2 6" xfId="10234"/>
    <cellStyle name="集計 17 4 2 2 2 7" xfId="10235"/>
    <cellStyle name="集計 17 4 2 2 3" xfId="10236"/>
    <cellStyle name="集計 17 4 2 2 3 2" xfId="10237"/>
    <cellStyle name="集計 17 4 2 2 3 2 2" xfId="10238"/>
    <cellStyle name="集計 17 4 2 2 3 2 2 2" xfId="10239"/>
    <cellStyle name="集計 17 4 2 2 3 2 2 3" xfId="10240"/>
    <cellStyle name="集計 17 4 2 2 3 2 3" xfId="10241"/>
    <cellStyle name="集計 17 4 2 2 3 2 3 2" xfId="10242"/>
    <cellStyle name="集計 17 4 2 2 3 2 3 3" xfId="10243"/>
    <cellStyle name="集計 17 4 2 2 3 2 4" xfId="10244"/>
    <cellStyle name="集計 17 4 2 2 3 2 4 2" xfId="10245"/>
    <cellStyle name="集計 17 4 2 2 3 2 4 3" xfId="10246"/>
    <cellStyle name="集計 17 4 2 2 3 2 5" xfId="10247"/>
    <cellStyle name="集計 17 4 2 2 3 2 6" xfId="10248"/>
    <cellStyle name="集計 17 4 2 2 3 3" xfId="10249"/>
    <cellStyle name="集計 17 4 2 2 3 3 2" xfId="10250"/>
    <cellStyle name="集計 17 4 2 2 3 3 3" xfId="10251"/>
    <cellStyle name="集計 17 4 2 2 3 4" xfId="10252"/>
    <cellStyle name="集計 17 4 2 2 3 4 2" xfId="10253"/>
    <cellStyle name="集計 17 4 2 2 3 4 3" xfId="10254"/>
    <cellStyle name="集計 17 4 2 2 3 5" xfId="10255"/>
    <cellStyle name="集計 17 4 2 2 3 5 2" xfId="10256"/>
    <cellStyle name="集計 17 4 2 2 3 5 3" xfId="10257"/>
    <cellStyle name="集計 17 4 2 2 3 6" xfId="10258"/>
    <cellStyle name="集計 17 4 2 2 3 7" xfId="10259"/>
    <cellStyle name="集計 17 4 2 2 4" xfId="10260"/>
    <cellStyle name="集計 17 4 2 2 4 2" xfId="10261"/>
    <cellStyle name="集計 17 4 2 2 4 2 2" xfId="10262"/>
    <cellStyle name="集計 17 4 2 2 4 2 3" xfId="10263"/>
    <cellStyle name="集計 17 4 2 2 4 3" xfId="10264"/>
    <cellStyle name="集計 17 4 2 2 4 3 2" xfId="10265"/>
    <cellStyle name="集計 17 4 2 2 4 3 3" xfId="10266"/>
    <cellStyle name="集計 17 4 2 2 4 4" xfId="10267"/>
    <cellStyle name="集計 17 4 2 2 4 4 2" xfId="10268"/>
    <cellStyle name="集計 17 4 2 2 4 4 3" xfId="10269"/>
    <cellStyle name="集計 17 4 2 2 4 5" xfId="10270"/>
    <cellStyle name="集計 17 4 2 2 4 6" xfId="10271"/>
    <cellStyle name="集計 17 4 2 2 5" xfId="10272"/>
    <cellStyle name="集計 17 4 2 2 5 2" xfId="10273"/>
    <cellStyle name="集計 17 4 2 2 5 3" xfId="10274"/>
    <cellStyle name="集計 17 4 2 2 6" xfId="10275"/>
    <cellStyle name="集計 17 4 2 2 6 2" xfId="10276"/>
    <cellStyle name="集計 17 4 2 2 6 3" xfId="10277"/>
    <cellStyle name="集計 17 4 2 2 7" xfId="10278"/>
    <cellStyle name="集計 17 4 2 2 7 2" xfId="10279"/>
    <cellStyle name="集計 17 4 2 2 7 3" xfId="10280"/>
    <cellStyle name="集計 17 4 2 2 8" xfId="10281"/>
    <cellStyle name="集計 17 4 2 2 9" xfId="10282"/>
    <cellStyle name="集計 17 4 2 3" xfId="10283"/>
    <cellStyle name="集計 17 4 2 3 2" xfId="10284"/>
    <cellStyle name="集計 17 4 2 3 2 2" xfId="10285"/>
    <cellStyle name="集計 17 4 2 3 2 2 2" xfId="10286"/>
    <cellStyle name="集計 17 4 2 3 2 2 3" xfId="10287"/>
    <cellStyle name="集計 17 4 2 3 2 3" xfId="10288"/>
    <cellStyle name="集計 17 4 2 3 2 3 2" xfId="10289"/>
    <cellStyle name="集計 17 4 2 3 2 3 3" xfId="10290"/>
    <cellStyle name="集計 17 4 2 3 2 4" xfId="10291"/>
    <cellStyle name="集計 17 4 2 3 2 4 2" xfId="10292"/>
    <cellStyle name="集計 17 4 2 3 2 4 3" xfId="10293"/>
    <cellStyle name="集計 17 4 2 3 2 5" xfId="10294"/>
    <cellStyle name="集計 17 4 2 3 2 6" xfId="10295"/>
    <cellStyle name="集計 17 4 2 3 3" xfId="10296"/>
    <cellStyle name="集計 17 4 2 3 3 2" xfId="10297"/>
    <cellStyle name="集計 17 4 2 3 3 3" xfId="10298"/>
    <cellStyle name="集計 17 4 2 3 4" xfId="10299"/>
    <cellStyle name="集計 17 4 2 3 4 2" xfId="10300"/>
    <cellStyle name="集計 17 4 2 3 4 3" xfId="10301"/>
    <cellStyle name="集計 17 4 2 3 5" xfId="10302"/>
    <cellStyle name="集計 17 4 2 3 5 2" xfId="10303"/>
    <cellStyle name="集計 17 4 2 3 5 3" xfId="10304"/>
    <cellStyle name="集計 17 4 2 3 6" xfId="10305"/>
    <cellStyle name="集計 17 4 2 3 7" xfId="10306"/>
    <cellStyle name="集計 17 4 2 4" xfId="10307"/>
    <cellStyle name="集計 17 4 2 4 2" xfId="10308"/>
    <cellStyle name="集計 17 4 2 4 2 2" xfId="10309"/>
    <cellStyle name="集計 17 4 2 4 2 2 2" xfId="10310"/>
    <cellStyle name="集計 17 4 2 4 2 2 3" xfId="10311"/>
    <cellStyle name="集計 17 4 2 4 2 3" xfId="10312"/>
    <cellStyle name="集計 17 4 2 4 2 3 2" xfId="10313"/>
    <cellStyle name="集計 17 4 2 4 2 3 3" xfId="10314"/>
    <cellStyle name="集計 17 4 2 4 2 4" xfId="10315"/>
    <cellStyle name="集計 17 4 2 4 2 4 2" xfId="10316"/>
    <cellStyle name="集計 17 4 2 4 2 4 3" xfId="10317"/>
    <cellStyle name="集計 17 4 2 4 2 5" xfId="10318"/>
    <cellStyle name="集計 17 4 2 4 2 6" xfId="10319"/>
    <cellStyle name="集計 17 4 2 4 3" xfId="10320"/>
    <cellStyle name="集計 17 4 2 4 3 2" xfId="10321"/>
    <cellStyle name="集計 17 4 2 4 3 3" xfId="10322"/>
    <cellStyle name="集計 17 4 2 4 4" xfId="10323"/>
    <cellStyle name="集計 17 4 2 4 4 2" xfId="10324"/>
    <cellStyle name="集計 17 4 2 4 4 3" xfId="10325"/>
    <cellStyle name="集計 17 4 2 4 5" xfId="10326"/>
    <cellStyle name="集計 17 4 2 4 5 2" xfId="10327"/>
    <cellStyle name="集計 17 4 2 4 5 3" xfId="10328"/>
    <cellStyle name="集計 17 4 2 4 6" xfId="10329"/>
    <cellStyle name="集計 17 4 2 4 7" xfId="10330"/>
    <cellStyle name="集計 17 4 2 5" xfId="10331"/>
    <cellStyle name="集計 17 4 2 5 2" xfId="10332"/>
    <cellStyle name="集計 17 4 2 5 2 2" xfId="10333"/>
    <cellStyle name="集計 17 4 2 5 2 3" xfId="10334"/>
    <cellStyle name="集計 17 4 2 5 3" xfId="10335"/>
    <cellStyle name="集計 17 4 2 5 3 2" xfId="10336"/>
    <cellStyle name="集計 17 4 2 5 3 3" xfId="10337"/>
    <cellStyle name="集計 17 4 2 5 4" xfId="10338"/>
    <cellStyle name="集計 17 4 2 5 4 2" xfId="10339"/>
    <cellStyle name="集計 17 4 2 5 4 3" xfId="10340"/>
    <cellStyle name="集計 17 4 2 5 5" xfId="10341"/>
    <cellStyle name="集計 17 4 2 5 6" xfId="10342"/>
    <cellStyle name="集計 17 4 2 6" xfId="10343"/>
    <cellStyle name="集計 17 4 2 6 2" xfId="10344"/>
    <cellStyle name="集計 17 4 2 6 3" xfId="10345"/>
    <cellStyle name="集計 17 4 2 7" xfId="10346"/>
    <cellStyle name="集計 17 4 2 7 2" xfId="10347"/>
    <cellStyle name="集計 17 4 2 7 3" xfId="10348"/>
    <cellStyle name="集計 17 4 2 8" xfId="10349"/>
    <cellStyle name="集計 17 4 2 8 2" xfId="10350"/>
    <cellStyle name="集計 17 4 2 8 3" xfId="10351"/>
    <cellStyle name="集計 17 4 2 9" xfId="10352"/>
    <cellStyle name="集計 17 4 3" xfId="10353"/>
    <cellStyle name="集計 17 4 3 2" xfId="10354"/>
    <cellStyle name="集計 17 4 3 2 2" xfId="10355"/>
    <cellStyle name="集計 17 4 3 2 2 2" xfId="10356"/>
    <cellStyle name="集計 17 4 3 2 2 3" xfId="10357"/>
    <cellStyle name="集計 17 4 3 2 3" xfId="10358"/>
    <cellStyle name="集計 17 4 3 2 3 2" xfId="10359"/>
    <cellStyle name="集計 17 4 3 2 3 3" xfId="10360"/>
    <cellStyle name="集計 17 4 3 2 4" xfId="10361"/>
    <cellStyle name="集計 17 4 3 2 4 2" xfId="10362"/>
    <cellStyle name="集計 17 4 3 2 4 3" xfId="10363"/>
    <cellStyle name="集計 17 4 3 2 5" xfId="10364"/>
    <cellStyle name="集計 17 4 3 2 6" xfId="10365"/>
    <cellStyle name="集計 17 4 3 3" xfId="10366"/>
    <cellStyle name="集計 17 4 3 3 2" xfId="10367"/>
    <cellStyle name="集計 17 4 3 3 3" xfId="10368"/>
    <cellStyle name="集計 17 4 3 4" xfId="10369"/>
    <cellStyle name="集計 17 4 3 4 2" xfId="10370"/>
    <cellStyle name="集計 17 4 3 4 3" xfId="10371"/>
    <cellStyle name="集計 17 4 3 5" xfId="10372"/>
    <cellStyle name="集計 17 4 3 5 2" xfId="10373"/>
    <cellStyle name="集計 17 4 3 5 3" xfId="10374"/>
    <cellStyle name="集計 17 4 3 6" xfId="10375"/>
    <cellStyle name="集計 17 4 3 7" xfId="10376"/>
    <cellStyle name="集計 17 4 4" xfId="10377"/>
    <cellStyle name="集計 17 4 4 2" xfId="10378"/>
    <cellStyle name="集計 17 4 4 2 2" xfId="10379"/>
    <cellStyle name="集計 17 4 4 2 2 2" xfId="10380"/>
    <cellStyle name="集計 17 4 4 2 2 3" xfId="10381"/>
    <cellStyle name="集計 17 4 4 2 3" xfId="10382"/>
    <cellStyle name="集計 17 4 4 2 3 2" xfId="10383"/>
    <cellStyle name="集計 17 4 4 2 3 3" xfId="10384"/>
    <cellStyle name="集計 17 4 4 2 4" xfId="10385"/>
    <cellStyle name="集計 17 4 4 2 4 2" xfId="10386"/>
    <cellStyle name="集計 17 4 4 2 4 3" xfId="10387"/>
    <cellStyle name="集計 17 4 4 2 5" xfId="10388"/>
    <cellStyle name="集計 17 4 4 2 6" xfId="10389"/>
    <cellStyle name="集計 17 4 4 3" xfId="10390"/>
    <cellStyle name="集計 17 4 4 3 2" xfId="10391"/>
    <cellStyle name="集計 17 4 4 3 3" xfId="10392"/>
    <cellStyle name="集計 17 4 4 4" xfId="10393"/>
    <cellStyle name="集計 17 4 4 4 2" xfId="10394"/>
    <cellStyle name="集計 17 4 4 4 3" xfId="10395"/>
    <cellStyle name="集計 17 4 4 5" xfId="10396"/>
    <cellStyle name="集計 17 4 4 5 2" xfId="10397"/>
    <cellStyle name="集計 17 4 4 5 3" xfId="10398"/>
    <cellStyle name="集計 17 4 4 6" xfId="10399"/>
    <cellStyle name="集計 17 4 4 7" xfId="10400"/>
    <cellStyle name="集計 17 4 5" xfId="10401"/>
    <cellStyle name="集計 17 4 5 2" xfId="10402"/>
    <cellStyle name="集計 17 4 5 2 2" xfId="10403"/>
    <cellStyle name="集計 17 4 5 2 3" xfId="10404"/>
    <cellStyle name="集計 17 4 5 3" xfId="10405"/>
    <cellStyle name="集計 17 4 5 3 2" xfId="10406"/>
    <cellStyle name="集計 17 4 5 3 3" xfId="10407"/>
    <cellStyle name="集計 17 4 5 4" xfId="10408"/>
    <cellStyle name="集計 17 4 5 4 2" xfId="10409"/>
    <cellStyle name="集計 17 4 5 4 3" xfId="10410"/>
    <cellStyle name="集計 17 4 5 5" xfId="10411"/>
    <cellStyle name="集計 17 4 5 6" xfId="10412"/>
    <cellStyle name="集計 17 4 6" xfId="10413"/>
    <cellStyle name="集計 17 4 6 2" xfId="10414"/>
    <cellStyle name="集計 17 4 6 3" xfId="10415"/>
    <cellStyle name="集計 17 4 7" xfId="10416"/>
    <cellStyle name="集計 17 4 7 2" xfId="10417"/>
    <cellStyle name="集計 17 4 7 3" xfId="10418"/>
    <cellStyle name="集計 17 4 8" xfId="10419"/>
    <cellStyle name="集計 17 4 8 2" xfId="10420"/>
    <cellStyle name="集計 17 4 8 3" xfId="10421"/>
    <cellStyle name="集計 17 4 9" xfId="10422"/>
    <cellStyle name="集計 17 5" xfId="10423"/>
    <cellStyle name="集計 17 5 10" xfId="10424"/>
    <cellStyle name="集計 17 5 2" xfId="10425"/>
    <cellStyle name="集計 17 5 2 2" xfId="10426"/>
    <cellStyle name="集計 17 5 2 2 2" xfId="10427"/>
    <cellStyle name="集計 17 5 2 2 2 2" xfId="10428"/>
    <cellStyle name="集計 17 5 2 2 2 2 2" xfId="10429"/>
    <cellStyle name="集計 17 5 2 2 2 2 3" xfId="10430"/>
    <cellStyle name="集計 17 5 2 2 2 3" xfId="10431"/>
    <cellStyle name="集計 17 5 2 2 2 3 2" xfId="10432"/>
    <cellStyle name="集計 17 5 2 2 2 3 3" xfId="10433"/>
    <cellStyle name="集計 17 5 2 2 2 4" xfId="10434"/>
    <cellStyle name="集計 17 5 2 2 2 4 2" xfId="10435"/>
    <cellStyle name="集計 17 5 2 2 2 4 3" xfId="10436"/>
    <cellStyle name="集計 17 5 2 2 2 5" xfId="10437"/>
    <cellStyle name="集計 17 5 2 2 2 6" xfId="10438"/>
    <cellStyle name="集計 17 5 2 2 3" xfId="10439"/>
    <cellStyle name="集計 17 5 2 2 3 2" xfId="10440"/>
    <cellStyle name="集計 17 5 2 2 3 3" xfId="10441"/>
    <cellStyle name="集計 17 5 2 2 4" xfId="10442"/>
    <cellStyle name="集計 17 5 2 2 4 2" xfId="10443"/>
    <cellStyle name="集計 17 5 2 2 4 3" xfId="10444"/>
    <cellStyle name="集計 17 5 2 2 5" xfId="10445"/>
    <cellStyle name="集計 17 5 2 2 5 2" xfId="10446"/>
    <cellStyle name="集計 17 5 2 2 5 3" xfId="10447"/>
    <cellStyle name="集計 17 5 2 2 6" xfId="10448"/>
    <cellStyle name="集計 17 5 2 2 7" xfId="10449"/>
    <cellStyle name="集計 17 5 2 3" xfId="10450"/>
    <cellStyle name="集計 17 5 2 3 2" xfId="10451"/>
    <cellStyle name="集計 17 5 2 3 2 2" xfId="10452"/>
    <cellStyle name="集計 17 5 2 3 2 2 2" xfId="10453"/>
    <cellStyle name="集計 17 5 2 3 2 2 3" xfId="10454"/>
    <cellStyle name="集計 17 5 2 3 2 3" xfId="10455"/>
    <cellStyle name="集計 17 5 2 3 2 3 2" xfId="10456"/>
    <cellStyle name="集計 17 5 2 3 2 3 3" xfId="10457"/>
    <cellStyle name="集計 17 5 2 3 2 4" xfId="10458"/>
    <cellStyle name="集計 17 5 2 3 2 4 2" xfId="10459"/>
    <cellStyle name="集計 17 5 2 3 2 4 3" xfId="10460"/>
    <cellStyle name="集計 17 5 2 3 2 5" xfId="10461"/>
    <cellStyle name="集計 17 5 2 3 2 6" xfId="10462"/>
    <cellStyle name="集計 17 5 2 3 3" xfId="10463"/>
    <cellStyle name="集計 17 5 2 3 3 2" xfId="10464"/>
    <cellStyle name="集計 17 5 2 3 3 3" xfId="10465"/>
    <cellStyle name="集計 17 5 2 3 4" xfId="10466"/>
    <cellStyle name="集計 17 5 2 3 4 2" xfId="10467"/>
    <cellStyle name="集計 17 5 2 3 4 3" xfId="10468"/>
    <cellStyle name="集計 17 5 2 3 5" xfId="10469"/>
    <cellStyle name="集計 17 5 2 3 5 2" xfId="10470"/>
    <cellStyle name="集計 17 5 2 3 5 3" xfId="10471"/>
    <cellStyle name="集計 17 5 2 3 6" xfId="10472"/>
    <cellStyle name="集計 17 5 2 3 7" xfId="10473"/>
    <cellStyle name="集計 17 5 2 4" xfId="10474"/>
    <cellStyle name="集計 17 5 2 4 2" xfId="10475"/>
    <cellStyle name="集計 17 5 2 4 2 2" xfId="10476"/>
    <cellStyle name="集計 17 5 2 4 2 3" xfId="10477"/>
    <cellStyle name="集計 17 5 2 4 3" xfId="10478"/>
    <cellStyle name="集計 17 5 2 4 3 2" xfId="10479"/>
    <cellStyle name="集計 17 5 2 4 3 3" xfId="10480"/>
    <cellStyle name="集計 17 5 2 4 4" xfId="10481"/>
    <cellStyle name="集計 17 5 2 4 4 2" xfId="10482"/>
    <cellStyle name="集計 17 5 2 4 4 3" xfId="10483"/>
    <cellStyle name="集計 17 5 2 4 5" xfId="10484"/>
    <cellStyle name="集計 17 5 2 4 6" xfId="10485"/>
    <cellStyle name="集計 17 5 2 5" xfId="10486"/>
    <cellStyle name="集計 17 5 2 5 2" xfId="10487"/>
    <cellStyle name="集計 17 5 2 5 3" xfId="10488"/>
    <cellStyle name="集計 17 5 2 6" xfId="10489"/>
    <cellStyle name="集計 17 5 2 6 2" xfId="10490"/>
    <cellStyle name="集計 17 5 2 6 3" xfId="10491"/>
    <cellStyle name="集計 17 5 2 7" xfId="10492"/>
    <cellStyle name="集計 17 5 2 7 2" xfId="10493"/>
    <cellStyle name="集計 17 5 2 7 3" xfId="10494"/>
    <cellStyle name="集計 17 5 2 8" xfId="10495"/>
    <cellStyle name="集計 17 5 2 9" xfId="10496"/>
    <cellStyle name="集計 17 5 3" xfId="10497"/>
    <cellStyle name="集計 17 5 3 2" xfId="10498"/>
    <cellStyle name="集計 17 5 3 2 2" xfId="10499"/>
    <cellStyle name="集計 17 5 3 2 2 2" xfId="10500"/>
    <cellStyle name="集計 17 5 3 2 2 3" xfId="10501"/>
    <cellStyle name="集計 17 5 3 2 3" xfId="10502"/>
    <cellStyle name="集計 17 5 3 2 3 2" xfId="10503"/>
    <cellStyle name="集計 17 5 3 2 3 3" xfId="10504"/>
    <cellStyle name="集計 17 5 3 2 4" xfId="10505"/>
    <cellStyle name="集計 17 5 3 2 4 2" xfId="10506"/>
    <cellStyle name="集計 17 5 3 2 4 3" xfId="10507"/>
    <cellStyle name="集計 17 5 3 2 5" xfId="10508"/>
    <cellStyle name="集計 17 5 3 2 6" xfId="10509"/>
    <cellStyle name="集計 17 5 3 3" xfId="10510"/>
    <cellStyle name="集計 17 5 3 3 2" xfId="10511"/>
    <cellStyle name="集計 17 5 3 3 3" xfId="10512"/>
    <cellStyle name="集計 17 5 3 4" xfId="10513"/>
    <cellStyle name="集計 17 5 3 4 2" xfId="10514"/>
    <cellStyle name="集計 17 5 3 4 3" xfId="10515"/>
    <cellStyle name="集計 17 5 3 5" xfId="10516"/>
    <cellStyle name="集計 17 5 3 5 2" xfId="10517"/>
    <cellStyle name="集計 17 5 3 5 3" xfId="10518"/>
    <cellStyle name="集計 17 5 3 6" xfId="10519"/>
    <cellStyle name="集計 17 5 3 7" xfId="10520"/>
    <cellStyle name="集計 17 5 4" xfId="10521"/>
    <cellStyle name="集計 17 5 4 2" xfId="10522"/>
    <cellStyle name="集計 17 5 4 2 2" xfId="10523"/>
    <cellStyle name="集計 17 5 4 2 2 2" xfId="10524"/>
    <cellStyle name="集計 17 5 4 2 2 3" xfId="10525"/>
    <cellStyle name="集計 17 5 4 2 3" xfId="10526"/>
    <cellStyle name="集計 17 5 4 2 3 2" xfId="10527"/>
    <cellStyle name="集計 17 5 4 2 3 3" xfId="10528"/>
    <cellStyle name="集計 17 5 4 2 4" xfId="10529"/>
    <cellStyle name="集計 17 5 4 2 4 2" xfId="10530"/>
    <cellStyle name="集計 17 5 4 2 4 3" xfId="10531"/>
    <cellStyle name="集計 17 5 4 2 5" xfId="10532"/>
    <cellStyle name="集計 17 5 4 2 6" xfId="10533"/>
    <cellStyle name="集計 17 5 4 3" xfId="10534"/>
    <cellStyle name="集計 17 5 4 3 2" xfId="10535"/>
    <cellStyle name="集計 17 5 4 3 3" xfId="10536"/>
    <cellStyle name="集計 17 5 4 4" xfId="10537"/>
    <cellStyle name="集計 17 5 4 4 2" xfId="10538"/>
    <cellStyle name="集計 17 5 4 4 3" xfId="10539"/>
    <cellStyle name="集計 17 5 4 5" xfId="10540"/>
    <cellStyle name="集計 17 5 4 5 2" xfId="10541"/>
    <cellStyle name="集計 17 5 4 5 3" xfId="10542"/>
    <cellStyle name="集計 17 5 4 6" xfId="10543"/>
    <cellStyle name="集計 17 5 4 7" xfId="10544"/>
    <cellStyle name="集計 17 5 5" xfId="10545"/>
    <cellStyle name="集計 17 5 5 2" xfId="10546"/>
    <cellStyle name="集計 17 5 5 2 2" xfId="10547"/>
    <cellStyle name="集計 17 5 5 2 3" xfId="10548"/>
    <cellStyle name="集計 17 5 5 3" xfId="10549"/>
    <cellStyle name="集計 17 5 5 3 2" xfId="10550"/>
    <cellStyle name="集計 17 5 5 3 3" xfId="10551"/>
    <cellStyle name="集計 17 5 5 4" xfId="10552"/>
    <cellStyle name="集計 17 5 5 4 2" xfId="10553"/>
    <cellStyle name="集計 17 5 5 4 3" xfId="10554"/>
    <cellStyle name="集計 17 5 5 5" xfId="10555"/>
    <cellStyle name="集計 17 5 5 6" xfId="10556"/>
    <cellStyle name="集計 17 5 6" xfId="10557"/>
    <cellStyle name="集計 17 5 6 2" xfId="10558"/>
    <cellStyle name="集計 17 5 6 3" xfId="10559"/>
    <cellStyle name="集計 17 5 7" xfId="10560"/>
    <cellStyle name="集計 17 5 7 2" xfId="10561"/>
    <cellStyle name="集計 17 5 7 3" xfId="10562"/>
    <cellStyle name="集計 17 5 8" xfId="10563"/>
    <cellStyle name="集計 17 5 8 2" xfId="10564"/>
    <cellStyle name="集計 17 5 8 3" xfId="10565"/>
    <cellStyle name="集計 17 5 9" xfId="10566"/>
    <cellStyle name="集計 17 6" xfId="10567"/>
    <cellStyle name="集計 17 6 10" xfId="10568"/>
    <cellStyle name="集計 17 6 2" xfId="10569"/>
    <cellStyle name="集計 17 6 2 2" xfId="10570"/>
    <cellStyle name="集計 17 6 2 2 2" xfId="10571"/>
    <cellStyle name="集計 17 6 2 2 2 2" xfId="10572"/>
    <cellStyle name="集計 17 6 2 2 2 2 2" xfId="10573"/>
    <cellStyle name="集計 17 6 2 2 2 2 3" xfId="10574"/>
    <cellStyle name="集計 17 6 2 2 2 3" xfId="10575"/>
    <cellStyle name="集計 17 6 2 2 2 3 2" xfId="10576"/>
    <cellStyle name="集計 17 6 2 2 2 3 3" xfId="10577"/>
    <cellStyle name="集計 17 6 2 2 2 4" xfId="10578"/>
    <cellStyle name="集計 17 6 2 2 2 4 2" xfId="10579"/>
    <cellStyle name="集計 17 6 2 2 2 4 3" xfId="10580"/>
    <cellStyle name="集計 17 6 2 2 2 5" xfId="10581"/>
    <cellStyle name="集計 17 6 2 2 2 6" xfId="10582"/>
    <cellStyle name="集計 17 6 2 2 3" xfId="10583"/>
    <cellStyle name="集計 17 6 2 2 3 2" xfId="10584"/>
    <cellStyle name="集計 17 6 2 2 3 3" xfId="10585"/>
    <cellStyle name="集計 17 6 2 2 4" xfId="10586"/>
    <cellStyle name="集計 17 6 2 2 4 2" xfId="10587"/>
    <cellStyle name="集計 17 6 2 2 4 3" xfId="10588"/>
    <cellStyle name="集計 17 6 2 2 5" xfId="10589"/>
    <cellStyle name="集計 17 6 2 2 5 2" xfId="10590"/>
    <cellStyle name="集計 17 6 2 2 5 3" xfId="10591"/>
    <cellStyle name="集計 17 6 2 2 6" xfId="10592"/>
    <cellStyle name="集計 17 6 2 2 7" xfId="10593"/>
    <cellStyle name="集計 17 6 2 3" xfId="10594"/>
    <cellStyle name="集計 17 6 2 3 2" xfId="10595"/>
    <cellStyle name="集計 17 6 2 3 2 2" xfId="10596"/>
    <cellStyle name="集計 17 6 2 3 2 2 2" xfId="10597"/>
    <cellStyle name="集計 17 6 2 3 2 2 3" xfId="10598"/>
    <cellStyle name="集計 17 6 2 3 2 3" xfId="10599"/>
    <cellStyle name="集計 17 6 2 3 2 3 2" xfId="10600"/>
    <cellStyle name="集計 17 6 2 3 2 3 3" xfId="10601"/>
    <cellStyle name="集計 17 6 2 3 2 4" xfId="10602"/>
    <cellStyle name="集計 17 6 2 3 2 4 2" xfId="10603"/>
    <cellStyle name="集計 17 6 2 3 2 4 3" xfId="10604"/>
    <cellStyle name="集計 17 6 2 3 2 5" xfId="10605"/>
    <cellStyle name="集計 17 6 2 3 2 6" xfId="10606"/>
    <cellStyle name="集計 17 6 2 3 3" xfId="10607"/>
    <cellStyle name="集計 17 6 2 3 3 2" xfId="10608"/>
    <cellStyle name="集計 17 6 2 3 3 3" xfId="10609"/>
    <cellStyle name="集計 17 6 2 3 4" xfId="10610"/>
    <cellStyle name="集計 17 6 2 3 4 2" xfId="10611"/>
    <cellStyle name="集計 17 6 2 3 4 3" xfId="10612"/>
    <cellStyle name="集計 17 6 2 3 5" xfId="10613"/>
    <cellStyle name="集計 17 6 2 3 5 2" xfId="10614"/>
    <cellStyle name="集計 17 6 2 3 5 3" xfId="10615"/>
    <cellStyle name="集計 17 6 2 3 6" xfId="10616"/>
    <cellStyle name="集計 17 6 2 3 7" xfId="10617"/>
    <cellStyle name="集計 17 6 2 4" xfId="10618"/>
    <cellStyle name="集計 17 6 2 4 2" xfId="10619"/>
    <cellStyle name="集計 17 6 2 4 2 2" xfId="10620"/>
    <cellStyle name="集計 17 6 2 4 2 3" xfId="10621"/>
    <cellStyle name="集計 17 6 2 4 3" xfId="10622"/>
    <cellStyle name="集計 17 6 2 4 3 2" xfId="10623"/>
    <cellStyle name="集計 17 6 2 4 3 3" xfId="10624"/>
    <cellStyle name="集計 17 6 2 4 4" xfId="10625"/>
    <cellStyle name="集計 17 6 2 4 4 2" xfId="10626"/>
    <cellStyle name="集計 17 6 2 4 4 3" xfId="10627"/>
    <cellStyle name="集計 17 6 2 4 5" xfId="10628"/>
    <cellStyle name="集計 17 6 2 4 6" xfId="10629"/>
    <cellStyle name="集計 17 6 2 5" xfId="10630"/>
    <cellStyle name="集計 17 6 2 5 2" xfId="10631"/>
    <cellStyle name="集計 17 6 2 5 3" xfId="10632"/>
    <cellStyle name="集計 17 6 2 6" xfId="10633"/>
    <cellStyle name="集計 17 6 2 6 2" xfId="10634"/>
    <cellStyle name="集計 17 6 2 6 3" xfId="10635"/>
    <cellStyle name="集計 17 6 2 7" xfId="10636"/>
    <cellStyle name="集計 17 6 2 7 2" xfId="10637"/>
    <cellStyle name="集計 17 6 2 7 3" xfId="10638"/>
    <cellStyle name="集計 17 6 2 8" xfId="10639"/>
    <cellStyle name="集計 17 6 2 9" xfId="10640"/>
    <cellStyle name="集計 17 6 3" xfId="10641"/>
    <cellStyle name="集計 17 6 3 2" xfId="10642"/>
    <cellStyle name="集計 17 6 3 2 2" xfId="10643"/>
    <cellStyle name="集計 17 6 3 2 2 2" xfId="10644"/>
    <cellStyle name="集計 17 6 3 2 2 3" xfId="10645"/>
    <cellStyle name="集計 17 6 3 2 3" xfId="10646"/>
    <cellStyle name="集計 17 6 3 2 3 2" xfId="10647"/>
    <cellStyle name="集計 17 6 3 2 3 3" xfId="10648"/>
    <cellStyle name="集計 17 6 3 2 4" xfId="10649"/>
    <cellStyle name="集計 17 6 3 2 4 2" xfId="10650"/>
    <cellStyle name="集計 17 6 3 2 4 3" xfId="10651"/>
    <cellStyle name="集計 17 6 3 2 5" xfId="10652"/>
    <cellStyle name="集計 17 6 3 2 6" xfId="10653"/>
    <cellStyle name="集計 17 6 3 3" xfId="10654"/>
    <cellStyle name="集計 17 6 3 3 2" xfId="10655"/>
    <cellStyle name="集計 17 6 3 3 3" xfId="10656"/>
    <cellStyle name="集計 17 6 3 4" xfId="10657"/>
    <cellStyle name="集計 17 6 3 4 2" xfId="10658"/>
    <cellStyle name="集計 17 6 3 4 3" xfId="10659"/>
    <cellStyle name="集計 17 6 3 5" xfId="10660"/>
    <cellStyle name="集計 17 6 3 5 2" xfId="10661"/>
    <cellStyle name="集計 17 6 3 5 3" xfId="10662"/>
    <cellStyle name="集計 17 6 3 6" xfId="10663"/>
    <cellStyle name="集計 17 6 3 7" xfId="10664"/>
    <cellStyle name="集計 17 6 4" xfId="10665"/>
    <cellStyle name="集計 17 6 4 2" xfId="10666"/>
    <cellStyle name="集計 17 6 4 2 2" xfId="10667"/>
    <cellStyle name="集計 17 6 4 2 2 2" xfId="10668"/>
    <cellStyle name="集計 17 6 4 2 2 3" xfId="10669"/>
    <cellStyle name="集計 17 6 4 2 3" xfId="10670"/>
    <cellStyle name="集計 17 6 4 2 3 2" xfId="10671"/>
    <cellStyle name="集計 17 6 4 2 3 3" xfId="10672"/>
    <cellStyle name="集計 17 6 4 2 4" xfId="10673"/>
    <cellStyle name="集計 17 6 4 2 4 2" xfId="10674"/>
    <cellStyle name="集計 17 6 4 2 4 3" xfId="10675"/>
    <cellStyle name="集計 17 6 4 2 5" xfId="10676"/>
    <cellStyle name="集計 17 6 4 2 6" xfId="10677"/>
    <cellStyle name="集計 17 6 4 3" xfId="10678"/>
    <cellStyle name="集計 17 6 4 3 2" xfId="10679"/>
    <cellStyle name="集計 17 6 4 3 3" xfId="10680"/>
    <cellStyle name="集計 17 6 4 4" xfId="10681"/>
    <cellStyle name="集計 17 6 4 4 2" xfId="10682"/>
    <cellStyle name="集計 17 6 4 4 3" xfId="10683"/>
    <cellStyle name="集計 17 6 4 5" xfId="10684"/>
    <cellStyle name="集計 17 6 4 5 2" xfId="10685"/>
    <cellStyle name="集計 17 6 4 5 3" xfId="10686"/>
    <cellStyle name="集計 17 6 4 6" xfId="10687"/>
    <cellStyle name="集計 17 6 4 7" xfId="10688"/>
    <cellStyle name="集計 17 6 5" xfId="10689"/>
    <cellStyle name="集計 17 6 5 2" xfId="10690"/>
    <cellStyle name="集計 17 6 5 2 2" xfId="10691"/>
    <cellStyle name="集計 17 6 5 2 3" xfId="10692"/>
    <cellStyle name="集計 17 6 5 3" xfId="10693"/>
    <cellStyle name="集計 17 6 5 3 2" xfId="10694"/>
    <cellStyle name="集計 17 6 5 3 3" xfId="10695"/>
    <cellStyle name="集計 17 6 5 4" xfId="10696"/>
    <cellStyle name="集計 17 6 5 4 2" xfId="10697"/>
    <cellStyle name="集計 17 6 5 4 3" xfId="10698"/>
    <cellStyle name="集計 17 6 5 5" xfId="10699"/>
    <cellStyle name="集計 17 6 5 6" xfId="10700"/>
    <cellStyle name="集計 17 6 6" xfId="10701"/>
    <cellStyle name="集計 17 6 6 2" xfId="10702"/>
    <cellStyle name="集計 17 6 6 3" xfId="10703"/>
    <cellStyle name="集計 17 6 7" xfId="10704"/>
    <cellStyle name="集計 17 6 7 2" xfId="10705"/>
    <cellStyle name="集計 17 6 7 3" xfId="10706"/>
    <cellStyle name="集計 17 6 8" xfId="10707"/>
    <cellStyle name="集計 17 6 8 2" xfId="10708"/>
    <cellStyle name="集計 17 6 8 3" xfId="10709"/>
    <cellStyle name="集計 17 6 9" xfId="10710"/>
    <cellStyle name="集計 17 7" xfId="10711"/>
    <cellStyle name="集計 17 7 2" xfId="10712"/>
    <cellStyle name="集計 17 7 2 2" xfId="10713"/>
    <cellStyle name="集計 17 7 2 2 2" xfId="10714"/>
    <cellStyle name="集計 17 7 2 2 3" xfId="10715"/>
    <cellStyle name="集計 17 7 2 3" xfId="10716"/>
    <cellStyle name="集計 17 7 2 3 2" xfId="10717"/>
    <cellStyle name="集計 17 7 2 3 3" xfId="10718"/>
    <cellStyle name="集計 17 7 2 4" xfId="10719"/>
    <cellStyle name="集計 17 7 2 4 2" xfId="10720"/>
    <cellStyle name="集計 17 7 2 4 3" xfId="10721"/>
    <cellStyle name="集計 17 7 2 5" xfId="10722"/>
    <cellStyle name="集計 17 7 2 6" xfId="10723"/>
    <cellStyle name="集計 17 7 3" xfId="10724"/>
    <cellStyle name="集計 17 7 3 2" xfId="10725"/>
    <cellStyle name="集計 17 7 3 3" xfId="10726"/>
    <cellStyle name="集計 17 7 4" xfId="10727"/>
    <cellStyle name="集計 17 7 4 2" xfId="10728"/>
    <cellStyle name="集計 17 7 4 3" xfId="10729"/>
    <cellStyle name="集計 17 7 5" xfId="10730"/>
    <cellStyle name="集計 17 7 5 2" xfId="10731"/>
    <cellStyle name="集計 17 7 5 3" xfId="10732"/>
    <cellStyle name="集計 17 7 6" xfId="10733"/>
    <cellStyle name="集計 17 7 7" xfId="10734"/>
    <cellStyle name="集計 17 8" xfId="10735"/>
    <cellStyle name="集計 17 8 2" xfId="10736"/>
    <cellStyle name="集計 17 8 2 2" xfId="10737"/>
    <cellStyle name="集計 17 8 2 2 2" xfId="10738"/>
    <cellStyle name="集計 17 8 2 2 3" xfId="10739"/>
    <cellStyle name="集計 17 8 2 3" xfId="10740"/>
    <cellStyle name="集計 17 8 2 3 2" xfId="10741"/>
    <cellStyle name="集計 17 8 2 3 3" xfId="10742"/>
    <cellStyle name="集計 17 8 2 4" xfId="10743"/>
    <cellStyle name="集計 17 8 2 4 2" xfId="10744"/>
    <cellStyle name="集計 17 8 2 4 3" xfId="10745"/>
    <cellStyle name="集計 17 8 2 5" xfId="10746"/>
    <cellStyle name="集計 17 8 2 6" xfId="10747"/>
    <cellStyle name="集計 17 8 3" xfId="10748"/>
    <cellStyle name="集計 17 8 3 2" xfId="10749"/>
    <cellStyle name="集計 17 8 3 3" xfId="10750"/>
    <cellStyle name="集計 17 8 4" xfId="10751"/>
    <cellStyle name="集計 17 8 4 2" xfId="10752"/>
    <cellStyle name="集計 17 8 4 3" xfId="10753"/>
    <cellStyle name="集計 17 8 5" xfId="10754"/>
    <cellStyle name="集計 17 8 5 2" xfId="10755"/>
    <cellStyle name="集計 17 8 5 3" xfId="10756"/>
    <cellStyle name="集計 17 8 6" xfId="10757"/>
    <cellStyle name="集計 17 8 7" xfId="10758"/>
    <cellStyle name="集計 17 9" xfId="10759"/>
    <cellStyle name="集計 17 9 2" xfId="10760"/>
    <cellStyle name="集計 17 9 2 2" xfId="10761"/>
    <cellStyle name="集計 17 9 2 3" xfId="10762"/>
    <cellStyle name="集計 17 9 3" xfId="10763"/>
    <cellStyle name="集計 17 9 3 2" xfId="10764"/>
    <cellStyle name="集計 17 9 3 3" xfId="10765"/>
    <cellStyle name="集計 17 9 4" xfId="10766"/>
    <cellStyle name="集計 17 9 4 2" xfId="10767"/>
    <cellStyle name="集計 17 9 4 3" xfId="10768"/>
    <cellStyle name="集計 17 9 5" xfId="10769"/>
    <cellStyle name="集計 17 9 6" xfId="10770"/>
    <cellStyle name="集計 18" xfId="10771"/>
    <cellStyle name="集計 18 10" xfId="10772"/>
    <cellStyle name="集計 18 10 2" xfId="10773"/>
    <cellStyle name="集計 18 10 3" xfId="10774"/>
    <cellStyle name="集計 18 11" xfId="10775"/>
    <cellStyle name="集計 18 11 2" xfId="10776"/>
    <cellStyle name="集計 18 11 3" xfId="10777"/>
    <cellStyle name="集計 18 12" xfId="10778"/>
    <cellStyle name="集計 18 12 2" xfId="10779"/>
    <cellStyle name="集計 18 12 3" xfId="10780"/>
    <cellStyle name="集計 18 13" xfId="10781"/>
    <cellStyle name="集計 18 14" xfId="10782"/>
    <cellStyle name="集計 18 2" xfId="10783"/>
    <cellStyle name="集計 18 2 10" xfId="10784"/>
    <cellStyle name="集計 18 2 2" xfId="10785"/>
    <cellStyle name="集計 18 2 2 10" xfId="10786"/>
    <cellStyle name="集計 18 2 2 2" xfId="10787"/>
    <cellStyle name="集計 18 2 2 2 2" xfId="10788"/>
    <cellStyle name="集計 18 2 2 2 2 2" xfId="10789"/>
    <cellStyle name="集計 18 2 2 2 2 2 2" xfId="10790"/>
    <cellStyle name="集計 18 2 2 2 2 2 2 2" xfId="10791"/>
    <cellStyle name="集計 18 2 2 2 2 2 2 3" xfId="10792"/>
    <cellStyle name="集計 18 2 2 2 2 2 3" xfId="10793"/>
    <cellStyle name="集計 18 2 2 2 2 2 3 2" xfId="10794"/>
    <cellStyle name="集計 18 2 2 2 2 2 3 3" xfId="10795"/>
    <cellStyle name="集計 18 2 2 2 2 2 4" xfId="10796"/>
    <cellStyle name="集計 18 2 2 2 2 2 4 2" xfId="10797"/>
    <cellStyle name="集計 18 2 2 2 2 2 4 3" xfId="10798"/>
    <cellStyle name="集計 18 2 2 2 2 2 5" xfId="10799"/>
    <cellStyle name="集計 18 2 2 2 2 2 6" xfId="10800"/>
    <cellStyle name="集計 18 2 2 2 2 3" xfId="10801"/>
    <cellStyle name="集計 18 2 2 2 2 3 2" xfId="10802"/>
    <cellStyle name="集計 18 2 2 2 2 3 3" xfId="10803"/>
    <cellStyle name="集計 18 2 2 2 2 4" xfId="10804"/>
    <cellStyle name="集計 18 2 2 2 2 4 2" xfId="10805"/>
    <cellStyle name="集計 18 2 2 2 2 4 3" xfId="10806"/>
    <cellStyle name="集計 18 2 2 2 2 5" xfId="10807"/>
    <cellStyle name="集計 18 2 2 2 2 5 2" xfId="10808"/>
    <cellStyle name="集計 18 2 2 2 2 5 3" xfId="10809"/>
    <cellStyle name="集計 18 2 2 2 2 6" xfId="10810"/>
    <cellStyle name="集計 18 2 2 2 2 7" xfId="10811"/>
    <cellStyle name="集計 18 2 2 2 3" xfId="10812"/>
    <cellStyle name="集計 18 2 2 2 3 2" xfId="10813"/>
    <cellStyle name="集計 18 2 2 2 3 2 2" xfId="10814"/>
    <cellStyle name="集計 18 2 2 2 3 2 2 2" xfId="10815"/>
    <cellStyle name="集計 18 2 2 2 3 2 2 3" xfId="10816"/>
    <cellStyle name="集計 18 2 2 2 3 2 3" xfId="10817"/>
    <cellStyle name="集計 18 2 2 2 3 2 3 2" xfId="10818"/>
    <cellStyle name="集計 18 2 2 2 3 2 3 3" xfId="10819"/>
    <cellStyle name="集計 18 2 2 2 3 2 4" xfId="10820"/>
    <cellStyle name="集計 18 2 2 2 3 2 4 2" xfId="10821"/>
    <cellStyle name="集計 18 2 2 2 3 2 4 3" xfId="10822"/>
    <cellStyle name="集計 18 2 2 2 3 2 5" xfId="10823"/>
    <cellStyle name="集計 18 2 2 2 3 2 6" xfId="10824"/>
    <cellStyle name="集計 18 2 2 2 3 3" xfId="10825"/>
    <cellStyle name="集計 18 2 2 2 3 3 2" xfId="10826"/>
    <cellStyle name="集計 18 2 2 2 3 3 3" xfId="10827"/>
    <cellStyle name="集計 18 2 2 2 3 4" xfId="10828"/>
    <cellStyle name="集計 18 2 2 2 3 4 2" xfId="10829"/>
    <cellStyle name="集計 18 2 2 2 3 4 3" xfId="10830"/>
    <cellStyle name="集計 18 2 2 2 3 5" xfId="10831"/>
    <cellStyle name="集計 18 2 2 2 3 5 2" xfId="10832"/>
    <cellStyle name="集計 18 2 2 2 3 5 3" xfId="10833"/>
    <cellStyle name="集計 18 2 2 2 3 6" xfId="10834"/>
    <cellStyle name="集計 18 2 2 2 3 7" xfId="10835"/>
    <cellStyle name="集計 18 2 2 2 4" xfId="10836"/>
    <cellStyle name="集計 18 2 2 2 4 2" xfId="10837"/>
    <cellStyle name="集計 18 2 2 2 4 2 2" xfId="10838"/>
    <cellStyle name="集計 18 2 2 2 4 2 3" xfId="10839"/>
    <cellStyle name="集計 18 2 2 2 4 3" xfId="10840"/>
    <cellStyle name="集計 18 2 2 2 4 3 2" xfId="10841"/>
    <cellStyle name="集計 18 2 2 2 4 3 3" xfId="10842"/>
    <cellStyle name="集計 18 2 2 2 4 4" xfId="10843"/>
    <cellStyle name="集計 18 2 2 2 4 4 2" xfId="10844"/>
    <cellStyle name="集計 18 2 2 2 4 4 3" xfId="10845"/>
    <cellStyle name="集計 18 2 2 2 4 5" xfId="10846"/>
    <cellStyle name="集計 18 2 2 2 4 6" xfId="10847"/>
    <cellStyle name="集計 18 2 2 2 5" xfId="10848"/>
    <cellStyle name="集計 18 2 2 2 5 2" xfId="10849"/>
    <cellStyle name="集計 18 2 2 2 5 3" xfId="10850"/>
    <cellStyle name="集計 18 2 2 2 6" xfId="10851"/>
    <cellStyle name="集計 18 2 2 2 6 2" xfId="10852"/>
    <cellStyle name="集計 18 2 2 2 6 3" xfId="10853"/>
    <cellStyle name="集計 18 2 2 2 7" xfId="10854"/>
    <cellStyle name="集計 18 2 2 2 7 2" xfId="10855"/>
    <cellStyle name="集計 18 2 2 2 7 3" xfId="10856"/>
    <cellStyle name="集計 18 2 2 2 8" xfId="10857"/>
    <cellStyle name="集計 18 2 2 2 9" xfId="10858"/>
    <cellStyle name="集計 18 2 2 3" xfId="10859"/>
    <cellStyle name="集計 18 2 2 3 2" xfId="10860"/>
    <cellStyle name="集計 18 2 2 3 2 2" xfId="10861"/>
    <cellStyle name="集計 18 2 2 3 2 2 2" xfId="10862"/>
    <cellStyle name="集計 18 2 2 3 2 2 3" xfId="10863"/>
    <cellStyle name="集計 18 2 2 3 2 3" xfId="10864"/>
    <cellStyle name="集計 18 2 2 3 2 3 2" xfId="10865"/>
    <cellStyle name="集計 18 2 2 3 2 3 3" xfId="10866"/>
    <cellStyle name="集計 18 2 2 3 2 4" xfId="10867"/>
    <cellStyle name="集計 18 2 2 3 2 4 2" xfId="10868"/>
    <cellStyle name="集計 18 2 2 3 2 4 3" xfId="10869"/>
    <cellStyle name="集計 18 2 2 3 2 5" xfId="10870"/>
    <cellStyle name="集計 18 2 2 3 2 6" xfId="10871"/>
    <cellStyle name="集計 18 2 2 3 3" xfId="10872"/>
    <cellStyle name="集計 18 2 2 3 3 2" xfId="10873"/>
    <cellStyle name="集計 18 2 2 3 3 3" xfId="10874"/>
    <cellStyle name="集計 18 2 2 3 4" xfId="10875"/>
    <cellStyle name="集計 18 2 2 3 4 2" xfId="10876"/>
    <cellStyle name="集計 18 2 2 3 4 3" xfId="10877"/>
    <cellStyle name="集計 18 2 2 3 5" xfId="10878"/>
    <cellStyle name="集計 18 2 2 3 5 2" xfId="10879"/>
    <cellStyle name="集計 18 2 2 3 5 3" xfId="10880"/>
    <cellStyle name="集計 18 2 2 3 6" xfId="10881"/>
    <cellStyle name="集計 18 2 2 3 7" xfId="10882"/>
    <cellStyle name="集計 18 2 2 4" xfId="10883"/>
    <cellStyle name="集計 18 2 2 4 2" xfId="10884"/>
    <cellStyle name="集計 18 2 2 4 2 2" xfId="10885"/>
    <cellStyle name="集計 18 2 2 4 2 2 2" xfId="10886"/>
    <cellStyle name="集計 18 2 2 4 2 2 3" xfId="10887"/>
    <cellStyle name="集計 18 2 2 4 2 3" xfId="10888"/>
    <cellStyle name="集計 18 2 2 4 2 3 2" xfId="10889"/>
    <cellStyle name="集計 18 2 2 4 2 3 3" xfId="10890"/>
    <cellStyle name="集計 18 2 2 4 2 4" xfId="10891"/>
    <cellStyle name="集計 18 2 2 4 2 4 2" xfId="10892"/>
    <cellStyle name="集計 18 2 2 4 2 4 3" xfId="10893"/>
    <cellStyle name="集計 18 2 2 4 2 5" xfId="10894"/>
    <cellStyle name="集計 18 2 2 4 2 6" xfId="10895"/>
    <cellStyle name="集計 18 2 2 4 3" xfId="10896"/>
    <cellStyle name="集計 18 2 2 4 3 2" xfId="10897"/>
    <cellStyle name="集計 18 2 2 4 3 3" xfId="10898"/>
    <cellStyle name="集計 18 2 2 4 4" xfId="10899"/>
    <cellStyle name="集計 18 2 2 4 4 2" xfId="10900"/>
    <cellStyle name="集計 18 2 2 4 4 3" xfId="10901"/>
    <cellStyle name="集計 18 2 2 4 5" xfId="10902"/>
    <cellStyle name="集計 18 2 2 4 5 2" xfId="10903"/>
    <cellStyle name="集計 18 2 2 4 5 3" xfId="10904"/>
    <cellStyle name="集計 18 2 2 4 6" xfId="10905"/>
    <cellStyle name="集計 18 2 2 4 7" xfId="10906"/>
    <cellStyle name="集計 18 2 2 5" xfId="10907"/>
    <cellStyle name="集計 18 2 2 5 2" xfId="10908"/>
    <cellStyle name="集計 18 2 2 5 2 2" xfId="10909"/>
    <cellStyle name="集計 18 2 2 5 2 3" xfId="10910"/>
    <cellStyle name="集計 18 2 2 5 3" xfId="10911"/>
    <cellStyle name="集計 18 2 2 5 3 2" xfId="10912"/>
    <cellStyle name="集計 18 2 2 5 3 3" xfId="10913"/>
    <cellStyle name="集計 18 2 2 5 4" xfId="10914"/>
    <cellStyle name="集計 18 2 2 5 4 2" xfId="10915"/>
    <cellStyle name="集計 18 2 2 5 4 3" xfId="10916"/>
    <cellStyle name="集計 18 2 2 5 5" xfId="10917"/>
    <cellStyle name="集計 18 2 2 5 6" xfId="10918"/>
    <cellStyle name="集計 18 2 2 6" xfId="10919"/>
    <cellStyle name="集計 18 2 2 6 2" xfId="10920"/>
    <cellStyle name="集計 18 2 2 6 3" xfId="10921"/>
    <cellStyle name="集計 18 2 2 7" xfId="10922"/>
    <cellStyle name="集計 18 2 2 7 2" xfId="10923"/>
    <cellStyle name="集計 18 2 2 7 3" xfId="10924"/>
    <cellStyle name="集計 18 2 2 8" xfId="10925"/>
    <cellStyle name="集計 18 2 2 8 2" xfId="10926"/>
    <cellStyle name="集計 18 2 2 8 3" xfId="10927"/>
    <cellStyle name="集計 18 2 2 9" xfId="10928"/>
    <cellStyle name="集計 18 2 3" xfId="10929"/>
    <cellStyle name="集計 18 2 3 2" xfId="10930"/>
    <cellStyle name="集計 18 2 3 2 2" xfId="10931"/>
    <cellStyle name="集計 18 2 3 2 2 2" xfId="10932"/>
    <cellStyle name="集計 18 2 3 2 2 3" xfId="10933"/>
    <cellStyle name="集計 18 2 3 2 3" xfId="10934"/>
    <cellStyle name="集計 18 2 3 2 3 2" xfId="10935"/>
    <cellStyle name="集計 18 2 3 2 3 3" xfId="10936"/>
    <cellStyle name="集計 18 2 3 2 4" xfId="10937"/>
    <cellStyle name="集計 18 2 3 2 4 2" xfId="10938"/>
    <cellStyle name="集計 18 2 3 2 4 3" xfId="10939"/>
    <cellStyle name="集計 18 2 3 2 5" xfId="10940"/>
    <cellStyle name="集計 18 2 3 2 6" xfId="10941"/>
    <cellStyle name="集計 18 2 3 3" xfId="10942"/>
    <cellStyle name="集計 18 2 3 3 2" xfId="10943"/>
    <cellStyle name="集計 18 2 3 3 3" xfId="10944"/>
    <cellStyle name="集計 18 2 3 4" xfId="10945"/>
    <cellStyle name="集計 18 2 3 4 2" xfId="10946"/>
    <cellStyle name="集計 18 2 3 4 3" xfId="10947"/>
    <cellStyle name="集計 18 2 3 5" xfId="10948"/>
    <cellStyle name="集計 18 2 3 5 2" xfId="10949"/>
    <cellStyle name="集計 18 2 3 5 3" xfId="10950"/>
    <cellStyle name="集計 18 2 3 6" xfId="10951"/>
    <cellStyle name="集計 18 2 3 7" xfId="10952"/>
    <cellStyle name="集計 18 2 4" xfId="10953"/>
    <cellStyle name="集計 18 2 4 2" xfId="10954"/>
    <cellStyle name="集計 18 2 4 2 2" xfId="10955"/>
    <cellStyle name="集計 18 2 4 2 2 2" xfId="10956"/>
    <cellStyle name="集計 18 2 4 2 2 3" xfId="10957"/>
    <cellStyle name="集計 18 2 4 2 3" xfId="10958"/>
    <cellStyle name="集計 18 2 4 2 3 2" xfId="10959"/>
    <cellStyle name="集計 18 2 4 2 3 3" xfId="10960"/>
    <cellStyle name="集計 18 2 4 2 4" xfId="10961"/>
    <cellStyle name="集計 18 2 4 2 4 2" xfId="10962"/>
    <cellStyle name="集計 18 2 4 2 4 3" xfId="10963"/>
    <cellStyle name="集計 18 2 4 2 5" xfId="10964"/>
    <cellStyle name="集計 18 2 4 2 6" xfId="10965"/>
    <cellStyle name="集計 18 2 4 3" xfId="10966"/>
    <cellStyle name="集計 18 2 4 3 2" xfId="10967"/>
    <cellStyle name="集計 18 2 4 3 3" xfId="10968"/>
    <cellStyle name="集計 18 2 4 4" xfId="10969"/>
    <cellStyle name="集計 18 2 4 4 2" xfId="10970"/>
    <cellStyle name="集計 18 2 4 4 3" xfId="10971"/>
    <cellStyle name="集計 18 2 4 5" xfId="10972"/>
    <cellStyle name="集計 18 2 4 5 2" xfId="10973"/>
    <cellStyle name="集計 18 2 4 5 3" xfId="10974"/>
    <cellStyle name="集計 18 2 4 6" xfId="10975"/>
    <cellStyle name="集計 18 2 4 7" xfId="10976"/>
    <cellStyle name="集計 18 2 5" xfId="10977"/>
    <cellStyle name="集計 18 2 5 2" xfId="10978"/>
    <cellStyle name="集計 18 2 5 2 2" xfId="10979"/>
    <cellStyle name="集計 18 2 5 2 3" xfId="10980"/>
    <cellStyle name="集計 18 2 5 3" xfId="10981"/>
    <cellStyle name="集計 18 2 5 3 2" xfId="10982"/>
    <cellStyle name="集計 18 2 5 3 3" xfId="10983"/>
    <cellStyle name="集計 18 2 5 4" xfId="10984"/>
    <cellStyle name="集計 18 2 5 4 2" xfId="10985"/>
    <cellStyle name="集計 18 2 5 4 3" xfId="10986"/>
    <cellStyle name="集計 18 2 5 5" xfId="10987"/>
    <cellStyle name="集計 18 2 5 6" xfId="10988"/>
    <cellStyle name="集計 18 2 6" xfId="10989"/>
    <cellStyle name="集計 18 2 6 2" xfId="10990"/>
    <cellStyle name="集計 18 2 6 3" xfId="10991"/>
    <cellStyle name="集計 18 2 7" xfId="10992"/>
    <cellStyle name="集計 18 2 7 2" xfId="10993"/>
    <cellStyle name="集計 18 2 7 3" xfId="10994"/>
    <cellStyle name="集計 18 2 8" xfId="10995"/>
    <cellStyle name="集計 18 2 8 2" xfId="10996"/>
    <cellStyle name="集計 18 2 8 3" xfId="10997"/>
    <cellStyle name="集計 18 2 9" xfId="10998"/>
    <cellStyle name="集計 18 3" xfId="10999"/>
    <cellStyle name="集計 18 3 10" xfId="11000"/>
    <cellStyle name="集計 18 3 2" xfId="11001"/>
    <cellStyle name="集計 18 3 2 10" xfId="11002"/>
    <cellStyle name="集計 18 3 2 2" xfId="11003"/>
    <cellStyle name="集計 18 3 2 2 2" xfId="11004"/>
    <cellStyle name="集計 18 3 2 2 2 2" xfId="11005"/>
    <cellStyle name="集計 18 3 2 2 2 2 2" xfId="11006"/>
    <cellStyle name="集計 18 3 2 2 2 2 2 2" xfId="11007"/>
    <cellStyle name="集計 18 3 2 2 2 2 2 3" xfId="11008"/>
    <cellStyle name="集計 18 3 2 2 2 2 3" xfId="11009"/>
    <cellStyle name="集計 18 3 2 2 2 2 3 2" xfId="11010"/>
    <cellStyle name="集計 18 3 2 2 2 2 3 3" xfId="11011"/>
    <cellStyle name="集計 18 3 2 2 2 2 4" xfId="11012"/>
    <cellStyle name="集計 18 3 2 2 2 2 4 2" xfId="11013"/>
    <cellStyle name="集計 18 3 2 2 2 2 4 3" xfId="11014"/>
    <cellStyle name="集計 18 3 2 2 2 2 5" xfId="11015"/>
    <cellStyle name="集計 18 3 2 2 2 2 6" xfId="11016"/>
    <cellStyle name="集計 18 3 2 2 2 3" xfId="11017"/>
    <cellStyle name="集計 18 3 2 2 2 3 2" xfId="11018"/>
    <cellStyle name="集計 18 3 2 2 2 3 3" xfId="11019"/>
    <cellStyle name="集計 18 3 2 2 2 4" xfId="11020"/>
    <cellStyle name="集計 18 3 2 2 2 4 2" xfId="11021"/>
    <cellStyle name="集計 18 3 2 2 2 4 3" xfId="11022"/>
    <cellStyle name="集計 18 3 2 2 2 5" xfId="11023"/>
    <cellStyle name="集計 18 3 2 2 2 5 2" xfId="11024"/>
    <cellStyle name="集計 18 3 2 2 2 5 3" xfId="11025"/>
    <cellStyle name="集計 18 3 2 2 2 6" xfId="11026"/>
    <cellStyle name="集計 18 3 2 2 2 7" xfId="11027"/>
    <cellStyle name="集計 18 3 2 2 3" xfId="11028"/>
    <cellStyle name="集計 18 3 2 2 3 2" xfId="11029"/>
    <cellStyle name="集計 18 3 2 2 3 2 2" xfId="11030"/>
    <cellStyle name="集計 18 3 2 2 3 2 2 2" xfId="11031"/>
    <cellStyle name="集計 18 3 2 2 3 2 2 3" xfId="11032"/>
    <cellStyle name="集計 18 3 2 2 3 2 3" xfId="11033"/>
    <cellStyle name="集計 18 3 2 2 3 2 3 2" xfId="11034"/>
    <cellStyle name="集計 18 3 2 2 3 2 3 3" xfId="11035"/>
    <cellStyle name="集計 18 3 2 2 3 2 4" xfId="11036"/>
    <cellStyle name="集計 18 3 2 2 3 2 4 2" xfId="11037"/>
    <cellStyle name="集計 18 3 2 2 3 2 4 3" xfId="11038"/>
    <cellStyle name="集計 18 3 2 2 3 2 5" xfId="11039"/>
    <cellStyle name="集計 18 3 2 2 3 2 6" xfId="11040"/>
    <cellStyle name="集計 18 3 2 2 3 3" xfId="11041"/>
    <cellStyle name="集計 18 3 2 2 3 3 2" xfId="11042"/>
    <cellStyle name="集計 18 3 2 2 3 3 3" xfId="11043"/>
    <cellStyle name="集計 18 3 2 2 3 4" xfId="11044"/>
    <cellStyle name="集計 18 3 2 2 3 4 2" xfId="11045"/>
    <cellStyle name="集計 18 3 2 2 3 4 3" xfId="11046"/>
    <cellStyle name="集計 18 3 2 2 3 5" xfId="11047"/>
    <cellStyle name="集計 18 3 2 2 3 5 2" xfId="11048"/>
    <cellStyle name="集計 18 3 2 2 3 5 3" xfId="11049"/>
    <cellStyle name="集計 18 3 2 2 3 6" xfId="11050"/>
    <cellStyle name="集計 18 3 2 2 3 7" xfId="11051"/>
    <cellStyle name="集計 18 3 2 2 4" xfId="11052"/>
    <cellStyle name="集計 18 3 2 2 4 2" xfId="11053"/>
    <cellStyle name="集計 18 3 2 2 4 2 2" xfId="11054"/>
    <cellStyle name="集計 18 3 2 2 4 2 3" xfId="11055"/>
    <cellStyle name="集計 18 3 2 2 4 3" xfId="11056"/>
    <cellStyle name="集計 18 3 2 2 4 3 2" xfId="11057"/>
    <cellStyle name="集計 18 3 2 2 4 3 3" xfId="11058"/>
    <cellStyle name="集計 18 3 2 2 4 4" xfId="11059"/>
    <cellStyle name="集計 18 3 2 2 4 4 2" xfId="11060"/>
    <cellStyle name="集計 18 3 2 2 4 4 3" xfId="11061"/>
    <cellStyle name="集計 18 3 2 2 4 5" xfId="11062"/>
    <cellStyle name="集計 18 3 2 2 4 6" xfId="11063"/>
    <cellStyle name="集計 18 3 2 2 5" xfId="11064"/>
    <cellStyle name="集計 18 3 2 2 5 2" xfId="11065"/>
    <cellStyle name="集計 18 3 2 2 5 3" xfId="11066"/>
    <cellStyle name="集計 18 3 2 2 6" xfId="11067"/>
    <cellStyle name="集計 18 3 2 2 6 2" xfId="11068"/>
    <cellStyle name="集計 18 3 2 2 6 3" xfId="11069"/>
    <cellStyle name="集計 18 3 2 2 7" xfId="11070"/>
    <cellStyle name="集計 18 3 2 2 7 2" xfId="11071"/>
    <cellStyle name="集計 18 3 2 2 7 3" xfId="11072"/>
    <cellStyle name="集計 18 3 2 2 8" xfId="11073"/>
    <cellStyle name="集計 18 3 2 2 9" xfId="11074"/>
    <cellStyle name="集計 18 3 2 3" xfId="11075"/>
    <cellStyle name="集計 18 3 2 3 2" xfId="11076"/>
    <cellStyle name="集計 18 3 2 3 2 2" xfId="11077"/>
    <cellStyle name="集計 18 3 2 3 2 2 2" xfId="11078"/>
    <cellStyle name="集計 18 3 2 3 2 2 3" xfId="11079"/>
    <cellStyle name="集計 18 3 2 3 2 3" xfId="11080"/>
    <cellStyle name="集計 18 3 2 3 2 3 2" xfId="11081"/>
    <cellStyle name="集計 18 3 2 3 2 3 3" xfId="11082"/>
    <cellStyle name="集計 18 3 2 3 2 4" xfId="11083"/>
    <cellStyle name="集計 18 3 2 3 2 4 2" xfId="11084"/>
    <cellStyle name="集計 18 3 2 3 2 4 3" xfId="11085"/>
    <cellStyle name="集計 18 3 2 3 2 5" xfId="11086"/>
    <cellStyle name="集計 18 3 2 3 2 6" xfId="11087"/>
    <cellStyle name="集計 18 3 2 3 3" xfId="11088"/>
    <cellStyle name="集計 18 3 2 3 3 2" xfId="11089"/>
    <cellStyle name="集計 18 3 2 3 3 3" xfId="11090"/>
    <cellStyle name="集計 18 3 2 3 4" xfId="11091"/>
    <cellStyle name="集計 18 3 2 3 4 2" xfId="11092"/>
    <cellStyle name="集計 18 3 2 3 4 3" xfId="11093"/>
    <cellStyle name="集計 18 3 2 3 5" xfId="11094"/>
    <cellStyle name="集計 18 3 2 3 5 2" xfId="11095"/>
    <cellStyle name="集計 18 3 2 3 5 3" xfId="11096"/>
    <cellStyle name="集計 18 3 2 3 6" xfId="11097"/>
    <cellStyle name="集計 18 3 2 3 7" xfId="11098"/>
    <cellStyle name="集計 18 3 2 4" xfId="11099"/>
    <cellStyle name="集計 18 3 2 4 2" xfId="11100"/>
    <cellStyle name="集計 18 3 2 4 2 2" xfId="11101"/>
    <cellStyle name="集計 18 3 2 4 2 2 2" xfId="11102"/>
    <cellStyle name="集計 18 3 2 4 2 2 3" xfId="11103"/>
    <cellStyle name="集計 18 3 2 4 2 3" xfId="11104"/>
    <cellStyle name="集計 18 3 2 4 2 3 2" xfId="11105"/>
    <cellStyle name="集計 18 3 2 4 2 3 3" xfId="11106"/>
    <cellStyle name="集計 18 3 2 4 2 4" xfId="11107"/>
    <cellStyle name="集計 18 3 2 4 2 4 2" xfId="11108"/>
    <cellStyle name="集計 18 3 2 4 2 4 3" xfId="11109"/>
    <cellStyle name="集計 18 3 2 4 2 5" xfId="11110"/>
    <cellStyle name="集計 18 3 2 4 2 6" xfId="11111"/>
    <cellStyle name="集計 18 3 2 4 3" xfId="11112"/>
    <cellStyle name="集計 18 3 2 4 3 2" xfId="11113"/>
    <cellStyle name="集計 18 3 2 4 3 3" xfId="11114"/>
    <cellStyle name="集計 18 3 2 4 4" xfId="11115"/>
    <cellStyle name="集計 18 3 2 4 4 2" xfId="11116"/>
    <cellStyle name="集計 18 3 2 4 4 3" xfId="11117"/>
    <cellStyle name="集計 18 3 2 4 5" xfId="11118"/>
    <cellStyle name="集計 18 3 2 4 5 2" xfId="11119"/>
    <cellStyle name="集計 18 3 2 4 5 3" xfId="11120"/>
    <cellStyle name="集計 18 3 2 4 6" xfId="11121"/>
    <cellStyle name="集計 18 3 2 4 7" xfId="11122"/>
    <cellStyle name="集計 18 3 2 5" xfId="11123"/>
    <cellStyle name="集計 18 3 2 5 2" xfId="11124"/>
    <cellStyle name="集計 18 3 2 5 2 2" xfId="11125"/>
    <cellStyle name="集計 18 3 2 5 2 3" xfId="11126"/>
    <cellStyle name="集計 18 3 2 5 3" xfId="11127"/>
    <cellStyle name="集計 18 3 2 5 3 2" xfId="11128"/>
    <cellStyle name="集計 18 3 2 5 3 3" xfId="11129"/>
    <cellStyle name="集計 18 3 2 5 4" xfId="11130"/>
    <cellStyle name="集計 18 3 2 5 4 2" xfId="11131"/>
    <cellStyle name="集計 18 3 2 5 4 3" xfId="11132"/>
    <cellStyle name="集計 18 3 2 5 5" xfId="11133"/>
    <cellStyle name="集計 18 3 2 5 6" xfId="11134"/>
    <cellStyle name="集計 18 3 2 6" xfId="11135"/>
    <cellStyle name="集計 18 3 2 6 2" xfId="11136"/>
    <cellStyle name="集計 18 3 2 6 3" xfId="11137"/>
    <cellStyle name="集計 18 3 2 7" xfId="11138"/>
    <cellStyle name="集計 18 3 2 7 2" xfId="11139"/>
    <cellStyle name="集計 18 3 2 7 3" xfId="11140"/>
    <cellStyle name="集計 18 3 2 8" xfId="11141"/>
    <cellStyle name="集計 18 3 2 8 2" xfId="11142"/>
    <cellStyle name="集計 18 3 2 8 3" xfId="11143"/>
    <cellStyle name="集計 18 3 2 9" xfId="11144"/>
    <cellStyle name="集計 18 3 3" xfId="11145"/>
    <cellStyle name="集計 18 3 3 2" xfId="11146"/>
    <cellStyle name="集計 18 3 3 2 2" xfId="11147"/>
    <cellStyle name="集計 18 3 3 2 2 2" xfId="11148"/>
    <cellStyle name="集計 18 3 3 2 2 3" xfId="11149"/>
    <cellStyle name="集計 18 3 3 2 3" xfId="11150"/>
    <cellStyle name="集計 18 3 3 2 3 2" xfId="11151"/>
    <cellStyle name="集計 18 3 3 2 3 3" xfId="11152"/>
    <cellStyle name="集計 18 3 3 2 4" xfId="11153"/>
    <cellStyle name="集計 18 3 3 2 4 2" xfId="11154"/>
    <cellStyle name="集計 18 3 3 2 4 3" xfId="11155"/>
    <cellStyle name="集計 18 3 3 2 5" xfId="11156"/>
    <cellStyle name="集計 18 3 3 2 6" xfId="11157"/>
    <cellStyle name="集計 18 3 3 3" xfId="11158"/>
    <cellStyle name="集計 18 3 3 3 2" xfId="11159"/>
    <cellStyle name="集計 18 3 3 3 3" xfId="11160"/>
    <cellStyle name="集計 18 3 3 4" xfId="11161"/>
    <cellStyle name="集計 18 3 3 4 2" xfId="11162"/>
    <cellStyle name="集計 18 3 3 4 3" xfId="11163"/>
    <cellStyle name="集計 18 3 3 5" xfId="11164"/>
    <cellStyle name="集計 18 3 3 5 2" xfId="11165"/>
    <cellStyle name="集計 18 3 3 5 3" xfId="11166"/>
    <cellStyle name="集計 18 3 3 6" xfId="11167"/>
    <cellStyle name="集計 18 3 3 7" xfId="11168"/>
    <cellStyle name="集計 18 3 4" xfId="11169"/>
    <cellStyle name="集計 18 3 4 2" xfId="11170"/>
    <cellStyle name="集計 18 3 4 2 2" xfId="11171"/>
    <cellStyle name="集計 18 3 4 2 2 2" xfId="11172"/>
    <cellStyle name="集計 18 3 4 2 2 3" xfId="11173"/>
    <cellStyle name="集計 18 3 4 2 3" xfId="11174"/>
    <cellStyle name="集計 18 3 4 2 3 2" xfId="11175"/>
    <cellStyle name="集計 18 3 4 2 3 3" xfId="11176"/>
    <cellStyle name="集計 18 3 4 2 4" xfId="11177"/>
    <cellStyle name="集計 18 3 4 2 4 2" xfId="11178"/>
    <cellStyle name="集計 18 3 4 2 4 3" xfId="11179"/>
    <cellStyle name="集計 18 3 4 2 5" xfId="11180"/>
    <cellStyle name="集計 18 3 4 2 6" xfId="11181"/>
    <cellStyle name="集計 18 3 4 3" xfId="11182"/>
    <cellStyle name="集計 18 3 4 3 2" xfId="11183"/>
    <cellStyle name="集計 18 3 4 3 3" xfId="11184"/>
    <cellStyle name="集計 18 3 4 4" xfId="11185"/>
    <cellStyle name="集計 18 3 4 4 2" xfId="11186"/>
    <cellStyle name="集計 18 3 4 4 3" xfId="11187"/>
    <cellStyle name="集計 18 3 4 5" xfId="11188"/>
    <cellStyle name="集計 18 3 4 5 2" xfId="11189"/>
    <cellStyle name="集計 18 3 4 5 3" xfId="11190"/>
    <cellStyle name="集計 18 3 4 6" xfId="11191"/>
    <cellStyle name="集計 18 3 4 7" xfId="11192"/>
    <cellStyle name="集計 18 3 5" xfId="11193"/>
    <cellStyle name="集計 18 3 5 2" xfId="11194"/>
    <cellStyle name="集計 18 3 5 2 2" xfId="11195"/>
    <cellStyle name="集計 18 3 5 2 3" xfId="11196"/>
    <cellStyle name="集計 18 3 5 3" xfId="11197"/>
    <cellStyle name="集計 18 3 5 3 2" xfId="11198"/>
    <cellStyle name="集計 18 3 5 3 3" xfId="11199"/>
    <cellStyle name="集計 18 3 5 4" xfId="11200"/>
    <cellStyle name="集計 18 3 5 4 2" xfId="11201"/>
    <cellStyle name="集計 18 3 5 4 3" xfId="11202"/>
    <cellStyle name="集計 18 3 5 5" xfId="11203"/>
    <cellStyle name="集計 18 3 5 6" xfId="11204"/>
    <cellStyle name="集計 18 3 6" xfId="11205"/>
    <cellStyle name="集計 18 3 6 2" xfId="11206"/>
    <cellStyle name="集計 18 3 6 3" xfId="11207"/>
    <cellStyle name="集計 18 3 7" xfId="11208"/>
    <cellStyle name="集計 18 3 7 2" xfId="11209"/>
    <cellStyle name="集計 18 3 7 3" xfId="11210"/>
    <cellStyle name="集計 18 3 8" xfId="11211"/>
    <cellStyle name="集計 18 3 8 2" xfId="11212"/>
    <cellStyle name="集計 18 3 8 3" xfId="11213"/>
    <cellStyle name="集計 18 3 9" xfId="11214"/>
    <cellStyle name="集計 18 4" xfId="11215"/>
    <cellStyle name="集計 18 4 10" xfId="11216"/>
    <cellStyle name="集計 18 4 2" xfId="11217"/>
    <cellStyle name="集計 18 4 2 10" xfId="11218"/>
    <cellStyle name="集計 18 4 2 2" xfId="11219"/>
    <cellStyle name="集計 18 4 2 2 2" xfId="11220"/>
    <cellStyle name="集計 18 4 2 2 2 2" xfId="11221"/>
    <cellStyle name="集計 18 4 2 2 2 2 2" xfId="11222"/>
    <cellStyle name="集計 18 4 2 2 2 2 2 2" xfId="11223"/>
    <cellStyle name="集計 18 4 2 2 2 2 2 3" xfId="11224"/>
    <cellStyle name="集計 18 4 2 2 2 2 3" xfId="11225"/>
    <cellStyle name="集計 18 4 2 2 2 2 3 2" xfId="11226"/>
    <cellStyle name="集計 18 4 2 2 2 2 3 3" xfId="11227"/>
    <cellStyle name="集計 18 4 2 2 2 2 4" xfId="11228"/>
    <cellStyle name="集計 18 4 2 2 2 2 4 2" xfId="11229"/>
    <cellStyle name="集計 18 4 2 2 2 2 4 3" xfId="11230"/>
    <cellStyle name="集計 18 4 2 2 2 2 5" xfId="11231"/>
    <cellStyle name="集計 18 4 2 2 2 2 6" xfId="11232"/>
    <cellStyle name="集計 18 4 2 2 2 3" xfId="11233"/>
    <cellStyle name="集計 18 4 2 2 2 3 2" xfId="11234"/>
    <cellStyle name="集計 18 4 2 2 2 3 3" xfId="11235"/>
    <cellStyle name="集計 18 4 2 2 2 4" xfId="11236"/>
    <cellStyle name="集計 18 4 2 2 2 4 2" xfId="11237"/>
    <cellStyle name="集計 18 4 2 2 2 4 3" xfId="11238"/>
    <cellStyle name="集計 18 4 2 2 2 5" xfId="11239"/>
    <cellStyle name="集計 18 4 2 2 2 5 2" xfId="11240"/>
    <cellStyle name="集計 18 4 2 2 2 5 3" xfId="11241"/>
    <cellStyle name="集計 18 4 2 2 2 6" xfId="11242"/>
    <cellStyle name="集計 18 4 2 2 2 7" xfId="11243"/>
    <cellStyle name="集計 18 4 2 2 3" xfId="11244"/>
    <cellStyle name="集計 18 4 2 2 3 2" xfId="11245"/>
    <cellStyle name="集計 18 4 2 2 3 2 2" xfId="11246"/>
    <cellStyle name="集計 18 4 2 2 3 2 2 2" xfId="11247"/>
    <cellStyle name="集計 18 4 2 2 3 2 2 3" xfId="11248"/>
    <cellStyle name="集計 18 4 2 2 3 2 3" xfId="11249"/>
    <cellStyle name="集計 18 4 2 2 3 2 3 2" xfId="11250"/>
    <cellStyle name="集計 18 4 2 2 3 2 3 3" xfId="11251"/>
    <cellStyle name="集計 18 4 2 2 3 2 4" xfId="11252"/>
    <cellStyle name="集計 18 4 2 2 3 2 4 2" xfId="11253"/>
    <cellStyle name="集計 18 4 2 2 3 2 4 3" xfId="11254"/>
    <cellStyle name="集計 18 4 2 2 3 2 5" xfId="11255"/>
    <cellStyle name="集計 18 4 2 2 3 2 6" xfId="11256"/>
    <cellStyle name="集計 18 4 2 2 3 3" xfId="11257"/>
    <cellStyle name="集計 18 4 2 2 3 3 2" xfId="11258"/>
    <cellStyle name="集計 18 4 2 2 3 3 3" xfId="11259"/>
    <cellStyle name="集計 18 4 2 2 3 4" xfId="11260"/>
    <cellStyle name="集計 18 4 2 2 3 4 2" xfId="11261"/>
    <cellStyle name="集計 18 4 2 2 3 4 3" xfId="11262"/>
    <cellStyle name="集計 18 4 2 2 3 5" xfId="11263"/>
    <cellStyle name="集計 18 4 2 2 3 5 2" xfId="11264"/>
    <cellStyle name="集計 18 4 2 2 3 5 3" xfId="11265"/>
    <cellStyle name="集計 18 4 2 2 3 6" xfId="11266"/>
    <cellStyle name="集計 18 4 2 2 3 7" xfId="11267"/>
    <cellStyle name="集計 18 4 2 2 4" xfId="11268"/>
    <cellStyle name="集計 18 4 2 2 4 2" xfId="11269"/>
    <cellStyle name="集計 18 4 2 2 4 2 2" xfId="11270"/>
    <cellStyle name="集計 18 4 2 2 4 2 3" xfId="11271"/>
    <cellStyle name="集計 18 4 2 2 4 3" xfId="11272"/>
    <cellStyle name="集計 18 4 2 2 4 3 2" xfId="11273"/>
    <cellStyle name="集計 18 4 2 2 4 3 3" xfId="11274"/>
    <cellStyle name="集計 18 4 2 2 4 4" xfId="11275"/>
    <cellStyle name="集計 18 4 2 2 4 4 2" xfId="11276"/>
    <cellStyle name="集計 18 4 2 2 4 4 3" xfId="11277"/>
    <cellStyle name="集計 18 4 2 2 4 5" xfId="11278"/>
    <cellStyle name="集計 18 4 2 2 4 6" xfId="11279"/>
    <cellStyle name="集計 18 4 2 2 5" xfId="11280"/>
    <cellStyle name="集計 18 4 2 2 5 2" xfId="11281"/>
    <cellStyle name="集計 18 4 2 2 5 3" xfId="11282"/>
    <cellStyle name="集計 18 4 2 2 6" xfId="11283"/>
    <cellStyle name="集計 18 4 2 2 6 2" xfId="11284"/>
    <cellStyle name="集計 18 4 2 2 6 3" xfId="11285"/>
    <cellStyle name="集計 18 4 2 2 7" xfId="11286"/>
    <cellStyle name="集計 18 4 2 2 7 2" xfId="11287"/>
    <cellStyle name="集計 18 4 2 2 7 3" xfId="11288"/>
    <cellStyle name="集計 18 4 2 2 8" xfId="11289"/>
    <cellStyle name="集計 18 4 2 2 9" xfId="11290"/>
    <cellStyle name="集計 18 4 2 3" xfId="11291"/>
    <cellStyle name="集計 18 4 2 3 2" xfId="11292"/>
    <cellStyle name="集計 18 4 2 3 2 2" xfId="11293"/>
    <cellStyle name="集計 18 4 2 3 2 2 2" xfId="11294"/>
    <cellStyle name="集計 18 4 2 3 2 2 3" xfId="11295"/>
    <cellStyle name="集計 18 4 2 3 2 3" xfId="11296"/>
    <cellStyle name="集計 18 4 2 3 2 3 2" xfId="11297"/>
    <cellStyle name="集計 18 4 2 3 2 3 3" xfId="11298"/>
    <cellStyle name="集計 18 4 2 3 2 4" xfId="11299"/>
    <cellStyle name="集計 18 4 2 3 2 4 2" xfId="11300"/>
    <cellStyle name="集計 18 4 2 3 2 4 3" xfId="11301"/>
    <cellStyle name="集計 18 4 2 3 2 5" xfId="11302"/>
    <cellStyle name="集計 18 4 2 3 2 6" xfId="11303"/>
    <cellStyle name="集計 18 4 2 3 3" xfId="11304"/>
    <cellStyle name="集計 18 4 2 3 3 2" xfId="11305"/>
    <cellStyle name="集計 18 4 2 3 3 3" xfId="11306"/>
    <cellStyle name="集計 18 4 2 3 4" xfId="11307"/>
    <cellStyle name="集計 18 4 2 3 4 2" xfId="11308"/>
    <cellStyle name="集計 18 4 2 3 4 3" xfId="11309"/>
    <cellStyle name="集計 18 4 2 3 5" xfId="11310"/>
    <cellStyle name="集計 18 4 2 3 5 2" xfId="11311"/>
    <cellStyle name="集計 18 4 2 3 5 3" xfId="11312"/>
    <cellStyle name="集計 18 4 2 3 6" xfId="11313"/>
    <cellStyle name="集計 18 4 2 3 7" xfId="11314"/>
    <cellStyle name="集計 18 4 2 4" xfId="11315"/>
    <cellStyle name="集計 18 4 2 4 2" xfId="11316"/>
    <cellStyle name="集計 18 4 2 4 2 2" xfId="11317"/>
    <cellStyle name="集計 18 4 2 4 2 2 2" xfId="11318"/>
    <cellStyle name="集計 18 4 2 4 2 2 3" xfId="11319"/>
    <cellStyle name="集計 18 4 2 4 2 3" xfId="11320"/>
    <cellStyle name="集計 18 4 2 4 2 3 2" xfId="11321"/>
    <cellStyle name="集計 18 4 2 4 2 3 3" xfId="11322"/>
    <cellStyle name="集計 18 4 2 4 2 4" xfId="11323"/>
    <cellStyle name="集計 18 4 2 4 2 4 2" xfId="11324"/>
    <cellStyle name="集計 18 4 2 4 2 4 3" xfId="11325"/>
    <cellStyle name="集計 18 4 2 4 2 5" xfId="11326"/>
    <cellStyle name="集計 18 4 2 4 2 6" xfId="11327"/>
    <cellStyle name="集計 18 4 2 4 3" xfId="11328"/>
    <cellStyle name="集計 18 4 2 4 3 2" xfId="11329"/>
    <cellStyle name="集計 18 4 2 4 3 3" xfId="11330"/>
    <cellStyle name="集計 18 4 2 4 4" xfId="11331"/>
    <cellStyle name="集計 18 4 2 4 4 2" xfId="11332"/>
    <cellStyle name="集計 18 4 2 4 4 3" xfId="11333"/>
    <cellStyle name="集計 18 4 2 4 5" xfId="11334"/>
    <cellStyle name="集計 18 4 2 4 5 2" xfId="11335"/>
    <cellStyle name="集計 18 4 2 4 5 3" xfId="11336"/>
    <cellStyle name="集計 18 4 2 4 6" xfId="11337"/>
    <cellStyle name="集計 18 4 2 4 7" xfId="11338"/>
    <cellStyle name="集計 18 4 2 5" xfId="11339"/>
    <cellStyle name="集計 18 4 2 5 2" xfId="11340"/>
    <cellStyle name="集計 18 4 2 5 2 2" xfId="11341"/>
    <cellStyle name="集計 18 4 2 5 2 3" xfId="11342"/>
    <cellStyle name="集計 18 4 2 5 3" xfId="11343"/>
    <cellStyle name="集計 18 4 2 5 3 2" xfId="11344"/>
    <cellStyle name="集計 18 4 2 5 3 3" xfId="11345"/>
    <cellStyle name="集計 18 4 2 5 4" xfId="11346"/>
    <cellStyle name="集計 18 4 2 5 4 2" xfId="11347"/>
    <cellStyle name="集計 18 4 2 5 4 3" xfId="11348"/>
    <cellStyle name="集計 18 4 2 5 5" xfId="11349"/>
    <cellStyle name="集計 18 4 2 5 6" xfId="11350"/>
    <cellStyle name="集計 18 4 2 6" xfId="11351"/>
    <cellStyle name="集計 18 4 2 6 2" xfId="11352"/>
    <cellStyle name="集計 18 4 2 6 3" xfId="11353"/>
    <cellStyle name="集計 18 4 2 7" xfId="11354"/>
    <cellStyle name="集計 18 4 2 7 2" xfId="11355"/>
    <cellStyle name="集計 18 4 2 7 3" xfId="11356"/>
    <cellStyle name="集計 18 4 2 8" xfId="11357"/>
    <cellStyle name="集計 18 4 2 8 2" xfId="11358"/>
    <cellStyle name="集計 18 4 2 8 3" xfId="11359"/>
    <cellStyle name="集計 18 4 2 9" xfId="11360"/>
    <cellStyle name="集計 18 4 3" xfId="11361"/>
    <cellStyle name="集計 18 4 3 2" xfId="11362"/>
    <cellStyle name="集計 18 4 3 2 2" xfId="11363"/>
    <cellStyle name="集計 18 4 3 2 2 2" xfId="11364"/>
    <cellStyle name="集計 18 4 3 2 2 3" xfId="11365"/>
    <cellStyle name="集計 18 4 3 2 3" xfId="11366"/>
    <cellStyle name="集計 18 4 3 2 3 2" xfId="11367"/>
    <cellStyle name="集計 18 4 3 2 3 3" xfId="11368"/>
    <cellStyle name="集計 18 4 3 2 4" xfId="11369"/>
    <cellStyle name="集計 18 4 3 2 4 2" xfId="11370"/>
    <cellStyle name="集計 18 4 3 2 4 3" xfId="11371"/>
    <cellStyle name="集計 18 4 3 2 5" xfId="11372"/>
    <cellStyle name="集計 18 4 3 2 6" xfId="11373"/>
    <cellStyle name="集計 18 4 3 3" xfId="11374"/>
    <cellStyle name="集計 18 4 3 3 2" xfId="11375"/>
    <cellStyle name="集計 18 4 3 3 3" xfId="11376"/>
    <cellStyle name="集計 18 4 3 4" xfId="11377"/>
    <cellStyle name="集計 18 4 3 4 2" xfId="11378"/>
    <cellStyle name="集計 18 4 3 4 3" xfId="11379"/>
    <cellStyle name="集計 18 4 3 5" xfId="11380"/>
    <cellStyle name="集計 18 4 3 5 2" xfId="11381"/>
    <cellStyle name="集計 18 4 3 5 3" xfId="11382"/>
    <cellStyle name="集計 18 4 3 6" xfId="11383"/>
    <cellStyle name="集計 18 4 3 7" xfId="11384"/>
    <cellStyle name="集計 18 4 4" xfId="11385"/>
    <cellStyle name="集計 18 4 4 2" xfId="11386"/>
    <cellStyle name="集計 18 4 4 2 2" xfId="11387"/>
    <cellStyle name="集計 18 4 4 2 2 2" xfId="11388"/>
    <cellStyle name="集計 18 4 4 2 2 3" xfId="11389"/>
    <cellStyle name="集計 18 4 4 2 3" xfId="11390"/>
    <cellStyle name="集計 18 4 4 2 3 2" xfId="11391"/>
    <cellStyle name="集計 18 4 4 2 3 3" xfId="11392"/>
    <cellStyle name="集計 18 4 4 2 4" xfId="11393"/>
    <cellStyle name="集計 18 4 4 2 4 2" xfId="11394"/>
    <cellStyle name="集計 18 4 4 2 4 3" xfId="11395"/>
    <cellStyle name="集計 18 4 4 2 5" xfId="11396"/>
    <cellStyle name="集計 18 4 4 2 6" xfId="11397"/>
    <cellStyle name="集計 18 4 4 3" xfId="11398"/>
    <cellStyle name="集計 18 4 4 3 2" xfId="11399"/>
    <cellStyle name="集計 18 4 4 3 3" xfId="11400"/>
    <cellStyle name="集計 18 4 4 4" xfId="11401"/>
    <cellStyle name="集計 18 4 4 4 2" xfId="11402"/>
    <cellStyle name="集計 18 4 4 4 3" xfId="11403"/>
    <cellStyle name="集計 18 4 4 5" xfId="11404"/>
    <cellStyle name="集計 18 4 4 5 2" xfId="11405"/>
    <cellStyle name="集計 18 4 4 5 3" xfId="11406"/>
    <cellStyle name="集計 18 4 4 6" xfId="11407"/>
    <cellStyle name="集計 18 4 4 7" xfId="11408"/>
    <cellStyle name="集計 18 4 5" xfId="11409"/>
    <cellStyle name="集計 18 4 5 2" xfId="11410"/>
    <cellStyle name="集計 18 4 5 2 2" xfId="11411"/>
    <cellStyle name="集計 18 4 5 2 3" xfId="11412"/>
    <cellStyle name="集計 18 4 5 3" xfId="11413"/>
    <cellStyle name="集計 18 4 5 3 2" xfId="11414"/>
    <cellStyle name="集計 18 4 5 3 3" xfId="11415"/>
    <cellStyle name="集計 18 4 5 4" xfId="11416"/>
    <cellStyle name="集計 18 4 5 4 2" xfId="11417"/>
    <cellStyle name="集計 18 4 5 4 3" xfId="11418"/>
    <cellStyle name="集計 18 4 5 5" xfId="11419"/>
    <cellStyle name="集計 18 4 5 6" xfId="11420"/>
    <cellStyle name="集計 18 4 6" xfId="11421"/>
    <cellStyle name="集計 18 4 6 2" xfId="11422"/>
    <cellStyle name="集計 18 4 6 3" xfId="11423"/>
    <cellStyle name="集計 18 4 7" xfId="11424"/>
    <cellStyle name="集計 18 4 7 2" xfId="11425"/>
    <cellStyle name="集計 18 4 7 3" xfId="11426"/>
    <cellStyle name="集計 18 4 8" xfId="11427"/>
    <cellStyle name="集計 18 4 8 2" xfId="11428"/>
    <cellStyle name="集計 18 4 8 3" xfId="11429"/>
    <cellStyle name="集計 18 4 9" xfId="11430"/>
    <cellStyle name="集計 18 5" xfId="11431"/>
    <cellStyle name="集計 18 5 10" xfId="11432"/>
    <cellStyle name="集計 18 5 2" xfId="11433"/>
    <cellStyle name="集計 18 5 2 2" xfId="11434"/>
    <cellStyle name="集計 18 5 2 2 2" xfId="11435"/>
    <cellStyle name="集計 18 5 2 2 2 2" xfId="11436"/>
    <cellStyle name="集計 18 5 2 2 2 2 2" xfId="11437"/>
    <cellStyle name="集計 18 5 2 2 2 2 3" xfId="11438"/>
    <cellStyle name="集計 18 5 2 2 2 3" xfId="11439"/>
    <cellStyle name="集計 18 5 2 2 2 3 2" xfId="11440"/>
    <cellStyle name="集計 18 5 2 2 2 3 3" xfId="11441"/>
    <cellStyle name="集計 18 5 2 2 2 4" xfId="11442"/>
    <cellStyle name="集計 18 5 2 2 2 4 2" xfId="11443"/>
    <cellStyle name="集計 18 5 2 2 2 4 3" xfId="11444"/>
    <cellStyle name="集計 18 5 2 2 2 5" xfId="11445"/>
    <cellStyle name="集計 18 5 2 2 2 6" xfId="11446"/>
    <cellStyle name="集計 18 5 2 2 3" xfId="11447"/>
    <cellStyle name="集計 18 5 2 2 3 2" xfId="11448"/>
    <cellStyle name="集計 18 5 2 2 3 3" xfId="11449"/>
    <cellStyle name="集計 18 5 2 2 4" xfId="11450"/>
    <cellStyle name="集計 18 5 2 2 4 2" xfId="11451"/>
    <cellStyle name="集計 18 5 2 2 4 3" xfId="11452"/>
    <cellStyle name="集計 18 5 2 2 5" xfId="11453"/>
    <cellStyle name="集計 18 5 2 2 5 2" xfId="11454"/>
    <cellStyle name="集計 18 5 2 2 5 3" xfId="11455"/>
    <cellStyle name="集計 18 5 2 2 6" xfId="11456"/>
    <cellStyle name="集計 18 5 2 2 7" xfId="11457"/>
    <cellStyle name="集計 18 5 2 3" xfId="11458"/>
    <cellStyle name="集計 18 5 2 3 2" xfId="11459"/>
    <cellStyle name="集計 18 5 2 3 2 2" xfId="11460"/>
    <cellStyle name="集計 18 5 2 3 2 2 2" xfId="11461"/>
    <cellStyle name="集計 18 5 2 3 2 2 3" xfId="11462"/>
    <cellStyle name="集計 18 5 2 3 2 3" xfId="11463"/>
    <cellStyle name="集計 18 5 2 3 2 3 2" xfId="11464"/>
    <cellStyle name="集計 18 5 2 3 2 3 3" xfId="11465"/>
    <cellStyle name="集計 18 5 2 3 2 4" xfId="11466"/>
    <cellStyle name="集計 18 5 2 3 2 4 2" xfId="11467"/>
    <cellStyle name="集計 18 5 2 3 2 4 3" xfId="11468"/>
    <cellStyle name="集計 18 5 2 3 2 5" xfId="11469"/>
    <cellStyle name="集計 18 5 2 3 2 6" xfId="11470"/>
    <cellStyle name="集計 18 5 2 3 3" xfId="11471"/>
    <cellStyle name="集計 18 5 2 3 3 2" xfId="11472"/>
    <cellStyle name="集計 18 5 2 3 3 3" xfId="11473"/>
    <cellStyle name="集計 18 5 2 3 4" xfId="11474"/>
    <cellStyle name="集計 18 5 2 3 4 2" xfId="11475"/>
    <cellStyle name="集計 18 5 2 3 4 3" xfId="11476"/>
    <cellStyle name="集計 18 5 2 3 5" xfId="11477"/>
    <cellStyle name="集計 18 5 2 3 5 2" xfId="11478"/>
    <cellStyle name="集計 18 5 2 3 5 3" xfId="11479"/>
    <cellStyle name="集計 18 5 2 3 6" xfId="11480"/>
    <cellStyle name="集計 18 5 2 3 7" xfId="11481"/>
    <cellStyle name="集計 18 5 2 4" xfId="11482"/>
    <cellStyle name="集計 18 5 2 4 2" xfId="11483"/>
    <cellStyle name="集計 18 5 2 4 2 2" xfId="11484"/>
    <cellStyle name="集計 18 5 2 4 2 3" xfId="11485"/>
    <cellStyle name="集計 18 5 2 4 3" xfId="11486"/>
    <cellStyle name="集計 18 5 2 4 3 2" xfId="11487"/>
    <cellStyle name="集計 18 5 2 4 3 3" xfId="11488"/>
    <cellStyle name="集計 18 5 2 4 4" xfId="11489"/>
    <cellStyle name="集計 18 5 2 4 4 2" xfId="11490"/>
    <cellStyle name="集計 18 5 2 4 4 3" xfId="11491"/>
    <cellStyle name="集計 18 5 2 4 5" xfId="11492"/>
    <cellStyle name="集計 18 5 2 4 6" xfId="11493"/>
    <cellStyle name="集計 18 5 2 5" xfId="11494"/>
    <cellStyle name="集計 18 5 2 5 2" xfId="11495"/>
    <cellStyle name="集計 18 5 2 5 3" xfId="11496"/>
    <cellStyle name="集計 18 5 2 6" xfId="11497"/>
    <cellStyle name="集計 18 5 2 6 2" xfId="11498"/>
    <cellStyle name="集計 18 5 2 6 3" xfId="11499"/>
    <cellStyle name="集計 18 5 2 7" xfId="11500"/>
    <cellStyle name="集計 18 5 2 7 2" xfId="11501"/>
    <cellStyle name="集計 18 5 2 7 3" xfId="11502"/>
    <cellStyle name="集計 18 5 2 8" xfId="11503"/>
    <cellStyle name="集計 18 5 2 9" xfId="11504"/>
    <cellStyle name="集計 18 5 3" xfId="11505"/>
    <cellStyle name="集計 18 5 3 2" xfId="11506"/>
    <cellStyle name="集計 18 5 3 2 2" xfId="11507"/>
    <cellStyle name="集計 18 5 3 2 2 2" xfId="11508"/>
    <cellStyle name="集計 18 5 3 2 2 3" xfId="11509"/>
    <cellStyle name="集計 18 5 3 2 3" xfId="11510"/>
    <cellStyle name="集計 18 5 3 2 3 2" xfId="11511"/>
    <cellStyle name="集計 18 5 3 2 3 3" xfId="11512"/>
    <cellStyle name="集計 18 5 3 2 4" xfId="11513"/>
    <cellStyle name="集計 18 5 3 2 4 2" xfId="11514"/>
    <cellStyle name="集計 18 5 3 2 4 3" xfId="11515"/>
    <cellStyle name="集計 18 5 3 2 5" xfId="11516"/>
    <cellStyle name="集計 18 5 3 2 6" xfId="11517"/>
    <cellStyle name="集計 18 5 3 3" xfId="11518"/>
    <cellStyle name="集計 18 5 3 3 2" xfId="11519"/>
    <cellStyle name="集計 18 5 3 3 3" xfId="11520"/>
    <cellStyle name="集計 18 5 3 4" xfId="11521"/>
    <cellStyle name="集計 18 5 3 4 2" xfId="11522"/>
    <cellStyle name="集計 18 5 3 4 3" xfId="11523"/>
    <cellStyle name="集計 18 5 3 5" xfId="11524"/>
    <cellStyle name="集計 18 5 3 5 2" xfId="11525"/>
    <cellStyle name="集計 18 5 3 5 3" xfId="11526"/>
    <cellStyle name="集計 18 5 3 6" xfId="11527"/>
    <cellStyle name="集計 18 5 3 7" xfId="11528"/>
    <cellStyle name="集計 18 5 4" xfId="11529"/>
    <cellStyle name="集計 18 5 4 2" xfId="11530"/>
    <cellStyle name="集計 18 5 4 2 2" xfId="11531"/>
    <cellStyle name="集計 18 5 4 2 2 2" xfId="11532"/>
    <cellStyle name="集計 18 5 4 2 2 3" xfId="11533"/>
    <cellStyle name="集計 18 5 4 2 3" xfId="11534"/>
    <cellStyle name="集計 18 5 4 2 3 2" xfId="11535"/>
    <cellStyle name="集計 18 5 4 2 3 3" xfId="11536"/>
    <cellStyle name="集計 18 5 4 2 4" xfId="11537"/>
    <cellStyle name="集計 18 5 4 2 4 2" xfId="11538"/>
    <cellStyle name="集計 18 5 4 2 4 3" xfId="11539"/>
    <cellStyle name="集計 18 5 4 2 5" xfId="11540"/>
    <cellStyle name="集計 18 5 4 2 6" xfId="11541"/>
    <cellStyle name="集計 18 5 4 3" xfId="11542"/>
    <cellStyle name="集計 18 5 4 3 2" xfId="11543"/>
    <cellStyle name="集計 18 5 4 3 3" xfId="11544"/>
    <cellStyle name="集計 18 5 4 4" xfId="11545"/>
    <cellStyle name="集計 18 5 4 4 2" xfId="11546"/>
    <cellStyle name="集計 18 5 4 4 3" xfId="11547"/>
    <cellStyle name="集計 18 5 4 5" xfId="11548"/>
    <cellStyle name="集計 18 5 4 5 2" xfId="11549"/>
    <cellStyle name="集計 18 5 4 5 3" xfId="11550"/>
    <cellStyle name="集計 18 5 4 6" xfId="11551"/>
    <cellStyle name="集計 18 5 4 7" xfId="11552"/>
    <cellStyle name="集計 18 5 5" xfId="11553"/>
    <cellStyle name="集計 18 5 5 2" xfId="11554"/>
    <cellStyle name="集計 18 5 5 2 2" xfId="11555"/>
    <cellStyle name="集計 18 5 5 2 3" xfId="11556"/>
    <cellStyle name="集計 18 5 5 3" xfId="11557"/>
    <cellStyle name="集計 18 5 5 3 2" xfId="11558"/>
    <cellStyle name="集計 18 5 5 3 3" xfId="11559"/>
    <cellStyle name="集計 18 5 5 4" xfId="11560"/>
    <cellStyle name="集計 18 5 5 4 2" xfId="11561"/>
    <cellStyle name="集計 18 5 5 4 3" xfId="11562"/>
    <cellStyle name="集計 18 5 5 5" xfId="11563"/>
    <cellStyle name="集計 18 5 5 6" xfId="11564"/>
    <cellStyle name="集計 18 5 6" xfId="11565"/>
    <cellStyle name="集計 18 5 6 2" xfId="11566"/>
    <cellStyle name="集計 18 5 6 3" xfId="11567"/>
    <cellStyle name="集計 18 5 7" xfId="11568"/>
    <cellStyle name="集計 18 5 7 2" xfId="11569"/>
    <cellStyle name="集計 18 5 7 3" xfId="11570"/>
    <cellStyle name="集計 18 5 8" xfId="11571"/>
    <cellStyle name="集計 18 5 8 2" xfId="11572"/>
    <cellStyle name="集計 18 5 8 3" xfId="11573"/>
    <cellStyle name="集計 18 5 9" xfId="11574"/>
    <cellStyle name="集計 18 6" xfId="11575"/>
    <cellStyle name="集計 18 6 10" xfId="11576"/>
    <cellStyle name="集計 18 6 2" xfId="11577"/>
    <cellStyle name="集計 18 6 2 2" xfId="11578"/>
    <cellStyle name="集計 18 6 2 2 2" xfId="11579"/>
    <cellStyle name="集計 18 6 2 2 2 2" xfId="11580"/>
    <cellStyle name="集計 18 6 2 2 2 2 2" xfId="11581"/>
    <cellStyle name="集計 18 6 2 2 2 2 3" xfId="11582"/>
    <cellStyle name="集計 18 6 2 2 2 3" xfId="11583"/>
    <cellStyle name="集計 18 6 2 2 2 3 2" xfId="11584"/>
    <cellStyle name="集計 18 6 2 2 2 3 3" xfId="11585"/>
    <cellStyle name="集計 18 6 2 2 2 4" xfId="11586"/>
    <cellStyle name="集計 18 6 2 2 2 4 2" xfId="11587"/>
    <cellStyle name="集計 18 6 2 2 2 4 3" xfId="11588"/>
    <cellStyle name="集計 18 6 2 2 2 5" xfId="11589"/>
    <cellStyle name="集計 18 6 2 2 2 6" xfId="11590"/>
    <cellStyle name="集計 18 6 2 2 3" xfId="11591"/>
    <cellStyle name="集計 18 6 2 2 3 2" xfId="11592"/>
    <cellStyle name="集計 18 6 2 2 3 3" xfId="11593"/>
    <cellStyle name="集計 18 6 2 2 4" xfId="11594"/>
    <cellStyle name="集計 18 6 2 2 4 2" xfId="11595"/>
    <cellStyle name="集計 18 6 2 2 4 3" xfId="11596"/>
    <cellStyle name="集計 18 6 2 2 5" xfId="11597"/>
    <cellStyle name="集計 18 6 2 2 5 2" xfId="11598"/>
    <cellStyle name="集計 18 6 2 2 5 3" xfId="11599"/>
    <cellStyle name="集計 18 6 2 2 6" xfId="11600"/>
    <cellStyle name="集計 18 6 2 2 7" xfId="11601"/>
    <cellStyle name="集計 18 6 2 3" xfId="11602"/>
    <cellStyle name="集計 18 6 2 3 2" xfId="11603"/>
    <cellStyle name="集計 18 6 2 3 2 2" xfId="11604"/>
    <cellStyle name="集計 18 6 2 3 2 2 2" xfId="11605"/>
    <cellStyle name="集計 18 6 2 3 2 2 3" xfId="11606"/>
    <cellStyle name="集計 18 6 2 3 2 3" xfId="11607"/>
    <cellStyle name="集計 18 6 2 3 2 3 2" xfId="11608"/>
    <cellStyle name="集計 18 6 2 3 2 3 3" xfId="11609"/>
    <cellStyle name="集計 18 6 2 3 2 4" xfId="11610"/>
    <cellStyle name="集計 18 6 2 3 2 4 2" xfId="11611"/>
    <cellStyle name="集計 18 6 2 3 2 4 3" xfId="11612"/>
    <cellStyle name="集計 18 6 2 3 2 5" xfId="11613"/>
    <cellStyle name="集計 18 6 2 3 2 6" xfId="11614"/>
    <cellStyle name="集計 18 6 2 3 3" xfId="11615"/>
    <cellStyle name="集計 18 6 2 3 3 2" xfId="11616"/>
    <cellStyle name="集計 18 6 2 3 3 3" xfId="11617"/>
    <cellStyle name="集計 18 6 2 3 4" xfId="11618"/>
    <cellStyle name="集計 18 6 2 3 4 2" xfId="11619"/>
    <cellStyle name="集計 18 6 2 3 4 3" xfId="11620"/>
    <cellStyle name="集計 18 6 2 3 5" xfId="11621"/>
    <cellStyle name="集計 18 6 2 3 5 2" xfId="11622"/>
    <cellStyle name="集計 18 6 2 3 5 3" xfId="11623"/>
    <cellStyle name="集計 18 6 2 3 6" xfId="11624"/>
    <cellStyle name="集計 18 6 2 3 7" xfId="11625"/>
    <cellStyle name="集計 18 6 2 4" xfId="11626"/>
    <cellStyle name="集計 18 6 2 4 2" xfId="11627"/>
    <cellStyle name="集計 18 6 2 4 2 2" xfId="11628"/>
    <cellStyle name="集計 18 6 2 4 2 3" xfId="11629"/>
    <cellStyle name="集計 18 6 2 4 3" xfId="11630"/>
    <cellStyle name="集計 18 6 2 4 3 2" xfId="11631"/>
    <cellStyle name="集計 18 6 2 4 3 3" xfId="11632"/>
    <cellStyle name="集計 18 6 2 4 4" xfId="11633"/>
    <cellStyle name="集計 18 6 2 4 4 2" xfId="11634"/>
    <cellStyle name="集計 18 6 2 4 4 3" xfId="11635"/>
    <cellStyle name="集計 18 6 2 4 5" xfId="11636"/>
    <cellStyle name="集計 18 6 2 4 6" xfId="11637"/>
    <cellStyle name="集計 18 6 2 5" xfId="11638"/>
    <cellStyle name="集計 18 6 2 5 2" xfId="11639"/>
    <cellStyle name="集計 18 6 2 5 3" xfId="11640"/>
    <cellStyle name="集計 18 6 2 6" xfId="11641"/>
    <cellStyle name="集計 18 6 2 6 2" xfId="11642"/>
    <cellStyle name="集計 18 6 2 6 3" xfId="11643"/>
    <cellStyle name="集計 18 6 2 7" xfId="11644"/>
    <cellStyle name="集計 18 6 2 7 2" xfId="11645"/>
    <cellStyle name="集計 18 6 2 7 3" xfId="11646"/>
    <cellStyle name="集計 18 6 2 8" xfId="11647"/>
    <cellStyle name="集計 18 6 2 9" xfId="11648"/>
    <cellStyle name="集計 18 6 3" xfId="11649"/>
    <cellStyle name="集計 18 6 3 2" xfId="11650"/>
    <cellStyle name="集計 18 6 3 2 2" xfId="11651"/>
    <cellStyle name="集計 18 6 3 2 2 2" xfId="11652"/>
    <cellStyle name="集計 18 6 3 2 2 3" xfId="11653"/>
    <cellStyle name="集計 18 6 3 2 3" xfId="11654"/>
    <cellStyle name="集計 18 6 3 2 3 2" xfId="11655"/>
    <cellStyle name="集計 18 6 3 2 3 3" xfId="11656"/>
    <cellStyle name="集計 18 6 3 2 4" xfId="11657"/>
    <cellStyle name="集計 18 6 3 2 4 2" xfId="11658"/>
    <cellStyle name="集計 18 6 3 2 4 3" xfId="11659"/>
    <cellStyle name="集計 18 6 3 2 5" xfId="11660"/>
    <cellStyle name="集計 18 6 3 2 6" xfId="11661"/>
    <cellStyle name="集計 18 6 3 3" xfId="11662"/>
    <cellStyle name="集計 18 6 3 3 2" xfId="11663"/>
    <cellStyle name="集計 18 6 3 3 3" xfId="11664"/>
    <cellStyle name="集計 18 6 3 4" xfId="11665"/>
    <cellStyle name="集計 18 6 3 4 2" xfId="11666"/>
    <cellStyle name="集計 18 6 3 4 3" xfId="11667"/>
    <cellStyle name="集計 18 6 3 5" xfId="11668"/>
    <cellStyle name="集計 18 6 3 5 2" xfId="11669"/>
    <cellStyle name="集計 18 6 3 5 3" xfId="11670"/>
    <cellStyle name="集計 18 6 3 6" xfId="11671"/>
    <cellStyle name="集計 18 6 3 7" xfId="11672"/>
    <cellStyle name="集計 18 6 4" xfId="11673"/>
    <cellStyle name="集計 18 6 4 2" xfId="11674"/>
    <cellStyle name="集計 18 6 4 2 2" xfId="11675"/>
    <cellStyle name="集計 18 6 4 2 2 2" xfId="11676"/>
    <cellStyle name="集計 18 6 4 2 2 3" xfId="11677"/>
    <cellStyle name="集計 18 6 4 2 3" xfId="11678"/>
    <cellStyle name="集計 18 6 4 2 3 2" xfId="11679"/>
    <cellStyle name="集計 18 6 4 2 3 3" xfId="11680"/>
    <cellStyle name="集計 18 6 4 2 4" xfId="11681"/>
    <cellStyle name="集計 18 6 4 2 4 2" xfId="11682"/>
    <cellStyle name="集計 18 6 4 2 4 3" xfId="11683"/>
    <cellStyle name="集計 18 6 4 2 5" xfId="11684"/>
    <cellStyle name="集計 18 6 4 2 6" xfId="11685"/>
    <cellStyle name="集計 18 6 4 3" xfId="11686"/>
    <cellStyle name="集計 18 6 4 3 2" xfId="11687"/>
    <cellStyle name="集計 18 6 4 3 3" xfId="11688"/>
    <cellStyle name="集計 18 6 4 4" xfId="11689"/>
    <cellStyle name="集計 18 6 4 4 2" xfId="11690"/>
    <cellStyle name="集計 18 6 4 4 3" xfId="11691"/>
    <cellStyle name="集計 18 6 4 5" xfId="11692"/>
    <cellStyle name="集計 18 6 4 5 2" xfId="11693"/>
    <cellStyle name="集計 18 6 4 5 3" xfId="11694"/>
    <cellStyle name="集計 18 6 4 6" xfId="11695"/>
    <cellStyle name="集計 18 6 4 7" xfId="11696"/>
    <cellStyle name="集計 18 6 5" xfId="11697"/>
    <cellStyle name="集計 18 6 5 2" xfId="11698"/>
    <cellStyle name="集計 18 6 5 2 2" xfId="11699"/>
    <cellStyle name="集計 18 6 5 2 3" xfId="11700"/>
    <cellStyle name="集計 18 6 5 3" xfId="11701"/>
    <cellStyle name="集計 18 6 5 3 2" xfId="11702"/>
    <cellStyle name="集計 18 6 5 3 3" xfId="11703"/>
    <cellStyle name="集計 18 6 5 4" xfId="11704"/>
    <cellStyle name="集計 18 6 5 4 2" xfId="11705"/>
    <cellStyle name="集計 18 6 5 4 3" xfId="11706"/>
    <cellStyle name="集計 18 6 5 5" xfId="11707"/>
    <cellStyle name="集計 18 6 5 6" xfId="11708"/>
    <cellStyle name="集計 18 6 6" xfId="11709"/>
    <cellStyle name="集計 18 6 6 2" xfId="11710"/>
    <cellStyle name="集計 18 6 6 3" xfId="11711"/>
    <cellStyle name="集計 18 6 7" xfId="11712"/>
    <cellStyle name="集計 18 6 7 2" xfId="11713"/>
    <cellStyle name="集計 18 6 7 3" xfId="11714"/>
    <cellStyle name="集計 18 6 8" xfId="11715"/>
    <cellStyle name="集計 18 6 8 2" xfId="11716"/>
    <cellStyle name="集計 18 6 8 3" xfId="11717"/>
    <cellStyle name="集計 18 6 9" xfId="11718"/>
    <cellStyle name="集計 18 7" xfId="11719"/>
    <cellStyle name="集計 18 7 2" xfId="11720"/>
    <cellStyle name="集計 18 7 2 2" xfId="11721"/>
    <cellStyle name="集計 18 7 2 2 2" xfId="11722"/>
    <cellStyle name="集計 18 7 2 2 3" xfId="11723"/>
    <cellStyle name="集計 18 7 2 3" xfId="11724"/>
    <cellStyle name="集計 18 7 2 3 2" xfId="11725"/>
    <cellStyle name="集計 18 7 2 3 3" xfId="11726"/>
    <cellStyle name="集計 18 7 2 4" xfId="11727"/>
    <cellStyle name="集計 18 7 2 4 2" xfId="11728"/>
    <cellStyle name="集計 18 7 2 4 3" xfId="11729"/>
    <cellStyle name="集計 18 7 2 5" xfId="11730"/>
    <cellStyle name="集計 18 7 2 6" xfId="11731"/>
    <cellStyle name="集計 18 7 3" xfId="11732"/>
    <cellStyle name="集計 18 7 3 2" xfId="11733"/>
    <cellStyle name="集計 18 7 3 3" xfId="11734"/>
    <cellStyle name="集計 18 7 4" xfId="11735"/>
    <cellStyle name="集計 18 7 4 2" xfId="11736"/>
    <cellStyle name="集計 18 7 4 3" xfId="11737"/>
    <cellStyle name="集計 18 7 5" xfId="11738"/>
    <cellStyle name="集計 18 7 5 2" xfId="11739"/>
    <cellStyle name="集計 18 7 5 3" xfId="11740"/>
    <cellStyle name="集計 18 7 6" xfId="11741"/>
    <cellStyle name="集計 18 7 7" xfId="11742"/>
    <cellStyle name="集計 18 8" xfId="11743"/>
    <cellStyle name="集計 18 8 2" xfId="11744"/>
    <cellStyle name="集計 18 8 2 2" xfId="11745"/>
    <cellStyle name="集計 18 8 2 2 2" xfId="11746"/>
    <cellStyle name="集計 18 8 2 2 3" xfId="11747"/>
    <cellStyle name="集計 18 8 2 3" xfId="11748"/>
    <cellStyle name="集計 18 8 2 3 2" xfId="11749"/>
    <cellStyle name="集計 18 8 2 3 3" xfId="11750"/>
    <cellStyle name="集計 18 8 2 4" xfId="11751"/>
    <cellStyle name="集計 18 8 2 4 2" xfId="11752"/>
    <cellStyle name="集計 18 8 2 4 3" xfId="11753"/>
    <cellStyle name="集計 18 8 2 5" xfId="11754"/>
    <cellStyle name="集計 18 8 2 6" xfId="11755"/>
    <cellStyle name="集計 18 8 3" xfId="11756"/>
    <cellStyle name="集計 18 8 3 2" xfId="11757"/>
    <cellStyle name="集計 18 8 3 3" xfId="11758"/>
    <cellStyle name="集計 18 8 4" xfId="11759"/>
    <cellStyle name="集計 18 8 4 2" xfId="11760"/>
    <cellStyle name="集計 18 8 4 3" xfId="11761"/>
    <cellStyle name="集計 18 8 5" xfId="11762"/>
    <cellStyle name="集計 18 8 5 2" xfId="11763"/>
    <cellStyle name="集計 18 8 5 3" xfId="11764"/>
    <cellStyle name="集計 18 8 6" xfId="11765"/>
    <cellStyle name="集計 18 8 7" xfId="11766"/>
    <cellStyle name="集計 18 9" xfId="11767"/>
    <cellStyle name="集計 18 9 2" xfId="11768"/>
    <cellStyle name="集計 18 9 2 2" xfId="11769"/>
    <cellStyle name="集計 18 9 2 3" xfId="11770"/>
    <cellStyle name="集計 18 9 3" xfId="11771"/>
    <cellStyle name="集計 18 9 3 2" xfId="11772"/>
    <cellStyle name="集計 18 9 3 3" xfId="11773"/>
    <cellStyle name="集計 18 9 4" xfId="11774"/>
    <cellStyle name="集計 18 9 4 2" xfId="11775"/>
    <cellStyle name="集計 18 9 4 3" xfId="11776"/>
    <cellStyle name="集計 18 9 5" xfId="11777"/>
    <cellStyle name="集計 18 9 6" xfId="11778"/>
    <cellStyle name="集計 19" xfId="11779"/>
    <cellStyle name="集計 19 10" xfId="11780"/>
    <cellStyle name="集計 19 10 2" xfId="11781"/>
    <cellStyle name="集計 19 10 3" xfId="11782"/>
    <cellStyle name="集計 19 11" xfId="11783"/>
    <cellStyle name="集計 19 11 2" xfId="11784"/>
    <cellStyle name="集計 19 11 3" xfId="11785"/>
    <cellStyle name="集計 19 12" xfId="11786"/>
    <cellStyle name="集計 19 12 2" xfId="11787"/>
    <cellStyle name="集計 19 12 3" xfId="11788"/>
    <cellStyle name="集計 19 13" xfId="11789"/>
    <cellStyle name="集計 19 14" xfId="11790"/>
    <cellStyle name="集計 19 2" xfId="11791"/>
    <cellStyle name="集計 19 2 10" xfId="11792"/>
    <cellStyle name="集計 19 2 2" xfId="11793"/>
    <cellStyle name="集計 19 2 2 10" xfId="11794"/>
    <cellStyle name="集計 19 2 2 2" xfId="11795"/>
    <cellStyle name="集計 19 2 2 2 2" xfId="11796"/>
    <cellStyle name="集計 19 2 2 2 2 2" xfId="11797"/>
    <cellStyle name="集計 19 2 2 2 2 2 2" xfId="11798"/>
    <cellStyle name="集計 19 2 2 2 2 2 2 2" xfId="11799"/>
    <cellStyle name="集計 19 2 2 2 2 2 2 3" xfId="11800"/>
    <cellStyle name="集計 19 2 2 2 2 2 3" xfId="11801"/>
    <cellStyle name="集計 19 2 2 2 2 2 3 2" xfId="11802"/>
    <cellStyle name="集計 19 2 2 2 2 2 3 3" xfId="11803"/>
    <cellStyle name="集計 19 2 2 2 2 2 4" xfId="11804"/>
    <cellStyle name="集計 19 2 2 2 2 2 4 2" xfId="11805"/>
    <cellStyle name="集計 19 2 2 2 2 2 4 3" xfId="11806"/>
    <cellStyle name="集計 19 2 2 2 2 2 5" xfId="11807"/>
    <cellStyle name="集計 19 2 2 2 2 2 6" xfId="11808"/>
    <cellStyle name="集計 19 2 2 2 2 3" xfId="11809"/>
    <cellStyle name="集計 19 2 2 2 2 3 2" xfId="11810"/>
    <cellStyle name="集計 19 2 2 2 2 3 3" xfId="11811"/>
    <cellStyle name="集計 19 2 2 2 2 4" xfId="11812"/>
    <cellStyle name="集計 19 2 2 2 2 4 2" xfId="11813"/>
    <cellStyle name="集計 19 2 2 2 2 4 3" xfId="11814"/>
    <cellStyle name="集計 19 2 2 2 2 5" xfId="11815"/>
    <cellStyle name="集計 19 2 2 2 2 5 2" xfId="11816"/>
    <cellStyle name="集計 19 2 2 2 2 5 3" xfId="11817"/>
    <cellStyle name="集計 19 2 2 2 2 6" xfId="11818"/>
    <cellStyle name="集計 19 2 2 2 2 7" xfId="11819"/>
    <cellStyle name="集計 19 2 2 2 3" xfId="11820"/>
    <cellStyle name="集計 19 2 2 2 3 2" xfId="11821"/>
    <cellStyle name="集計 19 2 2 2 3 2 2" xfId="11822"/>
    <cellStyle name="集計 19 2 2 2 3 2 2 2" xfId="11823"/>
    <cellStyle name="集計 19 2 2 2 3 2 2 3" xfId="11824"/>
    <cellStyle name="集計 19 2 2 2 3 2 3" xfId="11825"/>
    <cellStyle name="集計 19 2 2 2 3 2 3 2" xfId="11826"/>
    <cellStyle name="集計 19 2 2 2 3 2 3 3" xfId="11827"/>
    <cellStyle name="集計 19 2 2 2 3 2 4" xfId="11828"/>
    <cellStyle name="集計 19 2 2 2 3 2 4 2" xfId="11829"/>
    <cellStyle name="集計 19 2 2 2 3 2 4 3" xfId="11830"/>
    <cellStyle name="集計 19 2 2 2 3 2 5" xfId="11831"/>
    <cellStyle name="集計 19 2 2 2 3 2 6" xfId="11832"/>
    <cellStyle name="集計 19 2 2 2 3 3" xfId="11833"/>
    <cellStyle name="集計 19 2 2 2 3 3 2" xfId="11834"/>
    <cellStyle name="集計 19 2 2 2 3 3 3" xfId="11835"/>
    <cellStyle name="集計 19 2 2 2 3 4" xfId="11836"/>
    <cellStyle name="集計 19 2 2 2 3 4 2" xfId="11837"/>
    <cellStyle name="集計 19 2 2 2 3 4 3" xfId="11838"/>
    <cellStyle name="集計 19 2 2 2 3 5" xfId="11839"/>
    <cellStyle name="集計 19 2 2 2 3 5 2" xfId="11840"/>
    <cellStyle name="集計 19 2 2 2 3 5 3" xfId="11841"/>
    <cellStyle name="集計 19 2 2 2 3 6" xfId="11842"/>
    <cellStyle name="集計 19 2 2 2 3 7" xfId="11843"/>
    <cellStyle name="集計 19 2 2 2 4" xfId="11844"/>
    <cellStyle name="集計 19 2 2 2 4 2" xfId="11845"/>
    <cellStyle name="集計 19 2 2 2 4 2 2" xfId="11846"/>
    <cellStyle name="集計 19 2 2 2 4 2 3" xfId="11847"/>
    <cellStyle name="集計 19 2 2 2 4 3" xfId="11848"/>
    <cellStyle name="集計 19 2 2 2 4 3 2" xfId="11849"/>
    <cellStyle name="集計 19 2 2 2 4 3 3" xfId="11850"/>
    <cellStyle name="集計 19 2 2 2 4 4" xfId="11851"/>
    <cellStyle name="集計 19 2 2 2 4 4 2" xfId="11852"/>
    <cellStyle name="集計 19 2 2 2 4 4 3" xfId="11853"/>
    <cellStyle name="集計 19 2 2 2 4 5" xfId="11854"/>
    <cellStyle name="集計 19 2 2 2 4 6" xfId="11855"/>
    <cellStyle name="集計 19 2 2 2 5" xfId="11856"/>
    <cellStyle name="集計 19 2 2 2 5 2" xfId="11857"/>
    <cellStyle name="集計 19 2 2 2 5 3" xfId="11858"/>
    <cellStyle name="集計 19 2 2 2 6" xfId="11859"/>
    <cellStyle name="集計 19 2 2 2 6 2" xfId="11860"/>
    <cellStyle name="集計 19 2 2 2 6 3" xfId="11861"/>
    <cellStyle name="集計 19 2 2 2 7" xfId="11862"/>
    <cellStyle name="集計 19 2 2 2 7 2" xfId="11863"/>
    <cellStyle name="集計 19 2 2 2 7 3" xfId="11864"/>
    <cellStyle name="集計 19 2 2 2 8" xfId="11865"/>
    <cellStyle name="集計 19 2 2 2 9" xfId="11866"/>
    <cellStyle name="集計 19 2 2 3" xfId="11867"/>
    <cellStyle name="集計 19 2 2 3 2" xfId="11868"/>
    <cellStyle name="集計 19 2 2 3 2 2" xfId="11869"/>
    <cellStyle name="集計 19 2 2 3 2 2 2" xfId="11870"/>
    <cellStyle name="集計 19 2 2 3 2 2 3" xfId="11871"/>
    <cellStyle name="集計 19 2 2 3 2 3" xfId="11872"/>
    <cellStyle name="集計 19 2 2 3 2 3 2" xfId="11873"/>
    <cellStyle name="集計 19 2 2 3 2 3 3" xfId="11874"/>
    <cellStyle name="集計 19 2 2 3 2 4" xfId="11875"/>
    <cellStyle name="集計 19 2 2 3 2 4 2" xfId="11876"/>
    <cellStyle name="集計 19 2 2 3 2 4 3" xfId="11877"/>
    <cellStyle name="集計 19 2 2 3 2 5" xfId="11878"/>
    <cellStyle name="集計 19 2 2 3 2 6" xfId="11879"/>
    <cellStyle name="集計 19 2 2 3 3" xfId="11880"/>
    <cellStyle name="集計 19 2 2 3 3 2" xfId="11881"/>
    <cellStyle name="集計 19 2 2 3 3 3" xfId="11882"/>
    <cellStyle name="集計 19 2 2 3 4" xfId="11883"/>
    <cellStyle name="集計 19 2 2 3 4 2" xfId="11884"/>
    <cellStyle name="集計 19 2 2 3 4 3" xfId="11885"/>
    <cellStyle name="集計 19 2 2 3 5" xfId="11886"/>
    <cellStyle name="集計 19 2 2 3 5 2" xfId="11887"/>
    <cellStyle name="集計 19 2 2 3 5 3" xfId="11888"/>
    <cellStyle name="集計 19 2 2 3 6" xfId="11889"/>
    <cellStyle name="集計 19 2 2 3 7" xfId="11890"/>
    <cellStyle name="集計 19 2 2 4" xfId="11891"/>
    <cellStyle name="集計 19 2 2 4 2" xfId="11892"/>
    <cellStyle name="集計 19 2 2 4 2 2" xfId="11893"/>
    <cellStyle name="集計 19 2 2 4 2 2 2" xfId="11894"/>
    <cellStyle name="集計 19 2 2 4 2 2 3" xfId="11895"/>
    <cellStyle name="集計 19 2 2 4 2 3" xfId="11896"/>
    <cellStyle name="集計 19 2 2 4 2 3 2" xfId="11897"/>
    <cellStyle name="集計 19 2 2 4 2 3 3" xfId="11898"/>
    <cellStyle name="集計 19 2 2 4 2 4" xfId="11899"/>
    <cellStyle name="集計 19 2 2 4 2 4 2" xfId="11900"/>
    <cellStyle name="集計 19 2 2 4 2 4 3" xfId="11901"/>
    <cellStyle name="集計 19 2 2 4 2 5" xfId="11902"/>
    <cellStyle name="集計 19 2 2 4 2 6" xfId="11903"/>
    <cellStyle name="集計 19 2 2 4 3" xfId="11904"/>
    <cellStyle name="集計 19 2 2 4 3 2" xfId="11905"/>
    <cellStyle name="集計 19 2 2 4 3 3" xfId="11906"/>
    <cellStyle name="集計 19 2 2 4 4" xfId="11907"/>
    <cellStyle name="集計 19 2 2 4 4 2" xfId="11908"/>
    <cellStyle name="集計 19 2 2 4 4 3" xfId="11909"/>
    <cellStyle name="集計 19 2 2 4 5" xfId="11910"/>
    <cellStyle name="集計 19 2 2 4 5 2" xfId="11911"/>
    <cellStyle name="集計 19 2 2 4 5 3" xfId="11912"/>
    <cellStyle name="集計 19 2 2 4 6" xfId="11913"/>
    <cellStyle name="集計 19 2 2 4 7" xfId="11914"/>
    <cellStyle name="集計 19 2 2 5" xfId="11915"/>
    <cellStyle name="集計 19 2 2 5 2" xfId="11916"/>
    <cellStyle name="集計 19 2 2 5 2 2" xfId="11917"/>
    <cellStyle name="集計 19 2 2 5 2 3" xfId="11918"/>
    <cellStyle name="集計 19 2 2 5 3" xfId="11919"/>
    <cellStyle name="集計 19 2 2 5 3 2" xfId="11920"/>
    <cellStyle name="集計 19 2 2 5 3 3" xfId="11921"/>
    <cellStyle name="集計 19 2 2 5 4" xfId="11922"/>
    <cellStyle name="集計 19 2 2 5 4 2" xfId="11923"/>
    <cellStyle name="集計 19 2 2 5 4 3" xfId="11924"/>
    <cellStyle name="集計 19 2 2 5 5" xfId="11925"/>
    <cellStyle name="集計 19 2 2 5 6" xfId="11926"/>
    <cellStyle name="集計 19 2 2 6" xfId="11927"/>
    <cellStyle name="集計 19 2 2 6 2" xfId="11928"/>
    <cellStyle name="集計 19 2 2 6 3" xfId="11929"/>
    <cellStyle name="集計 19 2 2 7" xfId="11930"/>
    <cellStyle name="集計 19 2 2 7 2" xfId="11931"/>
    <cellStyle name="集計 19 2 2 7 3" xfId="11932"/>
    <cellStyle name="集計 19 2 2 8" xfId="11933"/>
    <cellStyle name="集計 19 2 2 8 2" xfId="11934"/>
    <cellStyle name="集計 19 2 2 8 3" xfId="11935"/>
    <cellStyle name="集計 19 2 2 9" xfId="11936"/>
    <cellStyle name="集計 19 2 3" xfId="11937"/>
    <cellStyle name="集計 19 2 3 2" xfId="11938"/>
    <cellStyle name="集計 19 2 3 2 2" xfId="11939"/>
    <cellStyle name="集計 19 2 3 2 2 2" xfId="11940"/>
    <cellStyle name="集計 19 2 3 2 2 3" xfId="11941"/>
    <cellStyle name="集計 19 2 3 2 3" xfId="11942"/>
    <cellStyle name="集計 19 2 3 2 3 2" xfId="11943"/>
    <cellStyle name="集計 19 2 3 2 3 3" xfId="11944"/>
    <cellStyle name="集計 19 2 3 2 4" xfId="11945"/>
    <cellStyle name="集計 19 2 3 2 4 2" xfId="11946"/>
    <cellStyle name="集計 19 2 3 2 4 3" xfId="11947"/>
    <cellStyle name="集計 19 2 3 2 5" xfId="11948"/>
    <cellStyle name="集計 19 2 3 2 6" xfId="11949"/>
    <cellStyle name="集計 19 2 3 3" xfId="11950"/>
    <cellStyle name="集計 19 2 3 3 2" xfId="11951"/>
    <cellStyle name="集計 19 2 3 3 3" xfId="11952"/>
    <cellStyle name="集計 19 2 3 4" xfId="11953"/>
    <cellStyle name="集計 19 2 3 4 2" xfId="11954"/>
    <cellStyle name="集計 19 2 3 4 3" xfId="11955"/>
    <cellStyle name="集計 19 2 3 5" xfId="11956"/>
    <cellStyle name="集計 19 2 3 5 2" xfId="11957"/>
    <cellStyle name="集計 19 2 3 5 3" xfId="11958"/>
    <cellStyle name="集計 19 2 3 6" xfId="11959"/>
    <cellStyle name="集計 19 2 3 7" xfId="11960"/>
    <cellStyle name="集計 19 2 4" xfId="11961"/>
    <cellStyle name="集計 19 2 4 2" xfId="11962"/>
    <cellStyle name="集計 19 2 4 2 2" xfId="11963"/>
    <cellStyle name="集計 19 2 4 2 2 2" xfId="11964"/>
    <cellStyle name="集計 19 2 4 2 2 3" xfId="11965"/>
    <cellStyle name="集計 19 2 4 2 3" xfId="11966"/>
    <cellStyle name="集計 19 2 4 2 3 2" xfId="11967"/>
    <cellStyle name="集計 19 2 4 2 3 3" xfId="11968"/>
    <cellStyle name="集計 19 2 4 2 4" xfId="11969"/>
    <cellStyle name="集計 19 2 4 2 4 2" xfId="11970"/>
    <cellStyle name="集計 19 2 4 2 4 3" xfId="11971"/>
    <cellStyle name="集計 19 2 4 2 5" xfId="11972"/>
    <cellStyle name="集計 19 2 4 2 6" xfId="11973"/>
    <cellStyle name="集計 19 2 4 3" xfId="11974"/>
    <cellStyle name="集計 19 2 4 3 2" xfId="11975"/>
    <cellStyle name="集計 19 2 4 3 3" xfId="11976"/>
    <cellStyle name="集計 19 2 4 4" xfId="11977"/>
    <cellStyle name="集計 19 2 4 4 2" xfId="11978"/>
    <cellStyle name="集計 19 2 4 4 3" xfId="11979"/>
    <cellStyle name="集計 19 2 4 5" xfId="11980"/>
    <cellStyle name="集計 19 2 4 5 2" xfId="11981"/>
    <cellStyle name="集計 19 2 4 5 3" xfId="11982"/>
    <cellStyle name="集計 19 2 4 6" xfId="11983"/>
    <cellStyle name="集計 19 2 4 7" xfId="11984"/>
    <cellStyle name="集計 19 2 5" xfId="11985"/>
    <cellStyle name="集計 19 2 5 2" xfId="11986"/>
    <cellStyle name="集計 19 2 5 2 2" xfId="11987"/>
    <cellStyle name="集計 19 2 5 2 3" xfId="11988"/>
    <cellStyle name="集計 19 2 5 3" xfId="11989"/>
    <cellStyle name="集計 19 2 5 3 2" xfId="11990"/>
    <cellStyle name="集計 19 2 5 3 3" xfId="11991"/>
    <cellStyle name="集計 19 2 5 4" xfId="11992"/>
    <cellStyle name="集計 19 2 5 4 2" xfId="11993"/>
    <cellStyle name="集計 19 2 5 4 3" xfId="11994"/>
    <cellStyle name="集計 19 2 5 5" xfId="11995"/>
    <cellStyle name="集計 19 2 5 6" xfId="11996"/>
    <cellStyle name="集計 19 2 6" xfId="11997"/>
    <cellStyle name="集計 19 2 6 2" xfId="11998"/>
    <cellStyle name="集計 19 2 6 3" xfId="11999"/>
    <cellStyle name="集計 19 2 7" xfId="12000"/>
    <cellStyle name="集計 19 2 7 2" xfId="12001"/>
    <cellStyle name="集計 19 2 7 3" xfId="12002"/>
    <cellStyle name="集計 19 2 8" xfId="12003"/>
    <cellStyle name="集計 19 2 8 2" xfId="12004"/>
    <cellStyle name="集計 19 2 8 3" xfId="12005"/>
    <cellStyle name="集計 19 2 9" xfId="12006"/>
    <cellStyle name="集計 19 3" xfId="12007"/>
    <cellStyle name="集計 19 3 10" xfId="12008"/>
    <cellStyle name="集計 19 3 2" xfId="12009"/>
    <cellStyle name="集計 19 3 2 10" xfId="12010"/>
    <cellStyle name="集計 19 3 2 2" xfId="12011"/>
    <cellStyle name="集計 19 3 2 2 2" xfId="12012"/>
    <cellStyle name="集計 19 3 2 2 2 2" xfId="12013"/>
    <cellStyle name="集計 19 3 2 2 2 2 2" xfId="12014"/>
    <cellStyle name="集計 19 3 2 2 2 2 2 2" xfId="12015"/>
    <cellStyle name="集計 19 3 2 2 2 2 2 3" xfId="12016"/>
    <cellStyle name="集計 19 3 2 2 2 2 3" xfId="12017"/>
    <cellStyle name="集計 19 3 2 2 2 2 3 2" xfId="12018"/>
    <cellStyle name="集計 19 3 2 2 2 2 3 3" xfId="12019"/>
    <cellStyle name="集計 19 3 2 2 2 2 4" xfId="12020"/>
    <cellStyle name="集計 19 3 2 2 2 2 4 2" xfId="12021"/>
    <cellStyle name="集計 19 3 2 2 2 2 4 3" xfId="12022"/>
    <cellStyle name="集計 19 3 2 2 2 2 5" xfId="12023"/>
    <cellStyle name="集計 19 3 2 2 2 2 6" xfId="12024"/>
    <cellStyle name="集計 19 3 2 2 2 3" xfId="12025"/>
    <cellStyle name="集計 19 3 2 2 2 3 2" xfId="12026"/>
    <cellStyle name="集計 19 3 2 2 2 3 3" xfId="12027"/>
    <cellStyle name="集計 19 3 2 2 2 4" xfId="12028"/>
    <cellStyle name="集計 19 3 2 2 2 4 2" xfId="12029"/>
    <cellStyle name="集計 19 3 2 2 2 4 3" xfId="12030"/>
    <cellStyle name="集計 19 3 2 2 2 5" xfId="12031"/>
    <cellStyle name="集計 19 3 2 2 2 5 2" xfId="12032"/>
    <cellStyle name="集計 19 3 2 2 2 5 3" xfId="12033"/>
    <cellStyle name="集計 19 3 2 2 2 6" xfId="12034"/>
    <cellStyle name="集計 19 3 2 2 2 7" xfId="12035"/>
    <cellStyle name="集計 19 3 2 2 3" xfId="12036"/>
    <cellStyle name="集計 19 3 2 2 3 2" xfId="12037"/>
    <cellStyle name="集計 19 3 2 2 3 2 2" xfId="12038"/>
    <cellStyle name="集計 19 3 2 2 3 2 2 2" xfId="12039"/>
    <cellStyle name="集計 19 3 2 2 3 2 2 3" xfId="12040"/>
    <cellStyle name="集計 19 3 2 2 3 2 3" xfId="12041"/>
    <cellStyle name="集計 19 3 2 2 3 2 3 2" xfId="12042"/>
    <cellStyle name="集計 19 3 2 2 3 2 3 3" xfId="12043"/>
    <cellStyle name="集計 19 3 2 2 3 2 4" xfId="12044"/>
    <cellStyle name="集計 19 3 2 2 3 2 4 2" xfId="12045"/>
    <cellStyle name="集計 19 3 2 2 3 2 4 3" xfId="12046"/>
    <cellStyle name="集計 19 3 2 2 3 2 5" xfId="12047"/>
    <cellStyle name="集計 19 3 2 2 3 2 6" xfId="12048"/>
    <cellStyle name="集計 19 3 2 2 3 3" xfId="12049"/>
    <cellStyle name="集計 19 3 2 2 3 3 2" xfId="12050"/>
    <cellStyle name="集計 19 3 2 2 3 3 3" xfId="12051"/>
    <cellStyle name="集計 19 3 2 2 3 4" xfId="12052"/>
    <cellStyle name="集計 19 3 2 2 3 4 2" xfId="12053"/>
    <cellStyle name="集計 19 3 2 2 3 4 3" xfId="12054"/>
    <cellStyle name="集計 19 3 2 2 3 5" xfId="12055"/>
    <cellStyle name="集計 19 3 2 2 3 5 2" xfId="12056"/>
    <cellStyle name="集計 19 3 2 2 3 5 3" xfId="12057"/>
    <cellStyle name="集計 19 3 2 2 3 6" xfId="12058"/>
    <cellStyle name="集計 19 3 2 2 3 7" xfId="12059"/>
    <cellStyle name="集計 19 3 2 2 4" xfId="12060"/>
    <cellStyle name="集計 19 3 2 2 4 2" xfId="12061"/>
    <cellStyle name="集計 19 3 2 2 4 2 2" xfId="12062"/>
    <cellStyle name="集計 19 3 2 2 4 2 3" xfId="12063"/>
    <cellStyle name="集計 19 3 2 2 4 3" xfId="12064"/>
    <cellStyle name="集計 19 3 2 2 4 3 2" xfId="12065"/>
    <cellStyle name="集計 19 3 2 2 4 3 3" xfId="12066"/>
    <cellStyle name="集計 19 3 2 2 4 4" xfId="12067"/>
    <cellStyle name="集計 19 3 2 2 4 4 2" xfId="12068"/>
    <cellStyle name="集計 19 3 2 2 4 4 3" xfId="12069"/>
    <cellStyle name="集計 19 3 2 2 4 5" xfId="12070"/>
    <cellStyle name="集計 19 3 2 2 4 6" xfId="12071"/>
    <cellStyle name="集計 19 3 2 2 5" xfId="12072"/>
    <cellStyle name="集計 19 3 2 2 5 2" xfId="12073"/>
    <cellStyle name="集計 19 3 2 2 5 3" xfId="12074"/>
    <cellStyle name="集計 19 3 2 2 6" xfId="12075"/>
    <cellStyle name="集計 19 3 2 2 6 2" xfId="12076"/>
    <cellStyle name="集計 19 3 2 2 6 3" xfId="12077"/>
    <cellStyle name="集計 19 3 2 2 7" xfId="12078"/>
    <cellStyle name="集計 19 3 2 2 7 2" xfId="12079"/>
    <cellStyle name="集計 19 3 2 2 7 3" xfId="12080"/>
    <cellStyle name="集計 19 3 2 2 8" xfId="12081"/>
    <cellStyle name="集計 19 3 2 2 9" xfId="12082"/>
    <cellStyle name="集計 19 3 2 3" xfId="12083"/>
    <cellStyle name="集計 19 3 2 3 2" xfId="12084"/>
    <cellStyle name="集計 19 3 2 3 2 2" xfId="12085"/>
    <cellStyle name="集計 19 3 2 3 2 2 2" xfId="12086"/>
    <cellStyle name="集計 19 3 2 3 2 2 3" xfId="12087"/>
    <cellStyle name="集計 19 3 2 3 2 3" xfId="12088"/>
    <cellStyle name="集計 19 3 2 3 2 3 2" xfId="12089"/>
    <cellStyle name="集計 19 3 2 3 2 3 3" xfId="12090"/>
    <cellStyle name="集計 19 3 2 3 2 4" xfId="12091"/>
    <cellStyle name="集計 19 3 2 3 2 4 2" xfId="12092"/>
    <cellStyle name="集計 19 3 2 3 2 4 3" xfId="12093"/>
    <cellStyle name="集計 19 3 2 3 2 5" xfId="12094"/>
    <cellStyle name="集計 19 3 2 3 2 6" xfId="12095"/>
    <cellStyle name="集計 19 3 2 3 3" xfId="12096"/>
    <cellStyle name="集計 19 3 2 3 3 2" xfId="12097"/>
    <cellStyle name="集計 19 3 2 3 3 3" xfId="12098"/>
    <cellStyle name="集計 19 3 2 3 4" xfId="12099"/>
    <cellStyle name="集計 19 3 2 3 4 2" xfId="12100"/>
    <cellStyle name="集計 19 3 2 3 4 3" xfId="12101"/>
    <cellStyle name="集計 19 3 2 3 5" xfId="12102"/>
    <cellStyle name="集計 19 3 2 3 5 2" xfId="12103"/>
    <cellStyle name="集計 19 3 2 3 5 3" xfId="12104"/>
    <cellStyle name="集計 19 3 2 3 6" xfId="12105"/>
    <cellStyle name="集計 19 3 2 3 7" xfId="12106"/>
    <cellStyle name="集計 19 3 2 4" xfId="12107"/>
    <cellStyle name="集計 19 3 2 4 2" xfId="12108"/>
    <cellStyle name="集計 19 3 2 4 2 2" xfId="12109"/>
    <cellStyle name="集計 19 3 2 4 2 2 2" xfId="12110"/>
    <cellStyle name="集計 19 3 2 4 2 2 3" xfId="12111"/>
    <cellStyle name="集計 19 3 2 4 2 3" xfId="12112"/>
    <cellStyle name="集計 19 3 2 4 2 3 2" xfId="12113"/>
    <cellStyle name="集計 19 3 2 4 2 3 3" xfId="12114"/>
    <cellStyle name="集計 19 3 2 4 2 4" xfId="12115"/>
    <cellStyle name="集計 19 3 2 4 2 4 2" xfId="12116"/>
    <cellStyle name="集計 19 3 2 4 2 4 3" xfId="12117"/>
    <cellStyle name="集計 19 3 2 4 2 5" xfId="12118"/>
    <cellStyle name="集計 19 3 2 4 2 6" xfId="12119"/>
    <cellStyle name="集計 19 3 2 4 3" xfId="12120"/>
    <cellStyle name="集計 19 3 2 4 3 2" xfId="12121"/>
    <cellStyle name="集計 19 3 2 4 3 3" xfId="12122"/>
    <cellStyle name="集計 19 3 2 4 4" xfId="12123"/>
    <cellStyle name="集計 19 3 2 4 4 2" xfId="12124"/>
    <cellStyle name="集計 19 3 2 4 4 3" xfId="12125"/>
    <cellStyle name="集計 19 3 2 4 5" xfId="12126"/>
    <cellStyle name="集計 19 3 2 4 5 2" xfId="12127"/>
    <cellStyle name="集計 19 3 2 4 5 3" xfId="12128"/>
    <cellStyle name="集計 19 3 2 4 6" xfId="12129"/>
    <cellStyle name="集計 19 3 2 4 7" xfId="12130"/>
    <cellStyle name="集計 19 3 2 5" xfId="12131"/>
    <cellStyle name="集計 19 3 2 5 2" xfId="12132"/>
    <cellStyle name="集計 19 3 2 5 2 2" xfId="12133"/>
    <cellStyle name="集計 19 3 2 5 2 3" xfId="12134"/>
    <cellStyle name="集計 19 3 2 5 3" xfId="12135"/>
    <cellStyle name="集計 19 3 2 5 3 2" xfId="12136"/>
    <cellStyle name="集計 19 3 2 5 3 3" xfId="12137"/>
    <cellStyle name="集計 19 3 2 5 4" xfId="12138"/>
    <cellStyle name="集計 19 3 2 5 4 2" xfId="12139"/>
    <cellStyle name="集計 19 3 2 5 4 3" xfId="12140"/>
    <cellStyle name="集計 19 3 2 5 5" xfId="12141"/>
    <cellStyle name="集計 19 3 2 5 6" xfId="12142"/>
    <cellStyle name="集計 19 3 2 6" xfId="12143"/>
    <cellStyle name="集計 19 3 2 6 2" xfId="12144"/>
    <cellStyle name="集計 19 3 2 6 3" xfId="12145"/>
    <cellStyle name="集計 19 3 2 7" xfId="12146"/>
    <cellStyle name="集計 19 3 2 7 2" xfId="12147"/>
    <cellStyle name="集計 19 3 2 7 3" xfId="12148"/>
    <cellStyle name="集計 19 3 2 8" xfId="12149"/>
    <cellStyle name="集計 19 3 2 8 2" xfId="12150"/>
    <cellStyle name="集計 19 3 2 8 3" xfId="12151"/>
    <cellStyle name="集計 19 3 2 9" xfId="12152"/>
    <cellStyle name="集計 19 3 3" xfId="12153"/>
    <cellStyle name="集計 19 3 3 2" xfId="12154"/>
    <cellStyle name="集計 19 3 3 2 2" xfId="12155"/>
    <cellStyle name="集計 19 3 3 2 2 2" xfId="12156"/>
    <cellStyle name="集計 19 3 3 2 2 3" xfId="12157"/>
    <cellStyle name="集計 19 3 3 2 3" xfId="12158"/>
    <cellStyle name="集計 19 3 3 2 3 2" xfId="12159"/>
    <cellStyle name="集計 19 3 3 2 3 3" xfId="12160"/>
    <cellStyle name="集計 19 3 3 2 4" xfId="12161"/>
    <cellStyle name="集計 19 3 3 2 4 2" xfId="12162"/>
    <cellStyle name="集計 19 3 3 2 4 3" xfId="12163"/>
    <cellStyle name="集計 19 3 3 2 5" xfId="12164"/>
    <cellStyle name="集計 19 3 3 2 6" xfId="12165"/>
    <cellStyle name="集計 19 3 3 3" xfId="12166"/>
    <cellStyle name="集計 19 3 3 3 2" xfId="12167"/>
    <cellStyle name="集計 19 3 3 3 3" xfId="12168"/>
    <cellStyle name="集計 19 3 3 4" xfId="12169"/>
    <cellStyle name="集計 19 3 3 4 2" xfId="12170"/>
    <cellStyle name="集計 19 3 3 4 3" xfId="12171"/>
    <cellStyle name="集計 19 3 3 5" xfId="12172"/>
    <cellStyle name="集計 19 3 3 5 2" xfId="12173"/>
    <cellStyle name="集計 19 3 3 5 3" xfId="12174"/>
    <cellStyle name="集計 19 3 3 6" xfId="12175"/>
    <cellStyle name="集計 19 3 3 7" xfId="12176"/>
    <cellStyle name="集計 19 3 4" xfId="12177"/>
    <cellStyle name="集計 19 3 4 2" xfId="12178"/>
    <cellStyle name="集計 19 3 4 2 2" xfId="12179"/>
    <cellStyle name="集計 19 3 4 2 2 2" xfId="12180"/>
    <cellStyle name="集計 19 3 4 2 2 3" xfId="12181"/>
    <cellStyle name="集計 19 3 4 2 3" xfId="12182"/>
    <cellStyle name="集計 19 3 4 2 3 2" xfId="12183"/>
    <cellStyle name="集計 19 3 4 2 3 3" xfId="12184"/>
    <cellStyle name="集計 19 3 4 2 4" xfId="12185"/>
    <cellStyle name="集計 19 3 4 2 4 2" xfId="12186"/>
    <cellStyle name="集計 19 3 4 2 4 3" xfId="12187"/>
    <cellStyle name="集計 19 3 4 2 5" xfId="12188"/>
    <cellStyle name="集計 19 3 4 2 6" xfId="12189"/>
    <cellStyle name="集計 19 3 4 3" xfId="12190"/>
    <cellStyle name="集計 19 3 4 3 2" xfId="12191"/>
    <cellStyle name="集計 19 3 4 3 3" xfId="12192"/>
    <cellStyle name="集計 19 3 4 4" xfId="12193"/>
    <cellStyle name="集計 19 3 4 4 2" xfId="12194"/>
    <cellStyle name="集計 19 3 4 4 3" xfId="12195"/>
    <cellStyle name="集計 19 3 4 5" xfId="12196"/>
    <cellStyle name="集計 19 3 4 5 2" xfId="12197"/>
    <cellStyle name="集計 19 3 4 5 3" xfId="12198"/>
    <cellStyle name="集計 19 3 4 6" xfId="12199"/>
    <cellStyle name="集計 19 3 4 7" xfId="12200"/>
    <cellStyle name="集計 19 3 5" xfId="12201"/>
    <cellStyle name="集計 19 3 5 2" xfId="12202"/>
    <cellStyle name="集計 19 3 5 2 2" xfId="12203"/>
    <cellStyle name="集計 19 3 5 2 3" xfId="12204"/>
    <cellStyle name="集計 19 3 5 3" xfId="12205"/>
    <cellStyle name="集計 19 3 5 3 2" xfId="12206"/>
    <cellStyle name="集計 19 3 5 3 3" xfId="12207"/>
    <cellStyle name="集計 19 3 5 4" xfId="12208"/>
    <cellStyle name="集計 19 3 5 4 2" xfId="12209"/>
    <cellStyle name="集計 19 3 5 4 3" xfId="12210"/>
    <cellStyle name="集計 19 3 5 5" xfId="12211"/>
    <cellStyle name="集計 19 3 5 6" xfId="12212"/>
    <cellStyle name="集計 19 3 6" xfId="12213"/>
    <cellStyle name="集計 19 3 6 2" xfId="12214"/>
    <cellStyle name="集計 19 3 6 3" xfId="12215"/>
    <cellStyle name="集計 19 3 7" xfId="12216"/>
    <cellStyle name="集計 19 3 7 2" xfId="12217"/>
    <cellStyle name="集計 19 3 7 3" xfId="12218"/>
    <cellStyle name="集計 19 3 8" xfId="12219"/>
    <cellStyle name="集計 19 3 8 2" xfId="12220"/>
    <cellStyle name="集計 19 3 8 3" xfId="12221"/>
    <cellStyle name="集計 19 3 9" xfId="12222"/>
    <cellStyle name="集計 19 4" xfId="12223"/>
    <cellStyle name="集計 19 4 10" xfId="12224"/>
    <cellStyle name="集計 19 4 2" xfId="12225"/>
    <cellStyle name="集計 19 4 2 10" xfId="12226"/>
    <cellStyle name="集計 19 4 2 2" xfId="12227"/>
    <cellStyle name="集計 19 4 2 2 2" xfId="12228"/>
    <cellStyle name="集計 19 4 2 2 2 2" xfId="12229"/>
    <cellStyle name="集計 19 4 2 2 2 2 2" xfId="12230"/>
    <cellStyle name="集計 19 4 2 2 2 2 2 2" xfId="12231"/>
    <cellStyle name="集計 19 4 2 2 2 2 2 3" xfId="12232"/>
    <cellStyle name="集計 19 4 2 2 2 2 3" xfId="12233"/>
    <cellStyle name="集計 19 4 2 2 2 2 3 2" xfId="12234"/>
    <cellStyle name="集計 19 4 2 2 2 2 3 3" xfId="12235"/>
    <cellStyle name="集計 19 4 2 2 2 2 4" xfId="12236"/>
    <cellStyle name="集計 19 4 2 2 2 2 4 2" xfId="12237"/>
    <cellStyle name="集計 19 4 2 2 2 2 4 3" xfId="12238"/>
    <cellStyle name="集計 19 4 2 2 2 2 5" xfId="12239"/>
    <cellStyle name="集計 19 4 2 2 2 2 6" xfId="12240"/>
    <cellStyle name="集計 19 4 2 2 2 3" xfId="12241"/>
    <cellStyle name="集計 19 4 2 2 2 3 2" xfId="12242"/>
    <cellStyle name="集計 19 4 2 2 2 3 3" xfId="12243"/>
    <cellStyle name="集計 19 4 2 2 2 4" xfId="12244"/>
    <cellStyle name="集計 19 4 2 2 2 4 2" xfId="12245"/>
    <cellStyle name="集計 19 4 2 2 2 4 3" xfId="12246"/>
    <cellStyle name="集計 19 4 2 2 2 5" xfId="12247"/>
    <cellStyle name="集計 19 4 2 2 2 5 2" xfId="12248"/>
    <cellStyle name="集計 19 4 2 2 2 5 3" xfId="12249"/>
    <cellStyle name="集計 19 4 2 2 2 6" xfId="12250"/>
    <cellStyle name="集計 19 4 2 2 2 7" xfId="12251"/>
    <cellStyle name="集計 19 4 2 2 3" xfId="12252"/>
    <cellStyle name="集計 19 4 2 2 3 2" xfId="12253"/>
    <cellStyle name="集計 19 4 2 2 3 2 2" xfId="12254"/>
    <cellStyle name="集計 19 4 2 2 3 2 2 2" xfId="12255"/>
    <cellStyle name="集計 19 4 2 2 3 2 2 3" xfId="12256"/>
    <cellStyle name="集計 19 4 2 2 3 2 3" xfId="12257"/>
    <cellStyle name="集計 19 4 2 2 3 2 3 2" xfId="12258"/>
    <cellStyle name="集計 19 4 2 2 3 2 3 3" xfId="12259"/>
    <cellStyle name="集計 19 4 2 2 3 2 4" xfId="12260"/>
    <cellStyle name="集計 19 4 2 2 3 2 4 2" xfId="12261"/>
    <cellStyle name="集計 19 4 2 2 3 2 4 3" xfId="12262"/>
    <cellStyle name="集計 19 4 2 2 3 2 5" xfId="12263"/>
    <cellStyle name="集計 19 4 2 2 3 2 6" xfId="12264"/>
    <cellStyle name="集計 19 4 2 2 3 3" xfId="12265"/>
    <cellStyle name="集計 19 4 2 2 3 3 2" xfId="12266"/>
    <cellStyle name="集計 19 4 2 2 3 3 3" xfId="12267"/>
    <cellStyle name="集計 19 4 2 2 3 4" xfId="12268"/>
    <cellStyle name="集計 19 4 2 2 3 4 2" xfId="12269"/>
    <cellStyle name="集計 19 4 2 2 3 4 3" xfId="12270"/>
    <cellStyle name="集計 19 4 2 2 3 5" xfId="12271"/>
    <cellStyle name="集計 19 4 2 2 3 5 2" xfId="12272"/>
    <cellStyle name="集計 19 4 2 2 3 5 3" xfId="12273"/>
    <cellStyle name="集計 19 4 2 2 3 6" xfId="12274"/>
    <cellStyle name="集計 19 4 2 2 3 7" xfId="12275"/>
    <cellStyle name="集計 19 4 2 2 4" xfId="12276"/>
    <cellStyle name="集計 19 4 2 2 4 2" xfId="12277"/>
    <cellStyle name="集計 19 4 2 2 4 2 2" xfId="12278"/>
    <cellStyle name="集計 19 4 2 2 4 2 3" xfId="12279"/>
    <cellStyle name="集計 19 4 2 2 4 3" xfId="12280"/>
    <cellStyle name="集計 19 4 2 2 4 3 2" xfId="12281"/>
    <cellStyle name="集計 19 4 2 2 4 3 3" xfId="12282"/>
    <cellStyle name="集計 19 4 2 2 4 4" xfId="12283"/>
    <cellStyle name="集計 19 4 2 2 4 4 2" xfId="12284"/>
    <cellStyle name="集計 19 4 2 2 4 4 3" xfId="12285"/>
    <cellStyle name="集計 19 4 2 2 4 5" xfId="12286"/>
    <cellStyle name="集計 19 4 2 2 4 6" xfId="12287"/>
    <cellStyle name="集計 19 4 2 2 5" xfId="12288"/>
    <cellStyle name="集計 19 4 2 2 5 2" xfId="12289"/>
    <cellStyle name="集計 19 4 2 2 5 3" xfId="12290"/>
    <cellStyle name="集計 19 4 2 2 6" xfId="12291"/>
    <cellStyle name="集計 19 4 2 2 6 2" xfId="12292"/>
    <cellStyle name="集計 19 4 2 2 6 3" xfId="12293"/>
    <cellStyle name="集計 19 4 2 2 7" xfId="12294"/>
    <cellStyle name="集計 19 4 2 2 7 2" xfId="12295"/>
    <cellStyle name="集計 19 4 2 2 7 3" xfId="12296"/>
    <cellStyle name="集計 19 4 2 2 8" xfId="12297"/>
    <cellStyle name="集計 19 4 2 2 9" xfId="12298"/>
    <cellStyle name="集計 19 4 2 3" xfId="12299"/>
    <cellStyle name="集計 19 4 2 3 2" xfId="12300"/>
    <cellStyle name="集計 19 4 2 3 2 2" xfId="12301"/>
    <cellStyle name="集計 19 4 2 3 2 2 2" xfId="12302"/>
    <cellStyle name="集計 19 4 2 3 2 2 3" xfId="12303"/>
    <cellStyle name="集計 19 4 2 3 2 3" xfId="12304"/>
    <cellStyle name="集計 19 4 2 3 2 3 2" xfId="12305"/>
    <cellStyle name="集計 19 4 2 3 2 3 3" xfId="12306"/>
    <cellStyle name="集計 19 4 2 3 2 4" xfId="12307"/>
    <cellStyle name="集計 19 4 2 3 2 4 2" xfId="12308"/>
    <cellStyle name="集計 19 4 2 3 2 4 3" xfId="12309"/>
    <cellStyle name="集計 19 4 2 3 2 5" xfId="12310"/>
    <cellStyle name="集計 19 4 2 3 2 6" xfId="12311"/>
    <cellStyle name="集計 19 4 2 3 3" xfId="12312"/>
    <cellStyle name="集計 19 4 2 3 3 2" xfId="12313"/>
    <cellStyle name="集計 19 4 2 3 3 3" xfId="12314"/>
    <cellStyle name="集計 19 4 2 3 4" xfId="12315"/>
    <cellStyle name="集計 19 4 2 3 4 2" xfId="12316"/>
    <cellStyle name="集計 19 4 2 3 4 3" xfId="12317"/>
    <cellStyle name="集計 19 4 2 3 5" xfId="12318"/>
    <cellStyle name="集計 19 4 2 3 5 2" xfId="12319"/>
    <cellStyle name="集計 19 4 2 3 5 3" xfId="12320"/>
    <cellStyle name="集計 19 4 2 3 6" xfId="12321"/>
    <cellStyle name="集計 19 4 2 3 7" xfId="12322"/>
    <cellStyle name="集計 19 4 2 4" xfId="12323"/>
    <cellStyle name="集計 19 4 2 4 2" xfId="12324"/>
    <cellStyle name="集計 19 4 2 4 2 2" xfId="12325"/>
    <cellStyle name="集計 19 4 2 4 2 2 2" xfId="12326"/>
    <cellStyle name="集計 19 4 2 4 2 2 3" xfId="12327"/>
    <cellStyle name="集計 19 4 2 4 2 3" xfId="12328"/>
    <cellStyle name="集計 19 4 2 4 2 3 2" xfId="12329"/>
    <cellStyle name="集計 19 4 2 4 2 3 3" xfId="12330"/>
    <cellStyle name="集計 19 4 2 4 2 4" xfId="12331"/>
    <cellStyle name="集計 19 4 2 4 2 4 2" xfId="12332"/>
    <cellStyle name="集計 19 4 2 4 2 4 3" xfId="12333"/>
    <cellStyle name="集計 19 4 2 4 2 5" xfId="12334"/>
    <cellStyle name="集計 19 4 2 4 2 6" xfId="12335"/>
    <cellStyle name="集計 19 4 2 4 3" xfId="12336"/>
    <cellStyle name="集計 19 4 2 4 3 2" xfId="12337"/>
    <cellStyle name="集計 19 4 2 4 3 3" xfId="12338"/>
    <cellStyle name="集計 19 4 2 4 4" xfId="12339"/>
    <cellStyle name="集計 19 4 2 4 4 2" xfId="12340"/>
    <cellStyle name="集計 19 4 2 4 4 3" xfId="12341"/>
    <cellStyle name="集計 19 4 2 4 5" xfId="12342"/>
    <cellStyle name="集計 19 4 2 4 5 2" xfId="12343"/>
    <cellStyle name="集計 19 4 2 4 5 3" xfId="12344"/>
    <cellStyle name="集計 19 4 2 4 6" xfId="12345"/>
    <cellStyle name="集計 19 4 2 4 7" xfId="12346"/>
    <cellStyle name="集計 19 4 2 5" xfId="12347"/>
    <cellStyle name="集計 19 4 2 5 2" xfId="12348"/>
    <cellStyle name="集計 19 4 2 5 2 2" xfId="12349"/>
    <cellStyle name="集計 19 4 2 5 2 3" xfId="12350"/>
    <cellStyle name="集計 19 4 2 5 3" xfId="12351"/>
    <cellStyle name="集計 19 4 2 5 3 2" xfId="12352"/>
    <cellStyle name="集計 19 4 2 5 3 3" xfId="12353"/>
    <cellStyle name="集計 19 4 2 5 4" xfId="12354"/>
    <cellStyle name="集計 19 4 2 5 4 2" xfId="12355"/>
    <cellStyle name="集計 19 4 2 5 4 3" xfId="12356"/>
    <cellStyle name="集計 19 4 2 5 5" xfId="12357"/>
    <cellStyle name="集計 19 4 2 5 6" xfId="12358"/>
    <cellStyle name="集計 19 4 2 6" xfId="12359"/>
    <cellStyle name="集計 19 4 2 6 2" xfId="12360"/>
    <cellStyle name="集計 19 4 2 6 3" xfId="12361"/>
    <cellStyle name="集計 19 4 2 7" xfId="12362"/>
    <cellStyle name="集計 19 4 2 7 2" xfId="12363"/>
    <cellStyle name="集計 19 4 2 7 3" xfId="12364"/>
    <cellStyle name="集計 19 4 2 8" xfId="12365"/>
    <cellStyle name="集計 19 4 2 8 2" xfId="12366"/>
    <cellStyle name="集計 19 4 2 8 3" xfId="12367"/>
    <cellStyle name="集計 19 4 2 9" xfId="12368"/>
    <cellStyle name="集計 19 4 3" xfId="12369"/>
    <cellStyle name="集計 19 4 3 2" xfId="12370"/>
    <cellStyle name="集計 19 4 3 2 2" xfId="12371"/>
    <cellStyle name="集計 19 4 3 2 2 2" xfId="12372"/>
    <cellStyle name="集計 19 4 3 2 2 3" xfId="12373"/>
    <cellStyle name="集計 19 4 3 2 3" xfId="12374"/>
    <cellStyle name="集計 19 4 3 2 3 2" xfId="12375"/>
    <cellStyle name="集計 19 4 3 2 3 3" xfId="12376"/>
    <cellStyle name="集計 19 4 3 2 4" xfId="12377"/>
    <cellStyle name="集計 19 4 3 2 4 2" xfId="12378"/>
    <cellStyle name="集計 19 4 3 2 4 3" xfId="12379"/>
    <cellStyle name="集計 19 4 3 2 5" xfId="12380"/>
    <cellStyle name="集計 19 4 3 2 6" xfId="12381"/>
    <cellStyle name="集計 19 4 3 3" xfId="12382"/>
    <cellStyle name="集計 19 4 3 3 2" xfId="12383"/>
    <cellStyle name="集計 19 4 3 3 3" xfId="12384"/>
    <cellStyle name="集計 19 4 3 4" xfId="12385"/>
    <cellStyle name="集計 19 4 3 4 2" xfId="12386"/>
    <cellStyle name="集計 19 4 3 4 3" xfId="12387"/>
    <cellStyle name="集計 19 4 3 5" xfId="12388"/>
    <cellStyle name="集計 19 4 3 5 2" xfId="12389"/>
    <cellStyle name="集計 19 4 3 5 3" xfId="12390"/>
    <cellStyle name="集計 19 4 3 6" xfId="12391"/>
    <cellStyle name="集計 19 4 3 7" xfId="12392"/>
    <cellStyle name="集計 19 4 4" xfId="12393"/>
    <cellStyle name="集計 19 4 4 2" xfId="12394"/>
    <cellStyle name="集計 19 4 4 2 2" xfId="12395"/>
    <cellStyle name="集計 19 4 4 2 2 2" xfId="12396"/>
    <cellStyle name="集計 19 4 4 2 2 3" xfId="12397"/>
    <cellStyle name="集計 19 4 4 2 3" xfId="12398"/>
    <cellStyle name="集計 19 4 4 2 3 2" xfId="12399"/>
    <cellStyle name="集計 19 4 4 2 3 3" xfId="12400"/>
    <cellStyle name="集計 19 4 4 2 4" xfId="12401"/>
    <cellStyle name="集計 19 4 4 2 4 2" xfId="12402"/>
    <cellStyle name="集計 19 4 4 2 4 3" xfId="12403"/>
    <cellStyle name="集計 19 4 4 2 5" xfId="12404"/>
    <cellStyle name="集計 19 4 4 2 6" xfId="12405"/>
    <cellStyle name="集計 19 4 4 3" xfId="12406"/>
    <cellStyle name="集計 19 4 4 3 2" xfId="12407"/>
    <cellStyle name="集計 19 4 4 3 3" xfId="12408"/>
    <cellStyle name="集計 19 4 4 4" xfId="12409"/>
    <cellStyle name="集計 19 4 4 4 2" xfId="12410"/>
    <cellStyle name="集計 19 4 4 4 3" xfId="12411"/>
    <cellStyle name="集計 19 4 4 5" xfId="12412"/>
    <cellStyle name="集計 19 4 4 5 2" xfId="12413"/>
    <cellStyle name="集計 19 4 4 5 3" xfId="12414"/>
    <cellStyle name="集計 19 4 4 6" xfId="12415"/>
    <cellStyle name="集計 19 4 4 7" xfId="12416"/>
    <cellStyle name="集計 19 4 5" xfId="12417"/>
    <cellStyle name="集計 19 4 5 2" xfId="12418"/>
    <cellStyle name="集計 19 4 5 2 2" xfId="12419"/>
    <cellStyle name="集計 19 4 5 2 3" xfId="12420"/>
    <cellStyle name="集計 19 4 5 3" xfId="12421"/>
    <cellStyle name="集計 19 4 5 3 2" xfId="12422"/>
    <cellStyle name="集計 19 4 5 3 3" xfId="12423"/>
    <cellStyle name="集計 19 4 5 4" xfId="12424"/>
    <cellStyle name="集計 19 4 5 4 2" xfId="12425"/>
    <cellStyle name="集計 19 4 5 4 3" xfId="12426"/>
    <cellStyle name="集計 19 4 5 5" xfId="12427"/>
    <cellStyle name="集計 19 4 5 6" xfId="12428"/>
    <cellStyle name="集計 19 4 6" xfId="12429"/>
    <cellStyle name="集計 19 4 6 2" xfId="12430"/>
    <cellStyle name="集計 19 4 6 3" xfId="12431"/>
    <cellStyle name="集計 19 4 7" xfId="12432"/>
    <cellStyle name="集計 19 4 7 2" xfId="12433"/>
    <cellStyle name="集計 19 4 7 3" xfId="12434"/>
    <cellStyle name="集計 19 4 8" xfId="12435"/>
    <cellStyle name="集計 19 4 8 2" xfId="12436"/>
    <cellStyle name="集計 19 4 8 3" xfId="12437"/>
    <cellStyle name="集計 19 4 9" xfId="12438"/>
    <cellStyle name="集計 19 5" xfId="12439"/>
    <cellStyle name="集計 19 5 10" xfId="12440"/>
    <cellStyle name="集計 19 5 2" xfId="12441"/>
    <cellStyle name="集計 19 5 2 2" xfId="12442"/>
    <cellStyle name="集計 19 5 2 2 2" xfId="12443"/>
    <cellStyle name="集計 19 5 2 2 2 2" xfId="12444"/>
    <cellStyle name="集計 19 5 2 2 2 2 2" xfId="12445"/>
    <cellStyle name="集計 19 5 2 2 2 2 3" xfId="12446"/>
    <cellStyle name="集計 19 5 2 2 2 3" xfId="12447"/>
    <cellStyle name="集計 19 5 2 2 2 3 2" xfId="12448"/>
    <cellStyle name="集計 19 5 2 2 2 3 3" xfId="12449"/>
    <cellStyle name="集計 19 5 2 2 2 4" xfId="12450"/>
    <cellStyle name="集計 19 5 2 2 2 4 2" xfId="12451"/>
    <cellStyle name="集計 19 5 2 2 2 4 3" xfId="12452"/>
    <cellStyle name="集計 19 5 2 2 2 5" xfId="12453"/>
    <cellStyle name="集計 19 5 2 2 2 6" xfId="12454"/>
    <cellStyle name="集計 19 5 2 2 3" xfId="12455"/>
    <cellStyle name="集計 19 5 2 2 3 2" xfId="12456"/>
    <cellStyle name="集計 19 5 2 2 3 3" xfId="12457"/>
    <cellStyle name="集計 19 5 2 2 4" xfId="12458"/>
    <cellStyle name="集計 19 5 2 2 4 2" xfId="12459"/>
    <cellStyle name="集計 19 5 2 2 4 3" xfId="12460"/>
    <cellStyle name="集計 19 5 2 2 5" xfId="12461"/>
    <cellStyle name="集計 19 5 2 2 5 2" xfId="12462"/>
    <cellStyle name="集計 19 5 2 2 5 3" xfId="12463"/>
    <cellStyle name="集計 19 5 2 2 6" xfId="12464"/>
    <cellStyle name="集計 19 5 2 2 7" xfId="12465"/>
    <cellStyle name="集計 19 5 2 3" xfId="12466"/>
    <cellStyle name="集計 19 5 2 3 2" xfId="12467"/>
    <cellStyle name="集計 19 5 2 3 2 2" xfId="12468"/>
    <cellStyle name="集計 19 5 2 3 2 2 2" xfId="12469"/>
    <cellStyle name="集計 19 5 2 3 2 2 3" xfId="12470"/>
    <cellStyle name="集計 19 5 2 3 2 3" xfId="12471"/>
    <cellStyle name="集計 19 5 2 3 2 3 2" xfId="12472"/>
    <cellStyle name="集計 19 5 2 3 2 3 3" xfId="12473"/>
    <cellStyle name="集計 19 5 2 3 2 4" xfId="12474"/>
    <cellStyle name="集計 19 5 2 3 2 4 2" xfId="12475"/>
    <cellStyle name="集計 19 5 2 3 2 4 3" xfId="12476"/>
    <cellStyle name="集計 19 5 2 3 2 5" xfId="12477"/>
    <cellStyle name="集計 19 5 2 3 2 6" xfId="12478"/>
    <cellStyle name="集計 19 5 2 3 3" xfId="12479"/>
    <cellStyle name="集計 19 5 2 3 3 2" xfId="12480"/>
    <cellStyle name="集計 19 5 2 3 3 3" xfId="12481"/>
    <cellStyle name="集計 19 5 2 3 4" xfId="12482"/>
    <cellStyle name="集計 19 5 2 3 4 2" xfId="12483"/>
    <cellStyle name="集計 19 5 2 3 4 3" xfId="12484"/>
    <cellStyle name="集計 19 5 2 3 5" xfId="12485"/>
    <cellStyle name="集計 19 5 2 3 5 2" xfId="12486"/>
    <cellStyle name="集計 19 5 2 3 5 3" xfId="12487"/>
    <cellStyle name="集計 19 5 2 3 6" xfId="12488"/>
    <cellStyle name="集計 19 5 2 3 7" xfId="12489"/>
    <cellStyle name="集計 19 5 2 4" xfId="12490"/>
    <cellStyle name="集計 19 5 2 4 2" xfId="12491"/>
    <cellStyle name="集計 19 5 2 4 2 2" xfId="12492"/>
    <cellStyle name="集計 19 5 2 4 2 3" xfId="12493"/>
    <cellStyle name="集計 19 5 2 4 3" xfId="12494"/>
    <cellStyle name="集計 19 5 2 4 3 2" xfId="12495"/>
    <cellStyle name="集計 19 5 2 4 3 3" xfId="12496"/>
    <cellStyle name="集計 19 5 2 4 4" xfId="12497"/>
    <cellStyle name="集計 19 5 2 4 4 2" xfId="12498"/>
    <cellStyle name="集計 19 5 2 4 4 3" xfId="12499"/>
    <cellStyle name="集計 19 5 2 4 5" xfId="12500"/>
    <cellStyle name="集計 19 5 2 4 6" xfId="12501"/>
    <cellStyle name="集計 19 5 2 5" xfId="12502"/>
    <cellStyle name="集計 19 5 2 5 2" xfId="12503"/>
    <cellStyle name="集計 19 5 2 5 3" xfId="12504"/>
    <cellStyle name="集計 19 5 2 6" xfId="12505"/>
    <cellStyle name="集計 19 5 2 6 2" xfId="12506"/>
    <cellStyle name="集計 19 5 2 6 3" xfId="12507"/>
    <cellStyle name="集計 19 5 2 7" xfId="12508"/>
    <cellStyle name="集計 19 5 2 7 2" xfId="12509"/>
    <cellStyle name="集計 19 5 2 7 3" xfId="12510"/>
    <cellStyle name="集計 19 5 2 8" xfId="12511"/>
    <cellStyle name="集計 19 5 2 9" xfId="12512"/>
    <cellStyle name="集計 19 5 3" xfId="12513"/>
    <cellStyle name="集計 19 5 3 2" xfId="12514"/>
    <cellStyle name="集計 19 5 3 2 2" xfId="12515"/>
    <cellStyle name="集計 19 5 3 2 2 2" xfId="12516"/>
    <cellStyle name="集計 19 5 3 2 2 3" xfId="12517"/>
    <cellStyle name="集計 19 5 3 2 3" xfId="12518"/>
    <cellStyle name="集計 19 5 3 2 3 2" xfId="12519"/>
    <cellStyle name="集計 19 5 3 2 3 3" xfId="12520"/>
    <cellStyle name="集計 19 5 3 2 4" xfId="12521"/>
    <cellStyle name="集計 19 5 3 2 4 2" xfId="12522"/>
    <cellStyle name="集計 19 5 3 2 4 3" xfId="12523"/>
    <cellStyle name="集計 19 5 3 2 5" xfId="12524"/>
    <cellStyle name="集計 19 5 3 2 6" xfId="12525"/>
    <cellStyle name="集計 19 5 3 3" xfId="12526"/>
    <cellStyle name="集計 19 5 3 3 2" xfId="12527"/>
    <cellStyle name="集計 19 5 3 3 3" xfId="12528"/>
    <cellStyle name="集計 19 5 3 4" xfId="12529"/>
    <cellStyle name="集計 19 5 3 4 2" xfId="12530"/>
    <cellStyle name="集計 19 5 3 4 3" xfId="12531"/>
    <cellStyle name="集計 19 5 3 5" xfId="12532"/>
    <cellStyle name="集計 19 5 3 5 2" xfId="12533"/>
    <cellStyle name="集計 19 5 3 5 3" xfId="12534"/>
    <cellStyle name="集計 19 5 3 6" xfId="12535"/>
    <cellStyle name="集計 19 5 3 7" xfId="12536"/>
    <cellStyle name="集計 19 5 4" xfId="12537"/>
    <cellStyle name="集計 19 5 4 2" xfId="12538"/>
    <cellStyle name="集計 19 5 4 2 2" xfId="12539"/>
    <cellStyle name="集計 19 5 4 2 2 2" xfId="12540"/>
    <cellStyle name="集計 19 5 4 2 2 3" xfId="12541"/>
    <cellStyle name="集計 19 5 4 2 3" xfId="12542"/>
    <cellStyle name="集計 19 5 4 2 3 2" xfId="12543"/>
    <cellStyle name="集計 19 5 4 2 3 3" xfId="12544"/>
    <cellStyle name="集計 19 5 4 2 4" xfId="12545"/>
    <cellStyle name="集計 19 5 4 2 4 2" xfId="12546"/>
    <cellStyle name="集計 19 5 4 2 4 3" xfId="12547"/>
    <cellStyle name="集計 19 5 4 2 5" xfId="12548"/>
    <cellStyle name="集計 19 5 4 2 6" xfId="12549"/>
    <cellStyle name="集計 19 5 4 3" xfId="12550"/>
    <cellStyle name="集計 19 5 4 3 2" xfId="12551"/>
    <cellStyle name="集計 19 5 4 3 3" xfId="12552"/>
    <cellStyle name="集計 19 5 4 4" xfId="12553"/>
    <cellStyle name="集計 19 5 4 4 2" xfId="12554"/>
    <cellStyle name="集計 19 5 4 4 3" xfId="12555"/>
    <cellStyle name="集計 19 5 4 5" xfId="12556"/>
    <cellStyle name="集計 19 5 4 5 2" xfId="12557"/>
    <cellStyle name="集計 19 5 4 5 3" xfId="12558"/>
    <cellStyle name="集計 19 5 4 6" xfId="12559"/>
    <cellStyle name="集計 19 5 4 7" xfId="12560"/>
    <cellStyle name="集計 19 5 5" xfId="12561"/>
    <cellStyle name="集計 19 5 5 2" xfId="12562"/>
    <cellStyle name="集計 19 5 5 2 2" xfId="12563"/>
    <cellStyle name="集計 19 5 5 2 3" xfId="12564"/>
    <cellStyle name="集計 19 5 5 3" xfId="12565"/>
    <cellStyle name="集計 19 5 5 3 2" xfId="12566"/>
    <cellStyle name="集計 19 5 5 3 3" xfId="12567"/>
    <cellStyle name="集計 19 5 5 4" xfId="12568"/>
    <cellStyle name="集計 19 5 5 4 2" xfId="12569"/>
    <cellStyle name="集計 19 5 5 4 3" xfId="12570"/>
    <cellStyle name="集計 19 5 5 5" xfId="12571"/>
    <cellStyle name="集計 19 5 5 6" xfId="12572"/>
    <cellStyle name="集計 19 5 6" xfId="12573"/>
    <cellStyle name="集計 19 5 6 2" xfId="12574"/>
    <cellStyle name="集計 19 5 6 3" xfId="12575"/>
    <cellStyle name="集計 19 5 7" xfId="12576"/>
    <cellStyle name="集計 19 5 7 2" xfId="12577"/>
    <cellStyle name="集計 19 5 7 3" xfId="12578"/>
    <cellStyle name="集計 19 5 8" xfId="12579"/>
    <cellStyle name="集計 19 5 8 2" xfId="12580"/>
    <cellStyle name="集計 19 5 8 3" xfId="12581"/>
    <cellStyle name="集計 19 5 9" xfId="12582"/>
    <cellStyle name="集計 19 6" xfId="12583"/>
    <cellStyle name="集計 19 6 10" xfId="12584"/>
    <cellStyle name="集計 19 6 2" xfId="12585"/>
    <cellStyle name="集計 19 6 2 2" xfId="12586"/>
    <cellStyle name="集計 19 6 2 2 2" xfId="12587"/>
    <cellStyle name="集計 19 6 2 2 2 2" xfId="12588"/>
    <cellStyle name="集計 19 6 2 2 2 2 2" xfId="12589"/>
    <cellStyle name="集計 19 6 2 2 2 2 3" xfId="12590"/>
    <cellStyle name="集計 19 6 2 2 2 3" xfId="12591"/>
    <cellStyle name="集計 19 6 2 2 2 3 2" xfId="12592"/>
    <cellStyle name="集計 19 6 2 2 2 3 3" xfId="12593"/>
    <cellStyle name="集計 19 6 2 2 2 4" xfId="12594"/>
    <cellStyle name="集計 19 6 2 2 2 4 2" xfId="12595"/>
    <cellStyle name="集計 19 6 2 2 2 4 3" xfId="12596"/>
    <cellStyle name="集計 19 6 2 2 2 5" xfId="12597"/>
    <cellStyle name="集計 19 6 2 2 2 6" xfId="12598"/>
    <cellStyle name="集計 19 6 2 2 3" xfId="12599"/>
    <cellStyle name="集計 19 6 2 2 3 2" xfId="12600"/>
    <cellStyle name="集計 19 6 2 2 3 3" xfId="12601"/>
    <cellStyle name="集計 19 6 2 2 4" xfId="12602"/>
    <cellStyle name="集計 19 6 2 2 4 2" xfId="12603"/>
    <cellStyle name="集計 19 6 2 2 4 3" xfId="12604"/>
    <cellStyle name="集計 19 6 2 2 5" xfId="12605"/>
    <cellStyle name="集計 19 6 2 2 5 2" xfId="12606"/>
    <cellStyle name="集計 19 6 2 2 5 3" xfId="12607"/>
    <cellStyle name="集計 19 6 2 2 6" xfId="12608"/>
    <cellStyle name="集計 19 6 2 2 7" xfId="12609"/>
    <cellStyle name="集計 19 6 2 3" xfId="12610"/>
    <cellStyle name="集計 19 6 2 3 2" xfId="12611"/>
    <cellStyle name="集計 19 6 2 3 2 2" xfId="12612"/>
    <cellStyle name="集計 19 6 2 3 2 2 2" xfId="12613"/>
    <cellStyle name="集計 19 6 2 3 2 2 3" xfId="12614"/>
    <cellStyle name="集計 19 6 2 3 2 3" xfId="12615"/>
    <cellStyle name="集計 19 6 2 3 2 3 2" xfId="12616"/>
    <cellStyle name="集計 19 6 2 3 2 3 3" xfId="12617"/>
    <cellStyle name="集計 19 6 2 3 2 4" xfId="12618"/>
    <cellStyle name="集計 19 6 2 3 2 4 2" xfId="12619"/>
    <cellStyle name="集計 19 6 2 3 2 4 3" xfId="12620"/>
    <cellStyle name="集計 19 6 2 3 2 5" xfId="12621"/>
    <cellStyle name="集計 19 6 2 3 2 6" xfId="12622"/>
    <cellStyle name="集計 19 6 2 3 3" xfId="12623"/>
    <cellStyle name="集計 19 6 2 3 3 2" xfId="12624"/>
    <cellStyle name="集計 19 6 2 3 3 3" xfId="12625"/>
    <cellStyle name="集計 19 6 2 3 4" xfId="12626"/>
    <cellStyle name="集計 19 6 2 3 4 2" xfId="12627"/>
    <cellStyle name="集計 19 6 2 3 4 3" xfId="12628"/>
    <cellStyle name="集計 19 6 2 3 5" xfId="12629"/>
    <cellStyle name="集計 19 6 2 3 5 2" xfId="12630"/>
    <cellStyle name="集計 19 6 2 3 5 3" xfId="12631"/>
    <cellStyle name="集計 19 6 2 3 6" xfId="12632"/>
    <cellStyle name="集計 19 6 2 3 7" xfId="12633"/>
    <cellStyle name="集計 19 6 2 4" xfId="12634"/>
    <cellStyle name="集計 19 6 2 4 2" xfId="12635"/>
    <cellStyle name="集計 19 6 2 4 2 2" xfId="12636"/>
    <cellStyle name="集計 19 6 2 4 2 3" xfId="12637"/>
    <cellStyle name="集計 19 6 2 4 3" xfId="12638"/>
    <cellStyle name="集計 19 6 2 4 3 2" xfId="12639"/>
    <cellStyle name="集計 19 6 2 4 3 3" xfId="12640"/>
    <cellStyle name="集計 19 6 2 4 4" xfId="12641"/>
    <cellStyle name="集計 19 6 2 4 4 2" xfId="12642"/>
    <cellStyle name="集計 19 6 2 4 4 3" xfId="12643"/>
    <cellStyle name="集計 19 6 2 4 5" xfId="12644"/>
    <cellStyle name="集計 19 6 2 4 6" xfId="12645"/>
    <cellStyle name="集計 19 6 2 5" xfId="12646"/>
    <cellStyle name="集計 19 6 2 5 2" xfId="12647"/>
    <cellStyle name="集計 19 6 2 5 3" xfId="12648"/>
    <cellStyle name="集計 19 6 2 6" xfId="12649"/>
    <cellStyle name="集計 19 6 2 6 2" xfId="12650"/>
    <cellStyle name="集計 19 6 2 6 3" xfId="12651"/>
    <cellStyle name="集計 19 6 2 7" xfId="12652"/>
    <cellStyle name="集計 19 6 2 7 2" xfId="12653"/>
    <cellStyle name="集計 19 6 2 7 3" xfId="12654"/>
    <cellStyle name="集計 19 6 2 8" xfId="12655"/>
    <cellStyle name="集計 19 6 2 9" xfId="12656"/>
    <cellStyle name="集計 19 6 3" xfId="12657"/>
    <cellStyle name="集計 19 6 3 2" xfId="12658"/>
    <cellStyle name="集計 19 6 3 2 2" xfId="12659"/>
    <cellStyle name="集計 19 6 3 2 2 2" xfId="12660"/>
    <cellStyle name="集計 19 6 3 2 2 3" xfId="12661"/>
    <cellStyle name="集計 19 6 3 2 3" xfId="12662"/>
    <cellStyle name="集計 19 6 3 2 3 2" xfId="12663"/>
    <cellStyle name="集計 19 6 3 2 3 3" xfId="12664"/>
    <cellStyle name="集計 19 6 3 2 4" xfId="12665"/>
    <cellStyle name="集計 19 6 3 2 4 2" xfId="12666"/>
    <cellStyle name="集計 19 6 3 2 4 3" xfId="12667"/>
    <cellStyle name="集計 19 6 3 2 5" xfId="12668"/>
    <cellStyle name="集計 19 6 3 2 6" xfId="12669"/>
    <cellStyle name="集計 19 6 3 3" xfId="12670"/>
    <cellStyle name="集計 19 6 3 3 2" xfId="12671"/>
    <cellStyle name="集計 19 6 3 3 3" xfId="12672"/>
    <cellStyle name="集計 19 6 3 4" xfId="12673"/>
    <cellStyle name="集計 19 6 3 4 2" xfId="12674"/>
    <cellStyle name="集計 19 6 3 4 3" xfId="12675"/>
    <cellStyle name="集計 19 6 3 5" xfId="12676"/>
    <cellStyle name="集計 19 6 3 5 2" xfId="12677"/>
    <cellStyle name="集計 19 6 3 5 3" xfId="12678"/>
    <cellStyle name="集計 19 6 3 6" xfId="12679"/>
    <cellStyle name="集計 19 6 3 7" xfId="12680"/>
    <cellStyle name="集計 19 6 4" xfId="12681"/>
    <cellStyle name="集計 19 6 4 2" xfId="12682"/>
    <cellStyle name="集計 19 6 4 2 2" xfId="12683"/>
    <cellStyle name="集計 19 6 4 2 2 2" xfId="12684"/>
    <cellStyle name="集計 19 6 4 2 2 3" xfId="12685"/>
    <cellStyle name="集計 19 6 4 2 3" xfId="12686"/>
    <cellStyle name="集計 19 6 4 2 3 2" xfId="12687"/>
    <cellStyle name="集計 19 6 4 2 3 3" xfId="12688"/>
    <cellStyle name="集計 19 6 4 2 4" xfId="12689"/>
    <cellStyle name="集計 19 6 4 2 4 2" xfId="12690"/>
    <cellStyle name="集計 19 6 4 2 4 3" xfId="12691"/>
    <cellStyle name="集計 19 6 4 2 5" xfId="12692"/>
    <cellStyle name="集計 19 6 4 2 6" xfId="12693"/>
    <cellStyle name="集計 19 6 4 3" xfId="12694"/>
    <cellStyle name="集計 19 6 4 3 2" xfId="12695"/>
    <cellStyle name="集計 19 6 4 3 3" xfId="12696"/>
    <cellStyle name="集計 19 6 4 4" xfId="12697"/>
    <cellStyle name="集計 19 6 4 4 2" xfId="12698"/>
    <cellStyle name="集計 19 6 4 4 3" xfId="12699"/>
    <cellStyle name="集計 19 6 4 5" xfId="12700"/>
    <cellStyle name="集計 19 6 4 5 2" xfId="12701"/>
    <cellStyle name="集計 19 6 4 5 3" xfId="12702"/>
    <cellStyle name="集計 19 6 4 6" xfId="12703"/>
    <cellStyle name="集計 19 6 4 7" xfId="12704"/>
    <cellStyle name="集計 19 6 5" xfId="12705"/>
    <cellStyle name="集計 19 6 5 2" xfId="12706"/>
    <cellStyle name="集計 19 6 5 2 2" xfId="12707"/>
    <cellStyle name="集計 19 6 5 2 3" xfId="12708"/>
    <cellStyle name="集計 19 6 5 3" xfId="12709"/>
    <cellStyle name="集計 19 6 5 3 2" xfId="12710"/>
    <cellStyle name="集計 19 6 5 3 3" xfId="12711"/>
    <cellStyle name="集計 19 6 5 4" xfId="12712"/>
    <cellStyle name="集計 19 6 5 4 2" xfId="12713"/>
    <cellStyle name="集計 19 6 5 4 3" xfId="12714"/>
    <cellStyle name="集計 19 6 5 5" xfId="12715"/>
    <cellStyle name="集計 19 6 5 6" xfId="12716"/>
    <cellStyle name="集計 19 6 6" xfId="12717"/>
    <cellStyle name="集計 19 6 6 2" xfId="12718"/>
    <cellStyle name="集計 19 6 6 3" xfId="12719"/>
    <cellStyle name="集計 19 6 7" xfId="12720"/>
    <cellStyle name="集計 19 6 7 2" xfId="12721"/>
    <cellStyle name="集計 19 6 7 3" xfId="12722"/>
    <cellStyle name="集計 19 6 8" xfId="12723"/>
    <cellStyle name="集計 19 6 8 2" xfId="12724"/>
    <cellStyle name="集計 19 6 8 3" xfId="12725"/>
    <cellStyle name="集計 19 6 9" xfId="12726"/>
    <cellStyle name="集計 19 7" xfId="12727"/>
    <cellStyle name="集計 19 7 2" xfId="12728"/>
    <cellStyle name="集計 19 7 2 2" xfId="12729"/>
    <cellStyle name="集計 19 7 2 2 2" xfId="12730"/>
    <cellStyle name="集計 19 7 2 2 3" xfId="12731"/>
    <cellStyle name="集計 19 7 2 3" xfId="12732"/>
    <cellStyle name="集計 19 7 2 3 2" xfId="12733"/>
    <cellStyle name="集計 19 7 2 3 3" xfId="12734"/>
    <cellStyle name="集計 19 7 2 4" xfId="12735"/>
    <cellStyle name="集計 19 7 2 4 2" xfId="12736"/>
    <cellStyle name="集計 19 7 2 4 3" xfId="12737"/>
    <cellStyle name="集計 19 7 2 5" xfId="12738"/>
    <cellStyle name="集計 19 7 2 6" xfId="12739"/>
    <cellStyle name="集計 19 7 3" xfId="12740"/>
    <cellStyle name="集計 19 7 3 2" xfId="12741"/>
    <cellStyle name="集計 19 7 3 3" xfId="12742"/>
    <cellStyle name="集計 19 7 4" xfId="12743"/>
    <cellStyle name="集計 19 7 4 2" xfId="12744"/>
    <cellStyle name="集計 19 7 4 3" xfId="12745"/>
    <cellStyle name="集計 19 7 5" xfId="12746"/>
    <cellStyle name="集計 19 7 5 2" xfId="12747"/>
    <cellStyle name="集計 19 7 5 3" xfId="12748"/>
    <cellStyle name="集計 19 7 6" xfId="12749"/>
    <cellStyle name="集計 19 7 7" xfId="12750"/>
    <cellStyle name="集計 19 8" xfId="12751"/>
    <cellStyle name="集計 19 8 2" xfId="12752"/>
    <cellStyle name="集計 19 8 2 2" xfId="12753"/>
    <cellStyle name="集計 19 8 2 2 2" xfId="12754"/>
    <cellStyle name="集計 19 8 2 2 3" xfId="12755"/>
    <cellStyle name="集計 19 8 2 3" xfId="12756"/>
    <cellStyle name="集計 19 8 2 3 2" xfId="12757"/>
    <cellStyle name="集計 19 8 2 3 3" xfId="12758"/>
    <cellStyle name="集計 19 8 2 4" xfId="12759"/>
    <cellStyle name="集計 19 8 2 4 2" xfId="12760"/>
    <cellStyle name="集計 19 8 2 4 3" xfId="12761"/>
    <cellStyle name="集計 19 8 2 5" xfId="12762"/>
    <cellStyle name="集計 19 8 2 6" xfId="12763"/>
    <cellStyle name="集計 19 8 3" xfId="12764"/>
    <cellStyle name="集計 19 8 3 2" xfId="12765"/>
    <cellStyle name="集計 19 8 3 3" xfId="12766"/>
    <cellStyle name="集計 19 8 4" xfId="12767"/>
    <cellStyle name="集計 19 8 4 2" xfId="12768"/>
    <cellStyle name="集計 19 8 4 3" xfId="12769"/>
    <cellStyle name="集計 19 8 5" xfId="12770"/>
    <cellStyle name="集計 19 8 5 2" xfId="12771"/>
    <cellStyle name="集計 19 8 5 3" xfId="12772"/>
    <cellStyle name="集計 19 8 6" xfId="12773"/>
    <cellStyle name="集計 19 8 7" xfId="12774"/>
    <cellStyle name="集計 19 9" xfId="12775"/>
    <cellStyle name="集計 19 9 2" xfId="12776"/>
    <cellStyle name="集計 19 9 2 2" xfId="12777"/>
    <cellStyle name="集計 19 9 2 3" xfId="12778"/>
    <cellStyle name="集計 19 9 3" xfId="12779"/>
    <cellStyle name="集計 19 9 3 2" xfId="12780"/>
    <cellStyle name="集計 19 9 3 3" xfId="12781"/>
    <cellStyle name="集計 19 9 4" xfId="12782"/>
    <cellStyle name="集計 19 9 4 2" xfId="12783"/>
    <cellStyle name="集計 19 9 4 3" xfId="12784"/>
    <cellStyle name="集計 19 9 5" xfId="12785"/>
    <cellStyle name="集計 19 9 6" xfId="12786"/>
    <cellStyle name="集計 2" xfId="12787"/>
    <cellStyle name="集計 2 10" xfId="12788"/>
    <cellStyle name="集計 2 10 10" xfId="12789"/>
    <cellStyle name="集計 2 10 10 2" xfId="12790"/>
    <cellStyle name="集計 2 10 10 3" xfId="12791"/>
    <cellStyle name="集計 2 10 11" xfId="12792"/>
    <cellStyle name="集計 2 10 11 2" xfId="12793"/>
    <cellStyle name="集計 2 10 11 3" xfId="12794"/>
    <cellStyle name="集計 2 10 12" xfId="12795"/>
    <cellStyle name="集計 2 10 12 2" xfId="12796"/>
    <cellStyle name="集計 2 10 12 3" xfId="12797"/>
    <cellStyle name="集計 2 10 13" xfId="12798"/>
    <cellStyle name="集計 2 10 14" xfId="12799"/>
    <cellStyle name="集計 2 10 2" xfId="12800"/>
    <cellStyle name="集計 2 10 2 10" xfId="12801"/>
    <cellStyle name="集計 2 10 2 2" xfId="12802"/>
    <cellStyle name="集計 2 10 2 2 10" xfId="12803"/>
    <cellStyle name="集計 2 10 2 2 2" xfId="12804"/>
    <cellStyle name="集計 2 10 2 2 2 2" xfId="12805"/>
    <cellStyle name="集計 2 10 2 2 2 2 2" xfId="12806"/>
    <cellStyle name="集計 2 10 2 2 2 2 2 2" xfId="12807"/>
    <cellStyle name="集計 2 10 2 2 2 2 2 2 2" xfId="12808"/>
    <cellStyle name="集計 2 10 2 2 2 2 2 2 3" xfId="12809"/>
    <cellStyle name="集計 2 10 2 2 2 2 2 3" xfId="12810"/>
    <cellStyle name="集計 2 10 2 2 2 2 2 3 2" xfId="12811"/>
    <cellStyle name="集計 2 10 2 2 2 2 2 3 3" xfId="12812"/>
    <cellStyle name="集計 2 10 2 2 2 2 2 4" xfId="12813"/>
    <cellStyle name="集計 2 10 2 2 2 2 2 4 2" xfId="12814"/>
    <cellStyle name="集計 2 10 2 2 2 2 2 4 3" xfId="12815"/>
    <cellStyle name="集計 2 10 2 2 2 2 2 5" xfId="12816"/>
    <cellStyle name="集計 2 10 2 2 2 2 2 6" xfId="12817"/>
    <cellStyle name="集計 2 10 2 2 2 2 3" xfId="12818"/>
    <cellStyle name="集計 2 10 2 2 2 2 3 2" xfId="12819"/>
    <cellStyle name="集計 2 10 2 2 2 2 3 3" xfId="12820"/>
    <cellStyle name="集計 2 10 2 2 2 2 4" xfId="12821"/>
    <cellStyle name="集計 2 10 2 2 2 2 4 2" xfId="12822"/>
    <cellStyle name="集計 2 10 2 2 2 2 4 3" xfId="12823"/>
    <cellStyle name="集計 2 10 2 2 2 2 5" xfId="12824"/>
    <cellStyle name="集計 2 10 2 2 2 2 5 2" xfId="12825"/>
    <cellStyle name="集計 2 10 2 2 2 2 5 3" xfId="12826"/>
    <cellStyle name="集計 2 10 2 2 2 2 6" xfId="12827"/>
    <cellStyle name="集計 2 10 2 2 2 2 7" xfId="12828"/>
    <cellStyle name="集計 2 10 2 2 2 3" xfId="12829"/>
    <cellStyle name="集計 2 10 2 2 2 3 2" xfId="12830"/>
    <cellStyle name="集計 2 10 2 2 2 3 2 2" xfId="12831"/>
    <cellStyle name="集計 2 10 2 2 2 3 2 2 2" xfId="12832"/>
    <cellStyle name="集計 2 10 2 2 2 3 2 2 3" xfId="12833"/>
    <cellStyle name="集計 2 10 2 2 2 3 2 3" xfId="12834"/>
    <cellStyle name="集計 2 10 2 2 2 3 2 3 2" xfId="12835"/>
    <cellStyle name="集計 2 10 2 2 2 3 2 3 3" xfId="12836"/>
    <cellStyle name="集計 2 10 2 2 2 3 2 4" xfId="12837"/>
    <cellStyle name="集計 2 10 2 2 2 3 2 4 2" xfId="12838"/>
    <cellStyle name="集計 2 10 2 2 2 3 2 4 3" xfId="12839"/>
    <cellStyle name="集計 2 10 2 2 2 3 2 5" xfId="12840"/>
    <cellStyle name="集計 2 10 2 2 2 3 2 6" xfId="12841"/>
    <cellStyle name="集計 2 10 2 2 2 3 3" xfId="12842"/>
    <cellStyle name="集計 2 10 2 2 2 3 3 2" xfId="12843"/>
    <cellStyle name="集計 2 10 2 2 2 3 3 3" xfId="12844"/>
    <cellStyle name="集計 2 10 2 2 2 3 4" xfId="12845"/>
    <cellStyle name="集計 2 10 2 2 2 3 4 2" xfId="12846"/>
    <cellStyle name="集計 2 10 2 2 2 3 4 3" xfId="12847"/>
    <cellStyle name="集計 2 10 2 2 2 3 5" xfId="12848"/>
    <cellStyle name="集計 2 10 2 2 2 3 5 2" xfId="12849"/>
    <cellStyle name="集計 2 10 2 2 2 3 5 3" xfId="12850"/>
    <cellStyle name="集計 2 10 2 2 2 3 6" xfId="12851"/>
    <cellStyle name="集計 2 10 2 2 2 3 7" xfId="12852"/>
    <cellStyle name="集計 2 10 2 2 2 4" xfId="12853"/>
    <cellStyle name="集計 2 10 2 2 2 4 2" xfId="12854"/>
    <cellStyle name="集計 2 10 2 2 2 4 2 2" xfId="12855"/>
    <cellStyle name="集計 2 10 2 2 2 4 2 3" xfId="12856"/>
    <cellStyle name="集計 2 10 2 2 2 4 3" xfId="12857"/>
    <cellStyle name="集計 2 10 2 2 2 4 3 2" xfId="12858"/>
    <cellStyle name="集計 2 10 2 2 2 4 3 3" xfId="12859"/>
    <cellStyle name="集計 2 10 2 2 2 4 4" xfId="12860"/>
    <cellStyle name="集計 2 10 2 2 2 4 4 2" xfId="12861"/>
    <cellStyle name="集計 2 10 2 2 2 4 4 3" xfId="12862"/>
    <cellStyle name="集計 2 10 2 2 2 4 5" xfId="12863"/>
    <cellStyle name="集計 2 10 2 2 2 4 6" xfId="12864"/>
    <cellStyle name="集計 2 10 2 2 2 5" xfId="12865"/>
    <cellStyle name="集計 2 10 2 2 2 5 2" xfId="12866"/>
    <cellStyle name="集計 2 10 2 2 2 5 3" xfId="12867"/>
    <cellStyle name="集計 2 10 2 2 2 6" xfId="12868"/>
    <cellStyle name="集計 2 10 2 2 2 6 2" xfId="12869"/>
    <cellStyle name="集計 2 10 2 2 2 6 3" xfId="12870"/>
    <cellStyle name="集計 2 10 2 2 2 7" xfId="12871"/>
    <cellStyle name="集計 2 10 2 2 2 7 2" xfId="12872"/>
    <cellStyle name="集計 2 10 2 2 2 7 3" xfId="12873"/>
    <cellStyle name="集計 2 10 2 2 2 8" xfId="12874"/>
    <cellStyle name="集計 2 10 2 2 2 9" xfId="12875"/>
    <cellStyle name="集計 2 10 2 2 3" xfId="12876"/>
    <cellStyle name="集計 2 10 2 2 3 2" xfId="12877"/>
    <cellStyle name="集計 2 10 2 2 3 2 2" xfId="12878"/>
    <cellStyle name="集計 2 10 2 2 3 2 2 2" xfId="12879"/>
    <cellStyle name="集計 2 10 2 2 3 2 2 3" xfId="12880"/>
    <cellStyle name="集計 2 10 2 2 3 2 3" xfId="12881"/>
    <cellStyle name="集計 2 10 2 2 3 2 3 2" xfId="12882"/>
    <cellStyle name="集計 2 10 2 2 3 2 3 3" xfId="12883"/>
    <cellStyle name="集計 2 10 2 2 3 2 4" xfId="12884"/>
    <cellStyle name="集計 2 10 2 2 3 2 4 2" xfId="12885"/>
    <cellStyle name="集計 2 10 2 2 3 2 4 3" xfId="12886"/>
    <cellStyle name="集計 2 10 2 2 3 2 5" xfId="12887"/>
    <cellStyle name="集計 2 10 2 2 3 2 6" xfId="12888"/>
    <cellStyle name="集計 2 10 2 2 3 3" xfId="12889"/>
    <cellStyle name="集計 2 10 2 2 3 3 2" xfId="12890"/>
    <cellStyle name="集計 2 10 2 2 3 3 3" xfId="12891"/>
    <cellStyle name="集計 2 10 2 2 3 4" xfId="12892"/>
    <cellStyle name="集計 2 10 2 2 3 4 2" xfId="12893"/>
    <cellStyle name="集計 2 10 2 2 3 4 3" xfId="12894"/>
    <cellStyle name="集計 2 10 2 2 3 5" xfId="12895"/>
    <cellStyle name="集計 2 10 2 2 3 5 2" xfId="12896"/>
    <cellStyle name="集計 2 10 2 2 3 5 3" xfId="12897"/>
    <cellStyle name="集計 2 10 2 2 3 6" xfId="12898"/>
    <cellStyle name="集計 2 10 2 2 3 7" xfId="12899"/>
    <cellStyle name="集計 2 10 2 2 4" xfId="12900"/>
    <cellStyle name="集計 2 10 2 2 4 2" xfId="12901"/>
    <cellStyle name="集計 2 10 2 2 4 2 2" xfId="12902"/>
    <cellStyle name="集計 2 10 2 2 4 2 2 2" xfId="12903"/>
    <cellStyle name="集計 2 10 2 2 4 2 2 3" xfId="12904"/>
    <cellStyle name="集計 2 10 2 2 4 2 3" xfId="12905"/>
    <cellStyle name="集計 2 10 2 2 4 2 3 2" xfId="12906"/>
    <cellStyle name="集計 2 10 2 2 4 2 3 3" xfId="12907"/>
    <cellStyle name="集計 2 10 2 2 4 2 4" xfId="12908"/>
    <cellStyle name="集計 2 10 2 2 4 2 4 2" xfId="12909"/>
    <cellStyle name="集計 2 10 2 2 4 2 4 3" xfId="12910"/>
    <cellStyle name="集計 2 10 2 2 4 2 5" xfId="12911"/>
    <cellStyle name="集計 2 10 2 2 4 2 6" xfId="12912"/>
    <cellStyle name="集計 2 10 2 2 4 3" xfId="12913"/>
    <cellStyle name="集計 2 10 2 2 4 3 2" xfId="12914"/>
    <cellStyle name="集計 2 10 2 2 4 3 3" xfId="12915"/>
    <cellStyle name="集計 2 10 2 2 4 4" xfId="12916"/>
    <cellStyle name="集計 2 10 2 2 4 4 2" xfId="12917"/>
    <cellStyle name="集計 2 10 2 2 4 4 3" xfId="12918"/>
    <cellStyle name="集計 2 10 2 2 4 5" xfId="12919"/>
    <cellStyle name="集計 2 10 2 2 4 5 2" xfId="12920"/>
    <cellStyle name="集計 2 10 2 2 4 5 3" xfId="12921"/>
    <cellStyle name="集計 2 10 2 2 4 6" xfId="12922"/>
    <cellStyle name="集計 2 10 2 2 4 7" xfId="12923"/>
    <cellStyle name="集計 2 10 2 2 5" xfId="12924"/>
    <cellStyle name="集計 2 10 2 2 5 2" xfId="12925"/>
    <cellStyle name="集計 2 10 2 2 5 2 2" xfId="12926"/>
    <cellStyle name="集計 2 10 2 2 5 2 3" xfId="12927"/>
    <cellStyle name="集計 2 10 2 2 5 3" xfId="12928"/>
    <cellStyle name="集計 2 10 2 2 5 3 2" xfId="12929"/>
    <cellStyle name="集計 2 10 2 2 5 3 3" xfId="12930"/>
    <cellStyle name="集計 2 10 2 2 5 4" xfId="12931"/>
    <cellStyle name="集計 2 10 2 2 5 4 2" xfId="12932"/>
    <cellStyle name="集計 2 10 2 2 5 4 3" xfId="12933"/>
    <cellStyle name="集計 2 10 2 2 5 5" xfId="12934"/>
    <cellStyle name="集計 2 10 2 2 5 6" xfId="12935"/>
    <cellStyle name="集計 2 10 2 2 6" xfId="12936"/>
    <cellStyle name="集計 2 10 2 2 6 2" xfId="12937"/>
    <cellStyle name="集計 2 10 2 2 6 3" xfId="12938"/>
    <cellStyle name="集計 2 10 2 2 7" xfId="12939"/>
    <cellStyle name="集計 2 10 2 2 7 2" xfId="12940"/>
    <cellStyle name="集計 2 10 2 2 7 3" xfId="12941"/>
    <cellStyle name="集計 2 10 2 2 8" xfId="12942"/>
    <cellStyle name="集計 2 10 2 2 8 2" xfId="12943"/>
    <cellStyle name="集計 2 10 2 2 8 3" xfId="12944"/>
    <cellStyle name="集計 2 10 2 2 9" xfId="12945"/>
    <cellStyle name="集計 2 10 2 3" xfId="12946"/>
    <cellStyle name="集計 2 10 2 3 2" xfId="12947"/>
    <cellStyle name="集計 2 10 2 3 2 2" xfId="12948"/>
    <cellStyle name="集計 2 10 2 3 2 2 2" xfId="12949"/>
    <cellStyle name="集計 2 10 2 3 2 2 3" xfId="12950"/>
    <cellStyle name="集計 2 10 2 3 2 3" xfId="12951"/>
    <cellStyle name="集計 2 10 2 3 2 3 2" xfId="12952"/>
    <cellStyle name="集計 2 10 2 3 2 3 3" xfId="12953"/>
    <cellStyle name="集計 2 10 2 3 2 4" xfId="12954"/>
    <cellStyle name="集計 2 10 2 3 2 4 2" xfId="12955"/>
    <cellStyle name="集計 2 10 2 3 2 4 3" xfId="12956"/>
    <cellStyle name="集計 2 10 2 3 2 5" xfId="12957"/>
    <cellStyle name="集計 2 10 2 3 2 6" xfId="12958"/>
    <cellStyle name="集計 2 10 2 3 3" xfId="12959"/>
    <cellStyle name="集計 2 10 2 3 3 2" xfId="12960"/>
    <cellStyle name="集計 2 10 2 3 3 3" xfId="12961"/>
    <cellStyle name="集計 2 10 2 3 4" xfId="12962"/>
    <cellStyle name="集計 2 10 2 3 4 2" xfId="12963"/>
    <cellStyle name="集計 2 10 2 3 4 3" xfId="12964"/>
    <cellStyle name="集計 2 10 2 3 5" xfId="12965"/>
    <cellStyle name="集計 2 10 2 3 5 2" xfId="12966"/>
    <cellStyle name="集計 2 10 2 3 5 3" xfId="12967"/>
    <cellStyle name="集計 2 10 2 3 6" xfId="12968"/>
    <cellStyle name="集計 2 10 2 3 7" xfId="12969"/>
    <cellStyle name="集計 2 10 2 4" xfId="12970"/>
    <cellStyle name="集計 2 10 2 4 2" xfId="12971"/>
    <cellStyle name="集計 2 10 2 4 2 2" xfId="12972"/>
    <cellStyle name="集計 2 10 2 4 2 2 2" xfId="12973"/>
    <cellStyle name="集計 2 10 2 4 2 2 3" xfId="12974"/>
    <cellStyle name="集計 2 10 2 4 2 3" xfId="12975"/>
    <cellStyle name="集計 2 10 2 4 2 3 2" xfId="12976"/>
    <cellStyle name="集計 2 10 2 4 2 3 3" xfId="12977"/>
    <cellStyle name="集計 2 10 2 4 2 4" xfId="12978"/>
    <cellStyle name="集計 2 10 2 4 2 4 2" xfId="12979"/>
    <cellStyle name="集計 2 10 2 4 2 4 3" xfId="12980"/>
    <cellStyle name="集計 2 10 2 4 2 5" xfId="12981"/>
    <cellStyle name="集計 2 10 2 4 2 6" xfId="12982"/>
    <cellStyle name="集計 2 10 2 4 3" xfId="12983"/>
    <cellStyle name="集計 2 10 2 4 3 2" xfId="12984"/>
    <cellStyle name="集計 2 10 2 4 3 3" xfId="12985"/>
    <cellStyle name="集計 2 10 2 4 4" xfId="12986"/>
    <cellStyle name="集計 2 10 2 4 4 2" xfId="12987"/>
    <cellStyle name="集計 2 10 2 4 4 3" xfId="12988"/>
    <cellStyle name="集計 2 10 2 4 5" xfId="12989"/>
    <cellStyle name="集計 2 10 2 4 5 2" xfId="12990"/>
    <cellStyle name="集計 2 10 2 4 5 3" xfId="12991"/>
    <cellStyle name="集計 2 10 2 4 6" xfId="12992"/>
    <cellStyle name="集計 2 10 2 4 7" xfId="12993"/>
    <cellStyle name="集計 2 10 2 5" xfId="12994"/>
    <cellStyle name="集計 2 10 2 5 2" xfId="12995"/>
    <cellStyle name="集計 2 10 2 5 2 2" xfId="12996"/>
    <cellStyle name="集計 2 10 2 5 2 3" xfId="12997"/>
    <cellStyle name="集計 2 10 2 5 3" xfId="12998"/>
    <cellStyle name="集計 2 10 2 5 3 2" xfId="12999"/>
    <cellStyle name="集計 2 10 2 5 3 3" xfId="13000"/>
    <cellStyle name="集計 2 10 2 5 4" xfId="13001"/>
    <cellStyle name="集計 2 10 2 5 4 2" xfId="13002"/>
    <cellStyle name="集計 2 10 2 5 4 3" xfId="13003"/>
    <cellStyle name="集計 2 10 2 5 5" xfId="13004"/>
    <cellStyle name="集計 2 10 2 5 6" xfId="13005"/>
    <cellStyle name="集計 2 10 2 6" xfId="13006"/>
    <cellStyle name="集計 2 10 2 6 2" xfId="13007"/>
    <cellStyle name="集計 2 10 2 6 3" xfId="13008"/>
    <cellStyle name="集計 2 10 2 7" xfId="13009"/>
    <cellStyle name="集計 2 10 2 7 2" xfId="13010"/>
    <cellStyle name="集計 2 10 2 7 3" xfId="13011"/>
    <cellStyle name="集計 2 10 2 8" xfId="13012"/>
    <cellStyle name="集計 2 10 2 8 2" xfId="13013"/>
    <cellStyle name="集計 2 10 2 8 3" xfId="13014"/>
    <cellStyle name="集計 2 10 2 9" xfId="13015"/>
    <cellStyle name="集計 2 10 3" xfId="13016"/>
    <cellStyle name="集計 2 10 3 10" xfId="13017"/>
    <cellStyle name="集計 2 10 3 2" xfId="13018"/>
    <cellStyle name="集計 2 10 3 2 10" xfId="13019"/>
    <cellStyle name="集計 2 10 3 2 2" xfId="13020"/>
    <cellStyle name="集計 2 10 3 2 2 2" xfId="13021"/>
    <cellStyle name="集計 2 10 3 2 2 2 2" xfId="13022"/>
    <cellStyle name="集計 2 10 3 2 2 2 2 2" xfId="13023"/>
    <cellStyle name="集計 2 10 3 2 2 2 2 2 2" xfId="13024"/>
    <cellStyle name="集計 2 10 3 2 2 2 2 2 3" xfId="13025"/>
    <cellStyle name="集計 2 10 3 2 2 2 2 3" xfId="13026"/>
    <cellStyle name="集計 2 10 3 2 2 2 2 3 2" xfId="13027"/>
    <cellStyle name="集計 2 10 3 2 2 2 2 3 3" xfId="13028"/>
    <cellStyle name="集計 2 10 3 2 2 2 2 4" xfId="13029"/>
    <cellStyle name="集計 2 10 3 2 2 2 2 4 2" xfId="13030"/>
    <cellStyle name="集計 2 10 3 2 2 2 2 4 3" xfId="13031"/>
    <cellStyle name="集計 2 10 3 2 2 2 2 5" xfId="13032"/>
    <cellStyle name="集計 2 10 3 2 2 2 2 6" xfId="13033"/>
    <cellStyle name="集計 2 10 3 2 2 2 3" xfId="13034"/>
    <cellStyle name="集計 2 10 3 2 2 2 3 2" xfId="13035"/>
    <cellStyle name="集計 2 10 3 2 2 2 3 3" xfId="13036"/>
    <cellStyle name="集計 2 10 3 2 2 2 4" xfId="13037"/>
    <cellStyle name="集計 2 10 3 2 2 2 4 2" xfId="13038"/>
    <cellStyle name="集計 2 10 3 2 2 2 4 3" xfId="13039"/>
    <cellStyle name="集計 2 10 3 2 2 2 5" xfId="13040"/>
    <cellStyle name="集計 2 10 3 2 2 2 5 2" xfId="13041"/>
    <cellStyle name="集計 2 10 3 2 2 2 5 3" xfId="13042"/>
    <cellStyle name="集計 2 10 3 2 2 2 6" xfId="13043"/>
    <cellStyle name="集計 2 10 3 2 2 2 7" xfId="13044"/>
    <cellStyle name="集計 2 10 3 2 2 3" xfId="13045"/>
    <cellStyle name="集計 2 10 3 2 2 3 2" xfId="13046"/>
    <cellStyle name="集計 2 10 3 2 2 3 2 2" xfId="13047"/>
    <cellStyle name="集計 2 10 3 2 2 3 2 2 2" xfId="13048"/>
    <cellStyle name="集計 2 10 3 2 2 3 2 2 3" xfId="13049"/>
    <cellStyle name="集計 2 10 3 2 2 3 2 3" xfId="13050"/>
    <cellStyle name="集計 2 10 3 2 2 3 2 3 2" xfId="13051"/>
    <cellStyle name="集計 2 10 3 2 2 3 2 3 3" xfId="13052"/>
    <cellStyle name="集計 2 10 3 2 2 3 2 4" xfId="13053"/>
    <cellStyle name="集計 2 10 3 2 2 3 2 4 2" xfId="13054"/>
    <cellStyle name="集計 2 10 3 2 2 3 2 4 3" xfId="13055"/>
    <cellStyle name="集計 2 10 3 2 2 3 2 5" xfId="13056"/>
    <cellStyle name="集計 2 10 3 2 2 3 2 6" xfId="13057"/>
    <cellStyle name="集計 2 10 3 2 2 3 3" xfId="13058"/>
    <cellStyle name="集計 2 10 3 2 2 3 3 2" xfId="13059"/>
    <cellStyle name="集計 2 10 3 2 2 3 3 3" xfId="13060"/>
    <cellStyle name="集計 2 10 3 2 2 3 4" xfId="13061"/>
    <cellStyle name="集計 2 10 3 2 2 3 4 2" xfId="13062"/>
    <cellStyle name="集計 2 10 3 2 2 3 4 3" xfId="13063"/>
    <cellStyle name="集計 2 10 3 2 2 3 5" xfId="13064"/>
    <cellStyle name="集計 2 10 3 2 2 3 5 2" xfId="13065"/>
    <cellStyle name="集計 2 10 3 2 2 3 5 3" xfId="13066"/>
    <cellStyle name="集計 2 10 3 2 2 3 6" xfId="13067"/>
    <cellStyle name="集計 2 10 3 2 2 3 7" xfId="13068"/>
    <cellStyle name="集計 2 10 3 2 2 4" xfId="13069"/>
    <cellStyle name="集計 2 10 3 2 2 4 2" xfId="13070"/>
    <cellStyle name="集計 2 10 3 2 2 4 2 2" xfId="13071"/>
    <cellStyle name="集計 2 10 3 2 2 4 2 3" xfId="13072"/>
    <cellStyle name="集計 2 10 3 2 2 4 3" xfId="13073"/>
    <cellStyle name="集計 2 10 3 2 2 4 3 2" xfId="13074"/>
    <cellStyle name="集計 2 10 3 2 2 4 3 3" xfId="13075"/>
    <cellStyle name="集計 2 10 3 2 2 4 4" xfId="13076"/>
    <cellStyle name="集計 2 10 3 2 2 4 4 2" xfId="13077"/>
    <cellStyle name="集計 2 10 3 2 2 4 4 3" xfId="13078"/>
    <cellStyle name="集計 2 10 3 2 2 4 5" xfId="13079"/>
    <cellStyle name="集計 2 10 3 2 2 4 6" xfId="13080"/>
    <cellStyle name="集計 2 10 3 2 2 5" xfId="13081"/>
    <cellStyle name="集計 2 10 3 2 2 5 2" xfId="13082"/>
    <cellStyle name="集計 2 10 3 2 2 5 3" xfId="13083"/>
    <cellStyle name="集計 2 10 3 2 2 6" xfId="13084"/>
    <cellStyle name="集計 2 10 3 2 2 6 2" xfId="13085"/>
    <cellStyle name="集計 2 10 3 2 2 6 3" xfId="13086"/>
    <cellStyle name="集計 2 10 3 2 2 7" xfId="13087"/>
    <cellStyle name="集計 2 10 3 2 2 7 2" xfId="13088"/>
    <cellStyle name="集計 2 10 3 2 2 7 3" xfId="13089"/>
    <cellStyle name="集計 2 10 3 2 2 8" xfId="13090"/>
    <cellStyle name="集計 2 10 3 2 2 9" xfId="13091"/>
    <cellStyle name="集計 2 10 3 2 3" xfId="13092"/>
    <cellStyle name="集計 2 10 3 2 3 2" xfId="13093"/>
    <cellStyle name="集計 2 10 3 2 3 2 2" xfId="13094"/>
    <cellStyle name="集計 2 10 3 2 3 2 2 2" xfId="13095"/>
    <cellStyle name="集計 2 10 3 2 3 2 2 3" xfId="13096"/>
    <cellStyle name="集計 2 10 3 2 3 2 3" xfId="13097"/>
    <cellStyle name="集計 2 10 3 2 3 2 3 2" xfId="13098"/>
    <cellStyle name="集計 2 10 3 2 3 2 3 3" xfId="13099"/>
    <cellStyle name="集計 2 10 3 2 3 2 4" xfId="13100"/>
    <cellStyle name="集計 2 10 3 2 3 2 4 2" xfId="13101"/>
    <cellStyle name="集計 2 10 3 2 3 2 4 3" xfId="13102"/>
    <cellStyle name="集計 2 10 3 2 3 2 5" xfId="13103"/>
    <cellStyle name="集計 2 10 3 2 3 2 6" xfId="13104"/>
    <cellStyle name="集計 2 10 3 2 3 3" xfId="13105"/>
    <cellStyle name="集計 2 10 3 2 3 3 2" xfId="13106"/>
    <cellStyle name="集計 2 10 3 2 3 3 3" xfId="13107"/>
    <cellStyle name="集計 2 10 3 2 3 4" xfId="13108"/>
    <cellStyle name="集計 2 10 3 2 3 4 2" xfId="13109"/>
    <cellStyle name="集計 2 10 3 2 3 4 3" xfId="13110"/>
    <cellStyle name="集計 2 10 3 2 3 5" xfId="13111"/>
    <cellStyle name="集計 2 10 3 2 3 5 2" xfId="13112"/>
    <cellStyle name="集計 2 10 3 2 3 5 3" xfId="13113"/>
    <cellStyle name="集計 2 10 3 2 3 6" xfId="13114"/>
    <cellStyle name="集計 2 10 3 2 3 7" xfId="13115"/>
    <cellStyle name="集計 2 10 3 2 4" xfId="13116"/>
    <cellStyle name="集計 2 10 3 2 4 2" xfId="13117"/>
    <cellStyle name="集計 2 10 3 2 4 2 2" xfId="13118"/>
    <cellStyle name="集計 2 10 3 2 4 2 2 2" xfId="13119"/>
    <cellStyle name="集計 2 10 3 2 4 2 2 3" xfId="13120"/>
    <cellStyle name="集計 2 10 3 2 4 2 3" xfId="13121"/>
    <cellStyle name="集計 2 10 3 2 4 2 3 2" xfId="13122"/>
    <cellStyle name="集計 2 10 3 2 4 2 3 3" xfId="13123"/>
    <cellStyle name="集計 2 10 3 2 4 2 4" xfId="13124"/>
    <cellStyle name="集計 2 10 3 2 4 2 4 2" xfId="13125"/>
    <cellStyle name="集計 2 10 3 2 4 2 4 3" xfId="13126"/>
    <cellStyle name="集計 2 10 3 2 4 2 5" xfId="13127"/>
    <cellStyle name="集計 2 10 3 2 4 2 6" xfId="13128"/>
    <cellStyle name="集計 2 10 3 2 4 3" xfId="13129"/>
    <cellStyle name="集計 2 10 3 2 4 3 2" xfId="13130"/>
    <cellStyle name="集計 2 10 3 2 4 3 3" xfId="13131"/>
    <cellStyle name="集計 2 10 3 2 4 4" xfId="13132"/>
    <cellStyle name="集計 2 10 3 2 4 4 2" xfId="13133"/>
    <cellStyle name="集計 2 10 3 2 4 4 3" xfId="13134"/>
    <cellStyle name="集計 2 10 3 2 4 5" xfId="13135"/>
    <cellStyle name="集計 2 10 3 2 4 5 2" xfId="13136"/>
    <cellStyle name="集計 2 10 3 2 4 5 3" xfId="13137"/>
    <cellStyle name="集計 2 10 3 2 4 6" xfId="13138"/>
    <cellStyle name="集計 2 10 3 2 4 7" xfId="13139"/>
    <cellStyle name="集計 2 10 3 2 5" xfId="13140"/>
    <cellStyle name="集計 2 10 3 2 5 2" xfId="13141"/>
    <cellStyle name="集計 2 10 3 2 5 2 2" xfId="13142"/>
    <cellStyle name="集計 2 10 3 2 5 2 3" xfId="13143"/>
    <cellStyle name="集計 2 10 3 2 5 3" xfId="13144"/>
    <cellStyle name="集計 2 10 3 2 5 3 2" xfId="13145"/>
    <cellStyle name="集計 2 10 3 2 5 3 3" xfId="13146"/>
    <cellStyle name="集計 2 10 3 2 5 4" xfId="13147"/>
    <cellStyle name="集計 2 10 3 2 5 4 2" xfId="13148"/>
    <cellStyle name="集計 2 10 3 2 5 4 3" xfId="13149"/>
    <cellStyle name="集計 2 10 3 2 5 5" xfId="13150"/>
    <cellStyle name="集計 2 10 3 2 5 6" xfId="13151"/>
    <cellStyle name="集計 2 10 3 2 6" xfId="13152"/>
    <cellStyle name="集計 2 10 3 2 6 2" xfId="13153"/>
    <cellStyle name="集計 2 10 3 2 6 3" xfId="13154"/>
    <cellStyle name="集計 2 10 3 2 7" xfId="13155"/>
    <cellStyle name="集計 2 10 3 2 7 2" xfId="13156"/>
    <cellStyle name="集計 2 10 3 2 7 3" xfId="13157"/>
    <cellStyle name="集計 2 10 3 2 8" xfId="13158"/>
    <cellStyle name="集計 2 10 3 2 8 2" xfId="13159"/>
    <cellStyle name="集計 2 10 3 2 8 3" xfId="13160"/>
    <cellStyle name="集計 2 10 3 2 9" xfId="13161"/>
    <cellStyle name="集計 2 10 3 3" xfId="13162"/>
    <cellStyle name="集計 2 10 3 3 2" xfId="13163"/>
    <cellStyle name="集計 2 10 3 3 2 2" xfId="13164"/>
    <cellStyle name="集計 2 10 3 3 2 2 2" xfId="13165"/>
    <cellStyle name="集計 2 10 3 3 2 2 3" xfId="13166"/>
    <cellStyle name="集計 2 10 3 3 2 3" xfId="13167"/>
    <cellStyle name="集計 2 10 3 3 2 3 2" xfId="13168"/>
    <cellStyle name="集計 2 10 3 3 2 3 3" xfId="13169"/>
    <cellStyle name="集計 2 10 3 3 2 4" xfId="13170"/>
    <cellStyle name="集計 2 10 3 3 2 4 2" xfId="13171"/>
    <cellStyle name="集計 2 10 3 3 2 4 3" xfId="13172"/>
    <cellStyle name="集計 2 10 3 3 2 5" xfId="13173"/>
    <cellStyle name="集計 2 10 3 3 2 6" xfId="13174"/>
    <cellStyle name="集計 2 10 3 3 3" xfId="13175"/>
    <cellStyle name="集計 2 10 3 3 3 2" xfId="13176"/>
    <cellStyle name="集計 2 10 3 3 3 3" xfId="13177"/>
    <cellStyle name="集計 2 10 3 3 4" xfId="13178"/>
    <cellStyle name="集計 2 10 3 3 4 2" xfId="13179"/>
    <cellStyle name="集計 2 10 3 3 4 3" xfId="13180"/>
    <cellStyle name="集計 2 10 3 3 5" xfId="13181"/>
    <cellStyle name="集計 2 10 3 3 5 2" xfId="13182"/>
    <cellStyle name="集計 2 10 3 3 5 3" xfId="13183"/>
    <cellStyle name="集計 2 10 3 3 6" xfId="13184"/>
    <cellStyle name="集計 2 10 3 3 7" xfId="13185"/>
    <cellStyle name="集計 2 10 3 4" xfId="13186"/>
    <cellStyle name="集計 2 10 3 4 2" xfId="13187"/>
    <cellStyle name="集計 2 10 3 4 2 2" xfId="13188"/>
    <cellStyle name="集計 2 10 3 4 2 2 2" xfId="13189"/>
    <cellStyle name="集計 2 10 3 4 2 2 3" xfId="13190"/>
    <cellStyle name="集計 2 10 3 4 2 3" xfId="13191"/>
    <cellStyle name="集計 2 10 3 4 2 3 2" xfId="13192"/>
    <cellStyle name="集計 2 10 3 4 2 3 3" xfId="13193"/>
    <cellStyle name="集計 2 10 3 4 2 4" xfId="13194"/>
    <cellStyle name="集計 2 10 3 4 2 4 2" xfId="13195"/>
    <cellStyle name="集計 2 10 3 4 2 4 3" xfId="13196"/>
    <cellStyle name="集計 2 10 3 4 2 5" xfId="13197"/>
    <cellStyle name="集計 2 10 3 4 2 6" xfId="13198"/>
    <cellStyle name="集計 2 10 3 4 3" xfId="13199"/>
    <cellStyle name="集計 2 10 3 4 3 2" xfId="13200"/>
    <cellStyle name="集計 2 10 3 4 3 3" xfId="13201"/>
    <cellStyle name="集計 2 10 3 4 4" xfId="13202"/>
    <cellStyle name="集計 2 10 3 4 4 2" xfId="13203"/>
    <cellStyle name="集計 2 10 3 4 4 3" xfId="13204"/>
    <cellStyle name="集計 2 10 3 4 5" xfId="13205"/>
    <cellStyle name="集計 2 10 3 4 5 2" xfId="13206"/>
    <cellStyle name="集計 2 10 3 4 5 3" xfId="13207"/>
    <cellStyle name="集計 2 10 3 4 6" xfId="13208"/>
    <cellStyle name="集計 2 10 3 4 7" xfId="13209"/>
    <cellStyle name="集計 2 10 3 5" xfId="13210"/>
    <cellStyle name="集計 2 10 3 5 2" xfId="13211"/>
    <cellStyle name="集計 2 10 3 5 2 2" xfId="13212"/>
    <cellStyle name="集計 2 10 3 5 2 3" xfId="13213"/>
    <cellStyle name="集計 2 10 3 5 3" xfId="13214"/>
    <cellStyle name="集計 2 10 3 5 3 2" xfId="13215"/>
    <cellStyle name="集計 2 10 3 5 3 3" xfId="13216"/>
    <cellStyle name="集計 2 10 3 5 4" xfId="13217"/>
    <cellStyle name="集計 2 10 3 5 4 2" xfId="13218"/>
    <cellStyle name="集計 2 10 3 5 4 3" xfId="13219"/>
    <cellStyle name="集計 2 10 3 5 5" xfId="13220"/>
    <cellStyle name="集計 2 10 3 5 6" xfId="13221"/>
    <cellStyle name="集計 2 10 3 6" xfId="13222"/>
    <cellStyle name="集計 2 10 3 6 2" xfId="13223"/>
    <cellStyle name="集計 2 10 3 6 3" xfId="13224"/>
    <cellStyle name="集計 2 10 3 7" xfId="13225"/>
    <cellStyle name="集計 2 10 3 7 2" xfId="13226"/>
    <cellStyle name="集計 2 10 3 7 3" xfId="13227"/>
    <cellStyle name="集計 2 10 3 8" xfId="13228"/>
    <cellStyle name="集計 2 10 3 8 2" xfId="13229"/>
    <cellStyle name="集計 2 10 3 8 3" xfId="13230"/>
    <cellStyle name="集計 2 10 3 9" xfId="13231"/>
    <cellStyle name="集計 2 10 4" xfId="13232"/>
    <cellStyle name="集計 2 10 4 10" xfId="13233"/>
    <cellStyle name="集計 2 10 4 2" xfId="13234"/>
    <cellStyle name="集計 2 10 4 2 10" xfId="13235"/>
    <cellStyle name="集計 2 10 4 2 2" xfId="13236"/>
    <cellStyle name="集計 2 10 4 2 2 2" xfId="13237"/>
    <cellStyle name="集計 2 10 4 2 2 2 2" xfId="13238"/>
    <cellStyle name="集計 2 10 4 2 2 2 2 2" xfId="13239"/>
    <cellStyle name="集計 2 10 4 2 2 2 2 2 2" xfId="13240"/>
    <cellStyle name="集計 2 10 4 2 2 2 2 2 3" xfId="13241"/>
    <cellStyle name="集計 2 10 4 2 2 2 2 3" xfId="13242"/>
    <cellStyle name="集計 2 10 4 2 2 2 2 3 2" xfId="13243"/>
    <cellStyle name="集計 2 10 4 2 2 2 2 3 3" xfId="13244"/>
    <cellStyle name="集計 2 10 4 2 2 2 2 4" xfId="13245"/>
    <cellStyle name="集計 2 10 4 2 2 2 2 4 2" xfId="13246"/>
    <cellStyle name="集計 2 10 4 2 2 2 2 4 3" xfId="13247"/>
    <cellStyle name="集計 2 10 4 2 2 2 2 5" xfId="13248"/>
    <cellStyle name="集計 2 10 4 2 2 2 2 6" xfId="13249"/>
    <cellStyle name="集計 2 10 4 2 2 2 3" xfId="13250"/>
    <cellStyle name="集計 2 10 4 2 2 2 3 2" xfId="13251"/>
    <cellStyle name="集計 2 10 4 2 2 2 3 3" xfId="13252"/>
    <cellStyle name="集計 2 10 4 2 2 2 4" xfId="13253"/>
    <cellStyle name="集計 2 10 4 2 2 2 4 2" xfId="13254"/>
    <cellStyle name="集計 2 10 4 2 2 2 4 3" xfId="13255"/>
    <cellStyle name="集計 2 10 4 2 2 2 5" xfId="13256"/>
    <cellStyle name="集計 2 10 4 2 2 2 5 2" xfId="13257"/>
    <cellStyle name="集計 2 10 4 2 2 2 5 3" xfId="13258"/>
    <cellStyle name="集計 2 10 4 2 2 2 6" xfId="13259"/>
    <cellStyle name="集計 2 10 4 2 2 2 7" xfId="13260"/>
    <cellStyle name="集計 2 10 4 2 2 3" xfId="13261"/>
    <cellStyle name="集計 2 10 4 2 2 3 2" xfId="13262"/>
    <cellStyle name="集計 2 10 4 2 2 3 2 2" xfId="13263"/>
    <cellStyle name="集計 2 10 4 2 2 3 2 2 2" xfId="13264"/>
    <cellStyle name="集計 2 10 4 2 2 3 2 2 3" xfId="13265"/>
    <cellStyle name="集計 2 10 4 2 2 3 2 3" xfId="13266"/>
    <cellStyle name="集計 2 10 4 2 2 3 2 3 2" xfId="13267"/>
    <cellStyle name="集計 2 10 4 2 2 3 2 3 3" xfId="13268"/>
    <cellStyle name="集計 2 10 4 2 2 3 2 4" xfId="13269"/>
    <cellStyle name="集計 2 10 4 2 2 3 2 4 2" xfId="13270"/>
    <cellStyle name="集計 2 10 4 2 2 3 2 4 3" xfId="13271"/>
    <cellStyle name="集計 2 10 4 2 2 3 2 5" xfId="13272"/>
    <cellStyle name="集計 2 10 4 2 2 3 2 6" xfId="13273"/>
    <cellStyle name="集計 2 10 4 2 2 3 3" xfId="13274"/>
    <cellStyle name="集計 2 10 4 2 2 3 3 2" xfId="13275"/>
    <cellStyle name="集計 2 10 4 2 2 3 3 3" xfId="13276"/>
    <cellStyle name="集計 2 10 4 2 2 3 4" xfId="13277"/>
    <cellStyle name="集計 2 10 4 2 2 3 4 2" xfId="13278"/>
    <cellStyle name="集計 2 10 4 2 2 3 4 3" xfId="13279"/>
    <cellStyle name="集計 2 10 4 2 2 3 5" xfId="13280"/>
    <cellStyle name="集計 2 10 4 2 2 3 5 2" xfId="13281"/>
    <cellStyle name="集計 2 10 4 2 2 3 5 3" xfId="13282"/>
    <cellStyle name="集計 2 10 4 2 2 3 6" xfId="13283"/>
    <cellStyle name="集計 2 10 4 2 2 3 7" xfId="13284"/>
    <cellStyle name="集計 2 10 4 2 2 4" xfId="13285"/>
    <cellStyle name="集計 2 10 4 2 2 4 2" xfId="13286"/>
    <cellStyle name="集計 2 10 4 2 2 4 2 2" xfId="13287"/>
    <cellStyle name="集計 2 10 4 2 2 4 2 3" xfId="13288"/>
    <cellStyle name="集計 2 10 4 2 2 4 3" xfId="13289"/>
    <cellStyle name="集計 2 10 4 2 2 4 3 2" xfId="13290"/>
    <cellStyle name="集計 2 10 4 2 2 4 3 3" xfId="13291"/>
    <cellStyle name="集計 2 10 4 2 2 4 4" xfId="13292"/>
    <cellStyle name="集計 2 10 4 2 2 4 4 2" xfId="13293"/>
    <cellStyle name="集計 2 10 4 2 2 4 4 3" xfId="13294"/>
    <cellStyle name="集計 2 10 4 2 2 4 5" xfId="13295"/>
    <cellStyle name="集計 2 10 4 2 2 4 6" xfId="13296"/>
    <cellStyle name="集計 2 10 4 2 2 5" xfId="13297"/>
    <cellStyle name="集計 2 10 4 2 2 5 2" xfId="13298"/>
    <cellStyle name="集計 2 10 4 2 2 5 3" xfId="13299"/>
    <cellStyle name="集計 2 10 4 2 2 6" xfId="13300"/>
    <cellStyle name="集計 2 10 4 2 2 6 2" xfId="13301"/>
    <cellStyle name="集計 2 10 4 2 2 6 3" xfId="13302"/>
    <cellStyle name="集計 2 10 4 2 2 7" xfId="13303"/>
    <cellStyle name="集計 2 10 4 2 2 7 2" xfId="13304"/>
    <cellStyle name="集計 2 10 4 2 2 7 3" xfId="13305"/>
    <cellStyle name="集計 2 10 4 2 2 8" xfId="13306"/>
    <cellStyle name="集計 2 10 4 2 2 9" xfId="13307"/>
    <cellStyle name="集計 2 10 4 2 3" xfId="13308"/>
    <cellStyle name="集計 2 10 4 2 3 2" xfId="13309"/>
    <cellStyle name="集計 2 10 4 2 3 2 2" xfId="13310"/>
    <cellStyle name="集計 2 10 4 2 3 2 2 2" xfId="13311"/>
    <cellStyle name="集計 2 10 4 2 3 2 2 3" xfId="13312"/>
    <cellStyle name="集計 2 10 4 2 3 2 3" xfId="13313"/>
    <cellStyle name="集計 2 10 4 2 3 2 3 2" xfId="13314"/>
    <cellStyle name="集計 2 10 4 2 3 2 3 3" xfId="13315"/>
    <cellStyle name="集計 2 10 4 2 3 2 4" xfId="13316"/>
    <cellStyle name="集計 2 10 4 2 3 2 4 2" xfId="13317"/>
    <cellStyle name="集計 2 10 4 2 3 2 4 3" xfId="13318"/>
    <cellStyle name="集計 2 10 4 2 3 2 5" xfId="13319"/>
    <cellStyle name="集計 2 10 4 2 3 2 6" xfId="13320"/>
    <cellStyle name="集計 2 10 4 2 3 3" xfId="13321"/>
    <cellStyle name="集計 2 10 4 2 3 3 2" xfId="13322"/>
    <cellStyle name="集計 2 10 4 2 3 3 3" xfId="13323"/>
    <cellStyle name="集計 2 10 4 2 3 4" xfId="13324"/>
    <cellStyle name="集計 2 10 4 2 3 4 2" xfId="13325"/>
    <cellStyle name="集計 2 10 4 2 3 4 3" xfId="13326"/>
    <cellStyle name="集計 2 10 4 2 3 5" xfId="13327"/>
    <cellStyle name="集計 2 10 4 2 3 5 2" xfId="13328"/>
    <cellStyle name="集計 2 10 4 2 3 5 3" xfId="13329"/>
    <cellStyle name="集計 2 10 4 2 3 6" xfId="13330"/>
    <cellStyle name="集計 2 10 4 2 3 7" xfId="13331"/>
    <cellStyle name="集計 2 10 4 2 4" xfId="13332"/>
    <cellStyle name="集計 2 10 4 2 4 2" xfId="13333"/>
    <cellStyle name="集計 2 10 4 2 4 2 2" xfId="13334"/>
    <cellStyle name="集計 2 10 4 2 4 2 2 2" xfId="13335"/>
    <cellStyle name="集計 2 10 4 2 4 2 2 3" xfId="13336"/>
    <cellStyle name="集計 2 10 4 2 4 2 3" xfId="13337"/>
    <cellStyle name="集計 2 10 4 2 4 2 3 2" xfId="13338"/>
    <cellStyle name="集計 2 10 4 2 4 2 3 3" xfId="13339"/>
    <cellStyle name="集計 2 10 4 2 4 2 4" xfId="13340"/>
    <cellStyle name="集計 2 10 4 2 4 2 4 2" xfId="13341"/>
    <cellStyle name="集計 2 10 4 2 4 2 4 3" xfId="13342"/>
    <cellStyle name="集計 2 10 4 2 4 2 5" xfId="13343"/>
    <cellStyle name="集計 2 10 4 2 4 2 6" xfId="13344"/>
    <cellStyle name="集計 2 10 4 2 4 3" xfId="13345"/>
    <cellStyle name="集計 2 10 4 2 4 3 2" xfId="13346"/>
    <cellStyle name="集計 2 10 4 2 4 3 3" xfId="13347"/>
    <cellStyle name="集計 2 10 4 2 4 4" xfId="13348"/>
    <cellStyle name="集計 2 10 4 2 4 4 2" xfId="13349"/>
    <cellStyle name="集計 2 10 4 2 4 4 3" xfId="13350"/>
    <cellStyle name="集計 2 10 4 2 4 5" xfId="13351"/>
    <cellStyle name="集計 2 10 4 2 4 5 2" xfId="13352"/>
    <cellStyle name="集計 2 10 4 2 4 5 3" xfId="13353"/>
    <cellStyle name="集計 2 10 4 2 4 6" xfId="13354"/>
    <cellStyle name="集計 2 10 4 2 4 7" xfId="13355"/>
    <cellStyle name="集計 2 10 4 2 5" xfId="13356"/>
    <cellStyle name="集計 2 10 4 2 5 2" xfId="13357"/>
    <cellStyle name="集計 2 10 4 2 5 2 2" xfId="13358"/>
    <cellStyle name="集計 2 10 4 2 5 2 3" xfId="13359"/>
    <cellStyle name="集計 2 10 4 2 5 3" xfId="13360"/>
    <cellStyle name="集計 2 10 4 2 5 3 2" xfId="13361"/>
    <cellStyle name="集計 2 10 4 2 5 3 3" xfId="13362"/>
    <cellStyle name="集計 2 10 4 2 5 4" xfId="13363"/>
    <cellStyle name="集計 2 10 4 2 5 4 2" xfId="13364"/>
    <cellStyle name="集計 2 10 4 2 5 4 3" xfId="13365"/>
    <cellStyle name="集計 2 10 4 2 5 5" xfId="13366"/>
    <cellStyle name="集計 2 10 4 2 5 6" xfId="13367"/>
    <cellStyle name="集計 2 10 4 2 6" xfId="13368"/>
    <cellStyle name="集計 2 10 4 2 6 2" xfId="13369"/>
    <cellStyle name="集計 2 10 4 2 6 3" xfId="13370"/>
    <cellStyle name="集計 2 10 4 2 7" xfId="13371"/>
    <cellStyle name="集計 2 10 4 2 7 2" xfId="13372"/>
    <cellStyle name="集計 2 10 4 2 7 3" xfId="13373"/>
    <cellStyle name="集計 2 10 4 2 8" xfId="13374"/>
    <cellStyle name="集計 2 10 4 2 8 2" xfId="13375"/>
    <cellStyle name="集計 2 10 4 2 8 3" xfId="13376"/>
    <cellStyle name="集計 2 10 4 2 9" xfId="13377"/>
    <cellStyle name="集計 2 10 4 3" xfId="13378"/>
    <cellStyle name="集計 2 10 4 3 2" xfId="13379"/>
    <cellStyle name="集計 2 10 4 3 2 2" xfId="13380"/>
    <cellStyle name="集計 2 10 4 3 2 2 2" xfId="13381"/>
    <cellStyle name="集計 2 10 4 3 2 2 3" xfId="13382"/>
    <cellStyle name="集計 2 10 4 3 2 3" xfId="13383"/>
    <cellStyle name="集計 2 10 4 3 2 3 2" xfId="13384"/>
    <cellStyle name="集計 2 10 4 3 2 3 3" xfId="13385"/>
    <cellStyle name="集計 2 10 4 3 2 4" xfId="13386"/>
    <cellStyle name="集計 2 10 4 3 2 4 2" xfId="13387"/>
    <cellStyle name="集計 2 10 4 3 2 4 3" xfId="13388"/>
    <cellStyle name="集計 2 10 4 3 2 5" xfId="13389"/>
    <cellStyle name="集計 2 10 4 3 2 6" xfId="13390"/>
    <cellStyle name="集計 2 10 4 3 3" xfId="13391"/>
    <cellStyle name="集計 2 10 4 3 3 2" xfId="13392"/>
    <cellStyle name="集計 2 10 4 3 3 3" xfId="13393"/>
    <cellStyle name="集計 2 10 4 3 4" xfId="13394"/>
    <cellStyle name="集計 2 10 4 3 4 2" xfId="13395"/>
    <cellStyle name="集計 2 10 4 3 4 3" xfId="13396"/>
    <cellStyle name="集計 2 10 4 3 5" xfId="13397"/>
    <cellStyle name="集計 2 10 4 3 5 2" xfId="13398"/>
    <cellStyle name="集計 2 10 4 3 5 3" xfId="13399"/>
    <cellStyle name="集計 2 10 4 3 6" xfId="13400"/>
    <cellStyle name="集計 2 10 4 3 7" xfId="13401"/>
    <cellStyle name="集計 2 10 4 4" xfId="13402"/>
    <cellStyle name="集計 2 10 4 4 2" xfId="13403"/>
    <cellStyle name="集計 2 10 4 4 2 2" xfId="13404"/>
    <cellStyle name="集計 2 10 4 4 2 2 2" xfId="13405"/>
    <cellStyle name="集計 2 10 4 4 2 2 3" xfId="13406"/>
    <cellStyle name="集計 2 10 4 4 2 3" xfId="13407"/>
    <cellStyle name="集計 2 10 4 4 2 3 2" xfId="13408"/>
    <cellStyle name="集計 2 10 4 4 2 3 3" xfId="13409"/>
    <cellStyle name="集計 2 10 4 4 2 4" xfId="13410"/>
    <cellStyle name="集計 2 10 4 4 2 4 2" xfId="13411"/>
    <cellStyle name="集計 2 10 4 4 2 4 3" xfId="13412"/>
    <cellStyle name="集計 2 10 4 4 2 5" xfId="13413"/>
    <cellStyle name="集計 2 10 4 4 2 6" xfId="13414"/>
    <cellStyle name="集計 2 10 4 4 3" xfId="13415"/>
    <cellStyle name="集計 2 10 4 4 3 2" xfId="13416"/>
    <cellStyle name="集計 2 10 4 4 3 3" xfId="13417"/>
    <cellStyle name="集計 2 10 4 4 4" xfId="13418"/>
    <cellStyle name="集計 2 10 4 4 4 2" xfId="13419"/>
    <cellStyle name="集計 2 10 4 4 4 3" xfId="13420"/>
    <cellStyle name="集計 2 10 4 4 5" xfId="13421"/>
    <cellStyle name="集計 2 10 4 4 5 2" xfId="13422"/>
    <cellStyle name="集計 2 10 4 4 5 3" xfId="13423"/>
    <cellStyle name="集計 2 10 4 4 6" xfId="13424"/>
    <cellStyle name="集計 2 10 4 4 7" xfId="13425"/>
    <cellStyle name="集計 2 10 4 5" xfId="13426"/>
    <cellStyle name="集計 2 10 4 5 2" xfId="13427"/>
    <cellStyle name="集計 2 10 4 5 2 2" xfId="13428"/>
    <cellStyle name="集計 2 10 4 5 2 3" xfId="13429"/>
    <cellStyle name="集計 2 10 4 5 3" xfId="13430"/>
    <cellStyle name="集計 2 10 4 5 3 2" xfId="13431"/>
    <cellStyle name="集計 2 10 4 5 3 3" xfId="13432"/>
    <cellStyle name="集計 2 10 4 5 4" xfId="13433"/>
    <cellStyle name="集計 2 10 4 5 4 2" xfId="13434"/>
    <cellStyle name="集計 2 10 4 5 4 3" xfId="13435"/>
    <cellStyle name="集計 2 10 4 5 5" xfId="13436"/>
    <cellStyle name="集計 2 10 4 5 6" xfId="13437"/>
    <cellStyle name="集計 2 10 4 6" xfId="13438"/>
    <cellStyle name="集計 2 10 4 6 2" xfId="13439"/>
    <cellStyle name="集計 2 10 4 6 3" xfId="13440"/>
    <cellStyle name="集計 2 10 4 7" xfId="13441"/>
    <cellStyle name="集計 2 10 4 7 2" xfId="13442"/>
    <cellStyle name="集計 2 10 4 7 3" xfId="13443"/>
    <cellStyle name="集計 2 10 4 8" xfId="13444"/>
    <cellStyle name="集計 2 10 4 8 2" xfId="13445"/>
    <cellStyle name="集計 2 10 4 8 3" xfId="13446"/>
    <cellStyle name="集計 2 10 4 9" xfId="13447"/>
    <cellStyle name="集計 2 10 5" xfId="13448"/>
    <cellStyle name="集計 2 10 5 10" xfId="13449"/>
    <cellStyle name="集計 2 10 5 2" xfId="13450"/>
    <cellStyle name="集計 2 10 5 2 2" xfId="13451"/>
    <cellStyle name="集計 2 10 5 2 2 2" xfId="13452"/>
    <cellStyle name="集計 2 10 5 2 2 2 2" xfId="13453"/>
    <cellStyle name="集計 2 10 5 2 2 2 2 2" xfId="13454"/>
    <cellStyle name="集計 2 10 5 2 2 2 2 3" xfId="13455"/>
    <cellStyle name="集計 2 10 5 2 2 2 3" xfId="13456"/>
    <cellStyle name="集計 2 10 5 2 2 2 3 2" xfId="13457"/>
    <cellStyle name="集計 2 10 5 2 2 2 3 3" xfId="13458"/>
    <cellStyle name="集計 2 10 5 2 2 2 4" xfId="13459"/>
    <cellStyle name="集計 2 10 5 2 2 2 4 2" xfId="13460"/>
    <cellStyle name="集計 2 10 5 2 2 2 4 3" xfId="13461"/>
    <cellStyle name="集計 2 10 5 2 2 2 5" xfId="13462"/>
    <cellStyle name="集計 2 10 5 2 2 2 6" xfId="13463"/>
    <cellStyle name="集計 2 10 5 2 2 3" xfId="13464"/>
    <cellStyle name="集計 2 10 5 2 2 3 2" xfId="13465"/>
    <cellStyle name="集計 2 10 5 2 2 3 3" xfId="13466"/>
    <cellStyle name="集計 2 10 5 2 2 4" xfId="13467"/>
    <cellStyle name="集計 2 10 5 2 2 4 2" xfId="13468"/>
    <cellStyle name="集計 2 10 5 2 2 4 3" xfId="13469"/>
    <cellStyle name="集計 2 10 5 2 2 5" xfId="13470"/>
    <cellStyle name="集計 2 10 5 2 2 5 2" xfId="13471"/>
    <cellStyle name="集計 2 10 5 2 2 5 3" xfId="13472"/>
    <cellStyle name="集計 2 10 5 2 2 6" xfId="13473"/>
    <cellStyle name="集計 2 10 5 2 2 7" xfId="13474"/>
    <cellStyle name="集計 2 10 5 2 3" xfId="13475"/>
    <cellStyle name="集計 2 10 5 2 3 2" xfId="13476"/>
    <cellStyle name="集計 2 10 5 2 3 2 2" xfId="13477"/>
    <cellStyle name="集計 2 10 5 2 3 2 2 2" xfId="13478"/>
    <cellStyle name="集計 2 10 5 2 3 2 2 3" xfId="13479"/>
    <cellStyle name="集計 2 10 5 2 3 2 3" xfId="13480"/>
    <cellStyle name="集計 2 10 5 2 3 2 3 2" xfId="13481"/>
    <cellStyle name="集計 2 10 5 2 3 2 3 3" xfId="13482"/>
    <cellStyle name="集計 2 10 5 2 3 2 4" xfId="13483"/>
    <cellStyle name="集計 2 10 5 2 3 2 4 2" xfId="13484"/>
    <cellStyle name="集計 2 10 5 2 3 2 4 3" xfId="13485"/>
    <cellStyle name="集計 2 10 5 2 3 2 5" xfId="13486"/>
    <cellStyle name="集計 2 10 5 2 3 2 6" xfId="13487"/>
    <cellStyle name="集計 2 10 5 2 3 3" xfId="13488"/>
    <cellStyle name="集計 2 10 5 2 3 3 2" xfId="13489"/>
    <cellStyle name="集計 2 10 5 2 3 3 3" xfId="13490"/>
    <cellStyle name="集計 2 10 5 2 3 4" xfId="13491"/>
    <cellStyle name="集計 2 10 5 2 3 4 2" xfId="13492"/>
    <cellStyle name="集計 2 10 5 2 3 4 3" xfId="13493"/>
    <cellStyle name="集計 2 10 5 2 3 5" xfId="13494"/>
    <cellStyle name="集計 2 10 5 2 3 5 2" xfId="13495"/>
    <cellStyle name="集計 2 10 5 2 3 5 3" xfId="13496"/>
    <cellStyle name="集計 2 10 5 2 3 6" xfId="13497"/>
    <cellStyle name="集計 2 10 5 2 3 7" xfId="13498"/>
    <cellStyle name="集計 2 10 5 2 4" xfId="13499"/>
    <cellStyle name="集計 2 10 5 2 4 2" xfId="13500"/>
    <cellStyle name="集計 2 10 5 2 4 2 2" xfId="13501"/>
    <cellStyle name="集計 2 10 5 2 4 2 3" xfId="13502"/>
    <cellStyle name="集計 2 10 5 2 4 3" xfId="13503"/>
    <cellStyle name="集計 2 10 5 2 4 3 2" xfId="13504"/>
    <cellStyle name="集計 2 10 5 2 4 3 3" xfId="13505"/>
    <cellStyle name="集計 2 10 5 2 4 4" xfId="13506"/>
    <cellStyle name="集計 2 10 5 2 4 4 2" xfId="13507"/>
    <cellStyle name="集計 2 10 5 2 4 4 3" xfId="13508"/>
    <cellStyle name="集計 2 10 5 2 4 5" xfId="13509"/>
    <cellStyle name="集計 2 10 5 2 4 6" xfId="13510"/>
    <cellStyle name="集計 2 10 5 2 5" xfId="13511"/>
    <cellStyle name="集計 2 10 5 2 5 2" xfId="13512"/>
    <cellStyle name="集計 2 10 5 2 5 3" xfId="13513"/>
    <cellStyle name="集計 2 10 5 2 6" xfId="13514"/>
    <cellStyle name="集計 2 10 5 2 6 2" xfId="13515"/>
    <cellStyle name="集計 2 10 5 2 6 3" xfId="13516"/>
    <cellStyle name="集計 2 10 5 2 7" xfId="13517"/>
    <cellStyle name="集計 2 10 5 2 7 2" xfId="13518"/>
    <cellStyle name="集計 2 10 5 2 7 3" xfId="13519"/>
    <cellStyle name="集計 2 10 5 2 8" xfId="13520"/>
    <cellStyle name="集計 2 10 5 2 9" xfId="13521"/>
    <cellStyle name="集計 2 10 5 3" xfId="13522"/>
    <cellStyle name="集計 2 10 5 3 2" xfId="13523"/>
    <cellStyle name="集計 2 10 5 3 2 2" xfId="13524"/>
    <cellStyle name="集計 2 10 5 3 2 2 2" xfId="13525"/>
    <cellStyle name="集計 2 10 5 3 2 2 3" xfId="13526"/>
    <cellStyle name="集計 2 10 5 3 2 3" xfId="13527"/>
    <cellStyle name="集計 2 10 5 3 2 3 2" xfId="13528"/>
    <cellStyle name="集計 2 10 5 3 2 3 3" xfId="13529"/>
    <cellStyle name="集計 2 10 5 3 2 4" xfId="13530"/>
    <cellStyle name="集計 2 10 5 3 2 4 2" xfId="13531"/>
    <cellStyle name="集計 2 10 5 3 2 4 3" xfId="13532"/>
    <cellStyle name="集計 2 10 5 3 2 5" xfId="13533"/>
    <cellStyle name="集計 2 10 5 3 2 6" xfId="13534"/>
    <cellStyle name="集計 2 10 5 3 3" xfId="13535"/>
    <cellStyle name="集計 2 10 5 3 3 2" xfId="13536"/>
    <cellStyle name="集計 2 10 5 3 3 3" xfId="13537"/>
    <cellStyle name="集計 2 10 5 3 4" xfId="13538"/>
    <cellStyle name="集計 2 10 5 3 4 2" xfId="13539"/>
    <cellStyle name="集計 2 10 5 3 4 3" xfId="13540"/>
    <cellStyle name="集計 2 10 5 3 5" xfId="13541"/>
    <cellStyle name="集計 2 10 5 3 5 2" xfId="13542"/>
    <cellStyle name="集計 2 10 5 3 5 3" xfId="13543"/>
    <cellStyle name="集計 2 10 5 3 6" xfId="13544"/>
    <cellStyle name="集計 2 10 5 3 7" xfId="13545"/>
    <cellStyle name="集計 2 10 5 4" xfId="13546"/>
    <cellStyle name="集計 2 10 5 4 2" xfId="13547"/>
    <cellStyle name="集計 2 10 5 4 2 2" xfId="13548"/>
    <cellStyle name="集計 2 10 5 4 2 2 2" xfId="13549"/>
    <cellStyle name="集計 2 10 5 4 2 2 3" xfId="13550"/>
    <cellStyle name="集計 2 10 5 4 2 3" xfId="13551"/>
    <cellStyle name="集計 2 10 5 4 2 3 2" xfId="13552"/>
    <cellStyle name="集計 2 10 5 4 2 3 3" xfId="13553"/>
    <cellStyle name="集計 2 10 5 4 2 4" xfId="13554"/>
    <cellStyle name="集計 2 10 5 4 2 4 2" xfId="13555"/>
    <cellStyle name="集計 2 10 5 4 2 4 3" xfId="13556"/>
    <cellStyle name="集計 2 10 5 4 2 5" xfId="13557"/>
    <cellStyle name="集計 2 10 5 4 2 6" xfId="13558"/>
    <cellStyle name="集計 2 10 5 4 3" xfId="13559"/>
    <cellStyle name="集計 2 10 5 4 3 2" xfId="13560"/>
    <cellStyle name="集計 2 10 5 4 3 3" xfId="13561"/>
    <cellStyle name="集計 2 10 5 4 4" xfId="13562"/>
    <cellStyle name="集計 2 10 5 4 4 2" xfId="13563"/>
    <cellStyle name="集計 2 10 5 4 4 3" xfId="13564"/>
    <cellStyle name="集計 2 10 5 4 5" xfId="13565"/>
    <cellStyle name="集計 2 10 5 4 5 2" xfId="13566"/>
    <cellStyle name="集計 2 10 5 4 5 3" xfId="13567"/>
    <cellStyle name="集計 2 10 5 4 6" xfId="13568"/>
    <cellStyle name="集計 2 10 5 4 7" xfId="13569"/>
    <cellStyle name="集計 2 10 5 5" xfId="13570"/>
    <cellStyle name="集計 2 10 5 5 2" xfId="13571"/>
    <cellStyle name="集計 2 10 5 5 2 2" xfId="13572"/>
    <cellStyle name="集計 2 10 5 5 2 3" xfId="13573"/>
    <cellStyle name="集計 2 10 5 5 3" xfId="13574"/>
    <cellStyle name="集計 2 10 5 5 3 2" xfId="13575"/>
    <cellStyle name="集計 2 10 5 5 3 3" xfId="13576"/>
    <cellStyle name="集計 2 10 5 5 4" xfId="13577"/>
    <cellStyle name="集計 2 10 5 5 4 2" xfId="13578"/>
    <cellStyle name="集計 2 10 5 5 4 3" xfId="13579"/>
    <cellStyle name="集計 2 10 5 5 5" xfId="13580"/>
    <cellStyle name="集計 2 10 5 5 6" xfId="13581"/>
    <cellStyle name="集計 2 10 5 6" xfId="13582"/>
    <cellStyle name="集計 2 10 5 6 2" xfId="13583"/>
    <cellStyle name="集計 2 10 5 6 3" xfId="13584"/>
    <cellStyle name="集計 2 10 5 7" xfId="13585"/>
    <cellStyle name="集計 2 10 5 7 2" xfId="13586"/>
    <cellStyle name="集計 2 10 5 7 3" xfId="13587"/>
    <cellStyle name="集計 2 10 5 8" xfId="13588"/>
    <cellStyle name="集計 2 10 5 8 2" xfId="13589"/>
    <cellStyle name="集計 2 10 5 8 3" xfId="13590"/>
    <cellStyle name="集計 2 10 5 9" xfId="13591"/>
    <cellStyle name="集計 2 10 6" xfId="13592"/>
    <cellStyle name="集計 2 10 6 10" xfId="13593"/>
    <cellStyle name="集計 2 10 6 2" xfId="13594"/>
    <cellStyle name="集計 2 10 6 2 2" xfId="13595"/>
    <cellStyle name="集計 2 10 6 2 2 2" xfId="13596"/>
    <cellStyle name="集計 2 10 6 2 2 2 2" xfId="13597"/>
    <cellStyle name="集計 2 10 6 2 2 2 2 2" xfId="13598"/>
    <cellStyle name="集計 2 10 6 2 2 2 2 3" xfId="13599"/>
    <cellStyle name="集計 2 10 6 2 2 2 3" xfId="13600"/>
    <cellStyle name="集計 2 10 6 2 2 2 3 2" xfId="13601"/>
    <cellStyle name="集計 2 10 6 2 2 2 3 3" xfId="13602"/>
    <cellStyle name="集計 2 10 6 2 2 2 4" xfId="13603"/>
    <cellStyle name="集計 2 10 6 2 2 2 4 2" xfId="13604"/>
    <cellStyle name="集計 2 10 6 2 2 2 4 3" xfId="13605"/>
    <cellStyle name="集計 2 10 6 2 2 2 5" xfId="13606"/>
    <cellStyle name="集計 2 10 6 2 2 2 6" xfId="13607"/>
    <cellStyle name="集計 2 10 6 2 2 3" xfId="13608"/>
    <cellStyle name="集計 2 10 6 2 2 3 2" xfId="13609"/>
    <cellStyle name="集計 2 10 6 2 2 3 3" xfId="13610"/>
    <cellStyle name="集計 2 10 6 2 2 4" xfId="13611"/>
    <cellStyle name="集計 2 10 6 2 2 4 2" xfId="13612"/>
    <cellStyle name="集計 2 10 6 2 2 4 3" xfId="13613"/>
    <cellStyle name="集計 2 10 6 2 2 5" xfId="13614"/>
    <cellStyle name="集計 2 10 6 2 2 5 2" xfId="13615"/>
    <cellStyle name="集計 2 10 6 2 2 5 3" xfId="13616"/>
    <cellStyle name="集計 2 10 6 2 2 6" xfId="13617"/>
    <cellStyle name="集計 2 10 6 2 2 7" xfId="13618"/>
    <cellStyle name="集計 2 10 6 2 3" xfId="13619"/>
    <cellStyle name="集計 2 10 6 2 3 2" xfId="13620"/>
    <cellStyle name="集計 2 10 6 2 3 2 2" xfId="13621"/>
    <cellStyle name="集計 2 10 6 2 3 2 2 2" xfId="13622"/>
    <cellStyle name="集計 2 10 6 2 3 2 2 3" xfId="13623"/>
    <cellStyle name="集計 2 10 6 2 3 2 3" xfId="13624"/>
    <cellStyle name="集計 2 10 6 2 3 2 3 2" xfId="13625"/>
    <cellStyle name="集計 2 10 6 2 3 2 3 3" xfId="13626"/>
    <cellStyle name="集計 2 10 6 2 3 2 4" xfId="13627"/>
    <cellStyle name="集計 2 10 6 2 3 2 4 2" xfId="13628"/>
    <cellStyle name="集計 2 10 6 2 3 2 4 3" xfId="13629"/>
    <cellStyle name="集計 2 10 6 2 3 2 5" xfId="13630"/>
    <cellStyle name="集計 2 10 6 2 3 2 6" xfId="13631"/>
    <cellStyle name="集計 2 10 6 2 3 3" xfId="13632"/>
    <cellStyle name="集計 2 10 6 2 3 3 2" xfId="13633"/>
    <cellStyle name="集計 2 10 6 2 3 3 3" xfId="13634"/>
    <cellStyle name="集計 2 10 6 2 3 4" xfId="13635"/>
    <cellStyle name="集計 2 10 6 2 3 4 2" xfId="13636"/>
    <cellStyle name="集計 2 10 6 2 3 4 3" xfId="13637"/>
    <cellStyle name="集計 2 10 6 2 3 5" xfId="13638"/>
    <cellStyle name="集計 2 10 6 2 3 5 2" xfId="13639"/>
    <cellStyle name="集計 2 10 6 2 3 5 3" xfId="13640"/>
    <cellStyle name="集計 2 10 6 2 3 6" xfId="13641"/>
    <cellStyle name="集計 2 10 6 2 3 7" xfId="13642"/>
    <cellStyle name="集計 2 10 6 2 4" xfId="13643"/>
    <cellStyle name="集計 2 10 6 2 4 2" xfId="13644"/>
    <cellStyle name="集計 2 10 6 2 4 2 2" xfId="13645"/>
    <cellStyle name="集計 2 10 6 2 4 2 3" xfId="13646"/>
    <cellStyle name="集計 2 10 6 2 4 3" xfId="13647"/>
    <cellStyle name="集計 2 10 6 2 4 3 2" xfId="13648"/>
    <cellStyle name="集計 2 10 6 2 4 3 3" xfId="13649"/>
    <cellStyle name="集計 2 10 6 2 4 4" xfId="13650"/>
    <cellStyle name="集計 2 10 6 2 4 4 2" xfId="13651"/>
    <cellStyle name="集計 2 10 6 2 4 4 3" xfId="13652"/>
    <cellStyle name="集計 2 10 6 2 4 5" xfId="13653"/>
    <cellStyle name="集計 2 10 6 2 4 6" xfId="13654"/>
    <cellStyle name="集計 2 10 6 2 5" xfId="13655"/>
    <cellStyle name="集計 2 10 6 2 5 2" xfId="13656"/>
    <cellStyle name="集計 2 10 6 2 5 3" xfId="13657"/>
    <cellStyle name="集計 2 10 6 2 6" xfId="13658"/>
    <cellStyle name="集計 2 10 6 2 6 2" xfId="13659"/>
    <cellStyle name="集計 2 10 6 2 6 3" xfId="13660"/>
    <cellStyle name="集計 2 10 6 2 7" xfId="13661"/>
    <cellStyle name="集計 2 10 6 2 7 2" xfId="13662"/>
    <cellStyle name="集計 2 10 6 2 7 3" xfId="13663"/>
    <cellStyle name="集計 2 10 6 2 8" xfId="13664"/>
    <cellStyle name="集計 2 10 6 2 9" xfId="13665"/>
    <cellStyle name="集計 2 10 6 3" xfId="13666"/>
    <cellStyle name="集計 2 10 6 3 2" xfId="13667"/>
    <cellStyle name="集計 2 10 6 3 2 2" xfId="13668"/>
    <cellStyle name="集計 2 10 6 3 2 2 2" xfId="13669"/>
    <cellStyle name="集計 2 10 6 3 2 2 3" xfId="13670"/>
    <cellStyle name="集計 2 10 6 3 2 3" xfId="13671"/>
    <cellStyle name="集計 2 10 6 3 2 3 2" xfId="13672"/>
    <cellStyle name="集計 2 10 6 3 2 3 3" xfId="13673"/>
    <cellStyle name="集計 2 10 6 3 2 4" xfId="13674"/>
    <cellStyle name="集計 2 10 6 3 2 4 2" xfId="13675"/>
    <cellStyle name="集計 2 10 6 3 2 4 3" xfId="13676"/>
    <cellStyle name="集計 2 10 6 3 2 5" xfId="13677"/>
    <cellStyle name="集計 2 10 6 3 2 6" xfId="13678"/>
    <cellStyle name="集計 2 10 6 3 3" xfId="13679"/>
    <cellStyle name="集計 2 10 6 3 3 2" xfId="13680"/>
    <cellStyle name="集計 2 10 6 3 3 3" xfId="13681"/>
    <cellStyle name="集計 2 10 6 3 4" xfId="13682"/>
    <cellStyle name="集計 2 10 6 3 4 2" xfId="13683"/>
    <cellStyle name="集計 2 10 6 3 4 3" xfId="13684"/>
    <cellStyle name="集計 2 10 6 3 5" xfId="13685"/>
    <cellStyle name="集計 2 10 6 3 5 2" xfId="13686"/>
    <cellStyle name="集計 2 10 6 3 5 3" xfId="13687"/>
    <cellStyle name="集計 2 10 6 3 6" xfId="13688"/>
    <cellStyle name="集計 2 10 6 3 7" xfId="13689"/>
    <cellStyle name="集計 2 10 6 4" xfId="13690"/>
    <cellStyle name="集計 2 10 6 4 2" xfId="13691"/>
    <cellStyle name="集計 2 10 6 4 2 2" xfId="13692"/>
    <cellStyle name="集計 2 10 6 4 2 2 2" xfId="13693"/>
    <cellStyle name="集計 2 10 6 4 2 2 3" xfId="13694"/>
    <cellStyle name="集計 2 10 6 4 2 3" xfId="13695"/>
    <cellStyle name="集計 2 10 6 4 2 3 2" xfId="13696"/>
    <cellStyle name="集計 2 10 6 4 2 3 3" xfId="13697"/>
    <cellStyle name="集計 2 10 6 4 2 4" xfId="13698"/>
    <cellStyle name="集計 2 10 6 4 2 4 2" xfId="13699"/>
    <cellStyle name="集計 2 10 6 4 2 4 3" xfId="13700"/>
    <cellStyle name="集計 2 10 6 4 2 5" xfId="13701"/>
    <cellStyle name="集計 2 10 6 4 2 6" xfId="13702"/>
    <cellStyle name="集計 2 10 6 4 3" xfId="13703"/>
    <cellStyle name="集計 2 10 6 4 3 2" xfId="13704"/>
    <cellStyle name="集計 2 10 6 4 3 3" xfId="13705"/>
    <cellStyle name="集計 2 10 6 4 4" xfId="13706"/>
    <cellStyle name="集計 2 10 6 4 4 2" xfId="13707"/>
    <cellStyle name="集計 2 10 6 4 4 3" xfId="13708"/>
    <cellStyle name="集計 2 10 6 4 5" xfId="13709"/>
    <cellStyle name="集計 2 10 6 4 5 2" xfId="13710"/>
    <cellStyle name="集計 2 10 6 4 5 3" xfId="13711"/>
    <cellStyle name="集計 2 10 6 4 6" xfId="13712"/>
    <cellStyle name="集計 2 10 6 4 7" xfId="13713"/>
    <cellStyle name="集計 2 10 6 5" xfId="13714"/>
    <cellStyle name="集計 2 10 6 5 2" xfId="13715"/>
    <cellStyle name="集計 2 10 6 5 2 2" xfId="13716"/>
    <cellStyle name="集計 2 10 6 5 2 3" xfId="13717"/>
    <cellStyle name="集計 2 10 6 5 3" xfId="13718"/>
    <cellStyle name="集計 2 10 6 5 3 2" xfId="13719"/>
    <cellStyle name="集計 2 10 6 5 3 3" xfId="13720"/>
    <cellStyle name="集計 2 10 6 5 4" xfId="13721"/>
    <cellStyle name="集計 2 10 6 5 4 2" xfId="13722"/>
    <cellStyle name="集計 2 10 6 5 4 3" xfId="13723"/>
    <cellStyle name="集計 2 10 6 5 5" xfId="13724"/>
    <cellStyle name="集計 2 10 6 5 6" xfId="13725"/>
    <cellStyle name="集計 2 10 6 6" xfId="13726"/>
    <cellStyle name="集計 2 10 6 6 2" xfId="13727"/>
    <cellStyle name="集計 2 10 6 6 3" xfId="13728"/>
    <cellStyle name="集計 2 10 6 7" xfId="13729"/>
    <cellStyle name="集計 2 10 6 7 2" xfId="13730"/>
    <cellStyle name="集計 2 10 6 7 3" xfId="13731"/>
    <cellStyle name="集計 2 10 6 8" xfId="13732"/>
    <cellStyle name="集計 2 10 6 8 2" xfId="13733"/>
    <cellStyle name="集計 2 10 6 8 3" xfId="13734"/>
    <cellStyle name="集計 2 10 6 9" xfId="13735"/>
    <cellStyle name="集計 2 10 7" xfId="13736"/>
    <cellStyle name="集計 2 10 7 2" xfId="13737"/>
    <cellStyle name="集計 2 10 7 2 2" xfId="13738"/>
    <cellStyle name="集計 2 10 7 2 2 2" xfId="13739"/>
    <cellStyle name="集計 2 10 7 2 2 3" xfId="13740"/>
    <cellStyle name="集計 2 10 7 2 3" xfId="13741"/>
    <cellStyle name="集計 2 10 7 2 3 2" xfId="13742"/>
    <cellStyle name="集計 2 10 7 2 3 3" xfId="13743"/>
    <cellStyle name="集計 2 10 7 2 4" xfId="13744"/>
    <cellStyle name="集計 2 10 7 2 4 2" xfId="13745"/>
    <cellStyle name="集計 2 10 7 2 4 3" xfId="13746"/>
    <cellStyle name="集計 2 10 7 2 5" xfId="13747"/>
    <cellStyle name="集計 2 10 7 2 6" xfId="13748"/>
    <cellStyle name="集計 2 10 7 3" xfId="13749"/>
    <cellStyle name="集計 2 10 7 3 2" xfId="13750"/>
    <cellStyle name="集計 2 10 7 3 3" xfId="13751"/>
    <cellStyle name="集計 2 10 7 4" xfId="13752"/>
    <cellStyle name="集計 2 10 7 4 2" xfId="13753"/>
    <cellStyle name="集計 2 10 7 4 3" xfId="13754"/>
    <cellStyle name="集計 2 10 7 5" xfId="13755"/>
    <cellStyle name="集計 2 10 7 5 2" xfId="13756"/>
    <cellStyle name="集計 2 10 7 5 3" xfId="13757"/>
    <cellStyle name="集計 2 10 7 6" xfId="13758"/>
    <cellStyle name="集計 2 10 7 7" xfId="13759"/>
    <cellStyle name="集計 2 10 8" xfId="13760"/>
    <cellStyle name="集計 2 10 8 2" xfId="13761"/>
    <cellStyle name="集計 2 10 8 2 2" xfId="13762"/>
    <cellStyle name="集計 2 10 8 2 2 2" xfId="13763"/>
    <cellStyle name="集計 2 10 8 2 2 3" xfId="13764"/>
    <cellStyle name="集計 2 10 8 2 3" xfId="13765"/>
    <cellStyle name="集計 2 10 8 2 3 2" xfId="13766"/>
    <cellStyle name="集計 2 10 8 2 3 3" xfId="13767"/>
    <cellStyle name="集計 2 10 8 2 4" xfId="13768"/>
    <cellStyle name="集計 2 10 8 2 4 2" xfId="13769"/>
    <cellStyle name="集計 2 10 8 2 4 3" xfId="13770"/>
    <cellStyle name="集計 2 10 8 2 5" xfId="13771"/>
    <cellStyle name="集計 2 10 8 2 6" xfId="13772"/>
    <cellStyle name="集計 2 10 8 3" xfId="13773"/>
    <cellStyle name="集計 2 10 8 3 2" xfId="13774"/>
    <cellStyle name="集計 2 10 8 3 3" xfId="13775"/>
    <cellStyle name="集計 2 10 8 4" xfId="13776"/>
    <cellStyle name="集計 2 10 8 4 2" xfId="13777"/>
    <cellStyle name="集計 2 10 8 4 3" xfId="13778"/>
    <cellStyle name="集計 2 10 8 5" xfId="13779"/>
    <cellStyle name="集計 2 10 8 5 2" xfId="13780"/>
    <cellStyle name="集計 2 10 8 5 3" xfId="13781"/>
    <cellStyle name="集計 2 10 8 6" xfId="13782"/>
    <cellStyle name="集計 2 10 8 7" xfId="13783"/>
    <cellStyle name="集計 2 10 9" xfId="13784"/>
    <cellStyle name="集計 2 10 9 2" xfId="13785"/>
    <cellStyle name="集計 2 10 9 2 2" xfId="13786"/>
    <cellStyle name="集計 2 10 9 2 3" xfId="13787"/>
    <cellStyle name="集計 2 10 9 3" xfId="13788"/>
    <cellStyle name="集計 2 10 9 3 2" xfId="13789"/>
    <cellStyle name="集計 2 10 9 3 3" xfId="13790"/>
    <cellStyle name="集計 2 10 9 4" xfId="13791"/>
    <cellStyle name="集計 2 10 9 4 2" xfId="13792"/>
    <cellStyle name="集計 2 10 9 4 3" xfId="13793"/>
    <cellStyle name="集計 2 10 9 5" xfId="13794"/>
    <cellStyle name="集計 2 10 9 6" xfId="13795"/>
    <cellStyle name="集計 2 11" xfId="13796"/>
    <cellStyle name="集計 2 11 10" xfId="13797"/>
    <cellStyle name="集計 2 11 10 2" xfId="13798"/>
    <cellStyle name="集計 2 11 10 3" xfId="13799"/>
    <cellStyle name="集計 2 11 11" xfId="13800"/>
    <cellStyle name="集計 2 11 11 2" xfId="13801"/>
    <cellStyle name="集計 2 11 11 3" xfId="13802"/>
    <cellStyle name="集計 2 11 12" xfId="13803"/>
    <cellStyle name="集計 2 11 12 2" xfId="13804"/>
    <cellStyle name="集計 2 11 12 3" xfId="13805"/>
    <cellStyle name="集計 2 11 13" xfId="13806"/>
    <cellStyle name="集計 2 11 14" xfId="13807"/>
    <cellStyle name="集計 2 11 2" xfId="13808"/>
    <cellStyle name="集計 2 11 2 10" xfId="13809"/>
    <cellStyle name="集計 2 11 2 2" xfId="13810"/>
    <cellStyle name="集計 2 11 2 2 10" xfId="13811"/>
    <cellStyle name="集計 2 11 2 2 2" xfId="13812"/>
    <cellStyle name="集計 2 11 2 2 2 2" xfId="13813"/>
    <cellStyle name="集計 2 11 2 2 2 2 2" xfId="13814"/>
    <cellStyle name="集計 2 11 2 2 2 2 2 2" xfId="13815"/>
    <cellStyle name="集計 2 11 2 2 2 2 2 2 2" xfId="13816"/>
    <cellStyle name="集計 2 11 2 2 2 2 2 2 3" xfId="13817"/>
    <cellStyle name="集計 2 11 2 2 2 2 2 3" xfId="13818"/>
    <cellStyle name="集計 2 11 2 2 2 2 2 3 2" xfId="13819"/>
    <cellStyle name="集計 2 11 2 2 2 2 2 3 3" xfId="13820"/>
    <cellStyle name="集計 2 11 2 2 2 2 2 4" xfId="13821"/>
    <cellStyle name="集計 2 11 2 2 2 2 2 4 2" xfId="13822"/>
    <cellStyle name="集計 2 11 2 2 2 2 2 4 3" xfId="13823"/>
    <cellStyle name="集計 2 11 2 2 2 2 2 5" xfId="13824"/>
    <cellStyle name="集計 2 11 2 2 2 2 2 6" xfId="13825"/>
    <cellStyle name="集計 2 11 2 2 2 2 3" xfId="13826"/>
    <cellStyle name="集計 2 11 2 2 2 2 3 2" xfId="13827"/>
    <cellStyle name="集計 2 11 2 2 2 2 3 3" xfId="13828"/>
    <cellStyle name="集計 2 11 2 2 2 2 4" xfId="13829"/>
    <cellStyle name="集計 2 11 2 2 2 2 4 2" xfId="13830"/>
    <cellStyle name="集計 2 11 2 2 2 2 4 3" xfId="13831"/>
    <cellStyle name="集計 2 11 2 2 2 2 5" xfId="13832"/>
    <cellStyle name="集計 2 11 2 2 2 2 5 2" xfId="13833"/>
    <cellStyle name="集計 2 11 2 2 2 2 5 3" xfId="13834"/>
    <cellStyle name="集計 2 11 2 2 2 2 6" xfId="13835"/>
    <cellStyle name="集計 2 11 2 2 2 2 7" xfId="13836"/>
    <cellStyle name="集計 2 11 2 2 2 3" xfId="13837"/>
    <cellStyle name="集計 2 11 2 2 2 3 2" xfId="13838"/>
    <cellStyle name="集計 2 11 2 2 2 3 2 2" xfId="13839"/>
    <cellStyle name="集計 2 11 2 2 2 3 2 2 2" xfId="13840"/>
    <cellStyle name="集計 2 11 2 2 2 3 2 2 3" xfId="13841"/>
    <cellStyle name="集計 2 11 2 2 2 3 2 3" xfId="13842"/>
    <cellStyle name="集計 2 11 2 2 2 3 2 3 2" xfId="13843"/>
    <cellStyle name="集計 2 11 2 2 2 3 2 3 3" xfId="13844"/>
    <cellStyle name="集計 2 11 2 2 2 3 2 4" xfId="13845"/>
    <cellStyle name="集計 2 11 2 2 2 3 2 4 2" xfId="13846"/>
    <cellStyle name="集計 2 11 2 2 2 3 2 4 3" xfId="13847"/>
    <cellStyle name="集計 2 11 2 2 2 3 2 5" xfId="13848"/>
    <cellStyle name="集計 2 11 2 2 2 3 2 6" xfId="13849"/>
    <cellStyle name="集計 2 11 2 2 2 3 3" xfId="13850"/>
    <cellStyle name="集計 2 11 2 2 2 3 3 2" xfId="13851"/>
    <cellStyle name="集計 2 11 2 2 2 3 3 3" xfId="13852"/>
    <cellStyle name="集計 2 11 2 2 2 3 4" xfId="13853"/>
    <cellStyle name="集計 2 11 2 2 2 3 4 2" xfId="13854"/>
    <cellStyle name="集計 2 11 2 2 2 3 4 3" xfId="13855"/>
    <cellStyle name="集計 2 11 2 2 2 3 5" xfId="13856"/>
    <cellStyle name="集計 2 11 2 2 2 3 5 2" xfId="13857"/>
    <cellStyle name="集計 2 11 2 2 2 3 5 3" xfId="13858"/>
    <cellStyle name="集計 2 11 2 2 2 3 6" xfId="13859"/>
    <cellStyle name="集計 2 11 2 2 2 3 7" xfId="13860"/>
    <cellStyle name="集計 2 11 2 2 2 4" xfId="13861"/>
    <cellStyle name="集計 2 11 2 2 2 4 2" xfId="13862"/>
    <cellStyle name="集計 2 11 2 2 2 4 2 2" xfId="13863"/>
    <cellStyle name="集計 2 11 2 2 2 4 2 3" xfId="13864"/>
    <cellStyle name="集計 2 11 2 2 2 4 3" xfId="13865"/>
    <cellStyle name="集計 2 11 2 2 2 4 3 2" xfId="13866"/>
    <cellStyle name="集計 2 11 2 2 2 4 3 3" xfId="13867"/>
    <cellStyle name="集計 2 11 2 2 2 4 4" xfId="13868"/>
    <cellStyle name="集計 2 11 2 2 2 4 4 2" xfId="13869"/>
    <cellStyle name="集計 2 11 2 2 2 4 4 3" xfId="13870"/>
    <cellStyle name="集計 2 11 2 2 2 4 5" xfId="13871"/>
    <cellStyle name="集計 2 11 2 2 2 4 6" xfId="13872"/>
    <cellStyle name="集計 2 11 2 2 2 5" xfId="13873"/>
    <cellStyle name="集計 2 11 2 2 2 5 2" xfId="13874"/>
    <cellStyle name="集計 2 11 2 2 2 5 3" xfId="13875"/>
    <cellStyle name="集計 2 11 2 2 2 6" xfId="13876"/>
    <cellStyle name="集計 2 11 2 2 2 6 2" xfId="13877"/>
    <cellStyle name="集計 2 11 2 2 2 6 3" xfId="13878"/>
    <cellStyle name="集計 2 11 2 2 2 7" xfId="13879"/>
    <cellStyle name="集計 2 11 2 2 2 7 2" xfId="13880"/>
    <cellStyle name="集計 2 11 2 2 2 7 3" xfId="13881"/>
    <cellStyle name="集計 2 11 2 2 2 8" xfId="13882"/>
    <cellStyle name="集計 2 11 2 2 2 9" xfId="13883"/>
    <cellStyle name="集計 2 11 2 2 3" xfId="13884"/>
    <cellStyle name="集計 2 11 2 2 3 2" xfId="13885"/>
    <cellStyle name="集計 2 11 2 2 3 2 2" xfId="13886"/>
    <cellStyle name="集計 2 11 2 2 3 2 2 2" xfId="13887"/>
    <cellStyle name="集計 2 11 2 2 3 2 2 3" xfId="13888"/>
    <cellStyle name="集計 2 11 2 2 3 2 3" xfId="13889"/>
    <cellStyle name="集計 2 11 2 2 3 2 3 2" xfId="13890"/>
    <cellStyle name="集計 2 11 2 2 3 2 3 3" xfId="13891"/>
    <cellStyle name="集計 2 11 2 2 3 2 4" xfId="13892"/>
    <cellStyle name="集計 2 11 2 2 3 2 4 2" xfId="13893"/>
    <cellStyle name="集計 2 11 2 2 3 2 4 3" xfId="13894"/>
    <cellStyle name="集計 2 11 2 2 3 2 5" xfId="13895"/>
    <cellStyle name="集計 2 11 2 2 3 2 6" xfId="13896"/>
    <cellStyle name="集計 2 11 2 2 3 3" xfId="13897"/>
    <cellStyle name="集計 2 11 2 2 3 3 2" xfId="13898"/>
    <cellStyle name="集計 2 11 2 2 3 3 3" xfId="13899"/>
    <cellStyle name="集計 2 11 2 2 3 4" xfId="13900"/>
    <cellStyle name="集計 2 11 2 2 3 4 2" xfId="13901"/>
    <cellStyle name="集計 2 11 2 2 3 4 3" xfId="13902"/>
    <cellStyle name="集計 2 11 2 2 3 5" xfId="13903"/>
    <cellStyle name="集計 2 11 2 2 3 5 2" xfId="13904"/>
    <cellStyle name="集計 2 11 2 2 3 5 3" xfId="13905"/>
    <cellStyle name="集計 2 11 2 2 3 6" xfId="13906"/>
    <cellStyle name="集計 2 11 2 2 3 7" xfId="13907"/>
    <cellStyle name="集計 2 11 2 2 4" xfId="13908"/>
    <cellStyle name="集計 2 11 2 2 4 2" xfId="13909"/>
    <cellStyle name="集計 2 11 2 2 4 2 2" xfId="13910"/>
    <cellStyle name="集計 2 11 2 2 4 2 2 2" xfId="13911"/>
    <cellStyle name="集計 2 11 2 2 4 2 2 3" xfId="13912"/>
    <cellStyle name="集計 2 11 2 2 4 2 3" xfId="13913"/>
    <cellStyle name="集計 2 11 2 2 4 2 3 2" xfId="13914"/>
    <cellStyle name="集計 2 11 2 2 4 2 3 3" xfId="13915"/>
    <cellStyle name="集計 2 11 2 2 4 2 4" xfId="13916"/>
    <cellStyle name="集計 2 11 2 2 4 2 4 2" xfId="13917"/>
    <cellStyle name="集計 2 11 2 2 4 2 4 3" xfId="13918"/>
    <cellStyle name="集計 2 11 2 2 4 2 5" xfId="13919"/>
    <cellStyle name="集計 2 11 2 2 4 2 6" xfId="13920"/>
    <cellStyle name="集計 2 11 2 2 4 3" xfId="13921"/>
    <cellStyle name="集計 2 11 2 2 4 3 2" xfId="13922"/>
    <cellStyle name="集計 2 11 2 2 4 3 3" xfId="13923"/>
    <cellStyle name="集計 2 11 2 2 4 4" xfId="13924"/>
    <cellStyle name="集計 2 11 2 2 4 4 2" xfId="13925"/>
    <cellStyle name="集計 2 11 2 2 4 4 3" xfId="13926"/>
    <cellStyle name="集計 2 11 2 2 4 5" xfId="13927"/>
    <cellStyle name="集計 2 11 2 2 4 5 2" xfId="13928"/>
    <cellStyle name="集計 2 11 2 2 4 5 3" xfId="13929"/>
    <cellStyle name="集計 2 11 2 2 4 6" xfId="13930"/>
    <cellStyle name="集計 2 11 2 2 4 7" xfId="13931"/>
    <cellStyle name="集計 2 11 2 2 5" xfId="13932"/>
    <cellStyle name="集計 2 11 2 2 5 2" xfId="13933"/>
    <cellStyle name="集計 2 11 2 2 5 2 2" xfId="13934"/>
    <cellStyle name="集計 2 11 2 2 5 2 3" xfId="13935"/>
    <cellStyle name="集計 2 11 2 2 5 3" xfId="13936"/>
    <cellStyle name="集計 2 11 2 2 5 3 2" xfId="13937"/>
    <cellStyle name="集計 2 11 2 2 5 3 3" xfId="13938"/>
    <cellStyle name="集計 2 11 2 2 5 4" xfId="13939"/>
    <cellStyle name="集計 2 11 2 2 5 4 2" xfId="13940"/>
    <cellStyle name="集計 2 11 2 2 5 4 3" xfId="13941"/>
    <cellStyle name="集計 2 11 2 2 5 5" xfId="13942"/>
    <cellStyle name="集計 2 11 2 2 5 6" xfId="13943"/>
    <cellStyle name="集計 2 11 2 2 6" xfId="13944"/>
    <cellStyle name="集計 2 11 2 2 6 2" xfId="13945"/>
    <cellStyle name="集計 2 11 2 2 6 3" xfId="13946"/>
    <cellStyle name="集計 2 11 2 2 7" xfId="13947"/>
    <cellStyle name="集計 2 11 2 2 7 2" xfId="13948"/>
    <cellStyle name="集計 2 11 2 2 7 3" xfId="13949"/>
    <cellStyle name="集計 2 11 2 2 8" xfId="13950"/>
    <cellStyle name="集計 2 11 2 2 8 2" xfId="13951"/>
    <cellStyle name="集計 2 11 2 2 8 3" xfId="13952"/>
    <cellStyle name="集計 2 11 2 2 9" xfId="13953"/>
    <cellStyle name="集計 2 11 2 3" xfId="13954"/>
    <cellStyle name="集計 2 11 2 3 2" xfId="13955"/>
    <cellStyle name="集計 2 11 2 3 2 2" xfId="13956"/>
    <cellStyle name="集計 2 11 2 3 2 2 2" xfId="13957"/>
    <cellStyle name="集計 2 11 2 3 2 2 3" xfId="13958"/>
    <cellStyle name="集計 2 11 2 3 2 3" xfId="13959"/>
    <cellStyle name="集計 2 11 2 3 2 3 2" xfId="13960"/>
    <cellStyle name="集計 2 11 2 3 2 3 3" xfId="13961"/>
    <cellStyle name="集計 2 11 2 3 2 4" xfId="13962"/>
    <cellStyle name="集計 2 11 2 3 2 4 2" xfId="13963"/>
    <cellStyle name="集計 2 11 2 3 2 4 3" xfId="13964"/>
    <cellStyle name="集計 2 11 2 3 2 5" xfId="13965"/>
    <cellStyle name="集計 2 11 2 3 2 6" xfId="13966"/>
    <cellStyle name="集計 2 11 2 3 3" xfId="13967"/>
    <cellStyle name="集計 2 11 2 3 3 2" xfId="13968"/>
    <cellStyle name="集計 2 11 2 3 3 3" xfId="13969"/>
    <cellStyle name="集計 2 11 2 3 4" xfId="13970"/>
    <cellStyle name="集計 2 11 2 3 4 2" xfId="13971"/>
    <cellStyle name="集計 2 11 2 3 4 3" xfId="13972"/>
    <cellStyle name="集計 2 11 2 3 5" xfId="13973"/>
    <cellStyle name="集計 2 11 2 3 5 2" xfId="13974"/>
    <cellStyle name="集計 2 11 2 3 5 3" xfId="13975"/>
    <cellStyle name="集計 2 11 2 3 6" xfId="13976"/>
    <cellStyle name="集計 2 11 2 3 7" xfId="13977"/>
    <cellStyle name="集計 2 11 2 4" xfId="13978"/>
    <cellStyle name="集計 2 11 2 4 2" xfId="13979"/>
    <cellStyle name="集計 2 11 2 4 2 2" xfId="13980"/>
    <cellStyle name="集計 2 11 2 4 2 2 2" xfId="13981"/>
    <cellStyle name="集計 2 11 2 4 2 2 3" xfId="13982"/>
    <cellStyle name="集計 2 11 2 4 2 3" xfId="13983"/>
    <cellStyle name="集計 2 11 2 4 2 3 2" xfId="13984"/>
    <cellStyle name="集計 2 11 2 4 2 3 3" xfId="13985"/>
    <cellStyle name="集計 2 11 2 4 2 4" xfId="13986"/>
    <cellStyle name="集計 2 11 2 4 2 4 2" xfId="13987"/>
    <cellStyle name="集計 2 11 2 4 2 4 3" xfId="13988"/>
    <cellStyle name="集計 2 11 2 4 2 5" xfId="13989"/>
    <cellStyle name="集計 2 11 2 4 2 6" xfId="13990"/>
    <cellStyle name="集計 2 11 2 4 3" xfId="13991"/>
    <cellStyle name="集計 2 11 2 4 3 2" xfId="13992"/>
    <cellStyle name="集計 2 11 2 4 3 3" xfId="13993"/>
    <cellStyle name="集計 2 11 2 4 4" xfId="13994"/>
    <cellStyle name="集計 2 11 2 4 4 2" xfId="13995"/>
    <cellStyle name="集計 2 11 2 4 4 3" xfId="13996"/>
    <cellStyle name="集計 2 11 2 4 5" xfId="13997"/>
    <cellStyle name="集計 2 11 2 4 5 2" xfId="13998"/>
    <cellStyle name="集計 2 11 2 4 5 3" xfId="13999"/>
    <cellStyle name="集計 2 11 2 4 6" xfId="14000"/>
    <cellStyle name="集計 2 11 2 4 7" xfId="14001"/>
    <cellStyle name="集計 2 11 2 5" xfId="14002"/>
    <cellStyle name="集計 2 11 2 5 2" xfId="14003"/>
    <cellStyle name="集計 2 11 2 5 2 2" xfId="14004"/>
    <cellStyle name="集計 2 11 2 5 2 3" xfId="14005"/>
    <cellStyle name="集計 2 11 2 5 3" xfId="14006"/>
    <cellStyle name="集計 2 11 2 5 3 2" xfId="14007"/>
    <cellStyle name="集計 2 11 2 5 3 3" xfId="14008"/>
    <cellStyle name="集計 2 11 2 5 4" xfId="14009"/>
    <cellStyle name="集計 2 11 2 5 4 2" xfId="14010"/>
    <cellStyle name="集計 2 11 2 5 4 3" xfId="14011"/>
    <cellStyle name="集計 2 11 2 5 5" xfId="14012"/>
    <cellStyle name="集計 2 11 2 5 6" xfId="14013"/>
    <cellStyle name="集計 2 11 2 6" xfId="14014"/>
    <cellStyle name="集計 2 11 2 6 2" xfId="14015"/>
    <cellStyle name="集計 2 11 2 6 3" xfId="14016"/>
    <cellStyle name="集計 2 11 2 7" xfId="14017"/>
    <cellStyle name="集計 2 11 2 7 2" xfId="14018"/>
    <cellStyle name="集計 2 11 2 7 3" xfId="14019"/>
    <cellStyle name="集計 2 11 2 8" xfId="14020"/>
    <cellStyle name="集計 2 11 2 8 2" xfId="14021"/>
    <cellStyle name="集計 2 11 2 8 3" xfId="14022"/>
    <cellStyle name="集計 2 11 2 9" xfId="14023"/>
    <cellStyle name="集計 2 11 3" xfId="14024"/>
    <cellStyle name="集計 2 11 3 10" xfId="14025"/>
    <cellStyle name="集計 2 11 3 2" xfId="14026"/>
    <cellStyle name="集計 2 11 3 2 10" xfId="14027"/>
    <cellStyle name="集計 2 11 3 2 2" xfId="14028"/>
    <cellStyle name="集計 2 11 3 2 2 2" xfId="14029"/>
    <cellStyle name="集計 2 11 3 2 2 2 2" xfId="14030"/>
    <cellStyle name="集計 2 11 3 2 2 2 2 2" xfId="14031"/>
    <cellStyle name="集計 2 11 3 2 2 2 2 2 2" xfId="14032"/>
    <cellStyle name="集計 2 11 3 2 2 2 2 2 3" xfId="14033"/>
    <cellStyle name="集計 2 11 3 2 2 2 2 3" xfId="14034"/>
    <cellStyle name="集計 2 11 3 2 2 2 2 3 2" xfId="14035"/>
    <cellStyle name="集計 2 11 3 2 2 2 2 3 3" xfId="14036"/>
    <cellStyle name="集計 2 11 3 2 2 2 2 4" xfId="14037"/>
    <cellStyle name="集計 2 11 3 2 2 2 2 4 2" xfId="14038"/>
    <cellStyle name="集計 2 11 3 2 2 2 2 4 3" xfId="14039"/>
    <cellStyle name="集計 2 11 3 2 2 2 2 5" xfId="14040"/>
    <cellStyle name="集計 2 11 3 2 2 2 2 6" xfId="14041"/>
    <cellStyle name="集計 2 11 3 2 2 2 3" xfId="14042"/>
    <cellStyle name="集計 2 11 3 2 2 2 3 2" xfId="14043"/>
    <cellStyle name="集計 2 11 3 2 2 2 3 3" xfId="14044"/>
    <cellStyle name="集計 2 11 3 2 2 2 4" xfId="14045"/>
    <cellStyle name="集計 2 11 3 2 2 2 4 2" xfId="14046"/>
    <cellStyle name="集計 2 11 3 2 2 2 4 3" xfId="14047"/>
    <cellStyle name="集計 2 11 3 2 2 2 5" xfId="14048"/>
    <cellStyle name="集計 2 11 3 2 2 2 5 2" xfId="14049"/>
    <cellStyle name="集計 2 11 3 2 2 2 5 3" xfId="14050"/>
    <cellStyle name="集計 2 11 3 2 2 2 6" xfId="14051"/>
    <cellStyle name="集計 2 11 3 2 2 2 7" xfId="14052"/>
    <cellStyle name="集計 2 11 3 2 2 3" xfId="14053"/>
    <cellStyle name="集計 2 11 3 2 2 3 2" xfId="14054"/>
    <cellStyle name="集計 2 11 3 2 2 3 2 2" xfId="14055"/>
    <cellStyle name="集計 2 11 3 2 2 3 2 2 2" xfId="14056"/>
    <cellStyle name="集計 2 11 3 2 2 3 2 2 3" xfId="14057"/>
    <cellStyle name="集計 2 11 3 2 2 3 2 3" xfId="14058"/>
    <cellStyle name="集計 2 11 3 2 2 3 2 3 2" xfId="14059"/>
    <cellStyle name="集計 2 11 3 2 2 3 2 3 3" xfId="14060"/>
    <cellStyle name="集計 2 11 3 2 2 3 2 4" xfId="14061"/>
    <cellStyle name="集計 2 11 3 2 2 3 2 4 2" xfId="14062"/>
    <cellStyle name="集計 2 11 3 2 2 3 2 4 3" xfId="14063"/>
    <cellStyle name="集計 2 11 3 2 2 3 2 5" xfId="14064"/>
    <cellStyle name="集計 2 11 3 2 2 3 2 6" xfId="14065"/>
    <cellStyle name="集計 2 11 3 2 2 3 3" xfId="14066"/>
    <cellStyle name="集計 2 11 3 2 2 3 3 2" xfId="14067"/>
    <cellStyle name="集計 2 11 3 2 2 3 3 3" xfId="14068"/>
    <cellStyle name="集計 2 11 3 2 2 3 4" xfId="14069"/>
    <cellStyle name="集計 2 11 3 2 2 3 4 2" xfId="14070"/>
    <cellStyle name="集計 2 11 3 2 2 3 4 3" xfId="14071"/>
    <cellStyle name="集計 2 11 3 2 2 3 5" xfId="14072"/>
    <cellStyle name="集計 2 11 3 2 2 3 5 2" xfId="14073"/>
    <cellStyle name="集計 2 11 3 2 2 3 5 3" xfId="14074"/>
    <cellStyle name="集計 2 11 3 2 2 3 6" xfId="14075"/>
    <cellStyle name="集計 2 11 3 2 2 3 7" xfId="14076"/>
    <cellStyle name="集計 2 11 3 2 2 4" xfId="14077"/>
    <cellStyle name="集計 2 11 3 2 2 4 2" xfId="14078"/>
    <cellStyle name="集計 2 11 3 2 2 4 2 2" xfId="14079"/>
    <cellStyle name="集計 2 11 3 2 2 4 2 3" xfId="14080"/>
    <cellStyle name="集計 2 11 3 2 2 4 3" xfId="14081"/>
    <cellStyle name="集計 2 11 3 2 2 4 3 2" xfId="14082"/>
    <cellStyle name="集計 2 11 3 2 2 4 3 3" xfId="14083"/>
    <cellStyle name="集計 2 11 3 2 2 4 4" xfId="14084"/>
    <cellStyle name="集計 2 11 3 2 2 4 4 2" xfId="14085"/>
    <cellStyle name="集計 2 11 3 2 2 4 4 3" xfId="14086"/>
    <cellStyle name="集計 2 11 3 2 2 4 5" xfId="14087"/>
    <cellStyle name="集計 2 11 3 2 2 4 6" xfId="14088"/>
    <cellStyle name="集計 2 11 3 2 2 5" xfId="14089"/>
    <cellStyle name="集計 2 11 3 2 2 5 2" xfId="14090"/>
    <cellStyle name="集計 2 11 3 2 2 5 3" xfId="14091"/>
    <cellStyle name="集計 2 11 3 2 2 6" xfId="14092"/>
    <cellStyle name="集計 2 11 3 2 2 6 2" xfId="14093"/>
    <cellStyle name="集計 2 11 3 2 2 6 3" xfId="14094"/>
    <cellStyle name="集計 2 11 3 2 2 7" xfId="14095"/>
    <cellStyle name="集計 2 11 3 2 2 7 2" xfId="14096"/>
    <cellStyle name="集計 2 11 3 2 2 7 3" xfId="14097"/>
    <cellStyle name="集計 2 11 3 2 2 8" xfId="14098"/>
    <cellStyle name="集計 2 11 3 2 2 9" xfId="14099"/>
    <cellStyle name="集計 2 11 3 2 3" xfId="14100"/>
    <cellStyle name="集計 2 11 3 2 3 2" xfId="14101"/>
    <cellStyle name="集計 2 11 3 2 3 2 2" xfId="14102"/>
    <cellStyle name="集計 2 11 3 2 3 2 2 2" xfId="14103"/>
    <cellStyle name="集計 2 11 3 2 3 2 2 3" xfId="14104"/>
    <cellStyle name="集計 2 11 3 2 3 2 3" xfId="14105"/>
    <cellStyle name="集計 2 11 3 2 3 2 3 2" xfId="14106"/>
    <cellStyle name="集計 2 11 3 2 3 2 3 3" xfId="14107"/>
    <cellStyle name="集計 2 11 3 2 3 2 4" xfId="14108"/>
    <cellStyle name="集計 2 11 3 2 3 2 4 2" xfId="14109"/>
    <cellStyle name="集計 2 11 3 2 3 2 4 3" xfId="14110"/>
    <cellStyle name="集計 2 11 3 2 3 2 5" xfId="14111"/>
    <cellStyle name="集計 2 11 3 2 3 2 6" xfId="14112"/>
    <cellStyle name="集計 2 11 3 2 3 3" xfId="14113"/>
    <cellStyle name="集計 2 11 3 2 3 3 2" xfId="14114"/>
    <cellStyle name="集計 2 11 3 2 3 3 3" xfId="14115"/>
    <cellStyle name="集計 2 11 3 2 3 4" xfId="14116"/>
    <cellStyle name="集計 2 11 3 2 3 4 2" xfId="14117"/>
    <cellStyle name="集計 2 11 3 2 3 4 3" xfId="14118"/>
    <cellStyle name="集計 2 11 3 2 3 5" xfId="14119"/>
    <cellStyle name="集計 2 11 3 2 3 5 2" xfId="14120"/>
    <cellStyle name="集計 2 11 3 2 3 5 3" xfId="14121"/>
    <cellStyle name="集計 2 11 3 2 3 6" xfId="14122"/>
    <cellStyle name="集計 2 11 3 2 3 7" xfId="14123"/>
    <cellStyle name="集計 2 11 3 2 4" xfId="14124"/>
    <cellStyle name="集計 2 11 3 2 4 2" xfId="14125"/>
    <cellStyle name="集計 2 11 3 2 4 2 2" xfId="14126"/>
    <cellStyle name="集計 2 11 3 2 4 2 2 2" xfId="14127"/>
    <cellStyle name="集計 2 11 3 2 4 2 2 3" xfId="14128"/>
    <cellStyle name="集計 2 11 3 2 4 2 3" xfId="14129"/>
    <cellStyle name="集計 2 11 3 2 4 2 3 2" xfId="14130"/>
    <cellStyle name="集計 2 11 3 2 4 2 3 3" xfId="14131"/>
    <cellStyle name="集計 2 11 3 2 4 2 4" xfId="14132"/>
    <cellStyle name="集計 2 11 3 2 4 2 4 2" xfId="14133"/>
    <cellStyle name="集計 2 11 3 2 4 2 4 3" xfId="14134"/>
    <cellStyle name="集計 2 11 3 2 4 2 5" xfId="14135"/>
    <cellStyle name="集計 2 11 3 2 4 2 6" xfId="14136"/>
    <cellStyle name="集計 2 11 3 2 4 3" xfId="14137"/>
    <cellStyle name="集計 2 11 3 2 4 3 2" xfId="14138"/>
    <cellStyle name="集計 2 11 3 2 4 3 3" xfId="14139"/>
    <cellStyle name="集計 2 11 3 2 4 4" xfId="14140"/>
    <cellStyle name="集計 2 11 3 2 4 4 2" xfId="14141"/>
    <cellStyle name="集計 2 11 3 2 4 4 3" xfId="14142"/>
    <cellStyle name="集計 2 11 3 2 4 5" xfId="14143"/>
    <cellStyle name="集計 2 11 3 2 4 5 2" xfId="14144"/>
    <cellStyle name="集計 2 11 3 2 4 5 3" xfId="14145"/>
    <cellStyle name="集計 2 11 3 2 4 6" xfId="14146"/>
    <cellStyle name="集計 2 11 3 2 4 7" xfId="14147"/>
    <cellStyle name="集計 2 11 3 2 5" xfId="14148"/>
    <cellStyle name="集計 2 11 3 2 5 2" xfId="14149"/>
    <cellStyle name="集計 2 11 3 2 5 2 2" xfId="14150"/>
    <cellStyle name="集計 2 11 3 2 5 2 3" xfId="14151"/>
    <cellStyle name="集計 2 11 3 2 5 3" xfId="14152"/>
    <cellStyle name="集計 2 11 3 2 5 3 2" xfId="14153"/>
    <cellStyle name="集計 2 11 3 2 5 3 3" xfId="14154"/>
    <cellStyle name="集計 2 11 3 2 5 4" xfId="14155"/>
    <cellStyle name="集計 2 11 3 2 5 4 2" xfId="14156"/>
    <cellStyle name="集計 2 11 3 2 5 4 3" xfId="14157"/>
    <cellStyle name="集計 2 11 3 2 5 5" xfId="14158"/>
    <cellStyle name="集計 2 11 3 2 5 6" xfId="14159"/>
    <cellStyle name="集計 2 11 3 2 6" xfId="14160"/>
    <cellStyle name="集計 2 11 3 2 6 2" xfId="14161"/>
    <cellStyle name="集計 2 11 3 2 6 3" xfId="14162"/>
    <cellStyle name="集計 2 11 3 2 7" xfId="14163"/>
    <cellStyle name="集計 2 11 3 2 7 2" xfId="14164"/>
    <cellStyle name="集計 2 11 3 2 7 3" xfId="14165"/>
    <cellStyle name="集計 2 11 3 2 8" xfId="14166"/>
    <cellStyle name="集計 2 11 3 2 8 2" xfId="14167"/>
    <cellStyle name="集計 2 11 3 2 8 3" xfId="14168"/>
    <cellStyle name="集計 2 11 3 2 9" xfId="14169"/>
    <cellStyle name="集計 2 11 3 3" xfId="14170"/>
    <cellStyle name="集計 2 11 3 3 2" xfId="14171"/>
    <cellStyle name="集計 2 11 3 3 2 2" xfId="14172"/>
    <cellStyle name="集計 2 11 3 3 2 2 2" xfId="14173"/>
    <cellStyle name="集計 2 11 3 3 2 2 3" xfId="14174"/>
    <cellStyle name="集計 2 11 3 3 2 3" xfId="14175"/>
    <cellStyle name="集計 2 11 3 3 2 3 2" xfId="14176"/>
    <cellStyle name="集計 2 11 3 3 2 3 3" xfId="14177"/>
    <cellStyle name="集計 2 11 3 3 2 4" xfId="14178"/>
    <cellStyle name="集計 2 11 3 3 2 4 2" xfId="14179"/>
    <cellStyle name="集計 2 11 3 3 2 4 3" xfId="14180"/>
    <cellStyle name="集計 2 11 3 3 2 5" xfId="14181"/>
    <cellStyle name="集計 2 11 3 3 2 6" xfId="14182"/>
    <cellStyle name="集計 2 11 3 3 3" xfId="14183"/>
    <cellStyle name="集計 2 11 3 3 3 2" xfId="14184"/>
    <cellStyle name="集計 2 11 3 3 3 3" xfId="14185"/>
    <cellStyle name="集計 2 11 3 3 4" xfId="14186"/>
    <cellStyle name="集計 2 11 3 3 4 2" xfId="14187"/>
    <cellStyle name="集計 2 11 3 3 4 3" xfId="14188"/>
    <cellStyle name="集計 2 11 3 3 5" xfId="14189"/>
    <cellStyle name="集計 2 11 3 3 5 2" xfId="14190"/>
    <cellStyle name="集計 2 11 3 3 5 3" xfId="14191"/>
    <cellStyle name="集計 2 11 3 3 6" xfId="14192"/>
    <cellStyle name="集計 2 11 3 3 7" xfId="14193"/>
    <cellStyle name="集計 2 11 3 4" xfId="14194"/>
    <cellStyle name="集計 2 11 3 4 2" xfId="14195"/>
    <cellStyle name="集計 2 11 3 4 2 2" xfId="14196"/>
    <cellStyle name="集計 2 11 3 4 2 2 2" xfId="14197"/>
    <cellStyle name="集計 2 11 3 4 2 2 3" xfId="14198"/>
    <cellStyle name="集計 2 11 3 4 2 3" xfId="14199"/>
    <cellStyle name="集計 2 11 3 4 2 3 2" xfId="14200"/>
    <cellStyle name="集計 2 11 3 4 2 3 3" xfId="14201"/>
    <cellStyle name="集計 2 11 3 4 2 4" xfId="14202"/>
    <cellStyle name="集計 2 11 3 4 2 4 2" xfId="14203"/>
    <cellStyle name="集計 2 11 3 4 2 4 3" xfId="14204"/>
    <cellStyle name="集計 2 11 3 4 2 5" xfId="14205"/>
    <cellStyle name="集計 2 11 3 4 2 6" xfId="14206"/>
    <cellStyle name="集計 2 11 3 4 3" xfId="14207"/>
    <cellStyle name="集計 2 11 3 4 3 2" xfId="14208"/>
    <cellStyle name="集計 2 11 3 4 3 3" xfId="14209"/>
    <cellStyle name="集計 2 11 3 4 4" xfId="14210"/>
    <cellStyle name="集計 2 11 3 4 4 2" xfId="14211"/>
    <cellStyle name="集計 2 11 3 4 4 3" xfId="14212"/>
    <cellStyle name="集計 2 11 3 4 5" xfId="14213"/>
    <cellStyle name="集計 2 11 3 4 5 2" xfId="14214"/>
    <cellStyle name="集計 2 11 3 4 5 3" xfId="14215"/>
    <cellStyle name="集計 2 11 3 4 6" xfId="14216"/>
    <cellStyle name="集計 2 11 3 4 7" xfId="14217"/>
    <cellStyle name="集計 2 11 3 5" xfId="14218"/>
    <cellStyle name="集計 2 11 3 5 2" xfId="14219"/>
    <cellStyle name="集計 2 11 3 5 2 2" xfId="14220"/>
    <cellStyle name="集計 2 11 3 5 2 3" xfId="14221"/>
    <cellStyle name="集計 2 11 3 5 3" xfId="14222"/>
    <cellStyle name="集計 2 11 3 5 3 2" xfId="14223"/>
    <cellStyle name="集計 2 11 3 5 3 3" xfId="14224"/>
    <cellStyle name="集計 2 11 3 5 4" xfId="14225"/>
    <cellStyle name="集計 2 11 3 5 4 2" xfId="14226"/>
    <cellStyle name="集計 2 11 3 5 4 3" xfId="14227"/>
    <cellStyle name="集計 2 11 3 5 5" xfId="14228"/>
    <cellStyle name="集計 2 11 3 5 6" xfId="14229"/>
    <cellStyle name="集計 2 11 3 6" xfId="14230"/>
    <cellStyle name="集計 2 11 3 6 2" xfId="14231"/>
    <cellStyle name="集計 2 11 3 6 3" xfId="14232"/>
    <cellStyle name="集計 2 11 3 7" xfId="14233"/>
    <cellStyle name="集計 2 11 3 7 2" xfId="14234"/>
    <cellStyle name="集計 2 11 3 7 3" xfId="14235"/>
    <cellStyle name="集計 2 11 3 8" xfId="14236"/>
    <cellStyle name="集計 2 11 3 8 2" xfId="14237"/>
    <cellStyle name="集計 2 11 3 8 3" xfId="14238"/>
    <cellStyle name="集計 2 11 3 9" xfId="14239"/>
    <cellStyle name="集計 2 11 4" xfId="14240"/>
    <cellStyle name="集計 2 11 4 10" xfId="14241"/>
    <cellStyle name="集計 2 11 4 2" xfId="14242"/>
    <cellStyle name="集計 2 11 4 2 10" xfId="14243"/>
    <cellStyle name="集計 2 11 4 2 2" xfId="14244"/>
    <cellStyle name="集計 2 11 4 2 2 2" xfId="14245"/>
    <cellStyle name="集計 2 11 4 2 2 2 2" xfId="14246"/>
    <cellStyle name="集計 2 11 4 2 2 2 2 2" xfId="14247"/>
    <cellStyle name="集計 2 11 4 2 2 2 2 2 2" xfId="14248"/>
    <cellStyle name="集計 2 11 4 2 2 2 2 2 3" xfId="14249"/>
    <cellStyle name="集計 2 11 4 2 2 2 2 3" xfId="14250"/>
    <cellStyle name="集計 2 11 4 2 2 2 2 3 2" xfId="14251"/>
    <cellStyle name="集計 2 11 4 2 2 2 2 3 3" xfId="14252"/>
    <cellStyle name="集計 2 11 4 2 2 2 2 4" xfId="14253"/>
    <cellStyle name="集計 2 11 4 2 2 2 2 4 2" xfId="14254"/>
    <cellStyle name="集計 2 11 4 2 2 2 2 4 3" xfId="14255"/>
    <cellStyle name="集計 2 11 4 2 2 2 2 5" xfId="14256"/>
    <cellStyle name="集計 2 11 4 2 2 2 2 6" xfId="14257"/>
    <cellStyle name="集計 2 11 4 2 2 2 3" xfId="14258"/>
    <cellStyle name="集計 2 11 4 2 2 2 3 2" xfId="14259"/>
    <cellStyle name="集計 2 11 4 2 2 2 3 3" xfId="14260"/>
    <cellStyle name="集計 2 11 4 2 2 2 4" xfId="14261"/>
    <cellStyle name="集計 2 11 4 2 2 2 4 2" xfId="14262"/>
    <cellStyle name="集計 2 11 4 2 2 2 4 3" xfId="14263"/>
    <cellStyle name="集計 2 11 4 2 2 2 5" xfId="14264"/>
    <cellStyle name="集計 2 11 4 2 2 2 5 2" xfId="14265"/>
    <cellStyle name="集計 2 11 4 2 2 2 5 3" xfId="14266"/>
    <cellStyle name="集計 2 11 4 2 2 2 6" xfId="14267"/>
    <cellStyle name="集計 2 11 4 2 2 2 7" xfId="14268"/>
    <cellStyle name="集計 2 11 4 2 2 3" xfId="14269"/>
    <cellStyle name="集計 2 11 4 2 2 3 2" xfId="14270"/>
    <cellStyle name="集計 2 11 4 2 2 3 2 2" xfId="14271"/>
    <cellStyle name="集計 2 11 4 2 2 3 2 2 2" xfId="14272"/>
    <cellStyle name="集計 2 11 4 2 2 3 2 2 3" xfId="14273"/>
    <cellStyle name="集計 2 11 4 2 2 3 2 3" xfId="14274"/>
    <cellStyle name="集計 2 11 4 2 2 3 2 3 2" xfId="14275"/>
    <cellStyle name="集計 2 11 4 2 2 3 2 3 3" xfId="14276"/>
    <cellStyle name="集計 2 11 4 2 2 3 2 4" xfId="14277"/>
    <cellStyle name="集計 2 11 4 2 2 3 2 4 2" xfId="14278"/>
    <cellStyle name="集計 2 11 4 2 2 3 2 4 3" xfId="14279"/>
    <cellStyle name="集計 2 11 4 2 2 3 2 5" xfId="14280"/>
    <cellStyle name="集計 2 11 4 2 2 3 2 6" xfId="14281"/>
    <cellStyle name="集計 2 11 4 2 2 3 3" xfId="14282"/>
    <cellStyle name="集計 2 11 4 2 2 3 3 2" xfId="14283"/>
    <cellStyle name="集計 2 11 4 2 2 3 3 3" xfId="14284"/>
    <cellStyle name="集計 2 11 4 2 2 3 4" xfId="14285"/>
    <cellStyle name="集計 2 11 4 2 2 3 4 2" xfId="14286"/>
    <cellStyle name="集計 2 11 4 2 2 3 4 3" xfId="14287"/>
    <cellStyle name="集計 2 11 4 2 2 3 5" xfId="14288"/>
    <cellStyle name="集計 2 11 4 2 2 3 5 2" xfId="14289"/>
    <cellStyle name="集計 2 11 4 2 2 3 5 3" xfId="14290"/>
    <cellStyle name="集計 2 11 4 2 2 3 6" xfId="14291"/>
    <cellStyle name="集計 2 11 4 2 2 3 7" xfId="14292"/>
    <cellStyle name="集計 2 11 4 2 2 4" xfId="14293"/>
    <cellStyle name="集計 2 11 4 2 2 4 2" xfId="14294"/>
    <cellStyle name="集計 2 11 4 2 2 4 2 2" xfId="14295"/>
    <cellStyle name="集計 2 11 4 2 2 4 2 3" xfId="14296"/>
    <cellStyle name="集計 2 11 4 2 2 4 3" xfId="14297"/>
    <cellStyle name="集計 2 11 4 2 2 4 3 2" xfId="14298"/>
    <cellStyle name="集計 2 11 4 2 2 4 3 3" xfId="14299"/>
    <cellStyle name="集計 2 11 4 2 2 4 4" xfId="14300"/>
    <cellStyle name="集計 2 11 4 2 2 4 4 2" xfId="14301"/>
    <cellStyle name="集計 2 11 4 2 2 4 4 3" xfId="14302"/>
    <cellStyle name="集計 2 11 4 2 2 4 5" xfId="14303"/>
    <cellStyle name="集計 2 11 4 2 2 4 6" xfId="14304"/>
    <cellStyle name="集計 2 11 4 2 2 5" xfId="14305"/>
    <cellStyle name="集計 2 11 4 2 2 5 2" xfId="14306"/>
    <cellStyle name="集計 2 11 4 2 2 5 3" xfId="14307"/>
    <cellStyle name="集計 2 11 4 2 2 6" xfId="14308"/>
    <cellStyle name="集計 2 11 4 2 2 6 2" xfId="14309"/>
    <cellStyle name="集計 2 11 4 2 2 6 3" xfId="14310"/>
    <cellStyle name="集計 2 11 4 2 2 7" xfId="14311"/>
    <cellStyle name="集計 2 11 4 2 2 7 2" xfId="14312"/>
    <cellStyle name="集計 2 11 4 2 2 7 3" xfId="14313"/>
    <cellStyle name="集計 2 11 4 2 2 8" xfId="14314"/>
    <cellStyle name="集計 2 11 4 2 2 9" xfId="14315"/>
    <cellStyle name="集計 2 11 4 2 3" xfId="14316"/>
    <cellStyle name="集計 2 11 4 2 3 2" xfId="14317"/>
    <cellStyle name="集計 2 11 4 2 3 2 2" xfId="14318"/>
    <cellStyle name="集計 2 11 4 2 3 2 2 2" xfId="14319"/>
    <cellStyle name="集計 2 11 4 2 3 2 2 3" xfId="14320"/>
    <cellStyle name="集計 2 11 4 2 3 2 3" xfId="14321"/>
    <cellStyle name="集計 2 11 4 2 3 2 3 2" xfId="14322"/>
    <cellStyle name="集計 2 11 4 2 3 2 3 3" xfId="14323"/>
    <cellStyle name="集計 2 11 4 2 3 2 4" xfId="14324"/>
    <cellStyle name="集計 2 11 4 2 3 2 4 2" xfId="14325"/>
    <cellStyle name="集計 2 11 4 2 3 2 4 3" xfId="14326"/>
    <cellStyle name="集計 2 11 4 2 3 2 5" xfId="14327"/>
    <cellStyle name="集計 2 11 4 2 3 2 6" xfId="14328"/>
    <cellStyle name="集計 2 11 4 2 3 3" xfId="14329"/>
    <cellStyle name="集計 2 11 4 2 3 3 2" xfId="14330"/>
    <cellStyle name="集計 2 11 4 2 3 3 3" xfId="14331"/>
    <cellStyle name="集計 2 11 4 2 3 4" xfId="14332"/>
    <cellStyle name="集計 2 11 4 2 3 4 2" xfId="14333"/>
    <cellStyle name="集計 2 11 4 2 3 4 3" xfId="14334"/>
    <cellStyle name="集計 2 11 4 2 3 5" xfId="14335"/>
    <cellStyle name="集計 2 11 4 2 3 5 2" xfId="14336"/>
    <cellStyle name="集計 2 11 4 2 3 5 3" xfId="14337"/>
    <cellStyle name="集計 2 11 4 2 3 6" xfId="14338"/>
    <cellStyle name="集計 2 11 4 2 3 7" xfId="14339"/>
    <cellStyle name="集計 2 11 4 2 4" xfId="14340"/>
    <cellStyle name="集計 2 11 4 2 4 2" xfId="14341"/>
    <cellStyle name="集計 2 11 4 2 4 2 2" xfId="14342"/>
    <cellStyle name="集計 2 11 4 2 4 2 2 2" xfId="14343"/>
    <cellStyle name="集計 2 11 4 2 4 2 2 3" xfId="14344"/>
    <cellStyle name="集計 2 11 4 2 4 2 3" xfId="14345"/>
    <cellStyle name="集計 2 11 4 2 4 2 3 2" xfId="14346"/>
    <cellStyle name="集計 2 11 4 2 4 2 3 3" xfId="14347"/>
    <cellStyle name="集計 2 11 4 2 4 2 4" xfId="14348"/>
    <cellStyle name="集計 2 11 4 2 4 2 4 2" xfId="14349"/>
    <cellStyle name="集計 2 11 4 2 4 2 4 3" xfId="14350"/>
    <cellStyle name="集計 2 11 4 2 4 2 5" xfId="14351"/>
    <cellStyle name="集計 2 11 4 2 4 2 6" xfId="14352"/>
    <cellStyle name="集計 2 11 4 2 4 3" xfId="14353"/>
    <cellStyle name="集計 2 11 4 2 4 3 2" xfId="14354"/>
    <cellStyle name="集計 2 11 4 2 4 3 3" xfId="14355"/>
    <cellStyle name="集計 2 11 4 2 4 4" xfId="14356"/>
    <cellStyle name="集計 2 11 4 2 4 4 2" xfId="14357"/>
    <cellStyle name="集計 2 11 4 2 4 4 3" xfId="14358"/>
    <cellStyle name="集計 2 11 4 2 4 5" xfId="14359"/>
    <cellStyle name="集計 2 11 4 2 4 5 2" xfId="14360"/>
    <cellStyle name="集計 2 11 4 2 4 5 3" xfId="14361"/>
    <cellStyle name="集計 2 11 4 2 4 6" xfId="14362"/>
    <cellStyle name="集計 2 11 4 2 4 7" xfId="14363"/>
    <cellStyle name="集計 2 11 4 2 5" xfId="14364"/>
    <cellStyle name="集計 2 11 4 2 5 2" xfId="14365"/>
    <cellStyle name="集計 2 11 4 2 5 2 2" xfId="14366"/>
    <cellStyle name="集計 2 11 4 2 5 2 3" xfId="14367"/>
    <cellStyle name="集計 2 11 4 2 5 3" xfId="14368"/>
    <cellStyle name="集計 2 11 4 2 5 3 2" xfId="14369"/>
    <cellStyle name="集計 2 11 4 2 5 3 3" xfId="14370"/>
    <cellStyle name="集計 2 11 4 2 5 4" xfId="14371"/>
    <cellStyle name="集計 2 11 4 2 5 4 2" xfId="14372"/>
    <cellStyle name="集計 2 11 4 2 5 4 3" xfId="14373"/>
    <cellStyle name="集計 2 11 4 2 5 5" xfId="14374"/>
    <cellStyle name="集計 2 11 4 2 5 6" xfId="14375"/>
    <cellStyle name="集計 2 11 4 2 6" xfId="14376"/>
    <cellStyle name="集計 2 11 4 2 6 2" xfId="14377"/>
    <cellStyle name="集計 2 11 4 2 6 3" xfId="14378"/>
    <cellStyle name="集計 2 11 4 2 7" xfId="14379"/>
    <cellStyle name="集計 2 11 4 2 7 2" xfId="14380"/>
    <cellStyle name="集計 2 11 4 2 7 3" xfId="14381"/>
    <cellStyle name="集計 2 11 4 2 8" xfId="14382"/>
    <cellStyle name="集計 2 11 4 2 8 2" xfId="14383"/>
    <cellStyle name="集計 2 11 4 2 8 3" xfId="14384"/>
    <cellStyle name="集計 2 11 4 2 9" xfId="14385"/>
    <cellStyle name="集計 2 11 4 3" xfId="14386"/>
    <cellStyle name="集計 2 11 4 3 2" xfId="14387"/>
    <cellStyle name="集計 2 11 4 3 2 2" xfId="14388"/>
    <cellStyle name="集計 2 11 4 3 2 2 2" xfId="14389"/>
    <cellStyle name="集計 2 11 4 3 2 2 3" xfId="14390"/>
    <cellStyle name="集計 2 11 4 3 2 3" xfId="14391"/>
    <cellStyle name="集計 2 11 4 3 2 3 2" xfId="14392"/>
    <cellStyle name="集計 2 11 4 3 2 3 3" xfId="14393"/>
    <cellStyle name="集計 2 11 4 3 2 4" xfId="14394"/>
    <cellStyle name="集計 2 11 4 3 2 4 2" xfId="14395"/>
    <cellStyle name="集計 2 11 4 3 2 4 3" xfId="14396"/>
    <cellStyle name="集計 2 11 4 3 2 5" xfId="14397"/>
    <cellStyle name="集計 2 11 4 3 2 6" xfId="14398"/>
    <cellStyle name="集計 2 11 4 3 3" xfId="14399"/>
    <cellStyle name="集計 2 11 4 3 3 2" xfId="14400"/>
    <cellStyle name="集計 2 11 4 3 3 3" xfId="14401"/>
    <cellStyle name="集計 2 11 4 3 4" xfId="14402"/>
    <cellStyle name="集計 2 11 4 3 4 2" xfId="14403"/>
    <cellStyle name="集計 2 11 4 3 4 3" xfId="14404"/>
    <cellStyle name="集計 2 11 4 3 5" xfId="14405"/>
    <cellStyle name="集計 2 11 4 3 5 2" xfId="14406"/>
    <cellStyle name="集計 2 11 4 3 5 3" xfId="14407"/>
    <cellStyle name="集計 2 11 4 3 6" xfId="14408"/>
    <cellStyle name="集計 2 11 4 3 7" xfId="14409"/>
    <cellStyle name="集計 2 11 4 4" xfId="14410"/>
    <cellStyle name="集計 2 11 4 4 2" xfId="14411"/>
    <cellStyle name="集計 2 11 4 4 2 2" xfId="14412"/>
    <cellStyle name="集計 2 11 4 4 2 2 2" xfId="14413"/>
    <cellStyle name="集計 2 11 4 4 2 2 3" xfId="14414"/>
    <cellStyle name="集計 2 11 4 4 2 3" xfId="14415"/>
    <cellStyle name="集計 2 11 4 4 2 3 2" xfId="14416"/>
    <cellStyle name="集計 2 11 4 4 2 3 3" xfId="14417"/>
    <cellStyle name="集計 2 11 4 4 2 4" xfId="14418"/>
    <cellStyle name="集計 2 11 4 4 2 4 2" xfId="14419"/>
    <cellStyle name="集計 2 11 4 4 2 4 3" xfId="14420"/>
    <cellStyle name="集計 2 11 4 4 2 5" xfId="14421"/>
    <cellStyle name="集計 2 11 4 4 2 6" xfId="14422"/>
    <cellStyle name="集計 2 11 4 4 3" xfId="14423"/>
    <cellStyle name="集計 2 11 4 4 3 2" xfId="14424"/>
    <cellStyle name="集計 2 11 4 4 3 3" xfId="14425"/>
    <cellStyle name="集計 2 11 4 4 4" xfId="14426"/>
    <cellStyle name="集計 2 11 4 4 4 2" xfId="14427"/>
    <cellStyle name="集計 2 11 4 4 4 3" xfId="14428"/>
    <cellStyle name="集計 2 11 4 4 5" xfId="14429"/>
    <cellStyle name="集計 2 11 4 4 5 2" xfId="14430"/>
    <cellStyle name="集計 2 11 4 4 5 3" xfId="14431"/>
    <cellStyle name="集計 2 11 4 4 6" xfId="14432"/>
    <cellStyle name="集計 2 11 4 4 7" xfId="14433"/>
    <cellStyle name="集計 2 11 4 5" xfId="14434"/>
    <cellStyle name="集計 2 11 4 5 2" xfId="14435"/>
    <cellStyle name="集計 2 11 4 5 2 2" xfId="14436"/>
    <cellStyle name="集計 2 11 4 5 2 3" xfId="14437"/>
    <cellStyle name="集計 2 11 4 5 3" xfId="14438"/>
    <cellStyle name="集計 2 11 4 5 3 2" xfId="14439"/>
    <cellStyle name="集計 2 11 4 5 3 3" xfId="14440"/>
    <cellStyle name="集計 2 11 4 5 4" xfId="14441"/>
    <cellStyle name="集計 2 11 4 5 4 2" xfId="14442"/>
    <cellStyle name="集計 2 11 4 5 4 3" xfId="14443"/>
    <cellStyle name="集計 2 11 4 5 5" xfId="14444"/>
    <cellStyle name="集計 2 11 4 5 6" xfId="14445"/>
    <cellStyle name="集計 2 11 4 6" xfId="14446"/>
    <cellStyle name="集計 2 11 4 6 2" xfId="14447"/>
    <cellStyle name="集計 2 11 4 6 3" xfId="14448"/>
    <cellStyle name="集計 2 11 4 7" xfId="14449"/>
    <cellStyle name="集計 2 11 4 7 2" xfId="14450"/>
    <cellStyle name="集計 2 11 4 7 3" xfId="14451"/>
    <cellStyle name="集計 2 11 4 8" xfId="14452"/>
    <cellStyle name="集計 2 11 4 8 2" xfId="14453"/>
    <cellStyle name="集計 2 11 4 8 3" xfId="14454"/>
    <cellStyle name="集計 2 11 4 9" xfId="14455"/>
    <cellStyle name="集計 2 11 5" xfId="14456"/>
    <cellStyle name="集計 2 11 5 10" xfId="14457"/>
    <cellStyle name="集計 2 11 5 2" xfId="14458"/>
    <cellStyle name="集計 2 11 5 2 2" xfId="14459"/>
    <cellStyle name="集計 2 11 5 2 2 2" xfId="14460"/>
    <cellStyle name="集計 2 11 5 2 2 2 2" xfId="14461"/>
    <cellStyle name="集計 2 11 5 2 2 2 2 2" xfId="14462"/>
    <cellStyle name="集計 2 11 5 2 2 2 2 3" xfId="14463"/>
    <cellStyle name="集計 2 11 5 2 2 2 3" xfId="14464"/>
    <cellStyle name="集計 2 11 5 2 2 2 3 2" xfId="14465"/>
    <cellStyle name="集計 2 11 5 2 2 2 3 3" xfId="14466"/>
    <cellStyle name="集計 2 11 5 2 2 2 4" xfId="14467"/>
    <cellStyle name="集計 2 11 5 2 2 2 4 2" xfId="14468"/>
    <cellStyle name="集計 2 11 5 2 2 2 4 3" xfId="14469"/>
    <cellStyle name="集計 2 11 5 2 2 2 5" xfId="14470"/>
    <cellStyle name="集計 2 11 5 2 2 2 6" xfId="14471"/>
    <cellStyle name="集計 2 11 5 2 2 3" xfId="14472"/>
    <cellStyle name="集計 2 11 5 2 2 3 2" xfId="14473"/>
    <cellStyle name="集計 2 11 5 2 2 3 3" xfId="14474"/>
    <cellStyle name="集計 2 11 5 2 2 4" xfId="14475"/>
    <cellStyle name="集計 2 11 5 2 2 4 2" xfId="14476"/>
    <cellStyle name="集計 2 11 5 2 2 4 3" xfId="14477"/>
    <cellStyle name="集計 2 11 5 2 2 5" xfId="14478"/>
    <cellStyle name="集計 2 11 5 2 2 5 2" xfId="14479"/>
    <cellStyle name="集計 2 11 5 2 2 5 3" xfId="14480"/>
    <cellStyle name="集計 2 11 5 2 2 6" xfId="14481"/>
    <cellStyle name="集計 2 11 5 2 2 7" xfId="14482"/>
    <cellStyle name="集計 2 11 5 2 3" xfId="14483"/>
    <cellStyle name="集計 2 11 5 2 3 2" xfId="14484"/>
    <cellStyle name="集計 2 11 5 2 3 2 2" xfId="14485"/>
    <cellStyle name="集計 2 11 5 2 3 2 2 2" xfId="14486"/>
    <cellStyle name="集計 2 11 5 2 3 2 2 3" xfId="14487"/>
    <cellStyle name="集計 2 11 5 2 3 2 3" xfId="14488"/>
    <cellStyle name="集計 2 11 5 2 3 2 3 2" xfId="14489"/>
    <cellStyle name="集計 2 11 5 2 3 2 3 3" xfId="14490"/>
    <cellStyle name="集計 2 11 5 2 3 2 4" xfId="14491"/>
    <cellStyle name="集計 2 11 5 2 3 2 4 2" xfId="14492"/>
    <cellStyle name="集計 2 11 5 2 3 2 4 3" xfId="14493"/>
    <cellStyle name="集計 2 11 5 2 3 2 5" xfId="14494"/>
    <cellStyle name="集計 2 11 5 2 3 2 6" xfId="14495"/>
    <cellStyle name="集計 2 11 5 2 3 3" xfId="14496"/>
    <cellStyle name="集計 2 11 5 2 3 3 2" xfId="14497"/>
    <cellStyle name="集計 2 11 5 2 3 3 3" xfId="14498"/>
    <cellStyle name="集計 2 11 5 2 3 4" xfId="14499"/>
    <cellStyle name="集計 2 11 5 2 3 4 2" xfId="14500"/>
    <cellStyle name="集計 2 11 5 2 3 4 3" xfId="14501"/>
    <cellStyle name="集計 2 11 5 2 3 5" xfId="14502"/>
    <cellStyle name="集計 2 11 5 2 3 5 2" xfId="14503"/>
    <cellStyle name="集計 2 11 5 2 3 5 3" xfId="14504"/>
    <cellStyle name="集計 2 11 5 2 3 6" xfId="14505"/>
    <cellStyle name="集計 2 11 5 2 3 7" xfId="14506"/>
    <cellStyle name="集計 2 11 5 2 4" xfId="14507"/>
    <cellStyle name="集計 2 11 5 2 4 2" xfId="14508"/>
    <cellStyle name="集計 2 11 5 2 4 2 2" xfId="14509"/>
    <cellStyle name="集計 2 11 5 2 4 2 3" xfId="14510"/>
    <cellStyle name="集計 2 11 5 2 4 3" xfId="14511"/>
    <cellStyle name="集計 2 11 5 2 4 3 2" xfId="14512"/>
    <cellStyle name="集計 2 11 5 2 4 3 3" xfId="14513"/>
    <cellStyle name="集計 2 11 5 2 4 4" xfId="14514"/>
    <cellStyle name="集計 2 11 5 2 4 4 2" xfId="14515"/>
    <cellStyle name="集計 2 11 5 2 4 4 3" xfId="14516"/>
    <cellStyle name="集計 2 11 5 2 4 5" xfId="14517"/>
    <cellStyle name="集計 2 11 5 2 4 6" xfId="14518"/>
    <cellStyle name="集計 2 11 5 2 5" xfId="14519"/>
    <cellStyle name="集計 2 11 5 2 5 2" xfId="14520"/>
    <cellStyle name="集計 2 11 5 2 5 3" xfId="14521"/>
    <cellStyle name="集計 2 11 5 2 6" xfId="14522"/>
    <cellStyle name="集計 2 11 5 2 6 2" xfId="14523"/>
    <cellStyle name="集計 2 11 5 2 6 3" xfId="14524"/>
    <cellStyle name="集計 2 11 5 2 7" xfId="14525"/>
    <cellStyle name="集計 2 11 5 2 7 2" xfId="14526"/>
    <cellStyle name="集計 2 11 5 2 7 3" xfId="14527"/>
    <cellStyle name="集計 2 11 5 2 8" xfId="14528"/>
    <cellStyle name="集計 2 11 5 2 9" xfId="14529"/>
    <cellStyle name="集計 2 11 5 3" xfId="14530"/>
    <cellStyle name="集計 2 11 5 3 2" xfId="14531"/>
    <cellStyle name="集計 2 11 5 3 2 2" xfId="14532"/>
    <cellStyle name="集計 2 11 5 3 2 2 2" xfId="14533"/>
    <cellStyle name="集計 2 11 5 3 2 2 3" xfId="14534"/>
    <cellStyle name="集計 2 11 5 3 2 3" xfId="14535"/>
    <cellStyle name="集計 2 11 5 3 2 3 2" xfId="14536"/>
    <cellStyle name="集計 2 11 5 3 2 3 3" xfId="14537"/>
    <cellStyle name="集計 2 11 5 3 2 4" xfId="14538"/>
    <cellStyle name="集計 2 11 5 3 2 4 2" xfId="14539"/>
    <cellStyle name="集計 2 11 5 3 2 4 3" xfId="14540"/>
    <cellStyle name="集計 2 11 5 3 2 5" xfId="14541"/>
    <cellStyle name="集計 2 11 5 3 2 6" xfId="14542"/>
    <cellStyle name="集計 2 11 5 3 3" xfId="14543"/>
    <cellStyle name="集計 2 11 5 3 3 2" xfId="14544"/>
    <cellStyle name="集計 2 11 5 3 3 3" xfId="14545"/>
    <cellStyle name="集計 2 11 5 3 4" xfId="14546"/>
    <cellStyle name="集計 2 11 5 3 4 2" xfId="14547"/>
    <cellStyle name="集計 2 11 5 3 4 3" xfId="14548"/>
    <cellStyle name="集計 2 11 5 3 5" xfId="14549"/>
    <cellStyle name="集計 2 11 5 3 5 2" xfId="14550"/>
    <cellStyle name="集計 2 11 5 3 5 3" xfId="14551"/>
    <cellStyle name="集計 2 11 5 3 6" xfId="14552"/>
    <cellStyle name="集計 2 11 5 3 7" xfId="14553"/>
    <cellStyle name="集計 2 11 5 4" xfId="14554"/>
    <cellStyle name="集計 2 11 5 4 2" xfId="14555"/>
    <cellStyle name="集計 2 11 5 4 2 2" xfId="14556"/>
    <cellStyle name="集計 2 11 5 4 2 2 2" xfId="14557"/>
    <cellStyle name="集計 2 11 5 4 2 2 3" xfId="14558"/>
    <cellStyle name="集計 2 11 5 4 2 3" xfId="14559"/>
    <cellStyle name="集計 2 11 5 4 2 3 2" xfId="14560"/>
    <cellStyle name="集計 2 11 5 4 2 3 3" xfId="14561"/>
    <cellStyle name="集計 2 11 5 4 2 4" xfId="14562"/>
    <cellStyle name="集計 2 11 5 4 2 4 2" xfId="14563"/>
    <cellStyle name="集計 2 11 5 4 2 4 3" xfId="14564"/>
    <cellStyle name="集計 2 11 5 4 2 5" xfId="14565"/>
    <cellStyle name="集計 2 11 5 4 2 6" xfId="14566"/>
    <cellStyle name="集計 2 11 5 4 3" xfId="14567"/>
    <cellStyle name="集計 2 11 5 4 3 2" xfId="14568"/>
    <cellStyle name="集計 2 11 5 4 3 3" xfId="14569"/>
    <cellStyle name="集計 2 11 5 4 4" xfId="14570"/>
    <cellStyle name="集計 2 11 5 4 4 2" xfId="14571"/>
    <cellStyle name="集計 2 11 5 4 4 3" xfId="14572"/>
    <cellStyle name="集計 2 11 5 4 5" xfId="14573"/>
    <cellStyle name="集計 2 11 5 4 5 2" xfId="14574"/>
    <cellStyle name="集計 2 11 5 4 5 3" xfId="14575"/>
    <cellStyle name="集計 2 11 5 4 6" xfId="14576"/>
    <cellStyle name="集計 2 11 5 4 7" xfId="14577"/>
    <cellStyle name="集計 2 11 5 5" xfId="14578"/>
    <cellStyle name="集計 2 11 5 5 2" xfId="14579"/>
    <cellStyle name="集計 2 11 5 5 2 2" xfId="14580"/>
    <cellStyle name="集計 2 11 5 5 2 3" xfId="14581"/>
    <cellStyle name="集計 2 11 5 5 3" xfId="14582"/>
    <cellStyle name="集計 2 11 5 5 3 2" xfId="14583"/>
    <cellStyle name="集計 2 11 5 5 3 3" xfId="14584"/>
    <cellStyle name="集計 2 11 5 5 4" xfId="14585"/>
    <cellStyle name="集計 2 11 5 5 4 2" xfId="14586"/>
    <cellStyle name="集計 2 11 5 5 4 3" xfId="14587"/>
    <cellStyle name="集計 2 11 5 5 5" xfId="14588"/>
    <cellStyle name="集計 2 11 5 5 6" xfId="14589"/>
    <cellStyle name="集計 2 11 5 6" xfId="14590"/>
    <cellStyle name="集計 2 11 5 6 2" xfId="14591"/>
    <cellStyle name="集計 2 11 5 6 3" xfId="14592"/>
    <cellStyle name="集計 2 11 5 7" xfId="14593"/>
    <cellStyle name="集計 2 11 5 7 2" xfId="14594"/>
    <cellStyle name="集計 2 11 5 7 3" xfId="14595"/>
    <cellStyle name="集計 2 11 5 8" xfId="14596"/>
    <cellStyle name="集計 2 11 5 8 2" xfId="14597"/>
    <cellStyle name="集計 2 11 5 8 3" xfId="14598"/>
    <cellStyle name="集計 2 11 5 9" xfId="14599"/>
    <cellStyle name="集計 2 11 6" xfId="14600"/>
    <cellStyle name="集計 2 11 6 10" xfId="14601"/>
    <cellStyle name="集計 2 11 6 2" xfId="14602"/>
    <cellStyle name="集計 2 11 6 2 2" xfId="14603"/>
    <cellStyle name="集計 2 11 6 2 2 2" xfId="14604"/>
    <cellStyle name="集計 2 11 6 2 2 2 2" xfId="14605"/>
    <cellStyle name="集計 2 11 6 2 2 2 2 2" xfId="14606"/>
    <cellStyle name="集計 2 11 6 2 2 2 2 3" xfId="14607"/>
    <cellStyle name="集計 2 11 6 2 2 2 3" xfId="14608"/>
    <cellStyle name="集計 2 11 6 2 2 2 3 2" xfId="14609"/>
    <cellStyle name="集計 2 11 6 2 2 2 3 3" xfId="14610"/>
    <cellStyle name="集計 2 11 6 2 2 2 4" xfId="14611"/>
    <cellStyle name="集計 2 11 6 2 2 2 4 2" xfId="14612"/>
    <cellStyle name="集計 2 11 6 2 2 2 4 3" xfId="14613"/>
    <cellStyle name="集計 2 11 6 2 2 2 5" xfId="14614"/>
    <cellStyle name="集計 2 11 6 2 2 2 6" xfId="14615"/>
    <cellStyle name="集計 2 11 6 2 2 3" xfId="14616"/>
    <cellStyle name="集計 2 11 6 2 2 3 2" xfId="14617"/>
    <cellStyle name="集計 2 11 6 2 2 3 3" xfId="14618"/>
    <cellStyle name="集計 2 11 6 2 2 4" xfId="14619"/>
    <cellStyle name="集計 2 11 6 2 2 4 2" xfId="14620"/>
    <cellStyle name="集計 2 11 6 2 2 4 3" xfId="14621"/>
    <cellStyle name="集計 2 11 6 2 2 5" xfId="14622"/>
    <cellStyle name="集計 2 11 6 2 2 5 2" xfId="14623"/>
    <cellStyle name="集計 2 11 6 2 2 5 3" xfId="14624"/>
    <cellStyle name="集計 2 11 6 2 2 6" xfId="14625"/>
    <cellStyle name="集計 2 11 6 2 2 7" xfId="14626"/>
    <cellStyle name="集計 2 11 6 2 3" xfId="14627"/>
    <cellStyle name="集計 2 11 6 2 3 2" xfId="14628"/>
    <cellStyle name="集計 2 11 6 2 3 2 2" xfId="14629"/>
    <cellStyle name="集計 2 11 6 2 3 2 2 2" xfId="14630"/>
    <cellStyle name="集計 2 11 6 2 3 2 2 3" xfId="14631"/>
    <cellStyle name="集計 2 11 6 2 3 2 3" xfId="14632"/>
    <cellStyle name="集計 2 11 6 2 3 2 3 2" xfId="14633"/>
    <cellStyle name="集計 2 11 6 2 3 2 3 3" xfId="14634"/>
    <cellStyle name="集計 2 11 6 2 3 2 4" xfId="14635"/>
    <cellStyle name="集計 2 11 6 2 3 2 4 2" xfId="14636"/>
    <cellStyle name="集計 2 11 6 2 3 2 4 3" xfId="14637"/>
    <cellStyle name="集計 2 11 6 2 3 2 5" xfId="14638"/>
    <cellStyle name="集計 2 11 6 2 3 2 6" xfId="14639"/>
    <cellStyle name="集計 2 11 6 2 3 3" xfId="14640"/>
    <cellStyle name="集計 2 11 6 2 3 3 2" xfId="14641"/>
    <cellStyle name="集計 2 11 6 2 3 3 3" xfId="14642"/>
    <cellStyle name="集計 2 11 6 2 3 4" xfId="14643"/>
    <cellStyle name="集計 2 11 6 2 3 4 2" xfId="14644"/>
    <cellStyle name="集計 2 11 6 2 3 4 3" xfId="14645"/>
    <cellStyle name="集計 2 11 6 2 3 5" xfId="14646"/>
    <cellStyle name="集計 2 11 6 2 3 5 2" xfId="14647"/>
    <cellStyle name="集計 2 11 6 2 3 5 3" xfId="14648"/>
    <cellStyle name="集計 2 11 6 2 3 6" xfId="14649"/>
    <cellStyle name="集計 2 11 6 2 3 7" xfId="14650"/>
    <cellStyle name="集計 2 11 6 2 4" xfId="14651"/>
    <cellStyle name="集計 2 11 6 2 4 2" xfId="14652"/>
    <cellStyle name="集計 2 11 6 2 4 2 2" xfId="14653"/>
    <cellStyle name="集計 2 11 6 2 4 2 3" xfId="14654"/>
    <cellStyle name="集計 2 11 6 2 4 3" xfId="14655"/>
    <cellStyle name="集計 2 11 6 2 4 3 2" xfId="14656"/>
    <cellStyle name="集計 2 11 6 2 4 3 3" xfId="14657"/>
    <cellStyle name="集計 2 11 6 2 4 4" xfId="14658"/>
    <cellStyle name="集計 2 11 6 2 4 4 2" xfId="14659"/>
    <cellStyle name="集計 2 11 6 2 4 4 3" xfId="14660"/>
    <cellStyle name="集計 2 11 6 2 4 5" xfId="14661"/>
    <cellStyle name="集計 2 11 6 2 4 6" xfId="14662"/>
    <cellStyle name="集計 2 11 6 2 5" xfId="14663"/>
    <cellStyle name="集計 2 11 6 2 5 2" xfId="14664"/>
    <cellStyle name="集計 2 11 6 2 5 3" xfId="14665"/>
    <cellStyle name="集計 2 11 6 2 6" xfId="14666"/>
    <cellStyle name="集計 2 11 6 2 6 2" xfId="14667"/>
    <cellStyle name="集計 2 11 6 2 6 3" xfId="14668"/>
    <cellStyle name="集計 2 11 6 2 7" xfId="14669"/>
    <cellStyle name="集計 2 11 6 2 7 2" xfId="14670"/>
    <cellStyle name="集計 2 11 6 2 7 3" xfId="14671"/>
    <cellStyle name="集計 2 11 6 2 8" xfId="14672"/>
    <cellStyle name="集計 2 11 6 2 9" xfId="14673"/>
    <cellStyle name="集計 2 11 6 3" xfId="14674"/>
    <cellStyle name="集計 2 11 6 3 2" xfId="14675"/>
    <cellStyle name="集計 2 11 6 3 2 2" xfId="14676"/>
    <cellStyle name="集計 2 11 6 3 2 2 2" xfId="14677"/>
    <cellStyle name="集計 2 11 6 3 2 2 3" xfId="14678"/>
    <cellStyle name="集計 2 11 6 3 2 3" xfId="14679"/>
    <cellStyle name="集計 2 11 6 3 2 3 2" xfId="14680"/>
    <cellStyle name="集計 2 11 6 3 2 3 3" xfId="14681"/>
    <cellStyle name="集計 2 11 6 3 2 4" xfId="14682"/>
    <cellStyle name="集計 2 11 6 3 2 4 2" xfId="14683"/>
    <cellStyle name="集計 2 11 6 3 2 4 3" xfId="14684"/>
    <cellStyle name="集計 2 11 6 3 2 5" xfId="14685"/>
    <cellStyle name="集計 2 11 6 3 2 6" xfId="14686"/>
    <cellStyle name="集計 2 11 6 3 3" xfId="14687"/>
    <cellStyle name="集計 2 11 6 3 3 2" xfId="14688"/>
    <cellStyle name="集計 2 11 6 3 3 3" xfId="14689"/>
    <cellStyle name="集計 2 11 6 3 4" xfId="14690"/>
    <cellStyle name="集計 2 11 6 3 4 2" xfId="14691"/>
    <cellStyle name="集計 2 11 6 3 4 3" xfId="14692"/>
    <cellStyle name="集計 2 11 6 3 5" xfId="14693"/>
    <cellStyle name="集計 2 11 6 3 5 2" xfId="14694"/>
    <cellStyle name="集計 2 11 6 3 5 3" xfId="14695"/>
    <cellStyle name="集計 2 11 6 3 6" xfId="14696"/>
    <cellStyle name="集計 2 11 6 3 7" xfId="14697"/>
    <cellStyle name="集計 2 11 6 4" xfId="14698"/>
    <cellStyle name="集計 2 11 6 4 2" xfId="14699"/>
    <cellStyle name="集計 2 11 6 4 2 2" xfId="14700"/>
    <cellStyle name="集計 2 11 6 4 2 2 2" xfId="14701"/>
    <cellStyle name="集計 2 11 6 4 2 2 3" xfId="14702"/>
    <cellStyle name="集計 2 11 6 4 2 3" xfId="14703"/>
    <cellStyle name="集計 2 11 6 4 2 3 2" xfId="14704"/>
    <cellStyle name="集計 2 11 6 4 2 3 3" xfId="14705"/>
    <cellStyle name="集計 2 11 6 4 2 4" xfId="14706"/>
    <cellStyle name="集計 2 11 6 4 2 4 2" xfId="14707"/>
    <cellStyle name="集計 2 11 6 4 2 4 3" xfId="14708"/>
    <cellStyle name="集計 2 11 6 4 2 5" xfId="14709"/>
    <cellStyle name="集計 2 11 6 4 2 6" xfId="14710"/>
    <cellStyle name="集計 2 11 6 4 3" xfId="14711"/>
    <cellStyle name="集計 2 11 6 4 3 2" xfId="14712"/>
    <cellStyle name="集計 2 11 6 4 3 3" xfId="14713"/>
    <cellStyle name="集計 2 11 6 4 4" xfId="14714"/>
    <cellStyle name="集計 2 11 6 4 4 2" xfId="14715"/>
    <cellStyle name="集計 2 11 6 4 4 3" xfId="14716"/>
    <cellStyle name="集計 2 11 6 4 5" xfId="14717"/>
    <cellStyle name="集計 2 11 6 4 5 2" xfId="14718"/>
    <cellStyle name="集計 2 11 6 4 5 3" xfId="14719"/>
    <cellStyle name="集計 2 11 6 4 6" xfId="14720"/>
    <cellStyle name="集計 2 11 6 4 7" xfId="14721"/>
    <cellStyle name="集計 2 11 6 5" xfId="14722"/>
    <cellStyle name="集計 2 11 6 5 2" xfId="14723"/>
    <cellStyle name="集計 2 11 6 5 2 2" xfId="14724"/>
    <cellStyle name="集計 2 11 6 5 2 3" xfId="14725"/>
    <cellStyle name="集計 2 11 6 5 3" xfId="14726"/>
    <cellStyle name="集計 2 11 6 5 3 2" xfId="14727"/>
    <cellStyle name="集計 2 11 6 5 3 3" xfId="14728"/>
    <cellStyle name="集計 2 11 6 5 4" xfId="14729"/>
    <cellStyle name="集計 2 11 6 5 4 2" xfId="14730"/>
    <cellStyle name="集計 2 11 6 5 4 3" xfId="14731"/>
    <cellStyle name="集計 2 11 6 5 5" xfId="14732"/>
    <cellStyle name="集計 2 11 6 5 6" xfId="14733"/>
    <cellStyle name="集計 2 11 6 6" xfId="14734"/>
    <cellStyle name="集計 2 11 6 6 2" xfId="14735"/>
    <cellStyle name="集計 2 11 6 6 3" xfId="14736"/>
    <cellStyle name="集計 2 11 6 7" xfId="14737"/>
    <cellStyle name="集計 2 11 6 7 2" xfId="14738"/>
    <cellStyle name="集計 2 11 6 7 3" xfId="14739"/>
    <cellStyle name="集計 2 11 6 8" xfId="14740"/>
    <cellStyle name="集計 2 11 6 8 2" xfId="14741"/>
    <cellStyle name="集計 2 11 6 8 3" xfId="14742"/>
    <cellStyle name="集計 2 11 6 9" xfId="14743"/>
    <cellStyle name="集計 2 11 7" xfId="14744"/>
    <cellStyle name="集計 2 11 7 2" xfId="14745"/>
    <cellStyle name="集計 2 11 7 2 2" xfId="14746"/>
    <cellStyle name="集計 2 11 7 2 2 2" xfId="14747"/>
    <cellStyle name="集計 2 11 7 2 2 3" xfId="14748"/>
    <cellStyle name="集計 2 11 7 2 3" xfId="14749"/>
    <cellStyle name="集計 2 11 7 2 3 2" xfId="14750"/>
    <cellStyle name="集計 2 11 7 2 3 3" xfId="14751"/>
    <cellStyle name="集計 2 11 7 2 4" xfId="14752"/>
    <cellStyle name="集計 2 11 7 2 4 2" xfId="14753"/>
    <cellStyle name="集計 2 11 7 2 4 3" xfId="14754"/>
    <cellStyle name="集計 2 11 7 2 5" xfId="14755"/>
    <cellStyle name="集計 2 11 7 2 6" xfId="14756"/>
    <cellStyle name="集計 2 11 7 3" xfId="14757"/>
    <cellStyle name="集計 2 11 7 3 2" xfId="14758"/>
    <cellStyle name="集計 2 11 7 3 3" xfId="14759"/>
    <cellStyle name="集計 2 11 7 4" xfId="14760"/>
    <cellStyle name="集計 2 11 7 4 2" xfId="14761"/>
    <cellStyle name="集計 2 11 7 4 3" xfId="14762"/>
    <cellStyle name="集計 2 11 7 5" xfId="14763"/>
    <cellStyle name="集計 2 11 7 5 2" xfId="14764"/>
    <cellStyle name="集計 2 11 7 5 3" xfId="14765"/>
    <cellStyle name="集計 2 11 7 6" xfId="14766"/>
    <cellStyle name="集計 2 11 7 7" xfId="14767"/>
    <cellStyle name="集計 2 11 8" xfId="14768"/>
    <cellStyle name="集計 2 11 8 2" xfId="14769"/>
    <cellStyle name="集計 2 11 8 2 2" xfId="14770"/>
    <cellStyle name="集計 2 11 8 2 2 2" xfId="14771"/>
    <cellStyle name="集計 2 11 8 2 2 3" xfId="14772"/>
    <cellStyle name="集計 2 11 8 2 3" xfId="14773"/>
    <cellStyle name="集計 2 11 8 2 3 2" xfId="14774"/>
    <cellStyle name="集計 2 11 8 2 3 3" xfId="14775"/>
    <cellStyle name="集計 2 11 8 2 4" xfId="14776"/>
    <cellStyle name="集計 2 11 8 2 4 2" xfId="14777"/>
    <cellStyle name="集計 2 11 8 2 4 3" xfId="14778"/>
    <cellStyle name="集計 2 11 8 2 5" xfId="14779"/>
    <cellStyle name="集計 2 11 8 2 6" xfId="14780"/>
    <cellStyle name="集計 2 11 8 3" xfId="14781"/>
    <cellStyle name="集計 2 11 8 3 2" xfId="14782"/>
    <cellStyle name="集計 2 11 8 3 3" xfId="14783"/>
    <cellStyle name="集計 2 11 8 4" xfId="14784"/>
    <cellStyle name="集計 2 11 8 4 2" xfId="14785"/>
    <cellStyle name="集計 2 11 8 4 3" xfId="14786"/>
    <cellStyle name="集計 2 11 8 5" xfId="14787"/>
    <cellStyle name="集計 2 11 8 5 2" xfId="14788"/>
    <cellStyle name="集計 2 11 8 5 3" xfId="14789"/>
    <cellStyle name="集計 2 11 8 6" xfId="14790"/>
    <cellStyle name="集計 2 11 8 7" xfId="14791"/>
    <cellStyle name="集計 2 11 9" xfId="14792"/>
    <cellStyle name="集計 2 11 9 2" xfId="14793"/>
    <cellStyle name="集計 2 11 9 2 2" xfId="14794"/>
    <cellStyle name="集計 2 11 9 2 3" xfId="14795"/>
    <cellStyle name="集計 2 11 9 3" xfId="14796"/>
    <cellStyle name="集計 2 11 9 3 2" xfId="14797"/>
    <cellStyle name="集計 2 11 9 3 3" xfId="14798"/>
    <cellStyle name="集計 2 11 9 4" xfId="14799"/>
    <cellStyle name="集計 2 11 9 4 2" xfId="14800"/>
    <cellStyle name="集計 2 11 9 4 3" xfId="14801"/>
    <cellStyle name="集計 2 11 9 5" xfId="14802"/>
    <cellStyle name="集計 2 11 9 6" xfId="14803"/>
    <cellStyle name="集計 2 12" xfId="14804"/>
    <cellStyle name="集計 2 12 10" xfId="14805"/>
    <cellStyle name="集計 2 12 10 2" xfId="14806"/>
    <cellStyle name="集計 2 12 10 3" xfId="14807"/>
    <cellStyle name="集計 2 12 11" xfId="14808"/>
    <cellStyle name="集計 2 12 11 2" xfId="14809"/>
    <cellStyle name="集計 2 12 11 3" xfId="14810"/>
    <cellStyle name="集計 2 12 12" xfId="14811"/>
    <cellStyle name="集計 2 12 12 2" xfId="14812"/>
    <cellStyle name="集計 2 12 12 3" xfId="14813"/>
    <cellStyle name="集計 2 12 13" xfId="14814"/>
    <cellStyle name="集計 2 12 14" xfId="14815"/>
    <cellStyle name="集計 2 12 2" xfId="14816"/>
    <cellStyle name="集計 2 12 2 10" xfId="14817"/>
    <cellStyle name="集計 2 12 2 2" xfId="14818"/>
    <cellStyle name="集計 2 12 2 2 10" xfId="14819"/>
    <cellStyle name="集計 2 12 2 2 2" xfId="14820"/>
    <cellStyle name="集計 2 12 2 2 2 2" xfId="14821"/>
    <cellStyle name="集計 2 12 2 2 2 2 2" xfId="14822"/>
    <cellStyle name="集計 2 12 2 2 2 2 2 2" xfId="14823"/>
    <cellStyle name="集計 2 12 2 2 2 2 2 2 2" xfId="14824"/>
    <cellStyle name="集計 2 12 2 2 2 2 2 2 3" xfId="14825"/>
    <cellStyle name="集計 2 12 2 2 2 2 2 3" xfId="14826"/>
    <cellStyle name="集計 2 12 2 2 2 2 2 3 2" xfId="14827"/>
    <cellStyle name="集計 2 12 2 2 2 2 2 3 3" xfId="14828"/>
    <cellStyle name="集計 2 12 2 2 2 2 2 4" xfId="14829"/>
    <cellStyle name="集計 2 12 2 2 2 2 2 4 2" xfId="14830"/>
    <cellStyle name="集計 2 12 2 2 2 2 2 4 3" xfId="14831"/>
    <cellStyle name="集計 2 12 2 2 2 2 2 5" xfId="14832"/>
    <cellStyle name="集計 2 12 2 2 2 2 2 6" xfId="14833"/>
    <cellStyle name="集計 2 12 2 2 2 2 3" xfId="14834"/>
    <cellStyle name="集計 2 12 2 2 2 2 3 2" xfId="14835"/>
    <cellStyle name="集計 2 12 2 2 2 2 3 3" xfId="14836"/>
    <cellStyle name="集計 2 12 2 2 2 2 4" xfId="14837"/>
    <cellStyle name="集計 2 12 2 2 2 2 4 2" xfId="14838"/>
    <cellStyle name="集計 2 12 2 2 2 2 4 3" xfId="14839"/>
    <cellStyle name="集計 2 12 2 2 2 2 5" xfId="14840"/>
    <cellStyle name="集計 2 12 2 2 2 2 5 2" xfId="14841"/>
    <cellStyle name="集計 2 12 2 2 2 2 5 3" xfId="14842"/>
    <cellStyle name="集計 2 12 2 2 2 2 6" xfId="14843"/>
    <cellStyle name="集計 2 12 2 2 2 2 7" xfId="14844"/>
    <cellStyle name="集計 2 12 2 2 2 3" xfId="14845"/>
    <cellStyle name="集計 2 12 2 2 2 3 2" xfId="14846"/>
    <cellStyle name="集計 2 12 2 2 2 3 2 2" xfId="14847"/>
    <cellStyle name="集計 2 12 2 2 2 3 2 2 2" xfId="14848"/>
    <cellStyle name="集計 2 12 2 2 2 3 2 2 3" xfId="14849"/>
    <cellStyle name="集計 2 12 2 2 2 3 2 3" xfId="14850"/>
    <cellStyle name="集計 2 12 2 2 2 3 2 3 2" xfId="14851"/>
    <cellStyle name="集計 2 12 2 2 2 3 2 3 3" xfId="14852"/>
    <cellStyle name="集計 2 12 2 2 2 3 2 4" xfId="14853"/>
    <cellStyle name="集計 2 12 2 2 2 3 2 4 2" xfId="14854"/>
    <cellStyle name="集計 2 12 2 2 2 3 2 4 3" xfId="14855"/>
    <cellStyle name="集計 2 12 2 2 2 3 2 5" xfId="14856"/>
    <cellStyle name="集計 2 12 2 2 2 3 2 6" xfId="14857"/>
    <cellStyle name="集計 2 12 2 2 2 3 3" xfId="14858"/>
    <cellStyle name="集計 2 12 2 2 2 3 3 2" xfId="14859"/>
    <cellStyle name="集計 2 12 2 2 2 3 3 3" xfId="14860"/>
    <cellStyle name="集計 2 12 2 2 2 3 4" xfId="14861"/>
    <cellStyle name="集計 2 12 2 2 2 3 4 2" xfId="14862"/>
    <cellStyle name="集計 2 12 2 2 2 3 4 3" xfId="14863"/>
    <cellStyle name="集計 2 12 2 2 2 3 5" xfId="14864"/>
    <cellStyle name="集計 2 12 2 2 2 3 5 2" xfId="14865"/>
    <cellStyle name="集計 2 12 2 2 2 3 5 3" xfId="14866"/>
    <cellStyle name="集計 2 12 2 2 2 3 6" xfId="14867"/>
    <cellStyle name="集計 2 12 2 2 2 3 7" xfId="14868"/>
    <cellStyle name="集計 2 12 2 2 2 4" xfId="14869"/>
    <cellStyle name="集計 2 12 2 2 2 4 2" xfId="14870"/>
    <cellStyle name="集計 2 12 2 2 2 4 2 2" xfId="14871"/>
    <cellStyle name="集計 2 12 2 2 2 4 2 3" xfId="14872"/>
    <cellStyle name="集計 2 12 2 2 2 4 3" xfId="14873"/>
    <cellStyle name="集計 2 12 2 2 2 4 3 2" xfId="14874"/>
    <cellStyle name="集計 2 12 2 2 2 4 3 3" xfId="14875"/>
    <cellStyle name="集計 2 12 2 2 2 4 4" xfId="14876"/>
    <cellStyle name="集計 2 12 2 2 2 4 4 2" xfId="14877"/>
    <cellStyle name="集計 2 12 2 2 2 4 4 3" xfId="14878"/>
    <cellStyle name="集計 2 12 2 2 2 4 5" xfId="14879"/>
    <cellStyle name="集計 2 12 2 2 2 4 6" xfId="14880"/>
    <cellStyle name="集計 2 12 2 2 2 5" xfId="14881"/>
    <cellStyle name="集計 2 12 2 2 2 5 2" xfId="14882"/>
    <cellStyle name="集計 2 12 2 2 2 5 3" xfId="14883"/>
    <cellStyle name="集計 2 12 2 2 2 6" xfId="14884"/>
    <cellStyle name="集計 2 12 2 2 2 6 2" xfId="14885"/>
    <cellStyle name="集計 2 12 2 2 2 6 3" xfId="14886"/>
    <cellStyle name="集計 2 12 2 2 2 7" xfId="14887"/>
    <cellStyle name="集計 2 12 2 2 2 7 2" xfId="14888"/>
    <cellStyle name="集計 2 12 2 2 2 7 3" xfId="14889"/>
    <cellStyle name="集計 2 12 2 2 2 8" xfId="14890"/>
    <cellStyle name="集計 2 12 2 2 2 9" xfId="14891"/>
    <cellStyle name="集計 2 12 2 2 3" xfId="14892"/>
    <cellStyle name="集計 2 12 2 2 3 2" xfId="14893"/>
    <cellStyle name="集計 2 12 2 2 3 2 2" xfId="14894"/>
    <cellStyle name="集計 2 12 2 2 3 2 2 2" xfId="14895"/>
    <cellStyle name="集計 2 12 2 2 3 2 2 3" xfId="14896"/>
    <cellStyle name="集計 2 12 2 2 3 2 3" xfId="14897"/>
    <cellStyle name="集計 2 12 2 2 3 2 3 2" xfId="14898"/>
    <cellStyle name="集計 2 12 2 2 3 2 3 3" xfId="14899"/>
    <cellStyle name="集計 2 12 2 2 3 2 4" xfId="14900"/>
    <cellStyle name="集計 2 12 2 2 3 2 4 2" xfId="14901"/>
    <cellStyle name="集計 2 12 2 2 3 2 4 3" xfId="14902"/>
    <cellStyle name="集計 2 12 2 2 3 2 5" xfId="14903"/>
    <cellStyle name="集計 2 12 2 2 3 2 6" xfId="14904"/>
    <cellStyle name="集計 2 12 2 2 3 3" xfId="14905"/>
    <cellStyle name="集計 2 12 2 2 3 3 2" xfId="14906"/>
    <cellStyle name="集計 2 12 2 2 3 3 3" xfId="14907"/>
    <cellStyle name="集計 2 12 2 2 3 4" xfId="14908"/>
    <cellStyle name="集計 2 12 2 2 3 4 2" xfId="14909"/>
    <cellStyle name="集計 2 12 2 2 3 4 3" xfId="14910"/>
    <cellStyle name="集計 2 12 2 2 3 5" xfId="14911"/>
    <cellStyle name="集計 2 12 2 2 3 5 2" xfId="14912"/>
    <cellStyle name="集計 2 12 2 2 3 5 3" xfId="14913"/>
    <cellStyle name="集計 2 12 2 2 3 6" xfId="14914"/>
    <cellStyle name="集計 2 12 2 2 3 7" xfId="14915"/>
    <cellStyle name="集計 2 12 2 2 4" xfId="14916"/>
    <cellStyle name="集計 2 12 2 2 4 2" xfId="14917"/>
    <cellStyle name="集計 2 12 2 2 4 2 2" xfId="14918"/>
    <cellStyle name="集計 2 12 2 2 4 2 2 2" xfId="14919"/>
    <cellStyle name="集計 2 12 2 2 4 2 2 3" xfId="14920"/>
    <cellStyle name="集計 2 12 2 2 4 2 3" xfId="14921"/>
    <cellStyle name="集計 2 12 2 2 4 2 3 2" xfId="14922"/>
    <cellStyle name="集計 2 12 2 2 4 2 3 3" xfId="14923"/>
    <cellStyle name="集計 2 12 2 2 4 2 4" xfId="14924"/>
    <cellStyle name="集計 2 12 2 2 4 2 4 2" xfId="14925"/>
    <cellStyle name="集計 2 12 2 2 4 2 4 3" xfId="14926"/>
    <cellStyle name="集計 2 12 2 2 4 2 5" xfId="14927"/>
    <cellStyle name="集計 2 12 2 2 4 2 6" xfId="14928"/>
    <cellStyle name="集計 2 12 2 2 4 3" xfId="14929"/>
    <cellStyle name="集計 2 12 2 2 4 3 2" xfId="14930"/>
    <cellStyle name="集計 2 12 2 2 4 3 3" xfId="14931"/>
    <cellStyle name="集計 2 12 2 2 4 4" xfId="14932"/>
    <cellStyle name="集計 2 12 2 2 4 4 2" xfId="14933"/>
    <cellStyle name="集計 2 12 2 2 4 4 3" xfId="14934"/>
    <cellStyle name="集計 2 12 2 2 4 5" xfId="14935"/>
    <cellStyle name="集計 2 12 2 2 4 5 2" xfId="14936"/>
    <cellStyle name="集計 2 12 2 2 4 5 3" xfId="14937"/>
    <cellStyle name="集計 2 12 2 2 4 6" xfId="14938"/>
    <cellStyle name="集計 2 12 2 2 4 7" xfId="14939"/>
    <cellStyle name="集計 2 12 2 2 5" xfId="14940"/>
    <cellStyle name="集計 2 12 2 2 5 2" xfId="14941"/>
    <cellStyle name="集計 2 12 2 2 5 2 2" xfId="14942"/>
    <cellStyle name="集計 2 12 2 2 5 2 3" xfId="14943"/>
    <cellStyle name="集計 2 12 2 2 5 3" xfId="14944"/>
    <cellStyle name="集計 2 12 2 2 5 3 2" xfId="14945"/>
    <cellStyle name="集計 2 12 2 2 5 3 3" xfId="14946"/>
    <cellStyle name="集計 2 12 2 2 5 4" xfId="14947"/>
    <cellStyle name="集計 2 12 2 2 5 4 2" xfId="14948"/>
    <cellStyle name="集計 2 12 2 2 5 4 3" xfId="14949"/>
    <cellStyle name="集計 2 12 2 2 5 5" xfId="14950"/>
    <cellStyle name="集計 2 12 2 2 5 6" xfId="14951"/>
    <cellStyle name="集計 2 12 2 2 6" xfId="14952"/>
    <cellStyle name="集計 2 12 2 2 6 2" xfId="14953"/>
    <cellStyle name="集計 2 12 2 2 6 3" xfId="14954"/>
    <cellStyle name="集計 2 12 2 2 7" xfId="14955"/>
    <cellStyle name="集計 2 12 2 2 7 2" xfId="14956"/>
    <cellStyle name="集計 2 12 2 2 7 3" xfId="14957"/>
    <cellStyle name="集計 2 12 2 2 8" xfId="14958"/>
    <cellStyle name="集計 2 12 2 2 8 2" xfId="14959"/>
    <cellStyle name="集計 2 12 2 2 8 3" xfId="14960"/>
    <cellStyle name="集計 2 12 2 2 9" xfId="14961"/>
    <cellStyle name="集計 2 12 2 3" xfId="14962"/>
    <cellStyle name="集計 2 12 2 3 2" xfId="14963"/>
    <cellStyle name="集計 2 12 2 3 2 2" xfId="14964"/>
    <cellStyle name="集計 2 12 2 3 2 2 2" xfId="14965"/>
    <cellStyle name="集計 2 12 2 3 2 2 3" xfId="14966"/>
    <cellStyle name="集計 2 12 2 3 2 3" xfId="14967"/>
    <cellStyle name="集計 2 12 2 3 2 3 2" xfId="14968"/>
    <cellStyle name="集計 2 12 2 3 2 3 3" xfId="14969"/>
    <cellStyle name="集計 2 12 2 3 2 4" xfId="14970"/>
    <cellStyle name="集計 2 12 2 3 2 4 2" xfId="14971"/>
    <cellStyle name="集計 2 12 2 3 2 4 3" xfId="14972"/>
    <cellStyle name="集計 2 12 2 3 2 5" xfId="14973"/>
    <cellStyle name="集計 2 12 2 3 2 6" xfId="14974"/>
    <cellStyle name="集計 2 12 2 3 3" xfId="14975"/>
    <cellStyle name="集計 2 12 2 3 3 2" xfId="14976"/>
    <cellStyle name="集計 2 12 2 3 3 3" xfId="14977"/>
    <cellStyle name="集計 2 12 2 3 4" xfId="14978"/>
    <cellStyle name="集計 2 12 2 3 4 2" xfId="14979"/>
    <cellStyle name="集計 2 12 2 3 4 3" xfId="14980"/>
    <cellStyle name="集計 2 12 2 3 5" xfId="14981"/>
    <cellStyle name="集計 2 12 2 3 5 2" xfId="14982"/>
    <cellStyle name="集計 2 12 2 3 5 3" xfId="14983"/>
    <cellStyle name="集計 2 12 2 3 6" xfId="14984"/>
    <cellStyle name="集計 2 12 2 3 7" xfId="14985"/>
    <cellStyle name="集計 2 12 2 4" xfId="14986"/>
    <cellStyle name="集計 2 12 2 4 2" xfId="14987"/>
    <cellStyle name="集計 2 12 2 4 2 2" xfId="14988"/>
    <cellStyle name="集計 2 12 2 4 2 2 2" xfId="14989"/>
    <cellStyle name="集計 2 12 2 4 2 2 3" xfId="14990"/>
    <cellStyle name="集計 2 12 2 4 2 3" xfId="14991"/>
    <cellStyle name="集計 2 12 2 4 2 3 2" xfId="14992"/>
    <cellStyle name="集計 2 12 2 4 2 3 3" xfId="14993"/>
    <cellStyle name="集計 2 12 2 4 2 4" xfId="14994"/>
    <cellStyle name="集計 2 12 2 4 2 4 2" xfId="14995"/>
    <cellStyle name="集計 2 12 2 4 2 4 3" xfId="14996"/>
    <cellStyle name="集計 2 12 2 4 2 5" xfId="14997"/>
    <cellStyle name="集計 2 12 2 4 2 6" xfId="14998"/>
    <cellStyle name="集計 2 12 2 4 3" xfId="14999"/>
    <cellStyle name="集計 2 12 2 4 3 2" xfId="15000"/>
    <cellStyle name="集計 2 12 2 4 3 3" xfId="15001"/>
    <cellStyle name="集計 2 12 2 4 4" xfId="15002"/>
    <cellStyle name="集計 2 12 2 4 4 2" xfId="15003"/>
    <cellStyle name="集計 2 12 2 4 4 3" xfId="15004"/>
    <cellStyle name="集計 2 12 2 4 5" xfId="15005"/>
    <cellStyle name="集計 2 12 2 4 5 2" xfId="15006"/>
    <cellStyle name="集計 2 12 2 4 5 3" xfId="15007"/>
    <cellStyle name="集計 2 12 2 4 6" xfId="15008"/>
    <cellStyle name="集計 2 12 2 4 7" xfId="15009"/>
    <cellStyle name="集計 2 12 2 5" xfId="15010"/>
    <cellStyle name="集計 2 12 2 5 2" xfId="15011"/>
    <cellStyle name="集計 2 12 2 5 2 2" xfId="15012"/>
    <cellStyle name="集計 2 12 2 5 2 3" xfId="15013"/>
    <cellStyle name="集計 2 12 2 5 3" xfId="15014"/>
    <cellStyle name="集計 2 12 2 5 3 2" xfId="15015"/>
    <cellStyle name="集計 2 12 2 5 3 3" xfId="15016"/>
    <cellStyle name="集計 2 12 2 5 4" xfId="15017"/>
    <cellStyle name="集計 2 12 2 5 4 2" xfId="15018"/>
    <cellStyle name="集計 2 12 2 5 4 3" xfId="15019"/>
    <cellStyle name="集計 2 12 2 5 5" xfId="15020"/>
    <cellStyle name="集計 2 12 2 5 6" xfId="15021"/>
    <cellStyle name="集計 2 12 2 6" xfId="15022"/>
    <cellStyle name="集計 2 12 2 6 2" xfId="15023"/>
    <cellStyle name="集計 2 12 2 6 3" xfId="15024"/>
    <cellStyle name="集計 2 12 2 7" xfId="15025"/>
    <cellStyle name="集計 2 12 2 7 2" xfId="15026"/>
    <cellStyle name="集計 2 12 2 7 3" xfId="15027"/>
    <cellStyle name="集計 2 12 2 8" xfId="15028"/>
    <cellStyle name="集計 2 12 2 8 2" xfId="15029"/>
    <cellStyle name="集計 2 12 2 8 3" xfId="15030"/>
    <cellStyle name="集計 2 12 2 9" xfId="15031"/>
    <cellStyle name="集計 2 12 3" xfId="15032"/>
    <cellStyle name="集計 2 12 3 10" xfId="15033"/>
    <cellStyle name="集計 2 12 3 2" xfId="15034"/>
    <cellStyle name="集計 2 12 3 2 10" xfId="15035"/>
    <cellStyle name="集計 2 12 3 2 2" xfId="15036"/>
    <cellStyle name="集計 2 12 3 2 2 2" xfId="15037"/>
    <cellStyle name="集計 2 12 3 2 2 2 2" xfId="15038"/>
    <cellStyle name="集計 2 12 3 2 2 2 2 2" xfId="15039"/>
    <cellStyle name="集計 2 12 3 2 2 2 2 2 2" xfId="15040"/>
    <cellStyle name="集計 2 12 3 2 2 2 2 2 3" xfId="15041"/>
    <cellStyle name="集計 2 12 3 2 2 2 2 3" xfId="15042"/>
    <cellStyle name="集計 2 12 3 2 2 2 2 3 2" xfId="15043"/>
    <cellStyle name="集計 2 12 3 2 2 2 2 3 3" xfId="15044"/>
    <cellStyle name="集計 2 12 3 2 2 2 2 4" xfId="15045"/>
    <cellStyle name="集計 2 12 3 2 2 2 2 4 2" xfId="15046"/>
    <cellStyle name="集計 2 12 3 2 2 2 2 4 3" xfId="15047"/>
    <cellStyle name="集計 2 12 3 2 2 2 2 5" xfId="15048"/>
    <cellStyle name="集計 2 12 3 2 2 2 2 6" xfId="15049"/>
    <cellStyle name="集計 2 12 3 2 2 2 3" xfId="15050"/>
    <cellStyle name="集計 2 12 3 2 2 2 3 2" xfId="15051"/>
    <cellStyle name="集計 2 12 3 2 2 2 3 3" xfId="15052"/>
    <cellStyle name="集計 2 12 3 2 2 2 4" xfId="15053"/>
    <cellStyle name="集計 2 12 3 2 2 2 4 2" xfId="15054"/>
    <cellStyle name="集計 2 12 3 2 2 2 4 3" xfId="15055"/>
    <cellStyle name="集計 2 12 3 2 2 2 5" xfId="15056"/>
    <cellStyle name="集計 2 12 3 2 2 2 5 2" xfId="15057"/>
    <cellStyle name="集計 2 12 3 2 2 2 5 3" xfId="15058"/>
    <cellStyle name="集計 2 12 3 2 2 2 6" xfId="15059"/>
    <cellStyle name="集計 2 12 3 2 2 2 7" xfId="15060"/>
    <cellStyle name="集計 2 12 3 2 2 3" xfId="15061"/>
    <cellStyle name="集計 2 12 3 2 2 3 2" xfId="15062"/>
    <cellStyle name="集計 2 12 3 2 2 3 2 2" xfId="15063"/>
    <cellStyle name="集計 2 12 3 2 2 3 2 2 2" xfId="15064"/>
    <cellStyle name="集計 2 12 3 2 2 3 2 2 3" xfId="15065"/>
    <cellStyle name="集計 2 12 3 2 2 3 2 3" xfId="15066"/>
    <cellStyle name="集計 2 12 3 2 2 3 2 3 2" xfId="15067"/>
    <cellStyle name="集計 2 12 3 2 2 3 2 3 3" xfId="15068"/>
    <cellStyle name="集計 2 12 3 2 2 3 2 4" xfId="15069"/>
    <cellStyle name="集計 2 12 3 2 2 3 2 4 2" xfId="15070"/>
    <cellStyle name="集計 2 12 3 2 2 3 2 4 3" xfId="15071"/>
    <cellStyle name="集計 2 12 3 2 2 3 2 5" xfId="15072"/>
    <cellStyle name="集計 2 12 3 2 2 3 2 6" xfId="15073"/>
    <cellStyle name="集計 2 12 3 2 2 3 3" xfId="15074"/>
    <cellStyle name="集計 2 12 3 2 2 3 3 2" xfId="15075"/>
    <cellStyle name="集計 2 12 3 2 2 3 3 3" xfId="15076"/>
    <cellStyle name="集計 2 12 3 2 2 3 4" xfId="15077"/>
    <cellStyle name="集計 2 12 3 2 2 3 4 2" xfId="15078"/>
    <cellStyle name="集計 2 12 3 2 2 3 4 3" xfId="15079"/>
    <cellStyle name="集計 2 12 3 2 2 3 5" xfId="15080"/>
    <cellStyle name="集計 2 12 3 2 2 3 5 2" xfId="15081"/>
    <cellStyle name="集計 2 12 3 2 2 3 5 3" xfId="15082"/>
    <cellStyle name="集計 2 12 3 2 2 3 6" xfId="15083"/>
    <cellStyle name="集計 2 12 3 2 2 3 7" xfId="15084"/>
    <cellStyle name="集計 2 12 3 2 2 4" xfId="15085"/>
    <cellStyle name="集計 2 12 3 2 2 4 2" xfId="15086"/>
    <cellStyle name="集計 2 12 3 2 2 4 2 2" xfId="15087"/>
    <cellStyle name="集計 2 12 3 2 2 4 2 3" xfId="15088"/>
    <cellStyle name="集計 2 12 3 2 2 4 3" xfId="15089"/>
    <cellStyle name="集計 2 12 3 2 2 4 3 2" xfId="15090"/>
    <cellStyle name="集計 2 12 3 2 2 4 3 3" xfId="15091"/>
    <cellStyle name="集計 2 12 3 2 2 4 4" xfId="15092"/>
    <cellStyle name="集計 2 12 3 2 2 4 4 2" xfId="15093"/>
    <cellStyle name="集計 2 12 3 2 2 4 4 3" xfId="15094"/>
    <cellStyle name="集計 2 12 3 2 2 4 5" xfId="15095"/>
    <cellStyle name="集計 2 12 3 2 2 4 6" xfId="15096"/>
    <cellStyle name="集計 2 12 3 2 2 5" xfId="15097"/>
    <cellStyle name="集計 2 12 3 2 2 5 2" xfId="15098"/>
    <cellStyle name="集計 2 12 3 2 2 5 3" xfId="15099"/>
    <cellStyle name="集計 2 12 3 2 2 6" xfId="15100"/>
    <cellStyle name="集計 2 12 3 2 2 6 2" xfId="15101"/>
    <cellStyle name="集計 2 12 3 2 2 6 3" xfId="15102"/>
    <cellStyle name="集計 2 12 3 2 2 7" xfId="15103"/>
    <cellStyle name="集計 2 12 3 2 2 7 2" xfId="15104"/>
    <cellStyle name="集計 2 12 3 2 2 7 3" xfId="15105"/>
    <cellStyle name="集計 2 12 3 2 2 8" xfId="15106"/>
    <cellStyle name="集計 2 12 3 2 2 9" xfId="15107"/>
    <cellStyle name="集計 2 12 3 2 3" xfId="15108"/>
    <cellStyle name="集計 2 12 3 2 3 2" xfId="15109"/>
    <cellStyle name="集計 2 12 3 2 3 2 2" xfId="15110"/>
    <cellStyle name="集計 2 12 3 2 3 2 2 2" xfId="15111"/>
    <cellStyle name="集計 2 12 3 2 3 2 2 3" xfId="15112"/>
    <cellStyle name="集計 2 12 3 2 3 2 3" xfId="15113"/>
    <cellStyle name="集計 2 12 3 2 3 2 3 2" xfId="15114"/>
    <cellStyle name="集計 2 12 3 2 3 2 3 3" xfId="15115"/>
    <cellStyle name="集計 2 12 3 2 3 2 4" xfId="15116"/>
    <cellStyle name="集計 2 12 3 2 3 2 4 2" xfId="15117"/>
    <cellStyle name="集計 2 12 3 2 3 2 4 3" xfId="15118"/>
    <cellStyle name="集計 2 12 3 2 3 2 5" xfId="15119"/>
    <cellStyle name="集計 2 12 3 2 3 2 6" xfId="15120"/>
    <cellStyle name="集計 2 12 3 2 3 3" xfId="15121"/>
    <cellStyle name="集計 2 12 3 2 3 3 2" xfId="15122"/>
    <cellStyle name="集計 2 12 3 2 3 3 3" xfId="15123"/>
    <cellStyle name="集計 2 12 3 2 3 4" xfId="15124"/>
    <cellStyle name="集計 2 12 3 2 3 4 2" xfId="15125"/>
    <cellStyle name="集計 2 12 3 2 3 4 3" xfId="15126"/>
    <cellStyle name="集計 2 12 3 2 3 5" xfId="15127"/>
    <cellStyle name="集計 2 12 3 2 3 5 2" xfId="15128"/>
    <cellStyle name="集計 2 12 3 2 3 5 3" xfId="15129"/>
    <cellStyle name="集計 2 12 3 2 3 6" xfId="15130"/>
    <cellStyle name="集計 2 12 3 2 3 7" xfId="15131"/>
    <cellStyle name="集計 2 12 3 2 4" xfId="15132"/>
    <cellStyle name="集計 2 12 3 2 4 2" xfId="15133"/>
    <cellStyle name="集計 2 12 3 2 4 2 2" xfId="15134"/>
    <cellStyle name="集計 2 12 3 2 4 2 2 2" xfId="15135"/>
    <cellStyle name="集計 2 12 3 2 4 2 2 3" xfId="15136"/>
    <cellStyle name="集計 2 12 3 2 4 2 3" xfId="15137"/>
    <cellStyle name="集計 2 12 3 2 4 2 3 2" xfId="15138"/>
    <cellStyle name="集計 2 12 3 2 4 2 3 3" xfId="15139"/>
    <cellStyle name="集計 2 12 3 2 4 2 4" xfId="15140"/>
    <cellStyle name="集計 2 12 3 2 4 2 4 2" xfId="15141"/>
    <cellStyle name="集計 2 12 3 2 4 2 4 3" xfId="15142"/>
    <cellStyle name="集計 2 12 3 2 4 2 5" xfId="15143"/>
    <cellStyle name="集計 2 12 3 2 4 2 6" xfId="15144"/>
    <cellStyle name="集計 2 12 3 2 4 3" xfId="15145"/>
    <cellStyle name="集計 2 12 3 2 4 3 2" xfId="15146"/>
    <cellStyle name="集計 2 12 3 2 4 3 3" xfId="15147"/>
    <cellStyle name="集計 2 12 3 2 4 4" xfId="15148"/>
    <cellStyle name="集計 2 12 3 2 4 4 2" xfId="15149"/>
    <cellStyle name="集計 2 12 3 2 4 4 3" xfId="15150"/>
    <cellStyle name="集計 2 12 3 2 4 5" xfId="15151"/>
    <cellStyle name="集計 2 12 3 2 4 5 2" xfId="15152"/>
    <cellStyle name="集計 2 12 3 2 4 5 3" xfId="15153"/>
    <cellStyle name="集計 2 12 3 2 4 6" xfId="15154"/>
    <cellStyle name="集計 2 12 3 2 4 7" xfId="15155"/>
    <cellStyle name="集計 2 12 3 2 5" xfId="15156"/>
    <cellStyle name="集計 2 12 3 2 5 2" xfId="15157"/>
    <cellStyle name="集計 2 12 3 2 5 2 2" xfId="15158"/>
    <cellStyle name="集計 2 12 3 2 5 2 3" xfId="15159"/>
    <cellStyle name="集計 2 12 3 2 5 3" xfId="15160"/>
    <cellStyle name="集計 2 12 3 2 5 3 2" xfId="15161"/>
    <cellStyle name="集計 2 12 3 2 5 3 3" xfId="15162"/>
    <cellStyle name="集計 2 12 3 2 5 4" xfId="15163"/>
    <cellStyle name="集計 2 12 3 2 5 4 2" xfId="15164"/>
    <cellStyle name="集計 2 12 3 2 5 4 3" xfId="15165"/>
    <cellStyle name="集計 2 12 3 2 5 5" xfId="15166"/>
    <cellStyle name="集計 2 12 3 2 5 6" xfId="15167"/>
    <cellStyle name="集計 2 12 3 2 6" xfId="15168"/>
    <cellStyle name="集計 2 12 3 2 6 2" xfId="15169"/>
    <cellStyle name="集計 2 12 3 2 6 3" xfId="15170"/>
    <cellStyle name="集計 2 12 3 2 7" xfId="15171"/>
    <cellStyle name="集計 2 12 3 2 7 2" xfId="15172"/>
    <cellStyle name="集計 2 12 3 2 7 3" xfId="15173"/>
    <cellStyle name="集計 2 12 3 2 8" xfId="15174"/>
    <cellStyle name="集計 2 12 3 2 8 2" xfId="15175"/>
    <cellStyle name="集計 2 12 3 2 8 3" xfId="15176"/>
    <cellStyle name="集計 2 12 3 2 9" xfId="15177"/>
    <cellStyle name="集計 2 12 3 3" xfId="15178"/>
    <cellStyle name="集計 2 12 3 3 2" xfId="15179"/>
    <cellStyle name="集計 2 12 3 3 2 2" xfId="15180"/>
    <cellStyle name="集計 2 12 3 3 2 2 2" xfId="15181"/>
    <cellStyle name="集計 2 12 3 3 2 2 3" xfId="15182"/>
    <cellStyle name="集計 2 12 3 3 2 3" xfId="15183"/>
    <cellStyle name="集計 2 12 3 3 2 3 2" xfId="15184"/>
    <cellStyle name="集計 2 12 3 3 2 3 3" xfId="15185"/>
    <cellStyle name="集計 2 12 3 3 2 4" xfId="15186"/>
    <cellStyle name="集計 2 12 3 3 2 4 2" xfId="15187"/>
    <cellStyle name="集計 2 12 3 3 2 4 3" xfId="15188"/>
    <cellStyle name="集計 2 12 3 3 2 5" xfId="15189"/>
    <cellStyle name="集計 2 12 3 3 2 6" xfId="15190"/>
    <cellStyle name="集計 2 12 3 3 3" xfId="15191"/>
    <cellStyle name="集計 2 12 3 3 3 2" xfId="15192"/>
    <cellStyle name="集計 2 12 3 3 3 3" xfId="15193"/>
    <cellStyle name="集計 2 12 3 3 4" xfId="15194"/>
    <cellStyle name="集計 2 12 3 3 4 2" xfId="15195"/>
    <cellStyle name="集計 2 12 3 3 4 3" xfId="15196"/>
    <cellStyle name="集計 2 12 3 3 5" xfId="15197"/>
    <cellStyle name="集計 2 12 3 3 5 2" xfId="15198"/>
    <cellStyle name="集計 2 12 3 3 5 3" xfId="15199"/>
    <cellStyle name="集計 2 12 3 3 6" xfId="15200"/>
    <cellStyle name="集計 2 12 3 3 7" xfId="15201"/>
    <cellStyle name="集計 2 12 3 4" xfId="15202"/>
    <cellStyle name="集計 2 12 3 4 2" xfId="15203"/>
    <cellStyle name="集計 2 12 3 4 2 2" xfId="15204"/>
    <cellStyle name="集計 2 12 3 4 2 2 2" xfId="15205"/>
    <cellStyle name="集計 2 12 3 4 2 2 3" xfId="15206"/>
    <cellStyle name="集計 2 12 3 4 2 3" xfId="15207"/>
    <cellStyle name="集計 2 12 3 4 2 3 2" xfId="15208"/>
    <cellStyle name="集計 2 12 3 4 2 3 3" xfId="15209"/>
    <cellStyle name="集計 2 12 3 4 2 4" xfId="15210"/>
    <cellStyle name="集計 2 12 3 4 2 4 2" xfId="15211"/>
    <cellStyle name="集計 2 12 3 4 2 4 3" xfId="15212"/>
    <cellStyle name="集計 2 12 3 4 2 5" xfId="15213"/>
    <cellStyle name="集計 2 12 3 4 2 6" xfId="15214"/>
    <cellStyle name="集計 2 12 3 4 3" xfId="15215"/>
    <cellStyle name="集計 2 12 3 4 3 2" xfId="15216"/>
    <cellStyle name="集計 2 12 3 4 3 3" xfId="15217"/>
    <cellStyle name="集計 2 12 3 4 4" xfId="15218"/>
    <cellStyle name="集計 2 12 3 4 4 2" xfId="15219"/>
    <cellStyle name="集計 2 12 3 4 4 3" xfId="15220"/>
    <cellStyle name="集計 2 12 3 4 5" xfId="15221"/>
    <cellStyle name="集計 2 12 3 4 5 2" xfId="15222"/>
    <cellStyle name="集計 2 12 3 4 5 3" xfId="15223"/>
    <cellStyle name="集計 2 12 3 4 6" xfId="15224"/>
    <cellStyle name="集計 2 12 3 4 7" xfId="15225"/>
    <cellStyle name="集計 2 12 3 5" xfId="15226"/>
    <cellStyle name="集計 2 12 3 5 2" xfId="15227"/>
    <cellStyle name="集計 2 12 3 5 2 2" xfId="15228"/>
    <cellStyle name="集計 2 12 3 5 2 3" xfId="15229"/>
    <cellStyle name="集計 2 12 3 5 3" xfId="15230"/>
    <cellStyle name="集計 2 12 3 5 3 2" xfId="15231"/>
    <cellStyle name="集計 2 12 3 5 3 3" xfId="15232"/>
    <cellStyle name="集計 2 12 3 5 4" xfId="15233"/>
    <cellStyle name="集計 2 12 3 5 4 2" xfId="15234"/>
    <cellStyle name="集計 2 12 3 5 4 3" xfId="15235"/>
    <cellStyle name="集計 2 12 3 5 5" xfId="15236"/>
    <cellStyle name="集計 2 12 3 5 6" xfId="15237"/>
    <cellStyle name="集計 2 12 3 6" xfId="15238"/>
    <cellStyle name="集計 2 12 3 6 2" xfId="15239"/>
    <cellStyle name="集計 2 12 3 6 3" xfId="15240"/>
    <cellStyle name="集計 2 12 3 7" xfId="15241"/>
    <cellStyle name="集計 2 12 3 7 2" xfId="15242"/>
    <cellStyle name="集計 2 12 3 7 3" xfId="15243"/>
    <cellStyle name="集計 2 12 3 8" xfId="15244"/>
    <cellStyle name="集計 2 12 3 8 2" xfId="15245"/>
    <cellStyle name="集計 2 12 3 8 3" xfId="15246"/>
    <cellStyle name="集計 2 12 3 9" xfId="15247"/>
    <cellStyle name="集計 2 12 4" xfId="15248"/>
    <cellStyle name="集計 2 12 4 10" xfId="15249"/>
    <cellStyle name="集計 2 12 4 2" xfId="15250"/>
    <cellStyle name="集計 2 12 4 2 10" xfId="15251"/>
    <cellStyle name="集計 2 12 4 2 2" xfId="15252"/>
    <cellStyle name="集計 2 12 4 2 2 2" xfId="15253"/>
    <cellStyle name="集計 2 12 4 2 2 2 2" xfId="15254"/>
    <cellStyle name="集計 2 12 4 2 2 2 2 2" xfId="15255"/>
    <cellStyle name="集計 2 12 4 2 2 2 2 2 2" xfId="15256"/>
    <cellStyle name="集計 2 12 4 2 2 2 2 2 3" xfId="15257"/>
    <cellStyle name="集計 2 12 4 2 2 2 2 3" xfId="15258"/>
    <cellStyle name="集計 2 12 4 2 2 2 2 3 2" xfId="15259"/>
    <cellStyle name="集計 2 12 4 2 2 2 2 3 3" xfId="15260"/>
    <cellStyle name="集計 2 12 4 2 2 2 2 4" xfId="15261"/>
    <cellStyle name="集計 2 12 4 2 2 2 2 4 2" xfId="15262"/>
    <cellStyle name="集計 2 12 4 2 2 2 2 4 3" xfId="15263"/>
    <cellStyle name="集計 2 12 4 2 2 2 2 5" xfId="15264"/>
    <cellStyle name="集計 2 12 4 2 2 2 2 6" xfId="15265"/>
    <cellStyle name="集計 2 12 4 2 2 2 3" xfId="15266"/>
    <cellStyle name="集計 2 12 4 2 2 2 3 2" xfId="15267"/>
    <cellStyle name="集計 2 12 4 2 2 2 3 3" xfId="15268"/>
    <cellStyle name="集計 2 12 4 2 2 2 4" xfId="15269"/>
    <cellStyle name="集計 2 12 4 2 2 2 4 2" xfId="15270"/>
    <cellStyle name="集計 2 12 4 2 2 2 4 3" xfId="15271"/>
    <cellStyle name="集計 2 12 4 2 2 2 5" xfId="15272"/>
    <cellStyle name="集計 2 12 4 2 2 2 5 2" xfId="15273"/>
    <cellStyle name="集計 2 12 4 2 2 2 5 3" xfId="15274"/>
    <cellStyle name="集計 2 12 4 2 2 2 6" xfId="15275"/>
    <cellStyle name="集計 2 12 4 2 2 2 7" xfId="15276"/>
    <cellStyle name="集計 2 12 4 2 2 3" xfId="15277"/>
    <cellStyle name="集計 2 12 4 2 2 3 2" xfId="15278"/>
    <cellStyle name="集計 2 12 4 2 2 3 2 2" xfId="15279"/>
    <cellStyle name="集計 2 12 4 2 2 3 2 2 2" xfId="15280"/>
    <cellStyle name="集計 2 12 4 2 2 3 2 2 3" xfId="15281"/>
    <cellStyle name="集計 2 12 4 2 2 3 2 3" xfId="15282"/>
    <cellStyle name="集計 2 12 4 2 2 3 2 3 2" xfId="15283"/>
    <cellStyle name="集計 2 12 4 2 2 3 2 3 3" xfId="15284"/>
    <cellStyle name="集計 2 12 4 2 2 3 2 4" xfId="15285"/>
    <cellStyle name="集計 2 12 4 2 2 3 2 4 2" xfId="15286"/>
    <cellStyle name="集計 2 12 4 2 2 3 2 4 3" xfId="15287"/>
    <cellStyle name="集計 2 12 4 2 2 3 2 5" xfId="15288"/>
    <cellStyle name="集計 2 12 4 2 2 3 2 6" xfId="15289"/>
    <cellStyle name="集計 2 12 4 2 2 3 3" xfId="15290"/>
    <cellStyle name="集計 2 12 4 2 2 3 3 2" xfId="15291"/>
    <cellStyle name="集計 2 12 4 2 2 3 3 3" xfId="15292"/>
    <cellStyle name="集計 2 12 4 2 2 3 4" xfId="15293"/>
    <cellStyle name="集計 2 12 4 2 2 3 4 2" xfId="15294"/>
    <cellStyle name="集計 2 12 4 2 2 3 4 3" xfId="15295"/>
    <cellStyle name="集計 2 12 4 2 2 3 5" xfId="15296"/>
    <cellStyle name="集計 2 12 4 2 2 3 5 2" xfId="15297"/>
    <cellStyle name="集計 2 12 4 2 2 3 5 3" xfId="15298"/>
    <cellStyle name="集計 2 12 4 2 2 3 6" xfId="15299"/>
    <cellStyle name="集計 2 12 4 2 2 3 7" xfId="15300"/>
    <cellStyle name="集計 2 12 4 2 2 4" xfId="15301"/>
    <cellStyle name="集計 2 12 4 2 2 4 2" xfId="15302"/>
    <cellStyle name="集計 2 12 4 2 2 4 2 2" xfId="15303"/>
    <cellStyle name="集計 2 12 4 2 2 4 2 3" xfId="15304"/>
    <cellStyle name="集計 2 12 4 2 2 4 3" xfId="15305"/>
    <cellStyle name="集計 2 12 4 2 2 4 3 2" xfId="15306"/>
    <cellStyle name="集計 2 12 4 2 2 4 3 3" xfId="15307"/>
    <cellStyle name="集計 2 12 4 2 2 4 4" xfId="15308"/>
    <cellStyle name="集計 2 12 4 2 2 4 4 2" xfId="15309"/>
    <cellStyle name="集計 2 12 4 2 2 4 4 3" xfId="15310"/>
    <cellStyle name="集計 2 12 4 2 2 4 5" xfId="15311"/>
    <cellStyle name="集計 2 12 4 2 2 4 6" xfId="15312"/>
    <cellStyle name="集計 2 12 4 2 2 5" xfId="15313"/>
    <cellStyle name="集計 2 12 4 2 2 5 2" xfId="15314"/>
    <cellStyle name="集計 2 12 4 2 2 5 3" xfId="15315"/>
    <cellStyle name="集計 2 12 4 2 2 6" xfId="15316"/>
    <cellStyle name="集計 2 12 4 2 2 6 2" xfId="15317"/>
    <cellStyle name="集計 2 12 4 2 2 6 3" xfId="15318"/>
    <cellStyle name="集計 2 12 4 2 2 7" xfId="15319"/>
    <cellStyle name="集計 2 12 4 2 2 7 2" xfId="15320"/>
    <cellStyle name="集計 2 12 4 2 2 7 3" xfId="15321"/>
    <cellStyle name="集計 2 12 4 2 2 8" xfId="15322"/>
    <cellStyle name="集計 2 12 4 2 2 9" xfId="15323"/>
    <cellStyle name="集計 2 12 4 2 3" xfId="15324"/>
    <cellStyle name="集計 2 12 4 2 3 2" xfId="15325"/>
    <cellStyle name="集計 2 12 4 2 3 2 2" xfId="15326"/>
    <cellStyle name="集計 2 12 4 2 3 2 2 2" xfId="15327"/>
    <cellStyle name="集計 2 12 4 2 3 2 2 3" xfId="15328"/>
    <cellStyle name="集計 2 12 4 2 3 2 3" xfId="15329"/>
    <cellStyle name="集計 2 12 4 2 3 2 3 2" xfId="15330"/>
    <cellStyle name="集計 2 12 4 2 3 2 3 3" xfId="15331"/>
    <cellStyle name="集計 2 12 4 2 3 2 4" xfId="15332"/>
    <cellStyle name="集計 2 12 4 2 3 2 4 2" xfId="15333"/>
    <cellStyle name="集計 2 12 4 2 3 2 4 3" xfId="15334"/>
    <cellStyle name="集計 2 12 4 2 3 2 5" xfId="15335"/>
    <cellStyle name="集計 2 12 4 2 3 2 6" xfId="15336"/>
    <cellStyle name="集計 2 12 4 2 3 3" xfId="15337"/>
    <cellStyle name="集計 2 12 4 2 3 3 2" xfId="15338"/>
    <cellStyle name="集計 2 12 4 2 3 3 3" xfId="15339"/>
    <cellStyle name="集計 2 12 4 2 3 4" xfId="15340"/>
    <cellStyle name="集計 2 12 4 2 3 4 2" xfId="15341"/>
    <cellStyle name="集計 2 12 4 2 3 4 3" xfId="15342"/>
    <cellStyle name="集計 2 12 4 2 3 5" xfId="15343"/>
    <cellStyle name="集計 2 12 4 2 3 5 2" xfId="15344"/>
    <cellStyle name="集計 2 12 4 2 3 5 3" xfId="15345"/>
    <cellStyle name="集計 2 12 4 2 3 6" xfId="15346"/>
    <cellStyle name="集計 2 12 4 2 3 7" xfId="15347"/>
    <cellStyle name="集計 2 12 4 2 4" xfId="15348"/>
    <cellStyle name="集計 2 12 4 2 4 2" xfId="15349"/>
    <cellStyle name="集計 2 12 4 2 4 2 2" xfId="15350"/>
    <cellStyle name="集計 2 12 4 2 4 2 2 2" xfId="15351"/>
    <cellStyle name="集計 2 12 4 2 4 2 2 3" xfId="15352"/>
    <cellStyle name="集計 2 12 4 2 4 2 3" xfId="15353"/>
    <cellStyle name="集計 2 12 4 2 4 2 3 2" xfId="15354"/>
    <cellStyle name="集計 2 12 4 2 4 2 3 3" xfId="15355"/>
    <cellStyle name="集計 2 12 4 2 4 2 4" xfId="15356"/>
    <cellStyle name="集計 2 12 4 2 4 2 4 2" xfId="15357"/>
    <cellStyle name="集計 2 12 4 2 4 2 4 3" xfId="15358"/>
    <cellStyle name="集計 2 12 4 2 4 2 5" xfId="15359"/>
    <cellStyle name="集計 2 12 4 2 4 2 6" xfId="15360"/>
    <cellStyle name="集計 2 12 4 2 4 3" xfId="15361"/>
    <cellStyle name="集計 2 12 4 2 4 3 2" xfId="15362"/>
    <cellStyle name="集計 2 12 4 2 4 3 3" xfId="15363"/>
    <cellStyle name="集計 2 12 4 2 4 4" xfId="15364"/>
    <cellStyle name="集計 2 12 4 2 4 4 2" xfId="15365"/>
    <cellStyle name="集計 2 12 4 2 4 4 3" xfId="15366"/>
    <cellStyle name="集計 2 12 4 2 4 5" xfId="15367"/>
    <cellStyle name="集計 2 12 4 2 4 5 2" xfId="15368"/>
    <cellStyle name="集計 2 12 4 2 4 5 3" xfId="15369"/>
    <cellStyle name="集計 2 12 4 2 4 6" xfId="15370"/>
    <cellStyle name="集計 2 12 4 2 4 7" xfId="15371"/>
    <cellStyle name="集計 2 12 4 2 5" xfId="15372"/>
    <cellStyle name="集計 2 12 4 2 5 2" xfId="15373"/>
    <cellStyle name="集計 2 12 4 2 5 2 2" xfId="15374"/>
    <cellStyle name="集計 2 12 4 2 5 2 3" xfId="15375"/>
    <cellStyle name="集計 2 12 4 2 5 3" xfId="15376"/>
    <cellStyle name="集計 2 12 4 2 5 3 2" xfId="15377"/>
    <cellStyle name="集計 2 12 4 2 5 3 3" xfId="15378"/>
    <cellStyle name="集計 2 12 4 2 5 4" xfId="15379"/>
    <cellStyle name="集計 2 12 4 2 5 4 2" xfId="15380"/>
    <cellStyle name="集計 2 12 4 2 5 4 3" xfId="15381"/>
    <cellStyle name="集計 2 12 4 2 5 5" xfId="15382"/>
    <cellStyle name="集計 2 12 4 2 5 6" xfId="15383"/>
    <cellStyle name="集計 2 12 4 2 6" xfId="15384"/>
    <cellStyle name="集計 2 12 4 2 6 2" xfId="15385"/>
    <cellStyle name="集計 2 12 4 2 6 3" xfId="15386"/>
    <cellStyle name="集計 2 12 4 2 7" xfId="15387"/>
    <cellStyle name="集計 2 12 4 2 7 2" xfId="15388"/>
    <cellStyle name="集計 2 12 4 2 7 3" xfId="15389"/>
    <cellStyle name="集計 2 12 4 2 8" xfId="15390"/>
    <cellStyle name="集計 2 12 4 2 8 2" xfId="15391"/>
    <cellStyle name="集計 2 12 4 2 8 3" xfId="15392"/>
    <cellStyle name="集計 2 12 4 2 9" xfId="15393"/>
    <cellStyle name="集計 2 12 4 3" xfId="15394"/>
    <cellStyle name="集計 2 12 4 3 2" xfId="15395"/>
    <cellStyle name="集計 2 12 4 3 2 2" xfId="15396"/>
    <cellStyle name="集計 2 12 4 3 2 2 2" xfId="15397"/>
    <cellStyle name="集計 2 12 4 3 2 2 3" xfId="15398"/>
    <cellStyle name="集計 2 12 4 3 2 3" xfId="15399"/>
    <cellStyle name="集計 2 12 4 3 2 3 2" xfId="15400"/>
    <cellStyle name="集計 2 12 4 3 2 3 3" xfId="15401"/>
    <cellStyle name="集計 2 12 4 3 2 4" xfId="15402"/>
    <cellStyle name="集計 2 12 4 3 2 4 2" xfId="15403"/>
    <cellStyle name="集計 2 12 4 3 2 4 3" xfId="15404"/>
    <cellStyle name="集計 2 12 4 3 2 5" xfId="15405"/>
    <cellStyle name="集計 2 12 4 3 2 6" xfId="15406"/>
    <cellStyle name="集計 2 12 4 3 3" xfId="15407"/>
    <cellStyle name="集計 2 12 4 3 3 2" xfId="15408"/>
    <cellStyle name="集計 2 12 4 3 3 3" xfId="15409"/>
    <cellStyle name="集計 2 12 4 3 4" xfId="15410"/>
    <cellStyle name="集計 2 12 4 3 4 2" xfId="15411"/>
    <cellStyle name="集計 2 12 4 3 4 3" xfId="15412"/>
    <cellStyle name="集計 2 12 4 3 5" xfId="15413"/>
    <cellStyle name="集計 2 12 4 3 5 2" xfId="15414"/>
    <cellStyle name="集計 2 12 4 3 5 3" xfId="15415"/>
    <cellStyle name="集計 2 12 4 3 6" xfId="15416"/>
    <cellStyle name="集計 2 12 4 3 7" xfId="15417"/>
    <cellStyle name="集計 2 12 4 4" xfId="15418"/>
    <cellStyle name="集計 2 12 4 4 2" xfId="15419"/>
    <cellStyle name="集計 2 12 4 4 2 2" xfId="15420"/>
    <cellStyle name="集計 2 12 4 4 2 2 2" xfId="15421"/>
    <cellStyle name="集計 2 12 4 4 2 2 3" xfId="15422"/>
    <cellStyle name="集計 2 12 4 4 2 3" xfId="15423"/>
    <cellStyle name="集計 2 12 4 4 2 3 2" xfId="15424"/>
    <cellStyle name="集計 2 12 4 4 2 3 3" xfId="15425"/>
    <cellStyle name="集計 2 12 4 4 2 4" xfId="15426"/>
    <cellStyle name="集計 2 12 4 4 2 4 2" xfId="15427"/>
    <cellStyle name="集計 2 12 4 4 2 4 3" xfId="15428"/>
    <cellStyle name="集計 2 12 4 4 2 5" xfId="15429"/>
    <cellStyle name="集計 2 12 4 4 2 6" xfId="15430"/>
    <cellStyle name="集計 2 12 4 4 3" xfId="15431"/>
    <cellStyle name="集計 2 12 4 4 3 2" xfId="15432"/>
    <cellStyle name="集計 2 12 4 4 3 3" xfId="15433"/>
    <cellStyle name="集計 2 12 4 4 4" xfId="15434"/>
    <cellStyle name="集計 2 12 4 4 4 2" xfId="15435"/>
    <cellStyle name="集計 2 12 4 4 4 3" xfId="15436"/>
    <cellStyle name="集計 2 12 4 4 5" xfId="15437"/>
    <cellStyle name="集計 2 12 4 4 5 2" xfId="15438"/>
    <cellStyle name="集計 2 12 4 4 5 3" xfId="15439"/>
    <cellStyle name="集計 2 12 4 4 6" xfId="15440"/>
    <cellStyle name="集計 2 12 4 4 7" xfId="15441"/>
    <cellStyle name="集計 2 12 4 5" xfId="15442"/>
    <cellStyle name="集計 2 12 4 5 2" xfId="15443"/>
    <cellStyle name="集計 2 12 4 5 2 2" xfId="15444"/>
    <cellStyle name="集計 2 12 4 5 2 3" xfId="15445"/>
    <cellStyle name="集計 2 12 4 5 3" xfId="15446"/>
    <cellStyle name="集計 2 12 4 5 3 2" xfId="15447"/>
    <cellStyle name="集計 2 12 4 5 3 3" xfId="15448"/>
    <cellStyle name="集計 2 12 4 5 4" xfId="15449"/>
    <cellStyle name="集計 2 12 4 5 4 2" xfId="15450"/>
    <cellStyle name="集計 2 12 4 5 4 3" xfId="15451"/>
    <cellStyle name="集計 2 12 4 5 5" xfId="15452"/>
    <cellStyle name="集計 2 12 4 5 6" xfId="15453"/>
    <cellStyle name="集計 2 12 4 6" xfId="15454"/>
    <cellStyle name="集計 2 12 4 6 2" xfId="15455"/>
    <cellStyle name="集計 2 12 4 6 3" xfId="15456"/>
    <cellStyle name="集計 2 12 4 7" xfId="15457"/>
    <cellStyle name="集計 2 12 4 7 2" xfId="15458"/>
    <cellStyle name="集計 2 12 4 7 3" xfId="15459"/>
    <cellStyle name="集計 2 12 4 8" xfId="15460"/>
    <cellStyle name="集計 2 12 4 8 2" xfId="15461"/>
    <cellStyle name="集計 2 12 4 8 3" xfId="15462"/>
    <cellStyle name="集計 2 12 4 9" xfId="15463"/>
    <cellStyle name="集計 2 12 5" xfId="15464"/>
    <cellStyle name="集計 2 12 5 10" xfId="15465"/>
    <cellStyle name="集計 2 12 5 2" xfId="15466"/>
    <cellStyle name="集計 2 12 5 2 2" xfId="15467"/>
    <cellStyle name="集計 2 12 5 2 2 2" xfId="15468"/>
    <cellStyle name="集計 2 12 5 2 2 2 2" xfId="15469"/>
    <cellStyle name="集計 2 12 5 2 2 2 2 2" xfId="15470"/>
    <cellStyle name="集計 2 12 5 2 2 2 2 3" xfId="15471"/>
    <cellStyle name="集計 2 12 5 2 2 2 3" xfId="15472"/>
    <cellStyle name="集計 2 12 5 2 2 2 3 2" xfId="15473"/>
    <cellStyle name="集計 2 12 5 2 2 2 3 3" xfId="15474"/>
    <cellStyle name="集計 2 12 5 2 2 2 4" xfId="15475"/>
    <cellStyle name="集計 2 12 5 2 2 2 4 2" xfId="15476"/>
    <cellStyle name="集計 2 12 5 2 2 2 4 3" xfId="15477"/>
    <cellStyle name="集計 2 12 5 2 2 2 5" xfId="15478"/>
    <cellStyle name="集計 2 12 5 2 2 2 6" xfId="15479"/>
    <cellStyle name="集計 2 12 5 2 2 3" xfId="15480"/>
    <cellStyle name="集計 2 12 5 2 2 3 2" xfId="15481"/>
    <cellStyle name="集計 2 12 5 2 2 3 3" xfId="15482"/>
    <cellStyle name="集計 2 12 5 2 2 4" xfId="15483"/>
    <cellStyle name="集計 2 12 5 2 2 4 2" xfId="15484"/>
    <cellStyle name="集計 2 12 5 2 2 4 3" xfId="15485"/>
    <cellStyle name="集計 2 12 5 2 2 5" xfId="15486"/>
    <cellStyle name="集計 2 12 5 2 2 5 2" xfId="15487"/>
    <cellStyle name="集計 2 12 5 2 2 5 3" xfId="15488"/>
    <cellStyle name="集計 2 12 5 2 2 6" xfId="15489"/>
    <cellStyle name="集計 2 12 5 2 2 7" xfId="15490"/>
    <cellStyle name="集計 2 12 5 2 3" xfId="15491"/>
    <cellStyle name="集計 2 12 5 2 3 2" xfId="15492"/>
    <cellStyle name="集計 2 12 5 2 3 2 2" xfId="15493"/>
    <cellStyle name="集計 2 12 5 2 3 2 2 2" xfId="15494"/>
    <cellStyle name="集計 2 12 5 2 3 2 2 3" xfId="15495"/>
    <cellStyle name="集計 2 12 5 2 3 2 3" xfId="15496"/>
    <cellStyle name="集計 2 12 5 2 3 2 3 2" xfId="15497"/>
    <cellStyle name="集計 2 12 5 2 3 2 3 3" xfId="15498"/>
    <cellStyle name="集計 2 12 5 2 3 2 4" xfId="15499"/>
    <cellStyle name="集計 2 12 5 2 3 2 4 2" xfId="15500"/>
    <cellStyle name="集計 2 12 5 2 3 2 4 3" xfId="15501"/>
    <cellStyle name="集計 2 12 5 2 3 2 5" xfId="15502"/>
    <cellStyle name="集計 2 12 5 2 3 2 6" xfId="15503"/>
    <cellStyle name="集計 2 12 5 2 3 3" xfId="15504"/>
    <cellStyle name="集計 2 12 5 2 3 3 2" xfId="15505"/>
    <cellStyle name="集計 2 12 5 2 3 3 3" xfId="15506"/>
    <cellStyle name="集計 2 12 5 2 3 4" xfId="15507"/>
    <cellStyle name="集計 2 12 5 2 3 4 2" xfId="15508"/>
    <cellStyle name="集計 2 12 5 2 3 4 3" xfId="15509"/>
    <cellStyle name="集計 2 12 5 2 3 5" xfId="15510"/>
    <cellStyle name="集計 2 12 5 2 3 5 2" xfId="15511"/>
    <cellStyle name="集計 2 12 5 2 3 5 3" xfId="15512"/>
    <cellStyle name="集計 2 12 5 2 3 6" xfId="15513"/>
    <cellStyle name="集計 2 12 5 2 3 7" xfId="15514"/>
    <cellStyle name="集計 2 12 5 2 4" xfId="15515"/>
    <cellStyle name="集計 2 12 5 2 4 2" xfId="15516"/>
    <cellStyle name="集計 2 12 5 2 4 2 2" xfId="15517"/>
    <cellStyle name="集計 2 12 5 2 4 2 3" xfId="15518"/>
    <cellStyle name="集計 2 12 5 2 4 3" xfId="15519"/>
    <cellStyle name="集計 2 12 5 2 4 3 2" xfId="15520"/>
    <cellStyle name="集計 2 12 5 2 4 3 3" xfId="15521"/>
    <cellStyle name="集計 2 12 5 2 4 4" xfId="15522"/>
    <cellStyle name="集計 2 12 5 2 4 4 2" xfId="15523"/>
    <cellStyle name="集計 2 12 5 2 4 4 3" xfId="15524"/>
    <cellStyle name="集計 2 12 5 2 4 5" xfId="15525"/>
    <cellStyle name="集計 2 12 5 2 4 6" xfId="15526"/>
    <cellStyle name="集計 2 12 5 2 5" xfId="15527"/>
    <cellStyle name="集計 2 12 5 2 5 2" xfId="15528"/>
    <cellStyle name="集計 2 12 5 2 5 3" xfId="15529"/>
    <cellStyle name="集計 2 12 5 2 6" xfId="15530"/>
    <cellStyle name="集計 2 12 5 2 6 2" xfId="15531"/>
    <cellStyle name="集計 2 12 5 2 6 3" xfId="15532"/>
    <cellStyle name="集計 2 12 5 2 7" xfId="15533"/>
    <cellStyle name="集計 2 12 5 2 7 2" xfId="15534"/>
    <cellStyle name="集計 2 12 5 2 7 3" xfId="15535"/>
    <cellStyle name="集計 2 12 5 2 8" xfId="15536"/>
    <cellStyle name="集計 2 12 5 2 9" xfId="15537"/>
    <cellStyle name="集計 2 12 5 3" xfId="15538"/>
    <cellStyle name="集計 2 12 5 3 2" xfId="15539"/>
    <cellStyle name="集計 2 12 5 3 2 2" xfId="15540"/>
    <cellStyle name="集計 2 12 5 3 2 2 2" xfId="15541"/>
    <cellStyle name="集計 2 12 5 3 2 2 3" xfId="15542"/>
    <cellStyle name="集計 2 12 5 3 2 3" xfId="15543"/>
    <cellStyle name="集計 2 12 5 3 2 3 2" xfId="15544"/>
    <cellStyle name="集計 2 12 5 3 2 3 3" xfId="15545"/>
    <cellStyle name="集計 2 12 5 3 2 4" xfId="15546"/>
    <cellStyle name="集計 2 12 5 3 2 4 2" xfId="15547"/>
    <cellStyle name="集計 2 12 5 3 2 4 3" xfId="15548"/>
    <cellStyle name="集計 2 12 5 3 2 5" xfId="15549"/>
    <cellStyle name="集計 2 12 5 3 2 6" xfId="15550"/>
    <cellStyle name="集計 2 12 5 3 3" xfId="15551"/>
    <cellStyle name="集計 2 12 5 3 3 2" xfId="15552"/>
    <cellStyle name="集計 2 12 5 3 3 3" xfId="15553"/>
    <cellStyle name="集計 2 12 5 3 4" xfId="15554"/>
    <cellStyle name="集計 2 12 5 3 4 2" xfId="15555"/>
    <cellStyle name="集計 2 12 5 3 4 3" xfId="15556"/>
    <cellStyle name="集計 2 12 5 3 5" xfId="15557"/>
    <cellStyle name="集計 2 12 5 3 5 2" xfId="15558"/>
    <cellStyle name="集計 2 12 5 3 5 3" xfId="15559"/>
    <cellStyle name="集計 2 12 5 3 6" xfId="15560"/>
    <cellStyle name="集計 2 12 5 3 7" xfId="15561"/>
    <cellStyle name="集計 2 12 5 4" xfId="15562"/>
    <cellStyle name="集計 2 12 5 4 2" xfId="15563"/>
    <cellStyle name="集計 2 12 5 4 2 2" xfId="15564"/>
    <cellStyle name="集計 2 12 5 4 2 2 2" xfId="15565"/>
    <cellStyle name="集計 2 12 5 4 2 2 3" xfId="15566"/>
    <cellStyle name="集計 2 12 5 4 2 3" xfId="15567"/>
    <cellStyle name="集計 2 12 5 4 2 3 2" xfId="15568"/>
    <cellStyle name="集計 2 12 5 4 2 3 3" xfId="15569"/>
    <cellStyle name="集計 2 12 5 4 2 4" xfId="15570"/>
    <cellStyle name="集計 2 12 5 4 2 4 2" xfId="15571"/>
    <cellStyle name="集計 2 12 5 4 2 4 3" xfId="15572"/>
    <cellStyle name="集計 2 12 5 4 2 5" xfId="15573"/>
    <cellStyle name="集計 2 12 5 4 2 6" xfId="15574"/>
    <cellStyle name="集計 2 12 5 4 3" xfId="15575"/>
    <cellStyle name="集計 2 12 5 4 3 2" xfId="15576"/>
    <cellStyle name="集計 2 12 5 4 3 3" xfId="15577"/>
    <cellStyle name="集計 2 12 5 4 4" xfId="15578"/>
    <cellStyle name="集計 2 12 5 4 4 2" xfId="15579"/>
    <cellStyle name="集計 2 12 5 4 4 3" xfId="15580"/>
    <cellStyle name="集計 2 12 5 4 5" xfId="15581"/>
    <cellStyle name="集計 2 12 5 4 5 2" xfId="15582"/>
    <cellStyle name="集計 2 12 5 4 5 3" xfId="15583"/>
    <cellStyle name="集計 2 12 5 4 6" xfId="15584"/>
    <cellStyle name="集計 2 12 5 4 7" xfId="15585"/>
    <cellStyle name="集計 2 12 5 5" xfId="15586"/>
    <cellStyle name="集計 2 12 5 5 2" xfId="15587"/>
    <cellStyle name="集計 2 12 5 5 2 2" xfId="15588"/>
    <cellStyle name="集計 2 12 5 5 2 3" xfId="15589"/>
    <cellStyle name="集計 2 12 5 5 3" xfId="15590"/>
    <cellStyle name="集計 2 12 5 5 3 2" xfId="15591"/>
    <cellStyle name="集計 2 12 5 5 3 3" xfId="15592"/>
    <cellStyle name="集計 2 12 5 5 4" xfId="15593"/>
    <cellStyle name="集計 2 12 5 5 4 2" xfId="15594"/>
    <cellStyle name="集計 2 12 5 5 4 3" xfId="15595"/>
    <cellStyle name="集計 2 12 5 5 5" xfId="15596"/>
    <cellStyle name="集計 2 12 5 5 6" xfId="15597"/>
    <cellStyle name="集計 2 12 5 6" xfId="15598"/>
    <cellStyle name="集計 2 12 5 6 2" xfId="15599"/>
    <cellStyle name="集計 2 12 5 6 3" xfId="15600"/>
    <cellStyle name="集計 2 12 5 7" xfId="15601"/>
    <cellStyle name="集計 2 12 5 7 2" xfId="15602"/>
    <cellStyle name="集計 2 12 5 7 3" xfId="15603"/>
    <cellStyle name="集計 2 12 5 8" xfId="15604"/>
    <cellStyle name="集計 2 12 5 8 2" xfId="15605"/>
    <cellStyle name="集計 2 12 5 8 3" xfId="15606"/>
    <cellStyle name="集計 2 12 5 9" xfId="15607"/>
    <cellStyle name="集計 2 12 6" xfId="15608"/>
    <cellStyle name="集計 2 12 6 10" xfId="15609"/>
    <cellStyle name="集計 2 12 6 2" xfId="15610"/>
    <cellStyle name="集計 2 12 6 2 2" xfId="15611"/>
    <cellStyle name="集計 2 12 6 2 2 2" xfId="15612"/>
    <cellStyle name="集計 2 12 6 2 2 2 2" xfId="15613"/>
    <cellStyle name="集計 2 12 6 2 2 2 2 2" xfId="15614"/>
    <cellStyle name="集計 2 12 6 2 2 2 2 3" xfId="15615"/>
    <cellStyle name="集計 2 12 6 2 2 2 3" xfId="15616"/>
    <cellStyle name="集計 2 12 6 2 2 2 3 2" xfId="15617"/>
    <cellStyle name="集計 2 12 6 2 2 2 3 3" xfId="15618"/>
    <cellStyle name="集計 2 12 6 2 2 2 4" xfId="15619"/>
    <cellStyle name="集計 2 12 6 2 2 2 4 2" xfId="15620"/>
    <cellStyle name="集計 2 12 6 2 2 2 4 3" xfId="15621"/>
    <cellStyle name="集計 2 12 6 2 2 2 5" xfId="15622"/>
    <cellStyle name="集計 2 12 6 2 2 2 6" xfId="15623"/>
    <cellStyle name="集計 2 12 6 2 2 3" xfId="15624"/>
    <cellStyle name="集計 2 12 6 2 2 3 2" xfId="15625"/>
    <cellStyle name="集計 2 12 6 2 2 3 3" xfId="15626"/>
    <cellStyle name="集計 2 12 6 2 2 4" xfId="15627"/>
    <cellStyle name="集計 2 12 6 2 2 4 2" xfId="15628"/>
    <cellStyle name="集計 2 12 6 2 2 4 3" xfId="15629"/>
    <cellStyle name="集計 2 12 6 2 2 5" xfId="15630"/>
    <cellStyle name="集計 2 12 6 2 2 5 2" xfId="15631"/>
    <cellStyle name="集計 2 12 6 2 2 5 3" xfId="15632"/>
    <cellStyle name="集計 2 12 6 2 2 6" xfId="15633"/>
    <cellStyle name="集計 2 12 6 2 2 7" xfId="15634"/>
    <cellStyle name="集計 2 12 6 2 3" xfId="15635"/>
    <cellStyle name="集計 2 12 6 2 3 2" xfId="15636"/>
    <cellStyle name="集計 2 12 6 2 3 2 2" xfId="15637"/>
    <cellStyle name="集計 2 12 6 2 3 2 2 2" xfId="15638"/>
    <cellStyle name="集計 2 12 6 2 3 2 2 3" xfId="15639"/>
    <cellStyle name="集計 2 12 6 2 3 2 3" xfId="15640"/>
    <cellStyle name="集計 2 12 6 2 3 2 3 2" xfId="15641"/>
    <cellStyle name="集計 2 12 6 2 3 2 3 3" xfId="15642"/>
    <cellStyle name="集計 2 12 6 2 3 2 4" xfId="15643"/>
    <cellStyle name="集計 2 12 6 2 3 2 4 2" xfId="15644"/>
    <cellStyle name="集計 2 12 6 2 3 2 4 3" xfId="15645"/>
    <cellStyle name="集計 2 12 6 2 3 2 5" xfId="15646"/>
    <cellStyle name="集計 2 12 6 2 3 2 6" xfId="15647"/>
    <cellStyle name="集計 2 12 6 2 3 3" xfId="15648"/>
    <cellStyle name="集計 2 12 6 2 3 3 2" xfId="15649"/>
    <cellStyle name="集計 2 12 6 2 3 3 3" xfId="15650"/>
    <cellStyle name="集計 2 12 6 2 3 4" xfId="15651"/>
    <cellStyle name="集計 2 12 6 2 3 4 2" xfId="15652"/>
    <cellStyle name="集計 2 12 6 2 3 4 3" xfId="15653"/>
    <cellStyle name="集計 2 12 6 2 3 5" xfId="15654"/>
    <cellStyle name="集計 2 12 6 2 3 5 2" xfId="15655"/>
    <cellStyle name="集計 2 12 6 2 3 5 3" xfId="15656"/>
    <cellStyle name="集計 2 12 6 2 3 6" xfId="15657"/>
    <cellStyle name="集計 2 12 6 2 3 7" xfId="15658"/>
    <cellStyle name="集計 2 12 6 2 4" xfId="15659"/>
    <cellStyle name="集計 2 12 6 2 4 2" xfId="15660"/>
    <cellStyle name="集計 2 12 6 2 4 2 2" xfId="15661"/>
    <cellStyle name="集計 2 12 6 2 4 2 3" xfId="15662"/>
    <cellStyle name="集計 2 12 6 2 4 3" xfId="15663"/>
    <cellStyle name="集計 2 12 6 2 4 3 2" xfId="15664"/>
    <cellStyle name="集計 2 12 6 2 4 3 3" xfId="15665"/>
    <cellStyle name="集計 2 12 6 2 4 4" xfId="15666"/>
    <cellStyle name="集計 2 12 6 2 4 4 2" xfId="15667"/>
    <cellStyle name="集計 2 12 6 2 4 4 3" xfId="15668"/>
    <cellStyle name="集計 2 12 6 2 4 5" xfId="15669"/>
    <cellStyle name="集計 2 12 6 2 4 6" xfId="15670"/>
    <cellStyle name="集計 2 12 6 2 5" xfId="15671"/>
    <cellStyle name="集計 2 12 6 2 5 2" xfId="15672"/>
    <cellStyle name="集計 2 12 6 2 5 3" xfId="15673"/>
    <cellStyle name="集計 2 12 6 2 6" xfId="15674"/>
    <cellStyle name="集計 2 12 6 2 6 2" xfId="15675"/>
    <cellStyle name="集計 2 12 6 2 6 3" xfId="15676"/>
    <cellStyle name="集計 2 12 6 2 7" xfId="15677"/>
    <cellStyle name="集計 2 12 6 2 7 2" xfId="15678"/>
    <cellStyle name="集計 2 12 6 2 7 3" xfId="15679"/>
    <cellStyle name="集計 2 12 6 2 8" xfId="15680"/>
    <cellStyle name="集計 2 12 6 2 9" xfId="15681"/>
    <cellStyle name="集計 2 12 6 3" xfId="15682"/>
    <cellStyle name="集計 2 12 6 3 2" xfId="15683"/>
    <cellStyle name="集計 2 12 6 3 2 2" xfId="15684"/>
    <cellStyle name="集計 2 12 6 3 2 2 2" xfId="15685"/>
    <cellStyle name="集計 2 12 6 3 2 2 3" xfId="15686"/>
    <cellStyle name="集計 2 12 6 3 2 3" xfId="15687"/>
    <cellStyle name="集計 2 12 6 3 2 3 2" xfId="15688"/>
    <cellStyle name="集計 2 12 6 3 2 3 3" xfId="15689"/>
    <cellStyle name="集計 2 12 6 3 2 4" xfId="15690"/>
    <cellStyle name="集計 2 12 6 3 2 4 2" xfId="15691"/>
    <cellStyle name="集計 2 12 6 3 2 4 3" xfId="15692"/>
    <cellStyle name="集計 2 12 6 3 2 5" xfId="15693"/>
    <cellStyle name="集計 2 12 6 3 2 6" xfId="15694"/>
    <cellStyle name="集計 2 12 6 3 3" xfId="15695"/>
    <cellStyle name="集計 2 12 6 3 3 2" xfId="15696"/>
    <cellStyle name="集計 2 12 6 3 3 3" xfId="15697"/>
    <cellStyle name="集計 2 12 6 3 4" xfId="15698"/>
    <cellStyle name="集計 2 12 6 3 4 2" xfId="15699"/>
    <cellStyle name="集計 2 12 6 3 4 3" xfId="15700"/>
    <cellStyle name="集計 2 12 6 3 5" xfId="15701"/>
    <cellStyle name="集計 2 12 6 3 5 2" xfId="15702"/>
    <cellStyle name="集計 2 12 6 3 5 3" xfId="15703"/>
    <cellStyle name="集計 2 12 6 3 6" xfId="15704"/>
    <cellStyle name="集計 2 12 6 3 7" xfId="15705"/>
    <cellStyle name="集計 2 12 6 4" xfId="15706"/>
    <cellStyle name="集計 2 12 6 4 2" xfId="15707"/>
    <cellStyle name="集計 2 12 6 4 2 2" xfId="15708"/>
    <cellStyle name="集計 2 12 6 4 2 2 2" xfId="15709"/>
    <cellStyle name="集計 2 12 6 4 2 2 3" xfId="15710"/>
    <cellStyle name="集計 2 12 6 4 2 3" xfId="15711"/>
    <cellStyle name="集計 2 12 6 4 2 3 2" xfId="15712"/>
    <cellStyle name="集計 2 12 6 4 2 3 3" xfId="15713"/>
    <cellStyle name="集計 2 12 6 4 2 4" xfId="15714"/>
    <cellStyle name="集計 2 12 6 4 2 4 2" xfId="15715"/>
    <cellStyle name="集計 2 12 6 4 2 4 3" xfId="15716"/>
    <cellStyle name="集計 2 12 6 4 2 5" xfId="15717"/>
    <cellStyle name="集計 2 12 6 4 2 6" xfId="15718"/>
    <cellStyle name="集計 2 12 6 4 3" xfId="15719"/>
    <cellStyle name="集計 2 12 6 4 3 2" xfId="15720"/>
    <cellStyle name="集計 2 12 6 4 3 3" xfId="15721"/>
    <cellStyle name="集計 2 12 6 4 4" xfId="15722"/>
    <cellStyle name="集計 2 12 6 4 4 2" xfId="15723"/>
    <cellStyle name="集計 2 12 6 4 4 3" xfId="15724"/>
    <cellStyle name="集計 2 12 6 4 5" xfId="15725"/>
    <cellStyle name="集計 2 12 6 4 5 2" xfId="15726"/>
    <cellStyle name="集計 2 12 6 4 5 3" xfId="15727"/>
    <cellStyle name="集計 2 12 6 4 6" xfId="15728"/>
    <cellStyle name="集計 2 12 6 4 7" xfId="15729"/>
    <cellStyle name="集計 2 12 6 5" xfId="15730"/>
    <cellStyle name="集計 2 12 6 5 2" xfId="15731"/>
    <cellStyle name="集計 2 12 6 5 2 2" xfId="15732"/>
    <cellStyle name="集計 2 12 6 5 2 3" xfId="15733"/>
    <cellStyle name="集計 2 12 6 5 3" xfId="15734"/>
    <cellStyle name="集計 2 12 6 5 3 2" xfId="15735"/>
    <cellStyle name="集計 2 12 6 5 3 3" xfId="15736"/>
    <cellStyle name="集計 2 12 6 5 4" xfId="15737"/>
    <cellStyle name="集計 2 12 6 5 4 2" xfId="15738"/>
    <cellStyle name="集計 2 12 6 5 4 3" xfId="15739"/>
    <cellStyle name="集計 2 12 6 5 5" xfId="15740"/>
    <cellStyle name="集計 2 12 6 5 6" xfId="15741"/>
    <cellStyle name="集計 2 12 6 6" xfId="15742"/>
    <cellStyle name="集計 2 12 6 6 2" xfId="15743"/>
    <cellStyle name="集計 2 12 6 6 3" xfId="15744"/>
    <cellStyle name="集計 2 12 6 7" xfId="15745"/>
    <cellStyle name="集計 2 12 6 7 2" xfId="15746"/>
    <cellStyle name="集計 2 12 6 7 3" xfId="15747"/>
    <cellStyle name="集計 2 12 6 8" xfId="15748"/>
    <cellStyle name="集計 2 12 6 8 2" xfId="15749"/>
    <cellStyle name="集計 2 12 6 8 3" xfId="15750"/>
    <cellStyle name="集計 2 12 6 9" xfId="15751"/>
    <cellStyle name="集計 2 12 7" xfId="15752"/>
    <cellStyle name="集計 2 12 7 2" xfId="15753"/>
    <cellStyle name="集計 2 12 7 2 2" xfId="15754"/>
    <cellStyle name="集計 2 12 7 2 2 2" xfId="15755"/>
    <cellStyle name="集計 2 12 7 2 2 3" xfId="15756"/>
    <cellStyle name="集計 2 12 7 2 3" xfId="15757"/>
    <cellStyle name="集計 2 12 7 2 3 2" xfId="15758"/>
    <cellStyle name="集計 2 12 7 2 3 3" xfId="15759"/>
    <cellStyle name="集計 2 12 7 2 4" xfId="15760"/>
    <cellStyle name="集計 2 12 7 2 4 2" xfId="15761"/>
    <cellStyle name="集計 2 12 7 2 4 3" xfId="15762"/>
    <cellStyle name="集計 2 12 7 2 5" xfId="15763"/>
    <cellStyle name="集計 2 12 7 2 6" xfId="15764"/>
    <cellStyle name="集計 2 12 7 3" xfId="15765"/>
    <cellStyle name="集計 2 12 7 3 2" xfId="15766"/>
    <cellStyle name="集計 2 12 7 3 3" xfId="15767"/>
    <cellStyle name="集計 2 12 7 4" xfId="15768"/>
    <cellStyle name="集計 2 12 7 4 2" xfId="15769"/>
    <cellStyle name="集計 2 12 7 4 3" xfId="15770"/>
    <cellStyle name="集計 2 12 7 5" xfId="15771"/>
    <cellStyle name="集計 2 12 7 5 2" xfId="15772"/>
    <cellStyle name="集計 2 12 7 5 3" xfId="15773"/>
    <cellStyle name="集計 2 12 7 6" xfId="15774"/>
    <cellStyle name="集計 2 12 7 7" xfId="15775"/>
    <cellStyle name="集計 2 12 8" xfId="15776"/>
    <cellStyle name="集計 2 12 8 2" xfId="15777"/>
    <cellStyle name="集計 2 12 8 2 2" xfId="15778"/>
    <cellStyle name="集計 2 12 8 2 2 2" xfId="15779"/>
    <cellStyle name="集計 2 12 8 2 2 3" xfId="15780"/>
    <cellStyle name="集計 2 12 8 2 3" xfId="15781"/>
    <cellStyle name="集計 2 12 8 2 3 2" xfId="15782"/>
    <cellStyle name="集計 2 12 8 2 3 3" xfId="15783"/>
    <cellStyle name="集計 2 12 8 2 4" xfId="15784"/>
    <cellStyle name="集計 2 12 8 2 4 2" xfId="15785"/>
    <cellStyle name="集計 2 12 8 2 4 3" xfId="15786"/>
    <cellStyle name="集計 2 12 8 2 5" xfId="15787"/>
    <cellStyle name="集計 2 12 8 2 6" xfId="15788"/>
    <cellStyle name="集計 2 12 8 3" xfId="15789"/>
    <cellStyle name="集計 2 12 8 3 2" xfId="15790"/>
    <cellStyle name="集計 2 12 8 3 3" xfId="15791"/>
    <cellStyle name="集計 2 12 8 4" xfId="15792"/>
    <cellStyle name="集計 2 12 8 4 2" xfId="15793"/>
    <cellStyle name="集計 2 12 8 4 3" xfId="15794"/>
    <cellStyle name="集計 2 12 8 5" xfId="15795"/>
    <cellStyle name="集計 2 12 8 5 2" xfId="15796"/>
    <cellStyle name="集計 2 12 8 5 3" xfId="15797"/>
    <cellStyle name="集計 2 12 8 6" xfId="15798"/>
    <cellStyle name="集計 2 12 8 7" xfId="15799"/>
    <cellStyle name="集計 2 12 9" xfId="15800"/>
    <cellStyle name="集計 2 12 9 2" xfId="15801"/>
    <cellStyle name="集計 2 12 9 2 2" xfId="15802"/>
    <cellStyle name="集計 2 12 9 2 3" xfId="15803"/>
    <cellStyle name="集計 2 12 9 3" xfId="15804"/>
    <cellStyle name="集計 2 12 9 3 2" xfId="15805"/>
    <cellStyle name="集計 2 12 9 3 3" xfId="15806"/>
    <cellStyle name="集計 2 12 9 4" xfId="15807"/>
    <cellStyle name="集計 2 12 9 4 2" xfId="15808"/>
    <cellStyle name="集計 2 12 9 4 3" xfId="15809"/>
    <cellStyle name="集計 2 12 9 5" xfId="15810"/>
    <cellStyle name="集計 2 12 9 6" xfId="15811"/>
    <cellStyle name="集計 2 2" xfId="15812"/>
    <cellStyle name="集計 2 2 10" xfId="15813"/>
    <cellStyle name="集計 2 2 10 2" xfId="15814"/>
    <cellStyle name="集計 2 2 10 3" xfId="15815"/>
    <cellStyle name="集計 2 2 11" xfId="15816"/>
    <cellStyle name="集計 2 2 11 2" xfId="15817"/>
    <cellStyle name="集計 2 2 11 3" xfId="15818"/>
    <cellStyle name="集計 2 2 12" xfId="15819"/>
    <cellStyle name="集計 2 2 12 2" xfId="15820"/>
    <cellStyle name="集計 2 2 12 3" xfId="15821"/>
    <cellStyle name="集計 2 2 13" xfId="15822"/>
    <cellStyle name="集計 2 2 14" xfId="15823"/>
    <cellStyle name="集計 2 2 2" xfId="15824"/>
    <cellStyle name="集計 2 2 2 10" xfId="15825"/>
    <cellStyle name="集計 2 2 2 2" xfId="15826"/>
    <cellStyle name="集計 2 2 2 2 10" xfId="15827"/>
    <cellStyle name="集計 2 2 2 2 2" xfId="15828"/>
    <cellStyle name="集計 2 2 2 2 2 2" xfId="15829"/>
    <cellStyle name="集計 2 2 2 2 2 2 2" xfId="15830"/>
    <cellStyle name="集計 2 2 2 2 2 2 2 2" xfId="15831"/>
    <cellStyle name="集計 2 2 2 2 2 2 2 2 2" xfId="15832"/>
    <cellStyle name="集計 2 2 2 2 2 2 2 2 3" xfId="15833"/>
    <cellStyle name="集計 2 2 2 2 2 2 2 3" xfId="15834"/>
    <cellStyle name="集計 2 2 2 2 2 2 2 3 2" xfId="15835"/>
    <cellStyle name="集計 2 2 2 2 2 2 2 3 3" xfId="15836"/>
    <cellStyle name="集計 2 2 2 2 2 2 2 4" xfId="15837"/>
    <cellStyle name="集計 2 2 2 2 2 2 2 4 2" xfId="15838"/>
    <cellStyle name="集計 2 2 2 2 2 2 2 4 3" xfId="15839"/>
    <cellStyle name="集計 2 2 2 2 2 2 2 5" xfId="15840"/>
    <cellStyle name="集計 2 2 2 2 2 2 2 6" xfId="15841"/>
    <cellStyle name="集計 2 2 2 2 2 2 3" xfId="15842"/>
    <cellStyle name="集計 2 2 2 2 2 2 3 2" xfId="15843"/>
    <cellStyle name="集計 2 2 2 2 2 2 3 3" xfId="15844"/>
    <cellStyle name="集計 2 2 2 2 2 2 4" xfId="15845"/>
    <cellStyle name="集計 2 2 2 2 2 2 4 2" xfId="15846"/>
    <cellStyle name="集計 2 2 2 2 2 2 4 3" xfId="15847"/>
    <cellStyle name="集計 2 2 2 2 2 2 5" xfId="15848"/>
    <cellStyle name="集計 2 2 2 2 2 2 5 2" xfId="15849"/>
    <cellStyle name="集計 2 2 2 2 2 2 5 3" xfId="15850"/>
    <cellStyle name="集計 2 2 2 2 2 2 6" xfId="15851"/>
    <cellStyle name="集計 2 2 2 2 2 2 7" xfId="15852"/>
    <cellStyle name="集計 2 2 2 2 2 3" xfId="15853"/>
    <cellStyle name="集計 2 2 2 2 2 3 2" xfId="15854"/>
    <cellStyle name="集計 2 2 2 2 2 3 2 2" xfId="15855"/>
    <cellStyle name="集計 2 2 2 2 2 3 2 2 2" xfId="15856"/>
    <cellStyle name="集計 2 2 2 2 2 3 2 2 3" xfId="15857"/>
    <cellStyle name="集計 2 2 2 2 2 3 2 3" xfId="15858"/>
    <cellStyle name="集計 2 2 2 2 2 3 2 3 2" xfId="15859"/>
    <cellStyle name="集計 2 2 2 2 2 3 2 3 3" xfId="15860"/>
    <cellStyle name="集計 2 2 2 2 2 3 2 4" xfId="15861"/>
    <cellStyle name="集計 2 2 2 2 2 3 2 4 2" xfId="15862"/>
    <cellStyle name="集計 2 2 2 2 2 3 2 4 3" xfId="15863"/>
    <cellStyle name="集計 2 2 2 2 2 3 2 5" xfId="15864"/>
    <cellStyle name="集計 2 2 2 2 2 3 2 6" xfId="15865"/>
    <cellStyle name="集計 2 2 2 2 2 3 3" xfId="15866"/>
    <cellStyle name="集計 2 2 2 2 2 3 3 2" xfId="15867"/>
    <cellStyle name="集計 2 2 2 2 2 3 3 3" xfId="15868"/>
    <cellStyle name="集計 2 2 2 2 2 3 4" xfId="15869"/>
    <cellStyle name="集計 2 2 2 2 2 3 4 2" xfId="15870"/>
    <cellStyle name="集計 2 2 2 2 2 3 4 3" xfId="15871"/>
    <cellStyle name="集計 2 2 2 2 2 3 5" xfId="15872"/>
    <cellStyle name="集計 2 2 2 2 2 3 5 2" xfId="15873"/>
    <cellStyle name="集計 2 2 2 2 2 3 5 3" xfId="15874"/>
    <cellStyle name="集計 2 2 2 2 2 3 6" xfId="15875"/>
    <cellStyle name="集計 2 2 2 2 2 3 7" xfId="15876"/>
    <cellStyle name="集計 2 2 2 2 2 4" xfId="15877"/>
    <cellStyle name="集計 2 2 2 2 2 4 2" xfId="15878"/>
    <cellStyle name="集計 2 2 2 2 2 4 2 2" xfId="15879"/>
    <cellStyle name="集計 2 2 2 2 2 4 2 3" xfId="15880"/>
    <cellStyle name="集計 2 2 2 2 2 4 3" xfId="15881"/>
    <cellStyle name="集計 2 2 2 2 2 4 3 2" xfId="15882"/>
    <cellStyle name="集計 2 2 2 2 2 4 3 3" xfId="15883"/>
    <cellStyle name="集計 2 2 2 2 2 4 4" xfId="15884"/>
    <cellStyle name="集計 2 2 2 2 2 4 4 2" xfId="15885"/>
    <cellStyle name="集計 2 2 2 2 2 4 4 3" xfId="15886"/>
    <cellStyle name="集計 2 2 2 2 2 4 5" xfId="15887"/>
    <cellStyle name="集計 2 2 2 2 2 4 6" xfId="15888"/>
    <cellStyle name="集計 2 2 2 2 2 5" xfId="15889"/>
    <cellStyle name="集計 2 2 2 2 2 5 2" xfId="15890"/>
    <cellStyle name="集計 2 2 2 2 2 5 3" xfId="15891"/>
    <cellStyle name="集計 2 2 2 2 2 6" xfId="15892"/>
    <cellStyle name="集計 2 2 2 2 2 6 2" xfId="15893"/>
    <cellStyle name="集計 2 2 2 2 2 6 3" xfId="15894"/>
    <cellStyle name="集計 2 2 2 2 2 7" xfId="15895"/>
    <cellStyle name="集計 2 2 2 2 2 7 2" xfId="15896"/>
    <cellStyle name="集計 2 2 2 2 2 7 3" xfId="15897"/>
    <cellStyle name="集計 2 2 2 2 2 8" xfId="15898"/>
    <cellStyle name="集計 2 2 2 2 2 9" xfId="15899"/>
    <cellStyle name="集計 2 2 2 2 3" xfId="15900"/>
    <cellStyle name="集計 2 2 2 2 3 2" xfId="15901"/>
    <cellStyle name="集計 2 2 2 2 3 2 2" xfId="15902"/>
    <cellStyle name="集計 2 2 2 2 3 2 2 2" xfId="15903"/>
    <cellStyle name="集計 2 2 2 2 3 2 2 3" xfId="15904"/>
    <cellStyle name="集計 2 2 2 2 3 2 3" xfId="15905"/>
    <cellStyle name="集計 2 2 2 2 3 2 3 2" xfId="15906"/>
    <cellStyle name="集計 2 2 2 2 3 2 3 3" xfId="15907"/>
    <cellStyle name="集計 2 2 2 2 3 2 4" xfId="15908"/>
    <cellStyle name="集計 2 2 2 2 3 2 4 2" xfId="15909"/>
    <cellStyle name="集計 2 2 2 2 3 2 4 3" xfId="15910"/>
    <cellStyle name="集計 2 2 2 2 3 2 5" xfId="15911"/>
    <cellStyle name="集計 2 2 2 2 3 2 6" xfId="15912"/>
    <cellStyle name="集計 2 2 2 2 3 3" xfId="15913"/>
    <cellStyle name="集計 2 2 2 2 3 3 2" xfId="15914"/>
    <cellStyle name="集計 2 2 2 2 3 3 3" xfId="15915"/>
    <cellStyle name="集計 2 2 2 2 3 4" xfId="15916"/>
    <cellStyle name="集計 2 2 2 2 3 4 2" xfId="15917"/>
    <cellStyle name="集計 2 2 2 2 3 4 3" xfId="15918"/>
    <cellStyle name="集計 2 2 2 2 3 5" xfId="15919"/>
    <cellStyle name="集計 2 2 2 2 3 5 2" xfId="15920"/>
    <cellStyle name="集計 2 2 2 2 3 5 3" xfId="15921"/>
    <cellStyle name="集計 2 2 2 2 3 6" xfId="15922"/>
    <cellStyle name="集計 2 2 2 2 3 7" xfId="15923"/>
    <cellStyle name="集計 2 2 2 2 4" xfId="15924"/>
    <cellStyle name="集計 2 2 2 2 4 2" xfId="15925"/>
    <cellStyle name="集計 2 2 2 2 4 2 2" xfId="15926"/>
    <cellStyle name="集計 2 2 2 2 4 2 2 2" xfId="15927"/>
    <cellStyle name="集計 2 2 2 2 4 2 2 3" xfId="15928"/>
    <cellStyle name="集計 2 2 2 2 4 2 3" xfId="15929"/>
    <cellStyle name="集計 2 2 2 2 4 2 3 2" xfId="15930"/>
    <cellStyle name="集計 2 2 2 2 4 2 3 3" xfId="15931"/>
    <cellStyle name="集計 2 2 2 2 4 2 4" xfId="15932"/>
    <cellStyle name="集計 2 2 2 2 4 2 4 2" xfId="15933"/>
    <cellStyle name="集計 2 2 2 2 4 2 4 3" xfId="15934"/>
    <cellStyle name="集計 2 2 2 2 4 2 5" xfId="15935"/>
    <cellStyle name="集計 2 2 2 2 4 2 6" xfId="15936"/>
    <cellStyle name="集計 2 2 2 2 4 3" xfId="15937"/>
    <cellStyle name="集計 2 2 2 2 4 3 2" xfId="15938"/>
    <cellStyle name="集計 2 2 2 2 4 3 3" xfId="15939"/>
    <cellStyle name="集計 2 2 2 2 4 4" xfId="15940"/>
    <cellStyle name="集計 2 2 2 2 4 4 2" xfId="15941"/>
    <cellStyle name="集計 2 2 2 2 4 4 3" xfId="15942"/>
    <cellStyle name="集計 2 2 2 2 4 5" xfId="15943"/>
    <cellStyle name="集計 2 2 2 2 4 5 2" xfId="15944"/>
    <cellStyle name="集計 2 2 2 2 4 5 3" xfId="15945"/>
    <cellStyle name="集計 2 2 2 2 4 6" xfId="15946"/>
    <cellStyle name="集計 2 2 2 2 4 7" xfId="15947"/>
    <cellStyle name="集計 2 2 2 2 5" xfId="15948"/>
    <cellStyle name="集計 2 2 2 2 5 2" xfId="15949"/>
    <cellStyle name="集計 2 2 2 2 5 2 2" xfId="15950"/>
    <cellStyle name="集計 2 2 2 2 5 2 3" xfId="15951"/>
    <cellStyle name="集計 2 2 2 2 5 3" xfId="15952"/>
    <cellStyle name="集計 2 2 2 2 5 3 2" xfId="15953"/>
    <cellStyle name="集計 2 2 2 2 5 3 3" xfId="15954"/>
    <cellStyle name="集計 2 2 2 2 5 4" xfId="15955"/>
    <cellStyle name="集計 2 2 2 2 5 4 2" xfId="15956"/>
    <cellStyle name="集計 2 2 2 2 5 4 3" xfId="15957"/>
    <cellStyle name="集計 2 2 2 2 5 5" xfId="15958"/>
    <cellStyle name="集計 2 2 2 2 5 6" xfId="15959"/>
    <cellStyle name="集計 2 2 2 2 6" xfId="15960"/>
    <cellStyle name="集計 2 2 2 2 6 2" xfId="15961"/>
    <cellStyle name="集計 2 2 2 2 6 3" xfId="15962"/>
    <cellStyle name="集計 2 2 2 2 7" xfId="15963"/>
    <cellStyle name="集計 2 2 2 2 7 2" xfId="15964"/>
    <cellStyle name="集計 2 2 2 2 7 3" xfId="15965"/>
    <cellStyle name="集計 2 2 2 2 8" xfId="15966"/>
    <cellStyle name="集計 2 2 2 2 8 2" xfId="15967"/>
    <cellStyle name="集計 2 2 2 2 8 3" xfId="15968"/>
    <cellStyle name="集計 2 2 2 2 9" xfId="15969"/>
    <cellStyle name="集計 2 2 2 3" xfId="15970"/>
    <cellStyle name="集計 2 2 2 3 2" xfId="15971"/>
    <cellStyle name="集計 2 2 2 3 2 2" xfId="15972"/>
    <cellStyle name="集計 2 2 2 3 2 2 2" xfId="15973"/>
    <cellStyle name="集計 2 2 2 3 2 2 3" xfId="15974"/>
    <cellStyle name="集計 2 2 2 3 2 3" xfId="15975"/>
    <cellStyle name="集計 2 2 2 3 2 3 2" xfId="15976"/>
    <cellStyle name="集計 2 2 2 3 2 3 3" xfId="15977"/>
    <cellStyle name="集計 2 2 2 3 2 4" xfId="15978"/>
    <cellStyle name="集計 2 2 2 3 2 4 2" xfId="15979"/>
    <cellStyle name="集計 2 2 2 3 2 4 3" xfId="15980"/>
    <cellStyle name="集計 2 2 2 3 2 5" xfId="15981"/>
    <cellStyle name="集計 2 2 2 3 2 6" xfId="15982"/>
    <cellStyle name="集計 2 2 2 3 3" xfId="15983"/>
    <cellStyle name="集計 2 2 2 3 3 2" xfId="15984"/>
    <cellStyle name="集計 2 2 2 3 3 3" xfId="15985"/>
    <cellStyle name="集計 2 2 2 3 4" xfId="15986"/>
    <cellStyle name="集計 2 2 2 3 4 2" xfId="15987"/>
    <cellStyle name="集計 2 2 2 3 4 3" xfId="15988"/>
    <cellStyle name="集計 2 2 2 3 5" xfId="15989"/>
    <cellStyle name="集計 2 2 2 3 5 2" xfId="15990"/>
    <cellStyle name="集計 2 2 2 3 5 3" xfId="15991"/>
    <cellStyle name="集計 2 2 2 3 6" xfId="15992"/>
    <cellStyle name="集計 2 2 2 3 7" xfId="15993"/>
    <cellStyle name="集計 2 2 2 4" xfId="15994"/>
    <cellStyle name="集計 2 2 2 4 2" xfId="15995"/>
    <cellStyle name="集計 2 2 2 4 2 2" xfId="15996"/>
    <cellStyle name="集計 2 2 2 4 2 2 2" xfId="15997"/>
    <cellStyle name="集計 2 2 2 4 2 2 3" xfId="15998"/>
    <cellStyle name="集計 2 2 2 4 2 3" xfId="15999"/>
    <cellStyle name="集計 2 2 2 4 2 3 2" xfId="16000"/>
    <cellStyle name="集計 2 2 2 4 2 3 3" xfId="16001"/>
    <cellStyle name="集計 2 2 2 4 2 4" xfId="16002"/>
    <cellStyle name="集計 2 2 2 4 2 4 2" xfId="16003"/>
    <cellStyle name="集計 2 2 2 4 2 4 3" xfId="16004"/>
    <cellStyle name="集計 2 2 2 4 2 5" xfId="16005"/>
    <cellStyle name="集計 2 2 2 4 2 6" xfId="16006"/>
    <cellStyle name="集計 2 2 2 4 3" xfId="16007"/>
    <cellStyle name="集計 2 2 2 4 3 2" xfId="16008"/>
    <cellStyle name="集計 2 2 2 4 3 3" xfId="16009"/>
    <cellStyle name="集計 2 2 2 4 4" xfId="16010"/>
    <cellStyle name="集計 2 2 2 4 4 2" xfId="16011"/>
    <cellStyle name="集計 2 2 2 4 4 3" xfId="16012"/>
    <cellStyle name="集計 2 2 2 4 5" xfId="16013"/>
    <cellStyle name="集計 2 2 2 4 5 2" xfId="16014"/>
    <cellStyle name="集計 2 2 2 4 5 3" xfId="16015"/>
    <cellStyle name="集計 2 2 2 4 6" xfId="16016"/>
    <cellStyle name="集計 2 2 2 4 7" xfId="16017"/>
    <cellStyle name="集計 2 2 2 5" xfId="16018"/>
    <cellStyle name="集計 2 2 2 5 2" xfId="16019"/>
    <cellStyle name="集計 2 2 2 5 2 2" xfId="16020"/>
    <cellStyle name="集計 2 2 2 5 2 3" xfId="16021"/>
    <cellStyle name="集計 2 2 2 5 3" xfId="16022"/>
    <cellStyle name="集計 2 2 2 5 3 2" xfId="16023"/>
    <cellStyle name="集計 2 2 2 5 3 3" xfId="16024"/>
    <cellStyle name="集計 2 2 2 5 4" xfId="16025"/>
    <cellStyle name="集計 2 2 2 5 4 2" xfId="16026"/>
    <cellStyle name="集計 2 2 2 5 4 3" xfId="16027"/>
    <cellStyle name="集計 2 2 2 5 5" xfId="16028"/>
    <cellStyle name="集計 2 2 2 5 6" xfId="16029"/>
    <cellStyle name="集計 2 2 2 6" xfId="16030"/>
    <cellStyle name="集計 2 2 2 6 2" xfId="16031"/>
    <cellStyle name="集計 2 2 2 6 3" xfId="16032"/>
    <cellStyle name="集計 2 2 2 7" xfId="16033"/>
    <cellStyle name="集計 2 2 2 7 2" xfId="16034"/>
    <cellStyle name="集計 2 2 2 7 3" xfId="16035"/>
    <cellStyle name="集計 2 2 2 8" xfId="16036"/>
    <cellStyle name="集計 2 2 2 8 2" xfId="16037"/>
    <cellStyle name="集計 2 2 2 8 3" xfId="16038"/>
    <cellStyle name="集計 2 2 2 9" xfId="16039"/>
    <cellStyle name="集計 2 2 3" xfId="16040"/>
    <cellStyle name="集計 2 2 3 10" xfId="16041"/>
    <cellStyle name="集計 2 2 3 2" xfId="16042"/>
    <cellStyle name="集計 2 2 3 2 10" xfId="16043"/>
    <cellStyle name="集計 2 2 3 2 2" xfId="16044"/>
    <cellStyle name="集計 2 2 3 2 2 2" xfId="16045"/>
    <cellStyle name="集計 2 2 3 2 2 2 2" xfId="16046"/>
    <cellStyle name="集計 2 2 3 2 2 2 2 2" xfId="16047"/>
    <cellStyle name="集計 2 2 3 2 2 2 2 2 2" xfId="16048"/>
    <cellStyle name="集計 2 2 3 2 2 2 2 2 3" xfId="16049"/>
    <cellStyle name="集計 2 2 3 2 2 2 2 3" xfId="16050"/>
    <cellStyle name="集計 2 2 3 2 2 2 2 3 2" xfId="16051"/>
    <cellStyle name="集計 2 2 3 2 2 2 2 3 3" xfId="16052"/>
    <cellStyle name="集計 2 2 3 2 2 2 2 4" xfId="16053"/>
    <cellStyle name="集計 2 2 3 2 2 2 2 4 2" xfId="16054"/>
    <cellStyle name="集計 2 2 3 2 2 2 2 4 3" xfId="16055"/>
    <cellStyle name="集計 2 2 3 2 2 2 2 5" xfId="16056"/>
    <cellStyle name="集計 2 2 3 2 2 2 2 6" xfId="16057"/>
    <cellStyle name="集計 2 2 3 2 2 2 3" xfId="16058"/>
    <cellStyle name="集計 2 2 3 2 2 2 3 2" xfId="16059"/>
    <cellStyle name="集計 2 2 3 2 2 2 3 3" xfId="16060"/>
    <cellStyle name="集計 2 2 3 2 2 2 4" xfId="16061"/>
    <cellStyle name="集計 2 2 3 2 2 2 4 2" xfId="16062"/>
    <cellStyle name="集計 2 2 3 2 2 2 4 3" xfId="16063"/>
    <cellStyle name="集計 2 2 3 2 2 2 5" xfId="16064"/>
    <cellStyle name="集計 2 2 3 2 2 2 5 2" xfId="16065"/>
    <cellStyle name="集計 2 2 3 2 2 2 5 3" xfId="16066"/>
    <cellStyle name="集計 2 2 3 2 2 2 6" xfId="16067"/>
    <cellStyle name="集計 2 2 3 2 2 2 7" xfId="16068"/>
    <cellStyle name="集計 2 2 3 2 2 3" xfId="16069"/>
    <cellStyle name="集計 2 2 3 2 2 3 2" xfId="16070"/>
    <cellStyle name="集計 2 2 3 2 2 3 2 2" xfId="16071"/>
    <cellStyle name="集計 2 2 3 2 2 3 2 2 2" xfId="16072"/>
    <cellStyle name="集計 2 2 3 2 2 3 2 2 3" xfId="16073"/>
    <cellStyle name="集計 2 2 3 2 2 3 2 3" xfId="16074"/>
    <cellStyle name="集計 2 2 3 2 2 3 2 3 2" xfId="16075"/>
    <cellStyle name="集計 2 2 3 2 2 3 2 3 3" xfId="16076"/>
    <cellStyle name="集計 2 2 3 2 2 3 2 4" xfId="16077"/>
    <cellStyle name="集計 2 2 3 2 2 3 2 4 2" xfId="16078"/>
    <cellStyle name="集計 2 2 3 2 2 3 2 4 3" xfId="16079"/>
    <cellStyle name="集計 2 2 3 2 2 3 2 5" xfId="16080"/>
    <cellStyle name="集計 2 2 3 2 2 3 2 6" xfId="16081"/>
    <cellStyle name="集計 2 2 3 2 2 3 3" xfId="16082"/>
    <cellStyle name="集計 2 2 3 2 2 3 3 2" xfId="16083"/>
    <cellStyle name="集計 2 2 3 2 2 3 3 3" xfId="16084"/>
    <cellStyle name="集計 2 2 3 2 2 3 4" xfId="16085"/>
    <cellStyle name="集計 2 2 3 2 2 3 4 2" xfId="16086"/>
    <cellStyle name="集計 2 2 3 2 2 3 4 3" xfId="16087"/>
    <cellStyle name="集計 2 2 3 2 2 3 5" xfId="16088"/>
    <cellStyle name="集計 2 2 3 2 2 3 5 2" xfId="16089"/>
    <cellStyle name="集計 2 2 3 2 2 3 5 3" xfId="16090"/>
    <cellStyle name="集計 2 2 3 2 2 3 6" xfId="16091"/>
    <cellStyle name="集計 2 2 3 2 2 3 7" xfId="16092"/>
    <cellStyle name="集計 2 2 3 2 2 4" xfId="16093"/>
    <cellStyle name="集計 2 2 3 2 2 4 2" xfId="16094"/>
    <cellStyle name="集計 2 2 3 2 2 4 2 2" xfId="16095"/>
    <cellStyle name="集計 2 2 3 2 2 4 2 3" xfId="16096"/>
    <cellStyle name="集計 2 2 3 2 2 4 3" xfId="16097"/>
    <cellStyle name="集計 2 2 3 2 2 4 3 2" xfId="16098"/>
    <cellStyle name="集計 2 2 3 2 2 4 3 3" xfId="16099"/>
    <cellStyle name="集計 2 2 3 2 2 4 4" xfId="16100"/>
    <cellStyle name="集計 2 2 3 2 2 4 4 2" xfId="16101"/>
    <cellStyle name="集計 2 2 3 2 2 4 4 3" xfId="16102"/>
    <cellStyle name="集計 2 2 3 2 2 4 5" xfId="16103"/>
    <cellStyle name="集計 2 2 3 2 2 4 6" xfId="16104"/>
    <cellStyle name="集計 2 2 3 2 2 5" xfId="16105"/>
    <cellStyle name="集計 2 2 3 2 2 5 2" xfId="16106"/>
    <cellStyle name="集計 2 2 3 2 2 5 3" xfId="16107"/>
    <cellStyle name="集計 2 2 3 2 2 6" xfId="16108"/>
    <cellStyle name="集計 2 2 3 2 2 6 2" xfId="16109"/>
    <cellStyle name="集計 2 2 3 2 2 6 3" xfId="16110"/>
    <cellStyle name="集計 2 2 3 2 2 7" xfId="16111"/>
    <cellStyle name="集計 2 2 3 2 2 7 2" xfId="16112"/>
    <cellStyle name="集計 2 2 3 2 2 7 3" xfId="16113"/>
    <cellStyle name="集計 2 2 3 2 2 8" xfId="16114"/>
    <cellStyle name="集計 2 2 3 2 2 9" xfId="16115"/>
    <cellStyle name="集計 2 2 3 2 3" xfId="16116"/>
    <cellStyle name="集計 2 2 3 2 3 2" xfId="16117"/>
    <cellStyle name="集計 2 2 3 2 3 2 2" xfId="16118"/>
    <cellStyle name="集計 2 2 3 2 3 2 2 2" xfId="16119"/>
    <cellStyle name="集計 2 2 3 2 3 2 2 3" xfId="16120"/>
    <cellStyle name="集計 2 2 3 2 3 2 3" xfId="16121"/>
    <cellStyle name="集計 2 2 3 2 3 2 3 2" xfId="16122"/>
    <cellStyle name="集計 2 2 3 2 3 2 3 3" xfId="16123"/>
    <cellStyle name="集計 2 2 3 2 3 2 4" xfId="16124"/>
    <cellStyle name="集計 2 2 3 2 3 2 4 2" xfId="16125"/>
    <cellStyle name="集計 2 2 3 2 3 2 4 3" xfId="16126"/>
    <cellStyle name="集計 2 2 3 2 3 2 5" xfId="16127"/>
    <cellStyle name="集計 2 2 3 2 3 2 6" xfId="16128"/>
    <cellStyle name="集計 2 2 3 2 3 3" xfId="16129"/>
    <cellStyle name="集計 2 2 3 2 3 3 2" xfId="16130"/>
    <cellStyle name="集計 2 2 3 2 3 3 3" xfId="16131"/>
    <cellStyle name="集計 2 2 3 2 3 4" xfId="16132"/>
    <cellStyle name="集計 2 2 3 2 3 4 2" xfId="16133"/>
    <cellStyle name="集計 2 2 3 2 3 4 3" xfId="16134"/>
    <cellStyle name="集計 2 2 3 2 3 5" xfId="16135"/>
    <cellStyle name="集計 2 2 3 2 3 5 2" xfId="16136"/>
    <cellStyle name="集計 2 2 3 2 3 5 3" xfId="16137"/>
    <cellStyle name="集計 2 2 3 2 3 6" xfId="16138"/>
    <cellStyle name="集計 2 2 3 2 3 7" xfId="16139"/>
    <cellStyle name="集計 2 2 3 2 4" xfId="16140"/>
    <cellStyle name="集計 2 2 3 2 4 2" xfId="16141"/>
    <cellStyle name="集計 2 2 3 2 4 2 2" xfId="16142"/>
    <cellStyle name="集計 2 2 3 2 4 2 2 2" xfId="16143"/>
    <cellStyle name="集計 2 2 3 2 4 2 2 3" xfId="16144"/>
    <cellStyle name="集計 2 2 3 2 4 2 3" xfId="16145"/>
    <cellStyle name="集計 2 2 3 2 4 2 3 2" xfId="16146"/>
    <cellStyle name="集計 2 2 3 2 4 2 3 3" xfId="16147"/>
    <cellStyle name="集計 2 2 3 2 4 2 4" xfId="16148"/>
    <cellStyle name="集計 2 2 3 2 4 2 4 2" xfId="16149"/>
    <cellStyle name="集計 2 2 3 2 4 2 4 3" xfId="16150"/>
    <cellStyle name="集計 2 2 3 2 4 2 5" xfId="16151"/>
    <cellStyle name="集計 2 2 3 2 4 2 6" xfId="16152"/>
    <cellStyle name="集計 2 2 3 2 4 3" xfId="16153"/>
    <cellStyle name="集計 2 2 3 2 4 3 2" xfId="16154"/>
    <cellStyle name="集計 2 2 3 2 4 3 3" xfId="16155"/>
    <cellStyle name="集計 2 2 3 2 4 4" xfId="16156"/>
    <cellStyle name="集計 2 2 3 2 4 4 2" xfId="16157"/>
    <cellStyle name="集計 2 2 3 2 4 4 3" xfId="16158"/>
    <cellStyle name="集計 2 2 3 2 4 5" xfId="16159"/>
    <cellStyle name="集計 2 2 3 2 4 5 2" xfId="16160"/>
    <cellStyle name="集計 2 2 3 2 4 5 3" xfId="16161"/>
    <cellStyle name="集計 2 2 3 2 4 6" xfId="16162"/>
    <cellStyle name="集計 2 2 3 2 4 7" xfId="16163"/>
    <cellStyle name="集計 2 2 3 2 5" xfId="16164"/>
    <cellStyle name="集計 2 2 3 2 5 2" xfId="16165"/>
    <cellStyle name="集計 2 2 3 2 5 2 2" xfId="16166"/>
    <cellStyle name="集計 2 2 3 2 5 2 3" xfId="16167"/>
    <cellStyle name="集計 2 2 3 2 5 3" xfId="16168"/>
    <cellStyle name="集計 2 2 3 2 5 3 2" xfId="16169"/>
    <cellStyle name="集計 2 2 3 2 5 3 3" xfId="16170"/>
    <cellStyle name="集計 2 2 3 2 5 4" xfId="16171"/>
    <cellStyle name="集計 2 2 3 2 5 4 2" xfId="16172"/>
    <cellStyle name="集計 2 2 3 2 5 4 3" xfId="16173"/>
    <cellStyle name="集計 2 2 3 2 5 5" xfId="16174"/>
    <cellStyle name="集計 2 2 3 2 5 6" xfId="16175"/>
    <cellStyle name="集計 2 2 3 2 6" xfId="16176"/>
    <cellStyle name="集計 2 2 3 2 6 2" xfId="16177"/>
    <cellStyle name="集計 2 2 3 2 6 3" xfId="16178"/>
    <cellStyle name="集計 2 2 3 2 7" xfId="16179"/>
    <cellStyle name="集計 2 2 3 2 7 2" xfId="16180"/>
    <cellStyle name="集計 2 2 3 2 7 3" xfId="16181"/>
    <cellStyle name="集計 2 2 3 2 8" xfId="16182"/>
    <cellStyle name="集計 2 2 3 2 8 2" xfId="16183"/>
    <cellStyle name="集計 2 2 3 2 8 3" xfId="16184"/>
    <cellStyle name="集計 2 2 3 2 9" xfId="16185"/>
    <cellStyle name="集計 2 2 3 3" xfId="16186"/>
    <cellStyle name="集計 2 2 3 3 2" xfId="16187"/>
    <cellStyle name="集計 2 2 3 3 2 2" xfId="16188"/>
    <cellStyle name="集計 2 2 3 3 2 2 2" xfId="16189"/>
    <cellStyle name="集計 2 2 3 3 2 2 3" xfId="16190"/>
    <cellStyle name="集計 2 2 3 3 2 3" xfId="16191"/>
    <cellStyle name="集計 2 2 3 3 2 3 2" xfId="16192"/>
    <cellStyle name="集計 2 2 3 3 2 3 3" xfId="16193"/>
    <cellStyle name="集計 2 2 3 3 2 4" xfId="16194"/>
    <cellStyle name="集計 2 2 3 3 2 4 2" xfId="16195"/>
    <cellStyle name="集計 2 2 3 3 2 4 3" xfId="16196"/>
    <cellStyle name="集計 2 2 3 3 2 5" xfId="16197"/>
    <cellStyle name="集計 2 2 3 3 2 6" xfId="16198"/>
    <cellStyle name="集計 2 2 3 3 3" xfId="16199"/>
    <cellStyle name="集計 2 2 3 3 3 2" xfId="16200"/>
    <cellStyle name="集計 2 2 3 3 3 3" xfId="16201"/>
    <cellStyle name="集計 2 2 3 3 4" xfId="16202"/>
    <cellStyle name="集計 2 2 3 3 4 2" xfId="16203"/>
    <cellStyle name="集計 2 2 3 3 4 3" xfId="16204"/>
    <cellStyle name="集計 2 2 3 3 5" xfId="16205"/>
    <cellStyle name="集計 2 2 3 3 5 2" xfId="16206"/>
    <cellStyle name="集計 2 2 3 3 5 3" xfId="16207"/>
    <cellStyle name="集計 2 2 3 3 6" xfId="16208"/>
    <cellStyle name="集計 2 2 3 3 7" xfId="16209"/>
    <cellStyle name="集計 2 2 3 4" xfId="16210"/>
    <cellStyle name="集計 2 2 3 4 2" xfId="16211"/>
    <cellStyle name="集計 2 2 3 4 2 2" xfId="16212"/>
    <cellStyle name="集計 2 2 3 4 2 2 2" xfId="16213"/>
    <cellStyle name="集計 2 2 3 4 2 2 3" xfId="16214"/>
    <cellStyle name="集計 2 2 3 4 2 3" xfId="16215"/>
    <cellStyle name="集計 2 2 3 4 2 3 2" xfId="16216"/>
    <cellStyle name="集計 2 2 3 4 2 3 3" xfId="16217"/>
    <cellStyle name="集計 2 2 3 4 2 4" xfId="16218"/>
    <cellStyle name="集計 2 2 3 4 2 4 2" xfId="16219"/>
    <cellStyle name="集計 2 2 3 4 2 4 3" xfId="16220"/>
    <cellStyle name="集計 2 2 3 4 2 5" xfId="16221"/>
    <cellStyle name="集計 2 2 3 4 2 6" xfId="16222"/>
    <cellStyle name="集計 2 2 3 4 3" xfId="16223"/>
    <cellStyle name="集計 2 2 3 4 3 2" xfId="16224"/>
    <cellStyle name="集計 2 2 3 4 3 3" xfId="16225"/>
    <cellStyle name="集計 2 2 3 4 4" xfId="16226"/>
    <cellStyle name="集計 2 2 3 4 4 2" xfId="16227"/>
    <cellStyle name="集計 2 2 3 4 4 3" xfId="16228"/>
    <cellStyle name="集計 2 2 3 4 5" xfId="16229"/>
    <cellStyle name="集計 2 2 3 4 5 2" xfId="16230"/>
    <cellStyle name="集計 2 2 3 4 5 3" xfId="16231"/>
    <cellStyle name="集計 2 2 3 4 6" xfId="16232"/>
    <cellStyle name="集計 2 2 3 4 7" xfId="16233"/>
    <cellStyle name="集計 2 2 3 5" xfId="16234"/>
    <cellStyle name="集計 2 2 3 5 2" xfId="16235"/>
    <cellStyle name="集計 2 2 3 5 2 2" xfId="16236"/>
    <cellStyle name="集計 2 2 3 5 2 3" xfId="16237"/>
    <cellStyle name="集計 2 2 3 5 3" xfId="16238"/>
    <cellStyle name="集計 2 2 3 5 3 2" xfId="16239"/>
    <cellStyle name="集計 2 2 3 5 3 3" xfId="16240"/>
    <cellStyle name="集計 2 2 3 5 4" xfId="16241"/>
    <cellStyle name="集計 2 2 3 5 4 2" xfId="16242"/>
    <cellStyle name="集計 2 2 3 5 4 3" xfId="16243"/>
    <cellStyle name="集計 2 2 3 5 5" xfId="16244"/>
    <cellStyle name="集計 2 2 3 5 6" xfId="16245"/>
    <cellStyle name="集計 2 2 3 6" xfId="16246"/>
    <cellStyle name="集計 2 2 3 6 2" xfId="16247"/>
    <cellStyle name="集計 2 2 3 6 3" xfId="16248"/>
    <cellStyle name="集計 2 2 3 7" xfId="16249"/>
    <cellStyle name="集計 2 2 3 7 2" xfId="16250"/>
    <cellStyle name="集計 2 2 3 7 3" xfId="16251"/>
    <cellStyle name="集計 2 2 3 8" xfId="16252"/>
    <cellStyle name="集計 2 2 3 8 2" xfId="16253"/>
    <cellStyle name="集計 2 2 3 8 3" xfId="16254"/>
    <cellStyle name="集計 2 2 3 9" xfId="16255"/>
    <cellStyle name="集計 2 2 4" xfId="16256"/>
    <cellStyle name="集計 2 2 4 10" xfId="16257"/>
    <cellStyle name="集計 2 2 4 2" xfId="16258"/>
    <cellStyle name="集計 2 2 4 2 10" xfId="16259"/>
    <cellStyle name="集計 2 2 4 2 2" xfId="16260"/>
    <cellStyle name="集計 2 2 4 2 2 2" xfId="16261"/>
    <cellStyle name="集計 2 2 4 2 2 2 2" xfId="16262"/>
    <cellStyle name="集計 2 2 4 2 2 2 2 2" xfId="16263"/>
    <cellStyle name="集計 2 2 4 2 2 2 2 2 2" xfId="16264"/>
    <cellStyle name="集計 2 2 4 2 2 2 2 2 3" xfId="16265"/>
    <cellStyle name="集計 2 2 4 2 2 2 2 3" xfId="16266"/>
    <cellStyle name="集計 2 2 4 2 2 2 2 3 2" xfId="16267"/>
    <cellStyle name="集計 2 2 4 2 2 2 2 3 3" xfId="16268"/>
    <cellStyle name="集計 2 2 4 2 2 2 2 4" xfId="16269"/>
    <cellStyle name="集計 2 2 4 2 2 2 2 4 2" xfId="16270"/>
    <cellStyle name="集計 2 2 4 2 2 2 2 4 3" xfId="16271"/>
    <cellStyle name="集計 2 2 4 2 2 2 2 5" xfId="16272"/>
    <cellStyle name="集計 2 2 4 2 2 2 2 6" xfId="16273"/>
    <cellStyle name="集計 2 2 4 2 2 2 3" xfId="16274"/>
    <cellStyle name="集計 2 2 4 2 2 2 3 2" xfId="16275"/>
    <cellStyle name="集計 2 2 4 2 2 2 3 3" xfId="16276"/>
    <cellStyle name="集計 2 2 4 2 2 2 4" xfId="16277"/>
    <cellStyle name="集計 2 2 4 2 2 2 4 2" xfId="16278"/>
    <cellStyle name="集計 2 2 4 2 2 2 4 3" xfId="16279"/>
    <cellStyle name="集計 2 2 4 2 2 2 5" xfId="16280"/>
    <cellStyle name="集計 2 2 4 2 2 2 5 2" xfId="16281"/>
    <cellStyle name="集計 2 2 4 2 2 2 5 3" xfId="16282"/>
    <cellStyle name="集計 2 2 4 2 2 2 6" xfId="16283"/>
    <cellStyle name="集計 2 2 4 2 2 2 7" xfId="16284"/>
    <cellStyle name="集計 2 2 4 2 2 3" xfId="16285"/>
    <cellStyle name="集計 2 2 4 2 2 3 2" xfId="16286"/>
    <cellStyle name="集計 2 2 4 2 2 3 2 2" xfId="16287"/>
    <cellStyle name="集計 2 2 4 2 2 3 2 2 2" xfId="16288"/>
    <cellStyle name="集計 2 2 4 2 2 3 2 2 3" xfId="16289"/>
    <cellStyle name="集計 2 2 4 2 2 3 2 3" xfId="16290"/>
    <cellStyle name="集計 2 2 4 2 2 3 2 3 2" xfId="16291"/>
    <cellStyle name="集計 2 2 4 2 2 3 2 3 3" xfId="16292"/>
    <cellStyle name="集計 2 2 4 2 2 3 2 4" xfId="16293"/>
    <cellStyle name="集計 2 2 4 2 2 3 2 4 2" xfId="16294"/>
    <cellStyle name="集計 2 2 4 2 2 3 2 4 3" xfId="16295"/>
    <cellStyle name="集計 2 2 4 2 2 3 2 5" xfId="16296"/>
    <cellStyle name="集計 2 2 4 2 2 3 2 6" xfId="16297"/>
    <cellStyle name="集計 2 2 4 2 2 3 3" xfId="16298"/>
    <cellStyle name="集計 2 2 4 2 2 3 3 2" xfId="16299"/>
    <cellStyle name="集計 2 2 4 2 2 3 3 3" xfId="16300"/>
    <cellStyle name="集計 2 2 4 2 2 3 4" xfId="16301"/>
    <cellStyle name="集計 2 2 4 2 2 3 4 2" xfId="16302"/>
    <cellStyle name="集計 2 2 4 2 2 3 4 3" xfId="16303"/>
    <cellStyle name="集計 2 2 4 2 2 3 5" xfId="16304"/>
    <cellStyle name="集計 2 2 4 2 2 3 5 2" xfId="16305"/>
    <cellStyle name="集計 2 2 4 2 2 3 5 3" xfId="16306"/>
    <cellStyle name="集計 2 2 4 2 2 3 6" xfId="16307"/>
    <cellStyle name="集計 2 2 4 2 2 3 7" xfId="16308"/>
    <cellStyle name="集計 2 2 4 2 2 4" xfId="16309"/>
    <cellStyle name="集計 2 2 4 2 2 4 2" xfId="16310"/>
    <cellStyle name="集計 2 2 4 2 2 4 2 2" xfId="16311"/>
    <cellStyle name="集計 2 2 4 2 2 4 2 3" xfId="16312"/>
    <cellStyle name="集計 2 2 4 2 2 4 3" xfId="16313"/>
    <cellStyle name="集計 2 2 4 2 2 4 3 2" xfId="16314"/>
    <cellStyle name="集計 2 2 4 2 2 4 3 3" xfId="16315"/>
    <cellStyle name="集計 2 2 4 2 2 4 4" xfId="16316"/>
    <cellStyle name="集計 2 2 4 2 2 4 4 2" xfId="16317"/>
    <cellStyle name="集計 2 2 4 2 2 4 4 3" xfId="16318"/>
    <cellStyle name="集計 2 2 4 2 2 4 5" xfId="16319"/>
    <cellStyle name="集計 2 2 4 2 2 4 6" xfId="16320"/>
    <cellStyle name="集計 2 2 4 2 2 5" xfId="16321"/>
    <cellStyle name="集計 2 2 4 2 2 5 2" xfId="16322"/>
    <cellStyle name="集計 2 2 4 2 2 5 3" xfId="16323"/>
    <cellStyle name="集計 2 2 4 2 2 6" xfId="16324"/>
    <cellStyle name="集計 2 2 4 2 2 6 2" xfId="16325"/>
    <cellStyle name="集計 2 2 4 2 2 6 3" xfId="16326"/>
    <cellStyle name="集計 2 2 4 2 2 7" xfId="16327"/>
    <cellStyle name="集計 2 2 4 2 2 7 2" xfId="16328"/>
    <cellStyle name="集計 2 2 4 2 2 7 3" xfId="16329"/>
    <cellStyle name="集計 2 2 4 2 2 8" xfId="16330"/>
    <cellStyle name="集計 2 2 4 2 2 9" xfId="16331"/>
    <cellStyle name="集計 2 2 4 2 3" xfId="16332"/>
    <cellStyle name="集計 2 2 4 2 3 2" xfId="16333"/>
    <cellStyle name="集計 2 2 4 2 3 2 2" xfId="16334"/>
    <cellStyle name="集計 2 2 4 2 3 2 2 2" xfId="16335"/>
    <cellStyle name="集計 2 2 4 2 3 2 2 3" xfId="16336"/>
    <cellStyle name="集計 2 2 4 2 3 2 3" xfId="16337"/>
    <cellStyle name="集計 2 2 4 2 3 2 3 2" xfId="16338"/>
    <cellStyle name="集計 2 2 4 2 3 2 3 3" xfId="16339"/>
    <cellStyle name="集計 2 2 4 2 3 2 4" xfId="16340"/>
    <cellStyle name="集計 2 2 4 2 3 2 4 2" xfId="16341"/>
    <cellStyle name="集計 2 2 4 2 3 2 4 3" xfId="16342"/>
    <cellStyle name="集計 2 2 4 2 3 2 5" xfId="16343"/>
    <cellStyle name="集計 2 2 4 2 3 2 6" xfId="16344"/>
    <cellStyle name="集計 2 2 4 2 3 3" xfId="16345"/>
    <cellStyle name="集計 2 2 4 2 3 3 2" xfId="16346"/>
    <cellStyle name="集計 2 2 4 2 3 3 3" xfId="16347"/>
    <cellStyle name="集計 2 2 4 2 3 4" xfId="16348"/>
    <cellStyle name="集計 2 2 4 2 3 4 2" xfId="16349"/>
    <cellStyle name="集計 2 2 4 2 3 4 3" xfId="16350"/>
    <cellStyle name="集計 2 2 4 2 3 5" xfId="16351"/>
    <cellStyle name="集計 2 2 4 2 3 5 2" xfId="16352"/>
    <cellStyle name="集計 2 2 4 2 3 5 3" xfId="16353"/>
    <cellStyle name="集計 2 2 4 2 3 6" xfId="16354"/>
    <cellStyle name="集計 2 2 4 2 3 7" xfId="16355"/>
    <cellStyle name="集計 2 2 4 2 4" xfId="16356"/>
    <cellStyle name="集計 2 2 4 2 4 2" xfId="16357"/>
    <cellStyle name="集計 2 2 4 2 4 2 2" xfId="16358"/>
    <cellStyle name="集計 2 2 4 2 4 2 2 2" xfId="16359"/>
    <cellStyle name="集計 2 2 4 2 4 2 2 3" xfId="16360"/>
    <cellStyle name="集計 2 2 4 2 4 2 3" xfId="16361"/>
    <cellStyle name="集計 2 2 4 2 4 2 3 2" xfId="16362"/>
    <cellStyle name="集計 2 2 4 2 4 2 3 3" xfId="16363"/>
    <cellStyle name="集計 2 2 4 2 4 2 4" xfId="16364"/>
    <cellStyle name="集計 2 2 4 2 4 2 4 2" xfId="16365"/>
    <cellStyle name="集計 2 2 4 2 4 2 4 3" xfId="16366"/>
    <cellStyle name="集計 2 2 4 2 4 2 5" xfId="16367"/>
    <cellStyle name="集計 2 2 4 2 4 2 6" xfId="16368"/>
    <cellStyle name="集計 2 2 4 2 4 3" xfId="16369"/>
    <cellStyle name="集計 2 2 4 2 4 3 2" xfId="16370"/>
    <cellStyle name="集計 2 2 4 2 4 3 3" xfId="16371"/>
    <cellStyle name="集計 2 2 4 2 4 4" xfId="16372"/>
    <cellStyle name="集計 2 2 4 2 4 4 2" xfId="16373"/>
    <cellStyle name="集計 2 2 4 2 4 4 3" xfId="16374"/>
    <cellStyle name="集計 2 2 4 2 4 5" xfId="16375"/>
    <cellStyle name="集計 2 2 4 2 4 5 2" xfId="16376"/>
    <cellStyle name="集計 2 2 4 2 4 5 3" xfId="16377"/>
    <cellStyle name="集計 2 2 4 2 4 6" xfId="16378"/>
    <cellStyle name="集計 2 2 4 2 4 7" xfId="16379"/>
    <cellStyle name="集計 2 2 4 2 5" xfId="16380"/>
    <cellStyle name="集計 2 2 4 2 5 2" xfId="16381"/>
    <cellStyle name="集計 2 2 4 2 5 2 2" xfId="16382"/>
    <cellStyle name="集計 2 2 4 2 5 2 3" xfId="16383"/>
    <cellStyle name="集計 2 2 4 2 5 3" xfId="16384"/>
    <cellStyle name="集計 2 2 4 2 5 3 2" xfId="16385"/>
    <cellStyle name="集計 2 2 4 2 5 3 3" xfId="16386"/>
    <cellStyle name="集計 2 2 4 2 5 4" xfId="16387"/>
    <cellStyle name="集計 2 2 4 2 5 4 2" xfId="16388"/>
    <cellStyle name="集計 2 2 4 2 5 4 3" xfId="16389"/>
    <cellStyle name="集計 2 2 4 2 5 5" xfId="16390"/>
    <cellStyle name="集計 2 2 4 2 5 6" xfId="16391"/>
    <cellStyle name="集計 2 2 4 2 6" xfId="16392"/>
    <cellStyle name="集計 2 2 4 2 6 2" xfId="16393"/>
    <cellStyle name="集計 2 2 4 2 6 3" xfId="16394"/>
    <cellStyle name="集計 2 2 4 2 7" xfId="16395"/>
    <cellStyle name="集計 2 2 4 2 7 2" xfId="16396"/>
    <cellStyle name="集計 2 2 4 2 7 3" xfId="16397"/>
    <cellStyle name="集計 2 2 4 2 8" xfId="16398"/>
    <cellStyle name="集計 2 2 4 2 8 2" xfId="16399"/>
    <cellStyle name="集計 2 2 4 2 8 3" xfId="16400"/>
    <cellStyle name="集計 2 2 4 2 9" xfId="16401"/>
    <cellStyle name="集計 2 2 4 3" xfId="16402"/>
    <cellStyle name="集計 2 2 4 3 2" xfId="16403"/>
    <cellStyle name="集計 2 2 4 3 2 2" xfId="16404"/>
    <cellStyle name="集計 2 2 4 3 2 2 2" xfId="16405"/>
    <cellStyle name="集計 2 2 4 3 2 2 3" xfId="16406"/>
    <cellStyle name="集計 2 2 4 3 2 3" xfId="16407"/>
    <cellStyle name="集計 2 2 4 3 2 3 2" xfId="16408"/>
    <cellStyle name="集計 2 2 4 3 2 3 3" xfId="16409"/>
    <cellStyle name="集計 2 2 4 3 2 4" xfId="16410"/>
    <cellStyle name="集計 2 2 4 3 2 4 2" xfId="16411"/>
    <cellStyle name="集計 2 2 4 3 2 4 3" xfId="16412"/>
    <cellStyle name="集計 2 2 4 3 2 5" xfId="16413"/>
    <cellStyle name="集計 2 2 4 3 2 6" xfId="16414"/>
    <cellStyle name="集計 2 2 4 3 3" xfId="16415"/>
    <cellStyle name="集計 2 2 4 3 3 2" xfId="16416"/>
    <cellStyle name="集計 2 2 4 3 3 3" xfId="16417"/>
    <cellStyle name="集計 2 2 4 3 4" xfId="16418"/>
    <cellStyle name="集計 2 2 4 3 4 2" xfId="16419"/>
    <cellStyle name="集計 2 2 4 3 4 3" xfId="16420"/>
    <cellStyle name="集計 2 2 4 3 5" xfId="16421"/>
    <cellStyle name="集計 2 2 4 3 5 2" xfId="16422"/>
    <cellStyle name="集計 2 2 4 3 5 3" xfId="16423"/>
    <cellStyle name="集計 2 2 4 3 6" xfId="16424"/>
    <cellStyle name="集計 2 2 4 3 7" xfId="16425"/>
    <cellStyle name="集計 2 2 4 4" xfId="16426"/>
    <cellStyle name="集計 2 2 4 4 2" xfId="16427"/>
    <cellStyle name="集計 2 2 4 4 2 2" xfId="16428"/>
    <cellStyle name="集計 2 2 4 4 2 2 2" xfId="16429"/>
    <cellStyle name="集計 2 2 4 4 2 2 3" xfId="16430"/>
    <cellStyle name="集計 2 2 4 4 2 3" xfId="16431"/>
    <cellStyle name="集計 2 2 4 4 2 3 2" xfId="16432"/>
    <cellStyle name="集計 2 2 4 4 2 3 3" xfId="16433"/>
    <cellStyle name="集計 2 2 4 4 2 4" xfId="16434"/>
    <cellStyle name="集計 2 2 4 4 2 4 2" xfId="16435"/>
    <cellStyle name="集計 2 2 4 4 2 4 3" xfId="16436"/>
    <cellStyle name="集計 2 2 4 4 2 5" xfId="16437"/>
    <cellStyle name="集計 2 2 4 4 2 6" xfId="16438"/>
    <cellStyle name="集計 2 2 4 4 3" xfId="16439"/>
    <cellStyle name="集計 2 2 4 4 3 2" xfId="16440"/>
    <cellStyle name="集計 2 2 4 4 3 3" xfId="16441"/>
    <cellStyle name="集計 2 2 4 4 4" xfId="16442"/>
    <cellStyle name="集計 2 2 4 4 4 2" xfId="16443"/>
    <cellStyle name="集計 2 2 4 4 4 3" xfId="16444"/>
    <cellStyle name="集計 2 2 4 4 5" xfId="16445"/>
    <cellStyle name="集計 2 2 4 4 5 2" xfId="16446"/>
    <cellStyle name="集計 2 2 4 4 5 3" xfId="16447"/>
    <cellStyle name="集計 2 2 4 4 6" xfId="16448"/>
    <cellStyle name="集計 2 2 4 4 7" xfId="16449"/>
    <cellStyle name="集計 2 2 4 5" xfId="16450"/>
    <cellStyle name="集計 2 2 4 5 2" xfId="16451"/>
    <cellStyle name="集計 2 2 4 5 2 2" xfId="16452"/>
    <cellStyle name="集計 2 2 4 5 2 3" xfId="16453"/>
    <cellStyle name="集計 2 2 4 5 3" xfId="16454"/>
    <cellStyle name="集計 2 2 4 5 3 2" xfId="16455"/>
    <cellStyle name="集計 2 2 4 5 3 3" xfId="16456"/>
    <cellStyle name="集計 2 2 4 5 4" xfId="16457"/>
    <cellStyle name="集計 2 2 4 5 4 2" xfId="16458"/>
    <cellStyle name="集計 2 2 4 5 4 3" xfId="16459"/>
    <cellStyle name="集計 2 2 4 5 5" xfId="16460"/>
    <cellStyle name="集計 2 2 4 5 6" xfId="16461"/>
    <cellStyle name="集計 2 2 4 6" xfId="16462"/>
    <cellStyle name="集計 2 2 4 6 2" xfId="16463"/>
    <cellStyle name="集計 2 2 4 6 3" xfId="16464"/>
    <cellStyle name="集計 2 2 4 7" xfId="16465"/>
    <cellStyle name="集計 2 2 4 7 2" xfId="16466"/>
    <cellStyle name="集計 2 2 4 7 3" xfId="16467"/>
    <cellStyle name="集計 2 2 4 8" xfId="16468"/>
    <cellStyle name="集計 2 2 4 8 2" xfId="16469"/>
    <cellStyle name="集計 2 2 4 8 3" xfId="16470"/>
    <cellStyle name="集計 2 2 4 9" xfId="16471"/>
    <cellStyle name="集計 2 2 5" xfId="16472"/>
    <cellStyle name="集計 2 2 5 10" xfId="16473"/>
    <cellStyle name="集計 2 2 5 2" xfId="16474"/>
    <cellStyle name="集計 2 2 5 2 2" xfId="16475"/>
    <cellStyle name="集計 2 2 5 2 2 2" xfId="16476"/>
    <cellStyle name="集計 2 2 5 2 2 2 2" xfId="16477"/>
    <cellStyle name="集計 2 2 5 2 2 2 2 2" xfId="16478"/>
    <cellStyle name="集計 2 2 5 2 2 2 2 3" xfId="16479"/>
    <cellStyle name="集計 2 2 5 2 2 2 3" xfId="16480"/>
    <cellStyle name="集計 2 2 5 2 2 2 3 2" xfId="16481"/>
    <cellStyle name="集計 2 2 5 2 2 2 3 3" xfId="16482"/>
    <cellStyle name="集計 2 2 5 2 2 2 4" xfId="16483"/>
    <cellStyle name="集計 2 2 5 2 2 2 4 2" xfId="16484"/>
    <cellStyle name="集計 2 2 5 2 2 2 4 3" xfId="16485"/>
    <cellStyle name="集計 2 2 5 2 2 2 5" xfId="16486"/>
    <cellStyle name="集計 2 2 5 2 2 2 6" xfId="16487"/>
    <cellStyle name="集計 2 2 5 2 2 3" xfId="16488"/>
    <cellStyle name="集計 2 2 5 2 2 3 2" xfId="16489"/>
    <cellStyle name="集計 2 2 5 2 2 3 3" xfId="16490"/>
    <cellStyle name="集計 2 2 5 2 2 4" xfId="16491"/>
    <cellStyle name="集計 2 2 5 2 2 4 2" xfId="16492"/>
    <cellStyle name="集計 2 2 5 2 2 4 3" xfId="16493"/>
    <cellStyle name="集計 2 2 5 2 2 5" xfId="16494"/>
    <cellStyle name="集計 2 2 5 2 2 5 2" xfId="16495"/>
    <cellStyle name="集計 2 2 5 2 2 5 3" xfId="16496"/>
    <cellStyle name="集計 2 2 5 2 2 6" xfId="16497"/>
    <cellStyle name="集計 2 2 5 2 2 7" xfId="16498"/>
    <cellStyle name="集計 2 2 5 2 3" xfId="16499"/>
    <cellStyle name="集計 2 2 5 2 3 2" xfId="16500"/>
    <cellStyle name="集計 2 2 5 2 3 2 2" xfId="16501"/>
    <cellStyle name="集計 2 2 5 2 3 2 2 2" xfId="16502"/>
    <cellStyle name="集計 2 2 5 2 3 2 2 3" xfId="16503"/>
    <cellStyle name="集計 2 2 5 2 3 2 3" xfId="16504"/>
    <cellStyle name="集計 2 2 5 2 3 2 3 2" xfId="16505"/>
    <cellStyle name="集計 2 2 5 2 3 2 3 3" xfId="16506"/>
    <cellStyle name="集計 2 2 5 2 3 2 4" xfId="16507"/>
    <cellStyle name="集計 2 2 5 2 3 2 4 2" xfId="16508"/>
    <cellStyle name="集計 2 2 5 2 3 2 4 3" xfId="16509"/>
    <cellStyle name="集計 2 2 5 2 3 2 5" xfId="16510"/>
    <cellStyle name="集計 2 2 5 2 3 2 6" xfId="16511"/>
    <cellStyle name="集計 2 2 5 2 3 3" xfId="16512"/>
    <cellStyle name="集計 2 2 5 2 3 3 2" xfId="16513"/>
    <cellStyle name="集計 2 2 5 2 3 3 3" xfId="16514"/>
    <cellStyle name="集計 2 2 5 2 3 4" xfId="16515"/>
    <cellStyle name="集計 2 2 5 2 3 4 2" xfId="16516"/>
    <cellStyle name="集計 2 2 5 2 3 4 3" xfId="16517"/>
    <cellStyle name="集計 2 2 5 2 3 5" xfId="16518"/>
    <cellStyle name="集計 2 2 5 2 3 5 2" xfId="16519"/>
    <cellStyle name="集計 2 2 5 2 3 5 3" xfId="16520"/>
    <cellStyle name="集計 2 2 5 2 3 6" xfId="16521"/>
    <cellStyle name="集計 2 2 5 2 3 7" xfId="16522"/>
    <cellStyle name="集計 2 2 5 2 4" xfId="16523"/>
    <cellStyle name="集計 2 2 5 2 4 2" xfId="16524"/>
    <cellStyle name="集計 2 2 5 2 4 2 2" xfId="16525"/>
    <cellStyle name="集計 2 2 5 2 4 2 3" xfId="16526"/>
    <cellStyle name="集計 2 2 5 2 4 3" xfId="16527"/>
    <cellStyle name="集計 2 2 5 2 4 3 2" xfId="16528"/>
    <cellStyle name="集計 2 2 5 2 4 3 3" xfId="16529"/>
    <cellStyle name="集計 2 2 5 2 4 4" xfId="16530"/>
    <cellStyle name="集計 2 2 5 2 4 4 2" xfId="16531"/>
    <cellStyle name="集計 2 2 5 2 4 4 3" xfId="16532"/>
    <cellStyle name="集計 2 2 5 2 4 5" xfId="16533"/>
    <cellStyle name="集計 2 2 5 2 4 6" xfId="16534"/>
    <cellStyle name="集計 2 2 5 2 5" xfId="16535"/>
    <cellStyle name="集計 2 2 5 2 5 2" xfId="16536"/>
    <cellStyle name="集計 2 2 5 2 5 3" xfId="16537"/>
    <cellStyle name="集計 2 2 5 2 6" xfId="16538"/>
    <cellStyle name="集計 2 2 5 2 6 2" xfId="16539"/>
    <cellStyle name="集計 2 2 5 2 6 3" xfId="16540"/>
    <cellStyle name="集計 2 2 5 2 7" xfId="16541"/>
    <cellStyle name="集計 2 2 5 2 7 2" xfId="16542"/>
    <cellStyle name="集計 2 2 5 2 7 3" xfId="16543"/>
    <cellStyle name="集計 2 2 5 2 8" xfId="16544"/>
    <cellStyle name="集計 2 2 5 2 9" xfId="16545"/>
    <cellStyle name="集計 2 2 5 3" xfId="16546"/>
    <cellStyle name="集計 2 2 5 3 2" xfId="16547"/>
    <cellStyle name="集計 2 2 5 3 2 2" xfId="16548"/>
    <cellStyle name="集計 2 2 5 3 2 2 2" xfId="16549"/>
    <cellStyle name="集計 2 2 5 3 2 2 3" xfId="16550"/>
    <cellStyle name="集計 2 2 5 3 2 3" xfId="16551"/>
    <cellStyle name="集計 2 2 5 3 2 3 2" xfId="16552"/>
    <cellStyle name="集計 2 2 5 3 2 3 3" xfId="16553"/>
    <cellStyle name="集計 2 2 5 3 2 4" xfId="16554"/>
    <cellStyle name="集計 2 2 5 3 2 4 2" xfId="16555"/>
    <cellStyle name="集計 2 2 5 3 2 4 3" xfId="16556"/>
    <cellStyle name="集計 2 2 5 3 2 5" xfId="16557"/>
    <cellStyle name="集計 2 2 5 3 2 6" xfId="16558"/>
    <cellStyle name="集計 2 2 5 3 3" xfId="16559"/>
    <cellStyle name="集計 2 2 5 3 3 2" xfId="16560"/>
    <cellStyle name="集計 2 2 5 3 3 3" xfId="16561"/>
    <cellStyle name="集計 2 2 5 3 4" xfId="16562"/>
    <cellStyle name="集計 2 2 5 3 4 2" xfId="16563"/>
    <cellStyle name="集計 2 2 5 3 4 3" xfId="16564"/>
    <cellStyle name="集計 2 2 5 3 5" xfId="16565"/>
    <cellStyle name="集計 2 2 5 3 5 2" xfId="16566"/>
    <cellStyle name="集計 2 2 5 3 5 3" xfId="16567"/>
    <cellStyle name="集計 2 2 5 3 6" xfId="16568"/>
    <cellStyle name="集計 2 2 5 3 7" xfId="16569"/>
    <cellStyle name="集計 2 2 5 4" xfId="16570"/>
    <cellStyle name="集計 2 2 5 4 2" xfId="16571"/>
    <cellStyle name="集計 2 2 5 4 2 2" xfId="16572"/>
    <cellStyle name="集計 2 2 5 4 2 2 2" xfId="16573"/>
    <cellStyle name="集計 2 2 5 4 2 2 3" xfId="16574"/>
    <cellStyle name="集計 2 2 5 4 2 3" xfId="16575"/>
    <cellStyle name="集計 2 2 5 4 2 3 2" xfId="16576"/>
    <cellStyle name="集計 2 2 5 4 2 3 3" xfId="16577"/>
    <cellStyle name="集計 2 2 5 4 2 4" xfId="16578"/>
    <cellStyle name="集計 2 2 5 4 2 4 2" xfId="16579"/>
    <cellStyle name="集計 2 2 5 4 2 4 3" xfId="16580"/>
    <cellStyle name="集計 2 2 5 4 2 5" xfId="16581"/>
    <cellStyle name="集計 2 2 5 4 2 6" xfId="16582"/>
    <cellStyle name="集計 2 2 5 4 3" xfId="16583"/>
    <cellStyle name="集計 2 2 5 4 3 2" xfId="16584"/>
    <cellStyle name="集計 2 2 5 4 3 3" xfId="16585"/>
    <cellStyle name="集計 2 2 5 4 4" xfId="16586"/>
    <cellStyle name="集計 2 2 5 4 4 2" xfId="16587"/>
    <cellStyle name="集計 2 2 5 4 4 3" xfId="16588"/>
    <cellStyle name="集計 2 2 5 4 5" xfId="16589"/>
    <cellStyle name="集計 2 2 5 4 5 2" xfId="16590"/>
    <cellStyle name="集計 2 2 5 4 5 3" xfId="16591"/>
    <cellStyle name="集計 2 2 5 4 6" xfId="16592"/>
    <cellStyle name="集計 2 2 5 4 7" xfId="16593"/>
    <cellStyle name="集計 2 2 5 5" xfId="16594"/>
    <cellStyle name="集計 2 2 5 5 2" xfId="16595"/>
    <cellStyle name="集計 2 2 5 5 2 2" xfId="16596"/>
    <cellStyle name="集計 2 2 5 5 2 3" xfId="16597"/>
    <cellStyle name="集計 2 2 5 5 3" xfId="16598"/>
    <cellStyle name="集計 2 2 5 5 3 2" xfId="16599"/>
    <cellStyle name="集計 2 2 5 5 3 3" xfId="16600"/>
    <cellStyle name="集計 2 2 5 5 4" xfId="16601"/>
    <cellStyle name="集計 2 2 5 5 4 2" xfId="16602"/>
    <cellStyle name="集計 2 2 5 5 4 3" xfId="16603"/>
    <cellStyle name="集計 2 2 5 5 5" xfId="16604"/>
    <cellStyle name="集計 2 2 5 5 6" xfId="16605"/>
    <cellStyle name="集計 2 2 5 6" xfId="16606"/>
    <cellStyle name="集計 2 2 5 6 2" xfId="16607"/>
    <cellStyle name="集計 2 2 5 6 3" xfId="16608"/>
    <cellStyle name="集計 2 2 5 7" xfId="16609"/>
    <cellStyle name="集計 2 2 5 7 2" xfId="16610"/>
    <cellStyle name="集計 2 2 5 7 3" xfId="16611"/>
    <cellStyle name="集計 2 2 5 8" xfId="16612"/>
    <cellStyle name="集計 2 2 5 8 2" xfId="16613"/>
    <cellStyle name="集計 2 2 5 8 3" xfId="16614"/>
    <cellStyle name="集計 2 2 5 9" xfId="16615"/>
    <cellStyle name="集計 2 2 6" xfId="16616"/>
    <cellStyle name="集計 2 2 6 10" xfId="16617"/>
    <cellStyle name="集計 2 2 6 2" xfId="16618"/>
    <cellStyle name="集計 2 2 6 2 2" xfId="16619"/>
    <cellStyle name="集計 2 2 6 2 2 2" xfId="16620"/>
    <cellStyle name="集計 2 2 6 2 2 2 2" xfId="16621"/>
    <cellStyle name="集計 2 2 6 2 2 2 2 2" xfId="16622"/>
    <cellStyle name="集計 2 2 6 2 2 2 2 3" xfId="16623"/>
    <cellStyle name="集計 2 2 6 2 2 2 3" xfId="16624"/>
    <cellStyle name="集計 2 2 6 2 2 2 3 2" xfId="16625"/>
    <cellStyle name="集計 2 2 6 2 2 2 3 3" xfId="16626"/>
    <cellStyle name="集計 2 2 6 2 2 2 4" xfId="16627"/>
    <cellStyle name="集計 2 2 6 2 2 2 4 2" xfId="16628"/>
    <cellStyle name="集計 2 2 6 2 2 2 4 3" xfId="16629"/>
    <cellStyle name="集計 2 2 6 2 2 2 5" xfId="16630"/>
    <cellStyle name="集計 2 2 6 2 2 2 6" xfId="16631"/>
    <cellStyle name="集計 2 2 6 2 2 3" xfId="16632"/>
    <cellStyle name="集計 2 2 6 2 2 3 2" xfId="16633"/>
    <cellStyle name="集計 2 2 6 2 2 3 3" xfId="16634"/>
    <cellStyle name="集計 2 2 6 2 2 4" xfId="16635"/>
    <cellStyle name="集計 2 2 6 2 2 4 2" xfId="16636"/>
    <cellStyle name="集計 2 2 6 2 2 4 3" xfId="16637"/>
    <cellStyle name="集計 2 2 6 2 2 5" xfId="16638"/>
    <cellStyle name="集計 2 2 6 2 2 5 2" xfId="16639"/>
    <cellStyle name="集計 2 2 6 2 2 5 3" xfId="16640"/>
    <cellStyle name="集計 2 2 6 2 2 6" xfId="16641"/>
    <cellStyle name="集計 2 2 6 2 2 7" xfId="16642"/>
    <cellStyle name="集計 2 2 6 2 3" xfId="16643"/>
    <cellStyle name="集計 2 2 6 2 3 2" xfId="16644"/>
    <cellStyle name="集計 2 2 6 2 3 2 2" xfId="16645"/>
    <cellStyle name="集計 2 2 6 2 3 2 2 2" xfId="16646"/>
    <cellStyle name="集計 2 2 6 2 3 2 2 3" xfId="16647"/>
    <cellStyle name="集計 2 2 6 2 3 2 3" xfId="16648"/>
    <cellStyle name="集計 2 2 6 2 3 2 3 2" xfId="16649"/>
    <cellStyle name="集計 2 2 6 2 3 2 3 3" xfId="16650"/>
    <cellStyle name="集計 2 2 6 2 3 2 4" xfId="16651"/>
    <cellStyle name="集計 2 2 6 2 3 2 4 2" xfId="16652"/>
    <cellStyle name="集計 2 2 6 2 3 2 4 3" xfId="16653"/>
    <cellStyle name="集計 2 2 6 2 3 2 5" xfId="16654"/>
    <cellStyle name="集計 2 2 6 2 3 2 6" xfId="16655"/>
    <cellStyle name="集計 2 2 6 2 3 3" xfId="16656"/>
    <cellStyle name="集計 2 2 6 2 3 3 2" xfId="16657"/>
    <cellStyle name="集計 2 2 6 2 3 3 3" xfId="16658"/>
    <cellStyle name="集計 2 2 6 2 3 4" xfId="16659"/>
    <cellStyle name="集計 2 2 6 2 3 4 2" xfId="16660"/>
    <cellStyle name="集計 2 2 6 2 3 4 3" xfId="16661"/>
    <cellStyle name="集計 2 2 6 2 3 5" xfId="16662"/>
    <cellStyle name="集計 2 2 6 2 3 5 2" xfId="16663"/>
    <cellStyle name="集計 2 2 6 2 3 5 3" xfId="16664"/>
    <cellStyle name="集計 2 2 6 2 3 6" xfId="16665"/>
    <cellStyle name="集計 2 2 6 2 3 7" xfId="16666"/>
    <cellStyle name="集計 2 2 6 2 4" xfId="16667"/>
    <cellStyle name="集計 2 2 6 2 4 2" xfId="16668"/>
    <cellStyle name="集計 2 2 6 2 4 2 2" xfId="16669"/>
    <cellStyle name="集計 2 2 6 2 4 2 3" xfId="16670"/>
    <cellStyle name="集計 2 2 6 2 4 3" xfId="16671"/>
    <cellStyle name="集計 2 2 6 2 4 3 2" xfId="16672"/>
    <cellStyle name="集計 2 2 6 2 4 3 3" xfId="16673"/>
    <cellStyle name="集計 2 2 6 2 4 4" xfId="16674"/>
    <cellStyle name="集計 2 2 6 2 4 4 2" xfId="16675"/>
    <cellStyle name="集計 2 2 6 2 4 4 3" xfId="16676"/>
    <cellStyle name="集計 2 2 6 2 4 5" xfId="16677"/>
    <cellStyle name="集計 2 2 6 2 4 6" xfId="16678"/>
    <cellStyle name="集計 2 2 6 2 5" xfId="16679"/>
    <cellStyle name="集計 2 2 6 2 5 2" xfId="16680"/>
    <cellStyle name="集計 2 2 6 2 5 3" xfId="16681"/>
    <cellStyle name="集計 2 2 6 2 6" xfId="16682"/>
    <cellStyle name="集計 2 2 6 2 6 2" xfId="16683"/>
    <cellStyle name="集計 2 2 6 2 6 3" xfId="16684"/>
    <cellStyle name="集計 2 2 6 2 7" xfId="16685"/>
    <cellStyle name="集計 2 2 6 2 7 2" xfId="16686"/>
    <cellStyle name="集計 2 2 6 2 7 3" xfId="16687"/>
    <cellStyle name="集計 2 2 6 2 8" xfId="16688"/>
    <cellStyle name="集計 2 2 6 2 9" xfId="16689"/>
    <cellStyle name="集計 2 2 6 3" xfId="16690"/>
    <cellStyle name="集計 2 2 6 3 2" xfId="16691"/>
    <cellStyle name="集計 2 2 6 3 2 2" xfId="16692"/>
    <cellStyle name="集計 2 2 6 3 2 2 2" xfId="16693"/>
    <cellStyle name="集計 2 2 6 3 2 2 3" xfId="16694"/>
    <cellStyle name="集計 2 2 6 3 2 3" xfId="16695"/>
    <cellStyle name="集計 2 2 6 3 2 3 2" xfId="16696"/>
    <cellStyle name="集計 2 2 6 3 2 3 3" xfId="16697"/>
    <cellStyle name="集計 2 2 6 3 2 4" xfId="16698"/>
    <cellStyle name="集計 2 2 6 3 2 4 2" xfId="16699"/>
    <cellStyle name="集計 2 2 6 3 2 4 3" xfId="16700"/>
    <cellStyle name="集計 2 2 6 3 2 5" xfId="16701"/>
    <cellStyle name="集計 2 2 6 3 2 6" xfId="16702"/>
    <cellStyle name="集計 2 2 6 3 3" xfId="16703"/>
    <cellStyle name="集計 2 2 6 3 3 2" xfId="16704"/>
    <cellStyle name="集計 2 2 6 3 3 3" xfId="16705"/>
    <cellStyle name="集計 2 2 6 3 4" xfId="16706"/>
    <cellStyle name="集計 2 2 6 3 4 2" xfId="16707"/>
    <cellStyle name="集計 2 2 6 3 4 3" xfId="16708"/>
    <cellStyle name="集計 2 2 6 3 5" xfId="16709"/>
    <cellStyle name="集計 2 2 6 3 5 2" xfId="16710"/>
    <cellStyle name="集計 2 2 6 3 5 3" xfId="16711"/>
    <cellStyle name="集計 2 2 6 3 6" xfId="16712"/>
    <cellStyle name="集計 2 2 6 3 7" xfId="16713"/>
    <cellStyle name="集計 2 2 6 4" xfId="16714"/>
    <cellStyle name="集計 2 2 6 4 2" xfId="16715"/>
    <cellStyle name="集計 2 2 6 4 2 2" xfId="16716"/>
    <cellStyle name="集計 2 2 6 4 2 2 2" xfId="16717"/>
    <cellStyle name="集計 2 2 6 4 2 2 3" xfId="16718"/>
    <cellStyle name="集計 2 2 6 4 2 3" xfId="16719"/>
    <cellStyle name="集計 2 2 6 4 2 3 2" xfId="16720"/>
    <cellStyle name="集計 2 2 6 4 2 3 3" xfId="16721"/>
    <cellStyle name="集計 2 2 6 4 2 4" xfId="16722"/>
    <cellStyle name="集計 2 2 6 4 2 4 2" xfId="16723"/>
    <cellStyle name="集計 2 2 6 4 2 4 3" xfId="16724"/>
    <cellStyle name="集計 2 2 6 4 2 5" xfId="16725"/>
    <cellStyle name="集計 2 2 6 4 2 6" xfId="16726"/>
    <cellStyle name="集計 2 2 6 4 3" xfId="16727"/>
    <cellStyle name="集計 2 2 6 4 3 2" xfId="16728"/>
    <cellStyle name="集計 2 2 6 4 3 3" xfId="16729"/>
    <cellStyle name="集計 2 2 6 4 4" xfId="16730"/>
    <cellStyle name="集計 2 2 6 4 4 2" xfId="16731"/>
    <cellStyle name="集計 2 2 6 4 4 3" xfId="16732"/>
    <cellStyle name="集計 2 2 6 4 5" xfId="16733"/>
    <cellStyle name="集計 2 2 6 4 5 2" xfId="16734"/>
    <cellStyle name="集計 2 2 6 4 5 3" xfId="16735"/>
    <cellStyle name="集計 2 2 6 4 6" xfId="16736"/>
    <cellStyle name="集計 2 2 6 4 7" xfId="16737"/>
    <cellStyle name="集計 2 2 6 5" xfId="16738"/>
    <cellStyle name="集計 2 2 6 5 2" xfId="16739"/>
    <cellStyle name="集計 2 2 6 5 2 2" xfId="16740"/>
    <cellStyle name="集計 2 2 6 5 2 3" xfId="16741"/>
    <cellStyle name="集計 2 2 6 5 3" xfId="16742"/>
    <cellStyle name="集計 2 2 6 5 3 2" xfId="16743"/>
    <cellStyle name="集計 2 2 6 5 3 3" xfId="16744"/>
    <cellStyle name="集計 2 2 6 5 4" xfId="16745"/>
    <cellStyle name="集計 2 2 6 5 4 2" xfId="16746"/>
    <cellStyle name="集計 2 2 6 5 4 3" xfId="16747"/>
    <cellStyle name="集計 2 2 6 5 5" xfId="16748"/>
    <cellStyle name="集計 2 2 6 5 6" xfId="16749"/>
    <cellStyle name="集計 2 2 6 6" xfId="16750"/>
    <cellStyle name="集計 2 2 6 6 2" xfId="16751"/>
    <cellStyle name="集計 2 2 6 6 3" xfId="16752"/>
    <cellStyle name="集計 2 2 6 7" xfId="16753"/>
    <cellStyle name="集計 2 2 6 7 2" xfId="16754"/>
    <cellStyle name="集計 2 2 6 7 3" xfId="16755"/>
    <cellStyle name="集計 2 2 6 8" xfId="16756"/>
    <cellStyle name="集計 2 2 6 8 2" xfId="16757"/>
    <cellStyle name="集計 2 2 6 8 3" xfId="16758"/>
    <cellStyle name="集計 2 2 6 9" xfId="16759"/>
    <cellStyle name="集計 2 2 7" xfId="16760"/>
    <cellStyle name="集計 2 2 7 2" xfId="16761"/>
    <cellStyle name="集計 2 2 7 2 2" xfId="16762"/>
    <cellStyle name="集計 2 2 7 2 2 2" xfId="16763"/>
    <cellStyle name="集計 2 2 7 2 2 3" xfId="16764"/>
    <cellStyle name="集計 2 2 7 2 3" xfId="16765"/>
    <cellStyle name="集計 2 2 7 2 3 2" xfId="16766"/>
    <cellStyle name="集計 2 2 7 2 3 3" xfId="16767"/>
    <cellStyle name="集計 2 2 7 2 4" xfId="16768"/>
    <cellStyle name="集計 2 2 7 2 4 2" xfId="16769"/>
    <cellStyle name="集計 2 2 7 2 4 3" xfId="16770"/>
    <cellStyle name="集計 2 2 7 2 5" xfId="16771"/>
    <cellStyle name="集計 2 2 7 2 6" xfId="16772"/>
    <cellStyle name="集計 2 2 7 3" xfId="16773"/>
    <cellStyle name="集計 2 2 7 3 2" xfId="16774"/>
    <cellStyle name="集計 2 2 7 3 3" xfId="16775"/>
    <cellStyle name="集計 2 2 7 4" xfId="16776"/>
    <cellStyle name="集計 2 2 7 4 2" xfId="16777"/>
    <cellStyle name="集計 2 2 7 4 3" xfId="16778"/>
    <cellStyle name="集計 2 2 7 5" xfId="16779"/>
    <cellStyle name="集計 2 2 7 5 2" xfId="16780"/>
    <cellStyle name="集計 2 2 7 5 3" xfId="16781"/>
    <cellStyle name="集計 2 2 7 6" xfId="16782"/>
    <cellStyle name="集計 2 2 7 7" xfId="16783"/>
    <cellStyle name="集計 2 2 8" xfId="16784"/>
    <cellStyle name="集計 2 2 8 2" xfId="16785"/>
    <cellStyle name="集計 2 2 8 2 2" xfId="16786"/>
    <cellStyle name="集計 2 2 8 2 2 2" xfId="16787"/>
    <cellStyle name="集計 2 2 8 2 2 3" xfId="16788"/>
    <cellStyle name="集計 2 2 8 2 3" xfId="16789"/>
    <cellStyle name="集計 2 2 8 2 3 2" xfId="16790"/>
    <cellStyle name="集計 2 2 8 2 3 3" xfId="16791"/>
    <cellStyle name="集計 2 2 8 2 4" xfId="16792"/>
    <cellStyle name="集計 2 2 8 2 4 2" xfId="16793"/>
    <cellStyle name="集計 2 2 8 2 4 3" xfId="16794"/>
    <cellStyle name="集計 2 2 8 2 5" xfId="16795"/>
    <cellStyle name="集計 2 2 8 2 6" xfId="16796"/>
    <cellStyle name="集計 2 2 8 3" xfId="16797"/>
    <cellStyle name="集計 2 2 8 3 2" xfId="16798"/>
    <cellStyle name="集計 2 2 8 3 3" xfId="16799"/>
    <cellStyle name="集計 2 2 8 4" xfId="16800"/>
    <cellStyle name="集計 2 2 8 4 2" xfId="16801"/>
    <cellStyle name="集計 2 2 8 4 3" xfId="16802"/>
    <cellStyle name="集計 2 2 8 5" xfId="16803"/>
    <cellStyle name="集計 2 2 8 5 2" xfId="16804"/>
    <cellStyle name="集計 2 2 8 5 3" xfId="16805"/>
    <cellStyle name="集計 2 2 8 6" xfId="16806"/>
    <cellStyle name="集計 2 2 8 7" xfId="16807"/>
    <cellStyle name="集計 2 2 9" xfId="16808"/>
    <cellStyle name="集計 2 2 9 2" xfId="16809"/>
    <cellStyle name="集計 2 2 9 2 2" xfId="16810"/>
    <cellStyle name="集計 2 2 9 2 3" xfId="16811"/>
    <cellStyle name="集計 2 2 9 3" xfId="16812"/>
    <cellStyle name="集計 2 2 9 3 2" xfId="16813"/>
    <cellStyle name="集計 2 2 9 3 3" xfId="16814"/>
    <cellStyle name="集計 2 2 9 4" xfId="16815"/>
    <cellStyle name="集計 2 2 9 4 2" xfId="16816"/>
    <cellStyle name="集計 2 2 9 4 3" xfId="16817"/>
    <cellStyle name="集計 2 2 9 5" xfId="16818"/>
    <cellStyle name="集計 2 2 9 6" xfId="16819"/>
    <cellStyle name="集計 2 3" xfId="16820"/>
    <cellStyle name="集計 2 3 10" xfId="16821"/>
    <cellStyle name="集計 2 3 10 2" xfId="16822"/>
    <cellStyle name="集計 2 3 10 3" xfId="16823"/>
    <cellStyle name="集計 2 3 11" xfId="16824"/>
    <cellStyle name="集計 2 3 11 2" xfId="16825"/>
    <cellStyle name="集計 2 3 11 3" xfId="16826"/>
    <cellStyle name="集計 2 3 12" xfId="16827"/>
    <cellStyle name="集計 2 3 12 2" xfId="16828"/>
    <cellStyle name="集計 2 3 12 3" xfId="16829"/>
    <cellStyle name="集計 2 3 13" xfId="16830"/>
    <cellStyle name="集計 2 3 14" xfId="16831"/>
    <cellStyle name="集計 2 3 2" xfId="16832"/>
    <cellStyle name="集計 2 3 2 10" xfId="16833"/>
    <cellStyle name="集計 2 3 2 2" xfId="16834"/>
    <cellStyle name="集計 2 3 2 2 10" xfId="16835"/>
    <cellStyle name="集計 2 3 2 2 2" xfId="16836"/>
    <cellStyle name="集計 2 3 2 2 2 2" xfId="16837"/>
    <cellStyle name="集計 2 3 2 2 2 2 2" xfId="16838"/>
    <cellStyle name="集計 2 3 2 2 2 2 2 2" xfId="16839"/>
    <cellStyle name="集計 2 3 2 2 2 2 2 2 2" xfId="16840"/>
    <cellStyle name="集計 2 3 2 2 2 2 2 2 3" xfId="16841"/>
    <cellStyle name="集計 2 3 2 2 2 2 2 3" xfId="16842"/>
    <cellStyle name="集計 2 3 2 2 2 2 2 3 2" xfId="16843"/>
    <cellStyle name="集計 2 3 2 2 2 2 2 3 3" xfId="16844"/>
    <cellStyle name="集計 2 3 2 2 2 2 2 4" xfId="16845"/>
    <cellStyle name="集計 2 3 2 2 2 2 2 4 2" xfId="16846"/>
    <cellStyle name="集計 2 3 2 2 2 2 2 4 3" xfId="16847"/>
    <cellStyle name="集計 2 3 2 2 2 2 2 5" xfId="16848"/>
    <cellStyle name="集計 2 3 2 2 2 2 2 6" xfId="16849"/>
    <cellStyle name="集計 2 3 2 2 2 2 3" xfId="16850"/>
    <cellStyle name="集計 2 3 2 2 2 2 3 2" xfId="16851"/>
    <cellStyle name="集計 2 3 2 2 2 2 3 3" xfId="16852"/>
    <cellStyle name="集計 2 3 2 2 2 2 4" xfId="16853"/>
    <cellStyle name="集計 2 3 2 2 2 2 4 2" xfId="16854"/>
    <cellStyle name="集計 2 3 2 2 2 2 4 3" xfId="16855"/>
    <cellStyle name="集計 2 3 2 2 2 2 5" xfId="16856"/>
    <cellStyle name="集計 2 3 2 2 2 2 5 2" xfId="16857"/>
    <cellStyle name="集計 2 3 2 2 2 2 5 3" xfId="16858"/>
    <cellStyle name="集計 2 3 2 2 2 2 6" xfId="16859"/>
    <cellStyle name="集計 2 3 2 2 2 2 7" xfId="16860"/>
    <cellStyle name="集計 2 3 2 2 2 3" xfId="16861"/>
    <cellStyle name="集計 2 3 2 2 2 3 2" xfId="16862"/>
    <cellStyle name="集計 2 3 2 2 2 3 2 2" xfId="16863"/>
    <cellStyle name="集計 2 3 2 2 2 3 2 2 2" xfId="16864"/>
    <cellStyle name="集計 2 3 2 2 2 3 2 2 3" xfId="16865"/>
    <cellStyle name="集計 2 3 2 2 2 3 2 3" xfId="16866"/>
    <cellStyle name="集計 2 3 2 2 2 3 2 3 2" xfId="16867"/>
    <cellStyle name="集計 2 3 2 2 2 3 2 3 3" xfId="16868"/>
    <cellStyle name="集計 2 3 2 2 2 3 2 4" xfId="16869"/>
    <cellStyle name="集計 2 3 2 2 2 3 2 4 2" xfId="16870"/>
    <cellStyle name="集計 2 3 2 2 2 3 2 4 3" xfId="16871"/>
    <cellStyle name="集計 2 3 2 2 2 3 2 5" xfId="16872"/>
    <cellStyle name="集計 2 3 2 2 2 3 2 6" xfId="16873"/>
    <cellStyle name="集計 2 3 2 2 2 3 3" xfId="16874"/>
    <cellStyle name="集計 2 3 2 2 2 3 3 2" xfId="16875"/>
    <cellStyle name="集計 2 3 2 2 2 3 3 3" xfId="16876"/>
    <cellStyle name="集計 2 3 2 2 2 3 4" xfId="16877"/>
    <cellStyle name="集計 2 3 2 2 2 3 4 2" xfId="16878"/>
    <cellStyle name="集計 2 3 2 2 2 3 4 3" xfId="16879"/>
    <cellStyle name="集計 2 3 2 2 2 3 5" xfId="16880"/>
    <cellStyle name="集計 2 3 2 2 2 3 5 2" xfId="16881"/>
    <cellStyle name="集計 2 3 2 2 2 3 5 3" xfId="16882"/>
    <cellStyle name="集計 2 3 2 2 2 3 6" xfId="16883"/>
    <cellStyle name="集計 2 3 2 2 2 3 7" xfId="16884"/>
    <cellStyle name="集計 2 3 2 2 2 4" xfId="16885"/>
    <cellStyle name="集計 2 3 2 2 2 4 2" xfId="16886"/>
    <cellStyle name="集計 2 3 2 2 2 4 2 2" xfId="16887"/>
    <cellStyle name="集計 2 3 2 2 2 4 2 3" xfId="16888"/>
    <cellStyle name="集計 2 3 2 2 2 4 3" xfId="16889"/>
    <cellStyle name="集計 2 3 2 2 2 4 3 2" xfId="16890"/>
    <cellStyle name="集計 2 3 2 2 2 4 3 3" xfId="16891"/>
    <cellStyle name="集計 2 3 2 2 2 4 4" xfId="16892"/>
    <cellStyle name="集計 2 3 2 2 2 4 4 2" xfId="16893"/>
    <cellStyle name="集計 2 3 2 2 2 4 4 3" xfId="16894"/>
    <cellStyle name="集計 2 3 2 2 2 4 5" xfId="16895"/>
    <cellStyle name="集計 2 3 2 2 2 4 6" xfId="16896"/>
    <cellStyle name="集計 2 3 2 2 2 5" xfId="16897"/>
    <cellStyle name="集計 2 3 2 2 2 5 2" xfId="16898"/>
    <cellStyle name="集計 2 3 2 2 2 5 3" xfId="16899"/>
    <cellStyle name="集計 2 3 2 2 2 6" xfId="16900"/>
    <cellStyle name="集計 2 3 2 2 2 6 2" xfId="16901"/>
    <cellStyle name="集計 2 3 2 2 2 6 3" xfId="16902"/>
    <cellStyle name="集計 2 3 2 2 2 7" xfId="16903"/>
    <cellStyle name="集計 2 3 2 2 2 7 2" xfId="16904"/>
    <cellStyle name="集計 2 3 2 2 2 7 3" xfId="16905"/>
    <cellStyle name="集計 2 3 2 2 2 8" xfId="16906"/>
    <cellStyle name="集計 2 3 2 2 2 9" xfId="16907"/>
    <cellStyle name="集計 2 3 2 2 3" xfId="16908"/>
    <cellStyle name="集計 2 3 2 2 3 2" xfId="16909"/>
    <cellStyle name="集計 2 3 2 2 3 2 2" xfId="16910"/>
    <cellStyle name="集計 2 3 2 2 3 2 2 2" xfId="16911"/>
    <cellStyle name="集計 2 3 2 2 3 2 2 3" xfId="16912"/>
    <cellStyle name="集計 2 3 2 2 3 2 3" xfId="16913"/>
    <cellStyle name="集計 2 3 2 2 3 2 3 2" xfId="16914"/>
    <cellStyle name="集計 2 3 2 2 3 2 3 3" xfId="16915"/>
    <cellStyle name="集計 2 3 2 2 3 2 4" xfId="16916"/>
    <cellStyle name="集計 2 3 2 2 3 2 4 2" xfId="16917"/>
    <cellStyle name="集計 2 3 2 2 3 2 4 3" xfId="16918"/>
    <cellStyle name="集計 2 3 2 2 3 2 5" xfId="16919"/>
    <cellStyle name="集計 2 3 2 2 3 2 6" xfId="16920"/>
    <cellStyle name="集計 2 3 2 2 3 3" xfId="16921"/>
    <cellStyle name="集計 2 3 2 2 3 3 2" xfId="16922"/>
    <cellStyle name="集計 2 3 2 2 3 3 3" xfId="16923"/>
    <cellStyle name="集計 2 3 2 2 3 4" xfId="16924"/>
    <cellStyle name="集計 2 3 2 2 3 4 2" xfId="16925"/>
    <cellStyle name="集計 2 3 2 2 3 4 3" xfId="16926"/>
    <cellStyle name="集計 2 3 2 2 3 5" xfId="16927"/>
    <cellStyle name="集計 2 3 2 2 3 5 2" xfId="16928"/>
    <cellStyle name="集計 2 3 2 2 3 5 3" xfId="16929"/>
    <cellStyle name="集計 2 3 2 2 3 6" xfId="16930"/>
    <cellStyle name="集計 2 3 2 2 3 7" xfId="16931"/>
    <cellStyle name="集計 2 3 2 2 4" xfId="16932"/>
    <cellStyle name="集計 2 3 2 2 4 2" xfId="16933"/>
    <cellStyle name="集計 2 3 2 2 4 2 2" xfId="16934"/>
    <cellStyle name="集計 2 3 2 2 4 2 2 2" xfId="16935"/>
    <cellStyle name="集計 2 3 2 2 4 2 2 3" xfId="16936"/>
    <cellStyle name="集計 2 3 2 2 4 2 3" xfId="16937"/>
    <cellStyle name="集計 2 3 2 2 4 2 3 2" xfId="16938"/>
    <cellStyle name="集計 2 3 2 2 4 2 3 3" xfId="16939"/>
    <cellStyle name="集計 2 3 2 2 4 2 4" xfId="16940"/>
    <cellStyle name="集計 2 3 2 2 4 2 4 2" xfId="16941"/>
    <cellStyle name="集計 2 3 2 2 4 2 4 3" xfId="16942"/>
    <cellStyle name="集計 2 3 2 2 4 2 5" xfId="16943"/>
    <cellStyle name="集計 2 3 2 2 4 2 6" xfId="16944"/>
    <cellStyle name="集計 2 3 2 2 4 3" xfId="16945"/>
    <cellStyle name="集計 2 3 2 2 4 3 2" xfId="16946"/>
    <cellStyle name="集計 2 3 2 2 4 3 3" xfId="16947"/>
    <cellStyle name="集計 2 3 2 2 4 4" xfId="16948"/>
    <cellStyle name="集計 2 3 2 2 4 4 2" xfId="16949"/>
    <cellStyle name="集計 2 3 2 2 4 4 3" xfId="16950"/>
    <cellStyle name="集計 2 3 2 2 4 5" xfId="16951"/>
    <cellStyle name="集計 2 3 2 2 4 5 2" xfId="16952"/>
    <cellStyle name="集計 2 3 2 2 4 5 3" xfId="16953"/>
    <cellStyle name="集計 2 3 2 2 4 6" xfId="16954"/>
    <cellStyle name="集計 2 3 2 2 4 7" xfId="16955"/>
    <cellStyle name="集計 2 3 2 2 5" xfId="16956"/>
    <cellStyle name="集計 2 3 2 2 5 2" xfId="16957"/>
    <cellStyle name="集計 2 3 2 2 5 2 2" xfId="16958"/>
    <cellStyle name="集計 2 3 2 2 5 2 3" xfId="16959"/>
    <cellStyle name="集計 2 3 2 2 5 3" xfId="16960"/>
    <cellStyle name="集計 2 3 2 2 5 3 2" xfId="16961"/>
    <cellStyle name="集計 2 3 2 2 5 3 3" xfId="16962"/>
    <cellStyle name="集計 2 3 2 2 5 4" xfId="16963"/>
    <cellStyle name="集計 2 3 2 2 5 4 2" xfId="16964"/>
    <cellStyle name="集計 2 3 2 2 5 4 3" xfId="16965"/>
    <cellStyle name="集計 2 3 2 2 5 5" xfId="16966"/>
    <cellStyle name="集計 2 3 2 2 5 6" xfId="16967"/>
    <cellStyle name="集計 2 3 2 2 6" xfId="16968"/>
    <cellStyle name="集計 2 3 2 2 6 2" xfId="16969"/>
    <cellStyle name="集計 2 3 2 2 6 3" xfId="16970"/>
    <cellStyle name="集計 2 3 2 2 7" xfId="16971"/>
    <cellStyle name="集計 2 3 2 2 7 2" xfId="16972"/>
    <cellStyle name="集計 2 3 2 2 7 3" xfId="16973"/>
    <cellStyle name="集計 2 3 2 2 8" xfId="16974"/>
    <cellStyle name="集計 2 3 2 2 8 2" xfId="16975"/>
    <cellStyle name="集計 2 3 2 2 8 3" xfId="16976"/>
    <cellStyle name="集計 2 3 2 2 9" xfId="16977"/>
    <cellStyle name="集計 2 3 2 3" xfId="16978"/>
    <cellStyle name="集計 2 3 2 3 2" xfId="16979"/>
    <cellStyle name="集計 2 3 2 3 2 2" xfId="16980"/>
    <cellStyle name="集計 2 3 2 3 2 2 2" xfId="16981"/>
    <cellStyle name="集計 2 3 2 3 2 2 3" xfId="16982"/>
    <cellStyle name="集計 2 3 2 3 2 3" xfId="16983"/>
    <cellStyle name="集計 2 3 2 3 2 3 2" xfId="16984"/>
    <cellStyle name="集計 2 3 2 3 2 3 3" xfId="16985"/>
    <cellStyle name="集計 2 3 2 3 2 4" xfId="16986"/>
    <cellStyle name="集計 2 3 2 3 2 4 2" xfId="16987"/>
    <cellStyle name="集計 2 3 2 3 2 4 3" xfId="16988"/>
    <cellStyle name="集計 2 3 2 3 2 5" xfId="16989"/>
    <cellStyle name="集計 2 3 2 3 2 6" xfId="16990"/>
    <cellStyle name="集計 2 3 2 3 3" xfId="16991"/>
    <cellStyle name="集計 2 3 2 3 3 2" xfId="16992"/>
    <cellStyle name="集計 2 3 2 3 3 3" xfId="16993"/>
    <cellStyle name="集計 2 3 2 3 4" xfId="16994"/>
    <cellStyle name="集計 2 3 2 3 4 2" xfId="16995"/>
    <cellStyle name="集計 2 3 2 3 4 3" xfId="16996"/>
    <cellStyle name="集計 2 3 2 3 5" xfId="16997"/>
    <cellStyle name="集計 2 3 2 3 5 2" xfId="16998"/>
    <cellStyle name="集計 2 3 2 3 5 3" xfId="16999"/>
    <cellStyle name="集計 2 3 2 3 6" xfId="17000"/>
    <cellStyle name="集計 2 3 2 3 7" xfId="17001"/>
    <cellStyle name="集計 2 3 2 4" xfId="17002"/>
    <cellStyle name="集計 2 3 2 4 2" xfId="17003"/>
    <cellStyle name="集計 2 3 2 4 2 2" xfId="17004"/>
    <cellStyle name="集計 2 3 2 4 2 2 2" xfId="17005"/>
    <cellStyle name="集計 2 3 2 4 2 2 3" xfId="17006"/>
    <cellStyle name="集計 2 3 2 4 2 3" xfId="17007"/>
    <cellStyle name="集計 2 3 2 4 2 3 2" xfId="17008"/>
    <cellStyle name="集計 2 3 2 4 2 3 3" xfId="17009"/>
    <cellStyle name="集計 2 3 2 4 2 4" xfId="17010"/>
    <cellStyle name="集計 2 3 2 4 2 4 2" xfId="17011"/>
    <cellStyle name="集計 2 3 2 4 2 4 3" xfId="17012"/>
    <cellStyle name="集計 2 3 2 4 2 5" xfId="17013"/>
    <cellStyle name="集計 2 3 2 4 2 6" xfId="17014"/>
    <cellStyle name="集計 2 3 2 4 3" xfId="17015"/>
    <cellStyle name="集計 2 3 2 4 3 2" xfId="17016"/>
    <cellStyle name="集計 2 3 2 4 3 3" xfId="17017"/>
    <cellStyle name="集計 2 3 2 4 4" xfId="17018"/>
    <cellStyle name="集計 2 3 2 4 4 2" xfId="17019"/>
    <cellStyle name="集計 2 3 2 4 4 3" xfId="17020"/>
    <cellStyle name="集計 2 3 2 4 5" xfId="17021"/>
    <cellStyle name="集計 2 3 2 4 5 2" xfId="17022"/>
    <cellStyle name="集計 2 3 2 4 5 3" xfId="17023"/>
    <cellStyle name="集計 2 3 2 4 6" xfId="17024"/>
    <cellStyle name="集計 2 3 2 4 7" xfId="17025"/>
    <cellStyle name="集計 2 3 2 5" xfId="17026"/>
    <cellStyle name="集計 2 3 2 5 2" xfId="17027"/>
    <cellStyle name="集計 2 3 2 5 2 2" xfId="17028"/>
    <cellStyle name="集計 2 3 2 5 2 3" xfId="17029"/>
    <cellStyle name="集計 2 3 2 5 3" xfId="17030"/>
    <cellStyle name="集計 2 3 2 5 3 2" xfId="17031"/>
    <cellStyle name="集計 2 3 2 5 3 3" xfId="17032"/>
    <cellStyle name="集計 2 3 2 5 4" xfId="17033"/>
    <cellStyle name="集計 2 3 2 5 4 2" xfId="17034"/>
    <cellStyle name="集計 2 3 2 5 4 3" xfId="17035"/>
    <cellStyle name="集計 2 3 2 5 5" xfId="17036"/>
    <cellStyle name="集計 2 3 2 5 6" xfId="17037"/>
    <cellStyle name="集計 2 3 2 6" xfId="17038"/>
    <cellStyle name="集計 2 3 2 6 2" xfId="17039"/>
    <cellStyle name="集計 2 3 2 6 3" xfId="17040"/>
    <cellStyle name="集計 2 3 2 7" xfId="17041"/>
    <cellStyle name="集計 2 3 2 7 2" xfId="17042"/>
    <cellStyle name="集計 2 3 2 7 3" xfId="17043"/>
    <cellStyle name="集計 2 3 2 8" xfId="17044"/>
    <cellStyle name="集計 2 3 2 8 2" xfId="17045"/>
    <cellStyle name="集計 2 3 2 8 3" xfId="17046"/>
    <cellStyle name="集計 2 3 2 9" xfId="17047"/>
    <cellStyle name="集計 2 3 3" xfId="17048"/>
    <cellStyle name="集計 2 3 3 10" xfId="17049"/>
    <cellStyle name="集計 2 3 3 2" xfId="17050"/>
    <cellStyle name="集計 2 3 3 2 10" xfId="17051"/>
    <cellStyle name="集計 2 3 3 2 2" xfId="17052"/>
    <cellStyle name="集計 2 3 3 2 2 2" xfId="17053"/>
    <cellStyle name="集計 2 3 3 2 2 2 2" xfId="17054"/>
    <cellStyle name="集計 2 3 3 2 2 2 2 2" xfId="17055"/>
    <cellStyle name="集計 2 3 3 2 2 2 2 2 2" xfId="17056"/>
    <cellStyle name="集計 2 3 3 2 2 2 2 2 3" xfId="17057"/>
    <cellStyle name="集計 2 3 3 2 2 2 2 3" xfId="17058"/>
    <cellStyle name="集計 2 3 3 2 2 2 2 3 2" xfId="17059"/>
    <cellStyle name="集計 2 3 3 2 2 2 2 3 3" xfId="17060"/>
    <cellStyle name="集計 2 3 3 2 2 2 2 4" xfId="17061"/>
    <cellStyle name="集計 2 3 3 2 2 2 2 4 2" xfId="17062"/>
    <cellStyle name="集計 2 3 3 2 2 2 2 4 3" xfId="17063"/>
    <cellStyle name="集計 2 3 3 2 2 2 2 5" xfId="17064"/>
    <cellStyle name="集計 2 3 3 2 2 2 2 6" xfId="17065"/>
    <cellStyle name="集計 2 3 3 2 2 2 3" xfId="17066"/>
    <cellStyle name="集計 2 3 3 2 2 2 3 2" xfId="17067"/>
    <cellStyle name="集計 2 3 3 2 2 2 3 3" xfId="17068"/>
    <cellStyle name="集計 2 3 3 2 2 2 4" xfId="17069"/>
    <cellStyle name="集計 2 3 3 2 2 2 4 2" xfId="17070"/>
    <cellStyle name="集計 2 3 3 2 2 2 4 3" xfId="17071"/>
    <cellStyle name="集計 2 3 3 2 2 2 5" xfId="17072"/>
    <cellStyle name="集計 2 3 3 2 2 2 5 2" xfId="17073"/>
    <cellStyle name="集計 2 3 3 2 2 2 5 3" xfId="17074"/>
    <cellStyle name="集計 2 3 3 2 2 2 6" xfId="17075"/>
    <cellStyle name="集計 2 3 3 2 2 2 7" xfId="17076"/>
    <cellStyle name="集計 2 3 3 2 2 3" xfId="17077"/>
    <cellStyle name="集計 2 3 3 2 2 3 2" xfId="17078"/>
    <cellStyle name="集計 2 3 3 2 2 3 2 2" xfId="17079"/>
    <cellStyle name="集計 2 3 3 2 2 3 2 2 2" xfId="17080"/>
    <cellStyle name="集計 2 3 3 2 2 3 2 2 3" xfId="17081"/>
    <cellStyle name="集計 2 3 3 2 2 3 2 3" xfId="17082"/>
    <cellStyle name="集計 2 3 3 2 2 3 2 3 2" xfId="17083"/>
    <cellStyle name="集計 2 3 3 2 2 3 2 3 3" xfId="17084"/>
    <cellStyle name="集計 2 3 3 2 2 3 2 4" xfId="17085"/>
    <cellStyle name="集計 2 3 3 2 2 3 2 4 2" xfId="17086"/>
    <cellStyle name="集計 2 3 3 2 2 3 2 4 3" xfId="17087"/>
    <cellStyle name="集計 2 3 3 2 2 3 2 5" xfId="17088"/>
    <cellStyle name="集計 2 3 3 2 2 3 2 6" xfId="17089"/>
    <cellStyle name="集計 2 3 3 2 2 3 3" xfId="17090"/>
    <cellStyle name="集計 2 3 3 2 2 3 3 2" xfId="17091"/>
    <cellStyle name="集計 2 3 3 2 2 3 3 3" xfId="17092"/>
    <cellStyle name="集計 2 3 3 2 2 3 4" xfId="17093"/>
    <cellStyle name="集計 2 3 3 2 2 3 4 2" xfId="17094"/>
    <cellStyle name="集計 2 3 3 2 2 3 4 3" xfId="17095"/>
    <cellStyle name="集計 2 3 3 2 2 3 5" xfId="17096"/>
    <cellStyle name="集計 2 3 3 2 2 3 5 2" xfId="17097"/>
    <cellStyle name="集計 2 3 3 2 2 3 5 3" xfId="17098"/>
    <cellStyle name="集計 2 3 3 2 2 3 6" xfId="17099"/>
    <cellStyle name="集計 2 3 3 2 2 3 7" xfId="17100"/>
    <cellStyle name="集計 2 3 3 2 2 4" xfId="17101"/>
    <cellStyle name="集計 2 3 3 2 2 4 2" xfId="17102"/>
    <cellStyle name="集計 2 3 3 2 2 4 2 2" xfId="17103"/>
    <cellStyle name="集計 2 3 3 2 2 4 2 3" xfId="17104"/>
    <cellStyle name="集計 2 3 3 2 2 4 3" xfId="17105"/>
    <cellStyle name="集計 2 3 3 2 2 4 3 2" xfId="17106"/>
    <cellStyle name="集計 2 3 3 2 2 4 3 3" xfId="17107"/>
    <cellStyle name="集計 2 3 3 2 2 4 4" xfId="17108"/>
    <cellStyle name="集計 2 3 3 2 2 4 4 2" xfId="17109"/>
    <cellStyle name="集計 2 3 3 2 2 4 4 3" xfId="17110"/>
    <cellStyle name="集計 2 3 3 2 2 4 5" xfId="17111"/>
    <cellStyle name="集計 2 3 3 2 2 4 6" xfId="17112"/>
    <cellStyle name="集計 2 3 3 2 2 5" xfId="17113"/>
    <cellStyle name="集計 2 3 3 2 2 5 2" xfId="17114"/>
    <cellStyle name="集計 2 3 3 2 2 5 3" xfId="17115"/>
    <cellStyle name="集計 2 3 3 2 2 6" xfId="17116"/>
    <cellStyle name="集計 2 3 3 2 2 6 2" xfId="17117"/>
    <cellStyle name="集計 2 3 3 2 2 6 3" xfId="17118"/>
    <cellStyle name="集計 2 3 3 2 2 7" xfId="17119"/>
    <cellStyle name="集計 2 3 3 2 2 7 2" xfId="17120"/>
    <cellStyle name="集計 2 3 3 2 2 7 3" xfId="17121"/>
    <cellStyle name="集計 2 3 3 2 2 8" xfId="17122"/>
    <cellStyle name="集計 2 3 3 2 2 9" xfId="17123"/>
    <cellStyle name="集計 2 3 3 2 3" xfId="17124"/>
    <cellStyle name="集計 2 3 3 2 3 2" xfId="17125"/>
    <cellStyle name="集計 2 3 3 2 3 2 2" xfId="17126"/>
    <cellStyle name="集計 2 3 3 2 3 2 2 2" xfId="17127"/>
    <cellStyle name="集計 2 3 3 2 3 2 2 3" xfId="17128"/>
    <cellStyle name="集計 2 3 3 2 3 2 3" xfId="17129"/>
    <cellStyle name="集計 2 3 3 2 3 2 3 2" xfId="17130"/>
    <cellStyle name="集計 2 3 3 2 3 2 3 3" xfId="17131"/>
    <cellStyle name="集計 2 3 3 2 3 2 4" xfId="17132"/>
    <cellStyle name="集計 2 3 3 2 3 2 4 2" xfId="17133"/>
    <cellStyle name="集計 2 3 3 2 3 2 4 3" xfId="17134"/>
    <cellStyle name="集計 2 3 3 2 3 2 5" xfId="17135"/>
    <cellStyle name="集計 2 3 3 2 3 2 6" xfId="17136"/>
    <cellStyle name="集計 2 3 3 2 3 3" xfId="17137"/>
    <cellStyle name="集計 2 3 3 2 3 3 2" xfId="17138"/>
    <cellStyle name="集計 2 3 3 2 3 3 3" xfId="17139"/>
    <cellStyle name="集計 2 3 3 2 3 4" xfId="17140"/>
    <cellStyle name="集計 2 3 3 2 3 4 2" xfId="17141"/>
    <cellStyle name="集計 2 3 3 2 3 4 3" xfId="17142"/>
    <cellStyle name="集計 2 3 3 2 3 5" xfId="17143"/>
    <cellStyle name="集計 2 3 3 2 3 5 2" xfId="17144"/>
    <cellStyle name="集計 2 3 3 2 3 5 3" xfId="17145"/>
    <cellStyle name="集計 2 3 3 2 3 6" xfId="17146"/>
    <cellStyle name="集計 2 3 3 2 3 7" xfId="17147"/>
    <cellStyle name="集計 2 3 3 2 4" xfId="17148"/>
    <cellStyle name="集計 2 3 3 2 4 2" xfId="17149"/>
    <cellStyle name="集計 2 3 3 2 4 2 2" xfId="17150"/>
    <cellStyle name="集計 2 3 3 2 4 2 2 2" xfId="17151"/>
    <cellStyle name="集計 2 3 3 2 4 2 2 3" xfId="17152"/>
    <cellStyle name="集計 2 3 3 2 4 2 3" xfId="17153"/>
    <cellStyle name="集計 2 3 3 2 4 2 3 2" xfId="17154"/>
    <cellStyle name="集計 2 3 3 2 4 2 3 3" xfId="17155"/>
    <cellStyle name="集計 2 3 3 2 4 2 4" xfId="17156"/>
    <cellStyle name="集計 2 3 3 2 4 2 4 2" xfId="17157"/>
    <cellStyle name="集計 2 3 3 2 4 2 4 3" xfId="17158"/>
    <cellStyle name="集計 2 3 3 2 4 2 5" xfId="17159"/>
    <cellStyle name="集計 2 3 3 2 4 2 6" xfId="17160"/>
    <cellStyle name="集計 2 3 3 2 4 3" xfId="17161"/>
    <cellStyle name="集計 2 3 3 2 4 3 2" xfId="17162"/>
    <cellStyle name="集計 2 3 3 2 4 3 3" xfId="17163"/>
    <cellStyle name="集計 2 3 3 2 4 4" xfId="17164"/>
    <cellStyle name="集計 2 3 3 2 4 4 2" xfId="17165"/>
    <cellStyle name="集計 2 3 3 2 4 4 3" xfId="17166"/>
    <cellStyle name="集計 2 3 3 2 4 5" xfId="17167"/>
    <cellStyle name="集計 2 3 3 2 4 5 2" xfId="17168"/>
    <cellStyle name="集計 2 3 3 2 4 5 3" xfId="17169"/>
    <cellStyle name="集計 2 3 3 2 4 6" xfId="17170"/>
    <cellStyle name="集計 2 3 3 2 4 7" xfId="17171"/>
    <cellStyle name="集計 2 3 3 2 5" xfId="17172"/>
    <cellStyle name="集計 2 3 3 2 5 2" xfId="17173"/>
    <cellStyle name="集計 2 3 3 2 5 2 2" xfId="17174"/>
    <cellStyle name="集計 2 3 3 2 5 2 3" xfId="17175"/>
    <cellStyle name="集計 2 3 3 2 5 3" xfId="17176"/>
    <cellStyle name="集計 2 3 3 2 5 3 2" xfId="17177"/>
    <cellStyle name="集計 2 3 3 2 5 3 3" xfId="17178"/>
    <cellStyle name="集計 2 3 3 2 5 4" xfId="17179"/>
    <cellStyle name="集計 2 3 3 2 5 4 2" xfId="17180"/>
    <cellStyle name="集計 2 3 3 2 5 4 3" xfId="17181"/>
    <cellStyle name="集計 2 3 3 2 5 5" xfId="17182"/>
    <cellStyle name="集計 2 3 3 2 5 6" xfId="17183"/>
    <cellStyle name="集計 2 3 3 2 6" xfId="17184"/>
    <cellStyle name="集計 2 3 3 2 6 2" xfId="17185"/>
    <cellStyle name="集計 2 3 3 2 6 3" xfId="17186"/>
    <cellStyle name="集計 2 3 3 2 7" xfId="17187"/>
    <cellStyle name="集計 2 3 3 2 7 2" xfId="17188"/>
    <cellStyle name="集計 2 3 3 2 7 3" xfId="17189"/>
    <cellStyle name="集計 2 3 3 2 8" xfId="17190"/>
    <cellStyle name="集計 2 3 3 2 8 2" xfId="17191"/>
    <cellStyle name="集計 2 3 3 2 8 3" xfId="17192"/>
    <cellStyle name="集計 2 3 3 2 9" xfId="17193"/>
    <cellStyle name="集計 2 3 3 3" xfId="17194"/>
    <cellStyle name="集計 2 3 3 3 2" xfId="17195"/>
    <cellStyle name="集計 2 3 3 3 2 2" xfId="17196"/>
    <cellStyle name="集計 2 3 3 3 2 2 2" xfId="17197"/>
    <cellStyle name="集計 2 3 3 3 2 2 3" xfId="17198"/>
    <cellStyle name="集計 2 3 3 3 2 3" xfId="17199"/>
    <cellStyle name="集計 2 3 3 3 2 3 2" xfId="17200"/>
    <cellStyle name="集計 2 3 3 3 2 3 3" xfId="17201"/>
    <cellStyle name="集計 2 3 3 3 2 4" xfId="17202"/>
    <cellStyle name="集計 2 3 3 3 2 4 2" xfId="17203"/>
    <cellStyle name="集計 2 3 3 3 2 4 3" xfId="17204"/>
    <cellStyle name="集計 2 3 3 3 2 5" xfId="17205"/>
    <cellStyle name="集計 2 3 3 3 2 6" xfId="17206"/>
    <cellStyle name="集計 2 3 3 3 3" xfId="17207"/>
    <cellStyle name="集計 2 3 3 3 3 2" xfId="17208"/>
    <cellStyle name="集計 2 3 3 3 3 3" xfId="17209"/>
    <cellStyle name="集計 2 3 3 3 4" xfId="17210"/>
    <cellStyle name="集計 2 3 3 3 4 2" xfId="17211"/>
    <cellStyle name="集計 2 3 3 3 4 3" xfId="17212"/>
    <cellStyle name="集計 2 3 3 3 5" xfId="17213"/>
    <cellStyle name="集計 2 3 3 3 5 2" xfId="17214"/>
    <cellStyle name="集計 2 3 3 3 5 3" xfId="17215"/>
    <cellStyle name="集計 2 3 3 3 6" xfId="17216"/>
    <cellStyle name="集計 2 3 3 3 7" xfId="17217"/>
    <cellStyle name="集計 2 3 3 4" xfId="17218"/>
    <cellStyle name="集計 2 3 3 4 2" xfId="17219"/>
    <cellStyle name="集計 2 3 3 4 2 2" xfId="17220"/>
    <cellStyle name="集計 2 3 3 4 2 2 2" xfId="17221"/>
    <cellStyle name="集計 2 3 3 4 2 2 3" xfId="17222"/>
    <cellStyle name="集計 2 3 3 4 2 3" xfId="17223"/>
    <cellStyle name="集計 2 3 3 4 2 3 2" xfId="17224"/>
    <cellStyle name="集計 2 3 3 4 2 3 3" xfId="17225"/>
    <cellStyle name="集計 2 3 3 4 2 4" xfId="17226"/>
    <cellStyle name="集計 2 3 3 4 2 4 2" xfId="17227"/>
    <cellStyle name="集計 2 3 3 4 2 4 3" xfId="17228"/>
    <cellStyle name="集計 2 3 3 4 2 5" xfId="17229"/>
    <cellStyle name="集計 2 3 3 4 2 6" xfId="17230"/>
    <cellStyle name="集計 2 3 3 4 3" xfId="17231"/>
    <cellStyle name="集計 2 3 3 4 3 2" xfId="17232"/>
    <cellStyle name="集計 2 3 3 4 3 3" xfId="17233"/>
    <cellStyle name="集計 2 3 3 4 4" xfId="17234"/>
    <cellStyle name="集計 2 3 3 4 4 2" xfId="17235"/>
    <cellStyle name="集計 2 3 3 4 4 3" xfId="17236"/>
    <cellStyle name="集計 2 3 3 4 5" xfId="17237"/>
    <cellStyle name="集計 2 3 3 4 5 2" xfId="17238"/>
    <cellStyle name="集計 2 3 3 4 5 3" xfId="17239"/>
    <cellStyle name="集計 2 3 3 4 6" xfId="17240"/>
    <cellStyle name="集計 2 3 3 4 7" xfId="17241"/>
    <cellStyle name="集計 2 3 3 5" xfId="17242"/>
    <cellStyle name="集計 2 3 3 5 2" xfId="17243"/>
    <cellStyle name="集計 2 3 3 5 2 2" xfId="17244"/>
    <cellStyle name="集計 2 3 3 5 2 3" xfId="17245"/>
    <cellStyle name="集計 2 3 3 5 3" xfId="17246"/>
    <cellStyle name="集計 2 3 3 5 3 2" xfId="17247"/>
    <cellStyle name="集計 2 3 3 5 3 3" xfId="17248"/>
    <cellStyle name="集計 2 3 3 5 4" xfId="17249"/>
    <cellStyle name="集計 2 3 3 5 4 2" xfId="17250"/>
    <cellStyle name="集計 2 3 3 5 4 3" xfId="17251"/>
    <cellStyle name="集計 2 3 3 5 5" xfId="17252"/>
    <cellStyle name="集計 2 3 3 5 6" xfId="17253"/>
    <cellStyle name="集計 2 3 3 6" xfId="17254"/>
    <cellStyle name="集計 2 3 3 6 2" xfId="17255"/>
    <cellStyle name="集計 2 3 3 6 3" xfId="17256"/>
    <cellStyle name="集計 2 3 3 7" xfId="17257"/>
    <cellStyle name="集計 2 3 3 7 2" xfId="17258"/>
    <cellStyle name="集計 2 3 3 7 3" xfId="17259"/>
    <cellStyle name="集計 2 3 3 8" xfId="17260"/>
    <cellStyle name="集計 2 3 3 8 2" xfId="17261"/>
    <cellStyle name="集計 2 3 3 8 3" xfId="17262"/>
    <cellStyle name="集計 2 3 3 9" xfId="17263"/>
    <cellStyle name="集計 2 3 4" xfId="17264"/>
    <cellStyle name="集計 2 3 4 10" xfId="17265"/>
    <cellStyle name="集計 2 3 4 2" xfId="17266"/>
    <cellStyle name="集計 2 3 4 2 10" xfId="17267"/>
    <cellStyle name="集計 2 3 4 2 2" xfId="17268"/>
    <cellStyle name="集計 2 3 4 2 2 2" xfId="17269"/>
    <cellStyle name="集計 2 3 4 2 2 2 2" xfId="17270"/>
    <cellStyle name="集計 2 3 4 2 2 2 2 2" xfId="17271"/>
    <cellStyle name="集計 2 3 4 2 2 2 2 2 2" xfId="17272"/>
    <cellStyle name="集計 2 3 4 2 2 2 2 2 3" xfId="17273"/>
    <cellStyle name="集計 2 3 4 2 2 2 2 3" xfId="17274"/>
    <cellStyle name="集計 2 3 4 2 2 2 2 3 2" xfId="17275"/>
    <cellStyle name="集計 2 3 4 2 2 2 2 3 3" xfId="17276"/>
    <cellStyle name="集計 2 3 4 2 2 2 2 4" xfId="17277"/>
    <cellStyle name="集計 2 3 4 2 2 2 2 4 2" xfId="17278"/>
    <cellStyle name="集計 2 3 4 2 2 2 2 4 3" xfId="17279"/>
    <cellStyle name="集計 2 3 4 2 2 2 2 5" xfId="17280"/>
    <cellStyle name="集計 2 3 4 2 2 2 2 6" xfId="17281"/>
    <cellStyle name="集計 2 3 4 2 2 2 3" xfId="17282"/>
    <cellStyle name="集計 2 3 4 2 2 2 3 2" xfId="17283"/>
    <cellStyle name="集計 2 3 4 2 2 2 3 3" xfId="17284"/>
    <cellStyle name="集計 2 3 4 2 2 2 4" xfId="17285"/>
    <cellStyle name="集計 2 3 4 2 2 2 4 2" xfId="17286"/>
    <cellStyle name="集計 2 3 4 2 2 2 4 3" xfId="17287"/>
    <cellStyle name="集計 2 3 4 2 2 2 5" xfId="17288"/>
    <cellStyle name="集計 2 3 4 2 2 2 5 2" xfId="17289"/>
    <cellStyle name="集計 2 3 4 2 2 2 5 3" xfId="17290"/>
    <cellStyle name="集計 2 3 4 2 2 2 6" xfId="17291"/>
    <cellStyle name="集計 2 3 4 2 2 2 7" xfId="17292"/>
    <cellStyle name="集計 2 3 4 2 2 3" xfId="17293"/>
    <cellStyle name="集計 2 3 4 2 2 3 2" xfId="17294"/>
    <cellStyle name="集計 2 3 4 2 2 3 2 2" xfId="17295"/>
    <cellStyle name="集計 2 3 4 2 2 3 2 2 2" xfId="17296"/>
    <cellStyle name="集計 2 3 4 2 2 3 2 2 3" xfId="17297"/>
    <cellStyle name="集計 2 3 4 2 2 3 2 3" xfId="17298"/>
    <cellStyle name="集計 2 3 4 2 2 3 2 3 2" xfId="17299"/>
    <cellStyle name="集計 2 3 4 2 2 3 2 3 3" xfId="17300"/>
    <cellStyle name="集計 2 3 4 2 2 3 2 4" xfId="17301"/>
    <cellStyle name="集計 2 3 4 2 2 3 2 4 2" xfId="17302"/>
    <cellStyle name="集計 2 3 4 2 2 3 2 4 3" xfId="17303"/>
    <cellStyle name="集計 2 3 4 2 2 3 2 5" xfId="17304"/>
    <cellStyle name="集計 2 3 4 2 2 3 2 6" xfId="17305"/>
    <cellStyle name="集計 2 3 4 2 2 3 3" xfId="17306"/>
    <cellStyle name="集計 2 3 4 2 2 3 3 2" xfId="17307"/>
    <cellStyle name="集計 2 3 4 2 2 3 3 3" xfId="17308"/>
    <cellStyle name="集計 2 3 4 2 2 3 4" xfId="17309"/>
    <cellStyle name="集計 2 3 4 2 2 3 4 2" xfId="17310"/>
    <cellStyle name="集計 2 3 4 2 2 3 4 3" xfId="17311"/>
    <cellStyle name="集計 2 3 4 2 2 3 5" xfId="17312"/>
    <cellStyle name="集計 2 3 4 2 2 3 5 2" xfId="17313"/>
    <cellStyle name="集計 2 3 4 2 2 3 5 3" xfId="17314"/>
    <cellStyle name="集計 2 3 4 2 2 3 6" xfId="17315"/>
    <cellStyle name="集計 2 3 4 2 2 3 7" xfId="17316"/>
    <cellStyle name="集計 2 3 4 2 2 4" xfId="17317"/>
    <cellStyle name="集計 2 3 4 2 2 4 2" xfId="17318"/>
    <cellStyle name="集計 2 3 4 2 2 4 2 2" xfId="17319"/>
    <cellStyle name="集計 2 3 4 2 2 4 2 3" xfId="17320"/>
    <cellStyle name="集計 2 3 4 2 2 4 3" xfId="17321"/>
    <cellStyle name="集計 2 3 4 2 2 4 3 2" xfId="17322"/>
    <cellStyle name="集計 2 3 4 2 2 4 3 3" xfId="17323"/>
    <cellStyle name="集計 2 3 4 2 2 4 4" xfId="17324"/>
    <cellStyle name="集計 2 3 4 2 2 4 4 2" xfId="17325"/>
    <cellStyle name="集計 2 3 4 2 2 4 4 3" xfId="17326"/>
    <cellStyle name="集計 2 3 4 2 2 4 5" xfId="17327"/>
    <cellStyle name="集計 2 3 4 2 2 4 6" xfId="17328"/>
    <cellStyle name="集計 2 3 4 2 2 5" xfId="17329"/>
    <cellStyle name="集計 2 3 4 2 2 5 2" xfId="17330"/>
    <cellStyle name="集計 2 3 4 2 2 5 3" xfId="17331"/>
    <cellStyle name="集計 2 3 4 2 2 6" xfId="17332"/>
    <cellStyle name="集計 2 3 4 2 2 6 2" xfId="17333"/>
    <cellStyle name="集計 2 3 4 2 2 6 3" xfId="17334"/>
    <cellStyle name="集計 2 3 4 2 2 7" xfId="17335"/>
    <cellStyle name="集計 2 3 4 2 2 7 2" xfId="17336"/>
    <cellStyle name="集計 2 3 4 2 2 7 3" xfId="17337"/>
    <cellStyle name="集計 2 3 4 2 2 8" xfId="17338"/>
    <cellStyle name="集計 2 3 4 2 2 9" xfId="17339"/>
    <cellStyle name="集計 2 3 4 2 3" xfId="17340"/>
    <cellStyle name="集計 2 3 4 2 3 2" xfId="17341"/>
    <cellStyle name="集計 2 3 4 2 3 2 2" xfId="17342"/>
    <cellStyle name="集計 2 3 4 2 3 2 2 2" xfId="17343"/>
    <cellStyle name="集計 2 3 4 2 3 2 2 3" xfId="17344"/>
    <cellStyle name="集計 2 3 4 2 3 2 3" xfId="17345"/>
    <cellStyle name="集計 2 3 4 2 3 2 3 2" xfId="17346"/>
    <cellStyle name="集計 2 3 4 2 3 2 3 3" xfId="17347"/>
    <cellStyle name="集計 2 3 4 2 3 2 4" xfId="17348"/>
    <cellStyle name="集計 2 3 4 2 3 2 4 2" xfId="17349"/>
    <cellStyle name="集計 2 3 4 2 3 2 4 3" xfId="17350"/>
    <cellStyle name="集計 2 3 4 2 3 2 5" xfId="17351"/>
    <cellStyle name="集計 2 3 4 2 3 2 6" xfId="17352"/>
    <cellStyle name="集計 2 3 4 2 3 3" xfId="17353"/>
    <cellStyle name="集計 2 3 4 2 3 3 2" xfId="17354"/>
    <cellStyle name="集計 2 3 4 2 3 3 3" xfId="17355"/>
    <cellStyle name="集計 2 3 4 2 3 4" xfId="17356"/>
    <cellStyle name="集計 2 3 4 2 3 4 2" xfId="17357"/>
    <cellStyle name="集計 2 3 4 2 3 4 3" xfId="17358"/>
    <cellStyle name="集計 2 3 4 2 3 5" xfId="17359"/>
    <cellStyle name="集計 2 3 4 2 3 5 2" xfId="17360"/>
    <cellStyle name="集計 2 3 4 2 3 5 3" xfId="17361"/>
    <cellStyle name="集計 2 3 4 2 3 6" xfId="17362"/>
    <cellStyle name="集計 2 3 4 2 3 7" xfId="17363"/>
    <cellStyle name="集計 2 3 4 2 4" xfId="17364"/>
    <cellStyle name="集計 2 3 4 2 4 2" xfId="17365"/>
    <cellStyle name="集計 2 3 4 2 4 2 2" xfId="17366"/>
    <cellStyle name="集計 2 3 4 2 4 2 2 2" xfId="17367"/>
    <cellStyle name="集計 2 3 4 2 4 2 2 3" xfId="17368"/>
    <cellStyle name="集計 2 3 4 2 4 2 3" xfId="17369"/>
    <cellStyle name="集計 2 3 4 2 4 2 3 2" xfId="17370"/>
    <cellStyle name="集計 2 3 4 2 4 2 3 3" xfId="17371"/>
    <cellStyle name="集計 2 3 4 2 4 2 4" xfId="17372"/>
    <cellStyle name="集計 2 3 4 2 4 2 4 2" xfId="17373"/>
    <cellStyle name="集計 2 3 4 2 4 2 4 3" xfId="17374"/>
    <cellStyle name="集計 2 3 4 2 4 2 5" xfId="17375"/>
    <cellStyle name="集計 2 3 4 2 4 2 6" xfId="17376"/>
    <cellStyle name="集計 2 3 4 2 4 3" xfId="17377"/>
    <cellStyle name="集計 2 3 4 2 4 3 2" xfId="17378"/>
    <cellStyle name="集計 2 3 4 2 4 3 3" xfId="17379"/>
    <cellStyle name="集計 2 3 4 2 4 4" xfId="17380"/>
    <cellStyle name="集計 2 3 4 2 4 4 2" xfId="17381"/>
    <cellStyle name="集計 2 3 4 2 4 4 3" xfId="17382"/>
    <cellStyle name="集計 2 3 4 2 4 5" xfId="17383"/>
    <cellStyle name="集計 2 3 4 2 4 5 2" xfId="17384"/>
    <cellStyle name="集計 2 3 4 2 4 5 3" xfId="17385"/>
    <cellStyle name="集計 2 3 4 2 4 6" xfId="17386"/>
    <cellStyle name="集計 2 3 4 2 4 7" xfId="17387"/>
    <cellStyle name="集計 2 3 4 2 5" xfId="17388"/>
    <cellStyle name="集計 2 3 4 2 5 2" xfId="17389"/>
    <cellStyle name="集計 2 3 4 2 5 2 2" xfId="17390"/>
    <cellStyle name="集計 2 3 4 2 5 2 3" xfId="17391"/>
    <cellStyle name="集計 2 3 4 2 5 3" xfId="17392"/>
    <cellStyle name="集計 2 3 4 2 5 3 2" xfId="17393"/>
    <cellStyle name="集計 2 3 4 2 5 3 3" xfId="17394"/>
    <cellStyle name="集計 2 3 4 2 5 4" xfId="17395"/>
    <cellStyle name="集計 2 3 4 2 5 4 2" xfId="17396"/>
    <cellStyle name="集計 2 3 4 2 5 4 3" xfId="17397"/>
    <cellStyle name="集計 2 3 4 2 5 5" xfId="17398"/>
    <cellStyle name="集計 2 3 4 2 5 6" xfId="17399"/>
    <cellStyle name="集計 2 3 4 2 6" xfId="17400"/>
    <cellStyle name="集計 2 3 4 2 6 2" xfId="17401"/>
    <cellStyle name="集計 2 3 4 2 6 3" xfId="17402"/>
    <cellStyle name="集計 2 3 4 2 7" xfId="17403"/>
    <cellStyle name="集計 2 3 4 2 7 2" xfId="17404"/>
    <cellStyle name="集計 2 3 4 2 7 3" xfId="17405"/>
    <cellStyle name="集計 2 3 4 2 8" xfId="17406"/>
    <cellStyle name="集計 2 3 4 2 8 2" xfId="17407"/>
    <cellStyle name="集計 2 3 4 2 8 3" xfId="17408"/>
    <cellStyle name="集計 2 3 4 2 9" xfId="17409"/>
    <cellStyle name="集計 2 3 4 3" xfId="17410"/>
    <cellStyle name="集計 2 3 4 3 2" xfId="17411"/>
    <cellStyle name="集計 2 3 4 3 2 2" xfId="17412"/>
    <cellStyle name="集計 2 3 4 3 2 2 2" xfId="17413"/>
    <cellStyle name="集計 2 3 4 3 2 2 3" xfId="17414"/>
    <cellStyle name="集計 2 3 4 3 2 3" xfId="17415"/>
    <cellStyle name="集計 2 3 4 3 2 3 2" xfId="17416"/>
    <cellStyle name="集計 2 3 4 3 2 3 3" xfId="17417"/>
    <cellStyle name="集計 2 3 4 3 2 4" xfId="17418"/>
    <cellStyle name="集計 2 3 4 3 2 4 2" xfId="17419"/>
    <cellStyle name="集計 2 3 4 3 2 4 3" xfId="17420"/>
    <cellStyle name="集計 2 3 4 3 2 5" xfId="17421"/>
    <cellStyle name="集計 2 3 4 3 2 6" xfId="17422"/>
    <cellStyle name="集計 2 3 4 3 3" xfId="17423"/>
    <cellStyle name="集計 2 3 4 3 3 2" xfId="17424"/>
    <cellStyle name="集計 2 3 4 3 3 3" xfId="17425"/>
    <cellStyle name="集計 2 3 4 3 4" xfId="17426"/>
    <cellStyle name="集計 2 3 4 3 4 2" xfId="17427"/>
    <cellStyle name="集計 2 3 4 3 4 3" xfId="17428"/>
    <cellStyle name="集計 2 3 4 3 5" xfId="17429"/>
    <cellStyle name="集計 2 3 4 3 5 2" xfId="17430"/>
    <cellStyle name="集計 2 3 4 3 5 3" xfId="17431"/>
    <cellStyle name="集計 2 3 4 3 6" xfId="17432"/>
    <cellStyle name="集計 2 3 4 3 7" xfId="17433"/>
    <cellStyle name="集計 2 3 4 4" xfId="17434"/>
    <cellStyle name="集計 2 3 4 4 2" xfId="17435"/>
    <cellStyle name="集計 2 3 4 4 2 2" xfId="17436"/>
    <cellStyle name="集計 2 3 4 4 2 2 2" xfId="17437"/>
    <cellStyle name="集計 2 3 4 4 2 2 3" xfId="17438"/>
    <cellStyle name="集計 2 3 4 4 2 3" xfId="17439"/>
    <cellStyle name="集計 2 3 4 4 2 3 2" xfId="17440"/>
    <cellStyle name="集計 2 3 4 4 2 3 3" xfId="17441"/>
    <cellStyle name="集計 2 3 4 4 2 4" xfId="17442"/>
    <cellStyle name="集計 2 3 4 4 2 4 2" xfId="17443"/>
    <cellStyle name="集計 2 3 4 4 2 4 3" xfId="17444"/>
    <cellStyle name="集計 2 3 4 4 2 5" xfId="17445"/>
    <cellStyle name="集計 2 3 4 4 2 6" xfId="17446"/>
    <cellStyle name="集計 2 3 4 4 3" xfId="17447"/>
    <cellStyle name="集計 2 3 4 4 3 2" xfId="17448"/>
    <cellStyle name="集計 2 3 4 4 3 3" xfId="17449"/>
    <cellStyle name="集計 2 3 4 4 4" xfId="17450"/>
    <cellStyle name="集計 2 3 4 4 4 2" xfId="17451"/>
    <cellStyle name="集計 2 3 4 4 4 3" xfId="17452"/>
    <cellStyle name="集計 2 3 4 4 5" xfId="17453"/>
    <cellStyle name="集計 2 3 4 4 5 2" xfId="17454"/>
    <cellStyle name="集計 2 3 4 4 5 3" xfId="17455"/>
    <cellStyle name="集計 2 3 4 4 6" xfId="17456"/>
    <cellStyle name="集計 2 3 4 4 7" xfId="17457"/>
    <cellStyle name="集計 2 3 4 5" xfId="17458"/>
    <cellStyle name="集計 2 3 4 5 2" xfId="17459"/>
    <cellStyle name="集計 2 3 4 5 2 2" xfId="17460"/>
    <cellStyle name="集計 2 3 4 5 2 3" xfId="17461"/>
    <cellStyle name="集計 2 3 4 5 3" xfId="17462"/>
    <cellStyle name="集計 2 3 4 5 3 2" xfId="17463"/>
    <cellStyle name="集計 2 3 4 5 3 3" xfId="17464"/>
    <cellStyle name="集計 2 3 4 5 4" xfId="17465"/>
    <cellStyle name="集計 2 3 4 5 4 2" xfId="17466"/>
    <cellStyle name="集計 2 3 4 5 4 3" xfId="17467"/>
    <cellStyle name="集計 2 3 4 5 5" xfId="17468"/>
    <cellStyle name="集計 2 3 4 5 6" xfId="17469"/>
    <cellStyle name="集計 2 3 4 6" xfId="17470"/>
    <cellStyle name="集計 2 3 4 6 2" xfId="17471"/>
    <cellStyle name="集計 2 3 4 6 3" xfId="17472"/>
    <cellStyle name="集計 2 3 4 7" xfId="17473"/>
    <cellStyle name="集計 2 3 4 7 2" xfId="17474"/>
    <cellStyle name="集計 2 3 4 7 3" xfId="17475"/>
    <cellStyle name="集計 2 3 4 8" xfId="17476"/>
    <cellStyle name="集計 2 3 4 8 2" xfId="17477"/>
    <cellStyle name="集計 2 3 4 8 3" xfId="17478"/>
    <cellStyle name="集計 2 3 4 9" xfId="17479"/>
    <cellStyle name="集計 2 3 5" xfId="17480"/>
    <cellStyle name="集計 2 3 5 10" xfId="17481"/>
    <cellStyle name="集計 2 3 5 2" xfId="17482"/>
    <cellStyle name="集計 2 3 5 2 2" xfId="17483"/>
    <cellStyle name="集計 2 3 5 2 2 2" xfId="17484"/>
    <cellStyle name="集計 2 3 5 2 2 2 2" xfId="17485"/>
    <cellStyle name="集計 2 3 5 2 2 2 2 2" xfId="17486"/>
    <cellStyle name="集計 2 3 5 2 2 2 2 3" xfId="17487"/>
    <cellStyle name="集計 2 3 5 2 2 2 3" xfId="17488"/>
    <cellStyle name="集計 2 3 5 2 2 2 3 2" xfId="17489"/>
    <cellStyle name="集計 2 3 5 2 2 2 3 3" xfId="17490"/>
    <cellStyle name="集計 2 3 5 2 2 2 4" xfId="17491"/>
    <cellStyle name="集計 2 3 5 2 2 2 4 2" xfId="17492"/>
    <cellStyle name="集計 2 3 5 2 2 2 4 3" xfId="17493"/>
    <cellStyle name="集計 2 3 5 2 2 2 5" xfId="17494"/>
    <cellStyle name="集計 2 3 5 2 2 2 6" xfId="17495"/>
    <cellStyle name="集計 2 3 5 2 2 3" xfId="17496"/>
    <cellStyle name="集計 2 3 5 2 2 3 2" xfId="17497"/>
    <cellStyle name="集計 2 3 5 2 2 3 3" xfId="17498"/>
    <cellStyle name="集計 2 3 5 2 2 4" xfId="17499"/>
    <cellStyle name="集計 2 3 5 2 2 4 2" xfId="17500"/>
    <cellStyle name="集計 2 3 5 2 2 4 3" xfId="17501"/>
    <cellStyle name="集計 2 3 5 2 2 5" xfId="17502"/>
    <cellStyle name="集計 2 3 5 2 2 5 2" xfId="17503"/>
    <cellStyle name="集計 2 3 5 2 2 5 3" xfId="17504"/>
    <cellStyle name="集計 2 3 5 2 2 6" xfId="17505"/>
    <cellStyle name="集計 2 3 5 2 2 7" xfId="17506"/>
    <cellStyle name="集計 2 3 5 2 3" xfId="17507"/>
    <cellStyle name="集計 2 3 5 2 3 2" xfId="17508"/>
    <cellStyle name="集計 2 3 5 2 3 2 2" xfId="17509"/>
    <cellStyle name="集計 2 3 5 2 3 2 2 2" xfId="17510"/>
    <cellStyle name="集計 2 3 5 2 3 2 2 3" xfId="17511"/>
    <cellStyle name="集計 2 3 5 2 3 2 3" xfId="17512"/>
    <cellStyle name="集計 2 3 5 2 3 2 3 2" xfId="17513"/>
    <cellStyle name="集計 2 3 5 2 3 2 3 3" xfId="17514"/>
    <cellStyle name="集計 2 3 5 2 3 2 4" xfId="17515"/>
    <cellStyle name="集計 2 3 5 2 3 2 4 2" xfId="17516"/>
    <cellStyle name="集計 2 3 5 2 3 2 4 3" xfId="17517"/>
    <cellStyle name="集計 2 3 5 2 3 2 5" xfId="17518"/>
    <cellStyle name="集計 2 3 5 2 3 2 6" xfId="17519"/>
    <cellStyle name="集計 2 3 5 2 3 3" xfId="17520"/>
    <cellStyle name="集計 2 3 5 2 3 3 2" xfId="17521"/>
    <cellStyle name="集計 2 3 5 2 3 3 3" xfId="17522"/>
    <cellStyle name="集計 2 3 5 2 3 4" xfId="17523"/>
    <cellStyle name="集計 2 3 5 2 3 4 2" xfId="17524"/>
    <cellStyle name="集計 2 3 5 2 3 4 3" xfId="17525"/>
    <cellStyle name="集計 2 3 5 2 3 5" xfId="17526"/>
    <cellStyle name="集計 2 3 5 2 3 5 2" xfId="17527"/>
    <cellStyle name="集計 2 3 5 2 3 5 3" xfId="17528"/>
    <cellStyle name="集計 2 3 5 2 3 6" xfId="17529"/>
    <cellStyle name="集計 2 3 5 2 3 7" xfId="17530"/>
    <cellStyle name="集計 2 3 5 2 4" xfId="17531"/>
    <cellStyle name="集計 2 3 5 2 4 2" xfId="17532"/>
    <cellStyle name="集計 2 3 5 2 4 2 2" xfId="17533"/>
    <cellStyle name="集計 2 3 5 2 4 2 3" xfId="17534"/>
    <cellStyle name="集計 2 3 5 2 4 3" xfId="17535"/>
    <cellStyle name="集計 2 3 5 2 4 3 2" xfId="17536"/>
    <cellStyle name="集計 2 3 5 2 4 3 3" xfId="17537"/>
    <cellStyle name="集計 2 3 5 2 4 4" xfId="17538"/>
    <cellStyle name="集計 2 3 5 2 4 4 2" xfId="17539"/>
    <cellStyle name="集計 2 3 5 2 4 4 3" xfId="17540"/>
    <cellStyle name="集計 2 3 5 2 4 5" xfId="17541"/>
    <cellStyle name="集計 2 3 5 2 4 6" xfId="17542"/>
    <cellStyle name="集計 2 3 5 2 5" xfId="17543"/>
    <cellStyle name="集計 2 3 5 2 5 2" xfId="17544"/>
    <cellStyle name="集計 2 3 5 2 5 3" xfId="17545"/>
    <cellStyle name="集計 2 3 5 2 6" xfId="17546"/>
    <cellStyle name="集計 2 3 5 2 6 2" xfId="17547"/>
    <cellStyle name="集計 2 3 5 2 6 3" xfId="17548"/>
    <cellStyle name="集計 2 3 5 2 7" xfId="17549"/>
    <cellStyle name="集計 2 3 5 2 7 2" xfId="17550"/>
    <cellStyle name="集計 2 3 5 2 7 3" xfId="17551"/>
    <cellStyle name="集計 2 3 5 2 8" xfId="17552"/>
    <cellStyle name="集計 2 3 5 2 9" xfId="17553"/>
    <cellStyle name="集計 2 3 5 3" xfId="17554"/>
    <cellStyle name="集計 2 3 5 3 2" xfId="17555"/>
    <cellStyle name="集計 2 3 5 3 2 2" xfId="17556"/>
    <cellStyle name="集計 2 3 5 3 2 2 2" xfId="17557"/>
    <cellStyle name="集計 2 3 5 3 2 2 3" xfId="17558"/>
    <cellStyle name="集計 2 3 5 3 2 3" xfId="17559"/>
    <cellStyle name="集計 2 3 5 3 2 3 2" xfId="17560"/>
    <cellStyle name="集計 2 3 5 3 2 3 3" xfId="17561"/>
    <cellStyle name="集計 2 3 5 3 2 4" xfId="17562"/>
    <cellStyle name="集計 2 3 5 3 2 4 2" xfId="17563"/>
    <cellStyle name="集計 2 3 5 3 2 4 3" xfId="17564"/>
    <cellStyle name="集計 2 3 5 3 2 5" xfId="17565"/>
    <cellStyle name="集計 2 3 5 3 2 6" xfId="17566"/>
    <cellStyle name="集計 2 3 5 3 3" xfId="17567"/>
    <cellStyle name="集計 2 3 5 3 3 2" xfId="17568"/>
    <cellStyle name="集計 2 3 5 3 3 3" xfId="17569"/>
    <cellStyle name="集計 2 3 5 3 4" xfId="17570"/>
    <cellStyle name="集計 2 3 5 3 4 2" xfId="17571"/>
    <cellStyle name="集計 2 3 5 3 4 3" xfId="17572"/>
    <cellStyle name="集計 2 3 5 3 5" xfId="17573"/>
    <cellStyle name="集計 2 3 5 3 5 2" xfId="17574"/>
    <cellStyle name="集計 2 3 5 3 5 3" xfId="17575"/>
    <cellStyle name="集計 2 3 5 3 6" xfId="17576"/>
    <cellStyle name="集計 2 3 5 3 7" xfId="17577"/>
    <cellStyle name="集計 2 3 5 4" xfId="17578"/>
    <cellStyle name="集計 2 3 5 4 2" xfId="17579"/>
    <cellStyle name="集計 2 3 5 4 2 2" xfId="17580"/>
    <cellStyle name="集計 2 3 5 4 2 2 2" xfId="17581"/>
    <cellStyle name="集計 2 3 5 4 2 2 3" xfId="17582"/>
    <cellStyle name="集計 2 3 5 4 2 3" xfId="17583"/>
    <cellStyle name="集計 2 3 5 4 2 3 2" xfId="17584"/>
    <cellStyle name="集計 2 3 5 4 2 3 3" xfId="17585"/>
    <cellStyle name="集計 2 3 5 4 2 4" xfId="17586"/>
    <cellStyle name="集計 2 3 5 4 2 4 2" xfId="17587"/>
    <cellStyle name="集計 2 3 5 4 2 4 3" xfId="17588"/>
    <cellStyle name="集計 2 3 5 4 2 5" xfId="17589"/>
    <cellStyle name="集計 2 3 5 4 2 6" xfId="17590"/>
    <cellStyle name="集計 2 3 5 4 3" xfId="17591"/>
    <cellStyle name="集計 2 3 5 4 3 2" xfId="17592"/>
    <cellStyle name="集計 2 3 5 4 3 3" xfId="17593"/>
    <cellStyle name="集計 2 3 5 4 4" xfId="17594"/>
    <cellStyle name="集計 2 3 5 4 4 2" xfId="17595"/>
    <cellStyle name="集計 2 3 5 4 4 3" xfId="17596"/>
    <cellStyle name="集計 2 3 5 4 5" xfId="17597"/>
    <cellStyle name="集計 2 3 5 4 5 2" xfId="17598"/>
    <cellStyle name="集計 2 3 5 4 5 3" xfId="17599"/>
    <cellStyle name="集計 2 3 5 4 6" xfId="17600"/>
    <cellStyle name="集計 2 3 5 4 7" xfId="17601"/>
    <cellStyle name="集計 2 3 5 5" xfId="17602"/>
    <cellStyle name="集計 2 3 5 5 2" xfId="17603"/>
    <cellStyle name="集計 2 3 5 5 2 2" xfId="17604"/>
    <cellStyle name="集計 2 3 5 5 2 3" xfId="17605"/>
    <cellStyle name="集計 2 3 5 5 3" xfId="17606"/>
    <cellStyle name="集計 2 3 5 5 3 2" xfId="17607"/>
    <cellStyle name="集計 2 3 5 5 3 3" xfId="17608"/>
    <cellStyle name="集計 2 3 5 5 4" xfId="17609"/>
    <cellStyle name="集計 2 3 5 5 4 2" xfId="17610"/>
    <cellStyle name="集計 2 3 5 5 4 3" xfId="17611"/>
    <cellStyle name="集計 2 3 5 5 5" xfId="17612"/>
    <cellStyle name="集計 2 3 5 5 6" xfId="17613"/>
    <cellStyle name="集計 2 3 5 6" xfId="17614"/>
    <cellStyle name="集計 2 3 5 6 2" xfId="17615"/>
    <cellStyle name="集計 2 3 5 6 3" xfId="17616"/>
    <cellStyle name="集計 2 3 5 7" xfId="17617"/>
    <cellStyle name="集計 2 3 5 7 2" xfId="17618"/>
    <cellStyle name="集計 2 3 5 7 3" xfId="17619"/>
    <cellStyle name="集計 2 3 5 8" xfId="17620"/>
    <cellStyle name="集計 2 3 5 8 2" xfId="17621"/>
    <cellStyle name="集計 2 3 5 8 3" xfId="17622"/>
    <cellStyle name="集計 2 3 5 9" xfId="17623"/>
    <cellStyle name="集計 2 3 6" xfId="17624"/>
    <cellStyle name="集計 2 3 6 10" xfId="17625"/>
    <cellStyle name="集計 2 3 6 2" xfId="17626"/>
    <cellStyle name="集計 2 3 6 2 2" xfId="17627"/>
    <cellStyle name="集計 2 3 6 2 2 2" xfId="17628"/>
    <cellStyle name="集計 2 3 6 2 2 2 2" xfId="17629"/>
    <cellStyle name="集計 2 3 6 2 2 2 2 2" xfId="17630"/>
    <cellStyle name="集計 2 3 6 2 2 2 2 3" xfId="17631"/>
    <cellStyle name="集計 2 3 6 2 2 2 3" xfId="17632"/>
    <cellStyle name="集計 2 3 6 2 2 2 3 2" xfId="17633"/>
    <cellStyle name="集計 2 3 6 2 2 2 3 3" xfId="17634"/>
    <cellStyle name="集計 2 3 6 2 2 2 4" xfId="17635"/>
    <cellStyle name="集計 2 3 6 2 2 2 4 2" xfId="17636"/>
    <cellStyle name="集計 2 3 6 2 2 2 4 3" xfId="17637"/>
    <cellStyle name="集計 2 3 6 2 2 2 5" xfId="17638"/>
    <cellStyle name="集計 2 3 6 2 2 2 6" xfId="17639"/>
    <cellStyle name="集計 2 3 6 2 2 3" xfId="17640"/>
    <cellStyle name="集計 2 3 6 2 2 3 2" xfId="17641"/>
    <cellStyle name="集計 2 3 6 2 2 3 3" xfId="17642"/>
    <cellStyle name="集計 2 3 6 2 2 4" xfId="17643"/>
    <cellStyle name="集計 2 3 6 2 2 4 2" xfId="17644"/>
    <cellStyle name="集計 2 3 6 2 2 4 3" xfId="17645"/>
    <cellStyle name="集計 2 3 6 2 2 5" xfId="17646"/>
    <cellStyle name="集計 2 3 6 2 2 5 2" xfId="17647"/>
    <cellStyle name="集計 2 3 6 2 2 5 3" xfId="17648"/>
    <cellStyle name="集計 2 3 6 2 2 6" xfId="17649"/>
    <cellStyle name="集計 2 3 6 2 2 7" xfId="17650"/>
    <cellStyle name="集計 2 3 6 2 3" xfId="17651"/>
    <cellStyle name="集計 2 3 6 2 3 2" xfId="17652"/>
    <cellStyle name="集計 2 3 6 2 3 2 2" xfId="17653"/>
    <cellStyle name="集計 2 3 6 2 3 2 2 2" xfId="17654"/>
    <cellStyle name="集計 2 3 6 2 3 2 2 3" xfId="17655"/>
    <cellStyle name="集計 2 3 6 2 3 2 3" xfId="17656"/>
    <cellStyle name="集計 2 3 6 2 3 2 3 2" xfId="17657"/>
    <cellStyle name="集計 2 3 6 2 3 2 3 3" xfId="17658"/>
    <cellStyle name="集計 2 3 6 2 3 2 4" xfId="17659"/>
    <cellStyle name="集計 2 3 6 2 3 2 4 2" xfId="17660"/>
    <cellStyle name="集計 2 3 6 2 3 2 4 3" xfId="17661"/>
    <cellStyle name="集計 2 3 6 2 3 2 5" xfId="17662"/>
    <cellStyle name="集計 2 3 6 2 3 2 6" xfId="17663"/>
    <cellStyle name="集計 2 3 6 2 3 3" xfId="17664"/>
    <cellStyle name="集計 2 3 6 2 3 3 2" xfId="17665"/>
    <cellStyle name="集計 2 3 6 2 3 3 3" xfId="17666"/>
    <cellStyle name="集計 2 3 6 2 3 4" xfId="17667"/>
    <cellStyle name="集計 2 3 6 2 3 4 2" xfId="17668"/>
    <cellStyle name="集計 2 3 6 2 3 4 3" xfId="17669"/>
    <cellStyle name="集計 2 3 6 2 3 5" xfId="17670"/>
    <cellStyle name="集計 2 3 6 2 3 5 2" xfId="17671"/>
    <cellStyle name="集計 2 3 6 2 3 5 3" xfId="17672"/>
    <cellStyle name="集計 2 3 6 2 3 6" xfId="17673"/>
    <cellStyle name="集計 2 3 6 2 3 7" xfId="17674"/>
    <cellStyle name="集計 2 3 6 2 4" xfId="17675"/>
    <cellStyle name="集計 2 3 6 2 4 2" xfId="17676"/>
    <cellStyle name="集計 2 3 6 2 4 2 2" xfId="17677"/>
    <cellStyle name="集計 2 3 6 2 4 2 3" xfId="17678"/>
    <cellStyle name="集計 2 3 6 2 4 3" xfId="17679"/>
    <cellStyle name="集計 2 3 6 2 4 3 2" xfId="17680"/>
    <cellStyle name="集計 2 3 6 2 4 3 3" xfId="17681"/>
    <cellStyle name="集計 2 3 6 2 4 4" xfId="17682"/>
    <cellStyle name="集計 2 3 6 2 4 4 2" xfId="17683"/>
    <cellStyle name="集計 2 3 6 2 4 4 3" xfId="17684"/>
    <cellStyle name="集計 2 3 6 2 4 5" xfId="17685"/>
    <cellStyle name="集計 2 3 6 2 4 6" xfId="17686"/>
    <cellStyle name="集計 2 3 6 2 5" xfId="17687"/>
    <cellStyle name="集計 2 3 6 2 5 2" xfId="17688"/>
    <cellStyle name="集計 2 3 6 2 5 3" xfId="17689"/>
    <cellStyle name="集計 2 3 6 2 6" xfId="17690"/>
    <cellStyle name="集計 2 3 6 2 6 2" xfId="17691"/>
    <cellStyle name="集計 2 3 6 2 6 3" xfId="17692"/>
    <cellStyle name="集計 2 3 6 2 7" xfId="17693"/>
    <cellStyle name="集計 2 3 6 2 7 2" xfId="17694"/>
    <cellStyle name="集計 2 3 6 2 7 3" xfId="17695"/>
    <cellStyle name="集計 2 3 6 2 8" xfId="17696"/>
    <cellStyle name="集計 2 3 6 2 9" xfId="17697"/>
    <cellStyle name="集計 2 3 6 3" xfId="17698"/>
    <cellStyle name="集計 2 3 6 3 2" xfId="17699"/>
    <cellStyle name="集計 2 3 6 3 2 2" xfId="17700"/>
    <cellStyle name="集計 2 3 6 3 2 2 2" xfId="17701"/>
    <cellStyle name="集計 2 3 6 3 2 2 3" xfId="17702"/>
    <cellStyle name="集計 2 3 6 3 2 3" xfId="17703"/>
    <cellStyle name="集計 2 3 6 3 2 3 2" xfId="17704"/>
    <cellStyle name="集計 2 3 6 3 2 3 3" xfId="17705"/>
    <cellStyle name="集計 2 3 6 3 2 4" xfId="17706"/>
    <cellStyle name="集計 2 3 6 3 2 4 2" xfId="17707"/>
    <cellStyle name="集計 2 3 6 3 2 4 3" xfId="17708"/>
    <cellStyle name="集計 2 3 6 3 2 5" xfId="17709"/>
    <cellStyle name="集計 2 3 6 3 2 6" xfId="17710"/>
    <cellStyle name="集計 2 3 6 3 3" xfId="17711"/>
    <cellStyle name="集計 2 3 6 3 3 2" xfId="17712"/>
    <cellStyle name="集計 2 3 6 3 3 3" xfId="17713"/>
    <cellStyle name="集計 2 3 6 3 4" xfId="17714"/>
    <cellStyle name="集計 2 3 6 3 4 2" xfId="17715"/>
    <cellStyle name="集計 2 3 6 3 4 3" xfId="17716"/>
    <cellStyle name="集計 2 3 6 3 5" xfId="17717"/>
    <cellStyle name="集計 2 3 6 3 5 2" xfId="17718"/>
    <cellStyle name="集計 2 3 6 3 5 3" xfId="17719"/>
    <cellStyle name="集計 2 3 6 3 6" xfId="17720"/>
    <cellStyle name="集計 2 3 6 3 7" xfId="17721"/>
    <cellStyle name="集計 2 3 6 4" xfId="17722"/>
    <cellStyle name="集計 2 3 6 4 2" xfId="17723"/>
    <cellStyle name="集計 2 3 6 4 2 2" xfId="17724"/>
    <cellStyle name="集計 2 3 6 4 2 2 2" xfId="17725"/>
    <cellStyle name="集計 2 3 6 4 2 2 3" xfId="17726"/>
    <cellStyle name="集計 2 3 6 4 2 3" xfId="17727"/>
    <cellStyle name="集計 2 3 6 4 2 3 2" xfId="17728"/>
    <cellStyle name="集計 2 3 6 4 2 3 3" xfId="17729"/>
    <cellStyle name="集計 2 3 6 4 2 4" xfId="17730"/>
    <cellStyle name="集計 2 3 6 4 2 4 2" xfId="17731"/>
    <cellStyle name="集計 2 3 6 4 2 4 3" xfId="17732"/>
    <cellStyle name="集計 2 3 6 4 2 5" xfId="17733"/>
    <cellStyle name="集計 2 3 6 4 2 6" xfId="17734"/>
    <cellStyle name="集計 2 3 6 4 3" xfId="17735"/>
    <cellStyle name="集計 2 3 6 4 3 2" xfId="17736"/>
    <cellStyle name="集計 2 3 6 4 3 3" xfId="17737"/>
    <cellStyle name="集計 2 3 6 4 4" xfId="17738"/>
    <cellStyle name="集計 2 3 6 4 4 2" xfId="17739"/>
    <cellStyle name="集計 2 3 6 4 4 3" xfId="17740"/>
    <cellStyle name="集計 2 3 6 4 5" xfId="17741"/>
    <cellStyle name="集計 2 3 6 4 5 2" xfId="17742"/>
    <cellStyle name="集計 2 3 6 4 5 3" xfId="17743"/>
    <cellStyle name="集計 2 3 6 4 6" xfId="17744"/>
    <cellStyle name="集計 2 3 6 4 7" xfId="17745"/>
    <cellStyle name="集計 2 3 6 5" xfId="17746"/>
    <cellStyle name="集計 2 3 6 5 2" xfId="17747"/>
    <cellStyle name="集計 2 3 6 5 2 2" xfId="17748"/>
    <cellStyle name="集計 2 3 6 5 2 3" xfId="17749"/>
    <cellStyle name="集計 2 3 6 5 3" xfId="17750"/>
    <cellStyle name="集計 2 3 6 5 3 2" xfId="17751"/>
    <cellStyle name="集計 2 3 6 5 3 3" xfId="17752"/>
    <cellStyle name="集計 2 3 6 5 4" xfId="17753"/>
    <cellStyle name="集計 2 3 6 5 4 2" xfId="17754"/>
    <cellStyle name="集計 2 3 6 5 4 3" xfId="17755"/>
    <cellStyle name="集計 2 3 6 5 5" xfId="17756"/>
    <cellStyle name="集計 2 3 6 5 6" xfId="17757"/>
    <cellStyle name="集計 2 3 6 6" xfId="17758"/>
    <cellStyle name="集計 2 3 6 6 2" xfId="17759"/>
    <cellStyle name="集計 2 3 6 6 3" xfId="17760"/>
    <cellStyle name="集計 2 3 6 7" xfId="17761"/>
    <cellStyle name="集計 2 3 6 7 2" xfId="17762"/>
    <cellStyle name="集計 2 3 6 7 3" xfId="17763"/>
    <cellStyle name="集計 2 3 6 8" xfId="17764"/>
    <cellStyle name="集計 2 3 6 8 2" xfId="17765"/>
    <cellStyle name="集計 2 3 6 8 3" xfId="17766"/>
    <cellStyle name="集計 2 3 6 9" xfId="17767"/>
    <cellStyle name="集計 2 3 7" xfId="17768"/>
    <cellStyle name="集計 2 3 7 2" xfId="17769"/>
    <cellStyle name="集計 2 3 7 2 2" xfId="17770"/>
    <cellStyle name="集計 2 3 7 2 2 2" xfId="17771"/>
    <cellStyle name="集計 2 3 7 2 2 3" xfId="17772"/>
    <cellStyle name="集計 2 3 7 2 3" xfId="17773"/>
    <cellStyle name="集計 2 3 7 2 3 2" xfId="17774"/>
    <cellStyle name="集計 2 3 7 2 3 3" xfId="17775"/>
    <cellStyle name="集計 2 3 7 2 4" xfId="17776"/>
    <cellStyle name="集計 2 3 7 2 4 2" xfId="17777"/>
    <cellStyle name="集計 2 3 7 2 4 3" xfId="17778"/>
    <cellStyle name="集計 2 3 7 2 5" xfId="17779"/>
    <cellStyle name="集計 2 3 7 2 6" xfId="17780"/>
    <cellStyle name="集計 2 3 7 3" xfId="17781"/>
    <cellStyle name="集計 2 3 7 3 2" xfId="17782"/>
    <cellStyle name="集計 2 3 7 3 3" xfId="17783"/>
    <cellStyle name="集計 2 3 7 4" xfId="17784"/>
    <cellStyle name="集計 2 3 7 4 2" xfId="17785"/>
    <cellStyle name="集計 2 3 7 4 3" xfId="17786"/>
    <cellStyle name="集計 2 3 7 5" xfId="17787"/>
    <cellStyle name="集計 2 3 7 5 2" xfId="17788"/>
    <cellStyle name="集計 2 3 7 5 3" xfId="17789"/>
    <cellStyle name="集計 2 3 7 6" xfId="17790"/>
    <cellStyle name="集計 2 3 7 7" xfId="17791"/>
    <cellStyle name="集計 2 3 8" xfId="17792"/>
    <cellStyle name="集計 2 3 8 2" xfId="17793"/>
    <cellStyle name="集計 2 3 8 2 2" xfId="17794"/>
    <cellStyle name="集計 2 3 8 2 2 2" xfId="17795"/>
    <cellStyle name="集計 2 3 8 2 2 3" xfId="17796"/>
    <cellStyle name="集計 2 3 8 2 3" xfId="17797"/>
    <cellStyle name="集計 2 3 8 2 3 2" xfId="17798"/>
    <cellStyle name="集計 2 3 8 2 3 3" xfId="17799"/>
    <cellStyle name="集計 2 3 8 2 4" xfId="17800"/>
    <cellStyle name="集計 2 3 8 2 4 2" xfId="17801"/>
    <cellStyle name="集計 2 3 8 2 4 3" xfId="17802"/>
    <cellStyle name="集計 2 3 8 2 5" xfId="17803"/>
    <cellStyle name="集計 2 3 8 2 6" xfId="17804"/>
    <cellStyle name="集計 2 3 8 3" xfId="17805"/>
    <cellStyle name="集計 2 3 8 3 2" xfId="17806"/>
    <cellStyle name="集計 2 3 8 3 3" xfId="17807"/>
    <cellStyle name="集計 2 3 8 4" xfId="17808"/>
    <cellStyle name="集計 2 3 8 4 2" xfId="17809"/>
    <cellStyle name="集計 2 3 8 4 3" xfId="17810"/>
    <cellStyle name="集計 2 3 8 5" xfId="17811"/>
    <cellStyle name="集計 2 3 8 5 2" xfId="17812"/>
    <cellStyle name="集計 2 3 8 5 3" xfId="17813"/>
    <cellStyle name="集計 2 3 8 6" xfId="17814"/>
    <cellStyle name="集計 2 3 8 7" xfId="17815"/>
    <cellStyle name="集計 2 3 9" xfId="17816"/>
    <cellStyle name="集計 2 3 9 2" xfId="17817"/>
    <cellStyle name="集計 2 3 9 2 2" xfId="17818"/>
    <cellStyle name="集計 2 3 9 2 3" xfId="17819"/>
    <cellStyle name="集計 2 3 9 3" xfId="17820"/>
    <cellStyle name="集計 2 3 9 3 2" xfId="17821"/>
    <cellStyle name="集計 2 3 9 3 3" xfId="17822"/>
    <cellStyle name="集計 2 3 9 4" xfId="17823"/>
    <cellStyle name="集計 2 3 9 4 2" xfId="17824"/>
    <cellStyle name="集計 2 3 9 4 3" xfId="17825"/>
    <cellStyle name="集計 2 3 9 5" xfId="17826"/>
    <cellStyle name="集計 2 3 9 6" xfId="17827"/>
    <cellStyle name="集計 2 4" xfId="17828"/>
    <cellStyle name="集計 2 4 10" xfId="17829"/>
    <cellStyle name="集計 2 4 10 2" xfId="17830"/>
    <cellStyle name="集計 2 4 10 3" xfId="17831"/>
    <cellStyle name="集計 2 4 11" xfId="17832"/>
    <cellStyle name="集計 2 4 11 2" xfId="17833"/>
    <cellStyle name="集計 2 4 11 3" xfId="17834"/>
    <cellStyle name="集計 2 4 12" xfId="17835"/>
    <cellStyle name="集計 2 4 12 2" xfId="17836"/>
    <cellStyle name="集計 2 4 12 3" xfId="17837"/>
    <cellStyle name="集計 2 4 13" xfId="17838"/>
    <cellStyle name="集計 2 4 14" xfId="17839"/>
    <cellStyle name="集計 2 4 2" xfId="17840"/>
    <cellStyle name="集計 2 4 2 10" xfId="17841"/>
    <cellStyle name="集計 2 4 2 2" xfId="17842"/>
    <cellStyle name="集計 2 4 2 2 10" xfId="17843"/>
    <cellStyle name="集計 2 4 2 2 2" xfId="17844"/>
    <cellStyle name="集計 2 4 2 2 2 2" xfId="17845"/>
    <cellStyle name="集計 2 4 2 2 2 2 2" xfId="17846"/>
    <cellStyle name="集計 2 4 2 2 2 2 2 2" xfId="17847"/>
    <cellStyle name="集計 2 4 2 2 2 2 2 2 2" xfId="17848"/>
    <cellStyle name="集計 2 4 2 2 2 2 2 2 3" xfId="17849"/>
    <cellStyle name="集計 2 4 2 2 2 2 2 3" xfId="17850"/>
    <cellStyle name="集計 2 4 2 2 2 2 2 3 2" xfId="17851"/>
    <cellStyle name="集計 2 4 2 2 2 2 2 3 3" xfId="17852"/>
    <cellStyle name="集計 2 4 2 2 2 2 2 4" xfId="17853"/>
    <cellStyle name="集計 2 4 2 2 2 2 2 4 2" xfId="17854"/>
    <cellStyle name="集計 2 4 2 2 2 2 2 4 3" xfId="17855"/>
    <cellStyle name="集計 2 4 2 2 2 2 2 5" xfId="17856"/>
    <cellStyle name="集計 2 4 2 2 2 2 2 6" xfId="17857"/>
    <cellStyle name="集計 2 4 2 2 2 2 3" xfId="17858"/>
    <cellStyle name="集計 2 4 2 2 2 2 3 2" xfId="17859"/>
    <cellStyle name="集計 2 4 2 2 2 2 3 3" xfId="17860"/>
    <cellStyle name="集計 2 4 2 2 2 2 4" xfId="17861"/>
    <cellStyle name="集計 2 4 2 2 2 2 4 2" xfId="17862"/>
    <cellStyle name="集計 2 4 2 2 2 2 4 3" xfId="17863"/>
    <cellStyle name="集計 2 4 2 2 2 2 5" xfId="17864"/>
    <cellStyle name="集計 2 4 2 2 2 2 5 2" xfId="17865"/>
    <cellStyle name="集計 2 4 2 2 2 2 5 3" xfId="17866"/>
    <cellStyle name="集計 2 4 2 2 2 2 6" xfId="17867"/>
    <cellStyle name="集計 2 4 2 2 2 2 7" xfId="17868"/>
    <cellStyle name="集計 2 4 2 2 2 3" xfId="17869"/>
    <cellStyle name="集計 2 4 2 2 2 3 2" xfId="17870"/>
    <cellStyle name="集計 2 4 2 2 2 3 2 2" xfId="17871"/>
    <cellStyle name="集計 2 4 2 2 2 3 2 2 2" xfId="17872"/>
    <cellStyle name="集計 2 4 2 2 2 3 2 2 3" xfId="17873"/>
    <cellStyle name="集計 2 4 2 2 2 3 2 3" xfId="17874"/>
    <cellStyle name="集計 2 4 2 2 2 3 2 3 2" xfId="17875"/>
    <cellStyle name="集計 2 4 2 2 2 3 2 3 3" xfId="17876"/>
    <cellStyle name="集計 2 4 2 2 2 3 2 4" xfId="17877"/>
    <cellStyle name="集計 2 4 2 2 2 3 2 4 2" xfId="17878"/>
    <cellStyle name="集計 2 4 2 2 2 3 2 4 3" xfId="17879"/>
    <cellStyle name="集計 2 4 2 2 2 3 2 5" xfId="17880"/>
    <cellStyle name="集計 2 4 2 2 2 3 2 6" xfId="17881"/>
    <cellStyle name="集計 2 4 2 2 2 3 3" xfId="17882"/>
    <cellStyle name="集計 2 4 2 2 2 3 3 2" xfId="17883"/>
    <cellStyle name="集計 2 4 2 2 2 3 3 3" xfId="17884"/>
    <cellStyle name="集計 2 4 2 2 2 3 4" xfId="17885"/>
    <cellStyle name="集計 2 4 2 2 2 3 4 2" xfId="17886"/>
    <cellStyle name="集計 2 4 2 2 2 3 4 3" xfId="17887"/>
    <cellStyle name="集計 2 4 2 2 2 3 5" xfId="17888"/>
    <cellStyle name="集計 2 4 2 2 2 3 5 2" xfId="17889"/>
    <cellStyle name="集計 2 4 2 2 2 3 5 3" xfId="17890"/>
    <cellStyle name="集計 2 4 2 2 2 3 6" xfId="17891"/>
    <cellStyle name="集計 2 4 2 2 2 3 7" xfId="17892"/>
    <cellStyle name="集計 2 4 2 2 2 4" xfId="17893"/>
    <cellStyle name="集計 2 4 2 2 2 4 2" xfId="17894"/>
    <cellStyle name="集計 2 4 2 2 2 4 2 2" xfId="17895"/>
    <cellStyle name="集計 2 4 2 2 2 4 2 3" xfId="17896"/>
    <cellStyle name="集計 2 4 2 2 2 4 3" xfId="17897"/>
    <cellStyle name="集計 2 4 2 2 2 4 3 2" xfId="17898"/>
    <cellStyle name="集計 2 4 2 2 2 4 3 3" xfId="17899"/>
    <cellStyle name="集計 2 4 2 2 2 4 4" xfId="17900"/>
    <cellStyle name="集計 2 4 2 2 2 4 4 2" xfId="17901"/>
    <cellStyle name="集計 2 4 2 2 2 4 4 3" xfId="17902"/>
    <cellStyle name="集計 2 4 2 2 2 4 5" xfId="17903"/>
    <cellStyle name="集計 2 4 2 2 2 4 6" xfId="17904"/>
    <cellStyle name="集計 2 4 2 2 2 5" xfId="17905"/>
    <cellStyle name="集計 2 4 2 2 2 5 2" xfId="17906"/>
    <cellStyle name="集計 2 4 2 2 2 5 3" xfId="17907"/>
    <cellStyle name="集計 2 4 2 2 2 6" xfId="17908"/>
    <cellStyle name="集計 2 4 2 2 2 6 2" xfId="17909"/>
    <cellStyle name="集計 2 4 2 2 2 6 3" xfId="17910"/>
    <cellStyle name="集計 2 4 2 2 2 7" xfId="17911"/>
    <cellStyle name="集計 2 4 2 2 2 7 2" xfId="17912"/>
    <cellStyle name="集計 2 4 2 2 2 7 3" xfId="17913"/>
    <cellStyle name="集計 2 4 2 2 2 8" xfId="17914"/>
    <cellStyle name="集計 2 4 2 2 2 9" xfId="17915"/>
    <cellStyle name="集計 2 4 2 2 3" xfId="17916"/>
    <cellStyle name="集計 2 4 2 2 3 2" xfId="17917"/>
    <cellStyle name="集計 2 4 2 2 3 2 2" xfId="17918"/>
    <cellStyle name="集計 2 4 2 2 3 2 2 2" xfId="17919"/>
    <cellStyle name="集計 2 4 2 2 3 2 2 3" xfId="17920"/>
    <cellStyle name="集計 2 4 2 2 3 2 3" xfId="17921"/>
    <cellStyle name="集計 2 4 2 2 3 2 3 2" xfId="17922"/>
    <cellStyle name="集計 2 4 2 2 3 2 3 3" xfId="17923"/>
    <cellStyle name="集計 2 4 2 2 3 2 4" xfId="17924"/>
    <cellStyle name="集計 2 4 2 2 3 2 4 2" xfId="17925"/>
    <cellStyle name="集計 2 4 2 2 3 2 4 3" xfId="17926"/>
    <cellStyle name="集計 2 4 2 2 3 2 5" xfId="17927"/>
    <cellStyle name="集計 2 4 2 2 3 2 6" xfId="17928"/>
    <cellStyle name="集計 2 4 2 2 3 3" xfId="17929"/>
    <cellStyle name="集計 2 4 2 2 3 3 2" xfId="17930"/>
    <cellStyle name="集計 2 4 2 2 3 3 3" xfId="17931"/>
    <cellStyle name="集計 2 4 2 2 3 4" xfId="17932"/>
    <cellStyle name="集計 2 4 2 2 3 4 2" xfId="17933"/>
    <cellStyle name="集計 2 4 2 2 3 4 3" xfId="17934"/>
    <cellStyle name="集計 2 4 2 2 3 5" xfId="17935"/>
    <cellStyle name="集計 2 4 2 2 3 5 2" xfId="17936"/>
    <cellStyle name="集計 2 4 2 2 3 5 3" xfId="17937"/>
    <cellStyle name="集計 2 4 2 2 3 6" xfId="17938"/>
    <cellStyle name="集計 2 4 2 2 3 7" xfId="17939"/>
    <cellStyle name="集計 2 4 2 2 4" xfId="17940"/>
    <cellStyle name="集計 2 4 2 2 4 2" xfId="17941"/>
    <cellStyle name="集計 2 4 2 2 4 2 2" xfId="17942"/>
    <cellStyle name="集計 2 4 2 2 4 2 2 2" xfId="17943"/>
    <cellStyle name="集計 2 4 2 2 4 2 2 3" xfId="17944"/>
    <cellStyle name="集計 2 4 2 2 4 2 3" xfId="17945"/>
    <cellStyle name="集計 2 4 2 2 4 2 3 2" xfId="17946"/>
    <cellStyle name="集計 2 4 2 2 4 2 3 3" xfId="17947"/>
    <cellStyle name="集計 2 4 2 2 4 2 4" xfId="17948"/>
    <cellStyle name="集計 2 4 2 2 4 2 4 2" xfId="17949"/>
    <cellStyle name="集計 2 4 2 2 4 2 4 3" xfId="17950"/>
    <cellStyle name="集計 2 4 2 2 4 2 5" xfId="17951"/>
    <cellStyle name="集計 2 4 2 2 4 2 6" xfId="17952"/>
    <cellStyle name="集計 2 4 2 2 4 3" xfId="17953"/>
    <cellStyle name="集計 2 4 2 2 4 3 2" xfId="17954"/>
    <cellStyle name="集計 2 4 2 2 4 3 3" xfId="17955"/>
    <cellStyle name="集計 2 4 2 2 4 4" xfId="17956"/>
    <cellStyle name="集計 2 4 2 2 4 4 2" xfId="17957"/>
    <cellStyle name="集計 2 4 2 2 4 4 3" xfId="17958"/>
    <cellStyle name="集計 2 4 2 2 4 5" xfId="17959"/>
    <cellStyle name="集計 2 4 2 2 4 5 2" xfId="17960"/>
    <cellStyle name="集計 2 4 2 2 4 5 3" xfId="17961"/>
    <cellStyle name="集計 2 4 2 2 4 6" xfId="17962"/>
    <cellStyle name="集計 2 4 2 2 4 7" xfId="17963"/>
    <cellStyle name="集計 2 4 2 2 5" xfId="17964"/>
    <cellStyle name="集計 2 4 2 2 5 2" xfId="17965"/>
    <cellStyle name="集計 2 4 2 2 5 2 2" xfId="17966"/>
    <cellStyle name="集計 2 4 2 2 5 2 3" xfId="17967"/>
    <cellStyle name="集計 2 4 2 2 5 3" xfId="17968"/>
    <cellStyle name="集計 2 4 2 2 5 3 2" xfId="17969"/>
    <cellStyle name="集計 2 4 2 2 5 3 3" xfId="17970"/>
    <cellStyle name="集計 2 4 2 2 5 4" xfId="17971"/>
    <cellStyle name="集計 2 4 2 2 5 4 2" xfId="17972"/>
    <cellStyle name="集計 2 4 2 2 5 4 3" xfId="17973"/>
    <cellStyle name="集計 2 4 2 2 5 5" xfId="17974"/>
    <cellStyle name="集計 2 4 2 2 5 6" xfId="17975"/>
    <cellStyle name="集計 2 4 2 2 6" xfId="17976"/>
    <cellStyle name="集計 2 4 2 2 6 2" xfId="17977"/>
    <cellStyle name="集計 2 4 2 2 6 3" xfId="17978"/>
    <cellStyle name="集計 2 4 2 2 7" xfId="17979"/>
    <cellStyle name="集計 2 4 2 2 7 2" xfId="17980"/>
    <cellStyle name="集計 2 4 2 2 7 3" xfId="17981"/>
    <cellStyle name="集計 2 4 2 2 8" xfId="17982"/>
    <cellStyle name="集計 2 4 2 2 8 2" xfId="17983"/>
    <cellStyle name="集計 2 4 2 2 8 3" xfId="17984"/>
    <cellStyle name="集計 2 4 2 2 9" xfId="17985"/>
    <cellStyle name="集計 2 4 2 3" xfId="17986"/>
    <cellStyle name="集計 2 4 2 3 2" xfId="17987"/>
    <cellStyle name="集計 2 4 2 3 2 2" xfId="17988"/>
    <cellStyle name="集計 2 4 2 3 2 2 2" xfId="17989"/>
    <cellStyle name="集計 2 4 2 3 2 2 3" xfId="17990"/>
    <cellStyle name="集計 2 4 2 3 2 3" xfId="17991"/>
    <cellStyle name="集計 2 4 2 3 2 3 2" xfId="17992"/>
    <cellStyle name="集計 2 4 2 3 2 3 3" xfId="17993"/>
    <cellStyle name="集計 2 4 2 3 2 4" xfId="17994"/>
    <cellStyle name="集計 2 4 2 3 2 4 2" xfId="17995"/>
    <cellStyle name="集計 2 4 2 3 2 4 3" xfId="17996"/>
    <cellStyle name="集計 2 4 2 3 2 5" xfId="17997"/>
    <cellStyle name="集計 2 4 2 3 2 6" xfId="17998"/>
    <cellStyle name="集計 2 4 2 3 3" xfId="17999"/>
    <cellStyle name="集計 2 4 2 3 3 2" xfId="18000"/>
    <cellStyle name="集計 2 4 2 3 3 3" xfId="18001"/>
    <cellStyle name="集計 2 4 2 3 4" xfId="18002"/>
    <cellStyle name="集計 2 4 2 3 4 2" xfId="18003"/>
    <cellStyle name="集計 2 4 2 3 4 3" xfId="18004"/>
    <cellStyle name="集計 2 4 2 3 5" xfId="18005"/>
    <cellStyle name="集計 2 4 2 3 5 2" xfId="18006"/>
    <cellStyle name="集計 2 4 2 3 5 3" xfId="18007"/>
    <cellStyle name="集計 2 4 2 3 6" xfId="18008"/>
    <cellStyle name="集計 2 4 2 3 7" xfId="18009"/>
    <cellStyle name="集計 2 4 2 4" xfId="18010"/>
    <cellStyle name="集計 2 4 2 4 2" xfId="18011"/>
    <cellStyle name="集計 2 4 2 4 2 2" xfId="18012"/>
    <cellStyle name="集計 2 4 2 4 2 2 2" xfId="18013"/>
    <cellStyle name="集計 2 4 2 4 2 2 3" xfId="18014"/>
    <cellStyle name="集計 2 4 2 4 2 3" xfId="18015"/>
    <cellStyle name="集計 2 4 2 4 2 3 2" xfId="18016"/>
    <cellStyle name="集計 2 4 2 4 2 3 3" xfId="18017"/>
    <cellStyle name="集計 2 4 2 4 2 4" xfId="18018"/>
    <cellStyle name="集計 2 4 2 4 2 4 2" xfId="18019"/>
    <cellStyle name="集計 2 4 2 4 2 4 3" xfId="18020"/>
    <cellStyle name="集計 2 4 2 4 2 5" xfId="18021"/>
    <cellStyle name="集計 2 4 2 4 2 6" xfId="18022"/>
    <cellStyle name="集計 2 4 2 4 3" xfId="18023"/>
    <cellStyle name="集計 2 4 2 4 3 2" xfId="18024"/>
    <cellStyle name="集計 2 4 2 4 3 3" xfId="18025"/>
    <cellStyle name="集計 2 4 2 4 4" xfId="18026"/>
    <cellStyle name="集計 2 4 2 4 4 2" xfId="18027"/>
    <cellStyle name="集計 2 4 2 4 4 3" xfId="18028"/>
    <cellStyle name="集計 2 4 2 4 5" xfId="18029"/>
    <cellStyle name="集計 2 4 2 4 5 2" xfId="18030"/>
    <cellStyle name="集計 2 4 2 4 5 3" xfId="18031"/>
    <cellStyle name="集計 2 4 2 4 6" xfId="18032"/>
    <cellStyle name="集計 2 4 2 4 7" xfId="18033"/>
    <cellStyle name="集計 2 4 2 5" xfId="18034"/>
    <cellStyle name="集計 2 4 2 5 2" xfId="18035"/>
    <cellStyle name="集計 2 4 2 5 2 2" xfId="18036"/>
    <cellStyle name="集計 2 4 2 5 2 3" xfId="18037"/>
    <cellStyle name="集計 2 4 2 5 3" xfId="18038"/>
    <cellStyle name="集計 2 4 2 5 3 2" xfId="18039"/>
    <cellStyle name="集計 2 4 2 5 3 3" xfId="18040"/>
    <cellStyle name="集計 2 4 2 5 4" xfId="18041"/>
    <cellStyle name="集計 2 4 2 5 4 2" xfId="18042"/>
    <cellStyle name="集計 2 4 2 5 4 3" xfId="18043"/>
    <cellStyle name="集計 2 4 2 5 5" xfId="18044"/>
    <cellStyle name="集計 2 4 2 5 6" xfId="18045"/>
    <cellStyle name="集計 2 4 2 6" xfId="18046"/>
    <cellStyle name="集計 2 4 2 6 2" xfId="18047"/>
    <cellStyle name="集計 2 4 2 6 3" xfId="18048"/>
    <cellStyle name="集計 2 4 2 7" xfId="18049"/>
    <cellStyle name="集計 2 4 2 7 2" xfId="18050"/>
    <cellStyle name="集計 2 4 2 7 3" xfId="18051"/>
    <cellStyle name="集計 2 4 2 8" xfId="18052"/>
    <cellStyle name="集計 2 4 2 8 2" xfId="18053"/>
    <cellStyle name="集計 2 4 2 8 3" xfId="18054"/>
    <cellStyle name="集計 2 4 2 9" xfId="18055"/>
    <cellStyle name="集計 2 4 3" xfId="18056"/>
    <cellStyle name="集計 2 4 3 10" xfId="18057"/>
    <cellStyle name="集計 2 4 3 2" xfId="18058"/>
    <cellStyle name="集計 2 4 3 2 10" xfId="18059"/>
    <cellStyle name="集計 2 4 3 2 2" xfId="18060"/>
    <cellStyle name="集計 2 4 3 2 2 2" xfId="18061"/>
    <cellStyle name="集計 2 4 3 2 2 2 2" xfId="18062"/>
    <cellStyle name="集計 2 4 3 2 2 2 2 2" xfId="18063"/>
    <cellStyle name="集計 2 4 3 2 2 2 2 2 2" xfId="18064"/>
    <cellStyle name="集計 2 4 3 2 2 2 2 2 3" xfId="18065"/>
    <cellStyle name="集計 2 4 3 2 2 2 2 3" xfId="18066"/>
    <cellStyle name="集計 2 4 3 2 2 2 2 3 2" xfId="18067"/>
    <cellStyle name="集計 2 4 3 2 2 2 2 3 3" xfId="18068"/>
    <cellStyle name="集計 2 4 3 2 2 2 2 4" xfId="18069"/>
    <cellStyle name="集計 2 4 3 2 2 2 2 4 2" xfId="18070"/>
    <cellStyle name="集計 2 4 3 2 2 2 2 4 3" xfId="18071"/>
    <cellStyle name="集計 2 4 3 2 2 2 2 5" xfId="18072"/>
    <cellStyle name="集計 2 4 3 2 2 2 2 6" xfId="18073"/>
    <cellStyle name="集計 2 4 3 2 2 2 3" xfId="18074"/>
    <cellStyle name="集計 2 4 3 2 2 2 3 2" xfId="18075"/>
    <cellStyle name="集計 2 4 3 2 2 2 3 3" xfId="18076"/>
    <cellStyle name="集計 2 4 3 2 2 2 4" xfId="18077"/>
    <cellStyle name="集計 2 4 3 2 2 2 4 2" xfId="18078"/>
    <cellStyle name="集計 2 4 3 2 2 2 4 3" xfId="18079"/>
    <cellStyle name="集計 2 4 3 2 2 2 5" xfId="18080"/>
    <cellStyle name="集計 2 4 3 2 2 2 5 2" xfId="18081"/>
    <cellStyle name="集計 2 4 3 2 2 2 5 3" xfId="18082"/>
    <cellStyle name="集計 2 4 3 2 2 2 6" xfId="18083"/>
    <cellStyle name="集計 2 4 3 2 2 2 7" xfId="18084"/>
    <cellStyle name="集計 2 4 3 2 2 3" xfId="18085"/>
    <cellStyle name="集計 2 4 3 2 2 3 2" xfId="18086"/>
    <cellStyle name="集計 2 4 3 2 2 3 2 2" xfId="18087"/>
    <cellStyle name="集計 2 4 3 2 2 3 2 2 2" xfId="18088"/>
    <cellStyle name="集計 2 4 3 2 2 3 2 2 3" xfId="18089"/>
    <cellStyle name="集計 2 4 3 2 2 3 2 3" xfId="18090"/>
    <cellStyle name="集計 2 4 3 2 2 3 2 3 2" xfId="18091"/>
    <cellStyle name="集計 2 4 3 2 2 3 2 3 3" xfId="18092"/>
    <cellStyle name="集計 2 4 3 2 2 3 2 4" xfId="18093"/>
    <cellStyle name="集計 2 4 3 2 2 3 2 4 2" xfId="18094"/>
    <cellStyle name="集計 2 4 3 2 2 3 2 4 3" xfId="18095"/>
    <cellStyle name="集計 2 4 3 2 2 3 2 5" xfId="18096"/>
    <cellStyle name="集計 2 4 3 2 2 3 2 6" xfId="18097"/>
    <cellStyle name="集計 2 4 3 2 2 3 3" xfId="18098"/>
    <cellStyle name="集計 2 4 3 2 2 3 3 2" xfId="18099"/>
    <cellStyle name="集計 2 4 3 2 2 3 3 3" xfId="18100"/>
    <cellStyle name="集計 2 4 3 2 2 3 4" xfId="18101"/>
    <cellStyle name="集計 2 4 3 2 2 3 4 2" xfId="18102"/>
    <cellStyle name="集計 2 4 3 2 2 3 4 3" xfId="18103"/>
    <cellStyle name="集計 2 4 3 2 2 3 5" xfId="18104"/>
    <cellStyle name="集計 2 4 3 2 2 3 5 2" xfId="18105"/>
    <cellStyle name="集計 2 4 3 2 2 3 5 3" xfId="18106"/>
    <cellStyle name="集計 2 4 3 2 2 3 6" xfId="18107"/>
    <cellStyle name="集計 2 4 3 2 2 3 7" xfId="18108"/>
    <cellStyle name="集計 2 4 3 2 2 4" xfId="18109"/>
    <cellStyle name="集計 2 4 3 2 2 4 2" xfId="18110"/>
    <cellStyle name="集計 2 4 3 2 2 4 2 2" xfId="18111"/>
    <cellStyle name="集計 2 4 3 2 2 4 2 3" xfId="18112"/>
    <cellStyle name="集計 2 4 3 2 2 4 3" xfId="18113"/>
    <cellStyle name="集計 2 4 3 2 2 4 3 2" xfId="18114"/>
    <cellStyle name="集計 2 4 3 2 2 4 3 3" xfId="18115"/>
    <cellStyle name="集計 2 4 3 2 2 4 4" xfId="18116"/>
    <cellStyle name="集計 2 4 3 2 2 4 4 2" xfId="18117"/>
    <cellStyle name="集計 2 4 3 2 2 4 4 3" xfId="18118"/>
    <cellStyle name="集計 2 4 3 2 2 4 5" xfId="18119"/>
    <cellStyle name="集計 2 4 3 2 2 4 6" xfId="18120"/>
    <cellStyle name="集計 2 4 3 2 2 5" xfId="18121"/>
    <cellStyle name="集計 2 4 3 2 2 5 2" xfId="18122"/>
    <cellStyle name="集計 2 4 3 2 2 5 3" xfId="18123"/>
    <cellStyle name="集計 2 4 3 2 2 6" xfId="18124"/>
    <cellStyle name="集計 2 4 3 2 2 6 2" xfId="18125"/>
    <cellStyle name="集計 2 4 3 2 2 6 3" xfId="18126"/>
    <cellStyle name="集計 2 4 3 2 2 7" xfId="18127"/>
    <cellStyle name="集計 2 4 3 2 2 7 2" xfId="18128"/>
    <cellStyle name="集計 2 4 3 2 2 7 3" xfId="18129"/>
    <cellStyle name="集計 2 4 3 2 2 8" xfId="18130"/>
    <cellStyle name="集計 2 4 3 2 2 9" xfId="18131"/>
    <cellStyle name="集計 2 4 3 2 3" xfId="18132"/>
    <cellStyle name="集計 2 4 3 2 3 2" xfId="18133"/>
    <cellStyle name="集計 2 4 3 2 3 2 2" xfId="18134"/>
    <cellStyle name="集計 2 4 3 2 3 2 2 2" xfId="18135"/>
    <cellStyle name="集計 2 4 3 2 3 2 2 3" xfId="18136"/>
    <cellStyle name="集計 2 4 3 2 3 2 3" xfId="18137"/>
    <cellStyle name="集計 2 4 3 2 3 2 3 2" xfId="18138"/>
    <cellStyle name="集計 2 4 3 2 3 2 3 3" xfId="18139"/>
    <cellStyle name="集計 2 4 3 2 3 2 4" xfId="18140"/>
    <cellStyle name="集計 2 4 3 2 3 2 4 2" xfId="18141"/>
    <cellStyle name="集計 2 4 3 2 3 2 4 3" xfId="18142"/>
    <cellStyle name="集計 2 4 3 2 3 2 5" xfId="18143"/>
    <cellStyle name="集計 2 4 3 2 3 2 6" xfId="18144"/>
    <cellStyle name="集計 2 4 3 2 3 3" xfId="18145"/>
    <cellStyle name="集計 2 4 3 2 3 3 2" xfId="18146"/>
    <cellStyle name="集計 2 4 3 2 3 3 3" xfId="18147"/>
    <cellStyle name="集計 2 4 3 2 3 4" xfId="18148"/>
    <cellStyle name="集計 2 4 3 2 3 4 2" xfId="18149"/>
    <cellStyle name="集計 2 4 3 2 3 4 3" xfId="18150"/>
    <cellStyle name="集計 2 4 3 2 3 5" xfId="18151"/>
    <cellStyle name="集計 2 4 3 2 3 5 2" xfId="18152"/>
    <cellStyle name="集計 2 4 3 2 3 5 3" xfId="18153"/>
    <cellStyle name="集計 2 4 3 2 3 6" xfId="18154"/>
    <cellStyle name="集計 2 4 3 2 3 7" xfId="18155"/>
    <cellStyle name="集計 2 4 3 2 4" xfId="18156"/>
    <cellStyle name="集計 2 4 3 2 4 2" xfId="18157"/>
    <cellStyle name="集計 2 4 3 2 4 2 2" xfId="18158"/>
    <cellStyle name="集計 2 4 3 2 4 2 2 2" xfId="18159"/>
    <cellStyle name="集計 2 4 3 2 4 2 2 3" xfId="18160"/>
    <cellStyle name="集計 2 4 3 2 4 2 3" xfId="18161"/>
    <cellStyle name="集計 2 4 3 2 4 2 3 2" xfId="18162"/>
    <cellStyle name="集計 2 4 3 2 4 2 3 3" xfId="18163"/>
    <cellStyle name="集計 2 4 3 2 4 2 4" xfId="18164"/>
    <cellStyle name="集計 2 4 3 2 4 2 4 2" xfId="18165"/>
    <cellStyle name="集計 2 4 3 2 4 2 4 3" xfId="18166"/>
    <cellStyle name="集計 2 4 3 2 4 2 5" xfId="18167"/>
    <cellStyle name="集計 2 4 3 2 4 2 6" xfId="18168"/>
    <cellStyle name="集計 2 4 3 2 4 3" xfId="18169"/>
    <cellStyle name="集計 2 4 3 2 4 3 2" xfId="18170"/>
    <cellStyle name="集計 2 4 3 2 4 3 3" xfId="18171"/>
    <cellStyle name="集計 2 4 3 2 4 4" xfId="18172"/>
    <cellStyle name="集計 2 4 3 2 4 4 2" xfId="18173"/>
    <cellStyle name="集計 2 4 3 2 4 4 3" xfId="18174"/>
    <cellStyle name="集計 2 4 3 2 4 5" xfId="18175"/>
    <cellStyle name="集計 2 4 3 2 4 5 2" xfId="18176"/>
    <cellStyle name="集計 2 4 3 2 4 5 3" xfId="18177"/>
    <cellStyle name="集計 2 4 3 2 4 6" xfId="18178"/>
    <cellStyle name="集計 2 4 3 2 4 7" xfId="18179"/>
    <cellStyle name="集計 2 4 3 2 5" xfId="18180"/>
    <cellStyle name="集計 2 4 3 2 5 2" xfId="18181"/>
    <cellStyle name="集計 2 4 3 2 5 2 2" xfId="18182"/>
    <cellStyle name="集計 2 4 3 2 5 2 3" xfId="18183"/>
    <cellStyle name="集計 2 4 3 2 5 3" xfId="18184"/>
    <cellStyle name="集計 2 4 3 2 5 3 2" xfId="18185"/>
    <cellStyle name="集計 2 4 3 2 5 3 3" xfId="18186"/>
    <cellStyle name="集計 2 4 3 2 5 4" xfId="18187"/>
    <cellStyle name="集計 2 4 3 2 5 4 2" xfId="18188"/>
    <cellStyle name="集計 2 4 3 2 5 4 3" xfId="18189"/>
    <cellStyle name="集計 2 4 3 2 5 5" xfId="18190"/>
    <cellStyle name="集計 2 4 3 2 5 6" xfId="18191"/>
    <cellStyle name="集計 2 4 3 2 6" xfId="18192"/>
    <cellStyle name="集計 2 4 3 2 6 2" xfId="18193"/>
    <cellStyle name="集計 2 4 3 2 6 3" xfId="18194"/>
    <cellStyle name="集計 2 4 3 2 7" xfId="18195"/>
    <cellStyle name="集計 2 4 3 2 7 2" xfId="18196"/>
    <cellStyle name="集計 2 4 3 2 7 3" xfId="18197"/>
    <cellStyle name="集計 2 4 3 2 8" xfId="18198"/>
    <cellStyle name="集計 2 4 3 2 8 2" xfId="18199"/>
    <cellStyle name="集計 2 4 3 2 8 3" xfId="18200"/>
    <cellStyle name="集計 2 4 3 2 9" xfId="18201"/>
    <cellStyle name="集計 2 4 3 3" xfId="18202"/>
    <cellStyle name="集計 2 4 3 3 2" xfId="18203"/>
    <cellStyle name="集計 2 4 3 3 2 2" xfId="18204"/>
    <cellStyle name="集計 2 4 3 3 2 2 2" xfId="18205"/>
    <cellStyle name="集計 2 4 3 3 2 2 3" xfId="18206"/>
    <cellStyle name="集計 2 4 3 3 2 3" xfId="18207"/>
    <cellStyle name="集計 2 4 3 3 2 3 2" xfId="18208"/>
    <cellStyle name="集計 2 4 3 3 2 3 3" xfId="18209"/>
    <cellStyle name="集計 2 4 3 3 2 4" xfId="18210"/>
    <cellStyle name="集計 2 4 3 3 2 4 2" xfId="18211"/>
    <cellStyle name="集計 2 4 3 3 2 4 3" xfId="18212"/>
    <cellStyle name="集計 2 4 3 3 2 5" xfId="18213"/>
    <cellStyle name="集計 2 4 3 3 2 6" xfId="18214"/>
    <cellStyle name="集計 2 4 3 3 3" xfId="18215"/>
    <cellStyle name="集計 2 4 3 3 3 2" xfId="18216"/>
    <cellStyle name="集計 2 4 3 3 3 3" xfId="18217"/>
    <cellStyle name="集計 2 4 3 3 4" xfId="18218"/>
    <cellStyle name="集計 2 4 3 3 4 2" xfId="18219"/>
    <cellStyle name="集計 2 4 3 3 4 3" xfId="18220"/>
    <cellStyle name="集計 2 4 3 3 5" xfId="18221"/>
    <cellStyle name="集計 2 4 3 3 5 2" xfId="18222"/>
    <cellStyle name="集計 2 4 3 3 5 3" xfId="18223"/>
    <cellStyle name="集計 2 4 3 3 6" xfId="18224"/>
    <cellStyle name="集計 2 4 3 3 7" xfId="18225"/>
    <cellStyle name="集計 2 4 3 4" xfId="18226"/>
    <cellStyle name="集計 2 4 3 4 2" xfId="18227"/>
    <cellStyle name="集計 2 4 3 4 2 2" xfId="18228"/>
    <cellStyle name="集計 2 4 3 4 2 2 2" xfId="18229"/>
    <cellStyle name="集計 2 4 3 4 2 2 3" xfId="18230"/>
    <cellStyle name="集計 2 4 3 4 2 3" xfId="18231"/>
    <cellStyle name="集計 2 4 3 4 2 3 2" xfId="18232"/>
    <cellStyle name="集計 2 4 3 4 2 3 3" xfId="18233"/>
    <cellStyle name="集計 2 4 3 4 2 4" xfId="18234"/>
    <cellStyle name="集計 2 4 3 4 2 4 2" xfId="18235"/>
    <cellStyle name="集計 2 4 3 4 2 4 3" xfId="18236"/>
    <cellStyle name="集計 2 4 3 4 2 5" xfId="18237"/>
    <cellStyle name="集計 2 4 3 4 2 6" xfId="18238"/>
    <cellStyle name="集計 2 4 3 4 3" xfId="18239"/>
    <cellStyle name="集計 2 4 3 4 3 2" xfId="18240"/>
    <cellStyle name="集計 2 4 3 4 3 3" xfId="18241"/>
    <cellStyle name="集計 2 4 3 4 4" xfId="18242"/>
    <cellStyle name="集計 2 4 3 4 4 2" xfId="18243"/>
    <cellStyle name="集計 2 4 3 4 4 3" xfId="18244"/>
    <cellStyle name="集計 2 4 3 4 5" xfId="18245"/>
    <cellStyle name="集計 2 4 3 4 5 2" xfId="18246"/>
    <cellStyle name="集計 2 4 3 4 5 3" xfId="18247"/>
    <cellStyle name="集計 2 4 3 4 6" xfId="18248"/>
    <cellStyle name="集計 2 4 3 4 7" xfId="18249"/>
    <cellStyle name="集計 2 4 3 5" xfId="18250"/>
    <cellStyle name="集計 2 4 3 5 2" xfId="18251"/>
    <cellStyle name="集計 2 4 3 5 2 2" xfId="18252"/>
    <cellStyle name="集計 2 4 3 5 2 3" xfId="18253"/>
    <cellStyle name="集計 2 4 3 5 3" xfId="18254"/>
    <cellStyle name="集計 2 4 3 5 3 2" xfId="18255"/>
    <cellStyle name="集計 2 4 3 5 3 3" xfId="18256"/>
    <cellStyle name="集計 2 4 3 5 4" xfId="18257"/>
    <cellStyle name="集計 2 4 3 5 4 2" xfId="18258"/>
    <cellStyle name="集計 2 4 3 5 4 3" xfId="18259"/>
    <cellStyle name="集計 2 4 3 5 5" xfId="18260"/>
    <cellStyle name="集計 2 4 3 5 6" xfId="18261"/>
    <cellStyle name="集計 2 4 3 6" xfId="18262"/>
    <cellStyle name="集計 2 4 3 6 2" xfId="18263"/>
    <cellStyle name="集計 2 4 3 6 3" xfId="18264"/>
    <cellStyle name="集計 2 4 3 7" xfId="18265"/>
    <cellStyle name="集計 2 4 3 7 2" xfId="18266"/>
    <cellStyle name="集計 2 4 3 7 3" xfId="18267"/>
    <cellStyle name="集計 2 4 3 8" xfId="18268"/>
    <cellStyle name="集計 2 4 3 8 2" xfId="18269"/>
    <cellStyle name="集計 2 4 3 8 3" xfId="18270"/>
    <cellStyle name="集計 2 4 3 9" xfId="18271"/>
    <cellStyle name="集計 2 4 4" xfId="18272"/>
    <cellStyle name="集計 2 4 4 10" xfId="18273"/>
    <cellStyle name="集計 2 4 4 2" xfId="18274"/>
    <cellStyle name="集計 2 4 4 2 10" xfId="18275"/>
    <cellStyle name="集計 2 4 4 2 2" xfId="18276"/>
    <cellStyle name="集計 2 4 4 2 2 2" xfId="18277"/>
    <cellStyle name="集計 2 4 4 2 2 2 2" xfId="18278"/>
    <cellStyle name="集計 2 4 4 2 2 2 2 2" xfId="18279"/>
    <cellStyle name="集計 2 4 4 2 2 2 2 2 2" xfId="18280"/>
    <cellStyle name="集計 2 4 4 2 2 2 2 2 3" xfId="18281"/>
    <cellStyle name="集計 2 4 4 2 2 2 2 3" xfId="18282"/>
    <cellStyle name="集計 2 4 4 2 2 2 2 3 2" xfId="18283"/>
    <cellStyle name="集計 2 4 4 2 2 2 2 3 3" xfId="18284"/>
    <cellStyle name="集計 2 4 4 2 2 2 2 4" xfId="18285"/>
    <cellStyle name="集計 2 4 4 2 2 2 2 4 2" xfId="18286"/>
    <cellStyle name="集計 2 4 4 2 2 2 2 4 3" xfId="18287"/>
    <cellStyle name="集計 2 4 4 2 2 2 2 5" xfId="18288"/>
    <cellStyle name="集計 2 4 4 2 2 2 2 6" xfId="18289"/>
    <cellStyle name="集計 2 4 4 2 2 2 3" xfId="18290"/>
    <cellStyle name="集計 2 4 4 2 2 2 3 2" xfId="18291"/>
    <cellStyle name="集計 2 4 4 2 2 2 3 3" xfId="18292"/>
    <cellStyle name="集計 2 4 4 2 2 2 4" xfId="18293"/>
    <cellStyle name="集計 2 4 4 2 2 2 4 2" xfId="18294"/>
    <cellStyle name="集計 2 4 4 2 2 2 4 3" xfId="18295"/>
    <cellStyle name="集計 2 4 4 2 2 2 5" xfId="18296"/>
    <cellStyle name="集計 2 4 4 2 2 2 5 2" xfId="18297"/>
    <cellStyle name="集計 2 4 4 2 2 2 5 3" xfId="18298"/>
    <cellStyle name="集計 2 4 4 2 2 2 6" xfId="18299"/>
    <cellStyle name="集計 2 4 4 2 2 2 7" xfId="18300"/>
    <cellStyle name="集計 2 4 4 2 2 3" xfId="18301"/>
    <cellStyle name="集計 2 4 4 2 2 3 2" xfId="18302"/>
    <cellStyle name="集計 2 4 4 2 2 3 2 2" xfId="18303"/>
    <cellStyle name="集計 2 4 4 2 2 3 2 2 2" xfId="18304"/>
    <cellStyle name="集計 2 4 4 2 2 3 2 2 3" xfId="18305"/>
    <cellStyle name="集計 2 4 4 2 2 3 2 3" xfId="18306"/>
    <cellStyle name="集計 2 4 4 2 2 3 2 3 2" xfId="18307"/>
    <cellStyle name="集計 2 4 4 2 2 3 2 3 3" xfId="18308"/>
    <cellStyle name="集計 2 4 4 2 2 3 2 4" xfId="18309"/>
    <cellStyle name="集計 2 4 4 2 2 3 2 4 2" xfId="18310"/>
    <cellStyle name="集計 2 4 4 2 2 3 2 4 3" xfId="18311"/>
    <cellStyle name="集計 2 4 4 2 2 3 2 5" xfId="18312"/>
    <cellStyle name="集計 2 4 4 2 2 3 2 6" xfId="18313"/>
    <cellStyle name="集計 2 4 4 2 2 3 3" xfId="18314"/>
    <cellStyle name="集計 2 4 4 2 2 3 3 2" xfId="18315"/>
    <cellStyle name="集計 2 4 4 2 2 3 3 3" xfId="18316"/>
    <cellStyle name="集計 2 4 4 2 2 3 4" xfId="18317"/>
    <cellStyle name="集計 2 4 4 2 2 3 4 2" xfId="18318"/>
    <cellStyle name="集計 2 4 4 2 2 3 4 3" xfId="18319"/>
    <cellStyle name="集計 2 4 4 2 2 3 5" xfId="18320"/>
    <cellStyle name="集計 2 4 4 2 2 3 5 2" xfId="18321"/>
    <cellStyle name="集計 2 4 4 2 2 3 5 3" xfId="18322"/>
    <cellStyle name="集計 2 4 4 2 2 3 6" xfId="18323"/>
    <cellStyle name="集計 2 4 4 2 2 3 7" xfId="18324"/>
    <cellStyle name="集計 2 4 4 2 2 4" xfId="18325"/>
    <cellStyle name="集計 2 4 4 2 2 4 2" xfId="18326"/>
    <cellStyle name="集計 2 4 4 2 2 4 2 2" xfId="18327"/>
    <cellStyle name="集計 2 4 4 2 2 4 2 3" xfId="18328"/>
    <cellStyle name="集計 2 4 4 2 2 4 3" xfId="18329"/>
    <cellStyle name="集計 2 4 4 2 2 4 3 2" xfId="18330"/>
    <cellStyle name="集計 2 4 4 2 2 4 3 3" xfId="18331"/>
    <cellStyle name="集計 2 4 4 2 2 4 4" xfId="18332"/>
    <cellStyle name="集計 2 4 4 2 2 4 4 2" xfId="18333"/>
    <cellStyle name="集計 2 4 4 2 2 4 4 3" xfId="18334"/>
    <cellStyle name="集計 2 4 4 2 2 4 5" xfId="18335"/>
    <cellStyle name="集計 2 4 4 2 2 4 6" xfId="18336"/>
    <cellStyle name="集計 2 4 4 2 2 5" xfId="18337"/>
    <cellStyle name="集計 2 4 4 2 2 5 2" xfId="18338"/>
    <cellStyle name="集計 2 4 4 2 2 5 3" xfId="18339"/>
    <cellStyle name="集計 2 4 4 2 2 6" xfId="18340"/>
    <cellStyle name="集計 2 4 4 2 2 6 2" xfId="18341"/>
    <cellStyle name="集計 2 4 4 2 2 6 3" xfId="18342"/>
    <cellStyle name="集計 2 4 4 2 2 7" xfId="18343"/>
    <cellStyle name="集計 2 4 4 2 2 7 2" xfId="18344"/>
    <cellStyle name="集計 2 4 4 2 2 7 3" xfId="18345"/>
    <cellStyle name="集計 2 4 4 2 2 8" xfId="18346"/>
    <cellStyle name="集計 2 4 4 2 2 9" xfId="18347"/>
    <cellStyle name="集計 2 4 4 2 3" xfId="18348"/>
    <cellStyle name="集計 2 4 4 2 3 2" xfId="18349"/>
    <cellStyle name="集計 2 4 4 2 3 2 2" xfId="18350"/>
    <cellStyle name="集計 2 4 4 2 3 2 2 2" xfId="18351"/>
    <cellStyle name="集計 2 4 4 2 3 2 2 3" xfId="18352"/>
    <cellStyle name="集計 2 4 4 2 3 2 3" xfId="18353"/>
    <cellStyle name="集計 2 4 4 2 3 2 3 2" xfId="18354"/>
    <cellStyle name="集計 2 4 4 2 3 2 3 3" xfId="18355"/>
    <cellStyle name="集計 2 4 4 2 3 2 4" xfId="18356"/>
    <cellStyle name="集計 2 4 4 2 3 2 4 2" xfId="18357"/>
    <cellStyle name="集計 2 4 4 2 3 2 4 3" xfId="18358"/>
    <cellStyle name="集計 2 4 4 2 3 2 5" xfId="18359"/>
    <cellStyle name="集計 2 4 4 2 3 2 6" xfId="18360"/>
    <cellStyle name="集計 2 4 4 2 3 3" xfId="18361"/>
    <cellStyle name="集計 2 4 4 2 3 3 2" xfId="18362"/>
    <cellStyle name="集計 2 4 4 2 3 3 3" xfId="18363"/>
    <cellStyle name="集計 2 4 4 2 3 4" xfId="18364"/>
    <cellStyle name="集計 2 4 4 2 3 4 2" xfId="18365"/>
    <cellStyle name="集計 2 4 4 2 3 4 3" xfId="18366"/>
    <cellStyle name="集計 2 4 4 2 3 5" xfId="18367"/>
    <cellStyle name="集計 2 4 4 2 3 5 2" xfId="18368"/>
    <cellStyle name="集計 2 4 4 2 3 5 3" xfId="18369"/>
    <cellStyle name="集計 2 4 4 2 3 6" xfId="18370"/>
    <cellStyle name="集計 2 4 4 2 3 7" xfId="18371"/>
    <cellStyle name="集計 2 4 4 2 4" xfId="18372"/>
    <cellStyle name="集計 2 4 4 2 4 2" xfId="18373"/>
    <cellStyle name="集計 2 4 4 2 4 2 2" xfId="18374"/>
    <cellStyle name="集計 2 4 4 2 4 2 2 2" xfId="18375"/>
    <cellStyle name="集計 2 4 4 2 4 2 2 3" xfId="18376"/>
    <cellStyle name="集計 2 4 4 2 4 2 3" xfId="18377"/>
    <cellStyle name="集計 2 4 4 2 4 2 3 2" xfId="18378"/>
    <cellStyle name="集計 2 4 4 2 4 2 3 3" xfId="18379"/>
    <cellStyle name="集計 2 4 4 2 4 2 4" xfId="18380"/>
    <cellStyle name="集計 2 4 4 2 4 2 4 2" xfId="18381"/>
    <cellStyle name="集計 2 4 4 2 4 2 4 3" xfId="18382"/>
    <cellStyle name="集計 2 4 4 2 4 2 5" xfId="18383"/>
    <cellStyle name="集計 2 4 4 2 4 2 6" xfId="18384"/>
    <cellStyle name="集計 2 4 4 2 4 3" xfId="18385"/>
    <cellStyle name="集計 2 4 4 2 4 3 2" xfId="18386"/>
    <cellStyle name="集計 2 4 4 2 4 3 3" xfId="18387"/>
    <cellStyle name="集計 2 4 4 2 4 4" xfId="18388"/>
    <cellStyle name="集計 2 4 4 2 4 4 2" xfId="18389"/>
    <cellStyle name="集計 2 4 4 2 4 4 3" xfId="18390"/>
    <cellStyle name="集計 2 4 4 2 4 5" xfId="18391"/>
    <cellStyle name="集計 2 4 4 2 4 5 2" xfId="18392"/>
    <cellStyle name="集計 2 4 4 2 4 5 3" xfId="18393"/>
    <cellStyle name="集計 2 4 4 2 4 6" xfId="18394"/>
    <cellStyle name="集計 2 4 4 2 4 7" xfId="18395"/>
    <cellStyle name="集計 2 4 4 2 5" xfId="18396"/>
    <cellStyle name="集計 2 4 4 2 5 2" xfId="18397"/>
    <cellStyle name="集計 2 4 4 2 5 2 2" xfId="18398"/>
    <cellStyle name="集計 2 4 4 2 5 2 3" xfId="18399"/>
    <cellStyle name="集計 2 4 4 2 5 3" xfId="18400"/>
    <cellStyle name="集計 2 4 4 2 5 3 2" xfId="18401"/>
    <cellStyle name="集計 2 4 4 2 5 3 3" xfId="18402"/>
    <cellStyle name="集計 2 4 4 2 5 4" xfId="18403"/>
    <cellStyle name="集計 2 4 4 2 5 4 2" xfId="18404"/>
    <cellStyle name="集計 2 4 4 2 5 4 3" xfId="18405"/>
    <cellStyle name="集計 2 4 4 2 5 5" xfId="18406"/>
    <cellStyle name="集計 2 4 4 2 5 6" xfId="18407"/>
    <cellStyle name="集計 2 4 4 2 6" xfId="18408"/>
    <cellStyle name="集計 2 4 4 2 6 2" xfId="18409"/>
    <cellStyle name="集計 2 4 4 2 6 3" xfId="18410"/>
    <cellStyle name="集計 2 4 4 2 7" xfId="18411"/>
    <cellStyle name="集計 2 4 4 2 7 2" xfId="18412"/>
    <cellStyle name="集計 2 4 4 2 7 3" xfId="18413"/>
    <cellStyle name="集計 2 4 4 2 8" xfId="18414"/>
    <cellStyle name="集計 2 4 4 2 8 2" xfId="18415"/>
    <cellStyle name="集計 2 4 4 2 8 3" xfId="18416"/>
    <cellStyle name="集計 2 4 4 2 9" xfId="18417"/>
    <cellStyle name="集計 2 4 4 3" xfId="18418"/>
    <cellStyle name="集計 2 4 4 3 2" xfId="18419"/>
    <cellStyle name="集計 2 4 4 3 2 2" xfId="18420"/>
    <cellStyle name="集計 2 4 4 3 2 2 2" xfId="18421"/>
    <cellStyle name="集計 2 4 4 3 2 2 3" xfId="18422"/>
    <cellStyle name="集計 2 4 4 3 2 3" xfId="18423"/>
    <cellStyle name="集計 2 4 4 3 2 3 2" xfId="18424"/>
    <cellStyle name="集計 2 4 4 3 2 3 3" xfId="18425"/>
    <cellStyle name="集計 2 4 4 3 2 4" xfId="18426"/>
    <cellStyle name="集計 2 4 4 3 2 4 2" xfId="18427"/>
    <cellStyle name="集計 2 4 4 3 2 4 3" xfId="18428"/>
    <cellStyle name="集計 2 4 4 3 2 5" xfId="18429"/>
    <cellStyle name="集計 2 4 4 3 2 6" xfId="18430"/>
    <cellStyle name="集計 2 4 4 3 3" xfId="18431"/>
    <cellStyle name="集計 2 4 4 3 3 2" xfId="18432"/>
    <cellStyle name="集計 2 4 4 3 3 3" xfId="18433"/>
    <cellStyle name="集計 2 4 4 3 4" xfId="18434"/>
    <cellStyle name="集計 2 4 4 3 4 2" xfId="18435"/>
    <cellStyle name="集計 2 4 4 3 4 3" xfId="18436"/>
    <cellStyle name="集計 2 4 4 3 5" xfId="18437"/>
    <cellStyle name="集計 2 4 4 3 5 2" xfId="18438"/>
    <cellStyle name="集計 2 4 4 3 5 3" xfId="18439"/>
    <cellStyle name="集計 2 4 4 3 6" xfId="18440"/>
    <cellStyle name="集計 2 4 4 3 7" xfId="18441"/>
    <cellStyle name="集計 2 4 4 4" xfId="18442"/>
    <cellStyle name="集計 2 4 4 4 2" xfId="18443"/>
    <cellStyle name="集計 2 4 4 4 2 2" xfId="18444"/>
    <cellStyle name="集計 2 4 4 4 2 2 2" xfId="18445"/>
    <cellStyle name="集計 2 4 4 4 2 2 3" xfId="18446"/>
    <cellStyle name="集計 2 4 4 4 2 3" xfId="18447"/>
    <cellStyle name="集計 2 4 4 4 2 3 2" xfId="18448"/>
    <cellStyle name="集計 2 4 4 4 2 3 3" xfId="18449"/>
    <cellStyle name="集計 2 4 4 4 2 4" xfId="18450"/>
    <cellStyle name="集計 2 4 4 4 2 4 2" xfId="18451"/>
    <cellStyle name="集計 2 4 4 4 2 4 3" xfId="18452"/>
    <cellStyle name="集計 2 4 4 4 2 5" xfId="18453"/>
    <cellStyle name="集計 2 4 4 4 2 6" xfId="18454"/>
    <cellStyle name="集計 2 4 4 4 3" xfId="18455"/>
    <cellStyle name="集計 2 4 4 4 3 2" xfId="18456"/>
    <cellStyle name="集計 2 4 4 4 3 3" xfId="18457"/>
    <cellStyle name="集計 2 4 4 4 4" xfId="18458"/>
    <cellStyle name="集計 2 4 4 4 4 2" xfId="18459"/>
    <cellStyle name="集計 2 4 4 4 4 3" xfId="18460"/>
    <cellStyle name="集計 2 4 4 4 5" xfId="18461"/>
    <cellStyle name="集計 2 4 4 4 5 2" xfId="18462"/>
    <cellStyle name="集計 2 4 4 4 5 3" xfId="18463"/>
    <cellStyle name="集計 2 4 4 4 6" xfId="18464"/>
    <cellStyle name="集計 2 4 4 4 7" xfId="18465"/>
    <cellStyle name="集計 2 4 4 5" xfId="18466"/>
    <cellStyle name="集計 2 4 4 5 2" xfId="18467"/>
    <cellStyle name="集計 2 4 4 5 2 2" xfId="18468"/>
    <cellStyle name="集計 2 4 4 5 2 3" xfId="18469"/>
    <cellStyle name="集計 2 4 4 5 3" xfId="18470"/>
    <cellStyle name="集計 2 4 4 5 3 2" xfId="18471"/>
    <cellStyle name="集計 2 4 4 5 3 3" xfId="18472"/>
    <cellStyle name="集計 2 4 4 5 4" xfId="18473"/>
    <cellStyle name="集計 2 4 4 5 4 2" xfId="18474"/>
    <cellStyle name="集計 2 4 4 5 4 3" xfId="18475"/>
    <cellStyle name="集計 2 4 4 5 5" xfId="18476"/>
    <cellStyle name="集計 2 4 4 5 6" xfId="18477"/>
    <cellStyle name="集計 2 4 4 6" xfId="18478"/>
    <cellStyle name="集計 2 4 4 6 2" xfId="18479"/>
    <cellStyle name="集計 2 4 4 6 3" xfId="18480"/>
    <cellStyle name="集計 2 4 4 7" xfId="18481"/>
    <cellStyle name="集計 2 4 4 7 2" xfId="18482"/>
    <cellStyle name="集計 2 4 4 7 3" xfId="18483"/>
    <cellStyle name="集計 2 4 4 8" xfId="18484"/>
    <cellStyle name="集計 2 4 4 8 2" xfId="18485"/>
    <cellStyle name="集計 2 4 4 8 3" xfId="18486"/>
    <cellStyle name="集計 2 4 4 9" xfId="18487"/>
    <cellStyle name="集計 2 4 5" xfId="18488"/>
    <cellStyle name="集計 2 4 5 10" xfId="18489"/>
    <cellStyle name="集計 2 4 5 2" xfId="18490"/>
    <cellStyle name="集計 2 4 5 2 2" xfId="18491"/>
    <cellStyle name="集計 2 4 5 2 2 2" xfId="18492"/>
    <cellStyle name="集計 2 4 5 2 2 2 2" xfId="18493"/>
    <cellStyle name="集計 2 4 5 2 2 2 2 2" xfId="18494"/>
    <cellStyle name="集計 2 4 5 2 2 2 2 3" xfId="18495"/>
    <cellStyle name="集計 2 4 5 2 2 2 3" xfId="18496"/>
    <cellStyle name="集計 2 4 5 2 2 2 3 2" xfId="18497"/>
    <cellStyle name="集計 2 4 5 2 2 2 3 3" xfId="18498"/>
    <cellStyle name="集計 2 4 5 2 2 2 4" xfId="18499"/>
    <cellStyle name="集計 2 4 5 2 2 2 4 2" xfId="18500"/>
    <cellStyle name="集計 2 4 5 2 2 2 4 3" xfId="18501"/>
    <cellStyle name="集計 2 4 5 2 2 2 5" xfId="18502"/>
    <cellStyle name="集計 2 4 5 2 2 2 6" xfId="18503"/>
    <cellStyle name="集計 2 4 5 2 2 3" xfId="18504"/>
    <cellStyle name="集計 2 4 5 2 2 3 2" xfId="18505"/>
    <cellStyle name="集計 2 4 5 2 2 3 3" xfId="18506"/>
    <cellStyle name="集計 2 4 5 2 2 4" xfId="18507"/>
    <cellStyle name="集計 2 4 5 2 2 4 2" xfId="18508"/>
    <cellStyle name="集計 2 4 5 2 2 4 3" xfId="18509"/>
    <cellStyle name="集計 2 4 5 2 2 5" xfId="18510"/>
    <cellStyle name="集計 2 4 5 2 2 5 2" xfId="18511"/>
    <cellStyle name="集計 2 4 5 2 2 5 3" xfId="18512"/>
    <cellStyle name="集計 2 4 5 2 2 6" xfId="18513"/>
    <cellStyle name="集計 2 4 5 2 2 7" xfId="18514"/>
    <cellStyle name="集計 2 4 5 2 3" xfId="18515"/>
    <cellStyle name="集計 2 4 5 2 3 2" xfId="18516"/>
    <cellStyle name="集計 2 4 5 2 3 2 2" xfId="18517"/>
    <cellStyle name="集計 2 4 5 2 3 2 2 2" xfId="18518"/>
    <cellStyle name="集計 2 4 5 2 3 2 2 3" xfId="18519"/>
    <cellStyle name="集計 2 4 5 2 3 2 3" xfId="18520"/>
    <cellStyle name="集計 2 4 5 2 3 2 3 2" xfId="18521"/>
    <cellStyle name="集計 2 4 5 2 3 2 3 3" xfId="18522"/>
    <cellStyle name="集計 2 4 5 2 3 2 4" xfId="18523"/>
    <cellStyle name="集計 2 4 5 2 3 2 4 2" xfId="18524"/>
    <cellStyle name="集計 2 4 5 2 3 2 4 3" xfId="18525"/>
    <cellStyle name="集計 2 4 5 2 3 2 5" xfId="18526"/>
    <cellStyle name="集計 2 4 5 2 3 2 6" xfId="18527"/>
    <cellStyle name="集計 2 4 5 2 3 3" xfId="18528"/>
    <cellStyle name="集計 2 4 5 2 3 3 2" xfId="18529"/>
    <cellStyle name="集計 2 4 5 2 3 3 3" xfId="18530"/>
    <cellStyle name="集計 2 4 5 2 3 4" xfId="18531"/>
    <cellStyle name="集計 2 4 5 2 3 4 2" xfId="18532"/>
    <cellStyle name="集計 2 4 5 2 3 4 3" xfId="18533"/>
    <cellStyle name="集計 2 4 5 2 3 5" xfId="18534"/>
    <cellStyle name="集計 2 4 5 2 3 5 2" xfId="18535"/>
    <cellStyle name="集計 2 4 5 2 3 5 3" xfId="18536"/>
    <cellStyle name="集計 2 4 5 2 3 6" xfId="18537"/>
    <cellStyle name="集計 2 4 5 2 3 7" xfId="18538"/>
    <cellStyle name="集計 2 4 5 2 4" xfId="18539"/>
    <cellStyle name="集計 2 4 5 2 4 2" xfId="18540"/>
    <cellStyle name="集計 2 4 5 2 4 2 2" xfId="18541"/>
    <cellStyle name="集計 2 4 5 2 4 2 3" xfId="18542"/>
    <cellStyle name="集計 2 4 5 2 4 3" xfId="18543"/>
    <cellStyle name="集計 2 4 5 2 4 3 2" xfId="18544"/>
    <cellStyle name="集計 2 4 5 2 4 3 3" xfId="18545"/>
    <cellStyle name="集計 2 4 5 2 4 4" xfId="18546"/>
    <cellStyle name="集計 2 4 5 2 4 4 2" xfId="18547"/>
    <cellStyle name="集計 2 4 5 2 4 4 3" xfId="18548"/>
    <cellStyle name="集計 2 4 5 2 4 5" xfId="18549"/>
    <cellStyle name="集計 2 4 5 2 4 6" xfId="18550"/>
    <cellStyle name="集計 2 4 5 2 5" xfId="18551"/>
    <cellStyle name="集計 2 4 5 2 5 2" xfId="18552"/>
    <cellStyle name="集計 2 4 5 2 5 3" xfId="18553"/>
    <cellStyle name="集計 2 4 5 2 6" xfId="18554"/>
    <cellStyle name="集計 2 4 5 2 6 2" xfId="18555"/>
    <cellStyle name="集計 2 4 5 2 6 3" xfId="18556"/>
    <cellStyle name="集計 2 4 5 2 7" xfId="18557"/>
    <cellStyle name="集計 2 4 5 2 7 2" xfId="18558"/>
    <cellStyle name="集計 2 4 5 2 7 3" xfId="18559"/>
    <cellStyle name="集計 2 4 5 2 8" xfId="18560"/>
    <cellStyle name="集計 2 4 5 2 9" xfId="18561"/>
    <cellStyle name="集計 2 4 5 3" xfId="18562"/>
    <cellStyle name="集計 2 4 5 3 2" xfId="18563"/>
    <cellStyle name="集計 2 4 5 3 2 2" xfId="18564"/>
    <cellStyle name="集計 2 4 5 3 2 2 2" xfId="18565"/>
    <cellStyle name="集計 2 4 5 3 2 2 3" xfId="18566"/>
    <cellStyle name="集計 2 4 5 3 2 3" xfId="18567"/>
    <cellStyle name="集計 2 4 5 3 2 3 2" xfId="18568"/>
    <cellStyle name="集計 2 4 5 3 2 3 3" xfId="18569"/>
    <cellStyle name="集計 2 4 5 3 2 4" xfId="18570"/>
    <cellStyle name="集計 2 4 5 3 2 4 2" xfId="18571"/>
    <cellStyle name="集計 2 4 5 3 2 4 3" xfId="18572"/>
    <cellStyle name="集計 2 4 5 3 2 5" xfId="18573"/>
    <cellStyle name="集計 2 4 5 3 2 6" xfId="18574"/>
    <cellStyle name="集計 2 4 5 3 3" xfId="18575"/>
    <cellStyle name="集計 2 4 5 3 3 2" xfId="18576"/>
    <cellStyle name="集計 2 4 5 3 3 3" xfId="18577"/>
    <cellStyle name="集計 2 4 5 3 4" xfId="18578"/>
    <cellStyle name="集計 2 4 5 3 4 2" xfId="18579"/>
    <cellStyle name="集計 2 4 5 3 4 3" xfId="18580"/>
    <cellStyle name="集計 2 4 5 3 5" xfId="18581"/>
    <cellStyle name="集計 2 4 5 3 5 2" xfId="18582"/>
    <cellStyle name="集計 2 4 5 3 5 3" xfId="18583"/>
    <cellStyle name="集計 2 4 5 3 6" xfId="18584"/>
    <cellStyle name="集計 2 4 5 3 7" xfId="18585"/>
    <cellStyle name="集計 2 4 5 4" xfId="18586"/>
    <cellStyle name="集計 2 4 5 4 2" xfId="18587"/>
    <cellStyle name="集計 2 4 5 4 2 2" xfId="18588"/>
    <cellStyle name="集計 2 4 5 4 2 2 2" xfId="18589"/>
    <cellStyle name="集計 2 4 5 4 2 2 3" xfId="18590"/>
    <cellStyle name="集計 2 4 5 4 2 3" xfId="18591"/>
    <cellStyle name="集計 2 4 5 4 2 3 2" xfId="18592"/>
    <cellStyle name="集計 2 4 5 4 2 3 3" xfId="18593"/>
    <cellStyle name="集計 2 4 5 4 2 4" xfId="18594"/>
    <cellStyle name="集計 2 4 5 4 2 4 2" xfId="18595"/>
    <cellStyle name="集計 2 4 5 4 2 4 3" xfId="18596"/>
    <cellStyle name="集計 2 4 5 4 2 5" xfId="18597"/>
    <cellStyle name="集計 2 4 5 4 2 6" xfId="18598"/>
    <cellStyle name="集計 2 4 5 4 3" xfId="18599"/>
    <cellStyle name="集計 2 4 5 4 3 2" xfId="18600"/>
    <cellStyle name="集計 2 4 5 4 3 3" xfId="18601"/>
    <cellStyle name="集計 2 4 5 4 4" xfId="18602"/>
    <cellStyle name="集計 2 4 5 4 4 2" xfId="18603"/>
    <cellStyle name="集計 2 4 5 4 4 3" xfId="18604"/>
    <cellStyle name="集計 2 4 5 4 5" xfId="18605"/>
    <cellStyle name="集計 2 4 5 4 5 2" xfId="18606"/>
    <cellStyle name="集計 2 4 5 4 5 3" xfId="18607"/>
    <cellStyle name="集計 2 4 5 4 6" xfId="18608"/>
    <cellStyle name="集計 2 4 5 4 7" xfId="18609"/>
    <cellStyle name="集計 2 4 5 5" xfId="18610"/>
    <cellStyle name="集計 2 4 5 5 2" xfId="18611"/>
    <cellStyle name="集計 2 4 5 5 2 2" xfId="18612"/>
    <cellStyle name="集計 2 4 5 5 2 3" xfId="18613"/>
    <cellStyle name="集計 2 4 5 5 3" xfId="18614"/>
    <cellStyle name="集計 2 4 5 5 3 2" xfId="18615"/>
    <cellStyle name="集計 2 4 5 5 3 3" xfId="18616"/>
    <cellStyle name="集計 2 4 5 5 4" xfId="18617"/>
    <cellStyle name="集計 2 4 5 5 4 2" xfId="18618"/>
    <cellStyle name="集計 2 4 5 5 4 3" xfId="18619"/>
    <cellStyle name="集計 2 4 5 5 5" xfId="18620"/>
    <cellStyle name="集計 2 4 5 5 6" xfId="18621"/>
    <cellStyle name="集計 2 4 5 6" xfId="18622"/>
    <cellStyle name="集計 2 4 5 6 2" xfId="18623"/>
    <cellStyle name="集計 2 4 5 6 3" xfId="18624"/>
    <cellStyle name="集計 2 4 5 7" xfId="18625"/>
    <cellStyle name="集計 2 4 5 7 2" xfId="18626"/>
    <cellStyle name="集計 2 4 5 7 3" xfId="18627"/>
    <cellStyle name="集計 2 4 5 8" xfId="18628"/>
    <cellStyle name="集計 2 4 5 8 2" xfId="18629"/>
    <cellStyle name="集計 2 4 5 8 3" xfId="18630"/>
    <cellStyle name="集計 2 4 5 9" xfId="18631"/>
    <cellStyle name="集計 2 4 6" xfId="18632"/>
    <cellStyle name="集計 2 4 6 10" xfId="18633"/>
    <cellStyle name="集計 2 4 6 2" xfId="18634"/>
    <cellStyle name="集計 2 4 6 2 2" xfId="18635"/>
    <cellStyle name="集計 2 4 6 2 2 2" xfId="18636"/>
    <cellStyle name="集計 2 4 6 2 2 2 2" xfId="18637"/>
    <cellStyle name="集計 2 4 6 2 2 2 2 2" xfId="18638"/>
    <cellStyle name="集計 2 4 6 2 2 2 2 3" xfId="18639"/>
    <cellStyle name="集計 2 4 6 2 2 2 3" xfId="18640"/>
    <cellStyle name="集計 2 4 6 2 2 2 3 2" xfId="18641"/>
    <cellStyle name="集計 2 4 6 2 2 2 3 3" xfId="18642"/>
    <cellStyle name="集計 2 4 6 2 2 2 4" xfId="18643"/>
    <cellStyle name="集計 2 4 6 2 2 2 4 2" xfId="18644"/>
    <cellStyle name="集計 2 4 6 2 2 2 4 3" xfId="18645"/>
    <cellStyle name="集計 2 4 6 2 2 2 5" xfId="18646"/>
    <cellStyle name="集計 2 4 6 2 2 2 6" xfId="18647"/>
    <cellStyle name="集計 2 4 6 2 2 3" xfId="18648"/>
    <cellStyle name="集計 2 4 6 2 2 3 2" xfId="18649"/>
    <cellStyle name="集計 2 4 6 2 2 3 3" xfId="18650"/>
    <cellStyle name="集計 2 4 6 2 2 4" xfId="18651"/>
    <cellStyle name="集計 2 4 6 2 2 4 2" xfId="18652"/>
    <cellStyle name="集計 2 4 6 2 2 4 3" xfId="18653"/>
    <cellStyle name="集計 2 4 6 2 2 5" xfId="18654"/>
    <cellStyle name="集計 2 4 6 2 2 5 2" xfId="18655"/>
    <cellStyle name="集計 2 4 6 2 2 5 3" xfId="18656"/>
    <cellStyle name="集計 2 4 6 2 2 6" xfId="18657"/>
    <cellStyle name="集計 2 4 6 2 2 7" xfId="18658"/>
    <cellStyle name="集計 2 4 6 2 3" xfId="18659"/>
    <cellStyle name="集計 2 4 6 2 3 2" xfId="18660"/>
    <cellStyle name="集計 2 4 6 2 3 2 2" xfId="18661"/>
    <cellStyle name="集計 2 4 6 2 3 2 2 2" xfId="18662"/>
    <cellStyle name="集計 2 4 6 2 3 2 2 3" xfId="18663"/>
    <cellStyle name="集計 2 4 6 2 3 2 3" xfId="18664"/>
    <cellStyle name="集計 2 4 6 2 3 2 3 2" xfId="18665"/>
    <cellStyle name="集計 2 4 6 2 3 2 3 3" xfId="18666"/>
    <cellStyle name="集計 2 4 6 2 3 2 4" xfId="18667"/>
    <cellStyle name="集計 2 4 6 2 3 2 4 2" xfId="18668"/>
    <cellStyle name="集計 2 4 6 2 3 2 4 3" xfId="18669"/>
    <cellStyle name="集計 2 4 6 2 3 2 5" xfId="18670"/>
    <cellStyle name="集計 2 4 6 2 3 2 6" xfId="18671"/>
    <cellStyle name="集計 2 4 6 2 3 3" xfId="18672"/>
    <cellStyle name="集計 2 4 6 2 3 3 2" xfId="18673"/>
    <cellStyle name="集計 2 4 6 2 3 3 3" xfId="18674"/>
    <cellStyle name="集計 2 4 6 2 3 4" xfId="18675"/>
    <cellStyle name="集計 2 4 6 2 3 4 2" xfId="18676"/>
    <cellStyle name="集計 2 4 6 2 3 4 3" xfId="18677"/>
    <cellStyle name="集計 2 4 6 2 3 5" xfId="18678"/>
    <cellStyle name="集計 2 4 6 2 3 5 2" xfId="18679"/>
    <cellStyle name="集計 2 4 6 2 3 5 3" xfId="18680"/>
    <cellStyle name="集計 2 4 6 2 3 6" xfId="18681"/>
    <cellStyle name="集計 2 4 6 2 3 7" xfId="18682"/>
    <cellStyle name="集計 2 4 6 2 4" xfId="18683"/>
    <cellStyle name="集計 2 4 6 2 4 2" xfId="18684"/>
    <cellStyle name="集計 2 4 6 2 4 2 2" xfId="18685"/>
    <cellStyle name="集計 2 4 6 2 4 2 3" xfId="18686"/>
    <cellStyle name="集計 2 4 6 2 4 3" xfId="18687"/>
    <cellStyle name="集計 2 4 6 2 4 3 2" xfId="18688"/>
    <cellStyle name="集計 2 4 6 2 4 3 3" xfId="18689"/>
    <cellStyle name="集計 2 4 6 2 4 4" xfId="18690"/>
    <cellStyle name="集計 2 4 6 2 4 4 2" xfId="18691"/>
    <cellStyle name="集計 2 4 6 2 4 4 3" xfId="18692"/>
    <cellStyle name="集計 2 4 6 2 4 5" xfId="18693"/>
    <cellStyle name="集計 2 4 6 2 4 6" xfId="18694"/>
    <cellStyle name="集計 2 4 6 2 5" xfId="18695"/>
    <cellStyle name="集計 2 4 6 2 5 2" xfId="18696"/>
    <cellStyle name="集計 2 4 6 2 5 3" xfId="18697"/>
    <cellStyle name="集計 2 4 6 2 6" xfId="18698"/>
    <cellStyle name="集計 2 4 6 2 6 2" xfId="18699"/>
    <cellStyle name="集計 2 4 6 2 6 3" xfId="18700"/>
    <cellStyle name="集計 2 4 6 2 7" xfId="18701"/>
    <cellStyle name="集計 2 4 6 2 7 2" xfId="18702"/>
    <cellStyle name="集計 2 4 6 2 7 3" xfId="18703"/>
    <cellStyle name="集計 2 4 6 2 8" xfId="18704"/>
    <cellStyle name="集計 2 4 6 2 9" xfId="18705"/>
    <cellStyle name="集計 2 4 6 3" xfId="18706"/>
    <cellStyle name="集計 2 4 6 3 2" xfId="18707"/>
    <cellStyle name="集計 2 4 6 3 2 2" xfId="18708"/>
    <cellStyle name="集計 2 4 6 3 2 2 2" xfId="18709"/>
    <cellStyle name="集計 2 4 6 3 2 2 3" xfId="18710"/>
    <cellStyle name="集計 2 4 6 3 2 3" xfId="18711"/>
    <cellStyle name="集計 2 4 6 3 2 3 2" xfId="18712"/>
    <cellStyle name="集計 2 4 6 3 2 3 3" xfId="18713"/>
    <cellStyle name="集計 2 4 6 3 2 4" xfId="18714"/>
    <cellStyle name="集計 2 4 6 3 2 4 2" xfId="18715"/>
    <cellStyle name="集計 2 4 6 3 2 4 3" xfId="18716"/>
    <cellStyle name="集計 2 4 6 3 2 5" xfId="18717"/>
    <cellStyle name="集計 2 4 6 3 2 6" xfId="18718"/>
    <cellStyle name="集計 2 4 6 3 3" xfId="18719"/>
    <cellStyle name="集計 2 4 6 3 3 2" xfId="18720"/>
    <cellStyle name="集計 2 4 6 3 3 3" xfId="18721"/>
    <cellStyle name="集計 2 4 6 3 4" xfId="18722"/>
    <cellStyle name="集計 2 4 6 3 4 2" xfId="18723"/>
    <cellStyle name="集計 2 4 6 3 4 3" xfId="18724"/>
    <cellStyle name="集計 2 4 6 3 5" xfId="18725"/>
    <cellStyle name="集計 2 4 6 3 5 2" xfId="18726"/>
    <cellStyle name="集計 2 4 6 3 5 3" xfId="18727"/>
    <cellStyle name="集計 2 4 6 3 6" xfId="18728"/>
    <cellStyle name="集計 2 4 6 3 7" xfId="18729"/>
    <cellStyle name="集計 2 4 6 4" xfId="18730"/>
    <cellStyle name="集計 2 4 6 4 2" xfId="18731"/>
    <cellStyle name="集計 2 4 6 4 2 2" xfId="18732"/>
    <cellStyle name="集計 2 4 6 4 2 2 2" xfId="18733"/>
    <cellStyle name="集計 2 4 6 4 2 2 3" xfId="18734"/>
    <cellStyle name="集計 2 4 6 4 2 3" xfId="18735"/>
    <cellStyle name="集計 2 4 6 4 2 3 2" xfId="18736"/>
    <cellStyle name="集計 2 4 6 4 2 3 3" xfId="18737"/>
    <cellStyle name="集計 2 4 6 4 2 4" xfId="18738"/>
    <cellStyle name="集計 2 4 6 4 2 4 2" xfId="18739"/>
    <cellStyle name="集計 2 4 6 4 2 4 3" xfId="18740"/>
    <cellStyle name="集計 2 4 6 4 2 5" xfId="18741"/>
    <cellStyle name="集計 2 4 6 4 2 6" xfId="18742"/>
    <cellStyle name="集計 2 4 6 4 3" xfId="18743"/>
    <cellStyle name="集計 2 4 6 4 3 2" xfId="18744"/>
    <cellStyle name="集計 2 4 6 4 3 3" xfId="18745"/>
    <cellStyle name="集計 2 4 6 4 4" xfId="18746"/>
    <cellStyle name="集計 2 4 6 4 4 2" xfId="18747"/>
    <cellStyle name="集計 2 4 6 4 4 3" xfId="18748"/>
    <cellStyle name="集計 2 4 6 4 5" xfId="18749"/>
    <cellStyle name="集計 2 4 6 4 5 2" xfId="18750"/>
    <cellStyle name="集計 2 4 6 4 5 3" xfId="18751"/>
    <cellStyle name="集計 2 4 6 4 6" xfId="18752"/>
    <cellStyle name="集計 2 4 6 4 7" xfId="18753"/>
    <cellStyle name="集計 2 4 6 5" xfId="18754"/>
    <cellStyle name="集計 2 4 6 5 2" xfId="18755"/>
    <cellStyle name="集計 2 4 6 5 2 2" xfId="18756"/>
    <cellStyle name="集計 2 4 6 5 2 3" xfId="18757"/>
    <cellStyle name="集計 2 4 6 5 3" xfId="18758"/>
    <cellStyle name="集計 2 4 6 5 3 2" xfId="18759"/>
    <cellStyle name="集計 2 4 6 5 3 3" xfId="18760"/>
    <cellStyle name="集計 2 4 6 5 4" xfId="18761"/>
    <cellStyle name="集計 2 4 6 5 4 2" xfId="18762"/>
    <cellStyle name="集計 2 4 6 5 4 3" xfId="18763"/>
    <cellStyle name="集計 2 4 6 5 5" xfId="18764"/>
    <cellStyle name="集計 2 4 6 5 6" xfId="18765"/>
    <cellStyle name="集計 2 4 6 6" xfId="18766"/>
    <cellStyle name="集計 2 4 6 6 2" xfId="18767"/>
    <cellStyle name="集計 2 4 6 6 3" xfId="18768"/>
    <cellStyle name="集計 2 4 6 7" xfId="18769"/>
    <cellStyle name="集計 2 4 6 7 2" xfId="18770"/>
    <cellStyle name="集計 2 4 6 7 3" xfId="18771"/>
    <cellStyle name="集計 2 4 6 8" xfId="18772"/>
    <cellStyle name="集計 2 4 6 8 2" xfId="18773"/>
    <cellStyle name="集計 2 4 6 8 3" xfId="18774"/>
    <cellStyle name="集計 2 4 6 9" xfId="18775"/>
    <cellStyle name="集計 2 4 7" xfId="18776"/>
    <cellStyle name="集計 2 4 7 2" xfId="18777"/>
    <cellStyle name="集計 2 4 7 2 2" xfId="18778"/>
    <cellStyle name="集計 2 4 7 2 2 2" xfId="18779"/>
    <cellStyle name="集計 2 4 7 2 2 3" xfId="18780"/>
    <cellStyle name="集計 2 4 7 2 3" xfId="18781"/>
    <cellStyle name="集計 2 4 7 2 3 2" xfId="18782"/>
    <cellStyle name="集計 2 4 7 2 3 3" xfId="18783"/>
    <cellStyle name="集計 2 4 7 2 4" xfId="18784"/>
    <cellStyle name="集計 2 4 7 2 4 2" xfId="18785"/>
    <cellStyle name="集計 2 4 7 2 4 3" xfId="18786"/>
    <cellStyle name="集計 2 4 7 2 5" xfId="18787"/>
    <cellStyle name="集計 2 4 7 2 6" xfId="18788"/>
    <cellStyle name="集計 2 4 7 3" xfId="18789"/>
    <cellStyle name="集計 2 4 7 3 2" xfId="18790"/>
    <cellStyle name="集計 2 4 7 3 3" xfId="18791"/>
    <cellStyle name="集計 2 4 7 4" xfId="18792"/>
    <cellStyle name="集計 2 4 7 4 2" xfId="18793"/>
    <cellStyle name="集計 2 4 7 4 3" xfId="18794"/>
    <cellStyle name="集計 2 4 7 5" xfId="18795"/>
    <cellStyle name="集計 2 4 7 5 2" xfId="18796"/>
    <cellStyle name="集計 2 4 7 5 3" xfId="18797"/>
    <cellStyle name="集計 2 4 7 6" xfId="18798"/>
    <cellStyle name="集計 2 4 7 7" xfId="18799"/>
    <cellStyle name="集計 2 4 8" xfId="18800"/>
    <cellStyle name="集計 2 4 8 2" xfId="18801"/>
    <cellStyle name="集計 2 4 8 2 2" xfId="18802"/>
    <cellStyle name="集計 2 4 8 2 2 2" xfId="18803"/>
    <cellStyle name="集計 2 4 8 2 2 3" xfId="18804"/>
    <cellStyle name="集計 2 4 8 2 3" xfId="18805"/>
    <cellStyle name="集計 2 4 8 2 3 2" xfId="18806"/>
    <cellStyle name="集計 2 4 8 2 3 3" xfId="18807"/>
    <cellStyle name="集計 2 4 8 2 4" xfId="18808"/>
    <cellStyle name="集計 2 4 8 2 4 2" xfId="18809"/>
    <cellStyle name="集計 2 4 8 2 4 3" xfId="18810"/>
    <cellStyle name="集計 2 4 8 2 5" xfId="18811"/>
    <cellStyle name="集計 2 4 8 2 6" xfId="18812"/>
    <cellStyle name="集計 2 4 8 3" xfId="18813"/>
    <cellStyle name="集計 2 4 8 3 2" xfId="18814"/>
    <cellStyle name="集計 2 4 8 3 3" xfId="18815"/>
    <cellStyle name="集計 2 4 8 4" xfId="18816"/>
    <cellStyle name="集計 2 4 8 4 2" xfId="18817"/>
    <cellStyle name="集計 2 4 8 4 3" xfId="18818"/>
    <cellStyle name="集計 2 4 8 5" xfId="18819"/>
    <cellStyle name="集計 2 4 8 5 2" xfId="18820"/>
    <cellStyle name="集計 2 4 8 5 3" xfId="18821"/>
    <cellStyle name="集計 2 4 8 6" xfId="18822"/>
    <cellStyle name="集計 2 4 8 7" xfId="18823"/>
    <cellStyle name="集計 2 4 9" xfId="18824"/>
    <cellStyle name="集計 2 4 9 2" xfId="18825"/>
    <cellStyle name="集計 2 4 9 2 2" xfId="18826"/>
    <cellStyle name="集計 2 4 9 2 3" xfId="18827"/>
    <cellStyle name="集計 2 4 9 3" xfId="18828"/>
    <cellStyle name="集計 2 4 9 3 2" xfId="18829"/>
    <cellStyle name="集計 2 4 9 3 3" xfId="18830"/>
    <cellStyle name="集計 2 4 9 4" xfId="18831"/>
    <cellStyle name="集計 2 4 9 4 2" xfId="18832"/>
    <cellStyle name="集計 2 4 9 4 3" xfId="18833"/>
    <cellStyle name="集計 2 4 9 5" xfId="18834"/>
    <cellStyle name="集計 2 4 9 6" xfId="18835"/>
    <cellStyle name="集計 2 5" xfId="18836"/>
    <cellStyle name="集計 2 5 10" xfId="18837"/>
    <cellStyle name="集計 2 5 10 2" xfId="18838"/>
    <cellStyle name="集計 2 5 10 3" xfId="18839"/>
    <cellStyle name="集計 2 5 11" xfId="18840"/>
    <cellStyle name="集計 2 5 11 2" xfId="18841"/>
    <cellStyle name="集計 2 5 11 3" xfId="18842"/>
    <cellStyle name="集計 2 5 12" xfId="18843"/>
    <cellStyle name="集計 2 5 12 2" xfId="18844"/>
    <cellStyle name="集計 2 5 12 3" xfId="18845"/>
    <cellStyle name="集計 2 5 13" xfId="18846"/>
    <cellStyle name="集計 2 5 14" xfId="18847"/>
    <cellStyle name="集計 2 5 2" xfId="18848"/>
    <cellStyle name="集計 2 5 2 10" xfId="18849"/>
    <cellStyle name="集計 2 5 2 2" xfId="18850"/>
    <cellStyle name="集計 2 5 2 2 10" xfId="18851"/>
    <cellStyle name="集計 2 5 2 2 2" xfId="18852"/>
    <cellStyle name="集計 2 5 2 2 2 2" xfId="18853"/>
    <cellStyle name="集計 2 5 2 2 2 2 2" xfId="18854"/>
    <cellStyle name="集計 2 5 2 2 2 2 2 2" xfId="18855"/>
    <cellStyle name="集計 2 5 2 2 2 2 2 2 2" xfId="18856"/>
    <cellStyle name="集計 2 5 2 2 2 2 2 2 3" xfId="18857"/>
    <cellStyle name="集計 2 5 2 2 2 2 2 3" xfId="18858"/>
    <cellStyle name="集計 2 5 2 2 2 2 2 3 2" xfId="18859"/>
    <cellStyle name="集計 2 5 2 2 2 2 2 3 3" xfId="18860"/>
    <cellStyle name="集計 2 5 2 2 2 2 2 4" xfId="18861"/>
    <cellStyle name="集計 2 5 2 2 2 2 2 4 2" xfId="18862"/>
    <cellStyle name="集計 2 5 2 2 2 2 2 4 3" xfId="18863"/>
    <cellStyle name="集計 2 5 2 2 2 2 2 5" xfId="18864"/>
    <cellStyle name="集計 2 5 2 2 2 2 2 6" xfId="18865"/>
    <cellStyle name="集計 2 5 2 2 2 2 3" xfId="18866"/>
    <cellStyle name="集計 2 5 2 2 2 2 3 2" xfId="18867"/>
    <cellStyle name="集計 2 5 2 2 2 2 3 3" xfId="18868"/>
    <cellStyle name="集計 2 5 2 2 2 2 4" xfId="18869"/>
    <cellStyle name="集計 2 5 2 2 2 2 4 2" xfId="18870"/>
    <cellStyle name="集計 2 5 2 2 2 2 4 3" xfId="18871"/>
    <cellStyle name="集計 2 5 2 2 2 2 5" xfId="18872"/>
    <cellStyle name="集計 2 5 2 2 2 2 5 2" xfId="18873"/>
    <cellStyle name="集計 2 5 2 2 2 2 5 3" xfId="18874"/>
    <cellStyle name="集計 2 5 2 2 2 2 6" xfId="18875"/>
    <cellStyle name="集計 2 5 2 2 2 2 7" xfId="18876"/>
    <cellStyle name="集計 2 5 2 2 2 3" xfId="18877"/>
    <cellStyle name="集計 2 5 2 2 2 3 2" xfId="18878"/>
    <cellStyle name="集計 2 5 2 2 2 3 2 2" xfId="18879"/>
    <cellStyle name="集計 2 5 2 2 2 3 2 2 2" xfId="18880"/>
    <cellStyle name="集計 2 5 2 2 2 3 2 2 3" xfId="18881"/>
    <cellStyle name="集計 2 5 2 2 2 3 2 3" xfId="18882"/>
    <cellStyle name="集計 2 5 2 2 2 3 2 3 2" xfId="18883"/>
    <cellStyle name="集計 2 5 2 2 2 3 2 3 3" xfId="18884"/>
    <cellStyle name="集計 2 5 2 2 2 3 2 4" xfId="18885"/>
    <cellStyle name="集計 2 5 2 2 2 3 2 4 2" xfId="18886"/>
    <cellStyle name="集計 2 5 2 2 2 3 2 4 3" xfId="18887"/>
    <cellStyle name="集計 2 5 2 2 2 3 2 5" xfId="18888"/>
    <cellStyle name="集計 2 5 2 2 2 3 2 6" xfId="18889"/>
    <cellStyle name="集計 2 5 2 2 2 3 3" xfId="18890"/>
    <cellStyle name="集計 2 5 2 2 2 3 3 2" xfId="18891"/>
    <cellStyle name="集計 2 5 2 2 2 3 3 3" xfId="18892"/>
    <cellStyle name="集計 2 5 2 2 2 3 4" xfId="18893"/>
    <cellStyle name="集計 2 5 2 2 2 3 4 2" xfId="18894"/>
    <cellStyle name="集計 2 5 2 2 2 3 4 3" xfId="18895"/>
    <cellStyle name="集計 2 5 2 2 2 3 5" xfId="18896"/>
    <cellStyle name="集計 2 5 2 2 2 3 5 2" xfId="18897"/>
    <cellStyle name="集計 2 5 2 2 2 3 5 3" xfId="18898"/>
    <cellStyle name="集計 2 5 2 2 2 3 6" xfId="18899"/>
    <cellStyle name="集計 2 5 2 2 2 3 7" xfId="18900"/>
    <cellStyle name="集計 2 5 2 2 2 4" xfId="18901"/>
    <cellStyle name="集計 2 5 2 2 2 4 2" xfId="18902"/>
    <cellStyle name="集計 2 5 2 2 2 4 2 2" xfId="18903"/>
    <cellStyle name="集計 2 5 2 2 2 4 2 3" xfId="18904"/>
    <cellStyle name="集計 2 5 2 2 2 4 3" xfId="18905"/>
    <cellStyle name="集計 2 5 2 2 2 4 3 2" xfId="18906"/>
    <cellStyle name="集計 2 5 2 2 2 4 3 3" xfId="18907"/>
    <cellStyle name="集計 2 5 2 2 2 4 4" xfId="18908"/>
    <cellStyle name="集計 2 5 2 2 2 4 4 2" xfId="18909"/>
    <cellStyle name="集計 2 5 2 2 2 4 4 3" xfId="18910"/>
    <cellStyle name="集計 2 5 2 2 2 4 5" xfId="18911"/>
    <cellStyle name="集計 2 5 2 2 2 4 6" xfId="18912"/>
    <cellStyle name="集計 2 5 2 2 2 5" xfId="18913"/>
    <cellStyle name="集計 2 5 2 2 2 5 2" xfId="18914"/>
    <cellStyle name="集計 2 5 2 2 2 5 3" xfId="18915"/>
    <cellStyle name="集計 2 5 2 2 2 6" xfId="18916"/>
    <cellStyle name="集計 2 5 2 2 2 6 2" xfId="18917"/>
    <cellStyle name="集計 2 5 2 2 2 6 3" xfId="18918"/>
    <cellStyle name="集計 2 5 2 2 2 7" xfId="18919"/>
    <cellStyle name="集計 2 5 2 2 2 7 2" xfId="18920"/>
    <cellStyle name="集計 2 5 2 2 2 7 3" xfId="18921"/>
    <cellStyle name="集計 2 5 2 2 2 8" xfId="18922"/>
    <cellStyle name="集計 2 5 2 2 2 9" xfId="18923"/>
    <cellStyle name="集計 2 5 2 2 3" xfId="18924"/>
    <cellStyle name="集計 2 5 2 2 3 2" xfId="18925"/>
    <cellStyle name="集計 2 5 2 2 3 2 2" xfId="18926"/>
    <cellStyle name="集計 2 5 2 2 3 2 2 2" xfId="18927"/>
    <cellStyle name="集計 2 5 2 2 3 2 2 3" xfId="18928"/>
    <cellStyle name="集計 2 5 2 2 3 2 3" xfId="18929"/>
    <cellStyle name="集計 2 5 2 2 3 2 3 2" xfId="18930"/>
    <cellStyle name="集計 2 5 2 2 3 2 3 3" xfId="18931"/>
    <cellStyle name="集計 2 5 2 2 3 2 4" xfId="18932"/>
    <cellStyle name="集計 2 5 2 2 3 2 4 2" xfId="18933"/>
    <cellStyle name="集計 2 5 2 2 3 2 4 3" xfId="18934"/>
    <cellStyle name="集計 2 5 2 2 3 2 5" xfId="18935"/>
    <cellStyle name="集計 2 5 2 2 3 2 6" xfId="18936"/>
    <cellStyle name="集計 2 5 2 2 3 3" xfId="18937"/>
    <cellStyle name="集計 2 5 2 2 3 3 2" xfId="18938"/>
    <cellStyle name="集計 2 5 2 2 3 3 3" xfId="18939"/>
    <cellStyle name="集計 2 5 2 2 3 4" xfId="18940"/>
    <cellStyle name="集計 2 5 2 2 3 4 2" xfId="18941"/>
    <cellStyle name="集計 2 5 2 2 3 4 3" xfId="18942"/>
    <cellStyle name="集計 2 5 2 2 3 5" xfId="18943"/>
    <cellStyle name="集計 2 5 2 2 3 5 2" xfId="18944"/>
    <cellStyle name="集計 2 5 2 2 3 5 3" xfId="18945"/>
    <cellStyle name="集計 2 5 2 2 3 6" xfId="18946"/>
    <cellStyle name="集計 2 5 2 2 3 7" xfId="18947"/>
    <cellStyle name="集計 2 5 2 2 4" xfId="18948"/>
    <cellStyle name="集計 2 5 2 2 4 2" xfId="18949"/>
    <cellStyle name="集計 2 5 2 2 4 2 2" xfId="18950"/>
    <cellStyle name="集計 2 5 2 2 4 2 2 2" xfId="18951"/>
    <cellStyle name="集計 2 5 2 2 4 2 2 3" xfId="18952"/>
    <cellStyle name="集計 2 5 2 2 4 2 3" xfId="18953"/>
    <cellStyle name="集計 2 5 2 2 4 2 3 2" xfId="18954"/>
    <cellStyle name="集計 2 5 2 2 4 2 3 3" xfId="18955"/>
    <cellStyle name="集計 2 5 2 2 4 2 4" xfId="18956"/>
    <cellStyle name="集計 2 5 2 2 4 2 4 2" xfId="18957"/>
    <cellStyle name="集計 2 5 2 2 4 2 4 3" xfId="18958"/>
    <cellStyle name="集計 2 5 2 2 4 2 5" xfId="18959"/>
    <cellStyle name="集計 2 5 2 2 4 2 6" xfId="18960"/>
    <cellStyle name="集計 2 5 2 2 4 3" xfId="18961"/>
    <cellStyle name="集計 2 5 2 2 4 3 2" xfId="18962"/>
    <cellStyle name="集計 2 5 2 2 4 3 3" xfId="18963"/>
    <cellStyle name="集計 2 5 2 2 4 4" xfId="18964"/>
    <cellStyle name="集計 2 5 2 2 4 4 2" xfId="18965"/>
    <cellStyle name="集計 2 5 2 2 4 4 3" xfId="18966"/>
    <cellStyle name="集計 2 5 2 2 4 5" xfId="18967"/>
    <cellStyle name="集計 2 5 2 2 4 5 2" xfId="18968"/>
    <cellStyle name="集計 2 5 2 2 4 5 3" xfId="18969"/>
    <cellStyle name="集計 2 5 2 2 4 6" xfId="18970"/>
    <cellStyle name="集計 2 5 2 2 4 7" xfId="18971"/>
    <cellStyle name="集計 2 5 2 2 5" xfId="18972"/>
    <cellStyle name="集計 2 5 2 2 5 2" xfId="18973"/>
    <cellStyle name="集計 2 5 2 2 5 2 2" xfId="18974"/>
    <cellStyle name="集計 2 5 2 2 5 2 3" xfId="18975"/>
    <cellStyle name="集計 2 5 2 2 5 3" xfId="18976"/>
    <cellStyle name="集計 2 5 2 2 5 3 2" xfId="18977"/>
    <cellStyle name="集計 2 5 2 2 5 3 3" xfId="18978"/>
    <cellStyle name="集計 2 5 2 2 5 4" xfId="18979"/>
    <cellStyle name="集計 2 5 2 2 5 4 2" xfId="18980"/>
    <cellStyle name="集計 2 5 2 2 5 4 3" xfId="18981"/>
    <cellStyle name="集計 2 5 2 2 5 5" xfId="18982"/>
    <cellStyle name="集計 2 5 2 2 5 6" xfId="18983"/>
    <cellStyle name="集計 2 5 2 2 6" xfId="18984"/>
    <cellStyle name="集計 2 5 2 2 6 2" xfId="18985"/>
    <cellStyle name="集計 2 5 2 2 6 3" xfId="18986"/>
    <cellStyle name="集計 2 5 2 2 7" xfId="18987"/>
    <cellStyle name="集計 2 5 2 2 7 2" xfId="18988"/>
    <cellStyle name="集計 2 5 2 2 7 3" xfId="18989"/>
    <cellStyle name="集計 2 5 2 2 8" xfId="18990"/>
    <cellStyle name="集計 2 5 2 2 8 2" xfId="18991"/>
    <cellStyle name="集計 2 5 2 2 8 3" xfId="18992"/>
    <cellStyle name="集計 2 5 2 2 9" xfId="18993"/>
    <cellStyle name="集計 2 5 2 3" xfId="18994"/>
    <cellStyle name="集計 2 5 2 3 2" xfId="18995"/>
    <cellStyle name="集計 2 5 2 3 2 2" xfId="18996"/>
    <cellStyle name="集計 2 5 2 3 2 2 2" xfId="18997"/>
    <cellStyle name="集計 2 5 2 3 2 2 3" xfId="18998"/>
    <cellStyle name="集計 2 5 2 3 2 3" xfId="18999"/>
    <cellStyle name="集計 2 5 2 3 2 3 2" xfId="19000"/>
    <cellStyle name="集計 2 5 2 3 2 3 3" xfId="19001"/>
    <cellStyle name="集計 2 5 2 3 2 4" xfId="19002"/>
    <cellStyle name="集計 2 5 2 3 2 4 2" xfId="19003"/>
    <cellStyle name="集計 2 5 2 3 2 4 3" xfId="19004"/>
    <cellStyle name="集計 2 5 2 3 2 5" xfId="19005"/>
    <cellStyle name="集計 2 5 2 3 2 6" xfId="19006"/>
    <cellStyle name="集計 2 5 2 3 3" xfId="19007"/>
    <cellStyle name="集計 2 5 2 3 3 2" xfId="19008"/>
    <cellStyle name="集計 2 5 2 3 3 3" xfId="19009"/>
    <cellStyle name="集計 2 5 2 3 4" xfId="19010"/>
    <cellStyle name="集計 2 5 2 3 4 2" xfId="19011"/>
    <cellStyle name="集計 2 5 2 3 4 3" xfId="19012"/>
    <cellStyle name="集計 2 5 2 3 5" xfId="19013"/>
    <cellStyle name="集計 2 5 2 3 5 2" xfId="19014"/>
    <cellStyle name="集計 2 5 2 3 5 3" xfId="19015"/>
    <cellStyle name="集計 2 5 2 3 6" xfId="19016"/>
    <cellStyle name="集計 2 5 2 3 7" xfId="19017"/>
    <cellStyle name="集計 2 5 2 4" xfId="19018"/>
    <cellStyle name="集計 2 5 2 4 2" xfId="19019"/>
    <cellStyle name="集計 2 5 2 4 2 2" xfId="19020"/>
    <cellStyle name="集計 2 5 2 4 2 2 2" xfId="19021"/>
    <cellStyle name="集計 2 5 2 4 2 2 3" xfId="19022"/>
    <cellStyle name="集計 2 5 2 4 2 3" xfId="19023"/>
    <cellStyle name="集計 2 5 2 4 2 3 2" xfId="19024"/>
    <cellStyle name="集計 2 5 2 4 2 3 3" xfId="19025"/>
    <cellStyle name="集計 2 5 2 4 2 4" xfId="19026"/>
    <cellStyle name="集計 2 5 2 4 2 4 2" xfId="19027"/>
    <cellStyle name="集計 2 5 2 4 2 4 3" xfId="19028"/>
    <cellStyle name="集計 2 5 2 4 2 5" xfId="19029"/>
    <cellStyle name="集計 2 5 2 4 2 6" xfId="19030"/>
    <cellStyle name="集計 2 5 2 4 3" xfId="19031"/>
    <cellStyle name="集計 2 5 2 4 3 2" xfId="19032"/>
    <cellStyle name="集計 2 5 2 4 3 3" xfId="19033"/>
    <cellStyle name="集計 2 5 2 4 4" xfId="19034"/>
    <cellStyle name="集計 2 5 2 4 4 2" xfId="19035"/>
    <cellStyle name="集計 2 5 2 4 4 3" xfId="19036"/>
    <cellStyle name="集計 2 5 2 4 5" xfId="19037"/>
    <cellStyle name="集計 2 5 2 4 5 2" xfId="19038"/>
    <cellStyle name="集計 2 5 2 4 5 3" xfId="19039"/>
    <cellStyle name="集計 2 5 2 4 6" xfId="19040"/>
    <cellStyle name="集計 2 5 2 4 7" xfId="19041"/>
    <cellStyle name="集計 2 5 2 5" xfId="19042"/>
    <cellStyle name="集計 2 5 2 5 2" xfId="19043"/>
    <cellStyle name="集計 2 5 2 5 2 2" xfId="19044"/>
    <cellStyle name="集計 2 5 2 5 2 3" xfId="19045"/>
    <cellStyle name="集計 2 5 2 5 3" xfId="19046"/>
    <cellStyle name="集計 2 5 2 5 3 2" xfId="19047"/>
    <cellStyle name="集計 2 5 2 5 3 3" xfId="19048"/>
    <cellStyle name="集計 2 5 2 5 4" xfId="19049"/>
    <cellStyle name="集計 2 5 2 5 4 2" xfId="19050"/>
    <cellStyle name="集計 2 5 2 5 4 3" xfId="19051"/>
    <cellStyle name="集計 2 5 2 5 5" xfId="19052"/>
    <cellStyle name="集計 2 5 2 5 6" xfId="19053"/>
    <cellStyle name="集計 2 5 2 6" xfId="19054"/>
    <cellStyle name="集計 2 5 2 6 2" xfId="19055"/>
    <cellStyle name="集計 2 5 2 6 3" xfId="19056"/>
    <cellStyle name="集計 2 5 2 7" xfId="19057"/>
    <cellStyle name="集計 2 5 2 7 2" xfId="19058"/>
    <cellStyle name="集計 2 5 2 7 3" xfId="19059"/>
    <cellStyle name="集計 2 5 2 8" xfId="19060"/>
    <cellStyle name="集計 2 5 2 8 2" xfId="19061"/>
    <cellStyle name="集計 2 5 2 8 3" xfId="19062"/>
    <cellStyle name="集計 2 5 2 9" xfId="19063"/>
    <cellStyle name="集計 2 5 3" xfId="19064"/>
    <cellStyle name="集計 2 5 3 10" xfId="19065"/>
    <cellStyle name="集計 2 5 3 2" xfId="19066"/>
    <cellStyle name="集計 2 5 3 2 10" xfId="19067"/>
    <cellStyle name="集計 2 5 3 2 2" xfId="19068"/>
    <cellStyle name="集計 2 5 3 2 2 2" xfId="19069"/>
    <cellStyle name="集計 2 5 3 2 2 2 2" xfId="19070"/>
    <cellStyle name="集計 2 5 3 2 2 2 2 2" xfId="19071"/>
    <cellStyle name="集計 2 5 3 2 2 2 2 2 2" xfId="19072"/>
    <cellStyle name="集計 2 5 3 2 2 2 2 2 3" xfId="19073"/>
    <cellStyle name="集計 2 5 3 2 2 2 2 3" xfId="19074"/>
    <cellStyle name="集計 2 5 3 2 2 2 2 3 2" xfId="19075"/>
    <cellStyle name="集計 2 5 3 2 2 2 2 3 3" xfId="19076"/>
    <cellStyle name="集計 2 5 3 2 2 2 2 4" xfId="19077"/>
    <cellStyle name="集計 2 5 3 2 2 2 2 4 2" xfId="19078"/>
    <cellStyle name="集計 2 5 3 2 2 2 2 4 3" xfId="19079"/>
    <cellStyle name="集計 2 5 3 2 2 2 2 5" xfId="19080"/>
    <cellStyle name="集計 2 5 3 2 2 2 2 6" xfId="19081"/>
    <cellStyle name="集計 2 5 3 2 2 2 3" xfId="19082"/>
    <cellStyle name="集計 2 5 3 2 2 2 3 2" xfId="19083"/>
    <cellStyle name="集計 2 5 3 2 2 2 3 3" xfId="19084"/>
    <cellStyle name="集計 2 5 3 2 2 2 4" xfId="19085"/>
    <cellStyle name="集計 2 5 3 2 2 2 4 2" xfId="19086"/>
    <cellStyle name="集計 2 5 3 2 2 2 4 3" xfId="19087"/>
    <cellStyle name="集計 2 5 3 2 2 2 5" xfId="19088"/>
    <cellStyle name="集計 2 5 3 2 2 2 5 2" xfId="19089"/>
    <cellStyle name="集計 2 5 3 2 2 2 5 3" xfId="19090"/>
    <cellStyle name="集計 2 5 3 2 2 2 6" xfId="19091"/>
    <cellStyle name="集計 2 5 3 2 2 2 7" xfId="19092"/>
    <cellStyle name="集計 2 5 3 2 2 3" xfId="19093"/>
    <cellStyle name="集計 2 5 3 2 2 3 2" xfId="19094"/>
    <cellStyle name="集計 2 5 3 2 2 3 2 2" xfId="19095"/>
    <cellStyle name="集計 2 5 3 2 2 3 2 2 2" xfId="19096"/>
    <cellStyle name="集計 2 5 3 2 2 3 2 2 3" xfId="19097"/>
    <cellStyle name="集計 2 5 3 2 2 3 2 3" xfId="19098"/>
    <cellStyle name="集計 2 5 3 2 2 3 2 3 2" xfId="19099"/>
    <cellStyle name="集計 2 5 3 2 2 3 2 3 3" xfId="19100"/>
    <cellStyle name="集計 2 5 3 2 2 3 2 4" xfId="19101"/>
    <cellStyle name="集計 2 5 3 2 2 3 2 4 2" xfId="19102"/>
    <cellStyle name="集計 2 5 3 2 2 3 2 4 3" xfId="19103"/>
    <cellStyle name="集計 2 5 3 2 2 3 2 5" xfId="19104"/>
    <cellStyle name="集計 2 5 3 2 2 3 2 6" xfId="19105"/>
    <cellStyle name="集計 2 5 3 2 2 3 3" xfId="19106"/>
    <cellStyle name="集計 2 5 3 2 2 3 3 2" xfId="19107"/>
    <cellStyle name="集計 2 5 3 2 2 3 3 3" xfId="19108"/>
    <cellStyle name="集計 2 5 3 2 2 3 4" xfId="19109"/>
    <cellStyle name="集計 2 5 3 2 2 3 4 2" xfId="19110"/>
    <cellStyle name="集計 2 5 3 2 2 3 4 3" xfId="19111"/>
    <cellStyle name="集計 2 5 3 2 2 3 5" xfId="19112"/>
    <cellStyle name="集計 2 5 3 2 2 3 5 2" xfId="19113"/>
    <cellStyle name="集計 2 5 3 2 2 3 5 3" xfId="19114"/>
    <cellStyle name="集計 2 5 3 2 2 3 6" xfId="19115"/>
    <cellStyle name="集計 2 5 3 2 2 3 7" xfId="19116"/>
    <cellStyle name="集計 2 5 3 2 2 4" xfId="19117"/>
    <cellStyle name="集計 2 5 3 2 2 4 2" xfId="19118"/>
    <cellStyle name="集計 2 5 3 2 2 4 2 2" xfId="19119"/>
    <cellStyle name="集計 2 5 3 2 2 4 2 3" xfId="19120"/>
    <cellStyle name="集計 2 5 3 2 2 4 3" xfId="19121"/>
    <cellStyle name="集計 2 5 3 2 2 4 3 2" xfId="19122"/>
    <cellStyle name="集計 2 5 3 2 2 4 3 3" xfId="19123"/>
    <cellStyle name="集計 2 5 3 2 2 4 4" xfId="19124"/>
    <cellStyle name="集計 2 5 3 2 2 4 4 2" xfId="19125"/>
    <cellStyle name="集計 2 5 3 2 2 4 4 3" xfId="19126"/>
    <cellStyle name="集計 2 5 3 2 2 4 5" xfId="19127"/>
    <cellStyle name="集計 2 5 3 2 2 4 6" xfId="19128"/>
    <cellStyle name="集計 2 5 3 2 2 5" xfId="19129"/>
    <cellStyle name="集計 2 5 3 2 2 5 2" xfId="19130"/>
    <cellStyle name="集計 2 5 3 2 2 5 3" xfId="19131"/>
    <cellStyle name="集計 2 5 3 2 2 6" xfId="19132"/>
    <cellStyle name="集計 2 5 3 2 2 6 2" xfId="19133"/>
    <cellStyle name="集計 2 5 3 2 2 6 3" xfId="19134"/>
    <cellStyle name="集計 2 5 3 2 2 7" xfId="19135"/>
    <cellStyle name="集計 2 5 3 2 2 7 2" xfId="19136"/>
    <cellStyle name="集計 2 5 3 2 2 7 3" xfId="19137"/>
    <cellStyle name="集計 2 5 3 2 2 8" xfId="19138"/>
    <cellStyle name="集計 2 5 3 2 2 9" xfId="19139"/>
    <cellStyle name="集計 2 5 3 2 3" xfId="19140"/>
    <cellStyle name="集計 2 5 3 2 3 2" xfId="19141"/>
    <cellStyle name="集計 2 5 3 2 3 2 2" xfId="19142"/>
    <cellStyle name="集計 2 5 3 2 3 2 2 2" xfId="19143"/>
    <cellStyle name="集計 2 5 3 2 3 2 2 3" xfId="19144"/>
    <cellStyle name="集計 2 5 3 2 3 2 3" xfId="19145"/>
    <cellStyle name="集計 2 5 3 2 3 2 3 2" xfId="19146"/>
    <cellStyle name="集計 2 5 3 2 3 2 3 3" xfId="19147"/>
    <cellStyle name="集計 2 5 3 2 3 2 4" xfId="19148"/>
    <cellStyle name="集計 2 5 3 2 3 2 4 2" xfId="19149"/>
    <cellStyle name="集計 2 5 3 2 3 2 4 3" xfId="19150"/>
    <cellStyle name="集計 2 5 3 2 3 2 5" xfId="19151"/>
    <cellStyle name="集計 2 5 3 2 3 2 6" xfId="19152"/>
    <cellStyle name="集計 2 5 3 2 3 3" xfId="19153"/>
    <cellStyle name="集計 2 5 3 2 3 3 2" xfId="19154"/>
    <cellStyle name="集計 2 5 3 2 3 3 3" xfId="19155"/>
    <cellStyle name="集計 2 5 3 2 3 4" xfId="19156"/>
    <cellStyle name="集計 2 5 3 2 3 4 2" xfId="19157"/>
    <cellStyle name="集計 2 5 3 2 3 4 3" xfId="19158"/>
    <cellStyle name="集計 2 5 3 2 3 5" xfId="19159"/>
    <cellStyle name="集計 2 5 3 2 3 5 2" xfId="19160"/>
    <cellStyle name="集計 2 5 3 2 3 5 3" xfId="19161"/>
    <cellStyle name="集計 2 5 3 2 3 6" xfId="19162"/>
    <cellStyle name="集計 2 5 3 2 3 7" xfId="19163"/>
    <cellStyle name="集計 2 5 3 2 4" xfId="19164"/>
    <cellStyle name="集計 2 5 3 2 4 2" xfId="19165"/>
    <cellStyle name="集計 2 5 3 2 4 2 2" xfId="19166"/>
    <cellStyle name="集計 2 5 3 2 4 2 2 2" xfId="19167"/>
    <cellStyle name="集計 2 5 3 2 4 2 2 3" xfId="19168"/>
    <cellStyle name="集計 2 5 3 2 4 2 3" xfId="19169"/>
    <cellStyle name="集計 2 5 3 2 4 2 3 2" xfId="19170"/>
    <cellStyle name="集計 2 5 3 2 4 2 3 3" xfId="19171"/>
    <cellStyle name="集計 2 5 3 2 4 2 4" xfId="19172"/>
    <cellStyle name="集計 2 5 3 2 4 2 4 2" xfId="19173"/>
    <cellStyle name="集計 2 5 3 2 4 2 4 3" xfId="19174"/>
    <cellStyle name="集計 2 5 3 2 4 2 5" xfId="19175"/>
    <cellStyle name="集計 2 5 3 2 4 2 6" xfId="19176"/>
    <cellStyle name="集計 2 5 3 2 4 3" xfId="19177"/>
    <cellStyle name="集計 2 5 3 2 4 3 2" xfId="19178"/>
    <cellStyle name="集計 2 5 3 2 4 3 3" xfId="19179"/>
    <cellStyle name="集計 2 5 3 2 4 4" xfId="19180"/>
    <cellStyle name="集計 2 5 3 2 4 4 2" xfId="19181"/>
    <cellStyle name="集計 2 5 3 2 4 4 3" xfId="19182"/>
    <cellStyle name="集計 2 5 3 2 4 5" xfId="19183"/>
    <cellStyle name="集計 2 5 3 2 4 5 2" xfId="19184"/>
    <cellStyle name="集計 2 5 3 2 4 5 3" xfId="19185"/>
    <cellStyle name="集計 2 5 3 2 4 6" xfId="19186"/>
    <cellStyle name="集計 2 5 3 2 4 7" xfId="19187"/>
    <cellStyle name="集計 2 5 3 2 5" xfId="19188"/>
    <cellStyle name="集計 2 5 3 2 5 2" xfId="19189"/>
    <cellStyle name="集計 2 5 3 2 5 2 2" xfId="19190"/>
    <cellStyle name="集計 2 5 3 2 5 2 3" xfId="19191"/>
    <cellStyle name="集計 2 5 3 2 5 3" xfId="19192"/>
    <cellStyle name="集計 2 5 3 2 5 3 2" xfId="19193"/>
    <cellStyle name="集計 2 5 3 2 5 3 3" xfId="19194"/>
    <cellStyle name="集計 2 5 3 2 5 4" xfId="19195"/>
    <cellStyle name="集計 2 5 3 2 5 4 2" xfId="19196"/>
    <cellStyle name="集計 2 5 3 2 5 4 3" xfId="19197"/>
    <cellStyle name="集計 2 5 3 2 5 5" xfId="19198"/>
    <cellStyle name="集計 2 5 3 2 5 6" xfId="19199"/>
    <cellStyle name="集計 2 5 3 2 6" xfId="19200"/>
    <cellStyle name="集計 2 5 3 2 6 2" xfId="19201"/>
    <cellStyle name="集計 2 5 3 2 6 3" xfId="19202"/>
    <cellStyle name="集計 2 5 3 2 7" xfId="19203"/>
    <cellStyle name="集計 2 5 3 2 7 2" xfId="19204"/>
    <cellStyle name="集計 2 5 3 2 7 3" xfId="19205"/>
    <cellStyle name="集計 2 5 3 2 8" xfId="19206"/>
    <cellStyle name="集計 2 5 3 2 8 2" xfId="19207"/>
    <cellStyle name="集計 2 5 3 2 8 3" xfId="19208"/>
    <cellStyle name="集計 2 5 3 2 9" xfId="19209"/>
    <cellStyle name="集計 2 5 3 3" xfId="19210"/>
    <cellStyle name="集計 2 5 3 3 2" xfId="19211"/>
    <cellStyle name="集計 2 5 3 3 2 2" xfId="19212"/>
    <cellStyle name="集計 2 5 3 3 2 2 2" xfId="19213"/>
    <cellStyle name="集計 2 5 3 3 2 2 3" xfId="19214"/>
    <cellStyle name="集計 2 5 3 3 2 3" xfId="19215"/>
    <cellStyle name="集計 2 5 3 3 2 3 2" xfId="19216"/>
    <cellStyle name="集計 2 5 3 3 2 3 3" xfId="19217"/>
    <cellStyle name="集計 2 5 3 3 2 4" xfId="19218"/>
    <cellStyle name="集計 2 5 3 3 2 4 2" xfId="19219"/>
    <cellStyle name="集計 2 5 3 3 2 4 3" xfId="19220"/>
    <cellStyle name="集計 2 5 3 3 2 5" xfId="19221"/>
    <cellStyle name="集計 2 5 3 3 2 6" xfId="19222"/>
    <cellStyle name="集計 2 5 3 3 3" xfId="19223"/>
    <cellStyle name="集計 2 5 3 3 3 2" xfId="19224"/>
    <cellStyle name="集計 2 5 3 3 3 3" xfId="19225"/>
    <cellStyle name="集計 2 5 3 3 4" xfId="19226"/>
    <cellStyle name="集計 2 5 3 3 4 2" xfId="19227"/>
    <cellStyle name="集計 2 5 3 3 4 3" xfId="19228"/>
    <cellStyle name="集計 2 5 3 3 5" xfId="19229"/>
    <cellStyle name="集計 2 5 3 3 5 2" xfId="19230"/>
    <cellStyle name="集計 2 5 3 3 5 3" xfId="19231"/>
    <cellStyle name="集計 2 5 3 3 6" xfId="19232"/>
    <cellStyle name="集計 2 5 3 3 7" xfId="19233"/>
    <cellStyle name="集計 2 5 3 4" xfId="19234"/>
    <cellStyle name="集計 2 5 3 4 2" xfId="19235"/>
    <cellStyle name="集計 2 5 3 4 2 2" xfId="19236"/>
    <cellStyle name="集計 2 5 3 4 2 2 2" xfId="19237"/>
    <cellStyle name="集計 2 5 3 4 2 2 3" xfId="19238"/>
    <cellStyle name="集計 2 5 3 4 2 3" xfId="19239"/>
    <cellStyle name="集計 2 5 3 4 2 3 2" xfId="19240"/>
    <cellStyle name="集計 2 5 3 4 2 3 3" xfId="19241"/>
    <cellStyle name="集計 2 5 3 4 2 4" xfId="19242"/>
    <cellStyle name="集計 2 5 3 4 2 4 2" xfId="19243"/>
    <cellStyle name="集計 2 5 3 4 2 4 3" xfId="19244"/>
    <cellStyle name="集計 2 5 3 4 2 5" xfId="19245"/>
    <cellStyle name="集計 2 5 3 4 2 6" xfId="19246"/>
    <cellStyle name="集計 2 5 3 4 3" xfId="19247"/>
    <cellStyle name="集計 2 5 3 4 3 2" xfId="19248"/>
    <cellStyle name="集計 2 5 3 4 3 3" xfId="19249"/>
    <cellStyle name="集計 2 5 3 4 4" xfId="19250"/>
    <cellStyle name="集計 2 5 3 4 4 2" xfId="19251"/>
    <cellStyle name="集計 2 5 3 4 4 3" xfId="19252"/>
    <cellStyle name="集計 2 5 3 4 5" xfId="19253"/>
    <cellStyle name="集計 2 5 3 4 5 2" xfId="19254"/>
    <cellStyle name="集計 2 5 3 4 5 3" xfId="19255"/>
    <cellStyle name="集計 2 5 3 4 6" xfId="19256"/>
    <cellStyle name="集計 2 5 3 4 7" xfId="19257"/>
    <cellStyle name="集計 2 5 3 5" xfId="19258"/>
    <cellStyle name="集計 2 5 3 5 2" xfId="19259"/>
    <cellStyle name="集計 2 5 3 5 2 2" xfId="19260"/>
    <cellStyle name="集計 2 5 3 5 2 3" xfId="19261"/>
    <cellStyle name="集計 2 5 3 5 3" xfId="19262"/>
    <cellStyle name="集計 2 5 3 5 3 2" xfId="19263"/>
    <cellStyle name="集計 2 5 3 5 3 3" xfId="19264"/>
    <cellStyle name="集計 2 5 3 5 4" xfId="19265"/>
    <cellStyle name="集計 2 5 3 5 4 2" xfId="19266"/>
    <cellStyle name="集計 2 5 3 5 4 3" xfId="19267"/>
    <cellStyle name="集計 2 5 3 5 5" xfId="19268"/>
    <cellStyle name="集計 2 5 3 5 6" xfId="19269"/>
    <cellStyle name="集計 2 5 3 6" xfId="19270"/>
    <cellStyle name="集計 2 5 3 6 2" xfId="19271"/>
    <cellStyle name="集計 2 5 3 6 3" xfId="19272"/>
    <cellStyle name="集計 2 5 3 7" xfId="19273"/>
    <cellStyle name="集計 2 5 3 7 2" xfId="19274"/>
    <cellStyle name="集計 2 5 3 7 3" xfId="19275"/>
    <cellStyle name="集計 2 5 3 8" xfId="19276"/>
    <cellStyle name="集計 2 5 3 8 2" xfId="19277"/>
    <cellStyle name="集計 2 5 3 8 3" xfId="19278"/>
    <cellStyle name="集計 2 5 3 9" xfId="19279"/>
    <cellStyle name="集計 2 5 4" xfId="19280"/>
    <cellStyle name="集計 2 5 4 10" xfId="19281"/>
    <cellStyle name="集計 2 5 4 2" xfId="19282"/>
    <cellStyle name="集計 2 5 4 2 10" xfId="19283"/>
    <cellStyle name="集計 2 5 4 2 2" xfId="19284"/>
    <cellStyle name="集計 2 5 4 2 2 2" xfId="19285"/>
    <cellStyle name="集計 2 5 4 2 2 2 2" xfId="19286"/>
    <cellStyle name="集計 2 5 4 2 2 2 2 2" xfId="19287"/>
    <cellStyle name="集計 2 5 4 2 2 2 2 2 2" xfId="19288"/>
    <cellStyle name="集計 2 5 4 2 2 2 2 2 3" xfId="19289"/>
    <cellStyle name="集計 2 5 4 2 2 2 2 3" xfId="19290"/>
    <cellStyle name="集計 2 5 4 2 2 2 2 3 2" xfId="19291"/>
    <cellStyle name="集計 2 5 4 2 2 2 2 3 3" xfId="19292"/>
    <cellStyle name="集計 2 5 4 2 2 2 2 4" xfId="19293"/>
    <cellStyle name="集計 2 5 4 2 2 2 2 4 2" xfId="19294"/>
    <cellStyle name="集計 2 5 4 2 2 2 2 4 3" xfId="19295"/>
    <cellStyle name="集計 2 5 4 2 2 2 2 5" xfId="19296"/>
    <cellStyle name="集計 2 5 4 2 2 2 2 6" xfId="19297"/>
    <cellStyle name="集計 2 5 4 2 2 2 3" xfId="19298"/>
    <cellStyle name="集計 2 5 4 2 2 2 3 2" xfId="19299"/>
    <cellStyle name="集計 2 5 4 2 2 2 3 3" xfId="19300"/>
    <cellStyle name="集計 2 5 4 2 2 2 4" xfId="19301"/>
    <cellStyle name="集計 2 5 4 2 2 2 4 2" xfId="19302"/>
    <cellStyle name="集計 2 5 4 2 2 2 4 3" xfId="19303"/>
    <cellStyle name="集計 2 5 4 2 2 2 5" xfId="19304"/>
    <cellStyle name="集計 2 5 4 2 2 2 5 2" xfId="19305"/>
    <cellStyle name="集計 2 5 4 2 2 2 5 3" xfId="19306"/>
    <cellStyle name="集計 2 5 4 2 2 2 6" xfId="19307"/>
    <cellStyle name="集計 2 5 4 2 2 2 7" xfId="19308"/>
    <cellStyle name="集計 2 5 4 2 2 3" xfId="19309"/>
    <cellStyle name="集計 2 5 4 2 2 3 2" xfId="19310"/>
    <cellStyle name="集計 2 5 4 2 2 3 2 2" xfId="19311"/>
    <cellStyle name="集計 2 5 4 2 2 3 2 2 2" xfId="19312"/>
    <cellStyle name="集計 2 5 4 2 2 3 2 2 3" xfId="19313"/>
    <cellStyle name="集計 2 5 4 2 2 3 2 3" xfId="19314"/>
    <cellStyle name="集計 2 5 4 2 2 3 2 3 2" xfId="19315"/>
    <cellStyle name="集計 2 5 4 2 2 3 2 3 3" xfId="19316"/>
    <cellStyle name="集計 2 5 4 2 2 3 2 4" xfId="19317"/>
    <cellStyle name="集計 2 5 4 2 2 3 2 4 2" xfId="19318"/>
    <cellStyle name="集計 2 5 4 2 2 3 2 4 3" xfId="19319"/>
    <cellStyle name="集計 2 5 4 2 2 3 2 5" xfId="19320"/>
    <cellStyle name="集計 2 5 4 2 2 3 2 6" xfId="19321"/>
    <cellStyle name="集計 2 5 4 2 2 3 3" xfId="19322"/>
    <cellStyle name="集計 2 5 4 2 2 3 3 2" xfId="19323"/>
    <cellStyle name="集計 2 5 4 2 2 3 3 3" xfId="19324"/>
    <cellStyle name="集計 2 5 4 2 2 3 4" xfId="19325"/>
    <cellStyle name="集計 2 5 4 2 2 3 4 2" xfId="19326"/>
    <cellStyle name="集計 2 5 4 2 2 3 4 3" xfId="19327"/>
    <cellStyle name="集計 2 5 4 2 2 3 5" xfId="19328"/>
    <cellStyle name="集計 2 5 4 2 2 3 5 2" xfId="19329"/>
    <cellStyle name="集計 2 5 4 2 2 3 5 3" xfId="19330"/>
    <cellStyle name="集計 2 5 4 2 2 3 6" xfId="19331"/>
    <cellStyle name="集計 2 5 4 2 2 3 7" xfId="19332"/>
    <cellStyle name="集計 2 5 4 2 2 4" xfId="19333"/>
    <cellStyle name="集計 2 5 4 2 2 4 2" xfId="19334"/>
    <cellStyle name="集計 2 5 4 2 2 4 2 2" xfId="19335"/>
    <cellStyle name="集計 2 5 4 2 2 4 2 3" xfId="19336"/>
    <cellStyle name="集計 2 5 4 2 2 4 3" xfId="19337"/>
    <cellStyle name="集計 2 5 4 2 2 4 3 2" xfId="19338"/>
    <cellStyle name="集計 2 5 4 2 2 4 3 3" xfId="19339"/>
    <cellStyle name="集計 2 5 4 2 2 4 4" xfId="19340"/>
    <cellStyle name="集計 2 5 4 2 2 4 4 2" xfId="19341"/>
    <cellStyle name="集計 2 5 4 2 2 4 4 3" xfId="19342"/>
    <cellStyle name="集計 2 5 4 2 2 4 5" xfId="19343"/>
    <cellStyle name="集計 2 5 4 2 2 4 6" xfId="19344"/>
    <cellStyle name="集計 2 5 4 2 2 5" xfId="19345"/>
    <cellStyle name="集計 2 5 4 2 2 5 2" xfId="19346"/>
    <cellStyle name="集計 2 5 4 2 2 5 3" xfId="19347"/>
    <cellStyle name="集計 2 5 4 2 2 6" xfId="19348"/>
    <cellStyle name="集計 2 5 4 2 2 6 2" xfId="19349"/>
    <cellStyle name="集計 2 5 4 2 2 6 3" xfId="19350"/>
    <cellStyle name="集計 2 5 4 2 2 7" xfId="19351"/>
    <cellStyle name="集計 2 5 4 2 2 7 2" xfId="19352"/>
    <cellStyle name="集計 2 5 4 2 2 7 3" xfId="19353"/>
    <cellStyle name="集計 2 5 4 2 2 8" xfId="19354"/>
    <cellStyle name="集計 2 5 4 2 2 9" xfId="19355"/>
    <cellStyle name="集計 2 5 4 2 3" xfId="19356"/>
    <cellStyle name="集計 2 5 4 2 3 2" xfId="19357"/>
    <cellStyle name="集計 2 5 4 2 3 2 2" xfId="19358"/>
    <cellStyle name="集計 2 5 4 2 3 2 2 2" xfId="19359"/>
    <cellStyle name="集計 2 5 4 2 3 2 2 3" xfId="19360"/>
    <cellStyle name="集計 2 5 4 2 3 2 3" xfId="19361"/>
    <cellStyle name="集計 2 5 4 2 3 2 3 2" xfId="19362"/>
    <cellStyle name="集計 2 5 4 2 3 2 3 3" xfId="19363"/>
    <cellStyle name="集計 2 5 4 2 3 2 4" xfId="19364"/>
    <cellStyle name="集計 2 5 4 2 3 2 4 2" xfId="19365"/>
    <cellStyle name="集計 2 5 4 2 3 2 4 3" xfId="19366"/>
    <cellStyle name="集計 2 5 4 2 3 2 5" xfId="19367"/>
    <cellStyle name="集計 2 5 4 2 3 2 6" xfId="19368"/>
    <cellStyle name="集計 2 5 4 2 3 3" xfId="19369"/>
    <cellStyle name="集計 2 5 4 2 3 3 2" xfId="19370"/>
    <cellStyle name="集計 2 5 4 2 3 3 3" xfId="19371"/>
    <cellStyle name="集計 2 5 4 2 3 4" xfId="19372"/>
    <cellStyle name="集計 2 5 4 2 3 4 2" xfId="19373"/>
    <cellStyle name="集計 2 5 4 2 3 4 3" xfId="19374"/>
    <cellStyle name="集計 2 5 4 2 3 5" xfId="19375"/>
    <cellStyle name="集計 2 5 4 2 3 5 2" xfId="19376"/>
    <cellStyle name="集計 2 5 4 2 3 5 3" xfId="19377"/>
    <cellStyle name="集計 2 5 4 2 3 6" xfId="19378"/>
    <cellStyle name="集計 2 5 4 2 3 7" xfId="19379"/>
    <cellStyle name="集計 2 5 4 2 4" xfId="19380"/>
    <cellStyle name="集計 2 5 4 2 4 2" xfId="19381"/>
    <cellStyle name="集計 2 5 4 2 4 2 2" xfId="19382"/>
    <cellStyle name="集計 2 5 4 2 4 2 2 2" xfId="19383"/>
    <cellStyle name="集計 2 5 4 2 4 2 2 3" xfId="19384"/>
    <cellStyle name="集計 2 5 4 2 4 2 3" xfId="19385"/>
    <cellStyle name="集計 2 5 4 2 4 2 3 2" xfId="19386"/>
    <cellStyle name="集計 2 5 4 2 4 2 3 3" xfId="19387"/>
    <cellStyle name="集計 2 5 4 2 4 2 4" xfId="19388"/>
    <cellStyle name="集計 2 5 4 2 4 2 4 2" xfId="19389"/>
    <cellStyle name="集計 2 5 4 2 4 2 4 3" xfId="19390"/>
    <cellStyle name="集計 2 5 4 2 4 2 5" xfId="19391"/>
    <cellStyle name="集計 2 5 4 2 4 2 6" xfId="19392"/>
    <cellStyle name="集計 2 5 4 2 4 3" xfId="19393"/>
    <cellStyle name="集計 2 5 4 2 4 3 2" xfId="19394"/>
    <cellStyle name="集計 2 5 4 2 4 3 3" xfId="19395"/>
    <cellStyle name="集計 2 5 4 2 4 4" xfId="19396"/>
    <cellStyle name="集計 2 5 4 2 4 4 2" xfId="19397"/>
    <cellStyle name="集計 2 5 4 2 4 4 3" xfId="19398"/>
    <cellStyle name="集計 2 5 4 2 4 5" xfId="19399"/>
    <cellStyle name="集計 2 5 4 2 4 5 2" xfId="19400"/>
    <cellStyle name="集計 2 5 4 2 4 5 3" xfId="19401"/>
    <cellStyle name="集計 2 5 4 2 4 6" xfId="19402"/>
    <cellStyle name="集計 2 5 4 2 4 7" xfId="19403"/>
    <cellStyle name="集計 2 5 4 2 5" xfId="19404"/>
    <cellStyle name="集計 2 5 4 2 5 2" xfId="19405"/>
    <cellStyle name="集計 2 5 4 2 5 2 2" xfId="19406"/>
    <cellStyle name="集計 2 5 4 2 5 2 3" xfId="19407"/>
    <cellStyle name="集計 2 5 4 2 5 3" xfId="19408"/>
    <cellStyle name="集計 2 5 4 2 5 3 2" xfId="19409"/>
    <cellStyle name="集計 2 5 4 2 5 3 3" xfId="19410"/>
    <cellStyle name="集計 2 5 4 2 5 4" xfId="19411"/>
    <cellStyle name="集計 2 5 4 2 5 4 2" xfId="19412"/>
    <cellStyle name="集計 2 5 4 2 5 4 3" xfId="19413"/>
    <cellStyle name="集計 2 5 4 2 5 5" xfId="19414"/>
    <cellStyle name="集計 2 5 4 2 5 6" xfId="19415"/>
    <cellStyle name="集計 2 5 4 2 6" xfId="19416"/>
    <cellStyle name="集計 2 5 4 2 6 2" xfId="19417"/>
    <cellStyle name="集計 2 5 4 2 6 3" xfId="19418"/>
    <cellStyle name="集計 2 5 4 2 7" xfId="19419"/>
    <cellStyle name="集計 2 5 4 2 7 2" xfId="19420"/>
    <cellStyle name="集計 2 5 4 2 7 3" xfId="19421"/>
    <cellStyle name="集計 2 5 4 2 8" xfId="19422"/>
    <cellStyle name="集計 2 5 4 2 8 2" xfId="19423"/>
    <cellStyle name="集計 2 5 4 2 8 3" xfId="19424"/>
    <cellStyle name="集計 2 5 4 2 9" xfId="19425"/>
    <cellStyle name="集計 2 5 4 3" xfId="19426"/>
    <cellStyle name="集計 2 5 4 3 2" xfId="19427"/>
    <cellStyle name="集計 2 5 4 3 2 2" xfId="19428"/>
    <cellStyle name="集計 2 5 4 3 2 2 2" xfId="19429"/>
    <cellStyle name="集計 2 5 4 3 2 2 3" xfId="19430"/>
    <cellStyle name="集計 2 5 4 3 2 3" xfId="19431"/>
    <cellStyle name="集計 2 5 4 3 2 3 2" xfId="19432"/>
    <cellStyle name="集計 2 5 4 3 2 3 3" xfId="19433"/>
    <cellStyle name="集計 2 5 4 3 2 4" xfId="19434"/>
    <cellStyle name="集計 2 5 4 3 2 4 2" xfId="19435"/>
    <cellStyle name="集計 2 5 4 3 2 4 3" xfId="19436"/>
    <cellStyle name="集計 2 5 4 3 2 5" xfId="19437"/>
    <cellStyle name="集計 2 5 4 3 2 6" xfId="19438"/>
    <cellStyle name="集計 2 5 4 3 3" xfId="19439"/>
    <cellStyle name="集計 2 5 4 3 3 2" xfId="19440"/>
    <cellStyle name="集計 2 5 4 3 3 3" xfId="19441"/>
    <cellStyle name="集計 2 5 4 3 4" xfId="19442"/>
    <cellStyle name="集計 2 5 4 3 4 2" xfId="19443"/>
    <cellStyle name="集計 2 5 4 3 4 3" xfId="19444"/>
    <cellStyle name="集計 2 5 4 3 5" xfId="19445"/>
    <cellStyle name="集計 2 5 4 3 5 2" xfId="19446"/>
    <cellStyle name="集計 2 5 4 3 5 3" xfId="19447"/>
    <cellStyle name="集計 2 5 4 3 6" xfId="19448"/>
    <cellStyle name="集計 2 5 4 3 7" xfId="19449"/>
    <cellStyle name="集計 2 5 4 4" xfId="19450"/>
    <cellStyle name="集計 2 5 4 4 2" xfId="19451"/>
    <cellStyle name="集計 2 5 4 4 2 2" xfId="19452"/>
    <cellStyle name="集計 2 5 4 4 2 2 2" xfId="19453"/>
    <cellStyle name="集計 2 5 4 4 2 2 3" xfId="19454"/>
    <cellStyle name="集計 2 5 4 4 2 3" xfId="19455"/>
    <cellStyle name="集計 2 5 4 4 2 3 2" xfId="19456"/>
    <cellStyle name="集計 2 5 4 4 2 3 3" xfId="19457"/>
    <cellStyle name="集計 2 5 4 4 2 4" xfId="19458"/>
    <cellStyle name="集計 2 5 4 4 2 4 2" xfId="19459"/>
    <cellStyle name="集計 2 5 4 4 2 4 3" xfId="19460"/>
    <cellStyle name="集計 2 5 4 4 2 5" xfId="19461"/>
    <cellStyle name="集計 2 5 4 4 2 6" xfId="19462"/>
    <cellStyle name="集計 2 5 4 4 3" xfId="19463"/>
    <cellStyle name="集計 2 5 4 4 3 2" xfId="19464"/>
    <cellStyle name="集計 2 5 4 4 3 3" xfId="19465"/>
    <cellStyle name="集計 2 5 4 4 4" xfId="19466"/>
    <cellStyle name="集計 2 5 4 4 4 2" xfId="19467"/>
    <cellStyle name="集計 2 5 4 4 4 3" xfId="19468"/>
    <cellStyle name="集計 2 5 4 4 5" xfId="19469"/>
    <cellStyle name="集計 2 5 4 4 5 2" xfId="19470"/>
    <cellStyle name="集計 2 5 4 4 5 3" xfId="19471"/>
    <cellStyle name="集計 2 5 4 4 6" xfId="19472"/>
    <cellStyle name="集計 2 5 4 4 7" xfId="19473"/>
    <cellStyle name="集計 2 5 4 5" xfId="19474"/>
    <cellStyle name="集計 2 5 4 5 2" xfId="19475"/>
    <cellStyle name="集計 2 5 4 5 2 2" xfId="19476"/>
    <cellStyle name="集計 2 5 4 5 2 3" xfId="19477"/>
    <cellStyle name="集計 2 5 4 5 3" xfId="19478"/>
    <cellStyle name="集計 2 5 4 5 3 2" xfId="19479"/>
    <cellStyle name="集計 2 5 4 5 3 3" xfId="19480"/>
    <cellStyle name="集計 2 5 4 5 4" xfId="19481"/>
    <cellStyle name="集計 2 5 4 5 4 2" xfId="19482"/>
    <cellStyle name="集計 2 5 4 5 4 3" xfId="19483"/>
    <cellStyle name="集計 2 5 4 5 5" xfId="19484"/>
    <cellStyle name="集計 2 5 4 5 6" xfId="19485"/>
    <cellStyle name="集計 2 5 4 6" xfId="19486"/>
    <cellStyle name="集計 2 5 4 6 2" xfId="19487"/>
    <cellStyle name="集計 2 5 4 6 3" xfId="19488"/>
    <cellStyle name="集計 2 5 4 7" xfId="19489"/>
    <cellStyle name="集計 2 5 4 7 2" xfId="19490"/>
    <cellStyle name="集計 2 5 4 7 3" xfId="19491"/>
    <cellStyle name="集計 2 5 4 8" xfId="19492"/>
    <cellStyle name="集計 2 5 4 8 2" xfId="19493"/>
    <cellStyle name="集計 2 5 4 8 3" xfId="19494"/>
    <cellStyle name="集計 2 5 4 9" xfId="19495"/>
    <cellStyle name="集計 2 5 5" xfId="19496"/>
    <cellStyle name="集計 2 5 5 10" xfId="19497"/>
    <cellStyle name="集計 2 5 5 2" xfId="19498"/>
    <cellStyle name="集計 2 5 5 2 2" xfId="19499"/>
    <cellStyle name="集計 2 5 5 2 2 2" xfId="19500"/>
    <cellStyle name="集計 2 5 5 2 2 2 2" xfId="19501"/>
    <cellStyle name="集計 2 5 5 2 2 2 2 2" xfId="19502"/>
    <cellStyle name="集計 2 5 5 2 2 2 2 3" xfId="19503"/>
    <cellStyle name="集計 2 5 5 2 2 2 3" xfId="19504"/>
    <cellStyle name="集計 2 5 5 2 2 2 3 2" xfId="19505"/>
    <cellStyle name="集計 2 5 5 2 2 2 3 3" xfId="19506"/>
    <cellStyle name="集計 2 5 5 2 2 2 4" xfId="19507"/>
    <cellStyle name="集計 2 5 5 2 2 2 4 2" xfId="19508"/>
    <cellStyle name="集計 2 5 5 2 2 2 4 3" xfId="19509"/>
    <cellStyle name="集計 2 5 5 2 2 2 5" xfId="19510"/>
    <cellStyle name="集計 2 5 5 2 2 2 6" xfId="19511"/>
    <cellStyle name="集計 2 5 5 2 2 3" xfId="19512"/>
    <cellStyle name="集計 2 5 5 2 2 3 2" xfId="19513"/>
    <cellStyle name="集計 2 5 5 2 2 3 3" xfId="19514"/>
    <cellStyle name="集計 2 5 5 2 2 4" xfId="19515"/>
    <cellStyle name="集計 2 5 5 2 2 4 2" xfId="19516"/>
    <cellStyle name="集計 2 5 5 2 2 4 3" xfId="19517"/>
    <cellStyle name="集計 2 5 5 2 2 5" xfId="19518"/>
    <cellStyle name="集計 2 5 5 2 2 5 2" xfId="19519"/>
    <cellStyle name="集計 2 5 5 2 2 5 3" xfId="19520"/>
    <cellStyle name="集計 2 5 5 2 2 6" xfId="19521"/>
    <cellStyle name="集計 2 5 5 2 2 7" xfId="19522"/>
    <cellStyle name="集計 2 5 5 2 3" xfId="19523"/>
    <cellStyle name="集計 2 5 5 2 3 2" xfId="19524"/>
    <cellStyle name="集計 2 5 5 2 3 2 2" xfId="19525"/>
    <cellStyle name="集計 2 5 5 2 3 2 2 2" xfId="19526"/>
    <cellStyle name="集計 2 5 5 2 3 2 2 3" xfId="19527"/>
    <cellStyle name="集計 2 5 5 2 3 2 3" xfId="19528"/>
    <cellStyle name="集計 2 5 5 2 3 2 3 2" xfId="19529"/>
    <cellStyle name="集計 2 5 5 2 3 2 3 3" xfId="19530"/>
    <cellStyle name="集計 2 5 5 2 3 2 4" xfId="19531"/>
    <cellStyle name="集計 2 5 5 2 3 2 4 2" xfId="19532"/>
    <cellStyle name="集計 2 5 5 2 3 2 4 3" xfId="19533"/>
    <cellStyle name="集計 2 5 5 2 3 2 5" xfId="19534"/>
    <cellStyle name="集計 2 5 5 2 3 2 6" xfId="19535"/>
    <cellStyle name="集計 2 5 5 2 3 3" xfId="19536"/>
    <cellStyle name="集計 2 5 5 2 3 3 2" xfId="19537"/>
    <cellStyle name="集計 2 5 5 2 3 3 3" xfId="19538"/>
    <cellStyle name="集計 2 5 5 2 3 4" xfId="19539"/>
    <cellStyle name="集計 2 5 5 2 3 4 2" xfId="19540"/>
    <cellStyle name="集計 2 5 5 2 3 4 3" xfId="19541"/>
    <cellStyle name="集計 2 5 5 2 3 5" xfId="19542"/>
    <cellStyle name="集計 2 5 5 2 3 5 2" xfId="19543"/>
    <cellStyle name="集計 2 5 5 2 3 5 3" xfId="19544"/>
    <cellStyle name="集計 2 5 5 2 3 6" xfId="19545"/>
    <cellStyle name="集計 2 5 5 2 3 7" xfId="19546"/>
    <cellStyle name="集計 2 5 5 2 4" xfId="19547"/>
    <cellStyle name="集計 2 5 5 2 4 2" xfId="19548"/>
    <cellStyle name="集計 2 5 5 2 4 2 2" xfId="19549"/>
    <cellStyle name="集計 2 5 5 2 4 2 3" xfId="19550"/>
    <cellStyle name="集計 2 5 5 2 4 3" xfId="19551"/>
    <cellStyle name="集計 2 5 5 2 4 3 2" xfId="19552"/>
    <cellStyle name="集計 2 5 5 2 4 3 3" xfId="19553"/>
    <cellStyle name="集計 2 5 5 2 4 4" xfId="19554"/>
    <cellStyle name="集計 2 5 5 2 4 4 2" xfId="19555"/>
    <cellStyle name="集計 2 5 5 2 4 4 3" xfId="19556"/>
    <cellStyle name="集計 2 5 5 2 4 5" xfId="19557"/>
    <cellStyle name="集計 2 5 5 2 4 6" xfId="19558"/>
    <cellStyle name="集計 2 5 5 2 5" xfId="19559"/>
    <cellStyle name="集計 2 5 5 2 5 2" xfId="19560"/>
    <cellStyle name="集計 2 5 5 2 5 3" xfId="19561"/>
    <cellStyle name="集計 2 5 5 2 6" xfId="19562"/>
    <cellStyle name="集計 2 5 5 2 6 2" xfId="19563"/>
    <cellStyle name="集計 2 5 5 2 6 3" xfId="19564"/>
    <cellStyle name="集計 2 5 5 2 7" xfId="19565"/>
    <cellStyle name="集計 2 5 5 2 7 2" xfId="19566"/>
    <cellStyle name="集計 2 5 5 2 7 3" xfId="19567"/>
    <cellStyle name="集計 2 5 5 2 8" xfId="19568"/>
    <cellStyle name="集計 2 5 5 2 9" xfId="19569"/>
    <cellStyle name="集計 2 5 5 3" xfId="19570"/>
    <cellStyle name="集計 2 5 5 3 2" xfId="19571"/>
    <cellStyle name="集計 2 5 5 3 2 2" xfId="19572"/>
    <cellStyle name="集計 2 5 5 3 2 2 2" xfId="19573"/>
    <cellStyle name="集計 2 5 5 3 2 2 3" xfId="19574"/>
    <cellStyle name="集計 2 5 5 3 2 3" xfId="19575"/>
    <cellStyle name="集計 2 5 5 3 2 3 2" xfId="19576"/>
    <cellStyle name="集計 2 5 5 3 2 3 3" xfId="19577"/>
    <cellStyle name="集計 2 5 5 3 2 4" xfId="19578"/>
    <cellStyle name="集計 2 5 5 3 2 4 2" xfId="19579"/>
    <cellStyle name="集計 2 5 5 3 2 4 3" xfId="19580"/>
    <cellStyle name="集計 2 5 5 3 2 5" xfId="19581"/>
    <cellStyle name="集計 2 5 5 3 2 6" xfId="19582"/>
    <cellStyle name="集計 2 5 5 3 3" xfId="19583"/>
    <cellStyle name="集計 2 5 5 3 3 2" xfId="19584"/>
    <cellStyle name="集計 2 5 5 3 3 3" xfId="19585"/>
    <cellStyle name="集計 2 5 5 3 4" xfId="19586"/>
    <cellStyle name="集計 2 5 5 3 4 2" xfId="19587"/>
    <cellStyle name="集計 2 5 5 3 4 3" xfId="19588"/>
    <cellStyle name="集計 2 5 5 3 5" xfId="19589"/>
    <cellStyle name="集計 2 5 5 3 5 2" xfId="19590"/>
    <cellStyle name="集計 2 5 5 3 5 3" xfId="19591"/>
    <cellStyle name="集計 2 5 5 3 6" xfId="19592"/>
    <cellStyle name="集計 2 5 5 3 7" xfId="19593"/>
    <cellStyle name="集計 2 5 5 4" xfId="19594"/>
    <cellStyle name="集計 2 5 5 4 2" xfId="19595"/>
    <cellStyle name="集計 2 5 5 4 2 2" xfId="19596"/>
    <cellStyle name="集計 2 5 5 4 2 2 2" xfId="19597"/>
    <cellStyle name="集計 2 5 5 4 2 2 3" xfId="19598"/>
    <cellStyle name="集計 2 5 5 4 2 3" xfId="19599"/>
    <cellStyle name="集計 2 5 5 4 2 3 2" xfId="19600"/>
    <cellStyle name="集計 2 5 5 4 2 3 3" xfId="19601"/>
    <cellStyle name="集計 2 5 5 4 2 4" xfId="19602"/>
    <cellStyle name="集計 2 5 5 4 2 4 2" xfId="19603"/>
    <cellStyle name="集計 2 5 5 4 2 4 3" xfId="19604"/>
    <cellStyle name="集計 2 5 5 4 2 5" xfId="19605"/>
    <cellStyle name="集計 2 5 5 4 2 6" xfId="19606"/>
    <cellStyle name="集計 2 5 5 4 3" xfId="19607"/>
    <cellStyle name="集計 2 5 5 4 3 2" xfId="19608"/>
    <cellStyle name="集計 2 5 5 4 3 3" xfId="19609"/>
    <cellStyle name="集計 2 5 5 4 4" xfId="19610"/>
    <cellStyle name="集計 2 5 5 4 4 2" xfId="19611"/>
    <cellStyle name="集計 2 5 5 4 4 3" xfId="19612"/>
    <cellStyle name="集計 2 5 5 4 5" xfId="19613"/>
    <cellStyle name="集計 2 5 5 4 5 2" xfId="19614"/>
    <cellStyle name="集計 2 5 5 4 5 3" xfId="19615"/>
    <cellStyle name="集計 2 5 5 4 6" xfId="19616"/>
    <cellStyle name="集計 2 5 5 4 7" xfId="19617"/>
    <cellStyle name="集計 2 5 5 5" xfId="19618"/>
    <cellStyle name="集計 2 5 5 5 2" xfId="19619"/>
    <cellStyle name="集計 2 5 5 5 2 2" xfId="19620"/>
    <cellStyle name="集計 2 5 5 5 2 3" xfId="19621"/>
    <cellStyle name="集計 2 5 5 5 3" xfId="19622"/>
    <cellStyle name="集計 2 5 5 5 3 2" xfId="19623"/>
    <cellStyle name="集計 2 5 5 5 3 3" xfId="19624"/>
    <cellStyle name="集計 2 5 5 5 4" xfId="19625"/>
    <cellStyle name="集計 2 5 5 5 4 2" xfId="19626"/>
    <cellStyle name="集計 2 5 5 5 4 3" xfId="19627"/>
    <cellStyle name="集計 2 5 5 5 5" xfId="19628"/>
    <cellStyle name="集計 2 5 5 5 6" xfId="19629"/>
    <cellStyle name="集計 2 5 5 6" xfId="19630"/>
    <cellStyle name="集計 2 5 5 6 2" xfId="19631"/>
    <cellStyle name="集計 2 5 5 6 3" xfId="19632"/>
    <cellStyle name="集計 2 5 5 7" xfId="19633"/>
    <cellStyle name="集計 2 5 5 7 2" xfId="19634"/>
    <cellStyle name="集計 2 5 5 7 3" xfId="19635"/>
    <cellStyle name="集計 2 5 5 8" xfId="19636"/>
    <cellStyle name="集計 2 5 5 8 2" xfId="19637"/>
    <cellStyle name="集計 2 5 5 8 3" xfId="19638"/>
    <cellStyle name="集計 2 5 5 9" xfId="19639"/>
    <cellStyle name="集計 2 5 6" xfId="19640"/>
    <cellStyle name="集計 2 5 6 10" xfId="19641"/>
    <cellStyle name="集計 2 5 6 2" xfId="19642"/>
    <cellStyle name="集計 2 5 6 2 2" xfId="19643"/>
    <cellStyle name="集計 2 5 6 2 2 2" xfId="19644"/>
    <cellStyle name="集計 2 5 6 2 2 2 2" xfId="19645"/>
    <cellStyle name="集計 2 5 6 2 2 2 2 2" xfId="19646"/>
    <cellStyle name="集計 2 5 6 2 2 2 2 3" xfId="19647"/>
    <cellStyle name="集計 2 5 6 2 2 2 3" xfId="19648"/>
    <cellStyle name="集計 2 5 6 2 2 2 3 2" xfId="19649"/>
    <cellStyle name="集計 2 5 6 2 2 2 3 3" xfId="19650"/>
    <cellStyle name="集計 2 5 6 2 2 2 4" xfId="19651"/>
    <cellStyle name="集計 2 5 6 2 2 2 4 2" xfId="19652"/>
    <cellStyle name="集計 2 5 6 2 2 2 4 3" xfId="19653"/>
    <cellStyle name="集計 2 5 6 2 2 2 5" xfId="19654"/>
    <cellStyle name="集計 2 5 6 2 2 2 6" xfId="19655"/>
    <cellStyle name="集計 2 5 6 2 2 3" xfId="19656"/>
    <cellStyle name="集計 2 5 6 2 2 3 2" xfId="19657"/>
    <cellStyle name="集計 2 5 6 2 2 3 3" xfId="19658"/>
    <cellStyle name="集計 2 5 6 2 2 4" xfId="19659"/>
    <cellStyle name="集計 2 5 6 2 2 4 2" xfId="19660"/>
    <cellStyle name="集計 2 5 6 2 2 4 3" xfId="19661"/>
    <cellStyle name="集計 2 5 6 2 2 5" xfId="19662"/>
    <cellStyle name="集計 2 5 6 2 2 5 2" xfId="19663"/>
    <cellStyle name="集計 2 5 6 2 2 5 3" xfId="19664"/>
    <cellStyle name="集計 2 5 6 2 2 6" xfId="19665"/>
    <cellStyle name="集計 2 5 6 2 2 7" xfId="19666"/>
    <cellStyle name="集計 2 5 6 2 3" xfId="19667"/>
    <cellStyle name="集計 2 5 6 2 3 2" xfId="19668"/>
    <cellStyle name="集計 2 5 6 2 3 2 2" xfId="19669"/>
    <cellStyle name="集計 2 5 6 2 3 2 2 2" xfId="19670"/>
    <cellStyle name="集計 2 5 6 2 3 2 2 3" xfId="19671"/>
    <cellStyle name="集計 2 5 6 2 3 2 3" xfId="19672"/>
    <cellStyle name="集計 2 5 6 2 3 2 3 2" xfId="19673"/>
    <cellStyle name="集計 2 5 6 2 3 2 3 3" xfId="19674"/>
    <cellStyle name="集計 2 5 6 2 3 2 4" xfId="19675"/>
    <cellStyle name="集計 2 5 6 2 3 2 4 2" xfId="19676"/>
    <cellStyle name="集計 2 5 6 2 3 2 4 3" xfId="19677"/>
    <cellStyle name="集計 2 5 6 2 3 2 5" xfId="19678"/>
    <cellStyle name="集計 2 5 6 2 3 2 6" xfId="19679"/>
    <cellStyle name="集計 2 5 6 2 3 3" xfId="19680"/>
    <cellStyle name="集計 2 5 6 2 3 3 2" xfId="19681"/>
    <cellStyle name="集計 2 5 6 2 3 3 3" xfId="19682"/>
    <cellStyle name="集計 2 5 6 2 3 4" xfId="19683"/>
    <cellStyle name="集計 2 5 6 2 3 4 2" xfId="19684"/>
    <cellStyle name="集計 2 5 6 2 3 4 3" xfId="19685"/>
    <cellStyle name="集計 2 5 6 2 3 5" xfId="19686"/>
    <cellStyle name="集計 2 5 6 2 3 5 2" xfId="19687"/>
    <cellStyle name="集計 2 5 6 2 3 5 3" xfId="19688"/>
    <cellStyle name="集計 2 5 6 2 3 6" xfId="19689"/>
    <cellStyle name="集計 2 5 6 2 3 7" xfId="19690"/>
    <cellStyle name="集計 2 5 6 2 4" xfId="19691"/>
    <cellStyle name="集計 2 5 6 2 4 2" xfId="19692"/>
    <cellStyle name="集計 2 5 6 2 4 2 2" xfId="19693"/>
    <cellStyle name="集計 2 5 6 2 4 2 3" xfId="19694"/>
    <cellStyle name="集計 2 5 6 2 4 3" xfId="19695"/>
    <cellStyle name="集計 2 5 6 2 4 3 2" xfId="19696"/>
    <cellStyle name="集計 2 5 6 2 4 3 3" xfId="19697"/>
    <cellStyle name="集計 2 5 6 2 4 4" xfId="19698"/>
    <cellStyle name="集計 2 5 6 2 4 4 2" xfId="19699"/>
    <cellStyle name="集計 2 5 6 2 4 4 3" xfId="19700"/>
    <cellStyle name="集計 2 5 6 2 4 5" xfId="19701"/>
    <cellStyle name="集計 2 5 6 2 4 6" xfId="19702"/>
    <cellStyle name="集計 2 5 6 2 5" xfId="19703"/>
    <cellStyle name="集計 2 5 6 2 5 2" xfId="19704"/>
    <cellStyle name="集計 2 5 6 2 5 3" xfId="19705"/>
    <cellStyle name="集計 2 5 6 2 6" xfId="19706"/>
    <cellStyle name="集計 2 5 6 2 6 2" xfId="19707"/>
    <cellStyle name="集計 2 5 6 2 6 3" xfId="19708"/>
    <cellStyle name="集計 2 5 6 2 7" xfId="19709"/>
    <cellStyle name="集計 2 5 6 2 7 2" xfId="19710"/>
    <cellStyle name="集計 2 5 6 2 7 3" xfId="19711"/>
    <cellStyle name="集計 2 5 6 2 8" xfId="19712"/>
    <cellStyle name="集計 2 5 6 2 9" xfId="19713"/>
    <cellStyle name="集計 2 5 6 3" xfId="19714"/>
    <cellStyle name="集計 2 5 6 3 2" xfId="19715"/>
    <cellStyle name="集計 2 5 6 3 2 2" xfId="19716"/>
    <cellStyle name="集計 2 5 6 3 2 2 2" xfId="19717"/>
    <cellStyle name="集計 2 5 6 3 2 2 3" xfId="19718"/>
    <cellStyle name="集計 2 5 6 3 2 3" xfId="19719"/>
    <cellStyle name="集計 2 5 6 3 2 3 2" xfId="19720"/>
    <cellStyle name="集計 2 5 6 3 2 3 3" xfId="19721"/>
    <cellStyle name="集計 2 5 6 3 2 4" xfId="19722"/>
    <cellStyle name="集計 2 5 6 3 2 4 2" xfId="19723"/>
    <cellStyle name="集計 2 5 6 3 2 4 3" xfId="19724"/>
    <cellStyle name="集計 2 5 6 3 2 5" xfId="19725"/>
    <cellStyle name="集計 2 5 6 3 2 6" xfId="19726"/>
    <cellStyle name="集計 2 5 6 3 3" xfId="19727"/>
    <cellStyle name="集計 2 5 6 3 3 2" xfId="19728"/>
    <cellStyle name="集計 2 5 6 3 3 3" xfId="19729"/>
    <cellStyle name="集計 2 5 6 3 4" xfId="19730"/>
    <cellStyle name="集計 2 5 6 3 4 2" xfId="19731"/>
    <cellStyle name="集計 2 5 6 3 4 3" xfId="19732"/>
    <cellStyle name="集計 2 5 6 3 5" xfId="19733"/>
    <cellStyle name="集計 2 5 6 3 5 2" xfId="19734"/>
    <cellStyle name="集計 2 5 6 3 5 3" xfId="19735"/>
    <cellStyle name="集計 2 5 6 3 6" xfId="19736"/>
    <cellStyle name="集計 2 5 6 3 7" xfId="19737"/>
    <cellStyle name="集計 2 5 6 4" xfId="19738"/>
    <cellStyle name="集計 2 5 6 4 2" xfId="19739"/>
    <cellStyle name="集計 2 5 6 4 2 2" xfId="19740"/>
    <cellStyle name="集計 2 5 6 4 2 2 2" xfId="19741"/>
    <cellStyle name="集計 2 5 6 4 2 2 3" xfId="19742"/>
    <cellStyle name="集計 2 5 6 4 2 3" xfId="19743"/>
    <cellStyle name="集計 2 5 6 4 2 3 2" xfId="19744"/>
    <cellStyle name="集計 2 5 6 4 2 3 3" xfId="19745"/>
    <cellStyle name="集計 2 5 6 4 2 4" xfId="19746"/>
    <cellStyle name="集計 2 5 6 4 2 4 2" xfId="19747"/>
    <cellStyle name="集計 2 5 6 4 2 4 3" xfId="19748"/>
    <cellStyle name="集計 2 5 6 4 2 5" xfId="19749"/>
    <cellStyle name="集計 2 5 6 4 2 6" xfId="19750"/>
    <cellStyle name="集計 2 5 6 4 3" xfId="19751"/>
    <cellStyle name="集計 2 5 6 4 3 2" xfId="19752"/>
    <cellStyle name="集計 2 5 6 4 3 3" xfId="19753"/>
    <cellStyle name="集計 2 5 6 4 4" xfId="19754"/>
    <cellStyle name="集計 2 5 6 4 4 2" xfId="19755"/>
    <cellStyle name="集計 2 5 6 4 4 3" xfId="19756"/>
    <cellStyle name="集計 2 5 6 4 5" xfId="19757"/>
    <cellStyle name="集計 2 5 6 4 5 2" xfId="19758"/>
    <cellStyle name="集計 2 5 6 4 5 3" xfId="19759"/>
    <cellStyle name="集計 2 5 6 4 6" xfId="19760"/>
    <cellStyle name="集計 2 5 6 4 7" xfId="19761"/>
    <cellStyle name="集計 2 5 6 5" xfId="19762"/>
    <cellStyle name="集計 2 5 6 5 2" xfId="19763"/>
    <cellStyle name="集計 2 5 6 5 2 2" xfId="19764"/>
    <cellStyle name="集計 2 5 6 5 2 3" xfId="19765"/>
    <cellStyle name="集計 2 5 6 5 3" xfId="19766"/>
    <cellStyle name="集計 2 5 6 5 3 2" xfId="19767"/>
    <cellStyle name="集計 2 5 6 5 3 3" xfId="19768"/>
    <cellStyle name="集計 2 5 6 5 4" xfId="19769"/>
    <cellStyle name="集計 2 5 6 5 4 2" xfId="19770"/>
    <cellStyle name="集計 2 5 6 5 4 3" xfId="19771"/>
    <cellStyle name="集計 2 5 6 5 5" xfId="19772"/>
    <cellStyle name="集計 2 5 6 5 6" xfId="19773"/>
    <cellStyle name="集計 2 5 6 6" xfId="19774"/>
    <cellStyle name="集計 2 5 6 6 2" xfId="19775"/>
    <cellStyle name="集計 2 5 6 6 3" xfId="19776"/>
    <cellStyle name="集計 2 5 6 7" xfId="19777"/>
    <cellStyle name="集計 2 5 6 7 2" xfId="19778"/>
    <cellStyle name="集計 2 5 6 7 3" xfId="19779"/>
    <cellStyle name="集計 2 5 6 8" xfId="19780"/>
    <cellStyle name="集計 2 5 6 8 2" xfId="19781"/>
    <cellStyle name="集計 2 5 6 8 3" xfId="19782"/>
    <cellStyle name="集計 2 5 6 9" xfId="19783"/>
    <cellStyle name="集計 2 5 7" xfId="19784"/>
    <cellStyle name="集計 2 5 7 2" xfId="19785"/>
    <cellStyle name="集計 2 5 7 2 2" xfId="19786"/>
    <cellStyle name="集計 2 5 7 2 2 2" xfId="19787"/>
    <cellStyle name="集計 2 5 7 2 2 3" xfId="19788"/>
    <cellStyle name="集計 2 5 7 2 3" xfId="19789"/>
    <cellStyle name="集計 2 5 7 2 3 2" xfId="19790"/>
    <cellStyle name="集計 2 5 7 2 3 3" xfId="19791"/>
    <cellStyle name="集計 2 5 7 2 4" xfId="19792"/>
    <cellStyle name="集計 2 5 7 2 4 2" xfId="19793"/>
    <cellStyle name="集計 2 5 7 2 4 3" xfId="19794"/>
    <cellStyle name="集計 2 5 7 2 5" xfId="19795"/>
    <cellStyle name="集計 2 5 7 2 6" xfId="19796"/>
    <cellStyle name="集計 2 5 7 3" xfId="19797"/>
    <cellStyle name="集計 2 5 7 3 2" xfId="19798"/>
    <cellStyle name="集計 2 5 7 3 3" xfId="19799"/>
    <cellStyle name="集計 2 5 7 4" xfId="19800"/>
    <cellStyle name="集計 2 5 7 4 2" xfId="19801"/>
    <cellStyle name="集計 2 5 7 4 3" xfId="19802"/>
    <cellStyle name="集計 2 5 7 5" xfId="19803"/>
    <cellStyle name="集計 2 5 7 5 2" xfId="19804"/>
    <cellStyle name="集計 2 5 7 5 3" xfId="19805"/>
    <cellStyle name="集計 2 5 7 6" xfId="19806"/>
    <cellStyle name="集計 2 5 7 7" xfId="19807"/>
    <cellStyle name="集計 2 5 8" xfId="19808"/>
    <cellStyle name="集計 2 5 8 2" xfId="19809"/>
    <cellStyle name="集計 2 5 8 2 2" xfId="19810"/>
    <cellStyle name="集計 2 5 8 2 2 2" xfId="19811"/>
    <cellStyle name="集計 2 5 8 2 2 3" xfId="19812"/>
    <cellStyle name="集計 2 5 8 2 3" xfId="19813"/>
    <cellStyle name="集計 2 5 8 2 3 2" xfId="19814"/>
    <cellStyle name="集計 2 5 8 2 3 3" xfId="19815"/>
    <cellStyle name="集計 2 5 8 2 4" xfId="19816"/>
    <cellStyle name="集計 2 5 8 2 4 2" xfId="19817"/>
    <cellStyle name="集計 2 5 8 2 4 3" xfId="19818"/>
    <cellStyle name="集計 2 5 8 2 5" xfId="19819"/>
    <cellStyle name="集計 2 5 8 2 6" xfId="19820"/>
    <cellStyle name="集計 2 5 8 3" xfId="19821"/>
    <cellStyle name="集計 2 5 8 3 2" xfId="19822"/>
    <cellStyle name="集計 2 5 8 3 3" xfId="19823"/>
    <cellStyle name="集計 2 5 8 4" xfId="19824"/>
    <cellStyle name="集計 2 5 8 4 2" xfId="19825"/>
    <cellStyle name="集計 2 5 8 4 3" xfId="19826"/>
    <cellStyle name="集計 2 5 8 5" xfId="19827"/>
    <cellStyle name="集計 2 5 8 5 2" xfId="19828"/>
    <cellStyle name="集計 2 5 8 5 3" xfId="19829"/>
    <cellStyle name="集計 2 5 8 6" xfId="19830"/>
    <cellStyle name="集計 2 5 8 7" xfId="19831"/>
    <cellStyle name="集計 2 5 9" xfId="19832"/>
    <cellStyle name="集計 2 5 9 2" xfId="19833"/>
    <cellStyle name="集計 2 5 9 2 2" xfId="19834"/>
    <cellStyle name="集計 2 5 9 2 3" xfId="19835"/>
    <cellStyle name="集計 2 5 9 3" xfId="19836"/>
    <cellStyle name="集計 2 5 9 3 2" xfId="19837"/>
    <cellStyle name="集計 2 5 9 3 3" xfId="19838"/>
    <cellStyle name="集計 2 5 9 4" xfId="19839"/>
    <cellStyle name="集計 2 5 9 4 2" xfId="19840"/>
    <cellStyle name="集計 2 5 9 4 3" xfId="19841"/>
    <cellStyle name="集計 2 5 9 5" xfId="19842"/>
    <cellStyle name="集計 2 5 9 6" xfId="19843"/>
    <cellStyle name="集計 2 6" xfId="19844"/>
    <cellStyle name="集計 2 6 10" xfId="19845"/>
    <cellStyle name="集計 2 6 10 2" xfId="19846"/>
    <cellStyle name="集計 2 6 10 3" xfId="19847"/>
    <cellStyle name="集計 2 6 11" xfId="19848"/>
    <cellStyle name="集計 2 6 11 2" xfId="19849"/>
    <cellStyle name="集計 2 6 11 3" xfId="19850"/>
    <cellStyle name="集計 2 6 12" xfId="19851"/>
    <cellStyle name="集計 2 6 12 2" xfId="19852"/>
    <cellStyle name="集計 2 6 12 3" xfId="19853"/>
    <cellStyle name="集計 2 6 13" xfId="19854"/>
    <cellStyle name="集計 2 6 14" xfId="19855"/>
    <cellStyle name="集計 2 6 2" xfId="19856"/>
    <cellStyle name="集計 2 6 2 10" xfId="19857"/>
    <cellStyle name="集計 2 6 2 2" xfId="19858"/>
    <cellStyle name="集計 2 6 2 2 10" xfId="19859"/>
    <cellStyle name="集計 2 6 2 2 2" xfId="19860"/>
    <cellStyle name="集計 2 6 2 2 2 2" xfId="19861"/>
    <cellStyle name="集計 2 6 2 2 2 2 2" xfId="19862"/>
    <cellStyle name="集計 2 6 2 2 2 2 2 2" xfId="19863"/>
    <cellStyle name="集計 2 6 2 2 2 2 2 2 2" xfId="19864"/>
    <cellStyle name="集計 2 6 2 2 2 2 2 2 3" xfId="19865"/>
    <cellStyle name="集計 2 6 2 2 2 2 2 3" xfId="19866"/>
    <cellStyle name="集計 2 6 2 2 2 2 2 3 2" xfId="19867"/>
    <cellStyle name="集計 2 6 2 2 2 2 2 3 3" xfId="19868"/>
    <cellStyle name="集計 2 6 2 2 2 2 2 4" xfId="19869"/>
    <cellStyle name="集計 2 6 2 2 2 2 2 4 2" xfId="19870"/>
    <cellStyle name="集計 2 6 2 2 2 2 2 4 3" xfId="19871"/>
    <cellStyle name="集計 2 6 2 2 2 2 2 5" xfId="19872"/>
    <cellStyle name="集計 2 6 2 2 2 2 2 6" xfId="19873"/>
    <cellStyle name="集計 2 6 2 2 2 2 3" xfId="19874"/>
    <cellStyle name="集計 2 6 2 2 2 2 3 2" xfId="19875"/>
    <cellStyle name="集計 2 6 2 2 2 2 3 3" xfId="19876"/>
    <cellStyle name="集計 2 6 2 2 2 2 4" xfId="19877"/>
    <cellStyle name="集計 2 6 2 2 2 2 4 2" xfId="19878"/>
    <cellStyle name="集計 2 6 2 2 2 2 4 3" xfId="19879"/>
    <cellStyle name="集計 2 6 2 2 2 2 5" xfId="19880"/>
    <cellStyle name="集計 2 6 2 2 2 2 5 2" xfId="19881"/>
    <cellStyle name="集計 2 6 2 2 2 2 5 3" xfId="19882"/>
    <cellStyle name="集計 2 6 2 2 2 2 6" xfId="19883"/>
    <cellStyle name="集計 2 6 2 2 2 2 7" xfId="19884"/>
    <cellStyle name="集計 2 6 2 2 2 3" xfId="19885"/>
    <cellStyle name="集計 2 6 2 2 2 3 2" xfId="19886"/>
    <cellStyle name="集計 2 6 2 2 2 3 2 2" xfId="19887"/>
    <cellStyle name="集計 2 6 2 2 2 3 2 2 2" xfId="19888"/>
    <cellStyle name="集計 2 6 2 2 2 3 2 2 3" xfId="19889"/>
    <cellStyle name="集計 2 6 2 2 2 3 2 3" xfId="19890"/>
    <cellStyle name="集計 2 6 2 2 2 3 2 3 2" xfId="19891"/>
    <cellStyle name="集計 2 6 2 2 2 3 2 3 3" xfId="19892"/>
    <cellStyle name="集計 2 6 2 2 2 3 2 4" xfId="19893"/>
    <cellStyle name="集計 2 6 2 2 2 3 2 4 2" xfId="19894"/>
    <cellStyle name="集計 2 6 2 2 2 3 2 4 3" xfId="19895"/>
    <cellStyle name="集計 2 6 2 2 2 3 2 5" xfId="19896"/>
    <cellStyle name="集計 2 6 2 2 2 3 2 6" xfId="19897"/>
    <cellStyle name="集計 2 6 2 2 2 3 3" xfId="19898"/>
    <cellStyle name="集計 2 6 2 2 2 3 3 2" xfId="19899"/>
    <cellStyle name="集計 2 6 2 2 2 3 3 3" xfId="19900"/>
    <cellStyle name="集計 2 6 2 2 2 3 4" xfId="19901"/>
    <cellStyle name="集計 2 6 2 2 2 3 4 2" xfId="19902"/>
    <cellStyle name="集計 2 6 2 2 2 3 4 3" xfId="19903"/>
    <cellStyle name="集計 2 6 2 2 2 3 5" xfId="19904"/>
    <cellStyle name="集計 2 6 2 2 2 3 5 2" xfId="19905"/>
    <cellStyle name="集計 2 6 2 2 2 3 5 3" xfId="19906"/>
    <cellStyle name="集計 2 6 2 2 2 3 6" xfId="19907"/>
    <cellStyle name="集計 2 6 2 2 2 3 7" xfId="19908"/>
    <cellStyle name="集計 2 6 2 2 2 4" xfId="19909"/>
    <cellStyle name="集計 2 6 2 2 2 4 2" xfId="19910"/>
    <cellStyle name="集計 2 6 2 2 2 4 2 2" xfId="19911"/>
    <cellStyle name="集計 2 6 2 2 2 4 2 3" xfId="19912"/>
    <cellStyle name="集計 2 6 2 2 2 4 3" xfId="19913"/>
    <cellStyle name="集計 2 6 2 2 2 4 3 2" xfId="19914"/>
    <cellStyle name="集計 2 6 2 2 2 4 3 3" xfId="19915"/>
    <cellStyle name="集計 2 6 2 2 2 4 4" xfId="19916"/>
    <cellStyle name="集計 2 6 2 2 2 4 4 2" xfId="19917"/>
    <cellStyle name="集計 2 6 2 2 2 4 4 3" xfId="19918"/>
    <cellStyle name="集計 2 6 2 2 2 4 5" xfId="19919"/>
    <cellStyle name="集計 2 6 2 2 2 4 6" xfId="19920"/>
    <cellStyle name="集計 2 6 2 2 2 5" xfId="19921"/>
    <cellStyle name="集計 2 6 2 2 2 5 2" xfId="19922"/>
    <cellStyle name="集計 2 6 2 2 2 5 3" xfId="19923"/>
    <cellStyle name="集計 2 6 2 2 2 6" xfId="19924"/>
    <cellStyle name="集計 2 6 2 2 2 6 2" xfId="19925"/>
    <cellStyle name="集計 2 6 2 2 2 6 3" xfId="19926"/>
    <cellStyle name="集計 2 6 2 2 2 7" xfId="19927"/>
    <cellStyle name="集計 2 6 2 2 2 7 2" xfId="19928"/>
    <cellStyle name="集計 2 6 2 2 2 7 3" xfId="19929"/>
    <cellStyle name="集計 2 6 2 2 2 8" xfId="19930"/>
    <cellStyle name="集計 2 6 2 2 2 9" xfId="19931"/>
    <cellStyle name="集計 2 6 2 2 3" xfId="19932"/>
    <cellStyle name="集計 2 6 2 2 3 2" xfId="19933"/>
    <cellStyle name="集計 2 6 2 2 3 2 2" xfId="19934"/>
    <cellStyle name="集計 2 6 2 2 3 2 2 2" xfId="19935"/>
    <cellStyle name="集計 2 6 2 2 3 2 2 3" xfId="19936"/>
    <cellStyle name="集計 2 6 2 2 3 2 3" xfId="19937"/>
    <cellStyle name="集計 2 6 2 2 3 2 3 2" xfId="19938"/>
    <cellStyle name="集計 2 6 2 2 3 2 3 3" xfId="19939"/>
    <cellStyle name="集計 2 6 2 2 3 2 4" xfId="19940"/>
    <cellStyle name="集計 2 6 2 2 3 2 4 2" xfId="19941"/>
    <cellStyle name="集計 2 6 2 2 3 2 4 3" xfId="19942"/>
    <cellStyle name="集計 2 6 2 2 3 2 5" xfId="19943"/>
    <cellStyle name="集計 2 6 2 2 3 2 6" xfId="19944"/>
    <cellStyle name="集計 2 6 2 2 3 3" xfId="19945"/>
    <cellStyle name="集計 2 6 2 2 3 3 2" xfId="19946"/>
    <cellStyle name="集計 2 6 2 2 3 3 3" xfId="19947"/>
    <cellStyle name="集計 2 6 2 2 3 4" xfId="19948"/>
    <cellStyle name="集計 2 6 2 2 3 4 2" xfId="19949"/>
    <cellStyle name="集計 2 6 2 2 3 4 3" xfId="19950"/>
    <cellStyle name="集計 2 6 2 2 3 5" xfId="19951"/>
    <cellStyle name="集計 2 6 2 2 3 5 2" xfId="19952"/>
    <cellStyle name="集計 2 6 2 2 3 5 3" xfId="19953"/>
    <cellStyle name="集計 2 6 2 2 3 6" xfId="19954"/>
    <cellStyle name="集計 2 6 2 2 3 7" xfId="19955"/>
    <cellStyle name="集計 2 6 2 2 4" xfId="19956"/>
    <cellStyle name="集計 2 6 2 2 4 2" xfId="19957"/>
    <cellStyle name="集計 2 6 2 2 4 2 2" xfId="19958"/>
    <cellStyle name="集計 2 6 2 2 4 2 2 2" xfId="19959"/>
    <cellStyle name="集計 2 6 2 2 4 2 2 3" xfId="19960"/>
    <cellStyle name="集計 2 6 2 2 4 2 3" xfId="19961"/>
    <cellStyle name="集計 2 6 2 2 4 2 3 2" xfId="19962"/>
    <cellStyle name="集計 2 6 2 2 4 2 3 3" xfId="19963"/>
    <cellStyle name="集計 2 6 2 2 4 2 4" xfId="19964"/>
    <cellStyle name="集計 2 6 2 2 4 2 4 2" xfId="19965"/>
    <cellStyle name="集計 2 6 2 2 4 2 4 3" xfId="19966"/>
    <cellStyle name="集計 2 6 2 2 4 2 5" xfId="19967"/>
    <cellStyle name="集計 2 6 2 2 4 2 6" xfId="19968"/>
    <cellStyle name="集計 2 6 2 2 4 3" xfId="19969"/>
    <cellStyle name="集計 2 6 2 2 4 3 2" xfId="19970"/>
    <cellStyle name="集計 2 6 2 2 4 3 3" xfId="19971"/>
    <cellStyle name="集計 2 6 2 2 4 4" xfId="19972"/>
    <cellStyle name="集計 2 6 2 2 4 4 2" xfId="19973"/>
    <cellStyle name="集計 2 6 2 2 4 4 3" xfId="19974"/>
    <cellStyle name="集計 2 6 2 2 4 5" xfId="19975"/>
    <cellStyle name="集計 2 6 2 2 4 5 2" xfId="19976"/>
    <cellStyle name="集計 2 6 2 2 4 5 3" xfId="19977"/>
    <cellStyle name="集計 2 6 2 2 4 6" xfId="19978"/>
    <cellStyle name="集計 2 6 2 2 4 7" xfId="19979"/>
    <cellStyle name="集計 2 6 2 2 5" xfId="19980"/>
    <cellStyle name="集計 2 6 2 2 5 2" xfId="19981"/>
    <cellStyle name="集計 2 6 2 2 5 2 2" xfId="19982"/>
    <cellStyle name="集計 2 6 2 2 5 2 3" xfId="19983"/>
    <cellStyle name="集計 2 6 2 2 5 3" xfId="19984"/>
    <cellStyle name="集計 2 6 2 2 5 3 2" xfId="19985"/>
    <cellStyle name="集計 2 6 2 2 5 3 3" xfId="19986"/>
    <cellStyle name="集計 2 6 2 2 5 4" xfId="19987"/>
    <cellStyle name="集計 2 6 2 2 5 4 2" xfId="19988"/>
    <cellStyle name="集計 2 6 2 2 5 4 3" xfId="19989"/>
    <cellStyle name="集計 2 6 2 2 5 5" xfId="19990"/>
    <cellStyle name="集計 2 6 2 2 5 6" xfId="19991"/>
    <cellStyle name="集計 2 6 2 2 6" xfId="19992"/>
    <cellStyle name="集計 2 6 2 2 6 2" xfId="19993"/>
    <cellStyle name="集計 2 6 2 2 6 3" xfId="19994"/>
    <cellStyle name="集計 2 6 2 2 7" xfId="19995"/>
    <cellStyle name="集計 2 6 2 2 7 2" xfId="19996"/>
    <cellStyle name="集計 2 6 2 2 7 3" xfId="19997"/>
    <cellStyle name="集計 2 6 2 2 8" xfId="19998"/>
    <cellStyle name="集計 2 6 2 2 8 2" xfId="19999"/>
    <cellStyle name="集計 2 6 2 2 8 3" xfId="20000"/>
    <cellStyle name="集計 2 6 2 2 9" xfId="20001"/>
    <cellStyle name="集計 2 6 2 3" xfId="20002"/>
    <cellStyle name="集計 2 6 2 3 2" xfId="20003"/>
    <cellStyle name="集計 2 6 2 3 2 2" xfId="20004"/>
    <cellStyle name="集計 2 6 2 3 2 2 2" xfId="20005"/>
    <cellStyle name="集計 2 6 2 3 2 2 3" xfId="20006"/>
    <cellStyle name="集計 2 6 2 3 2 3" xfId="20007"/>
    <cellStyle name="集計 2 6 2 3 2 3 2" xfId="20008"/>
    <cellStyle name="集計 2 6 2 3 2 3 3" xfId="20009"/>
    <cellStyle name="集計 2 6 2 3 2 4" xfId="20010"/>
    <cellStyle name="集計 2 6 2 3 2 4 2" xfId="20011"/>
    <cellStyle name="集計 2 6 2 3 2 4 3" xfId="20012"/>
    <cellStyle name="集計 2 6 2 3 2 5" xfId="20013"/>
    <cellStyle name="集計 2 6 2 3 2 6" xfId="20014"/>
    <cellStyle name="集計 2 6 2 3 3" xfId="20015"/>
    <cellStyle name="集計 2 6 2 3 3 2" xfId="20016"/>
    <cellStyle name="集計 2 6 2 3 3 3" xfId="20017"/>
    <cellStyle name="集計 2 6 2 3 4" xfId="20018"/>
    <cellStyle name="集計 2 6 2 3 4 2" xfId="20019"/>
    <cellStyle name="集計 2 6 2 3 4 3" xfId="20020"/>
    <cellStyle name="集計 2 6 2 3 5" xfId="20021"/>
    <cellStyle name="集計 2 6 2 3 5 2" xfId="20022"/>
    <cellStyle name="集計 2 6 2 3 5 3" xfId="20023"/>
    <cellStyle name="集計 2 6 2 3 6" xfId="20024"/>
    <cellStyle name="集計 2 6 2 3 7" xfId="20025"/>
    <cellStyle name="集計 2 6 2 4" xfId="20026"/>
    <cellStyle name="集計 2 6 2 4 2" xfId="20027"/>
    <cellStyle name="集計 2 6 2 4 2 2" xfId="20028"/>
    <cellStyle name="集計 2 6 2 4 2 2 2" xfId="20029"/>
    <cellStyle name="集計 2 6 2 4 2 2 3" xfId="20030"/>
    <cellStyle name="集計 2 6 2 4 2 3" xfId="20031"/>
    <cellStyle name="集計 2 6 2 4 2 3 2" xfId="20032"/>
    <cellStyle name="集計 2 6 2 4 2 3 3" xfId="20033"/>
    <cellStyle name="集計 2 6 2 4 2 4" xfId="20034"/>
    <cellStyle name="集計 2 6 2 4 2 4 2" xfId="20035"/>
    <cellStyle name="集計 2 6 2 4 2 4 3" xfId="20036"/>
    <cellStyle name="集計 2 6 2 4 2 5" xfId="20037"/>
    <cellStyle name="集計 2 6 2 4 2 6" xfId="20038"/>
    <cellStyle name="集計 2 6 2 4 3" xfId="20039"/>
    <cellStyle name="集計 2 6 2 4 3 2" xfId="20040"/>
    <cellStyle name="集計 2 6 2 4 3 3" xfId="20041"/>
    <cellStyle name="集計 2 6 2 4 4" xfId="20042"/>
    <cellStyle name="集計 2 6 2 4 4 2" xfId="20043"/>
    <cellStyle name="集計 2 6 2 4 4 3" xfId="20044"/>
    <cellStyle name="集計 2 6 2 4 5" xfId="20045"/>
    <cellStyle name="集計 2 6 2 4 5 2" xfId="20046"/>
    <cellStyle name="集計 2 6 2 4 5 3" xfId="20047"/>
    <cellStyle name="集計 2 6 2 4 6" xfId="20048"/>
    <cellStyle name="集計 2 6 2 4 7" xfId="20049"/>
    <cellStyle name="集計 2 6 2 5" xfId="20050"/>
    <cellStyle name="集計 2 6 2 5 2" xfId="20051"/>
    <cellStyle name="集計 2 6 2 5 2 2" xfId="20052"/>
    <cellStyle name="集計 2 6 2 5 2 3" xfId="20053"/>
    <cellStyle name="集計 2 6 2 5 3" xfId="20054"/>
    <cellStyle name="集計 2 6 2 5 3 2" xfId="20055"/>
    <cellStyle name="集計 2 6 2 5 3 3" xfId="20056"/>
    <cellStyle name="集計 2 6 2 5 4" xfId="20057"/>
    <cellStyle name="集計 2 6 2 5 4 2" xfId="20058"/>
    <cellStyle name="集計 2 6 2 5 4 3" xfId="20059"/>
    <cellStyle name="集計 2 6 2 5 5" xfId="20060"/>
    <cellStyle name="集計 2 6 2 5 6" xfId="20061"/>
    <cellStyle name="集計 2 6 2 6" xfId="20062"/>
    <cellStyle name="集計 2 6 2 6 2" xfId="20063"/>
    <cellStyle name="集計 2 6 2 6 3" xfId="20064"/>
    <cellStyle name="集計 2 6 2 7" xfId="20065"/>
    <cellStyle name="集計 2 6 2 7 2" xfId="20066"/>
    <cellStyle name="集計 2 6 2 7 3" xfId="20067"/>
    <cellStyle name="集計 2 6 2 8" xfId="20068"/>
    <cellStyle name="集計 2 6 2 8 2" xfId="20069"/>
    <cellStyle name="集計 2 6 2 8 3" xfId="20070"/>
    <cellStyle name="集計 2 6 2 9" xfId="20071"/>
    <cellStyle name="集計 2 6 3" xfId="20072"/>
    <cellStyle name="集計 2 6 3 10" xfId="20073"/>
    <cellStyle name="集計 2 6 3 2" xfId="20074"/>
    <cellStyle name="集計 2 6 3 2 10" xfId="20075"/>
    <cellStyle name="集計 2 6 3 2 2" xfId="20076"/>
    <cellStyle name="集計 2 6 3 2 2 2" xfId="20077"/>
    <cellStyle name="集計 2 6 3 2 2 2 2" xfId="20078"/>
    <cellStyle name="集計 2 6 3 2 2 2 2 2" xfId="20079"/>
    <cellStyle name="集計 2 6 3 2 2 2 2 2 2" xfId="20080"/>
    <cellStyle name="集計 2 6 3 2 2 2 2 2 3" xfId="20081"/>
    <cellStyle name="集計 2 6 3 2 2 2 2 3" xfId="20082"/>
    <cellStyle name="集計 2 6 3 2 2 2 2 3 2" xfId="20083"/>
    <cellStyle name="集計 2 6 3 2 2 2 2 3 3" xfId="20084"/>
    <cellStyle name="集計 2 6 3 2 2 2 2 4" xfId="20085"/>
    <cellStyle name="集計 2 6 3 2 2 2 2 4 2" xfId="20086"/>
    <cellStyle name="集計 2 6 3 2 2 2 2 4 3" xfId="20087"/>
    <cellStyle name="集計 2 6 3 2 2 2 2 5" xfId="20088"/>
    <cellStyle name="集計 2 6 3 2 2 2 2 6" xfId="20089"/>
    <cellStyle name="集計 2 6 3 2 2 2 3" xfId="20090"/>
    <cellStyle name="集計 2 6 3 2 2 2 3 2" xfId="20091"/>
    <cellStyle name="集計 2 6 3 2 2 2 3 3" xfId="20092"/>
    <cellStyle name="集計 2 6 3 2 2 2 4" xfId="20093"/>
    <cellStyle name="集計 2 6 3 2 2 2 4 2" xfId="20094"/>
    <cellStyle name="集計 2 6 3 2 2 2 4 3" xfId="20095"/>
    <cellStyle name="集計 2 6 3 2 2 2 5" xfId="20096"/>
    <cellStyle name="集計 2 6 3 2 2 2 5 2" xfId="20097"/>
    <cellStyle name="集計 2 6 3 2 2 2 5 3" xfId="20098"/>
    <cellStyle name="集計 2 6 3 2 2 2 6" xfId="20099"/>
    <cellStyle name="集計 2 6 3 2 2 2 7" xfId="20100"/>
    <cellStyle name="集計 2 6 3 2 2 3" xfId="20101"/>
    <cellStyle name="集計 2 6 3 2 2 3 2" xfId="20102"/>
    <cellStyle name="集計 2 6 3 2 2 3 2 2" xfId="20103"/>
    <cellStyle name="集計 2 6 3 2 2 3 2 2 2" xfId="20104"/>
    <cellStyle name="集計 2 6 3 2 2 3 2 2 3" xfId="20105"/>
    <cellStyle name="集計 2 6 3 2 2 3 2 3" xfId="20106"/>
    <cellStyle name="集計 2 6 3 2 2 3 2 3 2" xfId="20107"/>
    <cellStyle name="集計 2 6 3 2 2 3 2 3 3" xfId="20108"/>
    <cellStyle name="集計 2 6 3 2 2 3 2 4" xfId="20109"/>
    <cellStyle name="集計 2 6 3 2 2 3 2 4 2" xfId="20110"/>
    <cellStyle name="集計 2 6 3 2 2 3 2 4 3" xfId="20111"/>
    <cellStyle name="集計 2 6 3 2 2 3 2 5" xfId="20112"/>
    <cellStyle name="集計 2 6 3 2 2 3 2 6" xfId="20113"/>
    <cellStyle name="集計 2 6 3 2 2 3 3" xfId="20114"/>
    <cellStyle name="集計 2 6 3 2 2 3 3 2" xfId="20115"/>
    <cellStyle name="集計 2 6 3 2 2 3 3 3" xfId="20116"/>
    <cellStyle name="集計 2 6 3 2 2 3 4" xfId="20117"/>
    <cellStyle name="集計 2 6 3 2 2 3 4 2" xfId="20118"/>
    <cellStyle name="集計 2 6 3 2 2 3 4 3" xfId="20119"/>
    <cellStyle name="集計 2 6 3 2 2 3 5" xfId="20120"/>
    <cellStyle name="集計 2 6 3 2 2 3 5 2" xfId="20121"/>
    <cellStyle name="集計 2 6 3 2 2 3 5 3" xfId="20122"/>
    <cellStyle name="集計 2 6 3 2 2 3 6" xfId="20123"/>
    <cellStyle name="集計 2 6 3 2 2 3 7" xfId="20124"/>
    <cellStyle name="集計 2 6 3 2 2 4" xfId="20125"/>
    <cellStyle name="集計 2 6 3 2 2 4 2" xfId="20126"/>
    <cellStyle name="集計 2 6 3 2 2 4 2 2" xfId="20127"/>
    <cellStyle name="集計 2 6 3 2 2 4 2 3" xfId="20128"/>
    <cellStyle name="集計 2 6 3 2 2 4 3" xfId="20129"/>
    <cellStyle name="集計 2 6 3 2 2 4 3 2" xfId="20130"/>
    <cellStyle name="集計 2 6 3 2 2 4 3 3" xfId="20131"/>
    <cellStyle name="集計 2 6 3 2 2 4 4" xfId="20132"/>
    <cellStyle name="集計 2 6 3 2 2 4 4 2" xfId="20133"/>
    <cellStyle name="集計 2 6 3 2 2 4 4 3" xfId="20134"/>
    <cellStyle name="集計 2 6 3 2 2 4 5" xfId="20135"/>
    <cellStyle name="集計 2 6 3 2 2 4 6" xfId="20136"/>
    <cellStyle name="集計 2 6 3 2 2 5" xfId="20137"/>
    <cellStyle name="集計 2 6 3 2 2 5 2" xfId="20138"/>
    <cellStyle name="集計 2 6 3 2 2 5 3" xfId="20139"/>
    <cellStyle name="集計 2 6 3 2 2 6" xfId="20140"/>
    <cellStyle name="集計 2 6 3 2 2 6 2" xfId="20141"/>
    <cellStyle name="集計 2 6 3 2 2 6 3" xfId="20142"/>
    <cellStyle name="集計 2 6 3 2 2 7" xfId="20143"/>
    <cellStyle name="集計 2 6 3 2 2 7 2" xfId="20144"/>
    <cellStyle name="集計 2 6 3 2 2 7 3" xfId="20145"/>
    <cellStyle name="集計 2 6 3 2 2 8" xfId="20146"/>
    <cellStyle name="集計 2 6 3 2 2 9" xfId="20147"/>
    <cellStyle name="集計 2 6 3 2 3" xfId="20148"/>
    <cellStyle name="集計 2 6 3 2 3 2" xfId="20149"/>
    <cellStyle name="集計 2 6 3 2 3 2 2" xfId="20150"/>
    <cellStyle name="集計 2 6 3 2 3 2 2 2" xfId="20151"/>
    <cellStyle name="集計 2 6 3 2 3 2 2 3" xfId="20152"/>
    <cellStyle name="集計 2 6 3 2 3 2 3" xfId="20153"/>
    <cellStyle name="集計 2 6 3 2 3 2 3 2" xfId="20154"/>
    <cellStyle name="集計 2 6 3 2 3 2 3 3" xfId="20155"/>
    <cellStyle name="集計 2 6 3 2 3 2 4" xfId="20156"/>
    <cellStyle name="集計 2 6 3 2 3 2 4 2" xfId="20157"/>
    <cellStyle name="集計 2 6 3 2 3 2 4 3" xfId="20158"/>
    <cellStyle name="集計 2 6 3 2 3 2 5" xfId="20159"/>
    <cellStyle name="集計 2 6 3 2 3 2 6" xfId="20160"/>
    <cellStyle name="集計 2 6 3 2 3 3" xfId="20161"/>
    <cellStyle name="集計 2 6 3 2 3 3 2" xfId="20162"/>
    <cellStyle name="集計 2 6 3 2 3 3 3" xfId="20163"/>
    <cellStyle name="集計 2 6 3 2 3 4" xfId="20164"/>
    <cellStyle name="集計 2 6 3 2 3 4 2" xfId="20165"/>
    <cellStyle name="集計 2 6 3 2 3 4 3" xfId="20166"/>
    <cellStyle name="集計 2 6 3 2 3 5" xfId="20167"/>
    <cellStyle name="集計 2 6 3 2 3 5 2" xfId="20168"/>
    <cellStyle name="集計 2 6 3 2 3 5 3" xfId="20169"/>
    <cellStyle name="集計 2 6 3 2 3 6" xfId="20170"/>
    <cellStyle name="集計 2 6 3 2 3 7" xfId="20171"/>
    <cellStyle name="集計 2 6 3 2 4" xfId="20172"/>
    <cellStyle name="集計 2 6 3 2 4 2" xfId="20173"/>
    <cellStyle name="集計 2 6 3 2 4 2 2" xfId="20174"/>
    <cellStyle name="集計 2 6 3 2 4 2 2 2" xfId="20175"/>
    <cellStyle name="集計 2 6 3 2 4 2 2 3" xfId="20176"/>
    <cellStyle name="集計 2 6 3 2 4 2 3" xfId="20177"/>
    <cellStyle name="集計 2 6 3 2 4 2 3 2" xfId="20178"/>
    <cellStyle name="集計 2 6 3 2 4 2 3 3" xfId="20179"/>
    <cellStyle name="集計 2 6 3 2 4 2 4" xfId="20180"/>
    <cellStyle name="集計 2 6 3 2 4 2 4 2" xfId="20181"/>
    <cellStyle name="集計 2 6 3 2 4 2 4 3" xfId="20182"/>
    <cellStyle name="集計 2 6 3 2 4 2 5" xfId="20183"/>
    <cellStyle name="集計 2 6 3 2 4 2 6" xfId="20184"/>
    <cellStyle name="集計 2 6 3 2 4 3" xfId="20185"/>
    <cellStyle name="集計 2 6 3 2 4 3 2" xfId="20186"/>
    <cellStyle name="集計 2 6 3 2 4 3 3" xfId="20187"/>
    <cellStyle name="集計 2 6 3 2 4 4" xfId="20188"/>
    <cellStyle name="集計 2 6 3 2 4 4 2" xfId="20189"/>
    <cellStyle name="集計 2 6 3 2 4 4 3" xfId="20190"/>
    <cellStyle name="集計 2 6 3 2 4 5" xfId="20191"/>
    <cellStyle name="集計 2 6 3 2 4 5 2" xfId="20192"/>
    <cellStyle name="集計 2 6 3 2 4 5 3" xfId="20193"/>
    <cellStyle name="集計 2 6 3 2 4 6" xfId="20194"/>
    <cellStyle name="集計 2 6 3 2 4 7" xfId="20195"/>
    <cellStyle name="集計 2 6 3 2 5" xfId="20196"/>
    <cellStyle name="集計 2 6 3 2 5 2" xfId="20197"/>
    <cellStyle name="集計 2 6 3 2 5 2 2" xfId="20198"/>
    <cellStyle name="集計 2 6 3 2 5 2 3" xfId="20199"/>
    <cellStyle name="集計 2 6 3 2 5 3" xfId="20200"/>
    <cellStyle name="集計 2 6 3 2 5 3 2" xfId="20201"/>
    <cellStyle name="集計 2 6 3 2 5 3 3" xfId="20202"/>
    <cellStyle name="集計 2 6 3 2 5 4" xfId="20203"/>
    <cellStyle name="集計 2 6 3 2 5 4 2" xfId="20204"/>
    <cellStyle name="集計 2 6 3 2 5 4 3" xfId="20205"/>
    <cellStyle name="集計 2 6 3 2 5 5" xfId="20206"/>
    <cellStyle name="集計 2 6 3 2 5 6" xfId="20207"/>
    <cellStyle name="集計 2 6 3 2 6" xfId="20208"/>
    <cellStyle name="集計 2 6 3 2 6 2" xfId="20209"/>
    <cellStyle name="集計 2 6 3 2 6 3" xfId="20210"/>
    <cellStyle name="集計 2 6 3 2 7" xfId="20211"/>
    <cellStyle name="集計 2 6 3 2 7 2" xfId="20212"/>
    <cellStyle name="集計 2 6 3 2 7 3" xfId="20213"/>
    <cellStyle name="集計 2 6 3 2 8" xfId="20214"/>
    <cellStyle name="集計 2 6 3 2 8 2" xfId="20215"/>
    <cellStyle name="集計 2 6 3 2 8 3" xfId="20216"/>
    <cellStyle name="集計 2 6 3 2 9" xfId="20217"/>
    <cellStyle name="集計 2 6 3 3" xfId="20218"/>
    <cellStyle name="集計 2 6 3 3 2" xfId="20219"/>
    <cellStyle name="集計 2 6 3 3 2 2" xfId="20220"/>
    <cellStyle name="集計 2 6 3 3 2 2 2" xfId="20221"/>
    <cellStyle name="集計 2 6 3 3 2 2 3" xfId="20222"/>
    <cellStyle name="集計 2 6 3 3 2 3" xfId="20223"/>
    <cellStyle name="集計 2 6 3 3 2 3 2" xfId="20224"/>
    <cellStyle name="集計 2 6 3 3 2 3 3" xfId="20225"/>
    <cellStyle name="集計 2 6 3 3 2 4" xfId="20226"/>
    <cellStyle name="集計 2 6 3 3 2 4 2" xfId="20227"/>
    <cellStyle name="集計 2 6 3 3 2 4 3" xfId="20228"/>
    <cellStyle name="集計 2 6 3 3 2 5" xfId="20229"/>
    <cellStyle name="集計 2 6 3 3 2 6" xfId="20230"/>
    <cellStyle name="集計 2 6 3 3 3" xfId="20231"/>
    <cellStyle name="集計 2 6 3 3 3 2" xfId="20232"/>
    <cellStyle name="集計 2 6 3 3 3 3" xfId="20233"/>
    <cellStyle name="集計 2 6 3 3 4" xfId="20234"/>
    <cellStyle name="集計 2 6 3 3 4 2" xfId="20235"/>
    <cellStyle name="集計 2 6 3 3 4 3" xfId="20236"/>
    <cellStyle name="集計 2 6 3 3 5" xfId="20237"/>
    <cellStyle name="集計 2 6 3 3 5 2" xfId="20238"/>
    <cellStyle name="集計 2 6 3 3 5 3" xfId="20239"/>
    <cellStyle name="集計 2 6 3 3 6" xfId="20240"/>
    <cellStyle name="集計 2 6 3 3 7" xfId="20241"/>
    <cellStyle name="集計 2 6 3 4" xfId="20242"/>
    <cellStyle name="集計 2 6 3 4 2" xfId="20243"/>
    <cellStyle name="集計 2 6 3 4 2 2" xfId="20244"/>
    <cellStyle name="集計 2 6 3 4 2 2 2" xfId="20245"/>
    <cellStyle name="集計 2 6 3 4 2 2 3" xfId="20246"/>
    <cellStyle name="集計 2 6 3 4 2 3" xfId="20247"/>
    <cellStyle name="集計 2 6 3 4 2 3 2" xfId="20248"/>
    <cellStyle name="集計 2 6 3 4 2 3 3" xfId="20249"/>
    <cellStyle name="集計 2 6 3 4 2 4" xfId="20250"/>
    <cellStyle name="集計 2 6 3 4 2 4 2" xfId="20251"/>
    <cellStyle name="集計 2 6 3 4 2 4 3" xfId="20252"/>
    <cellStyle name="集計 2 6 3 4 2 5" xfId="20253"/>
    <cellStyle name="集計 2 6 3 4 2 6" xfId="20254"/>
    <cellStyle name="集計 2 6 3 4 3" xfId="20255"/>
    <cellStyle name="集計 2 6 3 4 3 2" xfId="20256"/>
    <cellStyle name="集計 2 6 3 4 3 3" xfId="20257"/>
    <cellStyle name="集計 2 6 3 4 4" xfId="20258"/>
    <cellStyle name="集計 2 6 3 4 4 2" xfId="20259"/>
    <cellStyle name="集計 2 6 3 4 4 3" xfId="20260"/>
    <cellStyle name="集計 2 6 3 4 5" xfId="20261"/>
    <cellStyle name="集計 2 6 3 4 5 2" xfId="20262"/>
    <cellStyle name="集計 2 6 3 4 5 3" xfId="20263"/>
    <cellStyle name="集計 2 6 3 4 6" xfId="20264"/>
    <cellStyle name="集計 2 6 3 4 7" xfId="20265"/>
    <cellStyle name="集計 2 6 3 5" xfId="20266"/>
    <cellStyle name="集計 2 6 3 5 2" xfId="20267"/>
    <cellStyle name="集計 2 6 3 5 2 2" xfId="20268"/>
    <cellStyle name="集計 2 6 3 5 2 3" xfId="20269"/>
    <cellStyle name="集計 2 6 3 5 3" xfId="20270"/>
    <cellStyle name="集計 2 6 3 5 3 2" xfId="20271"/>
    <cellStyle name="集計 2 6 3 5 3 3" xfId="20272"/>
    <cellStyle name="集計 2 6 3 5 4" xfId="20273"/>
    <cellStyle name="集計 2 6 3 5 4 2" xfId="20274"/>
    <cellStyle name="集計 2 6 3 5 4 3" xfId="20275"/>
    <cellStyle name="集計 2 6 3 5 5" xfId="20276"/>
    <cellStyle name="集計 2 6 3 5 6" xfId="20277"/>
    <cellStyle name="集計 2 6 3 6" xfId="20278"/>
    <cellStyle name="集計 2 6 3 6 2" xfId="20279"/>
    <cellStyle name="集計 2 6 3 6 3" xfId="20280"/>
    <cellStyle name="集計 2 6 3 7" xfId="20281"/>
    <cellStyle name="集計 2 6 3 7 2" xfId="20282"/>
    <cellStyle name="集計 2 6 3 7 3" xfId="20283"/>
    <cellStyle name="集計 2 6 3 8" xfId="20284"/>
    <cellStyle name="集計 2 6 3 8 2" xfId="20285"/>
    <cellStyle name="集計 2 6 3 8 3" xfId="20286"/>
    <cellStyle name="集計 2 6 3 9" xfId="20287"/>
    <cellStyle name="集計 2 6 4" xfId="20288"/>
    <cellStyle name="集計 2 6 4 10" xfId="20289"/>
    <cellStyle name="集計 2 6 4 2" xfId="20290"/>
    <cellStyle name="集計 2 6 4 2 10" xfId="20291"/>
    <cellStyle name="集計 2 6 4 2 2" xfId="20292"/>
    <cellStyle name="集計 2 6 4 2 2 2" xfId="20293"/>
    <cellStyle name="集計 2 6 4 2 2 2 2" xfId="20294"/>
    <cellStyle name="集計 2 6 4 2 2 2 2 2" xfId="20295"/>
    <cellStyle name="集計 2 6 4 2 2 2 2 2 2" xfId="20296"/>
    <cellStyle name="集計 2 6 4 2 2 2 2 2 3" xfId="20297"/>
    <cellStyle name="集計 2 6 4 2 2 2 2 3" xfId="20298"/>
    <cellStyle name="集計 2 6 4 2 2 2 2 3 2" xfId="20299"/>
    <cellStyle name="集計 2 6 4 2 2 2 2 3 3" xfId="20300"/>
    <cellStyle name="集計 2 6 4 2 2 2 2 4" xfId="20301"/>
    <cellStyle name="集計 2 6 4 2 2 2 2 4 2" xfId="20302"/>
    <cellStyle name="集計 2 6 4 2 2 2 2 4 3" xfId="20303"/>
    <cellStyle name="集計 2 6 4 2 2 2 2 5" xfId="20304"/>
    <cellStyle name="集計 2 6 4 2 2 2 2 6" xfId="20305"/>
    <cellStyle name="集計 2 6 4 2 2 2 3" xfId="20306"/>
    <cellStyle name="集計 2 6 4 2 2 2 3 2" xfId="20307"/>
    <cellStyle name="集計 2 6 4 2 2 2 3 3" xfId="20308"/>
    <cellStyle name="集計 2 6 4 2 2 2 4" xfId="20309"/>
    <cellStyle name="集計 2 6 4 2 2 2 4 2" xfId="20310"/>
    <cellStyle name="集計 2 6 4 2 2 2 4 3" xfId="20311"/>
    <cellStyle name="集計 2 6 4 2 2 2 5" xfId="20312"/>
    <cellStyle name="集計 2 6 4 2 2 2 5 2" xfId="20313"/>
    <cellStyle name="集計 2 6 4 2 2 2 5 3" xfId="20314"/>
    <cellStyle name="集計 2 6 4 2 2 2 6" xfId="20315"/>
    <cellStyle name="集計 2 6 4 2 2 2 7" xfId="20316"/>
    <cellStyle name="集計 2 6 4 2 2 3" xfId="20317"/>
    <cellStyle name="集計 2 6 4 2 2 3 2" xfId="20318"/>
    <cellStyle name="集計 2 6 4 2 2 3 2 2" xfId="20319"/>
    <cellStyle name="集計 2 6 4 2 2 3 2 2 2" xfId="20320"/>
    <cellStyle name="集計 2 6 4 2 2 3 2 2 3" xfId="20321"/>
    <cellStyle name="集計 2 6 4 2 2 3 2 3" xfId="20322"/>
    <cellStyle name="集計 2 6 4 2 2 3 2 3 2" xfId="20323"/>
    <cellStyle name="集計 2 6 4 2 2 3 2 3 3" xfId="20324"/>
    <cellStyle name="集計 2 6 4 2 2 3 2 4" xfId="20325"/>
    <cellStyle name="集計 2 6 4 2 2 3 2 4 2" xfId="20326"/>
    <cellStyle name="集計 2 6 4 2 2 3 2 4 3" xfId="20327"/>
    <cellStyle name="集計 2 6 4 2 2 3 2 5" xfId="20328"/>
    <cellStyle name="集計 2 6 4 2 2 3 2 6" xfId="20329"/>
    <cellStyle name="集計 2 6 4 2 2 3 3" xfId="20330"/>
    <cellStyle name="集計 2 6 4 2 2 3 3 2" xfId="20331"/>
    <cellStyle name="集計 2 6 4 2 2 3 3 3" xfId="20332"/>
    <cellStyle name="集計 2 6 4 2 2 3 4" xfId="20333"/>
    <cellStyle name="集計 2 6 4 2 2 3 4 2" xfId="20334"/>
    <cellStyle name="集計 2 6 4 2 2 3 4 3" xfId="20335"/>
    <cellStyle name="集計 2 6 4 2 2 3 5" xfId="20336"/>
    <cellStyle name="集計 2 6 4 2 2 3 5 2" xfId="20337"/>
    <cellStyle name="集計 2 6 4 2 2 3 5 3" xfId="20338"/>
    <cellStyle name="集計 2 6 4 2 2 3 6" xfId="20339"/>
    <cellStyle name="集計 2 6 4 2 2 3 7" xfId="20340"/>
    <cellStyle name="集計 2 6 4 2 2 4" xfId="20341"/>
    <cellStyle name="集計 2 6 4 2 2 4 2" xfId="20342"/>
    <cellStyle name="集計 2 6 4 2 2 4 2 2" xfId="20343"/>
    <cellStyle name="集計 2 6 4 2 2 4 2 3" xfId="20344"/>
    <cellStyle name="集計 2 6 4 2 2 4 3" xfId="20345"/>
    <cellStyle name="集計 2 6 4 2 2 4 3 2" xfId="20346"/>
    <cellStyle name="集計 2 6 4 2 2 4 3 3" xfId="20347"/>
    <cellStyle name="集計 2 6 4 2 2 4 4" xfId="20348"/>
    <cellStyle name="集計 2 6 4 2 2 4 4 2" xfId="20349"/>
    <cellStyle name="集計 2 6 4 2 2 4 4 3" xfId="20350"/>
    <cellStyle name="集計 2 6 4 2 2 4 5" xfId="20351"/>
    <cellStyle name="集計 2 6 4 2 2 4 6" xfId="20352"/>
    <cellStyle name="集計 2 6 4 2 2 5" xfId="20353"/>
    <cellStyle name="集計 2 6 4 2 2 5 2" xfId="20354"/>
    <cellStyle name="集計 2 6 4 2 2 5 3" xfId="20355"/>
    <cellStyle name="集計 2 6 4 2 2 6" xfId="20356"/>
    <cellStyle name="集計 2 6 4 2 2 6 2" xfId="20357"/>
    <cellStyle name="集計 2 6 4 2 2 6 3" xfId="20358"/>
    <cellStyle name="集計 2 6 4 2 2 7" xfId="20359"/>
    <cellStyle name="集計 2 6 4 2 2 7 2" xfId="20360"/>
    <cellStyle name="集計 2 6 4 2 2 7 3" xfId="20361"/>
    <cellStyle name="集計 2 6 4 2 2 8" xfId="20362"/>
    <cellStyle name="集計 2 6 4 2 2 9" xfId="20363"/>
    <cellStyle name="集計 2 6 4 2 3" xfId="20364"/>
    <cellStyle name="集計 2 6 4 2 3 2" xfId="20365"/>
    <cellStyle name="集計 2 6 4 2 3 2 2" xfId="20366"/>
    <cellStyle name="集計 2 6 4 2 3 2 2 2" xfId="20367"/>
    <cellStyle name="集計 2 6 4 2 3 2 2 3" xfId="20368"/>
    <cellStyle name="集計 2 6 4 2 3 2 3" xfId="20369"/>
    <cellStyle name="集計 2 6 4 2 3 2 3 2" xfId="20370"/>
    <cellStyle name="集計 2 6 4 2 3 2 3 3" xfId="20371"/>
    <cellStyle name="集計 2 6 4 2 3 2 4" xfId="20372"/>
    <cellStyle name="集計 2 6 4 2 3 2 4 2" xfId="20373"/>
    <cellStyle name="集計 2 6 4 2 3 2 4 3" xfId="20374"/>
    <cellStyle name="集計 2 6 4 2 3 2 5" xfId="20375"/>
    <cellStyle name="集計 2 6 4 2 3 2 6" xfId="20376"/>
    <cellStyle name="集計 2 6 4 2 3 3" xfId="20377"/>
    <cellStyle name="集計 2 6 4 2 3 3 2" xfId="20378"/>
    <cellStyle name="集計 2 6 4 2 3 3 3" xfId="20379"/>
    <cellStyle name="集計 2 6 4 2 3 4" xfId="20380"/>
    <cellStyle name="集計 2 6 4 2 3 4 2" xfId="20381"/>
    <cellStyle name="集計 2 6 4 2 3 4 3" xfId="20382"/>
    <cellStyle name="集計 2 6 4 2 3 5" xfId="20383"/>
    <cellStyle name="集計 2 6 4 2 3 5 2" xfId="20384"/>
    <cellStyle name="集計 2 6 4 2 3 5 3" xfId="20385"/>
    <cellStyle name="集計 2 6 4 2 3 6" xfId="20386"/>
    <cellStyle name="集計 2 6 4 2 3 7" xfId="20387"/>
    <cellStyle name="集計 2 6 4 2 4" xfId="20388"/>
    <cellStyle name="集計 2 6 4 2 4 2" xfId="20389"/>
    <cellStyle name="集計 2 6 4 2 4 2 2" xfId="20390"/>
    <cellStyle name="集計 2 6 4 2 4 2 2 2" xfId="20391"/>
    <cellStyle name="集計 2 6 4 2 4 2 2 3" xfId="20392"/>
    <cellStyle name="集計 2 6 4 2 4 2 3" xfId="20393"/>
    <cellStyle name="集計 2 6 4 2 4 2 3 2" xfId="20394"/>
    <cellStyle name="集計 2 6 4 2 4 2 3 3" xfId="20395"/>
    <cellStyle name="集計 2 6 4 2 4 2 4" xfId="20396"/>
    <cellStyle name="集計 2 6 4 2 4 2 4 2" xfId="20397"/>
    <cellStyle name="集計 2 6 4 2 4 2 4 3" xfId="20398"/>
    <cellStyle name="集計 2 6 4 2 4 2 5" xfId="20399"/>
    <cellStyle name="集計 2 6 4 2 4 2 6" xfId="20400"/>
    <cellStyle name="集計 2 6 4 2 4 3" xfId="20401"/>
    <cellStyle name="集計 2 6 4 2 4 3 2" xfId="20402"/>
    <cellStyle name="集計 2 6 4 2 4 3 3" xfId="20403"/>
    <cellStyle name="集計 2 6 4 2 4 4" xfId="20404"/>
    <cellStyle name="集計 2 6 4 2 4 4 2" xfId="20405"/>
    <cellStyle name="集計 2 6 4 2 4 4 3" xfId="20406"/>
    <cellStyle name="集計 2 6 4 2 4 5" xfId="20407"/>
    <cellStyle name="集計 2 6 4 2 4 5 2" xfId="20408"/>
    <cellStyle name="集計 2 6 4 2 4 5 3" xfId="20409"/>
    <cellStyle name="集計 2 6 4 2 4 6" xfId="20410"/>
    <cellStyle name="集計 2 6 4 2 4 7" xfId="20411"/>
    <cellStyle name="集計 2 6 4 2 5" xfId="20412"/>
    <cellStyle name="集計 2 6 4 2 5 2" xfId="20413"/>
    <cellStyle name="集計 2 6 4 2 5 2 2" xfId="20414"/>
    <cellStyle name="集計 2 6 4 2 5 2 3" xfId="20415"/>
    <cellStyle name="集計 2 6 4 2 5 3" xfId="20416"/>
    <cellStyle name="集計 2 6 4 2 5 3 2" xfId="20417"/>
    <cellStyle name="集計 2 6 4 2 5 3 3" xfId="20418"/>
    <cellStyle name="集計 2 6 4 2 5 4" xfId="20419"/>
    <cellStyle name="集計 2 6 4 2 5 4 2" xfId="20420"/>
    <cellStyle name="集計 2 6 4 2 5 4 3" xfId="20421"/>
    <cellStyle name="集計 2 6 4 2 5 5" xfId="20422"/>
    <cellStyle name="集計 2 6 4 2 5 6" xfId="20423"/>
    <cellStyle name="集計 2 6 4 2 6" xfId="20424"/>
    <cellStyle name="集計 2 6 4 2 6 2" xfId="20425"/>
    <cellStyle name="集計 2 6 4 2 6 3" xfId="20426"/>
    <cellStyle name="集計 2 6 4 2 7" xfId="20427"/>
    <cellStyle name="集計 2 6 4 2 7 2" xfId="20428"/>
    <cellStyle name="集計 2 6 4 2 7 3" xfId="20429"/>
    <cellStyle name="集計 2 6 4 2 8" xfId="20430"/>
    <cellStyle name="集計 2 6 4 2 8 2" xfId="20431"/>
    <cellStyle name="集計 2 6 4 2 8 3" xfId="20432"/>
    <cellStyle name="集計 2 6 4 2 9" xfId="20433"/>
    <cellStyle name="集計 2 6 4 3" xfId="20434"/>
    <cellStyle name="集計 2 6 4 3 2" xfId="20435"/>
    <cellStyle name="集計 2 6 4 3 2 2" xfId="20436"/>
    <cellStyle name="集計 2 6 4 3 2 2 2" xfId="20437"/>
    <cellStyle name="集計 2 6 4 3 2 2 3" xfId="20438"/>
    <cellStyle name="集計 2 6 4 3 2 3" xfId="20439"/>
    <cellStyle name="集計 2 6 4 3 2 3 2" xfId="20440"/>
    <cellStyle name="集計 2 6 4 3 2 3 3" xfId="20441"/>
    <cellStyle name="集計 2 6 4 3 2 4" xfId="20442"/>
    <cellStyle name="集計 2 6 4 3 2 4 2" xfId="20443"/>
    <cellStyle name="集計 2 6 4 3 2 4 3" xfId="20444"/>
    <cellStyle name="集計 2 6 4 3 2 5" xfId="20445"/>
    <cellStyle name="集計 2 6 4 3 2 6" xfId="20446"/>
    <cellStyle name="集計 2 6 4 3 3" xfId="20447"/>
    <cellStyle name="集計 2 6 4 3 3 2" xfId="20448"/>
    <cellStyle name="集計 2 6 4 3 3 3" xfId="20449"/>
    <cellStyle name="集計 2 6 4 3 4" xfId="20450"/>
    <cellStyle name="集計 2 6 4 3 4 2" xfId="20451"/>
    <cellStyle name="集計 2 6 4 3 4 3" xfId="20452"/>
    <cellStyle name="集計 2 6 4 3 5" xfId="20453"/>
    <cellStyle name="集計 2 6 4 3 5 2" xfId="20454"/>
    <cellStyle name="集計 2 6 4 3 5 3" xfId="20455"/>
    <cellStyle name="集計 2 6 4 3 6" xfId="20456"/>
    <cellStyle name="集計 2 6 4 3 7" xfId="20457"/>
    <cellStyle name="集計 2 6 4 4" xfId="20458"/>
    <cellStyle name="集計 2 6 4 4 2" xfId="20459"/>
    <cellStyle name="集計 2 6 4 4 2 2" xfId="20460"/>
    <cellStyle name="集計 2 6 4 4 2 2 2" xfId="20461"/>
    <cellStyle name="集計 2 6 4 4 2 2 3" xfId="20462"/>
    <cellStyle name="集計 2 6 4 4 2 3" xfId="20463"/>
    <cellStyle name="集計 2 6 4 4 2 3 2" xfId="20464"/>
    <cellStyle name="集計 2 6 4 4 2 3 3" xfId="20465"/>
    <cellStyle name="集計 2 6 4 4 2 4" xfId="20466"/>
    <cellStyle name="集計 2 6 4 4 2 4 2" xfId="20467"/>
    <cellStyle name="集計 2 6 4 4 2 4 3" xfId="20468"/>
    <cellStyle name="集計 2 6 4 4 2 5" xfId="20469"/>
    <cellStyle name="集計 2 6 4 4 2 6" xfId="20470"/>
    <cellStyle name="集計 2 6 4 4 3" xfId="20471"/>
    <cellStyle name="集計 2 6 4 4 3 2" xfId="20472"/>
    <cellStyle name="集計 2 6 4 4 3 3" xfId="20473"/>
    <cellStyle name="集計 2 6 4 4 4" xfId="20474"/>
    <cellStyle name="集計 2 6 4 4 4 2" xfId="20475"/>
    <cellStyle name="集計 2 6 4 4 4 3" xfId="20476"/>
    <cellStyle name="集計 2 6 4 4 5" xfId="20477"/>
    <cellStyle name="集計 2 6 4 4 5 2" xfId="20478"/>
    <cellStyle name="集計 2 6 4 4 5 3" xfId="20479"/>
    <cellStyle name="集計 2 6 4 4 6" xfId="20480"/>
    <cellStyle name="集計 2 6 4 4 7" xfId="20481"/>
    <cellStyle name="集計 2 6 4 5" xfId="20482"/>
    <cellStyle name="集計 2 6 4 5 2" xfId="20483"/>
    <cellStyle name="集計 2 6 4 5 2 2" xfId="20484"/>
    <cellStyle name="集計 2 6 4 5 2 3" xfId="20485"/>
    <cellStyle name="集計 2 6 4 5 3" xfId="20486"/>
    <cellStyle name="集計 2 6 4 5 3 2" xfId="20487"/>
    <cellStyle name="集計 2 6 4 5 3 3" xfId="20488"/>
    <cellStyle name="集計 2 6 4 5 4" xfId="20489"/>
    <cellStyle name="集計 2 6 4 5 4 2" xfId="20490"/>
    <cellStyle name="集計 2 6 4 5 4 3" xfId="20491"/>
    <cellStyle name="集計 2 6 4 5 5" xfId="20492"/>
    <cellStyle name="集計 2 6 4 5 6" xfId="20493"/>
    <cellStyle name="集計 2 6 4 6" xfId="20494"/>
    <cellStyle name="集計 2 6 4 6 2" xfId="20495"/>
    <cellStyle name="集計 2 6 4 6 3" xfId="20496"/>
    <cellStyle name="集計 2 6 4 7" xfId="20497"/>
    <cellStyle name="集計 2 6 4 7 2" xfId="20498"/>
    <cellStyle name="集計 2 6 4 7 3" xfId="20499"/>
    <cellStyle name="集計 2 6 4 8" xfId="20500"/>
    <cellStyle name="集計 2 6 4 8 2" xfId="20501"/>
    <cellStyle name="集計 2 6 4 8 3" xfId="20502"/>
    <cellStyle name="集計 2 6 4 9" xfId="20503"/>
    <cellStyle name="集計 2 6 5" xfId="20504"/>
    <cellStyle name="集計 2 6 5 10" xfId="20505"/>
    <cellStyle name="集計 2 6 5 2" xfId="20506"/>
    <cellStyle name="集計 2 6 5 2 2" xfId="20507"/>
    <cellStyle name="集計 2 6 5 2 2 2" xfId="20508"/>
    <cellStyle name="集計 2 6 5 2 2 2 2" xfId="20509"/>
    <cellStyle name="集計 2 6 5 2 2 2 2 2" xfId="20510"/>
    <cellStyle name="集計 2 6 5 2 2 2 2 3" xfId="20511"/>
    <cellStyle name="集計 2 6 5 2 2 2 3" xfId="20512"/>
    <cellStyle name="集計 2 6 5 2 2 2 3 2" xfId="20513"/>
    <cellStyle name="集計 2 6 5 2 2 2 3 3" xfId="20514"/>
    <cellStyle name="集計 2 6 5 2 2 2 4" xfId="20515"/>
    <cellStyle name="集計 2 6 5 2 2 2 4 2" xfId="20516"/>
    <cellStyle name="集計 2 6 5 2 2 2 4 3" xfId="20517"/>
    <cellStyle name="集計 2 6 5 2 2 2 5" xfId="20518"/>
    <cellStyle name="集計 2 6 5 2 2 2 6" xfId="20519"/>
    <cellStyle name="集計 2 6 5 2 2 3" xfId="20520"/>
    <cellStyle name="集計 2 6 5 2 2 3 2" xfId="20521"/>
    <cellStyle name="集計 2 6 5 2 2 3 3" xfId="20522"/>
    <cellStyle name="集計 2 6 5 2 2 4" xfId="20523"/>
    <cellStyle name="集計 2 6 5 2 2 4 2" xfId="20524"/>
    <cellStyle name="集計 2 6 5 2 2 4 3" xfId="20525"/>
    <cellStyle name="集計 2 6 5 2 2 5" xfId="20526"/>
    <cellStyle name="集計 2 6 5 2 2 5 2" xfId="20527"/>
    <cellStyle name="集計 2 6 5 2 2 5 3" xfId="20528"/>
    <cellStyle name="集計 2 6 5 2 2 6" xfId="20529"/>
    <cellStyle name="集計 2 6 5 2 2 7" xfId="20530"/>
    <cellStyle name="集計 2 6 5 2 3" xfId="20531"/>
    <cellStyle name="集計 2 6 5 2 3 2" xfId="20532"/>
    <cellStyle name="集計 2 6 5 2 3 2 2" xfId="20533"/>
    <cellStyle name="集計 2 6 5 2 3 2 2 2" xfId="20534"/>
    <cellStyle name="集計 2 6 5 2 3 2 2 3" xfId="20535"/>
    <cellStyle name="集計 2 6 5 2 3 2 3" xfId="20536"/>
    <cellStyle name="集計 2 6 5 2 3 2 3 2" xfId="20537"/>
    <cellStyle name="集計 2 6 5 2 3 2 3 3" xfId="20538"/>
    <cellStyle name="集計 2 6 5 2 3 2 4" xfId="20539"/>
    <cellStyle name="集計 2 6 5 2 3 2 4 2" xfId="20540"/>
    <cellStyle name="集計 2 6 5 2 3 2 4 3" xfId="20541"/>
    <cellStyle name="集計 2 6 5 2 3 2 5" xfId="20542"/>
    <cellStyle name="集計 2 6 5 2 3 2 6" xfId="20543"/>
    <cellStyle name="集計 2 6 5 2 3 3" xfId="20544"/>
    <cellStyle name="集計 2 6 5 2 3 3 2" xfId="20545"/>
    <cellStyle name="集計 2 6 5 2 3 3 3" xfId="20546"/>
    <cellStyle name="集計 2 6 5 2 3 4" xfId="20547"/>
    <cellStyle name="集計 2 6 5 2 3 4 2" xfId="20548"/>
    <cellStyle name="集計 2 6 5 2 3 4 3" xfId="20549"/>
    <cellStyle name="集計 2 6 5 2 3 5" xfId="20550"/>
    <cellStyle name="集計 2 6 5 2 3 5 2" xfId="20551"/>
    <cellStyle name="集計 2 6 5 2 3 5 3" xfId="20552"/>
    <cellStyle name="集計 2 6 5 2 3 6" xfId="20553"/>
    <cellStyle name="集計 2 6 5 2 3 7" xfId="20554"/>
    <cellStyle name="集計 2 6 5 2 4" xfId="20555"/>
    <cellStyle name="集計 2 6 5 2 4 2" xfId="20556"/>
    <cellStyle name="集計 2 6 5 2 4 2 2" xfId="20557"/>
    <cellStyle name="集計 2 6 5 2 4 2 3" xfId="20558"/>
    <cellStyle name="集計 2 6 5 2 4 3" xfId="20559"/>
    <cellStyle name="集計 2 6 5 2 4 3 2" xfId="20560"/>
    <cellStyle name="集計 2 6 5 2 4 3 3" xfId="20561"/>
    <cellStyle name="集計 2 6 5 2 4 4" xfId="20562"/>
    <cellStyle name="集計 2 6 5 2 4 4 2" xfId="20563"/>
    <cellStyle name="集計 2 6 5 2 4 4 3" xfId="20564"/>
    <cellStyle name="集計 2 6 5 2 4 5" xfId="20565"/>
    <cellStyle name="集計 2 6 5 2 4 6" xfId="20566"/>
    <cellStyle name="集計 2 6 5 2 5" xfId="20567"/>
    <cellStyle name="集計 2 6 5 2 5 2" xfId="20568"/>
    <cellStyle name="集計 2 6 5 2 5 3" xfId="20569"/>
    <cellStyle name="集計 2 6 5 2 6" xfId="20570"/>
    <cellStyle name="集計 2 6 5 2 6 2" xfId="20571"/>
    <cellStyle name="集計 2 6 5 2 6 3" xfId="20572"/>
    <cellStyle name="集計 2 6 5 2 7" xfId="20573"/>
    <cellStyle name="集計 2 6 5 2 7 2" xfId="20574"/>
    <cellStyle name="集計 2 6 5 2 7 3" xfId="20575"/>
    <cellStyle name="集計 2 6 5 2 8" xfId="20576"/>
    <cellStyle name="集計 2 6 5 2 9" xfId="20577"/>
    <cellStyle name="集計 2 6 5 3" xfId="20578"/>
    <cellStyle name="集計 2 6 5 3 2" xfId="20579"/>
    <cellStyle name="集計 2 6 5 3 2 2" xfId="20580"/>
    <cellStyle name="集計 2 6 5 3 2 2 2" xfId="20581"/>
    <cellStyle name="集計 2 6 5 3 2 2 3" xfId="20582"/>
    <cellStyle name="集計 2 6 5 3 2 3" xfId="20583"/>
    <cellStyle name="集計 2 6 5 3 2 3 2" xfId="20584"/>
    <cellStyle name="集計 2 6 5 3 2 3 3" xfId="20585"/>
    <cellStyle name="集計 2 6 5 3 2 4" xfId="20586"/>
    <cellStyle name="集計 2 6 5 3 2 4 2" xfId="20587"/>
    <cellStyle name="集計 2 6 5 3 2 4 3" xfId="20588"/>
    <cellStyle name="集計 2 6 5 3 2 5" xfId="20589"/>
    <cellStyle name="集計 2 6 5 3 2 6" xfId="20590"/>
    <cellStyle name="集計 2 6 5 3 3" xfId="20591"/>
    <cellStyle name="集計 2 6 5 3 3 2" xfId="20592"/>
    <cellStyle name="集計 2 6 5 3 3 3" xfId="20593"/>
    <cellStyle name="集計 2 6 5 3 4" xfId="20594"/>
    <cellStyle name="集計 2 6 5 3 4 2" xfId="20595"/>
    <cellStyle name="集計 2 6 5 3 4 3" xfId="20596"/>
    <cellStyle name="集計 2 6 5 3 5" xfId="20597"/>
    <cellStyle name="集計 2 6 5 3 5 2" xfId="20598"/>
    <cellStyle name="集計 2 6 5 3 5 3" xfId="20599"/>
    <cellStyle name="集計 2 6 5 3 6" xfId="20600"/>
    <cellStyle name="集計 2 6 5 3 7" xfId="20601"/>
    <cellStyle name="集計 2 6 5 4" xfId="20602"/>
    <cellStyle name="集計 2 6 5 4 2" xfId="20603"/>
    <cellStyle name="集計 2 6 5 4 2 2" xfId="20604"/>
    <cellStyle name="集計 2 6 5 4 2 2 2" xfId="20605"/>
    <cellStyle name="集計 2 6 5 4 2 2 3" xfId="20606"/>
    <cellStyle name="集計 2 6 5 4 2 3" xfId="20607"/>
    <cellStyle name="集計 2 6 5 4 2 3 2" xfId="20608"/>
    <cellStyle name="集計 2 6 5 4 2 3 3" xfId="20609"/>
    <cellStyle name="集計 2 6 5 4 2 4" xfId="20610"/>
    <cellStyle name="集計 2 6 5 4 2 4 2" xfId="20611"/>
    <cellStyle name="集計 2 6 5 4 2 4 3" xfId="20612"/>
    <cellStyle name="集計 2 6 5 4 2 5" xfId="20613"/>
    <cellStyle name="集計 2 6 5 4 2 6" xfId="20614"/>
    <cellStyle name="集計 2 6 5 4 3" xfId="20615"/>
    <cellStyle name="集計 2 6 5 4 3 2" xfId="20616"/>
    <cellStyle name="集計 2 6 5 4 3 3" xfId="20617"/>
    <cellStyle name="集計 2 6 5 4 4" xfId="20618"/>
    <cellStyle name="集計 2 6 5 4 4 2" xfId="20619"/>
    <cellStyle name="集計 2 6 5 4 4 3" xfId="20620"/>
    <cellStyle name="集計 2 6 5 4 5" xfId="20621"/>
    <cellStyle name="集計 2 6 5 4 5 2" xfId="20622"/>
    <cellStyle name="集計 2 6 5 4 5 3" xfId="20623"/>
    <cellStyle name="集計 2 6 5 4 6" xfId="20624"/>
    <cellStyle name="集計 2 6 5 4 7" xfId="20625"/>
    <cellStyle name="集計 2 6 5 5" xfId="20626"/>
    <cellStyle name="集計 2 6 5 5 2" xfId="20627"/>
    <cellStyle name="集計 2 6 5 5 2 2" xfId="20628"/>
    <cellStyle name="集計 2 6 5 5 2 3" xfId="20629"/>
    <cellStyle name="集計 2 6 5 5 3" xfId="20630"/>
    <cellStyle name="集計 2 6 5 5 3 2" xfId="20631"/>
    <cellStyle name="集計 2 6 5 5 3 3" xfId="20632"/>
    <cellStyle name="集計 2 6 5 5 4" xfId="20633"/>
    <cellStyle name="集計 2 6 5 5 4 2" xfId="20634"/>
    <cellStyle name="集計 2 6 5 5 4 3" xfId="20635"/>
    <cellStyle name="集計 2 6 5 5 5" xfId="20636"/>
    <cellStyle name="集計 2 6 5 5 6" xfId="20637"/>
    <cellStyle name="集計 2 6 5 6" xfId="20638"/>
    <cellStyle name="集計 2 6 5 6 2" xfId="20639"/>
    <cellStyle name="集計 2 6 5 6 3" xfId="20640"/>
    <cellStyle name="集計 2 6 5 7" xfId="20641"/>
    <cellStyle name="集計 2 6 5 7 2" xfId="20642"/>
    <cellStyle name="集計 2 6 5 7 3" xfId="20643"/>
    <cellStyle name="集計 2 6 5 8" xfId="20644"/>
    <cellStyle name="集計 2 6 5 8 2" xfId="20645"/>
    <cellStyle name="集計 2 6 5 8 3" xfId="20646"/>
    <cellStyle name="集計 2 6 5 9" xfId="20647"/>
    <cellStyle name="集計 2 6 6" xfId="20648"/>
    <cellStyle name="集計 2 6 6 10" xfId="20649"/>
    <cellStyle name="集計 2 6 6 2" xfId="20650"/>
    <cellStyle name="集計 2 6 6 2 2" xfId="20651"/>
    <cellStyle name="集計 2 6 6 2 2 2" xfId="20652"/>
    <cellStyle name="集計 2 6 6 2 2 2 2" xfId="20653"/>
    <cellStyle name="集計 2 6 6 2 2 2 2 2" xfId="20654"/>
    <cellStyle name="集計 2 6 6 2 2 2 2 3" xfId="20655"/>
    <cellStyle name="集計 2 6 6 2 2 2 3" xfId="20656"/>
    <cellStyle name="集計 2 6 6 2 2 2 3 2" xfId="20657"/>
    <cellStyle name="集計 2 6 6 2 2 2 3 3" xfId="20658"/>
    <cellStyle name="集計 2 6 6 2 2 2 4" xfId="20659"/>
    <cellStyle name="集計 2 6 6 2 2 2 4 2" xfId="20660"/>
    <cellStyle name="集計 2 6 6 2 2 2 4 3" xfId="20661"/>
    <cellStyle name="集計 2 6 6 2 2 2 5" xfId="20662"/>
    <cellStyle name="集計 2 6 6 2 2 2 6" xfId="20663"/>
    <cellStyle name="集計 2 6 6 2 2 3" xfId="20664"/>
    <cellStyle name="集計 2 6 6 2 2 3 2" xfId="20665"/>
    <cellStyle name="集計 2 6 6 2 2 3 3" xfId="20666"/>
    <cellStyle name="集計 2 6 6 2 2 4" xfId="20667"/>
    <cellStyle name="集計 2 6 6 2 2 4 2" xfId="20668"/>
    <cellStyle name="集計 2 6 6 2 2 4 3" xfId="20669"/>
    <cellStyle name="集計 2 6 6 2 2 5" xfId="20670"/>
    <cellStyle name="集計 2 6 6 2 2 5 2" xfId="20671"/>
    <cellStyle name="集計 2 6 6 2 2 5 3" xfId="20672"/>
    <cellStyle name="集計 2 6 6 2 2 6" xfId="20673"/>
    <cellStyle name="集計 2 6 6 2 2 7" xfId="20674"/>
    <cellStyle name="集計 2 6 6 2 3" xfId="20675"/>
    <cellStyle name="集計 2 6 6 2 3 2" xfId="20676"/>
    <cellStyle name="集計 2 6 6 2 3 2 2" xfId="20677"/>
    <cellStyle name="集計 2 6 6 2 3 2 2 2" xfId="20678"/>
    <cellStyle name="集計 2 6 6 2 3 2 2 3" xfId="20679"/>
    <cellStyle name="集計 2 6 6 2 3 2 3" xfId="20680"/>
    <cellStyle name="集計 2 6 6 2 3 2 3 2" xfId="20681"/>
    <cellStyle name="集計 2 6 6 2 3 2 3 3" xfId="20682"/>
    <cellStyle name="集計 2 6 6 2 3 2 4" xfId="20683"/>
    <cellStyle name="集計 2 6 6 2 3 2 4 2" xfId="20684"/>
    <cellStyle name="集計 2 6 6 2 3 2 4 3" xfId="20685"/>
    <cellStyle name="集計 2 6 6 2 3 2 5" xfId="20686"/>
    <cellStyle name="集計 2 6 6 2 3 2 6" xfId="20687"/>
    <cellStyle name="集計 2 6 6 2 3 3" xfId="20688"/>
    <cellStyle name="集計 2 6 6 2 3 3 2" xfId="20689"/>
    <cellStyle name="集計 2 6 6 2 3 3 3" xfId="20690"/>
    <cellStyle name="集計 2 6 6 2 3 4" xfId="20691"/>
    <cellStyle name="集計 2 6 6 2 3 4 2" xfId="20692"/>
    <cellStyle name="集計 2 6 6 2 3 4 3" xfId="20693"/>
    <cellStyle name="集計 2 6 6 2 3 5" xfId="20694"/>
    <cellStyle name="集計 2 6 6 2 3 5 2" xfId="20695"/>
    <cellStyle name="集計 2 6 6 2 3 5 3" xfId="20696"/>
    <cellStyle name="集計 2 6 6 2 3 6" xfId="20697"/>
    <cellStyle name="集計 2 6 6 2 3 7" xfId="20698"/>
    <cellStyle name="集計 2 6 6 2 4" xfId="20699"/>
    <cellStyle name="集計 2 6 6 2 4 2" xfId="20700"/>
    <cellStyle name="集計 2 6 6 2 4 2 2" xfId="20701"/>
    <cellStyle name="集計 2 6 6 2 4 2 3" xfId="20702"/>
    <cellStyle name="集計 2 6 6 2 4 3" xfId="20703"/>
    <cellStyle name="集計 2 6 6 2 4 3 2" xfId="20704"/>
    <cellStyle name="集計 2 6 6 2 4 3 3" xfId="20705"/>
    <cellStyle name="集計 2 6 6 2 4 4" xfId="20706"/>
    <cellStyle name="集計 2 6 6 2 4 4 2" xfId="20707"/>
    <cellStyle name="集計 2 6 6 2 4 4 3" xfId="20708"/>
    <cellStyle name="集計 2 6 6 2 4 5" xfId="20709"/>
    <cellStyle name="集計 2 6 6 2 4 6" xfId="20710"/>
    <cellStyle name="集計 2 6 6 2 5" xfId="20711"/>
    <cellStyle name="集計 2 6 6 2 5 2" xfId="20712"/>
    <cellStyle name="集計 2 6 6 2 5 3" xfId="20713"/>
    <cellStyle name="集計 2 6 6 2 6" xfId="20714"/>
    <cellStyle name="集計 2 6 6 2 6 2" xfId="20715"/>
    <cellStyle name="集計 2 6 6 2 6 3" xfId="20716"/>
    <cellStyle name="集計 2 6 6 2 7" xfId="20717"/>
    <cellStyle name="集計 2 6 6 2 7 2" xfId="20718"/>
    <cellStyle name="集計 2 6 6 2 7 3" xfId="20719"/>
    <cellStyle name="集計 2 6 6 2 8" xfId="20720"/>
    <cellStyle name="集計 2 6 6 2 9" xfId="20721"/>
    <cellStyle name="集計 2 6 6 3" xfId="20722"/>
    <cellStyle name="集計 2 6 6 3 2" xfId="20723"/>
    <cellStyle name="集計 2 6 6 3 2 2" xfId="20724"/>
    <cellStyle name="集計 2 6 6 3 2 2 2" xfId="20725"/>
    <cellStyle name="集計 2 6 6 3 2 2 3" xfId="20726"/>
    <cellStyle name="集計 2 6 6 3 2 3" xfId="20727"/>
    <cellStyle name="集計 2 6 6 3 2 3 2" xfId="20728"/>
    <cellStyle name="集計 2 6 6 3 2 3 3" xfId="20729"/>
    <cellStyle name="集計 2 6 6 3 2 4" xfId="20730"/>
    <cellStyle name="集計 2 6 6 3 2 4 2" xfId="20731"/>
    <cellStyle name="集計 2 6 6 3 2 4 3" xfId="20732"/>
    <cellStyle name="集計 2 6 6 3 2 5" xfId="20733"/>
    <cellStyle name="集計 2 6 6 3 2 6" xfId="20734"/>
    <cellStyle name="集計 2 6 6 3 3" xfId="20735"/>
    <cellStyle name="集計 2 6 6 3 3 2" xfId="20736"/>
    <cellStyle name="集計 2 6 6 3 3 3" xfId="20737"/>
    <cellStyle name="集計 2 6 6 3 4" xfId="20738"/>
    <cellStyle name="集計 2 6 6 3 4 2" xfId="20739"/>
    <cellStyle name="集計 2 6 6 3 4 3" xfId="20740"/>
    <cellStyle name="集計 2 6 6 3 5" xfId="20741"/>
    <cellStyle name="集計 2 6 6 3 5 2" xfId="20742"/>
    <cellStyle name="集計 2 6 6 3 5 3" xfId="20743"/>
    <cellStyle name="集計 2 6 6 3 6" xfId="20744"/>
    <cellStyle name="集計 2 6 6 3 7" xfId="20745"/>
    <cellStyle name="集計 2 6 6 4" xfId="20746"/>
    <cellStyle name="集計 2 6 6 4 2" xfId="20747"/>
    <cellStyle name="集計 2 6 6 4 2 2" xfId="20748"/>
    <cellStyle name="集計 2 6 6 4 2 2 2" xfId="20749"/>
    <cellStyle name="集計 2 6 6 4 2 2 3" xfId="20750"/>
    <cellStyle name="集計 2 6 6 4 2 3" xfId="20751"/>
    <cellStyle name="集計 2 6 6 4 2 3 2" xfId="20752"/>
    <cellStyle name="集計 2 6 6 4 2 3 3" xfId="20753"/>
    <cellStyle name="集計 2 6 6 4 2 4" xfId="20754"/>
    <cellStyle name="集計 2 6 6 4 2 4 2" xfId="20755"/>
    <cellStyle name="集計 2 6 6 4 2 4 3" xfId="20756"/>
    <cellStyle name="集計 2 6 6 4 2 5" xfId="20757"/>
    <cellStyle name="集計 2 6 6 4 2 6" xfId="20758"/>
    <cellStyle name="集計 2 6 6 4 3" xfId="20759"/>
    <cellStyle name="集計 2 6 6 4 3 2" xfId="20760"/>
    <cellStyle name="集計 2 6 6 4 3 3" xfId="20761"/>
    <cellStyle name="集計 2 6 6 4 4" xfId="20762"/>
    <cellStyle name="集計 2 6 6 4 4 2" xfId="20763"/>
    <cellStyle name="集計 2 6 6 4 4 3" xfId="20764"/>
    <cellStyle name="集計 2 6 6 4 5" xfId="20765"/>
    <cellStyle name="集計 2 6 6 4 5 2" xfId="20766"/>
    <cellStyle name="集計 2 6 6 4 5 3" xfId="20767"/>
    <cellStyle name="集計 2 6 6 4 6" xfId="20768"/>
    <cellStyle name="集計 2 6 6 4 7" xfId="20769"/>
    <cellStyle name="集計 2 6 6 5" xfId="20770"/>
    <cellStyle name="集計 2 6 6 5 2" xfId="20771"/>
    <cellStyle name="集計 2 6 6 5 2 2" xfId="20772"/>
    <cellStyle name="集計 2 6 6 5 2 3" xfId="20773"/>
    <cellStyle name="集計 2 6 6 5 3" xfId="20774"/>
    <cellStyle name="集計 2 6 6 5 3 2" xfId="20775"/>
    <cellStyle name="集計 2 6 6 5 3 3" xfId="20776"/>
    <cellStyle name="集計 2 6 6 5 4" xfId="20777"/>
    <cellStyle name="集計 2 6 6 5 4 2" xfId="20778"/>
    <cellStyle name="集計 2 6 6 5 4 3" xfId="20779"/>
    <cellStyle name="集計 2 6 6 5 5" xfId="20780"/>
    <cellStyle name="集計 2 6 6 5 6" xfId="20781"/>
    <cellStyle name="集計 2 6 6 6" xfId="20782"/>
    <cellStyle name="集計 2 6 6 6 2" xfId="20783"/>
    <cellStyle name="集計 2 6 6 6 3" xfId="20784"/>
    <cellStyle name="集計 2 6 6 7" xfId="20785"/>
    <cellStyle name="集計 2 6 6 7 2" xfId="20786"/>
    <cellStyle name="集計 2 6 6 7 3" xfId="20787"/>
    <cellStyle name="集計 2 6 6 8" xfId="20788"/>
    <cellStyle name="集計 2 6 6 8 2" xfId="20789"/>
    <cellStyle name="集計 2 6 6 8 3" xfId="20790"/>
    <cellStyle name="集計 2 6 6 9" xfId="20791"/>
    <cellStyle name="集計 2 6 7" xfId="20792"/>
    <cellStyle name="集計 2 6 7 2" xfId="20793"/>
    <cellStyle name="集計 2 6 7 2 2" xfId="20794"/>
    <cellStyle name="集計 2 6 7 2 2 2" xfId="20795"/>
    <cellStyle name="集計 2 6 7 2 2 3" xfId="20796"/>
    <cellStyle name="集計 2 6 7 2 3" xfId="20797"/>
    <cellStyle name="集計 2 6 7 2 3 2" xfId="20798"/>
    <cellStyle name="集計 2 6 7 2 3 3" xfId="20799"/>
    <cellStyle name="集計 2 6 7 2 4" xfId="20800"/>
    <cellStyle name="集計 2 6 7 2 4 2" xfId="20801"/>
    <cellStyle name="集計 2 6 7 2 4 3" xfId="20802"/>
    <cellStyle name="集計 2 6 7 2 5" xfId="20803"/>
    <cellStyle name="集計 2 6 7 2 6" xfId="20804"/>
    <cellStyle name="集計 2 6 7 3" xfId="20805"/>
    <cellStyle name="集計 2 6 7 3 2" xfId="20806"/>
    <cellStyle name="集計 2 6 7 3 3" xfId="20807"/>
    <cellStyle name="集計 2 6 7 4" xfId="20808"/>
    <cellStyle name="集計 2 6 7 4 2" xfId="20809"/>
    <cellStyle name="集計 2 6 7 4 3" xfId="20810"/>
    <cellStyle name="集計 2 6 7 5" xfId="20811"/>
    <cellStyle name="集計 2 6 7 5 2" xfId="20812"/>
    <cellStyle name="集計 2 6 7 5 3" xfId="20813"/>
    <cellStyle name="集計 2 6 7 6" xfId="20814"/>
    <cellStyle name="集計 2 6 7 7" xfId="20815"/>
    <cellStyle name="集計 2 6 8" xfId="20816"/>
    <cellStyle name="集計 2 6 8 2" xfId="20817"/>
    <cellStyle name="集計 2 6 8 2 2" xfId="20818"/>
    <cellStyle name="集計 2 6 8 2 2 2" xfId="20819"/>
    <cellStyle name="集計 2 6 8 2 2 3" xfId="20820"/>
    <cellStyle name="集計 2 6 8 2 3" xfId="20821"/>
    <cellStyle name="集計 2 6 8 2 3 2" xfId="20822"/>
    <cellStyle name="集計 2 6 8 2 3 3" xfId="20823"/>
    <cellStyle name="集計 2 6 8 2 4" xfId="20824"/>
    <cellStyle name="集計 2 6 8 2 4 2" xfId="20825"/>
    <cellStyle name="集計 2 6 8 2 4 3" xfId="20826"/>
    <cellStyle name="集計 2 6 8 2 5" xfId="20827"/>
    <cellStyle name="集計 2 6 8 2 6" xfId="20828"/>
    <cellStyle name="集計 2 6 8 3" xfId="20829"/>
    <cellStyle name="集計 2 6 8 3 2" xfId="20830"/>
    <cellStyle name="集計 2 6 8 3 3" xfId="20831"/>
    <cellStyle name="集計 2 6 8 4" xfId="20832"/>
    <cellStyle name="集計 2 6 8 4 2" xfId="20833"/>
    <cellStyle name="集計 2 6 8 4 3" xfId="20834"/>
    <cellStyle name="集計 2 6 8 5" xfId="20835"/>
    <cellStyle name="集計 2 6 8 5 2" xfId="20836"/>
    <cellStyle name="集計 2 6 8 5 3" xfId="20837"/>
    <cellStyle name="集計 2 6 8 6" xfId="20838"/>
    <cellStyle name="集計 2 6 8 7" xfId="20839"/>
    <cellStyle name="集計 2 6 9" xfId="20840"/>
    <cellStyle name="集計 2 6 9 2" xfId="20841"/>
    <cellStyle name="集計 2 6 9 2 2" xfId="20842"/>
    <cellStyle name="集計 2 6 9 2 3" xfId="20843"/>
    <cellStyle name="集計 2 6 9 3" xfId="20844"/>
    <cellStyle name="集計 2 6 9 3 2" xfId="20845"/>
    <cellStyle name="集計 2 6 9 3 3" xfId="20846"/>
    <cellStyle name="集計 2 6 9 4" xfId="20847"/>
    <cellStyle name="集計 2 6 9 4 2" xfId="20848"/>
    <cellStyle name="集計 2 6 9 4 3" xfId="20849"/>
    <cellStyle name="集計 2 6 9 5" xfId="20850"/>
    <cellStyle name="集計 2 6 9 6" xfId="20851"/>
    <cellStyle name="集計 2 7" xfId="20852"/>
    <cellStyle name="集計 2 7 10" xfId="20853"/>
    <cellStyle name="集計 2 7 10 2" xfId="20854"/>
    <cellStyle name="集計 2 7 10 3" xfId="20855"/>
    <cellStyle name="集計 2 7 11" xfId="20856"/>
    <cellStyle name="集計 2 7 11 2" xfId="20857"/>
    <cellStyle name="集計 2 7 11 3" xfId="20858"/>
    <cellStyle name="集計 2 7 12" xfId="20859"/>
    <cellStyle name="集計 2 7 12 2" xfId="20860"/>
    <cellStyle name="集計 2 7 12 3" xfId="20861"/>
    <cellStyle name="集計 2 7 13" xfId="20862"/>
    <cellStyle name="集計 2 7 14" xfId="20863"/>
    <cellStyle name="集計 2 7 2" xfId="20864"/>
    <cellStyle name="集計 2 7 2 10" xfId="20865"/>
    <cellStyle name="集計 2 7 2 2" xfId="20866"/>
    <cellStyle name="集計 2 7 2 2 10" xfId="20867"/>
    <cellStyle name="集計 2 7 2 2 2" xfId="20868"/>
    <cellStyle name="集計 2 7 2 2 2 2" xfId="20869"/>
    <cellStyle name="集計 2 7 2 2 2 2 2" xfId="20870"/>
    <cellStyle name="集計 2 7 2 2 2 2 2 2" xfId="20871"/>
    <cellStyle name="集計 2 7 2 2 2 2 2 2 2" xfId="20872"/>
    <cellStyle name="集計 2 7 2 2 2 2 2 2 3" xfId="20873"/>
    <cellStyle name="集計 2 7 2 2 2 2 2 3" xfId="20874"/>
    <cellStyle name="集計 2 7 2 2 2 2 2 3 2" xfId="20875"/>
    <cellStyle name="集計 2 7 2 2 2 2 2 3 3" xfId="20876"/>
    <cellStyle name="集計 2 7 2 2 2 2 2 4" xfId="20877"/>
    <cellStyle name="集計 2 7 2 2 2 2 2 4 2" xfId="20878"/>
    <cellStyle name="集計 2 7 2 2 2 2 2 4 3" xfId="20879"/>
    <cellStyle name="集計 2 7 2 2 2 2 2 5" xfId="20880"/>
    <cellStyle name="集計 2 7 2 2 2 2 2 6" xfId="20881"/>
    <cellStyle name="集計 2 7 2 2 2 2 3" xfId="20882"/>
    <cellStyle name="集計 2 7 2 2 2 2 3 2" xfId="20883"/>
    <cellStyle name="集計 2 7 2 2 2 2 3 3" xfId="20884"/>
    <cellStyle name="集計 2 7 2 2 2 2 4" xfId="20885"/>
    <cellStyle name="集計 2 7 2 2 2 2 4 2" xfId="20886"/>
    <cellStyle name="集計 2 7 2 2 2 2 4 3" xfId="20887"/>
    <cellStyle name="集計 2 7 2 2 2 2 5" xfId="20888"/>
    <cellStyle name="集計 2 7 2 2 2 2 5 2" xfId="20889"/>
    <cellStyle name="集計 2 7 2 2 2 2 5 3" xfId="20890"/>
    <cellStyle name="集計 2 7 2 2 2 2 6" xfId="20891"/>
    <cellStyle name="集計 2 7 2 2 2 2 7" xfId="20892"/>
    <cellStyle name="集計 2 7 2 2 2 3" xfId="20893"/>
    <cellStyle name="集計 2 7 2 2 2 3 2" xfId="20894"/>
    <cellStyle name="集計 2 7 2 2 2 3 2 2" xfId="20895"/>
    <cellStyle name="集計 2 7 2 2 2 3 2 2 2" xfId="20896"/>
    <cellStyle name="集計 2 7 2 2 2 3 2 2 3" xfId="20897"/>
    <cellStyle name="集計 2 7 2 2 2 3 2 3" xfId="20898"/>
    <cellStyle name="集計 2 7 2 2 2 3 2 3 2" xfId="20899"/>
    <cellStyle name="集計 2 7 2 2 2 3 2 3 3" xfId="20900"/>
    <cellStyle name="集計 2 7 2 2 2 3 2 4" xfId="20901"/>
    <cellStyle name="集計 2 7 2 2 2 3 2 4 2" xfId="20902"/>
    <cellStyle name="集計 2 7 2 2 2 3 2 4 3" xfId="20903"/>
    <cellStyle name="集計 2 7 2 2 2 3 2 5" xfId="20904"/>
    <cellStyle name="集計 2 7 2 2 2 3 2 6" xfId="20905"/>
    <cellStyle name="集計 2 7 2 2 2 3 3" xfId="20906"/>
    <cellStyle name="集計 2 7 2 2 2 3 3 2" xfId="20907"/>
    <cellStyle name="集計 2 7 2 2 2 3 3 3" xfId="20908"/>
    <cellStyle name="集計 2 7 2 2 2 3 4" xfId="20909"/>
    <cellStyle name="集計 2 7 2 2 2 3 4 2" xfId="20910"/>
    <cellStyle name="集計 2 7 2 2 2 3 4 3" xfId="20911"/>
    <cellStyle name="集計 2 7 2 2 2 3 5" xfId="20912"/>
    <cellStyle name="集計 2 7 2 2 2 3 5 2" xfId="20913"/>
    <cellStyle name="集計 2 7 2 2 2 3 5 3" xfId="20914"/>
    <cellStyle name="集計 2 7 2 2 2 3 6" xfId="20915"/>
    <cellStyle name="集計 2 7 2 2 2 3 7" xfId="20916"/>
    <cellStyle name="集計 2 7 2 2 2 4" xfId="20917"/>
    <cellStyle name="集計 2 7 2 2 2 4 2" xfId="20918"/>
    <cellStyle name="集計 2 7 2 2 2 4 2 2" xfId="20919"/>
    <cellStyle name="集計 2 7 2 2 2 4 2 3" xfId="20920"/>
    <cellStyle name="集計 2 7 2 2 2 4 3" xfId="20921"/>
    <cellStyle name="集計 2 7 2 2 2 4 3 2" xfId="20922"/>
    <cellStyle name="集計 2 7 2 2 2 4 3 3" xfId="20923"/>
    <cellStyle name="集計 2 7 2 2 2 4 4" xfId="20924"/>
    <cellStyle name="集計 2 7 2 2 2 4 4 2" xfId="20925"/>
    <cellStyle name="集計 2 7 2 2 2 4 4 3" xfId="20926"/>
    <cellStyle name="集計 2 7 2 2 2 4 5" xfId="20927"/>
    <cellStyle name="集計 2 7 2 2 2 4 6" xfId="20928"/>
    <cellStyle name="集計 2 7 2 2 2 5" xfId="20929"/>
    <cellStyle name="集計 2 7 2 2 2 5 2" xfId="20930"/>
    <cellStyle name="集計 2 7 2 2 2 5 3" xfId="20931"/>
    <cellStyle name="集計 2 7 2 2 2 6" xfId="20932"/>
    <cellStyle name="集計 2 7 2 2 2 6 2" xfId="20933"/>
    <cellStyle name="集計 2 7 2 2 2 6 3" xfId="20934"/>
    <cellStyle name="集計 2 7 2 2 2 7" xfId="20935"/>
    <cellStyle name="集計 2 7 2 2 2 7 2" xfId="20936"/>
    <cellStyle name="集計 2 7 2 2 2 7 3" xfId="20937"/>
    <cellStyle name="集計 2 7 2 2 2 8" xfId="20938"/>
    <cellStyle name="集計 2 7 2 2 2 9" xfId="20939"/>
    <cellStyle name="集計 2 7 2 2 3" xfId="20940"/>
    <cellStyle name="集計 2 7 2 2 3 2" xfId="20941"/>
    <cellStyle name="集計 2 7 2 2 3 2 2" xfId="20942"/>
    <cellStyle name="集計 2 7 2 2 3 2 2 2" xfId="20943"/>
    <cellStyle name="集計 2 7 2 2 3 2 2 3" xfId="20944"/>
    <cellStyle name="集計 2 7 2 2 3 2 3" xfId="20945"/>
    <cellStyle name="集計 2 7 2 2 3 2 3 2" xfId="20946"/>
    <cellStyle name="集計 2 7 2 2 3 2 3 3" xfId="20947"/>
    <cellStyle name="集計 2 7 2 2 3 2 4" xfId="20948"/>
    <cellStyle name="集計 2 7 2 2 3 2 4 2" xfId="20949"/>
    <cellStyle name="集計 2 7 2 2 3 2 4 3" xfId="20950"/>
    <cellStyle name="集計 2 7 2 2 3 2 5" xfId="20951"/>
    <cellStyle name="集計 2 7 2 2 3 2 6" xfId="20952"/>
    <cellStyle name="集計 2 7 2 2 3 3" xfId="20953"/>
    <cellStyle name="集計 2 7 2 2 3 3 2" xfId="20954"/>
    <cellStyle name="集計 2 7 2 2 3 3 3" xfId="20955"/>
    <cellStyle name="集計 2 7 2 2 3 4" xfId="20956"/>
    <cellStyle name="集計 2 7 2 2 3 4 2" xfId="20957"/>
    <cellStyle name="集計 2 7 2 2 3 4 3" xfId="20958"/>
    <cellStyle name="集計 2 7 2 2 3 5" xfId="20959"/>
    <cellStyle name="集計 2 7 2 2 3 5 2" xfId="20960"/>
    <cellStyle name="集計 2 7 2 2 3 5 3" xfId="20961"/>
    <cellStyle name="集計 2 7 2 2 3 6" xfId="20962"/>
    <cellStyle name="集計 2 7 2 2 3 7" xfId="20963"/>
    <cellStyle name="集計 2 7 2 2 4" xfId="20964"/>
    <cellStyle name="集計 2 7 2 2 4 2" xfId="20965"/>
    <cellStyle name="集計 2 7 2 2 4 2 2" xfId="20966"/>
    <cellStyle name="集計 2 7 2 2 4 2 2 2" xfId="20967"/>
    <cellStyle name="集計 2 7 2 2 4 2 2 3" xfId="20968"/>
    <cellStyle name="集計 2 7 2 2 4 2 3" xfId="20969"/>
    <cellStyle name="集計 2 7 2 2 4 2 3 2" xfId="20970"/>
    <cellStyle name="集計 2 7 2 2 4 2 3 3" xfId="20971"/>
    <cellStyle name="集計 2 7 2 2 4 2 4" xfId="20972"/>
    <cellStyle name="集計 2 7 2 2 4 2 4 2" xfId="20973"/>
    <cellStyle name="集計 2 7 2 2 4 2 4 3" xfId="20974"/>
    <cellStyle name="集計 2 7 2 2 4 2 5" xfId="20975"/>
    <cellStyle name="集計 2 7 2 2 4 2 6" xfId="20976"/>
    <cellStyle name="集計 2 7 2 2 4 3" xfId="20977"/>
    <cellStyle name="集計 2 7 2 2 4 3 2" xfId="20978"/>
    <cellStyle name="集計 2 7 2 2 4 3 3" xfId="20979"/>
    <cellStyle name="集計 2 7 2 2 4 4" xfId="20980"/>
    <cellStyle name="集計 2 7 2 2 4 4 2" xfId="20981"/>
    <cellStyle name="集計 2 7 2 2 4 4 3" xfId="20982"/>
    <cellStyle name="集計 2 7 2 2 4 5" xfId="20983"/>
    <cellStyle name="集計 2 7 2 2 4 5 2" xfId="20984"/>
    <cellStyle name="集計 2 7 2 2 4 5 3" xfId="20985"/>
    <cellStyle name="集計 2 7 2 2 4 6" xfId="20986"/>
    <cellStyle name="集計 2 7 2 2 4 7" xfId="20987"/>
    <cellStyle name="集計 2 7 2 2 5" xfId="20988"/>
    <cellStyle name="集計 2 7 2 2 5 2" xfId="20989"/>
    <cellStyle name="集計 2 7 2 2 5 2 2" xfId="20990"/>
    <cellStyle name="集計 2 7 2 2 5 2 3" xfId="20991"/>
    <cellStyle name="集計 2 7 2 2 5 3" xfId="20992"/>
    <cellStyle name="集計 2 7 2 2 5 3 2" xfId="20993"/>
    <cellStyle name="集計 2 7 2 2 5 3 3" xfId="20994"/>
    <cellStyle name="集計 2 7 2 2 5 4" xfId="20995"/>
    <cellStyle name="集計 2 7 2 2 5 4 2" xfId="20996"/>
    <cellStyle name="集計 2 7 2 2 5 4 3" xfId="20997"/>
    <cellStyle name="集計 2 7 2 2 5 5" xfId="20998"/>
    <cellStyle name="集計 2 7 2 2 5 6" xfId="20999"/>
    <cellStyle name="集計 2 7 2 2 6" xfId="21000"/>
    <cellStyle name="集計 2 7 2 2 6 2" xfId="21001"/>
    <cellStyle name="集計 2 7 2 2 6 3" xfId="21002"/>
    <cellStyle name="集計 2 7 2 2 7" xfId="21003"/>
    <cellStyle name="集計 2 7 2 2 7 2" xfId="21004"/>
    <cellStyle name="集計 2 7 2 2 7 3" xfId="21005"/>
    <cellStyle name="集計 2 7 2 2 8" xfId="21006"/>
    <cellStyle name="集計 2 7 2 2 8 2" xfId="21007"/>
    <cellStyle name="集計 2 7 2 2 8 3" xfId="21008"/>
    <cellStyle name="集計 2 7 2 2 9" xfId="21009"/>
    <cellStyle name="集計 2 7 2 3" xfId="21010"/>
    <cellStyle name="集計 2 7 2 3 2" xfId="21011"/>
    <cellStyle name="集計 2 7 2 3 2 2" xfId="21012"/>
    <cellStyle name="集計 2 7 2 3 2 2 2" xfId="21013"/>
    <cellStyle name="集計 2 7 2 3 2 2 3" xfId="21014"/>
    <cellStyle name="集計 2 7 2 3 2 3" xfId="21015"/>
    <cellStyle name="集計 2 7 2 3 2 3 2" xfId="21016"/>
    <cellStyle name="集計 2 7 2 3 2 3 3" xfId="21017"/>
    <cellStyle name="集計 2 7 2 3 2 4" xfId="21018"/>
    <cellStyle name="集計 2 7 2 3 2 4 2" xfId="21019"/>
    <cellStyle name="集計 2 7 2 3 2 4 3" xfId="21020"/>
    <cellStyle name="集計 2 7 2 3 2 5" xfId="21021"/>
    <cellStyle name="集計 2 7 2 3 2 6" xfId="21022"/>
    <cellStyle name="集計 2 7 2 3 3" xfId="21023"/>
    <cellStyle name="集計 2 7 2 3 3 2" xfId="21024"/>
    <cellStyle name="集計 2 7 2 3 3 3" xfId="21025"/>
    <cellStyle name="集計 2 7 2 3 4" xfId="21026"/>
    <cellStyle name="集計 2 7 2 3 4 2" xfId="21027"/>
    <cellStyle name="集計 2 7 2 3 4 3" xfId="21028"/>
    <cellStyle name="集計 2 7 2 3 5" xfId="21029"/>
    <cellStyle name="集計 2 7 2 3 5 2" xfId="21030"/>
    <cellStyle name="集計 2 7 2 3 5 3" xfId="21031"/>
    <cellStyle name="集計 2 7 2 3 6" xfId="21032"/>
    <cellStyle name="集計 2 7 2 3 7" xfId="21033"/>
    <cellStyle name="集計 2 7 2 4" xfId="21034"/>
    <cellStyle name="集計 2 7 2 4 2" xfId="21035"/>
    <cellStyle name="集計 2 7 2 4 2 2" xfId="21036"/>
    <cellStyle name="集計 2 7 2 4 2 2 2" xfId="21037"/>
    <cellStyle name="集計 2 7 2 4 2 2 3" xfId="21038"/>
    <cellStyle name="集計 2 7 2 4 2 3" xfId="21039"/>
    <cellStyle name="集計 2 7 2 4 2 3 2" xfId="21040"/>
    <cellStyle name="集計 2 7 2 4 2 3 3" xfId="21041"/>
    <cellStyle name="集計 2 7 2 4 2 4" xfId="21042"/>
    <cellStyle name="集計 2 7 2 4 2 4 2" xfId="21043"/>
    <cellStyle name="集計 2 7 2 4 2 4 3" xfId="21044"/>
    <cellStyle name="集計 2 7 2 4 2 5" xfId="21045"/>
    <cellStyle name="集計 2 7 2 4 2 6" xfId="21046"/>
    <cellStyle name="集計 2 7 2 4 3" xfId="21047"/>
    <cellStyle name="集計 2 7 2 4 3 2" xfId="21048"/>
    <cellStyle name="集計 2 7 2 4 3 3" xfId="21049"/>
    <cellStyle name="集計 2 7 2 4 4" xfId="21050"/>
    <cellStyle name="集計 2 7 2 4 4 2" xfId="21051"/>
    <cellStyle name="集計 2 7 2 4 4 3" xfId="21052"/>
    <cellStyle name="集計 2 7 2 4 5" xfId="21053"/>
    <cellStyle name="集計 2 7 2 4 5 2" xfId="21054"/>
    <cellStyle name="集計 2 7 2 4 5 3" xfId="21055"/>
    <cellStyle name="集計 2 7 2 4 6" xfId="21056"/>
    <cellStyle name="集計 2 7 2 4 7" xfId="21057"/>
    <cellStyle name="集計 2 7 2 5" xfId="21058"/>
    <cellStyle name="集計 2 7 2 5 2" xfId="21059"/>
    <cellStyle name="集計 2 7 2 5 2 2" xfId="21060"/>
    <cellStyle name="集計 2 7 2 5 2 3" xfId="21061"/>
    <cellStyle name="集計 2 7 2 5 3" xfId="21062"/>
    <cellStyle name="集計 2 7 2 5 3 2" xfId="21063"/>
    <cellStyle name="集計 2 7 2 5 3 3" xfId="21064"/>
    <cellStyle name="集計 2 7 2 5 4" xfId="21065"/>
    <cellStyle name="集計 2 7 2 5 4 2" xfId="21066"/>
    <cellStyle name="集計 2 7 2 5 4 3" xfId="21067"/>
    <cellStyle name="集計 2 7 2 5 5" xfId="21068"/>
    <cellStyle name="集計 2 7 2 5 6" xfId="21069"/>
    <cellStyle name="集計 2 7 2 6" xfId="21070"/>
    <cellStyle name="集計 2 7 2 6 2" xfId="21071"/>
    <cellStyle name="集計 2 7 2 6 3" xfId="21072"/>
    <cellStyle name="集計 2 7 2 7" xfId="21073"/>
    <cellStyle name="集計 2 7 2 7 2" xfId="21074"/>
    <cellStyle name="集計 2 7 2 7 3" xfId="21075"/>
    <cellStyle name="集計 2 7 2 8" xfId="21076"/>
    <cellStyle name="集計 2 7 2 8 2" xfId="21077"/>
    <cellStyle name="集計 2 7 2 8 3" xfId="21078"/>
    <cellStyle name="集計 2 7 2 9" xfId="21079"/>
    <cellStyle name="集計 2 7 3" xfId="21080"/>
    <cellStyle name="集計 2 7 3 10" xfId="21081"/>
    <cellStyle name="集計 2 7 3 2" xfId="21082"/>
    <cellStyle name="集計 2 7 3 2 10" xfId="21083"/>
    <cellStyle name="集計 2 7 3 2 2" xfId="21084"/>
    <cellStyle name="集計 2 7 3 2 2 2" xfId="21085"/>
    <cellStyle name="集計 2 7 3 2 2 2 2" xfId="21086"/>
    <cellStyle name="集計 2 7 3 2 2 2 2 2" xfId="21087"/>
    <cellStyle name="集計 2 7 3 2 2 2 2 2 2" xfId="21088"/>
    <cellStyle name="集計 2 7 3 2 2 2 2 2 3" xfId="21089"/>
    <cellStyle name="集計 2 7 3 2 2 2 2 3" xfId="21090"/>
    <cellStyle name="集計 2 7 3 2 2 2 2 3 2" xfId="21091"/>
    <cellStyle name="集計 2 7 3 2 2 2 2 3 3" xfId="21092"/>
    <cellStyle name="集計 2 7 3 2 2 2 2 4" xfId="21093"/>
    <cellStyle name="集計 2 7 3 2 2 2 2 4 2" xfId="21094"/>
    <cellStyle name="集計 2 7 3 2 2 2 2 4 3" xfId="21095"/>
    <cellStyle name="集計 2 7 3 2 2 2 2 5" xfId="21096"/>
    <cellStyle name="集計 2 7 3 2 2 2 2 6" xfId="21097"/>
    <cellStyle name="集計 2 7 3 2 2 2 3" xfId="21098"/>
    <cellStyle name="集計 2 7 3 2 2 2 3 2" xfId="21099"/>
    <cellStyle name="集計 2 7 3 2 2 2 3 3" xfId="21100"/>
    <cellStyle name="集計 2 7 3 2 2 2 4" xfId="21101"/>
    <cellStyle name="集計 2 7 3 2 2 2 4 2" xfId="21102"/>
    <cellStyle name="集計 2 7 3 2 2 2 4 3" xfId="21103"/>
    <cellStyle name="集計 2 7 3 2 2 2 5" xfId="21104"/>
    <cellStyle name="集計 2 7 3 2 2 2 5 2" xfId="21105"/>
    <cellStyle name="集計 2 7 3 2 2 2 5 3" xfId="21106"/>
    <cellStyle name="集計 2 7 3 2 2 2 6" xfId="21107"/>
    <cellStyle name="集計 2 7 3 2 2 2 7" xfId="21108"/>
    <cellStyle name="集計 2 7 3 2 2 3" xfId="21109"/>
    <cellStyle name="集計 2 7 3 2 2 3 2" xfId="21110"/>
    <cellStyle name="集計 2 7 3 2 2 3 2 2" xfId="21111"/>
    <cellStyle name="集計 2 7 3 2 2 3 2 2 2" xfId="21112"/>
    <cellStyle name="集計 2 7 3 2 2 3 2 2 3" xfId="21113"/>
    <cellStyle name="集計 2 7 3 2 2 3 2 3" xfId="21114"/>
    <cellStyle name="集計 2 7 3 2 2 3 2 3 2" xfId="21115"/>
    <cellStyle name="集計 2 7 3 2 2 3 2 3 3" xfId="21116"/>
    <cellStyle name="集計 2 7 3 2 2 3 2 4" xfId="21117"/>
    <cellStyle name="集計 2 7 3 2 2 3 2 4 2" xfId="21118"/>
    <cellStyle name="集計 2 7 3 2 2 3 2 4 3" xfId="21119"/>
    <cellStyle name="集計 2 7 3 2 2 3 2 5" xfId="21120"/>
    <cellStyle name="集計 2 7 3 2 2 3 2 6" xfId="21121"/>
    <cellStyle name="集計 2 7 3 2 2 3 3" xfId="21122"/>
    <cellStyle name="集計 2 7 3 2 2 3 3 2" xfId="21123"/>
    <cellStyle name="集計 2 7 3 2 2 3 3 3" xfId="21124"/>
    <cellStyle name="集計 2 7 3 2 2 3 4" xfId="21125"/>
    <cellStyle name="集計 2 7 3 2 2 3 4 2" xfId="21126"/>
    <cellStyle name="集計 2 7 3 2 2 3 4 3" xfId="21127"/>
    <cellStyle name="集計 2 7 3 2 2 3 5" xfId="21128"/>
    <cellStyle name="集計 2 7 3 2 2 3 5 2" xfId="21129"/>
    <cellStyle name="集計 2 7 3 2 2 3 5 3" xfId="21130"/>
    <cellStyle name="集計 2 7 3 2 2 3 6" xfId="21131"/>
    <cellStyle name="集計 2 7 3 2 2 3 7" xfId="21132"/>
    <cellStyle name="集計 2 7 3 2 2 4" xfId="21133"/>
    <cellStyle name="集計 2 7 3 2 2 4 2" xfId="21134"/>
    <cellStyle name="集計 2 7 3 2 2 4 2 2" xfId="21135"/>
    <cellStyle name="集計 2 7 3 2 2 4 2 3" xfId="21136"/>
    <cellStyle name="集計 2 7 3 2 2 4 3" xfId="21137"/>
    <cellStyle name="集計 2 7 3 2 2 4 3 2" xfId="21138"/>
    <cellStyle name="集計 2 7 3 2 2 4 3 3" xfId="21139"/>
    <cellStyle name="集計 2 7 3 2 2 4 4" xfId="21140"/>
    <cellStyle name="集計 2 7 3 2 2 4 4 2" xfId="21141"/>
    <cellStyle name="集計 2 7 3 2 2 4 4 3" xfId="21142"/>
    <cellStyle name="集計 2 7 3 2 2 4 5" xfId="21143"/>
    <cellStyle name="集計 2 7 3 2 2 4 6" xfId="21144"/>
    <cellStyle name="集計 2 7 3 2 2 5" xfId="21145"/>
    <cellStyle name="集計 2 7 3 2 2 5 2" xfId="21146"/>
    <cellStyle name="集計 2 7 3 2 2 5 3" xfId="21147"/>
    <cellStyle name="集計 2 7 3 2 2 6" xfId="21148"/>
    <cellStyle name="集計 2 7 3 2 2 6 2" xfId="21149"/>
    <cellStyle name="集計 2 7 3 2 2 6 3" xfId="21150"/>
    <cellStyle name="集計 2 7 3 2 2 7" xfId="21151"/>
    <cellStyle name="集計 2 7 3 2 2 7 2" xfId="21152"/>
    <cellStyle name="集計 2 7 3 2 2 7 3" xfId="21153"/>
    <cellStyle name="集計 2 7 3 2 2 8" xfId="21154"/>
    <cellStyle name="集計 2 7 3 2 2 9" xfId="21155"/>
    <cellStyle name="集計 2 7 3 2 3" xfId="21156"/>
    <cellStyle name="集計 2 7 3 2 3 2" xfId="21157"/>
    <cellStyle name="集計 2 7 3 2 3 2 2" xfId="21158"/>
    <cellStyle name="集計 2 7 3 2 3 2 2 2" xfId="21159"/>
    <cellStyle name="集計 2 7 3 2 3 2 2 3" xfId="21160"/>
    <cellStyle name="集計 2 7 3 2 3 2 3" xfId="21161"/>
    <cellStyle name="集計 2 7 3 2 3 2 3 2" xfId="21162"/>
    <cellStyle name="集計 2 7 3 2 3 2 3 3" xfId="21163"/>
    <cellStyle name="集計 2 7 3 2 3 2 4" xfId="21164"/>
    <cellStyle name="集計 2 7 3 2 3 2 4 2" xfId="21165"/>
    <cellStyle name="集計 2 7 3 2 3 2 4 3" xfId="21166"/>
    <cellStyle name="集計 2 7 3 2 3 2 5" xfId="21167"/>
    <cellStyle name="集計 2 7 3 2 3 2 6" xfId="21168"/>
    <cellStyle name="集計 2 7 3 2 3 3" xfId="21169"/>
    <cellStyle name="集計 2 7 3 2 3 3 2" xfId="21170"/>
    <cellStyle name="集計 2 7 3 2 3 3 3" xfId="21171"/>
    <cellStyle name="集計 2 7 3 2 3 4" xfId="21172"/>
    <cellStyle name="集計 2 7 3 2 3 4 2" xfId="21173"/>
    <cellStyle name="集計 2 7 3 2 3 4 3" xfId="21174"/>
    <cellStyle name="集計 2 7 3 2 3 5" xfId="21175"/>
    <cellStyle name="集計 2 7 3 2 3 5 2" xfId="21176"/>
    <cellStyle name="集計 2 7 3 2 3 5 3" xfId="21177"/>
    <cellStyle name="集計 2 7 3 2 3 6" xfId="21178"/>
    <cellStyle name="集計 2 7 3 2 3 7" xfId="21179"/>
    <cellStyle name="集計 2 7 3 2 4" xfId="21180"/>
    <cellStyle name="集計 2 7 3 2 4 2" xfId="21181"/>
    <cellStyle name="集計 2 7 3 2 4 2 2" xfId="21182"/>
    <cellStyle name="集計 2 7 3 2 4 2 2 2" xfId="21183"/>
    <cellStyle name="集計 2 7 3 2 4 2 2 3" xfId="21184"/>
    <cellStyle name="集計 2 7 3 2 4 2 3" xfId="21185"/>
    <cellStyle name="集計 2 7 3 2 4 2 3 2" xfId="21186"/>
    <cellStyle name="集計 2 7 3 2 4 2 3 3" xfId="21187"/>
    <cellStyle name="集計 2 7 3 2 4 2 4" xfId="21188"/>
    <cellStyle name="集計 2 7 3 2 4 2 4 2" xfId="21189"/>
    <cellStyle name="集計 2 7 3 2 4 2 4 3" xfId="21190"/>
    <cellStyle name="集計 2 7 3 2 4 2 5" xfId="21191"/>
    <cellStyle name="集計 2 7 3 2 4 2 6" xfId="21192"/>
    <cellStyle name="集計 2 7 3 2 4 3" xfId="21193"/>
    <cellStyle name="集計 2 7 3 2 4 3 2" xfId="21194"/>
    <cellStyle name="集計 2 7 3 2 4 3 3" xfId="21195"/>
    <cellStyle name="集計 2 7 3 2 4 4" xfId="21196"/>
    <cellStyle name="集計 2 7 3 2 4 4 2" xfId="21197"/>
    <cellStyle name="集計 2 7 3 2 4 4 3" xfId="21198"/>
    <cellStyle name="集計 2 7 3 2 4 5" xfId="21199"/>
    <cellStyle name="集計 2 7 3 2 4 5 2" xfId="21200"/>
    <cellStyle name="集計 2 7 3 2 4 5 3" xfId="21201"/>
    <cellStyle name="集計 2 7 3 2 4 6" xfId="21202"/>
    <cellStyle name="集計 2 7 3 2 4 7" xfId="21203"/>
    <cellStyle name="集計 2 7 3 2 5" xfId="21204"/>
    <cellStyle name="集計 2 7 3 2 5 2" xfId="21205"/>
    <cellStyle name="集計 2 7 3 2 5 2 2" xfId="21206"/>
    <cellStyle name="集計 2 7 3 2 5 2 3" xfId="21207"/>
    <cellStyle name="集計 2 7 3 2 5 3" xfId="21208"/>
    <cellStyle name="集計 2 7 3 2 5 3 2" xfId="21209"/>
    <cellStyle name="集計 2 7 3 2 5 3 3" xfId="21210"/>
    <cellStyle name="集計 2 7 3 2 5 4" xfId="21211"/>
    <cellStyle name="集計 2 7 3 2 5 4 2" xfId="21212"/>
    <cellStyle name="集計 2 7 3 2 5 4 3" xfId="21213"/>
    <cellStyle name="集計 2 7 3 2 5 5" xfId="21214"/>
    <cellStyle name="集計 2 7 3 2 5 6" xfId="21215"/>
    <cellStyle name="集計 2 7 3 2 6" xfId="21216"/>
    <cellStyle name="集計 2 7 3 2 6 2" xfId="21217"/>
    <cellStyle name="集計 2 7 3 2 6 3" xfId="21218"/>
    <cellStyle name="集計 2 7 3 2 7" xfId="21219"/>
    <cellStyle name="集計 2 7 3 2 7 2" xfId="21220"/>
    <cellStyle name="集計 2 7 3 2 7 3" xfId="21221"/>
    <cellStyle name="集計 2 7 3 2 8" xfId="21222"/>
    <cellStyle name="集計 2 7 3 2 8 2" xfId="21223"/>
    <cellStyle name="集計 2 7 3 2 8 3" xfId="21224"/>
    <cellStyle name="集計 2 7 3 2 9" xfId="21225"/>
    <cellStyle name="集計 2 7 3 3" xfId="21226"/>
    <cellStyle name="集計 2 7 3 3 2" xfId="21227"/>
    <cellStyle name="集計 2 7 3 3 2 2" xfId="21228"/>
    <cellStyle name="集計 2 7 3 3 2 2 2" xfId="21229"/>
    <cellStyle name="集計 2 7 3 3 2 2 3" xfId="21230"/>
    <cellStyle name="集計 2 7 3 3 2 3" xfId="21231"/>
    <cellStyle name="集計 2 7 3 3 2 3 2" xfId="21232"/>
    <cellStyle name="集計 2 7 3 3 2 3 3" xfId="21233"/>
    <cellStyle name="集計 2 7 3 3 2 4" xfId="21234"/>
    <cellStyle name="集計 2 7 3 3 2 4 2" xfId="21235"/>
    <cellStyle name="集計 2 7 3 3 2 4 3" xfId="21236"/>
    <cellStyle name="集計 2 7 3 3 2 5" xfId="21237"/>
    <cellStyle name="集計 2 7 3 3 2 6" xfId="21238"/>
    <cellStyle name="集計 2 7 3 3 3" xfId="21239"/>
    <cellStyle name="集計 2 7 3 3 3 2" xfId="21240"/>
    <cellStyle name="集計 2 7 3 3 3 3" xfId="21241"/>
    <cellStyle name="集計 2 7 3 3 4" xfId="21242"/>
    <cellStyle name="集計 2 7 3 3 4 2" xfId="21243"/>
    <cellStyle name="集計 2 7 3 3 4 3" xfId="21244"/>
    <cellStyle name="集計 2 7 3 3 5" xfId="21245"/>
    <cellStyle name="集計 2 7 3 3 5 2" xfId="21246"/>
    <cellStyle name="集計 2 7 3 3 5 3" xfId="21247"/>
    <cellStyle name="集計 2 7 3 3 6" xfId="21248"/>
    <cellStyle name="集計 2 7 3 3 7" xfId="21249"/>
    <cellStyle name="集計 2 7 3 4" xfId="21250"/>
    <cellStyle name="集計 2 7 3 4 2" xfId="21251"/>
    <cellStyle name="集計 2 7 3 4 2 2" xfId="21252"/>
    <cellStyle name="集計 2 7 3 4 2 2 2" xfId="21253"/>
    <cellStyle name="集計 2 7 3 4 2 2 3" xfId="21254"/>
    <cellStyle name="集計 2 7 3 4 2 3" xfId="21255"/>
    <cellStyle name="集計 2 7 3 4 2 3 2" xfId="21256"/>
    <cellStyle name="集計 2 7 3 4 2 3 3" xfId="21257"/>
    <cellStyle name="集計 2 7 3 4 2 4" xfId="21258"/>
    <cellStyle name="集計 2 7 3 4 2 4 2" xfId="21259"/>
    <cellStyle name="集計 2 7 3 4 2 4 3" xfId="21260"/>
    <cellStyle name="集計 2 7 3 4 2 5" xfId="21261"/>
    <cellStyle name="集計 2 7 3 4 2 6" xfId="21262"/>
    <cellStyle name="集計 2 7 3 4 3" xfId="21263"/>
    <cellStyle name="集計 2 7 3 4 3 2" xfId="21264"/>
    <cellStyle name="集計 2 7 3 4 3 3" xfId="21265"/>
    <cellStyle name="集計 2 7 3 4 4" xfId="21266"/>
    <cellStyle name="集計 2 7 3 4 4 2" xfId="21267"/>
    <cellStyle name="集計 2 7 3 4 4 3" xfId="21268"/>
    <cellStyle name="集計 2 7 3 4 5" xfId="21269"/>
    <cellStyle name="集計 2 7 3 4 5 2" xfId="21270"/>
    <cellStyle name="集計 2 7 3 4 5 3" xfId="21271"/>
    <cellStyle name="集計 2 7 3 4 6" xfId="21272"/>
    <cellStyle name="集計 2 7 3 4 7" xfId="21273"/>
    <cellStyle name="集計 2 7 3 5" xfId="21274"/>
    <cellStyle name="集計 2 7 3 5 2" xfId="21275"/>
    <cellStyle name="集計 2 7 3 5 2 2" xfId="21276"/>
    <cellStyle name="集計 2 7 3 5 2 3" xfId="21277"/>
    <cellStyle name="集計 2 7 3 5 3" xfId="21278"/>
    <cellStyle name="集計 2 7 3 5 3 2" xfId="21279"/>
    <cellStyle name="集計 2 7 3 5 3 3" xfId="21280"/>
    <cellStyle name="集計 2 7 3 5 4" xfId="21281"/>
    <cellStyle name="集計 2 7 3 5 4 2" xfId="21282"/>
    <cellStyle name="集計 2 7 3 5 4 3" xfId="21283"/>
    <cellStyle name="集計 2 7 3 5 5" xfId="21284"/>
    <cellStyle name="集計 2 7 3 5 6" xfId="21285"/>
    <cellStyle name="集計 2 7 3 6" xfId="21286"/>
    <cellStyle name="集計 2 7 3 6 2" xfId="21287"/>
    <cellStyle name="集計 2 7 3 6 3" xfId="21288"/>
    <cellStyle name="集計 2 7 3 7" xfId="21289"/>
    <cellStyle name="集計 2 7 3 7 2" xfId="21290"/>
    <cellStyle name="集計 2 7 3 7 3" xfId="21291"/>
    <cellStyle name="集計 2 7 3 8" xfId="21292"/>
    <cellStyle name="集計 2 7 3 8 2" xfId="21293"/>
    <cellStyle name="集計 2 7 3 8 3" xfId="21294"/>
    <cellStyle name="集計 2 7 3 9" xfId="21295"/>
    <cellStyle name="集計 2 7 4" xfId="21296"/>
    <cellStyle name="集計 2 7 4 10" xfId="21297"/>
    <cellStyle name="集計 2 7 4 2" xfId="21298"/>
    <cellStyle name="集計 2 7 4 2 10" xfId="21299"/>
    <cellStyle name="集計 2 7 4 2 2" xfId="21300"/>
    <cellStyle name="集計 2 7 4 2 2 2" xfId="21301"/>
    <cellStyle name="集計 2 7 4 2 2 2 2" xfId="21302"/>
    <cellStyle name="集計 2 7 4 2 2 2 2 2" xfId="21303"/>
    <cellStyle name="集計 2 7 4 2 2 2 2 2 2" xfId="21304"/>
    <cellStyle name="集計 2 7 4 2 2 2 2 2 3" xfId="21305"/>
    <cellStyle name="集計 2 7 4 2 2 2 2 3" xfId="21306"/>
    <cellStyle name="集計 2 7 4 2 2 2 2 3 2" xfId="21307"/>
    <cellStyle name="集計 2 7 4 2 2 2 2 3 3" xfId="21308"/>
    <cellStyle name="集計 2 7 4 2 2 2 2 4" xfId="21309"/>
    <cellStyle name="集計 2 7 4 2 2 2 2 4 2" xfId="21310"/>
    <cellStyle name="集計 2 7 4 2 2 2 2 4 3" xfId="21311"/>
    <cellStyle name="集計 2 7 4 2 2 2 2 5" xfId="21312"/>
    <cellStyle name="集計 2 7 4 2 2 2 2 6" xfId="21313"/>
    <cellStyle name="集計 2 7 4 2 2 2 3" xfId="21314"/>
    <cellStyle name="集計 2 7 4 2 2 2 3 2" xfId="21315"/>
    <cellStyle name="集計 2 7 4 2 2 2 3 3" xfId="21316"/>
    <cellStyle name="集計 2 7 4 2 2 2 4" xfId="21317"/>
    <cellStyle name="集計 2 7 4 2 2 2 4 2" xfId="21318"/>
    <cellStyle name="集計 2 7 4 2 2 2 4 3" xfId="21319"/>
    <cellStyle name="集計 2 7 4 2 2 2 5" xfId="21320"/>
    <cellStyle name="集計 2 7 4 2 2 2 5 2" xfId="21321"/>
    <cellStyle name="集計 2 7 4 2 2 2 5 3" xfId="21322"/>
    <cellStyle name="集計 2 7 4 2 2 2 6" xfId="21323"/>
    <cellStyle name="集計 2 7 4 2 2 2 7" xfId="21324"/>
    <cellStyle name="集計 2 7 4 2 2 3" xfId="21325"/>
    <cellStyle name="集計 2 7 4 2 2 3 2" xfId="21326"/>
    <cellStyle name="集計 2 7 4 2 2 3 2 2" xfId="21327"/>
    <cellStyle name="集計 2 7 4 2 2 3 2 2 2" xfId="21328"/>
    <cellStyle name="集計 2 7 4 2 2 3 2 2 3" xfId="21329"/>
    <cellStyle name="集計 2 7 4 2 2 3 2 3" xfId="21330"/>
    <cellStyle name="集計 2 7 4 2 2 3 2 3 2" xfId="21331"/>
    <cellStyle name="集計 2 7 4 2 2 3 2 3 3" xfId="21332"/>
    <cellStyle name="集計 2 7 4 2 2 3 2 4" xfId="21333"/>
    <cellStyle name="集計 2 7 4 2 2 3 2 4 2" xfId="21334"/>
    <cellStyle name="集計 2 7 4 2 2 3 2 4 3" xfId="21335"/>
    <cellStyle name="集計 2 7 4 2 2 3 2 5" xfId="21336"/>
    <cellStyle name="集計 2 7 4 2 2 3 2 6" xfId="21337"/>
    <cellStyle name="集計 2 7 4 2 2 3 3" xfId="21338"/>
    <cellStyle name="集計 2 7 4 2 2 3 3 2" xfId="21339"/>
    <cellStyle name="集計 2 7 4 2 2 3 3 3" xfId="21340"/>
    <cellStyle name="集計 2 7 4 2 2 3 4" xfId="21341"/>
    <cellStyle name="集計 2 7 4 2 2 3 4 2" xfId="21342"/>
    <cellStyle name="集計 2 7 4 2 2 3 4 3" xfId="21343"/>
    <cellStyle name="集計 2 7 4 2 2 3 5" xfId="21344"/>
    <cellStyle name="集計 2 7 4 2 2 3 5 2" xfId="21345"/>
    <cellStyle name="集計 2 7 4 2 2 3 5 3" xfId="21346"/>
    <cellStyle name="集計 2 7 4 2 2 3 6" xfId="21347"/>
    <cellStyle name="集計 2 7 4 2 2 3 7" xfId="21348"/>
    <cellStyle name="集計 2 7 4 2 2 4" xfId="21349"/>
    <cellStyle name="集計 2 7 4 2 2 4 2" xfId="21350"/>
    <cellStyle name="集計 2 7 4 2 2 4 2 2" xfId="21351"/>
    <cellStyle name="集計 2 7 4 2 2 4 2 3" xfId="21352"/>
    <cellStyle name="集計 2 7 4 2 2 4 3" xfId="21353"/>
    <cellStyle name="集計 2 7 4 2 2 4 3 2" xfId="21354"/>
    <cellStyle name="集計 2 7 4 2 2 4 3 3" xfId="21355"/>
    <cellStyle name="集計 2 7 4 2 2 4 4" xfId="21356"/>
    <cellStyle name="集計 2 7 4 2 2 4 4 2" xfId="21357"/>
    <cellStyle name="集計 2 7 4 2 2 4 4 3" xfId="21358"/>
    <cellStyle name="集計 2 7 4 2 2 4 5" xfId="21359"/>
    <cellStyle name="集計 2 7 4 2 2 4 6" xfId="21360"/>
    <cellStyle name="集計 2 7 4 2 2 5" xfId="21361"/>
    <cellStyle name="集計 2 7 4 2 2 5 2" xfId="21362"/>
    <cellStyle name="集計 2 7 4 2 2 5 3" xfId="21363"/>
    <cellStyle name="集計 2 7 4 2 2 6" xfId="21364"/>
    <cellStyle name="集計 2 7 4 2 2 6 2" xfId="21365"/>
    <cellStyle name="集計 2 7 4 2 2 6 3" xfId="21366"/>
    <cellStyle name="集計 2 7 4 2 2 7" xfId="21367"/>
    <cellStyle name="集計 2 7 4 2 2 7 2" xfId="21368"/>
    <cellStyle name="集計 2 7 4 2 2 7 3" xfId="21369"/>
    <cellStyle name="集計 2 7 4 2 2 8" xfId="21370"/>
    <cellStyle name="集計 2 7 4 2 2 9" xfId="21371"/>
    <cellStyle name="集計 2 7 4 2 3" xfId="21372"/>
    <cellStyle name="集計 2 7 4 2 3 2" xfId="21373"/>
    <cellStyle name="集計 2 7 4 2 3 2 2" xfId="21374"/>
    <cellStyle name="集計 2 7 4 2 3 2 2 2" xfId="21375"/>
    <cellStyle name="集計 2 7 4 2 3 2 2 3" xfId="21376"/>
    <cellStyle name="集計 2 7 4 2 3 2 3" xfId="21377"/>
    <cellStyle name="集計 2 7 4 2 3 2 3 2" xfId="21378"/>
    <cellStyle name="集計 2 7 4 2 3 2 3 3" xfId="21379"/>
    <cellStyle name="集計 2 7 4 2 3 2 4" xfId="21380"/>
    <cellStyle name="集計 2 7 4 2 3 2 4 2" xfId="21381"/>
    <cellStyle name="集計 2 7 4 2 3 2 4 3" xfId="21382"/>
    <cellStyle name="集計 2 7 4 2 3 2 5" xfId="21383"/>
    <cellStyle name="集計 2 7 4 2 3 2 6" xfId="21384"/>
    <cellStyle name="集計 2 7 4 2 3 3" xfId="21385"/>
    <cellStyle name="集計 2 7 4 2 3 3 2" xfId="21386"/>
    <cellStyle name="集計 2 7 4 2 3 3 3" xfId="21387"/>
    <cellStyle name="集計 2 7 4 2 3 4" xfId="21388"/>
    <cellStyle name="集計 2 7 4 2 3 4 2" xfId="21389"/>
    <cellStyle name="集計 2 7 4 2 3 4 3" xfId="21390"/>
    <cellStyle name="集計 2 7 4 2 3 5" xfId="21391"/>
    <cellStyle name="集計 2 7 4 2 3 5 2" xfId="21392"/>
    <cellStyle name="集計 2 7 4 2 3 5 3" xfId="21393"/>
    <cellStyle name="集計 2 7 4 2 3 6" xfId="21394"/>
    <cellStyle name="集計 2 7 4 2 3 7" xfId="21395"/>
    <cellStyle name="集計 2 7 4 2 4" xfId="21396"/>
    <cellStyle name="集計 2 7 4 2 4 2" xfId="21397"/>
    <cellStyle name="集計 2 7 4 2 4 2 2" xfId="21398"/>
    <cellStyle name="集計 2 7 4 2 4 2 2 2" xfId="21399"/>
    <cellStyle name="集計 2 7 4 2 4 2 2 3" xfId="21400"/>
    <cellStyle name="集計 2 7 4 2 4 2 3" xfId="21401"/>
    <cellStyle name="集計 2 7 4 2 4 2 3 2" xfId="21402"/>
    <cellStyle name="集計 2 7 4 2 4 2 3 3" xfId="21403"/>
    <cellStyle name="集計 2 7 4 2 4 2 4" xfId="21404"/>
    <cellStyle name="集計 2 7 4 2 4 2 4 2" xfId="21405"/>
    <cellStyle name="集計 2 7 4 2 4 2 4 3" xfId="21406"/>
    <cellStyle name="集計 2 7 4 2 4 2 5" xfId="21407"/>
    <cellStyle name="集計 2 7 4 2 4 2 6" xfId="21408"/>
    <cellStyle name="集計 2 7 4 2 4 3" xfId="21409"/>
    <cellStyle name="集計 2 7 4 2 4 3 2" xfId="21410"/>
    <cellStyle name="集計 2 7 4 2 4 3 3" xfId="21411"/>
    <cellStyle name="集計 2 7 4 2 4 4" xfId="21412"/>
    <cellStyle name="集計 2 7 4 2 4 4 2" xfId="21413"/>
    <cellStyle name="集計 2 7 4 2 4 4 3" xfId="21414"/>
    <cellStyle name="集計 2 7 4 2 4 5" xfId="21415"/>
    <cellStyle name="集計 2 7 4 2 4 5 2" xfId="21416"/>
    <cellStyle name="集計 2 7 4 2 4 5 3" xfId="21417"/>
    <cellStyle name="集計 2 7 4 2 4 6" xfId="21418"/>
    <cellStyle name="集計 2 7 4 2 4 7" xfId="21419"/>
    <cellStyle name="集計 2 7 4 2 5" xfId="21420"/>
    <cellStyle name="集計 2 7 4 2 5 2" xfId="21421"/>
    <cellStyle name="集計 2 7 4 2 5 2 2" xfId="21422"/>
    <cellStyle name="集計 2 7 4 2 5 2 3" xfId="21423"/>
    <cellStyle name="集計 2 7 4 2 5 3" xfId="21424"/>
    <cellStyle name="集計 2 7 4 2 5 3 2" xfId="21425"/>
    <cellStyle name="集計 2 7 4 2 5 3 3" xfId="21426"/>
    <cellStyle name="集計 2 7 4 2 5 4" xfId="21427"/>
    <cellStyle name="集計 2 7 4 2 5 4 2" xfId="21428"/>
    <cellStyle name="集計 2 7 4 2 5 4 3" xfId="21429"/>
    <cellStyle name="集計 2 7 4 2 5 5" xfId="21430"/>
    <cellStyle name="集計 2 7 4 2 5 6" xfId="21431"/>
    <cellStyle name="集計 2 7 4 2 6" xfId="21432"/>
    <cellStyle name="集計 2 7 4 2 6 2" xfId="21433"/>
    <cellStyle name="集計 2 7 4 2 6 3" xfId="21434"/>
    <cellStyle name="集計 2 7 4 2 7" xfId="21435"/>
    <cellStyle name="集計 2 7 4 2 7 2" xfId="21436"/>
    <cellStyle name="集計 2 7 4 2 7 3" xfId="21437"/>
    <cellStyle name="集計 2 7 4 2 8" xfId="21438"/>
    <cellStyle name="集計 2 7 4 2 8 2" xfId="21439"/>
    <cellStyle name="集計 2 7 4 2 8 3" xfId="21440"/>
    <cellStyle name="集計 2 7 4 2 9" xfId="21441"/>
    <cellStyle name="集計 2 7 4 3" xfId="21442"/>
    <cellStyle name="集計 2 7 4 3 2" xfId="21443"/>
    <cellStyle name="集計 2 7 4 3 2 2" xfId="21444"/>
    <cellStyle name="集計 2 7 4 3 2 2 2" xfId="21445"/>
    <cellStyle name="集計 2 7 4 3 2 2 3" xfId="21446"/>
    <cellStyle name="集計 2 7 4 3 2 3" xfId="21447"/>
    <cellStyle name="集計 2 7 4 3 2 3 2" xfId="21448"/>
    <cellStyle name="集計 2 7 4 3 2 3 3" xfId="21449"/>
    <cellStyle name="集計 2 7 4 3 2 4" xfId="21450"/>
    <cellStyle name="集計 2 7 4 3 2 4 2" xfId="21451"/>
    <cellStyle name="集計 2 7 4 3 2 4 3" xfId="21452"/>
    <cellStyle name="集計 2 7 4 3 2 5" xfId="21453"/>
    <cellStyle name="集計 2 7 4 3 2 6" xfId="21454"/>
    <cellStyle name="集計 2 7 4 3 3" xfId="21455"/>
    <cellStyle name="集計 2 7 4 3 3 2" xfId="21456"/>
    <cellStyle name="集計 2 7 4 3 3 3" xfId="21457"/>
    <cellStyle name="集計 2 7 4 3 4" xfId="21458"/>
    <cellStyle name="集計 2 7 4 3 4 2" xfId="21459"/>
    <cellStyle name="集計 2 7 4 3 4 3" xfId="21460"/>
    <cellStyle name="集計 2 7 4 3 5" xfId="21461"/>
    <cellStyle name="集計 2 7 4 3 5 2" xfId="21462"/>
    <cellStyle name="集計 2 7 4 3 5 3" xfId="21463"/>
    <cellStyle name="集計 2 7 4 3 6" xfId="21464"/>
    <cellStyle name="集計 2 7 4 3 7" xfId="21465"/>
    <cellStyle name="集計 2 7 4 4" xfId="21466"/>
    <cellStyle name="集計 2 7 4 4 2" xfId="21467"/>
    <cellStyle name="集計 2 7 4 4 2 2" xfId="21468"/>
    <cellStyle name="集計 2 7 4 4 2 2 2" xfId="21469"/>
    <cellStyle name="集計 2 7 4 4 2 2 3" xfId="21470"/>
    <cellStyle name="集計 2 7 4 4 2 3" xfId="21471"/>
    <cellStyle name="集計 2 7 4 4 2 3 2" xfId="21472"/>
    <cellStyle name="集計 2 7 4 4 2 3 3" xfId="21473"/>
    <cellStyle name="集計 2 7 4 4 2 4" xfId="21474"/>
    <cellStyle name="集計 2 7 4 4 2 4 2" xfId="21475"/>
    <cellStyle name="集計 2 7 4 4 2 4 3" xfId="21476"/>
    <cellStyle name="集計 2 7 4 4 2 5" xfId="21477"/>
    <cellStyle name="集計 2 7 4 4 2 6" xfId="21478"/>
    <cellStyle name="集計 2 7 4 4 3" xfId="21479"/>
    <cellStyle name="集計 2 7 4 4 3 2" xfId="21480"/>
    <cellStyle name="集計 2 7 4 4 3 3" xfId="21481"/>
    <cellStyle name="集計 2 7 4 4 4" xfId="21482"/>
    <cellStyle name="集計 2 7 4 4 4 2" xfId="21483"/>
    <cellStyle name="集計 2 7 4 4 4 3" xfId="21484"/>
    <cellStyle name="集計 2 7 4 4 5" xfId="21485"/>
    <cellStyle name="集計 2 7 4 4 5 2" xfId="21486"/>
    <cellStyle name="集計 2 7 4 4 5 3" xfId="21487"/>
    <cellStyle name="集計 2 7 4 4 6" xfId="21488"/>
    <cellStyle name="集計 2 7 4 4 7" xfId="21489"/>
    <cellStyle name="集計 2 7 4 5" xfId="21490"/>
    <cellStyle name="集計 2 7 4 5 2" xfId="21491"/>
    <cellStyle name="集計 2 7 4 5 2 2" xfId="21492"/>
    <cellStyle name="集計 2 7 4 5 2 3" xfId="21493"/>
    <cellStyle name="集計 2 7 4 5 3" xfId="21494"/>
    <cellStyle name="集計 2 7 4 5 3 2" xfId="21495"/>
    <cellStyle name="集計 2 7 4 5 3 3" xfId="21496"/>
    <cellStyle name="集計 2 7 4 5 4" xfId="21497"/>
    <cellStyle name="集計 2 7 4 5 4 2" xfId="21498"/>
    <cellStyle name="集計 2 7 4 5 4 3" xfId="21499"/>
    <cellStyle name="集計 2 7 4 5 5" xfId="21500"/>
    <cellStyle name="集計 2 7 4 5 6" xfId="21501"/>
    <cellStyle name="集計 2 7 4 6" xfId="21502"/>
    <cellStyle name="集計 2 7 4 6 2" xfId="21503"/>
    <cellStyle name="集計 2 7 4 6 3" xfId="21504"/>
    <cellStyle name="集計 2 7 4 7" xfId="21505"/>
    <cellStyle name="集計 2 7 4 7 2" xfId="21506"/>
    <cellStyle name="集計 2 7 4 7 3" xfId="21507"/>
    <cellStyle name="集計 2 7 4 8" xfId="21508"/>
    <cellStyle name="集計 2 7 4 8 2" xfId="21509"/>
    <cellStyle name="集計 2 7 4 8 3" xfId="21510"/>
    <cellStyle name="集計 2 7 4 9" xfId="21511"/>
    <cellStyle name="集計 2 7 5" xfId="21512"/>
    <cellStyle name="集計 2 7 5 10" xfId="21513"/>
    <cellStyle name="集計 2 7 5 2" xfId="21514"/>
    <cellStyle name="集計 2 7 5 2 2" xfId="21515"/>
    <cellStyle name="集計 2 7 5 2 2 2" xfId="21516"/>
    <cellStyle name="集計 2 7 5 2 2 2 2" xfId="21517"/>
    <cellStyle name="集計 2 7 5 2 2 2 2 2" xfId="21518"/>
    <cellStyle name="集計 2 7 5 2 2 2 2 3" xfId="21519"/>
    <cellStyle name="集計 2 7 5 2 2 2 3" xfId="21520"/>
    <cellStyle name="集計 2 7 5 2 2 2 3 2" xfId="21521"/>
    <cellStyle name="集計 2 7 5 2 2 2 3 3" xfId="21522"/>
    <cellStyle name="集計 2 7 5 2 2 2 4" xfId="21523"/>
    <cellStyle name="集計 2 7 5 2 2 2 4 2" xfId="21524"/>
    <cellStyle name="集計 2 7 5 2 2 2 4 3" xfId="21525"/>
    <cellStyle name="集計 2 7 5 2 2 2 5" xfId="21526"/>
    <cellStyle name="集計 2 7 5 2 2 2 6" xfId="21527"/>
    <cellStyle name="集計 2 7 5 2 2 3" xfId="21528"/>
    <cellStyle name="集計 2 7 5 2 2 3 2" xfId="21529"/>
    <cellStyle name="集計 2 7 5 2 2 3 3" xfId="21530"/>
    <cellStyle name="集計 2 7 5 2 2 4" xfId="21531"/>
    <cellStyle name="集計 2 7 5 2 2 4 2" xfId="21532"/>
    <cellStyle name="集計 2 7 5 2 2 4 3" xfId="21533"/>
    <cellStyle name="集計 2 7 5 2 2 5" xfId="21534"/>
    <cellStyle name="集計 2 7 5 2 2 5 2" xfId="21535"/>
    <cellStyle name="集計 2 7 5 2 2 5 3" xfId="21536"/>
    <cellStyle name="集計 2 7 5 2 2 6" xfId="21537"/>
    <cellStyle name="集計 2 7 5 2 2 7" xfId="21538"/>
    <cellStyle name="集計 2 7 5 2 3" xfId="21539"/>
    <cellStyle name="集計 2 7 5 2 3 2" xfId="21540"/>
    <cellStyle name="集計 2 7 5 2 3 2 2" xfId="21541"/>
    <cellStyle name="集計 2 7 5 2 3 2 2 2" xfId="21542"/>
    <cellStyle name="集計 2 7 5 2 3 2 2 3" xfId="21543"/>
    <cellStyle name="集計 2 7 5 2 3 2 3" xfId="21544"/>
    <cellStyle name="集計 2 7 5 2 3 2 3 2" xfId="21545"/>
    <cellStyle name="集計 2 7 5 2 3 2 3 3" xfId="21546"/>
    <cellStyle name="集計 2 7 5 2 3 2 4" xfId="21547"/>
    <cellStyle name="集計 2 7 5 2 3 2 4 2" xfId="21548"/>
    <cellStyle name="集計 2 7 5 2 3 2 4 3" xfId="21549"/>
    <cellStyle name="集計 2 7 5 2 3 2 5" xfId="21550"/>
    <cellStyle name="集計 2 7 5 2 3 2 6" xfId="21551"/>
    <cellStyle name="集計 2 7 5 2 3 3" xfId="21552"/>
    <cellStyle name="集計 2 7 5 2 3 3 2" xfId="21553"/>
    <cellStyle name="集計 2 7 5 2 3 3 3" xfId="21554"/>
    <cellStyle name="集計 2 7 5 2 3 4" xfId="21555"/>
    <cellStyle name="集計 2 7 5 2 3 4 2" xfId="21556"/>
    <cellStyle name="集計 2 7 5 2 3 4 3" xfId="21557"/>
    <cellStyle name="集計 2 7 5 2 3 5" xfId="21558"/>
    <cellStyle name="集計 2 7 5 2 3 5 2" xfId="21559"/>
    <cellStyle name="集計 2 7 5 2 3 5 3" xfId="21560"/>
    <cellStyle name="集計 2 7 5 2 3 6" xfId="21561"/>
    <cellStyle name="集計 2 7 5 2 3 7" xfId="21562"/>
    <cellStyle name="集計 2 7 5 2 4" xfId="21563"/>
    <cellStyle name="集計 2 7 5 2 4 2" xfId="21564"/>
    <cellStyle name="集計 2 7 5 2 4 2 2" xfId="21565"/>
    <cellStyle name="集計 2 7 5 2 4 2 3" xfId="21566"/>
    <cellStyle name="集計 2 7 5 2 4 3" xfId="21567"/>
    <cellStyle name="集計 2 7 5 2 4 3 2" xfId="21568"/>
    <cellStyle name="集計 2 7 5 2 4 3 3" xfId="21569"/>
    <cellStyle name="集計 2 7 5 2 4 4" xfId="21570"/>
    <cellStyle name="集計 2 7 5 2 4 4 2" xfId="21571"/>
    <cellStyle name="集計 2 7 5 2 4 4 3" xfId="21572"/>
    <cellStyle name="集計 2 7 5 2 4 5" xfId="21573"/>
    <cellStyle name="集計 2 7 5 2 4 6" xfId="21574"/>
    <cellStyle name="集計 2 7 5 2 5" xfId="21575"/>
    <cellStyle name="集計 2 7 5 2 5 2" xfId="21576"/>
    <cellStyle name="集計 2 7 5 2 5 3" xfId="21577"/>
    <cellStyle name="集計 2 7 5 2 6" xfId="21578"/>
    <cellStyle name="集計 2 7 5 2 6 2" xfId="21579"/>
    <cellStyle name="集計 2 7 5 2 6 3" xfId="21580"/>
    <cellStyle name="集計 2 7 5 2 7" xfId="21581"/>
    <cellStyle name="集計 2 7 5 2 7 2" xfId="21582"/>
    <cellStyle name="集計 2 7 5 2 7 3" xfId="21583"/>
    <cellStyle name="集計 2 7 5 2 8" xfId="21584"/>
    <cellStyle name="集計 2 7 5 2 9" xfId="21585"/>
    <cellStyle name="集計 2 7 5 3" xfId="21586"/>
    <cellStyle name="集計 2 7 5 3 2" xfId="21587"/>
    <cellStyle name="集計 2 7 5 3 2 2" xfId="21588"/>
    <cellStyle name="集計 2 7 5 3 2 2 2" xfId="21589"/>
    <cellStyle name="集計 2 7 5 3 2 2 3" xfId="21590"/>
    <cellStyle name="集計 2 7 5 3 2 3" xfId="21591"/>
    <cellStyle name="集計 2 7 5 3 2 3 2" xfId="21592"/>
    <cellStyle name="集計 2 7 5 3 2 3 3" xfId="21593"/>
    <cellStyle name="集計 2 7 5 3 2 4" xfId="21594"/>
    <cellStyle name="集計 2 7 5 3 2 4 2" xfId="21595"/>
    <cellStyle name="集計 2 7 5 3 2 4 3" xfId="21596"/>
    <cellStyle name="集計 2 7 5 3 2 5" xfId="21597"/>
    <cellStyle name="集計 2 7 5 3 2 6" xfId="21598"/>
    <cellStyle name="集計 2 7 5 3 3" xfId="21599"/>
    <cellStyle name="集計 2 7 5 3 3 2" xfId="21600"/>
    <cellStyle name="集計 2 7 5 3 3 3" xfId="21601"/>
    <cellStyle name="集計 2 7 5 3 4" xfId="21602"/>
    <cellStyle name="集計 2 7 5 3 4 2" xfId="21603"/>
    <cellStyle name="集計 2 7 5 3 4 3" xfId="21604"/>
    <cellStyle name="集計 2 7 5 3 5" xfId="21605"/>
    <cellStyle name="集計 2 7 5 3 5 2" xfId="21606"/>
    <cellStyle name="集計 2 7 5 3 5 3" xfId="21607"/>
    <cellStyle name="集計 2 7 5 3 6" xfId="21608"/>
    <cellStyle name="集計 2 7 5 3 7" xfId="21609"/>
    <cellStyle name="集計 2 7 5 4" xfId="21610"/>
    <cellStyle name="集計 2 7 5 4 2" xfId="21611"/>
    <cellStyle name="集計 2 7 5 4 2 2" xfId="21612"/>
    <cellStyle name="集計 2 7 5 4 2 2 2" xfId="21613"/>
    <cellStyle name="集計 2 7 5 4 2 2 3" xfId="21614"/>
    <cellStyle name="集計 2 7 5 4 2 3" xfId="21615"/>
    <cellStyle name="集計 2 7 5 4 2 3 2" xfId="21616"/>
    <cellStyle name="集計 2 7 5 4 2 3 3" xfId="21617"/>
    <cellStyle name="集計 2 7 5 4 2 4" xfId="21618"/>
    <cellStyle name="集計 2 7 5 4 2 4 2" xfId="21619"/>
    <cellStyle name="集計 2 7 5 4 2 4 3" xfId="21620"/>
    <cellStyle name="集計 2 7 5 4 2 5" xfId="21621"/>
    <cellStyle name="集計 2 7 5 4 2 6" xfId="21622"/>
    <cellStyle name="集計 2 7 5 4 3" xfId="21623"/>
    <cellStyle name="集計 2 7 5 4 3 2" xfId="21624"/>
    <cellStyle name="集計 2 7 5 4 3 3" xfId="21625"/>
    <cellStyle name="集計 2 7 5 4 4" xfId="21626"/>
    <cellStyle name="集計 2 7 5 4 4 2" xfId="21627"/>
    <cellStyle name="集計 2 7 5 4 4 3" xfId="21628"/>
    <cellStyle name="集計 2 7 5 4 5" xfId="21629"/>
    <cellStyle name="集計 2 7 5 4 5 2" xfId="21630"/>
    <cellStyle name="集計 2 7 5 4 5 3" xfId="21631"/>
    <cellStyle name="集計 2 7 5 4 6" xfId="21632"/>
    <cellStyle name="集計 2 7 5 4 7" xfId="21633"/>
    <cellStyle name="集計 2 7 5 5" xfId="21634"/>
    <cellStyle name="集計 2 7 5 5 2" xfId="21635"/>
    <cellStyle name="集計 2 7 5 5 2 2" xfId="21636"/>
    <cellStyle name="集計 2 7 5 5 2 3" xfId="21637"/>
    <cellStyle name="集計 2 7 5 5 3" xfId="21638"/>
    <cellStyle name="集計 2 7 5 5 3 2" xfId="21639"/>
    <cellStyle name="集計 2 7 5 5 3 3" xfId="21640"/>
    <cellStyle name="集計 2 7 5 5 4" xfId="21641"/>
    <cellStyle name="集計 2 7 5 5 4 2" xfId="21642"/>
    <cellStyle name="集計 2 7 5 5 4 3" xfId="21643"/>
    <cellStyle name="集計 2 7 5 5 5" xfId="21644"/>
    <cellStyle name="集計 2 7 5 5 6" xfId="21645"/>
    <cellStyle name="集計 2 7 5 6" xfId="21646"/>
    <cellStyle name="集計 2 7 5 6 2" xfId="21647"/>
    <cellStyle name="集計 2 7 5 6 3" xfId="21648"/>
    <cellStyle name="集計 2 7 5 7" xfId="21649"/>
    <cellStyle name="集計 2 7 5 7 2" xfId="21650"/>
    <cellStyle name="集計 2 7 5 7 3" xfId="21651"/>
    <cellStyle name="集計 2 7 5 8" xfId="21652"/>
    <cellStyle name="集計 2 7 5 8 2" xfId="21653"/>
    <cellStyle name="集計 2 7 5 8 3" xfId="21654"/>
    <cellStyle name="集計 2 7 5 9" xfId="21655"/>
    <cellStyle name="集計 2 7 6" xfId="21656"/>
    <cellStyle name="集計 2 7 6 10" xfId="21657"/>
    <cellStyle name="集計 2 7 6 2" xfId="21658"/>
    <cellStyle name="集計 2 7 6 2 2" xfId="21659"/>
    <cellStyle name="集計 2 7 6 2 2 2" xfId="21660"/>
    <cellStyle name="集計 2 7 6 2 2 2 2" xfId="21661"/>
    <cellStyle name="集計 2 7 6 2 2 2 2 2" xfId="21662"/>
    <cellStyle name="集計 2 7 6 2 2 2 2 3" xfId="21663"/>
    <cellStyle name="集計 2 7 6 2 2 2 3" xfId="21664"/>
    <cellStyle name="集計 2 7 6 2 2 2 3 2" xfId="21665"/>
    <cellStyle name="集計 2 7 6 2 2 2 3 3" xfId="21666"/>
    <cellStyle name="集計 2 7 6 2 2 2 4" xfId="21667"/>
    <cellStyle name="集計 2 7 6 2 2 2 4 2" xfId="21668"/>
    <cellStyle name="集計 2 7 6 2 2 2 4 3" xfId="21669"/>
    <cellStyle name="集計 2 7 6 2 2 2 5" xfId="21670"/>
    <cellStyle name="集計 2 7 6 2 2 2 6" xfId="21671"/>
    <cellStyle name="集計 2 7 6 2 2 3" xfId="21672"/>
    <cellStyle name="集計 2 7 6 2 2 3 2" xfId="21673"/>
    <cellStyle name="集計 2 7 6 2 2 3 3" xfId="21674"/>
    <cellStyle name="集計 2 7 6 2 2 4" xfId="21675"/>
    <cellStyle name="集計 2 7 6 2 2 4 2" xfId="21676"/>
    <cellStyle name="集計 2 7 6 2 2 4 3" xfId="21677"/>
    <cellStyle name="集計 2 7 6 2 2 5" xfId="21678"/>
    <cellStyle name="集計 2 7 6 2 2 5 2" xfId="21679"/>
    <cellStyle name="集計 2 7 6 2 2 5 3" xfId="21680"/>
    <cellStyle name="集計 2 7 6 2 2 6" xfId="21681"/>
    <cellStyle name="集計 2 7 6 2 2 7" xfId="21682"/>
    <cellStyle name="集計 2 7 6 2 3" xfId="21683"/>
    <cellStyle name="集計 2 7 6 2 3 2" xfId="21684"/>
    <cellStyle name="集計 2 7 6 2 3 2 2" xfId="21685"/>
    <cellStyle name="集計 2 7 6 2 3 2 2 2" xfId="21686"/>
    <cellStyle name="集計 2 7 6 2 3 2 2 3" xfId="21687"/>
    <cellStyle name="集計 2 7 6 2 3 2 3" xfId="21688"/>
    <cellStyle name="集計 2 7 6 2 3 2 3 2" xfId="21689"/>
    <cellStyle name="集計 2 7 6 2 3 2 3 3" xfId="21690"/>
    <cellStyle name="集計 2 7 6 2 3 2 4" xfId="21691"/>
    <cellStyle name="集計 2 7 6 2 3 2 4 2" xfId="21692"/>
    <cellStyle name="集計 2 7 6 2 3 2 4 3" xfId="21693"/>
    <cellStyle name="集計 2 7 6 2 3 2 5" xfId="21694"/>
    <cellStyle name="集計 2 7 6 2 3 2 6" xfId="21695"/>
    <cellStyle name="集計 2 7 6 2 3 3" xfId="21696"/>
    <cellStyle name="集計 2 7 6 2 3 3 2" xfId="21697"/>
    <cellStyle name="集計 2 7 6 2 3 3 3" xfId="21698"/>
    <cellStyle name="集計 2 7 6 2 3 4" xfId="21699"/>
    <cellStyle name="集計 2 7 6 2 3 4 2" xfId="21700"/>
    <cellStyle name="集計 2 7 6 2 3 4 3" xfId="21701"/>
    <cellStyle name="集計 2 7 6 2 3 5" xfId="21702"/>
    <cellStyle name="集計 2 7 6 2 3 5 2" xfId="21703"/>
    <cellStyle name="集計 2 7 6 2 3 5 3" xfId="21704"/>
    <cellStyle name="集計 2 7 6 2 3 6" xfId="21705"/>
    <cellStyle name="集計 2 7 6 2 3 7" xfId="21706"/>
    <cellStyle name="集計 2 7 6 2 4" xfId="21707"/>
    <cellStyle name="集計 2 7 6 2 4 2" xfId="21708"/>
    <cellStyle name="集計 2 7 6 2 4 2 2" xfId="21709"/>
    <cellStyle name="集計 2 7 6 2 4 2 3" xfId="21710"/>
    <cellStyle name="集計 2 7 6 2 4 3" xfId="21711"/>
    <cellStyle name="集計 2 7 6 2 4 3 2" xfId="21712"/>
    <cellStyle name="集計 2 7 6 2 4 3 3" xfId="21713"/>
    <cellStyle name="集計 2 7 6 2 4 4" xfId="21714"/>
    <cellStyle name="集計 2 7 6 2 4 4 2" xfId="21715"/>
    <cellStyle name="集計 2 7 6 2 4 4 3" xfId="21716"/>
    <cellStyle name="集計 2 7 6 2 4 5" xfId="21717"/>
    <cellStyle name="集計 2 7 6 2 4 6" xfId="21718"/>
    <cellStyle name="集計 2 7 6 2 5" xfId="21719"/>
    <cellStyle name="集計 2 7 6 2 5 2" xfId="21720"/>
    <cellStyle name="集計 2 7 6 2 5 3" xfId="21721"/>
    <cellStyle name="集計 2 7 6 2 6" xfId="21722"/>
    <cellStyle name="集計 2 7 6 2 6 2" xfId="21723"/>
    <cellStyle name="集計 2 7 6 2 6 3" xfId="21724"/>
    <cellStyle name="集計 2 7 6 2 7" xfId="21725"/>
    <cellStyle name="集計 2 7 6 2 7 2" xfId="21726"/>
    <cellStyle name="集計 2 7 6 2 7 3" xfId="21727"/>
    <cellStyle name="集計 2 7 6 2 8" xfId="21728"/>
    <cellStyle name="集計 2 7 6 2 9" xfId="21729"/>
    <cellStyle name="集計 2 7 6 3" xfId="21730"/>
    <cellStyle name="集計 2 7 6 3 2" xfId="21731"/>
    <cellStyle name="集計 2 7 6 3 2 2" xfId="21732"/>
    <cellStyle name="集計 2 7 6 3 2 2 2" xfId="21733"/>
    <cellStyle name="集計 2 7 6 3 2 2 3" xfId="21734"/>
    <cellStyle name="集計 2 7 6 3 2 3" xfId="21735"/>
    <cellStyle name="集計 2 7 6 3 2 3 2" xfId="21736"/>
    <cellStyle name="集計 2 7 6 3 2 3 3" xfId="21737"/>
    <cellStyle name="集計 2 7 6 3 2 4" xfId="21738"/>
    <cellStyle name="集計 2 7 6 3 2 4 2" xfId="21739"/>
    <cellStyle name="集計 2 7 6 3 2 4 3" xfId="21740"/>
    <cellStyle name="集計 2 7 6 3 2 5" xfId="21741"/>
    <cellStyle name="集計 2 7 6 3 2 6" xfId="21742"/>
    <cellStyle name="集計 2 7 6 3 3" xfId="21743"/>
    <cellStyle name="集計 2 7 6 3 3 2" xfId="21744"/>
    <cellStyle name="集計 2 7 6 3 3 3" xfId="21745"/>
    <cellStyle name="集計 2 7 6 3 4" xfId="21746"/>
    <cellStyle name="集計 2 7 6 3 4 2" xfId="21747"/>
    <cellStyle name="集計 2 7 6 3 4 3" xfId="21748"/>
    <cellStyle name="集計 2 7 6 3 5" xfId="21749"/>
    <cellStyle name="集計 2 7 6 3 5 2" xfId="21750"/>
    <cellStyle name="集計 2 7 6 3 5 3" xfId="21751"/>
    <cellStyle name="集計 2 7 6 3 6" xfId="21752"/>
    <cellStyle name="集計 2 7 6 3 7" xfId="21753"/>
    <cellStyle name="集計 2 7 6 4" xfId="21754"/>
    <cellStyle name="集計 2 7 6 4 2" xfId="21755"/>
    <cellStyle name="集計 2 7 6 4 2 2" xfId="21756"/>
    <cellStyle name="集計 2 7 6 4 2 2 2" xfId="21757"/>
    <cellStyle name="集計 2 7 6 4 2 2 3" xfId="21758"/>
    <cellStyle name="集計 2 7 6 4 2 3" xfId="21759"/>
    <cellStyle name="集計 2 7 6 4 2 3 2" xfId="21760"/>
    <cellStyle name="集計 2 7 6 4 2 3 3" xfId="21761"/>
    <cellStyle name="集計 2 7 6 4 2 4" xfId="21762"/>
    <cellStyle name="集計 2 7 6 4 2 4 2" xfId="21763"/>
    <cellStyle name="集計 2 7 6 4 2 4 3" xfId="21764"/>
    <cellStyle name="集計 2 7 6 4 2 5" xfId="21765"/>
    <cellStyle name="集計 2 7 6 4 2 6" xfId="21766"/>
    <cellStyle name="集計 2 7 6 4 3" xfId="21767"/>
    <cellStyle name="集計 2 7 6 4 3 2" xfId="21768"/>
    <cellStyle name="集計 2 7 6 4 3 3" xfId="21769"/>
    <cellStyle name="集計 2 7 6 4 4" xfId="21770"/>
    <cellStyle name="集計 2 7 6 4 4 2" xfId="21771"/>
    <cellStyle name="集計 2 7 6 4 4 3" xfId="21772"/>
    <cellStyle name="集計 2 7 6 4 5" xfId="21773"/>
    <cellStyle name="集計 2 7 6 4 5 2" xfId="21774"/>
    <cellStyle name="集計 2 7 6 4 5 3" xfId="21775"/>
    <cellStyle name="集計 2 7 6 4 6" xfId="21776"/>
    <cellStyle name="集計 2 7 6 4 7" xfId="21777"/>
    <cellStyle name="集計 2 7 6 5" xfId="21778"/>
    <cellStyle name="集計 2 7 6 5 2" xfId="21779"/>
    <cellStyle name="集計 2 7 6 5 2 2" xfId="21780"/>
    <cellStyle name="集計 2 7 6 5 2 3" xfId="21781"/>
    <cellStyle name="集計 2 7 6 5 3" xfId="21782"/>
    <cellStyle name="集計 2 7 6 5 3 2" xfId="21783"/>
    <cellStyle name="集計 2 7 6 5 3 3" xfId="21784"/>
    <cellStyle name="集計 2 7 6 5 4" xfId="21785"/>
    <cellStyle name="集計 2 7 6 5 4 2" xfId="21786"/>
    <cellStyle name="集計 2 7 6 5 4 3" xfId="21787"/>
    <cellStyle name="集計 2 7 6 5 5" xfId="21788"/>
    <cellStyle name="集計 2 7 6 5 6" xfId="21789"/>
    <cellStyle name="集計 2 7 6 6" xfId="21790"/>
    <cellStyle name="集計 2 7 6 6 2" xfId="21791"/>
    <cellStyle name="集計 2 7 6 6 3" xfId="21792"/>
    <cellStyle name="集計 2 7 6 7" xfId="21793"/>
    <cellStyle name="集計 2 7 6 7 2" xfId="21794"/>
    <cellStyle name="集計 2 7 6 7 3" xfId="21795"/>
    <cellStyle name="集計 2 7 6 8" xfId="21796"/>
    <cellStyle name="集計 2 7 6 8 2" xfId="21797"/>
    <cellStyle name="集計 2 7 6 8 3" xfId="21798"/>
    <cellStyle name="集計 2 7 6 9" xfId="21799"/>
    <cellStyle name="集計 2 7 7" xfId="21800"/>
    <cellStyle name="集計 2 7 7 2" xfId="21801"/>
    <cellStyle name="集計 2 7 7 2 2" xfId="21802"/>
    <cellStyle name="集計 2 7 7 2 2 2" xfId="21803"/>
    <cellStyle name="集計 2 7 7 2 2 3" xfId="21804"/>
    <cellStyle name="集計 2 7 7 2 3" xfId="21805"/>
    <cellStyle name="集計 2 7 7 2 3 2" xfId="21806"/>
    <cellStyle name="集計 2 7 7 2 3 3" xfId="21807"/>
    <cellStyle name="集計 2 7 7 2 4" xfId="21808"/>
    <cellStyle name="集計 2 7 7 2 4 2" xfId="21809"/>
    <cellStyle name="集計 2 7 7 2 4 3" xfId="21810"/>
    <cellStyle name="集計 2 7 7 2 5" xfId="21811"/>
    <cellStyle name="集計 2 7 7 2 6" xfId="21812"/>
    <cellStyle name="集計 2 7 7 3" xfId="21813"/>
    <cellStyle name="集計 2 7 7 3 2" xfId="21814"/>
    <cellStyle name="集計 2 7 7 3 3" xfId="21815"/>
    <cellStyle name="集計 2 7 7 4" xfId="21816"/>
    <cellStyle name="集計 2 7 7 4 2" xfId="21817"/>
    <cellStyle name="集計 2 7 7 4 3" xfId="21818"/>
    <cellStyle name="集計 2 7 7 5" xfId="21819"/>
    <cellStyle name="集計 2 7 7 5 2" xfId="21820"/>
    <cellStyle name="集計 2 7 7 5 3" xfId="21821"/>
    <cellStyle name="集計 2 7 7 6" xfId="21822"/>
    <cellStyle name="集計 2 7 7 7" xfId="21823"/>
    <cellStyle name="集計 2 7 8" xfId="21824"/>
    <cellStyle name="集計 2 7 8 2" xfId="21825"/>
    <cellStyle name="集計 2 7 8 2 2" xfId="21826"/>
    <cellStyle name="集計 2 7 8 2 2 2" xfId="21827"/>
    <cellStyle name="集計 2 7 8 2 2 3" xfId="21828"/>
    <cellStyle name="集計 2 7 8 2 3" xfId="21829"/>
    <cellStyle name="集計 2 7 8 2 3 2" xfId="21830"/>
    <cellStyle name="集計 2 7 8 2 3 3" xfId="21831"/>
    <cellStyle name="集計 2 7 8 2 4" xfId="21832"/>
    <cellStyle name="集計 2 7 8 2 4 2" xfId="21833"/>
    <cellStyle name="集計 2 7 8 2 4 3" xfId="21834"/>
    <cellStyle name="集計 2 7 8 2 5" xfId="21835"/>
    <cellStyle name="集計 2 7 8 2 6" xfId="21836"/>
    <cellStyle name="集計 2 7 8 3" xfId="21837"/>
    <cellStyle name="集計 2 7 8 3 2" xfId="21838"/>
    <cellStyle name="集計 2 7 8 3 3" xfId="21839"/>
    <cellStyle name="集計 2 7 8 4" xfId="21840"/>
    <cellStyle name="集計 2 7 8 4 2" xfId="21841"/>
    <cellStyle name="集計 2 7 8 4 3" xfId="21842"/>
    <cellStyle name="集計 2 7 8 5" xfId="21843"/>
    <cellStyle name="集計 2 7 8 5 2" xfId="21844"/>
    <cellStyle name="集計 2 7 8 5 3" xfId="21845"/>
    <cellStyle name="集計 2 7 8 6" xfId="21846"/>
    <cellStyle name="集計 2 7 8 7" xfId="21847"/>
    <cellStyle name="集計 2 7 9" xfId="21848"/>
    <cellStyle name="集計 2 7 9 2" xfId="21849"/>
    <cellStyle name="集計 2 7 9 2 2" xfId="21850"/>
    <cellStyle name="集計 2 7 9 2 3" xfId="21851"/>
    <cellStyle name="集計 2 7 9 3" xfId="21852"/>
    <cellStyle name="集計 2 7 9 3 2" xfId="21853"/>
    <cellStyle name="集計 2 7 9 3 3" xfId="21854"/>
    <cellStyle name="集計 2 7 9 4" xfId="21855"/>
    <cellStyle name="集計 2 7 9 4 2" xfId="21856"/>
    <cellStyle name="集計 2 7 9 4 3" xfId="21857"/>
    <cellStyle name="集計 2 7 9 5" xfId="21858"/>
    <cellStyle name="集計 2 7 9 6" xfId="21859"/>
    <cellStyle name="集計 2 8" xfId="21860"/>
    <cellStyle name="集計 2 8 10" xfId="21861"/>
    <cellStyle name="集計 2 8 10 2" xfId="21862"/>
    <cellStyle name="集計 2 8 10 3" xfId="21863"/>
    <cellStyle name="集計 2 8 11" xfId="21864"/>
    <cellStyle name="集計 2 8 11 2" xfId="21865"/>
    <cellStyle name="集計 2 8 11 3" xfId="21866"/>
    <cellStyle name="集計 2 8 12" xfId="21867"/>
    <cellStyle name="集計 2 8 12 2" xfId="21868"/>
    <cellStyle name="集計 2 8 12 3" xfId="21869"/>
    <cellStyle name="集計 2 8 13" xfId="21870"/>
    <cellStyle name="集計 2 8 14" xfId="21871"/>
    <cellStyle name="集計 2 8 2" xfId="21872"/>
    <cellStyle name="集計 2 8 2 10" xfId="21873"/>
    <cellStyle name="集計 2 8 2 2" xfId="21874"/>
    <cellStyle name="集計 2 8 2 2 10" xfId="21875"/>
    <cellStyle name="集計 2 8 2 2 2" xfId="21876"/>
    <cellStyle name="集計 2 8 2 2 2 2" xfId="21877"/>
    <cellStyle name="集計 2 8 2 2 2 2 2" xfId="21878"/>
    <cellStyle name="集計 2 8 2 2 2 2 2 2" xfId="21879"/>
    <cellStyle name="集計 2 8 2 2 2 2 2 2 2" xfId="21880"/>
    <cellStyle name="集計 2 8 2 2 2 2 2 2 3" xfId="21881"/>
    <cellStyle name="集計 2 8 2 2 2 2 2 3" xfId="21882"/>
    <cellStyle name="集計 2 8 2 2 2 2 2 3 2" xfId="21883"/>
    <cellStyle name="集計 2 8 2 2 2 2 2 3 3" xfId="21884"/>
    <cellStyle name="集計 2 8 2 2 2 2 2 4" xfId="21885"/>
    <cellStyle name="集計 2 8 2 2 2 2 2 4 2" xfId="21886"/>
    <cellStyle name="集計 2 8 2 2 2 2 2 4 3" xfId="21887"/>
    <cellStyle name="集計 2 8 2 2 2 2 2 5" xfId="21888"/>
    <cellStyle name="集計 2 8 2 2 2 2 2 6" xfId="21889"/>
    <cellStyle name="集計 2 8 2 2 2 2 3" xfId="21890"/>
    <cellStyle name="集計 2 8 2 2 2 2 3 2" xfId="21891"/>
    <cellStyle name="集計 2 8 2 2 2 2 3 3" xfId="21892"/>
    <cellStyle name="集計 2 8 2 2 2 2 4" xfId="21893"/>
    <cellStyle name="集計 2 8 2 2 2 2 4 2" xfId="21894"/>
    <cellStyle name="集計 2 8 2 2 2 2 4 3" xfId="21895"/>
    <cellStyle name="集計 2 8 2 2 2 2 5" xfId="21896"/>
    <cellStyle name="集計 2 8 2 2 2 2 5 2" xfId="21897"/>
    <cellStyle name="集計 2 8 2 2 2 2 5 3" xfId="21898"/>
    <cellStyle name="集計 2 8 2 2 2 2 6" xfId="21899"/>
    <cellStyle name="集計 2 8 2 2 2 2 7" xfId="21900"/>
    <cellStyle name="集計 2 8 2 2 2 3" xfId="21901"/>
    <cellStyle name="集計 2 8 2 2 2 3 2" xfId="21902"/>
    <cellStyle name="集計 2 8 2 2 2 3 2 2" xfId="21903"/>
    <cellStyle name="集計 2 8 2 2 2 3 2 2 2" xfId="21904"/>
    <cellStyle name="集計 2 8 2 2 2 3 2 2 3" xfId="21905"/>
    <cellStyle name="集計 2 8 2 2 2 3 2 3" xfId="21906"/>
    <cellStyle name="集計 2 8 2 2 2 3 2 3 2" xfId="21907"/>
    <cellStyle name="集計 2 8 2 2 2 3 2 3 3" xfId="21908"/>
    <cellStyle name="集計 2 8 2 2 2 3 2 4" xfId="21909"/>
    <cellStyle name="集計 2 8 2 2 2 3 2 4 2" xfId="21910"/>
    <cellStyle name="集計 2 8 2 2 2 3 2 4 3" xfId="21911"/>
    <cellStyle name="集計 2 8 2 2 2 3 2 5" xfId="21912"/>
    <cellStyle name="集計 2 8 2 2 2 3 2 6" xfId="21913"/>
    <cellStyle name="集計 2 8 2 2 2 3 3" xfId="21914"/>
    <cellStyle name="集計 2 8 2 2 2 3 3 2" xfId="21915"/>
    <cellStyle name="集計 2 8 2 2 2 3 3 3" xfId="21916"/>
    <cellStyle name="集計 2 8 2 2 2 3 4" xfId="21917"/>
    <cellStyle name="集計 2 8 2 2 2 3 4 2" xfId="21918"/>
    <cellStyle name="集計 2 8 2 2 2 3 4 3" xfId="21919"/>
    <cellStyle name="集計 2 8 2 2 2 3 5" xfId="21920"/>
    <cellStyle name="集計 2 8 2 2 2 3 5 2" xfId="21921"/>
    <cellStyle name="集計 2 8 2 2 2 3 5 3" xfId="21922"/>
    <cellStyle name="集計 2 8 2 2 2 3 6" xfId="21923"/>
    <cellStyle name="集計 2 8 2 2 2 3 7" xfId="21924"/>
    <cellStyle name="集計 2 8 2 2 2 4" xfId="21925"/>
    <cellStyle name="集計 2 8 2 2 2 4 2" xfId="21926"/>
    <cellStyle name="集計 2 8 2 2 2 4 2 2" xfId="21927"/>
    <cellStyle name="集計 2 8 2 2 2 4 2 3" xfId="21928"/>
    <cellStyle name="集計 2 8 2 2 2 4 3" xfId="21929"/>
    <cellStyle name="集計 2 8 2 2 2 4 3 2" xfId="21930"/>
    <cellStyle name="集計 2 8 2 2 2 4 3 3" xfId="21931"/>
    <cellStyle name="集計 2 8 2 2 2 4 4" xfId="21932"/>
    <cellStyle name="集計 2 8 2 2 2 4 4 2" xfId="21933"/>
    <cellStyle name="集計 2 8 2 2 2 4 4 3" xfId="21934"/>
    <cellStyle name="集計 2 8 2 2 2 4 5" xfId="21935"/>
    <cellStyle name="集計 2 8 2 2 2 4 6" xfId="21936"/>
    <cellStyle name="集計 2 8 2 2 2 5" xfId="21937"/>
    <cellStyle name="集計 2 8 2 2 2 5 2" xfId="21938"/>
    <cellStyle name="集計 2 8 2 2 2 5 3" xfId="21939"/>
    <cellStyle name="集計 2 8 2 2 2 6" xfId="21940"/>
    <cellStyle name="集計 2 8 2 2 2 6 2" xfId="21941"/>
    <cellStyle name="集計 2 8 2 2 2 6 3" xfId="21942"/>
    <cellStyle name="集計 2 8 2 2 2 7" xfId="21943"/>
    <cellStyle name="集計 2 8 2 2 2 7 2" xfId="21944"/>
    <cellStyle name="集計 2 8 2 2 2 7 3" xfId="21945"/>
    <cellStyle name="集計 2 8 2 2 2 8" xfId="21946"/>
    <cellStyle name="集計 2 8 2 2 2 9" xfId="21947"/>
    <cellStyle name="集計 2 8 2 2 3" xfId="21948"/>
    <cellStyle name="集計 2 8 2 2 3 2" xfId="21949"/>
    <cellStyle name="集計 2 8 2 2 3 2 2" xfId="21950"/>
    <cellStyle name="集計 2 8 2 2 3 2 2 2" xfId="21951"/>
    <cellStyle name="集計 2 8 2 2 3 2 2 3" xfId="21952"/>
    <cellStyle name="集計 2 8 2 2 3 2 3" xfId="21953"/>
    <cellStyle name="集計 2 8 2 2 3 2 3 2" xfId="21954"/>
    <cellStyle name="集計 2 8 2 2 3 2 3 3" xfId="21955"/>
    <cellStyle name="集計 2 8 2 2 3 2 4" xfId="21956"/>
    <cellStyle name="集計 2 8 2 2 3 2 4 2" xfId="21957"/>
    <cellStyle name="集計 2 8 2 2 3 2 4 3" xfId="21958"/>
    <cellStyle name="集計 2 8 2 2 3 2 5" xfId="21959"/>
    <cellStyle name="集計 2 8 2 2 3 2 6" xfId="21960"/>
    <cellStyle name="集計 2 8 2 2 3 3" xfId="21961"/>
    <cellStyle name="集計 2 8 2 2 3 3 2" xfId="21962"/>
    <cellStyle name="集計 2 8 2 2 3 3 3" xfId="21963"/>
    <cellStyle name="集計 2 8 2 2 3 4" xfId="21964"/>
    <cellStyle name="集計 2 8 2 2 3 4 2" xfId="21965"/>
    <cellStyle name="集計 2 8 2 2 3 4 3" xfId="21966"/>
    <cellStyle name="集計 2 8 2 2 3 5" xfId="21967"/>
    <cellStyle name="集計 2 8 2 2 3 5 2" xfId="21968"/>
    <cellStyle name="集計 2 8 2 2 3 5 3" xfId="21969"/>
    <cellStyle name="集計 2 8 2 2 3 6" xfId="21970"/>
    <cellStyle name="集計 2 8 2 2 3 7" xfId="21971"/>
    <cellStyle name="集計 2 8 2 2 4" xfId="21972"/>
    <cellStyle name="集計 2 8 2 2 4 2" xfId="21973"/>
    <cellStyle name="集計 2 8 2 2 4 2 2" xfId="21974"/>
    <cellStyle name="集計 2 8 2 2 4 2 2 2" xfId="21975"/>
    <cellStyle name="集計 2 8 2 2 4 2 2 3" xfId="21976"/>
    <cellStyle name="集計 2 8 2 2 4 2 3" xfId="21977"/>
    <cellStyle name="集計 2 8 2 2 4 2 3 2" xfId="21978"/>
    <cellStyle name="集計 2 8 2 2 4 2 3 3" xfId="21979"/>
    <cellStyle name="集計 2 8 2 2 4 2 4" xfId="21980"/>
    <cellStyle name="集計 2 8 2 2 4 2 4 2" xfId="21981"/>
    <cellStyle name="集計 2 8 2 2 4 2 4 3" xfId="21982"/>
    <cellStyle name="集計 2 8 2 2 4 2 5" xfId="21983"/>
    <cellStyle name="集計 2 8 2 2 4 2 6" xfId="21984"/>
    <cellStyle name="集計 2 8 2 2 4 3" xfId="21985"/>
    <cellStyle name="集計 2 8 2 2 4 3 2" xfId="21986"/>
    <cellStyle name="集計 2 8 2 2 4 3 3" xfId="21987"/>
    <cellStyle name="集計 2 8 2 2 4 4" xfId="21988"/>
    <cellStyle name="集計 2 8 2 2 4 4 2" xfId="21989"/>
    <cellStyle name="集計 2 8 2 2 4 4 3" xfId="21990"/>
    <cellStyle name="集計 2 8 2 2 4 5" xfId="21991"/>
    <cellStyle name="集計 2 8 2 2 4 5 2" xfId="21992"/>
    <cellStyle name="集計 2 8 2 2 4 5 3" xfId="21993"/>
    <cellStyle name="集計 2 8 2 2 4 6" xfId="21994"/>
    <cellStyle name="集計 2 8 2 2 4 7" xfId="21995"/>
    <cellStyle name="集計 2 8 2 2 5" xfId="21996"/>
    <cellStyle name="集計 2 8 2 2 5 2" xfId="21997"/>
    <cellStyle name="集計 2 8 2 2 5 2 2" xfId="21998"/>
    <cellStyle name="集計 2 8 2 2 5 2 3" xfId="21999"/>
    <cellStyle name="集計 2 8 2 2 5 3" xfId="22000"/>
    <cellStyle name="集計 2 8 2 2 5 3 2" xfId="22001"/>
    <cellStyle name="集計 2 8 2 2 5 3 3" xfId="22002"/>
    <cellStyle name="集計 2 8 2 2 5 4" xfId="22003"/>
    <cellStyle name="集計 2 8 2 2 5 4 2" xfId="22004"/>
    <cellStyle name="集計 2 8 2 2 5 4 3" xfId="22005"/>
    <cellStyle name="集計 2 8 2 2 5 5" xfId="22006"/>
    <cellStyle name="集計 2 8 2 2 5 6" xfId="22007"/>
    <cellStyle name="集計 2 8 2 2 6" xfId="22008"/>
    <cellStyle name="集計 2 8 2 2 6 2" xfId="22009"/>
    <cellStyle name="集計 2 8 2 2 6 3" xfId="22010"/>
    <cellStyle name="集計 2 8 2 2 7" xfId="22011"/>
    <cellStyle name="集計 2 8 2 2 7 2" xfId="22012"/>
    <cellStyle name="集計 2 8 2 2 7 3" xfId="22013"/>
    <cellStyle name="集計 2 8 2 2 8" xfId="22014"/>
    <cellStyle name="集計 2 8 2 2 8 2" xfId="22015"/>
    <cellStyle name="集計 2 8 2 2 8 3" xfId="22016"/>
    <cellStyle name="集計 2 8 2 2 9" xfId="22017"/>
    <cellStyle name="集計 2 8 2 3" xfId="22018"/>
    <cellStyle name="集計 2 8 2 3 2" xfId="22019"/>
    <cellStyle name="集計 2 8 2 3 2 2" xfId="22020"/>
    <cellStyle name="集計 2 8 2 3 2 2 2" xfId="22021"/>
    <cellStyle name="集計 2 8 2 3 2 2 3" xfId="22022"/>
    <cellStyle name="集計 2 8 2 3 2 3" xfId="22023"/>
    <cellStyle name="集計 2 8 2 3 2 3 2" xfId="22024"/>
    <cellStyle name="集計 2 8 2 3 2 3 3" xfId="22025"/>
    <cellStyle name="集計 2 8 2 3 2 4" xfId="22026"/>
    <cellStyle name="集計 2 8 2 3 2 4 2" xfId="22027"/>
    <cellStyle name="集計 2 8 2 3 2 4 3" xfId="22028"/>
    <cellStyle name="集計 2 8 2 3 2 5" xfId="22029"/>
    <cellStyle name="集計 2 8 2 3 2 6" xfId="22030"/>
    <cellStyle name="集計 2 8 2 3 3" xfId="22031"/>
    <cellStyle name="集計 2 8 2 3 3 2" xfId="22032"/>
    <cellStyle name="集計 2 8 2 3 3 3" xfId="22033"/>
    <cellStyle name="集計 2 8 2 3 4" xfId="22034"/>
    <cellStyle name="集計 2 8 2 3 4 2" xfId="22035"/>
    <cellStyle name="集計 2 8 2 3 4 3" xfId="22036"/>
    <cellStyle name="集計 2 8 2 3 5" xfId="22037"/>
    <cellStyle name="集計 2 8 2 3 5 2" xfId="22038"/>
    <cellStyle name="集計 2 8 2 3 5 3" xfId="22039"/>
    <cellStyle name="集計 2 8 2 3 6" xfId="22040"/>
    <cellStyle name="集計 2 8 2 3 7" xfId="22041"/>
    <cellStyle name="集計 2 8 2 4" xfId="22042"/>
    <cellStyle name="集計 2 8 2 4 2" xfId="22043"/>
    <cellStyle name="集計 2 8 2 4 2 2" xfId="22044"/>
    <cellStyle name="集計 2 8 2 4 2 2 2" xfId="22045"/>
    <cellStyle name="集計 2 8 2 4 2 2 3" xfId="22046"/>
    <cellStyle name="集計 2 8 2 4 2 3" xfId="22047"/>
    <cellStyle name="集計 2 8 2 4 2 3 2" xfId="22048"/>
    <cellStyle name="集計 2 8 2 4 2 3 3" xfId="22049"/>
    <cellStyle name="集計 2 8 2 4 2 4" xfId="22050"/>
    <cellStyle name="集計 2 8 2 4 2 4 2" xfId="22051"/>
    <cellStyle name="集計 2 8 2 4 2 4 3" xfId="22052"/>
    <cellStyle name="集計 2 8 2 4 2 5" xfId="22053"/>
    <cellStyle name="集計 2 8 2 4 2 6" xfId="22054"/>
    <cellStyle name="集計 2 8 2 4 3" xfId="22055"/>
    <cellStyle name="集計 2 8 2 4 3 2" xfId="22056"/>
    <cellStyle name="集計 2 8 2 4 3 3" xfId="22057"/>
    <cellStyle name="集計 2 8 2 4 4" xfId="22058"/>
    <cellStyle name="集計 2 8 2 4 4 2" xfId="22059"/>
    <cellStyle name="集計 2 8 2 4 4 3" xfId="22060"/>
    <cellStyle name="集計 2 8 2 4 5" xfId="22061"/>
    <cellStyle name="集計 2 8 2 4 5 2" xfId="22062"/>
    <cellStyle name="集計 2 8 2 4 5 3" xfId="22063"/>
    <cellStyle name="集計 2 8 2 4 6" xfId="22064"/>
    <cellStyle name="集計 2 8 2 4 7" xfId="22065"/>
    <cellStyle name="集計 2 8 2 5" xfId="22066"/>
    <cellStyle name="集計 2 8 2 5 2" xfId="22067"/>
    <cellStyle name="集計 2 8 2 5 2 2" xfId="22068"/>
    <cellStyle name="集計 2 8 2 5 2 3" xfId="22069"/>
    <cellStyle name="集計 2 8 2 5 3" xfId="22070"/>
    <cellStyle name="集計 2 8 2 5 3 2" xfId="22071"/>
    <cellStyle name="集計 2 8 2 5 3 3" xfId="22072"/>
    <cellStyle name="集計 2 8 2 5 4" xfId="22073"/>
    <cellStyle name="集計 2 8 2 5 4 2" xfId="22074"/>
    <cellStyle name="集計 2 8 2 5 4 3" xfId="22075"/>
    <cellStyle name="集計 2 8 2 5 5" xfId="22076"/>
    <cellStyle name="集計 2 8 2 5 6" xfId="22077"/>
    <cellStyle name="集計 2 8 2 6" xfId="22078"/>
    <cellStyle name="集計 2 8 2 6 2" xfId="22079"/>
    <cellStyle name="集計 2 8 2 6 3" xfId="22080"/>
    <cellStyle name="集計 2 8 2 7" xfId="22081"/>
    <cellStyle name="集計 2 8 2 7 2" xfId="22082"/>
    <cellStyle name="集計 2 8 2 7 3" xfId="22083"/>
    <cellStyle name="集計 2 8 2 8" xfId="22084"/>
    <cellStyle name="集計 2 8 2 8 2" xfId="22085"/>
    <cellStyle name="集計 2 8 2 8 3" xfId="22086"/>
    <cellStyle name="集計 2 8 2 9" xfId="22087"/>
    <cellStyle name="集計 2 8 3" xfId="22088"/>
    <cellStyle name="集計 2 8 3 10" xfId="22089"/>
    <cellStyle name="集計 2 8 3 2" xfId="22090"/>
    <cellStyle name="集計 2 8 3 2 10" xfId="22091"/>
    <cellStyle name="集計 2 8 3 2 2" xfId="22092"/>
    <cellStyle name="集計 2 8 3 2 2 2" xfId="22093"/>
    <cellStyle name="集計 2 8 3 2 2 2 2" xfId="22094"/>
    <cellStyle name="集計 2 8 3 2 2 2 2 2" xfId="22095"/>
    <cellStyle name="集計 2 8 3 2 2 2 2 2 2" xfId="22096"/>
    <cellStyle name="集計 2 8 3 2 2 2 2 2 3" xfId="22097"/>
    <cellStyle name="集計 2 8 3 2 2 2 2 3" xfId="22098"/>
    <cellStyle name="集計 2 8 3 2 2 2 2 3 2" xfId="22099"/>
    <cellStyle name="集計 2 8 3 2 2 2 2 3 3" xfId="22100"/>
    <cellStyle name="集計 2 8 3 2 2 2 2 4" xfId="22101"/>
    <cellStyle name="集計 2 8 3 2 2 2 2 4 2" xfId="22102"/>
    <cellStyle name="集計 2 8 3 2 2 2 2 4 3" xfId="22103"/>
    <cellStyle name="集計 2 8 3 2 2 2 2 5" xfId="22104"/>
    <cellStyle name="集計 2 8 3 2 2 2 2 6" xfId="22105"/>
    <cellStyle name="集計 2 8 3 2 2 2 3" xfId="22106"/>
    <cellStyle name="集計 2 8 3 2 2 2 3 2" xfId="22107"/>
    <cellStyle name="集計 2 8 3 2 2 2 3 3" xfId="22108"/>
    <cellStyle name="集計 2 8 3 2 2 2 4" xfId="22109"/>
    <cellStyle name="集計 2 8 3 2 2 2 4 2" xfId="22110"/>
    <cellStyle name="集計 2 8 3 2 2 2 4 3" xfId="22111"/>
    <cellStyle name="集計 2 8 3 2 2 2 5" xfId="22112"/>
    <cellStyle name="集計 2 8 3 2 2 2 5 2" xfId="22113"/>
    <cellStyle name="集計 2 8 3 2 2 2 5 3" xfId="22114"/>
    <cellStyle name="集計 2 8 3 2 2 2 6" xfId="22115"/>
    <cellStyle name="集計 2 8 3 2 2 2 7" xfId="22116"/>
    <cellStyle name="集計 2 8 3 2 2 3" xfId="22117"/>
    <cellStyle name="集計 2 8 3 2 2 3 2" xfId="22118"/>
    <cellStyle name="集計 2 8 3 2 2 3 2 2" xfId="22119"/>
    <cellStyle name="集計 2 8 3 2 2 3 2 2 2" xfId="22120"/>
    <cellStyle name="集計 2 8 3 2 2 3 2 2 3" xfId="22121"/>
    <cellStyle name="集計 2 8 3 2 2 3 2 3" xfId="22122"/>
    <cellStyle name="集計 2 8 3 2 2 3 2 3 2" xfId="22123"/>
    <cellStyle name="集計 2 8 3 2 2 3 2 3 3" xfId="22124"/>
    <cellStyle name="集計 2 8 3 2 2 3 2 4" xfId="22125"/>
    <cellStyle name="集計 2 8 3 2 2 3 2 4 2" xfId="22126"/>
    <cellStyle name="集計 2 8 3 2 2 3 2 4 3" xfId="22127"/>
    <cellStyle name="集計 2 8 3 2 2 3 2 5" xfId="22128"/>
    <cellStyle name="集計 2 8 3 2 2 3 2 6" xfId="22129"/>
    <cellStyle name="集計 2 8 3 2 2 3 3" xfId="22130"/>
    <cellStyle name="集計 2 8 3 2 2 3 3 2" xfId="22131"/>
    <cellStyle name="集計 2 8 3 2 2 3 3 3" xfId="22132"/>
    <cellStyle name="集計 2 8 3 2 2 3 4" xfId="22133"/>
    <cellStyle name="集計 2 8 3 2 2 3 4 2" xfId="22134"/>
    <cellStyle name="集計 2 8 3 2 2 3 4 3" xfId="22135"/>
    <cellStyle name="集計 2 8 3 2 2 3 5" xfId="22136"/>
    <cellStyle name="集計 2 8 3 2 2 3 5 2" xfId="22137"/>
    <cellStyle name="集計 2 8 3 2 2 3 5 3" xfId="22138"/>
    <cellStyle name="集計 2 8 3 2 2 3 6" xfId="22139"/>
    <cellStyle name="集計 2 8 3 2 2 3 7" xfId="22140"/>
    <cellStyle name="集計 2 8 3 2 2 4" xfId="22141"/>
    <cellStyle name="集計 2 8 3 2 2 4 2" xfId="22142"/>
    <cellStyle name="集計 2 8 3 2 2 4 2 2" xfId="22143"/>
    <cellStyle name="集計 2 8 3 2 2 4 2 3" xfId="22144"/>
    <cellStyle name="集計 2 8 3 2 2 4 3" xfId="22145"/>
    <cellStyle name="集計 2 8 3 2 2 4 3 2" xfId="22146"/>
    <cellStyle name="集計 2 8 3 2 2 4 3 3" xfId="22147"/>
    <cellStyle name="集計 2 8 3 2 2 4 4" xfId="22148"/>
    <cellStyle name="集計 2 8 3 2 2 4 4 2" xfId="22149"/>
    <cellStyle name="集計 2 8 3 2 2 4 4 3" xfId="22150"/>
    <cellStyle name="集計 2 8 3 2 2 4 5" xfId="22151"/>
    <cellStyle name="集計 2 8 3 2 2 4 6" xfId="22152"/>
    <cellStyle name="集計 2 8 3 2 2 5" xfId="22153"/>
    <cellStyle name="集計 2 8 3 2 2 5 2" xfId="22154"/>
    <cellStyle name="集計 2 8 3 2 2 5 3" xfId="22155"/>
    <cellStyle name="集計 2 8 3 2 2 6" xfId="22156"/>
    <cellStyle name="集計 2 8 3 2 2 6 2" xfId="22157"/>
    <cellStyle name="集計 2 8 3 2 2 6 3" xfId="22158"/>
    <cellStyle name="集計 2 8 3 2 2 7" xfId="22159"/>
    <cellStyle name="集計 2 8 3 2 2 7 2" xfId="22160"/>
    <cellStyle name="集計 2 8 3 2 2 7 3" xfId="22161"/>
    <cellStyle name="集計 2 8 3 2 2 8" xfId="22162"/>
    <cellStyle name="集計 2 8 3 2 2 9" xfId="22163"/>
    <cellStyle name="集計 2 8 3 2 3" xfId="22164"/>
    <cellStyle name="集計 2 8 3 2 3 2" xfId="22165"/>
    <cellStyle name="集計 2 8 3 2 3 2 2" xfId="22166"/>
    <cellStyle name="集計 2 8 3 2 3 2 2 2" xfId="22167"/>
    <cellStyle name="集計 2 8 3 2 3 2 2 3" xfId="22168"/>
    <cellStyle name="集計 2 8 3 2 3 2 3" xfId="22169"/>
    <cellStyle name="集計 2 8 3 2 3 2 3 2" xfId="22170"/>
    <cellStyle name="集計 2 8 3 2 3 2 3 3" xfId="22171"/>
    <cellStyle name="集計 2 8 3 2 3 2 4" xfId="22172"/>
    <cellStyle name="集計 2 8 3 2 3 2 4 2" xfId="22173"/>
    <cellStyle name="集計 2 8 3 2 3 2 4 3" xfId="22174"/>
    <cellStyle name="集計 2 8 3 2 3 2 5" xfId="22175"/>
    <cellStyle name="集計 2 8 3 2 3 2 6" xfId="22176"/>
    <cellStyle name="集計 2 8 3 2 3 3" xfId="22177"/>
    <cellStyle name="集計 2 8 3 2 3 3 2" xfId="22178"/>
    <cellStyle name="集計 2 8 3 2 3 3 3" xfId="22179"/>
    <cellStyle name="集計 2 8 3 2 3 4" xfId="22180"/>
    <cellStyle name="集計 2 8 3 2 3 4 2" xfId="22181"/>
    <cellStyle name="集計 2 8 3 2 3 4 3" xfId="22182"/>
    <cellStyle name="集計 2 8 3 2 3 5" xfId="22183"/>
    <cellStyle name="集計 2 8 3 2 3 5 2" xfId="22184"/>
    <cellStyle name="集計 2 8 3 2 3 5 3" xfId="22185"/>
    <cellStyle name="集計 2 8 3 2 3 6" xfId="22186"/>
    <cellStyle name="集計 2 8 3 2 3 7" xfId="22187"/>
    <cellStyle name="集計 2 8 3 2 4" xfId="22188"/>
    <cellStyle name="集計 2 8 3 2 4 2" xfId="22189"/>
    <cellStyle name="集計 2 8 3 2 4 2 2" xfId="22190"/>
    <cellStyle name="集計 2 8 3 2 4 2 2 2" xfId="22191"/>
    <cellStyle name="集計 2 8 3 2 4 2 2 3" xfId="22192"/>
    <cellStyle name="集計 2 8 3 2 4 2 3" xfId="22193"/>
    <cellStyle name="集計 2 8 3 2 4 2 3 2" xfId="22194"/>
    <cellStyle name="集計 2 8 3 2 4 2 3 3" xfId="22195"/>
    <cellStyle name="集計 2 8 3 2 4 2 4" xfId="22196"/>
    <cellStyle name="集計 2 8 3 2 4 2 4 2" xfId="22197"/>
    <cellStyle name="集計 2 8 3 2 4 2 4 3" xfId="22198"/>
    <cellStyle name="集計 2 8 3 2 4 2 5" xfId="22199"/>
    <cellStyle name="集計 2 8 3 2 4 2 6" xfId="22200"/>
    <cellStyle name="集計 2 8 3 2 4 3" xfId="22201"/>
    <cellStyle name="集計 2 8 3 2 4 3 2" xfId="22202"/>
    <cellStyle name="集計 2 8 3 2 4 3 3" xfId="22203"/>
    <cellStyle name="集計 2 8 3 2 4 4" xfId="22204"/>
    <cellStyle name="集計 2 8 3 2 4 4 2" xfId="22205"/>
    <cellStyle name="集計 2 8 3 2 4 4 3" xfId="22206"/>
    <cellStyle name="集計 2 8 3 2 4 5" xfId="22207"/>
    <cellStyle name="集計 2 8 3 2 4 5 2" xfId="22208"/>
    <cellStyle name="集計 2 8 3 2 4 5 3" xfId="22209"/>
    <cellStyle name="集計 2 8 3 2 4 6" xfId="22210"/>
    <cellStyle name="集計 2 8 3 2 4 7" xfId="22211"/>
    <cellStyle name="集計 2 8 3 2 5" xfId="22212"/>
    <cellStyle name="集計 2 8 3 2 5 2" xfId="22213"/>
    <cellStyle name="集計 2 8 3 2 5 2 2" xfId="22214"/>
    <cellStyle name="集計 2 8 3 2 5 2 3" xfId="22215"/>
    <cellStyle name="集計 2 8 3 2 5 3" xfId="22216"/>
    <cellStyle name="集計 2 8 3 2 5 3 2" xfId="22217"/>
    <cellStyle name="集計 2 8 3 2 5 3 3" xfId="22218"/>
    <cellStyle name="集計 2 8 3 2 5 4" xfId="22219"/>
    <cellStyle name="集計 2 8 3 2 5 4 2" xfId="22220"/>
    <cellStyle name="集計 2 8 3 2 5 4 3" xfId="22221"/>
    <cellStyle name="集計 2 8 3 2 5 5" xfId="22222"/>
    <cellStyle name="集計 2 8 3 2 5 6" xfId="22223"/>
    <cellStyle name="集計 2 8 3 2 6" xfId="22224"/>
    <cellStyle name="集計 2 8 3 2 6 2" xfId="22225"/>
    <cellStyle name="集計 2 8 3 2 6 3" xfId="22226"/>
    <cellStyle name="集計 2 8 3 2 7" xfId="22227"/>
    <cellStyle name="集計 2 8 3 2 7 2" xfId="22228"/>
    <cellStyle name="集計 2 8 3 2 7 3" xfId="22229"/>
    <cellStyle name="集計 2 8 3 2 8" xfId="22230"/>
    <cellStyle name="集計 2 8 3 2 8 2" xfId="22231"/>
    <cellStyle name="集計 2 8 3 2 8 3" xfId="22232"/>
    <cellStyle name="集計 2 8 3 2 9" xfId="22233"/>
    <cellStyle name="集計 2 8 3 3" xfId="22234"/>
    <cellStyle name="集計 2 8 3 3 2" xfId="22235"/>
    <cellStyle name="集計 2 8 3 3 2 2" xfId="22236"/>
    <cellStyle name="集計 2 8 3 3 2 2 2" xfId="22237"/>
    <cellStyle name="集計 2 8 3 3 2 2 3" xfId="22238"/>
    <cellStyle name="集計 2 8 3 3 2 3" xfId="22239"/>
    <cellStyle name="集計 2 8 3 3 2 3 2" xfId="22240"/>
    <cellStyle name="集計 2 8 3 3 2 3 3" xfId="22241"/>
    <cellStyle name="集計 2 8 3 3 2 4" xfId="22242"/>
    <cellStyle name="集計 2 8 3 3 2 4 2" xfId="22243"/>
    <cellStyle name="集計 2 8 3 3 2 4 3" xfId="22244"/>
    <cellStyle name="集計 2 8 3 3 2 5" xfId="22245"/>
    <cellStyle name="集計 2 8 3 3 2 6" xfId="22246"/>
    <cellStyle name="集計 2 8 3 3 3" xfId="22247"/>
    <cellStyle name="集計 2 8 3 3 3 2" xfId="22248"/>
    <cellStyle name="集計 2 8 3 3 3 3" xfId="22249"/>
    <cellStyle name="集計 2 8 3 3 4" xfId="22250"/>
    <cellStyle name="集計 2 8 3 3 4 2" xfId="22251"/>
    <cellStyle name="集計 2 8 3 3 4 3" xfId="22252"/>
    <cellStyle name="集計 2 8 3 3 5" xfId="22253"/>
    <cellStyle name="集計 2 8 3 3 5 2" xfId="22254"/>
    <cellStyle name="集計 2 8 3 3 5 3" xfId="22255"/>
    <cellStyle name="集計 2 8 3 3 6" xfId="22256"/>
    <cellStyle name="集計 2 8 3 3 7" xfId="22257"/>
    <cellStyle name="集計 2 8 3 4" xfId="22258"/>
    <cellStyle name="集計 2 8 3 4 2" xfId="22259"/>
    <cellStyle name="集計 2 8 3 4 2 2" xfId="22260"/>
    <cellStyle name="集計 2 8 3 4 2 2 2" xfId="22261"/>
    <cellStyle name="集計 2 8 3 4 2 2 3" xfId="22262"/>
    <cellStyle name="集計 2 8 3 4 2 3" xfId="22263"/>
    <cellStyle name="集計 2 8 3 4 2 3 2" xfId="22264"/>
    <cellStyle name="集計 2 8 3 4 2 3 3" xfId="22265"/>
    <cellStyle name="集計 2 8 3 4 2 4" xfId="22266"/>
    <cellStyle name="集計 2 8 3 4 2 4 2" xfId="22267"/>
    <cellStyle name="集計 2 8 3 4 2 4 3" xfId="22268"/>
    <cellStyle name="集計 2 8 3 4 2 5" xfId="22269"/>
    <cellStyle name="集計 2 8 3 4 2 6" xfId="22270"/>
    <cellStyle name="集計 2 8 3 4 3" xfId="22271"/>
    <cellStyle name="集計 2 8 3 4 3 2" xfId="22272"/>
    <cellStyle name="集計 2 8 3 4 3 3" xfId="22273"/>
    <cellStyle name="集計 2 8 3 4 4" xfId="22274"/>
    <cellStyle name="集計 2 8 3 4 4 2" xfId="22275"/>
    <cellStyle name="集計 2 8 3 4 4 3" xfId="22276"/>
    <cellStyle name="集計 2 8 3 4 5" xfId="22277"/>
    <cellStyle name="集計 2 8 3 4 5 2" xfId="22278"/>
    <cellStyle name="集計 2 8 3 4 5 3" xfId="22279"/>
    <cellStyle name="集計 2 8 3 4 6" xfId="22280"/>
    <cellStyle name="集計 2 8 3 4 7" xfId="22281"/>
    <cellStyle name="集計 2 8 3 5" xfId="22282"/>
    <cellStyle name="集計 2 8 3 5 2" xfId="22283"/>
    <cellStyle name="集計 2 8 3 5 2 2" xfId="22284"/>
    <cellStyle name="集計 2 8 3 5 2 3" xfId="22285"/>
    <cellStyle name="集計 2 8 3 5 3" xfId="22286"/>
    <cellStyle name="集計 2 8 3 5 3 2" xfId="22287"/>
    <cellStyle name="集計 2 8 3 5 3 3" xfId="22288"/>
    <cellStyle name="集計 2 8 3 5 4" xfId="22289"/>
    <cellStyle name="集計 2 8 3 5 4 2" xfId="22290"/>
    <cellStyle name="集計 2 8 3 5 4 3" xfId="22291"/>
    <cellStyle name="集計 2 8 3 5 5" xfId="22292"/>
    <cellStyle name="集計 2 8 3 5 6" xfId="22293"/>
    <cellStyle name="集計 2 8 3 6" xfId="22294"/>
    <cellStyle name="集計 2 8 3 6 2" xfId="22295"/>
    <cellStyle name="集計 2 8 3 6 3" xfId="22296"/>
    <cellStyle name="集計 2 8 3 7" xfId="22297"/>
    <cellStyle name="集計 2 8 3 7 2" xfId="22298"/>
    <cellStyle name="集計 2 8 3 7 3" xfId="22299"/>
    <cellStyle name="集計 2 8 3 8" xfId="22300"/>
    <cellStyle name="集計 2 8 3 8 2" xfId="22301"/>
    <cellStyle name="集計 2 8 3 8 3" xfId="22302"/>
    <cellStyle name="集計 2 8 3 9" xfId="22303"/>
    <cellStyle name="集計 2 8 4" xfId="22304"/>
    <cellStyle name="集計 2 8 4 10" xfId="22305"/>
    <cellStyle name="集計 2 8 4 2" xfId="22306"/>
    <cellStyle name="集計 2 8 4 2 10" xfId="22307"/>
    <cellStyle name="集計 2 8 4 2 2" xfId="22308"/>
    <cellStyle name="集計 2 8 4 2 2 2" xfId="22309"/>
    <cellStyle name="集計 2 8 4 2 2 2 2" xfId="22310"/>
    <cellStyle name="集計 2 8 4 2 2 2 2 2" xfId="22311"/>
    <cellStyle name="集計 2 8 4 2 2 2 2 2 2" xfId="22312"/>
    <cellStyle name="集計 2 8 4 2 2 2 2 2 3" xfId="22313"/>
    <cellStyle name="集計 2 8 4 2 2 2 2 3" xfId="22314"/>
    <cellStyle name="集計 2 8 4 2 2 2 2 3 2" xfId="22315"/>
    <cellStyle name="集計 2 8 4 2 2 2 2 3 3" xfId="22316"/>
    <cellStyle name="集計 2 8 4 2 2 2 2 4" xfId="22317"/>
    <cellStyle name="集計 2 8 4 2 2 2 2 4 2" xfId="22318"/>
    <cellStyle name="集計 2 8 4 2 2 2 2 4 3" xfId="22319"/>
    <cellStyle name="集計 2 8 4 2 2 2 2 5" xfId="22320"/>
    <cellStyle name="集計 2 8 4 2 2 2 2 6" xfId="22321"/>
    <cellStyle name="集計 2 8 4 2 2 2 3" xfId="22322"/>
    <cellStyle name="集計 2 8 4 2 2 2 3 2" xfId="22323"/>
    <cellStyle name="集計 2 8 4 2 2 2 3 3" xfId="22324"/>
    <cellStyle name="集計 2 8 4 2 2 2 4" xfId="22325"/>
    <cellStyle name="集計 2 8 4 2 2 2 4 2" xfId="22326"/>
    <cellStyle name="集計 2 8 4 2 2 2 4 3" xfId="22327"/>
    <cellStyle name="集計 2 8 4 2 2 2 5" xfId="22328"/>
    <cellStyle name="集計 2 8 4 2 2 2 5 2" xfId="22329"/>
    <cellStyle name="集計 2 8 4 2 2 2 5 3" xfId="22330"/>
    <cellStyle name="集計 2 8 4 2 2 2 6" xfId="22331"/>
    <cellStyle name="集計 2 8 4 2 2 2 7" xfId="22332"/>
    <cellStyle name="集計 2 8 4 2 2 3" xfId="22333"/>
    <cellStyle name="集計 2 8 4 2 2 3 2" xfId="22334"/>
    <cellStyle name="集計 2 8 4 2 2 3 2 2" xfId="22335"/>
    <cellStyle name="集計 2 8 4 2 2 3 2 2 2" xfId="22336"/>
    <cellStyle name="集計 2 8 4 2 2 3 2 2 3" xfId="22337"/>
    <cellStyle name="集計 2 8 4 2 2 3 2 3" xfId="22338"/>
    <cellStyle name="集計 2 8 4 2 2 3 2 3 2" xfId="22339"/>
    <cellStyle name="集計 2 8 4 2 2 3 2 3 3" xfId="22340"/>
    <cellStyle name="集計 2 8 4 2 2 3 2 4" xfId="22341"/>
    <cellStyle name="集計 2 8 4 2 2 3 2 4 2" xfId="22342"/>
    <cellStyle name="集計 2 8 4 2 2 3 2 4 3" xfId="22343"/>
    <cellStyle name="集計 2 8 4 2 2 3 2 5" xfId="22344"/>
    <cellStyle name="集計 2 8 4 2 2 3 2 6" xfId="22345"/>
    <cellStyle name="集計 2 8 4 2 2 3 3" xfId="22346"/>
    <cellStyle name="集計 2 8 4 2 2 3 3 2" xfId="22347"/>
    <cellStyle name="集計 2 8 4 2 2 3 3 3" xfId="22348"/>
    <cellStyle name="集計 2 8 4 2 2 3 4" xfId="22349"/>
    <cellStyle name="集計 2 8 4 2 2 3 4 2" xfId="22350"/>
    <cellStyle name="集計 2 8 4 2 2 3 4 3" xfId="22351"/>
    <cellStyle name="集計 2 8 4 2 2 3 5" xfId="22352"/>
    <cellStyle name="集計 2 8 4 2 2 3 5 2" xfId="22353"/>
    <cellStyle name="集計 2 8 4 2 2 3 5 3" xfId="22354"/>
    <cellStyle name="集計 2 8 4 2 2 3 6" xfId="22355"/>
    <cellStyle name="集計 2 8 4 2 2 3 7" xfId="22356"/>
    <cellStyle name="集計 2 8 4 2 2 4" xfId="22357"/>
    <cellStyle name="集計 2 8 4 2 2 4 2" xfId="22358"/>
    <cellStyle name="集計 2 8 4 2 2 4 2 2" xfId="22359"/>
    <cellStyle name="集計 2 8 4 2 2 4 2 3" xfId="22360"/>
    <cellStyle name="集計 2 8 4 2 2 4 3" xfId="22361"/>
    <cellStyle name="集計 2 8 4 2 2 4 3 2" xfId="22362"/>
    <cellStyle name="集計 2 8 4 2 2 4 3 3" xfId="22363"/>
    <cellStyle name="集計 2 8 4 2 2 4 4" xfId="22364"/>
    <cellStyle name="集計 2 8 4 2 2 4 4 2" xfId="22365"/>
    <cellStyle name="集計 2 8 4 2 2 4 4 3" xfId="22366"/>
    <cellStyle name="集計 2 8 4 2 2 4 5" xfId="22367"/>
    <cellStyle name="集計 2 8 4 2 2 4 6" xfId="22368"/>
    <cellStyle name="集計 2 8 4 2 2 5" xfId="22369"/>
    <cellStyle name="集計 2 8 4 2 2 5 2" xfId="22370"/>
    <cellStyle name="集計 2 8 4 2 2 5 3" xfId="22371"/>
    <cellStyle name="集計 2 8 4 2 2 6" xfId="22372"/>
    <cellStyle name="集計 2 8 4 2 2 6 2" xfId="22373"/>
    <cellStyle name="集計 2 8 4 2 2 6 3" xfId="22374"/>
    <cellStyle name="集計 2 8 4 2 2 7" xfId="22375"/>
    <cellStyle name="集計 2 8 4 2 2 7 2" xfId="22376"/>
    <cellStyle name="集計 2 8 4 2 2 7 3" xfId="22377"/>
    <cellStyle name="集計 2 8 4 2 2 8" xfId="22378"/>
    <cellStyle name="集計 2 8 4 2 2 9" xfId="22379"/>
    <cellStyle name="集計 2 8 4 2 3" xfId="22380"/>
    <cellStyle name="集計 2 8 4 2 3 2" xfId="22381"/>
    <cellStyle name="集計 2 8 4 2 3 2 2" xfId="22382"/>
    <cellStyle name="集計 2 8 4 2 3 2 2 2" xfId="22383"/>
    <cellStyle name="集計 2 8 4 2 3 2 2 3" xfId="22384"/>
    <cellStyle name="集計 2 8 4 2 3 2 3" xfId="22385"/>
    <cellStyle name="集計 2 8 4 2 3 2 3 2" xfId="22386"/>
    <cellStyle name="集計 2 8 4 2 3 2 3 3" xfId="22387"/>
    <cellStyle name="集計 2 8 4 2 3 2 4" xfId="22388"/>
    <cellStyle name="集計 2 8 4 2 3 2 4 2" xfId="22389"/>
    <cellStyle name="集計 2 8 4 2 3 2 4 3" xfId="22390"/>
    <cellStyle name="集計 2 8 4 2 3 2 5" xfId="22391"/>
    <cellStyle name="集計 2 8 4 2 3 2 6" xfId="22392"/>
    <cellStyle name="集計 2 8 4 2 3 3" xfId="22393"/>
    <cellStyle name="集計 2 8 4 2 3 3 2" xfId="22394"/>
    <cellStyle name="集計 2 8 4 2 3 3 3" xfId="22395"/>
    <cellStyle name="集計 2 8 4 2 3 4" xfId="22396"/>
    <cellStyle name="集計 2 8 4 2 3 4 2" xfId="22397"/>
    <cellStyle name="集計 2 8 4 2 3 4 3" xfId="22398"/>
    <cellStyle name="集計 2 8 4 2 3 5" xfId="22399"/>
    <cellStyle name="集計 2 8 4 2 3 5 2" xfId="22400"/>
    <cellStyle name="集計 2 8 4 2 3 5 3" xfId="22401"/>
    <cellStyle name="集計 2 8 4 2 3 6" xfId="22402"/>
    <cellStyle name="集計 2 8 4 2 3 7" xfId="22403"/>
    <cellStyle name="集計 2 8 4 2 4" xfId="22404"/>
    <cellStyle name="集計 2 8 4 2 4 2" xfId="22405"/>
    <cellStyle name="集計 2 8 4 2 4 2 2" xfId="22406"/>
    <cellStyle name="集計 2 8 4 2 4 2 2 2" xfId="22407"/>
    <cellStyle name="集計 2 8 4 2 4 2 2 3" xfId="22408"/>
    <cellStyle name="集計 2 8 4 2 4 2 3" xfId="22409"/>
    <cellStyle name="集計 2 8 4 2 4 2 3 2" xfId="22410"/>
    <cellStyle name="集計 2 8 4 2 4 2 3 3" xfId="22411"/>
    <cellStyle name="集計 2 8 4 2 4 2 4" xfId="22412"/>
    <cellStyle name="集計 2 8 4 2 4 2 4 2" xfId="22413"/>
    <cellStyle name="集計 2 8 4 2 4 2 4 3" xfId="22414"/>
    <cellStyle name="集計 2 8 4 2 4 2 5" xfId="22415"/>
    <cellStyle name="集計 2 8 4 2 4 2 6" xfId="22416"/>
    <cellStyle name="集計 2 8 4 2 4 3" xfId="22417"/>
    <cellStyle name="集計 2 8 4 2 4 3 2" xfId="22418"/>
    <cellStyle name="集計 2 8 4 2 4 3 3" xfId="22419"/>
    <cellStyle name="集計 2 8 4 2 4 4" xfId="22420"/>
    <cellStyle name="集計 2 8 4 2 4 4 2" xfId="22421"/>
    <cellStyle name="集計 2 8 4 2 4 4 3" xfId="22422"/>
    <cellStyle name="集計 2 8 4 2 4 5" xfId="22423"/>
    <cellStyle name="集計 2 8 4 2 4 5 2" xfId="22424"/>
    <cellStyle name="集計 2 8 4 2 4 5 3" xfId="22425"/>
    <cellStyle name="集計 2 8 4 2 4 6" xfId="22426"/>
    <cellStyle name="集計 2 8 4 2 4 7" xfId="22427"/>
    <cellStyle name="集計 2 8 4 2 5" xfId="22428"/>
    <cellStyle name="集計 2 8 4 2 5 2" xfId="22429"/>
    <cellStyle name="集計 2 8 4 2 5 2 2" xfId="22430"/>
    <cellStyle name="集計 2 8 4 2 5 2 3" xfId="22431"/>
    <cellStyle name="集計 2 8 4 2 5 3" xfId="22432"/>
    <cellStyle name="集計 2 8 4 2 5 3 2" xfId="22433"/>
    <cellStyle name="集計 2 8 4 2 5 3 3" xfId="22434"/>
    <cellStyle name="集計 2 8 4 2 5 4" xfId="22435"/>
    <cellStyle name="集計 2 8 4 2 5 4 2" xfId="22436"/>
    <cellStyle name="集計 2 8 4 2 5 4 3" xfId="22437"/>
    <cellStyle name="集計 2 8 4 2 5 5" xfId="22438"/>
    <cellStyle name="集計 2 8 4 2 5 6" xfId="22439"/>
    <cellStyle name="集計 2 8 4 2 6" xfId="22440"/>
    <cellStyle name="集計 2 8 4 2 6 2" xfId="22441"/>
    <cellStyle name="集計 2 8 4 2 6 3" xfId="22442"/>
    <cellStyle name="集計 2 8 4 2 7" xfId="22443"/>
    <cellStyle name="集計 2 8 4 2 7 2" xfId="22444"/>
    <cellStyle name="集計 2 8 4 2 7 3" xfId="22445"/>
    <cellStyle name="集計 2 8 4 2 8" xfId="22446"/>
    <cellStyle name="集計 2 8 4 2 8 2" xfId="22447"/>
    <cellStyle name="集計 2 8 4 2 8 3" xfId="22448"/>
    <cellStyle name="集計 2 8 4 2 9" xfId="22449"/>
    <cellStyle name="集計 2 8 4 3" xfId="22450"/>
    <cellStyle name="集計 2 8 4 3 2" xfId="22451"/>
    <cellStyle name="集計 2 8 4 3 2 2" xfId="22452"/>
    <cellStyle name="集計 2 8 4 3 2 2 2" xfId="22453"/>
    <cellStyle name="集計 2 8 4 3 2 2 3" xfId="22454"/>
    <cellStyle name="集計 2 8 4 3 2 3" xfId="22455"/>
    <cellStyle name="集計 2 8 4 3 2 3 2" xfId="22456"/>
    <cellStyle name="集計 2 8 4 3 2 3 3" xfId="22457"/>
    <cellStyle name="集計 2 8 4 3 2 4" xfId="22458"/>
    <cellStyle name="集計 2 8 4 3 2 4 2" xfId="22459"/>
    <cellStyle name="集計 2 8 4 3 2 4 3" xfId="22460"/>
    <cellStyle name="集計 2 8 4 3 2 5" xfId="22461"/>
    <cellStyle name="集計 2 8 4 3 2 6" xfId="22462"/>
    <cellStyle name="集計 2 8 4 3 3" xfId="22463"/>
    <cellStyle name="集計 2 8 4 3 3 2" xfId="22464"/>
    <cellStyle name="集計 2 8 4 3 3 3" xfId="22465"/>
    <cellStyle name="集計 2 8 4 3 4" xfId="22466"/>
    <cellStyle name="集計 2 8 4 3 4 2" xfId="22467"/>
    <cellStyle name="集計 2 8 4 3 4 3" xfId="22468"/>
    <cellStyle name="集計 2 8 4 3 5" xfId="22469"/>
    <cellStyle name="集計 2 8 4 3 5 2" xfId="22470"/>
    <cellStyle name="集計 2 8 4 3 5 3" xfId="22471"/>
    <cellStyle name="集計 2 8 4 3 6" xfId="22472"/>
    <cellStyle name="集計 2 8 4 3 7" xfId="22473"/>
    <cellStyle name="集計 2 8 4 4" xfId="22474"/>
    <cellStyle name="集計 2 8 4 4 2" xfId="22475"/>
    <cellStyle name="集計 2 8 4 4 2 2" xfId="22476"/>
    <cellStyle name="集計 2 8 4 4 2 2 2" xfId="22477"/>
    <cellStyle name="集計 2 8 4 4 2 2 3" xfId="22478"/>
    <cellStyle name="集計 2 8 4 4 2 3" xfId="22479"/>
    <cellStyle name="集計 2 8 4 4 2 3 2" xfId="22480"/>
    <cellStyle name="集計 2 8 4 4 2 3 3" xfId="22481"/>
    <cellStyle name="集計 2 8 4 4 2 4" xfId="22482"/>
    <cellStyle name="集計 2 8 4 4 2 4 2" xfId="22483"/>
    <cellStyle name="集計 2 8 4 4 2 4 3" xfId="22484"/>
    <cellStyle name="集計 2 8 4 4 2 5" xfId="22485"/>
    <cellStyle name="集計 2 8 4 4 2 6" xfId="22486"/>
    <cellStyle name="集計 2 8 4 4 3" xfId="22487"/>
    <cellStyle name="集計 2 8 4 4 3 2" xfId="22488"/>
    <cellStyle name="集計 2 8 4 4 3 3" xfId="22489"/>
    <cellStyle name="集計 2 8 4 4 4" xfId="22490"/>
    <cellStyle name="集計 2 8 4 4 4 2" xfId="22491"/>
    <cellStyle name="集計 2 8 4 4 4 3" xfId="22492"/>
    <cellStyle name="集計 2 8 4 4 5" xfId="22493"/>
    <cellStyle name="集計 2 8 4 4 5 2" xfId="22494"/>
    <cellStyle name="集計 2 8 4 4 5 3" xfId="22495"/>
    <cellStyle name="集計 2 8 4 4 6" xfId="22496"/>
    <cellStyle name="集計 2 8 4 4 7" xfId="22497"/>
    <cellStyle name="集計 2 8 4 5" xfId="22498"/>
    <cellStyle name="集計 2 8 4 5 2" xfId="22499"/>
    <cellStyle name="集計 2 8 4 5 2 2" xfId="22500"/>
    <cellStyle name="集計 2 8 4 5 2 3" xfId="22501"/>
    <cellStyle name="集計 2 8 4 5 3" xfId="22502"/>
    <cellStyle name="集計 2 8 4 5 3 2" xfId="22503"/>
    <cellStyle name="集計 2 8 4 5 3 3" xfId="22504"/>
    <cellStyle name="集計 2 8 4 5 4" xfId="22505"/>
    <cellStyle name="集計 2 8 4 5 4 2" xfId="22506"/>
    <cellStyle name="集計 2 8 4 5 4 3" xfId="22507"/>
    <cellStyle name="集計 2 8 4 5 5" xfId="22508"/>
    <cellStyle name="集計 2 8 4 5 6" xfId="22509"/>
    <cellStyle name="集計 2 8 4 6" xfId="22510"/>
    <cellStyle name="集計 2 8 4 6 2" xfId="22511"/>
    <cellStyle name="集計 2 8 4 6 3" xfId="22512"/>
    <cellStyle name="集計 2 8 4 7" xfId="22513"/>
    <cellStyle name="集計 2 8 4 7 2" xfId="22514"/>
    <cellStyle name="集計 2 8 4 7 3" xfId="22515"/>
    <cellStyle name="集計 2 8 4 8" xfId="22516"/>
    <cellStyle name="集計 2 8 4 8 2" xfId="22517"/>
    <cellStyle name="集計 2 8 4 8 3" xfId="22518"/>
    <cellStyle name="集計 2 8 4 9" xfId="22519"/>
    <cellStyle name="集計 2 8 5" xfId="22520"/>
    <cellStyle name="集計 2 8 5 10" xfId="22521"/>
    <cellStyle name="集計 2 8 5 2" xfId="22522"/>
    <cellStyle name="集計 2 8 5 2 2" xfId="22523"/>
    <cellStyle name="集計 2 8 5 2 2 2" xfId="22524"/>
    <cellStyle name="集計 2 8 5 2 2 2 2" xfId="22525"/>
    <cellStyle name="集計 2 8 5 2 2 2 2 2" xfId="22526"/>
    <cellStyle name="集計 2 8 5 2 2 2 2 3" xfId="22527"/>
    <cellStyle name="集計 2 8 5 2 2 2 3" xfId="22528"/>
    <cellStyle name="集計 2 8 5 2 2 2 3 2" xfId="22529"/>
    <cellStyle name="集計 2 8 5 2 2 2 3 3" xfId="22530"/>
    <cellStyle name="集計 2 8 5 2 2 2 4" xfId="22531"/>
    <cellStyle name="集計 2 8 5 2 2 2 4 2" xfId="22532"/>
    <cellStyle name="集計 2 8 5 2 2 2 4 3" xfId="22533"/>
    <cellStyle name="集計 2 8 5 2 2 2 5" xfId="22534"/>
    <cellStyle name="集計 2 8 5 2 2 2 6" xfId="22535"/>
    <cellStyle name="集計 2 8 5 2 2 3" xfId="22536"/>
    <cellStyle name="集計 2 8 5 2 2 3 2" xfId="22537"/>
    <cellStyle name="集計 2 8 5 2 2 3 3" xfId="22538"/>
    <cellStyle name="集計 2 8 5 2 2 4" xfId="22539"/>
    <cellStyle name="集計 2 8 5 2 2 4 2" xfId="22540"/>
    <cellStyle name="集計 2 8 5 2 2 4 3" xfId="22541"/>
    <cellStyle name="集計 2 8 5 2 2 5" xfId="22542"/>
    <cellStyle name="集計 2 8 5 2 2 5 2" xfId="22543"/>
    <cellStyle name="集計 2 8 5 2 2 5 3" xfId="22544"/>
    <cellStyle name="集計 2 8 5 2 2 6" xfId="22545"/>
    <cellStyle name="集計 2 8 5 2 2 7" xfId="22546"/>
    <cellStyle name="集計 2 8 5 2 3" xfId="22547"/>
    <cellStyle name="集計 2 8 5 2 3 2" xfId="22548"/>
    <cellStyle name="集計 2 8 5 2 3 2 2" xfId="22549"/>
    <cellStyle name="集計 2 8 5 2 3 2 2 2" xfId="22550"/>
    <cellStyle name="集計 2 8 5 2 3 2 2 3" xfId="22551"/>
    <cellStyle name="集計 2 8 5 2 3 2 3" xfId="22552"/>
    <cellStyle name="集計 2 8 5 2 3 2 3 2" xfId="22553"/>
    <cellStyle name="集計 2 8 5 2 3 2 3 3" xfId="22554"/>
    <cellStyle name="集計 2 8 5 2 3 2 4" xfId="22555"/>
    <cellStyle name="集計 2 8 5 2 3 2 4 2" xfId="22556"/>
    <cellStyle name="集計 2 8 5 2 3 2 4 3" xfId="22557"/>
    <cellStyle name="集計 2 8 5 2 3 2 5" xfId="22558"/>
    <cellStyle name="集計 2 8 5 2 3 2 6" xfId="22559"/>
    <cellStyle name="集計 2 8 5 2 3 3" xfId="22560"/>
    <cellStyle name="集計 2 8 5 2 3 3 2" xfId="22561"/>
    <cellStyle name="集計 2 8 5 2 3 3 3" xfId="22562"/>
    <cellStyle name="集計 2 8 5 2 3 4" xfId="22563"/>
    <cellStyle name="集計 2 8 5 2 3 4 2" xfId="22564"/>
    <cellStyle name="集計 2 8 5 2 3 4 3" xfId="22565"/>
    <cellStyle name="集計 2 8 5 2 3 5" xfId="22566"/>
    <cellStyle name="集計 2 8 5 2 3 5 2" xfId="22567"/>
    <cellStyle name="集計 2 8 5 2 3 5 3" xfId="22568"/>
    <cellStyle name="集計 2 8 5 2 3 6" xfId="22569"/>
    <cellStyle name="集計 2 8 5 2 3 7" xfId="22570"/>
    <cellStyle name="集計 2 8 5 2 4" xfId="22571"/>
    <cellStyle name="集計 2 8 5 2 4 2" xfId="22572"/>
    <cellStyle name="集計 2 8 5 2 4 2 2" xfId="22573"/>
    <cellStyle name="集計 2 8 5 2 4 2 3" xfId="22574"/>
    <cellStyle name="集計 2 8 5 2 4 3" xfId="22575"/>
    <cellStyle name="集計 2 8 5 2 4 3 2" xfId="22576"/>
    <cellStyle name="集計 2 8 5 2 4 3 3" xfId="22577"/>
    <cellStyle name="集計 2 8 5 2 4 4" xfId="22578"/>
    <cellStyle name="集計 2 8 5 2 4 4 2" xfId="22579"/>
    <cellStyle name="集計 2 8 5 2 4 4 3" xfId="22580"/>
    <cellStyle name="集計 2 8 5 2 4 5" xfId="22581"/>
    <cellStyle name="集計 2 8 5 2 4 6" xfId="22582"/>
    <cellStyle name="集計 2 8 5 2 5" xfId="22583"/>
    <cellStyle name="集計 2 8 5 2 5 2" xfId="22584"/>
    <cellStyle name="集計 2 8 5 2 5 3" xfId="22585"/>
    <cellStyle name="集計 2 8 5 2 6" xfId="22586"/>
    <cellStyle name="集計 2 8 5 2 6 2" xfId="22587"/>
    <cellStyle name="集計 2 8 5 2 6 3" xfId="22588"/>
    <cellStyle name="集計 2 8 5 2 7" xfId="22589"/>
    <cellStyle name="集計 2 8 5 2 7 2" xfId="22590"/>
    <cellStyle name="集計 2 8 5 2 7 3" xfId="22591"/>
    <cellStyle name="集計 2 8 5 2 8" xfId="22592"/>
    <cellStyle name="集計 2 8 5 2 9" xfId="22593"/>
    <cellStyle name="集計 2 8 5 3" xfId="22594"/>
    <cellStyle name="集計 2 8 5 3 2" xfId="22595"/>
    <cellStyle name="集計 2 8 5 3 2 2" xfId="22596"/>
    <cellStyle name="集計 2 8 5 3 2 2 2" xfId="22597"/>
    <cellStyle name="集計 2 8 5 3 2 2 3" xfId="22598"/>
    <cellStyle name="集計 2 8 5 3 2 3" xfId="22599"/>
    <cellStyle name="集計 2 8 5 3 2 3 2" xfId="22600"/>
    <cellStyle name="集計 2 8 5 3 2 3 3" xfId="22601"/>
    <cellStyle name="集計 2 8 5 3 2 4" xfId="22602"/>
    <cellStyle name="集計 2 8 5 3 2 4 2" xfId="22603"/>
    <cellStyle name="集計 2 8 5 3 2 4 3" xfId="22604"/>
    <cellStyle name="集計 2 8 5 3 2 5" xfId="22605"/>
    <cellStyle name="集計 2 8 5 3 2 6" xfId="22606"/>
    <cellStyle name="集計 2 8 5 3 3" xfId="22607"/>
    <cellStyle name="集計 2 8 5 3 3 2" xfId="22608"/>
    <cellStyle name="集計 2 8 5 3 3 3" xfId="22609"/>
    <cellStyle name="集計 2 8 5 3 4" xfId="22610"/>
    <cellStyle name="集計 2 8 5 3 4 2" xfId="22611"/>
    <cellStyle name="集計 2 8 5 3 4 3" xfId="22612"/>
    <cellStyle name="集計 2 8 5 3 5" xfId="22613"/>
    <cellStyle name="集計 2 8 5 3 5 2" xfId="22614"/>
    <cellStyle name="集計 2 8 5 3 5 3" xfId="22615"/>
    <cellStyle name="集計 2 8 5 3 6" xfId="22616"/>
    <cellStyle name="集計 2 8 5 3 7" xfId="22617"/>
    <cellStyle name="集計 2 8 5 4" xfId="22618"/>
    <cellStyle name="集計 2 8 5 4 2" xfId="22619"/>
    <cellStyle name="集計 2 8 5 4 2 2" xfId="22620"/>
    <cellStyle name="集計 2 8 5 4 2 2 2" xfId="22621"/>
    <cellStyle name="集計 2 8 5 4 2 2 3" xfId="22622"/>
    <cellStyle name="集計 2 8 5 4 2 3" xfId="22623"/>
    <cellStyle name="集計 2 8 5 4 2 3 2" xfId="22624"/>
    <cellStyle name="集計 2 8 5 4 2 3 3" xfId="22625"/>
    <cellStyle name="集計 2 8 5 4 2 4" xfId="22626"/>
    <cellStyle name="集計 2 8 5 4 2 4 2" xfId="22627"/>
    <cellStyle name="集計 2 8 5 4 2 4 3" xfId="22628"/>
    <cellStyle name="集計 2 8 5 4 2 5" xfId="22629"/>
    <cellStyle name="集計 2 8 5 4 2 6" xfId="22630"/>
    <cellStyle name="集計 2 8 5 4 3" xfId="22631"/>
    <cellStyle name="集計 2 8 5 4 3 2" xfId="22632"/>
    <cellStyle name="集計 2 8 5 4 3 3" xfId="22633"/>
    <cellStyle name="集計 2 8 5 4 4" xfId="22634"/>
    <cellStyle name="集計 2 8 5 4 4 2" xfId="22635"/>
    <cellStyle name="集計 2 8 5 4 4 3" xfId="22636"/>
    <cellStyle name="集計 2 8 5 4 5" xfId="22637"/>
    <cellStyle name="集計 2 8 5 4 5 2" xfId="22638"/>
    <cellStyle name="集計 2 8 5 4 5 3" xfId="22639"/>
    <cellStyle name="集計 2 8 5 4 6" xfId="22640"/>
    <cellStyle name="集計 2 8 5 4 7" xfId="22641"/>
    <cellStyle name="集計 2 8 5 5" xfId="22642"/>
    <cellStyle name="集計 2 8 5 5 2" xfId="22643"/>
    <cellStyle name="集計 2 8 5 5 2 2" xfId="22644"/>
    <cellStyle name="集計 2 8 5 5 2 3" xfId="22645"/>
    <cellStyle name="集計 2 8 5 5 3" xfId="22646"/>
    <cellStyle name="集計 2 8 5 5 3 2" xfId="22647"/>
    <cellStyle name="集計 2 8 5 5 3 3" xfId="22648"/>
    <cellStyle name="集計 2 8 5 5 4" xfId="22649"/>
    <cellStyle name="集計 2 8 5 5 4 2" xfId="22650"/>
    <cellStyle name="集計 2 8 5 5 4 3" xfId="22651"/>
    <cellStyle name="集計 2 8 5 5 5" xfId="22652"/>
    <cellStyle name="集計 2 8 5 5 6" xfId="22653"/>
    <cellStyle name="集計 2 8 5 6" xfId="22654"/>
    <cellStyle name="集計 2 8 5 6 2" xfId="22655"/>
    <cellStyle name="集計 2 8 5 6 3" xfId="22656"/>
    <cellStyle name="集計 2 8 5 7" xfId="22657"/>
    <cellStyle name="集計 2 8 5 7 2" xfId="22658"/>
    <cellStyle name="集計 2 8 5 7 3" xfId="22659"/>
    <cellStyle name="集計 2 8 5 8" xfId="22660"/>
    <cellStyle name="集計 2 8 5 8 2" xfId="22661"/>
    <cellStyle name="集計 2 8 5 8 3" xfId="22662"/>
    <cellStyle name="集計 2 8 5 9" xfId="22663"/>
    <cellStyle name="集計 2 8 6" xfId="22664"/>
    <cellStyle name="集計 2 8 6 10" xfId="22665"/>
    <cellStyle name="集計 2 8 6 2" xfId="22666"/>
    <cellStyle name="集計 2 8 6 2 2" xfId="22667"/>
    <cellStyle name="集計 2 8 6 2 2 2" xfId="22668"/>
    <cellStyle name="集計 2 8 6 2 2 2 2" xfId="22669"/>
    <cellStyle name="集計 2 8 6 2 2 2 2 2" xfId="22670"/>
    <cellStyle name="集計 2 8 6 2 2 2 2 3" xfId="22671"/>
    <cellStyle name="集計 2 8 6 2 2 2 3" xfId="22672"/>
    <cellStyle name="集計 2 8 6 2 2 2 3 2" xfId="22673"/>
    <cellStyle name="集計 2 8 6 2 2 2 3 3" xfId="22674"/>
    <cellStyle name="集計 2 8 6 2 2 2 4" xfId="22675"/>
    <cellStyle name="集計 2 8 6 2 2 2 4 2" xfId="22676"/>
    <cellStyle name="集計 2 8 6 2 2 2 4 3" xfId="22677"/>
    <cellStyle name="集計 2 8 6 2 2 2 5" xfId="22678"/>
    <cellStyle name="集計 2 8 6 2 2 2 6" xfId="22679"/>
    <cellStyle name="集計 2 8 6 2 2 3" xfId="22680"/>
    <cellStyle name="集計 2 8 6 2 2 3 2" xfId="22681"/>
    <cellStyle name="集計 2 8 6 2 2 3 3" xfId="22682"/>
    <cellStyle name="集計 2 8 6 2 2 4" xfId="22683"/>
    <cellStyle name="集計 2 8 6 2 2 4 2" xfId="22684"/>
    <cellStyle name="集計 2 8 6 2 2 4 3" xfId="22685"/>
    <cellStyle name="集計 2 8 6 2 2 5" xfId="22686"/>
    <cellStyle name="集計 2 8 6 2 2 5 2" xfId="22687"/>
    <cellStyle name="集計 2 8 6 2 2 5 3" xfId="22688"/>
    <cellStyle name="集計 2 8 6 2 2 6" xfId="22689"/>
    <cellStyle name="集計 2 8 6 2 2 7" xfId="22690"/>
    <cellStyle name="集計 2 8 6 2 3" xfId="22691"/>
    <cellStyle name="集計 2 8 6 2 3 2" xfId="22692"/>
    <cellStyle name="集計 2 8 6 2 3 2 2" xfId="22693"/>
    <cellStyle name="集計 2 8 6 2 3 2 2 2" xfId="22694"/>
    <cellStyle name="集計 2 8 6 2 3 2 2 3" xfId="22695"/>
    <cellStyle name="集計 2 8 6 2 3 2 3" xfId="22696"/>
    <cellStyle name="集計 2 8 6 2 3 2 3 2" xfId="22697"/>
    <cellStyle name="集計 2 8 6 2 3 2 3 3" xfId="22698"/>
    <cellStyle name="集計 2 8 6 2 3 2 4" xfId="22699"/>
    <cellStyle name="集計 2 8 6 2 3 2 4 2" xfId="22700"/>
    <cellStyle name="集計 2 8 6 2 3 2 4 3" xfId="22701"/>
    <cellStyle name="集計 2 8 6 2 3 2 5" xfId="22702"/>
    <cellStyle name="集計 2 8 6 2 3 2 6" xfId="22703"/>
    <cellStyle name="集計 2 8 6 2 3 3" xfId="22704"/>
    <cellStyle name="集計 2 8 6 2 3 3 2" xfId="22705"/>
    <cellStyle name="集計 2 8 6 2 3 3 3" xfId="22706"/>
    <cellStyle name="集計 2 8 6 2 3 4" xfId="22707"/>
    <cellStyle name="集計 2 8 6 2 3 4 2" xfId="22708"/>
    <cellStyle name="集計 2 8 6 2 3 4 3" xfId="22709"/>
    <cellStyle name="集計 2 8 6 2 3 5" xfId="22710"/>
    <cellStyle name="集計 2 8 6 2 3 5 2" xfId="22711"/>
    <cellStyle name="集計 2 8 6 2 3 5 3" xfId="22712"/>
    <cellStyle name="集計 2 8 6 2 3 6" xfId="22713"/>
    <cellStyle name="集計 2 8 6 2 3 7" xfId="22714"/>
    <cellStyle name="集計 2 8 6 2 4" xfId="22715"/>
    <cellStyle name="集計 2 8 6 2 4 2" xfId="22716"/>
    <cellStyle name="集計 2 8 6 2 4 2 2" xfId="22717"/>
    <cellStyle name="集計 2 8 6 2 4 2 3" xfId="22718"/>
    <cellStyle name="集計 2 8 6 2 4 3" xfId="22719"/>
    <cellStyle name="集計 2 8 6 2 4 3 2" xfId="22720"/>
    <cellStyle name="集計 2 8 6 2 4 3 3" xfId="22721"/>
    <cellStyle name="集計 2 8 6 2 4 4" xfId="22722"/>
    <cellStyle name="集計 2 8 6 2 4 4 2" xfId="22723"/>
    <cellStyle name="集計 2 8 6 2 4 4 3" xfId="22724"/>
    <cellStyle name="集計 2 8 6 2 4 5" xfId="22725"/>
    <cellStyle name="集計 2 8 6 2 4 6" xfId="22726"/>
    <cellStyle name="集計 2 8 6 2 5" xfId="22727"/>
    <cellStyle name="集計 2 8 6 2 5 2" xfId="22728"/>
    <cellStyle name="集計 2 8 6 2 5 3" xfId="22729"/>
    <cellStyle name="集計 2 8 6 2 6" xfId="22730"/>
    <cellStyle name="集計 2 8 6 2 6 2" xfId="22731"/>
    <cellStyle name="集計 2 8 6 2 6 3" xfId="22732"/>
    <cellStyle name="集計 2 8 6 2 7" xfId="22733"/>
    <cellStyle name="集計 2 8 6 2 7 2" xfId="22734"/>
    <cellStyle name="集計 2 8 6 2 7 3" xfId="22735"/>
    <cellStyle name="集計 2 8 6 2 8" xfId="22736"/>
    <cellStyle name="集計 2 8 6 2 9" xfId="22737"/>
    <cellStyle name="集計 2 8 6 3" xfId="22738"/>
    <cellStyle name="集計 2 8 6 3 2" xfId="22739"/>
    <cellStyle name="集計 2 8 6 3 2 2" xfId="22740"/>
    <cellStyle name="集計 2 8 6 3 2 2 2" xfId="22741"/>
    <cellStyle name="集計 2 8 6 3 2 2 3" xfId="22742"/>
    <cellStyle name="集計 2 8 6 3 2 3" xfId="22743"/>
    <cellStyle name="集計 2 8 6 3 2 3 2" xfId="22744"/>
    <cellStyle name="集計 2 8 6 3 2 3 3" xfId="22745"/>
    <cellStyle name="集計 2 8 6 3 2 4" xfId="22746"/>
    <cellStyle name="集計 2 8 6 3 2 4 2" xfId="22747"/>
    <cellStyle name="集計 2 8 6 3 2 4 3" xfId="22748"/>
    <cellStyle name="集計 2 8 6 3 2 5" xfId="22749"/>
    <cellStyle name="集計 2 8 6 3 2 6" xfId="22750"/>
    <cellStyle name="集計 2 8 6 3 3" xfId="22751"/>
    <cellStyle name="集計 2 8 6 3 3 2" xfId="22752"/>
    <cellStyle name="集計 2 8 6 3 3 3" xfId="22753"/>
    <cellStyle name="集計 2 8 6 3 4" xfId="22754"/>
    <cellStyle name="集計 2 8 6 3 4 2" xfId="22755"/>
    <cellStyle name="集計 2 8 6 3 4 3" xfId="22756"/>
    <cellStyle name="集計 2 8 6 3 5" xfId="22757"/>
    <cellStyle name="集計 2 8 6 3 5 2" xfId="22758"/>
    <cellStyle name="集計 2 8 6 3 5 3" xfId="22759"/>
    <cellStyle name="集計 2 8 6 3 6" xfId="22760"/>
    <cellStyle name="集計 2 8 6 3 7" xfId="22761"/>
    <cellStyle name="集計 2 8 6 4" xfId="22762"/>
    <cellStyle name="集計 2 8 6 4 2" xfId="22763"/>
    <cellStyle name="集計 2 8 6 4 2 2" xfId="22764"/>
    <cellStyle name="集計 2 8 6 4 2 2 2" xfId="22765"/>
    <cellStyle name="集計 2 8 6 4 2 2 3" xfId="22766"/>
    <cellStyle name="集計 2 8 6 4 2 3" xfId="22767"/>
    <cellStyle name="集計 2 8 6 4 2 3 2" xfId="22768"/>
    <cellStyle name="集計 2 8 6 4 2 3 3" xfId="22769"/>
    <cellStyle name="集計 2 8 6 4 2 4" xfId="22770"/>
    <cellStyle name="集計 2 8 6 4 2 4 2" xfId="22771"/>
    <cellStyle name="集計 2 8 6 4 2 4 3" xfId="22772"/>
    <cellStyle name="集計 2 8 6 4 2 5" xfId="22773"/>
    <cellStyle name="集計 2 8 6 4 2 6" xfId="22774"/>
    <cellStyle name="集計 2 8 6 4 3" xfId="22775"/>
    <cellStyle name="集計 2 8 6 4 3 2" xfId="22776"/>
    <cellStyle name="集計 2 8 6 4 3 3" xfId="22777"/>
    <cellStyle name="集計 2 8 6 4 4" xfId="22778"/>
    <cellStyle name="集計 2 8 6 4 4 2" xfId="22779"/>
    <cellStyle name="集計 2 8 6 4 4 3" xfId="22780"/>
    <cellStyle name="集計 2 8 6 4 5" xfId="22781"/>
    <cellStyle name="集計 2 8 6 4 5 2" xfId="22782"/>
    <cellStyle name="集計 2 8 6 4 5 3" xfId="22783"/>
    <cellStyle name="集計 2 8 6 4 6" xfId="22784"/>
    <cellStyle name="集計 2 8 6 4 7" xfId="22785"/>
    <cellStyle name="集計 2 8 6 5" xfId="22786"/>
    <cellStyle name="集計 2 8 6 5 2" xfId="22787"/>
    <cellStyle name="集計 2 8 6 5 2 2" xfId="22788"/>
    <cellStyle name="集計 2 8 6 5 2 3" xfId="22789"/>
    <cellStyle name="集計 2 8 6 5 3" xfId="22790"/>
    <cellStyle name="集計 2 8 6 5 3 2" xfId="22791"/>
    <cellStyle name="集計 2 8 6 5 3 3" xfId="22792"/>
    <cellStyle name="集計 2 8 6 5 4" xfId="22793"/>
    <cellStyle name="集計 2 8 6 5 4 2" xfId="22794"/>
    <cellStyle name="集計 2 8 6 5 4 3" xfId="22795"/>
    <cellStyle name="集計 2 8 6 5 5" xfId="22796"/>
    <cellStyle name="集計 2 8 6 5 6" xfId="22797"/>
    <cellStyle name="集計 2 8 6 6" xfId="22798"/>
    <cellStyle name="集計 2 8 6 6 2" xfId="22799"/>
    <cellStyle name="集計 2 8 6 6 3" xfId="22800"/>
    <cellStyle name="集計 2 8 6 7" xfId="22801"/>
    <cellStyle name="集計 2 8 6 7 2" xfId="22802"/>
    <cellStyle name="集計 2 8 6 7 3" xfId="22803"/>
    <cellStyle name="集計 2 8 6 8" xfId="22804"/>
    <cellStyle name="集計 2 8 6 8 2" xfId="22805"/>
    <cellStyle name="集計 2 8 6 8 3" xfId="22806"/>
    <cellStyle name="集計 2 8 6 9" xfId="22807"/>
    <cellStyle name="集計 2 8 7" xfId="22808"/>
    <cellStyle name="集計 2 8 7 2" xfId="22809"/>
    <cellStyle name="集計 2 8 7 2 2" xfId="22810"/>
    <cellStyle name="集計 2 8 7 2 2 2" xfId="22811"/>
    <cellStyle name="集計 2 8 7 2 2 3" xfId="22812"/>
    <cellStyle name="集計 2 8 7 2 3" xfId="22813"/>
    <cellStyle name="集計 2 8 7 2 3 2" xfId="22814"/>
    <cellStyle name="集計 2 8 7 2 3 3" xfId="22815"/>
    <cellStyle name="集計 2 8 7 2 4" xfId="22816"/>
    <cellStyle name="集計 2 8 7 2 4 2" xfId="22817"/>
    <cellStyle name="集計 2 8 7 2 4 3" xfId="22818"/>
    <cellStyle name="集計 2 8 7 2 5" xfId="22819"/>
    <cellStyle name="集計 2 8 7 2 6" xfId="22820"/>
    <cellStyle name="集計 2 8 7 3" xfId="22821"/>
    <cellStyle name="集計 2 8 7 3 2" xfId="22822"/>
    <cellStyle name="集計 2 8 7 3 3" xfId="22823"/>
    <cellStyle name="集計 2 8 7 4" xfId="22824"/>
    <cellStyle name="集計 2 8 7 4 2" xfId="22825"/>
    <cellStyle name="集計 2 8 7 4 3" xfId="22826"/>
    <cellStyle name="集計 2 8 7 5" xfId="22827"/>
    <cellStyle name="集計 2 8 7 5 2" xfId="22828"/>
    <cellStyle name="集計 2 8 7 5 3" xfId="22829"/>
    <cellStyle name="集計 2 8 7 6" xfId="22830"/>
    <cellStyle name="集計 2 8 7 7" xfId="22831"/>
    <cellStyle name="集計 2 8 8" xfId="22832"/>
    <cellStyle name="集計 2 8 8 2" xfId="22833"/>
    <cellStyle name="集計 2 8 8 2 2" xfId="22834"/>
    <cellStyle name="集計 2 8 8 2 2 2" xfId="22835"/>
    <cellStyle name="集計 2 8 8 2 2 3" xfId="22836"/>
    <cellStyle name="集計 2 8 8 2 3" xfId="22837"/>
    <cellStyle name="集計 2 8 8 2 3 2" xfId="22838"/>
    <cellStyle name="集計 2 8 8 2 3 3" xfId="22839"/>
    <cellStyle name="集計 2 8 8 2 4" xfId="22840"/>
    <cellStyle name="集計 2 8 8 2 4 2" xfId="22841"/>
    <cellStyle name="集計 2 8 8 2 4 3" xfId="22842"/>
    <cellStyle name="集計 2 8 8 2 5" xfId="22843"/>
    <cellStyle name="集計 2 8 8 2 6" xfId="22844"/>
    <cellStyle name="集計 2 8 8 3" xfId="22845"/>
    <cellStyle name="集計 2 8 8 3 2" xfId="22846"/>
    <cellStyle name="集計 2 8 8 3 3" xfId="22847"/>
    <cellStyle name="集計 2 8 8 4" xfId="22848"/>
    <cellStyle name="集計 2 8 8 4 2" xfId="22849"/>
    <cellStyle name="集計 2 8 8 4 3" xfId="22850"/>
    <cellStyle name="集計 2 8 8 5" xfId="22851"/>
    <cellStyle name="集計 2 8 8 5 2" xfId="22852"/>
    <cellStyle name="集計 2 8 8 5 3" xfId="22853"/>
    <cellStyle name="集計 2 8 8 6" xfId="22854"/>
    <cellStyle name="集計 2 8 8 7" xfId="22855"/>
    <cellStyle name="集計 2 8 9" xfId="22856"/>
    <cellStyle name="集計 2 8 9 2" xfId="22857"/>
    <cellStyle name="集計 2 8 9 2 2" xfId="22858"/>
    <cellStyle name="集計 2 8 9 2 3" xfId="22859"/>
    <cellStyle name="集計 2 8 9 3" xfId="22860"/>
    <cellStyle name="集計 2 8 9 3 2" xfId="22861"/>
    <cellStyle name="集計 2 8 9 3 3" xfId="22862"/>
    <cellStyle name="集計 2 8 9 4" xfId="22863"/>
    <cellStyle name="集計 2 8 9 4 2" xfId="22864"/>
    <cellStyle name="集計 2 8 9 4 3" xfId="22865"/>
    <cellStyle name="集計 2 8 9 5" xfId="22866"/>
    <cellStyle name="集計 2 8 9 6" xfId="22867"/>
    <cellStyle name="集計 2 9" xfId="22868"/>
    <cellStyle name="集計 2 9 10" xfId="22869"/>
    <cellStyle name="集計 2 9 10 2" xfId="22870"/>
    <cellStyle name="集計 2 9 10 3" xfId="22871"/>
    <cellStyle name="集計 2 9 11" xfId="22872"/>
    <cellStyle name="集計 2 9 11 2" xfId="22873"/>
    <cellStyle name="集計 2 9 11 3" xfId="22874"/>
    <cellStyle name="集計 2 9 12" xfId="22875"/>
    <cellStyle name="集計 2 9 12 2" xfId="22876"/>
    <cellStyle name="集計 2 9 12 3" xfId="22877"/>
    <cellStyle name="集計 2 9 13" xfId="22878"/>
    <cellStyle name="集計 2 9 14" xfId="22879"/>
    <cellStyle name="集計 2 9 2" xfId="22880"/>
    <cellStyle name="集計 2 9 2 10" xfId="22881"/>
    <cellStyle name="集計 2 9 2 2" xfId="22882"/>
    <cellStyle name="集計 2 9 2 2 10" xfId="22883"/>
    <cellStyle name="集計 2 9 2 2 2" xfId="22884"/>
    <cellStyle name="集計 2 9 2 2 2 2" xfId="22885"/>
    <cellStyle name="集計 2 9 2 2 2 2 2" xfId="22886"/>
    <cellStyle name="集計 2 9 2 2 2 2 2 2" xfId="22887"/>
    <cellStyle name="集計 2 9 2 2 2 2 2 2 2" xfId="22888"/>
    <cellStyle name="集計 2 9 2 2 2 2 2 2 3" xfId="22889"/>
    <cellStyle name="集計 2 9 2 2 2 2 2 3" xfId="22890"/>
    <cellStyle name="集計 2 9 2 2 2 2 2 3 2" xfId="22891"/>
    <cellStyle name="集計 2 9 2 2 2 2 2 3 3" xfId="22892"/>
    <cellStyle name="集計 2 9 2 2 2 2 2 4" xfId="22893"/>
    <cellStyle name="集計 2 9 2 2 2 2 2 4 2" xfId="22894"/>
    <cellStyle name="集計 2 9 2 2 2 2 2 4 3" xfId="22895"/>
    <cellStyle name="集計 2 9 2 2 2 2 2 5" xfId="22896"/>
    <cellStyle name="集計 2 9 2 2 2 2 2 6" xfId="22897"/>
    <cellStyle name="集計 2 9 2 2 2 2 3" xfId="22898"/>
    <cellStyle name="集計 2 9 2 2 2 2 3 2" xfId="22899"/>
    <cellStyle name="集計 2 9 2 2 2 2 3 3" xfId="22900"/>
    <cellStyle name="集計 2 9 2 2 2 2 4" xfId="22901"/>
    <cellStyle name="集計 2 9 2 2 2 2 4 2" xfId="22902"/>
    <cellStyle name="集計 2 9 2 2 2 2 4 3" xfId="22903"/>
    <cellStyle name="集計 2 9 2 2 2 2 5" xfId="22904"/>
    <cellStyle name="集計 2 9 2 2 2 2 5 2" xfId="22905"/>
    <cellStyle name="集計 2 9 2 2 2 2 5 3" xfId="22906"/>
    <cellStyle name="集計 2 9 2 2 2 2 6" xfId="22907"/>
    <cellStyle name="集計 2 9 2 2 2 2 7" xfId="22908"/>
    <cellStyle name="集計 2 9 2 2 2 3" xfId="22909"/>
    <cellStyle name="集計 2 9 2 2 2 3 2" xfId="22910"/>
    <cellStyle name="集計 2 9 2 2 2 3 2 2" xfId="22911"/>
    <cellStyle name="集計 2 9 2 2 2 3 2 2 2" xfId="22912"/>
    <cellStyle name="集計 2 9 2 2 2 3 2 2 3" xfId="22913"/>
    <cellStyle name="集計 2 9 2 2 2 3 2 3" xfId="22914"/>
    <cellStyle name="集計 2 9 2 2 2 3 2 3 2" xfId="22915"/>
    <cellStyle name="集計 2 9 2 2 2 3 2 3 3" xfId="22916"/>
    <cellStyle name="集計 2 9 2 2 2 3 2 4" xfId="22917"/>
    <cellStyle name="集計 2 9 2 2 2 3 2 4 2" xfId="22918"/>
    <cellStyle name="集計 2 9 2 2 2 3 2 4 3" xfId="22919"/>
    <cellStyle name="集計 2 9 2 2 2 3 2 5" xfId="22920"/>
    <cellStyle name="集計 2 9 2 2 2 3 2 6" xfId="22921"/>
    <cellStyle name="集計 2 9 2 2 2 3 3" xfId="22922"/>
    <cellStyle name="集計 2 9 2 2 2 3 3 2" xfId="22923"/>
    <cellStyle name="集計 2 9 2 2 2 3 3 3" xfId="22924"/>
    <cellStyle name="集計 2 9 2 2 2 3 4" xfId="22925"/>
    <cellStyle name="集計 2 9 2 2 2 3 4 2" xfId="22926"/>
    <cellStyle name="集計 2 9 2 2 2 3 4 3" xfId="22927"/>
    <cellStyle name="集計 2 9 2 2 2 3 5" xfId="22928"/>
    <cellStyle name="集計 2 9 2 2 2 3 5 2" xfId="22929"/>
    <cellStyle name="集計 2 9 2 2 2 3 5 3" xfId="22930"/>
    <cellStyle name="集計 2 9 2 2 2 3 6" xfId="22931"/>
    <cellStyle name="集計 2 9 2 2 2 3 7" xfId="22932"/>
    <cellStyle name="集計 2 9 2 2 2 4" xfId="22933"/>
    <cellStyle name="集計 2 9 2 2 2 4 2" xfId="22934"/>
    <cellStyle name="集計 2 9 2 2 2 4 2 2" xfId="22935"/>
    <cellStyle name="集計 2 9 2 2 2 4 2 3" xfId="22936"/>
    <cellStyle name="集計 2 9 2 2 2 4 3" xfId="22937"/>
    <cellStyle name="集計 2 9 2 2 2 4 3 2" xfId="22938"/>
    <cellStyle name="集計 2 9 2 2 2 4 3 3" xfId="22939"/>
    <cellStyle name="集計 2 9 2 2 2 4 4" xfId="22940"/>
    <cellStyle name="集計 2 9 2 2 2 4 4 2" xfId="22941"/>
    <cellStyle name="集計 2 9 2 2 2 4 4 3" xfId="22942"/>
    <cellStyle name="集計 2 9 2 2 2 4 5" xfId="22943"/>
    <cellStyle name="集計 2 9 2 2 2 4 6" xfId="22944"/>
    <cellStyle name="集計 2 9 2 2 2 5" xfId="22945"/>
    <cellStyle name="集計 2 9 2 2 2 5 2" xfId="22946"/>
    <cellStyle name="集計 2 9 2 2 2 5 3" xfId="22947"/>
    <cellStyle name="集計 2 9 2 2 2 6" xfId="22948"/>
    <cellStyle name="集計 2 9 2 2 2 6 2" xfId="22949"/>
    <cellStyle name="集計 2 9 2 2 2 6 3" xfId="22950"/>
    <cellStyle name="集計 2 9 2 2 2 7" xfId="22951"/>
    <cellStyle name="集計 2 9 2 2 2 7 2" xfId="22952"/>
    <cellStyle name="集計 2 9 2 2 2 7 3" xfId="22953"/>
    <cellStyle name="集計 2 9 2 2 2 8" xfId="22954"/>
    <cellStyle name="集計 2 9 2 2 2 9" xfId="22955"/>
    <cellStyle name="集計 2 9 2 2 3" xfId="22956"/>
    <cellStyle name="集計 2 9 2 2 3 2" xfId="22957"/>
    <cellStyle name="集計 2 9 2 2 3 2 2" xfId="22958"/>
    <cellStyle name="集計 2 9 2 2 3 2 2 2" xfId="22959"/>
    <cellStyle name="集計 2 9 2 2 3 2 2 3" xfId="22960"/>
    <cellStyle name="集計 2 9 2 2 3 2 3" xfId="22961"/>
    <cellStyle name="集計 2 9 2 2 3 2 3 2" xfId="22962"/>
    <cellStyle name="集計 2 9 2 2 3 2 3 3" xfId="22963"/>
    <cellStyle name="集計 2 9 2 2 3 2 4" xfId="22964"/>
    <cellStyle name="集計 2 9 2 2 3 2 4 2" xfId="22965"/>
    <cellStyle name="集計 2 9 2 2 3 2 4 3" xfId="22966"/>
    <cellStyle name="集計 2 9 2 2 3 2 5" xfId="22967"/>
    <cellStyle name="集計 2 9 2 2 3 2 6" xfId="22968"/>
    <cellStyle name="集計 2 9 2 2 3 3" xfId="22969"/>
    <cellStyle name="集計 2 9 2 2 3 3 2" xfId="22970"/>
    <cellStyle name="集計 2 9 2 2 3 3 3" xfId="22971"/>
    <cellStyle name="集計 2 9 2 2 3 4" xfId="22972"/>
    <cellStyle name="集計 2 9 2 2 3 4 2" xfId="22973"/>
    <cellStyle name="集計 2 9 2 2 3 4 3" xfId="22974"/>
    <cellStyle name="集計 2 9 2 2 3 5" xfId="22975"/>
    <cellStyle name="集計 2 9 2 2 3 5 2" xfId="22976"/>
    <cellStyle name="集計 2 9 2 2 3 5 3" xfId="22977"/>
    <cellStyle name="集計 2 9 2 2 3 6" xfId="22978"/>
    <cellStyle name="集計 2 9 2 2 3 7" xfId="22979"/>
    <cellStyle name="集計 2 9 2 2 4" xfId="22980"/>
    <cellStyle name="集計 2 9 2 2 4 2" xfId="22981"/>
    <cellStyle name="集計 2 9 2 2 4 2 2" xfId="22982"/>
    <cellStyle name="集計 2 9 2 2 4 2 2 2" xfId="22983"/>
    <cellStyle name="集計 2 9 2 2 4 2 2 3" xfId="22984"/>
    <cellStyle name="集計 2 9 2 2 4 2 3" xfId="22985"/>
    <cellStyle name="集計 2 9 2 2 4 2 3 2" xfId="22986"/>
    <cellStyle name="集計 2 9 2 2 4 2 3 3" xfId="22987"/>
    <cellStyle name="集計 2 9 2 2 4 2 4" xfId="22988"/>
    <cellStyle name="集計 2 9 2 2 4 2 4 2" xfId="22989"/>
    <cellStyle name="集計 2 9 2 2 4 2 4 3" xfId="22990"/>
    <cellStyle name="集計 2 9 2 2 4 2 5" xfId="22991"/>
    <cellStyle name="集計 2 9 2 2 4 2 6" xfId="22992"/>
    <cellStyle name="集計 2 9 2 2 4 3" xfId="22993"/>
    <cellStyle name="集計 2 9 2 2 4 3 2" xfId="22994"/>
    <cellStyle name="集計 2 9 2 2 4 3 3" xfId="22995"/>
    <cellStyle name="集計 2 9 2 2 4 4" xfId="22996"/>
    <cellStyle name="集計 2 9 2 2 4 4 2" xfId="22997"/>
    <cellStyle name="集計 2 9 2 2 4 4 3" xfId="22998"/>
    <cellStyle name="集計 2 9 2 2 4 5" xfId="22999"/>
    <cellStyle name="集計 2 9 2 2 4 5 2" xfId="23000"/>
    <cellStyle name="集計 2 9 2 2 4 5 3" xfId="23001"/>
    <cellStyle name="集計 2 9 2 2 4 6" xfId="23002"/>
    <cellStyle name="集計 2 9 2 2 4 7" xfId="23003"/>
    <cellStyle name="集計 2 9 2 2 5" xfId="23004"/>
    <cellStyle name="集計 2 9 2 2 5 2" xfId="23005"/>
    <cellStyle name="集計 2 9 2 2 5 2 2" xfId="23006"/>
    <cellStyle name="集計 2 9 2 2 5 2 3" xfId="23007"/>
    <cellStyle name="集計 2 9 2 2 5 3" xfId="23008"/>
    <cellStyle name="集計 2 9 2 2 5 3 2" xfId="23009"/>
    <cellStyle name="集計 2 9 2 2 5 3 3" xfId="23010"/>
    <cellStyle name="集計 2 9 2 2 5 4" xfId="23011"/>
    <cellStyle name="集計 2 9 2 2 5 4 2" xfId="23012"/>
    <cellStyle name="集計 2 9 2 2 5 4 3" xfId="23013"/>
    <cellStyle name="集計 2 9 2 2 5 5" xfId="23014"/>
    <cellStyle name="集計 2 9 2 2 5 6" xfId="23015"/>
    <cellStyle name="集計 2 9 2 2 6" xfId="23016"/>
    <cellStyle name="集計 2 9 2 2 6 2" xfId="23017"/>
    <cellStyle name="集計 2 9 2 2 6 3" xfId="23018"/>
    <cellStyle name="集計 2 9 2 2 7" xfId="23019"/>
    <cellStyle name="集計 2 9 2 2 7 2" xfId="23020"/>
    <cellStyle name="集計 2 9 2 2 7 3" xfId="23021"/>
    <cellStyle name="集計 2 9 2 2 8" xfId="23022"/>
    <cellStyle name="集計 2 9 2 2 8 2" xfId="23023"/>
    <cellStyle name="集計 2 9 2 2 8 3" xfId="23024"/>
    <cellStyle name="集計 2 9 2 2 9" xfId="23025"/>
    <cellStyle name="集計 2 9 2 3" xfId="23026"/>
    <cellStyle name="集計 2 9 2 3 2" xfId="23027"/>
    <cellStyle name="集計 2 9 2 3 2 2" xfId="23028"/>
    <cellStyle name="集計 2 9 2 3 2 2 2" xfId="23029"/>
    <cellStyle name="集計 2 9 2 3 2 2 3" xfId="23030"/>
    <cellStyle name="集計 2 9 2 3 2 3" xfId="23031"/>
    <cellStyle name="集計 2 9 2 3 2 3 2" xfId="23032"/>
    <cellStyle name="集計 2 9 2 3 2 3 3" xfId="23033"/>
    <cellStyle name="集計 2 9 2 3 2 4" xfId="23034"/>
    <cellStyle name="集計 2 9 2 3 2 4 2" xfId="23035"/>
    <cellStyle name="集計 2 9 2 3 2 4 3" xfId="23036"/>
    <cellStyle name="集計 2 9 2 3 2 5" xfId="23037"/>
    <cellStyle name="集計 2 9 2 3 2 6" xfId="23038"/>
    <cellStyle name="集計 2 9 2 3 3" xfId="23039"/>
    <cellStyle name="集計 2 9 2 3 3 2" xfId="23040"/>
    <cellStyle name="集計 2 9 2 3 3 3" xfId="23041"/>
    <cellStyle name="集計 2 9 2 3 4" xfId="23042"/>
    <cellStyle name="集計 2 9 2 3 4 2" xfId="23043"/>
    <cellStyle name="集計 2 9 2 3 4 3" xfId="23044"/>
    <cellStyle name="集計 2 9 2 3 5" xfId="23045"/>
    <cellStyle name="集計 2 9 2 3 5 2" xfId="23046"/>
    <cellStyle name="集計 2 9 2 3 5 3" xfId="23047"/>
    <cellStyle name="集計 2 9 2 3 6" xfId="23048"/>
    <cellStyle name="集計 2 9 2 3 7" xfId="23049"/>
    <cellStyle name="集計 2 9 2 4" xfId="23050"/>
    <cellStyle name="集計 2 9 2 4 2" xfId="23051"/>
    <cellStyle name="集計 2 9 2 4 2 2" xfId="23052"/>
    <cellStyle name="集計 2 9 2 4 2 2 2" xfId="23053"/>
    <cellStyle name="集計 2 9 2 4 2 2 3" xfId="23054"/>
    <cellStyle name="集計 2 9 2 4 2 3" xfId="23055"/>
    <cellStyle name="集計 2 9 2 4 2 3 2" xfId="23056"/>
    <cellStyle name="集計 2 9 2 4 2 3 3" xfId="23057"/>
    <cellStyle name="集計 2 9 2 4 2 4" xfId="23058"/>
    <cellStyle name="集計 2 9 2 4 2 4 2" xfId="23059"/>
    <cellStyle name="集計 2 9 2 4 2 4 3" xfId="23060"/>
    <cellStyle name="集計 2 9 2 4 2 5" xfId="23061"/>
    <cellStyle name="集計 2 9 2 4 2 6" xfId="23062"/>
    <cellStyle name="集計 2 9 2 4 3" xfId="23063"/>
    <cellStyle name="集計 2 9 2 4 3 2" xfId="23064"/>
    <cellStyle name="集計 2 9 2 4 3 3" xfId="23065"/>
    <cellStyle name="集計 2 9 2 4 4" xfId="23066"/>
    <cellStyle name="集計 2 9 2 4 4 2" xfId="23067"/>
    <cellStyle name="集計 2 9 2 4 4 3" xfId="23068"/>
    <cellStyle name="集計 2 9 2 4 5" xfId="23069"/>
    <cellStyle name="集計 2 9 2 4 5 2" xfId="23070"/>
    <cellStyle name="集計 2 9 2 4 5 3" xfId="23071"/>
    <cellStyle name="集計 2 9 2 4 6" xfId="23072"/>
    <cellStyle name="集計 2 9 2 4 7" xfId="23073"/>
    <cellStyle name="集計 2 9 2 5" xfId="23074"/>
    <cellStyle name="集計 2 9 2 5 2" xfId="23075"/>
    <cellStyle name="集計 2 9 2 5 2 2" xfId="23076"/>
    <cellStyle name="集計 2 9 2 5 2 3" xfId="23077"/>
    <cellStyle name="集計 2 9 2 5 3" xfId="23078"/>
    <cellStyle name="集計 2 9 2 5 3 2" xfId="23079"/>
    <cellStyle name="集計 2 9 2 5 3 3" xfId="23080"/>
    <cellStyle name="集計 2 9 2 5 4" xfId="23081"/>
    <cellStyle name="集計 2 9 2 5 4 2" xfId="23082"/>
    <cellStyle name="集計 2 9 2 5 4 3" xfId="23083"/>
    <cellStyle name="集計 2 9 2 5 5" xfId="23084"/>
    <cellStyle name="集計 2 9 2 5 6" xfId="23085"/>
    <cellStyle name="集計 2 9 2 6" xfId="23086"/>
    <cellStyle name="集計 2 9 2 6 2" xfId="23087"/>
    <cellStyle name="集計 2 9 2 6 3" xfId="23088"/>
    <cellStyle name="集計 2 9 2 7" xfId="23089"/>
    <cellStyle name="集計 2 9 2 7 2" xfId="23090"/>
    <cellStyle name="集計 2 9 2 7 3" xfId="23091"/>
    <cellStyle name="集計 2 9 2 8" xfId="23092"/>
    <cellStyle name="集計 2 9 2 8 2" xfId="23093"/>
    <cellStyle name="集計 2 9 2 8 3" xfId="23094"/>
    <cellStyle name="集計 2 9 2 9" xfId="23095"/>
    <cellStyle name="集計 2 9 3" xfId="23096"/>
    <cellStyle name="集計 2 9 3 10" xfId="23097"/>
    <cellStyle name="集計 2 9 3 2" xfId="23098"/>
    <cellStyle name="集計 2 9 3 2 10" xfId="23099"/>
    <cellStyle name="集計 2 9 3 2 2" xfId="23100"/>
    <cellStyle name="集計 2 9 3 2 2 2" xfId="23101"/>
    <cellStyle name="集計 2 9 3 2 2 2 2" xfId="23102"/>
    <cellStyle name="集計 2 9 3 2 2 2 2 2" xfId="23103"/>
    <cellStyle name="集計 2 9 3 2 2 2 2 2 2" xfId="23104"/>
    <cellStyle name="集計 2 9 3 2 2 2 2 2 3" xfId="23105"/>
    <cellStyle name="集計 2 9 3 2 2 2 2 3" xfId="23106"/>
    <cellStyle name="集計 2 9 3 2 2 2 2 3 2" xfId="23107"/>
    <cellStyle name="集計 2 9 3 2 2 2 2 3 3" xfId="23108"/>
    <cellStyle name="集計 2 9 3 2 2 2 2 4" xfId="23109"/>
    <cellStyle name="集計 2 9 3 2 2 2 2 4 2" xfId="23110"/>
    <cellStyle name="集計 2 9 3 2 2 2 2 4 3" xfId="23111"/>
    <cellStyle name="集計 2 9 3 2 2 2 2 5" xfId="23112"/>
    <cellStyle name="集計 2 9 3 2 2 2 2 6" xfId="23113"/>
    <cellStyle name="集計 2 9 3 2 2 2 3" xfId="23114"/>
    <cellStyle name="集計 2 9 3 2 2 2 3 2" xfId="23115"/>
    <cellStyle name="集計 2 9 3 2 2 2 3 3" xfId="23116"/>
    <cellStyle name="集計 2 9 3 2 2 2 4" xfId="23117"/>
    <cellStyle name="集計 2 9 3 2 2 2 4 2" xfId="23118"/>
    <cellStyle name="集計 2 9 3 2 2 2 4 3" xfId="23119"/>
    <cellStyle name="集計 2 9 3 2 2 2 5" xfId="23120"/>
    <cellStyle name="集計 2 9 3 2 2 2 5 2" xfId="23121"/>
    <cellStyle name="集計 2 9 3 2 2 2 5 3" xfId="23122"/>
    <cellStyle name="集計 2 9 3 2 2 2 6" xfId="23123"/>
    <cellStyle name="集計 2 9 3 2 2 2 7" xfId="23124"/>
    <cellStyle name="集計 2 9 3 2 2 3" xfId="23125"/>
    <cellStyle name="集計 2 9 3 2 2 3 2" xfId="23126"/>
    <cellStyle name="集計 2 9 3 2 2 3 2 2" xfId="23127"/>
    <cellStyle name="集計 2 9 3 2 2 3 2 2 2" xfId="23128"/>
    <cellStyle name="集計 2 9 3 2 2 3 2 2 3" xfId="23129"/>
    <cellStyle name="集計 2 9 3 2 2 3 2 3" xfId="23130"/>
    <cellStyle name="集計 2 9 3 2 2 3 2 3 2" xfId="23131"/>
    <cellStyle name="集計 2 9 3 2 2 3 2 3 3" xfId="23132"/>
    <cellStyle name="集計 2 9 3 2 2 3 2 4" xfId="23133"/>
    <cellStyle name="集計 2 9 3 2 2 3 2 4 2" xfId="23134"/>
    <cellStyle name="集計 2 9 3 2 2 3 2 4 3" xfId="23135"/>
    <cellStyle name="集計 2 9 3 2 2 3 2 5" xfId="23136"/>
    <cellStyle name="集計 2 9 3 2 2 3 2 6" xfId="23137"/>
    <cellStyle name="集計 2 9 3 2 2 3 3" xfId="23138"/>
    <cellStyle name="集計 2 9 3 2 2 3 3 2" xfId="23139"/>
    <cellStyle name="集計 2 9 3 2 2 3 3 3" xfId="23140"/>
    <cellStyle name="集計 2 9 3 2 2 3 4" xfId="23141"/>
    <cellStyle name="集計 2 9 3 2 2 3 4 2" xfId="23142"/>
    <cellStyle name="集計 2 9 3 2 2 3 4 3" xfId="23143"/>
    <cellStyle name="集計 2 9 3 2 2 3 5" xfId="23144"/>
    <cellStyle name="集計 2 9 3 2 2 3 5 2" xfId="23145"/>
    <cellStyle name="集計 2 9 3 2 2 3 5 3" xfId="23146"/>
    <cellStyle name="集計 2 9 3 2 2 3 6" xfId="23147"/>
    <cellStyle name="集計 2 9 3 2 2 3 7" xfId="23148"/>
    <cellStyle name="集計 2 9 3 2 2 4" xfId="23149"/>
    <cellStyle name="集計 2 9 3 2 2 4 2" xfId="23150"/>
    <cellStyle name="集計 2 9 3 2 2 4 2 2" xfId="23151"/>
    <cellStyle name="集計 2 9 3 2 2 4 2 3" xfId="23152"/>
    <cellStyle name="集計 2 9 3 2 2 4 3" xfId="23153"/>
    <cellStyle name="集計 2 9 3 2 2 4 3 2" xfId="23154"/>
    <cellStyle name="集計 2 9 3 2 2 4 3 3" xfId="23155"/>
    <cellStyle name="集計 2 9 3 2 2 4 4" xfId="23156"/>
    <cellStyle name="集計 2 9 3 2 2 4 4 2" xfId="23157"/>
    <cellStyle name="集計 2 9 3 2 2 4 4 3" xfId="23158"/>
    <cellStyle name="集計 2 9 3 2 2 4 5" xfId="23159"/>
    <cellStyle name="集計 2 9 3 2 2 4 6" xfId="23160"/>
    <cellStyle name="集計 2 9 3 2 2 5" xfId="23161"/>
    <cellStyle name="集計 2 9 3 2 2 5 2" xfId="23162"/>
    <cellStyle name="集計 2 9 3 2 2 5 3" xfId="23163"/>
    <cellStyle name="集計 2 9 3 2 2 6" xfId="23164"/>
    <cellStyle name="集計 2 9 3 2 2 6 2" xfId="23165"/>
    <cellStyle name="集計 2 9 3 2 2 6 3" xfId="23166"/>
    <cellStyle name="集計 2 9 3 2 2 7" xfId="23167"/>
    <cellStyle name="集計 2 9 3 2 2 7 2" xfId="23168"/>
    <cellStyle name="集計 2 9 3 2 2 7 3" xfId="23169"/>
    <cellStyle name="集計 2 9 3 2 2 8" xfId="23170"/>
    <cellStyle name="集計 2 9 3 2 2 9" xfId="23171"/>
    <cellStyle name="集計 2 9 3 2 3" xfId="23172"/>
    <cellStyle name="集計 2 9 3 2 3 2" xfId="23173"/>
    <cellStyle name="集計 2 9 3 2 3 2 2" xfId="23174"/>
    <cellStyle name="集計 2 9 3 2 3 2 2 2" xfId="23175"/>
    <cellStyle name="集計 2 9 3 2 3 2 2 3" xfId="23176"/>
    <cellStyle name="集計 2 9 3 2 3 2 3" xfId="23177"/>
    <cellStyle name="集計 2 9 3 2 3 2 3 2" xfId="23178"/>
    <cellStyle name="集計 2 9 3 2 3 2 3 3" xfId="23179"/>
    <cellStyle name="集計 2 9 3 2 3 2 4" xfId="23180"/>
    <cellStyle name="集計 2 9 3 2 3 2 4 2" xfId="23181"/>
    <cellStyle name="集計 2 9 3 2 3 2 4 3" xfId="23182"/>
    <cellStyle name="集計 2 9 3 2 3 2 5" xfId="23183"/>
    <cellStyle name="集計 2 9 3 2 3 2 6" xfId="23184"/>
    <cellStyle name="集計 2 9 3 2 3 3" xfId="23185"/>
    <cellStyle name="集計 2 9 3 2 3 3 2" xfId="23186"/>
    <cellStyle name="集計 2 9 3 2 3 3 3" xfId="23187"/>
    <cellStyle name="集計 2 9 3 2 3 4" xfId="23188"/>
    <cellStyle name="集計 2 9 3 2 3 4 2" xfId="23189"/>
    <cellStyle name="集計 2 9 3 2 3 4 3" xfId="23190"/>
    <cellStyle name="集計 2 9 3 2 3 5" xfId="23191"/>
    <cellStyle name="集計 2 9 3 2 3 5 2" xfId="23192"/>
    <cellStyle name="集計 2 9 3 2 3 5 3" xfId="23193"/>
    <cellStyle name="集計 2 9 3 2 3 6" xfId="23194"/>
    <cellStyle name="集計 2 9 3 2 3 7" xfId="23195"/>
    <cellStyle name="集計 2 9 3 2 4" xfId="23196"/>
    <cellStyle name="集計 2 9 3 2 4 2" xfId="23197"/>
    <cellStyle name="集計 2 9 3 2 4 2 2" xfId="23198"/>
    <cellStyle name="集計 2 9 3 2 4 2 2 2" xfId="23199"/>
    <cellStyle name="集計 2 9 3 2 4 2 2 3" xfId="23200"/>
    <cellStyle name="集計 2 9 3 2 4 2 3" xfId="23201"/>
    <cellStyle name="集計 2 9 3 2 4 2 3 2" xfId="23202"/>
    <cellStyle name="集計 2 9 3 2 4 2 3 3" xfId="23203"/>
    <cellStyle name="集計 2 9 3 2 4 2 4" xfId="23204"/>
    <cellStyle name="集計 2 9 3 2 4 2 4 2" xfId="23205"/>
    <cellStyle name="集計 2 9 3 2 4 2 4 3" xfId="23206"/>
    <cellStyle name="集計 2 9 3 2 4 2 5" xfId="23207"/>
    <cellStyle name="集計 2 9 3 2 4 2 6" xfId="23208"/>
    <cellStyle name="集計 2 9 3 2 4 3" xfId="23209"/>
    <cellStyle name="集計 2 9 3 2 4 3 2" xfId="23210"/>
    <cellStyle name="集計 2 9 3 2 4 3 3" xfId="23211"/>
    <cellStyle name="集計 2 9 3 2 4 4" xfId="23212"/>
    <cellStyle name="集計 2 9 3 2 4 4 2" xfId="23213"/>
    <cellStyle name="集計 2 9 3 2 4 4 3" xfId="23214"/>
    <cellStyle name="集計 2 9 3 2 4 5" xfId="23215"/>
    <cellStyle name="集計 2 9 3 2 4 5 2" xfId="23216"/>
    <cellStyle name="集計 2 9 3 2 4 5 3" xfId="23217"/>
    <cellStyle name="集計 2 9 3 2 4 6" xfId="23218"/>
    <cellStyle name="集計 2 9 3 2 4 7" xfId="23219"/>
    <cellStyle name="集計 2 9 3 2 5" xfId="23220"/>
    <cellStyle name="集計 2 9 3 2 5 2" xfId="23221"/>
    <cellStyle name="集計 2 9 3 2 5 2 2" xfId="23222"/>
    <cellStyle name="集計 2 9 3 2 5 2 3" xfId="23223"/>
    <cellStyle name="集計 2 9 3 2 5 3" xfId="23224"/>
    <cellStyle name="集計 2 9 3 2 5 3 2" xfId="23225"/>
    <cellStyle name="集計 2 9 3 2 5 3 3" xfId="23226"/>
    <cellStyle name="集計 2 9 3 2 5 4" xfId="23227"/>
    <cellStyle name="集計 2 9 3 2 5 4 2" xfId="23228"/>
    <cellStyle name="集計 2 9 3 2 5 4 3" xfId="23229"/>
    <cellStyle name="集計 2 9 3 2 5 5" xfId="23230"/>
    <cellStyle name="集計 2 9 3 2 5 6" xfId="23231"/>
    <cellStyle name="集計 2 9 3 2 6" xfId="23232"/>
    <cellStyle name="集計 2 9 3 2 6 2" xfId="23233"/>
    <cellStyle name="集計 2 9 3 2 6 3" xfId="23234"/>
    <cellStyle name="集計 2 9 3 2 7" xfId="23235"/>
    <cellStyle name="集計 2 9 3 2 7 2" xfId="23236"/>
    <cellStyle name="集計 2 9 3 2 7 3" xfId="23237"/>
    <cellStyle name="集計 2 9 3 2 8" xfId="23238"/>
    <cellStyle name="集計 2 9 3 2 8 2" xfId="23239"/>
    <cellStyle name="集計 2 9 3 2 8 3" xfId="23240"/>
    <cellStyle name="集計 2 9 3 2 9" xfId="23241"/>
    <cellStyle name="集計 2 9 3 3" xfId="23242"/>
    <cellStyle name="集計 2 9 3 3 2" xfId="23243"/>
    <cellStyle name="集計 2 9 3 3 2 2" xfId="23244"/>
    <cellStyle name="集計 2 9 3 3 2 2 2" xfId="23245"/>
    <cellStyle name="集計 2 9 3 3 2 2 3" xfId="23246"/>
    <cellStyle name="集計 2 9 3 3 2 3" xfId="23247"/>
    <cellStyle name="集計 2 9 3 3 2 3 2" xfId="23248"/>
    <cellStyle name="集計 2 9 3 3 2 3 3" xfId="23249"/>
    <cellStyle name="集計 2 9 3 3 2 4" xfId="23250"/>
    <cellStyle name="集計 2 9 3 3 2 4 2" xfId="23251"/>
    <cellStyle name="集計 2 9 3 3 2 4 3" xfId="23252"/>
    <cellStyle name="集計 2 9 3 3 2 5" xfId="23253"/>
    <cellStyle name="集計 2 9 3 3 2 6" xfId="23254"/>
    <cellStyle name="集計 2 9 3 3 3" xfId="23255"/>
    <cellStyle name="集計 2 9 3 3 3 2" xfId="23256"/>
    <cellStyle name="集計 2 9 3 3 3 3" xfId="23257"/>
    <cellStyle name="集計 2 9 3 3 4" xfId="23258"/>
    <cellStyle name="集計 2 9 3 3 4 2" xfId="23259"/>
    <cellStyle name="集計 2 9 3 3 4 3" xfId="23260"/>
    <cellStyle name="集計 2 9 3 3 5" xfId="23261"/>
    <cellStyle name="集計 2 9 3 3 5 2" xfId="23262"/>
    <cellStyle name="集計 2 9 3 3 5 3" xfId="23263"/>
    <cellStyle name="集計 2 9 3 3 6" xfId="23264"/>
    <cellStyle name="集計 2 9 3 3 7" xfId="23265"/>
    <cellStyle name="集計 2 9 3 4" xfId="23266"/>
    <cellStyle name="集計 2 9 3 4 2" xfId="23267"/>
    <cellStyle name="集計 2 9 3 4 2 2" xfId="23268"/>
    <cellStyle name="集計 2 9 3 4 2 2 2" xfId="23269"/>
    <cellStyle name="集計 2 9 3 4 2 2 3" xfId="23270"/>
    <cellStyle name="集計 2 9 3 4 2 3" xfId="23271"/>
    <cellStyle name="集計 2 9 3 4 2 3 2" xfId="23272"/>
    <cellStyle name="集計 2 9 3 4 2 3 3" xfId="23273"/>
    <cellStyle name="集計 2 9 3 4 2 4" xfId="23274"/>
    <cellStyle name="集計 2 9 3 4 2 4 2" xfId="23275"/>
    <cellStyle name="集計 2 9 3 4 2 4 3" xfId="23276"/>
    <cellStyle name="集計 2 9 3 4 2 5" xfId="23277"/>
    <cellStyle name="集計 2 9 3 4 2 6" xfId="23278"/>
    <cellStyle name="集計 2 9 3 4 3" xfId="23279"/>
    <cellStyle name="集計 2 9 3 4 3 2" xfId="23280"/>
    <cellStyle name="集計 2 9 3 4 3 3" xfId="23281"/>
    <cellStyle name="集計 2 9 3 4 4" xfId="23282"/>
    <cellStyle name="集計 2 9 3 4 4 2" xfId="23283"/>
    <cellStyle name="集計 2 9 3 4 4 3" xfId="23284"/>
    <cellStyle name="集計 2 9 3 4 5" xfId="23285"/>
    <cellStyle name="集計 2 9 3 4 5 2" xfId="23286"/>
    <cellStyle name="集計 2 9 3 4 5 3" xfId="23287"/>
    <cellStyle name="集計 2 9 3 4 6" xfId="23288"/>
    <cellStyle name="集計 2 9 3 4 7" xfId="23289"/>
    <cellStyle name="集計 2 9 3 5" xfId="23290"/>
    <cellStyle name="集計 2 9 3 5 2" xfId="23291"/>
    <cellStyle name="集計 2 9 3 5 2 2" xfId="23292"/>
    <cellStyle name="集計 2 9 3 5 2 3" xfId="23293"/>
    <cellStyle name="集計 2 9 3 5 3" xfId="23294"/>
    <cellStyle name="集計 2 9 3 5 3 2" xfId="23295"/>
    <cellStyle name="集計 2 9 3 5 3 3" xfId="23296"/>
    <cellStyle name="集計 2 9 3 5 4" xfId="23297"/>
    <cellStyle name="集計 2 9 3 5 4 2" xfId="23298"/>
    <cellStyle name="集計 2 9 3 5 4 3" xfId="23299"/>
    <cellStyle name="集計 2 9 3 5 5" xfId="23300"/>
    <cellStyle name="集計 2 9 3 5 6" xfId="23301"/>
    <cellStyle name="集計 2 9 3 6" xfId="23302"/>
    <cellStyle name="集計 2 9 3 6 2" xfId="23303"/>
    <cellStyle name="集計 2 9 3 6 3" xfId="23304"/>
    <cellStyle name="集計 2 9 3 7" xfId="23305"/>
    <cellStyle name="集計 2 9 3 7 2" xfId="23306"/>
    <cellStyle name="集計 2 9 3 7 3" xfId="23307"/>
    <cellStyle name="集計 2 9 3 8" xfId="23308"/>
    <cellStyle name="集計 2 9 3 8 2" xfId="23309"/>
    <cellStyle name="集計 2 9 3 8 3" xfId="23310"/>
    <cellStyle name="集計 2 9 3 9" xfId="23311"/>
    <cellStyle name="集計 2 9 4" xfId="23312"/>
    <cellStyle name="集計 2 9 4 10" xfId="23313"/>
    <cellStyle name="集計 2 9 4 2" xfId="23314"/>
    <cellStyle name="集計 2 9 4 2 10" xfId="23315"/>
    <cellStyle name="集計 2 9 4 2 2" xfId="23316"/>
    <cellStyle name="集計 2 9 4 2 2 2" xfId="23317"/>
    <cellStyle name="集計 2 9 4 2 2 2 2" xfId="23318"/>
    <cellStyle name="集計 2 9 4 2 2 2 2 2" xfId="23319"/>
    <cellStyle name="集計 2 9 4 2 2 2 2 2 2" xfId="23320"/>
    <cellStyle name="集計 2 9 4 2 2 2 2 2 3" xfId="23321"/>
    <cellStyle name="集計 2 9 4 2 2 2 2 3" xfId="23322"/>
    <cellStyle name="集計 2 9 4 2 2 2 2 3 2" xfId="23323"/>
    <cellStyle name="集計 2 9 4 2 2 2 2 3 3" xfId="23324"/>
    <cellStyle name="集計 2 9 4 2 2 2 2 4" xfId="23325"/>
    <cellStyle name="集計 2 9 4 2 2 2 2 4 2" xfId="23326"/>
    <cellStyle name="集計 2 9 4 2 2 2 2 4 3" xfId="23327"/>
    <cellStyle name="集計 2 9 4 2 2 2 2 5" xfId="23328"/>
    <cellStyle name="集計 2 9 4 2 2 2 2 6" xfId="23329"/>
    <cellStyle name="集計 2 9 4 2 2 2 3" xfId="23330"/>
    <cellStyle name="集計 2 9 4 2 2 2 3 2" xfId="23331"/>
    <cellStyle name="集計 2 9 4 2 2 2 3 3" xfId="23332"/>
    <cellStyle name="集計 2 9 4 2 2 2 4" xfId="23333"/>
    <cellStyle name="集計 2 9 4 2 2 2 4 2" xfId="23334"/>
    <cellStyle name="集計 2 9 4 2 2 2 4 3" xfId="23335"/>
    <cellStyle name="集計 2 9 4 2 2 2 5" xfId="23336"/>
    <cellStyle name="集計 2 9 4 2 2 2 5 2" xfId="23337"/>
    <cellStyle name="集計 2 9 4 2 2 2 5 3" xfId="23338"/>
    <cellStyle name="集計 2 9 4 2 2 2 6" xfId="23339"/>
    <cellStyle name="集計 2 9 4 2 2 2 7" xfId="23340"/>
    <cellStyle name="集計 2 9 4 2 2 3" xfId="23341"/>
    <cellStyle name="集計 2 9 4 2 2 3 2" xfId="23342"/>
    <cellStyle name="集計 2 9 4 2 2 3 2 2" xfId="23343"/>
    <cellStyle name="集計 2 9 4 2 2 3 2 2 2" xfId="23344"/>
    <cellStyle name="集計 2 9 4 2 2 3 2 2 3" xfId="23345"/>
    <cellStyle name="集計 2 9 4 2 2 3 2 3" xfId="23346"/>
    <cellStyle name="集計 2 9 4 2 2 3 2 3 2" xfId="23347"/>
    <cellStyle name="集計 2 9 4 2 2 3 2 3 3" xfId="23348"/>
    <cellStyle name="集計 2 9 4 2 2 3 2 4" xfId="23349"/>
    <cellStyle name="集計 2 9 4 2 2 3 2 4 2" xfId="23350"/>
    <cellStyle name="集計 2 9 4 2 2 3 2 4 3" xfId="23351"/>
    <cellStyle name="集計 2 9 4 2 2 3 2 5" xfId="23352"/>
    <cellStyle name="集計 2 9 4 2 2 3 2 6" xfId="23353"/>
    <cellStyle name="集計 2 9 4 2 2 3 3" xfId="23354"/>
    <cellStyle name="集計 2 9 4 2 2 3 3 2" xfId="23355"/>
    <cellStyle name="集計 2 9 4 2 2 3 3 3" xfId="23356"/>
    <cellStyle name="集計 2 9 4 2 2 3 4" xfId="23357"/>
    <cellStyle name="集計 2 9 4 2 2 3 4 2" xfId="23358"/>
    <cellStyle name="集計 2 9 4 2 2 3 4 3" xfId="23359"/>
    <cellStyle name="集計 2 9 4 2 2 3 5" xfId="23360"/>
    <cellStyle name="集計 2 9 4 2 2 3 5 2" xfId="23361"/>
    <cellStyle name="集計 2 9 4 2 2 3 5 3" xfId="23362"/>
    <cellStyle name="集計 2 9 4 2 2 3 6" xfId="23363"/>
    <cellStyle name="集計 2 9 4 2 2 3 7" xfId="23364"/>
    <cellStyle name="集計 2 9 4 2 2 4" xfId="23365"/>
    <cellStyle name="集計 2 9 4 2 2 4 2" xfId="23366"/>
    <cellStyle name="集計 2 9 4 2 2 4 2 2" xfId="23367"/>
    <cellStyle name="集計 2 9 4 2 2 4 2 3" xfId="23368"/>
    <cellStyle name="集計 2 9 4 2 2 4 3" xfId="23369"/>
    <cellStyle name="集計 2 9 4 2 2 4 3 2" xfId="23370"/>
    <cellStyle name="集計 2 9 4 2 2 4 3 3" xfId="23371"/>
    <cellStyle name="集計 2 9 4 2 2 4 4" xfId="23372"/>
    <cellStyle name="集計 2 9 4 2 2 4 4 2" xfId="23373"/>
    <cellStyle name="集計 2 9 4 2 2 4 4 3" xfId="23374"/>
    <cellStyle name="集計 2 9 4 2 2 4 5" xfId="23375"/>
    <cellStyle name="集計 2 9 4 2 2 4 6" xfId="23376"/>
    <cellStyle name="集計 2 9 4 2 2 5" xfId="23377"/>
    <cellStyle name="集計 2 9 4 2 2 5 2" xfId="23378"/>
    <cellStyle name="集計 2 9 4 2 2 5 3" xfId="23379"/>
    <cellStyle name="集計 2 9 4 2 2 6" xfId="23380"/>
    <cellStyle name="集計 2 9 4 2 2 6 2" xfId="23381"/>
    <cellStyle name="集計 2 9 4 2 2 6 3" xfId="23382"/>
    <cellStyle name="集計 2 9 4 2 2 7" xfId="23383"/>
    <cellStyle name="集計 2 9 4 2 2 7 2" xfId="23384"/>
    <cellStyle name="集計 2 9 4 2 2 7 3" xfId="23385"/>
    <cellStyle name="集計 2 9 4 2 2 8" xfId="23386"/>
    <cellStyle name="集計 2 9 4 2 2 9" xfId="23387"/>
    <cellStyle name="集計 2 9 4 2 3" xfId="23388"/>
    <cellStyle name="集計 2 9 4 2 3 2" xfId="23389"/>
    <cellStyle name="集計 2 9 4 2 3 2 2" xfId="23390"/>
    <cellStyle name="集計 2 9 4 2 3 2 2 2" xfId="23391"/>
    <cellStyle name="集計 2 9 4 2 3 2 2 3" xfId="23392"/>
    <cellStyle name="集計 2 9 4 2 3 2 3" xfId="23393"/>
    <cellStyle name="集計 2 9 4 2 3 2 3 2" xfId="23394"/>
    <cellStyle name="集計 2 9 4 2 3 2 3 3" xfId="23395"/>
    <cellStyle name="集計 2 9 4 2 3 2 4" xfId="23396"/>
    <cellStyle name="集計 2 9 4 2 3 2 4 2" xfId="23397"/>
    <cellStyle name="集計 2 9 4 2 3 2 4 3" xfId="23398"/>
    <cellStyle name="集計 2 9 4 2 3 2 5" xfId="23399"/>
    <cellStyle name="集計 2 9 4 2 3 2 6" xfId="23400"/>
    <cellStyle name="集計 2 9 4 2 3 3" xfId="23401"/>
    <cellStyle name="集計 2 9 4 2 3 3 2" xfId="23402"/>
    <cellStyle name="集計 2 9 4 2 3 3 3" xfId="23403"/>
    <cellStyle name="集計 2 9 4 2 3 4" xfId="23404"/>
    <cellStyle name="集計 2 9 4 2 3 4 2" xfId="23405"/>
    <cellStyle name="集計 2 9 4 2 3 4 3" xfId="23406"/>
    <cellStyle name="集計 2 9 4 2 3 5" xfId="23407"/>
    <cellStyle name="集計 2 9 4 2 3 5 2" xfId="23408"/>
    <cellStyle name="集計 2 9 4 2 3 5 3" xfId="23409"/>
    <cellStyle name="集計 2 9 4 2 3 6" xfId="23410"/>
    <cellStyle name="集計 2 9 4 2 3 7" xfId="23411"/>
    <cellStyle name="集計 2 9 4 2 4" xfId="23412"/>
    <cellStyle name="集計 2 9 4 2 4 2" xfId="23413"/>
    <cellStyle name="集計 2 9 4 2 4 2 2" xfId="23414"/>
    <cellStyle name="集計 2 9 4 2 4 2 2 2" xfId="23415"/>
    <cellStyle name="集計 2 9 4 2 4 2 2 3" xfId="23416"/>
    <cellStyle name="集計 2 9 4 2 4 2 3" xfId="23417"/>
    <cellStyle name="集計 2 9 4 2 4 2 3 2" xfId="23418"/>
    <cellStyle name="集計 2 9 4 2 4 2 3 3" xfId="23419"/>
    <cellStyle name="集計 2 9 4 2 4 2 4" xfId="23420"/>
    <cellStyle name="集計 2 9 4 2 4 2 4 2" xfId="23421"/>
    <cellStyle name="集計 2 9 4 2 4 2 4 3" xfId="23422"/>
    <cellStyle name="集計 2 9 4 2 4 2 5" xfId="23423"/>
    <cellStyle name="集計 2 9 4 2 4 2 6" xfId="23424"/>
    <cellStyle name="集計 2 9 4 2 4 3" xfId="23425"/>
    <cellStyle name="集計 2 9 4 2 4 3 2" xfId="23426"/>
    <cellStyle name="集計 2 9 4 2 4 3 3" xfId="23427"/>
    <cellStyle name="集計 2 9 4 2 4 4" xfId="23428"/>
    <cellStyle name="集計 2 9 4 2 4 4 2" xfId="23429"/>
    <cellStyle name="集計 2 9 4 2 4 4 3" xfId="23430"/>
    <cellStyle name="集計 2 9 4 2 4 5" xfId="23431"/>
    <cellStyle name="集計 2 9 4 2 4 5 2" xfId="23432"/>
    <cellStyle name="集計 2 9 4 2 4 5 3" xfId="23433"/>
    <cellStyle name="集計 2 9 4 2 4 6" xfId="23434"/>
    <cellStyle name="集計 2 9 4 2 4 7" xfId="23435"/>
    <cellStyle name="集計 2 9 4 2 5" xfId="23436"/>
    <cellStyle name="集計 2 9 4 2 5 2" xfId="23437"/>
    <cellStyle name="集計 2 9 4 2 5 2 2" xfId="23438"/>
    <cellStyle name="集計 2 9 4 2 5 2 3" xfId="23439"/>
    <cellStyle name="集計 2 9 4 2 5 3" xfId="23440"/>
    <cellStyle name="集計 2 9 4 2 5 3 2" xfId="23441"/>
    <cellStyle name="集計 2 9 4 2 5 3 3" xfId="23442"/>
    <cellStyle name="集計 2 9 4 2 5 4" xfId="23443"/>
    <cellStyle name="集計 2 9 4 2 5 4 2" xfId="23444"/>
    <cellStyle name="集計 2 9 4 2 5 4 3" xfId="23445"/>
    <cellStyle name="集計 2 9 4 2 5 5" xfId="23446"/>
    <cellStyle name="集計 2 9 4 2 5 6" xfId="23447"/>
    <cellStyle name="集計 2 9 4 2 6" xfId="23448"/>
    <cellStyle name="集計 2 9 4 2 6 2" xfId="23449"/>
    <cellStyle name="集計 2 9 4 2 6 3" xfId="23450"/>
    <cellStyle name="集計 2 9 4 2 7" xfId="23451"/>
    <cellStyle name="集計 2 9 4 2 7 2" xfId="23452"/>
    <cellStyle name="集計 2 9 4 2 7 3" xfId="23453"/>
    <cellStyle name="集計 2 9 4 2 8" xfId="23454"/>
    <cellStyle name="集計 2 9 4 2 8 2" xfId="23455"/>
    <cellStyle name="集計 2 9 4 2 8 3" xfId="23456"/>
    <cellStyle name="集計 2 9 4 2 9" xfId="23457"/>
    <cellStyle name="集計 2 9 4 3" xfId="23458"/>
    <cellStyle name="集計 2 9 4 3 2" xfId="23459"/>
    <cellStyle name="集計 2 9 4 3 2 2" xfId="23460"/>
    <cellStyle name="集計 2 9 4 3 2 2 2" xfId="23461"/>
    <cellStyle name="集計 2 9 4 3 2 2 3" xfId="23462"/>
    <cellStyle name="集計 2 9 4 3 2 3" xfId="23463"/>
    <cellStyle name="集計 2 9 4 3 2 3 2" xfId="23464"/>
    <cellStyle name="集計 2 9 4 3 2 3 3" xfId="23465"/>
    <cellStyle name="集計 2 9 4 3 2 4" xfId="23466"/>
    <cellStyle name="集計 2 9 4 3 2 4 2" xfId="23467"/>
    <cellStyle name="集計 2 9 4 3 2 4 3" xfId="23468"/>
    <cellStyle name="集計 2 9 4 3 2 5" xfId="23469"/>
    <cellStyle name="集計 2 9 4 3 2 6" xfId="23470"/>
    <cellStyle name="集計 2 9 4 3 3" xfId="23471"/>
    <cellStyle name="集計 2 9 4 3 3 2" xfId="23472"/>
    <cellStyle name="集計 2 9 4 3 3 3" xfId="23473"/>
    <cellStyle name="集計 2 9 4 3 4" xfId="23474"/>
    <cellStyle name="集計 2 9 4 3 4 2" xfId="23475"/>
    <cellStyle name="集計 2 9 4 3 4 3" xfId="23476"/>
    <cellStyle name="集計 2 9 4 3 5" xfId="23477"/>
    <cellStyle name="集計 2 9 4 3 5 2" xfId="23478"/>
    <cellStyle name="集計 2 9 4 3 5 3" xfId="23479"/>
    <cellStyle name="集計 2 9 4 3 6" xfId="23480"/>
    <cellStyle name="集計 2 9 4 3 7" xfId="23481"/>
    <cellStyle name="集計 2 9 4 4" xfId="23482"/>
    <cellStyle name="集計 2 9 4 4 2" xfId="23483"/>
    <cellStyle name="集計 2 9 4 4 2 2" xfId="23484"/>
    <cellStyle name="集計 2 9 4 4 2 2 2" xfId="23485"/>
    <cellStyle name="集計 2 9 4 4 2 2 3" xfId="23486"/>
    <cellStyle name="集計 2 9 4 4 2 3" xfId="23487"/>
    <cellStyle name="集計 2 9 4 4 2 3 2" xfId="23488"/>
    <cellStyle name="集計 2 9 4 4 2 3 3" xfId="23489"/>
    <cellStyle name="集計 2 9 4 4 2 4" xfId="23490"/>
    <cellStyle name="集計 2 9 4 4 2 4 2" xfId="23491"/>
    <cellStyle name="集計 2 9 4 4 2 4 3" xfId="23492"/>
    <cellStyle name="集計 2 9 4 4 2 5" xfId="23493"/>
    <cellStyle name="集計 2 9 4 4 2 6" xfId="23494"/>
    <cellStyle name="集計 2 9 4 4 3" xfId="23495"/>
    <cellStyle name="集計 2 9 4 4 3 2" xfId="23496"/>
    <cellStyle name="集計 2 9 4 4 3 3" xfId="23497"/>
    <cellStyle name="集計 2 9 4 4 4" xfId="23498"/>
    <cellStyle name="集計 2 9 4 4 4 2" xfId="23499"/>
    <cellStyle name="集計 2 9 4 4 4 3" xfId="23500"/>
    <cellStyle name="集計 2 9 4 4 5" xfId="23501"/>
    <cellStyle name="集計 2 9 4 4 5 2" xfId="23502"/>
    <cellStyle name="集計 2 9 4 4 5 3" xfId="23503"/>
    <cellStyle name="集計 2 9 4 4 6" xfId="23504"/>
    <cellStyle name="集計 2 9 4 4 7" xfId="23505"/>
    <cellStyle name="集計 2 9 4 5" xfId="23506"/>
    <cellStyle name="集計 2 9 4 5 2" xfId="23507"/>
    <cellStyle name="集計 2 9 4 5 2 2" xfId="23508"/>
    <cellStyle name="集計 2 9 4 5 2 3" xfId="23509"/>
    <cellStyle name="集計 2 9 4 5 3" xfId="23510"/>
    <cellStyle name="集計 2 9 4 5 3 2" xfId="23511"/>
    <cellStyle name="集計 2 9 4 5 3 3" xfId="23512"/>
    <cellStyle name="集計 2 9 4 5 4" xfId="23513"/>
    <cellStyle name="集計 2 9 4 5 4 2" xfId="23514"/>
    <cellStyle name="集計 2 9 4 5 4 3" xfId="23515"/>
    <cellStyle name="集計 2 9 4 5 5" xfId="23516"/>
    <cellStyle name="集計 2 9 4 5 6" xfId="23517"/>
    <cellStyle name="集計 2 9 4 6" xfId="23518"/>
    <cellStyle name="集計 2 9 4 6 2" xfId="23519"/>
    <cellStyle name="集計 2 9 4 6 3" xfId="23520"/>
    <cellStyle name="集計 2 9 4 7" xfId="23521"/>
    <cellStyle name="集計 2 9 4 7 2" xfId="23522"/>
    <cellStyle name="集計 2 9 4 7 3" xfId="23523"/>
    <cellStyle name="集計 2 9 4 8" xfId="23524"/>
    <cellStyle name="集計 2 9 4 8 2" xfId="23525"/>
    <cellStyle name="集計 2 9 4 8 3" xfId="23526"/>
    <cellStyle name="集計 2 9 4 9" xfId="23527"/>
    <cellStyle name="集計 2 9 5" xfId="23528"/>
    <cellStyle name="集計 2 9 5 10" xfId="23529"/>
    <cellStyle name="集計 2 9 5 2" xfId="23530"/>
    <cellStyle name="集計 2 9 5 2 2" xfId="23531"/>
    <cellStyle name="集計 2 9 5 2 2 2" xfId="23532"/>
    <cellStyle name="集計 2 9 5 2 2 2 2" xfId="23533"/>
    <cellStyle name="集計 2 9 5 2 2 2 2 2" xfId="23534"/>
    <cellStyle name="集計 2 9 5 2 2 2 2 3" xfId="23535"/>
    <cellStyle name="集計 2 9 5 2 2 2 3" xfId="23536"/>
    <cellStyle name="集計 2 9 5 2 2 2 3 2" xfId="23537"/>
    <cellStyle name="集計 2 9 5 2 2 2 3 3" xfId="23538"/>
    <cellStyle name="集計 2 9 5 2 2 2 4" xfId="23539"/>
    <cellStyle name="集計 2 9 5 2 2 2 4 2" xfId="23540"/>
    <cellStyle name="集計 2 9 5 2 2 2 4 3" xfId="23541"/>
    <cellStyle name="集計 2 9 5 2 2 2 5" xfId="23542"/>
    <cellStyle name="集計 2 9 5 2 2 2 6" xfId="23543"/>
    <cellStyle name="集計 2 9 5 2 2 3" xfId="23544"/>
    <cellStyle name="集計 2 9 5 2 2 3 2" xfId="23545"/>
    <cellStyle name="集計 2 9 5 2 2 3 3" xfId="23546"/>
    <cellStyle name="集計 2 9 5 2 2 4" xfId="23547"/>
    <cellStyle name="集計 2 9 5 2 2 4 2" xfId="23548"/>
    <cellStyle name="集計 2 9 5 2 2 4 3" xfId="23549"/>
    <cellStyle name="集計 2 9 5 2 2 5" xfId="23550"/>
    <cellStyle name="集計 2 9 5 2 2 5 2" xfId="23551"/>
    <cellStyle name="集計 2 9 5 2 2 5 3" xfId="23552"/>
    <cellStyle name="集計 2 9 5 2 2 6" xfId="23553"/>
    <cellStyle name="集計 2 9 5 2 2 7" xfId="23554"/>
    <cellStyle name="集計 2 9 5 2 3" xfId="23555"/>
    <cellStyle name="集計 2 9 5 2 3 2" xfId="23556"/>
    <cellStyle name="集計 2 9 5 2 3 2 2" xfId="23557"/>
    <cellStyle name="集計 2 9 5 2 3 2 2 2" xfId="23558"/>
    <cellStyle name="集計 2 9 5 2 3 2 2 3" xfId="23559"/>
    <cellStyle name="集計 2 9 5 2 3 2 3" xfId="23560"/>
    <cellStyle name="集計 2 9 5 2 3 2 3 2" xfId="23561"/>
    <cellStyle name="集計 2 9 5 2 3 2 3 3" xfId="23562"/>
    <cellStyle name="集計 2 9 5 2 3 2 4" xfId="23563"/>
    <cellStyle name="集計 2 9 5 2 3 2 4 2" xfId="23564"/>
    <cellStyle name="集計 2 9 5 2 3 2 4 3" xfId="23565"/>
    <cellStyle name="集計 2 9 5 2 3 2 5" xfId="23566"/>
    <cellStyle name="集計 2 9 5 2 3 2 6" xfId="23567"/>
    <cellStyle name="集計 2 9 5 2 3 3" xfId="23568"/>
    <cellStyle name="集計 2 9 5 2 3 3 2" xfId="23569"/>
    <cellStyle name="集計 2 9 5 2 3 3 3" xfId="23570"/>
    <cellStyle name="集計 2 9 5 2 3 4" xfId="23571"/>
    <cellStyle name="集計 2 9 5 2 3 4 2" xfId="23572"/>
    <cellStyle name="集計 2 9 5 2 3 4 3" xfId="23573"/>
    <cellStyle name="集計 2 9 5 2 3 5" xfId="23574"/>
    <cellStyle name="集計 2 9 5 2 3 5 2" xfId="23575"/>
    <cellStyle name="集計 2 9 5 2 3 5 3" xfId="23576"/>
    <cellStyle name="集計 2 9 5 2 3 6" xfId="23577"/>
    <cellStyle name="集計 2 9 5 2 3 7" xfId="23578"/>
    <cellStyle name="集計 2 9 5 2 4" xfId="23579"/>
    <cellStyle name="集計 2 9 5 2 4 2" xfId="23580"/>
    <cellStyle name="集計 2 9 5 2 4 2 2" xfId="23581"/>
    <cellStyle name="集計 2 9 5 2 4 2 3" xfId="23582"/>
    <cellStyle name="集計 2 9 5 2 4 3" xfId="23583"/>
    <cellStyle name="集計 2 9 5 2 4 3 2" xfId="23584"/>
    <cellStyle name="集計 2 9 5 2 4 3 3" xfId="23585"/>
    <cellStyle name="集計 2 9 5 2 4 4" xfId="23586"/>
    <cellStyle name="集計 2 9 5 2 4 4 2" xfId="23587"/>
    <cellStyle name="集計 2 9 5 2 4 4 3" xfId="23588"/>
    <cellStyle name="集計 2 9 5 2 4 5" xfId="23589"/>
    <cellStyle name="集計 2 9 5 2 4 6" xfId="23590"/>
    <cellStyle name="集計 2 9 5 2 5" xfId="23591"/>
    <cellStyle name="集計 2 9 5 2 5 2" xfId="23592"/>
    <cellStyle name="集計 2 9 5 2 5 3" xfId="23593"/>
    <cellStyle name="集計 2 9 5 2 6" xfId="23594"/>
    <cellStyle name="集計 2 9 5 2 6 2" xfId="23595"/>
    <cellStyle name="集計 2 9 5 2 6 3" xfId="23596"/>
    <cellStyle name="集計 2 9 5 2 7" xfId="23597"/>
    <cellStyle name="集計 2 9 5 2 7 2" xfId="23598"/>
    <cellStyle name="集計 2 9 5 2 7 3" xfId="23599"/>
    <cellStyle name="集計 2 9 5 2 8" xfId="23600"/>
    <cellStyle name="集計 2 9 5 2 9" xfId="23601"/>
    <cellStyle name="集計 2 9 5 3" xfId="23602"/>
    <cellStyle name="集計 2 9 5 3 2" xfId="23603"/>
    <cellStyle name="集計 2 9 5 3 2 2" xfId="23604"/>
    <cellStyle name="集計 2 9 5 3 2 2 2" xfId="23605"/>
    <cellStyle name="集計 2 9 5 3 2 2 3" xfId="23606"/>
    <cellStyle name="集計 2 9 5 3 2 3" xfId="23607"/>
    <cellStyle name="集計 2 9 5 3 2 3 2" xfId="23608"/>
    <cellStyle name="集計 2 9 5 3 2 3 3" xfId="23609"/>
    <cellStyle name="集計 2 9 5 3 2 4" xfId="23610"/>
    <cellStyle name="集計 2 9 5 3 2 4 2" xfId="23611"/>
    <cellStyle name="集計 2 9 5 3 2 4 3" xfId="23612"/>
    <cellStyle name="集計 2 9 5 3 2 5" xfId="23613"/>
    <cellStyle name="集計 2 9 5 3 2 6" xfId="23614"/>
    <cellStyle name="集計 2 9 5 3 3" xfId="23615"/>
    <cellStyle name="集計 2 9 5 3 3 2" xfId="23616"/>
    <cellStyle name="集計 2 9 5 3 3 3" xfId="23617"/>
    <cellStyle name="集計 2 9 5 3 4" xfId="23618"/>
    <cellStyle name="集計 2 9 5 3 4 2" xfId="23619"/>
    <cellStyle name="集計 2 9 5 3 4 3" xfId="23620"/>
    <cellStyle name="集計 2 9 5 3 5" xfId="23621"/>
    <cellStyle name="集計 2 9 5 3 5 2" xfId="23622"/>
    <cellStyle name="集計 2 9 5 3 5 3" xfId="23623"/>
    <cellStyle name="集計 2 9 5 3 6" xfId="23624"/>
    <cellStyle name="集計 2 9 5 3 7" xfId="23625"/>
    <cellStyle name="集計 2 9 5 4" xfId="23626"/>
    <cellStyle name="集計 2 9 5 4 2" xfId="23627"/>
    <cellStyle name="集計 2 9 5 4 2 2" xfId="23628"/>
    <cellStyle name="集計 2 9 5 4 2 2 2" xfId="23629"/>
    <cellStyle name="集計 2 9 5 4 2 2 3" xfId="23630"/>
    <cellStyle name="集計 2 9 5 4 2 3" xfId="23631"/>
    <cellStyle name="集計 2 9 5 4 2 3 2" xfId="23632"/>
    <cellStyle name="集計 2 9 5 4 2 3 3" xfId="23633"/>
    <cellStyle name="集計 2 9 5 4 2 4" xfId="23634"/>
    <cellStyle name="集計 2 9 5 4 2 4 2" xfId="23635"/>
    <cellStyle name="集計 2 9 5 4 2 4 3" xfId="23636"/>
    <cellStyle name="集計 2 9 5 4 2 5" xfId="23637"/>
    <cellStyle name="集計 2 9 5 4 2 6" xfId="23638"/>
    <cellStyle name="集計 2 9 5 4 3" xfId="23639"/>
    <cellStyle name="集計 2 9 5 4 3 2" xfId="23640"/>
    <cellStyle name="集計 2 9 5 4 3 3" xfId="23641"/>
    <cellStyle name="集計 2 9 5 4 4" xfId="23642"/>
    <cellStyle name="集計 2 9 5 4 4 2" xfId="23643"/>
    <cellStyle name="集計 2 9 5 4 4 3" xfId="23644"/>
    <cellStyle name="集計 2 9 5 4 5" xfId="23645"/>
    <cellStyle name="集計 2 9 5 4 5 2" xfId="23646"/>
    <cellStyle name="集計 2 9 5 4 5 3" xfId="23647"/>
    <cellStyle name="集計 2 9 5 4 6" xfId="23648"/>
    <cellStyle name="集計 2 9 5 4 7" xfId="23649"/>
    <cellStyle name="集計 2 9 5 5" xfId="23650"/>
    <cellStyle name="集計 2 9 5 5 2" xfId="23651"/>
    <cellStyle name="集計 2 9 5 5 2 2" xfId="23652"/>
    <cellStyle name="集計 2 9 5 5 2 3" xfId="23653"/>
    <cellStyle name="集計 2 9 5 5 3" xfId="23654"/>
    <cellStyle name="集計 2 9 5 5 3 2" xfId="23655"/>
    <cellStyle name="集計 2 9 5 5 3 3" xfId="23656"/>
    <cellStyle name="集計 2 9 5 5 4" xfId="23657"/>
    <cellStyle name="集計 2 9 5 5 4 2" xfId="23658"/>
    <cellStyle name="集計 2 9 5 5 4 3" xfId="23659"/>
    <cellStyle name="集計 2 9 5 5 5" xfId="23660"/>
    <cellStyle name="集計 2 9 5 5 6" xfId="23661"/>
    <cellStyle name="集計 2 9 5 6" xfId="23662"/>
    <cellStyle name="集計 2 9 5 6 2" xfId="23663"/>
    <cellStyle name="集計 2 9 5 6 3" xfId="23664"/>
    <cellStyle name="集計 2 9 5 7" xfId="23665"/>
    <cellStyle name="集計 2 9 5 7 2" xfId="23666"/>
    <cellStyle name="集計 2 9 5 7 3" xfId="23667"/>
    <cellStyle name="集計 2 9 5 8" xfId="23668"/>
    <cellStyle name="集計 2 9 5 8 2" xfId="23669"/>
    <cellStyle name="集計 2 9 5 8 3" xfId="23670"/>
    <cellStyle name="集計 2 9 5 9" xfId="23671"/>
    <cellStyle name="集計 2 9 6" xfId="23672"/>
    <cellStyle name="集計 2 9 6 10" xfId="23673"/>
    <cellStyle name="集計 2 9 6 2" xfId="23674"/>
    <cellStyle name="集計 2 9 6 2 2" xfId="23675"/>
    <cellStyle name="集計 2 9 6 2 2 2" xfId="23676"/>
    <cellStyle name="集計 2 9 6 2 2 2 2" xfId="23677"/>
    <cellStyle name="集計 2 9 6 2 2 2 2 2" xfId="23678"/>
    <cellStyle name="集計 2 9 6 2 2 2 2 3" xfId="23679"/>
    <cellStyle name="集計 2 9 6 2 2 2 3" xfId="23680"/>
    <cellStyle name="集計 2 9 6 2 2 2 3 2" xfId="23681"/>
    <cellStyle name="集計 2 9 6 2 2 2 3 3" xfId="23682"/>
    <cellStyle name="集計 2 9 6 2 2 2 4" xfId="23683"/>
    <cellStyle name="集計 2 9 6 2 2 2 4 2" xfId="23684"/>
    <cellStyle name="集計 2 9 6 2 2 2 4 3" xfId="23685"/>
    <cellStyle name="集計 2 9 6 2 2 2 5" xfId="23686"/>
    <cellStyle name="集計 2 9 6 2 2 2 6" xfId="23687"/>
    <cellStyle name="集計 2 9 6 2 2 3" xfId="23688"/>
    <cellStyle name="集計 2 9 6 2 2 3 2" xfId="23689"/>
    <cellStyle name="集計 2 9 6 2 2 3 3" xfId="23690"/>
    <cellStyle name="集計 2 9 6 2 2 4" xfId="23691"/>
    <cellStyle name="集計 2 9 6 2 2 4 2" xfId="23692"/>
    <cellStyle name="集計 2 9 6 2 2 4 3" xfId="23693"/>
    <cellStyle name="集計 2 9 6 2 2 5" xfId="23694"/>
    <cellStyle name="集計 2 9 6 2 2 5 2" xfId="23695"/>
    <cellStyle name="集計 2 9 6 2 2 5 3" xfId="23696"/>
    <cellStyle name="集計 2 9 6 2 2 6" xfId="23697"/>
    <cellStyle name="集計 2 9 6 2 2 7" xfId="23698"/>
    <cellStyle name="集計 2 9 6 2 3" xfId="23699"/>
    <cellStyle name="集計 2 9 6 2 3 2" xfId="23700"/>
    <cellStyle name="集計 2 9 6 2 3 2 2" xfId="23701"/>
    <cellStyle name="集計 2 9 6 2 3 2 2 2" xfId="23702"/>
    <cellStyle name="集計 2 9 6 2 3 2 2 3" xfId="23703"/>
    <cellStyle name="集計 2 9 6 2 3 2 3" xfId="23704"/>
    <cellStyle name="集計 2 9 6 2 3 2 3 2" xfId="23705"/>
    <cellStyle name="集計 2 9 6 2 3 2 3 3" xfId="23706"/>
    <cellStyle name="集計 2 9 6 2 3 2 4" xfId="23707"/>
    <cellStyle name="集計 2 9 6 2 3 2 4 2" xfId="23708"/>
    <cellStyle name="集計 2 9 6 2 3 2 4 3" xfId="23709"/>
    <cellStyle name="集計 2 9 6 2 3 2 5" xfId="23710"/>
    <cellStyle name="集計 2 9 6 2 3 2 6" xfId="23711"/>
    <cellStyle name="集計 2 9 6 2 3 3" xfId="23712"/>
    <cellStyle name="集計 2 9 6 2 3 3 2" xfId="23713"/>
    <cellStyle name="集計 2 9 6 2 3 3 3" xfId="23714"/>
    <cellStyle name="集計 2 9 6 2 3 4" xfId="23715"/>
    <cellStyle name="集計 2 9 6 2 3 4 2" xfId="23716"/>
    <cellStyle name="集計 2 9 6 2 3 4 3" xfId="23717"/>
    <cellStyle name="集計 2 9 6 2 3 5" xfId="23718"/>
    <cellStyle name="集計 2 9 6 2 3 5 2" xfId="23719"/>
    <cellStyle name="集計 2 9 6 2 3 5 3" xfId="23720"/>
    <cellStyle name="集計 2 9 6 2 3 6" xfId="23721"/>
    <cellStyle name="集計 2 9 6 2 3 7" xfId="23722"/>
    <cellStyle name="集計 2 9 6 2 4" xfId="23723"/>
    <cellStyle name="集計 2 9 6 2 4 2" xfId="23724"/>
    <cellStyle name="集計 2 9 6 2 4 2 2" xfId="23725"/>
    <cellStyle name="集計 2 9 6 2 4 2 3" xfId="23726"/>
    <cellStyle name="集計 2 9 6 2 4 3" xfId="23727"/>
    <cellStyle name="集計 2 9 6 2 4 3 2" xfId="23728"/>
    <cellStyle name="集計 2 9 6 2 4 3 3" xfId="23729"/>
    <cellStyle name="集計 2 9 6 2 4 4" xfId="23730"/>
    <cellStyle name="集計 2 9 6 2 4 4 2" xfId="23731"/>
    <cellStyle name="集計 2 9 6 2 4 4 3" xfId="23732"/>
    <cellStyle name="集計 2 9 6 2 4 5" xfId="23733"/>
    <cellStyle name="集計 2 9 6 2 4 6" xfId="23734"/>
    <cellStyle name="集計 2 9 6 2 5" xfId="23735"/>
    <cellStyle name="集計 2 9 6 2 5 2" xfId="23736"/>
    <cellStyle name="集計 2 9 6 2 5 3" xfId="23737"/>
    <cellStyle name="集計 2 9 6 2 6" xfId="23738"/>
    <cellStyle name="集計 2 9 6 2 6 2" xfId="23739"/>
    <cellStyle name="集計 2 9 6 2 6 3" xfId="23740"/>
    <cellStyle name="集計 2 9 6 2 7" xfId="23741"/>
    <cellStyle name="集計 2 9 6 2 7 2" xfId="23742"/>
    <cellStyle name="集計 2 9 6 2 7 3" xfId="23743"/>
    <cellStyle name="集計 2 9 6 2 8" xfId="23744"/>
    <cellStyle name="集計 2 9 6 2 9" xfId="23745"/>
    <cellStyle name="集計 2 9 6 3" xfId="23746"/>
    <cellStyle name="集計 2 9 6 3 2" xfId="23747"/>
    <cellStyle name="集計 2 9 6 3 2 2" xfId="23748"/>
    <cellStyle name="集計 2 9 6 3 2 2 2" xfId="23749"/>
    <cellStyle name="集計 2 9 6 3 2 2 3" xfId="23750"/>
    <cellStyle name="集計 2 9 6 3 2 3" xfId="23751"/>
    <cellStyle name="集計 2 9 6 3 2 3 2" xfId="23752"/>
    <cellStyle name="集計 2 9 6 3 2 3 3" xfId="23753"/>
    <cellStyle name="集計 2 9 6 3 2 4" xfId="23754"/>
    <cellStyle name="集計 2 9 6 3 2 4 2" xfId="23755"/>
    <cellStyle name="集計 2 9 6 3 2 4 3" xfId="23756"/>
    <cellStyle name="集計 2 9 6 3 2 5" xfId="23757"/>
    <cellStyle name="集計 2 9 6 3 2 6" xfId="23758"/>
    <cellStyle name="集計 2 9 6 3 3" xfId="23759"/>
    <cellStyle name="集計 2 9 6 3 3 2" xfId="23760"/>
    <cellStyle name="集計 2 9 6 3 3 3" xfId="23761"/>
    <cellStyle name="集計 2 9 6 3 4" xfId="23762"/>
    <cellStyle name="集計 2 9 6 3 4 2" xfId="23763"/>
    <cellStyle name="集計 2 9 6 3 4 3" xfId="23764"/>
    <cellStyle name="集計 2 9 6 3 5" xfId="23765"/>
    <cellStyle name="集計 2 9 6 3 5 2" xfId="23766"/>
    <cellStyle name="集計 2 9 6 3 5 3" xfId="23767"/>
    <cellStyle name="集計 2 9 6 3 6" xfId="23768"/>
    <cellStyle name="集計 2 9 6 3 7" xfId="23769"/>
    <cellStyle name="集計 2 9 6 4" xfId="23770"/>
    <cellStyle name="集計 2 9 6 4 2" xfId="23771"/>
    <cellStyle name="集計 2 9 6 4 2 2" xfId="23772"/>
    <cellStyle name="集計 2 9 6 4 2 2 2" xfId="23773"/>
    <cellStyle name="集計 2 9 6 4 2 2 3" xfId="23774"/>
    <cellStyle name="集計 2 9 6 4 2 3" xfId="23775"/>
    <cellStyle name="集計 2 9 6 4 2 3 2" xfId="23776"/>
    <cellStyle name="集計 2 9 6 4 2 3 3" xfId="23777"/>
    <cellStyle name="集計 2 9 6 4 2 4" xfId="23778"/>
    <cellStyle name="集計 2 9 6 4 2 4 2" xfId="23779"/>
    <cellStyle name="集計 2 9 6 4 2 4 3" xfId="23780"/>
    <cellStyle name="集計 2 9 6 4 2 5" xfId="23781"/>
    <cellStyle name="集計 2 9 6 4 2 6" xfId="23782"/>
    <cellStyle name="集計 2 9 6 4 3" xfId="23783"/>
    <cellStyle name="集計 2 9 6 4 3 2" xfId="23784"/>
    <cellStyle name="集計 2 9 6 4 3 3" xfId="23785"/>
    <cellStyle name="集計 2 9 6 4 4" xfId="23786"/>
    <cellStyle name="集計 2 9 6 4 4 2" xfId="23787"/>
    <cellStyle name="集計 2 9 6 4 4 3" xfId="23788"/>
    <cellStyle name="集計 2 9 6 4 5" xfId="23789"/>
    <cellStyle name="集計 2 9 6 4 5 2" xfId="23790"/>
    <cellStyle name="集計 2 9 6 4 5 3" xfId="23791"/>
    <cellStyle name="集計 2 9 6 4 6" xfId="23792"/>
    <cellStyle name="集計 2 9 6 4 7" xfId="23793"/>
    <cellStyle name="集計 2 9 6 5" xfId="23794"/>
    <cellStyle name="集計 2 9 6 5 2" xfId="23795"/>
    <cellStyle name="集計 2 9 6 5 2 2" xfId="23796"/>
    <cellStyle name="集計 2 9 6 5 2 3" xfId="23797"/>
    <cellStyle name="集計 2 9 6 5 3" xfId="23798"/>
    <cellStyle name="集計 2 9 6 5 3 2" xfId="23799"/>
    <cellStyle name="集計 2 9 6 5 3 3" xfId="23800"/>
    <cellStyle name="集計 2 9 6 5 4" xfId="23801"/>
    <cellStyle name="集計 2 9 6 5 4 2" xfId="23802"/>
    <cellStyle name="集計 2 9 6 5 4 3" xfId="23803"/>
    <cellStyle name="集計 2 9 6 5 5" xfId="23804"/>
    <cellStyle name="集計 2 9 6 5 6" xfId="23805"/>
    <cellStyle name="集計 2 9 6 6" xfId="23806"/>
    <cellStyle name="集計 2 9 6 6 2" xfId="23807"/>
    <cellStyle name="集計 2 9 6 6 3" xfId="23808"/>
    <cellStyle name="集計 2 9 6 7" xfId="23809"/>
    <cellStyle name="集計 2 9 6 7 2" xfId="23810"/>
    <cellStyle name="集計 2 9 6 7 3" xfId="23811"/>
    <cellStyle name="集計 2 9 6 8" xfId="23812"/>
    <cellStyle name="集計 2 9 6 8 2" xfId="23813"/>
    <cellStyle name="集計 2 9 6 8 3" xfId="23814"/>
    <cellStyle name="集計 2 9 6 9" xfId="23815"/>
    <cellStyle name="集計 2 9 7" xfId="23816"/>
    <cellStyle name="集計 2 9 7 2" xfId="23817"/>
    <cellStyle name="集計 2 9 7 2 2" xfId="23818"/>
    <cellStyle name="集計 2 9 7 2 2 2" xfId="23819"/>
    <cellStyle name="集計 2 9 7 2 2 3" xfId="23820"/>
    <cellStyle name="集計 2 9 7 2 3" xfId="23821"/>
    <cellStyle name="集計 2 9 7 2 3 2" xfId="23822"/>
    <cellStyle name="集計 2 9 7 2 3 3" xfId="23823"/>
    <cellStyle name="集計 2 9 7 2 4" xfId="23824"/>
    <cellStyle name="集計 2 9 7 2 4 2" xfId="23825"/>
    <cellStyle name="集計 2 9 7 2 4 3" xfId="23826"/>
    <cellStyle name="集計 2 9 7 2 5" xfId="23827"/>
    <cellStyle name="集計 2 9 7 2 6" xfId="23828"/>
    <cellStyle name="集計 2 9 7 3" xfId="23829"/>
    <cellStyle name="集計 2 9 7 3 2" xfId="23830"/>
    <cellStyle name="集計 2 9 7 3 3" xfId="23831"/>
    <cellStyle name="集計 2 9 7 4" xfId="23832"/>
    <cellStyle name="集計 2 9 7 4 2" xfId="23833"/>
    <cellStyle name="集計 2 9 7 4 3" xfId="23834"/>
    <cellStyle name="集計 2 9 7 5" xfId="23835"/>
    <cellStyle name="集計 2 9 7 5 2" xfId="23836"/>
    <cellStyle name="集計 2 9 7 5 3" xfId="23837"/>
    <cellStyle name="集計 2 9 7 6" xfId="23838"/>
    <cellStyle name="集計 2 9 7 7" xfId="23839"/>
    <cellStyle name="集計 2 9 8" xfId="23840"/>
    <cellStyle name="集計 2 9 8 2" xfId="23841"/>
    <cellStyle name="集計 2 9 8 2 2" xfId="23842"/>
    <cellStyle name="集計 2 9 8 2 2 2" xfId="23843"/>
    <cellStyle name="集計 2 9 8 2 2 3" xfId="23844"/>
    <cellStyle name="集計 2 9 8 2 3" xfId="23845"/>
    <cellStyle name="集計 2 9 8 2 3 2" xfId="23846"/>
    <cellStyle name="集計 2 9 8 2 3 3" xfId="23847"/>
    <cellStyle name="集計 2 9 8 2 4" xfId="23848"/>
    <cellStyle name="集計 2 9 8 2 4 2" xfId="23849"/>
    <cellStyle name="集計 2 9 8 2 4 3" xfId="23850"/>
    <cellStyle name="集計 2 9 8 2 5" xfId="23851"/>
    <cellStyle name="集計 2 9 8 2 6" xfId="23852"/>
    <cellStyle name="集計 2 9 8 3" xfId="23853"/>
    <cellStyle name="集計 2 9 8 3 2" xfId="23854"/>
    <cellStyle name="集計 2 9 8 3 3" xfId="23855"/>
    <cellStyle name="集計 2 9 8 4" xfId="23856"/>
    <cellStyle name="集計 2 9 8 4 2" xfId="23857"/>
    <cellStyle name="集計 2 9 8 4 3" xfId="23858"/>
    <cellStyle name="集計 2 9 8 5" xfId="23859"/>
    <cellStyle name="集計 2 9 8 5 2" xfId="23860"/>
    <cellStyle name="集計 2 9 8 5 3" xfId="23861"/>
    <cellStyle name="集計 2 9 8 6" xfId="23862"/>
    <cellStyle name="集計 2 9 8 7" xfId="23863"/>
    <cellStyle name="集計 2 9 9" xfId="23864"/>
    <cellStyle name="集計 2 9 9 2" xfId="23865"/>
    <cellStyle name="集計 2 9 9 2 2" xfId="23866"/>
    <cellStyle name="集計 2 9 9 2 3" xfId="23867"/>
    <cellStyle name="集計 2 9 9 3" xfId="23868"/>
    <cellStyle name="集計 2 9 9 3 2" xfId="23869"/>
    <cellStyle name="集計 2 9 9 3 3" xfId="23870"/>
    <cellStyle name="集計 2 9 9 4" xfId="23871"/>
    <cellStyle name="集計 2 9 9 4 2" xfId="23872"/>
    <cellStyle name="集計 2 9 9 4 3" xfId="23873"/>
    <cellStyle name="集計 2 9 9 5" xfId="23874"/>
    <cellStyle name="集計 2 9 9 6" xfId="23875"/>
    <cellStyle name="集計 20" xfId="23876"/>
    <cellStyle name="集計 20 10" xfId="23877"/>
    <cellStyle name="集計 20 10 2" xfId="23878"/>
    <cellStyle name="集計 20 10 3" xfId="23879"/>
    <cellStyle name="集計 20 11" xfId="23880"/>
    <cellStyle name="集計 20 11 2" xfId="23881"/>
    <cellStyle name="集計 20 11 3" xfId="23882"/>
    <cellStyle name="集計 20 12" xfId="23883"/>
    <cellStyle name="集計 20 12 2" xfId="23884"/>
    <cellStyle name="集計 20 12 3" xfId="23885"/>
    <cellStyle name="集計 20 13" xfId="23886"/>
    <cellStyle name="集計 20 14" xfId="23887"/>
    <cellStyle name="集計 20 2" xfId="23888"/>
    <cellStyle name="集計 20 2 10" xfId="23889"/>
    <cellStyle name="集計 20 2 2" xfId="23890"/>
    <cellStyle name="集計 20 2 2 10" xfId="23891"/>
    <cellStyle name="集計 20 2 2 2" xfId="23892"/>
    <cellStyle name="集計 20 2 2 2 2" xfId="23893"/>
    <cellStyle name="集計 20 2 2 2 2 2" xfId="23894"/>
    <cellStyle name="集計 20 2 2 2 2 2 2" xfId="23895"/>
    <cellStyle name="集計 20 2 2 2 2 2 2 2" xfId="23896"/>
    <cellStyle name="集計 20 2 2 2 2 2 2 3" xfId="23897"/>
    <cellStyle name="集計 20 2 2 2 2 2 3" xfId="23898"/>
    <cellStyle name="集計 20 2 2 2 2 2 3 2" xfId="23899"/>
    <cellStyle name="集計 20 2 2 2 2 2 3 3" xfId="23900"/>
    <cellStyle name="集計 20 2 2 2 2 2 4" xfId="23901"/>
    <cellStyle name="集計 20 2 2 2 2 2 4 2" xfId="23902"/>
    <cellStyle name="集計 20 2 2 2 2 2 4 3" xfId="23903"/>
    <cellStyle name="集計 20 2 2 2 2 2 5" xfId="23904"/>
    <cellStyle name="集計 20 2 2 2 2 2 6" xfId="23905"/>
    <cellStyle name="集計 20 2 2 2 2 3" xfId="23906"/>
    <cellStyle name="集計 20 2 2 2 2 3 2" xfId="23907"/>
    <cellStyle name="集計 20 2 2 2 2 3 3" xfId="23908"/>
    <cellStyle name="集計 20 2 2 2 2 4" xfId="23909"/>
    <cellStyle name="集計 20 2 2 2 2 4 2" xfId="23910"/>
    <cellStyle name="集計 20 2 2 2 2 4 3" xfId="23911"/>
    <cellStyle name="集計 20 2 2 2 2 5" xfId="23912"/>
    <cellStyle name="集計 20 2 2 2 2 5 2" xfId="23913"/>
    <cellStyle name="集計 20 2 2 2 2 5 3" xfId="23914"/>
    <cellStyle name="集計 20 2 2 2 2 6" xfId="23915"/>
    <cellStyle name="集計 20 2 2 2 2 7" xfId="23916"/>
    <cellStyle name="集計 20 2 2 2 3" xfId="23917"/>
    <cellStyle name="集計 20 2 2 2 3 2" xfId="23918"/>
    <cellStyle name="集計 20 2 2 2 3 2 2" xfId="23919"/>
    <cellStyle name="集計 20 2 2 2 3 2 2 2" xfId="23920"/>
    <cellStyle name="集計 20 2 2 2 3 2 2 3" xfId="23921"/>
    <cellStyle name="集計 20 2 2 2 3 2 3" xfId="23922"/>
    <cellStyle name="集計 20 2 2 2 3 2 3 2" xfId="23923"/>
    <cellStyle name="集計 20 2 2 2 3 2 3 3" xfId="23924"/>
    <cellStyle name="集計 20 2 2 2 3 2 4" xfId="23925"/>
    <cellStyle name="集計 20 2 2 2 3 2 4 2" xfId="23926"/>
    <cellStyle name="集計 20 2 2 2 3 2 4 3" xfId="23927"/>
    <cellStyle name="集計 20 2 2 2 3 2 5" xfId="23928"/>
    <cellStyle name="集計 20 2 2 2 3 2 6" xfId="23929"/>
    <cellStyle name="集計 20 2 2 2 3 3" xfId="23930"/>
    <cellStyle name="集計 20 2 2 2 3 3 2" xfId="23931"/>
    <cellStyle name="集計 20 2 2 2 3 3 3" xfId="23932"/>
    <cellStyle name="集計 20 2 2 2 3 4" xfId="23933"/>
    <cellStyle name="集計 20 2 2 2 3 4 2" xfId="23934"/>
    <cellStyle name="集計 20 2 2 2 3 4 3" xfId="23935"/>
    <cellStyle name="集計 20 2 2 2 3 5" xfId="23936"/>
    <cellStyle name="集計 20 2 2 2 3 5 2" xfId="23937"/>
    <cellStyle name="集計 20 2 2 2 3 5 3" xfId="23938"/>
    <cellStyle name="集計 20 2 2 2 3 6" xfId="23939"/>
    <cellStyle name="集計 20 2 2 2 3 7" xfId="23940"/>
    <cellStyle name="集計 20 2 2 2 4" xfId="23941"/>
    <cellStyle name="集計 20 2 2 2 4 2" xfId="23942"/>
    <cellStyle name="集計 20 2 2 2 4 2 2" xfId="23943"/>
    <cellStyle name="集計 20 2 2 2 4 2 3" xfId="23944"/>
    <cellStyle name="集計 20 2 2 2 4 3" xfId="23945"/>
    <cellStyle name="集計 20 2 2 2 4 3 2" xfId="23946"/>
    <cellStyle name="集計 20 2 2 2 4 3 3" xfId="23947"/>
    <cellStyle name="集計 20 2 2 2 4 4" xfId="23948"/>
    <cellStyle name="集計 20 2 2 2 4 4 2" xfId="23949"/>
    <cellStyle name="集計 20 2 2 2 4 4 3" xfId="23950"/>
    <cellStyle name="集計 20 2 2 2 4 5" xfId="23951"/>
    <cellStyle name="集計 20 2 2 2 4 6" xfId="23952"/>
    <cellStyle name="集計 20 2 2 2 5" xfId="23953"/>
    <cellStyle name="集計 20 2 2 2 5 2" xfId="23954"/>
    <cellStyle name="集計 20 2 2 2 5 3" xfId="23955"/>
    <cellStyle name="集計 20 2 2 2 6" xfId="23956"/>
    <cellStyle name="集計 20 2 2 2 6 2" xfId="23957"/>
    <cellStyle name="集計 20 2 2 2 6 3" xfId="23958"/>
    <cellStyle name="集計 20 2 2 2 7" xfId="23959"/>
    <cellStyle name="集計 20 2 2 2 7 2" xfId="23960"/>
    <cellStyle name="集計 20 2 2 2 7 3" xfId="23961"/>
    <cellStyle name="集計 20 2 2 2 8" xfId="23962"/>
    <cellStyle name="集計 20 2 2 2 9" xfId="23963"/>
    <cellStyle name="集計 20 2 2 3" xfId="23964"/>
    <cellStyle name="集計 20 2 2 3 2" xfId="23965"/>
    <cellStyle name="集計 20 2 2 3 2 2" xfId="23966"/>
    <cellStyle name="集計 20 2 2 3 2 2 2" xfId="23967"/>
    <cellStyle name="集計 20 2 2 3 2 2 3" xfId="23968"/>
    <cellStyle name="集計 20 2 2 3 2 3" xfId="23969"/>
    <cellStyle name="集計 20 2 2 3 2 3 2" xfId="23970"/>
    <cellStyle name="集計 20 2 2 3 2 3 3" xfId="23971"/>
    <cellStyle name="集計 20 2 2 3 2 4" xfId="23972"/>
    <cellStyle name="集計 20 2 2 3 2 4 2" xfId="23973"/>
    <cellStyle name="集計 20 2 2 3 2 4 3" xfId="23974"/>
    <cellStyle name="集計 20 2 2 3 2 5" xfId="23975"/>
    <cellStyle name="集計 20 2 2 3 2 6" xfId="23976"/>
    <cellStyle name="集計 20 2 2 3 3" xfId="23977"/>
    <cellStyle name="集計 20 2 2 3 3 2" xfId="23978"/>
    <cellStyle name="集計 20 2 2 3 3 3" xfId="23979"/>
    <cellStyle name="集計 20 2 2 3 4" xfId="23980"/>
    <cellStyle name="集計 20 2 2 3 4 2" xfId="23981"/>
    <cellStyle name="集計 20 2 2 3 4 3" xfId="23982"/>
    <cellStyle name="集計 20 2 2 3 5" xfId="23983"/>
    <cellStyle name="集計 20 2 2 3 5 2" xfId="23984"/>
    <cellStyle name="集計 20 2 2 3 5 3" xfId="23985"/>
    <cellStyle name="集計 20 2 2 3 6" xfId="23986"/>
    <cellStyle name="集計 20 2 2 3 7" xfId="23987"/>
    <cellStyle name="集計 20 2 2 4" xfId="23988"/>
    <cellStyle name="集計 20 2 2 4 2" xfId="23989"/>
    <cellStyle name="集計 20 2 2 4 2 2" xfId="23990"/>
    <cellStyle name="集計 20 2 2 4 2 2 2" xfId="23991"/>
    <cellStyle name="集計 20 2 2 4 2 2 3" xfId="23992"/>
    <cellStyle name="集計 20 2 2 4 2 3" xfId="23993"/>
    <cellStyle name="集計 20 2 2 4 2 3 2" xfId="23994"/>
    <cellStyle name="集計 20 2 2 4 2 3 3" xfId="23995"/>
    <cellStyle name="集計 20 2 2 4 2 4" xfId="23996"/>
    <cellStyle name="集計 20 2 2 4 2 4 2" xfId="23997"/>
    <cellStyle name="集計 20 2 2 4 2 4 3" xfId="23998"/>
    <cellStyle name="集計 20 2 2 4 2 5" xfId="23999"/>
    <cellStyle name="集計 20 2 2 4 2 6" xfId="24000"/>
    <cellStyle name="集計 20 2 2 4 3" xfId="24001"/>
    <cellStyle name="集計 20 2 2 4 3 2" xfId="24002"/>
    <cellStyle name="集計 20 2 2 4 3 3" xfId="24003"/>
    <cellStyle name="集計 20 2 2 4 4" xfId="24004"/>
    <cellStyle name="集計 20 2 2 4 4 2" xfId="24005"/>
    <cellStyle name="集計 20 2 2 4 4 3" xfId="24006"/>
    <cellStyle name="集計 20 2 2 4 5" xfId="24007"/>
    <cellStyle name="集計 20 2 2 4 5 2" xfId="24008"/>
    <cellStyle name="集計 20 2 2 4 5 3" xfId="24009"/>
    <cellStyle name="集計 20 2 2 4 6" xfId="24010"/>
    <cellStyle name="集計 20 2 2 4 7" xfId="24011"/>
    <cellStyle name="集計 20 2 2 5" xfId="24012"/>
    <cellStyle name="集計 20 2 2 5 2" xfId="24013"/>
    <cellStyle name="集計 20 2 2 5 2 2" xfId="24014"/>
    <cellStyle name="集計 20 2 2 5 2 3" xfId="24015"/>
    <cellStyle name="集計 20 2 2 5 3" xfId="24016"/>
    <cellStyle name="集計 20 2 2 5 3 2" xfId="24017"/>
    <cellStyle name="集計 20 2 2 5 3 3" xfId="24018"/>
    <cellStyle name="集計 20 2 2 5 4" xfId="24019"/>
    <cellStyle name="集計 20 2 2 5 4 2" xfId="24020"/>
    <cellStyle name="集計 20 2 2 5 4 3" xfId="24021"/>
    <cellStyle name="集計 20 2 2 5 5" xfId="24022"/>
    <cellStyle name="集計 20 2 2 5 6" xfId="24023"/>
    <cellStyle name="集計 20 2 2 6" xfId="24024"/>
    <cellStyle name="集計 20 2 2 6 2" xfId="24025"/>
    <cellStyle name="集計 20 2 2 6 3" xfId="24026"/>
    <cellStyle name="集計 20 2 2 7" xfId="24027"/>
    <cellStyle name="集計 20 2 2 7 2" xfId="24028"/>
    <cellStyle name="集計 20 2 2 7 3" xfId="24029"/>
    <cellStyle name="集計 20 2 2 8" xfId="24030"/>
    <cellStyle name="集計 20 2 2 8 2" xfId="24031"/>
    <cellStyle name="集計 20 2 2 8 3" xfId="24032"/>
    <cellStyle name="集計 20 2 2 9" xfId="24033"/>
    <cellStyle name="集計 20 2 3" xfId="24034"/>
    <cellStyle name="集計 20 2 3 2" xfId="24035"/>
    <cellStyle name="集計 20 2 3 2 2" xfId="24036"/>
    <cellStyle name="集計 20 2 3 2 2 2" xfId="24037"/>
    <cellStyle name="集計 20 2 3 2 2 3" xfId="24038"/>
    <cellStyle name="集計 20 2 3 2 3" xfId="24039"/>
    <cellStyle name="集計 20 2 3 2 3 2" xfId="24040"/>
    <cellStyle name="集計 20 2 3 2 3 3" xfId="24041"/>
    <cellStyle name="集計 20 2 3 2 4" xfId="24042"/>
    <cellStyle name="集計 20 2 3 2 4 2" xfId="24043"/>
    <cellStyle name="集計 20 2 3 2 4 3" xfId="24044"/>
    <cellStyle name="集計 20 2 3 2 5" xfId="24045"/>
    <cellStyle name="集計 20 2 3 2 6" xfId="24046"/>
    <cellStyle name="集計 20 2 3 3" xfId="24047"/>
    <cellStyle name="集計 20 2 3 3 2" xfId="24048"/>
    <cellStyle name="集計 20 2 3 3 3" xfId="24049"/>
    <cellStyle name="集計 20 2 3 4" xfId="24050"/>
    <cellStyle name="集計 20 2 3 4 2" xfId="24051"/>
    <cellStyle name="集計 20 2 3 4 3" xfId="24052"/>
    <cellStyle name="集計 20 2 3 5" xfId="24053"/>
    <cellStyle name="集計 20 2 3 5 2" xfId="24054"/>
    <cellStyle name="集計 20 2 3 5 3" xfId="24055"/>
    <cellStyle name="集計 20 2 3 6" xfId="24056"/>
    <cellStyle name="集計 20 2 3 7" xfId="24057"/>
    <cellStyle name="集計 20 2 4" xfId="24058"/>
    <cellStyle name="集計 20 2 4 2" xfId="24059"/>
    <cellStyle name="集計 20 2 4 2 2" xfId="24060"/>
    <cellStyle name="集計 20 2 4 2 2 2" xfId="24061"/>
    <cellStyle name="集計 20 2 4 2 2 3" xfId="24062"/>
    <cellStyle name="集計 20 2 4 2 3" xfId="24063"/>
    <cellStyle name="集計 20 2 4 2 3 2" xfId="24064"/>
    <cellStyle name="集計 20 2 4 2 3 3" xfId="24065"/>
    <cellStyle name="集計 20 2 4 2 4" xfId="24066"/>
    <cellStyle name="集計 20 2 4 2 4 2" xfId="24067"/>
    <cellStyle name="集計 20 2 4 2 4 3" xfId="24068"/>
    <cellStyle name="集計 20 2 4 2 5" xfId="24069"/>
    <cellStyle name="集計 20 2 4 2 6" xfId="24070"/>
    <cellStyle name="集計 20 2 4 3" xfId="24071"/>
    <cellStyle name="集計 20 2 4 3 2" xfId="24072"/>
    <cellStyle name="集計 20 2 4 3 3" xfId="24073"/>
    <cellStyle name="集計 20 2 4 4" xfId="24074"/>
    <cellStyle name="集計 20 2 4 4 2" xfId="24075"/>
    <cellStyle name="集計 20 2 4 4 3" xfId="24076"/>
    <cellStyle name="集計 20 2 4 5" xfId="24077"/>
    <cellStyle name="集計 20 2 4 5 2" xfId="24078"/>
    <cellStyle name="集計 20 2 4 5 3" xfId="24079"/>
    <cellStyle name="集計 20 2 4 6" xfId="24080"/>
    <cellStyle name="集計 20 2 4 7" xfId="24081"/>
    <cellStyle name="集計 20 2 5" xfId="24082"/>
    <cellStyle name="集計 20 2 5 2" xfId="24083"/>
    <cellStyle name="集計 20 2 5 2 2" xfId="24084"/>
    <cellStyle name="集計 20 2 5 2 3" xfId="24085"/>
    <cellStyle name="集計 20 2 5 3" xfId="24086"/>
    <cellStyle name="集計 20 2 5 3 2" xfId="24087"/>
    <cellStyle name="集計 20 2 5 3 3" xfId="24088"/>
    <cellStyle name="集計 20 2 5 4" xfId="24089"/>
    <cellStyle name="集計 20 2 5 4 2" xfId="24090"/>
    <cellStyle name="集計 20 2 5 4 3" xfId="24091"/>
    <cellStyle name="集計 20 2 5 5" xfId="24092"/>
    <cellStyle name="集計 20 2 5 6" xfId="24093"/>
    <cellStyle name="集計 20 2 6" xfId="24094"/>
    <cellStyle name="集計 20 2 6 2" xfId="24095"/>
    <cellStyle name="集計 20 2 6 3" xfId="24096"/>
    <cellStyle name="集計 20 2 7" xfId="24097"/>
    <cellStyle name="集計 20 2 7 2" xfId="24098"/>
    <cellStyle name="集計 20 2 7 3" xfId="24099"/>
    <cellStyle name="集計 20 2 8" xfId="24100"/>
    <cellStyle name="集計 20 2 8 2" xfId="24101"/>
    <cellStyle name="集計 20 2 8 3" xfId="24102"/>
    <cellStyle name="集計 20 2 9" xfId="24103"/>
    <cellStyle name="集計 20 3" xfId="24104"/>
    <cellStyle name="集計 20 3 10" xfId="24105"/>
    <cellStyle name="集計 20 3 2" xfId="24106"/>
    <cellStyle name="集計 20 3 2 10" xfId="24107"/>
    <cellStyle name="集計 20 3 2 2" xfId="24108"/>
    <cellStyle name="集計 20 3 2 2 2" xfId="24109"/>
    <cellStyle name="集計 20 3 2 2 2 2" xfId="24110"/>
    <cellStyle name="集計 20 3 2 2 2 2 2" xfId="24111"/>
    <cellStyle name="集計 20 3 2 2 2 2 2 2" xfId="24112"/>
    <cellStyle name="集計 20 3 2 2 2 2 2 3" xfId="24113"/>
    <cellStyle name="集計 20 3 2 2 2 2 3" xfId="24114"/>
    <cellStyle name="集計 20 3 2 2 2 2 3 2" xfId="24115"/>
    <cellStyle name="集計 20 3 2 2 2 2 3 3" xfId="24116"/>
    <cellStyle name="集計 20 3 2 2 2 2 4" xfId="24117"/>
    <cellStyle name="集計 20 3 2 2 2 2 4 2" xfId="24118"/>
    <cellStyle name="集計 20 3 2 2 2 2 4 3" xfId="24119"/>
    <cellStyle name="集計 20 3 2 2 2 2 5" xfId="24120"/>
    <cellStyle name="集計 20 3 2 2 2 2 6" xfId="24121"/>
    <cellStyle name="集計 20 3 2 2 2 3" xfId="24122"/>
    <cellStyle name="集計 20 3 2 2 2 3 2" xfId="24123"/>
    <cellStyle name="集計 20 3 2 2 2 3 3" xfId="24124"/>
    <cellStyle name="集計 20 3 2 2 2 4" xfId="24125"/>
    <cellStyle name="集計 20 3 2 2 2 4 2" xfId="24126"/>
    <cellStyle name="集計 20 3 2 2 2 4 3" xfId="24127"/>
    <cellStyle name="集計 20 3 2 2 2 5" xfId="24128"/>
    <cellStyle name="集計 20 3 2 2 2 5 2" xfId="24129"/>
    <cellStyle name="集計 20 3 2 2 2 5 3" xfId="24130"/>
    <cellStyle name="集計 20 3 2 2 2 6" xfId="24131"/>
    <cellStyle name="集計 20 3 2 2 2 7" xfId="24132"/>
    <cellStyle name="集計 20 3 2 2 3" xfId="24133"/>
    <cellStyle name="集計 20 3 2 2 3 2" xfId="24134"/>
    <cellStyle name="集計 20 3 2 2 3 2 2" xfId="24135"/>
    <cellStyle name="集計 20 3 2 2 3 2 2 2" xfId="24136"/>
    <cellStyle name="集計 20 3 2 2 3 2 2 3" xfId="24137"/>
    <cellStyle name="集計 20 3 2 2 3 2 3" xfId="24138"/>
    <cellStyle name="集計 20 3 2 2 3 2 3 2" xfId="24139"/>
    <cellStyle name="集計 20 3 2 2 3 2 3 3" xfId="24140"/>
    <cellStyle name="集計 20 3 2 2 3 2 4" xfId="24141"/>
    <cellStyle name="集計 20 3 2 2 3 2 4 2" xfId="24142"/>
    <cellStyle name="集計 20 3 2 2 3 2 4 3" xfId="24143"/>
    <cellStyle name="集計 20 3 2 2 3 2 5" xfId="24144"/>
    <cellStyle name="集計 20 3 2 2 3 2 6" xfId="24145"/>
    <cellStyle name="集計 20 3 2 2 3 3" xfId="24146"/>
    <cellStyle name="集計 20 3 2 2 3 3 2" xfId="24147"/>
    <cellStyle name="集計 20 3 2 2 3 3 3" xfId="24148"/>
    <cellStyle name="集計 20 3 2 2 3 4" xfId="24149"/>
    <cellStyle name="集計 20 3 2 2 3 4 2" xfId="24150"/>
    <cellStyle name="集計 20 3 2 2 3 4 3" xfId="24151"/>
    <cellStyle name="集計 20 3 2 2 3 5" xfId="24152"/>
    <cellStyle name="集計 20 3 2 2 3 5 2" xfId="24153"/>
    <cellStyle name="集計 20 3 2 2 3 5 3" xfId="24154"/>
    <cellStyle name="集計 20 3 2 2 3 6" xfId="24155"/>
    <cellStyle name="集計 20 3 2 2 3 7" xfId="24156"/>
    <cellStyle name="集計 20 3 2 2 4" xfId="24157"/>
    <cellStyle name="集計 20 3 2 2 4 2" xfId="24158"/>
    <cellStyle name="集計 20 3 2 2 4 2 2" xfId="24159"/>
    <cellStyle name="集計 20 3 2 2 4 2 3" xfId="24160"/>
    <cellStyle name="集計 20 3 2 2 4 3" xfId="24161"/>
    <cellStyle name="集計 20 3 2 2 4 3 2" xfId="24162"/>
    <cellStyle name="集計 20 3 2 2 4 3 3" xfId="24163"/>
    <cellStyle name="集計 20 3 2 2 4 4" xfId="24164"/>
    <cellStyle name="集計 20 3 2 2 4 4 2" xfId="24165"/>
    <cellStyle name="集計 20 3 2 2 4 4 3" xfId="24166"/>
    <cellStyle name="集計 20 3 2 2 4 5" xfId="24167"/>
    <cellStyle name="集計 20 3 2 2 4 6" xfId="24168"/>
    <cellStyle name="集計 20 3 2 2 5" xfId="24169"/>
    <cellStyle name="集計 20 3 2 2 5 2" xfId="24170"/>
    <cellStyle name="集計 20 3 2 2 5 3" xfId="24171"/>
    <cellStyle name="集計 20 3 2 2 6" xfId="24172"/>
    <cellStyle name="集計 20 3 2 2 6 2" xfId="24173"/>
    <cellStyle name="集計 20 3 2 2 6 3" xfId="24174"/>
    <cellStyle name="集計 20 3 2 2 7" xfId="24175"/>
    <cellStyle name="集計 20 3 2 2 7 2" xfId="24176"/>
    <cellStyle name="集計 20 3 2 2 7 3" xfId="24177"/>
    <cellStyle name="集計 20 3 2 2 8" xfId="24178"/>
    <cellStyle name="集計 20 3 2 2 9" xfId="24179"/>
    <cellStyle name="集計 20 3 2 3" xfId="24180"/>
    <cellStyle name="集計 20 3 2 3 2" xfId="24181"/>
    <cellStyle name="集計 20 3 2 3 2 2" xfId="24182"/>
    <cellStyle name="集計 20 3 2 3 2 2 2" xfId="24183"/>
    <cellStyle name="集計 20 3 2 3 2 2 3" xfId="24184"/>
    <cellStyle name="集計 20 3 2 3 2 3" xfId="24185"/>
    <cellStyle name="集計 20 3 2 3 2 3 2" xfId="24186"/>
    <cellStyle name="集計 20 3 2 3 2 3 3" xfId="24187"/>
    <cellStyle name="集計 20 3 2 3 2 4" xfId="24188"/>
    <cellStyle name="集計 20 3 2 3 2 4 2" xfId="24189"/>
    <cellStyle name="集計 20 3 2 3 2 4 3" xfId="24190"/>
    <cellStyle name="集計 20 3 2 3 2 5" xfId="24191"/>
    <cellStyle name="集計 20 3 2 3 2 6" xfId="24192"/>
    <cellStyle name="集計 20 3 2 3 3" xfId="24193"/>
    <cellStyle name="集計 20 3 2 3 3 2" xfId="24194"/>
    <cellStyle name="集計 20 3 2 3 3 3" xfId="24195"/>
    <cellStyle name="集計 20 3 2 3 4" xfId="24196"/>
    <cellStyle name="集計 20 3 2 3 4 2" xfId="24197"/>
    <cellStyle name="集計 20 3 2 3 4 3" xfId="24198"/>
    <cellStyle name="集計 20 3 2 3 5" xfId="24199"/>
    <cellStyle name="集計 20 3 2 3 5 2" xfId="24200"/>
    <cellStyle name="集計 20 3 2 3 5 3" xfId="24201"/>
    <cellStyle name="集計 20 3 2 3 6" xfId="24202"/>
    <cellStyle name="集計 20 3 2 3 7" xfId="24203"/>
    <cellStyle name="集計 20 3 2 4" xfId="24204"/>
    <cellStyle name="集計 20 3 2 4 2" xfId="24205"/>
    <cellStyle name="集計 20 3 2 4 2 2" xfId="24206"/>
    <cellStyle name="集計 20 3 2 4 2 2 2" xfId="24207"/>
    <cellStyle name="集計 20 3 2 4 2 2 3" xfId="24208"/>
    <cellStyle name="集計 20 3 2 4 2 3" xfId="24209"/>
    <cellStyle name="集計 20 3 2 4 2 3 2" xfId="24210"/>
    <cellStyle name="集計 20 3 2 4 2 3 3" xfId="24211"/>
    <cellStyle name="集計 20 3 2 4 2 4" xfId="24212"/>
    <cellStyle name="集計 20 3 2 4 2 4 2" xfId="24213"/>
    <cellStyle name="集計 20 3 2 4 2 4 3" xfId="24214"/>
    <cellStyle name="集計 20 3 2 4 2 5" xfId="24215"/>
    <cellStyle name="集計 20 3 2 4 2 6" xfId="24216"/>
    <cellStyle name="集計 20 3 2 4 3" xfId="24217"/>
    <cellStyle name="集計 20 3 2 4 3 2" xfId="24218"/>
    <cellStyle name="集計 20 3 2 4 3 3" xfId="24219"/>
    <cellStyle name="集計 20 3 2 4 4" xfId="24220"/>
    <cellStyle name="集計 20 3 2 4 4 2" xfId="24221"/>
    <cellStyle name="集計 20 3 2 4 4 3" xfId="24222"/>
    <cellStyle name="集計 20 3 2 4 5" xfId="24223"/>
    <cellStyle name="集計 20 3 2 4 5 2" xfId="24224"/>
    <cellStyle name="集計 20 3 2 4 5 3" xfId="24225"/>
    <cellStyle name="集計 20 3 2 4 6" xfId="24226"/>
    <cellStyle name="集計 20 3 2 4 7" xfId="24227"/>
    <cellStyle name="集計 20 3 2 5" xfId="24228"/>
    <cellStyle name="集計 20 3 2 5 2" xfId="24229"/>
    <cellStyle name="集計 20 3 2 5 2 2" xfId="24230"/>
    <cellStyle name="集計 20 3 2 5 2 3" xfId="24231"/>
    <cellStyle name="集計 20 3 2 5 3" xfId="24232"/>
    <cellStyle name="集計 20 3 2 5 3 2" xfId="24233"/>
    <cellStyle name="集計 20 3 2 5 3 3" xfId="24234"/>
    <cellStyle name="集計 20 3 2 5 4" xfId="24235"/>
    <cellStyle name="集計 20 3 2 5 4 2" xfId="24236"/>
    <cellStyle name="集計 20 3 2 5 4 3" xfId="24237"/>
    <cellStyle name="集計 20 3 2 5 5" xfId="24238"/>
    <cellStyle name="集計 20 3 2 5 6" xfId="24239"/>
    <cellStyle name="集計 20 3 2 6" xfId="24240"/>
    <cellStyle name="集計 20 3 2 6 2" xfId="24241"/>
    <cellStyle name="集計 20 3 2 6 3" xfId="24242"/>
    <cellStyle name="集計 20 3 2 7" xfId="24243"/>
    <cellStyle name="集計 20 3 2 7 2" xfId="24244"/>
    <cellStyle name="集計 20 3 2 7 3" xfId="24245"/>
    <cellStyle name="集計 20 3 2 8" xfId="24246"/>
    <cellStyle name="集計 20 3 2 8 2" xfId="24247"/>
    <cellStyle name="集計 20 3 2 8 3" xfId="24248"/>
    <cellStyle name="集計 20 3 2 9" xfId="24249"/>
    <cellStyle name="集計 20 3 3" xfId="24250"/>
    <cellStyle name="集計 20 3 3 2" xfId="24251"/>
    <cellStyle name="集計 20 3 3 2 2" xfId="24252"/>
    <cellStyle name="集計 20 3 3 2 2 2" xfId="24253"/>
    <cellStyle name="集計 20 3 3 2 2 3" xfId="24254"/>
    <cellStyle name="集計 20 3 3 2 3" xfId="24255"/>
    <cellStyle name="集計 20 3 3 2 3 2" xfId="24256"/>
    <cellStyle name="集計 20 3 3 2 3 3" xfId="24257"/>
    <cellStyle name="集計 20 3 3 2 4" xfId="24258"/>
    <cellStyle name="集計 20 3 3 2 4 2" xfId="24259"/>
    <cellStyle name="集計 20 3 3 2 4 3" xfId="24260"/>
    <cellStyle name="集計 20 3 3 2 5" xfId="24261"/>
    <cellStyle name="集計 20 3 3 2 6" xfId="24262"/>
    <cellStyle name="集計 20 3 3 3" xfId="24263"/>
    <cellStyle name="集計 20 3 3 3 2" xfId="24264"/>
    <cellStyle name="集計 20 3 3 3 3" xfId="24265"/>
    <cellStyle name="集計 20 3 3 4" xfId="24266"/>
    <cellStyle name="集計 20 3 3 4 2" xfId="24267"/>
    <cellStyle name="集計 20 3 3 4 3" xfId="24268"/>
    <cellStyle name="集計 20 3 3 5" xfId="24269"/>
    <cellStyle name="集計 20 3 3 5 2" xfId="24270"/>
    <cellStyle name="集計 20 3 3 5 3" xfId="24271"/>
    <cellStyle name="集計 20 3 3 6" xfId="24272"/>
    <cellStyle name="集計 20 3 3 7" xfId="24273"/>
    <cellStyle name="集計 20 3 4" xfId="24274"/>
    <cellStyle name="集計 20 3 4 2" xfId="24275"/>
    <cellStyle name="集計 20 3 4 2 2" xfId="24276"/>
    <cellStyle name="集計 20 3 4 2 2 2" xfId="24277"/>
    <cellStyle name="集計 20 3 4 2 2 3" xfId="24278"/>
    <cellStyle name="集計 20 3 4 2 3" xfId="24279"/>
    <cellStyle name="集計 20 3 4 2 3 2" xfId="24280"/>
    <cellStyle name="集計 20 3 4 2 3 3" xfId="24281"/>
    <cellStyle name="集計 20 3 4 2 4" xfId="24282"/>
    <cellStyle name="集計 20 3 4 2 4 2" xfId="24283"/>
    <cellStyle name="集計 20 3 4 2 4 3" xfId="24284"/>
    <cellStyle name="集計 20 3 4 2 5" xfId="24285"/>
    <cellStyle name="集計 20 3 4 2 6" xfId="24286"/>
    <cellStyle name="集計 20 3 4 3" xfId="24287"/>
    <cellStyle name="集計 20 3 4 3 2" xfId="24288"/>
    <cellStyle name="集計 20 3 4 3 3" xfId="24289"/>
    <cellStyle name="集計 20 3 4 4" xfId="24290"/>
    <cellStyle name="集計 20 3 4 4 2" xfId="24291"/>
    <cellStyle name="集計 20 3 4 4 3" xfId="24292"/>
    <cellStyle name="集計 20 3 4 5" xfId="24293"/>
    <cellStyle name="集計 20 3 4 5 2" xfId="24294"/>
    <cellStyle name="集計 20 3 4 5 3" xfId="24295"/>
    <cellStyle name="集計 20 3 4 6" xfId="24296"/>
    <cellStyle name="集計 20 3 4 7" xfId="24297"/>
    <cellStyle name="集計 20 3 5" xfId="24298"/>
    <cellStyle name="集計 20 3 5 2" xfId="24299"/>
    <cellStyle name="集計 20 3 5 2 2" xfId="24300"/>
    <cellStyle name="集計 20 3 5 2 3" xfId="24301"/>
    <cellStyle name="集計 20 3 5 3" xfId="24302"/>
    <cellStyle name="集計 20 3 5 3 2" xfId="24303"/>
    <cellStyle name="集計 20 3 5 3 3" xfId="24304"/>
    <cellStyle name="集計 20 3 5 4" xfId="24305"/>
    <cellStyle name="集計 20 3 5 4 2" xfId="24306"/>
    <cellStyle name="集計 20 3 5 4 3" xfId="24307"/>
    <cellStyle name="集計 20 3 5 5" xfId="24308"/>
    <cellStyle name="集計 20 3 5 6" xfId="24309"/>
    <cellStyle name="集計 20 3 6" xfId="24310"/>
    <cellStyle name="集計 20 3 6 2" xfId="24311"/>
    <cellStyle name="集計 20 3 6 3" xfId="24312"/>
    <cellStyle name="集計 20 3 7" xfId="24313"/>
    <cellStyle name="集計 20 3 7 2" xfId="24314"/>
    <cellStyle name="集計 20 3 7 3" xfId="24315"/>
    <cellStyle name="集計 20 3 8" xfId="24316"/>
    <cellStyle name="集計 20 3 8 2" xfId="24317"/>
    <cellStyle name="集計 20 3 8 3" xfId="24318"/>
    <cellStyle name="集計 20 3 9" xfId="24319"/>
    <cellStyle name="集計 20 4" xfId="24320"/>
    <cellStyle name="集計 20 4 10" xfId="24321"/>
    <cellStyle name="集計 20 4 2" xfId="24322"/>
    <cellStyle name="集計 20 4 2 10" xfId="24323"/>
    <cellStyle name="集計 20 4 2 2" xfId="24324"/>
    <cellStyle name="集計 20 4 2 2 2" xfId="24325"/>
    <cellStyle name="集計 20 4 2 2 2 2" xfId="24326"/>
    <cellStyle name="集計 20 4 2 2 2 2 2" xfId="24327"/>
    <cellStyle name="集計 20 4 2 2 2 2 2 2" xfId="24328"/>
    <cellStyle name="集計 20 4 2 2 2 2 2 3" xfId="24329"/>
    <cellStyle name="集計 20 4 2 2 2 2 3" xfId="24330"/>
    <cellStyle name="集計 20 4 2 2 2 2 3 2" xfId="24331"/>
    <cellStyle name="集計 20 4 2 2 2 2 3 3" xfId="24332"/>
    <cellStyle name="集計 20 4 2 2 2 2 4" xfId="24333"/>
    <cellStyle name="集計 20 4 2 2 2 2 4 2" xfId="24334"/>
    <cellStyle name="集計 20 4 2 2 2 2 4 3" xfId="24335"/>
    <cellStyle name="集計 20 4 2 2 2 2 5" xfId="24336"/>
    <cellStyle name="集計 20 4 2 2 2 2 6" xfId="24337"/>
    <cellStyle name="集計 20 4 2 2 2 3" xfId="24338"/>
    <cellStyle name="集計 20 4 2 2 2 3 2" xfId="24339"/>
    <cellStyle name="集計 20 4 2 2 2 3 3" xfId="24340"/>
    <cellStyle name="集計 20 4 2 2 2 4" xfId="24341"/>
    <cellStyle name="集計 20 4 2 2 2 4 2" xfId="24342"/>
    <cellStyle name="集計 20 4 2 2 2 4 3" xfId="24343"/>
    <cellStyle name="集計 20 4 2 2 2 5" xfId="24344"/>
    <cellStyle name="集計 20 4 2 2 2 5 2" xfId="24345"/>
    <cellStyle name="集計 20 4 2 2 2 5 3" xfId="24346"/>
    <cellStyle name="集計 20 4 2 2 2 6" xfId="24347"/>
    <cellStyle name="集計 20 4 2 2 2 7" xfId="24348"/>
    <cellStyle name="集計 20 4 2 2 3" xfId="24349"/>
    <cellStyle name="集計 20 4 2 2 3 2" xfId="24350"/>
    <cellStyle name="集計 20 4 2 2 3 2 2" xfId="24351"/>
    <cellStyle name="集計 20 4 2 2 3 2 2 2" xfId="24352"/>
    <cellStyle name="集計 20 4 2 2 3 2 2 3" xfId="24353"/>
    <cellStyle name="集計 20 4 2 2 3 2 3" xfId="24354"/>
    <cellStyle name="集計 20 4 2 2 3 2 3 2" xfId="24355"/>
    <cellStyle name="集計 20 4 2 2 3 2 3 3" xfId="24356"/>
    <cellStyle name="集計 20 4 2 2 3 2 4" xfId="24357"/>
    <cellStyle name="集計 20 4 2 2 3 2 4 2" xfId="24358"/>
    <cellStyle name="集計 20 4 2 2 3 2 4 3" xfId="24359"/>
    <cellStyle name="集計 20 4 2 2 3 2 5" xfId="24360"/>
    <cellStyle name="集計 20 4 2 2 3 2 6" xfId="24361"/>
    <cellStyle name="集計 20 4 2 2 3 3" xfId="24362"/>
    <cellStyle name="集計 20 4 2 2 3 3 2" xfId="24363"/>
    <cellStyle name="集計 20 4 2 2 3 3 3" xfId="24364"/>
    <cellStyle name="集計 20 4 2 2 3 4" xfId="24365"/>
    <cellStyle name="集計 20 4 2 2 3 4 2" xfId="24366"/>
    <cellStyle name="集計 20 4 2 2 3 4 3" xfId="24367"/>
    <cellStyle name="集計 20 4 2 2 3 5" xfId="24368"/>
    <cellStyle name="集計 20 4 2 2 3 5 2" xfId="24369"/>
    <cellStyle name="集計 20 4 2 2 3 5 3" xfId="24370"/>
    <cellStyle name="集計 20 4 2 2 3 6" xfId="24371"/>
    <cellStyle name="集計 20 4 2 2 3 7" xfId="24372"/>
    <cellStyle name="集計 20 4 2 2 4" xfId="24373"/>
    <cellStyle name="集計 20 4 2 2 4 2" xfId="24374"/>
    <cellStyle name="集計 20 4 2 2 4 2 2" xfId="24375"/>
    <cellStyle name="集計 20 4 2 2 4 2 3" xfId="24376"/>
    <cellStyle name="集計 20 4 2 2 4 3" xfId="24377"/>
    <cellStyle name="集計 20 4 2 2 4 3 2" xfId="24378"/>
    <cellStyle name="集計 20 4 2 2 4 3 3" xfId="24379"/>
    <cellStyle name="集計 20 4 2 2 4 4" xfId="24380"/>
    <cellStyle name="集計 20 4 2 2 4 4 2" xfId="24381"/>
    <cellStyle name="集計 20 4 2 2 4 4 3" xfId="24382"/>
    <cellStyle name="集計 20 4 2 2 4 5" xfId="24383"/>
    <cellStyle name="集計 20 4 2 2 4 6" xfId="24384"/>
    <cellStyle name="集計 20 4 2 2 5" xfId="24385"/>
    <cellStyle name="集計 20 4 2 2 5 2" xfId="24386"/>
    <cellStyle name="集計 20 4 2 2 5 3" xfId="24387"/>
    <cellStyle name="集計 20 4 2 2 6" xfId="24388"/>
    <cellStyle name="集計 20 4 2 2 6 2" xfId="24389"/>
    <cellStyle name="集計 20 4 2 2 6 3" xfId="24390"/>
    <cellStyle name="集計 20 4 2 2 7" xfId="24391"/>
    <cellStyle name="集計 20 4 2 2 7 2" xfId="24392"/>
    <cellStyle name="集計 20 4 2 2 7 3" xfId="24393"/>
    <cellStyle name="集計 20 4 2 2 8" xfId="24394"/>
    <cellStyle name="集計 20 4 2 2 9" xfId="24395"/>
    <cellStyle name="集計 20 4 2 3" xfId="24396"/>
    <cellStyle name="集計 20 4 2 3 2" xfId="24397"/>
    <cellStyle name="集計 20 4 2 3 2 2" xfId="24398"/>
    <cellStyle name="集計 20 4 2 3 2 2 2" xfId="24399"/>
    <cellStyle name="集計 20 4 2 3 2 2 3" xfId="24400"/>
    <cellStyle name="集計 20 4 2 3 2 3" xfId="24401"/>
    <cellStyle name="集計 20 4 2 3 2 3 2" xfId="24402"/>
    <cellStyle name="集計 20 4 2 3 2 3 3" xfId="24403"/>
    <cellStyle name="集計 20 4 2 3 2 4" xfId="24404"/>
    <cellStyle name="集計 20 4 2 3 2 4 2" xfId="24405"/>
    <cellStyle name="集計 20 4 2 3 2 4 3" xfId="24406"/>
    <cellStyle name="集計 20 4 2 3 2 5" xfId="24407"/>
    <cellStyle name="集計 20 4 2 3 2 6" xfId="24408"/>
    <cellStyle name="集計 20 4 2 3 3" xfId="24409"/>
    <cellStyle name="集計 20 4 2 3 3 2" xfId="24410"/>
    <cellStyle name="集計 20 4 2 3 3 3" xfId="24411"/>
    <cellStyle name="集計 20 4 2 3 4" xfId="24412"/>
    <cellStyle name="集計 20 4 2 3 4 2" xfId="24413"/>
    <cellStyle name="集計 20 4 2 3 4 3" xfId="24414"/>
    <cellStyle name="集計 20 4 2 3 5" xfId="24415"/>
    <cellStyle name="集計 20 4 2 3 5 2" xfId="24416"/>
    <cellStyle name="集計 20 4 2 3 5 3" xfId="24417"/>
    <cellStyle name="集計 20 4 2 3 6" xfId="24418"/>
    <cellStyle name="集計 20 4 2 3 7" xfId="24419"/>
    <cellStyle name="集計 20 4 2 4" xfId="24420"/>
    <cellStyle name="集計 20 4 2 4 2" xfId="24421"/>
    <cellStyle name="集計 20 4 2 4 2 2" xfId="24422"/>
    <cellStyle name="集計 20 4 2 4 2 2 2" xfId="24423"/>
    <cellStyle name="集計 20 4 2 4 2 2 3" xfId="24424"/>
    <cellStyle name="集計 20 4 2 4 2 3" xfId="24425"/>
    <cellStyle name="集計 20 4 2 4 2 3 2" xfId="24426"/>
    <cellStyle name="集計 20 4 2 4 2 3 3" xfId="24427"/>
    <cellStyle name="集計 20 4 2 4 2 4" xfId="24428"/>
    <cellStyle name="集計 20 4 2 4 2 4 2" xfId="24429"/>
    <cellStyle name="集計 20 4 2 4 2 4 3" xfId="24430"/>
    <cellStyle name="集計 20 4 2 4 2 5" xfId="24431"/>
    <cellStyle name="集計 20 4 2 4 2 6" xfId="24432"/>
    <cellStyle name="集計 20 4 2 4 3" xfId="24433"/>
    <cellStyle name="集計 20 4 2 4 3 2" xfId="24434"/>
    <cellStyle name="集計 20 4 2 4 3 3" xfId="24435"/>
    <cellStyle name="集計 20 4 2 4 4" xfId="24436"/>
    <cellStyle name="集計 20 4 2 4 4 2" xfId="24437"/>
    <cellStyle name="集計 20 4 2 4 4 3" xfId="24438"/>
    <cellStyle name="集計 20 4 2 4 5" xfId="24439"/>
    <cellStyle name="集計 20 4 2 4 5 2" xfId="24440"/>
    <cellStyle name="集計 20 4 2 4 5 3" xfId="24441"/>
    <cellStyle name="集計 20 4 2 4 6" xfId="24442"/>
    <cellStyle name="集計 20 4 2 4 7" xfId="24443"/>
    <cellStyle name="集計 20 4 2 5" xfId="24444"/>
    <cellStyle name="集計 20 4 2 5 2" xfId="24445"/>
    <cellStyle name="集計 20 4 2 5 2 2" xfId="24446"/>
    <cellStyle name="集計 20 4 2 5 2 3" xfId="24447"/>
    <cellStyle name="集計 20 4 2 5 3" xfId="24448"/>
    <cellStyle name="集計 20 4 2 5 3 2" xfId="24449"/>
    <cellStyle name="集計 20 4 2 5 3 3" xfId="24450"/>
    <cellStyle name="集計 20 4 2 5 4" xfId="24451"/>
    <cellStyle name="集計 20 4 2 5 4 2" xfId="24452"/>
    <cellStyle name="集計 20 4 2 5 4 3" xfId="24453"/>
    <cellStyle name="集計 20 4 2 5 5" xfId="24454"/>
    <cellStyle name="集計 20 4 2 5 6" xfId="24455"/>
    <cellStyle name="集計 20 4 2 6" xfId="24456"/>
    <cellStyle name="集計 20 4 2 6 2" xfId="24457"/>
    <cellStyle name="集計 20 4 2 6 3" xfId="24458"/>
    <cellStyle name="集計 20 4 2 7" xfId="24459"/>
    <cellStyle name="集計 20 4 2 7 2" xfId="24460"/>
    <cellStyle name="集計 20 4 2 7 3" xfId="24461"/>
    <cellStyle name="集計 20 4 2 8" xfId="24462"/>
    <cellStyle name="集計 20 4 2 8 2" xfId="24463"/>
    <cellStyle name="集計 20 4 2 8 3" xfId="24464"/>
    <cellStyle name="集計 20 4 2 9" xfId="24465"/>
    <cellStyle name="集計 20 4 3" xfId="24466"/>
    <cellStyle name="集計 20 4 3 2" xfId="24467"/>
    <cellStyle name="集計 20 4 3 2 2" xfId="24468"/>
    <cellStyle name="集計 20 4 3 2 2 2" xfId="24469"/>
    <cellStyle name="集計 20 4 3 2 2 3" xfId="24470"/>
    <cellStyle name="集計 20 4 3 2 3" xfId="24471"/>
    <cellStyle name="集計 20 4 3 2 3 2" xfId="24472"/>
    <cellStyle name="集計 20 4 3 2 3 3" xfId="24473"/>
    <cellStyle name="集計 20 4 3 2 4" xfId="24474"/>
    <cellStyle name="集計 20 4 3 2 4 2" xfId="24475"/>
    <cellStyle name="集計 20 4 3 2 4 3" xfId="24476"/>
    <cellStyle name="集計 20 4 3 2 5" xfId="24477"/>
    <cellStyle name="集計 20 4 3 2 6" xfId="24478"/>
    <cellStyle name="集計 20 4 3 3" xfId="24479"/>
    <cellStyle name="集計 20 4 3 3 2" xfId="24480"/>
    <cellStyle name="集計 20 4 3 3 3" xfId="24481"/>
    <cellStyle name="集計 20 4 3 4" xfId="24482"/>
    <cellStyle name="集計 20 4 3 4 2" xfId="24483"/>
    <cellStyle name="集計 20 4 3 4 3" xfId="24484"/>
    <cellStyle name="集計 20 4 3 5" xfId="24485"/>
    <cellStyle name="集計 20 4 3 5 2" xfId="24486"/>
    <cellStyle name="集計 20 4 3 5 3" xfId="24487"/>
    <cellStyle name="集計 20 4 3 6" xfId="24488"/>
    <cellStyle name="集計 20 4 3 7" xfId="24489"/>
    <cellStyle name="集計 20 4 4" xfId="24490"/>
    <cellStyle name="集計 20 4 4 2" xfId="24491"/>
    <cellStyle name="集計 20 4 4 2 2" xfId="24492"/>
    <cellStyle name="集計 20 4 4 2 2 2" xfId="24493"/>
    <cellStyle name="集計 20 4 4 2 2 3" xfId="24494"/>
    <cellStyle name="集計 20 4 4 2 3" xfId="24495"/>
    <cellStyle name="集計 20 4 4 2 3 2" xfId="24496"/>
    <cellStyle name="集計 20 4 4 2 3 3" xfId="24497"/>
    <cellStyle name="集計 20 4 4 2 4" xfId="24498"/>
    <cellStyle name="集計 20 4 4 2 4 2" xfId="24499"/>
    <cellStyle name="集計 20 4 4 2 4 3" xfId="24500"/>
    <cellStyle name="集計 20 4 4 2 5" xfId="24501"/>
    <cellStyle name="集計 20 4 4 2 6" xfId="24502"/>
    <cellStyle name="集計 20 4 4 3" xfId="24503"/>
    <cellStyle name="集計 20 4 4 3 2" xfId="24504"/>
    <cellStyle name="集計 20 4 4 3 3" xfId="24505"/>
    <cellStyle name="集計 20 4 4 4" xfId="24506"/>
    <cellStyle name="集計 20 4 4 4 2" xfId="24507"/>
    <cellStyle name="集計 20 4 4 4 3" xfId="24508"/>
    <cellStyle name="集計 20 4 4 5" xfId="24509"/>
    <cellStyle name="集計 20 4 4 5 2" xfId="24510"/>
    <cellStyle name="集計 20 4 4 5 3" xfId="24511"/>
    <cellStyle name="集計 20 4 4 6" xfId="24512"/>
    <cellStyle name="集計 20 4 4 7" xfId="24513"/>
    <cellStyle name="集計 20 4 5" xfId="24514"/>
    <cellStyle name="集計 20 4 5 2" xfId="24515"/>
    <cellStyle name="集計 20 4 5 2 2" xfId="24516"/>
    <cellStyle name="集計 20 4 5 2 3" xfId="24517"/>
    <cellStyle name="集計 20 4 5 3" xfId="24518"/>
    <cellStyle name="集計 20 4 5 3 2" xfId="24519"/>
    <cellStyle name="集計 20 4 5 3 3" xfId="24520"/>
    <cellStyle name="集計 20 4 5 4" xfId="24521"/>
    <cellStyle name="集計 20 4 5 4 2" xfId="24522"/>
    <cellStyle name="集計 20 4 5 4 3" xfId="24523"/>
    <cellStyle name="集計 20 4 5 5" xfId="24524"/>
    <cellStyle name="集計 20 4 5 6" xfId="24525"/>
    <cellStyle name="集計 20 4 6" xfId="24526"/>
    <cellStyle name="集計 20 4 6 2" xfId="24527"/>
    <cellStyle name="集計 20 4 6 3" xfId="24528"/>
    <cellStyle name="集計 20 4 7" xfId="24529"/>
    <cellStyle name="集計 20 4 7 2" xfId="24530"/>
    <cellStyle name="集計 20 4 7 3" xfId="24531"/>
    <cellStyle name="集計 20 4 8" xfId="24532"/>
    <cellStyle name="集計 20 4 8 2" xfId="24533"/>
    <cellStyle name="集計 20 4 8 3" xfId="24534"/>
    <cellStyle name="集計 20 4 9" xfId="24535"/>
    <cellStyle name="集計 20 5" xfId="24536"/>
    <cellStyle name="集計 20 5 10" xfId="24537"/>
    <cellStyle name="集計 20 5 2" xfId="24538"/>
    <cellStyle name="集計 20 5 2 2" xfId="24539"/>
    <cellStyle name="集計 20 5 2 2 2" xfId="24540"/>
    <cellStyle name="集計 20 5 2 2 2 2" xfId="24541"/>
    <cellStyle name="集計 20 5 2 2 2 2 2" xfId="24542"/>
    <cellStyle name="集計 20 5 2 2 2 2 3" xfId="24543"/>
    <cellStyle name="集計 20 5 2 2 2 3" xfId="24544"/>
    <cellStyle name="集計 20 5 2 2 2 3 2" xfId="24545"/>
    <cellStyle name="集計 20 5 2 2 2 3 3" xfId="24546"/>
    <cellStyle name="集計 20 5 2 2 2 4" xfId="24547"/>
    <cellStyle name="集計 20 5 2 2 2 4 2" xfId="24548"/>
    <cellStyle name="集計 20 5 2 2 2 4 3" xfId="24549"/>
    <cellStyle name="集計 20 5 2 2 2 5" xfId="24550"/>
    <cellStyle name="集計 20 5 2 2 2 6" xfId="24551"/>
    <cellStyle name="集計 20 5 2 2 3" xfId="24552"/>
    <cellStyle name="集計 20 5 2 2 3 2" xfId="24553"/>
    <cellStyle name="集計 20 5 2 2 3 3" xfId="24554"/>
    <cellStyle name="集計 20 5 2 2 4" xfId="24555"/>
    <cellStyle name="集計 20 5 2 2 4 2" xfId="24556"/>
    <cellStyle name="集計 20 5 2 2 4 3" xfId="24557"/>
    <cellStyle name="集計 20 5 2 2 5" xfId="24558"/>
    <cellStyle name="集計 20 5 2 2 5 2" xfId="24559"/>
    <cellStyle name="集計 20 5 2 2 5 3" xfId="24560"/>
    <cellStyle name="集計 20 5 2 2 6" xfId="24561"/>
    <cellStyle name="集計 20 5 2 2 7" xfId="24562"/>
    <cellStyle name="集計 20 5 2 3" xfId="24563"/>
    <cellStyle name="集計 20 5 2 3 2" xfId="24564"/>
    <cellStyle name="集計 20 5 2 3 2 2" xfId="24565"/>
    <cellStyle name="集計 20 5 2 3 2 2 2" xfId="24566"/>
    <cellStyle name="集計 20 5 2 3 2 2 3" xfId="24567"/>
    <cellStyle name="集計 20 5 2 3 2 3" xfId="24568"/>
    <cellStyle name="集計 20 5 2 3 2 3 2" xfId="24569"/>
    <cellStyle name="集計 20 5 2 3 2 3 3" xfId="24570"/>
    <cellStyle name="集計 20 5 2 3 2 4" xfId="24571"/>
    <cellStyle name="集計 20 5 2 3 2 4 2" xfId="24572"/>
    <cellStyle name="集計 20 5 2 3 2 4 3" xfId="24573"/>
    <cellStyle name="集計 20 5 2 3 2 5" xfId="24574"/>
    <cellStyle name="集計 20 5 2 3 2 6" xfId="24575"/>
    <cellStyle name="集計 20 5 2 3 3" xfId="24576"/>
    <cellStyle name="集計 20 5 2 3 3 2" xfId="24577"/>
    <cellStyle name="集計 20 5 2 3 3 3" xfId="24578"/>
    <cellStyle name="集計 20 5 2 3 4" xfId="24579"/>
    <cellStyle name="集計 20 5 2 3 4 2" xfId="24580"/>
    <cellStyle name="集計 20 5 2 3 4 3" xfId="24581"/>
    <cellStyle name="集計 20 5 2 3 5" xfId="24582"/>
    <cellStyle name="集計 20 5 2 3 5 2" xfId="24583"/>
    <cellStyle name="集計 20 5 2 3 5 3" xfId="24584"/>
    <cellStyle name="集計 20 5 2 3 6" xfId="24585"/>
    <cellStyle name="集計 20 5 2 3 7" xfId="24586"/>
    <cellStyle name="集計 20 5 2 4" xfId="24587"/>
    <cellStyle name="集計 20 5 2 4 2" xfId="24588"/>
    <cellStyle name="集計 20 5 2 4 2 2" xfId="24589"/>
    <cellStyle name="集計 20 5 2 4 2 3" xfId="24590"/>
    <cellStyle name="集計 20 5 2 4 3" xfId="24591"/>
    <cellStyle name="集計 20 5 2 4 3 2" xfId="24592"/>
    <cellStyle name="集計 20 5 2 4 3 3" xfId="24593"/>
    <cellStyle name="集計 20 5 2 4 4" xfId="24594"/>
    <cellStyle name="集計 20 5 2 4 4 2" xfId="24595"/>
    <cellStyle name="集計 20 5 2 4 4 3" xfId="24596"/>
    <cellStyle name="集計 20 5 2 4 5" xfId="24597"/>
    <cellStyle name="集計 20 5 2 4 6" xfId="24598"/>
    <cellStyle name="集計 20 5 2 5" xfId="24599"/>
    <cellStyle name="集計 20 5 2 5 2" xfId="24600"/>
    <cellStyle name="集計 20 5 2 5 3" xfId="24601"/>
    <cellStyle name="集計 20 5 2 6" xfId="24602"/>
    <cellStyle name="集計 20 5 2 6 2" xfId="24603"/>
    <cellStyle name="集計 20 5 2 6 3" xfId="24604"/>
    <cellStyle name="集計 20 5 2 7" xfId="24605"/>
    <cellStyle name="集計 20 5 2 7 2" xfId="24606"/>
    <cellStyle name="集計 20 5 2 7 3" xfId="24607"/>
    <cellStyle name="集計 20 5 2 8" xfId="24608"/>
    <cellStyle name="集計 20 5 2 9" xfId="24609"/>
    <cellStyle name="集計 20 5 3" xfId="24610"/>
    <cellStyle name="集計 20 5 3 2" xfId="24611"/>
    <cellStyle name="集計 20 5 3 2 2" xfId="24612"/>
    <cellStyle name="集計 20 5 3 2 2 2" xfId="24613"/>
    <cellStyle name="集計 20 5 3 2 2 3" xfId="24614"/>
    <cellStyle name="集計 20 5 3 2 3" xfId="24615"/>
    <cellStyle name="集計 20 5 3 2 3 2" xfId="24616"/>
    <cellStyle name="集計 20 5 3 2 3 3" xfId="24617"/>
    <cellStyle name="集計 20 5 3 2 4" xfId="24618"/>
    <cellStyle name="集計 20 5 3 2 4 2" xfId="24619"/>
    <cellStyle name="集計 20 5 3 2 4 3" xfId="24620"/>
    <cellStyle name="集計 20 5 3 2 5" xfId="24621"/>
    <cellStyle name="集計 20 5 3 2 6" xfId="24622"/>
    <cellStyle name="集計 20 5 3 3" xfId="24623"/>
    <cellStyle name="集計 20 5 3 3 2" xfId="24624"/>
    <cellStyle name="集計 20 5 3 3 3" xfId="24625"/>
    <cellStyle name="集計 20 5 3 4" xfId="24626"/>
    <cellStyle name="集計 20 5 3 4 2" xfId="24627"/>
    <cellStyle name="集計 20 5 3 4 3" xfId="24628"/>
    <cellStyle name="集計 20 5 3 5" xfId="24629"/>
    <cellStyle name="集計 20 5 3 5 2" xfId="24630"/>
    <cellStyle name="集計 20 5 3 5 3" xfId="24631"/>
    <cellStyle name="集計 20 5 3 6" xfId="24632"/>
    <cellStyle name="集計 20 5 3 7" xfId="24633"/>
    <cellStyle name="集計 20 5 4" xfId="24634"/>
    <cellStyle name="集計 20 5 4 2" xfId="24635"/>
    <cellStyle name="集計 20 5 4 2 2" xfId="24636"/>
    <cellStyle name="集計 20 5 4 2 2 2" xfId="24637"/>
    <cellStyle name="集計 20 5 4 2 2 3" xfId="24638"/>
    <cellStyle name="集計 20 5 4 2 3" xfId="24639"/>
    <cellStyle name="集計 20 5 4 2 3 2" xfId="24640"/>
    <cellStyle name="集計 20 5 4 2 3 3" xfId="24641"/>
    <cellStyle name="集計 20 5 4 2 4" xfId="24642"/>
    <cellStyle name="集計 20 5 4 2 4 2" xfId="24643"/>
    <cellStyle name="集計 20 5 4 2 4 3" xfId="24644"/>
    <cellStyle name="集計 20 5 4 2 5" xfId="24645"/>
    <cellStyle name="集計 20 5 4 2 6" xfId="24646"/>
    <cellStyle name="集計 20 5 4 3" xfId="24647"/>
    <cellStyle name="集計 20 5 4 3 2" xfId="24648"/>
    <cellStyle name="集計 20 5 4 3 3" xfId="24649"/>
    <cellStyle name="集計 20 5 4 4" xfId="24650"/>
    <cellStyle name="集計 20 5 4 4 2" xfId="24651"/>
    <cellStyle name="集計 20 5 4 4 3" xfId="24652"/>
    <cellStyle name="集計 20 5 4 5" xfId="24653"/>
    <cellStyle name="集計 20 5 4 5 2" xfId="24654"/>
    <cellStyle name="集計 20 5 4 5 3" xfId="24655"/>
    <cellStyle name="集計 20 5 4 6" xfId="24656"/>
    <cellStyle name="集計 20 5 4 7" xfId="24657"/>
    <cellStyle name="集計 20 5 5" xfId="24658"/>
    <cellStyle name="集計 20 5 5 2" xfId="24659"/>
    <cellStyle name="集計 20 5 5 2 2" xfId="24660"/>
    <cellStyle name="集計 20 5 5 2 3" xfId="24661"/>
    <cellStyle name="集計 20 5 5 3" xfId="24662"/>
    <cellStyle name="集計 20 5 5 3 2" xfId="24663"/>
    <cellStyle name="集計 20 5 5 3 3" xfId="24664"/>
    <cellStyle name="集計 20 5 5 4" xfId="24665"/>
    <cellStyle name="集計 20 5 5 4 2" xfId="24666"/>
    <cellStyle name="集計 20 5 5 4 3" xfId="24667"/>
    <cellStyle name="集計 20 5 5 5" xfId="24668"/>
    <cellStyle name="集計 20 5 5 6" xfId="24669"/>
    <cellStyle name="集計 20 5 6" xfId="24670"/>
    <cellStyle name="集計 20 5 6 2" xfId="24671"/>
    <cellStyle name="集計 20 5 6 3" xfId="24672"/>
    <cellStyle name="集計 20 5 7" xfId="24673"/>
    <cellStyle name="集計 20 5 7 2" xfId="24674"/>
    <cellStyle name="集計 20 5 7 3" xfId="24675"/>
    <cellStyle name="集計 20 5 8" xfId="24676"/>
    <cellStyle name="集計 20 5 8 2" xfId="24677"/>
    <cellStyle name="集計 20 5 8 3" xfId="24678"/>
    <cellStyle name="集計 20 5 9" xfId="24679"/>
    <cellStyle name="集計 20 6" xfId="24680"/>
    <cellStyle name="集計 20 6 10" xfId="24681"/>
    <cellStyle name="集計 20 6 2" xfId="24682"/>
    <cellStyle name="集計 20 6 2 2" xfId="24683"/>
    <cellStyle name="集計 20 6 2 2 2" xfId="24684"/>
    <cellStyle name="集計 20 6 2 2 2 2" xfId="24685"/>
    <cellStyle name="集計 20 6 2 2 2 2 2" xfId="24686"/>
    <cellStyle name="集計 20 6 2 2 2 2 3" xfId="24687"/>
    <cellStyle name="集計 20 6 2 2 2 3" xfId="24688"/>
    <cellStyle name="集計 20 6 2 2 2 3 2" xfId="24689"/>
    <cellStyle name="集計 20 6 2 2 2 3 3" xfId="24690"/>
    <cellStyle name="集計 20 6 2 2 2 4" xfId="24691"/>
    <cellStyle name="集計 20 6 2 2 2 4 2" xfId="24692"/>
    <cellStyle name="集計 20 6 2 2 2 4 3" xfId="24693"/>
    <cellStyle name="集計 20 6 2 2 2 5" xfId="24694"/>
    <cellStyle name="集計 20 6 2 2 2 6" xfId="24695"/>
    <cellStyle name="集計 20 6 2 2 3" xfId="24696"/>
    <cellStyle name="集計 20 6 2 2 3 2" xfId="24697"/>
    <cellStyle name="集計 20 6 2 2 3 3" xfId="24698"/>
    <cellStyle name="集計 20 6 2 2 4" xfId="24699"/>
    <cellStyle name="集計 20 6 2 2 4 2" xfId="24700"/>
    <cellStyle name="集計 20 6 2 2 4 3" xfId="24701"/>
    <cellStyle name="集計 20 6 2 2 5" xfId="24702"/>
    <cellStyle name="集計 20 6 2 2 5 2" xfId="24703"/>
    <cellStyle name="集計 20 6 2 2 5 3" xfId="24704"/>
    <cellStyle name="集計 20 6 2 2 6" xfId="24705"/>
    <cellStyle name="集計 20 6 2 2 7" xfId="24706"/>
    <cellStyle name="集計 20 6 2 3" xfId="24707"/>
    <cellStyle name="集計 20 6 2 3 2" xfId="24708"/>
    <cellStyle name="集計 20 6 2 3 2 2" xfId="24709"/>
    <cellStyle name="集計 20 6 2 3 2 2 2" xfId="24710"/>
    <cellStyle name="集計 20 6 2 3 2 2 3" xfId="24711"/>
    <cellStyle name="集計 20 6 2 3 2 3" xfId="24712"/>
    <cellStyle name="集計 20 6 2 3 2 3 2" xfId="24713"/>
    <cellStyle name="集計 20 6 2 3 2 3 3" xfId="24714"/>
    <cellStyle name="集計 20 6 2 3 2 4" xfId="24715"/>
    <cellStyle name="集計 20 6 2 3 2 4 2" xfId="24716"/>
    <cellStyle name="集計 20 6 2 3 2 4 3" xfId="24717"/>
    <cellStyle name="集計 20 6 2 3 2 5" xfId="24718"/>
    <cellStyle name="集計 20 6 2 3 2 6" xfId="24719"/>
    <cellStyle name="集計 20 6 2 3 3" xfId="24720"/>
    <cellStyle name="集計 20 6 2 3 3 2" xfId="24721"/>
    <cellStyle name="集計 20 6 2 3 3 3" xfId="24722"/>
    <cellStyle name="集計 20 6 2 3 4" xfId="24723"/>
    <cellStyle name="集計 20 6 2 3 4 2" xfId="24724"/>
    <cellStyle name="集計 20 6 2 3 4 3" xfId="24725"/>
    <cellStyle name="集計 20 6 2 3 5" xfId="24726"/>
    <cellStyle name="集計 20 6 2 3 5 2" xfId="24727"/>
    <cellStyle name="集計 20 6 2 3 5 3" xfId="24728"/>
    <cellStyle name="集計 20 6 2 3 6" xfId="24729"/>
    <cellStyle name="集計 20 6 2 3 7" xfId="24730"/>
    <cellStyle name="集計 20 6 2 4" xfId="24731"/>
    <cellStyle name="集計 20 6 2 4 2" xfId="24732"/>
    <cellStyle name="集計 20 6 2 4 2 2" xfId="24733"/>
    <cellStyle name="集計 20 6 2 4 2 3" xfId="24734"/>
    <cellStyle name="集計 20 6 2 4 3" xfId="24735"/>
    <cellStyle name="集計 20 6 2 4 3 2" xfId="24736"/>
    <cellStyle name="集計 20 6 2 4 3 3" xfId="24737"/>
    <cellStyle name="集計 20 6 2 4 4" xfId="24738"/>
    <cellStyle name="集計 20 6 2 4 4 2" xfId="24739"/>
    <cellStyle name="集計 20 6 2 4 4 3" xfId="24740"/>
    <cellStyle name="集計 20 6 2 4 5" xfId="24741"/>
    <cellStyle name="集計 20 6 2 4 6" xfId="24742"/>
    <cellStyle name="集計 20 6 2 5" xfId="24743"/>
    <cellStyle name="集計 20 6 2 5 2" xfId="24744"/>
    <cellStyle name="集計 20 6 2 5 3" xfId="24745"/>
    <cellStyle name="集計 20 6 2 6" xfId="24746"/>
    <cellStyle name="集計 20 6 2 6 2" xfId="24747"/>
    <cellStyle name="集計 20 6 2 6 3" xfId="24748"/>
    <cellStyle name="集計 20 6 2 7" xfId="24749"/>
    <cellStyle name="集計 20 6 2 7 2" xfId="24750"/>
    <cellStyle name="集計 20 6 2 7 3" xfId="24751"/>
    <cellStyle name="集計 20 6 2 8" xfId="24752"/>
    <cellStyle name="集計 20 6 2 9" xfId="24753"/>
    <cellStyle name="集計 20 6 3" xfId="24754"/>
    <cellStyle name="集計 20 6 3 2" xfId="24755"/>
    <cellStyle name="集計 20 6 3 2 2" xfId="24756"/>
    <cellStyle name="集計 20 6 3 2 2 2" xfId="24757"/>
    <cellStyle name="集計 20 6 3 2 2 3" xfId="24758"/>
    <cellStyle name="集計 20 6 3 2 3" xfId="24759"/>
    <cellStyle name="集計 20 6 3 2 3 2" xfId="24760"/>
    <cellStyle name="集計 20 6 3 2 3 3" xfId="24761"/>
    <cellStyle name="集計 20 6 3 2 4" xfId="24762"/>
    <cellStyle name="集計 20 6 3 2 4 2" xfId="24763"/>
    <cellStyle name="集計 20 6 3 2 4 3" xfId="24764"/>
    <cellStyle name="集計 20 6 3 2 5" xfId="24765"/>
    <cellStyle name="集計 20 6 3 2 6" xfId="24766"/>
    <cellStyle name="集計 20 6 3 3" xfId="24767"/>
    <cellStyle name="集計 20 6 3 3 2" xfId="24768"/>
    <cellStyle name="集計 20 6 3 3 3" xfId="24769"/>
    <cellStyle name="集計 20 6 3 4" xfId="24770"/>
    <cellStyle name="集計 20 6 3 4 2" xfId="24771"/>
    <cellStyle name="集計 20 6 3 4 3" xfId="24772"/>
    <cellStyle name="集計 20 6 3 5" xfId="24773"/>
    <cellStyle name="集計 20 6 3 5 2" xfId="24774"/>
    <cellStyle name="集計 20 6 3 5 3" xfId="24775"/>
    <cellStyle name="集計 20 6 3 6" xfId="24776"/>
    <cellStyle name="集計 20 6 3 7" xfId="24777"/>
    <cellStyle name="集計 20 6 4" xfId="24778"/>
    <cellStyle name="集計 20 6 4 2" xfId="24779"/>
    <cellStyle name="集計 20 6 4 2 2" xfId="24780"/>
    <cellStyle name="集計 20 6 4 2 2 2" xfId="24781"/>
    <cellStyle name="集計 20 6 4 2 2 3" xfId="24782"/>
    <cellStyle name="集計 20 6 4 2 3" xfId="24783"/>
    <cellStyle name="集計 20 6 4 2 3 2" xfId="24784"/>
    <cellStyle name="集計 20 6 4 2 3 3" xfId="24785"/>
    <cellStyle name="集計 20 6 4 2 4" xfId="24786"/>
    <cellStyle name="集計 20 6 4 2 4 2" xfId="24787"/>
    <cellStyle name="集計 20 6 4 2 4 3" xfId="24788"/>
    <cellStyle name="集計 20 6 4 2 5" xfId="24789"/>
    <cellStyle name="集計 20 6 4 2 6" xfId="24790"/>
    <cellStyle name="集計 20 6 4 3" xfId="24791"/>
    <cellStyle name="集計 20 6 4 3 2" xfId="24792"/>
    <cellStyle name="集計 20 6 4 3 3" xfId="24793"/>
    <cellStyle name="集計 20 6 4 4" xfId="24794"/>
    <cellStyle name="集計 20 6 4 4 2" xfId="24795"/>
    <cellStyle name="集計 20 6 4 4 3" xfId="24796"/>
    <cellStyle name="集計 20 6 4 5" xfId="24797"/>
    <cellStyle name="集計 20 6 4 5 2" xfId="24798"/>
    <cellStyle name="集計 20 6 4 5 3" xfId="24799"/>
    <cellStyle name="集計 20 6 4 6" xfId="24800"/>
    <cellStyle name="集計 20 6 4 7" xfId="24801"/>
    <cellStyle name="集計 20 6 5" xfId="24802"/>
    <cellStyle name="集計 20 6 5 2" xfId="24803"/>
    <cellStyle name="集計 20 6 5 2 2" xfId="24804"/>
    <cellStyle name="集計 20 6 5 2 3" xfId="24805"/>
    <cellStyle name="集計 20 6 5 3" xfId="24806"/>
    <cellStyle name="集計 20 6 5 3 2" xfId="24807"/>
    <cellStyle name="集計 20 6 5 3 3" xfId="24808"/>
    <cellStyle name="集計 20 6 5 4" xfId="24809"/>
    <cellStyle name="集計 20 6 5 4 2" xfId="24810"/>
    <cellStyle name="集計 20 6 5 4 3" xfId="24811"/>
    <cellStyle name="集計 20 6 5 5" xfId="24812"/>
    <cellStyle name="集計 20 6 5 6" xfId="24813"/>
    <cellStyle name="集計 20 6 6" xfId="24814"/>
    <cellStyle name="集計 20 6 6 2" xfId="24815"/>
    <cellStyle name="集計 20 6 6 3" xfId="24816"/>
    <cellStyle name="集計 20 6 7" xfId="24817"/>
    <cellStyle name="集計 20 6 7 2" xfId="24818"/>
    <cellStyle name="集計 20 6 7 3" xfId="24819"/>
    <cellStyle name="集計 20 6 8" xfId="24820"/>
    <cellStyle name="集計 20 6 8 2" xfId="24821"/>
    <cellStyle name="集計 20 6 8 3" xfId="24822"/>
    <cellStyle name="集計 20 6 9" xfId="24823"/>
    <cellStyle name="集計 20 7" xfId="24824"/>
    <cellStyle name="集計 20 7 2" xfId="24825"/>
    <cellStyle name="集計 20 7 2 2" xfId="24826"/>
    <cellStyle name="集計 20 7 2 2 2" xfId="24827"/>
    <cellStyle name="集計 20 7 2 2 3" xfId="24828"/>
    <cellStyle name="集計 20 7 2 3" xfId="24829"/>
    <cellStyle name="集計 20 7 2 3 2" xfId="24830"/>
    <cellStyle name="集計 20 7 2 3 3" xfId="24831"/>
    <cellStyle name="集計 20 7 2 4" xfId="24832"/>
    <cellStyle name="集計 20 7 2 4 2" xfId="24833"/>
    <cellStyle name="集計 20 7 2 4 3" xfId="24834"/>
    <cellStyle name="集計 20 7 2 5" xfId="24835"/>
    <cellStyle name="集計 20 7 2 6" xfId="24836"/>
    <cellStyle name="集計 20 7 3" xfId="24837"/>
    <cellStyle name="集計 20 7 3 2" xfId="24838"/>
    <cellStyle name="集計 20 7 3 3" xfId="24839"/>
    <cellStyle name="集計 20 7 4" xfId="24840"/>
    <cellStyle name="集計 20 7 4 2" xfId="24841"/>
    <cellStyle name="集計 20 7 4 3" xfId="24842"/>
    <cellStyle name="集計 20 7 5" xfId="24843"/>
    <cellStyle name="集計 20 7 5 2" xfId="24844"/>
    <cellStyle name="集計 20 7 5 3" xfId="24845"/>
    <cellStyle name="集計 20 7 6" xfId="24846"/>
    <cellStyle name="集計 20 7 7" xfId="24847"/>
    <cellStyle name="集計 20 8" xfId="24848"/>
    <cellStyle name="集計 20 8 2" xfId="24849"/>
    <cellStyle name="集計 20 8 2 2" xfId="24850"/>
    <cellStyle name="集計 20 8 2 2 2" xfId="24851"/>
    <cellStyle name="集計 20 8 2 2 3" xfId="24852"/>
    <cellStyle name="集計 20 8 2 3" xfId="24853"/>
    <cellStyle name="集計 20 8 2 3 2" xfId="24854"/>
    <cellStyle name="集計 20 8 2 3 3" xfId="24855"/>
    <cellStyle name="集計 20 8 2 4" xfId="24856"/>
    <cellStyle name="集計 20 8 2 4 2" xfId="24857"/>
    <cellStyle name="集計 20 8 2 4 3" xfId="24858"/>
    <cellStyle name="集計 20 8 2 5" xfId="24859"/>
    <cellStyle name="集計 20 8 2 6" xfId="24860"/>
    <cellStyle name="集計 20 8 3" xfId="24861"/>
    <cellStyle name="集計 20 8 3 2" xfId="24862"/>
    <cellStyle name="集計 20 8 3 3" xfId="24863"/>
    <cellStyle name="集計 20 8 4" xfId="24864"/>
    <cellStyle name="集計 20 8 4 2" xfId="24865"/>
    <cellStyle name="集計 20 8 4 3" xfId="24866"/>
    <cellStyle name="集計 20 8 5" xfId="24867"/>
    <cellStyle name="集計 20 8 5 2" xfId="24868"/>
    <cellStyle name="集計 20 8 5 3" xfId="24869"/>
    <cellStyle name="集計 20 8 6" xfId="24870"/>
    <cellStyle name="集計 20 8 7" xfId="24871"/>
    <cellStyle name="集計 20 9" xfId="24872"/>
    <cellStyle name="集計 20 9 2" xfId="24873"/>
    <cellStyle name="集計 20 9 2 2" xfId="24874"/>
    <cellStyle name="集計 20 9 2 3" xfId="24875"/>
    <cellStyle name="集計 20 9 3" xfId="24876"/>
    <cellStyle name="集計 20 9 3 2" xfId="24877"/>
    <cellStyle name="集計 20 9 3 3" xfId="24878"/>
    <cellStyle name="集計 20 9 4" xfId="24879"/>
    <cellStyle name="集計 20 9 4 2" xfId="24880"/>
    <cellStyle name="集計 20 9 4 3" xfId="24881"/>
    <cellStyle name="集計 20 9 5" xfId="24882"/>
    <cellStyle name="集計 20 9 6" xfId="24883"/>
    <cellStyle name="集計 21" xfId="24884"/>
    <cellStyle name="集計 21 10" xfId="24885"/>
    <cellStyle name="集計 21 10 2" xfId="24886"/>
    <cellStyle name="集計 21 10 3" xfId="24887"/>
    <cellStyle name="集計 21 11" xfId="24888"/>
    <cellStyle name="集計 21 11 2" xfId="24889"/>
    <cellStyle name="集計 21 11 3" xfId="24890"/>
    <cellStyle name="集計 21 12" xfId="24891"/>
    <cellStyle name="集計 21 12 2" xfId="24892"/>
    <cellStyle name="集計 21 12 3" xfId="24893"/>
    <cellStyle name="集計 21 13" xfId="24894"/>
    <cellStyle name="集計 21 14" xfId="24895"/>
    <cellStyle name="集計 21 2" xfId="24896"/>
    <cellStyle name="集計 21 2 10" xfId="24897"/>
    <cellStyle name="集計 21 2 2" xfId="24898"/>
    <cellStyle name="集計 21 2 2 10" xfId="24899"/>
    <cellStyle name="集計 21 2 2 2" xfId="24900"/>
    <cellStyle name="集計 21 2 2 2 2" xfId="24901"/>
    <cellStyle name="集計 21 2 2 2 2 2" xfId="24902"/>
    <cellStyle name="集計 21 2 2 2 2 2 2" xfId="24903"/>
    <cellStyle name="集計 21 2 2 2 2 2 2 2" xfId="24904"/>
    <cellStyle name="集計 21 2 2 2 2 2 2 3" xfId="24905"/>
    <cellStyle name="集計 21 2 2 2 2 2 3" xfId="24906"/>
    <cellStyle name="集計 21 2 2 2 2 2 3 2" xfId="24907"/>
    <cellStyle name="集計 21 2 2 2 2 2 3 3" xfId="24908"/>
    <cellStyle name="集計 21 2 2 2 2 2 4" xfId="24909"/>
    <cellStyle name="集計 21 2 2 2 2 2 4 2" xfId="24910"/>
    <cellStyle name="集計 21 2 2 2 2 2 4 3" xfId="24911"/>
    <cellStyle name="集計 21 2 2 2 2 2 5" xfId="24912"/>
    <cellStyle name="集計 21 2 2 2 2 2 6" xfId="24913"/>
    <cellStyle name="集計 21 2 2 2 2 3" xfId="24914"/>
    <cellStyle name="集計 21 2 2 2 2 3 2" xfId="24915"/>
    <cellStyle name="集計 21 2 2 2 2 3 3" xfId="24916"/>
    <cellStyle name="集計 21 2 2 2 2 4" xfId="24917"/>
    <cellStyle name="集計 21 2 2 2 2 4 2" xfId="24918"/>
    <cellStyle name="集計 21 2 2 2 2 4 3" xfId="24919"/>
    <cellStyle name="集計 21 2 2 2 2 5" xfId="24920"/>
    <cellStyle name="集計 21 2 2 2 2 5 2" xfId="24921"/>
    <cellStyle name="集計 21 2 2 2 2 5 3" xfId="24922"/>
    <cellStyle name="集計 21 2 2 2 2 6" xfId="24923"/>
    <cellStyle name="集計 21 2 2 2 2 7" xfId="24924"/>
    <cellStyle name="集計 21 2 2 2 3" xfId="24925"/>
    <cellStyle name="集計 21 2 2 2 3 2" xfId="24926"/>
    <cellStyle name="集計 21 2 2 2 3 2 2" xfId="24927"/>
    <cellStyle name="集計 21 2 2 2 3 2 2 2" xfId="24928"/>
    <cellStyle name="集計 21 2 2 2 3 2 2 3" xfId="24929"/>
    <cellStyle name="集計 21 2 2 2 3 2 3" xfId="24930"/>
    <cellStyle name="集計 21 2 2 2 3 2 3 2" xfId="24931"/>
    <cellStyle name="集計 21 2 2 2 3 2 3 3" xfId="24932"/>
    <cellStyle name="集計 21 2 2 2 3 2 4" xfId="24933"/>
    <cellStyle name="集計 21 2 2 2 3 2 4 2" xfId="24934"/>
    <cellStyle name="集計 21 2 2 2 3 2 4 3" xfId="24935"/>
    <cellStyle name="集計 21 2 2 2 3 2 5" xfId="24936"/>
    <cellStyle name="集計 21 2 2 2 3 2 6" xfId="24937"/>
    <cellStyle name="集計 21 2 2 2 3 3" xfId="24938"/>
    <cellStyle name="集計 21 2 2 2 3 3 2" xfId="24939"/>
    <cellStyle name="集計 21 2 2 2 3 3 3" xfId="24940"/>
    <cellStyle name="集計 21 2 2 2 3 4" xfId="24941"/>
    <cellStyle name="集計 21 2 2 2 3 4 2" xfId="24942"/>
    <cellStyle name="集計 21 2 2 2 3 4 3" xfId="24943"/>
    <cellStyle name="集計 21 2 2 2 3 5" xfId="24944"/>
    <cellStyle name="集計 21 2 2 2 3 5 2" xfId="24945"/>
    <cellStyle name="集計 21 2 2 2 3 5 3" xfId="24946"/>
    <cellStyle name="集計 21 2 2 2 3 6" xfId="24947"/>
    <cellStyle name="集計 21 2 2 2 3 7" xfId="24948"/>
    <cellStyle name="集計 21 2 2 2 4" xfId="24949"/>
    <cellStyle name="集計 21 2 2 2 4 2" xfId="24950"/>
    <cellStyle name="集計 21 2 2 2 4 2 2" xfId="24951"/>
    <cellStyle name="集計 21 2 2 2 4 2 3" xfId="24952"/>
    <cellStyle name="集計 21 2 2 2 4 3" xfId="24953"/>
    <cellStyle name="集計 21 2 2 2 4 3 2" xfId="24954"/>
    <cellStyle name="集計 21 2 2 2 4 3 3" xfId="24955"/>
    <cellStyle name="集計 21 2 2 2 4 4" xfId="24956"/>
    <cellStyle name="集計 21 2 2 2 4 4 2" xfId="24957"/>
    <cellStyle name="集計 21 2 2 2 4 4 3" xfId="24958"/>
    <cellStyle name="集計 21 2 2 2 4 5" xfId="24959"/>
    <cellStyle name="集計 21 2 2 2 4 6" xfId="24960"/>
    <cellStyle name="集計 21 2 2 2 5" xfId="24961"/>
    <cellStyle name="集計 21 2 2 2 5 2" xfId="24962"/>
    <cellStyle name="集計 21 2 2 2 5 3" xfId="24963"/>
    <cellStyle name="集計 21 2 2 2 6" xfId="24964"/>
    <cellStyle name="集計 21 2 2 2 6 2" xfId="24965"/>
    <cellStyle name="集計 21 2 2 2 6 3" xfId="24966"/>
    <cellStyle name="集計 21 2 2 2 7" xfId="24967"/>
    <cellStyle name="集計 21 2 2 2 7 2" xfId="24968"/>
    <cellStyle name="集計 21 2 2 2 7 3" xfId="24969"/>
    <cellStyle name="集計 21 2 2 2 8" xfId="24970"/>
    <cellStyle name="集計 21 2 2 2 9" xfId="24971"/>
    <cellStyle name="集計 21 2 2 3" xfId="24972"/>
    <cellStyle name="集計 21 2 2 3 2" xfId="24973"/>
    <cellStyle name="集計 21 2 2 3 2 2" xfId="24974"/>
    <cellStyle name="集計 21 2 2 3 2 2 2" xfId="24975"/>
    <cellStyle name="集計 21 2 2 3 2 2 3" xfId="24976"/>
    <cellStyle name="集計 21 2 2 3 2 3" xfId="24977"/>
    <cellStyle name="集計 21 2 2 3 2 3 2" xfId="24978"/>
    <cellStyle name="集計 21 2 2 3 2 3 3" xfId="24979"/>
    <cellStyle name="集計 21 2 2 3 2 4" xfId="24980"/>
    <cellStyle name="集計 21 2 2 3 2 4 2" xfId="24981"/>
    <cellStyle name="集計 21 2 2 3 2 4 3" xfId="24982"/>
    <cellStyle name="集計 21 2 2 3 2 5" xfId="24983"/>
    <cellStyle name="集計 21 2 2 3 2 6" xfId="24984"/>
    <cellStyle name="集計 21 2 2 3 3" xfId="24985"/>
    <cellStyle name="集計 21 2 2 3 3 2" xfId="24986"/>
    <cellStyle name="集計 21 2 2 3 3 3" xfId="24987"/>
    <cellStyle name="集計 21 2 2 3 4" xfId="24988"/>
    <cellStyle name="集計 21 2 2 3 4 2" xfId="24989"/>
    <cellStyle name="集計 21 2 2 3 4 3" xfId="24990"/>
    <cellStyle name="集計 21 2 2 3 5" xfId="24991"/>
    <cellStyle name="集計 21 2 2 3 5 2" xfId="24992"/>
    <cellStyle name="集計 21 2 2 3 5 3" xfId="24993"/>
    <cellStyle name="集計 21 2 2 3 6" xfId="24994"/>
    <cellStyle name="集計 21 2 2 3 7" xfId="24995"/>
    <cellStyle name="集計 21 2 2 4" xfId="24996"/>
    <cellStyle name="集計 21 2 2 4 2" xfId="24997"/>
    <cellStyle name="集計 21 2 2 4 2 2" xfId="24998"/>
    <cellStyle name="集計 21 2 2 4 2 2 2" xfId="24999"/>
    <cellStyle name="集計 21 2 2 4 2 2 3" xfId="25000"/>
    <cellStyle name="集計 21 2 2 4 2 3" xfId="25001"/>
    <cellStyle name="集計 21 2 2 4 2 3 2" xfId="25002"/>
    <cellStyle name="集計 21 2 2 4 2 3 3" xfId="25003"/>
    <cellStyle name="集計 21 2 2 4 2 4" xfId="25004"/>
    <cellStyle name="集計 21 2 2 4 2 4 2" xfId="25005"/>
    <cellStyle name="集計 21 2 2 4 2 4 3" xfId="25006"/>
    <cellStyle name="集計 21 2 2 4 2 5" xfId="25007"/>
    <cellStyle name="集計 21 2 2 4 2 6" xfId="25008"/>
    <cellStyle name="集計 21 2 2 4 3" xfId="25009"/>
    <cellStyle name="集計 21 2 2 4 3 2" xfId="25010"/>
    <cellStyle name="集計 21 2 2 4 3 3" xfId="25011"/>
    <cellStyle name="集計 21 2 2 4 4" xfId="25012"/>
    <cellStyle name="集計 21 2 2 4 4 2" xfId="25013"/>
    <cellStyle name="集計 21 2 2 4 4 3" xfId="25014"/>
    <cellStyle name="集計 21 2 2 4 5" xfId="25015"/>
    <cellStyle name="集計 21 2 2 4 5 2" xfId="25016"/>
    <cellStyle name="集計 21 2 2 4 5 3" xfId="25017"/>
    <cellStyle name="集計 21 2 2 4 6" xfId="25018"/>
    <cellStyle name="集計 21 2 2 4 7" xfId="25019"/>
    <cellStyle name="集計 21 2 2 5" xfId="25020"/>
    <cellStyle name="集計 21 2 2 5 2" xfId="25021"/>
    <cellStyle name="集計 21 2 2 5 2 2" xfId="25022"/>
    <cellStyle name="集計 21 2 2 5 2 3" xfId="25023"/>
    <cellStyle name="集計 21 2 2 5 3" xfId="25024"/>
    <cellStyle name="集計 21 2 2 5 3 2" xfId="25025"/>
    <cellStyle name="集計 21 2 2 5 3 3" xfId="25026"/>
    <cellStyle name="集計 21 2 2 5 4" xfId="25027"/>
    <cellStyle name="集計 21 2 2 5 4 2" xfId="25028"/>
    <cellStyle name="集計 21 2 2 5 4 3" xfId="25029"/>
    <cellStyle name="集計 21 2 2 5 5" xfId="25030"/>
    <cellStyle name="集計 21 2 2 5 6" xfId="25031"/>
    <cellStyle name="集計 21 2 2 6" xfId="25032"/>
    <cellStyle name="集計 21 2 2 6 2" xfId="25033"/>
    <cellStyle name="集計 21 2 2 6 3" xfId="25034"/>
    <cellStyle name="集計 21 2 2 7" xfId="25035"/>
    <cellStyle name="集計 21 2 2 7 2" xfId="25036"/>
    <cellStyle name="集計 21 2 2 7 3" xfId="25037"/>
    <cellStyle name="集計 21 2 2 8" xfId="25038"/>
    <cellStyle name="集計 21 2 2 8 2" xfId="25039"/>
    <cellStyle name="集計 21 2 2 8 3" xfId="25040"/>
    <cellStyle name="集計 21 2 2 9" xfId="25041"/>
    <cellStyle name="集計 21 2 3" xfId="25042"/>
    <cellStyle name="集計 21 2 3 2" xfId="25043"/>
    <cellStyle name="集計 21 2 3 2 2" xfId="25044"/>
    <cellStyle name="集計 21 2 3 2 2 2" xfId="25045"/>
    <cellStyle name="集計 21 2 3 2 2 3" xfId="25046"/>
    <cellStyle name="集計 21 2 3 2 3" xfId="25047"/>
    <cellStyle name="集計 21 2 3 2 3 2" xfId="25048"/>
    <cellStyle name="集計 21 2 3 2 3 3" xfId="25049"/>
    <cellStyle name="集計 21 2 3 2 4" xfId="25050"/>
    <cellStyle name="集計 21 2 3 2 4 2" xfId="25051"/>
    <cellStyle name="集計 21 2 3 2 4 3" xfId="25052"/>
    <cellStyle name="集計 21 2 3 2 5" xfId="25053"/>
    <cellStyle name="集計 21 2 3 2 6" xfId="25054"/>
    <cellStyle name="集計 21 2 3 3" xfId="25055"/>
    <cellStyle name="集計 21 2 3 3 2" xfId="25056"/>
    <cellStyle name="集計 21 2 3 3 3" xfId="25057"/>
    <cellStyle name="集計 21 2 3 4" xfId="25058"/>
    <cellStyle name="集計 21 2 3 4 2" xfId="25059"/>
    <cellStyle name="集計 21 2 3 4 3" xfId="25060"/>
    <cellStyle name="集計 21 2 3 5" xfId="25061"/>
    <cellStyle name="集計 21 2 3 5 2" xfId="25062"/>
    <cellStyle name="集計 21 2 3 5 3" xfId="25063"/>
    <cellStyle name="集計 21 2 3 6" xfId="25064"/>
    <cellStyle name="集計 21 2 3 7" xfId="25065"/>
    <cellStyle name="集計 21 2 4" xfId="25066"/>
    <cellStyle name="集計 21 2 4 2" xfId="25067"/>
    <cellStyle name="集計 21 2 4 2 2" xfId="25068"/>
    <cellStyle name="集計 21 2 4 2 2 2" xfId="25069"/>
    <cellStyle name="集計 21 2 4 2 2 3" xfId="25070"/>
    <cellStyle name="集計 21 2 4 2 3" xfId="25071"/>
    <cellStyle name="集計 21 2 4 2 3 2" xfId="25072"/>
    <cellStyle name="集計 21 2 4 2 3 3" xfId="25073"/>
    <cellStyle name="集計 21 2 4 2 4" xfId="25074"/>
    <cellStyle name="集計 21 2 4 2 4 2" xfId="25075"/>
    <cellStyle name="集計 21 2 4 2 4 3" xfId="25076"/>
    <cellStyle name="集計 21 2 4 2 5" xfId="25077"/>
    <cellStyle name="集計 21 2 4 2 6" xfId="25078"/>
    <cellStyle name="集計 21 2 4 3" xfId="25079"/>
    <cellStyle name="集計 21 2 4 3 2" xfId="25080"/>
    <cellStyle name="集計 21 2 4 3 3" xfId="25081"/>
    <cellStyle name="集計 21 2 4 4" xfId="25082"/>
    <cellStyle name="集計 21 2 4 4 2" xfId="25083"/>
    <cellStyle name="集計 21 2 4 4 3" xfId="25084"/>
    <cellStyle name="集計 21 2 4 5" xfId="25085"/>
    <cellStyle name="集計 21 2 4 5 2" xfId="25086"/>
    <cellStyle name="集計 21 2 4 5 3" xfId="25087"/>
    <cellStyle name="集計 21 2 4 6" xfId="25088"/>
    <cellStyle name="集計 21 2 4 7" xfId="25089"/>
    <cellStyle name="集計 21 2 5" xfId="25090"/>
    <cellStyle name="集計 21 2 5 2" xfId="25091"/>
    <cellStyle name="集計 21 2 5 2 2" xfId="25092"/>
    <cellStyle name="集計 21 2 5 2 3" xfId="25093"/>
    <cellStyle name="集計 21 2 5 3" xfId="25094"/>
    <cellStyle name="集計 21 2 5 3 2" xfId="25095"/>
    <cellStyle name="集計 21 2 5 3 3" xfId="25096"/>
    <cellStyle name="集計 21 2 5 4" xfId="25097"/>
    <cellStyle name="集計 21 2 5 4 2" xfId="25098"/>
    <cellStyle name="集計 21 2 5 4 3" xfId="25099"/>
    <cellStyle name="集計 21 2 5 5" xfId="25100"/>
    <cellStyle name="集計 21 2 5 6" xfId="25101"/>
    <cellStyle name="集計 21 2 6" xfId="25102"/>
    <cellStyle name="集計 21 2 6 2" xfId="25103"/>
    <cellStyle name="集計 21 2 6 3" xfId="25104"/>
    <cellStyle name="集計 21 2 7" xfId="25105"/>
    <cellStyle name="集計 21 2 7 2" xfId="25106"/>
    <cellStyle name="集計 21 2 7 3" xfId="25107"/>
    <cellStyle name="集計 21 2 8" xfId="25108"/>
    <cellStyle name="集計 21 2 8 2" xfId="25109"/>
    <cellStyle name="集計 21 2 8 3" xfId="25110"/>
    <cellStyle name="集計 21 2 9" xfId="25111"/>
    <cellStyle name="集計 21 3" xfId="25112"/>
    <cellStyle name="集計 21 3 10" xfId="25113"/>
    <cellStyle name="集計 21 3 2" xfId="25114"/>
    <cellStyle name="集計 21 3 2 10" xfId="25115"/>
    <cellStyle name="集計 21 3 2 2" xfId="25116"/>
    <cellStyle name="集計 21 3 2 2 2" xfId="25117"/>
    <cellStyle name="集計 21 3 2 2 2 2" xfId="25118"/>
    <cellStyle name="集計 21 3 2 2 2 2 2" xfId="25119"/>
    <cellStyle name="集計 21 3 2 2 2 2 2 2" xfId="25120"/>
    <cellStyle name="集計 21 3 2 2 2 2 2 3" xfId="25121"/>
    <cellStyle name="集計 21 3 2 2 2 2 3" xfId="25122"/>
    <cellStyle name="集計 21 3 2 2 2 2 3 2" xfId="25123"/>
    <cellStyle name="集計 21 3 2 2 2 2 3 3" xfId="25124"/>
    <cellStyle name="集計 21 3 2 2 2 2 4" xfId="25125"/>
    <cellStyle name="集計 21 3 2 2 2 2 4 2" xfId="25126"/>
    <cellStyle name="集計 21 3 2 2 2 2 4 3" xfId="25127"/>
    <cellStyle name="集計 21 3 2 2 2 2 5" xfId="25128"/>
    <cellStyle name="集計 21 3 2 2 2 2 6" xfId="25129"/>
    <cellStyle name="集計 21 3 2 2 2 3" xfId="25130"/>
    <cellStyle name="集計 21 3 2 2 2 3 2" xfId="25131"/>
    <cellStyle name="集計 21 3 2 2 2 3 3" xfId="25132"/>
    <cellStyle name="集計 21 3 2 2 2 4" xfId="25133"/>
    <cellStyle name="集計 21 3 2 2 2 4 2" xfId="25134"/>
    <cellStyle name="集計 21 3 2 2 2 4 3" xfId="25135"/>
    <cellStyle name="集計 21 3 2 2 2 5" xfId="25136"/>
    <cellStyle name="集計 21 3 2 2 2 5 2" xfId="25137"/>
    <cellStyle name="集計 21 3 2 2 2 5 3" xfId="25138"/>
    <cellStyle name="集計 21 3 2 2 2 6" xfId="25139"/>
    <cellStyle name="集計 21 3 2 2 2 7" xfId="25140"/>
    <cellStyle name="集計 21 3 2 2 3" xfId="25141"/>
    <cellStyle name="集計 21 3 2 2 3 2" xfId="25142"/>
    <cellStyle name="集計 21 3 2 2 3 2 2" xfId="25143"/>
    <cellStyle name="集計 21 3 2 2 3 2 2 2" xfId="25144"/>
    <cellStyle name="集計 21 3 2 2 3 2 2 3" xfId="25145"/>
    <cellStyle name="集計 21 3 2 2 3 2 3" xfId="25146"/>
    <cellStyle name="集計 21 3 2 2 3 2 3 2" xfId="25147"/>
    <cellStyle name="集計 21 3 2 2 3 2 3 3" xfId="25148"/>
    <cellStyle name="集計 21 3 2 2 3 2 4" xfId="25149"/>
    <cellStyle name="集計 21 3 2 2 3 2 4 2" xfId="25150"/>
    <cellStyle name="集計 21 3 2 2 3 2 4 3" xfId="25151"/>
    <cellStyle name="集計 21 3 2 2 3 2 5" xfId="25152"/>
    <cellStyle name="集計 21 3 2 2 3 2 6" xfId="25153"/>
    <cellStyle name="集計 21 3 2 2 3 3" xfId="25154"/>
    <cellStyle name="集計 21 3 2 2 3 3 2" xfId="25155"/>
    <cellStyle name="集計 21 3 2 2 3 3 3" xfId="25156"/>
    <cellStyle name="集計 21 3 2 2 3 4" xfId="25157"/>
    <cellStyle name="集計 21 3 2 2 3 4 2" xfId="25158"/>
    <cellStyle name="集計 21 3 2 2 3 4 3" xfId="25159"/>
    <cellStyle name="集計 21 3 2 2 3 5" xfId="25160"/>
    <cellStyle name="集計 21 3 2 2 3 5 2" xfId="25161"/>
    <cellStyle name="集計 21 3 2 2 3 5 3" xfId="25162"/>
    <cellStyle name="集計 21 3 2 2 3 6" xfId="25163"/>
    <cellStyle name="集計 21 3 2 2 3 7" xfId="25164"/>
    <cellStyle name="集計 21 3 2 2 4" xfId="25165"/>
    <cellStyle name="集計 21 3 2 2 4 2" xfId="25166"/>
    <cellStyle name="集計 21 3 2 2 4 2 2" xfId="25167"/>
    <cellStyle name="集計 21 3 2 2 4 2 3" xfId="25168"/>
    <cellStyle name="集計 21 3 2 2 4 3" xfId="25169"/>
    <cellStyle name="集計 21 3 2 2 4 3 2" xfId="25170"/>
    <cellStyle name="集計 21 3 2 2 4 3 3" xfId="25171"/>
    <cellStyle name="集計 21 3 2 2 4 4" xfId="25172"/>
    <cellStyle name="集計 21 3 2 2 4 4 2" xfId="25173"/>
    <cellStyle name="集計 21 3 2 2 4 4 3" xfId="25174"/>
    <cellStyle name="集計 21 3 2 2 4 5" xfId="25175"/>
    <cellStyle name="集計 21 3 2 2 4 6" xfId="25176"/>
    <cellStyle name="集計 21 3 2 2 5" xfId="25177"/>
    <cellStyle name="集計 21 3 2 2 5 2" xfId="25178"/>
    <cellStyle name="集計 21 3 2 2 5 3" xfId="25179"/>
    <cellStyle name="集計 21 3 2 2 6" xfId="25180"/>
    <cellStyle name="集計 21 3 2 2 6 2" xfId="25181"/>
    <cellStyle name="集計 21 3 2 2 6 3" xfId="25182"/>
    <cellStyle name="集計 21 3 2 2 7" xfId="25183"/>
    <cellStyle name="集計 21 3 2 2 7 2" xfId="25184"/>
    <cellStyle name="集計 21 3 2 2 7 3" xfId="25185"/>
    <cellStyle name="集計 21 3 2 2 8" xfId="25186"/>
    <cellStyle name="集計 21 3 2 2 9" xfId="25187"/>
    <cellStyle name="集計 21 3 2 3" xfId="25188"/>
    <cellStyle name="集計 21 3 2 3 2" xfId="25189"/>
    <cellStyle name="集計 21 3 2 3 2 2" xfId="25190"/>
    <cellStyle name="集計 21 3 2 3 2 2 2" xfId="25191"/>
    <cellStyle name="集計 21 3 2 3 2 2 3" xfId="25192"/>
    <cellStyle name="集計 21 3 2 3 2 3" xfId="25193"/>
    <cellStyle name="集計 21 3 2 3 2 3 2" xfId="25194"/>
    <cellStyle name="集計 21 3 2 3 2 3 3" xfId="25195"/>
    <cellStyle name="集計 21 3 2 3 2 4" xfId="25196"/>
    <cellStyle name="集計 21 3 2 3 2 4 2" xfId="25197"/>
    <cellStyle name="集計 21 3 2 3 2 4 3" xfId="25198"/>
    <cellStyle name="集計 21 3 2 3 2 5" xfId="25199"/>
    <cellStyle name="集計 21 3 2 3 2 6" xfId="25200"/>
    <cellStyle name="集計 21 3 2 3 3" xfId="25201"/>
    <cellStyle name="集計 21 3 2 3 3 2" xfId="25202"/>
    <cellStyle name="集計 21 3 2 3 3 3" xfId="25203"/>
    <cellStyle name="集計 21 3 2 3 4" xfId="25204"/>
    <cellStyle name="集計 21 3 2 3 4 2" xfId="25205"/>
    <cellStyle name="集計 21 3 2 3 4 3" xfId="25206"/>
    <cellStyle name="集計 21 3 2 3 5" xfId="25207"/>
    <cellStyle name="集計 21 3 2 3 5 2" xfId="25208"/>
    <cellStyle name="集計 21 3 2 3 5 3" xfId="25209"/>
    <cellStyle name="集計 21 3 2 3 6" xfId="25210"/>
    <cellStyle name="集計 21 3 2 3 7" xfId="25211"/>
    <cellStyle name="集計 21 3 2 4" xfId="25212"/>
    <cellStyle name="集計 21 3 2 4 2" xfId="25213"/>
    <cellStyle name="集計 21 3 2 4 2 2" xfId="25214"/>
    <cellStyle name="集計 21 3 2 4 2 2 2" xfId="25215"/>
    <cellStyle name="集計 21 3 2 4 2 2 3" xfId="25216"/>
    <cellStyle name="集計 21 3 2 4 2 3" xfId="25217"/>
    <cellStyle name="集計 21 3 2 4 2 3 2" xfId="25218"/>
    <cellStyle name="集計 21 3 2 4 2 3 3" xfId="25219"/>
    <cellStyle name="集計 21 3 2 4 2 4" xfId="25220"/>
    <cellStyle name="集計 21 3 2 4 2 4 2" xfId="25221"/>
    <cellStyle name="集計 21 3 2 4 2 4 3" xfId="25222"/>
    <cellStyle name="集計 21 3 2 4 2 5" xfId="25223"/>
    <cellStyle name="集計 21 3 2 4 2 6" xfId="25224"/>
    <cellStyle name="集計 21 3 2 4 3" xfId="25225"/>
    <cellStyle name="集計 21 3 2 4 3 2" xfId="25226"/>
    <cellStyle name="集計 21 3 2 4 3 3" xfId="25227"/>
    <cellStyle name="集計 21 3 2 4 4" xfId="25228"/>
    <cellStyle name="集計 21 3 2 4 4 2" xfId="25229"/>
    <cellStyle name="集計 21 3 2 4 4 3" xfId="25230"/>
    <cellStyle name="集計 21 3 2 4 5" xfId="25231"/>
    <cellStyle name="集計 21 3 2 4 5 2" xfId="25232"/>
    <cellStyle name="集計 21 3 2 4 5 3" xfId="25233"/>
    <cellStyle name="集計 21 3 2 4 6" xfId="25234"/>
    <cellStyle name="集計 21 3 2 4 7" xfId="25235"/>
    <cellStyle name="集計 21 3 2 5" xfId="25236"/>
    <cellStyle name="集計 21 3 2 5 2" xfId="25237"/>
    <cellStyle name="集計 21 3 2 5 2 2" xfId="25238"/>
    <cellStyle name="集計 21 3 2 5 2 3" xfId="25239"/>
    <cellStyle name="集計 21 3 2 5 3" xfId="25240"/>
    <cellStyle name="集計 21 3 2 5 3 2" xfId="25241"/>
    <cellStyle name="集計 21 3 2 5 3 3" xfId="25242"/>
    <cellStyle name="集計 21 3 2 5 4" xfId="25243"/>
    <cellStyle name="集計 21 3 2 5 4 2" xfId="25244"/>
    <cellStyle name="集計 21 3 2 5 4 3" xfId="25245"/>
    <cellStyle name="集計 21 3 2 5 5" xfId="25246"/>
    <cellStyle name="集計 21 3 2 5 6" xfId="25247"/>
    <cellStyle name="集計 21 3 2 6" xfId="25248"/>
    <cellStyle name="集計 21 3 2 6 2" xfId="25249"/>
    <cellStyle name="集計 21 3 2 6 3" xfId="25250"/>
    <cellStyle name="集計 21 3 2 7" xfId="25251"/>
    <cellStyle name="集計 21 3 2 7 2" xfId="25252"/>
    <cellStyle name="集計 21 3 2 7 3" xfId="25253"/>
    <cellStyle name="集計 21 3 2 8" xfId="25254"/>
    <cellStyle name="集計 21 3 2 8 2" xfId="25255"/>
    <cellStyle name="集計 21 3 2 8 3" xfId="25256"/>
    <cellStyle name="集計 21 3 2 9" xfId="25257"/>
    <cellStyle name="集計 21 3 3" xfId="25258"/>
    <cellStyle name="集計 21 3 3 2" xfId="25259"/>
    <cellStyle name="集計 21 3 3 2 2" xfId="25260"/>
    <cellStyle name="集計 21 3 3 2 2 2" xfId="25261"/>
    <cellStyle name="集計 21 3 3 2 2 3" xfId="25262"/>
    <cellStyle name="集計 21 3 3 2 3" xfId="25263"/>
    <cellStyle name="集計 21 3 3 2 3 2" xfId="25264"/>
    <cellStyle name="集計 21 3 3 2 3 3" xfId="25265"/>
    <cellStyle name="集計 21 3 3 2 4" xfId="25266"/>
    <cellStyle name="集計 21 3 3 2 4 2" xfId="25267"/>
    <cellStyle name="集計 21 3 3 2 4 3" xfId="25268"/>
    <cellStyle name="集計 21 3 3 2 5" xfId="25269"/>
    <cellStyle name="集計 21 3 3 2 6" xfId="25270"/>
    <cellStyle name="集計 21 3 3 3" xfId="25271"/>
    <cellStyle name="集計 21 3 3 3 2" xfId="25272"/>
    <cellStyle name="集計 21 3 3 3 3" xfId="25273"/>
    <cellStyle name="集計 21 3 3 4" xfId="25274"/>
    <cellStyle name="集計 21 3 3 4 2" xfId="25275"/>
    <cellStyle name="集計 21 3 3 4 3" xfId="25276"/>
    <cellStyle name="集計 21 3 3 5" xfId="25277"/>
    <cellStyle name="集計 21 3 3 5 2" xfId="25278"/>
    <cellStyle name="集計 21 3 3 5 3" xfId="25279"/>
    <cellStyle name="集計 21 3 3 6" xfId="25280"/>
    <cellStyle name="集計 21 3 3 7" xfId="25281"/>
    <cellStyle name="集計 21 3 4" xfId="25282"/>
    <cellStyle name="集計 21 3 4 2" xfId="25283"/>
    <cellStyle name="集計 21 3 4 2 2" xfId="25284"/>
    <cellStyle name="集計 21 3 4 2 2 2" xfId="25285"/>
    <cellStyle name="集計 21 3 4 2 2 3" xfId="25286"/>
    <cellStyle name="集計 21 3 4 2 3" xfId="25287"/>
    <cellStyle name="集計 21 3 4 2 3 2" xfId="25288"/>
    <cellStyle name="集計 21 3 4 2 3 3" xfId="25289"/>
    <cellStyle name="集計 21 3 4 2 4" xfId="25290"/>
    <cellStyle name="集計 21 3 4 2 4 2" xfId="25291"/>
    <cellStyle name="集計 21 3 4 2 4 3" xfId="25292"/>
    <cellStyle name="集計 21 3 4 2 5" xfId="25293"/>
    <cellStyle name="集計 21 3 4 2 6" xfId="25294"/>
    <cellStyle name="集計 21 3 4 3" xfId="25295"/>
    <cellStyle name="集計 21 3 4 3 2" xfId="25296"/>
    <cellStyle name="集計 21 3 4 3 3" xfId="25297"/>
    <cellStyle name="集計 21 3 4 4" xfId="25298"/>
    <cellStyle name="集計 21 3 4 4 2" xfId="25299"/>
    <cellStyle name="集計 21 3 4 4 3" xfId="25300"/>
    <cellStyle name="集計 21 3 4 5" xfId="25301"/>
    <cellStyle name="集計 21 3 4 5 2" xfId="25302"/>
    <cellStyle name="集計 21 3 4 5 3" xfId="25303"/>
    <cellStyle name="集計 21 3 4 6" xfId="25304"/>
    <cellStyle name="集計 21 3 4 7" xfId="25305"/>
    <cellStyle name="集計 21 3 5" xfId="25306"/>
    <cellStyle name="集計 21 3 5 2" xfId="25307"/>
    <cellStyle name="集計 21 3 5 2 2" xfId="25308"/>
    <cellStyle name="集計 21 3 5 2 3" xfId="25309"/>
    <cellStyle name="集計 21 3 5 3" xfId="25310"/>
    <cellStyle name="集計 21 3 5 3 2" xfId="25311"/>
    <cellStyle name="集計 21 3 5 3 3" xfId="25312"/>
    <cellStyle name="集計 21 3 5 4" xfId="25313"/>
    <cellStyle name="集計 21 3 5 4 2" xfId="25314"/>
    <cellStyle name="集計 21 3 5 4 3" xfId="25315"/>
    <cellStyle name="集計 21 3 5 5" xfId="25316"/>
    <cellStyle name="集計 21 3 5 6" xfId="25317"/>
    <cellStyle name="集計 21 3 6" xfId="25318"/>
    <cellStyle name="集計 21 3 6 2" xfId="25319"/>
    <cellStyle name="集計 21 3 6 3" xfId="25320"/>
    <cellStyle name="集計 21 3 7" xfId="25321"/>
    <cellStyle name="集計 21 3 7 2" xfId="25322"/>
    <cellStyle name="集計 21 3 7 3" xfId="25323"/>
    <cellStyle name="集計 21 3 8" xfId="25324"/>
    <cellStyle name="集計 21 3 8 2" xfId="25325"/>
    <cellStyle name="集計 21 3 8 3" xfId="25326"/>
    <cellStyle name="集計 21 3 9" xfId="25327"/>
    <cellStyle name="集計 21 4" xfId="25328"/>
    <cellStyle name="集計 21 4 10" xfId="25329"/>
    <cellStyle name="集計 21 4 2" xfId="25330"/>
    <cellStyle name="集計 21 4 2 10" xfId="25331"/>
    <cellStyle name="集計 21 4 2 2" xfId="25332"/>
    <cellStyle name="集計 21 4 2 2 2" xfId="25333"/>
    <cellStyle name="集計 21 4 2 2 2 2" xfId="25334"/>
    <cellStyle name="集計 21 4 2 2 2 2 2" xfId="25335"/>
    <cellStyle name="集計 21 4 2 2 2 2 2 2" xfId="25336"/>
    <cellStyle name="集計 21 4 2 2 2 2 2 3" xfId="25337"/>
    <cellStyle name="集計 21 4 2 2 2 2 3" xfId="25338"/>
    <cellStyle name="集計 21 4 2 2 2 2 3 2" xfId="25339"/>
    <cellStyle name="集計 21 4 2 2 2 2 3 3" xfId="25340"/>
    <cellStyle name="集計 21 4 2 2 2 2 4" xfId="25341"/>
    <cellStyle name="集計 21 4 2 2 2 2 4 2" xfId="25342"/>
    <cellStyle name="集計 21 4 2 2 2 2 4 3" xfId="25343"/>
    <cellStyle name="集計 21 4 2 2 2 2 5" xfId="25344"/>
    <cellStyle name="集計 21 4 2 2 2 2 6" xfId="25345"/>
    <cellStyle name="集計 21 4 2 2 2 3" xfId="25346"/>
    <cellStyle name="集計 21 4 2 2 2 3 2" xfId="25347"/>
    <cellStyle name="集計 21 4 2 2 2 3 3" xfId="25348"/>
    <cellStyle name="集計 21 4 2 2 2 4" xfId="25349"/>
    <cellStyle name="集計 21 4 2 2 2 4 2" xfId="25350"/>
    <cellStyle name="集計 21 4 2 2 2 4 3" xfId="25351"/>
    <cellStyle name="集計 21 4 2 2 2 5" xfId="25352"/>
    <cellStyle name="集計 21 4 2 2 2 5 2" xfId="25353"/>
    <cellStyle name="集計 21 4 2 2 2 5 3" xfId="25354"/>
    <cellStyle name="集計 21 4 2 2 2 6" xfId="25355"/>
    <cellStyle name="集計 21 4 2 2 2 7" xfId="25356"/>
    <cellStyle name="集計 21 4 2 2 3" xfId="25357"/>
    <cellStyle name="集計 21 4 2 2 3 2" xfId="25358"/>
    <cellStyle name="集計 21 4 2 2 3 2 2" xfId="25359"/>
    <cellStyle name="集計 21 4 2 2 3 2 2 2" xfId="25360"/>
    <cellStyle name="集計 21 4 2 2 3 2 2 3" xfId="25361"/>
    <cellStyle name="集計 21 4 2 2 3 2 3" xfId="25362"/>
    <cellStyle name="集計 21 4 2 2 3 2 3 2" xfId="25363"/>
    <cellStyle name="集計 21 4 2 2 3 2 3 3" xfId="25364"/>
    <cellStyle name="集計 21 4 2 2 3 2 4" xfId="25365"/>
    <cellStyle name="集計 21 4 2 2 3 2 4 2" xfId="25366"/>
    <cellStyle name="集計 21 4 2 2 3 2 4 3" xfId="25367"/>
    <cellStyle name="集計 21 4 2 2 3 2 5" xfId="25368"/>
    <cellStyle name="集計 21 4 2 2 3 2 6" xfId="25369"/>
    <cellStyle name="集計 21 4 2 2 3 3" xfId="25370"/>
    <cellStyle name="集計 21 4 2 2 3 3 2" xfId="25371"/>
    <cellStyle name="集計 21 4 2 2 3 3 3" xfId="25372"/>
    <cellStyle name="集計 21 4 2 2 3 4" xfId="25373"/>
    <cellStyle name="集計 21 4 2 2 3 4 2" xfId="25374"/>
    <cellStyle name="集計 21 4 2 2 3 4 3" xfId="25375"/>
    <cellStyle name="集計 21 4 2 2 3 5" xfId="25376"/>
    <cellStyle name="集計 21 4 2 2 3 5 2" xfId="25377"/>
    <cellStyle name="集計 21 4 2 2 3 5 3" xfId="25378"/>
    <cellStyle name="集計 21 4 2 2 3 6" xfId="25379"/>
    <cellStyle name="集計 21 4 2 2 3 7" xfId="25380"/>
    <cellStyle name="集計 21 4 2 2 4" xfId="25381"/>
    <cellStyle name="集計 21 4 2 2 4 2" xfId="25382"/>
    <cellStyle name="集計 21 4 2 2 4 2 2" xfId="25383"/>
    <cellStyle name="集計 21 4 2 2 4 2 3" xfId="25384"/>
    <cellStyle name="集計 21 4 2 2 4 3" xfId="25385"/>
    <cellStyle name="集計 21 4 2 2 4 3 2" xfId="25386"/>
    <cellStyle name="集計 21 4 2 2 4 3 3" xfId="25387"/>
    <cellStyle name="集計 21 4 2 2 4 4" xfId="25388"/>
    <cellStyle name="集計 21 4 2 2 4 4 2" xfId="25389"/>
    <cellStyle name="集計 21 4 2 2 4 4 3" xfId="25390"/>
    <cellStyle name="集計 21 4 2 2 4 5" xfId="25391"/>
    <cellStyle name="集計 21 4 2 2 4 6" xfId="25392"/>
    <cellStyle name="集計 21 4 2 2 5" xfId="25393"/>
    <cellStyle name="集計 21 4 2 2 5 2" xfId="25394"/>
    <cellStyle name="集計 21 4 2 2 5 3" xfId="25395"/>
    <cellStyle name="集計 21 4 2 2 6" xfId="25396"/>
    <cellStyle name="集計 21 4 2 2 6 2" xfId="25397"/>
    <cellStyle name="集計 21 4 2 2 6 3" xfId="25398"/>
    <cellStyle name="集計 21 4 2 2 7" xfId="25399"/>
    <cellStyle name="集計 21 4 2 2 7 2" xfId="25400"/>
    <cellStyle name="集計 21 4 2 2 7 3" xfId="25401"/>
    <cellStyle name="集計 21 4 2 2 8" xfId="25402"/>
    <cellStyle name="集計 21 4 2 2 9" xfId="25403"/>
    <cellStyle name="集計 21 4 2 3" xfId="25404"/>
    <cellStyle name="集計 21 4 2 3 2" xfId="25405"/>
    <cellStyle name="集計 21 4 2 3 2 2" xfId="25406"/>
    <cellStyle name="集計 21 4 2 3 2 2 2" xfId="25407"/>
    <cellStyle name="集計 21 4 2 3 2 2 3" xfId="25408"/>
    <cellStyle name="集計 21 4 2 3 2 3" xfId="25409"/>
    <cellStyle name="集計 21 4 2 3 2 3 2" xfId="25410"/>
    <cellStyle name="集計 21 4 2 3 2 3 3" xfId="25411"/>
    <cellStyle name="集計 21 4 2 3 2 4" xfId="25412"/>
    <cellStyle name="集計 21 4 2 3 2 4 2" xfId="25413"/>
    <cellStyle name="集計 21 4 2 3 2 4 3" xfId="25414"/>
    <cellStyle name="集計 21 4 2 3 2 5" xfId="25415"/>
    <cellStyle name="集計 21 4 2 3 2 6" xfId="25416"/>
    <cellStyle name="集計 21 4 2 3 3" xfId="25417"/>
    <cellStyle name="集計 21 4 2 3 3 2" xfId="25418"/>
    <cellStyle name="集計 21 4 2 3 3 3" xfId="25419"/>
    <cellStyle name="集計 21 4 2 3 4" xfId="25420"/>
    <cellStyle name="集計 21 4 2 3 4 2" xfId="25421"/>
    <cellStyle name="集計 21 4 2 3 4 3" xfId="25422"/>
    <cellStyle name="集計 21 4 2 3 5" xfId="25423"/>
    <cellStyle name="集計 21 4 2 3 5 2" xfId="25424"/>
    <cellStyle name="集計 21 4 2 3 5 3" xfId="25425"/>
    <cellStyle name="集計 21 4 2 3 6" xfId="25426"/>
    <cellStyle name="集計 21 4 2 3 7" xfId="25427"/>
    <cellStyle name="集計 21 4 2 4" xfId="25428"/>
    <cellStyle name="集計 21 4 2 4 2" xfId="25429"/>
    <cellStyle name="集計 21 4 2 4 2 2" xfId="25430"/>
    <cellStyle name="集計 21 4 2 4 2 2 2" xfId="25431"/>
    <cellStyle name="集計 21 4 2 4 2 2 3" xfId="25432"/>
    <cellStyle name="集計 21 4 2 4 2 3" xfId="25433"/>
    <cellStyle name="集計 21 4 2 4 2 3 2" xfId="25434"/>
    <cellStyle name="集計 21 4 2 4 2 3 3" xfId="25435"/>
    <cellStyle name="集計 21 4 2 4 2 4" xfId="25436"/>
    <cellStyle name="集計 21 4 2 4 2 4 2" xfId="25437"/>
    <cellStyle name="集計 21 4 2 4 2 4 3" xfId="25438"/>
    <cellStyle name="集計 21 4 2 4 2 5" xfId="25439"/>
    <cellStyle name="集計 21 4 2 4 2 6" xfId="25440"/>
    <cellStyle name="集計 21 4 2 4 3" xfId="25441"/>
    <cellStyle name="集計 21 4 2 4 3 2" xfId="25442"/>
    <cellStyle name="集計 21 4 2 4 3 3" xfId="25443"/>
    <cellStyle name="集計 21 4 2 4 4" xfId="25444"/>
    <cellStyle name="集計 21 4 2 4 4 2" xfId="25445"/>
    <cellStyle name="集計 21 4 2 4 4 3" xfId="25446"/>
    <cellStyle name="集計 21 4 2 4 5" xfId="25447"/>
    <cellStyle name="集計 21 4 2 4 5 2" xfId="25448"/>
    <cellStyle name="集計 21 4 2 4 5 3" xfId="25449"/>
    <cellStyle name="集計 21 4 2 4 6" xfId="25450"/>
    <cellStyle name="集計 21 4 2 4 7" xfId="25451"/>
    <cellStyle name="集計 21 4 2 5" xfId="25452"/>
    <cellStyle name="集計 21 4 2 5 2" xfId="25453"/>
    <cellStyle name="集計 21 4 2 5 2 2" xfId="25454"/>
    <cellStyle name="集計 21 4 2 5 2 3" xfId="25455"/>
    <cellStyle name="集計 21 4 2 5 3" xfId="25456"/>
    <cellStyle name="集計 21 4 2 5 3 2" xfId="25457"/>
    <cellStyle name="集計 21 4 2 5 3 3" xfId="25458"/>
    <cellStyle name="集計 21 4 2 5 4" xfId="25459"/>
    <cellStyle name="集計 21 4 2 5 4 2" xfId="25460"/>
    <cellStyle name="集計 21 4 2 5 4 3" xfId="25461"/>
    <cellStyle name="集計 21 4 2 5 5" xfId="25462"/>
    <cellStyle name="集計 21 4 2 5 6" xfId="25463"/>
    <cellStyle name="集計 21 4 2 6" xfId="25464"/>
    <cellStyle name="集計 21 4 2 6 2" xfId="25465"/>
    <cellStyle name="集計 21 4 2 6 3" xfId="25466"/>
    <cellStyle name="集計 21 4 2 7" xfId="25467"/>
    <cellStyle name="集計 21 4 2 7 2" xfId="25468"/>
    <cellStyle name="集計 21 4 2 7 3" xfId="25469"/>
    <cellStyle name="集計 21 4 2 8" xfId="25470"/>
    <cellStyle name="集計 21 4 2 8 2" xfId="25471"/>
    <cellStyle name="集計 21 4 2 8 3" xfId="25472"/>
    <cellStyle name="集計 21 4 2 9" xfId="25473"/>
    <cellStyle name="集計 21 4 3" xfId="25474"/>
    <cellStyle name="集計 21 4 3 2" xfId="25475"/>
    <cellStyle name="集計 21 4 3 2 2" xfId="25476"/>
    <cellStyle name="集計 21 4 3 2 2 2" xfId="25477"/>
    <cellStyle name="集計 21 4 3 2 2 3" xfId="25478"/>
    <cellStyle name="集計 21 4 3 2 3" xfId="25479"/>
    <cellStyle name="集計 21 4 3 2 3 2" xfId="25480"/>
    <cellStyle name="集計 21 4 3 2 3 3" xfId="25481"/>
    <cellStyle name="集計 21 4 3 2 4" xfId="25482"/>
    <cellStyle name="集計 21 4 3 2 4 2" xfId="25483"/>
    <cellStyle name="集計 21 4 3 2 4 3" xfId="25484"/>
    <cellStyle name="集計 21 4 3 2 5" xfId="25485"/>
    <cellStyle name="集計 21 4 3 2 6" xfId="25486"/>
    <cellStyle name="集計 21 4 3 3" xfId="25487"/>
    <cellStyle name="集計 21 4 3 3 2" xfId="25488"/>
    <cellStyle name="集計 21 4 3 3 3" xfId="25489"/>
    <cellStyle name="集計 21 4 3 4" xfId="25490"/>
    <cellStyle name="集計 21 4 3 4 2" xfId="25491"/>
    <cellStyle name="集計 21 4 3 4 3" xfId="25492"/>
    <cellStyle name="集計 21 4 3 5" xfId="25493"/>
    <cellStyle name="集計 21 4 3 5 2" xfId="25494"/>
    <cellStyle name="集計 21 4 3 5 3" xfId="25495"/>
    <cellStyle name="集計 21 4 3 6" xfId="25496"/>
    <cellStyle name="集計 21 4 3 7" xfId="25497"/>
    <cellStyle name="集計 21 4 4" xfId="25498"/>
    <cellStyle name="集計 21 4 4 2" xfId="25499"/>
    <cellStyle name="集計 21 4 4 2 2" xfId="25500"/>
    <cellStyle name="集計 21 4 4 2 2 2" xfId="25501"/>
    <cellStyle name="集計 21 4 4 2 2 3" xfId="25502"/>
    <cellStyle name="集計 21 4 4 2 3" xfId="25503"/>
    <cellStyle name="集計 21 4 4 2 3 2" xfId="25504"/>
    <cellStyle name="集計 21 4 4 2 3 3" xfId="25505"/>
    <cellStyle name="集計 21 4 4 2 4" xfId="25506"/>
    <cellStyle name="集計 21 4 4 2 4 2" xfId="25507"/>
    <cellStyle name="集計 21 4 4 2 4 3" xfId="25508"/>
    <cellStyle name="集計 21 4 4 2 5" xfId="25509"/>
    <cellStyle name="集計 21 4 4 2 6" xfId="25510"/>
    <cellStyle name="集計 21 4 4 3" xfId="25511"/>
    <cellStyle name="集計 21 4 4 3 2" xfId="25512"/>
    <cellStyle name="集計 21 4 4 3 3" xfId="25513"/>
    <cellStyle name="集計 21 4 4 4" xfId="25514"/>
    <cellStyle name="集計 21 4 4 4 2" xfId="25515"/>
    <cellStyle name="集計 21 4 4 4 3" xfId="25516"/>
    <cellStyle name="集計 21 4 4 5" xfId="25517"/>
    <cellStyle name="集計 21 4 4 5 2" xfId="25518"/>
    <cellStyle name="集計 21 4 4 5 3" xfId="25519"/>
    <cellStyle name="集計 21 4 4 6" xfId="25520"/>
    <cellStyle name="集計 21 4 4 7" xfId="25521"/>
    <cellStyle name="集計 21 4 5" xfId="25522"/>
    <cellStyle name="集計 21 4 5 2" xfId="25523"/>
    <cellStyle name="集計 21 4 5 2 2" xfId="25524"/>
    <cellStyle name="集計 21 4 5 2 3" xfId="25525"/>
    <cellStyle name="集計 21 4 5 3" xfId="25526"/>
    <cellStyle name="集計 21 4 5 3 2" xfId="25527"/>
    <cellStyle name="集計 21 4 5 3 3" xfId="25528"/>
    <cellStyle name="集計 21 4 5 4" xfId="25529"/>
    <cellStyle name="集計 21 4 5 4 2" xfId="25530"/>
    <cellStyle name="集計 21 4 5 4 3" xfId="25531"/>
    <cellStyle name="集計 21 4 5 5" xfId="25532"/>
    <cellStyle name="集計 21 4 5 6" xfId="25533"/>
    <cellStyle name="集計 21 4 6" xfId="25534"/>
    <cellStyle name="集計 21 4 6 2" xfId="25535"/>
    <cellStyle name="集計 21 4 6 3" xfId="25536"/>
    <cellStyle name="集計 21 4 7" xfId="25537"/>
    <cellStyle name="集計 21 4 7 2" xfId="25538"/>
    <cellStyle name="集計 21 4 7 3" xfId="25539"/>
    <cellStyle name="集計 21 4 8" xfId="25540"/>
    <cellStyle name="集計 21 4 8 2" xfId="25541"/>
    <cellStyle name="集計 21 4 8 3" xfId="25542"/>
    <cellStyle name="集計 21 4 9" xfId="25543"/>
    <cellStyle name="集計 21 5" xfId="25544"/>
    <cellStyle name="集計 21 5 10" xfId="25545"/>
    <cellStyle name="集計 21 5 2" xfId="25546"/>
    <cellStyle name="集計 21 5 2 2" xfId="25547"/>
    <cellStyle name="集計 21 5 2 2 2" xfId="25548"/>
    <cellStyle name="集計 21 5 2 2 2 2" xfId="25549"/>
    <cellStyle name="集計 21 5 2 2 2 2 2" xfId="25550"/>
    <cellStyle name="集計 21 5 2 2 2 2 3" xfId="25551"/>
    <cellStyle name="集計 21 5 2 2 2 3" xfId="25552"/>
    <cellStyle name="集計 21 5 2 2 2 3 2" xfId="25553"/>
    <cellStyle name="集計 21 5 2 2 2 3 3" xfId="25554"/>
    <cellStyle name="集計 21 5 2 2 2 4" xfId="25555"/>
    <cellStyle name="集計 21 5 2 2 2 4 2" xfId="25556"/>
    <cellStyle name="集計 21 5 2 2 2 4 3" xfId="25557"/>
    <cellStyle name="集計 21 5 2 2 2 5" xfId="25558"/>
    <cellStyle name="集計 21 5 2 2 2 6" xfId="25559"/>
    <cellStyle name="集計 21 5 2 2 3" xfId="25560"/>
    <cellStyle name="集計 21 5 2 2 3 2" xfId="25561"/>
    <cellStyle name="集計 21 5 2 2 3 3" xfId="25562"/>
    <cellStyle name="集計 21 5 2 2 4" xfId="25563"/>
    <cellStyle name="集計 21 5 2 2 4 2" xfId="25564"/>
    <cellStyle name="集計 21 5 2 2 4 3" xfId="25565"/>
    <cellStyle name="集計 21 5 2 2 5" xfId="25566"/>
    <cellStyle name="集計 21 5 2 2 5 2" xfId="25567"/>
    <cellStyle name="集計 21 5 2 2 5 3" xfId="25568"/>
    <cellStyle name="集計 21 5 2 2 6" xfId="25569"/>
    <cellStyle name="集計 21 5 2 2 7" xfId="25570"/>
    <cellStyle name="集計 21 5 2 3" xfId="25571"/>
    <cellStyle name="集計 21 5 2 3 2" xfId="25572"/>
    <cellStyle name="集計 21 5 2 3 2 2" xfId="25573"/>
    <cellStyle name="集計 21 5 2 3 2 2 2" xfId="25574"/>
    <cellStyle name="集計 21 5 2 3 2 2 3" xfId="25575"/>
    <cellStyle name="集計 21 5 2 3 2 3" xfId="25576"/>
    <cellStyle name="集計 21 5 2 3 2 3 2" xfId="25577"/>
    <cellStyle name="集計 21 5 2 3 2 3 3" xfId="25578"/>
    <cellStyle name="集計 21 5 2 3 2 4" xfId="25579"/>
    <cellStyle name="集計 21 5 2 3 2 4 2" xfId="25580"/>
    <cellStyle name="集計 21 5 2 3 2 4 3" xfId="25581"/>
    <cellStyle name="集計 21 5 2 3 2 5" xfId="25582"/>
    <cellStyle name="集計 21 5 2 3 2 6" xfId="25583"/>
    <cellStyle name="集計 21 5 2 3 3" xfId="25584"/>
    <cellStyle name="集計 21 5 2 3 3 2" xfId="25585"/>
    <cellStyle name="集計 21 5 2 3 3 3" xfId="25586"/>
    <cellStyle name="集計 21 5 2 3 4" xfId="25587"/>
    <cellStyle name="集計 21 5 2 3 4 2" xfId="25588"/>
    <cellStyle name="集計 21 5 2 3 4 3" xfId="25589"/>
    <cellStyle name="集計 21 5 2 3 5" xfId="25590"/>
    <cellStyle name="集計 21 5 2 3 5 2" xfId="25591"/>
    <cellStyle name="集計 21 5 2 3 5 3" xfId="25592"/>
    <cellStyle name="集計 21 5 2 3 6" xfId="25593"/>
    <cellStyle name="集計 21 5 2 3 7" xfId="25594"/>
    <cellStyle name="集計 21 5 2 4" xfId="25595"/>
    <cellStyle name="集計 21 5 2 4 2" xfId="25596"/>
    <cellStyle name="集計 21 5 2 4 2 2" xfId="25597"/>
    <cellStyle name="集計 21 5 2 4 2 3" xfId="25598"/>
    <cellStyle name="集計 21 5 2 4 3" xfId="25599"/>
    <cellStyle name="集計 21 5 2 4 3 2" xfId="25600"/>
    <cellStyle name="集計 21 5 2 4 3 3" xfId="25601"/>
    <cellStyle name="集計 21 5 2 4 4" xfId="25602"/>
    <cellStyle name="集計 21 5 2 4 4 2" xfId="25603"/>
    <cellStyle name="集計 21 5 2 4 4 3" xfId="25604"/>
    <cellStyle name="集計 21 5 2 4 5" xfId="25605"/>
    <cellStyle name="集計 21 5 2 4 6" xfId="25606"/>
    <cellStyle name="集計 21 5 2 5" xfId="25607"/>
    <cellStyle name="集計 21 5 2 5 2" xfId="25608"/>
    <cellStyle name="集計 21 5 2 5 3" xfId="25609"/>
    <cellStyle name="集計 21 5 2 6" xfId="25610"/>
    <cellStyle name="集計 21 5 2 6 2" xfId="25611"/>
    <cellStyle name="集計 21 5 2 6 3" xfId="25612"/>
    <cellStyle name="集計 21 5 2 7" xfId="25613"/>
    <cellStyle name="集計 21 5 2 7 2" xfId="25614"/>
    <cellStyle name="集計 21 5 2 7 3" xfId="25615"/>
    <cellStyle name="集計 21 5 2 8" xfId="25616"/>
    <cellStyle name="集計 21 5 2 9" xfId="25617"/>
    <cellStyle name="集計 21 5 3" xfId="25618"/>
    <cellStyle name="集計 21 5 3 2" xfId="25619"/>
    <cellStyle name="集計 21 5 3 2 2" xfId="25620"/>
    <cellStyle name="集計 21 5 3 2 2 2" xfId="25621"/>
    <cellStyle name="集計 21 5 3 2 2 3" xfId="25622"/>
    <cellStyle name="集計 21 5 3 2 3" xfId="25623"/>
    <cellStyle name="集計 21 5 3 2 3 2" xfId="25624"/>
    <cellStyle name="集計 21 5 3 2 3 3" xfId="25625"/>
    <cellStyle name="集計 21 5 3 2 4" xfId="25626"/>
    <cellStyle name="集計 21 5 3 2 4 2" xfId="25627"/>
    <cellStyle name="集計 21 5 3 2 4 3" xfId="25628"/>
    <cellStyle name="集計 21 5 3 2 5" xfId="25629"/>
    <cellStyle name="集計 21 5 3 2 6" xfId="25630"/>
    <cellStyle name="集計 21 5 3 3" xfId="25631"/>
    <cellStyle name="集計 21 5 3 3 2" xfId="25632"/>
    <cellStyle name="集計 21 5 3 3 3" xfId="25633"/>
    <cellStyle name="集計 21 5 3 4" xfId="25634"/>
    <cellStyle name="集計 21 5 3 4 2" xfId="25635"/>
    <cellStyle name="集計 21 5 3 4 3" xfId="25636"/>
    <cellStyle name="集計 21 5 3 5" xfId="25637"/>
    <cellStyle name="集計 21 5 3 5 2" xfId="25638"/>
    <cellStyle name="集計 21 5 3 5 3" xfId="25639"/>
    <cellStyle name="集計 21 5 3 6" xfId="25640"/>
    <cellStyle name="集計 21 5 3 7" xfId="25641"/>
    <cellStyle name="集計 21 5 4" xfId="25642"/>
    <cellStyle name="集計 21 5 4 2" xfId="25643"/>
    <cellStyle name="集計 21 5 4 2 2" xfId="25644"/>
    <cellStyle name="集計 21 5 4 2 2 2" xfId="25645"/>
    <cellStyle name="集計 21 5 4 2 2 3" xfId="25646"/>
    <cellStyle name="集計 21 5 4 2 3" xfId="25647"/>
    <cellStyle name="集計 21 5 4 2 3 2" xfId="25648"/>
    <cellStyle name="集計 21 5 4 2 3 3" xfId="25649"/>
    <cellStyle name="集計 21 5 4 2 4" xfId="25650"/>
    <cellStyle name="集計 21 5 4 2 4 2" xfId="25651"/>
    <cellStyle name="集計 21 5 4 2 4 3" xfId="25652"/>
    <cellStyle name="集計 21 5 4 2 5" xfId="25653"/>
    <cellStyle name="集計 21 5 4 2 6" xfId="25654"/>
    <cellStyle name="集計 21 5 4 3" xfId="25655"/>
    <cellStyle name="集計 21 5 4 3 2" xfId="25656"/>
    <cellStyle name="集計 21 5 4 3 3" xfId="25657"/>
    <cellStyle name="集計 21 5 4 4" xfId="25658"/>
    <cellStyle name="集計 21 5 4 4 2" xfId="25659"/>
    <cellStyle name="集計 21 5 4 4 3" xfId="25660"/>
    <cellStyle name="集計 21 5 4 5" xfId="25661"/>
    <cellStyle name="集計 21 5 4 5 2" xfId="25662"/>
    <cellStyle name="集計 21 5 4 5 3" xfId="25663"/>
    <cellStyle name="集計 21 5 4 6" xfId="25664"/>
    <cellStyle name="集計 21 5 4 7" xfId="25665"/>
    <cellStyle name="集計 21 5 5" xfId="25666"/>
    <cellStyle name="集計 21 5 5 2" xfId="25667"/>
    <cellStyle name="集計 21 5 5 2 2" xfId="25668"/>
    <cellStyle name="集計 21 5 5 2 3" xfId="25669"/>
    <cellStyle name="集計 21 5 5 3" xfId="25670"/>
    <cellStyle name="集計 21 5 5 3 2" xfId="25671"/>
    <cellStyle name="集計 21 5 5 3 3" xfId="25672"/>
    <cellStyle name="集計 21 5 5 4" xfId="25673"/>
    <cellStyle name="集計 21 5 5 4 2" xfId="25674"/>
    <cellStyle name="集計 21 5 5 4 3" xfId="25675"/>
    <cellStyle name="集計 21 5 5 5" xfId="25676"/>
    <cellStyle name="集計 21 5 5 6" xfId="25677"/>
    <cellStyle name="集計 21 5 6" xfId="25678"/>
    <cellStyle name="集計 21 5 6 2" xfId="25679"/>
    <cellStyle name="集計 21 5 6 3" xfId="25680"/>
    <cellStyle name="集計 21 5 7" xfId="25681"/>
    <cellStyle name="集計 21 5 7 2" xfId="25682"/>
    <cellStyle name="集計 21 5 7 3" xfId="25683"/>
    <cellStyle name="集計 21 5 8" xfId="25684"/>
    <cellStyle name="集計 21 5 8 2" xfId="25685"/>
    <cellStyle name="集計 21 5 8 3" xfId="25686"/>
    <cellStyle name="集計 21 5 9" xfId="25687"/>
    <cellStyle name="集計 21 6" xfId="25688"/>
    <cellStyle name="集計 21 6 10" xfId="25689"/>
    <cellStyle name="集計 21 6 2" xfId="25690"/>
    <cellStyle name="集計 21 6 2 2" xfId="25691"/>
    <cellStyle name="集計 21 6 2 2 2" xfId="25692"/>
    <cellStyle name="集計 21 6 2 2 2 2" xfId="25693"/>
    <cellStyle name="集計 21 6 2 2 2 2 2" xfId="25694"/>
    <cellStyle name="集計 21 6 2 2 2 2 3" xfId="25695"/>
    <cellStyle name="集計 21 6 2 2 2 3" xfId="25696"/>
    <cellStyle name="集計 21 6 2 2 2 3 2" xfId="25697"/>
    <cellStyle name="集計 21 6 2 2 2 3 3" xfId="25698"/>
    <cellStyle name="集計 21 6 2 2 2 4" xfId="25699"/>
    <cellStyle name="集計 21 6 2 2 2 4 2" xfId="25700"/>
    <cellStyle name="集計 21 6 2 2 2 4 3" xfId="25701"/>
    <cellStyle name="集計 21 6 2 2 2 5" xfId="25702"/>
    <cellStyle name="集計 21 6 2 2 2 6" xfId="25703"/>
    <cellStyle name="集計 21 6 2 2 3" xfId="25704"/>
    <cellStyle name="集計 21 6 2 2 3 2" xfId="25705"/>
    <cellStyle name="集計 21 6 2 2 3 3" xfId="25706"/>
    <cellStyle name="集計 21 6 2 2 4" xfId="25707"/>
    <cellStyle name="集計 21 6 2 2 4 2" xfId="25708"/>
    <cellStyle name="集計 21 6 2 2 4 3" xfId="25709"/>
    <cellStyle name="集計 21 6 2 2 5" xfId="25710"/>
    <cellStyle name="集計 21 6 2 2 5 2" xfId="25711"/>
    <cellStyle name="集計 21 6 2 2 5 3" xfId="25712"/>
    <cellStyle name="集計 21 6 2 2 6" xfId="25713"/>
    <cellStyle name="集計 21 6 2 2 7" xfId="25714"/>
    <cellStyle name="集計 21 6 2 3" xfId="25715"/>
    <cellStyle name="集計 21 6 2 3 2" xfId="25716"/>
    <cellStyle name="集計 21 6 2 3 2 2" xfId="25717"/>
    <cellStyle name="集計 21 6 2 3 2 2 2" xfId="25718"/>
    <cellStyle name="集計 21 6 2 3 2 2 3" xfId="25719"/>
    <cellStyle name="集計 21 6 2 3 2 3" xfId="25720"/>
    <cellStyle name="集計 21 6 2 3 2 3 2" xfId="25721"/>
    <cellStyle name="集計 21 6 2 3 2 3 3" xfId="25722"/>
    <cellStyle name="集計 21 6 2 3 2 4" xfId="25723"/>
    <cellStyle name="集計 21 6 2 3 2 4 2" xfId="25724"/>
    <cellStyle name="集計 21 6 2 3 2 4 3" xfId="25725"/>
    <cellStyle name="集計 21 6 2 3 2 5" xfId="25726"/>
    <cellStyle name="集計 21 6 2 3 2 6" xfId="25727"/>
    <cellStyle name="集計 21 6 2 3 3" xfId="25728"/>
    <cellStyle name="集計 21 6 2 3 3 2" xfId="25729"/>
    <cellStyle name="集計 21 6 2 3 3 3" xfId="25730"/>
    <cellStyle name="集計 21 6 2 3 4" xfId="25731"/>
    <cellStyle name="集計 21 6 2 3 4 2" xfId="25732"/>
    <cellStyle name="集計 21 6 2 3 4 3" xfId="25733"/>
    <cellStyle name="集計 21 6 2 3 5" xfId="25734"/>
    <cellStyle name="集計 21 6 2 3 5 2" xfId="25735"/>
    <cellStyle name="集計 21 6 2 3 5 3" xfId="25736"/>
    <cellStyle name="集計 21 6 2 3 6" xfId="25737"/>
    <cellStyle name="集計 21 6 2 3 7" xfId="25738"/>
    <cellStyle name="集計 21 6 2 4" xfId="25739"/>
    <cellStyle name="集計 21 6 2 4 2" xfId="25740"/>
    <cellStyle name="集計 21 6 2 4 2 2" xfId="25741"/>
    <cellStyle name="集計 21 6 2 4 2 3" xfId="25742"/>
    <cellStyle name="集計 21 6 2 4 3" xfId="25743"/>
    <cellStyle name="集計 21 6 2 4 3 2" xfId="25744"/>
    <cellStyle name="集計 21 6 2 4 3 3" xfId="25745"/>
    <cellStyle name="集計 21 6 2 4 4" xfId="25746"/>
    <cellStyle name="集計 21 6 2 4 4 2" xfId="25747"/>
    <cellStyle name="集計 21 6 2 4 4 3" xfId="25748"/>
    <cellStyle name="集計 21 6 2 4 5" xfId="25749"/>
    <cellStyle name="集計 21 6 2 4 6" xfId="25750"/>
    <cellStyle name="集計 21 6 2 5" xfId="25751"/>
    <cellStyle name="集計 21 6 2 5 2" xfId="25752"/>
    <cellStyle name="集計 21 6 2 5 3" xfId="25753"/>
    <cellStyle name="集計 21 6 2 6" xfId="25754"/>
    <cellStyle name="集計 21 6 2 6 2" xfId="25755"/>
    <cellStyle name="集計 21 6 2 6 3" xfId="25756"/>
    <cellStyle name="集計 21 6 2 7" xfId="25757"/>
    <cellStyle name="集計 21 6 2 7 2" xfId="25758"/>
    <cellStyle name="集計 21 6 2 7 3" xfId="25759"/>
    <cellStyle name="集計 21 6 2 8" xfId="25760"/>
    <cellStyle name="集計 21 6 2 9" xfId="25761"/>
    <cellStyle name="集計 21 6 3" xfId="25762"/>
    <cellStyle name="集計 21 6 3 2" xfId="25763"/>
    <cellStyle name="集計 21 6 3 2 2" xfId="25764"/>
    <cellStyle name="集計 21 6 3 2 2 2" xfId="25765"/>
    <cellStyle name="集計 21 6 3 2 2 3" xfId="25766"/>
    <cellStyle name="集計 21 6 3 2 3" xfId="25767"/>
    <cellStyle name="集計 21 6 3 2 3 2" xfId="25768"/>
    <cellStyle name="集計 21 6 3 2 3 3" xfId="25769"/>
    <cellStyle name="集計 21 6 3 2 4" xfId="25770"/>
    <cellStyle name="集計 21 6 3 2 4 2" xfId="25771"/>
    <cellStyle name="集計 21 6 3 2 4 3" xfId="25772"/>
    <cellStyle name="集計 21 6 3 2 5" xfId="25773"/>
    <cellStyle name="集計 21 6 3 2 6" xfId="25774"/>
    <cellStyle name="集計 21 6 3 3" xfId="25775"/>
    <cellStyle name="集計 21 6 3 3 2" xfId="25776"/>
    <cellStyle name="集計 21 6 3 3 3" xfId="25777"/>
    <cellStyle name="集計 21 6 3 4" xfId="25778"/>
    <cellStyle name="集計 21 6 3 4 2" xfId="25779"/>
    <cellStyle name="集計 21 6 3 4 3" xfId="25780"/>
    <cellStyle name="集計 21 6 3 5" xfId="25781"/>
    <cellStyle name="集計 21 6 3 5 2" xfId="25782"/>
    <cellStyle name="集計 21 6 3 5 3" xfId="25783"/>
    <cellStyle name="集計 21 6 3 6" xfId="25784"/>
    <cellStyle name="集計 21 6 3 7" xfId="25785"/>
    <cellStyle name="集計 21 6 4" xfId="25786"/>
    <cellStyle name="集計 21 6 4 2" xfId="25787"/>
    <cellStyle name="集計 21 6 4 2 2" xfId="25788"/>
    <cellStyle name="集計 21 6 4 2 2 2" xfId="25789"/>
    <cellStyle name="集計 21 6 4 2 2 3" xfId="25790"/>
    <cellStyle name="集計 21 6 4 2 3" xfId="25791"/>
    <cellStyle name="集計 21 6 4 2 3 2" xfId="25792"/>
    <cellStyle name="集計 21 6 4 2 3 3" xfId="25793"/>
    <cellStyle name="集計 21 6 4 2 4" xfId="25794"/>
    <cellStyle name="集計 21 6 4 2 4 2" xfId="25795"/>
    <cellStyle name="集計 21 6 4 2 4 3" xfId="25796"/>
    <cellStyle name="集計 21 6 4 2 5" xfId="25797"/>
    <cellStyle name="集計 21 6 4 2 6" xfId="25798"/>
    <cellStyle name="集計 21 6 4 3" xfId="25799"/>
    <cellStyle name="集計 21 6 4 3 2" xfId="25800"/>
    <cellStyle name="集計 21 6 4 3 3" xfId="25801"/>
    <cellStyle name="集計 21 6 4 4" xfId="25802"/>
    <cellStyle name="集計 21 6 4 4 2" xfId="25803"/>
    <cellStyle name="集計 21 6 4 4 3" xfId="25804"/>
    <cellStyle name="集計 21 6 4 5" xfId="25805"/>
    <cellStyle name="集計 21 6 4 5 2" xfId="25806"/>
    <cellStyle name="集計 21 6 4 5 3" xfId="25807"/>
    <cellStyle name="集計 21 6 4 6" xfId="25808"/>
    <cellStyle name="集計 21 6 4 7" xfId="25809"/>
    <cellStyle name="集計 21 6 5" xfId="25810"/>
    <cellStyle name="集計 21 6 5 2" xfId="25811"/>
    <cellStyle name="集計 21 6 5 2 2" xfId="25812"/>
    <cellStyle name="集計 21 6 5 2 3" xfId="25813"/>
    <cellStyle name="集計 21 6 5 3" xfId="25814"/>
    <cellStyle name="集計 21 6 5 3 2" xfId="25815"/>
    <cellStyle name="集計 21 6 5 3 3" xfId="25816"/>
    <cellStyle name="集計 21 6 5 4" xfId="25817"/>
    <cellStyle name="集計 21 6 5 4 2" xfId="25818"/>
    <cellStyle name="集計 21 6 5 4 3" xfId="25819"/>
    <cellStyle name="集計 21 6 5 5" xfId="25820"/>
    <cellStyle name="集計 21 6 5 6" xfId="25821"/>
    <cellStyle name="集計 21 6 6" xfId="25822"/>
    <cellStyle name="集計 21 6 6 2" xfId="25823"/>
    <cellStyle name="集計 21 6 6 3" xfId="25824"/>
    <cellStyle name="集計 21 6 7" xfId="25825"/>
    <cellStyle name="集計 21 6 7 2" xfId="25826"/>
    <cellStyle name="集計 21 6 7 3" xfId="25827"/>
    <cellStyle name="集計 21 6 8" xfId="25828"/>
    <cellStyle name="集計 21 6 8 2" xfId="25829"/>
    <cellStyle name="集計 21 6 8 3" xfId="25830"/>
    <cellStyle name="集計 21 6 9" xfId="25831"/>
    <cellStyle name="集計 21 7" xfId="25832"/>
    <cellStyle name="集計 21 7 2" xfId="25833"/>
    <cellStyle name="集計 21 7 2 2" xfId="25834"/>
    <cellStyle name="集計 21 7 2 2 2" xfId="25835"/>
    <cellStyle name="集計 21 7 2 2 3" xfId="25836"/>
    <cellStyle name="集計 21 7 2 3" xfId="25837"/>
    <cellStyle name="集計 21 7 2 3 2" xfId="25838"/>
    <cellStyle name="集計 21 7 2 3 3" xfId="25839"/>
    <cellStyle name="集計 21 7 2 4" xfId="25840"/>
    <cellStyle name="集計 21 7 2 4 2" xfId="25841"/>
    <cellStyle name="集計 21 7 2 4 3" xfId="25842"/>
    <cellStyle name="集計 21 7 2 5" xfId="25843"/>
    <cellStyle name="集計 21 7 2 6" xfId="25844"/>
    <cellStyle name="集計 21 7 3" xfId="25845"/>
    <cellStyle name="集計 21 7 3 2" xfId="25846"/>
    <cellStyle name="集計 21 7 3 3" xfId="25847"/>
    <cellStyle name="集計 21 7 4" xfId="25848"/>
    <cellStyle name="集計 21 7 4 2" xfId="25849"/>
    <cellStyle name="集計 21 7 4 3" xfId="25850"/>
    <cellStyle name="集計 21 7 5" xfId="25851"/>
    <cellStyle name="集計 21 7 5 2" xfId="25852"/>
    <cellStyle name="集計 21 7 5 3" xfId="25853"/>
    <cellStyle name="集計 21 7 6" xfId="25854"/>
    <cellStyle name="集計 21 7 7" xfId="25855"/>
    <cellStyle name="集計 21 8" xfId="25856"/>
    <cellStyle name="集計 21 8 2" xfId="25857"/>
    <cellStyle name="集計 21 8 2 2" xfId="25858"/>
    <cellStyle name="集計 21 8 2 2 2" xfId="25859"/>
    <cellStyle name="集計 21 8 2 2 3" xfId="25860"/>
    <cellStyle name="集計 21 8 2 3" xfId="25861"/>
    <cellStyle name="集計 21 8 2 3 2" xfId="25862"/>
    <cellStyle name="集計 21 8 2 3 3" xfId="25863"/>
    <cellStyle name="集計 21 8 2 4" xfId="25864"/>
    <cellStyle name="集計 21 8 2 4 2" xfId="25865"/>
    <cellStyle name="集計 21 8 2 4 3" xfId="25866"/>
    <cellStyle name="集計 21 8 2 5" xfId="25867"/>
    <cellStyle name="集計 21 8 2 6" xfId="25868"/>
    <cellStyle name="集計 21 8 3" xfId="25869"/>
    <cellStyle name="集計 21 8 3 2" xfId="25870"/>
    <cellStyle name="集計 21 8 3 3" xfId="25871"/>
    <cellStyle name="集計 21 8 4" xfId="25872"/>
    <cellStyle name="集計 21 8 4 2" xfId="25873"/>
    <cellStyle name="集計 21 8 4 3" xfId="25874"/>
    <cellStyle name="集計 21 8 5" xfId="25875"/>
    <cellStyle name="集計 21 8 5 2" xfId="25876"/>
    <cellStyle name="集計 21 8 5 3" xfId="25877"/>
    <cellStyle name="集計 21 8 6" xfId="25878"/>
    <cellStyle name="集計 21 8 7" xfId="25879"/>
    <cellStyle name="集計 21 9" xfId="25880"/>
    <cellStyle name="集計 21 9 2" xfId="25881"/>
    <cellStyle name="集計 21 9 2 2" xfId="25882"/>
    <cellStyle name="集計 21 9 2 3" xfId="25883"/>
    <cellStyle name="集計 21 9 3" xfId="25884"/>
    <cellStyle name="集計 21 9 3 2" xfId="25885"/>
    <cellStyle name="集計 21 9 3 3" xfId="25886"/>
    <cellStyle name="集計 21 9 4" xfId="25887"/>
    <cellStyle name="集計 21 9 4 2" xfId="25888"/>
    <cellStyle name="集計 21 9 4 3" xfId="25889"/>
    <cellStyle name="集計 21 9 5" xfId="25890"/>
    <cellStyle name="集計 21 9 6" xfId="25891"/>
    <cellStyle name="集計 3" xfId="25892"/>
    <cellStyle name="集計 3 10" xfId="25893"/>
    <cellStyle name="集計 3 10 10" xfId="25894"/>
    <cellStyle name="集計 3 10 10 2" xfId="25895"/>
    <cellStyle name="集計 3 10 10 3" xfId="25896"/>
    <cellStyle name="集計 3 10 11" xfId="25897"/>
    <cellStyle name="集計 3 10 11 2" xfId="25898"/>
    <cellStyle name="集計 3 10 11 3" xfId="25899"/>
    <cellStyle name="集計 3 10 12" xfId="25900"/>
    <cellStyle name="集計 3 10 12 2" xfId="25901"/>
    <cellStyle name="集計 3 10 12 3" xfId="25902"/>
    <cellStyle name="集計 3 10 13" xfId="25903"/>
    <cellStyle name="集計 3 10 14" xfId="25904"/>
    <cellStyle name="集計 3 10 2" xfId="25905"/>
    <cellStyle name="集計 3 10 2 10" xfId="25906"/>
    <cellStyle name="集計 3 10 2 2" xfId="25907"/>
    <cellStyle name="集計 3 10 2 2 10" xfId="25908"/>
    <cellStyle name="集計 3 10 2 2 2" xfId="25909"/>
    <cellStyle name="集計 3 10 2 2 2 2" xfId="25910"/>
    <cellStyle name="集計 3 10 2 2 2 2 2" xfId="25911"/>
    <cellStyle name="集計 3 10 2 2 2 2 2 2" xfId="25912"/>
    <cellStyle name="集計 3 10 2 2 2 2 2 2 2" xfId="25913"/>
    <cellStyle name="集計 3 10 2 2 2 2 2 2 3" xfId="25914"/>
    <cellStyle name="集計 3 10 2 2 2 2 2 3" xfId="25915"/>
    <cellStyle name="集計 3 10 2 2 2 2 2 3 2" xfId="25916"/>
    <cellStyle name="集計 3 10 2 2 2 2 2 3 3" xfId="25917"/>
    <cellStyle name="集計 3 10 2 2 2 2 2 4" xfId="25918"/>
    <cellStyle name="集計 3 10 2 2 2 2 2 4 2" xfId="25919"/>
    <cellStyle name="集計 3 10 2 2 2 2 2 4 3" xfId="25920"/>
    <cellStyle name="集計 3 10 2 2 2 2 2 5" xfId="25921"/>
    <cellStyle name="集計 3 10 2 2 2 2 2 6" xfId="25922"/>
    <cellStyle name="集計 3 10 2 2 2 2 3" xfId="25923"/>
    <cellStyle name="集計 3 10 2 2 2 2 3 2" xfId="25924"/>
    <cellStyle name="集計 3 10 2 2 2 2 3 3" xfId="25925"/>
    <cellStyle name="集計 3 10 2 2 2 2 4" xfId="25926"/>
    <cellStyle name="集計 3 10 2 2 2 2 4 2" xfId="25927"/>
    <cellStyle name="集計 3 10 2 2 2 2 4 3" xfId="25928"/>
    <cellStyle name="集計 3 10 2 2 2 2 5" xfId="25929"/>
    <cellStyle name="集計 3 10 2 2 2 2 5 2" xfId="25930"/>
    <cellStyle name="集計 3 10 2 2 2 2 5 3" xfId="25931"/>
    <cellStyle name="集計 3 10 2 2 2 2 6" xfId="25932"/>
    <cellStyle name="集計 3 10 2 2 2 2 7" xfId="25933"/>
    <cellStyle name="集計 3 10 2 2 2 3" xfId="25934"/>
    <cellStyle name="集計 3 10 2 2 2 3 2" xfId="25935"/>
    <cellStyle name="集計 3 10 2 2 2 3 2 2" xfId="25936"/>
    <cellStyle name="集計 3 10 2 2 2 3 2 2 2" xfId="25937"/>
    <cellStyle name="集計 3 10 2 2 2 3 2 2 3" xfId="25938"/>
    <cellStyle name="集計 3 10 2 2 2 3 2 3" xfId="25939"/>
    <cellStyle name="集計 3 10 2 2 2 3 2 3 2" xfId="25940"/>
    <cellStyle name="集計 3 10 2 2 2 3 2 3 3" xfId="25941"/>
    <cellStyle name="集計 3 10 2 2 2 3 2 4" xfId="25942"/>
    <cellStyle name="集計 3 10 2 2 2 3 2 4 2" xfId="25943"/>
    <cellStyle name="集計 3 10 2 2 2 3 2 4 3" xfId="25944"/>
    <cellStyle name="集計 3 10 2 2 2 3 2 5" xfId="25945"/>
    <cellStyle name="集計 3 10 2 2 2 3 2 6" xfId="25946"/>
    <cellStyle name="集計 3 10 2 2 2 3 3" xfId="25947"/>
    <cellStyle name="集計 3 10 2 2 2 3 3 2" xfId="25948"/>
    <cellStyle name="集計 3 10 2 2 2 3 3 3" xfId="25949"/>
    <cellStyle name="集計 3 10 2 2 2 3 4" xfId="25950"/>
    <cellStyle name="集計 3 10 2 2 2 3 4 2" xfId="25951"/>
    <cellStyle name="集計 3 10 2 2 2 3 4 3" xfId="25952"/>
    <cellStyle name="集計 3 10 2 2 2 3 5" xfId="25953"/>
    <cellStyle name="集計 3 10 2 2 2 3 5 2" xfId="25954"/>
    <cellStyle name="集計 3 10 2 2 2 3 5 3" xfId="25955"/>
    <cellStyle name="集計 3 10 2 2 2 3 6" xfId="25956"/>
    <cellStyle name="集計 3 10 2 2 2 3 7" xfId="25957"/>
    <cellStyle name="集計 3 10 2 2 2 4" xfId="25958"/>
    <cellStyle name="集計 3 10 2 2 2 4 2" xfId="25959"/>
    <cellStyle name="集計 3 10 2 2 2 4 2 2" xfId="25960"/>
    <cellStyle name="集計 3 10 2 2 2 4 2 3" xfId="25961"/>
    <cellStyle name="集計 3 10 2 2 2 4 3" xfId="25962"/>
    <cellStyle name="集計 3 10 2 2 2 4 3 2" xfId="25963"/>
    <cellStyle name="集計 3 10 2 2 2 4 3 3" xfId="25964"/>
    <cellStyle name="集計 3 10 2 2 2 4 4" xfId="25965"/>
    <cellStyle name="集計 3 10 2 2 2 4 4 2" xfId="25966"/>
    <cellStyle name="集計 3 10 2 2 2 4 4 3" xfId="25967"/>
    <cellStyle name="集計 3 10 2 2 2 4 5" xfId="25968"/>
    <cellStyle name="集計 3 10 2 2 2 4 6" xfId="25969"/>
    <cellStyle name="集計 3 10 2 2 2 5" xfId="25970"/>
    <cellStyle name="集計 3 10 2 2 2 5 2" xfId="25971"/>
    <cellStyle name="集計 3 10 2 2 2 5 3" xfId="25972"/>
    <cellStyle name="集計 3 10 2 2 2 6" xfId="25973"/>
    <cellStyle name="集計 3 10 2 2 2 6 2" xfId="25974"/>
    <cellStyle name="集計 3 10 2 2 2 6 3" xfId="25975"/>
    <cellStyle name="集計 3 10 2 2 2 7" xfId="25976"/>
    <cellStyle name="集計 3 10 2 2 2 7 2" xfId="25977"/>
    <cellStyle name="集計 3 10 2 2 2 7 3" xfId="25978"/>
    <cellStyle name="集計 3 10 2 2 2 8" xfId="25979"/>
    <cellStyle name="集計 3 10 2 2 2 9" xfId="25980"/>
    <cellStyle name="集計 3 10 2 2 3" xfId="25981"/>
    <cellStyle name="集計 3 10 2 2 3 2" xfId="25982"/>
    <cellStyle name="集計 3 10 2 2 3 2 2" xfId="25983"/>
    <cellStyle name="集計 3 10 2 2 3 2 2 2" xfId="25984"/>
    <cellStyle name="集計 3 10 2 2 3 2 2 3" xfId="25985"/>
    <cellStyle name="集計 3 10 2 2 3 2 3" xfId="25986"/>
    <cellStyle name="集計 3 10 2 2 3 2 3 2" xfId="25987"/>
    <cellStyle name="集計 3 10 2 2 3 2 3 3" xfId="25988"/>
    <cellStyle name="集計 3 10 2 2 3 2 4" xfId="25989"/>
    <cellStyle name="集計 3 10 2 2 3 2 4 2" xfId="25990"/>
    <cellStyle name="集計 3 10 2 2 3 2 4 3" xfId="25991"/>
    <cellStyle name="集計 3 10 2 2 3 2 5" xfId="25992"/>
    <cellStyle name="集計 3 10 2 2 3 2 6" xfId="25993"/>
    <cellStyle name="集計 3 10 2 2 3 3" xfId="25994"/>
    <cellStyle name="集計 3 10 2 2 3 3 2" xfId="25995"/>
    <cellStyle name="集計 3 10 2 2 3 3 3" xfId="25996"/>
    <cellStyle name="集計 3 10 2 2 3 4" xfId="25997"/>
    <cellStyle name="集計 3 10 2 2 3 4 2" xfId="25998"/>
    <cellStyle name="集計 3 10 2 2 3 4 3" xfId="25999"/>
    <cellStyle name="集計 3 10 2 2 3 5" xfId="26000"/>
    <cellStyle name="集計 3 10 2 2 3 5 2" xfId="26001"/>
    <cellStyle name="集計 3 10 2 2 3 5 3" xfId="26002"/>
    <cellStyle name="集計 3 10 2 2 3 6" xfId="26003"/>
    <cellStyle name="集計 3 10 2 2 3 7" xfId="26004"/>
    <cellStyle name="集計 3 10 2 2 4" xfId="26005"/>
    <cellStyle name="集計 3 10 2 2 4 2" xfId="26006"/>
    <cellStyle name="集計 3 10 2 2 4 2 2" xfId="26007"/>
    <cellStyle name="集計 3 10 2 2 4 2 2 2" xfId="26008"/>
    <cellStyle name="集計 3 10 2 2 4 2 2 3" xfId="26009"/>
    <cellStyle name="集計 3 10 2 2 4 2 3" xfId="26010"/>
    <cellStyle name="集計 3 10 2 2 4 2 3 2" xfId="26011"/>
    <cellStyle name="集計 3 10 2 2 4 2 3 3" xfId="26012"/>
    <cellStyle name="集計 3 10 2 2 4 2 4" xfId="26013"/>
    <cellStyle name="集計 3 10 2 2 4 2 4 2" xfId="26014"/>
    <cellStyle name="集計 3 10 2 2 4 2 4 3" xfId="26015"/>
    <cellStyle name="集計 3 10 2 2 4 2 5" xfId="26016"/>
    <cellStyle name="集計 3 10 2 2 4 2 6" xfId="26017"/>
    <cellStyle name="集計 3 10 2 2 4 3" xfId="26018"/>
    <cellStyle name="集計 3 10 2 2 4 3 2" xfId="26019"/>
    <cellStyle name="集計 3 10 2 2 4 3 3" xfId="26020"/>
    <cellStyle name="集計 3 10 2 2 4 4" xfId="26021"/>
    <cellStyle name="集計 3 10 2 2 4 4 2" xfId="26022"/>
    <cellStyle name="集計 3 10 2 2 4 4 3" xfId="26023"/>
    <cellStyle name="集計 3 10 2 2 4 5" xfId="26024"/>
    <cellStyle name="集計 3 10 2 2 4 5 2" xfId="26025"/>
    <cellStyle name="集計 3 10 2 2 4 5 3" xfId="26026"/>
    <cellStyle name="集計 3 10 2 2 4 6" xfId="26027"/>
    <cellStyle name="集計 3 10 2 2 4 7" xfId="26028"/>
    <cellStyle name="集計 3 10 2 2 5" xfId="26029"/>
    <cellStyle name="集計 3 10 2 2 5 2" xfId="26030"/>
    <cellStyle name="集計 3 10 2 2 5 2 2" xfId="26031"/>
    <cellStyle name="集計 3 10 2 2 5 2 3" xfId="26032"/>
    <cellStyle name="集計 3 10 2 2 5 3" xfId="26033"/>
    <cellStyle name="集計 3 10 2 2 5 3 2" xfId="26034"/>
    <cellStyle name="集計 3 10 2 2 5 3 3" xfId="26035"/>
    <cellStyle name="集計 3 10 2 2 5 4" xfId="26036"/>
    <cellStyle name="集計 3 10 2 2 5 4 2" xfId="26037"/>
    <cellStyle name="集計 3 10 2 2 5 4 3" xfId="26038"/>
    <cellStyle name="集計 3 10 2 2 5 5" xfId="26039"/>
    <cellStyle name="集計 3 10 2 2 5 6" xfId="26040"/>
    <cellStyle name="集計 3 10 2 2 6" xfId="26041"/>
    <cellStyle name="集計 3 10 2 2 6 2" xfId="26042"/>
    <cellStyle name="集計 3 10 2 2 6 3" xfId="26043"/>
    <cellStyle name="集計 3 10 2 2 7" xfId="26044"/>
    <cellStyle name="集計 3 10 2 2 7 2" xfId="26045"/>
    <cellStyle name="集計 3 10 2 2 7 3" xfId="26046"/>
    <cellStyle name="集計 3 10 2 2 8" xfId="26047"/>
    <cellStyle name="集計 3 10 2 2 8 2" xfId="26048"/>
    <cellStyle name="集計 3 10 2 2 8 3" xfId="26049"/>
    <cellStyle name="集計 3 10 2 2 9" xfId="26050"/>
    <cellStyle name="集計 3 10 2 3" xfId="26051"/>
    <cellStyle name="集計 3 10 2 3 2" xfId="26052"/>
    <cellStyle name="集計 3 10 2 3 2 2" xfId="26053"/>
    <cellStyle name="集計 3 10 2 3 2 2 2" xfId="26054"/>
    <cellStyle name="集計 3 10 2 3 2 2 3" xfId="26055"/>
    <cellStyle name="集計 3 10 2 3 2 3" xfId="26056"/>
    <cellStyle name="集計 3 10 2 3 2 3 2" xfId="26057"/>
    <cellStyle name="集計 3 10 2 3 2 3 3" xfId="26058"/>
    <cellStyle name="集計 3 10 2 3 2 4" xfId="26059"/>
    <cellStyle name="集計 3 10 2 3 2 4 2" xfId="26060"/>
    <cellStyle name="集計 3 10 2 3 2 4 3" xfId="26061"/>
    <cellStyle name="集計 3 10 2 3 2 5" xfId="26062"/>
    <cellStyle name="集計 3 10 2 3 2 6" xfId="26063"/>
    <cellStyle name="集計 3 10 2 3 3" xfId="26064"/>
    <cellStyle name="集計 3 10 2 3 3 2" xfId="26065"/>
    <cellStyle name="集計 3 10 2 3 3 3" xfId="26066"/>
    <cellStyle name="集計 3 10 2 3 4" xfId="26067"/>
    <cellStyle name="集計 3 10 2 3 4 2" xfId="26068"/>
    <cellStyle name="集計 3 10 2 3 4 3" xfId="26069"/>
    <cellStyle name="集計 3 10 2 3 5" xfId="26070"/>
    <cellStyle name="集計 3 10 2 3 5 2" xfId="26071"/>
    <cellStyle name="集計 3 10 2 3 5 3" xfId="26072"/>
    <cellStyle name="集計 3 10 2 3 6" xfId="26073"/>
    <cellStyle name="集計 3 10 2 3 7" xfId="26074"/>
    <cellStyle name="集計 3 10 2 4" xfId="26075"/>
    <cellStyle name="集計 3 10 2 4 2" xfId="26076"/>
    <cellStyle name="集計 3 10 2 4 2 2" xfId="26077"/>
    <cellStyle name="集計 3 10 2 4 2 2 2" xfId="26078"/>
    <cellStyle name="集計 3 10 2 4 2 2 3" xfId="26079"/>
    <cellStyle name="集計 3 10 2 4 2 3" xfId="26080"/>
    <cellStyle name="集計 3 10 2 4 2 3 2" xfId="26081"/>
    <cellStyle name="集計 3 10 2 4 2 3 3" xfId="26082"/>
    <cellStyle name="集計 3 10 2 4 2 4" xfId="26083"/>
    <cellStyle name="集計 3 10 2 4 2 4 2" xfId="26084"/>
    <cellStyle name="集計 3 10 2 4 2 4 3" xfId="26085"/>
    <cellStyle name="集計 3 10 2 4 2 5" xfId="26086"/>
    <cellStyle name="集計 3 10 2 4 2 6" xfId="26087"/>
    <cellStyle name="集計 3 10 2 4 3" xfId="26088"/>
    <cellStyle name="集計 3 10 2 4 3 2" xfId="26089"/>
    <cellStyle name="集計 3 10 2 4 3 3" xfId="26090"/>
    <cellStyle name="集計 3 10 2 4 4" xfId="26091"/>
    <cellStyle name="集計 3 10 2 4 4 2" xfId="26092"/>
    <cellStyle name="集計 3 10 2 4 4 3" xfId="26093"/>
    <cellStyle name="集計 3 10 2 4 5" xfId="26094"/>
    <cellStyle name="集計 3 10 2 4 5 2" xfId="26095"/>
    <cellStyle name="集計 3 10 2 4 5 3" xfId="26096"/>
    <cellStyle name="集計 3 10 2 4 6" xfId="26097"/>
    <cellStyle name="集計 3 10 2 4 7" xfId="26098"/>
    <cellStyle name="集計 3 10 2 5" xfId="26099"/>
    <cellStyle name="集計 3 10 2 5 2" xfId="26100"/>
    <cellStyle name="集計 3 10 2 5 2 2" xfId="26101"/>
    <cellStyle name="集計 3 10 2 5 2 3" xfId="26102"/>
    <cellStyle name="集計 3 10 2 5 3" xfId="26103"/>
    <cellStyle name="集計 3 10 2 5 3 2" xfId="26104"/>
    <cellStyle name="集計 3 10 2 5 3 3" xfId="26105"/>
    <cellStyle name="集計 3 10 2 5 4" xfId="26106"/>
    <cellStyle name="集計 3 10 2 5 4 2" xfId="26107"/>
    <cellStyle name="集計 3 10 2 5 4 3" xfId="26108"/>
    <cellStyle name="集計 3 10 2 5 5" xfId="26109"/>
    <cellStyle name="集計 3 10 2 5 6" xfId="26110"/>
    <cellStyle name="集計 3 10 2 6" xfId="26111"/>
    <cellStyle name="集計 3 10 2 6 2" xfId="26112"/>
    <cellStyle name="集計 3 10 2 6 3" xfId="26113"/>
    <cellStyle name="集計 3 10 2 7" xfId="26114"/>
    <cellStyle name="集計 3 10 2 7 2" xfId="26115"/>
    <cellStyle name="集計 3 10 2 7 3" xfId="26116"/>
    <cellStyle name="集計 3 10 2 8" xfId="26117"/>
    <cellStyle name="集計 3 10 2 8 2" xfId="26118"/>
    <cellStyle name="集計 3 10 2 8 3" xfId="26119"/>
    <cellStyle name="集計 3 10 2 9" xfId="26120"/>
    <cellStyle name="集計 3 10 3" xfId="26121"/>
    <cellStyle name="集計 3 10 3 10" xfId="26122"/>
    <cellStyle name="集計 3 10 3 2" xfId="26123"/>
    <cellStyle name="集計 3 10 3 2 10" xfId="26124"/>
    <cellStyle name="集計 3 10 3 2 2" xfId="26125"/>
    <cellStyle name="集計 3 10 3 2 2 2" xfId="26126"/>
    <cellStyle name="集計 3 10 3 2 2 2 2" xfId="26127"/>
    <cellStyle name="集計 3 10 3 2 2 2 2 2" xfId="26128"/>
    <cellStyle name="集計 3 10 3 2 2 2 2 2 2" xfId="26129"/>
    <cellStyle name="集計 3 10 3 2 2 2 2 2 3" xfId="26130"/>
    <cellStyle name="集計 3 10 3 2 2 2 2 3" xfId="26131"/>
    <cellStyle name="集計 3 10 3 2 2 2 2 3 2" xfId="26132"/>
    <cellStyle name="集計 3 10 3 2 2 2 2 3 3" xfId="26133"/>
    <cellStyle name="集計 3 10 3 2 2 2 2 4" xfId="26134"/>
    <cellStyle name="集計 3 10 3 2 2 2 2 4 2" xfId="26135"/>
    <cellStyle name="集計 3 10 3 2 2 2 2 4 3" xfId="26136"/>
    <cellStyle name="集計 3 10 3 2 2 2 2 5" xfId="26137"/>
    <cellStyle name="集計 3 10 3 2 2 2 2 6" xfId="26138"/>
    <cellStyle name="集計 3 10 3 2 2 2 3" xfId="26139"/>
    <cellStyle name="集計 3 10 3 2 2 2 3 2" xfId="26140"/>
    <cellStyle name="集計 3 10 3 2 2 2 3 3" xfId="26141"/>
    <cellStyle name="集計 3 10 3 2 2 2 4" xfId="26142"/>
    <cellStyle name="集計 3 10 3 2 2 2 4 2" xfId="26143"/>
    <cellStyle name="集計 3 10 3 2 2 2 4 3" xfId="26144"/>
    <cellStyle name="集計 3 10 3 2 2 2 5" xfId="26145"/>
    <cellStyle name="集計 3 10 3 2 2 2 5 2" xfId="26146"/>
    <cellStyle name="集計 3 10 3 2 2 2 5 3" xfId="26147"/>
    <cellStyle name="集計 3 10 3 2 2 2 6" xfId="26148"/>
    <cellStyle name="集計 3 10 3 2 2 2 7" xfId="26149"/>
    <cellStyle name="集計 3 10 3 2 2 3" xfId="26150"/>
    <cellStyle name="集計 3 10 3 2 2 3 2" xfId="26151"/>
    <cellStyle name="集計 3 10 3 2 2 3 2 2" xfId="26152"/>
    <cellStyle name="集計 3 10 3 2 2 3 2 2 2" xfId="26153"/>
    <cellStyle name="集計 3 10 3 2 2 3 2 2 3" xfId="26154"/>
    <cellStyle name="集計 3 10 3 2 2 3 2 3" xfId="26155"/>
    <cellStyle name="集計 3 10 3 2 2 3 2 3 2" xfId="26156"/>
    <cellStyle name="集計 3 10 3 2 2 3 2 3 3" xfId="26157"/>
    <cellStyle name="集計 3 10 3 2 2 3 2 4" xfId="26158"/>
    <cellStyle name="集計 3 10 3 2 2 3 2 4 2" xfId="26159"/>
    <cellStyle name="集計 3 10 3 2 2 3 2 4 3" xfId="26160"/>
    <cellStyle name="集計 3 10 3 2 2 3 2 5" xfId="26161"/>
    <cellStyle name="集計 3 10 3 2 2 3 2 6" xfId="26162"/>
    <cellStyle name="集計 3 10 3 2 2 3 3" xfId="26163"/>
    <cellStyle name="集計 3 10 3 2 2 3 3 2" xfId="26164"/>
    <cellStyle name="集計 3 10 3 2 2 3 3 3" xfId="26165"/>
    <cellStyle name="集計 3 10 3 2 2 3 4" xfId="26166"/>
    <cellStyle name="集計 3 10 3 2 2 3 4 2" xfId="26167"/>
    <cellStyle name="集計 3 10 3 2 2 3 4 3" xfId="26168"/>
    <cellStyle name="集計 3 10 3 2 2 3 5" xfId="26169"/>
    <cellStyle name="集計 3 10 3 2 2 3 5 2" xfId="26170"/>
    <cellStyle name="集計 3 10 3 2 2 3 5 3" xfId="26171"/>
    <cellStyle name="集計 3 10 3 2 2 3 6" xfId="26172"/>
    <cellStyle name="集計 3 10 3 2 2 3 7" xfId="26173"/>
    <cellStyle name="集計 3 10 3 2 2 4" xfId="26174"/>
    <cellStyle name="集計 3 10 3 2 2 4 2" xfId="26175"/>
    <cellStyle name="集計 3 10 3 2 2 4 2 2" xfId="26176"/>
    <cellStyle name="集計 3 10 3 2 2 4 2 3" xfId="26177"/>
    <cellStyle name="集計 3 10 3 2 2 4 3" xfId="26178"/>
    <cellStyle name="集計 3 10 3 2 2 4 3 2" xfId="26179"/>
    <cellStyle name="集計 3 10 3 2 2 4 3 3" xfId="26180"/>
    <cellStyle name="集計 3 10 3 2 2 4 4" xfId="26181"/>
    <cellStyle name="集計 3 10 3 2 2 4 4 2" xfId="26182"/>
    <cellStyle name="集計 3 10 3 2 2 4 4 3" xfId="26183"/>
    <cellStyle name="集計 3 10 3 2 2 4 5" xfId="26184"/>
    <cellStyle name="集計 3 10 3 2 2 4 6" xfId="26185"/>
    <cellStyle name="集計 3 10 3 2 2 5" xfId="26186"/>
    <cellStyle name="集計 3 10 3 2 2 5 2" xfId="26187"/>
    <cellStyle name="集計 3 10 3 2 2 5 3" xfId="26188"/>
    <cellStyle name="集計 3 10 3 2 2 6" xfId="26189"/>
    <cellStyle name="集計 3 10 3 2 2 6 2" xfId="26190"/>
    <cellStyle name="集計 3 10 3 2 2 6 3" xfId="26191"/>
    <cellStyle name="集計 3 10 3 2 2 7" xfId="26192"/>
    <cellStyle name="集計 3 10 3 2 2 7 2" xfId="26193"/>
    <cellStyle name="集計 3 10 3 2 2 7 3" xfId="26194"/>
    <cellStyle name="集計 3 10 3 2 2 8" xfId="26195"/>
    <cellStyle name="集計 3 10 3 2 2 9" xfId="26196"/>
    <cellStyle name="集計 3 10 3 2 3" xfId="26197"/>
    <cellStyle name="集計 3 10 3 2 3 2" xfId="26198"/>
    <cellStyle name="集計 3 10 3 2 3 2 2" xfId="26199"/>
    <cellStyle name="集計 3 10 3 2 3 2 2 2" xfId="26200"/>
    <cellStyle name="集計 3 10 3 2 3 2 2 3" xfId="26201"/>
    <cellStyle name="集計 3 10 3 2 3 2 3" xfId="26202"/>
    <cellStyle name="集計 3 10 3 2 3 2 3 2" xfId="26203"/>
    <cellStyle name="集計 3 10 3 2 3 2 3 3" xfId="26204"/>
    <cellStyle name="集計 3 10 3 2 3 2 4" xfId="26205"/>
    <cellStyle name="集計 3 10 3 2 3 2 4 2" xfId="26206"/>
    <cellStyle name="集計 3 10 3 2 3 2 4 3" xfId="26207"/>
    <cellStyle name="集計 3 10 3 2 3 2 5" xfId="26208"/>
    <cellStyle name="集計 3 10 3 2 3 2 6" xfId="26209"/>
    <cellStyle name="集計 3 10 3 2 3 3" xfId="26210"/>
    <cellStyle name="集計 3 10 3 2 3 3 2" xfId="26211"/>
    <cellStyle name="集計 3 10 3 2 3 3 3" xfId="26212"/>
    <cellStyle name="集計 3 10 3 2 3 4" xfId="26213"/>
    <cellStyle name="集計 3 10 3 2 3 4 2" xfId="26214"/>
    <cellStyle name="集計 3 10 3 2 3 4 3" xfId="26215"/>
    <cellStyle name="集計 3 10 3 2 3 5" xfId="26216"/>
    <cellStyle name="集計 3 10 3 2 3 5 2" xfId="26217"/>
    <cellStyle name="集計 3 10 3 2 3 5 3" xfId="26218"/>
    <cellStyle name="集計 3 10 3 2 3 6" xfId="26219"/>
    <cellStyle name="集計 3 10 3 2 3 7" xfId="26220"/>
    <cellStyle name="集計 3 10 3 2 4" xfId="26221"/>
    <cellStyle name="集計 3 10 3 2 4 2" xfId="26222"/>
    <cellStyle name="集計 3 10 3 2 4 2 2" xfId="26223"/>
    <cellStyle name="集計 3 10 3 2 4 2 2 2" xfId="26224"/>
    <cellStyle name="集計 3 10 3 2 4 2 2 3" xfId="26225"/>
    <cellStyle name="集計 3 10 3 2 4 2 3" xfId="26226"/>
    <cellStyle name="集計 3 10 3 2 4 2 3 2" xfId="26227"/>
    <cellStyle name="集計 3 10 3 2 4 2 3 3" xfId="26228"/>
    <cellStyle name="集計 3 10 3 2 4 2 4" xfId="26229"/>
    <cellStyle name="集計 3 10 3 2 4 2 4 2" xfId="26230"/>
    <cellStyle name="集計 3 10 3 2 4 2 4 3" xfId="26231"/>
    <cellStyle name="集計 3 10 3 2 4 2 5" xfId="26232"/>
    <cellStyle name="集計 3 10 3 2 4 2 6" xfId="26233"/>
    <cellStyle name="集計 3 10 3 2 4 3" xfId="26234"/>
    <cellStyle name="集計 3 10 3 2 4 3 2" xfId="26235"/>
    <cellStyle name="集計 3 10 3 2 4 3 3" xfId="26236"/>
    <cellStyle name="集計 3 10 3 2 4 4" xfId="26237"/>
    <cellStyle name="集計 3 10 3 2 4 4 2" xfId="26238"/>
    <cellStyle name="集計 3 10 3 2 4 4 3" xfId="26239"/>
    <cellStyle name="集計 3 10 3 2 4 5" xfId="26240"/>
    <cellStyle name="集計 3 10 3 2 4 5 2" xfId="26241"/>
    <cellStyle name="集計 3 10 3 2 4 5 3" xfId="26242"/>
    <cellStyle name="集計 3 10 3 2 4 6" xfId="26243"/>
    <cellStyle name="集計 3 10 3 2 4 7" xfId="26244"/>
    <cellStyle name="集計 3 10 3 2 5" xfId="26245"/>
    <cellStyle name="集計 3 10 3 2 5 2" xfId="26246"/>
    <cellStyle name="集計 3 10 3 2 5 2 2" xfId="26247"/>
    <cellStyle name="集計 3 10 3 2 5 2 3" xfId="26248"/>
    <cellStyle name="集計 3 10 3 2 5 3" xfId="26249"/>
    <cellStyle name="集計 3 10 3 2 5 3 2" xfId="26250"/>
    <cellStyle name="集計 3 10 3 2 5 3 3" xfId="26251"/>
    <cellStyle name="集計 3 10 3 2 5 4" xfId="26252"/>
    <cellStyle name="集計 3 10 3 2 5 4 2" xfId="26253"/>
    <cellStyle name="集計 3 10 3 2 5 4 3" xfId="26254"/>
    <cellStyle name="集計 3 10 3 2 5 5" xfId="26255"/>
    <cellStyle name="集計 3 10 3 2 5 6" xfId="26256"/>
    <cellStyle name="集計 3 10 3 2 6" xfId="26257"/>
    <cellStyle name="集計 3 10 3 2 6 2" xfId="26258"/>
    <cellStyle name="集計 3 10 3 2 6 3" xfId="26259"/>
    <cellStyle name="集計 3 10 3 2 7" xfId="26260"/>
    <cellStyle name="集計 3 10 3 2 7 2" xfId="26261"/>
    <cellStyle name="集計 3 10 3 2 7 3" xfId="26262"/>
    <cellStyle name="集計 3 10 3 2 8" xfId="26263"/>
    <cellStyle name="集計 3 10 3 2 8 2" xfId="26264"/>
    <cellStyle name="集計 3 10 3 2 8 3" xfId="26265"/>
    <cellStyle name="集計 3 10 3 2 9" xfId="26266"/>
    <cellStyle name="集計 3 10 3 3" xfId="26267"/>
    <cellStyle name="集計 3 10 3 3 2" xfId="26268"/>
    <cellStyle name="集計 3 10 3 3 2 2" xfId="26269"/>
    <cellStyle name="集計 3 10 3 3 2 2 2" xfId="26270"/>
    <cellStyle name="集計 3 10 3 3 2 2 3" xfId="26271"/>
    <cellStyle name="集計 3 10 3 3 2 3" xfId="26272"/>
    <cellStyle name="集計 3 10 3 3 2 3 2" xfId="26273"/>
    <cellStyle name="集計 3 10 3 3 2 3 3" xfId="26274"/>
    <cellStyle name="集計 3 10 3 3 2 4" xfId="26275"/>
    <cellStyle name="集計 3 10 3 3 2 4 2" xfId="26276"/>
    <cellStyle name="集計 3 10 3 3 2 4 3" xfId="26277"/>
    <cellStyle name="集計 3 10 3 3 2 5" xfId="26278"/>
    <cellStyle name="集計 3 10 3 3 2 6" xfId="26279"/>
    <cellStyle name="集計 3 10 3 3 3" xfId="26280"/>
    <cellStyle name="集計 3 10 3 3 3 2" xfId="26281"/>
    <cellStyle name="集計 3 10 3 3 3 3" xfId="26282"/>
    <cellStyle name="集計 3 10 3 3 4" xfId="26283"/>
    <cellStyle name="集計 3 10 3 3 4 2" xfId="26284"/>
    <cellStyle name="集計 3 10 3 3 4 3" xfId="26285"/>
    <cellStyle name="集計 3 10 3 3 5" xfId="26286"/>
    <cellStyle name="集計 3 10 3 3 5 2" xfId="26287"/>
    <cellStyle name="集計 3 10 3 3 5 3" xfId="26288"/>
    <cellStyle name="集計 3 10 3 3 6" xfId="26289"/>
    <cellStyle name="集計 3 10 3 3 7" xfId="26290"/>
    <cellStyle name="集計 3 10 3 4" xfId="26291"/>
    <cellStyle name="集計 3 10 3 4 2" xfId="26292"/>
    <cellStyle name="集計 3 10 3 4 2 2" xfId="26293"/>
    <cellStyle name="集計 3 10 3 4 2 2 2" xfId="26294"/>
    <cellStyle name="集計 3 10 3 4 2 2 3" xfId="26295"/>
    <cellStyle name="集計 3 10 3 4 2 3" xfId="26296"/>
    <cellStyle name="集計 3 10 3 4 2 3 2" xfId="26297"/>
    <cellStyle name="集計 3 10 3 4 2 3 3" xfId="26298"/>
    <cellStyle name="集計 3 10 3 4 2 4" xfId="26299"/>
    <cellStyle name="集計 3 10 3 4 2 4 2" xfId="26300"/>
    <cellStyle name="集計 3 10 3 4 2 4 3" xfId="26301"/>
    <cellStyle name="集計 3 10 3 4 2 5" xfId="26302"/>
    <cellStyle name="集計 3 10 3 4 2 6" xfId="26303"/>
    <cellStyle name="集計 3 10 3 4 3" xfId="26304"/>
    <cellStyle name="集計 3 10 3 4 3 2" xfId="26305"/>
    <cellStyle name="集計 3 10 3 4 3 3" xfId="26306"/>
    <cellStyle name="集計 3 10 3 4 4" xfId="26307"/>
    <cellStyle name="集計 3 10 3 4 4 2" xfId="26308"/>
    <cellStyle name="集計 3 10 3 4 4 3" xfId="26309"/>
    <cellStyle name="集計 3 10 3 4 5" xfId="26310"/>
    <cellStyle name="集計 3 10 3 4 5 2" xfId="26311"/>
    <cellStyle name="集計 3 10 3 4 5 3" xfId="26312"/>
    <cellStyle name="集計 3 10 3 4 6" xfId="26313"/>
    <cellStyle name="集計 3 10 3 4 7" xfId="26314"/>
    <cellStyle name="集計 3 10 3 5" xfId="26315"/>
    <cellStyle name="集計 3 10 3 5 2" xfId="26316"/>
    <cellStyle name="集計 3 10 3 5 2 2" xfId="26317"/>
    <cellStyle name="集計 3 10 3 5 2 3" xfId="26318"/>
    <cellStyle name="集計 3 10 3 5 3" xfId="26319"/>
    <cellStyle name="集計 3 10 3 5 3 2" xfId="26320"/>
    <cellStyle name="集計 3 10 3 5 3 3" xfId="26321"/>
    <cellStyle name="集計 3 10 3 5 4" xfId="26322"/>
    <cellStyle name="集計 3 10 3 5 4 2" xfId="26323"/>
    <cellStyle name="集計 3 10 3 5 4 3" xfId="26324"/>
    <cellStyle name="集計 3 10 3 5 5" xfId="26325"/>
    <cellStyle name="集計 3 10 3 5 6" xfId="26326"/>
    <cellStyle name="集計 3 10 3 6" xfId="26327"/>
    <cellStyle name="集計 3 10 3 6 2" xfId="26328"/>
    <cellStyle name="集計 3 10 3 6 3" xfId="26329"/>
    <cellStyle name="集計 3 10 3 7" xfId="26330"/>
    <cellStyle name="集計 3 10 3 7 2" xfId="26331"/>
    <cellStyle name="集計 3 10 3 7 3" xfId="26332"/>
    <cellStyle name="集計 3 10 3 8" xfId="26333"/>
    <cellStyle name="集計 3 10 3 8 2" xfId="26334"/>
    <cellStyle name="集計 3 10 3 8 3" xfId="26335"/>
    <cellStyle name="集計 3 10 3 9" xfId="26336"/>
    <cellStyle name="集計 3 10 4" xfId="26337"/>
    <cellStyle name="集計 3 10 4 10" xfId="26338"/>
    <cellStyle name="集計 3 10 4 2" xfId="26339"/>
    <cellStyle name="集計 3 10 4 2 10" xfId="26340"/>
    <cellStyle name="集計 3 10 4 2 2" xfId="26341"/>
    <cellStyle name="集計 3 10 4 2 2 2" xfId="26342"/>
    <cellStyle name="集計 3 10 4 2 2 2 2" xfId="26343"/>
    <cellStyle name="集計 3 10 4 2 2 2 2 2" xfId="26344"/>
    <cellStyle name="集計 3 10 4 2 2 2 2 2 2" xfId="26345"/>
    <cellStyle name="集計 3 10 4 2 2 2 2 2 3" xfId="26346"/>
    <cellStyle name="集計 3 10 4 2 2 2 2 3" xfId="26347"/>
    <cellStyle name="集計 3 10 4 2 2 2 2 3 2" xfId="26348"/>
    <cellStyle name="集計 3 10 4 2 2 2 2 3 3" xfId="26349"/>
    <cellStyle name="集計 3 10 4 2 2 2 2 4" xfId="26350"/>
    <cellStyle name="集計 3 10 4 2 2 2 2 4 2" xfId="26351"/>
    <cellStyle name="集計 3 10 4 2 2 2 2 4 3" xfId="26352"/>
    <cellStyle name="集計 3 10 4 2 2 2 2 5" xfId="26353"/>
    <cellStyle name="集計 3 10 4 2 2 2 2 6" xfId="26354"/>
    <cellStyle name="集計 3 10 4 2 2 2 3" xfId="26355"/>
    <cellStyle name="集計 3 10 4 2 2 2 3 2" xfId="26356"/>
    <cellStyle name="集計 3 10 4 2 2 2 3 3" xfId="26357"/>
    <cellStyle name="集計 3 10 4 2 2 2 4" xfId="26358"/>
    <cellStyle name="集計 3 10 4 2 2 2 4 2" xfId="26359"/>
    <cellStyle name="集計 3 10 4 2 2 2 4 3" xfId="26360"/>
    <cellStyle name="集計 3 10 4 2 2 2 5" xfId="26361"/>
    <cellStyle name="集計 3 10 4 2 2 2 5 2" xfId="26362"/>
    <cellStyle name="集計 3 10 4 2 2 2 5 3" xfId="26363"/>
    <cellStyle name="集計 3 10 4 2 2 2 6" xfId="26364"/>
    <cellStyle name="集計 3 10 4 2 2 2 7" xfId="26365"/>
    <cellStyle name="集計 3 10 4 2 2 3" xfId="26366"/>
    <cellStyle name="集計 3 10 4 2 2 3 2" xfId="26367"/>
    <cellStyle name="集計 3 10 4 2 2 3 2 2" xfId="26368"/>
    <cellStyle name="集計 3 10 4 2 2 3 2 2 2" xfId="26369"/>
    <cellStyle name="集計 3 10 4 2 2 3 2 2 3" xfId="26370"/>
    <cellStyle name="集計 3 10 4 2 2 3 2 3" xfId="26371"/>
    <cellStyle name="集計 3 10 4 2 2 3 2 3 2" xfId="26372"/>
    <cellStyle name="集計 3 10 4 2 2 3 2 3 3" xfId="26373"/>
    <cellStyle name="集計 3 10 4 2 2 3 2 4" xfId="26374"/>
    <cellStyle name="集計 3 10 4 2 2 3 2 4 2" xfId="26375"/>
    <cellStyle name="集計 3 10 4 2 2 3 2 4 3" xfId="26376"/>
    <cellStyle name="集計 3 10 4 2 2 3 2 5" xfId="26377"/>
    <cellStyle name="集計 3 10 4 2 2 3 2 6" xfId="26378"/>
    <cellStyle name="集計 3 10 4 2 2 3 3" xfId="26379"/>
    <cellStyle name="集計 3 10 4 2 2 3 3 2" xfId="26380"/>
    <cellStyle name="集計 3 10 4 2 2 3 3 3" xfId="26381"/>
    <cellStyle name="集計 3 10 4 2 2 3 4" xfId="26382"/>
    <cellStyle name="集計 3 10 4 2 2 3 4 2" xfId="26383"/>
    <cellStyle name="集計 3 10 4 2 2 3 4 3" xfId="26384"/>
    <cellStyle name="集計 3 10 4 2 2 3 5" xfId="26385"/>
    <cellStyle name="集計 3 10 4 2 2 3 5 2" xfId="26386"/>
    <cellStyle name="集計 3 10 4 2 2 3 5 3" xfId="26387"/>
    <cellStyle name="集計 3 10 4 2 2 3 6" xfId="26388"/>
    <cellStyle name="集計 3 10 4 2 2 3 7" xfId="26389"/>
    <cellStyle name="集計 3 10 4 2 2 4" xfId="26390"/>
    <cellStyle name="集計 3 10 4 2 2 4 2" xfId="26391"/>
    <cellStyle name="集計 3 10 4 2 2 4 2 2" xfId="26392"/>
    <cellStyle name="集計 3 10 4 2 2 4 2 3" xfId="26393"/>
    <cellStyle name="集計 3 10 4 2 2 4 3" xfId="26394"/>
    <cellStyle name="集計 3 10 4 2 2 4 3 2" xfId="26395"/>
    <cellStyle name="集計 3 10 4 2 2 4 3 3" xfId="26396"/>
    <cellStyle name="集計 3 10 4 2 2 4 4" xfId="26397"/>
    <cellStyle name="集計 3 10 4 2 2 4 4 2" xfId="26398"/>
    <cellStyle name="集計 3 10 4 2 2 4 4 3" xfId="26399"/>
    <cellStyle name="集計 3 10 4 2 2 4 5" xfId="26400"/>
    <cellStyle name="集計 3 10 4 2 2 4 6" xfId="26401"/>
    <cellStyle name="集計 3 10 4 2 2 5" xfId="26402"/>
    <cellStyle name="集計 3 10 4 2 2 5 2" xfId="26403"/>
    <cellStyle name="集計 3 10 4 2 2 5 3" xfId="26404"/>
    <cellStyle name="集計 3 10 4 2 2 6" xfId="26405"/>
    <cellStyle name="集計 3 10 4 2 2 6 2" xfId="26406"/>
    <cellStyle name="集計 3 10 4 2 2 6 3" xfId="26407"/>
    <cellStyle name="集計 3 10 4 2 2 7" xfId="26408"/>
    <cellStyle name="集計 3 10 4 2 2 7 2" xfId="26409"/>
    <cellStyle name="集計 3 10 4 2 2 7 3" xfId="26410"/>
    <cellStyle name="集計 3 10 4 2 2 8" xfId="26411"/>
    <cellStyle name="集計 3 10 4 2 2 9" xfId="26412"/>
    <cellStyle name="集計 3 10 4 2 3" xfId="26413"/>
    <cellStyle name="集計 3 10 4 2 3 2" xfId="26414"/>
    <cellStyle name="集計 3 10 4 2 3 2 2" xfId="26415"/>
    <cellStyle name="集計 3 10 4 2 3 2 2 2" xfId="26416"/>
    <cellStyle name="集計 3 10 4 2 3 2 2 3" xfId="26417"/>
    <cellStyle name="集計 3 10 4 2 3 2 3" xfId="26418"/>
    <cellStyle name="集計 3 10 4 2 3 2 3 2" xfId="26419"/>
    <cellStyle name="集計 3 10 4 2 3 2 3 3" xfId="26420"/>
    <cellStyle name="集計 3 10 4 2 3 2 4" xfId="26421"/>
    <cellStyle name="集計 3 10 4 2 3 2 4 2" xfId="26422"/>
    <cellStyle name="集計 3 10 4 2 3 2 4 3" xfId="26423"/>
    <cellStyle name="集計 3 10 4 2 3 2 5" xfId="26424"/>
    <cellStyle name="集計 3 10 4 2 3 2 6" xfId="26425"/>
    <cellStyle name="集計 3 10 4 2 3 3" xfId="26426"/>
    <cellStyle name="集計 3 10 4 2 3 3 2" xfId="26427"/>
    <cellStyle name="集計 3 10 4 2 3 3 3" xfId="26428"/>
    <cellStyle name="集計 3 10 4 2 3 4" xfId="26429"/>
    <cellStyle name="集計 3 10 4 2 3 4 2" xfId="26430"/>
    <cellStyle name="集計 3 10 4 2 3 4 3" xfId="26431"/>
    <cellStyle name="集計 3 10 4 2 3 5" xfId="26432"/>
    <cellStyle name="集計 3 10 4 2 3 5 2" xfId="26433"/>
    <cellStyle name="集計 3 10 4 2 3 5 3" xfId="26434"/>
    <cellStyle name="集計 3 10 4 2 3 6" xfId="26435"/>
    <cellStyle name="集計 3 10 4 2 3 7" xfId="26436"/>
    <cellStyle name="集計 3 10 4 2 4" xfId="26437"/>
    <cellStyle name="集計 3 10 4 2 4 2" xfId="26438"/>
    <cellStyle name="集計 3 10 4 2 4 2 2" xfId="26439"/>
    <cellStyle name="集計 3 10 4 2 4 2 2 2" xfId="26440"/>
    <cellStyle name="集計 3 10 4 2 4 2 2 3" xfId="26441"/>
    <cellStyle name="集計 3 10 4 2 4 2 3" xfId="26442"/>
    <cellStyle name="集計 3 10 4 2 4 2 3 2" xfId="26443"/>
    <cellStyle name="集計 3 10 4 2 4 2 3 3" xfId="26444"/>
    <cellStyle name="集計 3 10 4 2 4 2 4" xfId="26445"/>
    <cellStyle name="集計 3 10 4 2 4 2 4 2" xfId="26446"/>
    <cellStyle name="集計 3 10 4 2 4 2 4 3" xfId="26447"/>
    <cellStyle name="集計 3 10 4 2 4 2 5" xfId="26448"/>
    <cellStyle name="集計 3 10 4 2 4 2 6" xfId="26449"/>
    <cellStyle name="集計 3 10 4 2 4 3" xfId="26450"/>
    <cellStyle name="集計 3 10 4 2 4 3 2" xfId="26451"/>
    <cellStyle name="集計 3 10 4 2 4 3 3" xfId="26452"/>
    <cellStyle name="集計 3 10 4 2 4 4" xfId="26453"/>
    <cellStyle name="集計 3 10 4 2 4 4 2" xfId="26454"/>
    <cellStyle name="集計 3 10 4 2 4 4 3" xfId="26455"/>
    <cellStyle name="集計 3 10 4 2 4 5" xfId="26456"/>
    <cellStyle name="集計 3 10 4 2 4 5 2" xfId="26457"/>
    <cellStyle name="集計 3 10 4 2 4 5 3" xfId="26458"/>
    <cellStyle name="集計 3 10 4 2 4 6" xfId="26459"/>
    <cellStyle name="集計 3 10 4 2 4 7" xfId="26460"/>
    <cellStyle name="集計 3 10 4 2 5" xfId="26461"/>
    <cellStyle name="集計 3 10 4 2 5 2" xfId="26462"/>
    <cellStyle name="集計 3 10 4 2 5 2 2" xfId="26463"/>
    <cellStyle name="集計 3 10 4 2 5 2 3" xfId="26464"/>
    <cellStyle name="集計 3 10 4 2 5 3" xfId="26465"/>
    <cellStyle name="集計 3 10 4 2 5 3 2" xfId="26466"/>
    <cellStyle name="集計 3 10 4 2 5 3 3" xfId="26467"/>
    <cellStyle name="集計 3 10 4 2 5 4" xfId="26468"/>
    <cellStyle name="集計 3 10 4 2 5 4 2" xfId="26469"/>
    <cellStyle name="集計 3 10 4 2 5 4 3" xfId="26470"/>
    <cellStyle name="集計 3 10 4 2 5 5" xfId="26471"/>
    <cellStyle name="集計 3 10 4 2 5 6" xfId="26472"/>
    <cellStyle name="集計 3 10 4 2 6" xfId="26473"/>
    <cellStyle name="集計 3 10 4 2 6 2" xfId="26474"/>
    <cellStyle name="集計 3 10 4 2 6 3" xfId="26475"/>
    <cellStyle name="集計 3 10 4 2 7" xfId="26476"/>
    <cellStyle name="集計 3 10 4 2 7 2" xfId="26477"/>
    <cellStyle name="集計 3 10 4 2 7 3" xfId="26478"/>
    <cellStyle name="集計 3 10 4 2 8" xfId="26479"/>
    <cellStyle name="集計 3 10 4 2 8 2" xfId="26480"/>
    <cellStyle name="集計 3 10 4 2 8 3" xfId="26481"/>
    <cellStyle name="集計 3 10 4 2 9" xfId="26482"/>
    <cellStyle name="集計 3 10 4 3" xfId="26483"/>
    <cellStyle name="集計 3 10 4 3 2" xfId="26484"/>
    <cellStyle name="集計 3 10 4 3 2 2" xfId="26485"/>
    <cellStyle name="集計 3 10 4 3 2 2 2" xfId="26486"/>
    <cellStyle name="集計 3 10 4 3 2 2 3" xfId="26487"/>
    <cellStyle name="集計 3 10 4 3 2 3" xfId="26488"/>
    <cellStyle name="集計 3 10 4 3 2 3 2" xfId="26489"/>
    <cellStyle name="集計 3 10 4 3 2 3 3" xfId="26490"/>
    <cellStyle name="集計 3 10 4 3 2 4" xfId="26491"/>
    <cellStyle name="集計 3 10 4 3 2 4 2" xfId="26492"/>
    <cellStyle name="集計 3 10 4 3 2 4 3" xfId="26493"/>
    <cellStyle name="集計 3 10 4 3 2 5" xfId="26494"/>
    <cellStyle name="集計 3 10 4 3 2 6" xfId="26495"/>
    <cellStyle name="集計 3 10 4 3 3" xfId="26496"/>
    <cellStyle name="集計 3 10 4 3 3 2" xfId="26497"/>
    <cellStyle name="集計 3 10 4 3 3 3" xfId="26498"/>
    <cellStyle name="集計 3 10 4 3 4" xfId="26499"/>
    <cellStyle name="集計 3 10 4 3 4 2" xfId="26500"/>
    <cellStyle name="集計 3 10 4 3 4 3" xfId="26501"/>
    <cellStyle name="集計 3 10 4 3 5" xfId="26502"/>
    <cellStyle name="集計 3 10 4 3 5 2" xfId="26503"/>
    <cellStyle name="集計 3 10 4 3 5 3" xfId="26504"/>
    <cellStyle name="集計 3 10 4 3 6" xfId="26505"/>
    <cellStyle name="集計 3 10 4 3 7" xfId="26506"/>
    <cellStyle name="集計 3 10 4 4" xfId="26507"/>
    <cellStyle name="集計 3 10 4 4 2" xfId="26508"/>
    <cellStyle name="集計 3 10 4 4 2 2" xfId="26509"/>
    <cellStyle name="集計 3 10 4 4 2 2 2" xfId="26510"/>
    <cellStyle name="集計 3 10 4 4 2 2 3" xfId="26511"/>
    <cellStyle name="集計 3 10 4 4 2 3" xfId="26512"/>
    <cellStyle name="集計 3 10 4 4 2 3 2" xfId="26513"/>
    <cellStyle name="集計 3 10 4 4 2 3 3" xfId="26514"/>
    <cellStyle name="集計 3 10 4 4 2 4" xfId="26515"/>
    <cellStyle name="集計 3 10 4 4 2 4 2" xfId="26516"/>
    <cellStyle name="集計 3 10 4 4 2 4 3" xfId="26517"/>
    <cellStyle name="集計 3 10 4 4 2 5" xfId="26518"/>
    <cellStyle name="集計 3 10 4 4 2 6" xfId="26519"/>
    <cellStyle name="集計 3 10 4 4 3" xfId="26520"/>
    <cellStyle name="集計 3 10 4 4 3 2" xfId="26521"/>
    <cellStyle name="集計 3 10 4 4 3 3" xfId="26522"/>
    <cellStyle name="集計 3 10 4 4 4" xfId="26523"/>
    <cellStyle name="集計 3 10 4 4 4 2" xfId="26524"/>
    <cellStyle name="集計 3 10 4 4 4 3" xfId="26525"/>
    <cellStyle name="集計 3 10 4 4 5" xfId="26526"/>
    <cellStyle name="集計 3 10 4 4 5 2" xfId="26527"/>
    <cellStyle name="集計 3 10 4 4 5 3" xfId="26528"/>
    <cellStyle name="集計 3 10 4 4 6" xfId="26529"/>
    <cellStyle name="集計 3 10 4 4 7" xfId="26530"/>
    <cellStyle name="集計 3 10 4 5" xfId="26531"/>
    <cellStyle name="集計 3 10 4 5 2" xfId="26532"/>
    <cellStyle name="集計 3 10 4 5 2 2" xfId="26533"/>
    <cellStyle name="集計 3 10 4 5 2 3" xfId="26534"/>
    <cellStyle name="集計 3 10 4 5 3" xfId="26535"/>
    <cellStyle name="集計 3 10 4 5 3 2" xfId="26536"/>
    <cellStyle name="集計 3 10 4 5 3 3" xfId="26537"/>
    <cellStyle name="集計 3 10 4 5 4" xfId="26538"/>
    <cellStyle name="集計 3 10 4 5 4 2" xfId="26539"/>
    <cellStyle name="集計 3 10 4 5 4 3" xfId="26540"/>
    <cellStyle name="集計 3 10 4 5 5" xfId="26541"/>
    <cellStyle name="集計 3 10 4 5 6" xfId="26542"/>
    <cellStyle name="集計 3 10 4 6" xfId="26543"/>
    <cellStyle name="集計 3 10 4 6 2" xfId="26544"/>
    <cellStyle name="集計 3 10 4 6 3" xfId="26545"/>
    <cellStyle name="集計 3 10 4 7" xfId="26546"/>
    <cellStyle name="集計 3 10 4 7 2" xfId="26547"/>
    <cellStyle name="集計 3 10 4 7 3" xfId="26548"/>
    <cellStyle name="集計 3 10 4 8" xfId="26549"/>
    <cellStyle name="集計 3 10 4 8 2" xfId="26550"/>
    <cellStyle name="集計 3 10 4 8 3" xfId="26551"/>
    <cellStyle name="集計 3 10 4 9" xfId="26552"/>
    <cellStyle name="集計 3 10 5" xfId="26553"/>
    <cellStyle name="集計 3 10 5 10" xfId="26554"/>
    <cellStyle name="集計 3 10 5 2" xfId="26555"/>
    <cellStyle name="集計 3 10 5 2 2" xfId="26556"/>
    <cellStyle name="集計 3 10 5 2 2 2" xfId="26557"/>
    <cellStyle name="集計 3 10 5 2 2 2 2" xfId="26558"/>
    <cellStyle name="集計 3 10 5 2 2 2 2 2" xfId="26559"/>
    <cellStyle name="集計 3 10 5 2 2 2 2 3" xfId="26560"/>
    <cellStyle name="集計 3 10 5 2 2 2 3" xfId="26561"/>
    <cellStyle name="集計 3 10 5 2 2 2 3 2" xfId="26562"/>
    <cellStyle name="集計 3 10 5 2 2 2 3 3" xfId="26563"/>
    <cellStyle name="集計 3 10 5 2 2 2 4" xfId="26564"/>
    <cellStyle name="集計 3 10 5 2 2 2 4 2" xfId="26565"/>
    <cellStyle name="集計 3 10 5 2 2 2 4 3" xfId="26566"/>
    <cellStyle name="集計 3 10 5 2 2 2 5" xfId="26567"/>
    <cellStyle name="集計 3 10 5 2 2 2 6" xfId="26568"/>
    <cellStyle name="集計 3 10 5 2 2 3" xfId="26569"/>
    <cellStyle name="集計 3 10 5 2 2 3 2" xfId="26570"/>
    <cellStyle name="集計 3 10 5 2 2 3 3" xfId="26571"/>
    <cellStyle name="集計 3 10 5 2 2 4" xfId="26572"/>
    <cellStyle name="集計 3 10 5 2 2 4 2" xfId="26573"/>
    <cellStyle name="集計 3 10 5 2 2 4 3" xfId="26574"/>
    <cellStyle name="集計 3 10 5 2 2 5" xfId="26575"/>
    <cellStyle name="集計 3 10 5 2 2 5 2" xfId="26576"/>
    <cellStyle name="集計 3 10 5 2 2 5 3" xfId="26577"/>
    <cellStyle name="集計 3 10 5 2 2 6" xfId="26578"/>
    <cellStyle name="集計 3 10 5 2 2 7" xfId="26579"/>
    <cellStyle name="集計 3 10 5 2 3" xfId="26580"/>
    <cellStyle name="集計 3 10 5 2 3 2" xfId="26581"/>
    <cellStyle name="集計 3 10 5 2 3 2 2" xfId="26582"/>
    <cellStyle name="集計 3 10 5 2 3 2 2 2" xfId="26583"/>
    <cellStyle name="集計 3 10 5 2 3 2 2 3" xfId="26584"/>
    <cellStyle name="集計 3 10 5 2 3 2 3" xfId="26585"/>
    <cellStyle name="集計 3 10 5 2 3 2 3 2" xfId="26586"/>
    <cellStyle name="集計 3 10 5 2 3 2 3 3" xfId="26587"/>
    <cellStyle name="集計 3 10 5 2 3 2 4" xfId="26588"/>
    <cellStyle name="集計 3 10 5 2 3 2 4 2" xfId="26589"/>
    <cellStyle name="集計 3 10 5 2 3 2 4 3" xfId="26590"/>
    <cellStyle name="集計 3 10 5 2 3 2 5" xfId="26591"/>
    <cellStyle name="集計 3 10 5 2 3 2 6" xfId="26592"/>
    <cellStyle name="集計 3 10 5 2 3 3" xfId="26593"/>
    <cellStyle name="集計 3 10 5 2 3 3 2" xfId="26594"/>
    <cellStyle name="集計 3 10 5 2 3 3 3" xfId="26595"/>
    <cellStyle name="集計 3 10 5 2 3 4" xfId="26596"/>
    <cellStyle name="集計 3 10 5 2 3 4 2" xfId="26597"/>
    <cellStyle name="集計 3 10 5 2 3 4 3" xfId="26598"/>
    <cellStyle name="集計 3 10 5 2 3 5" xfId="26599"/>
    <cellStyle name="集計 3 10 5 2 3 5 2" xfId="26600"/>
    <cellStyle name="集計 3 10 5 2 3 5 3" xfId="26601"/>
    <cellStyle name="集計 3 10 5 2 3 6" xfId="26602"/>
    <cellStyle name="集計 3 10 5 2 3 7" xfId="26603"/>
    <cellStyle name="集計 3 10 5 2 4" xfId="26604"/>
    <cellStyle name="集計 3 10 5 2 4 2" xfId="26605"/>
    <cellStyle name="集計 3 10 5 2 4 2 2" xfId="26606"/>
    <cellStyle name="集計 3 10 5 2 4 2 3" xfId="26607"/>
    <cellStyle name="集計 3 10 5 2 4 3" xfId="26608"/>
    <cellStyle name="集計 3 10 5 2 4 3 2" xfId="26609"/>
    <cellStyle name="集計 3 10 5 2 4 3 3" xfId="26610"/>
    <cellStyle name="集計 3 10 5 2 4 4" xfId="26611"/>
    <cellStyle name="集計 3 10 5 2 4 4 2" xfId="26612"/>
    <cellStyle name="集計 3 10 5 2 4 4 3" xfId="26613"/>
    <cellStyle name="集計 3 10 5 2 4 5" xfId="26614"/>
    <cellStyle name="集計 3 10 5 2 4 6" xfId="26615"/>
    <cellStyle name="集計 3 10 5 2 5" xfId="26616"/>
    <cellStyle name="集計 3 10 5 2 5 2" xfId="26617"/>
    <cellStyle name="集計 3 10 5 2 5 3" xfId="26618"/>
    <cellStyle name="集計 3 10 5 2 6" xfId="26619"/>
    <cellStyle name="集計 3 10 5 2 6 2" xfId="26620"/>
    <cellStyle name="集計 3 10 5 2 6 3" xfId="26621"/>
    <cellStyle name="集計 3 10 5 2 7" xfId="26622"/>
    <cellStyle name="集計 3 10 5 2 7 2" xfId="26623"/>
    <cellStyle name="集計 3 10 5 2 7 3" xfId="26624"/>
    <cellStyle name="集計 3 10 5 2 8" xfId="26625"/>
    <cellStyle name="集計 3 10 5 2 9" xfId="26626"/>
    <cellStyle name="集計 3 10 5 3" xfId="26627"/>
    <cellStyle name="集計 3 10 5 3 2" xfId="26628"/>
    <cellStyle name="集計 3 10 5 3 2 2" xfId="26629"/>
    <cellStyle name="集計 3 10 5 3 2 2 2" xfId="26630"/>
    <cellStyle name="集計 3 10 5 3 2 2 3" xfId="26631"/>
    <cellStyle name="集計 3 10 5 3 2 3" xfId="26632"/>
    <cellStyle name="集計 3 10 5 3 2 3 2" xfId="26633"/>
    <cellStyle name="集計 3 10 5 3 2 3 3" xfId="26634"/>
    <cellStyle name="集計 3 10 5 3 2 4" xfId="26635"/>
    <cellStyle name="集計 3 10 5 3 2 4 2" xfId="26636"/>
    <cellStyle name="集計 3 10 5 3 2 4 3" xfId="26637"/>
    <cellStyle name="集計 3 10 5 3 2 5" xfId="26638"/>
    <cellStyle name="集計 3 10 5 3 2 6" xfId="26639"/>
    <cellStyle name="集計 3 10 5 3 3" xfId="26640"/>
    <cellStyle name="集計 3 10 5 3 3 2" xfId="26641"/>
    <cellStyle name="集計 3 10 5 3 3 3" xfId="26642"/>
    <cellStyle name="集計 3 10 5 3 4" xfId="26643"/>
    <cellStyle name="集計 3 10 5 3 4 2" xfId="26644"/>
    <cellStyle name="集計 3 10 5 3 4 3" xfId="26645"/>
    <cellStyle name="集計 3 10 5 3 5" xfId="26646"/>
    <cellStyle name="集計 3 10 5 3 5 2" xfId="26647"/>
    <cellStyle name="集計 3 10 5 3 5 3" xfId="26648"/>
    <cellStyle name="集計 3 10 5 3 6" xfId="26649"/>
    <cellStyle name="集計 3 10 5 3 7" xfId="26650"/>
    <cellStyle name="集計 3 10 5 4" xfId="26651"/>
    <cellStyle name="集計 3 10 5 4 2" xfId="26652"/>
    <cellStyle name="集計 3 10 5 4 2 2" xfId="26653"/>
    <cellStyle name="集計 3 10 5 4 2 2 2" xfId="26654"/>
    <cellStyle name="集計 3 10 5 4 2 2 3" xfId="26655"/>
    <cellStyle name="集計 3 10 5 4 2 3" xfId="26656"/>
    <cellStyle name="集計 3 10 5 4 2 3 2" xfId="26657"/>
    <cellStyle name="集計 3 10 5 4 2 3 3" xfId="26658"/>
    <cellStyle name="集計 3 10 5 4 2 4" xfId="26659"/>
    <cellStyle name="集計 3 10 5 4 2 4 2" xfId="26660"/>
    <cellStyle name="集計 3 10 5 4 2 4 3" xfId="26661"/>
    <cellStyle name="集計 3 10 5 4 2 5" xfId="26662"/>
    <cellStyle name="集計 3 10 5 4 2 6" xfId="26663"/>
    <cellStyle name="集計 3 10 5 4 3" xfId="26664"/>
    <cellStyle name="集計 3 10 5 4 3 2" xfId="26665"/>
    <cellStyle name="集計 3 10 5 4 3 3" xfId="26666"/>
    <cellStyle name="集計 3 10 5 4 4" xfId="26667"/>
    <cellStyle name="集計 3 10 5 4 4 2" xfId="26668"/>
    <cellStyle name="集計 3 10 5 4 4 3" xfId="26669"/>
    <cellStyle name="集計 3 10 5 4 5" xfId="26670"/>
    <cellStyle name="集計 3 10 5 4 5 2" xfId="26671"/>
    <cellStyle name="集計 3 10 5 4 5 3" xfId="26672"/>
    <cellStyle name="集計 3 10 5 4 6" xfId="26673"/>
    <cellStyle name="集計 3 10 5 4 7" xfId="26674"/>
    <cellStyle name="集計 3 10 5 5" xfId="26675"/>
    <cellStyle name="集計 3 10 5 5 2" xfId="26676"/>
    <cellStyle name="集計 3 10 5 5 2 2" xfId="26677"/>
    <cellStyle name="集計 3 10 5 5 2 3" xfId="26678"/>
    <cellStyle name="集計 3 10 5 5 3" xfId="26679"/>
    <cellStyle name="集計 3 10 5 5 3 2" xfId="26680"/>
    <cellStyle name="集計 3 10 5 5 3 3" xfId="26681"/>
    <cellStyle name="集計 3 10 5 5 4" xfId="26682"/>
    <cellStyle name="集計 3 10 5 5 4 2" xfId="26683"/>
    <cellStyle name="集計 3 10 5 5 4 3" xfId="26684"/>
    <cellStyle name="集計 3 10 5 5 5" xfId="26685"/>
    <cellStyle name="集計 3 10 5 5 6" xfId="26686"/>
    <cellStyle name="集計 3 10 5 6" xfId="26687"/>
    <cellStyle name="集計 3 10 5 6 2" xfId="26688"/>
    <cellStyle name="集計 3 10 5 6 3" xfId="26689"/>
    <cellStyle name="集計 3 10 5 7" xfId="26690"/>
    <cellStyle name="集計 3 10 5 7 2" xfId="26691"/>
    <cellStyle name="集計 3 10 5 7 3" xfId="26692"/>
    <cellStyle name="集計 3 10 5 8" xfId="26693"/>
    <cellStyle name="集計 3 10 5 8 2" xfId="26694"/>
    <cellStyle name="集計 3 10 5 8 3" xfId="26695"/>
    <cellStyle name="集計 3 10 5 9" xfId="26696"/>
    <cellStyle name="集計 3 10 6" xfId="26697"/>
    <cellStyle name="集計 3 10 6 10" xfId="26698"/>
    <cellStyle name="集計 3 10 6 2" xfId="26699"/>
    <cellStyle name="集計 3 10 6 2 2" xfId="26700"/>
    <cellStyle name="集計 3 10 6 2 2 2" xfId="26701"/>
    <cellStyle name="集計 3 10 6 2 2 2 2" xfId="26702"/>
    <cellStyle name="集計 3 10 6 2 2 2 2 2" xfId="26703"/>
    <cellStyle name="集計 3 10 6 2 2 2 2 3" xfId="26704"/>
    <cellStyle name="集計 3 10 6 2 2 2 3" xfId="26705"/>
    <cellStyle name="集計 3 10 6 2 2 2 3 2" xfId="26706"/>
    <cellStyle name="集計 3 10 6 2 2 2 3 3" xfId="26707"/>
    <cellStyle name="集計 3 10 6 2 2 2 4" xfId="26708"/>
    <cellStyle name="集計 3 10 6 2 2 2 4 2" xfId="26709"/>
    <cellStyle name="集計 3 10 6 2 2 2 4 3" xfId="26710"/>
    <cellStyle name="集計 3 10 6 2 2 2 5" xfId="26711"/>
    <cellStyle name="集計 3 10 6 2 2 2 6" xfId="26712"/>
    <cellStyle name="集計 3 10 6 2 2 3" xfId="26713"/>
    <cellStyle name="集計 3 10 6 2 2 3 2" xfId="26714"/>
    <cellStyle name="集計 3 10 6 2 2 3 3" xfId="26715"/>
    <cellStyle name="集計 3 10 6 2 2 4" xfId="26716"/>
    <cellStyle name="集計 3 10 6 2 2 4 2" xfId="26717"/>
    <cellStyle name="集計 3 10 6 2 2 4 3" xfId="26718"/>
    <cellStyle name="集計 3 10 6 2 2 5" xfId="26719"/>
    <cellStyle name="集計 3 10 6 2 2 5 2" xfId="26720"/>
    <cellStyle name="集計 3 10 6 2 2 5 3" xfId="26721"/>
    <cellStyle name="集計 3 10 6 2 2 6" xfId="26722"/>
    <cellStyle name="集計 3 10 6 2 2 7" xfId="26723"/>
    <cellStyle name="集計 3 10 6 2 3" xfId="26724"/>
    <cellStyle name="集計 3 10 6 2 3 2" xfId="26725"/>
    <cellStyle name="集計 3 10 6 2 3 2 2" xfId="26726"/>
    <cellStyle name="集計 3 10 6 2 3 2 2 2" xfId="26727"/>
    <cellStyle name="集計 3 10 6 2 3 2 2 3" xfId="26728"/>
    <cellStyle name="集計 3 10 6 2 3 2 3" xfId="26729"/>
    <cellStyle name="集計 3 10 6 2 3 2 3 2" xfId="26730"/>
    <cellStyle name="集計 3 10 6 2 3 2 3 3" xfId="26731"/>
    <cellStyle name="集計 3 10 6 2 3 2 4" xfId="26732"/>
    <cellStyle name="集計 3 10 6 2 3 2 4 2" xfId="26733"/>
    <cellStyle name="集計 3 10 6 2 3 2 4 3" xfId="26734"/>
    <cellStyle name="集計 3 10 6 2 3 2 5" xfId="26735"/>
    <cellStyle name="集計 3 10 6 2 3 2 6" xfId="26736"/>
    <cellStyle name="集計 3 10 6 2 3 3" xfId="26737"/>
    <cellStyle name="集計 3 10 6 2 3 3 2" xfId="26738"/>
    <cellStyle name="集計 3 10 6 2 3 3 3" xfId="26739"/>
    <cellStyle name="集計 3 10 6 2 3 4" xfId="26740"/>
    <cellStyle name="集計 3 10 6 2 3 4 2" xfId="26741"/>
    <cellStyle name="集計 3 10 6 2 3 4 3" xfId="26742"/>
    <cellStyle name="集計 3 10 6 2 3 5" xfId="26743"/>
    <cellStyle name="集計 3 10 6 2 3 5 2" xfId="26744"/>
    <cellStyle name="集計 3 10 6 2 3 5 3" xfId="26745"/>
    <cellStyle name="集計 3 10 6 2 3 6" xfId="26746"/>
    <cellStyle name="集計 3 10 6 2 3 7" xfId="26747"/>
    <cellStyle name="集計 3 10 6 2 4" xfId="26748"/>
    <cellStyle name="集計 3 10 6 2 4 2" xfId="26749"/>
    <cellStyle name="集計 3 10 6 2 4 2 2" xfId="26750"/>
    <cellStyle name="集計 3 10 6 2 4 2 3" xfId="26751"/>
    <cellStyle name="集計 3 10 6 2 4 3" xfId="26752"/>
    <cellStyle name="集計 3 10 6 2 4 3 2" xfId="26753"/>
    <cellStyle name="集計 3 10 6 2 4 3 3" xfId="26754"/>
    <cellStyle name="集計 3 10 6 2 4 4" xfId="26755"/>
    <cellStyle name="集計 3 10 6 2 4 4 2" xfId="26756"/>
    <cellStyle name="集計 3 10 6 2 4 4 3" xfId="26757"/>
    <cellStyle name="集計 3 10 6 2 4 5" xfId="26758"/>
    <cellStyle name="集計 3 10 6 2 4 6" xfId="26759"/>
    <cellStyle name="集計 3 10 6 2 5" xfId="26760"/>
    <cellStyle name="集計 3 10 6 2 5 2" xfId="26761"/>
    <cellStyle name="集計 3 10 6 2 5 3" xfId="26762"/>
    <cellStyle name="集計 3 10 6 2 6" xfId="26763"/>
    <cellStyle name="集計 3 10 6 2 6 2" xfId="26764"/>
    <cellStyle name="集計 3 10 6 2 6 3" xfId="26765"/>
    <cellStyle name="集計 3 10 6 2 7" xfId="26766"/>
    <cellStyle name="集計 3 10 6 2 7 2" xfId="26767"/>
    <cellStyle name="集計 3 10 6 2 7 3" xfId="26768"/>
    <cellStyle name="集計 3 10 6 2 8" xfId="26769"/>
    <cellStyle name="集計 3 10 6 2 9" xfId="26770"/>
    <cellStyle name="集計 3 10 6 3" xfId="26771"/>
    <cellStyle name="集計 3 10 6 3 2" xfId="26772"/>
    <cellStyle name="集計 3 10 6 3 2 2" xfId="26773"/>
    <cellStyle name="集計 3 10 6 3 2 2 2" xfId="26774"/>
    <cellStyle name="集計 3 10 6 3 2 2 3" xfId="26775"/>
    <cellStyle name="集計 3 10 6 3 2 3" xfId="26776"/>
    <cellStyle name="集計 3 10 6 3 2 3 2" xfId="26777"/>
    <cellStyle name="集計 3 10 6 3 2 3 3" xfId="26778"/>
    <cellStyle name="集計 3 10 6 3 2 4" xfId="26779"/>
    <cellStyle name="集計 3 10 6 3 2 4 2" xfId="26780"/>
    <cellStyle name="集計 3 10 6 3 2 4 3" xfId="26781"/>
    <cellStyle name="集計 3 10 6 3 2 5" xfId="26782"/>
    <cellStyle name="集計 3 10 6 3 2 6" xfId="26783"/>
    <cellStyle name="集計 3 10 6 3 3" xfId="26784"/>
    <cellStyle name="集計 3 10 6 3 3 2" xfId="26785"/>
    <cellStyle name="集計 3 10 6 3 3 3" xfId="26786"/>
    <cellStyle name="集計 3 10 6 3 4" xfId="26787"/>
    <cellStyle name="集計 3 10 6 3 4 2" xfId="26788"/>
    <cellStyle name="集計 3 10 6 3 4 3" xfId="26789"/>
    <cellStyle name="集計 3 10 6 3 5" xfId="26790"/>
    <cellStyle name="集計 3 10 6 3 5 2" xfId="26791"/>
    <cellStyle name="集計 3 10 6 3 5 3" xfId="26792"/>
    <cellStyle name="集計 3 10 6 3 6" xfId="26793"/>
    <cellStyle name="集計 3 10 6 3 7" xfId="26794"/>
    <cellStyle name="集計 3 10 6 4" xfId="26795"/>
    <cellStyle name="集計 3 10 6 4 2" xfId="26796"/>
    <cellStyle name="集計 3 10 6 4 2 2" xfId="26797"/>
    <cellStyle name="集計 3 10 6 4 2 2 2" xfId="26798"/>
    <cellStyle name="集計 3 10 6 4 2 2 3" xfId="26799"/>
    <cellStyle name="集計 3 10 6 4 2 3" xfId="26800"/>
    <cellStyle name="集計 3 10 6 4 2 3 2" xfId="26801"/>
    <cellStyle name="集計 3 10 6 4 2 3 3" xfId="26802"/>
    <cellStyle name="集計 3 10 6 4 2 4" xfId="26803"/>
    <cellStyle name="集計 3 10 6 4 2 4 2" xfId="26804"/>
    <cellStyle name="集計 3 10 6 4 2 4 3" xfId="26805"/>
    <cellStyle name="集計 3 10 6 4 2 5" xfId="26806"/>
    <cellStyle name="集計 3 10 6 4 2 6" xfId="26807"/>
    <cellStyle name="集計 3 10 6 4 3" xfId="26808"/>
    <cellStyle name="集計 3 10 6 4 3 2" xfId="26809"/>
    <cellStyle name="集計 3 10 6 4 3 3" xfId="26810"/>
    <cellStyle name="集計 3 10 6 4 4" xfId="26811"/>
    <cellStyle name="集計 3 10 6 4 4 2" xfId="26812"/>
    <cellStyle name="集計 3 10 6 4 4 3" xfId="26813"/>
    <cellStyle name="集計 3 10 6 4 5" xfId="26814"/>
    <cellStyle name="集計 3 10 6 4 5 2" xfId="26815"/>
    <cellStyle name="集計 3 10 6 4 5 3" xfId="26816"/>
    <cellStyle name="集計 3 10 6 4 6" xfId="26817"/>
    <cellStyle name="集計 3 10 6 4 7" xfId="26818"/>
    <cellStyle name="集計 3 10 6 5" xfId="26819"/>
    <cellStyle name="集計 3 10 6 5 2" xfId="26820"/>
    <cellStyle name="集計 3 10 6 5 2 2" xfId="26821"/>
    <cellStyle name="集計 3 10 6 5 2 3" xfId="26822"/>
    <cellStyle name="集計 3 10 6 5 3" xfId="26823"/>
    <cellStyle name="集計 3 10 6 5 3 2" xfId="26824"/>
    <cellStyle name="集計 3 10 6 5 3 3" xfId="26825"/>
    <cellStyle name="集計 3 10 6 5 4" xfId="26826"/>
    <cellStyle name="集計 3 10 6 5 4 2" xfId="26827"/>
    <cellStyle name="集計 3 10 6 5 4 3" xfId="26828"/>
    <cellStyle name="集計 3 10 6 5 5" xfId="26829"/>
    <cellStyle name="集計 3 10 6 5 6" xfId="26830"/>
    <cellStyle name="集計 3 10 6 6" xfId="26831"/>
    <cellStyle name="集計 3 10 6 6 2" xfId="26832"/>
    <cellStyle name="集計 3 10 6 6 3" xfId="26833"/>
    <cellStyle name="集計 3 10 6 7" xfId="26834"/>
    <cellStyle name="集計 3 10 6 7 2" xfId="26835"/>
    <cellStyle name="集計 3 10 6 7 3" xfId="26836"/>
    <cellStyle name="集計 3 10 6 8" xfId="26837"/>
    <cellStyle name="集計 3 10 6 8 2" xfId="26838"/>
    <cellStyle name="集計 3 10 6 8 3" xfId="26839"/>
    <cellStyle name="集計 3 10 6 9" xfId="26840"/>
    <cellStyle name="集計 3 10 7" xfId="26841"/>
    <cellStyle name="集計 3 10 7 2" xfId="26842"/>
    <cellStyle name="集計 3 10 7 2 2" xfId="26843"/>
    <cellStyle name="集計 3 10 7 2 2 2" xfId="26844"/>
    <cellStyle name="集計 3 10 7 2 2 3" xfId="26845"/>
    <cellStyle name="集計 3 10 7 2 3" xfId="26846"/>
    <cellStyle name="集計 3 10 7 2 3 2" xfId="26847"/>
    <cellStyle name="集計 3 10 7 2 3 3" xfId="26848"/>
    <cellStyle name="集計 3 10 7 2 4" xfId="26849"/>
    <cellStyle name="集計 3 10 7 2 4 2" xfId="26850"/>
    <cellStyle name="集計 3 10 7 2 4 3" xfId="26851"/>
    <cellStyle name="集計 3 10 7 2 5" xfId="26852"/>
    <cellStyle name="集計 3 10 7 2 6" xfId="26853"/>
    <cellStyle name="集計 3 10 7 3" xfId="26854"/>
    <cellStyle name="集計 3 10 7 3 2" xfId="26855"/>
    <cellStyle name="集計 3 10 7 3 3" xfId="26856"/>
    <cellStyle name="集計 3 10 7 4" xfId="26857"/>
    <cellStyle name="集計 3 10 7 4 2" xfId="26858"/>
    <cellStyle name="集計 3 10 7 4 3" xfId="26859"/>
    <cellStyle name="集計 3 10 7 5" xfId="26860"/>
    <cellStyle name="集計 3 10 7 5 2" xfId="26861"/>
    <cellStyle name="集計 3 10 7 5 3" xfId="26862"/>
    <cellStyle name="集計 3 10 7 6" xfId="26863"/>
    <cellStyle name="集計 3 10 7 7" xfId="26864"/>
    <cellStyle name="集計 3 10 8" xfId="26865"/>
    <cellStyle name="集計 3 10 8 2" xfId="26866"/>
    <cellStyle name="集計 3 10 8 2 2" xfId="26867"/>
    <cellStyle name="集計 3 10 8 2 2 2" xfId="26868"/>
    <cellStyle name="集計 3 10 8 2 2 3" xfId="26869"/>
    <cellStyle name="集計 3 10 8 2 3" xfId="26870"/>
    <cellStyle name="集計 3 10 8 2 3 2" xfId="26871"/>
    <cellStyle name="集計 3 10 8 2 3 3" xfId="26872"/>
    <cellStyle name="集計 3 10 8 2 4" xfId="26873"/>
    <cellStyle name="集計 3 10 8 2 4 2" xfId="26874"/>
    <cellStyle name="集計 3 10 8 2 4 3" xfId="26875"/>
    <cellStyle name="集計 3 10 8 2 5" xfId="26876"/>
    <cellStyle name="集計 3 10 8 2 6" xfId="26877"/>
    <cellStyle name="集計 3 10 8 3" xfId="26878"/>
    <cellStyle name="集計 3 10 8 3 2" xfId="26879"/>
    <cellStyle name="集計 3 10 8 3 3" xfId="26880"/>
    <cellStyle name="集計 3 10 8 4" xfId="26881"/>
    <cellStyle name="集計 3 10 8 4 2" xfId="26882"/>
    <cellStyle name="集計 3 10 8 4 3" xfId="26883"/>
    <cellStyle name="集計 3 10 8 5" xfId="26884"/>
    <cellStyle name="集計 3 10 8 5 2" xfId="26885"/>
    <cellStyle name="集計 3 10 8 5 3" xfId="26886"/>
    <cellStyle name="集計 3 10 8 6" xfId="26887"/>
    <cellStyle name="集計 3 10 8 7" xfId="26888"/>
    <cellStyle name="集計 3 10 9" xfId="26889"/>
    <cellStyle name="集計 3 10 9 2" xfId="26890"/>
    <cellStyle name="集計 3 10 9 2 2" xfId="26891"/>
    <cellStyle name="集計 3 10 9 2 3" xfId="26892"/>
    <cellStyle name="集計 3 10 9 3" xfId="26893"/>
    <cellStyle name="集計 3 10 9 3 2" xfId="26894"/>
    <cellStyle name="集計 3 10 9 3 3" xfId="26895"/>
    <cellStyle name="集計 3 10 9 4" xfId="26896"/>
    <cellStyle name="集計 3 10 9 4 2" xfId="26897"/>
    <cellStyle name="集計 3 10 9 4 3" xfId="26898"/>
    <cellStyle name="集計 3 10 9 5" xfId="26899"/>
    <cellStyle name="集計 3 10 9 6" xfId="26900"/>
    <cellStyle name="集計 3 11" xfId="26901"/>
    <cellStyle name="集計 3 11 10" xfId="26902"/>
    <cellStyle name="集計 3 11 10 2" xfId="26903"/>
    <cellStyle name="集計 3 11 10 3" xfId="26904"/>
    <cellStyle name="集計 3 11 11" xfId="26905"/>
    <cellStyle name="集計 3 11 11 2" xfId="26906"/>
    <cellStyle name="集計 3 11 11 3" xfId="26907"/>
    <cellStyle name="集計 3 11 12" xfId="26908"/>
    <cellStyle name="集計 3 11 12 2" xfId="26909"/>
    <cellStyle name="集計 3 11 12 3" xfId="26910"/>
    <cellStyle name="集計 3 11 13" xfId="26911"/>
    <cellStyle name="集計 3 11 14" xfId="26912"/>
    <cellStyle name="集計 3 11 2" xfId="26913"/>
    <cellStyle name="集計 3 11 2 10" xfId="26914"/>
    <cellStyle name="集計 3 11 2 2" xfId="26915"/>
    <cellStyle name="集計 3 11 2 2 10" xfId="26916"/>
    <cellStyle name="集計 3 11 2 2 2" xfId="26917"/>
    <cellStyle name="集計 3 11 2 2 2 2" xfId="26918"/>
    <cellStyle name="集計 3 11 2 2 2 2 2" xfId="26919"/>
    <cellStyle name="集計 3 11 2 2 2 2 2 2" xfId="26920"/>
    <cellStyle name="集計 3 11 2 2 2 2 2 2 2" xfId="26921"/>
    <cellStyle name="集計 3 11 2 2 2 2 2 2 3" xfId="26922"/>
    <cellStyle name="集計 3 11 2 2 2 2 2 3" xfId="26923"/>
    <cellStyle name="集計 3 11 2 2 2 2 2 3 2" xfId="26924"/>
    <cellStyle name="集計 3 11 2 2 2 2 2 3 3" xfId="26925"/>
    <cellStyle name="集計 3 11 2 2 2 2 2 4" xfId="26926"/>
    <cellStyle name="集計 3 11 2 2 2 2 2 4 2" xfId="26927"/>
    <cellStyle name="集計 3 11 2 2 2 2 2 4 3" xfId="26928"/>
    <cellStyle name="集計 3 11 2 2 2 2 2 5" xfId="26929"/>
    <cellStyle name="集計 3 11 2 2 2 2 2 6" xfId="26930"/>
    <cellStyle name="集計 3 11 2 2 2 2 3" xfId="26931"/>
    <cellStyle name="集計 3 11 2 2 2 2 3 2" xfId="26932"/>
    <cellStyle name="集計 3 11 2 2 2 2 3 3" xfId="26933"/>
    <cellStyle name="集計 3 11 2 2 2 2 4" xfId="26934"/>
    <cellStyle name="集計 3 11 2 2 2 2 4 2" xfId="26935"/>
    <cellStyle name="集計 3 11 2 2 2 2 4 3" xfId="26936"/>
    <cellStyle name="集計 3 11 2 2 2 2 5" xfId="26937"/>
    <cellStyle name="集計 3 11 2 2 2 2 5 2" xfId="26938"/>
    <cellStyle name="集計 3 11 2 2 2 2 5 3" xfId="26939"/>
    <cellStyle name="集計 3 11 2 2 2 2 6" xfId="26940"/>
    <cellStyle name="集計 3 11 2 2 2 2 7" xfId="26941"/>
    <cellStyle name="集計 3 11 2 2 2 3" xfId="26942"/>
    <cellStyle name="集計 3 11 2 2 2 3 2" xfId="26943"/>
    <cellStyle name="集計 3 11 2 2 2 3 2 2" xfId="26944"/>
    <cellStyle name="集計 3 11 2 2 2 3 2 2 2" xfId="26945"/>
    <cellStyle name="集計 3 11 2 2 2 3 2 2 3" xfId="26946"/>
    <cellStyle name="集計 3 11 2 2 2 3 2 3" xfId="26947"/>
    <cellStyle name="集計 3 11 2 2 2 3 2 3 2" xfId="26948"/>
    <cellStyle name="集計 3 11 2 2 2 3 2 3 3" xfId="26949"/>
    <cellStyle name="集計 3 11 2 2 2 3 2 4" xfId="26950"/>
    <cellStyle name="集計 3 11 2 2 2 3 2 4 2" xfId="26951"/>
    <cellStyle name="集計 3 11 2 2 2 3 2 4 3" xfId="26952"/>
    <cellStyle name="集計 3 11 2 2 2 3 2 5" xfId="26953"/>
    <cellStyle name="集計 3 11 2 2 2 3 2 6" xfId="26954"/>
    <cellStyle name="集計 3 11 2 2 2 3 3" xfId="26955"/>
    <cellStyle name="集計 3 11 2 2 2 3 3 2" xfId="26956"/>
    <cellStyle name="集計 3 11 2 2 2 3 3 3" xfId="26957"/>
    <cellStyle name="集計 3 11 2 2 2 3 4" xfId="26958"/>
    <cellStyle name="集計 3 11 2 2 2 3 4 2" xfId="26959"/>
    <cellStyle name="集計 3 11 2 2 2 3 4 3" xfId="26960"/>
    <cellStyle name="集計 3 11 2 2 2 3 5" xfId="26961"/>
    <cellStyle name="集計 3 11 2 2 2 3 5 2" xfId="26962"/>
    <cellStyle name="集計 3 11 2 2 2 3 5 3" xfId="26963"/>
    <cellStyle name="集計 3 11 2 2 2 3 6" xfId="26964"/>
    <cellStyle name="集計 3 11 2 2 2 3 7" xfId="26965"/>
    <cellStyle name="集計 3 11 2 2 2 4" xfId="26966"/>
    <cellStyle name="集計 3 11 2 2 2 4 2" xfId="26967"/>
    <cellStyle name="集計 3 11 2 2 2 4 2 2" xfId="26968"/>
    <cellStyle name="集計 3 11 2 2 2 4 2 3" xfId="26969"/>
    <cellStyle name="集計 3 11 2 2 2 4 3" xfId="26970"/>
    <cellStyle name="集計 3 11 2 2 2 4 3 2" xfId="26971"/>
    <cellStyle name="集計 3 11 2 2 2 4 3 3" xfId="26972"/>
    <cellStyle name="集計 3 11 2 2 2 4 4" xfId="26973"/>
    <cellStyle name="集計 3 11 2 2 2 4 4 2" xfId="26974"/>
    <cellStyle name="集計 3 11 2 2 2 4 4 3" xfId="26975"/>
    <cellStyle name="集計 3 11 2 2 2 4 5" xfId="26976"/>
    <cellStyle name="集計 3 11 2 2 2 4 6" xfId="26977"/>
    <cellStyle name="集計 3 11 2 2 2 5" xfId="26978"/>
    <cellStyle name="集計 3 11 2 2 2 5 2" xfId="26979"/>
    <cellStyle name="集計 3 11 2 2 2 5 3" xfId="26980"/>
    <cellStyle name="集計 3 11 2 2 2 6" xfId="26981"/>
    <cellStyle name="集計 3 11 2 2 2 6 2" xfId="26982"/>
    <cellStyle name="集計 3 11 2 2 2 6 3" xfId="26983"/>
    <cellStyle name="集計 3 11 2 2 2 7" xfId="26984"/>
    <cellStyle name="集計 3 11 2 2 2 7 2" xfId="26985"/>
    <cellStyle name="集計 3 11 2 2 2 7 3" xfId="26986"/>
    <cellStyle name="集計 3 11 2 2 2 8" xfId="26987"/>
    <cellStyle name="集計 3 11 2 2 2 9" xfId="26988"/>
    <cellStyle name="集計 3 11 2 2 3" xfId="26989"/>
    <cellStyle name="集計 3 11 2 2 3 2" xfId="26990"/>
    <cellStyle name="集計 3 11 2 2 3 2 2" xfId="26991"/>
    <cellStyle name="集計 3 11 2 2 3 2 2 2" xfId="26992"/>
    <cellStyle name="集計 3 11 2 2 3 2 2 3" xfId="26993"/>
    <cellStyle name="集計 3 11 2 2 3 2 3" xfId="26994"/>
    <cellStyle name="集計 3 11 2 2 3 2 3 2" xfId="26995"/>
    <cellStyle name="集計 3 11 2 2 3 2 3 3" xfId="26996"/>
    <cellStyle name="集計 3 11 2 2 3 2 4" xfId="26997"/>
    <cellStyle name="集計 3 11 2 2 3 2 4 2" xfId="26998"/>
    <cellStyle name="集計 3 11 2 2 3 2 4 3" xfId="26999"/>
    <cellStyle name="集計 3 11 2 2 3 2 5" xfId="27000"/>
    <cellStyle name="集計 3 11 2 2 3 2 6" xfId="27001"/>
    <cellStyle name="集計 3 11 2 2 3 3" xfId="27002"/>
    <cellStyle name="集計 3 11 2 2 3 3 2" xfId="27003"/>
    <cellStyle name="集計 3 11 2 2 3 3 3" xfId="27004"/>
    <cellStyle name="集計 3 11 2 2 3 4" xfId="27005"/>
    <cellStyle name="集計 3 11 2 2 3 4 2" xfId="27006"/>
    <cellStyle name="集計 3 11 2 2 3 4 3" xfId="27007"/>
    <cellStyle name="集計 3 11 2 2 3 5" xfId="27008"/>
    <cellStyle name="集計 3 11 2 2 3 5 2" xfId="27009"/>
    <cellStyle name="集計 3 11 2 2 3 5 3" xfId="27010"/>
    <cellStyle name="集計 3 11 2 2 3 6" xfId="27011"/>
    <cellStyle name="集計 3 11 2 2 3 7" xfId="27012"/>
    <cellStyle name="集計 3 11 2 2 4" xfId="27013"/>
    <cellStyle name="集計 3 11 2 2 4 2" xfId="27014"/>
    <cellStyle name="集計 3 11 2 2 4 2 2" xfId="27015"/>
    <cellStyle name="集計 3 11 2 2 4 2 2 2" xfId="27016"/>
    <cellStyle name="集計 3 11 2 2 4 2 2 3" xfId="27017"/>
    <cellStyle name="集計 3 11 2 2 4 2 3" xfId="27018"/>
    <cellStyle name="集計 3 11 2 2 4 2 3 2" xfId="27019"/>
    <cellStyle name="集計 3 11 2 2 4 2 3 3" xfId="27020"/>
    <cellStyle name="集計 3 11 2 2 4 2 4" xfId="27021"/>
    <cellStyle name="集計 3 11 2 2 4 2 4 2" xfId="27022"/>
    <cellStyle name="集計 3 11 2 2 4 2 4 3" xfId="27023"/>
    <cellStyle name="集計 3 11 2 2 4 2 5" xfId="27024"/>
    <cellStyle name="集計 3 11 2 2 4 2 6" xfId="27025"/>
    <cellStyle name="集計 3 11 2 2 4 3" xfId="27026"/>
    <cellStyle name="集計 3 11 2 2 4 3 2" xfId="27027"/>
    <cellStyle name="集計 3 11 2 2 4 3 3" xfId="27028"/>
    <cellStyle name="集計 3 11 2 2 4 4" xfId="27029"/>
    <cellStyle name="集計 3 11 2 2 4 4 2" xfId="27030"/>
    <cellStyle name="集計 3 11 2 2 4 4 3" xfId="27031"/>
    <cellStyle name="集計 3 11 2 2 4 5" xfId="27032"/>
    <cellStyle name="集計 3 11 2 2 4 5 2" xfId="27033"/>
    <cellStyle name="集計 3 11 2 2 4 5 3" xfId="27034"/>
    <cellStyle name="集計 3 11 2 2 4 6" xfId="27035"/>
    <cellStyle name="集計 3 11 2 2 4 7" xfId="27036"/>
    <cellStyle name="集計 3 11 2 2 5" xfId="27037"/>
    <cellStyle name="集計 3 11 2 2 5 2" xfId="27038"/>
    <cellStyle name="集計 3 11 2 2 5 2 2" xfId="27039"/>
    <cellStyle name="集計 3 11 2 2 5 2 3" xfId="27040"/>
    <cellStyle name="集計 3 11 2 2 5 3" xfId="27041"/>
    <cellStyle name="集計 3 11 2 2 5 3 2" xfId="27042"/>
    <cellStyle name="集計 3 11 2 2 5 3 3" xfId="27043"/>
    <cellStyle name="集計 3 11 2 2 5 4" xfId="27044"/>
    <cellStyle name="集計 3 11 2 2 5 4 2" xfId="27045"/>
    <cellStyle name="集計 3 11 2 2 5 4 3" xfId="27046"/>
    <cellStyle name="集計 3 11 2 2 5 5" xfId="27047"/>
    <cellStyle name="集計 3 11 2 2 5 6" xfId="27048"/>
    <cellStyle name="集計 3 11 2 2 6" xfId="27049"/>
    <cellStyle name="集計 3 11 2 2 6 2" xfId="27050"/>
    <cellStyle name="集計 3 11 2 2 6 3" xfId="27051"/>
    <cellStyle name="集計 3 11 2 2 7" xfId="27052"/>
    <cellStyle name="集計 3 11 2 2 7 2" xfId="27053"/>
    <cellStyle name="集計 3 11 2 2 7 3" xfId="27054"/>
    <cellStyle name="集計 3 11 2 2 8" xfId="27055"/>
    <cellStyle name="集計 3 11 2 2 8 2" xfId="27056"/>
    <cellStyle name="集計 3 11 2 2 8 3" xfId="27057"/>
    <cellStyle name="集計 3 11 2 2 9" xfId="27058"/>
    <cellStyle name="集計 3 11 2 3" xfId="27059"/>
    <cellStyle name="集計 3 11 2 3 2" xfId="27060"/>
    <cellStyle name="集計 3 11 2 3 2 2" xfId="27061"/>
    <cellStyle name="集計 3 11 2 3 2 2 2" xfId="27062"/>
    <cellStyle name="集計 3 11 2 3 2 2 3" xfId="27063"/>
    <cellStyle name="集計 3 11 2 3 2 3" xfId="27064"/>
    <cellStyle name="集計 3 11 2 3 2 3 2" xfId="27065"/>
    <cellStyle name="集計 3 11 2 3 2 3 3" xfId="27066"/>
    <cellStyle name="集計 3 11 2 3 2 4" xfId="27067"/>
    <cellStyle name="集計 3 11 2 3 2 4 2" xfId="27068"/>
    <cellStyle name="集計 3 11 2 3 2 4 3" xfId="27069"/>
    <cellStyle name="集計 3 11 2 3 2 5" xfId="27070"/>
    <cellStyle name="集計 3 11 2 3 2 6" xfId="27071"/>
    <cellStyle name="集計 3 11 2 3 3" xfId="27072"/>
    <cellStyle name="集計 3 11 2 3 3 2" xfId="27073"/>
    <cellStyle name="集計 3 11 2 3 3 3" xfId="27074"/>
    <cellStyle name="集計 3 11 2 3 4" xfId="27075"/>
    <cellStyle name="集計 3 11 2 3 4 2" xfId="27076"/>
    <cellStyle name="集計 3 11 2 3 4 3" xfId="27077"/>
    <cellStyle name="集計 3 11 2 3 5" xfId="27078"/>
    <cellStyle name="集計 3 11 2 3 5 2" xfId="27079"/>
    <cellStyle name="集計 3 11 2 3 5 3" xfId="27080"/>
    <cellStyle name="集計 3 11 2 3 6" xfId="27081"/>
    <cellStyle name="集計 3 11 2 3 7" xfId="27082"/>
    <cellStyle name="集計 3 11 2 4" xfId="27083"/>
    <cellStyle name="集計 3 11 2 4 2" xfId="27084"/>
    <cellStyle name="集計 3 11 2 4 2 2" xfId="27085"/>
    <cellStyle name="集計 3 11 2 4 2 2 2" xfId="27086"/>
    <cellStyle name="集計 3 11 2 4 2 2 3" xfId="27087"/>
    <cellStyle name="集計 3 11 2 4 2 3" xfId="27088"/>
    <cellStyle name="集計 3 11 2 4 2 3 2" xfId="27089"/>
    <cellStyle name="集計 3 11 2 4 2 3 3" xfId="27090"/>
    <cellStyle name="集計 3 11 2 4 2 4" xfId="27091"/>
    <cellStyle name="集計 3 11 2 4 2 4 2" xfId="27092"/>
    <cellStyle name="集計 3 11 2 4 2 4 3" xfId="27093"/>
    <cellStyle name="集計 3 11 2 4 2 5" xfId="27094"/>
    <cellStyle name="集計 3 11 2 4 2 6" xfId="27095"/>
    <cellStyle name="集計 3 11 2 4 3" xfId="27096"/>
    <cellStyle name="集計 3 11 2 4 3 2" xfId="27097"/>
    <cellStyle name="集計 3 11 2 4 3 3" xfId="27098"/>
    <cellStyle name="集計 3 11 2 4 4" xfId="27099"/>
    <cellStyle name="集計 3 11 2 4 4 2" xfId="27100"/>
    <cellStyle name="集計 3 11 2 4 4 3" xfId="27101"/>
    <cellStyle name="集計 3 11 2 4 5" xfId="27102"/>
    <cellStyle name="集計 3 11 2 4 5 2" xfId="27103"/>
    <cellStyle name="集計 3 11 2 4 5 3" xfId="27104"/>
    <cellStyle name="集計 3 11 2 4 6" xfId="27105"/>
    <cellStyle name="集計 3 11 2 4 7" xfId="27106"/>
    <cellStyle name="集計 3 11 2 5" xfId="27107"/>
    <cellStyle name="集計 3 11 2 5 2" xfId="27108"/>
    <cellStyle name="集計 3 11 2 5 2 2" xfId="27109"/>
    <cellStyle name="集計 3 11 2 5 2 3" xfId="27110"/>
    <cellStyle name="集計 3 11 2 5 3" xfId="27111"/>
    <cellStyle name="集計 3 11 2 5 3 2" xfId="27112"/>
    <cellStyle name="集計 3 11 2 5 3 3" xfId="27113"/>
    <cellStyle name="集計 3 11 2 5 4" xfId="27114"/>
    <cellStyle name="集計 3 11 2 5 4 2" xfId="27115"/>
    <cellStyle name="集計 3 11 2 5 4 3" xfId="27116"/>
    <cellStyle name="集計 3 11 2 5 5" xfId="27117"/>
    <cellStyle name="集計 3 11 2 5 6" xfId="27118"/>
    <cellStyle name="集計 3 11 2 6" xfId="27119"/>
    <cellStyle name="集計 3 11 2 6 2" xfId="27120"/>
    <cellStyle name="集計 3 11 2 6 3" xfId="27121"/>
    <cellStyle name="集計 3 11 2 7" xfId="27122"/>
    <cellStyle name="集計 3 11 2 7 2" xfId="27123"/>
    <cellStyle name="集計 3 11 2 7 3" xfId="27124"/>
    <cellStyle name="集計 3 11 2 8" xfId="27125"/>
    <cellStyle name="集計 3 11 2 8 2" xfId="27126"/>
    <cellStyle name="集計 3 11 2 8 3" xfId="27127"/>
    <cellStyle name="集計 3 11 2 9" xfId="27128"/>
    <cellStyle name="集計 3 11 3" xfId="27129"/>
    <cellStyle name="集計 3 11 3 10" xfId="27130"/>
    <cellStyle name="集計 3 11 3 2" xfId="27131"/>
    <cellStyle name="集計 3 11 3 2 10" xfId="27132"/>
    <cellStyle name="集計 3 11 3 2 2" xfId="27133"/>
    <cellStyle name="集計 3 11 3 2 2 2" xfId="27134"/>
    <cellStyle name="集計 3 11 3 2 2 2 2" xfId="27135"/>
    <cellStyle name="集計 3 11 3 2 2 2 2 2" xfId="27136"/>
    <cellStyle name="集計 3 11 3 2 2 2 2 2 2" xfId="27137"/>
    <cellStyle name="集計 3 11 3 2 2 2 2 2 3" xfId="27138"/>
    <cellStyle name="集計 3 11 3 2 2 2 2 3" xfId="27139"/>
    <cellStyle name="集計 3 11 3 2 2 2 2 3 2" xfId="27140"/>
    <cellStyle name="集計 3 11 3 2 2 2 2 3 3" xfId="27141"/>
    <cellStyle name="集計 3 11 3 2 2 2 2 4" xfId="27142"/>
    <cellStyle name="集計 3 11 3 2 2 2 2 4 2" xfId="27143"/>
    <cellStyle name="集計 3 11 3 2 2 2 2 4 3" xfId="27144"/>
    <cellStyle name="集計 3 11 3 2 2 2 2 5" xfId="27145"/>
    <cellStyle name="集計 3 11 3 2 2 2 2 6" xfId="27146"/>
    <cellStyle name="集計 3 11 3 2 2 2 3" xfId="27147"/>
    <cellStyle name="集計 3 11 3 2 2 2 3 2" xfId="27148"/>
    <cellStyle name="集計 3 11 3 2 2 2 3 3" xfId="27149"/>
    <cellStyle name="集計 3 11 3 2 2 2 4" xfId="27150"/>
    <cellStyle name="集計 3 11 3 2 2 2 4 2" xfId="27151"/>
    <cellStyle name="集計 3 11 3 2 2 2 4 3" xfId="27152"/>
    <cellStyle name="集計 3 11 3 2 2 2 5" xfId="27153"/>
    <cellStyle name="集計 3 11 3 2 2 2 5 2" xfId="27154"/>
    <cellStyle name="集計 3 11 3 2 2 2 5 3" xfId="27155"/>
    <cellStyle name="集計 3 11 3 2 2 2 6" xfId="27156"/>
    <cellStyle name="集計 3 11 3 2 2 2 7" xfId="27157"/>
    <cellStyle name="集計 3 11 3 2 2 3" xfId="27158"/>
    <cellStyle name="集計 3 11 3 2 2 3 2" xfId="27159"/>
    <cellStyle name="集計 3 11 3 2 2 3 2 2" xfId="27160"/>
    <cellStyle name="集計 3 11 3 2 2 3 2 2 2" xfId="27161"/>
    <cellStyle name="集計 3 11 3 2 2 3 2 2 3" xfId="27162"/>
    <cellStyle name="集計 3 11 3 2 2 3 2 3" xfId="27163"/>
    <cellStyle name="集計 3 11 3 2 2 3 2 3 2" xfId="27164"/>
    <cellStyle name="集計 3 11 3 2 2 3 2 3 3" xfId="27165"/>
    <cellStyle name="集計 3 11 3 2 2 3 2 4" xfId="27166"/>
    <cellStyle name="集計 3 11 3 2 2 3 2 4 2" xfId="27167"/>
    <cellStyle name="集計 3 11 3 2 2 3 2 4 3" xfId="27168"/>
    <cellStyle name="集計 3 11 3 2 2 3 2 5" xfId="27169"/>
    <cellStyle name="集計 3 11 3 2 2 3 2 6" xfId="27170"/>
    <cellStyle name="集計 3 11 3 2 2 3 3" xfId="27171"/>
    <cellStyle name="集計 3 11 3 2 2 3 3 2" xfId="27172"/>
    <cellStyle name="集計 3 11 3 2 2 3 3 3" xfId="27173"/>
    <cellStyle name="集計 3 11 3 2 2 3 4" xfId="27174"/>
    <cellStyle name="集計 3 11 3 2 2 3 4 2" xfId="27175"/>
    <cellStyle name="集計 3 11 3 2 2 3 4 3" xfId="27176"/>
    <cellStyle name="集計 3 11 3 2 2 3 5" xfId="27177"/>
    <cellStyle name="集計 3 11 3 2 2 3 5 2" xfId="27178"/>
    <cellStyle name="集計 3 11 3 2 2 3 5 3" xfId="27179"/>
    <cellStyle name="集計 3 11 3 2 2 3 6" xfId="27180"/>
    <cellStyle name="集計 3 11 3 2 2 3 7" xfId="27181"/>
    <cellStyle name="集計 3 11 3 2 2 4" xfId="27182"/>
    <cellStyle name="集計 3 11 3 2 2 4 2" xfId="27183"/>
    <cellStyle name="集計 3 11 3 2 2 4 2 2" xfId="27184"/>
    <cellStyle name="集計 3 11 3 2 2 4 2 3" xfId="27185"/>
    <cellStyle name="集計 3 11 3 2 2 4 3" xfId="27186"/>
    <cellStyle name="集計 3 11 3 2 2 4 3 2" xfId="27187"/>
    <cellStyle name="集計 3 11 3 2 2 4 3 3" xfId="27188"/>
    <cellStyle name="集計 3 11 3 2 2 4 4" xfId="27189"/>
    <cellStyle name="集計 3 11 3 2 2 4 4 2" xfId="27190"/>
    <cellStyle name="集計 3 11 3 2 2 4 4 3" xfId="27191"/>
    <cellStyle name="集計 3 11 3 2 2 4 5" xfId="27192"/>
    <cellStyle name="集計 3 11 3 2 2 4 6" xfId="27193"/>
    <cellStyle name="集計 3 11 3 2 2 5" xfId="27194"/>
    <cellStyle name="集計 3 11 3 2 2 5 2" xfId="27195"/>
    <cellStyle name="集計 3 11 3 2 2 5 3" xfId="27196"/>
    <cellStyle name="集計 3 11 3 2 2 6" xfId="27197"/>
    <cellStyle name="集計 3 11 3 2 2 6 2" xfId="27198"/>
    <cellStyle name="集計 3 11 3 2 2 6 3" xfId="27199"/>
    <cellStyle name="集計 3 11 3 2 2 7" xfId="27200"/>
    <cellStyle name="集計 3 11 3 2 2 7 2" xfId="27201"/>
    <cellStyle name="集計 3 11 3 2 2 7 3" xfId="27202"/>
    <cellStyle name="集計 3 11 3 2 2 8" xfId="27203"/>
    <cellStyle name="集計 3 11 3 2 2 9" xfId="27204"/>
    <cellStyle name="集計 3 11 3 2 3" xfId="27205"/>
    <cellStyle name="集計 3 11 3 2 3 2" xfId="27206"/>
    <cellStyle name="集計 3 11 3 2 3 2 2" xfId="27207"/>
    <cellStyle name="集計 3 11 3 2 3 2 2 2" xfId="27208"/>
    <cellStyle name="集計 3 11 3 2 3 2 2 3" xfId="27209"/>
    <cellStyle name="集計 3 11 3 2 3 2 3" xfId="27210"/>
    <cellStyle name="集計 3 11 3 2 3 2 3 2" xfId="27211"/>
    <cellStyle name="集計 3 11 3 2 3 2 3 3" xfId="27212"/>
    <cellStyle name="集計 3 11 3 2 3 2 4" xfId="27213"/>
    <cellStyle name="集計 3 11 3 2 3 2 4 2" xfId="27214"/>
    <cellStyle name="集計 3 11 3 2 3 2 4 3" xfId="27215"/>
    <cellStyle name="集計 3 11 3 2 3 2 5" xfId="27216"/>
    <cellStyle name="集計 3 11 3 2 3 2 6" xfId="27217"/>
    <cellStyle name="集計 3 11 3 2 3 3" xfId="27218"/>
    <cellStyle name="集計 3 11 3 2 3 3 2" xfId="27219"/>
    <cellStyle name="集計 3 11 3 2 3 3 3" xfId="27220"/>
    <cellStyle name="集計 3 11 3 2 3 4" xfId="27221"/>
    <cellStyle name="集計 3 11 3 2 3 4 2" xfId="27222"/>
    <cellStyle name="集計 3 11 3 2 3 4 3" xfId="27223"/>
    <cellStyle name="集計 3 11 3 2 3 5" xfId="27224"/>
    <cellStyle name="集計 3 11 3 2 3 5 2" xfId="27225"/>
    <cellStyle name="集計 3 11 3 2 3 5 3" xfId="27226"/>
    <cellStyle name="集計 3 11 3 2 3 6" xfId="27227"/>
    <cellStyle name="集計 3 11 3 2 3 7" xfId="27228"/>
    <cellStyle name="集計 3 11 3 2 4" xfId="27229"/>
    <cellStyle name="集計 3 11 3 2 4 2" xfId="27230"/>
    <cellStyle name="集計 3 11 3 2 4 2 2" xfId="27231"/>
    <cellStyle name="集計 3 11 3 2 4 2 2 2" xfId="27232"/>
    <cellStyle name="集計 3 11 3 2 4 2 2 3" xfId="27233"/>
    <cellStyle name="集計 3 11 3 2 4 2 3" xfId="27234"/>
    <cellStyle name="集計 3 11 3 2 4 2 3 2" xfId="27235"/>
    <cellStyle name="集計 3 11 3 2 4 2 3 3" xfId="27236"/>
    <cellStyle name="集計 3 11 3 2 4 2 4" xfId="27237"/>
    <cellStyle name="集計 3 11 3 2 4 2 4 2" xfId="27238"/>
    <cellStyle name="集計 3 11 3 2 4 2 4 3" xfId="27239"/>
    <cellStyle name="集計 3 11 3 2 4 2 5" xfId="27240"/>
    <cellStyle name="集計 3 11 3 2 4 2 6" xfId="27241"/>
    <cellStyle name="集計 3 11 3 2 4 3" xfId="27242"/>
    <cellStyle name="集計 3 11 3 2 4 3 2" xfId="27243"/>
    <cellStyle name="集計 3 11 3 2 4 3 3" xfId="27244"/>
    <cellStyle name="集計 3 11 3 2 4 4" xfId="27245"/>
    <cellStyle name="集計 3 11 3 2 4 4 2" xfId="27246"/>
    <cellStyle name="集計 3 11 3 2 4 4 3" xfId="27247"/>
    <cellStyle name="集計 3 11 3 2 4 5" xfId="27248"/>
    <cellStyle name="集計 3 11 3 2 4 5 2" xfId="27249"/>
    <cellStyle name="集計 3 11 3 2 4 5 3" xfId="27250"/>
    <cellStyle name="集計 3 11 3 2 4 6" xfId="27251"/>
    <cellStyle name="集計 3 11 3 2 4 7" xfId="27252"/>
    <cellStyle name="集計 3 11 3 2 5" xfId="27253"/>
    <cellStyle name="集計 3 11 3 2 5 2" xfId="27254"/>
    <cellStyle name="集計 3 11 3 2 5 2 2" xfId="27255"/>
    <cellStyle name="集計 3 11 3 2 5 2 3" xfId="27256"/>
    <cellStyle name="集計 3 11 3 2 5 3" xfId="27257"/>
    <cellStyle name="集計 3 11 3 2 5 3 2" xfId="27258"/>
    <cellStyle name="集計 3 11 3 2 5 3 3" xfId="27259"/>
    <cellStyle name="集計 3 11 3 2 5 4" xfId="27260"/>
    <cellStyle name="集計 3 11 3 2 5 4 2" xfId="27261"/>
    <cellStyle name="集計 3 11 3 2 5 4 3" xfId="27262"/>
    <cellStyle name="集計 3 11 3 2 5 5" xfId="27263"/>
    <cellStyle name="集計 3 11 3 2 5 6" xfId="27264"/>
    <cellStyle name="集計 3 11 3 2 6" xfId="27265"/>
    <cellStyle name="集計 3 11 3 2 6 2" xfId="27266"/>
    <cellStyle name="集計 3 11 3 2 6 3" xfId="27267"/>
    <cellStyle name="集計 3 11 3 2 7" xfId="27268"/>
    <cellStyle name="集計 3 11 3 2 7 2" xfId="27269"/>
    <cellStyle name="集計 3 11 3 2 7 3" xfId="27270"/>
    <cellStyle name="集計 3 11 3 2 8" xfId="27271"/>
    <cellStyle name="集計 3 11 3 2 8 2" xfId="27272"/>
    <cellStyle name="集計 3 11 3 2 8 3" xfId="27273"/>
    <cellStyle name="集計 3 11 3 2 9" xfId="27274"/>
    <cellStyle name="集計 3 11 3 3" xfId="27275"/>
    <cellStyle name="集計 3 11 3 3 2" xfId="27276"/>
    <cellStyle name="集計 3 11 3 3 2 2" xfId="27277"/>
    <cellStyle name="集計 3 11 3 3 2 2 2" xfId="27278"/>
    <cellStyle name="集計 3 11 3 3 2 2 3" xfId="27279"/>
    <cellStyle name="集計 3 11 3 3 2 3" xfId="27280"/>
    <cellStyle name="集計 3 11 3 3 2 3 2" xfId="27281"/>
    <cellStyle name="集計 3 11 3 3 2 3 3" xfId="27282"/>
    <cellStyle name="集計 3 11 3 3 2 4" xfId="27283"/>
    <cellStyle name="集計 3 11 3 3 2 4 2" xfId="27284"/>
    <cellStyle name="集計 3 11 3 3 2 4 3" xfId="27285"/>
    <cellStyle name="集計 3 11 3 3 2 5" xfId="27286"/>
    <cellStyle name="集計 3 11 3 3 2 6" xfId="27287"/>
    <cellStyle name="集計 3 11 3 3 3" xfId="27288"/>
    <cellStyle name="集計 3 11 3 3 3 2" xfId="27289"/>
    <cellStyle name="集計 3 11 3 3 3 3" xfId="27290"/>
    <cellStyle name="集計 3 11 3 3 4" xfId="27291"/>
    <cellStyle name="集計 3 11 3 3 4 2" xfId="27292"/>
    <cellStyle name="集計 3 11 3 3 4 3" xfId="27293"/>
    <cellStyle name="集計 3 11 3 3 5" xfId="27294"/>
    <cellStyle name="集計 3 11 3 3 5 2" xfId="27295"/>
    <cellStyle name="集計 3 11 3 3 5 3" xfId="27296"/>
    <cellStyle name="集計 3 11 3 3 6" xfId="27297"/>
    <cellStyle name="集計 3 11 3 3 7" xfId="27298"/>
    <cellStyle name="集計 3 11 3 4" xfId="27299"/>
    <cellStyle name="集計 3 11 3 4 2" xfId="27300"/>
    <cellStyle name="集計 3 11 3 4 2 2" xfId="27301"/>
    <cellStyle name="集計 3 11 3 4 2 2 2" xfId="27302"/>
    <cellStyle name="集計 3 11 3 4 2 2 3" xfId="27303"/>
    <cellStyle name="集計 3 11 3 4 2 3" xfId="27304"/>
    <cellStyle name="集計 3 11 3 4 2 3 2" xfId="27305"/>
    <cellStyle name="集計 3 11 3 4 2 3 3" xfId="27306"/>
    <cellStyle name="集計 3 11 3 4 2 4" xfId="27307"/>
    <cellStyle name="集計 3 11 3 4 2 4 2" xfId="27308"/>
    <cellStyle name="集計 3 11 3 4 2 4 3" xfId="27309"/>
    <cellStyle name="集計 3 11 3 4 2 5" xfId="27310"/>
    <cellStyle name="集計 3 11 3 4 2 6" xfId="27311"/>
    <cellStyle name="集計 3 11 3 4 3" xfId="27312"/>
    <cellStyle name="集計 3 11 3 4 3 2" xfId="27313"/>
    <cellStyle name="集計 3 11 3 4 3 3" xfId="27314"/>
    <cellStyle name="集計 3 11 3 4 4" xfId="27315"/>
    <cellStyle name="集計 3 11 3 4 4 2" xfId="27316"/>
    <cellStyle name="集計 3 11 3 4 4 3" xfId="27317"/>
    <cellStyle name="集計 3 11 3 4 5" xfId="27318"/>
    <cellStyle name="集計 3 11 3 4 5 2" xfId="27319"/>
    <cellStyle name="集計 3 11 3 4 5 3" xfId="27320"/>
    <cellStyle name="集計 3 11 3 4 6" xfId="27321"/>
    <cellStyle name="集計 3 11 3 4 7" xfId="27322"/>
    <cellStyle name="集計 3 11 3 5" xfId="27323"/>
    <cellStyle name="集計 3 11 3 5 2" xfId="27324"/>
    <cellStyle name="集計 3 11 3 5 2 2" xfId="27325"/>
    <cellStyle name="集計 3 11 3 5 2 3" xfId="27326"/>
    <cellStyle name="集計 3 11 3 5 3" xfId="27327"/>
    <cellStyle name="集計 3 11 3 5 3 2" xfId="27328"/>
    <cellStyle name="集計 3 11 3 5 3 3" xfId="27329"/>
    <cellStyle name="集計 3 11 3 5 4" xfId="27330"/>
    <cellStyle name="集計 3 11 3 5 4 2" xfId="27331"/>
    <cellStyle name="集計 3 11 3 5 4 3" xfId="27332"/>
    <cellStyle name="集計 3 11 3 5 5" xfId="27333"/>
    <cellStyle name="集計 3 11 3 5 6" xfId="27334"/>
    <cellStyle name="集計 3 11 3 6" xfId="27335"/>
    <cellStyle name="集計 3 11 3 6 2" xfId="27336"/>
    <cellStyle name="集計 3 11 3 6 3" xfId="27337"/>
    <cellStyle name="集計 3 11 3 7" xfId="27338"/>
    <cellStyle name="集計 3 11 3 7 2" xfId="27339"/>
    <cellStyle name="集計 3 11 3 7 3" xfId="27340"/>
    <cellStyle name="集計 3 11 3 8" xfId="27341"/>
    <cellStyle name="集計 3 11 3 8 2" xfId="27342"/>
    <cellStyle name="集計 3 11 3 8 3" xfId="27343"/>
    <cellStyle name="集計 3 11 3 9" xfId="27344"/>
    <cellStyle name="集計 3 11 4" xfId="27345"/>
    <cellStyle name="集計 3 11 4 10" xfId="27346"/>
    <cellStyle name="集計 3 11 4 2" xfId="27347"/>
    <cellStyle name="集計 3 11 4 2 10" xfId="27348"/>
    <cellStyle name="集計 3 11 4 2 2" xfId="27349"/>
    <cellStyle name="集計 3 11 4 2 2 2" xfId="27350"/>
    <cellStyle name="集計 3 11 4 2 2 2 2" xfId="27351"/>
    <cellStyle name="集計 3 11 4 2 2 2 2 2" xfId="27352"/>
    <cellStyle name="集計 3 11 4 2 2 2 2 2 2" xfId="27353"/>
    <cellStyle name="集計 3 11 4 2 2 2 2 2 3" xfId="27354"/>
    <cellStyle name="集計 3 11 4 2 2 2 2 3" xfId="27355"/>
    <cellStyle name="集計 3 11 4 2 2 2 2 3 2" xfId="27356"/>
    <cellStyle name="集計 3 11 4 2 2 2 2 3 3" xfId="27357"/>
    <cellStyle name="集計 3 11 4 2 2 2 2 4" xfId="27358"/>
    <cellStyle name="集計 3 11 4 2 2 2 2 4 2" xfId="27359"/>
    <cellStyle name="集計 3 11 4 2 2 2 2 4 3" xfId="27360"/>
    <cellStyle name="集計 3 11 4 2 2 2 2 5" xfId="27361"/>
    <cellStyle name="集計 3 11 4 2 2 2 2 6" xfId="27362"/>
    <cellStyle name="集計 3 11 4 2 2 2 3" xfId="27363"/>
    <cellStyle name="集計 3 11 4 2 2 2 3 2" xfId="27364"/>
    <cellStyle name="集計 3 11 4 2 2 2 3 3" xfId="27365"/>
    <cellStyle name="集計 3 11 4 2 2 2 4" xfId="27366"/>
    <cellStyle name="集計 3 11 4 2 2 2 4 2" xfId="27367"/>
    <cellStyle name="集計 3 11 4 2 2 2 4 3" xfId="27368"/>
    <cellStyle name="集計 3 11 4 2 2 2 5" xfId="27369"/>
    <cellStyle name="集計 3 11 4 2 2 2 5 2" xfId="27370"/>
    <cellStyle name="集計 3 11 4 2 2 2 5 3" xfId="27371"/>
    <cellStyle name="集計 3 11 4 2 2 2 6" xfId="27372"/>
    <cellStyle name="集計 3 11 4 2 2 2 7" xfId="27373"/>
    <cellStyle name="集計 3 11 4 2 2 3" xfId="27374"/>
    <cellStyle name="集計 3 11 4 2 2 3 2" xfId="27375"/>
    <cellStyle name="集計 3 11 4 2 2 3 2 2" xfId="27376"/>
    <cellStyle name="集計 3 11 4 2 2 3 2 2 2" xfId="27377"/>
    <cellStyle name="集計 3 11 4 2 2 3 2 2 3" xfId="27378"/>
    <cellStyle name="集計 3 11 4 2 2 3 2 3" xfId="27379"/>
    <cellStyle name="集計 3 11 4 2 2 3 2 3 2" xfId="27380"/>
    <cellStyle name="集計 3 11 4 2 2 3 2 3 3" xfId="27381"/>
    <cellStyle name="集計 3 11 4 2 2 3 2 4" xfId="27382"/>
    <cellStyle name="集計 3 11 4 2 2 3 2 4 2" xfId="27383"/>
    <cellStyle name="集計 3 11 4 2 2 3 2 4 3" xfId="27384"/>
    <cellStyle name="集計 3 11 4 2 2 3 2 5" xfId="27385"/>
    <cellStyle name="集計 3 11 4 2 2 3 2 6" xfId="27386"/>
    <cellStyle name="集計 3 11 4 2 2 3 3" xfId="27387"/>
    <cellStyle name="集計 3 11 4 2 2 3 3 2" xfId="27388"/>
    <cellStyle name="集計 3 11 4 2 2 3 3 3" xfId="27389"/>
    <cellStyle name="集計 3 11 4 2 2 3 4" xfId="27390"/>
    <cellStyle name="集計 3 11 4 2 2 3 4 2" xfId="27391"/>
    <cellStyle name="集計 3 11 4 2 2 3 4 3" xfId="27392"/>
    <cellStyle name="集計 3 11 4 2 2 3 5" xfId="27393"/>
    <cellStyle name="集計 3 11 4 2 2 3 5 2" xfId="27394"/>
    <cellStyle name="集計 3 11 4 2 2 3 5 3" xfId="27395"/>
    <cellStyle name="集計 3 11 4 2 2 3 6" xfId="27396"/>
    <cellStyle name="集計 3 11 4 2 2 3 7" xfId="27397"/>
    <cellStyle name="集計 3 11 4 2 2 4" xfId="27398"/>
    <cellStyle name="集計 3 11 4 2 2 4 2" xfId="27399"/>
    <cellStyle name="集計 3 11 4 2 2 4 2 2" xfId="27400"/>
    <cellStyle name="集計 3 11 4 2 2 4 2 3" xfId="27401"/>
    <cellStyle name="集計 3 11 4 2 2 4 3" xfId="27402"/>
    <cellStyle name="集計 3 11 4 2 2 4 3 2" xfId="27403"/>
    <cellStyle name="集計 3 11 4 2 2 4 3 3" xfId="27404"/>
    <cellStyle name="集計 3 11 4 2 2 4 4" xfId="27405"/>
    <cellStyle name="集計 3 11 4 2 2 4 4 2" xfId="27406"/>
    <cellStyle name="集計 3 11 4 2 2 4 4 3" xfId="27407"/>
    <cellStyle name="集計 3 11 4 2 2 4 5" xfId="27408"/>
    <cellStyle name="集計 3 11 4 2 2 4 6" xfId="27409"/>
    <cellStyle name="集計 3 11 4 2 2 5" xfId="27410"/>
    <cellStyle name="集計 3 11 4 2 2 5 2" xfId="27411"/>
    <cellStyle name="集計 3 11 4 2 2 5 3" xfId="27412"/>
    <cellStyle name="集計 3 11 4 2 2 6" xfId="27413"/>
    <cellStyle name="集計 3 11 4 2 2 6 2" xfId="27414"/>
    <cellStyle name="集計 3 11 4 2 2 6 3" xfId="27415"/>
    <cellStyle name="集計 3 11 4 2 2 7" xfId="27416"/>
    <cellStyle name="集計 3 11 4 2 2 7 2" xfId="27417"/>
    <cellStyle name="集計 3 11 4 2 2 7 3" xfId="27418"/>
    <cellStyle name="集計 3 11 4 2 2 8" xfId="27419"/>
    <cellStyle name="集計 3 11 4 2 2 9" xfId="27420"/>
    <cellStyle name="集計 3 11 4 2 3" xfId="27421"/>
    <cellStyle name="集計 3 11 4 2 3 2" xfId="27422"/>
    <cellStyle name="集計 3 11 4 2 3 2 2" xfId="27423"/>
    <cellStyle name="集計 3 11 4 2 3 2 2 2" xfId="27424"/>
    <cellStyle name="集計 3 11 4 2 3 2 2 3" xfId="27425"/>
    <cellStyle name="集計 3 11 4 2 3 2 3" xfId="27426"/>
    <cellStyle name="集計 3 11 4 2 3 2 3 2" xfId="27427"/>
    <cellStyle name="集計 3 11 4 2 3 2 3 3" xfId="27428"/>
    <cellStyle name="集計 3 11 4 2 3 2 4" xfId="27429"/>
    <cellStyle name="集計 3 11 4 2 3 2 4 2" xfId="27430"/>
    <cellStyle name="集計 3 11 4 2 3 2 4 3" xfId="27431"/>
    <cellStyle name="集計 3 11 4 2 3 2 5" xfId="27432"/>
    <cellStyle name="集計 3 11 4 2 3 2 6" xfId="27433"/>
    <cellStyle name="集計 3 11 4 2 3 3" xfId="27434"/>
    <cellStyle name="集計 3 11 4 2 3 3 2" xfId="27435"/>
    <cellStyle name="集計 3 11 4 2 3 3 3" xfId="27436"/>
    <cellStyle name="集計 3 11 4 2 3 4" xfId="27437"/>
    <cellStyle name="集計 3 11 4 2 3 4 2" xfId="27438"/>
    <cellStyle name="集計 3 11 4 2 3 4 3" xfId="27439"/>
    <cellStyle name="集計 3 11 4 2 3 5" xfId="27440"/>
    <cellStyle name="集計 3 11 4 2 3 5 2" xfId="27441"/>
    <cellStyle name="集計 3 11 4 2 3 5 3" xfId="27442"/>
    <cellStyle name="集計 3 11 4 2 3 6" xfId="27443"/>
    <cellStyle name="集計 3 11 4 2 3 7" xfId="27444"/>
    <cellStyle name="集計 3 11 4 2 4" xfId="27445"/>
    <cellStyle name="集計 3 11 4 2 4 2" xfId="27446"/>
    <cellStyle name="集計 3 11 4 2 4 2 2" xfId="27447"/>
    <cellStyle name="集計 3 11 4 2 4 2 2 2" xfId="27448"/>
    <cellStyle name="集計 3 11 4 2 4 2 2 3" xfId="27449"/>
    <cellStyle name="集計 3 11 4 2 4 2 3" xfId="27450"/>
    <cellStyle name="集計 3 11 4 2 4 2 3 2" xfId="27451"/>
    <cellStyle name="集計 3 11 4 2 4 2 3 3" xfId="27452"/>
    <cellStyle name="集計 3 11 4 2 4 2 4" xfId="27453"/>
    <cellStyle name="集計 3 11 4 2 4 2 4 2" xfId="27454"/>
    <cellStyle name="集計 3 11 4 2 4 2 4 3" xfId="27455"/>
    <cellStyle name="集計 3 11 4 2 4 2 5" xfId="27456"/>
    <cellStyle name="集計 3 11 4 2 4 2 6" xfId="27457"/>
    <cellStyle name="集計 3 11 4 2 4 3" xfId="27458"/>
    <cellStyle name="集計 3 11 4 2 4 3 2" xfId="27459"/>
    <cellStyle name="集計 3 11 4 2 4 3 3" xfId="27460"/>
    <cellStyle name="集計 3 11 4 2 4 4" xfId="27461"/>
    <cellStyle name="集計 3 11 4 2 4 4 2" xfId="27462"/>
    <cellStyle name="集計 3 11 4 2 4 4 3" xfId="27463"/>
    <cellStyle name="集計 3 11 4 2 4 5" xfId="27464"/>
    <cellStyle name="集計 3 11 4 2 4 5 2" xfId="27465"/>
    <cellStyle name="集計 3 11 4 2 4 5 3" xfId="27466"/>
    <cellStyle name="集計 3 11 4 2 4 6" xfId="27467"/>
    <cellStyle name="集計 3 11 4 2 4 7" xfId="27468"/>
    <cellStyle name="集計 3 11 4 2 5" xfId="27469"/>
    <cellStyle name="集計 3 11 4 2 5 2" xfId="27470"/>
    <cellStyle name="集計 3 11 4 2 5 2 2" xfId="27471"/>
    <cellStyle name="集計 3 11 4 2 5 2 3" xfId="27472"/>
    <cellStyle name="集計 3 11 4 2 5 3" xfId="27473"/>
    <cellStyle name="集計 3 11 4 2 5 3 2" xfId="27474"/>
    <cellStyle name="集計 3 11 4 2 5 3 3" xfId="27475"/>
    <cellStyle name="集計 3 11 4 2 5 4" xfId="27476"/>
    <cellStyle name="集計 3 11 4 2 5 4 2" xfId="27477"/>
    <cellStyle name="集計 3 11 4 2 5 4 3" xfId="27478"/>
    <cellStyle name="集計 3 11 4 2 5 5" xfId="27479"/>
    <cellStyle name="集計 3 11 4 2 5 6" xfId="27480"/>
    <cellStyle name="集計 3 11 4 2 6" xfId="27481"/>
    <cellStyle name="集計 3 11 4 2 6 2" xfId="27482"/>
    <cellStyle name="集計 3 11 4 2 6 3" xfId="27483"/>
    <cellStyle name="集計 3 11 4 2 7" xfId="27484"/>
    <cellStyle name="集計 3 11 4 2 7 2" xfId="27485"/>
    <cellStyle name="集計 3 11 4 2 7 3" xfId="27486"/>
    <cellStyle name="集計 3 11 4 2 8" xfId="27487"/>
    <cellStyle name="集計 3 11 4 2 8 2" xfId="27488"/>
    <cellStyle name="集計 3 11 4 2 8 3" xfId="27489"/>
    <cellStyle name="集計 3 11 4 2 9" xfId="27490"/>
    <cellStyle name="集計 3 11 4 3" xfId="27491"/>
    <cellStyle name="集計 3 11 4 3 2" xfId="27492"/>
    <cellStyle name="集計 3 11 4 3 2 2" xfId="27493"/>
    <cellStyle name="集計 3 11 4 3 2 2 2" xfId="27494"/>
    <cellStyle name="集計 3 11 4 3 2 2 3" xfId="27495"/>
    <cellStyle name="集計 3 11 4 3 2 3" xfId="27496"/>
    <cellStyle name="集計 3 11 4 3 2 3 2" xfId="27497"/>
    <cellStyle name="集計 3 11 4 3 2 3 3" xfId="27498"/>
    <cellStyle name="集計 3 11 4 3 2 4" xfId="27499"/>
    <cellStyle name="集計 3 11 4 3 2 4 2" xfId="27500"/>
    <cellStyle name="集計 3 11 4 3 2 4 3" xfId="27501"/>
    <cellStyle name="集計 3 11 4 3 2 5" xfId="27502"/>
    <cellStyle name="集計 3 11 4 3 2 6" xfId="27503"/>
    <cellStyle name="集計 3 11 4 3 3" xfId="27504"/>
    <cellStyle name="集計 3 11 4 3 3 2" xfId="27505"/>
    <cellStyle name="集計 3 11 4 3 3 3" xfId="27506"/>
    <cellStyle name="集計 3 11 4 3 4" xfId="27507"/>
    <cellStyle name="集計 3 11 4 3 4 2" xfId="27508"/>
    <cellStyle name="集計 3 11 4 3 4 3" xfId="27509"/>
    <cellStyle name="集計 3 11 4 3 5" xfId="27510"/>
    <cellStyle name="集計 3 11 4 3 5 2" xfId="27511"/>
    <cellStyle name="集計 3 11 4 3 5 3" xfId="27512"/>
    <cellStyle name="集計 3 11 4 3 6" xfId="27513"/>
    <cellStyle name="集計 3 11 4 3 7" xfId="27514"/>
    <cellStyle name="集計 3 11 4 4" xfId="27515"/>
    <cellStyle name="集計 3 11 4 4 2" xfId="27516"/>
    <cellStyle name="集計 3 11 4 4 2 2" xfId="27517"/>
    <cellStyle name="集計 3 11 4 4 2 2 2" xfId="27518"/>
    <cellStyle name="集計 3 11 4 4 2 2 3" xfId="27519"/>
    <cellStyle name="集計 3 11 4 4 2 3" xfId="27520"/>
    <cellStyle name="集計 3 11 4 4 2 3 2" xfId="27521"/>
    <cellStyle name="集計 3 11 4 4 2 3 3" xfId="27522"/>
    <cellStyle name="集計 3 11 4 4 2 4" xfId="27523"/>
    <cellStyle name="集計 3 11 4 4 2 4 2" xfId="27524"/>
    <cellStyle name="集計 3 11 4 4 2 4 3" xfId="27525"/>
    <cellStyle name="集計 3 11 4 4 2 5" xfId="27526"/>
    <cellStyle name="集計 3 11 4 4 2 6" xfId="27527"/>
    <cellStyle name="集計 3 11 4 4 3" xfId="27528"/>
    <cellStyle name="集計 3 11 4 4 3 2" xfId="27529"/>
    <cellStyle name="集計 3 11 4 4 3 3" xfId="27530"/>
    <cellStyle name="集計 3 11 4 4 4" xfId="27531"/>
    <cellStyle name="集計 3 11 4 4 4 2" xfId="27532"/>
    <cellStyle name="集計 3 11 4 4 4 3" xfId="27533"/>
    <cellStyle name="集計 3 11 4 4 5" xfId="27534"/>
    <cellStyle name="集計 3 11 4 4 5 2" xfId="27535"/>
    <cellStyle name="集計 3 11 4 4 5 3" xfId="27536"/>
    <cellStyle name="集計 3 11 4 4 6" xfId="27537"/>
    <cellStyle name="集計 3 11 4 4 7" xfId="27538"/>
    <cellStyle name="集計 3 11 4 5" xfId="27539"/>
    <cellStyle name="集計 3 11 4 5 2" xfId="27540"/>
    <cellStyle name="集計 3 11 4 5 2 2" xfId="27541"/>
    <cellStyle name="集計 3 11 4 5 2 3" xfId="27542"/>
    <cellStyle name="集計 3 11 4 5 3" xfId="27543"/>
    <cellStyle name="集計 3 11 4 5 3 2" xfId="27544"/>
    <cellStyle name="集計 3 11 4 5 3 3" xfId="27545"/>
    <cellStyle name="集計 3 11 4 5 4" xfId="27546"/>
    <cellStyle name="集計 3 11 4 5 4 2" xfId="27547"/>
    <cellStyle name="集計 3 11 4 5 4 3" xfId="27548"/>
    <cellStyle name="集計 3 11 4 5 5" xfId="27549"/>
    <cellStyle name="集計 3 11 4 5 6" xfId="27550"/>
    <cellStyle name="集計 3 11 4 6" xfId="27551"/>
    <cellStyle name="集計 3 11 4 6 2" xfId="27552"/>
    <cellStyle name="集計 3 11 4 6 3" xfId="27553"/>
    <cellStyle name="集計 3 11 4 7" xfId="27554"/>
    <cellStyle name="集計 3 11 4 7 2" xfId="27555"/>
    <cellStyle name="集計 3 11 4 7 3" xfId="27556"/>
    <cellStyle name="集計 3 11 4 8" xfId="27557"/>
    <cellStyle name="集計 3 11 4 8 2" xfId="27558"/>
    <cellStyle name="集計 3 11 4 8 3" xfId="27559"/>
    <cellStyle name="集計 3 11 4 9" xfId="27560"/>
    <cellStyle name="集計 3 11 5" xfId="27561"/>
    <cellStyle name="集計 3 11 5 10" xfId="27562"/>
    <cellStyle name="集計 3 11 5 2" xfId="27563"/>
    <cellStyle name="集計 3 11 5 2 2" xfId="27564"/>
    <cellStyle name="集計 3 11 5 2 2 2" xfId="27565"/>
    <cellStyle name="集計 3 11 5 2 2 2 2" xfId="27566"/>
    <cellStyle name="集計 3 11 5 2 2 2 2 2" xfId="27567"/>
    <cellStyle name="集計 3 11 5 2 2 2 2 3" xfId="27568"/>
    <cellStyle name="集計 3 11 5 2 2 2 3" xfId="27569"/>
    <cellStyle name="集計 3 11 5 2 2 2 3 2" xfId="27570"/>
    <cellStyle name="集計 3 11 5 2 2 2 3 3" xfId="27571"/>
    <cellStyle name="集計 3 11 5 2 2 2 4" xfId="27572"/>
    <cellStyle name="集計 3 11 5 2 2 2 4 2" xfId="27573"/>
    <cellStyle name="集計 3 11 5 2 2 2 4 3" xfId="27574"/>
    <cellStyle name="集計 3 11 5 2 2 2 5" xfId="27575"/>
    <cellStyle name="集計 3 11 5 2 2 2 6" xfId="27576"/>
    <cellStyle name="集計 3 11 5 2 2 3" xfId="27577"/>
    <cellStyle name="集計 3 11 5 2 2 3 2" xfId="27578"/>
    <cellStyle name="集計 3 11 5 2 2 3 3" xfId="27579"/>
    <cellStyle name="集計 3 11 5 2 2 4" xfId="27580"/>
    <cellStyle name="集計 3 11 5 2 2 4 2" xfId="27581"/>
    <cellStyle name="集計 3 11 5 2 2 4 3" xfId="27582"/>
    <cellStyle name="集計 3 11 5 2 2 5" xfId="27583"/>
    <cellStyle name="集計 3 11 5 2 2 5 2" xfId="27584"/>
    <cellStyle name="集計 3 11 5 2 2 5 3" xfId="27585"/>
    <cellStyle name="集計 3 11 5 2 2 6" xfId="27586"/>
    <cellStyle name="集計 3 11 5 2 2 7" xfId="27587"/>
    <cellStyle name="集計 3 11 5 2 3" xfId="27588"/>
    <cellStyle name="集計 3 11 5 2 3 2" xfId="27589"/>
    <cellStyle name="集計 3 11 5 2 3 2 2" xfId="27590"/>
    <cellStyle name="集計 3 11 5 2 3 2 2 2" xfId="27591"/>
    <cellStyle name="集計 3 11 5 2 3 2 2 3" xfId="27592"/>
    <cellStyle name="集計 3 11 5 2 3 2 3" xfId="27593"/>
    <cellStyle name="集計 3 11 5 2 3 2 3 2" xfId="27594"/>
    <cellStyle name="集計 3 11 5 2 3 2 3 3" xfId="27595"/>
    <cellStyle name="集計 3 11 5 2 3 2 4" xfId="27596"/>
    <cellStyle name="集計 3 11 5 2 3 2 4 2" xfId="27597"/>
    <cellStyle name="集計 3 11 5 2 3 2 4 3" xfId="27598"/>
    <cellStyle name="集計 3 11 5 2 3 2 5" xfId="27599"/>
    <cellStyle name="集計 3 11 5 2 3 2 6" xfId="27600"/>
    <cellStyle name="集計 3 11 5 2 3 3" xfId="27601"/>
    <cellStyle name="集計 3 11 5 2 3 3 2" xfId="27602"/>
    <cellStyle name="集計 3 11 5 2 3 3 3" xfId="27603"/>
    <cellStyle name="集計 3 11 5 2 3 4" xfId="27604"/>
    <cellStyle name="集計 3 11 5 2 3 4 2" xfId="27605"/>
    <cellStyle name="集計 3 11 5 2 3 4 3" xfId="27606"/>
    <cellStyle name="集計 3 11 5 2 3 5" xfId="27607"/>
    <cellStyle name="集計 3 11 5 2 3 5 2" xfId="27608"/>
    <cellStyle name="集計 3 11 5 2 3 5 3" xfId="27609"/>
    <cellStyle name="集計 3 11 5 2 3 6" xfId="27610"/>
    <cellStyle name="集計 3 11 5 2 3 7" xfId="27611"/>
    <cellStyle name="集計 3 11 5 2 4" xfId="27612"/>
    <cellStyle name="集計 3 11 5 2 4 2" xfId="27613"/>
    <cellStyle name="集計 3 11 5 2 4 2 2" xfId="27614"/>
    <cellStyle name="集計 3 11 5 2 4 2 3" xfId="27615"/>
    <cellStyle name="集計 3 11 5 2 4 3" xfId="27616"/>
    <cellStyle name="集計 3 11 5 2 4 3 2" xfId="27617"/>
    <cellStyle name="集計 3 11 5 2 4 3 3" xfId="27618"/>
    <cellStyle name="集計 3 11 5 2 4 4" xfId="27619"/>
    <cellStyle name="集計 3 11 5 2 4 4 2" xfId="27620"/>
    <cellStyle name="集計 3 11 5 2 4 4 3" xfId="27621"/>
    <cellStyle name="集計 3 11 5 2 4 5" xfId="27622"/>
    <cellStyle name="集計 3 11 5 2 4 6" xfId="27623"/>
    <cellStyle name="集計 3 11 5 2 5" xfId="27624"/>
    <cellStyle name="集計 3 11 5 2 5 2" xfId="27625"/>
    <cellStyle name="集計 3 11 5 2 5 3" xfId="27626"/>
    <cellStyle name="集計 3 11 5 2 6" xfId="27627"/>
    <cellStyle name="集計 3 11 5 2 6 2" xfId="27628"/>
    <cellStyle name="集計 3 11 5 2 6 3" xfId="27629"/>
    <cellStyle name="集計 3 11 5 2 7" xfId="27630"/>
    <cellStyle name="集計 3 11 5 2 7 2" xfId="27631"/>
    <cellStyle name="集計 3 11 5 2 7 3" xfId="27632"/>
    <cellStyle name="集計 3 11 5 2 8" xfId="27633"/>
    <cellStyle name="集計 3 11 5 2 9" xfId="27634"/>
    <cellStyle name="集計 3 11 5 3" xfId="27635"/>
    <cellStyle name="集計 3 11 5 3 2" xfId="27636"/>
    <cellStyle name="集計 3 11 5 3 2 2" xfId="27637"/>
    <cellStyle name="集計 3 11 5 3 2 2 2" xfId="27638"/>
    <cellStyle name="集計 3 11 5 3 2 2 3" xfId="27639"/>
    <cellStyle name="集計 3 11 5 3 2 3" xfId="27640"/>
    <cellStyle name="集計 3 11 5 3 2 3 2" xfId="27641"/>
    <cellStyle name="集計 3 11 5 3 2 3 3" xfId="27642"/>
    <cellStyle name="集計 3 11 5 3 2 4" xfId="27643"/>
    <cellStyle name="集計 3 11 5 3 2 4 2" xfId="27644"/>
    <cellStyle name="集計 3 11 5 3 2 4 3" xfId="27645"/>
    <cellStyle name="集計 3 11 5 3 2 5" xfId="27646"/>
    <cellStyle name="集計 3 11 5 3 2 6" xfId="27647"/>
    <cellStyle name="集計 3 11 5 3 3" xfId="27648"/>
    <cellStyle name="集計 3 11 5 3 3 2" xfId="27649"/>
    <cellStyle name="集計 3 11 5 3 3 3" xfId="27650"/>
    <cellStyle name="集計 3 11 5 3 4" xfId="27651"/>
    <cellStyle name="集計 3 11 5 3 4 2" xfId="27652"/>
    <cellStyle name="集計 3 11 5 3 4 3" xfId="27653"/>
    <cellStyle name="集計 3 11 5 3 5" xfId="27654"/>
    <cellStyle name="集計 3 11 5 3 5 2" xfId="27655"/>
    <cellStyle name="集計 3 11 5 3 5 3" xfId="27656"/>
    <cellStyle name="集計 3 11 5 3 6" xfId="27657"/>
    <cellStyle name="集計 3 11 5 3 7" xfId="27658"/>
    <cellStyle name="集計 3 11 5 4" xfId="27659"/>
    <cellStyle name="集計 3 11 5 4 2" xfId="27660"/>
    <cellStyle name="集計 3 11 5 4 2 2" xfId="27661"/>
    <cellStyle name="集計 3 11 5 4 2 2 2" xfId="27662"/>
    <cellStyle name="集計 3 11 5 4 2 2 3" xfId="27663"/>
    <cellStyle name="集計 3 11 5 4 2 3" xfId="27664"/>
    <cellStyle name="集計 3 11 5 4 2 3 2" xfId="27665"/>
    <cellStyle name="集計 3 11 5 4 2 3 3" xfId="27666"/>
    <cellStyle name="集計 3 11 5 4 2 4" xfId="27667"/>
    <cellStyle name="集計 3 11 5 4 2 4 2" xfId="27668"/>
    <cellStyle name="集計 3 11 5 4 2 4 3" xfId="27669"/>
    <cellStyle name="集計 3 11 5 4 2 5" xfId="27670"/>
    <cellStyle name="集計 3 11 5 4 2 6" xfId="27671"/>
    <cellStyle name="集計 3 11 5 4 3" xfId="27672"/>
    <cellStyle name="集計 3 11 5 4 3 2" xfId="27673"/>
    <cellStyle name="集計 3 11 5 4 3 3" xfId="27674"/>
    <cellStyle name="集計 3 11 5 4 4" xfId="27675"/>
    <cellStyle name="集計 3 11 5 4 4 2" xfId="27676"/>
    <cellStyle name="集計 3 11 5 4 4 3" xfId="27677"/>
    <cellStyle name="集計 3 11 5 4 5" xfId="27678"/>
    <cellStyle name="集計 3 11 5 4 5 2" xfId="27679"/>
    <cellStyle name="集計 3 11 5 4 5 3" xfId="27680"/>
    <cellStyle name="集計 3 11 5 4 6" xfId="27681"/>
    <cellStyle name="集計 3 11 5 4 7" xfId="27682"/>
    <cellStyle name="集計 3 11 5 5" xfId="27683"/>
    <cellStyle name="集計 3 11 5 5 2" xfId="27684"/>
    <cellStyle name="集計 3 11 5 5 2 2" xfId="27685"/>
    <cellStyle name="集計 3 11 5 5 2 3" xfId="27686"/>
    <cellStyle name="集計 3 11 5 5 3" xfId="27687"/>
    <cellStyle name="集計 3 11 5 5 3 2" xfId="27688"/>
    <cellStyle name="集計 3 11 5 5 3 3" xfId="27689"/>
    <cellStyle name="集計 3 11 5 5 4" xfId="27690"/>
    <cellStyle name="集計 3 11 5 5 4 2" xfId="27691"/>
    <cellStyle name="集計 3 11 5 5 4 3" xfId="27692"/>
    <cellStyle name="集計 3 11 5 5 5" xfId="27693"/>
    <cellStyle name="集計 3 11 5 5 6" xfId="27694"/>
    <cellStyle name="集計 3 11 5 6" xfId="27695"/>
    <cellStyle name="集計 3 11 5 6 2" xfId="27696"/>
    <cellStyle name="集計 3 11 5 6 3" xfId="27697"/>
    <cellStyle name="集計 3 11 5 7" xfId="27698"/>
    <cellStyle name="集計 3 11 5 7 2" xfId="27699"/>
    <cellStyle name="集計 3 11 5 7 3" xfId="27700"/>
    <cellStyle name="集計 3 11 5 8" xfId="27701"/>
    <cellStyle name="集計 3 11 5 8 2" xfId="27702"/>
    <cellStyle name="集計 3 11 5 8 3" xfId="27703"/>
    <cellStyle name="集計 3 11 5 9" xfId="27704"/>
    <cellStyle name="集計 3 11 6" xfId="27705"/>
    <cellStyle name="集計 3 11 6 10" xfId="27706"/>
    <cellStyle name="集計 3 11 6 2" xfId="27707"/>
    <cellStyle name="集計 3 11 6 2 2" xfId="27708"/>
    <cellStyle name="集計 3 11 6 2 2 2" xfId="27709"/>
    <cellStyle name="集計 3 11 6 2 2 2 2" xfId="27710"/>
    <cellStyle name="集計 3 11 6 2 2 2 2 2" xfId="27711"/>
    <cellStyle name="集計 3 11 6 2 2 2 2 3" xfId="27712"/>
    <cellStyle name="集計 3 11 6 2 2 2 3" xfId="27713"/>
    <cellStyle name="集計 3 11 6 2 2 2 3 2" xfId="27714"/>
    <cellStyle name="集計 3 11 6 2 2 2 3 3" xfId="27715"/>
    <cellStyle name="集計 3 11 6 2 2 2 4" xfId="27716"/>
    <cellStyle name="集計 3 11 6 2 2 2 4 2" xfId="27717"/>
    <cellStyle name="集計 3 11 6 2 2 2 4 3" xfId="27718"/>
    <cellStyle name="集計 3 11 6 2 2 2 5" xfId="27719"/>
    <cellStyle name="集計 3 11 6 2 2 2 6" xfId="27720"/>
    <cellStyle name="集計 3 11 6 2 2 3" xfId="27721"/>
    <cellStyle name="集計 3 11 6 2 2 3 2" xfId="27722"/>
    <cellStyle name="集計 3 11 6 2 2 3 3" xfId="27723"/>
    <cellStyle name="集計 3 11 6 2 2 4" xfId="27724"/>
    <cellStyle name="集計 3 11 6 2 2 4 2" xfId="27725"/>
    <cellStyle name="集計 3 11 6 2 2 4 3" xfId="27726"/>
    <cellStyle name="集計 3 11 6 2 2 5" xfId="27727"/>
    <cellStyle name="集計 3 11 6 2 2 5 2" xfId="27728"/>
    <cellStyle name="集計 3 11 6 2 2 5 3" xfId="27729"/>
    <cellStyle name="集計 3 11 6 2 2 6" xfId="27730"/>
    <cellStyle name="集計 3 11 6 2 2 7" xfId="27731"/>
    <cellStyle name="集計 3 11 6 2 3" xfId="27732"/>
    <cellStyle name="集計 3 11 6 2 3 2" xfId="27733"/>
    <cellStyle name="集計 3 11 6 2 3 2 2" xfId="27734"/>
    <cellStyle name="集計 3 11 6 2 3 2 2 2" xfId="27735"/>
    <cellStyle name="集計 3 11 6 2 3 2 2 3" xfId="27736"/>
    <cellStyle name="集計 3 11 6 2 3 2 3" xfId="27737"/>
    <cellStyle name="集計 3 11 6 2 3 2 3 2" xfId="27738"/>
    <cellStyle name="集計 3 11 6 2 3 2 3 3" xfId="27739"/>
    <cellStyle name="集計 3 11 6 2 3 2 4" xfId="27740"/>
    <cellStyle name="集計 3 11 6 2 3 2 4 2" xfId="27741"/>
    <cellStyle name="集計 3 11 6 2 3 2 4 3" xfId="27742"/>
    <cellStyle name="集計 3 11 6 2 3 2 5" xfId="27743"/>
    <cellStyle name="集計 3 11 6 2 3 2 6" xfId="27744"/>
    <cellStyle name="集計 3 11 6 2 3 3" xfId="27745"/>
    <cellStyle name="集計 3 11 6 2 3 3 2" xfId="27746"/>
    <cellStyle name="集計 3 11 6 2 3 3 3" xfId="27747"/>
    <cellStyle name="集計 3 11 6 2 3 4" xfId="27748"/>
    <cellStyle name="集計 3 11 6 2 3 4 2" xfId="27749"/>
    <cellStyle name="集計 3 11 6 2 3 4 3" xfId="27750"/>
    <cellStyle name="集計 3 11 6 2 3 5" xfId="27751"/>
    <cellStyle name="集計 3 11 6 2 3 5 2" xfId="27752"/>
    <cellStyle name="集計 3 11 6 2 3 5 3" xfId="27753"/>
    <cellStyle name="集計 3 11 6 2 3 6" xfId="27754"/>
    <cellStyle name="集計 3 11 6 2 3 7" xfId="27755"/>
    <cellStyle name="集計 3 11 6 2 4" xfId="27756"/>
    <cellStyle name="集計 3 11 6 2 4 2" xfId="27757"/>
    <cellStyle name="集計 3 11 6 2 4 2 2" xfId="27758"/>
    <cellStyle name="集計 3 11 6 2 4 2 3" xfId="27759"/>
    <cellStyle name="集計 3 11 6 2 4 3" xfId="27760"/>
    <cellStyle name="集計 3 11 6 2 4 3 2" xfId="27761"/>
    <cellStyle name="集計 3 11 6 2 4 3 3" xfId="27762"/>
    <cellStyle name="集計 3 11 6 2 4 4" xfId="27763"/>
    <cellStyle name="集計 3 11 6 2 4 4 2" xfId="27764"/>
    <cellStyle name="集計 3 11 6 2 4 4 3" xfId="27765"/>
    <cellStyle name="集計 3 11 6 2 4 5" xfId="27766"/>
    <cellStyle name="集計 3 11 6 2 4 6" xfId="27767"/>
    <cellStyle name="集計 3 11 6 2 5" xfId="27768"/>
    <cellStyle name="集計 3 11 6 2 5 2" xfId="27769"/>
    <cellStyle name="集計 3 11 6 2 5 3" xfId="27770"/>
    <cellStyle name="集計 3 11 6 2 6" xfId="27771"/>
    <cellStyle name="集計 3 11 6 2 6 2" xfId="27772"/>
    <cellStyle name="集計 3 11 6 2 6 3" xfId="27773"/>
    <cellStyle name="集計 3 11 6 2 7" xfId="27774"/>
    <cellStyle name="集計 3 11 6 2 7 2" xfId="27775"/>
    <cellStyle name="集計 3 11 6 2 7 3" xfId="27776"/>
    <cellStyle name="集計 3 11 6 2 8" xfId="27777"/>
    <cellStyle name="集計 3 11 6 2 9" xfId="27778"/>
    <cellStyle name="集計 3 11 6 3" xfId="27779"/>
    <cellStyle name="集計 3 11 6 3 2" xfId="27780"/>
    <cellStyle name="集計 3 11 6 3 2 2" xfId="27781"/>
    <cellStyle name="集計 3 11 6 3 2 2 2" xfId="27782"/>
    <cellStyle name="集計 3 11 6 3 2 2 3" xfId="27783"/>
    <cellStyle name="集計 3 11 6 3 2 3" xfId="27784"/>
    <cellStyle name="集計 3 11 6 3 2 3 2" xfId="27785"/>
    <cellStyle name="集計 3 11 6 3 2 3 3" xfId="27786"/>
    <cellStyle name="集計 3 11 6 3 2 4" xfId="27787"/>
    <cellStyle name="集計 3 11 6 3 2 4 2" xfId="27788"/>
    <cellStyle name="集計 3 11 6 3 2 4 3" xfId="27789"/>
    <cellStyle name="集計 3 11 6 3 2 5" xfId="27790"/>
    <cellStyle name="集計 3 11 6 3 2 6" xfId="27791"/>
    <cellStyle name="集計 3 11 6 3 3" xfId="27792"/>
    <cellStyle name="集計 3 11 6 3 3 2" xfId="27793"/>
    <cellStyle name="集計 3 11 6 3 3 3" xfId="27794"/>
    <cellStyle name="集計 3 11 6 3 4" xfId="27795"/>
    <cellStyle name="集計 3 11 6 3 4 2" xfId="27796"/>
    <cellStyle name="集計 3 11 6 3 4 3" xfId="27797"/>
    <cellStyle name="集計 3 11 6 3 5" xfId="27798"/>
    <cellStyle name="集計 3 11 6 3 5 2" xfId="27799"/>
    <cellStyle name="集計 3 11 6 3 5 3" xfId="27800"/>
    <cellStyle name="集計 3 11 6 3 6" xfId="27801"/>
    <cellStyle name="集計 3 11 6 3 7" xfId="27802"/>
    <cellStyle name="集計 3 11 6 4" xfId="27803"/>
    <cellStyle name="集計 3 11 6 4 2" xfId="27804"/>
    <cellStyle name="集計 3 11 6 4 2 2" xfId="27805"/>
    <cellStyle name="集計 3 11 6 4 2 2 2" xfId="27806"/>
    <cellStyle name="集計 3 11 6 4 2 2 3" xfId="27807"/>
    <cellStyle name="集計 3 11 6 4 2 3" xfId="27808"/>
    <cellStyle name="集計 3 11 6 4 2 3 2" xfId="27809"/>
    <cellStyle name="集計 3 11 6 4 2 3 3" xfId="27810"/>
    <cellStyle name="集計 3 11 6 4 2 4" xfId="27811"/>
    <cellStyle name="集計 3 11 6 4 2 4 2" xfId="27812"/>
    <cellStyle name="集計 3 11 6 4 2 4 3" xfId="27813"/>
    <cellStyle name="集計 3 11 6 4 2 5" xfId="27814"/>
    <cellStyle name="集計 3 11 6 4 2 6" xfId="27815"/>
    <cellStyle name="集計 3 11 6 4 3" xfId="27816"/>
    <cellStyle name="集計 3 11 6 4 3 2" xfId="27817"/>
    <cellStyle name="集計 3 11 6 4 3 3" xfId="27818"/>
    <cellStyle name="集計 3 11 6 4 4" xfId="27819"/>
    <cellStyle name="集計 3 11 6 4 4 2" xfId="27820"/>
    <cellStyle name="集計 3 11 6 4 4 3" xfId="27821"/>
    <cellStyle name="集計 3 11 6 4 5" xfId="27822"/>
    <cellStyle name="集計 3 11 6 4 5 2" xfId="27823"/>
    <cellStyle name="集計 3 11 6 4 5 3" xfId="27824"/>
    <cellStyle name="集計 3 11 6 4 6" xfId="27825"/>
    <cellStyle name="集計 3 11 6 4 7" xfId="27826"/>
    <cellStyle name="集計 3 11 6 5" xfId="27827"/>
    <cellStyle name="集計 3 11 6 5 2" xfId="27828"/>
    <cellStyle name="集計 3 11 6 5 2 2" xfId="27829"/>
    <cellStyle name="集計 3 11 6 5 2 3" xfId="27830"/>
    <cellStyle name="集計 3 11 6 5 3" xfId="27831"/>
    <cellStyle name="集計 3 11 6 5 3 2" xfId="27832"/>
    <cellStyle name="集計 3 11 6 5 3 3" xfId="27833"/>
    <cellStyle name="集計 3 11 6 5 4" xfId="27834"/>
    <cellStyle name="集計 3 11 6 5 4 2" xfId="27835"/>
    <cellStyle name="集計 3 11 6 5 4 3" xfId="27836"/>
    <cellStyle name="集計 3 11 6 5 5" xfId="27837"/>
    <cellStyle name="集計 3 11 6 5 6" xfId="27838"/>
    <cellStyle name="集計 3 11 6 6" xfId="27839"/>
    <cellStyle name="集計 3 11 6 6 2" xfId="27840"/>
    <cellStyle name="集計 3 11 6 6 3" xfId="27841"/>
    <cellStyle name="集計 3 11 6 7" xfId="27842"/>
    <cellStyle name="集計 3 11 6 7 2" xfId="27843"/>
    <cellStyle name="集計 3 11 6 7 3" xfId="27844"/>
    <cellStyle name="集計 3 11 6 8" xfId="27845"/>
    <cellStyle name="集計 3 11 6 8 2" xfId="27846"/>
    <cellStyle name="集計 3 11 6 8 3" xfId="27847"/>
    <cellStyle name="集計 3 11 6 9" xfId="27848"/>
    <cellStyle name="集計 3 11 7" xfId="27849"/>
    <cellStyle name="集計 3 11 7 2" xfId="27850"/>
    <cellStyle name="集計 3 11 7 2 2" xfId="27851"/>
    <cellStyle name="集計 3 11 7 2 2 2" xfId="27852"/>
    <cellStyle name="集計 3 11 7 2 2 3" xfId="27853"/>
    <cellStyle name="集計 3 11 7 2 3" xfId="27854"/>
    <cellStyle name="集計 3 11 7 2 3 2" xfId="27855"/>
    <cellStyle name="集計 3 11 7 2 3 3" xfId="27856"/>
    <cellStyle name="集計 3 11 7 2 4" xfId="27857"/>
    <cellStyle name="集計 3 11 7 2 4 2" xfId="27858"/>
    <cellStyle name="集計 3 11 7 2 4 3" xfId="27859"/>
    <cellStyle name="集計 3 11 7 2 5" xfId="27860"/>
    <cellStyle name="集計 3 11 7 2 6" xfId="27861"/>
    <cellStyle name="集計 3 11 7 3" xfId="27862"/>
    <cellStyle name="集計 3 11 7 3 2" xfId="27863"/>
    <cellStyle name="集計 3 11 7 3 3" xfId="27864"/>
    <cellStyle name="集計 3 11 7 4" xfId="27865"/>
    <cellStyle name="集計 3 11 7 4 2" xfId="27866"/>
    <cellStyle name="集計 3 11 7 4 3" xfId="27867"/>
    <cellStyle name="集計 3 11 7 5" xfId="27868"/>
    <cellStyle name="集計 3 11 7 5 2" xfId="27869"/>
    <cellStyle name="集計 3 11 7 5 3" xfId="27870"/>
    <cellStyle name="集計 3 11 7 6" xfId="27871"/>
    <cellStyle name="集計 3 11 7 7" xfId="27872"/>
    <cellStyle name="集計 3 11 8" xfId="27873"/>
    <cellStyle name="集計 3 11 8 2" xfId="27874"/>
    <cellStyle name="集計 3 11 8 2 2" xfId="27875"/>
    <cellStyle name="集計 3 11 8 2 2 2" xfId="27876"/>
    <cellStyle name="集計 3 11 8 2 2 3" xfId="27877"/>
    <cellStyle name="集計 3 11 8 2 3" xfId="27878"/>
    <cellStyle name="集計 3 11 8 2 3 2" xfId="27879"/>
    <cellStyle name="集計 3 11 8 2 3 3" xfId="27880"/>
    <cellStyle name="集計 3 11 8 2 4" xfId="27881"/>
    <cellStyle name="集計 3 11 8 2 4 2" xfId="27882"/>
    <cellStyle name="集計 3 11 8 2 4 3" xfId="27883"/>
    <cellStyle name="集計 3 11 8 2 5" xfId="27884"/>
    <cellStyle name="集計 3 11 8 2 6" xfId="27885"/>
    <cellStyle name="集計 3 11 8 3" xfId="27886"/>
    <cellStyle name="集計 3 11 8 3 2" xfId="27887"/>
    <cellStyle name="集計 3 11 8 3 3" xfId="27888"/>
    <cellStyle name="集計 3 11 8 4" xfId="27889"/>
    <cellStyle name="集計 3 11 8 4 2" xfId="27890"/>
    <cellStyle name="集計 3 11 8 4 3" xfId="27891"/>
    <cellStyle name="集計 3 11 8 5" xfId="27892"/>
    <cellStyle name="集計 3 11 8 5 2" xfId="27893"/>
    <cellStyle name="集計 3 11 8 5 3" xfId="27894"/>
    <cellStyle name="集計 3 11 8 6" xfId="27895"/>
    <cellStyle name="集計 3 11 8 7" xfId="27896"/>
    <cellStyle name="集計 3 11 9" xfId="27897"/>
    <cellStyle name="集計 3 11 9 2" xfId="27898"/>
    <cellStyle name="集計 3 11 9 2 2" xfId="27899"/>
    <cellStyle name="集計 3 11 9 2 3" xfId="27900"/>
    <cellStyle name="集計 3 11 9 3" xfId="27901"/>
    <cellStyle name="集計 3 11 9 3 2" xfId="27902"/>
    <cellStyle name="集計 3 11 9 3 3" xfId="27903"/>
    <cellStyle name="集計 3 11 9 4" xfId="27904"/>
    <cellStyle name="集計 3 11 9 4 2" xfId="27905"/>
    <cellStyle name="集計 3 11 9 4 3" xfId="27906"/>
    <cellStyle name="集計 3 11 9 5" xfId="27907"/>
    <cellStyle name="集計 3 11 9 6" xfId="27908"/>
    <cellStyle name="集計 3 12" xfId="27909"/>
    <cellStyle name="集計 3 12 10" xfId="27910"/>
    <cellStyle name="集計 3 12 10 2" xfId="27911"/>
    <cellStyle name="集計 3 12 10 3" xfId="27912"/>
    <cellStyle name="集計 3 12 11" xfId="27913"/>
    <cellStyle name="集計 3 12 11 2" xfId="27914"/>
    <cellStyle name="集計 3 12 11 3" xfId="27915"/>
    <cellStyle name="集計 3 12 12" xfId="27916"/>
    <cellStyle name="集計 3 12 12 2" xfId="27917"/>
    <cellStyle name="集計 3 12 12 3" xfId="27918"/>
    <cellStyle name="集計 3 12 13" xfId="27919"/>
    <cellStyle name="集計 3 12 14" xfId="27920"/>
    <cellStyle name="集計 3 12 2" xfId="27921"/>
    <cellStyle name="集計 3 12 2 10" xfId="27922"/>
    <cellStyle name="集計 3 12 2 2" xfId="27923"/>
    <cellStyle name="集計 3 12 2 2 10" xfId="27924"/>
    <cellStyle name="集計 3 12 2 2 2" xfId="27925"/>
    <cellStyle name="集計 3 12 2 2 2 2" xfId="27926"/>
    <cellStyle name="集計 3 12 2 2 2 2 2" xfId="27927"/>
    <cellStyle name="集計 3 12 2 2 2 2 2 2" xfId="27928"/>
    <cellStyle name="集計 3 12 2 2 2 2 2 2 2" xfId="27929"/>
    <cellStyle name="集計 3 12 2 2 2 2 2 2 3" xfId="27930"/>
    <cellStyle name="集計 3 12 2 2 2 2 2 3" xfId="27931"/>
    <cellStyle name="集計 3 12 2 2 2 2 2 3 2" xfId="27932"/>
    <cellStyle name="集計 3 12 2 2 2 2 2 3 3" xfId="27933"/>
    <cellStyle name="集計 3 12 2 2 2 2 2 4" xfId="27934"/>
    <cellStyle name="集計 3 12 2 2 2 2 2 4 2" xfId="27935"/>
    <cellStyle name="集計 3 12 2 2 2 2 2 4 3" xfId="27936"/>
    <cellStyle name="集計 3 12 2 2 2 2 2 5" xfId="27937"/>
    <cellStyle name="集計 3 12 2 2 2 2 2 6" xfId="27938"/>
    <cellStyle name="集計 3 12 2 2 2 2 3" xfId="27939"/>
    <cellStyle name="集計 3 12 2 2 2 2 3 2" xfId="27940"/>
    <cellStyle name="集計 3 12 2 2 2 2 3 3" xfId="27941"/>
    <cellStyle name="集計 3 12 2 2 2 2 4" xfId="27942"/>
    <cellStyle name="集計 3 12 2 2 2 2 4 2" xfId="27943"/>
    <cellStyle name="集計 3 12 2 2 2 2 4 3" xfId="27944"/>
    <cellStyle name="集計 3 12 2 2 2 2 5" xfId="27945"/>
    <cellStyle name="集計 3 12 2 2 2 2 5 2" xfId="27946"/>
    <cellStyle name="集計 3 12 2 2 2 2 5 3" xfId="27947"/>
    <cellStyle name="集計 3 12 2 2 2 2 6" xfId="27948"/>
    <cellStyle name="集計 3 12 2 2 2 2 7" xfId="27949"/>
    <cellStyle name="集計 3 12 2 2 2 3" xfId="27950"/>
    <cellStyle name="集計 3 12 2 2 2 3 2" xfId="27951"/>
    <cellStyle name="集計 3 12 2 2 2 3 2 2" xfId="27952"/>
    <cellStyle name="集計 3 12 2 2 2 3 2 2 2" xfId="27953"/>
    <cellStyle name="集計 3 12 2 2 2 3 2 2 3" xfId="27954"/>
    <cellStyle name="集計 3 12 2 2 2 3 2 3" xfId="27955"/>
    <cellStyle name="集計 3 12 2 2 2 3 2 3 2" xfId="27956"/>
    <cellStyle name="集計 3 12 2 2 2 3 2 3 3" xfId="27957"/>
    <cellStyle name="集計 3 12 2 2 2 3 2 4" xfId="27958"/>
    <cellStyle name="集計 3 12 2 2 2 3 2 4 2" xfId="27959"/>
    <cellStyle name="集計 3 12 2 2 2 3 2 4 3" xfId="27960"/>
    <cellStyle name="集計 3 12 2 2 2 3 2 5" xfId="27961"/>
    <cellStyle name="集計 3 12 2 2 2 3 2 6" xfId="27962"/>
    <cellStyle name="集計 3 12 2 2 2 3 3" xfId="27963"/>
    <cellStyle name="集計 3 12 2 2 2 3 3 2" xfId="27964"/>
    <cellStyle name="集計 3 12 2 2 2 3 3 3" xfId="27965"/>
    <cellStyle name="集計 3 12 2 2 2 3 4" xfId="27966"/>
    <cellStyle name="集計 3 12 2 2 2 3 4 2" xfId="27967"/>
    <cellStyle name="集計 3 12 2 2 2 3 4 3" xfId="27968"/>
    <cellStyle name="集計 3 12 2 2 2 3 5" xfId="27969"/>
    <cellStyle name="集計 3 12 2 2 2 3 5 2" xfId="27970"/>
    <cellStyle name="集計 3 12 2 2 2 3 5 3" xfId="27971"/>
    <cellStyle name="集計 3 12 2 2 2 3 6" xfId="27972"/>
    <cellStyle name="集計 3 12 2 2 2 3 7" xfId="27973"/>
    <cellStyle name="集計 3 12 2 2 2 4" xfId="27974"/>
    <cellStyle name="集計 3 12 2 2 2 4 2" xfId="27975"/>
    <cellStyle name="集計 3 12 2 2 2 4 2 2" xfId="27976"/>
    <cellStyle name="集計 3 12 2 2 2 4 2 3" xfId="27977"/>
    <cellStyle name="集計 3 12 2 2 2 4 3" xfId="27978"/>
    <cellStyle name="集計 3 12 2 2 2 4 3 2" xfId="27979"/>
    <cellStyle name="集計 3 12 2 2 2 4 3 3" xfId="27980"/>
    <cellStyle name="集計 3 12 2 2 2 4 4" xfId="27981"/>
    <cellStyle name="集計 3 12 2 2 2 4 4 2" xfId="27982"/>
    <cellStyle name="集計 3 12 2 2 2 4 4 3" xfId="27983"/>
    <cellStyle name="集計 3 12 2 2 2 4 5" xfId="27984"/>
    <cellStyle name="集計 3 12 2 2 2 4 6" xfId="27985"/>
    <cellStyle name="集計 3 12 2 2 2 5" xfId="27986"/>
    <cellStyle name="集計 3 12 2 2 2 5 2" xfId="27987"/>
    <cellStyle name="集計 3 12 2 2 2 5 3" xfId="27988"/>
    <cellStyle name="集計 3 12 2 2 2 6" xfId="27989"/>
    <cellStyle name="集計 3 12 2 2 2 6 2" xfId="27990"/>
    <cellStyle name="集計 3 12 2 2 2 6 3" xfId="27991"/>
    <cellStyle name="集計 3 12 2 2 2 7" xfId="27992"/>
    <cellStyle name="集計 3 12 2 2 2 7 2" xfId="27993"/>
    <cellStyle name="集計 3 12 2 2 2 7 3" xfId="27994"/>
    <cellStyle name="集計 3 12 2 2 2 8" xfId="27995"/>
    <cellStyle name="集計 3 12 2 2 2 9" xfId="27996"/>
    <cellStyle name="集計 3 12 2 2 3" xfId="27997"/>
    <cellStyle name="集計 3 12 2 2 3 2" xfId="27998"/>
    <cellStyle name="集計 3 12 2 2 3 2 2" xfId="27999"/>
    <cellStyle name="集計 3 12 2 2 3 2 2 2" xfId="28000"/>
    <cellStyle name="集計 3 12 2 2 3 2 2 3" xfId="28001"/>
    <cellStyle name="集計 3 12 2 2 3 2 3" xfId="28002"/>
    <cellStyle name="集計 3 12 2 2 3 2 3 2" xfId="28003"/>
    <cellStyle name="集計 3 12 2 2 3 2 3 3" xfId="28004"/>
    <cellStyle name="集計 3 12 2 2 3 2 4" xfId="28005"/>
    <cellStyle name="集計 3 12 2 2 3 2 4 2" xfId="28006"/>
    <cellStyle name="集計 3 12 2 2 3 2 4 3" xfId="28007"/>
    <cellStyle name="集計 3 12 2 2 3 2 5" xfId="28008"/>
    <cellStyle name="集計 3 12 2 2 3 2 6" xfId="28009"/>
    <cellStyle name="集計 3 12 2 2 3 3" xfId="28010"/>
    <cellStyle name="集計 3 12 2 2 3 3 2" xfId="28011"/>
    <cellStyle name="集計 3 12 2 2 3 3 3" xfId="28012"/>
    <cellStyle name="集計 3 12 2 2 3 4" xfId="28013"/>
    <cellStyle name="集計 3 12 2 2 3 4 2" xfId="28014"/>
    <cellStyle name="集計 3 12 2 2 3 4 3" xfId="28015"/>
    <cellStyle name="集計 3 12 2 2 3 5" xfId="28016"/>
    <cellStyle name="集計 3 12 2 2 3 5 2" xfId="28017"/>
    <cellStyle name="集計 3 12 2 2 3 5 3" xfId="28018"/>
    <cellStyle name="集計 3 12 2 2 3 6" xfId="28019"/>
    <cellStyle name="集計 3 12 2 2 3 7" xfId="28020"/>
    <cellStyle name="集計 3 12 2 2 4" xfId="28021"/>
    <cellStyle name="集計 3 12 2 2 4 2" xfId="28022"/>
    <cellStyle name="集計 3 12 2 2 4 2 2" xfId="28023"/>
    <cellStyle name="集計 3 12 2 2 4 2 2 2" xfId="28024"/>
    <cellStyle name="集計 3 12 2 2 4 2 2 3" xfId="28025"/>
    <cellStyle name="集計 3 12 2 2 4 2 3" xfId="28026"/>
    <cellStyle name="集計 3 12 2 2 4 2 3 2" xfId="28027"/>
    <cellStyle name="集計 3 12 2 2 4 2 3 3" xfId="28028"/>
    <cellStyle name="集計 3 12 2 2 4 2 4" xfId="28029"/>
    <cellStyle name="集計 3 12 2 2 4 2 4 2" xfId="28030"/>
    <cellStyle name="集計 3 12 2 2 4 2 4 3" xfId="28031"/>
    <cellStyle name="集計 3 12 2 2 4 2 5" xfId="28032"/>
    <cellStyle name="集計 3 12 2 2 4 2 6" xfId="28033"/>
    <cellStyle name="集計 3 12 2 2 4 3" xfId="28034"/>
    <cellStyle name="集計 3 12 2 2 4 3 2" xfId="28035"/>
    <cellStyle name="集計 3 12 2 2 4 3 3" xfId="28036"/>
    <cellStyle name="集計 3 12 2 2 4 4" xfId="28037"/>
    <cellStyle name="集計 3 12 2 2 4 4 2" xfId="28038"/>
    <cellStyle name="集計 3 12 2 2 4 4 3" xfId="28039"/>
    <cellStyle name="集計 3 12 2 2 4 5" xfId="28040"/>
    <cellStyle name="集計 3 12 2 2 4 5 2" xfId="28041"/>
    <cellStyle name="集計 3 12 2 2 4 5 3" xfId="28042"/>
    <cellStyle name="集計 3 12 2 2 4 6" xfId="28043"/>
    <cellStyle name="集計 3 12 2 2 4 7" xfId="28044"/>
    <cellStyle name="集計 3 12 2 2 5" xfId="28045"/>
    <cellStyle name="集計 3 12 2 2 5 2" xfId="28046"/>
    <cellStyle name="集計 3 12 2 2 5 2 2" xfId="28047"/>
    <cellStyle name="集計 3 12 2 2 5 2 3" xfId="28048"/>
    <cellStyle name="集計 3 12 2 2 5 3" xfId="28049"/>
    <cellStyle name="集計 3 12 2 2 5 3 2" xfId="28050"/>
    <cellStyle name="集計 3 12 2 2 5 3 3" xfId="28051"/>
    <cellStyle name="集計 3 12 2 2 5 4" xfId="28052"/>
    <cellStyle name="集計 3 12 2 2 5 4 2" xfId="28053"/>
    <cellStyle name="集計 3 12 2 2 5 4 3" xfId="28054"/>
    <cellStyle name="集計 3 12 2 2 5 5" xfId="28055"/>
    <cellStyle name="集計 3 12 2 2 5 6" xfId="28056"/>
    <cellStyle name="集計 3 12 2 2 6" xfId="28057"/>
    <cellStyle name="集計 3 12 2 2 6 2" xfId="28058"/>
    <cellStyle name="集計 3 12 2 2 6 3" xfId="28059"/>
    <cellStyle name="集計 3 12 2 2 7" xfId="28060"/>
    <cellStyle name="集計 3 12 2 2 7 2" xfId="28061"/>
    <cellStyle name="集計 3 12 2 2 7 3" xfId="28062"/>
    <cellStyle name="集計 3 12 2 2 8" xfId="28063"/>
    <cellStyle name="集計 3 12 2 2 8 2" xfId="28064"/>
    <cellStyle name="集計 3 12 2 2 8 3" xfId="28065"/>
    <cellStyle name="集計 3 12 2 2 9" xfId="28066"/>
    <cellStyle name="集計 3 12 2 3" xfId="28067"/>
    <cellStyle name="集計 3 12 2 3 2" xfId="28068"/>
    <cellStyle name="集計 3 12 2 3 2 2" xfId="28069"/>
    <cellStyle name="集計 3 12 2 3 2 2 2" xfId="28070"/>
    <cellStyle name="集計 3 12 2 3 2 2 3" xfId="28071"/>
    <cellStyle name="集計 3 12 2 3 2 3" xfId="28072"/>
    <cellStyle name="集計 3 12 2 3 2 3 2" xfId="28073"/>
    <cellStyle name="集計 3 12 2 3 2 3 3" xfId="28074"/>
    <cellStyle name="集計 3 12 2 3 2 4" xfId="28075"/>
    <cellStyle name="集計 3 12 2 3 2 4 2" xfId="28076"/>
    <cellStyle name="集計 3 12 2 3 2 4 3" xfId="28077"/>
    <cellStyle name="集計 3 12 2 3 2 5" xfId="28078"/>
    <cellStyle name="集計 3 12 2 3 2 6" xfId="28079"/>
    <cellStyle name="集計 3 12 2 3 3" xfId="28080"/>
    <cellStyle name="集計 3 12 2 3 3 2" xfId="28081"/>
    <cellStyle name="集計 3 12 2 3 3 3" xfId="28082"/>
    <cellStyle name="集計 3 12 2 3 4" xfId="28083"/>
    <cellStyle name="集計 3 12 2 3 4 2" xfId="28084"/>
    <cellStyle name="集計 3 12 2 3 4 3" xfId="28085"/>
    <cellStyle name="集計 3 12 2 3 5" xfId="28086"/>
    <cellStyle name="集計 3 12 2 3 5 2" xfId="28087"/>
    <cellStyle name="集計 3 12 2 3 5 3" xfId="28088"/>
    <cellStyle name="集計 3 12 2 3 6" xfId="28089"/>
    <cellStyle name="集計 3 12 2 3 7" xfId="28090"/>
    <cellStyle name="集計 3 12 2 4" xfId="28091"/>
    <cellStyle name="集計 3 12 2 4 2" xfId="28092"/>
    <cellStyle name="集計 3 12 2 4 2 2" xfId="28093"/>
    <cellStyle name="集計 3 12 2 4 2 2 2" xfId="28094"/>
    <cellStyle name="集計 3 12 2 4 2 2 3" xfId="28095"/>
    <cellStyle name="集計 3 12 2 4 2 3" xfId="28096"/>
    <cellStyle name="集計 3 12 2 4 2 3 2" xfId="28097"/>
    <cellStyle name="集計 3 12 2 4 2 3 3" xfId="28098"/>
    <cellStyle name="集計 3 12 2 4 2 4" xfId="28099"/>
    <cellStyle name="集計 3 12 2 4 2 4 2" xfId="28100"/>
    <cellStyle name="集計 3 12 2 4 2 4 3" xfId="28101"/>
    <cellStyle name="集計 3 12 2 4 2 5" xfId="28102"/>
    <cellStyle name="集計 3 12 2 4 2 6" xfId="28103"/>
    <cellStyle name="集計 3 12 2 4 3" xfId="28104"/>
    <cellStyle name="集計 3 12 2 4 3 2" xfId="28105"/>
    <cellStyle name="集計 3 12 2 4 3 3" xfId="28106"/>
    <cellStyle name="集計 3 12 2 4 4" xfId="28107"/>
    <cellStyle name="集計 3 12 2 4 4 2" xfId="28108"/>
    <cellStyle name="集計 3 12 2 4 4 3" xfId="28109"/>
    <cellStyle name="集計 3 12 2 4 5" xfId="28110"/>
    <cellStyle name="集計 3 12 2 4 5 2" xfId="28111"/>
    <cellStyle name="集計 3 12 2 4 5 3" xfId="28112"/>
    <cellStyle name="集計 3 12 2 4 6" xfId="28113"/>
    <cellStyle name="集計 3 12 2 4 7" xfId="28114"/>
    <cellStyle name="集計 3 12 2 5" xfId="28115"/>
    <cellStyle name="集計 3 12 2 5 2" xfId="28116"/>
    <cellStyle name="集計 3 12 2 5 2 2" xfId="28117"/>
    <cellStyle name="集計 3 12 2 5 2 3" xfId="28118"/>
    <cellStyle name="集計 3 12 2 5 3" xfId="28119"/>
    <cellStyle name="集計 3 12 2 5 3 2" xfId="28120"/>
    <cellStyle name="集計 3 12 2 5 3 3" xfId="28121"/>
    <cellStyle name="集計 3 12 2 5 4" xfId="28122"/>
    <cellStyle name="集計 3 12 2 5 4 2" xfId="28123"/>
    <cellStyle name="集計 3 12 2 5 4 3" xfId="28124"/>
    <cellStyle name="集計 3 12 2 5 5" xfId="28125"/>
    <cellStyle name="集計 3 12 2 5 6" xfId="28126"/>
    <cellStyle name="集計 3 12 2 6" xfId="28127"/>
    <cellStyle name="集計 3 12 2 6 2" xfId="28128"/>
    <cellStyle name="集計 3 12 2 6 3" xfId="28129"/>
    <cellStyle name="集計 3 12 2 7" xfId="28130"/>
    <cellStyle name="集計 3 12 2 7 2" xfId="28131"/>
    <cellStyle name="集計 3 12 2 7 3" xfId="28132"/>
    <cellStyle name="集計 3 12 2 8" xfId="28133"/>
    <cellStyle name="集計 3 12 2 8 2" xfId="28134"/>
    <cellStyle name="集計 3 12 2 8 3" xfId="28135"/>
    <cellStyle name="集計 3 12 2 9" xfId="28136"/>
    <cellStyle name="集計 3 12 3" xfId="28137"/>
    <cellStyle name="集計 3 12 3 10" xfId="28138"/>
    <cellStyle name="集計 3 12 3 2" xfId="28139"/>
    <cellStyle name="集計 3 12 3 2 10" xfId="28140"/>
    <cellStyle name="集計 3 12 3 2 2" xfId="28141"/>
    <cellStyle name="集計 3 12 3 2 2 2" xfId="28142"/>
    <cellStyle name="集計 3 12 3 2 2 2 2" xfId="28143"/>
    <cellStyle name="集計 3 12 3 2 2 2 2 2" xfId="28144"/>
    <cellStyle name="集計 3 12 3 2 2 2 2 2 2" xfId="28145"/>
    <cellStyle name="集計 3 12 3 2 2 2 2 2 3" xfId="28146"/>
    <cellStyle name="集計 3 12 3 2 2 2 2 3" xfId="28147"/>
    <cellStyle name="集計 3 12 3 2 2 2 2 3 2" xfId="28148"/>
    <cellStyle name="集計 3 12 3 2 2 2 2 3 3" xfId="28149"/>
    <cellStyle name="集計 3 12 3 2 2 2 2 4" xfId="28150"/>
    <cellStyle name="集計 3 12 3 2 2 2 2 4 2" xfId="28151"/>
    <cellStyle name="集計 3 12 3 2 2 2 2 4 3" xfId="28152"/>
    <cellStyle name="集計 3 12 3 2 2 2 2 5" xfId="28153"/>
    <cellStyle name="集計 3 12 3 2 2 2 2 6" xfId="28154"/>
    <cellStyle name="集計 3 12 3 2 2 2 3" xfId="28155"/>
    <cellStyle name="集計 3 12 3 2 2 2 3 2" xfId="28156"/>
    <cellStyle name="集計 3 12 3 2 2 2 3 3" xfId="28157"/>
    <cellStyle name="集計 3 12 3 2 2 2 4" xfId="28158"/>
    <cellStyle name="集計 3 12 3 2 2 2 4 2" xfId="28159"/>
    <cellStyle name="集計 3 12 3 2 2 2 4 3" xfId="28160"/>
    <cellStyle name="集計 3 12 3 2 2 2 5" xfId="28161"/>
    <cellStyle name="集計 3 12 3 2 2 2 5 2" xfId="28162"/>
    <cellStyle name="集計 3 12 3 2 2 2 5 3" xfId="28163"/>
    <cellStyle name="集計 3 12 3 2 2 2 6" xfId="28164"/>
    <cellStyle name="集計 3 12 3 2 2 2 7" xfId="28165"/>
    <cellStyle name="集計 3 12 3 2 2 3" xfId="28166"/>
    <cellStyle name="集計 3 12 3 2 2 3 2" xfId="28167"/>
    <cellStyle name="集計 3 12 3 2 2 3 2 2" xfId="28168"/>
    <cellStyle name="集計 3 12 3 2 2 3 2 2 2" xfId="28169"/>
    <cellStyle name="集計 3 12 3 2 2 3 2 2 3" xfId="28170"/>
    <cellStyle name="集計 3 12 3 2 2 3 2 3" xfId="28171"/>
    <cellStyle name="集計 3 12 3 2 2 3 2 3 2" xfId="28172"/>
    <cellStyle name="集計 3 12 3 2 2 3 2 3 3" xfId="28173"/>
    <cellStyle name="集計 3 12 3 2 2 3 2 4" xfId="28174"/>
    <cellStyle name="集計 3 12 3 2 2 3 2 4 2" xfId="28175"/>
    <cellStyle name="集計 3 12 3 2 2 3 2 4 3" xfId="28176"/>
    <cellStyle name="集計 3 12 3 2 2 3 2 5" xfId="28177"/>
    <cellStyle name="集計 3 12 3 2 2 3 2 6" xfId="28178"/>
    <cellStyle name="集計 3 12 3 2 2 3 3" xfId="28179"/>
    <cellStyle name="集計 3 12 3 2 2 3 3 2" xfId="28180"/>
    <cellStyle name="集計 3 12 3 2 2 3 3 3" xfId="28181"/>
    <cellStyle name="集計 3 12 3 2 2 3 4" xfId="28182"/>
    <cellStyle name="集計 3 12 3 2 2 3 4 2" xfId="28183"/>
    <cellStyle name="集計 3 12 3 2 2 3 4 3" xfId="28184"/>
    <cellStyle name="集計 3 12 3 2 2 3 5" xfId="28185"/>
    <cellStyle name="集計 3 12 3 2 2 3 5 2" xfId="28186"/>
    <cellStyle name="集計 3 12 3 2 2 3 5 3" xfId="28187"/>
    <cellStyle name="集計 3 12 3 2 2 3 6" xfId="28188"/>
    <cellStyle name="集計 3 12 3 2 2 3 7" xfId="28189"/>
    <cellStyle name="集計 3 12 3 2 2 4" xfId="28190"/>
    <cellStyle name="集計 3 12 3 2 2 4 2" xfId="28191"/>
    <cellStyle name="集計 3 12 3 2 2 4 2 2" xfId="28192"/>
    <cellStyle name="集計 3 12 3 2 2 4 2 3" xfId="28193"/>
    <cellStyle name="集計 3 12 3 2 2 4 3" xfId="28194"/>
    <cellStyle name="集計 3 12 3 2 2 4 3 2" xfId="28195"/>
    <cellStyle name="集計 3 12 3 2 2 4 3 3" xfId="28196"/>
    <cellStyle name="集計 3 12 3 2 2 4 4" xfId="28197"/>
    <cellStyle name="集計 3 12 3 2 2 4 4 2" xfId="28198"/>
    <cellStyle name="集計 3 12 3 2 2 4 4 3" xfId="28199"/>
    <cellStyle name="集計 3 12 3 2 2 4 5" xfId="28200"/>
    <cellStyle name="集計 3 12 3 2 2 4 6" xfId="28201"/>
    <cellStyle name="集計 3 12 3 2 2 5" xfId="28202"/>
    <cellStyle name="集計 3 12 3 2 2 5 2" xfId="28203"/>
    <cellStyle name="集計 3 12 3 2 2 5 3" xfId="28204"/>
    <cellStyle name="集計 3 12 3 2 2 6" xfId="28205"/>
    <cellStyle name="集計 3 12 3 2 2 6 2" xfId="28206"/>
    <cellStyle name="集計 3 12 3 2 2 6 3" xfId="28207"/>
    <cellStyle name="集計 3 12 3 2 2 7" xfId="28208"/>
    <cellStyle name="集計 3 12 3 2 2 7 2" xfId="28209"/>
    <cellStyle name="集計 3 12 3 2 2 7 3" xfId="28210"/>
    <cellStyle name="集計 3 12 3 2 2 8" xfId="28211"/>
    <cellStyle name="集計 3 12 3 2 2 9" xfId="28212"/>
    <cellStyle name="集計 3 12 3 2 3" xfId="28213"/>
    <cellStyle name="集計 3 12 3 2 3 2" xfId="28214"/>
    <cellStyle name="集計 3 12 3 2 3 2 2" xfId="28215"/>
    <cellStyle name="集計 3 12 3 2 3 2 2 2" xfId="28216"/>
    <cellStyle name="集計 3 12 3 2 3 2 2 3" xfId="28217"/>
    <cellStyle name="集計 3 12 3 2 3 2 3" xfId="28218"/>
    <cellStyle name="集計 3 12 3 2 3 2 3 2" xfId="28219"/>
    <cellStyle name="集計 3 12 3 2 3 2 3 3" xfId="28220"/>
    <cellStyle name="集計 3 12 3 2 3 2 4" xfId="28221"/>
    <cellStyle name="集計 3 12 3 2 3 2 4 2" xfId="28222"/>
    <cellStyle name="集計 3 12 3 2 3 2 4 3" xfId="28223"/>
    <cellStyle name="集計 3 12 3 2 3 2 5" xfId="28224"/>
    <cellStyle name="集計 3 12 3 2 3 2 6" xfId="28225"/>
    <cellStyle name="集計 3 12 3 2 3 3" xfId="28226"/>
    <cellStyle name="集計 3 12 3 2 3 3 2" xfId="28227"/>
    <cellStyle name="集計 3 12 3 2 3 3 3" xfId="28228"/>
    <cellStyle name="集計 3 12 3 2 3 4" xfId="28229"/>
    <cellStyle name="集計 3 12 3 2 3 4 2" xfId="28230"/>
    <cellStyle name="集計 3 12 3 2 3 4 3" xfId="28231"/>
    <cellStyle name="集計 3 12 3 2 3 5" xfId="28232"/>
    <cellStyle name="集計 3 12 3 2 3 5 2" xfId="28233"/>
    <cellStyle name="集計 3 12 3 2 3 5 3" xfId="28234"/>
    <cellStyle name="集計 3 12 3 2 3 6" xfId="28235"/>
    <cellStyle name="集計 3 12 3 2 3 7" xfId="28236"/>
    <cellStyle name="集計 3 12 3 2 4" xfId="28237"/>
    <cellStyle name="集計 3 12 3 2 4 2" xfId="28238"/>
    <cellStyle name="集計 3 12 3 2 4 2 2" xfId="28239"/>
    <cellStyle name="集計 3 12 3 2 4 2 2 2" xfId="28240"/>
    <cellStyle name="集計 3 12 3 2 4 2 2 3" xfId="28241"/>
    <cellStyle name="集計 3 12 3 2 4 2 3" xfId="28242"/>
    <cellStyle name="集計 3 12 3 2 4 2 3 2" xfId="28243"/>
    <cellStyle name="集計 3 12 3 2 4 2 3 3" xfId="28244"/>
    <cellStyle name="集計 3 12 3 2 4 2 4" xfId="28245"/>
    <cellStyle name="集計 3 12 3 2 4 2 4 2" xfId="28246"/>
    <cellStyle name="集計 3 12 3 2 4 2 4 3" xfId="28247"/>
    <cellStyle name="集計 3 12 3 2 4 2 5" xfId="28248"/>
    <cellStyle name="集計 3 12 3 2 4 2 6" xfId="28249"/>
    <cellStyle name="集計 3 12 3 2 4 3" xfId="28250"/>
    <cellStyle name="集計 3 12 3 2 4 3 2" xfId="28251"/>
    <cellStyle name="集計 3 12 3 2 4 3 3" xfId="28252"/>
    <cellStyle name="集計 3 12 3 2 4 4" xfId="28253"/>
    <cellStyle name="集計 3 12 3 2 4 4 2" xfId="28254"/>
    <cellStyle name="集計 3 12 3 2 4 4 3" xfId="28255"/>
    <cellStyle name="集計 3 12 3 2 4 5" xfId="28256"/>
    <cellStyle name="集計 3 12 3 2 4 5 2" xfId="28257"/>
    <cellStyle name="集計 3 12 3 2 4 5 3" xfId="28258"/>
    <cellStyle name="集計 3 12 3 2 4 6" xfId="28259"/>
    <cellStyle name="集計 3 12 3 2 4 7" xfId="28260"/>
    <cellStyle name="集計 3 12 3 2 5" xfId="28261"/>
    <cellStyle name="集計 3 12 3 2 5 2" xfId="28262"/>
    <cellStyle name="集計 3 12 3 2 5 2 2" xfId="28263"/>
    <cellStyle name="集計 3 12 3 2 5 2 3" xfId="28264"/>
    <cellStyle name="集計 3 12 3 2 5 3" xfId="28265"/>
    <cellStyle name="集計 3 12 3 2 5 3 2" xfId="28266"/>
    <cellStyle name="集計 3 12 3 2 5 3 3" xfId="28267"/>
    <cellStyle name="集計 3 12 3 2 5 4" xfId="28268"/>
    <cellStyle name="集計 3 12 3 2 5 4 2" xfId="28269"/>
    <cellStyle name="集計 3 12 3 2 5 4 3" xfId="28270"/>
    <cellStyle name="集計 3 12 3 2 5 5" xfId="28271"/>
    <cellStyle name="集計 3 12 3 2 5 6" xfId="28272"/>
    <cellStyle name="集計 3 12 3 2 6" xfId="28273"/>
    <cellStyle name="集計 3 12 3 2 6 2" xfId="28274"/>
    <cellStyle name="集計 3 12 3 2 6 3" xfId="28275"/>
    <cellStyle name="集計 3 12 3 2 7" xfId="28276"/>
    <cellStyle name="集計 3 12 3 2 7 2" xfId="28277"/>
    <cellStyle name="集計 3 12 3 2 7 3" xfId="28278"/>
    <cellStyle name="集計 3 12 3 2 8" xfId="28279"/>
    <cellStyle name="集計 3 12 3 2 8 2" xfId="28280"/>
    <cellStyle name="集計 3 12 3 2 8 3" xfId="28281"/>
    <cellStyle name="集計 3 12 3 2 9" xfId="28282"/>
    <cellStyle name="集計 3 12 3 3" xfId="28283"/>
    <cellStyle name="集計 3 12 3 3 2" xfId="28284"/>
    <cellStyle name="集計 3 12 3 3 2 2" xfId="28285"/>
    <cellStyle name="集計 3 12 3 3 2 2 2" xfId="28286"/>
    <cellStyle name="集計 3 12 3 3 2 2 3" xfId="28287"/>
    <cellStyle name="集計 3 12 3 3 2 3" xfId="28288"/>
    <cellStyle name="集計 3 12 3 3 2 3 2" xfId="28289"/>
    <cellStyle name="集計 3 12 3 3 2 3 3" xfId="28290"/>
    <cellStyle name="集計 3 12 3 3 2 4" xfId="28291"/>
    <cellStyle name="集計 3 12 3 3 2 4 2" xfId="28292"/>
    <cellStyle name="集計 3 12 3 3 2 4 3" xfId="28293"/>
    <cellStyle name="集計 3 12 3 3 2 5" xfId="28294"/>
    <cellStyle name="集計 3 12 3 3 2 6" xfId="28295"/>
    <cellStyle name="集計 3 12 3 3 3" xfId="28296"/>
    <cellStyle name="集計 3 12 3 3 3 2" xfId="28297"/>
    <cellStyle name="集計 3 12 3 3 3 3" xfId="28298"/>
    <cellStyle name="集計 3 12 3 3 4" xfId="28299"/>
    <cellStyle name="集計 3 12 3 3 4 2" xfId="28300"/>
    <cellStyle name="集計 3 12 3 3 4 3" xfId="28301"/>
    <cellStyle name="集計 3 12 3 3 5" xfId="28302"/>
    <cellStyle name="集計 3 12 3 3 5 2" xfId="28303"/>
    <cellStyle name="集計 3 12 3 3 5 3" xfId="28304"/>
    <cellStyle name="集計 3 12 3 3 6" xfId="28305"/>
    <cellStyle name="集計 3 12 3 3 7" xfId="28306"/>
    <cellStyle name="集計 3 12 3 4" xfId="28307"/>
    <cellStyle name="集計 3 12 3 4 2" xfId="28308"/>
    <cellStyle name="集計 3 12 3 4 2 2" xfId="28309"/>
    <cellStyle name="集計 3 12 3 4 2 2 2" xfId="28310"/>
    <cellStyle name="集計 3 12 3 4 2 2 3" xfId="28311"/>
    <cellStyle name="集計 3 12 3 4 2 3" xfId="28312"/>
    <cellStyle name="集計 3 12 3 4 2 3 2" xfId="28313"/>
    <cellStyle name="集計 3 12 3 4 2 3 3" xfId="28314"/>
    <cellStyle name="集計 3 12 3 4 2 4" xfId="28315"/>
    <cellStyle name="集計 3 12 3 4 2 4 2" xfId="28316"/>
    <cellStyle name="集計 3 12 3 4 2 4 3" xfId="28317"/>
    <cellStyle name="集計 3 12 3 4 2 5" xfId="28318"/>
    <cellStyle name="集計 3 12 3 4 2 6" xfId="28319"/>
    <cellStyle name="集計 3 12 3 4 3" xfId="28320"/>
    <cellStyle name="集計 3 12 3 4 3 2" xfId="28321"/>
    <cellStyle name="集計 3 12 3 4 3 3" xfId="28322"/>
    <cellStyle name="集計 3 12 3 4 4" xfId="28323"/>
    <cellStyle name="集計 3 12 3 4 4 2" xfId="28324"/>
    <cellStyle name="集計 3 12 3 4 4 3" xfId="28325"/>
    <cellStyle name="集計 3 12 3 4 5" xfId="28326"/>
    <cellStyle name="集計 3 12 3 4 5 2" xfId="28327"/>
    <cellStyle name="集計 3 12 3 4 5 3" xfId="28328"/>
    <cellStyle name="集計 3 12 3 4 6" xfId="28329"/>
    <cellStyle name="集計 3 12 3 4 7" xfId="28330"/>
    <cellStyle name="集計 3 12 3 5" xfId="28331"/>
    <cellStyle name="集計 3 12 3 5 2" xfId="28332"/>
    <cellStyle name="集計 3 12 3 5 2 2" xfId="28333"/>
    <cellStyle name="集計 3 12 3 5 2 3" xfId="28334"/>
    <cellStyle name="集計 3 12 3 5 3" xfId="28335"/>
    <cellStyle name="集計 3 12 3 5 3 2" xfId="28336"/>
    <cellStyle name="集計 3 12 3 5 3 3" xfId="28337"/>
    <cellStyle name="集計 3 12 3 5 4" xfId="28338"/>
    <cellStyle name="集計 3 12 3 5 4 2" xfId="28339"/>
    <cellStyle name="集計 3 12 3 5 4 3" xfId="28340"/>
    <cellStyle name="集計 3 12 3 5 5" xfId="28341"/>
    <cellStyle name="集計 3 12 3 5 6" xfId="28342"/>
    <cellStyle name="集計 3 12 3 6" xfId="28343"/>
    <cellStyle name="集計 3 12 3 6 2" xfId="28344"/>
    <cellStyle name="集計 3 12 3 6 3" xfId="28345"/>
    <cellStyle name="集計 3 12 3 7" xfId="28346"/>
    <cellStyle name="集計 3 12 3 7 2" xfId="28347"/>
    <cellStyle name="集計 3 12 3 7 3" xfId="28348"/>
    <cellStyle name="集計 3 12 3 8" xfId="28349"/>
    <cellStyle name="集計 3 12 3 8 2" xfId="28350"/>
    <cellStyle name="集計 3 12 3 8 3" xfId="28351"/>
    <cellStyle name="集計 3 12 3 9" xfId="28352"/>
    <cellStyle name="集計 3 12 4" xfId="28353"/>
    <cellStyle name="集計 3 12 4 10" xfId="28354"/>
    <cellStyle name="集計 3 12 4 2" xfId="28355"/>
    <cellStyle name="集計 3 12 4 2 10" xfId="28356"/>
    <cellStyle name="集計 3 12 4 2 2" xfId="28357"/>
    <cellStyle name="集計 3 12 4 2 2 2" xfId="28358"/>
    <cellStyle name="集計 3 12 4 2 2 2 2" xfId="28359"/>
    <cellStyle name="集計 3 12 4 2 2 2 2 2" xfId="28360"/>
    <cellStyle name="集計 3 12 4 2 2 2 2 2 2" xfId="28361"/>
    <cellStyle name="集計 3 12 4 2 2 2 2 2 3" xfId="28362"/>
    <cellStyle name="集計 3 12 4 2 2 2 2 3" xfId="28363"/>
    <cellStyle name="集計 3 12 4 2 2 2 2 3 2" xfId="28364"/>
    <cellStyle name="集計 3 12 4 2 2 2 2 3 3" xfId="28365"/>
    <cellStyle name="集計 3 12 4 2 2 2 2 4" xfId="28366"/>
    <cellStyle name="集計 3 12 4 2 2 2 2 4 2" xfId="28367"/>
    <cellStyle name="集計 3 12 4 2 2 2 2 4 3" xfId="28368"/>
    <cellStyle name="集計 3 12 4 2 2 2 2 5" xfId="28369"/>
    <cellStyle name="集計 3 12 4 2 2 2 2 6" xfId="28370"/>
    <cellStyle name="集計 3 12 4 2 2 2 3" xfId="28371"/>
    <cellStyle name="集計 3 12 4 2 2 2 3 2" xfId="28372"/>
    <cellStyle name="集計 3 12 4 2 2 2 3 3" xfId="28373"/>
    <cellStyle name="集計 3 12 4 2 2 2 4" xfId="28374"/>
    <cellStyle name="集計 3 12 4 2 2 2 4 2" xfId="28375"/>
    <cellStyle name="集計 3 12 4 2 2 2 4 3" xfId="28376"/>
    <cellStyle name="集計 3 12 4 2 2 2 5" xfId="28377"/>
    <cellStyle name="集計 3 12 4 2 2 2 5 2" xfId="28378"/>
    <cellStyle name="集計 3 12 4 2 2 2 5 3" xfId="28379"/>
    <cellStyle name="集計 3 12 4 2 2 2 6" xfId="28380"/>
    <cellStyle name="集計 3 12 4 2 2 2 7" xfId="28381"/>
    <cellStyle name="集計 3 12 4 2 2 3" xfId="28382"/>
    <cellStyle name="集計 3 12 4 2 2 3 2" xfId="28383"/>
    <cellStyle name="集計 3 12 4 2 2 3 2 2" xfId="28384"/>
    <cellStyle name="集計 3 12 4 2 2 3 2 2 2" xfId="28385"/>
    <cellStyle name="集計 3 12 4 2 2 3 2 2 3" xfId="28386"/>
    <cellStyle name="集計 3 12 4 2 2 3 2 3" xfId="28387"/>
    <cellStyle name="集計 3 12 4 2 2 3 2 3 2" xfId="28388"/>
    <cellStyle name="集計 3 12 4 2 2 3 2 3 3" xfId="28389"/>
    <cellStyle name="集計 3 12 4 2 2 3 2 4" xfId="28390"/>
    <cellStyle name="集計 3 12 4 2 2 3 2 4 2" xfId="28391"/>
    <cellStyle name="集計 3 12 4 2 2 3 2 4 3" xfId="28392"/>
    <cellStyle name="集計 3 12 4 2 2 3 2 5" xfId="28393"/>
    <cellStyle name="集計 3 12 4 2 2 3 2 6" xfId="28394"/>
    <cellStyle name="集計 3 12 4 2 2 3 3" xfId="28395"/>
    <cellStyle name="集計 3 12 4 2 2 3 3 2" xfId="28396"/>
    <cellStyle name="集計 3 12 4 2 2 3 3 3" xfId="28397"/>
    <cellStyle name="集計 3 12 4 2 2 3 4" xfId="28398"/>
    <cellStyle name="集計 3 12 4 2 2 3 4 2" xfId="28399"/>
    <cellStyle name="集計 3 12 4 2 2 3 4 3" xfId="28400"/>
    <cellStyle name="集計 3 12 4 2 2 3 5" xfId="28401"/>
    <cellStyle name="集計 3 12 4 2 2 3 5 2" xfId="28402"/>
    <cellStyle name="集計 3 12 4 2 2 3 5 3" xfId="28403"/>
    <cellStyle name="集計 3 12 4 2 2 3 6" xfId="28404"/>
    <cellStyle name="集計 3 12 4 2 2 3 7" xfId="28405"/>
    <cellStyle name="集計 3 12 4 2 2 4" xfId="28406"/>
    <cellStyle name="集計 3 12 4 2 2 4 2" xfId="28407"/>
    <cellStyle name="集計 3 12 4 2 2 4 2 2" xfId="28408"/>
    <cellStyle name="集計 3 12 4 2 2 4 2 3" xfId="28409"/>
    <cellStyle name="集計 3 12 4 2 2 4 3" xfId="28410"/>
    <cellStyle name="集計 3 12 4 2 2 4 3 2" xfId="28411"/>
    <cellStyle name="集計 3 12 4 2 2 4 3 3" xfId="28412"/>
    <cellStyle name="集計 3 12 4 2 2 4 4" xfId="28413"/>
    <cellStyle name="集計 3 12 4 2 2 4 4 2" xfId="28414"/>
    <cellStyle name="集計 3 12 4 2 2 4 4 3" xfId="28415"/>
    <cellStyle name="集計 3 12 4 2 2 4 5" xfId="28416"/>
    <cellStyle name="集計 3 12 4 2 2 4 6" xfId="28417"/>
    <cellStyle name="集計 3 12 4 2 2 5" xfId="28418"/>
    <cellStyle name="集計 3 12 4 2 2 5 2" xfId="28419"/>
    <cellStyle name="集計 3 12 4 2 2 5 3" xfId="28420"/>
    <cellStyle name="集計 3 12 4 2 2 6" xfId="28421"/>
    <cellStyle name="集計 3 12 4 2 2 6 2" xfId="28422"/>
    <cellStyle name="集計 3 12 4 2 2 6 3" xfId="28423"/>
    <cellStyle name="集計 3 12 4 2 2 7" xfId="28424"/>
    <cellStyle name="集計 3 12 4 2 2 7 2" xfId="28425"/>
    <cellStyle name="集計 3 12 4 2 2 7 3" xfId="28426"/>
    <cellStyle name="集計 3 12 4 2 2 8" xfId="28427"/>
    <cellStyle name="集計 3 12 4 2 2 9" xfId="28428"/>
    <cellStyle name="集計 3 12 4 2 3" xfId="28429"/>
    <cellStyle name="集計 3 12 4 2 3 2" xfId="28430"/>
    <cellStyle name="集計 3 12 4 2 3 2 2" xfId="28431"/>
    <cellStyle name="集計 3 12 4 2 3 2 2 2" xfId="28432"/>
    <cellStyle name="集計 3 12 4 2 3 2 2 3" xfId="28433"/>
    <cellStyle name="集計 3 12 4 2 3 2 3" xfId="28434"/>
    <cellStyle name="集計 3 12 4 2 3 2 3 2" xfId="28435"/>
    <cellStyle name="集計 3 12 4 2 3 2 3 3" xfId="28436"/>
    <cellStyle name="集計 3 12 4 2 3 2 4" xfId="28437"/>
    <cellStyle name="集計 3 12 4 2 3 2 4 2" xfId="28438"/>
    <cellStyle name="集計 3 12 4 2 3 2 4 3" xfId="28439"/>
    <cellStyle name="集計 3 12 4 2 3 2 5" xfId="28440"/>
    <cellStyle name="集計 3 12 4 2 3 2 6" xfId="28441"/>
    <cellStyle name="集計 3 12 4 2 3 3" xfId="28442"/>
    <cellStyle name="集計 3 12 4 2 3 3 2" xfId="28443"/>
    <cellStyle name="集計 3 12 4 2 3 3 3" xfId="28444"/>
    <cellStyle name="集計 3 12 4 2 3 4" xfId="28445"/>
    <cellStyle name="集計 3 12 4 2 3 4 2" xfId="28446"/>
    <cellStyle name="集計 3 12 4 2 3 4 3" xfId="28447"/>
    <cellStyle name="集計 3 12 4 2 3 5" xfId="28448"/>
    <cellStyle name="集計 3 12 4 2 3 5 2" xfId="28449"/>
    <cellStyle name="集計 3 12 4 2 3 5 3" xfId="28450"/>
    <cellStyle name="集計 3 12 4 2 3 6" xfId="28451"/>
    <cellStyle name="集計 3 12 4 2 3 7" xfId="28452"/>
    <cellStyle name="集計 3 12 4 2 4" xfId="28453"/>
    <cellStyle name="集計 3 12 4 2 4 2" xfId="28454"/>
    <cellStyle name="集計 3 12 4 2 4 2 2" xfId="28455"/>
    <cellStyle name="集計 3 12 4 2 4 2 2 2" xfId="28456"/>
    <cellStyle name="集計 3 12 4 2 4 2 2 3" xfId="28457"/>
    <cellStyle name="集計 3 12 4 2 4 2 3" xfId="28458"/>
    <cellStyle name="集計 3 12 4 2 4 2 3 2" xfId="28459"/>
    <cellStyle name="集計 3 12 4 2 4 2 3 3" xfId="28460"/>
    <cellStyle name="集計 3 12 4 2 4 2 4" xfId="28461"/>
    <cellStyle name="集計 3 12 4 2 4 2 4 2" xfId="28462"/>
    <cellStyle name="集計 3 12 4 2 4 2 4 3" xfId="28463"/>
    <cellStyle name="集計 3 12 4 2 4 2 5" xfId="28464"/>
    <cellStyle name="集計 3 12 4 2 4 2 6" xfId="28465"/>
    <cellStyle name="集計 3 12 4 2 4 3" xfId="28466"/>
    <cellStyle name="集計 3 12 4 2 4 3 2" xfId="28467"/>
    <cellStyle name="集計 3 12 4 2 4 3 3" xfId="28468"/>
    <cellStyle name="集計 3 12 4 2 4 4" xfId="28469"/>
    <cellStyle name="集計 3 12 4 2 4 4 2" xfId="28470"/>
    <cellStyle name="集計 3 12 4 2 4 4 3" xfId="28471"/>
    <cellStyle name="集計 3 12 4 2 4 5" xfId="28472"/>
    <cellStyle name="集計 3 12 4 2 4 5 2" xfId="28473"/>
    <cellStyle name="集計 3 12 4 2 4 5 3" xfId="28474"/>
    <cellStyle name="集計 3 12 4 2 4 6" xfId="28475"/>
    <cellStyle name="集計 3 12 4 2 4 7" xfId="28476"/>
    <cellStyle name="集計 3 12 4 2 5" xfId="28477"/>
    <cellStyle name="集計 3 12 4 2 5 2" xfId="28478"/>
    <cellStyle name="集計 3 12 4 2 5 2 2" xfId="28479"/>
    <cellStyle name="集計 3 12 4 2 5 2 3" xfId="28480"/>
    <cellStyle name="集計 3 12 4 2 5 3" xfId="28481"/>
    <cellStyle name="集計 3 12 4 2 5 3 2" xfId="28482"/>
    <cellStyle name="集計 3 12 4 2 5 3 3" xfId="28483"/>
    <cellStyle name="集計 3 12 4 2 5 4" xfId="28484"/>
    <cellStyle name="集計 3 12 4 2 5 4 2" xfId="28485"/>
    <cellStyle name="集計 3 12 4 2 5 4 3" xfId="28486"/>
    <cellStyle name="集計 3 12 4 2 5 5" xfId="28487"/>
    <cellStyle name="集計 3 12 4 2 5 6" xfId="28488"/>
    <cellStyle name="集計 3 12 4 2 6" xfId="28489"/>
    <cellStyle name="集計 3 12 4 2 6 2" xfId="28490"/>
    <cellStyle name="集計 3 12 4 2 6 3" xfId="28491"/>
    <cellStyle name="集計 3 12 4 2 7" xfId="28492"/>
    <cellStyle name="集計 3 12 4 2 7 2" xfId="28493"/>
    <cellStyle name="集計 3 12 4 2 7 3" xfId="28494"/>
    <cellStyle name="集計 3 12 4 2 8" xfId="28495"/>
    <cellStyle name="集計 3 12 4 2 8 2" xfId="28496"/>
    <cellStyle name="集計 3 12 4 2 8 3" xfId="28497"/>
    <cellStyle name="集計 3 12 4 2 9" xfId="28498"/>
    <cellStyle name="集計 3 12 4 3" xfId="28499"/>
    <cellStyle name="集計 3 12 4 3 2" xfId="28500"/>
    <cellStyle name="集計 3 12 4 3 2 2" xfId="28501"/>
    <cellStyle name="集計 3 12 4 3 2 2 2" xfId="28502"/>
    <cellStyle name="集計 3 12 4 3 2 2 3" xfId="28503"/>
    <cellStyle name="集計 3 12 4 3 2 3" xfId="28504"/>
    <cellStyle name="集計 3 12 4 3 2 3 2" xfId="28505"/>
    <cellStyle name="集計 3 12 4 3 2 3 3" xfId="28506"/>
    <cellStyle name="集計 3 12 4 3 2 4" xfId="28507"/>
    <cellStyle name="集計 3 12 4 3 2 4 2" xfId="28508"/>
    <cellStyle name="集計 3 12 4 3 2 4 3" xfId="28509"/>
    <cellStyle name="集計 3 12 4 3 2 5" xfId="28510"/>
    <cellStyle name="集計 3 12 4 3 2 6" xfId="28511"/>
    <cellStyle name="集計 3 12 4 3 3" xfId="28512"/>
    <cellStyle name="集計 3 12 4 3 3 2" xfId="28513"/>
    <cellStyle name="集計 3 12 4 3 3 3" xfId="28514"/>
    <cellStyle name="集計 3 12 4 3 4" xfId="28515"/>
    <cellStyle name="集計 3 12 4 3 4 2" xfId="28516"/>
    <cellStyle name="集計 3 12 4 3 4 3" xfId="28517"/>
    <cellStyle name="集計 3 12 4 3 5" xfId="28518"/>
    <cellStyle name="集計 3 12 4 3 5 2" xfId="28519"/>
    <cellStyle name="集計 3 12 4 3 5 3" xfId="28520"/>
    <cellStyle name="集計 3 12 4 3 6" xfId="28521"/>
    <cellStyle name="集計 3 12 4 3 7" xfId="28522"/>
    <cellStyle name="集計 3 12 4 4" xfId="28523"/>
    <cellStyle name="集計 3 12 4 4 2" xfId="28524"/>
    <cellStyle name="集計 3 12 4 4 2 2" xfId="28525"/>
    <cellStyle name="集計 3 12 4 4 2 2 2" xfId="28526"/>
    <cellStyle name="集計 3 12 4 4 2 2 3" xfId="28527"/>
    <cellStyle name="集計 3 12 4 4 2 3" xfId="28528"/>
    <cellStyle name="集計 3 12 4 4 2 3 2" xfId="28529"/>
    <cellStyle name="集計 3 12 4 4 2 3 3" xfId="28530"/>
    <cellStyle name="集計 3 12 4 4 2 4" xfId="28531"/>
    <cellStyle name="集計 3 12 4 4 2 4 2" xfId="28532"/>
    <cellStyle name="集計 3 12 4 4 2 4 3" xfId="28533"/>
    <cellStyle name="集計 3 12 4 4 2 5" xfId="28534"/>
    <cellStyle name="集計 3 12 4 4 2 6" xfId="28535"/>
    <cellStyle name="集計 3 12 4 4 3" xfId="28536"/>
    <cellStyle name="集計 3 12 4 4 3 2" xfId="28537"/>
    <cellStyle name="集計 3 12 4 4 3 3" xfId="28538"/>
    <cellStyle name="集計 3 12 4 4 4" xfId="28539"/>
    <cellStyle name="集計 3 12 4 4 4 2" xfId="28540"/>
    <cellStyle name="集計 3 12 4 4 4 3" xfId="28541"/>
    <cellStyle name="集計 3 12 4 4 5" xfId="28542"/>
    <cellStyle name="集計 3 12 4 4 5 2" xfId="28543"/>
    <cellStyle name="集計 3 12 4 4 5 3" xfId="28544"/>
    <cellStyle name="集計 3 12 4 4 6" xfId="28545"/>
    <cellStyle name="集計 3 12 4 4 7" xfId="28546"/>
    <cellStyle name="集計 3 12 4 5" xfId="28547"/>
    <cellStyle name="集計 3 12 4 5 2" xfId="28548"/>
    <cellStyle name="集計 3 12 4 5 2 2" xfId="28549"/>
    <cellStyle name="集計 3 12 4 5 2 3" xfId="28550"/>
    <cellStyle name="集計 3 12 4 5 3" xfId="28551"/>
    <cellStyle name="集計 3 12 4 5 3 2" xfId="28552"/>
    <cellStyle name="集計 3 12 4 5 3 3" xfId="28553"/>
    <cellStyle name="集計 3 12 4 5 4" xfId="28554"/>
    <cellStyle name="集計 3 12 4 5 4 2" xfId="28555"/>
    <cellStyle name="集計 3 12 4 5 4 3" xfId="28556"/>
    <cellStyle name="集計 3 12 4 5 5" xfId="28557"/>
    <cellStyle name="集計 3 12 4 5 6" xfId="28558"/>
    <cellStyle name="集計 3 12 4 6" xfId="28559"/>
    <cellStyle name="集計 3 12 4 6 2" xfId="28560"/>
    <cellStyle name="集計 3 12 4 6 3" xfId="28561"/>
    <cellStyle name="集計 3 12 4 7" xfId="28562"/>
    <cellStyle name="集計 3 12 4 7 2" xfId="28563"/>
    <cellStyle name="集計 3 12 4 7 3" xfId="28564"/>
    <cellStyle name="集計 3 12 4 8" xfId="28565"/>
    <cellStyle name="集計 3 12 4 8 2" xfId="28566"/>
    <cellStyle name="集計 3 12 4 8 3" xfId="28567"/>
    <cellStyle name="集計 3 12 4 9" xfId="28568"/>
    <cellStyle name="集計 3 12 5" xfId="28569"/>
    <cellStyle name="集計 3 12 5 10" xfId="28570"/>
    <cellStyle name="集計 3 12 5 2" xfId="28571"/>
    <cellStyle name="集計 3 12 5 2 2" xfId="28572"/>
    <cellStyle name="集計 3 12 5 2 2 2" xfId="28573"/>
    <cellStyle name="集計 3 12 5 2 2 2 2" xfId="28574"/>
    <cellStyle name="集計 3 12 5 2 2 2 2 2" xfId="28575"/>
    <cellStyle name="集計 3 12 5 2 2 2 2 3" xfId="28576"/>
    <cellStyle name="集計 3 12 5 2 2 2 3" xfId="28577"/>
    <cellStyle name="集計 3 12 5 2 2 2 3 2" xfId="28578"/>
    <cellStyle name="集計 3 12 5 2 2 2 3 3" xfId="28579"/>
    <cellStyle name="集計 3 12 5 2 2 2 4" xfId="28580"/>
    <cellStyle name="集計 3 12 5 2 2 2 4 2" xfId="28581"/>
    <cellStyle name="集計 3 12 5 2 2 2 4 3" xfId="28582"/>
    <cellStyle name="集計 3 12 5 2 2 2 5" xfId="28583"/>
    <cellStyle name="集計 3 12 5 2 2 2 6" xfId="28584"/>
    <cellStyle name="集計 3 12 5 2 2 3" xfId="28585"/>
    <cellStyle name="集計 3 12 5 2 2 3 2" xfId="28586"/>
    <cellStyle name="集計 3 12 5 2 2 3 3" xfId="28587"/>
    <cellStyle name="集計 3 12 5 2 2 4" xfId="28588"/>
    <cellStyle name="集計 3 12 5 2 2 4 2" xfId="28589"/>
    <cellStyle name="集計 3 12 5 2 2 4 3" xfId="28590"/>
    <cellStyle name="集計 3 12 5 2 2 5" xfId="28591"/>
    <cellStyle name="集計 3 12 5 2 2 5 2" xfId="28592"/>
    <cellStyle name="集計 3 12 5 2 2 5 3" xfId="28593"/>
    <cellStyle name="集計 3 12 5 2 2 6" xfId="28594"/>
    <cellStyle name="集計 3 12 5 2 2 7" xfId="28595"/>
    <cellStyle name="集計 3 12 5 2 3" xfId="28596"/>
    <cellStyle name="集計 3 12 5 2 3 2" xfId="28597"/>
    <cellStyle name="集計 3 12 5 2 3 2 2" xfId="28598"/>
    <cellStyle name="集計 3 12 5 2 3 2 2 2" xfId="28599"/>
    <cellStyle name="集計 3 12 5 2 3 2 2 3" xfId="28600"/>
    <cellStyle name="集計 3 12 5 2 3 2 3" xfId="28601"/>
    <cellStyle name="集計 3 12 5 2 3 2 3 2" xfId="28602"/>
    <cellStyle name="集計 3 12 5 2 3 2 3 3" xfId="28603"/>
    <cellStyle name="集計 3 12 5 2 3 2 4" xfId="28604"/>
    <cellStyle name="集計 3 12 5 2 3 2 4 2" xfId="28605"/>
    <cellStyle name="集計 3 12 5 2 3 2 4 3" xfId="28606"/>
    <cellStyle name="集計 3 12 5 2 3 2 5" xfId="28607"/>
    <cellStyle name="集計 3 12 5 2 3 2 6" xfId="28608"/>
    <cellStyle name="集計 3 12 5 2 3 3" xfId="28609"/>
    <cellStyle name="集計 3 12 5 2 3 3 2" xfId="28610"/>
    <cellStyle name="集計 3 12 5 2 3 3 3" xfId="28611"/>
    <cellStyle name="集計 3 12 5 2 3 4" xfId="28612"/>
    <cellStyle name="集計 3 12 5 2 3 4 2" xfId="28613"/>
    <cellStyle name="集計 3 12 5 2 3 4 3" xfId="28614"/>
    <cellStyle name="集計 3 12 5 2 3 5" xfId="28615"/>
    <cellStyle name="集計 3 12 5 2 3 5 2" xfId="28616"/>
    <cellStyle name="集計 3 12 5 2 3 5 3" xfId="28617"/>
    <cellStyle name="集計 3 12 5 2 3 6" xfId="28618"/>
    <cellStyle name="集計 3 12 5 2 3 7" xfId="28619"/>
    <cellStyle name="集計 3 12 5 2 4" xfId="28620"/>
    <cellStyle name="集計 3 12 5 2 4 2" xfId="28621"/>
    <cellStyle name="集計 3 12 5 2 4 2 2" xfId="28622"/>
    <cellStyle name="集計 3 12 5 2 4 2 3" xfId="28623"/>
    <cellStyle name="集計 3 12 5 2 4 3" xfId="28624"/>
    <cellStyle name="集計 3 12 5 2 4 3 2" xfId="28625"/>
    <cellStyle name="集計 3 12 5 2 4 3 3" xfId="28626"/>
    <cellStyle name="集計 3 12 5 2 4 4" xfId="28627"/>
    <cellStyle name="集計 3 12 5 2 4 4 2" xfId="28628"/>
    <cellStyle name="集計 3 12 5 2 4 4 3" xfId="28629"/>
    <cellStyle name="集計 3 12 5 2 4 5" xfId="28630"/>
    <cellStyle name="集計 3 12 5 2 4 6" xfId="28631"/>
    <cellStyle name="集計 3 12 5 2 5" xfId="28632"/>
    <cellStyle name="集計 3 12 5 2 5 2" xfId="28633"/>
    <cellStyle name="集計 3 12 5 2 5 3" xfId="28634"/>
    <cellStyle name="集計 3 12 5 2 6" xfId="28635"/>
    <cellStyle name="集計 3 12 5 2 6 2" xfId="28636"/>
    <cellStyle name="集計 3 12 5 2 6 3" xfId="28637"/>
    <cellStyle name="集計 3 12 5 2 7" xfId="28638"/>
    <cellStyle name="集計 3 12 5 2 7 2" xfId="28639"/>
    <cellStyle name="集計 3 12 5 2 7 3" xfId="28640"/>
    <cellStyle name="集計 3 12 5 2 8" xfId="28641"/>
    <cellStyle name="集計 3 12 5 2 9" xfId="28642"/>
    <cellStyle name="集計 3 12 5 3" xfId="28643"/>
    <cellStyle name="集計 3 12 5 3 2" xfId="28644"/>
    <cellStyle name="集計 3 12 5 3 2 2" xfId="28645"/>
    <cellStyle name="集計 3 12 5 3 2 2 2" xfId="28646"/>
    <cellStyle name="集計 3 12 5 3 2 2 3" xfId="28647"/>
    <cellStyle name="集計 3 12 5 3 2 3" xfId="28648"/>
    <cellStyle name="集計 3 12 5 3 2 3 2" xfId="28649"/>
    <cellStyle name="集計 3 12 5 3 2 3 3" xfId="28650"/>
    <cellStyle name="集計 3 12 5 3 2 4" xfId="28651"/>
    <cellStyle name="集計 3 12 5 3 2 4 2" xfId="28652"/>
    <cellStyle name="集計 3 12 5 3 2 4 3" xfId="28653"/>
    <cellStyle name="集計 3 12 5 3 2 5" xfId="28654"/>
    <cellStyle name="集計 3 12 5 3 2 6" xfId="28655"/>
    <cellStyle name="集計 3 12 5 3 3" xfId="28656"/>
    <cellStyle name="集計 3 12 5 3 3 2" xfId="28657"/>
    <cellStyle name="集計 3 12 5 3 3 3" xfId="28658"/>
    <cellStyle name="集計 3 12 5 3 4" xfId="28659"/>
    <cellStyle name="集計 3 12 5 3 4 2" xfId="28660"/>
    <cellStyle name="集計 3 12 5 3 4 3" xfId="28661"/>
    <cellStyle name="集計 3 12 5 3 5" xfId="28662"/>
    <cellStyle name="集計 3 12 5 3 5 2" xfId="28663"/>
    <cellStyle name="集計 3 12 5 3 5 3" xfId="28664"/>
    <cellStyle name="集計 3 12 5 3 6" xfId="28665"/>
    <cellStyle name="集計 3 12 5 3 7" xfId="28666"/>
    <cellStyle name="集計 3 12 5 4" xfId="28667"/>
    <cellStyle name="集計 3 12 5 4 2" xfId="28668"/>
    <cellStyle name="集計 3 12 5 4 2 2" xfId="28669"/>
    <cellStyle name="集計 3 12 5 4 2 2 2" xfId="28670"/>
    <cellStyle name="集計 3 12 5 4 2 2 3" xfId="28671"/>
    <cellStyle name="集計 3 12 5 4 2 3" xfId="28672"/>
    <cellStyle name="集計 3 12 5 4 2 3 2" xfId="28673"/>
    <cellStyle name="集計 3 12 5 4 2 3 3" xfId="28674"/>
    <cellStyle name="集計 3 12 5 4 2 4" xfId="28675"/>
    <cellStyle name="集計 3 12 5 4 2 4 2" xfId="28676"/>
    <cellStyle name="集計 3 12 5 4 2 4 3" xfId="28677"/>
    <cellStyle name="集計 3 12 5 4 2 5" xfId="28678"/>
    <cellStyle name="集計 3 12 5 4 2 6" xfId="28679"/>
    <cellStyle name="集計 3 12 5 4 3" xfId="28680"/>
    <cellStyle name="集計 3 12 5 4 3 2" xfId="28681"/>
    <cellStyle name="集計 3 12 5 4 3 3" xfId="28682"/>
    <cellStyle name="集計 3 12 5 4 4" xfId="28683"/>
    <cellStyle name="集計 3 12 5 4 4 2" xfId="28684"/>
    <cellStyle name="集計 3 12 5 4 4 3" xfId="28685"/>
    <cellStyle name="集計 3 12 5 4 5" xfId="28686"/>
    <cellStyle name="集計 3 12 5 4 5 2" xfId="28687"/>
    <cellStyle name="集計 3 12 5 4 5 3" xfId="28688"/>
    <cellStyle name="集計 3 12 5 4 6" xfId="28689"/>
    <cellStyle name="集計 3 12 5 4 7" xfId="28690"/>
    <cellStyle name="集計 3 12 5 5" xfId="28691"/>
    <cellStyle name="集計 3 12 5 5 2" xfId="28692"/>
    <cellStyle name="集計 3 12 5 5 2 2" xfId="28693"/>
    <cellStyle name="集計 3 12 5 5 2 3" xfId="28694"/>
    <cellStyle name="集計 3 12 5 5 3" xfId="28695"/>
    <cellStyle name="集計 3 12 5 5 3 2" xfId="28696"/>
    <cellStyle name="集計 3 12 5 5 3 3" xfId="28697"/>
    <cellStyle name="集計 3 12 5 5 4" xfId="28698"/>
    <cellStyle name="集計 3 12 5 5 4 2" xfId="28699"/>
    <cellStyle name="集計 3 12 5 5 4 3" xfId="28700"/>
    <cellStyle name="集計 3 12 5 5 5" xfId="28701"/>
    <cellStyle name="集計 3 12 5 5 6" xfId="28702"/>
    <cellStyle name="集計 3 12 5 6" xfId="28703"/>
    <cellStyle name="集計 3 12 5 6 2" xfId="28704"/>
    <cellStyle name="集計 3 12 5 6 3" xfId="28705"/>
    <cellStyle name="集計 3 12 5 7" xfId="28706"/>
    <cellStyle name="集計 3 12 5 7 2" xfId="28707"/>
    <cellStyle name="集計 3 12 5 7 3" xfId="28708"/>
    <cellStyle name="集計 3 12 5 8" xfId="28709"/>
    <cellStyle name="集計 3 12 5 8 2" xfId="28710"/>
    <cellStyle name="集計 3 12 5 8 3" xfId="28711"/>
    <cellStyle name="集計 3 12 5 9" xfId="28712"/>
    <cellStyle name="集計 3 12 6" xfId="28713"/>
    <cellStyle name="集計 3 12 6 10" xfId="28714"/>
    <cellStyle name="集計 3 12 6 2" xfId="28715"/>
    <cellStyle name="集計 3 12 6 2 2" xfId="28716"/>
    <cellStyle name="集計 3 12 6 2 2 2" xfId="28717"/>
    <cellStyle name="集計 3 12 6 2 2 2 2" xfId="28718"/>
    <cellStyle name="集計 3 12 6 2 2 2 2 2" xfId="28719"/>
    <cellStyle name="集計 3 12 6 2 2 2 2 3" xfId="28720"/>
    <cellStyle name="集計 3 12 6 2 2 2 3" xfId="28721"/>
    <cellStyle name="集計 3 12 6 2 2 2 3 2" xfId="28722"/>
    <cellStyle name="集計 3 12 6 2 2 2 3 3" xfId="28723"/>
    <cellStyle name="集計 3 12 6 2 2 2 4" xfId="28724"/>
    <cellStyle name="集計 3 12 6 2 2 2 4 2" xfId="28725"/>
    <cellStyle name="集計 3 12 6 2 2 2 4 3" xfId="28726"/>
    <cellStyle name="集計 3 12 6 2 2 2 5" xfId="28727"/>
    <cellStyle name="集計 3 12 6 2 2 2 6" xfId="28728"/>
    <cellStyle name="集計 3 12 6 2 2 3" xfId="28729"/>
    <cellStyle name="集計 3 12 6 2 2 3 2" xfId="28730"/>
    <cellStyle name="集計 3 12 6 2 2 3 3" xfId="28731"/>
    <cellStyle name="集計 3 12 6 2 2 4" xfId="28732"/>
    <cellStyle name="集計 3 12 6 2 2 4 2" xfId="28733"/>
    <cellStyle name="集計 3 12 6 2 2 4 3" xfId="28734"/>
    <cellStyle name="集計 3 12 6 2 2 5" xfId="28735"/>
    <cellStyle name="集計 3 12 6 2 2 5 2" xfId="28736"/>
    <cellStyle name="集計 3 12 6 2 2 5 3" xfId="28737"/>
    <cellStyle name="集計 3 12 6 2 2 6" xfId="28738"/>
    <cellStyle name="集計 3 12 6 2 2 7" xfId="28739"/>
    <cellStyle name="集計 3 12 6 2 3" xfId="28740"/>
    <cellStyle name="集計 3 12 6 2 3 2" xfId="28741"/>
    <cellStyle name="集計 3 12 6 2 3 2 2" xfId="28742"/>
    <cellStyle name="集計 3 12 6 2 3 2 2 2" xfId="28743"/>
    <cellStyle name="集計 3 12 6 2 3 2 2 3" xfId="28744"/>
    <cellStyle name="集計 3 12 6 2 3 2 3" xfId="28745"/>
    <cellStyle name="集計 3 12 6 2 3 2 3 2" xfId="28746"/>
    <cellStyle name="集計 3 12 6 2 3 2 3 3" xfId="28747"/>
    <cellStyle name="集計 3 12 6 2 3 2 4" xfId="28748"/>
    <cellStyle name="集計 3 12 6 2 3 2 4 2" xfId="28749"/>
    <cellStyle name="集計 3 12 6 2 3 2 4 3" xfId="28750"/>
    <cellStyle name="集計 3 12 6 2 3 2 5" xfId="28751"/>
    <cellStyle name="集計 3 12 6 2 3 2 6" xfId="28752"/>
    <cellStyle name="集計 3 12 6 2 3 3" xfId="28753"/>
    <cellStyle name="集計 3 12 6 2 3 3 2" xfId="28754"/>
    <cellStyle name="集計 3 12 6 2 3 3 3" xfId="28755"/>
    <cellStyle name="集計 3 12 6 2 3 4" xfId="28756"/>
    <cellStyle name="集計 3 12 6 2 3 4 2" xfId="28757"/>
    <cellStyle name="集計 3 12 6 2 3 4 3" xfId="28758"/>
    <cellStyle name="集計 3 12 6 2 3 5" xfId="28759"/>
    <cellStyle name="集計 3 12 6 2 3 5 2" xfId="28760"/>
    <cellStyle name="集計 3 12 6 2 3 5 3" xfId="28761"/>
    <cellStyle name="集計 3 12 6 2 3 6" xfId="28762"/>
    <cellStyle name="集計 3 12 6 2 3 7" xfId="28763"/>
    <cellStyle name="集計 3 12 6 2 4" xfId="28764"/>
    <cellStyle name="集計 3 12 6 2 4 2" xfId="28765"/>
    <cellStyle name="集計 3 12 6 2 4 2 2" xfId="28766"/>
    <cellStyle name="集計 3 12 6 2 4 2 3" xfId="28767"/>
    <cellStyle name="集計 3 12 6 2 4 3" xfId="28768"/>
    <cellStyle name="集計 3 12 6 2 4 3 2" xfId="28769"/>
    <cellStyle name="集計 3 12 6 2 4 3 3" xfId="28770"/>
    <cellStyle name="集計 3 12 6 2 4 4" xfId="28771"/>
    <cellStyle name="集計 3 12 6 2 4 4 2" xfId="28772"/>
    <cellStyle name="集計 3 12 6 2 4 4 3" xfId="28773"/>
    <cellStyle name="集計 3 12 6 2 4 5" xfId="28774"/>
    <cellStyle name="集計 3 12 6 2 4 6" xfId="28775"/>
    <cellStyle name="集計 3 12 6 2 5" xfId="28776"/>
    <cellStyle name="集計 3 12 6 2 5 2" xfId="28777"/>
    <cellStyle name="集計 3 12 6 2 5 3" xfId="28778"/>
    <cellStyle name="集計 3 12 6 2 6" xfId="28779"/>
    <cellStyle name="集計 3 12 6 2 6 2" xfId="28780"/>
    <cellStyle name="集計 3 12 6 2 6 3" xfId="28781"/>
    <cellStyle name="集計 3 12 6 2 7" xfId="28782"/>
    <cellStyle name="集計 3 12 6 2 7 2" xfId="28783"/>
    <cellStyle name="集計 3 12 6 2 7 3" xfId="28784"/>
    <cellStyle name="集計 3 12 6 2 8" xfId="28785"/>
    <cellStyle name="集計 3 12 6 2 9" xfId="28786"/>
    <cellStyle name="集計 3 12 6 3" xfId="28787"/>
    <cellStyle name="集計 3 12 6 3 2" xfId="28788"/>
    <cellStyle name="集計 3 12 6 3 2 2" xfId="28789"/>
    <cellStyle name="集計 3 12 6 3 2 2 2" xfId="28790"/>
    <cellStyle name="集計 3 12 6 3 2 2 3" xfId="28791"/>
    <cellStyle name="集計 3 12 6 3 2 3" xfId="28792"/>
    <cellStyle name="集計 3 12 6 3 2 3 2" xfId="28793"/>
    <cellStyle name="集計 3 12 6 3 2 3 3" xfId="28794"/>
    <cellStyle name="集計 3 12 6 3 2 4" xfId="28795"/>
    <cellStyle name="集計 3 12 6 3 2 4 2" xfId="28796"/>
    <cellStyle name="集計 3 12 6 3 2 4 3" xfId="28797"/>
    <cellStyle name="集計 3 12 6 3 2 5" xfId="28798"/>
    <cellStyle name="集計 3 12 6 3 2 6" xfId="28799"/>
    <cellStyle name="集計 3 12 6 3 3" xfId="28800"/>
    <cellStyle name="集計 3 12 6 3 3 2" xfId="28801"/>
    <cellStyle name="集計 3 12 6 3 3 3" xfId="28802"/>
    <cellStyle name="集計 3 12 6 3 4" xfId="28803"/>
    <cellStyle name="集計 3 12 6 3 4 2" xfId="28804"/>
    <cellStyle name="集計 3 12 6 3 4 3" xfId="28805"/>
    <cellStyle name="集計 3 12 6 3 5" xfId="28806"/>
    <cellStyle name="集計 3 12 6 3 5 2" xfId="28807"/>
    <cellStyle name="集計 3 12 6 3 5 3" xfId="28808"/>
    <cellStyle name="集計 3 12 6 3 6" xfId="28809"/>
    <cellStyle name="集計 3 12 6 3 7" xfId="28810"/>
    <cellStyle name="集計 3 12 6 4" xfId="28811"/>
    <cellStyle name="集計 3 12 6 4 2" xfId="28812"/>
    <cellStyle name="集計 3 12 6 4 2 2" xfId="28813"/>
    <cellStyle name="集計 3 12 6 4 2 2 2" xfId="28814"/>
    <cellStyle name="集計 3 12 6 4 2 2 3" xfId="28815"/>
    <cellStyle name="集計 3 12 6 4 2 3" xfId="28816"/>
    <cellStyle name="集計 3 12 6 4 2 3 2" xfId="28817"/>
    <cellStyle name="集計 3 12 6 4 2 3 3" xfId="28818"/>
    <cellStyle name="集計 3 12 6 4 2 4" xfId="28819"/>
    <cellStyle name="集計 3 12 6 4 2 4 2" xfId="28820"/>
    <cellStyle name="集計 3 12 6 4 2 4 3" xfId="28821"/>
    <cellStyle name="集計 3 12 6 4 2 5" xfId="28822"/>
    <cellStyle name="集計 3 12 6 4 2 6" xfId="28823"/>
    <cellStyle name="集計 3 12 6 4 3" xfId="28824"/>
    <cellStyle name="集計 3 12 6 4 3 2" xfId="28825"/>
    <cellStyle name="集計 3 12 6 4 3 3" xfId="28826"/>
    <cellStyle name="集計 3 12 6 4 4" xfId="28827"/>
    <cellStyle name="集計 3 12 6 4 4 2" xfId="28828"/>
    <cellStyle name="集計 3 12 6 4 4 3" xfId="28829"/>
    <cellStyle name="集計 3 12 6 4 5" xfId="28830"/>
    <cellStyle name="集計 3 12 6 4 5 2" xfId="28831"/>
    <cellStyle name="集計 3 12 6 4 5 3" xfId="28832"/>
    <cellStyle name="集計 3 12 6 4 6" xfId="28833"/>
    <cellStyle name="集計 3 12 6 4 7" xfId="28834"/>
    <cellStyle name="集計 3 12 6 5" xfId="28835"/>
    <cellStyle name="集計 3 12 6 5 2" xfId="28836"/>
    <cellStyle name="集計 3 12 6 5 2 2" xfId="28837"/>
    <cellStyle name="集計 3 12 6 5 2 3" xfId="28838"/>
    <cellStyle name="集計 3 12 6 5 3" xfId="28839"/>
    <cellStyle name="集計 3 12 6 5 3 2" xfId="28840"/>
    <cellStyle name="集計 3 12 6 5 3 3" xfId="28841"/>
    <cellStyle name="集計 3 12 6 5 4" xfId="28842"/>
    <cellStyle name="集計 3 12 6 5 4 2" xfId="28843"/>
    <cellStyle name="集計 3 12 6 5 4 3" xfId="28844"/>
    <cellStyle name="集計 3 12 6 5 5" xfId="28845"/>
    <cellStyle name="集計 3 12 6 5 6" xfId="28846"/>
    <cellStyle name="集計 3 12 6 6" xfId="28847"/>
    <cellStyle name="集計 3 12 6 6 2" xfId="28848"/>
    <cellStyle name="集計 3 12 6 6 3" xfId="28849"/>
    <cellStyle name="集計 3 12 6 7" xfId="28850"/>
    <cellStyle name="集計 3 12 6 7 2" xfId="28851"/>
    <cellStyle name="集計 3 12 6 7 3" xfId="28852"/>
    <cellStyle name="集計 3 12 6 8" xfId="28853"/>
    <cellStyle name="集計 3 12 6 8 2" xfId="28854"/>
    <cellStyle name="集計 3 12 6 8 3" xfId="28855"/>
    <cellStyle name="集計 3 12 6 9" xfId="28856"/>
    <cellStyle name="集計 3 12 7" xfId="28857"/>
    <cellStyle name="集計 3 12 7 2" xfId="28858"/>
    <cellStyle name="集計 3 12 7 2 2" xfId="28859"/>
    <cellStyle name="集計 3 12 7 2 2 2" xfId="28860"/>
    <cellStyle name="集計 3 12 7 2 2 3" xfId="28861"/>
    <cellStyle name="集計 3 12 7 2 3" xfId="28862"/>
    <cellStyle name="集計 3 12 7 2 3 2" xfId="28863"/>
    <cellStyle name="集計 3 12 7 2 3 3" xfId="28864"/>
    <cellStyle name="集計 3 12 7 2 4" xfId="28865"/>
    <cellStyle name="集計 3 12 7 2 4 2" xfId="28866"/>
    <cellStyle name="集計 3 12 7 2 4 3" xfId="28867"/>
    <cellStyle name="集計 3 12 7 2 5" xfId="28868"/>
    <cellStyle name="集計 3 12 7 2 6" xfId="28869"/>
    <cellStyle name="集計 3 12 7 3" xfId="28870"/>
    <cellStyle name="集計 3 12 7 3 2" xfId="28871"/>
    <cellStyle name="集計 3 12 7 3 3" xfId="28872"/>
    <cellStyle name="集計 3 12 7 4" xfId="28873"/>
    <cellStyle name="集計 3 12 7 4 2" xfId="28874"/>
    <cellStyle name="集計 3 12 7 4 3" xfId="28875"/>
    <cellStyle name="集計 3 12 7 5" xfId="28876"/>
    <cellStyle name="集計 3 12 7 5 2" xfId="28877"/>
    <cellStyle name="集計 3 12 7 5 3" xfId="28878"/>
    <cellStyle name="集計 3 12 7 6" xfId="28879"/>
    <cellStyle name="集計 3 12 7 7" xfId="28880"/>
    <cellStyle name="集計 3 12 8" xfId="28881"/>
    <cellStyle name="集計 3 12 8 2" xfId="28882"/>
    <cellStyle name="集計 3 12 8 2 2" xfId="28883"/>
    <cellStyle name="集計 3 12 8 2 2 2" xfId="28884"/>
    <cellStyle name="集計 3 12 8 2 2 3" xfId="28885"/>
    <cellStyle name="集計 3 12 8 2 3" xfId="28886"/>
    <cellStyle name="集計 3 12 8 2 3 2" xfId="28887"/>
    <cellStyle name="集計 3 12 8 2 3 3" xfId="28888"/>
    <cellStyle name="集計 3 12 8 2 4" xfId="28889"/>
    <cellStyle name="集計 3 12 8 2 4 2" xfId="28890"/>
    <cellStyle name="集計 3 12 8 2 4 3" xfId="28891"/>
    <cellStyle name="集計 3 12 8 2 5" xfId="28892"/>
    <cellStyle name="集計 3 12 8 2 6" xfId="28893"/>
    <cellStyle name="集計 3 12 8 3" xfId="28894"/>
    <cellStyle name="集計 3 12 8 3 2" xfId="28895"/>
    <cellStyle name="集計 3 12 8 3 3" xfId="28896"/>
    <cellStyle name="集計 3 12 8 4" xfId="28897"/>
    <cellStyle name="集計 3 12 8 4 2" xfId="28898"/>
    <cellStyle name="集計 3 12 8 4 3" xfId="28899"/>
    <cellStyle name="集計 3 12 8 5" xfId="28900"/>
    <cellStyle name="集計 3 12 8 5 2" xfId="28901"/>
    <cellStyle name="集計 3 12 8 5 3" xfId="28902"/>
    <cellStyle name="集計 3 12 8 6" xfId="28903"/>
    <cellStyle name="集計 3 12 8 7" xfId="28904"/>
    <cellStyle name="集計 3 12 9" xfId="28905"/>
    <cellStyle name="集計 3 12 9 2" xfId="28906"/>
    <cellStyle name="集計 3 12 9 2 2" xfId="28907"/>
    <cellStyle name="集計 3 12 9 2 3" xfId="28908"/>
    <cellStyle name="集計 3 12 9 3" xfId="28909"/>
    <cellStyle name="集計 3 12 9 3 2" xfId="28910"/>
    <cellStyle name="集計 3 12 9 3 3" xfId="28911"/>
    <cellStyle name="集計 3 12 9 4" xfId="28912"/>
    <cellStyle name="集計 3 12 9 4 2" xfId="28913"/>
    <cellStyle name="集計 3 12 9 4 3" xfId="28914"/>
    <cellStyle name="集計 3 12 9 5" xfId="28915"/>
    <cellStyle name="集計 3 12 9 6" xfId="28916"/>
    <cellStyle name="集計 3 2" xfId="28917"/>
    <cellStyle name="集計 3 2 10" xfId="28918"/>
    <cellStyle name="集計 3 2 10 2" xfId="28919"/>
    <cellStyle name="集計 3 2 10 3" xfId="28920"/>
    <cellStyle name="集計 3 2 11" xfId="28921"/>
    <cellStyle name="集計 3 2 11 2" xfId="28922"/>
    <cellStyle name="集計 3 2 11 3" xfId="28923"/>
    <cellStyle name="集計 3 2 12" xfId="28924"/>
    <cellStyle name="集計 3 2 12 2" xfId="28925"/>
    <cellStyle name="集計 3 2 12 3" xfId="28926"/>
    <cellStyle name="集計 3 2 13" xfId="28927"/>
    <cellStyle name="集計 3 2 14" xfId="28928"/>
    <cellStyle name="集計 3 2 2" xfId="28929"/>
    <cellStyle name="集計 3 2 2 10" xfId="28930"/>
    <cellStyle name="集計 3 2 2 2" xfId="28931"/>
    <cellStyle name="集計 3 2 2 2 10" xfId="28932"/>
    <cellStyle name="集計 3 2 2 2 2" xfId="28933"/>
    <cellStyle name="集計 3 2 2 2 2 2" xfId="28934"/>
    <cellStyle name="集計 3 2 2 2 2 2 2" xfId="28935"/>
    <cellStyle name="集計 3 2 2 2 2 2 2 2" xfId="28936"/>
    <cellStyle name="集計 3 2 2 2 2 2 2 2 2" xfId="28937"/>
    <cellStyle name="集計 3 2 2 2 2 2 2 2 3" xfId="28938"/>
    <cellStyle name="集計 3 2 2 2 2 2 2 3" xfId="28939"/>
    <cellStyle name="集計 3 2 2 2 2 2 2 3 2" xfId="28940"/>
    <cellStyle name="集計 3 2 2 2 2 2 2 3 3" xfId="28941"/>
    <cellStyle name="集計 3 2 2 2 2 2 2 4" xfId="28942"/>
    <cellStyle name="集計 3 2 2 2 2 2 2 4 2" xfId="28943"/>
    <cellStyle name="集計 3 2 2 2 2 2 2 4 3" xfId="28944"/>
    <cellStyle name="集計 3 2 2 2 2 2 2 5" xfId="28945"/>
    <cellStyle name="集計 3 2 2 2 2 2 2 6" xfId="28946"/>
    <cellStyle name="集計 3 2 2 2 2 2 3" xfId="28947"/>
    <cellStyle name="集計 3 2 2 2 2 2 3 2" xfId="28948"/>
    <cellStyle name="集計 3 2 2 2 2 2 3 3" xfId="28949"/>
    <cellStyle name="集計 3 2 2 2 2 2 4" xfId="28950"/>
    <cellStyle name="集計 3 2 2 2 2 2 4 2" xfId="28951"/>
    <cellStyle name="集計 3 2 2 2 2 2 4 3" xfId="28952"/>
    <cellStyle name="集計 3 2 2 2 2 2 5" xfId="28953"/>
    <cellStyle name="集計 3 2 2 2 2 2 5 2" xfId="28954"/>
    <cellStyle name="集計 3 2 2 2 2 2 5 3" xfId="28955"/>
    <cellStyle name="集計 3 2 2 2 2 2 6" xfId="28956"/>
    <cellStyle name="集計 3 2 2 2 2 2 7" xfId="28957"/>
    <cellStyle name="集計 3 2 2 2 2 3" xfId="28958"/>
    <cellStyle name="集計 3 2 2 2 2 3 2" xfId="28959"/>
    <cellStyle name="集計 3 2 2 2 2 3 2 2" xfId="28960"/>
    <cellStyle name="集計 3 2 2 2 2 3 2 2 2" xfId="28961"/>
    <cellStyle name="集計 3 2 2 2 2 3 2 2 3" xfId="28962"/>
    <cellStyle name="集計 3 2 2 2 2 3 2 3" xfId="28963"/>
    <cellStyle name="集計 3 2 2 2 2 3 2 3 2" xfId="28964"/>
    <cellStyle name="集計 3 2 2 2 2 3 2 3 3" xfId="28965"/>
    <cellStyle name="集計 3 2 2 2 2 3 2 4" xfId="28966"/>
    <cellStyle name="集計 3 2 2 2 2 3 2 4 2" xfId="28967"/>
    <cellStyle name="集計 3 2 2 2 2 3 2 4 3" xfId="28968"/>
    <cellStyle name="集計 3 2 2 2 2 3 2 5" xfId="28969"/>
    <cellStyle name="集計 3 2 2 2 2 3 2 6" xfId="28970"/>
    <cellStyle name="集計 3 2 2 2 2 3 3" xfId="28971"/>
    <cellStyle name="集計 3 2 2 2 2 3 3 2" xfId="28972"/>
    <cellStyle name="集計 3 2 2 2 2 3 3 3" xfId="28973"/>
    <cellStyle name="集計 3 2 2 2 2 3 4" xfId="28974"/>
    <cellStyle name="集計 3 2 2 2 2 3 4 2" xfId="28975"/>
    <cellStyle name="集計 3 2 2 2 2 3 4 3" xfId="28976"/>
    <cellStyle name="集計 3 2 2 2 2 3 5" xfId="28977"/>
    <cellStyle name="集計 3 2 2 2 2 3 5 2" xfId="28978"/>
    <cellStyle name="集計 3 2 2 2 2 3 5 3" xfId="28979"/>
    <cellStyle name="集計 3 2 2 2 2 3 6" xfId="28980"/>
    <cellStyle name="集計 3 2 2 2 2 3 7" xfId="28981"/>
    <cellStyle name="集計 3 2 2 2 2 4" xfId="28982"/>
    <cellStyle name="集計 3 2 2 2 2 4 2" xfId="28983"/>
    <cellStyle name="集計 3 2 2 2 2 4 2 2" xfId="28984"/>
    <cellStyle name="集計 3 2 2 2 2 4 2 3" xfId="28985"/>
    <cellStyle name="集計 3 2 2 2 2 4 3" xfId="28986"/>
    <cellStyle name="集計 3 2 2 2 2 4 3 2" xfId="28987"/>
    <cellStyle name="集計 3 2 2 2 2 4 3 3" xfId="28988"/>
    <cellStyle name="集計 3 2 2 2 2 4 4" xfId="28989"/>
    <cellStyle name="集計 3 2 2 2 2 4 4 2" xfId="28990"/>
    <cellStyle name="集計 3 2 2 2 2 4 4 3" xfId="28991"/>
    <cellStyle name="集計 3 2 2 2 2 4 5" xfId="28992"/>
    <cellStyle name="集計 3 2 2 2 2 4 6" xfId="28993"/>
    <cellStyle name="集計 3 2 2 2 2 5" xfId="28994"/>
    <cellStyle name="集計 3 2 2 2 2 5 2" xfId="28995"/>
    <cellStyle name="集計 3 2 2 2 2 5 3" xfId="28996"/>
    <cellStyle name="集計 3 2 2 2 2 6" xfId="28997"/>
    <cellStyle name="集計 3 2 2 2 2 6 2" xfId="28998"/>
    <cellStyle name="集計 3 2 2 2 2 6 3" xfId="28999"/>
    <cellStyle name="集計 3 2 2 2 2 7" xfId="29000"/>
    <cellStyle name="集計 3 2 2 2 2 7 2" xfId="29001"/>
    <cellStyle name="集計 3 2 2 2 2 7 3" xfId="29002"/>
    <cellStyle name="集計 3 2 2 2 2 8" xfId="29003"/>
    <cellStyle name="集計 3 2 2 2 2 9" xfId="29004"/>
    <cellStyle name="集計 3 2 2 2 3" xfId="29005"/>
    <cellStyle name="集計 3 2 2 2 3 2" xfId="29006"/>
    <cellStyle name="集計 3 2 2 2 3 2 2" xfId="29007"/>
    <cellStyle name="集計 3 2 2 2 3 2 2 2" xfId="29008"/>
    <cellStyle name="集計 3 2 2 2 3 2 2 3" xfId="29009"/>
    <cellStyle name="集計 3 2 2 2 3 2 3" xfId="29010"/>
    <cellStyle name="集計 3 2 2 2 3 2 3 2" xfId="29011"/>
    <cellStyle name="集計 3 2 2 2 3 2 3 3" xfId="29012"/>
    <cellStyle name="集計 3 2 2 2 3 2 4" xfId="29013"/>
    <cellStyle name="集計 3 2 2 2 3 2 4 2" xfId="29014"/>
    <cellStyle name="集計 3 2 2 2 3 2 4 3" xfId="29015"/>
    <cellStyle name="集計 3 2 2 2 3 2 5" xfId="29016"/>
    <cellStyle name="集計 3 2 2 2 3 2 6" xfId="29017"/>
    <cellStyle name="集計 3 2 2 2 3 3" xfId="29018"/>
    <cellStyle name="集計 3 2 2 2 3 3 2" xfId="29019"/>
    <cellStyle name="集計 3 2 2 2 3 3 3" xfId="29020"/>
    <cellStyle name="集計 3 2 2 2 3 4" xfId="29021"/>
    <cellStyle name="集計 3 2 2 2 3 4 2" xfId="29022"/>
    <cellStyle name="集計 3 2 2 2 3 4 3" xfId="29023"/>
    <cellStyle name="集計 3 2 2 2 3 5" xfId="29024"/>
    <cellStyle name="集計 3 2 2 2 3 5 2" xfId="29025"/>
    <cellStyle name="集計 3 2 2 2 3 5 3" xfId="29026"/>
    <cellStyle name="集計 3 2 2 2 3 6" xfId="29027"/>
    <cellStyle name="集計 3 2 2 2 3 7" xfId="29028"/>
    <cellStyle name="集計 3 2 2 2 4" xfId="29029"/>
    <cellStyle name="集計 3 2 2 2 4 2" xfId="29030"/>
    <cellStyle name="集計 3 2 2 2 4 2 2" xfId="29031"/>
    <cellStyle name="集計 3 2 2 2 4 2 2 2" xfId="29032"/>
    <cellStyle name="集計 3 2 2 2 4 2 2 3" xfId="29033"/>
    <cellStyle name="集計 3 2 2 2 4 2 3" xfId="29034"/>
    <cellStyle name="集計 3 2 2 2 4 2 3 2" xfId="29035"/>
    <cellStyle name="集計 3 2 2 2 4 2 3 3" xfId="29036"/>
    <cellStyle name="集計 3 2 2 2 4 2 4" xfId="29037"/>
    <cellStyle name="集計 3 2 2 2 4 2 4 2" xfId="29038"/>
    <cellStyle name="集計 3 2 2 2 4 2 4 3" xfId="29039"/>
    <cellStyle name="集計 3 2 2 2 4 2 5" xfId="29040"/>
    <cellStyle name="集計 3 2 2 2 4 2 6" xfId="29041"/>
    <cellStyle name="集計 3 2 2 2 4 3" xfId="29042"/>
    <cellStyle name="集計 3 2 2 2 4 3 2" xfId="29043"/>
    <cellStyle name="集計 3 2 2 2 4 3 3" xfId="29044"/>
    <cellStyle name="集計 3 2 2 2 4 4" xfId="29045"/>
    <cellStyle name="集計 3 2 2 2 4 4 2" xfId="29046"/>
    <cellStyle name="集計 3 2 2 2 4 4 3" xfId="29047"/>
    <cellStyle name="集計 3 2 2 2 4 5" xfId="29048"/>
    <cellStyle name="集計 3 2 2 2 4 5 2" xfId="29049"/>
    <cellStyle name="集計 3 2 2 2 4 5 3" xfId="29050"/>
    <cellStyle name="集計 3 2 2 2 4 6" xfId="29051"/>
    <cellStyle name="集計 3 2 2 2 4 7" xfId="29052"/>
    <cellStyle name="集計 3 2 2 2 5" xfId="29053"/>
    <cellStyle name="集計 3 2 2 2 5 2" xfId="29054"/>
    <cellStyle name="集計 3 2 2 2 5 2 2" xfId="29055"/>
    <cellStyle name="集計 3 2 2 2 5 2 3" xfId="29056"/>
    <cellStyle name="集計 3 2 2 2 5 3" xfId="29057"/>
    <cellStyle name="集計 3 2 2 2 5 3 2" xfId="29058"/>
    <cellStyle name="集計 3 2 2 2 5 3 3" xfId="29059"/>
    <cellStyle name="集計 3 2 2 2 5 4" xfId="29060"/>
    <cellStyle name="集計 3 2 2 2 5 4 2" xfId="29061"/>
    <cellStyle name="集計 3 2 2 2 5 4 3" xfId="29062"/>
    <cellStyle name="集計 3 2 2 2 5 5" xfId="29063"/>
    <cellStyle name="集計 3 2 2 2 5 6" xfId="29064"/>
    <cellStyle name="集計 3 2 2 2 6" xfId="29065"/>
    <cellStyle name="集計 3 2 2 2 6 2" xfId="29066"/>
    <cellStyle name="集計 3 2 2 2 6 3" xfId="29067"/>
    <cellStyle name="集計 3 2 2 2 7" xfId="29068"/>
    <cellStyle name="集計 3 2 2 2 7 2" xfId="29069"/>
    <cellStyle name="集計 3 2 2 2 7 3" xfId="29070"/>
    <cellStyle name="集計 3 2 2 2 8" xfId="29071"/>
    <cellStyle name="集計 3 2 2 2 8 2" xfId="29072"/>
    <cellStyle name="集計 3 2 2 2 8 3" xfId="29073"/>
    <cellStyle name="集計 3 2 2 2 9" xfId="29074"/>
    <cellStyle name="集計 3 2 2 3" xfId="29075"/>
    <cellStyle name="集計 3 2 2 3 2" xfId="29076"/>
    <cellStyle name="集計 3 2 2 3 2 2" xfId="29077"/>
    <cellStyle name="集計 3 2 2 3 2 2 2" xfId="29078"/>
    <cellStyle name="集計 3 2 2 3 2 2 3" xfId="29079"/>
    <cellStyle name="集計 3 2 2 3 2 3" xfId="29080"/>
    <cellStyle name="集計 3 2 2 3 2 3 2" xfId="29081"/>
    <cellStyle name="集計 3 2 2 3 2 3 3" xfId="29082"/>
    <cellStyle name="集計 3 2 2 3 2 4" xfId="29083"/>
    <cellStyle name="集計 3 2 2 3 2 4 2" xfId="29084"/>
    <cellStyle name="集計 3 2 2 3 2 4 3" xfId="29085"/>
    <cellStyle name="集計 3 2 2 3 2 5" xfId="29086"/>
    <cellStyle name="集計 3 2 2 3 2 6" xfId="29087"/>
    <cellStyle name="集計 3 2 2 3 3" xfId="29088"/>
    <cellStyle name="集計 3 2 2 3 3 2" xfId="29089"/>
    <cellStyle name="集計 3 2 2 3 3 3" xfId="29090"/>
    <cellStyle name="集計 3 2 2 3 4" xfId="29091"/>
    <cellStyle name="集計 3 2 2 3 4 2" xfId="29092"/>
    <cellStyle name="集計 3 2 2 3 4 3" xfId="29093"/>
    <cellStyle name="集計 3 2 2 3 5" xfId="29094"/>
    <cellStyle name="集計 3 2 2 3 5 2" xfId="29095"/>
    <cellStyle name="集計 3 2 2 3 5 3" xfId="29096"/>
    <cellStyle name="集計 3 2 2 3 6" xfId="29097"/>
    <cellStyle name="集計 3 2 2 3 7" xfId="29098"/>
    <cellStyle name="集計 3 2 2 4" xfId="29099"/>
    <cellStyle name="集計 3 2 2 4 2" xfId="29100"/>
    <cellStyle name="集計 3 2 2 4 2 2" xfId="29101"/>
    <cellStyle name="集計 3 2 2 4 2 2 2" xfId="29102"/>
    <cellStyle name="集計 3 2 2 4 2 2 3" xfId="29103"/>
    <cellStyle name="集計 3 2 2 4 2 3" xfId="29104"/>
    <cellStyle name="集計 3 2 2 4 2 3 2" xfId="29105"/>
    <cellStyle name="集計 3 2 2 4 2 3 3" xfId="29106"/>
    <cellStyle name="集計 3 2 2 4 2 4" xfId="29107"/>
    <cellStyle name="集計 3 2 2 4 2 4 2" xfId="29108"/>
    <cellStyle name="集計 3 2 2 4 2 4 3" xfId="29109"/>
    <cellStyle name="集計 3 2 2 4 2 5" xfId="29110"/>
    <cellStyle name="集計 3 2 2 4 2 6" xfId="29111"/>
    <cellStyle name="集計 3 2 2 4 3" xfId="29112"/>
    <cellStyle name="集計 3 2 2 4 3 2" xfId="29113"/>
    <cellStyle name="集計 3 2 2 4 3 3" xfId="29114"/>
    <cellStyle name="集計 3 2 2 4 4" xfId="29115"/>
    <cellStyle name="集計 3 2 2 4 4 2" xfId="29116"/>
    <cellStyle name="集計 3 2 2 4 4 3" xfId="29117"/>
    <cellStyle name="集計 3 2 2 4 5" xfId="29118"/>
    <cellStyle name="集計 3 2 2 4 5 2" xfId="29119"/>
    <cellStyle name="集計 3 2 2 4 5 3" xfId="29120"/>
    <cellStyle name="集計 3 2 2 4 6" xfId="29121"/>
    <cellStyle name="集計 3 2 2 4 7" xfId="29122"/>
    <cellStyle name="集計 3 2 2 5" xfId="29123"/>
    <cellStyle name="集計 3 2 2 5 2" xfId="29124"/>
    <cellStyle name="集計 3 2 2 5 2 2" xfId="29125"/>
    <cellStyle name="集計 3 2 2 5 2 3" xfId="29126"/>
    <cellStyle name="集計 3 2 2 5 3" xfId="29127"/>
    <cellStyle name="集計 3 2 2 5 3 2" xfId="29128"/>
    <cellStyle name="集計 3 2 2 5 3 3" xfId="29129"/>
    <cellStyle name="集計 3 2 2 5 4" xfId="29130"/>
    <cellStyle name="集計 3 2 2 5 4 2" xfId="29131"/>
    <cellStyle name="集計 3 2 2 5 4 3" xfId="29132"/>
    <cellStyle name="集計 3 2 2 5 5" xfId="29133"/>
    <cellStyle name="集計 3 2 2 5 6" xfId="29134"/>
    <cellStyle name="集計 3 2 2 6" xfId="29135"/>
    <cellStyle name="集計 3 2 2 6 2" xfId="29136"/>
    <cellStyle name="集計 3 2 2 6 3" xfId="29137"/>
    <cellStyle name="集計 3 2 2 7" xfId="29138"/>
    <cellStyle name="集計 3 2 2 7 2" xfId="29139"/>
    <cellStyle name="集計 3 2 2 7 3" xfId="29140"/>
    <cellStyle name="集計 3 2 2 8" xfId="29141"/>
    <cellStyle name="集計 3 2 2 8 2" xfId="29142"/>
    <cellStyle name="集計 3 2 2 8 3" xfId="29143"/>
    <cellStyle name="集計 3 2 2 9" xfId="29144"/>
    <cellStyle name="集計 3 2 3" xfId="29145"/>
    <cellStyle name="集計 3 2 3 10" xfId="29146"/>
    <cellStyle name="集計 3 2 3 2" xfId="29147"/>
    <cellStyle name="集計 3 2 3 2 10" xfId="29148"/>
    <cellStyle name="集計 3 2 3 2 2" xfId="29149"/>
    <cellStyle name="集計 3 2 3 2 2 2" xfId="29150"/>
    <cellStyle name="集計 3 2 3 2 2 2 2" xfId="29151"/>
    <cellStyle name="集計 3 2 3 2 2 2 2 2" xfId="29152"/>
    <cellStyle name="集計 3 2 3 2 2 2 2 2 2" xfId="29153"/>
    <cellStyle name="集計 3 2 3 2 2 2 2 2 3" xfId="29154"/>
    <cellStyle name="集計 3 2 3 2 2 2 2 3" xfId="29155"/>
    <cellStyle name="集計 3 2 3 2 2 2 2 3 2" xfId="29156"/>
    <cellStyle name="集計 3 2 3 2 2 2 2 3 3" xfId="29157"/>
    <cellStyle name="集計 3 2 3 2 2 2 2 4" xfId="29158"/>
    <cellStyle name="集計 3 2 3 2 2 2 2 4 2" xfId="29159"/>
    <cellStyle name="集計 3 2 3 2 2 2 2 4 3" xfId="29160"/>
    <cellStyle name="集計 3 2 3 2 2 2 2 5" xfId="29161"/>
    <cellStyle name="集計 3 2 3 2 2 2 2 6" xfId="29162"/>
    <cellStyle name="集計 3 2 3 2 2 2 3" xfId="29163"/>
    <cellStyle name="集計 3 2 3 2 2 2 3 2" xfId="29164"/>
    <cellStyle name="集計 3 2 3 2 2 2 3 3" xfId="29165"/>
    <cellStyle name="集計 3 2 3 2 2 2 4" xfId="29166"/>
    <cellStyle name="集計 3 2 3 2 2 2 4 2" xfId="29167"/>
    <cellStyle name="集計 3 2 3 2 2 2 4 3" xfId="29168"/>
    <cellStyle name="集計 3 2 3 2 2 2 5" xfId="29169"/>
    <cellStyle name="集計 3 2 3 2 2 2 5 2" xfId="29170"/>
    <cellStyle name="集計 3 2 3 2 2 2 5 3" xfId="29171"/>
    <cellStyle name="集計 3 2 3 2 2 2 6" xfId="29172"/>
    <cellStyle name="集計 3 2 3 2 2 2 7" xfId="29173"/>
    <cellStyle name="集計 3 2 3 2 2 3" xfId="29174"/>
    <cellStyle name="集計 3 2 3 2 2 3 2" xfId="29175"/>
    <cellStyle name="集計 3 2 3 2 2 3 2 2" xfId="29176"/>
    <cellStyle name="集計 3 2 3 2 2 3 2 2 2" xfId="29177"/>
    <cellStyle name="集計 3 2 3 2 2 3 2 2 3" xfId="29178"/>
    <cellStyle name="集計 3 2 3 2 2 3 2 3" xfId="29179"/>
    <cellStyle name="集計 3 2 3 2 2 3 2 3 2" xfId="29180"/>
    <cellStyle name="集計 3 2 3 2 2 3 2 3 3" xfId="29181"/>
    <cellStyle name="集計 3 2 3 2 2 3 2 4" xfId="29182"/>
    <cellStyle name="集計 3 2 3 2 2 3 2 4 2" xfId="29183"/>
    <cellStyle name="集計 3 2 3 2 2 3 2 4 3" xfId="29184"/>
    <cellStyle name="集計 3 2 3 2 2 3 2 5" xfId="29185"/>
    <cellStyle name="集計 3 2 3 2 2 3 2 6" xfId="29186"/>
    <cellStyle name="集計 3 2 3 2 2 3 3" xfId="29187"/>
    <cellStyle name="集計 3 2 3 2 2 3 3 2" xfId="29188"/>
    <cellStyle name="集計 3 2 3 2 2 3 3 3" xfId="29189"/>
    <cellStyle name="集計 3 2 3 2 2 3 4" xfId="29190"/>
    <cellStyle name="集計 3 2 3 2 2 3 4 2" xfId="29191"/>
    <cellStyle name="集計 3 2 3 2 2 3 4 3" xfId="29192"/>
    <cellStyle name="集計 3 2 3 2 2 3 5" xfId="29193"/>
    <cellStyle name="集計 3 2 3 2 2 3 5 2" xfId="29194"/>
    <cellStyle name="集計 3 2 3 2 2 3 5 3" xfId="29195"/>
    <cellStyle name="集計 3 2 3 2 2 3 6" xfId="29196"/>
    <cellStyle name="集計 3 2 3 2 2 3 7" xfId="29197"/>
    <cellStyle name="集計 3 2 3 2 2 4" xfId="29198"/>
    <cellStyle name="集計 3 2 3 2 2 4 2" xfId="29199"/>
    <cellStyle name="集計 3 2 3 2 2 4 2 2" xfId="29200"/>
    <cellStyle name="集計 3 2 3 2 2 4 2 3" xfId="29201"/>
    <cellStyle name="集計 3 2 3 2 2 4 3" xfId="29202"/>
    <cellStyle name="集計 3 2 3 2 2 4 3 2" xfId="29203"/>
    <cellStyle name="集計 3 2 3 2 2 4 3 3" xfId="29204"/>
    <cellStyle name="集計 3 2 3 2 2 4 4" xfId="29205"/>
    <cellStyle name="集計 3 2 3 2 2 4 4 2" xfId="29206"/>
    <cellStyle name="集計 3 2 3 2 2 4 4 3" xfId="29207"/>
    <cellStyle name="集計 3 2 3 2 2 4 5" xfId="29208"/>
    <cellStyle name="集計 3 2 3 2 2 4 6" xfId="29209"/>
    <cellStyle name="集計 3 2 3 2 2 5" xfId="29210"/>
    <cellStyle name="集計 3 2 3 2 2 5 2" xfId="29211"/>
    <cellStyle name="集計 3 2 3 2 2 5 3" xfId="29212"/>
    <cellStyle name="集計 3 2 3 2 2 6" xfId="29213"/>
    <cellStyle name="集計 3 2 3 2 2 6 2" xfId="29214"/>
    <cellStyle name="集計 3 2 3 2 2 6 3" xfId="29215"/>
    <cellStyle name="集計 3 2 3 2 2 7" xfId="29216"/>
    <cellStyle name="集計 3 2 3 2 2 7 2" xfId="29217"/>
    <cellStyle name="集計 3 2 3 2 2 7 3" xfId="29218"/>
    <cellStyle name="集計 3 2 3 2 2 8" xfId="29219"/>
    <cellStyle name="集計 3 2 3 2 2 9" xfId="29220"/>
    <cellStyle name="集計 3 2 3 2 3" xfId="29221"/>
    <cellStyle name="集計 3 2 3 2 3 2" xfId="29222"/>
    <cellStyle name="集計 3 2 3 2 3 2 2" xfId="29223"/>
    <cellStyle name="集計 3 2 3 2 3 2 2 2" xfId="29224"/>
    <cellStyle name="集計 3 2 3 2 3 2 2 3" xfId="29225"/>
    <cellStyle name="集計 3 2 3 2 3 2 3" xfId="29226"/>
    <cellStyle name="集計 3 2 3 2 3 2 3 2" xfId="29227"/>
    <cellStyle name="集計 3 2 3 2 3 2 3 3" xfId="29228"/>
    <cellStyle name="集計 3 2 3 2 3 2 4" xfId="29229"/>
    <cellStyle name="集計 3 2 3 2 3 2 4 2" xfId="29230"/>
    <cellStyle name="集計 3 2 3 2 3 2 4 3" xfId="29231"/>
    <cellStyle name="集計 3 2 3 2 3 2 5" xfId="29232"/>
    <cellStyle name="集計 3 2 3 2 3 2 6" xfId="29233"/>
    <cellStyle name="集計 3 2 3 2 3 3" xfId="29234"/>
    <cellStyle name="集計 3 2 3 2 3 3 2" xfId="29235"/>
    <cellStyle name="集計 3 2 3 2 3 3 3" xfId="29236"/>
    <cellStyle name="集計 3 2 3 2 3 4" xfId="29237"/>
    <cellStyle name="集計 3 2 3 2 3 4 2" xfId="29238"/>
    <cellStyle name="集計 3 2 3 2 3 4 3" xfId="29239"/>
    <cellStyle name="集計 3 2 3 2 3 5" xfId="29240"/>
    <cellStyle name="集計 3 2 3 2 3 5 2" xfId="29241"/>
    <cellStyle name="集計 3 2 3 2 3 5 3" xfId="29242"/>
    <cellStyle name="集計 3 2 3 2 3 6" xfId="29243"/>
    <cellStyle name="集計 3 2 3 2 3 7" xfId="29244"/>
    <cellStyle name="集計 3 2 3 2 4" xfId="29245"/>
    <cellStyle name="集計 3 2 3 2 4 2" xfId="29246"/>
    <cellStyle name="集計 3 2 3 2 4 2 2" xfId="29247"/>
    <cellStyle name="集計 3 2 3 2 4 2 2 2" xfId="29248"/>
    <cellStyle name="集計 3 2 3 2 4 2 2 3" xfId="29249"/>
    <cellStyle name="集計 3 2 3 2 4 2 3" xfId="29250"/>
    <cellStyle name="集計 3 2 3 2 4 2 3 2" xfId="29251"/>
    <cellStyle name="集計 3 2 3 2 4 2 3 3" xfId="29252"/>
    <cellStyle name="集計 3 2 3 2 4 2 4" xfId="29253"/>
    <cellStyle name="集計 3 2 3 2 4 2 4 2" xfId="29254"/>
    <cellStyle name="集計 3 2 3 2 4 2 4 3" xfId="29255"/>
    <cellStyle name="集計 3 2 3 2 4 2 5" xfId="29256"/>
    <cellStyle name="集計 3 2 3 2 4 2 6" xfId="29257"/>
    <cellStyle name="集計 3 2 3 2 4 3" xfId="29258"/>
    <cellStyle name="集計 3 2 3 2 4 3 2" xfId="29259"/>
    <cellStyle name="集計 3 2 3 2 4 3 3" xfId="29260"/>
    <cellStyle name="集計 3 2 3 2 4 4" xfId="29261"/>
    <cellStyle name="集計 3 2 3 2 4 4 2" xfId="29262"/>
    <cellStyle name="集計 3 2 3 2 4 4 3" xfId="29263"/>
    <cellStyle name="集計 3 2 3 2 4 5" xfId="29264"/>
    <cellStyle name="集計 3 2 3 2 4 5 2" xfId="29265"/>
    <cellStyle name="集計 3 2 3 2 4 5 3" xfId="29266"/>
    <cellStyle name="集計 3 2 3 2 4 6" xfId="29267"/>
    <cellStyle name="集計 3 2 3 2 4 7" xfId="29268"/>
    <cellStyle name="集計 3 2 3 2 5" xfId="29269"/>
    <cellStyle name="集計 3 2 3 2 5 2" xfId="29270"/>
    <cellStyle name="集計 3 2 3 2 5 2 2" xfId="29271"/>
    <cellStyle name="集計 3 2 3 2 5 2 3" xfId="29272"/>
    <cellStyle name="集計 3 2 3 2 5 3" xfId="29273"/>
    <cellStyle name="集計 3 2 3 2 5 3 2" xfId="29274"/>
    <cellStyle name="集計 3 2 3 2 5 3 3" xfId="29275"/>
    <cellStyle name="集計 3 2 3 2 5 4" xfId="29276"/>
    <cellStyle name="集計 3 2 3 2 5 4 2" xfId="29277"/>
    <cellStyle name="集計 3 2 3 2 5 4 3" xfId="29278"/>
    <cellStyle name="集計 3 2 3 2 5 5" xfId="29279"/>
    <cellStyle name="集計 3 2 3 2 5 6" xfId="29280"/>
    <cellStyle name="集計 3 2 3 2 6" xfId="29281"/>
    <cellStyle name="集計 3 2 3 2 6 2" xfId="29282"/>
    <cellStyle name="集計 3 2 3 2 6 3" xfId="29283"/>
    <cellStyle name="集計 3 2 3 2 7" xfId="29284"/>
    <cellStyle name="集計 3 2 3 2 7 2" xfId="29285"/>
    <cellStyle name="集計 3 2 3 2 7 3" xfId="29286"/>
    <cellStyle name="集計 3 2 3 2 8" xfId="29287"/>
    <cellStyle name="集計 3 2 3 2 8 2" xfId="29288"/>
    <cellStyle name="集計 3 2 3 2 8 3" xfId="29289"/>
    <cellStyle name="集計 3 2 3 2 9" xfId="29290"/>
    <cellStyle name="集計 3 2 3 3" xfId="29291"/>
    <cellStyle name="集計 3 2 3 3 2" xfId="29292"/>
    <cellStyle name="集計 3 2 3 3 2 2" xfId="29293"/>
    <cellStyle name="集計 3 2 3 3 2 2 2" xfId="29294"/>
    <cellStyle name="集計 3 2 3 3 2 2 3" xfId="29295"/>
    <cellStyle name="集計 3 2 3 3 2 3" xfId="29296"/>
    <cellStyle name="集計 3 2 3 3 2 3 2" xfId="29297"/>
    <cellStyle name="集計 3 2 3 3 2 3 3" xfId="29298"/>
    <cellStyle name="集計 3 2 3 3 2 4" xfId="29299"/>
    <cellStyle name="集計 3 2 3 3 2 4 2" xfId="29300"/>
    <cellStyle name="集計 3 2 3 3 2 4 3" xfId="29301"/>
    <cellStyle name="集計 3 2 3 3 2 5" xfId="29302"/>
    <cellStyle name="集計 3 2 3 3 2 6" xfId="29303"/>
    <cellStyle name="集計 3 2 3 3 3" xfId="29304"/>
    <cellStyle name="集計 3 2 3 3 3 2" xfId="29305"/>
    <cellStyle name="集計 3 2 3 3 3 3" xfId="29306"/>
    <cellStyle name="集計 3 2 3 3 4" xfId="29307"/>
    <cellStyle name="集計 3 2 3 3 4 2" xfId="29308"/>
    <cellStyle name="集計 3 2 3 3 4 3" xfId="29309"/>
    <cellStyle name="集計 3 2 3 3 5" xfId="29310"/>
    <cellStyle name="集計 3 2 3 3 5 2" xfId="29311"/>
    <cellStyle name="集計 3 2 3 3 5 3" xfId="29312"/>
    <cellStyle name="集計 3 2 3 3 6" xfId="29313"/>
    <cellStyle name="集計 3 2 3 3 7" xfId="29314"/>
    <cellStyle name="集計 3 2 3 4" xfId="29315"/>
    <cellStyle name="集計 3 2 3 4 2" xfId="29316"/>
    <cellStyle name="集計 3 2 3 4 2 2" xfId="29317"/>
    <cellStyle name="集計 3 2 3 4 2 2 2" xfId="29318"/>
    <cellStyle name="集計 3 2 3 4 2 2 3" xfId="29319"/>
    <cellStyle name="集計 3 2 3 4 2 3" xfId="29320"/>
    <cellStyle name="集計 3 2 3 4 2 3 2" xfId="29321"/>
    <cellStyle name="集計 3 2 3 4 2 3 3" xfId="29322"/>
    <cellStyle name="集計 3 2 3 4 2 4" xfId="29323"/>
    <cellStyle name="集計 3 2 3 4 2 4 2" xfId="29324"/>
    <cellStyle name="集計 3 2 3 4 2 4 3" xfId="29325"/>
    <cellStyle name="集計 3 2 3 4 2 5" xfId="29326"/>
    <cellStyle name="集計 3 2 3 4 2 6" xfId="29327"/>
    <cellStyle name="集計 3 2 3 4 3" xfId="29328"/>
    <cellStyle name="集計 3 2 3 4 3 2" xfId="29329"/>
    <cellStyle name="集計 3 2 3 4 3 3" xfId="29330"/>
    <cellStyle name="集計 3 2 3 4 4" xfId="29331"/>
    <cellStyle name="集計 3 2 3 4 4 2" xfId="29332"/>
    <cellStyle name="集計 3 2 3 4 4 3" xfId="29333"/>
    <cellStyle name="集計 3 2 3 4 5" xfId="29334"/>
    <cellStyle name="集計 3 2 3 4 5 2" xfId="29335"/>
    <cellStyle name="集計 3 2 3 4 5 3" xfId="29336"/>
    <cellStyle name="集計 3 2 3 4 6" xfId="29337"/>
    <cellStyle name="集計 3 2 3 4 7" xfId="29338"/>
    <cellStyle name="集計 3 2 3 5" xfId="29339"/>
    <cellStyle name="集計 3 2 3 5 2" xfId="29340"/>
    <cellStyle name="集計 3 2 3 5 2 2" xfId="29341"/>
    <cellStyle name="集計 3 2 3 5 2 3" xfId="29342"/>
    <cellStyle name="集計 3 2 3 5 3" xfId="29343"/>
    <cellStyle name="集計 3 2 3 5 3 2" xfId="29344"/>
    <cellStyle name="集計 3 2 3 5 3 3" xfId="29345"/>
    <cellStyle name="集計 3 2 3 5 4" xfId="29346"/>
    <cellStyle name="集計 3 2 3 5 4 2" xfId="29347"/>
    <cellStyle name="集計 3 2 3 5 4 3" xfId="29348"/>
    <cellStyle name="集計 3 2 3 5 5" xfId="29349"/>
    <cellStyle name="集計 3 2 3 5 6" xfId="29350"/>
    <cellStyle name="集計 3 2 3 6" xfId="29351"/>
    <cellStyle name="集計 3 2 3 6 2" xfId="29352"/>
    <cellStyle name="集計 3 2 3 6 3" xfId="29353"/>
    <cellStyle name="集計 3 2 3 7" xfId="29354"/>
    <cellStyle name="集計 3 2 3 7 2" xfId="29355"/>
    <cellStyle name="集計 3 2 3 7 3" xfId="29356"/>
    <cellStyle name="集計 3 2 3 8" xfId="29357"/>
    <cellStyle name="集計 3 2 3 8 2" xfId="29358"/>
    <cellStyle name="集計 3 2 3 8 3" xfId="29359"/>
    <cellStyle name="集計 3 2 3 9" xfId="29360"/>
    <cellStyle name="集計 3 2 4" xfId="29361"/>
    <cellStyle name="集計 3 2 4 10" xfId="29362"/>
    <cellStyle name="集計 3 2 4 2" xfId="29363"/>
    <cellStyle name="集計 3 2 4 2 10" xfId="29364"/>
    <cellStyle name="集計 3 2 4 2 2" xfId="29365"/>
    <cellStyle name="集計 3 2 4 2 2 2" xfId="29366"/>
    <cellStyle name="集計 3 2 4 2 2 2 2" xfId="29367"/>
    <cellStyle name="集計 3 2 4 2 2 2 2 2" xfId="29368"/>
    <cellStyle name="集計 3 2 4 2 2 2 2 2 2" xfId="29369"/>
    <cellStyle name="集計 3 2 4 2 2 2 2 2 3" xfId="29370"/>
    <cellStyle name="集計 3 2 4 2 2 2 2 3" xfId="29371"/>
    <cellStyle name="集計 3 2 4 2 2 2 2 3 2" xfId="29372"/>
    <cellStyle name="集計 3 2 4 2 2 2 2 3 3" xfId="29373"/>
    <cellStyle name="集計 3 2 4 2 2 2 2 4" xfId="29374"/>
    <cellStyle name="集計 3 2 4 2 2 2 2 4 2" xfId="29375"/>
    <cellStyle name="集計 3 2 4 2 2 2 2 4 3" xfId="29376"/>
    <cellStyle name="集計 3 2 4 2 2 2 2 5" xfId="29377"/>
    <cellStyle name="集計 3 2 4 2 2 2 2 6" xfId="29378"/>
    <cellStyle name="集計 3 2 4 2 2 2 3" xfId="29379"/>
    <cellStyle name="集計 3 2 4 2 2 2 3 2" xfId="29380"/>
    <cellStyle name="集計 3 2 4 2 2 2 3 3" xfId="29381"/>
    <cellStyle name="集計 3 2 4 2 2 2 4" xfId="29382"/>
    <cellStyle name="集計 3 2 4 2 2 2 4 2" xfId="29383"/>
    <cellStyle name="集計 3 2 4 2 2 2 4 3" xfId="29384"/>
    <cellStyle name="集計 3 2 4 2 2 2 5" xfId="29385"/>
    <cellStyle name="集計 3 2 4 2 2 2 5 2" xfId="29386"/>
    <cellStyle name="集計 3 2 4 2 2 2 5 3" xfId="29387"/>
    <cellStyle name="集計 3 2 4 2 2 2 6" xfId="29388"/>
    <cellStyle name="集計 3 2 4 2 2 2 7" xfId="29389"/>
    <cellStyle name="集計 3 2 4 2 2 3" xfId="29390"/>
    <cellStyle name="集計 3 2 4 2 2 3 2" xfId="29391"/>
    <cellStyle name="集計 3 2 4 2 2 3 2 2" xfId="29392"/>
    <cellStyle name="集計 3 2 4 2 2 3 2 2 2" xfId="29393"/>
    <cellStyle name="集計 3 2 4 2 2 3 2 2 3" xfId="29394"/>
    <cellStyle name="集計 3 2 4 2 2 3 2 3" xfId="29395"/>
    <cellStyle name="集計 3 2 4 2 2 3 2 3 2" xfId="29396"/>
    <cellStyle name="集計 3 2 4 2 2 3 2 3 3" xfId="29397"/>
    <cellStyle name="集計 3 2 4 2 2 3 2 4" xfId="29398"/>
    <cellStyle name="集計 3 2 4 2 2 3 2 4 2" xfId="29399"/>
    <cellStyle name="集計 3 2 4 2 2 3 2 4 3" xfId="29400"/>
    <cellStyle name="集計 3 2 4 2 2 3 2 5" xfId="29401"/>
    <cellStyle name="集計 3 2 4 2 2 3 2 6" xfId="29402"/>
    <cellStyle name="集計 3 2 4 2 2 3 3" xfId="29403"/>
    <cellStyle name="集計 3 2 4 2 2 3 3 2" xfId="29404"/>
    <cellStyle name="集計 3 2 4 2 2 3 3 3" xfId="29405"/>
    <cellStyle name="集計 3 2 4 2 2 3 4" xfId="29406"/>
    <cellStyle name="集計 3 2 4 2 2 3 4 2" xfId="29407"/>
    <cellStyle name="集計 3 2 4 2 2 3 4 3" xfId="29408"/>
    <cellStyle name="集計 3 2 4 2 2 3 5" xfId="29409"/>
    <cellStyle name="集計 3 2 4 2 2 3 5 2" xfId="29410"/>
    <cellStyle name="集計 3 2 4 2 2 3 5 3" xfId="29411"/>
    <cellStyle name="集計 3 2 4 2 2 3 6" xfId="29412"/>
    <cellStyle name="集計 3 2 4 2 2 3 7" xfId="29413"/>
    <cellStyle name="集計 3 2 4 2 2 4" xfId="29414"/>
    <cellStyle name="集計 3 2 4 2 2 4 2" xfId="29415"/>
    <cellStyle name="集計 3 2 4 2 2 4 2 2" xfId="29416"/>
    <cellStyle name="集計 3 2 4 2 2 4 2 3" xfId="29417"/>
    <cellStyle name="集計 3 2 4 2 2 4 3" xfId="29418"/>
    <cellStyle name="集計 3 2 4 2 2 4 3 2" xfId="29419"/>
    <cellStyle name="集計 3 2 4 2 2 4 3 3" xfId="29420"/>
    <cellStyle name="集計 3 2 4 2 2 4 4" xfId="29421"/>
    <cellStyle name="集計 3 2 4 2 2 4 4 2" xfId="29422"/>
    <cellStyle name="集計 3 2 4 2 2 4 4 3" xfId="29423"/>
    <cellStyle name="集計 3 2 4 2 2 4 5" xfId="29424"/>
    <cellStyle name="集計 3 2 4 2 2 4 6" xfId="29425"/>
    <cellStyle name="集計 3 2 4 2 2 5" xfId="29426"/>
    <cellStyle name="集計 3 2 4 2 2 5 2" xfId="29427"/>
    <cellStyle name="集計 3 2 4 2 2 5 3" xfId="29428"/>
    <cellStyle name="集計 3 2 4 2 2 6" xfId="29429"/>
    <cellStyle name="集計 3 2 4 2 2 6 2" xfId="29430"/>
    <cellStyle name="集計 3 2 4 2 2 6 3" xfId="29431"/>
    <cellStyle name="集計 3 2 4 2 2 7" xfId="29432"/>
    <cellStyle name="集計 3 2 4 2 2 7 2" xfId="29433"/>
    <cellStyle name="集計 3 2 4 2 2 7 3" xfId="29434"/>
    <cellStyle name="集計 3 2 4 2 2 8" xfId="29435"/>
    <cellStyle name="集計 3 2 4 2 2 9" xfId="29436"/>
    <cellStyle name="集計 3 2 4 2 3" xfId="29437"/>
    <cellStyle name="集計 3 2 4 2 3 2" xfId="29438"/>
    <cellStyle name="集計 3 2 4 2 3 2 2" xfId="29439"/>
    <cellStyle name="集計 3 2 4 2 3 2 2 2" xfId="29440"/>
    <cellStyle name="集計 3 2 4 2 3 2 2 3" xfId="29441"/>
    <cellStyle name="集計 3 2 4 2 3 2 3" xfId="29442"/>
    <cellStyle name="集計 3 2 4 2 3 2 3 2" xfId="29443"/>
    <cellStyle name="集計 3 2 4 2 3 2 3 3" xfId="29444"/>
    <cellStyle name="集計 3 2 4 2 3 2 4" xfId="29445"/>
    <cellStyle name="集計 3 2 4 2 3 2 4 2" xfId="29446"/>
    <cellStyle name="集計 3 2 4 2 3 2 4 3" xfId="29447"/>
    <cellStyle name="集計 3 2 4 2 3 2 5" xfId="29448"/>
    <cellStyle name="集計 3 2 4 2 3 2 6" xfId="29449"/>
    <cellStyle name="集計 3 2 4 2 3 3" xfId="29450"/>
    <cellStyle name="集計 3 2 4 2 3 3 2" xfId="29451"/>
    <cellStyle name="集計 3 2 4 2 3 3 3" xfId="29452"/>
    <cellStyle name="集計 3 2 4 2 3 4" xfId="29453"/>
    <cellStyle name="集計 3 2 4 2 3 4 2" xfId="29454"/>
    <cellStyle name="集計 3 2 4 2 3 4 3" xfId="29455"/>
    <cellStyle name="集計 3 2 4 2 3 5" xfId="29456"/>
    <cellStyle name="集計 3 2 4 2 3 5 2" xfId="29457"/>
    <cellStyle name="集計 3 2 4 2 3 5 3" xfId="29458"/>
    <cellStyle name="集計 3 2 4 2 3 6" xfId="29459"/>
    <cellStyle name="集計 3 2 4 2 3 7" xfId="29460"/>
    <cellStyle name="集計 3 2 4 2 4" xfId="29461"/>
    <cellStyle name="集計 3 2 4 2 4 2" xfId="29462"/>
    <cellStyle name="集計 3 2 4 2 4 2 2" xfId="29463"/>
    <cellStyle name="集計 3 2 4 2 4 2 2 2" xfId="29464"/>
    <cellStyle name="集計 3 2 4 2 4 2 2 3" xfId="29465"/>
    <cellStyle name="集計 3 2 4 2 4 2 3" xfId="29466"/>
    <cellStyle name="集計 3 2 4 2 4 2 3 2" xfId="29467"/>
    <cellStyle name="集計 3 2 4 2 4 2 3 3" xfId="29468"/>
    <cellStyle name="集計 3 2 4 2 4 2 4" xfId="29469"/>
    <cellStyle name="集計 3 2 4 2 4 2 4 2" xfId="29470"/>
    <cellStyle name="集計 3 2 4 2 4 2 4 3" xfId="29471"/>
    <cellStyle name="集計 3 2 4 2 4 2 5" xfId="29472"/>
    <cellStyle name="集計 3 2 4 2 4 2 6" xfId="29473"/>
    <cellStyle name="集計 3 2 4 2 4 3" xfId="29474"/>
    <cellStyle name="集計 3 2 4 2 4 3 2" xfId="29475"/>
    <cellStyle name="集計 3 2 4 2 4 3 3" xfId="29476"/>
    <cellStyle name="集計 3 2 4 2 4 4" xfId="29477"/>
    <cellStyle name="集計 3 2 4 2 4 4 2" xfId="29478"/>
    <cellStyle name="集計 3 2 4 2 4 4 3" xfId="29479"/>
    <cellStyle name="集計 3 2 4 2 4 5" xfId="29480"/>
    <cellStyle name="集計 3 2 4 2 4 5 2" xfId="29481"/>
    <cellStyle name="集計 3 2 4 2 4 5 3" xfId="29482"/>
    <cellStyle name="集計 3 2 4 2 4 6" xfId="29483"/>
    <cellStyle name="集計 3 2 4 2 4 7" xfId="29484"/>
    <cellStyle name="集計 3 2 4 2 5" xfId="29485"/>
    <cellStyle name="集計 3 2 4 2 5 2" xfId="29486"/>
    <cellStyle name="集計 3 2 4 2 5 2 2" xfId="29487"/>
    <cellStyle name="集計 3 2 4 2 5 2 3" xfId="29488"/>
    <cellStyle name="集計 3 2 4 2 5 3" xfId="29489"/>
    <cellStyle name="集計 3 2 4 2 5 3 2" xfId="29490"/>
    <cellStyle name="集計 3 2 4 2 5 3 3" xfId="29491"/>
    <cellStyle name="集計 3 2 4 2 5 4" xfId="29492"/>
    <cellStyle name="集計 3 2 4 2 5 4 2" xfId="29493"/>
    <cellStyle name="集計 3 2 4 2 5 4 3" xfId="29494"/>
    <cellStyle name="集計 3 2 4 2 5 5" xfId="29495"/>
    <cellStyle name="集計 3 2 4 2 5 6" xfId="29496"/>
    <cellStyle name="集計 3 2 4 2 6" xfId="29497"/>
    <cellStyle name="集計 3 2 4 2 6 2" xfId="29498"/>
    <cellStyle name="集計 3 2 4 2 6 3" xfId="29499"/>
    <cellStyle name="集計 3 2 4 2 7" xfId="29500"/>
    <cellStyle name="集計 3 2 4 2 7 2" xfId="29501"/>
    <cellStyle name="集計 3 2 4 2 7 3" xfId="29502"/>
    <cellStyle name="集計 3 2 4 2 8" xfId="29503"/>
    <cellStyle name="集計 3 2 4 2 8 2" xfId="29504"/>
    <cellStyle name="集計 3 2 4 2 8 3" xfId="29505"/>
    <cellStyle name="集計 3 2 4 2 9" xfId="29506"/>
    <cellStyle name="集計 3 2 4 3" xfId="29507"/>
    <cellStyle name="集計 3 2 4 3 2" xfId="29508"/>
    <cellStyle name="集計 3 2 4 3 2 2" xfId="29509"/>
    <cellStyle name="集計 3 2 4 3 2 2 2" xfId="29510"/>
    <cellStyle name="集計 3 2 4 3 2 2 3" xfId="29511"/>
    <cellStyle name="集計 3 2 4 3 2 3" xfId="29512"/>
    <cellStyle name="集計 3 2 4 3 2 3 2" xfId="29513"/>
    <cellStyle name="集計 3 2 4 3 2 3 3" xfId="29514"/>
    <cellStyle name="集計 3 2 4 3 2 4" xfId="29515"/>
    <cellStyle name="集計 3 2 4 3 2 4 2" xfId="29516"/>
    <cellStyle name="集計 3 2 4 3 2 4 3" xfId="29517"/>
    <cellStyle name="集計 3 2 4 3 2 5" xfId="29518"/>
    <cellStyle name="集計 3 2 4 3 2 6" xfId="29519"/>
    <cellStyle name="集計 3 2 4 3 3" xfId="29520"/>
    <cellStyle name="集計 3 2 4 3 3 2" xfId="29521"/>
    <cellStyle name="集計 3 2 4 3 3 3" xfId="29522"/>
    <cellStyle name="集計 3 2 4 3 4" xfId="29523"/>
    <cellStyle name="集計 3 2 4 3 4 2" xfId="29524"/>
    <cellStyle name="集計 3 2 4 3 4 3" xfId="29525"/>
    <cellStyle name="集計 3 2 4 3 5" xfId="29526"/>
    <cellStyle name="集計 3 2 4 3 5 2" xfId="29527"/>
    <cellStyle name="集計 3 2 4 3 5 3" xfId="29528"/>
    <cellStyle name="集計 3 2 4 3 6" xfId="29529"/>
    <cellStyle name="集計 3 2 4 3 7" xfId="29530"/>
    <cellStyle name="集計 3 2 4 4" xfId="29531"/>
    <cellStyle name="集計 3 2 4 4 2" xfId="29532"/>
    <cellStyle name="集計 3 2 4 4 2 2" xfId="29533"/>
    <cellStyle name="集計 3 2 4 4 2 2 2" xfId="29534"/>
    <cellStyle name="集計 3 2 4 4 2 2 3" xfId="29535"/>
    <cellStyle name="集計 3 2 4 4 2 3" xfId="29536"/>
    <cellStyle name="集計 3 2 4 4 2 3 2" xfId="29537"/>
    <cellStyle name="集計 3 2 4 4 2 3 3" xfId="29538"/>
    <cellStyle name="集計 3 2 4 4 2 4" xfId="29539"/>
    <cellStyle name="集計 3 2 4 4 2 4 2" xfId="29540"/>
    <cellStyle name="集計 3 2 4 4 2 4 3" xfId="29541"/>
    <cellStyle name="集計 3 2 4 4 2 5" xfId="29542"/>
    <cellStyle name="集計 3 2 4 4 2 6" xfId="29543"/>
    <cellStyle name="集計 3 2 4 4 3" xfId="29544"/>
    <cellStyle name="集計 3 2 4 4 3 2" xfId="29545"/>
    <cellStyle name="集計 3 2 4 4 3 3" xfId="29546"/>
    <cellStyle name="集計 3 2 4 4 4" xfId="29547"/>
    <cellStyle name="集計 3 2 4 4 4 2" xfId="29548"/>
    <cellStyle name="集計 3 2 4 4 4 3" xfId="29549"/>
    <cellStyle name="集計 3 2 4 4 5" xfId="29550"/>
    <cellStyle name="集計 3 2 4 4 5 2" xfId="29551"/>
    <cellStyle name="集計 3 2 4 4 5 3" xfId="29552"/>
    <cellStyle name="集計 3 2 4 4 6" xfId="29553"/>
    <cellStyle name="集計 3 2 4 4 7" xfId="29554"/>
    <cellStyle name="集計 3 2 4 5" xfId="29555"/>
    <cellStyle name="集計 3 2 4 5 2" xfId="29556"/>
    <cellStyle name="集計 3 2 4 5 2 2" xfId="29557"/>
    <cellStyle name="集計 3 2 4 5 2 3" xfId="29558"/>
    <cellStyle name="集計 3 2 4 5 3" xfId="29559"/>
    <cellStyle name="集計 3 2 4 5 3 2" xfId="29560"/>
    <cellStyle name="集計 3 2 4 5 3 3" xfId="29561"/>
    <cellStyle name="集計 3 2 4 5 4" xfId="29562"/>
    <cellStyle name="集計 3 2 4 5 4 2" xfId="29563"/>
    <cellStyle name="集計 3 2 4 5 4 3" xfId="29564"/>
    <cellStyle name="集計 3 2 4 5 5" xfId="29565"/>
    <cellStyle name="集計 3 2 4 5 6" xfId="29566"/>
    <cellStyle name="集計 3 2 4 6" xfId="29567"/>
    <cellStyle name="集計 3 2 4 6 2" xfId="29568"/>
    <cellStyle name="集計 3 2 4 6 3" xfId="29569"/>
    <cellStyle name="集計 3 2 4 7" xfId="29570"/>
    <cellStyle name="集計 3 2 4 7 2" xfId="29571"/>
    <cellStyle name="集計 3 2 4 7 3" xfId="29572"/>
    <cellStyle name="集計 3 2 4 8" xfId="29573"/>
    <cellStyle name="集計 3 2 4 8 2" xfId="29574"/>
    <cellStyle name="集計 3 2 4 8 3" xfId="29575"/>
    <cellStyle name="集計 3 2 4 9" xfId="29576"/>
    <cellStyle name="集計 3 2 5" xfId="29577"/>
    <cellStyle name="集計 3 2 5 10" xfId="29578"/>
    <cellStyle name="集計 3 2 5 2" xfId="29579"/>
    <cellStyle name="集計 3 2 5 2 2" xfId="29580"/>
    <cellStyle name="集計 3 2 5 2 2 2" xfId="29581"/>
    <cellStyle name="集計 3 2 5 2 2 2 2" xfId="29582"/>
    <cellStyle name="集計 3 2 5 2 2 2 2 2" xfId="29583"/>
    <cellStyle name="集計 3 2 5 2 2 2 2 3" xfId="29584"/>
    <cellStyle name="集計 3 2 5 2 2 2 3" xfId="29585"/>
    <cellStyle name="集計 3 2 5 2 2 2 3 2" xfId="29586"/>
    <cellStyle name="集計 3 2 5 2 2 2 3 3" xfId="29587"/>
    <cellStyle name="集計 3 2 5 2 2 2 4" xfId="29588"/>
    <cellStyle name="集計 3 2 5 2 2 2 4 2" xfId="29589"/>
    <cellStyle name="集計 3 2 5 2 2 2 4 3" xfId="29590"/>
    <cellStyle name="集計 3 2 5 2 2 2 5" xfId="29591"/>
    <cellStyle name="集計 3 2 5 2 2 2 6" xfId="29592"/>
    <cellStyle name="集計 3 2 5 2 2 3" xfId="29593"/>
    <cellStyle name="集計 3 2 5 2 2 3 2" xfId="29594"/>
    <cellStyle name="集計 3 2 5 2 2 3 3" xfId="29595"/>
    <cellStyle name="集計 3 2 5 2 2 4" xfId="29596"/>
    <cellStyle name="集計 3 2 5 2 2 4 2" xfId="29597"/>
    <cellStyle name="集計 3 2 5 2 2 4 3" xfId="29598"/>
    <cellStyle name="集計 3 2 5 2 2 5" xfId="29599"/>
    <cellStyle name="集計 3 2 5 2 2 5 2" xfId="29600"/>
    <cellStyle name="集計 3 2 5 2 2 5 3" xfId="29601"/>
    <cellStyle name="集計 3 2 5 2 2 6" xfId="29602"/>
    <cellStyle name="集計 3 2 5 2 2 7" xfId="29603"/>
    <cellStyle name="集計 3 2 5 2 3" xfId="29604"/>
    <cellStyle name="集計 3 2 5 2 3 2" xfId="29605"/>
    <cellStyle name="集計 3 2 5 2 3 2 2" xfId="29606"/>
    <cellStyle name="集計 3 2 5 2 3 2 2 2" xfId="29607"/>
    <cellStyle name="集計 3 2 5 2 3 2 2 3" xfId="29608"/>
    <cellStyle name="集計 3 2 5 2 3 2 3" xfId="29609"/>
    <cellStyle name="集計 3 2 5 2 3 2 3 2" xfId="29610"/>
    <cellStyle name="集計 3 2 5 2 3 2 3 3" xfId="29611"/>
    <cellStyle name="集計 3 2 5 2 3 2 4" xfId="29612"/>
    <cellStyle name="集計 3 2 5 2 3 2 4 2" xfId="29613"/>
    <cellStyle name="集計 3 2 5 2 3 2 4 3" xfId="29614"/>
    <cellStyle name="集計 3 2 5 2 3 2 5" xfId="29615"/>
    <cellStyle name="集計 3 2 5 2 3 2 6" xfId="29616"/>
    <cellStyle name="集計 3 2 5 2 3 3" xfId="29617"/>
    <cellStyle name="集計 3 2 5 2 3 3 2" xfId="29618"/>
    <cellStyle name="集計 3 2 5 2 3 3 3" xfId="29619"/>
    <cellStyle name="集計 3 2 5 2 3 4" xfId="29620"/>
    <cellStyle name="集計 3 2 5 2 3 4 2" xfId="29621"/>
    <cellStyle name="集計 3 2 5 2 3 4 3" xfId="29622"/>
    <cellStyle name="集計 3 2 5 2 3 5" xfId="29623"/>
    <cellStyle name="集計 3 2 5 2 3 5 2" xfId="29624"/>
    <cellStyle name="集計 3 2 5 2 3 5 3" xfId="29625"/>
    <cellStyle name="集計 3 2 5 2 3 6" xfId="29626"/>
    <cellStyle name="集計 3 2 5 2 3 7" xfId="29627"/>
    <cellStyle name="集計 3 2 5 2 4" xfId="29628"/>
    <cellStyle name="集計 3 2 5 2 4 2" xfId="29629"/>
    <cellStyle name="集計 3 2 5 2 4 2 2" xfId="29630"/>
    <cellStyle name="集計 3 2 5 2 4 2 3" xfId="29631"/>
    <cellStyle name="集計 3 2 5 2 4 3" xfId="29632"/>
    <cellStyle name="集計 3 2 5 2 4 3 2" xfId="29633"/>
    <cellStyle name="集計 3 2 5 2 4 3 3" xfId="29634"/>
    <cellStyle name="集計 3 2 5 2 4 4" xfId="29635"/>
    <cellStyle name="集計 3 2 5 2 4 4 2" xfId="29636"/>
    <cellStyle name="集計 3 2 5 2 4 4 3" xfId="29637"/>
    <cellStyle name="集計 3 2 5 2 4 5" xfId="29638"/>
    <cellStyle name="集計 3 2 5 2 4 6" xfId="29639"/>
    <cellStyle name="集計 3 2 5 2 5" xfId="29640"/>
    <cellStyle name="集計 3 2 5 2 5 2" xfId="29641"/>
    <cellStyle name="集計 3 2 5 2 5 3" xfId="29642"/>
    <cellStyle name="集計 3 2 5 2 6" xfId="29643"/>
    <cellStyle name="集計 3 2 5 2 6 2" xfId="29644"/>
    <cellStyle name="集計 3 2 5 2 6 3" xfId="29645"/>
    <cellStyle name="集計 3 2 5 2 7" xfId="29646"/>
    <cellStyle name="集計 3 2 5 2 7 2" xfId="29647"/>
    <cellStyle name="集計 3 2 5 2 7 3" xfId="29648"/>
    <cellStyle name="集計 3 2 5 2 8" xfId="29649"/>
    <cellStyle name="集計 3 2 5 2 9" xfId="29650"/>
    <cellStyle name="集計 3 2 5 3" xfId="29651"/>
    <cellStyle name="集計 3 2 5 3 2" xfId="29652"/>
    <cellStyle name="集計 3 2 5 3 2 2" xfId="29653"/>
    <cellStyle name="集計 3 2 5 3 2 2 2" xfId="29654"/>
    <cellStyle name="集計 3 2 5 3 2 2 3" xfId="29655"/>
    <cellStyle name="集計 3 2 5 3 2 3" xfId="29656"/>
    <cellStyle name="集計 3 2 5 3 2 3 2" xfId="29657"/>
    <cellStyle name="集計 3 2 5 3 2 3 3" xfId="29658"/>
    <cellStyle name="集計 3 2 5 3 2 4" xfId="29659"/>
    <cellStyle name="集計 3 2 5 3 2 4 2" xfId="29660"/>
    <cellStyle name="集計 3 2 5 3 2 4 3" xfId="29661"/>
    <cellStyle name="集計 3 2 5 3 2 5" xfId="29662"/>
    <cellStyle name="集計 3 2 5 3 2 6" xfId="29663"/>
    <cellStyle name="集計 3 2 5 3 3" xfId="29664"/>
    <cellStyle name="集計 3 2 5 3 3 2" xfId="29665"/>
    <cellStyle name="集計 3 2 5 3 3 3" xfId="29666"/>
    <cellStyle name="集計 3 2 5 3 4" xfId="29667"/>
    <cellStyle name="集計 3 2 5 3 4 2" xfId="29668"/>
    <cellStyle name="集計 3 2 5 3 4 3" xfId="29669"/>
    <cellStyle name="集計 3 2 5 3 5" xfId="29670"/>
    <cellStyle name="集計 3 2 5 3 5 2" xfId="29671"/>
    <cellStyle name="集計 3 2 5 3 5 3" xfId="29672"/>
    <cellStyle name="集計 3 2 5 3 6" xfId="29673"/>
    <cellStyle name="集計 3 2 5 3 7" xfId="29674"/>
    <cellStyle name="集計 3 2 5 4" xfId="29675"/>
    <cellStyle name="集計 3 2 5 4 2" xfId="29676"/>
    <cellStyle name="集計 3 2 5 4 2 2" xfId="29677"/>
    <cellStyle name="集計 3 2 5 4 2 2 2" xfId="29678"/>
    <cellStyle name="集計 3 2 5 4 2 2 3" xfId="29679"/>
    <cellStyle name="集計 3 2 5 4 2 3" xfId="29680"/>
    <cellStyle name="集計 3 2 5 4 2 3 2" xfId="29681"/>
    <cellStyle name="集計 3 2 5 4 2 3 3" xfId="29682"/>
    <cellStyle name="集計 3 2 5 4 2 4" xfId="29683"/>
    <cellStyle name="集計 3 2 5 4 2 4 2" xfId="29684"/>
    <cellStyle name="集計 3 2 5 4 2 4 3" xfId="29685"/>
    <cellStyle name="集計 3 2 5 4 2 5" xfId="29686"/>
    <cellStyle name="集計 3 2 5 4 2 6" xfId="29687"/>
    <cellStyle name="集計 3 2 5 4 3" xfId="29688"/>
    <cellStyle name="集計 3 2 5 4 3 2" xfId="29689"/>
    <cellStyle name="集計 3 2 5 4 3 3" xfId="29690"/>
    <cellStyle name="集計 3 2 5 4 4" xfId="29691"/>
    <cellStyle name="集計 3 2 5 4 4 2" xfId="29692"/>
    <cellStyle name="集計 3 2 5 4 4 3" xfId="29693"/>
    <cellStyle name="集計 3 2 5 4 5" xfId="29694"/>
    <cellStyle name="集計 3 2 5 4 5 2" xfId="29695"/>
    <cellStyle name="集計 3 2 5 4 5 3" xfId="29696"/>
    <cellStyle name="集計 3 2 5 4 6" xfId="29697"/>
    <cellStyle name="集計 3 2 5 4 7" xfId="29698"/>
    <cellStyle name="集計 3 2 5 5" xfId="29699"/>
    <cellStyle name="集計 3 2 5 5 2" xfId="29700"/>
    <cellStyle name="集計 3 2 5 5 2 2" xfId="29701"/>
    <cellStyle name="集計 3 2 5 5 2 3" xfId="29702"/>
    <cellStyle name="集計 3 2 5 5 3" xfId="29703"/>
    <cellStyle name="集計 3 2 5 5 3 2" xfId="29704"/>
    <cellStyle name="集計 3 2 5 5 3 3" xfId="29705"/>
    <cellStyle name="集計 3 2 5 5 4" xfId="29706"/>
    <cellStyle name="集計 3 2 5 5 4 2" xfId="29707"/>
    <cellStyle name="集計 3 2 5 5 4 3" xfId="29708"/>
    <cellStyle name="集計 3 2 5 5 5" xfId="29709"/>
    <cellStyle name="集計 3 2 5 5 6" xfId="29710"/>
    <cellStyle name="集計 3 2 5 6" xfId="29711"/>
    <cellStyle name="集計 3 2 5 6 2" xfId="29712"/>
    <cellStyle name="集計 3 2 5 6 3" xfId="29713"/>
    <cellStyle name="集計 3 2 5 7" xfId="29714"/>
    <cellStyle name="集計 3 2 5 7 2" xfId="29715"/>
    <cellStyle name="集計 3 2 5 7 3" xfId="29716"/>
    <cellStyle name="集計 3 2 5 8" xfId="29717"/>
    <cellStyle name="集計 3 2 5 8 2" xfId="29718"/>
    <cellStyle name="集計 3 2 5 8 3" xfId="29719"/>
    <cellStyle name="集計 3 2 5 9" xfId="29720"/>
    <cellStyle name="集計 3 2 6" xfId="29721"/>
    <cellStyle name="集計 3 2 6 10" xfId="29722"/>
    <cellStyle name="集計 3 2 6 2" xfId="29723"/>
    <cellStyle name="集計 3 2 6 2 2" xfId="29724"/>
    <cellStyle name="集計 3 2 6 2 2 2" xfId="29725"/>
    <cellStyle name="集計 3 2 6 2 2 2 2" xfId="29726"/>
    <cellStyle name="集計 3 2 6 2 2 2 2 2" xfId="29727"/>
    <cellStyle name="集計 3 2 6 2 2 2 2 3" xfId="29728"/>
    <cellStyle name="集計 3 2 6 2 2 2 3" xfId="29729"/>
    <cellStyle name="集計 3 2 6 2 2 2 3 2" xfId="29730"/>
    <cellStyle name="集計 3 2 6 2 2 2 3 3" xfId="29731"/>
    <cellStyle name="集計 3 2 6 2 2 2 4" xfId="29732"/>
    <cellStyle name="集計 3 2 6 2 2 2 4 2" xfId="29733"/>
    <cellStyle name="集計 3 2 6 2 2 2 4 3" xfId="29734"/>
    <cellStyle name="集計 3 2 6 2 2 2 5" xfId="29735"/>
    <cellStyle name="集計 3 2 6 2 2 2 6" xfId="29736"/>
    <cellStyle name="集計 3 2 6 2 2 3" xfId="29737"/>
    <cellStyle name="集計 3 2 6 2 2 3 2" xfId="29738"/>
    <cellStyle name="集計 3 2 6 2 2 3 3" xfId="29739"/>
    <cellStyle name="集計 3 2 6 2 2 4" xfId="29740"/>
    <cellStyle name="集計 3 2 6 2 2 4 2" xfId="29741"/>
    <cellStyle name="集計 3 2 6 2 2 4 3" xfId="29742"/>
    <cellStyle name="集計 3 2 6 2 2 5" xfId="29743"/>
    <cellStyle name="集計 3 2 6 2 2 5 2" xfId="29744"/>
    <cellStyle name="集計 3 2 6 2 2 5 3" xfId="29745"/>
    <cellStyle name="集計 3 2 6 2 2 6" xfId="29746"/>
    <cellStyle name="集計 3 2 6 2 2 7" xfId="29747"/>
    <cellStyle name="集計 3 2 6 2 3" xfId="29748"/>
    <cellStyle name="集計 3 2 6 2 3 2" xfId="29749"/>
    <cellStyle name="集計 3 2 6 2 3 2 2" xfId="29750"/>
    <cellStyle name="集計 3 2 6 2 3 2 2 2" xfId="29751"/>
    <cellStyle name="集計 3 2 6 2 3 2 2 3" xfId="29752"/>
    <cellStyle name="集計 3 2 6 2 3 2 3" xfId="29753"/>
    <cellStyle name="集計 3 2 6 2 3 2 3 2" xfId="29754"/>
    <cellStyle name="集計 3 2 6 2 3 2 3 3" xfId="29755"/>
    <cellStyle name="集計 3 2 6 2 3 2 4" xfId="29756"/>
    <cellStyle name="集計 3 2 6 2 3 2 4 2" xfId="29757"/>
    <cellStyle name="集計 3 2 6 2 3 2 4 3" xfId="29758"/>
    <cellStyle name="集計 3 2 6 2 3 2 5" xfId="29759"/>
    <cellStyle name="集計 3 2 6 2 3 2 6" xfId="29760"/>
    <cellStyle name="集計 3 2 6 2 3 3" xfId="29761"/>
    <cellStyle name="集計 3 2 6 2 3 3 2" xfId="29762"/>
    <cellStyle name="集計 3 2 6 2 3 3 3" xfId="29763"/>
    <cellStyle name="集計 3 2 6 2 3 4" xfId="29764"/>
    <cellStyle name="集計 3 2 6 2 3 4 2" xfId="29765"/>
    <cellStyle name="集計 3 2 6 2 3 4 3" xfId="29766"/>
    <cellStyle name="集計 3 2 6 2 3 5" xfId="29767"/>
    <cellStyle name="集計 3 2 6 2 3 5 2" xfId="29768"/>
    <cellStyle name="集計 3 2 6 2 3 5 3" xfId="29769"/>
    <cellStyle name="集計 3 2 6 2 3 6" xfId="29770"/>
    <cellStyle name="集計 3 2 6 2 3 7" xfId="29771"/>
    <cellStyle name="集計 3 2 6 2 4" xfId="29772"/>
    <cellStyle name="集計 3 2 6 2 4 2" xfId="29773"/>
    <cellStyle name="集計 3 2 6 2 4 2 2" xfId="29774"/>
    <cellStyle name="集計 3 2 6 2 4 2 3" xfId="29775"/>
    <cellStyle name="集計 3 2 6 2 4 3" xfId="29776"/>
    <cellStyle name="集計 3 2 6 2 4 3 2" xfId="29777"/>
    <cellStyle name="集計 3 2 6 2 4 3 3" xfId="29778"/>
    <cellStyle name="集計 3 2 6 2 4 4" xfId="29779"/>
    <cellStyle name="集計 3 2 6 2 4 4 2" xfId="29780"/>
    <cellStyle name="集計 3 2 6 2 4 4 3" xfId="29781"/>
    <cellStyle name="集計 3 2 6 2 4 5" xfId="29782"/>
    <cellStyle name="集計 3 2 6 2 4 6" xfId="29783"/>
    <cellStyle name="集計 3 2 6 2 5" xfId="29784"/>
    <cellStyle name="集計 3 2 6 2 5 2" xfId="29785"/>
    <cellStyle name="集計 3 2 6 2 5 3" xfId="29786"/>
    <cellStyle name="集計 3 2 6 2 6" xfId="29787"/>
    <cellStyle name="集計 3 2 6 2 6 2" xfId="29788"/>
    <cellStyle name="集計 3 2 6 2 6 3" xfId="29789"/>
    <cellStyle name="集計 3 2 6 2 7" xfId="29790"/>
    <cellStyle name="集計 3 2 6 2 7 2" xfId="29791"/>
    <cellStyle name="集計 3 2 6 2 7 3" xfId="29792"/>
    <cellStyle name="集計 3 2 6 2 8" xfId="29793"/>
    <cellStyle name="集計 3 2 6 2 9" xfId="29794"/>
    <cellStyle name="集計 3 2 6 3" xfId="29795"/>
    <cellStyle name="集計 3 2 6 3 2" xfId="29796"/>
    <cellStyle name="集計 3 2 6 3 2 2" xfId="29797"/>
    <cellStyle name="集計 3 2 6 3 2 2 2" xfId="29798"/>
    <cellStyle name="集計 3 2 6 3 2 2 3" xfId="29799"/>
    <cellStyle name="集計 3 2 6 3 2 3" xfId="29800"/>
    <cellStyle name="集計 3 2 6 3 2 3 2" xfId="29801"/>
    <cellStyle name="集計 3 2 6 3 2 3 3" xfId="29802"/>
    <cellStyle name="集計 3 2 6 3 2 4" xfId="29803"/>
    <cellStyle name="集計 3 2 6 3 2 4 2" xfId="29804"/>
    <cellStyle name="集計 3 2 6 3 2 4 3" xfId="29805"/>
    <cellStyle name="集計 3 2 6 3 2 5" xfId="29806"/>
    <cellStyle name="集計 3 2 6 3 2 6" xfId="29807"/>
    <cellStyle name="集計 3 2 6 3 3" xfId="29808"/>
    <cellStyle name="集計 3 2 6 3 3 2" xfId="29809"/>
    <cellStyle name="集計 3 2 6 3 3 3" xfId="29810"/>
    <cellStyle name="集計 3 2 6 3 4" xfId="29811"/>
    <cellStyle name="集計 3 2 6 3 4 2" xfId="29812"/>
    <cellStyle name="集計 3 2 6 3 4 3" xfId="29813"/>
    <cellStyle name="集計 3 2 6 3 5" xfId="29814"/>
    <cellStyle name="集計 3 2 6 3 5 2" xfId="29815"/>
    <cellStyle name="集計 3 2 6 3 5 3" xfId="29816"/>
    <cellStyle name="集計 3 2 6 3 6" xfId="29817"/>
    <cellStyle name="集計 3 2 6 3 7" xfId="29818"/>
    <cellStyle name="集計 3 2 6 4" xfId="29819"/>
    <cellStyle name="集計 3 2 6 4 2" xfId="29820"/>
    <cellStyle name="集計 3 2 6 4 2 2" xfId="29821"/>
    <cellStyle name="集計 3 2 6 4 2 2 2" xfId="29822"/>
    <cellStyle name="集計 3 2 6 4 2 2 3" xfId="29823"/>
    <cellStyle name="集計 3 2 6 4 2 3" xfId="29824"/>
    <cellStyle name="集計 3 2 6 4 2 3 2" xfId="29825"/>
    <cellStyle name="集計 3 2 6 4 2 3 3" xfId="29826"/>
    <cellStyle name="集計 3 2 6 4 2 4" xfId="29827"/>
    <cellStyle name="集計 3 2 6 4 2 4 2" xfId="29828"/>
    <cellStyle name="集計 3 2 6 4 2 4 3" xfId="29829"/>
    <cellStyle name="集計 3 2 6 4 2 5" xfId="29830"/>
    <cellStyle name="集計 3 2 6 4 2 6" xfId="29831"/>
    <cellStyle name="集計 3 2 6 4 3" xfId="29832"/>
    <cellStyle name="集計 3 2 6 4 3 2" xfId="29833"/>
    <cellStyle name="集計 3 2 6 4 3 3" xfId="29834"/>
    <cellStyle name="集計 3 2 6 4 4" xfId="29835"/>
    <cellStyle name="集計 3 2 6 4 4 2" xfId="29836"/>
    <cellStyle name="集計 3 2 6 4 4 3" xfId="29837"/>
    <cellStyle name="集計 3 2 6 4 5" xfId="29838"/>
    <cellStyle name="集計 3 2 6 4 5 2" xfId="29839"/>
    <cellStyle name="集計 3 2 6 4 5 3" xfId="29840"/>
    <cellStyle name="集計 3 2 6 4 6" xfId="29841"/>
    <cellStyle name="集計 3 2 6 4 7" xfId="29842"/>
    <cellStyle name="集計 3 2 6 5" xfId="29843"/>
    <cellStyle name="集計 3 2 6 5 2" xfId="29844"/>
    <cellStyle name="集計 3 2 6 5 2 2" xfId="29845"/>
    <cellStyle name="集計 3 2 6 5 2 3" xfId="29846"/>
    <cellStyle name="集計 3 2 6 5 3" xfId="29847"/>
    <cellStyle name="集計 3 2 6 5 3 2" xfId="29848"/>
    <cellStyle name="集計 3 2 6 5 3 3" xfId="29849"/>
    <cellStyle name="集計 3 2 6 5 4" xfId="29850"/>
    <cellStyle name="集計 3 2 6 5 4 2" xfId="29851"/>
    <cellStyle name="集計 3 2 6 5 4 3" xfId="29852"/>
    <cellStyle name="集計 3 2 6 5 5" xfId="29853"/>
    <cellStyle name="集計 3 2 6 5 6" xfId="29854"/>
    <cellStyle name="集計 3 2 6 6" xfId="29855"/>
    <cellStyle name="集計 3 2 6 6 2" xfId="29856"/>
    <cellStyle name="集計 3 2 6 6 3" xfId="29857"/>
    <cellStyle name="集計 3 2 6 7" xfId="29858"/>
    <cellStyle name="集計 3 2 6 7 2" xfId="29859"/>
    <cellStyle name="集計 3 2 6 7 3" xfId="29860"/>
    <cellStyle name="集計 3 2 6 8" xfId="29861"/>
    <cellStyle name="集計 3 2 6 8 2" xfId="29862"/>
    <cellStyle name="集計 3 2 6 8 3" xfId="29863"/>
    <cellStyle name="集計 3 2 6 9" xfId="29864"/>
    <cellStyle name="集計 3 2 7" xfId="29865"/>
    <cellStyle name="集計 3 2 7 2" xfId="29866"/>
    <cellStyle name="集計 3 2 7 2 2" xfId="29867"/>
    <cellStyle name="集計 3 2 7 2 2 2" xfId="29868"/>
    <cellStyle name="集計 3 2 7 2 2 3" xfId="29869"/>
    <cellStyle name="集計 3 2 7 2 3" xfId="29870"/>
    <cellStyle name="集計 3 2 7 2 3 2" xfId="29871"/>
    <cellStyle name="集計 3 2 7 2 3 3" xfId="29872"/>
    <cellStyle name="集計 3 2 7 2 4" xfId="29873"/>
    <cellStyle name="集計 3 2 7 2 4 2" xfId="29874"/>
    <cellStyle name="集計 3 2 7 2 4 3" xfId="29875"/>
    <cellStyle name="集計 3 2 7 2 5" xfId="29876"/>
    <cellStyle name="集計 3 2 7 2 6" xfId="29877"/>
    <cellStyle name="集計 3 2 7 3" xfId="29878"/>
    <cellStyle name="集計 3 2 7 3 2" xfId="29879"/>
    <cellStyle name="集計 3 2 7 3 3" xfId="29880"/>
    <cellStyle name="集計 3 2 7 4" xfId="29881"/>
    <cellStyle name="集計 3 2 7 4 2" xfId="29882"/>
    <cellStyle name="集計 3 2 7 4 3" xfId="29883"/>
    <cellStyle name="集計 3 2 7 5" xfId="29884"/>
    <cellStyle name="集計 3 2 7 5 2" xfId="29885"/>
    <cellStyle name="集計 3 2 7 5 3" xfId="29886"/>
    <cellStyle name="集計 3 2 7 6" xfId="29887"/>
    <cellStyle name="集計 3 2 7 7" xfId="29888"/>
    <cellStyle name="集計 3 2 8" xfId="29889"/>
    <cellStyle name="集計 3 2 8 2" xfId="29890"/>
    <cellStyle name="集計 3 2 8 2 2" xfId="29891"/>
    <cellStyle name="集計 3 2 8 2 2 2" xfId="29892"/>
    <cellStyle name="集計 3 2 8 2 2 3" xfId="29893"/>
    <cellStyle name="集計 3 2 8 2 3" xfId="29894"/>
    <cellStyle name="集計 3 2 8 2 3 2" xfId="29895"/>
    <cellStyle name="集計 3 2 8 2 3 3" xfId="29896"/>
    <cellStyle name="集計 3 2 8 2 4" xfId="29897"/>
    <cellStyle name="集計 3 2 8 2 4 2" xfId="29898"/>
    <cellStyle name="集計 3 2 8 2 4 3" xfId="29899"/>
    <cellStyle name="集計 3 2 8 2 5" xfId="29900"/>
    <cellStyle name="集計 3 2 8 2 6" xfId="29901"/>
    <cellStyle name="集計 3 2 8 3" xfId="29902"/>
    <cellStyle name="集計 3 2 8 3 2" xfId="29903"/>
    <cellStyle name="集計 3 2 8 3 3" xfId="29904"/>
    <cellStyle name="集計 3 2 8 4" xfId="29905"/>
    <cellStyle name="集計 3 2 8 4 2" xfId="29906"/>
    <cellStyle name="集計 3 2 8 4 3" xfId="29907"/>
    <cellStyle name="集計 3 2 8 5" xfId="29908"/>
    <cellStyle name="集計 3 2 8 5 2" xfId="29909"/>
    <cellStyle name="集計 3 2 8 5 3" xfId="29910"/>
    <cellStyle name="集計 3 2 8 6" xfId="29911"/>
    <cellStyle name="集計 3 2 8 7" xfId="29912"/>
    <cellStyle name="集計 3 2 9" xfId="29913"/>
    <cellStyle name="集計 3 2 9 2" xfId="29914"/>
    <cellStyle name="集計 3 2 9 2 2" xfId="29915"/>
    <cellStyle name="集計 3 2 9 2 3" xfId="29916"/>
    <cellStyle name="集計 3 2 9 3" xfId="29917"/>
    <cellStyle name="集計 3 2 9 3 2" xfId="29918"/>
    <cellStyle name="集計 3 2 9 3 3" xfId="29919"/>
    <cellStyle name="集計 3 2 9 4" xfId="29920"/>
    <cellStyle name="集計 3 2 9 4 2" xfId="29921"/>
    <cellStyle name="集計 3 2 9 4 3" xfId="29922"/>
    <cellStyle name="集計 3 2 9 5" xfId="29923"/>
    <cellStyle name="集計 3 2 9 6" xfId="29924"/>
    <cellStyle name="集計 3 3" xfId="29925"/>
    <cellStyle name="集計 3 3 10" xfId="29926"/>
    <cellStyle name="集計 3 3 10 2" xfId="29927"/>
    <cellStyle name="集計 3 3 10 3" xfId="29928"/>
    <cellStyle name="集計 3 3 11" xfId="29929"/>
    <cellStyle name="集計 3 3 11 2" xfId="29930"/>
    <cellStyle name="集計 3 3 11 3" xfId="29931"/>
    <cellStyle name="集計 3 3 12" xfId="29932"/>
    <cellStyle name="集計 3 3 12 2" xfId="29933"/>
    <cellStyle name="集計 3 3 12 3" xfId="29934"/>
    <cellStyle name="集計 3 3 13" xfId="29935"/>
    <cellStyle name="集計 3 3 14" xfId="29936"/>
    <cellStyle name="集計 3 3 2" xfId="29937"/>
    <cellStyle name="集計 3 3 2 10" xfId="29938"/>
    <cellStyle name="集計 3 3 2 2" xfId="29939"/>
    <cellStyle name="集計 3 3 2 2 10" xfId="29940"/>
    <cellStyle name="集計 3 3 2 2 2" xfId="29941"/>
    <cellStyle name="集計 3 3 2 2 2 2" xfId="29942"/>
    <cellStyle name="集計 3 3 2 2 2 2 2" xfId="29943"/>
    <cellStyle name="集計 3 3 2 2 2 2 2 2" xfId="29944"/>
    <cellStyle name="集計 3 3 2 2 2 2 2 2 2" xfId="29945"/>
    <cellStyle name="集計 3 3 2 2 2 2 2 2 3" xfId="29946"/>
    <cellStyle name="集計 3 3 2 2 2 2 2 3" xfId="29947"/>
    <cellStyle name="集計 3 3 2 2 2 2 2 3 2" xfId="29948"/>
    <cellStyle name="集計 3 3 2 2 2 2 2 3 3" xfId="29949"/>
    <cellStyle name="集計 3 3 2 2 2 2 2 4" xfId="29950"/>
    <cellStyle name="集計 3 3 2 2 2 2 2 4 2" xfId="29951"/>
    <cellStyle name="集計 3 3 2 2 2 2 2 4 3" xfId="29952"/>
    <cellStyle name="集計 3 3 2 2 2 2 2 5" xfId="29953"/>
    <cellStyle name="集計 3 3 2 2 2 2 2 6" xfId="29954"/>
    <cellStyle name="集計 3 3 2 2 2 2 3" xfId="29955"/>
    <cellStyle name="集計 3 3 2 2 2 2 3 2" xfId="29956"/>
    <cellStyle name="集計 3 3 2 2 2 2 3 3" xfId="29957"/>
    <cellStyle name="集計 3 3 2 2 2 2 4" xfId="29958"/>
    <cellStyle name="集計 3 3 2 2 2 2 4 2" xfId="29959"/>
    <cellStyle name="集計 3 3 2 2 2 2 4 3" xfId="29960"/>
    <cellStyle name="集計 3 3 2 2 2 2 5" xfId="29961"/>
    <cellStyle name="集計 3 3 2 2 2 2 5 2" xfId="29962"/>
    <cellStyle name="集計 3 3 2 2 2 2 5 3" xfId="29963"/>
    <cellStyle name="集計 3 3 2 2 2 2 6" xfId="29964"/>
    <cellStyle name="集計 3 3 2 2 2 2 7" xfId="29965"/>
    <cellStyle name="集計 3 3 2 2 2 3" xfId="29966"/>
    <cellStyle name="集計 3 3 2 2 2 3 2" xfId="29967"/>
    <cellStyle name="集計 3 3 2 2 2 3 2 2" xfId="29968"/>
    <cellStyle name="集計 3 3 2 2 2 3 2 2 2" xfId="29969"/>
    <cellStyle name="集計 3 3 2 2 2 3 2 2 3" xfId="29970"/>
    <cellStyle name="集計 3 3 2 2 2 3 2 3" xfId="29971"/>
    <cellStyle name="集計 3 3 2 2 2 3 2 3 2" xfId="29972"/>
    <cellStyle name="集計 3 3 2 2 2 3 2 3 3" xfId="29973"/>
    <cellStyle name="集計 3 3 2 2 2 3 2 4" xfId="29974"/>
    <cellStyle name="集計 3 3 2 2 2 3 2 4 2" xfId="29975"/>
    <cellStyle name="集計 3 3 2 2 2 3 2 4 3" xfId="29976"/>
    <cellStyle name="集計 3 3 2 2 2 3 2 5" xfId="29977"/>
    <cellStyle name="集計 3 3 2 2 2 3 2 6" xfId="29978"/>
    <cellStyle name="集計 3 3 2 2 2 3 3" xfId="29979"/>
    <cellStyle name="集計 3 3 2 2 2 3 3 2" xfId="29980"/>
    <cellStyle name="集計 3 3 2 2 2 3 3 3" xfId="29981"/>
    <cellStyle name="集計 3 3 2 2 2 3 4" xfId="29982"/>
    <cellStyle name="集計 3 3 2 2 2 3 4 2" xfId="29983"/>
    <cellStyle name="集計 3 3 2 2 2 3 4 3" xfId="29984"/>
    <cellStyle name="集計 3 3 2 2 2 3 5" xfId="29985"/>
    <cellStyle name="集計 3 3 2 2 2 3 5 2" xfId="29986"/>
    <cellStyle name="集計 3 3 2 2 2 3 5 3" xfId="29987"/>
    <cellStyle name="集計 3 3 2 2 2 3 6" xfId="29988"/>
    <cellStyle name="集計 3 3 2 2 2 3 7" xfId="29989"/>
    <cellStyle name="集計 3 3 2 2 2 4" xfId="29990"/>
    <cellStyle name="集計 3 3 2 2 2 4 2" xfId="29991"/>
    <cellStyle name="集計 3 3 2 2 2 4 2 2" xfId="29992"/>
    <cellStyle name="集計 3 3 2 2 2 4 2 3" xfId="29993"/>
    <cellStyle name="集計 3 3 2 2 2 4 3" xfId="29994"/>
    <cellStyle name="集計 3 3 2 2 2 4 3 2" xfId="29995"/>
    <cellStyle name="集計 3 3 2 2 2 4 3 3" xfId="29996"/>
    <cellStyle name="集計 3 3 2 2 2 4 4" xfId="29997"/>
    <cellStyle name="集計 3 3 2 2 2 4 4 2" xfId="29998"/>
    <cellStyle name="集計 3 3 2 2 2 4 4 3" xfId="29999"/>
    <cellStyle name="集計 3 3 2 2 2 4 5" xfId="30000"/>
    <cellStyle name="集計 3 3 2 2 2 4 6" xfId="30001"/>
    <cellStyle name="集計 3 3 2 2 2 5" xfId="30002"/>
    <cellStyle name="集計 3 3 2 2 2 5 2" xfId="30003"/>
    <cellStyle name="集計 3 3 2 2 2 5 3" xfId="30004"/>
    <cellStyle name="集計 3 3 2 2 2 6" xfId="30005"/>
    <cellStyle name="集計 3 3 2 2 2 6 2" xfId="30006"/>
    <cellStyle name="集計 3 3 2 2 2 6 3" xfId="30007"/>
    <cellStyle name="集計 3 3 2 2 2 7" xfId="30008"/>
    <cellStyle name="集計 3 3 2 2 2 7 2" xfId="30009"/>
    <cellStyle name="集計 3 3 2 2 2 7 3" xfId="30010"/>
    <cellStyle name="集計 3 3 2 2 2 8" xfId="30011"/>
    <cellStyle name="集計 3 3 2 2 2 9" xfId="30012"/>
    <cellStyle name="集計 3 3 2 2 3" xfId="30013"/>
    <cellStyle name="集計 3 3 2 2 3 2" xfId="30014"/>
    <cellStyle name="集計 3 3 2 2 3 2 2" xfId="30015"/>
    <cellStyle name="集計 3 3 2 2 3 2 2 2" xfId="30016"/>
    <cellStyle name="集計 3 3 2 2 3 2 2 3" xfId="30017"/>
    <cellStyle name="集計 3 3 2 2 3 2 3" xfId="30018"/>
    <cellStyle name="集計 3 3 2 2 3 2 3 2" xfId="30019"/>
    <cellStyle name="集計 3 3 2 2 3 2 3 3" xfId="30020"/>
    <cellStyle name="集計 3 3 2 2 3 2 4" xfId="30021"/>
    <cellStyle name="集計 3 3 2 2 3 2 4 2" xfId="30022"/>
    <cellStyle name="集計 3 3 2 2 3 2 4 3" xfId="30023"/>
    <cellStyle name="集計 3 3 2 2 3 2 5" xfId="30024"/>
    <cellStyle name="集計 3 3 2 2 3 2 6" xfId="30025"/>
    <cellStyle name="集計 3 3 2 2 3 3" xfId="30026"/>
    <cellStyle name="集計 3 3 2 2 3 3 2" xfId="30027"/>
    <cellStyle name="集計 3 3 2 2 3 3 3" xfId="30028"/>
    <cellStyle name="集計 3 3 2 2 3 4" xfId="30029"/>
    <cellStyle name="集計 3 3 2 2 3 4 2" xfId="30030"/>
    <cellStyle name="集計 3 3 2 2 3 4 3" xfId="30031"/>
    <cellStyle name="集計 3 3 2 2 3 5" xfId="30032"/>
    <cellStyle name="集計 3 3 2 2 3 5 2" xfId="30033"/>
    <cellStyle name="集計 3 3 2 2 3 5 3" xfId="30034"/>
    <cellStyle name="集計 3 3 2 2 3 6" xfId="30035"/>
    <cellStyle name="集計 3 3 2 2 3 7" xfId="30036"/>
    <cellStyle name="集計 3 3 2 2 4" xfId="30037"/>
    <cellStyle name="集計 3 3 2 2 4 2" xfId="30038"/>
    <cellStyle name="集計 3 3 2 2 4 2 2" xfId="30039"/>
    <cellStyle name="集計 3 3 2 2 4 2 2 2" xfId="30040"/>
    <cellStyle name="集計 3 3 2 2 4 2 2 3" xfId="30041"/>
    <cellStyle name="集計 3 3 2 2 4 2 3" xfId="30042"/>
    <cellStyle name="集計 3 3 2 2 4 2 3 2" xfId="30043"/>
    <cellStyle name="集計 3 3 2 2 4 2 3 3" xfId="30044"/>
    <cellStyle name="集計 3 3 2 2 4 2 4" xfId="30045"/>
    <cellStyle name="集計 3 3 2 2 4 2 4 2" xfId="30046"/>
    <cellStyle name="集計 3 3 2 2 4 2 4 3" xfId="30047"/>
    <cellStyle name="集計 3 3 2 2 4 2 5" xfId="30048"/>
    <cellStyle name="集計 3 3 2 2 4 2 6" xfId="30049"/>
    <cellStyle name="集計 3 3 2 2 4 3" xfId="30050"/>
    <cellStyle name="集計 3 3 2 2 4 3 2" xfId="30051"/>
    <cellStyle name="集計 3 3 2 2 4 3 3" xfId="30052"/>
    <cellStyle name="集計 3 3 2 2 4 4" xfId="30053"/>
    <cellStyle name="集計 3 3 2 2 4 4 2" xfId="30054"/>
    <cellStyle name="集計 3 3 2 2 4 4 3" xfId="30055"/>
    <cellStyle name="集計 3 3 2 2 4 5" xfId="30056"/>
    <cellStyle name="集計 3 3 2 2 4 5 2" xfId="30057"/>
    <cellStyle name="集計 3 3 2 2 4 5 3" xfId="30058"/>
    <cellStyle name="集計 3 3 2 2 4 6" xfId="30059"/>
    <cellStyle name="集計 3 3 2 2 4 7" xfId="30060"/>
    <cellStyle name="集計 3 3 2 2 5" xfId="30061"/>
    <cellStyle name="集計 3 3 2 2 5 2" xfId="30062"/>
    <cellStyle name="集計 3 3 2 2 5 2 2" xfId="30063"/>
    <cellStyle name="集計 3 3 2 2 5 2 3" xfId="30064"/>
    <cellStyle name="集計 3 3 2 2 5 3" xfId="30065"/>
    <cellStyle name="集計 3 3 2 2 5 3 2" xfId="30066"/>
    <cellStyle name="集計 3 3 2 2 5 3 3" xfId="30067"/>
    <cellStyle name="集計 3 3 2 2 5 4" xfId="30068"/>
    <cellStyle name="集計 3 3 2 2 5 4 2" xfId="30069"/>
    <cellStyle name="集計 3 3 2 2 5 4 3" xfId="30070"/>
    <cellStyle name="集計 3 3 2 2 5 5" xfId="30071"/>
    <cellStyle name="集計 3 3 2 2 5 6" xfId="30072"/>
    <cellStyle name="集計 3 3 2 2 6" xfId="30073"/>
    <cellStyle name="集計 3 3 2 2 6 2" xfId="30074"/>
    <cellStyle name="集計 3 3 2 2 6 3" xfId="30075"/>
    <cellStyle name="集計 3 3 2 2 7" xfId="30076"/>
    <cellStyle name="集計 3 3 2 2 7 2" xfId="30077"/>
    <cellStyle name="集計 3 3 2 2 7 3" xfId="30078"/>
    <cellStyle name="集計 3 3 2 2 8" xfId="30079"/>
    <cellStyle name="集計 3 3 2 2 8 2" xfId="30080"/>
    <cellStyle name="集計 3 3 2 2 8 3" xfId="30081"/>
    <cellStyle name="集計 3 3 2 2 9" xfId="30082"/>
    <cellStyle name="集計 3 3 2 3" xfId="30083"/>
    <cellStyle name="集計 3 3 2 3 2" xfId="30084"/>
    <cellStyle name="集計 3 3 2 3 2 2" xfId="30085"/>
    <cellStyle name="集計 3 3 2 3 2 2 2" xfId="30086"/>
    <cellStyle name="集計 3 3 2 3 2 2 3" xfId="30087"/>
    <cellStyle name="集計 3 3 2 3 2 3" xfId="30088"/>
    <cellStyle name="集計 3 3 2 3 2 3 2" xfId="30089"/>
    <cellStyle name="集計 3 3 2 3 2 3 3" xfId="30090"/>
    <cellStyle name="集計 3 3 2 3 2 4" xfId="30091"/>
    <cellStyle name="集計 3 3 2 3 2 4 2" xfId="30092"/>
    <cellStyle name="集計 3 3 2 3 2 4 3" xfId="30093"/>
    <cellStyle name="集計 3 3 2 3 2 5" xfId="30094"/>
    <cellStyle name="集計 3 3 2 3 2 6" xfId="30095"/>
    <cellStyle name="集計 3 3 2 3 3" xfId="30096"/>
    <cellStyle name="集計 3 3 2 3 3 2" xfId="30097"/>
    <cellStyle name="集計 3 3 2 3 3 3" xfId="30098"/>
    <cellStyle name="集計 3 3 2 3 4" xfId="30099"/>
    <cellStyle name="集計 3 3 2 3 4 2" xfId="30100"/>
    <cellStyle name="集計 3 3 2 3 4 3" xfId="30101"/>
    <cellStyle name="集計 3 3 2 3 5" xfId="30102"/>
    <cellStyle name="集計 3 3 2 3 5 2" xfId="30103"/>
    <cellStyle name="集計 3 3 2 3 5 3" xfId="30104"/>
    <cellStyle name="集計 3 3 2 3 6" xfId="30105"/>
    <cellStyle name="集計 3 3 2 3 7" xfId="30106"/>
    <cellStyle name="集計 3 3 2 4" xfId="30107"/>
    <cellStyle name="集計 3 3 2 4 2" xfId="30108"/>
    <cellStyle name="集計 3 3 2 4 2 2" xfId="30109"/>
    <cellStyle name="集計 3 3 2 4 2 2 2" xfId="30110"/>
    <cellStyle name="集計 3 3 2 4 2 2 3" xfId="30111"/>
    <cellStyle name="集計 3 3 2 4 2 3" xfId="30112"/>
    <cellStyle name="集計 3 3 2 4 2 3 2" xfId="30113"/>
    <cellStyle name="集計 3 3 2 4 2 3 3" xfId="30114"/>
    <cellStyle name="集計 3 3 2 4 2 4" xfId="30115"/>
    <cellStyle name="集計 3 3 2 4 2 4 2" xfId="30116"/>
    <cellStyle name="集計 3 3 2 4 2 4 3" xfId="30117"/>
    <cellStyle name="集計 3 3 2 4 2 5" xfId="30118"/>
    <cellStyle name="集計 3 3 2 4 2 6" xfId="30119"/>
    <cellStyle name="集計 3 3 2 4 3" xfId="30120"/>
    <cellStyle name="集計 3 3 2 4 3 2" xfId="30121"/>
    <cellStyle name="集計 3 3 2 4 3 3" xfId="30122"/>
    <cellStyle name="集計 3 3 2 4 4" xfId="30123"/>
    <cellStyle name="集計 3 3 2 4 4 2" xfId="30124"/>
    <cellStyle name="集計 3 3 2 4 4 3" xfId="30125"/>
    <cellStyle name="集計 3 3 2 4 5" xfId="30126"/>
    <cellStyle name="集計 3 3 2 4 5 2" xfId="30127"/>
    <cellStyle name="集計 3 3 2 4 5 3" xfId="30128"/>
    <cellStyle name="集計 3 3 2 4 6" xfId="30129"/>
    <cellStyle name="集計 3 3 2 4 7" xfId="30130"/>
    <cellStyle name="集計 3 3 2 5" xfId="30131"/>
    <cellStyle name="集計 3 3 2 5 2" xfId="30132"/>
    <cellStyle name="集計 3 3 2 5 2 2" xfId="30133"/>
    <cellStyle name="集計 3 3 2 5 2 3" xfId="30134"/>
    <cellStyle name="集計 3 3 2 5 3" xfId="30135"/>
    <cellStyle name="集計 3 3 2 5 3 2" xfId="30136"/>
    <cellStyle name="集計 3 3 2 5 3 3" xfId="30137"/>
    <cellStyle name="集計 3 3 2 5 4" xfId="30138"/>
    <cellStyle name="集計 3 3 2 5 4 2" xfId="30139"/>
    <cellStyle name="集計 3 3 2 5 4 3" xfId="30140"/>
    <cellStyle name="集計 3 3 2 5 5" xfId="30141"/>
    <cellStyle name="集計 3 3 2 5 6" xfId="30142"/>
    <cellStyle name="集計 3 3 2 6" xfId="30143"/>
    <cellStyle name="集計 3 3 2 6 2" xfId="30144"/>
    <cellStyle name="集計 3 3 2 6 3" xfId="30145"/>
    <cellStyle name="集計 3 3 2 7" xfId="30146"/>
    <cellStyle name="集計 3 3 2 7 2" xfId="30147"/>
    <cellStyle name="集計 3 3 2 7 3" xfId="30148"/>
    <cellStyle name="集計 3 3 2 8" xfId="30149"/>
    <cellStyle name="集計 3 3 2 8 2" xfId="30150"/>
    <cellStyle name="集計 3 3 2 8 3" xfId="30151"/>
    <cellStyle name="集計 3 3 2 9" xfId="30152"/>
    <cellStyle name="集計 3 3 3" xfId="30153"/>
    <cellStyle name="集計 3 3 3 10" xfId="30154"/>
    <cellStyle name="集計 3 3 3 2" xfId="30155"/>
    <cellStyle name="集計 3 3 3 2 10" xfId="30156"/>
    <cellStyle name="集計 3 3 3 2 2" xfId="30157"/>
    <cellStyle name="集計 3 3 3 2 2 2" xfId="30158"/>
    <cellStyle name="集計 3 3 3 2 2 2 2" xfId="30159"/>
    <cellStyle name="集計 3 3 3 2 2 2 2 2" xfId="30160"/>
    <cellStyle name="集計 3 3 3 2 2 2 2 2 2" xfId="30161"/>
    <cellStyle name="集計 3 3 3 2 2 2 2 2 3" xfId="30162"/>
    <cellStyle name="集計 3 3 3 2 2 2 2 3" xfId="30163"/>
    <cellStyle name="集計 3 3 3 2 2 2 2 3 2" xfId="30164"/>
    <cellStyle name="集計 3 3 3 2 2 2 2 3 3" xfId="30165"/>
    <cellStyle name="集計 3 3 3 2 2 2 2 4" xfId="30166"/>
    <cellStyle name="集計 3 3 3 2 2 2 2 4 2" xfId="30167"/>
    <cellStyle name="集計 3 3 3 2 2 2 2 4 3" xfId="30168"/>
    <cellStyle name="集計 3 3 3 2 2 2 2 5" xfId="30169"/>
    <cellStyle name="集計 3 3 3 2 2 2 2 6" xfId="30170"/>
    <cellStyle name="集計 3 3 3 2 2 2 3" xfId="30171"/>
    <cellStyle name="集計 3 3 3 2 2 2 3 2" xfId="30172"/>
    <cellStyle name="集計 3 3 3 2 2 2 3 3" xfId="30173"/>
    <cellStyle name="集計 3 3 3 2 2 2 4" xfId="30174"/>
    <cellStyle name="集計 3 3 3 2 2 2 4 2" xfId="30175"/>
    <cellStyle name="集計 3 3 3 2 2 2 4 3" xfId="30176"/>
    <cellStyle name="集計 3 3 3 2 2 2 5" xfId="30177"/>
    <cellStyle name="集計 3 3 3 2 2 2 5 2" xfId="30178"/>
    <cellStyle name="集計 3 3 3 2 2 2 5 3" xfId="30179"/>
    <cellStyle name="集計 3 3 3 2 2 2 6" xfId="30180"/>
    <cellStyle name="集計 3 3 3 2 2 2 7" xfId="30181"/>
    <cellStyle name="集計 3 3 3 2 2 3" xfId="30182"/>
    <cellStyle name="集計 3 3 3 2 2 3 2" xfId="30183"/>
    <cellStyle name="集計 3 3 3 2 2 3 2 2" xfId="30184"/>
    <cellStyle name="集計 3 3 3 2 2 3 2 2 2" xfId="30185"/>
    <cellStyle name="集計 3 3 3 2 2 3 2 2 3" xfId="30186"/>
    <cellStyle name="集計 3 3 3 2 2 3 2 3" xfId="30187"/>
    <cellStyle name="集計 3 3 3 2 2 3 2 3 2" xfId="30188"/>
    <cellStyle name="集計 3 3 3 2 2 3 2 3 3" xfId="30189"/>
    <cellStyle name="集計 3 3 3 2 2 3 2 4" xfId="30190"/>
    <cellStyle name="集計 3 3 3 2 2 3 2 4 2" xfId="30191"/>
    <cellStyle name="集計 3 3 3 2 2 3 2 4 3" xfId="30192"/>
    <cellStyle name="集計 3 3 3 2 2 3 2 5" xfId="30193"/>
    <cellStyle name="集計 3 3 3 2 2 3 2 6" xfId="30194"/>
    <cellStyle name="集計 3 3 3 2 2 3 3" xfId="30195"/>
    <cellStyle name="集計 3 3 3 2 2 3 3 2" xfId="30196"/>
    <cellStyle name="集計 3 3 3 2 2 3 3 3" xfId="30197"/>
    <cellStyle name="集計 3 3 3 2 2 3 4" xfId="30198"/>
    <cellStyle name="集計 3 3 3 2 2 3 4 2" xfId="30199"/>
    <cellStyle name="集計 3 3 3 2 2 3 4 3" xfId="30200"/>
    <cellStyle name="集計 3 3 3 2 2 3 5" xfId="30201"/>
    <cellStyle name="集計 3 3 3 2 2 3 5 2" xfId="30202"/>
    <cellStyle name="集計 3 3 3 2 2 3 5 3" xfId="30203"/>
    <cellStyle name="集計 3 3 3 2 2 3 6" xfId="30204"/>
    <cellStyle name="集計 3 3 3 2 2 3 7" xfId="30205"/>
    <cellStyle name="集計 3 3 3 2 2 4" xfId="30206"/>
    <cellStyle name="集計 3 3 3 2 2 4 2" xfId="30207"/>
    <cellStyle name="集計 3 3 3 2 2 4 2 2" xfId="30208"/>
    <cellStyle name="集計 3 3 3 2 2 4 2 3" xfId="30209"/>
    <cellStyle name="集計 3 3 3 2 2 4 3" xfId="30210"/>
    <cellStyle name="集計 3 3 3 2 2 4 3 2" xfId="30211"/>
    <cellStyle name="集計 3 3 3 2 2 4 3 3" xfId="30212"/>
    <cellStyle name="集計 3 3 3 2 2 4 4" xfId="30213"/>
    <cellStyle name="集計 3 3 3 2 2 4 4 2" xfId="30214"/>
    <cellStyle name="集計 3 3 3 2 2 4 4 3" xfId="30215"/>
    <cellStyle name="集計 3 3 3 2 2 4 5" xfId="30216"/>
    <cellStyle name="集計 3 3 3 2 2 4 6" xfId="30217"/>
    <cellStyle name="集計 3 3 3 2 2 5" xfId="30218"/>
    <cellStyle name="集計 3 3 3 2 2 5 2" xfId="30219"/>
    <cellStyle name="集計 3 3 3 2 2 5 3" xfId="30220"/>
    <cellStyle name="集計 3 3 3 2 2 6" xfId="30221"/>
    <cellStyle name="集計 3 3 3 2 2 6 2" xfId="30222"/>
    <cellStyle name="集計 3 3 3 2 2 6 3" xfId="30223"/>
    <cellStyle name="集計 3 3 3 2 2 7" xfId="30224"/>
    <cellStyle name="集計 3 3 3 2 2 7 2" xfId="30225"/>
    <cellStyle name="集計 3 3 3 2 2 7 3" xfId="30226"/>
    <cellStyle name="集計 3 3 3 2 2 8" xfId="30227"/>
    <cellStyle name="集計 3 3 3 2 2 9" xfId="30228"/>
    <cellStyle name="集計 3 3 3 2 3" xfId="30229"/>
    <cellStyle name="集計 3 3 3 2 3 2" xfId="30230"/>
    <cellStyle name="集計 3 3 3 2 3 2 2" xfId="30231"/>
    <cellStyle name="集計 3 3 3 2 3 2 2 2" xfId="30232"/>
    <cellStyle name="集計 3 3 3 2 3 2 2 3" xfId="30233"/>
    <cellStyle name="集計 3 3 3 2 3 2 3" xfId="30234"/>
    <cellStyle name="集計 3 3 3 2 3 2 3 2" xfId="30235"/>
    <cellStyle name="集計 3 3 3 2 3 2 3 3" xfId="30236"/>
    <cellStyle name="集計 3 3 3 2 3 2 4" xfId="30237"/>
    <cellStyle name="集計 3 3 3 2 3 2 4 2" xfId="30238"/>
    <cellStyle name="集計 3 3 3 2 3 2 4 3" xfId="30239"/>
    <cellStyle name="集計 3 3 3 2 3 2 5" xfId="30240"/>
    <cellStyle name="集計 3 3 3 2 3 2 6" xfId="30241"/>
    <cellStyle name="集計 3 3 3 2 3 3" xfId="30242"/>
    <cellStyle name="集計 3 3 3 2 3 3 2" xfId="30243"/>
    <cellStyle name="集計 3 3 3 2 3 3 3" xfId="30244"/>
    <cellStyle name="集計 3 3 3 2 3 4" xfId="30245"/>
    <cellStyle name="集計 3 3 3 2 3 4 2" xfId="30246"/>
    <cellStyle name="集計 3 3 3 2 3 4 3" xfId="30247"/>
    <cellStyle name="集計 3 3 3 2 3 5" xfId="30248"/>
    <cellStyle name="集計 3 3 3 2 3 5 2" xfId="30249"/>
    <cellStyle name="集計 3 3 3 2 3 5 3" xfId="30250"/>
    <cellStyle name="集計 3 3 3 2 3 6" xfId="30251"/>
    <cellStyle name="集計 3 3 3 2 3 7" xfId="30252"/>
    <cellStyle name="集計 3 3 3 2 4" xfId="30253"/>
    <cellStyle name="集計 3 3 3 2 4 2" xfId="30254"/>
    <cellStyle name="集計 3 3 3 2 4 2 2" xfId="30255"/>
    <cellStyle name="集計 3 3 3 2 4 2 2 2" xfId="30256"/>
    <cellStyle name="集計 3 3 3 2 4 2 2 3" xfId="30257"/>
    <cellStyle name="集計 3 3 3 2 4 2 3" xfId="30258"/>
    <cellStyle name="集計 3 3 3 2 4 2 3 2" xfId="30259"/>
    <cellStyle name="集計 3 3 3 2 4 2 3 3" xfId="30260"/>
    <cellStyle name="集計 3 3 3 2 4 2 4" xfId="30261"/>
    <cellStyle name="集計 3 3 3 2 4 2 4 2" xfId="30262"/>
    <cellStyle name="集計 3 3 3 2 4 2 4 3" xfId="30263"/>
    <cellStyle name="集計 3 3 3 2 4 2 5" xfId="30264"/>
    <cellStyle name="集計 3 3 3 2 4 2 6" xfId="30265"/>
    <cellStyle name="集計 3 3 3 2 4 3" xfId="30266"/>
    <cellStyle name="集計 3 3 3 2 4 3 2" xfId="30267"/>
    <cellStyle name="集計 3 3 3 2 4 3 3" xfId="30268"/>
    <cellStyle name="集計 3 3 3 2 4 4" xfId="30269"/>
    <cellStyle name="集計 3 3 3 2 4 4 2" xfId="30270"/>
    <cellStyle name="集計 3 3 3 2 4 4 3" xfId="30271"/>
    <cellStyle name="集計 3 3 3 2 4 5" xfId="30272"/>
    <cellStyle name="集計 3 3 3 2 4 5 2" xfId="30273"/>
    <cellStyle name="集計 3 3 3 2 4 5 3" xfId="30274"/>
    <cellStyle name="集計 3 3 3 2 4 6" xfId="30275"/>
    <cellStyle name="集計 3 3 3 2 4 7" xfId="30276"/>
    <cellStyle name="集計 3 3 3 2 5" xfId="30277"/>
    <cellStyle name="集計 3 3 3 2 5 2" xfId="30278"/>
    <cellStyle name="集計 3 3 3 2 5 2 2" xfId="30279"/>
    <cellStyle name="集計 3 3 3 2 5 2 3" xfId="30280"/>
    <cellStyle name="集計 3 3 3 2 5 3" xfId="30281"/>
    <cellStyle name="集計 3 3 3 2 5 3 2" xfId="30282"/>
    <cellStyle name="集計 3 3 3 2 5 3 3" xfId="30283"/>
    <cellStyle name="集計 3 3 3 2 5 4" xfId="30284"/>
    <cellStyle name="集計 3 3 3 2 5 4 2" xfId="30285"/>
    <cellStyle name="集計 3 3 3 2 5 4 3" xfId="30286"/>
    <cellStyle name="集計 3 3 3 2 5 5" xfId="30287"/>
    <cellStyle name="集計 3 3 3 2 5 6" xfId="30288"/>
    <cellStyle name="集計 3 3 3 2 6" xfId="30289"/>
    <cellStyle name="集計 3 3 3 2 6 2" xfId="30290"/>
    <cellStyle name="集計 3 3 3 2 6 3" xfId="30291"/>
    <cellStyle name="集計 3 3 3 2 7" xfId="30292"/>
    <cellStyle name="集計 3 3 3 2 7 2" xfId="30293"/>
    <cellStyle name="集計 3 3 3 2 7 3" xfId="30294"/>
    <cellStyle name="集計 3 3 3 2 8" xfId="30295"/>
    <cellStyle name="集計 3 3 3 2 8 2" xfId="30296"/>
    <cellStyle name="集計 3 3 3 2 8 3" xfId="30297"/>
    <cellStyle name="集計 3 3 3 2 9" xfId="30298"/>
    <cellStyle name="集計 3 3 3 3" xfId="30299"/>
    <cellStyle name="集計 3 3 3 3 2" xfId="30300"/>
    <cellStyle name="集計 3 3 3 3 2 2" xfId="30301"/>
    <cellStyle name="集計 3 3 3 3 2 2 2" xfId="30302"/>
    <cellStyle name="集計 3 3 3 3 2 2 3" xfId="30303"/>
    <cellStyle name="集計 3 3 3 3 2 3" xfId="30304"/>
    <cellStyle name="集計 3 3 3 3 2 3 2" xfId="30305"/>
    <cellStyle name="集計 3 3 3 3 2 3 3" xfId="30306"/>
    <cellStyle name="集計 3 3 3 3 2 4" xfId="30307"/>
    <cellStyle name="集計 3 3 3 3 2 4 2" xfId="30308"/>
    <cellStyle name="集計 3 3 3 3 2 4 3" xfId="30309"/>
    <cellStyle name="集計 3 3 3 3 2 5" xfId="30310"/>
    <cellStyle name="集計 3 3 3 3 2 6" xfId="30311"/>
    <cellStyle name="集計 3 3 3 3 3" xfId="30312"/>
    <cellStyle name="集計 3 3 3 3 3 2" xfId="30313"/>
    <cellStyle name="集計 3 3 3 3 3 3" xfId="30314"/>
    <cellStyle name="集計 3 3 3 3 4" xfId="30315"/>
    <cellStyle name="集計 3 3 3 3 4 2" xfId="30316"/>
    <cellStyle name="集計 3 3 3 3 4 3" xfId="30317"/>
    <cellStyle name="集計 3 3 3 3 5" xfId="30318"/>
    <cellStyle name="集計 3 3 3 3 5 2" xfId="30319"/>
    <cellStyle name="集計 3 3 3 3 5 3" xfId="30320"/>
    <cellStyle name="集計 3 3 3 3 6" xfId="30321"/>
    <cellStyle name="集計 3 3 3 3 7" xfId="30322"/>
    <cellStyle name="集計 3 3 3 4" xfId="30323"/>
    <cellStyle name="集計 3 3 3 4 2" xfId="30324"/>
    <cellStyle name="集計 3 3 3 4 2 2" xfId="30325"/>
    <cellStyle name="集計 3 3 3 4 2 2 2" xfId="30326"/>
    <cellStyle name="集計 3 3 3 4 2 2 3" xfId="30327"/>
    <cellStyle name="集計 3 3 3 4 2 3" xfId="30328"/>
    <cellStyle name="集計 3 3 3 4 2 3 2" xfId="30329"/>
    <cellStyle name="集計 3 3 3 4 2 3 3" xfId="30330"/>
    <cellStyle name="集計 3 3 3 4 2 4" xfId="30331"/>
    <cellStyle name="集計 3 3 3 4 2 4 2" xfId="30332"/>
    <cellStyle name="集計 3 3 3 4 2 4 3" xfId="30333"/>
    <cellStyle name="集計 3 3 3 4 2 5" xfId="30334"/>
    <cellStyle name="集計 3 3 3 4 2 6" xfId="30335"/>
    <cellStyle name="集計 3 3 3 4 3" xfId="30336"/>
    <cellStyle name="集計 3 3 3 4 3 2" xfId="30337"/>
    <cellStyle name="集計 3 3 3 4 3 3" xfId="30338"/>
    <cellStyle name="集計 3 3 3 4 4" xfId="30339"/>
    <cellStyle name="集計 3 3 3 4 4 2" xfId="30340"/>
    <cellStyle name="集計 3 3 3 4 4 3" xfId="30341"/>
    <cellStyle name="集計 3 3 3 4 5" xfId="30342"/>
    <cellStyle name="集計 3 3 3 4 5 2" xfId="30343"/>
    <cellStyle name="集計 3 3 3 4 5 3" xfId="30344"/>
    <cellStyle name="集計 3 3 3 4 6" xfId="30345"/>
    <cellStyle name="集計 3 3 3 4 7" xfId="30346"/>
    <cellStyle name="集計 3 3 3 5" xfId="30347"/>
    <cellStyle name="集計 3 3 3 5 2" xfId="30348"/>
    <cellStyle name="集計 3 3 3 5 2 2" xfId="30349"/>
    <cellStyle name="集計 3 3 3 5 2 3" xfId="30350"/>
    <cellStyle name="集計 3 3 3 5 3" xfId="30351"/>
    <cellStyle name="集計 3 3 3 5 3 2" xfId="30352"/>
    <cellStyle name="集計 3 3 3 5 3 3" xfId="30353"/>
    <cellStyle name="集計 3 3 3 5 4" xfId="30354"/>
    <cellStyle name="集計 3 3 3 5 4 2" xfId="30355"/>
    <cellStyle name="集計 3 3 3 5 4 3" xfId="30356"/>
    <cellStyle name="集計 3 3 3 5 5" xfId="30357"/>
    <cellStyle name="集計 3 3 3 5 6" xfId="30358"/>
    <cellStyle name="集計 3 3 3 6" xfId="30359"/>
    <cellStyle name="集計 3 3 3 6 2" xfId="30360"/>
    <cellStyle name="集計 3 3 3 6 3" xfId="30361"/>
    <cellStyle name="集計 3 3 3 7" xfId="30362"/>
    <cellStyle name="集計 3 3 3 7 2" xfId="30363"/>
    <cellStyle name="集計 3 3 3 7 3" xfId="30364"/>
    <cellStyle name="集計 3 3 3 8" xfId="30365"/>
    <cellStyle name="集計 3 3 3 8 2" xfId="30366"/>
    <cellStyle name="集計 3 3 3 8 3" xfId="30367"/>
    <cellStyle name="集計 3 3 3 9" xfId="30368"/>
    <cellStyle name="集計 3 3 4" xfId="30369"/>
    <cellStyle name="集計 3 3 4 10" xfId="30370"/>
    <cellStyle name="集計 3 3 4 2" xfId="30371"/>
    <cellStyle name="集計 3 3 4 2 10" xfId="30372"/>
    <cellStyle name="集計 3 3 4 2 2" xfId="30373"/>
    <cellStyle name="集計 3 3 4 2 2 2" xfId="30374"/>
    <cellStyle name="集計 3 3 4 2 2 2 2" xfId="30375"/>
    <cellStyle name="集計 3 3 4 2 2 2 2 2" xfId="30376"/>
    <cellStyle name="集計 3 3 4 2 2 2 2 2 2" xfId="30377"/>
    <cellStyle name="集計 3 3 4 2 2 2 2 2 3" xfId="30378"/>
    <cellStyle name="集計 3 3 4 2 2 2 2 3" xfId="30379"/>
    <cellStyle name="集計 3 3 4 2 2 2 2 3 2" xfId="30380"/>
    <cellStyle name="集計 3 3 4 2 2 2 2 3 3" xfId="30381"/>
    <cellStyle name="集計 3 3 4 2 2 2 2 4" xfId="30382"/>
    <cellStyle name="集計 3 3 4 2 2 2 2 4 2" xfId="30383"/>
    <cellStyle name="集計 3 3 4 2 2 2 2 4 3" xfId="30384"/>
    <cellStyle name="集計 3 3 4 2 2 2 2 5" xfId="30385"/>
    <cellStyle name="集計 3 3 4 2 2 2 2 6" xfId="30386"/>
    <cellStyle name="集計 3 3 4 2 2 2 3" xfId="30387"/>
    <cellStyle name="集計 3 3 4 2 2 2 3 2" xfId="30388"/>
    <cellStyle name="集計 3 3 4 2 2 2 3 3" xfId="30389"/>
    <cellStyle name="集計 3 3 4 2 2 2 4" xfId="30390"/>
    <cellStyle name="集計 3 3 4 2 2 2 4 2" xfId="30391"/>
    <cellStyle name="集計 3 3 4 2 2 2 4 3" xfId="30392"/>
    <cellStyle name="集計 3 3 4 2 2 2 5" xfId="30393"/>
    <cellStyle name="集計 3 3 4 2 2 2 5 2" xfId="30394"/>
    <cellStyle name="集計 3 3 4 2 2 2 5 3" xfId="30395"/>
    <cellStyle name="集計 3 3 4 2 2 2 6" xfId="30396"/>
    <cellStyle name="集計 3 3 4 2 2 2 7" xfId="30397"/>
    <cellStyle name="集計 3 3 4 2 2 3" xfId="30398"/>
    <cellStyle name="集計 3 3 4 2 2 3 2" xfId="30399"/>
    <cellStyle name="集計 3 3 4 2 2 3 2 2" xfId="30400"/>
    <cellStyle name="集計 3 3 4 2 2 3 2 2 2" xfId="30401"/>
    <cellStyle name="集計 3 3 4 2 2 3 2 2 3" xfId="30402"/>
    <cellStyle name="集計 3 3 4 2 2 3 2 3" xfId="30403"/>
    <cellStyle name="集計 3 3 4 2 2 3 2 3 2" xfId="30404"/>
    <cellStyle name="集計 3 3 4 2 2 3 2 3 3" xfId="30405"/>
    <cellStyle name="集計 3 3 4 2 2 3 2 4" xfId="30406"/>
    <cellStyle name="集計 3 3 4 2 2 3 2 4 2" xfId="30407"/>
    <cellStyle name="集計 3 3 4 2 2 3 2 4 3" xfId="30408"/>
    <cellStyle name="集計 3 3 4 2 2 3 2 5" xfId="30409"/>
    <cellStyle name="集計 3 3 4 2 2 3 2 6" xfId="30410"/>
    <cellStyle name="集計 3 3 4 2 2 3 3" xfId="30411"/>
    <cellStyle name="集計 3 3 4 2 2 3 3 2" xfId="30412"/>
    <cellStyle name="集計 3 3 4 2 2 3 3 3" xfId="30413"/>
    <cellStyle name="集計 3 3 4 2 2 3 4" xfId="30414"/>
    <cellStyle name="集計 3 3 4 2 2 3 4 2" xfId="30415"/>
    <cellStyle name="集計 3 3 4 2 2 3 4 3" xfId="30416"/>
    <cellStyle name="集計 3 3 4 2 2 3 5" xfId="30417"/>
    <cellStyle name="集計 3 3 4 2 2 3 5 2" xfId="30418"/>
    <cellStyle name="集計 3 3 4 2 2 3 5 3" xfId="30419"/>
    <cellStyle name="集計 3 3 4 2 2 3 6" xfId="30420"/>
    <cellStyle name="集計 3 3 4 2 2 3 7" xfId="30421"/>
    <cellStyle name="集計 3 3 4 2 2 4" xfId="30422"/>
    <cellStyle name="集計 3 3 4 2 2 4 2" xfId="30423"/>
    <cellStyle name="集計 3 3 4 2 2 4 2 2" xfId="30424"/>
    <cellStyle name="集計 3 3 4 2 2 4 2 3" xfId="30425"/>
    <cellStyle name="集計 3 3 4 2 2 4 3" xfId="30426"/>
    <cellStyle name="集計 3 3 4 2 2 4 3 2" xfId="30427"/>
    <cellStyle name="集計 3 3 4 2 2 4 3 3" xfId="30428"/>
    <cellStyle name="集計 3 3 4 2 2 4 4" xfId="30429"/>
    <cellStyle name="集計 3 3 4 2 2 4 4 2" xfId="30430"/>
    <cellStyle name="集計 3 3 4 2 2 4 4 3" xfId="30431"/>
    <cellStyle name="集計 3 3 4 2 2 4 5" xfId="30432"/>
    <cellStyle name="集計 3 3 4 2 2 4 6" xfId="30433"/>
    <cellStyle name="集計 3 3 4 2 2 5" xfId="30434"/>
    <cellStyle name="集計 3 3 4 2 2 5 2" xfId="30435"/>
    <cellStyle name="集計 3 3 4 2 2 5 3" xfId="30436"/>
    <cellStyle name="集計 3 3 4 2 2 6" xfId="30437"/>
    <cellStyle name="集計 3 3 4 2 2 6 2" xfId="30438"/>
    <cellStyle name="集計 3 3 4 2 2 6 3" xfId="30439"/>
    <cellStyle name="集計 3 3 4 2 2 7" xfId="30440"/>
    <cellStyle name="集計 3 3 4 2 2 7 2" xfId="30441"/>
    <cellStyle name="集計 3 3 4 2 2 7 3" xfId="30442"/>
    <cellStyle name="集計 3 3 4 2 2 8" xfId="30443"/>
    <cellStyle name="集計 3 3 4 2 2 9" xfId="30444"/>
    <cellStyle name="集計 3 3 4 2 3" xfId="30445"/>
    <cellStyle name="集計 3 3 4 2 3 2" xfId="30446"/>
    <cellStyle name="集計 3 3 4 2 3 2 2" xfId="30447"/>
    <cellStyle name="集計 3 3 4 2 3 2 2 2" xfId="30448"/>
    <cellStyle name="集計 3 3 4 2 3 2 2 3" xfId="30449"/>
    <cellStyle name="集計 3 3 4 2 3 2 3" xfId="30450"/>
    <cellStyle name="集計 3 3 4 2 3 2 3 2" xfId="30451"/>
    <cellStyle name="集計 3 3 4 2 3 2 3 3" xfId="30452"/>
    <cellStyle name="集計 3 3 4 2 3 2 4" xfId="30453"/>
    <cellStyle name="集計 3 3 4 2 3 2 4 2" xfId="30454"/>
    <cellStyle name="集計 3 3 4 2 3 2 4 3" xfId="30455"/>
    <cellStyle name="集計 3 3 4 2 3 2 5" xfId="30456"/>
    <cellStyle name="集計 3 3 4 2 3 2 6" xfId="30457"/>
    <cellStyle name="集計 3 3 4 2 3 3" xfId="30458"/>
    <cellStyle name="集計 3 3 4 2 3 3 2" xfId="30459"/>
    <cellStyle name="集計 3 3 4 2 3 3 3" xfId="30460"/>
    <cellStyle name="集計 3 3 4 2 3 4" xfId="30461"/>
    <cellStyle name="集計 3 3 4 2 3 4 2" xfId="30462"/>
    <cellStyle name="集計 3 3 4 2 3 4 3" xfId="30463"/>
    <cellStyle name="集計 3 3 4 2 3 5" xfId="30464"/>
    <cellStyle name="集計 3 3 4 2 3 5 2" xfId="30465"/>
    <cellStyle name="集計 3 3 4 2 3 5 3" xfId="30466"/>
    <cellStyle name="集計 3 3 4 2 3 6" xfId="30467"/>
    <cellStyle name="集計 3 3 4 2 3 7" xfId="30468"/>
    <cellStyle name="集計 3 3 4 2 4" xfId="30469"/>
    <cellStyle name="集計 3 3 4 2 4 2" xfId="30470"/>
    <cellStyle name="集計 3 3 4 2 4 2 2" xfId="30471"/>
    <cellStyle name="集計 3 3 4 2 4 2 2 2" xfId="30472"/>
    <cellStyle name="集計 3 3 4 2 4 2 2 3" xfId="30473"/>
    <cellStyle name="集計 3 3 4 2 4 2 3" xfId="30474"/>
    <cellStyle name="集計 3 3 4 2 4 2 3 2" xfId="30475"/>
    <cellStyle name="集計 3 3 4 2 4 2 3 3" xfId="30476"/>
    <cellStyle name="集計 3 3 4 2 4 2 4" xfId="30477"/>
    <cellStyle name="集計 3 3 4 2 4 2 4 2" xfId="30478"/>
    <cellStyle name="集計 3 3 4 2 4 2 4 3" xfId="30479"/>
    <cellStyle name="集計 3 3 4 2 4 2 5" xfId="30480"/>
    <cellStyle name="集計 3 3 4 2 4 2 6" xfId="30481"/>
    <cellStyle name="集計 3 3 4 2 4 3" xfId="30482"/>
    <cellStyle name="集計 3 3 4 2 4 3 2" xfId="30483"/>
    <cellStyle name="集計 3 3 4 2 4 3 3" xfId="30484"/>
    <cellStyle name="集計 3 3 4 2 4 4" xfId="30485"/>
    <cellStyle name="集計 3 3 4 2 4 4 2" xfId="30486"/>
    <cellStyle name="集計 3 3 4 2 4 4 3" xfId="30487"/>
    <cellStyle name="集計 3 3 4 2 4 5" xfId="30488"/>
    <cellStyle name="集計 3 3 4 2 4 5 2" xfId="30489"/>
    <cellStyle name="集計 3 3 4 2 4 5 3" xfId="30490"/>
    <cellStyle name="集計 3 3 4 2 4 6" xfId="30491"/>
    <cellStyle name="集計 3 3 4 2 4 7" xfId="30492"/>
    <cellStyle name="集計 3 3 4 2 5" xfId="30493"/>
    <cellStyle name="集計 3 3 4 2 5 2" xfId="30494"/>
    <cellStyle name="集計 3 3 4 2 5 2 2" xfId="30495"/>
    <cellStyle name="集計 3 3 4 2 5 2 3" xfId="30496"/>
    <cellStyle name="集計 3 3 4 2 5 3" xfId="30497"/>
    <cellStyle name="集計 3 3 4 2 5 3 2" xfId="30498"/>
    <cellStyle name="集計 3 3 4 2 5 3 3" xfId="30499"/>
    <cellStyle name="集計 3 3 4 2 5 4" xfId="30500"/>
    <cellStyle name="集計 3 3 4 2 5 4 2" xfId="30501"/>
    <cellStyle name="集計 3 3 4 2 5 4 3" xfId="30502"/>
    <cellStyle name="集計 3 3 4 2 5 5" xfId="30503"/>
    <cellStyle name="集計 3 3 4 2 5 6" xfId="30504"/>
    <cellStyle name="集計 3 3 4 2 6" xfId="30505"/>
    <cellStyle name="集計 3 3 4 2 6 2" xfId="30506"/>
    <cellStyle name="集計 3 3 4 2 6 3" xfId="30507"/>
    <cellStyle name="集計 3 3 4 2 7" xfId="30508"/>
    <cellStyle name="集計 3 3 4 2 7 2" xfId="30509"/>
    <cellStyle name="集計 3 3 4 2 7 3" xfId="30510"/>
    <cellStyle name="集計 3 3 4 2 8" xfId="30511"/>
    <cellStyle name="集計 3 3 4 2 8 2" xfId="30512"/>
    <cellStyle name="集計 3 3 4 2 8 3" xfId="30513"/>
    <cellStyle name="集計 3 3 4 2 9" xfId="30514"/>
    <cellStyle name="集計 3 3 4 3" xfId="30515"/>
    <cellStyle name="集計 3 3 4 3 2" xfId="30516"/>
    <cellStyle name="集計 3 3 4 3 2 2" xfId="30517"/>
    <cellStyle name="集計 3 3 4 3 2 2 2" xfId="30518"/>
    <cellStyle name="集計 3 3 4 3 2 2 3" xfId="30519"/>
    <cellStyle name="集計 3 3 4 3 2 3" xfId="30520"/>
    <cellStyle name="集計 3 3 4 3 2 3 2" xfId="30521"/>
    <cellStyle name="集計 3 3 4 3 2 3 3" xfId="30522"/>
    <cellStyle name="集計 3 3 4 3 2 4" xfId="30523"/>
    <cellStyle name="集計 3 3 4 3 2 4 2" xfId="30524"/>
    <cellStyle name="集計 3 3 4 3 2 4 3" xfId="30525"/>
    <cellStyle name="集計 3 3 4 3 2 5" xfId="30526"/>
    <cellStyle name="集計 3 3 4 3 2 6" xfId="30527"/>
    <cellStyle name="集計 3 3 4 3 3" xfId="30528"/>
    <cellStyle name="集計 3 3 4 3 3 2" xfId="30529"/>
    <cellStyle name="集計 3 3 4 3 3 3" xfId="30530"/>
    <cellStyle name="集計 3 3 4 3 4" xfId="30531"/>
    <cellStyle name="集計 3 3 4 3 4 2" xfId="30532"/>
    <cellStyle name="集計 3 3 4 3 4 3" xfId="30533"/>
    <cellStyle name="集計 3 3 4 3 5" xfId="30534"/>
    <cellStyle name="集計 3 3 4 3 5 2" xfId="30535"/>
    <cellStyle name="集計 3 3 4 3 5 3" xfId="30536"/>
    <cellStyle name="集計 3 3 4 3 6" xfId="30537"/>
    <cellStyle name="集計 3 3 4 3 7" xfId="30538"/>
    <cellStyle name="集計 3 3 4 4" xfId="30539"/>
    <cellStyle name="集計 3 3 4 4 2" xfId="30540"/>
    <cellStyle name="集計 3 3 4 4 2 2" xfId="30541"/>
    <cellStyle name="集計 3 3 4 4 2 2 2" xfId="30542"/>
    <cellStyle name="集計 3 3 4 4 2 2 3" xfId="30543"/>
    <cellStyle name="集計 3 3 4 4 2 3" xfId="30544"/>
    <cellStyle name="集計 3 3 4 4 2 3 2" xfId="30545"/>
    <cellStyle name="集計 3 3 4 4 2 3 3" xfId="30546"/>
    <cellStyle name="集計 3 3 4 4 2 4" xfId="30547"/>
    <cellStyle name="集計 3 3 4 4 2 4 2" xfId="30548"/>
    <cellStyle name="集計 3 3 4 4 2 4 3" xfId="30549"/>
    <cellStyle name="集計 3 3 4 4 2 5" xfId="30550"/>
    <cellStyle name="集計 3 3 4 4 2 6" xfId="30551"/>
    <cellStyle name="集計 3 3 4 4 3" xfId="30552"/>
    <cellStyle name="集計 3 3 4 4 3 2" xfId="30553"/>
    <cellStyle name="集計 3 3 4 4 3 3" xfId="30554"/>
    <cellStyle name="集計 3 3 4 4 4" xfId="30555"/>
    <cellStyle name="集計 3 3 4 4 4 2" xfId="30556"/>
    <cellStyle name="集計 3 3 4 4 4 3" xfId="30557"/>
    <cellStyle name="集計 3 3 4 4 5" xfId="30558"/>
    <cellStyle name="集計 3 3 4 4 5 2" xfId="30559"/>
    <cellStyle name="集計 3 3 4 4 5 3" xfId="30560"/>
    <cellStyle name="集計 3 3 4 4 6" xfId="30561"/>
    <cellStyle name="集計 3 3 4 4 7" xfId="30562"/>
    <cellStyle name="集計 3 3 4 5" xfId="30563"/>
    <cellStyle name="集計 3 3 4 5 2" xfId="30564"/>
    <cellStyle name="集計 3 3 4 5 2 2" xfId="30565"/>
    <cellStyle name="集計 3 3 4 5 2 3" xfId="30566"/>
    <cellStyle name="集計 3 3 4 5 3" xfId="30567"/>
    <cellStyle name="集計 3 3 4 5 3 2" xfId="30568"/>
    <cellStyle name="集計 3 3 4 5 3 3" xfId="30569"/>
    <cellStyle name="集計 3 3 4 5 4" xfId="30570"/>
    <cellStyle name="集計 3 3 4 5 4 2" xfId="30571"/>
    <cellStyle name="集計 3 3 4 5 4 3" xfId="30572"/>
    <cellStyle name="集計 3 3 4 5 5" xfId="30573"/>
    <cellStyle name="集計 3 3 4 5 6" xfId="30574"/>
    <cellStyle name="集計 3 3 4 6" xfId="30575"/>
    <cellStyle name="集計 3 3 4 6 2" xfId="30576"/>
    <cellStyle name="集計 3 3 4 6 3" xfId="30577"/>
    <cellStyle name="集計 3 3 4 7" xfId="30578"/>
    <cellStyle name="集計 3 3 4 7 2" xfId="30579"/>
    <cellStyle name="集計 3 3 4 7 3" xfId="30580"/>
    <cellStyle name="集計 3 3 4 8" xfId="30581"/>
    <cellStyle name="集計 3 3 4 8 2" xfId="30582"/>
    <cellStyle name="集計 3 3 4 8 3" xfId="30583"/>
    <cellStyle name="集計 3 3 4 9" xfId="30584"/>
    <cellStyle name="集計 3 3 5" xfId="30585"/>
    <cellStyle name="集計 3 3 5 10" xfId="30586"/>
    <cellStyle name="集計 3 3 5 2" xfId="30587"/>
    <cellStyle name="集計 3 3 5 2 2" xfId="30588"/>
    <cellStyle name="集計 3 3 5 2 2 2" xfId="30589"/>
    <cellStyle name="集計 3 3 5 2 2 2 2" xfId="30590"/>
    <cellStyle name="集計 3 3 5 2 2 2 2 2" xfId="30591"/>
    <cellStyle name="集計 3 3 5 2 2 2 2 3" xfId="30592"/>
    <cellStyle name="集計 3 3 5 2 2 2 3" xfId="30593"/>
    <cellStyle name="集計 3 3 5 2 2 2 3 2" xfId="30594"/>
    <cellStyle name="集計 3 3 5 2 2 2 3 3" xfId="30595"/>
    <cellStyle name="集計 3 3 5 2 2 2 4" xfId="30596"/>
    <cellStyle name="集計 3 3 5 2 2 2 4 2" xfId="30597"/>
    <cellStyle name="集計 3 3 5 2 2 2 4 3" xfId="30598"/>
    <cellStyle name="集計 3 3 5 2 2 2 5" xfId="30599"/>
    <cellStyle name="集計 3 3 5 2 2 2 6" xfId="30600"/>
    <cellStyle name="集計 3 3 5 2 2 3" xfId="30601"/>
    <cellStyle name="集計 3 3 5 2 2 3 2" xfId="30602"/>
    <cellStyle name="集計 3 3 5 2 2 3 3" xfId="30603"/>
    <cellStyle name="集計 3 3 5 2 2 4" xfId="30604"/>
    <cellStyle name="集計 3 3 5 2 2 4 2" xfId="30605"/>
    <cellStyle name="集計 3 3 5 2 2 4 3" xfId="30606"/>
    <cellStyle name="集計 3 3 5 2 2 5" xfId="30607"/>
    <cellStyle name="集計 3 3 5 2 2 5 2" xfId="30608"/>
    <cellStyle name="集計 3 3 5 2 2 5 3" xfId="30609"/>
    <cellStyle name="集計 3 3 5 2 2 6" xfId="30610"/>
    <cellStyle name="集計 3 3 5 2 2 7" xfId="30611"/>
    <cellStyle name="集計 3 3 5 2 3" xfId="30612"/>
    <cellStyle name="集計 3 3 5 2 3 2" xfId="30613"/>
    <cellStyle name="集計 3 3 5 2 3 2 2" xfId="30614"/>
    <cellStyle name="集計 3 3 5 2 3 2 2 2" xfId="30615"/>
    <cellStyle name="集計 3 3 5 2 3 2 2 3" xfId="30616"/>
    <cellStyle name="集計 3 3 5 2 3 2 3" xfId="30617"/>
    <cellStyle name="集計 3 3 5 2 3 2 3 2" xfId="30618"/>
    <cellStyle name="集計 3 3 5 2 3 2 3 3" xfId="30619"/>
    <cellStyle name="集計 3 3 5 2 3 2 4" xfId="30620"/>
    <cellStyle name="集計 3 3 5 2 3 2 4 2" xfId="30621"/>
    <cellStyle name="集計 3 3 5 2 3 2 4 3" xfId="30622"/>
    <cellStyle name="集計 3 3 5 2 3 2 5" xfId="30623"/>
    <cellStyle name="集計 3 3 5 2 3 2 6" xfId="30624"/>
    <cellStyle name="集計 3 3 5 2 3 3" xfId="30625"/>
    <cellStyle name="集計 3 3 5 2 3 3 2" xfId="30626"/>
    <cellStyle name="集計 3 3 5 2 3 3 3" xfId="30627"/>
    <cellStyle name="集計 3 3 5 2 3 4" xfId="30628"/>
    <cellStyle name="集計 3 3 5 2 3 4 2" xfId="30629"/>
    <cellStyle name="集計 3 3 5 2 3 4 3" xfId="30630"/>
    <cellStyle name="集計 3 3 5 2 3 5" xfId="30631"/>
    <cellStyle name="集計 3 3 5 2 3 5 2" xfId="30632"/>
    <cellStyle name="集計 3 3 5 2 3 5 3" xfId="30633"/>
    <cellStyle name="集計 3 3 5 2 3 6" xfId="30634"/>
    <cellStyle name="集計 3 3 5 2 3 7" xfId="30635"/>
    <cellStyle name="集計 3 3 5 2 4" xfId="30636"/>
    <cellStyle name="集計 3 3 5 2 4 2" xfId="30637"/>
    <cellStyle name="集計 3 3 5 2 4 2 2" xfId="30638"/>
    <cellStyle name="集計 3 3 5 2 4 2 3" xfId="30639"/>
    <cellStyle name="集計 3 3 5 2 4 3" xfId="30640"/>
    <cellStyle name="集計 3 3 5 2 4 3 2" xfId="30641"/>
    <cellStyle name="集計 3 3 5 2 4 3 3" xfId="30642"/>
    <cellStyle name="集計 3 3 5 2 4 4" xfId="30643"/>
    <cellStyle name="集計 3 3 5 2 4 4 2" xfId="30644"/>
    <cellStyle name="集計 3 3 5 2 4 4 3" xfId="30645"/>
    <cellStyle name="集計 3 3 5 2 4 5" xfId="30646"/>
    <cellStyle name="集計 3 3 5 2 4 6" xfId="30647"/>
    <cellStyle name="集計 3 3 5 2 5" xfId="30648"/>
    <cellStyle name="集計 3 3 5 2 5 2" xfId="30649"/>
    <cellStyle name="集計 3 3 5 2 5 3" xfId="30650"/>
    <cellStyle name="集計 3 3 5 2 6" xfId="30651"/>
    <cellStyle name="集計 3 3 5 2 6 2" xfId="30652"/>
    <cellStyle name="集計 3 3 5 2 6 3" xfId="30653"/>
    <cellStyle name="集計 3 3 5 2 7" xfId="30654"/>
    <cellStyle name="集計 3 3 5 2 7 2" xfId="30655"/>
    <cellStyle name="集計 3 3 5 2 7 3" xfId="30656"/>
    <cellStyle name="集計 3 3 5 2 8" xfId="30657"/>
    <cellStyle name="集計 3 3 5 2 9" xfId="30658"/>
    <cellStyle name="集計 3 3 5 3" xfId="30659"/>
    <cellStyle name="集計 3 3 5 3 2" xfId="30660"/>
    <cellStyle name="集計 3 3 5 3 2 2" xfId="30661"/>
    <cellStyle name="集計 3 3 5 3 2 2 2" xfId="30662"/>
    <cellStyle name="集計 3 3 5 3 2 2 3" xfId="30663"/>
    <cellStyle name="集計 3 3 5 3 2 3" xfId="30664"/>
    <cellStyle name="集計 3 3 5 3 2 3 2" xfId="30665"/>
    <cellStyle name="集計 3 3 5 3 2 3 3" xfId="30666"/>
    <cellStyle name="集計 3 3 5 3 2 4" xfId="30667"/>
    <cellStyle name="集計 3 3 5 3 2 4 2" xfId="30668"/>
    <cellStyle name="集計 3 3 5 3 2 4 3" xfId="30669"/>
    <cellStyle name="集計 3 3 5 3 2 5" xfId="30670"/>
    <cellStyle name="集計 3 3 5 3 2 6" xfId="30671"/>
    <cellStyle name="集計 3 3 5 3 3" xfId="30672"/>
    <cellStyle name="集計 3 3 5 3 3 2" xfId="30673"/>
    <cellStyle name="集計 3 3 5 3 3 3" xfId="30674"/>
    <cellStyle name="集計 3 3 5 3 4" xfId="30675"/>
    <cellStyle name="集計 3 3 5 3 4 2" xfId="30676"/>
    <cellStyle name="集計 3 3 5 3 4 3" xfId="30677"/>
    <cellStyle name="集計 3 3 5 3 5" xfId="30678"/>
    <cellStyle name="集計 3 3 5 3 5 2" xfId="30679"/>
    <cellStyle name="集計 3 3 5 3 5 3" xfId="30680"/>
    <cellStyle name="集計 3 3 5 3 6" xfId="30681"/>
    <cellStyle name="集計 3 3 5 3 7" xfId="30682"/>
    <cellStyle name="集計 3 3 5 4" xfId="30683"/>
    <cellStyle name="集計 3 3 5 4 2" xfId="30684"/>
    <cellStyle name="集計 3 3 5 4 2 2" xfId="30685"/>
    <cellStyle name="集計 3 3 5 4 2 2 2" xfId="30686"/>
    <cellStyle name="集計 3 3 5 4 2 2 3" xfId="30687"/>
    <cellStyle name="集計 3 3 5 4 2 3" xfId="30688"/>
    <cellStyle name="集計 3 3 5 4 2 3 2" xfId="30689"/>
    <cellStyle name="集計 3 3 5 4 2 3 3" xfId="30690"/>
    <cellStyle name="集計 3 3 5 4 2 4" xfId="30691"/>
    <cellStyle name="集計 3 3 5 4 2 4 2" xfId="30692"/>
    <cellStyle name="集計 3 3 5 4 2 4 3" xfId="30693"/>
    <cellStyle name="集計 3 3 5 4 2 5" xfId="30694"/>
    <cellStyle name="集計 3 3 5 4 2 6" xfId="30695"/>
    <cellStyle name="集計 3 3 5 4 3" xfId="30696"/>
    <cellStyle name="集計 3 3 5 4 3 2" xfId="30697"/>
    <cellStyle name="集計 3 3 5 4 3 3" xfId="30698"/>
    <cellStyle name="集計 3 3 5 4 4" xfId="30699"/>
    <cellStyle name="集計 3 3 5 4 4 2" xfId="30700"/>
    <cellStyle name="集計 3 3 5 4 4 3" xfId="30701"/>
    <cellStyle name="集計 3 3 5 4 5" xfId="30702"/>
    <cellStyle name="集計 3 3 5 4 5 2" xfId="30703"/>
    <cellStyle name="集計 3 3 5 4 5 3" xfId="30704"/>
    <cellStyle name="集計 3 3 5 4 6" xfId="30705"/>
    <cellStyle name="集計 3 3 5 4 7" xfId="30706"/>
    <cellStyle name="集計 3 3 5 5" xfId="30707"/>
    <cellStyle name="集計 3 3 5 5 2" xfId="30708"/>
    <cellStyle name="集計 3 3 5 5 2 2" xfId="30709"/>
    <cellStyle name="集計 3 3 5 5 2 3" xfId="30710"/>
    <cellStyle name="集計 3 3 5 5 3" xfId="30711"/>
    <cellStyle name="集計 3 3 5 5 3 2" xfId="30712"/>
    <cellStyle name="集計 3 3 5 5 3 3" xfId="30713"/>
    <cellStyle name="集計 3 3 5 5 4" xfId="30714"/>
    <cellStyle name="集計 3 3 5 5 4 2" xfId="30715"/>
    <cellStyle name="集計 3 3 5 5 4 3" xfId="30716"/>
    <cellStyle name="集計 3 3 5 5 5" xfId="30717"/>
    <cellStyle name="集計 3 3 5 5 6" xfId="30718"/>
    <cellStyle name="集計 3 3 5 6" xfId="30719"/>
    <cellStyle name="集計 3 3 5 6 2" xfId="30720"/>
    <cellStyle name="集計 3 3 5 6 3" xfId="30721"/>
    <cellStyle name="集計 3 3 5 7" xfId="30722"/>
    <cellStyle name="集計 3 3 5 7 2" xfId="30723"/>
    <cellStyle name="集計 3 3 5 7 3" xfId="30724"/>
    <cellStyle name="集計 3 3 5 8" xfId="30725"/>
    <cellStyle name="集計 3 3 5 8 2" xfId="30726"/>
    <cellStyle name="集計 3 3 5 8 3" xfId="30727"/>
    <cellStyle name="集計 3 3 5 9" xfId="30728"/>
    <cellStyle name="集計 3 3 6" xfId="30729"/>
    <cellStyle name="集計 3 3 6 10" xfId="30730"/>
    <cellStyle name="集計 3 3 6 2" xfId="30731"/>
    <cellStyle name="集計 3 3 6 2 2" xfId="30732"/>
    <cellStyle name="集計 3 3 6 2 2 2" xfId="30733"/>
    <cellStyle name="集計 3 3 6 2 2 2 2" xfId="30734"/>
    <cellStyle name="集計 3 3 6 2 2 2 2 2" xfId="30735"/>
    <cellStyle name="集計 3 3 6 2 2 2 2 3" xfId="30736"/>
    <cellStyle name="集計 3 3 6 2 2 2 3" xfId="30737"/>
    <cellStyle name="集計 3 3 6 2 2 2 3 2" xfId="30738"/>
    <cellStyle name="集計 3 3 6 2 2 2 3 3" xfId="30739"/>
    <cellStyle name="集計 3 3 6 2 2 2 4" xfId="30740"/>
    <cellStyle name="集計 3 3 6 2 2 2 4 2" xfId="30741"/>
    <cellStyle name="集計 3 3 6 2 2 2 4 3" xfId="30742"/>
    <cellStyle name="集計 3 3 6 2 2 2 5" xfId="30743"/>
    <cellStyle name="集計 3 3 6 2 2 2 6" xfId="30744"/>
    <cellStyle name="集計 3 3 6 2 2 3" xfId="30745"/>
    <cellStyle name="集計 3 3 6 2 2 3 2" xfId="30746"/>
    <cellStyle name="集計 3 3 6 2 2 3 3" xfId="30747"/>
    <cellStyle name="集計 3 3 6 2 2 4" xfId="30748"/>
    <cellStyle name="集計 3 3 6 2 2 4 2" xfId="30749"/>
    <cellStyle name="集計 3 3 6 2 2 4 3" xfId="30750"/>
    <cellStyle name="集計 3 3 6 2 2 5" xfId="30751"/>
    <cellStyle name="集計 3 3 6 2 2 5 2" xfId="30752"/>
    <cellStyle name="集計 3 3 6 2 2 5 3" xfId="30753"/>
    <cellStyle name="集計 3 3 6 2 2 6" xfId="30754"/>
    <cellStyle name="集計 3 3 6 2 2 7" xfId="30755"/>
    <cellStyle name="集計 3 3 6 2 3" xfId="30756"/>
    <cellStyle name="集計 3 3 6 2 3 2" xfId="30757"/>
    <cellStyle name="集計 3 3 6 2 3 2 2" xfId="30758"/>
    <cellStyle name="集計 3 3 6 2 3 2 2 2" xfId="30759"/>
    <cellStyle name="集計 3 3 6 2 3 2 2 3" xfId="30760"/>
    <cellStyle name="集計 3 3 6 2 3 2 3" xfId="30761"/>
    <cellStyle name="集計 3 3 6 2 3 2 3 2" xfId="30762"/>
    <cellStyle name="集計 3 3 6 2 3 2 3 3" xfId="30763"/>
    <cellStyle name="集計 3 3 6 2 3 2 4" xfId="30764"/>
    <cellStyle name="集計 3 3 6 2 3 2 4 2" xfId="30765"/>
    <cellStyle name="集計 3 3 6 2 3 2 4 3" xfId="30766"/>
    <cellStyle name="集計 3 3 6 2 3 2 5" xfId="30767"/>
    <cellStyle name="集計 3 3 6 2 3 2 6" xfId="30768"/>
    <cellStyle name="集計 3 3 6 2 3 3" xfId="30769"/>
    <cellStyle name="集計 3 3 6 2 3 3 2" xfId="30770"/>
    <cellStyle name="集計 3 3 6 2 3 3 3" xfId="30771"/>
    <cellStyle name="集計 3 3 6 2 3 4" xfId="30772"/>
    <cellStyle name="集計 3 3 6 2 3 4 2" xfId="30773"/>
    <cellStyle name="集計 3 3 6 2 3 4 3" xfId="30774"/>
    <cellStyle name="集計 3 3 6 2 3 5" xfId="30775"/>
    <cellStyle name="集計 3 3 6 2 3 5 2" xfId="30776"/>
    <cellStyle name="集計 3 3 6 2 3 5 3" xfId="30777"/>
    <cellStyle name="集計 3 3 6 2 3 6" xfId="30778"/>
    <cellStyle name="集計 3 3 6 2 3 7" xfId="30779"/>
    <cellStyle name="集計 3 3 6 2 4" xfId="30780"/>
    <cellStyle name="集計 3 3 6 2 4 2" xfId="30781"/>
    <cellStyle name="集計 3 3 6 2 4 2 2" xfId="30782"/>
    <cellStyle name="集計 3 3 6 2 4 2 3" xfId="30783"/>
    <cellStyle name="集計 3 3 6 2 4 3" xfId="30784"/>
    <cellStyle name="集計 3 3 6 2 4 3 2" xfId="30785"/>
    <cellStyle name="集計 3 3 6 2 4 3 3" xfId="30786"/>
    <cellStyle name="集計 3 3 6 2 4 4" xfId="30787"/>
    <cellStyle name="集計 3 3 6 2 4 4 2" xfId="30788"/>
    <cellStyle name="集計 3 3 6 2 4 4 3" xfId="30789"/>
    <cellStyle name="集計 3 3 6 2 4 5" xfId="30790"/>
    <cellStyle name="集計 3 3 6 2 4 6" xfId="30791"/>
    <cellStyle name="集計 3 3 6 2 5" xfId="30792"/>
    <cellStyle name="集計 3 3 6 2 5 2" xfId="30793"/>
    <cellStyle name="集計 3 3 6 2 5 3" xfId="30794"/>
    <cellStyle name="集計 3 3 6 2 6" xfId="30795"/>
    <cellStyle name="集計 3 3 6 2 6 2" xfId="30796"/>
    <cellStyle name="集計 3 3 6 2 6 3" xfId="30797"/>
    <cellStyle name="集計 3 3 6 2 7" xfId="30798"/>
    <cellStyle name="集計 3 3 6 2 7 2" xfId="30799"/>
    <cellStyle name="集計 3 3 6 2 7 3" xfId="30800"/>
    <cellStyle name="集計 3 3 6 2 8" xfId="30801"/>
    <cellStyle name="集計 3 3 6 2 9" xfId="30802"/>
    <cellStyle name="集計 3 3 6 3" xfId="30803"/>
    <cellStyle name="集計 3 3 6 3 2" xfId="30804"/>
    <cellStyle name="集計 3 3 6 3 2 2" xfId="30805"/>
    <cellStyle name="集計 3 3 6 3 2 2 2" xfId="30806"/>
    <cellStyle name="集計 3 3 6 3 2 2 3" xfId="30807"/>
    <cellStyle name="集計 3 3 6 3 2 3" xfId="30808"/>
    <cellStyle name="集計 3 3 6 3 2 3 2" xfId="30809"/>
    <cellStyle name="集計 3 3 6 3 2 3 3" xfId="30810"/>
    <cellStyle name="集計 3 3 6 3 2 4" xfId="30811"/>
    <cellStyle name="集計 3 3 6 3 2 4 2" xfId="30812"/>
    <cellStyle name="集計 3 3 6 3 2 4 3" xfId="30813"/>
    <cellStyle name="集計 3 3 6 3 2 5" xfId="30814"/>
    <cellStyle name="集計 3 3 6 3 2 6" xfId="30815"/>
    <cellStyle name="集計 3 3 6 3 3" xfId="30816"/>
    <cellStyle name="集計 3 3 6 3 3 2" xfId="30817"/>
    <cellStyle name="集計 3 3 6 3 3 3" xfId="30818"/>
    <cellStyle name="集計 3 3 6 3 4" xfId="30819"/>
    <cellStyle name="集計 3 3 6 3 4 2" xfId="30820"/>
    <cellStyle name="集計 3 3 6 3 4 3" xfId="30821"/>
    <cellStyle name="集計 3 3 6 3 5" xfId="30822"/>
    <cellStyle name="集計 3 3 6 3 5 2" xfId="30823"/>
    <cellStyle name="集計 3 3 6 3 5 3" xfId="30824"/>
    <cellStyle name="集計 3 3 6 3 6" xfId="30825"/>
    <cellStyle name="集計 3 3 6 3 7" xfId="30826"/>
    <cellStyle name="集計 3 3 6 4" xfId="30827"/>
    <cellStyle name="集計 3 3 6 4 2" xfId="30828"/>
    <cellStyle name="集計 3 3 6 4 2 2" xfId="30829"/>
    <cellStyle name="集計 3 3 6 4 2 2 2" xfId="30830"/>
    <cellStyle name="集計 3 3 6 4 2 2 3" xfId="30831"/>
    <cellStyle name="集計 3 3 6 4 2 3" xfId="30832"/>
    <cellStyle name="集計 3 3 6 4 2 3 2" xfId="30833"/>
    <cellStyle name="集計 3 3 6 4 2 3 3" xfId="30834"/>
    <cellStyle name="集計 3 3 6 4 2 4" xfId="30835"/>
    <cellStyle name="集計 3 3 6 4 2 4 2" xfId="30836"/>
    <cellStyle name="集計 3 3 6 4 2 4 3" xfId="30837"/>
    <cellStyle name="集計 3 3 6 4 2 5" xfId="30838"/>
    <cellStyle name="集計 3 3 6 4 2 6" xfId="30839"/>
    <cellStyle name="集計 3 3 6 4 3" xfId="30840"/>
    <cellStyle name="集計 3 3 6 4 3 2" xfId="30841"/>
    <cellStyle name="集計 3 3 6 4 3 3" xfId="30842"/>
    <cellStyle name="集計 3 3 6 4 4" xfId="30843"/>
    <cellStyle name="集計 3 3 6 4 4 2" xfId="30844"/>
    <cellStyle name="集計 3 3 6 4 4 3" xfId="30845"/>
    <cellStyle name="集計 3 3 6 4 5" xfId="30846"/>
    <cellStyle name="集計 3 3 6 4 5 2" xfId="30847"/>
    <cellStyle name="集計 3 3 6 4 5 3" xfId="30848"/>
    <cellStyle name="集計 3 3 6 4 6" xfId="30849"/>
    <cellStyle name="集計 3 3 6 4 7" xfId="30850"/>
    <cellStyle name="集計 3 3 6 5" xfId="30851"/>
    <cellStyle name="集計 3 3 6 5 2" xfId="30852"/>
    <cellStyle name="集計 3 3 6 5 2 2" xfId="30853"/>
    <cellStyle name="集計 3 3 6 5 2 3" xfId="30854"/>
    <cellStyle name="集計 3 3 6 5 3" xfId="30855"/>
    <cellStyle name="集計 3 3 6 5 3 2" xfId="30856"/>
    <cellStyle name="集計 3 3 6 5 3 3" xfId="30857"/>
    <cellStyle name="集計 3 3 6 5 4" xfId="30858"/>
    <cellStyle name="集計 3 3 6 5 4 2" xfId="30859"/>
    <cellStyle name="集計 3 3 6 5 4 3" xfId="30860"/>
    <cellStyle name="集計 3 3 6 5 5" xfId="30861"/>
    <cellStyle name="集計 3 3 6 5 6" xfId="30862"/>
    <cellStyle name="集計 3 3 6 6" xfId="30863"/>
    <cellStyle name="集計 3 3 6 6 2" xfId="30864"/>
    <cellStyle name="集計 3 3 6 6 3" xfId="30865"/>
    <cellStyle name="集計 3 3 6 7" xfId="30866"/>
    <cellStyle name="集計 3 3 6 7 2" xfId="30867"/>
    <cellStyle name="集計 3 3 6 7 3" xfId="30868"/>
    <cellStyle name="集計 3 3 6 8" xfId="30869"/>
    <cellStyle name="集計 3 3 6 8 2" xfId="30870"/>
    <cellStyle name="集計 3 3 6 8 3" xfId="30871"/>
    <cellStyle name="集計 3 3 6 9" xfId="30872"/>
    <cellStyle name="集計 3 3 7" xfId="30873"/>
    <cellStyle name="集計 3 3 7 2" xfId="30874"/>
    <cellStyle name="集計 3 3 7 2 2" xfId="30875"/>
    <cellStyle name="集計 3 3 7 2 2 2" xfId="30876"/>
    <cellStyle name="集計 3 3 7 2 2 3" xfId="30877"/>
    <cellStyle name="集計 3 3 7 2 3" xfId="30878"/>
    <cellStyle name="集計 3 3 7 2 3 2" xfId="30879"/>
    <cellStyle name="集計 3 3 7 2 3 3" xfId="30880"/>
    <cellStyle name="集計 3 3 7 2 4" xfId="30881"/>
    <cellStyle name="集計 3 3 7 2 4 2" xfId="30882"/>
    <cellStyle name="集計 3 3 7 2 4 3" xfId="30883"/>
    <cellStyle name="集計 3 3 7 2 5" xfId="30884"/>
    <cellStyle name="集計 3 3 7 2 6" xfId="30885"/>
    <cellStyle name="集計 3 3 7 3" xfId="30886"/>
    <cellStyle name="集計 3 3 7 3 2" xfId="30887"/>
    <cellStyle name="集計 3 3 7 3 3" xfId="30888"/>
    <cellStyle name="集計 3 3 7 4" xfId="30889"/>
    <cellStyle name="集計 3 3 7 4 2" xfId="30890"/>
    <cellStyle name="集計 3 3 7 4 3" xfId="30891"/>
    <cellStyle name="集計 3 3 7 5" xfId="30892"/>
    <cellStyle name="集計 3 3 7 5 2" xfId="30893"/>
    <cellStyle name="集計 3 3 7 5 3" xfId="30894"/>
    <cellStyle name="集計 3 3 7 6" xfId="30895"/>
    <cellStyle name="集計 3 3 7 7" xfId="30896"/>
    <cellStyle name="集計 3 3 8" xfId="30897"/>
    <cellStyle name="集計 3 3 8 2" xfId="30898"/>
    <cellStyle name="集計 3 3 8 2 2" xfId="30899"/>
    <cellStyle name="集計 3 3 8 2 2 2" xfId="30900"/>
    <cellStyle name="集計 3 3 8 2 2 3" xfId="30901"/>
    <cellStyle name="集計 3 3 8 2 3" xfId="30902"/>
    <cellStyle name="集計 3 3 8 2 3 2" xfId="30903"/>
    <cellStyle name="集計 3 3 8 2 3 3" xfId="30904"/>
    <cellStyle name="集計 3 3 8 2 4" xfId="30905"/>
    <cellStyle name="集計 3 3 8 2 4 2" xfId="30906"/>
    <cellStyle name="集計 3 3 8 2 4 3" xfId="30907"/>
    <cellStyle name="集計 3 3 8 2 5" xfId="30908"/>
    <cellStyle name="集計 3 3 8 2 6" xfId="30909"/>
    <cellStyle name="集計 3 3 8 3" xfId="30910"/>
    <cellStyle name="集計 3 3 8 3 2" xfId="30911"/>
    <cellStyle name="集計 3 3 8 3 3" xfId="30912"/>
    <cellStyle name="集計 3 3 8 4" xfId="30913"/>
    <cellStyle name="集計 3 3 8 4 2" xfId="30914"/>
    <cellStyle name="集計 3 3 8 4 3" xfId="30915"/>
    <cellStyle name="集計 3 3 8 5" xfId="30916"/>
    <cellStyle name="集計 3 3 8 5 2" xfId="30917"/>
    <cellStyle name="集計 3 3 8 5 3" xfId="30918"/>
    <cellStyle name="集計 3 3 8 6" xfId="30919"/>
    <cellStyle name="集計 3 3 8 7" xfId="30920"/>
    <cellStyle name="集計 3 3 9" xfId="30921"/>
    <cellStyle name="集計 3 3 9 2" xfId="30922"/>
    <cellStyle name="集計 3 3 9 2 2" xfId="30923"/>
    <cellStyle name="集計 3 3 9 2 3" xfId="30924"/>
    <cellStyle name="集計 3 3 9 3" xfId="30925"/>
    <cellStyle name="集計 3 3 9 3 2" xfId="30926"/>
    <cellStyle name="集計 3 3 9 3 3" xfId="30927"/>
    <cellStyle name="集計 3 3 9 4" xfId="30928"/>
    <cellStyle name="集計 3 3 9 4 2" xfId="30929"/>
    <cellStyle name="集計 3 3 9 4 3" xfId="30930"/>
    <cellStyle name="集計 3 3 9 5" xfId="30931"/>
    <cellStyle name="集計 3 3 9 6" xfId="30932"/>
    <cellStyle name="集計 3 4" xfId="30933"/>
    <cellStyle name="集計 3 4 10" xfId="30934"/>
    <cellStyle name="集計 3 4 10 2" xfId="30935"/>
    <cellStyle name="集計 3 4 10 3" xfId="30936"/>
    <cellStyle name="集計 3 4 11" xfId="30937"/>
    <cellStyle name="集計 3 4 11 2" xfId="30938"/>
    <cellStyle name="集計 3 4 11 3" xfId="30939"/>
    <cellStyle name="集計 3 4 12" xfId="30940"/>
    <cellStyle name="集計 3 4 12 2" xfId="30941"/>
    <cellStyle name="集計 3 4 12 3" xfId="30942"/>
    <cellStyle name="集計 3 4 13" xfId="30943"/>
    <cellStyle name="集計 3 4 14" xfId="30944"/>
    <cellStyle name="集計 3 4 2" xfId="30945"/>
    <cellStyle name="集計 3 4 2 10" xfId="30946"/>
    <cellStyle name="集計 3 4 2 2" xfId="30947"/>
    <cellStyle name="集計 3 4 2 2 10" xfId="30948"/>
    <cellStyle name="集計 3 4 2 2 2" xfId="30949"/>
    <cellStyle name="集計 3 4 2 2 2 2" xfId="30950"/>
    <cellStyle name="集計 3 4 2 2 2 2 2" xfId="30951"/>
    <cellStyle name="集計 3 4 2 2 2 2 2 2" xfId="30952"/>
    <cellStyle name="集計 3 4 2 2 2 2 2 2 2" xfId="30953"/>
    <cellStyle name="集計 3 4 2 2 2 2 2 2 3" xfId="30954"/>
    <cellStyle name="集計 3 4 2 2 2 2 2 3" xfId="30955"/>
    <cellStyle name="集計 3 4 2 2 2 2 2 3 2" xfId="30956"/>
    <cellStyle name="集計 3 4 2 2 2 2 2 3 3" xfId="30957"/>
    <cellStyle name="集計 3 4 2 2 2 2 2 4" xfId="30958"/>
    <cellStyle name="集計 3 4 2 2 2 2 2 4 2" xfId="30959"/>
    <cellStyle name="集計 3 4 2 2 2 2 2 4 3" xfId="30960"/>
    <cellStyle name="集計 3 4 2 2 2 2 2 5" xfId="30961"/>
    <cellStyle name="集計 3 4 2 2 2 2 2 6" xfId="30962"/>
    <cellStyle name="集計 3 4 2 2 2 2 3" xfId="30963"/>
    <cellStyle name="集計 3 4 2 2 2 2 3 2" xfId="30964"/>
    <cellStyle name="集計 3 4 2 2 2 2 3 3" xfId="30965"/>
    <cellStyle name="集計 3 4 2 2 2 2 4" xfId="30966"/>
    <cellStyle name="集計 3 4 2 2 2 2 4 2" xfId="30967"/>
    <cellStyle name="集計 3 4 2 2 2 2 4 3" xfId="30968"/>
    <cellStyle name="集計 3 4 2 2 2 2 5" xfId="30969"/>
    <cellStyle name="集計 3 4 2 2 2 2 5 2" xfId="30970"/>
    <cellStyle name="集計 3 4 2 2 2 2 5 3" xfId="30971"/>
    <cellStyle name="集計 3 4 2 2 2 2 6" xfId="30972"/>
    <cellStyle name="集計 3 4 2 2 2 2 7" xfId="30973"/>
    <cellStyle name="集計 3 4 2 2 2 3" xfId="30974"/>
    <cellStyle name="集計 3 4 2 2 2 3 2" xfId="30975"/>
    <cellStyle name="集計 3 4 2 2 2 3 2 2" xfId="30976"/>
    <cellStyle name="集計 3 4 2 2 2 3 2 2 2" xfId="30977"/>
    <cellStyle name="集計 3 4 2 2 2 3 2 2 3" xfId="30978"/>
    <cellStyle name="集計 3 4 2 2 2 3 2 3" xfId="30979"/>
    <cellStyle name="集計 3 4 2 2 2 3 2 3 2" xfId="30980"/>
    <cellStyle name="集計 3 4 2 2 2 3 2 3 3" xfId="30981"/>
    <cellStyle name="集計 3 4 2 2 2 3 2 4" xfId="30982"/>
    <cellStyle name="集計 3 4 2 2 2 3 2 4 2" xfId="30983"/>
    <cellStyle name="集計 3 4 2 2 2 3 2 4 3" xfId="30984"/>
    <cellStyle name="集計 3 4 2 2 2 3 2 5" xfId="30985"/>
    <cellStyle name="集計 3 4 2 2 2 3 2 6" xfId="30986"/>
    <cellStyle name="集計 3 4 2 2 2 3 3" xfId="30987"/>
    <cellStyle name="集計 3 4 2 2 2 3 3 2" xfId="30988"/>
    <cellStyle name="集計 3 4 2 2 2 3 3 3" xfId="30989"/>
    <cellStyle name="集計 3 4 2 2 2 3 4" xfId="30990"/>
    <cellStyle name="集計 3 4 2 2 2 3 4 2" xfId="30991"/>
    <cellStyle name="集計 3 4 2 2 2 3 4 3" xfId="30992"/>
    <cellStyle name="集計 3 4 2 2 2 3 5" xfId="30993"/>
    <cellStyle name="集計 3 4 2 2 2 3 5 2" xfId="30994"/>
    <cellStyle name="集計 3 4 2 2 2 3 5 3" xfId="30995"/>
    <cellStyle name="集計 3 4 2 2 2 3 6" xfId="30996"/>
    <cellStyle name="集計 3 4 2 2 2 3 7" xfId="30997"/>
    <cellStyle name="集計 3 4 2 2 2 4" xfId="30998"/>
    <cellStyle name="集計 3 4 2 2 2 4 2" xfId="30999"/>
    <cellStyle name="集計 3 4 2 2 2 4 2 2" xfId="31000"/>
    <cellStyle name="集計 3 4 2 2 2 4 2 3" xfId="31001"/>
    <cellStyle name="集計 3 4 2 2 2 4 3" xfId="31002"/>
    <cellStyle name="集計 3 4 2 2 2 4 3 2" xfId="31003"/>
    <cellStyle name="集計 3 4 2 2 2 4 3 3" xfId="31004"/>
    <cellStyle name="集計 3 4 2 2 2 4 4" xfId="31005"/>
    <cellStyle name="集計 3 4 2 2 2 4 4 2" xfId="31006"/>
    <cellStyle name="集計 3 4 2 2 2 4 4 3" xfId="31007"/>
    <cellStyle name="集計 3 4 2 2 2 4 5" xfId="31008"/>
    <cellStyle name="集計 3 4 2 2 2 4 6" xfId="31009"/>
    <cellStyle name="集計 3 4 2 2 2 5" xfId="31010"/>
    <cellStyle name="集計 3 4 2 2 2 5 2" xfId="31011"/>
    <cellStyle name="集計 3 4 2 2 2 5 3" xfId="31012"/>
    <cellStyle name="集計 3 4 2 2 2 6" xfId="31013"/>
    <cellStyle name="集計 3 4 2 2 2 6 2" xfId="31014"/>
    <cellStyle name="集計 3 4 2 2 2 6 3" xfId="31015"/>
    <cellStyle name="集計 3 4 2 2 2 7" xfId="31016"/>
    <cellStyle name="集計 3 4 2 2 2 7 2" xfId="31017"/>
    <cellStyle name="集計 3 4 2 2 2 7 3" xfId="31018"/>
    <cellStyle name="集計 3 4 2 2 2 8" xfId="31019"/>
    <cellStyle name="集計 3 4 2 2 2 9" xfId="31020"/>
    <cellStyle name="集計 3 4 2 2 3" xfId="31021"/>
    <cellStyle name="集計 3 4 2 2 3 2" xfId="31022"/>
    <cellStyle name="集計 3 4 2 2 3 2 2" xfId="31023"/>
    <cellStyle name="集計 3 4 2 2 3 2 2 2" xfId="31024"/>
    <cellStyle name="集計 3 4 2 2 3 2 2 3" xfId="31025"/>
    <cellStyle name="集計 3 4 2 2 3 2 3" xfId="31026"/>
    <cellStyle name="集計 3 4 2 2 3 2 3 2" xfId="31027"/>
    <cellStyle name="集計 3 4 2 2 3 2 3 3" xfId="31028"/>
    <cellStyle name="集計 3 4 2 2 3 2 4" xfId="31029"/>
    <cellStyle name="集計 3 4 2 2 3 2 4 2" xfId="31030"/>
    <cellStyle name="集計 3 4 2 2 3 2 4 3" xfId="31031"/>
    <cellStyle name="集計 3 4 2 2 3 2 5" xfId="31032"/>
    <cellStyle name="集計 3 4 2 2 3 2 6" xfId="31033"/>
    <cellStyle name="集計 3 4 2 2 3 3" xfId="31034"/>
    <cellStyle name="集計 3 4 2 2 3 3 2" xfId="31035"/>
    <cellStyle name="集計 3 4 2 2 3 3 3" xfId="31036"/>
    <cellStyle name="集計 3 4 2 2 3 4" xfId="31037"/>
    <cellStyle name="集計 3 4 2 2 3 4 2" xfId="31038"/>
    <cellStyle name="集計 3 4 2 2 3 4 3" xfId="31039"/>
    <cellStyle name="集計 3 4 2 2 3 5" xfId="31040"/>
    <cellStyle name="集計 3 4 2 2 3 5 2" xfId="31041"/>
    <cellStyle name="集計 3 4 2 2 3 5 3" xfId="31042"/>
    <cellStyle name="集計 3 4 2 2 3 6" xfId="31043"/>
    <cellStyle name="集計 3 4 2 2 3 7" xfId="31044"/>
    <cellStyle name="集計 3 4 2 2 4" xfId="31045"/>
    <cellStyle name="集計 3 4 2 2 4 2" xfId="31046"/>
    <cellStyle name="集計 3 4 2 2 4 2 2" xfId="31047"/>
    <cellStyle name="集計 3 4 2 2 4 2 2 2" xfId="31048"/>
    <cellStyle name="集計 3 4 2 2 4 2 2 3" xfId="31049"/>
    <cellStyle name="集計 3 4 2 2 4 2 3" xfId="31050"/>
    <cellStyle name="集計 3 4 2 2 4 2 3 2" xfId="31051"/>
    <cellStyle name="集計 3 4 2 2 4 2 3 3" xfId="31052"/>
    <cellStyle name="集計 3 4 2 2 4 2 4" xfId="31053"/>
    <cellStyle name="集計 3 4 2 2 4 2 4 2" xfId="31054"/>
    <cellStyle name="集計 3 4 2 2 4 2 4 3" xfId="31055"/>
    <cellStyle name="集計 3 4 2 2 4 2 5" xfId="31056"/>
    <cellStyle name="集計 3 4 2 2 4 2 6" xfId="31057"/>
    <cellStyle name="集計 3 4 2 2 4 3" xfId="31058"/>
    <cellStyle name="集計 3 4 2 2 4 3 2" xfId="31059"/>
    <cellStyle name="集計 3 4 2 2 4 3 3" xfId="31060"/>
    <cellStyle name="集計 3 4 2 2 4 4" xfId="31061"/>
    <cellStyle name="集計 3 4 2 2 4 4 2" xfId="31062"/>
    <cellStyle name="集計 3 4 2 2 4 4 3" xfId="31063"/>
    <cellStyle name="集計 3 4 2 2 4 5" xfId="31064"/>
    <cellStyle name="集計 3 4 2 2 4 5 2" xfId="31065"/>
    <cellStyle name="集計 3 4 2 2 4 5 3" xfId="31066"/>
    <cellStyle name="集計 3 4 2 2 4 6" xfId="31067"/>
    <cellStyle name="集計 3 4 2 2 4 7" xfId="31068"/>
    <cellStyle name="集計 3 4 2 2 5" xfId="31069"/>
    <cellStyle name="集計 3 4 2 2 5 2" xfId="31070"/>
    <cellStyle name="集計 3 4 2 2 5 2 2" xfId="31071"/>
    <cellStyle name="集計 3 4 2 2 5 2 3" xfId="31072"/>
    <cellStyle name="集計 3 4 2 2 5 3" xfId="31073"/>
    <cellStyle name="集計 3 4 2 2 5 3 2" xfId="31074"/>
    <cellStyle name="集計 3 4 2 2 5 3 3" xfId="31075"/>
    <cellStyle name="集計 3 4 2 2 5 4" xfId="31076"/>
    <cellStyle name="集計 3 4 2 2 5 4 2" xfId="31077"/>
    <cellStyle name="集計 3 4 2 2 5 4 3" xfId="31078"/>
    <cellStyle name="集計 3 4 2 2 5 5" xfId="31079"/>
    <cellStyle name="集計 3 4 2 2 5 6" xfId="31080"/>
    <cellStyle name="集計 3 4 2 2 6" xfId="31081"/>
    <cellStyle name="集計 3 4 2 2 6 2" xfId="31082"/>
    <cellStyle name="集計 3 4 2 2 6 3" xfId="31083"/>
    <cellStyle name="集計 3 4 2 2 7" xfId="31084"/>
    <cellStyle name="集計 3 4 2 2 7 2" xfId="31085"/>
    <cellStyle name="集計 3 4 2 2 7 3" xfId="31086"/>
    <cellStyle name="集計 3 4 2 2 8" xfId="31087"/>
    <cellStyle name="集計 3 4 2 2 8 2" xfId="31088"/>
    <cellStyle name="集計 3 4 2 2 8 3" xfId="31089"/>
    <cellStyle name="集計 3 4 2 2 9" xfId="31090"/>
    <cellStyle name="集計 3 4 2 3" xfId="31091"/>
    <cellStyle name="集計 3 4 2 3 2" xfId="31092"/>
    <cellStyle name="集計 3 4 2 3 2 2" xfId="31093"/>
    <cellStyle name="集計 3 4 2 3 2 2 2" xfId="31094"/>
    <cellStyle name="集計 3 4 2 3 2 2 3" xfId="31095"/>
    <cellStyle name="集計 3 4 2 3 2 3" xfId="31096"/>
    <cellStyle name="集計 3 4 2 3 2 3 2" xfId="31097"/>
    <cellStyle name="集計 3 4 2 3 2 3 3" xfId="31098"/>
    <cellStyle name="集計 3 4 2 3 2 4" xfId="31099"/>
    <cellStyle name="集計 3 4 2 3 2 4 2" xfId="31100"/>
    <cellStyle name="集計 3 4 2 3 2 4 3" xfId="31101"/>
    <cellStyle name="集計 3 4 2 3 2 5" xfId="31102"/>
    <cellStyle name="集計 3 4 2 3 2 6" xfId="31103"/>
    <cellStyle name="集計 3 4 2 3 3" xfId="31104"/>
    <cellStyle name="集計 3 4 2 3 3 2" xfId="31105"/>
    <cellStyle name="集計 3 4 2 3 3 3" xfId="31106"/>
    <cellStyle name="集計 3 4 2 3 4" xfId="31107"/>
    <cellStyle name="集計 3 4 2 3 4 2" xfId="31108"/>
    <cellStyle name="集計 3 4 2 3 4 3" xfId="31109"/>
    <cellStyle name="集計 3 4 2 3 5" xfId="31110"/>
    <cellStyle name="集計 3 4 2 3 5 2" xfId="31111"/>
    <cellStyle name="集計 3 4 2 3 5 3" xfId="31112"/>
    <cellStyle name="集計 3 4 2 3 6" xfId="31113"/>
    <cellStyle name="集計 3 4 2 3 7" xfId="31114"/>
    <cellStyle name="集計 3 4 2 4" xfId="31115"/>
    <cellStyle name="集計 3 4 2 4 2" xfId="31116"/>
    <cellStyle name="集計 3 4 2 4 2 2" xfId="31117"/>
    <cellStyle name="集計 3 4 2 4 2 2 2" xfId="31118"/>
    <cellStyle name="集計 3 4 2 4 2 2 3" xfId="31119"/>
    <cellStyle name="集計 3 4 2 4 2 3" xfId="31120"/>
    <cellStyle name="集計 3 4 2 4 2 3 2" xfId="31121"/>
    <cellStyle name="集計 3 4 2 4 2 3 3" xfId="31122"/>
    <cellStyle name="集計 3 4 2 4 2 4" xfId="31123"/>
    <cellStyle name="集計 3 4 2 4 2 4 2" xfId="31124"/>
    <cellStyle name="集計 3 4 2 4 2 4 3" xfId="31125"/>
    <cellStyle name="集計 3 4 2 4 2 5" xfId="31126"/>
    <cellStyle name="集計 3 4 2 4 2 6" xfId="31127"/>
    <cellStyle name="集計 3 4 2 4 3" xfId="31128"/>
    <cellStyle name="集計 3 4 2 4 3 2" xfId="31129"/>
    <cellStyle name="集計 3 4 2 4 3 3" xfId="31130"/>
    <cellStyle name="集計 3 4 2 4 4" xfId="31131"/>
    <cellStyle name="集計 3 4 2 4 4 2" xfId="31132"/>
    <cellStyle name="集計 3 4 2 4 4 3" xfId="31133"/>
    <cellStyle name="集計 3 4 2 4 5" xfId="31134"/>
    <cellStyle name="集計 3 4 2 4 5 2" xfId="31135"/>
    <cellStyle name="集計 3 4 2 4 5 3" xfId="31136"/>
    <cellStyle name="集計 3 4 2 4 6" xfId="31137"/>
    <cellStyle name="集計 3 4 2 4 7" xfId="31138"/>
    <cellStyle name="集計 3 4 2 5" xfId="31139"/>
    <cellStyle name="集計 3 4 2 5 2" xfId="31140"/>
    <cellStyle name="集計 3 4 2 5 2 2" xfId="31141"/>
    <cellStyle name="集計 3 4 2 5 2 3" xfId="31142"/>
    <cellStyle name="集計 3 4 2 5 3" xfId="31143"/>
    <cellStyle name="集計 3 4 2 5 3 2" xfId="31144"/>
    <cellStyle name="集計 3 4 2 5 3 3" xfId="31145"/>
    <cellStyle name="集計 3 4 2 5 4" xfId="31146"/>
    <cellStyle name="集計 3 4 2 5 4 2" xfId="31147"/>
    <cellStyle name="集計 3 4 2 5 4 3" xfId="31148"/>
    <cellStyle name="集計 3 4 2 5 5" xfId="31149"/>
    <cellStyle name="集計 3 4 2 5 6" xfId="31150"/>
    <cellStyle name="集計 3 4 2 6" xfId="31151"/>
    <cellStyle name="集計 3 4 2 6 2" xfId="31152"/>
    <cellStyle name="集計 3 4 2 6 3" xfId="31153"/>
    <cellStyle name="集計 3 4 2 7" xfId="31154"/>
    <cellStyle name="集計 3 4 2 7 2" xfId="31155"/>
    <cellStyle name="集計 3 4 2 7 3" xfId="31156"/>
    <cellStyle name="集計 3 4 2 8" xfId="31157"/>
    <cellStyle name="集計 3 4 2 8 2" xfId="31158"/>
    <cellStyle name="集計 3 4 2 8 3" xfId="31159"/>
    <cellStyle name="集計 3 4 2 9" xfId="31160"/>
    <cellStyle name="集計 3 4 3" xfId="31161"/>
    <cellStyle name="集計 3 4 3 10" xfId="31162"/>
    <cellStyle name="集計 3 4 3 2" xfId="31163"/>
    <cellStyle name="集計 3 4 3 2 10" xfId="31164"/>
    <cellStyle name="集計 3 4 3 2 2" xfId="31165"/>
    <cellStyle name="集計 3 4 3 2 2 2" xfId="31166"/>
    <cellStyle name="集計 3 4 3 2 2 2 2" xfId="31167"/>
    <cellStyle name="集計 3 4 3 2 2 2 2 2" xfId="31168"/>
    <cellStyle name="集計 3 4 3 2 2 2 2 2 2" xfId="31169"/>
    <cellStyle name="集計 3 4 3 2 2 2 2 2 3" xfId="31170"/>
    <cellStyle name="集計 3 4 3 2 2 2 2 3" xfId="31171"/>
    <cellStyle name="集計 3 4 3 2 2 2 2 3 2" xfId="31172"/>
    <cellStyle name="集計 3 4 3 2 2 2 2 3 3" xfId="31173"/>
    <cellStyle name="集計 3 4 3 2 2 2 2 4" xfId="31174"/>
    <cellStyle name="集計 3 4 3 2 2 2 2 4 2" xfId="31175"/>
    <cellStyle name="集計 3 4 3 2 2 2 2 4 3" xfId="31176"/>
    <cellStyle name="集計 3 4 3 2 2 2 2 5" xfId="31177"/>
    <cellStyle name="集計 3 4 3 2 2 2 2 6" xfId="31178"/>
    <cellStyle name="集計 3 4 3 2 2 2 3" xfId="31179"/>
    <cellStyle name="集計 3 4 3 2 2 2 3 2" xfId="31180"/>
    <cellStyle name="集計 3 4 3 2 2 2 3 3" xfId="31181"/>
    <cellStyle name="集計 3 4 3 2 2 2 4" xfId="31182"/>
    <cellStyle name="集計 3 4 3 2 2 2 4 2" xfId="31183"/>
    <cellStyle name="集計 3 4 3 2 2 2 4 3" xfId="31184"/>
    <cellStyle name="集計 3 4 3 2 2 2 5" xfId="31185"/>
    <cellStyle name="集計 3 4 3 2 2 2 5 2" xfId="31186"/>
    <cellStyle name="集計 3 4 3 2 2 2 5 3" xfId="31187"/>
    <cellStyle name="集計 3 4 3 2 2 2 6" xfId="31188"/>
    <cellStyle name="集計 3 4 3 2 2 2 7" xfId="31189"/>
    <cellStyle name="集計 3 4 3 2 2 3" xfId="31190"/>
    <cellStyle name="集計 3 4 3 2 2 3 2" xfId="31191"/>
    <cellStyle name="集計 3 4 3 2 2 3 2 2" xfId="31192"/>
    <cellStyle name="集計 3 4 3 2 2 3 2 2 2" xfId="31193"/>
    <cellStyle name="集計 3 4 3 2 2 3 2 2 3" xfId="31194"/>
    <cellStyle name="集計 3 4 3 2 2 3 2 3" xfId="31195"/>
    <cellStyle name="集計 3 4 3 2 2 3 2 3 2" xfId="31196"/>
    <cellStyle name="集計 3 4 3 2 2 3 2 3 3" xfId="31197"/>
    <cellStyle name="集計 3 4 3 2 2 3 2 4" xfId="31198"/>
    <cellStyle name="集計 3 4 3 2 2 3 2 4 2" xfId="31199"/>
    <cellStyle name="集計 3 4 3 2 2 3 2 4 3" xfId="31200"/>
    <cellStyle name="集計 3 4 3 2 2 3 2 5" xfId="31201"/>
    <cellStyle name="集計 3 4 3 2 2 3 2 6" xfId="31202"/>
    <cellStyle name="集計 3 4 3 2 2 3 3" xfId="31203"/>
    <cellStyle name="集計 3 4 3 2 2 3 3 2" xfId="31204"/>
    <cellStyle name="集計 3 4 3 2 2 3 3 3" xfId="31205"/>
    <cellStyle name="集計 3 4 3 2 2 3 4" xfId="31206"/>
    <cellStyle name="集計 3 4 3 2 2 3 4 2" xfId="31207"/>
    <cellStyle name="集計 3 4 3 2 2 3 4 3" xfId="31208"/>
    <cellStyle name="集計 3 4 3 2 2 3 5" xfId="31209"/>
    <cellStyle name="集計 3 4 3 2 2 3 5 2" xfId="31210"/>
    <cellStyle name="集計 3 4 3 2 2 3 5 3" xfId="31211"/>
    <cellStyle name="集計 3 4 3 2 2 3 6" xfId="31212"/>
    <cellStyle name="集計 3 4 3 2 2 3 7" xfId="31213"/>
    <cellStyle name="集計 3 4 3 2 2 4" xfId="31214"/>
    <cellStyle name="集計 3 4 3 2 2 4 2" xfId="31215"/>
    <cellStyle name="集計 3 4 3 2 2 4 2 2" xfId="31216"/>
    <cellStyle name="集計 3 4 3 2 2 4 2 3" xfId="31217"/>
    <cellStyle name="集計 3 4 3 2 2 4 3" xfId="31218"/>
    <cellStyle name="集計 3 4 3 2 2 4 3 2" xfId="31219"/>
    <cellStyle name="集計 3 4 3 2 2 4 3 3" xfId="31220"/>
    <cellStyle name="集計 3 4 3 2 2 4 4" xfId="31221"/>
    <cellStyle name="集計 3 4 3 2 2 4 4 2" xfId="31222"/>
    <cellStyle name="集計 3 4 3 2 2 4 4 3" xfId="31223"/>
    <cellStyle name="集計 3 4 3 2 2 4 5" xfId="31224"/>
    <cellStyle name="集計 3 4 3 2 2 4 6" xfId="31225"/>
    <cellStyle name="集計 3 4 3 2 2 5" xfId="31226"/>
    <cellStyle name="集計 3 4 3 2 2 5 2" xfId="31227"/>
    <cellStyle name="集計 3 4 3 2 2 5 3" xfId="31228"/>
    <cellStyle name="集計 3 4 3 2 2 6" xfId="31229"/>
    <cellStyle name="集計 3 4 3 2 2 6 2" xfId="31230"/>
    <cellStyle name="集計 3 4 3 2 2 6 3" xfId="31231"/>
    <cellStyle name="集計 3 4 3 2 2 7" xfId="31232"/>
    <cellStyle name="集計 3 4 3 2 2 7 2" xfId="31233"/>
    <cellStyle name="集計 3 4 3 2 2 7 3" xfId="31234"/>
    <cellStyle name="集計 3 4 3 2 2 8" xfId="31235"/>
    <cellStyle name="集計 3 4 3 2 2 9" xfId="31236"/>
    <cellStyle name="集計 3 4 3 2 3" xfId="31237"/>
    <cellStyle name="集計 3 4 3 2 3 2" xfId="31238"/>
    <cellStyle name="集計 3 4 3 2 3 2 2" xfId="31239"/>
    <cellStyle name="集計 3 4 3 2 3 2 2 2" xfId="31240"/>
    <cellStyle name="集計 3 4 3 2 3 2 2 3" xfId="31241"/>
    <cellStyle name="集計 3 4 3 2 3 2 3" xfId="31242"/>
    <cellStyle name="集計 3 4 3 2 3 2 3 2" xfId="31243"/>
    <cellStyle name="集計 3 4 3 2 3 2 3 3" xfId="31244"/>
    <cellStyle name="集計 3 4 3 2 3 2 4" xfId="31245"/>
    <cellStyle name="集計 3 4 3 2 3 2 4 2" xfId="31246"/>
    <cellStyle name="集計 3 4 3 2 3 2 4 3" xfId="31247"/>
    <cellStyle name="集計 3 4 3 2 3 2 5" xfId="31248"/>
    <cellStyle name="集計 3 4 3 2 3 2 6" xfId="31249"/>
    <cellStyle name="集計 3 4 3 2 3 3" xfId="31250"/>
    <cellStyle name="集計 3 4 3 2 3 3 2" xfId="31251"/>
    <cellStyle name="集計 3 4 3 2 3 3 3" xfId="31252"/>
    <cellStyle name="集計 3 4 3 2 3 4" xfId="31253"/>
    <cellStyle name="集計 3 4 3 2 3 4 2" xfId="31254"/>
    <cellStyle name="集計 3 4 3 2 3 4 3" xfId="31255"/>
    <cellStyle name="集計 3 4 3 2 3 5" xfId="31256"/>
    <cellStyle name="集計 3 4 3 2 3 5 2" xfId="31257"/>
    <cellStyle name="集計 3 4 3 2 3 5 3" xfId="31258"/>
    <cellStyle name="集計 3 4 3 2 3 6" xfId="31259"/>
    <cellStyle name="集計 3 4 3 2 3 7" xfId="31260"/>
    <cellStyle name="集計 3 4 3 2 4" xfId="31261"/>
    <cellStyle name="集計 3 4 3 2 4 2" xfId="31262"/>
    <cellStyle name="集計 3 4 3 2 4 2 2" xfId="31263"/>
    <cellStyle name="集計 3 4 3 2 4 2 2 2" xfId="31264"/>
    <cellStyle name="集計 3 4 3 2 4 2 2 3" xfId="31265"/>
    <cellStyle name="集計 3 4 3 2 4 2 3" xfId="31266"/>
    <cellStyle name="集計 3 4 3 2 4 2 3 2" xfId="31267"/>
    <cellStyle name="集計 3 4 3 2 4 2 3 3" xfId="31268"/>
    <cellStyle name="集計 3 4 3 2 4 2 4" xfId="31269"/>
    <cellStyle name="集計 3 4 3 2 4 2 4 2" xfId="31270"/>
    <cellStyle name="集計 3 4 3 2 4 2 4 3" xfId="31271"/>
    <cellStyle name="集計 3 4 3 2 4 2 5" xfId="31272"/>
    <cellStyle name="集計 3 4 3 2 4 2 6" xfId="31273"/>
    <cellStyle name="集計 3 4 3 2 4 3" xfId="31274"/>
    <cellStyle name="集計 3 4 3 2 4 3 2" xfId="31275"/>
    <cellStyle name="集計 3 4 3 2 4 3 3" xfId="31276"/>
    <cellStyle name="集計 3 4 3 2 4 4" xfId="31277"/>
    <cellStyle name="集計 3 4 3 2 4 4 2" xfId="31278"/>
    <cellStyle name="集計 3 4 3 2 4 4 3" xfId="31279"/>
    <cellStyle name="集計 3 4 3 2 4 5" xfId="31280"/>
    <cellStyle name="集計 3 4 3 2 4 5 2" xfId="31281"/>
    <cellStyle name="集計 3 4 3 2 4 5 3" xfId="31282"/>
    <cellStyle name="集計 3 4 3 2 4 6" xfId="31283"/>
    <cellStyle name="集計 3 4 3 2 4 7" xfId="31284"/>
    <cellStyle name="集計 3 4 3 2 5" xfId="31285"/>
    <cellStyle name="集計 3 4 3 2 5 2" xfId="31286"/>
    <cellStyle name="集計 3 4 3 2 5 2 2" xfId="31287"/>
    <cellStyle name="集計 3 4 3 2 5 2 3" xfId="31288"/>
    <cellStyle name="集計 3 4 3 2 5 3" xfId="31289"/>
    <cellStyle name="集計 3 4 3 2 5 3 2" xfId="31290"/>
    <cellStyle name="集計 3 4 3 2 5 3 3" xfId="31291"/>
    <cellStyle name="集計 3 4 3 2 5 4" xfId="31292"/>
    <cellStyle name="集計 3 4 3 2 5 4 2" xfId="31293"/>
    <cellStyle name="集計 3 4 3 2 5 4 3" xfId="31294"/>
    <cellStyle name="集計 3 4 3 2 5 5" xfId="31295"/>
    <cellStyle name="集計 3 4 3 2 5 6" xfId="31296"/>
    <cellStyle name="集計 3 4 3 2 6" xfId="31297"/>
    <cellStyle name="集計 3 4 3 2 6 2" xfId="31298"/>
    <cellStyle name="集計 3 4 3 2 6 3" xfId="31299"/>
    <cellStyle name="集計 3 4 3 2 7" xfId="31300"/>
    <cellStyle name="集計 3 4 3 2 7 2" xfId="31301"/>
    <cellStyle name="集計 3 4 3 2 7 3" xfId="31302"/>
    <cellStyle name="集計 3 4 3 2 8" xfId="31303"/>
    <cellStyle name="集計 3 4 3 2 8 2" xfId="31304"/>
    <cellStyle name="集計 3 4 3 2 8 3" xfId="31305"/>
    <cellStyle name="集計 3 4 3 2 9" xfId="31306"/>
    <cellStyle name="集計 3 4 3 3" xfId="31307"/>
    <cellStyle name="集計 3 4 3 3 2" xfId="31308"/>
    <cellStyle name="集計 3 4 3 3 2 2" xfId="31309"/>
    <cellStyle name="集計 3 4 3 3 2 2 2" xfId="31310"/>
    <cellStyle name="集計 3 4 3 3 2 2 3" xfId="31311"/>
    <cellStyle name="集計 3 4 3 3 2 3" xfId="31312"/>
    <cellStyle name="集計 3 4 3 3 2 3 2" xfId="31313"/>
    <cellStyle name="集計 3 4 3 3 2 3 3" xfId="31314"/>
    <cellStyle name="集計 3 4 3 3 2 4" xfId="31315"/>
    <cellStyle name="集計 3 4 3 3 2 4 2" xfId="31316"/>
    <cellStyle name="集計 3 4 3 3 2 4 3" xfId="31317"/>
    <cellStyle name="集計 3 4 3 3 2 5" xfId="31318"/>
    <cellStyle name="集計 3 4 3 3 2 6" xfId="31319"/>
    <cellStyle name="集計 3 4 3 3 3" xfId="31320"/>
    <cellStyle name="集計 3 4 3 3 3 2" xfId="31321"/>
    <cellStyle name="集計 3 4 3 3 3 3" xfId="31322"/>
    <cellStyle name="集計 3 4 3 3 4" xfId="31323"/>
    <cellStyle name="集計 3 4 3 3 4 2" xfId="31324"/>
    <cellStyle name="集計 3 4 3 3 4 3" xfId="31325"/>
    <cellStyle name="集計 3 4 3 3 5" xfId="31326"/>
    <cellStyle name="集計 3 4 3 3 5 2" xfId="31327"/>
    <cellStyle name="集計 3 4 3 3 5 3" xfId="31328"/>
    <cellStyle name="集計 3 4 3 3 6" xfId="31329"/>
    <cellStyle name="集計 3 4 3 3 7" xfId="31330"/>
    <cellStyle name="集計 3 4 3 4" xfId="31331"/>
    <cellStyle name="集計 3 4 3 4 2" xfId="31332"/>
    <cellStyle name="集計 3 4 3 4 2 2" xfId="31333"/>
    <cellStyle name="集計 3 4 3 4 2 2 2" xfId="31334"/>
    <cellStyle name="集計 3 4 3 4 2 2 3" xfId="31335"/>
    <cellStyle name="集計 3 4 3 4 2 3" xfId="31336"/>
    <cellStyle name="集計 3 4 3 4 2 3 2" xfId="31337"/>
    <cellStyle name="集計 3 4 3 4 2 3 3" xfId="31338"/>
    <cellStyle name="集計 3 4 3 4 2 4" xfId="31339"/>
    <cellStyle name="集計 3 4 3 4 2 4 2" xfId="31340"/>
    <cellStyle name="集計 3 4 3 4 2 4 3" xfId="31341"/>
    <cellStyle name="集計 3 4 3 4 2 5" xfId="31342"/>
    <cellStyle name="集計 3 4 3 4 2 6" xfId="31343"/>
    <cellStyle name="集計 3 4 3 4 3" xfId="31344"/>
    <cellStyle name="集計 3 4 3 4 3 2" xfId="31345"/>
    <cellStyle name="集計 3 4 3 4 3 3" xfId="31346"/>
    <cellStyle name="集計 3 4 3 4 4" xfId="31347"/>
    <cellStyle name="集計 3 4 3 4 4 2" xfId="31348"/>
    <cellStyle name="集計 3 4 3 4 4 3" xfId="31349"/>
    <cellStyle name="集計 3 4 3 4 5" xfId="31350"/>
    <cellStyle name="集計 3 4 3 4 5 2" xfId="31351"/>
    <cellStyle name="集計 3 4 3 4 5 3" xfId="31352"/>
    <cellStyle name="集計 3 4 3 4 6" xfId="31353"/>
    <cellStyle name="集計 3 4 3 4 7" xfId="31354"/>
    <cellStyle name="集計 3 4 3 5" xfId="31355"/>
    <cellStyle name="集計 3 4 3 5 2" xfId="31356"/>
    <cellStyle name="集計 3 4 3 5 2 2" xfId="31357"/>
    <cellStyle name="集計 3 4 3 5 2 3" xfId="31358"/>
    <cellStyle name="集計 3 4 3 5 3" xfId="31359"/>
    <cellStyle name="集計 3 4 3 5 3 2" xfId="31360"/>
    <cellStyle name="集計 3 4 3 5 3 3" xfId="31361"/>
    <cellStyle name="集計 3 4 3 5 4" xfId="31362"/>
    <cellStyle name="集計 3 4 3 5 4 2" xfId="31363"/>
    <cellStyle name="集計 3 4 3 5 4 3" xfId="31364"/>
    <cellStyle name="集計 3 4 3 5 5" xfId="31365"/>
    <cellStyle name="集計 3 4 3 5 6" xfId="31366"/>
    <cellStyle name="集計 3 4 3 6" xfId="31367"/>
    <cellStyle name="集計 3 4 3 6 2" xfId="31368"/>
    <cellStyle name="集計 3 4 3 6 3" xfId="31369"/>
    <cellStyle name="集計 3 4 3 7" xfId="31370"/>
    <cellStyle name="集計 3 4 3 7 2" xfId="31371"/>
    <cellStyle name="集計 3 4 3 7 3" xfId="31372"/>
    <cellStyle name="集計 3 4 3 8" xfId="31373"/>
    <cellStyle name="集計 3 4 3 8 2" xfId="31374"/>
    <cellStyle name="集計 3 4 3 8 3" xfId="31375"/>
    <cellStyle name="集計 3 4 3 9" xfId="31376"/>
    <cellStyle name="集計 3 4 4" xfId="31377"/>
    <cellStyle name="集計 3 4 4 10" xfId="31378"/>
    <cellStyle name="集計 3 4 4 2" xfId="31379"/>
    <cellStyle name="集計 3 4 4 2 10" xfId="31380"/>
    <cellStyle name="集計 3 4 4 2 2" xfId="31381"/>
    <cellStyle name="集計 3 4 4 2 2 2" xfId="31382"/>
    <cellStyle name="集計 3 4 4 2 2 2 2" xfId="31383"/>
    <cellStyle name="集計 3 4 4 2 2 2 2 2" xfId="31384"/>
    <cellStyle name="集計 3 4 4 2 2 2 2 2 2" xfId="31385"/>
    <cellStyle name="集計 3 4 4 2 2 2 2 2 3" xfId="31386"/>
    <cellStyle name="集計 3 4 4 2 2 2 2 3" xfId="31387"/>
    <cellStyle name="集計 3 4 4 2 2 2 2 3 2" xfId="31388"/>
    <cellStyle name="集計 3 4 4 2 2 2 2 3 3" xfId="31389"/>
    <cellStyle name="集計 3 4 4 2 2 2 2 4" xfId="31390"/>
    <cellStyle name="集計 3 4 4 2 2 2 2 4 2" xfId="31391"/>
    <cellStyle name="集計 3 4 4 2 2 2 2 4 3" xfId="31392"/>
    <cellStyle name="集計 3 4 4 2 2 2 2 5" xfId="31393"/>
    <cellStyle name="集計 3 4 4 2 2 2 2 6" xfId="31394"/>
    <cellStyle name="集計 3 4 4 2 2 2 3" xfId="31395"/>
    <cellStyle name="集計 3 4 4 2 2 2 3 2" xfId="31396"/>
    <cellStyle name="集計 3 4 4 2 2 2 3 3" xfId="31397"/>
    <cellStyle name="集計 3 4 4 2 2 2 4" xfId="31398"/>
    <cellStyle name="集計 3 4 4 2 2 2 4 2" xfId="31399"/>
    <cellStyle name="集計 3 4 4 2 2 2 4 3" xfId="31400"/>
    <cellStyle name="集計 3 4 4 2 2 2 5" xfId="31401"/>
    <cellStyle name="集計 3 4 4 2 2 2 5 2" xfId="31402"/>
    <cellStyle name="集計 3 4 4 2 2 2 5 3" xfId="31403"/>
    <cellStyle name="集計 3 4 4 2 2 2 6" xfId="31404"/>
    <cellStyle name="集計 3 4 4 2 2 2 7" xfId="31405"/>
    <cellStyle name="集計 3 4 4 2 2 3" xfId="31406"/>
    <cellStyle name="集計 3 4 4 2 2 3 2" xfId="31407"/>
    <cellStyle name="集計 3 4 4 2 2 3 2 2" xfId="31408"/>
    <cellStyle name="集計 3 4 4 2 2 3 2 2 2" xfId="31409"/>
    <cellStyle name="集計 3 4 4 2 2 3 2 2 3" xfId="31410"/>
    <cellStyle name="集計 3 4 4 2 2 3 2 3" xfId="31411"/>
    <cellStyle name="集計 3 4 4 2 2 3 2 3 2" xfId="31412"/>
    <cellStyle name="集計 3 4 4 2 2 3 2 3 3" xfId="31413"/>
    <cellStyle name="集計 3 4 4 2 2 3 2 4" xfId="31414"/>
    <cellStyle name="集計 3 4 4 2 2 3 2 4 2" xfId="31415"/>
    <cellStyle name="集計 3 4 4 2 2 3 2 4 3" xfId="31416"/>
    <cellStyle name="集計 3 4 4 2 2 3 2 5" xfId="31417"/>
    <cellStyle name="集計 3 4 4 2 2 3 2 6" xfId="31418"/>
    <cellStyle name="集計 3 4 4 2 2 3 3" xfId="31419"/>
    <cellStyle name="集計 3 4 4 2 2 3 3 2" xfId="31420"/>
    <cellStyle name="集計 3 4 4 2 2 3 3 3" xfId="31421"/>
    <cellStyle name="集計 3 4 4 2 2 3 4" xfId="31422"/>
    <cellStyle name="集計 3 4 4 2 2 3 4 2" xfId="31423"/>
    <cellStyle name="集計 3 4 4 2 2 3 4 3" xfId="31424"/>
    <cellStyle name="集計 3 4 4 2 2 3 5" xfId="31425"/>
    <cellStyle name="集計 3 4 4 2 2 3 5 2" xfId="31426"/>
    <cellStyle name="集計 3 4 4 2 2 3 5 3" xfId="31427"/>
    <cellStyle name="集計 3 4 4 2 2 3 6" xfId="31428"/>
    <cellStyle name="集計 3 4 4 2 2 3 7" xfId="31429"/>
    <cellStyle name="集計 3 4 4 2 2 4" xfId="31430"/>
    <cellStyle name="集計 3 4 4 2 2 4 2" xfId="31431"/>
    <cellStyle name="集計 3 4 4 2 2 4 2 2" xfId="31432"/>
    <cellStyle name="集計 3 4 4 2 2 4 2 3" xfId="31433"/>
    <cellStyle name="集計 3 4 4 2 2 4 3" xfId="31434"/>
    <cellStyle name="集計 3 4 4 2 2 4 3 2" xfId="31435"/>
    <cellStyle name="集計 3 4 4 2 2 4 3 3" xfId="31436"/>
    <cellStyle name="集計 3 4 4 2 2 4 4" xfId="31437"/>
    <cellStyle name="集計 3 4 4 2 2 4 4 2" xfId="31438"/>
    <cellStyle name="集計 3 4 4 2 2 4 4 3" xfId="31439"/>
    <cellStyle name="集計 3 4 4 2 2 4 5" xfId="31440"/>
    <cellStyle name="集計 3 4 4 2 2 4 6" xfId="31441"/>
    <cellStyle name="集計 3 4 4 2 2 5" xfId="31442"/>
    <cellStyle name="集計 3 4 4 2 2 5 2" xfId="31443"/>
    <cellStyle name="集計 3 4 4 2 2 5 3" xfId="31444"/>
    <cellStyle name="集計 3 4 4 2 2 6" xfId="31445"/>
    <cellStyle name="集計 3 4 4 2 2 6 2" xfId="31446"/>
    <cellStyle name="集計 3 4 4 2 2 6 3" xfId="31447"/>
    <cellStyle name="集計 3 4 4 2 2 7" xfId="31448"/>
    <cellStyle name="集計 3 4 4 2 2 7 2" xfId="31449"/>
    <cellStyle name="集計 3 4 4 2 2 7 3" xfId="31450"/>
    <cellStyle name="集計 3 4 4 2 2 8" xfId="31451"/>
    <cellStyle name="集計 3 4 4 2 2 9" xfId="31452"/>
    <cellStyle name="集計 3 4 4 2 3" xfId="31453"/>
    <cellStyle name="集計 3 4 4 2 3 2" xfId="31454"/>
    <cellStyle name="集計 3 4 4 2 3 2 2" xfId="31455"/>
    <cellStyle name="集計 3 4 4 2 3 2 2 2" xfId="31456"/>
    <cellStyle name="集計 3 4 4 2 3 2 2 3" xfId="31457"/>
    <cellStyle name="集計 3 4 4 2 3 2 3" xfId="31458"/>
    <cellStyle name="集計 3 4 4 2 3 2 3 2" xfId="31459"/>
    <cellStyle name="集計 3 4 4 2 3 2 3 3" xfId="31460"/>
    <cellStyle name="集計 3 4 4 2 3 2 4" xfId="31461"/>
    <cellStyle name="集計 3 4 4 2 3 2 4 2" xfId="31462"/>
    <cellStyle name="集計 3 4 4 2 3 2 4 3" xfId="31463"/>
    <cellStyle name="集計 3 4 4 2 3 2 5" xfId="31464"/>
    <cellStyle name="集計 3 4 4 2 3 2 6" xfId="31465"/>
    <cellStyle name="集計 3 4 4 2 3 3" xfId="31466"/>
    <cellStyle name="集計 3 4 4 2 3 3 2" xfId="31467"/>
    <cellStyle name="集計 3 4 4 2 3 3 3" xfId="31468"/>
    <cellStyle name="集計 3 4 4 2 3 4" xfId="31469"/>
    <cellStyle name="集計 3 4 4 2 3 4 2" xfId="31470"/>
    <cellStyle name="集計 3 4 4 2 3 4 3" xfId="31471"/>
    <cellStyle name="集計 3 4 4 2 3 5" xfId="31472"/>
    <cellStyle name="集計 3 4 4 2 3 5 2" xfId="31473"/>
    <cellStyle name="集計 3 4 4 2 3 5 3" xfId="31474"/>
    <cellStyle name="集計 3 4 4 2 3 6" xfId="31475"/>
    <cellStyle name="集計 3 4 4 2 3 7" xfId="31476"/>
    <cellStyle name="集計 3 4 4 2 4" xfId="31477"/>
    <cellStyle name="集計 3 4 4 2 4 2" xfId="31478"/>
    <cellStyle name="集計 3 4 4 2 4 2 2" xfId="31479"/>
    <cellStyle name="集計 3 4 4 2 4 2 2 2" xfId="31480"/>
    <cellStyle name="集計 3 4 4 2 4 2 2 3" xfId="31481"/>
    <cellStyle name="集計 3 4 4 2 4 2 3" xfId="31482"/>
    <cellStyle name="集計 3 4 4 2 4 2 3 2" xfId="31483"/>
    <cellStyle name="集計 3 4 4 2 4 2 3 3" xfId="31484"/>
    <cellStyle name="集計 3 4 4 2 4 2 4" xfId="31485"/>
    <cellStyle name="集計 3 4 4 2 4 2 4 2" xfId="31486"/>
    <cellStyle name="集計 3 4 4 2 4 2 4 3" xfId="31487"/>
    <cellStyle name="集計 3 4 4 2 4 2 5" xfId="31488"/>
    <cellStyle name="集計 3 4 4 2 4 2 6" xfId="31489"/>
    <cellStyle name="集計 3 4 4 2 4 3" xfId="31490"/>
    <cellStyle name="集計 3 4 4 2 4 3 2" xfId="31491"/>
    <cellStyle name="集計 3 4 4 2 4 3 3" xfId="31492"/>
    <cellStyle name="集計 3 4 4 2 4 4" xfId="31493"/>
    <cellStyle name="集計 3 4 4 2 4 4 2" xfId="31494"/>
    <cellStyle name="集計 3 4 4 2 4 4 3" xfId="31495"/>
    <cellStyle name="集計 3 4 4 2 4 5" xfId="31496"/>
    <cellStyle name="集計 3 4 4 2 4 5 2" xfId="31497"/>
    <cellStyle name="集計 3 4 4 2 4 5 3" xfId="31498"/>
    <cellStyle name="集計 3 4 4 2 4 6" xfId="31499"/>
    <cellStyle name="集計 3 4 4 2 4 7" xfId="31500"/>
    <cellStyle name="集計 3 4 4 2 5" xfId="31501"/>
    <cellStyle name="集計 3 4 4 2 5 2" xfId="31502"/>
    <cellStyle name="集計 3 4 4 2 5 2 2" xfId="31503"/>
    <cellStyle name="集計 3 4 4 2 5 2 3" xfId="31504"/>
    <cellStyle name="集計 3 4 4 2 5 3" xfId="31505"/>
    <cellStyle name="集計 3 4 4 2 5 3 2" xfId="31506"/>
    <cellStyle name="集計 3 4 4 2 5 3 3" xfId="31507"/>
    <cellStyle name="集計 3 4 4 2 5 4" xfId="31508"/>
    <cellStyle name="集計 3 4 4 2 5 4 2" xfId="31509"/>
    <cellStyle name="集計 3 4 4 2 5 4 3" xfId="31510"/>
    <cellStyle name="集計 3 4 4 2 5 5" xfId="31511"/>
    <cellStyle name="集計 3 4 4 2 5 6" xfId="31512"/>
    <cellStyle name="集計 3 4 4 2 6" xfId="31513"/>
    <cellStyle name="集計 3 4 4 2 6 2" xfId="31514"/>
    <cellStyle name="集計 3 4 4 2 6 3" xfId="31515"/>
    <cellStyle name="集計 3 4 4 2 7" xfId="31516"/>
    <cellStyle name="集計 3 4 4 2 7 2" xfId="31517"/>
    <cellStyle name="集計 3 4 4 2 7 3" xfId="31518"/>
    <cellStyle name="集計 3 4 4 2 8" xfId="31519"/>
    <cellStyle name="集計 3 4 4 2 8 2" xfId="31520"/>
    <cellStyle name="集計 3 4 4 2 8 3" xfId="31521"/>
    <cellStyle name="集計 3 4 4 2 9" xfId="31522"/>
    <cellStyle name="集計 3 4 4 3" xfId="31523"/>
    <cellStyle name="集計 3 4 4 3 2" xfId="31524"/>
    <cellStyle name="集計 3 4 4 3 2 2" xfId="31525"/>
    <cellStyle name="集計 3 4 4 3 2 2 2" xfId="31526"/>
    <cellStyle name="集計 3 4 4 3 2 2 3" xfId="31527"/>
    <cellStyle name="集計 3 4 4 3 2 3" xfId="31528"/>
    <cellStyle name="集計 3 4 4 3 2 3 2" xfId="31529"/>
    <cellStyle name="集計 3 4 4 3 2 3 3" xfId="31530"/>
    <cellStyle name="集計 3 4 4 3 2 4" xfId="31531"/>
    <cellStyle name="集計 3 4 4 3 2 4 2" xfId="31532"/>
    <cellStyle name="集計 3 4 4 3 2 4 3" xfId="31533"/>
    <cellStyle name="集計 3 4 4 3 2 5" xfId="31534"/>
    <cellStyle name="集計 3 4 4 3 2 6" xfId="31535"/>
    <cellStyle name="集計 3 4 4 3 3" xfId="31536"/>
    <cellStyle name="集計 3 4 4 3 3 2" xfId="31537"/>
    <cellStyle name="集計 3 4 4 3 3 3" xfId="31538"/>
    <cellStyle name="集計 3 4 4 3 4" xfId="31539"/>
    <cellStyle name="集計 3 4 4 3 4 2" xfId="31540"/>
    <cellStyle name="集計 3 4 4 3 4 3" xfId="31541"/>
    <cellStyle name="集計 3 4 4 3 5" xfId="31542"/>
    <cellStyle name="集計 3 4 4 3 5 2" xfId="31543"/>
    <cellStyle name="集計 3 4 4 3 5 3" xfId="31544"/>
    <cellStyle name="集計 3 4 4 3 6" xfId="31545"/>
    <cellStyle name="集計 3 4 4 3 7" xfId="31546"/>
    <cellStyle name="集計 3 4 4 4" xfId="31547"/>
    <cellStyle name="集計 3 4 4 4 2" xfId="31548"/>
    <cellStyle name="集計 3 4 4 4 2 2" xfId="31549"/>
    <cellStyle name="集計 3 4 4 4 2 2 2" xfId="31550"/>
    <cellStyle name="集計 3 4 4 4 2 2 3" xfId="31551"/>
    <cellStyle name="集計 3 4 4 4 2 3" xfId="31552"/>
    <cellStyle name="集計 3 4 4 4 2 3 2" xfId="31553"/>
    <cellStyle name="集計 3 4 4 4 2 3 3" xfId="31554"/>
    <cellStyle name="集計 3 4 4 4 2 4" xfId="31555"/>
    <cellStyle name="集計 3 4 4 4 2 4 2" xfId="31556"/>
    <cellStyle name="集計 3 4 4 4 2 4 3" xfId="31557"/>
    <cellStyle name="集計 3 4 4 4 2 5" xfId="31558"/>
    <cellStyle name="集計 3 4 4 4 2 6" xfId="31559"/>
    <cellStyle name="集計 3 4 4 4 3" xfId="31560"/>
    <cellStyle name="集計 3 4 4 4 3 2" xfId="31561"/>
    <cellStyle name="集計 3 4 4 4 3 3" xfId="31562"/>
    <cellStyle name="集計 3 4 4 4 4" xfId="31563"/>
    <cellStyle name="集計 3 4 4 4 4 2" xfId="31564"/>
    <cellStyle name="集計 3 4 4 4 4 3" xfId="31565"/>
    <cellStyle name="集計 3 4 4 4 5" xfId="31566"/>
    <cellStyle name="集計 3 4 4 4 5 2" xfId="31567"/>
    <cellStyle name="集計 3 4 4 4 5 3" xfId="31568"/>
    <cellStyle name="集計 3 4 4 4 6" xfId="31569"/>
    <cellStyle name="集計 3 4 4 4 7" xfId="31570"/>
    <cellStyle name="集計 3 4 4 5" xfId="31571"/>
    <cellStyle name="集計 3 4 4 5 2" xfId="31572"/>
    <cellStyle name="集計 3 4 4 5 2 2" xfId="31573"/>
    <cellStyle name="集計 3 4 4 5 2 3" xfId="31574"/>
    <cellStyle name="集計 3 4 4 5 3" xfId="31575"/>
    <cellStyle name="集計 3 4 4 5 3 2" xfId="31576"/>
    <cellStyle name="集計 3 4 4 5 3 3" xfId="31577"/>
    <cellStyle name="集計 3 4 4 5 4" xfId="31578"/>
    <cellStyle name="集計 3 4 4 5 4 2" xfId="31579"/>
    <cellStyle name="集計 3 4 4 5 4 3" xfId="31580"/>
    <cellStyle name="集計 3 4 4 5 5" xfId="31581"/>
    <cellStyle name="集計 3 4 4 5 6" xfId="31582"/>
    <cellStyle name="集計 3 4 4 6" xfId="31583"/>
    <cellStyle name="集計 3 4 4 6 2" xfId="31584"/>
    <cellStyle name="集計 3 4 4 6 3" xfId="31585"/>
    <cellStyle name="集計 3 4 4 7" xfId="31586"/>
    <cellStyle name="集計 3 4 4 7 2" xfId="31587"/>
    <cellStyle name="集計 3 4 4 7 3" xfId="31588"/>
    <cellStyle name="集計 3 4 4 8" xfId="31589"/>
    <cellStyle name="集計 3 4 4 8 2" xfId="31590"/>
    <cellStyle name="集計 3 4 4 8 3" xfId="31591"/>
    <cellStyle name="集計 3 4 4 9" xfId="31592"/>
    <cellStyle name="集計 3 4 5" xfId="31593"/>
    <cellStyle name="集計 3 4 5 10" xfId="31594"/>
    <cellStyle name="集計 3 4 5 2" xfId="31595"/>
    <cellStyle name="集計 3 4 5 2 2" xfId="31596"/>
    <cellStyle name="集計 3 4 5 2 2 2" xfId="31597"/>
    <cellStyle name="集計 3 4 5 2 2 2 2" xfId="31598"/>
    <cellStyle name="集計 3 4 5 2 2 2 2 2" xfId="31599"/>
    <cellStyle name="集計 3 4 5 2 2 2 2 3" xfId="31600"/>
    <cellStyle name="集計 3 4 5 2 2 2 3" xfId="31601"/>
    <cellStyle name="集計 3 4 5 2 2 2 3 2" xfId="31602"/>
    <cellStyle name="集計 3 4 5 2 2 2 3 3" xfId="31603"/>
    <cellStyle name="集計 3 4 5 2 2 2 4" xfId="31604"/>
    <cellStyle name="集計 3 4 5 2 2 2 4 2" xfId="31605"/>
    <cellStyle name="集計 3 4 5 2 2 2 4 3" xfId="31606"/>
    <cellStyle name="集計 3 4 5 2 2 2 5" xfId="31607"/>
    <cellStyle name="集計 3 4 5 2 2 2 6" xfId="31608"/>
    <cellStyle name="集計 3 4 5 2 2 3" xfId="31609"/>
    <cellStyle name="集計 3 4 5 2 2 3 2" xfId="31610"/>
    <cellStyle name="集計 3 4 5 2 2 3 3" xfId="31611"/>
    <cellStyle name="集計 3 4 5 2 2 4" xfId="31612"/>
    <cellStyle name="集計 3 4 5 2 2 4 2" xfId="31613"/>
    <cellStyle name="集計 3 4 5 2 2 4 3" xfId="31614"/>
    <cellStyle name="集計 3 4 5 2 2 5" xfId="31615"/>
    <cellStyle name="集計 3 4 5 2 2 5 2" xfId="31616"/>
    <cellStyle name="集計 3 4 5 2 2 5 3" xfId="31617"/>
    <cellStyle name="集計 3 4 5 2 2 6" xfId="31618"/>
    <cellStyle name="集計 3 4 5 2 2 7" xfId="31619"/>
    <cellStyle name="集計 3 4 5 2 3" xfId="31620"/>
    <cellStyle name="集計 3 4 5 2 3 2" xfId="31621"/>
    <cellStyle name="集計 3 4 5 2 3 2 2" xfId="31622"/>
    <cellStyle name="集計 3 4 5 2 3 2 2 2" xfId="31623"/>
    <cellStyle name="集計 3 4 5 2 3 2 2 3" xfId="31624"/>
    <cellStyle name="集計 3 4 5 2 3 2 3" xfId="31625"/>
    <cellStyle name="集計 3 4 5 2 3 2 3 2" xfId="31626"/>
    <cellStyle name="集計 3 4 5 2 3 2 3 3" xfId="31627"/>
    <cellStyle name="集計 3 4 5 2 3 2 4" xfId="31628"/>
    <cellStyle name="集計 3 4 5 2 3 2 4 2" xfId="31629"/>
    <cellStyle name="集計 3 4 5 2 3 2 4 3" xfId="31630"/>
    <cellStyle name="集計 3 4 5 2 3 2 5" xfId="31631"/>
    <cellStyle name="集計 3 4 5 2 3 2 6" xfId="31632"/>
    <cellStyle name="集計 3 4 5 2 3 3" xfId="31633"/>
    <cellStyle name="集計 3 4 5 2 3 3 2" xfId="31634"/>
    <cellStyle name="集計 3 4 5 2 3 3 3" xfId="31635"/>
    <cellStyle name="集計 3 4 5 2 3 4" xfId="31636"/>
    <cellStyle name="集計 3 4 5 2 3 4 2" xfId="31637"/>
    <cellStyle name="集計 3 4 5 2 3 4 3" xfId="31638"/>
    <cellStyle name="集計 3 4 5 2 3 5" xfId="31639"/>
    <cellStyle name="集計 3 4 5 2 3 5 2" xfId="31640"/>
    <cellStyle name="集計 3 4 5 2 3 5 3" xfId="31641"/>
    <cellStyle name="集計 3 4 5 2 3 6" xfId="31642"/>
    <cellStyle name="集計 3 4 5 2 3 7" xfId="31643"/>
    <cellStyle name="集計 3 4 5 2 4" xfId="31644"/>
    <cellStyle name="集計 3 4 5 2 4 2" xfId="31645"/>
    <cellStyle name="集計 3 4 5 2 4 2 2" xfId="31646"/>
    <cellStyle name="集計 3 4 5 2 4 2 3" xfId="31647"/>
    <cellStyle name="集計 3 4 5 2 4 3" xfId="31648"/>
    <cellStyle name="集計 3 4 5 2 4 3 2" xfId="31649"/>
    <cellStyle name="集計 3 4 5 2 4 3 3" xfId="31650"/>
    <cellStyle name="集計 3 4 5 2 4 4" xfId="31651"/>
    <cellStyle name="集計 3 4 5 2 4 4 2" xfId="31652"/>
    <cellStyle name="集計 3 4 5 2 4 4 3" xfId="31653"/>
    <cellStyle name="集計 3 4 5 2 4 5" xfId="31654"/>
    <cellStyle name="集計 3 4 5 2 4 6" xfId="31655"/>
    <cellStyle name="集計 3 4 5 2 5" xfId="31656"/>
    <cellStyle name="集計 3 4 5 2 5 2" xfId="31657"/>
    <cellStyle name="集計 3 4 5 2 5 3" xfId="31658"/>
    <cellStyle name="集計 3 4 5 2 6" xfId="31659"/>
    <cellStyle name="集計 3 4 5 2 6 2" xfId="31660"/>
    <cellStyle name="集計 3 4 5 2 6 3" xfId="31661"/>
    <cellStyle name="集計 3 4 5 2 7" xfId="31662"/>
    <cellStyle name="集計 3 4 5 2 7 2" xfId="31663"/>
    <cellStyle name="集計 3 4 5 2 7 3" xfId="31664"/>
    <cellStyle name="集計 3 4 5 2 8" xfId="31665"/>
    <cellStyle name="集計 3 4 5 2 9" xfId="31666"/>
    <cellStyle name="集計 3 4 5 3" xfId="31667"/>
    <cellStyle name="集計 3 4 5 3 2" xfId="31668"/>
    <cellStyle name="集計 3 4 5 3 2 2" xfId="31669"/>
    <cellStyle name="集計 3 4 5 3 2 2 2" xfId="31670"/>
    <cellStyle name="集計 3 4 5 3 2 2 3" xfId="31671"/>
    <cellStyle name="集計 3 4 5 3 2 3" xfId="31672"/>
    <cellStyle name="集計 3 4 5 3 2 3 2" xfId="31673"/>
    <cellStyle name="集計 3 4 5 3 2 3 3" xfId="31674"/>
    <cellStyle name="集計 3 4 5 3 2 4" xfId="31675"/>
    <cellStyle name="集計 3 4 5 3 2 4 2" xfId="31676"/>
    <cellStyle name="集計 3 4 5 3 2 4 3" xfId="31677"/>
    <cellStyle name="集計 3 4 5 3 2 5" xfId="31678"/>
    <cellStyle name="集計 3 4 5 3 2 6" xfId="31679"/>
    <cellStyle name="集計 3 4 5 3 3" xfId="31680"/>
    <cellStyle name="集計 3 4 5 3 3 2" xfId="31681"/>
    <cellStyle name="集計 3 4 5 3 3 3" xfId="31682"/>
    <cellStyle name="集計 3 4 5 3 4" xfId="31683"/>
    <cellStyle name="集計 3 4 5 3 4 2" xfId="31684"/>
    <cellStyle name="集計 3 4 5 3 4 3" xfId="31685"/>
    <cellStyle name="集計 3 4 5 3 5" xfId="31686"/>
    <cellStyle name="集計 3 4 5 3 5 2" xfId="31687"/>
    <cellStyle name="集計 3 4 5 3 5 3" xfId="31688"/>
    <cellStyle name="集計 3 4 5 3 6" xfId="31689"/>
    <cellStyle name="集計 3 4 5 3 7" xfId="31690"/>
    <cellStyle name="集計 3 4 5 4" xfId="31691"/>
    <cellStyle name="集計 3 4 5 4 2" xfId="31692"/>
    <cellStyle name="集計 3 4 5 4 2 2" xfId="31693"/>
    <cellStyle name="集計 3 4 5 4 2 2 2" xfId="31694"/>
    <cellStyle name="集計 3 4 5 4 2 2 3" xfId="31695"/>
    <cellStyle name="集計 3 4 5 4 2 3" xfId="31696"/>
    <cellStyle name="集計 3 4 5 4 2 3 2" xfId="31697"/>
    <cellStyle name="集計 3 4 5 4 2 3 3" xfId="31698"/>
    <cellStyle name="集計 3 4 5 4 2 4" xfId="31699"/>
    <cellStyle name="集計 3 4 5 4 2 4 2" xfId="31700"/>
    <cellStyle name="集計 3 4 5 4 2 4 3" xfId="31701"/>
    <cellStyle name="集計 3 4 5 4 2 5" xfId="31702"/>
    <cellStyle name="集計 3 4 5 4 2 6" xfId="31703"/>
    <cellStyle name="集計 3 4 5 4 3" xfId="31704"/>
    <cellStyle name="集計 3 4 5 4 3 2" xfId="31705"/>
    <cellStyle name="集計 3 4 5 4 3 3" xfId="31706"/>
    <cellStyle name="集計 3 4 5 4 4" xfId="31707"/>
    <cellStyle name="集計 3 4 5 4 4 2" xfId="31708"/>
    <cellStyle name="集計 3 4 5 4 4 3" xfId="31709"/>
    <cellStyle name="集計 3 4 5 4 5" xfId="31710"/>
    <cellStyle name="集計 3 4 5 4 5 2" xfId="31711"/>
    <cellStyle name="集計 3 4 5 4 5 3" xfId="31712"/>
    <cellStyle name="集計 3 4 5 4 6" xfId="31713"/>
    <cellStyle name="集計 3 4 5 4 7" xfId="31714"/>
    <cellStyle name="集計 3 4 5 5" xfId="31715"/>
    <cellStyle name="集計 3 4 5 5 2" xfId="31716"/>
    <cellStyle name="集計 3 4 5 5 2 2" xfId="31717"/>
    <cellStyle name="集計 3 4 5 5 2 3" xfId="31718"/>
    <cellStyle name="集計 3 4 5 5 3" xfId="31719"/>
    <cellStyle name="集計 3 4 5 5 3 2" xfId="31720"/>
    <cellStyle name="集計 3 4 5 5 3 3" xfId="31721"/>
    <cellStyle name="集計 3 4 5 5 4" xfId="31722"/>
    <cellStyle name="集計 3 4 5 5 4 2" xfId="31723"/>
    <cellStyle name="集計 3 4 5 5 4 3" xfId="31724"/>
    <cellStyle name="集計 3 4 5 5 5" xfId="31725"/>
    <cellStyle name="集計 3 4 5 5 6" xfId="31726"/>
    <cellStyle name="集計 3 4 5 6" xfId="31727"/>
    <cellStyle name="集計 3 4 5 6 2" xfId="31728"/>
    <cellStyle name="集計 3 4 5 6 3" xfId="31729"/>
    <cellStyle name="集計 3 4 5 7" xfId="31730"/>
    <cellStyle name="集計 3 4 5 7 2" xfId="31731"/>
    <cellStyle name="集計 3 4 5 7 3" xfId="31732"/>
    <cellStyle name="集計 3 4 5 8" xfId="31733"/>
    <cellStyle name="集計 3 4 5 8 2" xfId="31734"/>
    <cellStyle name="集計 3 4 5 8 3" xfId="31735"/>
    <cellStyle name="集計 3 4 5 9" xfId="31736"/>
    <cellStyle name="集計 3 4 6" xfId="31737"/>
    <cellStyle name="集計 3 4 6 10" xfId="31738"/>
    <cellStyle name="集計 3 4 6 2" xfId="31739"/>
    <cellStyle name="集計 3 4 6 2 2" xfId="31740"/>
    <cellStyle name="集計 3 4 6 2 2 2" xfId="31741"/>
    <cellStyle name="集計 3 4 6 2 2 2 2" xfId="31742"/>
    <cellStyle name="集計 3 4 6 2 2 2 2 2" xfId="31743"/>
    <cellStyle name="集計 3 4 6 2 2 2 2 3" xfId="31744"/>
    <cellStyle name="集計 3 4 6 2 2 2 3" xfId="31745"/>
    <cellStyle name="集計 3 4 6 2 2 2 3 2" xfId="31746"/>
    <cellStyle name="集計 3 4 6 2 2 2 3 3" xfId="31747"/>
    <cellStyle name="集計 3 4 6 2 2 2 4" xfId="31748"/>
    <cellStyle name="集計 3 4 6 2 2 2 4 2" xfId="31749"/>
    <cellStyle name="集計 3 4 6 2 2 2 4 3" xfId="31750"/>
    <cellStyle name="集計 3 4 6 2 2 2 5" xfId="31751"/>
    <cellStyle name="集計 3 4 6 2 2 2 6" xfId="31752"/>
    <cellStyle name="集計 3 4 6 2 2 3" xfId="31753"/>
    <cellStyle name="集計 3 4 6 2 2 3 2" xfId="31754"/>
    <cellStyle name="集計 3 4 6 2 2 3 3" xfId="31755"/>
    <cellStyle name="集計 3 4 6 2 2 4" xfId="31756"/>
    <cellStyle name="集計 3 4 6 2 2 4 2" xfId="31757"/>
    <cellStyle name="集計 3 4 6 2 2 4 3" xfId="31758"/>
    <cellStyle name="集計 3 4 6 2 2 5" xfId="31759"/>
    <cellStyle name="集計 3 4 6 2 2 5 2" xfId="31760"/>
    <cellStyle name="集計 3 4 6 2 2 5 3" xfId="31761"/>
    <cellStyle name="集計 3 4 6 2 2 6" xfId="31762"/>
    <cellStyle name="集計 3 4 6 2 2 7" xfId="31763"/>
    <cellStyle name="集計 3 4 6 2 3" xfId="31764"/>
    <cellStyle name="集計 3 4 6 2 3 2" xfId="31765"/>
    <cellStyle name="集計 3 4 6 2 3 2 2" xfId="31766"/>
    <cellStyle name="集計 3 4 6 2 3 2 2 2" xfId="31767"/>
    <cellStyle name="集計 3 4 6 2 3 2 2 3" xfId="31768"/>
    <cellStyle name="集計 3 4 6 2 3 2 3" xfId="31769"/>
    <cellStyle name="集計 3 4 6 2 3 2 3 2" xfId="31770"/>
    <cellStyle name="集計 3 4 6 2 3 2 3 3" xfId="31771"/>
    <cellStyle name="集計 3 4 6 2 3 2 4" xfId="31772"/>
    <cellStyle name="集計 3 4 6 2 3 2 4 2" xfId="31773"/>
    <cellStyle name="集計 3 4 6 2 3 2 4 3" xfId="31774"/>
    <cellStyle name="集計 3 4 6 2 3 2 5" xfId="31775"/>
    <cellStyle name="集計 3 4 6 2 3 2 6" xfId="31776"/>
    <cellStyle name="集計 3 4 6 2 3 3" xfId="31777"/>
    <cellStyle name="集計 3 4 6 2 3 3 2" xfId="31778"/>
    <cellStyle name="集計 3 4 6 2 3 3 3" xfId="31779"/>
    <cellStyle name="集計 3 4 6 2 3 4" xfId="31780"/>
    <cellStyle name="集計 3 4 6 2 3 4 2" xfId="31781"/>
    <cellStyle name="集計 3 4 6 2 3 4 3" xfId="31782"/>
    <cellStyle name="集計 3 4 6 2 3 5" xfId="31783"/>
    <cellStyle name="集計 3 4 6 2 3 5 2" xfId="31784"/>
    <cellStyle name="集計 3 4 6 2 3 5 3" xfId="31785"/>
    <cellStyle name="集計 3 4 6 2 3 6" xfId="31786"/>
    <cellStyle name="集計 3 4 6 2 3 7" xfId="31787"/>
    <cellStyle name="集計 3 4 6 2 4" xfId="31788"/>
    <cellStyle name="集計 3 4 6 2 4 2" xfId="31789"/>
    <cellStyle name="集計 3 4 6 2 4 2 2" xfId="31790"/>
    <cellStyle name="集計 3 4 6 2 4 2 3" xfId="31791"/>
    <cellStyle name="集計 3 4 6 2 4 3" xfId="31792"/>
    <cellStyle name="集計 3 4 6 2 4 3 2" xfId="31793"/>
    <cellStyle name="集計 3 4 6 2 4 3 3" xfId="31794"/>
    <cellStyle name="集計 3 4 6 2 4 4" xfId="31795"/>
    <cellStyle name="集計 3 4 6 2 4 4 2" xfId="31796"/>
    <cellStyle name="集計 3 4 6 2 4 4 3" xfId="31797"/>
    <cellStyle name="集計 3 4 6 2 4 5" xfId="31798"/>
    <cellStyle name="集計 3 4 6 2 4 6" xfId="31799"/>
    <cellStyle name="集計 3 4 6 2 5" xfId="31800"/>
    <cellStyle name="集計 3 4 6 2 5 2" xfId="31801"/>
    <cellStyle name="集計 3 4 6 2 5 3" xfId="31802"/>
    <cellStyle name="集計 3 4 6 2 6" xfId="31803"/>
    <cellStyle name="集計 3 4 6 2 6 2" xfId="31804"/>
    <cellStyle name="集計 3 4 6 2 6 3" xfId="31805"/>
    <cellStyle name="集計 3 4 6 2 7" xfId="31806"/>
    <cellStyle name="集計 3 4 6 2 7 2" xfId="31807"/>
    <cellStyle name="集計 3 4 6 2 7 3" xfId="31808"/>
    <cellStyle name="集計 3 4 6 2 8" xfId="31809"/>
    <cellStyle name="集計 3 4 6 2 9" xfId="31810"/>
    <cellStyle name="集計 3 4 6 3" xfId="31811"/>
    <cellStyle name="集計 3 4 6 3 2" xfId="31812"/>
    <cellStyle name="集計 3 4 6 3 2 2" xfId="31813"/>
    <cellStyle name="集計 3 4 6 3 2 2 2" xfId="31814"/>
    <cellStyle name="集計 3 4 6 3 2 2 3" xfId="31815"/>
    <cellStyle name="集計 3 4 6 3 2 3" xfId="31816"/>
    <cellStyle name="集計 3 4 6 3 2 3 2" xfId="31817"/>
    <cellStyle name="集計 3 4 6 3 2 3 3" xfId="31818"/>
    <cellStyle name="集計 3 4 6 3 2 4" xfId="31819"/>
    <cellStyle name="集計 3 4 6 3 2 4 2" xfId="31820"/>
    <cellStyle name="集計 3 4 6 3 2 4 3" xfId="31821"/>
    <cellStyle name="集計 3 4 6 3 2 5" xfId="31822"/>
    <cellStyle name="集計 3 4 6 3 2 6" xfId="31823"/>
    <cellStyle name="集計 3 4 6 3 3" xfId="31824"/>
    <cellStyle name="集計 3 4 6 3 3 2" xfId="31825"/>
    <cellStyle name="集計 3 4 6 3 3 3" xfId="31826"/>
    <cellStyle name="集計 3 4 6 3 4" xfId="31827"/>
    <cellStyle name="集計 3 4 6 3 4 2" xfId="31828"/>
    <cellStyle name="集計 3 4 6 3 4 3" xfId="31829"/>
    <cellStyle name="集計 3 4 6 3 5" xfId="31830"/>
    <cellStyle name="集計 3 4 6 3 5 2" xfId="31831"/>
    <cellStyle name="集計 3 4 6 3 5 3" xfId="31832"/>
    <cellStyle name="集計 3 4 6 3 6" xfId="31833"/>
    <cellStyle name="集計 3 4 6 3 7" xfId="31834"/>
    <cellStyle name="集計 3 4 6 4" xfId="31835"/>
    <cellStyle name="集計 3 4 6 4 2" xfId="31836"/>
    <cellStyle name="集計 3 4 6 4 2 2" xfId="31837"/>
    <cellStyle name="集計 3 4 6 4 2 2 2" xfId="31838"/>
    <cellStyle name="集計 3 4 6 4 2 2 3" xfId="31839"/>
    <cellStyle name="集計 3 4 6 4 2 3" xfId="31840"/>
    <cellStyle name="集計 3 4 6 4 2 3 2" xfId="31841"/>
    <cellStyle name="集計 3 4 6 4 2 3 3" xfId="31842"/>
    <cellStyle name="集計 3 4 6 4 2 4" xfId="31843"/>
    <cellStyle name="集計 3 4 6 4 2 4 2" xfId="31844"/>
    <cellStyle name="集計 3 4 6 4 2 4 3" xfId="31845"/>
    <cellStyle name="集計 3 4 6 4 2 5" xfId="31846"/>
    <cellStyle name="集計 3 4 6 4 2 6" xfId="31847"/>
    <cellStyle name="集計 3 4 6 4 3" xfId="31848"/>
    <cellStyle name="集計 3 4 6 4 3 2" xfId="31849"/>
    <cellStyle name="集計 3 4 6 4 3 3" xfId="31850"/>
    <cellStyle name="集計 3 4 6 4 4" xfId="31851"/>
    <cellStyle name="集計 3 4 6 4 4 2" xfId="31852"/>
    <cellStyle name="集計 3 4 6 4 4 3" xfId="31853"/>
    <cellStyle name="集計 3 4 6 4 5" xfId="31854"/>
    <cellStyle name="集計 3 4 6 4 5 2" xfId="31855"/>
    <cellStyle name="集計 3 4 6 4 5 3" xfId="31856"/>
    <cellStyle name="集計 3 4 6 4 6" xfId="31857"/>
    <cellStyle name="集計 3 4 6 4 7" xfId="31858"/>
    <cellStyle name="集計 3 4 6 5" xfId="31859"/>
    <cellStyle name="集計 3 4 6 5 2" xfId="31860"/>
    <cellStyle name="集計 3 4 6 5 2 2" xfId="31861"/>
    <cellStyle name="集計 3 4 6 5 2 3" xfId="31862"/>
    <cellStyle name="集計 3 4 6 5 3" xfId="31863"/>
    <cellStyle name="集計 3 4 6 5 3 2" xfId="31864"/>
    <cellStyle name="集計 3 4 6 5 3 3" xfId="31865"/>
    <cellStyle name="集計 3 4 6 5 4" xfId="31866"/>
    <cellStyle name="集計 3 4 6 5 4 2" xfId="31867"/>
    <cellStyle name="集計 3 4 6 5 4 3" xfId="31868"/>
    <cellStyle name="集計 3 4 6 5 5" xfId="31869"/>
    <cellStyle name="集計 3 4 6 5 6" xfId="31870"/>
    <cellStyle name="集計 3 4 6 6" xfId="31871"/>
    <cellStyle name="集計 3 4 6 6 2" xfId="31872"/>
    <cellStyle name="集計 3 4 6 6 3" xfId="31873"/>
    <cellStyle name="集計 3 4 6 7" xfId="31874"/>
    <cellStyle name="集計 3 4 6 7 2" xfId="31875"/>
    <cellStyle name="集計 3 4 6 7 3" xfId="31876"/>
    <cellStyle name="集計 3 4 6 8" xfId="31877"/>
    <cellStyle name="集計 3 4 6 8 2" xfId="31878"/>
    <cellStyle name="集計 3 4 6 8 3" xfId="31879"/>
    <cellStyle name="集計 3 4 6 9" xfId="31880"/>
    <cellStyle name="集計 3 4 7" xfId="31881"/>
    <cellStyle name="集計 3 4 7 2" xfId="31882"/>
    <cellStyle name="集計 3 4 7 2 2" xfId="31883"/>
    <cellStyle name="集計 3 4 7 2 2 2" xfId="31884"/>
    <cellStyle name="集計 3 4 7 2 2 3" xfId="31885"/>
    <cellStyle name="集計 3 4 7 2 3" xfId="31886"/>
    <cellStyle name="集計 3 4 7 2 3 2" xfId="31887"/>
    <cellStyle name="集計 3 4 7 2 3 3" xfId="31888"/>
    <cellStyle name="集計 3 4 7 2 4" xfId="31889"/>
    <cellStyle name="集計 3 4 7 2 4 2" xfId="31890"/>
    <cellStyle name="集計 3 4 7 2 4 3" xfId="31891"/>
    <cellStyle name="集計 3 4 7 2 5" xfId="31892"/>
    <cellStyle name="集計 3 4 7 2 6" xfId="31893"/>
    <cellStyle name="集計 3 4 7 3" xfId="31894"/>
    <cellStyle name="集計 3 4 7 3 2" xfId="31895"/>
    <cellStyle name="集計 3 4 7 3 3" xfId="31896"/>
    <cellStyle name="集計 3 4 7 4" xfId="31897"/>
    <cellStyle name="集計 3 4 7 4 2" xfId="31898"/>
    <cellStyle name="集計 3 4 7 4 3" xfId="31899"/>
    <cellStyle name="集計 3 4 7 5" xfId="31900"/>
    <cellStyle name="集計 3 4 7 5 2" xfId="31901"/>
    <cellStyle name="集計 3 4 7 5 3" xfId="31902"/>
    <cellStyle name="集計 3 4 7 6" xfId="31903"/>
    <cellStyle name="集計 3 4 7 7" xfId="31904"/>
    <cellStyle name="集計 3 4 8" xfId="31905"/>
    <cellStyle name="集計 3 4 8 2" xfId="31906"/>
    <cellStyle name="集計 3 4 8 2 2" xfId="31907"/>
    <cellStyle name="集計 3 4 8 2 2 2" xfId="31908"/>
    <cellStyle name="集計 3 4 8 2 2 3" xfId="31909"/>
    <cellStyle name="集計 3 4 8 2 3" xfId="31910"/>
    <cellStyle name="集計 3 4 8 2 3 2" xfId="31911"/>
    <cellStyle name="集計 3 4 8 2 3 3" xfId="31912"/>
    <cellStyle name="集計 3 4 8 2 4" xfId="31913"/>
    <cellStyle name="集計 3 4 8 2 4 2" xfId="31914"/>
    <cellStyle name="集計 3 4 8 2 4 3" xfId="31915"/>
    <cellStyle name="集計 3 4 8 2 5" xfId="31916"/>
    <cellStyle name="集計 3 4 8 2 6" xfId="31917"/>
    <cellStyle name="集計 3 4 8 3" xfId="31918"/>
    <cellStyle name="集計 3 4 8 3 2" xfId="31919"/>
    <cellStyle name="集計 3 4 8 3 3" xfId="31920"/>
    <cellStyle name="集計 3 4 8 4" xfId="31921"/>
    <cellStyle name="集計 3 4 8 4 2" xfId="31922"/>
    <cellStyle name="集計 3 4 8 4 3" xfId="31923"/>
    <cellStyle name="集計 3 4 8 5" xfId="31924"/>
    <cellStyle name="集計 3 4 8 5 2" xfId="31925"/>
    <cellStyle name="集計 3 4 8 5 3" xfId="31926"/>
    <cellStyle name="集計 3 4 8 6" xfId="31927"/>
    <cellStyle name="集計 3 4 8 7" xfId="31928"/>
    <cellStyle name="集計 3 4 9" xfId="31929"/>
    <cellStyle name="集計 3 4 9 2" xfId="31930"/>
    <cellStyle name="集計 3 4 9 2 2" xfId="31931"/>
    <cellStyle name="集計 3 4 9 2 3" xfId="31932"/>
    <cellStyle name="集計 3 4 9 3" xfId="31933"/>
    <cellStyle name="集計 3 4 9 3 2" xfId="31934"/>
    <cellStyle name="集計 3 4 9 3 3" xfId="31935"/>
    <cellStyle name="集計 3 4 9 4" xfId="31936"/>
    <cellStyle name="集計 3 4 9 4 2" xfId="31937"/>
    <cellStyle name="集計 3 4 9 4 3" xfId="31938"/>
    <cellStyle name="集計 3 4 9 5" xfId="31939"/>
    <cellStyle name="集計 3 4 9 6" xfId="31940"/>
    <cellStyle name="集計 3 5" xfId="31941"/>
    <cellStyle name="集計 3 5 10" xfId="31942"/>
    <cellStyle name="集計 3 5 10 2" xfId="31943"/>
    <cellStyle name="集計 3 5 10 3" xfId="31944"/>
    <cellStyle name="集計 3 5 11" xfId="31945"/>
    <cellStyle name="集計 3 5 11 2" xfId="31946"/>
    <cellStyle name="集計 3 5 11 3" xfId="31947"/>
    <cellStyle name="集計 3 5 12" xfId="31948"/>
    <cellStyle name="集計 3 5 12 2" xfId="31949"/>
    <cellStyle name="集計 3 5 12 3" xfId="31950"/>
    <cellStyle name="集計 3 5 13" xfId="31951"/>
    <cellStyle name="集計 3 5 14" xfId="31952"/>
    <cellStyle name="集計 3 5 2" xfId="31953"/>
    <cellStyle name="集計 3 5 2 10" xfId="31954"/>
    <cellStyle name="集計 3 5 2 2" xfId="31955"/>
    <cellStyle name="集計 3 5 2 2 10" xfId="31956"/>
    <cellStyle name="集計 3 5 2 2 2" xfId="31957"/>
    <cellStyle name="集計 3 5 2 2 2 2" xfId="31958"/>
    <cellStyle name="集計 3 5 2 2 2 2 2" xfId="31959"/>
    <cellStyle name="集計 3 5 2 2 2 2 2 2" xfId="31960"/>
    <cellStyle name="集計 3 5 2 2 2 2 2 2 2" xfId="31961"/>
    <cellStyle name="集計 3 5 2 2 2 2 2 2 3" xfId="31962"/>
    <cellStyle name="集計 3 5 2 2 2 2 2 3" xfId="31963"/>
    <cellStyle name="集計 3 5 2 2 2 2 2 3 2" xfId="31964"/>
    <cellStyle name="集計 3 5 2 2 2 2 2 3 3" xfId="31965"/>
    <cellStyle name="集計 3 5 2 2 2 2 2 4" xfId="31966"/>
    <cellStyle name="集計 3 5 2 2 2 2 2 4 2" xfId="31967"/>
    <cellStyle name="集計 3 5 2 2 2 2 2 4 3" xfId="31968"/>
    <cellStyle name="集計 3 5 2 2 2 2 2 5" xfId="31969"/>
    <cellStyle name="集計 3 5 2 2 2 2 2 6" xfId="31970"/>
    <cellStyle name="集計 3 5 2 2 2 2 3" xfId="31971"/>
    <cellStyle name="集計 3 5 2 2 2 2 3 2" xfId="31972"/>
    <cellStyle name="集計 3 5 2 2 2 2 3 3" xfId="31973"/>
    <cellStyle name="集計 3 5 2 2 2 2 4" xfId="31974"/>
    <cellStyle name="集計 3 5 2 2 2 2 4 2" xfId="31975"/>
    <cellStyle name="集計 3 5 2 2 2 2 4 3" xfId="31976"/>
    <cellStyle name="集計 3 5 2 2 2 2 5" xfId="31977"/>
    <cellStyle name="集計 3 5 2 2 2 2 5 2" xfId="31978"/>
    <cellStyle name="集計 3 5 2 2 2 2 5 3" xfId="31979"/>
    <cellStyle name="集計 3 5 2 2 2 2 6" xfId="31980"/>
    <cellStyle name="集計 3 5 2 2 2 2 7" xfId="31981"/>
    <cellStyle name="集計 3 5 2 2 2 3" xfId="31982"/>
    <cellStyle name="集計 3 5 2 2 2 3 2" xfId="31983"/>
    <cellStyle name="集計 3 5 2 2 2 3 2 2" xfId="31984"/>
    <cellStyle name="集計 3 5 2 2 2 3 2 2 2" xfId="31985"/>
    <cellStyle name="集計 3 5 2 2 2 3 2 2 3" xfId="31986"/>
    <cellStyle name="集計 3 5 2 2 2 3 2 3" xfId="31987"/>
    <cellStyle name="集計 3 5 2 2 2 3 2 3 2" xfId="31988"/>
    <cellStyle name="集計 3 5 2 2 2 3 2 3 3" xfId="31989"/>
    <cellStyle name="集計 3 5 2 2 2 3 2 4" xfId="31990"/>
    <cellStyle name="集計 3 5 2 2 2 3 2 4 2" xfId="31991"/>
    <cellStyle name="集計 3 5 2 2 2 3 2 4 3" xfId="31992"/>
    <cellStyle name="集計 3 5 2 2 2 3 2 5" xfId="31993"/>
    <cellStyle name="集計 3 5 2 2 2 3 2 6" xfId="31994"/>
    <cellStyle name="集計 3 5 2 2 2 3 3" xfId="31995"/>
    <cellStyle name="集計 3 5 2 2 2 3 3 2" xfId="31996"/>
    <cellStyle name="集計 3 5 2 2 2 3 3 3" xfId="31997"/>
    <cellStyle name="集計 3 5 2 2 2 3 4" xfId="31998"/>
    <cellStyle name="集計 3 5 2 2 2 3 4 2" xfId="31999"/>
    <cellStyle name="集計 3 5 2 2 2 3 4 3" xfId="32000"/>
    <cellStyle name="集計 3 5 2 2 2 3 5" xfId="32001"/>
    <cellStyle name="集計 3 5 2 2 2 3 5 2" xfId="32002"/>
    <cellStyle name="集計 3 5 2 2 2 3 5 3" xfId="32003"/>
    <cellStyle name="集計 3 5 2 2 2 3 6" xfId="32004"/>
    <cellStyle name="集計 3 5 2 2 2 3 7" xfId="32005"/>
    <cellStyle name="集計 3 5 2 2 2 4" xfId="32006"/>
    <cellStyle name="集計 3 5 2 2 2 4 2" xfId="32007"/>
    <cellStyle name="集計 3 5 2 2 2 4 2 2" xfId="32008"/>
    <cellStyle name="集計 3 5 2 2 2 4 2 3" xfId="32009"/>
    <cellStyle name="集計 3 5 2 2 2 4 3" xfId="32010"/>
    <cellStyle name="集計 3 5 2 2 2 4 3 2" xfId="32011"/>
    <cellStyle name="集計 3 5 2 2 2 4 3 3" xfId="32012"/>
    <cellStyle name="集計 3 5 2 2 2 4 4" xfId="32013"/>
    <cellStyle name="集計 3 5 2 2 2 4 4 2" xfId="32014"/>
    <cellStyle name="集計 3 5 2 2 2 4 4 3" xfId="32015"/>
    <cellStyle name="集計 3 5 2 2 2 4 5" xfId="32016"/>
    <cellStyle name="集計 3 5 2 2 2 4 6" xfId="32017"/>
    <cellStyle name="集計 3 5 2 2 2 5" xfId="32018"/>
    <cellStyle name="集計 3 5 2 2 2 5 2" xfId="32019"/>
    <cellStyle name="集計 3 5 2 2 2 5 3" xfId="32020"/>
    <cellStyle name="集計 3 5 2 2 2 6" xfId="32021"/>
    <cellStyle name="集計 3 5 2 2 2 6 2" xfId="32022"/>
    <cellStyle name="集計 3 5 2 2 2 6 3" xfId="32023"/>
    <cellStyle name="集計 3 5 2 2 2 7" xfId="32024"/>
    <cellStyle name="集計 3 5 2 2 2 7 2" xfId="32025"/>
    <cellStyle name="集計 3 5 2 2 2 7 3" xfId="32026"/>
    <cellStyle name="集計 3 5 2 2 2 8" xfId="32027"/>
    <cellStyle name="集計 3 5 2 2 2 9" xfId="32028"/>
    <cellStyle name="集計 3 5 2 2 3" xfId="32029"/>
    <cellStyle name="集計 3 5 2 2 3 2" xfId="32030"/>
    <cellStyle name="集計 3 5 2 2 3 2 2" xfId="32031"/>
    <cellStyle name="集計 3 5 2 2 3 2 2 2" xfId="32032"/>
    <cellStyle name="集計 3 5 2 2 3 2 2 3" xfId="32033"/>
    <cellStyle name="集計 3 5 2 2 3 2 3" xfId="32034"/>
    <cellStyle name="集計 3 5 2 2 3 2 3 2" xfId="32035"/>
    <cellStyle name="集計 3 5 2 2 3 2 3 3" xfId="32036"/>
    <cellStyle name="集計 3 5 2 2 3 2 4" xfId="32037"/>
    <cellStyle name="集計 3 5 2 2 3 2 4 2" xfId="32038"/>
    <cellStyle name="集計 3 5 2 2 3 2 4 3" xfId="32039"/>
    <cellStyle name="集計 3 5 2 2 3 2 5" xfId="32040"/>
    <cellStyle name="集計 3 5 2 2 3 2 6" xfId="32041"/>
    <cellStyle name="集計 3 5 2 2 3 3" xfId="32042"/>
    <cellStyle name="集計 3 5 2 2 3 3 2" xfId="32043"/>
    <cellStyle name="集計 3 5 2 2 3 3 3" xfId="32044"/>
    <cellStyle name="集計 3 5 2 2 3 4" xfId="32045"/>
    <cellStyle name="集計 3 5 2 2 3 4 2" xfId="32046"/>
    <cellStyle name="集計 3 5 2 2 3 4 3" xfId="32047"/>
    <cellStyle name="集計 3 5 2 2 3 5" xfId="32048"/>
    <cellStyle name="集計 3 5 2 2 3 5 2" xfId="32049"/>
    <cellStyle name="集計 3 5 2 2 3 5 3" xfId="32050"/>
    <cellStyle name="集計 3 5 2 2 3 6" xfId="32051"/>
    <cellStyle name="集計 3 5 2 2 3 7" xfId="32052"/>
    <cellStyle name="集計 3 5 2 2 4" xfId="32053"/>
    <cellStyle name="集計 3 5 2 2 4 2" xfId="32054"/>
    <cellStyle name="集計 3 5 2 2 4 2 2" xfId="32055"/>
    <cellStyle name="集計 3 5 2 2 4 2 2 2" xfId="32056"/>
    <cellStyle name="集計 3 5 2 2 4 2 2 3" xfId="32057"/>
    <cellStyle name="集計 3 5 2 2 4 2 3" xfId="32058"/>
    <cellStyle name="集計 3 5 2 2 4 2 3 2" xfId="32059"/>
    <cellStyle name="集計 3 5 2 2 4 2 3 3" xfId="32060"/>
    <cellStyle name="集計 3 5 2 2 4 2 4" xfId="32061"/>
    <cellStyle name="集計 3 5 2 2 4 2 4 2" xfId="32062"/>
    <cellStyle name="集計 3 5 2 2 4 2 4 3" xfId="32063"/>
    <cellStyle name="集計 3 5 2 2 4 2 5" xfId="32064"/>
    <cellStyle name="集計 3 5 2 2 4 2 6" xfId="32065"/>
    <cellStyle name="集計 3 5 2 2 4 3" xfId="32066"/>
    <cellStyle name="集計 3 5 2 2 4 3 2" xfId="32067"/>
    <cellStyle name="集計 3 5 2 2 4 3 3" xfId="32068"/>
    <cellStyle name="集計 3 5 2 2 4 4" xfId="32069"/>
    <cellStyle name="集計 3 5 2 2 4 4 2" xfId="32070"/>
    <cellStyle name="集計 3 5 2 2 4 4 3" xfId="32071"/>
    <cellStyle name="集計 3 5 2 2 4 5" xfId="32072"/>
    <cellStyle name="集計 3 5 2 2 4 5 2" xfId="32073"/>
    <cellStyle name="集計 3 5 2 2 4 5 3" xfId="32074"/>
    <cellStyle name="集計 3 5 2 2 4 6" xfId="32075"/>
    <cellStyle name="集計 3 5 2 2 4 7" xfId="32076"/>
    <cellStyle name="集計 3 5 2 2 5" xfId="32077"/>
    <cellStyle name="集計 3 5 2 2 5 2" xfId="32078"/>
    <cellStyle name="集計 3 5 2 2 5 2 2" xfId="32079"/>
    <cellStyle name="集計 3 5 2 2 5 2 3" xfId="32080"/>
    <cellStyle name="集計 3 5 2 2 5 3" xfId="32081"/>
    <cellStyle name="集計 3 5 2 2 5 3 2" xfId="32082"/>
    <cellStyle name="集計 3 5 2 2 5 3 3" xfId="32083"/>
    <cellStyle name="集計 3 5 2 2 5 4" xfId="32084"/>
    <cellStyle name="集計 3 5 2 2 5 4 2" xfId="32085"/>
    <cellStyle name="集計 3 5 2 2 5 4 3" xfId="32086"/>
    <cellStyle name="集計 3 5 2 2 5 5" xfId="32087"/>
    <cellStyle name="集計 3 5 2 2 5 6" xfId="32088"/>
    <cellStyle name="集計 3 5 2 2 6" xfId="32089"/>
    <cellStyle name="集計 3 5 2 2 6 2" xfId="32090"/>
    <cellStyle name="集計 3 5 2 2 6 3" xfId="32091"/>
    <cellStyle name="集計 3 5 2 2 7" xfId="32092"/>
    <cellStyle name="集計 3 5 2 2 7 2" xfId="32093"/>
    <cellStyle name="集計 3 5 2 2 7 3" xfId="32094"/>
    <cellStyle name="集計 3 5 2 2 8" xfId="32095"/>
    <cellStyle name="集計 3 5 2 2 8 2" xfId="32096"/>
    <cellStyle name="集計 3 5 2 2 8 3" xfId="32097"/>
    <cellStyle name="集計 3 5 2 2 9" xfId="32098"/>
    <cellStyle name="集計 3 5 2 3" xfId="32099"/>
    <cellStyle name="集計 3 5 2 3 2" xfId="32100"/>
    <cellStyle name="集計 3 5 2 3 2 2" xfId="32101"/>
    <cellStyle name="集計 3 5 2 3 2 2 2" xfId="32102"/>
    <cellStyle name="集計 3 5 2 3 2 2 3" xfId="32103"/>
    <cellStyle name="集計 3 5 2 3 2 3" xfId="32104"/>
    <cellStyle name="集計 3 5 2 3 2 3 2" xfId="32105"/>
    <cellStyle name="集計 3 5 2 3 2 3 3" xfId="32106"/>
    <cellStyle name="集計 3 5 2 3 2 4" xfId="32107"/>
    <cellStyle name="集計 3 5 2 3 2 4 2" xfId="32108"/>
    <cellStyle name="集計 3 5 2 3 2 4 3" xfId="32109"/>
    <cellStyle name="集計 3 5 2 3 2 5" xfId="32110"/>
    <cellStyle name="集計 3 5 2 3 2 6" xfId="32111"/>
    <cellStyle name="集計 3 5 2 3 3" xfId="32112"/>
    <cellStyle name="集計 3 5 2 3 3 2" xfId="32113"/>
    <cellStyle name="集計 3 5 2 3 3 3" xfId="32114"/>
    <cellStyle name="集計 3 5 2 3 4" xfId="32115"/>
    <cellStyle name="集計 3 5 2 3 4 2" xfId="32116"/>
    <cellStyle name="集計 3 5 2 3 4 3" xfId="32117"/>
    <cellStyle name="集計 3 5 2 3 5" xfId="32118"/>
    <cellStyle name="集計 3 5 2 3 5 2" xfId="32119"/>
    <cellStyle name="集計 3 5 2 3 5 3" xfId="32120"/>
    <cellStyle name="集計 3 5 2 3 6" xfId="32121"/>
    <cellStyle name="集計 3 5 2 3 7" xfId="32122"/>
    <cellStyle name="集計 3 5 2 4" xfId="32123"/>
    <cellStyle name="集計 3 5 2 4 2" xfId="32124"/>
    <cellStyle name="集計 3 5 2 4 2 2" xfId="32125"/>
    <cellStyle name="集計 3 5 2 4 2 2 2" xfId="32126"/>
    <cellStyle name="集計 3 5 2 4 2 2 3" xfId="32127"/>
    <cellStyle name="集計 3 5 2 4 2 3" xfId="32128"/>
    <cellStyle name="集計 3 5 2 4 2 3 2" xfId="32129"/>
    <cellStyle name="集計 3 5 2 4 2 3 3" xfId="32130"/>
    <cellStyle name="集計 3 5 2 4 2 4" xfId="32131"/>
    <cellStyle name="集計 3 5 2 4 2 4 2" xfId="32132"/>
    <cellStyle name="集計 3 5 2 4 2 4 3" xfId="32133"/>
    <cellStyle name="集計 3 5 2 4 2 5" xfId="32134"/>
    <cellStyle name="集計 3 5 2 4 2 6" xfId="32135"/>
    <cellStyle name="集計 3 5 2 4 3" xfId="32136"/>
    <cellStyle name="集計 3 5 2 4 3 2" xfId="32137"/>
    <cellStyle name="集計 3 5 2 4 3 3" xfId="32138"/>
    <cellStyle name="集計 3 5 2 4 4" xfId="32139"/>
    <cellStyle name="集計 3 5 2 4 4 2" xfId="32140"/>
    <cellStyle name="集計 3 5 2 4 4 3" xfId="32141"/>
    <cellStyle name="集計 3 5 2 4 5" xfId="32142"/>
    <cellStyle name="集計 3 5 2 4 5 2" xfId="32143"/>
    <cellStyle name="集計 3 5 2 4 5 3" xfId="32144"/>
    <cellStyle name="集計 3 5 2 4 6" xfId="32145"/>
    <cellStyle name="集計 3 5 2 4 7" xfId="32146"/>
    <cellStyle name="集計 3 5 2 5" xfId="32147"/>
    <cellStyle name="集計 3 5 2 5 2" xfId="32148"/>
    <cellStyle name="集計 3 5 2 5 2 2" xfId="32149"/>
    <cellStyle name="集計 3 5 2 5 2 3" xfId="32150"/>
    <cellStyle name="集計 3 5 2 5 3" xfId="32151"/>
    <cellStyle name="集計 3 5 2 5 3 2" xfId="32152"/>
    <cellStyle name="集計 3 5 2 5 3 3" xfId="32153"/>
    <cellStyle name="集計 3 5 2 5 4" xfId="32154"/>
    <cellStyle name="集計 3 5 2 5 4 2" xfId="32155"/>
    <cellStyle name="集計 3 5 2 5 4 3" xfId="32156"/>
    <cellStyle name="集計 3 5 2 5 5" xfId="32157"/>
    <cellStyle name="集計 3 5 2 5 6" xfId="32158"/>
    <cellStyle name="集計 3 5 2 6" xfId="32159"/>
    <cellStyle name="集計 3 5 2 6 2" xfId="32160"/>
    <cellStyle name="集計 3 5 2 6 3" xfId="32161"/>
    <cellStyle name="集計 3 5 2 7" xfId="32162"/>
    <cellStyle name="集計 3 5 2 7 2" xfId="32163"/>
    <cellStyle name="集計 3 5 2 7 3" xfId="32164"/>
    <cellStyle name="集計 3 5 2 8" xfId="32165"/>
    <cellStyle name="集計 3 5 2 8 2" xfId="32166"/>
    <cellStyle name="集計 3 5 2 8 3" xfId="32167"/>
    <cellStyle name="集計 3 5 2 9" xfId="32168"/>
    <cellStyle name="集計 3 5 3" xfId="32169"/>
    <cellStyle name="集計 3 5 3 10" xfId="32170"/>
    <cellStyle name="集計 3 5 3 2" xfId="32171"/>
    <cellStyle name="集計 3 5 3 2 10" xfId="32172"/>
    <cellStyle name="集計 3 5 3 2 2" xfId="32173"/>
    <cellStyle name="集計 3 5 3 2 2 2" xfId="32174"/>
    <cellStyle name="集計 3 5 3 2 2 2 2" xfId="32175"/>
    <cellStyle name="集計 3 5 3 2 2 2 2 2" xfId="32176"/>
    <cellStyle name="集計 3 5 3 2 2 2 2 2 2" xfId="32177"/>
    <cellStyle name="集計 3 5 3 2 2 2 2 2 3" xfId="32178"/>
    <cellStyle name="集計 3 5 3 2 2 2 2 3" xfId="32179"/>
    <cellStyle name="集計 3 5 3 2 2 2 2 3 2" xfId="32180"/>
    <cellStyle name="集計 3 5 3 2 2 2 2 3 3" xfId="32181"/>
    <cellStyle name="集計 3 5 3 2 2 2 2 4" xfId="32182"/>
    <cellStyle name="集計 3 5 3 2 2 2 2 4 2" xfId="32183"/>
    <cellStyle name="集計 3 5 3 2 2 2 2 4 3" xfId="32184"/>
    <cellStyle name="集計 3 5 3 2 2 2 2 5" xfId="32185"/>
    <cellStyle name="集計 3 5 3 2 2 2 2 6" xfId="32186"/>
    <cellStyle name="集計 3 5 3 2 2 2 3" xfId="32187"/>
    <cellStyle name="集計 3 5 3 2 2 2 3 2" xfId="32188"/>
    <cellStyle name="集計 3 5 3 2 2 2 3 3" xfId="32189"/>
    <cellStyle name="集計 3 5 3 2 2 2 4" xfId="32190"/>
    <cellStyle name="集計 3 5 3 2 2 2 4 2" xfId="32191"/>
    <cellStyle name="集計 3 5 3 2 2 2 4 3" xfId="32192"/>
    <cellStyle name="集計 3 5 3 2 2 2 5" xfId="32193"/>
    <cellStyle name="集計 3 5 3 2 2 2 5 2" xfId="32194"/>
    <cellStyle name="集計 3 5 3 2 2 2 5 3" xfId="32195"/>
    <cellStyle name="集計 3 5 3 2 2 2 6" xfId="32196"/>
    <cellStyle name="集計 3 5 3 2 2 2 7" xfId="32197"/>
    <cellStyle name="集計 3 5 3 2 2 3" xfId="32198"/>
    <cellStyle name="集計 3 5 3 2 2 3 2" xfId="32199"/>
    <cellStyle name="集計 3 5 3 2 2 3 2 2" xfId="32200"/>
    <cellStyle name="集計 3 5 3 2 2 3 2 2 2" xfId="32201"/>
    <cellStyle name="集計 3 5 3 2 2 3 2 2 3" xfId="32202"/>
    <cellStyle name="集計 3 5 3 2 2 3 2 3" xfId="32203"/>
    <cellStyle name="集計 3 5 3 2 2 3 2 3 2" xfId="32204"/>
    <cellStyle name="集計 3 5 3 2 2 3 2 3 3" xfId="32205"/>
    <cellStyle name="集計 3 5 3 2 2 3 2 4" xfId="32206"/>
    <cellStyle name="集計 3 5 3 2 2 3 2 4 2" xfId="32207"/>
    <cellStyle name="集計 3 5 3 2 2 3 2 4 3" xfId="32208"/>
    <cellStyle name="集計 3 5 3 2 2 3 2 5" xfId="32209"/>
    <cellStyle name="集計 3 5 3 2 2 3 2 6" xfId="32210"/>
    <cellStyle name="集計 3 5 3 2 2 3 3" xfId="32211"/>
    <cellStyle name="集計 3 5 3 2 2 3 3 2" xfId="32212"/>
    <cellStyle name="集計 3 5 3 2 2 3 3 3" xfId="32213"/>
    <cellStyle name="集計 3 5 3 2 2 3 4" xfId="32214"/>
    <cellStyle name="集計 3 5 3 2 2 3 4 2" xfId="32215"/>
    <cellStyle name="集計 3 5 3 2 2 3 4 3" xfId="32216"/>
    <cellStyle name="集計 3 5 3 2 2 3 5" xfId="32217"/>
    <cellStyle name="集計 3 5 3 2 2 3 5 2" xfId="32218"/>
    <cellStyle name="集計 3 5 3 2 2 3 5 3" xfId="32219"/>
    <cellStyle name="集計 3 5 3 2 2 3 6" xfId="32220"/>
    <cellStyle name="集計 3 5 3 2 2 3 7" xfId="32221"/>
    <cellStyle name="集計 3 5 3 2 2 4" xfId="32222"/>
    <cellStyle name="集計 3 5 3 2 2 4 2" xfId="32223"/>
    <cellStyle name="集計 3 5 3 2 2 4 2 2" xfId="32224"/>
    <cellStyle name="集計 3 5 3 2 2 4 2 3" xfId="32225"/>
    <cellStyle name="集計 3 5 3 2 2 4 3" xfId="32226"/>
    <cellStyle name="集計 3 5 3 2 2 4 3 2" xfId="32227"/>
    <cellStyle name="集計 3 5 3 2 2 4 3 3" xfId="32228"/>
    <cellStyle name="集計 3 5 3 2 2 4 4" xfId="32229"/>
    <cellStyle name="集計 3 5 3 2 2 4 4 2" xfId="32230"/>
    <cellStyle name="集計 3 5 3 2 2 4 4 3" xfId="32231"/>
    <cellStyle name="集計 3 5 3 2 2 4 5" xfId="32232"/>
    <cellStyle name="集計 3 5 3 2 2 4 6" xfId="32233"/>
    <cellStyle name="集計 3 5 3 2 2 5" xfId="32234"/>
    <cellStyle name="集計 3 5 3 2 2 5 2" xfId="32235"/>
    <cellStyle name="集計 3 5 3 2 2 5 3" xfId="32236"/>
    <cellStyle name="集計 3 5 3 2 2 6" xfId="32237"/>
    <cellStyle name="集計 3 5 3 2 2 6 2" xfId="32238"/>
    <cellStyle name="集計 3 5 3 2 2 6 3" xfId="32239"/>
    <cellStyle name="集計 3 5 3 2 2 7" xfId="32240"/>
    <cellStyle name="集計 3 5 3 2 2 7 2" xfId="32241"/>
    <cellStyle name="集計 3 5 3 2 2 7 3" xfId="32242"/>
    <cellStyle name="集計 3 5 3 2 2 8" xfId="32243"/>
    <cellStyle name="集計 3 5 3 2 2 9" xfId="32244"/>
    <cellStyle name="集計 3 5 3 2 3" xfId="32245"/>
    <cellStyle name="集計 3 5 3 2 3 2" xfId="32246"/>
    <cellStyle name="集計 3 5 3 2 3 2 2" xfId="32247"/>
    <cellStyle name="集計 3 5 3 2 3 2 2 2" xfId="32248"/>
    <cellStyle name="集計 3 5 3 2 3 2 2 3" xfId="32249"/>
    <cellStyle name="集計 3 5 3 2 3 2 3" xfId="32250"/>
    <cellStyle name="集計 3 5 3 2 3 2 3 2" xfId="32251"/>
    <cellStyle name="集計 3 5 3 2 3 2 3 3" xfId="32252"/>
    <cellStyle name="集計 3 5 3 2 3 2 4" xfId="32253"/>
    <cellStyle name="集計 3 5 3 2 3 2 4 2" xfId="32254"/>
    <cellStyle name="集計 3 5 3 2 3 2 4 3" xfId="32255"/>
    <cellStyle name="集計 3 5 3 2 3 2 5" xfId="32256"/>
    <cellStyle name="集計 3 5 3 2 3 2 6" xfId="32257"/>
    <cellStyle name="集計 3 5 3 2 3 3" xfId="32258"/>
    <cellStyle name="集計 3 5 3 2 3 3 2" xfId="32259"/>
    <cellStyle name="集計 3 5 3 2 3 3 3" xfId="32260"/>
    <cellStyle name="集計 3 5 3 2 3 4" xfId="32261"/>
    <cellStyle name="集計 3 5 3 2 3 4 2" xfId="32262"/>
    <cellStyle name="集計 3 5 3 2 3 4 3" xfId="32263"/>
    <cellStyle name="集計 3 5 3 2 3 5" xfId="32264"/>
    <cellStyle name="集計 3 5 3 2 3 5 2" xfId="32265"/>
    <cellStyle name="集計 3 5 3 2 3 5 3" xfId="32266"/>
    <cellStyle name="集計 3 5 3 2 3 6" xfId="32267"/>
    <cellStyle name="集計 3 5 3 2 3 7" xfId="32268"/>
    <cellStyle name="集計 3 5 3 2 4" xfId="32269"/>
    <cellStyle name="集計 3 5 3 2 4 2" xfId="32270"/>
    <cellStyle name="集計 3 5 3 2 4 2 2" xfId="32271"/>
    <cellStyle name="集計 3 5 3 2 4 2 2 2" xfId="32272"/>
    <cellStyle name="集計 3 5 3 2 4 2 2 3" xfId="32273"/>
    <cellStyle name="集計 3 5 3 2 4 2 3" xfId="32274"/>
    <cellStyle name="集計 3 5 3 2 4 2 3 2" xfId="32275"/>
    <cellStyle name="集計 3 5 3 2 4 2 3 3" xfId="32276"/>
    <cellStyle name="集計 3 5 3 2 4 2 4" xfId="32277"/>
    <cellStyle name="集計 3 5 3 2 4 2 4 2" xfId="32278"/>
    <cellStyle name="集計 3 5 3 2 4 2 4 3" xfId="32279"/>
    <cellStyle name="集計 3 5 3 2 4 2 5" xfId="32280"/>
    <cellStyle name="集計 3 5 3 2 4 2 6" xfId="32281"/>
    <cellStyle name="集計 3 5 3 2 4 3" xfId="32282"/>
    <cellStyle name="集計 3 5 3 2 4 3 2" xfId="32283"/>
    <cellStyle name="集計 3 5 3 2 4 3 3" xfId="32284"/>
    <cellStyle name="集計 3 5 3 2 4 4" xfId="32285"/>
    <cellStyle name="集計 3 5 3 2 4 4 2" xfId="32286"/>
    <cellStyle name="集計 3 5 3 2 4 4 3" xfId="32287"/>
    <cellStyle name="集計 3 5 3 2 4 5" xfId="32288"/>
    <cellStyle name="集計 3 5 3 2 4 5 2" xfId="32289"/>
    <cellStyle name="集計 3 5 3 2 4 5 3" xfId="32290"/>
    <cellStyle name="集計 3 5 3 2 4 6" xfId="32291"/>
    <cellStyle name="集計 3 5 3 2 4 7" xfId="32292"/>
    <cellStyle name="集計 3 5 3 2 5" xfId="32293"/>
    <cellStyle name="集計 3 5 3 2 5 2" xfId="32294"/>
    <cellStyle name="集計 3 5 3 2 5 2 2" xfId="32295"/>
    <cellStyle name="集計 3 5 3 2 5 2 3" xfId="32296"/>
    <cellStyle name="集計 3 5 3 2 5 3" xfId="32297"/>
    <cellStyle name="集計 3 5 3 2 5 3 2" xfId="32298"/>
    <cellStyle name="集計 3 5 3 2 5 3 3" xfId="32299"/>
    <cellStyle name="集計 3 5 3 2 5 4" xfId="32300"/>
    <cellStyle name="集計 3 5 3 2 5 4 2" xfId="32301"/>
    <cellStyle name="集計 3 5 3 2 5 4 3" xfId="32302"/>
    <cellStyle name="集計 3 5 3 2 5 5" xfId="32303"/>
    <cellStyle name="集計 3 5 3 2 5 6" xfId="32304"/>
    <cellStyle name="集計 3 5 3 2 6" xfId="32305"/>
    <cellStyle name="集計 3 5 3 2 6 2" xfId="32306"/>
    <cellStyle name="集計 3 5 3 2 6 3" xfId="32307"/>
    <cellStyle name="集計 3 5 3 2 7" xfId="32308"/>
    <cellStyle name="集計 3 5 3 2 7 2" xfId="32309"/>
    <cellStyle name="集計 3 5 3 2 7 3" xfId="32310"/>
    <cellStyle name="集計 3 5 3 2 8" xfId="32311"/>
    <cellStyle name="集計 3 5 3 2 8 2" xfId="32312"/>
    <cellStyle name="集計 3 5 3 2 8 3" xfId="32313"/>
    <cellStyle name="集計 3 5 3 2 9" xfId="32314"/>
    <cellStyle name="集計 3 5 3 3" xfId="32315"/>
    <cellStyle name="集計 3 5 3 3 2" xfId="32316"/>
    <cellStyle name="集計 3 5 3 3 2 2" xfId="32317"/>
    <cellStyle name="集計 3 5 3 3 2 2 2" xfId="32318"/>
    <cellStyle name="集計 3 5 3 3 2 2 3" xfId="32319"/>
    <cellStyle name="集計 3 5 3 3 2 3" xfId="32320"/>
    <cellStyle name="集計 3 5 3 3 2 3 2" xfId="32321"/>
    <cellStyle name="集計 3 5 3 3 2 3 3" xfId="32322"/>
    <cellStyle name="集計 3 5 3 3 2 4" xfId="32323"/>
    <cellStyle name="集計 3 5 3 3 2 4 2" xfId="32324"/>
    <cellStyle name="集計 3 5 3 3 2 4 3" xfId="32325"/>
    <cellStyle name="集計 3 5 3 3 2 5" xfId="32326"/>
    <cellStyle name="集計 3 5 3 3 2 6" xfId="32327"/>
    <cellStyle name="集計 3 5 3 3 3" xfId="32328"/>
    <cellStyle name="集計 3 5 3 3 3 2" xfId="32329"/>
    <cellStyle name="集計 3 5 3 3 3 3" xfId="32330"/>
    <cellStyle name="集計 3 5 3 3 4" xfId="32331"/>
    <cellStyle name="集計 3 5 3 3 4 2" xfId="32332"/>
    <cellStyle name="集計 3 5 3 3 4 3" xfId="32333"/>
    <cellStyle name="集計 3 5 3 3 5" xfId="32334"/>
    <cellStyle name="集計 3 5 3 3 5 2" xfId="32335"/>
    <cellStyle name="集計 3 5 3 3 5 3" xfId="32336"/>
    <cellStyle name="集計 3 5 3 3 6" xfId="32337"/>
    <cellStyle name="集計 3 5 3 3 7" xfId="32338"/>
    <cellStyle name="集計 3 5 3 4" xfId="32339"/>
    <cellStyle name="集計 3 5 3 4 2" xfId="32340"/>
    <cellStyle name="集計 3 5 3 4 2 2" xfId="32341"/>
    <cellStyle name="集計 3 5 3 4 2 2 2" xfId="32342"/>
    <cellStyle name="集計 3 5 3 4 2 2 3" xfId="32343"/>
    <cellStyle name="集計 3 5 3 4 2 3" xfId="32344"/>
    <cellStyle name="集計 3 5 3 4 2 3 2" xfId="32345"/>
    <cellStyle name="集計 3 5 3 4 2 3 3" xfId="32346"/>
    <cellStyle name="集計 3 5 3 4 2 4" xfId="32347"/>
    <cellStyle name="集計 3 5 3 4 2 4 2" xfId="32348"/>
    <cellStyle name="集計 3 5 3 4 2 4 3" xfId="32349"/>
    <cellStyle name="集計 3 5 3 4 2 5" xfId="32350"/>
    <cellStyle name="集計 3 5 3 4 2 6" xfId="32351"/>
    <cellStyle name="集計 3 5 3 4 3" xfId="32352"/>
    <cellStyle name="集計 3 5 3 4 3 2" xfId="32353"/>
    <cellStyle name="集計 3 5 3 4 3 3" xfId="32354"/>
    <cellStyle name="集計 3 5 3 4 4" xfId="32355"/>
    <cellStyle name="集計 3 5 3 4 4 2" xfId="32356"/>
    <cellStyle name="集計 3 5 3 4 4 3" xfId="32357"/>
    <cellStyle name="集計 3 5 3 4 5" xfId="32358"/>
    <cellStyle name="集計 3 5 3 4 5 2" xfId="32359"/>
    <cellStyle name="集計 3 5 3 4 5 3" xfId="32360"/>
    <cellStyle name="集計 3 5 3 4 6" xfId="32361"/>
    <cellStyle name="集計 3 5 3 4 7" xfId="32362"/>
    <cellStyle name="集計 3 5 3 5" xfId="32363"/>
    <cellStyle name="集計 3 5 3 5 2" xfId="32364"/>
    <cellStyle name="集計 3 5 3 5 2 2" xfId="32365"/>
    <cellStyle name="集計 3 5 3 5 2 3" xfId="32366"/>
    <cellStyle name="集計 3 5 3 5 3" xfId="32367"/>
    <cellStyle name="集計 3 5 3 5 3 2" xfId="32368"/>
    <cellStyle name="集計 3 5 3 5 3 3" xfId="32369"/>
    <cellStyle name="集計 3 5 3 5 4" xfId="32370"/>
    <cellStyle name="集計 3 5 3 5 4 2" xfId="32371"/>
    <cellStyle name="集計 3 5 3 5 4 3" xfId="32372"/>
    <cellStyle name="集計 3 5 3 5 5" xfId="32373"/>
    <cellStyle name="集計 3 5 3 5 6" xfId="32374"/>
    <cellStyle name="集計 3 5 3 6" xfId="32375"/>
    <cellStyle name="集計 3 5 3 6 2" xfId="32376"/>
    <cellStyle name="集計 3 5 3 6 3" xfId="32377"/>
    <cellStyle name="集計 3 5 3 7" xfId="32378"/>
    <cellStyle name="集計 3 5 3 7 2" xfId="32379"/>
    <cellStyle name="集計 3 5 3 7 3" xfId="32380"/>
    <cellStyle name="集計 3 5 3 8" xfId="32381"/>
    <cellStyle name="集計 3 5 3 8 2" xfId="32382"/>
    <cellStyle name="集計 3 5 3 8 3" xfId="32383"/>
    <cellStyle name="集計 3 5 3 9" xfId="32384"/>
    <cellStyle name="集計 3 5 4" xfId="32385"/>
    <cellStyle name="集計 3 5 4 10" xfId="32386"/>
    <cellStyle name="集計 3 5 4 2" xfId="32387"/>
    <cellStyle name="集計 3 5 4 2 10" xfId="32388"/>
    <cellStyle name="集計 3 5 4 2 2" xfId="32389"/>
    <cellStyle name="集計 3 5 4 2 2 2" xfId="32390"/>
    <cellStyle name="集計 3 5 4 2 2 2 2" xfId="32391"/>
    <cellStyle name="集計 3 5 4 2 2 2 2 2" xfId="32392"/>
    <cellStyle name="集計 3 5 4 2 2 2 2 2 2" xfId="32393"/>
    <cellStyle name="集計 3 5 4 2 2 2 2 2 3" xfId="32394"/>
    <cellStyle name="集計 3 5 4 2 2 2 2 3" xfId="32395"/>
    <cellStyle name="集計 3 5 4 2 2 2 2 3 2" xfId="32396"/>
    <cellStyle name="集計 3 5 4 2 2 2 2 3 3" xfId="32397"/>
    <cellStyle name="集計 3 5 4 2 2 2 2 4" xfId="32398"/>
    <cellStyle name="集計 3 5 4 2 2 2 2 4 2" xfId="32399"/>
    <cellStyle name="集計 3 5 4 2 2 2 2 4 3" xfId="32400"/>
    <cellStyle name="集計 3 5 4 2 2 2 2 5" xfId="32401"/>
    <cellStyle name="集計 3 5 4 2 2 2 2 6" xfId="32402"/>
    <cellStyle name="集計 3 5 4 2 2 2 3" xfId="32403"/>
    <cellStyle name="集計 3 5 4 2 2 2 3 2" xfId="32404"/>
    <cellStyle name="集計 3 5 4 2 2 2 3 3" xfId="32405"/>
    <cellStyle name="集計 3 5 4 2 2 2 4" xfId="32406"/>
    <cellStyle name="集計 3 5 4 2 2 2 4 2" xfId="32407"/>
    <cellStyle name="集計 3 5 4 2 2 2 4 3" xfId="32408"/>
    <cellStyle name="集計 3 5 4 2 2 2 5" xfId="32409"/>
    <cellStyle name="集計 3 5 4 2 2 2 5 2" xfId="32410"/>
    <cellStyle name="集計 3 5 4 2 2 2 5 3" xfId="32411"/>
    <cellStyle name="集計 3 5 4 2 2 2 6" xfId="32412"/>
    <cellStyle name="集計 3 5 4 2 2 2 7" xfId="32413"/>
    <cellStyle name="集計 3 5 4 2 2 3" xfId="32414"/>
    <cellStyle name="集計 3 5 4 2 2 3 2" xfId="32415"/>
    <cellStyle name="集計 3 5 4 2 2 3 2 2" xfId="32416"/>
    <cellStyle name="集計 3 5 4 2 2 3 2 2 2" xfId="32417"/>
    <cellStyle name="集計 3 5 4 2 2 3 2 2 3" xfId="32418"/>
    <cellStyle name="集計 3 5 4 2 2 3 2 3" xfId="32419"/>
    <cellStyle name="集計 3 5 4 2 2 3 2 3 2" xfId="32420"/>
    <cellStyle name="集計 3 5 4 2 2 3 2 3 3" xfId="32421"/>
    <cellStyle name="集計 3 5 4 2 2 3 2 4" xfId="32422"/>
    <cellStyle name="集計 3 5 4 2 2 3 2 4 2" xfId="32423"/>
    <cellStyle name="集計 3 5 4 2 2 3 2 4 3" xfId="32424"/>
    <cellStyle name="集計 3 5 4 2 2 3 2 5" xfId="32425"/>
    <cellStyle name="集計 3 5 4 2 2 3 2 6" xfId="32426"/>
    <cellStyle name="集計 3 5 4 2 2 3 3" xfId="32427"/>
    <cellStyle name="集計 3 5 4 2 2 3 3 2" xfId="32428"/>
    <cellStyle name="集計 3 5 4 2 2 3 3 3" xfId="32429"/>
    <cellStyle name="集計 3 5 4 2 2 3 4" xfId="32430"/>
    <cellStyle name="集計 3 5 4 2 2 3 4 2" xfId="32431"/>
    <cellStyle name="集計 3 5 4 2 2 3 4 3" xfId="32432"/>
    <cellStyle name="集計 3 5 4 2 2 3 5" xfId="32433"/>
    <cellStyle name="集計 3 5 4 2 2 3 5 2" xfId="32434"/>
    <cellStyle name="集計 3 5 4 2 2 3 5 3" xfId="32435"/>
    <cellStyle name="集計 3 5 4 2 2 3 6" xfId="32436"/>
    <cellStyle name="集計 3 5 4 2 2 3 7" xfId="32437"/>
    <cellStyle name="集計 3 5 4 2 2 4" xfId="32438"/>
    <cellStyle name="集計 3 5 4 2 2 4 2" xfId="32439"/>
    <cellStyle name="集計 3 5 4 2 2 4 2 2" xfId="32440"/>
    <cellStyle name="集計 3 5 4 2 2 4 2 3" xfId="32441"/>
    <cellStyle name="集計 3 5 4 2 2 4 3" xfId="32442"/>
    <cellStyle name="集計 3 5 4 2 2 4 3 2" xfId="32443"/>
    <cellStyle name="集計 3 5 4 2 2 4 3 3" xfId="32444"/>
    <cellStyle name="集計 3 5 4 2 2 4 4" xfId="32445"/>
    <cellStyle name="集計 3 5 4 2 2 4 4 2" xfId="32446"/>
    <cellStyle name="集計 3 5 4 2 2 4 4 3" xfId="32447"/>
    <cellStyle name="集計 3 5 4 2 2 4 5" xfId="32448"/>
    <cellStyle name="集計 3 5 4 2 2 4 6" xfId="32449"/>
    <cellStyle name="集計 3 5 4 2 2 5" xfId="32450"/>
    <cellStyle name="集計 3 5 4 2 2 5 2" xfId="32451"/>
    <cellStyle name="集計 3 5 4 2 2 5 3" xfId="32452"/>
    <cellStyle name="集計 3 5 4 2 2 6" xfId="32453"/>
    <cellStyle name="集計 3 5 4 2 2 6 2" xfId="32454"/>
    <cellStyle name="集計 3 5 4 2 2 6 3" xfId="32455"/>
    <cellStyle name="集計 3 5 4 2 2 7" xfId="32456"/>
    <cellStyle name="集計 3 5 4 2 2 7 2" xfId="32457"/>
    <cellStyle name="集計 3 5 4 2 2 7 3" xfId="32458"/>
    <cellStyle name="集計 3 5 4 2 2 8" xfId="32459"/>
    <cellStyle name="集計 3 5 4 2 2 9" xfId="32460"/>
    <cellStyle name="集計 3 5 4 2 3" xfId="32461"/>
    <cellStyle name="集計 3 5 4 2 3 2" xfId="32462"/>
    <cellStyle name="集計 3 5 4 2 3 2 2" xfId="32463"/>
    <cellStyle name="集計 3 5 4 2 3 2 2 2" xfId="32464"/>
    <cellStyle name="集計 3 5 4 2 3 2 2 3" xfId="32465"/>
    <cellStyle name="集計 3 5 4 2 3 2 3" xfId="32466"/>
    <cellStyle name="集計 3 5 4 2 3 2 3 2" xfId="32467"/>
    <cellStyle name="集計 3 5 4 2 3 2 3 3" xfId="32468"/>
    <cellStyle name="集計 3 5 4 2 3 2 4" xfId="32469"/>
    <cellStyle name="集計 3 5 4 2 3 2 4 2" xfId="32470"/>
    <cellStyle name="集計 3 5 4 2 3 2 4 3" xfId="32471"/>
    <cellStyle name="集計 3 5 4 2 3 2 5" xfId="32472"/>
    <cellStyle name="集計 3 5 4 2 3 2 6" xfId="32473"/>
    <cellStyle name="集計 3 5 4 2 3 3" xfId="32474"/>
    <cellStyle name="集計 3 5 4 2 3 3 2" xfId="32475"/>
    <cellStyle name="集計 3 5 4 2 3 3 3" xfId="32476"/>
    <cellStyle name="集計 3 5 4 2 3 4" xfId="32477"/>
    <cellStyle name="集計 3 5 4 2 3 4 2" xfId="32478"/>
    <cellStyle name="集計 3 5 4 2 3 4 3" xfId="32479"/>
    <cellStyle name="集計 3 5 4 2 3 5" xfId="32480"/>
    <cellStyle name="集計 3 5 4 2 3 5 2" xfId="32481"/>
    <cellStyle name="集計 3 5 4 2 3 5 3" xfId="32482"/>
    <cellStyle name="集計 3 5 4 2 3 6" xfId="32483"/>
    <cellStyle name="集計 3 5 4 2 3 7" xfId="32484"/>
    <cellStyle name="集計 3 5 4 2 4" xfId="32485"/>
    <cellStyle name="集計 3 5 4 2 4 2" xfId="32486"/>
    <cellStyle name="集計 3 5 4 2 4 2 2" xfId="32487"/>
    <cellStyle name="集計 3 5 4 2 4 2 2 2" xfId="32488"/>
    <cellStyle name="集計 3 5 4 2 4 2 2 3" xfId="32489"/>
    <cellStyle name="集計 3 5 4 2 4 2 3" xfId="32490"/>
    <cellStyle name="集計 3 5 4 2 4 2 3 2" xfId="32491"/>
    <cellStyle name="集計 3 5 4 2 4 2 3 3" xfId="32492"/>
    <cellStyle name="集計 3 5 4 2 4 2 4" xfId="32493"/>
    <cellStyle name="集計 3 5 4 2 4 2 4 2" xfId="32494"/>
    <cellStyle name="集計 3 5 4 2 4 2 4 3" xfId="32495"/>
    <cellStyle name="集計 3 5 4 2 4 2 5" xfId="32496"/>
    <cellStyle name="集計 3 5 4 2 4 2 6" xfId="32497"/>
    <cellStyle name="集計 3 5 4 2 4 3" xfId="32498"/>
    <cellStyle name="集計 3 5 4 2 4 3 2" xfId="32499"/>
    <cellStyle name="集計 3 5 4 2 4 3 3" xfId="32500"/>
    <cellStyle name="集計 3 5 4 2 4 4" xfId="32501"/>
    <cellStyle name="集計 3 5 4 2 4 4 2" xfId="32502"/>
    <cellStyle name="集計 3 5 4 2 4 4 3" xfId="32503"/>
    <cellStyle name="集計 3 5 4 2 4 5" xfId="32504"/>
    <cellStyle name="集計 3 5 4 2 4 5 2" xfId="32505"/>
    <cellStyle name="集計 3 5 4 2 4 5 3" xfId="32506"/>
    <cellStyle name="集計 3 5 4 2 4 6" xfId="32507"/>
    <cellStyle name="集計 3 5 4 2 4 7" xfId="32508"/>
    <cellStyle name="集計 3 5 4 2 5" xfId="32509"/>
    <cellStyle name="集計 3 5 4 2 5 2" xfId="32510"/>
    <cellStyle name="集計 3 5 4 2 5 2 2" xfId="32511"/>
    <cellStyle name="集計 3 5 4 2 5 2 3" xfId="32512"/>
    <cellStyle name="集計 3 5 4 2 5 3" xfId="32513"/>
    <cellStyle name="集計 3 5 4 2 5 3 2" xfId="32514"/>
    <cellStyle name="集計 3 5 4 2 5 3 3" xfId="32515"/>
    <cellStyle name="集計 3 5 4 2 5 4" xfId="32516"/>
    <cellStyle name="集計 3 5 4 2 5 4 2" xfId="32517"/>
    <cellStyle name="集計 3 5 4 2 5 4 3" xfId="32518"/>
    <cellStyle name="集計 3 5 4 2 5 5" xfId="32519"/>
    <cellStyle name="集計 3 5 4 2 5 6" xfId="32520"/>
    <cellStyle name="集計 3 5 4 2 6" xfId="32521"/>
    <cellStyle name="集計 3 5 4 2 6 2" xfId="32522"/>
    <cellStyle name="集計 3 5 4 2 6 3" xfId="32523"/>
    <cellStyle name="集計 3 5 4 2 7" xfId="32524"/>
    <cellStyle name="集計 3 5 4 2 7 2" xfId="32525"/>
    <cellStyle name="集計 3 5 4 2 7 3" xfId="32526"/>
    <cellStyle name="集計 3 5 4 2 8" xfId="32527"/>
    <cellStyle name="集計 3 5 4 2 8 2" xfId="32528"/>
    <cellStyle name="集計 3 5 4 2 8 3" xfId="32529"/>
    <cellStyle name="集計 3 5 4 2 9" xfId="32530"/>
    <cellStyle name="集計 3 5 4 3" xfId="32531"/>
    <cellStyle name="集計 3 5 4 3 2" xfId="32532"/>
    <cellStyle name="集計 3 5 4 3 2 2" xfId="32533"/>
    <cellStyle name="集計 3 5 4 3 2 2 2" xfId="32534"/>
    <cellStyle name="集計 3 5 4 3 2 2 3" xfId="32535"/>
    <cellStyle name="集計 3 5 4 3 2 3" xfId="32536"/>
    <cellStyle name="集計 3 5 4 3 2 3 2" xfId="32537"/>
    <cellStyle name="集計 3 5 4 3 2 3 3" xfId="32538"/>
    <cellStyle name="集計 3 5 4 3 2 4" xfId="32539"/>
    <cellStyle name="集計 3 5 4 3 2 4 2" xfId="32540"/>
    <cellStyle name="集計 3 5 4 3 2 4 3" xfId="32541"/>
    <cellStyle name="集計 3 5 4 3 2 5" xfId="32542"/>
    <cellStyle name="集計 3 5 4 3 2 6" xfId="32543"/>
    <cellStyle name="集計 3 5 4 3 3" xfId="32544"/>
    <cellStyle name="集計 3 5 4 3 3 2" xfId="32545"/>
    <cellStyle name="集計 3 5 4 3 3 3" xfId="32546"/>
    <cellStyle name="集計 3 5 4 3 4" xfId="32547"/>
    <cellStyle name="集計 3 5 4 3 4 2" xfId="32548"/>
    <cellStyle name="集計 3 5 4 3 4 3" xfId="32549"/>
    <cellStyle name="集計 3 5 4 3 5" xfId="32550"/>
    <cellStyle name="集計 3 5 4 3 5 2" xfId="32551"/>
    <cellStyle name="集計 3 5 4 3 5 3" xfId="32552"/>
    <cellStyle name="集計 3 5 4 3 6" xfId="32553"/>
    <cellStyle name="集計 3 5 4 3 7" xfId="32554"/>
    <cellStyle name="集計 3 5 4 4" xfId="32555"/>
    <cellStyle name="集計 3 5 4 4 2" xfId="32556"/>
    <cellStyle name="集計 3 5 4 4 2 2" xfId="32557"/>
    <cellStyle name="集計 3 5 4 4 2 2 2" xfId="32558"/>
    <cellStyle name="集計 3 5 4 4 2 2 3" xfId="32559"/>
    <cellStyle name="集計 3 5 4 4 2 3" xfId="32560"/>
    <cellStyle name="集計 3 5 4 4 2 3 2" xfId="32561"/>
    <cellStyle name="集計 3 5 4 4 2 3 3" xfId="32562"/>
    <cellStyle name="集計 3 5 4 4 2 4" xfId="32563"/>
    <cellStyle name="集計 3 5 4 4 2 4 2" xfId="32564"/>
    <cellStyle name="集計 3 5 4 4 2 4 3" xfId="32565"/>
    <cellStyle name="集計 3 5 4 4 2 5" xfId="32566"/>
    <cellStyle name="集計 3 5 4 4 2 6" xfId="32567"/>
    <cellStyle name="集計 3 5 4 4 3" xfId="32568"/>
    <cellStyle name="集計 3 5 4 4 3 2" xfId="32569"/>
    <cellStyle name="集計 3 5 4 4 3 3" xfId="32570"/>
    <cellStyle name="集計 3 5 4 4 4" xfId="32571"/>
    <cellStyle name="集計 3 5 4 4 4 2" xfId="32572"/>
    <cellStyle name="集計 3 5 4 4 4 3" xfId="32573"/>
    <cellStyle name="集計 3 5 4 4 5" xfId="32574"/>
    <cellStyle name="集計 3 5 4 4 5 2" xfId="32575"/>
    <cellStyle name="集計 3 5 4 4 5 3" xfId="32576"/>
    <cellStyle name="集計 3 5 4 4 6" xfId="32577"/>
    <cellStyle name="集計 3 5 4 4 7" xfId="32578"/>
    <cellStyle name="集計 3 5 4 5" xfId="32579"/>
    <cellStyle name="集計 3 5 4 5 2" xfId="32580"/>
    <cellStyle name="集計 3 5 4 5 2 2" xfId="32581"/>
    <cellStyle name="集計 3 5 4 5 2 3" xfId="32582"/>
    <cellStyle name="集計 3 5 4 5 3" xfId="32583"/>
    <cellStyle name="集計 3 5 4 5 3 2" xfId="32584"/>
    <cellStyle name="集計 3 5 4 5 3 3" xfId="32585"/>
    <cellStyle name="集計 3 5 4 5 4" xfId="32586"/>
    <cellStyle name="集計 3 5 4 5 4 2" xfId="32587"/>
    <cellStyle name="集計 3 5 4 5 4 3" xfId="32588"/>
    <cellStyle name="集計 3 5 4 5 5" xfId="32589"/>
    <cellStyle name="集計 3 5 4 5 6" xfId="32590"/>
    <cellStyle name="集計 3 5 4 6" xfId="32591"/>
    <cellStyle name="集計 3 5 4 6 2" xfId="32592"/>
    <cellStyle name="集計 3 5 4 6 3" xfId="32593"/>
    <cellStyle name="集計 3 5 4 7" xfId="32594"/>
    <cellStyle name="集計 3 5 4 7 2" xfId="32595"/>
    <cellStyle name="集計 3 5 4 7 3" xfId="32596"/>
    <cellStyle name="集計 3 5 4 8" xfId="32597"/>
    <cellStyle name="集計 3 5 4 8 2" xfId="32598"/>
    <cellStyle name="集計 3 5 4 8 3" xfId="32599"/>
    <cellStyle name="集計 3 5 4 9" xfId="32600"/>
    <cellStyle name="集計 3 5 5" xfId="32601"/>
    <cellStyle name="集計 3 5 5 10" xfId="32602"/>
    <cellStyle name="集計 3 5 5 2" xfId="32603"/>
    <cellStyle name="集計 3 5 5 2 2" xfId="32604"/>
    <cellStyle name="集計 3 5 5 2 2 2" xfId="32605"/>
    <cellStyle name="集計 3 5 5 2 2 2 2" xfId="32606"/>
    <cellStyle name="集計 3 5 5 2 2 2 2 2" xfId="32607"/>
    <cellStyle name="集計 3 5 5 2 2 2 2 3" xfId="32608"/>
    <cellStyle name="集計 3 5 5 2 2 2 3" xfId="32609"/>
    <cellStyle name="集計 3 5 5 2 2 2 3 2" xfId="32610"/>
    <cellStyle name="集計 3 5 5 2 2 2 3 3" xfId="32611"/>
    <cellStyle name="集計 3 5 5 2 2 2 4" xfId="32612"/>
    <cellStyle name="集計 3 5 5 2 2 2 4 2" xfId="32613"/>
    <cellStyle name="集計 3 5 5 2 2 2 4 3" xfId="32614"/>
    <cellStyle name="集計 3 5 5 2 2 2 5" xfId="32615"/>
    <cellStyle name="集計 3 5 5 2 2 2 6" xfId="32616"/>
    <cellStyle name="集計 3 5 5 2 2 3" xfId="32617"/>
    <cellStyle name="集計 3 5 5 2 2 3 2" xfId="32618"/>
    <cellStyle name="集計 3 5 5 2 2 3 3" xfId="32619"/>
    <cellStyle name="集計 3 5 5 2 2 4" xfId="32620"/>
    <cellStyle name="集計 3 5 5 2 2 4 2" xfId="32621"/>
    <cellStyle name="集計 3 5 5 2 2 4 3" xfId="32622"/>
    <cellStyle name="集計 3 5 5 2 2 5" xfId="32623"/>
    <cellStyle name="集計 3 5 5 2 2 5 2" xfId="32624"/>
    <cellStyle name="集計 3 5 5 2 2 5 3" xfId="32625"/>
    <cellStyle name="集計 3 5 5 2 2 6" xfId="32626"/>
    <cellStyle name="集計 3 5 5 2 2 7" xfId="32627"/>
    <cellStyle name="集計 3 5 5 2 3" xfId="32628"/>
    <cellStyle name="集計 3 5 5 2 3 2" xfId="32629"/>
    <cellStyle name="集計 3 5 5 2 3 2 2" xfId="32630"/>
    <cellStyle name="集計 3 5 5 2 3 2 2 2" xfId="32631"/>
    <cellStyle name="集計 3 5 5 2 3 2 2 3" xfId="32632"/>
    <cellStyle name="集計 3 5 5 2 3 2 3" xfId="32633"/>
    <cellStyle name="集計 3 5 5 2 3 2 3 2" xfId="32634"/>
    <cellStyle name="集計 3 5 5 2 3 2 3 3" xfId="32635"/>
    <cellStyle name="集計 3 5 5 2 3 2 4" xfId="32636"/>
    <cellStyle name="集計 3 5 5 2 3 2 4 2" xfId="32637"/>
    <cellStyle name="集計 3 5 5 2 3 2 4 3" xfId="32638"/>
    <cellStyle name="集計 3 5 5 2 3 2 5" xfId="32639"/>
    <cellStyle name="集計 3 5 5 2 3 2 6" xfId="32640"/>
    <cellStyle name="集計 3 5 5 2 3 3" xfId="32641"/>
    <cellStyle name="集計 3 5 5 2 3 3 2" xfId="32642"/>
    <cellStyle name="集計 3 5 5 2 3 3 3" xfId="32643"/>
    <cellStyle name="集計 3 5 5 2 3 4" xfId="32644"/>
    <cellStyle name="集計 3 5 5 2 3 4 2" xfId="32645"/>
    <cellStyle name="集計 3 5 5 2 3 4 3" xfId="32646"/>
    <cellStyle name="集計 3 5 5 2 3 5" xfId="32647"/>
    <cellStyle name="集計 3 5 5 2 3 5 2" xfId="32648"/>
    <cellStyle name="集計 3 5 5 2 3 5 3" xfId="32649"/>
    <cellStyle name="集計 3 5 5 2 3 6" xfId="32650"/>
    <cellStyle name="集計 3 5 5 2 3 7" xfId="32651"/>
    <cellStyle name="集計 3 5 5 2 4" xfId="32652"/>
    <cellStyle name="集計 3 5 5 2 4 2" xfId="32653"/>
    <cellStyle name="集計 3 5 5 2 4 2 2" xfId="32654"/>
    <cellStyle name="集計 3 5 5 2 4 2 3" xfId="32655"/>
    <cellStyle name="集計 3 5 5 2 4 3" xfId="32656"/>
    <cellStyle name="集計 3 5 5 2 4 3 2" xfId="32657"/>
    <cellStyle name="集計 3 5 5 2 4 3 3" xfId="32658"/>
    <cellStyle name="集計 3 5 5 2 4 4" xfId="32659"/>
    <cellStyle name="集計 3 5 5 2 4 4 2" xfId="32660"/>
    <cellStyle name="集計 3 5 5 2 4 4 3" xfId="32661"/>
    <cellStyle name="集計 3 5 5 2 4 5" xfId="32662"/>
    <cellStyle name="集計 3 5 5 2 4 6" xfId="32663"/>
    <cellStyle name="集計 3 5 5 2 5" xfId="32664"/>
    <cellStyle name="集計 3 5 5 2 5 2" xfId="32665"/>
    <cellStyle name="集計 3 5 5 2 5 3" xfId="32666"/>
    <cellStyle name="集計 3 5 5 2 6" xfId="32667"/>
    <cellStyle name="集計 3 5 5 2 6 2" xfId="32668"/>
    <cellStyle name="集計 3 5 5 2 6 3" xfId="32669"/>
    <cellStyle name="集計 3 5 5 2 7" xfId="32670"/>
    <cellStyle name="集計 3 5 5 2 7 2" xfId="32671"/>
    <cellStyle name="集計 3 5 5 2 7 3" xfId="32672"/>
    <cellStyle name="集計 3 5 5 2 8" xfId="32673"/>
    <cellStyle name="集計 3 5 5 2 9" xfId="32674"/>
    <cellStyle name="集計 3 5 5 3" xfId="32675"/>
    <cellStyle name="集計 3 5 5 3 2" xfId="32676"/>
    <cellStyle name="集計 3 5 5 3 2 2" xfId="32677"/>
    <cellStyle name="集計 3 5 5 3 2 2 2" xfId="32678"/>
    <cellStyle name="集計 3 5 5 3 2 2 3" xfId="32679"/>
    <cellStyle name="集計 3 5 5 3 2 3" xfId="32680"/>
    <cellStyle name="集計 3 5 5 3 2 3 2" xfId="32681"/>
    <cellStyle name="集計 3 5 5 3 2 3 3" xfId="32682"/>
    <cellStyle name="集計 3 5 5 3 2 4" xfId="32683"/>
    <cellStyle name="集計 3 5 5 3 2 4 2" xfId="32684"/>
    <cellStyle name="集計 3 5 5 3 2 4 3" xfId="32685"/>
    <cellStyle name="集計 3 5 5 3 2 5" xfId="32686"/>
    <cellStyle name="集計 3 5 5 3 2 6" xfId="32687"/>
    <cellStyle name="集計 3 5 5 3 3" xfId="32688"/>
    <cellStyle name="集計 3 5 5 3 3 2" xfId="32689"/>
    <cellStyle name="集計 3 5 5 3 3 3" xfId="32690"/>
    <cellStyle name="集計 3 5 5 3 4" xfId="32691"/>
    <cellStyle name="集計 3 5 5 3 4 2" xfId="32692"/>
    <cellStyle name="集計 3 5 5 3 4 3" xfId="32693"/>
    <cellStyle name="集計 3 5 5 3 5" xfId="32694"/>
    <cellStyle name="集計 3 5 5 3 5 2" xfId="32695"/>
    <cellStyle name="集計 3 5 5 3 5 3" xfId="32696"/>
    <cellStyle name="集計 3 5 5 3 6" xfId="32697"/>
    <cellStyle name="集計 3 5 5 3 7" xfId="32698"/>
    <cellStyle name="集計 3 5 5 4" xfId="32699"/>
    <cellStyle name="集計 3 5 5 4 2" xfId="32700"/>
    <cellStyle name="集計 3 5 5 4 2 2" xfId="32701"/>
    <cellStyle name="集計 3 5 5 4 2 2 2" xfId="32702"/>
    <cellStyle name="集計 3 5 5 4 2 2 3" xfId="32703"/>
    <cellStyle name="集計 3 5 5 4 2 3" xfId="32704"/>
    <cellStyle name="集計 3 5 5 4 2 3 2" xfId="32705"/>
    <cellStyle name="集計 3 5 5 4 2 3 3" xfId="32706"/>
    <cellStyle name="集計 3 5 5 4 2 4" xfId="32707"/>
    <cellStyle name="集計 3 5 5 4 2 4 2" xfId="32708"/>
    <cellStyle name="集計 3 5 5 4 2 4 3" xfId="32709"/>
    <cellStyle name="集計 3 5 5 4 2 5" xfId="32710"/>
    <cellStyle name="集計 3 5 5 4 2 6" xfId="32711"/>
    <cellStyle name="集計 3 5 5 4 3" xfId="32712"/>
    <cellStyle name="集計 3 5 5 4 3 2" xfId="32713"/>
    <cellStyle name="集計 3 5 5 4 3 3" xfId="32714"/>
    <cellStyle name="集計 3 5 5 4 4" xfId="32715"/>
    <cellStyle name="集計 3 5 5 4 4 2" xfId="32716"/>
    <cellStyle name="集計 3 5 5 4 4 3" xfId="32717"/>
    <cellStyle name="集計 3 5 5 4 5" xfId="32718"/>
    <cellStyle name="集計 3 5 5 4 5 2" xfId="32719"/>
    <cellStyle name="集計 3 5 5 4 5 3" xfId="32720"/>
    <cellStyle name="集計 3 5 5 4 6" xfId="32721"/>
    <cellStyle name="集計 3 5 5 4 7" xfId="32722"/>
    <cellStyle name="集計 3 5 5 5" xfId="32723"/>
    <cellStyle name="集計 3 5 5 5 2" xfId="32724"/>
    <cellStyle name="集計 3 5 5 5 2 2" xfId="32725"/>
    <cellStyle name="集計 3 5 5 5 2 3" xfId="32726"/>
    <cellStyle name="集計 3 5 5 5 3" xfId="32727"/>
    <cellStyle name="集計 3 5 5 5 3 2" xfId="32728"/>
    <cellStyle name="集計 3 5 5 5 3 3" xfId="32729"/>
    <cellStyle name="集計 3 5 5 5 4" xfId="32730"/>
    <cellStyle name="集計 3 5 5 5 4 2" xfId="32731"/>
    <cellStyle name="集計 3 5 5 5 4 3" xfId="32732"/>
    <cellStyle name="集計 3 5 5 5 5" xfId="32733"/>
    <cellStyle name="集計 3 5 5 5 6" xfId="32734"/>
    <cellStyle name="集計 3 5 5 6" xfId="32735"/>
    <cellStyle name="集計 3 5 5 6 2" xfId="32736"/>
    <cellStyle name="集計 3 5 5 6 3" xfId="32737"/>
    <cellStyle name="集計 3 5 5 7" xfId="32738"/>
    <cellStyle name="集計 3 5 5 7 2" xfId="32739"/>
    <cellStyle name="集計 3 5 5 7 3" xfId="32740"/>
    <cellStyle name="集計 3 5 5 8" xfId="32741"/>
    <cellStyle name="集計 3 5 5 8 2" xfId="32742"/>
    <cellStyle name="集計 3 5 5 8 3" xfId="32743"/>
    <cellStyle name="集計 3 5 5 9" xfId="32744"/>
    <cellStyle name="集計 3 5 6" xfId="32745"/>
    <cellStyle name="集計 3 5 6 10" xfId="32746"/>
    <cellStyle name="集計 3 5 6 2" xfId="32747"/>
    <cellStyle name="集計 3 5 6 2 2" xfId="32748"/>
    <cellStyle name="集計 3 5 6 2 2 2" xfId="32749"/>
    <cellStyle name="集計 3 5 6 2 2 2 2" xfId="32750"/>
    <cellStyle name="集計 3 5 6 2 2 2 2 2" xfId="32751"/>
    <cellStyle name="集計 3 5 6 2 2 2 2 3" xfId="32752"/>
    <cellStyle name="集計 3 5 6 2 2 2 3" xfId="32753"/>
    <cellStyle name="集計 3 5 6 2 2 2 3 2" xfId="32754"/>
    <cellStyle name="集計 3 5 6 2 2 2 3 3" xfId="32755"/>
    <cellStyle name="集計 3 5 6 2 2 2 4" xfId="32756"/>
    <cellStyle name="集計 3 5 6 2 2 2 4 2" xfId="32757"/>
    <cellStyle name="集計 3 5 6 2 2 2 4 3" xfId="32758"/>
    <cellStyle name="集計 3 5 6 2 2 2 5" xfId="32759"/>
    <cellStyle name="集計 3 5 6 2 2 2 6" xfId="32760"/>
    <cellStyle name="集計 3 5 6 2 2 3" xfId="32761"/>
    <cellStyle name="集計 3 5 6 2 2 3 2" xfId="32762"/>
    <cellStyle name="集計 3 5 6 2 2 3 3" xfId="32763"/>
    <cellStyle name="集計 3 5 6 2 2 4" xfId="32764"/>
    <cellStyle name="集計 3 5 6 2 2 4 2" xfId="32765"/>
    <cellStyle name="集計 3 5 6 2 2 4 3" xfId="32766"/>
    <cellStyle name="集計 3 5 6 2 2 5" xfId="32767"/>
    <cellStyle name="集計 3 5 6 2 2 5 2" xfId="32768"/>
    <cellStyle name="集計 3 5 6 2 2 5 3" xfId="32769"/>
    <cellStyle name="集計 3 5 6 2 2 6" xfId="32770"/>
    <cellStyle name="集計 3 5 6 2 2 7" xfId="32771"/>
    <cellStyle name="集計 3 5 6 2 3" xfId="32772"/>
    <cellStyle name="集計 3 5 6 2 3 2" xfId="32773"/>
    <cellStyle name="集計 3 5 6 2 3 2 2" xfId="32774"/>
    <cellStyle name="集計 3 5 6 2 3 2 2 2" xfId="32775"/>
    <cellStyle name="集計 3 5 6 2 3 2 2 3" xfId="32776"/>
    <cellStyle name="集計 3 5 6 2 3 2 3" xfId="32777"/>
    <cellStyle name="集計 3 5 6 2 3 2 3 2" xfId="32778"/>
    <cellStyle name="集計 3 5 6 2 3 2 3 3" xfId="32779"/>
    <cellStyle name="集計 3 5 6 2 3 2 4" xfId="32780"/>
    <cellStyle name="集計 3 5 6 2 3 2 4 2" xfId="32781"/>
    <cellStyle name="集計 3 5 6 2 3 2 4 3" xfId="32782"/>
    <cellStyle name="集計 3 5 6 2 3 2 5" xfId="32783"/>
    <cellStyle name="集計 3 5 6 2 3 2 6" xfId="32784"/>
    <cellStyle name="集計 3 5 6 2 3 3" xfId="32785"/>
    <cellStyle name="集計 3 5 6 2 3 3 2" xfId="32786"/>
    <cellStyle name="集計 3 5 6 2 3 3 3" xfId="32787"/>
    <cellStyle name="集計 3 5 6 2 3 4" xfId="32788"/>
    <cellStyle name="集計 3 5 6 2 3 4 2" xfId="32789"/>
    <cellStyle name="集計 3 5 6 2 3 4 3" xfId="32790"/>
    <cellStyle name="集計 3 5 6 2 3 5" xfId="32791"/>
    <cellStyle name="集計 3 5 6 2 3 5 2" xfId="32792"/>
    <cellStyle name="集計 3 5 6 2 3 5 3" xfId="32793"/>
    <cellStyle name="集計 3 5 6 2 3 6" xfId="32794"/>
    <cellStyle name="集計 3 5 6 2 3 7" xfId="32795"/>
    <cellStyle name="集計 3 5 6 2 4" xfId="32796"/>
    <cellStyle name="集計 3 5 6 2 4 2" xfId="32797"/>
    <cellStyle name="集計 3 5 6 2 4 2 2" xfId="32798"/>
    <cellStyle name="集計 3 5 6 2 4 2 3" xfId="32799"/>
    <cellStyle name="集計 3 5 6 2 4 3" xfId="32800"/>
    <cellStyle name="集計 3 5 6 2 4 3 2" xfId="32801"/>
    <cellStyle name="集計 3 5 6 2 4 3 3" xfId="32802"/>
    <cellStyle name="集計 3 5 6 2 4 4" xfId="32803"/>
    <cellStyle name="集計 3 5 6 2 4 4 2" xfId="32804"/>
    <cellStyle name="集計 3 5 6 2 4 4 3" xfId="32805"/>
    <cellStyle name="集計 3 5 6 2 4 5" xfId="32806"/>
    <cellStyle name="集計 3 5 6 2 4 6" xfId="32807"/>
    <cellStyle name="集計 3 5 6 2 5" xfId="32808"/>
    <cellStyle name="集計 3 5 6 2 5 2" xfId="32809"/>
    <cellStyle name="集計 3 5 6 2 5 3" xfId="32810"/>
    <cellStyle name="集計 3 5 6 2 6" xfId="32811"/>
    <cellStyle name="集計 3 5 6 2 6 2" xfId="32812"/>
    <cellStyle name="集計 3 5 6 2 6 3" xfId="32813"/>
    <cellStyle name="集計 3 5 6 2 7" xfId="32814"/>
    <cellStyle name="集計 3 5 6 2 7 2" xfId="32815"/>
    <cellStyle name="集計 3 5 6 2 7 3" xfId="32816"/>
    <cellStyle name="集計 3 5 6 2 8" xfId="32817"/>
    <cellStyle name="集計 3 5 6 2 9" xfId="32818"/>
    <cellStyle name="集計 3 5 6 3" xfId="32819"/>
    <cellStyle name="集計 3 5 6 3 2" xfId="32820"/>
    <cellStyle name="集計 3 5 6 3 2 2" xfId="32821"/>
    <cellStyle name="集計 3 5 6 3 2 2 2" xfId="32822"/>
    <cellStyle name="集計 3 5 6 3 2 2 3" xfId="32823"/>
    <cellStyle name="集計 3 5 6 3 2 3" xfId="32824"/>
    <cellStyle name="集計 3 5 6 3 2 3 2" xfId="32825"/>
    <cellStyle name="集計 3 5 6 3 2 3 3" xfId="32826"/>
    <cellStyle name="集計 3 5 6 3 2 4" xfId="32827"/>
    <cellStyle name="集計 3 5 6 3 2 4 2" xfId="32828"/>
    <cellStyle name="集計 3 5 6 3 2 4 3" xfId="32829"/>
    <cellStyle name="集計 3 5 6 3 2 5" xfId="32830"/>
    <cellStyle name="集計 3 5 6 3 2 6" xfId="32831"/>
    <cellStyle name="集計 3 5 6 3 3" xfId="32832"/>
    <cellStyle name="集計 3 5 6 3 3 2" xfId="32833"/>
    <cellStyle name="集計 3 5 6 3 3 3" xfId="32834"/>
    <cellStyle name="集計 3 5 6 3 4" xfId="32835"/>
    <cellStyle name="集計 3 5 6 3 4 2" xfId="32836"/>
    <cellStyle name="集計 3 5 6 3 4 3" xfId="32837"/>
    <cellStyle name="集計 3 5 6 3 5" xfId="32838"/>
    <cellStyle name="集計 3 5 6 3 5 2" xfId="32839"/>
    <cellStyle name="集計 3 5 6 3 5 3" xfId="32840"/>
    <cellStyle name="集計 3 5 6 3 6" xfId="32841"/>
    <cellStyle name="集計 3 5 6 3 7" xfId="32842"/>
    <cellStyle name="集計 3 5 6 4" xfId="32843"/>
    <cellStyle name="集計 3 5 6 4 2" xfId="32844"/>
    <cellStyle name="集計 3 5 6 4 2 2" xfId="32845"/>
    <cellStyle name="集計 3 5 6 4 2 2 2" xfId="32846"/>
    <cellStyle name="集計 3 5 6 4 2 2 3" xfId="32847"/>
    <cellStyle name="集計 3 5 6 4 2 3" xfId="32848"/>
    <cellStyle name="集計 3 5 6 4 2 3 2" xfId="32849"/>
    <cellStyle name="集計 3 5 6 4 2 3 3" xfId="32850"/>
    <cellStyle name="集計 3 5 6 4 2 4" xfId="32851"/>
    <cellStyle name="集計 3 5 6 4 2 4 2" xfId="32852"/>
    <cellStyle name="集計 3 5 6 4 2 4 3" xfId="32853"/>
    <cellStyle name="集計 3 5 6 4 2 5" xfId="32854"/>
    <cellStyle name="集計 3 5 6 4 2 6" xfId="32855"/>
    <cellStyle name="集計 3 5 6 4 3" xfId="32856"/>
    <cellStyle name="集計 3 5 6 4 3 2" xfId="32857"/>
    <cellStyle name="集計 3 5 6 4 3 3" xfId="32858"/>
    <cellStyle name="集計 3 5 6 4 4" xfId="32859"/>
    <cellStyle name="集計 3 5 6 4 4 2" xfId="32860"/>
    <cellStyle name="集計 3 5 6 4 4 3" xfId="32861"/>
    <cellStyle name="集計 3 5 6 4 5" xfId="32862"/>
    <cellStyle name="集計 3 5 6 4 5 2" xfId="32863"/>
    <cellStyle name="集計 3 5 6 4 5 3" xfId="32864"/>
    <cellStyle name="集計 3 5 6 4 6" xfId="32865"/>
    <cellStyle name="集計 3 5 6 4 7" xfId="32866"/>
    <cellStyle name="集計 3 5 6 5" xfId="32867"/>
    <cellStyle name="集計 3 5 6 5 2" xfId="32868"/>
    <cellStyle name="集計 3 5 6 5 2 2" xfId="32869"/>
    <cellStyle name="集計 3 5 6 5 2 3" xfId="32870"/>
    <cellStyle name="集計 3 5 6 5 3" xfId="32871"/>
    <cellStyle name="集計 3 5 6 5 3 2" xfId="32872"/>
    <cellStyle name="集計 3 5 6 5 3 3" xfId="32873"/>
    <cellStyle name="集計 3 5 6 5 4" xfId="32874"/>
    <cellStyle name="集計 3 5 6 5 4 2" xfId="32875"/>
    <cellStyle name="集計 3 5 6 5 4 3" xfId="32876"/>
    <cellStyle name="集計 3 5 6 5 5" xfId="32877"/>
    <cellStyle name="集計 3 5 6 5 6" xfId="32878"/>
    <cellStyle name="集計 3 5 6 6" xfId="32879"/>
    <cellStyle name="集計 3 5 6 6 2" xfId="32880"/>
    <cellStyle name="集計 3 5 6 6 3" xfId="32881"/>
    <cellStyle name="集計 3 5 6 7" xfId="32882"/>
    <cellStyle name="集計 3 5 6 7 2" xfId="32883"/>
    <cellStyle name="集計 3 5 6 7 3" xfId="32884"/>
    <cellStyle name="集計 3 5 6 8" xfId="32885"/>
    <cellStyle name="集計 3 5 6 8 2" xfId="32886"/>
    <cellStyle name="集計 3 5 6 8 3" xfId="32887"/>
    <cellStyle name="集計 3 5 6 9" xfId="32888"/>
    <cellStyle name="集計 3 5 7" xfId="32889"/>
    <cellStyle name="集計 3 5 7 2" xfId="32890"/>
    <cellStyle name="集計 3 5 7 2 2" xfId="32891"/>
    <cellStyle name="集計 3 5 7 2 2 2" xfId="32892"/>
    <cellStyle name="集計 3 5 7 2 2 3" xfId="32893"/>
    <cellStyle name="集計 3 5 7 2 3" xfId="32894"/>
    <cellStyle name="集計 3 5 7 2 3 2" xfId="32895"/>
    <cellStyle name="集計 3 5 7 2 3 3" xfId="32896"/>
    <cellStyle name="集計 3 5 7 2 4" xfId="32897"/>
    <cellStyle name="集計 3 5 7 2 4 2" xfId="32898"/>
    <cellStyle name="集計 3 5 7 2 4 3" xfId="32899"/>
    <cellStyle name="集計 3 5 7 2 5" xfId="32900"/>
    <cellStyle name="集計 3 5 7 2 6" xfId="32901"/>
    <cellStyle name="集計 3 5 7 3" xfId="32902"/>
    <cellStyle name="集計 3 5 7 3 2" xfId="32903"/>
    <cellStyle name="集計 3 5 7 3 3" xfId="32904"/>
    <cellStyle name="集計 3 5 7 4" xfId="32905"/>
    <cellStyle name="集計 3 5 7 4 2" xfId="32906"/>
    <cellStyle name="集計 3 5 7 4 3" xfId="32907"/>
    <cellStyle name="集計 3 5 7 5" xfId="32908"/>
    <cellStyle name="集計 3 5 7 5 2" xfId="32909"/>
    <cellStyle name="集計 3 5 7 5 3" xfId="32910"/>
    <cellStyle name="集計 3 5 7 6" xfId="32911"/>
    <cellStyle name="集計 3 5 7 7" xfId="32912"/>
    <cellStyle name="集計 3 5 8" xfId="32913"/>
    <cellStyle name="集計 3 5 8 2" xfId="32914"/>
    <cellStyle name="集計 3 5 8 2 2" xfId="32915"/>
    <cellStyle name="集計 3 5 8 2 2 2" xfId="32916"/>
    <cellStyle name="集計 3 5 8 2 2 3" xfId="32917"/>
    <cellStyle name="集計 3 5 8 2 3" xfId="32918"/>
    <cellStyle name="集計 3 5 8 2 3 2" xfId="32919"/>
    <cellStyle name="集計 3 5 8 2 3 3" xfId="32920"/>
    <cellStyle name="集計 3 5 8 2 4" xfId="32921"/>
    <cellStyle name="集計 3 5 8 2 4 2" xfId="32922"/>
    <cellStyle name="集計 3 5 8 2 4 3" xfId="32923"/>
    <cellStyle name="集計 3 5 8 2 5" xfId="32924"/>
    <cellStyle name="集計 3 5 8 2 6" xfId="32925"/>
    <cellStyle name="集計 3 5 8 3" xfId="32926"/>
    <cellStyle name="集計 3 5 8 3 2" xfId="32927"/>
    <cellStyle name="集計 3 5 8 3 3" xfId="32928"/>
    <cellStyle name="集計 3 5 8 4" xfId="32929"/>
    <cellStyle name="集計 3 5 8 4 2" xfId="32930"/>
    <cellStyle name="集計 3 5 8 4 3" xfId="32931"/>
    <cellStyle name="集計 3 5 8 5" xfId="32932"/>
    <cellStyle name="集計 3 5 8 5 2" xfId="32933"/>
    <cellStyle name="集計 3 5 8 5 3" xfId="32934"/>
    <cellStyle name="集計 3 5 8 6" xfId="32935"/>
    <cellStyle name="集計 3 5 8 7" xfId="32936"/>
    <cellStyle name="集計 3 5 9" xfId="32937"/>
    <cellStyle name="集計 3 5 9 2" xfId="32938"/>
    <cellStyle name="集計 3 5 9 2 2" xfId="32939"/>
    <cellStyle name="集計 3 5 9 2 3" xfId="32940"/>
    <cellStyle name="集計 3 5 9 3" xfId="32941"/>
    <cellStyle name="集計 3 5 9 3 2" xfId="32942"/>
    <cellStyle name="集計 3 5 9 3 3" xfId="32943"/>
    <cellStyle name="集計 3 5 9 4" xfId="32944"/>
    <cellStyle name="集計 3 5 9 4 2" xfId="32945"/>
    <cellStyle name="集計 3 5 9 4 3" xfId="32946"/>
    <cellStyle name="集計 3 5 9 5" xfId="32947"/>
    <cellStyle name="集計 3 5 9 6" xfId="32948"/>
    <cellStyle name="集計 3 6" xfId="32949"/>
    <cellStyle name="集計 3 6 10" xfId="32950"/>
    <cellStyle name="集計 3 6 10 2" xfId="32951"/>
    <cellStyle name="集計 3 6 10 3" xfId="32952"/>
    <cellStyle name="集計 3 6 11" xfId="32953"/>
    <cellStyle name="集計 3 6 11 2" xfId="32954"/>
    <cellStyle name="集計 3 6 11 3" xfId="32955"/>
    <cellStyle name="集計 3 6 12" xfId="32956"/>
    <cellStyle name="集計 3 6 12 2" xfId="32957"/>
    <cellStyle name="集計 3 6 12 3" xfId="32958"/>
    <cellStyle name="集計 3 6 13" xfId="32959"/>
    <cellStyle name="集計 3 6 14" xfId="32960"/>
    <cellStyle name="集計 3 6 2" xfId="32961"/>
    <cellStyle name="集計 3 6 2 10" xfId="32962"/>
    <cellStyle name="集計 3 6 2 2" xfId="32963"/>
    <cellStyle name="集計 3 6 2 2 10" xfId="32964"/>
    <cellStyle name="集計 3 6 2 2 2" xfId="32965"/>
    <cellStyle name="集計 3 6 2 2 2 2" xfId="32966"/>
    <cellStyle name="集計 3 6 2 2 2 2 2" xfId="32967"/>
    <cellStyle name="集計 3 6 2 2 2 2 2 2" xfId="32968"/>
    <cellStyle name="集計 3 6 2 2 2 2 2 2 2" xfId="32969"/>
    <cellStyle name="集計 3 6 2 2 2 2 2 2 3" xfId="32970"/>
    <cellStyle name="集計 3 6 2 2 2 2 2 3" xfId="32971"/>
    <cellStyle name="集計 3 6 2 2 2 2 2 3 2" xfId="32972"/>
    <cellStyle name="集計 3 6 2 2 2 2 2 3 3" xfId="32973"/>
    <cellStyle name="集計 3 6 2 2 2 2 2 4" xfId="32974"/>
    <cellStyle name="集計 3 6 2 2 2 2 2 4 2" xfId="32975"/>
    <cellStyle name="集計 3 6 2 2 2 2 2 4 3" xfId="32976"/>
    <cellStyle name="集計 3 6 2 2 2 2 2 5" xfId="32977"/>
    <cellStyle name="集計 3 6 2 2 2 2 2 6" xfId="32978"/>
    <cellStyle name="集計 3 6 2 2 2 2 3" xfId="32979"/>
    <cellStyle name="集計 3 6 2 2 2 2 3 2" xfId="32980"/>
    <cellStyle name="集計 3 6 2 2 2 2 3 3" xfId="32981"/>
    <cellStyle name="集計 3 6 2 2 2 2 4" xfId="32982"/>
    <cellStyle name="集計 3 6 2 2 2 2 4 2" xfId="32983"/>
    <cellStyle name="集計 3 6 2 2 2 2 4 3" xfId="32984"/>
    <cellStyle name="集計 3 6 2 2 2 2 5" xfId="32985"/>
    <cellStyle name="集計 3 6 2 2 2 2 5 2" xfId="32986"/>
    <cellStyle name="集計 3 6 2 2 2 2 5 3" xfId="32987"/>
    <cellStyle name="集計 3 6 2 2 2 2 6" xfId="32988"/>
    <cellStyle name="集計 3 6 2 2 2 2 7" xfId="32989"/>
    <cellStyle name="集計 3 6 2 2 2 3" xfId="32990"/>
    <cellStyle name="集計 3 6 2 2 2 3 2" xfId="32991"/>
    <cellStyle name="集計 3 6 2 2 2 3 2 2" xfId="32992"/>
    <cellStyle name="集計 3 6 2 2 2 3 2 2 2" xfId="32993"/>
    <cellStyle name="集計 3 6 2 2 2 3 2 2 3" xfId="32994"/>
    <cellStyle name="集計 3 6 2 2 2 3 2 3" xfId="32995"/>
    <cellStyle name="集計 3 6 2 2 2 3 2 3 2" xfId="32996"/>
    <cellStyle name="集計 3 6 2 2 2 3 2 3 3" xfId="32997"/>
    <cellStyle name="集計 3 6 2 2 2 3 2 4" xfId="32998"/>
    <cellStyle name="集計 3 6 2 2 2 3 2 4 2" xfId="32999"/>
    <cellStyle name="集計 3 6 2 2 2 3 2 4 3" xfId="33000"/>
    <cellStyle name="集計 3 6 2 2 2 3 2 5" xfId="33001"/>
    <cellStyle name="集計 3 6 2 2 2 3 2 6" xfId="33002"/>
    <cellStyle name="集計 3 6 2 2 2 3 3" xfId="33003"/>
    <cellStyle name="集計 3 6 2 2 2 3 3 2" xfId="33004"/>
    <cellStyle name="集計 3 6 2 2 2 3 3 3" xfId="33005"/>
    <cellStyle name="集計 3 6 2 2 2 3 4" xfId="33006"/>
    <cellStyle name="集計 3 6 2 2 2 3 4 2" xfId="33007"/>
    <cellStyle name="集計 3 6 2 2 2 3 4 3" xfId="33008"/>
    <cellStyle name="集計 3 6 2 2 2 3 5" xfId="33009"/>
    <cellStyle name="集計 3 6 2 2 2 3 5 2" xfId="33010"/>
    <cellStyle name="集計 3 6 2 2 2 3 5 3" xfId="33011"/>
    <cellStyle name="集計 3 6 2 2 2 3 6" xfId="33012"/>
    <cellStyle name="集計 3 6 2 2 2 3 7" xfId="33013"/>
    <cellStyle name="集計 3 6 2 2 2 4" xfId="33014"/>
    <cellStyle name="集計 3 6 2 2 2 4 2" xfId="33015"/>
    <cellStyle name="集計 3 6 2 2 2 4 2 2" xfId="33016"/>
    <cellStyle name="集計 3 6 2 2 2 4 2 3" xfId="33017"/>
    <cellStyle name="集計 3 6 2 2 2 4 3" xfId="33018"/>
    <cellStyle name="集計 3 6 2 2 2 4 3 2" xfId="33019"/>
    <cellStyle name="集計 3 6 2 2 2 4 3 3" xfId="33020"/>
    <cellStyle name="集計 3 6 2 2 2 4 4" xfId="33021"/>
    <cellStyle name="集計 3 6 2 2 2 4 4 2" xfId="33022"/>
    <cellStyle name="集計 3 6 2 2 2 4 4 3" xfId="33023"/>
    <cellStyle name="集計 3 6 2 2 2 4 5" xfId="33024"/>
    <cellStyle name="集計 3 6 2 2 2 4 6" xfId="33025"/>
    <cellStyle name="集計 3 6 2 2 2 5" xfId="33026"/>
    <cellStyle name="集計 3 6 2 2 2 5 2" xfId="33027"/>
    <cellStyle name="集計 3 6 2 2 2 5 3" xfId="33028"/>
    <cellStyle name="集計 3 6 2 2 2 6" xfId="33029"/>
    <cellStyle name="集計 3 6 2 2 2 6 2" xfId="33030"/>
    <cellStyle name="集計 3 6 2 2 2 6 3" xfId="33031"/>
    <cellStyle name="集計 3 6 2 2 2 7" xfId="33032"/>
    <cellStyle name="集計 3 6 2 2 2 7 2" xfId="33033"/>
    <cellStyle name="集計 3 6 2 2 2 7 3" xfId="33034"/>
    <cellStyle name="集計 3 6 2 2 2 8" xfId="33035"/>
    <cellStyle name="集計 3 6 2 2 2 9" xfId="33036"/>
    <cellStyle name="集計 3 6 2 2 3" xfId="33037"/>
    <cellStyle name="集計 3 6 2 2 3 2" xfId="33038"/>
    <cellStyle name="集計 3 6 2 2 3 2 2" xfId="33039"/>
    <cellStyle name="集計 3 6 2 2 3 2 2 2" xfId="33040"/>
    <cellStyle name="集計 3 6 2 2 3 2 2 3" xfId="33041"/>
    <cellStyle name="集計 3 6 2 2 3 2 3" xfId="33042"/>
    <cellStyle name="集計 3 6 2 2 3 2 3 2" xfId="33043"/>
    <cellStyle name="集計 3 6 2 2 3 2 3 3" xfId="33044"/>
    <cellStyle name="集計 3 6 2 2 3 2 4" xfId="33045"/>
    <cellStyle name="集計 3 6 2 2 3 2 4 2" xfId="33046"/>
    <cellStyle name="集計 3 6 2 2 3 2 4 3" xfId="33047"/>
    <cellStyle name="集計 3 6 2 2 3 2 5" xfId="33048"/>
    <cellStyle name="集計 3 6 2 2 3 2 6" xfId="33049"/>
    <cellStyle name="集計 3 6 2 2 3 3" xfId="33050"/>
    <cellStyle name="集計 3 6 2 2 3 3 2" xfId="33051"/>
    <cellStyle name="集計 3 6 2 2 3 3 3" xfId="33052"/>
    <cellStyle name="集計 3 6 2 2 3 4" xfId="33053"/>
    <cellStyle name="集計 3 6 2 2 3 4 2" xfId="33054"/>
    <cellStyle name="集計 3 6 2 2 3 4 3" xfId="33055"/>
    <cellStyle name="集計 3 6 2 2 3 5" xfId="33056"/>
    <cellStyle name="集計 3 6 2 2 3 5 2" xfId="33057"/>
    <cellStyle name="集計 3 6 2 2 3 5 3" xfId="33058"/>
    <cellStyle name="集計 3 6 2 2 3 6" xfId="33059"/>
    <cellStyle name="集計 3 6 2 2 3 7" xfId="33060"/>
    <cellStyle name="集計 3 6 2 2 4" xfId="33061"/>
    <cellStyle name="集計 3 6 2 2 4 2" xfId="33062"/>
    <cellStyle name="集計 3 6 2 2 4 2 2" xfId="33063"/>
    <cellStyle name="集計 3 6 2 2 4 2 2 2" xfId="33064"/>
    <cellStyle name="集計 3 6 2 2 4 2 2 3" xfId="33065"/>
    <cellStyle name="集計 3 6 2 2 4 2 3" xfId="33066"/>
    <cellStyle name="集計 3 6 2 2 4 2 3 2" xfId="33067"/>
    <cellStyle name="集計 3 6 2 2 4 2 3 3" xfId="33068"/>
    <cellStyle name="集計 3 6 2 2 4 2 4" xfId="33069"/>
    <cellStyle name="集計 3 6 2 2 4 2 4 2" xfId="33070"/>
    <cellStyle name="集計 3 6 2 2 4 2 4 3" xfId="33071"/>
    <cellStyle name="集計 3 6 2 2 4 2 5" xfId="33072"/>
    <cellStyle name="集計 3 6 2 2 4 2 6" xfId="33073"/>
    <cellStyle name="集計 3 6 2 2 4 3" xfId="33074"/>
    <cellStyle name="集計 3 6 2 2 4 3 2" xfId="33075"/>
    <cellStyle name="集計 3 6 2 2 4 3 3" xfId="33076"/>
    <cellStyle name="集計 3 6 2 2 4 4" xfId="33077"/>
    <cellStyle name="集計 3 6 2 2 4 4 2" xfId="33078"/>
    <cellStyle name="集計 3 6 2 2 4 4 3" xfId="33079"/>
    <cellStyle name="集計 3 6 2 2 4 5" xfId="33080"/>
    <cellStyle name="集計 3 6 2 2 4 5 2" xfId="33081"/>
    <cellStyle name="集計 3 6 2 2 4 5 3" xfId="33082"/>
    <cellStyle name="集計 3 6 2 2 4 6" xfId="33083"/>
    <cellStyle name="集計 3 6 2 2 4 7" xfId="33084"/>
    <cellStyle name="集計 3 6 2 2 5" xfId="33085"/>
    <cellStyle name="集計 3 6 2 2 5 2" xfId="33086"/>
    <cellStyle name="集計 3 6 2 2 5 2 2" xfId="33087"/>
    <cellStyle name="集計 3 6 2 2 5 2 3" xfId="33088"/>
    <cellStyle name="集計 3 6 2 2 5 3" xfId="33089"/>
    <cellStyle name="集計 3 6 2 2 5 3 2" xfId="33090"/>
    <cellStyle name="集計 3 6 2 2 5 3 3" xfId="33091"/>
    <cellStyle name="集計 3 6 2 2 5 4" xfId="33092"/>
    <cellStyle name="集計 3 6 2 2 5 4 2" xfId="33093"/>
    <cellStyle name="集計 3 6 2 2 5 4 3" xfId="33094"/>
    <cellStyle name="集計 3 6 2 2 5 5" xfId="33095"/>
    <cellStyle name="集計 3 6 2 2 5 6" xfId="33096"/>
    <cellStyle name="集計 3 6 2 2 6" xfId="33097"/>
    <cellStyle name="集計 3 6 2 2 6 2" xfId="33098"/>
    <cellStyle name="集計 3 6 2 2 6 3" xfId="33099"/>
    <cellStyle name="集計 3 6 2 2 7" xfId="33100"/>
    <cellStyle name="集計 3 6 2 2 7 2" xfId="33101"/>
    <cellStyle name="集計 3 6 2 2 7 3" xfId="33102"/>
    <cellStyle name="集計 3 6 2 2 8" xfId="33103"/>
    <cellStyle name="集計 3 6 2 2 8 2" xfId="33104"/>
    <cellStyle name="集計 3 6 2 2 8 3" xfId="33105"/>
    <cellStyle name="集計 3 6 2 2 9" xfId="33106"/>
    <cellStyle name="集計 3 6 2 3" xfId="33107"/>
    <cellStyle name="集計 3 6 2 3 2" xfId="33108"/>
    <cellStyle name="集計 3 6 2 3 2 2" xfId="33109"/>
    <cellStyle name="集計 3 6 2 3 2 2 2" xfId="33110"/>
    <cellStyle name="集計 3 6 2 3 2 2 3" xfId="33111"/>
    <cellStyle name="集計 3 6 2 3 2 3" xfId="33112"/>
    <cellStyle name="集計 3 6 2 3 2 3 2" xfId="33113"/>
    <cellStyle name="集計 3 6 2 3 2 3 3" xfId="33114"/>
    <cellStyle name="集計 3 6 2 3 2 4" xfId="33115"/>
    <cellStyle name="集計 3 6 2 3 2 4 2" xfId="33116"/>
    <cellStyle name="集計 3 6 2 3 2 4 3" xfId="33117"/>
    <cellStyle name="集計 3 6 2 3 2 5" xfId="33118"/>
    <cellStyle name="集計 3 6 2 3 2 6" xfId="33119"/>
    <cellStyle name="集計 3 6 2 3 3" xfId="33120"/>
    <cellStyle name="集計 3 6 2 3 3 2" xfId="33121"/>
    <cellStyle name="集計 3 6 2 3 3 3" xfId="33122"/>
    <cellStyle name="集計 3 6 2 3 4" xfId="33123"/>
    <cellStyle name="集計 3 6 2 3 4 2" xfId="33124"/>
    <cellStyle name="集計 3 6 2 3 4 3" xfId="33125"/>
    <cellStyle name="集計 3 6 2 3 5" xfId="33126"/>
    <cellStyle name="集計 3 6 2 3 5 2" xfId="33127"/>
    <cellStyle name="集計 3 6 2 3 5 3" xfId="33128"/>
    <cellStyle name="集計 3 6 2 3 6" xfId="33129"/>
    <cellStyle name="集計 3 6 2 3 7" xfId="33130"/>
    <cellStyle name="集計 3 6 2 4" xfId="33131"/>
    <cellStyle name="集計 3 6 2 4 2" xfId="33132"/>
    <cellStyle name="集計 3 6 2 4 2 2" xfId="33133"/>
    <cellStyle name="集計 3 6 2 4 2 2 2" xfId="33134"/>
    <cellStyle name="集計 3 6 2 4 2 2 3" xfId="33135"/>
    <cellStyle name="集計 3 6 2 4 2 3" xfId="33136"/>
    <cellStyle name="集計 3 6 2 4 2 3 2" xfId="33137"/>
    <cellStyle name="集計 3 6 2 4 2 3 3" xfId="33138"/>
    <cellStyle name="集計 3 6 2 4 2 4" xfId="33139"/>
    <cellStyle name="集計 3 6 2 4 2 4 2" xfId="33140"/>
    <cellStyle name="集計 3 6 2 4 2 4 3" xfId="33141"/>
    <cellStyle name="集計 3 6 2 4 2 5" xfId="33142"/>
    <cellStyle name="集計 3 6 2 4 2 6" xfId="33143"/>
    <cellStyle name="集計 3 6 2 4 3" xfId="33144"/>
    <cellStyle name="集計 3 6 2 4 3 2" xfId="33145"/>
    <cellStyle name="集計 3 6 2 4 3 3" xfId="33146"/>
    <cellStyle name="集計 3 6 2 4 4" xfId="33147"/>
    <cellStyle name="集計 3 6 2 4 4 2" xfId="33148"/>
    <cellStyle name="集計 3 6 2 4 4 3" xfId="33149"/>
    <cellStyle name="集計 3 6 2 4 5" xfId="33150"/>
    <cellStyle name="集計 3 6 2 4 5 2" xfId="33151"/>
    <cellStyle name="集計 3 6 2 4 5 3" xfId="33152"/>
    <cellStyle name="集計 3 6 2 4 6" xfId="33153"/>
    <cellStyle name="集計 3 6 2 4 7" xfId="33154"/>
    <cellStyle name="集計 3 6 2 5" xfId="33155"/>
    <cellStyle name="集計 3 6 2 5 2" xfId="33156"/>
    <cellStyle name="集計 3 6 2 5 2 2" xfId="33157"/>
    <cellStyle name="集計 3 6 2 5 2 3" xfId="33158"/>
    <cellStyle name="集計 3 6 2 5 3" xfId="33159"/>
    <cellStyle name="集計 3 6 2 5 3 2" xfId="33160"/>
    <cellStyle name="集計 3 6 2 5 3 3" xfId="33161"/>
    <cellStyle name="集計 3 6 2 5 4" xfId="33162"/>
    <cellStyle name="集計 3 6 2 5 4 2" xfId="33163"/>
    <cellStyle name="集計 3 6 2 5 4 3" xfId="33164"/>
    <cellStyle name="集計 3 6 2 5 5" xfId="33165"/>
    <cellStyle name="集計 3 6 2 5 6" xfId="33166"/>
    <cellStyle name="集計 3 6 2 6" xfId="33167"/>
    <cellStyle name="集計 3 6 2 6 2" xfId="33168"/>
    <cellStyle name="集計 3 6 2 6 3" xfId="33169"/>
    <cellStyle name="集計 3 6 2 7" xfId="33170"/>
    <cellStyle name="集計 3 6 2 7 2" xfId="33171"/>
    <cellStyle name="集計 3 6 2 7 3" xfId="33172"/>
    <cellStyle name="集計 3 6 2 8" xfId="33173"/>
    <cellStyle name="集計 3 6 2 8 2" xfId="33174"/>
    <cellStyle name="集計 3 6 2 8 3" xfId="33175"/>
    <cellStyle name="集計 3 6 2 9" xfId="33176"/>
    <cellStyle name="集計 3 6 3" xfId="33177"/>
    <cellStyle name="集計 3 6 3 10" xfId="33178"/>
    <cellStyle name="集計 3 6 3 2" xfId="33179"/>
    <cellStyle name="集計 3 6 3 2 10" xfId="33180"/>
    <cellStyle name="集計 3 6 3 2 2" xfId="33181"/>
    <cellStyle name="集計 3 6 3 2 2 2" xfId="33182"/>
    <cellStyle name="集計 3 6 3 2 2 2 2" xfId="33183"/>
    <cellStyle name="集計 3 6 3 2 2 2 2 2" xfId="33184"/>
    <cellStyle name="集計 3 6 3 2 2 2 2 2 2" xfId="33185"/>
    <cellStyle name="集計 3 6 3 2 2 2 2 2 3" xfId="33186"/>
    <cellStyle name="集計 3 6 3 2 2 2 2 3" xfId="33187"/>
    <cellStyle name="集計 3 6 3 2 2 2 2 3 2" xfId="33188"/>
    <cellStyle name="集計 3 6 3 2 2 2 2 3 3" xfId="33189"/>
    <cellStyle name="集計 3 6 3 2 2 2 2 4" xfId="33190"/>
    <cellStyle name="集計 3 6 3 2 2 2 2 4 2" xfId="33191"/>
    <cellStyle name="集計 3 6 3 2 2 2 2 4 3" xfId="33192"/>
    <cellStyle name="集計 3 6 3 2 2 2 2 5" xfId="33193"/>
    <cellStyle name="集計 3 6 3 2 2 2 2 6" xfId="33194"/>
    <cellStyle name="集計 3 6 3 2 2 2 3" xfId="33195"/>
    <cellStyle name="集計 3 6 3 2 2 2 3 2" xfId="33196"/>
    <cellStyle name="集計 3 6 3 2 2 2 3 3" xfId="33197"/>
    <cellStyle name="集計 3 6 3 2 2 2 4" xfId="33198"/>
    <cellStyle name="集計 3 6 3 2 2 2 4 2" xfId="33199"/>
    <cellStyle name="集計 3 6 3 2 2 2 4 3" xfId="33200"/>
    <cellStyle name="集計 3 6 3 2 2 2 5" xfId="33201"/>
    <cellStyle name="集計 3 6 3 2 2 2 5 2" xfId="33202"/>
    <cellStyle name="集計 3 6 3 2 2 2 5 3" xfId="33203"/>
    <cellStyle name="集計 3 6 3 2 2 2 6" xfId="33204"/>
    <cellStyle name="集計 3 6 3 2 2 2 7" xfId="33205"/>
    <cellStyle name="集計 3 6 3 2 2 3" xfId="33206"/>
    <cellStyle name="集計 3 6 3 2 2 3 2" xfId="33207"/>
    <cellStyle name="集計 3 6 3 2 2 3 2 2" xfId="33208"/>
    <cellStyle name="集計 3 6 3 2 2 3 2 2 2" xfId="33209"/>
    <cellStyle name="集計 3 6 3 2 2 3 2 2 3" xfId="33210"/>
    <cellStyle name="集計 3 6 3 2 2 3 2 3" xfId="33211"/>
    <cellStyle name="集計 3 6 3 2 2 3 2 3 2" xfId="33212"/>
    <cellStyle name="集計 3 6 3 2 2 3 2 3 3" xfId="33213"/>
    <cellStyle name="集計 3 6 3 2 2 3 2 4" xfId="33214"/>
    <cellStyle name="集計 3 6 3 2 2 3 2 4 2" xfId="33215"/>
    <cellStyle name="集計 3 6 3 2 2 3 2 4 3" xfId="33216"/>
    <cellStyle name="集計 3 6 3 2 2 3 2 5" xfId="33217"/>
    <cellStyle name="集計 3 6 3 2 2 3 2 6" xfId="33218"/>
    <cellStyle name="集計 3 6 3 2 2 3 3" xfId="33219"/>
    <cellStyle name="集計 3 6 3 2 2 3 3 2" xfId="33220"/>
    <cellStyle name="集計 3 6 3 2 2 3 3 3" xfId="33221"/>
    <cellStyle name="集計 3 6 3 2 2 3 4" xfId="33222"/>
    <cellStyle name="集計 3 6 3 2 2 3 4 2" xfId="33223"/>
    <cellStyle name="集計 3 6 3 2 2 3 4 3" xfId="33224"/>
    <cellStyle name="集計 3 6 3 2 2 3 5" xfId="33225"/>
    <cellStyle name="集計 3 6 3 2 2 3 5 2" xfId="33226"/>
    <cellStyle name="集計 3 6 3 2 2 3 5 3" xfId="33227"/>
    <cellStyle name="集計 3 6 3 2 2 3 6" xfId="33228"/>
    <cellStyle name="集計 3 6 3 2 2 3 7" xfId="33229"/>
    <cellStyle name="集計 3 6 3 2 2 4" xfId="33230"/>
    <cellStyle name="集計 3 6 3 2 2 4 2" xfId="33231"/>
    <cellStyle name="集計 3 6 3 2 2 4 2 2" xfId="33232"/>
    <cellStyle name="集計 3 6 3 2 2 4 2 3" xfId="33233"/>
    <cellStyle name="集計 3 6 3 2 2 4 3" xfId="33234"/>
    <cellStyle name="集計 3 6 3 2 2 4 3 2" xfId="33235"/>
    <cellStyle name="集計 3 6 3 2 2 4 3 3" xfId="33236"/>
    <cellStyle name="集計 3 6 3 2 2 4 4" xfId="33237"/>
    <cellStyle name="集計 3 6 3 2 2 4 4 2" xfId="33238"/>
    <cellStyle name="集計 3 6 3 2 2 4 4 3" xfId="33239"/>
    <cellStyle name="集計 3 6 3 2 2 4 5" xfId="33240"/>
    <cellStyle name="集計 3 6 3 2 2 4 6" xfId="33241"/>
    <cellStyle name="集計 3 6 3 2 2 5" xfId="33242"/>
    <cellStyle name="集計 3 6 3 2 2 5 2" xfId="33243"/>
    <cellStyle name="集計 3 6 3 2 2 5 3" xfId="33244"/>
    <cellStyle name="集計 3 6 3 2 2 6" xfId="33245"/>
    <cellStyle name="集計 3 6 3 2 2 6 2" xfId="33246"/>
    <cellStyle name="集計 3 6 3 2 2 6 3" xfId="33247"/>
    <cellStyle name="集計 3 6 3 2 2 7" xfId="33248"/>
    <cellStyle name="集計 3 6 3 2 2 7 2" xfId="33249"/>
    <cellStyle name="集計 3 6 3 2 2 7 3" xfId="33250"/>
    <cellStyle name="集計 3 6 3 2 2 8" xfId="33251"/>
    <cellStyle name="集計 3 6 3 2 2 9" xfId="33252"/>
    <cellStyle name="集計 3 6 3 2 3" xfId="33253"/>
    <cellStyle name="集計 3 6 3 2 3 2" xfId="33254"/>
    <cellStyle name="集計 3 6 3 2 3 2 2" xfId="33255"/>
    <cellStyle name="集計 3 6 3 2 3 2 2 2" xfId="33256"/>
    <cellStyle name="集計 3 6 3 2 3 2 2 3" xfId="33257"/>
    <cellStyle name="集計 3 6 3 2 3 2 3" xfId="33258"/>
    <cellStyle name="集計 3 6 3 2 3 2 3 2" xfId="33259"/>
    <cellStyle name="集計 3 6 3 2 3 2 3 3" xfId="33260"/>
    <cellStyle name="集計 3 6 3 2 3 2 4" xfId="33261"/>
    <cellStyle name="集計 3 6 3 2 3 2 4 2" xfId="33262"/>
    <cellStyle name="集計 3 6 3 2 3 2 4 3" xfId="33263"/>
    <cellStyle name="集計 3 6 3 2 3 2 5" xfId="33264"/>
    <cellStyle name="集計 3 6 3 2 3 2 6" xfId="33265"/>
    <cellStyle name="集計 3 6 3 2 3 3" xfId="33266"/>
    <cellStyle name="集計 3 6 3 2 3 3 2" xfId="33267"/>
    <cellStyle name="集計 3 6 3 2 3 3 3" xfId="33268"/>
    <cellStyle name="集計 3 6 3 2 3 4" xfId="33269"/>
    <cellStyle name="集計 3 6 3 2 3 4 2" xfId="33270"/>
    <cellStyle name="集計 3 6 3 2 3 4 3" xfId="33271"/>
    <cellStyle name="集計 3 6 3 2 3 5" xfId="33272"/>
    <cellStyle name="集計 3 6 3 2 3 5 2" xfId="33273"/>
    <cellStyle name="集計 3 6 3 2 3 5 3" xfId="33274"/>
    <cellStyle name="集計 3 6 3 2 3 6" xfId="33275"/>
    <cellStyle name="集計 3 6 3 2 3 7" xfId="33276"/>
    <cellStyle name="集計 3 6 3 2 4" xfId="33277"/>
    <cellStyle name="集計 3 6 3 2 4 2" xfId="33278"/>
    <cellStyle name="集計 3 6 3 2 4 2 2" xfId="33279"/>
    <cellStyle name="集計 3 6 3 2 4 2 2 2" xfId="33280"/>
    <cellStyle name="集計 3 6 3 2 4 2 2 3" xfId="33281"/>
    <cellStyle name="集計 3 6 3 2 4 2 3" xfId="33282"/>
    <cellStyle name="集計 3 6 3 2 4 2 3 2" xfId="33283"/>
    <cellStyle name="集計 3 6 3 2 4 2 3 3" xfId="33284"/>
    <cellStyle name="集計 3 6 3 2 4 2 4" xfId="33285"/>
    <cellStyle name="集計 3 6 3 2 4 2 4 2" xfId="33286"/>
    <cellStyle name="集計 3 6 3 2 4 2 4 3" xfId="33287"/>
    <cellStyle name="集計 3 6 3 2 4 2 5" xfId="33288"/>
    <cellStyle name="集計 3 6 3 2 4 2 6" xfId="33289"/>
    <cellStyle name="集計 3 6 3 2 4 3" xfId="33290"/>
    <cellStyle name="集計 3 6 3 2 4 3 2" xfId="33291"/>
    <cellStyle name="集計 3 6 3 2 4 3 3" xfId="33292"/>
    <cellStyle name="集計 3 6 3 2 4 4" xfId="33293"/>
    <cellStyle name="集計 3 6 3 2 4 4 2" xfId="33294"/>
    <cellStyle name="集計 3 6 3 2 4 4 3" xfId="33295"/>
    <cellStyle name="集計 3 6 3 2 4 5" xfId="33296"/>
    <cellStyle name="集計 3 6 3 2 4 5 2" xfId="33297"/>
    <cellStyle name="集計 3 6 3 2 4 5 3" xfId="33298"/>
    <cellStyle name="集計 3 6 3 2 4 6" xfId="33299"/>
    <cellStyle name="集計 3 6 3 2 4 7" xfId="33300"/>
    <cellStyle name="集計 3 6 3 2 5" xfId="33301"/>
    <cellStyle name="集計 3 6 3 2 5 2" xfId="33302"/>
    <cellStyle name="集計 3 6 3 2 5 2 2" xfId="33303"/>
    <cellStyle name="集計 3 6 3 2 5 2 3" xfId="33304"/>
    <cellStyle name="集計 3 6 3 2 5 3" xfId="33305"/>
    <cellStyle name="集計 3 6 3 2 5 3 2" xfId="33306"/>
    <cellStyle name="集計 3 6 3 2 5 3 3" xfId="33307"/>
    <cellStyle name="集計 3 6 3 2 5 4" xfId="33308"/>
    <cellStyle name="集計 3 6 3 2 5 4 2" xfId="33309"/>
    <cellStyle name="集計 3 6 3 2 5 4 3" xfId="33310"/>
    <cellStyle name="集計 3 6 3 2 5 5" xfId="33311"/>
    <cellStyle name="集計 3 6 3 2 5 6" xfId="33312"/>
    <cellStyle name="集計 3 6 3 2 6" xfId="33313"/>
    <cellStyle name="集計 3 6 3 2 6 2" xfId="33314"/>
    <cellStyle name="集計 3 6 3 2 6 3" xfId="33315"/>
    <cellStyle name="集計 3 6 3 2 7" xfId="33316"/>
    <cellStyle name="集計 3 6 3 2 7 2" xfId="33317"/>
    <cellStyle name="集計 3 6 3 2 7 3" xfId="33318"/>
    <cellStyle name="集計 3 6 3 2 8" xfId="33319"/>
    <cellStyle name="集計 3 6 3 2 8 2" xfId="33320"/>
    <cellStyle name="集計 3 6 3 2 8 3" xfId="33321"/>
    <cellStyle name="集計 3 6 3 2 9" xfId="33322"/>
    <cellStyle name="集計 3 6 3 3" xfId="33323"/>
    <cellStyle name="集計 3 6 3 3 2" xfId="33324"/>
    <cellStyle name="集計 3 6 3 3 2 2" xfId="33325"/>
    <cellStyle name="集計 3 6 3 3 2 2 2" xfId="33326"/>
    <cellStyle name="集計 3 6 3 3 2 2 3" xfId="33327"/>
    <cellStyle name="集計 3 6 3 3 2 3" xfId="33328"/>
    <cellStyle name="集計 3 6 3 3 2 3 2" xfId="33329"/>
    <cellStyle name="集計 3 6 3 3 2 3 3" xfId="33330"/>
    <cellStyle name="集計 3 6 3 3 2 4" xfId="33331"/>
    <cellStyle name="集計 3 6 3 3 2 4 2" xfId="33332"/>
    <cellStyle name="集計 3 6 3 3 2 4 3" xfId="33333"/>
    <cellStyle name="集計 3 6 3 3 2 5" xfId="33334"/>
    <cellStyle name="集計 3 6 3 3 2 6" xfId="33335"/>
    <cellStyle name="集計 3 6 3 3 3" xfId="33336"/>
    <cellStyle name="集計 3 6 3 3 3 2" xfId="33337"/>
    <cellStyle name="集計 3 6 3 3 3 3" xfId="33338"/>
    <cellStyle name="集計 3 6 3 3 4" xfId="33339"/>
    <cellStyle name="集計 3 6 3 3 4 2" xfId="33340"/>
    <cellStyle name="集計 3 6 3 3 4 3" xfId="33341"/>
    <cellStyle name="集計 3 6 3 3 5" xfId="33342"/>
    <cellStyle name="集計 3 6 3 3 5 2" xfId="33343"/>
    <cellStyle name="集計 3 6 3 3 5 3" xfId="33344"/>
    <cellStyle name="集計 3 6 3 3 6" xfId="33345"/>
    <cellStyle name="集計 3 6 3 3 7" xfId="33346"/>
    <cellStyle name="集計 3 6 3 4" xfId="33347"/>
    <cellStyle name="集計 3 6 3 4 2" xfId="33348"/>
    <cellStyle name="集計 3 6 3 4 2 2" xfId="33349"/>
    <cellStyle name="集計 3 6 3 4 2 2 2" xfId="33350"/>
    <cellStyle name="集計 3 6 3 4 2 2 3" xfId="33351"/>
    <cellStyle name="集計 3 6 3 4 2 3" xfId="33352"/>
    <cellStyle name="集計 3 6 3 4 2 3 2" xfId="33353"/>
    <cellStyle name="集計 3 6 3 4 2 3 3" xfId="33354"/>
    <cellStyle name="集計 3 6 3 4 2 4" xfId="33355"/>
    <cellStyle name="集計 3 6 3 4 2 4 2" xfId="33356"/>
    <cellStyle name="集計 3 6 3 4 2 4 3" xfId="33357"/>
    <cellStyle name="集計 3 6 3 4 2 5" xfId="33358"/>
    <cellStyle name="集計 3 6 3 4 2 6" xfId="33359"/>
    <cellStyle name="集計 3 6 3 4 3" xfId="33360"/>
    <cellStyle name="集計 3 6 3 4 3 2" xfId="33361"/>
    <cellStyle name="集計 3 6 3 4 3 3" xfId="33362"/>
    <cellStyle name="集計 3 6 3 4 4" xfId="33363"/>
    <cellStyle name="集計 3 6 3 4 4 2" xfId="33364"/>
    <cellStyle name="集計 3 6 3 4 4 3" xfId="33365"/>
    <cellStyle name="集計 3 6 3 4 5" xfId="33366"/>
    <cellStyle name="集計 3 6 3 4 5 2" xfId="33367"/>
    <cellStyle name="集計 3 6 3 4 5 3" xfId="33368"/>
    <cellStyle name="集計 3 6 3 4 6" xfId="33369"/>
    <cellStyle name="集計 3 6 3 4 7" xfId="33370"/>
    <cellStyle name="集計 3 6 3 5" xfId="33371"/>
    <cellStyle name="集計 3 6 3 5 2" xfId="33372"/>
    <cellStyle name="集計 3 6 3 5 2 2" xfId="33373"/>
    <cellStyle name="集計 3 6 3 5 2 3" xfId="33374"/>
    <cellStyle name="集計 3 6 3 5 3" xfId="33375"/>
    <cellStyle name="集計 3 6 3 5 3 2" xfId="33376"/>
    <cellStyle name="集計 3 6 3 5 3 3" xfId="33377"/>
    <cellStyle name="集計 3 6 3 5 4" xfId="33378"/>
    <cellStyle name="集計 3 6 3 5 4 2" xfId="33379"/>
    <cellStyle name="集計 3 6 3 5 4 3" xfId="33380"/>
    <cellStyle name="集計 3 6 3 5 5" xfId="33381"/>
    <cellStyle name="集計 3 6 3 5 6" xfId="33382"/>
    <cellStyle name="集計 3 6 3 6" xfId="33383"/>
    <cellStyle name="集計 3 6 3 6 2" xfId="33384"/>
    <cellStyle name="集計 3 6 3 6 3" xfId="33385"/>
    <cellStyle name="集計 3 6 3 7" xfId="33386"/>
    <cellStyle name="集計 3 6 3 7 2" xfId="33387"/>
    <cellStyle name="集計 3 6 3 7 3" xfId="33388"/>
    <cellStyle name="集計 3 6 3 8" xfId="33389"/>
    <cellStyle name="集計 3 6 3 8 2" xfId="33390"/>
    <cellStyle name="集計 3 6 3 8 3" xfId="33391"/>
    <cellStyle name="集計 3 6 3 9" xfId="33392"/>
    <cellStyle name="集計 3 6 4" xfId="33393"/>
    <cellStyle name="集計 3 6 4 10" xfId="33394"/>
    <cellStyle name="集計 3 6 4 2" xfId="33395"/>
    <cellStyle name="集計 3 6 4 2 10" xfId="33396"/>
    <cellStyle name="集計 3 6 4 2 2" xfId="33397"/>
    <cellStyle name="集計 3 6 4 2 2 2" xfId="33398"/>
    <cellStyle name="集計 3 6 4 2 2 2 2" xfId="33399"/>
    <cellStyle name="集計 3 6 4 2 2 2 2 2" xfId="33400"/>
    <cellStyle name="集計 3 6 4 2 2 2 2 2 2" xfId="33401"/>
    <cellStyle name="集計 3 6 4 2 2 2 2 2 3" xfId="33402"/>
    <cellStyle name="集計 3 6 4 2 2 2 2 3" xfId="33403"/>
    <cellStyle name="集計 3 6 4 2 2 2 2 3 2" xfId="33404"/>
    <cellStyle name="集計 3 6 4 2 2 2 2 3 3" xfId="33405"/>
    <cellStyle name="集計 3 6 4 2 2 2 2 4" xfId="33406"/>
    <cellStyle name="集計 3 6 4 2 2 2 2 4 2" xfId="33407"/>
    <cellStyle name="集計 3 6 4 2 2 2 2 4 3" xfId="33408"/>
    <cellStyle name="集計 3 6 4 2 2 2 2 5" xfId="33409"/>
    <cellStyle name="集計 3 6 4 2 2 2 2 6" xfId="33410"/>
    <cellStyle name="集計 3 6 4 2 2 2 3" xfId="33411"/>
    <cellStyle name="集計 3 6 4 2 2 2 3 2" xfId="33412"/>
    <cellStyle name="集計 3 6 4 2 2 2 3 3" xfId="33413"/>
    <cellStyle name="集計 3 6 4 2 2 2 4" xfId="33414"/>
    <cellStyle name="集計 3 6 4 2 2 2 4 2" xfId="33415"/>
    <cellStyle name="集計 3 6 4 2 2 2 4 3" xfId="33416"/>
    <cellStyle name="集計 3 6 4 2 2 2 5" xfId="33417"/>
    <cellStyle name="集計 3 6 4 2 2 2 5 2" xfId="33418"/>
    <cellStyle name="集計 3 6 4 2 2 2 5 3" xfId="33419"/>
    <cellStyle name="集計 3 6 4 2 2 2 6" xfId="33420"/>
    <cellStyle name="集計 3 6 4 2 2 2 7" xfId="33421"/>
    <cellStyle name="集計 3 6 4 2 2 3" xfId="33422"/>
    <cellStyle name="集計 3 6 4 2 2 3 2" xfId="33423"/>
    <cellStyle name="集計 3 6 4 2 2 3 2 2" xfId="33424"/>
    <cellStyle name="集計 3 6 4 2 2 3 2 2 2" xfId="33425"/>
    <cellStyle name="集計 3 6 4 2 2 3 2 2 3" xfId="33426"/>
    <cellStyle name="集計 3 6 4 2 2 3 2 3" xfId="33427"/>
    <cellStyle name="集計 3 6 4 2 2 3 2 3 2" xfId="33428"/>
    <cellStyle name="集計 3 6 4 2 2 3 2 3 3" xfId="33429"/>
    <cellStyle name="集計 3 6 4 2 2 3 2 4" xfId="33430"/>
    <cellStyle name="集計 3 6 4 2 2 3 2 4 2" xfId="33431"/>
    <cellStyle name="集計 3 6 4 2 2 3 2 4 3" xfId="33432"/>
    <cellStyle name="集計 3 6 4 2 2 3 2 5" xfId="33433"/>
    <cellStyle name="集計 3 6 4 2 2 3 2 6" xfId="33434"/>
    <cellStyle name="集計 3 6 4 2 2 3 3" xfId="33435"/>
    <cellStyle name="集計 3 6 4 2 2 3 3 2" xfId="33436"/>
    <cellStyle name="集計 3 6 4 2 2 3 3 3" xfId="33437"/>
    <cellStyle name="集計 3 6 4 2 2 3 4" xfId="33438"/>
    <cellStyle name="集計 3 6 4 2 2 3 4 2" xfId="33439"/>
    <cellStyle name="集計 3 6 4 2 2 3 4 3" xfId="33440"/>
    <cellStyle name="集計 3 6 4 2 2 3 5" xfId="33441"/>
    <cellStyle name="集計 3 6 4 2 2 3 5 2" xfId="33442"/>
    <cellStyle name="集計 3 6 4 2 2 3 5 3" xfId="33443"/>
    <cellStyle name="集計 3 6 4 2 2 3 6" xfId="33444"/>
    <cellStyle name="集計 3 6 4 2 2 3 7" xfId="33445"/>
    <cellStyle name="集計 3 6 4 2 2 4" xfId="33446"/>
    <cellStyle name="集計 3 6 4 2 2 4 2" xfId="33447"/>
    <cellStyle name="集計 3 6 4 2 2 4 2 2" xfId="33448"/>
    <cellStyle name="集計 3 6 4 2 2 4 2 3" xfId="33449"/>
    <cellStyle name="集計 3 6 4 2 2 4 3" xfId="33450"/>
    <cellStyle name="集計 3 6 4 2 2 4 3 2" xfId="33451"/>
    <cellStyle name="集計 3 6 4 2 2 4 3 3" xfId="33452"/>
    <cellStyle name="集計 3 6 4 2 2 4 4" xfId="33453"/>
    <cellStyle name="集計 3 6 4 2 2 4 4 2" xfId="33454"/>
    <cellStyle name="集計 3 6 4 2 2 4 4 3" xfId="33455"/>
    <cellStyle name="集計 3 6 4 2 2 4 5" xfId="33456"/>
    <cellStyle name="集計 3 6 4 2 2 4 6" xfId="33457"/>
    <cellStyle name="集計 3 6 4 2 2 5" xfId="33458"/>
    <cellStyle name="集計 3 6 4 2 2 5 2" xfId="33459"/>
    <cellStyle name="集計 3 6 4 2 2 5 3" xfId="33460"/>
    <cellStyle name="集計 3 6 4 2 2 6" xfId="33461"/>
    <cellStyle name="集計 3 6 4 2 2 6 2" xfId="33462"/>
    <cellStyle name="集計 3 6 4 2 2 6 3" xfId="33463"/>
    <cellStyle name="集計 3 6 4 2 2 7" xfId="33464"/>
    <cellStyle name="集計 3 6 4 2 2 7 2" xfId="33465"/>
    <cellStyle name="集計 3 6 4 2 2 7 3" xfId="33466"/>
    <cellStyle name="集計 3 6 4 2 2 8" xfId="33467"/>
    <cellStyle name="集計 3 6 4 2 2 9" xfId="33468"/>
    <cellStyle name="集計 3 6 4 2 3" xfId="33469"/>
    <cellStyle name="集計 3 6 4 2 3 2" xfId="33470"/>
    <cellStyle name="集計 3 6 4 2 3 2 2" xfId="33471"/>
    <cellStyle name="集計 3 6 4 2 3 2 2 2" xfId="33472"/>
    <cellStyle name="集計 3 6 4 2 3 2 2 3" xfId="33473"/>
    <cellStyle name="集計 3 6 4 2 3 2 3" xfId="33474"/>
    <cellStyle name="集計 3 6 4 2 3 2 3 2" xfId="33475"/>
    <cellStyle name="集計 3 6 4 2 3 2 3 3" xfId="33476"/>
    <cellStyle name="集計 3 6 4 2 3 2 4" xfId="33477"/>
    <cellStyle name="集計 3 6 4 2 3 2 4 2" xfId="33478"/>
    <cellStyle name="集計 3 6 4 2 3 2 4 3" xfId="33479"/>
    <cellStyle name="集計 3 6 4 2 3 2 5" xfId="33480"/>
    <cellStyle name="集計 3 6 4 2 3 2 6" xfId="33481"/>
    <cellStyle name="集計 3 6 4 2 3 3" xfId="33482"/>
    <cellStyle name="集計 3 6 4 2 3 3 2" xfId="33483"/>
    <cellStyle name="集計 3 6 4 2 3 3 3" xfId="33484"/>
    <cellStyle name="集計 3 6 4 2 3 4" xfId="33485"/>
    <cellStyle name="集計 3 6 4 2 3 4 2" xfId="33486"/>
    <cellStyle name="集計 3 6 4 2 3 4 3" xfId="33487"/>
    <cellStyle name="集計 3 6 4 2 3 5" xfId="33488"/>
    <cellStyle name="集計 3 6 4 2 3 5 2" xfId="33489"/>
    <cellStyle name="集計 3 6 4 2 3 5 3" xfId="33490"/>
    <cellStyle name="集計 3 6 4 2 3 6" xfId="33491"/>
    <cellStyle name="集計 3 6 4 2 3 7" xfId="33492"/>
    <cellStyle name="集計 3 6 4 2 4" xfId="33493"/>
    <cellStyle name="集計 3 6 4 2 4 2" xfId="33494"/>
    <cellStyle name="集計 3 6 4 2 4 2 2" xfId="33495"/>
    <cellStyle name="集計 3 6 4 2 4 2 2 2" xfId="33496"/>
    <cellStyle name="集計 3 6 4 2 4 2 2 3" xfId="33497"/>
    <cellStyle name="集計 3 6 4 2 4 2 3" xfId="33498"/>
    <cellStyle name="集計 3 6 4 2 4 2 3 2" xfId="33499"/>
    <cellStyle name="集計 3 6 4 2 4 2 3 3" xfId="33500"/>
    <cellStyle name="集計 3 6 4 2 4 2 4" xfId="33501"/>
    <cellStyle name="集計 3 6 4 2 4 2 4 2" xfId="33502"/>
    <cellStyle name="集計 3 6 4 2 4 2 4 3" xfId="33503"/>
    <cellStyle name="集計 3 6 4 2 4 2 5" xfId="33504"/>
    <cellStyle name="集計 3 6 4 2 4 2 6" xfId="33505"/>
    <cellStyle name="集計 3 6 4 2 4 3" xfId="33506"/>
    <cellStyle name="集計 3 6 4 2 4 3 2" xfId="33507"/>
    <cellStyle name="集計 3 6 4 2 4 3 3" xfId="33508"/>
    <cellStyle name="集計 3 6 4 2 4 4" xfId="33509"/>
    <cellStyle name="集計 3 6 4 2 4 4 2" xfId="33510"/>
    <cellStyle name="集計 3 6 4 2 4 4 3" xfId="33511"/>
    <cellStyle name="集計 3 6 4 2 4 5" xfId="33512"/>
    <cellStyle name="集計 3 6 4 2 4 5 2" xfId="33513"/>
    <cellStyle name="集計 3 6 4 2 4 5 3" xfId="33514"/>
    <cellStyle name="集計 3 6 4 2 4 6" xfId="33515"/>
    <cellStyle name="集計 3 6 4 2 4 7" xfId="33516"/>
    <cellStyle name="集計 3 6 4 2 5" xfId="33517"/>
    <cellStyle name="集計 3 6 4 2 5 2" xfId="33518"/>
    <cellStyle name="集計 3 6 4 2 5 2 2" xfId="33519"/>
    <cellStyle name="集計 3 6 4 2 5 2 3" xfId="33520"/>
    <cellStyle name="集計 3 6 4 2 5 3" xfId="33521"/>
    <cellStyle name="集計 3 6 4 2 5 3 2" xfId="33522"/>
    <cellStyle name="集計 3 6 4 2 5 3 3" xfId="33523"/>
    <cellStyle name="集計 3 6 4 2 5 4" xfId="33524"/>
    <cellStyle name="集計 3 6 4 2 5 4 2" xfId="33525"/>
    <cellStyle name="集計 3 6 4 2 5 4 3" xfId="33526"/>
    <cellStyle name="集計 3 6 4 2 5 5" xfId="33527"/>
    <cellStyle name="集計 3 6 4 2 5 6" xfId="33528"/>
    <cellStyle name="集計 3 6 4 2 6" xfId="33529"/>
    <cellStyle name="集計 3 6 4 2 6 2" xfId="33530"/>
    <cellStyle name="集計 3 6 4 2 6 3" xfId="33531"/>
    <cellStyle name="集計 3 6 4 2 7" xfId="33532"/>
    <cellStyle name="集計 3 6 4 2 7 2" xfId="33533"/>
    <cellStyle name="集計 3 6 4 2 7 3" xfId="33534"/>
    <cellStyle name="集計 3 6 4 2 8" xfId="33535"/>
    <cellStyle name="集計 3 6 4 2 8 2" xfId="33536"/>
    <cellStyle name="集計 3 6 4 2 8 3" xfId="33537"/>
    <cellStyle name="集計 3 6 4 2 9" xfId="33538"/>
    <cellStyle name="集計 3 6 4 3" xfId="33539"/>
    <cellStyle name="集計 3 6 4 3 2" xfId="33540"/>
    <cellStyle name="集計 3 6 4 3 2 2" xfId="33541"/>
    <cellStyle name="集計 3 6 4 3 2 2 2" xfId="33542"/>
    <cellStyle name="集計 3 6 4 3 2 2 3" xfId="33543"/>
    <cellStyle name="集計 3 6 4 3 2 3" xfId="33544"/>
    <cellStyle name="集計 3 6 4 3 2 3 2" xfId="33545"/>
    <cellStyle name="集計 3 6 4 3 2 3 3" xfId="33546"/>
    <cellStyle name="集計 3 6 4 3 2 4" xfId="33547"/>
    <cellStyle name="集計 3 6 4 3 2 4 2" xfId="33548"/>
    <cellStyle name="集計 3 6 4 3 2 4 3" xfId="33549"/>
    <cellStyle name="集計 3 6 4 3 2 5" xfId="33550"/>
    <cellStyle name="集計 3 6 4 3 2 6" xfId="33551"/>
    <cellStyle name="集計 3 6 4 3 3" xfId="33552"/>
    <cellStyle name="集計 3 6 4 3 3 2" xfId="33553"/>
    <cellStyle name="集計 3 6 4 3 3 3" xfId="33554"/>
    <cellStyle name="集計 3 6 4 3 4" xfId="33555"/>
    <cellStyle name="集計 3 6 4 3 4 2" xfId="33556"/>
    <cellStyle name="集計 3 6 4 3 4 3" xfId="33557"/>
    <cellStyle name="集計 3 6 4 3 5" xfId="33558"/>
    <cellStyle name="集計 3 6 4 3 5 2" xfId="33559"/>
    <cellStyle name="集計 3 6 4 3 5 3" xfId="33560"/>
    <cellStyle name="集計 3 6 4 3 6" xfId="33561"/>
    <cellStyle name="集計 3 6 4 3 7" xfId="33562"/>
    <cellStyle name="集計 3 6 4 4" xfId="33563"/>
    <cellStyle name="集計 3 6 4 4 2" xfId="33564"/>
    <cellStyle name="集計 3 6 4 4 2 2" xfId="33565"/>
    <cellStyle name="集計 3 6 4 4 2 2 2" xfId="33566"/>
    <cellStyle name="集計 3 6 4 4 2 2 3" xfId="33567"/>
    <cellStyle name="集計 3 6 4 4 2 3" xfId="33568"/>
    <cellStyle name="集計 3 6 4 4 2 3 2" xfId="33569"/>
    <cellStyle name="集計 3 6 4 4 2 3 3" xfId="33570"/>
    <cellStyle name="集計 3 6 4 4 2 4" xfId="33571"/>
    <cellStyle name="集計 3 6 4 4 2 4 2" xfId="33572"/>
    <cellStyle name="集計 3 6 4 4 2 4 3" xfId="33573"/>
    <cellStyle name="集計 3 6 4 4 2 5" xfId="33574"/>
    <cellStyle name="集計 3 6 4 4 2 6" xfId="33575"/>
    <cellStyle name="集計 3 6 4 4 3" xfId="33576"/>
    <cellStyle name="集計 3 6 4 4 3 2" xfId="33577"/>
    <cellStyle name="集計 3 6 4 4 3 3" xfId="33578"/>
    <cellStyle name="集計 3 6 4 4 4" xfId="33579"/>
    <cellStyle name="集計 3 6 4 4 4 2" xfId="33580"/>
    <cellStyle name="集計 3 6 4 4 4 3" xfId="33581"/>
    <cellStyle name="集計 3 6 4 4 5" xfId="33582"/>
    <cellStyle name="集計 3 6 4 4 5 2" xfId="33583"/>
    <cellStyle name="集計 3 6 4 4 5 3" xfId="33584"/>
    <cellStyle name="集計 3 6 4 4 6" xfId="33585"/>
    <cellStyle name="集計 3 6 4 4 7" xfId="33586"/>
    <cellStyle name="集計 3 6 4 5" xfId="33587"/>
    <cellStyle name="集計 3 6 4 5 2" xfId="33588"/>
    <cellStyle name="集計 3 6 4 5 2 2" xfId="33589"/>
    <cellStyle name="集計 3 6 4 5 2 3" xfId="33590"/>
    <cellStyle name="集計 3 6 4 5 3" xfId="33591"/>
    <cellStyle name="集計 3 6 4 5 3 2" xfId="33592"/>
    <cellStyle name="集計 3 6 4 5 3 3" xfId="33593"/>
    <cellStyle name="集計 3 6 4 5 4" xfId="33594"/>
    <cellStyle name="集計 3 6 4 5 4 2" xfId="33595"/>
    <cellStyle name="集計 3 6 4 5 4 3" xfId="33596"/>
    <cellStyle name="集計 3 6 4 5 5" xfId="33597"/>
    <cellStyle name="集計 3 6 4 5 6" xfId="33598"/>
    <cellStyle name="集計 3 6 4 6" xfId="33599"/>
    <cellStyle name="集計 3 6 4 6 2" xfId="33600"/>
    <cellStyle name="集計 3 6 4 6 3" xfId="33601"/>
    <cellStyle name="集計 3 6 4 7" xfId="33602"/>
    <cellStyle name="集計 3 6 4 7 2" xfId="33603"/>
    <cellStyle name="集計 3 6 4 7 3" xfId="33604"/>
    <cellStyle name="集計 3 6 4 8" xfId="33605"/>
    <cellStyle name="集計 3 6 4 8 2" xfId="33606"/>
    <cellStyle name="集計 3 6 4 8 3" xfId="33607"/>
    <cellStyle name="集計 3 6 4 9" xfId="33608"/>
    <cellStyle name="集計 3 6 5" xfId="33609"/>
    <cellStyle name="集計 3 6 5 10" xfId="33610"/>
    <cellStyle name="集計 3 6 5 2" xfId="33611"/>
    <cellStyle name="集計 3 6 5 2 2" xfId="33612"/>
    <cellStyle name="集計 3 6 5 2 2 2" xfId="33613"/>
    <cellStyle name="集計 3 6 5 2 2 2 2" xfId="33614"/>
    <cellStyle name="集計 3 6 5 2 2 2 2 2" xfId="33615"/>
    <cellStyle name="集計 3 6 5 2 2 2 2 3" xfId="33616"/>
    <cellStyle name="集計 3 6 5 2 2 2 3" xfId="33617"/>
    <cellStyle name="集計 3 6 5 2 2 2 3 2" xfId="33618"/>
    <cellStyle name="集計 3 6 5 2 2 2 3 3" xfId="33619"/>
    <cellStyle name="集計 3 6 5 2 2 2 4" xfId="33620"/>
    <cellStyle name="集計 3 6 5 2 2 2 4 2" xfId="33621"/>
    <cellStyle name="集計 3 6 5 2 2 2 4 3" xfId="33622"/>
    <cellStyle name="集計 3 6 5 2 2 2 5" xfId="33623"/>
    <cellStyle name="集計 3 6 5 2 2 2 6" xfId="33624"/>
    <cellStyle name="集計 3 6 5 2 2 3" xfId="33625"/>
    <cellStyle name="集計 3 6 5 2 2 3 2" xfId="33626"/>
    <cellStyle name="集計 3 6 5 2 2 3 3" xfId="33627"/>
    <cellStyle name="集計 3 6 5 2 2 4" xfId="33628"/>
    <cellStyle name="集計 3 6 5 2 2 4 2" xfId="33629"/>
    <cellStyle name="集計 3 6 5 2 2 4 3" xfId="33630"/>
    <cellStyle name="集計 3 6 5 2 2 5" xfId="33631"/>
    <cellStyle name="集計 3 6 5 2 2 5 2" xfId="33632"/>
    <cellStyle name="集計 3 6 5 2 2 5 3" xfId="33633"/>
    <cellStyle name="集計 3 6 5 2 2 6" xfId="33634"/>
    <cellStyle name="集計 3 6 5 2 2 7" xfId="33635"/>
    <cellStyle name="集計 3 6 5 2 3" xfId="33636"/>
    <cellStyle name="集計 3 6 5 2 3 2" xfId="33637"/>
    <cellStyle name="集計 3 6 5 2 3 2 2" xfId="33638"/>
    <cellStyle name="集計 3 6 5 2 3 2 2 2" xfId="33639"/>
    <cellStyle name="集計 3 6 5 2 3 2 2 3" xfId="33640"/>
    <cellStyle name="集計 3 6 5 2 3 2 3" xfId="33641"/>
    <cellStyle name="集計 3 6 5 2 3 2 3 2" xfId="33642"/>
    <cellStyle name="集計 3 6 5 2 3 2 3 3" xfId="33643"/>
    <cellStyle name="集計 3 6 5 2 3 2 4" xfId="33644"/>
    <cellStyle name="集計 3 6 5 2 3 2 4 2" xfId="33645"/>
    <cellStyle name="集計 3 6 5 2 3 2 4 3" xfId="33646"/>
    <cellStyle name="集計 3 6 5 2 3 2 5" xfId="33647"/>
    <cellStyle name="集計 3 6 5 2 3 2 6" xfId="33648"/>
    <cellStyle name="集計 3 6 5 2 3 3" xfId="33649"/>
    <cellStyle name="集計 3 6 5 2 3 3 2" xfId="33650"/>
    <cellStyle name="集計 3 6 5 2 3 3 3" xfId="33651"/>
    <cellStyle name="集計 3 6 5 2 3 4" xfId="33652"/>
    <cellStyle name="集計 3 6 5 2 3 4 2" xfId="33653"/>
    <cellStyle name="集計 3 6 5 2 3 4 3" xfId="33654"/>
    <cellStyle name="集計 3 6 5 2 3 5" xfId="33655"/>
    <cellStyle name="集計 3 6 5 2 3 5 2" xfId="33656"/>
    <cellStyle name="集計 3 6 5 2 3 5 3" xfId="33657"/>
    <cellStyle name="集計 3 6 5 2 3 6" xfId="33658"/>
    <cellStyle name="集計 3 6 5 2 3 7" xfId="33659"/>
    <cellStyle name="集計 3 6 5 2 4" xfId="33660"/>
    <cellStyle name="集計 3 6 5 2 4 2" xfId="33661"/>
    <cellStyle name="集計 3 6 5 2 4 2 2" xfId="33662"/>
    <cellStyle name="集計 3 6 5 2 4 2 3" xfId="33663"/>
    <cellStyle name="集計 3 6 5 2 4 3" xfId="33664"/>
    <cellStyle name="集計 3 6 5 2 4 3 2" xfId="33665"/>
    <cellStyle name="集計 3 6 5 2 4 3 3" xfId="33666"/>
    <cellStyle name="集計 3 6 5 2 4 4" xfId="33667"/>
    <cellStyle name="集計 3 6 5 2 4 4 2" xfId="33668"/>
    <cellStyle name="集計 3 6 5 2 4 4 3" xfId="33669"/>
    <cellStyle name="集計 3 6 5 2 4 5" xfId="33670"/>
    <cellStyle name="集計 3 6 5 2 4 6" xfId="33671"/>
    <cellStyle name="集計 3 6 5 2 5" xfId="33672"/>
    <cellStyle name="集計 3 6 5 2 5 2" xfId="33673"/>
    <cellStyle name="集計 3 6 5 2 5 3" xfId="33674"/>
    <cellStyle name="集計 3 6 5 2 6" xfId="33675"/>
    <cellStyle name="集計 3 6 5 2 6 2" xfId="33676"/>
    <cellStyle name="集計 3 6 5 2 6 3" xfId="33677"/>
    <cellStyle name="集計 3 6 5 2 7" xfId="33678"/>
    <cellStyle name="集計 3 6 5 2 7 2" xfId="33679"/>
    <cellStyle name="集計 3 6 5 2 7 3" xfId="33680"/>
    <cellStyle name="集計 3 6 5 2 8" xfId="33681"/>
    <cellStyle name="集計 3 6 5 2 9" xfId="33682"/>
    <cellStyle name="集計 3 6 5 3" xfId="33683"/>
    <cellStyle name="集計 3 6 5 3 2" xfId="33684"/>
    <cellStyle name="集計 3 6 5 3 2 2" xfId="33685"/>
    <cellStyle name="集計 3 6 5 3 2 2 2" xfId="33686"/>
    <cellStyle name="集計 3 6 5 3 2 2 3" xfId="33687"/>
    <cellStyle name="集計 3 6 5 3 2 3" xfId="33688"/>
    <cellStyle name="集計 3 6 5 3 2 3 2" xfId="33689"/>
    <cellStyle name="集計 3 6 5 3 2 3 3" xfId="33690"/>
    <cellStyle name="集計 3 6 5 3 2 4" xfId="33691"/>
    <cellStyle name="集計 3 6 5 3 2 4 2" xfId="33692"/>
    <cellStyle name="集計 3 6 5 3 2 4 3" xfId="33693"/>
    <cellStyle name="集計 3 6 5 3 2 5" xfId="33694"/>
    <cellStyle name="集計 3 6 5 3 2 6" xfId="33695"/>
    <cellStyle name="集計 3 6 5 3 3" xfId="33696"/>
    <cellStyle name="集計 3 6 5 3 3 2" xfId="33697"/>
    <cellStyle name="集計 3 6 5 3 3 3" xfId="33698"/>
    <cellStyle name="集計 3 6 5 3 4" xfId="33699"/>
    <cellStyle name="集計 3 6 5 3 4 2" xfId="33700"/>
    <cellStyle name="集計 3 6 5 3 4 3" xfId="33701"/>
    <cellStyle name="集計 3 6 5 3 5" xfId="33702"/>
    <cellStyle name="集計 3 6 5 3 5 2" xfId="33703"/>
    <cellStyle name="集計 3 6 5 3 5 3" xfId="33704"/>
    <cellStyle name="集計 3 6 5 3 6" xfId="33705"/>
    <cellStyle name="集計 3 6 5 3 7" xfId="33706"/>
    <cellStyle name="集計 3 6 5 4" xfId="33707"/>
    <cellStyle name="集計 3 6 5 4 2" xfId="33708"/>
    <cellStyle name="集計 3 6 5 4 2 2" xfId="33709"/>
    <cellStyle name="集計 3 6 5 4 2 2 2" xfId="33710"/>
    <cellStyle name="集計 3 6 5 4 2 2 3" xfId="33711"/>
    <cellStyle name="集計 3 6 5 4 2 3" xfId="33712"/>
    <cellStyle name="集計 3 6 5 4 2 3 2" xfId="33713"/>
    <cellStyle name="集計 3 6 5 4 2 3 3" xfId="33714"/>
    <cellStyle name="集計 3 6 5 4 2 4" xfId="33715"/>
    <cellStyle name="集計 3 6 5 4 2 4 2" xfId="33716"/>
    <cellStyle name="集計 3 6 5 4 2 4 3" xfId="33717"/>
    <cellStyle name="集計 3 6 5 4 2 5" xfId="33718"/>
    <cellStyle name="集計 3 6 5 4 2 6" xfId="33719"/>
    <cellStyle name="集計 3 6 5 4 3" xfId="33720"/>
    <cellStyle name="集計 3 6 5 4 3 2" xfId="33721"/>
    <cellStyle name="集計 3 6 5 4 3 3" xfId="33722"/>
    <cellStyle name="集計 3 6 5 4 4" xfId="33723"/>
    <cellStyle name="集計 3 6 5 4 4 2" xfId="33724"/>
    <cellStyle name="集計 3 6 5 4 4 3" xfId="33725"/>
    <cellStyle name="集計 3 6 5 4 5" xfId="33726"/>
    <cellStyle name="集計 3 6 5 4 5 2" xfId="33727"/>
    <cellStyle name="集計 3 6 5 4 5 3" xfId="33728"/>
    <cellStyle name="集計 3 6 5 4 6" xfId="33729"/>
    <cellStyle name="集計 3 6 5 4 7" xfId="33730"/>
    <cellStyle name="集計 3 6 5 5" xfId="33731"/>
    <cellStyle name="集計 3 6 5 5 2" xfId="33732"/>
    <cellStyle name="集計 3 6 5 5 2 2" xfId="33733"/>
    <cellStyle name="集計 3 6 5 5 2 3" xfId="33734"/>
    <cellStyle name="集計 3 6 5 5 3" xfId="33735"/>
    <cellStyle name="集計 3 6 5 5 3 2" xfId="33736"/>
    <cellStyle name="集計 3 6 5 5 3 3" xfId="33737"/>
    <cellStyle name="集計 3 6 5 5 4" xfId="33738"/>
    <cellStyle name="集計 3 6 5 5 4 2" xfId="33739"/>
    <cellStyle name="集計 3 6 5 5 4 3" xfId="33740"/>
    <cellStyle name="集計 3 6 5 5 5" xfId="33741"/>
    <cellStyle name="集計 3 6 5 5 6" xfId="33742"/>
    <cellStyle name="集計 3 6 5 6" xfId="33743"/>
    <cellStyle name="集計 3 6 5 6 2" xfId="33744"/>
    <cellStyle name="集計 3 6 5 6 3" xfId="33745"/>
    <cellStyle name="集計 3 6 5 7" xfId="33746"/>
    <cellStyle name="集計 3 6 5 7 2" xfId="33747"/>
    <cellStyle name="集計 3 6 5 7 3" xfId="33748"/>
    <cellStyle name="集計 3 6 5 8" xfId="33749"/>
    <cellStyle name="集計 3 6 5 8 2" xfId="33750"/>
    <cellStyle name="集計 3 6 5 8 3" xfId="33751"/>
    <cellStyle name="集計 3 6 5 9" xfId="33752"/>
    <cellStyle name="集計 3 6 6" xfId="33753"/>
    <cellStyle name="集計 3 6 6 10" xfId="33754"/>
    <cellStyle name="集計 3 6 6 2" xfId="33755"/>
    <cellStyle name="集計 3 6 6 2 2" xfId="33756"/>
    <cellStyle name="集計 3 6 6 2 2 2" xfId="33757"/>
    <cellStyle name="集計 3 6 6 2 2 2 2" xfId="33758"/>
    <cellStyle name="集計 3 6 6 2 2 2 2 2" xfId="33759"/>
    <cellStyle name="集計 3 6 6 2 2 2 2 3" xfId="33760"/>
    <cellStyle name="集計 3 6 6 2 2 2 3" xfId="33761"/>
    <cellStyle name="集計 3 6 6 2 2 2 3 2" xfId="33762"/>
    <cellStyle name="集計 3 6 6 2 2 2 3 3" xfId="33763"/>
    <cellStyle name="集計 3 6 6 2 2 2 4" xfId="33764"/>
    <cellStyle name="集計 3 6 6 2 2 2 4 2" xfId="33765"/>
    <cellStyle name="集計 3 6 6 2 2 2 4 3" xfId="33766"/>
    <cellStyle name="集計 3 6 6 2 2 2 5" xfId="33767"/>
    <cellStyle name="集計 3 6 6 2 2 2 6" xfId="33768"/>
    <cellStyle name="集計 3 6 6 2 2 3" xfId="33769"/>
    <cellStyle name="集計 3 6 6 2 2 3 2" xfId="33770"/>
    <cellStyle name="集計 3 6 6 2 2 3 3" xfId="33771"/>
    <cellStyle name="集計 3 6 6 2 2 4" xfId="33772"/>
    <cellStyle name="集計 3 6 6 2 2 4 2" xfId="33773"/>
    <cellStyle name="集計 3 6 6 2 2 4 3" xfId="33774"/>
    <cellStyle name="集計 3 6 6 2 2 5" xfId="33775"/>
    <cellStyle name="集計 3 6 6 2 2 5 2" xfId="33776"/>
    <cellStyle name="集計 3 6 6 2 2 5 3" xfId="33777"/>
    <cellStyle name="集計 3 6 6 2 2 6" xfId="33778"/>
    <cellStyle name="集計 3 6 6 2 2 7" xfId="33779"/>
    <cellStyle name="集計 3 6 6 2 3" xfId="33780"/>
    <cellStyle name="集計 3 6 6 2 3 2" xfId="33781"/>
    <cellStyle name="集計 3 6 6 2 3 2 2" xfId="33782"/>
    <cellStyle name="集計 3 6 6 2 3 2 2 2" xfId="33783"/>
    <cellStyle name="集計 3 6 6 2 3 2 2 3" xfId="33784"/>
    <cellStyle name="集計 3 6 6 2 3 2 3" xfId="33785"/>
    <cellStyle name="集計 3 6 6 2 3 2 3 2" xfId="33786"/>
    <cellStyle name="集計 3 6 6 2 3 2 3 3" xfId="33787"/>
    <cellStyle name="集計 3 6 6 2 3 2 4" xfId="33788"/>
    <cellStyle name="集計 3 6 6 2 3 2 4 2" xfId="33789"/>
    <cellStyle name="集計 3 6 6 2 3 2 4 3" xfId="33790"/>
    <cellStyle name="集計 3 6 6 2 3 2 5" xfId="33791"/>
    <cellStyle name="集計 3 6 6 2 3 2 6" xfId="33792"/>
    <cellStyle name="集計 3 6 6 2 3 3" xfId="33793"/>
    <cellStyle name="集計 3 6 6 2 3 3 2" xfId="33794"/>
    <cellStyle name="集計 3 6 6 2 3 3 3" xfId="33795"/>
    <cellStyle name="集計 3 6 6 2 3 4" xfId="33796"/>
    <cellStyle name="集計 3 6 6 2 3 4 2" xfId="33797"/>
    <cellStyle name="集計 3 6 6 2 3 4 3" xfId="33798"/>
    <cellStyle name="集計 3 6 6 2 3 5" xfId="33799"/>
    <cellStyle name="集計 3 6 6 2 3 5 2" xfId="33800"/>
    <cellStyle name="集計 3 6 6 2 3 5 3" xfId="33801"/>
    <cellStyle name="集計 3 6 6 2 3 6" xfId="33802"/>
    <cellStyle name="集計 3 6 6 2 3 7" xfId="33803"/>
    <cellStyle name="集計 3 6 6 2 4" xfId="33804"/>
    <cellStyle name="集計 3 6 6 2 4 2" xfId="33805"/>
    <cellStyle name="集計 3 6 6 2 4 2 2" xfId="33806"/>
    <cellStyle name="集計 3 6 6 2 4 2 3" xfId="33807"/>
    <cellStyle name="集計 3 6 6 2 4 3" xfId="33808"/>
    <cellStyle name="集計 3 6 6 2 4 3 2" xfId="33809"/>
    <cellStyle name="集計 3 6 6 2 4 3 3" xfId="33810"/>
    <cellStyle name="集計 3 6 6 2 4 4" xfId="33811"/>
    <cellStyle name="集計 3 6 6 2 4 4 2" xfId="33812"/>
    <cellStyle name="集計 3 6 6 2 4 4 3" xfId="33813"/>
    <cellStyle name="集計 3 6 6 2 4 5" xfId="33814"/>
    <cellStyle name="集計 3 6 6 2 4 6" xfId="33815"/>
    <cellStyle name="集計 3 6 6 2 5" xfId="33816"/>
    <cellStyle name="集計 3 6 6 2 5 2" xfId="33817"/>
    <cellStyle name="集計 3 6 6 2 5 3" xfId="33818"/>
    <cellStyle name="集計 3 6 6 2 6" xfId="33819"/>
    <cellStyle name="集計 3 6 6 2 6 2" xfId="33820"/>
    <cellStyle name="集計 3 6 6 2 6 3" xfId="33821"/>
    <cellStyle name="集計 3 6 6 2 7" xfId="33822"/>
    <cellStyle name="集計 3 6 6 2 7 2" xfId="33823"/>
    <cellStyle name="集計 3 6 6 2 7 3" xfId="33824"/>
    <cellStyle name="集計 3 6 6 2 8" xfId="33825"/>
    <cellStyle name="集計 3 6 6 2 9" xfId="33826"/>
    <cellStyle name="集計 3 6 6 3" xfId="33827"/>
    <cellStyle name="集計 3 6 6 3 2" xfId="33828"/>
    <cellStyle name="集計 3 6 6 3 2 2" xfId="33829"/>
    <cellStyle name="集計 3 6 6 3 2 2 2" xfId="33830"/>
    <cellStyle name="集計 3 6 6 3 2 2 3" xfId="33831"/>
    <cellStyle name="集計 3 6 6 3 2 3" xfId="33832"/>
    <cellStyle name="集計 3 6 6 3 2 3 2" xfId="33833"/>
    <cellStyle name="集計 3 6 6 3 2 3 3" xfId="33834"/>
    <cellStyle name="集計 3 6 6 3 2 4" xfId="33835"/>
    <cellStyle name="集計 3 6 6 3 2 4 2" xfId="33836"/>
    <cellStyle name="集計 3 6 6 3 2 4 3" xfId="33837"/>
    <cellStyle name="集計 3 6 6 3 2 5" xfId="33838"/>
    <cellStyle name="集計 3 6 6 3 2 6" xfId="33839"/>
    <cellStyle name="集計 3 6 6 3 3" xfId="33840"/>
    <cellStyle name="集計 3 6 6 3 3 2" xfId="33841"/>
    <cellStyle name="集計 3 6 6 3 3 3" xfId="33842"/>
    <cellStyle name="集計 3 6 6 3 4" xfId="33843"/>
    <cellStyle name="集計 3 6 6 3 4 2" xfId="33844"/>
    <cellStyle name="集計 3 6 6 3 4 3" xfId="33845"/>
    <cellStyle name="集計 3 6 6 3 5" xfId="33846"/>
    <cellStyle name="集計 3 6 6 3 5 2" xfId="33847"/>
    <cellStyle name="集計 3 6 6 3 5 3" xfId="33848"/>
    <cellStyle name="集計 3 6 6 3 6" xfId="33849"/>
    <cellStyle name="集計 3 6 6 3 7" xfId="33850"/>
    <cellStyle name="集計 3 6 6 4" xfId="33851"/>
    <cellStyle name="集計 3 6 6 4 2" xfId="33852"/>
    <cellStyle name="集計 3 6 6 4 2 2" xfId="33853"/>
    <cellStyle name="集計 3 6 6 4 2 2 2" xfId="33854"/>
    <cellStyle name="集計 3 6 6 4 2 2 3" xfId="33855"/>
    <cellStyle name="集計 3 6 6 4 2 3" xfId="33856"/>
    <cellStyle name="集計 3 6 6 4 2 3 2" xfId="33857"/>
    <cellStyle name="集計 3 6 6 4 2 3 3" xfId="33858"/>
    <cellStyle name="集計 3 6 6 4 2 4" xfId="33859"/>
    <cellStyle name="集計 3 6 6 4 2 4 2" xfId="33860"/>
    <cellStyle name="集計 3 6 6 4 2 4 3" xfId="33861"/>
    <cellStyle name="集計 3 6 6 4 2 5" xfId="33862"/>
    <cellStyle name="集計 3 6 6 4 2 6" xfId="33863"/>
    <cellStyle name="集計 3 6 6 4 3" xfId="33864"/>
    <cellStyle name="集計 3 6 6 4 3 2" xfId="33865"/>
    <cellStyle name="集計 3 6 6 4 3 3" xfId="33866"/>
    <cellStyle name="集計 3 6 6 4 4" xfId="33867"/>
    <cellStyle name="集計 3 6 6 4 4 2" xfId="33868"/>
    <cellStyle name="集計 3 6 6 4 4 3" xfId="33869"/>
    <cellStyle name="集計 3 6 6 4 5" xfId="33870"/>
    <cellStyle name="集計 3 6 6 4 5 2" xfId="33871"/>
    <cellStyle name="集計 3 6 6 4 5 3" xfId="33872"/>
    <cellStyle name="集計 3 6 6 4 6" xfId="33873"/>
    <cellStyle name="集計 3 6 6 4 7" xfId="33874"/>
    <cellStyle name="集計 3 6 6 5" xfId="33875"/>
    <cellStyle name="集計 3 6 6 5 2" xfId="33876"/>
    <cellStyle name="集計 3 6 6 5 2 2" xfId="33877"/>
    <cellStyle name="集計 3 6 6 5 2 3" xfId="33878"/>
    <cellStyle name="集計 3 6 6 5 3" xfId="33879"/>
    <cellStyle name="集計 3 6 6 5 3 2" xfId="33880"/>
    <cellStyle name="集計 3 6 6 5 3 3" xfId="33881"/>
    <cellStyle name="集計 3 6 6 5 4" xfId="33882"/>
    <cellStyle name="集計 3 6 6 5 4 2" xfId="33883"/>
    <cellStyle name="集計 3 6 6 5 4 3" xfId="33884"/>
    <cellStyle name="集計 3 6 6 5 5" xfId="33885"/>
    <cellStyle name="集計 3 6 6 5 6" xfId="33886"/>
    <cellStyle name="集計 3 6 6 6" xfId="33887"/>
    <cellStyle name="集計 3 6 6 6 2" xfId="33888"/>
    <cellStyle name="集計 3 6 6 6 3" xfId="33889"/>
    <cellStyle name="集計 3 6 6 7" xfId="33890"/>
    <cellStyle name="集計 3 6 6 7 2" xfId="33891"/>
    <cellStyle name="集計 3 6 6 7 3" xfId="33892"/>
    <cellStyle name="集計 3 6 6 8" xfId="33893"/>
    <cellStyle name="集計 3 6 6 8 2" xfId="33894"/>
    <cellStyle name="集計 3 6 6 8 3" xfId="33895"/>
    <cellStyle name="集計 3 6 6 9" xfId="33896"/>
    <cellStyle name="集計 3 6 7" xfId="33897"/>
    <cellStyle name="集計 3 6 7 2" xfId="33898"/>
    <cellStyle name="集計 3 6 7 2 2" xfId="33899"/>
    <cellStyle name="集計 3 6 7 2 2 2" xfId="33900"/>
    <cellStyle name="集計 3 6 7 2 2 3" xfId="33901"/>
    <cellStyle name="集計 3 6 7 2 3" xfId="33902"/>
    <cellStyle name="集計 3 6 7 2 3 2" xfId="33903"/>
    <cellStyle name="集計 3 6 7 2 3 3" xfId="33904"/>
    <cellStyle name="集計 3 6 7 2 4" xfId="33905"/>
    <cellStyle name="集計 3 6 7 2 4 2" xfId="33906"/>
    <cellStyle name="集計 3 6 7 2 4 3" xfId="33907"/>
    <cellStyle name="集計 3 6 7 2 5" xfId="33908"/>
    <cellStyle name="集計 3 6 7 2 6" xfId="33909"/>
    <cellStyle name="集計 3 6 7 3" xfId="33910"/>
    <cellStyle name="集計 3 6 7 3 2" xfId="33911"/>
    <cellStyle name="集計 3 6 7 3 3" xfId="33912"/>
    <cellStyle name="集計 3 6 7 4" xfId="33913"/>
    <cellStyle name="集計 3 6 7 4 2" xfId="33914"/>
    <cellStyle name="集計 3 6 7 4 3" xfId="33915"/>
    <cellStyle name="集計 3 6 7 5" xfId="33916"/>
    <cellStyle name="集計 3 6 7 5 2" xfId="33917"/>
    <cellStyle name="集計 3 6 7 5 3" xfId="33918"/>
    <cellStyle name="集計 3 6 7 6" xfId="33919"/>
    <cellStyle name="集計 3 6 7 7" xfId="33920"/>
    <cellStyle name="集計 3 6 8" xfId="33921"/>
    <cellStyle name="集計 3 6 8 2" xfId="33922"/>
    <cellStyle name="集計 3 6 8 2 2" xfId="33923"/>
    <cellStyle name="集計 3 6 8 2 2 2" xfId="33924"/>
    <cellStyle name="集計 3 6 8 2 2 3" xfId="33925"/>
    <cellStyle name="集計 3 6 8 2 3" xfId="33926"/>
    <cellStyle name="集計 3 6 8 2 3 2" xfId="33927"/>
    <cellStyle name="集計 3 6 8 2 3 3" xfId="33928"/>
    <cellStyle name="集計 3 6 8 2 4" xfId="33929"/>
    <cellStyle name="集計 3 6 8 2 4 2" xfId="33930"/>
    <cellStyle name="集計 3 6 8 2 4 3" xfId="33931"/>
    <cellStyle name="集計 3 6 8 2 5" xfId="33932"/>
    <cellStyle name="集計 3 6 8 2 6" xfId="33933"/>
    <cellStyle name="集計 3 6 8 3" xfId="33934"/>
    <cellStyle name="集計 3 6 8 3 2" xfId="33935"/>
    <cellStyle name="集計 3 6 8 3 3" xfId="33936"/>
    <cellStyle name="集計 3 6 8 4" xfId="33937"/>
    <cellStyle name="集計 3 6 8 4 2" xfId="33938"/>
    <cellStyle name="集計 3 6 8 4 3" xfId="33939"/>
    <cellStyle name="集計 3 6 8 5" xfId="33940"/>
    <cellStyle name="集計 3 6 8 5 2" xfId="33941"/>
    <cellStyle name="集計 3 6 8 5 3" xfId="33942"/>
    <cellStyle name="集計 3 6 8 6" xfId="33943"/>
    <cellStyle name="集計 3 6 8 7" xfId="33944"/>
    <cellStyle name="集計 3 6 9" xfId="33945"/>
    <cellStyle name="集計 3 6 9 2" xfId="33946"/>
    <cellStyle name="集計 3 6 9 2 2" xfId="33947"/>
    <cellStyle name="集計 3 6 9 2 3" xfId="33948"/>
    <cellStyle name="集計 3 6 9 3" xfId="33949"/>
    <cellStyle name="集計 3 6 9 3 2" xfId="33950"/>
    <cellStyle name="集計 3 6 9 3 3" xfId="33951"/>
    <cellStyle name="集計 3 6 9 4" xfId="33952"/>
    <cellStyle name="集計 3 6 9 4 2" xfId="33953"/>
    <cellStyle name="集計 3 6 9 4 3" xfId="33954"/>
    <cellStyle name="集計 3 6 9 5" xfId="33955"/>
    <cellStyle name="集計 3 6 9 6" xfId="33956"/>
    <cellStyle name="集計 3 7" xfId="33957"/>
    <cellStyle name="集計 3 7 10" xfId="33958"/>
    <cellStyle name="集計 3 7 10 2" xfId="33959"/>
    <cellStyle name="集計 3 7 10 3" xfId="33960"/>
    <cellStyle name="集計 3 7 11" xfId="33961"/>
    <cellStyle name="集計 3 7 11 2" xfId="33962"/>
    <cellStyle name="集計 3 7 11 3" xfId="33963"/>
    <cellStyle name="集計 3 7 12" xfId="33964"/>
    <cellStyle name="集計 3 7 12 2" xfId="33965"/>
    <cellStyle name="集計 3 7 12 3" xfId="33966"/>
    <cellStyle name="集計 3 7 13" xfId="33967"/>
    <cellStyle name="集計 3 7 14" xfId="33968"/>
    <cellStyle name="集計 3 7 2" xfId="33969"/>
    <cellStyle name="集計 3 7 2 10" xfId="33970"/>
    <cellStyle name="集計 3 7 2 2" xfId="33971"/>
    <cellStyle name="集計 3 7 2 2 10" xfId="33972"/>
    <cellStyle name="集計 3 7 2 2 2" xfId="33973"/>
    <cellStyle name="集計 3 7 2 2 2 2" xfId="33974"/>
    <cellStyle name="集計 3 7 2 2 2 2 2" xfId="33975"/>
    <cellStyle name="集計 3 7 2 2 2 2 2 2" xfId="33976"/>
    <cellStyle name="集計 3 7 2 2 2 2 2 2 2" xfId="33977"/>
    <cellStyle name="集計 3 7 2 2 2 2 2 2 3" xfId="33978"/>
    <cellStyle name="集計 3 7 2 2 2 2 2 3" xfId="33979"/>
    <cellStyle name="集計 3 7 2 2 2 2 2 3 2" xfId="33980"/>
    <cellStyle name="集計 3 7 2 2 2 2 2 3 3" xfId="33981"/>
    <cellStyle name="集計 3 7 2 2 2 2 2 4" xfId="33982"/>
    <cellStyle name="集計 3 7 2 2 2 2 2 4 2" xfId="33983"/>
    <cellStyle name="集計 3 7 2 2 2 2 2 4 3" xfId="33984"/>
    <cellStyle name="集計 3 7 2 2 2 2 2 5" xfId="33985"/>
    <cellStyle name="集計 3 7 2 2 2 2 2 6" xfId="33986"/>
    <cellStyle name="集計 3 7 2 2 2 2 3" xfId="33987"/>
    <cellStyle name="集計 3 7 2 2 2 2 3 2" xfId="33988"/>
    <cellStyle name="集計 3 7 2 2 2 2 3 3" xfId="33989"/>
    <cellStyle name="集計 3 7 2 2 2 2 4" xfId="33990"/>
    <cellStyle name="集計 3 7 2 2 2 2 4 2" xfId="33991"/>
    <cellStyle name="集計 3 7 2 2 2 2 4 3" xfId="33992"/>
    <cellStyle name="集計 3 7 2 2 2 2 5" xfId="33993"/>
    <cellStyle name="集計 3 7 2 2 2 2 5 2" xfId="33994"/>
    <cellStyle name="集計 3 7 2 2 2 2 5 3" xfId="33995"/>
    <cellStyle name="集計 3 7 2 2 2 2 6" xfId="33996"/>
    <cellStyle name="集計 3 7 2 2 2 2 7" xfId="33997"/>
    <cellStyle name="集計 3 7 2 2 2 3" xfId="33998"/>
    <cellStyle name="集計 3 7 2 2 2 3 2" xfId="33999"/>
    <cellStyle name="集計 3 7 2 2 2 3 2 2" xfId="34000"/>
    <cellStyle name="集計 3 7 2 2 2 3 2 2 2" xfId="34001"/>
    <cellStyle name="集計 3 7 2 2 2 3 2 2 3" xfId="34002"/>
    <cellStyle name="集計 3 7 2 2 2 3 2 3" xfId="34003"/>
    <cellStyle name="集計 3 7 2 2 2 3 2 3 2" xfId="34004"/>
    <cellStyle name="集計 3 7 2 2 2 3 2 3 3" xfId="34005"/>
    <cellStyle name="集計 3 7 2 2 2 3 2 4" xfId="34006"/>
    <cellStyle name="集計 3 7 2 2 2 3 2 4 2" xfId="34007"/>
    <cellStyle name="集計 3 7 2 2 2 3 2 4 3" xfId="34008"/>
    <cellStyle name="集計 3 7 2 2 2 3 2 5" xfId="34009"/>
    <cellStyle name="集計 3 7 2 2 2 3 2 6" xfId="34010"/>
    <cellStyle name="集計 3 7 2 2 2 3 3" xfId="34011"/>
    <cellStyle name="集計 3 7 2 2 2 3 3 2" xfId="34012"/>
    <cellStyle name="集計 3 7 2 2 2 3 3 3" xfId="34013"/>
    <cellStyle name="集計 3 7 2 2 2 3 4" xfId="34014"/>
    <cellStyle name="集計 3 7 2 2 2 3 4 2" xfId="34015"/>
    <cellStyle name="集計 3 7 2 2 2 3 4 3" xfId="34016"/>
    <cellStyle name="集計 3 7 2 2 2 3 5" xfId="34017"/>
    <cellStyle name="集計 3 7 2 2 2 3 5 2" xfId="34018"/>
    <cellStyle name="集計 3 7 2 2 2 3 5 3" xfId="34019"/>
    <cellStyle name="集計 3 7 2 2 2 3 6" xfId="34020"/>
    <cellStyle name="集計 3 7 2 2 2 3 7" xfId="34021"/>
    <cellStyle name="集計 3 7 2 2 2 4" xfId="34022"/>
    <cellStyle name="集計 3 7 2 2 2 4 2" xfId="34023"/>
    <cellStyle name="集計 3 7 2 2 2 4 2 2" xfId="34024"/>
    <cellStyle name="集計 3 7 2 2 2 4 2 3" xfId="34025"/>
    <cellStyle name="集計 3 7 2 2 2 4 3" xfId="34026"/>
    <cellStyle name="集計 3 7 2 2 2 4 3 2" xfId="34027"/>
    <cellStyle name="集計 3 7 2 2 2 4 3 3" xfId="34028"/>
    <cellStyle name="集計 3 7 2 2 2 4 4" xfId="34029"/>
    <cellStyle name="集計 3 7 2 2 2 4 4 2" xfId="34030"/>
    <cellStyle name="集計 3 7 2 2 2 4 4 3" xfId="34031"/>
    <cellStyle name="集計 3 7 2 2 2 4 5" xfId="34032"/>
    <cellStyle name="集計 3 7 2 2 2 4 6" xfId="34033"/>
    <cellStyle name="集計 3 7 2 2 2 5" xfId="34034"/>
    <cellStyle name="集計 3 7 2 2 2 5 2" xfId="34035"/>
    <cellStyle name="集計 3 7 2 2 2 5 3" xfId="34036"/>
    <cellStyle name="集計 3 7 2 2 2 6" xfId="34037"/>
    <cellStyle name="集計 3 7 2 2 2 6 2" xfId="34038"/>
    <cellStyle name="集計 3 7 2 2 2 6 3" xfId="34039"/>
    <cellStyle name="集計 3 7 2 2 2 7" xfId="34040"/>
    <cellStyle name="集計 3 7 2 2 2 7 2" xfId="34041"/>
    <cellStyle name="集計 3 7 2 2 2 7 3" xfId="34042"/>
    <cellStyle name="集計 3 7 2 2 2 8" xfId="34043"/>
    <cellStyle name="集計 3 7 2 2 2 9" xfId="34044"/>
    <cellStyle name="集計 3 7 2 2 3" xfId="34045"/>
    <cellStyle name="集計 3 7 2 2 3 2" xfId="34046"/>
    <cellStyle name="集計 3 7 2 2 3 2 2" xfId="34047"/>
    <cellStyle name="集計 3 7 2 2 3 2 2 2" xfId="34048"/>
    <cellStyle name="集計 3 7 2 2 3 2 2 3" xfId="34049"/>
    <cellStyle name="集計 3 7 2 2 3 2 3" xfId="34050"/>
    <cellStyle name="集計 3 7 2 2 3 2 3 2" xfId="34051"/>
    <cellStyle name="集計 3 7 2 2 3 2 3 3" xfId="34052"/>
    <cellStyle name="集計 3 7 2 2 3 2 4" xfId="34053"/>
    <cellStyle name="集計 3 7 2 2 3 2 4 2" xfId="34054"/>
    <cellStyle name="集計 3 7 2 2 3 2 4 3" xfId="34055"/>
    <cellStyle name="集計 3 7 2 2 3 2 5" xfId="34056"/>
    <cellStyle name="集計 3 7 2 2 3 2 6" xfId="34057"/>
    <cellStyle name="集計 3 7 2 2 3 3" xfId="34058"/>
    <cellStyle name="集計 3 7 2 2 3 3 2" xfId="34059"/>
    <cellStyle name="集計 3 7 2 2 3 3 3" xfId="34060"/>
    <cellStyle name="集計 3 7 2 2 3 4" xfId="34061"/>
    <cellStyle name="集計 3 7 2 2 3 4 2" xfId="34062"/>
    <cellStyle name="集計 3 7 2 2 3 4 3" xfId="34063"/>
    <cellStyle name="集計 3 7 2 2 3 5" xfId="34064"/>
    <cellStyle name="集計 3 7 2 2 3 5 2" xfId="34065"/>
    <cellStyle name="集計 3 7 2 2 3 5 3" xfId="34066"/>
    <cellStyle name="集計 3 7 2 2 3 6" xfId="34067"/>
    <cellStyle name="集計 3 7 2 2 3 7" xfId="34068"/>
    <cellStyle name="集計 3 7 2 2 4" xfId="34069"/>
    <cellStyle name="集計 3 7 2 2 4 2" xfId="34070"/>
    <cellStyle name="集計 3 7 2 2 4 2 2" xfId="34071"/>
    <cellStyle name="集計 3 7 2 2 4 2 2 2" xfId="34072"/>
    <cellStyle name="集計 3 7 2 2 4 2 2 3" xfId="34073"/>
    <cellStyle name="集計 3 7 2 2 4 2 3" xfId="34074"/>
    <cellStyle name="集計 3 7 2 2 4 2 3 2" xfId="34075"/>
    <cellStyle name="集計 3 7 2 2 4 2 3 3" xfId="34076"/>
    <cellStyle name="集計 3 7 2 2 4 2 4" xfId="34077"/>
    <cellStyle name="集計 3 7 2 2 4 2 4 2" xfId="34078"/>
    <cellStyle name="集計 3 7 2 2 4 2 4 3" xfId="34079"/>
    <cellStyle name="集計 3 7 2 2 4 2 5" xfId="34080"/>
    <cellStyle name="集計 3 7 2 2 4 2 6" xfId="34081"/>
    <cellStyle name="集計 3 7 2 2 4 3" xfId="34082"/>
    <cellStyle name="集計 3 7 2 2 4 3 2" xfId="34083"/>
    <cellStyle name="集計 3 7 2 2 4 3 3" xfId="34084"/>
    <cellStyle name="集計 3 7 2 2 4 4" xfId="34085"/>
    <cellStyle name="集計 3 7 2 2 4 4 2" xfId="34086"/>
    <cellStyle name="集計 3 7 2 2 4 4 3" xfId="34087"/>
    <cellStyle name="集計 3 7 2 2 4 5" xfId="34088"/>
    <cellStyle name="集計 3 7 2 2 4 5 2" xfId="34089"/>
    <cellStyle name="集計 3 7 2 2 4 5 3" xfId="34090"/>
    <cellStyle name="集計 3 7 2 2 4 6" xfId="34091"/>
    <cellStyle name="集計 3 7 2 2 4 7" xfId="34092"/>
    <cellStyle name="集計 3 7 2 2 5" xfId="34093"/>
    <cellStyle name="集計 3 7 2 2 5 2" xfId="34094"/>
    <cellStyle name="集計 3 7 2 2 5 2 2" xfId="34095"/>
    <cellStyle name="集計 3 7 2 2 5 2 3" xfId="34096"/>
    <cellStyle name="集計 3 7 2 2 5 3" xfId="34097"/>
    <cellStyle name="集計 3 7 2 2 5 3 2" xfId="34098"/>
    <cellStyle name="集計 3 7 2 2 5 3 3" xfId="34099"/>
    <cellStyle name="集計 3 7 2 2 5 4" xfId="34100"/>
    <cellStyle name="集計 3 7 2 2 5 4 2" xfId="34101"/>
    <cellStyle name="集計 3 7 2 2 5 4 3" xfId="34102"/>
    <cellStyle name="集計 3 7 2 2 5 5" xfId="34103"/>
    <cellStyle name="集計 3 7 2 2 5 6" xfId="34104"/>
    <cellStyle name="集計 3 7 2 2 6" xfId="34105"/>
    <cellStyle name="集計 3 7 2 2 6 2" xfId="34106"/>
    <cellStyle name="集計 3 7 2 2 6 3" xfId="34107"/>
    <cellStyle name="集計 3 7 2 2 7" xfId="34108"/>
    <cellStyle name="集計 3 7 2 2 7 2" xfId="34109"/>
    <cellStyle name="集計 3 7 2 2 7 3" xfId="34110"/>
    <cellStyle name="集計 3 7 2 2 8" xfId="34111"/>
    <cellStyle name="集計 3 7 2 2 8 2" xfId="34112"/>
    <cellStyle name="集計 3 7 2 2 8 3" xfId="34113"/>
    <cellStyle name="集計 3 7 2 2 9" xfId="34114"/>
    <cellStyle name="集計 3 7 2 3" xfId="34115"/>
    <cellStyle name="集計 3 7 2 3 2" xfId="34116"/>
    <cellStyle name="集計 3 7 2 3 2 2" xfId="34117"/>
    <cellStyle name="集計 3 7 2 3 2 2 2" xfId="34118"/>
    <cellStyle name="集計 3 7 2 3 2 2 3" xfId="34119"/>
    <cellStyle name="集計 3 7 2 3 2 3" xfId="34120"/>
    <cellStyle name="集計 3 7 2 3 2 3 2" xfId="34121"/>
    <cellStyle name="集計 3 7 2 3 2 3 3" xfId="34122"/>
    <cellStyle name="集計 3 7 2 3 2 4" xfId="34123"/>
    <cellStyle name="集計 3 7 2 3 2 4 2" xfId="34124"/>
    <cellStyle name="集計 3 7 2 3 2 4 3" xfId="34125"/>
    <cellStyle name="集計 3 7 2 3 2 5" xfId="34126"/>
    <cellStyle name="集計 3 7 2 3 2 6" xfId="34127"/>
    <cellStyle name="集計 3 7 2 3 3" xfId="34128"/>
    <cellStyle name="集計 3 7 2 3 3 2" xfId="34129"/>
    <cellStyle name="集計 3 7 2 3 3 3" xfId="34130"/>
    <cellStyle name="集計 3 7 2 3 4" xfId="34131"/>
    <cellStyle name="集計 3 7 2 3 4 2" xfId="34132"/>
    <cellStyle name="集計 3 7 2 3 4 3" xfId="34133"/>
    <cellStyle name="集計 3 7 2 3 5" xfId="34134"/>
    <cellStyle name="集計 3 7 2 3 5 2" xfId="34135"/>
    <cellStyle name="集計 3 7 2 3 5 3" xfId="34136"/>
    <cellStyle name="集計 3 7 2 3 6" xfId="34137"/>
    <cellStyle name="集計 3 7 2 3 7" xfId="34138"/>
    <cellStyle name="集計 3 7 2 4" xfId="34139"/>
    <cellStyle name="集計 3 7 2 4 2" xfId="34140"/>
    <cellStyle name="集計 3 7 2 4 2 2" xfId="34141"/>
    <cellStyle name="集計 3 7 2 4 2 2 2" xfId="34142"/>
    <cellStyle name="集計 3 7 2 4 2 2 3" xfId="34143"/>
    <cellStyle name="集計 3 7 2 4 2 3" xfId="34144"/>
    <cellStyle name="集計 3 7 2 4 2 3 2" xfId="34145"/>
    <cellStyle name="集計 3 7 2 4 2 3 3" xfId="34146"/>
    <cellStyle name="集計 3 7 2 4 2 4" xfId="34147"/>
    <cellStyle name="集計 3 7 2 4 2 4 2" xfId="34148"/>
    <cellStyle name="集計 3 7 2 4 2 4 3" xfId="34149"/>
    <cellStyle name="集計 3 7 2 4 2 5" xfId="34150"/>
    <cellStyle name="集計 3 7 2 4 2 6" xfId="34151"/>
    <cellStyle name="集計 3 7 2 4 3" xfId="34152"/>
    <cellStyle name="集計 3 7 2 4 3 2" xfId="34153"/>
    <cellStyle name="集計 3 7 2 4 3 3" xfId="34154"/>
    <cellStyle name="集計 3 7 2 4 4" xfId="34155"/>
    <cellStyle name="集計 3 7 2 4 4 2" xfId="34156"/>
    <cellStyle name="集計 3 7 2 4 4 3" xfId="34157"/>
    <cellStyle name="集計 3 7 2 4 5" xfId="34158"/>
    <cellStyle name="集計 3 7 2 4 5 2" xfId="34159"/>
    <cellStyle name="集計 3 7 2 4 5 3" xfId="34160"/>
    <cellStyle name="集計 3 7 2 4 6" xfId="34161"/>
    <cellStyle name="集計 3 7 2 4 7" xfId="34162"/>
    <cellStyle name="集計 3 7 2 5" xfId="34163"/>
    <cellStyle name="集計 3 7 2 5 2" xfId="34164"/>
    <cellStyle name="集計 3 7 2 5 2 2" xfId="34165"/>
    <cellStyle name="集計 3 7 2 5 2 3" xfId="34166"/>
    <cellStyle name="集計 3 7 2 5 3" xfId="34167"/>
    <cellStyle name="集計 3 7 2 5 3 2" xfId="34168"/>
    <cellStyle name="集計 3 7 2 5 3 3" xfId="34169"/>
    <cellStyle name="集計 3 7 2 5 4" xfId="34170"/>
    <cellStyle name="集計 3 7 2 5 4 2" xfId="34171"/>
    <cellStyle name="集計 3 7 2 5 4 3" xfId="34172"/>
    <cellStyle name="集計 3 7 2 5 5" xfId="34173"/>
    <cellStyle name="集計 3 7 2 5 6" xfId="34174"/>
    <cellStyle name="集計 3 7 2 6" xfId="34175"/>
    <cellStyle name="集計 3 7 2 6 2" xfId="34176"/>
    <cellStyle name="集計 3 7 2 6 3" xfId="34177"/>
    <cellStyle name="集計 3 7 2 7" xfId="34178"/>
    <cellStyle name="集計 3 7 2 7 2" xfId="34179"/>
    <cellStyle name="集計 3 7 2 7 3" xfId="34180"/>
    <cellStyle name="集計 3 7 2 8" xfId="34181"/>
    <cellStyle name="集計 3 7 2 8 2" xfId="34182"/>
    <cellStyle name="集計 3 7 2 8 3" xfId="34183"/>
    <cellStyle name="集計 3 7 2 9" xfId="34184"/>
    <cellStyle name="集計 3 7 3" xfId="34185"/>
    <cellStyle name="集計 3 7 3 10" xfId="34186"/>
    <cellStyle name="集計 3 7 3 2" xfId="34187"/>
    <cellStyle name="集計 3 7 3 2 10" xfId="34188"/>
    <cellStyle name="集計 3 7 3 2 2" xfId="34189"/>
    <cellStyle name="集計 3 7 3 2 2 2" xfId="34190"/>
    <cellStyle name="集計 3 7 3 2 2 2 2" xfId="34191"/>
    <cellStyle name="集計 3 7 3 2 2 2 2 2" xfId="34192"/>
    <cellStyle name="集計 3 7 3 2 2 2 2 2 2" xfId="34193"/>
    <cellStyle name="集計 3 7 3 2 2 2 2 2 3" xfId="34194"/>
    <cellStyle name="集計 3 7 3 2 2 2 2 3" xfId="34195"/>
    <cellStyle name="集計 3 7 3 2 2 2 2 3 2" xfId="34196"/>
    <cellStyle name="集計 3 7 3 2 2 2 2 3 3" xfId="34197"/>
    <cellStyle name="集計 3 7 3 2 2 2 2 4" xfId="34198"/>
    <cellStyle name="集計 3 7 3 2 2 2 2 4 2" xfId="34199"/>
    <cellStyle name="集計 3 7 3 2 2 2 2 4 3" xfId="34200"/>
    <cellStyle name="集計 3 7 3 2 2 2 2 5" xfId="34201"/>
    <cellStyle name="集計 3 7 3 2 2 2 2 6" xfId="34202"/>
    <cellStyle name="集計 3 7 3 2 2 2 3" xfId="34203"/>
    <cellStyle name="集計 3 7 3 2 2 2 3 2" xfId="34204"/>
    <cellStyle name="集計 3 7 3 2 2 2 3 3" xfId="34205"/>
    <cellStyle name="集計 3 7 3 2 2 2 4" xfId="34206"/>
    <cellStyle name="集計 3 7 3 2 2 2 4 2" xfId="34207"/>
    <cellStyle name="集計 3 7 3 2 2 2 4 3" xfId="34208"/>
    <cellStyle name="集計 3 7 3 2 2 2 5" xfId="34209"/>
    <cellStyle name="集計 3 7 3 2 2 2 5 2" xfId="34210"/>
    <cellStyle name="集計 3 7 3 2 2 2 5 3" xfId="34211"/>
    <cellStyle name="集計 3 7 3 2 2 2 6" xfId="34212"/>
    <cellStyle name="集計 3 7 3 2 2 2 7" xfId="34213"/>
    <cellStyle name="集計 3 7 3 2 2 3" xfId="34214"/>
    <cellStyle name="集計 3 7 3 2 2 3 2" xfId="34215"/>
    <cellStyle name="集計 3 7 3 2 2 3 2 2" xfId="34216"/>
    <cellStyle name="集計 3 7 3 2 2 3 2 2 2" xfId="34217"/>
    <cellStyle name="集計 3 7 3 2 2 3 2 2 3" xfId="34218"/>
    <cellStyle name="集計 3 7 3 2 2 3 2 3" xfId="34219"/>
    <cellStyle name="集計 3 7 3 2 2 3 2 3 2" xfId="34220"/>
    <cellStyle name="集計 3 7 3 2 2 3 2 3 3" xfId="34221"/>
    <cellStyle name="集計 3 7 3 2 2 3 2 4" xfId="34222"/>
    <cellStyle name="集計 3 7 3 2 2 3 2 4 2" xfId="34223"/>
    <cellStyle name="集計 3 7 3 2 2 3 2 4 3" xfId="34224"/>
    <cellStyle name="集計 3 7 3 2 2 3 2 5" xfId="34225"/>
    <cellStyle name="集計 3 7 3 2 2 3 2 6" xfId="34226"/>
    <cellStyle name="集計 3 7 3 2 2 3 3" xfId="34227"/>
    <cellStyle name="集計 3 7 3 2 2 3 3 2" xfId="34228"/>
    <cellStyle name="集計 3 7 3 2 2 3 3 3" xfId="34229"/>
    <cellStyle name="集計 3 7 3 2 2 3 4" xfId="34230"/>
    <cellStyle name="集計 3 7 3 2 2 3 4 2" xfId="34231"/>
    <cellStyle name="集計 3 7 3 2 2 3 4 3" xfId="34232"/>
    <cellStyle name="集計 3 7 3 2 2 3 5" xfId="34233"/>
    <cellStyle name="集計 3 7 3 2 2 3 5 2" xfId="34234"/>
    <cellStyle name="集計 3 7 3 2 2 3 5 3" xfId="34235"/>
    <cellStyle name="集計 3 7 3 2 2 3 6" xfId="34236"/>
    <cellStyle name="集計 3 7 3 2 2 3 7" xfId="34237"/>
    <cellStyle name="集計 3 7 3 2 2 4" xfId="34238"/>
    <cellStyle name="集計 3 7 3 2 2 4 2" xfId="34239"/>
    <cellStyle name="集計 3 7 3 2 2 4 2 2" xfId="34240"/>
    <cellStyle name="集計 3 7 3 2 2 4 2 3" xfId="34241"/>
    <cellStyle name="集計 3 7 3 2 2 4 3" xfId="34242"/>
    <cellStyle name="集計 3 7 3 2 2 4 3 2" xfId="34243"/>
    <cellStyle name="集計 3 7 3 2 2 4 3 3" xfId="34244"/>
    <cellStyle name="集計 3 7 3 2 2 4 4" xfId="34245"/>
    <cellStyle name="集計 3 7 3 2 2 4 4 2" xfId="34246"/>
    <cellStyle name="集計 3 7 3 2 2 4 4 3" xfId="34247"/>
    <cellStyle name="集計 3 7 3 2 2 4 5" xfId="34248"/>
    <cellStyle name="集計 3 7 3 2 2 4 6" xfId="34249"/>
    <cellStyle name="集計 3 7 3 2 2 5" xfId="34250"/>
    <cellStyle name="集計 3 7 3 2 2 5 2" xfId="34251"/>
    <cellStyle name="集計 3 7 3 2 2 5 3" xfId="34252"/>
    <cellStyle name="集計 3 7 3 2 2 6" xfId="34253"/>
    <cellStyle name="集計 3 7 3 2 2 6 2" xfId="34254"/>
    <cellStyle name="集計 3 7 3 2 2 6 3" xfId="34255"/>
    <cellStyle name="集計 3 7 3 2 2 7" xfId="34256"/>
    <cellStyle name="集計 3 7 3 2 2 7 2" xfId="34257"/>
    <cellStyle name="集計 3 7 3 2 2 7 3" xfId="34258"/>
    <cellStyle name="集計 3 7 3 2 2 8" xfId="34259"/>
    <cellStyle name="集計 3 7 3 2 2 9" xfId="34260"/>
    <cellStyle name="集計 3 7 3 2 3" xfId="34261"/>
    <cellStyle name="集計 3 7 3 2 3 2" xfId="34262"/>
    <cellStyle name="集計 3 7 3 2 3 2 2" xfId="34263"/>
    <cellStyle name="集計 3 7 3 2 3 2 2 2" xfId="34264"/>
    <cellStyle name="集計 3 7 3 2 3 2 2 3" xfId="34265"/>
    <cellStyle name="集計 3 7 3 2 3 2 3" xfId="34266"/>
    <cellStyle name="集計 3 7 3 2 3 2 3 2" xfId="34267"/>
    <cellStyle name="集計 3 7 3 2 3 2 3 3" xfId="34268"/>
    <cellStyle name="集計 3 7 3 2 3 2 4" xfId="34269"/>
    <cellStyle name="集計 3 7 3 2 3 2 4 2" xfId="34270"/>
    <cellStyle name="集計 3 7 3 2 3 2 4 3" xfId="34271"/>
    <cellStyle name="集計 3 7 3 2 3 2 5" xfId="34272"/>
    <cellStyle name="集計 3 7 3 2 3 2 6" xfId="34273"/>
    <cellStyle name="集計 3 7 3 2 3 3" xfId="34274"/>
    <cellStyle name="集計 3 7 3 2 3 3 2" xfId="34275"/>
    <cellStyle name="集計 3 7 3 2 3 3 3" xfId="34276"/>
    <cellStyle name="集計 3 7 3 2 3 4" xfId="34277"/>
    <cellStyle name="集計 3 7 3 2 3 4 2" xfId="34278"/>
    <cellStyle name="集計 3 7 3 2 3 4 3" xfId="34279"/>
    <cellStyle name="集計 3 7 3 2 3 5" xfId="34280"/>
    <cellStyle name="集計 3 7 3 2 3 5 2" xfId="34281"/>
    <cellStyle name="集計 3 7 3 2 3 5 3" xfId="34282"/>
    <cellStyle name="集計 3 7 3 2 3 6" xfId="34283"/>
    <cellStyle name="集計 3 7 3 2 3 7" xfId="34284"/>
    <cellStyle name="集計 3 7 3 2 4" xfId="34285"/>
    <cellStyle name="集計 3 7 3 2 4 2" xfId="34286"/>
    <cellStyle name="集計 3 7 3 2 4 2 2" xfId="34287"/>
    <cellStyle name="集計 3 7 3 2 4 2 2 2" xfId="34288"/>
    <cellStyle name="集計 3 7 3 2 4 2 2 3" xfId="34289"/>
    <cellStyle name="集計 3 7 3 2 4 2 3" xfId="34290"/>
    <cellStyle name="集計 3 7 3 2 4 2 3 2" xfId="34291"/>
    <cellStyle name="集計 3 7 3 2 4 2 3 3" xfId="34292"/>
    <cellStyle name="集計 3 7 3 2 4 2 4" xfId="34293"/>
    <cellStyle name="集計 3 7 3 2 4 2 4 2" xfId="34294"/>
    <cellStyle name="集計 3 7 3 2 4 2 4 3" xfId="34295"/>
    <cellStyle name="集計 3 7 3 2 4 2 5" xfId="34296"/>
    <cellStyle name="集計 3 7 3 2 4 2 6" xfId="34297"/>
    <cellStyle name="集計 3 7 3 2 4 3" xfId="34298"/>
    <cellStyle name="集計 3 7 3 2 4 3 2" xfId="34299"/>
    <cellStyle name="集計 3 7 3 2 4 3 3" xfId="34300"/>
    <cellStyle name="集計 3 7 3 2 4 4" xfId="34301"/>
    <cellStyle name="集計 3 7 3 2 4 4 2" xfId="34302"/>
    <cellStyle name="集計 3 7 3 2 4 4 3" xfId="34303"/>
    <cellStyle name="集計 3 7 3 2 4 5" xfId="34304"/>
    <cellStyle name="集計 3 7 3 2 4 5 2" xfId="34305"/>
    <cellStyle name="集計 3 7 3 2 4 5 3" xfId="34306"/>
    <cellStyle name="集計 3 7 3 2 4 6" xfId="34307"/>
    <cellStyle name="集計 3 7 3 2 4 7" xfId="34308"/>
    <cellStyle name="集計 3 7 3 2 5" xfId="34309"/>
    <cellStyle name="集計 3 7 3 2 5 2" xfId="34310"/>
    <cellStyle name="集計 3 7 3 2 5 2 2" xfId="34311"/>
    <cellStyle name="集計 3 7 3 2 5 2 3" xfId="34312"/>
    <cellStyle name="集計 3 7 3 2 5 3" xfId="34313"/>
    <cellStyle name="集計 3 7 3 2 5 3 2" xfId="34314"/>
    <cellStyle name="集計 3 7 3 2 5 3 3" xfId="34315"/>
    <cellStyle name="集計 3 7 3 2 5 4" xfId="34316"/>
    <cellStyle name="集計 3 7 3 2 5 4 2" xfId="34317"/>
    <cellStyle name="集計 3 7 3 2 5 4 3" xfId="34318"/>
    <cellStyle name="集計 3 7 3 2 5 5" xfId="34319"/>
    <cellStyle name="集計 3 7 3 2 5 6" xfId="34320"/>
    <cellStyle name="集計 3 7 3 2 6" xfId="34321"/>
    <cellStyle name="集計 3 7 3 2 6 2" xfId="34322"/>
    <cellStyle name="集計 3 7 3 2 6 3" xfId="34323"/>
    <cellStyle name="集計 3 7 3 2 7" xfId="34324"/>
    <cellStyle name="集計 3 7 3 2 7 2" xfId="34325"/>
    <cellStyle name="集計 3 7 3 2 7 3" xfId="34326"/>
    <cellStyle name="集計 3 7 3 2 8" xfId="34327"/>
    <cellStyle name="集計 3 7 3 2 8 2" xfId="34328"/>
    <cellStyle name="集計 3 7 3 2 8 3" xfId="34329"/>
    <cellStyle name="集計 3 7 3 2 9" xfId="34330"/>
    <cellStyle name="集計 3 7 3 3" xfId="34331"/>
    <cellStyle name="集計 3 7 3 3 2" xfId="34332"/>
    <cellStyle name="集計 3 7 3 3 2 2" xfId="34333"/>
    <cellStyle name="集計 3 7 3 3 2 2 2" xfId="34334"/>
    <cellStyle name="集計 3 7 3 3 2 2 3" xfId="34335"/>
    <cellStyle name="集計 3 7 3 3 2 3" xfId="34336"/>
    <cellStyle name="集計 3 7 3 3 2 3 2" xfId="34337"/>
    <cellStyle name="集計 3 7 3 3 2 3 3" xfId="34338"/>
    <cellStyle name="集計 3 7 3 3 2 4" xfId="34339"/>
    <cellStyle name="集計 3 7 3 3 2 4 2" xfId="34340"/>
    <cellStyle name="集計 3 7 3 3 2 4 3" xfId="34341"/>
    <cellStyle name="集計 3 7 3 3 2 5" xfId="34342"/>
    <cellStyle name="集計 3 7 3 3 2 6" xfId="34343"/>
    <cellStyle name="集計 3 7 3 3 3" xfId="34344"/>
    <cellStyle name="集計 3 7 3 3 3 2" xfId="34345"/>
    <cellStyle name="集計 3 7 3 3 3 3" xfId="34346"/>
    <cellStyle name="集計 3 7 3 3 4" xfId="34347"/>
    <cellStyle name="集計 3 7 3 3 4 2" xfId="34348"/>
    <cellStyle name="集計 3 7 3 3 4 3" xfId="34349"/>
    <cellStyle name="集計 3 7 3 3 5" xfId="34350"/>
    <cellStyle name="集計 3 7 3 3 5 2" xfId="34351"/>
    <cellStyle name="集計 3 7 3 3 5 3" xfId="34352"/>
    <cellStyle name="集計 3 7 3 3 6" xfId="34353"/>
    <cellStyle name="集計 3 7 3 3 7" xfId="34354"/>
    <cellStyle name="集計 3 7 3 4" xfId="34355"/>
    <cellStyle name="集計 3 7 3 4 2" xfId="34356"/>
    <cellStyle name="集計 3 7 3 4 2 2" xfId="34357"/>
    <cellStyle name="集計 3 7 3 4 2 2 2" xfId="34358"/>
    <cellStyle name="集計 3 7 3 4 2 2 3" xfId="34359"/>
    <cellStyle name="集計 3 7 3 4 2 3" xfId="34360"/>
    <cellStyle name="集計 3 7 3 4 2 3 2" xfId="34361"/>
    <cellStyle name="集計 3 7 3 4 2 3 3" xfId="34362"/>
    <cellStyle name="集計 3 7 3 4 2 4" xfId="34363"/>
    <cellStyle name="集計 3 7 3 4 2 4 2" xfId="34364"/>
    <cellStyle name="集計 3 7 3 4 2 4 3" xfId="34365"/>
    <cellStyle name="集計 3 7 3 4 2 5" xfId="34366"/>
    <cellStyle name="集計 3 7 3 4 2 6" xfId="34367"/>
    <cellStyle name="集計 3 7 3 4 3" xfId="34368"/>
    <cellStyle name="集計 3 7 3 4 3 2" xfId="34369"/>
    <cellStyle name="集計 3 7 3 4 3 3" xfId="34370"/>
    <cellStyle name="集計 3 7 3 4 4" xfId="34371"/>
    <cellStyle name="集計 3 7 3 4 4 2" xfId="34372"/>
    <cellStyle name="集計 3 7 3 4 4 3" xfId="34373"/>
    <cellStyle name="集計 3 7 3 4 5" xfId="34374"/>
    <cellStyle name="集計 3 7 3 4 5 2" xfId="34375"/>
    <cellStyle name="集計 3 7 3 4 5 3" xfId="34376"/>
    <cellStyle name="集計 3 7 3 4 6" xfId="34377"/>
    <cellStyle name="集計 3 7 3 4 7" xfId="34378"/>
    <cellStyle name="集計 3 7 3 5" xfId="34379"/>
    <cellStyle name="集計 3 7 3 5 2" xfId="34380"/>
    <cellStyle name="集計 3 7 3 5 2 2" xfId="34381"/>
    <cellStyle name="集計 3 7 3 5 2 3" xfId="34382"/>
    <cellStyle name="集計 3 7 3 5 3" xfId="34383"/>
    <cellStyle name="集計 3 7 3 5 3 2" xfId="34384"/>
    <cellStyle name="集計 3 7 3 5 3 3" xfId="34385"/>
    <cellStyle name="集計 3 7 3 5 4" xfId="34386"/>
    <cellStyle name="集計 3 7 3 5 4 2" xfId="34387"/>
    <cellStyle name="集計 3 7 3 5 4 3" xfId="34388"/>
    <cellStyle name="集計 3 7 3 5 5" xfId="34389"/>
    <cellStyle name="集計 3 7 3 5 6" xfId="34390"/>
    <cellStyle name="集計 3 7 3 6" xfId="34391"/>
    <cellStyle name="集計 3 7 3 6 2" xfId="34392"/>
    <cellStyle name="集計 3 7 3 6 3" xfId="34393"/>
    <cellStyle name="集計 3 7 3 7" xfId="34394"/>
    <cellStyle name="集計 3 7 3 7 2" xfId="34395"/>
    <cellStyle name="集計 3 7 3 7 3" xfId="34396"/>
    <cellStyle name="集計 3 7 3 8" xfId="34397"/>
    <cellStyle name="集計 3 7 3 8 2" xfId="34398"/>
    <cellStyle name="集計 3 7 3 8 3" xfId="34399"/>
    <cellStyle name="集計 3 7 3 9" xfId="34400"/>
    <cellStyle name="集計 3 7 4" xfId="34401"/>
    <cellStyle name="集計 3 7 4 10" xfId="34402"/>
    <cellStyle name="集計 3 7 4 2" xfId="34403"/>
    <cellStyle name="集計 3 7 4 2 10" xfId="34404"/>
    <cellStyle name="集計 3 7 4 2 2" xfId="34405"/>
    <cellStyle name="集計 3 7 4 2 2 2" xfId="34406"/>
    <cellStyle name="集計 3 7 4 2 2 2 2" xfId="34407"/>
    <cellStyle name="集計 3 7 4 2 2 2 2 2" xfId="34408"/>
    <cellStyle name="集計 3 7 4 2 2 2 2 2 2" xfId="34409"/>
    <cellStyle name="集計 3 7 4 2 2 2 2 2 3" xfId="34410"/>
    <cellStyle name="集計 3 7 4 2 2 2 2 3" xfId="34411"/>
    <cellStyle name="集計 3 7 4 2 2 2 2 3 2" xfId="34412"/>
    <cellStyle name="集計 3 7 4 2 2 2 2 3 3" xfId="34413"/>
    <cellStyle name="集計 3 7 4 2 2 2 2 4" xfId="34414"/>
    <cellStyle name="集計 3 7 4 2 2 2 2 4 2" xfId="34415"/>
    <cellStyle name="集計 3 7 4 2 2 2 2 4 3" xfId="34416"/>
    <cellStyle name="集計 3 7 4 2 2 2 2 5" xfId="34417"/>
    <cellStyle name="集計 3 7 4 2 2 2 2 6" xfId="34418"/>
    <cellStyle name="集計 3 7 4 2 2 2 3" xfId="34419"/>
    <cellStyle name="集計 3 7 4 2 2 2 3 2" xfId="34420"/>
    <cellStyle name="集計 3 7 4 2 2 2 3 3" xfId="34421"/>
    <cellStyle name="集計 3 7 4 2 2 2 4" xfId="34422"/>
    <cellStyle name="集計 3 7 4 2 2 2 4 2" xfId="34423"/>
    <cellStyle name="集計 3 7 4 2 2 2 4 3" xfId="34424"/>
    <cellStyle name="集計 3 7 4 2 2 2 5" xfId="34425"/>
    <cellStyle name="集計 3 7 4 2 2 2 5 2" xfId="34426"/>
    <cellStyle name="集計 3 7 4 2 2 2 5 3" xfId="34427"/>
    <cellStyle name="集計 3 7 4 2 2 2 6" xfId="34428"/>
    <cellStyle name="集計 3 7 4 2 2 2 7" xfId="34429"/>
    <cellStyle name="集計 3 7 4 2 2 3" xfId="34430"/>
    <cellStyle name="集計 3 7 4 2 2 3 2" xfId="34431"/>
    <cellStyle name="集計 3 7 4 2 2 3 2 2" xfId="34432"/>
    <cellStyle name="集計 3 7 4 2 2 3 2 2 2" xfId="34433"/>
    <cellStyle name="集計 3 7 4 2 2 3 2 2 3" xfId="34434"/>
    <cellStyle name="集計 3 7 4 2 2 3 2 3" xfId="34435"/>
    <cellStyle name="集計 3 7 4 2 2 3 2 3 2" xfId="34436"/>
    <cellStyle name="集計 3 7 4 2 2 3 2 3 3" xfId="34437"/>
    <cellStyle name="集計 3 7 4 2 2 3 2 4" xfId="34438"/>
    <cellStyle name="集計 3 7 4 2 2 3 2 4 2" xfId="34439"/>
    <cellStyle name="集計 3 7 4 2 2 3 2 4 3" xfId="34440"/>
    <cellStyle name="集計 3 7 4 2 2 3 2 5" xfId="34441"/>
    <cellStyle name="集計 3 7 4 2 2 3 2 6" xfId="34442"/>
    <cellStyle name="集計 3 7 4 2 2 3 3" xfId="34443"/>
    <cellStyle name="集計 3 7 4 2 2 3 3 2" xfId="34444"/>
    <cellStyle name="集計 3 7 4 2 2 3 3 3" xfId="34445"/>
    <cellStyle name="集計 3 7 4 2 2 3 4" xfId="34446"/>
    <cellStyle name="集計 3 7 4 2 2 3 4 2" xfId="34447"/>
    <cellStyle name="集計 3 7 4 2 2 3 4 3" xfId="34448"/>
    <cellStyle name="集計 3 7 4 2 2 3 5" xfId="34449"/>
    <cellStyle name="集計 3 7 4 2 2 3 5 2" xfId="34450"/>
    <cellStyle name="集計 3 7 4 2 2 3 5 3" xfId="34451"/>
    <cellStyle name="集計 3 7 4 2 2 3 6" xfId="34452"/>
    <cellStyle name="集計 3 7 4 2 2 3 7" xfId="34453"/>
    <cellStyle name="集計 3 7 4 2 2 4" xfId="34454"/>
    <cellStyle name="集計 3 7 4 2 2 4 2" xfId="34455"/>
    <cellStyle name="集計 3 7 4 2 2 4 2 2" xfId="34456"/>
    <cellStyle name="集計 3 7 4 2 2 4 2 3" xfId="34457"/>
    <cellStyle name="集計 3 7 4 2 2 4 3" xfId="34458"/>
    <cellStyle name="集計 3 7 4 2 2 4 3 2" xfId="34459"/>
    <cellStyle name="集計 3 7 4 2 2 4 3 3" xfId="34460"/>
    <cellStyle name="集計 3 7 4 2 2 4 4" xfId="34461"/>
    <cellStyle name="集計 3 7 4 2 2 4 4 2" xfId="34462"/>
    <cellStyle name="集計 3 7 4 2 2 4 4 3" xfId="34463"/>
    <cellStyle name="集計 3 7 4 2 2 4 5" xfId="34464"/>
    <cellStyle name="集計 3 7 4 2 2 4 6" xfId="34465"/>
    <cellStyle name="集計 3 7 4 2 2 5" xfId="34466"/>
    <cellStyle name="集計 3 7 4 2 2 5 2" xfId="34467"/>
    <cellStyle name="集計 3 7 4 2 2 5 3" xfId="34468"/>
    <cellStyle name="集計 3 7 4 2 2 6" xfId="34469"/>
    <cellStyle name="集計 3 7 4 2 2 6 2" xfId="34470"/>
    <cellStyle name="集計 3 7 4 2 2 6 3" xfId="34471"/>
    <cellStyle name="集計 3 7 4 2 2 7" xfId="34472"/>
    <cellStyle name="集計 3 7 4 2 2 7 2" xfId="34473"/>
    <cellStyle name="集計 3 7 4 2 2 7 3" xfId="34474"/>
    <cellStyle name="集計 3 7 4 2 2 8" xfId="34475"/>
    <cellStyle name="集計 3 7 4 2 2 9" xfId="34476"/>
    <cellStyle name="集計 3 7 4 2 3" xfId="34477"/>
    <cellStyle name="集計 3 7 4 2 3 2" xfId="34478"/>
    <cellStyle name="集計 3 7 4 2 3 2 2" xfId="34479"/>
    <cellStyle name="集計 3 7 4 2 3 2 2 2" xfId="34480"/>
    <cellStyle name="集計 3 7 4 2 3 2 2 3" xfId="34481"/>
    <cellStyle name="集計 3 7 4 2 3 2 3" xfId="34482"/>
    <cellStyle name="集計 3 7 4 2 3 2 3 2" xfId="34483"/>
    <cellStyle name="集計 3 7 4 2 3 2 3 3" xfId="34484"/>
    <cellStyle name="集計 3 7 4 2 3 2 4" xfId="34485"/>
    <cellStyle name="集計 3 7 4 2 3 2 4 2" xfId="34486"/>
    <cellStyle name="集計 3 7 4 2 3 2 4 3" xfId="34487"/>
    <cellStyle name="集計 3 7 4 2 3 2 5" xfId="34488"/>
    <cellStyle name="集計 3 7 4 2 3 2 6" xfId="34489"/>
    <cellStyle name="集計 3 7 4 2 3 3" xfId="34490"/>
    <cellStyle name="集計 3 7 4 2 3 3 2" xfId="34491"/>
    <cellStyle name="集計 3 7 4 2 3 3 3" xfId="34492"/>
    <cellStyle name="集計 3 7 4 2 3 4" xfId="34493"/>
    <cellStyle name="集計 3 7 4 2 3 4 2" xfId="34494"/>
    <cellStyle name="集計 3 7 4 2 3 4 3" xfId="34495"/>
    <cellStyle name="集計 3 7 4 2 3 5" xfId="34496"/>
    <cellStyle name="集計 3 7 4 2 3 5 2" xfId="34497"/>
    <cellStyle name="集計 3 7 4 2 3 5 3" xfId="34498"/>
    <cellStyle name="集計 3 7 4 2 3 6" xfId="34499"/>
    <cellStyle name="集計 3 7 4 2 3 7" xfId="34500"/>
    <cellStyle name="集計 3 7 4 2 4" xfId="34501"/>
    <cellStyle name="集計 3 7 4 2 4 2" xfId="34502"/>
    <cellStyle name="集計 3 7 4 2 4 2 2" xfId="34503"/>
    <cellStyle name="集計 3 7 4 2 4 2 2 2" xfId="34504"/>
    <cellStyle name="集計 3 7 4 2 4 2 2 3" xfId="34505"/>
    <cellStyle name="集計 3 7 4 2 4 2 3" xfId="34506"/>
    <cellStyle name="集計 3 7 4 2 4 2 3 2" xfId="34507"/>
    <cellStyle name="集計 3 7 4 2 4 2 3 3" xfId="34508"/>
    <cellStyle name="集計 3 7 4 2 4 2 4" xfId="34509"/>
    <cellStyle name="集計 3 7 4 2 4 2 4 2" xfId="34510"/>
    <cellStyle name="集計 3 7 4 2 4 2 4 3" xfId="34511"/>
    <cellStyle name="集計 3 7 4 2 4 2 5" xfId="34512"/>
    <cellStyle name="集計 3 7 4 2 4 2 6" xfId="34513"/>
    <cellStyle name="集計 3 7 4 2 4 3" xfId="34514"/>
    <cellStyle name="集計 3 7 4 2 4 3 2" xfId="34515"/>
    <cellStyle name="集計 3 7 4 2 4 3 3" xfId="34516"/>
    <cellStyle name="集計 3 7 4 2 4 4" xfId="34517"/>
    <cellStyle name="集計 3 7 4 2 4 4 2" xfId="34518"/>
    <cellStyle name="集計 3 7 4 2 4 4 3" xfId="34519"/>
    <cellStyle name="集計 3 7 4 2 4 5" xfId="34520"/>
    <cellStyle name="集計 3 7 4 2 4 5 2" xfId="34521"/>
    <cellStyle name="集計 3 7 4 2 4 5 3" xfId="34522"/>
    <cellStyle name="集計 3 7 4 2 4 6" xfId="34523"/>
    <cellStyle name="集計 3 7 4 2 4 7" xfId="34524"/>
    <cellStyle name="集計 3 7 4 2 5" xfId="34525"/>
    <cellStyle name="集計 3 7 4 2 5 2" xfId="34526"/>
    <cellStyle name="集計 3 7 4 2 5 2 2" xfId="34527"/>
    <cellStyle name="集計 3 7 4 2 5 2 3" xfId="34528"/>
    <cellStyle name="集計 3 7 4 2 5 3" xfId="34529"/>
    <cellStyle name="集計 3 7 4 2 5 3 2" xfId="34530"/>
    <cellStyle name="集計 3 7 4 2 5 3 3" xfId="34531"/>
    <cellStyle name="集計 3 7 4 2 5 4" xfId="34532"/>
    <cellStyle name="集計 3 7 4 2 5 4 2" xfId="34533"/>
    <cellStyle name="集計 3 7 4 2 5 4 3" xfId="34534"/>
    <cellStyle name="集計 3 7 4 2 5 5" xfId="34535"/>
    <cellStyle name="集計 3 7 4 2 5 6" xfId="34536"/>
    <cellStyle name="集計 3 7 4 2 6" xfId="34537"/>
    <cellStyle name="集計 3 7 4 2 6 2" xfId="34538"/>
    <cellStyle name="集計 3 7 4 2 6 3" xfId="34539"/>
    <cellStyle name="集計 3 7 4 2 7" xfId="34540"/>
    <cellStyle name="集計 3 7 4 2 7 2" xfId="34541"/>
    <cellStyle name="集計 3 7 4 2 7 3" xfId="34542"/>
    <cellStyle name="集計 3 7 4 2 8" xfId="34543"/>
    <cellStyle name="集計 3 7 4 2 8 2" xfId="34544"/>
    <cellStyle name="集計 3 7 4 2 8 3" xfId="34545"/>
    <cellStyle name="集計 3 7 4 2 9" xfId="34546"/>
    <cellStyle name="集計 3 7 4 3" xfId="34547"/>
    <cellStyle name="集計 3 7 4 3 2" xfId="34548"/>
    <cellStyle name="集計 3 7 4 3 2 2" xfId="34549"/>
    <cellStyle name="集計 3 7 4 3 2 2 2" xfId="34550"/>
    <cellStyle name="集計 3 7 4 3 2 2 3" xfId="34551"/>
    <cellStyle name="集計 3 7 4 3 2 3" xfId="34552"/>
    <cellStyle name="集計 3 7 4 3 2 3 2" xfId="34553"/>
    <cellStyle name="集計 3 7 4 3 2 3 3" xfId="34554"/>
    <cellStyle name="集計 3 7 4 3 2 4" xfId="34555"/>
    <cellStyle name="集計 3 7 4 3 2 4 2" xfId="34556"/>
    <cellStyle name="集計 3 7 4 3 2 4 3" xfId="34557"/>
    <cellStyle name="集計 3 7 4 3 2 5" xfId="34558"/>
    <cellStyle name="集計 3 7 4 3 2 6" xfId="34559"/>
    <cellStyle name="集計 3 7 4 3 3" xfId="34560"/>
    <cellStyle name="集計 3 7 4 3 3 2" xfId="34561"/>
    <cellStyle name="集計 3 7 4 3 3 3" xfId="34562"/>
    <cellStyle name="集計 3 7 4 3 4" xfId="34563"/>
    <cellStyle name="集計 3 7 4 3 4 2" xfId="34564"/>
    <cellStyle name="集計 3 7 4 3 4 3" xfId="34565"/>
    <cellStyle name="集計 3 7 4 3 5" xfId="34566"/>
    <cellStyle name="集計 3 7 4 3 5 2" xfId="34567"/>
    <cellStyle name="集計 3 7 4 3 5 3" xfId="34568"/>
    <cellStyle name="集計 3 7 4 3 6" xfId="34569"/>
    <cellStyle name="集計 3 7 4 3 7" xfId="34570"/>
    <cellStyle name="集計 3 7 4 4" xfId="34571"/>
    <cellStyle name="集計 3 7 4 4 2" xfId="34572"/>
    <cellStyle name="集計 3 7 4 4 2 2" xfId="34573"/>
    <cellStyle name="集計 3 7 4 4 2 2 2" xfId="34574"/>
    <cellStyle name="集計 3 7 4 4 2 2 3" xfId="34575"/>
    <cellStyle name="集計 3 7 4 4 2 3" xfId="34576"/>
    <cellStyle name="集計 3 7 4 4 2 3 2" xfId="34577"/>
    <cellStyle name="集計 3 7 4 4 2 3 3" xfId="34578"/>
    <cellStyle name="集計 3 7 4 4 2 4" xfId="34579"/>
    <cellStyle name="集計 3 7 4 4 2 4 2" xfId="34580"/>
    <cellStyle name="集計 3 7 4 4 2 4 3" xfId="34581"/>
    <cellStyle name="集計 3 7 4 4 2 5" xfId="34582"/>
    <cellStyle name="集計 3 7 4 4 2 6" xfId="34583"/>
    <cellStyle name="集計 3 7 4 4 3" xfId="34584"/>
    <cellStyle name="集計 3 7 4 4 3 2" xfId="34585"/>
    <cellStyle name="集計 3 7 4 4 3 3" xfId="34586"/>
    <cellStyle name="集計 3 7 4 4 4" xfId="34587"/>
    <cellStyle name="集計 3 7 4 4 4 2" xfId="34588"/>
    <cellStyle name="集計 3 7 4 4 4 3" xfId="34589"/>
    <cellStyle name="集計 3 7 4 4 5" xfId="34590"/>
    <cellStyle name="集計 3 7 4 4 5 2" xfId="34591"/>
    <cellStyle name="集計 3 7 4 4 5 3" xfId="34592"/>
    <cellStyle name="集計 3 7 4 4 6" xfId="34593"/>
    <cellStyle name="集計 3 7 4 4 7" xfId="34594"/>
    <cellStyle name="集計 3 7 4 5" xfId="34595"/>
    <cellStyle name="集計 3 7 4 5 2" xfId="34596"/>
    <cellStyle name="集計 3 7 4 5 2 2" xfId="34597"/>
    <cellStyle name="集計 3 7 4 5 2 3" xfId="34598"/>
    <cellStyle name="集計 3 7 4 5 3" xfId="34599"/>
    <cellStyle name="集計 3 7 4 5 3 2" xfId="34600"/>
    <cellStyle name="集計 3 7 4 5 3 3" xfId="34601"/>
    <cellStyle name="集計 3 7 4 5 4" xfId="34602"/>
    <cellStyle name="集計 3 7 4 5 4 2" xfId="34603"/>
    <cellStyle name="集計 3 7 4 5 4 3" xfId="34604"/>
    <cellStyle name="集計 3 7 4 5 5" xfId="34605"/>
    <cellStyle name="集計 3 7 4 5 6" xfId="34606"/>
    <cellStyle name="集計 3 7 4 6" xfId="34607"/>
    <cellStyle name="集計 3 7 4 6 2" xfId="34608"/>
    <cellStyle name="集計 3 7 4 6 3" xfId="34609"/>
    <cellStyle name="集計 3 7 4 7" xfId="34610"/>
    <cellStyle name="集計 3 7 4 7 2" xfId="34611"/>
    <cellStyle name="集計 3 7 4 7 3" xfId="34612"/>
    <cellStyle name="集計 3 7 4 8" xfId="34613"/>
    <cellStyle name="集計 3 7 4 8 2" xfId="34614"/>
    <cellStyle name="集計 3 7 4 8 3" xfId="34615"/>
    <cellStyle name="集計 3 7 4 9" xfId="34616"/>
    <cellStyle name="集計 3 7 5" xfId="34617"/>
    <cellStyle name="集計 3 7 5 10" xfId="34618"/>
    <cellStyle name="集計 3 7 5 2" xfId="34619"/>
    <cellStyle name="集計 3 7 5 2 2" xfId="34620"/>
    <cellStyle name="集計 3 7 5 2 2 2" xfId="34621"/>
    <cellStyle name="集計 3 7 5 2 2 2 2" xfId="34622"/>
    <cellStyle name="集計 3 7 5 2 2 2 2 2" xfId="34623"/>
    <cellStyle name="集計 3 7 5 2 2 2 2 3" xfId="34624"/>
    <cellStyle name="集計 3 7 5 2 2 2 3" xfId="34625"/>
    <cellStyle name="集計 3 7 5 2 2 2 3 2" xfId="34626"/>
    <cellStyle name="集計 3 7 5 2 2 2 3 3" xfId="34627"/>
    <cellStyle name="集計 3 7 5 2 2 2 4" xfId="34628"/>
    <cellStyle name="集計 3 7 5 2 2 2 4 2" xfId="34629"/>
    <cellStyle name="集計 3 7 5 2 2 2 4 3" xfId="34630"/>
    <cellStyle name="集計 3 7 5 2 2 2 5" xfId="34631"/>
    <cellStyle name="集計 3 7 5 2 2 2 6" xfId="34632"/>
    <cellStyle name="集計 3 7 5 2 2 3" xfId="34633"/>
    <cellStyle name="集計 3 7 5 2 2 3 2" xfId="34634"/>
    <cellStyle name="集計 3 7 5 2 2 3 3" xfId="34635"/>
    <cellStyle name="集計 3 7 5 2 2 4" xfId="34636"/>
    <cellStyle name="集計 3 7 5 2 2 4 2" xfId="34637"/>
    <cellStyle name="集計 3 7 5 2 2 4 3" xfId="34638"/>
    <cellStyle name="集計 3 7 5 2 2 5" xfId="34639"/>
    <cellStyle name="集計 3 7 5 2 2 5 2" xfId="34640"/>
    <cellStyle name="集計 3 7 5 2 2 5 3" xfId="34641"/>
    <cellStyle name="集計 3 7 5 2 2 6" xfId="34642"/>
    <cellStyle name="集計 3 7 5 2 2 7" xfId="34643"/>
    <cellStyle name="集計 3 7 5 2 3" xfId="34644"/>
    <cellStyle name="集計 3 7 5 2 3 2" xfId="34645"/>
    <cellStyle name="集計 3 7 5 2 3 2 2" xfId="34646"/>
    <cellStyle name="集計 3 7 5 2 3 2 2 2" xfId="34647"/>
    <cellStyle name="集計 3 7 5 2 3 2 2 3" xfId="34648"/>
    <cellStyle name="集計 3 7 5 2 3 2 3" xfId="34649"/>
    <cellStyle name="集計 3 7 5 2 3 2 3 2" xfId="34650"/>
    <cellStyle name="集計 3 7 5 2 3 2 3 3" xfId="34651"/>
    <cellStyle name="集計 3 7 5 2 3 2 4" xfId="34652"/>
    <cellStyle name="集計 3 7 5 2 3 2 4 2" xfId="34653"/>
    <cellStyle name="集計 3 7 5 2 3 2 4 3" xfId="34654"/>
    <cellStyle name="集計 3 7 5 2 3 2 5" xfId="34655"/>
    <cellStyle name="集計 3 7 5 2 3 2 6" xfId="34656"/>
    <cellStyle name="集計 3 7 5 2 3 3" xfId="34657"/>
    <cellStyle name="集計 3 7 5 2 3 3 2" xfId="34658"/>
    <cellStyle name="集計 3 7 5 2 3 3 3" xfId="34659"/>
    <cellStyle name="集計 3 7 5 2 3 4" xfId="34660"/>
    <cellStyle name="集計 3 7 5 2 3 4 2" xfId="34661"/>
    <cellStyle name="集計 3 7 5 2 3 4 3" xfId="34662"/>
    <cellStyle name="集計 3 7 5 2 3 5" xfId="34663"/>
    <cellStyle name="集計 3 7 5 2 3 5 2" xfId="34664"/>
    <cellStyle name="集計 3 7 5 2 3 5 3" xfId="34665"/>
    <cellStyle name="集計 3 7 5 2 3 6" xfId="34666"/>
    <cellStyle name="集計 3 7 5 2 3 7" xfId="34667"/>
    <cellStyle name="集計 3 7 5 2 4" xfId="34668"/>
    <cellStyle name="集計 3 7 5 2 4 2" xfId="34669"/>
    <cellStyle name="集計 3 7 5 2 4 2 2" xfId="34670"/>
    <cellStyle name="集計 3 7 5 2 4 2 3" xfId="34671"/>
    <cellStyle name="集計 3 7 5 2 4 3" xfId="34672"/>
    <cellStyle name="集計 3 7 5 2 4 3 2" xfId="34673"/>
    <cellStyle name="集計 3 7 5 2 4 3 3" xfId="34674"/>
    <cellStyle name="集計 3 7 5 2 4 4" xfId="34675"/>
    <cellStyle name="集計 3 7 5 2 4 4 2" xfId="34676"/>
    <cellStyle name="集計 3 7 5 2 4 4 3" xfId="34677"/>
    <cellStyle name="集計 3 7 5 2 4 5" xfId="34678"/>
    <cellStyle name="集計 3 7 5 2 4 6" xfId="34679"/>
    <cellStyle name="集計 3 7 5 2 5" xfId="34680"/>
    <cellStyle name="集計 3 7 5 2 5 2" xfId="34681"/>
    <cellStyle name="集計 3 7 5 2 5 3" xfId="34682"/>
    <cellStyle name="集計 3 7 5 2 6" xfId="34683"/>
    <cellStyle name="集計 3 7 5 2 6 2" xfId="34684"/>
    <cellStyle name="集計 3 7 5 2 6 3" xfId="34685"/>
    <cellStyle name="集計 3 7 5 2 7" xfId="34686"/>
    <cellStyle name="集計 3 7 5 2 7 2" xfId="34687"/>
    <cellStyle name="集計 3 7 5 2 7 3" xfId="34688"/>
    <cellStyle name="集計 3 7 5 2 8" xfId="34689"/>
    <cellStyle name="集計 3 7 5 2 9" xfId="34690"/>
    <cellStyle name="集計 3 7 5 3" xfId="34691"/>
    <cellStyle name="集計 3 7 5 3 2" xfId="34692"/>
    <cellStyle name="集計 3 7 5 3 2 2" xfId="34693"/>
    <cellStyle name="集計 3 7 5 3 2 2 2" xfId="34694"/>
    <cellStyle name="集計 3 7 5 3 2 2 3" xfId="34695"/>
    <cellStyle name="集計 3 7 5 3 2 3" xfId="34696"/>
    <cellStyle name="集計 3 7 5 3 2 3 2" xfId="34697"/>
    <cellStyle name="集計 3 7 5 3 2 3 3" xfId="34698"/>
    <cellStyle name="集計 3 7 5 3 2 4" xfId="34699"/>
    <cellStyle name="集計 3 7 5 3 2 4 2" xfId="34700"/>
    <cellStyle name="集計 3 7 5 3 2 4 3" xfId="34701"/>
    <cellStyle name="集計 3 7 5 3 2 5" xfId="34702"/>
    <cellStyle name="集計 3 7 5 3 2 6" xfId="34703"/>
    <cellStyle name="集計 3 7 5 3 3" xfId="34704"/>
    <cellStyle name="集計 3 7 5 3 3 2" xfId="34705"/>
    <cellStyle name="集計 3 7 5 3 3 3" xfId="34706"/>
    <cellStyle name="集計 3 7 5 3 4" xfId="34707"/>
    <cellStyle name="集計 3 7 5 3 4 2" xfId="34708"/>
    <cellStyle name="集計 3 7 5 3 4 3" xfId="34709"/>
    <cellStyle name="集計 3 7 5 3 5" xfId="34710"/>
    <cellStyle name="集計 3 7 5 3 5 2" xfId="34711"/>
    <cellStyle name="集計 3 7 5 3 5 3" xfId="34712"/>
    <cellStyle name="集計 3 7 5 3 6" xfId="34713"/>
    <cellStyle name="集計 3 7 5 3 7" xfId="34714"/>
    <cellStyle name="集計 3 7 5 4" xfId="34715"/>
    <cellStyle name="集計 3 7 5 4 2" xfId="34716"/>
    <cellStyle name="集計 3 7 5 4 2 2" xfId="34717"/>
    <cellStyle name="集計 3 7 5 4 2 2 2" xfId="34718"/>
    <cellStyle name="集計 3 7 5 4 2 2 3" xfId="34719"/>
    <cellStyle name="集計 3 7 5 4 2 3" xfId="34720"/>
    <cellStyle name="集計 3 7 5 4 2 3 2" xfId="34721"/>
    <cellStyle name="集計 3 7 5 4 2 3 3" xfId="34722"/>
    <cellStyle name="集計 3 7 5 4 2 4" xfId="34723"/>
    <cellStyle name="集計 3 7 5 4 2 4 2" xfId="34724"/>
    <cellStyle name="集計 3 7 5 4 2 4 3" xfId="34725"/>
    <cellStyle name="集計 3 7 5 4 2 5" xfId="34726"/>
    <cellStyle name="集計 3 7 5 4 2 6" xfId="34727"/>
    <cellStyle name="集計 3 7 5 4 3" xfId="34728"/>
    <cellStyle name="集計 3 7 5 4 3 2" xfId="34729"/>
    <cellStyle name="集計 3 7 5 4 3 3" xfId="34730"/>
    <cellStyle name="集計 3 7 5 4 4" xfId="34731"/>
    <cellStyle name="集計 3 7 5 4 4 2" xfId="34732"/>
    <cellStyle name="集計 3 7 5 4 4 3" xfId="34733"/>
    <cellStyle name="集計 3 7 5 4 5" xfId="34734"/>
    <cellStyle name="集計 3 7 5 4 5 2" xfId="34735"/>
    <cellStyle name="集計 3 7 5 4 5 3" xfId="34736"/>
    <cellStyle name="集計 3 7 5 4 6" xfId="34737"/>
    <cellStyle name="集計 3 7 5 4 7" xfId="34738"/>
    <cellStyle name="集計 3 7 5 5" xfId="34739"/>
    <cellStyle name="集計 3 7 5 5 2" xfId="34740"/>
    <cellStyle name="集計 3 7 5 5 2 2" xfId="34741"/>
    <cellStyle name="集計 3 7 5 5 2 3" xfId="34742"/>
    <cellStyle name="集計 3 7 5 5 3" xfId="34743"/>
    <cellStyle name="集計 3 7 5 5 3 2" xfId="34744"/>
    <cellStyle name="集計 3 7 5 5 3 3" xfId="34745"/>
    <cellStyle name="集計 3 7 5 5 4" xfId="34746"/>
    <cellStyle name="集計 3 7 5 5 4 2" xfId="34747"/>
    <cellStyle name="集計 3 7 5 5 4 3" xfId="34748"/>
    <cellStyle name="集計 3 7 5 5 5" xfId="34749"/>
    <cellStyle name="集計 3 7 5 5 6" xfId="34750"/>
    <cellStyle name="集計 3 7 5 6" xfId="34751"/>
    <cellStyle name="集計 3 7 5 6 2" xfId="34752"/>
    <cellStyle name="集計 3 7 5 6 3" xfId="34753"/>
    <cellStyle name="集計 3 7 5 7" xfId="34754"/>
    <cellStyle name="集計 3 7 5 7 2" xfId="34755"/>
    <cellStyle name="集計 3 7 5 7 3" xfId="34756"/>
    <cellStyle name="集計 3 7 5 8" xfId="34757"/>
    <cellStyle name="集計 3 7 5 8 2" xfId="34758"/>
    <cellStyle name="集計 3 7 5 8 3" xfId="34759"/>
    <cellStyle name="集計 3 7 5 9" xfId="34760"/>
    <cellStyle name="集計 3 7 6" xfId="34761"/>
    <cellStyle name="集計 3 7 6 10" xfId="34762"/>
    <cellStyle name="集計 3 7 6 2" xfId="34763"/>
    <cellStyle name="集計 3 7 6 2 2" xfId="34764"/>
    <cellStyle name="集計 3 7 6 2 2 2" xfId="34765"/>
    <cellStyle name="集計 3 7 6 2 2 2 2" xfId="34766"/>
    <cellStyle name="集計 3 7 6 2 2 2 2 2" xfId="34767"/>
    <cellStyle name="集計 3 7 6 2 2 2 2 3" xfId="34768"/>
    <cellStyle name="集計 3 7 6 2 2 2 3" xfId="34769"/>
    <cellStyle name="集計 3 7 6 2 2 2 3 2" xfId="34770"/>
    <cellStyle name="集計 3 7 6 2 2 2 3 3" xfId="34771"/>
    <cellStyle name="集計 3 7 6 2 2 2 4" xfId="34772"/>
    <cellStyle name="集計 3 7 6 2 2 2 4 2" xfId="34773"/>
    <cellStyle name="集計 3 7 6 2 2 2 4 3" xfId="34774"/>
    <cellStyle name="集計 3 7 6 2 2 2 5" xfId="34775"/>
    <cellStyle name="集計 3 7 6 2 2 2 6" xfId="34776"/>
    <cellStyle name="集計 3 7 6 2 2 3" xfId="34777"/>
    <cellStyle name="集計 3 7 6 2 2 3 2" xfId="34778"/>
    <cellStyle name="集計 3 7 6 2 2 3 3" xfId="34779"/>
    <cellStyle name="集計 3 7 6 2 2 4" xfId="34780"/>
    <cellStyle name="集計 3 7 6 2 2 4 2" xfId="34781"/>
    <cellStyle name="集計 3 7 6 2 2 4 3" xfId="34782"/>
    <cellStyle name="集計 3 7 6 2 2 5" xfId="34783"/>
    <cellStyle name="集計 3 7 6 2 2 5 2" xfId="34784"/>
    <cellStyle name="集計 3 7 6 2 2 5 3" xfId="34785"/>
    <cellStyle name="集計 3 7 6 2 2 6" xfId="34786"/>
    <cellStyle name="集計 3 7 6 2 2 7" xfId="34787"/>
    <cellStyle name="集計 3 7 6 2 3" xfId="34788"/>
    <cellStyle name="集計 3 7 6 2 3 2" xfId="34789"/>
    <cellStyle name="集計 3 7 6 2 3 2 2" xfId="34790"/>
    <cellStyle name="集計 3 7 6 2 3 2 2 2" xfId="34791"/>
    <cellStyle name="集計 3 7 6 2 3 2 2 3" xfId="34792"/>
    <cellStyle name="集計 3 7 6 2 3 2 3" xfId="34793"/>
    <cellStyle name="集計 3 7 6 2 3 2 3 2" xfId="34794"/>
    <cellStyle name="集計 3 7 6 2 3 2 3 3" xfId="34795"/>
    <cellStyle name="集計 3 7 6 2 3 2 4" xfId="34796"/>
    <cellStyle name="集計 3 7 6 2 3 2 4 2" xfId="34797"/>
    <cellStyle name="集計 3 7 6 2 3 2 4 3" xfId="34798"/>
    <cellStyle name="集計 3 7 6 2 3 2 5" xfId="34799"/>
    <cellStyle name="集計 3 7 6 2 3 2 6" xfId="34800"/>
    <cellStyle name="集計 3 7 6 2 3 3" xfId="34801"/>
    <cellStyle name="集計 3 7 6 2 3 3 2" xfId="34802"/>
    <cellStyle name="集計 3 7 6 2 3 3 3" xfId="34803"/>
    <cellStyle name="集計 3 7 6 2 3 4" xfId="34804"/>
    <cellStyle name="集計 3 7 6 2 3 4 2" xfId="34805"/>
    <cellStyle name="集計 3 7 6 2 3 4 3" xfId="34806"/>
    <cellStyle name="集計 3 7 6 2 3 5" xfId="34807"/>
    <cellStyle name="集計 3 7 6 2 3 5 2" xfId="34808"/>
    <cellStyle name="集計 3 7 6 2 3 5 3" xfId="34809"/>
    <cellStyle name="集計 3 7 6 2 3 6" xfId="34810"/>
    <cellStyle name="集計 3 7 6 2 3 7" xfId="34811"/>
    <cellStyle name="集計 3 7 6 2 4" xfId="34812"/>
    <cellStyle name="集計 3 7 6 2 4 2" xfId="34813"/>
    <cellStyle name="集計 3 7 6 2 4 2 2" xfId="34814"/>
    <cellStyle name="集計 3 7 6 2 4 2 3" xfId="34815"/>
    <cellStyle name="集計 3 7 6 2 4 3" xfId="34816"/>
    <cellStyle name="集計 3 7 6 2 4 3 2" xfId="34817"/>
    <cellStyle name="集計 3 7 6 2 4 3 3" xfId="34818"/>
    <cellStyle name="集計 3 7 6 2 4 4" xfId="34819"/>
    <cellStyle name="集計 3 7 6 2 4 4 2" xfId="34820"/>
    <cellStyle name="集計 3 7 6 2 4 4 3" xfId="34821"/>
    <cellStyle name="集計 3 7 6 2 4 5" xfId="34822"/>
    <cellStyle name="集計 3 7 6 2 4 6" xfId="34823"/>
    <cellStyle name="集計 3 7 6 2 5" xfId="34824"/>
    <cellStyle name="集計 3 7 6 2 5 2" xfId="34825"/>
    <cellStyle name="集計 3 7 6 2 5 3" xfId="34826"/>
    <cellStyle name="集計 3 7 6 2 6" xfId="34827"/>
    <cellStyle name="集計 3 7 6 2 6 2" xfId="34828"/>
    <cellStyle name="集計 3 7 6 2 6 3" xfId="34829"/>
    <cellStyle name="集計 3 7 6 2 7" xfId="34830"/>
    <cellStyle name="集計 3 7 6 2 7 2" xfId="34831"/>
    <cellStyle name="集計 3 7 6 2 7 3" xfId="34832"/>
    <cellStyle name="集計 3 7 6 2 8" xfId="34833"/>
    <cellStyle name="集計 3 7 6 2 9" xfId="34834"/>
    <cellStyle name="集計 3 7 6 3" xfId="34835"/>
    <cellStyle name="集計 3 7 6 3 2" xfId="34836"/>
    <cellStyle name="集計 3 7 6 3 2 2" xfId="34837"/>
    <cellStyle name="集計 3 7 6 3 2 2 2" xfId="34838"/>
    <cellStyle name="集計 3 7 6 3 2 2 3" xfId="34839"/>
    <cellStyle name="集計 3 7 6 3 2 3" xfId="34840"/>
    <cellStyle name="集計 3 7 6 3 2 3 2" xfId="34841"/>
    <cellStyle name="集計 3 7 6 3 2 3 3" xfId="34842"/>
    <cellStyle name="集計 3 7 6 3 2 4" xfId="34843"/>
    <cellStyle name="集計 3 7 6 3 2 4 2" xfId="34844"/>
    <cellStyle name="集計 3 7 6 3 2 4 3" xfId="34845"/>
    <cellStyle name="集計 3 7 6 3 2 5" xfId="34846"/>
    <cellStyle name="集計 3 7 6 3 2 6" xfId="34847"/>
    <cellStyle name="集計 3 7 6 3 3" xfId="34848"/>
    <cellStyle name="集計 3 7 6 3 3 2" xfId="34849"/>
    <cellStyle name="集計 3 7 6 3 3 3" xfId="34850"/>
    <cellStyle name="集計 3 7 6 3 4" xfId="34851"/>
    <cellStyle name="集計 3 7 6 3 4 2" xfId="34852"/>
    <cellStyle name="集計 3 7 6 3 4 3" xfId="34853"/>
    <cellStyle name="集計 3 7 6 3 5" xfId="34854"/>
    <cellStyle name="集計 3 7 6 3 5 2" xfId="34855"/>
    <cellStyle name="集計 3 7 6 3 5 3" xfId="34856"/>
    <cellStyle name="集計 3 7 6 3 6" xfId="34857"/>
    <cellStyle name="集計 3 7 6 3 7" xfId="34858"/>
    <cellStyle name="集計 3 7 6 4" xfId="34859"/>
    <cellStyle name="集計 3 7 6 4 2" xfId="34860"/>
    <cellStyle name="集計 3 7 6 4 2 2" xfId="34861"/>
    <cellStyle name="集計 3 7 6 4 2 2 2" xfId="34862"/>
    <cellStyle name="集計 3 7 6 4 2 2 3" xfId="34863"/>
    <cellStyle name="集計 3 7 6 4 2 3" xfId="34864"/>
    <cellStyle name="集計 3 7 6 4 2 3 2" xfId="34865"/>
    <cellStyle name="集計 3 7 6 4 2 3 3" xfId="34866"/>
    <cellStyle name="集計 3 7 6 4 2 4" xfId="34867"/>
    <cellStyle name="集計 3 7 6 4 2 4 2" xfId="34868"/>
    <cellStyle name="集計 3 7 6 4 2 4 3" xfId="34869"/>
    <cellStyle name="集計 3 7 6 4 2 5" xfId="34870"/>
    <cellStyle name="集計 3 7 6 4 2 6" xfId="34871"/>
    <cellStyle name="集計 3 7 6 4 3" xfId="34872"/>
    <cellStyle name="集計 3 7 6 4 3 2" xfId="34873"/>
    <cellStyle name="集計 3 7 6 4 3 3" xfId="34874"/>
    <cellStyle name="集計 3 7 6 4 4" xfId="34875"/>
    <cellStyle name="集計 3 7 6 4 4 2" xfId="34876"/>
    <cellStyle name="集計 3 7 6 4 4 3" xfId="34877"/>
    <cellStyle name="集計 3 7 6 4 5" xfId="34878"/>
    <cellStyle name="集計 3 7 6 4 5 2" xfId="34879"/>
    <cellStyle name="集計 3 7 6 4 5 3" xfId="34880"/>
    <cellStyle name="集計 3 7 6 4 6" xfId="34881"/>
    <cellStyle name="集計 3 7 6 4 7" xfId="34882"/>
    <cellStyle name="集計 3 7 6 5" xfId="34883"/>
    <cellStyle name="集計 3 7 6 5 2" xfId="34884"/>
    <cellStyle name="集計 3 7 6 5 2 2" xfId="34885"/>
    <cellStyle name="集計 3 7 6 5 2 3" xfId="34886"/>
    <cellStyle name="集計 3 7 6 5 3" xfId="34887"/>
    <cellStyle name="集計 3 7 6 5 3 2" xfId="34888"/>
    <cellStyle name="集計 3 7 6 5 3 3" xfId="34889"/>
    <cellStyle name="集計 3 7 6 5 4" xfId="34890"/>
    <cellStyle name="集計 3 7 6 5 4 2" xfId="34891"/>
    <cellStyle name="集計 3 7 6 5 4 3" xfId="34892"/>
    <cellStyle name="集計 3 7 6 5 5" xfId="34893"/>
    <cellStyle name="集計 3 7 6 5 6" xfId="34894"/>
    <cellStyle name="集計 3 7 6 6" xfId="34895"/>
    <cellStyle name="集計 3 7 6 6 2" xfId="34896"/>
    <cellStyle name="集計 3 7 6 6 3" xfId="34897"/>
    <cellStyle name="集計 3 7 6 7" xfId="34898"/>
    <cellStyle name="集計 3 7 6 7 2" xfId="34899"/>
    <cellStyle name="集計 3 7 6 7 3" xfId="34900"/>
    <cellStyle name="集計 3 7 6 8" xfId="34901"/>
    <cellStyle name="集計 3 7 6 8 2" xfId="34902"/>
    <cellStyle name="集計 3 7 6 8 3" xfId="34903"/>
    <cellStyle name="集計 3 7 6 9" xfId="34904"/>
    <cellStyle name="集計 3 7 7" xfId="34905"/>
    <cellStyle name="集計 3 7 7 2" xfId="34906"/>
    <cellStyle name="集計 3 7 7 2 2" xfId="34907"/>
    <cellStyle name="集計 3 7 7 2 2 2" xfId="34908"/>
    <cellStyle name="集計 3 7 7 2 2 3" xfId="34909"/>
    <cellStyle name="集計 3 7 7 2 3" xfId="34910"/>
    <cellStyle name="集計 3 7 7 2 3 2" xfId="34911"/>
    <cellStyle name="集計 3 7 7 2 3 3" xfId="34912"/>
    <cellStyle name="集計 3 7 7 2 4" xfId="34913"/>
    <cellStyle name="集計 3 7 7 2 4 2" xfId="34914"/>
    <cellStyle name="集計 3 7 7 2 4 3" xfId="34915"/>
    <cellStyle name="集計 3 7 7 2 5" xfId="34916"/>
    <cellStyle name="集計 3 7 7 2 6" xfId="34917"/>
    <cellStyle name="集計 3 7 7 3" xfId="34918"/>
    <cellStyle name="集計 3 7 7 3 2" xfId="34919"/>
    <cellStyle name="集計 3 7 7 3 3" xfId="34920"/>
    <cellStyle name="集計 3 7 7 4" xfId="34921"/>
    <cellStyle name="集計 3 7 7 4 2" xfId="34922"/>
    <cellStyle name="集計 3 7 7 4 3" xfId="34923"/>
    <cellStyle name="集計 3 7 7 5" xfId="34924"/>
    <cellStyle name="集計 3 7 7 5 2" xfId="34925"/>
    <cellStyle name="集計 3 7 7 5 3" xfId="34926"/>
    <cellStyle name="集計 3 7 7 6" xfId="34927"/>
    <cellStyle name="集計 3 7 7 7" xfId="34928"/>
    <cellStyle name="集計 3 7 8" xfId="34929"/>
    <cellStyle name="集計 3 7 8 2" xfId="34930"/>
    <cellStyle name="集計 3 7 8 2 2" xfId="34931"/>
    <cellStyle name="集計 3 7 8 2 2 2" xfId="34932"/>
    <cellStyle name="集計 3 7 8 2 2 3" xfId="34933"/>
    <cellStyle name="集計 3 7 8 2 3" xfId="34934"/>
    <cellStyle name="集計 3 7 8 2 3 2" xfId="34935"/>
    <cellStyle name="集計 3 7 8 2 3 3" xfId="34936"/>
    <cellStyle name="集計 3 7 8 2 4" xfId="34937"/>
    <cellStyle name="集計 3 7 8 2 4 2" xfId="34938"/>
    <cellStyle name="集計 3 7 8 2 4 3" xfId="34939"/>
    <cellStyle name="集計 3 7 8 2 5" xfId="34940"/>
    <cellStyle name="集計 3 7 8 2 6" xfId="34941"/>
    <cellStyle name="集計 3 7 8 3" xfId="34942"/>
    <cellStyle name="集計 3 7 8 3 2" xfId="34943"/>
    <cellStyle name="集計 3 7 8 3 3" xfId="34944"/>
    <cellStyle name="集計 3 7 8 4" xfId="34945"/>
    <cellStyle name="集計 3 7 8 4 2" xfId="34946"/>
    <cellStyle name="集計 3 7 8 4 3" xfId="34947"/>
    <cellStyle name="集計 3 7 8 5" xfId="34948"/>
    <cellStyle name="集計 3 7 8 5 2" xfId="34949"/>
    <cellStyle name="集計 3 7 8 5 3" xfId="34950"/>
    <cellStyle name="集計 3 7 8 6" xfId="34951"/>
    <cellStyle name="集計 3 7 8 7" xfId="34952"/>
    <cellStyle name="集計 3 7 9" xfId="34953"/>
    <cellStyle name="集計 3 7 9 2" xfId="34954"/>
    <cellStyle name="集計 3 7 9 2 2" xfId="34955"/>
    <cellStyle name="集計 3 7 9 2 3" xfId="34956"/>
    <cellStyle name="集計 3 7 9 3" xfId="34957"/>
    <cellStyle name="集計 3 7 9 3 2" xfId="34958"/>
    <cellStyle name="集計 3 7 9 3 3" xfId="34959"/>
    <cellStyle name="集計 3 7 9 4" xfId="34960"/>
    <cellStyle name="集計 3 7 9 4 2" xfId="34961"/>
    <cellStyle name="集計 3 7 9 4 3" xfId="34962"/>
    <cellStyle name="集計 3 7 9 5" xfId="34963"/>
    <cellStyle name="集計 3 7 9 6" xfId="34964"/>
    <cellStyle name="集計 3 8" xfId="34965"/>
    <cellStyle name="集計 3 8 10" xfId="34966"/>
    <cellStyle name="集計 3 8 10 2" xfId="34967"/>
    <cellStyle name="集計 3 8 10 3" xfId="34968"/>
    <cellStyle name="集計 3 8 11" xfId="34969"/>
    <cellStyle name="集計 3 8 11 2" xfId="34970"/>
    <cellStyle name="集計 3 8 11 3" xfId="34971"/>
    <cellStyle name="集計 3 8 12" xfId="34972"/>
    <cellStyle name="集計 3 8 12 2" xfId="34973"/>
    <cellStyle name="集計 3 8 12 3" xfId="34974"/>
    <cellStyle name="集計 3 8 13" xfId="34975"/>
    <cellStyle name="集計 3 8 14" xfId="34976"/>
    <cellStyle name="集計 3 8 2" xfId="34977"/>
    <cellStyle name="集計 3 8 2 10" xfId="34978"/>
    <cellStyle name="集計 3 8 2 2" xfId="34979"/>
    <cellStyle name="集計 3 8 2 2 10" xfId="34980"/>
    <cellStyle name="集計 3 8 2 2 2" xfId="34981"/>
    <cellStyle name="集計 3 8 2 2 2 2" xfId="34982"/>
    <cellStyle name="集計 3 8 2 2 2 2 2" xfId="34983"/>
    <cellStyle name="集計 3 8 2 2 2 2 2 2" xfId="34984"/>
    <cellStyle name="集計 3 8 2 2 2 2 2 2 2" xfId="34985"/>
    <cellStyle name="集計 3 8 2 2 2 2 2 2 3" xfId="34986"/>
    <cellStyle name="集計 3 8 2 2 2 2 2 3" xfId="34987"/>
    <cellStyle name="集計 3 8 2 2 2 2 2 3 2" xfId="34988"/>
    <cellStyle name="集計 3 8 2 2 2 2 2 3 3" xfId="34989"/>
    <cellStyle name="集計 3 8 2 2 2 2 2 4" xfId="34990"/>
    <cellStyle name="集計 3 8 2 2 2 2 2 4 2" xfId="34991"/>
    <cellStyle name="集計 3 8 2 2 2 2 2 4 3" xfId="34992"/>
    <cellStyle name="集計 3 8 2 2 2 2 2 5" xfId="34993"/>
    <cellStyle name="集計 3 8 2 2 2 2 2 6" xfId="34994"/>
    <cellStyle name="集計 3 8 2 2 2 2 3" xfId="34995"/>
    <cellStyle name="集計 3 8 2 2 2 2 3 2" xfId="34996"/>
    <cellStyle name="集計 3 8 2 2 2 2 3 3" xfId="34997"/>
    <cellStyle name="集計 3 8 2 2 2 2 4" xfId="34998"/>
    <cellStyle name="集計 3 8 2 2 2 2 4 2" xfId="34999"/>
    <cellStyle name="集計 3 8 2 2 2 2 4 3" xfId="35000"/>
    <cellStyle name="集計 3 8 2 2 2 2 5" xfId="35001"/>
    <cellStyle name="集計 3 8 2 2 2 2 5 2" xfId="35002"/>
    <cellStyle name="集計 3 8 2 2 2 2 5 3" xfId="35003"/>
    <cellStyle name="集計 3 8 2 2 2 2 6" xfId="35004"/>
    <cellStyle name="集計 3 8 2 2 2 2 7" xfId="35005"/>
    <cellStyle name="集計 3 8 2 2 2 3" xfId="35006"/>
    <cellStyle name="集計 3 8 2 2 2 3 2" xfId="35007"/>
    <cellStyle name="集計 3 8 2 2 2 3 2 2" xfId="35008"/>
    <cellStyle name="集計 3 8 2 2 2 3 2 2 2" xfId="35009"/>
    <cellStyle name="集計 3 8 2 2 2 3 2 2 3" xfId="35010"/>
    <cellStyle name="集計 3 8 2 2 2 3 2 3" xfId="35011"/>
    <cellStyle name="集計 3 8 2 2 2 3 2 3 2" xfId="35012"/>
    <cellStyle name="集計 3 8 2 2 2 3 2 3 3" xfId="35013"/>
    <cellStyle name="集計 3 8 2 2 2 3 2 4" xfId="35014"/>
    <cellStyle name="集計 3 8 2 2 2 3 2 4 2" xfId="35015"/>
    <cellStyle name="集計 3 8 2 2 2 3 2 4 3" xfId="35016"/>
    <cellStyle name="集計 3 8 2 2 2 3 2 5" xfId="35017"/>
    <cellStyle name="集計 3 8 2 2 2 3 2 6" xfId="35018"/>
    <cellStyle name="集計 3 8 2 2 2 3 3" xfId="35019"/>
    <cellStyle name="集計 3 8 2 2 2 3 3 2" xfId="35020"/>
    <cellStyle name="集計 3 8 2 2 2 3 3 3" xfId="35021"/>
    <cellStyle name="集計 3 8 2 2 2 3 4" xfId="35022"/>
    <cellStyle name="集計 3 8 2 2 2 3 4 2" xfId="35023"/>
    <cellStyle name="集計 3 8 2 2 2 3 4 3" xfId="35024"/>
    <cellStyle name="集計 3 8 2 2 2 3 5" xfId="35025"/>
    <cellStyle name="集計 3 8 2 2 2 3 5 2" xfId="35026"/>
    <cellStyle name="集計 3 8 2 2 2 3 5 3" xfId="35027"/>
    <cellStyle name="集計 3 8 2 2 2 3 6" xfId="35028"/>
    <cellStyle name="集計 3 8 2 2 2 3 7" xfId="35029"/>
    <cellStyle name="集計 3 8 2 2 2 4" xfId="35030"/>
    <cellStyle name="集計 3 8 2 2 2 4 2" xfId="35031"/>
    <cellStyle name="集計 3 8 2 2 2 4 2 2" xfId="35032"/>
    <cellStyle name="集計 3 8 2 2 2 4 2 3" xfId="35033"/>
    <cellStyle name="集計 3 8 2 2 2 4 3" xfId="35034"/>
    <cellStyle name="集計 3 8 2 2 2 4 3 2" xfId="35035"/>
    <cellStyle name="集計 3 8 2 2 2 4 3 3" xfId="35036"/>
    <cellStyle name="集計 3 8 2 2 2 4 4" xfId="35037"/>
    <cellStyle name="集計 3 8 2 2 2 4 4 2" xfId="35038"/>
    <cellStyle name="集計 3 8 2 2 2 4 4 3" xfId="35039"/>
    <cellStyle name="集計 3 8 2 2 2 4 5" xfId="35040"/>
    <cellStyle name="集計 3 8 2 2 2 4 6" xfId="35041"/>
    <cellStyle name="集計 3 8 2 2 2 5" xfId="35042"/>
    <cellStyle name="集計 3 8 2 2 2 5 2" xfId="35043"/>
    <cellStyle name="集計 3 8 2 2 2 5 3" xfId="35044"/>
    <cellStyle name="集計 3 8 2 2 2 6" xfId="35045"/>
    <cellStyle name="集計 3 8 2 2 2 6 2" xfId="35046"/>
    <cellStyle name="集計 3 8 2 2 2 6 3" xfId="35047"/>
    <cellStyle name="集計 3 8 2 2 2 7" xfId="35048"/>
    <cellStyle name="集計 3 8 2 2 2 7 2" xfId="35049"/>
    <cellStyle name="集計 3 8 2 2 2 7 3" xfId="35050"/>
    <cellStyle name="集計 3 8 2 2 2 8" xfId="35051"/>
    <cellStyle name="集計 3 8 2 2 2 9" xfId="35052"/>
    <cellStyle name="集計 3 8 2 2 3" xfId="35053"/>
    <cellStyle name="集計 3 8 2 2 3 2" xfId="35054"/>
    <cellStyle name="集計 3 8 2 2 3 2 2" xfId="35055"/>
    <cellStyle name="集計 3 8 2 2 3 2 2 2" xfId="35056"/>
    <cellStyle name="集計 3 8 2 2 3 2 2 3" xfId="35057"/>
    <cellStyle name="集計 3 8 2 2 3 2 3" xfId="35058"/>
    <cellStyle name="集計 3 8 2 2 3 2 3 2" xfId="35059"/>
    <cellStyle name="集計 3 8 2 2 3 2 3 3" xfId="35060"/>
    <cellStyle name="集計 3 8 2 2 3 2 4" xfId="35061"/>
    <cellStyle name="集計 3 8 2 2 3 2 4 2" xfId="35062"/>
    <cellStyle name="集計 3 8 2 2 3 2 4 3" xfId="35063"/>
    <cellStyle name="集計 3 8 2 2 3 2 5" xfId="35064"/>
    <cellStyle name="集計 3 8 2 2 3 2 6" xfId="35065"/>
    <cellStyle name="集計 3 8 2 2 3 3" xfId="35066"/>
    <cellStyle name="集計 3 8 2 2 3 3 2" xfId="35067"/>
    <cellStyle name="集計 3 8 2 2 3 3 3" xfId="35068"/>
    <cellStyle name="集計 3 8 2 2 3 4" xfId="35069"/>
    <cellStyle name="集計 3 8 2 2 3 4 2" xfId="35070"/>
    <cellStyle name="集計 3 8 2 2 3 4 3" xfId="35071"/>
    <cellStyle name="集計 3 8 2 2 3 5" xfId="35072"/>
    <cellStyle name="集計 3 8 2 2 3 5 2" xfId="35073"/>
    <cellStyle name="集計 3 8 2 2 3 5 3" xfId="35074"/>
    <cellStyle name="集計 3 8 2 2 3 6" xfId="35075"/>
    <cellStyle name="集計 3 8 2 2 3 7" xfId="35076"/>
    <cellStyle name="集計 3 8 2 2 4" xfId="35077"/>
    <cellStyle name="集計 3 8 2 2 4 2" xfId="35078"/>
    <cellStyle name="集計 3 8 2 2 4 2 2" xfId="35079"/>
    <cellStyle name="集計 3 8 2 2 4 2 2 2" xfId="35080"/>
    <cellStyle name="集計 3 8 2 2 4 2 2 3" xfId="35081"/>
    <cellStyle name="集計 3 8 2 2 4 2 3" xfId="35082"/>
    <cellStyle name="集計 3 8 2 2 4 2 3 2" xfId="35083"/>
    <cellStyle name="集計 3 8 2 2 4 2 3 3" xfId="35084"/>
    <cellStyle name="集計 3 8 2 2 4 2 4" xfId="35085"/>
    <cellStyle name="集計 3 8 2 2 4 2 4 2" xfId="35086"/>
    <cellStyle name="集計 3 8 2 2 4 2 4 3" xfId="35087"/>
    <cellStyle name="集計 3 8 2 2 4 2 5" xfId="35088"/>
    <cellStyle name="集計 3 8 2 2 4 2 6" xfId="35089"/>
    <cellStyle name="集計 3 8 2 2 4 3" xfId="35090"/>
    <cellStyle name="集計 3 8 2 2 4 3 2" xfId="35091"/>
    <cellStyle name="集計 3 8 2 2 4 3 3" xfId="35092"/>
    <cellStyle name="集計 3 8 2 2 4 4" xfId="35093"/>
    <cellStyle name="集計 3 8 2 2 4 4 2" xfId="35094"/>
    <cellStyle name="集計 3 8 2 2 4 4 3" xfId="35095"/>
    <cellStyle name="集計 3 8 2 2 4 5" xfId="35096"/>
    <cellStyle name="集計 3 8 2 2 4 5 2" xfId="35097"/>
    <cellStyle name="集計 3 8 2 2 4 5 3" xfId="35098"/>
    <cellStyle name="集計 3 8 2 2 4 6" xfId="35099"/>
    <cellStyle name="集計 3 8 2 2 4 7" xfId="35100"/>
    <cellStyle name="集計 3 8 2 2 5" xfId="35101"/>
    <cellStyle name="集計 3 8 2 2 5 2" xfId="35102"/>
    <cellStyle name="集計 3 8 2 2 5 2 2" xfId="35103"/>
    <cellStyle name="集計 3 8 2 2 5 2 3" xfId="35104"/>
    <cellStyle name="集計 3 8 2 2 5 3" xfId="35105"/>
    <cellStyle name="集計 3 8 2 2 5 3 2" xfId="35106"/>
    <cellStyle name="集計 3 8 2 2 5 3 3" xfId="35107"/>
    <cellStyle name="集計 3 8 2 2 5 4" xfId="35108"/>
    <cellStyle name="集計 3 8 2 2 5 4 2" xfId="35109"/>
    <cellStyle name="集計 3 8 2 2 5 4 3" xfId="35110"/>
    <cellStyle name="集計 3 8 2 2 5 5" xfId="35111"/>
    <cellStyle name="集計 3 8 2 2 5 6" xfId="35112"/>
    <cellStyle name="集計 3 8 2 2 6" xfId="35113"/>
    <cellStyle name="集計 3 8 2 2 6 2" xfId="35114"/>
    <cellStyle name="集計 3 8 2 2 6 3" xfId="35115"/>
    <cellStyle name="集計 3 8 2 2 7" xfId="35116"/>
    <cellStyle name="集計 3 8 2 2 7 2" xfId="35117"/>
    <cellStyle name="集計 3 8 2 2 7 3" xfId="35118"/>
    <cellStyle name="集計 3 8 2 2 8" xfId="35119"/>
    <cellStyle name="集計 3 8 2 2 8 2" xfId="35120"/>
    <cellStyle name="集計 3 8 2 2 8 3" xfId="35121"/>
    <cellStyle name="集計 3 8 2 2 9" xfId="35122"/>
    <cellStyle name="集計 3 8 2 3" xfId="35123"/>
    <cellStyle name="集計 3 8 2 3 2" xfId="35124"/>
    <cellStyle name="集計 3 8 2 3 2 2" xfId="35125"/>
    <cellStyle name="集計 3 8 2 3 2 2 2" xfId="35126"/>
    <cellStyle name="集計 3 8 2 3 2 2 3" xfId="35127"/>
    <cellStyle name="集計 3 8 2 3 2 3" xfId="35128"/>
    <cellStyle name="集計 3 8 2 3 2 3 2" xfId="35129"/>
    <cellStyle name="集計 3 8 2 3 2 3 3" xfId="35130"/>
    <cellStyle name="集計 3 8 2 3 2 4" xfId="35131"/>
    <cellStyle name="集計 3 8 2 3 2 4 2" xfId="35132"/>
    <cellStyle name="集計 3 8 2 3 2 4 3" xfId="35133"/>
    <cellStyle name="集計 3 8 2 3 2 5" xfId="35134"/>
    <cellStyle name="集計 3 8 2 3 2 6" xfId="35135"/>
    <cellStyle name="集計 3 8 2 3 3" xfId="35136"/>
    <cellStyle name="集計 3 8 2 3 3 2" xfId="35137"/>
    <cellStyle name="集計 3 8 2 3 3 3" xfId="35138"/>
    <cellStyle name="集計 3 8 2 3 4" xfId="35139"/>
    <cellStyle name="集計 3 8 2 3 4 2" xfId="35140"/>
    <cellStyle name="集計 3 8 2 3 4 3" xfId="35141"/>
    <cellStyle name="集計 3 8 2 3 5" xfId="35142"/>
    <cellStyle name="集計 3 8 2 3 5 2" xfId="35143"/>
    <cellStyle name="集計 3 8 2 3 5 3" xfId="35144"/>
    <cellStyle name="集計 3 8 2 3 6" xfId="35145"/>
    <cellStyle name="集計 3 8 2 3 7" xfId="35146"/>
    <cellStyle name="集計 3 8 2 4" xfId="35147"/>
    <cellStyle name="集計 3 8 2 4 2" xfId="35148"/>
    <cellStyle name="集計 3 8 2 4 2 2" xfId="35149"/>
    <cellStyle name="集計 3 8 2 4 2 2 2" xfId="35150"/>
    <cellStyle name="集計 3 8 2 4 2 2 3" xfId="35151"/>
    <cellStyle name="集計 3 8 2 4 2 3" xfId="35152"/>
    <cellStyle name="集計 3 8 2 4 2 3 2" xfId="35153"/>
    <cellStyle name="集計 3 8 2 4 2 3 3" xfId="35154"/>
    <cellStyle name="集計 3 8 2 4 2 4" xfId="35155"/>
    <cellStyle name="集計 3 8 2 4 2 4 2" xfId="35156"/>
    <cellStyle name="集計 3 8 2 4 2 4 3" xfId="35157"/>
    <cellStyle name="集計 3 8 2 4 2 5" xfId="35158"/>
    <cellStyle name="集計 3 8 2 4 2 6" xfId="35159"/>
    <cellStyle name="集計 3 8 2 4 3" xfId="35160"/>
    <cellStyle name="集計 3 8 2 4 3 2" xfId="35161"/>
    <cellStyle name="集計 3 8 2 4 3 3" xfId="35162"/>
    <cellStyle name="集計 3 8 2 4 4" xfId="35163"/>
    <cellStyle name="集計 3 8 2 4 4 2" xfId="35164"/>
    <cellStyle name="集計 3 8 2 4 4 3" xfId="35165"/>
    <cellStyle name="集計 3 8 2 4 5" xfId="35166"/>
    <cellStyle name="集計 3 8 2 4 5 2" xfId="35167"/>
    <cellStyle name="集計 3 8 2 4 5 3" xfId="35168"/>
    <cellStyle name="集計 3 8 2 4 6" xfId="35169"/>
    <cellStyle name="集計 3 8 2 4 7" xfId="35170"/>
    <cellStyle name="集計 3 8 2 5" xfId="35171"/>
    <cellStyle name="集計 3 8 2 5 2" xfId="35172"/>
    <cellStyle name="集計 3 8 2 5 2 2" xfId="35173"/>
    <cellStyle name="集計 3 8 2 5 2 3" xfId="35174"/>
    <cellStyle name="集計 3 8 2 5 3" xfId="35175"/>
    <cellStyle name="集計 3 8 2 5 3 2" xfId="35176"/>
    <cellStyle name="集計 3 8 2 5 3 3" xfId="35177"/>
    <cellStyle name="集計 3 8 2 5 4" xfId="35178"/>
    <cellStyle name="集計 3 8 2 5 4 2" xfId="35179"/>
    <cellStyle name="集計 3 8 2 5 4 3" xfId="35180"/>
    <cellStyle name="集計 3 8 2 5 5" xfId="35181"/>
    <cellStyle name="集計 3 8 2 5 6" xfId="35182"/>
    <cellStyle name="集計 3 8 2 6" xfId="35183"/>
    <cellStyle name="集計 3 8 2 6 2" xfId="35184"/>
    <cellStyle name="集計 3 8 2 6 3" xfId="35185"/>
    <cellStyle name="集計 3 8 2 7" xfId="35186"/>
    <cellStyle name="集計 3 8 2 7 2" xfId="35187"/>
    <cellStyle name="集計 3 8 2 7 3" xfId="35188"/>
    <cellStyle name="集計 3 8 2 8" xfId="35189"/>
    <cellStyle name="集計 3 8 2 8 2" xfId="35190"/>
    <cellStyle name="集計 3 8 2 8 3" xfId="35191"/>
    <cellStyle name="集計 3 8 2 9" xfId="35192"/>
    <cellStyle name="集計 3 8 3" xfId="35193"/>
    <cellStyle name="集計 3 8 3 10" xfId="35194"/>
    <cellStyle name="集計 3 8 3 2" xfId="35195"/>
    <cellStyle name="集計 3 8 3 2 10" xfId="35196"/>
    <cellStyle name="集計 3 8 3 2 2" xfId="35197"/>
    <cellStyle name="集計 3 8 3 2 2 2" xfId="35198"/>
    <cellStyle name="集計 3 8 3 2 2 2 2" xfId="35199"/>
    <cellStyle name="集計 3 8 3 2 2 2 2 2" xfId="35200"/>
    <cellStyle name="集計 3 8 3 2 2 2 2 2 2" xfId="35201"/>
    <cellStyle name="集計 3 8 3 2 2 2 2 2 3" xfId="35202"/>
    <cellStyle name="集計 3 8 3 2 2 2 2 3" xfId="35203"/>
    <cellStyle name="集計 3 8 3 2 2 2 2 3 2" xfId="35204"/>
    <cellStyle name="集計 3 8 3 2 2 2 2 3 3" xfId="35205"/>
    <cellStyle name="集計 3 8 3 2 2 2 2 4" xfId="35206"/>
    <cellStyle name="集計 3 8 3 2 2 2 2 4 2" xfId="35207"/>
    <cellStyle name="集計 3 8 3 2 2 2 2 4 3" xfId="35208"/>
    <cellStyle name="集計 3 8 3 2 2 2 2 5" xfId="35209"/>
    <cellStyle name="集計 3 8 3 2 2 2 2 6" xfId="35210"/>
    <cellStyle name="集計 3 8 3 2 2 2 3" xfId="35211"/>
    <cellStyle name="集計 3 8 3 2 2 2 3 2" xfId="35212"/>
    <cellStyle name="集計 3 8 3 2 2 2 3 3" xfId="35213"/>
    <cellStyle name="集計 3 8 3 2 2 2 4" xfId="35214"/>
    <cellStyle name="集計 3 8 3 2 2 2 4 2" xfId="35215"/>
    <cellStyle name="集計 3 8 3 2 2 2 4 3" xfId="35216"/>
    <cellStyle name="集計 3 8 3 2 2 2 5" xfId="35217"/>
    <cellStyle name="集計 3 8 3 2 2 2 5 2" xfId="35218"/>
    <cellStyle name="集計 3 8 3 2 2 2 5 3" xfId="35219"/>
    <cellStyle name="集計 3 8 3 2 2 2 6" xfId="35220"/>
    <cellStyle name="集計 3 8 3 2 2 2 7" xfId="35221"/>
    <cellStyle name="集計 3 8 3 2 2 3" xfId="35222"/>
    <cellStyle name="集計 3 8 3 2 2 3 2" xfId="35223"/>
    <cellStyle name="集計 3 8 3 2 2 3 2 2" xfId="35224"/>
    <cellStyle name="集計 3 8 3 2 2 3 2 2 2" xfId="35225"/>
    <cellStyle name="集計 3 8 3 2 2 3 2 2 3" xfId="35226"/>
    <cellStyle name="集計 3 8 3 2 2 3 2 3" xfId="35227"/>
    <cellStyle name="集計 3 8 3 2 2 3 2 3 2" xfId="35228"/>
    <cellStyle name="集計 3 8 3 2 2 3 2 3 3" xfId="35229"/>
    <cellStyle name="集計 3 8 3 2 2 3 2 4" xfId="35230"/>
    <cellStyle name="集計 3 8 3 2 2 3 2 4 2" xfId="35231"/>
    <cellStyle name="集計 3 8 3 2 2 3 2 4 3" xfId="35232"/>
    <cellStyle name="集計 3 8 3 2 2 3 2 5" xfId="35233"/>
    <cellStyle name="集計 3 8 3 2 2 3 2 6" xfId="35234"/>
    <cellStyle name="集計 3 8 3 2 2 3 3" xfId="35235"/>
    <cellStyle name="集計 3 8 3 2 2 3 3 2" xfId="35236"/>
    <cellStyle name="集計 3 8 3 2 2 3 3 3" xfId="35237"/>
    <cellStyle name="集計 3 8 3 2 2 3 4" xfId="35238"/>
    <cellStyle name="集計 3 8 3 2 2 3 4 2" xfId="35239"/>
    <cellStyle name="集計 3 8 3 2 2 3 4 3" xfId="35240"/>
    <cellStyle name="集計 3 8 3 2 2 3 5" xfId="35241"/>
    <cellStyle name="集計 3 8 3 2 2 3 5 2" xfId="35242"/>
    <cellStyle name="集計 3 8 3 2 2 3 5 3" xfId="35243"/>
    <cellStyle name="集計 3 8 3 2 2 3 6" xfId="35244"/>
    <cellStyle name="集計 3 8 3 2 2 3 7" xfId="35245"/>
    <cellStyle name="集計 3 8 3 2 2 4" xfId="35246"/>
    <cellStyle name="集計 3 8 3 2 2 4 2" xfId="35247"/>
    <cellStyle name="集計 3 8 3 2 2 4 2 2" xfId="35248"/>
    <cellStyle name="集計 3 8 3 2 2 4 2 3" xfId="35249"/>
    <cellStyle name="集計 3 8 3 2 2 4 3" xfId="35250"/>
    <cellStyle name="集計 3 8 3 2 2 4 3 2" xfId="35251"/>
    <cellStyle name="集計 3 8 3 2 2 4 3 3" xfId="35252"/>
    <cellStyle name="集計 3 8 3 2 2 4 4" xfId="35253"/>
    <cellStyle name="集計 3 8 3 2 2 4 4 2" xfId="35254"/>
    <cellStyle name="集計 3 8 3 2 2 4 4 3" xfId="35255"/>
    <cellStyle name="集計 3 8 3 2 2 4 5" xfId="35256"/>
    <cellStyle name="集計 3 8 3 2 2 4 6" xfId="35257"/>
    <cellStyle name="集計 3 8 3 2 2 5" xfId="35258"/>
    <cellStyle name="集計 3 8 3 2 2 5 2" xfId="35259"/>
    <cellStyle name="集計 3 8 3 2 2 5 3" xfId="35260"/>
    <cellStyle name="集計 3 8 3 2 2 6" xfId="35261"/>
    <cellStyle name="集計 3 8 3 2 2 6 2" xfId="35262"/>
    <cellStyle name="集計 3 8 3 2 2 6 3" xfId="35263"/>
    <cellStyle name="集計 3 8 3 2 2 7" xfId="35264"/>
    <cellStyle name="集計 3 8 3 2 2 7 2" xfId="35265"/>
    <cellStyle name="集計 3 8 3 2 2 7 3" xfId="35266"/>
    <cellStyle name="集計 3 8 3 2 2 8" xfId="35267"/>
    <cellStyle name="集計 3 8 3 2 2 9" xfId="35268"/>
    <cellStyle name="集計 3 8 3 2 3" xfId="35269"/>
    <cellStyle name="集計 3 8 3 2 3 2" xfId="35270"/>
    <cellStyle name="集計 3 8 3 2 3 2 2" xfId="35271"/>
    <cellStyle name="集計 3 8 3 2 3 2 2 2" xfId="35272"/>
    <cellStyle name="集計 3 8 3 2 3 2 2 3" xfId="35273"/>
    <cellStyle name="集計 3 8 3 2 3 2 3" xfId="35274"/>
    <cellStyle name="集計 3 8 3 2 3 2 3 2" xfId="35275"/>
    <cellStyle name="集計 3 8 3 2 3 2 3 3" xfId="35276"/>
    <cellStyle name="集計 3 8 3 2 3 2 4" xfId="35277"/>
    <cellStyle name="集計 3 8 3 2 3 2 4 2" xfId="35278"/>
    <cellStyle name="集計 3 8 3 2 3 2 4 3" xfId="35279"/>
    <cellStyle name="集計 3 8 3 2 3 2 5" xfId="35280"/>
    <cellStyle name="集計 3 8 3 2 3 2 6" xfId="35281"/>
    <cellStyle name="集計 3 8 3 2 3 3" xfId="35282"/>
    <cellStyle name="集計 3 8 3 2 3 3 2" xfId="35283"/>
    <cellStyle name="集計 3 8 3 2 3 3 3" xfId="35284"/>
    <cellStyle name="集計 3 8 3 2 3 4" xfId="35285"/>
    <cellStyle name="集計 3 8 3 2 3 4 2" xfId="35286"/>
    <cellStyle name="集計 3 8 3 2 3 4 3" xfId="35287"/>
    <cellStyle name="集計 3 8 3 2 3 5" xfId="35288"/>
    <cellStyle name="集計 3 8 3 2 3 5 2" xfId="35289"/>
    <cellStyle name="集計 3 8 3 2 3 5 3" xfId="35290"/>
    <cellStyle name="集計 3 8 3 2 3 6" xfId="35291"/>
    <cellStyle name="集計 3 8 3 2 3 7" xfId="35292"/>
    <cellStyle name="集計 3 8 3 2 4" xfId="35293"/>
    <cellStyle name="集計 3 8 3 2 4 2" xfId="35294"/>
    <cellStyle name="集計 3 8 3 2 4 2 2" xfId="35295"/>
    <cellStyle name="集計 3 8 3 2 4 2 2 2" xfId="35296"/>
    <cellStyle name="集計 3 8 3 2 4 2 2 3" xfId="35297"/>
    <cellStyle name="集計 3 8 3 2 4 2 3" xfId="35298"/>
    <cellStyle name="集計 3 8 3 2 4 2 3 2" xfId="35299"/>
    <cellStyle name="集計 3 8 3 2 4 2 3 3" xfId="35300"/>
    <cellStyle name="集計 3 8 3 2 4 2 4" xfId="35301"/>
    <cellStyle name="集計 3 8 3 2 4 2 4 2" xfId="35302"/>
    <cellStyle name="集計 3 8 3 2 4 2 4 3" xfId="35303"/>
    <cellStyle name="集計 3 8 3 2 4 2 5" xfId="35304"/>
    <cellStyle name="集計 3 8 3 2 4 2 6" xfId="35305"/>
    <cellStyle name="集計 3 8 3 2 4 3" xfId="35306"/>
    <cellStyle name="集計 3 8 3 2 4 3 2" xfId="35307"/>
    <cellStyle name="集計 3 8 3 2 4 3 3" xfId="35308"/>
    <cellStyle name="集計 3 8 3 2 4 4" xfId="35309"/>
    <cellStyle name="集計 3 8 3 2 4 4 2" xfId="35310"/>
    <cellStyle name="集計 3 8 3 2 4 4 3" xfId="35311"/>
    <cellStyle name="集計 3 8 3 2 4 5" xfId="35312"/>
    <cellStyle name="集計 3 8 3 2 4 5 2" xfId="35313"/>
    <cellStyle name="集計 3 8 3 2 4 5 3" xfId="35314"/>
    <cellStyle name="集計 3 8 3 2 4 6" xfId="35315"/>
    <cellStyle name="集計 3 8 3 2 4 7" xfId="35316"/>
    <cellStyle name="集計 3 8 3 2 5" xfId="35317"/>
    <cellStyle name="集計 3 8 3 2 5 2" xfId="35318"/>
    <cellStyle name="集計 3 8 3 2 5 2 2" xfId="35319"/>
    <cellStyle name="集計 3 8 3 2 5 2 3" xfId="35320"/>
    <cellStyle name="集計 3 8 3 2 5 3" xfId="35321"/>
    <cellStyle name="集計 3 8 3 2 5 3 2" xfId="35322"/>
    <cellStyle name="集計 3 8 3 2 5 3 3" xfId="35323"/>
    <cellStyle name="集計 3 8 3 2 5 4" xfId="35324"/>
    <cellStyle name="集計 3 8 3 2 5 4 2" xfId="35325"/>
    <cellStyle name="集計 3 8 3 2 5 4 3" xfId="35326"/>
    <cellStyle name="集計 3 8 3 2 5 5" xfId="35327"/>
    <cellStyle name="集計 3 8 3 2 5 6" xfId="35328"/>
    <cellStyle name="集計 3 8 3 2 6" xfId="35329"/>
    <cellStyle name="集計 3 8 3 2 6 2" xfId="35330"/>
    <cellStyle name="集計 3 8 3 2 6 3" xfId="35331"/>
    <cellStyle name="集計 3 8 3 2 7" xfId="35332"/>
    <cellStyle name="集計 3 8 3 2 7 2" xfId="35333"/>
    <cellStyle name="集計 3 8 3 2 7 3" xfId="35334"/>
    <cellStyle name="集計 3 8 3 2 8" xfId="35335"/>
    <cellStyle name="集計 3 8 3 2 8 2" xfId="35336"/>
    <cellStyle name="集計 3 8 3 2 8 3" xfId="35337"/>
    <cellStyle name="集計 3 8 3 2 9" xfId="35338"/>
    <cellStyle name="集計 3 8 3 3" xfId="35339"/>
    <cellStyle name="集計 3 8 3 3 2" xfId="35340"/>
    <cellStyle name="集計 3 8 3 3 2 2" xfId="35341"/>
    <cellStyle name="集計 3 8 3 3 2 2 2" xfId="35342"/>
    <cellStyle name="集計 3 8 3 3 2 2 3" xfId="35343"/>
    <cellStyle name="集計 3 8 3 3 2 3" xfId="35344"/>
    <cellStyle name="集計 3 8 3 3 2 3 2" xfId="35345"/>
    <cellStyle name="集計 3 8 3 3 2 3 3" xfId="35346"/>
    <cellStyle name="集計 3 8 3 3 2 4" xfId="35347"/>
    <cellStyle name="集計 3 8 3 3 2 4 2" xfId="35348"/>
    <cellStyle name="集計 3 8 3 3 2 4 3" xfId="35349"/>
    <cellStyle name="集計 3 8 3 3 2 5" xfId="35350"/>
    <cellStyle name="集計 3 8 3 3 2 6" xfId="35351"/>
    <cellStyle name="集計 3 8 3 3 3" xfId="35352"/>
    <cellStyle name="集計 3 8 3 3 3 2" xfId="35353"/>
    <cellStyle name="集計 3 8 3 3 3 3" xfId="35354"/>
    <cellStyle name="集計 3 8 3 3 4" xfId="35355"/>
    <cellStyle name="集計 3 8 3 3 4 2" xfId="35356"/>
    <cellStyle name="集計 3 8 3 3 4 3" xfId="35357"/>
    <cellStyle name="集計 3 8 3 3 5" xfId="35358"/>
    <cellStyle name="集計 3 8 3 3 5 2" xfId="35359"/>
    <cellStyle name="集計 3 8 3 3 5 3" xfId="35360"/>
    <cellStyle name="集計 3 8 3 3 6" xfId="35361"/>
    <cellStyle name="集計 3 8 3 3 7" xfId="35362"/>
    <cellStyle name="集計 3 8 3 4" xfId="35363"/>
    <cellStyle name="集計 3 8 3 4 2" xfId="35364"/>
    <cellStyle name="集計 3 8 3 4 2 2" xfId="35365"/>
    <cellStyle name="集計 3 8 3 4 2 2 2" xfId="35366"/>
    <cellStyle name="集計 3 8 3 4 2 2 3" xfId="35367"/>
    <cellStyle name="集計 3 8 3 4 2 3" xfId="35368"/>
    <cellStyle name="集計 3 8 3 4 2 3 2" xfId="35369"/>
    <cellStyle name="集計 3 8 3 4 2 3 3" xfId="35370"/>
    <cellStyle name="集計 3 8 3 4 2 4" xfId="35371"/>
    <cellStyle name="集計 3 8 3 4 2 4 2" xfId="35372"/>
    <cellStyle name="集計 3 8 3 4 2 4 3" xfId="35373"/>
    <cellStyle name="集計 3 8 3 4 2 5" xfId="35374"/>
    <cellStyle name="集計 3 8 3 4 2 6" xfId="35375"/>
    <cellStyle name="集計 3 8 3 4 3" xfId="35376"/>
    <cellStyle name="集計 3 8 3 4 3 2" xfId="35377"/>
    <cellStyle name="集計 3 8 3 4 3 3" xfId="35378"/>
    <cellStyle name="集計 3 8 3 4 4" xfId="35379"/>
    <cellStyle name="集計 3 8 3 4 4 2" xfId="35380"/>
    <cellStyle name="集計 3 8 3 4 4 3" xfId="35381"/>
    <cellStyle name="集計 3 8 3 4 5" xfId="35382"/>
    <cellStyle name="集計 3 8 3 4 5 2" xfId="35383"/>
    <cellStyle name="集計 3 8 3 4 5 3" xfId="35384"/>
    <cellStyle name="集計 3 8 3 4 6" xfId="35385"/>
    <cellStyle name="集計 3 8 3 4 7" xfId="35386"/>
    <cellStyle name="集計 3 8 3 5" xfId="35387"/>
    <cellStyle name="集計 3 8 3 5 2" xfId="35388"/>
    <cellStyle name="集計 3 8 3 5 2 2" xfId="35389"/>
    <cellStyle name="集計 3 8 3 5 2 3" xfId="35390"/>
    <cellStyle name="集計 3 8 3 5 3" xfId="35391"/>
    <cellStyle name="集計 3 8 3 5 3 2" xfId="35392"/>
    <cellStyle name="集計 3 8 3 5 3 3" xfId="35393"/>
    <cellStyle name="集計 3 8 3 5 4" xfId="35394"/>
    <cellStyle name="集計 3 8 3 5 4 2" xfId="35395"/>
    <cellStyle name="集計 3 8 3 5 4 3" xfId="35396"/>
    <cellStyle name="集計 3 8 3 5 5" xfId="35397"/>
    <cellStyle name="集計 3 8 3 5 6" xfId="35398"/>
    <cellStyle name="集計 3 8 3 6" xfId="35399"/>
    <cellStyle name="集計 3 8 3 6 2" xfId="35400"/>
    <cellStyle name="集計 3 8 3 6 3" xfId="35401"/>
    <cellStyle name="集計 3 8 3 7" xfId="35402"/>
    <cellStyle name="集計 3 8 3 7 2" xfId="35403"/>
    <cellStyle name="集計 3 8 3 7 3" xfId="35404"/>
    <cellStyle name="集計 3 8 3 8" xfId="35405"/>
    <cellStyle name="集計 3 8 3 8 2" xfId="35406"/>
    <cellStyle name="集計 3 8 3 8 3" xfId="35407"/>
    <cellStyle name="集計 3 8 3 9" xfId="35408"/>
    <cellStyle name="集計 3 8 4" xfId="35409"/>
    <cellStyle name="集計 3 8 4 10" xfId="35410"/>
    <cellStyle name="集計 3 8 4 2" xfId="35411"/>
    <cellStyle name="集計 3 8 4 2 10" xfId="35412"/>
    <cellStyle name="集計 3 8 4 2 2" xfId="35413"/>
    <cellStyle name="集計 3 8 4 2 2 2" xfId="35414"/>
    <cellStyle name="集計 3 8 4 2 2 2 2" xfId="35415"/>
    <cellStyle name="集計 3 8 4 2 2 2 2 2" xfId="35416"/>
    <cellStyle name="集計 3 8 4 2 2 2 2 2 2" xfId="35417"/>
    <cellStyle name="集計 3 8 4 2 2 2 2 2 3" xfId="35418"/>
    <cellStyle name="集計 3 8 4 2 2 2 2 3" xfId="35419"/>
    <cellStyle name="集計 3 8 4 2 2 2 2 3 2" xfId="35420"/>
    <cellStyle name="集計 3 8 4 2 2 2 2 3 3" xfId="35421"/>
    <cellStyle name="集計 3 8 4 2 2 2 2 4" xfId="35422"/>
    <cellStyle name="集計 3 8 4 2 2 2 2 4 2" xfId="35423"/>
    <cellStyle name="集計 3 8 4 2 2 2 2 4 3" xfId="35424"/>
    <cellStyle name="集計 3 8 4 2 2 2 2 5" xfId="35425"/>
    <cellStyle name="集計 3 8 4 2 2 2 2 6" xfId="35426"/>
    <cellStyle name="集計 3 8 4 2 2 2 3" xfId="35427"/>
    <cellStyle name="集計 3 8 4 2 2 2 3 2" xfId="35428"/>
    <cellStyle name="集計 3 8 4 2 2 2 3 3" xfId="35429"/>
    <cellStyle name="集計 3 8 4 2 2 2 4" xfId="35430"/>
    <cellStyle name="集計 3 8 4 2 2 2 4 2" xfId="35431"/>
    <cellStyle name="集計 3 8 4 2 2 2 4 3" xfId="35432"/>
    <cellStyle name="集計 3 8 4 2 2 2 5" xfId="35433"/>
    <cellStyle name="集計 3 8 4 2 2 2 5 2" xfId="35434"/>
    <cellStyle name="集計 3 8 4 2 2 2 5 3" xfId="35435"/>
    <cellStyle name="集計 3 8 4 2 2 2 6" xfId="35436"/>
    <cellStyle name="集計 3 8 4 2 2 2 7" xfId="35437"/>
    <cellStyle name="集計 3 8 4 2 2 3" xfId="35438"/>
    <cellStyle name="集計 3 8 4 2 2 3 2" xfId="35439"/>
    <cellStyle name="集計 3 8 4 2 2 3 2 2" xfId="35440"/>
    <cellStyle name="集計 3 8 4 2 2 3 2 2 2" xfId="35441"/>
    <cellStyle name="集計 3 8 4 2 2 3 2 2 3" xfId="35442"/>
    <cellStyle name="集計 3 8 4 2 2 3 2 3" xfId="35443"/>
    <cellStyle name="集計 3 8 4 2 2 3 2 3 2" xfId="35444"/>
    <cellStyle name="集計 3 8 4 2 2 3 2 3 3" xfId="35445"/>
    <cellStyle name="集計 3 8 4 2 2 3 2 4" xfId="35446"/>
    <cellStyle name="集計 3 8 4 2 2 3 2 4 2" xfId="35447"/>
    <cellStyle name="集計 3 8 4 2 2 3 2 4 3" xfId="35448"/>
    <cellStyle name="集計 3 8 4 2 2 3 2 5" xfId="35449"/>
    <cellStyle name="集計 3 8 4 2 2 3 2 6" xfId="35450"/>
    <cellStyle name="集計 3 8 4 2 2 3 3" xfId="35451"/>
    <cellStyle name="集計 3 8 4 2 2 3 3 2" xfId="35452"/>
    <cellStyle name="集計 3 8 4 2 2 3 3 3" xfId="35453"/>
    <cellStyle name="集計 3 8 4 2 2 3 4" xfId="35454"/>
    <cellStyle name="集計 3 8 4 2 2 3 4 2" xfId="35455"/>
    <cellStyle name="集計 3 8 4 2 2 3 4 3" xfId="35456"/>
    <cellStyle name="集計 3 8 4 2 2 3 5" xfId="35457"/>
    <cellStyle name="集計 3 8 4 2 2 3 5 2" xfId="35458"/>
    <cellStyle name="集計 3 8 4 2 2 3 5 3" xfId="35459"/>
    <cellStyle name="集計 3 8 4 2 2 3 6" xfId="35460"/>
    <cellStyle name="集計 3 8 4 2 2 3 7" xfId="35461"/>
    <cellStyle name="集計 3 8 4 2 2 4" xfId="35462"/>
    <cellStyle name="集計 3 8 4 2 2 4 2" xfId="35463"/>
    <cellStyle name="集計 3 8 4 2 2 4 2 2" xfId="35464"/>
    <cellStyle name="集計 3 8 4 2 2 4 2 3" xfId="35465"/>
    <cellStyle name="集計 3 8 4 2 2 4 3" xfId="35466"/>
    <cellStyle name="集計 3 8 4 2 2 4 3 2" xfId="35467"/>
    <cellStyle name="集計 3 8 4 2 2 4 3 3" xfId="35468"/>
    <cellStyle name="集計 3 8 4 2 2 4 4" xfId="35469"/>
    <cellStyle name="集計 3 8 4 2 2 4 4 2" xfId="35470"/>
    <cellStyle name="集計 3 8 4 2 2 4 4 3" xfId="35471"/>
    <cellStyle name="集計 3 8 4 2 2 4 5" xfId="35472"/>
    <cellStyle name="集計 3 8 4 2 2 4 6" xfId="35473"/>
    <cellStyle name="集計 3 8 4 2 2 5" xfId="35474"/>
    <cellStyle name="集計 3 8 4 2 2 5 2" xfId="35475"/>
    <cellStyle name="集計 3 8 4 2 2 5 3" xfId="35476"/>
    <cellStyle name="集計 3 8 4 2 2 6" xfId="35477"/>
    <cellStyle name="集計 3 8 4 2 2 6 2" xfId="35478"/>
    <cellStyle name="集計 3 8 4 2 2 6 3" xfId="35479"/>
    <cellStyle name="集計 3 8 4 2 2 7" xfId="35480"/>
    <cellStyle name="集計 3 8 4 2 2 7 2" xfId="35481"/>
    <cellStyle name="集計 3 8 4 2 2 7 3" xfId="35482"/>
    <cellStyle name="集計 3 8 4 2 2 8" xfId="35483"/>
    <cellStyle name="集計 3 8 4 2 2 9" xfId="35484"/>
    <cellStyle name="集計 3 8 4 2 3" xfId="35485"/>
    <cellStyle name="集計 3 8 4 2 3 2" xfId="35486"/>
    <cellStyle name="集計 3 8 4 2 3 2 2" xfId="35487"/>
    <cellStyle name="集計 3 8 4 2 3 2 2 2" xfId="35488"/>
    <cellStyle name="集計 3 8 4 2 3 2 2 3" xfId="35489"/>
    <cellStyle name="集計 3 8 4 2 3 2 3" xfId="35490"/>
    <cellStyle name="集計 3 8 4 2 3 2 3 2" xfId="35491"/>
    <cellStyle name="集計 3 8 4 2 3 2 3 3" xfId="35492"/>
    <cellStyle name="集計 3 8 4 2 3 2 4" xfId="35493"/>
    <cellStyle name="集計 3 8 4 2 3 2 4 2" xfId="35494"/>
    <cellStyle name="集計 3 8 4 2 3 2 4 3" xfId="35495"/>
    <cellStyle name="集計 3 8 4 2 3 2 5" xfId="35496"/>
    <cellStyle name="集計 3 8 4 2 3 2 6" xfId="35497"/>
    <cellStyle name="集計 3 8 4 2 3 3" xfId="35498"/>
    <cellStyle name="集計 3 8 4 2 3 3 2" xfId="35499"/>
    <cellStyle name="集計 3 8 4 2 3 3 3" xfId="35500"/>
    <cellStyle name="集計 3 8 4 2 3 4" xfId="35501"/>
    <cellStyle name="集計 3 8 4 2 3 4 2" xfId="35502"/>
    <cellStyle name="集計 3 8 4 2 3 4 3" xfId="35503"/>
    <cellStyle name="集計 3 8 4 2 3 5" xfId="35504"/>
    <cellStyle name="集計 3 8 4 2 3 5 2" xfId="35505"/>
    <cellStyle name="集計 3 8 4 2 3 5 3" xfId="35506"/>
    <cellStyle name="集計 3 8 4 2 3 6" xfId="35507"/>
    <cellStyle name="集計 3 8 4 2 3 7" xfId="35508"/>
    <cellStyle name="集計 3 8 4 2 4" xfId="35509"/>
    <cellStyle name="集計 3 8 4 2 4 2" xfId="35510"/>
    <cellStyle name="集計 3 8 4 2 4 2 2" xfId="35511"/>
    <cellStyle name="集計 3 8 4 2 4 2 2 2" xfId="35512"/>
    <cellStyle name="集計 3 8 4 2 4 2 2 3" xfId="35513"/>
    <cellStyle name="集計 3 8 4 2 4 2 3" xfId="35514"/>
    <cellStyle name="集計 3 8 4 2 4 2 3 2" xfId="35515"/>
    <cellStyle name="集計 3 8 4 2 4 2 3 3" xfId="35516"/>
    <cellStyle name="集計 3 8 4 2 4 2 4" xfId="35517"/>
    <cellStyle name="集計 3 8 4 2 4 2 4 2" xfId="35518"/>
    <cellStyle name="集計 3 8 4 2 4 2 4 3" xfId="35519"/>
    <cellStyle name="集計 3 8 4 2 4 2 5" xfId="35520"/>
    <cellStyle name="集計 3 8 4 2 4 2 6" xfId="35521"/>
    <cellStyle name="集計 3 8 4 2 4 3" xfId="35522"/>
    <cellStyle name="集計 3 8 4 2 4 3 2" xfId="35523"/>
    <cellStyle name="集計 3 8 4 2 4 3 3" xfId="35524"/>
    <cellStyle name="集計 3 8 4 2 4 4" xfId="35525"/>
    <cellStyle name="集計 3 8 4 2 4 4 2" xfId="35526"/>
    <cellStyle name="集計 3 8 4 2 4 4 3" xfId="35527"/>
    <cellStyle name="集計 3 8 4 2 4 5" xfId="35528"/>
    <cellStyle name="集計 3 8 4 2 4 5 2" xfId="35529"/>
    <cellStyle name="集計 3 8 4 2 4 5 3" xfId="35530"/>
    <cellStyle name="集計 3 8 4 2 4 6" xfId="35531"/>
    <cellStyle name="集計 3 8 4 2 4 7" xfId="35532"/>
    <cellStyle name="集計 3 8 4 2 5" xfId="35533"/>
    <cellStyle name="集計 3 8 4 2 5 2" xfId="35534"/>
    <cellStyle name="集計 3 8 4 2 5 2 2" xfId="35535"/>
    <cellStyle name="集計 3 8 4 2 5 2 3" xfId="35536"/>
    <cellStyle name="集計 3 8 4 2 5 3" xfId="35537"/>
    <cellStyle name="集計 3 8 4 2 5 3 2" xfId="35538"/>
    <cellStyle name="集計 3 8 4 2 5 3 3" xfId="35539"/>
    <cellStyle name="集計 3 8 4 2 5 4" xfId="35540"/>
    <cellStyle name="集計 3 8 4 2 5 4 2" xfId="35541"/>
    <cellStyle name="集計 3 8 4 2 5 4 3" xfId="35542"/>
    <cellStyle name="集計 3 8 4 2 5 5" xfId="35543"/>
    <cellStyle name="集計 3 8 4 2 5 6" xfId="35544"/>
    <cellStyle name="集計 3 8 4 2 6" xfId="35545"/>
    <cellStyle name="集計 3 8 4 2 6 2" xfId="35546"/>
    <cellStyle name="集計 3 8 4 2 6 3" xfId="35547"/>
    <cellStyle name="集計 3 8 4 2 7" xfId="35548"/>
    <cellStyle name="集計 3 8 4 2 7 2" xfId="35549"/>
    <cellStyle name="集計 3 8 4 2 7 3" xfId="35550"/>
    <cellStyle name="集計 3 8 4 2 8" xfId="35551"/>
    <cellStyle name="集計 3 8 4 2 8 2" xfId="35552"/>
    <cellStyle name="集計 3 8 4 2 8 3" xfId="35553"/>
    <cellStyle name="集計 3 8 4 2 9" xfId="35554"/>
    <cellStyle name="集計 3 8 4 3" xfId="35555"/>
    <cellStyle name="集計 3 8 4 3 2" xfId="35556"/>
    <cellStyle name="集計 3 8 4 3 2 2" xfId="35557"/>
    <cellStyle name="集計 3 8 4 3 2 2 2" xfId="35558"/>
    <cellStyle name="集計 3 8 4 3 2 2 3" xfId="35559"/>
    <cellStyle name="集計 3 8 4 3 2 3" xfId="35560"/>
    <cellStyle name="集計 3 8 4 3 2 3 2" xfId="35561"/>
    <cellStyle name="集計 3 8 4 3 2 3 3" xfId="35562"/>
    <cellStyle name="集計 3 8 4 3 2 4" xfId="35563"/>
    <cellStyle name="集計 3 8 4 3 2 4 2" xfId="35564"/>
    <cellStyle name="集計 3 8 4 3 2 4 3" xfId="35565"/>
    <cellStyle name="集計 3 8 4 3 2 5" xfId="35566"/>
    <cellStyle name="集計 3 8 4 3 2 6" xfId="35567"/>
    <cellStyle name="集計 3 8 4 3 3" xfId="35568"/>
    <cellStyle name="集計 3 8 4 3 3 2" xfId="35569"/>
    <cellStyle name="集計 3 8 4 3 3 3" xfId="35570"/>
    <cellStyle name="集計 3 8 4 3 4" xfId="35571"/>
    <cellStyle name="集計 3 8 4 3 4 2" xfId="35572"/>
    <cellStyle name="集計 3 8 4 3 4 3" xfId="35573"/>
    <cellStyle name="集計 3 8 4 3 5" xfId="35574"/>
    <cellStyle name="集計 3 8 4 3 5 2" xfId="35575"/>
    <cellStyle name="集計 3 8 4 3 5 3" xfId="35576"/>
    <cellStyle name="集計 3 8 4 3 6" xfId="35577"/>
    <cellStyle name="集計 3 8 4 3 7" xfId="35578"/>
    <cellStyle name="集計 3 8 4 4" xfId="35579"/>
    <cellStyle name="集計 3 8 4 4 2" xfId="35580"/>
    <cellStyle name="集計 3 8 4 4 2 2" xfId="35581"/>
    <cellStyle name="集計 3 8 4 4 2 2 2" xfId="35582"/>
    <cellStyle name="集計 3 8 4 4 2 2 3" xfId="35583"/>
    <cellStyle name="集計 3 8 4 4 2 3" xfId="35584"/>
    <cellStyle name="集計 3 8 4 4 2 3 2" xfId="35585"/>
    <cellStyle name="集計 3 8 4 4 2 3 3" xfId="35586"/>
    <cellStyle name="集計 3 8 4 4 2 4" xfId="35587"/>
    <cellStyle name="集計 3 8 4 4 2 4 2" xfId="35588"/>
    <cellStyle name="集計 3 8 4 4 2 4 3" xfId="35589"/>
    <cellStyle name="集計 3 8 4 4 2 5" xfId="35590"/>
    <cellStyle name="集計 3 8 4 4 2 6" xfId="35591"/>
    <cellStyle name="集計 3 8 4 4 3" xfId="35592"/>
    <cellStyle name="集計 3 8 4 4 3 2" xfId="35593"/>
    <cellStyle name="集計 3 8 4 4 3 3" xfId="35594"/>
    <cellStyle name="集計 3 8 4 4 4" xfId="35595"/>
    <cellStyle name="集計 3 8 4 4 4 2" xfId="35596"/>
    <cellStyle name="集計 3 8 4 4 4 3" xfId="35597"/>
    <cellStyle name="集計 3 8 4 4 5" xfId="35598"/>
    <cellStyle name="集計 3 8 4 4 5 2" xfId="35599"/>
    <cellStyle name="集計 3 8 4 4 5 3" xfId="35600"/>
    <cellStyle name="集計 3 8 4 4 6" xfId="35601"/>
    <cellStyle name="集計 3 8 4 4 7" xfId="35602"/>
    <cellStyle name="集計 3 8 4 5" xfId="35603"/>
    <cellStyle name="集計 3 8 4 5 2" xfId="35604"/>
    <cellStyle name="集計 3 8 4 5 2 2" xfId="35605"/>
    <cellStyle name="集計 3 8 4 5 2 3" xfId="35606"/>
    <cellStyle name="集計 3 8 4 5 3" xfId="35607"/>
    <cellStyle name="集計 3 8 4 5 3 2" xfId="35608"/>
    <cellStyle name="集計 3 8 4 5 3 3" xfId="35609"/>
    <cellStyle name="集計 3 8 4 5 4" xfId="35610"/>
    <cellStyle name="集計 3 8 4 5 4 2" xfId="35611"/>
    <cellStyle name="集計 3 8 4 5 4 3" xfId="35612"/>
    <cellStyle name="集計 3 8 4 5 5" xfId="35613"/>
    <cellStyle name="集計 3 8 4 5 6" xfId="35614"/>
    <cellStyle name="集計 3 8 4 6" xfId="35615"/>
    <cellStyle name="集計 3 8 4 6 2" xfId="35616"/>
    <cellStyle name="集計 3 8 4 6 3" xfId="35617"/>
    <cellStyle name="集計 3 8 4 7" xfId="35618"/>
    <cellStyle name="集計 3 8 4 7 2" xfId="35619"/>
    <cellStyle name="集計 3 8 4 7 3" xfId="35620"/>
    <cellStyle name="集計 3 8 4 8" xfId="35621"/>
    <cellStyle name="集計 3 8 4 8 2" xfId="35622"/>
    <cellStyle name="集計 3 8 4 8 3" xfId="35623"/>
    <cellStyle name="集計 3 8 4 9" xfId="35624"/>
    <cellStyle name="集計 3 8 5" xfId="35625"/>
    <cellStyle name="集計 3 8 5 10" xfId="35626"/>
    <cellStyle name="集計 3 8 5 2" xfId="35627"/>
    <cellStyle name="集計 3 8 5 2 2" xfId="35628"/>
    <cellStyle name="集計 3 8 5 2 2 2" xfId="35629"/>
    <cellStyle name="集計 3 8 5 2 2 2 2" xfId="35630"/>
    <cellStyle name="集計 3 8 5 2 2 2 2 2" xfId="35631"/>
    <cellStyle name="集計 3 8 5 2 2 2 2 3" xfId="35632"/>
    <cellStyle name="集計 3 8 5 2 2 2 3" xfId="35633"/>
    <cellStyle name="集計 3 8 5 2 2 2 3 2" xfId="35634"/>
    <cellStyle name="集計 3 8 5 2 2 2 3 3" xfId="35635"/>
    <cellStyle name="集計 3 8 5 2 2 2 4" xfId="35636"/>
    <cellStyle name="集計 3 8 5 2 2 2 4 2" xfId="35637"/>
    <cellStyle name="集計 3 8 5 2 2 2 4 3" xfId="35638"/>
    <cellStyle name="集計 3 8 5 2 2 2 5" xfId="35639"/>
    <cellStyle name="集計 3 8 5 2 2 2 6" xfId="35640"/>
    <cellStyle name="集計 3 8 5 2 2 3" xfId="35641"/>
    <cellStyle name="集計 3 8 5 2 2 3 2" xfId="35642"/>
    <cellStyle name="集計 3 8 5 2 2 3 3" xfId="35643"/>
    <cellStyle name="集計 3 8 5 2 2 4" xfId="35644"/>
    <cellStyle name="集計 3 8 5 2 2 4 2" xfId="35645"/>
    <cellStyle name="集計 3 8 5 2 2 4 3" xfId="35646"/>
    <cellStyle name="集計 3 8 5 2 2 5" xfId="35647"/>
    <cellStyle name="集計 3 8 5 2 2 5 2" xfId="35648"/>
    <cellStyle name="集計 3 8 5 2 2 5 3" xfId="35649"/>
    <cellStyle name="集計 3 8 5 2 2 6" xfId="35650"/>
    <cellStyle name="集計 3 8 5 2 2 7" xfId="35651"/>
    <cellStyle name="集計 3 8 5 2 3" xfId="35652"/>
    <cellStyle name="集計 3 8 5 2 3 2" xfId="35653"/>
    <cellStyle name="集計 3 8 5 2 3 2 2" xfId="35654"/>
    <cellStyle name="集計 3 8 5 2 3 2 2 2" xfId="35655"/>
    <cellStyle name="集計 3 8 5 2 3 2 2 3" xfId="35656"/>
    <cellStyle name="集計 3 8 5 2 3 2 3" xfId="35657"/>
    <cellStyle name="集計 3 8 5 2 3 2 3 2" xfId="35658"/>
    <cellStyle name="集計 3 8 5 2 3 2 3 3" xfId="35659"/>
    <cellStyle name="集計 3 8 5 2 3 2 4" xfId="35660"/>
    <cellStyle name="集計 3 8 5 2 3 2 4 2" xfId="35661"/>
    <cellStyle name="集計 3 8 5 2 3 2 4 3" xfId="35662"/>
    <cellStyle name="集計 3 8 5 2 3 2 5" xfId="35663"/>
    <cellStyle name="集計 3 8 5 2 3 2 6" xfId="35664"/>
    <cellStyle name="集計 3 8 5 2 3 3" xfId="35665"/>
    <cellStyle name="集計 3 8 5 2 3 3 2" xfId="35666"/>
    <cellStyle name="集計 3 8 5 2 3 3 3" xfId="35667"/>
    <cellStyle name="集計 3 8 5 2 3 4" xfId="35668"/>
    <cellStyle name="集計 3 8 5 2 3 4 2" xfId="35669"/>
    <cellStyle name="集計 3 8 5 2 3 4 3" xfId="35670"/>
    <cellStyle name="集計 3 8 5 2 3 5" xfId="35671"/>
    <cellStyle name="集計 3 8 5 2 3 5 2" xfId="35672"/>
    <cellStyle name="集計 3 8 5 2 3 5 3" xfId="35673"/>
    <cellStyle name="集計 3 8 5 2 3 6" xfId="35674"/>
    <cellStyle name="集計 3 8 5 2 3 7" xfId="35675"/>
    <cellStyle name="集計 3 8 5 2 4" xfId="35676"/>
    <cellStyle name="集計 3 8 5 2 4 2" xfId="35677"/>
    <cellStyle name="集計 3 8 5 2 4 2 2" xfId="35678"/>
    <cellStyle name="集計 3 8 5 2 4 2 3" xfId="35679"/>
    <cellStyle name="集計 3 8 5 2 4 3" xfId="35680"/>
    <cellStyle name="集計 3 8 5 2 4 3 2" xfId="35681"/>
    <cellStyle name="集計 3 8 5 2 4 3 3" xfId="35682"/>
    <cellStyle name="集計 3 8 5 2 4 4" xfId="35683"/>
    <cellStyle name="集計 3 8 5 2 4 4 2" xfId="35684"/>
    <cellStyle name="集計 3 8 5 2 4 4 3" xfId="35685"/>
    <cellStyle name="集計 3 8 5 2 4 5" xfId="35686"/>
    <cellStyle name="集計 3 8 5 2 4 6" xfId="35687"/>
    <cellStyle name="集計 3 8 5 2 5" xfId="35688"/>
    <cellStyle name="集計 3 8 5 2 5 2" xfId="35689"/>
    <cellStyle name="集計 3 8 5 2 5 3" xfId="35690"/>
    <cellStyle name="集計 3 8 5 2 6" xfId="35691"/>
    <cellStyle name="集計 3 8 5 2 6 2" xfId="35692"/>
    <cellStyle name="集計 3 8 5 2 6 3" xfId="35693"/>
    <cellStyle name="集計 3 8 5 2 7" xfId="35694"/>
    <cellStyle name="集計 3 8 5 2 7 2" xfId="35695"/>
    <cellStyle name="集計 3 8 5 2 7 3" xfId="35696"/>
    <cellStyle name="集計 3 8 5 2 8" xfId="35697"/>
    <cellStyle name="集計 3 8 5 2 9" xfId="35698"/>
    <cellStyle name="集計 3 8 5 3" xfId="35699"/>
    <cellStyle name="集計 3 8 5 3 2" xfId="35700"/>
    <cellStyle name="集計 3 8 5 3 2 2" xfId="35701"/>
    <cellStyle name="集計 3 8 5 3 2 2 2" xfId="35702"/>
    <cellStyle name="集計 3 8 5 3 2 2 3" xfId="35703"/>
    <cellStyle name="集計 3 8 5 3 2 3" xfId="35704"/>
    <cellStyle name="集計 3 8 5 3 2 3 2" xfId="35705"/>
    <cellStyle name="集計 3 8 5 3 2 3 3" xfId="35706"/>
    <cellStyle name="集計 3 8 5 3 2 4" xfId="35707"/>
    <cellStyle name="集計 3 8 5 3 2 4 2" xfId="35708"/>
    <cellStyle name="集計 3 8 5 3 2 4 3" xfId="35709"/>
    <cellStyle name="集計 3 8 5 3 2 5" xfId="35710"/>
    <cellStyle name="集計 3 8 5 3 2 6" xfId="35711"/>
    <cellStyle name="集計 3 8 5 3 3" xfId="35712"/>
    <cellStyle name="集計 3 8 5 3 3 2" xfId="35713"/>
    <cellStyle name="集計 3 8 5 3 3 3" xfId="35714"/>
    <cellStyle name="集計 3 8 5 3 4" xfId="35715"/>
    <cellStyle name="集計 3 8 5 3 4 2" xfId="35716"/>
    <cellStyle name="集計 3 8 5 3 4 3" xfId="35717"/>
    <cellStyle name="集計 3 8 5 3 5" xfId="35718"/>
    <cellStyle name="集計 3 8 5 3 5 2" xfId="35719"/>
    <cellStyle name="集計 3 8 5 3 5 3" xfId="35720"/>
    <cellStyle name="集計 3 8 5 3 6" xfId="35721"/>
    <cellStyle name="集計 3 8 5 3 7" xfId="35722"/>
    <cellStyle name="集計 3 8 5 4" xfId="35723"/>
    <cellStyle name="集計 3 8 5 4 2" xfId="35724"/>
    <cellStyle name="集計 3 8 5 4 2 2" xfId="35725"/>
    <cellStyle name="集計 3 8 5 4 2 2 2" xfId="35726"/>
    <cellStyle name="集計 3 8 5 4 2 2 3" xfId="35727"/>
    <cellStyle name="集計 3 8 5 4 2 3" xfId="35728"/>
    <cellStyle name="集計 3 8 5 4 2 3 2" xfId="35729"/>
    <cellStyle name="集計 3 8 5 4 2 3 3" xfId="35730"/>
    <cellStyle name="集計 3 8 5 4 2 4" xfId="35731"/>
    <cellStyle name="集計 3 8 5 4 2 4 2" xfId="35732"/>
    <cellStyle name="集計 3 8 5 4 2 4 3" xfId="35733"/>
    <cellStyle name="集計 3 8 5 4 2 5" xfId="35734"/>
    <cellStyle name="集計 3 8 5 4 2 6" xfId="35735"/>
    <cellStyle name="集計 3 8 5 4 3" xfId="35736"/>
    <cellStyle name="集計 3 8 5 4 3 2" xfId="35737"/>
    <cellStyle name="集計 3 8 5 4 3 3" xfId="35738"/>
    <cellStyle name="集計 3 8 5 4 4" xfId="35739"/>
    <cellStyle name="集計 3 8 5 4 4 2" xfId="35740"/>
    <cellStyle name="集計 3 8 5 4 4 3" xfId="35741"/>
    <cellStyle name="集計 3 8 5 4 5" xfId="35742"/>
    <cellStyle name="集計 3 8 5 4 5 2" xfId="35743"/>
    <cellStyle name="集計 3 8 5 4 5 3" xfId="35744"/>
    <cellStyle name="集計 3 8 5 4 6" xfId="35745"/>
    <cellStyle name="集計 3 8 5 4 7" xfId="35746"/>
    <cellStyle name="集計 3 8 5 5" xfId="35747"/>
    <cellStyle name="集計 3 8 5 5 2" xfId="35748"/>
    <cellStyle name="集計 3 8 5 5 2 2" xfId="35749"/>
    <cellStyle name="集計 3 8 5 5 2 3" xfId="35750"/>
    <cellStyle name="集計 3 8 5 5 3" xfId="35751"/>
    <cellStyle name="集計 3 8 5 5 3 2" xfId="35752"/>
    <cellStyle name="集計 3 8 5 5 3 3" xfId="35753"/>
    <cellStyle name="集計 3 8 5 5 4" xfId="35754"/>
    <cellStyle name="集計 3 8 5 5 4 2" xfId="35755"/>
    <cellStyle name="集計 3 8 5 5 4 3" xfId="35756"/>
    <cellStyle name="集計 3 8 5 5 5" xfId="35757"/>
    <cellStyle name="集計 3 8 5 5 6" xfId="35758"/>
    <cellStyle name="集計 3 8 5 6" xfId="35759"/>
    <cellStyle name="集計 3 8 5 6 2" xfId="35760"/>
    <cellStyle name="集計 3 8 5 6 3" xfId="35761"/>
    <cellStyle name="集計 3 8 5 7" xfId="35762"/>
    <cellStyle name="集計 3 8 5 7 2" xfId="35763"/>
    <cellStyle name="集計 3 8 5 7 3" xfId="35764"/>
    <cellStyle name="集計 3 8 5 8" xfId="35765"/>
    <cellStyle name="集計 3 8 5 8 2" xfId="35766"/>
    <cellStyle name="集計 3 8 5 8 3" xfId="35767"/>
    <cellStyle name="集計 3 8 5 9" xfId="35768"/>
    <cellStyle name="集計 3 8 6" xfId="35769"/>
    <cellStyle name="集計 3 8 6 10" xfId="35770"/>
    <cellStyle name="集計 3 8 6 2" xfId="35771"/>
    <cellStyle name="集計 3 8 6 2 2" xfId="35772"/>
    <cellStyle name="集計 3 8 6 2 2 2" xfId="35773"/>
    <cellStyle name="集計 3 8 6 2 2 2 2" xfId="35774"/>
    <cellStyle name="集計 3 8 6 2 2 2 2 2" xfId="35775"/>
    <cellStyle name="集計 3 8 6 2 2 2 2 3" xfId="35776"/>
    <cellStyle name="集計 3 8 6 2 2 2 3" xfId="35777"/>
    <cellStyle name="集計 3 8 6 2 2 2 3 2" xfId="35778"/>
    <cellStyle name="集計 3 8 6 2 2 2 3 3" xfId="35779"/>
    <cellStyle name="集計 3 8 6 2 2 2 4" xfId="35780"/>
    <cellStyle name="集計 3 8 6 2 2 2 4 2" xfId="35781"/>
    <cellStyle name="集計 3 8 6 2 2 2 4 3" xfId="35782"/>
    <cellStyle name="集計 3 8 6 2 2 2 5" xfId="35783"/>
    <cellStyle name="集計 3 8 6 2 2 2 6" xfId="35784"/>
    <cellStyle name="集計 3 8 6 2 2 3" xfId="35785"/>
    <cellStyle name="集計 3 8 6 2 2 3 2" xfId="35786"/>
    <cellStyle name="集計 3 8 6 2 2 3 3" xfId="35787"/>
    <cellStyle name="集計 3 8 6 2 2 4" xfId="35788"/>
    <cellStyle name="集計 3 8 6 2 2 4 2" xfId="35789"/>
    <cellStyle name="集計 3 8 6 2 2 4 3" xfId="35790"/>
    <cellStyle name="集計 3 8 6 2 2 5" xfId="35791"/>
    <cellStyle name="集計 3 8 6 2 2 5 2" xfId="35792"/>
    <cellStyle name="集計 3 8 6 2 2 5 3" xfId="35793"/>
    <cellStyle name="集計 3 8 6 2 2 6" xfId="35794"/>
    <cellStyle name="集計 3 8 6 2 2 7" xfId="35795"/>
    <cellStyle name="集計 3 8 6 2 3" xfId="35796"/>
    <cellStyle name="集計 3 8 6 2 3 2" xfId="35797"/>
    <cellStyle name="集計 3 8 6 2 3 2 2" xfId="35798"/>
    <cellStyle name="集計 3 8 6 2 3 2 2 2" xfId="35799"/>
    <cellStyle name="集計 3 8 6 2 3 2 2 3" xfId="35800"/>
    <cellStyle name="集計 3 8 6 2 3 2 3" xfId="35801"/>
    <cellStyle name="集計 3 8 6 2 3 2 3 2" xfId="35802"/>
    <cellStyle name="集計 3 8 6 2 3 2 3 3" xfId="35803"/>
    <cellStyle name="集計 3 8 6 2 3 2 4" xfId="35804"/>
    <cellStyle name="集計 3 8 6 2 3 2 4 2" xfId="35805"/>
    <cellStyle name="集計 3 8 6 2 3 2 4 3" xfId="35806"/>
    <cellStyle name="集計 3 8 6 2 3 2 5" xfId="35807"/>
    <cellStyle name="集計 3 8 6 2 3 2 6" xfId="35808"/>
    <cellStyle name="集計 3 8 6 2 3 3" xfId="35809"/>
    <cellStyle name="集計 3 8 6 2 3 3 2" xfId="35810"/>
    <cellStyle name="集計 3 8 6 2 3 3 3" xfId="35811"/>
    <cellStyle name="集計 3 8 6 2 3 4" xfId="35812"/>
    <cellStyle name="集計 3 8 6 2 3 4 2" xfId="35813"/>
    <cellStyle name="集計 3 8 6 2 3 4 3" xfId="35814"/>
    <cellStyle name="集計 3 8 6 2 3 5" xfId="35815"/>
    <cellStyle name="集計 3 8 6 2 3 5 2" xfId="35816"/>
    <cellStyle name="集計 3 8 6 2 3 5 3" xfId="35817"/>
    <cellStyle name="集計 3 8 6 2 3 6" xfId="35818"/>
    <cellStyle name="集計 3 8 6 2 3 7" xfId="35819"/>
    <cellStyle name="集計 3 8 6 2 4" xfId="35820"/>
    <cellStyle name="集計 3 8 6 2 4 2" xfId="35821"/>
    <cellStyle name="集計 3 8 6 2 4 2 2" xfId="35822"/>
    <cellStyle name="集計 3 8 6 2 4 2 3" xfId="35823"/>
    <cellStyle name="集計 3 8 6 2 4 3" xfId="35824"/>
    <cellStyle name="集計 3 8 6 2 4 3 2" xfId="35825"/>
    <cellStyle name="集計 3 8 6 2 4 3 3" xfId="35826"/>
    <cellStyle name="集計 3 8 6 2 4 4" xfId="35827"/>
    <cellStyle name="集計 3 8 6 2 4 4 2" xfId="35828"/>
    <cellStyle name="集計 3 8 6 2 4 4 3" xfId="35829"/>
    <cellStyle name="集計 3 8 6 2 4 5" xfId="35830"/>
    <cellStyle name="集計 3 8 6 2 4 6" xfId="35831"/>
    <cellStyle name="集計 3 8 6 2 5" xfId="35832"/>
    <cellStyle name="集計 3 8 6 2 5 2" xfId="35833"/>
    <cellStyle name="集計 3 8 6 2 5 3" xfId="35834"/>
    <cellStyle name="集計 3 8 6 2 6" xfId="35835"/>
    <cellStyle name="集計 3 8 6 2 6 2" xfId="35836"/>
    <cellStyle name="集計 3 8 6 2 6 3" xfId="35837"/>
    <cellStyle name="集計 3 8 6 2 7" xfId="35838"/>
    <cellStyle name="集計 3 8 6 2 7 2" xfId="35839"/>
    <cellStyle name="集計 3 8 6 2 7 3" xfId="35840"/>
    <cellStyle name="集計 3 8 6 2 8" xfId="35841"/>
    <cellStyle name="集計 3 8 6 2 9" xfId="35842"/>
    <cellStyle name="集計 3 8 6 3" xfId="35843"/>
    <cellStyle name="集計 3 8 6 3 2" xfId="35844"/>
    <cellStyle name="集計 3 8 6 3 2 2" xfId="35845"/>
    <cellStyle name="集計 3 8 6 3 2 2 2" xfId="35846"/>
    <cellStyle name="集計 3 8 6 3 2 2 3" xfId="35847"/>
    <cellStyle name="集計 3 8 6 3 2 3" xfId="35848"/>
    <cellStyle name="集計 3 8 6 3 2 3 2" xfId="35849"/>
    <cellStyle name="集計 3 8 6 3 2 3 3" xfId="35850"/>
    <cellStyle name="集計 3 8 6 3 2 4" xfId="35851"/>
    <cellStyle name="集計 3 8 6 3 2 4 2" xfId="35852"/>
    <cellStyle name="集計 3 8 6 3 2 4 3" xfId="35853"/>
    <cellStyle name="集計 3 8 6 3 2 5" xfId="35854"/>
    <cellStyle name="集計 3 8 6 3 2 6" xfId="35855"/>
    <cellStyle name="集計 3 8 6 3 3" xfId="35856"/>
    <cellStyle name="集計 3 8 6 3 3 2" xfId="35857"/>
    <cellStyle name="集計 3 8 6 3 3 3" xfId="35858"/>
    <cellStyle name="集計 3 8 6 3 4" xfId="35859"/>
    <cellStyle name="集計 3 8 6 3 4 2" xfId="35860"/>
    <cellStyle name="集計 3 8 6 3 4 3" xfId="35861"/>
    <cellStyle name="集計 3 8 6 3 5" xfId="35862"/>
    <cellStyle name="集計 3 8 6 3 5 2" xfId="35863"/>
    <cellStyle name="集計 3 8 6 3 5 3" xfId="35864"/>
    <cellStyle name="集計 3 8 6 3 6" xfId="35865"/>
    <cellStyle name="集計 3 8 6 3 7" xfId="35866"/>
    <cellStyle name="集計 3 8 6 4" xfId="35867"/>
    <cellStyle name="集計 3 8 6 4 2" xfId="35868"/>
    <cellStyle name="集計 3 8 6 4 2 2" xfId="35869"/>
    <cellStyle name="集計 3 8 6 4 2 2 2" xfId="35870"/>
    <cellStyle name="集計 3 8 6 4 2 2 3" xfId="35871"/>
    <cellStyle name="集計 3 8 6 4 2 3" xfId="35872"/>
    <cellStyle name="集計 3 8 6 4 2 3 2" xfId="35873"/>
    <cellStyle name="集計 3 8 6 4 2 3 3" xfId="35874"/>
    <cellStyle name="集計 3 8 6 4 2 4" xfId="35875"/>
    <cellStyle name="集計 3 8 6 4 2 4 2" xfId="35876"/>
    <cellStyle name="集計 3 8 6 4 2 4 3" xfId="35877"/>
    <cellStyle name="集計 3 8 6 4 2 5" xfId="35878"/>
    <cellStyle name="集計 3 8 6 4 2 6" xfId="35879"/>
    <cellStyle name="集計 3 8 6 4 3" xfId="35880"/>
    <cellStyle name="集計 3 8 6 4 3 2" xfId="35881"/>
    <cellStyle name="集計 3 8 6 4 3 3" xfId="35882"/>
    <cellStyle name="集計 3 8 6 4 4" xfId="35883"/>
    <cellStyle name="集計 3 8 6 4 4 2" xfId="35884"/>
    <cellStyle name="集計 3 8 6 4 4 3" xfId="35885"/>
    <cellStyle name="集計 3 8 6 4 5" xfId="35886"/>
    <cellStyle name="集計 3 8 6 4 5 2" xfId="35887"/>
    <cellStyle name="集計 3 8 6 4 5 3" xfId="35888"/>
    <cellStyle name="集計 3 8 6 4 6" xfId="35889"/>
    <cellStyle name="集計 3 8 6 4 7" xfId="35890"/>
    <cellStyle name="集計 3 8 6 5" xfId="35891"/>
    <cellStyle name="集計 3 8 6 5 2" xfId="35892"/>
    <cellStyle name="集計 3 8 6 5 2 2" xfId="35893"/>
    <cellStyle name="集計 3 8 6 5 2 3" xfId="35894"/>
    <cellStyle name="集計 3 8 6 5 3" xfId="35895"/>
    <cellStyle name="集計 3 8 6 5 3 2" xfId="35896"/>
    <cellStyle name="集計 3 8 6 5 3 3" xfId="35897"/>
    <cellStyle name="集計 3 8 6 5 4" xfId="35898"/>
    <cellStyle name="集計 3 8 6 5 4 2" xfId="35899"/>
    <cellStyle name="集計 3 8 6 5 4 3" xfId="35900"/>
    <cellStyle name="集計 3 8 6 5 5" xfId="35901"/>
    <cellStyle name="集計 3 8 6 5 6" xfId="35902"/>
    <cellStyle name="集計 3 8 6 6" xfId="35903"/>
    <cellStyle name="集計 3 8 6 6 2" xfId="35904"/>
    <cellStyle name="集計 3 8 6 6 3" xfId="35905"/>
    <cellStyle name="集計 3 8 6 7" xfId="35906"/>
    <cellStyle name="集計 3 8 6 7 2" xfId="35907"/>
    <cellStyle name="集計 3 8 6 7 3" xfId="35908"/>
    <cellStyle name="集計 3 8 6 8" xfId="35909"/>
    <cellStyle name="集計 3 8 6 8 2" xfId="35910"/>
    <cellStyle name="集計 3 8 6 8 3" xfId="35911"/>
    <cellStyle name="集計 3 8 6 9" xfId="35912"/>
    <cellStyle name="集計 3 8 7" xfId="35913"/>
    <cellStyle name="集計 3 8 7 2" xfId="35914"/>
    <cellStyle name="集計 3 8 7 2 2" xfId="35915"/>
    <cellStyle name="集計 3 8 7 2 2 2" xfId="35916"/>
    <cellStyle name="集計 3 8 7 2 2 3" xfId="35917"/>
    <cellStyle name="集計 3 8 7 2 3" xfId="35918"/>
    <cellStyle name="集計 3 8 7 2 3 2" xfId="35919"/>
    <cellStyle name="集計 3 8 7 2 3 3" xfId="35920"/>
    <cellStyle name="集計 3 8 7 2 4" xfId="35921"/>
    <cellStyle name="集計 3 8 7 2 4 2" xfId="35922"/>
    <cellStyle name="集計 3 8 7 2 4 3" xfId="35923"/>
    <cellStyle name="集計 3 8 7 2 5" xfId="35924"/>
    <cellStyle name="集計 3 8 7 2 6" xfId="35925"/>
    <cellStyle name="集計 3 8 7 3" xfId="35926"/>
    <cellStyle name="集計 3 8 7 3 2" xfId="35927"/>
    <cellStyle name="集計 3 8 7 3 3" xfId="35928"/>
    <cellStyle name="集計 3 8 7 4" xfId="35929"/>
    <cellStyle name="集計 3 8 7 4 2" xfId="35930"/>
    <cellStyle name="集計 3 8 7 4 3" xfId="35931"/>
    <cellStyle name="集計 3 8 7 5" xfId="35932"/>
    <cellStyle name="集計 3 8 7 5 2" xfId="35933"/>
    <cellStyle name="集計 3 8 7 5 3" xfId="35934"/>
    <cellStyle name="集計 3 8 7 6" xfId="35935"/>
    <cellStyle name="集計 3 8 7 7" xfId="35936"/>
    <cellStyle name="集計 3 8 8" xfId="35937"/>
    <cellStyle name="集計 3 8 8 2" xfId="35938"/>
    <cellStyle name="集計 3 8 8 2 2" xfId="35939"/>
    <cellStyle name="集計 3 8 8 2 2 2" xfId="35940"/>
    <cellStyle name="集計 3 8 8 2 2 3" xfId="35941"/>
    <cellStyle name="集計 3 8 8 2 3" xfId="35942"/>
    <cellStyle name="集計 3 8 8 2 3 2" xfId="35943"/>
    <cellStyle name="集計 3 8 8 2 3 3" xfId="35944"/>
    <cellStyle name="集計 3 8 8 2 4" xfId="35945"/>
    <cellStyle name="集計 3 8 8 2 4 2" xfId="35946"/>
    <cellStyle name="集計 3 8 8 2 4 3" xfId="35947"/>
    <cellStyle name="集計 3 8 8 2 5" xfId="35948"/>
    <cellStyle name="集計 3 8 8 2 6" xfId="35949"/>
    <cellStyle name="集計 3 8 8 3" xfId="35950"/>
    <cellStyle name="集計 3 8 8 3 2" xfId="35951"/>
    <cellStyle name="集計 3 8 8 3 3" xfId="35952"/>
    <cellStyle name="集計 3 8 8 4" xfId="35953"/>
    <cellStyle name="集計 3 8 8 4 2" xfId="35954"/>
    <cellStyle name="集計 3 8 8 4 3" xfId="35955"/>
    <cellStyle name="集計 3 8 8 5" xfId="35956"/>
    <cellStyle name="集計 3 8 8 5 2" xfId="35957"/>
    <cellStyle name="集計 3 8 8 5 3" xfId="35958"/>
    <cellStyle name="集計 3 8 8 6" xfId="35959"/>
    <cellStyle name="集計 3 8 8 7" xfId="35960"/>
    <cellStyle name="集計 3 8 9" xfId="35961"/>
    <cellStyle name="集計 3 8 9 2" xfId="35962"/>
    <cellStyle name="集計 3 8 9 2 2" xfId="35963"/>
    <cellStyle name="集計 3 8 9 2 3" xfId="35964"/>
    <cellStyle name="集計 3 8 9 3" xfId="35965"/>
    <cellStyle name="集計 3 8 9 3 2" xfId="35966"/>
    <cellStyle name="集計 3 8 9 3 3" xfId="35967"/>
    <cellStyle name="集計 3 8 9 4" xfId="35968"/>
    <cellStyle name="集計 3 8 9 4 2" xfId="35969"/>
    <cellStyle name="集計 3 8 9 4 3" xfId="35970"/>
    <cellStyle name="集計 3 8 9 5" xfId="35971"/>
    <cellStyle name="集計 3 8 9 6" xfId="35972"/>
    <cellStyle name="集計 3 9" xfId="35973"/>
    <cellStyle name="集計 3 9 10" xfId="35974"/>
    <cellStyle name="集計 3 9 10 2" xfId="35975"/>
    <cellStyle name="集計 3 9 10 3" xfId="35976"/>
    <cellStyle name="集計 3 9 11" xfId="35977"/>
    <cellStyle name="集計 3 9 11 2" xfId="35978"/>
    <cellStyle name="集計 3 9 11 3" xfId="35979"/>
    <cellStyle name="集計 3 9 12" xfId="35980"/>
    <cellStyle name="集計 3 9 12 2" xfId="35981"/>
    <cellStyle name="集計 3 9 12 3" xfId="35982"/>
    <cellStyle name="集計 3 9 13" xfId="35983"/>
    <cellStyle name="集計 3 9 14" xfId="35984"/>
    <cellStyle name="集計 3 9 2" xfId="35985"/>
    <cellStyle name="集計 3 9 2 10" xfId="35986"/>
    <cellStyle name="集計 3 9 2 2" xfId="35987"/>
    <cellStyle name="集計 3 9 2 2 10" xfId="35988"/>
    <cellStyle name="集計 3 9 2 2 2" xfId="35989"/>
    <cellStyle name="集計 3 9 2 2 2 2" xfId="35990"/>
    <cellStyle name="集計 3 9 2 2 2 2 2" xfId="35991"/>
    <cellStyle name="集計 3 9 2 2 2 2 2 2" xfId="35992"/>
    <cellStyle name="集計 3 9 2 2 2 2 2 2 2" xfId="35993"/>
    <cellStyle name="集計 3 9 2 2 2 2 2 2 3" xfId="35994"/>
    <cellStyle name="集計 3 9 2 2 2 2 2 3" xfId="35995"/>
    <cellStyle name="集計 3 9 2 2 2 2 2 3 2" xfId="35996"/>
    <cellStyle name="集計 3 9 2 2 2 2 2 3 3" xfId="35997"/>
    <cellStyle name="集計 3 9 2 2 2 2 2 4" xfId="35998"/>
    <cellStyle name="集計 3 9 2 2 2 2 2 4 2" xfId="35999"/>
    <cellStyle name="集計 3 9 2 2 2 2 2 4 3" xfId="36000"/>
    <cellStyle name="集計 3 9 2 2 2 2 2 5" xfId="36001"/>
    <cellStyle name="集計 3 9 2 2 2 2 2 6" xfId="36002"/>
    <cellStyle name="集計 3 9 2 2 2 2 3" xfId="36003"/>
    <cellStyle name="集計 3 9 2 2 2 2 3 2" xfId="36004"/>
    <cellStyle name="集計 3 9 2 2 2 2 3 3" xfId="36005"/>
    <cellStyle name="集計 3 9 2 2 2 2 4" xfId="36006"/>
    <cellStyle name="集計 3 9 2 2 2 2 4 2" xfId="36007"/>
    <cellStyle name="集計 3 9 2 2 2 2 4 3" xfId="36008"/>
    <cellStyle name="集計 3 9 2 2 2 2 5" xfId="36009"/>
    <cellStyle name="集計 3 9 2 2 2 2 5 2" xfId="36010"/>
    <cellStyle name="集計 3 9 2 2 2 2 5 3" xfId="36011"/>
    <cellStyle name="集計 3 9 2 2 2 2 6" xfId="36012"/>
    <cellStyle name="集計 3 9 2 2 2 2 7" xfId="36013"/>
    <cellStyle name="集計 3 9 2 2 2 3" xfId="36014"/>
    <cellStyle name="集計 3 9 2 2 2 3 2" xfId="36015"/>
    <cellStyle name="集計 3 9 2 2 2 3 2 2" xfId="36016"/>
    <cellStyle name="集計 3 9 2 2 2 3 2 2 2" xfId="36017"/>
    <cellStyle name="集計 3 9 2 2 2 3 2 2 3" xfId="36018"/>
    <cellStyle name="集計 3 9 2 2 2 3 2 3" xfId="36019"/>
    <cellStyle name="集計 3 9 2 2 2 3 2 3 2" xfId="36020"/>
    <cellStyle name="集計 3 9 2 2 2 3 2 3 3" xfId="36021"/>
    <cellStyle name="集計 3 9 2 2 2 3 2 4" xfId="36022"/>
    <cellStyle name="集計 3 9 2 2 2 3 2 4 2" xfId="36023"/>
    <cellStyle name="集計 3 9 2 2 2 3 2 4 3" xfId="36024"/>
    <cellStyle name="集計 3 9 2 2 2 3 2 5" xfId="36025"/>
    <cellStyle name="集計 3 9 2 2 2 3 2 6" xfId="36026"/>
    <cellStyle name="集計 3 9 2 2 2 3 3" xfId="36027"/>
    <cellStyle name="集計 3 9 2 2 2 3 3 2" xfId="36028"/>
    <cellStyle name="集計 3 9 2 2 2 3 3 3" xfId="36029"/>
    <cellStyle name="集計 3 9 2 2 2 3 4" xfId="36030"/>
    <cellStyle name="集計 3 9 2 2 2 3 4 2" xfId="36031"/>
    <cellStyle name="集計 3 9 2 2 2 3 4 3" xfId="36032"/>
    <cellStyle name="集計 3 9 2 2 2 3 5" xfId="36033"/>
    <cellStyle name="集計 3 9 2 2 2 3 5 2" xfId="36034"/>
    <cellStyle name="集計 3 9 2 2 2 3 5 3" xfId="36035"/>
    <cellStyle name="集計 3 9 2 2 2 3 6" xfId="36036"/>
    <cellStyle name="集計 3 9 2 2 2 3 7" xfId="36037"/>
    <cellStyle name="集計 3 9 2 2 2 4" xfId="36038"/>
    <cellStyle name="集計 3 9 2 2 2 4 2" xfId="36039"/>
    <cellStyle name="集計 3 9 2 2 2 4 2 2" xfId="36040"/>
    <cellStyle name="集計 3 9 2 2 2 4 2 3" xfId="36041"/>
    <cellStyle name="集計 3 9 2 2 2 4 3" xfId="36042"/>
    <cellStyle name="集計 3 9 2 2 2 4 3 2" xfId="36043"/>
    <cellStyle name="集計 3 9 2 2 2 4 3 3" xfId="36044"/>
    <cellStyle name="集計 3 9 2 2 2 4 4" xfId="36045"/>
    <cellStyle name="集計 3 9 2 2 2 4 4 2" xfId="36046"/>
    <cellStyle name="集計 3 9 2 2 2 4 4 3" xfId="36047"/>
    <cellStyle name="集計 3 9 2 2 2 4 5" xfId="36048"/>
    <cellStyle name="集計 3 9 2 2 2 4 6" xfId="36049"/>
    <cellStyle name="集計 3 9 2 2 2 5" xfId="36050"/>
    <cellStyle name="集計 3 9 2 2 2 5 2" xfId="36051"/>
    <cellStyle name="集計 3 9 2 2 2 5 3" xfId="36052"/>
    <cellStyle name="集計 3 9 2 2 2 6" xfId="36053"/>
    <cellStyle name="集計 3 9 2 2 2 6 2" xfId="36054"/>
    <cellStyle name="集計 3 9 2 2 2 6 3" xfId="36055"/>
    <cellStyle name="集計 3 9 2 2 2 7" xfId="36056"/>
    <cellStyle name="集計 3 9 2 2 2 7 2" xfId="36057"/>
    <cellStyle name="集計 3 9 2 2 2 7 3" xfId="36058"/>
    <cellStyle name="集計 3 9 2 2 2 8" xfId="36059"/>
    <cellStyle name="集計 3 9 2 2 2 9" xfId="36060"/>
    <cellStyle name="集計 3 9 2 2 3" xfId="36061"/>
    <cellStyle name="集計 3 9 2 2 3 2" xfId="36062"/>
    <cellStyle name="集計 3 9 2 2 3 2 2" xfId="36063"/>
    <cellStyle name="集計 3 9 2 2 3 2 2 2" xfId="36064"/>
    <cellStyle name="集計 3 9 2 2 3 2 2 3" xfId="36065"/>
    <cellStyle name="集計 3 9 2 2 3 2 3" xfId="36066"/>
    <cellStyle name="集計 3 9 2 2 3 2 3 2" xfId="36067"/>
    <cellStyle name="集計 3 9 2 2 3 2 3 3" xfId="36068"/>
    <cellStyle name="集計 3 9 2 2 3 2 4" xfId="36069"/>
    <cellStyle name="集計 3 9 2 2 3 2 4 2" xfId="36070"/>
    <cellStyle name="集計 3 9 2 2 3 2 4 3" xfId="36071"/>
    <cellStyle name="集計 3 9 2 2 3 2 5" xfId="36072"/>
    <cellStyle name="集計 3 9 2 2 3 2 6" xfId="36073"/>
    <cellStyle name="集計 3 9 2 2 3 3" xfId="36074"/>
    <cellStyle name="集計 3 9 2 2 3 3 2" xfId="36075"/>
    <cellStyle name="集計 3 9 2 2 3 3 3" xfId="36076"/>
    <cellStyle name="集計 3 9 2 2 3 4" xfId="36077"/>
    <cellStyle name="集計 3 9 2 2 3 4 2" xfId="36078"/>
    <cellStyle name="集計 3 9 2 2 3 4 3" xfId="36079"/>
    <cellStyle name="集計 3 9 2 2 3 5" xfId="36080"/>
    <cellStyle name="集計 3 9 2 2 3 5 2" xfId="36081"/>
    <cellStyle name="集計 3 9 2 2 3 5 3" xfId="36082"/>
    <cellStyle name="集計 3 9 2 2 3 6" xfId="36083"/>
    <cellStyle name="集計 3 9 2 2 3 7" xfId="36084"/>
    <cellStyle name="集計 3 9 2 2 4" xfId="36085"/>
    <cellStyle name="集計 3 9 2 2 4 2" xfId="36086"/>
    <cellStyle name="集計 3 9 2 2 4 2 2" xfId="36087"/>
    <cellStyle name="集計 3 9 2 2 4 2 2 2" xfId="36088"/>
    <cellStyle name="集計 3 9 2 2 4 2 2 3" xfId="36089"/>
    <cellStyle name="集計 3 9 2 2 4 2 3" xfId="36090"/>
    <cellStyle name="集計 3 9 2 2 4 2 3 2" xfId="36091"/>
    <cellStyle name="集計 3 9 2 2 4 2 3 3" xfId="36092"/>
    <cellStyle name="集計 3 9 2 2 4 2 4" xfId="36093"/>
    <cellStyle name="集計 3 9 2 2 4 2 4 2" xfId="36094"/>
    <cellStyle name="集計 3 9 2 2 4 2 4 3" xfId="36095"/>
    <cellStyle name="集計 3 9 2 2 4 2 5" xfId="36096"/>
    <cellStyle name="集計 3 9 2 2 4 2 6" xfId="36097"/>
    <cellStyle name="集計 3 9 2 2 4 3" xfId="36098"/>
    <cellStyle name="集計 3 9 2 2 4 3 2" xfId="36099"/>
    <cellStyle name="集計 3 9 2 2 4 3 3" xfId="36100"/>
    <cellStyle name="集計 3 9 2 2 4 4" xfId="36101"/>
    <cellStyle name="集計 3 9 2 2 4 4 2" xfId="36102"/>
    <cellStyle name="集計 3 9 2 2 4 4 3" xfId="36103"/>
    <cellStyle name="集計 3 9 2 2 4 5" xfId="36104"/>
    <cellStyle name="集計 3 9 2 2 4 5 2" xfId="36105"/>
    <cellStyle name="集計 3 9 2 2 4 5 3" xfId="36106"/>
    <cellStyle name="集計 3 9 2 2 4 6" xfId="36107"/>
    <cellStyle name="集計 3 9 2 2 4 7" xfId="36108"/>
    <cellStyle name="集計 3 9 2 2 5" xfId="36109"/>
    <cellStyle name="集計 3 9 2 2 5 2" xfId="36110"/>
    <cellStyle name="集計 3 9 2 2 5 2 2" xfId="36111"/>
    <cellStyle name="集計 3 9 2 2 5 2 3" xfId="36112"/>
    <cellStyle name="集計 3 9 2 2 5 3" xfId="36113"/>
    <cellStyle name="集計 3 9 2 2 5 3 2" xfId="36114"/>
    <cellStyle name="集計 3 9 2 2 5 3 3" xfId="36115"/>
    <cellStyle name="集計 3 9 2 2 5 4" xfId="36116"/>
    <cellStyle name="集計 3 9 2 2 5 4 2" xfId="36117"/>
    <cellStyle name="集計 3 9 2 2 5 4 3" xfId="36118"/>
    <cellStyle name="集計 3 9 2 2 5 5" xfId="36119"/>
    <cellStyle name="集計 3 9 2 2 5 6" xfId="36120"/>
    <cellStyle name="集計 3 9 2 2 6" xfId="36121"/>
    <cellStyle name="集計 3 9 2 2 6 2" xfId="36122"/>
    <cellStyle name="集計 3 9 2 2 6 3" xfId="36123"/>
    <cellStyle name="集計 3 9 2 2 7" xfId="36124"/>
    <cellStyle name="集計 3 9 2 2 7 2" xfId="36125"/>
    <cellStyle name="集計 3 9 2 2 7 3" xfId="36126"/>
    <cellStyle name="集計 3 9 2 2 8" xfId="36127"/>
    <cellStyle name="集計 3 9 2 2 8 2" xfId="36128"/>
    <cellStyle name="集計 3 9 2 2 8 3" xfId="36129"/>
    <cellStyle name="集計 3 9 2 2 9" xfId="36130"/>
    <cellStyle name="集計 3 9 2 3" xfId="36131"/>
    <cellStyle name="集計 3 9 2 3 2" xfId="36132"/>
    <cellStyle name="集計 3 9 2 3 2 2" xfId="36133"/>
    <cellStyle name="集計 3 9 2 3 2 2 2" xfId="36134"/>
    <cellStyle name="集計 3 9 2 3 2 2 3" xfId="36135"/>
    <cellStyle name="集計 3 9 2 3 2 3" xfId="36136"/>
    <cellStyle name="集計 3 9 2 3 2 3 2" xfId="36137"/>
    <cellStyle name="集計 3 9 2 3 2 3 3" xfId="36138"/>
    <cellStyle name="集計 3 9 2 3 2 4" xfId="36139"/>
    <cellStyle name="集計 3 9 2 3 2 4 2" xfId="36140"/>
    <cellStyle name="集計 3 9 2 3 2 4 3" xfId="36141"/>
    <cellStyle name="集計 3 9 2 3 2 5" xfId="36142"/>
    <cellStyle name="集計 3 9 2 3 2 6" xfId="36143"/>
    <cellStyle name="集計 3 9 2 3 3" xfId="36144"/>
    <cellStyle name="集計 3 9 2 3 3 2" xfId="36145"/>
    <cellStyle name="集計 3 9 2 3 3 3" xfId="36146"/>
    <cellStyle name="集計 3 9 2 3 4" xfId="36147"/>
    <cellStyle name="集計 3 9 2 3 4 2" xfId="36148"/>
    <cellStyle name="集計 3 9 2 3 4 3" xfId="36149"/>
    <cellStyle name="集計 3 9 2 3 5" xfId="36150"/>
    <cellStyle name="集計 3 9 2 3 5 2" xfId="36151"/>
    <cellStyle name="集計 3 9 2 3 5 3" xfId="36152"/>
    <cellStyle name="集計 3 9 2 3 6" xfId="36153"/>
    <cellStyle name="集計 3 9 2 3 7" xfId="36154"/>
    <cellStyle name="集計 3 9 2 4" xfId="36155"/>
    <cellStyle name="集計 3 9 2 4 2" xfId="36156"/>
    <cellStyle name="集計 3 9 2 4 2 2" xfId="36157"/>
    <cellStyle name="集計 3 9 2 4 2 2 2" xfId="36158"/>
    <cellStyle name="集計 3 9 2 4 2 2 3" xfId="36159"/>
    <cellStyle name="集計 3 9 2 4 2 3" xfId="36160"/>
    <cellStyle name="集計 3 9 2 4 2 3 2" xfId="36161"/>
    <cellStyle name="集計 3 9 2 4 2 3 3" xfId="36162"/>
    <cellStyle name="集計 3 9 2 4 2 4" xfId="36163"/>
    <cellStyle name="集計 3 9 2 4 2 4 2" xfId="36164"/>
    <cellStyle name="集計 3 9 2 4 2 4 3" xfId="36165"/>
    <cellStyle name="集計 3 9 2 4 2 5" xfId="36166"/>
    <cellStyle name="集計 3 9 2 4 2 6" xfId="36167"/>
    <cellStyle name="集計 3 9 2 4 3" xfId="36168"/>
    <cellStyle name="集計 3 9 2 4 3 2" xfId="36169"/>
    <cellStyle name="集計 3 9 2 4 3 3" xfId="36170"/>
    <cellStyle name="集計 3 9 2 4 4" xfId="36171"/>
    <cellStyle name="集計 3 9 2 4 4 2" xfId="36172"/>
    <cellStyle name="集計 3 9 2 4 4 3" xfId="36173"/>
    <cellStyle name="集計 3 9 2 4 5" xfId="36174"/>
    <cellStyle name="集計 3 9 2 4 5 2" xfId="36175"/>
    <cellStyle name="集計 3 9 2 4 5 3" xfId="36176"/>
    <cellStyle name="集計 3 9 2 4 6" xfId="36177"/>
    <cellStyle name="集計 3 9 2 4 7" xfId="36178"/>
    <cellStyle name="集計 3 9 2 5" xfId="36179"/>
    <cellStyle name="集計 3 9 2 5 2" xfId="36180"/>
    <cellStyle name="集計 3 9 2 5 2 2" xfId="36181"/>
    <cellStyle name="集計 3 9 2 5 2 3" xfId="36182"/>
    <cellStyle name="集計 3 9 2 5 3" xfId="36183"/>
    <cellStyle name="集計 3 9 2 5 3 2" xfId="36184"/>
    <cellStyle name="集計 3 9 2 5 3 3" xfId="36185"/>
    <cellStyle name="集計 3 9 2 5 4" xfId="36186"/>
    <cellStyle name="集計 3 9 2 5 4 2" xfId="36187"/>
    <cellStyle name="集計 3 9 2 5 4 3" xfId="36188"/>
    <cellStyle name="集計 3 9 2 5 5" xfId="36189"/>
    <cellStyle name="集計 3 9 2 5 6" xfId="36190"/>
    <cellStyle name="集計 3 9 2 6" xfId="36191"/>
    <cellStyle name="集計 3 9 2 6 2" xfId="36192"/>
    <cellStyle name="集計 3 9 2 6 3" xfId="36193"/>
    <cellStyle name="集計 3 9 2 7" xfId="36194"/>
    <cellStyle name="集計 3 9 2 7 2" xfId="36195"/>
    <cellStyle name="集計 3 9 2 7 3" xfId="36196"/>
    <cellStyle name="集計 3 9 2 8" xfId="36197"/>
    <cellStyle name="集計 3 9 2 8 2" xfId="36198"/>
    <cellStyle name="集計 3 9 2 8 3" xfId="36199"/>
    <cellStyle name="集計 3 9 2 9" xfId="36200"/>
    <cellStyle name="集計 3 9 3" xfId="36201"/>
    <cellStyle name="集計 3 9 3 10" xfId="36202"/>
    <cellStyle name="集計 3 9 3 2" xfId="36203"/>
    <cellStyle name="集計 3 9 3 2 10" xfId="36204"/>
    <cellStyle name="集計 3 9 3 2 2" xfId="36205"/>
    <cellStyle name="集計 3 9 3 2 2 2" xfId="36206"/>
    <cellStyle name="集計 3 9 3 2 2 2 2" xfId="36207"/>
    <cellStyle name="集計 3 9 3 2 2 2 2 2" xfId="36208"/>
    <cellStyle name="集計 3 9 3 2 2 2 2 2 2" xfId="36209"/>
    <cellStyle name="集計 3 9 3 2 2 2 2 2 3" xfId="36210"/>
    <cellStyle name="集計 3 9 3 2 2 2 2 3" xfId="36211"/>
    <cellStyle name="集計 3 9 3 2 2 2 2 3 2" xfId="36212"/>
    <cellStyle name="集計 3 9 3 2 2 2 2 3 3" xfId="36213"/>
    <cellStyle name="集計 3 9 3 2 2 2 2 4" xfId="36214"/>
    <cellStyle name="集計 3 9 3 2 2 2 2 4 2" xfId="36215"/>
    <cellStyle name="集計 3 9 3 2 2 2 2 4 3" xfId="36216"/>
    <cellStyle name="集計 3 9 3 2 2 2 2 5" xfId="36217"/>
    <cellStyle name="集計 3 9 3 2 2 2 2 6" xfId="36218"/>
    <cellStyle name="集計 3 9 3 2 2 2 3" xfId="36219"/>
    <cellStyle name="集計 3 9 3 2 2 2 3 2" xfId="36220"/>
    <cellStyle name="集計 3 9 3 2 2 2 3 3" xfId="36221"/>
    <cellStyle name="集計 3 9 3 2 2 2 4" xfId="36222"/>
    <cellStyle name="集計 3 9 3 2 2 2 4 2" xfId="36223"/>
    <cellStyle name="集計 3 9 3 2 2 2 4 3" xfId="36224"/>
    <cellStyle name="集計 3 9 3 2 2 2 5" xfId="36225"/>
    <cellStyle name="集計 3 9 3 2 2 2 5 2" xfId="36226"/>
    <cellStyle name="集計 3 9 3 2 2 2 5 3" xfId="36227"/>
    <cellStyle name="集計 3 9 3 2 2 2 6" xfId="36228"/>
    <cellStyle name="集計 3 9 3 2 2 2 7" xfId="36229"/>
    <cellStyle name="集計 3 9 3 2 2 3" xfId="36230"/>
    <cellStyle name="集計 3 9 3 2 2 3 2" xfId="36231"/>
    <cellStyle name="集計 3 9 3 2 2 3 2 2" xfId="36232"/>
    <cellStyle name="集計 3 9 3 2 2 3 2 2 2" xfId="36233"/>
    <cellStyle name="集計 3 9 3 2 2 3 2 2 3" xfId="36234"/>
    <cellStyle name="集計 3 9 3 2 2 3 2 3" xfId="36235"/>
    <cellStyle name="集計 3 9 3 2 2 3 2 3 2" xfId="36236"/>
    <cellStyle name="集計 3 9 3 2 2 3 2 3 3" xfId="36237"/>
    <cellStyle name="集計 3 9 3 2 2 3 2 4" xfId="36238"/>
    <cellStyle name="集計 3 9 3 2 2 3 2 4 2" xfId="36239"/>
    <cellStyle name="集計 3 9 3 2 2 3 2 4 3" xfId="36240"/>
    <cellStyle name="集計 3 9 3 2 2 3 2 5" xfId="36241"/>
    <cellStyle name="集計 3 9 3 2 2 3 2 6" xfId="36242"/>
    <cellStyle name="集計 3 9 3 2 2 3 3" xfId="36243"/>
    <cellStyle name="集計 3 9 3 2 2 3 3 2" xfId="36244"/>
    <cellStyle name="集計 3 9 3 2 2 3 3 3" xfId="36245"/>
    <cellStyle name="集計 3 9 3 2 2 3 4" xfId="36246"/>
    <cellStyle name="集計 3 9 3 2 2 3 4 2" xfId="36247"/>
    <cellStyle name="集計 3 9 3 2 2 3 4 3" xfId="36248"/>
    <cellStyle name="集計 3 9 3 2 2 3 5" xfId="36249"/>
    <cellStyle name="集計 3 9 3 2 2 3 5 2" xfId="36250"/>
    <cellStyle name="集計 3 9 3 2 2 3 5 3" xfId="36251"/>
    <cellStyle name="集計 3 9 3 2 2 3 6" xfId="36252"/>
    <cellStyle name="集計 3 9 3 2 2 3 7" xfId="36253"/>
    <cellStyle name="集計 3 9 3 2 2 4" xfId="36254"/>
    <cellStyle name="集計 3 9 3 2 2 4 2" xfId="36255"/>
    <cellStyle name="集計 3 9 3 2 2 4 2 2" xfId="36256"/>
    <cellStyle name="集計 3 9 3 2 2 4 2 3" xfId="36257"/>
    <cellStyle name="集計 3 9 3 2 2 4 3" xfId="36258"/>
    <cellStyle name="集計 3 9 3 2 2 4 3 2" xfId="36259"/>
    <cellStyle name="集計 3 9 3 2 2 4 3 3" xfId="36260"/>
    <cellStyle name="集計 3 9 3 2 2 4 4" xfId="36261"/>
    <cellStyle name="集計 3 9 3 2 2 4 4 2" xfId="36262"/>
    <cellStyle name="集計 3 9 3 2 2 4 4 3" xfId="36263"/>
    <cellStyle name="集計 3 9 3 2 2 4 5" xfId="36264"/>
    <cellStyle name="集計 3 9 3 2 2 4 6" xfId="36265"/>
    <cellStyle name="集計 3 9 3 2 2 5" xfId="36266"/>
    <cellStyle name="集計 3 9 3 2 2 5 2" xfId="36267"/>
    <cellStyle name="集計 3 9 3 2 2 5 3" xfId="36268"/>
    <cellStyle name="集計 3 9 3 2 2 6" xfId="36269"/>
    <cellStyle name="集計 3 9 3 2 2 6 2" xfId="36270"/>
    <cellStyle name="集計 3 9 3 2 2 6 3" xfId="36271"/>
    <cellStyle name="集計 3 9 3 2 2 7" xfId="36272"/>
    <cellStyle name="集計 3 9 3 2 2 7 2" xfId="36273"/>
    <cellStyle name="集計 3 9 3 2 2 7 3" xfId="36274"/>
    <cellStyle name="集計 3 9 3 2 2 8" xfId="36275"/>
    <cellStyle name="集計 3 9 3 2 2 9" xfId="36276"/>
    <cellStyle name="集計 3 9 3 2 3" xfId="36277"/>
    <cellStyle name="集計 3 9 3 2 3 2" xfId="36278"/>
    <cellStyle name="集計 3 9 3 2 3 2 2" xfId="36279"/>
    <cellStyle name="集計 3 9 3 2 3 2 2 2" xfId="36280"/>
    <cellStyle name="集計 3 9 3 2 3 2 2 3" xfId="36281"/>
    <cellStyle name="集計 3 9 3 2 3 2 3" xfId="36282"/>
    <cellStyle name="集計 3 9 3 2 3 2 3 2" xfId="36283"/>
    <cellStyle name="集計 3 9 3 2 3 2 3 3" xfId="36284"/>
    <cellStyle name="集計 3 9 3 2 3 2 4" xfId="36285"/>
    <cellStyle name="集計 3 9 3 2 3 2 4 2" xfId="36286"/>
    <cellStyle name="集計 3 9 3 2 3 2 4 3" xfId="36287"/>
    <cellStyle name="集計 3 9 3 2 3 2 5" xfId="36288"/>
    <cellStyle name="集計 3 9 3 2 3 2 6" xfId="36289"/>
    <cellStyle name="集計 3 9 3 2 3 3" xfId="36290"/>
    <cellStyle name="集計 3 9 3 2 3 3 2" xfId="36291"/>
    <cellStyle name="集計 3 9 3 2 3 3 3" xfId="36292"/>
    <cellStyle name="集計 3 9 3 2 3 4" xfId="36293"/>
    <cellStyle name="集計 3 9 3 2 3 4 2" xfId="36294"/>
    <cellStyle name="集計 3 9 3 2 3 4 3" xfId="36295"/>
    <cellStyle name="集計 3 9 3 2 3 5" xfId="36296"/>
    <cellStyle name="集計 3 9 3 2 3 5 2" xfId="36297"/>
    <cellStyle name="集計 3 9 3 2 3 5 3" xfId="36298"/>
    <cellStyle name="集計 3 9 3 2 3 6" xfId="36299"/>
    <cellStyle name="集計 3 9 3 2 3 7" xfId="36300"/>
    <cellStyle name="集計 3 9 3 2 4" xfId="36301"/>
    <cellStyle name="集計 3 9 3 2 4 2" xfId="36302"/>
    <cellStyle name="集計 3 9 3 2 4 2 2" xfId="36303"/>
    <cellStyle name="集計 3 9 3 2 4 2 2 2" xfId="36304"/>
    <cellStyle name="集計 3 9 3 2 4 2 2 3" xfId="36305"/>
    <cellStyle name="集計 3 9 3 2 4 2 3" xfId="36306"/>
    <cellStyle name="集計 3 9 3 2 4 2 3 2" xfId="36307"/>
    <cellStyle name="集計 3 9 3 2 4 2 3 3" xfId="36308"/>
    <cellStyle name="集計 3 9 3 2 4 2 4" xfId="36309"/>
    <cellStyle name="集計 3 9 3 2 4 2 4 2" xfId="36310"/>
    <cellStyle name="集計 3 9 3 2 4 2 4 3" xfId="36311"/>
    <cellStyle name="集計 3 9 3 2 4 2 5" xfId="36312"/>
    <cellStyle name="集計 3 9 3 2 4 2 6" xfId="36313"/>
    <cellStyle name="集計 3 9 3 2 4 3" xfId="36314"/>
    <cellStyle name="集計 3 9 3 2 4 3 2" xfId="36315"/>
    <cellStyle name="集計 3 9 3 2 4 3 3" xfId="36316"/>
    <cellStyle name="集計 3 9 3 2 4 4" xfId="36317"/>
    <cellStyle name="集計 3 9 3 2 4 4 2" xfId="36318"/>
    <cellStyle name="集計 3 9 3 2 4 4 3" xfId="36319"/>
    <cellStyle name="集計 3 9 3 2 4 5" xfId="36320"/>
    <cellStyle name="集計 3 9 3 2 4 5 2" xfId="36321"/>
    <cellStyle name="集計 3 9 3 2 4 5 3" xfId="36322"/>
    <cellStyle name="集計 3 9 3 2 4 6" xfId="36323"/>
    <cellStyle name="集計 3 9 3 2 4 7" xfId="36324"/>
    <cellStyle name="集計 3 9 3 2 5" xfId="36325"/>
    <cellStyle name="集計 3 9 3 2 5 2" xfId="36326"/>
    <cellStyle name="集計 3 9 3 2 5 2 2" xfId="36327"/>
    <cellStyle name="集計 3 9 3 2 5 2 3" xfId="36328"/>
    <cellStyle name="集計 3 9 3 2 5 3" xfId="36329"/>
    <cellStyle name="集計 3 9 3 2 5 3 2" xfId="36330"/>
    <cellStyle name="集計 3 9 3 2 5 3 3" xfId="36331"/>
    <cellStyle name="集計 3 9 3 2 5 4" xfId="36332"/>
    <cellStyle name="集計 3 9 3 2 5 4 2" xfId="36333"/>
    <cellStyle name="集計 3 9 3 2 5 4 3" xfId="36334"/>
    <cellStyle name="集計 3 9 3 2 5 5" xfId="36335"/>
    <cellStyle name="集計 3 9 3 2 5 6" xfId="36336"/>
    <cellStyle name="集計 3 9 3 2 6" xfId="36337"/>
    <cellStyle name="集計 3 9 3 2 6 2" xfId="36338"/>
    <cellStyle name="集計 3 9 3 2 6 3" xfId="36339"/>
    <cellStyle name="集計 3 9 3 2 7" xfId="36340"/>
    <cellStyle name="集計 3 9 3 2 7 2" xfId="36341"/>
    <cellStyle name="集計 3 9 3 2 7 3" xfId="36342"/>
    <cellStyle name="集計 3 9 3 2 8" xfId="36343"/>
    <cellStyle name="集計 3 9 3 2 8 2" xfId="36344"/>
    <cellStyle name="集計 3 9 3 2 8 3" xfId="36345"/>
    <cellStyle name="集計 3 9 3 2 9" xfId="36346"/>
    <cellStyle name="集計 3 9 3 3" xfId="36347"/>
    <cellStyle name="集計 3 9 3 3 2" xfId="36348"/>
    <cellStyle name="集計 3 9 3 3 2 2" xfId="36349"/>
    <cellStyle name="集計 3 9 3 3 2 2 2" xfId="36350"/>
    <cellStyle name="集計 3 9 3 3 2 2 3" xfId="36351"/>
    <cellStyle name="集計 3 9 3 3 2 3" xfId="36352"/>
    <cellStyle name="集計 3 9 3 3 2 3 2" xfId="36353"/>
    <cellStyle name="集計 3 9 3 3 2 3 3" xfId="36354"/>
    <cellStyle name="集計 3 9 3 3 2 4" xfId="36355"/>
    <cellStyle name="集計 3 9 3 3 2 4 2" xfId="36356"/>
    <cellStyle name="集計 3 9 3 3 2 4 3" xfId="36357"/>
    <cellStyle name="集計 3 9 3 3 2 5" xfId="36358"/>
    <cellStyle name="集計 3 9 3 3 2 6" xfId="36359"/>
    <cellStyle name="集計 3 9 3 3 3" xfId="36360"/>
    <cellStyle name="集計 3 9 3 3 3 2" xfId="36361"/>
    <cellStyle name="集計 3 9 3 3 3 3" xfId="36362"/>
    <cellStyle name="集計 3 9 3 3 4" xfId="36363"/>
    <cellStyle name="集計 3 9 3 3 4 2" xfId="36364"/>
    <cellStyle name="集計 3 9 3 3 4 3" xfId="36365"/>
    <cellStyle name="集計 3 9 3 3 5" xfId="36366"/>
    <cellStyle name="集計 3 9 3 3 5 2" xfId="36367"/>
    <cellStyle name="集計 3 9 3 3 5 3" xfId="36368"/>
    <cellStyle name="集計 3 9 3 3 6" xfId="36369"/>
    <cellStyle name="集計 3 9 3 3 7" xfId="36370"/>
    <cellStyle name="集計 3 9 3 4" xfId="36371"/>
    <cellStyle name="集計 3 9 3 4 2" xfId="36372"/>
    <cellStyle name="集計 3 9 3 4 2 2" xfId="36373"/>
    <cellStyle name="集計 3 9 3 4 2 2 2" xfId="36374"/>
    <cellStyle name="集計 3 9 3 4 2 2 3" xfId="36375"/>
    <cellStyle name="集計 3 9 3 4 2 3" xfId="36376"/>
    <cellStyle name="集計 3 9 3 4 2 3 2" xfId="36377"/>
    <cellStyle name="集計 3 9 3 4 2 3 3" xfId="36378"/>
    <cellStyle name="集計 3 9 3 4 2 4" xfId="36379"/>
    <cellStyle name="集計 3 9 3 4 2 4 2" xfId="36380"/>
    <cellStyle name="集計 3 9 3 4 2 4 3" xfId="36381"/>
    <cellStyle name="集計 3 9 3 4 2 5" xfId="36382"/>
    <cellStyle name="集計 3 9 3 4 2 6" xfId="36383"/>
    <cellStyle name="集計 3 9 3 4 3" xfId="36384"/>
    <cellStyle name="集計 3 9 3 4 3 2" xfId="36385"/>
    <cellStyle name="集計 3 9 3 4 3 3" xfId="36386"/>
    <cellStyle name="集計 3 9 3 4 4" xfId="36387"/>
    <cellStyle name="集計 3 9 3 4 4 2" xfId="36388"/>
    <cellStyle name="集計 3 9 3 4 4 3" xfId="36389"/>
    <cellStyle name="集計 3 9 3 4 5" xfId="36390"/>
    <cellStyle name="集計 3 9 3 4 5 2" xfId="36391"/>
    <cellStyle name="集計 3 9 3 4 5 3" xfId="36392"/>
    <cellStyle name="集計 3 9 3 4 6" xfId="36393"/>
    <cellStyle name="集計 3 9 3 4 7" xfId="36394"/>
    <cellStyle name="集計 3 9 3 5" xfId="36395"/>
    <cellStyle name="集計 3 9 3 5 2" xfId="36396"/>
    <cellStyle name="集計 3 9 3 5 2 2" xfId="36397"/>
    <cellStyle name="集計 3 9 3 5 2 3" xfId="36398"/>
    <cellStyle name="集計 3 9 3 5 3" xfId="36399"/>
    <cellStyle name="集計 3 9 3 5 3 2" xfId="36400"/>
    <cellStyle name="集計 3 9 3 5 3 3" xfId="36401"/>
    <cellStyle name="集計 3 9 3 5 4" xfId="36402"/>
    <cellStyle name="集計 3 9 3 5 4 2" xfId="36403"/>
    <cellStyle name="集計 3 9 3 5 4 3" xfId="36404"/>
    <cellStyle name="集計 3 9 3 5 5" xfId="36405"/>
    <cellStyle name="集計 3 9 3 5 6" xfId="36406"/>
    <cellStyle name="集計 3 9 3 6" xfId="36407"/>
    <cellStyle name="集計 3 9 3 6 2" xfId="36408"/>
    <cellStyle name="集計 3 9 3 6 3" xfId="36409"/>
    <cellStyle name="集計 3 9 3 7" xfId="36410"/>
    <cellStyle name="集計 3 9 3 7 2" xfId="36411"/>
    <cellStyle name="集計 3 9 3 7 3" xfId="36412"/>
    <cellStyle name="集計 3 9 3 8" xfId="36413"/>
    <cellStyle name="集計 3 9 3 8 2" xfId="36414"/>
    <cellStyle name="集計 3 9 3 8 3" xfId="36415"/>
    <cellStyle name="集計 3 9 3 9" xfId="36416"/>
    <cellStyle name="集計 3 9 4" xfId="36417"/>
    <cellStyle name="集計 3 9 4 10" xfId="36418"/>
    <cellStyle name="集計 3 9 4 2" xfId="36419"/>
    <cellStyle name="集計 3 9 4 2 10" xfId="36420"/>
    <cellStyle name="集計 3 9 4 2 2" xfId="36421"/>
    <cellStyle name="集計 3 9 4 2 2 2" xfId="36422"/>
    <cellStyle name="集計 3 9 4 2 2 2 2" xfId="36423"/>
    <cellStyle name="集計 3 9 4 2 2 2 2 2" xfId="36424"/>
    <cellStyle name="集計 3 9 4 2 2 2 2 2 2" xfId="36425"/>
    <cellStyle name="集計 3 9 4 2 2 2 2 2 3" xfId="36426"/>
    <cellStyle name="集計 3 9 4 2 2 2 2 3" xfId="36427"/>
    <cellStyle name="集計 3 9 4 2 2 2 2 3 2" xfId="36428"/>
    <cellStyle name="集計 3 9 4 2 2 2 2 3 3" xfId="36429"/>
    <cellStyle name="集計 3 9 4 2 2 2 2 4" xfId="36430"/>
    <cellStyle name="集計 3 9 4 2 2 2 2 4 2" xfId="36431"/>
    <cellStyle name="集計 3 9 4 2 2 2 2 4 3" xfId="36432"/>
    <cellStyle name="集計 3 9 4 2 2 2 2 5" xfId="36433"/>
    <cellStyle name="集計 3 9 4 2 2 2 2 6" xfId="36434"/>
    <cellStyle name="集計 3 9 4 2 2 2 3" xfId="36435"/>
    <cellStyle name="集計 3 9 4 2 2 2 3 2" xfId="36436"/>
    <cellStyle name="集計 3 9 4 2 2 2 3 3" xfId="36437"/>
    <cellStyle name="集計 3 9 4 2 2 2 4" xfId="36438"/>
    <cellStyle name="集計 3 9 4 2 2 2 4 2" xfId="36439"/>
    <cellStyle name="集計 3 9 4 2 2 2 4 3" xfId="36440"/>
    <cellStyle name="集計 3 9 4 2 2 2 5" xfId="36441"/>
    <cellStyle name="集計 3 9 4 2 2 2 5 2" xfId="36442"/>
    <cellStyle name="集計 3 9 4 2 2 2 5 3" xfId="36443"/>
    <cellStyle name="集計 3 9 4 2 2 2 6" xfId="36444"/>
    <cellStyle name="集計 3 9 4 2 2 2 7" xfId="36445"/>
    <cellStyle name="集計 3 9 4 2 2 3" xfId="36446"/>
    <cellStyle name="集計 3 9 4 2 2 3 2" xfId="36447"/>
    <cellStyle name="集計 3 9 4 2 2 3 2 2" xfId="36448"/>
    <cellStyle name="集計 3 9 4 2 2 3 2 2 2" xfId="36449"/>
    <cellStyle name="集計 3 9 4 2 2 3 2 2 3" xfId="36450"/>
    <cellStyle name="集計 3 9 4 2 2 3 2 3" xfId="36451"/>
    <cellStyle name="集計 3 9 4 2 2 3 2 3 2" xfId="36452"/>
    <cellStyle name="集計 3 9 4 2 2 3 2 3 3" xfId="36453"/>
    <cellStyle name="集計 3 9 4 2 2 3 2 4" xfId="36454"/>
    <cellStyle name="集計 3 9 4 2 2 3 2 4 2" xfId="36455"/>
    <cellStyle name="集計 3 9 4 2 2 3 2 4 3" xfId="36456"/>
    <cellStyle name="集計 3 9 4 2 2 3 2 5" xfId="36457"/>
    <cellStyle name="集計 3 9 4 2 2 3 2 6" xfId="36458"/>
    <cellStyle name="集計 3 9 4 2 2 3 3" xfId="36459"/>
    <cellStyle name="集計 3 9 4 2 2 3 3 2" xfId="36460"/>
    <cellStyle name="集計 3 9 4 2 2 3 3 3" xfId="36461"/>
    <cellStyle name="集計 3 9 4 2 2 3 4" xfId="36462"/>
    <cellStyle name="集計 3 9 4 2 2 3 4 2" xfId="36463"/>
    <cellStyle name="集計 3 9 4 2 2 3 4 3" xfId="36464"/>
    <cellStyle name="集計 3 9 4 2 2 3 5" xfId="36465"/>
    <cellStyle name="集計 3 9 4 2 2 3 5 2" xfId="36466"/>
    <cellStyle name="集計 3 9 4 2 2 3 5 3" xfId="36467"/>
    <cellStyle name="集計 3 9 4 2 2 3 6" xfId="36468"/>
    <cellStyle name="集計 3 9 4 2 2 3 7" xfId="36469"/>
    <cellStyle name="集計 3 9 4 2 2 4" xfId="36470"/>
    <cellStyle name="集計 3 9 4 2 2 4 2" xfId="36471"/>
    <cellStyle name="集計 3 9 4 2 2 4 2 2" xfId="36472"/>
    <cellStyle name="集計 3 9 4 2 2 4 2 3" xfId="36473"/>
    <cellStyle name="集計 3 9 4 2 2 4 3" xfId="36474"/>
    <cellStyle name="集計 3 9 4 2 2 4 3 2" xfId="36475"/>
    <cellStyle name="集計 3 9 4 2 2 4 3 3" xfId="36476"/>
    <cellStyle name="集計 3 9 4 2 2 4 4" xfId="36477"/>
    <cellStyle name="集計 3 9 4 2 2 4 4 2" xfId="36478"/>
    <cellStyle name="集計 3 9 4 2 2 4 4 3" xfId="36479"/>
    <cellStyle name="集計 3 9 4 2 2 4 5" xfId="36480"/>
    <cellStyle name="集計 3 9 4 2 2 4 6" xfId="36481"/>
    <cellStyle name="集計 3 9 4 2 2 5" xfId="36482"/>
    <cellStyle name="集計 3 9 4 2 2 5 2" xfId="36483"/>
    <cellStyle name="集計 3 9 4 2 2 5 3" xfId="36484"/>
    <cellStyle name="集計 3 9 4 2 2 6" xfId="36485"/>
    <cellStyle name="集計 3 9 4 2 2 6 2" xfId="36486"/>
    <cellStyle name="集計 3 9 4 2 2 6 3" xfId="36487"/>
    <cellStyle name="集計 3 9 4 2 2 7" xfId="36488"/>
    <cellStyle name="集計 3 9 4 2 2 7 2" xfId="36489"/>
    <cellStyle name="集計 3 9 4 2 2 7 3" xfId="36490"/>
    <cellStyle name="集計 3 9 4 2 2 8" xfId="36491"/>
    <cellStyle name="集計 3 9 4 2 2 9" xfId="36492"/>
    <cellStyle name="集計 3 9 4 2 3" xfId="36493"/>
    <cellStyle name="集計 3 9 4 2 3 2" xfId="36494"/>
    <cellStyle name="集計 3 9 4 2 3 2 2" xfId="36495"/>
    <cellStyle name="集計 3 9 4 2 3 2 2 2" xfId="36496"/>
    <cellStyle name="集計 3 9 4 2 3 2 2 3" xfId="36497"/>
    <cellStyle name="集計 3 9 4 2 3 2 3" xfId="36498"/>
    <cellStyle name="集計 3 9 4 2 3 2 3 2" xfId="36499"/>
    <cellStyle name="集計 3 9 4 2 3 2 3 3" xfId="36500"/>
    <cellStyle name="集計 3 9 4 2 3 2 4" xfId="36501"/>
    <cellStyle name="集計 3 9 4 2 3 2 4 2" xfId="36502"/>
    <cellStyle name="集計 3 9 4 2 3 2 4 3" xfId="36503"/>
    <cellStyle name="集計 3 9 4 2 3 2 5" xfId="36504"/>
    <cellStyle name="集計 3 9 4 2 3 2 6" xfId="36505"/>
    <cellStyle name="集計 3 9 4 2 3 3" xfId="36506"/>
    <cellStyle name="集計 3 9 4 2 3 3 2" xfId="36507"/>
    <cellStyle name="集計 3 9 4 2 3 3 3" xfId="36508"/>
    <cellStyle name="集計 3 9 4 2 3 4" xfId="36509"/>
    <cellStyle name="集計 3 9 4 2 3 4 2" xfId="36510"/>
    <cellStyle name="集計 3 9 4 2 3 4 3" xfId="36511"/>
    <cellStyle name="集計 3 9 4 2 3 5" xfId="36512"/>
    <cellStyle name="集計 3 9 4 2 3 5 2" xfId="36513"/>
    <cellStyle name="集計 3 9 4 2 3 5 3" xfId="36514"/>
    <cellStyle name="集計 3 9 4 2 3 6" xfId="36515"/>
    <cellStyle name="集計 3 9 4 2 3 7" xfId="36516"/>
    <cellStyle name="集計 3 9 4 2 4" xfId="36517"/>
    <cellStyle name="集計 3 9 4 2 4 2" xfId="36518"/>
    <cellStyle name="集計 3 9 4 2 4 2 2" xfId="36519"/>
    <cellStyle name="集計 3 9 4 2 4 2 2 2" xfId="36520"/>
    <cellStyle name="集計 3 9 4 2 4 2 2 3" xfId="36521"/>
    <cellStyle name="集計 3 9 4 2 4 2 3" xfId="36522"/>
    <cellStyle name="集計 3 9 4 2 4 2 3 2" xfId="36523"/>
    <cellStyle name="集計 3 9 4 2 4 2 3 3" xfId="36524"/>
    <cellStyle name="集計 3 9 4 2 4 2 4" xfId="36525"/>
    <cellStyle name="集計 3 9 4 2 4 2 4 2" xfId="36526"/>
    <cellStyle name="集計 3 9 4 2 4 2 4 3" xfId="36527"/>
    <cellStyle name="集計 3 9 4 2 4 2 5" xfId="36528"/>
    <cellStyle name="集計 3 9 4 2 4 2 6" xfId="36529"/>
    <cellStyle name="集計 3 9 4 2 4 3" xfId="36530"/>
    <cellStyle name="集計 3 9 4 2 4 3 2" xfId="36531"/>
    <cellStyle name="集計 3 9 4 2 4 3 3" xfId="36532"/>
    <cellStyle name="集計 3 9 4 2 4 4" xfId="36533"/>
    <cellStyle name="集計 3 9 4 2 4 4 2" xfId="36534"/>
    <cellStyle name="集計 3 9 4 2 4 4 3" xfId="36535"/>
    <cellStyle name="集計 3 9 4 2 4 5" xfId="36536"/>
    <cellStyle name="集計 3 9 4 2 4 5 2" xfId="36537"/>
    <cellStyle name="集計 3 9 4 2 4 5 3" xfId="36538"/>
    <cellStyle name="集計 3 9 4 2 4 6" xfId="36539"/>
    <cellStyle name="集計 3 9 4 2 4 7" xfId="36540"/>
    <cellStyle name="集計 3 9 4 2 5" xfId="36541"/>
    <cellStyle name="集計 3 9 4 2 5 2" xfId="36542"/>
    <cellStyle name="集計 3 9 4 2 5 2 2" xfId="36543"/>
    <cellStyle name="集計 3 9 4 2 5 2 3" xfId="36544"/>
    <cellStyle name="集計 3 9 4 2 5 3" xfId="36545"/>
    <cellStyle name="集計 3 9 4 2 5 3 2" xfId="36546"/>
    <cellStyle name="集計 3 9 4 2 5 3 3" xfId="36547"/>
    <cellStyle name="集計 3 9 4 2 5 4" xfId="36548"/>
    <cellStyle name="集計 3 9 4 2 5 4 2" xfId="36549"/>
    <cellStyle name="集計 3 9 4 2 5 4 3" xfId="36550"/>
    <cellStyle name="集計 3 9 4 2 5 5" xfId="36551"/>
    <cellStyle name="集計 3 9 4 2 5 6" xfId="36552"/>
    <cellStyle name="集計 3 9 4 2 6" xfId="36553"/>
    <cellStyle name="集計 3 9 4 2 6 2" xfId="36554"/>
    <cellStyle name="集計 3 9 4 2 6 3" xfId="36555"/>
    <cellStyle name="集計 3 9 4 2 7" xfId="36556"/>
    <cellStyle name="集計 3 9 4 2 7 2" xfId="36557"/>
    <cellStyle name="集計 3 9 4 2 7 3" xfId="36558"/>
    <cellStyle name="集計 3 9 4 2 8" xfId="36559"/>
    <cellStyle name="集計 3 9 4 2 8 2" xfId="36560"/>
    <cellStyle name="集計 3 9 4 2 8 3" xfId="36561"/>
    <cellStyle name="集計 3 9 4 2 9" xfId="36562"/>
    <cellStyle name="集計 3 9 4 3" xfId="36563"/>
    <cellStyle name="集計 3 9 4 3 2" xfId="36564"/>
    <cellStyle name="集計 3 9 4 3 2 2" xfId="36565"/>
    <cellStyle name="集計 3 9 4 3 2 2 2" xfId="36566"/>
    <cellStyle name="集計 3 9 4 3 2 2 3" xfId="36567"/>
    <cellStyle name="集計 3 9 4 3 2 3" xfId="36568"/>
    <cellStyle name="集計 3 9 4 3 2 3 2" xfId="36569"/>
    <cellStyle name="集計 3 9 4 3 2 3 3" xfId="36570"/>
    <cellStyle name="集計 3 9 4 3 2 4" xfId="36571"/>
    <cellStyle name="集計 3 9 4 3 2 4 2" xfId="36572"/>
    <cellStyle name="集計 3 9 4 3 2 4 3" xfId="36573"/>
    <cellStyle name="集計 3 9 4 3 2 5" xfId="36574"/>
    <cellStyle name="集計 3 9 4 3 2 6" xfId="36575"/>
    <cellStyle name="集計 3 9 4 3 3" xfId="36576"/>
    <cellStyle name="集計 3 9 4 3 3 2" xfId="36577"/>
    <cellStyle name="集計 3 9 4 3 3 3" xfId="36578"/>
    <cellStyle name="集計 3 9 4 3 4" xfId="36579"/>
    <cellStyle name="集計 3 9 4 3 4 2" xfId="36580"/>
    <cellStyle name="集計 3 9 4 3 4 3" xfId="36581"/>
    <cellStyle name="集計 3 9 4 3 5" xfId="36582"/>
    <cellStyle name="集計 3 9 4 3 5 2" xfId="36583"/>
    <cellStyle name="集計 3 9 4 3 5 3" xfId="36584"/>
    <cellStyle name="集計 3 9 4 3 6" xfId="36585"/>
    <cellStyle name="集計 3 9 4 3 7" xfId="36586"/>
    <cellStyle name="集計 3 9 4 4" xfId="36587"/>
    <cellStyle name="集計 3 9 4 4 2" xfId="36588"/>
    <cellStyle name="集計 3 9 4 4 2 2" xfId="36589"/>
    <cellStyle name="集計 3 9 4 4 2 2 2" xfId="36590"/>
    <cellStyle name="集計 3 9 4 4 2 2 3" xfId="36591"/>
    <cellStyle name="集計 3 9 4 4 2 3" xfId="36592"/>
    <cellStyle name="集計 3 9 4 4 2 3 2" xfId="36593"/>
    <cellStyle name="集計 3 9 4 4 2 3 3" xfId="36594"/>
    <cellStyle name="集計 3 9 4 4 2 4" xfId="36595"/>
    <cellStyle name="集計 3 9 4 4 2 4 2" xfId="36596"/>
    <cellStyle name="集計 3 9 4 4 2 4 3" xfId="36597"/>
    <cellStyle name="集計 3 9 4 4 2 5" xfId="36598"/>
    <cellStyle name="集計 3 9 4 4 2 6" xfId="36599"/>
    <cellStyle name="集計 3 9 4 4 3" xfId="36600"/>
    <cellStyle name="集計 3 9 4 4 3 2" xfId="36601"/>
    <cellStyle name="集計 3 9 4 4 3 3" xfId="36602"/>
    <cellStyle name="集計 3 9 4 4 4" xfId="36603"/>
    <cellStyle name="集計 3 9 4 4 4 2" xfId="36604"/>
    <cellStyle name="集計 3 9 4 4 4 3" xfId="36605"/>
    <cellStyle name="集計 3 9 4 4 5" xfId="36606"/>
    <cellStyle name="集計 3 9 4 4 5 2" xfId="36607"/>
    <cellStyle name="集計 3 9 4 4 5 3" xfId="36608"/>
    <cellStyle name="集計 3 9 4 4 6" xfId="36609"/>
    <cellStyle name="集計 3 9 4 4 7" xfId="36610"/>
    <cellStyle name="集計 3 9 4 5" xfId="36611"/>
    <cellStyle name="集計 3 9 4 5 2" xfId="36612"/>
    <cellStyle name="集計 3 9 4 5 2 2" xfId="36613"/>
    <cellStyle name="集計 3 9 4 5 2 3" xfId="36614"/>
    <cellStyle name="集計 3 9 4 5 3" xfId="36615"/>
    <cellStyle name="集計 3 9 4 5 3 2" xfId="36616"/>
    <cellStyle name="集計 3 9 4 5 3 3" xfId="36617"/>
    <cellStyle name="集計 3 9 4 5 4" xfId="36618"/>
    <cellStyle name="集計 3 9 4 5 4 2" xfId="36619"/>
    <cellStyle name="集計 3 9 4 5 4 3" xfId="36620"/>
    <cellStyle name="集計 3 9 4 5 5" xfId="36621"/>
    <cellStyle name="集計 3 9 4 5 6" xfId="36622"/>
    <cellStyle name="集計 3 9 4 6" xfId="36623"/>
    <cellStyle name="集計 3 9 4 6 2" xfId="36624"/>
    <cellStyle name="集計 3 9 4 6 3" xfId="36625"/>
    <cellStyle name="集計 3 9 4 7" xfId="36626"/>
    <cellStyle name="集計 3 9 4 7 2" xfId="36627"/>
    <cellStyle name="集計 3 9 4 7 3" xfId="36628"/>
    <cellStyle name="集計 3 9 4 8" xfId="36629"/>
    <cellStyle name="集計 3 9 4 8 2" xfId="36630"/>
    <cellStyle name="集計 3 9 4 8 3" xfId="36631"/>
    <cellStyle name="集計 3 9 4 9" xfId="36632"/>
    <cellStyle name="集計 3 9 5" xfId="36633"/>
    <cellStyle name="集計 3 9 5 10" xfId="36634"/>
    <cellStyle name="集計 3 9 5 2" xfId="36635"/>
    <cellStyle name="集計 3 9 5 2 2" xfId="36636"/>
    <cellStyle name="集計 3 9 5 2 2 2" xfId="36637"/>
    <cellStyle name="集計 3 9 5 2 2 2 2" xfId="36638"/>
    <cellStyle name="集計 3 9 5 2 2 2 2 2" xfId="36639"/>
    <cellStyle name="集計 3 9 5 2 2 2 2 3" xfId="36640"/>
    <cellStyle name="集計 3 9 5 2 2 2 3" xfId="36641"/>
    <cellStyle name="集計 3 9 5 2 2 2 3 2" xfId="36642"/>
    <cellStyle name="集計 3 9 5 2 2 2 3 3" xfId="36643"/>
    <cellStyle name="集計 3 9 5 2 2 2 4" xfId="36644"/>
    <cellStyle name="集計 3 9 5 2 2 2 4 2" xfId="36645"/>
    <cellStyle name="集計 3 9 5 2 2 2 4 3" xfId="36646"/>
    <cellStyle name="集計 3 9 5 2 2 2 5" xfId="36647"/>
    <cellStyle name="集計 3 9 5 2 2 2 6" xfId="36648"/>
    <cellStyle name="集計 3 9 5 2 2 3" xfId="36649"/>
    <cellStyle name="集計 3 9 5 2 2 3 2" xfId="36650"/>
    <cellStyle name="集計 3 9 5 2 2 3 3" xfId="36651"/>
    <cellStyle name="集計 3 9 5 2 2 4" xfId="36652"/>
    <cellStyle name="集計 3 9 5 2 2 4 2" xfId="36653"/>
    <cellStyle name="集計 3 9 5 2 2 4 3" xfId="36654"/>
    <cellStyle name="集計 3 9 5 2 2 5" xfId="36655"/>
    <cellStyle name="集計 3 9 5 2 2 5 2" xfId="36656"/>
    <cellStyle name="集計 3 9 5 2 2 5 3" xfId="36657"/>
    <cellStyle name="集計 3 9 5 2 2 6" xfId="36658"/>
    <cellStyle name="集計 3 9 5 2 2 7" xfId="36659"/>
    <cellStyle name="集計 3 9 5 2 3" xfId="36660"/>
    <cellStyle name="集計 3 9 5 2 3 2" xfId="36661"/>
    <cellStyle name="集計 3 9 5 2 3 2 2" xfId="36662"/>
    <cellStyle name="集計 3 9 5 2 3 2 2 2" xfId="36663"/>
    <cellStyle name="集計 3 9 5 2 3 2 2 3" xfId="36664"/>
    <cellStyle name="集計 3 9 5 2 3 2 3" xfId="36665"/>
    <cellStyle name="集計 3 9 5 2 3 2 3 2" xfId="36666"/>
    <cellStyle name="集計 3 9 5 2 3 2 3 3" xfId="36667"/>
    <cellStyle name="集計 3 9 5 2 3 2 4" xfId="36668"/>
    <cellStyle name="集計 3 9 5 2 3 2 4 2" xfId="36669"/>
    <cellStyle name="集計 3 9 5 2 3 2 4 3" xfId="36670"/>
    <cellStyle name="集計 3 9 5 2 3 2 5" xfId="36671"/>
    <cellStyle name="集計 3 9 5 2 3 2 6" xfId="36672"/>
    <cellStyle name="集計 3 9 5 2 3 3" xfId="36673"/>
    <cellStyle name="集計 3 9 5 2 3 3 2" xfId="36674"/>
    <cellStyle name="集計 3 9 5 2 3 3 3" xfId="36675"/>
    <cellStyle name="集計 3 9 5 2 3 4" xfId="36676"/>
    <cellStyle name="集計 3 9 5 2 3 4 2" xfId="36677"/>
    <cellStyle name="集計 3 9 5 2 3 4 3" xfId="36678"/>
    <cellStyle name="集計 3 9 5 2 3 5" xfId="36679"/>
    <cellStyle name="集計 3 9 5 2 3 5 2" xfId="36680"/>
    <cellStyle name="集計 3 9 5 2 3 5 3" xfId="36681"/>
    <cellStyle name="集計 3 9 5 2 3 6" xfId="36682"/>
    <cellStyle name="集計 3 9 5 2 3 7" xfId="36683"/>
    <cellStyle name="集計 3 9 5 2 4" xfId="36684"/>
    <cellStyle name="集計 3 9 5 2 4 2" xfId="36685"/>
    <cellStyle name="集計 3 9 5 2 4 2 2" xfId="36686"/>
    <cellStyle name="集計 3 9 5 2 4 2 3" xfId="36687"/>
    <cellStyle name="集計 3 9 5 2 4 3" xfId="36688"/>
    <cellStyle name="集計 3 9 5 2 4 3 2" xfId="36689"/>
    <cellStyle name="集計 3 9 5 2 4 3 3" xfId="36690"/>
    <cellStyle name="集計 3 9 5 2 4 4" xfId="36691"/>
    <cellStyle name="集計 3 9 5 2 4 4 2" xfId="36692"/>
    <cellStyle name="集計 3 9 5 2 4 4 3" xfId="36693"/>
    <cellStyle name="集計 3 9 5 2 4 5" xfId="36694"/>
    <cellStyle name="集計 3 9 5 2 4 6" xfId="36695"/>
    <cellStyle name="集計 3 9 5 2 5" xfId="36696"/>
    <cellStyle name="集計 3 9 5 2 5 2" xfId="36697"/>
    <cellStyle name="集計 3 9 5 2 5 3" xfId="36698"/>
    <cellStyle name="集計 3 9 5 2 6" xfId="36699"/>
    <cellStyle name="集計 3 9 5 2 6 2" xfId="36700"/>
    <cellStyle name="集計 3 9 5 2 6 3" xfId="36701"/>
    <cellStyle name="集計 3 9 5 2 7" xfId="36702"/>
    <cellStyle name="集計 3 9 5 2 7 2" xfId="36703"/>
    <cellStyle name="集計 3 9 5 2 7 3" xfId="36704"/>
    <cellStyle name="集計 3 9 5 2 8" xfId="36705"/>
    <cellStyle name="集計 3 9 5 2 9" xfId="36706"/>
    <cellStyle name="集計 3 9 5 3" xfId="36707"/>
    <cellStyle name="集計 3 9 5 3 2" xfId="36708"/>
    <cellStyle name="集計 3 9 5 3 2 2" xfId="36709"/>
    <cellStyle name="集計 3 9 5 3 2 2 2" xfId="36710"/>
    <cellStyle name="集計 3 9 5 3 2 2 3" xfId="36711"/>
    <cellStyle name="集計 3 9 5 3 2 3" xfId="36712"/>
    <cellStyle name="集計 3 9 5 3 2 3 2" xfId="36713"/>
    <cellStyle name="集計 3 9 5 3 2 3 3" xfId="36714"/>
    <cellStyle name="集計 3 9 5 3 2 4" xfId="36715"/>
    <cellStyle name="集計 3 9 5 3 2 4 2" xfId="36716"/>
    <cellStyle name="集計 3 9 5 3 2 4 3" xfId="36717"/>
    <cellStyle name="集計 3 9 5 3 2 5" xfId="36718"/>
    <cellStyle name="集計 3 9 5 3 2 6" xfId="36719"/>
    <cellStyle name="集計 3 9 5 3 3" xfId="36720"/>
    <cellStyle name="集計 3 9 5 3 3 2" xfId="36721"/>
    <cellStyle name="集計 3 9 5 3 3 3" xfId="36722"/>
    <cellStyle name="集計 3 9 5 3 4" xfId="36723"/>
    <cellStyle name="集計 3 9 5 3 4 2" xfId="36724"/>
    <cellStyle name="集計 3 9 5 3 4 3" xfId="36725"/>
    <cellStyle name="集計 3 9 5 3 5" xfId="36726"/>
    <cellStyle name="集計 3 9 5 3 5 2" xfId="36727"/>
    <cellStyle name="集計 3 9 5 3 5 3" xfId="36728"/>
    <cellStyle name="集計 3 9 5 3 6" xfId="36729"/>
    <cellStyle name="集計 3 9 5 3 7" xfId="36730"/>
    <cellStyle name="集計 3 9 5 4" xfId="36731"/>
    <cellStyle name="集計 3 9 5 4 2" xfId="36732"/>
    <cellStyle name="集計 3 9 5 4 2 2" xfId="36733"/>
    <cellStyle name="集計 3 9 5 4 2 2 2" xfId="36734"/>
    <cellStyle name="集計 3 9 5 4 2 2 3" xfId="36735"/>
    <cellStyle name="集計 3 9 5 4 2 3" xfId="36736"/>
    <cellStyle name="集計 3 9 5 4 2 3 2" xfId="36737"/>
    <cellStyle name="集計 3 9 5 4 2 3 3" xfId="36738"/>
    <cellStyle name="集計 3 9 5 4 2 4" xfId="36739"/>
    <cellStyle name="集計 3 9 5 4 2 4 2" xfId="36740"/>
    <cellStyle name="集計 3 9 5 4 2 4 3" xfId="36741"/>
    <cellStyle name="集計 3 9 5 4 2 5" xfId="36742"/>
    <cellStyle name="集計 3 9 5 4 2 6" xfId="36743"/>
    <cellStyle name="集計 3 9 5 4 3" xfId="36744"/>
    <cellStyle name="集計 3 9 5 4 3 2" xfId="36745"/>
    <cellStyle name="集計 3 9 5 4 3 3" xfId="36746"/>
    <cellStyle name="集計 3 9 5 4 4" xfId="36747"/>
    <cellStyle name="集計 3 9 5 4 4 2" xfId="36748"/>
    <cellStyle name="集計 3 9 5 4 4 3" xfId="36749"/>
    <cellStyle name="集計 3 9 5 4 5" xfId="36750"/>
    <cellStyle name="集計 3 9 5 4 5 2" xfId="36751"/>
    <cellStyle name="集計 3 9 5 4 5 3" xfId="36752"/>
    <cellStyle name="集計 3 9 5 4 6" xfId="36753"/>
    <cellStyle name="集計 3 9 5 4 7" xfId="36754"/>
    <cellStyle name="集計 3 9 5 5" xfId="36755"/>
    <cellStyle name="集計 3 9 5 5 2" xfId="36756"/>
    <cellStyle name="集計 3 9 5 5 2 2" xfId="36757"/>
    <cellStyle name="集計 3 9 5 5 2 3" xfId="36758"/>
    <cellStyle name="集計 3 9 5 5 3" xfId="36759"/>
    <cellStyle name="集計 3 9 5 5 3 2" xfId="36760"/>
    <cellStyle name="集計 3 9 5 5 3 3" xfId="36761"/>
    <cellStyle name="集計 3 9 5 5 4" xfId="36762"/>
    <cellStyle name="集計 3 9 5 5 4 2" xfId="36763"/>
    <cellStyle name="集計 3 9 5 5 4 3" xfId="36764"/>
    <cellStyle name="集計 3 9 5 5 5" xfId="36765"/>
    <cellStyle name="集計 3 9 5 5 6" xfId="36766"/>
    <cellStyle name="集計 3 9 5 6" xfId="36767"/>
    <cellStyle name="集計 3 9 5 6 2" xfId="36768"/>
    <cellStyle name="集計 3 9 5 6 3" xfId="36769"/>
    <cellStyle name="集計 3 9 5 7" xfId="36770"/>
    <cellStyle name="集計 3 9 5 7 2" xfId="36771"/>
    <cellStyle name="集計 3 9 5 7 3" xfId="36772"/>
    <cellStyle name="集計 3 9 5 8" xfId="36773"/>
    <cellStyle name="集計 3 9 5 8 2" xfId="36774"/>
    <cellStyle name="集計 3 9 5 8 3" xfId="36775"/>
    <cellStyle name="集計 3 9 5 9" xfId="36776"/>
    <cellStyle name="集計 3 9 6" xfId="36777"/>
    <cellStyle name="集計 3 9 6 10" xfId="36778"/>
    <cellStyle name="集計 3 9 6 2" xfId="36779"/>
    <cellStyle name="集計 3 9 6 2 2" xfId="36780"/>
    <cellStyle name="集計 3 9 6 2 2 2" xfId="36781"/>
    <cellStyle name="集計 3 9 6 2 2 2 2" xfId="36782"/>
    <cellStyle name="集計 3 9 6 2 2 2 2 2" xfId="36783"/>
    <cellStyle name="集計 3 9 6 2 2 2 2 3" xfId="36784"/>
    <cellStyle name="集計 3 9 6 2 2 2 3" xfId="36785"/>
    <cellStyle name="集計 3 9 6 2 2 2 3 2" xfId="36786"/>
    <cellStyle name="集計 3 9 6 2 2 2 3 3" xfId="36787"/>
    <cellStyle name="集計 3 9 6 2 2 2 4" xfId="36788"/>
    <cellStyle name="集計 3 9 6 2 2 2 4 2" xfId="36789"/>
    <cellStyle name="集計 3 9 6 2 2 2 4 3" xfId="36790"/>
    <cellStyle name="集計 3 9 6 2 2 2 5" xfId="36791"/>
    <cellStyle name="集計 3 9 6 2 2 2 6" xfId="36792"/>
    <cellStyle name="集計 3 9 6 2 2 3" xfId="36793"/>
    <cellStyle name="集計 3 9 6 2 2 3 2" xfId="36794"/>
    <cellStyle name="集計 3 9 6 2 2 3 3" xfId="36795"/>
    <cellStyle name="集計 3 9 6 2 2 4" xfId="36796"/>
    <cellStyle name="集計 3 9 6 2 2 4 2" xfId="36797"/>
    <cellStyle name="集計 3 9 6 2 2 4 3" xfId="36798"/>
    <cellStyle name="集計 3 9 6 2 2 5" xfId="36799"/>
    <cellStyle name="集計 3 9 6 2 2 5 2" xfId="36800"/>
    <cellStyle name="集計 3 9 6 2 2 5 3" xfId="36801"/>
    <cellStyle name="集計 3 9 6 2 2 6" xfId="36802"/>
    <cellStyle name="集計 3 9 6 2 2 7" xfId="36803"/>
    <cellStyle name="集計 3 9 6 2 3" xfId="36804"/>
    <cellStyle name="集計 3 9 6 2 3 2" xfId="36805"/>
    <cellStyle name="集計 3 9 6 2 3 2 2" xfId="36806"/>
    <cellStyle name="集計 3 9 6 2 3 2 2 2" xfId="36807"/>
    <cellStyle name="集計 3 9 6 2 3 2 2 3" xfId="36808"/>
    <cellStyle name="集計 3 9 6 2 3 2 3" xfId="36809"/>
    <cellStyle name="集計 3 9 6 2 3 2 3 2" xfId="36810"/>
    <cellStyle name="集計 3 9 6 2 3 2 3 3" xfId="36811"/>
    <cellStyle name="集計 3 9 6 2 3 2 4" xfId="36812"/>
    <cellStyle name="集計 3 9 6 2 3 2 4 2" xfId="36813"/>
    <cellStyle name="集計 3 9 6 2 3 2 4 3" xfId="36814"/>
    <cellStyle name="集計 3 9 6 2 3 2 5" xfId="36815"/>
    <cellStyle name="集計 3 9 6 2 3 2 6" xfId="36816"/>
    <cellStyle name="集計 3 9 6 2 3 3" xfId="36817"/>
    <cellStyle name="集計 3 9 6 2 3 3 2" xfId="36818"/>
    <cellStyle name="集計 3 9 6 2 3 3 3" xfId="36819"/>
    <cellStyle name="集計 3 9 6 2 3 4" xfId="36820"/>
    <cellStyle name="集計 3 9 6 2 3 4 2" xfId="36821"/>
    <cellStyle name="集計 3 9 6 2 3 4 3" xfId="36822"/>
    <cellStyle name="集計 3 9 6 2 3 5" xfId="36823"/>
    <cellStyle name="集計 3 9 6 2 3 5 2" xfId="36824"/>
    <cellStyle name="集計 3 9 6 2 3 5 3" xfId="36825"/>
    <cellStyle name="集計 3 9 6 2 3 6" xfId="36826"/>
    <cellStyle name="集計 3 9 6 2 3 7" xfId="36827"/>
    <cellStyle name="集計 3 9 6 2 4" xfId="36828"/>
    <cellStyle name="集計 3 9 6 2 4 2" xfId="36829"/>
    <cellStyle name="集計 3 9 6 2 4 2 2" xfId="36830"/>
    <cellStyle name="集計 3 9 6 2 4 2 3" xfId="36831"/>
    <cellStyle name="集計 3 9 6 2 4 3" xfId="36832"/>
    <cellStyle name="集計 3 9 6 2 4 3 2" xfId="36833"/>
    <cellStyle name="集計 3 9 6 2 4 3 3" xfId="36834"/>
    <cellStyle name="集計 3 9 6 2 4 4" xfId="36835"/>
    <cellStyle name="集計 3 9 6 2 4 4 2" xfId="36836"/>
    <cellStyle name="集計 3 9 6 2 4 4 3" xfId="36837"/>
    <cellStyle name="集計 3 9 6 2 4 5" xfId="36838"/>
    <cellStyle name="集計 3 9 6 2 4 6" xfId="36839"/>
    <cellStyle name="集計 3 9 6 2 5" xfId="36840"/>
    <cellStyle name="集計 3 9 6 2 5 2" xfId="36841"/>
    <cellStyle name="集計 3 9 6 2 5 3" xfId="36842"/>
    <cellStyle name="集計 3 9 6 2 6" xfId="36843"/>
    <cellStyle name="集計 3 9 6 2 6 2" xfId="36844"/>
    <cellStyle name="集計 3 9 6 2 6 3" xfId="36845"/>
    <cellStyle name="集計 3 9 6 2 7" xfId="36846"/>
    <cellStyle name="集計 3 9 6 2 7 2" xfId="36847"/>
    <cellStyle name="集計 3 9 6 2 7 3" xfId="36848"/>
    <cellStyle name="集計 3 9 6 2 8" xfId="36849"/>
    <cellStyle name="集計 3 9 6 2 9" xfId="36850"/>
    <cellStyle name="集計 3 9 6 3" xfId="36851"/>
    <cellStyle name="集計 3 9 6 3 2" xfId="36852"/>
    <cellStyle name="集計 3 9 6 3 2 2" xfId="36853"/>
    <cellStyle name="集計 3 9 6 3 2 2 2" xfId="36854"/>
    <cellStyle name="集計 3 9 6 3 2 2 3" xfId="36855"/>
    <cellStyle name="集計 3 9 6 3 2 3" xfId="36856"/>
    <cellStyle name="集計 3 9 6 3 2 3 2" xfId="36857"/>
    <cellStyle name="集計 3 9 6 3 2 3 3" xfId="36858"/>
    <cellStyle name="集計 3 9 6 3 2 4" xfId="36859"/>
    <cellStyle name="集計 3 9 6 3 2 4 2" xfId="36860"/>
    <cellStyle name="集計 3 9 6 3 2 4 3" xfId="36861"/>
    <cellStyle name="集計 3 9 6 3 2 5" xfId="36862"/>
    <cellStyle name="集計 3 9 6 3 2 6" xfId="36863"/>
    <cellStyle name="集計 3 9 6 3 3" xfId="36864"/>
    <cellStyle name="集計 3 9 6 3 3 2" xfId="36865"/>
    <cellStyle name="集計 3 9 6 3 3 3" xfId="36866"/>
    <cellStyle name="集計 3 9 6 3 4" xfId="36867"/>
    <cellStyle name="集計 3 9 6 3 4 2" xfId="36868"/>
    <cellStyle name="集計 3 9 6 3 4 3" xfId="36869"/>
    <cellStyle name="集計 3 9 6 3 5" xfId="36870"/>
    <cellStyle name="集計 3 9 6 3 5 2" xfId="36871"/>
    <cellStyle name="集計 3 9 6 3 5 3" xfId="36872"/>
    <cellStyle name="集計 3 9 6 3 6" xfId="36873"/>
    <cellStyle name="集計 3 9 6 3 7" xfId="36874"/>
    <cellStyle name="集計 3 9 6 4" xfId="36875"/>
    <cellStyle name="集計 3 9 6 4 2" xfId="36876"/>
    <cellStyle name="集計 3 9 6 4 2 2" xfId="36877"/>
    <cellStyle name="集計 3 9 6 4 2 2 2" xfId="36878"/>
    <cellStyle name="集計 3 9 6 4 2 2 3" xfId="36879"/>
    <cellStyle name="集計 3 9 6 4 2 3" xfId="36880"/>
    <cellStyle name="集計 3 9 6 4 2 3 2" xfId="36881"/>
    <cellStyle name="集計 3 9 6 4 2 3 3" xfId="36882"/>
    <cellStyle name="集計 3 9 6 4 2 4" xfId="36883"/>
    <cellStyle name="集計 3 9 6 4 2 4 2" xfId="36884"/>
    <cellStyle name="集計 3 9 6 4 2 4 3" xfId="36885"/>
    <cellStyle name="集計 3 9 6 4 2 5" xfId="36886"/>
    <cellStyle name="集計 3 9 6 4 2 6" xfId="36887"/>
    <cellStyle name="集計 3 9 6 4 3" xfId="36888"/>
    <cellStyle name="集計 3 9 6 4 3 2" xfId="36889"/>
    <cellStyle name="集計 3 9 6 4 3 3" xfId="36890"/>
    <cellStyle name="集計 3 9 6 4 4" xfId="36891"/>
    <cellStyle name="集計 3 9 6 4 4 2" xfId="36892"/>
    <cellStyle name="集計 3 9 6 4 4 3" xfId="36893"/>
    <cellStyle name="集計 3 9 6 4 5" xfId="36894"/>
    <cellStyle name="集計 3 9 6 4 5 2" xfId="36895"/>
    <cellStyle name="集計 3 9 6 4 5 3" xfId="36896"/>
    <cellStyle name="集計 3 9 6 4 6" xfId="36897"/>
    <cellStyle name="集計 3 9 6 4 7" xfId="36898"/>
    <cellStyle name="集計 3 9 6 5" xfId="36899"/>
    <cellStyle name="集計 3 9 6 5 2" xfId="36900"/>
    <cellStyle name="集計 3 9 6 5 2 2" xfId="36901"/>
    <cellStyle name="集計 3 9 6 5 2 3" xfId="36902"/>
    <cellStyle name="集計 3 9 6 5 3" xfId="36903"/>
    <cellStyle name="集計 3 9 6 5 3 2" xfId="36904"/>
    <cellStyle name="集計 3 9 6 5 3 3" xfId="36905"/>
    <cellStyle name="集計 3 9 6 5 4" xfId="36906"/>
    <cellStyle name="集計 3 9 6 5 4 2" xfId="36907"/>
    <cellStyle name="集計 3 9 6 5 4 3" xfId="36908"/>
    <cellStyle name="集計 3 9 6 5 5" xfId="36909"/>
    <cellStyle name="集計 3 9 6 5 6" xfId="36910"/>
    <cellStyle name="集計 3 9 6 6" xfId="36911"/>
    <cellStyle name="集計 3 9 6 6 2" xfId="36912"/>
    <cellStyle name="集計 3 9 6 6 3" xfId="36913"/>
    <cellStyle name="集計 3 9 6 7" xfId="36914"/>
    <cellStyle name="集計 3 9 6 7 2" xfId="36915"/>
    <cellStyle name="集計 3 9 6 7 3" xfId="36916"/>
    <cellStyle name="集計 3 9 6 8" xfId="36917"/>
    <cellStyle name="集計 3 9 6 8 2" xfId="36918"/>
    <cellStyle name="集計 3 9 6 8 3" xfId="36919"/>
    <cellStyle name="集計 3 9 6 9" xfId="36920"/>
    <cellStyle name="集計 3 9 7" xfId="36921"/>
    <cellStyle name="集計 3 9 7 2" xfId="36922"/>
    <cellStyle name="集計 3 9 7 2 2" xfId="36923"/>
    <cellStyle name="集計 3 9 7 2 2 2" xfId="36924"/>
    <cellStyle name="集計 3 9 7 2 2 3" xfId="36925"/>
    <cellStyle name="集計 3 9 7 2 3" xfId="36926"/>
    <cellStyle name="集計 3 9 7 2 3 2" xfId="36927"/>
    <cellStyle name="集計 3 9 7 2 3 3" xfId="36928"/>
    <cellStyle name="集計 3 9 7 2 4" xfId="36929"/>
    <cellStyle name="集計 3 9 7 2 4 2" xfId="36930"/>
    <cellStyle name="集計 3 9 7 2 4 3" xfId="36931"/>
    <cellStyle name="集計 3 9 7 2 5" xfId="36932"/>
    <cellStyle name="集計 3 9 7 2 6" xfId="36933"/>
    <cellStyle name="集計 3 9 7 3" xfId="36934"/>
    <cellStyle name="集計 3 9 7 3 2" xfId="36935"/>
    <cellStyle name="集計 3 9 7 3 3" xfId="36936"/>
    <cellStyle name="集計 3 9 7 4" xfId="36937"/>
    <cellStyle name="集計 3 9 7 4 2" xfId="36938"/>
    <cellStyle name="集計 3 9 7 4 3" xfId="36939"/>
    <cellStyle name="集計 3 9 7 5" xfId="36940"/>
    <cellStyle name="集計 3 9 7 5 2" xfId="36941"/>
    <cellStyle name="集計 3 9 7 5 3" xfId="36942"/>
    <cellStyle name="集計 3 9 7 6" xfId="36943"/>
    <cellStyle name="集計 3 9 7 7" xfId="36944"/>
    <cellStyle name="集計 3 9 8" xfId="36945"/>
    <cellStyle name="集計 3 9 8 2" xfId="36946"/>
    <cellStyle name="集計 3 9 8 2 2" xfId="36947"/>
    <cellStyle name="集計 3 9 8 2 2 2" xfId="36948"/>
    <cellStyle name="集計 3 9 8 2 2 3" xfId="36949"/>
    <cellStyle name="集計 3 9 8 2 3" xfId="36950"/>
    <cellStyle name="集計 3 9 8 2 3 2" xfId="36951"/>
    <cellStyle name="集計 3 9 8 2 3 3" xfId="36952"/>
    <cellStyle name="集計 3 9 8 2 4" xfId="36953"/>
    <cellStyle name="集計 3 9 8 2 4 2" xfId="36954"/>
    <cellStyle name="集計 3 9 8 2 4 3" xfId="36955"/>
    <cellStyle name="集計 3 9 8 2 5" xfId="36956"/>
    <cellStyle name="集計 3 9 8 2 6" xfId="36957"/>
    <cellStyle name="集計 3 9 8 3" xfId="36958"/>
    <cellStyle name="集計 3 9 8 3 2" xfId="36959"/>
    <cellStyle name="集計 3 9 8 3 3" xfId="36960"/>
    <cellStyle name="集計 3 9 8 4" xfId="36961"/>
    <cellStyle name="集計 3 9 8 4 2" xfId="36962"/>
    <cellStyle name="集計 3 9 8 4 3" xfId="36963"/>
    <cellStyle name="集計 3 9 8 5" xfId="36964"/>
    <cellStyle name="集計 3 9 8 5 2" xfId="36965"/>
    <cellStyle name="集計 3 9 8 5 3" xfId="36966"/>
    <cellStyle name="集計 3 9 8 6" xfId="36967"/>
    <cellStyle name="集計 3 9 8 7" xfId="36968"/>
    <cellStyle name="集計 3 9 9" xfId="36969"/>
    <cellStyle name="集計 3 9 9 2" xfId="36970"/>
    <cellStyle name="集計 3 9 9 2 2" xfId="36971"/>
    <cellStyle name="集計 3 9 9 2 3" xfId="36972"/>
    <cellStyle name="集計 3 9 9 3" xfId="36973"/>
    <cellStyle name="集計 3 9 9 3 2" xfId="36974"/>
    <cellStyle name="集計 3 9 9 3 3" xfId="36975"/>
    <cellStyle name="集計 3 9 9 4" xfId="36976"/>
    <cellStyle name="集計 3 9 9 4 2" xfId="36977"/>
    <cellStyle name="集計 3 9 9 4 3" xfId="36978"/>
    <cellStyle name="集計 3 9 9 5" xfId="36979"/>
    <cellStyle name="集計 3 9 9 6" xfId="36980"/>
    <cellStyle name="集計 4" xfId="36981"/>
    <cellStyle name="集計 4 2" xfId="36982"/>
    <cellStyle name="集計 4 2 10" xfId="36983"/>
    <cellStyle name="集計 4 2 10 2" xfId="36984"/>
    <cellStyle name="集計 4 2 10 3" xfId="36985"/>
    <cellStyle name="集計 4 2 11" xfId="36986"/>
    <cellStyle name="集計 4 2 11 2" xfId="36987"/>
    <cellStyle name="集計 4 2 11 3" xfId="36988"/>
    <cellStyle name="集計 4 2 12" xfId="36989"/>
    <cellStyle name="集計 4 2 12 2" xfId="36990"/>
    <cellStyle name="集計 4 2 12 3" xfId="36991"/>
    <cellStyle name="集計 4 2 13" xfId="36992"/>
    <cellStyle name="集計 4 2 14" xfId="36993"/>
    <cellStyle name="集計 4 2 2" xfId="36994"/>
    <cellStyle name="集計 4 2 2 10" xfId="36995"/>
    <cellStyle name="集計 4 2 2 2" xfId="36996"/>
    <cellStyle name="集計 4 2 2 2 10" xfId="36997"/>
    <cellStyle name="集計 4 2 2 2 2" xfId="36998"/>
    <cellStyle name="集計 4 2 2 2 2 2" xfId="36999"/>
    <cellStyle name="集計 4 2 2 2 2 2 2" xfId="37000"/>
    <cellStyle name="集計 4 2 2 2 2 2 2 2" xfId="37001"/>
    <cellStyle name="集計 4 2 2 2 2 2 2 2 2" xfId="37002"/>
    <cellStyle name="集計 4 2 2 2 2 2 2 2 3" xfId="37003"/>
    <cellStyle name="集計 4 2 2 2 2 2 2 3" xfId="37004"/>
    <cellStyle name="集計 4 2 2 2 2 2 2 3 2" xfId="37005"/>
    <cellStyle name="集計 4 2 2 2 2 2 2 3 3" xfId="37006"/>
    <cellStyle name="集計 4 2 2 2 2 2 2 4" xfId="37007"/>
    <cellStyle name="集計 4 2 2 2 2 2 2 4 2" xfId="37008"/>
    <cellStyle name="集計 4 2 2 2 2 2 2 4 3" xfId="37009"/>
    <cellStyle name="集計 4 2 2 2 2 2 2 5" xfId="37010"/>
    <cellStyle name="集計 4 2 2 2 2 2 2 6" xfId="37011"/>
    <cellStyle name="集計 4 2 2 2 2 2 3" xfId="37012"/>
    <cellStyle name="集計 4 2 2 2 2 2 3 2" xfId="37013"/>
    <cellStyle name="集計 4 2 2 2 2 2 3 3" xfId="37014"/>
    <cellStyle name="集計 4 2 2 2 2 2 4" xfId="37015"/>
    <cellStyle name="集計 4 2 2 2 2 2 4 2" xfId="37016"/>
    <cellStyle name="集計 4 2 2 2 2 2 4 3" xfId="37017"/>
    <cellStyle name="集計 4 2 2 2 2 2 5" xfId="37018"/>
    <cellStyle name="集計 4 2 2 2 2 2 5 2" xfId="37019"/>
    <cellStyle name="集計 4 2 2 2 2 2 5 3" xfId="37020"/>
    <cellStyle name="集計 4 2 2 2 2 2 6" xfId="37021"/>
    <cellStyle name="集計 4 2 2 2 2 2 7" xfId="37022"/>
    <cellStyle name="集計 4 2 2 2 2 3" xfId="37023"/>
    <cellStyle name="集計 4 2 2 2 2 3 2" xfId="37024"/>
    <cellStyle name="集計 4 2 2 2 2 3 2 2" xfId="37025"/>
    <cellStyle name="集計 4 2 2 2 2 3 2 2 2" xfId="37026"/>
    <cellStyle name="集計 4 2 2 2 2 3 2 2 3" xfId="37027"/>
    <cellStyle name="集計 4 2 2 2 2 3 2 3" xfId="37028"/>
    <cellStyle name="集計 4 2 2 2 2 3 2 3 2" xfId="37029"/>
    <cellStyle name="集計 4 2 2 2 2 3 2 3 3" xfId="37030"/>
    <cellStyle name="集計 4 2 2 2 2 3 2 4" xfId="37031"/>
    <cellStyle name="集計 4 2 2 2 2 3 2 4 2" xfId="37032"/>
    <cellStyle name="集計 4 2 2 2 2 3 2 4 3" xfId="37033"/>
    <cellStyle name="集計 4 2 2 2 2 3 2 5" xfId="37034"/>
    <cellStyle name="集計 4 2 2 2 2 3 2 6" xfId="37035"/>
    <cellStyle name="集計 4 2 2 2 2 3 3" xfId="37036"/>
    <cellStyle name="集計 4 2 2 2 2 3 3 2" xfId="37037"/>
    <cellStyle name="集計 4 2 2 2 2 3 3 3" xfId="37038"/>
    <cellStyle name="集計 4 2 2 2 2 3 4" xfId="37039"/>
    <cellStyle name="集計 4 2 2 2 2 3 4 2" xfId="37040"/>
    <cellStyle name="集計 4 2 2 2 2 3 4 3" xfId="37041"/>
    <cellStyle name="集計 4 2 2 2 2 3 5" xfId="37042"/>
    <cellStyle name="集計 4 2 2 2 2 3 5 2" xfId="37043"/>
    <cellStyle name="集計 4 2 2 2 2 3 5 3" xfId="37044"/>
    <cellStyle name="集計 4 2 2 2 2 3 6" xfId="37045"/>
    <cellStyle name="集計 4 2 2 2 2 3 7" xfId="37046"/>
    <cellStyle name="集計 4 2 2 2 2 4" xfId="37047"/>
    <cellStyle name="集計 4 2 2 2 2 4 2" xfId="37048"/>
    <cellStyle name="集計 4 2 2 2 2 4 2 2" xfId="37049"/>
    <cellStyle name="集計 4 2 2 2 2 4 2 3" xfId="37050"/>
    <cellStyle name="集計 4 2 2 2 2 4 3" xfId="37051"/>
    <cellStyle name="集計 4 2 2 2 2 4 3 2" xfId="37052"/>
    <cellStyle name="集計 4 2 2 2 2 4 3 3" xfId="37053"/>
    <cellStyle name="集計 4 2 2 2 2 4 4" xfId="37054"/>
    <cellStyle name="集計 4 2 2 2 2 4 4 2" xfId="37055"/>
    <cellStyle name="集計 4 2 2 2 2 4 4 3" xfId="37056"/>
    <cellStyle name="集計 4 2 2 2 2 4 5" xfId="37057"/>
    <cellStyle name="集計 4 2 2 2 2 4 6" xfId="37058"/>
    <cellStyle name="集計 4 2 2 2 2 5" xfId="37059"/>
    <cellStyle name="集計 4 2 2 2 2 5 2" xfId="37060"/>
    <cellStyle name="集計 4 2 2 2 2 5 3" xfId="37061"/>
    <cellStyle name="集計 4 2 2 2 2 6" xfId="37062"/>
    <cellStyle name="集計 4 2 2 2 2 6 2" xfId="37063"/>
    <cellStyle name="集計 4 2 2 2 2 6 3" xfId="37064"/>
    <cellStyle name="集計 4 2 2 2 2 7" xfId="37065"/>
    <cellStyle name="集計 4 2 2 2 2 7 2" xfId="37066"/>
    <cellStyle name="集計 4 2 2 2 2 7 3" xfId="37067"/>
    <cellStyle name="集計 4 2 2 2 2 8" xfId="37068"/>
    <cellStyle name="集計 4 2 2 2 2 9" xfId="37069"/>
    <cellStyle name="集計 4 2 2 2 3" xfId="37070"/>
    <cellStyle name="集計 4 2 2 2 3 2" xfId="37071"/>
    <cellStyle name="集計 4 2 2 2 3 2 2" xfId="37072"/>
    <cellStyle name="集計 4 2 2 2 3 2 2 2" xfId="37073"/>
    <cellStyle name="集計 4 2 2 2 3 2 2 3" xfId="37074"/>
    <cellStyle name="集計 4 2 2 2 3 2 3" xfId="37075"/>
    <cellStyle name="集計 4 2 2 2 3 2 3 2" xfId="37076"/>
    <cellStyle name="集計 4 2 2 2 3 2 3 3" xfId="37077"/>
    <cellStyle name="集計 4 2 2 2 3 2 4" xfId="37078"/>
    <cellStyle name="集計 4 2 2 2 3 2 4 2" xfId="37079"/>
    <cellStyle name="集計 4 2 2 2 3 2 4 3" xfId="37080"/>
    <cellStyle name="集計 4 2 2 2 3 2 5" xfId="37081"/>
    <cellStyle name="集計 4 2 2 2 3 2 6" xfId="37082"/>
    <cellStyle name="集計 4 2 2 2 3 3" xfId="37083"/>
    <cellStyle name="集計 4 2 2 2 3 3 2" xfId="37084"/>
    <cellStyle name="集計 4 2 2 2 3 3 3" xfId="37085"/>
    <cellStyle name="集計 4 2 2 2 3 4" xfId="37086"/>
    <cellStyle name="集計 4 2 2 2 3 4 2" xfId="37087"/>
    <cellStyle name="集計 4 2 2 2 3 4 3" xfId="37088"/>
    <cellStyle name="集計 4 2 2 2 3 5" xfId="37089"/>
    <cellStyle name="集計 4 2 2 2 3 5 2" xfId="37090"/>
    <cellStyle name="集計 4 2 2 2 3 5 3" xfId="37091"/>
    <cellStyle name="集計 4 2 2 2 3 6" xfId="37092"/>
    <cellStyle name="集計 4 2 2 2 3 7" xfId="37093"/>
    <cellStyle name="集計 4 2 2 2 4" xfId="37094"/>
    <cellStyle name="集計 4 2 2 2 4 2" xfId="37095"/>
    <cellStyle name="集計 4 2 2 2 4 2 2" xfId="37096"/>
    <cellStyle name="集計 4 2 2 2 4 2 2 2" xfId="37097"/>
    <cellStyle name="集計 4 2 2 2 4 2 2 3" xfId="37098"/>
    <cellStyle name="集計 4 2 2 2 4 2 3" xfId="37099"/>
    <cellStyle name="集計 4 2 2 2 4 2 3 2" xfId="37100"/>
    <cellStyle name="集計 4 2 2 2 4 2 3 3" xfId="37101"/>
    <cellStyle name="集計 4 2 2 2 4 2 4" xfId="37102"/>
    <cellStyle name="集計 4 2 2 2 4 2 4 2" xfId="37103"/>
    <cellStyle name="集計 4 2 2 2 4 2 4 3" xfId="37104"/>
    <cellStyle name="集計 4 2 2 2 4 2 5" xfId="37105"/>
    <cellStyle name="集計 4 2 2 2 4 2 6" xfId="37106"/>
    <cellStyle name="集計 4 2 2 2 4 3" xfId="37107"/>
    <cellStyle name="集計 4 2 2 2 4 3 2" xfId="37108"/>
    <cellStyle name="集計 4 2 2 2 4 3 3" xfId="37109"/>
    <cellStyle name="集計 4 2 2 2 4 4" xfId="37110"/>
    <cellStyle name="集計 4 2 2 2 4 4 2" xfId="37111"/>
    <cellStyle name="集計 4 2 2 2 4 4 3" xfId="37112"/>
    <cellStyle name="集計 4 2 2 2 4 5" xfId="37113"/>
    <cellStyle name="集計 4 2 2 2 4 5 2" xfId="37114"/>
    <cellStyle name="集計 4 2 2 2 4 5 3" xfId="37115"/>
    <cellStyle name="集計 4 2 2 2 4 6" xfId="37116"/>
    <cellStyle name="集計 4 2 2 2 4 7" xfId="37117"/>
    <cellStyle name="集計 4 2 2 2 5" xfId="37118"/>
    <cellStyle name="集計 4 2 2 2 5 2" xfId="37119"/>
    <cellStyle name="集計 4 2 2 2 5 2 2" xfId="37120"/>
    <cellStyle name="集計 4 2 2 2 5 2 3" xfId="37121"/>
    <cellStyle name="集計 4 2 2 2 5 3" xfId="37122"/>
    <cellStyle name="集計 4 2 2 2 5 3 2" xfId="37123"/>
    <cellStyle name="集計 4 2 2 2 5 3 3" xfId="37124"/>
    <cellStyle name="集計 4 2 2 2 5 4" xfId="37125"/>
    <cellStyle name="集計 4 2 2 2 5 4 2" xfId="37126"/>
    <cellStyle name="集計 4 2 2 2 5 4 3" xfId="37127"/>
    <cellStyle name="集計 4 2 2 2 5 5" xfId="37128"/>
    <cellStyle name="集計 4 2 2 2 5 6" xfId="37129"/>
    <cellStyle name="集計 4 2 2 2 6" xfId="37130"/>
    <cellStyle name="集計 4 2 2 2 6 2" xfId="37131"/>
    <cellStyle name="集計 4 2 2 2 6 3" xfId="37132"/>
    <cellStyle name="集計 4 2 2 2 7" xfId="37133"/>
    <cellStyle name="集計 4 2 2 2 7 2" xfId="37134"/>
    <cellStyle name="集計 4 2 2 2 7 3" xfId="37135"/>
    <cellStyle name="集計 4 2 2 2 8" xfId="37136"/>
    <cellStyle name="集計 4 2 2 2 8 2" xfId="37137"/>
    <cellStyle name="集計 4 2 2 2 8 3" xfId="37138"/>
    <cellStyle name="集計 4 2 2 2 9" xfId="37139"/>
    <cellStyle name="集計 4 2 2 3" xfId="37140"/>
    <cellStyle name="集計 4 2 2 3 2" xfId="37141"/>
    <cellStyle name="集計 4 2 2 3 2 2" xfId="37142"/>
    <cellStyle name="集計 4 2 2 3 2 2 2" xfId="37143"/>
    <cellStyle name="集計 4 2 2 3 2 2 3" xfId="37144"/>
    <cellStyle name="集計 4 2 2 3 2 3" xfId="37145"/>
    <cellStyle name="集計 4 2 2 3 2 3 2" xfId="37146"/>
    <cellStyle name="集計 4 2 2 3 2 3 3" xfId="37147"/>
    <cellStyle name="集計 4 2 2 3 2 4" xfId="37148"/>
    <cellStyle name="集計 4 2 2 3 2 4 2" xfId="37149"/>
    <cellStyle name="集計 4 2 2 3 2 4 3" xfId="37150"/>
    <cellStyle name="集計 4 2 2 3 2 5" xfId="37151"/>
    <cellStyle name="集計 4 2 2 3 2 6" xfId="37152"/>
    <cellStyle name="集計 4 2 2 3 3" xfId="37153"/>
    <cellStyle name="集計 4 2 2 3 3 2" xfId="37154"/>
    <cellStyle name="集計 4 2 2 3 3 3" xfId="37155"/>
    <cellStyle name="集計 4 2 2 3 4" xfId="37156"/>
    <cellStyle name="集計 4 2 2 3 4 2" xfId="37157"/>
    <cellStyle name="集計 4 2 2 3 4 3" xfId="37158"/>
    <cellStyle name="集計 4 2 2 3 5" xfId="37159"/>
    <cellStyle name="集計 4 2 2 3 5 2" xfId="37160"/>
    <cellStyle name="集計 4 2 2 3 5 3" xfId="37161"/>
    <cellStyle name="集計 4 2 2 3 6" xfId="37162"/>
    <cellStyle name="集計 4 2 2 3 7" xfId="37163"/>
    <cellStyle name="集計 4 2 2 4" xfId="37164"/>
    <cellStyle name="集計 4 2 2 4 2" xfId="37165"/>
    <cellStyle name="集計 4 2 2 4 2 2" xfId="37166"/>
    <cellStyle name="集計 4 2 2 4 2 2 2" xfId="37167"/>
    <cellStyle name="集計 4 2 2 4 2 2 3" xfId="37168"/>
    <cellStyle name="集計 4 2 2 4 2 3" xfId="37169"/>
    <cellStyle name="集計 4 2 2 4 2 3 2" xfId="37170"/>
    <cellStyle name="集計 4 2 2 4 2 3 3" xfId="37171"/>
    <cellStyle name="集計 4 2 2 4 2 4" xfId="37172"/>
    <cellStyle name="集計 4 2 2 4 2 4 2" xfId="37173"/>
    <cellStyle name="集計 4 2 2 4 2 4 3" xfId="37174"/>
    <cellStyle name="集計 4 2 2 4 2 5" xfId="37175"/>
    <cellStyle name="集計 4 2 2 4 2 6" xfId="37176"/>
    <cellStyle name="集計 4 2 2 4 3" xfId="37177"/>
    <cellStyle name="集計 4 2 2 4 3 2" xfId="37178"/>
    <cellStyle name="集計 4 2 2 4 3 3" xfId="37179"/>
    <cellStyle name="集計 4 2 2 4 4" xfId="37180"/>
    <cellStyle name="集計 4 2 2 4 4 2" xfId="37181"/>
    <cellStyle name="集計 4 2 2 4 4 3" xfId="37182"/>
    <cellStyle name="集計 4 2 2 4 5" xfId="37183"/>
    <cellStyle name="集計 4 2 2 4 5 2" xfId="37184"/>
    <cellStyle name="集計 4 2 2 4 5 3" xfId="37185"/>
    <cellStyle name="集計 4 2 2 4 6" xfId="37186"/>
    <cellStyle name="集計 4 2 2 4 7" xfId="37187"/>
    <cellStyle name="集計 4 2 2 5" xfId="37188"/>
    <cellStyle name="集計 4 2 2 5 2" xfId="37189"/>
    <cellStyle name="集計 4 2 2 5 2 2" xfId="37190"/>
    <cellStyle name="集計 4 2 2 5 2 3" xfId="37191"/>
    <cellStyle name="集計 4 2 2 5 3" xfId="37192"/>
    <cellStyle name="集計 4 2 2 5 3 2" xfId="37193"/>
    <cellStyle name="集計 4 2 2 5 3 3" xfId="37194"/>
    <cellStyle name="集計 4 2 2 5 4" xfId="37195"/>
    <cellStyle name="集計 4 2 2 5 4 2" xfId="37196"/>
    <cellStyle name="集計 4 2 2 5 4 3" xfId="37197"/>
    <cellStyle name="集計 4 2 2 5 5" xfId="37198"/>
    <cellStyle name="集計 4 2 2 5 6" xfId="37199"/>
    <cellStyle name="集計 4 2 2 6" xfId="37200"/>
    <cellStyle name="集計 4 2 2 6 2" xfId="37201"/>
    <cellStyle name="集計 4 2 2 6 3" xfId="37202"/>
    <cellStyle name="集計 4 2 2 7" xfId="37203"/>
    <cellStyle name="集計 4 2 2 7 2" xfId="37204"/>
    <cellStyle name="集計 4 2 2 7 3" xfId="37205"/>
    <cellStyle name="集計 4 2 2 8" xfId="37206"/>
    <cellStyle name="集計 4 2 2 8 2" xfId="37207"/>
    <cellStyle name="集計 4 2 2 8 3" xfId="37208"/>
    <cellStyle name="集計 4 2 2 9" xfId="37209"/>
    <cellStyle name="集計 4 2 3" xfId="37210"/>
    <cellStyle name="集計 4 2 3 10" xfId="37211"/>
    <cellStyle name="集計 4 2 3 2" xfId="37212"/>
    <cellStyle name="集計 4 2 3 2 10" xfId="37213"/>
    <cellStyle name="集計 4 2 3 2 2" xfId="37214"/>
    <cellStyle name="集計 4 2 3 2 2 2" xfId="37215"/>
    <cellStyle name="集計 4 2 3 2 2 2 2" xfId="37216"/>
    <cellStyle name="集計 4 2 3 2 2 2 2 2" xfId="37217"/>
    <cellStyle name="集計 4 2 3 2 2 2 2 2 2" xfId="37218"/>
    <cellStyle name="集計 4 2 3 2 2 2 2 2 3" xfId="37219"/>
    <cellStyle name="集計 4 2 3 2 2 2 2 3" xfId="37220"/>
    <cellStyle name="集計 4 2 3 2 2 2 2 3 2" xfId="37221"/>
    <cellStyle name="集計 4 2 3 2 2 2 2 3 3" xfId="37222"/>
    <cellStyle name="集計 4 2 3 2 2 2 2 4" xfId="37223"/>
    <cellStyle name="集計 4 2 3 2 2 2 2 4 2" xfId="37224"/>
    <cellStyle name="集計 4 2 3 2 2 2 2 4 3" xfId="37225"/>
    <cellStyle name="集計 4 2 3 2 2 2 2 5" xfId="37226"/>
    <cellStyle name="集計 4 2 3 2 2 2 2 6" xfId="37227"/>
    <cellStyle name="集計 4 2 3 2 2 2 3" xfId="37228"/>
    <cellStyle name="集計 4 2 3 2 2 2 3 2" xfId="37229"/>
    <cellStyle name="集計 4 2 3 2 2 2 3 3" xfId="37230"/>
    <cellStyle name="集計 4 2 3 2 2 2 4" xfId="37231"/>
    <cellStyle name="集計 4 2 3 2 2 2 4 2" xfId="37232"/>
    <cellStyle name="集計 4 2 3 2 2 2 4 3" xfId="37233"/>
    <cellStyle name="集計 4 2 3 2 2 2 5" xfId="37234"/>
    <cellStyle name="集計 4 2 3 2 2 2 5 2" xfId="37235"/>
    <cellStyle name="集計 4 2 3 2 2 2 5 3" xfId="37236"/>
    <cellStyle name="集計 4 2 3 2 2 2 6" xfId="37237"/>
    <cellStyle name="集計 4 2 3 2 2 2 7" xfId="37238"/>
    <cellStyle name="集計 4 2 3 2 2 3" xfId="37239"/>
    <cellStyle name="集計 4 2 3 2 2 3 2" xfId="37240"/>
    <cellStyle name="集計 4 2 3 2 2 3 2 2" xfId="37241"/>
    <cellStyle name="集計 4 2 3 2 2 3 2 2 2" xfId="37242"/>
    <cellStyle name="集計 4 2 3 2 2 3 2 2 3" xfId="37243"/>
    <cellStyle name="集計 4 2 3 2 2 3 2 3" xfId="37244"/>
    <cellStyle name="集計 4 2 3 2 2 3 2 3 2" xfId="37245"/>
    <cellStyle name="集計 4 2 3 2 2 3 2 3 3" xfId="37246"/>
    <cellStyle name="集計 4 2 3 2 2 3 2 4" xfId="37247"/>
    <cellStyle name="集計 4 2 3 2 2 3 2 4 2" xfId="37248"/>
    <cellStyle name="集計 4 2 3 2 2 3 2 4 3" xfId="37249"/>
    <cellStyle name="集計 4 2 3 2 2 3 2 5" xfId="37250"/>
    <cellStyle name="集計 4 2 3 2 2 3 2 6" xfId="37251"/>
    <cellStyle name="集計 4 2 3 2 2 3 3" xfId="37252"/>
    <cellStyle name="集計 4 2 3 2 2 3 3 2" xfId="37253"/>
    <cellStyle name="集計 4 2 3 2 2 3 3 3" xfId="37254"/>
    <cellStyle name="集計 4 2 3 2 2 3 4" xfId="37255"/>
    <cellStyle name="集計 4 2 3 2 2 3 4 2" xfId="37256"/>
    <cellStyle name="集計 4 2 3 2 2 3 4 3" xfId="37257"/>
    <cellStyle name="集計 4 2 3 2 2 3 5" xfId="37258"/>
    <cellStyle name="集計 4 2 3 2 2 3 5 2" xfId="37259"/>
    <cellStyle name="集計 4 2 3 2 2 3 5 3" xfId="37260"/>
    <cellStyle name="集計 4 2 3 2 2 3 6" xfId="37261"/>
    <cellStyle name="集計 4 2 3 2 2 3 7" xfId="37262"/>
    <cellStyle name="集計 4 2 3 2 2 4" xfId="37263"/>
    <cellStyle name="集計 4 2 3 2 2 4 2" xfId="37264"/>
    <cellStyle name="集計 4 2 3 2 2 4 2 2" xfId="37265"/>
    <cellStyle name="集計 4 2 3 2 2 4 2 3" xfId="37266"/>
    <cellStyle name="集計 4 2 3 2 2 4 3" xfId="37267"/>
    <cellStyle name="集計 4 2 3 2 2 4 3 2" xfId="37268"/>
    <cellStyle name="集計 4 2 3 2 2 4 3 3" xfId="37269"/>
    <cellStyle name="集計 4 2 3 2 2 4 4" xfId="37270"/>
    <cellStyle name="集計 4 2 3 2 2 4 4 2" xfId="37271"/>
    <cellStyle name="集計 4 2 3 2 2 4 4 3" xfId="37272"/>
    <cellStyle name="集計 4 2 3 2 2 4 5" xfId="37273"/>
    <cellStyle name="集計 4 2 3 2 2 4 6" xfId="37274"/>
    <cellStyle name="集計 4 2 3 2 2 5" xfId="37275"/>
    <cellStyle name="集計 4 2 3 2 2 5 2" xfId="37276"/>
    <cellStyle name="集計 4 2 3 2 2 5 3" xfId="37277"/>
    <cellStyle name="集計 4 2 3 2 2 6" xfId="37278"/>
    <cellStyle name="集計 4 2 3 2 2 6 2" xfId="37279"/>
    <cellStyle name="集計 4 2 3 2 2 6 3" xfId="37280"/>
    <cellStyle name="集計 4 2 3 2 2 7" xfId="37281"/>
    <cellStyle name="集計 4 2 3 2 2 7 2" xfId="37282"/>
    <cellStyle name="集計 4 2 3 2 2 7 3" xfId="37283"/>
    <cellStyle name="集計 4 2 3 2 2 8" xfId="37284"/>
    <cellStyle name="集計 4 2 3 2 2 9" xfId="37285"/>
    <cellStyle name="集計 4 2 3 2 3" xfId="37286"/>
    <cellStyle name="集計 4 2 3 2 3 2" xfId="37287"/>
    <cellStyle name="集計 4 2 3 2 3 2 2" xfId="37288"/>
    <cellStyle name="集計 4 2 3 2 3 2 2 2" xfId="37289"/>
    <cellStyle name="集計 4 2 3 2 3 2 2 3" xfId="37290"/>
    <cellStyle name="集計 4 2 3 2 3 2 3" xfId="37291"/>
    <cellStyle name="集計 4 2 3 2 3 2 3 2" xfId="37292"/>
    <cellStyle name="集計 4 2 3 2 3 2 3 3" xfId="37293"/>
    <cellStyle name="集計 4 2 3 2 3 2 4" xfId="37294"/>
    <cellStyle name="集計 4 2 3 2 3 2 4 2" xfId="37295"/>
    <cellStyle name="集計 4 2 3 2 3 2 4 3" xfId="37296"/>
    <cellStyle name="集計 4 2 3 2 3 2 5" xfId="37297"/>
    <cellStyle name="集計 4 2 3 2 3 2 6" xfId="37298"/>
    <cellStyle name="集計 4 2 3 2 3 3" xfId="37299"/>
    <cellStyle name="集計 4 2 3 2 3 3 2" xfId="37300"/>
    <cellStyle name="集計 4 2 3 2 3 3 3" xfId="37301"/>
    <cellStyle name="集計 4 2 3 2 3 4" xfId="37302"/>
    <cellStyle name="集計 4 2 3 2 3 4 2" xfId="37303"/>
    <cellStyle name="集計 4 2 3 2 3 4 3" xfId="37304"/>
    <cellStyle name="集計 4 2 3 2 3 5" xfId="37305"/>
    <cellStyle name="集計 4 2 3 2 3 5 2" xfId="37306"/>
    <cellStyle name="集計 4 2 3 2 3 5 3" xfId="37307"/>
    <cellStyle name="集計 4 2 3 2 3 6" xfId="37308"/>
    <cellStyle name="集計 4 2 3 2 3 7" xfId="37309"/>
    <cellStyle name="集計 4 2 3 2 4" xfId="37310"/>
    <cellStyle name="集計 4 2 3 2 4 2" xfId="37311"/>
    <cellStyle name="集計 4 2 3 2 4 2 2" xfId="37312"/>
    <cellStyle name="集計 4 2 3 2 4 2 2 2" xfId="37313"/>
    <cellStyle name="集計 4 2 3 2 4 2 2 3" xfId="37314"/>
    <cellStyle name="集計 4 2 3 2 4 2 3" xfId="37315"/>
    <cellStyle name="集計 4 2 3 2 4 2 3 2" xfId="37316"/>
    <cellStyle name="集計 4 2 3 2 4 2 3 3" xfId="37317"/>
    <cellStyle name="集計 4 2 3 2 4 2 4" xfId="37318"/>
    <cellStyle name="集計 4 2 3 2 4 2 4 2" xfId="37319"/>
    <cellStyle name="集計 4 2 3 2 4 2 4 3" xfId="37320"/>
    <cellStyle name="集計 4 2 3 2 4 2 5" xfId="37321"/>
    <cellStyle name="集計 4 2 3 2 4 2 6" xfId="37322"/>
    <cellStyle name="集計 4 2 3 2 4 3" xfId="37323"/>
    <cellStyle name="集計 4 2 3 2 4 3 2" xfId="37324"/>
    <cellStyle name="集計 4 2 3 2 4 3 3" xfId="37325"/>
    <cellStyle name="集計 4 2 3 2 4 4" xfId="37326"/>
    <cellStyle name="集計 4 2 3 2 4 4 2" xfId="37327"/>
    <cellStyle name="集計 4 2 3 2 4 4 3" xfId="37328"/>
    <cellStyle name="集計 4 2 3 2 4 5" xfId="37329"/>
    <cellStyle name="集計 4 2 3 2 4 5 2" xfId="37330"/>
    <cellStyle name="集計 4 2 3 2 4 5 3" xfId="37331"/>
    <cellStyle name="集計 4 2 3 2 4 6" xfId="37332"/>
    <cellStyle name="集計 4 2 3 2 4 7" xfId="37333"/>
    <cellStyle name="集計 4 2 3 2 5" xfId="37334"/>
    <cellStyle name="集計 4 2 3 2 5 2" xfId="37335"/>
    <cellStyle name="集計 4 2 3 2 5 2 2" xfId="37336"/>
    <cellStyle name="集計 4 2 3 2 5 2 3" xfId="37337"/>
    <cellStyle name="集計 4 2 3 2 5 3" xfId="37338"/>
    <cellStyle name="集計 4 2 3 2 5 3 2" xfId="37339"/>
    <cellStyle name="集計 4 2 3 2 5 3 3" xfId="37340"/>
    <cellStyle name="集計 4 2 3 2 5 4" xfId="37341"/>
    <cellStyle name="集計 4 2 3 2 5 4 2" xfId="37342"/>
    <cellStyle name="集計 4 2 3 2 5 4 3" xfId="37343"/>
    <cellStyle name="集計 4 2 3 2 5 5" xfId="37344"/>
    <cellStyle name="集計 4 2 3 2 5 6" xfId="37345"/>
    <cellStyle name="集計 4 2 3 2 6" xfId="37346"/>
    <cellStyle name="集計 4 2 3 2 6 2" xfId="37347"/>
    <cellStyle name="集計 4 2 3 2 6 3" xfId="37348"/>
    <cellStyle name="集計 4 2 3 2 7" xfId="37349"/>
    <cellStyle name="集計 4 2 3 2 7 2" xfId="37350"/>
    <cellStyle name="集計 4 2 3 2 7 3" xfId="37351"/>
    <cellStyle name="集計 4 2 3 2 8" xfId="37352"/>
    <cellStyle name="集計 4 2 3 2 8 2" xfId="37353"/>
    <cellStyle name="集計 4 2 3 2 8 3" xfId="37354"/>
    <cellStyle name="集計 4 2 3 2 9" xfId="37355"/>
    <cellStyle name="集計 4 2 3 3" xfId="37356"/>
    <cellStyle name="集計 4 2 3 3 2" xfId="37357"/>
    <cellStyle name="集計 4 2 3 3 2 2" xfId="37358"/>
    <cellStyle name="集計 4 2 3 3 2 2 2" xfId="37359"/>
    <cellStyle name="集計 4 2 3 3 2 2 3" xfId="37360"/>
    <cellStyle name="集計 4 2 3 3 2 3" xfId="37361"/>
    <cellStyle name="集計 4 2 3 3 2 3 2" xfId="37362"/>
    <cellStyle name="集計 4 2 3 3 2 3 3" xfId="37363"/>
    <cellStyle name="集計 4 2 3 3 2 4" xfId="37364"/>
    <cellStyle name="集計 4 2 3 3 2 4 2" xfId="37365"/>
    <cellStyle name="集計 4 2 3 3 2 4 3" xfId="37366"/>
    <cellStyle name="集計 4 2 3 3 2 5" xfId="37367"/>
    <cellStyle name="集計 4 2 3 3 2 6" xfId="37368"/>
    <cellStyle name="集計 4 2 3 3 3" xfId="37369"/>
    <cellStyle name="集計 4 2 3 3 3 2" xfId="37370"/>
    <cellStyle name="集計 4 2 3 3 3 3" xfId="37371"/>
    <cellStyle name="集計 4 2 3 3 4" xfId="37372"/>
    <cellStyle name="集計 4 2 3 3 4 2" xfId="37373"/>
    <cellStyle name="集計 4 2 3 3 4 3" xfId="37374"/>
    <cellStyle name="集計 4 2 3 3 5" xfId="37375"/>
    <cellStyle name="集計 4 2 3 3 5 2" xfId="37376"/>
    <cellStyle name="集計 4 2 3 3 5 3" xfId="37377"/>
    <cellStyle name="集計 4 2 3 3 6" xfId="37378"/>
    <cellStyle name="集計 4 2 3 3 7" xfId="37379"/>
    <cellStyle name="集計 4 2 3 4" xfId="37380"/>
    <cellStyle name="集計 4 2 3 4 2" xfId="37381"/>
    <cellStyle name="集計 4 2 3 4 2 2" xfId="37382"/>
    <cellStyle name="集計 4 2 3 4 2 2 2" xfId="37383"/>
    <cellStyle name="集計 4 2 3 4 2 2 3" xfId="37384"/>
    <cellStyle name="集計 4 2 3 4 2 3" xfId="37385"/>
    <cellStyle name="集計 4 2 3 4 2 3 2" xfId="37386"/>
    <cellStyle name="集計 4 2 3 4 2 3 3" xfId="37387"/>
    <cellStyle name="集計 4 2 3 4 2 4" xfId="37388"/>
    <cellStyle name="集計 4 2 3 4 2 4 2" xfId="37389"/>
    <cellStyle name="集計 4 2 3 4 2 4 3" xfId="37390"/>
    <cellStyle name="集計 4 2 3 4 2 5" xfId="37391"/>
    <cellStyle name="集計 4 2 3 4 2 6" xfId="37392"/>
    <cellStyle name="集計 4 2 3 4 3" xfId="37393"/>
    <cellStyle name="集計 4 2 3 4 3 2" xfId="37394"/>
    <cellStyle name="集計 4 2 3 4 3 3" xfId="37395"/>
    <cellStyle name="集計 4 2 3 4 4" xfId="37396"/>
    <cellStyle name="集計 4 2 3 4 4 2" xfId="37397"/>
    <cellStyle name="集計 4 2 3 4 4 3" xfId="37398"/>
    <cellStyle name="集計 4 2 3 4 5" xfId="37399"/>
    <cellStyle name="集計 4 2 3 4 5 2" xfId="37400"/>
    <cellStyle name="集計 4 2 3 4 5 3" xfId="37401"/>
    <cellStyle name="集計 4 2 3 4 6" xfId="37402"/>
    <cellStyle name="集計 4 2 3 4 7" xfId="37403"/>
    <cellStyle name="集計 4 2 3 5" xfId="37404"/>
    <cellStyle name="集計 4 2 3 5 2" xfId="37405"/>
    <cellStyle name="集計 4 2 3 5 2 2" xfId="37406"/>
    <cellStyle name="集計 4 2 3 5 2 3" xfId="37407"/>
    <cellStyle name="集計 4 2 3 5 3" xfId="37408"/>
    <cellStyle name="集計 4 2 3 5 3 2" xfId="37409"/>
    <cellStyle name="集計 4 2 3 5 3 3" xfId="37410"/>
    <cellStyle name="集計 4 2 3 5 4" xfId="37411"/>
    <cellStyle name="集計 4 2 3 5 4 2" xfId="37412"/>
    <cellStyle name="集計 4 2 3 5 4 3" xfId="37413"/>
    <cellStyle name="集計 4 2 3 5 5" xfId="37414"/>
    <cellStyle name="集計 4 2 3 5 6" xfId="37415"/>
    <cellStyle name="集計 4 2 3 6" xfId="37416"/>
    <cellStyle name="集計 4 2 3 6 2" xfId="37417"/>
    <cellStyle name="集計 4 2 3 6 3" xfId="37418"/>
    <cellStyle name="集計 4 2 3 7" xfId="37419"/>
    <cellStyle name="集計 4 2 3 7 2" xfId="37420"/>
    <cellStyle name="集計 4 2 3 7 3" xfId="37421"/>
    <cellStyle name="集計 4 2 3 8" xfId="37422"/>
    <cellStyle name="集計 4 2 3 8 2" xfId="37423"/>
    <cellStyle name="集計 4 2 3 8 3" xfId="37424"/>
    <cellStyle name="集計 4 2 3 9" xfId="37425"/>
    <cellStyle name="集計 4 2 4" xfId="37426"/>
    <cellStyle name="集計 4 2 4 10" xfId="37427"/>
    <cellStyle name="集計 4 2 4 2" xfId="37428"/>
    <cellStyle name="集計 4 2 4 2 10" xfId="37429"/>
    <cellStyle name="集計 4 2 4 2 2" xfId="37430"/>
    <cellStyle name="集計 4 2 4 2 2 2" xfId="37431"/>
    <cellStyle name="集計 4 2 4 2 2 2 2" xfId="37432"/>
    <cellStyle name="集計 4 2 4 2 2 2 2 2" xfId="37433"/>
    <cellStyle name="集計 4 2 4 2 2 2 2 2 2" xfId="37434"/>
    <cellStyle name="集計 4 2 4 2 2 2 2 2 3" xfId="37435"/>
    <cellStyle name="集計 4 2 4 2 2 2 2 3" xfId="37436"/>
    <cellStyle name="集計 4 2 4 2 2 2 2 3 2" xfId="37437"/>
    <cellStyle name="集計 4 2 4 2 2 2 2 3 3" xfId="37438"/>
    <cellStyle name="集計 4 2 4 2 2 2 2 4" xfId="37439"/>
    <cellStyle name="集計 4 2 4 2 2 2 2 4 2" xfId="37440"/>
    <cellStyle name="集計 4 2 4 2 2 2 2 4 3" xfId="37441"/>
    <cellStyle name="集計 4 2 4 2 2 2 2 5" xfId="37442"/>
    <cellStyle name="集計 4 2 4 2 2 2 2 6" xfId="37443"/>
    <cellStyle name="集計 4 2 4 2 2 2 3" xfId="37444"/>
    <cellStyle name="集計 4 2 4 2 2 2 3 2" xfId="37445"/>
    <cellStyle name="集計 4 2 4 2 2 2 3 3" xfId="37446"/>
    <cellStyle name="集計 4 2 4 2 2 2 4" xfId="37447"/>
    <cellStyle name="集計 4 2 4 2 2 2 4 2" xfId="37448"/>
    <cellStyle name="集計 4 2 4 2 2 2 4 3" xfId="37449"/>
    <cellStyle name="集計 4 2 4 2 2 2 5" xfId="37450"/>
    <cellStyle name="集計 4 2 4 2 2 2 5 2" xfId="37451"/>
    <cellStyle name="集計 4 2 4 2 2 2 5 3" xfId="37452"/>
    <cellStyle name="集計 4 2 4 2 2 2 6" xfId="37453"/>
    <cellStyle name="集計 4 2 4 2 2 2 7" xfId="37454"/>
    <cellStyle name="集計 4 2 4 2 2 3" xfId="37455"/>
    <cellStyle name="集計 4 2 4 2 2 3 2" xfId="37456"/>
    <cellStyle name="集計 4 2 4 2 2 3 2 2" xfId="37457"/>
    <cellStyle name="集計 4 2 4 2 2 3 2 2 2" xfId="37458"/>
    <cellStyle name="集計 4 2 4 2 2 3 2 2 3" xfId="37459"/>
    <cellStyle name="集計 4 2 4 2 2 3 2 3" xfId="37460"/>
    <cellStyle name="集計 4 2 4 2 2 3 2 3 2" xfId="37461"/>
    <cellStyle name="集計 4 2 4 2 2 3 2 3 3" xfId="37462"/>
    <cellStyle name="集計 4 2 4 2 2 3 2 4" xfId="37463"/>
    <cellStyle name="集計 4 2 4 2 2 3 2 4 2" xfId="37464"/>
    <cellStyle name="集計 4 2 4 2 2 3 2 4 3" xfId="37465"/>
    <cellStyle name="集計 4 2 4 2 2 3 2 5" xfId="37466"/>
    <cellStyle name="集計 4 2 4 2 2 3 2 6" xfId="37467"/>
    <cellStyle name="集計 4 2 4 2 2 3 3" xfId="37468"/>
    <cellStyle name="集計 4 2 4 2 2 3 3 2" xfId="37469"/>
    <cellStyle name="集計 4 2 4 2 2 3 3 3" xfId="37470"/>
    <cellStyle name="集計 4 2 4 2 2 3 4" xfId="37471"/>
    <cellStyle name="集計 4 2 4 2 2 3 4 2" xfId="37472"/>
    <cellStyle name="集計 4 2 4 2 2 3 4 3" xfId="37473"/>
    <cellStyle name="集計 4 2 4 2 2 3 5" xfId="37474"/>
    <cellStyle name="集計 4 2 4 2 2 3 5 2" xfId="37475"/>
    <cellStyle name="集計 4 2 4 2 2 3 5 3" xfId="37476"/>
    <cellStyle name="集計 4 2 4 2 2 3 6" xfId="37477"/>
    <cellStyle name="集計 4 2 4 2 2 3 7" xfId="37478"/>
    <cellStyle name="集計 4 2 4 2 2 4" xfId="37479"/>
    <cellStyle name="集計 4 2 4 2 2 4 2" xfId="37480"/>
    <cellStyle name="集計 4 2 4 2 2 4 2 2" xfId="37481"/>
    <cellStyle name="集計 4 2 4 2 2 4 2 3" xfId="37482"/>
    <cellStyle name="集計 4 2 4 2 2 4 3" xfId="37483"/>
    <cellStyle name="集計 4 2 4 2 2 4 3 2" xfId="37484"/>
    <cellStyle name="集計 4 2 4 2 2 4 3 3" xfId="37485"/>
    <cellStyle name="集計 4 2 4 2 2 4 4" xfId="37486"/>
    <cellStyle name="集計 4 2 4 2 2 4 4 2" xfId="37487"/>
    <cellStyle name="集計 4 2 4 2 2 4 4 3" xfId="37488"/>
    <cellStyle name="集計 4 2 4 2 2 4 5" xfId="37489"/>
    <cellStyle name="集計 4 2 4 2 2 4 6" xfId="37490"/>
    <cellStyle name="集計 4 2 4 2 2 5" xfId="37491"/>
    <cellStyle name="集計 4 2 4 2 2 5 2" xfId="37492"/>
    <cellStyle name="集計 4 2 4 2 2 5 3" xfId="37493"/>
    <cellStyle name="集計 4 2 4 2 2 6" xfId="37494"/>
    <cellStyle name="集計 4 2 4 2 2 6 2" xfId="37495"/>
    <cellStyle name="集計 4 2 4 2 2 6 3" xfId="37496"/>
    <cellStyle name="集計 4 2 4 2 2 7" xfId="37497"/>
    <cellStyle name="集計 4 2 4 2 2 7 2" xfId="37498"/>
    <cellStyle name="集計 4 2 4 2 2 7 3" xfId="37499"/>
    <cellStyle name="集計 4 2 4 2 2 8" xfId="37500"/>
    <cellStyle name="集計 4 2 4 2 2 9" xfId="37501"/>
    <cellStyle name="集計 4 2 4 2 3" xfId="37502"/>
    <cellStyle name="集計 4 2 4 2 3 2" xfId="37503"/>
    <cellStyle name="集計 4 2 4 2 3 2 2" xfId="37504"/>
    <cellStyle name="集計 4 2 4 2 3 2 2 2" xfId="37505"/>
    <cellStyle name="集計 4 2 4 2 3 2 2 3" xfId="37506"/>
    <cellStyle name="集計 4 2 4 2 3 2 3" xfId="37507"/>
    <cellStyle name="集計 4 2 4 2 3 2 3 2" xfId="37508"/>
    <cellStyle name="集計 4 2 4 2 3 2 3 3" xfId="37509"/>
    <cellStyle name="集計 4 2 4 2 3 2 4" xfId="37510"/>
    <cellStyle name="集計 4 2 4 2 3 2 4 2" xfId="37511"/>
    <cellStyle name="集計 4 2 4 2 3 2 4 3" xfId="37512"/>
    <cellStyle name="集計 4 2 4 2 3 2 5" xfId="37513"/>
    <cellStyle name="集計 4 2 4 2 3 2 6" xfId="37514"/>
    <cellStyle name="集計 4 2 4 2 3 3" xfId="37515"/>
    <cellStyle name="集計 4 2 4 2 3 3 2" xfId="37516"/>
    <cellStyle name="集計 4 2 4 2 3 3 3" xfId="37517"/>
    <cellStyle name="集計 4 2 4 2 3 4" xfId="37518"/>
    <cellStyle name="集計 4 2 4 2 3 4 2" xfId="37519"/>
    <cellStyle name="集計 4 2 4 2 3 4 3" xfId="37520"/>
    <cellStyle name="集計 4 2 4 2 3 5" xfId="37521"/>
    <cellStyle name="集計 4 2 4 2 3 5 2" xfId="37522"/>
    <cellStyle name="集計 4 2 4 2 3 5 3" xfId="37523"/>
    <cellStyle name="集計 4 2 4 2 3 6" xfId="37524"/>
    <cellStyle name="集計 4 2 4 2 3 7" xfId="37525"/>
    <cellStyle name="集計 4 2 4 2 4" xfId="37526"/>
    <cellStyle name="集計 4 2 4 2 4 2" xfId="37527"/>
    <cellStyle name="集計 4 2 4 2 4 2 2" xfId="37528"/>
    <cellStyle name="集計 4 2 4 2 4 2 2 2" xfId="37529"/>
    <cellStyle name="集計 4 2 4 2 4 2 2 3" xfId="37530"/>
    <cellStyle name="集計 4 2 4 2 4 2 3" xfId="37531"/>
    <cellStyle name="集計 4 2 4 2 4 2 3 2" xfId="37532"/>
    <cellStyle name="集計 4 2 4 2 4 2 3 3" xfId="37533"/>
    <cellStyle name="集計 4 2 4 2 4 2 4" xfId="37534"/>
    <cellStyle name="集計 4 2 4 2 4 2 4 2" xfId="37535"/>
    <cellStyle name="集計 4 2 4 2 4 2 4 3" xfId="37536"/>
    <cellStyle name="集計 4 2 4 2 4 2 5" xfId="37537"/>
    <cellStyle name="集計 4 2 4 2 4 2 6" xfId="37538"/>
    <cellStyle name="集計 4 2 4 2 4 3" xfId="37539"/>
    <cellStyle name="集計 4 2 4 2 4 3 2" xfId="37540"/>
    <cellStyle name="集計 4 2 4 2 4 3 3" xfId="37541"/>
    <cellStyle name="集計 4 2 4 2 4 4" xfId="37542"/>
    <cellStyle name="集計 4 2 4 2 4 4 2" xfId="37543"/>
    <cellStyle name="集計 4 2 4 2 4 4 3" xfId="37544"/>
    <cellStyle name="集計 4 2 4 2 4 5" xfId="37545"/>
    <cellStyle name="集計 4 2 4 2 4 5 2" xfId="37546"/>
    <cellStyle name="集計 4 2 4 2 4 5 3" xfId="37547"/>
    <cellStyle name="集計 4 2 4 2 4 6" xfId="37548"/>
    <cellStyle name="集計 4 2 4 2 4 7" xfId="37549"/>
    <cellStyle name="集計 4 2 4 2 5" xfId="37550"/>
    <cellStyle name="集計 4 2 4 2 5 2" xfId="37551"/>
    <cellStyle name="集計 4 2 4 2 5 2 2" xfId="37552"/>
    <cellStyle name="集計 4 2 4 2 5 2 3" xfId="37553"/>
    <cellStyle name="集計 4 2 4 2 5 3" xfId="37554"/>
    <cellStyle name="集計 4 2 4 2 5 3 2" xfId="37555"/>
    <cellStyle name="集計 4 2 4 2 5 3 3" xfId="37556"/>
    <cellStyle name="集計 4 2 4 2 5 4" xfId="37557"/>
    <cellStyle name="集計 4 2 4 2 5 4 2" xfId="37558"/>
    <cellStyle name="集計 4 2 4 2 5 4 3" xfId="37559"/>
    <cellStyle name="集計 4 2 4 2 5 5" xfId="37560"/>
    <cellStyle name="集計 4 2 4 2 5 6" xfId="37561"/>
    <cellStyle name="集計 4 2 4 2 6" xfId="37562"/>
    <cellStyle name="集計 4 2 4 2 6 2" xfId="37563"/>
    <cellStyle name="集計 4 2 4 2 6 3" xfId="37564"/>
    <cellStyle name="集計 4 2 4 2 7" xfId="37565"/>
    <cellStyle name="集計 4 2 4 2 7 2" xfId="37566"/>
    <cellStyle name="集計 4 2 4 2 7 3" xfId="37567"/>
    <cellStyle name="集計 4 2 4 2 8" xfId="37568"/>
    <cellStyle name="集計 4 2 4 2 8 2" xfId="37569"/>
    <cellStyle name="集計 4 2 4 2 8 3" xfId="37570"/>
    <cellStyle name="集計 4 2 4 2 9" xfId="37571"/>
    <cellStyle name="集計 4 2 4 3" xfId="37572"/>
    <cellStyle name="集計 4 2 4 3 2" xfId="37573"/>
    <cellStyle name="集計 4 2 4 3 2 2" xfId="37574"/>
    <cellStyle name="集計 4 2 4 3 2 2 2" xfId="37575"/>
    <cellStyle name="集計 4 2 4 3 2 2 3" xfId="37576"/>
    <cellStyle name="集計 4 2 4 3 2 3" xfId="37577"/>
    <cellStyle name="集計 4 2 4 3 2 3 2" xfId="37578"/>
    <cellStyle name="集計 4 2 4 3 2 3 3" xfId="37579"/>
    <cellStyle name="集計 4 2 4 3 2 4" xfId="37580"/>
    <cellStyle name="集計 4 2 4 3 2 4 2" xfId="37581"/>
    <cellStyle name="集計 4 2 4 3 2 4 3" xfId="37582"/>
    <cellStyle name="集計 4 2 4 3 2 5" xfId="37583"/>
    <cellStyle name="集計 4 2 4 3 2 6" xfId="37584"/>
    <cellStyle name="集計 4 2 4 3 3" xfId="37585"/>
    <cellStyle name="集計 4 2 4 3 3 2" xfId="37586"/>
    <cellStyle name="集計 4 2 4 3 3 3" xfId="37587"/>
    <cellStyle name="集計 4 2 4 3 4" xfId="37588"/>
    <cellStyle name="集計 4 2 4 3 4 2" xfId="37589"/>
    <cellStyle name="集計 4 2 4 3 4 3" xfId="37590"/>
    <cellStyle name="集計 4 2 4 3 5" xfId="37591"/>
    <cellStyle name="集計 4 2 4 3 5 2" xfId="37592"/>
    <cellStyle name="集計 4 2 4 3 5 3" xfId="37593"/>
    <cellStyle name="集計 4 2 4 3 6" xfId="37594"/>
    <cellStyle name="集計 4 2 4 3 7" xfId="37595"/>
    <cellStyle name="集計 4 2 4 4" xfId="37596"/>
    <cellStyle name="集計 4 2 4 4 2" xfId="37597"/>
    <cellStyle name="集計 4 2 4 4 2 2" xfId="37598"/>
    <cellStyle name="集計 4 2 4 4 2 2 2" xfId="37599"/>
    <cellStyle name="集計 4 2 4 4 2 2 3" xfId="37600"/>
    <cellStyle name="集計 4 2 4 4 2 3" xfId="37601"/>
    <cellStyle name="集計 4 2 4 4 2 3 2" xfId="37602"/>
    <cellStyle name="集計 4 2 4 4 2 3 3" xfId="37603"/>
    <cellStyle name="集計 4 2 4 4 2 4" xfId="37604"/>
    <cellStyle name="集計 4 2 4 4 2 4 2" xfId="37605"/>
    <cellStyle name="集計 4 2 4 4 2 4 3" xfId="37606"/>
    <cellStyle name="集計 4 2 4 4 2 5" xfId="37607"/>
    <cellStyle name="集計 4 2 4 4 2 6" xfId="37608"/>
    <cellStyle name="集計 4 2 4 4 3" xfId="37609"/>
    <cellStyle name="集計 4 2 4 4 3 2" xfId="37610"/>
    <cellStyle name="集計 4 2 4 4 3 3" xfId="37611"/>
    <cellStyle name="集計 4 2 4 4 4" xfId="37612"/>
    <cellStyle name="集計 4 2 4 4 4 2" xfId="37613"/>
    <cellStyle name="集計 4 2 4 4 4 3" xfId="37614"/>
    <cellStyle name="集計 4 2 4 4 5" xfId="37615"/>
    <cellStyle name="集計 4 2 4 4 5 2" xfId="37616"/>
    <cellStyle name="集計 4 2 4 4 5 3" xfId="37617"/>
    <cellStyle name="集計 4 2 4 4 6" xfId="37618"/>
    <cellStyle name="集計 4 2 4 4 7" xfId="37619"/>
    <cellStyle name="集計 4 2 4 5" xfId="37620"/>
    <cellStyle name="集計 4 2 4 5 2" xfId="37621"/>
    <cellStyle name="集計 4 2 4 5 2 2" xfId="37622"/>
    <cellStyle name="集計 4 2 4 5 2 3" xfId="37623"/>
    <cellStyle name="集計 4 2 4 5 3" xfId="37624"/>
    <cellStyle name="集計 4 2 4 5 3 2" xfId="37625"/>
    <cellStyle name="集計 4 2 4 5 3 3" xfId="37626"/>
    <cellStyle name="集計 4 2 4 5 4" xfId="37627"/>
    <cellStyle name="集計 4 2 4 5 4 2" xfId="37628"/>
    <cellStyle name="集計 4 2 4 5 4 3" xfId="37629"/>
    <cellStyle name="集計 4 2 4 5 5" xfId="37630"/>
    <cellStyle name="集計 4 2 4 5 6" xfId="37631"/>
    <cellStyle name="集計 4 2 4 6" xfId="37632"/>
    <cellStyle name="集計 4 2 4 6 2" xfId="37633"/>
    <cellStyle name="集計 4 2 4 6 3" xfId="37634"/>
    <cellStyle name="集計 4 2 4 7" xfId="37635"/>
    <cellStyle name="集計 4 2 4 7 2" xfId="37636"/>
    <cellStyle name="集計 4 2 4 7 3" xfId="37637"/>
    <cellStyle name="集計 4 2 4 8" xfId="37638"/>
    <cellStyle name="集計 4 2 4 8 2" xfId="37639"/>
    <cellStyle name="集計 4 2 4 8 3" xfId="37640"/>
    <cellStyle name="集計 4 2 4 9" xfId="37641"/>
    <cellStyle name="集計 4 2 5" xfId="37642"/>
    <cellStyle name="集計 4 2 5 10" xfId="37643"/>
    <cellStyle name="集計 4 2 5 2" xfId="37644"/>
    <cellStyle name="集計 4 2 5 2 2" xfId="37645"/>
    <cellStyle name="集計 4 2 5 2 2 2" xfId="37646"/>
    <cellStyle name="集計 4 2 5 2 2 2 2" xfId="37647"/>
    <cellStyle name="集計 4 2 5 2 2 2 2 2" xfId="37648"/>
    <cellStyle name="集計 4 2 5 2 2 2 2 3" xfId="37649"/>
    <cellStyle name="集計 4 2 5 2 2 2 3" xfId="37650"/>
    <cellStyle name="集計 4 2 5 2 2 2 3 2" xfId="37651"/>
    <cellStyle name="集計 4 2 5 2 2 2 3 3" xfId="37652"/>
    <cellStyle name="集計 4 2 5 2 2 2 4" xfId="37653"/>
    <cellStyle name="集計 4 2 5 2 2 2 4 2" xfId="37654"/>
    <cellStyle name="集計 4 2 5 2 2 2 4 3" xfId="37655"/>
    <cellStyle name="集計 4 2 5 2 2 2 5" xfId="37656"/>
    <cellStyle name="集計 4 2 5 2 2 2 6" xfId="37657"/>
    <cellStyle name="集計 4 2 5 2 2 3" xfId="37658"/>
    <cellStyle name="集計 4 2 5 2 2 3 2" xfId="37659"/>
    <cellStyle name="集計 4 2 5 2 2 3 3" xfId="37660"/>
    <cellStyle name="集計 4 2 5 2 2 4" xfId="37661"/>
    <cellStyle name="集計 4 2 5 2 2 4 2" xfId="37662"/>
    <cellStyle name="集計 4 2 5 2 2 4 3" xfId="37663"/>
    <cellStyle name="集計 4 2 5 2 2 5" xfId="37664"/>
    <cellStyle name="集計 4 2 5 2 2 5 2" xfId="37665"/>
    <cellStyle name="集計 4 2 5 2 2 5 3" xfId="37666"/>
    <cellStyle name="集計 4 2 5 2 2 6" xfId="37667"/>
    <cellStyle name="集計 4 2 5 2 2 7" xfId="37668"/>
    <cellStyle name="集計 4 2 5 2 3" xfId="37669"/>
    <cellStyle name="集計 4 2 5 2 3 2" xfId="37670"/>
    <cellStyle name="集計 4 2 5 2 3 2 2" xfId="37671"/>
    <cellStyle name="集計 4 2 5 2 3 2 2 2" xfId="37672"/>
    <cellStyle name="集計 4 2 5 2 3 2 2 3" xfId="37673"/>
    <cellStyle name="集計 4 2 5 2 3 2 3" xfId="37674"/>
    <cellStyle name="集計 4 2 5 2 3 2 3 2" xfId="37675"/>
    <cellStyle name="集計 4 2 5 2 3 2 3 3" xfId="37676"/>
    <cellStyle name="集計 4 2 5 2 3 2 4" xfId="37677"/>
    <cellStyle name="集計 4 2 5 2 3 2 4 2" xfId="37678"/>
    <cellStyle name="集計 4 2 5 2 3 2 4 3" xfId="37679"/>
    <cellStyle name="集計 4 2 5 2 3 2 5" xfId="37680"/>
    <cellStyle name="集計 4 2 5 2 3 2 6" xfId="37681"/>
    <cellStyle name="集計 4 2 5 2 3 3" xfId="37682"/>
    <cellStyle name="集計 4 2 5 2 3 3 2" xfId="37683"/>
    <cellStyle name="集計 4 2 5 2 3 3 3" xfId="37684"/>
    <cellStyle name="集計 4 2 5 2 3 4" xfId="37685"/>
    <cellStyle name="集計 4 2 5 2 3 4 2" xfId="37686"/>
    <cellStyle name="集計 4 2 5 2 3 4 3" xfId="37687"/>
    <cellStyle name="集計 4 2 5 2 3 5" xfId="37688"/>
    <cellStyle name="集計 4 2 5 2 3 5 2" xfId="37689"/>
    <cellStyle name="集計 4 2 5 2 3 5 3" xfId="37690"/>
    <cellStyle name="集計 4 2 5 2 3 6" xfId="37691"/>
    <cellStyle name="集計 4 2 5 2 3 7" xfId="37692"/>
    <cellStyle name="集計 4 2 5 2 4" xfId="37693"/>
    <cellStyle name="集計 4 2 5 2 4 2" xfId="37694"/>
    <cellStyle name="集計 4 2 5 2 4 2 2" xfId="37695"/>
    <cellStyle name="集計 4 2 5 2 4 2 3" xfId="37696"/>
    <cellStyle name="集計 4 2 5 2 4 3" xfId="37697"/>
    <cellStyle name="集計 4 2 5 2 4 3 2" xfId="37698"/>
    <cellStyle name="集計 4 2 5 2 4 3 3" xfId="37699"/>
    <cellStyle name="集計 4 2 5 2 4 4" xfId="37700"/>
    <cellStyle name="集計 4 2 5 2 4 4 2" xfId="37701"/>
    <cellStyle name="集計 4 2 5 2 4 4 3" xfId="37702"/>
    <cellStyle name="集計 4 2 5 2 4 5" xfId="37703"/>
    <cellStyle name="集計 4 2 5 2 4 6" xfId="37704"/>
    <cellStyle name="集計 4 2 5 2 5" xfId="37705"/>
    <cellStyle name="集計 4 2 5 2 5 2" xfId="37706"/>
    <cellStyle name="集計 4 2 5 2 5 3" xfId="37707"/>
    <cellStyle name="集計 4 2 5 2 6" xfId="37708"/>
    <cellStyle name="集計 4 2 5 2 6 2" xfId="37709"/>
    <cellStyle name="集計 4 2 5 2 6 3" xfId="37710"/>
    <cellStyle name="集計 4 2 5 2 7" xfId="37711"/>
    <cellStyle name="集計 4 2 5 2 7 2" xfId="37712"/>
    <cellStyle name="集計 4 2 5 2 7 3" xfId="37713"/>
    <cellStyle name="集計 4 2 5 2 8" xfId="37714"/>
    <cellStyle name="集計 4 2 5 2 9" xfId="37715"/>
    <cellStyle name="集計 4 2 5 3" xfId="37716"/>
    <cellStyle name="集計 4 2 5 3 2" xfId="37717"/>
    <cellStyle name="集計 4 2 5 3 2 2" xfId="37718"/>
    <cellStyle name="集計 4 2 5 3 2 2 2" xfId="37719"/>
    <cellStyle name="集計 4 2 5 3 2 2 3" xfId="37720"/>
    <cellStyle name="集計 4 2 5 3 2 3" xfId="37721"/>
    <cellStyle name="集計 4 2 5 3 2 3 2" xfId="37722"/>
    <cellStyle name="集計 4 2 5 3 2 3 3" xfId="37723"/>
    <cellStyle name="集計 4 2 5 3 2 4" xfId="37724"/>
    <cellStyle name="集計 4 2 5 3 2 4 2" xfId="37725"/>
    <cellStyle name="集計 4 2 5 3 2 4 3" xfId="37726"/>
    <cellStyle name="集計 4 2 5 3 2 5" xfId="37727"/>
    <cellStyle name="集計 4 2 5 3 2 6" xfId="37728"/>
    <cellStyle name="集計 4 2 5 3 3" xfId="37729"/>
    <cellStyle name="集計 4 2 5 3 3 2" xfId="37730"/>
    <cellStyle name="集計 4 2 5 3 3 3" xfId="37731"/>
    <cellStyle name="集計 4 2 5 3 4" xfId="37732"/>
    <cellStyle name="集計 4 2 5 3 4 2" xfId="37733"/>
    <cellStyle name="集計 4 2 5 3 4 3" xfId="37734"/>
    <cellStyle name="集計 4 2 5 3 5" xfId="37735"/>
    <cellStyle name="集計 4 2 5 3 5 2" xfId="37736"/>
    <cellStyle name="集計 4 2 5 3 5 3" xfId="37737"/>
    <cellStyle name="集計 4 2 5 3 6" xfId="37738"/>
    <cellStyle name="集計 4 2 5 3 7" xfId="37739"/>
    <cellStyle name="集計 4 2 5 4" xfId="37740"/>
    <cellStyle name="集計 4 2 5 4 2" xfId="37741"/>
    <cellStyle name="集計 4 2 5 4 2 2" xfId="37742"/>
    <cellStyle name="集計 4 2 5 4 2 2 2" xfId="37743"/>
    <cellStyle name="集計 4 2 5 4 2 2 3" xfId="37744"/>
    <cellStyle name="集計 4 2 5 4 2 3" xfId="37745"/>
    <cellStyle name="集計 4 2 5 4 2 3 2" xfId="37746"/>
    <cellStyle name="集計 4 2 5 4 2 3 3" xfId="37747"/>
    <cellStyle name="集計 4 2 5 4 2 4" xfId="37748"/>
    <cellStyle name="集計 4 2 5 4 2 4 2" xfId="37749"/>
    <cellStyle name="集計 4 2 5 4 2 4 3" xfId="37750"/>
    <cellStyle name="集計 4 2 5 4 2 5" xfId="37751"/>
    <cellStyle name="集計 4 2 5 4 2 6" xfId="37752"/>
    <cellStyle name="集計 4 2 5 4 3" xfId="37753"/>
    <cellStyle name="集計 4 2 5 4 3 2" xfId="37754"/>
    <cellStyle name="集計 4 2 5 4 3 3" xfId="37755"/>
    <cellStyle name="集計 4 2 5 4 4" xfId="37756"/>
    <cellStyle name="集計 4 2 5 4 4 2" xfId="37757"/>
    <cellStyle name="集計 4 2 5 4 4 3" xfId="37758"/>
    <cellStyle name="集計 4 2 5 4 5" xfId="37759"/>
    <cellStyle name="集計 4 2 5 4 5 2" xfId="37760"/>
    <cellStyle name="集計 4 2 5 4 5 3" xfId="37761"/>
    <cellStyle name="集計 4 2 5 4 6" xfId="37762"/>
    <cellStyle name="集計 4 2 5 4 7" xfId="37763"/>
    <cellStyle name="集計 4 2 5 5" xfId="37764"/>
    <cellStyle name="集計 4 2 5 5 2" xfId="37765"/>
    <cellStyle name="集計 4 2 5 5 2 2" xfId="37766"/>
    <cellStyle name="集計 4 2 5 5 2 3" xfId="37767"/>
    <cellStyle name="集計 4 2 5 5 3" xfId="37768"/>
    <cellStyle name="集計 4 2 5 5 3 2" xfId="37769"/>
    <cellStyle name="集計 4 2 5 5 3 3" xfId="37770"/>
    <cellStyle name="集計 4 2 5 5 4" xfId="37771"/>
    <cellStyle name="集計 4 2 5 5 4 2" xfId="37772"/>
    <cellStyle name="集計 4 2 5 5 4 3" xfId="37773"/>
    <cellStyle name="集計 4 2 5 5 5" xfId="37774"/>
    <cellStyle name="集計 4 2 5 5 6" xfId="37775"/>
    <cellStyle name="集計 4 2 5 6" xfId="37776"/>
    <cellStyle name="集計 4 2 5 6 2" xfId="37777"/>
    <cellStyle name="集計 4 2 5 6 3" xfId="37778"/>
    <cellStyle name="集計 4 2 5 7" xfId="37779"/>
    <cellStyle name="集計 4 2 5 7 2" xfId="37780"/>
    <cellStyle name="集計 4 2 5 7 3" xfId="37781"/>
    <cellStyle name="集計 4 2 5 8" xfId="37782"/>
    <cellStyle name="集計 4 2 5 8 2" xfId="37783"/>
    <cellStyle name="集計 4 2 5 8 3" xfId="37784"/>
    <cellStyle name="集計 4 2 5 9" xfId="37785"/>
    <cellStyle name="集計 4 2 6" xfId="37786"/>
    <cellStyle name="集計 4 2 6 10" xfId="37787"/>
    <cellStyle name="集計 4 2 6 2" xfId="37788"/>
    <cellStyle name="集計 4 2 6 2 2" xfId="37789"/>
    <cellStyle name="集計 4 2 6 2 2 2" xfId="37790"/>
    <cellStyle name="集計 4 2 6 2 2 2 2" xfId="37791"/>
    <cellStyle name="集計 4 2 6 2 2 2 2 2" xfId="37792"/>
    <cellStyle name="集計 4 2 6 2 2 2 2 3" xfId="37793"/>
    <cellStyle name="集計 4 2 6 2 2 2 3" xfId="37794"/>
    <cellStyle name="集計 4 2 6 2 2 2 3 2" xfId="37795"/>
    <cellStyle name="集計 4 2 6 2 2 2 3 3" xfId="37796"/>
    <cellStyle name="集計 4 2 6 2 2 2 4" xfId="37797"/>
    <cellStyle name="集計 4 2 6 2 2 2 4 2" xfId="37798"/>
    <cellStyle name="集計 4 2 6 2 2 2 4 3" xfId="37799"/>
    <cellStyle name="集計 4 2 6 2 2 2 5" xfId="37800"/>
    <cellStyle name="集計 4 2 6 2 2 2 6" xfId="37801"/>
    <cellStyle name="集計 4 2 6 2 2 3" xfId="37802"/>
    <cellStyle name="集計 4 2 6 2 2 3 2" xfId="37803"/>
    <cellStyle name="集計 4 2 6 2 2 3 3" xfId="37804"/>
    <cellStyle name="集計 4 2 6 2 2 4" xfId="37805"/>
    <cellStyle name="集計 4 2 6 2 2 4 2" xfId="37806"/>
    <cellStyle name="集計 4 2 6 2 2 4 3" xfId="37807"/>
    <cellStyle name="集計 4 2 6 2 2 5" xfId="37808"/>
    <cellStyle name="集計 4 2 6 2 2 5 2" xfId="37809"/>
    <cellStyle name="集計 4 2 6 2 2 5 3" xfId="37810"/>
    <cellStyle name="集計 4 2 6 2 2 6" xfId="37811"/>
    <cellStyle name="集計 4 2 6 2 2 7" xfId="37812"/>
    <cellStyle name="集計 4 2 6 2 3" xfId="37813"/>
    <cellStyle name="集計 4 2 6 2 3 2" xfId="37814"/>
    <cellStyle name="集計 4 2 6 2 3 2 2" xfId="37815"/>
    <cellStyle name="集計 4 2 6 2 3 2 2 2" xfId="37816"/>
    <cellStyle name="集計 4 2 6 2 3 2 2 3" xfId="37817"/>
    <cellStyle name="集計 4 2 6 2 3 2 3" xfId="37818"/>
    <cellStyle name="集計 4 2 6 2 3 2 3 2" xfId="37819"/>
    <cellStyle name="集計 4 2 6 2 3 2 3 3" xfId="37820"/>
    <cellStyle name="集計 4 2 6 2 3 2 4" xfId="37821"/>
    <cellStyle name="集計 4 2 6 2 3 2 4 2" xfId="37822"/>
    <cellStyle name="集計 4 2 6 2 3 2 4 3" xfId="37823"/>
    <cellStyle name="集計 4 2 6 2 3 2 5" xfId="37824"/>
    <cellStyle name="集計 4 2 6 2 3 2 6" xfId="37825"/>
    <cellStyle name="集計 4 2 6 2 3 3" xfId="37826"/>
    <cellStyle name="集計 4 2 6 2 3 3 2" xfId="37827"/>
    <cellStyle name="集計 4 2 6 2 3 3 3" xfId="37828"/>
    <cellStyle name="集計 4 2 6 2 3 4" xfId="37829"/>
    <cellStyle name="集計 4 2 6 2 3 4 2" xfId="37830"/>
    <cellStyle name="集計 4 2 6 2 3 4 3" xfId="37831"/>
    <cellStyle name="集計 4 2 6 2 3 5" xfId="37832"/>
    <cellStyle name="集計 4 2 6 2 3 5 2" xfId="37833"/>
    <cellStyle name="集計 4 2 6 2 3 5 3" xfId="37834"/>
    <cellStyle name="集計 4 2 6 2 3 6" xfId="37835"/>
    <cellStyle name="集計 4 2 6 2 3 7" xfId="37836"/>
    <cellStyle name="集計 4 2 6 2 4" xfId="37837"/>
    <cellStyle name="集計 4 2 6 2 4 2" xfId="37838"/>
    <cellStyle name="集計 4 2 6 2 4 2 2" xfId="37839"/>
    <cellStyle name="集計 4 2 6 2 4 2 3" xfId="37840"/>
    <cellStyle name="集計 4 2 6 2 4 3" xfId="37841"/>
    <cellStyle name="集計 4 2 6 2 4 3 2" xfId="37842"/>
    <cellStyle name="集計 4 2 6 2 4 3 3" xfId="37843"/>
    <cellStyle name="集計 4 2 6 2 4 4" xfId="37844"/>
    <cellStyle name="集計 4 2 6 2 4 4 2" xfId="37845"/>
    <cellStyle name="集計 4 2 6 2 4 4 3" xfId="37846"/>
    <cellStyle name="集計 4 2 6 2 4 5" xfId="37847"/>
    <cellStyle name="集計 4 2 6 2 4 6" xfId="37848"/>
    <cellStyle name="集計 4 2 6 2 5" xfId="37849"/>
    <cellStyle name="集計 4 2 6 2 5 2" xfId="37850"/>
    <cellStyle name="集計 4 2 6 2 5 3" xfId="37851"/>
    <cellStyle name="集計 4 2 6 2 6" xfId="37852"/>
    <cellStyle name="集計 4 2 6 2 6 2" xfId="37853"/>
    <cellStyle name="集計 4 2 6 2 6 3" xfId="37854"/>
    <cellStyle name="集計 4 2 6 2 7" xfId="37855"/>
    <cellStyle name="集計 4 2 6 2 7 2" xfId="37856"/>
    <cellStyle name="集計 4 2 6 2 7 3" xfId="37857"/>
    <cellStyle name="集計 4 2 6 2 8" xfId="37858"/>
    <cellStyle name="集計 4 2 6 2 9" xfId="37859"/>
    <cellStyle name="集計 4 2 6 3" xfId="37860"/>
    <cellStyle name="集計 4 2 6 3 2" xfId="37861"/>
    <cellStyle name="集計 4 2 6 3 2 2" xfId="37862"/>
    <cellStyle name="集計 4 2 6 3 2 2 2" xfId="37863"/>
    <cellStyle name="集計 4 2 6 3 2 2 3" xfId="37864"/>
    <cellStyle name="集計 4 2 6 3 2 3" xfId="37865"/>
    <cellStyle name="集計 4 2 6 3 2 3 2" xfId="37866"/>
    <cellStyle name="集計 4 2 6 3 2 3 3" xfId="37867"/>
    <cellStyle name="集計 4 2 6 3 2 4" xfId="37868"/>
    <cellStyle name="集計 4 2 6 3 2 4 2" xfId="37869"/>
    <cellStyle name="集計 4 2 6 3 2 4 3" xfId="37870"/>
    <cellStyle name="集計 4 2 6 3 2 5" xfId="37871"/>
    <cellStyle name="集計 4 2 6 3 2 6" xfId="37872"/>
    <cellStyle name="集計 4 2 6 3 3" xfId="37873"/>
    <cellStyle name="集計 4 2 6 3 3 2" xfId="37874"/>
    <cellStyle name="集計 4 2 6 3 3 3" xfId="37875"/>
    <cellStyle name="集計 4 2 6 3 4" xfId="37876"/>
    <cellStyle name="集計 4 2 6 3 4 2" xfId="37877"/>
    <cellStyle name="集計 4 2 6 3 4 3" xfId="37878"/>
    <cellStyle name="集計 4 2 6 3 5" xfId="37879"/>
    <cellStyle name="集計 4 2 6 3 5 2" xfId="37880"/>
    <cellStyle name="集計 4 2 6 3 5 3" xfId="37881"/>
    <cellStyle name="集計 4 2 6 3 6" xfId="37882"/>
    <cellStyle name="集計 4 2 6 3 7" xfId="37883"/>
    <cellStyle name="集計 4 2 6 4" xfId="37884"/>
    <cellStyle name="集計 4 2 6 4 2" xfId="37885"/>
    <cellStyle name="集計 4 2 6 4 2 2" xfId="37886"/>
    <cellStyle name="集計 4 2 6 4 2 2 2" xfId="37887"/>
    <cellStyle name="集計 4 2 6 4 2 2 3" xfId="37888"/>
    <cellStyle name="集計 4 2 6 4 2 3" xfId="37889"/>
    <cellStyle name="集計 4 2 6 4 2 3 2" xfId="37890"/>
    <cellStyle name="集計 4 2 6 4 2 3 3" xfId="37891"/>
    <cellStyle name="集計 4 2 6 4 2 4" xfId="37892"/>
    <cellStyle name="集計 4 2 6 4 2 4 2" xfId="37893"/>
    <cellStyle name="集計 4 2 6 4 2 4 3" xfId="37894"/>
    <cellStyle name="集計 4 2 6 4 2 5" xfId="37895"/>
    <cellStyle name="集計 4 2 6 4 2 6" xfId="37896"/>
    <cellStyle name="集計 4 2 6 4 3" xfId="37897"/>
    <cellStyle name="集計 4 2 6 4 3 2" xfId="37898"/>
    <cellStyle name="集計 4 2 6 4 3 3" xfId="37899"/>
    <cellStyle name="集計 4 2 6 4 4" xfId="37900"/>
    <cellStyle name="集計 4 2 6 4 4 2" xfId="37901"/>
    <cellStyle name="集計 4 2 6 4 4 3" xfId="37902"/>
    <cellStyle name="集計 4 2 6 4 5" xfId="37903"/>
    <cellStyle name="集計 4 2 6 4 5 2" xfId="37904"/>
    <cellStyle name="集計 4 2 6 4 5 3" xfId="37905"/>
    <cellStyle name="集計 4 2 6 4 6" xfId="37906"/>
    <cellStyle name="集計 4 2 6 4 7" xfId="37907"/>
    <cellStyle name="集計 4 2 6 5" xfId="37908"/>
    <cellStyle name="集計 4 2 6 5 2" xfId="37909"/>
    <cellStyle name="集計 4 2 6 5 2 2" xfId="37910"/>
    <cellStyle name="集計 4 2 6 5 2 3" xfId="37911"/>
    <cellStyle name="集計 4 2 6 5 3" xfId="37912"/>
    <cellStyle name="集計 4 2 6 5 3 2" xfId="37913"/>
    <cellStyle name="集計 4 2 6 5 3 3" xfId="37914"/>
    <cellStyle name="集計 4 2 6 5 4" xfId="37915"/>
    <cellStyle name="集計 4 2 6 5 4 2" xfId="37916"/>
    <cellStyle name="集計 4 2 6 5 4 3" xfId="37917"/>
    <cellStyle name="集計 4 2 6 5 5" xfId="37918"/>
    <cellStyle name="集計 4 2 6 5 6" xfId="37919"/>
    <cellStyle name="集計 4 2 6 6" xfId="37920"/>
    <cellStyle name="集計 4 2 6 6 2" xfId="37921"/>
    <cellStyle name="集計 4 2 6 6 3" xfId="37922"/>
    <cellStyle name="集計 4 2 6 7" xfId="37923"/>
    <cellStyle name="集計 4 2 6 7 2" xfId="37924"/>
    <cellStyle name="集計 4 2 6 7 3" xfId="37925"/>
    <cellStyle name="集計 4 2 6 8" xfId="37926"/>
    <cellStyle name="集計 4 2 6 8 2" xfId="37927"/>
    <cellStyle name="集計 4 2 6 8 3" xfId="37928"/>
    <cellStyle name="集計 4 2 6 9" xfId="37929"/>
    <cellStyle name="集計 4 2 7" xfId="37930"/>
    <cellStyle name="集計 4 2 7 2" xfId="37931"/>
    <cellStyle name="集計 4 2 7 2 2" xfId="37932"/>
    <cellStyle name="集計 4 2 7 2 2 2" xfId="37933"/>
    <cellStyle name="集計 4 2 7 2 2 3" xfId="37934"/>
    <cellStyle name="集計 4 2 7 2 3" xfId="37935"/>
    <cellStyle name="集計 4 2 7 2 3 2" xfId="37936"/>
    <cellStyle name="集計 4 2 7 2 3 3" xfId="37937"/>
    <cellStyle name="集計 4 2 7 2 4" xfId="37938"/>
    <cellStyle name="集計 4 2 7 2 4 2" xfId="37939"/>
    <cellStyle name="集計 4 2 7 2 4 3" xfId="37940"/>
    <cellStyle name="集計 4 2 7 2 5" xfId="37941"/>
    <cellStyle name="集計 4 2 7 2 6" xfId="37942"/>
    <cellStyle name="集計 4 2 7 3" xfId="37943"/>
    <cellStyle name="集計 4 2 7 3 2" xfId="37944"/>
    <cellStyle name="集計 4 2 7 3 3" xfId="37945"/>
    <cellStyle name="集計 4 2 7 4" xfId="37946"/>
    <cellStyle name="集計 4 2 7 4 2" xfId="37947"/>
    <cellStyle name="集計 4 2 7 4 3" xfId="37948"/>
    <cellStyle name="集計 4 2 7 5" xfId="37949"/>
    <cellStyle name="集計 4 2 7 5 2" xfId="37950"/>
    <cellStyle name="集計 4 2 7 5 3" xfId="37951"/>
    <cellStyle name="集計 4 2 7 6" xfId="37952"/>
    <cellStyle name="集計 4 2 7 7" xfId="37953"/>
    <cellStyle name="集計 4 2 8" xfId="37954"/>
    <cellStyle name="集計 4 2 8 2" xfId="37955"/>
    <cellStyle name="集計 4 2 8 2 2" xfId="37956"/>
    <cellStyle name="集計 4 2 8 2 2 2" xfId="37957"/>
    <cellStyle name="集計 4 2 8 2 2 3" xfId="37958"/>
    <cellStyle name="集計 4 2 8 2 3" xfId="37959"/>
    <cellStyle name="集計 4 2 8 2 3 2" xfId="37960"/>
    <cellStyle name="集計 4 2 8 2 3 3" xfId="37961"/>
    <cellStyle name="集計 4 2 8 2 4" xfId="37962"/>
    <cellStyle name="集計 4 2 8 2 4 2" xfId="37963"/>
    <cellStyle name="集計 4 2 8 2 4 3" xfId="37964"/>
    <cellStyle name="集計 4 2 8 2 5" xfId="37965"/>
    <cellStyle name="集計 4 2 8 2 6" xfId="37966"/>
    <cellStyle name="集計 4 2 8 3" xfId="37967"/>
    <cellStyle name="集計 4 2 8 3 2" xfId="37968"/>
    <cellStyle name="集計 4 2 8 3 3" xfId="37969"/>
    <cellStyle name="集計 4 2 8 4" xfId="37970"/>
    <cellStyle name="集計 4 2 8 4 2" xfId="37971"/>
    <cellStyle name="集計 4 2 8 4 3" xfId="37972"/>
    <cellStyle name="集計 4 2 8 5" xfId="37973"/>
    <cellStyle name="集計 4 2 8 5 2" xfId="37974"/>
    <cellStyle name="集計 4 2 8 5 3" xfId="37975"/>
    <cellStyle name="集計 4 2 8 6" xfId="37976"/>
    <cellStyle name="集計 4 2 8 7" xfId="37977"/>
    <cellStyle name="集計 4 2 9" xfId="37978"/>
    <cellStyle name="集計 4 2 9 2" xfId="37979"/>
    <cellStyle name="集計 4 2 9 2 2" xfId="37980"/>
    <cellStyle name="集計 4 2 9 2 3" xfId="37981"/>
    <cellStyle name="集計 4 2 9 3" xfId="37982"/>
    <cellStyle name="集計 4 2 9 3 2" xfId="37983"/>
    <cellStyle name="集計 4 2 9 3 3" xfId="37984"/>
    <cellStyle name="集計 4 2 9 4" xfId="37985"/>
    <cellStyle name="集計 4 2 9 4 2" xfId="37986"/>
    <cellStyle name="集計 4 2 9 4 3" xfId="37987"/>
    <cellStyle name="集計 4 2 9 5" xfId="37988"/>
    <cellStyle name="集計 4 2 9 6" xfId="37989"/>
    <cellStyle name="集計 4 3" xfId="37990"/>
    <cellStyle name="集計 4 3 10" xfId="37991"/>
    <cellStyle name="集計 4 3 10 2" xfId="37992"/>
    <cellStyle name="集計 4 3 10 3" xfId="37993"/>
    <cellStyle name="集計 4 3 11" xfId="37994"/>
    <cellStyle name="集計 4 3 11 2" xfId="37995"/>
    <cellStyle name="集計 4 3 11 3" xfId="37996"/>
    <cellStyle name="集計 4 3 12" xfId="37997"/>
    <cellStyle name="集計 4 3 12 2" xfId="37998"/>
    <cellStyle name="集計 4 3 12 3" xfId="37999"/>
    <cellStyle name="集計 4 3 13" xfId="38000"/>
    <cellStyle name="集計 4 3 14" xfId="38001"/>
    <cellStyle name="集計 4 3 2" xfId="38002"/>
    <cellStyle name="集計 4 3 2 10" xfId="38003"/>
    <cellStyle name="集計 4 3 2 2" xfId="38004"/>
    <cellStyle name="集計 4 3 2 2 10" xfId="38005"/>
    <cellStyle name="集計 4 3 2 2 2" xfId="38006"/>
    <cellStyle name="集計 4 3 2 2 2 2" xfId="38007"/>
    <cellStyle name="集計 4 3 2 2 2 2 2" xfId="38008"/>
    <cellStyle name="集計 4 3 2 2 2 2 2 2" xfId="38009"/>
    <cellStyle name="集計 4 3 2 2 2 2 2 2 2" xfId="38010"/>
    <cellStyle name="集計 4 3 2 2 2 2 2 2 3" xfId="38011"/>
    <cellStyle name="集計 4 3 2 2 2 2 2 3" xfId="38012"/>
    <cellStyle name="集計 4 3 2 2 2 2 2 3 2" xfId="38013"/>
    <cellStyle name="集計 4 3 2 2 2 2 2 3 3" xfId="38014"/>
    <cellStyle name="集計 4 3 2 2 2 2 2 4" xfId="38015"/>
    <cellStyle name="集計 4 3 2 2 2 2 2 4 2" xfId="38016"/>
    <cellStyle name="集計 4 3 2 2 2 2 2 4 3" xfId="38017"/>
    <cellStyle name="集計 4 3 2 2 2 2 2 5" xfId="38018"/>
    <cellStyle name="集計 4 3 2 2 2 2 2 6" xfId="38019"/>
    <cellStyle name="集計 4 3 2 2 2 2 3" xfId="38020"/>
    <cellStyle name="集計 4 3 2 2 2 2 3 2" xfId="38021"/>
    <cellStyle name="集計 4 3 2 2 2 2 3 3" xfId="38022"/>
    <cellStyle name="集計 4 3 2 2 2 2 4" xfId="38023"/>
    <cellStyle name="集計 4 3 2 2 2 2 4 2" xfId="38024"/>
    <cellStyle name="集計 4 3 2 2 2 2 4 3" xfId="38025"/>
    <cellStyle name="集計 4 3 2 2 2 2 5" xfId="38026"/>
    <cellStyle name="集計 4 3 2 2 2 2 5 2" xfId="38027"/>
    <cellStyle name="集計 4 3 2 2 2 2 5 3" xfId="38028"/>
    <cellStyle name="集計 4 3 2 2 2 2 6" xfId="38029"/>
    <cellStyle name="集計 4 3 2 2 2 2 7" xfId="38030"/>
    <cellStyle name="集計 4 3 2 2 2 3" xfId="38031"/>
    <cellStyle name="集計 4 3 2 2 2 3 2" xfId="38032"/>
    <cellStyle name="集計 4 3 2 2 2 3 2 2" xfId="38033"/>
    <cellStyle name="集計 4 3 2 2 2 3 2 2 2" xfId="38034"/>
    <cellStyle name="集計 4 3 2 2 2 3 2 2 3" xfId="38035"/>
    <cellStyle name="集計 4 3 2 2 2 3 2 3" xfId="38036"/>
    <cellStyle name="集計 4 3 2 2 2 3 2 3 2" xfId="38037"/>
    <cellStyle name="集計 4 3 2 2 2 3 2 3 3" xfId="38038"/>
    <cellStyle name="集計 4 3 2 2 2 3 2 4" xfId="38039"/>
    <cellStyle name="集計 4 3 2 2 2 3 2 4 2" xfId="38040"/>
    <cellStyle name="集計 4 3 2 2 2 3 2 4 3" xfId="38041"/>
    <cellStyle name="集計 4 3 2 2 2 3 2 5" xfId="38042"/>
    <cellStyle name="集計 4 3 2 2 2 3 2 6" xfId="38043"/>
    <cellStyle name="集計 4 3 2 2 2 3 3" xfId="38044"/>
    <cellStyle name="集計 4 3 2 2 2 3 3 2" xfId="38045"/>
    <cellStyle name="集計 4 3 2 2 2 3 3 3" xfId="38046"/>
    <cellStyle name="集計 4 3 2 2 2 3 4" xfId="38047"/>
    <cellStyle name="集計 4 3 2 2 2 3 4 2" xfId="38048"/>
    <cellStyle name="集計 4 3 2 2 2 3 4 3" xfId="38049"/>
    <cellStyle name="集計 4 3 2 2 2 3 5" xfId="38050"/>
    <cellStyle name="集計 4 3 2 2 2 3 5 2" xfId="38051"/>
    <cellStyle name="集計 4 3 2 2 2 3 5 3" xfId="38052"/>
    <cellStyle name="集計 4 3 2 2 2 3 6" xfId="38053"/>
    <cellStyle name="集計 4 3 2 2 2 3 7" xfId="38054"/>
    <cellStyle name="集計 4 3 2 2 2 4" xfId="38055"/>
    <cellStyle name="集計 4 3 2 2 2 4 2" xfId="38056"/>
    <cellStyle name="集計 4 3 2 2 2 4 2 2" xfId="38057"/>
    <cellStyle name="集計 4 3 2 2 2 4 2 3" xfId="38058"/>
    <cellStyle name="集計 4 3 2 2 2 4 3" xfId="38059"/>
    <cellStyle name="集計 4 3 2 2 2 4 3 2" xfId="38060"/>
    <cellStyle name="集計 4 3 2 2 2 4 3 3" xfId="38061"/>
    <cellStyle name="集計 4 3 2 2 2 4 4" xfId="38062"/>
    <cellStyle name="集計 4 3 2 2 2 4 4 2" xfId="38063"/>
    <cellStyle name="集計 4 3 2 2 2 4 4 3" xfId="38064"/>
    <cellStyle name="集計 4 3 2 2 2 4 5" xfId="38065"/>
    <cellStyle name="集計 4 3 2 2 2 4 6" xfId="38066"/>
    <cellStyle name="集計 4 3 2 2 2 5" xfId="38067"/>
    <cellStyle name="集計 4 3 2 2 2 5 2" xfId="38068"/>
    <cellStyle name="集計 4 3 2 2 2 5 3" xfId="38069"/>
    <cellStyle name="集計 4 3 2 2 2 6" xfId="38070"/>
    <cellStyle name="集計 4 3 2 2 2 6 2" xfId="38071"/>
    <cellStyle name="集計 4 3 2 2 2 6 3" xfId="38072"/>
    <cellStyle name="集計 4 3 2 2 2 7" xfId="38073"/>
    <cellStyle name="集計 4 3 2 2 2 7 2" xfId="38074"/>
    <cellStyle name="集計 4 3 2 2 2 7 3" xfId="38075"/>
    <cellStyle name="集計 4 3 2 2 2 8" xfId="38076"/>
    <cellStyle name="集計 4 3 2 2 2 9" xfId="38077"/>
    <cellStyle name="集計 4 3 2 2 3" xfId="38078"/>
    <cellStyle name="集計 4 3 2 2 3 2" xfId="38079"/>
    <cellStyle name="集計 4 3 2 2 3 2 2" xfId="38080"/>
    <cellStyle name="集計 4 3 2 2 3 2 2 2" xfId="38081"/>
    <cellStyle name="集計 4 3 2 2 3 2 2 3" xfId="38082"/>
    <cellStyle name="集計 4 3 2 2 3 2 3" xfId="38083"/>
    <cellStyle name="集計 4 3 2 2 3 2 3 2" xfId="38084"/>
    <cellStyle name="集計 4 3 2 2 3 2 3 3" xfId="38085"/>
    <cellStyle name="集計 4 3 2 2 3 2 4" xfId="38086"/>
    <cellStyle name="集計 4 3 2 2 3 2 4 2" xfId="38087"/>
    <cellStyle name="集計 4 3 2 2 3 2 4 3" xfId="38088"/>
    <cellStyle name="集計 4 3 2 2 3 2 5" xfId="38089"/>
    <cellStyle name="集計 4 3 2 2 3 2 6" xfId="38090"/>
    <cellStyle name="集計 4 3 2 2 3 3" xfId="38091"/>
    <cellStyle name="集計 4 3 2 2 3 3 2" xfId="38092"/>
    <cellStyle name="集計 4 3 2 2 3 3 3" xfId="38093"/>
    <cellStyle name="集計 4 3 2 2 3 4" xfId="38094"/>
    <cellStyle name="集計 4 3 2 2 3 4 2" xfId="38095"/>
    <cellStyle name="集計 4 3 2 2 3 4 3" xfId="38096"/>
    <cellStyle name="集計 4 3 2 2 3 5" xfId="38097"/>
    <cellStyle name="集計 4 3 2 2 3 5 2" xfId="38098"/>
    <cellStyle name="集計 4 3 2 2 3 5 3" xfId="38099"/>
    <cellStyle name="集計 4 3 2 2 3 6" xfId="38100"/>
    <cellStyle name="集計 4 3 2 2 3 7" xfId="38101"/>
    <cellStyle name="集計 4 3 2 2 4" xfId="38102"/>
    <cellStyle name="集計 4 3 2 2 4 2" xfId="38103"/>
    <cellStyle name="集計 4 3 2 2 4 2 2" xfId="38104"/>
    <cellStyle name="集計 4 3 2 2 4 2 2 2" xfId="38105"/>
    <cellStyle name="集計 4 3 2 2 4 2 2 3" xfId="38106"/>
    <cellStyle name="集計 4 3 2 2 4 2 3" xfId="38107"/>
    <cellStyle name="集計 4 3 2 2 4 2 3 2" xfId="38108"/>
    <cellStyle name="集計 4 3 2 2 4 2 3 3" xfId="38109"/>
    <cellStyle name="集計 4 3 2 2 4 2 4" xfId="38110"/>
    <cellStyle name="集計 4 3 2 2 4 2 4 2" xfId="38111"/>
    <cellStyle name="集計 4 3 2 2 4 2 4 3" xfId="38112"/>
    <cellStyle name="集計 4 3 2 2 4 2 5" xfId="38113"/>
    <cellStyle name="集計 4 3 2 2 4 2 6" xfId="38114"/>
    <cellStyle name="集計 4 3 2 2 4 3" xfId="38115"/>
    <cellStyle name="集計 4 3 2 2 4 3 2" xfId="38116"/>
    <cellStyle name="集計 4 3 2 2 4 3 3" xfId="38117"/>
    <cellStyle name="集計 4 3 2 2 4 4" xfId="38118"/>
    <cellStyle name="集計 4 3 2 2 4 4 2" xfId="38119"/>
    <cellStyle name="集計 4 3 2 2 4 4 3" xfId="38120"/>
    <cellStyle name="集計 4 3 2 2 4 5" xfId="38121"/>
    <cellStyle name="集計 4 3 2 2 4 5 2" xfId="38122"/>
    <cellStyle name="集計 4 3 2 2 4 5 3" xfId="38123"/>
    <cellStyle name="集計 4 3 2 2 4 6" xfId="38124"/>
    <cellStyle name="集計 4 3 2 2 4 7" xfId="38125"/>
    <cellStyle name="集計 4 3 2 2 5" xfId="38126"/>
    <cellStyle name="集計 4 3 2 2 5 2" xfId="38127"/>
    <cellStyle name="集計 4 3 2 2 5 2 2" xfId="38128"/>
    <cellStyle name="集計 4 3 2 2 5 2 3" xfId="38129"/>
    <cellStyle name="集計 4 3 2 2 5 3" xfId="38130"/>
    <cellStyle name="集計 4 3 2 2 5 3 2" xfId="38131"/>
    <cellStyle name="集計 4 3 2 2 5 3 3" xfId="38132"/>
    <cellStyle name="集計 4 3 2 2 5 4" xfId="38133"/>
    <cellStyle name="集計 4 3 2 2 5 4 2" xfId="38134"/>
    <cellStyle name="集計 4 3 2 2 5 4 3" xfId="38135"/>
    <cellStyle name="集計 4 3 2 2 5 5" xfId="38136"/>
    <cellStyle name="集計 4 3 2 2 5 6" xfId="38137"/>
    <cellStyle name="集計 4 3 2 2 6" xfId="38138"/>
    <cellStyle name="集計 4 3 2 2 6 2" xfId="38139"/>
    <cellStyle name="集計 4 3 2 2 6 3" xfId="38140"/>
    <cellStyle name="集計 4 3 2 2 7" xfId="38141"/>
    <cellStyle name="集計 4 3 2 2 7 2" xfId="38142"/>
    <cellStyle name="集計 4 3 2 2 7 3" xfId="38143"/>
    <cellStyle name="集計 4 3 2 2 8" xfId="38144"/>
    <cellStyle name="集計 4 3 2 2 8 2" xfId="38145"/>
    <cellStyle name="集計 4 3 2 2 8 3" xfId="38146"/>
    <cellStyle name="集計 4 3 2 2 9" xfId="38147"/>
    <cellStyle name="集計 4 3 2 3" xfId="38148"/>
    <cellStyle name="集計 4 3 2 3 2" xfId="38149"/>
    <cellStyle name="集計 4 3 2 3 2 2" xfId="38150"/>
    <cellStyle name="集計 4 3 2 3 2 2 2" xfId="38151"/>
    <cellStyle name="集計 4 3 2 3 2 2 3" xfId="38152"/>
    <cellStyle name="集計 4 3 2 3 2 3" xfId="38153"/>
    <cellStyle name="集計 4 3 2 3 2 3 2" xfId="38154"/>
    <cellStyle name="集計 4 3 2 3 2 3 3" xfId="38155"/>
    <cellStyle name="集計 4 3 2 3 2 4" xfId="38156"/>
    <cellStyle name="集計 4 3 2 3 2 4 2" xfId="38157"/>
    <cellStyle name="集計 4 3 2 3 2 4 3" xfId="38158"/>
    <cellStyle name="集計 4 3 2 3 2 5" xfId="38159"/>
    <cellStyle name="集計 4 3 2 3 2 6" xfId="38160"/>
    <cellStyle name="集計 4 3 2 3 3" xfId="38161"/>
    <cellStyle name="集計 4 3 2 3 3 2" xfId="38162"/>
    <cellStyle name="集計 4 3 2 3 3 3" xfId="38163"/>
    <cellStyle name="集計 4 3 2 3 4" xfId="38164"/>
    <cellStyle name="集計 4 3 2 3 4 2" xfId="38165"/>
    <cellStyle name="集計 4 3 2 3 4 3" xfId="38166"/>
    <cellStyle name="集計 4 3 2 3 5" xfId="38167"/>
    <cellStyle name="集計 4 3 2 3 5 2" xfId="38168"/>
    <cellStyle name="集計 4 3 2 3 5 3" xfId="38169"/>
    <cellStyle name="集計 4 3 2 3 6" xfId="38170"/>
    <cellStyle name="集計 4 3 2 3 7" xfId="38171"/>
    <cellStyle name="集計 4 3 2 4" xfId="38172"/>
    <cellStyle name="集計 4 3 2 4 2" xfId="38173"/>
    <cellStyle name="集計 4 3 2 4 2 2" xfId="38174"/>
    <cellStyle name="集計 4 3 2 4 2 2 2" xfId="38175"/>
    <cellStyle name="集計 4 3 2 4 2 2 3" xfId="38176"/>
    <cellStyle name="集計 4 3 2 4 2 3" xfId="38177"/>
    <cellStyle name="集計 4 3 2 4 2 3 2" xfId="38178"/>
    <cellStyle name="集計 4 3 2 4 2 3 3" xfId="38179"/>
    <cellStyle name="集計 4 3 2 4 2 4" xfId="38180"/>
    <cellStyle name="集計 4 3 2 4 2 4 2" xfId="38181"/>
    <cellStyle name="集計 4 3 2 4 2 4 3" xfId="38182"/>
    <cellStyle name="集計 4 3 2 4 2 5" xfId="38183"/>
    <cellStyle name="集計 4 3 2 4 2 6" xfId="38184"/>
    <cellStyle name="集計 4 3 2 4 3" xfId="38185"/>
    <cellStyle name="集計 4 3 2 4 3 2" xfId="38186"/>
    <cellStyle name="集計 4 3 2 4 3 3" xfId="38187"/>
    <cellStyle name="集計 4 3 2 4 4" xfId="38188"/>
    <cellStyle name="集計 4 3 2 4 4 2" xfId="38189"/>
    <cellStyle name="集計 4 3 2 4 4 3" xfId="38190"/>
    <cellStyle name="集計 4 3 2 4 5" xfId="38191"/>
    <cellStyle name="集計 4 3 2 4 5 2" xfId="38192"/>
    <cellStyle name="集計 4 3 2 4 5 3" xfId="38193"/>
    <cellStyle name="集計 4 3 2 4 6" xfId="38194"/>
    <cellStyle name="集計 4 3 2 4 7" xfId="38195"/>
    <cellStyle name="集計 4 3 2 5" xfId="38196"/>
    <cellStyle name="集計 4 3 2 5 2" xfId="38197"/>
    <cellStyle name="集計 4 3 2 5 2 2" xfId="38198"/>
    <cellStyle name="集計 4 3 2 5 2 3" xfId="38199"/>
    <cellStyle name="集計 4 3 2 5 3" xfId="38200"/>
    <cellStyle name="集計 4 3 2 5 3 2" xfId="38201"/>
    <cellStyle name="集計 4 3 2 5 3 3" xfId="38202"/>
    <cellStyle name="集計 4 3 2 5 4" xfId="38203"/>
    <cellStyle name="集計 4 3 2 5 4 2" xfId="38204"/>
    <cellStyle name="集計 4 3 2 5 4 3" xfId="38205"/>
    <cellStyle name="集計 4 3 2 5 5" xfId="38206"/>
    <cellStyle name="集計 4 3 2 5 6" xfId="38207"/>
    <cellStyle name="集計 4 3 2 6" xfId="38208"/>
    <cellStyle name="集計 4 3 2 6 2" xfId="38209"/>
    <cellStyle name="集計 4 3 2 6 3" xfId="38210"/>
    <cellStyle name="集計 4 3 2 7" xfId="38211"/>
    <cellStyle name="集計 4 3 2 7 2" xfId="38212"/>
    <cellStyle name="集計 4 3 2 7 3" xfId="38213"/>
    <cellStyle name="集計 4 3 2 8" xfId="38214"/>
    <cellStyle name="集計 4 3 2 8 2" xfId="38215"/>
    <cellStyle name="集計 4 3 2 8 3" xfId="38216"/>
    <cellStyle name="集計 4 3 2 9" xfId="38217"/>
    <cellStyle name="集計 4 3 3" xfId="38218"/>
    <cellStyle name="集計 4 3 3 10" xfId="38219"/>
    <cellStyle name="集計 4 3 3 2" xfId="38220"/>
    <cellStyle name="集計 4 3 3 2 10" xfId="38221"/>
    <cellStyle name="集計 4 3 3 2 2" xfId="38222"/>
    <cellStyle name="集計 4 3 3 2 2 2" xfId="38223"/>
    <cellStyle name="集計 4 3 3 2 2 2 2" xfId="38224"/>
    <cellStyle name="集計 4 3 3 2 2 2 2 2" xfId="38225"/>
    <cellStyle name="集計 4 3 3 2 2 2 2 2 2" xfId="38226"/>
    <cellStyle name="集計 4 3 3 2 2 2 2 2 3" xfId="38227"/>
    <cellStyle name="集計 4 3 3 2 2 2 2 3" xfId="38228"/>
    <cellStyle name="集計 4 3 3 2 2 2 2 3 2" xfId="38229"/>
    <cellStyle name="集計 4 3 3 2 2 2 2 3 3" xfId="38230"/>
    <cellStyle name="集計 4 3 3 2 2 2 2 4" xfId="38231"/>
    <cellStyle name="集計 4 3 3 2 2 2 2 4 2" xfId="38232"/>
    <cellStyle name="集計 4 3 3 2 2 2 2 4 3" xfId="38233"/>
    <cellStyle name="集計 4 3 3 2 2 2 2 5" xfId="38234"/>
    <cellStyle name="集計 4 3 3 2 2 2 2 6" xfId="38235"/>
    <cellStyle name="集計 4 3 3 2 2 2 3" xfId="38236"/>
    <cellStyle name="集計 4 3 3 2 2 2 3 2" xfId="38237"/>
    <cellStyle name="集計 4 3 3 2 2 2 3 3" xfId="38238"/>
    <cellStyle name="集計 4 3 3 2 2 2 4" xfId="38239"/>
    <cellStyle name="集計 4 3 3 2 2 2 4 2" xfId="38240"/>
    <cellStyle name="集計 4 3 3 2 2 2 4 3" xfId="38241"/>
    <cellStyle name="集計 4 3 3 2 2 2 5" xfId="38242"/>
    <cellStyle name="集計 4 3 3 2 2 2 5 2" xfId="38243"/>
    <cellStyle name="集計 4 3 3 2 2 2 5 3" xfId="38244"/>
    <cellStyle name="集計 4 3 3 2 2 2 6" xfId="38245"/>
    <cellStyle name="集計 4 3 3 2 2 2 7" xfId="38246"/>
    <cellStyle name="集計 4 3 3 2 2 3" xfId="38247"/>
    <cellStyle name="集計 4 3 3 2 2 3 2" xfId="38248"/>
    <cellStyle name="集計 4 3 3 2 2 3 2 2" xfId="38249"/>
    <cellStyle name="集計 4 3 3 2 2 3 2 2 2" xfId="38250"/>
    <cellStyle name="集計 4 3 3 2 2 3 2 2 3" xfId="38251"/>
    <cellStyle name="集計 4 3 3 2 2 3 2 3" xfId="38252"/>
    <cellStyle name="集計 4 3 3 2 2 3 2 3 2" xfId="38253"/>
    <cellStyle name="集計 4 3 3 2 2 3 2 3 3" xfId="38254"/>
    <cellStyle name="集計 4 3 3 2 2 3 2 4" xfId="38255"/>
    <cellStyle name="集計 4 3 3 2 2 3 2 4 2" xfId="38256"/>
    <cellStyle name="集計 4 3 3 2 2 3 2 4 3" xfId="38257"/>
    <cellStyle name="集計 4 3 3 2 2 3 2 5" xfId="38258"/>
    <cellStyle name="集計 4 3 3 2 2 3 2 6" xfId="38259"/>
    <cellStyle name="集計 4 3 3 2 2 3 3" xfId="38260"/>
    <cellStyle name="集計 4 3 3 2 2 3 3 2" xfId="38261"/>
    <cellStyle name="集計 4 3 3 2 2 3 3 3" xfId="38262"/>
    <cellStyle name="集計 4 3 3 2 2 3 4" xfId="38263"/>
    <cellStyle name="集計 4 3 3 2 2 3 4 2" xfId="38264"/>
    <cellStyle name="集計 4 3 3 2 2 3 4 3" xfId="38265"/>
    <cellStyle name="集計 4 3 3 2 2 3 5" xfId="38266"/>
    <cellStyle name="集計 4 3 3 2 2 3 5 2" xfId="38267"/>
    <cellStyle name="集計 4 3 3 2 2 3 5 3" xfId="38268"/>
    <cellStyle name="集計 4 3 3 2 2 3 6" xfId="38269"/>
    <cellStyle name="集計 4 3 3 2 2 3 7" xfId="38270"/>
    <cellStyle name="集計 4 3 3 2 2 4" xfId="38271"/>
    <cellStyle name="集計 4 3 3 2 2 4 2" xfId="38272"/>
    <cellStyle name="集計 4 3 3 2 2 4 2 2" xfId="38273"/>
    <cellStyle name="集計 4 3 3 2 2 4 2 3" xfId="38274"/>
    <cellStyle name="集計 4 3 3 2 2 4 3" xfId="38275"/>
    <cellStyle name="集計 4 3 3 2 2 4 3 2" xfId="38276"/>
    <cellStyle name="集計 4 3 3 2 2 4 3 3" xfId="38277"/>
    <cellStyle name="集計 4 3 3 2 2 4 4" xfId="38278"/>
    <cellStyle name="集計 4 3 3 2 2 4 4 2" xfId="38279"/>
    <cellStyle name="集計 4 3 3 2 2 4 4 3" xfId="38280"/>
    <cellStyle name="集計 4 3 3 2 2 4 5" xfId="38281"/>
    <cellStyle name="集計 4 3 3 2 2 4 6" xfId="38282"/>
    <cellStyle name="集計 4 3 3 2 2 5" xfId="38283"/>
    <cellStyle name="集計 4 3 3 2 2 5 2" xfId="38284"/>
    <cellStyle name="集計 4 3 3 2 2 5 3" xfId="38285"/>
    <cellStyle name="集計 4 3 3 2 2 6" xfId="38286"/>
    <cellStyle name="集計 4 3 3 2 2 6 2" xfId="38287"/>
    <cellStyle name="集計 4 3 3 2 2 6 3" xfId="38288"/>
    <cellStyle name="集計 4 3 3 2 2 7" xfId="38289"/>
    <cellStyle name="集計 4 3 3 2 2 7 2" xfId="38290"/>
    <cellStyle name="集計 4 3 3 2 2 7 3" xfId="38291"/>
    <cellStyle name="集計 4 3 3 2 2 8" xfId="38292"/>
    <cellStyle name="集計 4 3 3 2 2 9" xfId="38293"/>
    <cellStyle name="集計 4 3 3 2 3" xfId="38294"/>
    <cellStyle name="集計 4 3 3 2 3 2" xfId="38295"/>
    <cellStyle name="集計 4 3 3 2 3 2 2" xfId="38296"/>
    <cellStyle name="集計 4 3 3 2 3 2 2 2" xfId="38297"/>
    <cellStyle name="集計 4 3 3 2 3 2 2 3" xfId="38298"/>
    <cellStyle name="集計 4 3 3 2 3 2 3" xfId="38299"/>
    <cellStyle name="集計 4 3 3 2 3 2 3 2" xfId="38300"/>
    <cellStyle name="集計 4 3 3 2 3 2 3 3" xfId="38301"/>
    <cellStyle name="集計 4 3 3 2 3 2 4" xfId="38302"/>
    <cellStyle name="集計 4 3 3 2 3 2 4 2" xfId="38303"/>
    <cellStyle name="集計 4 3 3 2 3 2 4 3" xfId="38304"/>
    <cellStyle name="集計 4 3 3 2 3 2 5" xfId="38305"/>
    <cellStyle name="集計 4 3 3 2 3 2 6" xfId="38306"/>
    <cellStyle name="集計 4 3 3 2 3 3" xfId="38307"/>
    <cellStyle name="集計 4 3 3 2 3 3 2" xfId="38308"/>
    <cellStyle name="集計 4 3 3 2 3 3 3" xfId="38309"/>
    <cellStyle name="集計 4 3 3 2 3 4" xfId="38310"/>
    <cellStyle name="集計 4 3 3 2 3 4 2" xfId="38311"/>
    <cellStyle name="集計 4 3 3 2 3 4 3" xfId="38312"/>
    <cellStyle name="集計 4 3 3 2 3 5" xfId="38313"/>
    <cellStyle name="集計 4 3 3 2 3 5 2" xfId="38314"/>
    <cellStyle name="集計 4 3 3 2 3 5 3" xfId="38315"/>
    <cellStyle name="集計 4 3 3 2 3 6" xfId="38316"/>
    <cellStyle name="集計 4 3 3 2 3 7" xfId="38317"/>
    <cellStyle name="集計 4 3 3 2 4" xfId="38318"/>
    <cellStyle name="集計 4 3 3 2 4 2" xfId="38319"/>
    <cellStyle name="集計 4 3 3 2 4 2 2" xfId="38320"/>
    <cellStyle name="集計 4 3 3 2 4 2 2 2" xfId="38321"/>
    <cellStyle name="集計 4 3 3 2 4 2 2 3" xfId="38322"/>
    <cellStyle name="集計 4 3 3 2 4 2 3" xfId="38323"/>
    <cellStyle name="集計 4 3 3 2 4 2 3 2" xfId="38324"/>
    <cellStyle name="集計 4 3 3 2 4 2 3 3" xfId="38325"/>
    <cellStyle name="集計 4 3 3 2 4 2 4" xfId="38326"/>
    <cellStyle name="集計 4 3 3 2 4 2 4 2" xfId="38327"/>
    <cellStyle name="集計 4 3 3 2 4 2 4 3" xfId="38328"/>
    <cellStyle name="集計 4 3 3 2 4 2 5" xfId="38329"/>
    <cellStyle name="集計 4 3 3 2 4 2 6" xfId="38330"/>
    <cellStyle name="集計 4 3 3 2 4 3" xfId="38331"/>
    <cellStyle name="集計 4 3 3 2 4 3 2" xfId="38332"/>
    <cellStyle name="集計 4 3 3 2 4 3 3" xfId="38333"/>
    <cellStyle name="集計 4 3 3 2 4 4" xfId="38334"/>
    <cellStyle name="集計 4 3 3 2 4 4 2" xfId="38335"/>
    <cellStyle name="集計 4 3 3 2 4 4 3" xfId="38336"/>
    <cellStyle name="集計 4 3 3 2 4 5" xfId="38337"/>
    <cellStyle name="集計 4 3 3 2 4 5 2" xfId="38338"/>
    <cellStyle name="集計 4 3 3 2 4 5 3" xfId="38339"/>
    <cellStyle name="集計 4 3 3 2 4 6" xfId="38340"/>
    <cellStyle name="集計 4 3 3 2 4 7" xfId="38341"/>
    <cellStyle name="集計 4 3 3 2 5" xfId="38342"/>
    <cellStyle name="集計 4 3 3 2 5 2" xfId="38343"/>
    <cellStyle name="集計 4 3 3 2 5 2 2" xfId="38344"/>
    <cellStyle name="集計 4 3 3 2 5 2 3" xfId="38345"/>
    <cellStyle name="集計 4 3 3 2 5 3" xfId="38346"/>
    <cellStyle name="集計 4 3 3 2 5 3 2" xfId="38347"/>
    <cellStyle name="集計 4 3 3 2 5 3 3" xfId="38348"/>
    <cellStyle name="集計 4 3 3 2 5 4" xfId="38349"/>
    <cellStyle name="集計 4 3 3 2 5 4 2" xfId="38350"/>
    <cellStyle name="集計 4 3 3 2 5 4 3" xfId="38351"/>
    <cellStyle name="集計 4 3 3 2 5 5" xfId="38352"/>
    <cellStyle name="集計 4 3 3 2 5 6" xfId="38353"/>
    <cellStyle name="集計 4 3 3 2 6" xfId="38354"/>
    <cellStyle name="集計 4 3 3 2 6 2" xfId="38355"/>
    <cellStyle name="集計 4 3 3 2 6 3" xfId="38356"/>
    <cellStyle name="集計 4 3 3 2 7" xfId="38357"/>
    <cellStyle name="集計 4 3 3 2 7 2" xfId="38358"/>
    <cellStyle name="集計 4 3 3 2 7 3" xfId="38359"/>
    <cellStyle name="集計 4 3 3 2 8" xfId="38360"/>
    <cellStyle name="集計 4 3 3 2 8 2" xfId="38361"/>
    <cellStyle name="集計 4 3 3 2 8 3" xfId="38362"/>
    <cellStyle name="集計 4 3 3 2 9" xfId="38363"/>
    <cellStyle name="集計 4 3 3 3" xfId="38364"/>
    <cellStyle name="集計 4 3 3 3 2" xfId="38365"/>
    <cellStyle name="集計 4 3 3 3 2 2" xfId="38366"/>
    <cellStyle name="集計 4 3 3 3 2 2 2" xfId="38367"/>
    <cellStyle name="集計 4 3 3 3 2 2 3" xfId="38368"/>
    <cellStyle name="集計 4 3 3 3 2 3" xfId="38369"/>
    <cellStyle name="集計 4 3 3 3 2 3 2" xfId="38370"/>
    <cellStyle name="集計 4 3 3 3 2 3 3" xfId="38371"/>
    <cellStyle name="集計 4 3 3 3 2 4" xfId="38372"/>
    <cellStyle name="集計 4 3 3 3 2 4 2" xfId="38373"/>
    <cellStyle name="集計 4 3 3 3 2 4 3" xfId="38374"/>
    <cellStyle name="集計 4 3 3 3 2 5" xfId="38375"/>
    <cellStyle name="集計 4 3 3 3 2 6" xfId="38376"/>
    <cellStyle name="集計 4 3 3 3 3" xfId="38377"/>
    <cellStyle name="集計 4 3 3 3 3 2" xfId="38378"/>
    <cellStyle name="集計 4 3 3 3 3 3" xfId="38379"/>
    <cellStyle name="集計 4 3 3 3 4" xfId="38380"/>
    <cellStyle name="集計 4 3 3 3 4 2" xfId="38381"/>
    <cellStyle name="集計 4 3 3 3 4 3" xfId="38382"/>
    <cellStyle name="集計 4 3 3 3 5" xfId="38383"/>
    <cellStyle name="集計 4 3 3 3 5 2" xfId="38384"/>
    <cellStyle name="集計 4 3 3 3 5 3" xfId="38385"/>
    <cellStyle name="集計 4 3 3 3 6" xfId="38386"/>
    <cellStyle name="集計 4 3 3 3 7" xfId="38387"/>
    <cellStyle name="集計 4 3 3 4" xfId="38388"/>
    <cellStyle name="集計 4 3 3 4 2" xfId="38389"/>
    <cellStyle name="集計 4 3 3 4 2 2" xfId="38390"/>
    <cellStyle name="集計 4 3 3 4 2 2 2" xfId="38391"/>
    <cellStyle name="集計 4 3 3 4 2 2 3" xfId="38392"/>
    <cellStyle name="集計 4 3 3 4 2 3" xfId="38393"/>
    <cellStyle name="集計 4 3 3 4 2 3 2" xfId="38394"/>
    <cellStyle name="集計 4 3 3 4 2 3 3" xfId="38395"/>
    <cellStyle name="集計 4 3 3 4 2 4" xfId="38396"/>
    <cellStyle name="集計 4 3 3 4 2 4 2" xfId="38397"/>
    <cellStyle name="集計 4 3 3 4 2 4 3" xfId="38398"/>
    <cellStyle name="集計 4 3 3 4 2 5" xfId="38399"/>
    <cellStyle name="集計 4 3 3 4 2 6" xfId="38400"/>
    <cellStyle name="集計 4 3 3 4 3" xfId="38401"/>
    <cellStyle name="集計 4 3 3 4 3 2" xfId="38402"/>
    <cellStyle name="集計 4 3 3 4 3 3" xfId="38403"/>
    <cellStyle name="集計 4 3 3 4 4" xfId="38404"/>
    <cellStyle name="集計 4 3 3 4 4 2" xfId="38405"/>
    <cellStyle name="集計 4 3 3 4 4 3" xfId="38406"/>
    <cellStyle name="集計 4 3 3 4 5" xfId="38407"/>
    <cellStyle name="集計 4 3 3 4 5 2" xfId="38408"/>
    <cellStyle name="集計 4 3 3 4 5 3" xfId="38409"/>
    <cellStyle name="集計 4 3 3 4 6" xfId="38410"/>
    <cellStyle name="集計 4 3 3 4 7" xfId="38411"/>
    <cellStyle name="集計 4 3 3 5" xfId="38412"/>
    <cellStyle name="集計 4 3 3 5 2" xfId="38413"/>
    <cellStyle name="集計 4 3 3 5 2 2" xfId="38414"/>
    <cellStyle name="集計 4 3 3 5 2 3" xfId="38415"/>
    <cellStyle name="集計 4 3 3 5 3" xfId="38416"/>
    <cellStyle name="集計 4 3 3 5 3 2" xfId="38417"/>
    <cellStyle name="集計 4 3 3 5 3 3" xfId="38418"/>
    <cellStyle name="集計 4 3 3 5 4" xfId="38419"/>
    <cellStyle name="集計 4 3 3 5 4 2" xfId="38420"/>
    <cellStyle name="集計 4 3 3 5 4 3" xfId="38421"/>
    <cellStyle name="集計 4 3 3 5 5" xfId="38422"/>
    <cellStyle name="集計 4 3 3 5 6" xfId="38423"/>
    <cellStyle name="集計 4 3 3 6" xfId="38424"/>
    <cellStyle name="集計 4 3 3 6 2" xfId="38425"/>
    <cellStyle name="集計 4 3 3 6 3" xfId="38426"/>
    <cellStyle name="集計 4 3 3 7" xfId="38427"/>
    <cellStyle name="集計 4 3 3 7 2" xfId="38428"/>
    <cellStyle name="集計 4 3 3 7 3" xfId="38429"/>
    <cellStyle name="集計 4 3 3 8" xfId="38430"/>
    <cellStyle name="集計 4 3 3 8 2" xfId="38431"/>
    <cellStyle name="集計 4 3 3 8 3" xfId="38432"/>
    <cellStyle name="集計 4 3 3 9" xfId="38433"/>
    <cellStyle name="集計 4 3 4" xfId="38434"/>
    <cellStyle name="集計 4 3 4 10" xfId="38435"/>
    <cellStyle name="集計 4 3 4 2" xfId="38436"/>
    <cellStyle name="集計 4 3 4 2 10" xfId="38437"/>
    <cellStyle name="集計 4 3 4 2 2" xfId="38438"/>
    <cellStyle name="集計 4 3 4 2 2 2" xfId="38439"/>
    <cellStyle name="集計 4 3 4 2 2 2 2" xfId="38440"/>
    <cellStyle name="集計 4 3 4 2 2 2 2 2" xfId="38441"/>
    <cellStyle name="集計 4 3 4 2 2 2 2 2 2" xfId="38442"/>
    <cellStyle name="集計 4 3 4 2 2 2 2 2 3" xfId="38443"/>
    <cellStyle name="集計 4 3 4 2 2 2 2 3" xfId="38444"/>
    <cellStyle name="集計 4 3 4 2 2 2 2 3 2" xfId="38445"/>
    <cellStyle name="集計 4 3 4 2 2 2 2 3 3" xfId="38446"/>
    <cellStyle name="集計 4 3 4 2 2 2 2 4" xfId="38447"/>
    <cellStyle name="集計 4 3 4 2 2 2 2 4 2" xfId="38448"/>
    <cellStyle name="集計 4 3 4 2 2 2 2 4 3" xfId="38449"/>
    <cellStyle name="集計 4 3 4 2 2 2 2 5" xfId="38450"/>
    <cellStyle name="集計 4 3 4 2 2 2 2 6" xfId="38451"/>
    <cellStyle name="集計 4 3 4 2 2 2 3" xfId="38452"/>
    <cellStyle name="集計 4 3 4 2 2 2 3 2" xfId="38453"/>
    <cellStyle name="集計 4 3 4 2 2 2 3 3" xfId="38454"/>
    <cellStyle name="集計 4 3 4 2 2 2 4" xfId="38455"/>
    <cellStyle name="集計 4 3 4 2 2 2 4 2" xfId="38456"/>
    <cellStyle name="集計 4 3 4 2 2 2 4 3" xfId="38457"/>
    <cellStyle name="集計 4 3 4 2 2 2 5" xfId="38458"/>
    <cellStyle name="集計 4 3 4 2 2 2 5 2" xfId="38459"/>
    <cellStyle name="集計 4 3 4 2 2 2 5 3" xfId="38460"/>
    <cellStyle name="集計 4 3 4 2 2 2 6" xfId="38461"/>
    <cellStyle name="集計 4 3 4 2 2 2 7" xfId="38462"/>
    <cellStyle name="集計 4 3 4 2 2 3" xfId="38463"/>
    <cellStyle name="集計 4 3 4 2 2 3 2" xfId="38464"/>
    <cellStyle name="集計 4 3 4 2 2 3 2 2" xfId="38465"/>
    <cellStyle name="集計 4 3 4 2 2 3 2 2 2" xfId="38466"/>
    <cellStyle name="集計 4 3 4 2 2 3 2 2 3" xfId="38467"/>
    <cellStyle name="集計 4 3 4 2 2 3 2 3" xfId="38468"/>
    <cellStyle name="集計 4 3 4 2 2 3 2 3 2" xfId="38469"/>
    <cellStyle name="集計 4 3 4 2 2 3 2 3 3" xfId="38470"/>
    <cellStyle name="集計 4 3 4 2 2 3 2 4" xfId="38471"/>
    <cellStyle name="集計 4 3 4 2 2 3 2 4 2" xfId="38472"/>
    <cellStyle name="集計 4 3 4 2 2 3 2 4 3" xfId="38473"/>
    <cellStyle name="集計 4 3 4 2 2 3 2 5" xfId="38474"/>
    <cellStyle name="集計 4 3 4 2 2 3 2 6" xfId="38475"/>
    <cellStyle name="集計 4 3 4 2 2 3 3" xfId="38476"/>
    <cellStyle name="集計 4 3 4 2 2 3 3 2" xfId="38477"/>
    <cellStyle name="集計 4 3 4 2 2 3 3 3" xfId="38478"/>
    <cellStyle name="集計 4 3 4 2 2 3 4" xfId="38479"/>
    <cellStyle name="集計 4 3 4 2 2 3 4 2" xfId="38480"/>
    <cellStyle name="集計 4 3 4 2 2 3 4 3" xfId="38481"/>
    <cellStyle name="集計 4 3 4 2 2 3 5" xfId="38482"/>
    <cellStyle name="集計 4 3 4 2 2 3 5 2" xfId="38483"/>
    <cellStyle name="集計 4 3 4 2 2 3 5 3" xfId="38484"/>
    <cellStyle name="集計 4 3 4 2 2 3 6" xfId="38485"/>
    <cellStyle name="集計 4 3 4 2 2 3 7" xfId="38486"/>
    <cellStyle name="集計 4 3 4 2 2 4" xfId="38487"/>
    <cellStyle name="集計 4 3 4 2 2 4 2" xfId="38488"/>
    <cellStyle name="集計 4 3 4 2 2 4 2 2" xfId="38489"/>
    <cellStyle name="集計 4 3 4 2 2 4 2 3" xfId="38490"/>
    <cellStyle name="集計 4 3 4 2 2 4 3" xfId="38491"/>
    <cellStyle name="集計 4 3 4 2 2 4 3 2" xfId="38492"/>
    <cellStyle name="集計 4 3 4 2 2 4 3 3" xfId="38493"/>
    <cellStyle name="集計 4 3 4 2 2 4 4" xfId="38494"/>
    <cellStyle name="集計 4 3 4 2 2 4 4 2" xfId="38495"/>
    <cellStyle name="集計 4 3 4 2 2 4 4 3" xfId="38496"/>
    <cellStyle name="集計 4 3 4 2 2 4 5" xfId="38497"/>
    <cellStyle name="集計 4 3 4 2 2 4 6" xfId="38498"/>
    <cellStyle name="集計 4 3 4 2 2 5" xfId="38499"/>
    <cellStyle name="集計 4 3 4 2 2 5 2" xfId="38500"/>
    <cellStyle name="集計 4 3 4 2 2 5 3" xfId="38501"/>
    <cellStyle name="集計 4 3 4 2 2 6" xfId="38502"/>
    <cellStyle name="集計 4 3 4 2 2 6 2" xfId="38503"/>
    <cellStyle name="集計 4 3 4 2 2 6 3" xfId="38504"/>
    <cellStyle name="集計 4 3 4 2 2 7" xfId="38505"/>
    <cellStyle name="集計 4 3 4 2 2 7 2" xfId="38506"/>
    <cellStyle name="集計 4 3 4 2 2 7 3" xfId="38507"/>
    <cellStyle name="集計 4 3 4 2 2 8" xfId="38508"/>
    <cellStyle name="集計 4 3 4 2 2 9" xfId="38509"/>
    <cellStyle name="集計 4 3 4 2 3" xfId="38510"/>
    <cellStyle name="集計 4 3 4 2 3 2" xfId="38511"/>
    <cellStyle name="集計 4 3 4 2 3 2 2" xfId="38512"/>
    <cellStyle name="集計 4 3 4 2 3 2 2 2" xfId="38513"/>
    <cellStyle name="集計 4 3 4 2 3 2 2 3" xfId="38514"/>
    <cellStyle name="集計 4 3 4 2 3 2 3" xfId="38515"/>
    <cellStyle name="集計 4 3 4 2 3 2 3 2" xfId="38516"/>
    <cellStyle name="集計 4 3 4 2 3 2 3 3" xfId="38517"/>
    <cellStyle name="集計 4 3 4 2 3 2 4" xfId="38518"/>
    <cellStyle name="集計 4 3 4 2 3 2 4 2" xfId="38519"/>
    <cellStyle name="集計 4 3 4 2 3 2 4 3" xfId="38520"/>
    <cellStyle name="集計 4 3 4 2 3 2 5" xfId="38521"/>
    <cellStyle name="集計 4 3 4 2 3 2 6" xfId="38522"/>
    <cellStyle name="集計 4 3 4 2 3 3" xfId="38523"/>
    <cellStyle name="集計 4 3 4 2 3 3 2" xfId="38524"/>
    <cellStyle name="集計 4 3 4 2 3 3 3" xfId="38525"/>
    <cellStyle name="集計 4 3 4 2 3 4" xfId="38526"/>
    <cellStyle name="集計 4 3 4 2 3 4 2" xfId="38527"/>
    <cellStyle name="集計 4 3 4 2 3 4 3" xfId="38528"/>
    <cellStyle name="集計 4 3 4 2 3 5" xfId="38529"/>
    <cellStyle name="集計 4 3 4 2 3 5 2" xfId="38530"/>
    <cellStyle name="集計 4 3 4 2 3 5 3" xfId="38531"/>
    <cellStyle name="集計 4 3 4 2 3 6" xfId="38532"/>
    <cellStyle name="集計 4 3 4 2 3 7" xfId="38533"/>
    <cellStyle name="集計 4 3 4 2 4" xfId="38534"/>
    <cellStyle name="集計 4 3 4 2 4 2" xfId="38535"/>
    <cellStyle name="集計 4 3 4 2 4 2 2" xfId="38536"/>
    <cellStyle name="集計 4 3 4 2 4 2 2 2" xfId="38537"/>
    <cellStyle name="集計 4 3 4 2 4 2 2 3" xfId="38538"/>
    <cellStyle name="集計 4 3 4 2 4 2 3" xfId="38539"/>
    <cellStyle name="集計 4 3 4 2 4 2 3 2" xfId="38540"/>
    <cellStyle name="集計 4 3 4 2 4 2 3 3" xfId="38541"/>
    <cellStyle name="集計 4 3 4 2 4 2 4" xfId="38542"/>
    <cellStyle name="集計 4 3 4 2 4 2 4 2" xfId="38543"/>
    <cellStyle name="集計 4 3 4 2 4 2 4 3" xfId="38544"/>
    <cellStyle name="集計 4 3 4 2 4 2 5" xfId="38545"/>
    <cellStyle name="集計 4 3 4 2 4 2 6" xfId="38546"/>
    <cellStyle name="集計 4 3 4 2 4 3" xfId="38547"/>
    <cellStyle name="集計 4 3 4 2 4 3 2" xfId="38548"/>
    <cellStyle name="集計 4 3 4 2 4 3 3" xfId="38549"/>
    <cellStyle name="集計 4 3 4 2 4 4" xfId="38550"/>
    <cellStyle name="集計 4 3 4 2 4 4 2" xfId="38551"/>
    <cellStyle name="集計 4 3 4 2 4 4 3" xfId="38552"/>
    <cellStyle name="集計 4 3 4 2 4 5" xfId="38553"/>
    <cellStyle name="集計 4 3 4 2 4 5 2" xfId="38554"/>
    <cellStyle name="集計 4 3 4 2 4 5 3" xfId="38555"/>
    <cellStyle name="集計 4 3 4 2 4 6" xfId="38556"/>
    <cellStyle name="集計 4 3 4 2 4 7" xfId="38557"/>
    <cellStyle name="集計 4 3 4 2 5" xfId="38558"/>
    <cellStyle name="集計 4 3 4 2 5 2" xfId="38559"/>
    <cellStyle name="集計 4 3 4 2 5 2 2" xfId="38560"/>
    <cellStyle name="集計 4 3 4 2 5 2 3" xfId="38561"/>
    <cellStyle name="集計 4 3 4 2 5 3" xfId="38562"/>
    <cellStyle name="集計 4 3 4 2 5 3 2" xfId="38563"/>
    <cellStyle name="集計 4 3 4 2 5 3 3" xfId="38564"/>
    <cellStyle name="集計 4 3 4 2 5 4" xfId="38565"/>
    <cellStyle name="集計 4 3 4 2 5 4 2" xfId="38566"/>
    <cellStyle name="集計 4 3 4 2 5 4 3" xfId="38567"/>
    <cellStyle name="集計 4 3 4 2 5 5" xfId="38568"/>
    <cellStyle name="集計 4 3 4 2 5 6" xfId="38569"/>
    <cellStyle name="集計 4 3 4 2 6" xfId="38570"/>
    <cellStyle name="集計 4 3 4 2 6 2" xfId="38571"/>
    <cellStyle name="集計 4 3 4 2 6 3" xfId="38572"/>
    <cellStyle name="集計 4 3 4 2 7" xfId="38573"/>
    <cellStyle name="集計 4 3 4 2 7 2" xfId="38574"/>
    <cellStyle name="集計 4 3 4 2 7 3" xfId="38575"/>
    <cellStyle name="集計 4 3 4 2 8" xfId="38576"/>
    <cellStyle name="集計 4 3 4 2 8 2" xfId="38577"/>
    <cellStyle name="集計 4 3 4 2 8 3" xfId="38578"/>
    <cellStyle name="集計 4 3 4 2 9" xfId="38579"/>
    <cellStyle name="集計 4 3 4 3" xfId="38580"/>
    <cellStyle name="集計 4 3 4 3 2" xfId="38581"/>
    <cellStyle name="集計 4 3 4 3 2 2" xfId="38582"/>
    <cellStyle name="集計 4 3 4 3 2 2 2" xfId="38583"/>
    <cellStyle name="集計 4 3 4 3 2 2 3" xfId="38584"/>
    <cellStyle name="集計 4 3 4 3 2 3" xfId="38585"/>
    <cellStyle name="集計 4 3 4 3 2 3 2" xfId="38586"/>
    <cellStyle name="集計 4 3 4 3 2 3 3" xfId="38587"/>
    <cellStyle name="集計 4 3 4 3 2 4" xfId="38588"/>
    <cellStyle name="集計 4 3 4 3 2 4 2" xfId="38589"/>
    <cellStyle name="集計 4 3 4 3 2 4 3" xfId="38590"/>
    <cellStyle name="集計 4 3 4 3 2 5" xfId="38591"/>
    <cellStyle name="集計 4 3 4 3 2 6" xfId="38592"/>
    <cellStyle name="集計 4 3 4 3 3" xfId="38593"/>
    <cellStyle name="集計 4 3 4 3 3 2" xfId="38594"/>
    <cellStyle name="集計 4 3 4 3 3 3" xfId="38595"/>
    <cellStyle name="集計 4 3 4 3 4" xfId="38596"/>
    <cellStyle name="集計 4 3 4 3 4 2" xfId="38597"/>
    <cellStyle name="集計 4 3 4 3 4 3" xfId="38598"/>
    <cellStyle name="集計 4 3 4 3 5" xfId="38599"/>
    <cellStyle name="集計 4 3 4 3 5 2" xfId="38600"/>
    <cellStyle name="集計 4 3 4 3 5 3" xfId="38601"/>
    <cellStyle name="集計 4 3 4 3 6" xfId="38602"/>
    <cellStyle name="集計 4 3 4 3 7" xfId="38603"/>
    <cellStyle name="集計 4 3 4 4" xfId="38604"/>
    <cellStyle name="集計 4 3 4 4 2" xfId="38605"/>
    <cellStyle name="集計 4 3 4 4 2 2" xfId="38606"/>
    <cellStyle name="集計 4 3 4 4 2 2 2" xfId="38607"/>
    <cellStyle name="集計 4 3 4 4 2 2 3" xfId="38608"/>
    <cellStyle name="集計 4 3 4 4 2 3" xfId="38609"/>
    <cellStyle name="集計 4 3 4 4 2 3 2" xfId="38610"/>
    <cellStyle name="集計 4 3 4 4 2 3 3" xfId="38611"/>
    <cellStyle name="集計 4 3 4 4 2 4" xfId="38612"/>
    <cellStyle name="集計 4 3 4 4 2 4 2" xfId="38613"/>
    <cellStyle name="集計 4 3 4 4 2 4 3" xfId="38614"/>
    <cellStyle name="集計 4 3 4 4 2 5" xfId="38615"/>
    <cellStyle name="集計 4 3 4 4 2 6" xfId="38616"/>
    <cellStyle name="集計 4 3 4 4 3" xfId="38617"/>
    <cellStyle name="集計 4 3 4 4 3 2" xfId="38618"/>
    <cellStyle name="集計 4 3 4 4 3 3" xfId="38619"/>
    <cellStyle name="集計 4 3 4 4 4" xfId="38620"/>
    <cellStyle name="集計 4 3 4 4 4 2" xfId="38621"/>
    <cellStyle name="集計 4 3 4 4 4 3" xfId="38622"/>
    <cellStyle name="集計 4 3 4 4 5" xfId="38623"/>
    <cellStyle name="集計 4 3 4 4 5 2" xfId="38624"/>
    <cellStyle name="集計 4 3 4 4 5 3" xfId="38625"/>
    <cellStyle name="集計 4 3 4 4 6" xfId="38626"/>
    <cellStyle name="集計 4 3 4 4 7" xfId="38627"/>
    <cellStyle name="集計 4 3 4 5" xfId="38628"/>
    <cellStyle name="集計 4 3 4 5 2" xfId="38629"/>
    <cellStyle name="集計 4 3 4 5 2 2" xfId="38630"/>
    <cellStyle name="集計 4 3 4 5 2 3" xfId="38631"/>
    <cellStyle name="集計 4 3 4 5 3" xfId="38632"/>
    <cellStyle name="集計 4 3 4 5 3 2" xfId="38633"/>
    <cellStyle name="集計 4 3 4 5 3 3" xfId="38634"/>
    <cellStyle name="集計 4 3 4 5 4" xfId="38635"/>
    <cellStyle name="集計 4 3 4 5 4 2" xfId="38636"/>
    <cellStyle name="集計 4 3 4 5 4 3" xfId="38637"/>
    <cellStyle name="集計 4 3 4 5 5" xfId="38638"/>
    <cellStyle name="集計 4 3 4 5 6" xfId="38639"/>
    <cellStyle name="集計 4 3 4 6" xfId="38640"/>
    <cellStyle name="集計 4 3 4 6 2" xfId="38641"/>
    <cellStyle name="集計 4 3 4 6 3" xfId="38642"/>
    <cellStyle name="集計 4 3 4 7" xfId="38643"/>
    <cellStyle name="集計 4 3 4 7 2" xfId="38644"/>
    <cellStyle name="集計 4 3 4 7 3" xfId="38645"/>
    <cellStyle name="集計 4 3 4 8" xfId="38646"/>
    <cellStyle name="集計 4 3 4 8 2" xfId="38647"/>
    <cellStyle name="集計 4 3 4 8 3" xfId="38648"/>
    <cellStyle name="集計 4 3 4 9" xfId="38649"/>
    <cellStyle name="集計 4 3 5" xfId="38650"/>
    <cellStyle name="集計 4 3 5 10" xfId="38651"/>
    <cellStyle name="集計 4 3 5 2" xfId="38652"/>
    <cellStyle name="集計 4 3 5 2 2" xfId="38653"/>
    <cellStyle name="集計 4 3 5 2 2 2" xfId="38654"/>
    <cellStyle name="集計 4 3 5 2 2 2 2" xfId="38655"/>
    <cellStyle name="集計 4 3 5 2 2 2 2 2" xfId="38656"/>
    <cellStyle name="集計 4 3 5 2 2 2 2 3" xfId="38657"/>
    <cellStyle name="集計 4 3 5 2 2 2 3" xfId="38658"/>
    <cellStyle name="集計 4 3 5 2 2 2 3 2" xfId="38659"/>
    <cellStyle name="集計 4 3 5 2 2 2 3 3" xfId="38660"/>
    <cellStyle name="集計 4 3 5 2 2 2 4" xfId="38661"/>
    <cellStyle name="集計 4 3 5 2 2 2 4 2" xfId="38662"/>
    <cellStyle name="集計 4 3 5 2 2 2 4 3" xfId="38663"/>
    <cellStyle name="集計 4 3 5 2 2 2 5" xfId="38664"/>
    <cellStyle name="集計 4 3 5 2 2 2 6" xfId="38665"/>
    <cellStyle name="集計 4 3 5 2 2 3" xfId="38666"/>
    <cellStyle name="集計 4 3 5 2 2 3 2" xfId="38667"/>
    <cellStyle name="集計 4 3 5 2 2 3 3" xfId="38668"/>
    <cellStyle name="集計 4 3 5 2 2 4" xfId="38669"/>
    <cellStyle name="集計 4 3 5 2 2 4 2" xfId="38670"/>
    <cellStyle name="集計 4 3 5 2 2 4 3" xfId="38671"/>
    <cellStyle name="集計 4 3 5 2 2 5" xfId="38672"/>
    <cellStyle name="集計 4 3 5 2 2 5 2" xfId="38673"/>
    <cellStyle name="集計 4 3 5 2 2 5 3" xfId="38674"/>
    <cellStyle name="集計 4 3 5 2 2 6" xfId="38675"/>
    <cellStyle name="集計 4 3 5 2 2 7" xfId="38676"/>
    <cellStyle name="集計 4 3 5 2 3" xfId="38677"/>
    <cellStyle name="集計 4 3 5 2 3 2" xfId="38678"/>
    <cellStyle name="集計 4 3 5 2 3 2 2" xfId="38679"/>
    <cellStyle name="集計 4 3 5 2 3 2 2 2" xfId="38680"/>
    <cellStyle name="集計 4 3 5 2 3 2 2 3" xfId="38681"/>
    <cellStyle name="集計 4 3 5 2 3 2 3" xfId="38682"/>
    <cellStyle name="集計 4 3 5 2 3 2 3 2" xfId="38683"/>
    <cellStyle name="集計 4 3 5 2 3 2 3 3" xfId="38684"/>
    <cellStyle name="集計 4 3 5 2 3 2 4" xfId="38685"/>
    <cellStyle name="集計 4 3 5 2 3 2 4 2" xfId="38686"/>
    <cellStyle name="集計 4 3 5 2 3 2 4 3" xfId="38687"/>
    <cellStyle name="集計 4 3 5 2 3 2 5" xfId="38688"/>
    <cellStyle name="集計 4 3 5 2 3 2 6" xfId="38689"/>
    <cellStyle name="集計 4 3 5 2 3 3" xfId="38690"/>
    <cellStyle name="集計 4 3 5 2 3 3 2" xfId="38691"/>
    <cellStyle name="集計 4 3 5 2 3 3 3" xfId="38692"/>
    <cellStyle name="集計 4 3 5 2 3 4" xfId="38693"/>
    <cellStyle name="集計 4 3 5 2 3 4 2" xfId="38694"/>
    <cellStyle name="集計 4 3 5 2 3 4 3" xfId="38695"/>
    <cellStyle name="集計 4 3 5 2 3 5" xfId="38696"/>
    <cellStyle name="集計 4 3 5 2 3 5 2" xfId="38697"/>
    <cellStyle name="集計 4 3 5 2 3 5 3" xfId="38698"/>
    <cellStyle name="集計 4 3 5 2 3 6" xfId="38699"/>
    <cellStyle name="集計 4 3 5 2 3 7" xfId="38700"/>
    <cellStyle name="集計 4 3 5 2 4" xfId="38701"/>
    <cellStyle name="集計 4 3 5 2 4 2" xfId="38702"/>
    <cellStyle name="集計 4 3 5 2 4 2 2" xfId="38703"/>
    <cellStyle name="集計 4 3 5 2 4 2 3" xfId="38704"/>
    <cellStyle name="集計 4 3 5 2 4 3" xfId="38705"/>
    <cellStyle name="集計 4 3 5 2 4 3 2" xfId="38706"/>
    <cellStyle name="集計 4 3 5 2 4 3 3" xfId="38707"/>
    <cellStyle name="集計 4 3 5 2 4 4" xfId="38708"/>
    <cellStyle name="集計 4 3 5 2 4 4 2" xfId="38709"/>
    <cellStyle name="集計 4 3 5 2 4 4 3" xfId="38710"/>
    <cellStyle name="集計 4 3 5 2 4 5" xfId="38711"/>
    <cellStyle name="集計 4 3 5 2 4 6" xfId="38712"/>
    <cellStyle name="集計 4 3 5 2 5" xfId="38713"/>
    <cellStyle name="集計 4 3 5 2 5 2" xfId="38714"/>
    <cellStyle name="集計 4 3 5 2 5 3" xfId="38715"/>
    <cellStyle name="集計 4 3 5 2 6" xfId="38716"/>
    <cellStyle name="集計 4 3 5 2 6 2" xfId="38717"/>
    <cellStyle name="集計 4 3 5 2 6 3" xfId="38718"/>
    <cellStyle name="集計 4 3 5 2 7" xfId="38719"/>
    <cellStyle name="集計 4 3 5 2 7 2" xfId="38720"/>
    <cellStyle name="集計 4 3 5 2 7 3" xfId="38721"/>
    <cellStyle name="集計 4 3 5 2 8" xfId="38722"/>
    <cellStyle name="集計 4 3 5 2 9" xfId="38723"/>
    <cellStyle name="集計 4 3 5 3" xfId="38724"/>
    <cellStyle name="集計 4 3 5 3 2" xfId="38725"/>
    <cellStyle name="集計 4 3 5 3 2 2" xfId="38726"/>
    <cellStyle name="集計 4 3 5 3 2 2 2" xfId="38727"/>
    <cellStyle name="集計 4 3 5 3 2 2 3" xfId="38728"/>
    <cellStyle name="集計 4 3 5 3 2 3" xfId="38729"/>
    <cellStyle name="集計 4 3 5 3 2 3 2" xfId="38730"/>
    <cellStyle name="集計 4 3 5 3 2 3 3" xfId="38731"/>
    <cellStyle name="集計 4 3 5 3 2 4" xfId="38732"/>
    <cellStyle name="集計 4 3 5 3 2 4 2" xfId="38733"/>
    <cellStyle name="集計 4 3 5 3 2 4 3" xfId="38734"/>
    <cellStyle name="集計 4 3 5 3 2 5" xfId="38735"/>
    <cellStyle name="集計 4 3 5 3 2 6" xfId="38736"/>
    <cellStyle name="集計 4 3 5 3 3" xfId="38737"/>
    <cellStyle name="集計 4 3 5 3 3 2" xfId="38738"/>
    <cellStyle name="集計 4 3 5 3 3 3" xfId="38739"/>
    <cellStyle name="集計 4 3 5 3 4" xfId="38740"/>
    <cellStyle name="集計 4 3 5 3 4 2" xfId="38741"/>
    <cellStyle name="集計 4 3 5 3 4 3" xfId="38742"/>
    <cellStyle name="集計 4 3 5 3 5" xfId="38743"/>
    <cellStyle name="集計 4 3 5 3 5 2" xfId="38744"/>
    <cellStyle name="集計 4 3 5 3 5 3" xfId="38745"/>
    <cellStyle name="集計 4 3 5 3 6" xfId="38746"/>
    <cellStyle name="集計 4 3 5 3 7" xfId="38747"/>
    <cellStyle name="集計 4 3 5 4" xfId="38748"/>
    <cellStyle name="集計 4 3 5 4 2" xfId="38749"/>
    <cellStyle name="集計 4 3 5 4 2 2" xfId="38750"/>
    <cellStyle name="集計 4 3 5 4 2 2 2" xfId="38751"/>
    <cellStyle name="集計 4 3 5 4 2 2 3" xfId="38752"/>
    <cellStyle name="集計 4 3 5 4 2 3" xfId="38753"/>
    <cellStyle name="集計 4 3 5 4 2 3 2" xfId="38754"/>
    <cellStyle name="集計 4 3 5 4 2 3 3" xfId="38755"/>
    <cellStyle name="集計 4 3 5 4 2 4" xfId="38756"/>
    <cellStyle name="集計 4 3 5 4 2 4 2" xfId="38757"/>
    <cellStyle name="集計 4 3 5 4 2 4 3" xfId="38758"/>
    <cellStyle name="集計 4 3 5 4 2 5" xfId="38759"/>
    <cellStyle name="集計 4 3 5 4 2 6" xfId="38760"/>
    <cellStyle name="集計 4 3 5 4 3" xfId="38761"/>
    <cellStyle name="集計 4 3 5 4 3 2" xfId="38762"/>
    <cellStyle name="集計 4 3 5 4 3 3" xfId="38763"/>
    <cellStyle name="集計 4 3 5 4 4" xfId="38764"/>
    <cellStyle name="集計 4 3 5 4 4 2" xfId="38765"/>
    <cellStyle name="集計 4 3 5 4 4 3" xfId="38766"/>
    <cellStyle name="集計 4 3 5 4 5" xfId="38767"/>
    <cellStyle name="集計 4 3 5 4 5 2" xfId="38768"/>
    <cellStyle name="集計 4 3 5 4 5 3" xfId="38769"/>
    <cellStyle name="集計 4 3 5 4 6" xfId="38770"/>
    <cellStyle name="集計 4 3 5 4 7" xfId="38771"/>
    <cellStyle name="集計 4 3 5 5" xfId="38772"/>
    <cellStyle name="集計 4 3 5 5 2" xfId="38773"/>
    <cellStyle name="集計 4 3 5 5 2 2" xfId="38774"/>
    <cellStyle name="集計 4 3 5 5 2 3" xfId="38775"/>
    <cellStyle name="集計 4 3 5 5 3" xfId="38776"/>
    <cellStyle name="集計 4 3 5 5 3 2" xfId="38777"/>
    <cellStyle name="集計 4 3 5 5 3 3" xfId="38778"/>
    <cellStyle name="集計 4 3 5 5 4" xfId="38779"/>
    <cellStyle name="集計 4 3 5 5 4 2" xfId="38780"/>
    <cellStyle name="集計 4 3 5 5 4 3" xfId="38781"/>
    <cellStyle name="集計 4 3 5 5 5" xfId="38782"/>
    <cellStyle name="集計 4 3 5 5 6" xfId="38783"/>
    <cellStyle name="集計 4 3 5 6" xfId="38784"/>
    <cellStyle name="集計 4 3 5 6 2" xfId="38785"/>
    <cellStyle name="集計 4 3 5 6 3" xfId="38786"/>
    <cellStyle name="集計 4 3 5 7" xfId="38787"/>
    <cellStyle name="集計 4 3 5 7 2" xfId="38788"/>
    <cellStyle name="集計 4 3 5 7 3" xfId="38789"/>
    <cellStyle name="集計 4 3 5 8" xfId="38790"/>
    <cellStyle name="集計 4 3 5 8 2" xfId="38791"/>
    <cellStyle name="集計 4 3 5 8 3" xfId="38792"/>
    <cellStyle name="集計 4 3 5 9" xfId="38793"/>
    <cellStyle name="集計 4 3 6" xfId="38794"/>
    <cellStyle name="集計 4 3 6 10" xfId="38795"/>
    <cellStyle name="集計 4 3 6 2" xfId="38796"/>
    <cellStyle name="集計 4 3 6 2 2" xfId="38797"/>
    <cellStyle name="集計 4 3 6 2 2 2" xfId="38798"/>
    <cellStyle name="集計 4 3 6 2 2 2 2" xfId="38799"/>
    <cellStyle name="集計 4 3 6 2 2 2 2 2" xfId="38800"/>
    <cellStyle name="集計 4 3 6 2 2 2 2 3" xfId="38801"/>
    <cellStyle name="集計 4 3 6 2 2 2 3" xfId="38802"/>
    <cellStyle name="集計 4 3 6 2 2 2 3 2" xfId="38803"/>
    <cellStyle name="集計 4 3 6 2 2 2 3 3" xfId="38804"/>
    <cellStyle name="集計 4 3 6 2 2 2 4" xfId="38805"/>
    <cellStyle name="集計 4 3 6 2 2 2 4 2" xfId="38806"/>
    <cellStyle name="集計 4 3 6 2 2 2 4 3" xfId="38807"/>
    <cellStyle name="集計 4 3 6 2 2 2 5" xfId="38808"/>
    <cellStyle name="集計 4 3 6 2 2 2 6" xfId="38809"/>
    <cellStyle name="集計 4 3 6 2 2 3" xfId="38810"/>
    <cellStyle name="集計 4 3 6 2 2 3 2" xfId="38811"/>
    <cellStyle name="集計 4 3 6 2 2 3 3" xfId="38812"/>
    <cellStyle name="集計 4 3 6 2 2 4" xfId="38813"/>
    <cellStyle name="集計 4 3 6 2 2 4 2" xfId="38814"/>
    <cellStyle name="集計 4 3 6 2 2 4 3" xfId="38815"/>
    <cellStyle name="集計 4 3 6 2 2 5" xfId="38816"/>
    <cellStyle name="集計 4 3 6 2 2 5 2" xfId="38817"/>
    <cellStyle name="集計 4 3 6 2 2 5 3" xfId="38818"/>
    <cellStyle name="集計 4 3 6 2 2 6" xfId="38819"/>
    <cellStyle name="集計 4 3 6 2 2 7" xfId="38820"/>
    <cellStyle name="集計 4 3 6 2 3" xfId="38821"/>
    <cellStyle name="集計 4 3 6 2 3 2" xfId="38822"/>
    <cellStyle name="集計 4 3 6 2 3 2 2" xfId="38823"/>
    <cellStyle name="集計 4 3 6 2 3 2 2 2" xfId="38824"/>
    <cellStyle name="集計 4 3 6 2 3 2 2 3" xfId="38825"/>
    <cellStyle name="集計 4 3 6 2 3 2 3" xfId="38826"/>
    <cellStyle name="集計 4 3 6 2 3 2 3 2" xfId="38827"/>
    <cellStyle name="集計 4 3 6 2 3 2 3 3" xfId="38828"/>
    <cellStyle name="集計 4 3 6 2 3 2 4" xfId="38829"/>
    <cellStyle name="集計 4 3 6 2 3 2 4 2" xfId="38830"/>
    <cellStyle name="集計 4 3 6 2 3 2 4 3" xfId="38831"/>
    <cellStyle name="集計 4 3 6 2 3 2 5" xfId="38832"/>
    <cellStyle name="集計 4 3 6 2 3 2 6" xfId="38833"/>
    <cellStyle name="集計 4 3 6 2 3 3" xfId="38834"/>
    <cellStyle name="集計 4 3 6 2 3 3 2" xfId="38835"/>
    <cellStyle name="集計 4 3 6 2 3 3 3" xfId="38836"/>
    <cellStyle name="集計 4 3 6 2 3 4" xfId="38837"/>
    <cellStyle name="集計 4 3 6 2 3 4 2" xfId="38838"/>
    <cellStyle name="集計 4 3 6 2 3 4 3" xfId="38839"/>
    <cellStyle name="集計 4 3 6 2 3 5" xfId="38840"/>
    <cellStyle name="集計 4 3 6 2 3 5 2" xfId="38841"/>
    <cellStyle name="集計 4 3 6 2 3 5 3" xfId="38842"/>
    <cellStyle name="集計 4 3 6 2 3 6" xfId="38843"/>
    <cellStyle name="集計 4 3 6 2 3 7" xfId="38844"/>
    <cellStyle name="集計 4 3 6 2 4" xfId="38845"/>
    <cellStyle name="集計 4 3 6 2 4 2" xfId="38846"/>
    <cellStyle name="集計 4 3 6 2 4 2 2" xfId="38847"/>
    <cellStyle name="集計 4 3 6 2 4 2 3" xfId="38848"/>
    <cellStyle name="集計 4 3 6 2 4 3" xfId="38849"/>
    <cellStyle name="集計 4 3 6 2 4 3 2" xfId="38850"/>
    <cellStyle name="集計 4 3 6 2 4 3 3" xfId="38851"/>
    <cellStyle name="集計 4 3 6 2 4 4" xfId="38852"/>
    <cellStyle name="集計 4 3 6 2 4 4 2" xfId="38853"/>
    <cellStyle name="集計 4 3 6 2 4 4 3" xfId="38854"/>
    <cellStyle name="集計 4 3 6 2 4 5" xfId="38855"/>
    <cellStyle name="集計 4 3 6 2 4 6" xfId="38856"/>
    <cellStyle name="集計 4 3 6 2 5" xfId="38857"/>
    <cellStyle name="集計 4 3 6 2 5 2" xfId="38858"/>
    <cellStyle name="集計 4 3 6 2 5 3" xfId="38859"/>
    <cellStyle name="集計 4 3 6 2 6" xfId="38860"/>
    <cellStyle name="集計 4 3 6 2 6 2" xfId="38861"/>
    <cellStyle name="集計 4 3 6 2 6 3" xfId="38862"/>
    <cellStyle name="集計 4 3 6 2 7" xfId="38863"/>
    <cellStyle name="集計 4 3 6 2 7 2" xfId="38864"/>
    <cellStyle name="集計 4 3 6 2 7 3" xfId="38865"/>
    <cellStyle name="集計 4 3 6 2 8" xfId="38866"/>
    <cellStyle name="集計 4 3 6 2 9" xfId="38867"/>
    <cellStyle name="集計 4 3 6 3" xfId="38868"/>
    <cellStyle name="集計 4 3 6 3 2" xfId="38869"/>
    <cellStyle name="集計 4 3 6 3 2 2" xfId="38870"/>
    <cellStyle name="集計 4 3 6 3 2 2 2" xfId="38871"/>
    <cellStyle name="集計 4 3 6 3 2 2 3" xfId="38872"/>
    <cellStyle name="集計 4 3 6 3 2 3" xfId="38873"/>
    <cellStyle name="集計 4 3 6 3 2 3 2" xfId="38874"/>
    <cellStyle name="集計 4 3 6 3 2 3 3" xfId="38875"/>
    <cellStyle name="集計 4 3 6 3 2 4" xfId="38876"/>
    <cellStyle name="集計 4 3 6 3 2 4 2" xfId="38877"/>
    <cellStyle name="集計 4 3 6 3 2 4 3" xfId="38878"/>
    <cellStyle name="集計 4 3 6 3 2 5" xfId="38879"/>
    <cellStyle name="集計 4 3 6 3 2 6" xfId="38880"/>
    <cellStyle name="集計 4 3 6 3 3" xfId="38881"/>
    <cellStyle name="集計 4 3 6 3 3 2" xfId="38882"/>
    <cellStyle name="集計 4 3 6 3 3 3" xfId="38883"/>
    <cellStyle name="集計 4 3 6 3 4" xfId="38884"/>
    <cellStyle name="集計 4 3 6 3 4 2" xfId="38885"/>
    <cellStyle name="集計 4 3 6 3 4 3" xfId="38886"/>
    <cellStyle name="集計 4 3 6 3 5" xfId="38887"/>
    <cellStyle name="集計 4 3 6 3 5 2" xfId="38888"/>
    <cellStyle name="集計 4 3 6 3 5 3" xfId="38889"/>
    <cellStyle name="集計 4 3 6 3 6" xfId="38890"/>
    <cellStyle name="集計 4 3 6 3 7" xfId="38891"/>
    <cellStyle name="集計 4 3 6 4" xfId="38892"/>
    <cellStyle name="集計 4 3 6 4 2" xfId="38893"/>
    <cellStyle name="集計 4 3 6 4 2 2" xfId="38894"/>
    <cellStyle name="集計 4 3 6 4 2 2 2" xfId="38895"/>
    <cellStyle name="集計 4 3 6 4 2 2 3" xfId="38896"/>
    <cellStyle name="集計 4 3 6 4 2 3" xfId="38897"/>
    <cellStyle name="集計 4 3 6 4 2 3 2" xfId="38898"/>
    <cellStyle name="集計 4 3 6 4 2 3 3" xfId="38899"/>
    <cellStyle name="集計 4 3 6 4 2 4" xfId="38900"/>
    <cellStyle name="集計 4 3 6 4 2 4 2" xfId="38901"/>
    <cellStyle name="集計 4 3 6 4 2 4 3" xfId="38902"/>
    <cellStyle name="集計 4 3 6 4 2 5" xfId="38903"/>
    <cellStyle name="集計 4 3 6 4 2 6" xfId="38904"/>
    <cellStyle name="集計 4 3 6 4 3" xfId="38905"/>
    <cellStyle name="集計 4 3 6 4 3 2" xfId="38906"/>
    <cellStyle name="集計 4 3 6 4 3 3" xfId="38907"/>
    <cellStyle name="集計 4 3 6 4 4" xfId="38908"/>
    <cellStyle name="集計 4 3 6 4 4 2" xfId="38909"/>
    <cellStyle name="集計 4 3 6 4 4 3" xfId="38910"/>
    <cellStyle name="集計 4 3 6 4 5" xfId="38911"/>
    <cellStyle name="集計 4 3 6 4 5 2" xfId="38912"/>
    <cellStyle name="集計 4 3 6 4 5 3" xfId="38913"/>
    <cellStyle name="集計 4 3 6 4 6" xfId="38914"/>
    <cellStyle name="集計 4 3 6 4 7" xfId="38915"/>
    <cellStyle name="集計 4 3 6 5" xfId="38916"/>
    <cellStyle name="集計 4 3 6 5 2" xfId="38917"/>
    <cellStyle name="集計 4 3 6 5 2 2" xfId="38918"/>
    <cellStyle name="集計 4 3 6 5 2 3" xfId="38919"/>
    <cellStyle name="集計 4 3 6 5 3" xfId="38920"/>
    <cellStyle name="集計 4 3 6 5 3 2" xfId="38921"/>
    <cellStyle name="集計 4 3 6 5 3 3" xfId="38922"/>
    <cellStyle name="集計 4 3 6 5 4" xfId="38923"/>
    <cellStyle name="集計 4 3 6 5 4 2" xfId="38924"/>
    <cellStyle name="集計 4 3 6 5 4 3" xfId="38925"/>
    <cellStyle name="集計 4 3 6 5 5" xfId="38926"/>
    <cellStyle name="集計 4 3 6 5 6" xfId="38927"/>
    <cellStyle name="集計 4 3 6 6" xfId="38928"/>
    <cellStyle name="集計 4 3 6 6 2" xfId="38929"/>
    <cellStyle name="集計 4 3 6 6 3" xfId="38930"/>
    <cellStyle name="集計 4 3 6 7" xfId="38931"/>
    <cellStyle name="集計 4 3 6 7 2" xfId="38932"/>
    <cellStyle name="集計 4 3 6 7 3" xfId="38933"/>
    <cellStyle name="集計 4 3 6 8" xfId="38934"/>
    <cellStyle name="集計 4 3 6 8 2" xfId="38935"/>
    <cellStyle name="集計 4 3 6 8 3" xfId="38936"/>
    <cellStyle name="集計 4 3 6 9" xfId="38937"/>
    <cellStyle name="集計 4 3 7" xfId="38938"/>
    <cellStyle name="集計 4 3 7 2" xfId="38939"/>
    <cellStyle name="集計 4 3 7 2 2" xfId="38940"/>
    <cellStyle name="集計 4 3 7 2 2 2" xfId="38941"/>
    <cellStyle name="集計 4 3 7 2 2 3" xfId="38942"/>
    <cellStyle name="集計 4 3 7 2 3" xfId="38943"/>
    <cellStyle name="集計 4 3 7 2 3 2" xfId="38944"/>
    <cellStyle name="集計 4 3 7 2 3 3" xfId="38945"/>
    <cellStyle name="集計 4 3 7 2 4" xfId="38946"/>
    <cellStyle name="集計 4 3 7 2 4 2" xfId="38947"/>
    <cellStyle name="集計 4 3 7 2 4 3" xfId="38948"/>
    <cellStyle name="集計 4 3 7 2 5" xfId="38949"/>
    <cellStyle name="集計 4 3 7 2 6" xfId="38950"/>
    <cellStyle name="集計 4 3 7 3" xfId="38951"/>
    <cellStyle name="集計 4 3 7 3 2" xfId="38952"/>
    <cellStyle name="集計 4 3 7 3 3" xfId="38953"/>
    <cellStyle name="集計 4 3 7 4" xfId="38954"/>
    <cellStyle name="集計 4 3 7 4 2" xfId="38955"/>
    <cellStyle name="集計 4 3 7 4 3" xfId="38956"/>
    <cellStyle name="集計 4 3 7 5" xfId="38957"/>
    <cellStyle name="集計 4 3 7 5 2" xfId="38958"/>
    <cellStyle name="集計 4 3 7 5 3" xfId="38959"/>
    <cellStyle name="集計 4 3 7 6" xfId="38960"/>
    <cellStyle name="集計 4 3 7 7" xfId="38961"/>
    <cellStyle name="集計 4 3 8" xfId="38962"/>
    <cellStyle name="集計 4 3 8 2" xfId="38963"/>
    <cellStyle name="集計 4 3 8 2 2" xfId="38964"/>
    <cellStyle name="集計 4 3 8 2 2 2" xfId="38965"/>
    <cellStyle name="集計 4 3 8 2 2 3" xfId="38966"/>
    <cellStyle name="集計 4 3 8 2 3" xfId="38967"/>
    <cellStyle name="集計 4 3 8 2 3 2" xfId="38968"/>
    <cellStyle name="集計 4 3 8 2 3 3" xfId="38969"/>
    <cellStyle name="集計 4 3 8 2 4" xfId="38970"/>
    <cellStyle name="集計 4 3 8 2 4 2" xfId="38971"/>
    <cellStyle name="集計 4 3 8 2 4 3" xfId="38972"/>
    <cellStyle name="集計 4 3 8 2 5" xfId="38973"/>
    <cellStyle name="集計 4 3 8 2 6" xfId="38974"/>
    <cellStyle name="集計 4 3 8 3" xfId="38975"/>
    <cellStyle name="集計 4 3 8 3 2" xfId="38976"/>
    <cellStyle name="集計 4 3 8 3 3" xfId="38977"/>
    <cellStyle name="集計 4 3 8 4" xfId="38978"/>
    <cellStyle name="集計 4 3 8 4 2" xfId="38979"/>
    <cellStyle name="集計 4 3 8 4 3" xfId="38980"/>
    <cellStyle name="集計 4 3 8 5" xfId="38981"/>
    <cellStyle name="集計 4 3 8 5 2" xfId="38982"/>
    <cellStyle name="集計 4 3 8 5 3" xfId="38983"/>
    <cellStyle name="集計 4 3 8 6" xfId="38984"/>
    <cellStyle name="集計 4 3 8 7" xfId="38985"/>
    <cellStyle name="集計 4 3 9" xfId="38986"/>
    <cellStyle name="集計 4 3 9 2" xfId="38987"/>
    <cellStyle name="集計 4 3 9 2 2" xfId="38988"/>
    <cellStyle name="集計 4 3 9 2 3" xfId="38989"/>
    <cellStyle name="集計 4 3 9 3" xfId="38990"/>
    <cellStyle name="集計 4 3 9 3 2" xfId="38991"/>
    <cellStyle name="集計 4 3 9 3 3" xfId="38992"/>
    <cellStyle name="集計 4 3 9 4" xfId="38993"/>
    <cellStyle name="集計 4 3 9 4 2" xfId="38994"/>
    <cellStyle name="集計 4 3 9 4 3" xfId="38995"/>
    <cellStyle name="集計 4 3 9 5" xfId="38996"/>
    <cellStyle name="集計 4 3 9 6" xfId="38997"/>
    <cellStyle name="集計 5" xfId="38998"/>
    <cellStyle name="集計 5 10" xfId="38999"/>
    <cellStyle name="集計 5 10 2" xfId="39000"/>
    <cellStyle name="集計 5 10 2 2" xfId="39001"/>
    <cellStyle name="集計 5 10 2 2 2" xfId="39002"/>
    <cellStyle name="集計 5 10 2 2 3" xfId="39003"/>
    <cellStyle name="集計 5 10 2 3" xfId="39004"/>
    <cellStyle name="集計 5 10 2 3 2" xfId="39005"/>
    <cellStyle name="集計 5 10 2 3 3" xfId="39006"/>
    <cellStyle name="集計 5 10 2 4" xfId="39007"/>
    <cellStyle name="集計 5 10 2 4 2" xfId="39008"/>
    <cellStyle name="集計 5 10 2 4 3" xfId="39009"/>
    <cellStyle name="集計 5 10 2 5" xfId="39010"/>
    <cellStyle name="集計 5 10 2 6" xfId="39011"/>
    <cellStyle name="集計 5 10 3" xfId="39012"/>
    <cellStyle name="集計 5 10 3 2" xfId="39013"/>
    <cellStyle name="集計 5 10 3 3" xfId="39014"/>
    <cellStyle name="集計 5 10 4" xfId="39015"/>
    <cellStyle name="集計 5 10 4 2" xfId="39016"/>
    <cellStyle name="集計 5 10 4 3" xfId="39017"/>
    <cellStyle name="集計 5 10 5" xfId="39018"/>
    <cellStyle name="集計 5 10 5 2" xfId="39019"/>
    <cellStyle name="集計 5 10 5 3" xfId="39020"/>
    <cellStyle name="集計 5 10 6" xfId="39021"/>
    <cellStyle name="集計 5 10 7" xfId="39022"/>
    <cellStyle name="集計 5 11" xfId="39023"/>
    <cellStyle name="集計 5 11 2" xfId="39024"/>
    <cellStyle name="集計 5 11 2 2" xfId="39025"/>
    <cellStyle name="集計 5 11 2 3" xfId="39026"/>
    <cellStyle name="集計 5 11 3" xfId="39027"/>
    <cellStyle name="集計 5 11 3 2" xfId="39028"/>
    <cellStyle name="集計 5 11 3 3" xfId="39029"/>
    <cellStyle name="集計 5 11 4" xfId="39030"/>
    <cellStyle name="集計 5 11 4 2" xfId="39031"/>
    <cellStyle name="集計 5 11 4 3" xfId="39032"/>
    <cellStyle name="集計 5 11 5" xfId="39033"/>
    <cellStyle name="集計 5 11 6" xfId="39034"/>
    <cellStyle name="集計 5 12" xfId="39035"/>
    <cellStyle name="集計 5 12 2" xfId="39036"/>
    <cellStyle name="集計 5 12 3" xfId="39037"/>
    <cellStyle name="集計 5 13" xfId="39038"/>
    <cellStyle name="集計 5 13 2" xfId="39039"/>
    <cellStyle name="集計 5 13 3" xfId="39040"/>
    <cellStyle name="集計 5 14" xfId="39041"/>
    <cellStyle name="集計 5 14 2" xfId="39042"/>
    <cellStyle name="集計 5 14 3" xfId="39043"/>
    <cellStyle name="集計 5 15" xfId="39044"/>
    <cellStyle name="集計 5 16" xfId="39045"/>
    <cellStyle name="集計 5 2" xfId="39046"/>
    <cellStyle name="集計 5 2 10" xfId="39047"/>
    <cellStyle name="集計 5 2 10 2" xfId="39048"/>
    <cellStyle name="集計 5 2 10 3" xfId="39049"/>
    <cellStyle name="集計 5 2 11" xfId="39050"/>
    <cellStyle name="集計 5 2 11 2" xfId="39051"/>
    <cellStyle name="集計 5 2 11 3" xfId="39052"/>
    <cellStyle name="集計 5 2 12" xfId="39053"/>
    <cellStyle name="集計 5 2 12 2" xfId="39054"/>
    <cellStyle name="集計 5 2 12 3" xfId="39055"/>
    <cellStyle name="集計 5 2 13" xfId="39056"/>
    <cellStyle name="集計 5 2 14" xfId="39057"/>
    <cellStyle name="集計 5 2 2" xfId="39058"/>
    <cellStyle name="集計 5 2 2 10" xfId="39059"/>
    <cellStyle name="集計 5 2 2 2" xfId="39060"/>
    <cellStyle name="集計 5 2 2 2 10" xfId="39061"/>
    <cellStyle name="集計 5 2 2 2 2" xfId="39062"/>
    <cellStyle name="集計 5 2 2 2 2 2" xfId="39063"/>
    <cellStyle name="集計 5 2 2 2 2 2 2" xfId="39064"/>
    <cellStyle name="集計 5 2 2 2 2 2 2 2" xfId="39065"/>
    <cellStyle name="集計 5 2 2 2 2 2 2 2 2" xfId="39066"/>
    <cellStyle name="集計 5 2 2 2 2 2 2 2 3" xfId="39067"/>
    <cellStyle name="集計 5 2 2 2 2 2 2 3" xfId="39068"/>
    <cellStyle name="集計 5 2 2 2 2 2 2 3 2" xfId="39069"/>
    <cellStyle name="集計 5 2 2 2 2 2 2 3 3" xfId="39070"/>
    <cellStyle name="集計 5 2 2 2 2 2 2 4" xfId="39071"/>
    <cellStyle name="集計 5 2 2 2 2 2 2 4 2" xfId="39072"/>
    <cellStyle name="集計 5 2 2 2 2 2 2 4 3" xfId="39073"/>
    <cellStyle name="集計 5 2 2 2 2 2 2 5" xfId="39074"/>
    <cellStyle name="集計 5 2 2 2 2 2 2 6" xfId="39075"/>
    <cellStyle name="集計 5 2 2 2 2 2 3" xfId="39076"/>
    <cellStyle name="集計 5 2 2 2 2 2 3 2" xfId="39077"/>
    <cellStyle name="集計 5 2 2 2 2 2 3 3" xfId="39078"/>
    <cellStyle name="集計 5 2 2 2 2 2 4" xfId="39079"/>
    <cellStyle name="集計 5 2 2 2 2 2 4 2" xfId="39080"/>
    <cellStyle name="集計 5 2 2 2 2 2 4 3" xfId="39081"/>
    <cellStyle name="集計 5 2 2 2 2 2 5" xfId="39082"/>
    <cellStyle name="集計 5 2 2 2 2 2 5 2" xfId="39083"/>
    <cellStyle name="集計 5 2 2 2 2 2 5 3" xfId="39084"/>
    <cellStyle name="集計 5 2 2 2 2 2 6" xfId="39085"/>
    <cellStyle name="集計 5 2 2 2 2 2 7" xfId="39086"/>
    <cellStyle name="集計 5 2 2 2 2 3" xfId="39087"/>
    <cellStyle name="集計 5 2 2 2 2 3 2" xfId="39088"/>
    <cellStyle name="集計 5 2 2 2 2 3 2 2" xfId="39089"/>
    <cellStyle name="集計 5 2 2 2 2 3 2 2 2" xfId="39090"/>
    <cellStyle name="集計 5 2 2 2 2 3 2 2 3" xfId="39091"/>
    <cellStyle name="集計 5 2 2 2 2 3 2 3" xfId="39092"/>
    <cellStyle name="集計 5 2 2 2 2 3 2 3 2" xfId="39093"/>
    <cellStyle name="集計 5 2 2 2 2 3 2 3 3" xfId="39094"/>
    <cellStyle name="集計 5 2 2 2 2 3 2 4" xfId="39095"/>
    <cellStyle name="集計 5 2 2 2 2 3 2 4 2" xfId="39096"/>
    <cellStyle name="集計 5 2 2 2 2 3 2 4 3" xfId="39097"/>
    <cellStyle name="集計 5 2 2 2 2 3 2 5" xfId="39098"/>
    <cellStyle name="集計 5 2 2 2 2 3 2 6" xfId="39099"/>
    <cellStyle name="集計 5 2 2 2 2 3 3" xfId="39100"/>
    <cellStyle name="集計 5 2 2 2 2 3 3 2" xfId="39101"/>
    <cellStyle name="集計 5 2 2 2 2 3 3 3" xfId="39102"/>
    <cellStyle name="集計 5 2 2 2 2 3 4" xfId="39103"/>
    <cellStyle name="集計 5 2 2 2 2 3 4 2" xfId="39104"/>
    <cellStyle name="集計 5 2 2 2 2 3 4 3" xfId="39105"/>
    <cellStyle name="集計 5 2 2 2 2 3 5" xfId="39106"/>
    <cellStyle name="集計 5 2 2 2 2 3 5 2" xfId="39107"/>
    <cellStyle name="集計 5 2 2 2 2 3 5 3" xfId="39108"/>
    <cellStyle name="集計 5 2 2 2 2 3 6" xfId="39109"/>
    <cellStyle name="集計 5 2 2 2 2 3 7" xfId="39110"/>
    <cellStyle name="集計 5 2 2 2 2 4" xfId="39111"/>
    <cellStyle name="集計 5 2 2 2 2 4 2" xfId="39112"/>
    <cellStyle name="集計 5 2 2 2 2 4 2 2" xfId="39113"/>
    <cellStyle name="集計 5 2 2 2 2 4 2 3" xfId="39114"/>
    <cellStyle name="集計 5 2 2 2 2 4 3" xfId="39115"/>
    <cellStyle name="集計 5 2 2 2 2 4 3 2" xfId="39116"/>
    <cellStyle name="集計 5 2 2 2 2 4 3 3" xfId="39117"/>
    <cellStyle name="集計 5 2 2 2 2 4 4" xfId="39118"/>
    <cellStyle name="集計 5 2 2 2 2 4 4 2" xfId="39119"/>
    <cellStyle name="集計 5 2 2 2 2 4 4 3" xfId="39120"/>
    <cellStyle name="集計 5 2 2 2 2 4 5" xfId="39121"/>
    <cellStyle name="集計 5 2 2 2 2 4 6" xfId="39122"/>
    <cellStyle name="集計 5 2 2 2 2 5" xfId="39123"/>
    <cellStyle name="集計 5 2 2 2 2 5 2" xfId="39124"/>
    <cellStyle name="集計 5 2 2 2 2 5 3" xfId="39125"/>
    <cellStyle name="集計 5 2 2 2 2 6" xfId="39126"/>
    <cellStyle name="集計 5 2 2 2 2 6 2" xfId="39127"/>
    <cellStyle name="集計 5 2 2 2 2 6 3" xfId="39128"/>
    <cellStyle name="集計 5 2 2 2 2 7" xfId="39129"/>
    <cellStyle name="集計 5 2 2 2 2 7 2" xfId="39130"/>
    <cellStyle name="集計 5 2 2 2 2 7 3" xfId="39131"/>
    <cellStyle name="集計 5 2 2 2 2 8" xfId="39132"/>
    <cellStyle name="集計 5 2 2 2 2 9" xfId="39133"/>
    <cellStyle name="集計 5 2 2 2 3" xfId="39134"/>
    <cellStyle name="集計 5 2 2 2 3 2" xfId="39135"/>
    <cellStyle name="集計 5 2 2 2 3 2 2" xfId="39136"/>
    <cellStyle name="集計 5 2 2 2 3 2 2 2" xfId="39137"/>
    <cellStyle name="集計 5 2 2 2 3 2 2 3" xfId="39138"/>
    <cellStyle name="集計 5 2 2 2 3 2 3" xfId="39139"/>
    <cellStyle name="集計 5 2 2 2 3 2 3 2" xfId="39140"/>
    <cellStyle name="集計 5 2 2 2 3 2 3 3" xfId="39141"/>
    <cellStyle name="集計 5 2 2 2 3 2 4" xfId="39142"/>
    <cellStyle name="集計 5 2 2 2 3 2 4 2" xfId="39143"/>
    <cellStyle name="集計 5 2 2 2 3 2 4 3" xfId="39144"/>
    <cellStyle name="集計 5 2 2 2 3 2 5" xfId="39145"/>
    <cellStyle name="集計 5 2 2 2 3 2 6" xfId="39146"/>
    <cellStyle name="集計 5 2 2 2 3 3" xfId="39147"/>
    <cellStyle name="集計 5 2 2 2 3 3 2" xfId="39148"/>
    <cellStyle name="集計 5 2 2 2 3 3 3" xfId="39149"/>
    <cellStyle name="集計 5 2 2 2 3 4" xfId="39150"/>
    <cellStyle name="集計 5 2 2 2 3 4 2" xfId="39151"/>
    <cellStyle name="集計 5 2 2 2 3 4 3" xfId="39152"/>
    <cellStyle name="集計 5 2 2 2 3 5" xfId="39153"/>
    <cellStyle name="集計 5 2 2 2 3 5 2" xfId="39154"/>
    <cellStyle name="集計 5 2 2 2 3 5 3" xfId="39155"/>
    <cellStyle name="集計 5 2 2 2 3 6" xfId="39156"/>
    <cellStyle name="集計 5 2 2 2 3 7" xfId="39157"/>
    <cellStyle name="集計 5 2 2 2 4" xfId="39158"/>
    <cellStyle name="集計 5 2 2 2 4 2" xfId="39159"/>
    <cellStyle name="集計 5 2 2 2 4 2 2" xfId="39160"/>
    <cellStyle name="集計 5 2 2 2 4 2 2 2" xfId="39161"/>
    <cellStyle name="集計 5 2 2 2 4 2 2 3" xfId="39162"/>
    <cellStyle name="集計 5 2 2 2 4 2 3" xfId="39163"/>
    <cellStyle name="集計 5 2 2 2 4 2 3 2" xfId="39164"/>
    <cellStyle name="集計 5 2 2 2 4 2 3 3" xfId="39165"/>
    <cellStyle name="集計 5 2 2 2 4 2 4" xfId="39166"/>
    <cellStyle name="集計 5 2 2 2 4 2 4 2" xfId="39167"/>
    <cellStyle name="集計 5 2 2 2 4 2 4 3" xfId="39168"/>
    <cellStyle name="集計 5 2 2 2 4 2 5" xfId="39169"/>
    <cellStyle name="集計 5 2 2 2 4 2 6" xfId="39170"/>
    <cellStyle name="集計 5 2 2 2 4 3" xfId="39171"/>
    <cellStyle name="集計 5 2 2 2 4 3 2" xfId="39172"/>
    <cellStyle name="集計 5 2 2 2 4 3 3" xfId="39173"/>
    <cellStyle name="集計 5 2 2 2 4 4" xfId="39174"/>
    <cellStyle name="集計 5 2 2 2 4 4 2" xfId="39175"/>
    <cellStyle name="集計 5 2 2 2 4 4 3" xfId="39176"/>
    <cellStyle name="集計 5 2 2 2 4 5" xfId="39177"/>
    <cellStyle name="集計 5 2 2 2 4 5 2" xfId="39178"/>
    <cellStyle name="集計 5 2 2 2 4 5 3" xfId="39179"/>
    <cellStyle name="集計 5 2 2 2 4 6" xfId="39180"/>
    <cellStyle name="集計 5 2 2 2 4 7" xfId="39181"/>
    <cellStyle name="集計 5 2 2 2 5" xfId="39182"/>
    <cellStyle name="集計 5 2 2 2 5 2" xfId="39183"/>
    <cellStyle name="集計 5 2 2 2 5 2 2" xfId="39184"/>
    <cellStyle name="集計 5 2 2 2 5 2 3" xfId="39185"/>
    <cellStyle name="集計 5 2 2 2 5 3" xfId="39186"/>
    <cellStyle name="集計 5 2 2 2 5 3 2" xfId="39187"/>
    <cellStyle name="集計 5 2 2 2 5 3 3" xfId="39188"/>
    <cellStyle name="集計 5 2 2 2 5 4" xfId="39189"/>
    <cellStyle name="集計 5 2 2 2 5 4 2" xfId="39190"/>
    <cellStyle name="集計 5 2 2 2 5 4 3" xfId="39191"/>
    <cellStyle name="集計 5 2 2 2 5 5" xfId="39192"/>
    <cellStyle name="集計 5 2 2 2 5 6" xfId="39193"/>
    <cellStyle name="集計 5 2 2 2 6" xfId="39194"/>
    <cellStyle name="集計 5 2 2 2 6 2" xfId="39195"/>
    <cellStyle name="集計 5 2 2 2 6 3" xfId="39196"/>
    <cellStyle name="集計 5 2 2 2 7" xfId="39197"/>
    <cellStyle name="集計 5 2 2 2 7 2" xfId="39198"/>
    <cellStyle name="集計 5 2 2 2 7 3" xfId="39199"/>
    <cellStyle name="集計 5 2 2 2 8" xfId="39200"/>
    <cellStyle name="集計 5 2 2 2 8 2" xfId="39201"/>
    <cellStyle name="集計 5 2 2 2 8 3" xfId="39202"/>
    <cellStyle name="集計 5 2 2 2 9" xfId="39203"/>
    <cellStyle name="集計 5 2 2 3" xfId="39204"/>
    <cellStyle name="集計 5 2 2 3 2" xfId="39205"/>
    <cellStyle name="集計 5 2 2 3 2 2" xfId="39206"/>
    <cellStyle name="集計 5 2 2 3 2 2 2" xfId="39207"/>
    <cellStyle name="集計 5 2 2 3 2 2 3" xfId="39208"/>
    <cellStyle name="集計 5 2 2 3 2 3" xfId="39209"/>
    <cellStyle name="集計 5 2 2 3 2 3 2" xfId="39210"/>
    <cellStyle name="集計 5 2 2 3 2 3 3" xfId="39211"/>
    <cellStyle name="集計 5 2 2 3 2 4" xfId="39212"/>
    <cellStyle name="集計 5 2 2 3 2 4 2" xfId="39213"/>
    <cellStyle name="集計 5 2 2 3 2 4 3" xfId="39214"/>
    <cellStyle name="集計 5 2 2 3 2 5" xfId="39215"/>
    <cellStyle name="集計 5 2 2 3 2 6" xfId="39216"/>
    <cellStyle name="集計 5 2 2 3 3" xfId="39217"/>
    <cellStyle name="集計 5 2 2 3 3 2" xfId="39218"/>
    <cellStyle name="集計 5 2 2 3 3 3" xfId="39219"/>
    <cellStyle name="集計 5 2 2 3 4" xfId="39220"/>
    <cellStyle name="集計 5 2 2 3 4 2" xfId="39221"/>
    <cellStyle name="集計 5 2 2 3 4 3" xfId="39222"/>
    <cellStyle name="集計 5 2 2 3 5" xfId="39223"/>
    <cellStyle name="集計 5 2 2 3 5 2" xfId="39224"/>
    <cellStyle name="集計 5 2 2 3 5 3" xfId="39225"/>
    <cellStyle name="集計 5 2 2 3 6" xfId="39226"/>
    <cellStyle name="集計 5 2 2 3 7" xfId="39227"/>
    <cellStyle name="集計 5 2 2 4" xfId="39228"/>
    <cellStyle name="集計 5 2 2 4 2" xfId="39229"/>
    <cellStyle name="集計 5 2 2 4 2 2" xfId="39230"/>
    <cellStyle name="集計 5 2 2 4 2 2 2" xfId="39231"/>
    <cellStyle name="集計 5 2 2 4 2 2 3" xfId="39232"/>
    <cellStyle name="集計 5 2 2 4 2 3" xfId="39233"/>
    <cellStyle name="集計 5 2 2 4 2 3 2" xfId="39234"/>
    <cellStyle name="集計 5 2 2 4 2 3 3" xfId="39235"/>
    <cellStyle name="集計 5 2 2 4 2 4" xfId="39236"/>
    <cellStyle name="集計 5 2 2 4 2 4 2" xfId="39237"/>
    <cellStyle name="集計 5 2 2 4 2 4 3" xfId="39238"/>
    <cellStyle name="集計 5 2 2 4 2 5" xfId="39239"/>
    <cellStyle name="集計 5 2 2 4 2 6" xfId="39240"/>
    <cellStyle name="集計 5 2 2 4 3" xfId="39241"/>
    <cellStyle name="集計 5 2 2 4 3 2" xfId="39242"/>
    <cellStyle name="集計 5 2 2 4 3 3" xfId="39243"/>
    <cellStyle name="集計 5 2 2 4 4" xfId="39244"/>
    <cellStyle name="集計 5 2 2 4 4 2" xfId="39245"/>
    <cellStyle name="集計 5 2 2 4 4 3" xfId="39246"/>
    <cellStyle name="集計 5 2 2 4 5" xfId="39247"/>
    <cellStyle name="集計 5 2 2 4 5 2" xfId="39248"/>
    <cellStyle name="集計 5 2 2 4 5 3" xfId="39249"/>
    <cellStyle name="集計 5 2 2 4 6" xfId="39250"/>
    <cellStyle name="集計 5 2 2 4 7" xfId="39251"/>
    <cellStyle name="集計 5 2 2 5" xfId="39252"/>
    <cellStyle name="集計 5 2 2 5 2" xfId="39253"/>
    <cellStyle name="集計 5 2 2 5 2 2" xfId="39254"/>
    <cellStyle name="集計 5 2 2 5 2 3" xfId="39255"/>
    <cellStyle name="集計 5 2 2 5 3" xfId="39256"/>
    <cellStyle name="集計 5 2 2 5 3 2" xfId="39257"/>
    <cellStyle name="集計 5 2 2 5 3 3" xfId="39258"/>
    <cellStyle name="集計 5 2 2 5 4" xfId="39259"/>
    <cellStyle name="集計 5 2 2 5 4 2" xfId="39260"/>
    <cellStyle name="集計 5 2 2 5 4 3" xfId="39261"/>
    <cellStyle name="集計 5 2 2 5 5" xfId="39262"/>
    <cellStyle name="集計 5 2 2 5 6" xfId="39263"/>
    <cellStyle name="集計 5 2 2 6" xfId="39264"/>
    <cellStyle name="集計 5 2 2 6 2" xfId="39265"/>
    <cellStyle name="集計 5 2 2 6 3" xfId="39266"/>
    <cellStyle name="集計 5 2 2 7" xfId="39267"/>
    <cellStyle name="集計 5 2 2 7 2" xfId="39268"/>
    <cellStyle name="集計 5 2 2 7 3" xfId="39269"/>
    <cellStyle name="集計 5 2 2 8" xfId="39270"/>
    <cellStyle name="集計 5 2 2 8 2" xfId="39271"/>
    <cellStyle name="集計 5 2 2 8 3" xfId="39272"/>
    <cellStyle name="集計 5 2 2 9" xfId="39273"/>
    <cellStyle name="集計 5 2 3" xfId="39274"/>
    <cellStyle name="集計 5 2 3 10" xfId="39275"/>
    <cellStyle name="集計 5 2 3 2" xfId="39276"/>
    <cellStyle name="集計 5 2 3 2 10" xfId="39277"/>
    <cellStyle name="集計 5 2 3 2 2" xfId="39278"/>
    <cellStyle name="集計 5 2 3 2 2 2" xfId="39279"/>
    <cellStyle name="集計 5 2 3 2 2 2 2" xfId="39280"/>
    <cellStyle name="集計 5 2 3 2 2 2 2 2" xfId="39281"/>
    <cellStyle name="集計 5 2 3 2 2 2 2 2 2" xfId="39282"/>
    <cellStyle name="集計 5 2 3 2 2 2 2 2 3" xfId="39283"/>
    <cellStyle name="集計 5 2 3 2 2 2 2 3" xfId="39284"/>
    <cellStyle name="集計 5 2 3 2 2 2 2 3 2" xfId="39285"/>
    <cellStyle name="集計 5 2 3 2 2 2 2 3 3" xfId="39286"/>
    <cellStyle name="集計 5 2 3 2 2 2 2 4" xfId="39287"/>
    <cellStyle name="集計 5 2 3 2 2 2 2 4 2" xfId="39288"/>
    <cellStyle name="集計 5 2 3 2 2 2 2 4 3" xfId="39289"/>
    <cellStyle name="集計 5 2 3 2 2 2 2 5" xfId="39290"/>
    <cellStyle name="集計 5 2 3 2 2 2 2 6" xfId="39291"/>
    <cellStyle name="集計 5 2 3 2 2 2 3" xfId="39292"/>
    <cellStyle name="集計 5 2 3 2 2 2 3 2" xfId="39293"/>
    <cellStyle name="集計 5 2 3 2 2 2 3 3" xfId="39294"/>
    <cellStyle name="集計 5 2 3 2 2 2 4" xfId="39295"/>
    <cellStyle name="集計 5 2 3 2 2 2 4 2" xfId="39296"/>
    <cellStyle name="集計 5 2 3 2 2 2 4 3" xfId="39297"/>
    <cellStyle name="集計 5 2 3 2 2 2 5" xfId="39298"/>
    <cellStyle name="集計 5 2 3 2 2 2 5 2" xfId="39299"/>
    <cellStyle name="集計 5 2 3 2 2 2 5 3" xfId="39300"/>
    <cellStyle name="集計 5 2 3 2 2 2 6" xfId="39301"/>
    <cellStyle name="集計 5 2 3 2 2 2 7" xfId="39302"/>
    <cellStyle name="集計 5 2 3 2 2 3" xfId="39303"/>
    <cellStyle name="集計 5 2 3 2 2 3 2" xfId="39304"/>
    <cellStyle name="集計 5 2 3 2 2 3 2 2" xfId="39305"/>
    <cellStyle name="集計 5 2 3 2 2 3 2 2 2" xfId="39306"/>
    <cellStyle name="集計 5 2 3 2 2 3 2 2 3" xfId="39307"/>
    <cellStyle name="集計 5 2 3 2 2 3 2 3" xfId="39308"/>
    <cellStyle name="集計 5 2 3 2 2 3 2 3 2" xfId="39309"/>
    <cellStyle name="集計 5 2 3 2 2 3 2 3 3" xfId="39310"/>
    <cellStyle name="集計 5 2 3 2 2 3 2 4" xfId="39311"/>
    <cellStyle name="集計 5 2 3 2 2 3 2 4 2" xfId="39312"/>
    <cellStyle name="集計 5 2 3 2 2 3 2 4 3" xfId="39313"/>
    <cellStyle name="集計 5 2 3 2 2 3 2 5" xfId="39314"/>
    <cellStyle name="集計 5 2 3 2 2 3 2 6" xfId="39315"/>
    <cellStyle name="集計 5 2 3 2 2 3 3" xfId="39316"/>
    <cellStyle name="集計 5 2 3 2 2 3 3 2" xfId="39317"/>
    <cellStyle name="集計 5 2 3 2 2 3 3 3" xfId="39318"/>
    <cellStyle name="集計 5 2 3 2 2 3 4" xfId="39319"/>
    <cellStyle name="集計 5 2 3 2 2 3 4 2" xfId="39320"/>
    <cellStyle name="集計 5 2 3 2 2 3 4 3" xfId="39321"/>
    <cellStyle name="集計 5 2 3 2 2 3 5" xfId="39322"/>
    <cellStyle name="集計 5 2 3 2 2 3 5 2" xfId="39323"/>
    <cellStyle name="集計 5 2 3 2 2 3 5 3" xfId="39324"/>
    <cellStyle name="集計 5 2 3 2 2 3 6" xfId="39325"/>
    <cellStyle name="集計 5 2 3 2 2 3 7" xfId="39326"/>
    <cellStyle name="集計 5 2 3 2 2 4" xfId="39327"/>
    <cellStyle name="集計 5 2 3 2 2 4 2" xfId="39328"/>
    <cellStyle name="集計 5 2 3 2 2 4 2 2" xfId="39329"/>
    <cellStyle name="集計 5 2 3 2 2 4 2 3" xfId="39330"/>
    <cellStyle name="集計 5 2 3 2 2 4 3" xfId="39331"/>
    <cellStyle name="集計 5 2 3 2 2 4 3 2" xfId="39332"/>
    <cellStyle name="集計 5 2 3 2 2 4 3 3" xfId="39333"/>
    <cellStyle name="集計 5 2 3 2 2 4 4" xfId="39334"/>
    <cellStyle name="集計 5 2 3 2 2 4 4 2" xfId="39335"/>
    <cellStyle name="集計 5 2 3 2 2 4 4 3" xfId="39336"/>
    <cellStyle name="集計 5 2 3 2 2 4 5" xfId="39337"/>
    <cellStyle name="集計 5 2 3 2 2 4 6" xfId="39338"/>
    <cellStyle name="集計 5 2 3 2 2 5" xfId="39339"/>
    <cellStyle name="集計 5 2 3 2 2 5 2" xfId="39340"/>
    <cellStyle name="集計 5 2 3 2 2 5 3" xfId="39341"/>
    <cellStyle name="集計 5 2 3 2 2 6" xfId="39342"/>
    <cellStyle name="集計 5 2 3 2 2 6 2" xfId="39343"/>
    <cellStyle name="集計 5 2 3 2 2 6 3" xfId="39344"/>
    <cellStyle name="集計 5 2 3 2 2 7" xfId="39345"/>
    <cellStyle name="集計 5 2 3 2 2 7 2" xfId="39346"/>
    <cellStyle name="集計 5 2 3 2 2 7 3" xfId="39347"/>
    <cellStyle name="集計 5 2 3 2 2 8" xfId="39348"/>
    <cellStyle name="集計 5 2 3 2 2 9" xfId="39349"/>
    <cellStyle name="集計 5 2 3 2 3" xfId="39350"/>
    <cellStyle name="集計 5 2 3 2 3 2" xfId="39351"/>
    <cellStyle name="集計 5 2 3 2 3 2 2" xfId="39352"/>
    <cellStyle name="集計 5 2 3 2 3 2 2 2" xfId="39353"/>
    <cellStyle name="集計 5 2 3 2 3 2 2 3" xfId="39354"/>
    <cellStyle name="集計 5 2 3 2 3 2 3" xfId="39355"/>
    <cellStyle name="集計 5 2 3 2 3 2 3 2" xfId="39356"/>
    <cellStyle name="集計 5 2 3 2 3 2 3 3" xfId="39357"/>
    <cellStyle name="集計 5 2 3 2 3 2 4" xfId="39358"/>
    <cellStyle name="集計 5 2 3 2 3 2 4 2" xfId="39359"/>
    <cellStyle name="集計 5 2 3 2 3 2 4 3" xfId="39360"/>
    <cellStyle name="集計 5 2 3 2 3 2 5" xfId="39361"/>
    <cellStyle name="集計 5 2 3 2 3 2 6" xfId="39362"/>
    <cellStyle name="集計 5 2 3 2 3 3" xfId="39363"/>
    <cellStyle name="集計 5 2 3 2 3 3 2" xfId="39364"/>
    <cellStyle name="集計 5 2 3 2 3 3 3" xfId="39365"/>
    <cellStyle name="集計 5 2 3 2 3 4" xfId="39366"/>
    <cellStyle name="集計 5 2 3 2 3 4 2" xfId="39367"/>
    <cellStyle name="集計 5 2 3 2 3 4 3" xfId="39368"/>
    <cellStyle name="集計 5 2 3 2 3 5" xfId="39369"/>
    <cellStyle name="集計 5 2 3 2 3 5 2" xfId="39370"/>
    <cellStyle name="集計 5 2 3 2 3 5 3" xfId="39371"/>
    <cellStyle name="集計 5 2 3 2 3 6" xfId="39372"/>
    <cellStyle name="集計 5 2 3 2 3 7" xfId="39373"/>
    <cellStyle name="集計 5 2 3 2 4" xfId="39374"/>
    <cellStyle name="集計 5 2 3 2 4 2" xfId="39375"/>
    <cellStyle name="集計 5 2 3 2 4 2 2" xfId="39376"/>
    <cellStyle name="集計 5 2 3 2 4 2 2 2" xfId="39377"/>
    <cellStyle name="集計 5 2 3 2 4 2 2 3" xfId="39378"/>
    <cellStyle name="集計 5 2 3 2 4 2 3" xfId="39379"/>
    <cellStyle name="集計 5 2 3 2 4 2 3 2" xfId="39380"/>
    <cellStyle name="集計 5 2 3 2 4 2 3 3" xfId="39381"/>
    <cellStyle name="集計 5 2 3 2 4 2 4" xfId="39382"/>
    <cellStyle name="集計 5 2 3 2 4 2 4 2" xfId="39383"/>
    <cellStyle name="集計 5 2 3 2 4 2 4 3" xfId="39384"/>
    <cellStyle name="集計 5 2 3 2 4 2 5" xfId="39385"/>
    <cellStyle name="集計 5 2 3 2 4 2 6" xfId="39386"/>
    <cellStyle name="集計 5 2 3 2 4 3" xfId="39387"/>
    <cellStyle name="集計 5 2 3 2 4 3 2" xfId="39388"/>
    <cellStyle name="集計 5 2 3 2 4 3 3" xfId="39389"/>
    <cellStyle name="集計 5 2 3 2 4 4" xfId="39390"/>
    <cellStyle name="集計 5 2 3 2 4 4 2" xfId="39391"/>
    <cellStyle name="集計 5 2 3 2 4 4 3" xfId="39392"/>
    <cellStyle name="集計 5 2 3 2 4 5" xfId="39393"/>
    <cellStyle name="集計 5 2 3 2 4 5 2" xfId="39394"/>
    <cellStyle name="集計 5 2 3 2 4 5 3" xfId="39395"/>
    <cellStyle name="集計 5 2 3 2 4 6" xfId="39396"/>
    <cellStyle name="集計 5 2 3 2 4 7" xfId="39397"/>
    <cellStyle name="集計 5 2 3 2 5" xfId="39398"/>
    <cellStyle name="集計 5 2 3 2 5 2" xfId="39399"/>
    <cellStyle name="集計 5 2 3 2 5 2 2" xfId="39400"/>
    <cellStyle name="集計 5 2 3 2 5 2 3" xfId="39401"/>
    <cellStyle name="集計 5 2 3 2 5 3" xfId="39402"/>
    <cellStyle name="集計 5 2 3 2 5 3 2" xfId="39403"/>
    <cellStyle name="集計 5 2 3 2 5 3 3" xfId="39404"/>
    <cellStyle name="集計 5 2 3 2 5 4" xfId="39405"/>
    <cellStyle name="集計 5 2 3 2 5 4 2" xfId="39406"/>
    <cellStyle name="集計 5 2 3 2 5 4 3" xfId="39407"/>
    <cellStyle name="集計 5 2 3 2 5 5" xfId="39408"/>
    <cellStyle name="集計 5 2 3 2 5 6" xfId="39409"/>
    <cellStyle name="集計 5 2 3 2 6" xfId="39410"/>
    <cellStyle name="集計 5 2 3 2 6 2" xfId="39411"/>
    <cellStyle name="集計 5 2 3 2 6 3" xfId="39412"/>
    <cellStyle name="集計 5 2 3 2 7" xfId="39413"/>
    <cellStyle name="集計 5 2 3 2 7 2" xfId="39414"/>
    <cellStyle name="集計 5 2 3 2 7 3" xfId="39415"/>
    <cellStyle name="集計 5 2 3 2 8" xfId="39416"/>
    <cellStyle name="集計 5 2 3 2 8 2" xfId="39417"/>
    <cellStyle name="集計 5 2 3 2 8 3" xfId="39418"/>
    <cellStyle name="集計 5 2 3 2 9" xfId="39419"/>
    <cellStyle name="集計 5 2 3 3" xfId="39420"/>
    <cellStyle name="集計 5 2 3 3 2" xfId="39421"/>
    <cellStyle name="集計 5 2 3 3 2 2" xfId="39422"/>
    <cellStyle name="集計 5 2 3 3 2 2 2" xfId="39423"/>
    <cellStyle name="集計 5 2 3 3 2 2 3" xfId="39424"/>
    <cellStyle name="集計 5 2 3 3 2 3" xfId="39425"/>
    <cellStyle name="集計 5 2 3 3 2 3 2" xfId="39426"/>
    <cellStyle name="集計 5 2 3 3 2 3 3" xfId="39427"/>
    <cellStyle name="集計 5 2 3 3 2 4" xfId="39428"/>
    <cellStyle name="集計 5 2 3 3 2 4 2" xfId="39429"/>
    <cellStyle name="集計 5 2 3 3 2 4 3" xfId="39430"/>
    <cellStyle name="集計 5 2 3 3 2 5" xfId="39431"/>
    <cellStyle name="集計 5 2 3 3 2 6" xfId="39432"/>
    <cellStyle name="集計 5 2 3 3 3" xfId="39433"/>
    <cellStyle name="集計 5 2 3 3 3 2" xfId="39434"/>
    <cellStyle name="集計 5 2 3 3 3 3" xfId="39435"/>
    <cellStyle name="集計 5 2 3 3 4" xfId="39436"/>
    <cellStyle name="集計 5 2 3 3 4 2" xfId="39437"/>
    <cellStyle name="集計 5 2 3 3 4 3" xfId="39438"/>
    <cellStyle name="集計 5 2 3 3 5" xfId="39439"/>
    <cellStyle name="集計 5 2 3 3 5 2" xfId="39440"/>
    <cellStyle name="集計 5 2 3 3 5 3" xfId="39441"/>
    <cellStyle name="集計 5 2 3 3 6" xfId="39442"/>
    <cellStyle name="集計 5 2 3 3 7" xfId="39443"/>
    <cellStyle name="集計 5 2 3 4" xfId="39444"/>
    <cellStyle name="集計 5 2 3 4 2" xfId="39445"/>
    <cellStyle name="集計 5 2 3 4 2 2" xfId="39446"/>
    <cellStyle name="集計 5 2 3 4 2 2 2" xfId="39447"/>
    <cellStyle name="集計 5 2 3 4 2 2 3" xfId="39448"/>
    <cellStyle name="集計 5 2 3 4 2 3" xfId="39449"/>
    <cellStyle name="集計 5 2 3 4 2 3 2" xfId="39450"/>
    <cellStyle name="集計 5 2 3 4 2 3 3" xfId="39451"/>
    <cellStyle name="集計 5 2 3 4 2 4" xfId="39452"/>
    <cellStyle name="集計 5 2 3 4 2 4 2" xfId="39453"/>
    <cellStyle name="集計 5 2 3 4 2 4 3" xfId="39454"/>
    <cellStyle name="集計 5 2 3 4 2 5" xfId="39455"/>
    <cellStyle name="集計 5 2 3 4 2 6" xfId="39456"/>
    <cellStyle name="集計 5 2 3 4 3" xfId="39457"/>
    <cellStyle name="集計 5 2 3 4 3 2" xfId="39458"/>
    <cellStyle name="集計 5 2 3 4 3 3" xfId="39459"/>
    <cellStyle name="集計 5 2 3 4 4" xfId="39460"/>
    <cellStyle name="集計 5 2 3 4 4 2" xfId="39461"/>
    <cellStyle name="集計 5 2 3 4 4 3" xfId="39462"/>
    <cellStyle name="集計 5 2 3 4 5" xfId="39463"/>
    <cellStyle name="集計 5 2 3 4 5 2" xfId="39464"/>
    <cellStyle name="集計 5 2 3 4 5 3" xfId="39465"/>
    <cellStyle name="集計 5 2 3 4 6" xfId="39466"/>
    <cellStyle name="集計 5 2 3 4 7" xfId="39467"/>
    <cellStyle name="集計 5 2 3 5" xfId="39468"/>
    <cellStyle name="集計 5 2 3 5 2" xfId="39469"/>
    <cellStyle name="集計 5 2 3 5 2 2" xfId="39470"/>
    <cellStyle name="集計 5 2 3 5 2 3" xfId="39471"/>
    <cellStyle name="集計 5 2 3 5 3" xfId="39472"/>
    <cellStyle name="集計 5 2 3 5 3 2" xfId="39473"/>
    <cellStyle name="集計 5 2 3 5 3 3" xfId="39474"/>
    <cellStyle name="集計 5 2 3 5 4" xfId="39475"/>
    <cellStyle name="集計 5 2 3 5 4 2" xfId="39476"/>
    <cellStyle name="集計 5 2 3 5 4 3" xfId="39477"/>
    <cellStyle name="集計 5 2 3 5 5" xfId="39478"/>
    <cellStyle name="集計 5 2 3 5 6" xfId="39479"/>
    <cellStyle name="集計 5 2 3 6" xfId="39480"/>
    <cellStyle name="集計 5 2 3 6 2" xfId="39481"/>
    <cellStyle name="集計 5 2 3 6 3" xfId="39482"/>
    <cellStyle name="集計 5 2 3 7" xfId="39483"/>
    <cellStyle name="集計 5 2 3 7 2" xfId="39484"/>
    <cellStyle name="集計 5 2 3 7 3" xfId="39485"/>
    <cellStyle name="集計 5 2 3 8" xfId="39486"/>
    <cellStyle name="集計 5 2 3 8 2" xfId="39487"/>
    <cellStyle name="集計 5 2 3 8 3" xfId="39488"/>
    <cellStyle name="集計 5 2 3 9" xfId="39489"/>
    <cellStyle name="集計 5 2 4" xfId="39490"/>
    <cellStyle name="集計 5 2 4 10" xfId="39491"/>
    <cellStyle name="集計 5 2 4 2" xfId="39492"/>
    <cellStyle name="集計 5 2 4 2 10" xfId="39493"/>
    <cellStyle name="集計 5 2 4 2 2" xfId="39494"/>
    <cellStyle name="集計 5 2 4 2 2 2" xfId="39495"/>
    <cellStyle name="集計 5 2 4 2 2 2 2" xfId="39496"/>
    <cellStyle name="集計 5 2 4 2 2 2 2 2" xfId="39497"/>
    <cellStyle name="集計 5 2 4 2 2 2 2 2 2" xfId="39498"/>
    <cellStyle name="集計 5 2 4 2 2 2 2 2 3" xfId="39499"/>
    <cellStyle name="集計 5 2 4 2 2 2 2 3" xfId="39500"/>
    <cellStyle name="集計 5 2 4 2 2 2 2 3 2" xfId="39501"/>
    <cellStyle name="集計 5 2 4 2 2 2 2 3 3" xfId="39502"/>
    <cellStyle name="集計 5 2 4 2 2 2 2 4" xfId="39503"/>
    <cellStyle name="集計 5 2 4 2 2 2 2 4 2" xfId="39504"/>
    <cellStyle name="集計 5 2 4 2 2 2 2 4 3" xfId="39505"/>
    <cellStyle name="集計 5 2 4 2 2 2 2 5" xfId="39506"/>
    <cellStyle name="集計 5 2 4 2 2 2 2 6" xfId="39507"/>
    <cellStyle name="集計 5 2 4 2 2 2 3" xfId="39508"/>
    <cellStyle name="集計 5 2 4 2 2 2 3 2" xfId="39509"/>
    <cellStyle name="集計 5 2 4 2 2 2 3 3" xfId="39510"/>
    <cellStyle name="集計 5 2 4 2 2 2 4" xfId="39511"/>
    <cellStyle name="集計 5 2 4 2 2 2 4 2" xfId="39512"/>
    <cellStyle name="集計 5 2 4 2 2 2 4 3" xfId="39513"/>
    <cellStyle name="集計 5 2 4 2 2 2 5" xfId="39514"/>
    <cellStyle name="集計 5 2 4 2 2 2 5 2" xfId="39515"/>
    <cellStyle name="集計 5 2 4 2 2 2 5 3" xfId="39516"/>
    <cellStyle name="集計 5 2 4 2 2 2 6" xfId="39517"/>
    <cellStyle name="集計 5 2 4 2 2 2 7" xfId="39518"/>
    <cellStyle name="集計 5 2 4 2 2 3" xfId="39519"/>
    <cellStyle name="集計 5 2 4 2 2 3 2" xfId="39520"/>
    <cellStyle name="集計 5 2 4 2 2 3 2 2" xfId="39521"/>
    <cellStyle name="集計 5 2 4 2 2 3 2 2 2" xfId="39522"/>
    <cellStyle name="集計 5 2 4 2 2 3 2 2 3" xfId="39523"/>
    <cellStyle name="集計 5 2 4 2 2 3 2 3" xfId="39524"/>
    <cellStyle name="集計 5 2 4 2 2 3 2 3 2" xfId="39525"/>
    <cellStyle name="集計 5 2 4 2 2 3 2 3 3" xfId="39526"/>
    <cellStyle name="集計 5 2 4 2 2 3 2 4" xfId="39527"/>
    <cellStyle name="集計 5 2 4 2 2 3 2 4 2" xfId="39528"/>
    <cellStyle name="集計 5 2 4 2 2 3 2 4 3" xfId="39529"/>
    <cellStyle name="集計 5 2 4 2 2 3 2 5" xfId="39530"/>
    <cellStyle name="集計 5 2 4 2 2 3 2 6" xfId="39531"/>
    <cellStyle name="集計 5 2 4 2 2 3 3" xfId="39532"/>
    <cellStyle name="集計 5 2 4 2 2 3 3 2" xfId="39533"/>
    <cellStyle name="集計 5 2 4 2 2 3 3 3" xfId="39534"/>
    <cellStyle name="集計 5 2 4 2 2 3 4" xfId="39535"/>
    <cellStyle name="集計 5 2 4 2 2 3 4 2" xfId="39536"/>
    <cellStyle name="集計 5 2 4 2 2 3 4 3" xfId="39537"/>
    <cellStyle name="集計 5 2 4 2 2 3 5" xfId="39538"/>
    <cellStyle name="集計 5 2 4 2 2 3 5 2" xfId="39539"/>
    <cellStyle name="集計 5 2 4 2 2 3 5 3" xfId="39540"/>
    <cellStyle name="集計 5 2 4 2 2 3 6" xfId="39541"/>
    <cellStyle name="集計 5 2 4 2 2 3 7" xfId="39542"/>
    <cellStyle name="集計 5 2 4 2 2 4" xfId="39543"/>
    <cellStyle name="集計 5 2 4 2 2 4 2" xfId="39544"/>
    <cellStyle name="集計 5 2 4 2 2 4 2 2" xfId="39545"/>
    <cellStyle name="集計 5 2 4 2 2 4 2 3" xfId="39546"/>
    <cellStyle name="集計 5 2 4 2 2 4 3" xfId="39547"/>
    <cellStyle name="集計 5 2 4 2 2 4 3 2" xfId="39548"/>
    <cellStyle name="集計 5 2 4 2 2 4 3 3" xfId="39549"/>
    <cellStyle name="集計 5 2 4 2 2 4 4" xfId="39550"/>
    <cellStyle name="集計 5 2 4 2 2 4 4 2" xfId="39551"/>
    <cellStyle name="集計 5 2 4 2 2 4 4 3" xfId="39552"/>
    <cellStyle name="集計 5 2 4 2 2 4 5" xfId="39553"/>
    <cellStyle name="集計 5 2 4 2 2 4 6" xfId="39554"/>
    <cellStyle name="集計 5 2 4 2 2 5" xfId="39555"/>
    <cellStyle name="集計 5 2 4 2 2 5 2" xfId="39556"/>
    <cellStyle name="集計 5 2 4 2 2 5 3" xfId="39557"/>
    <cellStyle name="集計 5 2 4 2 2 6" xfId="39558"/>
    <cellStyle name="集計 5 2 4 2 2 6 2" xfId="39559"/>
    <cellStyle name="集計 5 2 4 2 2 6 3" xfId="39560"/>
    <cellStyle name="集計 5 2 4 2 2 7" xfId="39561"/>
    <cellStyle name="集計 5 2 4 2 2 7 2" xfId="39562"/>
    <cellStyle name="集計 5 2 4 2 2 7 3" xfId="39563"/>
    <cellStyle name="集計 5 2 4 2 2 8" xfId="39564"/>
    <cellStyle name="集計 5 2 4 2 2 9" xfId="39565"/>
    <cellStyle name="集計 5 2 4 2 3" xfId="39566"/>
    <cellStyle name="集計 5 2 4 2 3 2" xfId="39567"/>
    <cellStyle name="集計 5 2 4 2 3 2 2" xfId="39568"/>
    <cellStyle name="集計 5 2 4 2 3 2 2 2" xfId="39569"/>
    <cellStyle name="集計 5 2 4 2 3 2 2 3" xfId="39570"/>
    <cellStyle name="集計 5 2 4 2 3 2 3" xfId="39571"/>
    <cellStyle name="集計 5 2 4 2 3 2 3 2" xfId="39572"/>
    <cellStyle name="集計 5 2 4 2 3 2 3 3" xfId="39573"/>
    <cellStyle name="集計 5 2 4 2 3 2 4" xfId="39574"/>
    <cellStyle name="集計 5 2 4 2 3 2 4 2" xfId="39575"/>
    <cellStyle name="集計 5 2 4 2 3 2 4 3" xfId="39576"/>
    <cellStyle name="集計 5 2 4 2 3 2 5" xfId="39577"/>
    <cellStyle name="集計 5 2 4 2 3 2 6" xfId="39578"/>
    <cellStyle name="集計 5 2 4 2 3 3" xfId="39579"/>
    <cellStyle name="集計 5 2 4 2 3 3 2" xfId="39580"/>
    <cellStyle name="集計 5 2 4 2 3 3 3" xfId="39581"/>
    <cellStyle name="集計 5 2 4 2 3 4" xfId="39582"/>
    <cellStyle name="集計 5 2 4 2 3 4 2" xfId="39583"/>
    <cellStyle name="集計 5 2 4 2 3 4 3" xfId="39584"/>
    <cellStyle name="集計 5 2 4 2 3 5" xfId="39585"/>
    <cellStyle name="集計 5 2 4 2 3 5 2" xfId="39586"/>
    <cellStyle name="集計 5 2 4 2 3 5 3" xfId="39587"/>
    <cellStyle name="集計 5 2 4 2 3 6" xfId="39588"/>
    <cellStyle name="集計 5 2 4 2 3 7" xfId="39589"/>
    <cellStyle name="集計 5 2 4 2 4" xfId="39590"/>
    <cellStyle name="集計 5 2 4 2 4 2" xfId="39591"/>
    <cellStyle name="集計 5 2 4 2 4 2 2" xfId="39592"/>
    <cellStyle name="集計 5 2 4 2 4 2 2 2" xfId="39593"/>
    <cellStyle name="集計 5 2 4 2 4 2 2 3" xfId="39594"/>
    <cellStyle name="集計 5 2 4 2 4 2 3" xfId="39595"/>
    <cellStyle name="集計 5 2 4 2 4 2 3 2" xfId="39596"/>
    <cellStyle name="集計 5 2 4 2 4 2 3 3" xfId="39597"/>
    <cellStyle name="集計 5 2 4 2 4 2 4" xfId="39598"/>
    <cellStyle name="集計 5 2 4 2 4 2 4 2" xfId="39599"/>
    <cellStyle name="集計 5 2 4 2 4 2 4 3" xfId="39600"/>
    <cellStyle name="集計 5 2 4 2 4 2 5" xfId="39601"/>
    <cellStyle name="集計 5 2 4 2 4 2 6" xfId="39602"/>
    <cellStyle name="集計 5 2 4 2 4 3" xfId="39603"/>
    <cellStyle name="集計 5 2 4 2 4 3 2" xfId="39604"/>
    <cellStyle name="集計 5 2 4 2 4 3 3" xfId="39605"/>
    <cellStyle name="集計 5 2 4 2 4 4" xfId="39606"/>
    <cellStyle name="集計 5 2 4 2 4 4 2" xfId="39607"/>
    <cellStyle name="集計 5 2 4 2 4 4 3" xfId="39608"/>
    <cellStyle name="集計 5 2 4 2 4 5" xfId="39609"/>
    <cellStyle name="集計 5 2 4 2 4 5 2" xfId="39610"/>
    <cellStyle name="集計 5 2 4 2 4 5 3" xfId="39611"/>
    <cellStyle name="集計 5 2 4 2 4 6" xfId="39612"/>
    <cellStyle name="集計 5 2 4 2 4 7" xfId="39613"/>
    <cellStyle name="集計 5 2 4 2 5" xfId="39614"/>
    <cellStyle name="集計 5 2 4 2 5 2" xfId="39615"/>
    <cellStyle name="集計 5 2 4 2 5 2 2" xfId="39616"/>
    <cellStyle name="集計 5 2 4 2 5 2 3" xfId="39617"/>
    <cellStyle name="集計 5 2 4 2 5 3" xfId="39618"/>
    <cellStyle name="集計 5 2 4 2 5 3 2" xfId="39619"/>
    <cellStyle name="集計 5 2 4 2 5 3 3" xfId="39620"/>
    <cellStyle name="集計 5 2 4 2 5 4" xfId="39621"/>
    <cellStyle name="集計 5 2 4 2 5 4 2" xfId="39622"/>
    <cellStyle name="集計 5 2 4 2 5 4 3" xfId="39623"/>
    <cellStyle name="集計 5 2 4 2 5 5" xfId="39624"/>
    <cellStyle name="集計 5 2 4 2 5 6" xfId="39625"/>
    <cellStyle name="集計 5 2 4 2 6" xfId="39626"/>
    <cellStyle name="集計 5 2 4 2 6 2" xfId="39627"/>
    <cellStyle name="集計 5 2 4 2 6 3" xfId="39628"/>
    <cellStyle name="集計 5 2 4 2 7" xfId="39629"/>
    <cellStyle name="集計 5 2 4 2 7 2" xfId="39630"/>
    <cellStyle name="集計 5 2 4 2 7 3" xfId="39631"/>
    <cellStyle name="集計 5 2 4 2 8" xfId="39632"/>
    <cellStyle name="集計 5 2 4 2 8 2" xfId="39633"/>
    <cellStyle name="集計 5 2 4 2 8 3" xfId="39634"/>
    <cellStyle name="集計 5 2 4 2 9" xfId="39635"/>
    <cellStyle name="集計 5 2 4 3" xfId="39636"/>
    <cellStyle name="集計 5 2 4 3 2" xfId="39637"/>
    <cellStyle name="集計 5 2 4 3 2 2" xfId="39638"/>
    <cellStyle name="集計 5 2 4 3 2 2 2" xfId="39639"/>
    <cellStyle name="集計 5 2 4 3 2 2 3" xfId="39640"/>
    <cellStyle name="集計 5 2 4 3 2 3" xfId="39641"/>
    <cellStyle name="集計 5 2 4 3 2 3 2" xfId="39642"/>
    <cellStyle name="集計 5 2 4 3 2 3 3" xfId="39643"/>
    <cellStyle name="集計 5 2 4 3 2 4" xfId="39644"/>
    <cellStyle name="集計 5 2 4 3 2 4 2" xfId="39645"/>
    <cellStyle name="集計 5 2 4 3 2 4 3" xfId="39646"/>
    <cellStyle name="集計 5 2 4 3 2 5" xfId="39647"/>
    <cellStyle name="集計 5 2 4 3 2 6" xfId="39648"/>
    <cellStyle name="集計 5 2 4 3 3" xfId="39649"/>
    <cellStyle name="集計 5 2 4 3 3 2" xfId="39650"/>
    <cellStyle name="集計 5 2 4 3 3 3" xfId="39651"/>
    <cellStyle name="集計 5 2 4 3 4" xfId="39652"/>
    <cellStyle name="集計 5 2 4 3 4 2" xfId="39653"/>
    <cellStyle name="集計 5 2 4 3 4 3" xfId="39654"/>
    <cellStyle name="集計 5 2 4 3 5" xfId="39655"/>
    <cellStyle name="集計 5 2 4 3 5 2" xfId="39656"/>
    <cellStyle name="集計 5 2 4 3 5 3" xfId="39657"/>
    <cellStyle name="集計 5 2 4 3 6" xfId="39658"/>
    <cellStyle name="集計 5 2 4 3 7" xfId="39659"/>
    <cellStyle name="集計 5 2 4 4" xfId="39660"/>
    <cellStyle name="集計 5 2 4 4 2" xfId="39661"/>
    <cellStyle name="集計 5 2 4 4 2 2" xfId="39662"/>
    <cellStyle name="集計 5 2 4 4 2 2 2" xfId="39663"/>
    <cellStyle name="集計 5 2 4 4 2 2 3" xfId="39664"/>
    <cellStyle name="集計 5 2 4 4 2 3" xfId="39665"/>
    <cellStyle name="集計 5 2 4 4 2 3 2" xfId="39666"/>
    <cellStyle name="集計 5 2 4 4 2 3 3" xfId="39667"/>
    <cellStyle name="集計 5 2 4 4 2 4" xfId="39668"/>
    <cellStyle name="集計 5 2 4 4 2 4 2" xfId="39669"/>
    <cellStyle name="集計 5 2 4 4 2 4 3" xfId="39670"/>
    <cellStyle name="集計 5 2 4 4 2 5" xfId="39671"/>
    <cellStyle name="集計 5 2 4 4 2 6" xfId="39672"/>
    <cellStyle name="集計 5 2 4 4 3" xfId="39673"/>
    <cellStyle name="集計 5 2 4 4 3 2" xfId="39674"/>
    <cellStyle name="集計 5 2 4 4 3 3" xfId="39675"/>
    <cellStyle name="集計 5 2 4 4 4" xfId="39676"/>
    <cellStyle name="集計 5 2 4 4 4 2" xfId="39677"/>
    <cellStyle name="集計 5 2 4 4 4 3" xfId="39678"/>
    <cellStyle name="集計 5 2 4 4 5" xfId="39679"/>
    <cellStyle name="集計 5 2 4 4 5 2" xfId="39680"/>
    <cellStyle name="集計 5 2 4 4 5 3" xfId="39681"/>
    <cellStyle name="集計 5 2 4 4 6" xfId="39682"/>
    <cellStyle name="集計 5 2 4 4 7" xfId="39683"/>
    <cellStyle name="集計 5 2 4 5" xfId="39684"/>
    <cellStyle name="集計 5 2 4 5 2" xfId="39685"/>
    <cellStyle name="集計 5 2 4 5 2 2" xfId="39686"/>
    <cellStyle name="集計 5 2 4 5 2 3" xfId="39687"/>
    <cellStyle name="集計 5 2 4 5 3" xfId="39688"/>
    <cellStyle name="集計 5 2 4 5 3 2" xfId="39689"/>
    <cellStyle name="集計 5 2 4 5 3 3" xfId="39690"/>
    <cellStyle name="集計 5 2 4 5 4" xfId="39691"/>
    <cellStyle name="集計 5 2 4 5 4 2" xfId="39692"/>
    <cellStyle name="集計 5 2 4 5 4 3" xfId="39693"/>
    <cellStyle name="集計 5 2 4 5 5" xfId="39694"/>
    <cellStyle name="集計 5 2 4 5 6" xfId="39695"/>
    <cellStyle name="集計 5 2 4 6" xfId="39696"/>
    <cellStyle name="集計 5 2 4 6 2" xfId="39697"/>
    <cellStyle name="集計 5 2 4 6 3" xfId="39698"/>
    <cellStyle name="集計 5 2 4 7" xfId="39699"/>
    <cellStyle name="集計 5 2 4 7 2" xfId="39700"/>
    <cellStyle name="集計 5 2 4 7 3" xfId="39701"/>
    <cellStyle name="集計 5 2 4 8" xfId="39702"/>
    <cellStyle name="集計 5 2 4 8 2" xfId="39703"/>
    <cellStyle name="集計 5 2 4 8 3" xfId="39704"/>
    <cellStyle name="集計 5 2 4 9" xfId="39705"/>
    <cellStyle name="集計 5 2 5" xfId="39706"/>
    <cellStyle name="集計 5 2 5 10" xfId="39707"/>
    <cellStyle name="集計 5 2 5 2" xfId="39708"/>
    <cellStyle name="集計 5 2 5 2 2" xfId="39709"/>
    <cellStyle name="集計 5 2 5 2 2 2" xfId="39710"/>
    <cellStyle name="集計 5 2 5 2 2 2 2" xfId="39711"/>
    <cellStyle name="集計 5 2 5 2 2 2 2 2" xfId="39712"/>
    <cellStyle name="集計 5 2 5 2 2 2 2 3" xfId="39713"/>
    <cellStyle name="集計 5 2 5 2 2 2 3" xfId="39714"/>
    <cellStyle name="集計 5 2 5 2 2 2 3 2" xfId="39715"/>
    <cellStyle name="集計 5 2 5 2 2 2 3 3" xfId="39716"/>
    <cellStyle name="集計 5 2 5 2 2 2 4" xfId="39717"/>
    <cellStyle name="集計 5 2 5 2 2 2 4 2" xfId="39718"/>
    <cellStyle name="集計 5 2 5 2 2 2 4 3" xfId="39719"/>
    <cellStyle name="集計 5 2 5 2 2 2 5" xfId="39720"/>
    <cellStyle name="集計 5 2 5 2 2 2 6" xfId="39721"/>
    <cellStyle name="集計 5 2 5 2 2 3" xfId="39722"/>
    <cellStyle name="集計 5 2 5 2 2 3 2" xfId="39723"/>
    <cellStyle name="集計 5 2 5 2 2 3 3" xfId="39724"/>
    <cellStyle name="集計 5 2 5 2 2 4" xfId="39725"/>
    <cellStyle name="集計 5 2 5 2 2 4 2" xfId="39726"/>
    <cellStyle name="集計 5 2 5 2 2 4 3" xfId="39727"/>
    <cellStyle name="集計 5 2 5 2 2 5" xfId="39728"/>
    <cellStyle name="集計 5 2 5 2 2 5 2" xfId="39729"/>
    <cellStyle name="集計 5 2 5 2 2 5 3" xfId="39730"/>
    <cellStyle name="集計 5 2 5 2 2 6" xfId="39731"/>
    <cellStyle name="集計 5 2 5 2 2 7" xfId="39732"/>
    <cellStyle name="集計 5 2 5 2 3" xfId="39733"/>
    <cellStyle name="集計 5 2 5 2 3 2" xfId="39734"/>
    <cellStyle name="集計 5 2 5 2 3 2 2" xfId="39735"/>
    <cellStyle name="集計 5 2 5 2 3 2 2 2" xfId="39736"/>
    <cellStyle name="集計 5 2 5 2 3 2 2 3" xfId="39737"/>
    <cellStyle name="集計 5 2 5 2 3 2 3" xfId="39738"/>
    <cellStyle name="集計 5 2 5 2 3 2 3 2" xfId="39739"/>
    <cellStyle name="集計 5 2 5 2 3 2 3 3" xfId="39740"/>
    <cellStyle name="集計 5 2 5 2 3 2 4" xfId="39741"/>
    <cellStyle name="集計 5 2 5 2 3 2 4 2" xfId="39742"/>
    <cellStyle name="集計 5 2 5 2 3 2 4 3" xfId="39743"/>
    <cellStyle name="集計 5 2 5 2 3 2 5" xfId="39744"/>
    <cellStyle name="集計 5 2 5 2 3 2 6" xfId="39745"/>
    <cellStyle name="集計 5 2 5 2 3 3" xfId="39746"/>
    <cellStyle name="集計 5 2 5 2 3 3 2" xfId="39747"/>
    <cellStyle name="集計 5 2 5 2 3 3 3" xfId="39748"/>
    <cellStyle name="集計 5 2 5 2 3 4" xfId="39749"/>
    <cellStyle name="集計 5 2 5 2 3 4 2" xfId="39750"/>
    <cellStyle name="集計 5 2 5 2 3 4 3" xfId="39751"/>
    <cellStyle name="集計 5 2 5 2 3 5" xfId="39752"/>
    <cellStyle name="集計 5 2 5 2 3 5 2" xfId="39753"/>
    <cellStyle name="集計 5 2 5 2 3 5 3" xfId="39754"/>
    <cellStyle name="集計 5 2 5 2 3 6" xfId="39755"/>
    <cellStyle name="集計 5 2 5 2 3 7" xfId="39756"/>
    <cellStyle name="集計 5 2 5 2 4" xfId="39757"/>
    <cellStyle name="集計 5 2 5 2 4 2" xfId="39758"/>
    <cellStyle name="集計 5 2 5 2 4 2 2" xfId="39759"/>
    <cellStyle name="集計 5 2 5 2 4 2 3" xfId="39760"/>
    <cellStyle name="集計 5 2 5 2 4 3" xfId="39761"/>
    <cellStyle name="集計 5 2 5 2 4 3 2" xfId="39762"/>
    <cellStyle name="集計 5 2 5 2 4 3 3" xfId="39763"/>
    <cellStyle name="集計 5 2 5 2 4 4" xfId="39764"/>
    <cellStyle name="集計 5 2 5 2 4 4 2" xfId="39765"/>
    <cellStyle name="集計 5 2 5 2 4 4 3" xfId="39766"/>
    <cellStyle name="集計 5 2 5 2 4 5" xfId="39767"/>
    <cellStyle name="集計 5 2 5 2 4 6" xfId="39768"/>
    <cellStyle name="集計 5 2 5 2 5" xfId="39769"/>
    <cellStyle name="集計 5 2 5 2 5 2" xfId="39770"/>
    <cellStyle name="集計 5 2 5 2 5 3" xfId="39771"/>
    <cellStyle name="集計 5 2 5 2 6" xfId="39772"/>
    <cellStyle name="集計 5 2 5 2 6 2" xfId="39773"/>
    <cellStyle name="集計 5 2 5 2 6 3" xfId="39774"/>
    <cellStyle name="集計 5 2 5 2 7" xfId="39775"/>
    <cellStyle name="集計 5 2 5 2 7 2" xfId="39776"/>
    <cellStyle name="集計 5 2 5 2 7 3" xfId="39777"/>
    <cellStyle name="集計 5 2 5 2 8" xfId="39778"/>
    <cellStyle name="集計 5 2 5 2 9" xfId="39779"/>
    <cellStyle name="集計 5 2 5 3" xfId="39780"/>
    <cellStyle name="集計 5 2 5 3 2" xfId="39781"/>
    <cellStyle name="集計 5 2 5 3 2 2" xfId="39782"/>
    <cellStyle name="集計 5 2 5 3 2 2 2" xfId="39783"/>
    <cellStyle name="集計 5 2 5 3 2 2 3" xfId="39784"/>
    <cellStyle name="集計 5 2 5 3 2 3" xfId="39785"/>
    <cellStyle name="集計 5 2 5 3 2 3 2" xfId="39786"/>
    <cellStyle name="集計 5 2 5 3 2 3 3" xfId="39787"/>
    <cellStyle name="集計 5 2 5 3 2 4" xfId="39788"/>
    <cellStyle name="集計 5 2 5 3 2 4 2" xfId="39789"/>
    <cellStyle name="集計 5 2 5 3 2 4 3" xfId="39790"/>
    <cellStyle name="集計 5 2 5 3 2 5" xfId="39791"/>
    <cellStyle name="集計 5 2 5 3 2 6" xfId="39792"/>
    <cellStyle name="集計 5 2 5 3 3" xfId="39793"/>
    <cellStyle name="集計 5 2 5 3 3 2" xfId="39794"/>
    <cellStyle name="集計 5 2 5 3 3 3" xfId="39795"/>
    <cellStyle name="集計 5 2 5 3 4" xfId="39796"/>
    <cellStyle name="集計 5 2 5 3 4 2" xfId="39797"/>
    <cellStyle name="集計 5 2 5 3 4 3" xfId="39798"/>
    <cellStyle name="集計 5 2 5 3 5" xfId="39799"/>
    <cellStyle name="集計 5 2 5 3 5 2" xfId="39800"/>
    <cellStyle name="集計 5 2 5 3 5 3" xfId="39801"/>
    <cellStyle name="集計 5 2 5 3 6" xfId="39802"/>
    <cellStyle name="集計 5 2 5 3 7" xfId="39803"/>
    <cellStyle name="集計 5 2 5 4" xfId="39804"/>
    <cellStyle name="集計 5 2 5 4 2" xfId="39805"/>
    <cellStyle name="集計 5 2 5 4 2 2" xfId="39806"/>
    <cellStyle name="集計 5 2 5 4 2 2 2" xfId="39807"/>
    <cellStyle name="集計 5 2 5 4 2 2 3" xfId="39808"/>
    <cellStyle name="集計 5 2 5 4 2 3" xfId="39809"/>
    <cellStyle name="集計 5 2 5 4 2 3 2" xfId="39810"/>
    <cellStyle name="集計 5 2 5 4 2 3 3" xfId="39811"/>
    <cellStyle name="集計 5 2 5 4 2 4" xfId="39812"/>
    <cellStyle name="集計 5 2 5 4 2 4 2" xfId="39813"/>
    <cellStyle name="集計 5 2 5 4 2 4 3" xfId="39814"/>
    <cellStyle name="集計 5 2 5 4 2 5" xfId="39815"/>
    <cellStyle name="集計 5 2 5 4 2 6" xfId="39816"/>
    <cellStyle name="集計 5 2 5 4 3" xfId="39817"/>
    <cellStyle name="集計 5 2 5 4 3 2" xfId="39818"/>
    <cellStyle name="集計 5 2 5 4 3 3" xfId="39819"/>
    <cellStyle name="集計 5 2 5 4 4" xfId="39820"/>
    <cellStyle name="集計 5 2 5 4 4 2" xfId="39821"/>
    <cellStyle name="集計 5 2 5 4 4 3" xfId="39822"/>
    <cellStyle name="集計 5 2 5 4 5" xfId="39823"/>
    <cellStyle name="集計 5 2 5 4 5 2" xfId="39824"/>
    <cellStyle name="集計 5 2 5 4 5 3" xfId="39825"/>
    <cellStyle name="集計 5 2 5 4 6" xfId="39826"/>
    <cellStyle name="集計 5 2 5 4 7" xfId="39827"/>
    <cellStyle name="集計 5 2 5 5" xfId="39828"/>
    <cellStyle name="集計 5 2 5 5 2" xfId="39829"/>
    <cellStyle name="集計 5 2 5 5 2 2" xfId="39830"/>
    <cellStyle name="集計 5 2 5 5 2 3" xfId="39831"/>
    <cellStyle name="集計 5 2 5 5 3" xfId="39832"/>
    <cellStyle name="集計 5 2 5 5 3 2" xfId="39833"/>
    <cellStyle name="集計 5 2 5 5 3 3" xfId="39834"/>
    <cellStyle name="集計 5 2 5 5 4" xfId="39835"/>
    <cellStyle name="集計 5 2 5 5 4 2" xfId="39836"/>
    <cellStyle name="集計 5 2 5 5 4 3" xfId="39837"/>
    <cellStyle name="集計 5 2 5 5 5" xfId="39838"/>
    <cellStyle name="集計 5 2 5 5 6" xfId="39839"/>
    <cellStyle name="集計 5 2 5 6" xfId="39840"/>
    <cellStyle name="集計 5 2 5 6 2" xfId="39841"/>
    <cellStyle name="集計 5 2 5 6 3" xfId="39842"/>
    <cellStyle name="集計 5 2 5 7" xfId="39843"/>
    <cellStyle name="集計 5 2 5 7 2" xfId="39844"/>
    <cellStyle name="集計 5 2 5 7 3" xfId="39845"/>
    <cellStyle name="集計 5 2 5 8" xfId="39846"/>
    <cellStyle name="集計 5 2 5 8 2" xfId="39847"/>
    <cellStyle name="集計 5 2 5 8 3" xfId="39848"/>
    <cellStyle name="集計 5 2 5 9" xfId="39849"/>
    <cellStyle name="集計 5 2 6" xfId="39850"/>
    <cellStyle name="集計 5 2 6 10" xfId="39851"/>
    <cellStyle name="集計 5 2 6 2" xfId="39852"/>
    <cellStyle name="集計 5 2 6 2 2" xfId="39853"/>
    <cellStyle name="集計 5 2 6 2 2 2" xfId="39854"/>
    <cellStyle name="集計 5 2 6 2 2 2 2" xfId="39855"/>
    <cellStyle name="集計 5 2 6 2 2 2 2 2" xfId="39856"/>
    <cellStyle name="集計 5 2 6 2 2 2 2 3" xfId="39857"/>
    <cellStyle name="集計 5 2 6 2 2 2 3" xfId="39858"/>
    <cellStyle name="集計 5 2 6 2 2 2 3 2" xfId="39859"/>
    <cellStyle name="集計 5 2 6 2 2 2 3 3" xfId="39860"/>
    <cellStyle name="集計 5 2 6 2 2 2 4" xfId="39861"/>
    <cellStyle name="集計 5 2 6 2 2 2 4 2" xfId="39862"/>
    <cellStyle name="集計 5 2 6 2 2 2 4 3" xfId="39863"/>
    <cellStyle name="集計 5 2 6 2 2 2 5" xfId="39864"/>
    <cellStyle name="集計 5 2 6 2 2 2 6" xfId="39865"/>
    <cellStyle name="集計 5 2 6 2 2 3" xfId="39866"/>
    <cellStyle name="集計 5 2 6 2 2 3 2" xfId="39867"/>
    <cellStyle name="集計 5 2 6 2 2 3 3" xfId="39868"/>
    <cellStyle name="集計 5 2 6 2 2 4" xfId="39869"/>
    <cellStyle name="集計 5 2 6 2 2 4 2" xfId="39870"/>
    <cellStyle name="集計 5 2 6 2 2 4 3" xfId="39871"/>
    <cellStyle name="集計 5 2 6 2 2 5" xfId="39872"/>
    <cellStyle name="集計 5 2 6 2 2 5 2" xfId="39873"/>
    <cellStyle name="集計 5 2 6 2 2 5 3" xfId="39874"/>
    <cellStyle name="集計 5 2 6 2 2 6" xfId="39875"/>
    <cellStyle name="集計 5 2 6 2 2 7" xfId="39876"/>
    <cellStyle name="集計 5 2 6 2 3" xfId="39877"/>
    <cellStyle name="集計 5 2 6 2 3 2" xfId="39878"/>
    <cellStyle name="集計 5 2 6 2 3 2 2" xfId="39879"/>
    <cellStyle name="集計 5 2 6 2 3 2 2 2" xfId="39880"/>
    <cellStyle name="集計 5 2 6 2 3 2 2 3" xfId="39881"/>
    <cellStyle name="集計 5 2 6 2 3 2 3" xfId="39882"/>
    <cellStyle name="集計 5 2 6 2 3 2 3 2" xfId="39883"/>
    <cellStyle name="集計 5 2 6 2 3 2 3 3" xfId="39884"/>
    <cellStyle name="集計 5 2 6 2 3 2 4" xfId="39885"/>
    <cellStyle name="集計 5 2 6 2 3 2 4 2" xfId="39886"/>
    <cellStyle name="集計 5 2 6 2 3 2 4 3" xfId="39887"/>
    <cellStyle name="集計 5 2 6 2 3 2 5" xfId="39888"/>
    <cellStyle name="集計 5 2 6 2 3 2 6" xfId="39889"/>
    <cellStyle name="集計 5 2 6 2 3 3" xfId="39890"/>
    <cellStyle name="集計 5 2 6 2 3 3 2" xfId="39891"/>
    <cellStyle name="集計 5 2 6 2 3 3 3" xfId="39892"/>
    <cellStyle name="集計 5 2 6 2 3 4" xfId="39893"/>
    <cellStyle name="集計 5 2 6 2 3 4 2" xfId="39894"/>
    <cellStyle name="集計 5 2 6 2 3 4 3" xfId="39895"/>
    <cellStyle name="集計 5 2 6 2 3 5" xfId="39896"/>
    <cellStyle name="集計 5 2 6 2 3 5 2" xfId="39897"/>
    <cellStyle name="集計 5 2 6 2 3 5 3" xfId="39898"/>
    <cellStyle name="集計 5 2 6 2 3 6" xfId="39899"/>
    <cellStyle name="集計 5 2 6 2 3 7" xfId="39900"/>
    <cellStyle name="集計 5 2 6 2 4" xfId="39901"/>
    <cellStyle name="集計 5 2 6 2 4 2" xfId="39902"/>
    <cellStyle name="集計 5 2 6 2 4 2 2" xfId="39903"/>
    <cellStyle name="集計 5 2 6 2 4 2 3" xfId="39904"/>
    <cellStyle name="集計 5 2 6 2 4 3" xfId="39905"/>
    <cellStyle name="集計 5 2 6 2 4 3 2" xfId="39906"/>
    <cellStyle name="集計 5 2 6 2 4 3 3" xfId="39907"/>
    <cellStyle name="集計 5 2 6 2 4 4" xfId="39908"/>
    <cellStyle name="集計 5 2 6 2 4 4 2" xfId="39909"/>
    <cellStyle name="集計 5 2 6 2 4 4 3" xfId="39910"/>
    <cellStyle name="集計 5 2 6 2 4 5" xfId="39911"/>
    <cellStyle name="集計 5 2 6 2 4 6" xfId="39912"/>
    <cellStyle name="集計 5 2 6 2 5" xfId="39913"/>
    <cellStyle name="集計 5 2 6 2 5 2" xfId="39914"/>
    <cellStyle name="集計 5 2 6 2 5 3" xfId="39915"/>
    <cellStyle name="集計 5 2 6 2 6" xfId="39916"/>
    <cellStyle name="集計 5 2 6 2 6 2" xfId="39917"/>
    <cellStyle name="集計 5 2 6 2 6 3" xfId="39918"/>
    <cellStyle name="集計 5 2 6 2 7" xfId="39919"/>
    <cellStyle name="集計 5 2 6 2 7 2" xfId="39920"/>
    <cellStyle name="集計 5 2 6 2 7 3" xfId="39921"/>
    <cellStyle name="集計 5 2 6 2 8" xfId="39922"/>
    <cellStyle name="集計 5 2 6 2 9" xfId="39923"/>
    <cellStyle name="集計 5 2 6 3" xfId="39924"/>
    <cellStyle name="集計 5 2 6 3 2" xfId="39925"/>
    <cellStyle name="集計 5 2 6 3 2 2" xfId="39926"/>
    <cellStyle name="集計 5 2 6 3 2 2 2" xfId="39927"/>
    <cellStyle name="集計 5 2 6 3 2 2 3" xfId="39928"/>
    <cellStyle name="集計 5 2 6 3 2 3" xfId="39929"/>
    <cellStyle name="集計 5 2 6 3 2 3 2" xfId="39930"/>
    <cellStyle name="集計 5 2 6 3 2 3 3" xfId="39931"/>
    <cellStyle name="集計 5 2 6 3 2 4" xfId="39932"/>
    <cellStyle name="集計 5 2 6 3 2 4 2" xfId="39933"/>
    <cellStyle name="集計 5 2 6 3 2 4 3" xfId="39934"/>
    <cellStyle name="集計 5 2 6 3 2 5" xfId="39935"/>
    <cellStyle name="集計 5 2 6 3 2 6" xfId="39936"/>
    <cellStyle name="集計 5 2 6 3 3" xfId="39937"/>
    <cellStyle name="集計 5 2 6 3 3 2" xfId="39938"/>
    <cellStyle name="集計 5 2 6 3 3 3" xfId="39939"/>
    <cellStyle name="集計 5 2 6 3 4" xfId="39940"/>
    <cellStyle name="集計 5 2 6 3 4 2" xfId="39941"/>
    <cellStyle name="集計 5 2 6 3 4 3" xfId="39942"/>
    <cellStyle name="集計 5 2 6 3 5" xfId="39943"/>
    <cellStyle name="集計 5 2 6 3 5 2" xfId="39944"/>
    <cellStyle name="集計 5 2 6 3 5 3" xfId="39945"/>
    <cellStyle name="集計 5 2 6 3 6" xfId="39946"/>
    <cellStyle name="集計 5 2 6 3 7" xfId="39947"/>
    <cellStyle name="集計 5 2 6 4" xfId="39948"/>
    <cellStyle name="集計 5 2 6 4 2" xfId="39949"/>
    <cellStyle name="集計 5 2 6 4 2 2" xfId="39950"/>
    <cellStyle name="集計 5 2 6 4 2 2 2" xfId="39951"/>
    <cellStyle name="集計 5 2 6 4 2 2 3" xfId="39952"/>
    <cellStyle name="集計 5 2 6 4 2 3" xfId="39953"/>
    <cellStyle name="集計 5 2 6 4 2 3 2" xfId="39954"/>
    <cellStyle name="集計 5 2 6 4 2 3 3" xfId="39955"/>
    <cellStyle name="集計 5 2 6 4 2 4" xfId="39956"/>
    <cellStyle name="集計 5 2 6 4 2 4 2" xfId="39957"/>
    <cellStyle name="集計 5 2 6 4 2 4 3" xfId="39958"/>
    <cellStyle name="集計 5 2 6 4 2 5" xfId="39959"/>
    <cellStyle name="集計 5 2 6 4 2 6" xfId="39960"/>
    <cellStyle name="集計 5 2 6 4 3" xfId="39961"/>
    <cellStyle name="集計 5 2 6 4 3 2" xfId="39962"/>
    <cellStyle name="集計 5 2 6 4 3 3" xfId="39963"/>
    <cellStyle name="集計 5 2 6 4 4" xfId="39964"/>
    <cellStyle name="集計 5 2 6 4 4 2" xfId="39965"/>
    <cellStyle name="集計 5 2 6 4 4 3" xfId="39966"/>
    <cellStyle name="集計 5 2 6 4 5" xfId="39967"/>
    <cellStyle name="集計 5 2 6 4 5 2" xfId="39968"/>
    <cellStyle name="集計 5 2 6 4 5 3" xfId="39969"/>
    <cellStyle name="集計 5 2 6 4 6" xfId="39970"/>
    <cellStyle name="集計 5 2 6 4 7" xfId="39971"/>
    <cellStyle name="集計 5 2 6 5" xfId="39972"/>
    <cellStyle name="集計 5 2 6 5 2" xfId="39973"/>
    <cellStyle name="集計 5 2 6 5 2 2" xfId="39974"/>
    <cellStyle name="集計 5 2 6 5 2 3" xfId="39975"/>
    <cellStyle name="集計 5 2 6 5 3" xfId="39976"/>
    <cellStyle name="集計 5 2 6 5 3 2" xfId="39977"/>
    <cellStyle name="集計 5 2 6 5 3 3" xfId="39978"/>
    <cellStyle name="集計 5 2 6 5 4" xfId="39979"/>
    <cellStyle name="集計 5 2 6 5 4 2" xfId="39980"/>
    <cellStyle name="集計 5 2 6 5 4 3" xfId="39981"/>
    <cellStyle name="集計 5 2 6 5 5" xfId="39982"/>
    <cellStyle name="集計 5 2 6 5 6" xfId="39983"/>
    <cellStyle name="集計 5 2 6 6" xfId="39984"/>
    <cellStyle name="集計 5 2 6 6 2" xfId="39985"/>
    <cellStyle name="集計 5 2 6 6 3" xfId="39986"/>
    <cellStyle name="集計 5 2 6 7" xfId="39987"/>
    <cellStyle name="集計 5 2 6 7 2" xfId="39988"/>
    <cellStyle name="集計 5 2 6 7 3" xfId="39989"/>
    <cellStyle name="集計 5 2 6 8" xfId="39990"/>
    <cellStyle name="集計 5 2 6 8 2" xfId="39991"/>
    <cellStyle name="集計 5 2 6 8 3" xfId="39992"/>
    <cellStyle name="集計 5 2 6 9" xfId="39993"/>
    <cellStyle name="集計 5 2 7" xfId="39994"/>
    <cellStyle name="集計 5 2 7 2" xfId="39995"/>
    <cellStyle name="集計 5 2 7 2 2" xfId="39996"/>
    <cellStyle name="集計 5 2 7 2 2 2" xfId="39997"/>
    <cellStyle name="集計 5 2 7 2 2 3" xfId="39998"/>
    <cellStyle name="集計 5 2 7 2 3" xfId="39999"/>
    <cellStyle name="集計 5 2 7 2 3 2" xfId="40000"/>
    <cellStyle name="集計 5 2 7 2 3 3" xfId="40001"/>
    <cellStyle name="集計 5 2 7 2 4" xfId="40002"/>
    <cellStyle name="集計 5 2 7 2 4 2" xfId="40003"/>
    <cellStyle name="集計 5 2 7 2 4 3" xfId="40004"/>
    <cellStyle name="集計 5 2 7 2 5" xfId="40005"/>
    <cellStyle name="集計 5 2 7 2 6" xfId="40006"/>
    <cellStyle name="集計 5 2 7 3" xfId="40007"/>
    <cellStyle name="集計 5 2 7 3 2" xfId="40008"/>
    <cellStyle name="集計 5 2 7 3 3" xfId="40009"/>
    <cellStyle name="集計 5 2 7 4" xfId="40010"/>
    <cellStyle name="集計 5 2 7 4 2" xfId="40011"/>
    <cellStyle name="集計 5 2 7 4 3" xfId="40012"/>
    <cellStyle name="集計 5 2 7 5" xfId="40013"/>
    <cellStyle name="集計 5 2 7 5 2" xfId="40014"/>
    <cellStyle name="集計 5 2 7 5 3" xfId="40015"/>
    <cellStyle name="集計 5 2 7 6" xfId="40016"/>
    <cellStyle name="集計 5 2 7 7" xfId="40017"/>
    <cellStyle name="集計 5 2 8" xfId="40018"/>
    <cellStyle name="集計 5 2 8 2" xfId="40019"/>
    <cellStyle name="集計 5 2 8 2 2" xfId="40020"/>
    <cellStyle name="集計 5 2 8 2 2 2" xfId="40021"/>
    <cellStyle name="集計 5 2 8 2 2 3" xfId="40022"/>
    <cellStyle name="集計 5 2 8 2 3" xfId="40023"/>
    <cellStyle name="集計 5 2 8 2 3 2" xfId="40024"/>
    <cellStyle name="集計 5 2 8 2 3 3" xfId="40025"/>
    <cellStyle name="集計 5 2 8 2 4" xfId="40026"/>
    <cellStyle name="集計 5 2 8 2 4 2" xfId="40027"/>
    <cellStyle name="集計 5 2 8 2 4 3" xfId="40028"/>
    <cellStyle name="集計 5 2 8 2 5" xfId="40029"/>
    <cellStyle name="集計 5 2 8 2 6" xfId="40030"/>
    <cellStyle name="集計 5 2 8 3" xfId="40031"/>
    <cellStyle name="集計 5 2 8 3 2" xfId="40032"/>
    <cellStyle name="集計 5 2 8 3 3" xfId="40033"/>
    <cellStyle name="集計 5 2 8 4" xfId="40034"/>
    <cellStyle name="集計 5 2 8 4 2" xfId="40035"/>
    <cellStyle name="集計 5 2 8 4 3" xfId="40036"/>
    <cellStyle name="集計 5 2 8 5" xfId="40037"/>
    <cellStyle name="集計 5 2 8 5 2" xfId="40038"/>
    <cellStyle name="集計 5 2 8 5 3" xfId="40039"/>
    <cellStyle name="集計 5 2 8 6" xfId="40040"/>
    <cellStyle name="集計 5 2 8 7" xfId="40041"/>
    <cellStyle name="集計 5 2 9" xfId="40042"/>
    <cellStyle name="集計 5 2 9 2" xfId="40043"/>
    <cellStyle name="集計 5 2 9 2 2" xfId="40044"/>
    <cellStyle name="集計 5 2 9 2 3" xfId="40045"/>
    <cellStyle name="集計 5 2 9 3" xfId="40046"/>
    <cellStyle name="集計 5 2 9 3 2" xfId="40047"/>
    <cellStyle name="集計 5 2 9 3 3" xfId="40048"/>
    <cellStyle name="集計 5 2 9 4" xfId="40049"/>
    <cellStyle name="集計 5 2 9 4 2" xfId="40050"/>
    <cellStyle name="集計 5 2 9 4 3" xfId="40051"/>
    <cellStyle name="集計 5 2 9 5" xfId="40052"/>
    <cellStyle name="集計 5 2 9 6" xfId="40053"/>
    <cellStyle name="集計 5 3" xfId="40054"/>
    <cellStyle name="集計 5 3 10" xfId="40055"/>
    <cellStyle name="集計 5 3 10 2" xfId="40056"/>
    <cellStyle name="集計 5 3 10 3" xfId="40057"/>
    <cellStyle name="集計 5 3 11" xfId="40058"/>
    <cellStyle name="集計 5 3 11 2" xfId="40059"/>
    <cellStyle name="集計 5 3 11 3" xfId="40060"/>
    <cellStyle name="集計 5 3 12" xfId="40061"/>
    <cellStyle name="集計 5 3 12 2" xfId="40062"/>
    <cellStyle name="集計 5 3 12 3" xfId="40063"/>
    <cellStyle name="集計 5 3 13" xfId="40064"/>
    <cellStyle name="集計 5 3 14" xfId="40065"/>
    <cellStyle name="集計 5 3 2" xfId="40066"/>
    <cellStyle name="集計 5 3 2 10" xfId="40067"/>
    <cellStyle name="集計 5 3 2 2" xfId="40068"/>
    <cellStyle name="集計 5 3 2 2 10" xfId="40069"/>
    <cellStyle name="集計 5 3 2 2 2" xfId="40070"/>
    <cellStyle name="集計 5 3 2 2 2 2" xfId="40071"/>
    <cellStyle name="集計 5 3 2 2 2 2 2" xfId="40072"/>
    <cellStyle name="集計 5 3 2 2 2 2 2 2" xfId="40073"/>
    <cellStyle name="集計 5 3 2 2 2 2 2 2 2" xfId="40074"/>
    <cellStyle name="集計 5 3 2 2 2 2 2 2 3" xfId="40075"/>
    <cellStyle name="集計 5 3 2 2 2 2 2 3" xfId="40076"/>
    <cellStyle name="集計 5 3 2 2 2 2 2 3 2" xfId="40077"/>
    <cellStyle name="集計 5 3 2 2 2 2 2 3 3" xfId="40078"/>
    <cellStyle name="集計 5 3 2 2 2 2 2 4" xfId="40079"/>
    <cellStyle name="集計 5 3 2 2 2 2 2 4 2" xfId="40080"/>
    <cellStyle name="集計 5 3 2 2 2 2 2 4 3" xfId="40081"/>
    <cellStyle name="集計 5 3 2 2 2 2 2 5" xfId="40082"/>
    <cellStyle name="集計 5 3 2 2 2 2 2 6" xfId="40083"/>
    <cellStyle name="集計 5 3 2 2 2 2 3" xfId="40084"/>
    <cellStyle name="集計 5 3 2 2 2 2 3 2" xfId="40085"/>
    <cellStyle name="集計 5 3 2 2 2 2 3 3" xfId="40086"/>
    <cellStyle name="集計 5 3 2 2 2 2 4" xfId="40087"/>
    <cellStyle name="集計 5 3 2 2 2 2 4 2" xfId="40088"/>
    <cellStyle name="集計 5 3 2 2 2 2 4 3" xfId="40089"/>
    <cellStyle name="集計 5 3 2 2 2 2 5" xfId="40090"/>
    <cellStyle name="集計 5 3 2 2 2 2 5 2" xfId="40091"/>
    <cellStyle name="集計 5 3 2 2 2 2 5 3" xfId="40092"/>
    <cellStyle name="集計 5 3 2 2 2 2 6" xfId="40093"/>
    <cellStyle name="集計 5 3 2 2 2 2 7" xfId="40094"/>
    <cellStyle name="集計 5 3 2 2 2 3" xfId="40095"/>
    <cellStyle name="集計 5 3 2 2 2 3 2" xfId="40096"/>
    <cellStyle name="集計 5 3 2 2 2 3 2 2" xfId="40097"/>
    <cellStyle name="集計 5 3 2 2 2 3 2 2 2" xfId="40098"/>
    <cellStyle name="集計 5 3 2 2 2 3 2 2 3" xfId="40099"/>
    <cellStyle name="集計 5 3 2 2 2 3 2 3" xfId="40100"/>
    <cellStyle name="集計 5 3 2 2 2 3 2 3 2" xfId="40101"/>
    <cellStyle name="集計 5 3 2 2 2 3 2 3 3" xfId="40102"/>
    <cellStyle name="集計 5 3 2 2 2 3 2 4" xfId="40103"/>
    <cellStyle name="集計 5 3 2 2 2 3 2 4 2" xfId="40104"/>
    <cellStyle name="集計 5 3 2 2 2 3 2 4 3" xfId="40105"/>
    <cellStyle name="集計 5 3 2 2 2 3 2 5" xfId="40106"/>
    <cellStyle name="集計 5 3 2 2 2 3 2 6" xfId="40107"/>
    <cellStyle name="集計 5 3 2 2 2 3 3" xfId="40108"/>
    <cellStyle name="集計 5 3 2 2 2 3 3 2" xfId="40109"/>
    <cellStyle name="集計 5 3 2 2 2 3 3 3" xfId="40110"/>
    <cellStyle name="集計 5 3 2 2 2 3 4" xfId="40111"/>
    <cellStyle name="集計 5 3 2 2 2 3 4 2" xfId="40112"/>
    <cellStyle name="集計 5 3 2 2 2 3 4 3" xfId="40113"/>
    <cellStyle name="集計 5 3 2 2 2 3 5" xfId="40114"/>
    <cellStyle name="集計 5 3 2 2 2 3 5 2" xfId="40115"/>
    <cellStyle name="集計 5 3 2 2 2 3 5 3" xfId="40116"/>
    <cellStyle name="集計 5 3 2 2 2 3 6" xfId="40117"/>
    <cellStyle name="集計 5 3 2 2 2 3 7" xfId="40118"/>
    <cellStyle name="集計 5 3 2 2 2 4" xfId="40119"/>
    <cellStyle name="集計 5 3 2 2 2 4 2" xfId="40120"/>
    <cellStyle name="集計 5 3 2 2 2 4 2 2" xfId="40121"/>
    <cellStyle name="集計 5 3 2 2 2 4 2 3" xfId="40122"/>
    <cellStyle name="集計 5 3 2 2 2 4 3" xfId="40123"/>
    <cellStyle name="集計 5 3 2 2 2 4 3 2" xfId="40124"/>
    <cellStyle name="集計 5 3 2 2 2 4 3 3" xfId="40125"/>
    <cellStyle name="集計 5 3 2 2 2 4 4" xfId="40126"/>
    <cellStyle name="集計 5 3 2 2 2 4 4 2" xfId="40127"/>
    <cellStyle name="集計 5 3 2 2 2 4 4 3" xfId="40128"/>
    <cellStyle name="集計 5 3 2 2 2 4 5" xfId="40129"/>
    <cellStyle name="集計 5 3 2 2 2 4 6" xfId="40130"/>
    <cellStyle name="集計 5 3 2 2 2 5" xfId="40131"/>
    <cellStyle name="集計 5 3 2 2 2 5 2" xfId="40132"/>
    <cellStyle name="集計 5 3 2 2 2 5 3" xfId="40133"/>
    <cellStyle name="集計 5 3 2 2 2 6" xfId="40134"/>
    <cellStyle name="集計 5 3 2 2 2 6 2" xfId="40135"/>
    <cellStyle name="集計 5 3 2 2 2 6 3" xfId="40136"/>
    <cellStyle name="集計 5 3 2 2 2 7" xfId="40137"/>
    <cellStyle name="集計 5 3 2 2 2 7 2" xfId="40138"/>
    <cellStyle name="集計 5 3 2 2 2 7 3" xfId="40139"/>
    <cellStyle name="集計 5 3 2 2 2 8" xfId="40140"/>
    <cellStyle name="集計 5 3 2 2 2 9" xfId="40141"/>
    <cellStyle name="集計 5 3 2 2 3" xfId="40142"/>
    <cellStyle name="集計 5 3 2 2 3 2" xfId="40143"/>
    <cellStyle name="集計 5 3 2 2 3 2 2" xfId="40144"/>
    <cellStyle name="集計 5 3 2 2 3 2 2 2" xfId="40145"/>
    <cellStyle name="集計 5 3 2 2 3 2 2 3" xfId="40146"/>
    <cellStyle name="集計 5 3 2 2 3 2 3" xfId="40147"/>
    <cellStyle name="集計 5 3 2 2 3 2 3 2" xfId="40148"/>
    <cellStyle name="集計 5 3 2 2 3 2 3 3" xfId="40149"/>
    <cellStyle name="集計 5 3 2 2 3 2 4" xfId="40150"/>
    <cellStyle name="集計 5 3 2 2 3 2 4 2" xfId="40151"/>
    <cellStyle name="集計 5 3 2 2 3 2 4 3" xfId="40152"/>
    <cellStyle name="集計 5 3 2 2 3 2 5" xfId="40153"/>
    <cellStyle name="集計 5 3 2 2 3 2 6" xfId="40154"/>
    <cellStyle name="集計 5 3 2 2 3 3" xfId="40155"/>
    <cellStyle name="集計 5 3 2 2 3 3 2" xfId="40156"/>
    <cellStyle name="集計 5 3 2 2 3 3 3" xfId="40157"/>
    <cellStyle name="集計 5 3 2 2 3 4" xfId="40158"/>
    <cellStyle name="集計 5 3 2 2 3 4 2" xfId="40159"/>
    <cellStyle name="集計 5 3 2 2 3 4 3" xfId="40160"/>
    <cellStyle name="集計 5 3 2 2 3 5" xfId="40161"/>
    <cellStyle name="集計 5 3 2 2 3 5 2" xfId="40162"/>
    <cellStyle name="集計 5 3 2 2 3 5 3" xfId="40163"/>
    <cellStyle name="集計 5 3 2 2 3 6" xfId="40164"/>
    <cellStyle name="集計 5 3 2 2 3 7" xfId="40165"/>
    <cellStyle name="集計 5 3 2 2 4" xfId="40166"/>
    <cellStyle name="集計 5 3 2 2 4 2" xfId="40167"/>
    <cellStyle name="集計 5 3 2 2 4 2 2" xfId="40168"/>
    <cellStyle name="集計 5 3 2 2 4 2 2 2" xfId="40169"/>
    <cellStyle name="集計 5 3 2 2 4 2 2 3" xfId="40170"/>
    <cellStyle name="集計 5 3 2 2 4 2 3" xfId="40171"/>
    <cellStyle name="集計 5 3 2 2 4 2 3 2" xfId="40172"/>
    <cellStyle name="集計 5 3 2 2 4 2 3 3" xfId="40173"/>
    <cellStyle name="集計 5 3 2 2 4 2 4" xfId="40174"/>
    <cellStyle name="集計 5 3 2 2 4 2 4 2" xfId="40175"/>
    <cellStyle name="集計 5 3 2 2 4 2 4 3" xfId="40176"/>
    <cellStyle name="集計 5 3 2 2 4 2 5" xfId="40177"/>
    <cellStyle name="集計 5 3 2 2 4 2 6" xfId="40178"/>
    <cellStyle name="集計 5 3 2 2 4 3" xfId="40179"/>
    <cellStyle name="集計 5 3 2 2 4 3 2" xfId="40180"/>
    <cellStyle name="集計 5 3 2 2 4 3 3" xfId="40181"/>
    <cellStyle name="集計 5 3 2 2 4 4" xfId="40182"/>
    <cellStyle name="集計 5 3 2 2 4 4 2" xfId="40183"/>
    <cellStyle name="集計 5 3 2 2 4 4 3" xfId="40184"/>
    <cellStyle name="集計 5 3 2 2 4 5" xfId="40185"/>
    <cellStyle name="集計 5 3 2 2 4 5 2" xfId="40186"/>
    <cellStyle name="集計 5 3 2 2 4 5 3" xfId="40187"/>
    <cellStyle name="集計 5 3 2 2 4 6" xfId="40188"/>
    <cellStyle name="集計 5 3 2 2 4 7" xfId="40189"/>
    <cellStyle name="集計 5 3 2 2 5" xfId="40190"/>
    <cellStyle name="集計 5 3 2 2 5 2" xfId="40191"/>
    <cellStyle name="集計 5 3 2 2 5 2 2" xfId="40192"/>
    <cellStyle name="集計 5 3 2 2 5 2 3" xfId="40193"/>
    <cellStyle name="集計 5 3 2 2 5 3" xfId="40194"/>
    <cellStyle name="集計 5 3 2 2 5 3 2" xfId="40195"/>
    <cellStyle name="集計 5 3 2 2 5 3 3" xfId="40196"/>
    <cellStyle name="集計 5 3 2 2 5 4" xfId="40197"/>
    <cellStyle name="集計 5 3 2 2 5 4 2" xfId="40198"/>
    <cellStyle name="集計 5 3 2 2 5 4 3" xfId="40199"/>
    <cellStyle name="集計 5 3 2 2 5 5" xfId="40200"/>
    <cellStyle name="集計 5 3 2 2 5 6" xfId="40201"/>
    <cellStyle name="集計 5 3 2 2 6" xfId="40202"/>
    <cellStyle name="集計 5 3 2 2 6 2" xfId="40203"/>
    <cellStyle name="集計 5 3 2 2 6 3" xfId="40204"/>
    <cellStyle name="集計 5 3 2 2 7" xfId="40205"/>
    <cellStyle name="集計 5 3 2 2 7 2" xfId="40206"/>
    <cellStyle name="集計 5 3 2 2 7 3" xfId="40207"/>
    <cellStyle name="集計 5 3 2 2 8" xfId="40208"/>
    <cellStyle name="集計 5 3 2 2 8 2" xfId="40209"/>
    <cellStyle name="集計 5 3 2 2 8 3" xfId="40210"/>
    <cellStyle name="集計 5 3 2 2 9" xfId="40211"/>
    <cellStyle name="集計 5 3 2 3" xfId="40212"/>
    <cellStyle name="集計 5 3 2 3 2" xfId="40213"/>
    <cellStyle name="集計 5 3 2 3 2 2" xfId="40214"/>
    <cellStyle name="集計 5 3 2 3 2 2 2" xfId="40215"/>
    <cellStyle name="集計 5 3 2 3 2 2 3" xfId="40216"/>
    <cellStyle name="集計 5 3 2 3 2 3" xfId="40217"/>
    <cellStyle name="集計 5 3 2 3 2 3 2" xfId="40218"/>
    <cellStyle name="集計 5 3 2 3 2 3 3" xfId="40219"/>
    <cellStyle name="集計 5 3 2 3 2 4" xfId="40220"/>
    <cellStyle name="集計 5 3 2 3 2 4 2" xfId="40221"/>
    <cellStyle name="集計 5 3 2 3 2 4 3" xfId="40222"/>
    <cellStyle name="集計 5 3 2 3 2 5" xfId="40223"/>
    <cellStyle name="集計 5 3 2 3 2 6" xfId="40224"/>
    <cellStyle name="集計 5 3 2 3 3" xfId="40225"/>
    <cellStyle name="集計 5 3 2 3 3 2" xfId="40226"/>
    <cellStyle name="集計 5 3 2 3 3 3" xfId="40227"/>
    <cellStyle name="集計 5 3 2 3 4" xfId="40228"/>
    <cellStyle name="集計 5 3 2 3 4 2" xfId="40229"/>
    <cellStyle name="集計 5 3 2 3 4 3" xfId="40230"/>
    <cellStyle name="集計 5 3 2 3 5" xfId="40231"/>
    <cellStyle name="集計 5 3 2 3 5 2" xfId="40232"/>
    <cellStyle name="集計 5 3 2 3 5 3" xfId="40233"/>
    <cellStyle name="集計 5 3 2 3 6" xfId="40234"/>
    <cellStyle name="集計 5 3 2 3 7" xfId="40235"/>
    <cellStyle name="集計 5 3 2 4" xfId="40236"/>
    <cellStyle name="集計 5 3 2 4 2" xfId="40237"/>
    <cellStyle name="集計 5 3 2 4 2 2" xfId="40238"/>
    <cellStyle name="集計 5 3 2 4 2 2 2" xfId="40239"/>
    <cellStyle name="集計 5 3 2 4 2 2 3" xfId="40240"/>
    <cellStyle name="集計 5 3 2 4 2 3" xfId="40241"/>
    <cellStyle name="集計 5 3 2 4 2 3 2" xfId="40242"/>
    <cellStyle name="集計 5 3 2 4 2 3 3" xfId="40243"/>
    <cellStyle name="集計 5 3 2 4 2 4" xfId="40244"/>
    <cellStyle name="集計 5 3 2 4 2 4 2" xfId="40245"/>
    <cellStyle name="集計 5 3 2 4 2 4 3" xfId="40246"/>
    <cellStyle name="集計 5 3 2 4 2 5" xfId="40247"/>
    <cellStyle name="集計 5 3 2 4 2 6" xfId="40248"/>
    <cellStyle name="集計 5 3 2 4 3" xfId="40249"/>
    <cellStyle name="集計 5 3 2 4 3 2" xfId="40250"/>
    <cellStyle name="集計 5 3 2 4 3 3" xfId="40251"/>
    <cellStyle name="集計 5 3 2 4 4" xfId="40252"/>
    <cellStyle name="集計 5 3 2 4 4 2" xfId="40253"/>
    <cellStyle name="集計 5 3 2 4 4 3" xfId="40254"/>
    <cellStyle name="集計 5 3 2 4 5" xfId="40255"/>
    <cellStyle name="集計 5 3 2 4 5 2" xfId="40256"/>
    <cellStyle name="集計 5 3 2 4 5 3" xfId="40257"/>
    <cellStyle name="集計 5 3 2 4 6" xfId="40258"/>
    <cellStyle name="集計 5 3 2 4 7" xfId="40259"/>
    <cellStyle name="集計 5 3 2 5" xfId="40260"/>
    <cellStyle name="集計 5 3 2 5 2" xfId="40261"/>
    <cellStyle name="集計 5 3 2 5 2 2" xfId="40262"/>
    <cellStyle name="集計 5 3 2 5 2 3" xfId="40263"/>
    <cellStyle name="集計 5 3 2 5 3" xfId="40264"/>
    <cellStyle name="集計 5 3 2 5 3 2" xfId="40265"/>
    <cellStyle name="集計 5 3 2 5 3 3" xfId="40266"/>
    <cellStyle name="集計 5 3 2 5 4" xfId="40267"/>
    <cellStyle name="集計 5 3 2 5 4 2" xfId="40268"/>
    <cellStyle name="集計 5 3 2 5 4 3" xfId="40269"/>
    <cellStyle name="集計 5 3 2 5 5" xfId="40270"/>
    <cellStyle name="集計 5 3 2 5 6" xfId="40271"/>
    <cellStyle name="集計 5 3 2 6" xfId="40272"/>
    <cellStyle name="集計 5 3 2 6 2" xfId="40273"/>
    <cellStyle name="集計 5 3 2 6 3" xfId="40274"/>
    <cellStyle name="集計 5 3 2 7" xfId="40275"/>
    <cellStyle name="集計 5 3 2 7 2" xfId="40276"/>
    <cellStyle name="集計 5 3 2 7 3" xfId="40277"/>
    <cellStyle name="集計 5 3 2 8" xfId="40278"/>
    <cellStyle name="集計 5 3 2 8 2" xfId="40279"/>
    <cellStyle name="集計 5 3 2 8 3" xfId="40280"/>
    <cellStyle name="集計 5 3 2 9" xfId="40281"/>
    <cellStyle name="集計 5 3 3" xfId="40282"/>
    <cellStyle name="集計 5 3 3 10" xfId="40283"/>
    <cellStyle name="集計 5 3 3 2" xfId="40284"/>
    <cellStyle name="集計 5 3 3 2 10" xfId="40285"/>
    <cellStyle name="集計 5 3 3 2 2" xfId="40286"/>
    <cellStyle name="集計 5 3 3 2 2 2" xfId="40287"/>
    <cellStyle name="集計 5 3 3 2 2 2 2" xfId="40288"/>
    <cellStyle name="集計 5 3 3 2 2 2 2 2" xfId="40289"/>
    <cellStyle name="集計 5 3 3 2 2 2 2 2 2" xfId="40290"/>
    <cellStyle name="集計 5 3 3 2 2 2 2 2 3" xfId="40291"/>
    <cellStyle name="集計 5 3 3 2 2 2 2 3" xfId="40292"/>
    <cellStyle name="集計 5 3 3 2 2 2 2 3 2" xfId="40293"/>
    <cellStyle name="集計 5 3 3 2 2 2 2 3 3" xfId="40294"/>
    <cellStyle name="集計 5 3 3 2 2 2 2 4" xfId="40295"/>
    <cellStyle name="集計 5 3 3 2 2 2 2 4 2" xfId="40296"/>
    <cellStyle name="集計 5 3 3 2 2 2 2 4 3" xfId="40297"/>
    <cellStyle name="集計 5 3 3 2 2 2 2 5" xfId="40298"/>
    <cellStyle name="集計 5 3 3 2 2 2 2 6" xfId="40299"/>
    <cellStyle name="集計 5 3 3 2 2 2 3" xfId="40300"/>
    <cellStyle name="集計 5 3 3 2 2 2 3 2" xfId="40301"/>
    <cellStyle name="集計 5 3 3 2 2 2 3 3" xfId="40302"/>
    <cellStyle name="集計 5 3 3 2 2 2 4" xfId="40303"/>
    <cellStyle name="集計 5 3 3 2 2 2 4 2" xfId="40304"/>
    <cellStyle name="集計 5 3 3 2 2 2 4 3" xfId="40305"/>
    <cellStyle name="集計 5 3 3 2 2 2 5" xfId="40306"/>
    <cellStyle name="集計 5 3 3 2 2 2 5 2" xfId="40307"/>
    <cellStyle name="集計 5 3 3 2 2 2 5 3" xfId="40308"/>
    <cellStyle name="集計 5 3 3 2 2 2 6" xfId="40309"/>
    <cellStyle name="集計 5 3 3 2 2 2 7" xfId="40310"/>
    <cellStyle name="集計 5 3 3 2 2 3" xfId="40311"/>
    <cellStyle name="集計 5 3 3 2 2 3 2" xfId="40312"/>
    <cellStyle name="集計 5 3 3 2 2 3 2 2" xfId="40313"/>
    <cellStyle name="集計 5 3 3 2 2 3 2 2 2" xfId="40314"/>
    <cellStyle name="集計 5 3 3 2 2 3 2 2 3" xfId="40315"/>
    <cellStyle name="集計 5 3 3 2 2 3 2 3" xfId="40316"/>
    <cellStyle name="集計 5 3 3 2 2 3 2 3 2" xfId="40317"/>
    <cellStyle name="集計 5 3 3 2 2 3 2 3 3" xfId="40318"/>
    <cellStyle name="集計 5 3 3 2 2 3 2 4" xfId="40319"/>
    <cellStyle name="集計 5 3 3 2 2 3 2 4 2" xfId="40320"/>
    <cellStyle name="集計 5 3 3 2 2 3 2 4 3" xfId="40321"/>
    <cellStyle name="集計 5 3 3 2 2 3 2 5" xfId="40322"/>
    <cellStyle name="集計 5 3 3 2 2 3 2 6" xfId="40323"/>
    <cellStyle name="集計 5 3 3 2 2 3 3" xfId="40324"/>
    <cellStyle name="集計 5 3 3 2 2 3 3 2" xfId="40325"/>
    <cellStyle name="集計 5 3 3 2 2 3 3 3" xfId="40326"/>
    <cellStyle name="集計 5 3 3 2 2 3 4" xfId="40327"/>
    <cellStyle name="集計 5 3 3 2 2 3 4 2" xfId="40328"/>
    <cellStyle name="集計 5 3 3 2 2 3 4 3" xfId="40329"/>
    <cellStyle name="集計 5 3 3 2 2 3 5" xfId="40330"/>
    <cellStyle name="集計 5 3 3 2 2 3 5 2" xfId="40331"/>
    <cellStyle name="集計 5 3 3 2 2 3 5 3" xfId="40332"/>
    <cellStyle name="集計 5 3 3 2 2 3 6" xfId="40333"/>
    <cellStyle name="集計 5 3 3 2 2 3 7" xfId="40334"/>
    <cellStyle name="集計 5 3 3 2 2 4" xfId="40335"/>
    <cellStyle name="集計 5 3 3 2 2 4 2" xfId="40336"/>
    <cellStyle name="集計 5 3 3 2 2 4 2 2" xfId="40337"/>
    <cellStyle name="集計 5 3 3 2 2 4 2 3" xfId="40338"/>
    <cellStyle name="集計 5 3 3 2 2 4 3" xfId="40339"/>
    <cellStyle name="集計 5 3 3 2 2 4 3 2" xfId="40340"/>
    <cellStyle name="集計 5 3 3 2 2 4 3 3" xfId="40341"/>
    <cellStyle name="集計 5 3 3 2 2 4 4" xfId="40342"/>
    <cellStyle name="集計 5 3 3 2 2 4 4 2" xfId="40343"/>
    <cellStyle name="集計 5 3 3 2 2 4 4 3" xfId="40344"/>
    <cellStyle name="集計 5 3 3 2 2 4 5" xfId="40345"/>
    <cellStyle name="集計 5 3 3 2 2 4 6" xfId="40346"/>
    <cellStyle name="集計 5 3 3 2 2 5" xfId="40347"/>
    <cellStyle name="集計 5 3 3 2 2 5 2" xfId="40348"/>
    <cellStyle name="集計 5 3 3 2 2 5 3" xfId="40349"/>
    <cellStyle name="集計 5 3 3 2 2 6" xfId="40350"/>
    <cellStyle name="集計 5 3 3 2 2 6 2" xfId="40351"/>
    <cellStyle name="集計 5 3 3 2 2 6 3" xfId="40352"/>
    <cellStyle name="集計 5 3 3 2 2 7" xfId="40353"/>
    <cellStyle name="集計 5 3 3 2 2 7 2" xfId="40354"/>
    <cellStyle name="集計 5 3 3 2 2 7 3" xfId="40355"/>
    <cellStyle name="集計 5 3 3 2 2 8" xfId="40356"/>
    <cellStyle name="集計 5 3 3 2 2 9" xfId="40357"/>
    <cellStyle name="集計 5 3 3 2 3" xfId="40358"/>
    <cellStyle name="集計 5 3 3 2 3 2" xfId="40359"/>
    <cellStyle name="集計 5 3 3 2 3 2 2" xfId="40360"/>
    <cellStyle name="集計 5 3 3 2 3 2 2 2" xfId="40361"/>
    <cellStyle name="集計 5 3 3 2 3 2 2 3" xfId="40362"/>
    <cellStyle name="集計 5 3 3 2 3 2 3" xfId="40363"/>
    <cellStyle name="集計 5 3 3 2 3 2 3 2" xfId="40364"/>
    <cellStyle name="集計 5 3 3 2 3 2 3 3" xfId="40365"/>
    <cellStyle name="集計 5 3 3 2 3 2 4" xfId="40366"/>
    <cellStyle name="集計 5 3 3 2 3 2 4 2" xfId="40367"/>
    <cellStyle name="集計 5 3 3 2 3 2 4 3" xfId="40368"/>
    <cellStyle name="集計 5 3 3 2 3 2 5" xfId="40369"/>
    <cellStyle name="集計 5 3 3 2 3 2 6" xfId="40370"/>
    <cellStyle name="集計 5 3 3 2 3 3" xfId="40371"/>
    <cellStyle name="集計 5 3 3 2 3 3 2" xfId="40372"/>
    <cellStyle name="集計 5 3 3 2 3 3 3" xfId="40373"/>
    <cellStyle name="集計 5 3 3 2 3 4" xfId="40374"/>
    <cellStyle name="集計 5 3 3 2 3 4 2" xfId="40375"/>
    <cellStyle name="集計 5 3 3 2 3 4 3" xfId="40376"/>
    <cellStyle name="集計 5 3 3 2 3 5" xfId="40377"/>
    <cellStyle name="集計 5 3 3 2 3 5 2" xfId="40378"/>
    <cellStyle name="集計 5 3 3 2 3 5 3" xfId="40379"/>
    <cellStyle name="集計 5 3 3 2 3 6" xfId="40380"/>
    <cellStyle name="集計 5 3 3 2 3 7" xfId="40381"/>
    <cellStyle name="集計 5 3 3 2 4" xfId="40382"/>
    <cellStyle name="集計 5 3 3 2 4 2" xfId="40383"/>
    <cellStyle name="集計 5 3 3 2 4 2 2" xfId="40384"/>
    <cellStyle name="集計 5 3 3 2 4 2 2 2" xfId="40385"/>
    <cellStyle name="集計 5 3 3 2 4 2 2 3" xfId="40386"/>
    <cellStyle name="集計 5 3 3 2 4 2 3" xfId="40387"/>
    <cellStyle name="集計 5 3 3 2 4 2 3 2" xfId="40388"/>
    <cellStyle name="集計 5 3 3 2 4 2 3 3" xfId="40389"/>
    <cellStyle name="集計 5 3 3 2 4 2 4" xfId="40390"/>
    <cellStyle name="集計 5 3 3 2 4 2 4 2" xfId="40391"/>
    <cellStyle name="集計 5 3 3 2 4 2 4 3" xfId="40392"/>
    <cellStyle name="集計 5 3 3 2 4 2 5" xfId="40393"/>
    <cellStyle name="集計 5 3 3 2 4 2 6" xfId="40394"/>
    <cellStyle name="集計 5 3 3 2 4 3" xfId="40395"/>
    <cellStyle name="集計 5 3 3 2 4 3 2" xfId="40396"/>
    <cellStyle name="集計 5 3 3 2 4 3 3" xfId="40397"/>
    <cellStyle name="集計 5 3 3 2 4 4" xfId="40398"/>
    <cellStyle name="集計 5 3 3 2 4 4 2" xfId="40399"/>
    <cellStyle name="集計 5 3 3 2 4 4 3" xfId="40400"/>
    <cellStyle name="集計 5 3 3 2 4 5" xfId="40401"/>
    <cellStyle name="集計 5 3 3 2 4 5 2" xfId="40402"/>
    <cellStyle name="集計 5 3 3 2 4 5 3" xfId="40403"/>
    <cellStyle name="集計 5 3 3 2 4 6" xfId="40404"/>
    <cellStyle name="集計 5 3 3 2 4 7" xfId="40405"/>
    <cellStyle name="集計 5 3 3 2 5" xfId="40406"/>
    <cellStyle name="集計 5 3 3 2 5 2" xfId="40407"/>
    <cellStyle name="集計 5 3 3 2 5 2 2" xfId="40408"/>
    <cellStyle name="集計 5 3 3 2 5 2 3" xfId="40409"/>
    <cellStyle name="集計 5 3 3 2 5 3" xfId="40410"/>
    <cellStyle name="集計 5 3 3 2 5 3 2" xfId="40411"/>
    <cellStyle name="集計 5 3 3 2 5 3 3" xfId="40412"/>
    <cellStyle name="集計 5 3 3 2 5 4" xfId="40413"/>
    <cellStyle name="集計 5 3 3 2 5 4 2" xfId="40414"/>
    <cellStyle name="集計 5 3 3 2 5 4 3" xfId="40415"/>
    <cellStyle name="集計 5 3 3 2 5 5" xfId="40416"/>
    <cellStyle name="集計 5 3 3 2 5 6" xfId="40417"/>
    <cellStyle name="集計 5 3 3 2 6" xfId="40418"/>
    <cellStyle name="集計 5 3 3 2 6 2" xfId="40419"/>
    <cellStyle name="集計 5 3 3 2 6 3" xfId="40420"/>
    <cellStyle name="集計 5 3 3 2 7" xfId="40421"/>
    <cellStyle name="集計 5 3 3 2 7 2" xfId="40422"/>
    <cellStyle name="集計 5 3 3 2 7 3" xfId="40423"/>
    <cellStyle name="集計 5 3 3 2 8" xfId="40424"/>
    <cellStyle name="集計 5 3 3 2 8 2" xfId="40425"/>
    <cellStyle name="集計 5 3 3 2 8 3" xfId="40426"/>
    <cellStyle name="集計 5 3 3 2 9" xfId="40427"/>
    <cellStyle name="集計 5 3 3 3" xfId="40428"/>
    <cellStyle name="集計 5 3 3 3 2" xfId="40429"/>
    <cellStyle name="集計 5 3 3 3 2 2" xfId="40430"/>
    <cellStyle name="集計 5 3 3 3 2 2 2" xfId="40431"/>
    <cellStyle name="集計 5 3 3 3 2 2 3" xfId="40432"/>
    <cellStyle name="集計 5 3 3 3 2 3" xfId="40433"/>
    <cellStyle name="集計 5 3 3 3 2 3 2" xfId="40434"/>
    <cellStyle name="集計 5 3 3 3 2 3 3" xfId="40435"/>
    <cellStyle name="集計 5 3 3 3 2 4" xfId="40436"/>
    <cellStyle name="集計 5 3 3 3 2 4 2" xfId="40437"/>
    <cellStyle name="集計 5 3 3 3 2 4 3" xfId="40438"/>
    <cellStyle name="集計 5 3 3 3 2 5" xfId="40439"/>
    <cellStyle name="集計 5 3 3 3 2 6" xfId="40440"/>
    <cellStyle name="集計 5 3 3 3 3" xfId="40441"/>
    <cellStyle name="集計 5 3 3 3 3 2" xfId="40442"/>
    <cellStyle name="集計 5 3 3 3 3 3" xfId="40443"/>
    <cellStyle name="集計 5 3 3 3 4" xfId="40444"/>
    <cellStyle name="集計 5 3 3 3 4 2" xfId="40445"/>
    <cellStyle name="集計 5 3 3 3 4 3" xfId="40446"/>
    <cellStyle name="集計 5 3 3 3 5" xfId="40447"/>
    <cellStyle name="集計 5 3 3 3 5 2" xfId="40448"/>
    <cellStyle name="集計 5 3 3 3 5 3" xfId="40449"/>
    <cellStyle name="集計 5 3 3 3 6" xfId="40450"/>
    <cellStyle name="集計 5 3 3 3 7" xfId="40451"/>
    <cellStyle name="集計 5 3 3 4" xfId="40452"/>
    <cellStyle name="集計 5 3 3 4 2" xfId="40453"/>
    <cellStyle name="集計 5 3 3 4 2 2" xfId="40454"/>
    <cellStyle name="集計 5 3 3 4 2 2 2" xfId="40455"/>
    <cellStyle name="集計 5 3 3 4 2 2 3" xfId="40456"/>
    <cellStyle name="集計 5 3 3 4 2 3" xfId="40457"/>
    <cellStyle name="集計 5 3 3 4 2 3 2" xfId="40458"/>
    <cellStyle name="集計 5 3 3 4 2 3 3" xfId="40459"/>
    <cellStyle name="集計 5 3 3 4 2 4" xfId="40460"/>
    <cellStyle name="集計 5 3 3 4 2 4 2" xfId="40461"/>
    <cellStyle name="集計 5 3 3 4 2 4 3" xfId="40462"/>
    <cellStyle name="集計 5 3 3 4 2 5" xfId="40463"/>
    <cellStyle name="集計 5 3 3 4 2 6" xfId="40464"/>
    <cellStyle name="集計 5 3 3 4 3" xfId="40465"/>
    <cellStyle name="集計 5 3 3 4 3 2" xfId="40466"/>
    <cellStyle name="集計 5 3 3 4 3 3" xfId="40467"/>
    <cellStyle name="集計 5 3 3 4 4" xfId="40468"/>
    <cellStyle name="集計 5 3 3 4 4 2" xfId="40469"/>
    <cellStyle name="集計 5 3 3 4 4 3" xfId="40470"/>
    <cellStyle name="集計 5 3 3 4 5" xfId="40471"/>
    <cellStyle name="集計 5 3 3 4 5 2" xfId="40472"/>
    <cellStyle name="集計 5 3 3 4 5 3" xfId="40473"/>
    <cellStyle name="集計 5 3 3 4 6" xfId="40474"/>
    <cellStyle name="集計 5 3 3 4 7" xfId="40475"/>
    <cellStyle name="集計 5 3 3 5" xfId="40476"/>
    <cellStyle name="集計 5 3 3 5 2" xfId="40477"/>
    <cellStyle name="集計 5 3 3 5 2 2" xfId="40478"/>
    <cellStyle name="集計 5 3 3 5 2 3" xfId="40479"/>
    <cellStyle name="集計 5 3 3 5 3" xfId="40480"/>
    <cellStyle name="集計 5 3 3 5 3 2" xfId="40481"/>
    <cellStyle name="集計 5 3 3 5 3 3" xfId="40482"/>
    <cellStyle name="集計 5 3 3 5 4" xfId="40483"/>
    <cellStyle name="集計 5 3 3 5 4 2" xfId="40484"/>
    <cellStyle name="集計 5 3 3 5 4 3" xfId="40485"/>
    <cellStyle name="集計 5 3 3 5 5" xfId="40486"/>
    <cellStyle name="集計 5 3 3 5 6" xfId="40487"/>
    <cellStyle name="集計 5 3 3 6" xfId="40488"/>
    <cellStyle name="集計 5 3 3 6 2" xfId="40489"/>
    <cellStyle name="集計 5 3 3 6 3" xfId="40490"/>
    <cellStyle name="集計 5 3 3 7" xfId="40491"/>
    <cellStyle name="集計 5 3 3 7 2" xfId="40492"/>
    <cellStyle name="集計 5 3 3 7 3" xfId="40493"/>
    <cellStyle name="集計 5 3 3 8" xfId="40494"/>
    <cellStyle name="集計 5 3 3 8 2" xfId="40495"/>
    <cellStyle name="集計 5 3 3 8 3" xfId="40496"/>
    <cellStyle name="集計 5 3 3 9" xfId="40497"/>
    <cellStyle name="集計 5 3 4" xfId="40498"/>
    <cellStyle name="集計 5 3 4 10" xfId="40499"/>
    <cellStyle name="集計 5 3 4 2" xfId="40500"/>
    <cellStyle name="集計 5 3 4 2 10" xfId="40501"/>
    <cellStyle name="集計 5 3 4 2 2" xfId="40502"/>
    <cellStyle name="集計 5 3 4 2 2 2" xfId="40503"/>
    <cellStyle name="集計 5 3 4 2 2 2 2" xfId="40504"/>
    <cellStyle name="集計 5 3 4 2 2 2 2 2" xfId="40505"/>
    <cellStyle name="集計 5 3 4 2 2 2 2 2 2" xfId="40506"/>
    <cellStyle name="集計 5 3 4 2 2 2 2 2 3" xfId="40507"/>
    <cellStyle name="集計 5 3 4 2 2 2 2 3" xfId="40508"/>
    <cellStyle name="集計 5 3 4 2 2 2 2 3 2" xfId="40509"/>
    <cellStyle name="集計 5 3 4 2 2 2 2 3 3" xfId="40510"/>
    <cellStyle name="集計 5 3 4 2 2 2 2 4" xfId="40511"/>
    <cellStyle name="集計 5 3 4 2 2 2 2 4 2" xfId="40512"/>
    <cellStyle name="集計 5 3 4 2 2 2 2 4 3" xfId="40513"/>
    <cellStyle name="集計 5 3 4 2 2 2 2 5" xfId="40514"/>
    <cellStyle name="集計 5 3 4 2 2 2 2 6" xfId="40515"/>
    <cellStyle name="集計 5 3 4 2 2 2 3" xfId="40516"/>
    <cellStyle name="集計 5 3 4 2 2 2 3 2" xfId="40517"/>
    <cellStyle name="集計 5 3 4 2 2 2 3 3" xfId="40518"/>
    <cellStyle name="集計 5 3 4 2 2 2 4" xfId="40519"/>
    <cellStyle name="集計 5 3 4 2 2 2 4 2" xfId="40520"/>
    <cellStyle name="集計 5 3 4 2 2 2 4 3" xfId="40521"/>
    <cellStyle name="集計 5 3 4 2 2 2 5" xfId="40522"/>
    <cellStyle name="集計 5 3 4 2 2 2 5 2" xfId="40523"/>
    <cellStyle name="集計 5 3 4 2 2 2 5 3" xfId="40524"/>
    <cellStyle name="集計 5 3 4 2 2 2 6" xfId="40525"/>
    <cellStyle name="集計 5 3 4 2 2 2 7" xfId="40526"/>
    <cellStyle name="集計 5 3 4 2 2 3" xfId="40527"/>
    <cellStyle name="集計 5 3 4 2 2 3 2" xfId="40528"/>
    <cellStyle name="集計 5 3 4 2 2 3 2 2" xfId="40529"/>
    <cellStyle name="集計 5 3 4 2 2 3 2 2 2" xfId="40530"/>
    <cellStyle name="集計 5 3 4 2 2 3 2 2 3" xfId="40531"/>
    <cellStyle name="集計 5 3 4 2 2 3 2 3" xfId="40532"/>
    <cellStyle name="集計 5 3 4 2 2 3 2 3 2" xfId="40533"/>
    <cellStyle name="集計 5 3 4 2 2 3 2 3 3" xfId="40534"/>
    <cellStyle name="集計 5 3 4 2 2 3 2 4" xfId="40535"/>
    <cellStyle name="集計 5 3 4 2 2 3 2 4 2" xfId="40536"/>
    <cellStyle name="集計 5 3 4 2 2 3 2 4 3" xfId="40537"/>
    <cellStyle name="集計 5 3 4 2 2 3 2 5" xfId="40538"/>
    <cellStyle name="集計 5 3 4 2 2 3 2 6" xfId="40539"/>
    <cellStyle name="集計 5 3 4 2 2 3 3" xfId="40540"/>
    <cellStyle name="集計 5 3 4 2 2 3 3 2" xfId="40541"/>
    <cellStyle name="集計 5 3 4 2 2 3 3 3" xfId="40542"/>
    <cellStyle name="集計 5 3 4 2 2 3 4" xfId="40543"/>
    <cellStyle name="集計 5 3 4 2 2 3 4 2" xfId="40544"/>
    <cellStyle name="集計 5 3 4 2 2 3 4 3" xfId="40545"/>
    <cellStyle name="集計 5 3 4 2 2 3 5" xfId="40546"/>
    <cellStyle name="集計 5 3 4 2 2 3 5 2" xfId="40547"/>
    <cellStyle name="集計 5 3 4 2 2 3 5 3" xfId="40548"/>
    <cellStyle name="集計 5 3 4 2 2 3 6" xfId="40549"/>
    <cellStyle name="集計 5 3 4 2 2 3 7" xfId="40550"/>
    <cellStyle name="集計 5 3 4 2 2 4" xfId="40551"/>
    <cellStyle name="集計 5 3 4 2 2 4 2" xfId="40552"/>
    <cellStyle name="集計 5 3 4 2 2 4 2 2" xfId="40553"/>
    <cellStyle name="集計 5 3 4 2 2 4 2 3" xfId="40554"/>
    <cellStyle name="集計 5 3 4 2 2 4 3" xfId="40555"/>
    <cellStyle name="集計 5 3 4 2 2 4 3 2" xfId="40556"/>
    <cellStyle name="集計 5 3 4 2 2 4 3 3" xfId="40557"/>
    <cellStyle name="集計 5 3 4 2 2 4 4" xfId="40558"/>
    <cellStyle name="集計 5 3 4 2 2 4 4 2" xfId="40559"/>
    <cellStyle name="集計 5 3 4 2 2 4 4 3" xfId="40560"/>
    <cellStyle name="集計 5 3 4 2 2 4 5" xfId="40561"/>
    <cellStyle name="集計 5 3 4 2 2 4 6" xfId="40562"/>
    <cellStyle name="集計 5 3 4 2 2 5" xfId="40563"/>
    <cellStyle name="集計 5 3 4 2 2 5 2" xfId="40564"/>
    <cellStyle name="集計 5 3 4 2 2 5 3" xfId="40565"/>
    <cellStyle name="集計 5 3 4 2 2 6" xfId="40566"/>
    <cellStyle name="集計 5 3 4 2 2 6 2" xfId="40567"/>
    <cellStyle name="集計 5 3 4 2 2 6 3" xfId="40568"/>
    <cellStyle name="集計 5 3 4 2 2 7" xfId="40569"/>
    <cellStyle name="集計 5 3 4 2 2 7 2" xfId="40570"/>
    <cellStyle name="集計 5 3 4 2 2 7 3" xfId="40571"/>
    <cellStyle name="集計 5 3 4 2 2 8" xfId="40572"/>
    <cellStyle name="集計 5 3 4 2 2 9" xfId="40573"/>
    <cellStyle name="集計 5 3 4 2 3" xfId="40574"/>
    <cellStyle name="集計 5 3 4 2 3 2" xfId="40575"/>
    <cellStyle name="集計 5 3 4 2 3 2 2" xfId="40576"/>
    <cellStyle name="集計 5 3 4 2 3 2 2 2" xfId="40577"/>
    <cellStyle name="集計 5 3 4 2 3 2 2 3" xfId="40578"/>
    <cellStyle name="集計 5 3 4 2 3 2 3" xfId="40579"/>
    <cellStyle name="集計 5 3 4 2 3 2 3 2" xfId="40580"/>
    <cellStyle name="集計 5 3 4 2 3 2 3 3" xfId="40581"/>
    <cellStyle name="集計 5 3 4 2 3 2 4" xfId="40582"/>
    <cellStyle name="集計 5 3 4 2 3 2 4 2" xfId="40583"/>
    <cellStyle name="集計 5 3 4 2 3 2 4 3" xfId="40584"/>
    <cellStyle name="集計 5 3 4 2 3 2 5" xfId="40585"/>
    <cellStyle name="集計 5 3 4 2 3 2 6" xfId="40586"/>
    <cellStyle name="集計 5 3 4 2 3 3" xfId="40587"/>
    <cellStyle name="集計 5 3 4 2 3 3 2" xfId="40588"/>
    <cellStyle name="集計 5 3 4 2 3 3 3" xfId="40589"/>
    <cellStyle name="集計 5 3 4 2 3 4" xfId="40590"/>
    <cellStyle name="集計 5 3 4 2 3 4 2" xfId="40591"/>
    <cellStyle name="集計 5 3 4 2 3 4 3" xfId="40592"/>
    <cellStyle name="集計 5 3 4 2 3 5" xfId="40593"/>
    <cellStyle name="集計 5 3 4 2 3 5 2" xfId="40594"/>
    <cellStyle name="集計 5 3 4 2 3 5 3" xfId="40595"/>
    <cellStyle name="集計 5 3 4 2 3 6" xfId="40596"/>
    <cellStyle name="集計 5 3 4 2 3 7" xfId="40597"/>
    <cellStyle name="集計 5 3 4 2 4" xfId="40598"/>
    <cellStyle name="集計 5 3 4 2 4 2" xfId="40599"/>
    <cellStyle name="集計 5 3 4 2 4 2 2" xfId="40600"/>
    <cellStyle name="集計 5 3 4 2 4 2 2 2" xfId="40601"/>
    <cellStyle name="集計 5 3 4 2 4 2 2 3" xfId="40602"/>
    <cellStyle name="集計 5 3 4 2 4 2 3" xfId="40603"/>
    <cellStyle name="集計 5 3 4 2 4 2 3 2" xfId="40604"/>
    <cellStyle name="集計 5 3 4 2 4 2 3 3" xfId="40605"/>
    <cellStyle name="集計 5 3 4 2 4 2 4" xfId="40606"/>
    <cellStyle name="集計 5 3 4 2 4 2 4 2" xfId="40607"/>
    <cellStyle name="集計 5 3 4 2 4 2 4 3" xfId="40608"/>
    <cellStyle name="集計 5 3 4 2 4 2 5" xfId="40609"/>
    <cellStyle name="集計 5 3 4 2 4 2 6" xfId="40610"/>
    <cellStyle name="集計 5 3 4 2 4 3" xfId="40611"/>
    <cellStyle name="集計 5 3 4 2 4 3 2" xfId="40612"/>
    <cellStyle name="集計 5 3 4 2 4 3 3" xfId="40613"/>
    <cellStyle name="集計 5 3 4 2 4 4" xfId="40614"/>
    <cellStyle name="集計 5 3 4 2 4 4 2" xfId="40615"/>
    <cellStyle name="集計 5 3 4 2 4 4 3" xfId="40616"/>
    <cellStyle name="集計 5 3 4 2 4 5" xfId="40617"/>
    <cellStyle name="集計 5 3 4 2 4 5 2" xfId="40618"/>
    <cellStyle name="集計 5 3 4 2 4 5 3" xfId="40619"/>
    <cellStyle name="集計 5 3 4 2 4 6" xfId="40620"/>
    <cellStyle name="集計 5 3 4 2 4 7" xfId="40621"/>
    <cellStyle name="集計 5 3 4 2 5" xfId="40622"/>
    <cellStyle name="集計 5 3 4 2 5 2" xfId="40623"/>
    <cellStyle name="集計 5 3 4 2 5 2 2" xfId="40624"/>
    <cellStyle name="集計 5 3 4 2 5 2 3" xfId="40625"/>
    <cellStyle name="集計 5 3 4 2 5 3" xfId="40626"/>
    <cellStyle name="集計 5 3 4 2 5 3 2" xfId="40627"/>
    <cellStyle name="集計 5 3 4 2 5 3 3" xfId="40628"/>
    <cellStyle name="集計 5 3 4 2 5 4" xfId="40629"/>
    <cellStyle name="集計 5 3 4 2 5 4 2" xfId="40630"/>
    <cellStyle name="集計 5 3 4 2 5 4 3" xfId="40631"/>
    <cellStyle name="集計 5 3 4 2 5 5" xfId="40632"/>
    <cellStyle name="集計 5 3 4 2 5 6" xfId="40633"/>
    <cellStyle name="集計 5 3 4 2 6" xfId="40634"/>
    <cellStyle name="集計 5 3 4 2 6 2" xfId="40635"/>
    <cellStyle name="集計 5 3 4 2 6 3" xfId="40636"/>
    <cellStyle name="集計 5 3 4 2 7" xfId="40637"/>
    <cellStyle name="集計 5 3 4 2 7 2" xfId="40638"/>
    <cellStyle name="集計 5 3 4 2 7 3" xfId="40639"/>
    <cellStyle name="集計 5 3 4 2 8" xfId="40640"/>
    <cellStyle name="集計 5 3 4 2 8 2" xfId="40641"/>
    <cellStyle name="集計 5 3 4 2 8 3" xfId="40642"/>
    <cellStyle name="集計 5 3 4 2 9" xfId="40643"/>
    <cellStyle name="集計 5 3 4 3" xfId="40644"/>
    <cellStyle name="集計 5 3 4 3 2" xfId="40645"/>
    <cellStyle name="集計 5 3 4 3 2 2" xfId="40646"/>
    <cellStyle name="集計 5 3 4 3 2 2 2" xfId="40647"/>
    <cellStyle name="集計 5 3 4 3 2 2 3" xfId="40648"/>
    <cellStyle name="集計 5 3 4 3 2 3" xfId="40649"/>
    <cellStyle name="集計 5 3 4 3 2 3 2" xfId="40650"/>
    <cellStyle name="集計 5 3 4 3 2 3 3" xfId="40651"/>
    <cellStyle name="集計 5 3 4 3 2 4" xfId="40652"/>
    <cellStyle name="集計 5 3 4 3 2 4 2" xfId="40653"/>
    <cellStyle name="集計 5 3 4 3 2 4 3" xfId="40654"/>
    <cellStyle name="集計 5 3 4 3 2 5" xfId="40655"/>
    <cellStyle name="集計 5 3 4 3 2 6" xfId="40656"/>
    <cellStyle name="集計 5 3 4 3 3" xfId="40657"/>
    <cellStyle name="集計 5 3 4 3 3 2" xfId="40658"/>
    <cellStyle name="集計 5 3 4 3 3 3" xfId="40659"/>
    <cellStyle name="集計 5 3 4 3 4" xfId="40660"/>
    <cellStyle name="集計 5 3 4 3 4 2" xfId="40661"/>
    <cellStyle name="集計 5 3 4 3 4 3" xfId="40662"/>
    <cellStyle name="集計 5 3 4 3 5" xfId="40663"/>
    <cellStyle name="集計 5 3 4 3 5 2" xfId="40664"/>
    <cellStyle name="集計 5 3 4 3 5 3" xfId="40665"/>
    <cellStyle name="集計 5 3 4 3 6" xfId="40666"/>
    <cellStyle name="集計 5 3 4 3 7" xfId="40667"/>
    <cellStyle name="集計 5 3 4 4" xfId="40668"/>
    <cellStyle name="集計 5 3 4 4 2" xfId="40669"/>
    <cellStyle name="集計 5 3 4 4 2 2" xfId="40670"/>
    <cellStyle name="集計 5 3 4 4 2 2 2" xfId="40671"/>
    <cellStyle name="集計 5 3 4 4 2 2 3" xfId="40672"/>
    <cellStyle name="集計 5 3 4 4 2 3" xfId="40673"/>
    <cellStyle name="集計 5 3 4 4 2 3 2" xfId="40674"/>
    <cellStyle name="集計 5 3 4 4 2 3 3" xfId="40675"/>
    <cellStyle name="集計 5 3 4 4 2 4" xfId="40676"/>
    <cellStyle name="集計 5 3 4 4 2 4 2" xfId="40677"/>
    <cellStyle name="集計 5 3 4 4 2 4 3" xfId="40678"/>
    <cellStyle name="集計 5 3 4 4 2 5" xfId="40679"/>
    <cellStyle name="集計 5 3 4 4 2 6" xfId="40680"/>
    <cellStyle name="集計 5 3 4 4 3" xfId="40681"/>
    <cellStyle name="集計 5 3 4 4 3 2" xfId="40682"/>
    <cellStyle name="集計 5 3 4 4 3 3" xfId="40683"/>
    <cellStyle name="集計 5 3 4 4 4" xfId="40684"/>
    <cellStyle name="集計 5 3 4 4 4 2" xfId="40685"/>
    <cellStyle name="集計 5 3 4 4 4 3" xfId="40686"/>
    <cellStyle name="集計 5 3 4 4 5" xfId="40687"/>
    <cellStyle name="集計 5 3 4 4 5 2" xfId="40688"/>
    <cellStyle name="集計 5 3 4 4 5 3" xfId="40689"/>
    <cellStyle name="集計 5 3 4 4 6" xfId="40690"/>
    <cellStyle name="集計 5 3 4 4 7" xfId="40691"/>
    <cellStyle name="集計 5 3 4 5" xfId="40692"/>
    <cellStyle name="集計 5 3 4 5 2" xfId="40693"/>
    <cellStyle name="集計 5 3 4 5 2 2" xfId="40694"/>
    <cellStyle name="集計 5 3 4 5 2 3" xfId="40695"/>
    <cellStyle name="集計 5 3 4 5 3" xfId="40696"/>
    <cellStyle name="集計 5 3 4 5 3 2" xfId="40697"/>
    <cellStyle name="集計 5 3 4 5 3 3" xfId="40698"/>
    <cellStyle name="集計 5 3 4 5 4" xfId="40699"/>
    <cellStyle name="集計 5 3 4 5 4 2" xfId="40700"/>
    <cellStyle name="集計 5 3 4 5 4 3" xfId="40701"/>
    <cellStyle name="集計 5 3 4 5 5" xfId="40702"/>
    <cellStyle name="集計 5 3 4 5 6" xfId="40703"/>
    <cellStyle name="集計 5 3 4 6" xfId="40704"/>
    <cellStyle name="集計 5 3 4 6 2" xfId="40705"/>
    <cellStyle name="集計 5 3 4 6 3" xfId="40706"/>
    <cellStyle name="集計 5 3 4 7" xfId="40707"/>
    <cellStyle name="集計 5 3 4 7 2" xfId="40708"/>
    <cellStyle name="集計 5 3 4 7 3" xfId="40709"/>
    <cellStyle name="集計 5 3 4 8" xfId="40710"/>
    <cellStyle name="集計 5 3 4 8 2" xfId="40711"/>
    <cellStyle name="集計 5 3 4 8 3" xfId="40712"/>
    <cellStyle name="集計 5 3 4 9" xfId="40713"/>
    <cellStyle name="集計 5 3 5" xfId="40714"/>
    <cellStyle name="集計 5 3 5 10" xfId="40715"/>
    <cellStyle name="集計 5 3 5 2" xfId="40716"/>
    <cellStyle name="集計 5 3 5 2 2" xfId="40717"/>
    <cellStyle name="集計 5 3 5 2 2 2" xfId="40718"/>
    <cellStyle name="集計 5 3 5 2 2 2 2" xfId="40719"/>
    <cellStyle name="集計 5 3 5 2 2 2 2 2" xfId="40720"/>
    <cellStyle name="集計 5 3 5 2 2 2 2 3" xfId="40721"/>
    <cellStyle name="集計 5 3 5 2 2 2 3" xfId="40722"/>
    <cellStyle name="集計 5 3 5 2 2 2 3 2" xfId="40723"/>
    <cellStyle name="集計 5 3 5 2 2 2 3 3" xfId="40724"/>
    <cellStyle name="集計 5 3 5 2 2 2 4" xfId="40725"/>
    <cellStyle name="集計 5 3 5 2 2 2 4 2" xfId="40726"/>
    <cellStyle name="集計 5 3 5 2 2 2 4 3" xfId="40727"/>
    <cellStyle name="集計 5 3 5 2 2 2 5" xfId="40728"/>
    <cellStyle name="集計 5 3 5 2 2 2 6" xfId="40729"/>
    <cellStyle name="集計 5 3 5 2 2 3" xfId="40730"/>
    <cellStyle name="集計 5 3 5 2 2 3 2" xfId="40731"/>
    <cellStyle name="集計 5 3 5 2 2 3 3" xfId="40732"/>
    <cellStyle name="集計 5 3 5 2 2 4" xfId="40733"/>
    <cellStyle name="集計 5 3 5 2 2 4 2" xfId="40734"/>
    <cellStyle name="集計 5 3 5 2 2 4 3" xfId="40735"/>
    <cellStyle name="集計 5 3 5 2 2 5" xfId="40736"/>
    <cellStyle name="集計 5 3 5 2 2 5 2" xfId="40737"/>
    <cellStyle name="集計 5 3 5 2 2 5 3" xfId="40738"/>
    <cellStyle name="集計 5 3 5 2 2 6" xfId="40739"/>
    <cellStyle name="集計 5 3 5 2 2 7" xfId="40740"/>
    <cellStyle name="集計 5 3 5 2 3" xfId="40741"/>
    <cellStyle name="集計 5 3 5 2 3 2" xfId="40742"/>
    <cellStyle name="集計 5 3 5 2 3 2 2" xfId="40743"/>
    <cellStyle name="集計 5 3 5 2 3 2 2 2" xfId="40744"/>
    <cellStyle name="集計 5 3 5 2 3 2 2 3" xfId="40745"/>
    <cellStyle name="集計 5 3 5 2 3 2 3" xfId="40746"/>
    <cellStyle name="集計 5 3 5 2 3 2 3 2" xfId="40747"/>
    <cellStyle name="集計 5 3 5 2 3 2 3 3" xfId="40748"/>
    <cellStyle name="集計 5 3 5 2 3 2 4" xfId="40749"/>
    <cellStyle name="集計 5 3 5 2 3 2 4 2" xfId="40750"/>
    <cellStyle name="集計 5 3 5 2 3 2 4 3" xfId="40751"/>
    <cellStyle name="集計 5 3 5 2 3 2 5" xfId="40752"/>
    <cellStyle name="集計 5 3 5 2 3 2 6" xfId="40753"/>
    <cellStyle name="集計 5 3 5 2 3 3" xfId="40754"/>
    <cellStyle name="集計 5 3 5 2 3 3 2" xfId="40755"/>
    <cellStyle name="集計 5 3 5 2 3 3 3" xfId="40756"/>
    <cellStyle name="集計 5 3 5 2 3 4" xfId="40757"/>
    <cellStyle name="集計 5 3 5 2 3 4 2" xfId="40758"/>
    <cellStyle name="集計 5 3 5 2 3 4 3" xfId="40759"/>
    <cellStyle name="集計 5 3 5 2 3 5" xfId="40760"/>
    <cellStyle name="集計 5 3 5 2 3 5 2" xfId="40761"/>
    <cellStyle name="集計 5 3 5 2 3 5 3" xfId="40762"/>
    <cellStyle name="集計 5 3 5 2 3 6" xfId="40763"/>
    <cellStyle name="集計 5 3 5 2 3 7" xfId="40764"/>
    <cellStyle name="集計 5 3 5 2 4" xfId="40765"/>
    <cellStyle name="集計 5 3 5 2 4 2" xfId="40766"/>
    <cellStyle name="集計 5 3 5 2 4 2 2" xfId="40767"/>
    <cellStyle name="集計 5 3 5 2 4 2 3" xfId="40768"/>
    <cellStyle name="集計 5 3 5 2 4 3" xfId="40769"/>
    <cellStyle name="集計 5 3 5 2 4 3 2" xfId="40770"/>
    <cellStyle name="集計 5 3 5 2 4 3 3" xfId="40771"/>
    <cellStyle name="集計 5 3 5 2 4 4" xfId="40772"/>
    <cellStyle name="集計 5 3 5 2 4 4 2" xfId="40773"/>
    <cellStyle name="集計 5 3 5 2 4 4 3" xfId="40774"/>
    <cellStyle name="集計 5 3 5 2 4 5" xfId="40775"/>
    <cellStyle name="集計 5 3 5 2 4 6" xfId="40776"/>
    <cellStyle name="集計 5 3 5 2 5" xfId="40777"/>
    <cellStyle name="集計 5 3 5 2 5 2" xfId="40778"/>
    <cellStyle name="集計 5 3 5 2 5 3" xfId="40779"/>
    <cellStyle name="集計 5 3 5 2 6" xfId="40780"/>
    <cellStyle name="集計 5 3 5 2 6 2" xfId="40781"/>
    <cellStyle name="集計 5 3 5 2 6 3" xfId="40782"/>
    <cellStyle name="集計 5 3 5 2 7" xfId="40783"/>
    <cellStyle name="集計 5 3 5 2 7 2" xfId="40784"/>
    <cellStyle name="集計 5 3 5 2 7 3" xfId="40785"/>
    <cellStyle name="集計 5 3 5 2 8" xfId="40786"/>
    <cellStyle name="集計 5 3 5 2 9" xfId="40787"/>
    <cellStyle name="集計 5 3 5 3" xfId="40788"/>
    <cellStyle name="集計 5 3 5 3 2" xfId="40789"/>
    <cellStyle name="集計 5 3 5 3 2 2" xfId="40790"/>
    <cellStyle name="集計 5 3 5 3 2 2 2" xfId="40791"/>
    <cellStyle name="集計 5 3 5 3 2 2 3" xfId="40792"/>
    <cellStyle name="集計 5 3 5 3 2 3" xfId="40793"/>
    <cellStyle name="集計 5 3 5 3 2 3 2" xfId="40794"/>
    <cellStyle name="集計 5 3 5 3 2 3 3" xfId="40795"/>
    <cellStyle name="集計 5 3 5 3 2 4" xfId="40796"/>
    <cellStyle name="集計 5 3 5 3 2 4 2" xfId="40797"/>
    <cellStyle name="集計 5 3 5 3 2 4 3" xfId="40798"/>
    <cellStyle name="集計 5 3 5 3 2 5" xfId="40799"/>
    <cellStyle name="集計 5 3 5 3 2 6" xfId="40800"/>
    <cellStyle name="集計 5 3 5 3 3" xfId="40801"/>
    <cellStyle name="集計 5 3 5 3 3 2" xfId="40802"/>
    <cellStyle name="集計 5 3 5 3 3 3" xfId="40803"/>
    <cellStyle name="集計 5 3 5 3 4" xfId="40804"/>
    <cellStyle name="集計 5 3 5 3 4 2" xfId="40805"/>
    <cellStyle name="集計 5 3 5 3 4 3" xfId="40806"/>
    <cellStyle name="集計 5 3 5 3 5" xfId="40807"/>
    <cellStyle name="集計 5 3 5 3 5 2" xfId="40808"/>
    <cellStyle name="集計 5 3 5 3 5 3" xfId="40809"/>
    <cellStyle name="集計 5 3 5 3 6" xfId="40810"/>
    <cellStyle name="集計 5 3 5 3 7" xfId="40811"/>
    <cellStyle name="集計 5 3 5 4" xfId="40812"/>
    <cellStyle name="集計 5 3 5 4 2" xfId="40813"/>
    <cellStyle name="集計 5 3 5 4 2 2" xfId="40814"/>
    <cellStyle name="集計 5 3 5 4 2 2 2" xfId="40815"/>
    <cellStyle name="集計 5 3 5 4 2 2 3" xfId="40816"/>
    <cellStyle name="集計 5 3 5 4 2 3" xfId="40817"/>
    <cellStyle name="集計 5 3 5 4 2 3 2" xfId="40818"/>
    <cellStyle name="集計 5 3 5 4 2 3 3" xfId="40819"/>
    <cellStyle name="集計 5 3 5 4 2 4" xfId="40820"/>
    <cellStyle name="集計 5 3 5 4 2 4 2" xfId="40821"/>
    <cellStyle name="集計 5 3 5 4 2 4 3" xfId="40822"/>
    <cellStyle name="集計 5 3 5 4 2 5" xfId="40823"/>
    <cellStyle name="集計 5 3 5 4 2 6" xfId="40824"/>
    <cellStyle name="集計 5 3 5 4 3" xfId="40825"/>
    <cellStyle name="集計 5 3 5 4 3 2" xfId="40826"/>
    <cellStyle name="集計 5 3 5 4 3 3" xfId="40827"/>
    <cellStyle name="集計 5 3 5 4 4" xfId="40828"/>
    <cellStyle name="集計 5 3 5 4 4 2" xfId="40829"/>
    <cellStyle name="集計 5 3 5 4 4 3" xfId="40830"/>
    <cellStyle name="集計 5 3 5 4 5" xfId="40831"/>
    <cellStyle name="集計 5 3 5 4 5 2" xfId="40832"/>
    <cellStyle name="集計 5 3 5 4 5 3" xfId="40833"/>
    <cellStyle name="集計 5 3 5 4 6" xfId="40834"/>
    <cellStyle name="集計 5 3 5 4 7" xfId="40835"/>
    <cellStyle name="集計 5 3 5 5" xfId="40836"/>
    <cellStyle name="集計 5 3 5 5 2" xfId="40837"/>
    <cellStyle name="集計 5 3 5 5 2 2" xfId="40838"/>
    <cellStyle name="集計 5 3 5 5 2 3" xfId="40839"/>
    <cellStyle name="集計 5 3 5 5 3" xfId="40840"/>
    <cellStyle name="集計 5 3 5 5 3 2" xfId="40841"/>
    <cellStyle name="集計 5 3 5 5 3 3" xfId="40842"/>
    <cellStyle name="集計 5 3 5 5 4" xfId="40843"/>
    <cellStyle name="集計 5 3 5 5 4 2" xfId="40844"/>
    <cellStyle name="集計 5 3 5 5 4 3" xfId="40845"/>
    <cellStyle name="集計 5 3 5 5 5" xfId="40846"/>
    <cellStyle name="集計 5 3 5 5 6" xfId="40847"/>
    <cellStyle name="集計 5 3 5 6" xfId="40848"/>
    <cellStyle name="集計 5 3 5 6 2" xfId="40849"/>
    <cellStyle name="集計 5 3 5 6 3" xfId="40850"/>
    <cellStyle name="集計 5 3 5 7" xfId="40851"/>
    <cellStyle name="集計 5 3 5 7 2" xfId="40852"/>
    <cellStyle name="集計 5 3 5 7 3" xfId="40853"/>
    <cellStyle name="集計 5 3 5 8" xfId="40854"/>
    <cellStyle name="集計 5 3 5 8 2" xfId="40855"/>
    <cellStyle name="集計 5 3 5 8 3" xfId="40856"/>
    <cellStyle name="集計 5 3 5 9" xfId="40857"/>
    <cellStyle name="集計 5 3 6" xfId="40858"/>
    <cellStyle name="集計 5 3 6 10" xfId="40859"/>
    <cellStyle name="集計 5 3 6 2" xfId="40860"/>
    <cellStyle name="集計 5 3 6 2 2" xfId="40861"/>
    <cellStyle name="集計 5 3 6 2 2 2" xfId="40862"/>
    <cellStyle name="集計 5 3 6 2 2 2 2" xfId="40863"/>
    <cellStyle name="集計 5 3 6 2 2 2 2 2" xfId="40864"/>
    <cellStyle name="集計 5 3 6 2 2 2 2 3" xfId="40865"/>
    <cellStyle name="集計 5 3 6 2 2 2 3" xfId="40866"/>
    <cellStyle name="集計 5 3 6 2 2 2 3 2" xfId="40867"/>
    <cellStyle name="集計 5 3 6 2 2 2 3 3" xfId="40868"/>
    <cellStyle name="集計 5 3 6 2 2 2 4" xfId="40869"/>
    <cellStyle name="集計 5 3 6 2 2 2 4 2" xfId="40870"/>
    <cellStyle name="集計 5 3 6 2 2 2 4 3" xfId="40871"/>
    <cellStyle name="集計 5 3 6 2 2 2 5" xfId="40872"/>
    <cellStyle name="集計 5 3 6 2 2 2 6" xfId="40873"/>
    <cellStyle name="集計 5 3 6 2 2 3" xfId="40874"/>
    <cellStyle name="集計 5 3 6 2 2 3 2" xfId="40875"/>
    <cellStyle name="集計 5 3 6 2 2 3 3" xfId="40876"/>
    <cellStyle name="集計 5 3 6 2 2 4" xfId="40877"/>
    <cellStyle name="集計 5 3 6 2 2 4 2" xfId="40878"/>
    <cellStyle name="集計 5 3 6 2 2 4 3" xfId="40879"/>
    <cellStyle name="集計 5 3 6 2 2 5" xfId="40880"/>
    <cellStyle name="集計 5 3 6 2 2 5 2" xfId="40881"/>
    <cellStyle name="集計 5 3 6 2 2 5 3" xfId="40882"/>
    <cellStyle name="集計 5 3 6 2 2 6" xfId="40883"/>
    <cellStyle name="集計 5 3 6 2 2 7" xfId="40884"/>
    <cellStyle name="集計 5 3 6 2 3" xfId="40885"/>
    <cellStyle name="集計 5 3 6 2 3 2" xfId="40886"/>
    <cellStyle name="集計 5 3 6 2 3 2 2" xfId="40887"/>
    <cellStyle name="集計 5 3 6 2 3 2 2 2" xfId="40888"/>
    <cellStyle name="集計 5 3 6 2 3 2 2 3" xfId="40889"/>
    <cellStyle name="集計 5 3 6 2 3 2 3" xfId="40890"/>
    <cellStyle name="集計 5 3 6 2 3 2 3 2" xfId="40891"/>
    <cellStyle name="集計 5 3 6 2 3 2 3 3" xfId="40892"/>
    <cellStyle name="集計 5 3 6 2 3 2 4" xfId="40893"/>
    <cellStyle name="集計 5 3 6 2 3 2 4 2" xfId="40894"/>
    <cellStyle name="集計 5 3 6 2 3 2 4 3" xfId="40895"/>
    <cellStyle name="集計 5 3 6 2 3 2 5" xfId="40896"/>
    <cellStyle name="集計 5 3 6 2 3 2 6" xfId="40897"/>
    <cellStyle name="集計 5 3 6 2 3 3" xfId="40898"/>
    <cellStyle name="集計 5 3 6 2 3 3 2" xfId="40899"/>
    <cellStyle name="集計 5 3 6 2 3 3 3" xfId="40900"/>
    <cellStyle name="集計 5 3 6 2 3 4" xfId="40901"/>
    <cellStyle name="集計 5 3 6 2 3 4 2" xfId="40902"/>
    <cellStyle name="集計 5 3 6 2 3 4 3" xfId="40903"/>
    <cellStyle name="集計 5 3 6 2 3 5" xfId="40904"/>
    <cellStyle name="集計 5 3 6 2 3 5 2" xfId="40905"/>
    <cellStyle name="集計 5 3 6 2 3 5 3" xfId="40906"/>
    <cellStyle name="集計 5 3 6 2 3 6" xfId="40907"/>
    <cellStyle name="集計 5 3 6 2 3 7" xfId="40908"/>
    <cellStyle name="集計 5 3 6 2 4" xfId="40909"/>
    <cellStyle name="集計 5 3 6 2 4 2" xfId="40910"/>
    <cellStyle name="集計 5 3 6 2 4 2 2" xfId="40911"/>
    <cellStyle name="集計 5 3 6 2 4 2 3" xfId="40912"/>
    <cellStyle name="集計 5 3 6 2 4 3" xfId="40913"/>
    <cellStyle name="集計 5 3 6 2 4 3 2" xfId="40914"/>
    <cellStyle name="集計 5 3 6 2 4 3 3" xfId="40915"/>
    <cellStyle name="集計 5 3 6 2 4 4" xfId="40916"/>
    <cellStyle name="集計 5 3 6 2 4 4 2" xfId="40917"/>
    <cellStyle name="集計 5 3 6 2 4 4 3" xfId="40918"/>
    <cellStyle name="集計 5 3 6 2 4 5" xfId="40919"/>
    <cellStyle name="集計 5 3 6 2 4 6" xfId="40920"/>
    <cellStyle name="集計 5 3 6 2 5" xfId="40921"/>
    <cellStyle name="集計 5 3 6 2 5 2" xfId="40922"/>
    <cellStyle name="集計 5 3 6 2 5 3" xfId="40923"/>
    <cellStyle name="集計 5 3 6 2 6" xfId="40924"/>
    <cellStyle name="集計 5 3 6 2 6 2" xfId="40925"/>
    <cellStyle name="集計 5 3 6 2 6 3" xfId="40926"/>
    <cellStyle name="集計 5 3 6 2 7" xfId="40927"/>
    <cellStyle name="集計 5 3 6 2 7 2" xfId="40928"/>
    <cellStyle name="集計 5 3 6 2 7 3" xfId="40929"/>
    <cellStyle name="集計 5 3 6 2 8" xfId="40930"/>
    <cellStyle name="集計 5 3 6 2 9" xfId="40931"/>
    <cellStyle name="集計 5 3 6 3" xfId="40932"/>
    <cellStyle name="集計 5 3 6 3 2" xfId="40933"/>
    <cellStyle name="集計 5 3 6 3 2 2" xfId="40934"/>
    <cellStyle name="集計 5 3 6 3 2 2 2" xfId="40935"/>
    <cellStyle name="集計 5 3 6 3 2 2 3" xfId="40936"/>
    <cellStyle name="集計 5 3 6 3 2 3" xfId="40937"/>
    <cellStyle name="集計 5 3 6 3 2 3 2" xfId="40938"/>
    <cellStyle name="集計 5 3 6 3 2 3 3" xfId="40939"/>
    <cellStyle name="集計 5 3 6 3 2 4" xfId="40940"/>
    <cellStyle name="集計 5 3 6 3 2 4 2" xfId="40941"/>
    <cellStyle name="集計 5 3 6 3 2 4 3" xfId="40942"/>
    <cellStyle name="集計 5 3 6 3 2 5" xfId="40943"/>
    <cellStyle name="集計 5 3 6 3 2 6" xfId="40944"/>
    <cellStyle name="集計 5 3 6 3 3" xfId="40945"/>
    <cellStyle name="集計 5 3 6 3 3 2" xfId="40946"/>
    <cellStyle name="集計 5 3 6 3 3 3" xfId="40947"/>
    <cellStyle name="集計 5 3 6 3 4" xfId="40948"/>
    <cellStyle name="集計 5 3 6 3 4 2" xfId="40949"/>
    <cellStyle name="集計 5 3 6 3 4 3" xfId="40950"/>
    <cellStyle name="集計 5 3 6 3 5" xfId="40951"/>
    <cellStyle name="集計 5 3 6 3 5 2" xfId="40952"/>
    <cellStyle name="集計 5 3 6 3 5 3" xfId="40953"/>
    <cellStyle name="集計 5 3 6 3 6" xfId="40954"/>
    <cellStyle name="集計 5 3 6 3 7" xfId="40955"/>
    <cellStyle name="集計 5 3 6 4" xfId="40956"/>
    <cellStyle name="集計 5 3 6 4 2" xfId="40957"/>
    <cellStyle name="集計 5 3 6 4 2 2" xfId="40958"/>
    <cellStyle name="集計 5 3 6 4 2 2 2" xfId="40959"/>
    <cellStyle name="集計 5 3 6 4 2 2 3" xfId="40960"/>
    <cellStyle name="集計 5 3 6 4 2 3" xfId="40961"/>
    <cellStyle name="集計 5 3 6 4 2 3 2" xfId="40962"/>
    <cellStyle name="集計 5 3 6 4 2 3 3" xfId="40963"/>
    <cellStyle name="集計 5 3 6 4 2 4" xfId="40964"/>
    <cellStyle name="集計 5 3 6 4 2 4 2" xfId="40965"/>
    <cellStyle name="集計 5 3 6 4 2 4 3" xfId="40966"/>
    <cellStyle name="集計 5 3 6 4 2 5" xfId="40967"/>
    <cellStyle name="集計 5 3 6 4 2 6" xfId="40968"/>
    <cellStyle name="集計 5 3 6 4 3" xfId="40969"/>
    <cellStyle name="集計 5 3 6 4 3 2" xfId="40970"/>
    <cellStyle name="集計 5 3 6 4 3 3" xfId="40971"/>
    <cellStyle name="集計 5 3 6 4 4" xfId="40972"/>
    <cellStyle name="集計 5 3 6 4 4 2" xfId="40973"/>
    <cellStyle name="集計 5 3 6 4 4 3" xfId="40974"/>
    <cellStyle name="集計 5 3 6 4 5" xfId="40975"/>
    <cellStyle name="集計 5 3 6 4 5 2" xfId="40976"/>
    <cellStyle name="集計 5 3 6 4 5 3" xfId="40977"/>
    <cellStyle name="集計 5 3 6 4 6" xfId="40978"/>
    <cellStyle name="集計 5 3 6 4 7" xfId="40979"/>
    <cellStyle name="集計 5 3 6 5" xfId="40980"/>
    <cellStyle name="集計 5 3 6 5 2" xfId="40981"/>
    <cellStyle name="集計 5 3 6 5 2 2" xfId="40982"/>
    <cellStyle name="集計 5 3 6 5 2 3" xfId="40983"/>
    <cellStyle name="集計 5 3 6 5 3" xfId="40984"/>
    <cellStyle name="集計 5 3 6 5 3 2" xfId="40985"/>
    <cellStyle name="集計 5 3 6 5 3 3" xfId="40986"/>
    <cellStyle name="集計 5 3 6 5 4" xfId="40987"/>
    <cellStyle name="集計 5 3 6 5 4 2" xfId="40988"/>
    <cellStyle name="集計 5 3 6 5 4 3" xfId="40989"/>
    <cellStyle name="集計 5 3 6 5 5" xfId="40990"/>
    <cellStyle name="集計 5 3 6 5 6" xfId="40991"/>
    <cellStyle name="集計 5 3 6 6" xfId="40992"/>
    <cellStyle name="集計 5 3 6 6 2" xfId="40993"/>
    <cellStyle name="集計 5 3 6 6 3" xfId="40994"/>
    <cellStyle name="集計 5 3 6 7" xfId="40995"/>
    <cellStyle name="集計 5 3 6 7 2" xfId="40996"/>
    <cellStyle name="集計 5 3 6 7 3" xfId="40997"/>
    <cellStyle name="集計 5 3 6 8" xfId="40998"/>
    <cellStyle name="集計 5 3 6 8 2" xfId="40999"/>
    <cellStyle name="集計 5 3 6 8 3" xfId="41000"/>
    <cellStyle name="集計 5 3 6 9" xfId="41001"/>
    <cellStyle name="集計 5 3 7" xfId="41002"/>
    <cellStyle name="集計 5 3 7 2" xfId="41003"/>
    <cellStyle name="集計 5 3 7 2 2" xfId="41004"/>
    <cellStyle name="集計 5 3 7 2 2 2" xfId="41005"/>
    <cellStyle name="集計 5 3 7 2 2 3" xfId="41006"/>
    <cellStyle name="集計 5 3 7 2 3" xfId="41007"/>
    <cellStyle name="集計 5 3 7 2 3 2" xfId="41008"/>
    <cellStyle name="集計 5 3 7 2 3 3" xfId="41009"/>
    <cellStyle name="集計 5 3 7 2 4" xfId="41010"/>
    <cellStyle name="集計 5 3 7 2 4 2" xfId="41011"/>
    <cellStyle name="集計 5 3 7 2 4 3" xfId="41012"/>
    <cellStyle name="集計 5 3 7 2 5" xfId="41013"/>
    <cellStyle name="集計 5 3 7 2 6" xfId="41014"/>
    <cellStyle name="集計 5 3 7 3" xfId="41015"/>
    <cellStyle name="集計 5 3 7 3 2" xfId="41016"/>
    <cellStyle name="集計 5 3 7 3 3" xfId="41017"/>
    <cellStyle name="集計 5 3 7 4" xfId="41018"/>
    <cellStyle name="集計 5 3 7 4 2" xfId="41019"/>
    <cellStyle name="集計 5 3 7 4 3" xfId="41020"/>
    <cellStyle name="集計 5 3 7 5" xfId="41021"/>
    <cellStyle name="集計 5 3 7 5 2" xfId="41022"/>
    <cellStyle name="集計 5 3 7 5 3" xfId="41023"/>
    <cellStyle name="集計 5 3 7 6" xfId="41024"/>
    <cellStyle name="集計 5 3 7 7" xfId="41025"/>
    <cellStyle name="集計 5 3 8" xfId="41026"/>
    <cellStyle name="集計 5 3 8 2" xfId="41027"/>
    <cellStyle name="集計 5 3 8 2 2" xfId="41028"/>
    <cellStyle name="集計 5 3 8 2 2 2" xfId="41029"/>
    <cellStyle name="集計 5 3 8 2 2 3" xfId="41030"/>
    <cellStyle name="集計 5 3 8 2 3" xfId="41031"/>
    <cellStyle name="集計 5 3 8 2 3 2" xfId="41032"/>
    <cellStyle name="集計 5 3 8 2 3 3" xfId="41033"/>
    <cellStyle name="集計 5 3 8 2 4" xfId="41034"/>
    <cellStyle name="集計 5 3 8 2 4 2" xfId="41035"/>
    <cellStyle name="集計 5 3 8 2 4 3" xfId="41036"/>
    <cellStyle name="集計 5 3 8 2 5" xfId="41037"/>
    <cellStyle name="集計 5 3 8 2 6" xfId="41038"/>
    <cellStyle name="集計 5 3 8 3" xfId="41039"/>
    <cellStyle name="集計 5 3 8 3 2" xfId="41040"/>
    <cellStyle name="集計 5 3 8 3 3" xfId="41041"/>
    <cellStyle name="集計 5 3 8 4" xfId="41042"/>
    <cellStyle name="集計 5 3 8 4 2" xfId="41043"/>
    <cellStyle name="集計 5 3 8 4 3" xfId="41044"/>
    <cellStyle name="集計 5 3 8 5" xfId="41045"/>
    <cellStyle name="集計 5 3 8 5 2" xfId="41046"/>
    <cellStyle name="集計 5 3 8 5 3" xfId="41047"/>
    <cellStyle name="集計 5 3 8 6" xfId="41048"/>
    <cellStyle name="集計 5 3 8 7" xfId="41049"/>
    <cellStyle name="集計 5 3 9" xfId="41050"/>
    <cellStyle name="集計 5 3 9 2" xfId="41051"/>
    <cellStyle name="集計 5 3 9 2 2" xfId="41052"/>
    <cellStyle name="集計 5 3 9 2 3" xfId="41053"/>
    <cellStyle name="集計 5 3 9 3" xfId="41054"/>
    <cellStyle name="集計 5 3 9 3 2" xfId="41055"/>
    <cellStyle name="集計 5 3 9 3 3" xfId="41056"/>
    <cellStyle name="集計 5 3 9 4" xfId="41057"/>
    <cellStyle name="集計 5 3 9 4 2" xfId="41058"/>
    <cellStyle name="集計 5 3 9 4 3" xfId="41059"/>
    <cellStyle name="集計 5 3 9 5" xfId="41060"/>
    <cellStyle name="集計 5 3 9 6" xfId="41061"/>
    <cellStyle name="集計 5 4" xfId="41062"/>
    <cellStyle name="集計 5 4 10" xfId="41063"/>
    <cellStyle name="集計 5 4 2" xfId="41064"/>
    <cellStyle name="集計 5 4 2 10" xfId="41065"/>
    <cellStyle name="集計 5 4 2 2" xfId="41066"/>
    <cellStyle name="集計 5 4 2 2 2" xfId="41067"/>
    <cellStyle name="集計 5 4 2 2 2 2" xfId="41068"/>
    <cellStyle name="集計 5 4 2 2 2 2 2" xfId="41069"/>
    <cellStyle name="集計 5 4 2 2 2 2 2 2" xfId="41070"/>
    <cellStyle name="集計 5 4 2 2 2 2 2 3" xfId="41071"/>
    <cellStyle name="集計 5 4 2 2 2 2 3" xfId="41072"/>
    <cellStyle name="集計 5 4 2 2 2 2 3 2" xfId="41073"/>
    <cellStyle name="集計 5 4 2 2 2 2 3 3" xfId="41074"/>
    <cellStyle name="集計 5 4 2 2 2 2 4" xfId="41075"/>
    <cellStyle name="集計 5 4 2 2 2 2 4 2" xfId="41076"/>
    <cellStyle name="集計 5 4 2 2 2 2 4 3" xfId="41077"/>
    <cellStyle name="集計 5 4 2 2 2 2 5" xfId="41078"/>
    <cellStyle name="集計 5 4 2 2 2 2 6" xfId="41079"/>
    <cellStyle name="集計 5 4 2 2 2 3" xfId="41080"/>
    <cellStyle name="集計 5 4 2 2 2 3 2" xfId="41081"/>
    <cellStyle name="集計 5 4 2 2 2 3 3" xfId="41082"/>
    <cellStyle name="集計 5 4 2 2 2 4" xfId="41083"/>
    <cellStyle name="集計 5 4 2 2 2 4 2" xfId="41084"/>
    <cellStyle name="集計 5 4 2 2 2 4 3" xfId="41085"/>
    <cellStyle name="集計 5 4 2 2 2 5" xfId="41086"/>
    <cellStyle name="集計 5 4 2 2 2 5 2" xfId="41087"/>
    <cellStyle name="集計 5 4 2 2 2 5 3" xfId="41088"/>
    <cellStyle name="集計 5 4 2 2 2 6" xfId="41089"/>
    <cellStyle name="集計 5 4 2 2 2 7" xfId="41090"/>
    <cellStyle name="集計 5 4 2 2 3" xfId="41091"/>
    <cellStyle name="集計 5 4 2 2 3 2" xfId="41092"/>
    <cellStyle name="集計 5 4 2 2 3 2 2" xfId="41093"/>
    <cellStyle name="集計 5 4 2 2 3 2 2 2" xfId="41094"/>
    <cellStyle name="集計 5 4 2 2 3 2 2 3" xfId="41095"/>
    <cellStyle name="集計 5 4 2 2 3 2 3" xfId="41096"/>
    <cellStyle name="集計 5 4 2 2 3 2 3 2" xfId="41097"/>
    <cellStyle name="集計 5 4 2 2 3 2 3 3" xfId="41098"/>
    <cellStyle name="集計 5 4 2 2 3 2 4" xfId="41099"/>
    <cellStyle name="集計 5 4 2 2 3 2 4 2" xfId="41100"/>
    <cellStyle name="集計 5 4 2 2 3 2 4 3" xfId="41101"/>
    <cellStyle name="集計 5 4 2 2 3 2 5" xfId="41102"/>
    <cellStyle name="集計 5 4 2 2 3 2 6" xfId="41103"/>
    <cellStyle name="集計 5 4 2 2 3 3" xfId="41104"/>
    <cellStyle name="集計 5 4 2 2 3 3 2" xfId="41105"/>
    <cellStyle name="集計 5 4 2 2 3 3 3" xfId="41106"/>
    <cellStyle name="集計 5 4 2 2 3 4" xfId="41107"/>
    <cellStyle name="集計 5 4 2 2 3 4 2" xfId="41108"/>
    <cellStyle name="集計 5 4 2 2 3 4 3" xfId="41109"/>
    <cellStyle name="集計 5 4 2 2 3 5" xfId="41110"/>
    <cellStyle name="集計 5 4 2 2 3 5 2" xfId="41111"/>
    <cellStyle name="集計 5 4 2 2 3 5 3" xfId="41112"/>
    <cellStyle name="集計 5 4 2 2 3 6" xfId="41113"/>
    <cellStyle name="集計 5 4 2 2 3 7" xfId="41114"/>
    <cellStyle name="集計 5 4 2 2 4" xfId="41115"/>
    <cellStyle name="集計 5 4 2 2 4 2" xfId="41116"/>
    <cellStyle name="集計 5 4 2 2 4 2 2" xfId="41117"/>
    <cellStyle name="集計 5 4 2 2 4 2 3" xfId="41118"/>
    <cellStyle name="集計 5 4 2 2 4 3" xfId="41119"/>
    <cellStyle name="集計 5 4 2 2 4 3 2" xfId="41120"/>
    <cellStyle name="集計 5 4 2 2 4 3 3" xfId="41121"/>
    <cellStyle name="集計 5 4 2 2 4 4" xfId="41122"/>
    <cellStyle name="集計 5 4 2 2 4 4 2" xfId="41123"/>
    <cellStyle name="集計 5 4 2 2 4 4 3" xfId="41124"/>
    <cellStyle name="集計 5 4 2 2 4 5" xfId="41125"/>
    <cellStyle name="集計 5 4 2 2 4 6" xfId="41126"/>
    <cellStyle name="集計 5 4 2 2 5" xfId="41127"/>
    <cellStyle name="集計 5 4 2 2 5 2" xfId="41128"/>
    <cellStyle name="集計 5 4 2 2 5 3" xfId="41129"/>
    <cellStyle name="集計 5 4 2 2 6" xfId="41130"/>
    <cellStyle name="集計 5 4 2 2 6 2" xfId="41131"/>
    <cellStyle name="集計 5 4 2 2 6 3" xfId="41132"/>
    <cellStyle name="集計 5 4 2 2 7" xfId="41133"/>
    <cellStyle name="集計 5 4 2 2 7 2" xfId="41134"/>
    <cellStyle name="集計 5 4 2 2 7 3" xfId="41135"/>
    <cellStyle name="集計 5 4 2 2 8" xfId="41136"/>
    <cellStyle name="集計 5 4 2 2 9" xfId="41137"/>
    <cellStyle name="集計 5 4 2 3" xfId="41138"/>
    <cellStyle name="集計 5 4 2 3 2" xfId="41139"/>
    <cellStyle name="集計 5 4 2 3 2 2" xfId="41140"/>
    <cellStyle name="集計 5 4 2 3 2 2 2" xfId="41141"/>
    <cellStyle name="集計 5 4 2 3 2 2 3" xfId="41142"/>
    <cellStyle name="集計 5 4 2 3 2 3" xfId="41143"/>
    <cellStyle name="集計 5 4 2 3 2 3 2" xfId="41144"/>
    <cellStyle name="集計 5 4 2 3 2 3 3" xfId="41145"/>
    <cellStyle name="集計 5 4 2 3 2 4" xfId="41146"/>
    <cellStyle name="集計 5 4 2 3 2 4 2" xfId="41147"/>
    <cellStyle name="集計 5 4 2 3 2 4 3" xfId="41148"/>
    <cellStyle name="集計 5 4 2 3 2 5" xfId="41149"/>
    <cellStyle name="集計 5 4 2 3 2 6" xfId="41150"/>
    <cellStyle name="集計 5 4 2 3 3" xfId="41151"/>
    <cellStyle name="集計 5 4 2 3 3 2" xfId="41152"/>
    <cellStyle name="集計 5 4 2 3 3 3" xfId="41153"/>
    <cellStyle name="集計 5 4 2 3 4" xfId="41154"/>
    <cellStyle name="集計 5 4 2 3 4 2" xfId="41155"/>
    <cellStyle name="集計 5 4 2 3 4 3" xfId="41156"/>
    <cellStyle name="集計 5 4 2 3 5" xfId="41157"/>
    <cellStyle name="集計 5 4 2 3 5 2" xfId="41158"/>
    <cellStyle name="集計 5 4 2 3 5 3" xfId="41159"/>
    <cellStyle name="集計 5 4 2 3 6" xfId="41160"/>
    <cellStyle name="集計 5 4 2 3 7" xfId="41161"/>
    <cellStyle name="集計 5 4 2 4" xfId="41162"/>
    <cellStyle name="集計 5 4 2 4 2" xfId="41163"/>
    <cellStyle name="集計 5 4 2 4 2 2" xfId="41164"/>
    <cellStyle name="集計 5 4 2 4 2 2 2" xfId="41165"/>
    <cellStyle name="集計 5 4 2 4 2 2 3" xfId="41166"/>
    <cellStyle name="集計 5 4 2 4 2 3" xfId="41167"/>
    <cellStyle name="集計 5 4 2 4 2 3 2" xfId="41168"/>
    <cellStyle name="集計 5 4 2 4 2 3 3" xfId="41169"/>
    <cellStyle name="集計 5 4 2 4 2 4" xfId="41170"/>
    <cellStyle name="集計 5 4 2 4 2 4 2" xfId="41171"/>
    <cellStyle name="集計 5 4 2 4 2 4 3" xfId="41172"/>
    <cellStyle name="集計 5 4 2 4 2 5" xfId="41173"/>
    <cellStyle name="集計 5 4 2 4 2 6" xfId="41174"/>
    <cellStyle name="集計 5 4 2 4 3" xfId="41175"/>
    <cellStyle name="集計 5 4 2 4 3 2" xfId="41176"/>
    <cellStyle name="集計 5 4 2 4 3 3" xfId="41177"/>
    <cellStyle name="集計 5 4 2 4 4" xfId="41178"/>
    <cellStyle name="集計 5 4 2 4 4 2" xfId="41179"/>
    <cellStyle name="集計 5 4 2 4 4 3" xfId="41180"/>
    <cellStyle name="集計 5 4 2 4 5" xfId="41181"/>
    <cellStyle name="集計 5 4 2 4 5 2" xfId="41182"/>
    <cellStyle name="集計 5 4 2 4 5 3" xfId="41183"/>
    <cellStyle name="集計 5 4 2 4 6" xfId="41184"/>
    <cellStyle name="集計 5 4 2 4 7" xfId="41185"/>
    <cellStyle name="集計 5 4 2 5" xfId="41186"/>
    <cellStyle name="集計 5 4 2 5 2" xfId="41187"/>
    <cellStyle name="集計 5 4 2 5 2 2" xfId="41188"/>
    <cellStyle name="集計 5 4 2 5 2 3" xfId="41189"/>
    <cellStyle name="集計 5 4 2 5 3" xfId="41190"/>
    <cellStyle name="集計 5 4 2 5 3 2" xfId="41191"/>
    <cellStyle name="集計 5 4 2 5 3 3" xfId="41192"/>
    <cellStyle name="集計 5 4 2 5 4" xfId="41193"/>
    <cellStyle name="集計 5 4 2 5 4 2" xfId="41194"/>
    <cellStyle name="集計 5 4 2 5 4 3" xfId="41195"/>
    <cellStyle name="集計 5 4 2 5 5" xfId="41196"/>
    <cellStyle name="集計 5 4 2 5 6" xfId="41197"/>
    <cellStyle name="集計 5 4 2 6" xfId="41198"/>
    <cellStyle name="集計 5 4 2 6 2" xfId="41199"/>
    <cellStyle name="集計 5 4 2 6 3" xfId="41200"/>
    <cellStyle name="集計 5 4 2 7" xfId="41201"/>
    <cellStyle name="集計 5 4 2 7 2" xfId="41202"/>
    <cellStyle name="集計 5 4 2 7 3" xfId="41203"/>
    <cellStyle name="集計 5 4 2 8" xfId="41204"/>
    <cellStyle name="集計 5 4 2 8 2" xfId="41205"/>
    <cellStyle name="集計 5 4 2 8 3" xfId="41206"/>
    <cellStyle name="集計 5 4 2 9" xfId="41207"/>
    <cellStyle name="集計 5 4 3" xfId="41208"/>
    <cellStyle name="集計 5 4 3 2" xfId="41209"/>
    <cellStyle name="集計 5 4 3 2 2" xfId="41210"/>
    <cellStyle name="集計 5 4 3 2 2 2" xfId="41211"/>
    <cellStyle name="集計 5 4 3 2 2 3" xfId="41212"/>
    <cellStyle name="集計 5 4 3 2 3" xfId="41213"/>
    <cellStyle name="集計 5 4 3 2 3 2" xfId="41214"/>
    <cellStyle name="集計 5 4 3 2 3 3" xfId="41215"/>
    <cellStyle name="集計 5 4 3 2 4" xfId="41216"/>
    <cellStyle name="集計 5 4 3 2 4 2" xfId="41217"/>
    <cellStyle name="集計 5 4 3 2 4 3" xfId="41218"/>
    <cellStyle name="集計 5 4 3 2 5" xfId="41219"/>
    <cellStyle name="集計 5 4 3 2 6" xfId="41220"/>
    <cellStyle name="集計 5 4 3 3" xfId="41221"/>
    <cellStyle name="集計 5 4 3 3 2" xfId="41222"/>
    <cellStyle name="集計 5 4 3 3 3" xfId="41223"/>
    <cellStyle name="集計 5 4 3 4" xfId="41224"/>
    <cellStyle name="集計 5 4 3 4 2" xfId="41225"/>
    <cellStyle name="集計 5 4 3 4 3" xfId="41226"/>
    <cellStyle name="集計 5 4 3 5" xfId="41227"/>
    <cellStyle name="集計 5 4 3 5 2" xfId="41228"/>
    <cellStyle name="集計 5 4 3 5 3" xfId="41229"/>
    <cellStyle name="集計 5 4 3 6" xfId="41230"/>
    <cellStyle name="集計 5 4 3 7" xfId="41231"/>
    <cellStyle name="集計 5 4 4" xfId="41232"/>
    <cellStyle name="集計 5 4 4 2" xfId="41233"/>
    <cellStyle name="集計 5 4 4 2 2" xfId="41234"/>
    <cellStyle name="集計 5 4 4 2 2 2" xfId="41235"/>
    <cellStyle name="集計 5 4 4 2 2 3" xfId="41236"/>
    <cellStyle name="集計 5 4 4 2 3" xfId="41237"/>
    <cellStyle name="集計 5 4 4 2 3 2" xfId="41238"/>
    <cellStyle name="集計 5 4 4 2 3 3" xfId="41239"/>
    <cellStyle name="集計 5 4 4 2 4" xfId="41240"/>
    <cellStyle name="集計 5 4 4 2 4 2" xfId="41241"/>
    <cellStyle name="集計 5 4 4 2 4 3" xfId="41242"/>
    <cellStyle name="集計 5 4 4 2 5" xfId="41243"/>
    <cellStyle name="集計 5 4 4 2 6" xfId="41244"/>
    <cellStyle name="集計 5 4 4 3" xfId="41245"/>
    <cellStyle name="集計 5 4 4 3 2" xfId="41246"/>
    <cellStyle name="集計 5 4 4 3 3" xfId="41247"/>
    <cellStyle name="集計 5 4 4 4" xfId="41248"/>
    <cellStyle name="集計 5 4 4 4 2" xfId="41249"/>
    <cellStyle name="集計 5 4 4 4 3" xfId="41250"/>
    <cellStyle name="集計 5 4 4 5" xfId="41251"/>
    <cellStyle name="集計 5 4 4 5 2" xfId="41252"/>
    <cellStyle name="集計 5 4 4 5 3" xfId="41253"/>
    <cellStyle name="集計 5 4 4 6" xfId="41254"/>
    <cellStyle name="集計 5 4 4 7" xfId="41255"/>
    <cellStyle name="集計 5 4 5" xfId="41256"/>
    <cellStyle name="集計 5 4 5 2" xfId="41257"/>
    <cellStyle name="集計 5 4 5 2 2" xfId="41258"/>
    <cellStyle name="集計 5 4 5 2 3" xfId="41259"/>
    <cellStyle name="集計 5 4 5 3" xfId="41260"/>
    <cellStyle name="集計 5 4 5 3 2" xfId="41261"/>
    <cellStyle name="集計 5 4 5 3 3" xfId="41262"/>
    <cellStyle name="集計 5 4 5 4" xfId="41263"/>
    <cellStyle name="集計 5 4 5 4 2" xfId="41264"/>
    <cellStyle name="集計 5 4 5 4 3" xfId="41265"/>
    <cellStyle name="集計 5 4 5 5" xfId="41266"/>
    <cellStyle name="集計 5 4 5 6" xfId="41267"/>
    <cellStyle name="集計 5 4 6" xfId="41268"/>
    <cellStyle name="集計 5 4 6 2" xfId="41269"/>
    <cellStyle name="集計 5 4 6 3" xfId="41270"/>
    <cellStyle name="集計 5 4 7" xfId="41271"/>
    <cellStyle name="集計 5 4 7 2" xfId="41272"/>
    <cellStyle name="集計 5 4 7 3" xfId="41273"/>
    <cellStyle name="集計 5 4 8" xfId="41274"/>
    <cellStyle name="集計 5 4 8 2" xfId="41275"/>
    <cellStyle name="集計 5 4 8 3" xfId="41276"/>
    <cellStyle name="集計 5 4 9" xfId="41277"/>
    <cellStyle name="集計 5 5" xfId="41278"/>
    <cellStyle name="集計 5 5 10" xfId="41279"/>
    <cellStyle name="集計 5 5 2" xfId="41280"/>
    <cellStyle name="集計 5 5 2 10" xfId="41281"/>
    <cellStyle name="集計 5 5 2 2" xfId="41282"/>
    <cellStyle name="集計 5 5 2 2 2" xfId="41283"/>
    <cellStyle name="集計 5 5 2 2 2 2" xfId="41284"/>
    <cellStyle name="集計 5 5 2 2 2 2 2" xfId="41285"/>
    <cellStyle name="集計 5 5 2 2 2 2 2 2" xfId="41286"/>
    <cellStyle name="集計 5 5 2 2 2 2 2 3" xfId="41287"/>
    <cellStyle name="集計 5 5 2 2 2 2 3" xfId="41288"/>
    <cellStyle name="集計 5 5 2 2 2 2 3 2" xfId="41289"/>
    <cellStyle name="集計 5 5 2 2 2 2 3 3" xfId="41290"/>
    <cellStyle name="集計 5 5 2 2 2 2 4" xfId="41291"/>
    <cellStyle name="集計 5 5 2 2 2 2 4 2" xfId="41292"/>
    <cellStyle name="集計 5 5 2 2 2 2 4 3" xfId="41293"/>
    <cellStyle name="集計 5 5 2 2 2 2 5" xfId="41294"/>
    <cellStyle name="集計 5 5 2 2 2 2 6" xfId="41295"/>
    <cellStyle name="集計 5 5 2 2 2 3" xfId="41296"/>
    <cellStyle name="集計 5 5 2 2 2 3 2" xfId="41297"/>
    <cellStyle name="集計 5 5 2 2 2 3 3" xfId="41298"/>
    <cellStyle name="集計 5 5 2 2 2 4" xfId="41299"/>
    <cellStyle name="集計 5 5 2 2 2 4 2" xfId="41300"/>
    <cellStyle name="集計 5 5 2 2 2 4 3" xfId="41301"/>
    <cellStyle name="集計 5 5 2 2 2 5" xfId="41302"/>
    <cellStyle name="集計 5 5 2 2 2 5 2" xfId="41303"/>
    <cellStyle name="集計 5 5 2 2 2 5 3" xfId="41304"/>
    <cellStyle name="集計 5 5 2 2 2 6" xfId="41305"/>
    <cellStyle name="集計 5 5 2 2 2 7" xfId="41306"/>
    <cellStyle name="集計 5 5 2 2 3" xfId="41307"/>
    <cellStyle name="集計 5 5 2 2 3 2" xfId="41308"/>
    <cellStyle name="集計 5 5 2 2 3 2 2" xfId="41309"/>
    <cellStyle name="集計 5 5 2 2 3 2 2 2" xfId="41310"/>
    <cellStyle name="集計 5 5 2 2 3 2 2 3" xfId="41311"/>
    <cellStyle name="集計 5 5 2 2 3 2 3" xfId="41312"/>
    <cellStyle name="集計 5 5 2 2 3 2 3 2" xfId="41313"/>
    <cellStyle name="集計 5 5 2 2 3 2 3 3" xfId="41314"/>
    <cellStyle name="集計 5 5 2 2 3 2 4" xfId="41315"/>
    <cellStyle name="集計 5 5 2 2 3 2 4 2" xfId="41316"/>
    <cellStyle name="集計 5 5 2 2 3 2 4 3" xfId="41317"/>
    <cellStyle name="集計 5 5 2 2 3 2 5" xfId="41318"/>
    <cellStyle name="集計 5 5 2 2 3 2 6" xfId="41319"/>
    <cellStyle name="集計 5 5 2 2 3 3" xfId="41320"/>
    <cellStyle name="集計 5 5 2 2 3 3 2" xfId="41321"/>
    <cellStyle name="集計 5 5 2 2 3 3 3" xfId="41322"/>
    <cellStyle name="集計 5 5 2 2 3 4" xfId="41323"/>
    <cellStyle name="集計 5 5 2 2 3 4 2" xfId="41324"/>
    <cellStyle name="集計 5 5 2 2 3 4 3" xfId="41325"/>
    <cellStyle name="集計 5 5 2 2 3 5" xfId="41326"/>
    <cellStyle name="集計 5 5 2 2 3 5 2" xfId="41327"/>
    <cellStyle name="集計 5 5 2 2 3 5 3" xfId="41328"/>
    <cellStyle name="集計 5 5 2 2 3 6" xfId="41329"/>
    <cellStyle name="集計 5 5 2 2 3 7" xfId="41330"/>
    <cellStyle name="集計 5 5 2 2 4" xfId="41331"/>
    <cellStyle name="集計 5 5 2 2 4 2" xfId="41332"/>
    <cellStyle name="集計 5 5 2 2 4 2 2" xfId="41333"/>
    <cellStyle name="集計 5 5 2 2 4 2 3" xfId="41334"/>
    <cellStyle name="集計 5 5 2 2 4 3" xfId="41335"/>
    <cellStyle name="集計 5 5 2 2 4 3 2" xfId="41336"/>
    <cellStyle name="集計 5 5 2 2 4 3 3" xfId="41337"/>
    <cellStyle name="集計 5 5 2 2 4 4" xfId="41338"/>
    <cellStyle name="集計 5 5 2 2 4 4 2" xfId="41339"/>
    <cellStyle name="集計 5 5 2 2 4 4 3" xfId="41340"/>
    <cellStyle name="集計 5 5 2 2 4 5" xfId="41341"/>
    <cellStyle name="集計 5 5 2 2 4 6" xfId="41342"/>
    <cellStyle name="集計 5 5 2 2 5" xfId="41343"/>
    <cellStyle name="集計 5 5 2 2 5 2" xfId="41344"/>
    <cellStyle name="集計 5 5 2 2 5 3" xfId="41345"/>
    <cellStyle name="集計 5 5 2 2 6" xfId="41346"/>
    <cellStyle name="集計 5 5 2 2 6 2" xfId="41347"/>
    <cellStyle name="集計 5 5 2 2 6 3" xfId="41348"/>
    <cellStyle name="集計 5 5 2 2 7" xfId="41349"/>
    <cellStyle name="集計 5 5 2 2 7 2" xfId="41350"/>
    <cellStyle name="集計 5 5 2 2 7 3" xfId="41351"/>
    <cellStyle name="集計 5 5 2 2 8" xfId="41352"/>
    <cellStyle name="集計 5 5 2 2 9" xfId="41353"/>
    <cellStyle name="集計 5 5 2 3" xfId="41354"/>
    <cellStyle name="集計 5 5 2 3 2" xfId="41355"/>
    <cellStyle name="集計 5 5 2 3 2 2" xfId="41356"/>
    <cellStyle name="集計 5 5 2 3 2 2 2" xfId="41357"/>
    <cellStyle name="集計 5 5 2 3 2 2 3" xfId="41358"/>
    <cellStyle name="集計 5 5 2 3 2 3" xfId="41359"/>
    <cellStyle name="集計 5 5 2 3 2 3 2" xfId="41360"/>
    <cellStyle name="集計 5 5 2 3 2 3 3" xfId="41361"/>
    <cellStyle name="集計 5 5 2 3 2 4" xfId="41362"/>
    <cellStyle name="集計 5 5 2 3 2 4 2" xfId="41363"/>
    <cellStyle name="集計 5 5 2 3 2 4 3" xfId="41364"/>
    <cellStyle name="集計 5 5 2 3 2 5" xfId="41365"/>
    <cellStyle name="集計 5 5 2 3 2 6" xfId="41366"/>
    <cellStyle name="集計 5 5 2 3 3" xfId="41367"/>
    <cellStyle name="集計 5 5 2 3 3 2" xfId="41368"/>
    <cellStyle name="集計 5 5 2 3 3 3" xfId="41369"/>
    <cellStyle name="集計 5 5 2 3 4" xfId="41370"/>
    <cellStyle name="集計 5 5 2 3 4 2" xfId="41371"/>
    <cellStyle name="集計 5 5 2 3 4 3" xfId="41372"/>
    <cellStyle name="集計 5 5 2 3 5" xfId="41373"/>
    <cellStyle name="集計 5 5 2 3 5 2" xfId="41374"/>
    <cellStyle name="集計 5 5 2 3 5 3" xfId="41375"/>
    <cellStyle name="集計 5 5 2 3 6" xfId="41376"/>
    <cellStyle name="集計 5 5 2 3 7" xfId="41377"/>
    <cellStyle name="集計 5 5 2 4" xfId="41378"/>
    <cellStyle name="集計 5 5 2 4 2" xfId="41379"/>
    <cellStyle name="集計 5 5 2 4 2 2" xfId="41380"/>
    <cellStyle name="集計 5 5 2 4 2 2 2" xfId="41381"/>
    <cellStyle name="集計 5 5 2 4 2 2 3" xfId="41382"/>
    <cellStyle name="集計 5 5 2 4 2 3" xfId="41383"/>
    <cellStyle name="集計 5 5 2 4 2 3 2" xfId="41384"/>
    <cellStyle name="集計 5 5 2 4 2 3 3" xfId="41385"/>
    <cellStyle name="集計 5 5 2 4 2 4" xfId="41386"/>
    <cellStyle name="集計 5 5 2 4 2 4 2" xfId="41387"/>
    <cellStyle name="集計 5 5 2 4 2 4 3" xfId="41388"/>
    <cellStyle name="集計 5 5 2 4 2 5" xfId="41389"/>
    <cellStyle name="集計 5 5 2 4 2 6" xfId="41390"/>
    <cellStyle name="集計 5 5 2 4 3" xfId="41391"/>
    <cellStyle name="集計 5 5 2 4 3 2" xfId="41392"/>
    <cellStyle name="集計 5 5 2 4 3 3" xfId="41393"/>
    <cellStyle name="集計 5 5 2 4 4" xfId="41394"/>
    <cellStyle name="集計 5 5 2 4 4 2" xfId="41395"/>
    <cellStyle name="集計 5 5 2 4 4 3" xfId="41396"/>
    <cellStyle name="集計 5 5 2 4 5" xfId="41397"/>
    <cellStyle name="集計 5 5 2 4 5 2" xfId="41398"/>
    <cellStyle name="集計 5 5 2 4 5 3" xfId="41399"/>
    <cellStyle name="集計 5 5 2 4 6" xfId="41400"/>
    <cellStyle name="集計 5 5 2 4 7" xfId="41401"/>
    <cellStyle name="集計 5 5 2 5" xfId="41402"/>
    <cellStyle name="集計 5 5 2 5 2" xfId="41403"/>
    <cellStyle name="集計 5 5 2 5 2 2" xfId="41404"/>
    <cellStyle name="集計 5 5 2 5 2 3" xfId="41405"/>
    <cellStyle name="集計 5 5 2 5 3" xfId="41406"/>
    <cellStyle name="集計 5 5 2 5 3 2" xfId="41407"/>
    <cellStyle name="集計 5 5 2 5 3 3" xfId="41408"/>
    <cellStyle name="集計 5 5 2 5 4" xfId="41409"/>
    <cellStyle name="集計 5 5 2 5 4 2" xfId="41410"/>
    <cellStyle name="集計 5 5 2 5 4 3" xfId="41411"/>
    <cellStyle name="集計 5 5 2 5 5" xfId="41412"/>
    <cellStyle name="集計 5 5 2 5 6" xfId="41413"/>
    <cellStyle name="集計 5 5 2 6" xfId="41414"/>
    <cellStyle name="集計 5 5 2 6 2" xfId="41415"/>
    <cellStyle name="集計 5 5 2 6 3" xfId="41416"/>
    <cellStyle name="集計 5 5 2 7" xfId="41417"/>
    <cellStyle name="集計 5 5 2 7 2" xfId="41418"/>
    <cellStyle name="集計 5 5 2 7 3" xfId="41419"/>
    <cellStyle name="集計 5 5 2 8" xfId="41420"/>
    <cellStyle name="集計 5 5 2 8 2" xfId="41421"/>
    <cellStyle name="集計 5 5 2 8 3" xfId="41422"/>
    <cellStyle name="集計 5 5 2 9" xfId="41423"/>
    <cellStyle name="集計 5 5 3" xfId="41424"/>
    <cellStyle name="集計 5 5 3 2" xfId="41425"/>
    <cellStyle name="集計 5 5 3 2 2" xfId="41426"/>
    <cellStyle name="集計 5 5 3 2 2 2" xfId="41427"/>
    <cellStyle name="集計 5 5 3 2 2 3" xfId="41428"/>
    <cellStyle name="集計 5 5 3 2 3" xfId="41429"/>
    <cellStyle name="集計 5 5 3 2 3 2" xfId="41430"/>
    <cellStyle name="集計 5 5 3 2 3 3" xfId="41431"/>
    <cellStyle name="集計 5 5 3 2 4" xfId="41432"/>
    <cellStyle name="集計 5 5 3 2 4 2" xfId="41433"/>
    <cellStyle name="集計 5 5 3 2 4 3" xfId="41434"/>
    <cellStyle name="集計 5 5 3 2 5" xfId="41435"/>
    <cellStyle name="集計 5 5 3 2 6" xfId="41436"/>
    <cellStyle name="集計 5 5 3 3" xfId="41437"/>
    <cellStyle name="集計 5 5 3 3 2" xfId="41438"/>
    <cellStyle name="集計 5 5 3 3 3" xfId="41439"/>
    <cellStyle name="集計 5 5 3 4" xfId="41440"/>
    <cellStyle name="集計 5 5 3 4 2" xfId="41441"/>
    <cellStyle name="集計 5 5 3 4 3" xfId="41442"/>
    <cellStyle name="集計 5 5 3 5" xfId="41443"/>
    <cellStyle name="集計 5 5 3 5 2" xfId="41444"/>
    <cellStyle name="集計 5 5 3 5 3" xfId="41445"/>
    <cellStyle name="集計 5 5 3 6" xfId="41446"/>
    <cellStyle name="集計 5 5 3 7" xfId="41447"/>
    <cellStyle name="集計 5 5 4" xfId="41448"/>
    <cellStyle name="集計 5 5 4 2" xfId="41449"/>
    <cellStyle name="集計 5 5 4 2 2" xfId="41450"/>
    <cellStyle name="集計 5 5 4 2 2 2" xfId="41451"/>
    <cellStyle name="集計 5 5 4 2 2 3" xfId="41452"/>
    <cellStyle name="集計 5 5 4 2 3" xfId="41453"/>
    <cellStyle name="集計 5 5 4 2 3 2" xfId="41454"/>
    <cellStyle name="集計 5 5 4 2 3 3" xfId="41455"/>
    <cellStyle name="集計 5 5 4 2 4" xfId="41456"/>
    <cellStyle name="集計 5 5 4 2 4 2" xfId="41457"/>
    <cellStyle name="集計 5 5 4 2 4 3" xfId="41458"/>
    <cellStyle name="集計 5 5 4 2 5" xfId="41459"/>
    <cellStyle name="集計 5 5 4 2 6" xfId="41460"/>
    <cellStyle name="集計 5 5 4 3" xfId="41461"/>
    <cellStyle name="集計 5 5 4 3 2" xfId="41462"/>
    <cellStyle name="集計 5 5 4 3 3" xfId="41463"/>
    <cellStyle name="集計 5 5 4 4" xfId="41464"/>
    <cellStyle name="集計 5 5 4 4 2" xfId="41465"/>
    <cellStyle name="集計 5 5 4 4 3" xfId="41466"/>
    <cellStyle name="集計 5 5 4 5" xfId="41467"/>
    <cellStyle name="集計 5 5 4 5 2" xfId="41468"/>
    <cellStyle name="集計 5 5 4 5 3" xfId="41469"/>
    <cellStyle name="集計 5 5 4 6" xfId="41470"/>
    <cellStyle name="集計 5 5 4 7" xfId="41471"/>
    <cellStyle name="集計 5 5 5" xfId="41472"/>
    <cellStyle name="集計 5 5 5 2" xfId="41473"/>
    <cellStyle name="集計 5 5 5 2 2" xfId="41474"/>
    <cellStyle name="集計 5 5 5 2 3" xfId="41475"/>
    <cellStyle name="集計 5 5 5 3" xfId="41476"/>
    <cellStyle name="集計 5 5 5 3 2" xfId="41477"/>
    <cellStyle name="集計 5 5 5 3 3" xfId="41478"/>
    <cellStyle name="集計 5 5 5 4" xfId="41479"/>
    <cellStyle name="集計 5 5 5 4 2" xfId="41480"/>
    <cellStyle name="集計 5 5 5 4 3" xfId="41481"/>
    <cellStyle name="集計 5 5 5 5" xfId="41482"/>
    <cellStyle name="集計 5 5 5 6" xfId="41483"/>
    <cellStyle name="集計 5 5 6" xfId="41484"/>
    <cellStyle name="集計 5 5 6 2" xfId="41485"/>
    <cellStyle name="集計 5 5 6 3" xfId="41486"/>
    <cellStyle name="集計 5 5 7" xfId="41487"/>
    <cellStyle name="集計 5 5 7 2" xfId="41488"/>
    <cellStyle name="集計 5 5 7 3" xfId="41489"/>
    <cellStyle name="集計 5 5 8" xfId="41490"/>
    <cellStyle name="集計 5 5 8 2" xfId="41491"/>
    <cellStyle name="集計 5 5 8 3" xfId="41492"/>
    <cellStyle name="集計 5 5 9" xfId="41493"/>
    <cellStyle name="集計 5 6" xfId="41494"/>
    <cellStyle name="集計 5 6 10" xfId="41495"/>
    <cellStyle name="集計 5 6 2" xfId="41496"/>
    <cellStyle name="集計 5 6 2 10" xfId="41497"/>
    <cellStyle name="集計 5 6 2 2" xfId="41498"/>
    <cellStyle name="集計 5 6 2 2 2" xfId="41499"/>
    <cellStyle name="集計 5 6 2 2 2 2" xfId="41500"/>
    <cellStyle name="集計 5 6 2 2 2 2 2" xfId="41501"/>
    <cellStyle name="集計 5 6 2 2 2 2 2 2" xfId="41502"/>
    <cellStyle name="集計 5 6 2 2 2 2 2 3" xfId="41503"/>
    <cellStyle name="集計 5 6 2 2 2 2 3" xfId="41504"/>
    <cellStyle name="集計 5 6 2 2 2 2 3 2" xfId="41505"/>
    <cellStyle name="集計 5 6 2 2 2 2 3 3" xfId="41506"/>
    <cellStyle name="集計 5 6 2 2 2 2 4" xfId="41507"/>
    <cellStyle name="集計 5 6 2 2 2 2 4 2" xfId="41508"/>
    <cellStyle name="集計 5 6 2 2 2 2 4 3" xfId="41509"/>
    <cellStyle name="集計 5 6 2 2 2 2 5" xfId="41510"/>
    <cellStyle name="集計 5 6 2 2 2 2 6" xfId="41511"/>
    <cellStyle name="集計 5 6 2 2 2 3" xfId="41512"/>
    <cellStyle name="集計 5 6 2 2 2 3 2" xfId="41513"/>
    <cellStyle name="集計 5 6 2 2 2 3 3" xfId="41514"/>
    <cellStyle name="集計 5 6 2 2 2 4" xfId="41515"/>
    <cellStyle name="集計 5 6 2 2 2 4 2" xfId="41516"/>
    <cellStyle name="集計 5 6 2 2 2 4 3" xfId="41517"/>
    <cellStyle name="集計 5 6 2 2 2 5" xfId="41518"/>
    <cellStyle name="集計 5 6 2 2 2 5 2" xfId="41519"/>
    <cellStyle name="集計 5 6 2 2 2 5 3" xfId="41520"/>
    <cellStyle name="集計 5 6 2 2 2 6" xfId="41521"/>
    <cellStyle name="集計 5 6 2 2 2 7" xfId="41522"/>
    <cellStyle name="集計 5 6 2 2 3" xfId="41523"/>
    <cellStyle name="集計 5 6 2 2 3 2" xfId="41524"/>
    <cellStyle name="集計 5 6 2 2 3 2 2" xfId="41525"/>
    <cellStyle name="集計 5 6 2 2 3 2 2 2" xfId="41526"/>
    <cellStyle name="集計 5 6 2 2 3 2 2 3" xfId="41527"/>
    <cellStyle name="集計 5 6 2 2 3 2 3" xfId="41528"/>
    <cellStyle name="集計 5 6 2 2 3 2 3 2" xfId="41529"/>
    <cellStyle name="集計 5 6 2 2 3 2 3 3" xfId="41530"/>
    <cellStyle name="集計 5 6 2 2 3 2 4" xfId="41531"/>
    <cellStyle name="集計 5 6 2 2 3 2 4 2" xfId="41532"/>
    <cellStyle name="集計 5 6 2 2 3 2 4 3" xfId="41533"/>
    <cellStyle name="集計 5 6 2 2 3 2 5" xfId="41534"/>
    <cellStyle name="集計 5 6 2 2 3 2 6" xfId="41535"/>
    <cellStyle name="集計 5 6 2 2 3 3" xfId="41536"/>
    <cellStyle name="集計 5 6 2 2 3 3 2" xfId="41537"/>
    <cellStyle name="集計 5 6 2 2 3 3 3" xfId="41538"/>
    <cellStyle name="集計 5 6 2 2 3 4" xfId="41539"/>
    <cellStyle name="集計 5 6 2 2 3 4 2" xfId="41540"/>
    <cellStyle name="集計 5 6 2 2 3 4 3" xfId="41541"/>
    <cellStyle name="集計 5 6 2 2 3 5" xfId="41542"/>
    <cellStyle name="集計 5 6 2 2 3 5 2" xfId="41543"/>
    <cellStyle name="集計 5 6 2 2 3 5 3" xfId="41544"/>
    <cellStyle name="集計 5 6 2 2 3 6" xfId="41545"/>
    <cellStyle name="集計 5 6 2 2 3 7" xfId="41546"/>
    <cellStyle name="集計 5 6 2 2 4" xfId="41547"/>
    <cellStyle name="集計 5 6 2 2 4 2" xfId="41548"/>
    <cellStyle name="集計 5 6 2 2 4 2 2" xfId="41549"/>
    <cellStyle name="集計 5 6 2 2 4 2 3" xfId="41550"/>
    <cellStyle name="集計 5 6 2 2 4 3" xfId="41551"/>
    <cellStyle name="集計 5 6 2 2 4 3 2" xfId="41552"/>
    <cellStyle name="集計 5 6 2 2 4 3 3" xfId="41553"/>
    <cellStyle name="集計 5 6 2 2 4 4" xfId="41554"/>
    <cellStyle name="集計 5 6 2 2 4 4 2" xfId="41555"/>
    <cellStyle name="集計 5 6 2 2 4 4 3" xfId="41556"/>
    <cellStyle name="集計 5 6 2 2 4 5" xfId="41557"/>
    <cellStyle name="集計 5 6 2 2 4 6" xfId="41558"/>
    <cellStyle name="集計 5 6 2 2 5" xfId="41559"/>
    <cellStyle name="集計 5 6 2 2 5 2" xfId="41560"/>
    <cellStyle name="集計 5 6 2 2 5 3" xfId="41561"/>
    <cellStyle name="集計 5 6 2 2 6" xfId="41562"/>
    <cellStyle name="集計 5 6 2 2 6 2" xfId="41563"/>
    <cellStyle name="集計 5 6 2 2 6 3" xfId="41564"/>
    <cellStyle name="集計 5 6 2 2 7" xfId="41565"/>
    <cellStyle name="集計 5 6 2 2 7 2" xfId="41566"/>
    <cellStyle name="集計 5 6 2 2 7 3" xfId="41567"/>
    <cellStyle name="集計 5 6 2 2 8" xfId="41568"/>
    <cellStyle name="集計 5 6 2 2 9" xfId="41569"/>
    <cellStyle name="集計 5 6 2 3" xfId="41570"/>
    <cellStyle name="集計 5 6 2 3 2" xfId="41571"/>
    <cellStyle name="集計 5 6 2 3 2 2" xfId="41572"/>
    <cellStyle name="集計 5 6 2 3 2 2 2" xfId="41573"/>
    <cellStyle name="集計 5 6 2 3 2 2 3" xfId="41574"/>
    <cellStyle name="集計 5 6 2 3 2 3" xfId="41575"/>
    <cellStyle name="集計 5 6 2 3 2 3 2" xfId="41576"/>
    <cellStyle name="集計 5 6 2 3 2 3 3" xfId="41577"/>
    <cellStyle name="集計 5 6 2 3 2 4" xfId="41578"/>
    <cellStyle name="集計 5 6 2 3 2 4 2" xfId="41579"/>
    <cellStyle name="集計 5 6 2 3 2 4 3" xfId="41580"/>
    <cellStyle name="集計 5 6 2 3 2 5" xfId="41581"/>
    <cellStyle name="集計 5 6 2 3 2 6" xfId="41582"/>
    <cellStyle name="集計 5 6 2 3 3" xfId="41583"/>
    <cellStyle name="集計 5 6 2 3 3 2" xfId="41584"/>
    <cellStyle name="集計 5 6 2 3 3 3" xfId="41585"/>
    <cellStyle name="集計 5 6 2 3 4" xfId="41586"/>
    <cellStyle name="集計 5 6 2 3 4 2" xfId="41587"/>
    <cellStyle name="集計 5 6 2 3 4 3" xfId="41588"/>
    <cellStyle name="集計 5 6 2 3 5" xfId="41589"/>
    <cellStyle name="集計 5 6 2 3 5 2" xfId="41590"/>
    <cellStyle name="集計 5 6 2 3 5 3" xfId="41591"/>
    <cellStyle name="集計 5 6 2 3 6" xfId="41592"/>
    <cellStyle name="集計 5 6 2 3 7" xfId="41593"/>
    <cellStyle name="集計 5 6 2 4" xfId="41594"/>
    <cellStyle name="集計 5 6 2 4 2" xfId="41595"/>
    <cellStyle name="集計 5 6 2 4 2 2" xfId="41596"/>
    <cellStyle name="集計 5 6 2 4 2 2 2" xfId="41597"/>
    <cellStyle name="集計 5 6 2 4 2 2 3" xfId="41598"/>
    <cellStyle name="集計 5 6 2 4 2 3" xfId="41599"/>
    <cellStyle name="集計 5 6 2 4 2 3 2" xfId="41600"/>
    <cellStyle name="集計 5 6 2 4 2 3 3" xfId="41601"/>
    <cellStyle name="集計 5 6 2 4 2 4" xfId="41602"/>
    <cellStyle name="集計 5 6 2 4 2 4 2" xfId="41603"/>
    <cellStyle name="集計 5 6 2 4 2 4 3" xfId="41604"/>
    <cellStyle name="集計 5 6 2 4 2 5" xfId="41605"/>
    <cellStyle name="集計 5 6 2 4 2 6" xfId="41606"/>
    <cellStyle name="集計 5 6 2 4 3" xfId="41607"/>
    <cellStyle name="集計 5 6 2 4 3 2" xfId="41608"/>
    <cellStyle name="集計 5 6 2 4 3 3" xfId="41609"/>
    <cellStyle name="集計 5 6 2 4 4" xfId="41610"/>
    <cellStyle name="集計 5 6 2 4 4 2" xfId="41611"/>
    <cellStyle name="集計 5 6 2 4 4 3" xfId="41612"/>
    <cellStyle name="集計 5 6 2 4 5" xfId="41613"/>
    <cellStyle name="集計 5 6 2 4 5 2" xfId="41614"/>
    <cellStyle name="集計 5 6 2 4 5 3" xfId="41615"/>
    <cellStyle name="集計 5 6 2 4 6" xfId="41616"/>
    <cellStyle name="集計 5 6 2 4 7" xfId="41617"/>
    <cellStyle name="集計 5 6 2 5" xfId="41618"/>
    <cellStyle name="集計 5 6 2 5 2" xfId="41619"/>
    <cellStyle name="集計 5 6 2 5 2 2" xfId="41620"/>
    <cellStyle name="集計 5 6 2 5 2 3" xfId="41621"/>
    <cellStyle name="集計 5 6 2 5 3" xfId="41622"/>
    <cellStyle name="集計 5 6 2 5 3 2" xfId="41623"/>
    <cellStyle name="集計 5 6 2 5 3 3" xfId="41624"/>
    <cellStyle name="集計 5 6 2 5 4" xfId="41625"/>
    <cellStyle name="集計 5 6 2 5 4 2" xfId="41626"/>
    <cellStyle name="集計 5 6 2 5 4 3" xfId="41627"/>
    <cellStyle name="集計 5 6 2 5 5" xfId="41628"/>
    <cellStyle name="集計 5 6 2 5 6" xfId="41629"/>
    <cellStyle name="集計 5 6 2 6" xfId="41630"/>
    <cellStyle name="集計 5 6 2 6 2" xfId="41631"/>
    <cellStyle name="集計 5 6 2 6 3" xfId="41632"/>
    <cellStyle name="集計 5 6 2 7" xfId="41633"/>
    <cellStyle name="集計 5 6 2 7 2" xfId="41634"/>
    <cellStyle name="集計 5 6 2 7 3" xfId="41635"/>
    <cellStyle name="集計 5 6 2 8" xfId="41636"/>
    <cellStyle name="集計 5 6 2 8 2" xfId="41637"/>
    <cellStyle name="集計 5 6 2 8 3" xfId="41638"/>
    <cellStyle name="集計 5 6 2 9" xfId="41639"/>
    <cellStyle name="集計 5 6 3" xfId="41640"/>
    <cellStyle name="集計 5 6 3 2" xfId="41641"/>
    <cellStyle name="集計 5 6 3 2 2" xfId="41642"/>
    <cellStyle name="集計 5 6 3 2 2 2" xfId="41643"/>
    <cellStyle name="集計 5 6 3 2 2 3" xfId="41644"/>
    <cellStyle name="集計 5 6 3 2 3" xfId="41645"/>
    <cellStyle name="集計 5 6 3 2 3 2" xfId="41646"/>
    <cellStyle name="集計 5 6 3 2 3 3" xfId="41647"/>
    <cellStyle name="集計 5 6 3 2 4" xfId="41648"/>
    <cellStyle name="集計 5 6 3 2 4 2" xfId="41649"/>
    <cellStyle name="集計 5 6 3 2 4 3" xfId="41650"/>
    <cellStyle name="集計 5 6 3 2 5" xfId="41651"/>
    <cellStyle name="集計 5 6 3 2 6" xfId="41652"/>
    <cellStyle name="集計 5 6 3 3" xfId="41653"/>
    <cellStyle name="集計 5 6 3 3 2" xfId="41654"/>
    <cellStyle name="集計 5 6 3 3 3" xfId="41655"/>
    <cellStyle name="集計 5 6 3 4" xfId="41656"/>
    <cellStyle name="集計 5 6 3 4 2" xfId="41657"/>
    <cellStyle name="集計 5 6 3 4 3" xfId="41658"/>
    <cellStyle name="集計 5 6 3 5" xfId="41659"/>
    <cellStyle name="集計 5 6 3 5 2" xfId="41660"/>
    <cellStyle name="集計 5 6 3 5 3" xfId="41661"/>
    <cellStyle name="集計 5 6 3 6" xfId="41662"/>
    <cellStyle name="集計 5 6 3 7" xfId="41663"/>
    <cellStyle name="集計 5 6 4" xfId="41664"/>
    <cellStyle name="集計 5 6 4 2" xfId="41665"/>
    <cellStyle name="集計 5 6 4 2 2" xfId="41666"/>
    <cellStyle name="集計 5 6 4 2 2 2" xfId="41667"/>
    <cellStyle name="集計 5 6 4 2 2 3" xfId="41668"/>
    <cellStyle name="集計 5 6 4 2 3" xfId="41669"/>
    <cellStyle name="集計 5 6 4 2 3 2" xfId="41670"/>
    <cellStyle name="集計 5 6 4 2 3 3" xfId="41671"/>
    <cellStyle name="集計 5 6 4 2 4" xfId="41672"/>
    <cellStyle name="集計 5 6 4 2 4 2" xfId="41673"/>
    <cellStyle name="集計 5 6 4 2 4 3" xfId="41674"/>
    <cellStyle name="集計 5 6 4 2 5" xfId="41675"/>
    <cellStyle name="集計 5 6 4 2 6" xfId="41676"/>
    <cellStyle name="集計 5 6 4 3" xfId="41677"/>
    <cellStyle name="集計 5 6 4 3 2" xfId="41678"/>
    <cellStyle name="集計 5 6 4 3 3" xfId="41679"/>
    <cellStyle name="集計 5 6 4 4" xfId="41680"/>
    <cellStyle name="集計 5 6 4 4 2" xfId="41681"/>
    <cellStyle name="集計 5 6 4 4 3" xfId="41682"/>
    <cellStyle name="集計 5 6 4 5" xfId="41683"/>
    <cellStyle name="集計 5 6 4 5 2" xfId="41684"/>
    <cellStyle name="集計 5 6 4 5 3" xfId="41685"/>
    <cellStyle name="集計 5 6 4 6" xfId="41686"/>
    <cellStyle name="集計 5 6 4 7" xfId="41687"/>
    <cellStyle name="集計 5 6 5" xfId="41688"/>
    <cellStyle name="集計 5 6 5 2" xfId="41689"/>
    <cellStyle name="集計 5 6 5 2 2" xfId="41690"/>
    <cellStyle name="集計 5 6 5 2 3" xfId="41691"/>
    <cellStyle name="集計 5 6 5 3" xfId="41692"/>
    <cellStyle name="集計 5 6 5 3 2" xfId="41693"/>
    <cellStyle name="集計 5 6 5 3 3" xfId="41694"/>
    <cellStyle name="集計 5 6 5 4" xfId="41695"/>
    <cellStyle name="集計 5 6 5 4 2" xfId="41696"/>
    <cellStyle name="集計 5 6 5 4 3" xfId="41697"/>
    <cellStyle name="集計 5 6 5 5" xfId="41698"/>
    <cellStyle name="集計 5 6 5 6" xfId="41699"/>
    <cellStyle name="集計 5 6 6" xfId="41700"/>
    <cellStyle name="集計 5 6 6 2" xfId="41701"/>
    <cellStyle name="集計 5 6 6 3" xfId="41702"/>
    <cellStyle name="集計 5 6 7" xfId="41703"/>
    <cellStyle name="集計 5 6 7 2" xfId="41704"/>
    <cellStyle name="集計 5 6 7 3" xfId="41705"/>
    <cellStyle name="集計 5 6 8" xfId="41706"/>
    <cellStyle name="集計 5 6 8 2" xfId="41707"/>
    <cellStyle name="集計 5 6 8 3" xfId="41708"/>
    <cellStyle name="集計 5 6 9" xfId="41709"/>
    <cellStyle name="集計 5 7" xfId="41710"/>
    <cellStyle name="集計 5 7 10" xfId="41711"/>
    <cellStyle name="集計 5 7 2" xfId="41712"/>
    <cellStyle name="集計 5 7 2 2" xfId="41713"/>
    <cellStyle name="集計 5 7 2 2 2" xfId="41714"/>
    <cellStyle name="集計 5 7 2 2 2 2" xfId="41715"/>
    <cellStyle name="集計 5 7 2 2 2 2 2" xfId="41716"/>
    <cellStyle name="集計 5 7 2 2 2 2 3" xfId="41717"/>
    <cellStyle name="集計 5 7 2 2 2 3" xfId="41718"/>
    <cellStyle name="集計 5 7 2 2 2 3 2" xfId="41719"/>
    <cellStyle name="集計 5 7 2 2 2 3 3" xfId="41720"/>
    <cellStyle name="集計 5 7 2 2 2 4" xfId="41721"/>
    <cellStyle name="集計 5 7 2 2 2 4 2" xfId="41722"/>
    <cellStyle name="集計 5 7 2 2 2 4 3" xfId="41723"/>
    <cellStyle name="集計 5 7 2 2 2 5" xfId="41724"/>
    <cellStyle name="集計 5 7 2 2 2 6" xfId="41725"/>
    <cellStyle name="集計 5 7 2 2 3" xfId="41726"/>
    <cellStyle name="集計 5 7 2 2 3 2" xfId="41727"/>
    <cellStyle name="集計 5 7 2 2 3 3" xfId="41728"/>
    <cellStyle name="集計 5 7 2 2 4" xfId="41729"/>
    <cellStyle name="集計 5 7 2 2 4 2" xfId="41730"/>
    <cellStyle name="集計 5 7 2 2 4 3" xfId="41731"/>
    <cellStyle name="集計 5 7 2 2 5" xfId="41732"/>
    <cellStyle name="集計 5 7 2 2 5 2" xfId="41733"/>
    <cellStyle name="集計 5 7 2 2 5 3" xfId="41734"/>
    <cellStyle name="集計 5 7 2 2 6" xfId="41735"/>
    <cellStyle name="集計 5 7 2 2 7" xfId="41736"/>
    <cellStyle name="集計 5 7 2 3" xfId="41737"/>
    <cellStyle name="集計 5 7 2 3 2" xfId="41738"/>
    <cellStyle name="集計 5 7 2 3 2 2" xfId="41739"/>
    <cellStyle name="集計 5 7 2 3 2 2 2" xfId="41740"/>
    <cellStyle name="集計 5 7 2 3 2 2 3" xfId="41741"/>
    <cellStyle name="集計 5 7 2 3 2 3" xfId="41742"/>
    <cellStyle name="集計 5 7 2 3 2 3 2" xfId="41743"/>
    <cellStyle name="集計 5 7 2 3 2 3 3" xfId="41744"/>
    <cellStyle name="集計 5 7 2 3 2 4" xfId="41745"/>
    <cellStyle name="集計 5 7 2 3 2 4 2" xfId="41746"/>
    <cellStyle name="集計 5 7 2 3 2 4 3" xfId="41747"/>
    <cellStyle name="集計 5 7 2 3 2 5" xfId="41748"/>
    <cellStyle name="集計 5 7 2 3 2 6" xfId="41749"/>
    <cellStyle name="集計 5 7 2 3 3" xfId="41750"/>
    <cellStyle name="集計 5 7 2 3 3 2" xfId="41751"/>
    <cellStyle name="集計 5 7 2 3 3 3" xfId="41752"/>
    <cellStyle name="集計 5 7 2 3 4" xfId="41753"/>
    <cellStyle name="集計 5 7 2 3 4 2" xfId="41754"/>
    <cellStyle name="集計 5 7 2 3 4 3" xfId="41755"/>
    <cellStyle name="集計 5 7 2 3 5" xfId="41756"/>
    <cellStyle name="集計 5 7 2 3 5 2" xfId="41757"/>
    <cellStyle name="集計 5 7 2 3 5 3" xfId="41758"/>
    <cellStyle name="集計 5 7 2 3 6" xfId="41759"/>
    <cellStyle name="集計 5 7 2 3 7" xfId="41760"/>
    <cellStyle name="集計 5 7 2 4" xfId="41761"/>
    <cellStyle name="集計 5 7 2 4 2" xfId="41762"/>
    <cellStyle name="集計 5 7 2 4 2 2" xfId="41763"/>
    <cellStyle name="集計 5 7 2 4 2 3" xfId="41764"/>
    <cellStyle name="集計 5 7 2 4 3" xfId="41765"/>
    <cellStyle name="集計 5 7 2 4 3 2" xfId="41766"/>
    <cellStyle name="集計 5 7 2 4 3 3" xfId="41767"/>
    <cellStyle name="集計 5 7 2 4 4" xfId="41768"/>
    <cellStyle name="集計 5 7 2 4 4 2" xfId="41769"/>
    <cellStyle name="集計 5 7 2 4 4 3" xfId="41770"/>
    <cellStyle name="集計 5 7 2 4 5" xfId="41771"/>
    <cellStyle name="集計 5 7 2 4 6" xfId="41772"/>
    <cellStyle name="集計 5 7 2 5" xfId="41773"/>
    <cellStyle name="集計 5 7 2 5 2" xfId="41774"/>
    <cellStyle name="集計 5 7 2 5 3" xfId="41775"/>
    <cellStyle name="集計 5 7 2 6" xfId="41776"/>
    <cellStyle name="集計 5 7 2 6 2" xfId="41777"/>
    <cellStyle name="集計 5 7 2 6 3" xfId="41778"/>
    <cellStyle name="集計 5 7 2 7" xfId="41779"/>
    <cellStyle name="集計 5 7 2 7 2" xfId="41780"/>
    <cellStyle name="集計 5 7 2 7 3" xfId="41781"/>
    <cellStyle name="集計 5 7 2 8" xfId="41782"/>
    <cellStyle name="集計 5 7 2 9" xfId="41783"/>
    <cellStyle name="集計 5 7 3" xfId="41784"/>
    <cellStyle name="集計 5 7 3 2" xfId="41785"/>
    <cellStyle name="集計 5 7 3 2 2" xfId="41786"/>
    <cellStyle name="集計 5 7 3 2 2 2" xfId="41787"/>
    <cellStyle name="集計 5 7 3 2 2 3" xfId="41788"/>
    <cellStyle name="集計 5 7 3 2 3" xfId="41789"/>
    <cellStyle name="集計 5 7 3 2 3 2" xfId="41790"/>
    <cellStyle name="集計 5 7 3 2 3 3" xfId="41791"/>
    <cellStyle name="集計 5 7 3 2 4" xfId="41792"/>
    <cellStyle name="集計 5 7 3 2 4 2" xfId="41793"/>
    <cellStyle name="集計 5 7 3 2 4 3" xfId="41794"/>
    <cellStyle name="集計 5 7 3 2 5" xfId="41795"/>
    <cellStyle name="集計 5 7 3 2 6" xfId="41796"/>
    <cellStyle name="集計 5 7 3 3" xfId="41797"/>
    <cellStyle name="集計 5 7 3 3 2" xfId="41798"/>
    <cellStyle name="集計 5 7 3 3 3" xfId="41799"/>
    <cellStyle name="集計 5 7 3 4" xfId="41800"/>
    <cellStyle name="集計 5 7 3 4 2" xfId="41801"/>
    <cellStyle name="集計 5 7 3 4 3" xfId="41802"/>
    <cellStyle name="集計 5 7 3 5" xfId="41803"/>
    <cellStyle name="集計 5 7 3 5 2" xfId="41804"/>
    <cellStyle name="集計 5 7 3 5 3" xfId="41805"/>
    <cellStyle name="集計 5 7 3 6" xfId="41806"/>
    <cellStyle name="集計 5 7 3 7" xfId="41807"/>
    <cellStyle name="集計 5 7 4" xfId="41808"/>
    <cellStyle name="集計 5 7 4 2" xfId="41809"/>
    <cellStyle name="集計 5 7 4 2 2" xfId="41810"/>
    <cellStyle name="集計 5 7 4 2 2 2" xfId="41811"/>
    <cellStyle name="集計 5 7 4 2 2 3" xfId="41812"/>
    <cellStyle name="集計 5 7 4 2 3" xfId="41813"/>
    <cellStyle name="集計 5 7 4 2 3 2" xfId="41814"/>
    <cellStyle name="集計 5 7 4 2 3 3" xfId="41815"/>
    <cellStyle name="集計 5 7 4 2 4" xfId="41816"/>
    <cellStyle name="集計 5 7 4 2 4 2" xfId="41817"/>
    <cellStyle name="集計 5 7 4 2 4 3" xfId="41818"/>
    <cellStyle name="集計 5 7 4 2 5" xfId="41819"/>
    <cellStyle name="集計 5 7 4 2 6" xfId="41820"/>
    <cellStyle name="集計 5 7 4 3" xfId="41821"/>
    <cellStyle name="集計 5 7 4 3 2" xfId="41822"/>
    <cellStyle name="集計 5 7 4 3 3" xfId="41823"/>
    <cellStyle name="集計 5 7 4 4" xfId="41824"/>
    <cellStyle name="集計 5 7 4 4 2" xfId="41825"/>
    <cellStyle name="集計 5 7 4 4 3" xfId="41826"/>
    <cellStyle name="集計 5 7 4 5" xfId="41827"/>
    <cellStyle name="集計 5 7 4 5 2" xfId="41828"/>
    <cellStyle name="集計 5 7 4 5 3" xfId="41829"/>
    <cellStyle name="集計 5 7 4 6" xfId="41830"/>
    <cellStyle name="集計 5 7 4 7" xfId="41831"/>
    <cellStyle name="集計 5 7 5" xfId="41832"/>
    <cellStyle name="集計 5 7 5 2" xfId="41833"/>
    <cellStyle name="集計 5 7 5 2 2" xfId="41834"/>
    <cellStyle name="集計 5 7 5 2 3" xfId="41835"/>
    <cellStyle name="集計 5 7 5 3" xfId="41836"/>
    <cellStyle name="集計 5 7 5 3 2" xfId="41837"/>
    <cellStyle name="集計 5 7 5 3 3" xfId="41838"/>
    <cellStyle name="集計 5 7 5 4" xfId="41839"/>
    <cellStyle name="集計 5 7 5 4 2" xfId="41840"/>
    <cellStyle name="集計 5 7 5 4 3" xfId="41841"/>
    <cellStyle name="集計 5 7 5 5" xfId="41842"/>
    <cellStyle name="集計 5 7 5 6" xfId="41843"/>
    <cellStyle name="集計 5 7 6" xfId="41844"/>
    <cellStyle name="集計 5 7 6 2" xfId="41845"/>
    <cellStyle name="集計 5 7 6 3" xfId="41846"/>
    <cellStyle name="集計 5 7 7" xfId="41847"/>
    <cellStyle name="集計 5 7 7 2" xfId="41848"/>
    <cellStyle name="集計 5 7 7 3" xfId="41849"/>
    <cellStyle name="集計 5 7 8" xfId="41850"/>
    <cellStyle name="集計 5 7 8 2" xfId="41851"/>
    <cellStyle name="集計 5 7 8 3" xfId="41852"/>
    <cellStyle name="集計 5 7 9" xfId="41853"/>
    <cellStyle name="集計 5 8" xfId="41854"/>
    <cellStyle name="集計 5 8 10" xfId="41855"/>
    <cellStyle name="集計 5 8 2" xfId="41856"/>
    <cellStyle name="集計 5 8 2 2" xfId="41857"/>
    <cellStyle name="集計 5 8 2 2 2" xfId="41858"/>
    <cellStyle name="集計 5 8 2 2 2 2" xfId="41859"/>
    <cellStyle name="集計 5 8 2 2 2 2 2" xfId="41860"/>
    <cellStyle name="集計 5 8 2 2 2 2 3" xfId="41861"/>
    <cellStyle name="集計 5 8 2 2 2 3" xfId="41862"/>
    <cellStyle name="集計 5 8 2 2 2 3 2" xfId="41863"/>
    <cellStyle name="集計 5 8 2 2 2 3 3" xfId="41864"/>
    <cellStyle name="集計 5 8 2 2 2 4" xfId="41865"/>
    <cellStyle name="集計 5 8 2 2 2 4 2" xfId="41866"/>
    <cellStyle name="集計 5 8 2 2 2 4 3" xfId="41867"/>
    <cellStyle name="集計 5 8 2 2 2 5" xfId="41868"/>
    <cellStyle name="集計 5 8 2 2 2 6" xfId="41869"/>
    <cellStyle name="集計 5 8 2 2 3" xfId="41870"/>
    <cellStyle name="集計 5 8 2 2 3 2" xfId="41871"/>
    <cellStyle name="集計 5 8 2 2 3 3" xfId="41872"/>
    <cellStyle name="集計 5 8 2 2 4" xfId="41873"/>
    <cellStyle name="集計 5 8 2 2 4 2" xfId="41874"/>
    <cellStyle name="集計 5 8 2 2 4 3" xfId="41875"/>
    <cellStyle name="集計 5 8 2 2 5" xfId="41876"/>
    <cellStyle name="集計 5 8 2 2 5 2" xfId="41877"/>
    <cellStyle name="集計 5 8 2 2 5 3" xfId="41878"/>
    <cellStyle name="集計 5 8 2 2 6" xfId="41879"/>
    <cellStyle name="集計 5 8 2 2 7" xfId="41880"/>
    <cellStyle name="集計 5 8 2 3" xfId="41881"/>
    <cellStyle name="集計 5 8 2 3 2" xfId="41882"/>
    <cellStyle name="集計 5 8 2 3 2 2" xfId="41883"/>
    <cellStyle name="集計 5 8 2 3 2 2 2" xfId="41884"/>
    <cellStyle name="集計 5 8 2 3 2 2 3" xfId="41885"/>
    <cellStyle name="集計 5 8 2 3 2 3" xfId="41886"/>
    <cellStyle name="集計 5 8 2 3 2 3 2" xfId="41887"/>
    <cellStyle name="集計 5 8 2 3 2 3 3" xfId="41888"/>
    <cellStyle name="集計 5 8 2 3 2 4" xfId="41889"/>
    <cellStyle name="集計 5 8 2 3 2 4 2" xfId="41890"/>
    <cellStyle name="集計 5 8 2 3 2 4 3" xfId="41891"/>
    <cellStyle name="集計 5 8 2 3 2 5" xfId="41892"/>
    <cellStyle name="集計 5 8 2 3 2 6" xfId="41893"/>
    <cellStyle name="集計 5 8 2 3 3" xfId="41894"/>
    <cellStyle name="集計 5 8 2 3 3 2" xfId="41895"/>
    <cellStyle name="集計 5 8 2 3 3 3" xfId="41896"/>
    <cellStyle name="集計 5 8 2 3 4" xfId="41897"/>
    <cellStyle name="集計 5 8 2 3 4 2" xfId="41898"/>
    <cellStyle name="集計 5 8 2 3 4 3" xfId="41899"/>
    <cellStyle name="集計 5 8 2 3 5" xfId="41900"/>
    <cellStyle name="集計 5 8 2 3 5 2" xfId="41901"/>
    <cellStyle name="集計 5 8 2 3 5 3" xfId="41902"/>
    <cellStyle name="集計 5 8 2 3 6" xfId="41903"/>
    <cellStyle name="集計 5 8 2 3 7" xfId="41904"/>
    <cellStyle name="集計 5 8 2 4" xfId="41905"/>
    <cellStyle name="集計 5 8 2 4 2" xfId="41906"/>
    <cellStyle name="集計 5 8 2 4 2 2" xfId="41907"/>
    <cellStyle name="集計 5 8 2 4 2 3" xfId="41908"/>
    <cellStyle name="集計 5 8 2 4 3" xfId="41909"/>
    <cellStyle name="集計 5 8 2 4 3 2" xfId="41910"/>
    <cellStyle name="集計 5 8 2 4 3 3" xfId="41911"/>
    <cellStyle name="集計 5 8 2 4 4" xfId="41912"/>
    <cellStyle name="集計 5 8 2 4 4 2" xfId="41913"/>
    <cellStyle name="集計 5 8 2 4 4 3" xfId="41914"/>
    <cellStyle name="集計 5 8 2 4 5" xfId="41915"/>
    <cellStyle name="集計 5 8 2 4 6" xfId="41916"/>
    <cellStyle name="集計 5 8 2 5" xfId="41917"/>
    <cellStyle name="集計 5 8 2 5 2" xfId="41918"/>
    <cellStyle name="集計 5 8 2 5 3" xfId="41919"/>
    <cellStyle name="集計 5 8 2 6" xfId="41920"/>
    <cellStyle name="集計 5 8 2 6 2" xfId="41921"/>
    <cellStyle name="集計 5 8 2 6 3" xfId="41922"/>
    <cellStyle name="集計 5 8 2 7" xfId="41923"/>
    <cellStyle name="集計 5 8 2 7 2" xfId="41924"/>
    <cellStyle name="集計 5 8 2 7 3" xfId="41925"/>
    <cellStyle name="集計 5 8 2 8" xfId="41926"/>
    <cellStyle name="集計 5 8 2 9" xfId="41927"/>
    <cellStyle name="集計 5 8 3" xfId="41928"/>
    <cellStyle name="集計 5 8 3 2" xfId="41929"/>
    <cellStyle name="集計 5 8 3 2 2" xfId="41930"/>
    <cellStyle name="集計 5 8 3 2 2 2" xfId="41931"/>
    <cellStyle name="集計 5 8 3 2 2 3" xfId="41932"/>
    <cellStyle name="集計 5 8 3 2 3" xfId="41933"/>
    <cellStyle name="集計 5 8 3 2 3 2" xfId="41934"/>
    <cellStyle name="集計 5 8 3 2 3 3" xfId="41935"/>
    <cellStyle name="集計 5 8 3 2 4" xfId="41936"/>
    <cellStyle name="集計 5 8 3 2 4 2" xfId="41937"/>
    <cellStyle name="集計 5 8 3 2 4 3" xfId="41938"/>
    <cellStyle name="集計 5 8 3 2 5" xfId="41939"/>
    <cellStyle name="集計 5 8 3 2 6" xfId="41940"/>
    <cellStyle name="集計 5 8 3 3" xfId="41941"/>
    <cellStyle name="集計 5 8 3 3 2" xfId="41942"/>
    <cellStyle name="集計 5 8 3 3 3" xfId="41943"/>
    <cellStyle name="集計 5 8 3 4" xfId="41944"/>
    <cellStyle name="集計 5 8 3 4 2" xfId="41945"/>
    <cellStyle name="集計 5 8 3 4 3" xfId="41946"/>
    <cellStyle name="集計 5 8 3 5" xfId="41947"/>
    <cellStyle name="集計 5 8 3 5 2" xfId="41948"/>
    <cellStyle name="集計 5 8 3 5 3" xfId="41949"/>
    <cellStyle name="集計 5 8 3 6" xfId="41950"/>
    <cellStyle name="集計 5 8 3 7" xfId="41951"/>
    <cellStyle name="集計 5 8 4" xfId="41952"/>
    <cellStyle name="集計 5 8 4 2" xfId="41953"/>
    <cellStyle name="集計 5 8 4 2 2" xfId="41954"/>
    <cellStyle name="集計 5 8 4 2 2 2" xfId="41955"/>
    <cellStyle name="集計 5 8 4 2 2 3" xfId="41956"/>
    <cellStyle name="集計 5 8 4 2 3" xfId="41957"/>
    <cellStyle name="集計 5 8 4 2 3 2" xfId="41958"/>
    <cellStyle name="集計 5 8 4 2 3 3" xfId="41959"/>
    <cellStyle name="集計 5 8 4 2 4" xfId="41960"/>
    <cellStyle name="集計 5 8 4 2 4 2" xfId="41961"/>
    <cellStyle name="集計 5 8 4 2 4 3" xfId="41962"/>
    <cellStyle name="集計 5 8 4 2 5" xfId="41963"/>
    <cellStyle name="集計 5 8 4 2 6" xfId="41964"/>
    <cellStyle name="集計 5 8 4 3" xfId="41965"/>
    <cellStyle name="集計 5 8 4 3 2" xfId="41966"/>
    <cellStyle name="集計 5 8 4 3 3" xfId="41967"/>
    <cellStyle name="集計 5 8 4 4" xfId="41968"/>
    <cellStyle name="集計 5 8 4 4 2" xfId="41969"/>
    <cellStyle name="集計 5 8 4 4 3" xfId="41970"/>
    <cellStyle name="集計 5 8 4 5" xfId="41971"/>
    <cellStyle name="集計 5 8 4 5 2" xfId="41972"/>
    <cellStyle name="集計 5 8 4 5 3" xfId="41973"/>
    <cellStyle name="集計 5 8 4 6" xfId="41974"/>
    <cellStyle name="集計 5 8 4 7" xfId="41975"/>
    <cellStyle name="集計 5 8 5" xfId="41976"/>
    <cellStyle name="集計 5 8 5 2" xfId="41977"/>
    <cellStyle name="集計 5 8 5 2 2" xfId="41978"/>
    <cellStyle name="集計 5 8 5 2 3" xfId="41979"/>
    <cellStyle name="集計 5 8 5 3" xfId="41980"/>
    <cellStyle name="集計 5 8 5 3 2" xfId="41981"/>
    <cellStyle name="集計 5 8 5 3 3" xfId="41982"/>
    <cellStyle name="集計 5 8 5 4" xfId="41983"/>
    <cellStyle name="集計 5 8 5 4 2" xfId="41984"/>
    <cellStyle name="集計 5 8 5 4 3" xfId="41985"/>
    <cellStyle name="集計 5 8 5 5" xfId="41986"/>
    <cellStyle name="集計 5 8 5 6" xfId="41987"/>
    <cellStyle name="集計 5 8 6" xfId="41988"/>
    <cellStyle name="集計 5 8 6 2" xfId="41989"/>
    <cellStyle name="集計 5 8 6 3" xfId="41990"/>
    <cellStyle name="集計 5 8 7" xfId="41991"/>
    <cellStyle name="集計 5 8 7 2" xfId="41992"/>
    <cellStyle name="集計 5 8 7 3" xfId="41993"/>
    <cellStyle name="集計 5 8 8" xfId="41994"/>
    <cellStyle name="集計 5 8 8 2" xfId="41995"/>
    <cellStyle name="集計 5 8 8 3" xfId="41996"/>
    <cellStyle name="集計 5 8 9" xfId="41997"/>
    <cellStyle name="集計 5 9" xfId="41998"/>
    <cellStyle name="集計 5 9 2" xfId="41999"/>
    <cellStyle name="集計 5 9 2 2" xfId="42000"/>
    <cellStyle name="集計 5 9 2 2 2" xfId="42001"/>
    <cellStyle name="集計 5 9 2 2 3" xfId="42002"/>
    <cellStyle name="集計 5 9 2 3" xfId="42003"/>
    <cellStyle name="集計 5 9 2 3 2" xfId="42004"/>
    <cellStyle name="集計 5 9 2 3 3" xfId="42005"/>
    <cellStyle name="集計 5 9 2 4" xfId="42006"/>
    <cellStyle name="集計 5 9 2 4 2" xfId="42007"/>
    <cellStyle name="集計 5 9 2 4 3" xfId="42008"/>
    <cellStyle name="集計 5 9 2 5" xfId="42009"/>
    <cellStyle name="集計 5 9 2 6" xfId="42010"/>
    <cellStyle name="集計 5 9 3" xfId="42011"/>
    <cellStyle name="集計 5 9 3 2" xfId="42012"/>
    <cellStyle name="集計 5 9 3 3" xfId="42013"/>
    <cellStyle name="集計 5 9 4" xfId="42014"/>
    <cellStyle name="集計 5 9 4 2" xfId="42015"/>
    <cellStyle name="集計 5 9 4 3" xfId="42016"/>
    <cellStyle name="集計 5 9 5" xfId="42017"/>
    <cellStyle name="集計 5 9 5 2" xfId="42018"/>
    <cellStyle name="集計 5 9 5 3" xfId="42019"/>
    <cellStyle name="集計 5 9 6" xfId="42020"/>
    <cellStyle name="集計 5 9 7" xfId="42021"/>
    <cellStyle name="集計 6" xfId="42022"/>
    <cellStyle name="集計 6 10" xfId="42023"/>
    <cellStyle name="集計 6 10 2" xfId="42024"/>
    <cellStyle name="集計 6 10 2 2" xfId="42025"/>
    <cellStyle name="集計 6 10 2 3" xfId="42026"/>
    <cellStyle name="集計 6 10 3" xfId="42027"/>
    <cellStyle name="集計 6 10 3 2" xfId="42028"/>
    <cellStyle name="集計 6 10 3 3" xfId="42029"/>
    <cellStyle name="集計 6 10 4" xfId="42030"/>
    <cellStyle name="集計 6 10 4 2" xfId="42031"/>
    <cellStyle name="集計 6 10 4 3" xfId="42032"/>
    <cellStyle name="集計 6 10 5" xfId="42033"/>
    <cellStyle name="集計 6 10 6" xfId="42034"/>
    <cellStyle name="集計 6 11" xfId="42035"/>
    <cellStyle name="集計 6 11 2" xfId="42036"/>
    <cellStyle name="集計 6 11 3" xfId="42037"/>
    <cellStyle name="集計 6 12" xfId="42038"/>
    <cellStyle name="集計 6 12 2" xfId="42039"/>
    <cellStyle name="集計 6 12 3" xfId="42040"/>
    <cellStyle name="集計 6 13" xfId="42041"/>
    <cellStyle name="集計 6 13 2" xfId="42042"/>
    <cellStyle name="集計 6 13 3" xfId="42043"/>
    <cellStyle name="集計 6 14" xfId="42044"/>
    <cellStyle name="集計 6 15" xfId="42045"/>
    <cellStyle name="集計 6 2" xfId="42046"/>
    <cellStyle name="集計 6 2 10" xfId="42047"/>
    <cellStyle name="集計 6 2 10 2" xfId="42048"/>
    <cellStyle name="集計 6 2 10 3" xfId="42049"/>
    <cellStyle name="集計 6 2 11" xfId="42050"/>
    <cellStyle name="集計 6 2 11 2" xfId="42051"/>
    <cellStyle name="集計 6 2 11 3" xfId="42052"/>
    <cellStyle name="集計 6 2 12" xfId="42053"/>
    <cellStyle name="集計 6 2 12 2" xfId="42054"/>
    <cellStyle name="集計 6 2 12 3" xfId="42055"/>
    <cellStyle name="集計 6 2 13" xfId="42056"/>
    <cellStyle name="集計 6 2 14" xfId="42057"/>
    <cellStyle name="集計 6 2 2" xfId="42058"/>
    <cellStyle name="集計 6 2 2 10" xfId="42059"/>
    <cellStyle name="集計 6 2 2 2" xfId="42060"/>
    <cellStyle name="集計 6 2 2 2 10" xfId="42061"/>
    <cellStyle name="集計 6 2 2 2 2" xfId="42062"/>
    <cellStyle name="集計 6 2 2 2 2 2" xfId="42063"/>
    <cellStyle name="集計 6 2 2 2 2 2 2" xfId="42064"/>
    <cellStyle name="集計 6 2 2 2 2 2 2 2" xfId="42065"/>
    <cellStyle name="集計 6 2 2 2 2 2 2 2 2" xfId="42066"/>
    <cellStyle name="集計 6 2 2 2 2 2 2 2 3" xfId="42067"/>
    <cellStyle name="集計 6 2 2 2 2 2 2 3" xfId="42068"/>
    <cellStyle name="集計 6 2 2 2 2 2 2 3 2" xfId="42069"/>
    <cellStyle name="集計 6 2 2 2 2 2 2 3 3" xfId="42070"/>
    <cellStyle name="集計 6 2 2 2 2 2 2 4" xfId="42071"/>
    <cellStyle name="集計 6 2 2 2 2 2 2 4 2" xfId="42072"/>
    <cellStyle name="集計 6 2 2 2 2 2 2 4 3" xfId="42073"/>
    <cellStyle name="集計 6 2 2 2 2 2 2 5" xfId="42074"/>
    <cellStyle name="集計 6 2 2 2 2 2 2 6" xfId="42075"/>
    <cellStyle name="集計 6 2 2 2 2 2 3" xfId="42076"/>
    <cellStyle name="集計 6 2 2 2 2 2 3 2" xfId="42077"/>
    <cellStyle name="集計 6 2 2 2 2 2 3 3" xfId="42078"/>
    <cellStyle name="集計 6 2 2 2 2 2 4" xfId="42079"/>
    <cellStyle name="集計 6 2 2 2 2 2 4 2" xfId="42080"/>
    <cellStyle name="集計 6 2 2 2 2 2 4 3" xfId="42081"/>
    <cellStyle name="集計 6 2 2 2 2 2 5" xfId="42082"/>
    <cellStyle name="集計 6 2 2 2 2 2 5 2" xfId="42083"/>
    <cellStyle name="集計 6 2 2 2 2 2 5 3" xfId="42084"/>
    <cellStyle name="集計 6 2 2 2 2 2 6" xfId="42085"/>
    <cellStyle name="集計 6 2 2 2 2 2 7" xfId="42086"/>
    <cellStyle name="集計 6 2 2 2 2 3" xfId="42087"/>
    <cellStyle name="集計 6 2 2 2 2 3 2" xfId="42088"/>
    <cellStyle name="集計 6 2 2 2 2 3 2 2" xfId="42089"/>
    <cellStyle name="集計 6 2 2 2 2 3 2 2 2" xfId="42090"/>
    <cellStyle name="集計 6 2 2 2 2 3 2 2 3" xfId="42091"/>
    <cellStyle name="集計 6 2 2 2 2 3 2 3" xfId="42092"/>
    <cellStyle name="集計 6 2 2 2 2 3 2 3 2" xfId="42093"/>
    <cellStyle name="集計 6 2 2 2 2 3 2 3 3" xfId="42094"/>
    <cellStyle name="集計 6 2 2 2 2 3 2 4" xfId="42095"/>
    <cellStyle name="集計 6 2 2 2 2 3 2 4 2" xfId="42096"/>
    <cellStyle name="集計 6 2 2 2 2 3 2 4 3" xfId="42097"/>
    <cellStyle name="集計 6 2 2 2 2 3 2 5" xfId="42098"/>
    <cellStyle name="集計 6 2 2 2 2 3 2 6" xfId="42099"/>
    <cellStyle name="集計 6 2 2 2 2 3 3" xfId="42100"/>
    <cellStyle name="集計 6 2 2 2 2 3 3 2" xfId="42101"/>
    <cellStyle name="集計 6 2 2 2 2 3 3 3" xfId="42102"/>
    <cellStyle name="集計 6 2 2 2 2 3 4" xfId="42103"/>
    <cellStyle name="集計 6 2 2 2 2 3 4 2" xfId="42104"/>
    <cellStyle name="集計 6 2 2 2 2 3 4 3" xfId="42105"/>
    <cellStyle name="集計 6 2 2 2 2 3 5" xfId="42106"/>
    <cellStyle name="集計 6 2 2 2 2 3 5 2" xfId="42107"/>
    <cellStyle name="集計 6 2 2 2 2 3 5 3" xfId="42108"/>
    <cellStyle name="集計 6 2 2 2 2 3 6" xfId="42109"/>
    <cellStyle name="集計 6 2 2 2 2 3 7" xfId="42110"/>
    <cellStyle name="集計 6 2 2 2 2 4" xfId="42111"/>
    <cellStyle name="集計 6 2 2 2 2 4 2" xfId="42112"/>
    <cellStyle name="集計 6 2 2 2 2 4 2 2" xfId="42113"/>
    <cellStyle name="集計 6 2 2 2 2 4 2 3" xfId="42114"/>
    <cellStyle name="集計 6 2 2 2 2 4 3" xfId="42115"/>
    <cellStyle name="集計 6 2 2 2 2 4 3 2" xfId="42116"/>
    <cellStyle name="集計 6 2 2 2 2 4 3 3" xfId="42117"/>
    <cellStyle name="集計 6 2 2 2 2 4 4" xfId="42118"/>
    <cellStyle name="集計 6 2 2 2 2 4 4 2" xfId="42119"/>
    <cellStyle name="集計 6 2 2 2 2 4 4 3" xfId="42120"/>
    <cellStyle name="集計 6 2 2 2 2 4 5" xfId="42121"/>
    <cellStyle name="集計 6 2 2 2 2 4 6" xfId="42122"/>
    <cellStyle name="集計 6 2 2 2 2 5" xfId="42123"/>
    <cellStyle name="集計 6 2 2 2 2 5 2" xfId="42124"/>
    <cellStyle name="集計 6 2 2 2 2 5 3" xfId="42125"/>
    <cellStyle name="集計 6 2 2 2 2 6" xfId="42126"/>
    <cellStyle name="集計 6 2 2 2 2 6 2" xfId="42127"/>
    <cellStyle name="集計 6 2 2 2 2 6 3" xfId="42128"/>
    <cellStyle name="集計 6 2 2 2 2 7" xfId="42129"/>
    <cellStyle name="集計 6 2 2 2 2 7 2" xfId="42130"/>
    <cellStyle name="集計 6 2 2 2 2 7 3" xfId="42131"/>
    <cellStyle name="集計 6 2 2 2 2 8" xfId="42132"/>
    <cellStyle name="集計 6 2 2 2 2 9" xfId="42133"/>
    <cellStyle name="集計 6 2 2 2 3" xfId="42134"/>
    <cellStyle name="集計 6 2 2 2 3 2" xfId="42135"/>
    <cellStyle name="集計 6 2 2 2 3 2 2" xfId="42136"/>
    <cellStyle name="集計 6 2 2 2 3 2 2 2" xfId="42137"/>
    <cellStyle name="集計 6 2 2 2 3 2 2 3" xfId="42138"/>
    <cellStyle name="集計 6 2 2 2 3 2 3" xfId="42139"/>
    <cellStyle name="集計 6 2 2 2 3 2 3 2" xfId="42140"/>
    <cellStyle name="集計 6 2 2 2 3 2 3 3" xfId="42141"/>
    <cellStyle name="集計 6 2 2 2 3 2 4" xfId="42142"/>
    <cellStyle name="集計 6 2 2 2 3 2 4 2" xfId="42143"/>
    <cellStyle name="集計 6 2 2 2 3 2 4 3" xfId="42144"/>
    <cellStyle name="集計 6 2 2 2 3 2 5" xfId="42145"/>
    <cellStyle name="集計 6 2 2 2 3 2 6" xfId="42146"/>
    <cellStyle name="集計 6 2 2 2 3 3" xfId="42147"/>
    <cellStyle name="集計 6 2 2 2 3 3 2" xfId="42148"/>
    <cellStyle name="集計 6 2 2 2 3 3 3" xfId="42149"/>
    <cellStyle name="集計 6 2 2 2 3 4" xfId="42150"/>
    <cellStyle name="集計 6 2 2 2 3 4 2" xfId="42151"/>
    <cellStyle name="集計 6 2 2 2 3 4 3" xfId="42152"/>
    <cellStyle name="集計 6 2 2 2 3 5" xfId="42153"/>
    <cellStyle name="集計 6 2 2 2 3 5 2" xfId="42154"/>
    <cellStyle name="集計 6 2 2 2 3 5 3" xfId="42155"/>
    <cellStyle name="集計 6 2 2 2 3 6" xfId="42156"/>
    <cellStyle name="集計 6 2 2 2 3 7" xfId="42157"/>
    <cellStyle name="集計 6 2 2 2 4" xfId="42158"/>
    <cellStyle name="集計 6 2 2 2 4 2" xfId="42159"/>
    <cellStyle name="集計 6 2 2 2 4 2 2" xfId="42160"/>
    <cellStyle name="集計 6 2 2 2 4 2 2 2" xfId="42161"/>
    <cellStyle name="集計 6 2 2 2 4 2 2 3" xfId="42162"/>
    <cellStyle name="集計 6 2 2 2 4 2 3" xfId="42163"/>
    <cellStyle name="集計 6 2 2 2 4 2 3 2" xfId="42164"/>
    <cellStyle name="集計 6 2 2 2 4 2 3 3" xfId="42165"/>
    <cellStyle name="集計 6 2 2 2 4 2 4" xfId="42166"/>
    <cellStyle name="集計 6 2 2 2 4 2 4 2" xfId="42167"/>
    <cellStyle name="集計 6 2 2 2 4 2 4 3" xfId="42168"/>
    <cellStyle name="集計 6 2 2 2 4 2 5" xfId="42169"/>
    <cellStyle name="集計 6 2 2 2 4 2 6" xfId="42170"/>
    <cellStyle name="集計 6 2 2 2 4 3" xfId="42171"/>
    <cellStyle name="集計 6 2 2 2 4 3 2" xfId="42172"/>
    <cellStyle name="集計 6 2 2 2 4 3 3" xfId="42173"/>
    <cellStyle name="集計 6 2 2 2 4 4" xfId="42174"/>
    <cellStyle name="集計 6 2 2 2 4 4 2" xfId="42175"/>
    <cellStyle name="集計 6 2 2 2 4 4 3" xfId="42176"/>
    <cellStyle name="集計 6 2 2 2 4 5" xfId="42177"/>
    <cellStyle name="集計 6 2 2 2 4 5 2" xfId="42178"/>
    <cellStyle name="集計 6 2 2 2 4 5 3" xfId="42179"/>
    <cellStyle name="集計 6 2 2 2 4 6" xfId="42180"/>
    <cellStyle name="集計 6 2 2 2 4 7" xfId="42181"/>
    <cellStyle name="集計 6 2 2 2 5" xfId="42182"/>
    <cellStyle name="集計 6 2 2 2 5 2" xfId="42183"/>
    <cellStyle name="集計 6 2 2 2 5 2 2" xfId="42184"/>
    <cellStyle name="集計 6 2 2 2 5 2 3" xfId="42185"/>
    <cellStyle name="集計 6 2 2 2 5 3" xfId="42186"/>
    <cellStyle name="集計 6 2 2 2 5 3 2" xfId="42187"/>
    <cellStyle name="集計 6 2 2 2 5 3 3" xfId="42188"/>
    <cellStyle name="集計 6 2 2 2 5 4" xfId="42189"/>
    <cellStyle name="集計 6 2 2 2 5 4 2" xfId="42190"/>
    <cellStyle name="集計 6 2 2 2 5 4 3" xfId="42191"/>
    <cellStyle name="集計 6 2 2 2 5 5" xfId="42192"/>
    <cellStyle name="集計 6 2 2 2 5 6" xfId="42193"/>
    <cellStyle name="集計 6 2 2 2 6" xfId="42194"/>
    <cellStyle name="集計 6 2 2 2 6 2" xfId="42195"/>
    <cellStyle name="集計 6 2 2 2 6 3" xfId="42196"/>
    <cellStyle name="集計 6 2 2 2 7" xfId="42197"/>
    <cellStyle name="集計 6 2 2 2 7 2" xfId="42198"/>
    <cellStyle name="集計 6 2 2 2 7 3" xfId="42199"/>
    <cellStyle name="集計 6 2 2 2 8" xfId="42200"/>
    <cellStyle name="集計 6 2 2 2 8 2" xfId="42201"/>
    <cellStyle name="集計 6 2 2 2 8 3" xfId="42202"/>
    <cellStyle name="集計 6 2 2 2 9" xfId="42203"/>
    <cellStyle name="集計 6 2 2 3" xfId="42204"/>
    <cellStyle name="集計 6 2 2 3 2" xfId="42205"/>
    <cellStyle name="集計 6 2 2 3 2 2" xfId="42206"/>
    <cellStyle name="集計 6 2 2 3 2 2 2" xfId="42207"/>
    <cellStyle name="集計 6 2 2 3 2 2 3" xfId="42208"/>
    <cellStyle name="集計 6 2 2 3 2 3" xfId="42209"/>
    <cellStyle name="集計 6 2 2 3 2 3 2" xfId="42210"/>
    <cellStyle name="集計 6 2 2 3 2 3 3" xfId="42211"/>
    <cellStyle name="集計 6 2 2 3 2 4" xfId="42212"/>
    <cellStyle name="集計 6 2 2 3 2 4 2" xfId="42213"/>
    <cellStyle name="集計 6 2 2 3 2 4 3" xfId="42214"/>
    <cellStyle name="集計 6 2 2 3 2 5" xfId="42215"/>
    <cellStyle name="集計 6 2 2 3 2 6" xfId="42216"/>
    <cellStyle name="集計 6 2 2 3 3" xfId="42217"/>
    <cellStyle name="集計 6 2 2 3 3 2" xfId="42218"/>
    <cellStyle name="集計 6 2 2 3 3 3" xfId="42219"/>
    <cellStyle name="集計 6 2 2 3 4" xfId="42220"/>
    <cellStyle name="集計 6 2 2 3 4 2" xfId="42221"/>
    <cellStyle name="集計 6 2 2 3 4 3" xfId="42222"/>
    <cellStyle name="集計 6 2 2 3 5" xfId="42223"/>
    <cellStyle name="集計 6 2 2 3 5 2" xfId="42224"/>
    <cellStyle name="集計 6 2 2 3 5 3" xfId="42225"/>
    <cellStyle name="集計 6 2 2 3 6" xfId="42226"/>
    <cellStyle name="集計 6 2 2 3 7" xfId="42227"/>
    <cellStyle name="集計 6 2 2 4" xfId="42228"/>
    <cellStyle name="集計 6 2 2 4 2" xfId="42229"/>
    <cellStyle name="集計 6 2 2 4 2 2" xfId="42230"/>
    <cellStyle name="集計 6 2 2 4 2 2 2" xfId="42231"/>
    <cellStyle name="集計 6 2 2 4 2 2 3" xfId="42232"/>
    <cellStyle name="集計 6 2 2 4 2 3" xfId="42233"/>
    <cellStyle name="集計 6 2 2 4 2 3 2" xfId="42234"/>
    <cellStyle name="集計 6 2 2 4 2 3 3" xfId="42235"/>
    <cellStyle name="集計 6 2 2 4 2 4" xfId="42236"/>
    <cellStyle name="集計 6 2 2 4 2 4 2" xfId="42237"/>
    <cellStyle name="集計 6 2 2 4 2 4 3" xfId="42238"/>
    <cellStyle name="集計 6 2 2 4 2 5" xfId="42239"/>
    <cellStyle name="集計 6 2 2 4 2 6" xfId="42240"/>
    <cellStyle name="集計 6 2 2 4 3" xfId="42241"/>
    <cellStyle name="集計 6 2 2 4 3 2" xfId="42242"/>
    <cellStyle name="集計 6 2 2 4 3 3" xfId="42243"/>
    <cellStyle name="集計 6 2 2 4 4" xfId="42244"/>
    <cellStyle name="集計 6 2 2 4 4 2" xfId="42245"/>
    <cellStyle name="集計 6 2 2 4 4 3" xfId="42246"/>
    <cellStyle name="集計 6 2 2 4 5" xfId="42247"/>
    <cellStyle name="集計 6 2 2 4 5 2" xfId="42248"/>
    <cellStyle name="集計 6 2 2 4 5 3" xfId="42249"/>
    <cellStyle name="集計 6 2 2 4 6" xfId="42250"/>
    <cellStyle name="集計 6 2 2 4 7" xfId="42251"/>
    <cellStyle name="集計 6 2 2 5" xfId="42252"/>
    <cellStyle name="集計 6 2 2 5 2" xfId="42253"/>
    <cellStyle name="集計 6 2 2 5 2 2" xfId="42254"/>
    <cellStyle name="集計 6 2 2 5 2 3" xfId="42255"/>
    <cellStyle name="集計 6 2 2 5 3" xfId="42256"/>
    <cellStyle name="集計 6 2 2 5 3 2" xfId="42257"/>
    <cellStyle name="集計 6 2 2 5 3 3" xfId="42258"/>
    <cellStyle name="集計 6 2 2 5 4" xfId="42259"/>
    <cellStyle name="集計 6 2 2 5 4 2" xfId="42260"/>
    <cellStyle name="集計 6 2 2 5 4 3" xfId="42261"/>
    <cellStyle name="集計 6 2 2 5 5" xfId="42262"/>
    <cellStyle name="集計 6 2 2 5 6" xfId="42263"/>
    <cellStyle name="集計 6 2 2 6" xfId="42264"/>
    <cellStyle name="集計 6 2 2 6 2" xfId="42265"/>
    <cellStyle name="集計 6 2 2 6 3" xfId="42266"/>
    <cellStyle name="集計 6 2 2 7" xfId="42267"/>
    <cellStyle name="集計 6 2 2 7 2" xfId="42268"/>
    <cellStyle name="集計 6 2 2 7 3" xfId="42269"/>
    <cellStyle name="集計 6 2 2 8" xfId="42270"/>
    <cellStyle name="集計 6 2 2 8 2" xfId="42271"/>
    <cellStyle name="集計 6 2 2 8 3" xfId="42272"/>
    <cellStyle name="集計 6 2 2 9" xfId="42273"/>
    <cellStyle name="集計 6 2 3" xfId="42274"/>
    <cellStyle name="集計 6 2 3 10" xfId="42275"/>
    <cellStyle name="集計 6 2 3 2" xfId="42276"/>
    <cellStyle name="集計 6 2 3 2 10" xfId="42277"/>
    <cellStyle name="集計 6 2 3 2 2" xfId="42278"/>
    <cellStyle name="集計 6 2 3 2 2 2" xfId="42279"/>
    <cellStyle name="集計 6 2 3 2 2 2 2" xfId="42280"/>
    <cellStyle name="集計 6 2 3 2 2 2 2 2" xfId="42281"/>
    <cellStyle name="集計 6 2 3 2 2 2 2 2 2" xfId="42282"/>
    <cellStyle name="集計 6 2 3 2 2 2 2 2 3" xfId="42283"/>
    <cellStyle name="集計 6 2 3 2 2 2 2 3" xfId="42284"/>
    <cellStyle name="集計 6 2 3 2 2 2 2 3 2" xfId="42285"/>
    <cellStyle name="集計 6 2 3 2 2 2 2 3 3" xfId="42286"/>
    <cellStyle name="集計 6 2 3 2 2 2 2 4" xfId="42287"/>
    <cellStyle name="集計 6 2 3 2 2 2 2 4 2" xfId="42288"/>
    <cellStyle name="集計 6 2 3 2 2 2 2 4 3" xfId="42289"/>
    <cellStyle name="集計 6 2 3 2 2 2 2 5" xfId="42290"/>
    <cellStyle name="集計 6 2 3 2 2 2 2 6" xfId="42291"/>
    <cellStyle name="集計 6 2 3 2 2 2 3" xfId="42292"/>
    <cellStyle name="集計 6 2 3 2 2 2 3 2" xfId="42293"/>
    <cellStyle name="集計 6 2 3 2 2 2 3 3" xfId="42294"/>
    <cellStyle name="集計 6 2 3 2 2 2 4" xfId="42295"/>
    <cellStyle name="集計 6 2 3 2 2 2 4 2" xfId="42296"/>
    <cellStyle name="集計 6 2 3 2 2 2 4 3" xfId="42297"/>
    <cellStyle name="集計 6 2 3 2 2 2 5" xfId="42298"/>
    <cellStyle name="集計 6 2 3 2 2 2 5 2" xfId="42299"/>
    <cellStyle name="集計 6 2 3 2 2 2 5 3" xfId="42300"/>
    <cellStyle name="集計 6 2 3 2 2 2 6" xfId="42301"/>
    <cellStyle name="集計 6 2 3 2 2 2 7" xfId="42302"/>
    <cellStyle name="集計 6 2 3 2 2 3" xfId="42303"/>
    <cellStyle name="集計 6 2 3 2 2 3 2" xfId="42304"/>
    <cellStyle name="集計 6 2 3 2 2 3 2 2" xfId="42305"/>
    <cellStyle name="集計 6 2 3 2 2 3 2 2 2" xfId="42306"/>
    <cellStyle name="集計 6 2 3 2 2 3 2 2 3" xfId="42307"/>
    <cellStyle name="集計 6 2 3 2 2 3 2 3" xfId="42308"/>
    <cellStyle name="集計 6 2 3 2 2 3 2 3 2" xfId="42309"/>
    <cellStyle name="集計 6 2 3 2 2 3 2 3 3" xfId="42310"/>
    <cellStyle name="集計 6 2 3 2 2 3 2 4" xfId="42311"/>
    <cellStyle name="集計 6 2 3 2 2 3 2 4 2" xfId="42312"/>
    <cellStyle name="集計 6 2 3 2 2 3 2 4 3" xfId="42313"/>
    <cellStyle name="集計 6 2 3 2 2 3 2 5" xfId="42314"/>
    <cellStyle name="集計 6 2 3 2 2 3 2 6" xfId="42315"/>
    <cellStyle name="集計 6 2 3 2 2 3 3" xfId="42316"/>
    <cellStyle name="集計 6 2 3 2 2 3 3 2" xfId="42317"/>
    <cellStyle name="集計 6 2 3 2 2 3 3 3" xfId="42318"/>
    <cellStyle name="集計 6 2 3 2 2 3 4" xfId="42319"/>
    <cellStyle name="集計 6 2 3 2 2 3 4 2" xfId="42320"/>
    <cellStyle name="集計 6 2 3 2 2 3 4 3" xfId="42321"/>
    <cellStyle name="集計 6 2 3 2 2 3 5" xfId="42322"/>
    <cellStyle name="集計 6 2 3 2 2 3 5 2" xfId="42323"/>
    <cellStyle name="集計 6 2 3 2 2 3 5 3" xfId="42324"/>
    <cellStyle name="集計 6 2 3 2 2 3 6" xfId="42325"/>
    <cellStyle name="集計 6 2 3 2 2 3 7" xfId="42326"/>
    <cellStyle name="集計 6 2 3 2 2 4" xfId="42327"/>
    <cellStyle name="集計 6 2 3 2 2 4 2" xfId="42328"/>
    <cellStyle name="集計 6 2 3 2 2 4 2 2" xfId="42329"/>
    <cellStyle name="集計 6 2 3 2 2 4 2 3" xfId="42330"/>
    <cellStyle name="集計 6 2 3 2 2 4 3" xfId="42331"/>
    <cellStyle name="集計 6 2 3 2 2 4 3 2" xfId="42332"/>
    <cellStyle name="集計 6 2 3 2 2 4 3 3" xfId="42333"/>
    <cellStyle name="集計 6 2 3 2 2 4 4" xfId="42334"/>
    <cellStyle name="集計 6 2 3 2 2 4 4 2" xfId="42335"/>
    <cellStyle name="集計 6 2 3 2 2 4 4 3" xfId="42336"/>
    <cellStyle name="集計 6 2 3 2 2 4 5" xfId="42337"/>
    <cellStyle name="集計 6 2 3 2 2 4 6" xfId="42338"/>
    <cellStyle name="集計 6 2 3 2 2 5" xfId="42339"/>
    <cellStyle name="集計 6 2 3 2 2 5 2" xfId="42340"/>
    <cellStyle name="集計 6 2 3 2 2 5 3" xfId="42341"/>
    <cellStyle name="集計 6 2 3 2 2 6" xfId="42342"/>
    <cellStyle name="集計 6 2 3 2 2 6 2" xfId="42343"/>
    <cellStyle name="集計 6 2 3 2 2 6 3" xfId="42344"/>
    <cellStyle name="集計 6 2 3 2 2 7" xfId="42345"/>
    <cellStyle name="集計 6 2 3 2 2 7 2" xfId="42346"/>
    <cellStyle name="集計 6 2 3 2 2 7 3" xfId="42347"/>
    <cellStyle name="集計 6 2 3 2 2 8" xfId="42348"/>
    <cellStyle name="集計 6 2 3 2 2 9" xfId="42349"/>
    <cellStyle name="集計 6 2 3 2 3" xfId="42350"/>
    <cellStyle name="集計 6 2 3 2 3 2" xfId="42351"/>
    <cellStyle name="集計 6 2 3 2 3 2 2" xfId="42352"/>
    <cellStyle name="集計 6 2 3 2 3 2 2 2" xfId="42353"/>
    <cellStyle name="集計 6 2 3 2 3 2 2 3" xfId="42354"/>
    <cellStyle name="集計 6 2 3 2 3 2 3" xfId="42355"/>
    <cellStyle name="集計 6 2 3 2 3 2 3 2" xfId="42356"/>
    <cellStyle name="集計 6 2 3 2 3 2 3 3" xfId="42357"/>
    <cellStyle name="集計 6 2 3 2 3 2 4" xfId="42358"/>
    <cellStyle name="集計 6 2 3 2 3 2 4 2" xfId="42359"/>
    <cellStyle name="集計 6 2 3 2 3 2 4 3" xfId="42360"/>
    <cellStyle name="集計 6 2 3 2 3 2 5" xfId="42361"/>
    <cellStyle name="集計 6 2 3 2 3 2 6" xfId="42362"/>
    <cellStyle name="集計 6 2 3 2 3 3" xfId="42363"/>
    <cellStyle name="集計 6 2 3 2 3 3 2" xfId="42364"/>
    <cellStyle name="集計 6 2 3 2 3 3 3" xfId="42365"/>
    <cellStyle name="集計 6 2 3 2 3 4" xfId="42366"/>
    <cellStyle name="集計 6 2 3 2 3 4 2" xfId="42367"/>
    <cellStyle name="集計 6 2 3 2 3 4 3" xfId="42368"/>
    <cellStyle name="集計 6 2 3 2 3 5" xfId="42369"/>
    <cellStyle name="集計 6 2 3 2 3 5 2" xfId="42370"/>
    <cellStyle name="集計 6 2 3 2 3 5 3" xfId="42371"/>
    <cellStyle name="集計 6 2 3 2 3 6" xfId="42372"/>
    <cellStyle name="集計 6 2 3 2 3 7" xfId="42373"/>
    <cellStyle name="集計 6 2 3 2 4" xfId="42374"/>
    <cellStyle name="集計 6 2 3 2 4 2" xfId="42375"/>
    <cellStyle name="集計 6 2 3 2 4 2 2" xfId="42376"/>
    <cellStyle name="集計 6 2 3 2 4 2 2 2" xfId="42377"/>
    <cellStyle name="集計 6 2 3 2 4 2 2 3" xfId="42378"/>
    <cellStyle name="集計 6 2 3 2 4 2 3" xfId="42379"/>
    <cellStyle name="集計 6 2 3 2 4 2 3 2" xfId="42380"/>
    <cellStyle name="集計 6 2 3 2 4 2 3 3" xfId="42381"/>
    <cellStyle name="集計 6 2 3 2 4 2 4" xfId="42382"/>
    <cellStyle name="集計 6 2 3 2 4 2 4 2" xfId="42383"/>
    <cellStyle name="集計 6 2 3 2 4 2 4 3" xfId="42384"/>
    <cellStyle name="集計 6 2 3 2 4 2 5" xfId="42385"/>
    <cellStyle name="集計 6 2 3 2 4 2 6" xfId="42386"/>
    <cellStyle name="集計 6 2 3 2 4 3" xfId="42387"/>
    <cellStyle name="集計 6 2 3 2 4 3 2" xfId="42388"/>
    <cellStyle name="集計 6 2 3 2 4 3 3" xfId="42389"/>
    <cellStyle name="集計 6 2 3 2 4 4" xfId="42390"/>
    <cellStyle name="集計 6 2 3 2 4 4 2" xfId="42391"/>
    <cellStyle name="集計 6 2 3 2 4 4 3" xfId="42392"/>
    <cellStyle name="集計 6 2 3 2 4 5" xfId="42393"/>
    <cellStyle name="集計 6 2 3 2 4 5 2" xfId="42394"/>
    <cellStyle name="集計 6 2 3 2 4 5 3" xfId="42395"/>
    <cellStyle name="集計 6 2 3 2 4 6" xfId="42396"/>
    <cellStyle name="集計 6 2 3 2 4 7" xfId="42397"/>
    <cellStyle name="集計 6 2 3 2 5" xfId="42398"/>
    <cellStyle name="集計 6 2 3 2 5 2" xfId="42399"/>
    <cellStyle name="集計 6 2 3 2 5 2 2" xfId="42400"/>
    <cellStyle name="集計 6 2 3 2 5 2 3" xfId="42401"/>
    <cellStyle name="集計 6 2 3 2 5 3" xfId="42402"/>
    <cellStyle name="集計 6 2 3 2 5 3 2" xfId="42403"/>
    <cellStyle name="集計 6 2 3 2 5 3 3" xfId="42404"/>
    <cellStyle name="集計 6 2 3 2 5 4" xfId="42405"/>
    <cellStyle name="集計 6 2 3 2 5 4 2" xfId="42406"/>
    <cellStyle name="集計 6 2 3 2 5 4 3" xfId="42407"/>
    <cellStyle name="集計 6 2 3 2 5 5" xfId="42408"/>
    <cellStyle name="集計 6 2 3 2 5 6" xfId="42409"/>
    <cellStyle name="集計 6 2 3 2 6" xfId="42410"/>
    <cellStyle name="集計 6 2 3 2 6 2" xfId="42411"/>
    <cellStyle name="集計 6 2 3 2 6 3" xfId="42412"/>
    <cellStyle name="集計 6 2 3 2 7" xfId="42413"/>
    <cellStyle name="集計 6 2 3 2 7 2" xfId="42414"/>
    <cellStyle name="集計 6 2 3 2 7 3" xfId="42415"/>
    <cellStyle name="集計 6 2 3 2 8" xfId="42416"/>
    <cellStyle name="集計 6 2 3 2 8 2" xfId="42417"/>
    <cellStyle name="集計 6 2 3 2 8 3" xfId="42418"/>
    <cellStyle name="集計 6 2 3 2 9" xfId="42419"/>
    <cellStyle name="集計 6 2 3 3" xfId="42420"/>
    <cellStyle name="集計 6 2 3 3 2" xfId="42421"/>
    <cellStyle name="集計 6 2 3 3 2 2" xfId="42422"/>
    <cellStyle name="集計 6 2 3 3 2 2 2" xfId="42423"/>
    <cellStyle name="集計 6 2 3 3 2 2 3" xfId="42424"/>
    <cellStyle name="集計 6 2 3 3 2 3" xfId="42425"/>
    <cellStyle name="集計 6 2 3 3 2 3 2" xfId="42426"/>
    <cellStyle name="集計 6 2 3 3 2 3 3" xfId="42427"/>
    <cellStyle name="集計 6 2 3 3 2 4" xfId="42428"/>
    <cellStyle name="集計 6 2 3 3 2 4 2" xfId="42429"/>
    <cellStyle name="集計 6 2 3 3 2 4 3" xfId="42430"/>
    <cellStyle name="集計 6 2 3 3 2 5" xfId="42431"/>
    <cellStyle name="集計 6 2 3 3 2 6" xfId="42432"/>
    <cellStyle name="集計 6 2 3 3 3" xfId="42433"/>
    <cellStyle name="集計 6 2 3 3 3 2" xfId="42434"/>
    <cellStyle name="集計 6 2 3 3 3 3" xfId="42435"/>
    <cellStyle name="集計 6 2 3 3 4" xfId="42436"/>
    <cellStyle name="集計 6 2 3 3 4 2" xfId="42437"/>
    <cellStyle name="集計 6 2 3 3 4 3" xfId="42438"/>
    <cellStyle name="集計 6 2 3 3 5" xfId="42439"/>
    <cellStyle name="集計 6 2 3 3 5 2" xfId="42440"/>
    <cellStyle name="集計 6 2 3 3 5 3" xfId="42441"/>
    <cellStyle name="集計 6 2 3 3 6" xfId="42442"/>
    <cellStyle name="集計 6 2 3 3 7" xfId="42443"/>
    <cellStyle name="集計 6 2 3 4" xfId="42444"/>
    <cellStyle name="集計 6 2 3 4 2" xfId="42445"/>
    <cellStyle name="集計 6 2 3 4 2 2" xfId="42446"/>
    <cellStyle name="集計 6 2 3 4 2 2 2" xfId="42447"/>
    <cellStyle name="集計 6 2 3 4 2 2 3" xfId="42448"/>
    <cellStyle name="集計 6 2 3 4 2 3" xfId="42449"/>
    <cellStyle name="集計 6 2 3 4 2 3 2" xfId="42450"/>
    <cellStyle name="集計 6 2 3 4 2 3 3" xfId="42451"/>
    <cellStyle name="集計 6 2 3 4 2 4" xfId="42452"/>
    <cellStyle name="集計 6 2 3 4 2 4 2" xfId="42453"/>
    <cellStyle name="集計 6 2 3 4 2 4 3" xfId="42454"/>
    <cellStyle name="集計 6 2 3 4 2 5" xfId="42455"/>
    <cellStyle name="集計 6 2 3 4 2 6" xfId="42456"/>
    <cellStyle name="集計 6 2 3 4 3" xfId="42457"/>
    <cellStyle name="集計 6 2 3 4 3 2" xfId="42458"/>
    <cellStyle name="集計 6 2 3 4 3 3" xfId="42459"/>
    <cellStyle name="集計 6 2 3 4 4" xfId="42460"/>
    <cellStyle name="集計 6 2 3 4 4 2" xfId="42461"/>
    <cellStyle name="集計 6 2 3 4 4 3" xfId="42462"/>
    <cellStyle name="集計 6 2 3 4 5" xfId="42463"/>
    <cellStyle name="集計 6 2 3 4 5 2" xfId="42464"/>
    <cellStyle name="集計 6 2 3 4 5 3" xfId="42465"/>
    <cellStyle name="集計 6 2 3 4 6" xfId="42466"/>
    <cellStyle name="集計 6 2 3 4 7" xfId="42467"/>
    <cellStyle name="集計 6 2 3 5" xfId="42468"/>
    <cellStyle name="集計 6 2 3 5 2" xfId="42469"/>
    <cellStyle name="集計 6 2 3 5 2 2" xfId="42470"/>
    <cellStyle name="集計 6 2 3 5 2 3" xfId="42471"/>
    <cellStyle name="集計 6 2 3 5 3" xfId="42472"/>
    <cellStyle name="集計 6 2 3 5 3 2" xfId="42473"/>
    <cellStyle name="集計 6 2 3 5 3 3" xfId="42474"/>
    <cellStyle name="集計 6 2 3 5 4" xfId="42475"/>
    <cellStyle name="集計 6 2 3 5 4 2" xfId="42476"/>
    <cellStyle name="集計 6 2 3 5 4 3" xfId="42477"/>
    <cellStyle name="集計 6 2 3 5 5" xfId="42478"/>
    <cellStyle name="集計 6 2 3 5 6" xfId="42479"/>
    <cellStyle name="集計 6 2 3 6" xfId="42480"/>
    <cellStyle name="集計 6 2 3 6 2" xfId="42481"/>
    <cellStyle name="集計 6 2 3 6 3" xfId="42482"/>
    <cellStyle name="集計 6 2 3 7" xfId="42483"/>
    <cellStyle name="集計 6 2 3 7 2" xfId="42484"/>
    <cellStyle name="集計 6 2 3 7 3" xfId="42485"/>
    <cellStyle name="集計 6 2 3 8" xfId="42486"/>
    <cellStyle name="集計 6 2 3 8 2" xfId="42487"/>
    <cellStyle name="集計 6 2 3 8 3" xfId="42488"/>
    <cellStyle name="集計 6 2 3 9" xfId="42489"/>
    <cellStyle name="集計 6 2 4" xfId="42490"/>
    <cellStyle name="集計 6 2 4 10" xfId="42491"/>
    <cellStyle name="集計 6 2 4 2" xfId="42492"/>
    <cellStyle name="集計 6 2 4 2 10" xfId="42493"/>
    <cellStyle name="集計 6 2 4 2 2" xfId="42494"/>
    <cellStyle name="集計 6 2 4 2 2 2" xfId="42495"/>
    <cellStyle name="集計 6 2 4 2 2 2 2" xfId="42496"/>
    <cellStyle name="集計 6 2 4 2 2 2 2 2" xfId="42497"/>
    <cellStyle name="集計 6 2 4 2 2 2 2 2 2" xfId="42498"/>
    <cellStyle name="集計 6 2 4 2 2 2 2 2 3" xfId="42499"/>
    <cellStyle name="集計 6 2 4 2 2 2 2 3" xfId="42500"/>
    <cellStyle name="集計 6 2 4 2 2 2 2 3 2" xfId="42501"/>
    <cellStyle name="集計 6 2 4 2 2 2 2 3 3" xfId="42502"/>
    <cellStyle name="集計 6 2 4 2 2 2 2 4" xfId="42503"/>
    <cellStyle name="集計 6 2 4 2 2 2 2 4 2" xfId="42504"/>
    <cellStyle name="集計 6 2 4 2 2 2 2 4 3" xfId="42505"/>
    <cellStyle name="集計 6 2 4 2 2 2 2 5" xfId="42506"/>
    <cellStyle name="集計 6 2 4 2 2 2 2 6" xfId="42507"/>
    <cellStyle name="集計 6 2 4 2 2 2 3" xfId="42508"/>
    <cellStyle name="集計 6 2 4 2 2 2 3 2" xfId="42509"/>
    <cellStyle name="集計 6 2 4 2 2 2 3 3" xfId="42510"/>
    <cellStyle name="集計 6 2 4 2 2 2 4" xfId="42511"/>
    <cellStyle name="集計 6 2 4 2 2 2 4 2" xfId="42512"/>
    <cellStyle name="集計 6 2 4 2 2 2 4 3" xfId="42513"/>
    <cellStyle name="集計 6 2 4 2 2 2 5" xfId="42514"/>
    <cellStyle name="集計 6 2 4 2 2 2 5 2" xfId="42515"/>
    <cellStyle name="集計 6 2 4 2 2 2 5 3" xfId="42516"/>
    <cellStyle name="集計 6 2 4 2 2 2 6" xfId="42517"/>
    <cellStyle name="集計 6 2 4 2 2 2 7" xfId="42518"/>
    <cellStyle name="集計 6 2 4 2 2 3" xfId="42519"/>
    <cellStyle name="集計 6 2 4 2 2 3 2" xfId="42520"/>
    <cellStyle name="集計 6 2 4 2 2 3 2 2" xfId="42521"/>
    <cellStyle name="集計 6 2 4 2 2 3 2 2 2" xfId="42522"/>
    <cellStyle name="集計 6 2 4 2 2 3 2 2 3" xfId="42523"/>
    <cellStyle name="集計 6 2 4 2 2 3 2 3" xfId="42524"/>
    <cellStyle name="集計 6 2 4 2 2 3 2 3 2" xfId="42525"/>
    <cellStyle name="集計 6 2 4 2 2 3 2 3 3" xfId="42526"/>
    <cellStyle name="集計 6 2 4 2 2 3 2 4" xfId="42527"/>
    <cellStyle name="集計 6 2 4 2 2 3 2 4 2" xfId="42528"/>
    <cellStyle name="集計 6 2 4 2 2 3 2 4 3" xfId="42529"/>
    <cellStyle name="集計 6 2 4 2 2 3 2 5" xfId="42530"/>
    <cellStyle name="集計 6 2 4 2 2 3 2 6" xfId="42531"/>
    <cellStyle name="集計 6 2 4 2 2 3 3" xfId="42532"/>
    <cellStyle name="集計 6 2 4 2 2 3 3 2" xfId="42533"/>
    <cellStyle name="集計 6 2 4 2 2 3 3 3" xfId="42534"/>
    <cellStyle name="集計 6 2 4 2 2 3 4" xfId="42535"/>
    <cellStyle name="集計 6 2 4 2 2 3 4 2" xfId="42536"/>
    <cellStyle name="集計 6 2 4 2 2 3 4 3" xfId="42537"/>
    <cellStyle name="集計 6 2 4 2 2 3 5" xfId="42538"/>
    <cellStyle name="集計 6 2 4 2 2 3 5 2" xfId="42539"/>
    <cellStyle name="集計 6 2 4 2 2 3 5 3" xfId="42540"/>
    <cellStyle name="集計 6 2 4 2 2 3 6" xfId="42541"/>
    <cellStyle name="集計 6 2 4 2 2 3 7" xfId="42542"/>
    <cellStyle name="集計 6 2 4 2 2 4" xfId="42543"/>
    <cellStyle name="集計 6 2 4 2 2 4 2" xfId="42544"/>
    <cellStyle name="集計 6 2 4 2 2 4 2 2" xfId="42545"/>
    <cellStyle name="集計 6 2 4 2 2 4 2 3" xfId="42546"/>
    <cellStyle name="集計 6 2 4 2 2 4 3" xfId="42547"/>
    <cellStyle name="集計 6 2 4 2 2 4 3 2" xfId="42548"/>
    <cellStyle name="集計 6 2 4 2 2 4 3 3" xfId="42549"/>
    <cellStyle name="集計 6 2 4 2 2 4 4" xfId="42550"/>
    <cellStyle name="集計 6 2 4 2 2 4 4 2" xfId="42551"/>
    <cellStyle name="集計 6 2 4 2 2 4 4 3" xfId="42552"/>
    <cellStyle name="集計 6 2 4 2 2 4 5" xfId="42553"/>
    <cellStyle name="集計 6 2 4 2 2 4 6" xfId="42554"/>
    <cellStyle name="集計 6 2 4 2 2 5" xfId="42555"/>
    <cellStyle name="集計 6 2 4 2 2 5 2" xfId="42556"/>
    <cellStyle name="集計 6 2 4 2 2 5 3" xfId="42557"/>
    <cellStyle name="集計 6 2 4 2 2 6" xfId="42558"/>
    <cellStyle name="集計 6 2 4 2 2 6 2" xfId="42559"/>
    <cellStyle name="集計 6 2 4 2 2 6 3" xfId="42560"/>
    <cellStyle name="集計 6 2 4 2 2 7" xfId="42561"/>
    <cellStyle name="集計 6 2 4 2 2 7 2" xfId="42562"/>
    <cellStyle name="集計 6 2 4 2 2 7 3" xfId="42563"/>
    <cellStyle name="集計 6 2 4 2 2 8" xfId="42564"/>
    <cellStyle name="集計 6 2 4 2 2 9" xfId="42565"/>
    <cellStyle name="集計 6 2 4 2 3" xfId="42566"/>
    <cellStyle name="集計 6 2 4 2 3 2" xfId="42567"/>
    <cellStyle name="集計 6 2 4 2 3 2 2" xfId="42568"/>
    <cellStyle name="集計 6 2 4 2 3 2 2 2" xfId="42569"/>
    <cellStyle name="集計 6 2 4 2 3 2 2 3" xfId="42570"/>
    <cellStyle name="集計 6 2 4 2 3 2 3" xfId="42571"/>
    <cellStyle name="集計 6 2 4 2 3 2 3 2" xfId="42572"/>
    <cellStyle name="集計 6 2 4 2 3 2 3 3" xfId="42573"/>
    <cellStyle name="集計 6 2 4 2 3 2 4" xfId="42574"/>
    <cellStyle name="集計 6 2 4 2 3 2 4 2" xfId="42575"/>
    <cellStyle name="集計 6 2 4 2 3 2 4 3" xfId="42576"/>
    <cellStyle name="集計 6 2 4 2 3 2 5" xfId="42577"/>
    <cellStyle name="集計 6 2 4 2 3 2 6" xfId="42578"/>
    <cellStyle name="集計 6 2 4 2 3 3" xfId="42579"/>
    <cellStyle name="集計 6 2 4 2 3 3 2" xfId="42580"/>
    <cellStyle name="集計 6 2 4 2 3 3 3" xfId="42581"/>
    <cellStyle name="集計 6 2 4 2 3 4" xfId="42582"/>
    <cellStyle name="集計 6 2 4 2 3 4 2" xfId="42583"/>
    <cellStyle name="集計 6 2 4 2 3 4 3" xfId="42584"/>
    <cellStyle name="集計 6 2 4 2 3 5" xfId="42585"/>
    <cellStyle name="集計 6 2 4 2 3 5 2" xfId="42586"/>
    <cellStyle name="集計 6 2 4 2 3 5 3" xfId="42587"/>
    <cellStyle name="集計 6 2 4 2 3 6" xfId="42588"/>
    <cellStyle name="集計 6 2 4 2 3 7" xfId="42589"/>
    <cellStyle name="集計 6 2 4 2 4" xfId="42590"/>
    <cellStyle name="集計 6 2 4 2 4 2" xfId="42591"/>
    <cellStyle name="集計 6 2 4 2 4 2 2" xfId="42592"/>
    <cellStyle name="集計 6 2 4 2 4 2 2 2" xfId="42593"/>
    <cellStyle name="集計 6 2 4 2 4 2 2 3" xfId="42594"/>
    <cellStyle name="集計 6 2 4 2 4 2 3" xfId="42595"/>
    <cellStyle name="集計 6 2 4 2 4 2 3 2" xfId="42596"/>
    <cellStyle name="集計 6 2 4 2 4 2 3 3" xfId="42597"/>
    <cellStyle name="集計 6 2 4 2 4 2 4" xfId="42598"/>
    <cellStyle name="集計 6 2 4 2 4 2 4 2" xfId="42599"/>
    <cellStyle name="集計 6 2 4 2 4 2 4 3" xfId="42600"/>
    <cellStyle name="集計 6 2 4 2 4 2 5" xfId="42601"/>
    <cellStyle name="集計 6 2 4 2 4 2 6" xfId="42602"/>
    <cellStyle name="集計 6 2 4 2 4 3" xfId="42603"/>
    <cellStyle name="集計 6 2 4 2 4 3 2" xfId="42604"/>
    <cellStyle name="集計 6 2 4 2 4 3 3" xfId="42605"/>
    <cellStyle name="集計 6 2 4 2 4 4" xfId="42606"/>
    <cellStyle name="集計 6 2 4 2 4 4 2" xfId="42607"/>
    <cellStyle name="集計 6 2 4 2 4 4 3" xfId="42608"/>
    <cellStyle name="集計 6 2 4 2 4 5" xfId="42609"/>
    <cellStyle name="集計 6 2 4 2 4 5 2" xfId="42610"/>
    <cellStyle name="集計 6 2 4 2 4 5 3" xfId="42611"/>
    <cellStyle name="集計 6 2 4 2 4 6" xfId="42612"/>
    <cellStyle name="集計 6 2 4 2 4 7" xfId="42613"/>
    <cellStyle name="集計 6 2 4 2 5" xfId="42614"/>
    <cellStyle name="集計 6 2 4 2 5 2" xfId="42615"/>
    <cellStyle name="集計 6 2 4 2 5 2 2" xfId="42616"/>
    <cellStyle name="集計 6 2 4 2 5 2 3" xfId="42617"/>
    <cellStyle name="集計 6 2 4 2 5 3" xfId="42618"/>
    <cellStyle name="集計 6 2 4 2 5 3 2" xfId="42619"/>
    <cellStyle name="集計 6 2 4 2 5 3 3" xfId="42620"/>
    <cellStyle name="集計 6 2 4 2 5 4" xfId="42621"/>
    <cellStyle name="集計 6 2 4 2 5 4 2" xfId="42622"/>
    <cellStyle name="集計 6 2 4 2 5 4 3" xfId="42623"/>
    <cellStyle name="集計 6 2 4 2 5 5" xfId="42624"/>
    <cellStyle name="集計 6 2 4 2 5 6" xfId="42625"/>
    <cellStyle name="集計 6 2 4 2 6" xfId="42626"/>
    <cellStyle name="集計 6 2 4 2 6 2" xfId="42627"/>
    <cellStyle name="集計 6 2 4 2 6 3" xfId="42628"/>
    <cellStyle name="集計 6 2 4 2 7" xfId="42629"/>
    <cellStyle name="集計 6 2 4 2 7 2" xfId="42630"/>
    <cellStyle name="集計 6 2 4 2 7 3" xfId="42631"/>
    <cellStyle name="集計 6 2 4 2 8" xfId="42632"/>
    <cellStyle name="集計 6 2 4 2 8 2" xfId="42633"/>
    <cellStyle name="集計 6 2 4 2 8 3" xfId="42634"/>
    <cellStyle name="集計 6 2 4 2 9" xfId="42635"/>
    <cellStyle name="集計 6 2 4 3" xfId="42636"/>
    <cellStyle name="集計 6 2 4 3 2" xfId="42637"/>
    <cellStyle name="集計 6 2 4 3 2 2" xfId="42638"/>
    <cellStyle name="集計 6 2 4 3 2 2 2" xfId="42639"/>
    <cellStyle name="集計 6 2 4 3 2 2 3" xfId="42640"/>
    <cellStyle name="集計 6 2 4 3 2 3" xfId="42641"/>
    <cellStyle name="集計 6 2 4 3 2 3 2" xfId="42642"/>
    <cellStyle name="集計 6 2 4 3 2 3 3" xfId="42643"/>
    <cellStyle name="集計 6 2 4 3 2 4" xfId="42644"/>
    <cellStyle name="集計 6 2 4 3 2 4 2" xfId="42645"/>
    <cellStyle name="集計 6 2 4 3 2 4 3" xfId="42646"/>
    <cellStyle name="集計 6 2 4 3 2 5" xfId="42647"/>
    <cellStyle name="集計 6 2 4 3 2 6" xfId="42648"/>
    <cellStyle name="集計 6 2 4 3 3" xfId="42649"/>
    <cellStyle name="集計 6 2 4 3 3 2" xfId="42650"/>
    <cellStyle name="集計 6 2 4 3 3 3" xfId="42651"/>
    <cellStyle name="集計 6 2 4 3 4" xfId="42652"/>
    <cellStyle name="集計 6 2 4 3 4 2" xfId="42653"/>
    <cellStyle name="集計 6 2 4 3 4 3" xfId="42654"/>
    <cellStyle name="集計 6 2 4 3 5" xfId="42655"/>
    <cellStyle name="集計 6 2 4 3 5 2" xfId="42656"/>
    <cellStyle name="集計 6 2 4 3 5 3" xfId="42657"/>
    <cellStyle name="集計 6 2 4 3 6" xfId="42658"/>
    <cellStyle name="集計 6 2 4 3 7" xfId="42659"/>
    <cellStyle name="集計 6 2 4 4" xfId="42660"/>
    <cellStyle name="集計 6 2 4 4 2" xfId="42661"/>
    <cellStyle name="集計 6 2 4 4 2 2" xfId="42662"/>
    <cellStyle name="集計 6 2 4 4 2 2 2" xfId="42663"/>
    <cellStyle name="集計 6 2 4 4 2 2 3" xfId="42664"/>
    <cellStyle name="集計 6 2 4 4 2 3" xfId="42665"/>
    <cellStyle name="集計 6 2 4 4 2 3 2" xfId="42666"/>
    <cellStyle name="集計 6 2 4 4 2 3 3" xfId="42667"/>
    <cellStyle name="集計 6 2 4 4 2 4" xfId="42668"/>
    <cellStyle name="集計 6 2 4 4 2 4 2" xfId="42669"/>
    <cellStyle name="集計 6 2 4 4 2 4 3" xfId="42670"/>
    <cellStyle name="集計 6 2 4 4 2 5" xfId="42671"/>
    <cellStyle name="集計 6 2 4 4 2 6" xfId="42672"/>
    <cellStyle name="集計 6 2 4 4 3" xfId="42673"/>
    <cellStyle name="集計 6 2 4 4 3 2" xfId="42674"/>
    <cellStyle name="集計 6 2 4 4 3 3" xfId="42675"/>
    <cellStyle name="集計 6 2 4 4 4" xfId="42676"/>
    <cellStyle name="集計 6 2 4 4 4 2" xfId="42677"/>
    <cellStyle name="集計 6 2 4 4 4 3" xfId="42678"/>
    <cellStyle name="集計 6 2 4 4 5" xfId="42679"/>
    <cellStyle name="集計 6 2 4 4 5 2" xfId="42680"/>
    <cellStyle name="集計 6 2 4 4 5 3" xfId="42681"/>
    <cellStyle name="集計 6 2 4 4 6" xfId="42682"/>
    <cellStyle name="集計 6 2 4 4 7" xfId="42683"/>
    <cellStyle name="集計 6 2 4 5" xfId="42684"/>
    <cellStyle name="集計 6 2 4 5 2" xfId="42685"/>
    <cellStyle name="集計 6 2 4 5 2 2" xfId="42686"/>
    <cellStyle name="集計 6 2 4 5 2 3" xfId="42687"/>
    <cellStyle name="集計 6 2 4 5 3" xfId="42688"/>
    <cellStyle name="集計 6 2 4 5 3 2" xfId="42689"/>
    <cellStyle name="集計 6 2 4 5 3 3" xfId="42690"/>
    <cellStyle name="集計 6 2 4 5 4" xfId="42691"/>
    <cellStyle name="集計 6 2 4 5 4 2" xfId="42692"/>
    <cellStyle name="集計 6 2 4 5 4 3" xfId="42693"/>
    <cellStyle name="集計 6 2 4 5 5" xfId="42694"/>
    <cellStyle name="集計 6 2 4 5 6" xfId="42695"/>
    <cellStyle name="集計 6 2 4 6" xfId="42696"/>
    <cellStyle name="集計 6 2 4 6 2" xfId="42697"/>
    <cellStyle name="集計 6 2 4 6 3" xfId="42698"/>
    <cellStyle name="集計 6 2 4 7" xfId="42699"/>
    <cellStyle name="集計 6 2 4 7 2" xfId="42700"/>
    <cellStyle name="集計 6 2 4 7 3" xfId="42701"/>
    <cellStyle name="集計 6 2 4 8" xfId="42702"/>
    <cellStyle name="集計 6 2 4 8 2" xfId="42703"/>
    <cellStyle name="集計 6 2 4 8 3" xfId="42704"/>
    <cellStyle name="集計 6 2 4 9" xfId="42705"/>
    <cellStyle name="集計 6 2 5" xfId="42706"/>
    <cellStyle name="集計 6 2 5 10" xfId="42707"/>
    <cellStyle name="集計 6 2 5 2" xfId="42708"/>
    <cellStyle name="集計 6 2 5 2 2" xfId="42709"/>
    <cellStyle name="集計 6 2 5 2 2 2" xfId="42710"/>
    <cellStyle name="集計 6 2 5 2 2 2 2" xfId="42711"/>
    <cellStyle name="集計 6 2 5 2 2 2 2 2" xfId="42712"/>
    <cellStyle name="集計 6 2 5 2 2 2 2 3" xfId="42713"/>
    <cellStyle name="集計 6 2 5 2 2 2 3" xfId="42714"/>
    <cellStyle name="集計 6 2 5 2 2 2 3 2" xfId="42715"/>
    <cellStyle name="集計 6 2 5 2 2 2 3 3" xfId="42716"/>
    <cellStyle name="集計 6 2 5 2 2 2 4" xfId="42717"/>
    <cellStyle name="集計 6 2 5 2 2 2 4 2" xfId="42718"/>
    <cellStyle name="集計 6 2 5 2 2 2 4 3" xfId="42719"/>
    <cellStyle name="集計 6 2 5 2 2 2 5" xfId="42720"/>
    <cellStyle name="集計 6 2 5 2 2 2 6" xfId="42721"/>
    <cellStyle name="集計 6 2 5 2 2 3" xfId="42722"/>
    <cellStyle name="集計 6 2 5 2 2 3 2" xfId="42723"/>
    <cellStyle name="集計 6 2 5 2 2 3 3" xfId="42724"/>
    <cellStyle name="集計 6 2 5 2 2 4" xfId="42725"/>
    <cellStyle name="集計 6 2 5 2 2 4 2" xfId="42726"/>
    <cellStyle name="集計 6 2 5 2 2 4 3" xfId="42727"/>
    <cellStyle name="集計 6 2 5 2 2 5" xfId="42728"/>
    <cellStyle name="集計 6 2 5 2 2 5 2" xfId="42729"/>
    <cellStyle name="集計 6 2 5 2 2 5 3" xfId="42730"/>
    <cellStyle name="集計 6 2 5 2 2 6" xfId="42731"/>
    <cellStyle name="集計 6 2 5 2 2 7" xfId="42732"/>
    <cellStyle name="集計 6 2 5 2 3" xfId="42733"/>
    <cellStyle name="集計 6 2 5 2 3 2" xfId="42734"/>
    <cellStyle name="集計 6 2 5 2 3 2 2" xfId="42735"/>
    <cellStyle name="集計 6 2 5 2 3 2 2 2" xfId="42736"/>
    <cellStyle name="集計 6 2 5 2 3 2 2 3" xfId="42737"/>
    <cellStyle name="集計 6 2 5 2 3 2 3" xfId="42738"/>
    <cellStyle name="集計 6 2 5 2 3 2 3 2" xfId="42739"/>
    <cellStyle name="集計 6 2 5 2 3 2 3 3" xfId="42740"/>
    <cellStyle name="集計 6 2 5 2 3 2 4" xfId="42741"/>
    <cellStyle name="集計 6 2 5 2 3 2 4 2" xfId="42742"/>
    <cellStyle name="集計 6 2 5 2 3 2 4 3" xfId="42743"/>
    <cellStyle name="集計 6 2 5 2 3 2 5" xfId="42744"/>
    <cellStyle name="集計 6 2 5 2 3 2 6" xfId="42745"/>
    <cellStyle name="集計 6 2 5 2 3 3" xfId="42746"/>
    <cellStyle name="集計 6 2 5 2 3 3 2" xfId="42747"/>
    <cellStyle name="集計 6 2 5 2 3 3 3" xfId="42748"/>
    <cellStyle name="集計 6 2 5 2 3 4" xfId="42749"/>
    <cellStyle name="集計 6 2 5 2 3 4 2" xfId="42750"/>
    <cellStyle name="集計 6 2 5 2 3 4 3" xfId="42751"/>
    <cellStyle name="集計 6 2 5 2 3 5" xfId="42752"/>
    <cellStyle name="集計 6 2 5 2 3 5 2" xfId="42753"/>
    <cellStyle name="集計 6 2 5 2 3 5 3" xfId="42754"/>
    <cellStyle name="集計 6 2 5 2 3 6" xfId="42755"/>
    <cellStyle name="集計 6 2 5 2 3 7" xfId="42756"/>
    <cellStyle name="集計 6 2 5 2 4" xfId="42757"/>
    <cellStyle name="集計 6 2 5 2 4 2" xfId="42758"/>
    <cellStyle name="集計 6 2 5 2 4 2 2" xfId="42759"/>
    <cellStyle name="集計 6 2 5 2 4 2 3" xfId="42760"/>
    <cellStyle name="集計 6 2 5 2 4 3" xfId="42761"/>
    <cellStyle name="集計 6 2 5 2 4 3 2" xfId="42762"/>
    <cellStyle name="集計 6 2 5 2 4 3 3" xfId="42763"/>
    <cellStyle name="集計 6 2 5 2 4 4" xfId="42764"/>
    <cellStyle name="集計 6 2 5 2 4 4 2" xfId="42765"/>
    <cellStyle name="集計 6 2 5 2 4 4 3" xfId="42766"/>
    <cellStyle name="集計 6 2 5 2 4 5" xfId="42767"/>
    <cellStyle name="集計 6 2 5 2 4 6" xfId="42768"/>
    <cellStyle name="集計 6 2 5 2 5" xfId="42769"/>
    <cellStyle name="集計 6 2 5 2 5 2" xfId="42770"/>
    <cellStyle name="集計 6 2 5 2 5 3" xfId="42771"/>
    <cellStyle name="集計 6 2 5 2 6" xfId="42772"/>
    <cellStyle name="集計 6 2 5 2 6 2" xfId="42773"/>
    <cellStyle name="集計 6 2 5 2 6 3" xfId="42774"/>
    <cellStyle name="集計 6 2 5 2 7" xfId="42775"/>
    <cellStyle name="集計 6 2 5 2 7 2" xfId="42776"/>
    <cellStyle name="集計 6 2 5 2 7 3" xfId="42777"/>
    <cellStyle name="集計 6 2 5 2 8" xfId="42778"/>
    <cellStyle name="集計 6 2 5 2 9" xfId="42779"/>
    <cellStyle name="集計 6 2 5 3" xfId="42780"/>
    <cellStyle name="集計 6 2 5 3 2" xfId="42781"/>
    <cellStyle name="集計 6 2 5 3 2 2" xfId="42782"/>
    <cellStyle name="集計 6 2 5 3 2 2 2" xfId="42783"/>
    <cellStyle name="集計 6 2 5 3 2 2 3" xfId="42784"/>
    <cellStyle name="集計 6 2 5 3 2 3" xfId="42785"/>
    <cellStyle name="集計 6 2 5 3 2 3 2" xfId="42786"/>
    <cellStyle name="集計 6 2 5 3 2 3 3" xfId="42787"/>
    <cellStyle name="集計 6 2 5 3 2 4" xfId="42788"/>
    <cellStyle name="集計 6 2 5 3 2 4 2" xfId="42789"/>
    <cellStyle name="集計 6 2 5 3 2 4 3" xfId="42790"/>
    <cellStyle name="集計 6 2 5 3 2 5" xfId="42791"/>
    <cellStyle name="集計 6 2 5 3 2 6" xfId="42792"/>
    <cellStyle name="集計 6 2 5 3 3" xfId="42793"/>
    <cellStyle name="集計 6 2 5 3 3 2" xfId="42794"/>
    <cellStyle name="集計 6 2 5 3 3 3" xfId="42795"/>
    <cellStyle name="集計 6 2 5 3 4" xfId="42796"/>
    <cellStyle name="集計 6 2 5 3 4 2" xfId="42797"/>
    <cellStyle name="集計 6 2 5 3 4 3" xfId="42798"/>
    <cellStyle name="集計 6 2 5 3 5" xfId="42799"/>
    <cellStyle name="集計 6 2 5 3 5 2" xfId="42800"/>
    <cellStyle name="集計 6 2 5 3 5 3" xfId="42801"/>
    <cellStyle name="集計 6 2 5 3 6" xfId="42802"/>
    <cellStyle name="集計 6 2 5 3 7" xfId="42803"/>
    <cellStyle name="集計 6 2 5 4" xfId="42804"/>
    <cellStyle name="集計 6 2 5 4 2" xfId="42805"/>
    <cellStyle name="集計 6 2 5 4 2 2" xfId="42806"/>
    <cellStyle name="集計 6 2 5 4 2 2 2" xfId="42807"/>
    <cellStyle name="集計 6 2 5 4 2 2 3" xfId="42808"/>
    <cellStyle name="集計 6 2 5 4 2 3" xfId="42809"/>
    <cellStyle name="集計 6 2 5 4 2 3 2" xfId="42810"/>
    <cellStyle name="集計 6 2 5 4 2 3 3" xfId="42811"/>
    <cellStyle name="集計 6 2 5 4 2 4" xfId="42812"/>
    <cellStyle name="集計 6 2 5 4 2 4 2" xfId="42813"/>
    <cellStyle name="集計 6 2 5 4 2 4 3" xfId="42814"/>
    <cellStyle name="集計 6 2 5 4 2 5" xfId="42815"/>
    <cellStyle name="集計 6 2 5 4 2 6" xfId="42816"/>
    <cellStyle name="集計 6 2 5 4 3" xfId="42817"/>
    <cellStyle name="集計 6 2 5 4 3 2" xfId="42818"/>
    <cellStyle name="集計 6 2 5 4 3 3" xfId="42819"/>
    <cellStyle name="集計 6 2 5 4 4" xfId="42820"/>
    <cellStyle name="集計 6 2 5 4 4 2" xfId="42821"/>
    <cellStyle name="集計 6 2 5 4 4 3" xfId="42822"/>
    <cellStyle name="集計 6 2 5 4 5" xfId="42823"/>
    <cellStyle name="集計 6 2 5 4 5 2" xfId="42824"/>
    <cellStyle name="集計 6 2 5 4 5 3" xfId="42825"/>
    <cellStyle name="集計 6 2 5 4 6" xfId="42826"/>
    <cellStyle name="集計 6 2 5 4 7" xfId="42827"/>
    <cellStyle name="集計 6 2 5 5" xfId="42828"/>
    <cellStyle name="集計 6 2 5 5 2" xfId="42829"/>
    <cellStyle name="集計 6 2 5 5 2 2" xfId="42830"/>
    <cellStyle name="集計 6 2 5 5 2 3" xfId="42831"/>
    <cellStyle name="集計 6 2 5 5 3" xfId="42832"/>
    <cellStyle name="集計 6 2 5 5 3 2" xfId="42833"/>
    <cellStyle name="集計 6 2 5 5 3 3" xfId="42834"/>
    <cellStyle name="集計 6 2 5 5 4" xfId="42835"/>
    <cellStyle name="集計 6 2 5 5 4 2" xfId="42836"/>
    <cellStyle name="集計 6 2 5 5 4 3" xfId="42837"/>
    <cellStyle name="集計 6 2 5 5 5" xfId="42838"/>
    <cellStyle name="集計 6 2 5 5 6" xfId="42839"/>
    <cellStyle name="集計 6 2 5 6" xfId="42840"/>
    <cellStyle name="集計 6 2 5 6 2" xfId="42841"/>
    <cellStyle name="集計 6 2 5 6 3" xfId="42842"/>
    <cellStyle name="集計 6 2 5 7" xfId="42843"/>
    <cellStyle name="集計 6 2 5 7 2" xfId="42844"/>
    <cellStyle name="集計 6 2 5 7 3" xfId="42845"/>
    <cellStyle name="集計 6 2 5 8" xfId="42846"/>
    <cellStyle name="集計 6 2 5 8 2" xfId="42847"/>
    <cellStyle name="集計 6 2 5 8 3" xfId="42848"/>
    <cellStyle name="集計 6 2 5 9" xfId="42849"/>
    <cellStyle name="集計 6 2 6" xfId="42850"/>
    <cellStyle name="集計 6 2 6 10" xfId="42851"/>
    <cellStyle name="集計 6 2 6 2" xfId="42852"/>
    <cellStyle name="集計 6 2 6 2 2" xfId="42853"/>
    <cellStyle name="集計 6 2 6 2 2 2" xfId="42854"/>
    <cellStyle name="集計 6 2 6 2 2 2 2" xfId="42855"/>
    <cellStyle name="集計 6 2 6 2 2 2 2 2" xfId="42856"/>
    <cellStyle name="集計 6 2 6 2 2 2 2 3" xfId="42857"/>
    <cellStyle name="集計 6 2 6 2 2 2 3" xfId="42858"/>
    <cellStyle name="集計 6 2 6 2 2 2 3 2" xfId="42859"/>
    <cellStyle name="集計 6 2 6 2 2 2 3 3" xfId="42860"/>
    <cellStyle name="集計 6 2 6 2 2 2 4" xfId="42861"/>
    <cellStyle name="集計 6 2 6 2 2 2 4 2" xfId="42862"/>
    <cellStyle name="集計 6 2 6 2 2 2 4 3" xfId="42863"/>
    <cellStyle name="集計 6 2 6 2 2 2 5" xfId="42864"/>
    <cellStyle name="集計 6 2 6 2 2 2 6" xfId="42865"/>
    <cellStyle name="集計 6 2 6 2 2 3" xfId="42866"/>
    <cellStyle name="集計 6 2 6 2 2 3 2" xfId="42867"/>
    <cellStyle name="集計 6 2 6 2 2 3 3" xfId="42868"/>
    <cellStyle name="集計 6 2 6 2 2 4" xfId="42869"/>
    <cellStyle name="集計 6 2 6 2 2 4 2" xfId="42870"/>
    <cellStyle name="集計 6 2 6 2 2 4 3" xfId="42871"/>
    <cellStyle name="集計 6 2 6 2 2 5" xfId="42872"/>
    <cellStyle name="集計 6 2 6 2 2 5 2" xfId="42873"/>
    <cellStyle name="集計 6 2 6 2 2 5 3" xfId="42874"/>
    <cellStyle name="集計 6 2 6 2 2 6" xfId="42875"/>
    <cellStyle name="集計 6 2 6 2 2 7" xfId="42876"/>
    <cellStyle name="集計 6 2 6 2 3" xfId="42877"/>
    <cellStyle name="集計 6 2 6 2 3 2" xfId="42878"/>
    <cellStyle name="集計 6 2 6 2 3 2 2" xfId="42879"/>
    <cellStyle name="集計 6 2 6 2 3 2 2 2" xfId="42880"/>
    <cellStyle name="集計 6 2 6 2 3 2 2 3" xfId="42881"/>
    <cellStyle name="集計 6 2 6 2 3 2 3" xfId="42882"/>
    <cellStyle name="集計 6 2 6 2 3 2 3 2" xfId="42883"/>
    <cellStyle name="集計 6 2 6 2 3 2 3 3" xfId="42884"/>
    <cellStyle name="集計 6 2 6 2 3 2 4" xfId="42885"/>
    <cellStyle name="集計 6 2 6 2 3 2 4 2" xfId="42886"/>
    <cellStyle name="集計 6 2 6 2 3 2 4 3" xfId="42887"/>
    <cellStyle name="集計 6 2 6 2 3 2 5" xfId="42888"/>
    <cellStyle name="集計 6 2 6 2 3 2 6" xfId="42889"/>
    <cellStyle name="集計 6 2 6 2 3 3" xfId="42890"/>
    <cellStyle name="集計 6 2 6 2 3 3 2" xfId="42891"/>
    <cellStyle name="集計 6 2 6 2 3 3 3" xfId="42892"/>
    <cellStyle name="集計 6 2 6 2 3 4" xfId="42893"/>
    <cellStyle name="集計 6 2 6 2 3 4 2" xfId="42894"/>
    <cellStyle name="集計 6 2 6 2 3 4 3" xfId="42895"/>
    <cellStyle name="集計 6 2 6 2 3 5" xfId="42896"/>
    <cellStyle name="集計 6 2 6 2 3 5 2" xfId="42897"/>
    <cellStyle name="集計 6 2 6 2 3 5 3" xfId="42898"/>
    <cellStyle name="集計 6 2 6 2 3 6" xfId="42899"/>
    <cellStyle name="集計 6 2 6 2 3 7" xfId="42900"/>
    <cellStyle name="集計 6 2 6 2 4" xfId="42901"/>
    <cellStyle name="集計 6 2 6 2 4 2" xfId="42902"/>
    <cellStyle name="集計 6 2 6 2 4 2 2" xfId="42903"/>
    <cellStyle name="集計 6 2 6 2 4 2 3" xfId="42904"/>
    <cellStyle name="集計 6 2 6 2 4 3" xfId="42905"/>
    <cellStyle name="集計 6 2 6 2 4 3 2" xfId="42906"/>
    <cellStyle name="集計 6 2 6 2 4 3 3" xfId="42907"/>
    <cellStyle name="集計 6 2 6 2 4 4" xfId="42908"/>
    <cellStyle name="集計 6 2 6 2 4 4 2" xfId="42909"/>
    <cellStyle name="集計 6 2 6 2 4 4 3" xfId="42910"/>
    <cellStyle name="集計 6 2 6 2 4 5" xfId="42911"/>
    <cellStyle name="集計 6 2 6 2 4 6" xfId="42912"/>
    <cellStyle name="集計 6 2 6 2 5" xfId="42913"/>
    <cellStyle name="集計 6 2 6 2 5 2" xfId="42914"/>
    <cellStyle name="集計 6 2 6 2 5 3" xfId="42915"/>
    <cellStyle name="集計 6 2 6 2 6" xfId="42916"/>
    <cellStyle name="集計 6 2 6 2 6 2" xfId="42917"/>
    <cellStyle name="集計 6 2 6 2 6 3" xfId="42918"/>
    <cellStyle name="集計 6 2 6 2 7" xfId="42919"/>
    <cellStyle name="集計 6 2 6 2 7 2" xfId="42920"/>
    <cellStyle name="集計 6 2 6 2 7 3" xfId="42921"/>
    <cellStyle name="集計 6 2 6 2 8" xfId="42922"/>
    <cellStyle name="集計 6 2 6 2 9" xfId="42923"/>
    <cellStyle name="集計 6 2 6 3" xfId="42924"/>
    <cellStyle name="集計 6 2 6 3 2" xfId="42925"/>
    <cellStyle name="集計 6 2 6 3 2 2" xfId="42926"/>
    <cellStyle name="集計 6 2 6 3 2 2 2" xfId="42927"/>
    <cellStyle name="集計 6 2 6 3 2 2 3" xfId="42928"/>
    <cellStyle name="集計 6 2 6 3 2 3" xfId="42929"/>
    <cellStyle name="集計 6 2 6 3 2 3 2" xfId="42930"/>
    <cellStyle name="集計 6 2 6 3 2 3 3" xfId="42931"/>
    <cellStyle name="集計 6 2 6 3 2 4" xfId="42932"/>
    <cellStyle name="集計 6 2 6 3 2 4 2" xfId="42933"/>
    <cellStyle name="集計 6 2 6 3 2 4 3" xfId="42934"/>
    <cellStyle name="集計 6 2 6 3 2 5" xfId="42935"/>
    <cellStyle name="集計 6 2 6 3 2 6" xfId="42936"/>
    <cellStyle name="集計 6 2 6 3 3" xfId="42937"/>
    <cellStyle name="集計 6 2 6 3 3 2" xfId="42938"/>
    <cellStyle name="集計 6 2 6 3 3 3" xfId="42939"/>
    <cellStyle name="集計 6 2 6 3 4" xfId="42940"/>
    <cellStyle name="集計 6 2 6 3 4 2" xfId="42941"/>
    <cellStyle name="集計 6 2 6 3 4 3" xfId="42942"/>
    <cellStyle name="集計 6 2 6 3 5" xfId="42943"/>
    <cellStyle name="集計 6 2 6 3 5 2" xfId="42944"/>
    <cellStyle name="集計 6 2 6 3 5 3" xfId="42945"/>
    <cellStyle name="集計 6 2 6 3 6" xfId="42946"/>
    <cellStyle name="集計 6 2 6 3 7" xfId="42947"/>
    <cellStyle name="集計 6 2 6 4" xfId="42948"/>
    <cellStyle name="集計 6 2 6 4 2" xfId="42949"/>
    <cellStyle name="集計 6 2 6 4 2 2" xfId="42950"/>
    <cellStyle name="集計 6 2 6 4 2 2 2" xfId="42951"/>
    <cellStyle name="集計 6 2 6 4 2 2 3" xfId="42952"/>
    <cellStyle name="集計 6 2 6 4 2 3" xfId="42953"/>
    <cellStyle name="集計 6 2 6 4 2 3 2" xfId="42954"/>
    <cellStyle name="集計 6 2 6 4 2 3 3" xfId="42955"/>
    <cellStyle name="集計 6 2 6 4 2 4" xfId="42956"/>
    <cellStyle name="集計 6 2 6 4 2 4 2" xfId="42957"/>
    <cellStyle name="集計 6 2 6 4 2 4 3" xfId="42958"/>
    <cellStyle name="集計 6 2 6 4 2 5" xfId="42959"/>
    <cellStyle name="集計 6 2 6 4 2 6" xfId="42960"/>
    <cellStyle name="集計 6 2 6 4 3" xfId="42961"/>
    <cellStyle name="集計 6 2 6 4 3 2" xfId="42962"/>
    <cellStyle name="集計 6 2 6 4 3 3" xfId="42963"/>
    <cellStyle name="集計 6 2 6 4 4" xfId="42964"/>
    <cellStyle name="集計 6 2 6 4 4 2" xfId="42965"/>
    <cellStyle name="集計 6 2 6 4 4 3" xfId="42966"/>
    <cellStyle name="集計 6 2 6 4 5" xfId="42967"/>
    <cellStyle name="集計 6 2 6 4 5 2" xfId="42968"/>
    <cellStyle name="集計 6 2 6 4 5 3" xfId="42969"/>
    <cellStyle name="集計 6 2 6 4 6" xfId="42970"/>
    <cellStyle name="集計 6 2 6 4 7" xfId="42971"/>
    <cellStyle name="集計 6 2 6 5" xfId="42972"/>
    <cellStyle name="集計 6 2 6 5 2" xfId="42973"/>
    <cellStyle name="集計 6 2 6 5 2 2" xfId="42974"/>
    <cellStyle name="集計 6 2 6 5 2 3" xfId="42975"/>
    <cellStyle name="集計 6 2 6 5 3" xfId="42976"/>
    <cellStyle name="集計 6 2 6 5 3 2" xfId="42977"/>
    <cellStyle name="集計 6 2 6 5 3 3" xfId="42978"/>
    <cellStyle name="集計 6 2 6 5 4" xfId="42979"/>
    <cellStyle name="集計 6 2 6 5 4 2" xfId="42980"/>
    <cellStyle name="集計 6 2 6 5 4 3" xfId="42981"/>
    <cellStyle name="集計 6 2 6 5 5" xfId="42982"/>
    <cellStyle name="集計 6 2 6 5 6" xfId="42983"/>
    <cellStyle name="集計 6 2 6 6" xfId="42984"/>
    <cellStyle name="集計 6 2 6 6 2" xfId="42985"/>
    <cellStyle name="集計 6 2 6 6 3" xfId="42986"/>
    <cellStyle name="集計 6 2 6 7" xfId="42987"/>
    <cellStyle name="集計 6 2 6 7 2" xfId="42988"/>
    <cellStyle name="集計 6 2 6 7 3" xfId="42989"/>
    <cellStyle name="集計 6 2 6 8" xfId="42990"/>
    <cellStyle name="集計 6 2 6 8 2" xfId="42991"/>
    <cellStyle name="集計 6 2 6 8 3" xfId="42992"/>
    <cellStyle name="集計 6 2 6 9" xfId="42993"/>
    <cellStyle name="集計 6 2 7" xfId="42994"/>
    <cellStyle name="集計 6 2 7 2" xfId="42995"/>
    <cellStyle name="集計 6 2 7 2 2" xfId="42996"/>
    <cellStyle name="集計 6 2 7 2 2 2" xfId="42997"/>
    <cellStyle name="集計 6 2 7 2 2 3" xfId="42998"/>
    <cellStyle name="集計 6 2 7 2 3" xfId="42999"/>
    <cellStyle name="集計 6 2 7 2 3 2" xfId="43000"/>
    <cellStyle name="集計 6 2 7 2 3 3" xfId="43001"/>
    <cellStyle name="集計 6 2 7 2 4" xfId="43002"/>
    <cellStyle name="集計 6 2 7 2 4 2" xfId="43003"/>
    <cellStyle name="集計 6 2 7 2 4 3" xfId="43004"/>
    <cellStyle name="集計 6 2 7 2 5" xfId="43005"/>
    <cellStyle name="集計 6 2 7 2 6" xfId="43006"/>
    <cellStyle name="集計 6 2 7 3" xfId="43007"/>
    <cellStyle name="集計 6 2 7 3 2" xfId="43008"/>
    <cellStyle name="集計 6 2 7 3 3" xfId="43009"/>
    <cellStyle name="集計 6 2 7 4" xfId="43010"/>
    <cellStyle name="集計 6 2 7 4 2" xfId="43011"/>
    <cellStyle name="集計 6 2 7 4 3" xfId="43012"/>
    <cellStyle name="集計 6 2 7 5" xfId="43013"/>
    <cellStyle name="集計 6 2 7 5 2" xfId="43014"/>
    <cellStyle name="集計 6 2 7 5 3" xfId="43015"/>
    <cellStyle name="集計 6 2 7 6" xfId="43016"/>
    <cellStyle name="集計 6 2 7 7" xfId="43017"/>
    <cellStyle name="集計 6 2 8" xfId="43018"/>
    <cellStyle name="集計 6 2 8 2" xfId="43019"/>
    <cellStyle name="集計 6 2 8 2 2" xfId="43020"/>
    <cellStyle name="集計 6 2 8 2 2 2" xfId="43021"/>
    <cellStyle name="集計 6 2 8 2 2 3" xfId="43022"/>
    <cellStyle name="集計 6 2 8 2 3" xfId="43023"/>
    <cellStyle name="集計 6 2 8 2 3 2" xfId="43024"/>
    <cellStyle name="集計 6 2 8 2 3 3" xfId="43025"/>
    <cellStyle name="集計 6 2 8 2 4" xfId="43026"/>
    <cellStyle name="集計 6 2 8 2 4 2" xfId="43027"/>
    <cellStyle name="集計 6 2 8 2 4 3" xfId="43028"/>
    <cellStyle name="集計 6 2 8 2 5" xfId="43029"/>
    <cellStyle name="集計 6 2 8 2 6" xfId="43030"/>
    <cellStyle name="集計 6 2 8 3" xfId="43031"/>
    <cellStyle name="集計 6 2 8 3 2" xfId="43032"/>
    <cellStyle name="集計 6 2 8 3 3" xfId="43033"/>
    <cellStyle name="集計 6 2 8 4" xfId="43034"/>
    <cellStyle name="集計 6 2 8 4 2" xfId="43035"/>
    <cellStyle name="集計 6 2 8 4 3" xfId="43036"/>
    <cellStyle name="集計 6 2 8 5" xfId="43037"/>
    <cellStyle name="集計 6 2 8 5 2" xfId="43038"/>
    <cellStyle name="集計 6 2 8 5 3" xfId="43039"/>
    <cellStyle name="集計 6 2 8 6" xfId="43040"/>
    <cellStyle name="集計 6 2 8 7" xfId="43041"/>
    <cellStyle name="集計 6 2 9" xfId="43042"/>
    <cellStyle name="集計 6 2 9 2" xfId="43043"/>
    <cellStyle name="集計 6 2 9 2 2" xfId="43044"/>
    <cellStyle name="集計 6 2 9 2 3" xfId="43045"/>
    <cellStyle name="集計 6 2 9 3" xfId="43046"/>
    <cellStyle name="集計 6 2 9 3 2" xfId="43047"/>
    <cellStyle name="集計 6 2 9 3 3" xfId="43048"/>
    <cellStyle name="集計 6 2 9 4" xfId="43049"/>
    <cellStyle name="集計 6 2 9 4 2" xfId="43050"/>
    <cellStyle name="集計 6 2 9 4 3" xfId="43051"/>
    <cellStyle name="集計 6 2 9 5" xfId="43052"/>
    <cellStyle name="集計 6 2 9 6" xfId="43053"/>
    <cellStyle name="集計 6 3" xfId="43054"/>
    <cellStyle name="集計 6 3 10" xfId="43055"/>
    <cellStyle name="集計 6 3 2" xfId="43056"/>
    <cellStyle name="集計 6 3 2 10" xfId="43057"/>
    <cellStyle name="集計 6 3 2 2" xfId="43058"/>
    <cellStyle name="集計 6 3 2 2 2" xfId="43059"/>
    <cellStyle name="集計 6 3 2 2 2 2" xfId="43060"/>
    <cellStyle name="集計 6 3 2 2 2 2 2" xfId="43061"/>
    <cellStyle name="集計 6 3 2 2 2 2 2 2" xfId="43062"/>
    <cellStyle name="集計 6 3 2 2 2 2 2 3" xfId="43063"/>
    <cellStyle name="集計 6 3 2 2 2 2 3" xfId="43064"/>
    <cellStyle name="集計 6 3 2 2 2 2 3 2" xfId="43065"/>
    <cellStyle name="集計 6 3 2 2 2 2 3 3" xfId="43066"/>
    <cellStyle name="集計 6 3 2 2 2 2 4" xfId="43067"/>
    <cellStyle name="集計 6 3 2 2 2 2 4 2" xfId="43068"/>
    <cellStyle name="集計 6 3 2 2 2 2 4 3" xfId="43069"/>
    <cellStyle name="集計 6 3 2 2 2 2 5" xfId="43070"/>
    <cellStyle name="集計 6 3 2 2 2 2 6" xfId="43071"/>
    <cellStyle name="集計 6 3 2 2 2 3" xfId="43072"/>
    <cellStyle name="集計 6 3 2 2 2 3 2" xfId="43073"/>
    <cellStyle name="集計 6 3 2 2 2 3 3" xfId="43074"/>
    <cellStyle name="集計 6 3 2 2 2 4" xfId="43075"/>
    <cellStyle name="集計 6 3 2 2 2 4 2" xfId="43076"/>
    <cellStyle name="集計 6 3 2 2 2 4 3" xfId="43077"/>
    <cellStyle name="集計 6 3 2 2 2 5" xfId="43078"/>
    <cellStyle name="集計 6 3 2 2 2 5 2" xfId="43079"/>
    <cellStyle name="集計 6 3 2 2 2 5 3" xfId="43080"/>
    <cellStyle name="集計 6 3 2 2 2 6" xfId="43081"/>
    <cellStyle name="集計 6 3 2 2 2 7" xfId="43082"/>
    <cellStyle name="集計 6 3 2 2 3" xfId="43083"/>
    <cellStyle name="集計 6 3 2 2 3 2" xfId="43084"/>
    <cellStyle name="集計 6 3 2 2 3 2 2" xfId="43085"/>
    <cellStyle name="集計 6 3 2 2 3 2 2 2" xfId="43086"/>
    <cellStyle name="集計 6 3 2 2 3 2 2 3" xfId="43087"/>
    <cellStyle name="集計 6 3 2 2 3 2 3" xfId="43088"/>
    <cellStyle name="集計 6 3 2 2 3 2 3 2" xfId="43089"/>
    <cellStyle name="集計 6 3 2 2 3 2 3 3" xfId="43090"/>
    <cellStyle name="集計 6 3 2 2 3 2 4" xfId="43091"/>
    <cellStyle name="集計 6 3 2 2 3 2 4 2" xfId="43092"/>
    <cellStyle name="集計 6 3 2 2 3 2 4 3" xfId="43093"/>
    <cellStyle name="集計 6 3 2 2 3 2 5" xfId="43094"/>
    <cellStyle name="集計 6 3 2 2 3 2 6" xfId="43095"/>
    <cellStyle name="集計 6 3 2 2 3 3" xfId="43096"/>
    <cellStyle name="集計 6 3 2 2 3 3 2" xfId="43097"/>
    <cellStyle name="集計 6 3 2 2 3 3 3" xfId="43098"/>
    <cellStyle name="集計 6 3 2 2 3 4" xfId="43099"/>
    <cellStyle name="集計 6 3 2 2 3 4 2" xfId="43100"/>
    <cellStyle name="集計 6 3 2 2 3 4 3" xfId="43101"/>
    <cellStyle name="集計 6 3 2 2 3 5" xfId="43102"/>
    <cellStyle name="集計 6 3 2 2 3 5 2" xfId="43103"/>
    <cellStyle name="集計 6 3 2 2 3 5 3" xfId="43104"/>
    <cellStyle name="集計 6 3 2 2 3 6" xfId="43105"/>
    <cellStyle name="集計 6 3 2 2 3 7" xfId="43106"/>
    <cellStyle name="集計 6 3 2 2 4" xfId="43107"/>
    <cellStyle name="集計 6 3 2 2 4 2" xfId="43108"/>
    <cellStyle name="集計 6 3 2 2 4 2 2" xfId="43109"/>
    <cellStyle name="集計 6 3 2 2 4 2 3" xfId="43110"/>
    <cellStyle name="集計 6 3 2 2 4 3" xfId="43111"/>
    <cellStyle name="集計 6 3 2 2 4 3 2" xfId="43112"/>
    <cellStyle name="集計 6 3 2 2 4 3 3" xfId="43113"/>
    <cellStyle name="集計 6 3 2 2 4 4" xfId="43114"/>
    <cellStyle name="集計 6 3 2 2 4 4 2" xfId="43115"/>
    <cellStyle name="集計 6 3 2 2 4 4 3" xfId="43116"/>
    <cellStyle name="集計 6 3 2 2 4 5" xfId="43117"/>
    <cellStyle name="集計 6 3 2 2 4 6" xfId="43118"/>
    <cellStyle name="集計 6 3 2 2 5" xfId="43119"/>
    <cellStyle name="集計 6 3 2 2 5 2" xfId="43120"/>
    <cellStyle name="集計 6 3 2 2 5 3" xfId="43121"/>
    <cellStyle name="集計 6 3 2 2 6" xfId="43122"/>
    <cellStyle name="集計 6 3 2 2 6 2" xfId="43123"/>
    <cellStyle name="集計 6 3 2 2 6 3" xfId="43124"/>
    <cellStyle name="集計 6 3 2 2 7" xfId="43125"/>
    <cellStyle name="集計 6 3 2 2 7 2" xfId="43126"/>
    <cellStyle name="集計 6 3 2 2 7 3" xfId="43127"/>
    <cellStyle name="集計 6 3 2 2 8" xfId="43128"/>
    <cellStyle name="集計 6 3 2 2 9" xfId="43129"/>
    <cellStyle name="集計 6 3 2 3" xfId="43130"/>
    <cellStyle name="集計 6 3 2 3 2" xfId="43131"/>
    <cellStyle name="集計 6 3 2 3 2 2" xfId="43132"/>
    <cellStyle name="集計 6 3 2 3 2 2 2" xfId="43133"/>
    <cellStyle name="集計 6 3 2 3 2 2 3" xfId="43134"/>
    <cellStyle name="集計 6 3 2 3 2 3" xfId="43135"/>
    <cellStyle name="集計 6 3 2 3 2 3 2" xfId="43136"/>
    <cellStyle name="集計 6 3 2 3 2 3 3" xfId="43137"/>
    <cellStyle name="集計 6 3 2 3 2 4" xfId="43138"/>
    <cellStyle name="集計 6 3 2 3 2 4 2" xfId="43139"/>
    <cellStyle name="集計 6 3 2 3 2 4 3" xfId="43140"/>
    <cellStyle name="集計 6 3 2 3 2 5" xfId="43141"/>
    <cellStyle name="集計 6 3 2 3 2 6" xfId="43142"/>
    <cellStyle name="集計 6 3 2 3 3" xfId="43143"/>
    <cellStyle name="集計 6 3 2 3 3 2" xfId="43144"/>
    <cellStyle name="集計 6 3 2 3 3 3" xfId="43145"/>
    <cellStyle name="集計 6 3 2 3 4" xfId="43146"/>
    <cellStyle name="集計 6 3 2 3 4 2" xfId="43147"/>
    <cellStyle name="集計 6 3 2 3 4 3" xfId="43148"/>
    <cellStyle name="集計 6 3 2 3 5" xfId="43149"/>
    <cellStyle name="集計 6 3 2 3 5 2" xfId="43150"/>
    <cellStyle name="集計 6 3 2 3 5 3" xfId="43151"/>
    <cellStyle name="集計 6 3 2 3 6" xfId="43152"/>
    <cellStyle name="集計 6 3 2 3 7" xfId="43153"/>
    <cellStyle name="集計 6 3 2 4" xfId="43154"/>
    <cellStyle name="集計 6 3 2 4 2" xfId="43155"/>
    <cellStyle name="集計 6 3 2 4 2 2" xfId="43156"/>
    <cellStyle name="集計 6 3 2 4 2 2 2" xfId="43157"/>
    <cellStyle name="集計 6 3 2 4 2 2 3" xfId="43158"/>
    <cellStyle name="集計 6 3 2 4 2 3" xfId="43159"/>
    <cellStyle name="集計 6 3 2 4 2 3 2" xfId="43160"/>
    <cellStyle name="集計 6 3 2 4 2 3 3" xfId="43161"/>
    <cellStyle name="集計 6 3 2 4 2 4" xfId="43162"/>
    <cellStyle name="集計 6 3 2 4 2 4 2" xfId="43163"/>
    <cellStyle name="集計 6 3 2 4 2 4 3" xfId="43164"/>
    <cellStyle name="集計 6 3 2 4 2 5" xfId="43165"/>
    <cellStyle name="集計 6 3 2 4 2 6" xfId="43166"/>
    <cellStyle name="集計 6 3 2 4 3" xfId="43167"/>
    <cellStyle name="集計 6 3 2 4 3 2" xfId="43168"/>
    <cellStyle name="集計 6 3 2 4 3 3" xfId="43169"/>
    <cellStyle name="集計 6 3 2 4 4" xfId="43170"/>
    <cellStyle name="集計 6 3 2 4 4 2" xfId="43171"/>
    <cellStyle name="集計 6 3 2 4 4 3" xfId="43172"/>
    <cellStyle name="集計 6 3 2 4 5" xfId="43173"/>
    <cellStyle name="集計 6 3 2 4 5 2" xfId="43174"/>
    <cellStyle name="集計 6 3 2 4 5 3" xfId="43175"/>
    <cellStyle name="集計 6 3 2 4 6" xfId="43176"/>
    <cellStyle name="集計 6 3 2 4 7" xfId="43177"/>
    <cellStyle name="集計 6 3 2 5" xfId="43178"/>
    <cellStyle name="集計 6 3 2 5 2" xfId="43179"/>
    <cellStyle name="集計 6 3 2 5 2 2" xfId="43180"/>
    <cellStyle name="集計 6 3 2 5 2 3" xfId="43181"/>
    <cellStyle name="集計 6 3 2 5 3" xfId="43182"/>
    <cellStyle name="集計 6 3 2 5 3 2" xfId="43183"/>
    <cellStyle name="集計 6 3 2 5 3 3" xfId="43184"/>
    <cellStyle name="集計 6 3 2 5 4" xfId="43185"/>
    <cellStyle name="集計 6 3 2 5 4 2" xfId="43186"/>
    <cellStyle name="集計 6 3 2 5 4 3" xfId="43187"/>
    <cellStyle name="集計 6 3 2 5 5" xfId="43188"/>
    <cellStyle name="集計 6 3 2 5 6" xfId="43189"/>
    <cellStyle name="集計 6 3 2 6" xfId="43190"/>
    <cellStyle name="集計 6 3 2 6 2" xfId="43191"/>
    <cellStyle name="集計 6 3 2 6 3" xfId="43192"/>
    <cellStyle name="集計 6 3 2 7" xfId="43193"/>
    <cellStyle name="集計 6 3 2 7 2" xfId="43194"/>
    <cellStyle name="集計 6 3 2 7 3" xfId="43195"/>
    <cellStyle name="集計 6 3 2 8" xfId="43196"/>
    <cellStyle name="集計 6 3 2 8 2" xfId="43197"/>
    <cellStyle name="集計 6 3 2 8 3" xfId="43198"/>
    <cellStyle name="集計 6 3 2 9" xfId="43199"/>
    <cellStyle name="集計 6 3 3" xfId="43200"/>
    <cellStyle name="集計 6 3 3 2" xfId="43201"/>
    <cellStyle name="集計 6 3 3 2 2" xfId="43202"/>
    <cellStyle name="集計 6 3 3 2 2 2" xfId="43203"/>
    <cellStyle name="集計 6 3 3 2 2 3" xfId="43204"/>
    <cellStyle name="集計 6 3 3 2 3" xfId="43205"/>
    <cellStyle name="集計 6 3 3 2 3 2" xfId="43206"/>
    <cellStyle name="集計 6 3 3 2 3 3" xfId="43207"/>
    <cellStyle name="集計 6 3 3 2 4" xfId="43208"/>
    <cellStyle name="集計 6 3 3 2 4 2" xfId="43209"/>
    <cellStyle name="集計 6 3 3 2 4 3" xfId="43210"/>
    <cellStyle name="集計 6 3 3 2 5" xfId="43211"/>
    <cellStyle name="集計 6 3 3 2 6" xfId="43212"/>
    <cellStyle name="集計 6 3 3 3" xfId="43213"/>
    <cellStyle name="集計 6 3 3 3 2" xfId="43214"/>
    <cellStyle name="集計 6 3 3 3 3" xfId="43215"/>
    <cellStyle name="集計 6 3 3 4" xfId="43216"/>
    <cellStyle name="集計 6 3 3 4 2" xfId="43217"/>
    <cellStyle name="集計 6 3 3 4 3" xfId="43218"/>
    <cellStyle name="集計 6 3 3 5" xfId="43219"/>
    <cellStyle name="集計 6 3 3 5 2" xfId="43220"/>
    <cellStyle name="集計 6 3 3 5 3" xfId="43221"/>
    <cellStyle name="集計 6 3 3 6" xfId="43222"/>
    <cellStyle name="集計 6 3 3 7" xfId="43223"/>
    <cellStyle name="集計 6 3 4" xfId="43224"/>
    <cellStyle name="集計 6 3 4 2" xfId="43225"/>
    <cellStyle name="集計 6 3 4 2 2" xfId="43226"/>
    <cellStyle name="集計 6 3 4 2 2 2" xfId="43227"/>
    <cellStyle name="集計 6 3 4 2 2 3" xfId="43228"/>
    <cellStyle name="集計 6 3 4 2 3" xfId="43229"/>
    <cellStyle name="集計 6 3 4 2 3 2" xfId="43230"/>
    <cellStyle name="集計 6 3 4 2 3 3" xfId="43231"/>
    <cellStyle name="集計 6 3 4 2 4" xfId="43232"/>
    <cellStyle name="集計 6 3 4 2 4 2" xfId="43233"/>
    <cellStyle name="集計 6 3 4 2 4 3" xfId="43234"/>
    <cellStyle name="集計 6 3 4 2 5" xfId="43235"/>
    <cellStyle name="集計 6 3 4 2 6" xfId="43236"/>
    <cellStyle name="集計 6 3 4 3" xfId="43237"/>
    <cellStyle name="集計 6 3 4 3 2" xfId="43238"/>
    <cellStyle name="集計 6 3 4 3 3" xfId="43239"/>
    <cellStyle name="集計 6 3 4 4" xfId="43240"/>
    <cellStyle name="集計 6 3 4 4 2" xfId="43241"/>
    <cellStyle name="集計 6 3 4 4 3" xfId="43242"/>
    <cellStyle name="集計 6 3 4 5" xfId="43243"/>
    <cellStyle name="集計 6 3 4 5 2" xfId="43244"/>
    <cellStyle name="集計 6 3 4 5 3" xfId="43245"/>
    <cellStyle name="集計 6 3 4 6" xfId="43246"/>
    <cellStyle name="集計 6 3 4 7" xfId="43247"/>
    <cellStyle name="集計 6 3 5" xfId="43248"/>
    <cellStyle name="集計 6 3 5 2" xfId="43249"/>
    <cellStyle name="集計 6 3 5 2 2" xfId="43250"/>
    <cellStyle name="集計 6 3 5 2 3" xfId="43251"/>
    <cellStyle name="集計 6 3 5 3" xfId="43252"/>
    <cellStyle name="集計 6 3 5 3 2" xfId="43253"/>
    <cellStyle name="集計 6 3 5 3 3" xfId="43254"/>
    <cellStyle name="集計 6 3 5 4" xfId="43255"/>
    <cellStyle name="集計 6 3 5 4 2" xfId="43256"/>
    <cellStyle name="集計 6 3 5 4 3" xfId="43257"/>
    <cellStyle name="集計 6 3 5 5" xfId="43258"/>
    <cellStyle name="集計 6 3 5 6" xfId="43259"/>
    <cellStyle name="集計 6 3 6" xfId="43260"/>
    <cellStyle name="集計 6 3 6 2" xfId="43261"/>
    <cellStyle name="集計 6 3 6 3" xfId="43262"/>
    <cellStyle name="集計 6 3 7" xfId="43263"/>
    <cellStyle name="集計 6 3 7 2" xfId="43264"/>
    <cellStyle name="集計 6 3 7 3" xfId="43265"/>
    <cellStyle name="集計 6 3 8" xfId="43266"/>
    <cellStyle name="集計 6 3 8 2" xfId="43267"/>
    <cellStyle name="集計 6 3 8 3" xfId="43268"/>
    <cellStyle name="集計 6 3 9" xfId="43269"/>
    <cellStyle name="集計 6 4" xfId="43270"/>
    <cellStyle name="集計 6 4 10" xfId="43271"/>
    <cellStyle name="集計 6 4 2" xfId="43272"/>
    <cellStyle name="集計 6 4 2 10" xfId="43273"/>
    <cellStyle name="集計 6 4 2 2" xfId="43274"/>
    <cellStyle name="集計 6 4 2 2 2" xfId="43275"/>
    <cellStyle name="集計 6 4 2 2 2 2" xfId="43276"/>
    <cellStyle name="集計 6 4 2 2 2 2 2" xfId="43277"/>
    <cellStyle name="集計 6 4 2 2 2 2 2 2" xfId="43278"/>
    <cellStyle name="集計 6 4 2 2 2 2 2 3" xfId="43279"/>
    <cellStyle name="集計 6 4 2 2 2 2 3" xfId="43280"/>
    <cellStyle name="集計 6 4 2 2 2 2 3 2" xfId="43281"/>
    <cellStyle name="集計 6 4 2 2 2 2 3 3" xfId="43282"/>
    <cellStyle name="集計 6 4 2 2 2 2 4" xfId="43283"/>
    <cellStyle name="集計 6 4 2 2 2 2 4 2" xfId="43284"/>
    <cellStyle name="集計 6 4 2 2 2 2 4 3" xfId="43285"/>
    <cellStyle name="集計 6 4 2 2 2 2 5" xfId="43286"/>
    <cellStyle name="集計 6 4 2 2 2 2 6" xfId="43287"/>
    <cellStyle name="集計 6 4 2 2 2 3" xfId="43288"/>
    <cellStyle name="集計 6 4 2 2 2 3 2" xfId="43289"/>
    <cellStyle name="集計 6 4 2 2 2 3 3" xfId="43290"/>
    <cellStyle name="集計 6 4 2 2 2 4" xfId="43291"/>
    <cellStyle name="集計 6 4 2 2 2 4 2" xfId="43292"/>
    <cellStyle name="集計 6 4 2 2 2 4 3" xfId="43293"/>
    <cellStyle name="集計 6 4 2 2 2 5" xfId="43294"/>
    <cellStyle name="集計 6 4 2 2 2 5 2" xfId="43295"/>
    <cellStyle name="集計 6 4 2 2 2 5 3" xfId="43296"/>
    <cellStyle name="集計 6 4 2 2 2 6" xfId="43297"/>
    <cellStyle name="集計 6 4 2 2 2 7" xfId="43298"/>
    <cellStyle name="集計 6 4 2 2 3" xfId="43299"/>
    <cellStyle name="集計 6 4 2 2 3 2" xfId="43300"/>
    <cellStyle name="集計 6 4 2 2 3 2 2" xfId="43301"/>
    <cellStyle name="集計 6 4 2 2 3 2 2 2" xfId="43302"/>
    <cellStyle name="集計 6 4 2 2 3 2 2 3" xfId="43303"/>
    <cellStyle name="集計 6 4 2 2 3 2 3" xfId="43304"/>
    <cellStyle name="集計 6 4 2 2 3 2 3 2" xfId="43305"/>
    <cellStyle name="集計 6 4 2 2 3 2 3 3" xfId="43306"/>
    <cellStyle name="集計 6 4 2 2 3 2 4" xfId="43307"/>
    <cellStyle name="集計 6 4 2 2 3 2 4 2" xfId="43308"/>
    <cellStyle name="集計 6 4 2 2 3 2 4 3" xfId="43309"/>
    <cellStyle name="集計 6 4 2 2 3 2 5" xfId="43310"/>
    <cellStyle name="集計 6 4 2 2 3 2 6" xfId="43311"/>
    <cellStyle name="集計 6 4 2 2 3 3" xfId="43312"/>
    <cellStyle name="集計 6 4 2 2 3 3 2" xfId="43313"/>
    <cellStyle name="集計 6 4 2 2 3 3 3" xfId="43314"/>
    <cellStyle name="集計 6 4 2 2 3 4" xfId="43315"/>
    <cellStyle name="集計 6 4 2 2 3 4 2" xfId="43316"/>
    <cellStyle name="集計 6 4 2 2 3 4 3" xfId="43317"/>
    <cellStyle name="集計 6 4 2 2 3 5" xfId="43318"/>
    <cellStyle name="集計 6 4 2 2 3 5 2" xfId="43319"/>
    <cellStyle name="集計 6 4 2 2 3 5 3" xfId="43320"/>
    <cellStyle name="集計 6 4 2 2 3 6" xfId="43321"/>
    <cellStyle name="集計 6 4 2 2 3 7" xfId="43322"/>
    <cellStyle name="集計 6 4 2 2 4" xfId="43323"/>
    <cellStyle name="集計 6 4 2 2 4 2" xfId="43324"/>
    <cellStyle name="集計 6 4 2 2 4 2 2" xfId="43325"/>
    <cellStyle name="集計 6 4 2 2 4 2 3" xfId="43326"/>
    <cellStyle name="集計 6 4 2 2 4 3" xfId="43327"/>
    <cellStyle name="集計 6 4 2 2 4 3 2" xfId="43328"/>
    <cellStyle name="集計 6 4 2 2 4 3 3" xfId="43329"/>
    <cellStyle name="集計 6 4 2 2 4 4" xfId="43330"/>
    <cellStyle name="集計 6 4 2 2 4 4 2" xfId="43331"/>
    <cellStyle name="集計 6 4 2 2 4 4 3" xfId="43332"/>
    <cellStyle name="集計 6 4 2 2 4 5" xfId="43333"/>
    <cellStyle name="集計 6 4 2 2 4 6" xfId="43334"/>
    <cellStyle name="集計 6 4 2 2 5" xfId="43335"/>
    <cellStyle name="集計 6 4 2 2 5 2" xfId="43336"/>
    <cellStyle name="集計 6 4 2 2 5 3" xfId="43337"/>
    <cellStyle name="集計 6 4 2 2 6" xfId="43338"/>
    <cellStyle name="集計 6 4 2 2 6 2" xfId="43339"/>
    <cellStyle name="集計 6 4 2 2 6 3" xfId="43340"/>
    <cellStyle name="集計 6 4 2 2 7" xfId="43341"/>
    <cellStyle name="集計 6 4 2 2 7 2" xfId="43342"/>
    <cellStyle name="集計 6 4 2 2 7 3" xfId="43343"/>
    <cellStyle name="集計 6 4 2 2 8" xfId="43344"/>
    <cellStyle name="集計 6 4 2 2 9" xfId="43345"/>
    <cellStyle name="集計 6 4 2 3" xfId="43346"/>
    <cellStyle name="集計 6 4 2 3 2" xfId="43347"/>
    <cellStyle name="集計 6 4 2 3 2 2" xfId="43348"/>
    <cellStyle name="集計 6 4 2 3 2 2 2" xfId="43349"/>
    <cellStyle name="集計 6 4 2 3 2 2 3" xfId="43350"/>
    <cellStyle name="集計 6 4 2 3 2 3" xfId="43351"/>
    <cellStyle name="集計 6 4 2 3 2 3 2" xfId="43352"/>
    <cellStyle name="集計 6 4 2 3 2 3 3" xfId="43353"/>
    <cellStyle name="集計 6 4 2 3 2 4" xfId="43354"/>
    <cellStyle name="集計 6 4 2 3 2 4 2" xfId="43355"/>
    <cellStyle name="集計 6 4 2 3 2 4 3" xfId="43356"/>
    <cellStyle name="集計 6 4 2 3 2 5" xfId="43357"/>
    <cellStyle name="集計 6 4 2 3 2 6" xfId="43358"/>
    <cellStyle name="集計 6 4 2 3 3" xfId="43359"/>
    <cellStyle name="集計 6 4 2 3 3 2" xfId="43360"/>
    <cellStyle name="集計 6 4 2 3 3 3" xfId="43361"/>
    <cellStyle name="集計 6 4 2 3 4" xfId="43362"/>
    <cellStyle name="集計 6 4 2 3 4 2" xfId="43363"/>
    <cellStyle name="集計 6 4 2 3 4 3" xfId="43364"/>
    <cellStyle name="集計 6 4 2 3 5" xfId="43365"/>
    <cellStyle name="集計 6 4 2 3 5 2" xfId="43366"/>
    <cellStyle name="集計 6 4 2 3 5 3" xfId="43367"/>
    <cellStyle name="集計 6 4 2 3 6" xfId="43368"/>
    <cellStyle name="集計 6 4 2 3 7" xfId="43369"/>
    <cellStyle name="集計 6 4 2 4" xfId="43370"/>
    <cellStyle name="集計 6 4 2 4 2" xfId="43371"/>
    <cellStyle name="集計 6 4 2 4 2 2" xfId="43372"/>
    <cellStyle name="集計 6 4 2 4 2 2 2" xfId="43373"/>
    <cellStyle name="集計 6 4 2 4 2 2 3" xfId="43374"/>
    <cellStyle name="集計 6 4 2 4 2 3" xfId="43375"/>
    <cellStyle name="集計 6 4 2 4 2 3 2" xfId="43376"/>
    <cellStyle name="集計 6 4 2 4 2 3 3" xfId="43377"/>
    <cellStyle name="集計 6 4 2 4 2 4" xfId="43378"/>
    <cellStyle name="集計 6 4 2 4 2 4 2" xfId="43379"/>
    <cellStyle name="集計 6 4 2 4 2 4 3" xfId="43380"/>
    <cellStyle name="集計 6 4 2 4 2 5" xfId="43381"/>
    <cellStyle name="集計 6 4 2 4 2 6" xfId="43382"/>
    <cellStyle name="集計 6 4 2 4 3" xfId="43383"/>
    <cellStyle name="集計 6 4 2 4 3 2" xfId="43384"/>
    <cellStyle name="集計 6 4 2 4 3 3" xfId="43385"/>
    <cellStyle name="集計 6 4 2 4 4" xfId="43386"/>
    <cellStyle name="集計 6 4 2 4 4 2" xfId="43387"/>
    <cellStyle name="集計 6 4 2 4 4 3" xfId="43388"/>
    <cellStyle name="集計 6 4 2 4 5" xfId="43389"/>
    <cellStyle name="集計 6 4 2 4 5 2" xfId="43390"/>
    <cellStyle name="集計 6 4 2 4 5 3" xfId="43391"/>
    <cellStyle name="集計 6 4 2 4 6" xfId="43392"/>
    <cellStyle name="集計 6 4 2 4 7" xfId="43393"/>
    <cellStyle name="集計 6 4 2 5" xfId="43394"/>
    <cellStyle name="集計 6 4 2 5 2" xfId="43395"/>
    <cellStyle name="集計 6 4 2 5 2 2" xfId="43396"/>
    <cellStyle name="集計 6 4 2 5 2 3" xfId="43397"/>
    <cellStyle name="集計 6 4 2 5 3" xfId="43398"/>
    <cellStyle name="集計 6 4 2 5 3 2" xfId="43399"/>
    <cellStyle name="集計 6 4 2 5 3 3" xfId="43400"/>
    <cellStyle name="集計 6 4 2 5 4" xfId="43401"/>
    <cellStyle name="集計 6 4 2 5 4 2" xfId="43402"/>
    <cellStyle name="集計 6 4 2 5 4 3" xfId="43403"/>
    <cellStyle name="集計 6 4 2 5 5" xfId="43404"/>
    <cellStyle name="集計 6 4 2 5 6" xfId="43405"/>
    <cellStyle name="集計 6 4 2 6" xfId="43406"/>
    <cellStyle name="集計 6 4 2 6 2" xfId="43407"/>
    <cellStyle name="集計 6 4 2 6 3" xfId="43408"/>
    <cellStyle name="集計 6 4 2 7" xfId="43409"/>
    <cellStyle name="集計 6 4 2 7 2" xfId="43410"/>
    <cellStyle name="集計 6 4 2 7 3" xfId="43411"/>
    <cellStyle name="集計 6 4 2 8" xfId="43412"/>
    <cellStyle name="集計 6 4 2 8 2" xfId="43413"/>
    <cellStyle name="集計 6 4 2 8 3" xfId="43414"/>
    <cellStyle name="集計 6 4 2 9" xfId="43415"/>
    <cellStyle name="集計 6 4 3" xfId="43416"/>
    <cellStyle name="集計 6 4 3 2" xfId="43417"/>
    <cellStyle name="集計 6 4 3 2 2" xfId="43418"/>
    <cellStyle name="集計 6 4 3 2 2 2" xfId="43419"/>
    <cellStyle name="集計 6 4 3 2 2 3" xfId="43420"/>
    <cellStyle name="集計 6 4 3 2 3" xfId="43421"/>
    <cellStyle name="集計 6 4 3 2 3 2" xfId="43422"/>
    <cellStyle name="集計 6 4 3 2 3 3" xfId="43423"/>
    <cellStyle name="集計 6 4 3 2 4" xfId="43424"/>
    <cellStyle name="集計 6 4 3 2 4 2" xfId="43425"/>
    <cellStyle name="集計 6 4 3 2 4 3" xfId="43426"/>
    <cellStyle name="集計 6 4 3 2 5" xfId="43427"/>
    <cellStyle name="集計 6 4 3 2 6" xfId="43428"/>
    <cellStyle name="集計 6 4 3 3" xfId="43429"/>
    <cellStyle name="集計 6 4 3 3 2" xfId="43430"/>
    <cellStyle name="集計 6 4 3 3 3" xfId="43431"/>
    <cellStyle name="集計 6 4 3 4" xfId="43432"/>
    <cellStyle name="集計 6 4 3 4 2" xfId="43433"/>
    <cellStyle name="集計 6 4 3 4 3" xfId="43434"/>
    <cellStyle name="集計 6 4 3 5" xfId="43435"/>
    <cellStyle name="集計 6 4 3 5 2" xfId="43436"/>
    <cellStyle name="集計 6 4 3 5 3" xfId="43437"/>
    <cellStyle name="集計 6 4 3 6" xfId="43438"/>
    <cellStyle name="集計 6 4 3 7" xfId="43439"/>
    <cellStyle name="集計 6 4 4" xfId="43440"/>
    <cellStyle name="集計 6 4 4 2" xfId="43441"/>
    <cellStyle name="集計 6 4 4 2 2" xfId="43442"/>
    <cellStyle name="集計 6 4 4 2 2 2" xfId="43443"/>
    <cellStyle name="集計 6 4 4 2 2 3" xfId="43444"/>
    <cellStyle name="集計 6 4 4 2 3" xfId="43445"/>
    <cellStyle name="集計 6 4 4 2 3 2" xfId="43446"/>
    <cellStyle name="集計 6 4 4 2 3 3" xfId="43447"/>
    <cellStyle name="集計 6 4 4 2 4" xfId="43448"/>
    <cellStyle name="集計 6 4 4 2 4 2" xfId="43449"/>
    <cellStyle name="集計 6 4 4 2 4 3" xfId="43450"/>
    <cellStyle name="集計 6 4 4 2 5" xfId="43451"/>
    <cellStyle name="集計 6 4 4 2 6" xfId="43452"/>
    <cellStyle name="集計 6 4 4 3" xfId="43453"/>
    <cellStyle name="集計 6 4 4 3 2" xfId="43454"/>
    <cellStyle name="集計 6 4 4 3 3" xfId="43455"/>
    <cellStyle name="集計 6 4 4 4" xfId="43456"/>
    <cellStyle name="集計 6 4 4 4 2" xfId="43457"/>
    <cellStyle name="集計 6 4 4 4 3" xfId="43458"/>
    <cellStyle name="集計 6 4 4 5" xfId="43459"/>
    <cellStyle name="集計 6 4 4 5 2" xfId="43460"/>
    <cellStyle name="集計 6 4 4 5 3" xfId="43461"/>
    <cellStyle name="集計 6 4 4 6" xfId="43462"/>
    <cellStyle name="集計 6 4 4 7" xfId="43463"/>
    <cellStyle name="集計 6 4 5" xfId="43464"/>
    <cellStyle name="集計 6 4 5 2" xfId="43465"/>
    <cellStyle name="集計 6 4 5 2 2" xfId="43466"/>
    <cellStyle name="集計 6 4 5 2 3" xfId="43467"/>
    <cellStyle name="集計 6 4 5 3" xfId="43468"/>
    <cellStyle name="集計 6 4 5 3 2" xfId="43469"/>
    <cellStyle name="集計 6 4 5 3 3" xfId="43470"/>
    <cellStyle name="集計 6 4 5 4" xfId="43471"/>
    <cellStyle name="集計 6 4 5 4 2" xfId="43472"/>
    <cellStyle name="集計 6 4 5 4 3" xfId="43473"/>
    <cellStyle name="集計 6 4 5 5" xfId="43474"/>
    <cellStyle name="集計 6 4 5 6" xfId="43475"/>
    <cellStyle name="集計 6 4 6" xfId="43476"/>
    <cellStyle name="集計 6 4 6 2" xfId="43477"/>
    <cellStyle name="集計 6 4 6 3" xfId="43478"/>
    <cellStyle name="集計 6 4 7" xfId="43479"/>
    <cellStyle name="集計 6 4 7 2" xfId="43480"/>
    <cellStyle name="集計 6 4 7 3" xfId="43481"/>
    <cellStyle name="集計 6 4 8" xfId="43482"/>
    <cellStyle name="集計 6 4 8 2" xfId="43483"/>
    <cellStyle name="集計 6 4 8 3" xfId="43484"/>
    <cellStyle name="集計 6 4 9" xfId="43485"/>
    <cellStyle name="集計 6 5" xfId="43486"/>
    <cellStyle name="集計 6 5 10" xfId="43487"/>
    <cellStyle name="集計 6 5 2" xfId="43488"/>
    <cellStyle name="集計 6 5 2 10" xfId="43489"/>
    <cellStyle name="集計 6 5 2 2" xfId="43490"/>
    <cellStyle name="集計 6 5 2 2 2" xfId="43491"/>
    <cellStyle name="集計 6 5 2 2 2 2" xfId="43492"/>
    <cellStyle name="集計 6 5 2 2 2 2 2" xfId="43493"/>
    <cellStyle name="集計 6 5 2 2 2 2 2 2" xfId="43494"/>
    <cellStyle name="集計 6 5 2 2 2 2 2 3" xfId="43495"/>
    <cellStyle name="集計 6 5 2 2 2 2 3" xfId="43496"/>
    <cellStyle name="集計 6 5 2 2 2 2 3 2" xfId="43497"/>
    <cellStyle name="集計 6 5 2 2 2 2 3 3" xfId="43498"/>
    <cellStyle name="集計 6 5 2 2 2 2 4" xfId="43499"/>
    <cellStyle name="集計 6 5 2 2 2 2 4 2" xfId="43500"/>
    <cellStyle name="集計 6 5 2 2 2 2 4 3" xfId="43501"/>
    <cellStyle name="集計 6 5 2 2 2 2 5" xfId="43502"/>
    <cellStyle name="集計 6 5 2 2 2 2 6" xfId="43503"/>
    <cellStyle name="集計 6 5 2 2 2 3" xfId="43504"/>
    <cellStyle name="集計 6 5 2 2 2 3 2" xfId="43505"/>
    <cellStyle name="集計 6 5 2 2 2 3 3" xfId="43506"/>
    <cellStyle name="集計 6 5 2 2 2 4" xfId="43507"/>
    <cellStyle name="集計 6 5 2 2 2 4 2" xfId="43508"/>
    <cellStyle name="集計 6 5 2 2 2 4 3" xfId="43509"/>
    <cellStyle name="集計 6 5 2 2 2 5" xfId="43510"/>
    <cellStyle name="集計 6 5 2 2 2 5 2" xfId="43511"/>
    <cellStyle name="集計 6 5 2 2 2 5 3" xfId="43512"/>
    <cellStyle name="集計 6 5 2 2 2 6" xfId="43513"/>
    <cellStyle name="集計 6 5 2 2 2 7" xfId="43514"/>
    <cellStyle name="集計 6 5 2 2 3" xfId="43515"/>
    <cellStyle name="集計 6 5 2 2 3 2" xfId="43516"/>
    <cellStyle name="集計 6 5 2 2 3 2 2" xfId="43517"/>
    <cellStyle name="集計 6 5 2 2 3 2 2 2" xfId="43518"/>
    <cellStyle name="集計 6 5 2 2 3 2 2 3" xfId="43519"/>
    <cellStyle name="集計 6 5 2 2 3 2 3" xfId="43520"/>
    <cellStyle name="集計 6 5 2 2 3 2 3 2" xfId="43521"/>
    <cellStyle name="集計 6 5 2 2 3 2 3 3" xfId="43522"/>
    <cellStyle name="集計 6 5 2 2 3 2 4" xfId="43523"/>
    <cellStyle name="集計 6 5 2 2 3 2 4 2" xfId="43524"/>
    <cellStyle name="集計 6 5 2 2 3 2 4 3" xfId="43525"/>
    <cellStyle name="集計 6 5 2 2 3 2 5" xfId="43526"/>
    <cellStyle name="集計 6 5 2 2 3 2 6" xfId="43527"/>
    <cellStyle name="集計 6 5 2 2 3 3" xfId="43528"/>
    <cellStyle name="集計 6 5 2 2 3 3 2" xfId="43529"/>
    <cellStyle name="集計 6 5 2 2 3 3 3" xfId="43530"/>
    <cellStyle name="集計 6 5 2 2 3 4" xfId="43531"/>
    <cellStyle name="集計 6 5 2 2 3 4 2" xfId="43532"/>
    <cellStyle name="集計 6 5 2 2 3 4 3" xfId="43533"/>
    <cellStyle name="集計 6 5 2 2 3 5" xfId="43534"/>
    <cellStyle name="集計 6 5 2 2 3 5 2" xfId="43535"/>
    <cellStyle name="集計 6 5 2 2 3 5 3" xfId="43536"/>
    <cellStyle name="集計 6 5 2 2 3 6" xfId="43537"/>
    <cellStyle name="集計 6 5 2 2 3 7" xfId="43538"/>
    <cellStyle name="集計 6 5 2 2 4" xfId="43539"/>
    <cellStyle name="集計 6 5 2 2 4 2" xfId="43540"/>
    <cellStyle name="集計 6 5 2 2 4 2 2" xfId="43541"/>
    <cellStyle name="集計 6 5 2 2 4 2 3" xfId="43542"/>
    <cellStyle name="集計 6 5 2 2 4 3" xfId="43543"/>
    <cellStyle name="集計 6 5 2 2 4 3 2" xfId="43544"/>
    <cellStyle name="集計 6 5 2 2 4 3 3" xfId="43545"/>
    <cellStyle name="集計 6 5 2 2 4 4" xfId="43546"/>
    <cellStyle name="集計 6 5 2 2 4 4 2" xfId="43547"/>
    <cellStyle name="集計 6 5 2 2 4 4 3" xfId="43548"/>
    <cellStyle name="集計 6 5 2 2 4 5" xfId="43549"/>
    <cellStyle name="集計 6 5 2 2 4 6" xfId="43550"/>
    <cellStyle name="集計 6 5 2 2 5" xfId="43551"/>
    <cellStyle name="集計 6 5 2 2 5 2" xfId="43552"/>
    <cellStyle name="集計 6 5 2 2 5 3" xfId="43553"/>
    <cellStyle name="集計 6 5 2 2 6" xfId="43554"/>
    <cellStyle name="集計 6 5 2 2 6 2" xfId="43555"/>
    <cellStyle name="集計 6 5 2 2 6 3" xfId="43556"/>
    <cellStyle name="集計 6 5 2 2 7" xfId="43557"/>
    <cellStyle name="集計 6 5 2 2 7 2" xfId="43558"/>
    <cellStyle name="集計 6 5 2 2 7 3" xfId="43559"/>
    <cellStyle name="集計 6 5 2 2 8" xfId="43560"/>
    <cellStyle name="集計 6 5 2 2 9" xfId="43561"/>
    <cellStyle name="集計 6 5 2 3" xfId="43562"/>
    <cellStyle name="集計 6 5 2 3 2" xfId="43563"/>
    <cellStyle name="集計 6 5 2 3 2 2" xfId="43564"/>
    <cellStyle name="集計 6 5 2 3 2 2 2" xfId="43565"/>
    <cellStyle name="集計 6 5 2 3 2 2 3" xfId="43566"/>
    <cellStyle name="集計 6 5 2 3 2 3" xfId="43567"/>
    <cellStyle name="集計 6 5 2 3 2 3 2" xfId="43568"/>
    <cellStyle name="集計 6 5 2 3 2 3 3" xfId="43569"/>
    <cellStyle name="集計 6 5 2 3 2 4" xfId="43570"/>
    <cellStyle name="集計 6 5 2 3 2 4 2" xfId="43571"/>
    <cellStyle name="集計 6 5 2 3 2 4 3" xfId="43572"/>
    <cellStyle name="集計 6 5 2 3 2 5" xfId="43573"/>
    <cellStyle name="集計 6 5 2 3 2 6" xfId="43574"/>
    <cellStyle name="集計 6 5 2 3 3" xfId="43575"/>
    <cellStyle name="集計 6 5 2 3 3 2" xfId="43576"/>
    <cellStyle name="集計 6 5 2 3 3 3" xfId="43577"/>
    <cellStyle name="集計 6 5 2 3 4" xfId="43578"/>
    <cellStyle name="集計 6 5 2 3 4 2" xfId="43579"/>
    <cellStyle name="集計 6 5 2 3 4 3" xfId="43580"/>
    <cellStyle name="集計 6 5 2 3 5" xfId="43581"/>
    <cellStyle name="集計 6 5 2 3 5 2" xfId="43582"/>
    <cellStyle name="集計 6 5 2 3 5 3" xfId="43583"/>
    <cellStyle name="集計 6 5 2 3 6" xfId="43584"/>
    <cellStyle name="集計 6 5 2 3 7" xfId="43585"/>
    <cellStyle name="集計 6 5 2 4" xfId="43586"/>
    <cellStyle name="集計 6 5 2 4 2" xfId="43587"/>
    <cellStyle name="集計 6 5 2 4 2 2" xfId="43588"/>
    <cellStyle name="集計 6 5 2 4 2 2 2" xfId="43589"/>
    <cellStyle name="集計 6 5 2 4 2 2 3" xfId="43590"/>
    <cellStyle name="集計 6 5 2 4 2 3" xfId="43591"/>
    <cellStyle name="集計 6 5 2 4 2 3 2" xfId="43592"/>
    <cellStyle name="集計 6 5 2 4 2 3 3" xfId="43593"/>
    <cellStyle name="集計 6 5 2 4 2 4" xfId="43594"/>
    <cellStyle name="集計 6 5 2 4 2 4 2" xfId="43595"/>
    <cellStyle name="集計 6 5 2 4 2 4 3" xfId="43596"/>
    <cellStyle name="集計 6 5 2 4 2 5" xfId="43597"/>
    <cellStyle name="集計 6 5 2 4 2 6" xfId="43598"/>
    <cellStyle name="集計 6 5 2 4 3" xfId="43599"/>
    <cellStyle name="集計 6 5 2 4 3 2" xfId="43600"/>
    <cellStyle name="集計 6 5 2 4 3 3" xfId="43601"/>
    <cellStyle name="集計 6 5 2 4 4" xfId="43602"/>
    <cellStyle name="集計 6 5 2 4 4 2" xfId="43603"/>
    <cellStyle name="集計 6 5 2 4 4 3" xfId="43604"/>
    <cellStyle name="集計 6 5 2 4 5" xfId="43605"/>
    <cellStyle name="集計 6 5 2 4 5 2" xfId="43606"/>
    <cellStyle name="集計 6 5 2 4 5 3" xfId="43607"/>
    <cellStyle name="集計 6 5 2 4 6" xfId="43608"/>
    <cellStyle name="集計 6 5 2 4 7" xfId="43609"/>
    <cellStyle name="集計 6 5 2 5" xfId="43610"/>
    <cellStyle name="集計 6 5 2 5 2" xfId="43611"/>
    <cellStyle name="集計 6 5 2 5 2 2" xfId="43612"/>
    <cellStyle name="集計 6 5 2 5 2 3" xfId="43613"/>
    <cellStyle name="集計 6 5 2 5 3" xfId="43614"/>
    <cellStyle name="集計 6 5 2 5 3 2" xfId="43615"/>
    <cellStyle name="集計 6 5 2 5 3 3" xfId="43616"/>
    <cellStyle name="集計 6 5 2 5 4" xfId="43617"/>
    <cellStyle name="集計 6 5 2 5 4 2" xfId="43618"/>
    <cellStyle name="集計 6 5 2 5 4 3" xfId="43619"/>
    <cellStyle name="集計 6 5 2 5 5" xfId="43620"/>
    <cellStyle name="集計 6 5 2 5 6" xfId="43621"/>
    <cellStyle name="集計 6 5 2 6" xfId="43622"/>
    <cellStyle name="集計 6 5 2 6 2" xfId="43623"/>
    <cellStyle name="集計 6 5 2 6 3" xfId="43624"/>
    <cellStyle name="集計 6 5 2 7" xfId="43625"/>
    <cellStyle name="集計 6 5 2 7 2" xfId="43626"/>
    <cellStyle name="集計 6 5 2 7 3" xfId="43627"/>
    <cellStyle name="集計 6 5 2 8" xfId="43628"/>
    <cellStyle name="集計 6 5 2 8 2" xfId="43629"/>
    <cellStyle name="集計 6 5 2 8 3" xfId="43630"/>
    <cellStyle name="集計 6 5 2 9" xfId="43631"/>
    <cellStyle name="集計 6 5 3" xfId="43632"/>
    <cellStyle name="集計 6 5 3 2" xfId="43633"/>
    <cellStyle name="集計 6 5 3 2 2" xfId="43634"/>
    <cellStyle name="集計 6 5 3 2 2 2" xfId="43635"/>
    <cellStyle name="集計 6 5 3 2 2 3" xfId="43636"/>
    <cellStyle name="集計 6 5 3 2 3" xfId="43637"/>
    <cellStyle name="集計 6 5 3 2 3 2" xfId="43638"/>
    <cellStyle name="集計 6 5 3 2 3 3" xfId="43639"/>
    <cellStyle name="集計 6 5 3 2 4" xfId="43640"/>
    <cellStyle name="集計 6 5 3 2 4 2" xfId="43641"/>
    <cellStyle name="集計 6 5 3 2 4 3" xfId="43642"/>
    <cellStyle name="集計 6 5 3 2 5" xfId="43643"/>
    <cellStyle name="集計 6 5 3 2 6" xfId="43644"/>
    <cellStyle name="集計 6 5 3 3" xfId="43645"/>
    <cellStyle name="集計 6 5 3 3 2" xfId="43646"/>
    <cellStyle name="集計 6 5 3 3 3" xfId="43647"/>
    <cellStyle name="集計 6 5 3 4" xfId="43648"/>
    <cellStyle name="集計 6 5 3 4 2" xfId="43649"/>
    <cellStyle name="集計 6 5 3 4 3" xfId="43650"/>
    <cellStyle name="集計 6 5 3 5" xfId="43651"/>
    <cellStyle name="集計 6 5 3 5 2" xfId="43652"/>
    <cellStyle name="集計 6 5 3 5 3" xfId="43653"/>
    <cellStyle name="集計 6 5 3 6" xfId="43654"/>
    <cellStyle name="集計 6 5 3 7" xfId="43655"/>
    <cellStyle name="集計 6 5 4" xfId="43656"/>
    <cellStyle name="集計 6 5 4 2" xfId="43657"/>
    <cellStyle name="集計 6 5 4 2 2" xfId="43658"/>
    <cellStyle name="集計 6 5 4 2 2 2" xfId="43659"/>
    <cellStyle name="集計 6 5 4 2 2 3" xfId="43660"/>
    <cellStyle name="集計 6 5 4 2 3" xfId="43661"/>
    <cellStyle name="集計 6 5 4 2 3 2" xfId="43662"/>
    <cellStyle name="集計 6 5 4 2 3 3" xfId="43663"/>
    <cellStyle name="集計 6 5 4 2 4" xfId="43664"/>
    <cellStyle name="集計 6 5 4 2 4 2" xfId="43665"/>
    <cellStyle name="集計 6 5 4 2 4 3" xfId="43666"/>
    <cellStyle name="集計 6 5 4 2 5" xfId="43667"/>
    <cellStyle name="集計 6 5 4 2 6" xfId="43668"/>
    <cellStyle name="集計 6 5 4 3" xfId="43669"/>
    <cellStyle name="集計 6 5 4 3 2" xfId="43670"/>
    <cellStyle name="集計 6 5 4 3 3" xfId="43671"/>
    <cellStyle name="集計 6 5 4 4" xfId="43672"/>
    <cellStyle name="集計 6 5 4 4 2" xfId="43673"/>
    <cellStyle name="集計 6 5 4 4 3" xfId="43674"/>
    <cellStyle name="集計 6 5 4 5" xfId="43675"/>
    <cellStyle name="集計 6 5 4 5 2" xfId="43676"/>
    <cellStyle name="集計 6 5 4 5 3" xfId="43677"/>
    <cellStyle name="集計 6 5 4 6" xfId="43678"/>
    <cellStyle name="集計 6 5 4 7" xfId="43679"/>
    <cellStyle name="集計 6 5 5" xfId="43680"/>
    <cellStyle name="集計 6 5 5 2" xfId="43681"/>
    <cellStyle name="集計 6 5 5 2 2" xfId="43682"/>
    <cellStyle name="集計 6 5 5 2 3" xfId="43683"/>
    <cellStyle name="集計 6 5 5 3" xfId="43684"/>
    <cellStyle name="集計 6 5 5 3 2" xfId="43685"/>
    <cellStyle name="集計 6 5 5 3 3" xfId="43686"/>
    <cellStyle name="集計 6 5 5 4" xfId="43687"/>
    <cellStyle name="集計 6 5 5 4 2" xfId="43688"/>
    <cellStyle name="集計 6 5 5 4 3" xfId="43689"/>
    <cellStyle name="集計 6 5 5 5" xfId="43690"/>
    <cellStyle name="集計 6 5 5 6" xfId="43691"/>
    <cellStyle name="集計 6 5 6" xfId="43692"/>
    <cellStyle name="集計 6 5 6 2" xfId="43693"/>
    <cellStyle name="集計 6 5 6 3" xfId="43694"/>
    <cellStyle name="集計 6 5 7" xfId="43695"/>
    <cellStyle name="集計 6 5 7 2" xfId="43696"/>
    <cellStyle name="集計 6 5 7 3" xfId="43697"/>
    <cellStyle name="集計 6 5 8" xfId="43698"/>
    <cellStyle name="集計 6 5 8 2" xfId="43699"/>
    <cellStyle name="集計 6 5 8 3" xfId="43700"/>
    <cellStyle name="集計 6 5 9" xfId="43701"/>
    <cellStyle name="集計 6 6" xfId="43702"/>
    <cellStyle name="集計 6 6 10" xfId="43703"/>
    <cellStyle name="集計 6 6 2" xfId="43704"/>
    <cellStyle name="集計 6 6 2 2" xfId="43705"/>
    <cellStyle name="集計 6 6 2 2 2" xfId="43706"/>
    <cellStyle name="集計 6 6 2 2 2 2" xfId="43707"/>
    <cellStyle name="集計 6 6 2 2 2 2 2" xfId="43708"/>
    <cellStyle name="集計 6 6 2 2 2 2 3" xfId="43709"/>
    <cellStyle name="集計 6 6 2 2 2 3" xfId="43710"/>
    <cellStyle name="集計 6 6 2 2 2 3 2" xfId="43711"/>
    <cellStyle name="集計 6 6 2 2 2 3 3" xfId="43712"/>
    <cellStyle name="集計 6 6 2 2 2 4" xfId="43713"/>
    <cellStyle name="集計 6 6 2 2 2 4 2" xfId="43714"/>
    <cellStyle name="集計 6 6 2 2 2 4 3" xfId="43715"/>
    <cellStyle name="集計 6 6 2 2 2 5" xfId="43716"/>
    <cellStyle name="集計 6 6 2 2 2 6" xfId="43717"/>
    <cellStyle name="集計 6 6 2 2 3" xfId="43718"/>
    <cellStyle name="集計 6 6 2 2 3 2" xfId="43719"/>
    <cellStyle name="集計 6 6 2 2 3 3" xfId="43720"/>
    <cellStyle name="集計 6 6 2 2 4" xfId="43721"/>
    <cellStyle name="集計 6 6 2 2 4 2" xfId="43722"/>
    <cellStyle name="集計 6 6 2 2 4 3" xfId="43723"/>
    <cellStyle name="集計 6 6 2 2 5" xfId="43724"/>
    <cellStyle name="集計 6 6 2 2 5 2" xfId="43725"/>
    <cellStyle name="集計 6 6 2 2 5 3" xfId="43726"/>
    <cellStyle name="集計 6 6 2 2 6" xfId="43727"/>
    <cellStyle name="集計 6 6 2 2 7" xfId="43728"/>
    <cellStyle name="集計 6 6 2 3" xfId="43729"/>
    <cellStyle name="集計 6 6 2 3 2" xfId="43730"/>
    <cellStyle name="集計 6 6 2 3 2 2" xfId="43731"/>
    <cellStyle name="集計 6 6 2 3 2 2 2" xfId="43732"/>
    <cellStyle name="集計 6 6 2 3 2 2 3" xfId="43733"/>
    <cellStyle name="集計 6 6 2 3 2 3" xfId="43734"/>
    <cellStyle name="集計 6 6 2 3 2 3 2" xfId="43735"/>
    <cellStyle name="集計 6 6 2 3 2 3 3" xfId="43736"/>
    <cellStyle name="集計 6 6 2 3 2 4" xfId="43737"/>
    <cellStyle name="集計 6 6 2 3 2 4 2" xfId="43738"/>
    <cellStyle name="集計 6 6 2 3 2 4 3" xfId="43739"/>
    <cellStyle name="集計 6 6 2 3 2 5" xfId="43740"/>
    <cellStyle name="集計 6 6 2 3 2 6" xfId="43741"/>
    <cellStyle name="集計 6 6 2 3 3" xfId="43742"/>
    <cellStyle name="集計 6 6 2 3 3 2" xfId="43743"/>
    <cellStyle name="集計 6 6 2 3 3 3" xfId="43744"/>
    <cellStyle name="集計 6 6 2 3 4" xfId="43745"/>
    <cellStyle name="集計 6 6 2 3 4 2" xfId="43746"/>
    <cellStyle name="集計 6 6 2 3 4 3" xfId="43747"/>
    <cellStyle name="集計 6 6 2 3 5" xfId="43748"/>
    <cellStyle name="集計 6 6 2 3 5 2" xfId="43749"/>
    <cellStyle name="集計 6 6 2 3 5 3" xfId="43750"/>
    <cellStyle name="集計 6 6 2 3 6" xfId="43751"/>
    <cellStyle name="集計 6 6 2 3 7" xfId="43752"/>
    <cellStyle name="集計 6 6 2 4" xfId="43753"/>
    <cellStyle name="集計 6 6 2 4 2" xfId="43754"/>
    <cellStyle name="集計 6 6 2 4 2 2" xfId="43755"/>
    <cellStyle name="集計 6 6 2 4 2 3" xfId="43756"/>
    <cellStyle name="集計 6 6 2 4 3" xfId="43757"/>
    <cellStyle name="集計 6 6 2 4 3 2" xfId="43758"/>
    <cellStyle name="集計 6 6 2 4 3 3" xfId="43759"/>
    <cellStyle name="集計 6 6 2 4 4" xfId="43760"/>
    <cellStyle name="集計 6 6 2 4 4 2" xfId="43761"/>
    <cellStyle name="集計 6 6 2 4 4 3" xfId="43762"/>
    <cellStyle name="集計 6 6 2 4 5" xfId="43763"/>
    <cellStyle name="集計 6 6 2 4 6" xfId="43764"/>
    <cellStyle name="集計 6 6 2 5" xfId="43765"/>
    <cellStyle name="集計 6 6 2 5 2" xfId="43766"/>
    <cellStyle name="集計 6 6 2 5 3" xfId="43767"/>
    <cellStyle name="集計 6 6 2 6" xfId="43768"/>
    <cellStyle name="集計 6 6 2 6 2" xfId="43769"/>
    <cellStyle name="集計 6 6 2 6 3" xfId="43770"/>
    <cellStyle name="集計 6 6 2 7" xfId="43771"/>
    <cellStyle name="集計 6 6 2 7 2" xfId="43772"/>
    <cellStyle name="集計 6 6 2 7 3" xfId="43773"/>
    <cellStyle name="集計 6 6 2 8" xfId="43774"/>
    <cellStyle name="集計 6 6 2 9" xfId="43775"/>
    <cellStyle name="集計 6 6 3" xfId="43776"/>
    <cellStyle name="集計 6 6 3 2" xfId="43777"/>
    <cellStyle name="集計 6 6 3 2 2" xfId="43778"/>
    <cellStyle name="集計 6 6 3 2 2 2" xfId="43779"/>
    <cellStyle name="集計 6 6 3 2 2 3" xfId="43780"/>
    <cellStyle name="集計 6 6 3 2 3" xfId="43781"/>
    <cellStyle name="集計 6 6 3 2 3 2" xfId="43782"/>
    <cellStyle name="集計 6 6 3 2 3 3" xfId="43783"/>
    <cellStyle name="集計 6 6 3 2 4" xfId="43784"/>
    <cellStyle name="集計 6 6 3 2 4 2" xfId="43785"/>
    <cellStyle name="集計 6 6 3 2 4 3" xfId="43786"/>
    <cellStyle name="集計 6 6 3 2 5" xfId="43787"/>
    <cellStyle name="集計 6 6 3 2 6" xfId="43788"/>
    <cellStyle name="集計 6 6 3 3" xfId="43789"/>
    <cellStyle name="集計 6 6 3 3 2" xfId="43790"/>
    <cellStyle name="集計 6 6 3 3 3" xfId="43791"/>
    <cellStyle name="集計 6 6 3 4" xfId="43792"/>
    <cellStyle name="集計 6 6 3 4 2" xfId="43793"/>
    <cellStyle name="集計 6 6 3 4 3" xfId="43794"/>
    <cellStyle name="集計 6 6 3 5" xfId="43795"/>
    <cellStyle name="集計 6 6 3 5 2" xfId="43796"/>
    <cellStyle name="集計 6 6 3 5 3" xfId="43797"/>
    <cellStyle name="集計 6 6 3 6" xfId="43798"/>
    <cellStyle name="集計 6 6 3 7" xfId="43799"/>
    <cellStyle name="集計 6 6 4" xfId="43800"/>
    <cellStyle name="集計 6 6 4 2" xfId="43801"/>
    <cellStyle name="集計 6 6 4 2 2" xfId="43802"/>
    <cellStyle name="集計 6 6 4 2 2 2" xfId="43803"/>
    <cellStyle name="集計 6 6 4 2 2 3" xfId="43804"/>
    <cellStyle name="集計 6 6 4 2 3" xfId="43805"/>
    <cellStyle name="集計 6 6 4 2 3 2" xfId="43806"/>
    <cellStyle name="集計 6 6 4 2 3 3" xfId="43807"/>
    <cellStyle name="集計 6 6 4 2 4" xfId="43808"/>
    <cellStyle name="集計 6 6 4 2 4 2" xfId="43809"/>
    <cellStyle name="集計 6 6 4 2 4 3" xfId="43810"/>
    <cellStyle name="集計 6 6 4 2 5" xfId="43811"/>
    <cellStyle name="集計 6 6 4 2 6" xfId="43812"/>
    <cellStyle name="集計 6 6 4 3" xfId="43813"/>
    <cellStyle name="集計 6 6 4 3 2" xfId="43814"/>
    <cellStyle name="集計 6 6 4 3 3" xfId="43815"/>
    <cellStyle name="集計 6 6 4 4" xfId="43816"/>
    <cellStyle name="集計 6 6 4 4 2" xfId="43817"/>
    <cellStyle name="集計 6 6 4 4 3" xfId="43818"/>
    <cellStyle name="集計 6 6 4 5" xfId="43819"/>
    <cellStyle name="集計 6 6 4 5 2" xfId="43820"/>
    <cellStyle name="集計 6 6 4 5 3" xfId="43821"/>
    <cellStyle name="集計 6 6 4 6" xfId="43822"/>
    <cellStyle name="集計 6 6 4 7" xfId="43823"/>
    <cellStyle name="集計 6 6 5" xfId="43824"/>
    <cellStyle name="集計 6 6 5 2" xfId="43825"/>
    <cellStyle name="集計 6 6 5 2 2" xfId="43826"/>
    <cellStyle name="集計 6 6 5 2 3" xfId="43827"/>
    <cellStyle name="集計 6 6 5 3" xfId="43828"/>
    <cellStyle name="集計 6 6 5 3 2" xfId="43829"/>
    <cellStyle name="集計 6 6 5 3 3" xfId="43830"/>
    <cellStyle name="集計 6 6 5 4" xfId="43831"/>
    <cellStyle name="集計 6 6 5 4 2" xfId="43832"/>
    <cellStyle name="集計 6 6 5 4 3" xfId="43833"/>
    <cellStyle name="集計 6 6 5 5" xfId="43834"/>
    <cellStyle name="集計 6 6 5 6" xfId="43835"/>
    <cellStyle name="集計 6 6 6" xfId="43836"/>
    <cellStyle name="集計 6 6 6 2" xfId="43837"/>
    <cellStyle name="集計 6 6 6 3" xfId="43838"/>
    <cellStyle name="集計 6 6 7" xfId="43839"/>
    <cellStyle name="集計 6 6 7 2" xfId="43840"/>
    <cellStyle name="集計 6 6 7 3" xfId="43841"/>
    <cellStyle name="集計 6 6 8" xfId="43842"/>
    <cellStyle name="集計 6 6 8 2" xfId="43843"/>
    <cellStyle name="集計 6 6 8 3" xfId="43844"/>
    <cellStyle name="集計 6 6 9" xfId="43845"/>
    <cellStyle name="集計 6 7" xfId="43846"/>
    <cellStyle name="集計 6 7 10" xfId="43847"/>
    <cellStyle name="集計 6 7 2" xfId="43848"/>
    <cellStyle name="集計 6 7 2 2" xfId="43849"/>
    <cellStyle name="集計 6 7 2 2 2" xfId="43850"/>
    <cellStyle name="集計 6 7 2 2 2 2" xfId="43851"/>
    <cellStyle name="集計 6 7 2 2 2 2 2" xfId="43852"/>
    <cellStyle name="集計 6 7 2 2 2 2 3" xfId="43853"/>
    <cellStyle name="集計 6 7 2 2 2 3" xfId="43854"/>
    <cellStyle name="集計 6 7 2 2 2 3 2" xfId="43855"/>
    <cellStyle name="集計 6 7 2 2 2 3 3" xfId="43856"/>
    <cellStyle name="集計 6 7 2 2 2 4" xfId="43857"/>
    <cellStyle name="集計 6 7 2 2 2 4 2" xfId="43858"/>
    <cellStyle name="集計 6 7 2 2 2 4 3" xfId="43859"/>
    <cellStyle name="集計 6 7 2 2 2 5" xfId="43860"/>
    <cellStyle name="集計 6 7 2 2 2 6" xfId="43861"/>
    <cellStyle name="集計 6 7 2 2 3" xfId="43862"/>
    <cellStyle name="集計 6 7 2 2 3 2" xfId="43863"/>
    <cellStyle name="集計 6 7 2 2 3 3" xfId="43864"/>
    <cellStyle name="集計 6 7 2 2 4" xfId="43865"/>
    <cellStyle name="集計 6 7 2 2 4 2" xfId="43866"/>
    <cellStyle name="集計 6 7 2 2 4 3" xfId="43867"/>
    <cellStyle name="集計 6 7 2 2 5" xfId="43868"/>
    <cellStyle name="集計 6 7 2 2 5 2" xfId="43869"/>
    <cellStyle name="集計 6 7 2 2 5 3" xfId="43870"/>
    <cellStyle name="集計 6 7 2 2 6" xfId="43871"/>
    <cellStyle name="集計 6 7 2 2 7" xfId="43872"/>
    <cellStyle name="集計 6 7 2 3" xfId="43873"/>
    <cellStyle name="集計 6 7 2 3 2" xfId="43874"/>
    <cellStyle name="集計 6 7 2 3 2 2" xfId="43875"/>
    <cellStyle name="集計 6 7 2 3 2 2 2" xfId="43876"/>
    <cellStyle name="集計 6 7 2 3 2 2 3" xfId="43877"/>
    <cellStyle name="集計 6 7 2 3 2 3" xfId="43878"/>
    <cellStyle name="集計 6 7 2 3 2 3 2" xfId="43879"/>
    <cellStyle name="集計 6 7 2 3 2 3 3" xfId="43880"/>
    <cellStyle name="集計 6 7 2 3 2 4" xfId="43881"/>
    <cellStyle name="集計 6 7 2 3 2 4 2" xfId="43882"/>
    <cellStyle name="集計 6 7 2 3 2 4 3" xfId="43883"/>
    <cellStyle name="集計 6 7 2 3 2 5" xfId="43884"/>
    <cellStyle name="集計 6 7 2 3 2 6" xfId="43885"/>
    <cellStyle name="集計 6 7 2 3 3" xfId="43886"/>
    <cellStyle name="集計 6 7 2 3 3 2" xfId="43887"/>
    <cellStyle name="集計 6 7 2 3 3 3" xfId="43888"/>
    <cellStyle name="集計 6 7 2 3 4" xfId="43889"/>
    <cellStyle name="集計 6 7 2 3 4 2" xfId="43890"/>
    <cellStyle name="集計 6 7 2 3 4 3" xfId="43891"/>
    <cellStyle name="集計 6 7 2 3 5" xfId="43892"/>
    <cellStyle name="集計 6 7 2 3 5 2" xfId="43893"/>
    <cellStyle name="集計 6 7 2 3 5 3" xfId="43894"/>
    <cellStyle name="集計 6 7 2 3 6" xfId="43895"/>
    <cellStyle name="集計 6 7 2 3 7" xfId="43896"/>
    <cellStyle name="集計 6 7 2 4" xfId="43897"/>
    <cellStyle name="集計 6 7 2 4 2" xfId="43898"/>
    <cellStyle name="集計 6 7 2 4 2 2" xfId="43899"/>
    <cellStyle name="集計 6 7 2 4 2 3" xfId="43900"/>
    <cellStyle name="集計 6 7 2 4 3" xfId="43901"/>
    <cellStyle name="集計 6 7 2 4 3 2" xfId="43902"/>
    <cellStyle name="集計 6 7 2 4 3 3" xfId="43903"/>
    <cellStyle name="集計 6 7 2 4 4" xfId="43904"/>
    <cellStyle name="集計 6 7 2 4 4 2" xfId="43905"/>
    <cellStyle name="集計 6 7 2 4 4 3" xfId="43906"/>
    <cellStyle name="集計 6 7 2 4 5" xfId="43907"/>
    <cellStyle name="集計 6 7 2 4 6" xfId="43908"/>
    <cellStyle name="集計 6 7 2 5" xfId="43909"/>
    <cellStyle name="集計 6 7 2 5 2" xfId="43910"/>
    <cellStyle name="集計 6 7 2 5 3" xfId="43911"/>
    <cellStyle name="集計 6 7 2 6" xfId="43912"/>
    <cellStyle name="集計 6 7 2 6 2" xfId="43913"/>
    <cellStyle name="集計 6 7 2 6 3" xfId="43914"/>
    <cellStyle name="集計 6 7 2 7" xfId="43915"/>
    <cellStyle name="集計 6 7 2 7 2" xfId="43916"/>
    <cellStyle name="集計 6 7 2 7 3" xfId="43917"/>
    <cellStyle name="集計 6 7 2 8" xfId="43918"/>
    <cellStyle name="集計 6 7 2 9" xfId="43919"/>
    <cellStyle name="集計 6 7 3" xfId="43920"/>
    <cellStyle name="集計 6 7 3 2" xfId="43921"/>
    <cellStyle name="集計 6 7 3 2 2" xfId="43922"/>
    <cellStyle name="集計 6 7 3 2 2 2" xfId="43923"/>
    <cellStyle name="集計 6 7 3 2 2 3" xfId="43924"/>
    <cellStyle name="集計 6 7 3 2 3" xfId="43925"/>
    <cellStyle name="集計 6 7 3 2 3 2" xfId="43926"/>
    <cellStyle name="集計 6 7 3 2 3 3" xfId="43927"/>
    <cellStyle name="集計 6 7 3 2 4" xfId="43928"/>
    <cellStyle name="集計 6 7 3 2 4 2" xfId="43929"/>
    <cellStyle name="集計 6 7 3 2 4 3" xfId="43930"/>
    <cellStyle name="集計 6 7 3 2 5" xfId="43931"/>
    <cellStyle name="集計 6 7 3 2 6" xfId="43932"/>
    <cellStyle name="集計 6 7 3 3" xfId="43933"/>
    <cellStyle name="集計 6 7 3 3 2" xfId="43934"/>
    <cellStyle name="集計 6 7 3 3 3" xfId="43935"/>
    <cellStyle name="集計 6 7 3 4" xfId="43936"/>
    <cellStyle name="集計 6 7 3 4 2" xfId="43937"/>
    <cellStyle name="集計 6 7 3 4 3" xfId="43938"/>
    <cellStyle name="集計 6 7 3 5" xfId="43939"/>
    <cellStyle name="集計 6 7 3 5 2" xfId="43940"/>
    <cellStyle name="集計 6 7 3 5 3" xfId="43941"/>
    <cellStyle name="集計 6 7 3 6" xfId="43942"/>
    <cellStyle name="集計 6 7 3 7" xfId="43943"/>
    <cellStyle name="集計 6 7 4" xfId="43944"/>
    <cellStyle name="集計 6 7 4 2" xfId="43945"/>
    <cellStyle name="集計 6 7 4 2 2" xfId="43946"/>
    <cellStyle name="集計 6 7 4 2 2 2" xfId="43947"/>
    <cellStyle name="集計 6 7 4 2 2 3" xfId="43948"/>
    <cellStyle name="集計 6 7 4 2 3" xfId="43949"/>
    <cellStyle name="集計 6 7 4 2 3 2" xfId="43950"/>
    <cellStyle name="集計 6 7 4 2 3 3" xfId="43951"/>
    <cellStyle name="集計 6 7 4 2 4" xfId="43952"/>
    <cellStyle name="集計 6 7 4 2 4 2" xfId="43953"/>
    <cellStyle name="集計 6 7 4 2 4 3" xfId="43954"/>
    <cellStyle name="集計 6 7 4 2 5" xfId="43955"/>
    <cellStyle name="集計 6 7 4 2 6" xfId="43956"/>
    <cellStyle name="集計 6 7 4 3" xfId="43957"/>
    <cellStyle name="集計 6 7 4 3 2" xfId="43958"/>
    <cellStyle name="集計 6 7 4 3 3" xfId="43959"/>
    <cellStyle name="集計 6 7 4 4" xfId="43960"/>
    <cellStyle name="集計 6 7 4 4 2" xfId="43961"/>
    <cellStyle name="集計 6 7 4 4 3" xfId="43962"/>
    <cellStyle name="集計 6 7 4 5" xfId="43963"/>
    <cellStyle name="集計 6 7 4 5 2" xfId="43964"/>
    <cellStyle name="集計 6 7 4 5 3" xfId="43965"/>
    <cellStyle name="集計 6 7 4 6" xfId="43966"/>
    <cellStyle name="集計 6 7 4 7" xfId="43967"/>
    <cellStyle name="集計 6 7 5" xfId="43968"/>
    <cellStyle name="集計 6 7 5 2" xfId="43969"/>
    <cellStyle name="集計 6 7 5 2 2" xfId="43970"/>
    <cellStyle name="集計 6 7 5 2 3" xfId="43971"/>
    <cellStyle name="集計 6 7 5 3" xfId="43972"/>
    <cellStyle name="集計 6 7 5 3 2" xfId="43973"/>
    <cellStyle name="集計 6 7 5 3 3" xfId="43974"/>
    <cellStyle name="集計 6 7 5 4" xfId="43975"/>
    <cellStyle name="集計 6 7 5 4 2" xfId="43976"/>
    <cellStyle name="集計 6 7 5 4 3" xfId="43977"/>
    <cellStyle name="集計 6 7 5 5" xfId="43978"/>
    <cellStyle name="集計 6 7 5 6" xfId="43979"/>
    <cellStyle name="集計 6 7 6" xfId="43980"/>
    <cellStyle name="集計 6 7 6 2" xfId="43981"/>
    <cellStyle name="集計 6 7 6 3" xfId="43982"/>
    <cellStyle name="集計 6 7 7" xfId="43983"/>
    <cellStyle name="集計 6 7 7 2" xfId="43984"/>
    <cellStyle name="集計 6 7 7 3" xfId="43985"/>
    <cellStyle name="集計 6 7 8" xfId="43986"/>
    <cellStyle name="集計 6 7 8 2" xfId="43987"/>
    <cellStyle name="集計 6 7 8 3" xfId="43988"/>
    <cellStyle name="集計 6 7 9" xfId="43989"/>
    <cellStyle name="集計 6 8" xfId="43990"/>
    <cellStyle name="集計 6 8 2" xfId="43991"/>
    <cellStyle name="集計 6 8 2 2" xfId="43992"/>
    <cellStyle name="集計 6 8 2 2 2" xfId="43993"/>
    <cellStyle name="集計 6 8 2 2 3" xfId="43994"/>
    <cellStyle name="集計 6 8 2 3" xfId="43995"/>
    <cellStyle name="集計 6 8 2 3 2" xfId="43996"/>
    <cellStyle name="集計 6 8 2 3 3" xfId="43997"/>
    <cellStyle name="集計 6 8 2 4" xfId="43998"/>
    <cellStyle name="集計 6 8 2 4 2" xfId="43999"/>
    <cellStyle name="集計 6 8 2 4 3" xfId="44000"/>
    <cellStyle name="集計 6 8 2 5" xfId="44001"/>
    <cellStyle name="集計 6 8 2 6" xfId="44002"/>
    <cellStyle name="集計 6 8 3" xfId="44003"/>
    <cellStyle name="集計 6 8 3 2" xfId="44004"/>
    <cellStyle name="集計 6 8 3 3" xfId="44005"/>
    <cellStyle name="集計 6 8 4" xfId="44006"/>
    <cellStyle name="集計 6 8 4 2" xfId="44007"/>
    <cellStyle name="集計 6 8 4 3" xfId="44008"/>
    <cellStyle name="集計 6 8 5" xfId="44009"/>
    <cellStyle name="集計 6 8 5 2" xfId="44010"/>
    <cellStyle name="集計 6 8 5 3" xfId="44011"/>
    <cellStyle name="集計 6 8 6" xfId="44012"/>
    <cellStyle name="集計 6 8 7" xfId="44013"/>
    <cellStyle name="集計 6 9" xfId="44014"/>
    <cellStyle name="集計 6 9 2" xfId="44015"/>
    <cellStyle name="集計 6 9 2 2" xfId="44016"/>
    <cellStyle name="集計 6 9 2 2 2" xfId="44017"/>
    <cellStyle name="集計 6 9 2 2 3" xfId="44018"/>
    <cellStyle name="集計 6 9 2 3" xfId="44019"/>
    <cellStyle name="集計 6 9 2 3 2" xfId="44020"/>
    <cellStyle name="集計 6 9 2 3 3" xfId="44021"/>
    <cellStyle name="集計 6 9 2 4" xfId="44022"/>
    <cellStyle name="集計 6 9 2 4 2" xfId="44023"/>
    <cellStyle name="集計 6 9 2 4 3" xfId="44024"/>
    <cellStyle name="集計 6 9 2 5" xfId="44025"/>
    <cellStyle name="集計 6 9 2 6" xfId="44026"/>
    <cellStyle name="集計 6 9 3" xfId="44027"/>
    <cellStyle name="集計 6 9 3 2" xfId="44028"/>
    <cellStyle name="集計 6 9 3 3" xfId="44029"/>
    <cellStyle name="集計 6 9 4" xfId="44030"/>
    <cellStyle name="集計 6 9 4 2" xfId="44031"/>
    <cellStyle name="集計 6 9 4 3" xfId="44032"/>
    <cellStyle name="集計 6 9 5" xfId="44033"/>
    <cellStyle name="集計 6 9 5 2" xfId="44034"/>
    <cellStyle name="集計 6 9 5 3" xfId="44035"/>
    <cellStyle name="集計 6 9 6" xfId="44036"/>
    <cellStyle name="集計 6 9 7" xfId="44037"/>
    <cellStyle name="集計 7" xfId="44038"/>
    <cellStyle name="集計 7 10" xfId="44039"/>
    <cellStyle name="集計 7 10 2" xfId="44040"/>
    <cellStyle name="集計 7 10 2 2" xfId="44041"/>
    <cellStyle name="集計 7 10 2 3" xfId="44042"/>
    <cellStyle name="集計 7 10 3" xfId="44043"/>
    <cellStyle name="集計 7 10 3 2" xfId="44044"/>
    <cellStyle name="集計 7 10 3 3" xfId="44045"/>
    <cellStyle name="集計 7 10 4" xfId="44046"/>
    <cellStyle name="集計 7 10 4 2" xfId="44047"/>
    <cellStyle name="集計 7 10 4 3" xfId="44048"/>
    <cellStyle name="集計 7 10 5" xfId="44049"/>
    <cellStyle name="集計 7 10 6" xfId="44050"/>
    <cellStyle name="集計 7 11" xfId="44051"/>
    <cellStyle name="集計 7 11 2" xfId="44052"/>
    <cellStyle name="集計 7 11 3" xfId="44053"/>
    <cellStyle name="集計 7 12" xfId="44054"/>
    <cellStyle name="集計 7 12 2" xfId="44055"/>
    <cellStyle name="集計 7 12 3" xfId="44056"/>
    <cellStyle name="集計 7 13" xfId="44057"/>
    <cellStyle name="集計 7 13 2" xfId="44058"/>
    <cellStyle name="集計 7 13 3" xfId="44059"/>
    <cellStyle name="集計 7 14" xfId="44060"/>
    <cellStyle name="集計 7 15" xfId="44061"/>
    <cellStyle name="集計 7 2" xfId="44062"/>
    <cellStyle name="集計 7 2 10" xfId="44063"/>
    <cellStyle name="集計 7 2 10 2" xfId="44064"/>
    <cellStyle name="集計 7 2 10 3" xfId="44065"/>
    <cellStyle name="集計 7 2 11" xfId="44066"/>
    <cellStyle name="集計 7 2 11 2" xfId="44067"/>
    <cellStyle name="集計 7 2 11 3" xfId="44068"/>
    <cellStyle name="集計 7 2 12" xfId="44069"/>
    <cellStyle name="集計 7 2 12 2" xfId="44070"/>
    <cellStyle name="集計 7 2 12 3" xfId="44071"/>
    <cellStyle name="集計 7 2 13" xfId="44072"/>
    <cellStyle name="集計 7 2 14" xfId="44073"/>
    <cellStyle name="集計 7 2 2" xfId="44074"/>
    <cellStyle name="集計 7 2 2 10" xfId="44075"/>
    <cellStyle name="集計 7 2 2 2" xfId="44076"/>
    <cellStyle name="集計 7 2 2 2 10" xfId="44077"/>
    <cellStyle name="集計 7 2 2 2 2" xfId="44078"/>
    <cellStyle name="集計 7 2 2 2 2 2" xfId="44079"/>
    <cellStyle name="集計 7 2 2 2 2 2 2" xfId="44080"/>
    <cellStyle name="集計 7 2 2 2 2 2 2 2" xfId="44081"/>
    <cellStyle name="集計 7 2 2 2 2 2 2 2 2" xfId="44082"/>
    <cellStyle name="集計 7 2 2 2 2 2 2 2 3" xfId="44083"/>
    <cellStyle name="集計 7 2 2 2 2 2 2 3" xfId="44084"/>
    <cellStyle name="集計 7 2 2 2 2 2 2 3 2" xfId="44085"/>
    <cellStyle name="集計 7 2 2 2 2 2 2 3 3" xfId="44086"/>
    <cellStyle name="集計 7 2 2 2 2 2 2 4" xfId="44087"/>
    <cellStyle name="集計 7 2 2 2 2 2 2 4 2" xfId="44088"/>
    <cellStyle name="集計 7 2 2 2 2 2 2 4 3" xfId="44089"/>
    <cellStyle name="集計 7 2 2 2 2 2 2 5" xfId="44090"/>
    <cellStyle name="集計 7 2 2 2 2 2 2 6" xfId="44091"/>
    <cellStyle name="集計 7 2 2 2 2 2 3" xfId="44092"/>
    <cellStyle name="集計 7 2 2 2 2 2 3 2" xfId="44093"/>
    <cellStyle name="集計 7 2 2 2 2 2 3 3" xfId="44094"/>
    <cellStyle name="集計 7 2 2 2 2 2 4" xfId="44095"/>
    <cellStyle name="集計 7 2 2 2 2 2 4 2" xfId="44096"/>
    <cellStyle name="集計 7 2 2 2 2 2 4 3" xfId="44097"/>
    <cellStyle name="集計 7 2 2 2 2 2 5" xfId="44098"/>
    <cellStyle name="集計 7 2 2 2 2 2 5 2" xfId="44099"/>
    <cellStyle name="集計 7 2 2 2 2 2 5 3" xfId="44100"/>
    <cellStyle name="集計 7 2 2 2 2 2 6" xfId="44101"/>
    <cellStyle name="集計 7 2 2 2 2 2 7" xfId="44102"/>
    <cellStyle name="集計 7 2 2 2 2 3" xfId="44103"/>
    <cellStyle name="集計 7 2 2 2 2 3 2" xfId="44104"/>
    <cellStyle name="集計 7 2 2 2 2 3 2 2" xfId="44105"/>
    <cellStyle name="集計 7 2 2 2 2 3 2 2 2" xfId="44106"/>
    <cellStyle name="集計 7 2 2 2 2 3 2 2 3" xfId="44107"/>
    <cellStyle name="集計 7 2 2 2 2 3 2 3" xfId="44108"/>
    <cellStyle name="集計 7 2 2 2 2 3 2 3 2" xfId="44109"/>
    <cellStyle name="集計 7 2 2 2 2 3 2 3 3" xfId="44110"/>
    <cellStyle name="集計 7 2 2 2 2 3 2 4" xfId="44111"/>
    <cellStyle name="集計 7 2 2 2 2 3 2 4 2" xfId="44112"/>
    <cellStyle name="集計 7 2 2 2 2 3 2 4 3" xfId="44113"/>
    <cellStyle name="集計 7 2 2 2 2 3 2 5" xfId="44114"/>
    <cellStyle name="集計 7 2 2 2 2 3 2 6" xfId="44115"/>
    <cellStyle name="集計 7 2 2 2 2 3 3" xfId="44116"/>
    <cellStyle name="集計 7 2 2 2 2 3 3 2" xfId="44117"/>
    <cellStyle name="集計 7 2 2 2 2 3 3 3" xfId="44118"/>
    <cellStyle name="集計 7 2 2 2 2 3 4" xfId="44119"/>
    <cellStyle name="集計 7 2 2 2 2 3 4 2" xfId="44120"/>
    <cellStyle name="集計 7 2 2 2 2 3 4 3" xfId="44121"/>
    <cellStyle name="集計 7 2 2 2 2 3 5" xfId="44122"/>
    <cellStyle name="集計 7 2 2 2 2 3 5 2" xfId="44123"/>
    <cellStyle name="集計 7 2 2 2 2 3 5 3" xfId="44124"/>
    <cellStyle name="集計 7 2 2 2 2 3 6" xfId="44125"/>
    <cellStyle name="集計 7 2 2 2 2 3 7" xfId="44126"/>
    <cellStyle name="集計 7 2 2 2 2 4" xfId="44127"/>
    <cellStyle name="集計 7 2 2 2 2 4 2" xfId="44128"/>
    <cellStyle name="集計 7 2 2 2 2 4 2 2" xfId="44129"/>
    <cellStyle name="集計 7 2 2 2 2 4 2 3" xfId="44130"/>
    <cellStyle name="集計 7 2 2 2 2 4 3" xfId="44131"/>
    <cellStyle name="集計 7 2 2 2 2 4 3 2" xfId="44132"/>
    <cellStyle name="集計 7 2 2 2 2 4 3 3" xfId="44133"/>
    <cellStyle name="集計 7 2 2 2 2 4 4" xfId="44134"/>
    <cellStyle name="集計 7 2 2 2 2 4 4 2" xfId="44135"/>
    <cellStyle name="集計 7 2 2 2 2 4 4 3" xfId="44136"/>
    <cellStyle name="集計 7 2 2 2 2 4 5" xfId="44137"/>
    <cellStyle name="集計 7 2 2 2 2 4 6" xfId="44138"/>
    <cellStyle name="集計 7 2 2 2 2 5" xfId="44139"/>
    <cellStyle name="集計 7 2 2 2 2 5 2" xfId="44140"/>
    <cellStyle name="集計 7 2 2 2 2 5 3" xfId="44141"/>
    <cellStyle name="集計 7 2 2 2 2 6" xfId="44142"/>
    <cellStyle name="集計 7 2 2 2 2 6 2" xfId="44143"/>
    <cellStyle name="集計 7 2 2 2 2 6 3" xfId="44144"/>
    <cellStyle name="集計 7 2 2 2 2 7" xfId="44145"/>
    <cellStyle name="集計 7 2 2 2 2 7 2" xfId="44146"/>
    <cellStyle name="集計 7 2 2 2 2 7 3" xfId="44147"/>
    <cellStyle name="集計 7 2 2 2 2 8" xfId="44148"/>
    <cellStyle name="集計 7 2 2 2 2 9" xfId="44149"/>
    <cellStyle name="集計 7 2 2 2 3" xfId="44150"/>
    <cellStyle name="集計 7 2 2 2 3 2" xfId="44151"/>
    <cellStyle name="集計 7 2 2 2 3 2 2" xfId="44152"/>
    <cellStyle name="集計 7 2 2 2 3 2 2 2" xfId="44153"/>
    <cellStyle name="集計 7 2 2 2 3 2 2 3" xfId="44154"/>
    <cellStyle name="集計 7 2 2 2 3 2 3" xfId="44155"/>
    <cellStyle name="集計 7 2 2 2 3 2 3 2" xfId="44156"/>
    <cellStyle name="集計 7 2 2 2 3 2 3 3" xfId="44157"/>
    <cellStyle name="集計 7 2 2 2 3 2 4" xfId="44158"/>
    <cellStyle name="集計 7 2 2 2 3 2 4 2" xfId="44159"/>
    <cellStyle name="集計 7 2 2 2 3 2 4 3" xfId="44160"/>
    <cellStyle name="集計 7 2 2 2 3 2 5" xfId="44161"/>
    <cellStyle name="集計 7 2 2 2 3 2 6" xfId="44162"/>
    <cellStyle name="集計 7 2 2 2 3 3" xfId="44163"/>
    <cellStyle name="集計 7 2 2 2 3 3 2" xfId="44164"/>
    <cellStyle name="集計 7 2 2 2 3 3 3" xfId="44165"/>
    <cellStyle name="集計 7 2 2 2 3 4" xfId="44166"/>
    <cellStyle name="集計 7 2 2 2 3 4 2" xfId="44167"/>
    <cellStyle name="集計 7 2 2 2 3 4 3" xfId="44168"/>
    <cellStyle name="集計 7 2 2 2 3 5" xfId="44169"/>
    <cellStyle name="集計 7 2 2 2 3 5 2" xfId="44170"/>
    <cellStyle name="集計 7 2 2 2 3 5 3" xfId="44171"/>
    <cellStyle name="集計 7 2 2 2 3 6" xfId="44172"/>
    <cellStyle name="集計 7 2 2 2 3 7" xfId="44173"/>
    <cellStyle name="集計 7 2 2 2 4" xfId="44174"/>
    <cellStyle name="集計 7 2 2 2 4 2" xfId="44175"/>
    <cellStyle name="集計 7 2 2 2 4 2 2" xfId="44176"/>
    <cellStyle name="集計 7 2 2 2 4 2 2 2" xfId="44177"/>
    <cellStyle name="集計 7 2 2 2 4 2 2 3" xfId="44178"/>
    <cellStyle name="集計 7 2 2 2 4 2 3" xfId="44179"/>
    <cellStyle name="集計 7 2 2 2 4 2 3 2" xfId="44180"/>
    <cellStyle name="集計 7 2 2 2 4 2 3 3" xfId="44181"/>
    <cellStyle name="集計 7 2 2 2 4 2 4" xfId="44182"/>
    <cellStyle name="集計 7 2 2 2 4 2 4 2" xfId="44183"/>
    <cellStyle name="集計 7 2 2 2 4 2 4 3" xfId="44184"/>
    <cellStyle name="集計 7 2 2 2 4 2 5" xfId="44185"/>
    <cellStyle name="集計 7 2 2 2 4 2 6" xfId="44186"/>
    <cellStyle name="集計 7 2 2 2 4 3" xfId="44187"/>
    <cellStyle name="集計 7 2 2 2 4 3 2" xfId="44188"/>
    <cellStyle name="集計 7 2 2 2 4 3 3" xfId="44189"/>
    <cellStyle name="集計 7 2 2 2 4 4" xfId="44190"/>
    <cellStyle name="集計 7 2 2 2 4 4 2" xfId="44191"/>
    <cellStyle name="集計 7 2 2 2 4 4 3" xfId="44192"/>
    <cellStyle name="集計 7 2 2 2 4 5" xfId="44193"/>
    <cellStyle name="集計 7 2 2 2 4 5 2" xfId="44194"/>
    <cellStyle name="集計 7 2 2 2 4 5 3" xfId="44195"/>
    <cellStyle name="集計 7 2 2 2 4 6" xfId="44196"/>
    <cellStyle name="集計 7 2 2 2 4 7" xfId="44197"/>
    <cellStyle name="集計 7 2 2 2 5" xfId="44198"/>
    <cellStyle name="集計 7 2 2 2 5 2" xfId="44199"/>
    <cellStyle name="集計 7 2 2 2 5 2 2" xfId="44200"/>
    <cellStyle name="集計 7 2 2 2 5 2 3" xfId="44201"/>
    <cellStyle name="集計 7 2 2 2 5 3" xfId="44202"/>
    <cellStyle name="集計 7 2 2 2 5 3 2" xfId="44203"/>
    <cellStyle name="集計 7 2 2 2 5 3 3" xfId="44204"/>
    <cellStyle name="集計 7 2 2 2 5 4" xfId="44205"/>
    <cellStyle name="集計 7 2 2 2 5 4 2" xfId="44206"/>
    <cellStyle name="集計 7 2 2 2 5 4 3" xfId="44207"/>
    <cellStyle name="集計 7 2 2 2 5 5" xfId="44208"/>
    <cellStyle name="集計 7 2 2 2 5 6" xfId="44209"/>
    <cellStyle name="集計 7 2 2 2 6" xfId="44210"/>
    <cellStyle name="集計 7 2 2 2 6 2" xfId="44211"/>
    <cellStyle name="集計 7 2 2 2 6 3" xfId="44212"/>
    <cellStyle name="集計 7 2 2 2 7" xfId="44213"/>
    <cellStyle name="集計 7 2 2 2 7 2" xfId="44214"/>
    <cellStyle name="集計 7 2 2 2 7 3" xfId="44215"/>
    <cellStyle name="集計 7 2 2 2 8" xfId="44216"/>
    <cellStyle name="集計 7 2 2 2 8 2" xfId="44217"/>
    <cellStyle name="集計 7 2 2 2 8 3" xfId="44218"/>
    <cellStyle name="集計 7 2 2 2 9" xfId="44219"/>
    <cellStyle name="集計 7 2 2 3" xfId="44220"/>
    <cellStyle name="集計 7 2 2 3 2" xfId="44221"/>
    <cellStyle name="集計 7 2 2 3 2 2" xfId="44222"/>
    <cellStyle name="集計 7 2 2 3 2 2 2" xfId="44223"/>
    <cellStyle name="集計 7 2 2 3 2 2 3" xfId="44224"/>
    <cellStyle name="集計 7 2 2 3 2 3" xfId="44225"/>
    <cellStyle name="集計 7 2 2 3 2 3 2" xfId="44226"/>
    <cellStyle name="集計 7 2 2 3 2 3 3" xfId="44227"/>
    <cellStyle name="集計 7 2 2 3 2 4" xfId="44228"/>
    <cellStyle name="集計 7 2 2 3 2 4 2" xfId="44229"/>
    <cellStyle name="集計 7 2 2 3 2 4 3" xfId="44230"/>
    <cellStyle name="集計 7 2 2 3 2 5" xfId="44231"/>
    <cellStyle name="集計 7 2 2 3 2 6" xfId="44232"/>
    <cellStyle name="集計 7 2 2 3 3" xfId="44233"/>
    <cellStyle name="集計 7 2 2 3 3 2" xfId="44234"/>
    <cellStyle name="集計 7 2 2 3 3 3" xfId="44235"/>
    <cellStyle name="集計 7 2 2 3 4" xfId="44236"/>
    <cellStyle name="集計 7 2 2 3 4 2" xfId="44237"/>
    <cellStyle name="集計 7 2 2 3 4 3" xfId="44238"/>
    <cellStyle name="集計 7 2 2 3 5" xfId="44239"/>
    <cellStyle name="集計 7 2 2 3 5 2" xfId="44240"/>
    <cellStyle name="集計 7 2 2 3 5 3" xfId="44241"/>
    <cellStyle name="集計 7 2 2 3 6" xfId="44242"/>
    <cellStyle name="集計 7 2 2 3 7" xfId="44243"/>
    <cellStyle name="集計 7 2 2 4" xfId="44244"/>
    <cellStyle name="集計 7 2 2 4 2" xfId="44245"/>
    <cellStyle name="集計 7 2 2 4 2 2" xfId="44246"/>
    <cellStyle name="集計 7 2 2 4 2 2 2" xfId="44247"/>
    <cellStyle name="集計 7 2 2 4 2 2 3" xfId="44248"/>
    <cellStyle name="集計 7 2 2 4 2 3" xfId="44249"/>
    <cellStyle name="集計 7 2 2 4 2 3 2" xfId="44250"/>
    <cellStyle name="集計 7 2 2 4 2 3 3" xfId="44251"/>
    <cellStyle name="集計 7 2 2 4 2 4" xfId="44252"/>
    <cellStyle name="集計 7 2 2 4 2 4 2" xfId="44253"/>
    <cellStyle name="集計 7 2 2 4 2 4 3" xfId="44254"/>
    <cellStyle name="集計 7 2 2 4 2 5" xfId="44255"/>
    <cellStyle name="集計 7 2 2 4 2 6" xfId="44256"/>
    <cellStyle name="集計 7 2 2 4 3" xfId="44257"/>
    <cellStyle name="集計 7 2 2 4 3 2" xfId="44258"/>
    <cellStyle name="集計 7 2 2 4 3 3" xfId="44259"/>
    <cellStyle name="集計 7 2 2 4 4" xfId="44260"/>
    <cellStyle name="集計 7 2 2 4 4 2" xfId="44261"/>
    <cellStyle name="集計 7 2 2 4 4 3" xfId="44262"/>
    <cellStyle name="集計 7 2 2 4 5" xfId="44263"/>
    <cellStyle name="集計 7 2 2 4 5 2" xfId="44264"/>
    <cellStyle name="集計 7 2 2 4 5 3" xfId="44265"/>
    <cellStyle name="集計 7 2 2 4 6" xfId="44266"/>
    <cellStyle name="集計 7 2 2 4 7" xfId="44267"/>
    <cellStyle name="集計 7 2 2 5" xfId="44268"/>
    <cellStyle name="集計 7 2 2 5 2" xfId="44269"/>
    <cellStyle name="集計 7 2 2 5 2 2" xfId="44270"/>
    <cellStyle name="集計 7 2 2 5 2 3" xfId="44271"/>
    <cellStyle name="集計 7 2 2 5 3" xfId="44272"/>
    <cellStyle name="集計 7 2 2 5 3 2" xfId="44273"/>
    <cellStyle name="集計 7 2 2 5 3 3" xfId="44274"/>
    <cellStyle name="集計 7 2 2 5 4" xfId="44275"/>
    <cellStyle name="集計 7 2 2 5 4 2" xfId="44276"/>
    <cellStyle name="集計 7 2 2 5 4 3" xfId="44277"/>
    <cellStyle name="集計 7 2 2 5 5" xfId="44278"/>
    <cellStyle name="集計 7 2 2 5 6" xfId="44279"/>
    <cellStyle name="集計 7 2 2 6" xfId="44280"/>
    <cellStyle name="集計 7 2 2 6 2" xfId="44281"/>
    <cellStyle name="集計 7 2 2 6 3" xfId="44282"/>
    <cellStyle name="集計 7 2 2 7" xfId="44283"/>
    <cellStyle name="集計 7 2 2 7 2" xfId="44284"/>
    <cellStyle name="集計 7 2 2 7 3" xfId="44285"/>
    <cellStyle name="集計 7 2 2 8" xfId="44286"/>
    <cellStyle name="集計 7 2 2 8 2" xfId="44287"/>
    <cellStyle name="集計 7 2 2 8 3" xfId="44288"/>
    <cellStyle name="集計 7 2 2 9" xfId="44289"/>
    <cellStyle name="集計 7 2 3" xfId="44290"/>
    <cellStyle name="集計 7 2 3 10" xfId="44291"/>
    <cellStyle name="集計 7 2 3 2" xfId="44292"/>
    <cellStyle name="集計 7 2 3 2 10" xfId="44293"/>
    <cellStyle name="集計 7 2 3 2 2" xfId="44294"/>
    <cellStyle name="集計 7 2 3 2 2 2" xfId="44295"/>
    <cellStyle name="集計 7 2 3 2 2 2 2" xfId="44296"/>
    <cellStyle name="集計 7 2 3 2 2 2 2 2" xfId="44297"/>
    <cellStyle name="集計 7 2 3 2 2 2 2 2 2" xfId="44298"/>
    <cellStyle name="集計 7 2 3 2 2 2 2 2 3" xfId="44299"/>
    <cellStyle name="集計 7 2 3 2 2 2 2 3" xfId="44300"/>
    <cellStyle name="集計 7 2 3 2 2 2 2 3 2" xfId="44301"/>
    <cellStyle name="集計 7 2 3 2 2 2 2 3 3" xfId="44302"/>
    <cellStyle name="集計 7 2 3 2 2 2 2 4" xfId="44303"/>
    <cellStyle name="集計 7 2 3 2 2 2 2 4 2" xfId="44304"/>
    <cellStyle name="集計 7 2 3 2 2 2 2 4 3" xfId="44305"/>
    <cellStyle name="集計 7 2 3 2 2 2 2 5" xfId="44306"/>
    <cellStyle name="集計 7 2 3 2 2 2 2 6" xfId="44307"/>
    <cellStyle name="集計 7 2 3 2 2 2 3" xfId="44308"/>
    <cellStyle name="集計 7 2 3 2 2 2 3 2" xfId="44309"/>
    <cellStyle name="集計 7 2 3 2 2 2 3 3" xfId="44310"/>
    <cellStyle name="集計 7 2 3 2 2 2 4" xfId="44311"/>
    <cellStyle name="集計 7 2 3 2 2 2 4 2" xfId="44312"/>
    <cellStyle name="集計 7 2 3 2 2 2 4 3" xfId="44313"/>
    <cellStyle name="集計 7 2 3 2 2 2 5" xfId="44314"/>
    <cellStyle name="集計 7 2 3 2 2 2 5 2" xfId="44315"/>
    <cellStyle name="集計 7 2 3 2 2 2 5 3" xfId="44316"/>
    <cellStyle name="集計 7 2 3 2 2 2 6" xfId="44317"/>
    <cellStyle name="集計 7 2 3 2 2 2 7" xfId="44318"/>
    <cellStyle name="集計 7 2 3 2 2 3" xfId="44319"/>
    <cellStyle name="集計 7 2 3 2 2 3 2" xfId="44320"/>
    <cellStyle name="集計 7 2 3 2 2 3 2 2" xfId="44321"/>
    <cellStyle name="集計 7 2 3 2 2 3 2 2 2" xfId="44322"/>
    <cellStyle name="集計 7 2 3 2 2 3 2 2 3" xfId="44323"/>
    <cellStyle name="集計 7 2 3 2 2 3 2 3" xfId="44324"/>
    <cellStyle name="集計 7 2 3 2 2 3 2 3 2" xfId="44325"/>
    <cellStyle name="集計 7 2 3 2 2 3 2 3 3" xfId="44326"/>
    <cellStyle name="集計 7 2 3 2 2 3 2 4" xfId="44327"/>
    <cellStyle name="集計 7 2 3 2 2 3 2 4 2" xfId="44328"/>
    <cellStyle name="集計 7 2 3 2 2 3 2 4 3" xfId="44329"/>
    <cellStyle name="集計 7 2 3 2 2 3 2 5" xfId="44330"/>
    <cellStyle name="集計 7 2 3 2 2 3 2 6" xfId="44331"/>
    <cellStyle name="集計 7 2 3 2 2 3 3" xfId="44332"/>
    <cellStyle name="集計 7 2 3 2 2 3 3 2" xfId="44333"/>
    <cellStyle name="集計 7 2 3 2 2 3 3 3" xfId="44334"/>
    <cellStyle name="集計 7 2 3 2 2 3 4" xfId="44335"/>
    <cellStyle name="集計 7 2 3 2 2 3 4 2" xfId="44336"/>
    <cellStyle name="集計 7 2 3 2 2 3 4 3" xfId="44337"/>
    <cellStyle name="集計 7 2 3 2 2 3 5" xfId="44338"/>
    <cellStyle name="集計 7 2 3 2 2 3 5 2" xfId="44339"/>
    <cellStyle name="集計 7 2 3 2 2 3 5 3" xfId="44340"/>
    <cellStyle name="集計 7 2 3 2 2 3 6" xfId="44341"/>
    <cellStyle name="集計 7 2 3 2 2 3 7" xfId="44342"/>
    <cellStyle name="集計 7 2 3 2 2 4" xfId="44343"/>
    <cellStyle name="集計 7 2 3 2 2 4 2" xfId="44344"/>
    <cellStyle name="集計 7 2 3 2 2 4 2 2" xfId="44345"/>
    <cellStyle name="集計 7 2 3 2 2 4 2 3" xfId="44346"/>
    <cellStyle name="集計 7 2 3 2 2 4 3" xfId="44347"/>
    <cellStyle name="集計 7 2 3 2 2 4 3 2" xfId="44348"/>
    <cellStyle name="集計 7 2 3 2 2 4 3 3" xfId="44349"/>
    <cellStyle name="集計 7 2 3 2 2 4 4" xfId="44350"/>
    <cellStyle name="集計 7 2 3 2 2 4 4 2" xfId="44351"/>
    <cellStyle name="集計 7 2 3 2 2 4 4 3" xfId="44352"/>
    <cellStyle name="集計 7 2 3 2 2 4 5" xfId="44353"/>
    <cellStyle name="集計 7 2 3 2 2 4 6" xfId="44354"/>
    <cellStyle name="集計 7 2 3 2 2 5" xfId="44355"/>
    <cellStyle name="集計 7 2 3 2 2 5 2" xfId="44356"/>
    <cellStyle name="集計 7 2 3 2 2 5 3" xfId="44357"/>
    <cellStyle name="集計 7 2 3 2 2 6" xfId="44358"/>
    <cellStyle name="集計 7 2 3 2 2 6 2" xfId="44359"/>
    <cellStyle name="集計 7 2 3 2 2 6 3" xfId="44360"/>
    <cellStyle name="集計 7 2 3 2 2 7" xfId="44361"/>
    <cellStyle name="集計 7 2 3 2 2 7 2" xfId="44362"/>
    <cellStyle name="集計 7 2 3 2 2 7 3" xfId="44363"/>
    <cellStyle name="集計 7 2 3 2 2 8" xfId="44364"/>
    <cellStyle name="集計 7 2 3 2 2 9" xfId="44365"/>
    <cellStyle name="集計 7 2 3 2 3" xfId="44366"/>
    <cellStyle name="集計 7 2 3 2 3 2" xfId="44367"/>
    <cellStyle name="集計 7 2 3 2 3 2 2" xfId="44368"/>
    <cellStyle name="集計 7 2 3 2 3 2 2 2" xfId="44369"/>
    <cellStyle name="集計 7 2 3 2 3 2 2 3" xfId="44370"/>
    <cellStyle name="集計 7 2 3 2 3 2 3" xfId="44371"/>
    <cellStyle name="集計 7 2 3 2 3 2 3 2" xfId="44372"/>
    <cellStyle name="集計 7 2 3 2 3 2 3 3" xfId="44373"/>
    <cellStyle name="集計 7 2 3 2 3 2 4" xfId="44374"/>
    <cellStyle name="集計 7 2 3 2 3 2 4 2" xfId="44375"/>
    <cellStyle name="集計 7 2 3 2 3 2 4 3" xfId="44376"/>
    <cellStyle name="集計 7 2 3 2 3 2 5" xfId="44377"/>
    <cellStyle name="集計 7 2 3 2 3 2 6" xfId="44378"/>
    <cellStyle name="集計 7 2 3 2 3 3" xfId="44379"/>
    <cellStyle name="集計 7 2 3 2 3 3 2" xfId="44380"/>
    <cellStyle name="集計 7 2 3 2 3 3 3" xfId="44381"/>
    <cellStyle name="集計 7 2 3 2 3 4" xfId="44382"/>
    <cellStyle name="集計 7 2 3 2 3 4 2" xfId="44383"/>
    <cellStyle name="集計 7 2 3 2 3 4 3" xfId="44384"/>
    <cellStyle name="集計 7 2 3 2 3 5" xfId="44385"/>
    <cellStyle name="集計 7 2 3 2 3 5 2" xfId="44386"/>
    <cellStyle name="集計 7 2 3 2 3 5 3" xfId="44387"/>
    <cellStyle name="集計 7 2 3 2 3 6" xfId="44388"/>
    <cellStyle name="集計 7 2 3 2 3 7" xfId="44389"/>
    <cellStyle name="集計 7 2 3 2 4" xfId="44390"/>
    <cellStyle name="集計 7 2 3 2 4 2" xfId="44391"/>
    <cellStyle name="集計 7 2 3 2 4 2 2" xfId="44392"/>
    <cellStyle name="集計 7 2 3 2 4 2 2 2" xfId="44393"/>
    <cellStyle name="集計 7 2 3 2 4 2 2 3" xfId="44394"/>
    <cellStyle name="集計 7 2 3 2 4 2 3" xfId="44395"/>
    <cellStyle name="集計 7 2 3 2 4 2 3 2" xfId="44396"/>
    <cellStyle name="集計 7 2 3 2 4 2 3 3" xfId="44397"/>
    <cellStyle name="集計 7 2 3 2 4 2 4" xfId="44398"/>
    <cellStyle name="集計 7 2 3 2 4 2 4 2" xfId="44399"/>
    <cellStyle name="集計 7 2 3 2 4 2 4 3" xfId="44400"/>
    <cellStyle name="集計 7 2 3 2 4 2 5" xfId="44401"/>
    <cellStyle name="集計 7 2 3 2 4 2 6" xfId="44402"/>
    <cellStyle name="集計 7 2 3 2 4 3" xfId="44403"/>
    <cellStyle name="集計 7 2 3 2 4 3 2" xfId="44404"/>
    <cellStyle name="集計 7 2 3 2 4 3 3" xfId="44405"/>
    <cellStyle name="集計 7 2 3 2 4 4" xfId="44406"/>
    <cellStyle name="集計 7 2 3 2 4 4 2" xfId="44407"/>
    <cellStyle name="集計 7 2 3 2 4 4 3" xfId="44408"/>
    <cellStyle name="集計 7 2 3 2 4 5" xfId="44409"/>
    <cellStyle name="集計 7 2 3 2 4 5 2" xfId="44410"/>
    <cellStyle name="集計 7 2 3 2 4 5 3" xfId="44411"/>
    <cellStyle name="集計 7 2 3 2 4 6" xfId="44412"/>
    <cellStyle name="集計 7 2 3 2 4 7" xfId="44413"/>
    <cellStyle name="集計 7 2 3 2 5" xfId="44414"/>
    <cellStyle name="集計 7 2 3 2 5 2" xfId="44415"/>
    <cellStyle name="集計 7 2 3 2 5 2 2" xfId="44416"/>
    <cellStyle name="集計 7 2 3 2 5 2 3" xfId="44417"/>
    <cellStyle name="集計 7 2 3 2 5 3" xfId="44418"/>
    <cellStyle name="集計 7 2 3 2 5 3 2" xfId="44419"/>
    <cellStyle name="集計 7 2 3 2 5 3 3" xfId="44420"/>
    <cellStyle name="集計 7 2 3 2 5 4" xfId="44421"/>
    <cellStyle name="集計 7 2 3 2 5 4 2" xfId="44422"/>
    <cellStyle name="集計 7 2 3 2 5 4 3" xfId="44423"/>
    <cellStyle name="集計 7 2 3 2 5 5" xfId="44424"/>
    <cellStyle name="集計 7 2 3 2 5 6" xfId="44425"/>
    <cellStyle name="集計 7 2 3 2 6" xfId="44426"/>
    <cellStyle name="集計 7 2 3 2 6 2" xfId="44427"/>
    <cellStyle name="集計 7 2 3 2 6 3" xfId="44428"/>
    <cellStyle name="集計 7 2 3 2 7" xfId="44429"/>
    <cellStyle name="集計 7 2 3 2 7 2" xfId="44430"/>
    <cellStyle name="集計 7 2 3 2 7 3" xfId="44431"/>
    <cellStyle name="集計 7 2 3 2 8" xfId="44432"/>
    <cellStyle name="集計 7 2 3 2 8 2" xfId="44433"/>
    <cellStyle name="集計 7 2 3 2 8 3" xfId="44434"/>
    <cellStyle name="集計 7 2 3 2 9" xfId="44435"/>
    <cellStyle name="集計 7 2 3 3" xfId="44436"/>
    <cellStyle name="集計 7 2 3 3 2" xfId="44437"/>
    <cellStyle name="集計 7 2 3 3 2 2" xfId="44438"/>
    <cellStyle name="集計 7 2 3 3 2 2 2" xfId="44439"/>
    <cellStyle name="集計 7 2 3 3 2 2 3" xfId="44440"/>
    <cellStyle name="集計 7 2 3 3 2 3" xfId="44441"/>
    <cellStyle name="集計 7 2 3 3 2 3 2" xfId="44442"/>
    <cellStyle name="集計 7 2 3 3 2 3 3" xfId="44443"/>
    <cellStyle name="集計 7 2 3 3 2 4" xfId="44444"/>
    <cellStyle name="集計 7 2 3 3 2 4 2" xfId="44445"/>
    <cellStyle name="集計 7 2 3 3 2 4 3" xfId="44446"/>
    <cellStyle name="集計 7 2 3 3 2 5" xfId="44447"/>
    <cellStyle name="集計 7 2 3 3 2 6" xfId="44448"/>
    <cellStyle name="集計 7 2 3 3 3" xfId="44449"/>
    <cellStyle name="集計 7 2 3 3 3 2" xfId="44450"/>
    <cellStyle name="集計 7 2 3 3 3 3" xfId="44451"/>
    <cellStyle name="集計 7 2 3 3 4" xfId="44452"/>
    <cellStyle name="集計 7 2 3 3 4 2" xfId="44453"/>
    <cellStyle name="集計 7 2 3 3 4 3" xfId="44454"/>
    <cellStyle name="集計 7 2 3 3 5" xfId="44455"/>
    <cellStyle name="集計 7 2 3 3 5 2" xfId="44456"/>
    <cellStyle name="集計 7 2 3 3 5 3" xfId="44457"/>
    <cellStyle name="集計 7 2 3 3 6" xfId="44458"/>
    <cellStyle name="集計 7 2 3 3 7" xfId="44459"/>
    <cellStyle name="集計 7 2 3 4" xfId="44460"/>
    <cellStyle name="集計 7 2 3 4 2" xfId="44461"/>
    <cellStyle name="集計 7 2 3 4 2 2" xfId="44462"/>
    <cellStyle name="集計 7 2 3 4 2 2 2" xfId="44463"/>
    <cellStyle name="集計 7 2 3 4 2 2 3" xfId="44464"/>
    <cellStyle name="集計 7 2 3 4 2 3" xfId="44465"/>
    <cellStyle name="集計 7 2 3 4 2 3 2" xfId="44466"/>
    <cellStyle name="集計 7 2 3 4 2 3 3" xfId="44467"/>
    <cellStyle name="集計 7 2 3 4 2 4" xfId="44468"/>
    <cellStyle name="集計 7 2 3 4 2 4 2" xfId="44469"/>
    <cellStyle name="集計 7 2 3 4 2 4 3" xfId="44470"/>
    <cellStyle name="集計 7 2 3 4 2 5" xfId="44471"/>
    <cellStyle name="集計 7 2 3 4 2 6" xfId="44472"/>
    <cellStyle name="集計 7 2 3 4 3" xfId="44473"/>
    <cellStyle name="集計 7 2 3 4 3 2" xfId="44474"/>
    <cellStyle name="集計 7 2 3 4 3 3" xfId="44475"/>
    <cellStyle name="集計 7 2 3 4 4" xfId="44476"/>
    <cellStyle name="集計 7 2 3 4 4 2" xfId="44477"/>
    <cellStyle name="集計 7 2 3 4 4 3" xfId="44478"/>
    <cellStyle name="集計 7 2 3 4 5" xfId="44479"/>
    <cellStyle name="集計 7 2 3 4 5 2" xfId="44480"/>
    <cellStyle name="集計 7 2 3 4 5 3" xfId="44481"/>
    <cellStyle name="集計 7 2 3 4 6" xfId="44482"/>
    <cellStyle name="集計 7 2 3 4 7" xfId="44483"/>
    <cellStyle name="集計 7 2 3 5" xfId="44484"/>
    <cellStyle name="集計 7 2 3 5 2" xfId="44485"/>
    <cellStyle name="集計 7 2 3 5 2 2" xfId="44486"/>
    <cellStyle name="集計 7 2 3 5 2 3" xfId="44487"/>
    <cellStyle name="集計 7 2 3 5 3" xfId="44488"/>
    <cellStyle name="集計 7 2 3 5 3 2" xfId="44489"/>
    <cellStyle name="集計 7 2 3 5 3 3" xfId="44490"/>
    <cellStyle name="集計 7 2 3 5 4" xfId="44491"/>
    <cellStyle name="集計 7 2 3 5 4 2" xfId="44492"/>
    <cellStyle name="集計 7 2 3 5 4 3" xfId="44493"/>
    <cellStyle name="集計 7 2 3 5 5" xfId="44494"/>
    <cellStyle name="集計 7 2 3 5 6" xfId="44495"/>
    <cellStyle name="集計 7 2 3 6" xfId="44496"/>
    <cellStyle name="集計 7 2 3 6 2" xfId="44497"/>
    <cellStyle name="集計 7 2 3 6 3" xfId="44498"/>
    <cellStyle name="集計 7 2 3 7" xfId="44499"/>
    <cellStyle name="集計 7 2 3 7 2" xfId="44500"/>
    <cellStyle name="集計 7 2 3 7 3" xfId="44501"/>
    <cellStyle name="集計 7 2 3 8" xfId="44502"/>
    <cellStyle name="集計 7 2 3 8 2" xfId="44503"/>
    <cellStyle name="集計 7 2 3 8 3" xfId="44504"/>
    <cellStyle name="集計 7 2 3 9" xfId="44505"/>
    <cellStyle name="集計 7 2 4" xfId="44506"/>
    <cellStyle name="集計 7 2 4 10" xfId="44507"/>
    <cellStyle name="集計 7 2 4 2" xfId="44508"/>
    <cellStyle name="集計 7 2 4 2 10" xfId="44509"/>
    <cellStyle name="集計 7 2 4 2 2" xfId="44510"/>
    <cellStyle name="集計 7 2 4 2 2 2" xfId="44511"/>
    <cellStyle name="集計 7 2 4 2 2 2 2" xfId="44512"/>
    <cellStyle name="集計 7 2 4 2 2 2 2 2" xfId="44513"/>
    <cellStyle name="集計 7 2 4 2 2 2 2 2 2" xfId="44514"/>
    <cellStyle name="集計 7 2 4 2 2 2 2 2 3" xfId="44515"/>
    <cellStyle name="集計 7 2 4 2 2 2 2 3" xfId="44516"/>
    <cellStyle name="集計 7 2 4 2 2 2 2 3 2" xfId="44517"/>
    <cellStyle name="集計 7 2 4 2 2 2 2 3 3" xfId="44518"/>
    <cellStyle name="集計 7 2 4 2 2 2 2 4" xfId="44519"/>
    <cellStyle name="集計 7 2 4 2 2 2 2 4 2" xfId="44520"/>
    <cellStyle name="集計 7 2 4 2 2 2 2 4 3" xfId="44521"/>
    <cellStyle name="集計 7 2 4 2 2 2 2 5" xfId="44522"/>
    <cellStyle name="集計 7 2 4 2 2 2 2 6" xfId="44523"/>
    <cellStyle name="集計 7 2 4 2 2 2 3" xfId="44524"/>
    <cellStyle name="集計 7 2 4 2 2 2 3 2" xfId="44525"/>
    <cellStyle name="集計 7 2 4 2 2 2 3 3" xfId="44526"/>
    <cellStyle name="集計 7 2 4 2 2 2 4" xfId="44527"/>
    <cellStyle name="集計 7 2 4 2 2 2 4 2" xfId="44528"/>
    <cellStyle name="集計 7 2 4 2 2 2 4 3" xfId="44529"/>
    <cellStyle name="集計 7 2 4 2 2 2 5" xfId="44530"/>
    <cellStyle name="集計 7 2 4 2 2 2 5 2" xfId="44531"/>
    <cellStyle name="集計 7 2 4 2 2 2 5 3" xfId="44532"/>
    <cellStyle name="集計 7 2 4 2 2 2 6" xfId="44533"/>
    <cellStyle name="集計 7 2 4 2 2 2 7" xfId="44534"/>
    <cellStyle name="集計 7 2 4 2 2 3" xfId="44535"/>
    <cellStyle name="集計 7 2 4 2 2 3 2" xfId="44536"/>
    <cellStyle name="集計 7 2 4 2 2 3 2 2" xfId="44537"/>
    <cellStyle name="集計 7 2 4 2 2 3 2 2 2" xfId="44538"/>
    <cellStyle name="集計 7 2 4 2 2 3 2 2 3" xfId="44539"/>
    <cellStyle name="集計 7 2 4 2 2 3 2 3" xfId="44540"/>
    <cellStyle name="集計 7 2 4 2 2 3 2 3 2" xfId="44541"/>
    <cellStyle name="集計 7 2 4 2 2 3 2 3 3" xfId="44542"/>
    <cellStyle name="集計 7 2 4 2 2 3 2 4" xfId="44543"/>
    <cellStyle name="集計 7 2 4 2 2 3 2 4 2" xfId="44544"/>
    <cellStyle name="集計 7 2 4 2 2 3 2 4 3" xfId="44545"/>
    <cellStyle name="集計 7 2 4 2 2 3 2 5" xfId="44546"/>
    <cellStyle name="集計 7 2 4 2 2 3 2 6" xfId="44547"/>
    <cellStyle name="集計 7 2 4 2 2 3 3" xfId="44548"/>
    <cellStyle name="集計 7 2 4 2 2 3 3 2" xfId="44549"/>
    <cellStyle name="集計 7 2 4 2 2 3 3 3" xfId="44550"/>
    <cellStyle name="集計 7 2 4 2 2 3 4" xfId="44551"/>
    <cellStyle name="集計 7 2 4 2 2 3 4 2" xfId="44552"/>
    <cellStyle name="集計 7 2 4 2 2 3 4 3" xfId="44553"/>
    <cellStyle name="集計 7 2 4 2 2 3 5" xfId="44554"/>
    <cellStyle name="集計 7 2 4 2 2 3 5 2" xfId="44555"/>
    <cellStyle name="集計 7 2 4 2 2 3 5 3" xfId="44556"/>
    <cellStyle name="集計 7 2 4 2 2 3 6" xfId="44557"/>
    <cellStyle name="集計 7 2 4 2 2 3 7" xfId="44558"/>
    <cellStyle name="集計 7 2 4 2 2 4" xfId="44559"/>
    <cellStyle name="集計 7 2 4 2 2 4 2" xfId="44560"/>
    <cellStyle name="集計 7 2 4 2 2 4 2 2" xfId="44561"/>
    <cellStyle name="集計 7 2 4 2 2 4 2 3" xfId="44562"/>
    <cellStyle name="集計 7 2 4 2 2 4 3" xfId="44563"/>
    <cellStyle name="集計 7 2 4 2 2 4 3 2" xfId="44564"/>
    <cellStyle name="集計 7 2 4 2 2 4 3 3" xfId="44565"/>
    <cellStyle name="集計 7 2 4 2 2 4 4" xfId="44566"/>
    <cellStyle name="集計 7 2 4 2 2 4 4 2" xfId="44567"/>
    <cellStyle name="集計 7 2 4 2 2 4 4 3" xfId="44568"/>
    <cellStyle name="集計 7 2 4 2 2 4 5" xfId="44569"/>
    <cellStyle name="集計 7 2 4 2 2 4 6" xfId="44570"/>
    <cellStyle name="集計 7 2 4 2 2 5" xfId="44571"/>
    <cellStyle name="集計 7 2 4 2 2 5 2" xfId="44572"/>
    <cellStyle name="集計 7 2 4 2 2 5 3" xfId="44573"/>
    <cellStyle name="集計 7 2 4 2 2 6" xfId="44574"/>
    <cellStyle name="集計 7 2 4 2 2 6 2" xfId="44575"/>
    <cellStyle name="集計 7 2 4 2 2 6 3" xfId="44576"/>
    <cellStyle name="集計 7 2 4 2 2 7" xfId="44577"/>
    <cellStyle name="集計 7 2 4 2 2 7 2" xfId="44578"/>
    <cellStyle name="集計 7 2 4 2 2 7 3" xfId="44579"/>
    <cellStyle name="集計 7 2 4 2 2 8" xfId="44580"/>
    <cellStyle name="集計 7 2 4 2 2 9" xfId="44581"/>
    <cellStyle name="集計 7 2 4 2 3" xfId="44582"/>
    <cellStyle name="集計 7 2 4 2 3 2" xfId="44583"/>
    <cellStyle name="集計 7 2 4 2 3 2 2" xfId="44584"/>
    <cellStyle name="集計 7 2 4 2 3 2 2 2" xfId="44585"/>
    <cellStyle name="集計 7 2 4 2 3 2 2 3" xfId="44586"/>
    <cellStyle name="集計 7 2 4 2 3 2 3" xfId="44587"/>
    <cellStyle name="集計 7 2 4 2 3 2 3 2" xfId="44588"/>
    <cellStyle name="集計 7 2 4 2 3 2 3 3" xfId="44589"/>
    <cellStyle name="集計 7 2 4 2 3 2 4" xfId="44590"/>
    <cellStyle name="集計 7 2 4 2 3 2 4 2" xfId="44591"/>
    <cellStyle name="集計 7 2 4 2 3 2 4 3" xfId="44592"/>
    <cellStyle name="集計 7 2 4 2 3 2 5" xfId="44593"/>
    <cellStyle name="集計 7 2 4 2 3 2 6" xfId="44594"/>
    <cellStyle name="集計 7 2 4 2 3 3" xfId="44595"/>
    <cellStyle name="集計 7 2 4 2 3 3 2" xfId="44596"/>
    <cellStyle name="集計 7 2 4 2 3 3 3" xfId="44597"/>
    <cellStyle name="集計 7 2 4 2 3 4" xfId="44598"/>
    <cellStyle name="集計 7 2 4 2 3 4 2" xfId="44599"/>
    <cellStyle name="集計 7 2 4 2 3 4 3" xfId="44600"/>
    <cellStyle name="集計 7 2 4 2 3 5" xfId="44601"/>
    <cellStyle name="集計 7 2 4 2 3 5 2" xfId="44602"/>
    <cellStyle name="集計 7 2 4 2 3 5 3" xfId="44603"/>
    <cellStyle name="集計 7 2 4 2 3 6" xfId="44604"/>
    <cellStyle name="集計 7 2 4 2 3 7" xfId="44605"/>
    <cellStyle name="集計 7 2 4 2 4" xfId="44606"/>
    <cellStyle name="集計 7 2 4 2 4 2" xfId="44607"/>
    <cellStyle name="集計 7 2 4 2 4 2 2" xfId="44608"/>
    <cellStyle name="集計 7 2 4 2 4 2 2 2" xfId="44609"/>
    <cellStyle name="集計 7 2 4 2 4 2 2 3" xfId="44610"/>
    <cellStyle name="集計 7 2 4 2 4 2 3" xfId="44611"/>
    <cellStyle name="集計 7 2 4 2 4 2 3 2" xfId="44612"/>
    <cellStyle name="集計 7 2 4 2 4 2 3 3" xfId="44613"/>
    <cellStyle name="集計 7 2 4 2 4 2 4" xfId="44614"/>
    <cellStyle name="集計 7 2 4 2 4 2 4 2" xfId="44615"/>
    <cellStyle name="集計 7 2 4 2 4 2 4 3" xfId="44616"/>
    <cellStyle name="集計 7 2 4 2 4 2 5" xfId="44617"/>
    <cellStyle name="集計 7 2 4 2 4 2 6" xfId="44618"/>
    <cellStyle name="集計 7 2 4 2 4 3" xfId="44619"/>
    <cellStyle name="集計 7 2 4 2 4 3 2" xfId="44620"/>
    <cellStyle name="集計 7 2 4 2 4 3 3" xfId="44621"/>
    <cellStyle name="集計 7 2 4 2 4 4" xfId="44622"/>
    <cellStyle name="集計 7 2 4 2 4 4 2" xfId="44623"/>
    <cellStyle name="集計 7 2 4 2 4 4 3" xfId="44624"/>
    <cellStyle name="集計 7 2 4 2 4 5" xfId="44625"/>
    <cellStyle name="集計 7 2 4 2 4 5 2" xfId="44626"/>
    <cellStyle name="集計 7 2 4 2 4 5 3" xfId="44627"/>
    <cellStyle name="集計 7 2 4 2 4 6" xfId="44628"/>
    <cellStyle name="集計 7 2 4 2 4 7" xfId="44629"/>
    <cellStyle name="集計 7 2 4 2 5" xfId="44630"/>
    <cellStyle name="集計 7 2 4 2 5 2" xfId="44631"/>
    <cellStyle name="集計 7 2 4 2 5 2 2" xfId="44632"/>
    <cellStyle name="集計 7 2 4 2 5 2 3" xfId="44633"/>
    <cellStyle name="集計 7 2 4 2 5 3" xfId="44634"/>
    <cellStyle name="集計 7 2 4 2 5 3 2" xfId="44635"/>
    <cellStyle name="集計 7 2 4 2 5 3 3" xfId="44636"/>
    <cellStyle name="集計 7 2 4 2 5 4" xfId="44637"/>
    <cellStyle name="集計 7 2 4 2 5 4 2" xfId="44638"/>
    <cellStyle name="集計 7 2 4 2 5 4 3" xfId="44639"/>
    <cellStyle name="集計 7 2 4 2 5 5" xfId="44640"/>
    <cellStyle name="集計 7 2 4 2 5 6" xfId="44641"/>
    <cellStyle name="集計 7 2 4 2 6" xfId="44642"/>
    <cellStyle name="集計 7 2 4 2 6 2" xfId="44643"/>
    <cellStyle name="集計 7 2 4 2 6 3" xfId="44644"/>
    <cellStyle name="集計 7 2 4 2 7" xfId="44645"/>
    <cellStyle name="集計 7 2 4 2 7 2" xfId="44646"/>
    <cellStyle name="集計 7 2 4 2 7 3" xfId="44647"/>
    <cellStyle name="集計 7 2 4 2 8" xfId="44648"/>
    <cellStyle name="集計 7 2 4 2 8 2" xfId="44649"/>
    <cellStyle name="集計 7 2 4 2 8 3" xfId="44650"/>
    <cellStyle name="集計 7 2 4 2 9" xfId="44651"/>
    <cellStyle name="集計 7 2 4 3" xfId="44652"/>
    <cellStyle name="集計 7 2 4 3 2" xfId="44653"/>
    <cellStyle name="集計 7 2 4 3 2 2" xfId="44654"/>
    <cellStyle name="集計 7 2 4 3 2 2 2" xfId="44655"/>
    <cellStyle name="集計 7 2 4 3 2 2 3" xfId="44656"/>
    <cellStyle name="集計 7 2 4 3 2 3" xfId="44657"/>
    <cellStyle name="集計 7 2 4 3 2 3 2" xfId="44658"/>
    <cellStyle name="集計 7 2 4 3 2 3 3" xfId="44659"/>
    <cellStyle name="集計 7 2 4 3 2 4" xfId="44660"/>
    <cellStyle name="集計 7 2 4 3 2 4 2" xfId="44661"/>
    <cellStyle name="集計 7 2 4 3 2 4 3" xfId="44662"/>
    <cellStyle name="集計 7 2 4 3 2 5" xfId="44663"/>
    <cellStyle name="集計 7 2 4 3 2 6" xfId="44664"/>
    <cellStyle name="集計 7 2 4 3 3" xfId="44665"/>
    <cellStyle name="集計 7 2 4 3 3 2" xfId="44666"/>
    <cellStyle name="集計 7 2 4 3 3 3" xfId="44667"/>
    <cellStyle name="集計 7 2 4 3 4" xfId="44668"/>
    <cellStyle name="集計 7 2 4 3 4 2" xfId="44669"/>
    <cellStyle name="集計 7 2 4 3 4 3" xfId="44670"/>
    <cellStyle name="集計 7 2 4 3 5" xfId="44671"/>
    <cellStyle name="集計 7 2 4 3 5 2" xfId="44672"/>
    <cellStyle name="集計 7 2 4 3 5 3" xfId="44673"/>
    <cellStyle name="集計 7 2 4 3 6" xfId="44674"/>
    <cellStyle name="集計 7 2 4 3 7" xfId="44675"/>
    <cellStyle name="集計 7 2 4 4" xfId="44676"/>
    <cellStyle name="集計 7 2 4 4 2" xfId="44677"/>
    <cellStyle name="集計 7 2 4 4 2 2" xfId="44678"/>
    <cellStyle name="集計 7 2 4 4 2 2 2" xfId="44679"/>
    <cellStyle name="集計 7 2 4 4 2 2 3" xfId="44680"/>
    <cellStyle name="集計 7 2 4 4 2 3" xfId="44681"/>
    <cellStyle name="集計 7 2 4 4 2 3 2" xfId="44682"/>
    <cellStyle name="集計 7 2 4 4 2 3 3" xfId="44683"/>
    <cellStyle name="集計 7 2 4 4 2 4" xfId="44684"/>
    <cellStyle name="集計 7 2 4 4 2 4 2" xfId="44685"/>
    <cellStyle name="集計 7 2 4 4 2 4 3" xfId="44686"/>
    <cellStyle name="集計 7 2 4 4 2 5" xfId="44687"/>
    <cellStyle name="集計 7 2 4 4 2 6" xfId="44688"/>
    <cellStyle name="集計 7 2 4 4 3" xfId="44689"/>
    <cellStyle name="集計 7 2 4 4 3 2" xfId="44690"/>
    <cellStyle name="集計 7 2 4 4 3 3" xfId="44691"/>
    <cellStyle name="集計 7 2 4 4 4" xfId="44692"/>
    <cellStyle name="集計 7 2 4 4 4 2" xfId="44693"/>
    <cellStyle name="集計 7 2 4 4 4 3" xfId="44694"/>
    <cellStyle name="集計 7 2 4 4 5" xfId="44695"/>
    <cellStyle name="集計 7 2 4 4 5 2" xfId="44696"/>
    <cellStyle name="集計 7 2 4 4 5 3" xfId="44697"/>
    <cellStyle name="集計 7 2 4 4 6" xfId="44698"/>
    <cellStyle name="集計 7 2 4 4 7" xfId="44699"/>
    <cellStyle name="集計 7 2 4 5" xfId="44700"/>
    <cellStyle name="集計 7 2 4 5 2" xfId="44701"/>
    <cellStyle name="集計 7 2 4 5 2 2" xfId="44702"/>
    <cellStyle name="集計 7 2 4 5 2 3" xfId="44703"/>
    <cellStyle name="集計 7 2 4 5 3" xfId="44704"/>
    <cellStyle name="集計 7 2 4 5 3 2" xfId="44705"/>
    <cellStyle name="集計 7 2 4 5 3 3" xfId="44706"/>
    <cellStyle name="集計 7 2 4 5 4" xfId="44707"/>
    <cellStyle name="集計 7 2 4 5 4 2" xfId="44708"/>
    <cellStyle name="集計 7 2 4 5 4 3" xfId="44709"/>
    <cellStyle name="集計 7 2 4 5 5" xfId="44710"/>
    <cellStyle name="集計 7 2 4 5 6" xfId="44711"/>
    <cellStyle name="集計 7 2 4 6" xfId="44712"/>
    <cellStyle name="集計 7 2 4 6 2" xfId="44713"/>
    <cellStyle name="集計 7 2 4 6 3" xfId="44714"/>
    <cellStyle name="集計 7 2 4 7" xfId="44715"/>
    <cellStyle name="集計 7 2 4 7 2" xfId="44716"/>
    <cellStyle name="集計 7 2 4 7 3" xfId="44717"/>
    <cellStyle name="集計 7 2 4 8" xfId="44718"/>
    <cellStyle name="集計 7 2 4 8 2" xfId="44719"/>
    <cellStyle name="集計 7 2 4 8 3" xfId="44720"/>
    <cellStyle name="集計 7 2 4 9" xfId="44721"/>
    <cellStyle name="集計 7 2 5" xfId="44722"/>
    <cellStyle name="集計 7 2 5 10" xfId="44723"/>
    <cellStyle name="集計 7 2 5 2" xfId="44724"/>
    <cellStyle name="集計 7 2 5 2 2" xfId="44725"/>
    <cellStyle name="集計 7 2 5 2 2 2" xfId="44726"/>
    <cellStyle name="集計 7 2 5 2 2 2 2" xfId="44727"/>
    <cellStyle name="集計 7 2 5 2 2 2 2 2" xfId="44728"/>
    <cellStyle name="集計 7 2 5 2 2 2 2 3" xfId="44729"/>
    <cellStyle name="集計 7 2 5 2 2 2 3" xfId="44730"/>
    <cellStyle name="集計 7 2 5 2 2 2 3 2" xfId="44731"/>
    <cellStyle name="集計 7 2 5 2 2 2 3 3" xfId="44732"/>
    <cellStyle name="集計 7 2 5 2 2 2 4" xfId="44733"/>
    <cellStyle name="集計 7 2 5 2 2 2 4 2" xfId="44734"/>
    <cellStyle name="集計 7 2 5 2 2 2 4 3" xfId="44735"/>
    <cellStyle name="集計 7 2 5 2 2 2 5" xfId="44736"/>
    <cellStyle name="集計 7 2 5 2 2 2 6" xfId="44737"/>
    <cellStyle name="集計 7 2 5 2 2 3" xfId="44738"/>
    <cellStyle name="集計 7 2 5 2 2 3 2" xfId="44739"/>
    <cellStyle name="集計 7 2 5 2 2 3 3" xfId="44740"/>
    <cellStyle name="集計 7 2 5 2 2 4" xfId="44741"/>
    <cellStyle name="集計 7 2 5 2 2 4 2" xfId="44742"/>
    <cellStyle name="集計 7 2 5 2 2 4 3" xfId="44743"/>
    <cellStyle name="集計 7 2 5 2 2 5" xfId="44744"/>
    <cellStyle name="集計 7 2 5 2 2 5 2" xfId="44745"/>
    <cellStyle name="集計 7 2 5 2 2 5 3" xfId="44746"/>
    <cellStyle name="集計 7 2 5 2 2 6" xfId="44747"/>
    <cellStyle name="集計 7 2 5 2 2 7" xfId="44748"/>
    <cellStyle name="集計 7 2 5 2 3" xfId="44749"/>
    <cellStyle name="集計 7 2 5 2 3 2" xfId="44750"/>
    <cellStyle name="集計 7 2 5 2 3 2 2" xfId="44751"/>
    <cellStyle name="集計 7 2 5 2 3 2 2 2" xfId="44752"/>
    <cellStyle name="集計 7 2 5 2 3 2 2 3" xfId="44753"/>
    <cellStyle name="集計 7 2 5 2 3 2 3" xfId="44754"/>
    <cellStyle name="集計 7 2 5 2 3 2 3 2" xfId="44755"/>
    <cellStyle name="集計 7 2 5 2 3 2 3 3" xfId="44756"/>
    <cellStyle name="集計 7 2 5 2 3 2 4" xfId="44757"/>
    <cellStyle name="集計 7 2 5 2 3 2 4 2" xfId="44758"/>
    <cellStyle name="集計 7 2 5 2 3 2 4 3" xfId="44759"/>
    <cellStyle name="集計 7 2 5 2 3 2 5" xfId="44760"/>
    <cellStyle name="集計 7 2 5 2 3 2 6" xfId="44761"/>
    <cellStyle name="集計 7 2 5 2 3 3" xfId="44762"/>
    <cellStyle name="集計 7 2 5 2 3 3 2" xfId="44763"/>
    <cellStyle name="集計 7 2 5 2 3 3 3" xfId="44764"/>
    <cellStyle name="集計 7 2 5 2 3 4" xfId="44765"/>
    <cellStyle name="集計 7 2 5 2 3 4 2" xfId="44766"/>
    <cellStyle name="集計 7 2 5 2 3 4 3" xfId="44767"/>
    <cellStyle name="集計 7 2 5 2 3 5" xfId="44768"/>
    <cellStyle name="集計 7 2 5 2 3 5 2" xfId="44769"/>
    <cellStyle name="集計 7 2 5 2 3 5 3" xfId="44770"/>
    <cellStyle name="集計 7 2 5 2 3 6" xfId="44771"/>
    <cellStyle name="集計 7 2 5 2 3 7" xfId="44772"/>
    <cellStyle name="集計 7 2 5 2 4" xfId="44773"/>
    <cellStyle name="集計 7 2 5 2 4 2" xfId="44774"/>
    <cellStyle name="集計 7 2 5 2 4 2 2" xfId="44775"/>
    <cellStyle name="集計 7 2 5 2 4 2 3" xfId="44776"/>
    <cellStyle name="集計 7 2 5 2 4 3" xfId="44777"/>
    <cellStyle name="集計 7 2 5 2 4 3 2" xfId="44778"/>
    <cellStyle name="集計 7 2 5 2 4 3 3" xfId="44779"/>
    <cellStyle name="集計 7 2 5 2 4 4" xfId="44780"/>
    <cellStyle name="集計 7 2 5 2 4 4 2" xfId="44781"/>
    <cellStyle name="集計 7 2 5 2 4 4 3" xfId="44782"/>
    <cellStyle name="集計 7 2 5 2 4 5" xfId="44783"/>
    <cellStyle name="集計 7 2 5 2 4 6" xfId="44784"/>
    <cellStyle name="集計 7 2 5 2 5" xfId="44785"/>
    <cellStyle name="集計 7 2 5 2 5 2" xfId="44786"/>
    <cellStyle name="集計 7 2 5 2 5 3" xfId="44787"/>
    <cellStyle name="集計 7 2 5 2 6" xfId="44788"/>
    <cellStyle name="集計 7 2 5 2 6 2" xfId="44789"/>
    <cellStyle name="集計 7 2 5 2 6 3" xfId="44790"/>
    <cellStyle name="集計 7 2 5 2 7" xfId="44791"/>
    <cellStyle name="集計 7 2 5 2 7 2" xfId="44792"/>
    <cellStyle name="集計 7 2 5 2 7 3" xfId="44793"/>
    <cellStyle name="集計 7 2 5 2 8" xfId="44794"/>
    <cellStyle name="集計 7 2 5 2 9" xfId="44795"/>
    <cellStyle name="集計 7 2 5 3" xfId="44796"/>
    <cellStyle name="集計 7 2 5 3 2" xfId="44797"/>
    <cellStyle name="集計 7 2 5 3 2 2" xfId="44798"/>
    <cellStyle name="集計 7 2 5 3 2 2 2" xfId="44799"/>
    <cellStyle name="集計 7 2 5 3 2 2 3" xfId="44800"/>
    <cellStyle name="集計 7 2 5 3 2 3" xfId="44801"/>
    <cellStyle name="集計 7 2 5 3 2 3 2" xfId="44802"/>
    <cellStyle name="集計 7 2 5 3 2 3 3" xfId="44803"/>
    <cellStyle name="集計 7 2 5 3 2 4" xfId="44804"/>
    <cellStyle name="集計 7 2 5 3 2 4 2" xfId="44805"/>
    <cellStyle name="集計 7 2 5 3 2 4 3" xfId="44806"/>
    <cellStyle name="集計 7 2 5 3 2 5" xfId="44807"/>
    <cellStyle name="集計 7 2 5 3 2 6" xfId="44808"/>
    <cellStyle name="集計 7 2 5 3 3" xfId="44809"/>
    <cellStyle name="集計 7 2 5 3 3 2" xfId="44810"/>
    <cellStyle name="集計 7 2 5 3 3 3" xfId="44811"/>
    <cellStyle name="集計 7 2 5 3 4" xfId="44812"/>
    <cellStyle name="集計 7 2 5 3 4 2" xfId="44813"/>
    <cellStyle name="集計 7 2 5 3 4 3" xfId="44814"/>
    <cellStyle name="集計 7 2 5 3 5" xfId="44815"/>
    <cellStyle name="集計 7 2 5 3 5 2" xfId="44816"/>
    <cellStyle name="集計 7 2 5 3 5 3" xfId="44817"/>
    <cellStyle name="集計 7 2 5 3 6" xfId="44818"/>
    <cellStyle name="集計 7 2 5 3 7" xfId="44819"/>
    <cellStyle name="集計 7 2 5 4" xfId="44820"/>
    <cellStyle name="集計 7 2 5 4 2" xfId="44821"/>
    <cellStyle name="集計 7 2 5 4 2 2" xfId="44822"/>
    <cellStyle name="集計 7 2 5 4 2 2 2" xfId="44823"/>
    <cellStyle name="集計 7 2 5 4 2 2 3" xfId="44824"/>
    <cellStyle name="集計 7 2 5 4 2 3" xfId="44825"/>
    <cellStyle name="集計 7 2 5 4 2 3 2" xfId="44826"/>
    <cellStyle name="集計 7 2 5 4 2 3 3" xfId="44827"/>
    <cellStyle name="集計 7 2 5 4 2 4" xfId="44828"/>
    <cellStyle name="集計 7 2 5 4 2 4 2" xfId="44829"/>
    <cellStyle name="集計 7 2 5 4 2 4 3" xfId="44830"/>
    <cellStyle name="集計 7 2 5 4 2 5" xfId="44831"/>
    <cellStyle name="集計 7 2 5 4 2 6" xfId="44832"/>
    <cellStyle name="集計 7 2 5 4 3" xfId="44833"/>
    <cellStyle name="集計 7 2 5 4 3 2" xfId="44834"/>
    <cellStyle name="集計 7 2 5 4 3 3" xfId="44835"/>
    <cellStyle name="集計 7 2 5 4 4" xfId="44836"/>
    <cellStyle name="集計 7 2 5 4 4 2" xfId="44837"/>
    <cellStyle name="集計 7 2 5 4 4 3" xfId="44838"/>
    <cellStyle name="集計 7 2 5 4 5" xfId="44839"/>
    <cellStyle name="集計 7 2 5 4 5 2" xfId="44840"/>
    <cellStyle name="集計 7 2 5 4 5 3" xfId="44841"/>
    <cellStyle name="集計 7 2 5 4 6" xfId="44842"/>
    <cellStyle name="集計 7 2 5 4 7" xfId="44843"/>
    <cellStyle name="集計 7 2 5 5" xfId="44844"/>
    <cellStyle name="集計 7 2 5 5 2" xfId="44845"/>
    <cellStyle name="集計 7 2 5 5 2 2" xfId="44846"/>
    <cellStyle name="集計 7 2 5 5 2 3" xfId="44847"/>
    <cellStyle name="集計 7 2 5 5 3" xfId="44848"/>
    <cellStyle name="集計 7 2 5 5 3 2" xfId="44849"/>
    <cellStyle name="集計 7 2 5 5 3 3" xfId="44850"/>
    <cellStyle name="集計 7 2 5 5 4" xfId="44851"/>
    <cellStyle name="集計 7 2 5 5 4 2" xfId="44852"/>
    <cellStyle name="集計 7 2 5 5 4 3" xfId="44853"/>
    <cellStyle name="集計 7 2 5 5 5" xfId="44854"/>
    <cellStyle name="集計 7 2 5 5 6" xfId="44855"/>
    <cellStyle name="集計 7 2 5 6" xfId="44856"/>
    <cellStyle name="集計 7 2 5 6 2" xfId="44857"/>
    <cellStyle name="集計 7 2 5 6 3" xfId="44858"/>
    <cellStyle name="集計 7 2 5 7" xfId="44859"/>
    <cellStyle name="集計 7 2 5 7 2" xfId="44860"/>
    <cellStyle name="集計 7 2 5 7 3" xfId="44861"/>
    <cellStyle name="集計 7 2 5 8" xfId="44862"/>
    <cellStyle name="集計 7 2 5 8 2" xfId="44863"/>
    <cellStyle name="集計 7 2 5 8 3" xfId="44864"/>
    <cellStyle name="集計 7 2 5 9" xfId="44865"/>
    <cellStyle name="集計 7 2 6" xfId="44866"/>
    <cellStyle name="集計 7 2 6 10" xfId="44867"/>
    <cellStyle name="集計 7 2 6 2" xfId="44868"/>
    <cellStyle name="集計 7 2 6 2 2" xfId="44869"/>
    <cellStyle name="集計 7 2 6 2 2 2" xfId="44870"/>
    <cellStyle name="集計 7 2 6 2 2 2 2" xfId="44871"/>
    <cellStyle name="集計 7 2 6 2 2 2 2 2" xfId="44872"/>
    <cellStyle name="集計 7 2 6 2 2 2 2 3" xfId="44873"/>
    <cellStyle name="集計 7 2 6 2 2 2 3" xfId="44874"/>
    <cellStyle name="集計 7 2 6 2 2 2 3 2" xfId="44875"/>
    <cellStyle name="集計 7 2 6 2 2 2 3 3" xfId="44876"/>
    <cellStyle name="集計 7 2 6 2 2 2 4" xfId="44877"/>
    <cellStyle name="集計 7 2 6 2 2 2 4 2" xfId="44878"/>
    <cellStyle name="集計 7 2 6 2 2 2 4 3" xfId="44879"/>
    <cellStyle name="集計 7 2 6 2 2 2 5" xfId="44880"/>
    <cellStyle name="集計 7 2 6 2 2 2 6" xfId="44881"/>
    <cellStyle name="集計 7 2 6 2 2 3" xfId="44882"/>
    <cellStyle name="集計 7 2 6 2 2 3 2" xfId="44883"/>
    <cellStyle name="集計 7 2 6 2 2 3 3" xfId="44884"/>
    <cellStyle name="集計 7 2 6 2 2 4" xfId="44885"/>
    <cellStyle name="集計 7 2 6 2 2 4 2" xfId="44886"/>
    <cellStyle name="集計 7 2 6 2 2 4 3" xfId="44887"/>
    <cellStyle name="集計 7 2 6 2 2 5" xfId="44888"/>
    <cellStyle name="集計 7 2 6 2 2 5 2" xfId="44889"/>
    <cellStyle name="集計 7 2 6 2 2 5 3" xfId="44890"/>
    <cellStyle name="集計 7 2 6 2 2 6" xfId="44891"/>
    <cellStyle name="集計 7 2 6 2 2 7" xfId="44892"/>
    <cellStyle name="集計 7 2 6 2 3" xfId="44893"/>
    <cellStyle name="集計 7 2 6 2 3 2" xfId="44894"/>
    <cellStyle name="集計 7 2 6 2 3 2 2" xfId="44895"/>
    <cellStyle name="集計 7 2 6 2 3 2 2 2" xfId="44896"/>
    <cellStyle name="集計 7 2 6 2 3 2 2 3" xfId="44897"/>
    <cellStyle name="集計 7 2 6 2 3 2 3" xfId="44898"/>
    <cellStyle name="集計 7 2 6 2 3 2 3 2" xfId="44899"/>
    <cellStyle name="集計 7 2 6 2 3 2 3 3" xfId="44900"/>
    <cellStyle name="集計 7 2 6 2 3 2 4" xfId="44901"/>
    <cellStyle name="集計 7 2 6 2 3 2 4 2" xfId="44902"/>
    <cellStyle name="集計 7 2 6 2 3 2 4 3" xfId="44903"/>
    <cellStyle name="集計 7 2 6 2 3 2 5" xfId="44904"/>
    <cellStyle name="集計 7 2 6 2 3 2 6" xfId="44905"/>
    <cellStyle name="集計 7 2 6 2 3 3" xfId="44906"/>
    <cellStyle name="集計 7 2 6 2 3 3 2" xfId="44907"/>
    <cellStyle name="集計 7 2 6 2 3 3 3" xfId="44908"/>
    <cellStyle name="集計 7 2 6 2 3 4" xfId="44909"/>
    <cellStyle name="集計 7 2 6 2 3 4 2" xfId="44910"/>
    <cellStyle name="集計 7 2 6 2 3 4 3" xfId="44911"/>
    <cellStyle name="集計 7 2 6 2 3 5" xfId="44912"/>
    <cellStyle name="集計 7 2 6 2 3 5 2" xfId="44913"/>
    <cellStyle name="集計 7 2 6 2 3 5 3" xfId="44914"/>
    <cellStyle name="集計 7 2 6 2 3 6" xfId="44915"/>
    <cellStyle name="集計 7 2 6 2 3 7" xfId="44916"/>
    <cellStyle name="集計 7 2 6 2 4" xfId="44917"/>
    <cellStyle name="集計 7 2 6 2 4 2" xfId="44918"/>
    <cellStyle name="集計 7 2 6 2 4 2 2" xfId="44919"/>
    <cellStyle name="集計 7 2 6 2 4 2 3" xfId="44920"/>
    <cellStyle name="集計 7 2 6 2 4 3" xfId="44921"/>
    <cellStyle name="集計 7 2 6 2 4 3 2" xfId="44922"/>
    <cellStyle name="集計 7 2 6 2 4 3 3" xfId="44923"/>
    <cellStyle name="集計 7 2 6 2 4 4" xfId="44924"/>
    <cellStyle name="集計 7 2 6 2 4 4 2" xfId="44925"/>
    <cellStyle name="集計 7 2 6 2 4 4 3" xfId="44926"/>
    <cellStyle name="集計 7 2 6 2 4 5" xfId="44927"/>
    <cellStyle name="集計 7 2 6 2 4 6" xfId="44928"/>
    <cellStyle name="集計 7 2 6 2 5" xfId="44929"/>
    <cellStyle name="集計 7 2 6 2 5 2" xfId="44930"/>
    <cellStyle name="集計 7 2 6 2 5 3" xfId="44931"/>
    <cellStyle name="集計 7 2 6 2 6" xfId="44932"/>
    <cellStyle name="集計 7 2 6 2 6 2" xfId="44933"/>
    <cellStyle name="集計 7 2 6 2 6 3" xfId="44934"/>
    <cellStyle name="集計 7 2 6 2 7" xfId="44935"/>
    <cellStyle name="集計 7 2 6 2 7 2" xfId="44936"/>
    <cellStyle name="集計 7 2 6 2 7 3" xfId="44937"/>
    <cellStyle name="集計 7 2 6 2 8" xfId="44938"/>
    <cellStyle name="集計 7 2 6 2 9" xfId="44939"/>
    <cellStyle name="集計 7 2 6 3" xfId="44940"/>
    <cellStyle name="集計 7 2 6 3 2" xfId="44941"/>
    <cellStyle name="集計 7 2 6 3 2 2" xfId="44942"/>
    <cellStyle name="集計 7 2 6 3 2 2 2" xfId="44943"/>
    <cellStyle name="集計 7 2 6 3 2 2 3" xfId="44944"/>
    <cellStyle name="集計 7 2 6 3 2 3" xfId="44945"/>
    <cellStyle name="集計 7 2 6 3 2 3 2" xfId="44946"/>
    <cellStyle name="集計 7 2 6 3 2 3 3" xfId="44947"/>
    <cellStyle name="集計 7 2 6 3 2 4" xfId="44948"/>
    <cellStyle name="集計 7 2 6 3 2 4 2" xfId="44949"/>
    <cellStyle name="集計 7 2 6 3 2 4 3" xfId="44950"/>
    <cellStyle name="集計 7 2 6 3 2 5" xfId="44951"/>
    <cellStyle name="集計 7 2 6 3 2 6" xfId="44952"/>
    <cellStyle name="集計 7 2 6 3 3" xfId="44953"/>
    <cellStyle name="集計 7 2 6 3 3 2" xfId="44954"/>
    <cellStyle name="集計 7 2 6 3 3 3" xfId="44955"/>
    <cellStyle name="集計 7 2 6 3 4" xfId="44956"/>
    <cellStyle name="集計 7 2 6 3 4 2" xfId="44957"/>
    <cellStyle name="集計 7 2 6 3 4 3" xfId="44958"/>
    <cellStyle name="集計 7 2 6 3 5" xfId="44959"/>
    <cellStyle name="集計 7 2 6 3 5 2" xfId="44960"/>
    <cellStyle name="集計 7 2 6 3 5 3" xfId="44961"/>
    <cellStyle name="集計 7 2 6 3 6" xfId="44962"/>
    <cellStyle name="集計 7 2 6 3 7" xfId="44963"/>
    <cellStyle name="集計 7 2 6 4" xfId="44964"/>
    <cellStyle name="集計 7 2 6 4 2" xfId="44965"/>
    <cellStyle name="集計 7 2 6 4 2 2" xfId="44966"/>
    <cellStyle name="集計 7 2 6 4 2 2 2" xfId="44967"/>
    <cellStyle name="集計 7 2 6 4 2 2 3" xfId="44968"/>
    <cellStyle name="集計 7 2 6 4 2 3" xfId="44969"/>
    <cellStyle name="集計 7 2 6 4 2 3 2" xfId="44970"/>
    <cellStyle name="集計 7 2 6 4 2 3 3" xfId="44971"/>
    <cellStyle name="集計 7 2 6 4 2 4" xfId="44972"/>
    <cellStyle name="集計 7 2 6 4 2 4 2" xfId="44973"/>
    <cellStyle name="集計 7 2 6 4 2 4 3" xfId="44974"/>
    <cellStyle name="集計 7 2 6 4 2 5" xfId="44975"/>
    <cellStyle name="集計 7 2 6 4 2 6" xfId="44976"/>
    <cellStyle name="集計 7 2 6 4 3" xfId="44977"/>
    <cellStyle name="集計 7 2 6 4 3 2" xfId="44978"/>
    <cellStyle name="集計 7 2 6 4 3 3" xfId="44979"/>
    <cellStyle name="集計 7 2 6 4 4" xfId="44980"/>
    <cellStyle name="集計 7 2 6 4 4 2" xfId="44981"/>
    <cellStyle name="集計 7 2 6 4 4 3" xfId="44982"/>
    <cellStyle name="集計 7 2 6 4 5" xfId="44983"/>
    <cellStyle name="集計 7 2 6 4 5 2" xfId="44984"/>
    <cellStyle name="集計 7 2 6 4 5 3" xfId="44985"/>
    <cellStyle name="集計 7 2 6 4 6" xfId="44986"/>
    <cellStyle name="集計 7 2 6 4 7" xfId="44987"/>
    <cellStyle name="集計 7 2 6 5" xfId="44988"/>
    <cellStyle name="集計 7 2 6 5 2" xfId="44989"/>
    <cellStyle name="集計 7 2 6 5 2 2" xfId="44990"/>
    <cellStyle name="集計 7 2 6 5 2 3" xfId="44991"/>
    <cellStyle name="集計 7 2 6 5 3" xfId="44992"/>
    <cellStyle name="集計 7 2 6 5 3 2" xfId="44993"/>
    <cellStyle name="集計 7 2 6 5 3 3" xfId="44994"/>
    <cellStyle name="集計 7 2 6 5 4" xfId="44995"/>
    <cellStyle name="集計 7 2 6 5 4 2" xfId="44996"/>
    <cellStyle name="集計 7 2 6 5 4 3" xfId="44997"/>
    <cellStyle name="集計 7 2 6 5 5" xfId="44998"/>
    <cellStyle name="集計 7 2 6 5 6" xfId="44999"/>
    <cellStyle name="集計 7 2 6 6" xfId="45000"/>
    <cellStyle name="集計 7 2 6 6 2" xfId="45001"/>
    <cellStyle name="集計 7 2 6 6 3" xfId="45002"/>
    <cellStyle name="集計 7 2 6 7" xfId="45003"/>
    <cellStyle name="集計 7 2 6 7 2" xfId="45004"/>
    <cellStyle name="集計 7 2 6 7 3" xfId="45005"/>
    <cellStyle name="集計 7 2 6 8" xfId="45006"/>
    <cellStyle name="集計 7 2 6 8 2" xfId="45007"/>
    <cellStyle name="集計 7 2 6 8 3" xfId="45008"/>
    <cellStyle name="集計 7 2 6 9" xfId="45009"/>
    <cellStyle name="集計 7 2 7" xfId="45010"/>
    <cellStyle name="集計 7 2 7 2" xfId="45011"/>
    <cellStyle name="集計 7 2 7 2 2" xfId="45012"/>
    <cellStyle name="集計 7 2 7 2 2 2" xfId="45013"/>
    <cellStyle name="集計 7 2 7 2 2 3" xfId="45014"/>
    <cellStyle name="集計 7 2 7 2 3" xfId="45015"/>
    <cellStyle name="集計 7 2 7 2 3 2" xfId="45016"/>
    <cellStyle name="集計 7 2 7 2 3 3" xfId="45017"/>
    <cellStyle name="集計 7 2 7 2 4" xfId="45018"/>
    <cellStyle name="集計 7 2 7 2 4 2" xfId="45019"/>
    <cellStyle name="集計 7 2 7 2 4 3" xfId="45020"/>
    <cellStyle name="集計 7 2 7 2 5" xfId="45021"/>
    <cellStyle name="集計 7 2 7 2 6" xfId="45022"/>
    <cellStyle name="集計 7 2 7 3" xfId="45023"/>
    <cellStyle name="集計 7 2 7 3 2" xfId="45024"/>
    <cellStyle name="集計 7 2 7 3 3" xfId="45025"/>
    <cellStyle name="集計 7 2 7 4" xfId="45026"/>
    <cellStyle name="集計 7 2 7 4 2" xfId="45027"/>
    <cellStyle name="集計 7 2 7 4 3" xfId="45028"/>
    <cellStyle name="集計 7 2 7 5" xfId="45029"/>
    <cellStyle name="集計 7 2 7 5 2" xfId="45030"/>
    <cellStyle name="集計 7 2 7 5 3" xfId="45031"/>
    <cellStyle name="集計 7 2 7 6" xfId="45032"/>
    <cellStyle name="集計 7 2 7 7" xfId="45033"/>
    <cellStyle name="集計 7 2 8" xfId="45034"/>
    <cellStyle name="集計 7 2 8 2" xfId="45035"/>
    <cellStyle name="集計 7 2 8 2 2" xfId="45036"/>
    <cellStyle name="集計 7 2 8 2 2 2" xfId="45037"/>
    <cellStyle name="集計 7 2 8 2 2 3" xfId="45038"/>
    <cellStyle name="集計 7 2 8 2 3" xfId="45039"/>
    <cellStyle name="集計 7 2 8 2 3 2" xfId="45040"/>
    <cellStyle name="集計 7 2 8 2 3 3" xfId="45041"/>
    <cellStyle name="集計 7 2 8 2 4" xfId="45042"/>
    <cellStyle name="集計 7 2 8 2 4 2" xfId="45043"/>
    <cellStyle name="集計 7 2 8 2 4 3" xfId="45044"/>
    <cellStyle name="集計 7 2 8 2 5" xfId="45045"/>
    <cellStyle name="集計 7 2 8 2 6" xfId="45046"/>
    <cellStyle name="集計 7 2 8 3" xfId="45047"/>
    <cellStyle name="集計 7 2 8 3 2" xfId="45048"/>
    <cellStyle name="集計 7 2 8 3 3" xfId="45049"/>
    <cellStyle name="集計 7 2 8 4" xfId="45050"/>
    <cellStyle name="集計 7 2 8 4 2" xfId="45051"/>
    <cellStyle name="集計 7 2 8 4 3" xfId="45052"/>
    <cellStyle name="集計 7 2 8 5" xfId="45053"/>
    <cellStyle name="集計 7 2 8 5 2" xfId="45054"/>
    <cellStyle name="集計 7 2 8 5 3" xfId="45055"/>
    <cellStyle name="集計 7 2 8 6" xfId="45056"/>
    <cellStyle name="集計 7 2 8 7" xfId="45057"/>
    <cellStyle name="集計 7 2 9" xfId="45058"/>
    <cellStyle name="集計 7 2 9 2" xfId="45059"/>
    <cellStyle name="集計 7 2 9 2 2" xfId="45060"/>
    <cellStyle name="集計 7 2 9 2 3" xfId="45061"/>
    <cellStyle name="集計 7 2 9 3" xfId="45062"/>
    <cellStyle name="集計 7 2 9 3 2" xfId="45063"/>
    <cellStyle name="集計 7 2 9 3 3" xfId="45064"/>
    <cellStyle name="集計 7 2 9 4" xfId="45065"/>
    <cellStyle name="集計 7 2 9 4 2" xfId="45066"/>
    <cellStyle name="集計 7 2 9 4 3" xfId="45067"/>
    <cellStyle name="集計 7 2 9 5" xfId="45068"/>
    <cellStyle name="集計 7 2 9 6" xfId="45069"/>
    <cellStyle name="集計 7 3" xfId="45070"/>
    <cellStyle name="集計 7 3 10" xfId="45071"/>
    <cellStyle name="集計 7 3 2" xfId="45072"/>
    <cellStyle name="集計 7 3 2 10" xfId="45073"/>
    <cellStyle name="集計 7 3 2 2" xfId="45074"/>
    <cellStyle name="集計 7 3 2 2 2" xfId="45075"/>
    <cellStyle name="集計 7 3 2 2 2 2" xfId="45076"/>
    <cellStyle name="集計 7 3 2 2 2 2 2" xfId="45077"/>
    <cellStyle name="集計 7 3 2 2 2 2 2 2" xfId="45078"/>
    <cellStyle name="集計 7 3 2 2 2 2 2 3" xfId="45079"/>
    <cellStyle name="集計 7 3 2 2 2 2 3" xfId="45080"/>
    <cellStyle name="集計 7 3 2 2 2 2 3 2" xfId="45081"/>
    <cellStyle name="集計 7 3 2 2 2 2 3 3" xfId="45082"/>
    <cellStyle name="集計 7 3 2 2 2 2 4" xfId="45083"/>
    <cellStyle name="集計 7 3 2 2 2 2 4 2" xfId="45084"/>
    <cellStyle name="集計 7 3 2 2 2 2 4 3" xfId="45085"/>
    <cellStyle name="集計 7 3 2 2 2 2 5" xfId="45086"/>
    <cellStyle name="集計 7 3 2 2 2 2 6" xfId="45087"/>
    <cellStyle name="集計 7 3 2 2 2 3" xfId="45088"/>
    <cellStyle name="集計 7 3 2 2 2 3 2" xfId="45089"/>
    <cellStyle name="集計 7 3 2 2 2 3 3" xfId="45090"/>
    <cellStyle name="集計 7 3 2 2 2 4" xfId="45091"/>
    <cellStyle name="集計 7 3 2 2 2 4 2" xfId="45092"/>
    <cellStyle name="集計 7 3 2 2 2 4 3" xfId="45093"/>
    <cellStyle name="集計 7 3 2 2 2 5" xfId="45094"/>
    <cellStyle name="集計 7 3 2 2 2 5 2" xfId="45095"/>
    <cellStyle name="集計 7 3 2 2 2 5 3" xfId="45096"/>
    <cellStyle name="集計 7 3 2 2 2 6" xfId="45097"/>
    <cellStyle name="集計 7 3 2 2 2 7" xfId="45098"/>
    <cellStyle name="集計 7 3 2 2 3" xfId="45099"/>
    <cellStyle name="集計 7 3 2 2 3 2" xfId="45100"/>
    <cellStyle name="集計 7 3 2 2 3 2 2" xfId="45101"/>
    <cellStyle name="集計 7 3 2 2 3 2 2 2" xfId="45102"/>
    <cellStyle name="集計 7 3 2 2 3 2 2 3" xfId="45103"/>
    <cellStyle name="集計 7 3 2 2 3 2 3" xfId="45104"/>
    <cellStyle name="集計 7 3 2 2 3 2 3 2" xfId="45105"/>
    <cellStyle name="集計 7 3 2 2 3 2 3 3" xfId="45106"/>
    <cellStyle name="集計 7 3 2 2 3 2 4" xfId="45107"/>
    <cellStyle name="集計 7 3 2 2 3 2 4 2" xfId="45108"/>
    <cellStyle name="集計 7 3 2 2 3 2 4 3" xfId="45109"/>
    <cellStyle name="集計 7 3 2 2 3 2 5" xfId="45110"/>
    <cellStyle name="集計 7 3 2 2 3 2 6" xfId="45111"/>
    <cellStyle name="集計 7 3 2 2 3 3" xfId="45112"/>
    <cellStyle name="集計 7 3 2 2 3 3 2" xfId="45113"/>
    <cellStyle name="集計 7 3 2 2 3 3 3" xfId="45114"/>
    <cellStyle name="集計 7 3 2 2 3 4" xfId="45115"/>
    <cellStyle name="集計 7 3 2 2 3 4 2" xfId="45116"/>
    <cellStyle name="集計 7 3 2 2 3 4 3" xfId="45117"/>
    <cellStyle name="集計 7 3 2 2 3 5" xfId="45118"/>
    <cellStyle name="集計 7 3 2 2 3 5 2" xfId="45119"/>
    <cellStyle name="集計 7 3 2 2 3 5 3" xfId="45120"/>
    <cellStyle name="集計 7 3 2 2 3 6" xfId="45121"/>
    <cellStyle name="集計 7 3 2 2 3 7" xfId="45122"/>
    <cellStyle name="集計 7 3 2 2 4" xfId="45123"/>
    <cellStyle name="集計 7 3 2 2 4 2" xfId="45124"/>
    <cellStyle name="集計 7 3 2 2 4 2 2" xfId="45125"/>
    <cellStyle name="集計 7 3 2 2 4 2 3" xfId="45126"/>
    <cellStyle name="集計 7 3 2 2 4 3" xfId="45127"/>
    <cellStyle name="集計 7 3 2 2 4 3 2" xfId="45128"/>
    <cellStyle name="集計 7 3 2 2 4 3 3" xfId="45129"/>
    <cellStyle name="集計 7 3 2 2 4 4" xfId="45130"/>
    <cellStyle name="集計 7 3 2 2 4 4 2" xfId="45131"/>
    <cellStyle name="集計 7 3 2 2 4 4 3" xfId="45132"/>
    <cellStyle name="集計 7 3 2 2 4 5" xfId="45133"/>
    <cellStyle name="集計 7 3 2 2 4 6" xfId="45134"/>
    <cellStyle name="集計 7 3 2 2 5" xfId="45135"/>
    <cellStyle name="集計 7 3 2 2 5 2" xfId="45136"/>
    <cellStyle name="集計 7 3 2 2 5 3" xfId="45137"/>
    <cellStyle name="集計 7 3 2 2 6" xfId="45138"/>
    <cellStyle name="集計 7 3 2 2 6 2" xfId="45139"/>
    <cellStyle name="集計 7 3 2 2 6 3" xfId="45140"/>
    <cellStyle name="集計 7 3 2 2 7" xfId="45141"/>
    <cellStyle name="集計 7 3 2 2 7 2" xfId="45142"/>
    <cellStyle name="集計 7 3 2 2 7 3" xfId="45143"/>
    <cellStyle name="集計 7 3 2 2 8" xfId="45144"/>
    <cellStyle name="集計 7 3 2 2 9" xfId="45145"/>
    <cellStyle name="集計 7 3 2 3" xfId="45146"/>
    <cellStyle name="集計 7 3 2 3 2" xfId="45147"/>
    <cellStyle name="集計 7 3 2 3 2 2" xfId="45148"/>
    <cellStyle name="集計 7 3 2 3 2 2 2" xfId="45149"/>
    <cellStyle name="集計 7 3 2 3 2 2 3" xfId="45150"/>
    <cellStyle name="集計 7 3 2 3 2 3" xfId="45151"/>
    <cellStyle name="集計 7 3 2 3 2 3 2" xfId="45152"/>
    <cellStyle name="集計 7 3 2 3 2 3 3" xfId="45153"/>
    <cellStyle name="集計 7 3 2 3 2 4" xfId="45154"/>
    <cellStyle name="集計 7 3 2 3 2 4 2" xfId="45155"/>
    <cellStyle name="集計 7 3 2 3 2 4 3" xfId="45156"/>
    <cellStyle name="集計 7 3 2 3 2 5" xfId="45157"/>
    <cellStyle name="集計 7 3 2 3 2 6" xfId="45158"/>
    <cellStyle name="集計 7 3 2 3 3" xfId="45159"/>
    <cellStyle name="集計 7 3 2 3 3 2" xfId="45160"/>
    <cellStyle name="集計 7 3 2 3 3 3" xfId="45161"/>
    <cellStyle name="集計 7 3 2 3 4" xfId="45162"/>
    <cellStyle name="集計 7 3 2 3 4 2" xfId="45163"/>
    <cellStyle name="集計 7 3 2 3 4 3" xfId="45164"/>
    <cellStyle name="集計 7 3 2 3 5" xfId="45165"/>
    <cellStyle name="集計 7 3 2 3 5 2" xfId="45166"/>
    <cellStyle name="集計 7 3 2 3 5 3" xfId="45167"/>
    <cellStyle name="集計 7 3 2 3 6" xfId="45168"/>
    <cellStyle name="集計 7 3 2 3 7" xfId="45169"/>
    <cellStyle name="集計 7 3 2 4" xfId="45170"/>
    <cellStyle name="集計 7 3 2 4 2" xfId="45171"/>
    <cellStyle name="集計 7 3 2 4 2 2" xfId="45172"/>
    <cellStyle name="集計 7 3 2 4 2 2 2" xfId="45173"/>
    <cellStyle name="集計 7 3 2 4 2 2 3" xfId="45174"/>
    <cellStyle name="集計 7 3 2 4 2 3" xfId="45175"/>
    <cellStyle name="集計 7 3 2 4 2 3 2" xfId="45176"/>
    <cellStyle name="集計 7 3 2 4 2 3 3" xfId="45177"/>
    <cellStyle name="集計 7 3 2 4 2 4" xfId="45178"/>
    <cellStyle name="集計 7 3 2 4 2 4 2" xfId="45179"/>
    <cellStyle name="集計 7 3 2 4 2 4 3" xfId="45180"/>
    <cellStyle name="集計 7 3 2 4 2 5" xfId="45181"/>
    <cellStyle name="集計 7 3 2 4 2 6" xfId="45182"/>
    <cellStyle name="集計 7 3 2 4 3" xfId="45183"/>
    <cellStyle name="集計 7 3 2 4 3 2" xfId="45184"/>
    <cellStyle name="集計 7 3 2 4 3 3" xfId="45185"/>
    <cellStyle name="集計 7 3 2 4 4" xfId="45186"/>
    <cellStyle name="集計 7 3 2 4 4 2" xfId="45187"/>
    <cellStyle name="集計 7 3 2 4 4 3" xfId="45188"/>
    <cellStyle name="集計 7 3 2 4 5" xfId="45189"/>
    <cellStyle name="集計 7 3 2 4 5 2" xfId="45190"/>
    <cellStyle name="集計 7 3 2 4 5 3" xfId="45191"/>
    <cellStyle name="集計 7 3 2 4 6" xfId="45192"/>
    <cellStyle name="集計 7 3 2 4 7" xfId="45193"/>
    <cellStyle name="集計 7 3 2 5" xfId="45194"/>
    <cellStyle name="集計 7 3 2 5 2" xfId="45195"/>
    <cellStyle name="集計 7 3 2 5 2 2" xfId="45196"/>
    <cellStyle name="集計 7 3 2 5 2 3" xfId="45197"/>
    <cellStyle name="集計 7 3 2 5 3" xfId="45198"/>
    <cellStyle name="集計 7 3 2 5 3 2" xfId="45199"/>
    <cellStyle name="集計 7 3 2 5 3 3" xfId="45200"/>
    <cellStyle name="集計 7 3 2 5 4" xfId="45201"/>
    <cellStyle name="集計 7 3 2 5 4 2" xfId="45202"/>
    <cellStyle name="集計 7 3 2 5 4 3" xfId="45203"/>
    <cellStyle name="集計 7 3 2 5 5" xfId="45204"/>
    <cellStyle name="集計 7 3 2 5 6" xfId="45205"/>
    <cellStyle name="集計 7 3 2 6" xfId="45206"/>
    <cellStyle name="集計 7 3 2 6 2" xfId="45207"/>
    <cellStyle name="集計 7 3 2 6 3" xfId="45208"/>
    <cellStyle name="集計 7 3 2 7" xfId="45209"/>
    <cellStyle name="集計 7 3 2 7 2" xfId="45210"/>
    <cellStyle name="集計 7 3 2 7 3" xfId="45211"/>
    <cellStyle name="集計 7 3 2 8" xfId="45212"/>
    <cellStyle name="集計 7 3 2 8 2" xfId="45213"/>
    <cellStyle name="集計 7 3 2 8 3" xfId="45214"/>
    <cellStyle name="集計 7 3 2 9" xfId="45215"/>
    <cellStyle name="集計 7 3 3" xfId="45216"/>
    <cellStyle name="集計 7 3 3 2" xfId="45217"/>
    <cellStyle name="集計 7 3 3 2 2" xfId="45218"/>
    <cellStyle name="集計 7 3 3 2 2 2" xfId="45219"/>
    <cellStyle name="集計 7 3 3 2 2 3" xfId="45220"/>
    <cellStyle name="集計 7 3 3 2 3" xfId="45221"/>
    <cellStyle name="集計 7 3 3 2 3 2" xfId="45222"/>
    <cellStyle name="集計 7 3 3 2 3 3" xfId="45223"/>
    <cellStyle name="集計 7 3 3 2 4" xfId="45224"/>
    <cellStyle name="集計 7 3 3 2 4 2" xfId="45225"/>
    <cellStyle name="集計 7 3 3 2 4 3" xfId="45226"/>
    <cellStyle name="集計 7 3 3 2 5" xfId="45227"/>
    <cellStyle name="集計 7 3 3 2 6" xfId="45228"/>
    <cellStyle name="集計 7 3 3 3" xfId="45229"/>
    <cellStyle name="集計 7 3 3 3 2" xfId="45230"/>
    <cellStyle name="集計 7 3 3 3 3" xfId="45231"/>
    <cellStyle name="集計 7 3 3 4" xfId="45232"/>
    <cellStyle name="集計 7 3 3 4 2" xfId="45233"/>
    <cellStyle name="集計 7 3 3 4 3" xfId="45234"/>
    <cellStyle name="集計 7 3 3 5" xfId="45235"/>
    <cellStyle name="集計 7 3 3 5 2" xfId="45236"/>
    <cellStyle name="集計 7 3 3 5 3" xfId="45237"/>
    <cellStyle name="集計 7 3 3 6" xfId="45238"/>
    <cellStyle name="集計 7 3 3 7" xfId="45239"/>
    <cellStyle name="集計 7 3 4" xfId="45240"/>
    <cellStyle name="集計 7 3 4 2" xfId="45241"/>
    <cellStyle name="集計 7 3 4 2 2" xfId="45242"/>
    <cellStyle name="集計 7 3 4 2 2 2" xfId="45243"/>
    <cellStyle name="集計 7 3 4 2 2 3" xfId="45244"/>
    <cellStyle name="集計 7 3 4 2 3" xfId="45245"/>
    <cellStyle name="集計 7 3 4 2 3 2" xfId="45246"/>
    <cellStyle name="集計 7 3 4 2 3 3" xfId="45247"/>
    <cellStyle name="集計 7 3 4 2 4" xfId="45248"/>
    <cellStyle name="集計 7 3 4 2 4 2" xfId="45249"/>
    <cellStyle name="集計 7 3 4 2 4 3" xfId="45250"/>
    <cellStyle name="集計 7 3 4 2 5" xfId="45251"/>
    <cellStyle name="集計 7 3 4 2 6" xfId="45252"/>
    <cellStyle name="集計 7 3 4 3" xfId="45253"/>
    <cellStyle name="集計 7 3 4 3 2" xfId="45254"/>
    <cellStyle name="集計 7 3 4 3 3" xfId="45255"/>
    <cellStyle name="集計 7 3 4 4" xfId="45256"/>
    <cellStyle name="集計 7 3 4 4 2" xfId="45257"/>
    <cellStyle name="集計 7 3 4 4 3" xfId="45258"/>
    <cellStyle name="集計 7 3 4 5" xfId="45259"/>
    <cellStyle name="集計 7 3 4 5 2" xfId="45260"/>
    <cellStyle name="集計 7 3 4 5 3" xfId="45261"/>
    <cellStyle name="集計 7 3 4 6" xfId="45262"/>
    <cellStyle name="集計 7 3 4 7" xfId="45263"/>
    <cellStyle name="集計 7 3 5" xfId="45264"/>
    <cellStyle name="集計 7 3 5 2" xfId="45265"/>
    <cellStyle name="集計 7 3 5 2 2" xfId="45266"/>
    <cellStyle name="集計 7 3 5 2 3" xfId="45267"/>
    <cellStyle name="集計 7 3 5 3" xfId="45268"/>
    <cellStyle name="集計 7 3 5 3 2" xfId="45269"/>
    <cellStyle name="集計 7 3 5 3 3" xfId="45270"/>
    <cellStyle name="集計 7 3 5 4" xfId="45271"/>
    <cellStyle name="集計 7 3 5 4 2" xfId="45272"/>
    <cellStyle name="集計 7 3 5 4 3" xfId="45273"/>
    <cellStyle name="集計 7 3 5 5" xfId="45274"/>
    <cellStyle name="集計 7 3 5 6" xfId="45275"/>
    <cellStyle name="集計 7 3 6" xfId="45276"/>
    <cellStyle name="集計 7 3 6 2" xfId="45277"/>
    <cellStyle name="集計 7 3 6 3" xfId="45278"/>
    <cellStyle name="集計 7 3 7" xfId="45279"/>
    <cellStyle name="集計 7 3 7 2" xfId="45280"/>
    <cellStyle name="集計 7 3 7 3" xfId="45281"/>
    <cellStyle name="集計 7 3 8" xfId="45282"/>
    <cellStyle name="集計 7 3 8 2" xfId="45283"/>
    <cellStyle name="集計 7 3 8 3" xfId="45284"/>
    <cellStyle name="集計 7 3 9" xfId="45285"/>
    <cellStyle name="集計 7 4" xfId="45286"/>
    <cellStyle name="集計 7 4 10" xfId="45287"/>
    <cellStyle name="集計 7 4 2" xfId="45288"/>
    <cellStyle name="集計 7 4 2 10" xfId="45289"/>
    <cellStyle name="集計 7 4 2 2" xfId="45290"/>
    <cellStyle name="集計 7 4 2 2 2" xfId="45291"/>
    <cellStyle name="集計 7 4 2 2 2 2" xfId="45292"/>
    <cellStyle name="集計 7 4 2 2 2 2 2" xfId="45293"/>
    <cellStyle name="集計 7 4 2 2 2 2 2 2" xfId="45294"/>
    <cellStyle name="集計 7 4 2 2 2 2 2 3" xfId="45295"/>
    <cellStyle name="集計 7 4 2 2 2 2 3" xfId="45296"/>
    <cellStyle name="集計 7 4 2 2 2 2 3 2" xfId="45297"/>
    <cellStyle name="集計 7 4 2 2 2 2 3 3" xfId="45298"/>
    <cellStyle name="集計 7 4 2 2 2 2 4" xfId="45299"/>
    <cellStyle name="集計 7 4 2 2 2 2 4 2" xfId="45300"/>
    <cellStyle name="集計 7 4 2 2 2 2 4 3" xfId="45301"/>
    <cellStyle name="集計 7 4 2 2 2 2 5" xfId="45302"/>
    <cellStyle name="集計 7 4 2 2 2 2 6" xfId="45303"/>
    <cellStyle name="集計 7 4 2 2 2 3" xfId="45304"/>
    <cellStyle name="集計 7 4 2 2 2 3 2" xfId="45305"/>
    <cellStyle name="集計 7 4 2 2 2 3 3" xfId="45306"/>
    <cellStyle name="集計 7 4 2 2 2 4" xfId="45307"/>
    <cellStyle name="集計 7 4 2 2 2 4 2" xfId="45308"/>
    <cellStyle name="集計 7 4 2 2 2 4 3" xfId="45309"/>
    <cellStyle name="集計 7 4 2 2 2 5" xfId="45310"/>
    <cellStyle name="集計 7 4 2 2 2 5 2" xfId="45311"/>
    <cellStyle name="集計 7 4 2 2 2 5 3" xfId="45312"/>
    <cellStyle name="集計 7 4 2 2 2 6" xfId="45313"/>
    <cellStyle name="集計 7 4 2 2 2 7" xfId="45314"/>
    <cellStyle name="集計 7 4 2 2 3" xfId="45315"/>
    <cellStyle name="集計 7 4 2 2 3 2" xfId="45316"/>
    <cellStyle name="集計 7 4 2 2 3 2 2" xfId="45317"/>
    <cellStyle name="集計 7 4 2 2 3 2 2 2" xfId="45318"/>
    <cellStyle name="集計 7 4 2 2 3 2 2 3" xfId="45319"/>
    <cellStyle name="集計 7 4 2 2 3 2 3" xfId="45320"/>
    <cellStyle name="集計 7 4 2 2 3 2 3 2" xfId="45321"/>
    <cellStyle name="集計 7 4 2 2 3 2 3 3" xfId="45322"/>
    <cellStyle name="集計 7 4 2 2 3 2 4" xfId="45323"/>
    <cellStyle name="集計 7 4 2 2 3 2 4 2" xfId="45324"/>
    <cellStyle name="集計 7 4 2 2 3 2 4 3" xfId="45325"/>
    <cellStyle name="集計 7 4 2 2 3 2 5" xfId="45326"/>
    <cellStyle name="集計 7 4 2 2 3 2 6" xfId="45327"/>
    <cellStyle name="集計 7 4 2 2 3 3" xfId="45328"/>
    <cellStyle name="集計 7 4 2 2 3 3 2" xfId="45329"/>
    <cellStyle name="集計 7 4 2 2 3 3 3" xfId="45330"/>
    <cellStyle name="集計 7 4 2 2 3 4" xfId="45331"/>
    <cellStyle name="集計 7 4 2 2 3 4 2" xfId="45332"/>
    <cellStyle name="集計 7 4 2 2 3 4 3" xfId="45333"/>
    <cellStyle name="集計 7 4 2 2 3 5" xfId="45334"/>
    <cellStyle name="集計 7 4 2 2 3 5 2" xfId="45335"/>
    <cellStyle name="集計 7 4 2 2 3 5 3" xfId="45336"/>
    <cellStyle name="集計 7 4 2 2 3 6" xfId="45337"/>
    <cellStyle name="集計 7 4 2 2 3 7" xfId="45338"/>
    <cellStyle name="集計 7 4 2 2 4" xfId="45339"/>
    <cellStyle name="集計 7 4 2 2 4 2" xfId="45340"/>
    <cellStyle name="集計 7 4 2 2 4 2 2" xfId="45341"/>
    <cellStyle name="集計 7 4 2 2 4 2 3" xfId="45342"/>
    <cellStyle name="集計 7 4 2 2 4 3" xfId="45343"/>
    <cellStyle name="集計 7 4 2 2 4 3 2" xfId="45344"/>
    <cellStyle name="集計 7 4 2 2 4 3 3" xfId="45345"/>
    <cellStyle name="集計 7 4 2 2 4 4" xfId="45346"/>
    <cellStyle name="集計 7 4 2 2 4 4 2" xfId="45347"/>
    <cellStyle name="集計 7 4 2 2 4 4 3" xfId="45348"/>
    <cellStyle name="集計 7 4 2 2 4 5" xfId="45349"/>
    <cellStyle name="集計 7 4 2 2 4 6" xfId="45350"/>
    <cellStyle name="集計 7 4 2 2 5" xfId="45351"/>
    <cellStyle name="集計 7 4 2 2 5 2" xfId="45352"/>
    <cellStyle name="集計 7 4 2 2 5 3" xfId="45353"/>
    <cellStyle name="集計 7 4 2 2 6" xfId="45354"/>
    <cellStyle name="集計 7 4 2 2 6 2" xfId="45355"/>
    <cellStyle name="集計 7 4 2 2 6 3" xfId="45356"/>
    <cellStyle name="集計 7 4 2 2 7" xfId="45357"/>
    <cellStyle name="集計 7 4 2 2 7 2" xfId="45358"/>
    <cellStyle name="集計 7 4 2 2 7 3" xfId="45359"/>
    <cellStyle name="集計 7 4 2 2 8" xfId="45360"/>
    <cellStyle name="集計 7 4 2 2 9" xfId="45361"/>
    <cellStyle name="集計 7 4 2 3" xfId="45362"/>
    <cellStyle name="集計 7 4 2 3 2" xfId="45363"/>
    <cellStyle name="集計 7 4 2 3 2 2" xfId="45364"/>
    <cellStyle name="集計 7 4 2 3 2 2 2" xfId="45365"/>
    <cellStyle name="集計 7 4 2 3 2 2 3" xfId="45366"/>
    <cellStyle name="集計 7 4 2 3 2 3" xfId="45367"/>
    <cellStyle name="集計 7 4 2 3 2 3 2" xfId="45368"/>
    <cellStyle name="集計 7 4 2 3 2 3 3" xfId="45369"/>
    <cellStyle name="集計 7 4 2 3 2 4" xfId="45370"/>
    <cellStyle name="集計 7 4 2 3 2 4 2" xfId="45371"/>
    <cellStyle name="集計 7 4 2 3 2 4 3" xfId="45372"/>
    <cellStyle name="集計 7 4 2 3 2 5" xfId="45373"/>
    <cellStyle name="集計 7 4 2 3 2 6" xfId="45374"/>
    <cellStyle name="集計 7 4 2 3 3" xfId="45375"/>
    <cellStyle name="集計 7 4 2 3 3 2" xfId="45376"/>
    <cellStyle name="集計 7 4 2 3 3 3" xfId="45377"/>
    <cellStyle name="集計 7 4 2 3 4" xfId="45378"/>
    <cellStyle name="集計 7 4 2 3 4 2" xfId="45379"/>
    <cellStyle name="集計 7 4 2 3 4 3" xfId="45380"/>
    <cellStyle name="集計 7 4 2 3 5" xfId="45381"/>
    <cellStyle name="集計 7 4 2 3 5 2" xfId="45382"/>
    <cellStyle name="集計 7 4 2 3 5 3" xfId="45383"/>
    <cellStyle name="集計 7 4 2 3 6" xfId="45384"/>
    <cellStyle name="集計 7 4 2 3 7" xfId="45385"/>
    <cellStyle name="集計 7 4 2 4" xfId="45386"/>
    <cellStyle name="集計 7 4 2 4 2" xfId="45387"/>
    <cellStyle name="集計 7 4 2 4 2 2" xfId="45388"/>
    <cellStyle name="集計 7 4 2 4 2 2 2" xfId="45389"/>
    <cellStyle name="集計 7 4 2 4 2 2 3" xfId="45390"/>
    <cellStyle name="集計 7 4 2 4 2 3" xfId="45391"/>
    <cellStyle name="集計 7 4 2 4 2 3 2" xfId="45392"/>
    <cellStyle name="集計 7 4 2 4 2 3 3" xfId="45393"/>
    <cellStyle name="集計 7 4 2 4 2 4" xfId="45394"/>
    <cellStyle name="集計 7 4 2 4 2 4 2" xfId="45395"/>
    <cellStyle name="集計 7 4 2 4 2 4 3" xfId="45396"/>
    <cellStyle name="集計 7 4 2 4 2 5" xfId="45397"/>
    <cellStyle name="集計 7 4 2 4 2 6" xfId="45398"/>
    <cellStyle name="集計 7 4 2 4 3" xfId="45399"/>
    <cellStyle name="集計 7 4 2 4 3 2" xfId="45400"/>
    <cellStyle name="集計 7 4 2 4 3 3" xfId="45401"/>
    <cellStyle name="集計 7 4 2 4 4" xfId="45402"/>
    <cellStyle name="集計 7 4 2 4 4 2" xfId="45403"/>
    <cellStyle name="集計 7 4 2 4 4 3" xfId="45404"/>
    <cellStyle name="集計 7 4 2 4 5" xfId="45405"/>
    <cellStyle name="集計 7 4 2 4 5 2" xfId="45406"/>
    <cellStyle name="集計 7 4 2 4 5 3" xfId="45407"/>
    <cellStyle name="集計 7 4 2 4 6" xfId="45408"/>
    <cellStyle name="集計 7 4 2 4 7" xfId="45409"/>
    <cellStyle name="集計 7 4 2 5" xfId="45410"/>
    <cellStyle name="集計 7 4 2 5 2" xfId="45411"/>
    <cellStyle name="集計 7 4 2 5 2 2" xfId="45412"/>
    <cellStyle name="集計 7 4 2 5 2 3" xfId="45413"/>
    <cellStyle name="集計 7 4 2 5 3" xfId="45414"/>
    <cellStyle name="集計 7 4 2 5 3 2" xfId="45415"/>
    <cellStyle name="集計 7 4 2 5 3 3" xfId="45416"/>
    <cellStyle name="集計 7 4 2 5 4" xfId="45417"/>
    <cellStyle name="集計 7 4 2 5 4 2" xfId="45418"/>
    <cellStyle name="集計 7 4 2 5 4 3" xfId="45419"/>
    <cellStyle name="集計 7 4 2 5 5" xfId="45420"/>
    <cellStyle name="集計 7 4 2 5 6" xfId="45421"/>
    <cellStyle name="集計 7 4 2 6" xfId="45422"/>
    <cellStyle name="集計 7 4 2 6 2" xfId="45423"/>
    <cellStyle name="集計 7 4 2 6 3" xfId="45424"/>
    <cellStyle name="集計 7 4 2 7" xfId="45425"/>
    <cellStyle name="集計 7 4 2 7 2" xfId="45426"/>
    <cellStyle name="集計 7 4 2 7 3" xfId="45427"/>
    <cellStyle name="集計 7 4 2 8" xfId="45428"/>
    <cellStyle name="集計 7 4 2 8 2" xfId="45429"/>
    <cellStyle name="集計 7 4 2 8 3" xfId="45430"/>
    <cellStyle name="集計 7 4 2 9" xfId="45431"/>
    <cellStyle name="集計 7 4 3" xfId="45432"/>
    <cellStyle name="集計 7 4 3 2" xfId="45433"/>
    <cellStyle name="集計 7 4 3 2 2" xfId="45434"/>
    <cellStyle name="集計 7 4 3 2 2 2" xfId="45435"/>
    <cellStyle name="集計 7 4 3 2 2 3" xfId="45436"/>
    <cellStyle name="集計 7 4 3 2 3" xfId="45437"/>
    <cellStyle name="集計 7 4 3 2 3 2" xfId="45438"/>
    <cellStyle name="集計 7 4 3 2 3 3" xfId="45439"/>
    <cellStyle name="集計 7 4 3 2 4" xfId="45440"/>
    <cellStyle name="集計 7 4 3 2 4 2" xfId="45441"/>
    <cellStyle name="集計 7 4 3 2 4 3" xfId="45442"/>
    <cellStyle name="集計 7 4 3 2 5" xfId="45443"/>
    <cellStyle name="集計 7 4 3 2 6" xfId="45444"/>
    <cellStyle name="集計 7 4 3 3" xfId="45445"/>
    <cellStyle name="集計 7 4 3 3 2" xfId="45446"/>
    <cellStyle name="集計 7 4 3 3 3" xfId="45447"/>
    <cellStyle name="集計 7 4 3 4" xfId="45448"/>
    <cellStyle name="集計 7 4 3 4 2" xfId="45449"/>
    <cellStyle name="集計 7 4 3 4 3" xfId="45450"/>
    <cellStyle name="集計 7 4 3 5" xfId="45451"/>
    <cellStyle name="集計 7 4 3 5 2" xfId="45452"/>
    <cellStyle name="集計 7 4 3 5 3" xfId="45453"/>
    <cellStyle name="集計 7 4 3 6" xfId="45454"/>
    <cellStyle name="集計 7 4 3 7" xfId="45455"/>
    <cellStyle name="集計 7 4 4" xfId="45456"/>
    <cellStyle name="集計 7 4 4 2" xfId="45457"/>
    <cellStyle name="集計 7 4 4 2 2" xfId="45458"/>
    <cellStyle name="集計 7 4 4 2 2 2" xfId="45459"/>
    <cellStyle name="集計 7 4 4 2 2 3" xfId="45460"/>
    <cellStyle name="集計 7 4 4 2 3" xfId="45461"/>
    <cellStyle name="集計 7 4 4 2 3 2" xfId="45462"/>
    <cellStyle name="集計 7 4 4 2 3 3" xfId="45463"/>
    <cellStyle name="集計 7 4 4 2 4" xfId="45464"/>
    <cellStyle name="集計 7 4 4 2 4 2" xfId="45465"/>
    <cellStyle name="集計 7 4 4 2 4 3" xfId="45466"/>
    <cellStyle name="集計 7 4 4 2 5" xfId="45467"/>
    <cellStyle name="集計 7 4 4 2 6" xfId="45468"/>
    <cellStyle name="集計 7 4 4 3" xfId="45469"/>
    <cellStyle name="集計 7 4 4 3 2" xfId="45470"/>
    <cellStyle name="集計 7 4 4 3 3" xfId="45471"/>
    <cellStyle name="集計 7 4 4 4" xfId="45472"/>
    <cellStyle name="集計 7 4 4 4 2" xfId="45473"/>
    <cellStyle name="集計 7 4 4 4 3" xfId="45474"/>
    <cellStyle name="集計 7 4 4 5" xfId="45475"/>
    <cellStyle name="集計 7 4 4 5 2" xfId="45476"/>
    <cellStyle name="集計 7 4 4 5 3" xfId="45477"/>
    <cellStyle name="集計 7 4 4 6" xfId="45478"/>
    <cellStyle name="集計 7 4 4 7" xfId="45479"/>
    <cellStyle name="集計 7 4 5" xfId="45480"/>
    <cellStyle name="集計 7 4 5 2" xfId="45481"/>
    <cellStyle name="集計 7 4 5 2 2" xfId="45482"/>
    <cellStyle name="集計 7 4 5 2 3" xfId="45483"/>
    <cellStyle name="集計 7 4 5 3" xfId="45484"/>
    <cellStyle name="集計 7 4 5 3 2" xfId="45485"/>
    <cellStyle name="集計 7 4 5 3 3" xfId="45486"/>
    <cellStyle name="集計 7 4 5 4" xfId="45487"/>
    <cellStyle name="集計 7 4 5 4 2" xfId="45488"/>
    <cellStyle name="集計 7 4 5 4 3" xfId="45489"/>
    <cellStyle name="集計 7 4 5 5" xfId="45490"/>
    <cellStyle name="集計 7 4 5 6" xfId="45491"/>
    <cellStyle name="集計 7 4 6" xfId="45492"/>
    <cellStyle name="集計 7 4 6 2" xfId="45493"/>
    <cellStyle name="集計 7 4 6 3" xfId="45494"/>
    <cellStyle name="集計 7 4 7" xfId="45495"/>
    <cellStyle name="集計 7 4 7 2" xfId="45496"/>
    <cellStyle name="集計 7 4 7 3" xfId="45497"/>
    <cellStyle name="集計 7 4 8" xfId="45498"/>
    <cellStyle name="集計 7 4 8 2" xfId="45499"/>
    <cellStyle name="集計 7 4 8 3" xfId="45500"/>
    <cellStyle name="集計 7 4 9" xfId="45501"/>
    <cellStyle name="集計 7 5" xfId="45502"/>
    <cellStyle name="集計 7 5 10" xfId="45503"/>
    <cellStyle name="集計 7 5 2" xfId="45504"/>
    <cellStyle name="集計 7 5 2 10" xfId="45505"/>
    <cellStyle name="集計 7 5 2 2" xfId="45506"/>
    <cellStyle name="集計 7 5 2 2 2" xfId="45507"/>
    <cellStyle name="集計 7 5 2 2 2 2" xfId="45508"/>
    <cellStyle name="集計 7 5 2 2 2 2 2" xfId="45509"/>
    <cellStyle name="集計 7 5 2 2 2 2 2 2" xfId="45510"/>
    <cellStyle name="集計 7 5 2 2 2 2 2 3" xfId="45511"/>
    <cellStyle name="集計 7 5 2 2 2 2 3" xfId="45512"/>
    <cellStyle name="集計 7 5 2 2 2 2 3 2" xfId="45513"/>
    <cellStyle name="集計 7 5 2 2 2 2 3 3" xfId="45514"/>
    <cellStyle name="集計 7 5 2 2 2 2 4" xfId="45515"/>
    <cellStyle name="集計 7 5 2 2 2 2 4 2" xfId="45516"/>
    <cellStyle name="集計 7 5 2 2 2 2 4 3" xfId="45517"/>
    <cellStyle name="集計 7 5 2 2 2 2 5" xfId="45518"/>
    <cellStyle name="集計 7 5 2 2 2 2 6" xfId="45519"/>
    <cellStyle name="集計 7 5 2 2 2 3" xfId="45520"/>
    <cellStyle name="集計 7 5 2 2 2 3 2" xfId="45521"/>
    <cellStyle name="集計 7 5 2 2 2 3 3" xfId="45522"/>
    <cellStyle name="集計 7 5 2 2 2 4" xfId="45523"/>
    <cellStyle name="集計 7 5 2 2 2 4 2" xfId="45524"/>
    <cellStyle name="集計 7 5 2 2 2 4 3" xfId="45525"/>
    <cellStyle name="集計 7 5 2 2 2 5" xfId="45526"/>
    <cellStyle name="集計 7 5 2 2 2 5 2" xfId="45527"/>
    <cellStyle name="集計 7 5 2 2 2 5 3" xfId="45528"/>
    <cellStyle name="集計 7 5 2 2 2 6" xfId="45529"/>
    <cellStyle name="集計 7 5 2 2 2 7" xfId="45530"/>
    <cellStyle name="集計 7 5 2 2 3" xfId="45531"/>
    <cellStyle name="集計 7 5 2 2 3 2" xfId="45532"/>
    <cellStyle name="集計 7 5 2 2 3 2 2" xfId="45533"/>
    <cellStyle name="集計 7 5 2 2 3 2 2 2" xfId="45534"/>
    <cellStyle name="集計 7 5 2 2 3 2 2 3" xfId="45535"/>
    <cellStyle name="集計 7 5 2 2 3 2 3" xfId="45536"/>
    <cellStyle name="集計 7 5 2 2 3 2 3 2" xfId="45537"/>
    <cellStyle name="集計 7 5 2 2 3 2 3 3" xfId="45538"/>
    <cellStyle name="集計 7 5 2 2 3 2 4" xfId="45539"/>
    <cellStyle name="集計 7 5 2 2 3 2 4 2" xfId="45540"/>
    <cellStyle name="集計 7 5 2 2 3 2 4 3" xfId="45541"/>
    <cellStyle name="集計 7 5 2 2 3 2 5" xfId="45542"/>
    <cellStyle name="集計 7 5 2 2 3 2 6" xfId="45543"/>
    <cellStyle name="集計 7 5 2 2 3 3" xfId="45544"/>
    <cellStyle name="集計 7 5 2 2 3 3 2" xfId="45545"/>
    <cellStyle name="集計 7 5 2 2 3 3 3" xfId="45546"/>
    <cellStyle name="集計 7 5 2 2 3 4" xfId="45547"/>
    <cellStyle name="集計 7 5 2 2 3 4 2" xfId="45548"/>
    <cellStyle name="集計 7 5 2 2 3 4 3" xfId="45549"/>
    <cellStyle name="集計 7 5 2 2 3 5" xfId="45550"/>
    <cellStyle name="集計 7 5 2 2 3 5 2" xfId="45551"/>
    <cellStyle name="集計 7 5 2 2 3 5 3" xfId="45552"/>
    <cellStyle name="集計 7 5 2 2 3 6" xfId="45553"/>
    <cellStyle name="集計 7 5 2 2 3 7" xfId="45554"/>
    <cellStyle name="集計 7 5 2 2 4" xfId="45555"/>
    <cellStyle name="集計 7 5 2 2 4 2" xfId="45556"/>
    <cellStyle name="集計 7 5 2 2 4 2 2" xfId="45557"/>
    <cellStyle name="集計 7 5 2 2 4 2 3" xfId="45558"/>
    <cellStyle name="集計 7 5 2 2 4 3" xfId="45559"/>
    <cellStyle name="集計 7 5 2 2 4 3 2" xfId="45560"/>
    <cellStyle name="集計 7 5 2 2 4 3 3" xfId="45561"/>
    <cellStyle name="集計 7 5 2 2 4 4" xfId="45562"/>
    <cellStyle name="集計 7 5 2 2 4 4 2" xfId="45563"/>
    <cellStyle name="集計 7 5 2 2 4 4 3" xfId="45564"/>
    <cellStyle name="集計 7 5 2 2 4 5" xfId="45565"/>
    <cellStyle name="集計 7 5 2 2 4 6" xfId="45566"/>
    <cellStyle name="集計 7 5 2 2 5" xfId="45567"/>
    <cellStyle name="集計 7 5 2 2 5 2" xfId="45568"/>
    <cellStyle name="集計 7 5 2 2 5 3" xfId="45569"/>
    <cellStyle name="集計 7 5 2 2 6" xfId="45570"/>
    <cellStyle name="集計 7 5 2 2 6 2" xfId="45571"/>
    <cellStyle name="集計 7 5 2 2 6 3" xfId="45572"/>
    <cellStyle name="集計 7 5 2 2 7" xfId="45573"/>
    <cellStyle name="集計 7 5 2 2 7 2" xfId="45574"/>
    <cellStyle name="集計 7 5 2 2 7 3" xfId="45575"/>
    <cellStyle name="集計 7 5 2 2 8" xfId="45576"/>
    <cellStyle name="集計 7 5 2 2 9" xfId="45577"/>
    <cellStyle name="集計 7 5 2 3" xfId="45578"/>
    <cellStyle name="集計 7 5 2 3 2" xfId="45579"/>
    <cellStyle name="集計 7 5 2 3 2 2" xfId="45580"/>
    <cellStyle name="集計 7 5 2 3 2 2 2" xfId="45581"/>
    <cellStyle name="集計 7 5 2 3 2 2 3" xfId="45582"/>
    <cellStyle name="集計 7 5 2 3 2 3" xfId="45583"/>
    <cellStyle name="集計 7 5 2 3 2 3 2" xfId="45584"/>
    <cellStyle name="集計 7 5 2 3 2 3 3" xfId="45585"/>
    <cellStyle name="集計 7 5 2 3 2 4" xfId="45586"/>
    <cellStyle name="集計 7 5 2 3 2 4 2" xfId="45587"/>
    <cellStyle name="集計 7 5 2 3 2 4 3" xfId="45588"/>
    <cellStyle name="集計 7 5 2 3 2 5" xfId="45589"/>
    <cellStyle name="集計 7 5 2 3 2 6" xfId="45590"/>
    <cellStyle name="集計 7 5 2 3 3" xfId="45591"/>
    <cellStyle name="集計 7 5 2 3 3 2" xfId="45592"/>
    <cellStyle name="集計 7 5 2 3 3 3" xfId="45593"/>
    <cellStyle name="集計 7 5 2 3 4" xfId="45594"/>
    <cellStyle name="集計 7 5 2 3 4 2" xfId="45595"/>
    <cellStyle name="集計 7 5 2 3 4 3" xfId="45596"/>
    <cellStyle name="集計 7 5 2 3 5" xfId="45597"/>
    <cellStyle name="集計 7 5 2 3 5 2" xfId="45598"/>
    <cellStyle name="集計 7 5 2 3 5 3" xfId="45599"/>
    <cellStyle name="集計 7 5 2 3 6" xfId="45600"/>
    <cellStyle name="集計 7 5 2 3 7" xfId="45601"/>
    <cellStyle name="集計 7 5 2 4" xfId="45602"/>
    <cellStyle name="集計 7 5 2 4 2" xfId="45603"/>
    <cellStyle name="集計 7 5 2 4 2 2" xfId="45604"/>
    <cellStyle name="集計 7 5 2 4 2 2 2" xfId="45605"/>
    <cellStyle name="集計 7 5 2 4 2 2 3" xfId="45606"/>
    <cellStyle name="集計 7 5 2 4 2 3" xfId="45607"/>
    <cellStyle name="集計 7 5 2 4 2 3 2" xfId="45608"/>
    <cellStyle name="集計 7 5 2 4 2 3 3" xfId="45609"/>
    <cellStyle name="集計 7 5 2 4 2 4" xfId="45610"/>
    <cellStyle name="集計 7 5 2 4 2 4 2" xfId="45611"/>
    <cellStyle name="集計 7 5 2 4 2 4 3" xfId="45612"/>
    <cellStyle name="集計 7 5 2 4 2 5" xfId="45613"/>
    <cellStyle name="集計 7 5 2 4 2 6" xfId="45614"/>
    <cellStyle name="集計 7 5 2 4 3" xfId="45615"/>
    <cellStyle name="集計 7 5 2 4 3 2" xfId="45616"/>
    <cellStyle name="集計 7 5 2 4 3 3" xfId="45617"/>
    <cellStyle name="集計 7 5 2 4 4" xfId="45618"/>
    <cellStyle name="集計 7 5 2 4 4 2" xfId="45619"/>
    <cellStyle name="集計 7 5 2 4 4 3" xfId="45620"/>
    <cellStyle name="集計 7 5 2 4 5" xfId="45621"/>
    <cellStyle name="集計 7 5 2 4 5 2" xfId="45622"/>
    <cellStyle name="集計 7 5 2 4 5 3" xfId="45623"/>
    <cellStyle name="集計 7 5 2 4 6" xfId="45624"/>
    <cellStyle name="集計 7 5 2 4 7" xfId="45625"/>
    <cellStyle name="集計 7 5 2 5" xfId="45626"/>
    <cellStyle name="集計 7 5 2 5 2" xfId="45627"/>
    <cellStyle name="集計 7 5 2 5 2 2" xfId="45628"/>
    <cellStyle name="集計 7 5 2 5 2 3" xfId="45629"/>
    <cellStyle name="集計 7 5 2 5 3" xfId="45630"/>
    <cellStyle name="集計 7 5 2 5 3 2" xfId="45631"/>
    <cellStyle name="集計 7 5 2 5 3 3" xfId="45632"/>
    <cellStyle name="集計 7 5 2 5 4" xfId="45633"/>
    <cellStyle name="集計 7 5 2 5 4 2" xfId="45634"/>
    <cellStyle name="集計 7 5 2 5 4 3" xfId="45635"/>
    <cellStyle name="集計 7 5 2 5 5" xfId="45636"/>
    <cellStyle name="集計 7 5 2 5 6" xfId="45637"/>
    <cellStyle name="集計 7 5 2 6" xfId="45638"/>
    <cellStyle name="集計 7 5 2 6 2" xfId="45639"/>
    <cellStyle name="集計 7 5 2 6 3" xfId="45640"/>
    <cellStyle name="集計 7 5 2 7" xfId="45641"/>
    <cellStyle name="集計 7 5 2 7 2" xfId="45642"/>
    <cellStyle name="集計 7 5 2 7 3" xfId="45643"/>
    <cellStyle name="集計 7 5 2 8" xfId="45644"/>
    <cellStyle name="集計 7 5 2 8 2" xfId="45645"/>
    <cellStyle name="集計 7 5 2 8 3" xfId="45646"/>
    <cellStyle name="集計 7 5 2 9" xfId="45647"/>
    <cellStyle name="集計 7 5 3" xfId="45648"/>
    <cellStyle name="集計 7 5 3 2" xfId="45649"/>
    <cellStyle name="集計 7 5 3 2 2" xfId="45650"/>
    <cellStyle name="集計 7 5 3 2 2 2" xfId="45651"/>
    <cellStyle name="集計 7 5 3 2 2 3" xfId="45652"/>
    <cellStyle name="集計 7 5 3 2 3" xfId="45653"/>
    <cellStyle name="集計 7 5 3 2 3 2" xfId="45654"/>
    <cellStyle name="集計 7 5 3 2 3 3" xfId="45655"/>
    <cellStyle name="集計 7 5 3 2 4" xfId="45656"/>
    <cellStyle name="集計 7 5 3 2 4 2" xfId="45657"/>
    <cellStyle name="集計 7 5 3 2 4 3" xfId="45658"/>
    <cellStyle name="集計 7 5 3 2 5" xfId="45659"/>
    <cellStyle name="集計 7 5 3 2 6" xfId="45660"/>
    <cellStyle name="集計 7 5 3 3" xfId="45661"/>
    <cellStyle name="集計 7 5 3 3 2" xfId="45662"/>
    <cellStyle name="集計 7 5 3 3 3" xfId="45663"/>
    <cellStyle name="集計 7 5 3 4" xfId="45664"/>
    <cellStyle name="集計 7 5 3 4 2" xfId="45665"/>
    <cellStyle name="集計 7 5 3 4 3" xfId="45666"/>
    <cellStyle name="集計 7 5 3 5" xfId="45667"/>
    <cellStyle name="集計 7 5 3 5 2" xfId="45668"/>
    <cellStyle name="集計 7 5 3 5 3" xfId="45669"/>
    <cellStyle name="集計 7 5 3 6" xfId="45670"/>
    <cellStyle name="集計 7 5 3 7" xfId="45671"/>
    <cellStyle name="集計 7 5 4" xfId="45672"/>
    <cellStyle name="集計 7 5 4 2" xfId="45673"/>
    <cellStyle name="集計 7 5 4 2 2" xfId="45674"/>
    <cellStyle name="集計 7 5 4 2 2 2" xfId="45675"/>
    <cellStyle name="集計 7 5 4 2 2 3" xfId="45676"/>
    <cellStyle name="集計 7 5 4 2 3" xfId="45677"/>
    <cellStyle name="集計 7 5 4 2 3 2" xfId="45678"/>
    <cellStyle name="集計 7 5 4 2 3 3" xfId="45679"/>
    <cellStyle name="集計 7 5 4 2 4" xfId="45680"/>
    <cellStyle name="集計 7 5 4 2 4 2" xfId="45681"/>
    <cellStyle name="集計 7 5 4 2 4 3" xfId="45682"/>
    <cellStyle name="集計 7 5 4 2 5" xfId="45683"/>
    <cellStyle name="集計 7 5 4 2 6" xfId="45684"/>
    <cellStyle name="集計 7 5 4 3" xfId="45685"/>
    <cellStyle name="集計 7 5 4 3 2" xfId="45686"/>
    <cellStyle name="集計 7 5 4 3 3" xfId="45687"/>
    <cellStyle name="集計 7 5 4 4" xfId="45688"/>
    <cellStyle name="集計 7 5 4 4 2" xfId="45689"/>
    <cellStyle name="集計 7 5 4 4 3" xfId="45690"/>
    <cellStyle name="集計 7 5 4 5" xfId="45691"/>
    <cellStyle name="集計 7 5 4 5 2" xfId="45692"/>
    <cellStyle name="集計 7 5 4 5 3" xfId="45693"/>
    <cellStyle name="集計 7 5 4 6" xfId="45694"/>
    <cellStyle name="集計 7 5 4 7" xfId="45695"/>
    <cellStyle name="集計 7 5 5" xfId="45696"/>
    <cellStyle name="集計 7 5 5 2" xfId="45697"/>
    <cellStyle name="集計 7 5 5 2 2" xfId="45698"/>
    <cellStyle name="集計 7 5 5 2 3" xfId="45699"/>
    <cellStyle name="集計 7 5 5 3" xfId="45700"/>
    <cellStyle name="集計 7 5 5 3 2" xfId="45701"/>
    <cellStyle name="集計 7 5 5 3 3" xfId="45702"/>
    <cellStyle name="集計 7 5 5 4" xfId="45703"/>
    <cellStyle name="集計 7 5 5 4 2" xfId="45704"/>
    <cellStyle name="集計 7 5 5 4 3" xfId="45705"/>
    <cellStyle name="集計 7 5 5 5" xfId="45706"/>
    <cellStyle name="集計 7 5 5 6" xfId="45707"/>
    <cellStyle name="集計 7 5 6" xfId="45708"/>
    <cellStyle name="集計 7 5 6 2" xfId="45709"/>
    <cellStyle name="集計 7 5 6 3" xfId="45710"/>
    <cellStyle name="集計 7 5 7" xfId="45711"/>
    <cellStyle name="集計 7 5 7 2" xfId="45712"/>
    <cellStyle name="集計 7 5 7 3" xfId="45713"/>
    <cellStyle name="集計 7 5 8" xfId="45714"/>
    <cellStyle name="集計 7 5 8 2" xfId="45715"/>
    <cellStyle name="集計 7 5 8 3" xfId="45716"/>
    <cellStyle name="集計 7 5 9" xfId="45717"/>
    <cellStyle name="集計 7 6" xfId="45718"/>
    <cellStyle name="集計 7 6 10" xfId="45719"/>
    <cellStyle name="集計 7 6 2" xfId="45720"/>
    <cellStyle name="集計 7 6 2 2" xfId="45721"/>
    <cellStyle name="集計 7 6 2 2 2" xfId="45722"/>
    <cellStyle name="集計 7 6 2 2 2 2" xfId="45723"/>
    <cellStyle name="集計 7 6 2 2 2 2 2" xfId="45724"/>
    <cellStyle name="集計 7 6 2 2 2 2 3" xfId="45725"/>
    <cellStyle name="集計 7 6 2 2 2 3" xfId="45726"/>
    <cellStyle name="集計 7 6 2 2 2 3 2" xfId="45727"/>
    <cellStyle name="集計 7 6 2 2 2 3 3" xfId="45728"/>
    <cellStyle name="集計 7 6 2 2 2 4" xfId="45729"/>
    <cellStyle name="集計 7 6 2 2 2 4 2" xfId="45730"/>
    <cellStyle name="集計 7 6 2 2 2 4 3" xfId="45731"/>
    <cellStyle name="集計 7 6 2 2 2 5" xfId="45732"/>
    <cellStyle name="集計 7 6 2 2 2 6" xfId="45733"/>
    <cellStyle name="集計 7 6 2 2 3" xfId="45734"/>
    <cellStyle name="集計 7 6 2 2 3 2" xfId="45735"/>
    <cellStyle name="集計 7 6 2 2 3 3" xfId="45736"/>
    <cellStyle name="集計 7 6 2 2 4" xfId="45737"/>
    <cellStyle name="集計 7 6 2 2 4 2" xfId="45738"/>
    <cellStyle name="集計 7 6 2 2 4 3" xfId="45739"/>
    <cellStyle name="集計 7 6 2 2 5" xfId="45740"/>
    <cellStyle name="集計 7 6 2 2 5 2" xfId="45741"/>
    <cellStyle name="集計 7 6 2 2 5 3" xfId="45742"/>
    <cellStyle name="集計 7 6 2 2 6" xfId="45743"/>
    <cellStyle name="集計 7 6 2 2 7" xfId="45744"/>
    <cellStyle name="集計 7 6 2 3" xfId="45745"/>
    <cellStyle name="集計 7 6 2 3 2" xfId="45746"/>
    <cellStyle name="集計 7 6 2 3 2 2" xfId="45747"/>
    <cellStyle name="集計 7 6 2 3 2 2 2" xfId="45748"/>
    <cellStyle name="集計 7 6 2 3 2 2 3" xfId="45749"/>
    <cellStyle name="集計 7 6 2 3 2 3" xfId="45750"/>
    <cellStyle name="集計 7 6 2 3 2 3 2" xfId="45751"/>
    <cellStyle name="集計 7 6 2 3 2 3 3" xfId="45752"/>
    <cellStyle name="集計 7 6 2 3 2 4" xfId="45753"/>
    <cellStyle name="集計 7 6 2 3 2 4 2" xfId="45754"/>
    <cellStyle name="集計 7 6 2 3 2 4 3" xfId="45755"/>
    <cellStyle name="集計 7 6 2 3 2 5" xfId="45756"/>
    <cellStyle name="集計 7 6 2 3 2 6" xfId="45757"/>
    <cellStyle name="集計 7 6 2 3 3" xfId="45758"/>
    <cellStyle name="集計 7 6 2 3 3 2" xfId="45759"/>
    <cellStyle name="集計 7 6 2 3 3 3" xfId="45760"/>
    <cellStyle name="集計 7 6 2 3 4" xfId="45761"/>
    <cellStyle name="集計 7 6 2 3 4 2" xfId="45762"/>
    <cellStyle name="集計 7 6 2 3 4 3" xfId="45763"/>
    <cellStyle name="集計 7 6 2 3 5" xfId="45764"/>
    <cellStyle name="集計 7 6 2 3 5 2" xfId="45765"/>
    <cellStyle name="集計 7 6 2 3 5 3" xfId="45766"/>
    <cellStyle name="集計 7 6 2 3 6" xfId="45767"/>
    <cellStyle name="集計 7 6 2 3 7" xfId="45768"/>
    <cellStyle name="集計 7 6 2 4" xfId="45769"/>
    <cellStyle name="集計 7 6 2 4 2" xfId="45770"/>
    <cellStyle name="集計 7 6 2 4 2 2" xfId="45771"/>
    <cellStyle name="集計 7 6 2 4 2 3" xfId="45772"/>
    <cellStyle name="集計 7 6 2 4 3" xfId="45773"/>
    <cellStyle name="集計 7 6 2 4 3 2" xfId="45774"/>
    <cellStyle name="集計 7 6 2 4 3 3" xfId="45775"/>
    <cellStyle name="集計 7 6 2 4 4" xfId="45776"/>
    <cellStyle name="集計 7 6 2 4 4 2" xfId="45777"/>
    <cellStyle name="集計 7 6 2 4 4 3" xfId="45778"/>
    <cellStyle name="集計 7 6 2 4 5" xfId="45779"/>
    <cellStyle name="集計 7 6 2 4 6" xfId="45780"/>
    <cellStyle name="集計 7 6 2 5" xfId="45781"/>
    <cellStyle name="集計 7 6 2 5 2" xfId="45782"/>
    <cellStyle name="集計 7 6 2 5 3" xfId="45783"/>
    <cellStyle name="集計 7 6 2 6" xfId="45784"/>
    <cellStyle name="集計 7 6 2 6 2" xfId="45785"/>
    <cellStyle name="集計 7 6 2 6 3" xfId="45786"/>
    <cellStyle name="集計 7 6 2 7" xfId="45787"/>
    <cellStyle name="集計 7 6 2 7 2" xfId="45788"/>
    <cellStyle name="集計 7 6 2 7 3" xfId="45789"/>
    <cellStyle name="集計 7 6 2 8" xfId="45790"/>
    <cellStyle name="集計 7 6 2 9" xfId="45791"/>
    <cellStyle name="集計 7 6 3" xfId="45792"/>
    <cellStyle name="集計 7 6 3 2" xfId="45793"/>
    <cellStyle name="集計 7 6 3 2 2" xfId="45794"/>
    <cellStyle name="集計 7 6 3 2 2 2" xfId="45795"/>
    <cellStyle name="集計 7 6 3 2 2 3" xfId="45796"/>
    <cellStyle name="集計 7 6 3 2 3" xfId="45797"/>
    <cellStyle name="集計 7 6 3 2 3 2" xfId="45798"/>
    <cellStyle name="集計 7 6 3 2 3 3" xfId="45799"/>
    <cellStyle name="集計 7 6 3 2 4" xfId="45800"/>
    <cellStyle name="集計 7 6 3 2 4 2" xfId="45801"/>
    <cellStyle name="集計 7 6 3 2 4 3" xfId="45802"/>
    <cellStyle name="集計 7 6 3 2 5" xfId="45803"/>
    <cellStyle name="集計 7 6 3 2 6" xfId="45804"/>
    <cellStyle name="集計 7 6 3 3" xfId="45805"/>
    <cellStyle name="集計 7 6 3 3 2" xfId="45806"/>
    <cellStyle name="集計 7 6 3 3 3" xfId="45807"/>
    <cellStyle name="集計 7 6 3 4" xfId="45808"/>
    <cellStyle name="集計 7 6 3 4 2" xfId="45809"/>
    <cellStyle name="集計 7 6 3 4 3" xfId="45810"/>
    <cellStyle name="集計 7 6 3 5" xfId="45811"/>
    <cellStyle name="集計 7 6 3 5 2" xfId="45812"/>
    <cellStyle name="集計 7 6 3 5 3" xfId="45813"/>
    <cellStyle name="集計 7 6 3 6" xfId="45814"/>
    <cellStyle name="集計 7 6 3 7" xfId="45815"/>
    <cellStyle name="集計 7 6 4" xfId="45816"/>
    <cellStyle name="集計 7 6 4 2" xfId="45817"/>
    <cellStyle name="集計 7 6 4 2 2" xfId="45818"/>
    <cellStyle name="集計 7 6 4 2 2 2" xfId="45819"/>
    <cellStyle name="集計 7 6 4 2 2 3" xfId="45820"/>
    <cellStyle name="集計 7 6 4 2 3" xfId="45821"/>
    <cellStyle name="集計 7 6 4 2 3 2" xfId="45822"/>
    <cellStyle name="集計 7 6 4 2 3 3" xfId="45823"/>
    <cellStyle name="集計 7 6 4 2 4" xfId="45824"/>
    <cellStyle name="集計 7 6 4 2 4 2" xfId="45825"/>
    <cellStyle name="集計 7 6 4 2 4 3" xfId="45826"/>
    <cellStyle name="集計 7 6 4 2 5" xfId="45827"/>
    <cellStyle name="集計 7 6 4 2 6" xfId="45828"/>
    <cellStyle name="集計 7 6 4 3" xfId="45829"/>
    <cellStyle name="集計 7 6 4 3 2" xfId="45830"/>
    <cellStyle name="集計 7 6 4 3 3" xfId="45831"/>
    <cellStyle name="集計 7 6 4 4" xfId="45832"/>
    <cellStyle name="集計 7 6 4 4 2" xfId="45833"/>
    <cellStyle name="集計 7 6 4 4 3" xfId="45834"/>
    <cellStyle name="集計 7 6 4 5" xfId="45835"/>
    <cellStyle name="集計 7 6 4 5 2" xfId="45836"/>
    <cellStyle name="集計 7 6 4 5 3" xfId="45837"/>
    <cellStyle name="集計 7 6 4 6" xfId="45838"/>
    <cellStyle name="集計 7 6 4 7" xfId="45839"/>
    <cellStyle name="集計 7 6 5" xfId="45840"/>
    <cellStyle name="集計 7 6 5 2" xfId="45841"/>
    <cellStyle name="集計 7 6 5 2 2" xfId="45842"/>
    <cellStyle name="集計 7 6 5 2 3" xfId="45843"/>
    <cellStyle name="集計 7 6 5 3" xfId="45844"/>
    <cellStyle name="集計 7 6 5 3 2" xfId="45845"/>
    <cellStyle name="集計 7 6 5 3 3" xfId="45846"/>
    <cellStyle name="集計 7 6 5 4" xfId="45847"/>
    <cellStyle name="集計 7 6 5 4 2" xfId="45848"/>
    <cellStyle name="集計 7 6 5 4 3" xfId="45849"/>
    <cellStyle name="集計 7 6 5 5" xfId="45850"/>
    <cellStyle name="集計 7 6 5 6" xfId="45851"/>
    <cellStyle name="集計 7 6 6" xfId="45852"/>
    <cellStyle name="集計 7 6 6 2" xfId="45853"/>
    <cellStyle name="集計 7 6 6 3" xfId="45854"/>
    <cellStyle name="集計 7 6 7" xfId="45855"/>
    <cellStyle name="集計 7 6 7 2" xfId="45856"/>
    <cellStyle name="集計 7 6 7 3" xfId="45857"/>
    <cellStyle name="集計 7 6 8" xfId="45858"/>
    <cellStyle name="集計 7 6 8 2" xfId="45859"/>
    <cellStyle name="集計 7 6 8 3" xfId="45860"/>
    <cellStyle name="集計 7 6 9" xfId="45861"/>
    <cellStyle name="集計 7 7" xfId="45862"/>
    <cellStyle name="集計 7 7 10" xfId="45863"/>
    <cellStyle name="集計 7 7 2" xfId="45864"/>
    <cellStyle name="集計 7 7 2 2" xfId="45865"/>
    <cellStyle name="集計 7 7 2 2 2" xfId="45866"/>
    <cellStyle name="集計 7 7 2 2 2 2" xfId="45867"/>
    <cellStyle name="集計 7 7 2 2 2 2 2" xfId="45868"/>
    <cellStyle name="集計 7 7 2 2 2 2 3" xfId="45869"/>
    <cellStyle name="集計 7 7 2 2 2 3" xfId="45870"/>
    <cellStyle name="集計 7 7 2 2 2 3 2" xfId="45871"/>
    <cellStyle name="集計 7 7 2 2 2 3 3" xfId="45872"/>
    <cellStyle name="集計 7 7 2 2 2 4" xfId="45873"/>
    <cellStyle name="集計 7 7 2 2 2 4 2" xfId="45874"/>
    <cellStyle name="集計 7 7 2 2 2 4 3" xfId="45875"/>
    <cellStyle name="集計 7 7 2 2 2 5" xfId="45876"/>
    <cellStyle name="集計 7 7 2 2 2 6" xfId="45877"/>
    <cellStyle name="集計 7 7 2 2 3" xfId="45878"/>
    <cellStyle name="集計 7 7 2 2 3 2" xfId="45879"/>
    <cellStyle name="集計 7 7 2 2 3 3" xfId="45880"/>
    <cellStyle name="集計 7 7 2 2 4" xfId="45881"/>
    <cellStyle name="集計 7 7 2 2 4 2" xfId="45882"/>
    <cellStyle name="集計 7 7 2 2 4 3" xfId="45883"/>
    <cellStyle name="集計 7 7 2 2 5" xfId="45884"/>
    <cellStyle name="集計 7 7 2 2 5 2" xfId="45885"/>
    <cellStyle name="集計 7 7 2 2 5 3" xfId="45886"/>
    <cellStyle name="集計 7 7 2 2 6" xfId="45887"/>
    <cellStyle name="集計 7 7 2 2 7" xfId="45888"/>
    <cellStyle name="集計 7 7 2 3" xfId="45889"/>
    <cellStyle name="集計 7 7 2 3 2" xfId="45890"/>
    <cellStyle name="集計 7 7 2 3 2 2" xfId="45891"/>
    <cellStyle name="集計 7 7 2 3 2 2 2" xfId="45892"/>
    <cellStyle name="集計 7 7 2 3 2 2 3" xfId="45893"/>
    <cellStyle name="集計 7 7 2 3 2 3" xfId="45894"/>
    <cellStyle name="集計 7 7 2 3 2 3 2" xfId="45895"/>
    <cellStyle name="集計 7 7 2 3 2 3 3" xfId="45896"/>
    <cellStyle name="集計 7 7 2 3 2 4" xfId="45897"/>
    <cellStyle name="集計 7 7 2 3 2 4 2" xfId="45898"/>
    <cellStyle name="集計 7 7 2 3 2 4 3" xfId="45899"/>
    <cellStyle name="集計 7 7 2 3 2 5" xfId="45900"/>
    <cellStyle name="集計 7 7 2 3 2 6" xfId="45901"/>
    <cellStyle name="集計 7 7 2 3 3" xfId="45902"/>
    <cellStyle name="集計 7 7 2 3 3 2" xfId="45903"/>
    <cellStyle name="集計 7 7 2 3 3 3" xfId="45904"/>
    <cellStyle name="集計 7 7 2 3 4" xfId="45905"/>
    <cellStyle name="集計 7 7 2 3 4 2" xfId="45906"/>
    <cellStyle name="集計 7 7 2 3 4 3" xfId="45907"/>
    <cellStyle name="集計 7 7 2 3 5" xfId="45908"/>
    <cellStyle name="集計 7 7 2 3 5 2" xfId="45909"/>
    <cellStyle name="集計 7 7 2 3 5 3" xfId="45910"/>
    <cellStyle name="集計 7 7 2 3 6" xfId="45911"/>
    <cellStyle name="集計 7 7 2 3 7" xfId="45912"/>
    <cellStyle name="集計 7 7 2 4" xfId="45913"/>
    <cellStyle name="集計 7 7 2 4 2" xfId="45914"/>
    <cellStyle name="集計 7 7 2 4 2 2" xfId="45915"/>
    <cellStyle name="集計 7 7 2 4 2 3" xfId="45916"/>
    <cellStyle name="集計 7 7 2 4 3" xfId="45917"/>
    <cellStyle name="集計 7 7 2 4 3 2" xfId="45918"/>
    <cellStyle name="集計 7 7 2 4 3 3" xfId="45919"/>
    <cellStyle name="集計 7 7 2 4 4" xfId="45920"/>
    <cellStyle name="集計 7 7 2 4 4 2" xfId="45921"/>
    <cellStyle name="集計 7 7 2 4 4 3" xfId="45922"/>
    <cellStyle name="集計 7 7 2 4 5" xfId="45923"/>
    <cellStyle name="集計 7 7 2 4 6" xfId="45924"/>
    <cellStyle name="集計 7 7 2 5" xfId="45925"/>
    <cellStyle name="集計 7 7 2 5 2" xfId="45926"/>
    <cellStyle name="集計 7 7 2 5 3" xfId="45927"/>
    <cellStyle name="集計 7 7 2 6" xfId="45928"/>
    <cellStyle name="集計 7 7 2 6 2" xfId="45929"/>
    <cellStyle name="集計 7 7 2 6 3" xfId="45930"/>
    <cellStyle name="集計 7 7 2 7" xfId="45931"/>
    <cellStyle name="集計 7 7 2 7 2" xfId="45932"/>
    <cellStyle name="集計 7 7 2 7 3" xfId="45933"/>
    <cellStyle name="集計 7 7 2 8" xfId="45934"/>
    <cellStyle name="集計 7 7 2 9" xfId="45935"/>
    <cellStyle name="集計 7 7 3" xfId="45936"/>
    <cellStyle name="集計 7 7 3 2" xfId="45937"/>
    <cellStyle name="集計 7 7 3 2 2" xfId="45938"/>
    <cellStyle name="集計 7 7 3 2 2 2" xfId="45939"/>
    <cellStyle name="集計 7 7 3 2 2 3" xfId="45940"/>
    <cellStyle name="集計 7 7 3 2 3" xfId="45941"/>
    <cellStyle name="集計 7 7 3 2 3 2" xfId="45942"/>
    <cellStyle name="集計 7 7 3 2 3 3" xfId="45943"/>
    <cellStyle name="集計 7 7 3 2 4" xfId="45944"/>
    <cellStyle name="集計 7 7 3 2 4 2" xfId="45945"/>
    <cellStyle name="集計 7 7 3 2 4 3" xfId="45946"/>
    <cellStyle name="集計 7 7 3 2 5" xfId="45947"/>
    <cellStyle name="集計 7 7 3 2 6" xfId="45948"/>
    <cellStyle name="集計 7 7 3 3" xfId="45949"/>
    <cellStyle name="集計 7 7 3 3 2" xfId="45950"/>
    <cellStyle name="集計 7 7 3 3 3" xfId="45951"/>
    <cellStyle name="集計 7 7 3 4" xfId="45952"/>
    <cellStyle name="集計 7 7 3 4 2" xfId="45953"/>
    <cellStyle name="集計 7 7 3 4 3" xfId="45954"/>
    <cellStyle name="集計 7 7 3 5" xfId="45955"/>
    <cellStyle name="集計 7 7 3 5 2" xfId="45956"/>
    <cellStyle name="集計 7 7 3 5 3" xfId="45957"/>
    <cellStyle name="集計 7 7 3 6" xfId="45958"/>
    <cellStyle name="集計 7 7 3 7" xfId="45959"/>
    <cellStyle name="集計 7 7 4" xfId="45960"/>
    <cellStyle name="集計 7 7 4 2" xfId="45961"/>
    <cellStyle name="集計 7 7 4 2 2" xfId="45962"/>
    <cellStyle name="集計 7 7 4 2 2 2" xfId="45963"/>
    <cellStyle name="集計 7 7 4 2 2 3" xfId="45964"/>
    <cellStyle name="集計 7 7 4 2 3" xfId="45965"/>
    <cellStyle name="集計 7 7 4 2 3 2" xfId="45966"/>
    <cellStyle name="集計 7 7 4 2 3 3" xfId="45967"/>
    <cellStyle name="集計 7 7 4 2 4" xfId="45968"/>
    <cellStyle name="集計 7 7 4 2 4 2" xfId="45969"/>
    <cellStyle name="集計 7 7 4 2 4 3" xfId="45970"/>
    <cellStyle name="集計 7 7 4 2 5" xfId="45971"/>
    <cellStyle name="集計 7 7 4 2 6" xfId="45972"/>
    <cellStyle name="集計 7 7 4 3" xfId="45973"/>
    <cellStyle name="集計 7 7 4 3 2" xfId="45974"/>
    <cellStyle name="集計 7 7 4 3 3" xfId="45975"/>
    <cellStyle name="集計 7 7 4 4" xfId="45976"/>
    <cellStyle name="集計 7 7 4 4 2" xfId="45977"/>
    <cellStyle name="集計 7 7 4 4 3" xfId="45978"/>
    <cellStyle name="集計 7 7 4 5" xfId="45979"/>
    <cellStyle name="集計 7 7 4 5 2" xfId="45980"/>
    <cellStyle name="集計 7 7 4 5 3" xfId="45981"/>
    <cellStyle name="集計 7 7 4 6" xfId="45982"/>
    <cellStyle name="集計 7 7 4 7" xfId="45983"/>
    <cellStyle name="集計 7 7 5" xfId="45984"/>
    <cellStyle name="集計 7 7 5 2" xfId="45985"/>
    <cellStyle name="集計 7 7 5 2 2" xfId="45986"/>
    <cellStyle name="集計 7 7 5 2 3" xfId="45987"/>
    <cellStyle name="集計 7 7 5 3" xfId="45988"/>
    <cellStyle name="集計 7 7 5 3 2" xfId="45989"/>
    <cellStyle name="集計 7 7 5 3 3" xfId="45990"/>
    <cellStyle name="集計 7 7 5 4" xfId="45991"/>
    <cellStyle name="集計 7 7 5 4 2" xfId="45992"/>
    <cellStyle name="集計 7 7 5 4 3" xfId="45993"/>
    <cellStyle name="集計 7 7 5 5" xfId="45994"/>
    <cellStyle name="集計 7 7 5 6" xfId="45995"/>
    <cellStyle name="集計 7 7 6" xfId="45996"/>
    <cellStyle name="集計 7 7 6 2" xfId="45997"/>
    <cellStyle name="集計 7 7 6 3" xfId="45998"/>
    <cellStyle name="集計 7 7 7" xfId="45999"/>
    <cellStyle name="集計 7 7 7 2" xfId="46000"/>
    <cellStyle name="集計 7 7 7 3" xfId="46001"/>
    <cellStyle name="集計 7 7 8" xfId="46002"/>
    <cellStyle name="集計 7 7 8 2" xfId="46003"/>
    <cellStyle name="集計 7 7 8 3" xfId="46004"/>
    <cellStyle name="集計 7 7 9" xfId="46005"/>
    <cellStyle name="集計 7 8" xfId="46006"/>
    <cellStyle name="集計 7 8 2" xfId="46007"/>
    <cellStyle name="集計 7 8 2 2" xfId="46008"/>
    <cellStyle name="集計 7 8 2 2 2" xfId="46009"/>
    <cellStyle name="集計 7 8 2 2 3" xfId="46010"/>
    <cellStyle name="集計 7 8 2 3" xfId="46011"/>
    <cellStyle name="集計 7 8 2 3 2" xfId="46012"/>
    <cellStyle name="集計 7 8 2 3 3" xfId="46013"/>
    <cellStyle name="集計 7 8 2 4" xfId="46014"/>
    <cellStyle name="集計 7 8 2 4 2" xfId="46015"/>
    <cellStyle name="集計 7 8 2 4 3" xfId="46016"/>
    <cellStyle name="集計 7 8 2 5" xfId="46017"/>
    <cellStyle name="集計 7 8 2 6" xfId="46018"/>
    <cellStyle name="集計 7 8 3" xfId="46019"/>
    <cellStyle name="集計 7 8 3 2" xfId="46020"/>
    <cellStyle name="集計 7 8 3 3" xfId="46021"/>
    <cellStyle name="集計 7 8 4" xfId="46022"/>
    <cellStyle name="集計 7 8 4 2" xfId="46023"/>
    <cellStyle name="集計 7 8 4 3" xfId="46024"/>
    <cellStyle name="集計 7 8 5" xfId="46025"/>
    <cellStyle name="集計 7 8 5 2" xfId="46026"/>
    <cellStyle name="集計 7 8 5 3" xfId="46027"/>
    <cellStyle name="集計 7 8 6" xfId="46028"/>
    <cellStyle name="集計 7 8 7" xfId="46029"/>
    <cellStyle name="集計 7 9" xfId="46030"/>
    <cellStyle name="集計 7 9 2" xfId="46031"/>
    <cellStyle name="集計 7 9 2 2" xfId="46032"/>
    <cellStyle name="集計 7 9 2 2 2" xfId="46033"/>
    <cellStyle name="集計 7 9 2 2 3" xfId="46034"/>
    <cellStyle name="集計 7 9 2 3" xfId="46035"/>
    <cellStyle name="集計 7 9 2 3 2" xfId="46036"/>
    <cellStyle name="集計 7 9 2 3 3" xfId="46037"/>
    <cellStyle name="集計 7 9 2 4" xfId="46038"/>
    <cellStyle name="集計 7 9 2 4 2" xfId="46039"/>
    <cellStyle name="集計 7 9 2 4 3" xfId="46040"/>
    <cellStyle name="集計 7 9 2 5" xfId="46041"/>
    <cellStyle name="集計 7 9 2 6" xfId="46042"/>
    <cellStyle name="集計 7 9 3" xfId="46043"/>
    <cellStyle name="集計 7 9 3 2" xfId="46044"/>
    <cellStyle name="集計 7 9 3 3" xfId="46045"/>
    <cellStyle name="集計 7 9 4" xfId="46046"/>
    <cellStyle name="集計 7 9 4 2" xfId="46047"/>
    <cellStyle name="集計 7 9 4 3" xfId="46048"/>
    <cellStyle name="集計 7 9 5" xfId="46049"/>
    <cellStyle name="集計 7 9 5 2" xfId="46050"/>
    <cellStyle name="集計 7 9 5 3" xfId="46051"/>
    <cellStyle name="集計 7 9 6" xfId="46052"/>
    <cellStyle name="集計 7 9 7" xfId="46053"/>
    <cellStyle name="集計 8" xfId="46054"/>
    <cellStyle name="集計 8 10" xfId="46055"/>
    <cellStyle name="集計 8 10 2" xfId="46056"/>
    <cellStyle name="集計 8 10 2 2" xfId="46057"/>
    <cellStyle name="集計 8 10 2 3" xfId="46058"/>
    <cellStyle name="集計 8 10 3" xfId="46059"/>
    <cellStyle name="集計 8 10 3 2" xfId="46060"/>
    <cellStyle name="集計 8 10 3 3" xfId="46061"/>
    <cellStyle name="集計 8 10 4" xfId="46062"/>
    <cellStyle name="集計 8 10 4 2" xfId="46063"/>
    <cellStyle name="集計 8 10 4 3" xfId="46064"/>
    <cellStyle name="集計 8 10 5" xfId="46065"/>
    <cellStyle name="集計 8 10 6" xfId="46066"/>
    <cellStyle name="集計 8 11" xfId="46067"/>
    <cellStyle name="集計 8 11 2" xfId="46068"/>
    <cellStyle name="集計 8 11 3" xfId="46069"/>
    <cellStyle name="集計 8 12" xfId="46070"/>
    <cellStyle name="集計 8 12 2" xfId="46071"/>
    <cellStyle name="集計 8 12 3" xfId="46072"/>
    <cellStyle name="集計 8 13" xfId="46073"/>
    <cellStyle name="集計 8 13 2" xfId="46074"/>
    <cellStyle name="集計 8 13 3" xfId="46075"/>
    <cellStyle name="集計 8 14" xfId="46076"/>
    <cellStyle name="集計 8 15" xfId="46077"/>
    <cellStyle name="集計 8 2" xfId="46078"/>
    <cellStyle name="集計 8 2 10" xfId="46079"/>
    <cellStyle name="集計 8 2 10 2" xfId="46080"/>
    <cellStyle name="集計 8 2 10 3" xfId="46081"/>
    <cellStyle name="集計 8 2 11" xfId="46082"/>
    <cellStyle name="集計 8 2 11 2" xfId="46083"/>
    <cellStyle name="集計 8 2 11 3" xfId="46084"/>
    <cellStyle name="集計 8 2 12" xfId="46085"/>
    <cellStyle name="集計 8 2 12 2" xfId="46086"/>
    <cellStyle name="集計 8 2 12 3" xfId="46087"/>
    <cellStyle name="集計 8 2 13" xfId="46088"/>
    <cellStyle name="集計 8 2 14" xfId="46089"/>
    <cellStyle name="集計 8 2 2" xfId="46090"/>
    <cellStyle name="集計 8 2 2 10" xfId="46091"/>
    <cellStyle name="集計 8 2 2 2" xfId="46092"/>
    <cellStyle name="集計 8 2 2 2 10" xfId="46093"/>
    <cellStyle name="集計 8 2 2 2 2" xfId="46094"/>
    <cellStyle name="集計 8 2 2 2 2 2" xfId="46095"/>
    <cellStyle name="集計 8 2 2 2 2 2 2" xfId="46096"/>
    <cellStyle name="集計 8 2 2 2 2 2 2 2" xfId="46097"/>
    <cellStyle name="集計 8 2 2 2 2 2 2 2 2" xfId="46098"/>
    <cellStyle name="集計 8 2 2 2 2 2 2 2 3" xfId="46099"/>
    <cellStyle name="集計 8 2 2 2 2 2 2 3" xfId="46100"/>
    <cellStyle name="集計 8 2 2 2 2 2 2 3 2" xfId="46101"/>
    <cellStyle name="集計 8 2 2 2 2 2 2 3 3" xfId="46102"/>
    <cellStyle name="集計 8 2 2 2 2 2 2 4" xfId="46103"/>
    <cellStyle name="集計 8 2 2 2 2 2 2 4 2" xfId="46104"/>
    <cellStyle name="集計 8 2 2 2 2 2 2 4 3" xfId="46105"/>
    <cellStyle name="集計 8 2 2 2 2 2 2 5" xfId="46106"/>
    <cellStyle name="集計 8 2 2 2 2 2 2 6" xfId="46107"/>
    <cellStyle name="集計 8 2 2 2 2 2 3" xfId="46108"/>
    <cellStyle name="集計 8 2 2 2 2 2 3 2" xfId="46109"/>
    <cellStyle name="集計 8 2 2 2 2 2 3 3" xfId="46110"/>
    <cellStyle name="集計 8 2 2 2 2 2 4" xfId="46111"/>
    <cellStyle name="集計 8 2 2 2 2 2 4 2" xfId="46112"/>
    <cellStyle name="集計 8 2 2 2 2 2 4 3" xfId="46113"/>
    <cellStyle name="集計 8 2 2 2 2 2 5" xfId="46114"/>
    <cellStyle name="集計 8 2 2 2 2 2 5 2" xfId="46115"/>
    <cellStyle name="集計 8 2 2 2 2 2 5 3" xfId="46116"/>
    <cellStyle name="集計 8 2 2 2 2 2 6" xfId="46117"/>
    <cellStyle name="集計 8 2 2 2 2 2 7" xfId="46118"/>
    <cellStyle name="集計 8 2 2 2 2 3" xfId="46119"/>
    <cellStyle name="集計 8 2 2 2 2 3 2" xfId="46120"/>
    <cellStyle name="集計 8 2 2 2 2 3 2 2" xfId="46121"/>
    <cellStyle name="集計 8 2 2 2 2 3 2 2 2" xfId="46122"/>
    <cellStyle name="集計 8 2 2 2 2 3 2 2 3" xfId="46123"/>
    <cellStyle name="集計 8 2 2 2 2 3 2 3" xfId="46124"/>
    <cellStyle name="集計 8 2 2 2 2 3 2 3 2" xfId="46125"/>
    <cellStyle name="集計 8 2 2 2 2 3 2 3 3" xfId="46126"/>
    <cellStyle name="集計 8 2 2 2 2 3 2 4" xfId="46127"/>
    <cellStyle name="集計 8 2 2 2 2 3 2 4 2" xfId="46128"/>
    <cellStyle name="集計 8 2 2 2 2 3 2 4 3" xfId="46129"/>
    <cellStyle name="集計 8 2 2 2 2 3 2 5" xfId="46130"/>
    <cellStyle name="集計 8 2 2 2 2 3 2 6" xfId="46131"/>
    <cellStyle name="集計 8 2 2 2 2 3 3" xfId="46132"/>
    <cellStyle name="集計 8 2 2 2 2 3 3 2" xfId="46133"/>
    <cellStyle name="集計 8 2 2 2 2 3 3 3" xfId="46134"/>
    <cellStyle name="集計 8 2 2 2 2 3 4" xfId="46135"/>
    <cellStyle name="集計 8 2 2 2 2 3 4 2" xfId="46136"/>
    <cellStyle name="集計 8 2 2 2 2 3 4 3" xfId="46137"/>
    <cellStyle name="集計 8 2 2 2 2 3 5" xfId="46138"/>
    <cellStyle name="集計 8 2 2 2 2 3 5 2" xfId="46139"/>
    <cellStyle name="集計 8 2 2 2 2 3 5 3" xfId="46140"/>
    <cellStyle name="集計 8 2 2 2 2 3 6" xfId="46141"/>
    <cellStyle name="集計 8 2 2 2 2 3 7" xfId="46142"/>
    <cellStyle name="集計 8 2 2 2 2 4" xfId="46143"/>
    <cellStyle name="集計 8 2 2 2 2 4 2" xfId="46144"/>
    <cellStyle name="集計 8 2 2 2 2 4 2 2" xfId="46145"/>
    <cellStyle name="集計 8 2 2 2 2 4 2 3" xfId="46146"/>
    <cellStyle name="集計 8 2 2 2 2 4 3" xfId="46147"/>
    <cellStyle name="集計 8 2 2 2 2 4 3 2" xfId="46148"/>
    <cellStyle name="集計 8 2 2 2 2 4 3 3" xfId="46149"/>
    <cellStyle name="集計 8 2 2 2 2 4 4" xfId="46150"/>
    <cellStyle name="集計 8 2 2 2 2 4 4 2" xfId="46151"/>
    <cellStyle name="集計 8 2 2 2 2 4 4 3" xfId="46152"/>
    <cellStyle name="集計 8 2 2 2 2 4 5" xfId="46153"/>
    <cellStyle name="集計 8 2 2 2 2 4 6" xfId="46154"/>
    <cellStyle name="集計 8 2 2 2 2 5" xfId="46155"/>
    <cellStyle name="集計 8 2 2 2 2 5 2" xfId="46156"/>
    <cellStyle name="集計 8 2 2 2 2 5 3" xfId="46157"/>
    <cellStyle name="集計 8 2 2 2 2 6" xfId="46158"/>
    <cellStyle name="集計 8 2 2 2 2 6 2" xfId="46159"/>
    <cellStyle name="集計 8 2 2 2 2 6 3" xfId="46160"/>
    <cellStyle name="集計 8 2 2 2 2 7" xfId="46161"/>
    <cellStyle name="集計 8 2 2 2 2 7 2" xfId="46162"/>
    <cellStyle name="集計 8 2 2 2 2 7 3" xfId="46163"/>
    <cellStyle name="集計 8 2 2 2 2 8" xfId="46164"/>
    <cellStyle name="集計 8 2 2 2 2 9" xfId="46165"/>
    <cellStyle name="集計 8 2 2 2 3" xfId="46166"/>
    <cellStyle name="集計 8 2 2 2 3 2" xfId="46167"/>
    <cellStyle name="集計 8 2 2 2 3 2 2" xfId="46168"/>
    <cellStyle name="集計 8 2 2 2 3 2 2 2" xfId="46169"/>
    <cellStyle name="集計 8 2 2 2 3 2 2 3" xfId="46170"/>
    <cellStyle name="集計 8 2 2 2 3 2 3" xfId="46171"/>
    <cellStyle name="集計 8 2 2 2 3 2 3 2" xfId="46172"/>
    <cellStyle name="集計 8 2 2 2 3 2 3 3" xfId="46173"/>
    <cellStyle name="集計 8 2 2 2 3 2 4" xfId="46174"/>
    <cellStyle name="集計 8 2 2 2 3 2 4 2" xfId="46175"/>
    <cellStyle name="集計 8 2 2 2 3 2 4 3" xfId="46176"/>
    <cellStyle name="集計 8 2 2 2 3 2 5" xfId="46177"/>
    <cellStyle name="集計 8 2 2 2 3 2 6" xfId="46178"/>
    <cellStyle name="集計 8 2 2 2 3 3" xfId="46179"/>
    <cellStyle name="集計 8 2 2 2 3 3 2" xfId="46180"/>
    <cellStyle name="集計 8 2 2 2 3 3 3" xfId="46181"/>
    <cellStyle name="集計 8 2 2 2 3 4" xfId="46182"/>
    <cellStyle name="集計 8 2 2 2 3 4 2" xfId="46183"/>
    <cellStyle name="集計 8 2 2 2 3 4 3" xfId="46184"/>
    <cellStyle name="集計 8 2 2 2 3 5" xfId="46185"/>
    <cellStyle name="集計 8 2 2 2 3 5 2" xfId="46186"/>
    <cellStyle name="集計 8 2 2 2 3 5 3" xfId="46187"/>
    <cellStyle name="集計 8 2 2 2 3 6" xfId="46188"/>
    <cellStyle name="集計 8 2 2 2 3 7" xfId="46189"/>
    <cellStyle name="集計 8 2 2 2 4" xfId="46190"/>
    <cellStyle name="集計 8 2 2 2 4 2" xfId="46191"/>
    <cellStyle name="集計 8 2 2 2 4 2 2" xfId="46192"/>
    <cellStyle name="集計 8 2 2 2 4 2 2 2" xfId="46193"/>
    <cellStyle name="集計 8 2 2 2 4 2 2 3" xfId="46194"/>
    <cellStyle name="集計 8 2 2 2 4 2 3" xfId="46195"/>
    <cellStyle name="集計 8 2 2 2 4 2 3 2" xfId="46196"/>
    <cellStyle name="集計 8 2 2 2 4 2 3 3" xfId="46197"/>
    <cellStyle name="集計 8 2 2 2 4 2 4" xfId="46198"/>
    <cellStyle name="集計 8 2 2 2 4 2 4 2" xfId="46199"/>
    <cellStyle name="集計 8 2 2 2 4 2 4 3" xfId="46200"/>
    <cellStyle name="集計 8 2 2 2 4 2 5" xfId="46201"/>
    <cellStyle name="集計 8 2 2 2 4 2 6" xfId="46202"/>
    <cellStyle name="集計 8 2 2 2 4 3" xfId="46203"/>
    <cellStyle name="集計 8 2 2 2 4 3 2" xfId="46204"/>
    <cellStyle name="集計 8 2 2 2 4 3 3" xfId="46205"/>
    <cellStyle name="集計 8 2 2 2 4 4" xfId="46206"/>
    <cellStyle name="集計 8 2 2 2 4 4 2" xfId="46207"/>
    <cellStyle name="集計 8 2 2 2 4 4 3" xfId="46208"/>
    <cellStyle name="集計 8 2 2 2 4 5" xfId="46209"/>
    <cellStyle name="集計 8 2 2 2 4 5 2" xfId="46210"/>
    <cellStyle name="集計 8 2 2 2 4 5 3" xfId="46211"/>
    <cellStyle name="集計 8 2 2 2 4 6" xfId="46212"/>
    <cellStyle name="集計 8 2 2 2 4 7" xfId="46213"/>
    <cellStyle name="集計 8 2 2 2 5" xfId="46214"/>
    <cellStyle name="集計 8 2 2 2 5 2" xfId="46215"/>
    <cellStyle name="集計 8 2 2 2 5 2 2" xfId="46216"/>
    <cellStyle name="集計 8 2 2 2 5 2 3" xfId="46217"/>
    <cellStyle name="集計 8 2 2 2 5 3" xfId="46218"/>
    <cellStyle name="集計 8 2 2 2 5 3 2" xfId="46219"/>
    <cellStyle name="集計 8 2 2 2 5 3 3" xfId="46220"/>
    <cellStyle name="集計 8 2 2 2 5 4" xfId="46221"/>
    <cellStyle name="集計 8 2 2 2 5 4 2" xfId="46222"/>
    <cellStyle name="集計 8 2 2 2 5 4 3" xfId="46223"/>
    <cellStyle name="集計 8 2 2 2 5 5" xfId="46224"/>
    <cellStyle name="集計 8 2 2 2 5 6" xfId="46225"/>
    <cellStyle name="集計 8 2 2 2 6" xfId="46226"/>
    <cellStyle name="集計 8 2 2 2 6 2" xfId="46227"/>
    <cellStyle name="集計 8 2 2 2 6 3" xfId="46228"/>
    <cellStyle name="集計 8 2 2 2 7" xfId="46229"/>
    <cellStyle name="集計 8 2 2 2 7 2" xfId="46230"/>
    <cellStyle name="集計 8 2 2 2 7 3" xfId="46231"/>
    <cellStyle name="集計 8 2 2 2 8" xfId="46232"/>
    <cellStyle name="集計 8 2 2 2 8 2" xfId="46233"/>
    <cellStyle name="集計 8 2 2 2 8 3" xfId="46234"/>
    <cellStyle name="集計 8 2 2 2 9" xfId="46235"/>
    <cellStyle name="集計 8 2 2 3" xfId="46236"/>
    <cellStyle name="集計 8 2 2 3 2" xfId="46237"/>
    <cellStyle name="集計 8 2 2 3 2 2" xfId="46238"/>
    <cellStyle name="集計 8 2 2 3 2 2 2" xfId="46239"/>
    <cellStyle name="集計 8 2 2 3 2 2 3" xfId="46240"/>
    <cellStyle name="集計 8 2 2 3 2 3" xfId="46241"/>
    <cellStyle name="集計 8 2 2 3 2 3 2" xfId="46242"/>
    <cellStyle name="集計 8 2 2 3 2 3 3" xfId="46243"/>
    <cellStyle name="集計 8 2 2 3 2 4" xfId="46244"/>
    <cellStyle name="集計 8 2 2 3 2 4 2" xfId="46245"/>
    <cellStyle name="集計 8 2 2 3 2 4 3" xfId="46246"/>
    <cellStyle name="集計 8 2 2 3 2 5" xfId="46247"/>
    <cellStyle name="集計 8 2 2 3 2 6" xfId="46248"/>
    <cellStyle name="集計 8 2 2 3 3" xfId="46249"/>
    <cellStyle name="集計 8 2 2 3 3 2" xfId="46250"/>
    <cellStyle name="集計 8 2 2 3 3 3" xfId="46251"/>
    <cellStyle name="集計 8 2 2 3 4" xfId="46252"/>
    <cellStyle name="集計 8 2 2 3 4 2" xfId="46253"/>
    <cellStyle name="集計 8 2 2 3 4 3" xfId="46254"/>
    <cellStyle name="集計 8 2 2 3 5" xfId="46255"/>
    <cellStyle name="集計 8 2 2 3 5 2" xfId="46256"/>
    <cellStyle name="集計 8 2 2 3 5 3" xfId="46257"/>
    <cellStyle name="集計 8 2 2 3 6" xfId="46258"/>
    <cellStyle name="集計 8 2 2 3 7" xfId="46259"/>
    <cellStyle name="集計 8 2 2 4" xfId="46260"/>
    <cellStyle name="集計 8 2 2 4 2" xfId="46261"/>
    <cellStyle name="集計 8 2 2 4 2 2" xfId="46262"/>
    <cellStyle name="集計 8 2 2 4 2 2 2" xfId="46263"/>
    <cellStyle name="集計 8 2 2 4 2 2 3" xfId="46264"/>
    <cellStyle name="集計 8 2 2 4 2 3" xfId="46265"/>
    <cellStyle name="集計 8 2 2 4 2 3 2" xfId="46266"/>
    <cellStyle name="集計 8 2 2 4 2 3 3" xfId="46267"/>
    <cellStyle name="集計 8 2 2 4 2 4" xfId="46268"/>
    <cellStyle name="集計 8 2 2 4 2 4 2" xfId="46269"/>
    <cellStyle name="集計 8 2 2 4 2 4 3" xfId="46270"/>
    <cellStyle name="集計 8 2 2 4 2 5" xfId="46271"/>
    <cellStyle name="集計 8 2 2 4 2 6" xfId="46272"/>
    <cellStyle name="集計 8 2 2 4 3" xfId="46273"/>
    <cellStyle name="集計 8 2 2 4 3 2" xfId="46274"/>
    <cellStyle name="集計 8 2 2 4 3 3" xfId="46275"/>
    <cellStyle name="集計 8 2 2 4 4" xfId="46276"/>
    <cellStyle name="集計 8 2 2 4 4 2" xfId="46277"/>
    <cellStyle name="集計 8 2 2 4 4 3" xfId="46278"/>
    <cellStyle name="集計 8 2 2 4 5" xfId="46279"/>
    <cellStyle name="集計 8 2 2 4 5 2" xfId="46280"/>
    <cellStyle name="集計 8 2 2 4 5 3" xfId="46281"/>
    <cellStyle name="集計 8 2 2 4 6" xfId="46282"/>
    <cellStyle name="集計 8 2 2 4 7" xfId="46283"/>
    <cellStyle name="集計 8 2 2 5" xfId="46284"/>
    <cellStyle name="集計 8 2 2 5 2" xfId="46285"/>
    <cellStyle name="集計 8 2 2 5 2 2" xfId="46286"/>
    <cellStyle name="集計 8 2 2 5 2 3" xfId="46287"/>
    <cellStyle name="集計 8 2 2 5 3" xfId="46288"/>
    <cellStyle name="集計 8 2 2 5 3 2" xfId="46289"/>
    <cellStyle name="集計 8 2 2 5 3 3" xfId="46290"/>
    <cellStyle name="集計 8 2 2 5 4" xfId="46291"/>
    <cellStyle name="集計 8 2 2 5 4 2" xfId="46292"/>
    <cellStyle name="集計 8 2 2 5 4 3" xfId="46293"/>
    <cellStyle name="集計 8 2 2 5 5" xfId="46294"/>
    <cellStyle name="集計 8 2 2 5 6" xfId="46295"/>
    <cellStyle name="集計 8 2 2 6" xfId="46296"/>
    <cellStyle name="集計 8 2 2 6 2" xfId="46297"/>
    <cellStyle name="集計 8 2 2 6 3" xfId="46298"/>
    <cellStyle name="集計 8 2 2 7" xfId="46299"/>
    <cellStyle name="集計 8 2 2 7 2" xfId="46300"/>
    <cellStyle name="集計 8 2 2 7 3" xfId="46301"/>
    <cellStyle name="集計 8 2 2 8" xfId="46302"/>
    <cellStyle name="集計 8 2 2 8 2" xfId="46303"/>
    <cellStyle name="集計 8 2 2 8 3" xfId="46304"/>
    <cellStyle name="集計 8 2 2 9" xfId="46305"/>
    <cellStyle name="集計 8 2 3" xfId="46306"/>
    <cellStyle name="集計 8 2 3 10" xfId="46307"/>
    <cellStyle name="集計 8 2 3 2" xfId="46308"/>
    <cellStyle name="集計 8 2 3 2 10" xfId="46309"/>
    <cellStyle name="集計 8 2 3 2 2" xfId="46310"/>
    <cellStyle name="集計 8 2 3 2 2 2" xfId="46311"/>
    <cellStyle name="集計 8 2 3 2 2 2 2" xfId="46312"/>
    <cellStyle name="集計 8 2 3 2 2 2 2 2" xfId="46313"/>
    <cellStyle name="集計 8 2 3 2 2 2 2 2 2" xfId="46314"/>
    <cellStyle name="集計 8 2 3 2 2 2 2 2 3" xfId="46315"/>
    <cellStyle name="集計 8 2 3 2 2 2 2 3" xfId="46316"/>
    <cellStyle name="集計 8 2 3 2 2 2 2 3 2" xfId="46317"/>
    <cellStyle name="集計 8 2 3 2 2 2 2 3 3" xfId="46318"/>
    <cellStyle name="集計 8 2 3 2 2 2 2 4" xfId="46319"/>
    <cellStyle name="集計 8 2 3 2 2 2 2 4 2" xfId="46320"/>
    <cellStyle name="集計 8 2 3 2 2 2 2 4 3" xfId="46321"/>
    <cellStyle name="集計 8 2 3 2 2 2 2 5" xfId="46322"/>
    <cellStyle name="集計 8 2 3 2 2 2 2 6" xfId="46323"/>
    <cellStyle name="集計 8 2 3 2 2 2 3" xfId="46324"/>
    <cellStyle name="集計 8 2 3 2 2 2 3 2" xfId="46325"/>
    <cellStyle name="集計 8 2 3 2 2 2 3 3" xfId="46326"/>
    <cellStyle name="集計 8 2 3 2 2 2 4" xfId="46327"/>
    <cellStyle name="集計 8 2 3 2 2 2 4 2" xfId="46328"/>
    <cellStyle name="集計 8 2 3 2 2 2 4 3" xfId="46329"/>
    <cellStyle name="集計 8 2 3 2 2 2 5" xfId="46330"/>
    <cellStyle name="集計 8 2 3 2 2 2 5 2" xfId="46331"/>
    <cellStyle name="集計 8 2 3 2 2 2 5 3" xfId="46332"/>
    <cellStyle name="集計 8 2 3 2 2 2 6" xfId="46333"/>
    <cellStyle name="集計 8 2 3 2 2 2 7" xfId="46334"/>
    <cellStyle name="集計 8 2 3 2 2 3" xfId="46335"/>
    <cellStyle name="集計 8 2 3 2 2 3 2" xfId="46336"/>
    <cellStyle name="集計 8 2 3 2 2 3 2 2" xfId="46337"/>
    <cellStyle name="集計 8 2 3 2 2 3 2 2 2" xfId="46338"/>
    <cellStyle name="集計 8 2 3 2 2 3 2 2 3" xfId="46339"/>
    <cellStyle name="集計 8 2 3 2 2 3 2 3" xfId="46340"/>
    <cellStyle name="集計 8 2 3 2 2 3 2 3 2" xfId="46341"/>
    <cellStyle name="集計 8 2 3 2 2 3 2 3 3" xfId="46342"/>
    <cellStyle name="集計 8 2 3 2 2 3 2 4" xfId="46343"/>
    <cellStyle name="集計 8 2 3 2 2 3 2 4 2" xfId="46344"/>
    <cellStyle name="集計 8 2 3 2 2 3 2 4 3" xfId="46345"/>
    <cellStyle name="集計 8 2 3 2 2 3 2 5" xfId="46346"/>
    <cellStyle name="集計 8 2 3 2 2 3 2 6" xfId="46347"/>
    <cellStyle name="集計 8 2 3 2 2 3 3" xfId="46348"/>
    <cellStyle name="集計 8 2 3 2 2 3 3 2" xfId="46349"/>
    <cellStyle name="集計 8 2 3 2 2 3 3 3" xfId="46350"/>
    <cellStyle name="集計 8 2 3 2 2 3 4" xfId="46351"/>
    <cellStyle name="集計 8 2 3 2 2 3 4 2" xfId="46352"/>
    <cellStyle name="集計 8 2 3 2 2 3 4 3" xfId="46353"/>
    <cellStyle name="集計 8 2 3 2 2 3 5" xfId="46354"/>
    <cellStyle name="集計 8 2 3 2 2 3 5 2" xfId="46355"/>
    <cellStyle name="集計 8 2 3 2 2 3 5 3" xfId="46356"/>
    <cellStyle name="集計 8 2 3 2 2 3 6" xfId="46357"/>
    <cellStyle name="集計 8 2 3 2 2 3 7" xfId="46358"/>
    <cellStyle name="集計 8 2 3 2 2 4" xfId="46359"/>
    <cellStyle name="集計 8 2 3 2 2 4 2" xfId="46360"/>
    <cellStyle name="集計 8 2 3 2 2 4 2 2" xfId="46361"/>
    <cellStyle name="集計 8 2 3 2 2 4 2 3" xfId="46362"/>
    <cellStyle name="集計 8 2 3 2 2 4 3" xfId="46363"/>
    <cellStyle name="集計 8 2 3 2 2 4 3 2" xfId="46364"/>
    <cellStyle name="集計 8 2 3 2 2 4 3 3" xfId="46365"/>
    <cellStyle name="集計 8 2 3 2 2 4 4" xfId="46366"/>
    <cellStyle name="集計 8 2 3 2 2 4 4 2" xfId="46367"/>
    <cellStyle name="集計 8 2 3 2 2 4 4 3" xfId="46368"/>
    <cellStyle name="集計 8 2 3 2 2 4 5" xfId="46369"/>
    <cellStyle name="集計 8 2 3 2 2 4 6" xfId="46370"/>
    <cellStyle name="集計 8 2 3 2 2 5" xfId="46371"/>
    <cellStyle name="集計 8 2 3 2 2 5 2" xfId="46372"/>
    <cellStyle name="集計 8 2 3 2 2 5 3" xfId="46373"/>
    <cellStyle name="集計 8 2 3 2 2 6" xfId="46374"/>
    <cellStyle name="集計 8 2 3 2 2 6 2" xfId="46375"/>
    <cellStyle name="集計 8 2 3 2 2 6 3" xfId="46376"/>
    <cellStyle name="集計 8 2 3 2 2 7" xfId="46377"/>
    <cellStyle name="集計 8 2 3 2 2 7 2" xfId="46378"/>
    <cellStyle name="集計 8 2 3 2 2 7 3" xfId="46379"/>
    <cellStyle name="集計 8 2 3 2 2 8" xfId="46380"/>
    <cellStyle name="集計 8 2 3 2 2 9" xfId="46381"/>
    <cellStyle name="集計 8 2 3 2 3" xfId="46382"/>
    <cellStyle name="集計 8 2 3 2 3 2" xfId="46383"/>
    <cellStyle name="集計 8 2 3 2 3 2 2" xfId="46384"/>
    <cellStyle name="集計 8 2 3 2 3 2 2 2" xfId="46385"/>
    <cellStyle name="集計 8 2 3 2 3 2 2 3" xfId="46386"/>
    <cellStyle name="集計 8 2 3 2 3 2 3" xfId="46387"/>
    <cellStyle name="集計 8 2 3 2 3 2 3 2" xfId="46388"/>
    <cellStyle name="集計 8 2 3 2 3 2 3 3" xfId="46389"/>
    <cellStyle name="集計 8 2 3 2 3 2 4" xfId="46390"/>
    <cellStyle name="集計 8 2 3 2 3 2 4 2" xfId="46391"/>
    <cellStyle name="集計 8 2 3 2 3 2 4 3" xfId="46392"/>
    <cellStyle name="集計 8 2 3 2 3 2 5" xfId="46393"/>
    <cellStyle name="集計 8 2 3 2 3 2 6" xfId="46394"/>
    <cellStyle name="集計 8 2 3 2 3 3" xfId="46395"/>
    <cellStyle name="集計 8 2 3 2 3 3 2" xfId="46396"/>
    <cellStyle name="集計 8 2 3 2 3 3 3" xfId="46397"/>
    <cellStyle name="集計 8 2 3 2 3 4" xfId="46398"/>
    <cellStyle name="集計 8 2 3 2 3 4 2" xfId="46399"/>
    <cellStyle name="集計 8 2 3 2 3 4 3" xfId="46400"/>
    <cellStyle name="集計 8 2 3 2 3 5" xfId="46401"/>
    <cellStyle name="集計 8 2 3 2 3 5 2" xfId="46402"/>
    <cellStyle name="集計 8 2 3 2 3 5 3" xfId="46403"/>
    <cellStyle name="集計 8 2 3 2 3 6" xfId="46404"/>
    <cellStyle name="集計 8 2 3 2 3 7" xfId="46405"/>
    <cellStyle name="集計 8 2 3 2 4" xfId="46406"/>
    <cellStyle name="集計 8 2 3 2 4 2" xfId="46407"/>
    <cellStyle name="集計 8 2 3 2 4 2 2" xfId="46408"/>
    <cellStyle name="集計 8 2 3 2 4 2 2 2" xfId="46409"/>
    <cellStyle name="集計 8 2 3 2 4 2 2 3" xfId="46410"/>
    <cellStyle name="集計 8 2 3 2 4 2 3" xfId="46411"/>
    <cellStyle name="集計 8 2 3 2 4 2 3 2" xfId="46412"/>
    <cellStyle name="集計 8 2 3 2 4 2 3 3" xfId="46413"/>
    <cellStyle name="集計 8 2 3 2 4 2 4" xfId="46414"/>
    <cellStyle name="集計 8 2 3 2 4 2 4 2" xfId="46415"/>
    <cellStyle name="集計 8 2 3 2 4 2 4 3" xfId="46416"/>
    <cellStyle name="集計 8 2 3 2 4 2 5" xfId="46417"/>
    <cellStyle name="集計 8 2 3 2 4 2 6" xfId="46418"/>
    <cellStyle name="集計 8 2 3 2 4 3" xfId="46419"/>
    <cellStyle name="集計 8 2 3 2 4 3 2" xfId="46420"/>
    <cellStyle name="集計 8 2 3 2 4 3 3" xfId="46421"/>
    <cellStyle name="集計 8 2 3 2 4 4" xfId="46422"/>
    <cellStyle name="集計 8 2 3 2 4 4 2" xfId="46423"/>
    <cellStyle name="集計 8 2 3 2 4 4 3" xfId="46424"/>
    <cellStyle name="集計 8 2 3 2 4 5" xfId="46425"/>
    <cellStyle name="集計 8 2 3 2 4 5 2" xfId="46426"/>
    <cellStyle name="集計 8 2 3 2 4 5 3" xfId="46427"/>
    <cellStyle name="集計 8 2 3 2 4 6" xfId="46428"/>
    <cellStyle name="集計 8 2 3 2 4 7" xfId="46429"/>
    <cellStyle name="集計 8 2 3 2 5" xfId="46430"/>
    <cellStyle name="集計 8 2 3 2 5 2" xfId="46431"/>
    <cellStyle name="集計 8 2 3 2 5 2 2" xfId="46432"/>
    <cellStyle name="集計 8 2 3 2 5 2 3" xfId="46433"/>
    <cellStyle name="集計 8 2 3 2 5 3" xfId="46434"/>
    <cellStyle name="集計 8 2 3 2 5 3 2" xfId="46435"/>
    <cellStyle name="集計 8 2 3 2 5 3 3" xfId="46436"/>
    <cellStyle name="集計 8 2 3 2 5 4" xfId="46437"/>
    <cellStyle name="集計 8 2 3 2 5 4 2" xfId="46438"/>
    <cellStyle name="集計 8 2 3 2 5 4 3" xfId="46439"/>
    <cellStyle name="集計 8 2 3 2 5 5" xfId="46440"/>
    <cellStyle name="集計 8 2 3 2 5 6" xfId="46441"/>
    <cellStyle name="集計 8 2 3 2 6" xfId="46442"/>
    <cellStyle name="集計 8 2 3 2 6 2" xfId="46443"/>
    <cellStyle name="集計 8 2 3 2 6 3" xfId="46444"/>
    <cellStyle name="集計 8 2 3 2 7" xfId="46445"/>
    <cellStyle name="集計 8 2 3 2 7 2" xfId="46446"/>
    <cellStyle name="集計 8 2 3 2 7 3" xfId="46447"/>
    <cellStyle name="集計 8 2 3 2 8" xfId="46448"/>
    <cellStyle name="集計 8 2 3 2 8 2" xfId="46449"/>
    <cellStyle name="集計 8 2 3 2 8 3" xfId="46450"/>
    <cellStyle name="集計 8 2 3 2 9" xfId="46451"/>
    <cellStyle name="集計 8 2 3 3" xfId="46452"/>
    <cellStyle name="集計 8 2 3 3 2" xfId="46453"/>
    <cellStyle name="集計 8 2 3 3 2 2" xfId="46454"/>
    <cellStyle name="集計 8 2 3 3 2 2 2" xfId="46455"/>
    <cellStyle name="集計 8 2 3 3 2 2 3" xfId="46456"/>
    <cellStyle name="集計 8 2 3 3 2 3" xfId="46457"/>
    <cellStyle name="集計 8 2 3 3 2 3 2" xfId="46458"/>
    <cellStyle name="集計 8 2 3 3 2 3 3" xfId="46459"/>
    <cellStyle name="集計 8 2 3 3 2 4" xfId="46460"/>
    <cellStyle name="集計 8 2 3 3 2 4 2" xfId="46461"/>
    <cellStyle name="集計 8 2 3 3 2 4 3" xfId="46462"/>
    <cellStyle name="集計 8 2 3 3 2 5" xfId="46463"/>
    <cellStyle name="集計 8 2 3 3 2 6" xfId="46464"/>
    <cellStyle name="集計 8 2 3 3 3" xfId="46465"/>
    <cellStyle name="集計 8 2 3 3 3 2" xfId="46466"/>
    <cellStyle name="集計 8 2 3 3 3 3" xfId="46467"/>
    <cellStyle name="集計 8 2 3 3 4" xfId="46468"/>
    <cellStyle name="集計 8 2 3 3 4 2" xfId="46469"/>
    <cellStyle name="集計 8 2 3 3 4 3" xfId="46470"/>
    <cellStyle name="集計 8 2 3 3 5" xfId="46471"/>
    <cellStyle name="集計 8 2 3 3 5 2" xfId="46472"/>
    <cellStyle name="集計 8 2 3 3 5 3" xfId="46473"/>
    <cellStyle name="集計 8 2 3 3 6" xfId="46474"/>
    <cellStyle name="集計 8 2 3 3 7" xfId="46475"/>
    <cellStyle name="集計 8 2 3 4" xfId="46476"/>
    <cellStyle name="集計 8 2 3 4 2" xfId="46477"/>
    <cellStyle name="集計 8 2 3 4 2 2" xfId="46478"/>
    <cellStyle name="集計 8 2 3 4 2 2 2" xfId="46479"/>
    <cellStyle name="集計 8 2 3 4 2 2 3" xfId="46480"/>
    <cellStyle name="集計 8 2 3 4 2 3" xfId="46481"/>
    <cellStyle name="集計 8 2 3 4 2 3 2" xfId="46482"/>
    <cellStyle name="集計 8 2 3 4 2 3 3" xfId="46483"/>
    <cellStyle name="集計 8 2 3 4 2 4" xfId="46484"/>
    <cellStyle name="集計 8 2 3 4 2 4 2" xfId="46485"/>
    <cellStyle name="集計 8 2 3 4 2 4 3" xfId="46486"/>
    <cellStyle name="集計 8 2 3 4 2 5" xfId="46487"/>
    <cellStyle name="集計 8 2 3 4 2 6" xfId="46488"/>
    <cellStyle name="集計 8 2 3 4 3" xfId="46489"/>
    <cellStyle name="集計 8 2 3 4 3 2" xfId="46490"/>
    <cellStyle name="集計 8 2 3 4 3 3" xfId="46491"/>
    <cellStyle name="集計 8 2 3 4 4" xfId="46492"/>
    <cellStyle name="集計 8 2 3 4 4 2" xfId="46493"/>
    <cellStyle name="集計 8 2 3 4 4 3" xfId="46494"/>
    <cellStyle name="集計 8 2 3 4 5" xfId="46495"/>
    <cellStyle name="集計 8 2 3 4 5 2" xfId="46496"/>
    <cellStyle name="集計 8 2 3 4 5 3" xfId="46497"/>
    <cellStyle name="集計 8 2 3 4 6" xfId="46498"/>
    <cellStyle name="集計 8 2 3 4 7" xfId="46499"/>
    <cellStyle name="集計 8 2 3 5" xfId="46500"/>
    <cellStyle name="集計 8 2 3 5 2" xfId="46501"/>
    <cellStyle name="集計 8 2 3 5 2 2" xfId="46502"/>
    <cellStyle name="集計 8 2 3 5 2 3" xfId="46503"/>
    <cellStyle name="集計 8 2 3 5 3" xfId="46504"/>
    <cellStyle name="集計 8 2 3 5 3 2" xfId="46505"/>
    <cellStyle name="集計 8 2 3 5 3 3" xfId="46506"/>
    <cellStyle name="集計 8 2 3 5 4" xfId="46507"/>
    <cellStyle name="集計 8 2 3 5 4 2" xfId="46508"/>
    <cellStyle name="集計 8 2 3 5 4 3" xfId="46509"/>
    <cellStyle name="集計 8 2 3 5 5" xfId="46510"/>
    <cellStyle name="集計 8 2 3 5 6" xfId="46511"/>
    <cellStyle name="集計 8 2 3 6" xfId="46512"/>
    <cellStyle name="集計 8 2 3 6 2" xfId="46513"/>
    <cellStyle name="集計 8 2 3 6 3" xfId="46514"/>
    <cellStyle name="集計 8 2 3 7" xfId="46515"/>
    <cellStyle name="集計 8 2 3 7 2" xfId="46516"/>
    <cellStyle name="集計 8 2 3 7 3" xfId="46517"/>
    <cellStyle name="集計 8 2 3 8" xfId="46518"/>
    <cellStyle name="集計 8 2 3 8 2" xfId="46519"/>
    <cellStyle name="集計 8 2 3 8 3" xfId="46520"/>
    <cellStyle name="集計 8 2 3 9" xfId="46521"/>
    <cellStyle name="集計 8 2 4" xfId="46522"/>
    <cellStyle name="集計 8 2 4 10" xfId="46523"/>
    <cellStyle name="集計 8 2 4 2" xfId="46524"/>
    <cellStyle name="集計 8 2 4 2 10" xfId="46525"/>
    <cellStyle name="集計 8 2 4 2 2" xfId="46526"/>
    <cellStyle name="集計 8 2 4 2 2 2" xfId="46527"/>
    <cellStyle name="集計 8 2 4 2 2 2 2" xfId="46528"/>
    <cellStyle name="集計 8 2 4 2 2 2 2 2" xfId="46529"/>
    <cellStyle name="集計 8 2 4 2 2 2 2 2 2" xfId="46530"/>
    <cellStyle name="集計 8 2 4 2 2 2 2 2 3" xfId="46531"/>
    <cellStyle name="集計 8 2 4 2 2 2 2 3" xfId="46532"/>
    <cellStyle name="集計 8 2 4 2 2 2 2 3 2" xfId="46533"/>
    <cellStyle name="集計 8 2 4 2 2 2 2 3 3" xfId="46534"/>
    <cellStyle name="集計 8 2 4 2 2 2 2 4" xfId="46535"/>
    <cellStyle name="集計 8 2 4 2 2 2 2 4 2" xfId="46536"/>
    <cellStyle name="集計 8 2 4 2 2 2 2 4 3" xfId="46537"/>
    <cellStyle name="集計 8 2 4 2 2 2 2 5" xfId="46538"/>
    <cellStyle name="集計 8 2 4 2 2 2 2 6" xfId="46539"/>
    <cellStyle name="集計 8 2 4 2 2 2 3" xfId="46540"/>
    <cellStyle name="集計 8 2 4 2 2 2 3 2" xfId="46541"/>
    <cellStyle name="集計 8 2 4 2 2 2 3 3" xfId="46542"/>
    <cellStyle name="集計 8 2 4 2 2 2 4" xfId="46543"/>
    <cellStyle name="集計 8 2 4 2 2 2 4 2" xfId="46544"/>
    <cellStyle name="集計 8 2 4 2 2 2 4 3" xfId="46545"/>
    <cellStyle name="集計 8 2 4 2 2 2 5" xfId="46546"/>
    <cellStyle name="集計 8 2 4 2 2 2 5 2" xfId="46547"/>
    <cellStyle name="集計 8 2 4 2 2 2 5 3" xfId="46548"/>
    <cellStyle name="集計 8 2 4 2 2 2 6" xfId="46549"/>
    <cellStyle name="集計 8 2 4 2 2 2 7" xfId="46550"/>
    <cellStyle name="集計 8 2 4 2 2 3" xfId="46551"/>
    <cellStyle name="集計 8 2 4 2 2 3 2" xfId="46552"/>
    <cellStyle name="集計 8 2 4 2 2 3 2 2" xfId="46553"/>
    <cellStyle name="集計 8 2 4 2 2 3 2 2 2" xfId="46554"/>
    <cellStyle name="集計 8 2 4 2 2 3 2 2 3" xfId="46555"/>
    <cellStyle name="集計 8 2 4 2 2 3 2 3" xfId="46556"/>
    <cellStyle name="集計 8 2 4 2 2 3 2 3 2" xfId="46557"/>
    <cellStyle name="集計 8 2 4 2 2 3 2 3 3" xfId="46558"/>
    <cellStyle name="集計 8 2 4 2 2 3 2 4" xfId="46559"/>
    <cellStyle name="集計 8 2 4 2 2 3 2 4 2" xfId="46560"/>
    <cellStyle name="集計 8 2 4 2 2 3 2 4 3" xfId="46561"/>
    <cellStyle name="集計 8 2 4 2 2 3 2 5" xfId="46562"/>
    <cellStyle name="集計 8 2 4 2 2 3 2 6" xfId="46563"/>
    <cellStyle name="集計 8 2 4 2 2 3 3" xfId="46564"/>
    <cellStyle name="集計 8 2 4 2 2 3 3 2" xfId="46565"/>
    <cellStyle name="集計 8 2 4 2 2 3 3 3" xfId="46566"/>
    <cellStyle name="集計 8 2 4 2 2 3 4" xfId="46567"/>
    <cellStyle name="集計 8 2 4 2 2 3 4 2" xfId="46568"/>
    <cellStyle name="集計 8 2 4 2 2 3 4 3" xfId="46569"/>
    <cellStyle name="集計 8 2 4 2 2 3 5" xfId="46570"/>
    <cellStyle name="集計 8 2 4 2 2 3 5 2" xfId="46571"/>
    <cellStyle name="集計 8 2 4 2 2 3 5 3" xfId="46572"/>
    <cellStyle name="集計 8 2 4 2 2 3 6" xfId="46573"/>
    <cellStyle name="集計 8 2 4 2 2 3 7" xfId="46574"/>
    <cellStyle name="集計 8 2 4 2 2 4" xfId="46575"/>
    <cellStyle name="集計 8 2 4 2 2 4 2" xfId="46576"/>
    <cellStyle name="集計 8 2 4 2 2 4 2 2" xfId="46577"/>
    <cellStyle name="集計 8 2 4 2 2 4 2 3" xfId="46578"/>
    <cellStyle name="集計 8 2 4 2 2 4 3" xfId="46579"/>
    <cellStyle name="集計 8 2 4 2 2 4 3 2" xfId="46580"/>
    <cellStyle name="集計 8 2 4 2 2 4 3 3" xfId="46581"/>
    <cellStyle name="集計 8 2 4 2 2 4 4" xfId="46582"/>
    <cellStyle name="集計 8 2 4 2 2 4 4 2" xfId="46583"/>
    <cellStyle name="集計 8 2 4 2 2 4 4 3" xfId="46584"/>
    <cellStyle name="集計 8 2 4 2 2 4 5" xfId="46585"/>
    <cellStyle name="集計 8 2 4 2 2 4 6" xfId="46586"/>
    <cellStyle name="集計 8 2 4 2 2 5" xfId="46587"/>
    <cellStyle name="集計 8 2 4 2 2 5 2" xfId="46588"/>
    <cellStyle name="集計 8 2 4 2 2 5 3" xfId="46589"/>
    <cellStyle name="集計 8 2 4 2 2 6" xfId="46590"/>
    <cellStyle name="集計 8 2 4 2 2 6 2" xfId="46591"/>
    <cellStyle name="集計 8 2 4 2 2 6 3" xfId="46592"/>
    <cellStyle name="集計 8 2 4 2 2 7" xfId="46593"/>
    <cellStyle name="集計 8 2 4 2 2 7 2" xfId="46594"/>
    <cellStyle name="集計 8 2 4 2 2 7 3" xfId="46595"/>
    <cellStyle name="集計 8 2 4 2 2 8" xfId="46596"/>
    <cellStyle name="集計 8 2 4 2 2 9" xfId="46597"/>
    <cellStyle name="集計 8 2 4 2 3" xfId="46598"/>
    <cellStyle name="集計 8 2 4 2 3 2" xfId="46599"/>
    <cellStyle name="集計 8 2 4 2 3 2 2" xfId="46600"/>
    <cellStyle name="集計 8 2 4 2 3 2 2 2" xfId="46601"/>
    <cellStyle name="集計 8 2 4 2 3 2 2 3" xfId="46602"/>
    <cellStyle name="集計 8 2 4 2 3 2 3" xfId="46603"/>
    <cellStyle name="集計 8 2 4 2 3 2 3 2" xfId="46604"/>
    <cellStyle name="集計 8 2 4 2 3 2 3 3" xfId="46605"/>
    <cellStyle name="集計 8 2 4 2 3 2 4" xfId="46606"/>
    <cellStyle name="集計 8 2 4 2 3 2 4 2" xfId="46607"/>
    <cellStyle name="集計 8 2 4 2 3 2 4 3" xfId="46608"/>
    <cellStyle name="集計 8 2 4 2 3 2 5" xfId="46609"/>
    <cellStyle name="集計 8 2 4 2 3 2 6" xfId="46610"/>
    <cellStyle name="集計 8 2 4 2 3 3" xfId="46611"/>
    <cellStyle name="集計 8 2 4 2 3 3 2" xfId="46612"/>
    <cellStyle name="集計 8 2 4 2 3 3 3" xfId="46613"/>
    <cellStyle name="集計 8 2 4 2 3 4" xfId="46614"/>
    <cellStyle name="集計 8 2 4 2 3 4 2" xfId="46615"/>
    <cellStyle name="集計 8 2 4 2 3 4 3" xfId="46616"/>
    <cellStyle name="集計 8 2 4 2 3 5" xfId="46617"/>
    <cellStyle name="集計 8 2 4 2 3 5 2" xfId="46618"/>
    <cellStyle name="集計 8 2 4 2 3 5 3" xfId="46619"/>
    <cellStyle name="集計 8 2 4 2 3 6" xfId="46620"/>
    <cellStyle name="集計 8 2 4 2 3 7" xfId="46621"/>
    <cellStyle name="集計 8 2 4 2 4" xfId="46622"/>
    <cellStyle name="集計 8 2 4 2 4 2" xfId="46623"/>
    <cellStyle name="集計 8 2 4 2 4 2 2" xfId="46624"/>
    <cellStyle name="集計 8 2 4 2 4 2 2 2" xfId="46625"/>
    <cellStyle name="集計 8 2 4 2 4 2 2 3" xfId="46626"/>
    <cellStyle name="集計 8 2 4 2 4 2 3" xfId="46627"/>
    <cellStyle name="集計 8 2 4 2 4 2 3 2" xfId="46628"/>
    <cellStyle name="集計 8 2 4 2 4 2 3 3" xfId="46629"/>
    <cellStyle name="集計 8 2 4 2 4 2 4" xfId="46630"/>
    <cellStyle name="集計 8 2 4 2 4 2 4 2" xfId="46631"/>
    <cellStyle name="集計 8 2 4 2 4 2 4 3" xfId="46632"/>
    <cellStyle name="集計 8 2 4 2 4 2 5" xfId="46633"/>
    <cellStyle name="集計 8 2 4 2 4 2 6" xfId="46634"/>
    <cellStyle name="集計 8 2 4 2 4 3" xfId="46635"/>
    <cellStyle name="集計 8 2 4 2 4 3 2" xfId="46636"/>
    <cellStyle name="集計 8 2 4 2 4 3 3" xfId="46637"/>
    <cellStyle name="集計 8 2 4 2 4 4" xfId="46638"/>
    <cellStyle name="集計 8 2 4 2 4 4 2" xfId="46639"/>
    <cellStyle name="集計 8 2 4 2 4 4 3" xfId="46640"/>
    <cellStyle name="集計 8 2 4 2 4 5" xfId="46641"/>
    <cellStyle name="集計 8 2 4 2 4 5 2" xfId="46642"/>
    <cellStyle name="集計 8 2 4 2 4 5 3" xfId="46643"/>
    <cellStyle name="集計 8 2 4 2 4 6" xfId="46644"/>
    <cellStyle name="集計 8 2 4 2 4 7" xfId="46645"/>
    <cellStyle name="集計 8 2 4 2 5" xfId="46646"/>
    <cellStyle name="集計 8 2 4 2 5 2" xfId="46647"/>
    <cellStyle name="集計 8 2 4 2 5 2 2" xfId="46648"/>
    <cellStyle name="集計 8 2 4 2 5 2 3" xfId="46649"/>
    <cellStyle name="集計 8 2 4 2 5 3" xfId="46650"/>
    <cellStyle name="集計 8 2 4 2 5 3 2" xfId="46651"/>
    <cellStyle name="集計 8 2 4 2 5 3 3" xfId="46652"/>
    <cellStyle name="集計 8 2 4 2 5 4" xfId="46653"/>
    <cellStyle name="集計 8 2 4 2 5 4 2" xfId="46654"/>
    <cellStyle name="集計 8 2 4 2 5 4 3" xfId="46655"/>
    <cellStyle name="集計 8 2 4 2 5 5" xfId="46656"/>
    <cellStyle name="集計 8 2 4 2 5 6" xfId="46657"/>
    <cellStyle name="集計 8 2 4 2 6" xfId="46658"/>
    <cellStyle name="集計 8 2 4 2 6 2" xfId="46659"/>
    <cellStyle name="集計 8 2 4 2 6 3" xfId="46660"/>
    <cellStyle name="集計 8 2 4 2 7" xfId="46661"/>
    <cellStyle name="集計 8 2 4 2 7 2" xfId="46662"/>
    <cellStyle name="集計 8 2 4 2 7 3" xfId="46663"/>
    <cellStyle name="集計 8 2 4 2 8" xfId="46664"/>
    <cellStyle name="集計 8 2 4 2 8 2" xfId="46665"/>
    <cellStyle name="集計 8 2 4 2 8 3" xfId="46666"/>
    <cellStyle name="集計 8 2 4 2 9" xfId="46667"/>
    <cellStyle name="集計 8 2 4 3" xfId="46668"/>
    <cellStyle name="集計 8 2 4 3 2" xfId="46669"/>
    <cellStyle name="集計 8 2 4 3 2 2" xfId="46670"/>
    <cellStyle name="集計 8 2 4 3 2 2 2" xfId="46671"/>
    <cellStyle name="集計 8 2 4 3 2 2 3" xfId="46672"/>
    <cellStyle name="集計 8 2 4 3 2 3" xfId="46673"/>
    <cellStyle name="集計 8 2 4 3 2 3 2" xfId="46674"/>
    <cellStyle name="集計 8 2 4 3 2 3 3" xfId="46675"/>
    <cellStyle name="集計 8 2 4 3 2 4" xfId="46676"/>
    <cellStyle name="集計 8 2 4 3 2 4 2" xfId="46677"/>
    <cellStyle name="集計 8 2 4 3 2 4 3" xfId="46678"/>
    <cellStyle name="集計 8 2 4 3 2 5" xfId="46679"/>
    <cellStyle name="集計 8 2 4 3 2 6" xfId="46680"/>
    <cellStyle name="集計 8 2 4 3 3" xfId="46681"/>
    <cellStyle name="集計 8 2 4 3 3 2" xfId="46682"/>
    <cellStyle name="集計 8 2 4 3 3 3" xfId="46683"/>
    <cellStyle name="集計 8 2 4 3 4" xfId="46684"/>
    <cellStyle name="集計 8 2 4 3 4 2" xfId="46685"/>
    <cellStyle name="集計 8 2 4 3 4 3" xfId="46686"/>
    <cellStyle name="集計 8 2 4 3 5" xfId="46687"/>
    <cellStyle name="集計 8 2 4 3 5 2" xfId="46688"/>
    <cellStyle name="集計 8 2 4 3 5 3" xfId="46689"/>
    <cellStyle name="集計 8 2 4 3 6" xfId="46690"/>
    <cellStyle name="集計 8 2 4 3 7" xfId="46691"/>
    <cellStyle name="集計 8 2 4 4" xfId="46692"/>
    <cellStyle name="集計 8 2 4 4 2" xfId="46693"/>
    <cellStyle name="集計 8 2 4 4 2 2" xfId="46694"/>
    <cellStyle name="集計 8 2 4 4 2 2 2" xfId="46695"/>
    <cellStyle name="集計 8 2 4 4 2 2 3" xfId="46696"/>
    <cellStyle name="集計 8 2 4 4 2 3" xfId="46697"/>
    <cellStyle name="集計 8 2 4 4 2 3 2" xfId="46698"/>
    <cellStyle name="集計 8 2 4 4 2 3 3" xfId="46699"/>
    <cellStyle name="集計 8 2 4 4 2 4" xfId="46700"/>
    <cellStyle name="集計 8 2 4 4 2 4 2" xfId="46701"/>
    <cellStyle name="集計 8 2 4 4 2 4 3" xfId="46702"/>
    <cellStyle name="集計 8 2 4 4 2 5" xfId="46703"/>
    <cellStyle name="集計 8 2 4 4 2 6" xfId="46704"/>
    <cellStyle name="集計 8 2 4 4 3" xfId="46705"/>
    <cellStyle name="集計 8 2 4 4 3 2" xfId="46706"/>
    <cellStyle name="集計 8 2 4 4 3 3" xfId="46707"/>
    <cellStyle name="集計 8 2 4 4 4" xfId="46708"/>
    <cellStyle name="集計 8 2 4 4 4 2" xfId="46709"/>
    <cellStyle name="集計 8 2 4 4 4 3" xfId="46710"/>
    <cellStyle name="集計 8 2 4 4 5" xfId="46711"/>
    <cellStyle name="集計 8 2 4 4 5 2" xfId="46712"/>
    <cellStyle name="集計 8 2 4 4 5 3" xfId="46713"/>
    <cellStyle name="集計 8 2 4 4 6" xfId="46714"/>
    <cellStyle name="集計 8 2 4 4 7" xfId="46715"/>
    <cellStyle name="集計 8 2 4 5" xfId="46716"/>
    <cellStyle name="集計 8 2 4 5 2" xfId="46717"/>
    <cellStyle name="集計 8 2 4 5 2 2" xfId="46718"/>
    <cellStyle name="集計 8 2 4 5 2 3" xfId="46719"/>
    <cellStyle name="集計 8 2 4 5 3" xfId="46720"/>
    <cellStyle name="集計 8 2 4 5 3 2" xfId="46721"/>
    <cellStyle name="集計 8 2 4 5 3 3" xfId="46722"/>
    <cellStyle name="集計 8 2 4 5 4" xfId="46723"/>
    <cellStyle name="集計 8 2 4 5 4 2" xfId="46724"/>
    <cellStyle name="集計 8 2 4 5 4 3" xfId="46725"/>
    <cellStyle name="集計 8 2 4 5 5" xfId="46726"/>
    <cellStyle name="集計 8 2 4 5 6" xfId="46727"/>
    <cellStyle name="集計 8 2 4 6" xfId="46728"/>
    <cellStyle name="集計 8 2 4 6 2" xfId="46729"/>
    <cellStyle name="集計 8 2 4 6 3" xfId="46730"/>
    <cellStyle name="集計 8 2 4 7" xfId="46731"/>
    <cellStyle name="集計 8 2 4 7 2" xfId="46732"/>
    <cellStyle name="集計 8 2 4 7 3" xfId="46733"/>
    <cellStyle name="集計 8 2 4 8" xfId="46734"/>
    <cellStyle name="集計 8 2 4 8 2" xfId="46735"/>
    <cellStyle name="集計 8 2 4 8 3" xfId="46736"/>
    <cellStyle name="集計 8 2 4 9" xfId="46737"/>
    <cellStyle name="集計 8 2 5" xfId="46738"/>
    <cellStyle name="集計 8 2 5 10" xfId="46739"/>
    <cellStyle name="集計 8 2 5 2" xfId="46740"/>
    <cellStyle name="集計 8 2 5 2 2" xfId="46741"/>
    <cellStyle name="集計 8 2 5 2 2 2" xfId="46742"/>
    <cellStyle name="集計 8 2 5 2 2 2 2" xfId="46743"/>
    <cellStyle name="集計 8 2 5 2 2 2 2 2" xfId="46744"/>
    <cellStyle name="集計 8 2 5 2 2 2 2 3" xfId="46745"/>
    <cellStyle name="集計 8 2 5 2 2 2 3" xfId="46746"/>
    <cellStyle name="集計 8 2 5 2 2 2 3 2" xfId="46747"/>
    <cellStyle name="集計 8 2 5 2 2 2 3 3" xfId="46748"/>
    <cellStyle name="集計 8 2 5 2 2 2 4" xfId="46749"/>
    <cellStyle name="集計 8 2 5 2 2 2 4 2" xfId="46750"/>
    <cellStyle name="集計 8 2 5 2 2 2 4 3" xfId="46751"/>
    <cellStyle name="集計 8 2 5 2 2 2 5" xfId="46752"/>
    <cellStyle name="集計 8 2 5 2 2 2 6" xfId="46753"/>
    <cellStyle name="集計 8 2 5 2 2 3" xfId="46754"/>
    <cellStyle name="集計 8 2 5 2 2 3 2" xfId="46755"/>
    <cellStyle name="集計 8 2 5 2 2 3 3" xfId="46756"/>
    <cellStyle name="集計 8 2 5 2 2 4" xfId="46757"/>
    <cellStyle name="集計 8 2 5 2 2 4 2" xfId="46758"/>
    <cellStyle name="集計 8 2 5 2 2 4 3" xfId="46759"/>
    <cellStyle name="集計 8 2 5 2 2 5" xfId="46760"/>
    <cellStyle name="集計 8 2 5 2 2 5 2" xfId="46761"/>
    <cellStyle name="集計 8 2 5 2 2 5 3" xfId="46762"/>
    <cellStyle name="集計 8 2 5 2 2 6" xfId="46763"/>
    <cellStyle name="集計 8 2 5 2 2 7" xfId="46764"/>
    <cellStyle name="集計 8 2 5 2 3" xfId="46765"/>
    <cellStyle name="集計 8 2 5 2 3 2" xfId="46766"/>
    <cellStyle name="集計 8 2 5 2 3 2 2" xfId="46767"/>
    <cellStyle name="集計 8 2 5 2 3 2 2 2" xfId="46768"/>
    <cellStyle name="集計 8 2 5 2 3 2 2 3" xfId="46769"/>
    <cellStyle name="集計 8 2 5 2 3 2 3" xfId="46770"/>
    <cellStyle name="集計 8 2 5 2 3 2 3 2" xfId="46771"/>
    <cellStyle name="集計 8 2 5 2 3 2 3 3" xfId="46772"/>
    <cellStyle name="集計 8 2 5 2 3 2 4" xfId="46773"/>
    <cellStyle name="集計 8 2 5 2 3 2 4 2" xfId="46774"/>
    <cellStyle name="集計 8 2 5 2 3 2 4 3" xfId="46775"/>
    <cellStyle name="集計 8 2 5 2 3 2 5" xfId="46776"/>
    <cellStyle name="集計 8 2 5 2 3 2 6" xfId="46777"/>
    <cellStyle name="集計 8 2 5 2 3 3" xfId="46778"/>
    <cellStyle name="集計 8 2 5 2 3 3 2" xfId="46779"/>
    <cellStyle name="集計 8 2 5 2 3 3 3" xfId="46780"/>
    <cellStyle name="集計 8 2 5 2 3 4" xfId="46781"/>
    <cellStyle name="集計 8 2 5 2 3 4 2" xfId="46782"/>
    <cellStyle name="集計 8 2 5 2 3 4 3" xfId="46783"/>
    <cellStyle name="集計 8 2 5 2 3 5" xfId="46784"/>
    <cellStyle name="集計 8 2 5 2 3 5 2" xfId="46785"/>
    <cellStyle name="集計 8 2 5 2 3 5 3" xfId="46786"/>
    <cellStyle name="集計 8 2 5 2 3 6" xfId="46787"/>
    <cellStyle name="集計 8 2 5 2 3 7" xfId="46788"/>
    <cellStyle name="集計 8 2 5 2 4" xfId="46789"/>
    <cellStyle name="集計 8 2 5 2 4 2" xfId="46790"/>
    <cellStyle name="集計 8 2 5 2 4 2 2" xfId="46791"/>
    <cellStyle name="集計 8 2 5 2 4 2 3" xfId="46792"/>
    <cellStyle name="集計 8 2 5 2 4 3" xfId="46793"/>
    <cellStyle name="集計 8 2 5 2 4 3 2" xfId="46794"/>
    <cellStyle name="集計 8 2 5 2 4 3 3" xfId="46795"/>
    <cellStyle name="集計 8 2 5 2 4 4" xfId="46796"/>
    <cellStyle name="集計 8 2 5 2 4 4 2" xfId="46797"/>
    <cellStyle name="集計 8 2 5 2 4 4 3" xfId="46798"/>
    <cellStyle name="集計 8 2 5 2 4 5" xfId="46799"/>
    <cellStyle name="集計 8 2 5 2 4 6" xfId="46800"/>
    <cellStyle name="集計 8 2 5 2 5" xfId="46801"/>
    <cellStyle name="集計 8 2 5 2 5 2" xfId="46802"/>
    <cellStyle name="集計 8 2 5 2 5 3" xfId="46803"/>
    <cellStyle name="集計 8 2 5 2 6" xfId="46804"/>
    <cellStyle name="集計 8 2 5 2 6 2" xfId="46805"/>
    <cellStyle name="集計 8 2 5 2 6 3" xfId="46806"/>
    <cellStyle name="集計 8 2 5 2 7" xfId="46807"/>
    <cellStyle name="集計 8 2 5 2 7 2" xfId="46808"/>
    <cellStyle name="集計 8 2 5 2 7 3" xfId="46809"/>
    <cellStyle name="集計 8 2 5 2 8" xfId="46810"/>
    <cellStyle name="集計 8 2 5 2 9" xfId="46811"/>
    <cellStyle name="集計 8 2 5 3" xfId="46812"/>
    <cellStyle name="集計 8 2 5 3 2" xfId="46813"/>
    <cellStyle name="集計 8 2 5 3 2 2" xfId="46814"/>
    <cellStyle name="集計 8 2 5 3 2 2 2" xfId="46815"/>
    <cellStyle name="集計 8 2 5 3 2 2 3" xfId="46816"/>
    <cellStyle name="集計 8 2 5 3 2 3" xfId="46817"/>
    <cellStyle name="集計 8 2 5 3 2 3 2" xfId="46818"/>
    <cellStyle name="集計 8 2 5 3 2 3 3" xfId="46819"/>
    <cellStyle name="集計 8 2 5 3 2 4" xfId="46820"/>
    <cellStyle name="集計 8 2 5 3 2 4 2" xfId="46821"/>
    <cellStyle name="集計 8 2 5 3 2 4 3" xfId="46822"/>
    <cellStyle name="集計 8 2 5 3 2 5" xfId="46823"/>
    <cellStyle name="集計 8 2 5 3 2 6" xfId="46824"/>
    <cellStyle name="集計 8 2 5 3 3" xfId="46825"/>
    <cellStyle name="集計 8 2 5 3 3 2" xfId="46826"/>
    <cellStyle name="集計 8 2 5 3 3 3" xfId="46827"/>
    <cellStyle name="集計 8 2 5 3 4" xfId="46828"/>
    <cellStyle name="集計 8 2 5 3 4 2" xfId="46829"/>
    <cellStyle name="集計 8 2 5 3 4 3" xfId="46830"/>
    <cellStyle name="集計 8 2 5 3 5" xfId="46831"/>
    <cellStyle name="集計 8 2 5 3 5 2" xfId="46832"/>
    <cellStyle name="集計 8 2 5 3 5 3" xfId="46833"/>
    <cellStyle name="集計 8 2 5 3 6" xfId="46834"/>
    <cellStyle name="集計 8 2 5 3 7" xfId="46835"/>
    <cellStyle name="集計 8 2 5 4" xfId="46836"/>
    <cellStyle name="集計 8 2 5 4 2" xfId="46837"/>
    <cellStyle name="集計 8 2 5 4 2 2" xfId="46838"/>
    <cellStyle name="集計 8 2 5 4 2 2 2" xfId="46839"/>
    <cellStyle name="集計 8 2 5 4 2 2 3" xfId="46840"/>
    <cellStyle name="集計 8 2 5 4 2 3" xfId="46841"/>
    <cellStyle name="集計 8 2 5 4 2 3 2" xfId="46842"/>
    <cellStyle name="集計 8 2 5 4 2 3 3" xfId="46843"/>
    <cellStyle name="集計 8 2 5 4 2 4" xfId="46844"/>
    <cellStyle name="集計 8 2 5 4 2 4 2" xfId="46845"/>
    <cellStyle name="集計 8 2 5 4 2 4 3" xfId="46846"/>
    <cellStyle name="集計 8 2 5 4 2 5" xfId="46847"/>
    <cellStyle name="集計 8 2 5 4 2 6" xfId="46848"/>
    <cellStyle name="集計 8 2 5 4 3" xfId="46849"/>
    <cellStyle name="集計 8 2 5 4 3 2" xfId="46850"/>
    <cellStyle name="集計 8 2 5 4 3 3" xfId="46851"/>
    <cellStyle name="集計 8 2 5 4 4" xfId="46852"/>
    <cellStyle name="集計 8 2 5 4 4 2" xfId="46853"/>
    <cellStyle name="集計 8 2 5 4 4 3" xfId="46854"/>
    <cellStyle name="集計 8 2 5 4 5" xfId="46855"/>
    <cellStyle name="集計 8 2 5 4 5 2" xfId="46856"/>
    <cellStyle name="集計 8 2 5 4 5 3" xfId="46857"/>
    <cellStyle name="集計 8 2 5 4 6" xfId="46858"/>
    <cellStyle name="集計 8 2 5 4 7" xfId="46859"/>
    <cellStyle name="集計 8 2 5 5" xfId="46860"/>
    <cellStyle name="集計 8 2 5 5 2" xfId="46861"/>
    <cellStyle name="集計 8 2 5 5 2 2" xfId="46862"/>
    <cellStyle name="集計 8 2 5 5 2 3" xfId="46863"/>
    <cellStyle name="集計 8 2 5 5 3" xfId="46864"/>
    <cellStyle name="集計 8 2 5 5 3 2" xfId="46865"/>
    <cellStyle name="集計 8 2 5 5 3 3" xfId="46866"/>
    <cellStyle name="集計 8 2 5 5 4" xfId="46867"/>
    <cellStyle name="集計 8 2 5 5 4 2" xfId="46868"/>
    <cellStyle name="集計 8 2 5 5 4 3" xfId="46869"/>
    <cellStyle name="集計 8 2 5 5 5" xfId="46870"/>
    <cellStyle name="集計 8 2 5 5 6" xfId="46871"/>
    <cellStyle name="集計 8 2 5 6" xfId="46872"/>
    <cellStyle name="集計 8 2 5 6 2" xfId="46873"/>
    <cellStyle name="集計 8 2 5 6 3" xfId="46874"/>
    <cellStyle name="集計 8 2 5 7" xfId="46875"/>
    <cellStyle name="集計 8 2 5 7 2" xfId="46876"/>
    <cellStyle name="集計 8 2 5 7 3" xfId="46877"/>
    <cellStyle name="集計 8 2 5 8" xfId="46878"/>
    <cellStyle name="集計 8 2 5 8 2" xfId="46879"/>
    <cellStyle name="集計 8 2 5 8 3" xfId="46880"/>
    <cellStyle name="集計 8 2 5 9" xfId="46881"/>
    <cellStyle name="集計 8 2 6" xfId="46882"/>
    <cellStyle name="集計 8 2 6 10" xfId="46883"/>
    <cellStyle name="集計 8 2 6 2" xfId="46884"/>
    <cellStyle name="集計 8 2 6 2 2" xfId="46885"/>
    <cellStyle name="集計 8 2 6 2 2 2" xfId="46886"/>
    <cellStyle name="集計 8 2 6 2 2 2 2" xfId="46887"/>
    <cellStyle name="集計 8 2 6 2 2 2 2 2" xfId="46888"/>
    <cellStyle name="集計 8 2 6 2 2 2 2 3" xfId="46889"/>
    <cellStyle name="集計 8 2 6 2 2 2 3" xfId="46890"/>
    <cellStyle name="集計 8 2 6 2 2 2 3 2" xfId="46891"/>
    <cellStyle name="集計 8 2 6 2 2 2 3 3" xfId="46892"/>
    <cellStyle name="集計 8 2 6 2 2 2 4" xfId="46893"/>
    <cellStyle name="集計 8 2 6 2 2 2 4 2" xfId="46894"/>
    <cellStyle name="集計 8 2 6 2 2 2 4 3" xfId="46895"/>
    <cellStyle name="集計 8 2 6 2 2 2 5" xfId="46896"/>
    <cellStyle name="集計 8 2 6 2 2 2 6" xfId="46897"/>
    <cellStyle name="集計 8 2 6 2 2 3" xfId="46898"/>
    <cellStyle name="集計 8 2 6 2 2 3 2" xfId="46899"/>
    <cellStyle name="集計 8 2 6 2 2 3 3" xfId="46900"/>
    <cellStyle name="集計 8 2 6 2 2 4" xfId="46901"/>
    <cellStyle name="集計 8 2 6 2 2 4 2" xfId="46902"/>
    <cellStyle name="集計 8 2 6 2 2 4 3" xfId="46903"/>
    <cellStyle name="集計 8 2 6 2 2 5" xfId="46904"/>
    <cellStyle name="集計 8 2 6 2 2 5 2" xfId="46905"/>
    <cellStyle name="集計 8 2 6 2 2 5 3" xfId="46906"/>
    <cellStyle name="集計 8 2 6 2 2 6" xfId="46907"/>
    <cellStyle name="集計 8 2 6 2 2 7" xfId="46908"/>
    <cellStyle name="集計 8 2 6 2 3" xfId="46909"/>
    <cellStyle name="集計 8 2 6 2 3 2" xfId="46910"/>
    <cellStyle name="集計 8 2 6 2 3 2 2" xfId="46911"/>
    <cellStyle name="集計 8 2 6 2 3 2 2 2" xfId="46912"/>
    <cellStyle name="集計 8 2 6 2 3 2 2 3" xfId="46913"/>
    <cellStyle name="集計 8 2 6 2 3 2 3" xfId="46914"/>
    <cellStyle name="集計 8 2 6 2 3 2 3 2" xfId="46915"/>
    <cellStyle name="集計 8 2 6 2 3 2 3 3" xfId="46916"/>
    <cellStyle name="集計 8 2 6 2 3 2 4" xfId="46917"/>
    <cellStyle name="集計 8 2 6 2 3 2 4 2" xfId="46918"/>
    <cellStyle name="集計 8 2 6 2 3 2 4 3" xfId="46919"/>
    <cellStyle name="集計 8 2 6 2 3 2 5" xfId="46920"/>
    <cellStyle name="集計 8 2 6 2 3 2 6" xfId="46921"/>
    <cellStyle name="集計 8 2 6 2 3 3" xfId="46922"/>
    <cellStyle name="集計 8 2 6 2 3 3 2" xfId="46923"/>
    <cellStyle name="集計 8 2 6 2 3 3 3" xfId="46924"/>
    <cellStyle name="集計 8 2 6 2 3 4" xfId="46925"/>
    <cellStyle name="集計 8 2 6 2 3 4 2" xfId="46926"/>
    <cellStyle name="集計 8 2 6 2 3 4 3" xfId="46927"/>
    <cellStyle name="集計 8 2 6 2 3 5" xfId="46928"/>
    <cellStyle name="集計 8 2 6 2 3 5 2" xfId="46929"/>
    <cellStyle name="集計 8 2 6 2 3 5 3" xfId="46930"/>
    <cellStyle name="集計 8 2 6 2 3 6" xfId="46931"/>
    <cellStyle name="集計 8 2 6 2 3 7" xfId="46932"/>
    <cellStyle name="集計 8 2 6 2 4" xfId="46933"/>
    <cellStyle name="集計 8 2 6 2 4 2" xfId="46934"/>
    <cellStyle name="集計 8 2 6 2 4 2 2" xfId="46935"/>
    <cellStyle name="集計 8 2 6 2 4 2 3" xfId="46936"/>
    <cellStyle name="集計 8 2 6 2 4 3" xfId="46937"/>
    <cellStyle name="集計 8 2 6 2 4 3 2" xfId="46938"/>
    <cellStyle name="集計 8 2 6 2 4 3 3" xfId="46939"/>
    <cellStyle name="集計 8 2 6 2 4 4" xfId="46940"/>
    <cellStyle name="集計 8 2 6 2 4 4 2" xfId="46941"/>
    <cellStyle name="集計 8 2 6 2 4 4 3" xfId="46942"/>
    <cellStyle name="集計 8 2 6 2 4 5" xfId="46943"/>
    <cellStyle name="集計 8 2 6 2 4 6" xfId="46944"/>
    <cellStyle name="集計 8 2 6 2 5" xfId="46945"/>
    <cellStyle name="集計 8 2 6 2 5 2" xfId="46946"/>
    <cellStyle name="集計 8 2 6 2 5 3" xfId="46947"/>
    <cellStyle name="集計 8 2 6 2 6" xfId="46948"/>
    <cellStyle name="集計 8 2 6 2 6 2" xfId="46949"/>
    <cellStyle name="集計 8 2 6 2 6 3" xfId="46950"/>
    <cellStyle name="集計 8 2 6 2 7" xfId="46951"/>
    <cellStyle name="集計 8 2 6 2 7 2" xfId="46952"/>
    <cellStyle name="集計 8 2 6 2 7 3" xfId="46953"/>
    <cellStyle name="集計 8 2 6 2 8" xfId="46954"/>
    <cellStyle name="集計 8 2 6 2 9" xfId="46955"/>
    <cellStyle name="集計 8 2 6 3" xfId="46956"/>
    <cellStyle name="集計 8 2 6 3 2" xfId="46957"/>
    <cellStyle name="集計 8 2 6 3 2 2" xfId="46958"/>
    <cellStyle name="集計 8 2 6 3 2 2 2" xfId="46959"/>
    <cellStyle name="集計 8 2 6 3 2 2 3" xfId="46960"/>
    <cellStyle name="集計 8 2 6 3 2 3" xfId="46961"/>
    <cellStyle name="集計 8 2 6 3 2 3 2" xfId="46962"/>
    <cellStyle name="集計 8 2 6 3 2 3 3" xfId="46963"/>
    <cellStyle name="集計 8 2 6 3 2 4" xfId="46964"/>
    <cellStyle name="集計 8 2 6 3 2 4 2" xfId="46965"/>
    <cellStyle name="集計 8 2 6 3 2 4 3" xfId="46966"/>
    <cellStyle name="集計 8 2 6 3 2 5" xfId="46967"/>
    <cellStyle name="集計 8 2 6 3 2 6" xfId="46968"/>
    <cellStyle name="集計 8 2 6 3 3" xfId="46969"/>
    <cellStyle name="集計 8 2 6 3 3 2" xfId="46970"/>
    <cellStyle name="集計 8 2 6 3 3 3" xfId="46971"/>
    <cellStyle name="集計 8 2 6 3 4" xfId="46972"/>
    <cellStyle name="集計 8 2 6 3 4 2" xfId="46973"/>
    <cellStyle name="集計 8 2 6 3 4 3" xfId="46974"/>
    <cellStyle name="集計 8 2 6 3 5" xfId="46975"/>
    <cellStyle name="集計 8 2 6 3 5 2" xfId="46976"/>
    <cellStyle name="集計 8 2 6 3 5 3" xfId="46977"/>
    <cellStyle name="集計 8 2 6 3 6" xfId="46978"/>
    <cellStyle name="集計 8 2 6 3 7" xfId="46979"/>
    <cellStyle name="集計 8 2 6 4" xfId="46980"/>
    <cellStyle name="集計 8 2 6 4 2" xfId="46981"/>
    <cellStyle name="集計 8 2 6 4 2 2" xfId="46982"/>
    <cellStyle name="集計 8 2 6 4 2 2 2" xfId="46983"/>
    <cellStyle name="集計 8 2 6 4 2 2 3" xfId="46984"/>
    <cellStyle name="集計 8 2 6 4 2 3" xfId="46985"/>
    <cellStyle name="集計 8 2 6 4 2 3 2" xfId="46986"/>
    <cellStyle name="集計 8 2 6 4 2 3 3" xfId="46987"/>
    <cellStyle name="集計 8 2 6 4 2 4" xfId="46988"/>
    <cellStyle name="集計 8 2 6 4 2 4 2" xfId="46989"/>
    <cellStyle name="集計 8 2 6 4 2 4 3" xfId="46990"/>
    <cellStyle name="集計 8 2 6 4 2 5" xfId="46991"/>
    <cellStyle name="集計 8 2 6 4 2 6" xfId="46992"/>
    <cellStyle name="集計 8 2 6 4 3" xfId="46993"/>
    <cellStyle name="集計 8 2 6 4 3 2" xfId="46994"/>
    <cellStyle name="集計 8 2 6 4 3 3" xfId="46995"/>
    <cellStyle name="集計 8 2 6 4 4" xfId="46996"/>
    <cellStyle name="集計 8 2 6 4 4 2" xfId="46997"/>
    <cellStyle name="集計 8 2 6 4 4 3" xfId="46998"/>
    <cellStyle name="集計 8 2 6 4 5" xfId="46999"/>
    <cellStyle name="集計 8 2 6 4 5 2" xfId="47000"/>
    <cellStyle name="集計 8 2 6 4 5 3" xfId="47001"/>
    <cellStyle name="集計 8 2 6 4 6" xfId="47002"/>
    <cellStyle name="集計 8 2 6 4 7" xfId="47003"/>
    <cellStyle name="集計 8 2 6 5" xfId="47004"/>
    <cellStyle name="集計 8 2 6 5 2" xfId="47005"/>
    <cellStyle name="集計 8 2 6 5 2 2" xfId="47006"/>
    <cellStyle name="集計 8 2 6 5 2 3" xfId="47007"/>
    <cellStyle name="集計 8 2 6 5 3" xfId="47008"/>
    <cellStyle name="集計 8 2 6 5 3 2" xfId="47009"/>
    <cellStyle name="集計 8 2 6 5 3 3" xfId="47010"/>
    <cellStyle name="集計 8 2 6 5 4" xfId="47011"/>
    <cellStyle name="集計 8 2 6 5 4 2" xfId="47012"/>
    <cellStyle name="集計 8 2 6 5 4 3" xfId="47013"/>
    <cellStyle name="集計 8 2 6 5 5" xfId="47014"/>
    <cellStyle name="集計 8 2 6 5 6" xfId="47015"/>
    <cellStyle name="集計 8 2 6 6" xfId="47016"/>
    <cellStyle name="集計 8 2 6 6 2" xfId="47017"/>
    <cellStyle name="集計 8 2 6 6 3" xfId="47018"/>
    <cellStyle name="集計 8 2 6 7" xfId="47019"/>
    <cellStyle name="集計 8 2 6 7 2" xfId="47020"/>
    <cellStyle name="集計 8 2 6 7 3" xfId="47021"/>
    <cellStyle name="集計 8 2 6 8" xfId="47022"/>
    <cellStyle name="集計 8 2 6 8 2" xfId="47023"/>
    <cellStyle name="集計 8 2 6 8 3" xfId="47024"/>
    <cellStyle name="集計 8 2 6 9" xfId="47025"/>
    <cellStyle name="集計 8 2 7" xfId="47026"/>
    <cellStyle name="集計 8 2 7 2" xfId="47027"/>
    <cellStyle name="集計 8 2 7 2 2" xfId="47028"/>
    <cellStyle name="集計 8 2 7 2 2 2" xfId="47029"/>
    <cellStyle name="集計 8 2 7 2 2 3" xfId="47030"/>
    <cellStyle name="集計 8 2 7 2 3" xfId="47031"/>
    <cellStyle name="集計 8 2 7 2 3 2" xfId="47032"/>
    <cellStyle name="集計 8 2 7 2 3 3" xfId="47033"/>
    <cellStyle name="集計 8 2 7 2 4" xfId="47034"/>
    <cellStyle name="集計 8 2 7 2 4 2" xfId="47035"/>
    <cellStyle name="集計 8 2 7 2 4 3" xfId="47036"/>
    <cellStyle name="集計 8 2 7 2 5" xfId="47037"/>
    <cellStyle name="集計 8 2 7 2 6" xfId="47038"/>
    <cellStyle name="集計 8 2 7 3" xfId="47039"/>
    <cellStyle name="集計 8 2 7 3 2" xfId="47040"/>
    <cellStyle name="集計 8 2 7 3 3" xfId="47041"/>
    <cellStyle name="集計 8 2 7 4" xfId="47042"/>
    <cellStyle name="集計 8 2 7 4 2" xfId="47043"/>
    <cellStyle name="集計 8 2 7 4 3" xfId="47044"/>
    <cellStyle name="集計 8 2 7 5" xfId="47045"/>
    <cellStyle name="集計 8 2 7 5 2" xfId="47046"/>
    <cellStyle name="集計 8 2 7 5 3" xfId="47047"/>
    <cellStyle name="集計 8 2 7 6" xfId="47048"/>
    <cellStyle name="集計 8 2 7 7" xfId="47049"/>
    <cellStyle name="集計 8 2 8" xfId="47050"/>
    <cellStyle name="集計 8 2 8 2" xfId="47051"/>
    <cellStyle name="集計 8 2 8 2 2" xfId="47052"/>
    <cellStyle name="集計 8 2 8 2 2 2" xfId="47053"/>
    <cellStyle name="集計 8 2 8 2 2 3" xfId="47054"/>
    <cellStyle name="集計 8 2 8 2 3" xfId="47055"/>
    <cellStyle name="集計 8 2 8 2 3 2" xfId="47056"/>
    <cellStyle name="集計 8 2 8 2 3 3" xfId="47057"/>
    <cellStyle name="集計 8 2 8 2 4" xfId="47058"/>
    <cellStyle name="集計 8 2 8 2 4 2" xfId="47059"/>
    <cellStyle name="集計 8 2 8 2 4 3" xfId="47060"/>
    <cellStyle name="集計 8 2 8 2 5" xfId="47061"/>
    <cellStyle name="集計 8 2 8 2 6" xfId="47062"/>
    <cellStyle name="集計 8 2 8 3" xfId="47063"/>
    <cellStyle name="集計 8 2 8 3 2" xfId="47064"/>
    <cellStyle name="集計 8 2 8 3 3" xfId="47065"/>
    <cellStyle name="集計 8 2 8 4" xfId="47066"/>
    <cellStyle name="集計 8 2 8 4 2" xfId="47067"/>
    <cellStyle name="集計 8 2 8 4 3" xfId="47068"/>
    <cellStyle name="集計 8 2 8 5" xfId="47069"/>
    <cellStyle name="集計 8 2 8 5 2" xfId="47070"/>
    <cellStyle name="集計 8 2 8 5 3" xfId="47071"/>
    <cellStyle name="集計 8 2 8 6" xfId="47072"/>
    <cellStyle name="集計 8 2 8 7" xfId="47073"/>
    <cellStyle name="集計 8 2 9" xfId="47074"/>
    <cellStyle name="集計 8 2 9 2" xfId="47075"/>
    <cellStyle name="集計 8 2 9 2 2" xfId="47076"/>
    <cellStyle name="集計 8 2 9 2 3" xfId="47077"/>
    <cellStyle name="集計 8 2 9 3" xfId="47078"/>
    <cellStyle name="集計 8 2 9 3 2" xfId="47079"/>
    <cellStyle name="集計 8 2 9 3 3" xfId="47080"/>
    <cellStyle name="集計 8 2 9 4" xfId="47081"/>
    <cellStyle name="集計 8 2 9 4 2" xfId="47082"/>
    <cellStyle name="集計 8 2 9 4 3" xfId="47083"/>
    <cellStyle name="集計 8 2 9 5" xfId="47084"/>
    <cellStyle name="集計 8 2 9 6" xfId="47085"/>
    <cellStyle name="集計 8 3" xfId="47086"/>
    <cellStyle name="集計 8 3 10" xfId="47087"/>
    <cellStyle name="集計 8 3 2" xfId="47088"/>
    <cellStyle name="集計 8 3 2 10" xfId="47089"/>
    <cellStyle name="集計 8 3 2 2" xfId="47090"/>
    <cellStyle name="集計 8 3 2 2 2" xfId="47091"/>
    <cellStyle name="集計 8 3 2 2 2 2" xfId="47092"/>
    <cellStyle name="集計 8 3 2 2 2 2 2" xfId="47093"/>
    <cellStyle name="集計 8 3 2 2 2 2 2 2" xfId="47094"/>
    <cellStyle name="集計 8 3 2 2 2 2 2 3" xfId="47095"/>
    <cellStyle name="集計 8 3 2 2 2 2 3" xfId="47096"/>
    <cellStyle name="集計 8 3 2 2 2 2 3 2" xfId="47097"/>
    <cellStyle name="集計 8 3 2 2 2 2 3 3" xfId="47098"/>
    <cellStyle name="集計 8 3 2 2 2 2 4" xfId="47099"/>
    <cellStyle name="集計 8 3 2 2 2 2 4 2" xfId="47100"/>
    <cellStyle name="集計 8 3 2 2 2 2 4 3" xfId="47101"/>
    <cellStyle name="集計 8 3 2 2 2 2 5" xfId="47102"/>
    <cellStyle name="集計 8 3 2 2 2 2 6" xfId="47103"/>
    <cellStyle name="集計 8 3 2 2 2 3" xfId="47104"/>
    <cellStyle name="集計 8 3 2 2 2 3 2" xfId="47105"/>
    <cellStyle name="集計 8 3 2 2 2 3 3" xfId="47106"/>
    <cellStyle name="集計 8 3 2 2 2 4" xfId="47107"/>
    <cellStyle name="集計 8 3 2 2 2 4 2" xfId="47108"/>
    <cellStyle name="集計 8 3 2 2 2 4 3" xfId="47109"/>
    <cellStyle name="集計 8 3 2 2 2 5" xfId="47110"/>
    <cellStyle name="集計 8 3 2 2 2 5 2" xfId="47111"/>
    <cellStyle name="集計 8 3 2 2 2 5 3" xfId="47112"/>
    <cellStyle name="集計 8 3 2 2 2 6" xfId="47113"/>
    <cellStyle name="集計 8 3 2 2 2 7" xfId="47114"/>
    <cellStyle name="集計 8 3 2 2 3" xfId="47115"/>
    <cellStyle name="集計 8 3 2 2 3 2" xfId="47116"/>
    <cellStyle name="集計 8 3 2 2 3 2 2" xfId="47117"/>
    <cellStyle name="集計 8 3 2 2 3 2 2 2" xfId="47118"/>
    <cellStyle name="集計 8 3 2 2 3 2 2 3" xfId="47119"/>
    <cellStyle name="集計 8 3 2 2 3 2 3" xfId="47120"/>
    <cellStyle name="集計 8 3 2 2 3 2 3 2" xfId="47121"/>
    <cellStyle name="集計 8 3 2 2 3 2 3 3" xfId="47122"/>
    <cellStyle name="集計 8 3 2 2 3 2 4" xfId="47123"/>
    <cellStyle name="集計 8 3 2 2 3 2 4 2" xfId="47124"/>
    <cellStyle name="集計 8 3 2 2 3 2 4 3" xfId="47125"/>
    <cellStyle name="集計 8 3 2 2 3 2 5" xfId="47126"/>
    <cellStyle name="集計 8 3 2 2 3 2 6" xfId="47127"/>
    <cellStyle name="集計 8 3 2 2 3 3" xfId="47128"/>
    <cellStyle name="集計 8 3 2 2 3 3 2" xfId="47129"/>
    <cellStyle name="集計 8 3 2 2 3 3 3" xfId="47130"/>
    <cellStyle name="集計 8 3 2 2 3 4" xfId="47131"/>
    <cellStyle name="集計 8 3 2 2 3 4 2" xfId="47132"/>
    <cellStyle name="集計 8 3 2 2 3 4 3" xfId="47133"/>
    <cellStyle name="集計 8 3 2 2 3 5" xfId="47134"/>
    <cellStyle name="集計 8 3 2 2 3 5 2" xfId="47135"/>
    <cellStyle name="集計 8 3 2 2 3 5 3" xfId="47136"/>
    <cellStyle name="集計 8 3 2 2 3 6" xfId="47137"/>
    <cellStyle name="集計 8 3 2 2 3 7" xfId="47138"/>
    <cellStyle name="集計 8 3 2 2 4" xfId="47139"/>
    <cellStyle name="集計 8 3 2 2 4 2" xfId="47140"/>
    <cellStyle name="集計 8 3 2 2 4 2 2" xfId="47141"/>
    <cellStyle name="集計 8 3 2 2 4 2 3" xfId="47142"/>
    <cellStyle name="集計 8 3 2 2 4 3" xfId="47143"/>
    <cellStyle name="集計 8 3 2 2 4 3 2" xfId="47144"/>
    <cellStyle name="集計 8 3 2 2 4 3 3" xfId="47145"/>
    <cellStyle name="集計 8 3 2 2 4 4" xfId="47146"/>
    <cellStyle name="集計 8 3 2 2 4 4 2" xfId="47147"/>
    <cellStyle name="集計 8 3 2 2 4 4 3" xfId="47148"/>
    <cellStyle name="集計 8 3 2 2 4 5" xfId="47149"/>
    <cellStyle name="集計 8 3 2 2 4 6" xfId="47150"/>
    <cellStyle name="集計 8 3 2 2 5" xfId="47151"/>
    <cellStyle name="集計 8 3 2 2 5 2" xfId="47152"/>
    <cellStyle name="集計 8 3 2 2 5 3" xfId="47153"/>
    <cellStyle name="集計 8 3 2 2 6" xfId="47154"/>
    <cellStyle name="集計 8 3 2 2 6 2" xfId="47155"/>
    <cellStyle name="集計 8 3 2 2 6 3" xfId="47156"/>
    <cellStyle name="集計 8 3 2 2 7" xfId="47157"/>
    <cellStyle name="集計 8 3 2 2 7 2" xfId="47158"/>
    <cellStyle name="集計 8 3 2 2 7 3" xfId="47159"/>
    <cellStyle name="集計 8 3 2 2 8" xfId="47160"/>
    <cellStyle name="集計 8 3 2 2 9" xfId="47161"/>
    <cellStyle name="集計 8 3 2 3" xfId="47162"/>
    <cellStyle name="集計 8 3 2 3 2" xfId="47163"/>
    <cellStyle name="集計 8 3 2 3 2 2" xfId="47164"/>
    <cellStyle name="集計 8 3 2 3 2 2 2" xfId="47165"/>
    <cellStyle name="集計 8 3 2 3 2 2 3" xfId="47166"/>
    <cellStyle name="集計 8 3 2 3 2 3" xfId="47167"/>
    <cellStyle name="集計 8 3 2 3 2 3 2" xfId="47168"/>
    <cellStyle name="集計 8 3 2 3 2 3 3" xfId="47169"/>
    <cellStyle name="集計 8 3 2 3 2 4" xfId="47170"/>
    <cellStyle name="集計 8 3 2 3 2 4 2" xfId="47171"/>
    <cellStyle name="集計 8 3 2 3 2 4 3" xfId="47172"/>
    <cellStyle name="集計 8 3 2 3 2 5" xfId="47173"/>
    <cellStyle name="集計 8 3 2 3 2 6" xfId="47174"/>
    <cellStyle name="集計 8 3 2 3 3" xfId="47175"/>
    <cellStyle name="集計 8 3 2 3 3 2" xfId="47176"/>
    <cellStyle name="集計 8 3 2 3 3 3" xfId="47177"/>
    <cellStyle name="集計 8 3 2 3 4" xfId="47178"/>
    <cellStyle name="集計 8 3 2 3 4 2" xfId="47179"/>
    <cellStyle name="集計 8 3 2 3 4 3" xfId="47180"/>
    <cellStyle name="集計 8 3 2 3 5" xfId="47181"/>
    <cellStyle name="集計 8 3 2 3 5 2" xfId="47182"/>
    <cellStyle name="集計 8 3 2 3 5 3" xfId="47183"/>
    <cellStyle name="集計 8 3 2 3 6" xfId="47184"/>
    <cellStyle name="集計 8 3 2 3 7" xfId="47185"/>
    <cellStyle name="集計 8 3 2 4" xfId="47186"/>
    <cellStyle name="集計 8 3 2 4 2" xfId="47187"/>
    <cellStyle name="集計 8 3 2 4 2 2" xfId="47188"/>
    <cellStyle name="集計 8 3 2 4 2 2 2" xfId="47189"/>
    <cellStyle name="集計 8 3 2 4 2 2 3" xfId="47190"/>
    <cellStyle name="集計 8 3 2 4 2 3" xfId="47191"/>
    <cellStyle name="集計 8 3 2 4 2 3 2" xfId="47192"/>
    <cellStyle name="集計 8 3 2 4 2 3 3" xfId="47193"/>
    <cellStyle name="集計 8 3 2 4 2 4" xfId="47194"/>
    <cellStyle name="集計 8 3 2 4 2 4 2" xfId="47195"/>
    <cellStyle name="集計 8 3 2 4 2 4 3" xfId="47196"/>
    <cellStyle name="集計 8 3 2 4 2 5" xfId="47197"/>
    <cellStyle name="集計 8 3 2 4 2 6" xfId="47198"/>
    <cellStyle name="集計 8 3 2 4 3" xfId="47199"/>
    <cellStyle name="集計 8 3 2 4 3 2" xfId="47200"/>
    <cellStyle name="集計 8 3 2 4 3 3" xfId="47201"/>
    <cellStyle name="集計 8 3 2 4 4" xfId="47202"/>
    <cellStyle name="集計 8 3 2 4 4 2" xfId="47203"/>
    <cellStyle name="集計 8 3 2 4 4 3" xfId="47204"/>
    <cellStyle name="集計 8 3 2 4 5" xfId="47205"/>
    <cellStyle name="集計 8 3 2 4 5 2" xfId="47206"/>
    <cellStyle name="集計 8 3 2 4 5 3" xfId="47207"/>
    <cellStyle name="集計 8 3 2 4 6" xfId="47208"/>
    <cellStyle name="集計 8 3 2 4 7" xfId="47209"/>
    <cellStyle name="集計 8 3 2 5" xfId="47210"/>
    <cellStyle name="集計 8 3 2 5 2" xfId="47211"/>
    <cellStyle name="集計 8 3 2 5 2 2" xfId="47212"/>
    <cellStyle name="集計 8 3 2 5 2 3" xfId="47213"/>
    <cellStyle name="集計 8 3 2 5 3" xfId="47214"/>
    <cellStyle name="集計 8 3 2 5 3 2" xfId="47215"/>
    <cellStyle name="集計 8 3 2 5 3 3" xfId="47216"/>
    <cellStyle name="集計 8 3 2 5 4" xfId="47217"/>
    <cellStyle name="集計 8 3 2 5 4 2" xfId="47218"/>
    <cellStyle name="集計 8 3 2 5 4 3" xfId="47219"/>
    <cellStyle name="集計 8 3 2 5 5" xfId="47220"/>
    <cellStyle name="集計 8 3 2 5 6" xfId="47221"/>
    <cellStyle name="集計 8 3 2 6" xfId="47222"/>
    <cellStyle name="集計 8 3 2 6 2" xfId="47223"/>
    <cellStyle name="集計 8 3 2 6 3" xfId="47224"/>
    <cellStyle name="集計 8 3 2 7" xfId="47225"/>
    <cellStyle name="集計 8 3 2 7 2" xfId="47226"/>
    <cellStyle name="集計 8 3 2 7 3" xfId="47227"/>
    <cellStyle name="集計 8 3 2 8" xfId="47228"/>
    <cellStyle name="集計 8 3 2 8 2" xfId="47229"/>
    <cellStyle name="集計 8 3 2 8 3" xfId="47230"/>
    <cellStyle name="集計 8 3 2 9" xfId="47231"/>
    <cellStyle name="集計 8 3 3" xfId="47232"/>
    <cellStyle name="集計 8 3 3 2" xfId="47233"/>
    <cellStyle name="集計 8 3 3 2 2" xfId="47234"/>
    <cellStyle name="集計 8 3 3 2 2 2" xfId="47235"/>
    <cellStyle name="集計 8 3 3 2 2 3" xfId="47236"/>
    <cellStyle name="集計 8 3 3 2 3" xfId="47237"/>
    <cellStyle name="集計 8 3 3 2 3 2" xfId="47238"/>
    <cellStyle name="集計 8 3 3 2 3 3" xfId="47239"/>
    <cellStyle name="集計 8 3 3 2 4" xfId="47240"/>
    <cellStyle name="集計 8 3 3 2 4 2" xfId="47241"/>
    <cellStyle name="集計 8 3 3 2 4 3" xfId="47242"/>
    <cellStyle name="集計 8 3 3 2 5" xfId="47243"/>
    <cellStyle name="集計 8 3 3 2 6" xfId="47244"/>
    <cellStyle name="集計 8 3 3 3" xfId="47245"/>
    <cellStyle name="集計 8 3 3 3 2" xfId="47246"/>
    <cellStyle name="集計 8 3 3 3 3" xfId="47247"/>
    <cellStyle name="集計 8 3 3 4" xfId="47248"/>
    <cellStyle name="集計 8 3 3 4 2" xfId="47249"/>
    <cellStyle name="集計 8 3 3 4 3" xfId="47250"/>
    <cellStyle name="集計 8 3 3 5" xfId="47251"/>
    <cellStyle name="集計 8 3 3 5 2" xfId="47252"/>
    <cellStyle name="集計 8 3 3 5 3" xfId="47253"/>
    <cellStyle name="集計 8 3 3 6" xfId="47254"/>
    <cellStyle name="集計 8 3 3 7" xfId="47255"/>
    <cellStyle name="集計 8 3 4" xfId="47256"/>
    <cellStyle name="集計 8 3 4 2" xfId="47257"/>
    <cellStyle name="集計 8 3 4 2 2" xfId="47258"/>
    <cellStyle name="集計 8 3 4 2 2 2" xfId="47259"/>
    <cellStyle name="集計 8 3 4 2 2 3" xfId="47260"/>
    <cellStyle name="集計 8 3 4 2 3" xfId="47261"/>
    <cellStyle name="集計 8 3 4 2 3 2" xfId="47262"/>
    <cellStyle name="集計 8 3 4 2 3 3" xfId="47263"/>
    <cellStyle name="集計 8 3 4 2 4" xfId="47264"/>
    <cellStyle name="集計 8 3 4 2 4 2" xfId="47265"/>
    <cellStyle name="集計 8 3 4 2 4 3" xfId="47266"/>
    <cellStyle name="集計 8 3 4 2 5" xfId="47267"/>
    <cellStyle name="集計 8 3 4 2 6" xfId="47268"/>
    <cellStyle name="集計 8 3 4 3" xfId="47269"/>
    <cellStyle name="集計 8 3 4 3 2" xfId="47270"/>
    <cellStyle name="集計 8 3 4 3 3" xfId="47271"/>
    <cellStyle name="集計 8 3 4 4" xfId="47272"/>
    <cellStyle name="集計 8 3 4 4 2" xfId="47273"/>
    <cellStyle name="集計 8 3 4 4 3" xfId="47274"/>
    <cellStyle name="集計 8 3 4 5" xfId="47275"/>
    <cellStyle name="集計 8 3 4 5 2" xfId="47276"/>
    <cellStyle name="集計 8 3 4 5 3" xfId="47277"/>
    <cellStyle name="集計 8 3 4 6" xfId="47278"/>
    <cellStyle name="集計 8 3 4 7" xfId="47279"/>
    <cellStyle name="集計 8 3 5" xfId="47280"/>
    <cellStyle name="集計 8 3 5 2" xfId="47281"/>
    <cellStyle name="集計 8 3 5 2 2" xfId="47282"/>
    <cellStyle name="集計 8 3 5 2 3" xfId="47283"/>
    <cellStyle name="集計 8 3 5 3" xfId="47284"/>
    <cellStyle name="集計 8 3 5 3 2" xfId="47285"/>
    <cellStyle name="集計 8 3 5 3 3" xfId="47286"/>
    <cellStyle name="集計 8 3 5 4" xfId="47287"/>
    <cellStyle name="集計 8 3 5 4 2" xfId="47288"/>
    <cellStyle name="集計 8 3 5 4 3" xfId="47289"/>
    <cellStyle name="集計 8 3 5 5" xfId="47290"/>
    <cellStyle name="集計 8 3 5 6" xfId="47291"/>
    <cellStyle name="集計 8 3 6" xfId="47292"/>
    <cellStyle name="集計 8 3 6 2" xfId="47293"/>
    <cellStyle name="集計 8 3 6 3" xfId="47294"/>
    <cellStyle name="集計 8 3 7" xfId="47295"/>
    <cellStyle name="集計 8 3 7 2" xfId="47296"/>
    <cellStyle name="集計 8 3 7 3" xfId="47297"/>
    <cellStyle name="集計 8 3 8" xfId="47298"/>
    <cellStyle name="集計 8 3 8 2" xfId="47299"/>
    <cellStyle name="集計 8 3 8 3" xfId="47300"/>
    <cellStyle name="集計 8 3 9" xfId="47301"/>
    <cellStyle name="集計 8 4" xfId="47302"/>
    <cellStyle name="集計 8 4 10" xfId="47303"/>
    <cellStyle name="集計 8 4 2" xfId="47304"/>
    <cellStyle name="集計 8 4 2 10" xfId="47305"/>
    <cellStyle name="集計 8 4 2 2" xfId="47306"/>
    <cellStyle name="集計 8 4 2 2 2" xfId="47307"/>
    <cellStyle name="集計 8 4 2 2 2 2" xfId="47308"/>
    <cellStyle name="集計 8 4 2 2 2 2 2" xfId="47309"/>
    <cellStyle name="集計 8 4 2 2 2 2 2 2" xfId="47310"/>
    <cellStyle name="集計 8 4 2 2 2 2 2 3" xfId="47311"/>
    <cellStyle name="集計 8 4 2 2 2 2 3" xfId="47312"/>
    <cellStyle name="集計 8 4 2 2 2 2 3 2" xfId="47313"/>
    <cellStyle name="集計 8 4 2 2 2 2 3 3" xfId="47314"/>
    <cellStyle name="集計 8 4 2 2 2 2 4" xfId="47315"/>
    <cellStyle name="集計 8 4 2 2 2 2 4 2" xfId="47316"/>
    <cellStyle name="集計 8 4 2 2 2 2 4 3" xfId="47317"/>
    <cellStyle name="集計 8 4 2 2 2 2 5" xfId="47318"/>
    <cellStyle name="集計 8 4 2 2 2 2 6" xfId="47319"/>
    <cellStyle name="集計 8 4 2 2 2 3" xfId="47320"/>
    <cellStyle name="集計 8 4 2 2 2 3 2" xfId="47321"/>
    <cellStyle name="集計 8 4 2 2 2 3 3" xfId="47322"/>
    <cellStyle name="集計 8 4 2 2 2 4" xfId="47323"/>
    <cellStyle name="集計 8 4 2 2 2 4 2" xfId="47324"/>
    <cellStyle name="集計 8 4 2 2 2 4 3" xfId="47325"/>
    <cellStyle name="集計 8 4 2 2 2 5" xfId="47326"/>
    <cellStyle name="集計 8 4 2 2 2 5 2" xfId="47327"/>
    <cellStyle name="集計 8 4 2 2 2 5 3" xfId="47328"/>
    <cellStyle name="集計 8 4 2 2 2 6" xfId="47329"/>
    <cellStyle name="集計 8 4 2 2 2 7" xfId="47330"/>
    <cellStyle name="集計 8 4 2 2 3" xfId="47331"/>
    <cellStyle name="集計 8 4 2 2 3 2" xfId="47332"/>
    <cellStyle name="集計 8 4 2 2 3 2 2" xfId="47333"/>
    <cellStyle name="集計 8 4 2 2 3 2 2 2" xfId="47334"/>
    <cellStyle name="集計 8 4 2 2 3 2 2 3" xfId="47335"/>
    <cellStyle name="集計 8 4 2 2 3 2 3" xfId="47336"/>
    <cellStyle name="集計 8 4 2 2 3 2 3 2" xfId="47337"/>
    <cellStyle name="集計 8 4 2 2 3 2 3 3" xfId="47338"/>
    <cellStyle name="集計 8 4 2 2 3 2 4" xfId="47339"/>
    <cellStyle name="集計 8 4 2 2 3 2 4 2" xfId="47340"/>
    <cellStyle name="集計 8 4 2 2 3 2 4 3" xfId="47341"/>
    <cellStyle name="集計 8 4 2 2 3 2 5" xfId="47342"/>
    <cellStyle name="集計 8 4 2 2 3 2 6" xfId="47343"/>
    <cellStyle name="集計 8 4 2 2 3 3" xfId="47344"/>
    <cellStyle name="集計 8 4 2 2 3 3 2" xfId="47345"/>
    <cellStyle name="集計 8 4 2 2 3 3 3" xfId="47346"/>
    <cellStyle name="集計 8 4 2 2 3 4" xfId="47347"/>
    <cellStyle name="集計 8 4 2 2 3 4 2" xfId="47348"/>
    <cellStyle name="集計 8 4 2 2 3 4 3" xfId="47349"/>
    <cellStyle name="集計 8 4 2 2 3 5" xfId="47350"/>
    <cellStyle name="集計 8 4 2 2 3 5 2" xfId="47351"/>
    <cellStyle name="集計 8 4 2 2 3 5 3" xfId="47352"/>
    <cellStyle name="集計 8 4 2 2 3 6" xfId="47353"/>
    <cellStyle name="集計 8 4 2 2 3 7" xfId="47354"/>
    <cellStyle name="集計 8 4 2 2 4" xfId="47355"/>
    <cellStyle name="集計 8 4 2 2 4 2" xfId="47356"/>
    <cellStyle name="集計 8 4 2 2 4 2 2" xfId="47357"/>
    <cellStyle name="集計 8 4 2 2 4 2 3" xfId="47358"/>
    <cellStyle name="集計 8 4 2 2 4 3" xfId="47359"/>
    <cellStyle name="集計 8 4 2 2 4 3 2" xfId="47360"/>
    <cellStyle name="集計 8 4 2 2 4 3 3" xfId="47361"/>
    <cellStyle name="集計 8 4 2 2 4 4" xfId="47362"/>
    <cellStyle name="集計 8 4 2 2 4 4 2" xfId="47363"/>
    <cellStyle name="集計 8 4 2 2 4 4 3" xfId="47364"/>
    <cellStyle name="集計 8 4 2 2 4 5" xfId="47365"/>
    <cellStyle name="集計 8 4 2 2 4 6" xfId="47366"/>
    <cellStyle name="集計 8 4 2 2 5" xfId="47367"/>
    <cellStyle name="集計 8 4 2 2 5 2" xfId="47368"/>
    <cellStyle name="集計 8 4 2 2 5 3" xfId="47369"/>
    <cellStyle name="集計 8 4 2 2 6" xfId="47370"/>
    <cellStyle name="集計 8 4 2 2 6 2" xfId="47371"/>
    <cellStyle name="集計 8 4 2 2 6 3" xfId="47372"/>
    <cellStyle name="集計 8 4 2 2 7" xfId="47373"/>
    <cellStyle name="集計 8 4 2 2 7 2" xfId="47374"/>
    <cellStyle name="集計 8 4 2 2 7 3" xfId="47375"/>
    <cellStyle name="集計 8 4 2 2 8" xfId="47376"/>
    <cellStyle name="集計 8 4 2 2 9" xfId="47377"/>
    <cellStyle name="集計 8 4 2 3" xfId="47378"/>
    <cellStyle name="集計 8 4 2 3 2" xfId="47379"/>
    <cellStyle name="集計 8 4 2 3 2 2" xfId="47380"/>
    <cellStyle name="集計 8 4 2 3 2 2 2" xfId="47381"/>
    <cellStyle name="集計 8 4 2 3 2 2 3" xfId="47382"/>
    <cellStyle name="集計 8 4 2 3 2 3" xfId="47383"/>
    <cellStyle name="集計 8 4 2 3 2 3 2" xfId="47384"/>
    <cellStyle name="集計 8 4 2 3 2 3 3" xfId="47385"/>
    <cellStyle name="集計 8 4 2 3 2 4" xfId="47386"/>
    <cellStyle name="集計 8 4 2 3 2 4 2" xfId="47387"/>
    <cellStyle name="集計 8 4 2 3 2 4 3" xfId="47388"/>
    <cellStyle name="集計 8 4 2 3 2 5" xfId="47389"/>
    <cellStyle name="集計 8 4 2 3 2 6" xfId="47390"/>
    <cellStyle name="集計 8 4 2 3 3" xfId="47391"/>
    <cellStyle name="集計 8 4 2 3 3 2" xfId="47392"/>
    <cellStyle name="集計 8 4 2 3 3 3" xfId="47393"/>
    <cellStyle name="集計 8 4 2 3 4" xfId="47394"/>
    <cellStyle name="集計 8 4 2 3 4 2" xfId="47395"/>
    <cellStyle name="集計 8 4 2 3 4 3" xfId="47396"/>
    <cellStyle name="集計 8 4 2 3 5" xfId="47397"/>
    <cellStyle name="集計 8 4 2 3 5 2" xfId="47398"/>
    <cellStyle name="集計 8 4 2 3 5 3" xfId="47399"/>
    <cellStyle name="集計 8 4 2 3 6" xfId="47400"/>
    <cellStyle name="集計 8 4 2 3 7" xfId="47401"/>
    <cellStyle name="集計 8 4 2 4" xfId="47402"/>
    <cellStyle name="集計 8 4 2 4 2" xfId="47403"/>
    <cellStyle name="集計 8 4 2 4 2 2" xfId="47404"/>
    <cellStyle name="集計 8 4 2 4 2 2 2" xfId="47405"/>
    <cellStyle name="集計 8 4 2 4 2 2 3" xfId="47406"/>
    <cellStyle name="集計 8 4 2 4 2 3" xfId="47407"/>
    <cellStyle name="集計 8 4 2 4 2 3 2" xfId="47408"/>
    <cellStyle name="集計 8 4 2 4 2 3 3" xfId="47409"/>
    <cellStyle name="集計 8 4 2 4 2 4" xfId="47410"/>
    <cellStyle name="集計 8 4 2 4 2 4 2" xfId="47411"/>
    <cellStyle name="集計 8 4 2 4 2 4 3" xfId="47412"/>
    <cellStyle name="集計 8 4 2 4 2 5" xfId="47413"/>
    <cellStyle name="集計 8 4 2 4 2 6" xfId="47414"/>
    <cellStyle name="集計 8 4 2 4 3" xfId="47415"/>
    <cellStyle name="集計 8 4 2 4 3 2" xfId="47416"/>
    <cellStyle name="集計 8 4 2 4 3 3" xfId="47417"/>
    <cellStyle name="集計 8 4 2 4 4" xfId="47418"/>
    <cellStyle name="集計 8 4 2 4 4 2" xfId="47419"/>
    <cellStyle name="集計 8 4 2 4 4 3" xfId="47420"/>
    <cellStyle name="集計 8 4 2 4 5" xfId="47421"/>
    <cellStyle name="集計 8 4 2 4 5 2" xfId="47422"/>
    <cellStyle name="集計 8 4 2 4 5 3" xfId="47423"/>
    <cellStyle name="集計 8 4 2 4 6" xfId="47424"/>
    <cellStyle name="集計 8 4 2 4 7" xfId="47425"/>
    <cellStyle name="集計 8 4 2 5" xfId="47426"/>
    <cellStyle name="集計 8 4 2 5 2" xfId="47427"/>
    <cellStyle name="集計 8 4 2 5 2 2" xfId="47428"/>
    <cellStyle name="集計 8 4 2 5 2 3" xfId="47429"/>
    <cellStyle name="集計 8 4 2 5 3" xfId="47430"/>
    <cellStyle name="集計 8 4 2 5 3 2" xfId="47431"/>
    <cellStyle name="集計 8 4 2 5 3 3" xfId="47432"/>
    <cellStyle name="集計 8 4 2 5 4" xfId="47433"/>
    <cellStyle name="集計 8 4 2 5 4 2" xfId="47434"/>
    <cellStyle name="集計 8 4 2 5 4 3" xfId="47435"/>
    <cellStyle name="集計 8 4 2 5 5" xfId="47436"/>
    <cellStyle name="集計 8 4 2 5 6" xfId="47437"/>
    <cellStyle name="集計 8 4 2 6" xfId="47438"/>
    <cellStyle name="集計 8 4 2 6 2" xfId="47439"/>
    <cellStyle name="集計 8 4 2 6 3" xfId="47440"/>
    <cellStyle name="集計 8 4 2 7" xfId="47441"/>
    <cellStyle name="集計 8 4 2 7 2" xfId="47442"/>
    <cellStyle name="集計 8 4 2 7 3" xfId="47443"/>
    <cellStyle name="集計 8 4 2 8" xfId="47444"/>
    <cellStyle name="集計 8 4 2 8 2" xfId="47445"/>
    <cellStyle name="集計 8 4 2 8 3" xfId="47446"/>
    <cellStyle name="集計 8 4 2 9" xfId="47447"/>
    <cellStyle name="集計 8 4 3" xfId="47448"/>
    <cellStyle name="集計 8 4 3 2" xfId="47449"/>
    <cellStyle name="集計 8 4 3 2 2" xfId="47450"/>
    <cellStyle name="集計 8 4 3 2 2 2" xfId="47451"/>
    <cellStyle name="集計 8 4 3 2 2 3" xfId="47452"/>
    <cellStyle name="集計 8 4 3 2 3" xfId="47453"/>
    <cellStyle name="集計 8 4 3 2 3 2" xfId="47454"/>
    <cellStyle name="集計 8 4 3 2 3 3" xfId="47455"/>
    <cellStyle name="集計 8 4 3 2 4" xfId="47456"/>
    <cellStyle name="集計 8 4 3 2 4 2" xfId="47457"/>
    <cellStyle name="集計 8 4 3 2 4 3" xfId="47458"/>
    <cellStyle name="集計 8 4 3 2 5" xfId="47459"/>
    <cellStyle name="集計 8 4 3 2 6" xfId="47460"/>
    <cellStyle name="集計 8 4 3 3" xfId="47461"/>
    <cellStyle name="集計 8 4 3 3 2" xfId="47462"/>
    <cellStyle name="集計 8 4 3 3 3" xfId="47463"/>
    <cellStyle name="集計 8 4 3 4" xfId="47464"/>
    <cellStyle name="集計 8 4 3 4 2" xfId="47465"/>
    <cellStyle name="集計 8 4 3 4 3" xfId="47466"/>
    <cellStyle name="集計 8 4 3 5" xfId="47467"/>
    <cellStyle name="集計 8 4 3 5 2" xfId="47468"/>
    <cellStyle name="集計 8 4 3 5 3" xfId="47469"/>
    <cellStyle name="集計 8 4 3 6" xfId="47470"/>
    <cellStyle name="集計 8 4 3 7" xfId="47471"/>
    <cellStyle name="集計 8 4 4" xfId="47472"/>
    <cellStyle name="集計 8 4 4 2" xfId="47473"/>
    <cellStyle name="集計 8 4 4 2 2" xfId="47474"/>
    <cellStyle name="集計 8 4 4 2 2 2" xfId="47475"/>
    <cellStyle name="集計 8 4 4 2 2 3" xfId="47476"/>
    <cellStyle name="集計 8 4 4 2 3" xfId="47477"/>
    <cellStyle name="集計 8 4 4 2 3 2" xfId="47478"/>
    <cellStyle name="集計 8 4 4 2 3 3" xfId="47479"/>
    <cellStyle name="集計 8 4 4 2 4" xfId="47480"/>
    <cellStyle name="集計 8 4 4 2 4 2" xfId="47481"/>
    <cellStyle name="集計 8 4 4 2 4 3" xfId="47482"/>
    <cellStyle name="集計 8 4 4 2 5" xfId="47483"/>
    <cellStyle name="集計 8 4 4 2 6" xfId="47484"/>
    <cellStyle name="集計 8 4 4 3" xfId="47485"/>
    <cellStyle name="集計 8 4 4 3 2" xfId="47486"/>
    <cellStyle name="集計 8 4 4 3 3" xfId="47487"/>
    <cellStyle name="集計 8 4 4 4" xfId="47488"/>
    <cellStyle name="集計 8 4 4 4 2" xfId="47489"/>
    <cellStyle name="集計 8 4 4 4 3" xfId="47490"/>
    <cellStyle name="集計 8 4 4 5" xfId="47491"/>
    <cellStyle name="集計 8 4 4 5 2" xfId="47492"/>
    <cellStyle name="集計 8 4 4 5 3" xfId="47493"/>
    <cellStyle name="集計 8 4 4 6" xfId="47494"/>
    <cellStyle name="集計 8 4 4 7" xfId="47495"/>
    <cellStyle name="集計 8 4 5" xfId="47496"/>
    <cellStyle name="集計 8 4 5 2" xfId="47497"/>
    <cellStyle name="集計 8 4 5 2 2" xfId="47498"/>
    <cellStyle name="集計 8 4 5 2 3" xfId="47499"/>
    <cellStyle name="集計 8 4 5 3" xfId="47500"/>
    <cellStyle name="集計 8 4 5 3 2" xfId="47501"/>
    <cellStyle name="集計 8 4 5 3 3" xfId="47502"/>
    <cellStyle name="集計 8 4 5 4" xfId="47503"/>
    <cellStyle name="集計 8 4 5 4 2" xfId="47504"/>
    <cellStyle name="集計 8 4 5 4 3" xfId="47505"/>
    <cellStyle name="集計 8 4 5 5" xfId="47506"/>
    <cellStyle name="集計 8 4 5 6" xfId="47507"/>
    <cellStyle name="集計 8 4 6" xfId="47508"/>
    <cellStyle name="集計 8 4 6 2" xfId="47509"/>
    <cellStyle name="集計 8 4 6 3" xfId="47510"/>
    <cellStyle name="集計 8 4 7" xfId="47511"/>
    <cellStyle name="集計 8 4 7 2" xfId="47512"/>
    <cellStyle name="集計 8 4 7 3" xfId="47513"/>
    <cellStyle name="集計 8 4 8" xfId="47514"/>
    <cellStyle name="集計 8 4 8 2" xfId="47515"/>
    <cellStyle name="集計 8 4 8 3" xfId="47516"/>
    <cellStyle name="集計 8 4 9" xfId="47517"/>
    <cellStyle name="集計 8 5" xfId="47518"/>
    <cellStyle name="集計 8 5 10" xfId="47519"/>
    <cellStyle name="集計 8 5 2" xfId="47520"/>
    <cellStyle name="集計 8 5 2 10" xfId="47521"/>
    <cellStyle name="集計 8 5 2 2" xfId="47522"/>
    <cellStyle name="集計 8 5 2 2 2" xfId="47523"/>
    <cellStyle name="集計 8 5 2 2 2 2" xfId="47524"/>
    <cellStyle name="集計 8 5 2 2 2 2 2" xfId="47525"/>
    <cellStyle name="集計 8 5 2 2 2 2 2 2" xfId="47526"/>
    <cellStyle name="集計 8 5 2 2 2 2 2 3" xfId="47527"/>
    <cellStyle name="集計 8 5 2 2 2 2 3" xfId="47528"/>
    <cellStyle name="集計 8 5 2 2 2 2 3 2" xfId="47529"/>
    <cellStyle name="集計 8 5 2 2 2 2 3 3" xfId="47530"/>
    <cellStyle name="集計 8 5 2 2 2 2 4" xfId="47531"/>
    <cellStyle name="集計 8 5 2 2 2 2 4 2" xfId="47532"/>
    <cellStyle name="集計 8 5 2 2 2 2 4 3" xfId="47533"/>
    <cellStyle name="集計 8 5 2 2 2 2 5" xfId="47534"/>
    <cellStyle name="集計 8 5 2 2 2 2 6" xfId="47535"/>
    <cellStyle name="集計 8 5 2 2 2 3" xfId="47536"/>
    <cellStyle name="集計 8 5 2 2 2 3 2" xfId="47537"/>
    <cellStyle name="集計 8 5 2 2 2 3 3" xfId="47538"/>
    <cellStyle name="集計 8 5 2 2 2 4" xfId="47539"/>
    <cellStyle name="集計 8 5 2 2 2 4 2" xfId="47540"/>
    <cellStyle name="集計 8 5 2 2 2 4 3" xfId="47541"/>
    <cellStyle name="集計 8 5 2 2 2 5" xfId="47542"/>
    <cellStyle name="集計 8 5 2 2 2 5 2" xfId="47543"/>
    <cellStyle name="集計 8 5 2 2 2 5 3" xfId="47544"/>
    <cellStyle name="集計 8 5 2 2 2 6" xfId="47545"/>
    <cellStyle name="集計 8 5 2 2 2 7" xfId="47546"/>
    <cellStyle name="集計 8 5 2 2 3" xfId="47547"/>
    <cellStyle name="集計 8 5 2 2 3 2" xfId="47548"/>
    <cellStyle name="集計 8 5 2 2 3 2 2" xfId="47549"/>
    <cellStyle name="集計 8 5 2 2 3 2 2 2" xfId="47550"/>
    <cellStyle name="集計 8 5 2 2 3 2 2 3" xfId="47551"/>
    <cellStyle name="集計 8 5 2 2 3 2 3" xfId="47552"/>
    <cellStyle name="集計 8 5 2 2 3 2 3 2" xfId="47553"/>
    <cellStyle name="集計 8 5 2 2 3 2 3 3" xfId="47554"/>
    <cellStyle name="集計 8 5 2 2 3 2 4" xfId="47555"/>
    <cellStyle name="集計 8 5 2 2 3 2 4 2" xfId="47556"/>
    <cellStyle name="集計 8 5 2 2 3 2 4 3" xfId="47557"/>
    <cellStyle name="集計 8 5 2 2 3 2 5" xfId="47558"/>
    <cellStyle name="集計 8 5 2 2 3 2 6" xfId="47559"/>
    <cellStyle name="集計 8 5 2 2 3 3" xfId="47560"/>
    <cellStyle name="集計 8 5 2 2 3 3 2" xfId="47561"/>
    <cellStyle name="集計 8 5 2 2 3 3 3" xfId="47562"/>
    <cellStyle name="集計 8 5 2 2 3 4" xfId="47563"/>
    <cellStyle name="集計 8 5 2 2 3 4 2" xfId="47564"/>
    <cellStyle name="集計 8 5 2 2 3 4 3" xfId="47565"/>
    <cellStyle name="集計 8 5 2 2 3 5" xfId="47566"/>
    <cellStyle name="集計 8 5 2 2 3 5 2" xfId="47567"/>
    <cellStyle name="集計 8 5 2 2 3 5 3" xfId="47568"/>
    <cellStyle name="集計 8 5 2 2 3 6" xfId="47569"/>
    <cellStyle name="集計 8 5 2 2 3 7" xfId="47570"/>
    <cellStyle name="集計 8 5 2 2 4" xfId="47571"/>
    <cellStyle name="集計 8 5 2 2 4 2" xfId="47572"/>
    <cellStyle name="集計 8 5 2 2 4 2 2" xfId="47573"/>
    <cellStyle name="集計 8 5 2 2 4 2 3" xfId="47574"/>
    <cellStyle name="集計 8 5 2 2 4 3" xfId="47575"/>
    <cellStyle name="集計 8 5 2 2 4 3 2" xfId="47576"/>
    <cellStyle name="集計 8 5 2 2 4 3 3" xfId="47577"/>
    <cellStyle name="集計 8 5 2 2 4 4" xfId="47578"/>
    <cellStyle name="集計 8 5 2 2 4 4 2" xfId="47579"/>
    <cellStyle name="集計 8 5 2 2 4 4 3" xfId="47580"/>
    <cellStyle name="集計 8 5 2 2 4 5" xfId="47581"/>
    <cellStyle name="集計 8 5 2 2 4 6" xfId="47582"/>
    <cellStyle name="集計 8 5 2 2 5" xfId="47583"/>
    <cellStyle name="集計 8 5 2 2 5 2" xfId="47584"/>
    <cellStyle name="集計 8 5 2 2 5 3" xfId="47585"/>
    <cellStyle name="集計 8 5 2 2 6" xfId="47586"/>
    <cellStyle name="集計 8 5 2 2 6 2" xfId="47587"/>
    <cellStyle name="集計 8 5 2 2 6 3" xfId="47588"/>
    <cellStyle name="集計 8 5 2 2 7" xfId="47589"/>
    <cellStyle name="集計 8 5 2 2 7 2" xfId="47590"/>
    <cellStyle name="集計 8 5 2 2 7 3" xfId="47591"/>
    <cellStyle name="集計 8 5 2 2 8" xfId="47592"/>
    <cellStyle name="集計 8 5 2 2 9" xfId="47593"/>
    <cellStyle name="集計 8 5 2 3" xfId="47594"/>
    <cellStyle name="集計 8 5 2 3 2" xfId="47595"/>
    <cellStyle name="集計 8 5 2 3 2 2" xfId="47596"/>
    <cellStyle name="集計 8 5 2 3 2 2 2" xfId="47597"/>
    <cellStyle name="集計 8 5 2 3 2 2 3" xfId="47598"/>
    <cellStyle name="集計 8 5 2 3 2 3" xfId="47599"/>
    <cellStyle name="集計 8 5 2 3 2 3 2" xfId="47600"/>
    <cellStyle name="集計 8 5 2 3 2 3 3" xfId="47601"/>
    <cellStyle name="集計 8 5 2 3 2 4" xfId="47602"/>
    <cellStyle name="集計 8 5 2 3 2 4 2" xfId="47603"/>
    <cellStyle name="集計 8 5 2 3 2 4 3" xfId="47604"/>
    <cellStyle name="集計 8 5 2 3 2 5" xfId="47605"/>
    <cellStyle name="集計 8 5 2 3 2 6" xfId="47606"/>
    <cellStyle name="集計 8 5 2 3 3" xfId="47607"/>
    <cellStyle name="集計 8 5 2 3 3 2" xfId="47608"/>
    <cellStyle name="集計 8 5 2 3 3 3" xfId="47609"/>
    <cellStyle name="集計 8 5 2 3 4" xfId="47610"/>
    <cellStyle name="集計 8 5 2 3 4 2" xfId="47611"/>
    <cellStyle name="集計 8 5 2 3 4 3" xfId="47612"/>
    <cellStyle name="集計 8 5 2 3 5" xfId="47613"/>
    <cellStyle name="集計 8 5 2 3 5 2" xfId="47614"/>
    <cellStyle name="集計 8 5 2 3 5 3" xfId="47615"/>
    <cellStyle name="集計 8 5 2 3 6" xfId="47616"/>
    <cellStyle name="集計 8 5 2 3 7" xfId="47617"/>
    <cellStyle name="集計 8 5 2 4" xfId="47618"/>
    <cellStyle name="集計 8 5 2 4 2" xfId="47619"/>
    <cellStyle name="集計 8 5 2 4 2 2" xfId="47620"/>
    <cellStyle name="集計 8 5 2 4 2 2 2" xfId="47621"/>
    <cellStyle name="集計 8 5 2 4 2 2 3" xfId="47622"/>
    <cellStyle name="集計 8 5 2 4 2 3" xfId="47623"/>
    <cellStyle name="集計 8 5 2 4 2 3 2" xfId="47624"/>
    <cellStyle name="集計 8 5 2 4 2 3 3" xfId="47625"/>
    <cellStyle name="集計 8 5 2 4 2 4" xfId="47626"/>
    <cellStyle name="集計 8 5 2 4 2 4 2" xfId="47627"/>
    <cellStyle name="集計 8 5 2 4 2 4 3" xfId="47628"/>
    <cellStyle name="集計 8 5 2 4 2 5" xfId="47629"/>
    <cellStyle name="集計 8 5 2 4 2 6" xfId="47630"/>
    <cellStyle name="集計 8 5 2 4 3" xfId="47631"/>
    <cellStyle name="集計 8 5 2 4 3 2" xfId="47632"/>
    <cellStyle name="集計 8 5 2 4 3 3" xfId="47633"/>
    <cellStyle name="集計 8 5 2 4 4" xfId="47634"/>
    <cellStyle name="集計 8 5 2 4 4 2" xfId="47635"/>
    <cellStyle name="集計 8 5 2 4 4 3" xfId="47636"/>
    <cellStyle name="集計 8 5 2 4 5" xfId="47637"/>
    <cellStyle name="集計 8 5 2 4 5 2" xfId="47638"/>
    <cellStyle name="集計 8 5 2 4 5 3" xfId="47639"/>
    <cellStyle name="集計 8 5 2 4 6" xfId="47640"/>
    <cellStyle name="集計 8 5 2 4 7" xfId="47641"/>
    <cellStyle name="集計 8 5 2 5" xfId="47642"/>
    <cellStyle name="集計 8 5 2 5 2" xfId="47643"/>
    <cellStyle name="集計 8 5 2 5 2 2" xfId="47644"/>
    <cellStyle name="集計 8 5 2 5 2 3" xfId="47645"/>
    <cellStyle name="集計 8 5 2 5 3" xfId="47646"/>
    <cellStyle name="集計 8 5 2 5 3 2" xfId="47647"/>
    <cellStyle name="集計 8 5 2 5 3 3" xfId="47648"/>
    <cellStyle name="集計 8 5 2 5 4" xfId="47649"/>
    <cellStyle name="集計 8 5 2 5 4 2" xfId="47650"/>
    <cellStyle name="集計 8 5 2 5 4 3" xfId="47651"/>
    <cellStyle name="集計 8 5 2 5 5" xfId="47652"/>
    <cellStyle name="集計 8 5 2 5 6" xfId="47653"/>
    <cellStyle name="集計 8 5 2 6" xfId="47654"/>
    <cellStyle name="集計 8 5 2 6 2" xfId="47655"/>
    <cellStyle name="集計 8 5 2 6 3" xfId="47656"/>
    <cellStyle name="集計 8 5 2 7" xfId="47657"/>
    <cellStyle name="集計 8 5 2 7 2" xfId="47658"/>
    <cellStyle name="集計 8 5 2 7 3" xfId="47659"/>
    <cellStyle name="集計 8 5 2 8" xfId="47660"/>
    <cellStyle name="集計 8 5 2 8 2" xfId="47661"/>
    <cellStyle name="集計 8 5 2 8 3" xfId="47662"/>
    <cellStyle name="集計 8 5 2 9" xfId="47663"/>
    <cellStyle name="集計 8 5 3" xfId="47664"/>
    <cellStyle name="集計 8 5 3 2" xfId="47665"/>
    <cellStyle name="集計 8 5 3 2 2" xfId="47666"/>
    <cellStyle name="集計 8 5 3 2 2 2" xfId="47667"/>
    <cellStyle name="集計 8 5 3 2 2 3" xfId="47668"/>
    <cellStyle name="集計 8 5 3 2 3" xfId="47669"/>
    <cellStyle name="集計 8 5 3 2 3 2" xfId="47670"/>
    <cellStyle name="集計 8 5 3 2 3 3" xfId="47671"/>
    <cellStyle name="集計 8 5 3 2 4" xfId="47672"/>
    <cellStyle name="集計 8 5 3 2 4 2" xfId="47673"/>
    <cellStyle name="集計 8 5 3 2 4 3" xfId="47674"/>
    <cellStyle name="集計 8 5 3 2 5" xfId="47675"/>
    <cellStyle name="集計 8 5 3 2 6" xfId="47676"/>
    <cellStyle name="集計 8 5 3 3" xfId="47677"/>
    <cellStyle name="集計 8 5 3 3 2" xfId="47678"/>
    <cellStyle name="集計 8 5 3 3 3" xfId="47679"/>
    <cellStyle name="集計 8 5 3 4" xfId="47680"/>
    <cellStyle name="集計 8 5 3 4 2" xfId="47681"/>
    <cellStyle name="集計 8 5 3 4 3" xfId="47682"/>
    <cellStyle name="集計 8 5 3 5" xfId="47683"/>
    <cellStyle name="集計 8 5 3 5 2" xfId="47684"/>
    <cellStyle name="集計 8 5 3 5 3" xfId="47685"/>
    <cellStyle name="集計 8 5 3 6" xfId="47686"/>
    <cellStyle name="集計 8 5 3 7" xfId="47687"/>
    <cellStyle name="集計 8 5 4" xfId="47688"/>
    <cellStyle name="集計 8 5 4 2" xfId="47689"/>
    <cellStyle name="集計 8 5 4 2 2" xfId="47690"/>
    <cellStyle name="集計 8 5 4 2 2 2" xfId="47691"/>
    <cellStyle name="集計 8 5 4 2 2 3" xfId="47692"/>
    <cellStyle name="集計 8 5 4 2 3" xfId="47693"/>
    <cellStyle name="集計 8 5 4 2 3 2" xfId="47694"/>
    <cellStyle name="集計 8 5 4 2 3 3" xfId="47695"/>
    <cellStyle name="集計 8 5 4 2 4" xfId="47696"/>
    <cellStyle name="集計 8 5 4 2 4 2" xfId="47697"/>
    <cellStyle name="集計 8 5 4 2 4 3" xfId="47698"/>
    <cellStyle name="集計 8 5 4 2 5" xfId="47699"/>
    <cellStyle name="集計 8 5 4 2 6" xfId="47700"/>
    <cellStyle name="集計 8 5 4 3" xfId="47701"/>
    <cellStyle name="集計 8 5 4 3 2" xfId="47702"/>
    <cellStyle name="集計 8 5 4 3 3" xfId="47703"/>
    <cellStyle name="集計 8 5 4 4" xfId="47704"/>
    <cellStyle name="集計 8 5 4 4 2" xfId="47705"/>
    <cellStyle name="集計 8 5 4 4 3" xfId="47706"/>
    <cellStyle name="集計 8 5 4 5" xfId="47707"/>
    <cellStyle name="集計 8 5 4 5 2" xfId="47708"/>
    <cellStyle name="集計 8 5 4 5 3" xfId="47709"/>
    <cellStyle name="集計 8 5 4 6" xfId="47710"/>
    <cellStyle name="集計 8 5 4 7" xfId="47711"/>
    <cellStyle name="集計 8 5 5" xfId="47712"/>
    <cellStyle name="集計 8 5 5 2" xfId="47713"/>
    <cellStyle name="集計 8 5 5 2 2" xfId="47714"/>
    <cellStyle name="集計 8 5 5 2 3" xfId="47715"/>
    <cellStyle name="集計 8 5 5 3" xfId="47716"/>
    <cellStyle name="集計 8 5 5 3 2" xfId="47717"/>
    <cellStyle name="集計 8 5 5 3 3" xfId="47718"/>
    <cellStyle name="集計 8 5 5 4" xfId="47719"/>
    <cellStyle name="集計 8 5 5 4 2" xfId="47720"/>
    <cellStyle name="集計 8 5 5 4 3" xfId="47721"/>
    <cellStyle name="集計 8 5 5 5" xfId="47722"/>
    <cellStyle name="集計 8 5 5 6" xfId="47723"/>
    <cellStyle name="集計 8 5 6" xfId="47724"/>
    <cellStyle name="集計 8 5 6 2" xfId="47725"/>
    <cellStyle name="集計 8 5 6 3" xfId="47726"/>
    <cellStyle name="集計 8 5 7" xfId="47727"/>
    <cellStyle name="集計 8 5 7 2" xfId="47728"/>
    <cellStyle name="集計 8 5 7 3" xfId="47729"/>
    <cellStyle name="集計 8 5 8" xfId="47730"/>
    <cellStyle name="集計 8 5 8 2" xfId="47731"/>
    <cellStyle name="集計 8 5 8 3" xfId="47732"/>
    <cellStyle name="集計 8 5 9" xfId="47733"/>
    <cellStyle name="集計 8 6" xfId="47734"/>
    <cellStyle name="集計 8 6 10" xfId="47735"/>
    <cellStyle name="集計 8 6 2" xfId="47736"/>
    <cellStyle name="集計 8 6 2 2" xfId="47737"/>
    <cellStyle name="集計 8 6 2 2 2" xfId="47738"/>
    <cellStyle name="集計 8 6 2 2 2 2" xfId="47739"/>
    <cellStyle name="集計 8 6 2 2 2 2 2" xfId="47740"/>
    <cellStyle name="集計 8 6 2 2 2 2 3" xfId="47741"/>
    <cellStyle name="集計 8 6 2 2 2 3" xfId="47742"/>
    <cellStyle name="集計 8 6 2 2 2 3 2" xfId="47743"/>
    <cellStyle name="集計 8 6 2 2 2 3 3" xfId="47744"/>
    <cellStyle name="集計 8 6 2 2 2 4" xfId="47745"/>
    <cellStyle name="集計 8 6 2 2 2 4 2" xfId="47746"/>
    <cellStyle name="集計 8 6 2 2 2 4 3" xfId="47747"/>
    <cellStyle name="集計 8 6 2 2 2 5" xfId="47748"/>
    <cellStyle name="集計 8 6 2 2 2 6" xfId="47749"/>
    <cellStyle name="集計 8 6 2 2 3" xfId="47750"/>
    <cellStyle name="集計 8 6 2 2 3 2" xfId="47751"/>
    <cellStyle name="集計 8 6 2 2 3 3" xfId="47752"/>
    <cellStyle name="集計 8 6 2 2 4" xfId="47753"/>
    <cellStyle name="集計 8 6 2 2 4 2" xfId="47754"/>
    <cellStyle name="集計 8 6 2 2 4 3" xfId="47755"/>
    <cellStyle name="集計 8 6 2 2 5" xfId="47756"/>
    <cellStyle name="集計 8 6 2 2 5 2" xfId="47757"/>
    <cellStyle name="集計 8 6 2 2 5 3" xfId="47758"/>
    <cellStyle name="集計 8 6 2 2 6" xfId="47759"/>
    <cellStyle name="集計 8 6 2 2 7" xfId="47760"/>
    <cellStyle name="集計 8 6 2 3" xfId="47761"/>
    <cellStyle name="集計 8 6 2 3 2" xfId="47762"/>
    <cellStyle name="集計 8 6 2 3 2 2" xfId="47763"/>
    <cellStyle name="集計 8 6 2 3 2 2 2" xfId="47764"/>
    <cellStyle name="集計 8 6 2 3 2 2 3" xfId="47765"/>
    <cellStyle name="集計 8 6 2 3 2 3" xfId="47766"/>
    <cellStyle name="集計 8 6 2 3 2 3 2" xfId="47767"/>
    <cellStyle name="集計 8 6 2 3 2 3 3" xfId="47768"/>
    <cellStyle name="集計 8 6 2 3 2 4" xfId="47769"/>
    <cellStyle name="集計 8 6 2 3 2 4 2" xfId="47770"/>
    <cellStyle name="集計 8 6 2 3 2 4 3" xfId="47771"/>
    <cellStyle name="集計 8 6 2 3 2 5" xfId="47772"/>
    <cellStyle name="集計 8 6 2 3 2 6" xfId="47773"/>
    <cellStyle name="集計 8 6 2 3 3" xfId="47774"/>
    <cellStyle name="集計 8 6 2 3 3 2" xfId="47775"/>
    <cellStyle name="集計 8 6 2 3 3 3" xfId="47776"/>
    <cellStyle name="集計 8 6 2 3 4" xfId="47777"/>
    <cellStyle name="集計 8 6 2 3 4 2" xfId="47778"/>
    <cellStyle name="集計 8 6 2 3 4 3" xfId="47779"/>
    <cellStyle name="集計 8 6 2 3 5" xfId="47780"/>
    <cellStyle name="集計 8 6 2 3 5 2" xfId="47781"/>
    <cellStyle name="集計 8 6 2 3 5 3" xfId="47782"/>
    <cellStyle name="集計 8 6 2 3 6" xfId="47783"/>
    <cellStyle name="集計 8 6 2 3 7" xfId="47784"/>
    <cellStyle name="集計 8 6 2 4" xfId="47785"/>
    <cellStyle name="集計 8 6 2 4 2" xfId="47786"/>
    <cellStyle name="集計 8 6 2 4 2 2" xfId="47787"/>
    <cellStyle name="集計 8 6 2 4 2 3" xfId="47788"/>
    <cellStyle name="集計 8 6 2 4 3" xfId="47789"/>
    <cellStyle name="集計 8 6 2 4 3 2" xfId="47790"/>
    <cellStyle name="集計 8 6 2 4 3 3" xfId="47791"/>
    <cellStyle name="集計 8 6 2 4 4" xfId="47792"/>
    <cellStyle name="集計 8 6 2 4 4 2" xfId="47793"/>
    <cellStyle name="集計 8 6 2 4 4 3" xfId="47794"/>
    <cellStyle name="集計 8 6 2 4 5" xfId="47795"/>
    <cellStyle name="集計 8 6 2 4 6" xfId="47796"/>
    <cellStyle name="集計 8 6 2 5" xfId="47797"/>
    <cellStyle name="集計 8 6 2 5 2" xfId="47798"/>
    <cellStyle name="集計 8 6 2 5 3" xfId="47799"/>
    <cellStyle name="集計 8 6 2 6" xfId="47800"/>
    <cellStyle name="集計 8 6 2 6 2" xfId="47801"/>
    <cellStyle name="集計 8 6 2 6 3" xfId="47802"/>
    <cellStyle name="集計 8 6 2 7" xfId="47803"/>
    <cellStyle name="集計 8 6 2 7 2" xfId="47804"/>
    <cellStyle name="集計 8 6 2 7 3" xfId="47805"/>
    <cellStyle name="集計 8 6 2 8" xfId="47806"/>
    <cellStyle name="集計 8 6 2 9" xfId="47807"/>
    <cellStyle name="集計 8 6 3" xfId="47808"/>
    <cellStyle name="集計 8 6 3 2" xfId="47809"/>
    <cellStyle name="集計 8 6 3 2 2" xfId="47810"/>
    <cellStyle name="集計 8 6 3 2 2 2" xfId="47811"/>
    <cellStyle name="集計 8 6 3 2 2 3" xfId="47812"/>
    <cellStyle name="集計 8 6 3 2 3" xfId="47813"/>
    <cellStyle name="集計 8 6 3 2 3 2" xfId="47814"/>
    <cellStyle name="集計 8 6 3 2 3 3" xfId="47815"/>
    <cellStyle name="集計 8 6 3 2 4" xfId="47816"/>
    <cellStyle name="集計 8 6 3 2 4 2" xfId="47817"/>
    <cellStyle name="集計 8 6 3 2 4 3" xfId="47818"/>
    <cellStyle name="集計 8 6 3 2 5" xfId="47819"/>
    <cellStyle name="集計 8 6 3 2 6" xfId="47820"/>
    <cellStyle name="集計 8 6 3 3" xfId="47821"/>
    <cellStyle name="集計 8 6 3 3 2" xfId="47822"/>
    <cellStyle name="集計 8 6 3 3 3" xfId="47823"/>
    <cellStyle name="集計 8 6 3 4" xfId="47824"/>
    <cellStyle name="集計 8 6 3 4 2" xfId="47825"/>
    <cellStyle name="集計 8 6 3 4 3" xfId="47826"/>
    <cellStyle name="集計 8 6 3 5" xfId="47827"/>
    <cellStyle name="集計 8 6 3 5 2" xfId="47828"/>
    <cellStyle name="集計 8 6 3 5 3" xfId="47829"/>
    <cellStyle name="集計 8 6 3 6" xfId="47830"/>
    <cellStyle name="集計 8 6 3 7" xfId="47831"/>
    <cellStyle name="集計 8 6 4" xfId="47832"/>
    <cellStyle name="集計 8 6 4 2" xfId="47833"/>
    <cellStyle name="集計 8 6 4 2 2" xfId="47834"/>
    <cellStyle name="集計 8 6 4 2 2 2" xfId="47835"/>
    <cellStyle name="集計 8 6 4 2 2 3" xfId="47836"/>
    <cellStyle name="集計 8 6 4 2 3" xfId="47837"/>
    <cellStyle name="集計 8 6 4 2 3 2" xfId="47838"/>
    <cellStyle name="集計 8 6 4 2 3 3" xfId="47839"/>
    <cellStyle name="集計 8 6 4 2 4" xfId="47840"/>
    <cellStyle name="集計 8 6 4 2 4 2" xfId="47841"/>
    <cellStyle name="集計 8 6 4 2 4 3" xfId="47842"/>
    <cellStyle name="集計 8 6 4 2 5" xfId="47843"/>
    <cellStyle name="集計 8 6 4 2 6" xfId="47844"/>
    <cellStyle name="集計 8 6 4 3" xfId="47845"/>
    <cellStyle name="集計 8 6 4 3 2" xfId="47846"/>
    <cellStyle name="集計 8 6 4 3 3" xfId="47847"/>
    <cellStyle name="集計 8 6 4 4" xfId="47848"/>
    <cellStyle name="集計 8 6 4 4 2" xfId="47849"/>
    <cellStyle name="集計 8 6 4 4 3" xfId="47850"/>
    <cellStyle name="集計 8 6 4 5" xfId="47851"/>
    <cellStyle name="集計 8 6 4 5 2" xfId="47852"/>
    <cellStyle name="集計 8 6 4 5 3" xfId="47853"/>
    <cellStyle name="集計 8 6 4 6" xfId="47854"/>
    <cellStyle name="集計 8 6 4 7" xfId="47855"/>
    <cellStyle name="集計 8 6 5" xfId="47856"/>
    <cellStyle name="集計 8 6 5 2" xfId="47857"/>
    <cellStyle name="集計 8 6 5 2 2" xfId="47858"/>
    <cellStyle name="集計 8 6 5 2 3" xfId="47859"/>
    <cellStyle name="集計 8 6 5 3" xfId="47860"/>
    <cellStyle name="集計 8 6 5 3 2" xfId="47861"/>
    <cellStyle name="集計 8 6 5 3 3" xfId="47862"/>
    <cellStyle name="集計 8 6 5 4" xfId="47863"/>
    <cellStyle name="集計 8 6 5 4 2" xfId="47864"/>
    <cellStyle name="集計 8 6 5 4 3" xfId="47865"/>
    <cellStyle name="集計 8 6 5 5" xfId="47866"/>
    <cellStyle name="集計 8 6 5 6" xfId="47867"/>
    <cellStyle name="集計 8 6 6" xfId="47868"/>
    <cellStyle name="集計 8 6 6 2" xfId="47869"/>
    <cellStyle name="集計 8 6 6 3" xfId="47870"/>
    <cellStyle name="集計 8 6 7" xfId="47871"/>
    <cellStyle name="集計 8 6 7 2" xfId="47872"/>
    <cellStyle name="集計 8 6 7 3" xfId="47873"/>
    <cellStyle name="集計 8 6 8" xfId="47874"/>
    <cellStyle name="集計 8 6 8 2" xfId="47875"/>
    <cellStyle name="集計 8 6 8 3" xfId="47876"/>
    <cellStyle name="集計 8 6 9" xfId="47877"/>
    <cellStyle name="集計 8 7" xfId="47878"/>
    <cellStyle name="集計 8 7 10" xfId="47879"/>
    <cellStyle name="集計 8 7 2" xfId="47880"/>
    <cellStyle name="集計 8 7 2 2" xfId="47881"/>
    <cellStyle name="集計 8 7 2 2 2" xfId="47882"/>
    <cellStyle name="集計 8 7 2 2 2 2" xfId="47883"/>
    <cellStyle name="集計 8 7 2 2 2 2 2" xfId="47884"/>
    <cellStyle name="集計 8 7 2 2 2 2 3" xfId="47885"/>
    <cellStyle name="集計 8 7 2 2 2 3" xfId="47886"/>
    <cellStyle name="集計 8 7 2 2 2 3 2" xfId="47887"/>
    <cellStyle name="集計 8 7 2 2 2 3 3" xfId="47888"/>
    <cellStyle name="集計 8 7 2 2 2 4" xfId="47889"/>
    <cellStyle name="集計 8 7 2 2 2 4 2" xfId="47890"/>
    <cellStyle name="集計 8 7 2 2 2 4 3" xfId="47891"/>
    <cellStyle name="集計 8 7 2 2 2 5" xfId="47892"/>
    <cellStyle name="集計 8 7 2 2 2 6" xfId="47893"/>
    <cellStyle name="集計 8 7 2 2 3" xfId="47894"/>
    <cellStyle name="集計 8 7 2 2 3 2" xfId="47895"/>
    <cellStyle name="集計 8 7 2 2 3 3" xfId="47896"/>
    <cellStyle name="集計 8 7 2 2 4" xfId="47897"/>
    <cellStyle name="集計 8 7 2 2 4 2" xfId="47898"/>
    <cellStyle name="集計 8 7 2 2 4 3" xfId="47899"/>
    <cellStyle name="集計 8 7 2 2 5" xfId="47900"/>
    <cellStyle name="集計 8 7 2 2 5 2" xfId="47901"/>
    <cellStyle name="集計 8 7 2 2 5 3" xfId="47902"/>
    <cellStyle name="集計 8 7 2 2 6" xfId="47903"/>
    <cellStyle name="集計 8 7 2 2 7" xfId="47904"/>
    <cellStyle name="集計 8 7 2 3" xfId="47905"/>
    <cellStyle name="集計 8 7 2 3 2" xfId="47906"/>
    <cellStyle name="集計 8 7 2 3 2 2" xfId="47907"/>
    <cellStyle name="集計 8 7 2 3 2 2 2" xfId="47908"/>
    <cellStyle name="集計 8 7 2 3 2 2 3" xfId="47909"/>
    <cellStyle name="集計 8 7 2 3 2 3" xfId="47910"/>
    <cellStyle name="集計 8 7 2 3 2 3 2" xfId="47911"/>
    <cellStyle name="集計 8 7 2 3 2 3 3" xfId="47912"/>
    <cellStyle name="集計 8 7 2 3 2 4" xfId="47913"/>
    <cellStyle name="集計 8 7 2 3 2 4 2" xfId="47914"/>
    <cellStyle name="集計 8 7 2 3 2 4 3" xfId="47915"/>
    <cellStyle name="集計 8 7 2 3 2 5" xfId="47916"/>
    <cellStyle name="集計 8 7 2 3 2 6" xfId="47917"/>
    <cellStyle name="集計 8 7 2 3 3" xfId="47918"/>
    <cellStyle name="集計 8 7 2 3 3 2" xfId="47919"/>
    <cellStyle name="集計 8 7 2 3 3 3" xfId="47920"/>
    <cellStyle name="集計 8 7 2 3 4" xfId="47921"/>
    <cellStyle name="集計 8 7 2 3 4 2" xfId="47922"/>
    <cellStyle name="集計 8 7 2 3 4 3" xfId="47923"/>
    <cellStyle name="集計 8 7 2 3 5" xfId="47924"/>
    <cellStyle name="集計 8 7 2 3 5 2" xfId="47925"/>
    <cellStyle name="集計 8 7 2 3 5 3" xfId="47926"/>
    <cellStyle name="集計 8 7 2 3 6" xfId="47927"/>
    <cellStyle name="集計 8 7 2 3 7" xfId="47928"/>
    <cellStyle name="集計 8 7 2 4" xfId="47929"/>
    <cellStyle name="集計 8 7 2 4 2" xfId="47930"/>
    <cellStyle name="集計 8 7 2 4 2 2" xfId="47931"/>
    <cellStyle name="集計 8 7 2 4 2 3" xfId="47932"/>
    <cellStyle name="集計 8 7 2 4 3" xfId="47933"/>
    <cellStyle name="集計 8 7 2 4 3 2" xfId="47934"/>
    <cellStyle name="集計 8 7 2 4 3 3" xfId="47935"/>
    <cellStyle name="集計 8 7 2 4 4" xfId="47936"/>
    <cellStyle name="集計 8 7 2 4 4 2" xfId="47937"/>
    <cellStyle name="集計 8 7 2 4 4 3" xfId="47938"/>
    <cellStyle name="集計 8 7 2 4 5" xfId="47939"/>
    <cellStyle name="集計 8 7 2 4 6" xfId="47940"/>
    <cellStyle name="集計 8 7 2 5" xfId="47941"/>
    <cellStyle name="集計 8 7 2 5 2" xfId="47942"/>
    <cellStyle name="集計 8 7 2 5 3" xfId="47943"/>
    <cellStyle name="集計 8 7 2 6" xfId="47944"/>
    <cellStyle name="集計 8 7 2 6 2" xfId="47945"/>
    <cellStyle name="集計 8 7 2 6 3" xfId="47946"/>
    <cellStyle name="集計 8 7 2 7" xfId="47947"/>
    <cellStyle name="集計 8 7 2 7 2" xfId="47948"/>
    <cellStyle name="集計 8 7 2 7 3" xfId="47949"/>
    <cellStyle name="集計 8 7 2 8" xfId="47950"/>
    <cellStyle name="集計 8 7 2 9" xfId="47951"/>
    <cellStyle name="集計 8 7 3" xfId="47952"/>
    <cellStyle name="集計 8 7 3 2" xfId="47953"/>
    <cellStyle name="集計 8 7 3 2 2" xfId="47954"/>
    <cellStyle name="集計 8 7 3 2 2 2" xfId="47955"/>
    <cellStyle name="集計 8 7 3 2 2 3" xfId="47956"/>
    <cellStyle name="集計 8 7 3 2 3" xfId="47957"/>
    <cellStyle name="集計 8 7 3 2 3 2" xfId="47958"/>
    <cellStyle name="集計 8 7 3 2 3 3" xfId="47959"/>
    <cellStyle name="集計 8 7 3 2 4" xfId="47960"/>
    <cellStyle name="集計 8 7 3 2 4 2" xfId="47961"/>
    <cellStyle name="集計 8 7 3 2 4 3" xfId="47962"/>
    <cellStyle name="集計 8 7 3 2 5" xfId="47963"/>
    <cellStyle name="集計 8 7 3 2 6" xfId="47964"/>
    <cellStyle name="集計 8 7 3 3" xfId="47965"/>
    <cellStyle name="集計 8 7 3 3 2" xfId="47966"/>
    <cellStyle name="集計 8 7 3 3 3" xfId="47967"/>
    <cellStyle name="集計 8 7 3 4" xfId="47968"/>
    <cellStyle name="集計 8 7 3 4 2" xfId="47969"/>
    <cellStyle name="集計 8 7 3 4 3" xfId="47970"/>
    <cellStyle name="集計 8 7 3 5" xfId="47971"/>
    <cellStyle name="集計 8 7 3 5 2" xfId="47972"/>
    <cellStyle name="集計 8 7 3 5 3" xfId="47973"/>
    <cellStyle name="集計 8 7 3 6" xfId="47974"/>
    <cellStyle name="集計 8 7 3 7" xfId="47975"/>
    <cellStyle name="集計 8 7 4" xfId="47976"/>
    <cellStyle name="集計 8 7 4 2" xfId="47977"/>
    <cellStyle name="集計 8 7 4 2 2" xfId="47978"/>
    <cellStyle name="集計 8 7 4 2 2 2" xfId="47979"/>
    <cellStyle name="集計 8 7 4 2 2 3" xfId="47980"/>
    <cellStyle name="集計 8 7 4 2 3" xfId="47981"/>
    <cellStyle name="集計 8 7 4 2 3 2" xfId="47982"/>
    <cellStyle name="集計 8 7 4 2 3 3" xfId="47983"/>
    <cellStyle name="集計 8 7 4 2 4" xfId="47984"/>
    <cellStyle name="集計 8 7 4 2 4 2" xfId="47985"/>
    <cellStyle name="集計 8 7 4 2 4 3" xfId="47986"/>
    <cellStyle name="集計 8 7 4 2 5" xfId="47987"/>
    <cellStyle name="集計 8 7 4 2 6" xfId="47988"/>
    <cellStyle name="集計 8 7 4 3" xfId="47989"/>
    <cellStyle name="集計 8 7 4 3 2" xfId="47990"/>
    <cellStyle name="集計 8 7 4 3 3" xfId="47991"/>
    <cellStyle name="集計 8 7 4 4" xfId="47992"/>
    <cellStyle name="集計 8 7 4 4 2" xfId="47993"/>
    <cellStyle name="集計 8 7 4 4 3" xfId="47994"/>
    <cellStyle name="集計 8 7 4 5" xfId="47995"/>
    <cellStyle name="集計 8 7 4 5 2" xfId="47996"/>
    <cellStyle name="集計 8 7 4 5 3" xfId="47997"/>
    <cellStyle name="集計 8 7 4 6" xfId="47998"/>
    <cellStyle name="集計 8 7 4 7" xfId="47999"/>
    <cellStyle name="集計 8 7 5" xfId="48000"/>
    <cellStyle name="集計 8 7 5 2" xfId="48001"/>
    <cellStyle name="集計 8 7 5 2 2" xfId="48002"/>
    <cellStyle name="集計 8 7 5 2 3" xfId="48003"/>
    <cellStyle name="集計 8 7 5 3" xfId="48004"/>
    <cellStyle name="集計 8 7 5 3 2" xfId="48005"/>
    <cellStyle name="集計 8 7 5 3 3" xfId="48006"/>
    <cellStyle name="集計 8 7 5 4" xfId="48007"/>
    <cellStyle name="集計 8 7 5 4 2" xfId="48008"/>
    <cellStyle name="集計 8 7 5 4 3" xfId="48009"/>
    <cellStyle name="集計 8 7 5 5" xfId="48010"/>
    <cellStyle name="集計 8 7 5 6" xfId="48011"/>
    <cellStyle name="集計 8 7 6" xfId="48012"/>
    <cellStyle name="集計 8 7 6 2" xfId="48013"/>
    <cellStyle name="集計 8 7 6 3" xfId="48014"/>
    <cellStyle name="集計 8 7 7" xfId="48015"/>
    <cellStyle name="集計 8 7 7 2" xfId="48016"/>
    <cellStyle name="集計 8 7 7 3" xfId="48017"/>
    <cellStyle name="集計 8 7 8" xfId="48018"/>
    <cellStyle name="集計 8 7 8 2" xfId="48019"/>
    <cellStyle name="集計 8 7 8 3" xfId="48020"/>
    <cellStyle name="集計 8 7 9" xfId="48021"/>
    <cellStyle name="集計 8 8" xfId="48022"/>
    <cellStyle name="集計 8 8 2" xfId="48023"/>
    <cellStyle name="集計 8 8 2 2" xfId="48024"/>
    <cellStyle name="集計 8 8 2 2 2" xfId="48025"/>
    <cellStyle name="集計 8 8 2 2 3" xfId="48026"/>
    <cellStyle name="集計 8 8 2 3" xfId="48027"/>
    <cellStyle name="集計 8 8 2 3 2" xfId="48028"/>
    <cellStyle name="集計 8 8 2 3 3" xfId="48029"/>
    <cellStyle name="集計 8 8 2 4" xfId="48030"/>
    <cellStyle name="集計 8 8 2 4 2" xfId="48031"/>
    <cellStyle name="集計 8 8 2 4 3" xfId="48032"/>
    <cellStyle name="集計 8 8 2 5" xfId="48033"/>
    <cellStyle name="集計 8 8 2 6" xfId="48034"/>
    <cellStyle name="集計 8 8 3" xfId="48035"/>
    <cellStyle name="集計 8 8 3 2" xfId="48036"/>
    <cellStyle name="集計 8 8 3 3" xfId="48037"/>
    <cellStyle name="集計 8 8 4" xfId="48038"/>
    <cellStyle name="集計 8 8 4 2" xfId="48039"/>
    <cellStyle name="集計 8 8 4 3" xfId="48040"/>
    <cellStyle name="集計 8 8 5" xfId="48041"/>
    <cellStyle name="集計 8 8 5 2" xfId="48042"/>
    <cellStyle name="集計 8 8 5 3" xfId="48043"/>
    <cellStyle name="集計 8 8 6" xfId="48044"/>
    <cellStyle name="集計 8 8 7" xfId="48045"/>
    <cellStyle name="集計 8 9" xfId="48046"/>
    <cellStyle name="集計 8 9 2" xfId="48047"/>
    <cellStyle name="集計 8 9 2 2" xfId="48048"/>
    <cellStyle name="集計 8 9 2 2 2" xfId="48049"/>
    <cellStyle name="集計 8 9 2 2 3" xfId="48050"/>
    <cellStyle name="集計 8 9 2 3" xfId="48051"/>
    <cellStyle name="集計 8 9 2 3 2" xfId="48052"/>
    <cellStyle name="集計 8 9 2 3 3" xfId="48053"/>
    <cellStyle name="集計 8 9 2 4" xfId="48054"/>
    <cellStyle name="集計 8 9 2 4 2" xfId="48055"/>
    <cellStyle name="集計 8 9 2 4 3" xfId="48056"/>
    <cellStyle name="集計 8 9 2 5" xfId="48057"/>
    <cellStyle name="集計 8 9 2 6" xfId="48058"/>
    <cellStyle name="集計 8 9 3" xfId="48059"/>
    <cellStyle name="集計 8 9 3 2" xfId="48060"/>
    <cellStyle name="集計 8 9 3 3" xfId="48061"/>
    <cellStyle name="集計 8 9 4" xfId="48062"/>
    <cellStyle name="集計 8 9 4 2" xfId="48063"/>
    <cellStyle name="集計 8 9 4 3" xfId="48064"/>
    <cellStyle name="集計 8 9 5" xfId="48065"/>
    <cellStyle name="集計 8 9 5 2" xfId="48066"/>
    <cellStyle name="集計 8 9 5 3" xfId="48067"/>
    <cellStyle name="集計 8 9 6" xfId="48068"/>
    <cellStyle name="集計 8 9 7" xfId="48069"/>
    <cellStyle name="集計 9" xfId="48070"/>
    <cellStyle name="集計 9 10" xfId="48071"/>
    <cellStyle name="集計 9 10 2" xfId="48072"/>
    <cellStyle name="集計 9 10 3" xfId="48073"/>
    <cellStyle name="集計 9 11" xfId="48074"/>
    <cellStyle name="集計 9 11 2" xfId="48075"/>
    <cellStyle name="集計 9 11 3" xfId="48076"/>
    <cellStyle name="集計 9 12" xfId="48077"/>
    <cellStyle name="集計 9 12 2" xfId="48078"/>
    <cellStyle name="集計 9 12 3" xfId="48079"/>
    <cellStyle name="集計 9 13" xfId="48080"/>
    <cellStyle name="集計 9 14" xfId="48081"/>
    <cellStyle name="集計 9 2" xfId="48082"/>
    <cellStyle name="集計 9 2 10" xfId="48083"/>
    <cellStyle name="集計 9 2 2" xfId="48084"/>
    <cellStyle name="集計 9 2 2 10" xfId="48085"/>
    <cellStyle name="集計 9 2 2 2" xfId="48086"/>
    <cellStyle name="集計 9 2 2 2 2" xfId="48087"/>
    <cellStyle name="集計 9 2 2 2 2 2" xfId="48088"/>
    <cellStyle name="集計 9 2 2 2 2 2 2" xfId="48089"/>
    <cellStyle name="集計 9 2 2 2 2 2 2 2" xfId="48090"/>
    <cellStyle name="集計 9 2 2 2 2 2 2 3" xfId="48091"/>
    <cellStyle name="集計 9 2 2 2 2 2 3" xfId="48092"/>
    <cellStyle name="集計 9 2 2 2 2 2 3 2" xfId="48093"/>
    <cellStyle name="集計 9 2 2 2 2 2 3 3" xfId="48094"/>
    <cellStyle name="集計 9 2 2 2 2 2 4" xfId="48095"/>
    <cellStyle name="集計 9 2 2 2 2 2 4 2" xfId="48096"/>
    <cellStyle name="集計 9 2 2 2 2 2 4 3" xfId="48097"/>
    <cellStyle name="集計 9 2 2 2 2 2 5" xfId="48098"/>
    <cellStyle name="集計 9 2 2 2 2 2 6" xfId="48099"/>
    <cellStyle name="集計 9 2 2 2 2 3" xfId="48100"/>
    <cellStyle name="集計 9 2 2 2 2 3 2" xfId="48101"/>
    <cellStyle name="集計 9 2 2 2 2 3 3" xfId="48102"/>
    <cellStyle name="集計 9 2 2 2 2 4" xfId="48103"/>
    <cellStyle name="集計 9 2 2 2 2 4 2" xfId="48104"/>
    <cellStyle name="集計 9 2 2 2 2 4 3" xfId="48105"/>
    <cellStyle name="集計 9 2 2 2 2 5" xfId="48106"/>
    <cellStyle name="集計 9 2 2 2 2 5 2" xfId="48107"/>
    <cellStyle name="集計 9 2 2 2 2 5 3" xfId="48108"/>
    <cellStyle name="集計 9 2 2 2 2 6" xfId="48109"/>
    <cellStyle name="集計 9 2 2 2 2 7" xfId="48110"/>
    <cellStyle name="集計 9 2 2 2 3" xfId="48111"/>
    <cellStyle name="集計 9 2 2 2 3 2" xfId="48112"/>
    <cellStyle name="集計 9 2 2 2 3 2 2" xfId="48113"/>
    <cellStyle name="集計 9 2 2 2 3 2 2 2" xfId="48114"/>
    <cellStyle name="集計 9 2 2 2 3 2 2 3" xfId="48115"/>
    <cellStyle name="集計 9 2 2 2 3 2 3" xfId="48116"/>
    <cellStyle name="集計 9 2 2 2 3 2 3 2" xfId="48117"/>
    <cellStyle name="集計 9 2 2 2 3 2 3 3" xfId="48118"/>
    <cellStyle name="集計 9 2 2 2 3 2 4" xfId="48119"/>
    <cellStyle name="集計 9 2 2 2 3 2 4 2" xfId="48120"/>
    <cellStyle name="集計 9 2 2 2 3 2 4 3" xfId="48121"/>
    <cellStyle name="集計 9 2 2 2 3 2 5" xfId="48122"/>
    <cellStyle name="集計 9 2 2 2 3 2 6" xfId="48123"/>
    <cellStyle name="集計 9 2 2 2 3 3" xfId="48124"/>
    <cellStyle name="集計 9 2 2 2 3 3 2" xfId="48125"/>
    <cellStyle name="集計 9 2 2 2 3 3 3" xfId="48126"/>
    <cellStyle name="集計 9 2 2 2 3 4" xfId="48127"/>
    <cellStyle name="集計 9 2 2 2 3 4 2" xfId="48128"/>
    <cellStyle name="集計 9 2 2 2 3 4 3" xfId="48129"/>
    <cellStyle name="集計 9 2 2 2 3 5" xfId="48130"/>
    <cellStyle name="集計 9 2 2 2 3 5 2" xfId="48131"/>
    <cellStyle name="集計 9 2 2 2 3 5 3" xfId="48132"/>
    <cellStyle name="集計 9 2 2 2 3 6" xfId="48133"/>
    <cellStyle name="集計 9 2 2 2 3 7" xfId="48134"/>
    <cellStyle name="集計 9 2 2 2 4" xfId="48135"/>
    <cellStyle name="集計 9 2 2 2 4 2" xfId="48136"/>
    <cellStyle name="集計 9 2 2 2 4 2 2" xfId="48137"/>
    <cellStyle name="集計 9 2 2 2 4 2 3" xfId="48138"/>
    <cellStyle name="集計 9 2 2 2 4 3" xfId="48139"/>
    <cellStyle name="集計 9 2 2 2 4 3 2" xfId="48140"/>
    <cellStyle name="集計 9 2 2 2 4 3 3" xfId="48141"/>
    <cellStyle name="集計 9 2 2 2 4 4" xfId="48142"/>
    <cellStyle name="集計 9 2 2 2 4 4 2" xfId="48143"/>
    <cellStyle name="集計 9 2 2 2 4 4 3" xfId="48144"/>
    <cellStyle name="集計 9 2 2 2 4 5" xfId="48145"/>
    <cellStyle name="集計 9 2 2 2 4 6" xfId="48146"/>
    <cellStyle name="集計 9 2 2 2 5" xfId="48147"/>
    <cellStyle name="集計 9 2 2 2 5 2" xfId="48148"/>
    <cellStyle name="集計 9 2 2 2 5 3" xfId="48149"/>
    <cellStyle name="集計 9 2 2 2 6" xfId="48150"/>
    <cellStyle name="集計 9 2 2 2 6 2" xfId="48151"/>
    <cellStyle name="集計 9 2 2 2 6 3" xfId="48152"/>
    <cellStyle name="集計 9 2 2 2 7" xfId="48153"/>
    <cellStyle name="集計 9 2 2 2 7 2" xfId="48154"/>
    <cellStyle name="集計 9 2 2 2 7 3" xfId="48155"/>
    <cellStyle name="集計 9 2 2 2 8" xfId="48156"/>
    <cellStyle name="集計 9 2 2 2 9" xfId="48157"/>
    <cellStyle name="集計 9 2 2 3" xfId="48158"/>
    <cellStyle name="集計 9 2 2 3 2" xfId="48159"/>
    <cellStyle name="集計 9 2 2 3 2 2" xfId="48160"/>
    <cellStyle name="集計 9 2 2 3 2 2 2" xfId="48161"/>
    <cellStyle name="集計 9 2 2 3 2 2 3" xfId="48162"/>
    <cellStyle name="集計 9 2 2 3 2 3" xfId="48163"/>
    <cellStyle name="集計 9 2 2 3 2 3 2" xfId="48164"/>
    <cellStyle name="集計 9 2 2 3 2 3 3" xfId="48165"/>
    <cellStyle name="集計 9 2 2 3 2 4" xfId="48166"/>
    <cellStyle name="集計 9 2 2 3 2 4 2" xfId="48167"/>
    <cellStyle name="集計 9 2 2 3 2 4 3" xfId="48168"/>
    <cellStyle name="集計 9 2 2 3 2 5" xfId="48169"/>
    <cellStyle name="集計 9 2 2 3 2 6" xfId="48170"/>
    <cellStyle name="集計 9 2 2 3 3" xfId="48171"/>
    <cellStyle name="集計 9 2 2 3 3 2" xfId="48172"/>
    <cellStyle name="集計 9 2 2 3 3 3" xfId="48173"/>
    <cellStyle name="集計 9 2 2 3 4" xfId="48174"/>
    <cellStyle name="集計 9 2 2 3 4 2" xfId="48175"/>
    <cellStyle name="集計 9 2 2 3 4 3" xfId="48176"/>
    <cellStyle name="集計 9 2 2 3 5" xfId="48177"/>
    <cellStyle name="集計 9 2 2 3 5 2" xfId="48178"/>
    <cellStyle name="集計 9 2 2 3 5 3" xfId="48179"/>
    <cellStyle name="集計 9 2 2 3 6" xfId="48180"/>
    <cellStyle name="集計 9 2 2 3 7" xfId="48181"/>
    <cellStyle name="集計 9 2 2 4" xfId="48182"/>
    <cellStyle name="集計 9 2 2 4 2" xfId="48183"/>
    <cellStyle name="集計 9 2 2 4 2 2" xfId="48184"/>
    <cellStyle name="集計 9 2 2 4 2 2 2" xfId="48185"/>
    <cellStyle name="集計 9 2 2 4 2 2 3" xfId="48186"/>
    <cellStyle name="集計 9 2 2 4 2 3" xfId="48187"/>
    <cellStyle name="集計 9 2 2 4 2 3 2" xfId="48188"/>
    <cellStyle name="集計 9 2 2 4 2 3 3" xfId="48189"/>
    <cellStyle name="集計 9 2 2 4 2 4" xfId="48190"/>
    <cellStyle name="集計 9 2 2 4 2 4 2" xfId="48191"/>
    <cellStyle name="集計 9 2 2 4 2 4 3" xfId="48192"/>
    <cellStyle name="集計 9 2 2 4 2 5" xfId="48193"/>
    <cellStyle name="集計 9 2 2 4 2 6" xfId="48194"/>
    <cellStyle name="集計 9 2 2 4 3" xfId="48195"/>
    <cellStyle name="集計 9 2 2 4 3 2" xfId="48196"/>
    <cellStyle name="集計 9 2 2 4 3 3" xfId="48197"/>
    <cellStyle name="集計 9 2 2 4 4" xfId="48198"/>
    <cellStyle name="集計 9 2 2 4 4 2" xfId="48199"/>
    <cellStyle name="集計 9 2 2 4 4 3" xfId="48200"/>
    <cellStyle name="集計 9 2 2 4 5" xfId="48201"/>
    <cellStyle name="集計 9 2 2 4 5 2" xfId="48202"/>
    <cellStyle name="集計 9 2 2 4 5 3" xfId="48203"/>
    <cellStyle name="集計 9 2 2 4 6" xfId="48204"/>
    <cellStyle name="集計 9 2 2 4 7" xfId="48205"/>
    <cellStyle name="集計 9 2 2 5" xfId="48206"/>
    <cellStyle name="集計 9 2 2 5 2" xfId="48207"/>
    <cellStyle name="集計 9 2 2 5 2 2" xfId="48208"/>
    <cellStyle name="集計 9 2 2 5 2 3" xfId="48209"/>
    <cellStyle name="集計 9 2 2 5 3" xfId="48210"/>
    <cellStyle name="集計 9 2 2 5 3 2" xfId="48211"/>
    <cellStyle name="集計 9 2 2 5 3 3" xfId="48212"/>
    <cellStyle name="集計 9 2 2 5 4" xfId="48213"/>
    <cellStyle name="集計 9 2 2 5 4 2" xfId="48214"/>
    <cellStyle name="集計 9 2 2 5 4 3" xfId="48215"/>
    <cellStyle name="集計 9 2 2 5 5" xfId="48216"/>
    <cellStyle name="集計 9 2 2 5 6" xfId="48217"/>
    <cellStyle name="集計 9 2 2 6" xfId="48218"/>
    <cellStyle name="集計 9 2 2 6 2" xfId="48219"/>
    <cellStyle name="集計 9 2 2 6 3" xfId="48220"/>
    <cellStyle name="集計 9 2 2 7" xfId="48221"/>
    <cellStyle name="集計 9 2 2 7 2" xfId="48222"/>
    <cellStyle name="集計 9 2 2 7 3" xfId="48223"/>
    <cellStyle name="集計 9 2 2 8" xfId="48224"/>
    <cellStyle name="集計 9 2 2 8 2" xfId="48225"/>
    <cellStyle name="集計 9 2 2 8 3" xfId="48226"/>
    <cellStyle name="集計 9 2 2 9" xfId="48227"/>
    <cellStyle name="集計 9 2 3" xfId="48228"/>
    <cellStyle name="集計 9 2 3 2" xfId="48229"/>
    <cellStyle name="集計 9 2 3 2 2" xfId="48230"/>
    <cellStyle name="集計 9 2 3 2 2 2" xfId="48231"/>
    <cellStyle name="集計 9 2 3 2 2 3" xfId="48232"/>
    <cellStyle name="集計 9 2 3 2 3" xfId="48233"/>
    <cellStyle name="集計 9 2 3 2 3 2" xfId="48234"/>
    <cellStyle name="集計 9 2 3 2 3 3" xfId="48235"/>
    <cellStyle name="集計 9 2 3 2 4" xfId="48236"/>
    <cellStyle name="集計 9 2 3 2 4 2" xfId="48237"/>
    <cellStyle name="集計 9 2 3 2 4 3" xfId="48238"/>
    <cellStyle name="集計 9 2 3 2 5" xfId="48239"/>
    <cellStyle name="集計 9 2 3 2 6" xfId="48240"/>
    <cellStyle name="集計 9 2 3 3" xfId="48241"/>
    <cellStyle name="集計 9 2 3 3 2" xfId="48242"/>
    <cellStyle name="集計 9 2 3 3 3" xfId="48243"/>
    <cellStyle name="集計 9 2 3 4" xfId="48244"/>
    <cellStyle name="集計 9 2 3 4 2" xfId="48245"/>
    <cellStyle name="集計 9 2 3 4 3" xfId="48246"/>
    <cellStyle name="集計 9 2 3 5" xfId="48247"/>
    <cellStyle name="集計 9 2 3 5 2" xfId="48248"/>
    <cellStyle name="集計 9 2 3 5 3" xfId="48249"/>
    <cellStyle name="集計 9 2 3 6" xfId="48250"/>
    <cellStyle name="集計 9 2 3 7" xfId="48251"/>
    <cellStyle name="集計 9 2 4" xfId="48252"/>
    <cellStyle name="集計 9 2 4 2" xfId="48253"/>
    <cellStyle name="集計 9 2 4 2 2" xfId="48254"/>
    <cellStyle name="集計 9 2 4 2 2 2" xfId="48255"/>
    <cellStyle name="集計 9 2 4 2 2 3" xfId="48256"/>
    <cellStyle name="集計 9 2 4 2 3" xfId="48257"/>
    <cellStyle name="集計 9 2 4 2 3 2" xfId="48258"/>
    <cellStyle name="集計 9 2 4 2 3 3" xfId="48259"/>
    <cellStyle name="集計 9 2 4 2 4" xfId="48260"/>
    <cellStyle name="集計 9 2 4 2 4 2" xfId="48261"/>
    <cellStyle name="集計 9 2 4 2 4 3" xfId="48262"/>
    <cellStyle name="集計 9 2 4 2 5" xfId="48263"/>
    <cellStyle name="集計 9 2 4 2 6" xfId="48264"/>
    <cellStyle name="集計 9 2 4 3" xfId="48265"/>
    <cellStyle name="集計 9 2 4 3 2" xfId="48266"/>
    <cellStyle name="集計 9 2 4 3 3" xfId="48267"/>
    <cellStyle name="集計 9 2 4 4" xfId="48268"/>
    <cellStyle name="集計 9 2 4 4 2" xfId="48269"/>
    <cellStyle name="集計 9 2 4 4 3" xfId="48270"/>
    <cellStyle name="集計 9 2 4 5" xfId="48271"/>
    <cellStyle name="集計 9 2 4 5 2" xfId="48272"/>
    <cellStyle name="集計 9 2 4 5 3" xfId="48273"/>
    <cellStyle name="集計 9 2 4 6" xfId="48274"/>
    <cellStyle name="集計 9 2 4 7" xfId="48275"/>
    <cellStyle name="集計 9 2 5" xfId="48276"/>
    <cellStyle name="集計 9 2 5 2" xfId="48277"/>
    <cellStyle name="集計 9 2 5 2 2" xfId="48278"/>
    <cellStyle name="集計 9 2 5 2 3" xfId="48279"/>
    <cellStyle name="集計 9 2 5 3" xfId="48280"/>
    <cellStyle name="集計 9 2 5 3 2" xfId="48281"/>
    <cellStyle name="集計 9 2 5 3 3" xfId="48282"/>
    <cellStyle name="集計 9 2 5 4" xfId="48283"/>
    <cellStyle name="集計 9 2 5 4 2" xfId="48284"/>
    <cellStyle name="集計 9 2 5 4 3" xfId="48285"/>
    <cellStyle name="集計 9 2 5 5" xfId="48286"/>
    <cellStyle name="集計 9 2 5 6" xfId="48287"/>
    <cellStyle name="集計 9 2 6" xfId="48288"/>
    <cellStyle name="集計 9 2 6 2" xfId="48289"/>
    <cellStyle name="集計 9 2 6 3" xfId="48290"/>
    <cellStyle name="集計 9 2 7" xfId="48291"/>
    <cellStyle name="集計 9 2 7 2" xfId="48292"/>
    <cellStyle name="集計 9 2 7 3" xfId="48293"/>
    <cellStyle name="集計 9 2 8" xfId="48294"/>
    <cellStyle name="集計 9 2 8 2" xfId="48295"/>
    <cellStyle name="集計 9 2 8 3" xfId="48296"/>
    <cellStyle name="集計 9 2 9" xfId="48297"/>
    <cellStyle name="集計 9 3" xfId="48298"/>
    <cellStyle name="集計 9 3 10" xfId="48299"/>
    <cellStyle name="集計 9 3 2" xfId="48300"/>
    <cellStyle name="集計 9 3 2 10" xfId="48301"/>
    <cellStyle name="集計 9 3 2 2" xfId="48302"/>
    <cellStyle name="集計 9 3 2 2 2" xfId="48303"/>
    <cellStyle name="集計 9 3 2 2 2 2" xfId="48304"/>
    <cellStyle name="集計 9 3 2 2 2 2 2" xfId="48305"/>
    <cellStyle name="集計 9 3 2 2 2 2 2 2" xfId="48306"/>
    <cellStyle name="集計 9 3 2 2 2 2 2 3" xfId="48307"/>
    <cellStyle name="集計 9 3 2 2 2 2 3" xfId="48308"/>
    <cellStyle name="集計 9 3 2 2 2 2 3 2" xfId="48309"/>
    <cellStyle name="集計 9 3 2 2 2 2 3 3" xfId="48310"/>
    <cellStyle name="集計 9 3 2 2 2 2 4" xfId="48311"/>
    <cellStyle name="集計 9 3 2 2 2 2 4 2" xfId="48312"/>
    <cellStyle name="集計 9 3 2 2 2 2 4 3" xfId="48313"/>
    <cellStyle name="集計 9 3 2 2 2 2 5" xfId="48314"/>
    <cellStyle name="集計 9 3 2 2 2 2 6" xfId="48315"/>
    <cellStyle name="集計 9 3 2 2 2 3" xfId="48316"/>
    <cellStyle name="集計 9 3 2 2 2 3 2" xfId="48317"/>
    <cellStyle name="集計 9 3 2 2 2 3 3" xfId="48318"/>
    <cellStyle name="集計 9 3 2 2 2 4" xfId="48319"/>
    <cellStyle name="集計 9 3 2 2 2 4 2" xfId="48320"/>
    <cellStyle name="集計 9 3 2 2 2 4 3" xfId="48321"/>
    <cellStyle name="集計 9 3 2 2 2 5" xfId="48322"/>
    <cellStyle name="集計 9 3 2 2 2 5 2" xfId="48323"/>
    <cellStyle name="集計 9 3 2 2 2 5 3" xfId="48324"/>
    <cellStyle name="集計 9 3 2 2 2 6" xfId="48325"/>
    <cellStyle name="集計 9 3 2 2 2 7" xfId="48326"/>
    <cellStyle name="集計 9 3 2 2 3" xfId="48327"/>
    <cellStyle name="集計 9 3 2 2 3 2" xfId="48328"/>
    <cellStyle name="集計 9 3 2 2 3 2 2" xfId="48329"/>
    <cellStyle name="集計 9 3 2 2 3 2 2 2" xfId="48330"/>
    <cellStyle name="集計 9 3 2 2 3 2 2 3" xfId="48331"/>
    <cellStyle name="集計 9 3 2 2 3 2 3" xfId="48332"/>
    <cellStyle name="集計 9 3 2 2 3 2 3 2" xfId="48333"/>
    <cellStyle name="集計 9 3 2 2 3 2 3 3" xfId="48334"/>
    <cellStyle name="集計 9 3 2 2 3 2 4" xfId="48335"/>
    <cellStyle name="集計 9 3 2 2 3 2 4 2" xfId="48336"/>
    <cellStyle name="集計 9 3 2 2 3 2 4 3" xfId="48337"/>
    <cellStyle name="集計 9 3 2 2 3 2 5" xfId="48338"/>
    <cellStyle name="集計 9 3 2 2 3 2 6" xfId="48339"/>
    <cellStyle name="集計 9 3 2 2 3 3" xfId="48340"/>
    <cellStyle name="集計 9 3 2 2 3 3 2" xfId="48341"/>
    <cellStyle name="集計 9 3 2 2 3 3 3" xfId="48342"/>
    <cellStyle name="集計 9 3 2 2 3 4" xfId="48343"/>
    <cellStyle name="集計 9 3 2 2 3 4 2" xfId="48344"/>
    <cellStyle name="集計 9 3 2 2 3 4 3" xfId="48345"/>
    <cellStyle name="集計 9 3 2 2 3 5" xfId="48346"/>
    <cellStyle name="集計 9 3 2 2 3 5 2" xfId="48347"/>
    <cellStyle name="集計 9 3 2 2 3 5 3" xfId="48348"/>
    <cellStyle name="集計 9 3 2 2 3 6" xfId="48349"/>
    <cellStyle name="集計 9 3 2 2 3 7" xfId="48350"/>
    <cellStyle name="集計 9 3 2 2 4" xfId="48351"/>
    <cellStyle name="集計 9 3 2 2 4 2" xfId="48352"/>
    <cellStyle name="集計 9 3 2 2 4 2 2" xfId="48353"/>
    <cellStyle name="集計 9 3 2 2 4 2 3" xfId="48354"/>
    <cellStyle name="集計 9 3 2 2 4 3" xfId="48355"/>
    <cellStyle name="集計 9 3 2 2 4 3 2" xfId="48356"/>
    <cellStyle name="集計 9 3 2 2 4 3 3" xfId="48357"/>
    <cellStyle name="集計 9 3 2 2 4 4" xfId="48358"/>
    <cellStyle name="集計 9 3 2 2 4 4 2" xfId="48359"/>
    <cellStyle name="集計 9 3 2 2 4 4 3" xfId="48360"/>
    <cellStyle name="集計 9 3 2 2 4 5" xfId="48361"/>
    <cellStyle name="集計 9 3 2 2 4 6" xfId="48362"/>
    <cellStyle name="集計 9 3 2 2 5" xfId="48363"/>
    <cellStyle name="集計 9 3 2 2 5 2" xfId="48364"/>
    <cellStyle name="集計 9 3 2 2 5 3" xfId="48365"/>
    <cellStyle name="集計 9 3 2 2 6" xfId="48366"/>
    <cellStyle name="集計 9 3 2 2 6 2" xfId="48367"/>
    <cellStyle name="集計 9 3 2 2 6 3" xfId="48368"/>
    <cellStyle name="集計 9 3 2 2 7" xfId="48369"/>
    <cellStyle name="集計 9 3 2 2 7 2" xfId="48370"/>
    <cellStyle name="集計 9 3 2 2 7 3" xfId="48371"/>
    <cellStyle name="集計 9 3 2 2 8" xfId="48372"/>
    <cellStyle name="集計 9 3 2 2 9" xfId="48373"/>
    <cellStyle name="集計 9 3 2 3" xfId="48374"/>
    <cellStyle name="集計 9 3 2 3 2" xfId="48375"/>
    <cellStyle name="集計 9 3 2 3 2 2" xfId="48376"/>
    <cellStyle name="集計 9 3 2 3 2 2 2" xfId="48377"/>
    <cellStyle name="集計 9 3 2 3 2 2 3" xfId="48378"/>
    <cellStyle name="集計 9 3 2 3 2 3" xfId="48379"/>
    <cellStyle name="集計 9 3 2 3 2 3 2" xfId="48380"/>
    <cellStyle name="集計 9 3 2 3 2 3 3" xfId="48381"/>
    <cellStyle name="集計 9 3 2 3 2 4" xfId="48382"/>
    <cellStyle name="集計 9 3 2 3 2 4 2" xfId="48383"/>
    <cellStyle name="集計 9 3 2 3 2 4 3" xfId="48384"/>
    <cellStyle name="集計 9 3 2 3 2 5" xfId="48385"/>
    <cellStyle name="集計 9 3 2 3 2 6" xfId="48386"/>
    <cellStyle name="集計 9 3 2 3 3" xfId="48387"/>
    <cellStyle name="集計 9 3 2 3 3 2" xfId="48388"/>
    <cellStyle name="集計 9 3 2 3 3 3" xfId="48389"/>
    <cellStyle name="集計 9 3 2 3 4" xfId="48390"/>
    <cellStyle name="集計 9 3 2 3 4 2" xfId="48391"/>
    <cellStyle name="集計 9 3 2 3 4 3" xfId="48392"/>
    <cellStyle name="集計 9 3 2 3 5" xfId="48393"/>
    <cellStyle name="集計 9 3 2 3 5 2" xfId="48394"/>
    <cellStyle name="集計 9 3 2 3 5 3" xfId="48395"/>
    <cellStyle name="集計 9 3 2 3 6" xfId="48396"/>
    <cellStyle name="集計 9 3 2 3 7" xfId="48397"/>
    <cellStyle name="集計 9 3 2 4" xfId="48398"/>
    <cellStyle name="集計 9 3 2 4 2" xfId="48399"/>
    <cellStyle name="集計 9 3 2 4 2 2" xfId="48400"/>
    <cellStyle name="集計 9 3 2 4 2 2 2" xfId="48401"/>
    <cellStyle name="集計 9 3 2 4 2 2 3" xfId="48402"/>
    <cellStyle name="集計 9 3 2 4 2 3" xfId="48403"/>
    <cellStyle name="集計 9 3 2 4 2 3 2" xfId="48404"/>
    <cellStyle name="集計 9 3 2 4 2 3 3" xfId="48405"/>
    <cellStyle name="集計 9 3 2 4 2 4" xfId="48406"/>
    <cellStyle name="集計 9 3 2 4 2 4 2" xfId="48407"/>
    <cellStyle name="集計 9 3 2 4 2 4 3" xfId="48408"/>
    <cellStyle name="集計 9 3 2 4 2 5" xfId="48409"/>
    <cellStyle name="集計 9 3 2 4 2 6" xfId="48410"/>
    <cellStyle name="集計 9 3 2 4 3" xfId="48411"/>
    <cellStyle name="集計 9 3 2 4 3 2" xfId="48412"/>
    <cellStyle name="集計 9 3 2 4 3 3" xfId="48413"/>
    <cellStyle name="集計 9 3 2 4 4" xfId="48414"/>
    <cellStyle name="集計 9 3 2 4 4 2" xfId="48415"/>
    <cellStyle name="集計 9 3 2 4 4 3" xfId="48416"/>
    <cellStyle name="集計 9 3 2 4 5" xfId="48417"/>
    <cellStyle name="集計 9 3 2 4 5 2" xfId="48418"/>
    <cellStyle name="集計 9 3 2 4 5 3" xfId="48419"/>
    <cellStyle name="集計 9 3 2 4 6" xfId="48420"/>
    <cellStyle name="集計 9 3 2 4 7" xfId="48421"/>
    <cellStyle name="集計 9 3 2 5" xfId="48422"/>
    <cellStyle name="集計 9 3 2 5 2" xfId="48423"/>
    <cellStyle name="集計 9 3 2 5 2 2" xfId="48424"/>
    <cellStyle name="集計 9 3 2 5 2 3" xfId="48425"/>
    <cellStyle name="集計 9 3 2 5 3" xfId="48426"/>
    <cellStyle name="集計 9 3 2 5 3 2" xfId="48427"/>
    <cellStyle name="集計 9 3 2 5 3 3" xfId="48428"/>
    <cellStyle name="集計 9 3 2 5 4" xfId="48429"/>
    <cellStyle name="集計 9 3 2 5 4 2" xfId="48430"/>
    <cellStyle name="集計 9 3 2 5 4 3" xfId="48431"/>
    <cellStyle name="集計 9 3 2 5 5" xfId="48432"/>
    <cellStyle name="集計 9 3 2 5 6" xfId="48433"/>
    <cellStyle name="集計 9 3 2 6" xfId="48434"/>
    <cellStyle name="集計 9 3 2 6 2" xfId="48435"/>
    <cellStyle name="集計 9 3 2 6 3" xfId="48436"/>
    <cellStyle name="集計 9 3 2 7" xfId="48437"/>
    <cellStyle name="集計 9 3 2 7 2" xfId="48438"/>
    <cellStyle name="集計 9 3 2 7 3" xfId="48439"/>
    <cellStyle name="集計 9 3 2 8" xfId="48440"/>
    <cellStyle name="集計 9 3 2 8 2" xfId="48441"/>
    <cellStyle name="集計 9 3 2 8 3" xfId="48442"/>
    <cellStyle name="集計 9 3 2 9" xfId="48443"/>
    <cellStyle name="集計 9 3 3" xfId="48444"/>
    <cellStyle name="集計 9 3 3 2" xfId="48445"/>
    <cellStyle name="集計 9 3 3 2 2" xfId="48446"/>
    <cellStyle name="集計 9 3 3 2 2 2" xfId="48447"/>
    <cellStyle name="集計 9 3 3 2 2 3" xfId="48448"/>
    <cellStyle name="集計 9 3 3 2 3" xfId="48449"/>
    <cellStyle name="集計 9 3 3 2 3 2" xfId="48450"/>
    <cellStyle name="集計 9 3 3 2 3 3" xfId="48451"/>
    <cellStyle name="集計 9 3 3 2 4" xfId="48452"/>
    <cellStyle name="集計 9 3 3 2 4 2" xfId="48453"/>
    <cellStyle name="集計 9 3 3 2 4 3" xfId="48454"/>
    <cellStyle name="集計 9 3 3 2 5" xfId="48455"/>
    <cellStyle name="集計 9 3 3 2 6" xfId="48456"/>
    <cellStyle name="集計 9 3 3 3" xfId="48457"/>
    <cellStyle name="集計 9 3 3 3 2" xfId="48458"/>
    <cellStyle name="集計 9 3 3 3 3" xfId="48459"/>
    <cellStyle name="集計 9 3 3 4" xfId="48460"/>
    <cellStyle name="集計 9 3 3 4 2" xfId="48461"/>
    <cellStyle name="集計 9 3 3 4 3" xfId="48462"/>
    <cellStyle name="集計 9 3 3 5" xfId="48463"/>
    <cellStyle name="集計 9 3 3 5 2" xfId="48464"/>
    <cellStyle name="集計 9 3 3 5 3" xfId="48465"/>
    <cellStyle name="集計 9 3 3 6" xfId="48466"/>
    <cellStyle name="集計 9 3 3 7" xfId="48467"/>
    <cellStyle name="集計 9 3 4" xfId="48468"/>
    <cellStyle name="集計 9 3 4 2" xfId="48469"/>
    <cellStyle name="集計 9 3 4 2 2" xfId="48470"/>
    <cellStyle name="集計 9 3 4 2 2 2" xfId="48471"/>
    <cellStyle name="集計 9 3 4 2 2 3" xfId="48472"/>
    <cellStyle name="集計 9 3 4 2 3" xfId="48473"/>
    <cellStyle name="集計 9 3 4 2 3 2" xfId="48474"/>
    <cellStyle name="集計 9 3 4 2 3 3" xfId="48475"/>
    <cellStyle name="集計 9 3 4 2 4" xfId="48476"/>
    <cellStyle name="集計 9 3 4 2 4 2" xfId="48477"/>
    <cellStyle name="集計 9 3 4 2 4 3" xfId="48478"/>
    <cellStyle name="集計 9 3 4 2 5" xfId="48479"/>
    <cellStyle name="集計 9 3 4 2 6" xfId="48480"/>
    <cellStyle name="集計 9 3 4 3" xfId="48481"/>
    <cellStyle name="集計 9 3 4 3 2" xfId="48482"/>
    <cellStyle name="集計 9 3 4 3 3" xfId="48483"/>
    <cellStyle name="集計 9 3 4 4" xfId="48484"/>
    <cellStyle name="集計 9 3 4 4 2" xfId="48485"/>
    <cellStyle name="集計 9 3 4 4 3" xfId="48486"/>
    <cellStyle name="集計 9 3 4 5" xfId="48487"/>
    <cellStyle name="集計 9 3 4 5 2" xfId="48488"/>
    <cellStyle name="集計 9 3 4 5 3" xfId="48489"/>
    <cellStyle name="集計 9 3 4 6" xfId="48490"/>
    <cellStyle name="集計 9 3 4 7" xfId="48491"/>
    <cellStyle name="集計 9 3 5" xfId="48492"/>
    <cellStyle name="集計 9 3 5 2" xfId="48493"/>
    <cellStyle name="集計 9 3 5 2 2" xfId="48494"/>
    <cellStyle name="集計 9 3 5 2 3" xfId="48495"/>
    <cellStyle name="集計 9 3 5 3" xfId="48496"/>
    <cellStyle name="集計 9 3 5 3 2" xfId="48497"/>
    <cellStyle name="集計 9 3 5 3 3" xfId="48498"/>
    <cellStyle name="集計 9 3 5 4" xfId="48499"/>
    <cellStyle name="集計 9 3 5 4 2" xfId="48500"/>
    <cellStyle name="集計 9 3 5 4 3" xfId="48501"/>
    <cellStyle name="集計 9 3 5 5" xfId="48502"/>
    <cellStyle name="集計 9 3 5 6" xfId="48503"/>
    <cellStyle name="集計 9 3 6" xfId="48504"/>
    <cellStyle name="集計 9 3 6 2" xfId="48505"/>
    <cellStyle name="集計 9 3 6 3" xfId="48506"/>
    <cellStyle name="集計 9 3 7" xfId="48507"/>
    <cellStyle name="集計 9 3 7 2" xfId="48508"/>
    <cellStyle name="集計 9 3 7 3" xfId="48509"/>
    <cellStyle name="集計 9 3 8" xfId="48510"/>
    <cellStyle name="集計 9 3 8 2" xfId="48511"/>
    <cellStyle name="集計 9 3 8 3" xfId="48512"/>
    <cellStyle name="集計 9 3 9" xfId="48513"/>
    <cellStyle name="集計 9 4" xfId="48514"/>
    <cellStyle name="集計 9 4 10" xfId="48515"/>
    <cellStyle name="集計 9 4 2" xfId="48516"/>
    <cellStyle name="集計 9 4 2 10" xfId="48517"/>
    <cellStyle name="集計 9 4 2 2" xfId="48518"/>
    <cellStyle name="集計 9 4 2 2 2" xfId="48519"/>
    <cellStyle name="集計 9 4 2 2 2 2" xfId="48520"/>
    <cellStyle name="集計 9 4 2 2 2 2 2" xfId="48521"/>
    <cellStyle name="集計 9 4 2 2 2 2 2 2" xfId="48522"/>
    <cellStyle name="集計 9 4 2 2 2 2 2 3" xfId="48523"/>
    <cellStyle name="集計 9 4 2 2 2 2 3" xfId="48524"/>
    <cellStyle name="集計 9 4 2 2 2 2 3 2" xfId="48525"/>
    <cellStyle name="集計 9 4 2 2 2 2 3 3" xfId="48526"/>
    <cellStyle name="集計 9 4 2 2 2 2 4" xfId="48527"/>
    <cellStyle name="集計 9 4 2 2 2 2 4 2" xfId="48528"/>
    <cellStyle name="集計 9 4 2 2 2 2 4 3" xfId="48529"/>
    <cellStyle name="集計 9 4 2 2 2 2 5" xfId="48530"/>
    <cellStyle name="集計 9 4 2 2 2 2 6" xfId="48531"/>
    <cellStyle name="集計 9 4 2 2 2 3" xfId="48532"/>
    <cellStyle name="集計 9 4 2 2 2 3 2" xfId="48533"/>
    <cellStyle name="集計 9 4 2 2 2 3 3" xfId="48534"/>
    <cellStyle name="集計 9 4 2 2 2 4" xfId="48535"/>
    <cellStyle name="集計 9 4 2 2 2 4 2" xfId="48536"/>
    <cellStyle name="集計 9 4 2 2 2 4 3" xfId="48537"/>
    <cellStyle name="集計 9 4 2 2 2 5" xfId="48538"/>
    <cellStyle name="集計 9 4 2 2 2 5 2" xfId="48539"/>
    <cellStyle name="集計 9 4 2 2 2 5 3" xfId="48540"/>
    <cellStyle name="集計 9 4 2 2 2 6" xfId="48541"/>
    <cellStyle name="集計 9 4 2 2 2 7" xfId="48542"/>
    <cellStyle name="集計 9 4 2 2 3" xfId="48543"/>
    <cellStyle name="集計 9 4 2 2 3 2" xfId="48544"/>
    <cellStyle name="集計 9 4 2 2 3 2 2" xfId="48545"/>
    <cellStyle name="集計 9 4 2 2 3 2 2 2" xfId="48546"/>
    <cellStyle name="集計 9 4 2 2 3 2 2 3" xfId="48547"/>
    <cellStyle name="集計 9 4 2 2 3 2 3" xfId="48548"/>
    <cellStyle name="集計 9 4 2 2 3 2 3 2" xfId="48549"/>
    <cellStyle name="集計 9 4 2 2 3 2 3 3" xfId="48550"/>
    <cellStyle name="集計 9 4 2 2 3 2 4" xfId="48551"/>
    <cellStyle name="集計 9 4 2 2 3 2 4 2" xfId="48552"/>
    <cellStyle name="集計 9 4 2 2 3 2 4 3" xfId="48553"/>
    <cellStyle name="集計 9 4 2 2 3 2 5" xfId="48554"/>
    <cellStyle name="集計 9 4 2 2 3 2 6" xfId="48555"/>
    <cellStyle name="集計 9 4 2 2 3 3" xfId="48556"/>
    <cellStyle name="集計 9 4 2 2 3 3 2" xfId="48557"/>
    <cellStyle name="集計 9 4 2 2 3 3 3" xfId="48558"/>
    <cellStyle name="集計 9 4 2 2 3 4" xfId="48559"/>
    <cellStyle name="集計 9 4 2 2 3 4 2" xfId="48560"/>
    <cellStyle name="集計 9 4 2 2 3 4 3" xfId="48561"/>
    <cellStyle name="集計 9 4 2 2 3 5" xfId="48562"/>
    <cellStyle name="集計 9 4 2 2 3 5 2" xfId="48563"/>
    <cellStyle name="集計 9 4 2 2 3 5 3" xfId="48564"/>
    <cellStyle name="集計 9 4 2 2 3 6" xfId="48565"/>
    <cellStyle name="集計 9 4 2 2 3 7" xfId="48566"/>
    <cellStyle name="集計 9 4 2 2 4" xfId="48567"/>
    <cellStyle name="集計 9 4 2 2 4 2" xfId="48568"/>
    <cellStyle name="集計 9 4 2 2 4 2 2" xfId="48569"/>
    <cellStyle name="集計 9 4 2 2 4 2 3" xfId="48570"/>
    <cellStyle name="集計 9 4 2 2 4 3" xfId="48571"/>
    <cellStyle name="集計 9 4 2 2 4 3 2" xfId="48572"/>
    <cellStyle name="集計 9 4 2 2 4 3 3" xfId="48573"/>
    <cellStyle name="集計 9 4 2 2 4 4" xfId="48574"/>
    <cellStyle name="集計 9 4 2 2 4 4 2" xfId="48575"/>
    <cellStyle name="集計 9 4 2 2 4 4 3" xfId="48576"/>
    <cellStyle name="集計 9 4 2 2 4 5" xfId="48577"/>
    <cellStyle name="集計 9 4 2 2 4 6" xfId="48578"/>
    <cellStyle name="集計 9 4 2 2 5" xfId="48579"/>
    <cellStyle name="集計 9 4 2 2 5 2" xfId="48580"/>
    <cellStyle name="集計 9 4 2 2 5 3" xfId="48581"/>
    <cellStyle name="集計 9 4 2 2 6" xfId="48582"/>
    <cellStyle name="集計 9 4 2 2 6 2" xfId="48583"/>
    <cellStyle name="集計 9 4 2 2 6 3" xfId="48584"/>
    <cellStyle name="集計 9 4 2 2 7" xfId="48585"/>
    <cellStyle name="集計 9 4 2 2 7 2" xfId="48586"/>
    <cellStyle name="集計 9 4 2 2 7 3" xfId="48587"/>
    <cellStyle name="集計 9 4 2 2 8" xfId="48588"/>
    <cellStyle name="集計 9 4 2 2 9" xfId="48589"/>
    <cellStyle name="集計 9 4 2 3" xfId="48590"/>
    <cellStyle name="集計 9 4 2 3 2" xfId="48591"/>
    <cellStyle name="集計 9 4 2 3 2 2" xfId="48592"/>
    <cellStyle name="集計 9 4 2 3 2 2 2" xfId="48593"/>
    <cellStyle name="集計 9 4 2 3 2 2 3" xfId="48594"/>
    <cellStyle name="集計 9 4 2 3 2 3" xfId="48595"/>
    <cellStyle name="集計 9 4 2 3 2 3 2" xfId="48596"/>
    <cellStyle name="集計 9 4 2 3 2 3 3" xfId="48597"/>
    <cellStyle name="集計 9 4 2 3 2 4" xfId="48598"/>
    <cellStyle name="集計 9 4 2 3 2 4 2" xfId="48599"/>
    <cellStyle name="集計 9 4 2 3 2 4 3" xfId="48600"/>
    <cellStyle name="集計 9 4 2 3 2 5" xfId="48601"/>
    <cellStyle name="集計 9 4 2 3 2 6" xfId="48602"/>
    <cellStyle name="集計 9 4 2 3 3" xfId="48603"/>
    <cellStyle name="集計 9 4 2 3 3 2" xfId="48604"/>
    <cellStyle name="集計 9 4 2 3 3 3" xfId="48605"/>
    <cellStyle name="集計 9 4 2 3 4" xfId="48606"/>
    <cellStyle name="集計 9 4 2 3 4 2" xfId="48607"/>
    <cellStyle name="集計 9 4 2 3 4 3" xfId="48608"/>
    <cellStyle name="集計 9 4 2 3 5" xfId="48609"/>
    <cellStyle name="集計 9 4 2 3 5 2" xfId="48610"/>
    <cellStyle name="集計 9 4 2 3 5 3" xfId="48611"/>
    <cellStyle name="集計 9 4 2 3 6" xfId="48612"/>
    <cellStyle name="集計 9 4 2 3 7" xfId="48613"/>
    <cellStyle name="集計 9 4 2 4" xfId="48614"/>
    <cellStyle name="集計 9 4 2 4 2" xfId="48615"/>
    <cellStyle name="集計 9 4 2 4 2 2" xfId="48616"/>
    <cellStyle name="集計 9 4 2 4 2 2 2" xfId="48617"/>
    <cellStyle name="集計 9 4 2 4 2 2 3" xfId="48618"/>
    <cellStyle name="集計 9 4 2 4 2 3" xfId="48619"/>
    <cellStyle name="集計 9 4 2 4 2 3 2" xfId="48620"/>
    <cellStyle name="集計 9 4 2 4 2 3 3" xfId="48621"/>
    <cellStyle name="集計 9 4 2 4 2 4" xfId="48622"/>
    <cellStyle name="集計 9 4 2 4 2 4 2" xfId="48623"/>
    <cellStyle name="集計 9 4 2 4 2 4 3" xfId="48624"/>
    <cellStyle name="集計 9 4 2 4 2 5" xfId="48625"/>
    <cellStyle name="集計 9 4 2 4 2 6" xfId="48626"/>
    <cellStyle name="集計 9 4 2 4 3" xfId="48627"/>
    <cellStyle name="集計 9 4 2 4 3 2" xfId="48628"/>
    <cellStyle name="集計 9 4 2 4 3 3" xfId="48629"/>
    <cellStyle name="集計 9 4 2 4 4" xfId="48630"/>
    <cellStyle name="集計 9 4 2 4 4 2" xfId="48631"/>
    <cellStyle name="集計 9 4 2 4 4 3" xfId="48632"/>
    <cellStyle name="集計 9 4 2 4 5" xfId="48633"/>
    <cellStyle name="集計 9 4 2 4 5 2" xfId="48634"/>
    <cellStyle name="集計 9 4 2 4 5 3" xfId="48635"/>
    <cellStyle name="集計 9 4 2 4 6" xfId="48636"/>
    <cellStyle name="集計 9 4 2 4 7" xfId="48637"/>
    <cellStyle name="集計 9 4 2 5" xfId="48638"/>
    <cellStyle name="集計 9 4 2 5 2" xfId="48639"/>
    <cellStyle name="集計 9 4 2 5 2 2" xfId="48640"/>
    <cellStyle name="集計 9 4 2 5 2 3" xfId="48641"/>
    <cellStyle name="集計 9 4 2 5 3" xfId="48642"/>
    <cellStyle name="集計 9 4 2 5 3 2" xfId="48643"/>
    <cellStyle name="集計 9 4 2 5 3 3" xfId="48644"/>
    <cellStyle name="集計 9 4 2 5 4" xfId="48645"/>
    <cellStyle name="集計 9 4 2 5 4 2" xfId="48646"/>
    <cellStyle name="集計 9 4 2 5 4 3" xfId="48647"/>
    <cellStyle name="集計 9 4 2 5 5" xfId="48648"/>
    <cellStyle name="集計 9 4 2 5 6" xfId="48649"/>
    <cellStyle name="集計 9 4 2 6" xfId="48650"/>
    <cellStyle name="集計 9 4 2 6 2" xfId="48651"/>
    <cellStyle name="集計 9 4 2 6 3" xfId="48652"/>
    <cellStyle name="集計 9 4 2 7" xfId="48653"/>
    <cellStyle name="集計 9 4 2 7 2" xfId="48654"/>
    <cellStyle name="集計 9 4 2 7 3" xfId="48655"/>
    <cellStyle name="集計 9 4 2 8" xfId="48656"/>
    <cellStyle name="集計 9 4 2 8 2" xfId="48657"/>
    <cellStyle name="集計 9 4 2 8 3" xfId="48658"/>
    <cellStyle name="集計 9 4 2 9" xfId="48659"/>
    <cellStyle name="集計 9 4 3" xfId="48660"/>
    <cellStyle name="集計 9 4 3 2" xfId="48661"/>
    <cellStyle name="集計 9 4 3 2 2" xfId="48662"/>
    <cellStyle name="集計 9 4 3 2 2 2" xfId="48663"/>
    <cellStyle name="集計 9 4 3 2 2 3" xfId="48664"/>
    <cellStyle name="集計 9 4 3 2 3" xfId="48665"/>
    <cellStyle name="集計 9 4 3 2 3 2" xfId="48666"/>
    <cellStyle name="集計 9 4 3 2 3 3" xfId="48667"/>
    <cellStyle name="集計 9 4 3 2 4" xfId="48668"/>
    <cellStyle name="集計 9 4 3 2 4 2" xfId="48669"/>
    <cellStyle name="集計 9 4 3 2 4 3" xfId="48670"/>
    <cellStyle name="集計 9 4 3 2 5" xfId="48671"/>
    <cellStyle name="集計 9 4 3 2 6" xfId="48672"/>
    <cellStyle name="集計 9 4 3 3" xfId="48673"/>
    <cellStyle name="集計 9 4 3 3 2" xfId="48674"/>
    <cellStyle name="集計 9 4 3 3 3" xfId="48675"/>
    <cellStyle name="集計 9 4 3 4" xfId="48676"/>
    <cellStyle name="集計 9 4 3 4 2" xfId="48677"/>
    <cellStyle name="集計 9 4 3 4 3" xfId="48678"/>
    <cellStyle name="集計 9 4 3 5" xfId="48679"/>
    <cellStyle name="集計 9 4 3 5 2" xfId="48680"/>
    <cellStyle name="集計 9 4 3 5 3" xfId="48681"/>
    <cellStyle name="集計 9 4 3 6" xfId="48682"/>
    <cellStyle name="集計 9 4 3 7" xfId="48683"/>
    <cellStyle name="集計 9 4 4" xfId="48684"/>
    <cellStyle name="集計 9 4 4 2" xfId="48685"/>
    <cellStyle name="集計 9 4 4 2 2" xfId="48686"/>
    <cellStyle name="集計 9 4 4 2 2 2" xfId="48687"/>
    <cellStyle name="集計 9 4 4 2 2 3" xfId="48688"/>
    <cellStyle name="集計 9 4 4 2 3" xfId="48689"/>
    <cellStyle name="集計 9 4 4 2 3 2" xfId="48690"/>
    <cellStyle name="集計 9 4 4 2 3 3" xfId="48691"/>
    <cellStyle name="集計 9 4 4 2 4" xfId="48692"/>
    <cellStyle name="集計 9 4 4 2 4 2" xfId="48693"/>
    <cellStyle name="集計 9 4 4 2 4 3" xfId="48694"/>
    <cellStyle name="集計 9 4 4 2 5" xfId="48695"/>
    <cellStyle name="集計 9 4 4 2 6" xfId="48696"/>
    <cellStyle name="集計 9 4 4 3" xfId="48697"/>
    <cellStyle name="集計 9 4 4 3 2" xfId="48698"/>
    <cellStyle name="集計 9 4 4 3 3" xfId="48699"/>
    <cellStyle name="集計 9 4 4 4" xfId="48700"/>
    <cellStyle name="集計 9 4 4 4 2" xfId="48701"/>
    <cellStyle name="集計 9 4 4 4 3" xfId="48702"/>
    <cellStyle name="集計 9 4 4 5" xfId="48703"/>
    <cellStyle name="集計 9 4 4 5 2" xfId="48704"/>
    <cellStyle name="集計 9 4 4 5 3" xfId="48705"/>
    <cellStyle name="集計 9 4 4 6" xfId="48706"/>
    <cellStyle name="集計 9 4 4 7" xfId="48707"/>
    <cellStyle name="集計 9 4 5" xfId="48708"/>
    <cellStyle name="集計 9 4 5 2" xfId="48709"/>
    <cellStyle name="集計 9 4 5 2 2" xfId="48710"/>
    <cellStyle name="集計 9 4 5 2 3" xfId="48711"/>
    <cellStyle name="集計 9 4 5 3" xfId="48712"/>
    <cellStyle name="集計 9 4 5 3 2" xfId="48713"/>
    <cellStyle name="集計 9 4 5 3 3" xfId="48714"/>
    <cellStyle name="集計 9 4 5 4" xfId="48715"/>
    <cellStyle name="集計 9 4 5 4 2" xfId="48716"/>
    <cellStyle name="集計 9 4 5 4 3" xfId="48717"/>
    <cellStyle name="集計 9 4 5 5" xfId="48718"/>
    <cellStyle name="集計 9 4 5 6" xfId="48719"/>
    <cellStyle name="集計 9 4 6" xfId="48720"/>
    <cellStyle name="集計 9 4 6 2" xfId="48721"/>
    <cellStyle name="集計 9 4 6 3" xfId="48722"/>
    <cellStyle name="集計 9 4 7" xfId="48723"/>
    <cellStyle name="集計 9 4 7 2" xfId="48724"/>
    <cellStyle name="集計 9 4 7 3" xfId="48725"/>
    <cellStyle name="集計 9 4 8" xfId="48726"/>
    <cellStyle name="集計 9 4 8 2" xfId="48727"/>
    <cellStyle name="集計 9 4 8 3" xfId="48728"/>
    <cellStyle name="集計 9 4 9" xfId="48729"/>
    <cellStyle name="集計 9 5" xfId="48730"/>
    <cellStyle name="集計 9 5 10" xfId="48731"/>
    <cellStyle name="集計 9 5 2" xfId="48732"/>
    <cellStyle name="集計 9 5 2 2" xfId="48733"/>
    <cellStyle name="集計 9 5 2 2 2" xfId="48734"/>
    <cellStyle name="集計 9 5 2 2 2 2" xfId="48735"/>
    <cellStyle name="集計 9 5 2 2 2 2 2" xfId="48736"/>
    <cellStyle name="集計 9 5 2 2 2 2 3" xfId="48737"/>
    <cellStyle name="集計 9 5 2 2 2 3" xfId="48738"/>
    <cellStyle name="集計 9 5 2 2 2 3 2" xfId="48739"/>
    <cellStyle name="集計 9 5 2 2 2 3 3" xfId="48740"/>
    <cellStyle name="集計 9 5 2 2 2 4" xfId="48741"/>
    <cellStyle name="集計 9 5 2 2 2 4 2" xfId="48742"/>
    <cellStyle name="集計 9 5 2 2 2 4 3" xfId="48743"/>
    <cellStyle name="集計 9 5 2 2 2 5" xfId="48744"/>
    <cellStyle name="集計 9 5 2 2 2 6" xfId="48745"/>
    <cellStyle name="集計 9 5 2 2 3" xfId="48746"/>
    <cellStyle name="集計 9 5 2 2 3 2" xfId="48747"/>
    <cellStyle name="集計 9 5 2 2 3 3" xfId="48748"/>
    <cellStyle name="集計 9 5 2 2 4" xfId="48749"/>
    <cellStyle name="集計 9 5 2 2 4 2" xfId="48750"/>
    <cellStyle name="集計 9 5 2 2 4 3" xfId="48751"/>
    <cellStyle name="集計 9 5 2 2 5" xfId="48752"/>
    <cellStyle name="集計 9 5 2 2 5 2" xfId="48753"/>
    <cellStyle name="集計 9 5 2 2 5 3" xfId="48754"/>
    <cellStyle name="集計 9 5 2 2 6" xfId="48755"/>
    <cellStyle name="集計 9 5 2 2 7" xfId="48756"/>
    <cellStyle name="集計 9 5 2 3" xfId="48757"/>
    <cellStyle name="集計 9 5 2 3 2" xfId="48758"/>
    <cellStyle name="集計 9 5 2 3 2 2" xfId="48759"/>
    <cellStyle name="集計 9 5 2 3 2 2 2" xfId="48760"/>
    <cellStyle name="集計 9 5 2 3 2 2 3" xfId="48761"/>
    <cellStyle name="集計 9 5 2 3 2 3" xfId="48762"/>
    <cellStyle name="集計 9 5 2 3 2 3 2" xfId="48763"/>
    <cellStyle name="集計 9 5 2 3 2 3 3" xfId="48764"/>
    <cellStyle name="集計 9 5 2 3 2 4" xfId="48765"/>
    <cellStyle name="集計 9 5 2 3 2 4 2" xfId="48766"/>
    <cellStyle name="集計 9 5 2 3 2 4 3" xfId="48767"/>
    <cellStyle name="集計 9 5 2 3 2 5" xfId="48768"/>
    <cellStyle name="集計 9 5 2 3 2 6" xfId="48769"/>
    <cellStyle name="集計 9 5 2 3 3" xfId="48770"/>
    <cellStyle name="集計 9 5 2 3 3 2" xfId="48771"/>
    <cellStyle name="集計 9 5 2 3 3 3" xfId="48772"/>
    <cellStyle name="集計 9 5 2 3 4" xfId="48773"/>
    <cellStyle name="集計 9 5 2 3 4 2" xfId="48774"/>
    <cellStyle name="集計 9 5 2 3 4 3" xfId="48775"/>
    <cellStyle name="集計 9 5 2 3 5" xfId="48776"/>
    <cellStyle name="集計 9 5 2 3 5 2" xfId="48777"/>
    <cellStyle name="集計 9 5 2 3 5 3" xfId="48778"/>
    <cellStyle name="集計 9 5 2 3 6" xfId="48779"/>
    <cellStyle name="集計 9 5 2 3 7" xfId="48780"/>
    <cellStyle name="集計 9 5 2 4" xfId="48781"/>
    <cellStyle name="集計 9 5 2 4 2" xfId="48782"/>
    <cellStyle name="集計 9 5 2 4 2 2" xfId="48783"/>
    <cellStyle name="集計 9 5 2 4 2 3" xfId="48784"/>
    <cellStyle name="集計 9 5 2 4 3" xfId="48785"/>
    <cellStyle name="集計 9 5 2 4 3 2" xfId="48786"/>
    <cellStyle name="集計 9 5 2 4 3 3" xfId="48787"/>
    <cellStyle name="集計 9 5 2 4 4" xfId="48788"/>
    <cellStyle name="集計 9 5 2 4 4 2" xfId="48789"/>
    <cellStyle name="集計 9 5 2 4 4 3" xfId="48790"/>
    <cellStyle name="集計 9 5 2 4 5" xfId="48791"/>
    <cellStyle name="集計 9 5 2 4 6" xfId="48792"/>
    <cellStyle name="集計 9 5 2 5" xfId="48793"/>
    <cellStyle name="集計 9 5 2 5 2" xfId="48794"/>
    <cellStyle name="集計 9 5 2 5 3" xfId="48795"/>
    <cellStyle name="集計 9 5 2 6" xfId="48796"/>
    <cellStyle name="集計 9 5 2 6 2" xfId="48797"/>
    <cellStyle name="集計 9 5 2 6 3" xfId="48798"/>
    <cellStyle name="集計 9 5 2 7" xfId="48799"/>
    <cellStyle name="集計 9 5 2 7 2" xfId="48800"/>
    <cellStyle name="集計 9 5 2 7 3" xfId="48801"/>
    <cellStyle name="集計 9 5 2 8" xfId="48802"/>
    <cellStyle name="集計 9 5 2 9" xfId="48803"/>
    <cellStyle name="集計 9 5 3" xfId="48804"/>
    <cellStyle name="集計 9 5 3 2" xfId="48805"/>
    <cellStyle name="集計 9 5 3 2 2" xfId="48806"/>
    <cellStyle name="集計 9 5 3 2 2 2" xfId="48807"/>
    <cellStyle name="集計 9 5 3 2 2 3" xfId="48808"/>
    <cellStyle name="集計 9 5 3 2 3" xfId="48809"/>
    <cellStyle name="集計 9 5 3 2 3 2" xfId="48810"/>
    <cellStyle name="集計 9 5 3 2 3 3" xfId="48811"/>
    <cellStyle name="集計 9 5 3 2 4" xfId="48812"/>
    <cellStyle name="集計 9 5 3 2 4 2" xfId="48813"/>
    <cellStyle name="集計 9 5 3 2 4 3" xfId="48814"/>
    <cellStyle name="集計 9 5 3 2 5" xfId="48815"/>
    <cellStyle name="集計 9 5 3 2 6" xfId="48816"/>
    <cellStyle name="集計 9 5 3 3" xfId="48817"/>
    <cellStyle name="集計 9 5 3 3 2" xfId="48818"/>
    <cellStyle name="集計 9 5 3 3 3" xfId="48819"/>
    <cellStyle name="集計 9 5 3 4" xfId="48820"/>
    <cellStyle name="集計 9 5 3 4 2" xfId="48821"/>
    <cellStyle name="集計 9 5 3 4 3" xfId="48822"/>
    <cellStyle name="集計 9 5 3 5" xfId="48823"/>
    <cellStyle name="集計 9 5 3 5 2" xfId="48824"/>
    <cellStyle name="集計 9 5 3 5 3" xfId="48825"/>
    <cellStyle name="集計 9 5 3 6" xfId="48826"/>
    <cellStyle name="集計 9 5 3 7" xfId="48827"/>
    <cellStyle name="集計 9 5 4" xfId="48828"/>
    <cellStyle name="集計 9 5 4 2" xfId="48829"/>
    <cellStyle name="集計 9 5 4 2 2" xfId="48830"/>
    <cellStyle name="集計 9 5 4 2 2 2" xfId="48831"/>
    <cellStyle name="集計 9 5 4 2 2 3" xfId="48832"/>
    <cellStyle name="集計 9 5 4 2 3" xfId="48833"/>
    <cellStyle name="集計 9 5 4 2 3 2" xfId="48834"/>
    <cellStyle name="集計 9 5 4 2 3 3" xfId="48835"/>
    <cellStyle name="集計 9 5 4 2 4" xfId="48836"/>
    <cellStyle name="集計 9 5 4 2 4 2" xfId="48837"/>
    <cellStyle name="集計 9 5 4 2 4 3" xfId="48838"/>
    <cellStyle name="集計 9 5 4 2 5" xfId="48839"/>
    <cellStyle name="集計 9 5 4 2 6" xfId="48840"/>
    <cellStyle name="集計 9 5 4 3" xfId="48841"/>
    <cellStyle name="集計 9 5 4 3 2" xfId="48842"/>
    <cellStyle name="集計 9 5 4 3 3" xfId="48843"/>
    <cellStyle name="集計 9 5 4 4" xfId="48844"/>
    <cellStyle name="集計 9 5 4 4 2" xfId="48845"/>
    <cellStyle name="集計 9 5 4 4 3" xfId="48846"/>
    <cellStyle name="集計 9 5 4 5" xfId="48847"/>
    <cellStyle name="集計 9 5 4 5 2" xfId="48848"/>
    <cellStyle name="集計 9 5 4 5 3" xfId="48849"/>
    <cellStyle name="集計 9 5 4 6" xfId="48850"/>
    <cellStyle name="集計 9 5 4 7" xfId="48851"/>
    <cellStyle name="集計 9 5 5" xfId="48852"/>
    <cellStyle name="集計 9 5 5 2" xfId="48853"/>
    <cellStyle name="集計 9 5 5 2 2" xfId="48854"/>
    <cellStyle name="集計 9 5 5 2 3" xfId="48855"/>
    <cellStyle name="集計 9 5 5 3" xfId="48856"/>
    <cellStyle name="集計 9 5 5 3 2" xfId="48857"/>
    <cellStyle name="集計 9 5 5 3 3" xfId="48858"/>
    <cellStyle name="集計 9 5 5 4" xfId="48859"/>
    <cellStyle name="集計 9 5 5 4 2" xfId="48860"/>
    <cellStyle name="集計 9 5 5 4 3" xfId="48861"/>
    <cellStyle name="集計 9 5 5 5" xfId="48862"/>
    <cellStyle name="集計 9 5 5 6" xfId="48863"/>
    <cellStyle name="集計 9 5 6" xfId="48864"/>
    <cellStyle name="集計 9 5 6 2" xfId="48865"/>
    <cellStyle name="集計 9 5 6 3" xfId="48866"/>
    <cellStyle name="集計 9 5 7" xfId="48867"/>
    <cellStyle name="集計 9 5 7 2" xfId="48868"/>
    <cellStyle name="集計 9 5 7 3" xfId="48869"/>
    <cellStyle name="集計 9 5 8" xfId="48870"/>
    <cellStyle name="集計 9 5 8 2" xfId="48871"/>
    <cellStyle name="集計 9 5 8 3" xfId="48872"/>
    <cellStyle name="集計 9 5 9" xfId="48873"/>
    <cellStyle name="集計 9 6" xfId="48874"/>
    <cellStyle name="集計 9 6 10" xfId="48875"/>
    <cellStyle name="集計 9 6 2" xfId="48876"/>
    <cellStyle name="集計 9 6 2 2" xfId="48877"/>
    <cellStyle name="集計 9 6 2 2 2" xfId="48878"/>
    <cellStyle name="集計 9 6 2 2 2 2" xfId="48879"/>
    <cellStyle name="集計 9 6 2 2 2 2 2" xfId="48880"/>
    <cellStyle name="集計 9 6 2 2 2 2 3" xfId="48881"/>
    <cellStyle name="集計 9 6 2 2 2 3" xfId="48882"/>
    <cellStyle name="集計 9 6 2 2 2 3 2" xfId="48883"/>
    <cellStyle name="集計 9 6 2 2 2 3 3" xfId="48884"/>
    <cellStyle name="集計 9 6 2 2 2 4" xfId="48885"/>
    <cellStyle name="集計 9 6 2 2 2 4 2" xfId="48886"/>
    <cellStyle name="集計 9 6 2 2 2 4 3" xfId="48887"/>
    <cellStyle name="集計 9 6 2 2 2 5" xfId="48888"/>
    <cellStyle name="集計 9 6 2 2 2 6" xfId="48889"/>
    <cellStyle name="集計 9 6 2 2 3" xfId="48890"/>
    <cellStyle name="集計 9 6 2 2 3 2" xfId="48891"/>
    <cellStyle name="集計 9 6 2 2 3 3" xfId="48892"/>
    <cellStyle name="集計 9 6 2 2 4" xfId="48893"/>
    <cellStyle name="集計 9 6 2 2 4 2" xfId="48894"/>
    <cellStyle name="集計 9 6 2 2 4 3" xfId="48895"/>
    <cellStyle name="集計 9 6 2 2 5" xfId="48896"/>
    <cellStyle name="集計 9 6 2 2 5 2" xfId="48897"/>
    <cellStyle name="集計 9 6 2 2 5 3" xfId="48898"/>
    <cellStyle name="集計 9 6 2 2 6" xfId="48899"/>
    <cellStyle name="集計 9 6 2 2 7" xfId="48900"/>
    <cellStyle name="集計 9 6 2 3" xfId="48901"/>
    <cellStyle name="集計 9 6 2 3 2" xfId="48902"/>
    <cellStyle name="集計 9 6 2 3 2 2" xfId="48903"/>
    <cellStyle name="集計 9 6 2 3 2 2 2" xfId="48904"/>
    <cellStyle name="集計 9 6 2 3 2 2 3" xfId="48905"/>
    <cellStyle name="集計 9 6 2 3 2 3" xfId="48906"/>
    <cellStyle name="集計 9 6 2 3 2 3 2" xfId="48907"/>
    <cellStyle name="集計 9 6 2 3 2 3 3" xfId="48908"/>
    <cellStyle name="集計 9 6 2 3 2 4" xfId="48909"/>
    <cellStyle name="集計 9 6 2 3 2 4 2" xfId="48910"/>
    <cellStyle name="集計 9 6 2 3 2 4 3" xfId="48911"/>
    <cellStyle name="集計 9 6 2 3 2 5" xfId="48912"/>
    <cellStyle name="集計 9 6 2 3 2 6" xfId="48913"/>
    <cellStyle name="集計 9 6 2 3 3" xfId="48914"/>
    <cellStyle name="集計 9 6 2 3 3 2" xfId="48915"/>
    <cellStyle name="集計 9 6 2 3 3 3" xfId="48916"/>
    <cellStyle name="集計 9 6 2 3 4" xfId="48917"/>
    <cellStyle name="集計 9 6 2 3 4 2" xfId="48918"/>
    <cellStyle name="集計 9 6 2 3 4 3" xfId="48919"/>
    <cellStyle name="集計 9 6 2 3 5" xfId="48920"/>
    <cellStyle name="集計 9 6 2 3 5 2" xfId="48921"/>
    <cellStyle name="集計 9 6 2 3 5 3" xfId="48922"/>
    <cellStyle name="集計 9 6 2 3 6" xfId="48923"/>
    <cellStyle name="集計 9 6 2 3 7" xfId="48924"/>
    <cellStyle name="集計 9 6 2 4" xfId="48925"/>
    <cellStyle name="集計 9 6 2 4 2" xfId="48926"/>
    <cellStyle name="集計 9 6 2 4 2 2" xfId="48927"/>
    <cellStyle name="集計 9 6 2 4 2 3" xfId="48928"/>
    <cellStyle name="集計 9 6 2 4 3" xfId="48929"/>
    <cellStyle name="集計 9 6 2 4 3 2" xfId="48930"/>
    <cellStyle name="集計 9 6 2 4 3 3" xfId="48931"/>
    <cellStyle name="集計 9 6 2 4 4" xfId="48932"/>
    <cellStyle name="集計 9 6 2 4 4 2" xfId="48933"/>
    <cellStyle name="集計 9 6 2 4 4 3" xfId="48934"/>
    <cellStyle name="集計 9 6 2 4 5" xfId="48935"/>
    <cellStyle name="集計 9 6 2 4 6" xfId="48936"/>
    <cellStyle name="集計 9 6 2 5" xfId="48937"/>
    <cellStyle name="集計 9 6 2 5 2" xfId="48938"/>
    <cellStyle name="集計 9 6 2 5 3" xfId="48939"/>
    <cellStyle name="集計 9 6 2 6" xfId="48940"/>
    <cellStyle name="集計 9 6 2 6 2" xfId="48941"/>
    <cellStyle name="集計 9 6 2 6 3" xfId="48942"/>
    <cellStyle name="集計 9 6 2 7" xfId="48943"/>
    <cellStyle name="集計 9 6 2 7 2" xfId="48944"/>
    <cellStyle name="集計 9 6 2 7 3" xfId="48945"/>
    <cellStyle name="集計 9 6 2 8" xfId="48946"/>
    <cellStyle name="集計 9 6 2 9" xfId="48947"/>
    <cellStyle name="集計 9 6 3" xfId="48948"/>
    <cellStyle name="集計 9 6 3 2" xfId="48949"/>
    <cellStyle name="集計 9 6 3 2 2" xfId="48950"/>
    <cellStyle name="集計 9 6 3 2 2 2" xfId="48951"/>
    <cellStyle name="集計 9 6 3 2 2 3" xfId="48952"/>
    <cellStyle name="集計 9 6 3 2 3" xfId="48953"/>
    <cellStyle name="集計 9 6 3 2 3 2" xfId="48954"/>
    <cellStyle name="集計 9 6 3 2 3 3" xfId="48955"/>
    <cellStyle name="集計 9 6 3 2 4" xfId="48956"/>
    <cellStyle name="集計 9 6 3 2 4 2" xfId="48957"/>
    <cellStyle name="集計 9 6 3 2 4 3" xfId="48958"/>
    <cellStyle name="集計 9 6 3 2 5" xfId="48959"/>
    <cellStyle name="集計 9 6 3 2 6" xfId="48960"/>
    <cellStyle name="集計 9 6 3 3" xfId="48961"/>
    <cellStyle name="集計 9 6 3 3 2" xfId="48962"/>
    <cellStyle name="集計 9 6 3 3 3" xfId="48963"/>
    <cellStyle name="集計 9 6 3 4" xfId="48964"/>
    <cellStyle name="集計 9 6 3 4 2" xfId="48965"/>
    <cellStyle name="集計 9 6 3 4 3" xfId="48966"/>
    <cellStyle name="集計 9 6 3 5" xfId="48967"/>
    <cellStyle name="集計 9 6 3 5 2" xfId="48968"/>
    <cellStyle name="集計 9 6 3 5 3" xfId="48969"/>
    <cellStyle name="集計 9 6 3 6" xfId="48970"/>
    <cellStyle name="集計 9 6 3 7" xfId="48971"/>
    <cellStyle name="集計 9 6 4" xfId="48972"/>
    <cellStyle name="集計 9 6 4 2" xfId="48973"/>
    <cellStyle name="集計 9 6 4 2 2" xfId="48974"/>
    <cellStyle name="集計 9 6 4 2 2 2" xfId="48975"/>
    <cellStyle name="集計 9 6 4 2 2 3" xfId="48976"/>
    <cellStyle name="集計 9 6 4 2 3" xfId="48977"/>
    <cellStyle name="集計 9 6 4 2 3 2" xfId="48978"/>
    <cellStyle name="集計 9 6 4 2 3 3" xfId="48979"/>
    <cellStyle name="集計 9 6 4 2 4" xfId="48980"/>
    <cellStyle name="集計 9 6 4 2 4 2" xfId="48981"/>
    <cellStyle name="集計 9 6 4 2 4 3" xfId="48982"/>
    <cellStyle name="集計 9 6 4 2 5" xfId="48983"/>
    <cellStyle name="集計 9 6 4 2 6" xfId="48984"/>
    <cellStyle name="集計 9 6 4 3" xfId="48985"/>
    <cellStyle name="集計 9 6 4 3 2" xfId="48986"/>
    <cellStyle name="集計 9 6 4 3 3" xfId="48987"/>
    <cellStyle name="集計 9 6 4 4" xfId="48988"/>
    <cellStyle name="集計 9 6 4 4 2" xfId="48989"/>
    <cellStyle name="集計 9 6 4 4 3" xfId="48990"/>
    <cellStyle name="集計 9 6 4 5" xfId="48991"/>
    <cellStyle name="集計 9 6 4 5 2" xfId="48992"/>
    <cellStyle name="集計 9 6 4 5 3" xfId="48993"/>
    <cellStyle name="集計 9 6 4 6" xfId="48994"/>
    <cellStyle name="集計 9 6 4 7" xfId="48995"/>
    <cellStyle name="集計 9 6 5" xfId="48996"/>
    <cellStyle name="集計 9 6 5 2" xfId="48997"/>
    <cellStyle name="集計 9 6 5 2 2" xfId="48998"/>
    <cellStyle name="集計 9 6 5 2 3" xfId="48999"/>
    <cellStyle name="集計 9 6 5 3" xfId="49000"/>
    <cellStyle name="集計 9 6 5 3 2" xfId="49001"/>
    <cellStyle name="集計 9 6 5 3 3" xfId="49002"/>
    <cellStyle name="集計 9 6 5 4" xfId="49003"/>
    <cellStyle name="集計 9 6 5 4 2" xfId="49004"/>
    <cellStyle name="集計 9 6 5 4 3" xfId="49005"/>
    <cellStyle name="集計 9 6 5 5" xfId="49006"/>
    <cellStyle name="集計 9 6 5 6" xfId="49007"/>
    <cellStyle name="集計 9 6 6" xfId="49008"/>
    <cellStyle name="集計 9 6 6 2" xfId="49009"/>
    <cellStyle name="集計 9 6 6 3" xfId="49010"/>
    <cellStyle name="集計 9 6 7" xfId="49011"/>
    <cellStyle name="集計 9 6 7 2" xfId="49012"/>
    <cellStyle name="集計 9 6 7 3" xfId="49013"/>
    <cellStyle name="集計 9 6 8" xfId="49014"/>
    <cellStyle name="集計 9 6 8 2" xfId="49015"/>
    <cellStyle name="集計 9 6 8 3" xfId="49016"/>
    <cellStyle name="集計 9 6 9" xfId="49017"/>
    <cellStyle name="集計 9 7" xfId="49018"/>
    <cellStyle name="集計 9 7 2" xfId="49019"/>
    <cellStyle name="集計 9 7 2 2" xfId="49020"/>
    <cellStyle name="集計 9 7 2 2 2" xfId="49021"/>
    <cellStyle name="集計 9 7 2 2 3" xfId="49022"/>
    <cellStyle name="集計 9 7 2 3" xfId="49023"/>
    <cellStyle name="集計 9 7 2 3 2" xfId="49024"/>
    <cellStyle name="集計 9 7 2 3 3" xfId="49025"/>
    <cellStyle name="集計 9 7 2 4" xfId="49026"/>
    <cellStyle name="集計 9 7 2 4 2" xfId="49027"/>
    <cellStyle name="集計 9 7 2 4 3" xfId="49028"/>
    <cellStyle name="集計 9 7 2 5" xfId="49029"/>
    <cellStyle name="集計 9 7 2 6" xfId="49030"/>
    <cellStyle name="集計 9 7 3" xfId="49031"/>
    <cellStyle name="集計 9 7 3 2" xfId="49032"/>
    <cellStyle name="集計 9 7 3 3" xfId="49033"/>
    <cellStyle name="集計 9 7 4" xfId="49034"/>
    <cellStyle name="集計 9 7 4 2" xfId="49035"/>
    <cellStyle name="集計 9 7 4 3" xfId="49036"/>
    <cellStyle name="集計 9 7 5" xfId="49037"/>
    <cellStyle name="集計 9 7 5 2" xfId="49038"/>
    <cellStyle name="集計 9 7 5 3" xfId="49039"/>
    <cellStyle name="集計 9 7 6" xfId="49040"/>
    <cellStyle name="集計 9 7 7" xfId="49041"/>
    <cellStyle name="集計 9 8" xfId="49042"/>
    <cellStyle name="集計 9 8 2" xfId="49043"/>
    <cellStyle name="集計 9 8 2 2" xfId="49044"/>
    <cellStyle name="集計 9 8 2 2 2" xfId="49045"/>
    <cellStyle name="集計 9 8 2 2 3" xfId="49046"/>
    <cellStyle name="集計 9 8 2 3" xfId="49047"/>
    <cellStyle name="集計 9 8 2 3 2" xfId="49048"/>
    <cellStyle name="集計 9 8 2 3 3" xfId="49049"/>
    <cellStyle name="集計 9 8 2 4" xfId="49050"/>
    <cellStyle name="集計 9 8 2 4 2" xfId="49051"/>
    <cellStyle name="集計 9 8 2 4 3" xfId="49052"/>
    <cellStyle name="集計 9 8 2 5" xfId="49053"/>
    <cellStyle name="集計 9 8 2 6" xfId="49054"/>
    <cellStyle name="集計 9 8 3" xfId="49055"/>
    <cellStyle name="集計 9 8 3 2" xfId="49056"/>
    <cellStyle name="集計 9 8 3 3" xfId="49057"/>
    <cellStyle name="集計 9 8 4" xfId="49058"/>
    <cellStyle name="集計 9 8 4 2" xfId="49059"/>
    <cellStyle name="集計 9 8 4 3" xfId="49060"/>
    <cellStyle name="集計 9 8 5" xfId="49061"/>
    <cellStyle name="集計 9 8 5 2" xfId="49062"/>
    <cellStyle name="集計 9 8 5 3" xfId="49063"/>
    <cellStyle name="集計 9 8 6" xfId="49064"/>
    <cellStyle name="集計 9 8 7" xfId="49065"/>
    <cellStyle name="集計 9 9" xfId="49066"/>
    <cellStyle name="集計 9 9 2" xfId="49067"/>
    <cellStyle name="集計 9 9 2 2" xfId="49068"/>
    <cellStyle name="集計 9 9 2 3" xfId="49069"/>
    <cellStyle name="集計 9 9 3" xfId="49070"/>
    <cellStyle name="集計 9 9 3 2" xfId="49071"/>
    <cellStyle name="集計 9 9 3 3" xfId="49072"/>
    <cellStyle name="集計 9 9 4" xfId="49073"/>
    <cellStyle name="集計 9 9 4 2" xfId="49074"/>
    <cellStyle name="集計 9 9 4 3" xfId="49075"/>
    <cellStyle name="集計 9 9 5" xfId="49076"/>
    <cellStyle name="集計 9 9 6" xfId="49077"/>
  </cellStyles>
  <dxfs count="0"/>
  <tableStyles count="0" defaultTableStyle="TableStyleMedium9" defaultPivotStyle="PivotStyleLight16"/>
  <colors>
    <mruColors>
      <color rgb="FF00FF00"/>
      <color rgb="FF66FF33"/>
      <color rgb="FF99FF33"/>
      <color rgb="FF66FF99"/>
      <color rgb="FFFFCCFF"/>
      <color rgb="FFF2A6C8"/>
      <color rgb="FFFFCC00"/>
      <color rgb="FFFF99CC"/>
      <color rgb="FFCC99FF"/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13" Type="http://schemas.openxmlformats.org/officeDocument/2006/relationships/image" Target="../media/image10.emf"/><Relationship Id="rId18" Type="http://schemas.openxmlformats.org/officeDocument/2006/relationships/image" Target="../media/image26.emf"/><Relationship Id="rId26" Type="http://schemas.openxmlformats.org/officeDocument/2006/relationships/image" Target="../media/image34.emf"/><Relationship Id="rId39" Type="http://schemas.openxmlformats.org/officeDocument/2006/relationships/image" Target="../media/image2.emf"/><Relationship Id="rId3" Type="http://schemas.openxmlformats.org/officeDocument/2006/relationships/image" Target="../media/image20.emf"/><Relationship Id="rId21" Type="http://schemas.openxmlformats.org/officeDocument/2006/relationships/image" Target="../media/image29.emf"/><Relationship Id="rId34" Type="http://schemas.openxmlformats.org/officeDocument/2006/relationships/image" Target="../media/image7.emf"/><Relationship Id="rId7" Type="http://schemas.openxmlformats.org/officeDocument/2006/relationships/image" Target="../media/image16.emf"/><Relationship Id="rId12" Type="http://schemas.openxmlformats.org/officeDocument/2006/relationships/image" Target="../media/image11.emf"/><Relationship Id="rId17" Type="http://schemas.openxmlformats.org/officeDocument/2006/relationships/image" Target="../media/image25.emf"/><Relationship Id="rId25" Type="http://schemas.openxmlformats.org/officeDocument/2006/relationships/image" Target="../media/image33.emf"/><Relationship Id="rId33" Type="http://schemas.openxmlformats.org/officeDocument/2006/relationships/image" Target="../media/image8.emf"/><Relationship Id="rId38" Type="http://schemas.openxmlformats.org/officeDocument/2006/relationships/image" Target="../media/image3.emf"/><Relationship Id="rId2" Type="http://schemas.openxmlformats.org/officeDocument/2006/relationships/image" Target="../media/image21.emf"/><Relationship Id="rId16" Type="http://schemas.openxmlformats.org/officeDocument/2006/relationships/image" Target="../media/image24.emf"/><Relationship Id="rId20" Type="http://schemas.openxmlformats.org/officeDocument/2006/relationships/image" Target="../media/image28.emf"/><Relationship Id="rId29" Type="http://schemas.openxmlformats.org/officeDocument/2006/relationships/image" Target="../media/image37.emf"/><Relationship Id="rId1" Type="http://schemas.openxmlformats.org/officeDocument/2006/relationships/image" Target="../media/image22.emf"/><Relationship Id="rId6" Type="http://schemas.openxmlformats.org/officeDocument/2006/relationships/image" Target="../media/image17.emf"/><Relationship Id="rId11" Type="http://schemas.openxmlformats.org/officeDocument/2006/relationships/image" Target="../media/image12.emf"/><Relationship Id="rId24" Type="http://schemas.openxmlformats.org/officeDocument/2006/relationships/image" Target="../media/image32.emf"/><Relationship Id="rId32" Type="http://schemas.openxmlformats.org/officeDocument/2006/relationships/image" Target="../media/image40.emf"/><Relationship Id="rId37" Type="http://schemas.openxmlformats.org/officeDocument/2006/relationships/image" Target="../media/image4.emf"/><Relationship Id="rId40" Type="http://schemas.openxmlformats.org/officeDocument/2006/relationships/image" Target="../media/image1.emf"/><Relationship Id="rId5" Type="http://schemas.openxmlformats.org/officeDocument/2006/relationships/image" Target="../media/image18.emf"/><Relationship Id="rId15" Type="http://schemas.openxmlformats.org/officeDocument/2006/relationships/image" Target="../media/image23.emf"/><Relationship Id="rId23" Type="http://schemas.openxmlformats.org/officeDocument/2006/relationships/image" Target="../media/image31.emf"/><Relationship Id="rId28" Type="http://schemas.openxmlformats.org/officeDocument/2006/relationships/image" Target="../media/image36.emf"/><Relationship Id="rId36" Type="http://schemas.openxmlformats.org/officeDocument/2006/relationships/image" Target="../media/image5.emf"/><Relationship Id="rId10" Type="http://schemas.openxmlformats.org/officeDocument/2006/relationships/image" Target="../media/image13.emf"/><Relationship Id="rId19" Type="http://schemas.openxmlformats.org/officeDocument/2006/relationships/image" Target="../media/image27.emf"/><Relationship Id="rId31" Type="http://schemas.openxmlformats.org/officeDocument/2006/relationships/image" Target="../media/image39.emf"/><Relationship Id="rId4" Type="http://schemas.openxmlformats.org/officeDocument/2006/relationships/image" Target="../media/image19.emf"/><Relationship Id="rId9" Type="http://schemas.openxmlformats.org/officeDocument/2006/relationships/image" Target="../media/image14.emf"/><Relationship Id="rId14" Type="http://schemas.openxmlformats.org/officeDocument/2006/relationships/image" Target="../media/image9.emf"/><Relationship Id="rId22" Type="http://schemas.openxmlformats.org/officeDocument/2006/relationships/image" Target="../media/image30.emf"/><Relationship Id="rId27" Type="http://schemas.openxmlformats.org/officeDocument/2006/relationships/image" Target="../media/image35.emf"/><Relationship Id="rId30" Type="http://schemas.openxmlformats.org/officeDocument/2006/relationships/image" Target="../media/image38.emf"/><Relationship Id="rId35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3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390525</xdr:colOff>
      <xdr:row>0</xdr:row>
      <xdr:rowOff>180975</xdr:rowOff>
    </xdr:from>
    <xdr:to>
      <xdr:col>15</xdr:col>
      <xdr:colOff>114300</xdr:colOff>
      <xdr:row>35</xdr:row>
      <xdr:rowOff>171450</xdr:rowOff>
    </xdr:to>
    <xdr:sp macro="" textlink="">
      <xdr:nvSpPr>
        <xdr:cNvPr id="2" name="Rectangle 1"/>
        <xdr:cNvSpPr/>
      </xdr:nvSpPr>
      <xdr:spPr>
        <a:xfrm>
          <a:off x="390525" y="180975"/>
          <a:ext cx="8867775" cy="6657975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7</xdr:col>
      <xdr:colOff>538163</xdr:colOff>
      <xdr:row>1</xdr:row>
      <xdr:rowOff>28575</xdr:rowOff>
    </xdr:from>
    <xdr:to>
      <xdr:col>7</xdr:col>
      <xdr:colOff>538163</xdr:colOff>
      <xdr:row>36</xdr:row>
      <xdr:rowOff>19050</xdr:rowOff>
    </xdr:to>
    <xdr:cxnSp macro="">
      <xdr:nvCxnSpPr>
        <xdr:cNvPr id="4" name="Straight Connector 3"/>
        <xdr:cNvCxnSpPr/>
      </xdr:nvCxnSpPr>
      <xdr:spPr>
        <a:xfrm>
          <a:off x="4805363" y="219075"/>
          <a:ext cx="0" cy="6657975"/>
        </a:xfrm>
        <a:prstGeom prst="line">
          <a:avLst/>
        </a:prstGeom>
        <a:ln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18</xdr:row>
      <xdr:rowOff>109538</xdr:rowOff>
    </xdr:from>
    <xdr:to>
      <xdr:col>3</xdr:col>
      <xdr:colOff>123825</xdr:colOff>
      <xdr:row>18</xdr:row>
      <xdr:rowOff>109539</xdr:rowOff>
    </xdr:to>
    <xdr:cxnSp macro="">
      <xdr:nvCxnSpPr>
        <xdr:cNvPr id="6" name="Straight Connector 5"/>
        <xdr:cNvCxnSpPr/>
      </xdr:nvCxnSpPr>
      <xdr:spPr>
        <a:xfrm flipV="1">
          <a:off x="381000" y="3538538"/>
          <a:ext cx="1571625" cy="1"/>
        </a:xfrm>
        <a:prstGeom prst="line">
          <a:avLst/>
        </a:prstGeom>
        <a:ln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353815</xdr:colOff>
      <xdr:row>1</xdr:row>
      <xdr:rowOff>62452</xdr:rowOff>
    </xdr:from>
    <xdr:ext cx="5255028" cy="718466"/>
    <xdr:sp macro="" textlink="">
      <xdr:nvSpPr>
        <xdr:cNvPr id="7" name="Rectangle 6"/>
        <xdr:cNvSpPr/>
      </xdr:nvSpPr>
      <xdr:spPr>
        <a:xfrm>
          <a:off x="2182615" y="252952"/>
          <a:ext cx="5255028" cy="71846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40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gradFill>
                <a:gsLst>
                  <a:gs pos="0">
                    <a:srgbClr val="FFFFFF">
                      <a:tint val="40000"/>
                      <a:satMod val="250000"/>
                    </a:srgbClr>
                  </a:gs>
                  <a:gs pos="9000">
                    <a:srgbClr val="FFFFFF">
                      <a:tint val="52000"/>
                      <a:satMod val="300000"/>
                    </a:srgbClr>
                  </a:gs>
                  <a:gs pos="50000">
                    <a:srgbClr val="FFFFFF">
                      <a:shade val="20000"/>
                      <a:satMod val="300000"/>
                    </a:srgbClr>
                  </a:gs>
                  <a:gs pos="79000">
                    <a:srgbClr val="FFFFFF">
                      <a:tint val="52000"/>
                      <a:satMod val="300000"/>
                    </a:srgbClr>
                  </a:gs>
                  <a:gs pos="100000">
                    <a:srgbClr val="FFFFFF">
                      <a:tint val="40000"/>
                      <a:satMod val="250000"/>
                    </a:srgbClr>
                  </a:gs>
                </a:gsLst>
                <a:lin ang="5400000"/>
              </a:gradFill>
              <a:effectLst/>
            </a:rPr>
            <a:t>Daily</a:t>
          </a:r>
          <a:r>
            <a:rPr lang="en-US" sz="4000" b="1" cap="none" spc="0" baseline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gradFill>
                <a:gsLst>
                  <a:gs pos="0">
                    <a:srgbClr val="FFFFFF">
                      <a:tint val="40000"/>
                      <a:satMod val="250000"/>
                    </a:srgbClr>
                  </a:gs>
                  <a:gs pos="9000">
                    <a:srgbClr val="FFFFFF">
                      <a:tint val="52000"/>
                      <a:satMod val="300000"/>
                    </a:srgbClr>
                  </a:gs>
                  <a:gs pos="50000">
                    <a:srgbClr val="FFFFFF">
                      <a:shade val="20000"/>
                      <a:satMod val="300000"/>
                    </a:srgbClr>
                  </a:gs>
                  <a:gs pos="79000">
                    <a:srgbClr val="FFFFFF">
                      <a:tint val="52000"/>
                      <a:satMod val="300000"/>
                    </a:srgbClr>
                  </a:gs>
                  <a:gs pos="100000">
                    <a:srgbClr val="FFFFFF">
                      <a:tint val="40000"/>
                      <a:satMod val="250000"/>
                    </a:srgbClr>
                  </a:gs>
                </a:gsLst>
                <a:lin ang="5400000"/>
              </a:gradFill>
              <a:effectLst/>
            </a:rPr>
            <a:t> Plan + Timely Plan</a:t>
          </a:r>
          <a:endParaRPr lang="en-US" sz="4000" b="1" cap="none" spc="0">
            <a:ln w="10541" cmpd="sng">
              <a:solidFill>
                <a:srgbClr val="7D7D7D">
                  <a:tint val="100000"/>
                  <a:shade val="100000"/>
                  <a:satMod val="110000"/>
                </a:srgbClr>
              </a:solidFill>
              <a:prstDash val="solid"/>
            </a:ln>
            <a:gradFill>
              <a:gsLst>
                <a:gs pos="0">
                  <a:srgbClr val="FFFFFF">
                    <a:tint val="40000"/>
                    <a:satMod val="250000"/>
                  </a:srgbClr>
                </a:gs>
                <a:gs pos="9000">
                  <a:srgbClr val="FFFFFF">
                    <a:tint val="52000"/>
                    <a:satMod val="300000"/>
                  </a:srgbClr>
                </a:gs>
                <a:gs pos="50000">
                  <a:srgbClr val="FFFFFF">
                    <a:shade val="20000"/>
                    <a:satMod val="300000"/>
                  </a:srgbClr>
                </a:gs>
                <a:gs pos="79000">
                  <a:srgbClr val="FFFFFF">
                    <a:tint val="52000"/>
                    <a:satMod val="300000"/>
                  </a:srgbClr>
                </a:gs>
                <a:gs pos="100000">
                  <a:srgbClr val="FFFFFF">
                    <a:tint val="40000"/>
                    <a:satMod val="250000"/>
                  </a:srgbClr>
                </a:gs>
              </a:gsLst>
              <a:lin ang="5400000"/>
            </a:gradFill>
            <a:effectLst/>
          </a:endParaRPr>
        </a:p>
      </xdr:txBody>
    </xdr:sp>
    <xdr:clientData/>
  </xdr:oneCellAnchor>
  <xdr:twoCellAnchor>
    <xdr:from>
      <xdr:col>3</xdr:col>
      <xdr:colOff>533400</xdr:colOff>
      <xdr:row>4</xdr:row>
      <xdr:rowOff>38101</xdr:rowOff>
    </xdr:from>
    <xdr:to>
      <xdr:col>12</xdr:col>
      <xdr:colOff>76200</xdr:colOff>
      <xdr:row>5</xdr:row>
      <xdr:rowOff>57151</xdr:rowOff>
    </xdr:to>
    <xdr:sp macro="" textlink="">
      <xdr:nvSpPr>
        <xdr:cNvPr id="8" name="TextBox 7"/>
        <xdr:cNvSpPr txBox="1"/>
      </xdr:nvSpPr>
      <xdr:spPr>
        <a:xfrm>
          <a:off x="2362200" y="800101"/>
          <a:ext cx="5029200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r"/>
          <a:r>
            <a:rPr lang="en-US" sz="1100" u="sng">
              <a:solidFill>
                <a:schemeClr val="bg1"/>
              </a:solidFill>
            </a:rPr>
            <a:t>Set Priority and Separate Qty</a:t>
          </a:r>
          <a:r>
            <a:rPr lang="en-US" sz="1100" u="sng" baseline="0">
              <a:solidFill>
                <a:schemeClr val="bg1"/>
              </a:solidFill>
            </a:rPr>
            <a:t> Plan .</a:t>
          </a:r>
          <a:endParaRPr lang="en-US" sz="1100" u="sng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390525</xdr:colOff>
      <xdr:row>6</xdr:row>
      <xdr:rowOff>0</xdr:rowOff>
    </xdr:from>
    <xdr:to>
      <xdr:col>15</xdr:col>
      <xdr:colOff>57150</xdr:colOff>
      <xdr:row>6</xdr:row>
      <xdr:rowOff>4763</xdr:rowOff>
    </xdr:to>
    <xdr:cxnSp macro="">
      <xdr:nvCxnSpPr>
        <xdr:cNvPr id="9" name="Straight Connector 8"/>
        <xdr:cNvCxnSpPr/>
      </xdr:nvCxnSpPr>
      <xdr:spPr>
        <a:xfrm flipV="1">
          <a:off x="390525" y="1143000"/>
          <a:ext cx="8810625" cy="4763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409575</xdr:colOff>
      <xdr:row>33</xdr:row>
      <xdr:rowOff>76200</xdr:rowOff>
    </xdr:from>
    <xdr:to>
      <xdr:col>15</xdr:col>
      <xdr:colOff>76200</xdr:colOff>
      <xdr:row>33</xdr:row>
      <xdr:rowOff>80963</xdr:rowOff>
    </xdr:to>
    <xdr:cxnSp macro="">
      <xdr:nvCxnSpPr>
        <xdr:cNvPr id="12" name="Straight Connector 11"/>
        <xdr:cNvCxnSpPr/>
      </xdr:nvCxnSpPr>
      <xdr:spPr>
        <a:xfrm flipV="1">
          <a:off x="409575" y="6362700"/>
          <a:ext cx="8810625" cy="4763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171450</xdr:colOff>
      <xdr:row>11</xdr:row>
      <xdr:rowOff>57150</xdr:rowOff>
    </xdr:from>
    <xdr:to>
      <xdr:col>12</xdr:col>
      <xdr:colOff>314325</xdr:colOff>
      <xdr:row>18</xdr:row>
      <xdr:rowOff>95250</xdr:rowOff>
    </xdr:to>
    <xdr:sp macro="" textlink="">
      <xdr:nvSpPr>
        <xdr:cNvPr id="13" name="Rectangle 12"/>
        <xdr:cNvSpPr/>
      </xdr:nvSpPr>
      <xdr:spPr>
        <a:xfrm>
          <a:off x="2000250" y="2152650"/>
          <a:ext cx="5629275" cy="1371600"/>
        </a:xfrm>
        <a:prstGeom prst="rect">
          <a:avLst/>
        </a:prstGeom>
        <a:noFill/>
        <a:ln w="12700">
          <a:solidFill>
            <a:schemeClr val="bg1">
              <a:lumMod val="50000"/>
            </a:schemeClr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3</xdr:col>
      <xdr:colOff>171450</xdr:colOff>
      <xdr:row>19</xdr:row>
      <xdr:rowOff>38100</xdr:rowOff>
    </xdr:from>
    <xdr:to>
      <xdr:col>12</xdr:col>
      <xdr:colOff>314325</xdr:colOff>
      <xdr:row>26</xdr:row>
      <xdr:rowOff>76200</xdr:rowOff>
    </xdr:to>
    <xdr:sp macro="" textlink="">
      <xdr:nvSpPr>
        <xdr:cNvPr id="14" name="Rectangle 13"/>
        <xdr:cNvSpPr/>
      </xdr:nvSpPr>
      <xdr:spPr>
        <a:xfrm>
          <a:off x="2000250" y="3657600"/>
          <a:ext cx="5629275" cy="1371600"/>
        </a:xfrm>
        <a:prstGeom prst="rect">
          <a:avLst/>
        </a:prstGeom>
        <a:noFill/>
        <a:ln w="12700">
          <a:solidFill>
            <a:schemeClr val="bg1">
              <a:lumMod val="50000"/>
            </a:schemeClr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3</xdr:col>
      <xdr:colOff>171450</xdr:colOff>
      <xdr:row>27</xdr:row>
      <xdr:rowOff>19050</xdr:rowOff>
    </xdr:from>
    <xdr:to>
      <xdr:col>12</xdr:col>
      <xdr:colOff>314325</xdr:colOff>
      <xdr:row>32</xdr:row>
      <xdr:rowOff>180975</xdr:rowOff>
    </xdr:to>
    <xdr:sp macro="" textlink="">
      <xdr:nvSpPr>
        <xdr:cNvPr id="15" name="Rectangle 14"/>
        <xdr:cNvSpPr/>
      </xdr:nvSpPr>
      <xdr:spPr>
        <a:xfrm>
          <a:off x="2000250" y="5162550"/>
          <a:ext cx="5629275" cy="1114425"/>
        </a:xfrm>
        <a:prstGeom prst="rect">
          <a:avLst/>
        </a:prstGeom>
        <a:noFill/>
        <a:ln w="12700">
          <a:solidFill>
            <a:schemeClr val="bg1">
              <a:lumMod val="50000"/>
            </a:schemeClr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12</xdr:col>
      <xdr:colOff>361950</xdr:colOff>
      <xdr:row>18</xdr:row>
      <xdr:rowOff>109538</xdr:rowOff>
    </xdr:from>
    <xdr:to>
      <xdr:col>15</xdr:col>
      <xdr:colOff>104775</xdr:colOff>
      <xdr:row>18</xdr:row>
      <xdr:rowOff>109539</xdr:rowOff>
    </xdr:to>
    <xdr:cxnSp macro="">
      <xdr:nvCxnSpPr>
        <xdr:cNvPr id="17" name="Straight Connector 16"/>
        <xdr:cNvCxnSpPr/>
      </xdr:nvCxnSpPr>
      <xdr:spPr>
        <a:xfrm flipV="1">
          <a:off x="7677150" y="3538538"/>
          <a:ext cx="1571625" cy="1"/>
        </a:xfrm>
        <a:prstGeom prst="line">
          <a:avLst/>
        </a:prstGeom>
        <a:ln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409575</xdr:colOff>
      <xdr:row>7</xdr:row>
      <xdr:rowOff>171450</xdr:rowOff>
    </xdr:from>
    <xdr:to>
      <xdr:col>4</xdr:col>
      <xdr:colOff>409575</xdr:colOff>
      <xdr:row>32</xdr:row>
      <xdr:rowOff>85725</xdr:rowOff>
    </xdr:to>
    <xdr:cxnSp macro="">
      <xdr:nvCxnSpPr>
        <xdr:cNvPr id="18" name="Straight Connector 17"/>
        <xdr:cNvCxnSpPr/>
      </xdr:nvCxnSpPr>
      <xdr:spPr>
        <a:xfrm>
          <a:off x="2847975" y="1504950"/>
          <a:ext cx="0" cy="4676775"/>
        </a:xfrm>
        <a:prstGeom prst="line">
          <a:avLst/>
        </a:prstGeom>
        <a:ln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171450</xdr:colOff>
      <xdr:row>6</xdr:row>
      <xdr:rowOff>85725</xdr:rowOff>
    </xdr:from>
    <xdr:to>
      <xdr:col>12</xdr:col>
      <xdr:colOff>314325</xdr:colOff>
      <xdr:row>10</xdr:row>
      <xdr:rowOff>161925</xdr:rowOff>
    </xdr:to>
    <xdr:sp macro="" textlink="">
      <xdr:nvSpPr>
        <xdr:cNvPr id="16" name="Rectangle 15"/>
        <xdr:cNvSpPr/>
      </xdr:nvSpPr>
      <xdr:spPr>
        <a:xfrm>
          <a:off x="2000250" y="1228725"/>
          <a:ext cx="5629275" cy="838200"/>
        </a:xfrm>
        <a:prstGeom prst="rect">
          <a:avLst/>
        </a:prstGeom>
        <a:noFill/>
        <a:ln w="12700">
          <a:solidFill>
            <a:schemeClr val="bg1">
              <a:lumMod val="50000"/>
            </a:schemeClr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11</xdr:col>
      <xdr:colOff>200025</xdr:colOff>
      <xdr:row>8</xdr:row>
      <xdr:rowOff>28575</xdr:rowOff>
    </xdr:from>
    <xdr:to>
      <xdr:col>12</xdr:col>
      <xdr:colOff>179341</xdr:colOff>
      <xdr:row>12</xdr:row>
      <xdr:rowOff>153543</xdr:rowOff>
    </xdr:to>
    <xdr:grpSp>
      <xdr:nvGrpSpPr>
        <xdr:cNvPr id="24" name="Group 23"/>
        <xdr:cNvGrpSpPr/>
      </xdr:nvGrpSpPr>
      <xdr:grpSpPr>
        <a:xfrm>
          <a:off x="6905625" y="1552575"/>
          <a:ext cx="588916" cy="886968"/>
          <a:chOff x="6905625" y="1552576"/>
          <a:chExt cx="588916" cy="942404"/>
        </a:xfrm>
      </xdr:grpSpPr>
      <xdr:cxnSp macro="">
        <xdr:nvCxnSpPr>
          <xdr:cNvPr id="20" name="Straight Arrow Connector 19"/>
          <xdr:cNvCxnSpPr/>
        </xdr:nvCxnSpPr>
        <xdr:spPr>
          <a:xfrm flipV="1">
            <a:off x="6905625" y="1878162"/>
            <a:ext cx="588916" cy="0"/>
          </a:xfrm>
          <a:prstGeom prst="straightConnector1">
            <a:avLst/>
          </a:prstGeom>
          <a:ln w="28575">
            <a:solidFill>
              <a:srgbClr val="00B050"/>
            </a:solidFill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" name="Straight Arrow Connector 21"/>
          <xdr:cNvCxnSpPr/>
        </xdr:nvCxnSpPr>
        <xdr:spPr>
          <a:xfrm>
            <a:off x="7172325" y="1552576"/>
            <a:ext cx="0" cy="942404"/>
          </a:xfrm>
          <a:prstGeom prst="straightConnector1">
            <a:avLst/>
          </a:prstGeom>
          <a:ln w="28575">
            <a:solidFill>
              <a:srgbClr val="00B050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552450</xdr:colOff>
      <xdr:row>8</xdr:row>
      <xdr:rowOff>28575</xdr:rowOff>
    </xdr:from>
    <xdr:to>
      <xdr:col>12</xdr:col>
      <xdr:colOff>161925</xdr:colOff>
      <xdr:row>8</xdr:row>
      <xdr:rowOff>28575</xdr:rowOff>
    </xdr:to>
    <xdr:cxnSp macro="">
      <xdr:nvCxnSpPr>
        <xdr:cNvPr id="26" name="Straight Arrow Connector 25"/>
        <xdr:cNvCxnSpPr/>
      </xdr:nvCxnSpPr>
      <xdr:spPr>
        <a:xfrm>
          <a:off x="4819650" y="1552575"/>
          <a:ext cx="2657475" cy="0"/>
        </a:xfrm>
        <a:prstGeom prst="straightConnector1">
          <a:avLst/>
        </a:prstGeom>
        <a:ln w="28575">
          <a:solidFill>
            <a:srgbClr val="00B050"/>
          </a:solidFill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152400</xdr:colOff>
      <xdr:row>8</xdr:row>
      <xdr:rowOff>19050</xdr:rowOff>
    </xdr:from>
    <xdr:to>
      <xdr:col>12</xdr:col>
      <xdr:colOff>152400</xdr:colOff>
      <xdr:row>20</xdr:row>
      <xdr:rowOff>110490</xdr:rowOff>
    </xdr:to>
    <xdr:cxnSp macro="">
      <xdr:nvCxnSpPr>
        <xdr:cNvPr id="28" name="Straight Arrow Connector 27"/>
        <xdr:cNvCxnSpPr/>
      </xdr:nvCxnSpPr>
      <xdr:spPr>
        <a:xfrm>
          <a:off x="7467600" y="1543050"/>
          <a:ext cx="0" cy="2377440"/>
        </a:xfrm>
        <a:prstGeom prst="straightConnector1">
          <a:avLst/>
        </a:prstGeom>
        <a:ln w="28575">
          <a:solidFill>
            <a:srgbClr val="00B05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428625</xdr:colOff>
      <xdr:row>7</xdr:row>
      <xdr:rowOff>180975</xdr:rowOff>
    </xdr:from>
    <xdr:to>
      <xdr:col>11</xdr:col>
      <xdr:colOff>504825</xdr:colOff>
      <xdr:row>8</xdr:row>
      <xdr:rowOff>66675</xdr:rowOff>
    </xdr:to>
    <xdr:sp macro="" textlink="">
      <xdr:nvSpPr>
        <xdr:cNvPr id="32" name="Oval 31"/>
        <xdr:cNvSpPr/>
      </xdr:nvSpPr>
      <xdr:spPr>
        <a:xfrm>
          <a:off x="7134225" y="1514475"/>
          <a:ext cx="76200" cy="76200"/>
        </a:xfrm>
        <a:prstGeom prst="ellipse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11</xdr:col>
      <xdr:colOff>428625</xdr:colOff>
      <xdr:row>9</xdr:row>
      <xdr:rowOff>104775</xdr:rowOff>
    </xdr:from>
    <xdr:to>
      <xdr:col>11</xdr:col>
      <xdr:colOff>504825</xdr:colOff>
      <xdr:row>9</xdr:row>
      <xdr:rowOff>180975</xdr:rowOff>
    </xdr:to>
    <xdr:sp macro="" textlink="">
      <xdr:nvSpPr>
        <xdr:cNvPr id="33" name="Oval 32"/>
        <xdr:cNvSpPr/>
      </xdr:nvSpPr>
      <xdr:spPr>
        <a:xfrm>
          <a:off x="7134225" y="1819275"/>
          <a:ext cx="76200" cy="76200"/>
        </a:xfrm>
        <a:prstGeom prst="ellipse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12</xdr:col>
      <xdr:colOff>114300</xdr:colOff>
      <xdr:row>9</xdr:row>
      <xdr:rowOff>104775</xdr:rowOff>
    </xdr:from>
    <xdr:to>
      <xdr:col>12</xdr:col>
      <xdr:colOff>190500</xdr:colOff>
      <xdr:row>9</xdr:row>
      <xdr:rowOff>180975</xdr:rowOff>
    </xdr:to>
    <xdr:sp macro="" textlink="">
      <xdr:nvSpPr>
        <xdr:cNvPr id="34" name="Oval 33"/>
        <xdr:cNvSpPr/>
      </xdr:nvSpPr>
      <xdr:spPr>
        <a:xfrm>
          <a:off x="7429500" y="1819275"/>
          <a:ext cx="76200" cy="76200"/>
        </a:xfrm>
        <a:prstGeom prst="ellipse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oneCellAnchor>
    <xdr:from>
      <xdr:col>10</xdr:col>
      <xdr:colOff>323850</xdr:colOff>
      <xdr:row>15</xdr:row>
      <xdr:rowOff>0</xdr:rowOff>
    </xdr:from>
    <xdr:ext cx="533400" cy="233205"/>
    <xdr:sp macro="" textlink="">
      <xdr:nvSpPr>
        <xdr:cNvPr id="36" name="TextBox 35"/>
        <xdr:cNvSpPr txBox="1"/>
      </xdr:nvSpPr>
      <xdr:spPr>
        <a:xfrm>
          <a:off x="6419850" y="2857500"/>
          <a:ext cx="533400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900">
              <a:solidFill>
                <a:schemeClr val="bg1"/>
              </a:solidFill>
            </a:rPr>
            <a:t>Result</a:t>
          </a:r>
        </a:p>
      </xdr:txBody>
    </xdr:sp>
    <xdr:clientData/>
  </xdr:oneCellAnchor>
  <xdr:oneCellAnchor>
    <xdr:from>
      <xdr:col>10</xdr:col>
      <xdr:colOff>333375</xdr:colOff>
      <xdr:row>22</xdr:row>
      <xdr:rowOff>161925</xdr:rowOff>
    </xdr:from>
    <xdr:ext cx="533400" cy="233205"/>
    <xdr:sp macro="" textlink="">
      <xdr:nvSpPr>
        <xdr:cNvPr id="37" name="TextBox 36"/>
        <xdr:cNvSpPr txBox="1"/>
      </xdr:nvSpPr>
      <xdr:spPr>
        <a:xfrm>
          <a:off x="6429375" y="4352925"/>
          <a:ext cx="533400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900">
              <a:solidFill>
                <a:schemeClr val="bg1"/>
              </a:solidFill>
            </a:rPr>
            <a:t>Result</a:t>
          </a:r>
        </a:p>
      </xdr:txBody>
    </xdr:sp>
    <xdr:clientData/>
  </xdr:oneCellAnchor>
  <xdr:oneCellAnchor>
    <xdr:from>
      <xdr:col>11</xdr:col>
      <xdr:colOff>314325</xdr:colOff>
      <xdr:row>22</xdr:row>
      <xdr:rowOff>28575</xdr:rowOff>
    </xdr:from>
    <xdr:ext cx="533400" cy="233205"/>
    <xdr:sp macro="" textlink="">
      <xdr:nvSpPr>
        <xdr:cNvPr id="38" name="TextBox 37"/>
        <xdr:cNvSpPr txBox="1"/>
      </xdr:nvSpPr>
      <xdr:spPr>
        <a:xfrm>
          <a:off x="7019925" y="4219575"/>
          <a:ext cx="533400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900">
              <a:solidFill>
                <a:schemeClr val="bg1"/>
              </a:solidFill>
            </a:rPr>
            <a:t>Macro</a:t>
          </a:r>
        </a:p>
      </xdr:txBody>
    </xdr:sp>
    <xdr:clientData/>
  </xdr:oneCellAnchor>
  <xdr:oneCellAnchor>
    <xdr:from>
      <xdr:col>11</xdr:col>
      <xdr:colOff>323850</xdr:colOff>
      <xdr:row>14</xdr:row>
      <xdr:rowOff>57150</xdr:rowOff>
    </xdr:from>
    <xdr:ext cx="533400" cy="233205"/>
    <xdr:sp macro="" textlink="">
      <xdr:nvSpPr>
        <xdr:cNvPr id="39" name="TextBox 38"/>
        <xdr:cNvSpPr txBox="1"/>
      </xdr:nvSpPr>
      <xdr:spPr>
        <a:xfrm>
          <a:off x="7029450" y="2724150"/>
          <a:ext cx="533400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900">
              <a:solidFill>
                <a:schemeClr val="bg1"/>
              </a:solidFill>
            </a:rPr>
            <a:t>Macro</a:t>
          </a:r>
        </a:p>
      </xdr:txBody>
    </xdr:sp>
    <xdr:clientData/>
  </xdr:oneCellAnchor>
  <xdr:twoCellAnchor>
    <xdr:from>
      <xdr:col>12</xdr:col>
      <xdr:colOff>152400</xdr:colOff>
      <xdr:row>22</xdr:row>
      <xdr:rowOff>104775</xdr:rowOff>
    </xdr:from>
    <xdr:to>
      <xdr:col>12</xdr:col>
      <xdr:colOff>152400</xdr:colOff>
      <xdr:row>29</xdr:row>
      <xdr:rowOff>85725</xdr:rowOff>
    </xdr:to>
    <xdr:cxnSp macro="">
      <xdr:nvCxnSpPr>
        <xdr:cNvPr id="42" name="Straight Arrow Connector 41"/>
        <xdr:cNvCxnSpPr/>
      </xdr:nvCxnSpPr>
      <xdr:spPr>
        <a:xfrm>
          <a:off x="7467600" y="4295775"/>
          <a:ext cx="0" cy="1314450"/>
        </a:xfrm>
        <a:prstGeom prst="straightConnector1">
          <a:avLst/>
        </a:prstGeom>
        <a:ln w="28575">
          <a:solidFill>
            <a:srgbClr val="00B050"/>
          </a:solidFill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314326</xdr:colOff>
      <xdr:row>29</xdr:row>
      <xdr:rowOff>76200</xdr:rowOff>
    </xdr:from>
    <xdr:to>
      <xdr:col>12</xdr:col>
      <xdr:colOff>161925</xdr:colOff>
      <xdr:row>29</xdr:row>
      <xdr:rowOff>76200</xdr:rowOff>
    </xdr:to>
    <xdr:cxnSp macro="">
      <xdr:nvCxnSpPr>
        <xdr:cNvPr id="45" name="Straight Arrow Connector 44"/>
        <xdr:cNvCxnSpPr/>
      </xdr:nvCxnSpPr>
      <xdr:spPr>
        <a:xfrm flipH="1">
          <a:off x="7019926" y="5600700"/>
          <a:ext cx="457199" cy="0"/>
        </a:xfrm>
        <a:prstGeom prst="straightConnector1">
          <a:avLst/>
        </a:prstGeom>
        <a:ln w="28575">
          <a:solidFill>
            <a:srgbClr val="00B05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9</xdr:col>
      <xdr:colOff>200024</xdr:colOff>
      <xdr:row>27</xdr:row>
      <xdr:rowOff>19051</xdr:rowOff>
    </xdr:from>
    <xdr:ext cx="1724026" cy="485774"/>
    <xdr:sp macro="" textlink="">
      <xdr:nvSpPr>
        <xdr:cNvPr id="50" name="TextBox 49"/>
        <xdr:cNvSpPr txBox="1"/>
      </xdr:nvSpPr>
      <xdr:spPr>
        <a:xfrm>
          <a:off x="5686424" y="5162551"/>
          <a:ext cx="1724026" cy="48577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900">
              <a:solidFill>
                <a:schemeClr val="bg1"/>
              </a:solidFill>
            </a:rPr>
            <a:t>Make</a:t>
          </a:r>
          <a:r>
            <a:rPr lang="en-US" sz="900" baseline="0">
              <a:solidFill>
                <a:schemeClr val="bg1"/>
              </a:solidFill>
            </a:rPr>
            <a:t> Result Data : </a:t>
          </a:r>
          <a:endParaRPr lang="en-US" sz="900">
            <a:solidFill>
              <a:schemeClr val="bg1"/>
            </a:solidFill>
          </a:endParaRPr>
        </a:p>
        <a:p>
          <a:r>
            <a:rPr lang="en-US" sz="900" baseline="0">
              <a:solidFill>
                <a:schemeClr val="bg1"/>
              </a:solidFill>
            </a:rPr>
            <a:t>Daily Plan + Timely Plan</a:t>
          </a:r>
          <a:endParaRPr lang="en-US" sz="900">
            <a:solidFill>
              <a:schemeClr val="bg1"/>
            </a:solidFill>
          </a:endParaRPr>
        </a:p>
      </xdr:txBody>
    </xdr:sp>
    <xdr:clientData/>
  </xdr:oneCellAnchor>
  <xdr:twoCellAnchor>
    <xdr:from>
      <xdr:col>12</xdr:col>
      <xdr:colOff>352426</xdr:colOff>
      <xdr:row>6</xdr:row>
      <xdr:rowOff>85725</xdr:rowOff>
    </xdr:from>
    <xdr:to>
      <xdr:col>13</xdr:col>
      <xdr:colOff>352426</xdr:colOff>
      <xdr:row>10</xdr:row>
      <xdr:rowOff>161925</xdr:rowOff>
    </xdr:to>
    <xdr:sp macro="" textlink="">
      <xdr:nvSpPr>
        <xdr:cNvPr id="30" name="Rectangle 29"/>
        <xdr:cNvSpPr/>
      </xdr:nvSpPr>
      <xdr:spPr>
        <a:xfrm>
          <a:off x="7667626" y="1228725"/>
          <a:ext cx="609600" cy="838200"/>
        </a:xfrm>
        <a:prstGeom prst="rect">
          <a:avLst/>
        </a:prstGeom>
        <a:noFill/>
        <a:ln w="12700">
          <a:solidFill>
            <a:schemeClr val="bg1">
              <a:lumMod val="50000"/>
            </a:schemeClr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oneCellAnchor>
    <xdr:from>
      <xdr:col>13</xdr:col>
      <xdr:colOff>47625</xdr:colOff>
      <xdr:row>27</xdr:row>
      <xdr:rowOff>161925</xdr:rowOff>
    </xdr:from>
    <xdr:ext cx="990600" cy="247650"/>
    <xdr:sp macro="" textlink="">
      <xdr:nvSpPr>
        <xdr:cNvPr id="68" name="TextBox 67"/>
        <xdr:cNvSpPr txBox="1"/>
      </xdr:nvSpPr>
      <xdr:spPr>
        <a:xfrm>
          <a:off x="7972425" y="5305425"/>
          <a:ext cx="990600" cy="2476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900">
              <a:solidFill>
                <a:schemeClr val="bg1"/>
              </a:solidFill>
            </a:rPr>
            <a:t>Macro + Result</a:t>
          </a:r>
        </a:p>
      </xdr:txBody>
    </xdr:sp>
    <xdr:clientData/>
  </xdr:oneCellAnchor>
  <xdr:twoCellAnchor>
    <xdr:from>
      <xdr:col>11</xdr:col>
      <xdr:colOff>466725</xdr:colOff>
      <xdr:row>11</xdr:row>
      <xdr:rowOff>9525</xdr:rowOff>
    </xdr:from>
    <xdr:to>
      <xdr:col>13</xdr:col>
      <xdr:colOff>523875</xdr:colOff>
      <xdr:row>11</xdr:row>
      <xdr:rowOff>9525</xdr:rowOff>
    </xdr:to>
    <xdr:cxnSp macro="">
      <xdr:nvCxnSpPr>
        <xdr:cNvPr id="70" name="Straight Arrow Connector 69"/>
        <xdr:cNvCxnSpPr/>
      </xdr:nvCxnSpPr>
      <xdr:spPr>
        <a:xfrm>
          <a:off x="7172325" y="2105025"/>
          <a:ext cx="1276350" cy="0"/>
        </a:xfrm>
        <a:prstGeom prst="straightConnector1">
          <a:avLst/>
        </a:prstGeom>
        <a:ln w="28575">
          <a:solidFill>
            <a:srgbClr val="FF0000"/>
          </a:solidFill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428625</xdr:colOff>
      <xdr:row>10</xdr:row>
      <xdr:rowOff>161925</xdr:rowOff>
    </xdr:from>
    <xdr:to>
      <xdr:col>11</xdr:col>
      <xdr:colOff>504825</xdr:colOff>
      <xdr:row>11</xdr:row>
      <xdr:rowOff>47625</xdr:rowOff>
    </xdr:to>
    <xdr:sp macro="" textlink="">
      <xdr:nvSpPr>
        <xdr:cNvPr id="71" name="Oval 70"/>
        <xdr:cNvSpPr/>
      </xdr:nvSpPr>
      <xdr:spPr>
        <a:xfrm>
          <a:off x="7134225" y="2066925"/>
          <a:ext cx="76200" cy="762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12</xdr:col>
      <xdr:colOff>114300</xdr:colOff>
      <xdr:row>10</xdr:row>
      <xdr:rowOff>161925</xdr:rowOff>
    </xdr:from>
    <xdr:to>
      <xdr:col>12</xdr:col>
      <xdr:colOff>190500</xdr:colOff>
      <xdr:row>11</xdr:row>
      <xdr:rowOff>47625</xdr:rowOff>
    </xdr:to>
    <xdr:sp macro="" textlink="">
      <xdr:nvSpPr>
        <xdr:cNvPr id="72" name="Oval 71"/>
        <xdr:cNvSpPr/>
      </xdr:nvSpPr>
      <xdr:spPr>
        <a:xfrm>
          <a:off x="7429500" y="2066925"/>
          <a:ext cx="76200" cy="762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13</xdr:col>
      <xdr:colOff>514350</xdr:colOff>
      <xdr:row>11</xdr:row>
      <xdr:rowOff>0</xdr:rowOff>
    </xdr:from>
    <xdr:to>
      <xdr:col>13</xdr:col>
      <xdr:colOff>514350</xdr:colOff>
      <xdr:row>28</xdr:row>
      <xdr:rowOff>7620</xdr:rowOff>
    </xdr:to>
    <xdr:cxnSp macro="">
      <xdr:nvCxnSpPr>
        <xdr:cNvPr id="74" name="Straight Arrow Connector 73"/>
        <xdr:cNvCxnSpPr/>
      </xdr:nvCxnSpPr>
      <xdr:spPr>
        <a:xfrm>
          <a:off x="8439150" y="2095500"/>
          <a:ext cx="0" cy="3246120"/>
        </a:xfrm>
        <a:prstGeom prst="straightConnector1">
          <a:avLst/>
        </a:prstGeom>
        <a:ln w="28575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295275</xdr:colOff>
      <xdr:row>13</xdr:row>
      <xdr:rowOff>133350</xdr:rowOff>
    </xdr:from>
    <xdr:to>
      <xdr:col>13</xdr:col>
      <xdr:colOff>514350</xdr:colOff>
      <xdr:row>13</xdr:row>
      <xdr:rowOff>133350</xdr:rowOff>
    </xdr:to>
    <xdr:cxnSp macro="">
      <xdr:nvCxnSpPr>
        <xdr:cNvPr id="77" name="Straight Arrow Connector 76"/>
        <xdr:cNvCxnSpPr/>
      </xdr:nvCxnSpPr>
      <xdr:spPr>
        <a:xfrm>
          <a:off x="7610475" y="2609850"/>
          <a:ext cx="828675" cy="0"/>
        </a:xfrm>
        <a:prstGeom prst="straightConnector1">
          <a:avLst/>
        </a:prstGeom>
        <a:ln w="28575">
          <a:solidFill>
            <a:srgbClr val="FF0000"/>
          </a:solidFill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295275</xdr:colOff>
      <xdr:row>21</xdr:row>
      <xdr:rowOff>104775</xdr:rowOff>
    </xdr:from>
    <xdr:to>
      <xdr:col>13</xdr:col>
      <xdr:colOff>514350</xdr:colOff>
      <xdr:row>21</xdr:row>
      <xdr:rowOff>104775</xdr:rowOff>
    </xdr:to>
    <xdr:cxnSp macro="">
      <xdr:nvCxnSpPr>
        <xdr:cNvPr id="79" name="Straight Arrow Connector 78"/>
        <xdr:cNvCxnSpPr/>
      </xdr:nvCxnSpPr>
      <xdr:spPr>
        <a:xfrm>
          <a:off x="7610475" y="4105275"/>
          <a:ext cx="828675" cy="0"/>
        </a:xfrm>
        <a:prstGeom prst="straightConnector1">
          <a:avLst/>
        </a:prstGeom>
        <a:ln w="28575">
          <a:solidFill>
            <a:srgbClr val="FF0000"/>
          </a:solidFill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476250</xdr:colOff>
      <xdr:row>13</xdr:row>
      <xdr:rowOff>85725</xdr:rowOff>
    </xdr:from>
    <xdr:to>
      <xdr:col>13</xdr:col>
      <xdr:colOff>552450</xdr:colOff>
      <xdr:row>13</xdr:row>
      <xdr:rowOff>161925</xdr:rowOff>
    </xdr:to>
    <xdr:sp macro="" textlink="">
      <xdr:nvSpPr>
        <xdr:cNvPr id="80" name="Oval 79"/>
        <xdr:cNvSpPr/>
      </xdr:nvSpPr>
      <xdr:spPr>
        <a:xfrm>
          <a:off x="8401050" y="2562225"/>
          <a:ext cx="76200" cy="762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13</xdr:col>
      <xdr:colOff>476250</xdr:colOff>
      <xdr:row>21</xdr:row>
      <xdr:rowOff>66675</xdr:rowOff>
    </xdr:from>
    <xdr:to>
      <xdr:col>13</xdr:col>
      <xdr:colOff>552450</xdr:colOff>
      <xdr:row>21</xdr:row>
      <xdr:rowOff>142875</xdr:rowOff>
    </xdr:to>
    <xdr:sp macro="" textlink="">
      <xdr:nvSpPr>
        <xdr:cNvPr id="81" name="Oval 80"/>
        <xdr:cNvSpPr/>
      </xdr:nvSpPr>
      <xdr:spPr>
        <a:xfrm>
          <a:off x="8401050" y="4067175"/>
          <a:ext cx="76200" cy="762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11</xdr:col>
      <xdr:colOff>342900</xdr:colOff>
      <xdr:row>30</xdr:row>
      <xdr:rowOff>47625</xdr:rowOff>
    </xdr:from>
    <xdr:to>
      <xdr:col>12</xdr:col>
      <xdr:colOff>466725</xdr:colOff>
      <xdr:row>30</xdr:row>
      <xdr:rowOff>47625</xdr:rowOff>
    </xdr:to>
    <xdr:cxnSp macro="">
      <xdr:nvCxnSpPr>
        <xdr:cNvPr id="82" name="Straight Arrow Connector 81"/>
        <xdr:cNvCxnSpPr/>
      </xdr:nvCxnSpPr>
      <xdr:spPr>
        <a:xfrm>
          <a:off x="7048500" y="5762625"/>
          <a:ext cx="733425" cy="0"/>
        </a:xfrm>
        <a:prstGeom prst="straightConnector1">
          <a:avLst/>
        </a:prstGeom>
        <a:ln w="28575">
          <a:solidFill>
            <a:srgbClr val="FF0000"/>
          </a:solidFill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447675</xdr:colOff>
      <xdr:row>25</xdr:row>
      <xdr:rowOff>76200</xdr:rowOff>
    </xdr:from>
    <xdr:to>
      <xdr:col>13</xdr:col>
      <xdr:colOff>504825</xdr:colOff>
      <xdr:row>25</xdr:row>
      <xdr:rowOff>76200</xdr:rowOff>
    </xdr:to>
    <xdr:cxnSp macro="">
      <xdr:nvCxnSpPr>
        <xdr:cNvPr id="86" name="Straight Arrow Connector 85"/>
        <xdr:cNvCxnSpPr/>
      </xdr:nvCxnSpPr>
      <xdr:spPr>
        <a:xfrm>
          <a:off x="7762875" y="4838700"/>
          <a:ext cx="666750" cy="0"/>
        </a:xfrm>
        <a:prstGeom prst="straightConnector1">
          <a:avLst/>
        </a:prstGeom>
        <a:ln w="28575">
          <a:solidFill>
            <a:srgbClr val="FF0000"/>
          </a:solidFill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457200</xdr:colOff>
      <xdr:row>25</xdr:row>
      <xdr:rowOff>76200</xdr:rowOff>
    </xdr:from>
    <xdr:to>
      <xdr:col>12</xdr:col>
      <xdr:colOff>457200</xdr:colOff>
      <xdr:row>30</xdr:row>
      <xdr:rowOff>57150</xdr:rowOff>
    </xdr:to>
    <xdr:cxnSp macro="">
      <xdr:nvCxnSpPr>
        <xdr:cNvPr id="87" name="Straight Arrow Connector 86"/>
        <xdr:cNvCxnSpPr/>
      </xdr:nvCxnSpPr>
      <xdr:spPr>
        <a:xfrm>
          <a:off x="7772400" y="4838700"/>
          <a:ext cx="0" cy="933450"/>
        </a:xfrm>
        <a:prstGeom prst="straightConnector1">
          <a:avLst/>
        </a:prstGeom>
        <a:ln w="28575">
          <a:solidFill>
            <a:srgbClr val="FF0000"/>
          </a:solidFill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476250</xdr:colOff>
      <xdr:row>25</xdr:row>
      <xdr:rowOff>38100</xdr:rowOff>
    </xdr:from>
    <xdr:to>
      <xdr:col>13</xdr:col>
      <xdr:colOff>552450</xdr:colOff>
      <xdr:row>25</xdr:row>
      <xdr:rowOff>114300</xdr:rowOff>
    </xdr:to>
    <xdr:sp macro="" textlink="">
      <xdr:nvSpPr>
        <xdr:cNvPr id="93" name="Oval 92"/>
        <xdr:cNvSpPr/>
      </xdr:nvSpPr>
      <xdr:spPr>
        <a:xfrm>
          <a:off x="8401050" y="4800600"/>
          <a:ext cx="76200" cy="762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12</xdr:col>
      <xdr:colOff>381000</xdr:colOff>
      <xdr:row>27</xdr:row>
      <xdr:rowOff>19050</xdr:rowOff>
    </xdr:from>
    <xdr:to>
      <xdr:col>14</xdr:col>
      <xdr:colOff>600075</xdr:colOff>
      <xdr:row>32</xdr:row>
      <xdr:rowOff>180975</xdr:rowOff>
    </xdr:to>
    <xdr:sp macro="" textlink="">
      <xdr:nvSpPr>
        <xdr:cNvPr id="96" name="Rectangle 95"/>
        <xdr:cNvSpPr/>
      </xdr:nvSpPr>
      <xdr:spPr>
        <a:xfrm>
          <a:off x="7696200" y="5162550"/>
          <a:ext cx="1438275" cy="1114425"/>
        </a:xfrm>
        <a:prstGeom prst="rect">
          <a:avLst/>
        </a:prstGeom>
        <a:noFill/>
        <a:ln w="12700">
          <a:solidFill>
            <a:schemeClr val="bg1">
              <a:lumMod val="50000"/>
            </a:schemeClr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28</xdr:row>
          <xdr:rowOff>161925</xdr:rowOff>
        </xdr:from>
        <xdr:to>
          <xdr:col>11</xdr:col>
          <xdr:colOff>285750</xdr:colOff>
          <xdr:row>30</xdr:row>
          <xdr:rowOff>161925</xdr:rowOff>
        </xdr:to>
        <xdr:sp macro="" textlink="">
          <xdr:nvSpPr>
            <xdr:cNvPr id="8193" name="B_RUN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11</xdr:row>
          <xdr:rowOff>85725</xdr:rowOff>
        </xdr:from>
        <xdr:to>
          <xdr:col>6</xdr:col>
          <xdr:colOff>19050</xdr:colOff>
          <xdr:row>12</xdr:row>
          <xdr:rowOff>95250</xdr:rowOff>
        </xdr:to>
        <xdr:sp macro="" textlink="">
          <xdr:nvSpPr>
            <xdr:cNvPr id="8194" name="Label1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19</xdr:row>
          <xdr:rowOff>66675</xdr:rowOff>
        </xdr:from>
        <xdr:to>
          <xdr:col>6</xdr:col>
          <xdr:colOff>19050</xdr:colOff>
          <xdr:row>20</xdr:row>
          <xdr:rowOff>76200</xdr:rowOff>
        </xdr:to>
        <xdr:sp macro="" textlink="">
          <xdr:nvSpPr>
            <xdr:cNvPr id="8195" name="Label2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323850</xdr:colOff>
          <xdr:row>24</xdr:row>
          <xdr:rowOff>152400</xdr:rowOff>
        </xdr:from>
        <xdr:to>
          <xdr:col>11</xdr:col>
          <xdr:colOff>276225</xdr:colOff>
          <xdr:row>26</xdr:row>
          <xdr:rowOff>19050</xdr:rowOff>
        </xdr:to>
        <xdr:sp macro="" textlink="">
          <xdr:nvSpPr>
            <xdr:cNvPr id="8196" name="B_CLR2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323850</xdr:colOff>
          <xdr:row>17</xdr:row>
          <xdr:rowOff>0</xdr:rowOff>
        </xdr:from>
        <xdr:to>
          <xdr:col>11</xdr:col>
          <xdr:colOff>276225</xdr:colOff>
          <xdr:row>18</xdr:row>
          <xdr:rowOff>57150</xdr:rowOff>
        </xdr:to>
        <xdr:sp macro="" textlink="">
          <xdr:nvSpPr>
            <xdr:cNvPr id="8197" name="B_CLR1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27</xdr:row>
          <xdr:rowOff>47625</xdr:rowOff>
        </xdr:from>
        <xdr:to>
          <xdr:col>6</xdr:col>
          <xdr:colOff>19050</xdr:colOff>
          <xdr:row>28</xdr:row>
          <xdr:rowOff>57150</xdr:rowOff>
        </xdr:to>
        <xdr:sp macro="" textlink="">
          <xdr:nvSpPr>
            <xdr:cNvPr id="8198" name="Label3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323850</xdr:colOff>
          <xdr:row>31</xdr:row>
          <xdr:rowOff>47625</xdr:rowOff>
        </xdr:from>
        <xdr:to>
          <xdr:col>11</xdr:col>
          <xdr:colOff>276225</xdr:colOff>
          <xdr:row>32</xdr:row>
          <xdr:rowOff>104775</xdr:rowOff>
        </xdr:to>
        <xdr:sp macro="" textlink="">
          <xdr:nvSpPr>
            <xdr:cNvPr id="8199" name="B_CLR3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323850</xdr:colOff>
          <xdr:row>12</xdr:row>
          <xdr:rowOff>180975</xdr:rowOff>
        </xdr:from>
        <xdr:to>
          <xdr:col>11</xdr:col>
          <xdr:colOff>276225</xdr:colOff>
          <xdr:row>15</xdr:row>
          <xdr:rowOff>57150</xdr:rowOff>
        </xdr:to>
        <xdr:sp macro="" textlink="">
          <xdr:nvSpPr>
            <xdr:cNvPr id="8203" name="B_GET_FILE1" hidden="1">
              <a:extLst>
                <a:ext uri="{63B3BB69-23CF-44E3-9099-C40C66FF867C}">
                  <a14:compatExt spid="_x0000_s8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323850</xdr:colOff>
          <xdr:row>20</xdr:row>
          <xdr:rowOff>152400</xdr:rowOff>
        </xdr:from>
        <xdr:to>
          <xdr:col>11</xdr:col>
          <xdr:colOff>276225</xdr:colOff>
          <xdr:row>23</xdr:row>
          <xdr:rowOff>28575</xdr:rowOff>
        </xdr:to>
        <xdr:sp macro="" textlink="">
          <xdr:nvSpPr>
            <xdr:cNvPr id="8204" name="B_GET_FILE2" hidden="1">
              <a:extLst>
                <a:ext uri="{63B3BB69-23CF-44E3-9099-C40C66FF867C}">
                  <a14:compatExt spid="_x0000_s8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17</xdr:row>
          <xdr:rowOff>0</xdr:rowOff>
        </xdr:from>
        <xdr:to>
          <xdr:col>4</xdr:col>
          <xdr:colOff>466725</xdr:colOff>
          <xdr:row>18</xdr:row>
          <xdr:rowOff>38100</xdr:rowOff>
        </xdr:to>
        <xdr:sp macro="" textlink="">
          <xdr:nvSpPr>
            <xdr:cNvPr id="8207" name="Label4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409575</xdr:colOff>
          <xdr:row>24</xdr:row>
          <xdr:rowOff>152400</xdr:rowOff>
        </xdr:from>
        <xdr:to>
          <xdr:col>4</xdr:col>
          <xdr:colOff>457200</xdr:colOff>
          <xdr:row>26</xdr:row>
          <xdr:rowOff>0</xdr:rowOff>
        </xdr:to>
        <xdr:sp macro="" textlink="">
          <xdr:nvSpPr>
            <xdr:cNvPr id="8208" name="Label5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12</xdr:row>
          <xdr:rowOff>180975</xdr:rowOff>
        </xdr:from>
        <xdr:to>
          <xdr:col>4</xdr:col>
          <xdr:colOff>495300</xdr:colOff>
          <xdr:row>14</xdr:row>
          <xdr:rowOff>28575</xdr:rowOff>
        </xdr:to>
        <xdr:sp macro="" textlink="">
          <xdr:nvSpPr>
            <xdr:cNvPr id="8209" name="Label6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20</xdr:row>
          <xdr:rowOff>142875</xdr:rowOff>
        </xdr:from>
        <xdr:to>
          <xdr:col>4</xdr:col>
          <xdr:colOff>495300</xdr:colOff>
          <xdr:row>21</xdr:row>
          <xdr:rowOff>180975</xdr:rowOff>
        </xdr:to>
        <xdr:sp macro="" textlink="">
          <xdr:nvSpPr>
            <xdr:cNvPr id="8210" name="Label7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409575</xdr:colOff>
          <xdr:row>29</xdr:row>
          <xdr:rowOff>0</xdr:rowOff>
        </xdr:from>
        <xdr:to>
          <xdr:col>4</xdr:col>
          <xdr:colOff>457200</xdr:colOff>
          <xdr:row>30</xdr:row>
          <xdr:rowOff>38100</xdr:rowOff>
        </xdr:to>
        <xdr:sp macro="" textlink="">
          <xdr:nvSpPr>
            <xdr:cNvPr id="8212" name="Label8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476250</xdr:colOff>
          <xdr:row>15</xdr:row>
          <xdr:rowOff>95250</xdr:rowOff>
        </xdr:from>
        <xdr:to>
          <xdr:col>8</xdr:col>
          <xdr:colOff>552450</xdr:colOff>
          <xdr:row>16</xdr:row>
          <xdr:rowOff>161925</xdr:rowOff>
        </xdr:to>
        <xdr:sp macro="" textlink="">
          <xdr:nvSpPr>
            <xdr:cNvPr id="8213" name="TXT_SHEET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295275</xdr:colOff>
          <xdr:row>15</xdr:row>
          <xdr:rowOff>114300</xdr:rowOff>
        </xdr:from>
        <xdr:to>
          <xdr:col>4</xdr:col>
          <xdr:colOff>495300</xdr:colOff>
          <xdr:row>16</xdr:row>
          <xdr:rowOff>152400</xdr:rowOff>
        </xdr:to>
        <xdr:sp macro="" textlink="">
          <xdr:nvSpPr>
            <xdr:cNvPr id="8214" name="Label9" hidden="1">
              <a:extLst>
                <a:ext uri="{63B3BB69-23CF-44E3-9099-C40C66FF867C}">
                  <a14:compatExt spid="_x0000_s8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476250</xdr:colOff>
          <xdr:row>23</xdr:row>
          <xdr:rowOff>57150</xdr:rowOff>
        </xdr:from>
        <xdr:to>
          <xdr:col>8</xdr:col>
          <xdr:colOff>552450</xdr:colOff>
          <xdr:row>24</xdr:row>
          <xdr:rowOff>123825</xdr:rowOff>
        </xdr:to>
        <xdr:sp macro="" textlink="">
          <xdr:nvSpPr>
            <xdr:cNvPr id="8215" name="TXT_SHEET2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23</xdr:row>
          <xdr:rowOff>76200</xdr:rowOff>
        </xdr:from>
        <xdr:to>
          <xdr:col>4</xdr:col>
          <xdr:colOff>485775</xdr:colOff>
          <xdr:row>24</xdr:row>
          <xdr:rowOff>114300</xdr:rowOff>
        </xdr:to>
        <xdr:sp macro="" textlink="">
          <xdr:nvSpPr>
            <xdr:cNvPr id="8216" name="Label10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476250</xdr:colOff>
          <xdr:row>12</xdr:row>
          <xdr:rowOff>180975</xdr:rowOff>
        </xdr:from>
        <xdr:to>
          <xdr:col>10</xdr:col>
          <xdr:colOff>247650</xdr:colOff>
          <xdr:row>15</xdr:row>
          <xdr:rowOff>57150</xdr:rowOff>
        </xdr:to>
        <xdr:sp macro="" textlink="">
          <xdr:nvSpPr>
            <xdr:cNvPr id="8217" name="LB_FILE1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476250</xdr:colOff>
          <xdr:row>17</xdr:row>
          <xdr:rowOff>0</xdr:rowOff>
        </xdr:from>
        <xdr:to>
          <xdr:col>7</xdr:col>
          <xdr:colOff>171450</xdr:colOff>
          <xdr:row>18</xdr:row>
          <xdr:rowOff>38100</xdr:rowOff>
        </xdr:to>
        <xdr:sp macro="" textlink="">
          <xdr:nvSpPr>
            <xdr:cNvPr id="8218" name="LB_UPD1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476250</xdr:colOff>
          <xdr:row>24</xdr:row>
          <xdr:rowOff>152400</xdr:rowOff>
        </xdr:from>
        <xdr:to>
          <xdr:col>7</xdr:col>
          <xdr:colOff>171450</xdr:colOff>
          <xdr:row>26</xdr:row>
          <xdr:rowOff>0</xdr:rowOff>
        </xdr:to>
        <xdr:sp macro="" textlink="">
          <xdr:nvSpPr>
            <xdr:cNvPr id="8221" name="LB_UPD2" hidden="1">
              <a:extLst>
                <a:ext uri="{63B3BB69-23CF-44E3-9099-C40C66FF867C}">
                  <a14:compatExt spid="_x0000_s8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476250</xdr:colOff>
          <xdr:row>28</xdr:row>
          <xdr:rowOff>171450</xdr:rowOff>
        </xdr:from>
        <xdr:to>
          <xdr:col>7</xdr:col>
          <xdr:colOff>171450</xdr:colOff>
          <xdr:row>30</xdr:row>
          <xdr:rowOff>19050</xdr:rowOff>
        </xdr:to>
        <xdr:sp macro="" textlink="">
          <xdr:nvSpPr>
            <xdr:cNvPr id="8222" name="LB_UPD3" hidden="1">
              <a:extLst>
                <a:ext uri="{63B3BB69-23CF-44E3-9099-C40C66FF867C}">
                  <a14:compatExt spid="_x0000_s8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476250</xdr:colOff>
          <xdr:row>20</xdr:row>
          <xdr:rowOff>142875</xdr:rowOff>
        </xdr:from>
        <xdr:to>
          <xdr:col>10</xdr:col>
          <xdr:colOff>247650</xdr:colOff>
          <xdr:row>23</xdr:row>
          <xdr:rowOff>19050</xdr:rowOff>
        </xdr:to>
        <xdr:sp macro="" textlink="">
          <xdr:nvSpPr>
            <xdr:cNvPr id="8223" name="LB_FILE2" hidden="1">
              <a:extLst>
                <a:ext uri="{63B3BB69-23CF-44E3-9099-C40C66FF867C}">
                  <a14:compatExt spid="_x0000_s8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8</xdr:row>
          <xdr:rowOff>0</xdr:rowOff>
        </xdr:from>
        <xdr:to>
          <xdr:col>6</xdr:col>
          <xdr:colOff>295275</xdr:colOff>
          <xdr:row>9</xdr:row>
          <xdr:rowOff>38100</xdr:rowOff>
        </xdr:to>
        <xdr:sp macro="" textlink="">
          <xdr:nvSpPr>
            <xdr:cNvPr id="8226" name="Label12" hidden="1">
              <a:extLst>
                <a:ext uri="{63B3BB69-23CF-44E3-9099-C40C66FF867C}">
                  <a14:compatExt spid="_x0000_s8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6</xdr:row>
          <xdr:rowOff>114300</xdr:rowOff>
        </xdr:from>
        <xdr:to>
          <xdr:col>6</xdr:col>
          <xdr:colOff>19050</xdr:colOff>
          <xdr:row>7</xdr:row>
          <xdr:rowOff>123825</xdr:rowOff>
        </xdr:to>
        <xdr:sp macro="" textlink="">
          <xdr:nvSpPr>
            <xdr:cNvPr id="8227" name="Label11" hidden="1">
              <a:extLst>
                <a:ext uri="{63B3BB69-23CF-44E3-9099-C40C66FF867C}">
                  <a14:compatExt spid="_x0000_s8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9</xdr:row>
          <xdr:rowOff>85725</xdr:rowOff>
        </xdr:from>
        <xdr:to>
          <xdr:col>7</xdr:col>
          <xdr:colOff>104775</xdr:colOff>
          <xdr:row>10</xdr:row>
          <xdr:rowOff>123825</xdr:rowOff>
        </xdr:to>
        <xdr:sp macro="" textlink="">
          <xdr:nvSpPr>
            <xdr:cNvPr id="8228" name="Label13" hidden="1">
              <a:extLst>
                <a:ext uri="{63B3BB69-23CF-44E3-9099-C40C66FF867C}">
                  <a14:compatExt spid="_x0000_s8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9</xdr:row>
          <xdr:rowOff>47625</xdr:rowOff>
        </xdr:from>
        <xdr:to>
          <xdr:col>8</xdr:col>
          <xdr:colOff>238125</xdr:colOff>
          <xdr:row>10</xdr:row>
          <xdr:rowOff>85725</xdr:rowOff>
        </xdr:to>
        <xdr:sp macro="" textlink="">
          <xdr:nvSpPr>
            <xdr:cNvPr id="8230" name="TXT_DT_START_EXPEC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9</xdr:row>
          <xdr:rowOff>47625</xdr:rowOff>
        </xdr:from>
        <xdr:to>
          <xdr:col>10</xdr:col>
          <xdr:colOff>85725</xdr:colOff>
          <xdr:row>10</xdr:row>
          <xdr:rowOff>85725</xdr:rowOff>
        </xdr:to>
        <xdr:sp macro="" textlink="">
          <xdr:nvSpPr>
            <xdr:cNvPr id="8231" name="TXT_DT_END_EXPEC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133350</xdr:colOff>
          <xdr:row>9</xdr:row>
          <xdr:rowOff>114300</xdr:rowOff>
        </xdr:from>
        <xdr:to>
          <xdr:col>11</xdr:col>
          <xdr:colOff>180975</xdr:colOff>
          <xdr:row>10</xdr:row>
          <xdr:rowOff>85725</xdr:rowOff>
        </xdr:to>
        <xdr:sp macro="" textlink="">
          <xdr:nvSpPr>
            <xdr:cNvPr id="8232" name="Label14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304800</xdr:colOff>
          <xdr:row>9</xdr:row>
          <xdr:rowOff>114300</xdr:rowOff>
        </xdr:from>
        <xdr:to>
          <xdr:col>8</xdr:col>
          <xdr:colOff>485775</xdr:colOff>
          <xdr:row>10</xdr:row>
          <xdr:rowOff>95250</xdr:rowOff>
        </xdr:to>
        <xdr:sp macro="" textlink="">
          <xdr:nvSpPr>
            <xdr:cNvPr id="8233" name="Label15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314325</xdr:colOff>
          <xdr:row>12</xdr:row>
          <xdr:rowOff>180975</xdr:rowOff>
        </xdr:from>
        <xdr:to>
          <xdr:col>12</xdr:col>
          <xdr:colOff>266700</xdr:colOff>
          <xdr:row>14</xdr:row>
          <xdr:rowOff>114300</xdr:rowOff>
        </xdr:to>
        <xdr:sp macro="" textlink="">
          <xdr:nvSpPr>
            <xdr:cNvPr id="8234" name="B_RUN_FILE1" hidden="1">
              <a:extLst>
                <a:ext uri="{63B3BB69-23CF-44E3-9099-C40C66FF867C}">
                  <a14:compatExt spid="_x0000_s8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314325</xdr:colOff>
          <xdr:row>20</xdr:row>
          <xdr:rowOff>152400</xdr:rowOff>
        </xdr:from>
        <xdr:to>
          <xdr:col>12</xdr:col>
          <xdr:colOff>266700</xdr:colOff>
          <xdr:row>22</xdr:row>
          <xdr:rowOff>85725</xdr:rowOff>
        </xdr:to>
        <xdr:sp macro="" textlink="">
          <xdr:nvSpPr>
            <xdr:cNvPr id="8235" name="B_RUN_FILE2" hidden="1">
              <a:extLst>
                <a:ext uri="{63B3BB69-23CF-44E3-9099-C40C66FF867C}">
                  <a14:compatExt spid="_x0000_s8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428625</xdr:colOff>
          <xdr:row>8</xdr:row>
          <xdr:rowOff>95250</xdr:rowOff>
        </xdr:from>
        <xdr:to>
          <xdr:col>13</xdr:col>
          <xdr:colOff>304800</xdr:colOff>
          <xdr:row>10</xdr:row>
          <xdr:rowOff>76200</xdr:rowOff>
        </xdr:to>
        <xdr:sp macro="" textlink="">
          <xdr:nvSpPr>
            <xdr:cNvPr id="8236" name="B_SET_PDB" hidden="1">
              <a:extLst>
                <a:ext uri="{63B3BB69-23CF-44E3-9099-C40C66FF867C}">
                  <a14:compatExt spid="_x0000_s8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381000</xdr:colOff>
          <xdr:row>6</xdr:row>
          <xdr:rowOff>114300</xdr:rowOff>
        </xdr:from>
        <xdr:to>
          <xdr:col>13</xdr:col>
          <xdr:colOff>342900</xdr:colOff>
          <xdr:row>7</xdr:row>
          <xdr:rowOff>123825</xdr:rowOff>
        </xdr:to>
        <xdr:sp macro="" textlink="">
          <xdr:nvSpPr>
            <xdr:cNvPr id="8237" name="Label16" hidden="1">
              <a:extLst>
                <a:ext uri="{63B3BB69-23CF-44E3-9099-C40C66FF867C}">
                  <a14:compatExt spid="_x0000_s8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200025</xdr:colOff>
          <xdr:row>28</xdr:row>
          <xdr:rowOff>171450</xdr:rowOff>
        </xdr:from>
        <xdr:to>
          <xdr:col>8</xdr:col>
          <xdr:colOff>438150</xdr:colOff>
          <xdr:row>30</xdr:row>
          <xdr:rowOff>19050</xdr:rowOff>
        </xdr:to>
        <xdr:sp macro="" textlink="">
          <xdr:nvSpPr>
            <xdr:cNvPr id="8238" name="LB_UPD3_BC" hidden="1">
              <a:extLst>
                <a:ext uri="{63B3BB69-23CF-44E3-9099-C40C66FF867C}">
                  <a14:compatExt spid="_x0000_s8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200025</xdr:colOff>
          <xdr:row>28</xdr:row>
          <xdr:rowOff>47625</xdr:rowOff>
        </xdr:from>
        <xdr:to>
          <xdr:col>8</xdr:col>
          <xdr:colOff>447675</xdr:colOff>
          <xdr:row>29</xdr:row>
          <xdr:rowOff>19050</xdr:rowOff>
        </xdr:to>
        <xdr:sp macro="" textlink="">
          <xdr:nvSpPr>
            <xdr:cNvPr id="8239" name="Label17" hidden="1">
              <a:extLst>
                <a:ext uri="{63B3BB69-23CF-44E3-9099-C40C66FF867C}">
                  <a14:compatExt spid="_x0000_s8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28</xdr:row>
          <xdr:rowOff>161925</xdr:rowOff>
        </xdr:from>
        <xdr:to>
          <xdr:col>14</xdr:col>
          <xdr:colOff>400050</xdr:colOff>
          <xdr:row>30</xdr:row>
          <xdr:rowOff>161925</xdr:rowOff>
        </xdr:to>
        <xdr:sp macro="" textlink="">
          <xdr:nvSpPr>
            <xdr:cNvPr id="8240" name="B_RUN_ALL" hidden="1">
              <a:extLst>
                <a:ext uri="{63B3BB69-23CF-44E3-9099-C40C66FF867C}">
                  <a14:compatExt spid="_x0000_s8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31</xdr:row>
          <xdr:rowOff>47625</xdr:rowOff>
        </xdr:from>
        <xdr:to>
          <xdr:col>14</xdr:col>
          <xdr:colOff>400050</xdr:colOff>
          <xdr:row>32</xdr:row>
          <xdr:rowOff>104775</xdr:rowOff>
        </xdr:to>
        <xdr:sp macro="" textlink="">
          <xdr:nvSpPr>
            <xdr:cNvPr id="8241" name="B_CLR_ALL" hidden="1">
              <a:extLst>
                <a:ext uri="{63B3BB69-23CF-44E3-9099-C40C66FF867C}">
                  <a14:compatExt spid="_x0000_s8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7</xdr:row>
          <xdr:rowOff>114300</xdr:rowOff>
        </xdr:from>
        <xdr:to>
          <xdr:col>7</xdr:col>
          <xdr:colOff>504825</xdr:colOff>
          <xdr:row>9</xdr:row>
          <xdr:rowOff>9525</xdr:rowOff>
        </xdr:to>
        <xdr:sp macro="" textlink="">
          <xdr:nvSpPr>
            <xdr:cNvPr id="8244" name="TXT_CD_BLOCK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8</xdr:row>
          <xdr:rowOff>142875</xdr:rowOff>
        </xdr:from>
        <xdr:to>
          <xdr:col>6</xdr:col>
          <xdr:colOff>161925</xdr:colOff>
          <xdr:row>9</xdr:row>
          <xdr:rowOff>114300</xdr:rowOff>
        </xdr:to>
        <xdr:sp macro="" textlink="">
          <xdr:nvSpPr>
            <xdr:cNvPr id="8245" name="Label18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47625</xdr:colOff>
      <xdr:row>4</xdr:row>
      <xdr:rowOff>114300</xdr:rowOff>
    </xdr:from>
    <xdr:to>
      <xdr:col>17</xdr:col>
      <xdr:colOff>485775</xdr:colOff>
      <xdr:row>6</xdr:row>
      <xdr:rowOff>104775</xdr:rowOff>
    </xdr:to>
    <xdr:sp macro="[0]!Sumdata" textlink="">
      <xdr:nvSpPr>
        <xdr:cNvPr id="3" name="Rectangle 2"/>
        <xdr:cNvSpPr/>
      </xdr:nvSpPr>
      <xdr:spPr>
        <a:xfrm>
          <a:off x="9801225" y="876300"/>
          <a:ext cx="1047750" cy="371475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SUM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47625</xdr:rowOff>
        </xdr:from>
        <xdr:to>
          <xdr:col>1</xdr:col>
          <xdr:colOff>952500</xdr:colOff>
          <xdr:row>0</xdr:row>
          <xdr:rowOff>933450</xdr:rowOff>
        </xdr:to>
        <xdr:sp macro="" textlink="">
          <xdr:nvSpPr>
            <xdr:cNvPr id="11265" name="P_CLOSE_PDB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0</xdr:row>
          <xdr:rowOff>152400</xdr:rowOff>
        </xdr:from>
        <xdr:to>
          <xdr:col>1</xdr:col>
          <xdr:colOff>1038225</xdr:colOff>
          <xdr:row>0</xdr:row>
          <xdr:rowOff>1038225</xdr:rowOff>
        </xdr:to>
        <xdr:sp macro="" textlink="">
          <xdr:nvSpPr>
            <xdr:cNvPr id="9217" name="P_CLOSE_PDB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0</xdr:row>
          <xdr:rowOff>76200</xdr:rowOff>
        </xdr:from>
        <xdr:to>
          <xdr:col>1</xdr:col>
          <xdr:colOff>971550</xdr:colOff>
          <xdr:row>4</xdr:row>
          <xdr:rowOff>314325</xdr:rowOff>
        </xdr:to>
        <xdr:sp macro="" textlink="">
          <xdr:nvSpPr>
            <xdr:cNvPr id="10241" name="P_CLOSE_PDB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76200</xdr:rowOff>
        </xdr:from>
        <xdr:to>
          <xdr:col>1</xdr:col>
          <xdr:colOff>990600</xdr:colOff>
          <xdr:row>0</xdr:row>
          <xdr:rowOff>971550</xdr:rowOff>
        </xdr:to>
        <xdr:sp macro="" textlink="">
          <xdr:nvSpPr>
            <xdr:cNvPr id="18433" name="P_CLOSE_PDB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63" Type="http://schemas.openxmlformats.org/officeDocument/2006/relationships/image" Target="../media/image30.emf"/><Relationship Id="rId68" Type="http://schemas.openxmlformats.org/officeDocument/2006/relationships/control" Target="../activeX/activeX33.xml"/><Relationship Id="rId76" Type="http://schemas.openxmlformats.org/officeDocument/2006/relationships/control" Target="../activeX/activeX37.xml"/><Relationship Id="rId7" Type="http://schemas.openxmlformats.org/officeDocument/2006/relationships/image" Target="../media/image2.emf"/><Relationship Id="rId71" Type="http://schemas.openxmlformats.org/officeDocument/2006/relationships/image" Target="../media/image34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66" Type="http://schemas.openxmlformats.org/officeDocument/2006/relationships/control" Target="../activeX/activeX32.xml"/><Relationship Id="rId74" Type="http://schemas.openxmlformats.org/officeDocument/2006/relationships/control" Target="../activeX/activeX36.xml"/><Relationship Id="rId79" Type="http://schemas.openxmlformats.org/officeDocument/2006/relationships/image" Target="../media/image38.emf"/><Relationship Id="rId5" Type="http://schemas.openxmlformats.org/officeDocument/2006/relationships/image" Target="../media/image1.emf"/><Relationship Id="rId61" Type="http://schemas.openxmlformats.org/officeDocument/2006/relationships/image" Target="../media/image29.emf"/><Relationship Id="rId82" Type="http://schemas.openxmlformats.org/officeDocument/2006/relationships/control" Target="../activeX/activeX40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image" Target="../media/image35.emf"/><Relationship Id="rId78" Type="http://schemas.openxmlformats.org/officeDocument/2006/relationships/control" Target="../activeX/activeX38.xml"/><Relationship Id="rId81" Type="http://schemas.openxmlformats.org/officeDocument/2006/relationships/image" Target="../media/image39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77" Type="http://schemas.openxmlformats.org/officeDocument/2006/relationships/image" Target="../media/image37.emf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80" Type="http://schemas.openxmlformats.org/officeDocument/2006/relationships/control" Target="../activeX/activeX39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image" Target="../media/image32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control" Target="../activeX/activeX34.xml"/><Relationship Id="rId75" Type="http://schemas.openxmlformats.org/officeDocument/2006/relationships/image" Target="../media/image36.emf"/><Relationship Id="rId83" Type="http://schemas.openxmlformats.org/officeDocument/2006/relationships/image" Target="../media/image40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1.emf"/><Relationship Id="rId4" Type="http://schemas.openxmlformats.org/officeDocument/2006/relationships/control" Target="../activeX/activeX4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1.xml"/><Relationship Id="rId5" Type="http://schemas.openxmlformats.org/officeDocument/2006/relationships/image" Target="../media/image42.emf"/><Relationship Id="rId4" Type="http://schemas.openxmlformats.org/officeDocument/2006/relationships/control" Target="../activeX/activeX4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43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4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_R_Main">
    <tabColor theme="1"/>
  </sheetPr>
  <dimension ref="Q1"/>
  <sheetViews>
    <sheetView tabSelected="1" workbookViewId="0">
      <pane xSplit="18" ySplit="37" topLeftCell="S111" activePane="bottomRight" state="frozen"/>
      <selection pane="topRight" activeCell="S1" sqref="S1"/>
      <selection pane="bottomLeft" activeCell="A38" sqref="A38"/>
      <selection pane="bottomRight" activeCell="Q17" sqref="Q17"/>
    </sheetView>
  </sheetViews>
  <sheetFormatPr defaultRowHeight="15"/>
  <cols>
    <col min="1" max="16" width="9.140625" style="1"/>
    <col min="17" max="17" width="9.140625" style="282"/>
    <col min="18" max="16384" width="9.140625" style="1"/>
  </cols>
  <sheetData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245" r:id="rId4" name="Label18">
          <controlPr autoLine="0" r:id="rId5">
            <anchor moveWithCells="1">
              <from>
                <xdr:col>5</xdr:col>
                <xdr:colOff>266700</xdr:colOff>
                <xdr:row>8</xdr:row>
                <xdr:rowOff>142875</xdr:rowOff>
              </from>
              <to>
                <xdr:col>6</xdr:col>
                <xdr:colOff>161925</xdr:colOff>
                <xdr:row>9</xdr:row>
                <xdr:rowOff>114300</xdr:rowOff>
              </to>
            </anchor>
          </controlPr>
        </control>
      </mc:Choice>
      <mc:Fallback>
        <control shapeId="8245" r:id="rId4" name="Label18"/>
      </mc:Fallback>
    </mc:AlternateContent>
    <mc:AlternateContent xmlns:mc="http://schemas.openxmlformats.org/markup-compatibility/2006">
      <mc:Choice Requires="x14">
        <control shapeId="8244" r:id="rId6" name="TXT_CD_BLOCK">
          <controlPr defaultSize="0" autoLine="0" autoPict="0" r:id="rId7">
            <anchor moveWithCells="1">
              <from>
                <xdr:col>6</xdr:col>
                <xdr:colOff>180975</xdr:colOff>
                <xdr:row>7</xdr:row>
                <xdr:rowOff>114300</xdr:rowOff>
              </from>
              <to>
                <xdr:col>7</xdr:col>
                <xdr:colOff>504825</xdr:colOff>
                <xdr:row>9</xdr:row>
                <xdr:rowOff>9525</xdr:rowOff>
              </to>
            </anchor>
          </controlPr>
        </control>
      </mc:Choice>
      <mc:Fallback>
        <control shapeId="8244" r:id="rId6" name="TXT_CD_BLOCK"/>
      </mc:Fallback>
    </mc:AlternateContent>
    <mc:AlternateContent xmlns:mc="http://schemas.openxmlformats.org/markup-compatibility/2006">
      <mc:Choice Requires="x14">
        <control shapeId="8241" r:id="rId8" name="B_CLR_ALL">
          <controlPr defaultSize="0" autoLine="0" r:id="rId9">
            <anchor moveWithCells="1">
              <from>
                <xdr:col>13</xdr:col>
                <xdr:colOff>9525</xdr:colOff>
                <xdr:row>31</xdr:row>
                <xdr:rowOff>47625</xdr:rowOff>
              </from>
              <to>
                <xdr:col>14</xdr:col>
                <xdr:colOff>400050</xdr:colOff>
                <xdr:row>32</xdr:row>
                <xdr:rowOff>104775</xdr:rowOff>
              </to>
            </anchor>
          </controlPr>
        </control>
      </mc:Choice>
      <mc:Fallback>
        <control shapeId="8241" r:id="rId8" name="B_CLR_ALL"/>
      </mc:Fallback>
    </mc:AlternateContent>
    <mc:AlternateContent xmlns:mc="http://schemas.openxmlformats.org/markup-compatibility/2006">
      <mc:Choice Requires="x14">
        <control shapeId="8240" r:id="rId10" name="B_RUN_ALL">
          <controlPr defaultSize="0" autoLine="0" r:id="rId11">
            <anchor moveWithCells="1">
              <from>
                <xdr:col>13</xdr:col>
                <xdr:colOff>9525</xdr:colOff>
                <xdr:row>28</xdr:row>
                <xdr:rowOff>161925</xdr:rowOff>
              </from>
              <to>
                <xdr:col>14</xdr:col>
                <xdr:colOff>400050</xdr:colOff>
                <xdr:row>30</xdr:row>
                <xdr:rowOff>161925</xdr:rowOff>
              </to>
            </anchor>
          </controlPr>
        </control>
      </mc:Choice>
      <mc:Fallback>
        <control shapeId="8240" r:id="rId10" name="B_RUN_ALL"/>
      </mc:Fallback>
    </mc:AlternateContent>
    <mc:AlternateContent xmlns:mc="http://schemas.openxmlformats.org/markup-compatibility/2006">
      <mc:Choice Requires="x14">
        <control shapeId="8239" r:id="rId12" name="Label17">
          <controlPr autoLine="0" r:id="rId13">
            <anchor moveWithCells="1">
              <from>
                <xdr:col>7</xdr:col>
                <xdr:colOff>200025</xdr:colOff>
                <xdr:row>28</xdr:row>
                <xdr:rowOff>47625</xdr:rowOff>
              </from>
              <to>
                <xdr:col>8</xdr:col>
                <xdr:colOff>447675</xdr:colOff>
                <xdr:row>29</xdr:row>
                <xdr:rowOff>19050</xdr:rowOff>
              </to>
            </anchor>
          </controlPr>
        </control>
      </mc:Choice>
      <mc:Fallback>
        <control shapeId="8239" r:id="rId12" name="Label17"/>
      </mc:Fallback>
    </mc:AlternateContent>
    <mc:AlternateContent xmlns:mc="http://schemas.openxmlformats.org/markup-compatibility/2006">
      <mc:Choice Requires="x14">
        <control shapeId="8238" r:id="rId14" name="LB_UPD3_BC">
          <controlPr defaultSize="0" autoLine="0" autoPict="0" r:id="rId15">
            <anchor moveWithCells="1">
              <from>
                <xdr:col>7</xdr:col>
                <xdr:colOff>200025</xdr:colOff>
                <xdr:row>28</xdr:row>
                <xdr:rowOff>171450</xdr:rowOff>
              </from>
              <to>
                <xdr:col>8</xdr:col>
                <xdr:colOff>438150</xdr:colOff>
                <xdr:row>30</xdr:row>
                <xdr:rowOff>19050</xdr:rowOff>
              </to>
            </anchor>
          </controlPr>
        </control>
      </mc:Choice>
      <mc:Fallback>
        <control shapeId="8238" r:id="rId14" name="LB_UPD3_BC"/>
      </mc:Fallback>
    </mc:AlternateContent>
    <mc:AlternateContent xmlns:mc="http://schemas.openxmlformats.org/markup-compatibility/2006">
      <mc:Choice Requires="x14">
        <control shapeId="8237" r:id="rId16" name="Label16">
          <controlPr autoLine="0" r:id="rId17">
            <anchor moveWithCells="1">
              <from>
                <xdr:col>12</xdr:col>
                <xdr:colOff>381000</xdr:colOff>
                <xdr:row>6</xdr:row>
                <xdr:rowOff>114300</xdr:rowOff>
              </from>
              <to>
                <xdr:col>13</xdr:col>
                <xdr:colOff>342900</xdr:colOff>
                <xdr:row>7</xdr:row>
                <xdr:rowOff>123825</xdr:rowOff>
              </to>
            </anchor>
          </controlPr>
        </control>
      </mc:Choice>
      <mc:Fallback>
        <control shapeId="8237" r:id="rId16" name="Label16"/>
      </mc:Fallback>
    </mc:AlternateContent>
    <mc:AlternateContent xmlns:mc="http://schemas.openxmlformats.org/markup-compatibility/2006">
      <mc:Choice Requires="x14">
        <control shapeId="8236" r:id="rId18" name="B_SET_PDB">
          <controlPr defaultSize="0" autoLine="0" r:id="rId19">
            <anchor moveWithCells="1">
              <from>
                <xdr:col>12</xdr:col>
                <xdr:colOff>428625</xdr:colOff>
                <xdr:row>8</xdr:row>
                <xdr:rowOff>95250</xdr:rowOff>
              </from>
              <to>
                <xdr:col>13</xdr:col>
                <xdr:colOff>304800</xdr:colOff>
                <xdr:row>10</xdr:row>
                <xdr:rowOff>76200</xdr:rowOff>
              </to>
            </anchor>
          </controlPr>
        </control>
      </mc:Choice>
      <mc:Fallback>
        <control shapeId="8236" r:id="rId18" name="B_SET_PDB"/>
      </mc:Fallback>
    </mc:AlternateContent>
    <mc:AlternateContent xmlns:mc="http://schemas.openxmlformats.org/markup-compatibility/2006">
      <mc:Choice Requires="x14">
        <control shapeId="8212" r:id="rId20" name="Label8">
          <controlPr autoLine="0" r:id="rId21">
            <anchor moveWithCells="1">
              <from>
                <xdr:col>3</xdr:col>
                <xdr:colOff>409575</xdr:colOff>
                <xdr:row>29</xdr:row>
                <xdr:rowOff>0</xdr:rowOff>
              </from>
              <to>
                <xdr:col>4</xdr:col>
                <xdr:colOff>457200</xdr:colOff>
                <xdr:row>30</xdr:row>
                <xdr:rowOff>38100</xdr:rowOff>
              </to>
            </anchor>
          </controlPr>
        </control>
      </mc:Choice>
      <mc:Fallback>
        <control shapeId="8212" r:id="rId20" name="Label8"/>
      </mc:Fallback>
    </mc:AlternateContent>
    <mc:AlternateContent xmlns:mc="http://schemas.openxmlformats.org/markup-compatibility/2006">
      <mc:Choice Requires="x14">
        <control shapeId="8210" r:id="rId22" name="Label7">
          <controlPr autoLine="0" r:id="rId23">
            <anchor moveWithCells="1">
              <from>
                <xdr:col>3</xdr:col>
                <xdr:colOff>447675</xdr:colOff>
                <xdr:row>20</xdr:row>
                <xdr:rowOff>142875</xdr:rowOff>
              </from>
              <to>
                <xdr:col>4</xdr:col>
                <xdr:colOff>495300</xdr:colOff>
                <xdr:row>21</xdr:row>
                <xdr:rowOff>180975</xdr:rowOff>
              </to>
            </anchor>
          </controlPr>
        </control>
      </mc:Choice>
      <mc:Fallback>
        <control shapeId="8210" r:id="rId22" name="Label7"/>
      </mc:Fallback>
    </mc:AlternateContent>
    <mc:AlternateContent xmlns:mc="http://schemas.openxmlformats.org/markup-compatibility/2006">
      <mc:Choice Requires="x14">
        <control shapeId="8209" r:id="rId24" name="Label6">
          <controlPr autoLine="0" r:id="rId25">
            <anchor moveWithCells="1">
              <from>
                <xdr:col>3</xdr:col>
                <xdr:colOff>447675</xdr:colOff>
                <xdr:row>12</xdr:row>
                <xdr:rowOff>180975</xdr:rowOff>
              </from>
              <to>
                <xdr:col>4</xdr:col>
                <xdr:colOff>495300</xdr:colOff>
                <xdr:row>14</xdr:row>
                <xdr:rowOff>28575</xdr:rowOff>
              </to>
            </anchor>
          </controlPr>
        </control>
      </mc:Choice>
      <mc:Fallback>
        <control shapeId="8209" r:id="rId24" name="Label6"/>
      </mc:Fallback>
    </mc:AlternateContent>
    <mc:AlternateContent xmlns:mc="http://schemas.openxmlformats.org/markup-compatibility/2006">
      <mc:Choice Requires="x14">
        <control shapeId="8208" r:id="rId26" name="Label5">
          <controlPr autoLine="0" r:id="rId27">
            <anchor moveWithCells="1">
              <from>
                <xdr:col>3</xdr:col>
                <xdr:colOff>409575</xdr:colOff>
                <xdr:row>24</xdr:row>
                <xdr:rowOff>152400</xdr:rowOff>
              </from>
              <to>
                <xdr:col>4</xdr:col>
                <xdr:colOff>457200</xdr:colOff>
                <xdr:row>26</xdr:row>
                <xdr:rowOff>0</xdr:rowOff>
              </to>
            </anchor>
          </controlPr>
        </control>
      </mc:Choice>
      <mc:Fallback>
        <control shapeId="8208" r:id="rId26" name="Label5"/>
      </mc:Fallback>
    </mc:AlternateContent>
    <mc:AlternateContent xmlns:mc="http://schemas.openxmlformats.org/markup-compatibility/2006">
      <mc:Choice Requires="x14">
        <control shapeId="8207" r:id="rId28" name="Label4">
          <controlPr autoLine="0" r:id="rId29">
            <anchor moveWithCells="1">
              <from>
                <xdr:col>3</xdr:col>
                <xdr:colOff>419100</xdr:colOff>
                <xdr:row>17</xdr:row>
                <xdr:rowOff>0</xdr:rowOff>
              </from>
              <to>
                <xdr:col>4</xdr:col>
                <xdr:colOff>466725</xdr:colOff>
                <xdr:row>18</xdr:row>
                <xdr:rowOff>38100</xdr:rowOff>
              </to>
            </anchor>
          </controlPr>
        </control>
      </mc:Choice>
      <mc:Fallback>
        <control shapeId="8207" r:id="rId28" name="Label4"/>
      </mc:Fallback>
    </mc:AlternateContent>
    <mc:AlternateContent xmlns:mc="http://schemas.openxmlformats.org/markup-compatibility/2006">
      <mc:Choice Requires="x14">
        <control shapeId="8204" r:id="rId30" name="B_GET_FILE2">
          <controlPr defaultSize="0" autoLine="0" r:id="rId31">
            <anchor moveWithCells="1">
              <from>
                <xdr:col>10</xdr:col>
                <xdr:colOff>323850</xdr:colOff>
                <xdr:row>20</xdr:row>
                <xdr:rowOff>152400</xdr:rowOff>
              </from>
              <to>
                <xdr:col>11</xdr:col>
                <xdr:colOff>276225</xdr:colOff>
                <xdr:row>23</xdr:row>
                <xdr:rowOff>28575</xdr:rowOff>
              </to>
            </anchor>
          </controlPr>
        </control>
      </mc:Choice>
      <mc:Fallback>
        <control shapeId="8204" r:id="rId30" name="B_GET_FILE2"/>
      </mc:Fallback>
    </mc:AlternateContent>
    <mc:AlternateContent xmlns:mc="http://schemas.openxmlformats.org/markup-compatibility/2006">
      <mc:Choice Requires="x14">
        <control shapeId="8203" r:id="rId32" name="B_GET_FILE1">
          <controlPr defaultSize="0" autoLine="0" r:id="rId33">
            <anchor moveWithCells="1">
              <from>
                <xdr:col>10</xdr:col>
                <xdr:colOff>323850</xdr:colOff>
                <xdr:row>12</xdr:row>
                <xdr:rowOff>180975</xdr:rowOff>
              </from>
              <to>
                <xdr:col>11</xdr:col>
                <xdr:colOff>276225</xdr:colOff>
                <xdr:row>15</xdr:row>
                <xdr:rowOff>57150</xdr:rowOff>
              </to>
            </anchor>
          </controlPr>
        </control>
      </mc:Choice>
      <mc:Fallback>
        <control shapeId="8203" r:id="rId32" name="B_GET_FILE1"/>
      </mc:Fallback>
    </mc:AlternateContent>
    <mc:AlternateContent xmlns:mc="http://schemas.openxmlformats.org/markup-compatibility/2006">
      <mc:Choice Requires="x14">
        <control shapeId="8199" r:id="rId34" name="B_CLR3">
          <controlPr defaultSize="0" autoLine="0" r:id="rId35">
            <anchor moveWithCells="1">
              <from>
                <xdr:col>10</xdr:col>
                <xdr:colOff>323850</xdr:colOff>
                <xdr:row>31</xdr:row>
                <xdr:rowOff>47625</xdr:rowOff>
              </from>
              <to>
                <xdr:col>11</xdr:col>
                <xdr:colOff>276225</xdr:colOff>
                <xdr:row>32</xdr:row>
                <xdr:rowOff>104775</xdr:rowOff>
              </to>
            </anchor>
          </controlPr>
        </control>
      </mc:Choice>
      <mc:Fallback>
        <control shapeId="8199" r:id="rId34" name="B_CLR3"/>
      </mc:Fallback>
    </mc:AlternateContent>
    <mc:AlternateContent xmlns:mc="http://schemas.openxmlformats.org/markup-compatibility/2006">
      <mc:Choice Requires="x14">
        <control shapeId="8198" r:id="rId36" name="Label3">
          <controlPr autoLine="0" r:id="rId37">
            <anchor moveWithCells="1">
              <from>
                <xdr:col>3</xdr:col>
                <xdr:colOff>200025</xdr:colOff>
                <xdr:row>27</xdr:row>
                <xdr:rowOff>47625</xdr:rowOff>
              </from>
              <to>
                <xdr:col>6</xdr:col>
                <xdr:colOff>19050</xdr:colOff>
                <xdr:row>28</xdr:row>
                <xdr:rowOff>57150</xdr:rowOff>
              </to>
            </anchor>
          </controlPr>
        </control>
      </mc:Choice>
      <mc:Fallback>
        <control shapeId="8198" r:id="rId36" name="Label3"/>
      </mc:Fallback>
    </mc:AlternateContent>
    <mc:AlternateContent xmlns:mc="http://schemas.openxmlformats.org/markup-compatibility/2006">
      <mc:Choice Requires="x14">
        <control shapeId="8197" r:id="rId38" name="B_CLR1">
          <controlPr defaultSize="0" autoLine="0" r:id="rId39">
            <anchor moveWithCells="1">
              <from>
                <xdr:col>10</xdr:col>
                <xdr:colOff>323850</xdr:colOff>
                <xdr:row>17</xdr:row>
                <xdr:rowOff>0</xdr:rowOff>
              </from>
              <to>
                <xdr:col>11</xdr:col>
                <xdr:colOff>276225</xdr:colOff>
                <xdr:row>18</xdr:row>
                <xdr:rowOff>57150</xdr:rowOff>
              </to>
            </anchor>
          </controlPr>
        </control>
      </mc:Choice>
      <mc:Fallback>
        <control shapeId="8197" r:id="rId38" name="B_CLR1"/>
      </mc:Fallback>
    </mc:AlternateContent>
    <mc:AlternateContent xmlns:mc="http://schemas.openxmlformats.org/markup-compatibility/2006">
      <mc:Choice Requires="x14">
        <control shapeId="8196" r:id="rId40" name="B_CLR2">
          <controlPr defaultSize="0" autoLine="0" r:id="rId41">
            <anchor moveWithCells="1">
              <from>
                <xdr:col>10</xdr:col>
                <xdr:colOff>323850</xdr:colOff>
                <xdr:row>24</xdr:row>
                <xdr:rowOff>152400</xdr:rowOff>
              </from>
              <to>
                <xdr:col>11</xdr:col>
                <xdr:colOff>276225</xdr:colOff>
                <xdr:row>26</xdr:row>
                <xdr:rowOff>19050</xdr:rowOff>
              </to>
            </anchor>
          </controlPr>
        </control>
      </mc:Choice>
      <mc:Fallback>
        <control shapeId="8196" r:id="rId40" name="B_CLR2"/>
      </mc:Fallback>
    </mc:AlternateContent>
    <mc:AlternateContent xmlns:mc="http://schemas.openxmlformats.org/markup-compatibility/2006">
      <mc:Choice Requires="x14">
        <control shapeId="8195" r:id="rId42" name="Label2">
          <controlPr autoLine="0" r:id="rId43">
            <anchor moveWithCells="1">
              <from>
                <xdr:col>3</xdr:col>
                <xdr:colOff>200025</xdr:colOff>
                <xdr:row>19</xdr:row>
                <xdr:rowOff>66675</xdr:rowOff>
              </from>
              <to>
                <xdr:col>6</xdr:col>
                <xdr:colOff>19050</xdr:colOff>
                <xdr:row>20</xdr:row>
                <xdr:rowOff>76200</xdr:rowOff>
              </to>
            </anchor>
          </controlPr>
        </control>
      </mc:Choice>
      <mc:Fallback>
        <control shapeId="8195" r:id="rId42" name="Label2"/>
      </mc:Fallback>
    </mc:AlternateContent>
    <mc:AlternateContent xmlns:mc="http://schemas.openxmlformats.org/markup-compatibility/2006">
      <mc:Choice Requires="x14">
        <control shapeId="8194" r:id="rId44" name="Label1">
          <controlPr autoLine="0" r:id="rId45">
            <anchor moveWithCells="1">
              <from>
                <xdr:col>3</xdr:col>
                <xdr:colOff>200025</xdr:colOff>
                <xdr:row>11</xdr:row>
                <xdr:rowOff>85725</xdr:rowOff>
              </from>
              <to>
                <xdr:col>6</xdr:col>
                <xdr:colOff>19050</xdr:colOff>
                <xdr:row>12</xdr:row>
                <xdr:rowOff>95250</xdr:rowOff>
              </to>
            </anchor>
          </controlPr>
        </control>
      </mc:Choice>
      <mc:Fallback>
        <control shapeId="8194" r:id="rId44" name="Label1"/>
      </mc:Fallback>
    </mc:AlternateContent>
    <mc:AlternateContent xmlns:mc="http://schemas.openxmlformats.org/markup-compatibility/2006">
      <mc:Choice Requires="x14">
        <control shapeId="8193" r:id="rId46" name="B_RUN">
          <controlPr defaultSize="0" autoLine="0" r:id="rId47">
            <anchor moveWithCells="1">
              <from>
                <xdr:col>9</xdr:col>
                <xdr:colOff>295275</xdr:colOff>
                <xdr:row>28</xdr:row>
                <xdr:rowOff>161925</xdr:rowOff>
              </from>
              <to>
                <xdr:col>11</xdr:col>
                <xdr:colOff>285750</xdr:colOff>
                <xdr:row>30</xdr:row>
                <xdr:rowOff>161925</xdr:rowOff>
              </to>
            </anchor>
          </controlPr>
        </control>
      </mc:Choice>
      <mc:Fallback>
        <control shapeId="8193" r:id="rId46" name="B_RUN"/>
      </mc:Fallback>
    </mc:AlternateContent>
    <mc:AlternateContent xmlns:mc="http://schemas.openxmlformats.org/markup-compatibility/2006">
      <mc:Choice Requires="x14">
        <control shapeId="8213" r:id="rId48" name="TXT_SHEET1">
          <controlPr defaultSize="0" autoLine="0" r:id="rId49">
            <anchor moveWithCells="1">
              <from>
                <xdr:col>4</xdr:col>
                <xdr:colOff>476250</xdr:colOff>
                <xdr:row>15</xdr:row>
                <xdr:rowOff>95250</xdr:rowOff>
              </from>
              <to>
                <xdr:col>8</xdr:col>
                <xdr:colOff>552450</xdr:colOff>
                <xdr:row>16</xdr:row>
                <xdr:rowOff>161925</xdr:rowOff>
              </to>
            </anchor>
          </controlPr>
        </control>
      </mc:Choice>
      <mc:Fallback>
        <control shapeId="8213" r:id="rId48" name="TXT_SHEET1"/>
      </mc:Fallback>
    </mc:AlternateContent>
    <mc:AlternateContent xmlns:mc="http://schemas.openxmlformats.org/markup-compatibility/2006">
      <mc:Choice Requires="x14">
        <control shapeId="8214" r:id="rId50" name="Label9">
          <controlPr autoLine="0" r:id="rId51">
            <anchor moveWithCells="1">
              <from>
                <xdr:col>3</xdr:col>
                <xdr:colOff>295275</xdr:colOff>
                <xdr:row>15</xdr:row>
                <xdr:rowOff>114300</xdr:rowOff>
              </from>
              <to>
                <xdr:col>4</xdr:col>
                <xdr:colOff>495300</xdr:colOff>
                <xdr:row>16</xdr:row>
                <xdr:rowOff>152400</xdr:rowOff>
              </to>
            </anchor>
          </controlPr>
        </control>
      </mc:Choice>
      <mc:Fallback>
        <control shapeId="8214" r:id="rId50" name="Label9"/>
      </mc:Fallback>
    </mc:AlternateContent>
    <mc:AlternateContent xmlns:mc="http://schemas.openxmlformats.org/markup-compatibility/2006">
      <mc:Choice Requires="x14">
        <control shapeId="8215" r:id="rId52" name="TXT_SHEET2">
          <controlPr defaultSize="0" autoLine="0" r:id="rId53">
            <anchor moveWithCells="1">
              <from>
                <xdr:col>4</xdr:col>
                <xdr:colOff>476250</xdr:colOff>
                <xdr:row>23</xdr:row>
                <xdr:rowOff>57150</xdr:rowOff>
              </from>
              <to>
                <xdr:col>8</xdr:col>
                <xdr:colOff>552450</xdr:colOff>
                <xdr:row>24</xdr:row>
                <xdr:rowOff>123825</xdr:rowOff>
              </to>
            </anchor>
          </controlPr>
        </control>
      </mc:Choice>
      <mc:Fallback>
        <control shapeId="8215" r:id="rId52" name="TXT_SHEET2"/>
      </mc:Fallback>
    </mc:AlternateContent>
    <mc:AlternateContent xmlns:mc="http://schemas.openxmlformats.org/markup-compatibility/2006">
      <mc:Choice Requires="x14">
        <control shapeId="8216" r:id="rId54" name="Label10">
          <controlPr autoLine="0" r:id="rId55">
            <anchor moveWithCells="1">
              <from>
                <xdr:col>3</xdr:col>
                <xdr:colOff>285750</xdr:colOff>
                <xdr:row>23</xdr:row>
                <xdr:rowOff>76200</xdr:rowOff>
              </from>
              <to>
                <xdr:col>4</xdr:col>
                <xdr:colOff>485775</xdr:colOff>
                <xdr:row>24</xdr:row>
                <xdr:rowOff>114300</xdr:rowOff>
              </to>
            </anchor>
          </controlPr>
        </control>
      </mc:Choice>
      <mc:Fallback>
        <control shapeId="8216" r:id="rId54" name="Label10"/>
      </mc:Fallback>
    </mc:AlternateContent>
    <mc:AlternateContent xmlns:mc="http://schemas.openxmlformats.org/markup-compatibility/2006">
      <mc:Choice Requires="x14">
        <control shapeId="8217" r:id="rId56" name="LB_FILE1">
          <controlPr defaultSize="0" autoLine="0" r:id="rId57">
            <anchor moveWithCells="1">
              <from>
                <xdr:col>4</xdr:col>
                <xdr:colOff>476250</xdr:colOff>
                <xdr:row>12</xdr:row>
                <xdr:rowOff>180975</xdr:rowOff>
              </from>
              <to>
                <xdr:col>10</xdr:col>
                <xdr:colOff>247650</xdr:colOff>
                <xdr:row>15</xdr:row>
                <xdr:rowOff>57150</xdr:rowOff>
              </to>
            </anchor>
          </controlPr>
        </control>
      </mc:Choice>
      <mc:Fallback>
        <control shapeId="8217" r:id="rId56" name="LB_FILE1"/>
      </mc:Fallback>
    </mc:AlternateContent>
    <mc:AlternateContent xmlns:mc="http://schemas.openxmlformats.org/markup-compatibility/2006">
      <mc:Choice Requires="x14">
        <control shapeId="8218" r:id="rId58" name="LB_UPD1">
          <controlPr defaultSize="0" autoLine="0" r:id="rId59">
            <anchor moveWithCells="1">
              <from>
                <xdr:col>4</xdr:col>
                <xdr:colOff>476250</xdr:colOff>
                <xdr:row>17</xdr:row>
                <xdr:rowOff>0</xdr:rowOff>
              </from>
              <to>
                <xdr:col>7</xdr:col>
                <xdr:colOff>171450</xdr:colOff>
                <xdr:row>18</xdr:row>
                <xdr:rowOff>38100</xdr:rowOff>
              </to>
            </anchor>
          </controlPr>
        </control>
      </mc:Choice>
      <mc:Fallback>
        <control shapeId="8218" r:id="rId58" name="LB_UPD1"/>
      </mc:Fallback>
    </mc:AlternateContent>
    <mc:AlternateContent xmlns:mc="http://schemas.openxmlformats.org/markup-compatibility/2006">
      <mc:Choice Requires="x14">
        <control shapeId="8221" r:id="rId60" name="LB_UPD2">
          <controlPr defaultSize="0" autoLine="0" r:id="rId61">
            <anchor moveWithCells="1">
              <from>
                <xdr:col>4</xdr:col>
                <xdr:colOff>476250</xdr:colOff>
                <xdr:row>24</xdr:row>
                <xdr:rowOff>152400</xdr:rowOff>
              </from>
              <to>
                <xdr:col>7</xdr:col>
                <xdr:colOff>171450</xdr:colOff>
                <xdr:row>26</xdr:row>
                <xdr:rowOff>0</xdr:rowOff>
              </to>
            </anchor>
          </controlPr>
        </control>
      </mc:Choice>
      <mc:Fallback>
        <control shapeId="8221" r:id="rId60" name="LB_UPD2"/>
      </mc:Fallback>
    </mc:AlternateContent>
    <mc:AlternateContent xmlns:mc="http://schemas.openxmlformats.org/markup-compatibility/2006">
      <mc:Choice Requires="x14">
        <control shapeId="8222" r:id="rId62" name="LB_UPD3">
          <controlPr defaultSize="0" autoLine="0" r:id="rId63">
            <anchor moveWithCells="1">
              <from>
                <xdr:col>4</xdr:col>
                <xdr:colOff>476250</xdr:colOff>
                <xdr:row>28</xdr:row>
                <xdr:rowOff>171450</xdr:rowOff>
              </from>
              <to>
                <xdr:col>7</xdr:col>
                <xdr:colOff>171450</xdr:colOff>
                <xdr:row>30</xdr:row>
                <xdr:rowOff>19050</xdr:rowOff>
              </to>
            </anchor>
          </controlPr>
        </control>
      </mc:Choice>
      <mc:Fallback>
        <control shapeId="8222" r:id="rId62" name="LB_UPD3"/>
      </mc:Fallback>
    </mc:AlternateContent>
    <mc:AlternateContent xmlns:mc="http://schemas.openxmlformats.org/markup-compatibility/2006">
      <mc:Choice Requires="x14">
        <control shapeId="8223" r:id="rId64" name="LB_FILE2">
          <controlPr defaultSize="0" autoLine="0" r:id="rId65">
            <anchor moveWithCells="1">
              <from>
                <xdr:col>4</xdr:col>
                <xdr:colOff>476250</xdr:colOff>
                <xdr:row>20</xdr:row>
                <xdr:rowOff>142875</xdr:rowOff>
              </from>
              <to>
                <xdr:col>10</xdr:col>
                <xdr:colOff>247650</xdr:colOff>
                <xdr:row>23</xdr:row>
                <xdr:rowOff>19050</xdr:rowOff>
              </to>
            </anchor>
          </controlPr>
        </control>
      </mc:Choice>
      <mc:Fallback>
        <control shapeId="8223" r:id="rId64" name="LB_FILE2"/>
      </mc:Fallback>
    </mc:AlternateContent>
    <mc:AlternateContent xmlns:mc="http://schemas.openxmlformats.org/markup-compatibility/2006">
      <mc:Choice Requires="x14">
        <control shapeId="8226" r:id="rId66" name="Label12">
          <controlPr autoLine="0" r:id="rId67">
            <anchor moveWithCells="1">
              <from>
                <xdr:col>4</xdr:col>
                <xdr:colOff>581025</xdr:colOff>
                <xdr:row>8</xdr:row>
                <xdr:rowOff>0</xdr:rowOff>
              </from>
              <to>
                <xdr:col>6</xdr:col>
                <xdr:colOff>295275</xdr:colOff>
                <xdr:row>9</xdr:row>
                <xdr:rowOff>38100</xdr:rowOff>
              </to>
            </anchor>
          </controlPr>
        </control>
      </mc:Choice>
      <mc:Fallback>
        <control shapeId="8226" r:id="rId66" name="Label12"/>
      </mc:Fallback>
    </mc:AlternateContent>
    <mc:AlternateContent xmlns:mc="http://schemas.openxmlformats.org/markup-compatibility/2006">
      <mc:Choice Requires="x14">
        <control shapeId="8227" r:id="rId68" name="Label11">
          <controlPr autoLine="0" r:id="rId69">
            <anchor moveWithCells="1">
              <from>
                <xdr:col>3</xdr:col>
                <xdr:colOff>200025</xdr:colOff>
                <xdr:row>6</xdr:row>
                <xdr:rowOff>114300</xdr:rowOff>
              </from>
              <to>
                <xdr:col>6</xdr:col>
                <xdr:colOff>19050</xdr:colOff>
                <xdr:row>7</xdr:row>
                <xdr:rowOff>123825</xdr:rowOff>
              </to>
            </anchor>
          </controlPr>
        </control>
      </mc:Choice>
      <mc:Fallback>
        <control shapeId="8227" r:id="rId68" name="Label11"/>
      </mc:Fallback>
    </mc:AlternateContent>
    <mc:AlternateContent xmlns:mc="http://schemas.openxmlformats.org/markup-compatibility/2006">
      <mc:Choice Requires="x14">
        <control shapeId="8228" r:id="rId70" name="Label13">
          <controlPr autoLine="0" r:id="rId71">
            <anchor moveWithCells="1">
              <from>
                <xdr:col>4</xdr:col>
                <xdr:colOff>581025</xdr:colOff>
                <xdr:row>9</xdr:row>
                <xdr:rowOff>85725</xdr:rowOff>
              </from>
              <to>
                <xdr:col>7</xdr:col>
                <xdr:colOff>104775</xdr:colOff>
                <xdr:row>10</xdr:row>
                <xdr:rowOff>123825</xdr:rowOff>
              </to>
            </anchor>
          </controlPr>
        </control>
      </mc:Choice>
      <mc:Fallback>
        <control shapeId="8228" r:id="rId70" name="Label13"/>
      </mc:Fallback>
    </mc:AlternateContent>
    <mc:AlternateContent xmlns:mc="http://schemas.openxmlformats.org/markup-compatibility/2006">
      <mc:Choice Requires="x14">
        <control shapeId="8230" r:id="rId72" name="TXT_DT_START_EXPEC">
          <controlPr defaultSize="0" autoLine="0" autoPict="0" r:id="rId73">
            <anchor moveWithCells="1">
              <from>
                <xdr:col>7</xdr:col>
                <xdr:colOff>28575</xdr:colOff>
                <xdr:row>9</xdr:row>
                <xdr:rowOff>47625</xdr:rowOff>
              </from>
              <to>
                <xdr:col>8</xdr:col>
                <xdr:colOff>238125</xdr:colOff>
                <xdr:row>10</xdr:row>
                <xdr:rowOff>85725</xdr:rowOff>
              </to>
            </anchor>
          </controlPr>
        </control>
      </mc:Choice>
      <mc:Fallback>
        <control shapeId="8230" r:id="rId72" name="TXT_DT_START_EXPEC"/>
      </mc:Fallback>
    </mc:AlternateContent>
    <mc:AlternateContent xmlns:mc="http://schemas.openxmlformats.org/markup-compatibility/2006">
      <mc:Choice Requires="x14">
        <control shapeId="8231" r:id="rId74" name="TXT_DT_END_EXPEC">
          <controlPr defaultSize="0" autoLine="0" r:id="rId75">
            <anchor moveWithCells="1">
              <from>
                <xdr:col>8</xdr:col>
                <xdr:colOff>485775</xdr:colOff>
                <xdr:row>9</xdr:row>
                <xdr:rowOff>47625</xdr:rowOff>
              </from>
              <to>
                <xdr:col>10</xdr:col>
                <xdr:colOff>85725</xdr:colOff>
                <xdr:row>10</xdr:row>
                <xdr:rowOff>85725</xdr:rowOff>
              </to>
            </anchor>
          </controlPr>
        </control>
      </mc:Choice>
      <mc:Fallback>
        <control shapeId="8231" r:id="rId74" name="TXT_DT_END_EXPEC"/>
      </mc:Fallback>
    </mc:AlternateContent>
    <mc:AlternateContent xmlns:mc="http://schemas.openxmlformats.org/markup-compatibility/2006">
      <mc:Choice Requires="x14">
        <control shapeId="8232" r:id="rId76" name="Label14">
          <controlPr autoLine="0" r:id="rId77">
            <anchor moveWithCells="1">
              <from>
                <xdr:col>10</xdr:col>
                <xdr:colOff>133350</xdr:colOff>
                <xdr:row>9</xdr:row>
                <xdr:rowOff>114300</xdr:rowOff>
              </from>
              <to>
                <xdr:col>11</xdr:col>
                <xdr:colOff>180975</xdr:colOff>
                <xdr:row>10</xdr:row>
                <xdr:rowOff>85725</xdr:rowOff>
              </to>
            </anchor>
          </controlPr>
        </control>
      </mc:Choice>
      <mc:Fallback>
        <control shapeId="8232" r:id="rId76" name="Label14"/>
      </mc:Fallback>
    </mc:AlternateContent>
    <mc:AlternateContent xmlns:mc="http://schemas.openxmlformats.org/markup-compatibility/2006">
      <mc:Choice Requires="x14">
        <control shapeId="8233" r:id="rId78" name="Label15">
          <controlPr autoLine="0" r:id="rId79">
            <anchor moveWithCells="1">
              <from>
                <xdr:col>8</xdr:col>
                <xdr:colOff>304800</xdr:colOff>
                <xdr:row>9</xdr:row>
                <xdr:rowOff>114300</xdr:rowOff>
              </from>
              <to>
                <xdr:col>8</xdr:col>
                <xdr:colOff>485775</xdr:colOff>
                <xdr:row>10</xdr:row>
                <xdr:rowOff>95250</xdr:rowOff>
              </to>
            </anchor>
          </controlPr>
        </control>
      </mc:Choice>
      <mc:Fallback>
        <control shapeId="8233" r:id="rId78" name="Label15"/>
      </mc:Fallback>
    </mc:AlternateContent>
    <mc:AlternateContent xmlns:mc="http://schemas.openxmlformats.org/markup-compatibility/2006">
      <mc:Choice Requires="x14">
        <control shapeId="8234" r:id="rId80" name="B_RUN_FILE1">
          <controlPr defaultSize="0" autoLine="0" r:id="rId81">
            <anchor moveWithCells="1">
              <from>
                <xdr:col>11</xdr:col>
                <xdr:colOff>314325</xdr:colOff>
                <xdr:row>12</xdr:row>
                <xdr:rowOff>180975</xdr:rowOff>
              </from>
              <to>
                <xdr:col>12</xdr:col>
                <xdr:colOff>266700</xdr:colOff>
                <xdr:row>14</xdr:row>
                <xdr:rowOff>114300</xdr:rowOff>
              </to>
            </anchor>
          </controlPr>
        </control>
      </mc:Choice>
      <mc:Fallback>
        <control shapeId="8234" r:id="rId80" name="B_RUN_FILE1"/>
      </mc:Fallback>
    </mc:AlternateContent>
    <mc:AlternateContent xmlns:mc="http://schemas.openxmlformats.org/markup-compatibility/2006">
      <mc:Choice Requires="x14">
        <control shapeId="8235" r:id="rId82" name="B_RUN_FILE2">
          <controlPr defaultSize="0" autoLine="0" r:id="rId83">
            <anchor moveWithCells="1">
              <from>
                <xdr:col>11</xdr:col>
                <xdr:colOff>314325</xdr:colOff>
                <xdr:row>20</xdr:row>
                <xdr:rowOff>152400</xdr:rowOff>
              </from>
              <to>
                <xdr:col>12</xdr:col>
                <xdr:colOff>266700</xdr:colOff>
                <xdr:row>22</xdr:row>
                <xdr:rowOff>85725</xdr:rowOff>
              </to>
            </anchor>
          </controlPr>
        </control>
      </mc:Choice>
      <mc:Fallback>
        <control shapeId="8235" r:id="rId82" name="B_RUN_FILE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_R_Daily">
    <tabColor rgb="FFFFFF00"/>
    <pageSetUpPr fitToPage="1"/>
  </sheetPr>
  <dimension ref="A1:BH173"/>
  <sheetViews>
    <sheetView showGridLines="0" zoomScale="70" zoomScaleNormal="70" workbookViewId="0">
      <pane xSplit="5" ySplit="1" topLeftCell="F2" activePane="bottomRight" state="frozen"/>
      <selection pane="topRight" activeCell="F1" sqref="F1"/>
      <selection pane="bottomLeft" activeCell="A9" sqref="A9"/>
      <selection pane="bottomRight" sqref="A1:XFD1048576"/>
    </sheetView>
  </sheetViews>
  <sheetFormatPr defaultRowHeight="15"/>
  <cols>
    <col min="1" max="3" width="5.42578125" customWidth="1"/>
    <col min="4" max="4" width="11.7109375" customWidth="1"/>
    <col min="5" max="5" width="25.28515625" customWidth="1"/>
    <col min="6" max="6" width="5.7109375" style="2" customWidth="1"/>
    <col min="7" max="59" width="5.7109375" customWidth="1"/>
    <col min="60" max="60" width="7.42578125" customWidth="1"/>
  </cols>
  <sheetData>
    <row r="1" spans="1:60" ht="30" customHeight="1">
      <c r="A1" s="332" t="s">
        <v>1809</v>
      </c>
      <c r="AY1" s="333" t="s">
        <v>1810</v>
      </c>
      <c r="AZ1" s="334"/>
      <c r="BA1" s="334"/>
      <c r="BB1" s="333" t="s">
        <v>1811</v>
      </c>
      <c r="BC1" s="334"/>
      <c r="BD1" s="335"/>
      <c r="BE1" s="334" t="s">
        <v>1812</v>
      </c>
      <c r="BF1" s="334"/>
      <c r="BG1" s="335"/>
    </row>
    <row r="2" spans="1:60">
      <c r="AY2" s="336"/>
      <c r="AZ2" s="337"/>
      <c r="BA2" s="337"/>
      <c r="BB2" s="336"/>
      <c r="BC2" s="337"/>
      <c r="BD2" s="338"/>
      <c r="BE2" s="337"/>
      <c r="BF2" s="337"/>
      <c r="BG2" s="338"/>
    </row>
    <row r="3" spans="1:60">
      <c r="AY3" s="336"/>
      <c r="AZ3" s="337"/>
      <c r="BA3" s="337"/>
      <c r="BB3" s="336"/>
      <c r="BC3" s="337"/>
      <c r="BD3" s="338"/>
      <c r="BE3" s="337"/>
      <c r="BF3" s="337"/>
      <c r="BG3" s="338"/>
    </row>
    <row r="4" spans="1:60">
      <c r="AY4" s="339"/>
      <c r="AZ4" s="340"/>
      <c r="BA4" s="340"/>
      <c r="BB4" s="339"/>
      <c r="BC4" s="340"/>
      <c r="BD4" s="341"/>
      <c r="BE4" s="340"/>
      <c r="BF4" s="340"/>
      <c r="BG4" s="341"/>
    </row>
    <row r="6" spans="1:60" ht="18.75">
      <c r="A6" s="342" t="s">
        <v>1813</v>
      </c>
      <c r="F6" s="2" t="s">
        <v>1814</v>
      </c>
      <c r="G6" t="s">
        <v>1815</v>
      </c>
      <c r="H6" t="s">
        <v>1815</v>
      </c>
      <c r="I6" t="s">
        <v>1815</v>
      </c>
      <c r="J6" t="s">
        <v>1815</v>
      </c>
      <c r="K6" t="s">
        <v>1815</v>
      </c>
      <c r="M6" t="s">
        <v>1815</v>
      </c>
      <c r="N6" t="s">
        <v>1816</v>
      </c>
      <c r="O6" t="s">
        <v>1815</v>
      </c>
      <c r="P6" t="s">
        <v>1815</v>
      </c>
      <c r="Q6" t="s">
        <v>1815</v>
      </c>
      <c r="S6" t="s">
        <v>1815</v>
      </c>
      <c r="T6" t="s">
        <v>1815</v>
      </c>
      <c r="U6" t="s">
        <v>1815</v>
      </c>
      <c r="V6" t="s">
        <v>1815</v>
      </c>
      <c r="W6" t="s">
        <v>1815</v>
      </c>
      <c r="Y6" t="s">
        <v>1815</v>
      </c>
      <c r="Z6" t="s">
        <v>1815</v>
      </c>
      <c r="AA6" t="s">
        <v>1815</v>
      </c>
      <c r="AB6" t="s">
        <v>1815</v>
      </c>
      <c r="AC6" t="s">
        <v>1815</v>
      </c>
      <c r="AD6" t="s">
        <v>1815</v>
      </c>
      <c r="AF6" t="s">
        <v>1815</v>
      </c>
      <c r="AG6" t="s">
        <v>1815</v>
      </c>
      <c r="AH6" t="s">
        <v>1815</v>
      </c>
      <c r="AI6" t="s">
        <v>1815</v>
      </c>
      <c r="AJ6" t="s">
        <v>1815</v>
      </c>
      <c r="AK6" t="s">
        <v>1815</v>
      </c>
      <c r="AM6" t="s">
        <v>1815</v>
      </c>
      <c r="AN6" t="s">
        <v>1815</v>
      </c>
      <c r="AO6" t="s">
        <v>1815</v>
      </c>
      <c r="AP6" t="s">
        <v>1817</v>
      </c>
      <c r="AQ6" t="s">
        <v>1815</v>
      </c>
      <c r="AR6" t="s">
        <v>1815</v>
      </c>
      <c r="AT6" t="s">
        <v>1815</v>
      </c>
      <c r="AU6" t="s">
        <v>1815</v>
      </c>
      <c r="AV6" t="s">
        <v>1815</v>
      </c>
      <c r="AW6" t="s">
        <v>1815</v>
      </c>
      <c r="AX6" t="s">
        <v>1815</v>
      </c>
      <c r="AY6" t="s">
        <v>1815</v>
      </c>
      <c r="BA6" t="s">
        <v>1815</v>
      </c>
      <c r="BB6" t="s">
        <v>1815</v>
      </c>
      <c r="BC6" t="s">
        <v>1815</v>
      </c>
      <c r="BD6" t="s">
        <v>1815</v>
      </c>
      <c r="BF6" t="s">
        <v>1815</v>
      </c>
    </row>
    <row r="7" spans="1:60">
      <c r="A7" s="343"/>
      <c r="B7" s="344"/>
      <c r="C7" s="344"/>
      <c r="D7" s="344"/>
      <c r="E7" s="345"/>
      <c r="F7" s="346" t="s">
        <v>1818</v>
      </c>
      <c r="G7" s="347" t="s">
        <v>1819</v>
      </c>
      <c r="H7" s="347" t="s">
        <v>1820</v>
      </c>
      <c r="I7" s="347" t="s">
        <v>1821</v>
      </c>
      <c r="J7" s="347" t="s">
        <v>1822</v>
      </c>
      <c r="K7" s="347" t="s">
        <v>1823</v>
      </c>
      <c r="L7" s="348" t="s">
        <v>1824</v>
      </c>
      <c r="M7" s="347" t="s">
        <v>1818</v>
      </c>
      <c r="N7" s="347" t="s">
        <v>1819</v>
      </c>
      <c r="O7" s="347" t="s">
        <v>1820</v>
      </c>
      <c r="P7" s="347" t="s">
        <v>1821</v>
      </c>
      <c r="Q7" s="347" t="s">
        <v>1822</v>
      </c>
      <c r="R7" s="348" t="s">
        <v>1824</v>
      </c>
      <c r="S7" s="347" t="s">
        <v>1819</v>
      </c>
      <c r="T7" s="347" t="s">
        <v>1820</v>
      </c>
      <c r="U7" s="347" t="s">
        <v>1821</v>
      </c>
      <c r="V7" s="347" t="s">
        <v>1822</v>
      </c>
      <c r="W7" s="347" t="s">
        <v>1823</v>
      </c>
      <c r="X7" s="348" t="s">
        <v>1824</v>
      </c>
      <c r="Y7" s="347" t="s">
        <v>1818</v>
      </c>
      <c r="Z7" s="347" t="s">
        <v>1819</v>
      </c>
      <c r="AA7" s="347" t="s">
        <v>1820</v>
      </c>
      <c r="AB7" s="347" t="s">
        <v>1821</v>
      </c>
      <c r="AC7" s="347" t="s">
        <v>1822</v>
      </c>
      <c r="AD7" s="347" t="s">
        <v>1823</v>
      </c>
      <c r="AE7" s="348" t="s">
        <v>1824</v>
      </c>
      <c r="AF7" s="347" t="s">
        <v>1818</v>
      </c>
      <c r="AG7" s="347" t="s">
        <v>1819</v>
      </c>
      <c r="AH7" s="347" t="s">
        <v>1820</v>
      </c>
      <c r="AI7" s="347" t="s">
        <v>1821</v>
      </c>
      <c r="AJ7" s="347" t="s">
        <v>1822</v>
      </c>
      <c r="AK7" s="347" t="s">
        <v>1823</v>
      </c>
      <c r="AL7" s="348" t="s">
        <v>1824</v>
      </c>
      <c r="AM7" s="347" t="s">
        <v>1818</v>
      </c>
      <c r="AN7" s="347" t="s">
        <v>1819</v>
      </c>
      <c r="AO7" s="347" t="s">
        <v>1820</v>
      </c>
      <c r="AP7" s="347" t="s">
        <v>1821</v>
      </c>
      <c r="AQ7" s="347" t="s">
        <v>1822</v>
      </c>
      <c r="AR7" s="347" t="s">
        <v>1823</v>
      </c>
      <c r="AS7" s="348" t="s">
        <v>1824</v>
      </c>
      <c r="AT7" s="347" t="s">
        <v>1818</v>
      </c>
      <c r="AU7" s="347" t="s">
        <v>1819</v>
      </c>
      <c r="AV7" s="347" t="s">
        <v>1820</v>
      </c>
      <c r="AW7" s="347" t="s">
        <v>1821</v>
      </c>
      <c r="AX7" s="347" t="s">
        <v>1822</v>
      </c>
      <c r="AY7" s="347" t="s">
        <v>1823</v>
      </c>
      <c r="AZ7" s="348" t="s">
        <v>1824</v>
      </c>
      <c r="BA7" s="347" t="s">
        <v>1820</v>
      </c>
      <c r="BB7" s="347" t="s">
        <v>1821</v>
      </c>
      <c r="BC7" s="347" t="s">
        <v>1822</v>
      </c>
      <c r="BD7" s="347" t="s">
        <v>1823</v>
      </c>
      <c r="BE7" s="348" t="s">
        <v>1824</v>
      </c>
      <c r="BF7" s="347" t="s">
        <v>1818</v>
      </c>
      <c r="BG7" s="348" t="s">
        <v>1824</v>
      </c>
      <c r="BH7" s="349"/>
    </row>
    <row r="8" spans="1:60">
      <c r="A8" s="350" t="s">
        <v>1777</v>
      </c>
      <c r="B8" s="350" t="s">
        <v>1778</v>
      </c>
      <c r="C8" s="350" t="s">
        <v>0</v>
      </c>
      <c r="D8" s="350" t="s">
        <v>1</v>
      </c>
      <c r="E8" s="350" t="s">
        <v>1779</v>
      </c>
      <c r="F8" s="351">
        <v>44067</v>
      </c>
      <c r="G8" s="352">
        <v>44068</v>
      </c>
      <c r="H8" s="352">
        <v>44069</v>
      </c>
      <c r="I8" s="352">
        <v>44070</v>
      </c>
      <c r="J8" s="352">
        <v>44071</v>
      </c>
      <c r="K8" s="352">
        <v>44072</v>
      </c>
      <c r="L8" s="353" t="s">
        <v>1825</v>
      </c>
      <c r="M8" s="352">
        <v>44074</v>
      </c>
      <c r="N8" s="352">
        <v>44075</v>
      </c>
      <c r="O8" s="352">
        <v>44076</v>
      </c>
      <c r="P8" s="352">
        <v>44077</v>
      </c>
      <c r="Q8" s="352">
        <v>44078</v>
      </c>
      <c r="R8" s="353" t="s">
        <v>1825</v>
      </c>
      <c r="S8" s="352">
        <v>44082</v>
      </c>
      <c r="T8" s="352">
        <v>44083</v>
      </c>
      <c r="U8" s="352">
        <v>44084</v>
      </c>
      <c r="V8" s="352">
        <v>44085</v>
      </c>
      <c r="W8" s="352">
        <v>44086</v>
      </c>
      <c r="X8" s="353" t="s">
        <v>1825</v>
      </c>
      <c r="Y8" s="352">
        <v>44088</v>
      </c>
      <c r="Z8" s="352">
        <v>44089</v>
      </c>
      <c r="AA8" s="352">
        <v>44090</v>
      </c>
      <c r="AB8" s="352">
        <v>44091</v>
      </c>
      <c r="AC8" s="352">
        <v>44092</v>
      </c>
      <c r="AD8" s="352">
        <v>44093</v>
      </c>
      <c r="AE8" s="353" t="s">
        <v>1825</v>
      </c>
      <c r="AF8" s="352">
        <v>44095</v>
      </c>
      <c r="AG8" s="352">
        <v>44096</v>
      </c>
      <c r="AH8" s="352">
        <v>44097</v>
      </c>
      <c r="AI8" s="352">
        <v>44098</v>
      </c>
      <c r="AJ8" s="352">
        <v>44099</v>
      </c>
      <c r="AK8" s="352">
        <v>44100</v>
      </c>
      <c r="AL8" s="353" t="s">
        <v>1825</v>
      </c>
      <c r="AM8" s="352">
        <v>44102</v>
      </c>
      <c r="AN8" s="352">
        <v>44103</v>
      </c>
      <c r="AO8" s="352">
        <v>44104</v>
      </c>
      <c r="AP8" s="352">
        <v>44105</v>
      </c>
      <c r="AQ8" s="352">
        <v>44106</v>
      </c>
      <c r="AR8" s="352">
        <v>44107</v>
      </c>
      <c r="AS8" s="353" t="s">
        <v>1825</v>
      </c>
      <c r="AT8" s="352">
        <v>44109</v>
      </c>
      <c r="AU8" s="352">
        <v>44110</v>
      </c>
      <c r="AV8" s="352">
        <v>44111</v>
      </c>
      <c r="AW8" s="352">
        <v>44112</v>
      </c>
      <c r="AX8" s="352">
        <v>44113</v>
      </c>
      <c r="AY8" s="352">
        <v>44114</v>
      </c>
      <c r="AZ8" s="353" t="s">
        <v>1825</v>
      </c>
      <c r="BA8" s="352">
        <v>44118</v>
      </c>
      <c r="BB8" s="352">
        <v>44119</v>
      </c>
      <c r="BC8" s="352">
        <v>44120</v>
      </c>
      <c r="BD8" s="352">
        <v>44121</v>
      </c>
      <c r="BE8" s="353" t="s">
        <v>1825</v>
      </c>
      <c r="BF8" s="352">
        <v>44123</v>
      </c>
      <c r="BG8" s="353" t="s">
        <v>1825</v>
      </c>
      <c r="BH8" s="349" t="s">
        <v>1826</v>
      </c>
    </row>
    <row r="9" spans="1:60" ht="17.45" customHeight="1">
      <c r="A9" s="354" t="s">
        <v>1218</v>
      </c>
      <c r="B9" s="354" t="s">
        <v>1780</v>
      </c>
      <c r="C9" s="354" t="s">
        <v>1219</v>
      </c>
      <c r="D9" s="347" t="s">
        <v>1220</v>
      </c>
      <c r="E9" s="347" t="s">
        <v>1781</v>
      </c>
      <c r="F9" s="355">
        <v>360</v>
      </c>
      <c r="G9" s="347">
        <v>192</v>
      </c>
      <c r="H9" s="347"/>
      <c r="I9" s="347"/>
      <c r="J9" s="347"/>
      <c r="K9" s="347"/>
      <c r="L9" s="348">
        <f t="shared" ref="L9:L72" si="0">SUM(F9:K9)</f>
        <v>552</v>
      </c>
      <c r="M9" s="347">
        <v>350</v>
      </c>
      <c r="N9" s="347">
        <v>350</v>
      </c>
      <c r="O9" s="347">
        <v>53</v>
      </c>
      <c r="P9" s="347"/>
      <c r="Q9" s="347"/>
      <c r="R9" s="348">
        <f t="shared" ref="R9:R72" si="1">SUM(M9:Q9)</f>
        <v>753</v>
      </c>
      <c r="S9" s="347">
        <v>290</v>
      </c>
      <c r="T9" s="347">
        <v>298</v>
      </c>
      <c r="U9" s="347"/>
      <c r="V9" s="347"/>
      <c r="W9" s="347"/>
      <c r="X9" s="348">
        <f t="shared" ref="X9:X72" si="2">SUM(S9:W9)</f>
        <v>588</v>
      </c>
      <c r="Y9" s="347">
        <v>198</v>
      </c>
      <c r="Z9" s="347"/>
      <c r="AA9" s="347"/>
      <c r="AB9" s="347"/>
      <c r="AC9" s="347"/>
      <c r="AD9" s="347"/>
      <c r="AE9" s="348">
        <f t="shared" ref="AE9:AE72" si="3">SUM(Y9:AD9)</f>
        <v>198</v>
      </c>
      <c r="AF9" s="347">
        <v>340</v>
      </c>
      <c r="AG9" s="347">
        <v>294</v>
      </c>
      <c r="AH9" s="347"/>
      <c r="AI9" s="347"/>
      <c r="AJ9" s="347"/>
      <c r="AK9" s="347"/>
      <c r="AL9" s="348">
        <f t="shared" ref="AL9:AL72" si="4">SUM(AF9:AK9)</f>
        <v>634</v>
      </c>
      <c r="AM9" s="347">
        <v>374</v>
      </c>
      <c r="AN9" s="347">
        <v>374</v>
      </c>
      <c r="AO9" s="347">
        <v>157</v>
      </c>
      <c r="AP9" s="347"/>
      <c r="AQ9" s="347"/>
      <c r="AR9" s="347"/>
      <c r="AS9" s="348">
        <f t="shared" ref="AS9:AS72" si="5">SUM(AM9:AR9)</f>
        <v>905</v>
      </c>
      <c r="AT9" s="347">
        <v>340</v>
      </c>
      <c r="AU9" s="347">
        <v>340</v>
      </c>
      <c r="AV9" s="347">
        <v>340</v>
      </c>
      <c r="AW9" s="347">
        <v>54</v>
      </c>
      <c r="AX9" s="347"/>
      <c r="AY9" s="347"/>
      <c r="AZ9" s="348">
        <f t="shared" ref="AZ9:AZ72" si="6">SUM(AT9:AY9)</f>
        <v>1074</v>
      </c>
      <c r="BA9" s="347">
        <v>340</v>
      </c>
      <c r="BB9" s="347">
        <v>121</v>
      </c>
      <c r="BC9" s="347"/>
      <c r="BD9" s="347"/>
      <c r="BE9" s="348">
        <f t="shared" ref="BE9:BE72" si="7">SUM(BA9:BD9)</f>
        <v>461</v>
      </c>
      <c r="BF9" s="347">
        <v>255</v>
      </c>
      <c r="BG9" s="348">
        <f t="shared" ref="BG9:BG72" si="8">SUM(BF9:BF9)</f>
        <v>255</v>
      </c>
      <c r="BH9" s="356">
        <v>5420</v>
      </c>
    </row>
    <row r="10" spans="1:60" ht="17.45" customHeight="1">
      <c r="A10" s="357"/>
      <c r="B10" s="357"/>
      <c r="C10" s="357"/>
      <c r="D10" s="347" t="s">
        <v>1221</v>
      </c>
      <c r="E10" s="347" t="s">
        <v>1782</v>
      </c>
      <c r="F10" s="355"/>
      <c r="G10" s="347">
        <v>99</v>
      </c>
      <c r="H10" s="347"/>
      <c r="I10" s="347"/>
      <c r="J10" s="347"/>
      <c r="K10" s="347"/>
      <c r="L10" s="348">
        <f t="shared" si="0"/>
        <v>99</v>
      </c>
      <c r="M10" s="347"/>
      <c r="N10" s="347"/>
      <c r="O10" s="347">
        <v>150</v>
      </c>
      <c r="P10" s="347"/>
      <c r="Q10" s="347"/>
      <c r="R10" s="348">
        <f t="shared" si="1"/>
        <v>150</v>
      </c>
      <c r="S10" s="347"/>
      <c r="T10" s="347"/>
      <c r="U10" s="347"/>
      <c r="V10" s="347"/>
      <c r="W10" s="347"/>
      <c r="X10" s="348">
        <f t="shared" si="2"/>
        <v>0</v>
      </c>
      <c r="Y10" s="347">
        <v>72</v>
      </c>
      <c r="Z10" s="347"/>
      <c r="AA10" s="347"/>
      <c r="AB10" s="347"/>
      <c r="AC10" s="347"/>
      <c r="AD10" s="347"/>
      <c r="AE10" s="348">
        <f t="shared" si="3"/>
        <v>72</v>
      </c>
      <c r="AF10" s="347"/>
      <c r="AG10" s="347">
        <v>46</v>
      </c>
      <c r="AH10" s="347">
        <v>145</v>
      </c>
      <c r="AI10" s="347"/>
      <c r="AJ10" s="347"/>
      <c r="AK10" s="347"/>
      <c r="AL10" s="348">
        <f t="shared" si="4"/>
        <v>191</v>
      </c>
      <c r="AM10" s="347"/>
      <c r="AN10" s="347"/>
      <c r="AO10" s="347">
        <v>150</v>
      </c>
      <c r="AP10" s="347"/>
      <c r="AQ10" s="347"/>
      <c r="AR10" s="347"/>
      <c r="AS10" s="348">
        <f t="shared" si="5"/>
        <v>150</v>
      </c>
      <c r="AT10" s="347"/>
      <c r="AU10" s="347"/>
      <c r="AV10" s="347"/>
      <c r="AW10" s="347"/>
      <c r="AX10" s="347"/>
      <c r="AY10" s="347"/>
      <c r="AZ10" s="348">
        <f t="shared" si="6"/>
        <v>0</v>
      </c>
      <c r="BA10" s="347"/>
      <c r="BB10" s="347"/>
      <c r="BC10" s="347"/>
      <c r="BD10" s="347"/>
      <c r="BE10" s="348">
        <f t="shared" si="7"/>
        <v>0</v>
      </c>
      <c r="BF10" s="347"/>
      <c r="BG10" s="348">
        <f t="shared" si="8"/>
        <v>0</v>
      </c>
      <c r="BH10" s="356">
        <v>662</v>
      </c>
    </row>
    <row r="11" spans="1:60" ht="17.45" customHeight="1">
      <c r="A11" s="357"/>
      <c r="B11" s="357"/>
      <c r="C11" s="357"/>
      <c r="D11" s="347" t="s">
        <v>1223</v>
      </c>
      <c r="E11" s="347" t="s">
        <v>1783</v>
      </c>
      <c r="F11" s="355"/>
      <c r="G11" s="347">
        <v>28</v>
      </c>
      <c r="H11" s="347"/>
      <c r="I11" s="347"/>
      <c r="J11" s="347"/>
      <c r="K11" s="347"/>
      <c r="L11" s="348">
        <f t="shared" si="0"/>
        <v>28</v>
      </c>
      <c r="M11" s="347"/>
      <c r="N11" s="347"/>
      <c r="O11" s="347"/>
      <c r="P11" s="347"/>
      <c r="Q11" s="347"/>
      <c r="R11" s="348">
        <f t="shared" si="1"/>
        <v>0</v>
      </c>
      <c r="S11" s="347"/>
      <c r="T11" s="347">
        <v>3</v>
      </c>
      <c r="U11" s="347"/>
      <c r="V11" s="347"/>
      <c r="W11" s="347"/>
      <c r="X11" s="348">
        <f t="shared" si="2"/>
        <v>3</v>
      </c>
      <c r="Y11" s="347">
        <v>4</v>
      </c>
      <c r="Z11" s="347"/>
      <c r="AA11" s="347"/>
      <c r="AB11" s="347"/>
      <c r="AC11" s="347"/>
      <c r="AD11" s="347"/>
      <c r="AE11" s="348">
        <f t="shared" si="3"/>
        <v>4</v>
      </c>
      <c r="AF11" s="347"/>
      <c r="AG11" s="347"/>
      <c r="AH11" s="347">
        <v>5</v>
      </c>
      <c r="AI11" s="347"/>
      <c r="AJ11" s="347"/>
      <c r="AK11" s="347"/>
      <c r="AL11" s="348">
        <f t="shared" si="4"/>
        <v>5</v>
      </c>
      <c r="AM11" s="347"/>
      <c r="AN11" s="347"/>
      <c r="AO11" s="347">
        <v>3</v>
      </c>
      <c r="AP11" s="347"/>
      <c r="AQ11" s="347"/>
      <c r="AR11" s="347"/>
      <c r="AS11" s="348">
        <f t="shared" si="5"/>
        <v>3</v>
      </c>
      <c r="AT11" s="347"/>
      <c r="AU11" s="347"/>
      <c r="AV11" s="347"/>
      <c r="AW11" s="347">
        <v>4</v>
      </c>
      <c r="AX11" s="347"/>
      <c r="AY11" s="347"/>
      <c r="AZ11" s="348">
        <f t="shared" si="6"/>
        <v>4</v>
      </c>
      <c r="BA11" s="347"/>
      <c r="BB11" s="347">
        <v>4</v>
      </c>
      <c r="BC11" s="347"/>
      <c r="BD11" s="347"/>
      <c r="BE11" s="348">
        <f t="shared" si="7"/>
        <v>4</v>
      </c>
      <c r="BF11" s="347"/>
      <c r="BG11" s="348">
        <f t="shared" si="8"/>
        <v>0</v>
      </c>
      <c r="BH11" s="356">
        <v>51</v>
      </c>
    </row>
    <row r="12" spans="1:60" ht="17.45" customHeight="1">
      <c r="A12" s="357"/>
      <c r="B12" s="357"/>
      <c r="C12" s="357"/>
      <c r="D12" s="347" t="s">
        <v>1224</v>
      </c>
      <c r="E12" s="347" t="s">
        <v>1784</v>
      </c>
      <c r="F12" s="355"/>
      <c r="G12" s="347">
        <v>1</v>
      </c>
      <c r="H12" s="347"/>
      <c r="I12" s="347"/>
      <c r="J12" s="347"/>
      <c r="K12" s="347"/>
      <c r="L12" s="348">
        <f t="shared" si="0"/>
        <v>1</v>
      </c>
      <c r="M12" s="347"/>
      <c r="N12" s="347"/>
      <c r="O12" s="347"/>
      <c r="P12" s="347"/>
      <c r="Q12" s="347"/>
      <c r="R12" s="348">
        <f t="shared" si="1"/>
        <v>0</v>
      </c>
      <c r="S12" s="347"/>
      <c r="T12" s="347"/>
      <c r="U12" s="347"/>
      <c r="V12" s="347"/>
      <c r="W12" s="347"/>
      <c r="X12" s="348">
        <f t="shared" si="2"/>
        <v>0</v>
      </c>
      <c r="Y12" s="347">
        <v>12</v>
      </c>
      <c r="Z12" s="347"/>
      <c r="AA12" s="347"/>
      <c r="AB12" s="347"/>
      <c r="AC12" s="347"/>
      <c r="AD12" s="347"/>
      <c r="AE12" s="348">
        <f t="shared" si="3"/>
        <v>12</v>
      </c>
      <c r="AF12" s="347"/>
      <c r="AG12" s="347"/>
      <c r="AH12" s="347">
        <v>3</v>
      </c>
      <c r="AI12" s="347"/>
      <c r="AJ12" s="347"/>
      <c r="AK12" s="347"/>
      <c r="AL12" s="348">
        <f t="shared" si="4"/>
        <v>3</v>
      </c>
      <c r="AM12" s="347"/>
      <c r="AN12" s="347"/>
      <c r="AO12" s="347"/>
      <c r="AP12" s="347"/>
      <c r="AQ12" s="347"/>
      <c r="AR12" s="347"/>
      <c r="AS12" s="348">
        <f t="shared" si="5"/>
        <v>0</v>
      </c>
      <c r="AT12" s="347"/>
      <c r="AU12" s="347"/>
      <c r="AV12" s="347"/>
      <c r="AW12" s="347"/>
      <c r="AX12" s="347"/>
      <c r="AY12" s="347"/>
      <c r="AZ12" s="348">
        <f t="shared" si="6"/>
        <v>0</v>
      </c>
      <c r="BA12" s="347"/>
      <c r="BB12" s="347"/>
      <c r="BC12" s="347"/>
      <c r="BD12" s="347"/>
      <c r="BE12" s="348">
        <f t="shared" si="7"/>
        <v>0</v>
      </c>
      <c r="BF12" s="347"/>
      <c r="BG12" s="348">
        <f t="shared" si="8"/>
        <v>0</v>
      </c>
      <c r="BH12" s="356">
        <v>16</v>
      </c>
    </row>
    <row r="13" spans="1:60" ht="17.45" customHeight="1">
      <c r="A13" s="357"/>
      <c r="B13" s="357"/>
      <c r="C13" s="357"/>
      <c r="D13" s="347" t="s">
        <v>1116</v>
      </c>
      <c r="E13" s="347" t="s">
        <v>1785</v>
      </c>
      <c r="F13" s="355"/>
      <c r="G13" s="347"/>
      <c r="H13" s="347"/>
      <c r="I13" s="347"/>
      <c r="J13" s="347"/>
      <c r="K13" s="347"/>
      <c r="L13" s="348">
        <f t="shared" si="0"/>
        <v>0</v>
      </c>
      <c r="M13" s="347"/>
      <c r="N13" s="347"/>
      <c r="O13" s="347"/>
      <c r="P13" s="347"/>
      <c r="Q13" s="347"/>
      <c r="R13" s="348">
        <f t="shared" si="1"/>
        <v>0</v>
      </c>
      <c r="S13" s="347"/>
      <c r="T13" s="347"/>
      <c r="U13" s="347"/>
      <c r="V13" s="347"/>
      <c r="W13" s="347"/>
      <c r="X13" s="348">
        <f t="shared" si="2"/>
        <v>0</v>
      </c>
      <c r="Y13" s="347">
        <v>54</v>
      </c>
      <c r="Z13" s="347">
        <v>25</v>
      </c>
      <c r="AA13" s="347"/>
      <c r="AB13" s="347"/>
      <c r="AC13" s="347"/>
      <c r="AD13" s="347"/>
      <c r="AE13" s="348">
        <f t="shared" si="3"/>
        <v>79</v>
      </c>
      <c r="AF13" s="347"/>
      <c r="AG13" s="347"/>
      <c r="AH13" s="347">
        <v>27</v>
      </c>
      <c r="AI13" s="347"/>
      <c r="AJ13" s="347"/>
      <c r="AK13" s="347"/>
      <c r="AL13" s="348">
        <f t="shared" si="4"/>
        <v>27</v>
      </c>
      <c r="AM13" s="347"/>
      <c r="AN13" s="347"/>
      <c r="AO13" s="347">
        <v>12</v>
      </c>
      <c r="AP13" s="347"/>
      <c r="AQ13" s="347"/>
      <c r="AR13" s="347"/>
      <c r="AS13" s="348">
        <f t="shared" si="5"/>
        <v>12</v>
      </c>
      <c r="AT13" s="347"/>
      <c r="AU13" s="347"/>
      <c r="AV13" s="347"/>
      <c r="AW13" s="347">
        <v>11</v>
      </c>
      <c r="AX13" s="347"/>
      <c r="AY13" s="347"/>
      <c r="AZ13" s="348">
        <f t="shared" si="6"/>
        <v>11</v>
      </c>
      <c r="BA13" s="347"/>
      <c r="BB13" s="347">
        <v>21</v>
      </c>
      <c r="BC13" s="347"/>
      <c r="BD13" s="347"/>
      <c r="BE13" s="348">
        <f t="shared" si="7"/>
        <v>21</v>
      </c>
      <c r="BF13" s="347"/>
      <c r="BG13" s="348">
        <f t="shared" si="8"/>
        <v>0</v>
      </c>
      <c r="BH13" s="356">
        <v>150</v>
      </c>
    </row>
    <row r="14" spans="1:60" ht="17.45" customHeight="1">
      <c r="A14" s="357"/>
      <c r="B14" s="357"/>
      <c r="C14" s="357"/>
      <c r="D14" s="347" t="s">
        <v>1214</v>
      </c>
      <c r="E14" s="347" t="s">
        <v>1786</v>
      </c>
      <c r="F14" s="355"/>
      <c r="G14" s="347">
        <v>6</v>
      </c>
      <c r="H14" s="347"/>
      <c r="I14" s="347"/>
      <c r="J14" s="347"/>
      <c r="K14" s="347"/>
      <c r="L14" s="348">
        <f t="shared" si="0"/>
        <v>6</v>
      </c>
      <c r="M14" s="347"/>
      <c r="N14" s="347"/>
      <c r="O14" s="347">
        <v>1</v>
      </c>
      <c r="P14" s="347"/>
      <c r="Q14" s="347"/>
      <c r="R14" s="348">
        <f t="shared" si="1"/>
        <v>1</v>
      </c>
      <c r="S14" s="347"/>
      <c r="T14" s="347">
        <v>1</v>
      </c>
      <c r="U14" s="347"/>
      <c r="V14" s="347"/>
      <c r="W14" s="347"/>
      <c r="X14" s="348">
        <f t="shared" si="2"/>
        <v>1</v>
      </c>
      <c r="Y14" s="347"/>
      <c r="Z14" s="347"/>
      <c r="AA14" s="347"/>
      <c r="AB14" s="347"/>
      <c r="AC14" s="347"/>
      <c r="AD14" s="347"/>
      <c r="AE14" s="348">
        <f t="shared" si="3"/>
        <v>0</v>
      </c>
      <c r="AF14" s="347"/>
      <c r="AG14" s="347"/>
      <c r="AH14" s="347"/>
      <c r="AI14" s="347"/>
      <c r="AJ14" s="347"/>
      <c r="AK14" s="347"/>
      <c r="AL14" s="348">
        <f t="shared" si="4"/>
        <v>0</v>
      </c>
      <c r="AM14" s="347"/>
      <c r="AN14" s="347"/>
      <c r="AO14" s="347"/>
      <c r="AP14" s="347"/>
      <c r="AQ14" s="347"/>
      <c r="AR14" s="347"/>
      <c r="AS14" s="348">
        <f t="shared" si="5"/>
        <v>0</v>
      </c>
      <c r="AT14" s="347"/>
      <c r="AU14" s="347"/>
      <c r="AV14" s="347"/>
      <c r="AW14" s="347"/>
      <c r="AX14" s="347"/>
      <c r="AY14" s="347"/>
      <c r="AZ14" s="348">
        <f t="shared" si="6"/>
        <v>0</v>
      </c>
      <c r="BA14" s="347"/>
      <c r="BB14" s="347"/>
      <c r="BC14" s="347"/>
      <c r="BD14" s="347"/>
      <c r="BE14" s="348">
        <f t="shared" si="7"/>
        <v>0</v>
      </c>
      <c r="BF14" s="347"/>
      <c r="BG14" s="348">
        <f t="shared" si="8"/>
        <v>0</v>
      </c>
      <c r="BH14" s="356">
        <v>8</v>
      </c>
    </row>
    <row r="15" spans="1:60" ht="17.45" customHeight="1">
      <c r="A15" s="357"/>
      <c r="B15" s="357"/>
      <c r="C15" s="357"/>
      <c r="D15" s="347" t="s">
        <v>1074</v>
      </c>
      <c r="E15" s="347" t="s">
        <v>1075</v>
      </c>
      <c r="F15" s="355"/>
      <c r="G15" s="347">
        <v>34</v>
      </c>
      <c r="H15" s="347">
        <v>360</v>
      </c>
      <c r="I15" s="347">
        <v>127</v>
      </c>
      <c r="J15" s="347"/>
      <c r="K15" s="347"/>
      <c r="L15" s="348">
        <f t="shared" si="0"/>
        <v>521</v>
      </c>
      <c r="M15" s="347"/>
      <c r="N15" s="347"/>
      <c r="O15" s="347">
        <v>146</v>
      </c>
      <c r="P15" s="347">
        <v>294</v>
      </c>
      <c r="Q15" s="347"/>
      <c r="R15" s="348">
        <f t="shared" si="1"/>
        <v>440</v>
      </c>
      <c r="S15" s="347"/>
      <c r="T15" s="347">
        <v>8</v>
      </c>
      <c r="U15" s="347">
        <v>400</v>
      </c>
      <c r="V15" s="347">
        <v>245</v>
      </c>
      <c r="W15" s="347"/>
      <c r="X15" s="348">
        <f t="shared" si="2"/>
        <v>653</v>
      </c>
      <c r="Y15" s="347"/>
      <c r="Z15" s="347">
        <v>315</v>
      </c>
      <c r="AA15" s="347">
        <v>234</v>
      </c>
      <c r="AB15" s="347"/>
      <c r="AC15" s="347"/>
      <c r="AD15" s="347"/>
      <c r="AE15" s="348">
        <f t="shared" si="3"/>
        <v>549</v>
      </c>
      <c r="AF15" s="347"/>
      <c r="AG15" s="347"/>
      <c r="AH15" s="347">
        <v>160</v>
      </c>
      <c r="AI15" s="347">
        <v>340</v>
      </c>
      <c r="AJ15" s="347">
        <v>82</v>
      </c>
      <c r="AK15" s="347"/>
      <c r="AL15" s="348">
        <f t="shared" si="4"/>
        <v>582</v>
      </c>
      <c r="AM15" s="347"/>
      <c r="AN15" s="347"/>
      <c r="AO15" s="347">
        <v>52</v>
      </c>
      <c r="AP15" s="347">
        <v>250</v>
      </c>
      <c r="AQ15" s="347"/>
      <c r="AR15" s="347"/>
      <c r="AS15" s="348">
        <f t="shared" si="5"/>
        <v>302</v>
      </c>
      <c r="AT15" s="347"/>
      <c r="AU15" s="347"/>
      <c r="AV15" s="347"/>
      <c r="AW15" s="347">
        <v>271</v>
      </c>
      <c r="AX15" s="347">
        <v>254</v>
      </c>
      <c r="AY15" s="347"/>
      <c r="AZ15" s="348">
        <f t="shared" si="6"/>
        <v>525</v>
      </c>
      <c r="BA15" s="347"/>
      <c r="BB15" s="347">
        <v>194</v>
      </c>
      <c r="BC15" s="347">
        <v>240</v>
      </c>
      <c r="BD15" s="347"/>
      <c r="BE15" s="348">
        <f t="shared" si="7"/>
        <v>434</v>
      </c>
      <c r="BF15" s="347"/>
      <c r="BG15" s="348">
        <f t="shared" si="8"/>
        <v>0</v>
      </c>
      <c r="BH15" s="356">
        <v>4006</v>
      </c>
    </row>
    <row r="16" spans="1:60" ht="17.45" customHeight="1">
      <c r="A16" s="357"/>
      <c r="B16" s="357"/>
      <c r="C16" s="357"/>
      <c r="D16" s="347" t="s">
        <v>1076</v>
      </c>
      <c r="E16" s="347" t="s">
        <v>1077</v>
      </c>
      <c r="F16" s="355"/>
      <c r="G16" s="347"/>
      <c r="H16" s="347"/>
      <c r="I16" s="347">
        <v>233</v>
      </c>
      <c r="J16" s="347">
        <v>74</v>
      </c>
      <c r="K16" s="347"/>
      <c r="L16" s="348">
        <f t="shared" si="0"/>
        <v>307</v>
      </c>
      <c r="M16" s="347"/>
      <c r="N16" s="347"/>
      <c r="O16" s="347"/>
      <c r="P16" s="347">
        <v>56</v>
      </c>
      <c r="Q16" s="347">
        <v>500</v>
      </c>
      <c r="R16" s="348">
        <f t="shared" si="1"/>
        <v>556</v>
      </c>
      <c r="S16" s="347">
        <v>12</v>
      </c>
      <c r="T16" s="347"/>
      <c r="U16" s="347"/>
      <c r="V16" s="347">
        <v>155</v>
      </c>
      <c r="W16" s="347">
        <v>131</v>
      </c>
      <c r="X16" s="348">
        <f t="shared" si="2"/>
        <v>298</v>
      </c>
      <c r="Y16" s="347"/>
      <c r="Z16" s="347"/>
      <c r="AA16" s="347">
        <v>106</v>
      </c>
      <c r="AB16" s="347">
        <v>340</v>
      </c>
      <c r="AC16" s="347">
        <v>340</v>
      </c>
      <c r="AD16" s="347">
        <v>253</v>
      </c>
      <c r="AE16" s="348">
        <f t="shared" si="3"/>
        <v>1039</v>
      </c>
      <c r="AF16" s="347"/>
      <c r="AG16" s="347"/>
      <c r="AH16" s="347"/>
      <c r="AI16" s="347"/>
      <c r="AJ16" s="347">
        <v>182</v>
      </c>
      <c r="AK16" s="347"/>
      <c r="AL16" s="348">
        <f t="shared" si="4"/>
        <v>182</v>
      </c>
      <c r="AM16" s="347"/>
      <c r="AN16" s="347"/>
      <c r="AO16" s="347"/>
      <c r="AP16" s="347">
        <v>124</v>
      </c>
      <c r="AQ16" s="347">
        <v>168</v>
      </c>
      <c r="AR16" s="347"/>
      <c r="AS16" s="348">
        <f t="shared" si="5"/>
        <v>292</v>
      </c>
      <c r="AT16" s="347"/>
      <c r="AU16" s="347"/>
      <c r="AV16" s="347"/>
      <c r="AW16" s="347"/>
      <c r="AX16" s="347">
        <v>86</v>
      </c>
      <c r="AY16" s="347">
        <v>177</v>
      </c>
      <c r="AZ16" s="348">
        <f t="shared" si="6"/>
        <v>263</v>
      </c>
      <c r="BA16" s="347"/>
      <c r="BB16" s="347"/>
      <c r="BC16" s="347">
        <v>100</v>
      </c>
      <c r="BD16" s="347">
        <v>220</v>
      </c>
      <c r="BE16" s="348">
        <f t="shared" si="7"/>
        <v>320</v>
      </c>
      <c r="BF16" s="347"/>
      <c r="BG16" s="348">
        <f t="shared" si="8"/>
        <v>0</v>
      </c>
      <c r="BH16" s="356">
        <v>3257</v>
      </c>
    </row>
    <row r="17" spans="1:60" ht="17.45" customHeight="1">
      <c r="A17" s="357"/>
      <c r="B17" s="357"/>
      <c r="C17" s="357"/>
      <c r="D17" s="347" t="s">
        <v>1078</v>
      </c>
      <c r="E17" s="347" t="s">
        <v>1079</v>
      </c>
      <c r="F17" s="355"/>
      <c r="G17" s="347"/>
      <c r="H17" s="347"/>
      <c r="I17" s="347"/>
      <c r="J17" s="347">
        <v>259</v>
      </c>
      <c r="K17" s="347"/>
      <c r="L17" s="348">
        <f t="shared" si="0"/>
        <v>259</v>
      </c>
      <c r="M17" s="347"/>
      <c r="N17" s="347"/>
      <c r="O17" s="347"/>
      <c r="P17" s="347"/>
      <c r="Q17" s="347"/>
      <c r="R17" s="348">
        <f t="shared" si="1"/>
        <v>0</v>
      </c>
      <c r="S17" s="347">
        <v>98</v>
      </c>
      <c r="T17" s="347">
        <v>85</v>
      </c>
      <c r="U17" s="347"/>
      <c r="V17" s="347"/>
      <c r="W17" s="347">
        <v>210</v>
      </c>
      <c r="X17" s="348">
        <f t="shared" si="2"/>
        <v>393</v>
      </c>
      <c r="Y17" s="347"/>
      <c r="Z17" s="347"/>
      <c r="AA17" s="347"/>
      <c r="AB17" s="347"/>
      <c r="AC17" s="347"/>
      <c r="AD17" s="347">
        <v>82</v>
      </c>
      <c r="AE17" s="348">
        <f t="shared" si="3"/>
        <v>82</v>
      </c>
      <c r="AF17" s="347"/>
      <c r="AG17" s="347"/>
      <c r="AH17" s="347"/>
      <c r="AI17" s="347"/>
      <c r="AJ17" s="347">
        <v>74</v>
      </c>
      <c r="AK17" s="347"/>
      <c r="AL17" s="348">
        <f t="shared" si="4"/>
        <v>74</v>
      </c>
      <c r="AM17" s="347"/>
      <c r="AN17" s="347"/>
      <c r="AO17" s="347"/>
      <c r="AP17" s="347"/>
      <c r="AQ17" s="347">
        <v>191</v>
      </c>
      <c r="AR17" s="347"/>
      <c r="AS17" s="348">
        <f t="shared" si="5"/>
        <v>191</v>
      </c>
      <c r="AT17" s="347"/>
      <c r="AU17" s="347"/>
      <c r="AV17" s="347"/>
      <c r="AW17" s="347"/>
      <c r="AX17" s="347"/>
      <c r="AY17" s="347">
        <v>152</v>
      </c>
      <c r="AZ17" s="348">
        <f t="shared" si="6"/>
        <v>152</v>
      </c>
      <c r="BA17" s="347"/>
      <c r="BB17" s="347"/>
      <c r="BC17" s="347"/>
      <c r="BD17" s="347">
        <v>114</v>
      </c>
      <c r="BE17" s="348">
        <f t="shared" si="7"/>
        <v>114</v>
      </c>
      <c r="BF17" s="347"/>
      <c r="BG17" s="348">
        <f t="shared" si="8"/>
        <v>0</v>
      </c>
      <c r="BH17" s="356">
        <v>1265</v>
      </c>
    </row>
    <row r="18" spans="1:60" ht="17.45" customHeight="1">
      <c r="A18" s="357"/>
      <c r="B18" s="357"/>
      <c r="C18" s="357"/>
      <c r="D18" s="347" t="s">
        <v>1225</v>
      </c>
      <c r="E18" s="347" t="s">
        <v>1787</v>
      </c>
      <c r="F18" s="355"/>
      <c r="G18" s="347"/>
      <c r="H18" s="347"/>
      <c r="I18" s="347"/>
      <c r="J18" s="347">
        <v>17</v>
      </c>
      <c r="K18" s="347"/>
      <c r="L18" s="348">
        <f t="shared" si="0"/>
        <v>17</v>
      </c>
      <c r="M18" s="347"/>
      <c r="N18" s="347"/>
      <c r="O18" s="347"/>
      <c r="P18" s="347"/>
      <c r="Q18" s="347"/>
      <c r="R18" s="348">
        <f t="shared" si="1"/>
        <v>0</v>
      </c>
      <c r="S18" s="347"/>
      <c r="T18" s="347"/>
      <c r="U18" s="347"/>
      <c r="V18" s="347"/>
      <c r="W18" s="347">
        <v>6</v>
      </c>
      <c r="X18" s="348">
        <f t="shared" si="2"/>
        <v>6</v>
      </c>
      <c r="Y18" s="347"/>
      <c r="Z18" s="347"/>
      <c r="AA18" s="347"/>
      <c r="AB18" s="347"/>
      <c r="AC18" s="347"/>
      <c r="AD18" s="347"/>
      <c r="AE18" s="348">
        <f t="shared" si="3"/>
        <v>0</v>
      </c>
      <c r="AF18" s="347"/>
      <c r="AG18" s="347"/>
      <c r="AH18" s="347"/>
      <c r="AI18" s="347"/>
      <c r="AJ18" s="347">
        <v>1</v>
      </c>
      <c r="AK18" s="347"/>
      <c r="AL18" s="348">
        <f t="shared" si="4"/>
        <v>1</v>
      </c>
      <c r="AM18" s="347"/>
      <c r="AN18" s="347"/>
      <c r="AO18" s="347"/>
      <c r="AP18" s="347"/>
      <c r="AQ18" s="347">
        <v>9</v>
      </c>
      <c r="AR18" s="347"/>
      <c r="AS18" s="348">
        <f t="shared" si="5"/>
        <v>9</v>
      </c>
      <c r="AT18" s="347"/>
      <c r="AU18" s="347"/>
      <c r="AV18" s="347"/>
      <c r="AW18" s="347"/>
      <c r="AX18" s="347"/>
      <c r="AY18" s="347">
        <v>7</v>
      </c>
      <c r="AZ18" s="348">
        <f t="shared" si="6"/>
        <v>7</v>
      </c>
      <c r="BA18" s="347"/>
      <c r="BB18" s="347"/>
      <c r="BC18" s="347"/>
      <c r="BD18" s="347">
        <v>3</v>
      </c>
      <c r="BE18" s="348">
        <f t="shared" si="7"/>
        <v>3</v>
      </c>
      <c r="BF18" s="347"/>
      <c r="BG18" s="348">
        <f t="shared" si="8"/>
        <v>0</v>
      </c>
      <c r="BH18" s="356">
        <v>43</v>
      </c>
    </row>
    <row r="19" spans="1:60" ht="17.45" customHeight="1">
      <c r="A19" s="357"/>
      <c r="B19" s="357"/>
      <c r="C19" s="358"/>
      <c r="D19" s="347" t="s">
        <v>1226</v>
      </c>
      <c r="E19" s="347" t="s">
        <v>1788</v>
      </c>
      <c r="F19" s="355"/>
      <c r="G19" s="347"/>
      <c r="H19" s="347"/>
      <c r="I19" s="347"/>
      <c r="J19" s="347">
        <v>10</v>
      </c>
      <c r="K19" s="347"/>
      <c r="L19" s="348">
        <f t="shared" si="0"/>
        <v>10</v>
      </c>
      <c r="M19" s="347"/>
      <c r="N19" s="347"/>
      <c r="O19" s="347"/>
      <c r="P19" s="347"/>
      <c r="Q19" s="347"/>
      <c r="R19" s="348">
        <f t="shared" si="1"/>
        <v>0</v>
      </c>
      <c r="S19" s="347"/>
      <c r="T19" s="347">
        <v>5</v>
      </c>
      <c r="U19" s="347"/>
      <c r="V19" s="347"/>
      <c r="W19" s="347">
        <v>3</v>
      </c>
      <c r="X19" s="348">
        <f t="shared" si="2"/>
        <v>8</v>
      </c>
      <c r="Y19" s="347"/>
      <c r="Z19" s="347"/>
      <c r="AA19" s="347"/>
      <c r="AB19" s="347"/>
      <c r="AC19" s="347"/>
      <c r="AD19" s="347">
        <v>5</v>
      </c>
      <c r="AE19" s="348">
        <f t="shared" si="3"/>
        <v>5</v>
      </c>
      <c r="AF19" s="347"/>
      <c r="AG19" s="347"/>
      <c r="AH19" s="347"/>
      <c r="AI19" s="347"/>
      <c r="AJ19" s="347">
        <v>1</v>
      </c>
      <c r="AK19" s="347"/>
      <c r="AL19" s="348">
        <f t="shared" si="4"/>
        <v>1</v>
      </c>
      <c r="AM19" s="347"/>
      <c r="AN19" s="347"/>
      <c r="AO19" s="347"/>
      <c r="AP19" s="347"/>
      <c r="AQ19" s="347">
        <v>6</v>
      </c>
      <c r="AR19" s="347"/>
      <c r="AS19" s="348">
        <f t="shared" si="5"/>
        <v>6</v>
      </c>
      <c r="AT19" s="347"/>
      <c r="AU19" s="347"/>
      <c r="AV19" s="347"/>
      <c r="AW19" s="347"/>
      <c r="AX19" s="347"/>
      <c r="AY19" s="347">
        <v>4</v>
      </c>
      <c r="AZ19" s="348">
        <f t="shared" si="6"/>
        <v>4</v>
      </c>
      <c r="BA19" s="347"/>
      <c r="BB19" s="347"/>
      <c r="BC19" s="347"/>
      <c r="BD19" s="347">
        <v>3</v>
      </c>
      <c r="BE19" s="348">
        <f t="shared" si="7"/>
        <v>3</v>
      </c>
      <c r="BF19" s="347"/>
      <c r="BG19" s="348">
        <f t="shared" si="8"/>
        <v>0</v>
      </c>
      <c r="BH19" s="356">
        <v>37</v>
      </c>
    </row>
    <row r="20" spans="1:60" ht="17.45" customHeight="1">
      <c r="A20" s="357"/>
      <c r="B20" s="358"/>
      <c r="C20" s="359" t="s">
        <v>1827</v>
      </c>
      <c r="D20" s="360"/>
      <c r="E20" s="361"/>
      <c r="F20" s="362">
        <v>360</v>
      </c>
      <c r="G20" s="363">
        <v>360</v>
      </c>
      <c r="H20" s="363">
        <v>360</v>
      </c>
      <c r="I20" s="363">
        <v>360</v>
      </c>
      <c r="J20" s="363">
        <v>360</v>
      </c>
      <c r="K20" s="363"/>
      <c r="L20" s="348">
        <f t="shared" si="0"/>
        <v>1800</v>
      </c>
      <c r="M20" s="363">
        <v>350</v>
      </c>
      <c r="N20" s="363">
        <v>350</v>
      </c>
      <c r="O20" s="363">
        <v>350</v>
      </c>
      <c r="P20" s="363">
        <v>350</v>
      </c>
      <c r="Q20" s="363">
        <v>500</v>
      </c>
      <c r="R20" s="348">
        <f t="shared" si="1"/>
        <v>1900</v>
      </c>
      <c r="S20" s="363">
        <v>400</v>
      </c>
      <c r="T20" s="363">
        <v>400</v>
      </c>
      <c r="U20" s="363">
        <v>400</v>
      </c>
      <c r="V20" s="363">
        <v>400</v>
      </c>
      <c r="W20" s="363">
        <v>350</v>
      </c>
      <c r="X20" s="348">
        <f t="shared" si="2"/>
        <v>1950</v>
      </c>
      <c r="Y20" s="363">
        <v>340</v>
      </c>
      <c r="Z20" s="363">
        <v>340</v>
      </c>
      <c r="AA20" s="363">
        <v>340</v>
      </c>
      <c r="AB20" s="363">
        <v>340</v>
      </c>
      <c r="AC20" s="363">
        <v>340</v>
      </c>
      <c r="AD20" s="363">
        <v>340</v>
      </c>
      <c r="AE20" s="348">
        <f t="shared" si="3"/>
        <v>2040</v>
      </c>
      <c r="AF20" s="363">
        <v>340</v>
      </c>
      <c r="AG20" s="363">
        <v>340</v>
      </c>
      <c r="AH20" s="363">
        <v>340</v>
      </c>
      <c r="AI20" s="363">
        <v>340</v>
      </c>
      <c r="AJ20" s="363">
        <v>340</v>
      </c>
      <c r="AK20" s="363"/>
      <c r="AL20" s="348">
        <f t="shared" si="4"/>
        <v>1700</v>
      </c>
      <c r="AM20" s="363">
        <v>374</v>
      </c>
      <c r="AN20" s="363">
        <v>374</v>
      </c>
      <c r="AO20" s="363">
        <v>374</v>
      </c>
      <c r="AP20" s="363">
        <v>374</v>
      </c>
      <c r="AQ20" s="363">
        <v>374</v>
      </c>
      <c r="AR20" s="363"/>
      <c r="AS20" s="348">
        <f t="shared" si="5"/>
        <v>1870</v>
      </c>
      <c r="AT20" s="363">
        <v>340</v>
      </c>
      <c r="AU20" s="363">
        <v>340</v>
      </c>
      <c r="AV20" s="363">
        <v>340</v>
      </c>
      <c r="AW20" s="363">
        <v>340</v>
      </c>
      <c r="AX20" s="363">
        <v>340</v>
      </c>
      <c r="AY20" s="363">
        <v>340</v>
      </c>
      <c r="AZ20" s="348">
        <f t="shared" si="6"/>
        <v>2040</v>
      </c>
      <c r="BA20" s="363">
        <v>340</v>
      </c>
      <c r="BB20" s="363">
        <v>340</v>
      </c>
      <c r="BC20" s="363">
        <v>340</v>
      </c>
      <c r="BD20" s="363">
        <v>340</v>
      </c>
      <c r="BE20" s="348">
        <f t="shared" si="7"/>
        <v>1360</v>
      </c>
      <c r="BF20" s="363">
        <v>255</v>
      </c>
      <c r="BG20" s="348">
        <f t="shared" si="8"/>
        <v>255</v>
      </c>
      <c r="BH20" s="356">
        <v>14915</v>
      </c>
    </row>
    <row r="21" spans="1:60" ht="17.45" customHeight="1">
      <c r="A21" s="357"/>
      <c r="B21" s="354" t="s">
        <v>1789</v>
      </c>
      <c r="C21" s="354" t="s">
        <v>1228</v>
      </c>
      <c r="D21" s="347" t="s">
        <v>1229</v>
      </c>
      <c r="E21" s="347" t="s">
        <v>1790</v>
      </c>
      <c r="F21" s="355">
        <v>4</v>
      </c>
      <c r="G21" s="347"/>
      <c r="H21" s="347"/>
      <c r="I21" s="347"/>
      <c r="J21" s="347"/>
      <c r="K21" s="347"/>
      <c r="L21" s="348">
        <f t="shared" si="0"/>
        <v>4</v>
      </c>
      <c r="M21" s="347">
        <v>8</v>
      </c>
      <c r="N21" s="347"/>
      <c r="O21" s="347"/>
      <c r="P21" s="347"/>
      <c r="Q21" s="347"/>
      <c r="R21" s="348">
        <f t="shared" si="1"/>
        <v>8</v>
      </c>
      <c r="S21" s="347">
        <v>5</v>
      </c>
      <c r="T21" s="347"/>
      <c r="U21" s="347"/>
      <c r="V21" s="347"/>
      <c r="W21" s="347"/>
      <c r="X21" s="348">
        <f t="shared" si="2"/>
        <v>5</v>
      </c>
      <c r="Y21" s="347">
        <v>3</v>
      </c>
      <c r="Z21" s="347"/>
      <c r="AA21" s="347"/>
      <c r="AB21" s="347"/>
      <c r="AC21" s="347"/>
      <c r="AD21" s="347"/>
      <c r="AE21" s="348">
        <f t="shared" si="3"/>
        <v>3</v>
      </c>
      <c r="AF21" s="347">
        <v>1</v>
      </c>
      <c r="AG21" s="347"/>
      <c r="AH21" s="347"/>
      <c r="AI21" s="347"/>
      <c r="AJ21" s="347"/>
      <c r="AK21" s="347"/>
      <c r="AL21" s="348">
        <f t="shared" si="4"/>
        <v>1</v>
      </c>
      <c r="AM21" s="347">
        <v>1</v>
      </c>
      <c r="AN21" s="347"/>
      <c r="AO21" s="347"/>
      <c r="AP21" s="347"/>
      <c r="AQ21" s="347"/>
      <c r="AR21" s="347"/>
      <c r="AS21" s="348">
        <f t="shared" si="5"/>
        <v>1</v>
      </c>
      <c r="AT21" s="347">
        <v>19</v>
      </c>
      <c r="AU21" s="347"/>
      <c r="AV21" s="347"/>
      <c r="AW21" s="347"/>
      <c r="AX21" s="347"/>
      <c r="AY21" s="347"/>
      <c r="AZ21" s="348">
        <f t="shared" si="6"/>
        <v>19</v>
      </c>
      <c r="BA21" s="347">
        <v>20</v>
      </c>
      <c r="BB21" s="347"/>
      <c r="BC21" s="347"/>
      <c r="BD21" s="347"/>
      <c r="BE21" s="348">
        <f t="shared" si="7"/>
        <v>20</v>
      </c>
      <c r="BF21" s="347"/>
      <c r="BG21" s="348">
        <f t="shared" si="8"/>
        <v>0</v>
      </c>
      <c r="BH21" s="356">
        <v>61</v>
      </c>
    </row>
    <row r="22" spans="1:60" ht="17.45" customHeight="1">
      <c r="A22" s="357"/>
      <c r="B22" s="357"/>
      <c r="C22" s="358"/>
      <c r="D22" s="347" t="s">
        <v>1230</v>
      </c>
      <c r="E22" s="347" t="s">
        <v>1791</v>
      </c>
      <c r="F22" s="355">
        <v>415</v>
      </c>
      <c r="G22" s="347">
        <v>359</v>
      </c>
      <c r="H22" s="347">
        <v>417</v>
      </c>
      <c r="I22" s="347">
        <v>359</v>
      </c>
      <c r="J22" s="347">
        <v>354</v>
      </c>
      <c r="K22" s="347"/>
      <c r="L22" s="348">
        <f t="shared" si="0"/>
        <v>1904</v>
      </c>
      <c r="M22" s="347">
        <v>452</v>
      </c>
      <c r="N22" s="347">
        <v>450</v>
      </c>
      <c r="O22" s="347">
        <v>449</v>
      </c>
      <c r="P22" s="347">
        <v>380</v>
      </c>
      <c r="Q22" s="347">
        <v>560</v>
      </c>
      <c r="R22" s="348">
        <f t="shared" si="1"/>
        <v>2291</v>
      </c>
      <c r="S22" s="347">
        <v>709</v>
      </c>
      <c r="T22" s="347">
        <v>714</v>
      </c>
      <c r="U22" s="347">
        <v>680</v>
      </c>
      <c r="V22" s="347">
        <v>544</v>
      </c>
      <c r="W22" s="347">
        <v>680</v>
      </c>
      <c r="X22" s="348">
        <f t="shared" si="2"/>
        <v>3327</v>
      </c>
      <c r="Y22" s="347">
        <v>489</v>
      </c>
      <c r="Z22" s="347">
        <v>675</v>
      </c>
      <c r="AA22" s="347">
        <v>683</v>
      </c>
      <c r="AB22" s="347">
        <v>500</v>
      </c>
      <c r="AC22" s="347">
        <v>400</v>
      </c>
      <c r="AD22" s="347">
        <v>280</v>
      </c>
      <c r="AE22" s="348">
        <f t="shared" si="3"/>
        <v>3027</v>
      </c>
      <c r="AF22" s="347">
        <v>339</v>
      </c>
      <c r="AG22" s="347">
        <v>340</v>
      </c>
      <c r="AH22" s="347">
        <v>340</v>
      </c>
      <c r="AI22" s="347">
        <v>340</v>
      </c>
      <c r="AJ22" s="347">
        <v>327</v>
      </c>
      <c r="AK22" s="347">
        <v>604</v>
      </c>
      <c r="AL22" s="348">
        <f t="shared" si="4"/>
        <v>2290</v>
      </c>
      <c r="AM22" s="347">
        <v>713</v>
      </c>
      <c r="AN22" s="347">
        <v>684</v>
      </c>
      <c r="AO22" s="347">
        <v>544</v>
      </c>
      <c r="AP22" s="347">
        <v>544</v>
      </c>
      <c r="AQ22" s="347">
        <v>544</v>
      </c>
      <c r="AR22" s="347">
        <v>214</v>
      </c>
      <c r="AS22" s="348">
        <f t="shared" si="5"/>
        <v>3243</v>
      </c>
      <c r="AT22" s="347">
        <v>564</v>
      </c>
      <c r="AU22" s="347">
        <v>583</v>
      </c>
      <c r="AV22" s="347">
        <v>583</v>
      </c>
      <c r="AW22" s="347">
        <v>583</v>
      </c>
      <c r="AX22" s="347">
        <v>583</v>
      </c>
      <c r="AY22" s="347">
        <v>583</v>
      </c>
      <c r="AZ22" s="348">
        <f t="shared" si="6"/>
        <v>3479</v>
      </c>
      <c r="BA22" s="347">
        <v>573</v>
      </c>
      <c r="BB22" s="347">
        <v>593</v>
      </c>
      <c r="BC22" s="347">
        <v>593</v>
      </c>
      <c r="BD22" s="347">
        <v>592</v>
      </c>
      <c r="BE22" s="348">
        <f t="shared" si="7"/>
        <v>2351</v>
      </c>
      <c r="BF22" s="347">
        <v>333</v>
      </c>
      <c r="BG22" s="348">
        <f t="shared" si="8"/>
        <v>333</v>
      </c>
      <c r="BH22" s="356">
        <v>22245</v>
      </c>
    </row>
    <row r="23" spans="1:60" ht="17.45" customHeight="1">
      <c r="A23" s="357"/>
      <c r="B23" s="358"/>
      <c r="C23" s="359" t="s">
        <v>1828</v>
      </c>
      <c r="D23" s="360"/>
      <c r="E23" s="361"/>
      <c r="F23" s="362">
        <v>419</v>
      </c>
      <c r="G23" s="363">
        <v>359</v>
      </c>
      <c r="H23" s="363">
        <v>417</v>
      </c>
      <c r="I23" s="363">
        <v>359</v>
      </c>
      <c r="J23" s="363">
        <v>354</v>
      </c>
      <c r="K23" s="363"/>
      <c r="L23" s="348">
        <f t="shared" si="0"/>
        <v>1908</v>
      </c>
      <c r="M23" s="363">
        <v>460</v>
      </c>
      <c r="N23" s="363">
        <v>450</v>
      </c>
      <c r="O23" s="363">
        <v>449</v>
      </c>
      <c r="P23" s="363">
        <v>380</v>
      </c>
      <c r="Q23" s="363">
        <v>560</v>
      </c>
      <c r="R23" s="348">
        <f t="shared" si="1"/>
        <v>2299</v>
      </c>
      <c r="S23" s="363">
        <v>714</v>
      </c>
      <c r="T23" s="363">
        <v>714</v>
      </c>
      <c r="U23" s="363">
        <v>680</v>
      </c>
      <c r="V23" s="363">
        <v>544</v>
      </c>
      <c r="W23" s="363">
        <v>680</v>
      </c>
      <c r="X23" s="348">
        <f t="shared" si="2"/>
        <v>3332</v>
      </c>
      <c r="Y23" s="363">
        <v>492</v>
      </c>
      <c r="Z23" s="363">
        <v>675</v>
      </c>
      <c r="AA23" s="363">
        <v>683</v>
      </c>
      <c r="AB23" s="363">
        <v>500</v>
      </c>
      <c r="AC23" s="363">
        <v>400</v>
      </c>
      <c r="AD23" s="363">
        <v>280</v>
      </c>
      <c r="AE23" s="348">
        <f t="shared" si="3"/>
        <v>3030</v>
      </c>
      <c r="AF23" s="363">
        <v>340</v>
      </c>
      <c r="AG23" s="363">
        <v>340</v>
      </c>
      <c r="AH23" s="363">
        <v>340</v>
      </c>
      <c r="AI23" s="363">
        <v>340</v>
      </c>
      <c r="AJ23" s="363">
        <v>327</v>
      </c>
      <c r="AK23" s="363">
        <v>604</v>
      </c>
      <c r="AL23" s="348">
        <f t="shared" si="4"/>
        <v>2291</v>
      </c>
      <c r="AM23" s="363">
        <v>714</v>
      </c>
      <c r="AN23" s="363">
        <v>684</v>
      </c>
      <c r="AO23" s="363">
        <v>544</v>
      </c>
      <c r="AP23" s="363">
        <v>544</v>
      </c>
      <c r="AQ23" s="363">
        <v>544</v>
      </c>
      <c r="AR23" s="363">
        <v>214</v>
      </c>
      <c r="AS23" s="348">
        <f t="shared" si="5"/>
        <v>3244</v>
      </c>
      <c r="AT23" s="363">
        <v>583</v>
      </c>
      <c r="AU23" s="363">
        <v>583</v>
      </c>
      <c r="AV23" s="363">
        <v>583</v>
      </c>
      <c r="AW23" s="363">
        <v>583</v>
      </c>
      <c r="AX23" s="363">
        <v>583</v>
      </c>
      <c r="AY23" s="363">
        <v>583</v>
      </c>
      <c r="AZ23" s="348">
        <f t="shared" si="6"/>
        <v>3498</v>
      </c>
      <c r="BA23" s="363">
        <v>593</v>
      </c>
      <c r="BB23" s="363">
        <v>593</v>
      </c>
      <c r="BC23" s="363">
        <v>593</v>
      </c>
      <c r="BD23" s="363">
        <v>592</v>
      </c>
      <c r="BE23" s="348">
        <f t="shared" si="7"/>
        <v>2371</v>
      </c>
      <c r="BF23" s="363">
        <v>333</v>
      </c>
      <c r="BG23" s="348">
        <f t="shared" si="8"/>
        <v>333</v>
      </c>
      <c r="BH23" s="356">
        <v>22306</v>
      </c>
    </row>
    <row r="24" spans="1:60" ht="17.45" customHeight="1">
      <c r="A24" s="357"/>
      <c r="B24" s="354" t="s">
        <v>1792</v>
      </c>
      <c r="C24" s="347" t="s">
        <v>1231</v>
      </c>
      <c r="D24" s="347" t="s">
        <v>1232</v>
      </c>
      <c r="E24" s="347" t="s">
        <v>1793</v>
      </c>
      <c r="F24" s="355">
        <v>16</v>
      </c>
      <c r="G24" s="347">
        <v>16</v>
      </c>
      <c r="H24" s="347">
        <v>16</v>
      </c>
      <c r="I24" s="347">
        <v>16</v>
      </c>
      <c r="J24" s="347">
        <v>16</v>
      </c>
      <c r="K24" s="347"/>
      <c r="L24" s="348">
        <f t="shared" si="0"/>
        <v>80</v>
      </c>
      <c r="M24" s="347">
        <v>14</v>
      </c>
      <c r="N24" s="347">
        <v>14</v>
      </c>
      <c r="O24" s="347">
        <v>14</v>
      </c>
      <c r="P24" s="347">
        <v>14</v>
      </c>
      <c r="Q24" s="347">
        <v>14</v>
      </c>
      <c r="R24" s="348">
        <f t="shared" si="1"/>
        <v>70</v>
      </c>
      <c r="S24" s="347">
        <v>18</v>
      </c>
      <c r="T24" s="347">
        <v>18</v>
      </c>
      <c r="U24" s="347">
        <v>18</v>
      </c>
      <c r="V24" s="347">
        <v>18</v>
      </c>
      <c r="W24" s="347">
        <v>18</v>
      </c>
      <c r="X24" s="348">
        <f t="shared" si="2"/>
        <v>90</v>
      </c>
      <c r="Y24" s="347">
        <v>17</v>
      </c>
      <c r="Z24" s="347">
        <v>16</v>
      </c>
      <c r="AA24" s="347">
        <v>16</v>
      </c>
      <c r="AB24" s="347">
        <v>16</v>
      </c>
      <c r="AC24" s="347">
        <v>16</v>
      </c>
      <c r="AD24" s="347">
        <v>16</v>
      </c>
      <c r="AE24" s="348">
        <f t="shared" si="3"/>
        <v>97</v>
      </c>
      <c r="AF24" s="347">
        <v>4</v>
      </c>
      <c r="AG24" s="347">
        <v>3</v>
      </c>
      <c r="AH24" s="347">
        <v>3</v>
      </c>
      <c r="AI24" s="347">
        <v>3</v>
      </c>
      <c r="AJ24" s="347">
        <v>3</v>
      </c>
      <c r="AK24" s="347"/>
      <c r="AL24" s="348">
        <f t="shared" si="4"/>
        <v>16</v>
      </c>
      <c r="AM24" s="347">
        <v>16</v>
      </c>
      <c r="AN24" s="347">
        <v>16</v>
      </c>
      <c r="AO24" s="347">
        <v>16</v>
      </c>
      <c r="AP24" s="347">
        <v>16</v>
      </c>
      <c r="AQ24" s="347">
        <v>15</v>
      </c>
      <c r="AR24" s="347">
        <v>15</v>
      </c>
      <c r="AS24" s="348">
        <f t="shared" si="5"/>
        <v>94</v>
      </c>
      <c r="AT24" s="347">
        <v>11</v>
      </c>
      <c r="AU24" s="347">
        <v>10</v>
      </c>
      <c r="AV24" s="347">
        <v>10</v>
      </c>
      <c r="AW24" s="347">
        <v>10</v>
      </c>
      <c r="AX24" s="347">
        <v>10</v>
      </c>
      <c r="AY24" s="347">
        <v>10</v>
      </c>
      <c r="AZ24" s="348">
        <f t="shared" si="6"/>
        <v>61</v>
      </c>
      <c r="BA24" s="347">
        <v>12</v>
      </c>
      <c r="BB24" s="347">
        <v>11</v>
      </c>
      <c r="BC24" s="347">
        <v>11</v>
      </c>
      <c r="BD24" s="347">
        <v>11</v>
      </c>
      <c r="BE24" s="348">
        <f t="shared" si="7"/>
        <v>45</v>
      </c>
      <c r="BF24" s="347">
        <v>6</v>
      </c>
      <c r="BG24" s="348">
        <f t="shared" si="8"/>
        <v>6</v>
      </c>
      <c r="BH24" s="356">
        <v>559</v>
      </c>
    </row>
    <row r="25" spans="1:60" ht="17.45" customHeight="1">
      <c r="A25" s="357"/>
      <c r="B25" s="358"/>
      <c r="C25" s="359" t="s">
        <v>1829</v>
      </c>
      <c r="D25" s="360"/>
      <c r="E25" s="361"/>
      <c r="F25" s="362">
        <v>16</v>
      </c>
      <c r="G25" s="363">
        <v>16</v>
      </c>
      <c r="H25" s="363">
        <v>16</v>
      </c>
      <c r="I25" s="363">
        <v>16</v>
      </c>
      <c r="J25" s="363">
        <v>16</v>
      </c>
      <c r="K25" s="363"/>
      <c r="L25" s="348">
        <f t="shared" si="0"/>
        <v>80</v>
      </c>
      <c r="M25" s="363">
        <v>14</v>
      </c>
      <c r="N25" s="363">
        <v>14</v>
      </c>
      <c r="O25" s="363">
        <v>14</v>
      </c>
      <c r="P25" s="363">
        <v>14</v>
      </c>
      <c r="Q25" s="363">
        <v>14</v>
      </c>
      <c r="R25" s="348">
        <f t="shared" si="1"/>
        <v>70</v>
      </c>
      <c r="S25" s="363">
        <v>18</v>
      </c>
      <c r="T25" s="363">
        <v>18</v>
      </c>
      <c r="U25" s="363">
        <v>18</v>
      </c>
      <c r="V25" s="363">
        <v>18</v>
      </c>
      <c r="W25" s="363">
        <v>18</v>
      </c>
      <c r="X25" s="348">
        <f t="shared" si="2"/>
        <v>90</v>
      </c>
      <c r="Y25" s="363">
        <v>17</v>
      </c>
      <c r="Z25" s="363">
        <v>16</v>
      </c>
      <c r="AA25" s="363">
        <v>16</v>
      </c>
      <c r="AB25" s="363">
        <v>16</v>
      </c>
      <c r="AC25" s="363">
        <v>16</v>
      </c>
      <c r="AD25" s="363">
        <v>16</v>
      </c>
      <c r="AE25" s="348">
        <f t="shared" si="3"/>
        <v>97</v>
      </c>
      <c r="AF25" s="363">
        <v>4</v>
      </c>
      <c r="AG25" s="363">
        <v>3</v>
      </c>
      <c r="AH25" s="363">
        <v>3</v>
      </c>
      <c r="AI25" s="363">
        <v>3</v>
      </c>
      <c r="AJ25" s="363">
        <v>3</v>
      </c>
      <c r="AK25" s="363"/>
      <c r="AL25" s="348">
        <f t="shared" si="4"/>
        <v>16</v>
      </c>
      <c r="AM25" s="363">
        <v>16</v>
      </c>
      <c r="AN25" s="363">
        <v>16</v>
      </c>
      <c r="AO25" s="363">
        <v>16</v>
      </c>
      <c r="AP25" s="363">
        <v>16</v>
      </c>
      <c r="AQ25" s="363">
        <v>15</v>
      </c>
      <c r="AR25" s="363">
        <v>15</v>
      </c>
      <c r="AS25" s="348">
        <f t="shared" si="5"/>
        <v>94</v>
      </c>
      <c r="AT25" s="363">
        <v>11</v>
      </c>
      <c r="AU25" s="363">
        <v>10</v>
      </c>
      <c r="AV25" s="363">
        <v>10</v>
      </c>
      <c r="AW25" s="363">
        <v>10</v>
      </c>
      <c r="AX25" s="363">
        <v>10</v>
      </c>
      <c r="AY25" s="363">
        <v>10</v>
      </c>
      <c r="AZ25" s="348">
        <f t="shared" si="6"/>
        <v>61</v>
      </c>
      <c r="BA25" s="363">
        <v>12</v>
      </c>
      <c r="BB25" s="363">
        <v>11</v>
      </c>
      <c r="BC25" s="363">
        <v>11</v>
      </c>
      <c r="BD25" s="363">
        <v>11</v>
      </c>
      <c r="BE25" s="348">
        <f t="shared" si="7"/>
        <v>45</v>
      </c>
      <c r="BF25" s="363">
        <v>6</v>
      </c>
      <c r="BG25" s="348">
        <f t="shared" si="8"/>
        <v>6</v>
      </c>
      <c r="BH25" s="356">
        <v>559</v>
      </c>
    </row>
    <row r="26" spans="1:60" ht="17.45" customHeight="1">
      <c r="A26" s="357"/>
      <c r="B26" s="354" t="s">
        <v>1794</v>
      </c>
      <c r="C26" s="347" t="s">
        <v>1795</v>
      </c>
      <c r="D26" s="347" t="s">
        <v>1796</v>
      </c>
      <c r="E26" s="347" t="s">
        <v>1797</v>
      </c>
      <c r="F26" s="355"/>
      <c r="G26" s="347"/>
      <c r="H26" s="347"/>
      <c r="I26" s="347"/>
      <c r="J26" s="347"/>
      <c r="K26" s="347"/>
      <c r="L26" s="348">
        <f t="shared" si="0"/>
        <v>0</v>
      </c>
      <c r="M26" s="347"/>
      <c r="N26" s="347"/>
      <c r="O26" s="347"/>
      <c r="P26" s="347"/>
      <c r="Q26" s="347"/>
      <c r="R26" s="348">
        <f t="shared" si="1"/>
        <v>0</v>
      </c>
      <c r="S26" s="347"/>
      <c r="T26" s="347"/>
      <c r="U26" s="347"/>
      <c r="V26" s="347"/>
      <c r="W26" s="347"/>
      <c r="X26" s="348">
        <f t="shared" si="2"/>
        <v>0</v>
      </c>
      <c r="Y26" s="347">
        <v>1</v>
      </c>
      <c r="Z26" s="347"/>
      <c r="AA26" s="347"/>
      <c r="AB26" s="347"/>
      <c r="AC26" s="347"/>
      <c r="AD26" s="347"/>
      <c r="AE26" s="348">
        <f t="shared" si="3"/>
        <v>1</v>
      </c>
      <c r="AF26" s="347"/>
      <c r="AG26" s="347"/>
      <c r="AH26" s="347"/>
      <c r="AI26" s="347"/>
      <c r="AJ26" s="347"/>
      <c r="AK26" s="347"/>
      <c r="AL26" s="348">
        <f t="shared" si="4"/>
        <v>0</v>
      </c>
      <c r="AM26" s="347"/>
      <c r="AN26" s="347"/>
      <c r="AO26" s="347"/>
      <c r="AP26" s="347"/>
      <c r="AQ26" s="347"/>
      <c r="AR26" s="347"/>
      <c r="AS26" s="348">
        <f t="shared" si="5"/>
        <v>0</v>
      </c>
      <c r="AT26" s="347"/>
      <c r="AU26" s="347"/>
      <c r="AV26" s="347"/>
      <c r="AW26" s="347"/>
      <c r="AX26" s="347"/>
      <c r="AY26" s="347"/>
      <c r="AZ26" s="348">
        <f t="shared" si="6"/>
        <v>0</v>
      </c>
      <c r="BA26" s="347"/>
      <c r="BB26" s="347"/>
      <c r="BC26" s="347"/>
      <c r="BD26" s="347"/>
      <c r="BE26" s="348">
        <f t="shared" si="7"/>
        <v>0</v>
      </c>
      <c r="BF26" s="347"/>
      <c r="BG26" s="348">
        <f t="shared" si="8"/>
        <v>0</v>
      </c>
      <c r="BH26" s="356">
        <v>1</v>
      </c>
    </row>
    <row r="27" spans="1:60" ht="17.45" customHeight="1">
      <c r="A27" s="357"/>
      <c r="B27" s="358"/>
      <c r="C27" s="359" t="s">
        <v>1830</v>
      </c>
      <c r="D27" s="360"/>
      <c r="E27" s="361"/>
      <c r="F27" s="362"/>
      <c r="G27" s="363"/>
      <c r="H27" s="363"/>
      <c r="I27" s="363"/>
      <c r="J27" s="363"/>
      <c r="K27" s="363"/>
      <c r="L27" s="348">
        <f t="shared" si="0"/>
        <v>0</v>
      </c>
      <c r="M27" s="363"/>
      <c r="N27" s="363"/>
      <c r="O27" s="363"/>
      <c r="P27" s="363"/>
      <c r="Q27" s="363"/>
      <c r="R27" s="348">
        <f t="shared" si="1"/>
        <v>0</v>
      </c>
      <c r="S27" s="363"/>
      <c r="T27" s="363"/>
      <c r="U27" s="363"/>
      <c r="V27" s="363"/>
      <c r="W27" s="363"/>
      <c r="X27" s="348">
        <f t="shared" si="2"/>
        <v>0</v>
      </c>
      <c r="Y27" s="363">
        <v>1</v>
      </c>
      <c r="Z27" s="363"/>
      <c r="AA27" s="363"/>
      <c r="AB27" s="363"/>
      <c r="AC27" s="363"/>
      <c r="AD27" s="363"/>
      <c r="AE27" s="348">
        <f t="shared" si="3"/>
        <v>1</v>
      </c>
      <c r="AF27" s="363"/>
      <c r="AG27" s="363"/>
      <c r="AH27" s="363"/>
      <c r="AI27" s="363"/>
      <c r="AJ27" s="363"/>
      <c r="AK27" s="363"/>
      <c r="AL27" s="348">
        <f t="shared" si="4"/>
        <v>0</v>
      </c>
      <c r="AM27" s="363"/>
      <c r="AN27" s="363"/>
      <c r="AO27" s="363"/>
      <c r="AP27" s="363"/>
      <c r="AQ27" s="363"/>
      <c r="AR27" s="363"/>
      <c r="AS27" s="348">
        <f t="shared" si="5"/>
        <v>0</v>
      </c>
      <c r="AT27" s="363"/>
      <c r="AU27" s="363"/>
      <c r="AV27" s="363"/>
      <c r="AW27" s="363"/>
      <c r="AX27" s="363"/>
      <c r="AY27" s="363"/>
      <c r="AZ27" s="348">
        <f t="shared" si="6"/>
        <v>0</v>
      </c>
      <c r="BA27" s="363"/>
      <c r="BB27" s="363"/>
      <c r="BC27" s="363"/>
      <c r="BD27" s="363"/>
      <c r="BE27" s="348">
        <f t="shared" si="7"/>
        <v>0</v>
      </c>
      <c r="BF27" s="363"/>
      <c r="BG27" s="348">
        <f t="shared" si="8"/>
        <v>0</v>
      </c>
      <c r="BH27" s="356">
        <v>1</v>
      </c>
    </row>
    <row r="28" spans="1:60" ht="17.45" customHeight="1">
      <c r="A28" s="357"/>
      <c r="B28" s="354" t="s">
        <v>1798</v>
      </c>
      <c r="C28" s="354" t="s">
        <v>1233</v>
      </c>
      <c r="D28" s="347" t="s">
        <v>1155</v>
      </c>
      <c r="E28" s="347" t="s">
        <v>1156</v>
      </c>
      <c r="F28" s="355">
        <v>53</v>
      </c>
      <c r="G28" s="347">
        <v>65</v>
      </c>
      <c r="H28" s="347">
        <v>10</v>
      </c>
      <c r="I28" s="347"/>
      <c r="J28" s="347"/>
      <c r="K28" s="347">
        <v>53</v>
      </c>
      <c r="L28" s="348">
        <f t="shared" si="0"/>
        <v>181</v>
      </c>
      <c r="M28" s="347">
        <v>106</v>
      </c>
      <c r="N28" s="347">
        <v>39</v>
      </c>
      <c r="O28" s="347"/>
      <c r="P28" s="347"/>
      <c r="Q28" s="347"/>
      <c r="R28" s="348">
        <f t="shared" si="1"/>
        <v>145</v>
      </c>
      <c r="S28" s="347">
        <v>21</v>
      </c>
      <c r="T28" s="347">
        <v>53</v>
      </c>
      <c r="U28" s="347">
        <v>39</v>
      </c>
      <c r="V28" s="347"/>
      <c r="W28" s="347">
        <v>53</v>
      </c>
      <c r="X28" s="348">
        <f t="shared" si="2"/>
        <v>166</v>
      </c>
      <c r="Y28" s="347">
        <v>53</v>
      </c>
      <c r="Z28" s="347">
        <v>37</v>
      </c>
      <c r="AA28" s="347"/>
      <c r="AB28" s="347"/>
      <c r="AC28" s="347"/>
      <c r="AD28" s="347">
        <v>32</v>
      </c>
      <c r="AE28" s="348">
        <f t="shared" si="3"/>
        <v>122</v>
      </c>
      <c r="AF28" s="347">
        <v>51</v>
      </c>
      <c r="AG28" s="347">
        <v>126</v>
      </c>
      <c r="AH28" s="347"/>
      <c r="AI28" s="347"/>
      <c r="AJ28" s="347"/>
      <c r="AK28" s="347"/>
      <c r="AL28" s="348">
        <f t="shared" si="4"/>
        <v>177</v>
      </c>
      <c r="AM28" s="347">
        <v>50</v>
      </c>
      <c r="AN28" s="347">
        <v>130</v>
      </c>
      <c r="AO28" s="347"/>
      <c r="AP28" s="347"/>
      <c r="AQ28" s="347"/>
      <c r="AR28" s="347"/>
      <c r="AS28" s="348">
        <f t="shared" si="5"/>
        <v>180</v>
      </c>
      <c r="AT28" s="347"/>
      <c r="AU28" s="347"/>
      <c r="AV28" s="347"/>
      <c r="AW28" s="347"/>
      <c r="AX28" s="347"/>
      <c r="AY28" s="347"/>
      <c r="AZ28" s="348">
        <f t="shared" si="6"/>
        <v>0</v>
      </c>
      <c r="BA28" s="347"/>
      <c r="BB28" s="347"/>
      <c r="BC28" s="347"/>
      <c r="BD28" s="347"/>
      <c r="BE28" s="348">
        <f t="shared" si="7"/>
        <v>0</v>
      </c>
      <c r="BF28" s="347"/>
      <c r="BG28" s="348">
        <f t="shared" si="8"/>
        <v>0</v>
      </c>
      <c r="BH28" s="356">
        <v>971</v>
      </c>
    </row>
    <row r="29" spans="1:60" ht="17.45" customHeight="1">
      <c r="A29" s="357"/>
      <c r="B29" s="357"/>
      <c r="C29" s="357"/>
      <c r="D29" s="347" t="s">
        <v>1119</v>
      </c>
      <c r="E29" s="347" t="s">
        <v>1120</v>
      </c>
      <c r="F29" s="355">
        <v>55</v>
      </c>
      <c r="G29" s="347">
        <v>135</v>
      </c>
      <c r="H29" s="347">
        <v>134</v>
      </c>
      <c r="I29" s="347">
        <v>149</v>
      </c>
      <c r="J29" s="347"/>
      <c r="K29" s="347"/>
      <c r="L29" s="348">
        <f t="shared" si="0"/>
        <v>473</v>
      </c>
      <c r="M29" s="347">
        <v>30</v>
      </c>
      <c r="N29" s="347">
        <v>82</v>
      </c>
      <c r="O29" s="347">
        <v>47</v>
      </c>
      <c r="P29" s="347"/>
      <c r="Q29" s="347">
        <v>82</v>
      </c>
      <c r="R29" s="348">
        <f t="shared" si="1"/>
        <v>241</v>
      </c>
      <c r="S29" s="347"/>
      <c r="T29" s="347"/>
      <c r="U29" s="347">
        <v>14</v>
      </c>
      <c r="V29" s="347">
        <v>1</v>
      </c>
      <c r="W29" s="347">
        <v>105</v>
      </c>
      <c r="X29" s="348">
        <f t="shared" si="2"/>
        <v>120</v>
      </c>
      <c r="Y29" s="347"/>
      <c r="Z29" s="347"/>
      <c r="AA29" s="347"/>
      <c r="AB29" s="347"/>
      <c r="AC29" s="347"/>
      <c r="AD29" s="347"/>
      <c r="AE29" s="348">
        <f t="shared" si="3"/>
        <v>0</v>
      </c>
      <c r="AF29" s="347"/>
      <c r="AG29" s="347"/>
      <c r="AH29" s="347">
        <v>85</v>
      </c>
      <c r="AI29" s="347"/>
      <c r="AJ29" s="347"/>
      <c r="AK29" s="347"/>
      <c r="AL29" s="348">
        <f t="shared" si="4"/>
        <v>85</v>
      </c>
      <c r="AM29" s="347"/>
      <c r="AN29" s="347">
        <v>50</v>
      </c>
      <c r="AO29" s="347">
        <v>11</v>
      </c>
      <c r="AP29" s="347">
        <v>80</v>
      </c>
      <c r="AQ29" s="347">
        <v>60</v>
      </c>
      <c r="AR29" s="347">
        <v>38</v>
      </c>
      <c r="AS29" s="348">
        <f t="shared" si="5"/>
        <v>239</v>
      </c>
      <c r="AT29" s="347"/>
      <c r="AU29" s="347"/>
      <c r="AV29" s="347"/>
      <c r="AW29" s="347"/>
      <c r="AX29" s="347"/>
      <c r="AY29" s="347"/>
      <c r="AZ29" s="348">
        <f t="shared" si="6"/>
        <v>0</v>
      </c>
      <c r="BA29" s="347"/>
      <c r="BB29" s="347"/>
      <c r="BC29" s="347"/>
      <c r="BD29" s="347"/>
      <c r="BE29" s="348">
        <f t="shared" si="7"/>
        <v>0</v>
      </c>
      <c r="BF29" s="347"/>
      <c r="BG29" s="348">
        <f t="shared" si="8"/>
        <v>0</v>
      </c>
      <c r="BH29" s="356">
        <v>1158</v>
      </c>
    </row>
    <row r="30" spans="1:60" ht="17.45" customHeight="1">
      <c r="A30" s="357"/>
      <c r="B30" s="357"/>
      <c r="C30" s="357"/>
      <c r="D30" s="347" t="s">
        <v>1121</v>
      </c>
      <c r="E30" s="347" t="s">
        <v>1122</v>
      </c>
      <c r="F30" s="355"/>
      <c r="G30" s="347"/>
      <c r="H30" s="347"/>
      <c r="I30" s="347"/>
      <c r="J30" s="347"/>
      <c r="K30" s="347"/>
      <c r="L30" s="348">
        <f t="shared" si="0"/>
        <v>0</v>
      </c>
      <c r="M30" s="347"/>
      <c r="N30" s="347"/>
      <c r="O30" s="347"/>
      <c r="P30" s="347"/>
      <c r="Q30" s="347"/>
      <c r="R30" s="348">
        <f t="shared" si="1"/>
        <v>0</v>
      </c>
      <c r="S30" s="347"/>
      <c r="T30" s="347"/>
      <c r="U30" s="347"/>
      <c r="V30" s="347"/>
      <c r="W30" s="347"/>
      <c r="X30" s="348">
        <f t="shared" si="2"/>
        <v>0</v>
      </c>
      <c r="Y30" s="347"/>
      <c r="Z30" s="347"/>
      <c r="AA30" s="347"/>
      <c r="AB30" s="347"/>
      <c r="AC30" s="347"/>
      <c r="AD30" s="347"/>
      <c r="AE30" s="348">
        <f t="shared" si="3"/>
        <v>0</v>
      </c>
      <c r="AF30" s="347"/>
      <c r="AG30" s="347"/>
      <c r="AH30" s="347"/>
      <c r="AI30" s="347"/>
      <c r="AJ30" s="347">
        <v>16</v>
      </c>
      <c r="AK30" s="347"/>
      <c r="AL30" s="348">
        <f t="shared" si="4"/>
        <v>16</v>
      </c>
      <c r="AM30" s="347"/>
      <c r="AN30" s="347"/>
      <c r="AO30" s="347"/>
      <c r="AP30" s="347"/>
      <c r="AQ30" s="347"/>
      <c r="AR30" s="347"/>
      <c r="AS30" s="348">
        <f t="shared" si="5"/>
        <v>0</v>
      </c>
      <c r="AT30" s="347"/>
      <c r="AU30" s="347"/>
      <c r="AV30" s="347"/>
      <c r="AW30" s="347"/>
      <c r="AX30" s="347"/>
      <c r="AY30" s="347"/>
      <c r="AZ30" s="348">
        <f t="shared" si="6"/>
        <v>0</v>
      </c>
      <c r="BA30" s="347"/>
      <c r="BB30" s="347"/>
      <c r="BC30" s="347"/>
      <c r="BD30" s="347"/>
      <c r="BE30" s="348">
        <f t="shared" si="7"/>
        <v>0</v>
      </c>
      <c r="BF30" s="347"/>
      <c r="BG30" s="348">
        <f t="shared" si="8"/>
        <v>0</v>
      </c>
      <c r="BH30" s="356">
        <v>16</v>
      </c>
    </row>
    <row r="31" spans="1:60" ht="17.45" customHeight="1">
      <c r="A31" s="357"/>
      <c r="B31" s="357"/>
      <c r="C31" s="357"/>
      <c r="D31" s="347" t="s">
        <v>1123</v>
      </c>
      <c r="E31" s="347" t="s">
        <v>1124</v>
      </c>
      <c r="F31" s="355">
        <v>61</v>
      </c>
      <c r="G31" s="347">
        <v>19</v>
      </c>
      <c r="H31" s="347"/>
      <c r="I31" s="347"/>
      <c r="J31" s="347"/>
      <c r="K31" s="347"/>
      <c r="L31" s="348">
        <f t="shared" si="0"/>
        <v>80</v>
      </c>
      <c r="M31" s="347">
        <v>40</v>
      </c>
      <c r="N31" s="347">
        <v>84</v>
      </c>
      <c r="O31" s="347"/>
      <c r="P31" s="347"/>
      <c r="Q31" s="347">
        <v>46</v>
      </c>
      <c r="R31" s="348">
        <f t="shared" si="1"/>
        <v>170</v>
      </c>
      <c r="S31" s="347">
        <v>36</v>
      </c>
      <c r="T31" s="347">
        <v>24</v>
      </c>
      <c r="U31" s="347"/>
      <c r="V31" s="347"/>
      <c r="W31" s="347"/>
      <c r="X31" s="348">
        <f t="shared" si="2"/>
        <v>60</v>
      </c>
      <c r="Y31" s="347">
        <v>112</v>
      </c>
      <c r="Z31" s="347"/>
      <c r="AA31" s="347"/>
      <c r="AB31" s="347"/>
      <c r="AC31" s="347"/>
      <c r="AD31" s="347">
        <v>21</v>
      </c>
      <c r="AE31" s="348">
        <f t="shared" si="3"/>
        <v>133</v>
      </c>
      <c r="AF31" s="347">
        <v>105</v>
      </c>
      <c r="AG31" s="347"/>
      <c r="AH31" s="347"/>
      <c r="AI31" s="347"/>
      <c r="AJ31" s="347"/>
      <c r="AK31" s="347">
        <v>53</v>
      </c>
      <c r="AL31" s="348">
        <f t="shared" si="4"/>
        <v>158</v>
      </c>
      <c r="AM31" s="347">
        <v>21</v>
      </c>
      <c r="AN31" s="347"/>
      <c r="AO31" s="347"/>
      <c r="AP31" s="347"/>
      <c r="AQ31" s="347"/>
      <c r="AR31" s="347"/>
      <c r="AS31" s="348">
        <f t="shared" si="5"/>
        <v>21</v>
      </c>
      <c r="AT31" s="347"/>
      <c r="AU31" s="347"/>
      <c r="AV31" s="347"/>
      <c r="AW31" s="347"/>
      <c r="AX31" s="347"/>
      <c r="AY31" s="347"/>
      <c r="AZ31" s="348">
        <f t="shared" si="6"/>
        <v>0</v>
      </c>
      <c r="BA31" s="347"/>
      <c r="BB31" s="347"/>
      <c r="BC31" s="347"/>
      <c r="BD31" s="347"/>
      <c r="BE31" s="348">
        <f t="shared" si="7"/>
        <v>0</v>
      </c>
      <c r="BF31" s="347"/>
      <c r="BG31" s="348">
        <f t="shared" si="8"/>
        <v>0</v>
      </c>
      <c r="BH31" s="356">
        <v>622</v>
      </c>
    </row>
    <row r="32" spans="1:60" ht="17.45" customHeight="1">
      <c r="A32" s="357"/>
      <c r="B32" s="357"/>
      <c r="C32" s="357"/>
      <c r="D32" s="347" t="s">
        <v>1217</v>
      </c>
      <c r="E32" s="347" t="s">
        <v>1111</v>
      </c>
      <c r="F32" s="355"/>
      <c r="G32" s="347"/>
      <c r="H32" s="347">
        <v>60</v>
      </c>
      <c r="I32" s="347">
        <v>53</v>
      </c>
      <c r="J32" s="347">
        <v>127</v>
      </c>
      <c r="K32" s="347">
        <v>117</v>
      </c>
      <c r="L32" s="348">
        <f t="shared" si="0"/>
        <v>357</v>
      </c>
      <c r="M32" s="347"/>
      <c r="N32" s="347">
        <v>23</v>
      </c>
      <c r="O32" s="347">
        <v>102</v>
      </c>
      <c r="P32" s="347"/>
      <c r="Q32" s="347"/>
      <c r="R32" s="348">
        <f t="shared" si="1"/>
        <v>125</v>
      </c>
      <c r="S32" s="347">
        <v>122</v>
      </c>
      <c r="T32" s="347"/>
      <c r="U32" s="347">
        <v>53</v>
      </c>
      <c r="V32" s="347">
        <v>95</v>
      </c>
      <c r="W32" s="347">
        <v>54</v>
      </c>
      <c r="X32" s="348">
        <f t="shared" si="2"/>
        <v>324</v>
      </c>
      <c r="Y32" s="347"/>
      <c r="Z32" s="347">
        <v>149</v>
      </c>
      <c r="AA32" s="347">
        <v>100</v>
      </c>
      <c r="AB32" s="347">
        <v>122</v>
      </c>
      <c r="AC32" s="347">
        <v>237</v>
      </c>
      <c r="AD32" s="347">
        <v>184</v>
      </c>
      <c r="AE32" s="348">
        <f t="shared" si="3"/>
        <v>792</v>
      </c>
      <c r="AF32" s="347"/>
      <c r="AG32" s="347">
        <v>53</v>
      </c>
      <c r="AH32" s="347">
        <v>100</v>
      </c>
      <c r="AI32" s="347">
        <v>100</v>
      </c>
      <c r="AJ32" s="347">
        <v>147</v>
      </c>
      <c r="AK32" s="347">
        <v>109</v>
      </c>
      <c r="AL32" s="348">
        <f t="shared" si="4"/>
        <v>509</v>
      </c>
      <c r="AM32" s="347"/>
      <c r="AN32" s="347">
        <v>9</v>
      </c>
      <c r="AO32" s="347">
        <v>53</v>
      </c>
      <c r="AP32" s="347">
        <v>183</v>
      </c>
      <c r="AQ32" s="347">
        <v>189</v>
      </c>
      <c r="AR32" s="347">
        <v>67</v>
      </c>
      <c r="AS32" s="348">
        <f t="shared" si="5"/>
        <v>501</v>
      </c>
      <c r="AT32" s="347">
        <v>252</v>
      </c>
      <c r="AU32" s="347">
        <v>214</v>
      </c>
      <c r="AV32" s="347"/>
      <c r="AW32" s="347"/>
      <c r="AX32" s="347"/>
      <c r="AY32" s="347">
        <v>53</v>
      </c>
      <c r="AZ32" s="348">
        <f t="shared" si="6"/>
        <v>519</v>
      </c>
      <c r="BA32" s="347">
        <v>201</v>
      </c>
      <c r="BB32" s="347"/>
      <c r="BC32" s="347"/>
      <c r="BD32" s="347">
        <v>53</v>
      </c>
      <c r="BE32" s="348">
        <f t="shared" si="7"/>
        <v>254</v>
      </c>
      <c r="BF32" s="347">
        <v>188</v>
      </c>
      <c r="BG32" s="348">
        <f t="shared" si="8"/>
        <v>188</v>
      </c>
      <c r="BH32" s="356">
        <v>3569</v>
      </c>
    </row>
    <row r="33" spans="1:60" ht="17.45" customHeight="1">
      <c r="A33" s="357"/>
      <c r="B33" s="357"/>
      <c r="C33" s="357"/>
      <c r="D33" s="347" t="s">
        <v>1157</v>
      </c>
      <c r="E33" s="347" t="s">
        <v>1158</v>
      </c>
      <c r="F33" s="355"/>
      <c r="G33" s="347"/>
      <c r="H33" s="347">
        <v>101</v>
      </c>
      <c r="I33" s="347">
        <v>118</v>
      </c>
      <c r="J33" s="347">
        <v>44</v>
      </c>
      <c r="K33" s="347"/>
      <c r="L33" s="348">
        <f t="shared" si="0"/>
        <v>263</v>
      </c>
      <c r="M33" s="347"/>
      <c r="N33" s="347"/>
      <c r="O33" s="347">
        <v>44</v>
      </c>
      <c r="P33" s="347">
        <v>146</v>
      </c>
      <c r="Q33" s="347">
        <v>93</v>
      </c>
      <c r="R33" s="348">
        <f t="shared" si="1"/>
        <v>283</v>
      </c>
      <c r="S33" s="347"/>
      <c r="T33" s="347">
        <v>95</v>
      </c>
      <c r="U33" s="347">
        <v>80</v>
      </c>
      <c r="V33" s="347">
        <v>76</v>
      </c>
      <c r="W33" s="347">
        <v>64</v>
      </c>
      <c r="X33" s="348">
        <f t="shared" si="2"/>
        <v>315</v>
      </c>
      <c r="Y33" s="347"/>
      <c r="Z33" s="347">
        <v>56</v>
      </c>
      <c r="AA33" s="347">
        <v>138</v>
      </c>
      <c r="AB33" s="347">
        <v>116</v>
      </c>
      <c r="AC33" s="347"/>
      <c r="AD33" s="347"/>
      <c r="AE33" s="348">
        <f t="shared" si="3"/>
        <v>310</v>
      </c>
      <c r="AF33" s="347"/>
      <c r="AG33" s="347">
        <v>27</v>
      </c>
      <c r="AH33" s="347">
        <v>104</v>
      </c>
      <c r="AI33" s="347">
        <v>104</v>
      </c>
      <c r="AJ33" s="347">
        <v>97</v>
      </c>
      <c r="AK33" s="347"/>
      <c r="AL33" s="348">
        <f t="shared" si="4"/>
        <v>332</v>
      </c>
      <c r="AM33" s="347">
        <v>74</v>
      </c>
      <c r="AN33" s="347">
        <v>53</v>
      </c>
      <c r="AO33" s="347">
        <v>136</v>
      </c>
      <c r="AP33" s="347">
        <v>6</v>
      </c>
      <c r="AQ33" s="347"/>
      <c r="AR33" s="347"/>
      <c r="AS33" s="348">
        <f t="shared" si="5"/>
        <v>269</v>
      </c>
      <c r="AT33" s="347"/>
      <c r="AU33" s="347"/>
      <c r="AV33" s="347"/>
      <c r="AW33" s="347"/>
      <c r="AX33" s="347"/>
      <c r="AY33" s="347"/>
      <c r="AZ33" s="348">
        <f t="shared" si="6"/>
        <v>0</v>
      </c>
      <c r="BA33" s="347"/>
      <c r="BB33" s="347"/>
      <c r="BC33" s="347"/>
      <c r="BD33" s="347"/>
      <c r="BE33" s="348">
        <f t="shared" si="7"/>
        <v>0</v>
      </c>
      <c r="BF33" s="347"/>
      <c r="BG33" s="348">
        <f t="shared" si="8"/>
        <v>0</v>
      </c>
      <c r="BH33" s="356">
        <v>1772</v>
      </c>
    </row>
    <row r="34" spans="1:60" ht="17.45" customHeight="1">
      <c r="A34" s="357"/>
      <c r="B34" s="357"/>
      <c r="C34" s="357"/>
      <c r="D34" s="347" t="s">
        <v>1127</v>
      </c>
      <c r="E34" s="347" t="s">
        <v>1128</v>
      </c>
      <c r="F34" s="355"/>
      <c r="G34" s="347"/>
      <c r="H34" s="347"/>
      <c r="I34" s="347"/>
      <c r="J34" s="347"/>
      <c r="K34" s="347"/>
      <c r="L34" s="348">
        <f t="shared" si="0"/>
        <v>0</v>
      </c>
      <c r="M34" s="347"/>
      <c r="N34" s="347"/>
      <c r="O34" s="347"/>
      <c r="P34" s="347"/>
      <c r="Q34" s="347"/>
      <c r="R34" s="348">
        <f t="shared" si="1"/>
        <v>0</v>
      </c>
      <c r="S34" s="347">
        <v>137</v>
      </c>
      <c r="T34" s="347">
        <v>74</v>
      </c>
      <c r="U34" s="347">
        <v>60</v>
      </c>
      <c r="V34" s="347">
        <v>60</v>
      </c>
      <c r="W34" s="347">
        <v>60</v>
      </c>
      <c r="X34" s="348">
        <f t="shared" si="2"/>
        <v>391</v>
      </c>
      <c r="Y34" s="347"/>
      <c r="Z34" s="347"/>
      <c r="AA34" s="347"/>
      <c r="AB34" s="347"/>
      <c r="AC34" s="347"/>
      <c r="AD34" s="347"/>
      <c r="AE34" s="348">
        <f t="shared" si="3"/>
        <v>0</v>
      </c>
      <c r="AF34" s="347">
        <v>85</v>
      </c>
      <c r="AG34" s="347">
        <v>40</v>
      </c>
      <c r="AH34" s="347">
        <v>47</v>
      </c>
      <c r="AI34" s="347">
        <v>31</v>
      </c>
      <c r="AJ34" s="347"/>
      <c r="AK34" s="347">
        <v>120</v>
      </c>
      <c r="AL34" s="348">
        <f t="shared" si="4"/>
        <v>323</v>
      </c>
      <c r="AM34" s="347">
        <v>143</v>
      </c>
      <c r="AN34" s="347">
        <v>32</v>
      </c>
      <c r="AO34" s="347">
        <v>34</v>
      </c>
      <c r="AP34" s="347">
        <v>59</v>
      </c>
      <c r="AQ34" s="347">
        <v>11</v>
      </c>
      <c r="AR34" s="347">
        <v>5</v>
      </c>
      <c r="AS34" s="348">
        <f t="shared" si="5"/>
        <v>284</v>
      </c>
      <c r="AT34" s="347"/>
      <c r="AU34" s="347">
        <v>77</v>
      </c>
      <c r="AV34" s="347">
        <v>143</v>
      </c>
      <c r="AW34" s="347"/>
      <c r="AX34" s="347"/>
      <c r="AY34" s="347"/>
      <c r="AZ34" s="348">
        <f t="shared" si="6"/>
        <v>220</v>
      </c>
      <c r="BA34" s="347">
        <v>66</v>
      </c>
      <c r="BB34" s="347">
        <v>183</v>
      </c>
      <c r="BC34" s="347"/>
      <c r="BD34" s="347"/>
      <c r="BE34" s="348">
        <f t="shared" si="7"/>
        <v>249</v>
      </c>
      <c r="BF34" s="347">
        <v>4</v>
      </c>
      <c r="BG34" s="348">
        <f t="shared" si="8"/>
        <v>4</v>
      </c>
      <c r="BH34" s="356">
        <v>1471</v>
      </c>
    </row>
    <row r="35" spans="1:60" ht="17.45" customHeight="1">
      <c r="A35" s="357"/>
      <c r="B35" s="357"/>
      <c r="C35" s="357"/>
      <c r="D35" s="347" t="s">
        <v>1129</v>
      </c>
      <c r="E35" s="347" t="s">
        <v>1130</v>
      </c>
      <c r="F35" s="355"/>
      <c r="G35" s="347"/>
      <c r="H35" s="347"/>
      <c r="I35" s="347"/>
      <c r="J35" s="347"/>
      <c r="K35" s="347"/>
      <c r="L35" s="348">
        <f t="shared" si="0"/>
        <v>0</v>
      </c>
      <c r="M35" s="347"/>
      <c r="N35" s="347"/>
      <c r="O35" s="347"/>
      <c r="P35" s="347">
        <v>47</v>
      </c>
      <c r="Q35" s="347"/>
      <c r="R35" s="348">
        <f t="shared" si="1"/>
        <v>47</v>
      </c>
      <c r="S35" s="347"/>
      <c r="T35" s="347">
        <v>30</v>
      </c>
      <c r="U35" s="347">
        <v>7</v>
      </c>
      <c r="V35" s="347"/>
      <c r="W35" s="347"/>
      <c r="X35" s="348">
        <f t="shared" si="2"/>
        <v>37</v>
      </c>
      <c r="Y35" s="347"/>
      <c r="Z35" s="347"/>
      <c r="AA35" s="347"/>
      <c r="AB35" s="347"/>
      <c r="AC35" s="347"/>
      <c r="AD35" s="347"/>
      <c r="AE35" s="348">
        <f t="shared" si="3"/>
        <v>0</v>
      </c>
      <c r="AF35" s="347"/>
      <c r="AG35" s="347"/>
      <c r="AH35" s="347"/>
      <c r="AI35" s="347"/>
      <c r="AJ35" s="347"/>
      <c r="AK35" s="347">
        <v>38</v>
      </c>
      <c r="AL35" s="348">
        <f t="shared" si="4"/>
        <v>38</v>
      </c>
      <c r="AM35" s="347"/>
      <c r="AN35" s="347"/>
      <c r="AO35" s="347">
        <v>26</v>
      </c>
      <c r="AP35" s="347"/>
      <c r="AQ35" s="347"/>
      <c r="AR35" s="347"/>
      <c r="AS35" s="348">
        <f t="shared" si="5"/>
        <v>26</v>
      </c>
      <c r="AT35" s="347"/>
      <c r="AU35" s="347"/>
      <c r="AV35" s="347">
        <v>47</v>
      </c>
      <c r="AW35" s="347"/>
      <c r="AX35" s="347"/>
      <c r="AY35" s="347"/>
      <c r="AZ35" s="348">
        <f t="shared" si="6"/>
        <v>47</v>
      </c>
      <c r="BA35" s="347"/>
      <c r="BB35" s="347">
        <v>36</v>
      </c>
      <c r="BC35" s="347"/>
      <c r="BD35" s="347"/>
      <c r="BE35" s="348">
        <f t="shared" si="7"/>
        <v>36</v>
      </c>
      <c r="BF35" s="347"/>
      <c r="BG35" s="348">
        <f t="shared" si="8"/>
        <v>0</v>
      </c>
      <c r="BH35" s="356">
        <v>231</v>
      </c>
    </row>
    <row r="36" spans="1:60" ht="17.45" customHeight="1">
      <c r="A36" s="357"/>
      <c r="B36" s="357"/>
      <c r="C36" s="357"/>
      <c r="D36" s="347" t="s">
        <v>1182</v>
      </c>
      <c r="E36" s="347" t="s">
        <v>1204</v>
      </c>
      <c r="F36" s="355"/>
      <c r="G36" s="347"/>
      <c r="H36" s="347"/>
      <c r="I36" s="347"/>
      <c r="J36" s="347"/>
      <c r="K36" s="347"/>
      <c r="L36" s="348">
        <f t="shared" si="0"/>
        <v>0</v>
      </c>
      <c r="M36" s="347"/>
      <c r="N36" s="347"/>
      <c r="O36" s="347"/>
      <c r="P36" s="347"/>
      <c r="Q36" s="347"/>
      <c r="R36" s="348">
        <f t="shared" si="1"/>
        <v>0</v>
      </c>
      <c r="S36" s="347"/>
      <c r="T36" s="347"/>
      <c r="U36" s="347">
        <v>49</v>
      </c>
      <c r="V36" s="347"/>
      <c r="W36" s="347"/>
      <c r="X36" s="348">
        <f t="shared" si="2"/>
        <v>49</v>
      </c>
      <c r="Y36" s="347"/>
      <c r="Z36" s="347"/>
      <c r="AA36" s="347"/>
      <c r="AB36" s="347"/>
      <c r="AC36" s="347"/>
      <c r="AD36" s="347"/>
      <c r="AE36" s="348">
        <f t="shared" si="3"/>
        <v>0</v>
      </c>
      <c r="AF36" s="347">
        <v>27</v>
      </c>
      <c r="AG36" s="347">
        <v>5</v>
      </c>
      <c r="AH36" s="347"/>
      <c r="AI36" s="347"/>
      <c r="AJ36" s="347"/>
      <c r="AK36" s="347"/>
      <c r="AL36" s="348">
        <f t="shared" si="4"/>
        <v>32</v>
      </c>
      <c r="AM36" s="347"/>
      <c r="AN36" s="347">
        <v>61</v>
      </c>
      <c r="AO36" s="347"/>
      <c r="AP36" s="347"/>
      <c r="AQ36" s="347"/>
      <c r="AR36" s="347"/>
      <c r="AS36" s="348">
        <f t="shared" si="5"/>
        <v>61</v>
      </c>
      <c r="AT36" s="347"/>
      <c r="AU36" s="347"/>
      <c r="AV36" s="347">
        <v>96</v>
      </c>
      <c r="AW36" s="347"/>
      <c r="AX36" s="347"/>
      <c r="AY36" s="347"/>
      <c r="AZ36" s="348">
        <f t="shared" si="6"/>
        <v>96</v>
      </c>
      <c r="BA36" s="347"/>
      <c r="BB36" s="347">
        <v>20</v>
      </c>
      <c r="BC36" s="347"/>
      <c r="BD36" s="347"/>
      <c r="BE36" s="348">
        <f t="shared" si="7"/>
        <v>20</v>
      </c>
      <c r="BF36" s="347"/>
      <c r="BG36" s="348">
        <f t="shared" si="8"/>
        <v>0</v>
      </c>
      <c r="BH36" s="356">
        <v>258</v>
      </c>
    </row>
    <row r="37" spans="1:60" ht="17.45" customHeight="1">
      <c r="A37" s="357"/>
      <c r="B37" s="357"/>
      <c r="C37" s="357"/>
      <c r="D37" s="347" t="s">
        <v>1180</v>
      </c>
      <c r="E37" s="347" t="s">
        <v>1202</v>
      </c>
      <c r="F37" s="355"/>
      <c r="G37" s="347"/>
      <c r="H37" s="347"/>
      <c r="I37" s="347"/>
      <c r="J37" s="347"/>
      <c r="K37" s="347"/>
      <c r="L37" s="348">
        <f t="shared" si="0"/>
        <v>0</v>
      </c>
      <c r="M37" s="347"/>
      <c r="N37" s="347">
        <v>14</v>
      </c>
      <c r="O37" s="347"/>
      <c r="P37" s="347"/>
      <c r="Q37" s="347"/>
      <c r="R37" s="348">
        <f t="shared" si="1"/>
        <v>14</v>
      </c>
      <c r="S37" s="347"/>
      <c r="T37" s="347"/>
      <c r="U37" s="347"/>
      <c r="V37" s="347"/>
      <c r="W37" s="347"/>
      <c r="X37" s="348">
        <f t="shared" si="2"/>
        <v>0</v>
      </c>
      <c r="Y37" s="347"/>
      <c r="Z37" s="347"/>
      <c r="AA37" s="347"/>
      <c r="AB37" s="347"/>
      <c r="AC37" s="347"/>
      <c r="AD37" s="347"/>
      <c r="AE37" s="348">
        <f t="shared" si="3"/>
        <v>0</v>
      </c>
      <c r="AF37" s="347"/>
      <c r="AG37" s="347"/>
      <c r="AH37" s="347"/>
      <c r="AI37" s="347"/>
      <c r="AJ37" s="347"/>
      <c r="AK37" s="347"/>
      <c r="AL37" s="348">
        <f t="shared" si="4"/>
        <v>0</v>
      </c>
      <c r="AM37" s="347"/>
      <c r="AN37" s="347"/>
      <c r="AO37" s="347"/>
      <c r="AP37" s="347"/>
      <c r="AQ37" s="347"/>
      <c r="AR37" s="347"/>
      <c r="AS37" s="348">
        <f t="shared" si="5"/>
        <v>0</v>
      </c>
      <c r="AT37" s="347"/>
      <c r="AU37" s="347">
        <v>19</v>
      </c>
      <c r="AV37" s="347"/>
      <c r="AW37" s="347"/>
      <c r="AX37" s="347"/>
      <c r="AY37" s="347"/>
      <c r="AZ37" s="348">
        <f t="shared" si="6"/>
        <v>19</v>
      </c>
      <c r="BA37" s="347">
        <v>51</v>
      </c>
      <c r="BB37" s="347">
        <v>71</v>
      </c>
      <c r="BC37" s="347"/>
      <c r="BD37" s="347"/>
      <c r="BE37" s="348">
        <f t="shared" si="7"/>
        <v>122</v>
      </c>
      <c r="BF37" s="347"/>
      <c r="BG37" s="348">
        <f t="shared" si="8"/>
        <v>0</v>
      </c>
      <c r="BH37" s="356">
        <v>155</v>
      </c>
    </row>
    <row r="38" spans="1:60" ht="17.45" customHeight="1">
      <c r="A38" s="357"/>
      <c r="B38" s="357"/>
      <c r="C38" s="357"/>
      <c r="D38" s="347" t="s">
        <v>1183</v>
      </c>
      <c r="E38" s="347" t="s">
        <v>1205</v>
      </c>
      <c r="F38" s="355"/>
      <c r="G38" s="347"/>
      <c r="H38" s="347">
        <v>1</v>
      </c>
      <c r="I38" s="347"/>
      <c r="J38" s="347"/>
      <c r="K38" s="347"/>
      <c r="L38" s="348">
        <f t="shared" si="0"/>
        <v>1</v>
      </c>
      <c r="M38" s="347"/>
      <c r="N38" s="347"/>
      <c r="O38" s="347">
        <v>1</v>
      </c>
      <c r="P38" s="347"/>
      <c r="Q38" s="347"/>
      <c r="R38" s="348">
        <f t="shared" si="1"/>
        <v>1</v>
      </c>
      <c r="S38" s="347"/>
      <c r="T38" s="347"/>
      <c r="U38" s="347"/>
      <c r="V38" s="347"/>
      <c r="W38" s="347"/>
      <c r="X38" s="348">
        <f t="shared" si="2"/>
        <v>0</v>
      </c>
      <c r="Y38" s="347"/>
      <c r="Z38" s="347"/>
      <c r="AA38" s="347"/>
      <c r="AB38" s="347"/>
      <c r="AC38" s="347"/>
      <c r="AD38" s="347"/>
      <c r="AE38" s="348">
        <f t="shared" si="3"/>
        <v>0</v>
      </c>
      <c r="AF38" s="347"/>
      <c r="AG38" s="347"/>
      <c r="AH38" s="347"/>
      <c r="AI38" s="347"/>
      <c r="AJ38" s="347"/>
      <c r="AK38" s="347"/>
      <c r="AL38" s="348">
        <f t="shared" si="4"/>
        <v>0</v>
      </c>
      <c r="AM38" s="347"/>
      <c r="AN38" s="347">
        <v>1</v>
      </c>
      <c r="AO38" s="347"/>
      <c r="AP38" s="347"/>
      <c r="AQ38" s="347"/>
      <c r="AR38" s="347"/>
      <c r="AS38" s="348">
        <f t="shared" si="5"/>
        <v>1</v>
      </c>
      <c r="AT38" s="347"/>
      <c r="AU38" s="347"/>
      <c r="AV38" s="347"/>
      <c r="AW38" s="347"/>
      <c r="AX38" s="347"/>
      <c r="AY38" s="347"/>
      <c r="AZ38" s="348">
        <f t="shared" si="6"/>
        <v>0</v>
      </c>
      <c r="BA38" s="347"/>
      <c r="BB38" s="347"/>
      <c r="BC38" s="347">
        <v>1</v>
      </c>
      <c r="BD38" s="347"/>
      <c r="BE38" s="348">
        <f t="shared" si="7"/>
        <v>1</v>
      </c>
      <c r="BF38" s="347"/>
      <c r="BG38" s="348">
        <f t="shared" si="8"/>
        <v>0</v>
      </c>
      <c r="BH38" s="356">
        <v>4</v>
      </c>
    </row>
    <row r="39" spans="1:60" ht="17.45" customHeight="1">
      <c r="A39" s="357"/>
      <c r="B39" s="357"/>
      <c r="C39" s="357"/>
      <c r="D39" s="347" t="s">
        <v>1131</v>
      </c>
      <c r="E39" s="347" t="s">
        <v>1132</v>
      </c>
      <c r="F39" s="355">
        <v>30</v>
      </c>
      <c r="G39" s="347">
        <v>30</v>
      </c>
      <c r="H39" s="347">
        <v>30</v>
      </c>
      <c r="I39" s="347"/>
      <c r="J39" s="347">
        <v>89</v>
      </c>
      <c r="K39" s="347">
        <v>150</v>
      </c>
      <c r="L39" s="348">
        <f t="shared" si="0"/>
        <v>329</v>
      </c>
      <c r="M39" s="347"/>
      <c r="N39" s="347">
        <v>6</v>
      </c>
      <c r="O39" s="347">
        <v>62</v>
      </c>
      <c r="P39" s="347">
        <v>120</v>
      </c>
      <c r="Q39" s="347">
        <v>92</v>
      </c>
      <c r="R39" s="348">
        <f t="shared" si="1"/>
        <v>280</v>
      </c>
      <c r="S39" s="347"/>
      <c r="T39" s="347"/>
      <c r="U39" s="347"/>
      <c r="V39" s="347"/>
      <c r="W39" s="347"/>
      <c r="X39" s="348">
        <f t="shared" si="2"/>
        <v>0</v>
      </c>
      <c r="Y39" s="347"/>
      <c r="Z39" s="347"/>
      <c r="AA39" s="347"/>
      <c r="AB39" s="347"/>
      <c r="AC39" s="347"/>
      <c r="AD39" s="347"/>
      <c r="AE39" s="348">
        <f t="shared" si="3"/>
        <v>0</v>
      </c>
      <c r="AF39" s="347"/>
      <c r="AG39" s="347"/>
      <c r="AH39" s="347"/>
      <c r="AI39" s="347"/>
      <c r="AJ39" s="347"/>
      <c r="AK39" s="347"/>
      <c r="AL39" s="348">
        <f t="shared" si="4"/>
        <v>0</v>
      </c>
      <c r="AM39" s="347"/>
      <c r="AN39" s="347"/>
      <c r="AO39" s="347"/>
      <c r="AP39" s="347"/>
      <c r="AQ39" s="347"/>
      <c r="AR39" s="347"/>
      <c r="AS39" s="348">
        <f t="shared" si="5"/>
        <v>0</v>
      </c>
      <c r="AT39" s="347"/>
      <c r="AU39" s="347">
        <v>23</v>
      </c>
      <c r="AV39" s="347">
        <v>53</v>
      </c>
      <c r="AW39" s="347">
        <v>336</v>
      </c>
      <c r="AX39" s="347">
        <v>336</v>
      </c>
      <c r="AY39" s="347">
        <v>89</v>
      </c>
      <c r="AZ39" s="348">
        <f t="shared" si="6"/>
        <v>837</v>
      </c>
      <c r="BA39" s="347"/>
      <c r="BB39" s="347">
        <v>12</v>
      </c>
      <c r="BC39" s="347">
        <v>319</v>
      </c>
      <c r="BD39" s="347">
        <v>87</v>
      </c>
      <c r="BE39" s="348">
        <f t="shared" si="7"/>
        <v>418</v>
      </c>
      <c r="BF39" s="347"/>
      <c r="BG39" s="348">
        <f t="shared" si="8"/>
        <v>0</v>
      </c>
      <c r="BH39" s="356">
        <v>1864</v>
      </c>
    </row>
    <row r="40" spans="1:60" ht="17.45" customHeight="1">
      <c r="A40" s="357"/>
      <c r="B40" s="357"/>
      <c r="C40" s="357"/>
      <c r="D40" s="347" t="s">
        <v>1133</v>
      </c>
      <c r="E40" s="347" t="s">
        <v>1134</v>
      </c>
      <c r="F40" s="355"/>
      <c r="G40" s="347"/>
      <c r="H40" s="347"/>
      <c r="I40" s="347"/>
      <c r="J40" s="347"/>
      <c r="K40" s="347"/>
      <c r="L40" s="348">
        <f t="shared" si="0"/>
        <v>0</v>
      </c>
      <c r="M40" s="347">
        <v>80</v>
      </c>
      <c r="N40" s="347">
        <v>80</v>
      </c>
      <c r="O40" s="347">
        <v>80</v>
      </c>
      <c r="P40" s="347">
        <v>7</v>
      </c>
      <c r="Q40" s="347"/>
      <c r="R40" s="348">
        <f t="shared" si="1"/>
        <v>247</v>
      </c>
      <c r="S40" s="347"/>
      <c r="T40" s="347">
        <v>60</v>
      </c>
      <c r="U40" s="347">
        <v>34</v>
      </c>
      <c r="V40" s="347">
        <v>28</v>
      </c>
      <c r="W40" s="347"/>
      <c r="X40" s="348">
        <f t="shared" si="2"/>
        <v>122</v>
      </c>
      <c r="Y40" s="347">
        <v>4</v>
      </c>
      <c r="Z40" s="347"/>
      <c r="AA40" s="347"/>
      <c r="AB40" s="347">
        <v>92</v>
      </c>
      <c r="AC40" s="347">
        <v>99</v>
      </c>
      <c r="AD40" s="347">
        <v>17</v>
      </c>
      <c r="AE40" s="348">
        <f t="shared" si="3"/>
        <v>212</v>
      </c>
      <c r="AF40" s="347"/>
      <c r="AG40" s="347">
        <v>85</v>
      </c>
      <c r="AH40" s="347"/>
      <c r="AI40" s="347">
        <v>85</v>
      </c>
      <c r="AJ40" s="347"/>
      <c r="AK40" s="347"/>
      <c r="AL40" s="348">
        <f t="shared" si="4"/>
        <v>170</v>
      </c>
      <c r="AM40" s="347"/>
      <c r="AN40" s="347"/>
      <c r="AO40" s="347"/>
      <c r="AP40" s="347"/>
      <c r="AQ40" s="347"/>
      <c r="AR40" s="347">
        <v>20</v>
      </c>
      <c r="AS40" s="348">
        <f t="shared" si="5"/>
        <v>20</v>
      </c>
      <c r="AT40" s="347"/>
      <c r="AU40" s="347"/>
      <c r="AV40" s="347"/>
      <c r="AW40" s="347"/>
      <c r="AX40" s="347"/>
      <c r="AY40" s="347">
        <v>118</v>
      </c>
      <c r="AZ40" s="348">
        <f t="shared" si="6"/>
        <v>118</v>
      </c>
      <c r="BA40" s="347"/>
      <c r="BB40" s="347"/>
      <c r="BC40" s="347"/>
      <c r="BD40" s="347">
        <v>120</v>
      </c>
      <c r="BE40" s="348">
        <f t="shared" si="7"/>
        <v>120</v>
      </c>
      <c r="BF40" s="347"/>
      <c r="BG40" s="348">
        <f t="shared" si="8"/>
        <v>0</v>
      </c>
      <c r="BH40" s="356">
        <v>1009</v>
      </c>
    </row>
    <row r="41" spans="1:60" ht="17.45" customHeight="1">
      <c r="A41" s="357"/>
      <c r="B41" s="357"/>
      <c r="C41" s="357"/>
      <c r="D41" s="347" t="s">
        <v>1135</v>
      </c>
      <c r="E41" s="347" t="s">
        <v>1136</v>
      </c>
      <c r="F41" s="355"/>
      <c r="G41" s="347"/>
      <c r="H41" s="347"/>
      <c r="I41" s="347"/>
      <c r="J41" s="347"/>
      <c r="K41" s="347"/>
      <c r="L41" s="348">
        <f t="shared" si="0"/>
        <v>0</v>
      </c>
      <c r="M41" s="347"/>
      <c r="N41" s="347"/>
      <c r="O41" s="347"/>
      <c r="P41" s="347"/>
      <c r="Q41" s="347"/>
      <c r="R41" s="348">
        <f t="shared" si="1"/>
        <v>0</v>
      </c>
      <c r="S41" s="347"/>
      <c r="T41" s="347"/>
      <c r="U41" s="347"/>
      <c r="V41" s="347"/>
      <c r="W41" s="347"/>
      <c r="X41" s="348">
        <f t="shared" si="2"/>
        <v>0</v>
      </c>
      <c r="Y41" s="347"/>
      <c r="Z41" s="347"/>
      <c r="AA41" s="347">
        <v>98</v>
      </c>
      <c r="AB41" s="347">
        <v>6</v>
      </c>
      <c r="AC41" s="347"/>
      <c r="AD41" s="347"/>
      <c r="AE41" s="348">
        <f t="shared" si="3"/>
        <v>104</v>
      </c>
      <c r="AF41" s="347"/>
      <c r="AG41" s="347"/>
      <c r="AH41" s="347"/>
      <c r="AI41" s="347"/>
      <c r="AJ41" s="347"/>
      <c r="AK41" s="347"/>
      <c r="AL41" s="348">
        <f t="shared" si="4"/>
        <v>0</v>
      </c>
      <c r="AM41" s="347"/>
      <c r="AN41" s="347"/>
      <c r="AO41" s="347"/>
      <c r="AP41" s="347"/>
      <c r="AQ41" s="347"/>
      <c r="AR41" s="347"/>
      <c r="AS41" s="348">
        <f t="shared" si="5"/>
        <v>0</v>
      </c>
      <c r="AT41" s="347"/>
      <c r="AU41" s="347"/>
      <c r="AV41" s="347"/>
      <c r="AW41" s="347"/>
      <c r="AX41" s="347"/>
      <c r="AY41" s="347"/>
      <c r="AZ41" s="348">
        <f t="shared" si="6"/>
        <v>0</v>
      </c>
      <c r="BA41" s="347"/>
      <c r="BB41" s="347"/>
      <c r="BC41" s="347"/>
      <c r="BD41" s="347"/>
      <c r="BE41" s="348">
        <f t="shared" si="7"/>
        <v>0</v>
      </c>
      <c r="BF41" s="347"/>
      <c r="BG41" s="348">
        <f t="shared" si="8"/>
        <v>0</v>
      </c>
      <c r="BH41" s="356">
        <v>104</v>
      </c>
    </row>
    <row r="42" spans="1:60" ht="17.45" customHeight="1">
      <c r="A42" s="357"/>
      <c r="B42" s="357"/>
      <c r="C42" s="357"/>
      <c r="D42" s="347" t="s">
        <v>1190</v>
      </c>
      <c r="E42" s="347" t="s">
        <v>1212</v>
      </c>
      <c r="F42" s="355"/>
      <c r="G42" s="347"/>
      <c r="H42" s="347"/>
      <c r="I42" s="347"/>
      <c r="J42" s="347"/>
      <c r="K42" s="347"/>
      <c r="L42" s="348">
        <f t="shared" si="0"/>
        <v>0</v>
      </c>
      <c r="M42" s="347"/>
      <c r="N42" s="347"/>
      <c r="O42" s="347"/>
      <c r="P42" s="347"/>
      <c r="Q42" s="347"/>
      <c r="R42" s="348">
        <f t="shared" si="1"/>
        <v>0</v>
      </c>
      <c r="S42" s="347"/>
      <c r="T42" s="347"/>
      <c r="U42" s="347"/>
      <c r="V42" s="347"/>
      <c r="W42" s="347"/>
      <c r="X42" s="348">
        <f t="shared" si="2"/>
        <v>0</v>
      </c>
      <c r="Y42" s="347">
        <v>14</v>
      </c>
      <c r="Z42" s="347">
        <v>94</v>
      </c>
      <c r="AA42" s="347"/>
      <c r="AB42" s="347"/>
      <c r="AC42" s="347"/>
      <c r="AD42" s="347"/>
      <c r="AE42" s="348">
        <f t="shared" si="3"/>
        <v>108</v>
      </c>
      <c r="AF42" s="347"/>
      <c r="AG42" s="347"/>
      <c r="AH42" s="347"/>
      <c r="AI42" s="347"/>
      <c r="AJ42" s="347"/>
      <c r="AK42" s="347"/>
      <c r="AL42" s="348">
        <f t="shared" si="4"/>
        <v>0</v>
      </c>
      <c r="AM42" s="347"/>
      <c r="AN42" s="347"/>
      <c r="AO42" s="347"/>
      <c r="AP42" s="347"/>
      <c r="AQ42" s="347"/>
      <c r="AR42" s="347"/>
      <c r="AS42" s="348">
        <f t="shared" si="5"/>
        <v>0</v>
      </c>
      <c r="AT42" s="347"/>
      <c r="AU42" s="347"/>
      <c r="AV42" s="347"/>
      <c r="AW42" s="347"/>
      <c r="AX42" s="347"/>
      <c r="AY42" s="347"/>
      <c r="AZ42" s="348">
        <f t="shared" si="6"/>
        <v>0</v>
      </c>
      <c r="BA42" s="347"/>
      <c r="BB42" s="347"/>
      <c r="BC42" s="347"/>
      <c r="BD42" s="347"/>
      <c r="BE42" s="348">
        <f t="shared" si="7"/>
        <v>0</v>
      </c>
      <c r="BF42" s="347"/>
      <c r="BG42" s="348">
        <f t="shared" si="8"/>
        <v>0</v>
      </c>
      <c r="BH42" s="356">
        <v>108</v>
      </c>
    </row>
    <row r="43" spans="1:60" ht="17.45" customHeight="1">
      <c r="A43" s="357"/>
      <c r="B43" s="357"/>
      <c r="C43" s="357"/>
      <c r="D43" s="347" t="s">
        <v>1137</v>
      </c>
      <c r="E43" s="347" t="s">
        <v>1138</v>
      </c>
      <c r="F43" s="355">
        <v>57</v>
      </c>
      <c r="G43" s="347">
        <v>87</v>
      </c>
      <c r="H43" s="347"/>
      <c r="I43" s="347"/>
      <c r="J43" s="347"/>
      <c r="K43" s="347"/>
      <c r="L43" s="348">
        <f t="shared" si="0"/>
        <v>144</v>
      </c>
      <c r="M43" s="347"/>
      <c r="N43" s="347"/>
      <c r="O43" s="347"/>
      <c r="P43" s="347"/>
      <c r="Q43" s="347"/>
      <c r="R43" s="348">
        <f t="shared" si="1"/>
        <v>0</v>
      </c>
      <c r="S43" s="347"/>
      <c r="T43" s="347"/>
      <c r="U43" s="347"/>
      <c r="V43" s="347"/>
      <c r="W43" s="347"/>
      <c r="X43" s="348">
        <f t="shared" si="2"/>
        <v>0</v>
      </c>
      <c r="Y43" s="347">
        <v>69</v>
      </c>
      <c r="Z43" s="347"/>
      <c r="AA43" s="347"/>
      <c r="AB43" s="347"/>
      <c r="AC43" s="347"/>
      <c r="AD43" s="347"/>
      <c r="AE43" s="348">
        <f t="shared" si="3"/>
        <v>69</v>
      </c>
      <c r="AF43" s="347">
        <v>46</v>
      </c>
      <c r="AG43" s="347"/>
      <c r="AH43" s="347"/>
      <c r="AI43" s="347"/>
      <c r="AJ43" s="347"/>
      <c r="AK43" s="347"/>
      <c r="AL43" s="348">
        <f t="shared" si="4"/>
        <v>46</v>
      </c>
      <c r="AM43" s="347">
        <v>41</v>
      </c>
      <c r="AN43" s="347"/>
      <c r="AO43" s="347"/>
      <c r="AP43" s="347"/>
      <c r="AQ43" s="347"/>
      <c r="AR43" s="347"/>
      <c r="AS43" s="348">
        <f t="shared" si="5"/>
        <v>41</v>
      </c>
      <c r="AT43" s="347"/>
      <c r="AU43" s="347"/>
      <c r="AV43" s="347"/>
      <c r="AW43" s="347"/>
      <c r="AX43" s="347"/>
      <c r="AY43" s="347"/>
      <c r="AZ43" s="348">
        <f t="shared" si="6"/>
        <v>0</v>
      </c>
      <c r="BA43" s="347"/>
      <c r="BB43" s="347"/>
      <c r="BC43" s="347"/>
      <c r="BD43" s="347"/>
      <c r="BE43" s="348">
        <f t="shared" si="7"/>
        <v>0</v>
      </c>
      <c r="BF43" s="347"/>
      <c r="BG43" s="348">
        <f t="shared" si="8"/>
        <v>0</v>
      </c>
      <c r="BH43" s="356">
        <v>300</v>
      </c>
    </row>
    <row r="44" spans="1:60" ht="17.45" customHeight="1">
      <c r="A44" s="357"/>
      <c r="B44" s="357"/>
      <c r="C44" s="358"/>
      <c r="D44" s="347" t="s">
        <v>1139</v>
      </c>
      <c r="E44" s="347" t="s">
        <v>1140</v>
      </c>
      <c r="F44" s="355"/>
      <c r="G44" s="347"/>
      <c r="H44" s="347"/>
      <c r="I44" s="347"/>
      <c r="J44" s="347"/>
      <c r="K44" s="347"/>
      <c r="L44" s="348">
        <f t="shared" si="0"/>
        <v>0</v>
      </c>
      <c r="M44" s="347"/>
      <c r="N44" s="347"/>
      <c r="O44" s="347"/>
      <c r="P44" s="347"/>
      <c r="Q44" s="347">
        <v>7</v>
      </c>
      <c r="R44" s="348">
        <f t="shared" si="1"/>
        <v>7</v>
      </c>
      <c r="S44" s="347"/>
      <c r="T44" s="347"/>
      <c r="U44" s="347"/>
      <c r="V44" s="347"/>
      <c r="W44" s="347"/>
      <c r="X44" s="348">
        <f t="shared" si="2"/>
        <v>0</v>
      </c>
      <c r="Y44" s="347">
        <v>4</v>
      </c>
      <c r="Z44" s="347"/>
      <c r="AA44" s="347"/>
      <c r="AB44" s="347"/>
      <c r="AC44" s="347"/>
      <c r="AD44" s="347"/>
      <c r="AE44" s="348">
        <f t="shared" si="3"/>
        <v>4</v>
      </c>
      <c r="AF44" s="347">
        <v>2</v>
      </c>
      <c r="AG44" s="347"/>
      <c r="AH44" s="347"/>
      <c r="AI44" s="347"/>
      <c r="AJ44" s="347"/>
      <c r="AK44" s="347"/>
      <c r="AL44" s="348">
        <f t="shared" si="4"/>
        <v>2</v>
      </c>
      <c r="AM44" s="347">
        <v>3</v>
      </c>
      <c r="AN44" s="347"/>
      <c r="AO44" s="347"/>
      <c r="AP44" s="347"/>
      <c r="AQ44" s="347"/>
      <c r="AR44" s="347"/>
      <c r="AS44" s="348">
        <f t="shared" si="5"/>
        <v>3</v>
      </c>
      <c r="AT44" s="347"/>
      <c r="AU44" s="347">
        <v>3</v>
      </c>
      <c r="AV44" s="347"/>
      <c r="AW44" s="347"/>
      <c r="AX44" s="347"/>
      <c r="AY44" s="347"/>
      <c r="AZ44" s="348">
        <f t="shared" si="6"/>
        <v>3</v>
      </c>
      <c r="BA44" s="347">
        <v>2</v>
      </c>
      <c r="BB44" s="347"/>
      <c r="BC44" s="347"/>
      <c r="BD44" s="347"/>
      <c r="BE44" s="348">
        <f t="shared" si="7"/>
        <v>2</v>
      </c>
      <c r="BF44" s="347"/>
      <c r="BG44" s="348">
        <f t="shared" si="8"/>
        <v>0</v>
      </c>
      <c r="BH44" s="356">
        <v>21</v>
      </c>
    </row>
    <row r="45" spans="1:60" ht="17.45" customHeight="1">
      <c r="A45" s="357"/>
      <c r="B45" s="357"/>
      <c r="C45" s="359" t="s">
        <v>1831</v>
      </c>
      <c r="D45" s="360"/>
      <c r="E45" s="361"/>
      <c r="F45" s="362">
        <v>256</v>
      </c>
      <c r="G45" s="363">
        <v>336</v>
      </c>
      <c r="H45" s="363">
        <v>336</v>
      </c>
      <c r="I45" s="363">
        <v>320</v>
      </c>
      <c r="J45" s="363">
        <v>260</v>
      </c>
      <c r="K45" s="363">
        <v>320</v>
      </c>
      <c r="L45" s="348">
        <f t="shared" si="0"/>
        <v>1828</v>
      </c>
      <c r="M45" s="363">
        <v>256</v>
      </c>
      <c r="N45" s="363">
        <v>328</v>
      </c>
      <c r="O45" s="363">
        <v>336</v>
      </c>
      <c r="P45" s="363">
        <v>320</v>
      </c>
      <c r="Q45" s="363">
        <v>320</v>
      </c>
      <c r="R45" s="348">
        <f t="shared" si="1"/>
        <v>1560</v>
      </c>
      <c r="S45" s="363">
        <v>316</v>
      </c>
      <c r="T45" s="363">
        <v>336</v>
      </c>
      <c r="U45" s="363">
        <v>336</v>
      </c>
      <c r="V45" s="363">
        <v>260</v>
      </c>
      <c r="W45" s="363">
        <v>336</v>
      </c>
      <c r="X45" s="348">
        <f t="shared" si="2"/>
        <v>1584</v>
      </c>
      <c r="Y45" s="363">
        <v>256</v>
      </c>
      <c r="Z45" s="363">
        <v>336</v>
      </c>
      <c r="AA45" s="363">
        <v>336</v>
      </c>
      <c r="AB45" s="363">
        <v>336</v>
      </c>
      <c r="AC45" s="363">
        <v>336</v>
      </c>
      <c r="AD45" s="363">
        <v>254</v>
      </c>
      <c r="AE45" s="348">
        <f t="shared" si="3"/>
        <v>1854</v>
      </c>
      <c r="AF45" s="363">
        <v>316</v>
      </c>
      <c r="AG45" s="363">
        <v>336</v>
      </c>
      <c r="AH45" s="363">
        <v>336</v>
      </c>
      <c r="AI45" s="363">
        <v>320</v>
      </c>
      <c r="AJ45" s="363">
        <v>260</v>
      </c>
      <c r="AK45" s="363">
        <v>320</v>
      </c>
      <c r="AL45" s="348">
        <f t="shared" si="4"/>
        <v>1888</v>
      </c>
      <c r="AM45" s="363">
        <v>332</v>
      </c>
      <c r="AN45" s="363">
        <v>336</v>
      </c>
      <c r="AO45" s="363">
        <v>260</v>
      </c>
      <c r="AP45" s="363">
        <v>328</v>
      </c>
      <c r="AQ45" s="363">
        <v>260</v>
      </c>
      <c r="AR45" s="363">
        <v>130</v>
      </c>
      <c r="AS45" s="348">
        <f t="shared" si="5"/>
        <v>1646</v>
      </c>
      <c r="AT45" s="363">
        <v>252</v>
      </c>
      <c r="AU45" s="363">
        <v>336</v>
      </c>
      <c r="AV45" s="363">
        <v>339</v>
      </c>
      <c r="AW45" s="363">
        <v>336</v>
      </c>
      <c r="AX45" s="363">
        <v>336</v>
      </c>
      <c r="AY45" s="363">
        <v>260</v>
      </c>
      <c r="AZ45" s="348">
        <f t="shared" si="6"/>
        <v>1859</v>
      </c>
      <c r="BA45" s="363">
        <v>320</v>
      </c>
      <c r="BB45" s="363">
        <v>322</v>
      </c>
      <c r="BC45" s="363">
        <v>320</v>
      </c>
      <c r="BD45" s="363">
        <v>260</v>
      </c>
      <c r="BE45" s="348">
        <f t="shared" si="7"/>
        <v>1222</v>
      </c>
      <c r="BF45" s="363">
        <v>192</v>
      </c>
      <c r="BG45" s="348">
        <f t="shared" si="8"/>
        <v>192</v>
      </c>
      <c r="BH45" s="356">
        <v>13633</v>
      </c>
    </row>
    <row r="46" spans="1:60" ht="17.45" customHeight="1">
      <c r="A46" s="357"/>
      <c r="B46" s="357"/>
      <c r="C46" s="354" t="s">
        <v>1234</v>
      </c>
      <c r="D46" s="347" t="s">
        <v>1215</v>
      </c>
      <c r="E46" s="347" t="s">
        <v>1213</v>
      </c>
      <c r="F46" s="355"/>
      <c r="G46" s="347"/>
      <c r="H46" s="347"/>
      <c r="I46" s="347"/>
      <c r="J46" s="347"/>
      <c r="K46" s="347"/>
      <c r="L46" s="348">
        <f t="shared" si="0"/>
        <v>0</v>
      </c>
      <c r="M46" s="347"/>
      <c r="N46" s="347"/>
      <c r="O46" s="347"/>
      <c r="P46" s="347"/>
      <c r="Q46" s="347"/>
      <c r="R46" s="348">
        <f t="shared" si="1"/>
        <v>0</v>
      </c>
      <c r="S46" s="347"/>
      <c r="T46" s="347"/>
      <c r="U46" s="347">
        <v>8</v>
      </c>
      <c r="V46" s="347"/>
      <c r="W46" s="347"/>
      <c r="X46" s="348">
        <f t="shared" si="2"/>
        <v>8</v>
      </c>
      <c r="Y46" s="347"/>
      <c r="Z46" s="347"/>
      <c r="AA46" s="347">
        <v>12</v>
      </c>
      <c r="AB46" s="347"/>
      <c r="AC46" s="347"/>
      <c r="AD46" s="347"/>
      <c r="AE46" s="348">
        <f t="shared" si="3"/>
        <v>12</v>
      </c>
      <c r="AF46" s="347">
        <v>8</v>
      </c>
      <c r="AG46" s="347"/>
      <c r="AH46" s="347"/>
      <c r="AI46" s="347"/>
      <c r="AJ46" s="347"/>
      <c r="AK46" s="347"/>
      <c r="AL46" s="348">
        <f t="shared" si="4"/>
        <v>8</v>
      </c>
      <c r="AM46" s="347"/>
      <c r="AN46" s="347"/>
      <c r="AO46" s="347">
        <v>8</v>
      </c>
      <c r="AP46" s="347"/>
      <c r="AQ46" s="347"/>
      <c r="AR46" s="347">
        <v>15</v>
      </c>
      <c r="AS46" s="348">
        <f t="shared" si="5"/>
        <v>23</v>
      </c>
      <c r="AT46" s="347"/>
      <c r="AU46" s="347"/>
      <c r="AV46" s="347"/>
      <c r="AW46" s="347"/>
      <c r="AX46" s="347"/>
      <c r="AY46" s="347">
        <v>15</v>
      </c>
      <c r="AZ46" s="348">
        <f t="shared" si="6"/>
        <v>15</v>
      </c>
      <c r="BA46" s="347"/>
      <c r="BB46" s="347"/>
      <c r="BC46" s="347"/>
      <c r="BD46" s="347">
        <v>10</v>
      </c>
      <c r="BE46" s="348">
        <f t="shared" si="7"/>
        <v>10</v>
      </c>
      <c r="BF46" s="347"/>
      <c r="BG46" s="348">
        <f t="shared" si="8"/>
        <v>0</v>
      </c>
      <c r="BH46" s="356">
        <v>76</v>
      </c>
    </row>
    <row r="47" spans="1:60" ht="17.45" customHeight="1">
      <c r="A47" s="357"/>
      <c r="B47" s="357"/>
      <c r="C47" s="357"/>
      <c r="D47" s="347" t="s">
        <v>1141</v>
      </c>
      <c r="E47" s="347" t="s">
        <v>1142</v>
      </c>
      <c r="F47" s="355"/>
      <c r="G47" s="347"/>
      <c r="H47" s="347"/>
      <c r="I47" s="347"/>
      <c r="J47" s="347"/>
      <c r="K47" s="347"/>
      <c r="L47" s="348">
        <f t="shared" si="0"/>
        <v>0</v>
      </c>
      <c r="M47" s="347"/>
      <c r="N47" s="347"/>
      <c r="O47" s="347"/>
      <c r="P47" s="347"/>
      <c r="Q47" s="347"/>
      <c r="R47" s="348">
        <f t="shared" si="1"/>
        <v>0</v>
      </c>
      <c r="S47" s="347"/>
      <c r="T47" s="347"/>
      <c r="U47" s="347"/>
      <c r="V47" s="347"/>
      <c r="W47" s="347"/>
      <c r="X47" s="348">
        <f t="shared" si="2"/>
        <v>0</v>
      </c>
      <c r="Y47" s="347"/>
      <c r="Z47" s="347"/>
      <c r="AA47" s="347"/>
      <c r="AB47" s="347"/>
      <c r="AC47" s="347"/>
      <c r="AD47" s="347"/>
      <c r="AE47" s="348">
        <f t="shared" si="3"/>
        <v>0</v>
      </c>
      <c r="AF47" s="347"/>
      <c r="AG47" s="347"/>
      <c r="AH47" s="347"/>
      <c r="AI47" s="347"/>
      <c r="AJ47" s="347"/>
      <c r="AK47" s="347"/>
      <c r="AL47" s="348">
        <f t="shared" si="4"/>
        <v>0</v>
      </c>
      <c r="AM47" s="347"/>
      <c r="AN47" s="347"/>
      <c r="AO47" s="347"/>
      <c r="AP47" s="347"/>
      <c r="AQ47" s="347"/>
      <c r="AR47" s="347"/>
      <c r="AS47" s="348">
        <f t="shared" si="5"/>
        <v>0</v>
      </c>
      <c r="AT47" s="347"/>
      <c r="AU47" s="347"/>
      <c r="AV47" s="347"/>
      <c r="AW47" s="347"/>
      <c r="AX47" s="347"/>
      <c r="AY47" s="347">
        <v>36</v>
      </c>
      <c r="AZ47" s="348">
        <f t="shared" si="6"/>
        <v>36</v>
      </c>
      <c r="BA47" s="347">
        <v>114</v>
      </c>
      <c r="BB47" s="347"/>
      <c r="BC47" s="347"/>
      <c r="BD47" s="347">
        <v>41</v>
      </c>
      <c r="BE47" s="348">
        <f t="shared" si="7"/>
        <v>155</v>
      </c>
      <c r="BF47" s="347">
        <v>109</v>
      </c>
      <c r="BG47" s="348">
        <f t="shared" si="8"/>
        <v>109</v>
      </c>
      <c r="BH47" s="356">
        <v>300</v>
      </c>
    </row>
    <row r="48" spans="1:60" ht="17.45" customHeight="1">
      <c r="A48" s="357"/>
      <c r="B48" s="357"/>
      <c r="C48" s="357"/>
      <c r="D48" s="347" t="s">
        <v>1112</v>
      </c>
      <c r="E48" s="347" t="s">
        <v>1113</v>
      </c>
      <c r="F48" s="355"/>
      <c r="G48" s="347"/>
      <c r="H48" s="347"/>
      <c r="I48" s="347"/>
      <c r="J48" s="347"/>
      <c r="K48" s="347"/>
      <c r="L48" s="348">
        <f t="shared" si="0"/>
        <v>0</v>
      </c>
      <c r="M48" s="347"/>
      <c r="N48" s="347"/>
      <c r="O48" s="347"/>
      <c r="P48" s="347"/>
      <c r="Q48" s="347"/>
      <c r="R48" s="348">
        <f t="shared" si="1"/>
        <v>0</v>
      </c>
      <c r="S48" s="347"/>
      <c r="T48" s="347"/>
      <c r="U48" s="347"/>
      <c r="V48" s="347"/>
      <c r="W48" s="347"/>
      <c r="X48" s="348">
        <f t="shared" si="2"/>
        <v>0</v>
      </c>
      <c r="Y48" s="347"/>
      <c r="Z48" s="347">
        <v>31</v>
      </c>
      <c r="AA48" s="347"/>
      <c r="AB48" s="347"/>
      <c r="AC48" s="347"/>
      <c r="AD48" s="347"/>
      <c r="AE48" s="348">
        <f t="shared" si="3"/>
        <v>31</v>
      </c>
      <c r="AF48" s="347">
        <v>12</v>
      </c>
      <c r="AG48" s="347"/>
      <c r="AH48" s="347"/>
      <c r="AI48" s="347"/>
      <c r="AJ48" s="347"/>
      <c r="AK48" s="347"/>
      <c r="AL48" s="348">
        <f t="shared" si="4"/>
        <v>12</v>
      </c>
      <c r="AM48" s="347"/>
      <c r="AN48" s="347">
        <v>14</v>
      </c>
      <c r="AO48" s="347"/>
      <c r="AP48" s="347"/>
      <c r="AQ48" s="347"/>
      <c r="AR48" s="347">
        <v>22</v>
      </c>
      <c r="AS48" s="348">
        <f t="shared" si="5"/>
        <v>36</v>
      </c>
      <c r="AT48" s="347"/>
      <c r="AU48" s="347"/>
      <c r="AV48" s="347"/>
      <c r="AW48" s="347"/>
      <c r="AX48" s="347"/>
      <c r="AY48" s="347"/>
      <c r="AZ48" s="348">
        <f t="shared" si="6"/>
        <v>0</v>
      </c>
      <c r="BA48" s="347">
        <v>14</v>
      </c>
      <c r="BB48" s="347"/>
      <c r="BC48" s="347"/>
      <c r="BD48" s="347"/>
      <c r="BE48" s="348">
        <f t="shared" si="7"/>
        <v>14</v>
      </c>
      <c r="BF48" s="347">
        <v>11</v>
      </c>
      <c r="BG48" s="348">
        <f t="shared" si="8"/>
        <v>11</v>
      </c>
      <c r="BH48" s="356">
        <v>104</v>
      </c>
    </row>
    <row r="49" spans="1:60" ht="17.45" customHeight="1">
      <c r="A49" s="357"/>
      <c r="B49" s="357"/>
      <c r="C49" s="357"/>
      <c r="D49" s="347" t="s">
        <v>1147</v>
      </c>
      <c r="E49" s="347" t="s">
        <v>1148</v>
      </c>
      <c r="F49" s="355"/>
      <c r="G49" s="347"/>
      <c r="H49" s="347"/>
      <c r="I49" s="347"/>
      <c r="J49" s="347"/>
      <c r="K49" s="347"/>
      <c r="L49" s="348">
        <f t="shared" si="0"/>
        <v>0</v>
      </c>
      <c r="M49" s="347"/>
      <c r="N49" s="347"/>
      <c r="O49" s="347"/>
      <c r="P49" s="347"/>
      <c r="Q49" s="347"/>
      <c r="R49" s="348">
        <f t="shared" si="1"/>
        <v>0</v>
      </c>
      <c r="S49" s="347"/>
      <c r="T49" s="347"/>
      <c r="U49" s="347"/>
      <c r="V49" s="347"/>
      <c r="W49" s="347"/>
      <c r="X49" s="348">
        <f t="shared" si="2"/>
        <v>0</v>
      </c>
      <c r="Y49" s="347"/>
      <c r="Z49" s="347"/>
      <c r="AA49" s="347"/>
      <c r="AB49" s="347"/>
      <c r="AC49" s="347"/>
      <c r="AD49" s="347"/>
      <c r="AE49" s="348">
        <f t="shared" si="3"/>
        <v>0</v>
      </c>
      <c r="AF49" s="347"/>
      <c r="AG49" s="347"/>
      <c r="AH49" s="347"/>
      <c r="AI49" s="347"/>
      <c r="AJ49" s="347"/>
      <c r="AK49" s="347"/>
      <c r="AL49" s="348">
        <f t="shared" si="4"/>
        <v>0</v>
      </c>
      <c r="AM49" s="347"/>
      <c r="AN49" s="347">
        <v>1</v>
      </c>
      <c r="AO49" s="347"/>
      <c r="AP49" s="347"/>
      <c r="AQ49" s="347"/>
      <c r="AR49" s="347">
        <v>4</v>
      </c>
      <c r="AS49" s="348">
        <f t="shared" si="5"/>
        <v>5</v>
      </c>
      <c r="AT49" s="347"/>
      <c r="AU49" s="347"/>
      <c r="AV49" s="347"/>
      <c r="AW49" s="347"/>
      <c r="AX49" s="347"/>
      <c r="AY49" s="347"/>
      <c r="AZ49" s="348">
        <f t="shared" si="6"/>
        <v>0</v>
      </c>
      <c r="BA49" s="347">
        <v>4</v>
      </c>
      <c r="BB49" s="347"/>
      <c r="BC49" s="347"/>
      <c r="BD49" s="347"/>
      <c r="BE49" s="348">
        <f t="shared" si="7"/>
        <v>4</v>
      </c>
      <c r="BF49" s="347">
        <v>3</v>
      </c>
      <c r="BG49" s="348">
        <f t="shared" si="8"/>
        <v>3</v>
      </c>
      <c r="BH49" s="356">
        <v>12</v>
      </c>
    </row>
    <row r="50" spans="1:60" ht="17.45" customHeight="1">
      <c r="A50" s="357"/>
      <c r="B50" s="357"/>
      <c r="C50" s="357"/>
      <c r="D50" s="347" t="s">
        <v>1114</v>
      </c>
      <c r="E50" s="347" t="s">
        <v>1115</v>
      </c>
      <c r="F50" s="355">
        <v>71</v>
      </c>
      <c r="G50" s="347">
        <v>89</v>
      </c>
      <c r="H50" s="347">
        <v>80</v>
      </c>
      <c r="I50" s="347">
        <v>66</v>
      </c>
      <c r="J50" s="347"/>
      <c r="K50" s="347"/>
      <c r="L50" s="348">
        <f t="shared" si="0"/>
        <v>306</v>
      </c>
      <c r="M50" s="347">
        <v>32</v>
      </c>
      <c r="N50" s="347">
        <v>100</v>
      </c>
      <c r="O50" s="347">
        <v>124</v>
      </c>
      <c r="P50" s="347">
        <v>111</v>
      </c>
      <c r="Q50" s="347">
        <v>71</v>
      </c>
      <c r="R50" s="348">
        <f t="shared" si="1"/>
        <v>438</v>
      </c>
      <c r="S50" s="347">
        <v>90</v>
      </c>
      <c r="T50" s="347"/>
      <c r="U50" s="347"/>
      <c r="V50" s="347"/>
      <c r="W50" s="347"/>
      <c r="X50" s="348">
        <f t="shared" si="2"/>
        <v>90</v>
      </c>
      <c r="Y50" s="347">
        <v>80</v>
      </c>
      <c r="Z50" s="347">
        <v>88</v>
      </c>
      <c r="AA50" s="347"/>
      <c r="AB50" s="347"/>
      <c r="AC50" s="347"/>
      <c r="AD50" s="347"/>
      <c r="AE50" s="348">
        <f t="shared" si="3"/>
        <v>168</v>
      </c>
      <c r="AF50" s="347">
        <v>50</v>
      </c>
      <c r="AG50" s="347">
        <v>90</v>
      </c>
      <c r="AH50" s="347">
        <v>5</v>
      </c>
      <c r="AI50" s="347"/>
      <c r="AJ50" s="347"/>
      <c r="AK50" s="347">
        <v>71</v>
      </c>
      <c r="AL50" s="348">
        <f t="shared" si="4"/>
        <v>216</v>
      </c>
      <c r="AM50" s="347">
        <v>48</v>
      </c>
      <c r="AN50" s="347">
        <v>46</v>
      </c>
      <c r="AO50" s="347">
        <v>50</v>
      </c>
      <c r="AP50" s="347">
        <v>30</v>
      </c>
      <c r="AQ50" s="347"/>
      <c r="AR50" s="347"/>
      <c r="AS50" s="348">
        <f t="shared" si="5"/>
        <v>174</v>
      </c>
      <c r="AT50" s="347">
        <v>201</v>
      </c>
      <c r="AU50" s="347"/>
      <c r="AV50" s="347"/>
      <c r="AW50" s="347"/>
      <c r="AX50" s="347"/>
      <c r="AY50" s="347"/>
      <c r="AZ50" s="348">
        <f t="shared" si="6"/>
        <v>201</v>
      </c>
      <c r="BA50" s="347">
        <v>73</v>
      </c>
      <c r="BB50" s="347">
        <v>101</v>
      </c>
      <c r="BC50" s="347"/>
      <c r="BD50" s="347"/>
      <c r="BE50" s="348">
        <f t="shared" si="7"/>
        <v>174</v>
      </c>
      <c r="BF50" s="347">
        <v>69</v>
      </c>
      <c r="BG50" s="348">
        <f t="shared" si="8"/>
        <v>69</v>
      </c>
      <c r="BH50" s="356">
        <v>1836</v>
      </c>
    </row>
    <row r="51" spans="1:60" ht="17.45" customHeight="1">
      <c r="A51" s="357"/>
      <c r="B51" s="357"/>
      <c r="C51" s="357"/>
      <c r="D51" s="347" t="s">
        <v>1149</v>
      </c>
      <c r="E51" s="347" t="s">
        <v>1150</v>
      </c>
      <c r="F51" s="355"/>
      <c r="G51" s="347">
        <v>39</v>
      </c>
      <c r="H51" s="347">
        <v>67</v>
      </c>
      <c r="I51" s="347"/>
      <c r="J51" s="347">
        <v>35</v>
      </c>
      <c r="K51" s="347">
        <v>142</v>
      </c>
      <c r="L51" s="348">
        <f t="shared" si="0"/>
        <v>283</v>
      </c>
      <c r="M51" s="347"/>
      <c r="N51" s="347">
        <v>15</v>
      </c>
      <c r="O51" s="347">
        <v>36</v>
      </c>
      <c r="P51" s="347">
        <v>47</v>
      </c>
      <c r="Q51" s="347">
        <v>91</v>
      </c>
      <c r="R51" s="348">
        <f t="shared" si="1"/>
        <v>189</v>
      </c>
      <c r="S51" s="347">
        <v>40</v>
      </c>
      <c r="T51" s="347">
        <v>121</v>
      </c>
      <c r="U51" s="347">
        <v>113</v>
      </c>
      <c r="V51" s="347">
        <v>45</v>
      </c>
      <c r="W51" s="347">
        <v>124</v>
      </c>
      <c r="X51" s="348">
        <f t="shared" si="2"/>
        <v>443</v>
      </c>
      <c r="Y51" s="347"/>
      <c r="Z51" s="347">
        <v>37</v>
      </c>
      <c r="AA51" s="347">
        <v>134</v>
      </c>
      <c r="AB51" s="347">
        <v>82</v>
      </c>
      <c r="AC51" s="347">
        <v>161</v>
      </c>
      <c r="AD51" s="347"/>
      <c r="AE51" s="348">
        <f t="shared" si="3"/>
        <v>414</v>
      </c>
      <c r="AF51" s="347"/>
      <c r="AG51" s="347"/>
      <c r="AH51" s="347">
        <v>86</v>
      </c>
      <c r="AI51" s="347">
        <v>100</v>
      </c>
      <c r="AJ51" s="347">
        <v>75</v>
      </c>
      <c r="AK51" s="347">
        <v>50</v>
      </c>
      <c r="AL51" s="348">
        <f t="shared" si="4"/>
        <v>311</v>
      </c>
      <c r="AM51" s="347">
        <v>80</v>
      </c>
      <c r="AN51" s="347">
        <v>80</v>
      </c>
      <c r="AO51" s="347">
        <v>7</v>
      </c>
      <c r="AP51" s="347">
        <v>103</v>
      </c>
      <c r="AQ51" s="347">
        <v>74</v>
      </c>
      <c r="AR51" s="347">
        <v>89</v>
      </c>
      <c r="AS51" s="348">
        <f t="shared" si="5"/>
        <v>433</v>
      </c>
      <c r="AT51" s="347">
        <v>51</v>
      </c>
      <c r="AU51" s="347">
        <v>285</v>
      </c>
      <c r="AV51" s="347">
        <v>56</v>
      </c>
      <c r="AW51" s="347"/>
      <c r="AX51" s="347"/>
      <c r="AY51" s="347"/>
      <c r="AZ51" s="348">
        <f t="shared" si="6"/>
        <v>392</v>
      </c>
      <c r="BA51" s="347"/>
      <c r="BB51" s="347">
        <v>184</v>
      </c>
      <c r="BC51" s="347"/>
      <c r="BD51" s="347"/>
      <c r="BE51" s="348">
        <f t="shared" si="7"/>
        <v>184</v>
      </c>
      <c r="BF51" s="347"/>
      <c r="BG51" s="348">
        <f t="shared" si="8"/>
        <v>0</v>
      </c>
      <c r="BH51" s="356">
        <v>2649</v>
      </c>
    </row>
    <row r="52" spans="1:60" ht="17.45" customHeight="1">
      <c r="A52" s="357"/>
      <c r="B52" s="357"/>
      <c r="C52" s="357"/>
      <c r="D52" s="347" t="s">
        <v>1151</v>
      </c>
      <c r="E52" s="347" t="s">
        <v>1152</v>
      </c>
      <c r="F52" s="355"/>
      <c r="G52" s="347"/>
      <c r="H52" s="347"/>
      <c r="I52" s="347">
        <v>80</v>
      </c>
      <c r="J52" s="347">
        <v>60</v>
      </c>
      <c r="K52" s="347"/>
      <c r="L52" s="348">
        <f t="shared" si="0"/>
        <v>140</v>
      </c>
      <c r="M52" s="347">
        <v>50</v>
      </c>
      <c r="N52" s="347">
        <v>50</v>
      </c>
      <c r="O52" s="347"/>
      <c r="P52" s="347"/>
      <c r="Q52" s="347"/>
      <c r="R52" s="348">
        <f t="shared" si="1"/>
        <v>100</v>
      </c>
      <c r="S52" s="347"/>
      <c r="T52" s="347"/>
      <c r="U52" s="347"/>
      <c r="V52" s="347"/>
      <c r="W52" s="347"/>
      <c r="X52" s="348">
        <f t="shared" si="2"/>
        <v>0</v>
      </c>
      <c r="Y52" s="347"/>
      <c r="Z52" s="347"/>
      <c r="AA52" s="347">
        <v>12</v>
      </c>
      <c r="AB52" s="347">
        <v>79</v>
      </c>
      <c r="AC52" s="347"/>
      <c r="AD52" s="347">
        <v>81</v>
      </c>
      <c r="AE52" s="348">
        <f t="shared" si="3"/>
        <v>172</v>
      </c>
      <c r="AF52" s="347">
        <v>50</v>
      </c>
      <c r="AG52" s="347">
        <v>50</v>
      </c>
      <c r="AH52" s="347">
        <v>50</v>
      </c>
      <c r="AI52" s="347">
        <v>25</v>
      </c>
      <c r="AJ52" s="347"/>
      <c r="AK52" s="347"/>
      <c r="AL52" s="348">
        <f t="shared" si="4"/>
        <v>175</v>
      </c>
      <c r="AM52" s="347">
        <v>9</v>
      </c>
      <c r="AN52" s="347"/>
      <c r="AO52" s="347"/>
      <c r="AP52" s="347"/>
      <c r="AQ52" s="347"/>
      <c r="AR52" s="347"/>
      <c r="AS52" s="348">
        <f t="shared" si="5"/>
        <v>9</v>
      </c>
      <c r="AT52" s="347"/>
      <c r="AU52" s="347"/>
      <c r="AV52" s="347"/>
      <c r="AW52" s="347"/>
      <c r="AX52" s="347"/>
      <c r="AY52" s="347"/>
      <c r="AZ52" s="348">
        <f t="shared" si="6"/>
        <v>0</v>
      </c>
      <c r="BA52" s="347"/>
      <c r="BB52" s="347">
        <v>35</v>
      </c>
      <c r="BC52" s="347">
        <v>16</v>
      </c>
      <c r="BD52" s="347"/>
      <c r="BE52" s="348">
        <f t="shared" si="7"/>
        <v>51</v>
      </c>
      <c r="BF52" s="347"/>
      <c r="BG52" s="348">
        <f t="shared" si="8"/>
        <v>0</v>
      </c>
      <c r="BH52" s="356">
        <v>647</v>
      </c>
    </row>
    <row r="53" spans="1:60" ht="17.45" customHeight="1">
      <c r="A53" s="357"/>
      <c r="B53" s="357"/>
      <c r="C53" s="357"/>
      <c r="D53" s="347" t="s">
        <v>1119</v>
      </c>
      <c r="E53" s="347" t="s">
        <v>1120</v>
      </c>
      <c r="F53" s="355"/>
      <c r="G53" s="347"/>
      <c r="H53" s="347"/>
      <c r="I53" s="347">
        <v>36</v>
      </c>
      <c r="J53" s="347">
        <v>99</v>
      </c>
      <c r="K53" s="347"/>
      <c r="L53" s="348">
        <f t="shared" si="0"/>
        <v>135</v>
      </c>
      <c r="M53" s="347"/>
      <c r="N53" s="347">
        <v>13</v>
      </c>
      <c r="O53" s="347"/>
      <c r="P53" s="347"/>
      <c r="Q53" s="347">
        <v>36</v>
      </c>
      <c r="R53" s="348">
        <f t="shared" si="1"/>
        <v>49</v>
      </c>
      <c r="S53" s="347">
        <v>46</v>
      </c>
      <c r="T53" s="347">
        <v>35</v>
      </c>
      <c r="U53" s="347"/>
      <c r="V53" s="347"/>
      <c r="W53" s="347"/>
      <c r="X53" s="348">
        <f t="shared" si="2"/>
        <v>81</v>
      </c>
      <c r="Y53" s="347"/>
      <c r="Z53" s="347"/>
      <c r="AA53" s="347"/>
      <c r="AB53" s="347"/>
      <c r="AC53" s="347"/>
      <c r="AD53" s="347">
        <v>36</v>
      </c>
      <c r="AE53" s="348">
        <f t="shared" si="3"/>
        <v>36</v>
      </c>
      <c r="AF53" s="347">
        <v>67</v>
      </c>
      <c r="AG53" s="347">
        <v>74</v>
      </c>
      <c r="AH53" s="347"/>
      <c r="AI53" s="347">
        <v>36</v>
      </c>
      <c r="AJ53" s="347">
        <v>124</v>
      </c>
      <c r="AK53" s="347">
        <v>90</v>
      </c>
      <c r="AL53" s="348">
        <f t="shared" si="4"/>
        <v>391</v>
      </c>
      <c r="AM53" s="347"/>
      <c r="AN53" s="347"/>
      <c r="AO53" s="347"/>
      <c r="AP53" s="347"/>
      <c r="AQ53" s="347"/>
      <c r="AR53" s="347"/>
      <c r="AS53" s="348">
        <f t="shared" si="5"/>
        <v>0</v>
      </c>
      <c r="AT53" s="347"/>
      <c r="AU53" s="347"/>
      <c r="AV53" s="347"/>
      <c r="AW53" s="347"/>
      <c r="AX53" s="347"/>
      <c r="AY53" s="347"/>
      <c r="AZ53" s="348">
        <f t="shared" si="6"/>
        <v>0</v>
      </c>
      <c r="BA53" s="347"/>
      <c r="BB53" s="347"/>
      <c r="BC53" s="347"/>
      <c r="BD53" s="347"/>
      <c r="BE53" s="348">
        <f t="shared" si="7"/>
        <v>0</v>
      </c>
      <c r="BF53" s="347"/>
      <c r="BG53" s="348">
        <f t="shared" si="8"/>
        <v>0</v>
      </c>
      <c r="BH53" s="356">
        <v>692</v>
      </c>
    </row>
    <row r="54" spans="1:60" ht="17.45" customHeight="1">
      <c r="A54" s="357"/>
      <c r="B54" s="357"/>
      <c r="C54" s="357"/>
      <c r="D54" s="347" t="s">
        <v>1127</v>
      </c>
      <c r="E54" s="347" t="s">
        <v>1128</v>
      </c>
      <c r="F54" s="355">
        <v>36</v>
      </c>
      <c r="G54" s="347">
        <v>128</v>
      </c>
      <c r="H54" s="347">
        <v>89</v>
      </c>
      <c r="I54" s="347">
        <v>79</v>
      </c>
      <c r="J54" s="347">
        <v>21</v>
      </c>
      <c r="K54" s="347">
        <v>42</v>
      </c>
      <c r="L54" s="348">
        <f t="shared" si="0"/>
        <v>395</v>
      </c>
      <c r="M54" s="347">
        <v>26</v>
      </c>
      <c r="N54" s="347">
        <v>29</v>
      </c>
      <c r="O54" s="347">
        <v>122</v>
      </c>
      <c r="P54" s="347">
        <v>112</v>
      </c>
      <c r="Q54" s="347">
        <v>77</v>
      </c>
      <c r="R54" s="348">
        <f t="shared" si="1"/>
        <v>366</v>
      </c>
      <c r="S54" s="347"/>
      <c r="T54" s="347">
        <v>25</v>
      </c>
      <c r="U54" s="347">
        <v>44</v>
      </c>
      <c r="V54" s="347">
        <v>63</v>
      </c>
      <c r="W54" s="347">
        <v>57</v>
      </c>
      <c r="X54" s="348">
        <f t="shared" si="2"/>
        <v>189</v>
      </c>
      <c r="Y54" s="347">
        <v>42</v>
      </c>
      <c r="Z54" s="347">
        <v>75</v>
      </c>
      <c r="AA54" s="347">
        <v>123</v>
      </c>
      <c r="AB54" s="347">
        <v>39</v>
      </c>
      <c r="AC54" s="347">
        <v>83</v>
      </c>
      <c r="AD54" s="347">
        <v>80</v>
      </c>
      <c r="AE54" s="348">
        <f t="shared" si="3"/>
        <v>442</v>
      </c>
      <c r="AF54" s="347">
        <v>66</v>
      </c>
      <c r="AG54" s="347">
        <v>57</v>
      </c>
      <c r="AH54" s="347">
        <v>104</v>
      </c>
      <c r="AI54" s="347"/>
      <c r="AJ54" s="347"/>
      <c r="AK54" s="347">
        <v>36</v>
      </c>
      <c r="AL54" s="348">
        <f t="shared" si="4"/>
        <v>263</v>
      </c>
      <c r="AM54" s="347">
        <v>85</v>
      </c>
      <c r="AN54" s="347"/>
      <c r="AO54" s="347">
        <v>36</v>
      </c>
      <c r="AP54" s="347">
        <v>54</v>
      </c>
      <c r="AQ54" s="347">
        <v>98</v>
      </c>
      <c r="AR54" s="347"/>
      <c r="AS54" s="348">
        <f t="shared" si="5"/>
        <v>273</v>
      </c>
      <c r="AT54" s="347"/>
      <c r="AU54" s="347"/>
      <c r="AV54" s="347"/>
      <c r="AW54" s="347"/>
      <c r="AX54" s="347"/>
      <c r="AY54" s="347"/>
      <c r="AZ54" s="348">
        <f t="shared" si="6"/>
        <v>0</v>
      </c>
      <c r="BA54" s="347"/>
      <c r="BB54" s="347"/>
      <c r="BC54" s="347"/>
      <c r="BD54" s="347"/>
      <c r="BE54" s="348">
        <f t="shared" si="7"/>
        <v>0</v>
      </c>
      <c r="BF54" s="347"/>
      <c r="BG54" s="348">
        <f t="shared" si="8"/>
        <v>0</v>
      </c>
      <c r="BH54" s="356">
        <v>1928</v>
      </c>
    </row>
    <row r="55" spans="1:60" ht="17.45" customHeight="1">
      <c r="A55" s="357"/>
      <c r="B55" s="357"/>
      <c r="C55" s="357"/>
      <c r="D55" s="347" t="s">
        <v>1133</v>
      </c>
      <c r="E55" s="347" t="s">
        <v>1134</v>
      </c>
      <c r="F55" s="355">
        <v>84</v>
      </c>
      <c r="G55" s="347">
        <v>15</v>
      </c>
      <c r="H55" s="347">
        <v>54</v>
      </c>
      <c r="I55" s="347">
        <v>14</v>
      </c>
      <c r="J55" s="347"/>
      <c r="K55" s="347">
        <v>81</v>
      </c>
      <c r="L55" s="348">
        <f t="shared" si="0"/>
        <v>248</v>
      </c>
      <c r="M55" s="347">
        <v>82</v>
      </c>
      <c r="N55" s="347">
        <v>66</v>
      </c>
      <c r="O55" s="347"/>
      <c r="P55" s="347"/>
      <c r="Q55" s="347"/>
      <c r="R55" s="348">
        <f t="shared" si="1"/>
        <v>148</v>
      </c>
      <c r="S55" s="347">
        <v>34</v>
      </c>
      <c r="T55" s="347">
        <v>60</v>
      </c>
      <c r="U55" s="347">
        <v>76</v>
      </c>
      <c r="V55" s="347">
        <v>60</v>
      </c>
      <c r="W55" s="347">
        <v>60</v>
      </c>
      <c r="X55" s="348">
        <f t="shared" si="2"/>
        <v>290</v>
      </c>
      <c r="Y55" s="347">
        <v>83</v>
      </c>
      <c r="Z55" s="347">
        <v>50</v>
      </c>
      <c r="AA55" s="347"/>
      <c r="AB55" s="347">
        <v>84</v>
      </c>
      <c r="AC55" s="347">
        <v>41</v>
      </c>
      <c r="AD55" s="347"/>
      <c r="AE55" s="348">
        <f t="shared" si="3"/>
        <v>258</v>
      </c>
      <c r="AF55" s="347"/>
      <c r="AG55" s="347"/>
      <c r="AH55" s="347">
        <v>26</v>
      </c>
      <c r="AI55" s="347">
        <v>94</v>
      </c>
      <c r="AJ55" s="347"/>
      <c r="AK55" s="347"/>
      <c r="AL55" s="348">
        <f t="shared" si="4"/>
        <v>120</v>
      </c>
      <c r="AM55" s="347">
        <v>38</v>
      </c>
      <c r="AN55" s="347">
        <v>120</v>
      </c>
      <c r="AO55" s="347">
        <v>84</v>
      </c>
      <c r="AP55" s="347">
        <v>70</v>
      </c>
      <c r="AQ55" s="347"/>
      <c r="AR55" s="347"/>
      <c r="AS55" s="348">
        <f t="shared" si="5"/>
        <v>312</v>
      </c>
      <c r="AT55" s="347"/>
      <c r="AU55" s="347">
        <v>51</v>
      </c>
      <c r="AV55" s="347">
        <v>234</v>
      </c>
      <c r="AW55" s="347"/>
      <c r="AX55" s="347"/>
      <c r="AY55" s="347"/>
      <c r="AZ55" s="348">
        <f t="shared" si="6"/>
        <v>285</v>
      </c>
      <c r="BA55" s="347"/>
      <c r="BB55" s="347">
        <v>51</v>
      </c>
      <c r="BC55" s="347">
        <v>154</v>
      </c>
      <c r="BD55" s="347"/>
      <c r="BE55" s="348">
        <f t="shared" si="7"/>
        <v>205</v>
      </c>
      <c r="BF55" s="347"/>
      <c r="BG55" s="348">
        <f t="shared" si="8"/>
        <v>0</v>
      </c>
      <c r="BH55" s="356">
        <v>1866</v>
      </c>
    </row>
    <row r="56" spans="1:60" ht="17.45" customHeight="1">
      <c r="A56" s="357"/>
      <c r="B56" s="357"/>
      <c r="C56" s="357"/>
      <c r="D56" s="347" t="s">
        <v>1135</v>
      </c>
      <c r="E56" s="347" t="s">
        <v>1136</v>
      </c>
      <c r="F56" s="355"/>
      <c r="G56" s="347"/>
      <c r="H56" s="347"/>
      <c r="I56" s="347"/>
      <c r="J56" s="347"/>
      <c r="K56" s="347"/>
      <c r="L56" s="348">
        <f t="shared" si="0"/>
        <v>0</v>
      </c>
      <c r="M56" s="347"/>
      <c r="N56" s="347"/>
      <c r="O56" s="347"/>
      <c r="P56" s="347"/>
      <c r="Q56" s="347"/>
      <c r="R56" s="348">
        <f t="shared" si="1"/>
        <v>0</v>
      </c>
      <c r="S56" s="347"/>
      <c r="T56" s="347"/>
      <c r="U56" s="347"/>
      <c r="V56" s="347"/>
      <c r="W56" s="347"/>
      <c r="X56" s="348">
        <f t="shared" si="2"/>
        <v>0</v>
      </c>
      <c r="Y56" s="347"/>
      <c r="Z56" s="347"/>
      <c r="AA56" s="347"/>
      <c r="AB56" s="347"/>
      <c r="AC56" s="347"/>
      <c r="AD56" s="347"/>
      <c r="AE56" s="348">
        <f t="shared" si="3"/>
        <v>0</v>
      </c>
      <c r="AF56" s="347"/>
      <c r="AG56" s="347"/>
      <c r="AH56" s="347"/>
      <c r="AI56" s="347"/>
      <c r="AJ56" s="347"/>
      <c r="AK56" s="347"/>
      <c r="AL56" s="348">
        <f t="shared" si="4"/>
        <v>0</v>
      </c>
      <c r="AM56" s="347"/>
      <c r="AN56" s="347"/>
      <c r="AO56" s="347"/>
      <c r="AP56" s="347"/>
      <c r="AQ56" s="347"/>
      <c r="AR56" s="347"/>
      <c r="AS56" s="348">
        <f t="shared" si="5"/>
        <v>0</v>
      </c>
      <c r="AT56" s="347"/>
      <c r="AU56" s="347"/>
      <c r="AV56" s="347">
        <v>46</v>
      </c>
      <c r="AW56" s="347">
        <v>77</v>
      </c>
      <c r="AX56" s="347"/>
      <c r="AY56" s="347"/>
      <c r="AZ56" s="348">
        <f t="shared" si="6"/>
        <v>123</v>
      </c>
      <c r="BA56" s="347"/>
      <c r="BB56" s="347"/>
      <c r="BC56" s="347">
        <v>90</v>
      </c>
      <c r="BD56" s="347"/>
      <c r="BE56" s="348">
        <f t="shared" si="7"/>
        <v>90</v>
      </c>
      <c r="BF56" s="347"/>
      <c r="BG56" s="348">
        <f t="shared" si="8"/>
        <v>0</v>
      </c>
      <c r="BH56" s="356">
        <v>213</v>
      </c>
    </row>
    <row r="57" spans="1:60" ht="17.45" customHeight="1">
      <c r="A57" s="357"/>
      <c r="B57" s="357"/>
      <c r="C57" s="357"/>
      <c r="D57" s="347" t="s">
        <v>1188</v>
      </c>
      <c r="E57" s="347" t="s">
        <v>1210</v>
      </c>
      <c r="F57" s="355"/>
      <c r="G57" s="347"/>
      <c r="H57" s="347"/>
      <c r="I57" s="347"/>
      <c r="J57" s="347"/>
      <c r="K57" s="347"/>
      <c r="L57" s="348">
        <f t="shared" si="0"/>
        <v>0</v>
      </c>
      <c r="M57" s="347"/>
      <c r="N57" s="347"/>
      <c r="O57" s="347"/>
      <c r="P57" s="347"/>
      <c r="Q57" s="347"/>
      <c r="R57" s="348">
        <f t="shared" si="1"/>
        <v>0</v>
      </c>
      <c r="S57" s="347"/>
      <c r="T57" s="347"/>
      <c r="U57" s="347"/>
      <c r="V57" s="347"/>
      <c r="W57" s="347"/>
      <c r="X57" s="348">
        <f t="shared" si="2"/>
        <v>0</v>
      </c>
      <c r="Y57" s="347"/>
      <c r="Z57" s="347"/>
      <c r="AA57" s="347"/>
      <c r="AB57" s="347"/>
      <c r="AC57" s="347"/>
      <c r="AD57" s="347"/>
      <c r="AE57" s="348">
        <f t="shared" si="3"/>
        <v>0</v>
      </c>
      <c r="AF57" s="347"/>
      <c r="AG57" s="347"/>
      <c r="AH57" s="347"/>
      <c r="AI57" s="347"/>
      <c r="AJ57" s="347"/>
      <c r="AK57" s="347"/>
      <c r="AL57" s="348">
        <f t="shared" si="4"/>
        <v>0</v>
      </c>
      <c r="AM57" s="347"/>
      <c r="AN57" s="347"/>
      <c r="AO57" s="347"/>
      <c r="AP57" s="347"/>
      <c r="AQ57" s="347"/>
      <c r="AR57" s="347"/>
      <c r="AS57" s="348">
        <f t="shared" si="5"/>
        <v>0</v>
      </c>
      <c r="AT57" s="347"/>
      <c r="AU57" s="347"/>
      <c r="AV57" s="347"/>
      <c r="AW57" s="347">
        <v>5</v>
      </c>
      <c r="AX57" s="347"/>
      <c r="AY57" s="347"/>
      <c r="AZ57" s="348">
        <f t="shared" si="6"/>
        <v>5</v>
      </c>
      <c r="BA57" s="347"/>
      <c r="BB57" s="347"/>
      <c r="BC57" s="347">
        <v>13</v>
      </c>
      <c r="BD57" s="347">
        <v>98</v>
      </c>
      <c r="BE57" s="348">
        <f t="shared" si="7"/>
        <v>111</v>
      </c>
      <c r="BF57" s="347"/>
      <c r="BG57" s="348">
        <f t="shared" si="8"/>
        <v>0</v>
      </c>
      <c r="BH57" s="356">
        <v>116</v>
      </c>
    </row>
    <row r="58" spans="1:60" ht="17.45" customHeight="1">
      <c r="A58" s="357"/>
      <c r="B58" s="357"/>
      <c r="C58" s="357"/>
      <c r="D58" s="347" t="s">
        <v>1190</v>
      </c>
      <c r="E58" s="347" t="s">
        <v>1212</v>
      </c>
      <c r="F58" s="355"/>
      <c r="G58" s="347"/>
      <c r="H58" s="347"/>
      <c r="I58" s="347"/>
      <c r="J58" s="347"/>
      <c r="K58" s="347"/>
      <c r="L58" s="348">
        <f t="shared" si="0"/>
        <v>0</v>
      </c>
      <c r="M58" s="347"/>
      <c r="N58" s="347"/>
      <c r="O58" s="347"/>
      <c r="P58" s="347"/>
      <c r="Q58" s="347"/>
      <c r="R58" s="348">
        <f t="shared" si="1"/>
        <v>0</v>
      </c>
      <c r="S58" s="347"/>
      <c r="T58" s="347"/>
      <c r="U58" s="347"/>
      <c r="V58" s="347"/>
      <c r="W58" s="347"/>
      <c r="X58" s="348">
        <f t="shared" si="2"/>
        <v>0</v>
      </c>
      <c r="Y58" s="347"/>
      <c r="Z58" s="347"/>
      <c r="AA58" s="347"/>
      <c r="AB58" s="347"/>
      <c r="AC58" s="347"/>
      <c r="AD58" s="347"/>
      <c r="AE58" s="348">
        <f t="shared" si="3"/>
        <v>0</v>
      </c>
      <c r="AF58" s="347"/>
      <c r="AG58" s="347"/>
      <c r="AH58" s="347"/>
      <c r="AI58" s="347"/>
      <c r="AJ58" s="347"/>
      <c r="AK58" s="347"/>
      <c r="AL58" s="348">
        <f t="shared" si="4"/>
        <v>0</v>
      </c>
      <c r="AM58" s="347"/>
      <c r="AN58" s="347"/>
      <c r="AO58" s="347"/>
      <c r="AP58" s="347"/>
      <c r="AQ58" s="347"/>
      <c r="AR58" s="347"/>
      <c r="AS58" s="348">
        <f t="shared" si="5"/>
        <v>0</v>
      </c>
      <c r="AT58" s="347"/>
      <c r="AU58" s="347"/>
      <c r="AV58" s="347"/>
      <c r="AW58" s="347">
        <v>203</v>
      </c>
      <c r="AX58" s="347">
        <v>46</v>
      </c>
      <c r="AY58" s="347"/>
      <c r="AZ58" s="348">
        <f t="shared" si="6"/>
        <v>249</v>
      </c>
      <c r="BA58" s="347"/>
      <c r="BB58" s="347"/>
      <c r="BC58" s="347"/>
      <c r="BD58" s="347">
        <v>52</v>
      </c>
      <c r="BE58" s="348">
        <f t="shared" si="7"/>
        <v>52</v>
      </c>
      <c r="BF58" s="347"/>
      <c r="BG58" s="348">
        <f t="shared" si="8"/>
        <v>0</v>
      </c>
      <c r="BH58" s="356">
        <v>301</v>
      </c>
    </row>
    <row r="59" spans="1:60" ht="17.45" customHeight="1">
      <c r="A59" s="357"/>
      <c r="B59" s="357"/>
      <c r="C59" s="357"/>
      <c r="D59" s="347" t="s">
        <v>1184</v>
      </c>
      <c r="E59" s="347" t="s">
        <v>1206</v>
      </c>
      <c r="F59" s="355"/>
      <c r="G59" s="347"/>
      <c r="H59" s="347"/>
      <c r="I59" s="347"/>
      <c r="J59" s="347"/>
      <c r="K59" s="347"/>
      <c r="L59" s="348">
        <f t="shared" si="0"/>
        <v>0</v>
      </c>
      <c r="M59" s="347"/>
      <c r="N59" s="347"/>
      <c r="O59" s="347"/>
      <c r="P59" s="347"/>
      <c r="Q59" s="347"/>
      <c r="R59" s="348">
        <f t="shared" si="1"/>
        <v>0</v>
      </c>
      <c r="S59" s="347"/>
      <c r="T59" s="347"/>
      <c r="U59" s="347"/>
      <c r="V59" s="347"/>
      <c r="W59" s="347"/>
      <c r="X59" s="348">
        <f t="shared" si="2"/>
        <v>0</v>
      </c>
      <c r="Y59" s="347"/>
      <c r="Z59" s="347"/>
      <c r="AA59" s="347"/>
      <c r="AB59" s="347"/>
      <c r="AC59" s="347"/>
      <c r="AD59" s="347"/>
      <c r="AE59" s="348">
        <f t="shared" si="3"/>
        <v>0</v>
      </c>
      <c r="AF59" s="347"/>
      <c r="AG59" s="347"/>
      <c r="AH59" s="347"/>
      <c r="AI59" s="347"/>
      <c r="AJ59" s="347"/>
      <c r="AK59" s="347"/>
      <c r="AL59" s="348">
        <f t="shared" si="4"/>
        <v>0</v>
      </c>
      <c r="AM59" s="347"/>
      <c r="AN59" s="347"/>
      <c r="AO59" s="347"/>
      <c r="AP59" s="347"/>
      <c r="AQ59" s="347"/>
      <c r="AR59" s="347"/>
      <c r="AS59" s="348">
        <f t="shared" si="5"/>
        <v>0</v>
      </c>
      <c r="AT59" s="347"/>
      <c r="AU59" s="347"/>
      <c r="AV59" s="347"/>
      <c r="AW59" s="347"/>
      <c r="AX59" s="347">
        <v>9</v>
      </c>
      <c r="AY59" s="347"/>
      <c r="AZ59" s="348">
        <f t="shared" si="6"/>
        <v>9</v>
      </c>
      <c r="BA59" s="347"/>
      <c r="BB59" s="347"/>
      <c r="BC59" s="347"/>
      <c r="BD59" s="347">
        <v>33</v>
      </c>
      <c r="BE59" s="348">
        <f t="shared" si="7"/>
        <v>33</v>
      </c>
      <c r="BF59" s="347"/>
      <c r="BG59" s="348">
        <f t="shared" si="8"/>
        <v>0</v>
      </c>
      <c r="BH59" s="356">
        <v>42</v>
      </c>
    </row>
    <row r="60" spans="1:60" ht="17.45" customHeight="1">
      <c r="A60" s="357"/>
      <c r="B60" s="357"/>
      <c r="C60" s="357"/>
      <c r="D60" s="347" t="s">
        <v>1137</v>
      </c>
      <c r="E60" s="347" t="s">
        <v>1138</v>
      </c>
      <c r="F60" s="355"/>
      <c r="G60" s="347"/>
      <c r="H60" s="347"/>
      <c r="I60" s="347"/>
      <c r="J60" s="347"/>
      <c r="K60" s="347"/>
      <c r="L60" s="348">
        <f t="shared" si="0"/>
        <v>0</v>
      </c>
      <c r="M60" s="347"/>
      <c r="N60" s="347"/>
      <c r="O60" s="347"/>
      <c r="P60" s="347"/>
      <c r="Q60" s="347"/>
      <c r="R60" s="348">
        <f t="shared" si="1"/>
        <v>0</v>
      </c>
      <c r="S60" s="347"/>
      <c r="T60" s="347"/>
      <c r="U60" s="347"/>
      <c r="V60" s="347"/>
      <c r="W60" s="347"/>
      <c r="X60" s="348">
        <f t="shared" si="2"/>
        <v>0</v>
      </c>
      <c r="Y60" s="347"/>
      <c r="Z60" s="347"/>
      <c r="AA60" s="347"/>
      <c r="AB60" s="347"/>
      <c r="AC60" s="347"/>
      <c r="AD60" s="347"/>
      <c r="AE60" s="348">
        <f t="shared" si="3"/>
        <v>0</v>
      </c>
      <c r="AF60" s="347"/>
      <c r="AG60" s="347"/>
      <c r="AH60" s="347"/>
      <c r="AI60" s="347"/>
      <c r="AJ60" s="347"/>
      <c r="AK60" s="347"/>
      <c r="AL60" s="348">
        <f t="shared" si="4"/>
        <v>0</v>
      </c>
      <c r="AM60" s="347"/>
      <c r="AN60" s="347"/>
      <c r="AO60" s="347"/>
      <c r="AP60" s="347"/>
      <c r="AQ60" s="347"/>
      <c r="AR60" s="347"/>
      <c r="AS60" s="348">
        <f t="shared" si="5"/>
        <v>0</v>
      </c>
      <c r="AT60" s="347"/>
      <c r="AU60" s="347"/>
      <c r="AV60" s="347"/>
      <c r="AW60" s="347"/>
      <c r="AX60" s="347">
        <v>54</v>
      </c>
      <c r="AY60" s="347"/>
      <c r="AZ60" s="348">
        <f t="shared" si="6"/>
        <v>54</v>
      </c>
      <c r="BA60" s="347"/>
      <c r="BB60" s="347"/>
      <c r="BC60" s="347"/>
      <c r="BD60" s="347">
        <v>26</v>
      </c>
      <c r="BE60" s="348">
        <f t="shared" si="7"/>
        <v>26</v>
      </c>
      <c r="BF60" s="347"/>
      <c r="BG60" s="348">
        <f t="shared" si="8"/>
        <v>0</v>
      </c>
      <c r="BH60" s="356">
        <v>80</v>
      </c>
    </row>
    <row r="61" spans="1:60" ht="17.45" customHeight="1">
      <c r="A61" s="357"/>
      <c r="B61" s="357"/>
      <c r="C61" s="357"/>
      <c r="D61" s="347" t="s">
        <v>1153</v>
      </c>
      <c r="E61" s="347" t="s">
        <v>1154</v>
      </c>
      <c r="F61" s="355">
        <v>50</v>
      </c>
      <c r="G61" s="347">
        <v>50</v>
      </c>
      <c r="H61" s="347">
        <v>31</v>
      </c>
      <c r="I61" s="347">
        <v>30</v>
      </c>
      <c r="J61" s="347">
        <v>30</v>
      </c>
      <c r="K61" s="347">
        <v>30</v>
      </c>
      <c r="L61" s="348">
        <f t="shared" si="0"/>
        <v>221</v>
      </c>
      <c r="M61" s="347">
        <v>41</v>
      </c>
      <c r="N61" s="347">
        <v>30</v>
      </c>
      <c r="O61" s="347">
        <v>30</v>
      </c>
      <c r="P61" s="347">
        <v>30</v>
      </c>
      <c r="Q61" s="347">
        <v>30</v>
      </c>
      <c r="R61" s="348">
        <f t="shared" si="1"/>
        <v>161</v>
      </c>
      <c r="S61" s="347">
        <v>91</v>
      </c>
      <c r="T61" s="347">
        <v>80</v>
      </c>
      <c r="U61" s="347">
        <v>80</v>
      </c>
      <c r="V61" s="347">
        <v>80</v>
      </c>
      <c r="W61" s="347">
        <v>80</v>
      </c>
      <c r="X61" s="348">
        <f t="shared" si="2"/>
        <v>411</v>
      </c>
      <c r="Y61" s="347">
        <v>41</v>
      </c>
      <c r="Z61" s="347">
        <v>43</v>
      </c>
      <c r="AA61" s="347">
        <v>43</v>
      </c>
      <c r="AB61" s="347">
        <v>40</v>
      </c>
      <c r="AC61" s="347">
        <v>40</v>
      </c>
      <c r="AD61" s="347">
        <v>40</v>
      </c>
      <c r="AE61" s="348">
        <f t="shared" si="3"/>
        <v>247</v>
      </c>
      <c r="AF61" s="347">
        <v>50</v>
      </c>
      <c r="AG61" s="347">
        <v>50</v>
      </c>
      <c r="AH61" s="347">
        <v>50</v>
      </c>
      <c r="AI61" s="347">
        <v>50</v>
      </c>
      <c r="AJ61" s="347">
        <v>50</v>
      </c>
      <c r="AK61" s="347">
        <v>58</v>
      </c>
      <c r="AL61" s="348">
        <f t="shared" si="4"/>
        <v>308</v>
      </c>
      <c r="AM61" s="347">
        <v>60</v>
      </c>
      <c r="AN61" s="347">
        <v>60</v>
      </c>
      <c r="AO61" s="347">
        <v>60</v>
      </c>
      <c r="AP61" s="347">
        <v>60</v>
      </c>
      <c r="AQ61" s="347">
        <v>88</v>
      </c>
      <c r="AR61" s="347"/>
      <c r="AS61" s="348">
        <f t="shared" si="5"/>
        <v>328</v>
      </c>
      <c r="AT61" s="347"/>
      <c r="AU61" s="347"/>
      <c r="AV61" s="347">
        <v>9</v>
      </c>
      <c r="AW61" s="347">
        <v>51</v>
      </c>
      <c r="AX61" s="347">
        <v>227</v>
      </c>
      <c r="AY61" s="347">
        <v>209</v>
      </c>
      <c r="AZ61" s="348">
        <f t="shared" si="6"/>
        <v>496</v>
      </c>
      <c r="BA61" s="347"/>
      <c r="BB61" s="347">
        <v>121</v>
      </c>
      <c r="BC61" s="347">
        <v>47</v>
      </c>
      <c r="BD61" s="347"/>
      <c r="BE61" s="348">
        <f t="shared" si="7"/>
        <v>168</v>
      </c>
      <c r="BF61" s="347"/>
      <c r="BG61" s="348">
        <f t="shared" si="8"/>
        <v>0</v>
      </c>
      <c r="BH61" s="356">
        <v>2340</v>
      </c>
    </row>
    <row r="62" spans="1:60" ht="17.45" customHeight="1">
      <c r="A62" s="357"/>
      <c r="B62" s="357"/>
      <c r="C62" s="358"/>
      <c r="D62" s="347" t="s">
        <v>1235</v>
      </c>
      <c r="E62" s="347" t="s">
        <v>1799</v>
      </c>
      <c r="F62" s="355">
        <v>15</v>
      </c>
      <c r="G62" s="347">
        <v>15</v>
      </c>
      <c r="H62" s="347">
        <v>15</v>
      </c>
      <c r="I62" s="347">
        <v>15</v>
      </c>
      <c r="J62" s="347">
        <v>15</v>
      </c>
      <c r="K62" s="347">
        <v>25</v>
      </c>
      <c r="L62" s="348">
        <f t="shared" si="0"/>
        <v>100</v>
      </c>
      <c r="M62" s="347">
        <v>25</v>
      </c>
      <c r="N62" s="347">
        <v>25</v>
      </c>
      <c r="O62" s="347">
        <v>24</v>
      </c>
      <c r="P62" s="347">
        <v>20</v>
      </c>
      <c r="Q62" s="347">
        <v>15</v>
      </c>
      <c r="R62" s="348">
        <f t="shared" si="1"/>
        <v>109</v>
      </c>
      <c r="S62" s="347">
        <v>15</v>
      </c>
      <c r="T62" s="347">
        <v>15</v>
      </c>
      <c r="U62" s="347">
        <v>15</v>
      </c>
      <c r="V62" s="347">
        <v>12</v>
      </c>
      <c r="W62" s="347">
        <v>15</v>
      </c>
      <c r="X62" s="348">
        <f t="shared" si="2"/>
        <v>72</v>
      </c>
      <c r="Y62" s="347">
        <v>10</v>
      </c>
      <c r="Z62" s="347">
        <v>12</v>
      </c>
      <c r="AA62" s="347">
        <v>12</v>
      </c>
      <c r="AB62" s="347">
        <v>12</v>
      </c>
      <c r="AC62" s="347">
        <v>11</v>
      </c>
      <c r="AD62" s="347">
        <v>15</v>
      </c>
      <c r="AE62" s="348">
        <f t="shared" si="3"/>
        <v>72</v>
      </c>
      <c r="AF62" s="347">
        <v>13</v>
      </c>
      <c r="AG62" s="347">
        <v>15</v>
      </c>
      <c r="AH62" s="347">
        <v>15</v>
      </c>
      <c r="AI62" s="347">
        <v>15</v>
      </c>
      <c r="AJ62" s="347">
        <v>11</v>
      </c>
      <c r="AK62" s="347">
        <v>15</v>
      </c>
      <c r="AL62" s="348">
        <f t="shared" si="4"/>
        <v>84</v>
      </c>
      <c r="AM62" s="347">
        <v>12</v>
      </c>
      <c r="AN62" s="347">
        <v>15</v>
      </c>
      <c r="AO62" s="347">
        <v>15</v>
      </c>
      <c r="AP62" s="347">
        <v>11</v>
      </c>
      <c r="AQ62" s="347"/>
      <c r="AR62" s="347"/>
      <c r="AS62" s="348">
        <f t="shared" si="5"/>
        <v>53</v>
      </c>
      <c r="AT62" s="347"/>
      <c r="AU62" s="347"/>
      <c r="AV62" s="347"/>
      <c r="AW62" s="347"/>
      <c r="AX62" s="347"/>
      <c r="AY62" s="347"/>
      <c r="AZ62" s="348">
        <f t="shared" si="6"/>
        <v>0</v>
      </c>
      <c r="BA62" s="347">
        <v>51</v>
      </c>
      <c r="BB62" s="347">
        <v>38</v>
      </c>
      <c r="BC62" s="347"/>
      <c r="BD62" s="347"/>
      <c r="BE62" s="348">
        <f t="shared" si="7"/>
        <v>89</v>
      </c>
      <c r="BF62" s="347"/>
      <c r="BG62" s="348">
        <f t="shared" si="8"/>
        <v>0</v>
      </c>
      <c r="BH62" s="356">
        <v>579</v>
      </c>
    </row>
    <row r="63" spans="1:60" ht="17.45" customHeight="1">
      <c r="A63" s="357"/>
      <c r="B63" s="357"/>
      <c r="C63" s="359" t="s">
        <v>1832</v>
      </c>
      <c r="D63" s="360"/>
      <c r="E63" s="361"/>
      <c r="F63" s="362">
        <v>256</v>
      </c>
      <c r="G63" s="363">
        <v>336</v>
      </c>
      <c r="H63" s="363">
        <v>336</v>
      </c>
      <c r="I63" s="363">
        <v>320</v>
      </c>
      <c r="J63" s="363">
        <v>260</v>
      </c>
      <c r="K63" s="363">
        <v>320</v>
      </c>
      <c r="L63" s="348">
        <f t="shared" si="0"/>
        <v>1828</v>
      </c>
      <c r="M63" s="363">
        <v>256</v>
      </c>
      <c r="N63" s="363">
        <v>328</v>
      </c>
      <c r="O63" s="363">
        <v>336</v>
      </c>
      <c r="P63" s="363">
        <v>320</v>
      </c>
      <c r="Q63" s="363">
        <v>320</v>
      </c>
      <c r="R63" s="348">
        <f t="shared" si="1"/>
        <v>1560</v>
      </c>
      <c r="S63" s="363">
        <v>316</v>
      </c>
      <c r="T63" s="363">
        <v>336</v>
      </c>
      <c r="U63" s="363">
        <v>336</v>
      </c>
      <c r="V63" s="363">
        <v>260</v>
      </c>
      <c r="W63" s="363">
        <v>336</v>
      </c>
      <c r="X63" s="348">
        <f t="shared" si="2"/>
        <v>1584</v>
      </c>
      <c r="Y63" s="363">
        <v>256</v>
      </c>
      <c r="Z63" s="363">
        <v>336</v>
      </c>
      <c r="AA63" s="363">
        <v>336</v>
      </c>
      <c r="AB63" s="363">
        <v>336</v>
      </c>
      <c r="AC63" s="363">
        <v>336</v>
      </c>
      <c r="AD63" s="363">
        <v>252</v>
      </c>
      <c r="AE63" s="348">
        <f t="shared" si="3"/>
        <v>1852</v>
      </c>
      <c r="AF63" s="363">
        <v>316</v>
      </c>
      <c r="AG63" s="363">
        <v>336</v>
      </c>
      <c r="AH63" s="363">
        <v>336</v>
      </c>
      <c r="AI63" s="363">
        <v>320</v>
      </c>
      <c r="AJ63" s="363">
        <v>260</v>
      </c>
      <c r="AK63" s="363">
        <v>320</v>
      </c>
      <c r="AL63" s="348">
        <f t="shared" si="4"/>
        <v>1888</v>
      </c>
      <c r="AM63" s="363">
        <v>332</v>
      </c>
      <c r="AN63" s="363">
        <v>336</v>
      </c>
      <c r="AO63" s="363">
        <v>260</v>
      </c>
      <c r="AP63" s="363">
        <v>328</v>
      </c>
      <c r="AQ63" s="363">
        <v>260</v>
      </c>
      <c r="AR63" s="363">
        <v>130</v>
      </c>
      <c r="AS63" s="348">
        <f t="shared" si="5"/>
        <v>1646</v>
      </c>
      <c r="AT63" s="363">
        <v>252</v>
      </c>
      <c r="AU63" s="363">
        <v>336</v>
      </c>
      <c r="AV63" s="363">
        <v>345</v>
      </c>
      <c r="AW63" s="363">
        <v>336</v>
      </c>
      <c r="AX63" s="363">
        <v>336</v>
      </c>
      <c r="AY63" s="363">
        <v>260</v>
      </c>
      <c r="AZ63" s="348">
        <f t="shared" si="6"/>
        <v>1865</v>
      </c>
      <c r="BA63" s="363">
        <v>256</v>
      </c>
      <c r="BB63" s="363">
        <v>530</v>
      </c>
      <c r="BC63" s="363">
        <v>320</v>
      </c>
      <c r="BD63" s="363">
        <v>260</v>
      </c>
      <c r="BE63" s="348">
        <f t="shared" si="7"/>
        <v>1366</v>
      </c>
      <c r="BF63" s="363">
        <v>192</v>
      </c>
      <c r="BG63" s="348">
        <f t="shared" si="8"/>
        <v>192</v>
      </c>
      <c r="BH63" s="356">
        <v>13781</v>
      </c>
    </row>
    <row r="64" spans="1:60" ht="17.45" customHeight="1">
      <c r="A64" s="357"/>
      <c r="B64" s="357"/>
      <c r="C64" s="354" t="s">
        <v>1236</v>
      </c>
      <c r="D64" s="347" t="s">
        <v>1110</v>
      </c>
      <c r="E64" s="347" t="s">
        <v>1111</v>
      </c>
      <c r="F64" s="355"/>
      <c r="G64" s="347">
        <v>24</v>
      </c>
      <c r="H64" s="347"/>
      <c r="I64" s="347"/>
      <c r="J64" s="347"/>
      <c r="K64" s="347"/>
      <c r="L64" s="348">
        <f t="shared" si="0"/>
        <v>24</v>
      </c>
      <c r="M64" s="347"/>
      <c r="N64" s="347"/>
      <c r="O64" s="347"/>
      <c r="P64" s="347"/>
      <c r="Q64" s="347"/>
      <c r="R64" s="348">
        <f t="shared" si="1"/>
        <v>0</v>
      </c>
      <c r="S64" s="347"/>
      <c r="T64" s="347"/>
      <c r="U64" s="347"/>
      <c r="V64" s="347"/>
      <c r="W64" s="347"/>
      <c r="X64" s="348">
        <f t="shared" si="2"/>
        <v>0</v>
      </c>
      <c r="Y64" s="347"/>
      <c r="Z64" s="347"/>
      <c r="AA64" s="347"/>
      <c r="AB64" s="347"/>
      <c r="AC64" s="347"/>
      <c r="AD64" s="347"/>
      <c r="AE64" s="348">
        <f t="shared" si="3"/>
        <v>0</v>
      </c>
      <c r="AF64" s="347"/>
      <c r="AG64" s="347"/>
      <c r="AH64" s="347"/>
      <c r="AI64" s="347"/>
      <c r="AJ64" s="347"/>
      <c r="AK64" s="347"/>
      <c r="AL64" s="348">
        <f t="shared" si="4"/>
        <v>0</v>
      </c>
      <c r="AM64" s="347"/>
      <c r="AN64" s="347"/>
      <c r="AO64" s="347"/>
      <c r="AP64" s="347"/>
      <c r="AQ64" s="347"/>
      <c r="AR64" s="347"/>
      <c r="AS64" s="348">
        <f t="shared" si="5"/>
        <v>0</v>
      </c>
      <c r="AT64" s="347"/>
      <c r="AU64" s="347"/>
      <c r="AV64" s="347"/>
      <c r="AW64" s="347"/>
      <c r="AX64" s="347"/>
      <c r="AY64" s="347"/>
      <c r="AZ64" s="348">
        <f t="shared" si="6"/>
        <v>0</v>
      </c>
      <c r="BA64" s="347"/>
      <c r="BB64" s="347"/>
      <c r="BC64" s="347"/>
      <c r="BD64" s="347"/>
      <c r="BE64" s="348">
        <f t="shared" si="7"/>
        <v>0</v>
      </c>
      <c r="BF64" s="347"/>
      <c r="BG64" s="348">
        <f t="shared" si="8"/>
        <v>0</v>
      </c>
      <c r="BH64" s="356">
        <v>24</v>
      </c>
    </row>
    <row r="65" spans="1:60" ht="17.45" customHeight="1">
      <c r="A65" s="357"/>
      <c r="B65" s="357"/>
      <c r="C65" s="357"/>
      <c r="D65" s="347" t="s">
        <v>1155</v>
      </c>
      <c r="E65" s="347" t="s">
        <v>1156</v>
      </c>
      <c r="F65" s="355"/>
      <c r="G65" s="347"/>
      <c r="H65" s="347"/>
      <c r="I65" s="347"/>
      <c r="J65" s="347"/>
      <c r="K65" s="347"/>
      <c r="L65" s="348">
        <f t="shared" si="0"/>
        <v>0</v>
      </c>
      <c r="M65" s="347"/>
      <c r="N65" s="347"/>
      <c r="O65" s="347"/>
      <c r="P65" s="347"/>
      <c r="Q65" s="347"/>
      <c r="R65" s="348">
        <f t="shared" si="1"/>
        <v>0</v>
      </c>
      <c r="S65" s="347"/>
      <c r="T65" s="347"/>
      <c r="U65" s="347"/>
      <c r="V65" s="347"/>
      <c r="W65" s="347"/>
      <c r="X65" s="348">
        <f t="shared" si="2"/>
        <v>0</v>
      </c>
      <c r="Y65" s="347"/>
      <c r="Z65" s="347"/>
      <c r="AA65" s="347"/>
      <c r="AB65" s="347"/>
      <c r="AC65" s="347"/>
      <c r="AD65" s="347"/>
      <c r="AE65" s="348">
        <f t="shared" si="3"/>
        <v>0</v>
      </c>
      <c r="AF65" s="347"/>
      <c r="AG65" s="347"/>
      <c r="AH65" s="347"/>
      <c r="AI65" s="347"/>
      <c r="AJ65" s="347"/>
      <c r="AK65" s="347"/>
      <c r="AL65" s="348">
        <f t="shared" si="4"/>
        <v>0</v>
      </c>
      <c r="AM65" s="347"/>
      <c r="AN65" s="347"/>
      <c r="AO65" s="347"/>
      <c r="AP65" s="347"/>
      <c r="AQ65" s="347"/>
      <c r="AR65" s="347">
        <v>53</v>
      </c>
      <c r="AS65" s="348">
        <f t="shared" si="5"/>
        <v>53</v>
      </c>
      <c r="AT65" s="347">
        <v>224</v>
      </c>
      <c r="AU65" s="347"/>
      <c r="AV65" s="347"/>
      <c r="AW65" s="347"/>
      <c r="AX65" s="347"/>
      <c r="AY65" s="347">
        <v>53</v>
      </c>
      <c r="AZ65" s="348">
        <f t="shared" si="6"/>
        <v>277</v>
      </c>
      <c r="BA65" s="347">
        <v>115</v>
      </c>
      <c r="BB65" s="347"/>
      <c r="BC65" s="347"/>
      <c r="BD65" s="347">
        <v>53</v>
      </c>
      <c r="BE65" s="348">
        <f t="shared" si="7"/>
        <v>168</v>
      </c>
      <c r="BF65" s="347">
        <v>133</v>
      </c>
      <c r="BG65" s="348">
        <f t="shared" si="8"/>
        <v>133</v>
      </c>
      <c r="BH65" s="356">
        <v>631</v>
      </c>
    </row>
    <row r="66" spans="1:60" ht="17.45" customHeight="1">
      <c r="A66" s="357"/>
      <c r="B66" s="357"/>
      <c r="C66" s="357"/>
      <c r="D66" s="347" t="s">
        <v>1119</v>
      </c>
      <c r="E66" s="347" t="s">
        <v>1120</v>
      </c>
      <c r="F66" s="355"/>
      <c r="G66" s="347"/>
      <c r="H66" s="347"/>
      <c r="I66" s="347"/>
      <c r="J66" s="347">
        <v>53</v>
      </c>
      <c r="K66" s="347">
        <v>29</v>
      </c>
      <c r="L66" s="348">
        <f t="shared" si="0"/>
        <v>82</v>
      </c>
      <c r="M66" s="347"/>
      <c r="N66" s="347">
        <v>53</v>
      </c>
      <c r="O66" s="347">
        <v>78</v>
      </c>
      <c r="P66" s="347">
        <v>100</v>
      </c>
      <c r="Q66" s="347">
        <v>58</v>
      </c>
      <c r="R66" s="348">
        <f t="shared" si="1"/>
        <v>289</v>
      </c>
      <c r="S66" s="347">
        <v>84</v>
      </c>
      <c r="T66" s="347">
        <v>63</v>
      </c>
      <c r="U66" s="347">
        <v>107</v>
      </c>
      <c r="V66" s="347">
        <v>58</v>
      </c>
      <c r="W66" s="347">
        <v>49</v>
      </c>
      <c r="X66" s="348">
        <f t="shared" si="2"/>
        <v>361</v>
      </c>
      <c r="Y66" s="347">
        <v>50</v>
      </c>
      <c r="Z66" s="347">
        <v>3</v>
      </c>
      <c r="AA66" s="347">
        <v>17</v>
      </c>
      <c r="AB66" s="347">
        <v>53</v>
      </c>
      <c r="AC66" s="347">
        <v>91</v>
      </c>
      <c r="AD66" s="347">
        <v>90</v>
      </c>
      <c r="AE66" s="348">
        <f t="shared" si="3"/>
        <v>304</v>
      </c>
      <c r="AF66" s="347">
        <v>166</v>
      </c>
      <c r="AG66" s="347">
        <v>77</v>
      </c>
      <c r="AH66" s="347">
        <v>27</v>
      </c>
      <c r="AI66" s="347"/>
      <c r="AJ66" s="347"/>
      <c r="AK66" s="347">
        <v>53</v>
      </c>
      <c r="AL66" s="348">
        <f t="shared" si="4"/>
        <v>323</v>
      </c>
      <c r="AM66" s="347">
        <v>100</v>
      </c>
      <c r="AN66" s="347">
        <v>67</v>
      </c>
      <c r="AO66" s="347">
        <v>60</v>
      </c>
      <c r="AP66" s="347">
        <v>135</v>
      </c>
      <c r="AQ66" s="347">
        <v>67</v>
      </c>
      <c r="AR66" s="347"/>
      <c r="AS66" s="348">
        <f t="shared" si="5"/>
        <v>429</v>
      </c>
      <c r="AT66" s="347">
        <v>28</v>
      </c>
      <c r="AU66" s="347">
        <v>336</v>
      </c>
      <c r="AV66" s="347">
        <v>224</v>
      </c>
      <c r="AW66" s="347"/>
      <c r="AX66" s="347"/>
      <c r="AY66" s="347"/>
      <c r="AZ66" s="348">
        <f t="shared" si="6"/>
        <v>588</v>
      </c>
      <c r="BA66" s="347">
        <v>141</v>
      </c>
      <c r="BB66" s="347">
        <v>284</v>
      </c>
      <c r="BC66" s="347"/>
      <c r="BD66" s="347"/>
      <c r="BE66" s="348">
        <f t="shared" si="7"/>
        <v>425</v>
      </c>
      <c r="BF66" s="347">
        <v>59</v>
      </c>
      <c r="BG66" s="348">
        <f t="shared" si="8"/>
        <v>59</v>
      </c>
      <c r="BH66" s="356">
        <v>2860</v>
      </c>
    </row>
    <row r="67" spans="1:60" ht="17.45" customHeight="1">
      <c r="A67" s="357"/>
      <c r="B67" s="357"/>
      <c r="C67" s="357"/>
      <c r="D67" s="347" t="s">
        <v>1121</v>
      </c>
      <c r="E67" s="347" t="s">
        <v>1122</v>
      </c>
      <c r="F67" s="355"/>
      <c r="G67" s="347"/>
      <c r="H67" s="347">
        <v>40</v>
      </c>
      <c r="I67" s="347">
        <v>44</v>
      </c>
      <c r="J67" s="347"/>
      <c r="K67" s="347"/>
      <c r="L67" s="348">
        <f t="shared" si="0"/>
        <v>84</v>
      </c>
      <c r="M67" s="347"/>
      <c r="N67" s="347"/>
      <c r="O67" s="347">
        <v>73</v>
      </c>
      <c r="P67" s="347"/>
      <c r="Q67" s="347"/>
      <c r="R67" s="348">
        <f t="shared" si="1"/>
        <v>73</v>
      </c>
      <c r="S67" s="347"/>
      <c r="T67" s="347"/>
      <c r="U67" s="347">
        <v>58</v>
      </c>
      <c r="V67" s="347"/>
      <c r="W67" s="347"/>
      <c r="X67" s="348">
        <f t="shared" si="2"/>
        <v>58</v>
      </c>
      <c r="Y67" s="347">
        <v>3</v>
      </c>
      <c r="Z67" s="347">
        <v>38</v>
      </c>
      <c r="AA67" s="347"/>
      <c r="AB67" s="347"/>
      <c r="AC67" s="347"/>
      <c r="AD67" s="347"/>
      <c r="AE67" s="348">
        <f t="shared" si="3"/>
        <v>41</v>
      </c>
      <c r="AF67" s="347"/>
      <c r="AG67" s="347"/>
      <c r="AH67" s="347"/>
      <c r="AI67" s="347"/>
      <c r="AJ67" s="347">
        <v>24</v>
      </c>
      <c r="AK67" s="347"/>
      <c r="AL67" s="348">
        <f t="shared" si="4"/>
        <v>24</v>
      </c>
      <c r="AM67" s="347"/>
      <c r="AN67" s="347"/>
      <c r="AO67" s="347">
        <v>28</v>
      </c>
      <c r="AP67" s="347"/>
      <c r="AQ67" s="347"/>
      <c r="AR67" s="347"/>
      <c r="AS67" s="348">
        <f t="shared" si="5"/>
        <v>28</v>
      </c>
      <c r="AT67" s="347"/>
      <c r="AU67" s="347"/>
      <c r="AV67" s="347">
        <v>51</v>
      </c>
      <c r="AW67" s="347"/>
      <c r="AX67" s="347"/>
      <c r="AY67" s="347"/>
      <c r="AZ67" s="348">
        <f t="shared" si="6"/>
        <v>51</v>
      </c>
      <c r="BA67" s="347"/>
      <c r="BB67" s="347">
        <v>36</v>
      </c>
      <c r="BC67" s="347">
        <v>2</v>
      </c>
      <c r="BD67" s="347"/>
      <c r="BE67" s="348">
        <f t="shared" si="7"/>
        <v>38</v>
      </c>
      <c r="BF67" s="347"/>
      <c r="BG67" s="348">
        <f t="shared" si="8"/>
        <v>0</v>
      </c>
      <c r="BH67" s="356">
        <v>397</v>
      </c>
    </row>
    <row r="68" spans="1:60" ht="17.45" customHeight="1">
      <c r="A68" s="357"/>
      <c r="B68" s="357"/>
      <c r="C68" s="357"/>
      <c r="D68" s="347" t="s">
        <v>1179</v>
      </c>
      <c r="E68" s="347" t="s">
        <v>1201</v>
      </c>
      <c r="F68" s="355">
        <v>9</v>
      </c>
      <c r="G68" s="347"/>
      <c r="H68" s="347"/>
      <c r="I68" s="347"/>
      <c r="J68" s="347"/>
      <c r="K68" s="347"/>
      <c r="L68" s="348">
        <f t="shared" si="0"/>
        <v>9</v>
      </c>
      <c r="M68" s="347"/>
      <c r="N68" s="347"/>
      <c r="O68" s="347"/>
      <c r="P68" s="347"/>
      <c r="Q68" s="347"/>
      <c r="R68" s="348">
        <f t="shared" si="1"/>
        <v>0</v>
      </c>
      <c r="S68" s="347"/>
      <c r="T68" s="347"/>
      <c r="U68" s="347">
        <v>47</v>
      </c>
      <c r="V68" s="347"/>
      <c r="W68" s="347"/>
      <c r="X68" s="348">
        <f t="shared" si="2"/>
        <v>47</v>
      </c>
      <c r="Y68" s="347"/>
      <c r="Z68" s="347">
        <v>110</v>
      </c>
      <c r="AA68" s="347"/>
      <c r="AB68" s="347"/>
      <c r="AC68" s="347"/>
      <c r="AD68" s="347"/>
      <c r="AE68" s="348">
        <f t="shared" si="3"/>
        <v>110</v>
      </c>
      <c r="AF68" s="347"/>
      <c r="AG68" s="347">
        <v>24</v>
      </c>
      <c r="AH68" s="347"/>
      <c r="AI68" s="347"/>
      <c r="AJ68" s="347"/>
      <c r="AK68" s="347"/>
      <c r="AL68" s="348">
        <f t="shared" si="4"/>
        <v>24</v>
      </c>
      <c r="AM68" s="347"/>
      <c r="AN68" s="347">
        <v>42</v>
      </c>
      <c r="AO68" s="347"/>
      <c r="AP68" s="347"/>
      <c r="AQ68" s="347"/>
      <c r="AR68" s="347"/>
      <c r="AS68" s="348">
        <f t="shared" si="5"/>
        <v>42</v>
      </c>
      <c r="AT68" s="347"/>
      <c r="AU68" s="347"/>
      <c r="AV68" s="347">
        <v>61</v>
      </c>
      <c r="AW68" s="347">
        <v>3</v>
      </c>
      <c r="AX68" s="347"/>
      <c r="AY68" s="347"/>
      <c r="AZ68" s="348">
        <f t="shared" si="6"/>
        <v>64</v>
      </c>
      <c r="BA68" s="347"/>
      <c r="BB68" s="347"/>
      <c r="BC68" s="347">
        <v>14</v>
      </c>
      <c r="BD68" s="347"/>
      <c r="BE68" s="348">
        <f t="shared" si="7"/>
        <v>14</v>
      </c>
      <c r="BF68" s="347"/>
      <c r="BG68" s="348">
        <f t="shared" si="8"/>
        <v>0</v>
      </c>
      <c r="BH68" s="356">
        <v>310</v>
      </c>
    </row>
    <row r="69" spans="1:60" ht="17.45" customHeight="1">
      <c r="A69" s="357"/>
      <c r="B69" s="357"/>
      <c r="C69" s="357"/>
      <c r="D69" s="347" t="s">
        <v>1187</v>
      </c>
      <c r="E69" s="347" t="s">
        <v>1209</v>
      </c>
      <c r="F69" s="355"/>
      <c r="G69" s="347"/>
      <c r="H69" s="347"/>
      <c r="I69" s="347"/>
      <c r="J69" s="347"/>
      <c r="K69" s="347">
        <v>53</v>
      </c>
      <c r="L69" s="348">
        <f t="shared" si="0"/>
        <v>53</v>
      </c>
      <c r="M69" s="347">
        <v>3</v>
      </c>
      <c r="N69" s="347"/>
      <c r="O69" s="347"/>
      <c r="P69" s="347"/>
      <c r="Q69" s="347"/>
      <c r="R69" s="348">
        <f t="shared" si="1"/>
        <v>3</v>
      </c>
      <c r="S69" s="347">
        <v>9</v>
      </c>
      <c r="T69" s="347"/>
      <c r="U69" s="347"/>
      <c r="V69" s="347"/>
      <c r="W69" s="347"/>
      <c r="X69" s="348">
        <f t="shared" si="2"/>
        <v>9</v>
      </c>
      <c r="Y69" s="347"/>
      <c r="Z69" s="347">
        <v>37</v>
      </c>
      <c r="AA69" s="347"/>
      <c r="AB69" s="347"/>
      <c r="AC69" s="347"/>
      <c r="AD69" s="347"/>
      <c r="AE69" s="348">
        <f t="shared" si="3"/>
        <v>37</v>
      </c>
      <c r="AF69" s="347"/>
      <c r="AG69" s="347">
        <v>28</v>
      </c>
      <c r="AH69" s="347">
        <v>52</v>
      </c>
      <c r="AI69" s="347"/>
      <c r="AJ69" s="347"/>
      <c r="AK69" s="347"/>
      <c r="AL69" s="348">
        <f t="shared" si="4"/>
        <v>80</v>
      </c>
      <c r="AM69" s="347">
        <v>5</v>
      </c>
      <c r="AN69" s="347"/>
      <c r="AO69" s="347"/>
      <c r="AP69" s="347"/>
      <c r="AQ69" s="347"/>
      <c r="AR69" s="347"/>
      <c r="AS69" s="348">
        <f t="shared" si="5"/>
        <v>5</v>
      </c>
      <c r="AT69" s="347"/>
      <c r="AU69" s="347"/>
      <c r="AV69" s="347"/>
      <c r="AW69" s="347">
        <v>21</v>
      </c>
      <c r="AX69" s="347"/>
      <c r="AY69" s="347"/>
      <c r="AZ69" s="348">
        <f t="shared" si="6"/>
        <v>21</v>
      </c>
      <c r="BA69" s="347"/>
      <c r="BB69" s="347"/>
      <c r="BC69" s="347">
        <v>20</v>
      </c>
      <c r="BD69" s="347"/>
      <c r="BE69" s="348">
        <f t="shared" si="7"/>
        <v>20</v>
      </c>
      <c r="BF69" s="347"/>
      <c r="BG69" s="348">
        <f t="shared" si="8"/>
        <v>0</v>
      </c>
      <c r="BH69" s="356">
        <v>228</v>
      </c>
    </row>
    <row r="70" spans="1:60" ht="17.45" customHeight="1">
      <c r="A70" s="357"/>
      <c r="B70" s="357"/>
      <c r="C70" s="357"/>
      <c r="D70" s="347" t="s">
        <v>1123</v>
      </c>
      <c r="E70" s="347" t="s">
        <v>1124</v>
      </c>
      <c r="F70" s="355"/>
      <c r="G70" s="347"/>
      <c r="H70" s="347"/>
      <c r="I70" s="347"/>
      <c r="J70" s="347"/>
      <c r="K70" s="347"/>
      <c r="L70" s="348">
        <f t="shared" si="0"/>
        <v>0</v>
      </c>
      <c r="M70" s="347"/>
      <c r="N70" s="347"/>
      <c r="O70" s="347"/>
      <c r="P70" s="347"/>
      <c r="Q70" s="347"/>
      <c r="R70" s="348">
        <f t="shared" si="1"/>
        <v>0</v>
      </c>
      <c r="S70" s="347"/>
      <c r="T70" s="347"/>
      <c r="U70" s="347"/>
      <c r="V70" s="347"/>
      <c r="W70" s="347"/>
      <c r="X70" s="348">
        <f t="shared" si="2"/>
        <v>0</v>
      </c>
      <c r="Y70" s="347"/>
      <c r="Z70" s="347"/>
      <c r="AA70" s="347"/>
      <c r="AB70" s="347"/>
      <c r="AC70" s="347"/>
      <c r="AD70" s="347"/>
      <c r="AE70" s="348">
        <f t="shared" si="3"/>
        <v>0</v>
      </c>
      <c r="AF70" s="347"/>
      <c r="AG70" s="347"/>
      <c r="AH70" s="347"/>
      <c r="AI70" s="347"/>
      <c r="AJ70" s="347"/>
      <c r="AK70" s="347"/>
      <c r="AL70" s="348">
        <f t="shared" si="4"/>
        <v>0</v>
      </c>
      <c r="AM70" s="347"/>
      <c r="AN70" s="347"/>
      <c r="AO70" s="347"/>
      <c r="AP70" s="347"/>
      <c r="AQ70" s="347"/>
      <c r="AR70" s="347"/>
      <c r="AS70" s="348">
        <f t="shared" si="5"/>
        <v>0</v>
      </c>
      <c r="AT70" s="347"/>
      <c r="AU70" s="347"/>
      <c r="AV70" s="347"/>
      <c r="AW70" s="347">
        <v>97</v>
      </c>
      <c r="AX70" s="347"/>
      <c r="AY70" s="347"/>
      <c r="AZ70" s="348">
        <f t="shared" si="6"/>
        <v>97</v>
      </c>
      <c r="BA70" s="347"/>
      <c r="BB70" s="347"/>
      <c r="BC70" s="347">
        <v>49</v>
      </c>
      <c r="BD70" s="347"/>
      <c r="BE70" s="348">
        <f t="shared" si="7"/>
        <v>49</v>
      </c>
      <c r="BF70" s="347"/>
      <c r="BG70" s="348">
        <f t="shared" si="8"/>
        <v>0</v>
      </c>
      <c r="BH70" s="356">
        <v>146</v>
      </c>
    </row>
    <row r="71" spans="1:60" ht="17.45" customHeight="1">
      <c r="A71" s="357"/>
      <c r="B71" s="357"/>
      <c r="C71" s="357"/>
      <c r="D71" s="347" t="s">
        <v>1157</v>
      </c>
      <c r="E71" s="347" t="s">
        <v>1158</v>
      </c>
      <c r="F71" s="355"/>
      <c r="G71" s="347"/>
      <c r="H71" s="347"/>
      <c r="I71" s="347"/>
      <c r="J71" s="347"/>
      <c r="K71" s="347"/>
      <c r="L71" s="348">
        <f t="shared" si="0"/>
        <v>0</v>
      </c>
      <c r="M71" s="347"/>
      <c r="N71" s="347"/>
      <c r="O71" s="347"/>
      <c r="P71" s="347"/>
      <c r="Q71" s="347"/>
      <c r="R71" s="348">
        <f t="shared" si="1"/>
        <v>0</v>
      </c>
      <c r="S71" s="347"/>
      <c r="T71" s="347"/>
      <c r="U71" s="347"/>
      <c r="V71" s="347"/>
      <c r="W71" s="347"/>
      <c r="X71" s="348">
        <f t="shared" si="2"/>
        <v>0</v>
      </c>
      <c r="Y71" s="347"/>
      <c r="Z71" s="347"/>
      <c r="AA71" s="347"/>
      <c r="AB71" s="347"/>
      <c r="AC71" s="347"/>
      <c r="AD71" s="347"/>
      <c r="AE71" s="348">
        <f t="shared" si="3"/>
        <v>0</v>
      </c>
      <c r="AF71" s="347"/>
      <c r="AG71" s="347"/>
      <c r="AH71" s="347"/>
      <c r="AI71" s="347"/>
      <c r="AJ71" s="347"/>
      <c r="AK71" s="347"/>
      <c r="AL71" s="348">
        <f t="shared" si="4"/>
        <v>0</v>
      </c>
      <c r="AM71" s="347"/>
      <c r="AN71" s="347"/>
      <c r="AO71" s="347"/>
      <c r="AP71" s="347"/>
      <c r="AQ71" s="347"/>
      <c r="AR71" s="347"/>
      <c r="AS71" s="348">
        <f t="shared" si="5"/>
        <v>0</v>
      </c>
      <c r="AT71" s="347"/>
      <c r="AU71" s="347"/>
      <c r="AV71" s="347"/>
      <c r="AW71" s="347">
        <v>215</v>
      </c>
      <c r="AX71" s="347">
        <v>194</v>
      </c>
      <c r="AY71" s="347"/>
      <c r="AZ71" s="348">
        <f t="shared" si="6"/>
        <v>409</v>
      </c>
      <c r="BA71" s="347"/>
      <c r="BB71" s="347"/>
      <c r="BC71" s="347">
        <v>235</v>
      </c>
      <c r="BD71" s="347">
        <v>7</v>
      </c>
      <c r="BE71" s="348">
        <f t="shared" si="7"/>
        <v>242</v>
      </c>
      <c r="BF71" s="347"/>
      <c r="BG71" s="348">
        <f t="shared" si="8"/>
        <v>0</v>
      </c>
      <c r="BH71" s="356">
        <v>651</v>
      </c>
    </row>
    <row r="72" spans="1:60" ht="17.45" customHeight="1">
      <c r="A72" s="357"/>
      <c r="B72" s="357"/>
      <c r="C72" s="357"/>
      <c r="D72" s="347" t="s">
        <v>1125</v>
      </c>
      <c r="E72" s="347" t="s">
        <v>1126</v>
      </c>
      <c r="F72" s="355"/>
      <c r="G72" s="347"/>
      <c r="H72" s="347"/>
      <c r="I72" s="347"/>
      <c r="J72" s="347"/>
      <c r="K72" s="347"/>
      <c r="L72" s="348">
        <f t="shared" si="0"/>
        <v>0</v>
      </c>
      <c r="M72" s="347"/>
      <c r="N72" s="347"/>
      <c r="O72" s="347"/>
      <c r="P72" s="347"/>
      <c r="Q72" s="347"/>
      <c r="R72" s="348">
        <f t="shared" si="1"/>
        <v>0</v>
      </c>
      <c r="S72" s="347"/>
      <c r="T72" s="347"/>
      <c r="U72" s="347"/>
      <c r="V72" s="347"/>
      <c r="W72" s="347"/>
      <c r="X72" s="348">
        <f t="shared" si="2"/>
        <v>0</v>
      </c>
      <c r="Y72" s="347"/>
      <c r="Z72" s="347"/>
      <c r="AA72" s="347"/>
      <c r="AB72" s="347"/>
      <c r="AC72" s="347"/>
      <c r="AD72" s="347"/>
      <c r="AE72" s="348">
        <f t="shared" si="3"/>
        <v>0</v>
      </c>
      <c r="AF72" s="347"/>
      <c r="AG72" s="347"/>
      <c r="AH72" s="347"/>
      <c r="AI72" s="347"/>
      <c r="AJ72" s="347"/>
      <c r="AK72" s="347"/>
      <c r="AL72" s="348">
        <f t="shared" si="4"/>
        <v>0</v>
      </c>
      <c r="AM72" s="347"/>
      <c r="AN72" s="347"/>
      <c r="AO72" s="347"/>
      <c r="AP72" s="347"/>
      <c r="AQ72" s="347"/>
      <c r="AR72" s="347"/>
      <c r="AS72" s="348">
        <f t="shared" si="5"/>
        <v>0</v>
      </c>
      <c r="AT72" s="347"/>
      <c r="AU72" s="347"/>
      <c r="AV72" s="347"/>
      <c r="AW72" s="347"/>
      <c r="AX72" s="347">
        <v>1</v>
      </c>
      <c r="AY72" s="347"/>
      <c r="AZ72" s="348">
        <f t="shared" si="6"/>
        <v>1</v>
      </c>
      <c r="BA72" s="347"/>
      <c r="BB72" s="347"/>
      <c r="BC72" s="347"/>
      <c r="BD72" s="347"/>
      <c r="BE72" s="348">
        <f t="shared" si="7"/>
        <v>0</v>
      </c>
      <c r="BF72" s="347"/>
      <c r="BG72" s="348">
        <f t="shared" si="8"/>
        <v>0</v>
      </c>
      <c r="BH72" s="356">
        <v>1</v>
      </c>
    </row>
    <row r="73" spans="1:60" ht="17.45" customHeight="1">
      <c r="A73" s="357"/>
      <c r="B73" s="357"/>
      <c r="C73" s="357"/>
      <c r="D73" s="347" t="s">
        <v>1127</v>
      </c>
      <c r="E73" s="347" t="s">
        <v>1128</v>
      </c>
      <c r="F73" s="355">
        <v>14</v>
      </c>
      <c r="G73" s="347">
        <v>29</v>
      </c>
      <c r="H73" s="347">
        <v>96</v>
      </c>
      <c r="I73" s="347"/>
      <c r="J73" s="347"/>
      <c r="K73" s="347">
        <v>14</v>
      </c>
      <c r="L73" s="348">
        <f t="shared" ref="L73:L88" si="9">SUM(F73:K73)</f>
        <v>153</v>
      </c>
      <c r="M73" s="347">
        <v>81</v>
      </c>
      <c r="N73" s="347">
        <v>111</v>
      </c>
      <c r="O73" s="347"/>
      <c r="P73" s="347"/>
      <c r="Q73" s="347"/>
      <c r="R73" s="348">
        <f t="shared" ref="R73:R88" si="10">SUM(M73:Q73)</f>
        <v>192</v>
      </c>
      <c r="S73" s="347"/>
      <c r="T73" s="347"/>
      <c r="U73" s="347">
        <v>13</v>
      </c>
      <c r="V73" s="347">
        <v>91</v>
      </c>
      <c r="W73" s="347">
        <v>176</v>
      </c>
      <c r="X73" s="348">
        <f t="shared" ref="X73:X88" si="11">SUM(S73:W73)</f>
        <v>280</v>
      </c>
      <c r="Y73" s="347">
        <v>58</v>
      </c>
      <c r="Z73" s="347">
        <v>35</v>
      </c>
      <c r="AA73" s="347">
        <v>36</v>
      </c>
      <c r="AB73" s="347">
        <v>42</v>
      </c>
      <c r="AC73" s="347"/>
      <c r="AD73" s="347"/>
      <c r="AE73" s="348">
        <f t="shared" ref="AE73:AE88" si="12">SUM(Y73:AD73)</f>
        <v>171</v>
      </c>
      <c r="AF73" s="347">
        <v>65</v>
      </c>
      <c r="AG73" s="347"/>
      <c r="AH73" s="347"/>
      <c r="AI73" s="347"/>
      <c r="AJ73" s="347">
        <v>3</v>
      </c>
      <c r="AK73" s="347"/>
      <c r="AL73" s="348">
        <f t="shared" ref="AL73:AL88" si="13">SUM(AF73:AK73)</f>
        <v>68</v>
      </c>
      <c r="AM73" s="347"/>
      <c r="AN73" s="347"/>
      <c r="AO73" s="347">
        <v>86</v>
      </c>
      <c r="AP73" s="347"/>
      <c r="AQ73" s="347"/>
      <c r="AR73" s="347"/>
      <c r="AS73" s="348">
        <f t="shared" ref="AS73:AS88" si="14">SUM(AM73:AR73)</f>
        <v>86</v>
      </c>
      <c r="AT73" s="347"/>
      <c r="AU73" s="347"/>
      <c r="AV73" s="347"/>
      <c r="AW73" s="347"/>
      <c r="AX73" s="347">
        <v>141</v>
      </c>
      <c r="AY73" s="347">
        <v>207</v>
      </c>
      <c r="AZ73" s="348">
        <f t="shared" ref="AZ73:AZ88" si="15">SUM(AT73:AY73)</f>
        <v>348</v>
      </c>
      <c r="BA73" s="347"/>
      <c r="BB73" s="347"/>
      <c r="BC73" s="347"/>
      <c r="BD73" s="347">
        <v>200</v>
      </c>
      <c r="BE73" s="348">
        <f t="shared" ref="BE73:BE88" si="16">SUM(BA73:BD73)</f>
        <v>200</v>
      </c>
      <c r="BF73" s="347"/>
      <c r="BG73" s="348">
        <f t="shared" ref="BG73:BG88" si="17">SUM(BF73:BF73)</f>
        <v>0</v>
      </c>
      <c r="BH73" s="356">
        <v>1498</v>
      </c>
    </row>
    <row r="74" spans="1:60" ht="17.45" customHeight="1">
      <c r="A74" s="357"/>
      <c r="B74" s="357"/>
      <c r="C74" s="357"/>
      <c r="D74" s="347" t="s">
        <v>1129</v>
      </c>
      <c r="E74" s="347" t="s">
        <v>1130</v>
      </c>
      <c r="F74" s="355"/>
      <c r="G74" s="347"/>
      <c r="H74" s="347">
        <v>13</v>
      </c>
      <c r="I74" s="347">
        <v>46</v>
      </c>
      <c r="J74" s="347">
        <v>10</v>
      </c>
      <c r="K74" s="347"/>
      <c r="L74" s="348">
        <f t="shared" si="9"/>
        <v>69</v>
      </c>
      <c r="M74" s="347"/>
      <c r="N74" s="347"/>
      <c r="O74" s="347"/>
      <c r="P74" s="347"/>
      <c r="Q74" s="347"/>
      <c r="R74" s="348">
        <f t="shared" si="10"/>
        <v>0</v>
      </c>
      <c r="S74" s="347"/>
      <c r="T74" s="347"/>
      <c r="U74" s="347"/>
      <c r="V74" s="347"/>
      <c r="W74" s="347"/>
      <c r="X74" s="348">
        <f t="shared" si="11"/>
        <v>0</v>
      </c>
      <c r="Y74" s="347"/>
      <c r="Z74" s="347"/>
      <c r="AA74" s="347"/>
      <c r="AB74" s="347">
        <v>22</v>
      </c>
      <c r="AC74" s="347"/>
      <c r="AD74" s="347"/>
      <c r="AE74" s="348">
        <f t="shared" si="12"/>
        <v>22</v>
      </c>
      <c r="AF74" s="347"/>
      <c r="AG74" s="347"/>
      <c r="AH74" s="347"/>
      <c r="AI74" s="347"/>
      <c r="AJ74" s="347"/>
      <c r="AK74" s="347"/>
      <c r="AL74" s="348">
        <f t="shared" si="13"/>
        <v>0</v>
      </c>
      <c r="AM74" s="347"/>
      <c r="AN74" s="347"/>
      <c r="AO74" s="347"/>
      <c r="AP74" s="347"/>
      <c r="AQ74" s="347"/>
      <c r="AR74" s="347"/>
      <c r="AS74" s="348">
        <f t="shared" si="14"/>
        <v>0</v>
      </c>
      <c r="AT74" s="347"/>
      <c r="AU74" s="347"/>
      <c r="AV74" s="347"/>
      <c r="AW74" s="347"/>
      <c r="AX74" s="347"/>
      <c r="AY74" s="347"/>
      <c r="AZ74" s="348">
        <f t="shared" si="15"/>
        <v>0</v>
      </c>
      <c r="BA74" s="347"/>
      <c r="BB74" s="347"/>
      <c r="BC74" s="347"/>
      <c r="BD74" s="347"/>
      <c r="BE74" s="348">
        <f t="shared" si="16"/>
        <v>0</v>
      </c>
      <c r="BF74" s="347"/>
      <c r="BG74" s="348">
        <f t="shared" si="17"/>
        <v>0</v>
      </c>
      <c r="BH74" s="356">
        <v>91</v>
      </c>
    </row>
    <row r="75" spans="1:60" ht="17.45" customHeight="1">
      <c r="A75" s="357"/>
      <c r="B75" s="357"/>
      <c r="C75" s="357"/>
      <c r="D75" s="347" t="s">
        <v>1182</v>
      </c>
      <c r="E75" s="347" t="s">
        <v>1204</v>
      </c>
      <c r="F75" s="355"/>
      <c r="G75" s="347"/>
      <c r="H75" s="347"/>
      <c r="I75" s="347"/>
      <c r="J75" s="347"/>
      <c r="K75" s="347"/>
      <c r="L75" s="348">
        <f t="shared" si="9"/>
        <v>0</v>
      </c>
      <c r="M75" s="347"/>
      <c r="N75" s="347"/>
      <c r="O75" s="347"/>
      <c r="P75" s="347"/>
      <c r="Q75" s="347"/>
      <c r="R75" s="348">
        <f t="shared" si="10"/>
        <v>0</v>
      </c>
      <c r="S75" s="347"/>
      <c r="T75" s="347"/>
      <c r="U75" s="347"/>
      <c r="V75" s="347"/>
      <c r="W75" s="347"/>
      <c r="X75" s="348">
        <f t="shared" si="11"/>
        <v>0</v>
      </c>
      <c r="Y75" s="347"/>
      <c r="Z75" s="347"/>
      <c r="AA75" s="347">
        <v>50</v>
      </c>
      <c r="AB75" s="347">
        <v>54</v>
      </c>
      <c r="AC75" s="347"/>
      <c r="AD75" s="347"/>
      <c r="AE75" s="348">
        <f t="shared" si="12"/>
        <v>104</v>
      </c>
      <c r="AF75" s="347"/>
      <c r="AG75" s="347"/>
      <c r="AH75" s="347"/>
      <c r="AI75" s="347"/>
      <c r="AJ75" s="347"/>
      <c r="AK75" s="347"/>
      <c r="AL75" s="348">
        <f t="shared" si="13"/>
        <v>0</v>
      </c>
      <c r="AM75" s="347"/>
      <c r="AN75" s="347"/>
      <c r="AO75" s="347"/>
      <c r="AP75" s="347"/>
      <c r="AQ75" s="347"/>
      <c r="AR75" s="347"/>
      <c r="AS75" s="348">
        <f t="shared" si="14"/>
        <v>0</v>
      </c>
      <c r="AT75" s="347"/>
      <c r="AU75" s="347"/>
      <c r="AV75" s="347"/>
      <c r="AW75" s="347"/>
      <c r="AX75" s="347"/>
      <c r="AY75" s="347"/>
      <c r="AZ75" s="348">
        <f t="shared" si="15"/>
        <v>0</v>
      </c>
      <c r="BA75" s="347"/>
      <c r="BB75" s="347"/>
      <c r="BC75" s="347"/>
      <c r="BD75" s="347"/>
      <c r="BE75" s="348">
        <f t="shared" si="16"/>
        <v>0</v>
      </c>
      <c r="BF75" s="347"/>
      <c r="BG75" s="348">
        <f t="shared" si="17"/>
        <v>0</v>
      </c>
      <c r="BH75" s="356">
        <v>104</v>
      </c>
    </row>
    <row r="76" spans="1:60" ht="17.45" customHeight="1">
      <c r="A76" s="357"/>
      <c r="B76" s="357"/>
      <c r="C76" s="357"/>
      <c r="D76" s="347" t="s">
        <v>1180</v>
      </c>
      <c r="E76" s="347" t="s">
        <v>1202</v>
      </c>
      <c r="F76" s="355">
        <v>113</v>
      </c>
      <c r="G76" s="347">
        <v>47</v>
      </c>
      <c r="H76" s="347">
        <v>80</v>
      </c>
      <c r="I76" s="347">
        <v>63</v>
      </c>
      <c r="J76" s="347"/>
      <c r="K76" s="347"/>
      <c r="L76" s="348">
        <f t="shared" si="9"/>
        <v>303</v>
      </c>
      <c r="M76" s="347">
        <v>86</v>
      </c>
      <c r="N76" s="347">
        <v>164</v>
      </c>
      <c r="O76" s="347">
        <v>86</v>
      </c>
      <c r="P76" s="347"/>
      <c r="Q76" s="347"/>
      <c r="R76" s="348">
        <f t="shared" si="10"/>
        <v>336</v>
      </c>
      <c r="S76" s="347"/>
      <c r="T76" s="347"/>
      <c r="U76" s="347"/>
      <c r="V76" s="347"/>
      <c r="W76" s="347"/>
      <c r="X76" s="348">
        <f t="shared" si="11"/>
        <v>0</v>
      </c>
      <c r="Y76" s="347"/>
      <c r="Z76" s="347"/>
      <c r="AA76" s="347"/>
      <c r="AB76" s="347"/>
      <c r="AC76" s="347"/>
      <c r="AD76" s="347"/>
      <c r="AE76" s="348">
        <f t="shared" si="12"/>
        <v>0</v>
      </c>
      <c r="AF76" s="347">
        <v>85</v>
      </c>
      <c r="AG76" s="347">
        <v>85</v>
      </c>
      <c r="AH76" s="347">
        <v>138</v>
      </c>
      <c r="AI76" s="347">
        <v>85</v>
      </c>
      <c r="AJ76" s="347">
        <v>91</v>
      </c>
      <c r="AK76" s="347">
        <v>16</v>
      </c>
      <c r="AL76" s="348">
        <f t="shared" si="13"/>
        <v>500</v>
      </c>
      <c r="AM76" s="347"/>
      <c r="AN76" s="347"/>
      <c r="AO76" s="347">
        <v>11</v>
      </c>
      <c r="AP76" s="347"/>
      <c r="AQ76" s="347"/>
      <c r="AR76" s="347"/>
      <c r="AS76" s="348">
        <f t="shared" si="14"/>
        <v>11</v>
      </c>
      <c r="AT76" s="347"/>
      <c r="AU76" s="347"/>
      <c r="AV76" s="347"/>
      <c r="AW76" s="347"/>
      <c r="AX76" s="347"/>
      <c r="AY76" s="347"/>
      <c r="AZ76" s="348">
        <f t="shared" si="15"/>
        <v>0</v>
      </c>
      <c r="BA76" s="347"/>
      <c r="BB76" s="347"/>
      <c r="BC76" s="347"/>
      <c r="BD76" s="347"/>
      <c r="BE76" s="348">
        <f t="shared" si="16"/>
        <v>0</v>
      </c>
      <c r="BF76" s="347"/>
      <c r="BG76" s="348">
        <f t="shared" si="17"/>
        <v>0</v>
      </c>
      <c r="BH76" s="356">
        <v>1150</v>
      </c>
    </row>
    <row r="77" spans="1:60" ht="17.45" customHeight="1">
      <c r="A77" s="357"/>
      <c r="B77" s="357"/>
      <c r="C77" s="357"/>
      <c r="D77" s="347" t="s">
        <v>1131</v>
      </c>
      <c r="E77" s="347" t="s">
        <v>1132</v>
      </c>
      <c r="F77" s="355">
        <v>87</v>
      </c>
      <c r="G77" s="347">
        <v>131</v>
      </c>
      <c r="H77" s="347">
        <v>107</v>
      </c>
      <c r="I77" s="347">
        <v>111</v>
      </c>
      <c r="J77" s="347">
        <v>171</v>
      </c>
      <c r="K77" s="347">
        <v>170</v>
      </c>
      <c r="L77" s="348">
        <f t="shared" si="9"/>
        <v>777</v>
      </c>
      <c r="M77" s="347"/>
      <c r="N77" s="347"/>
      <c r="O77" s="347"/>
      <c r="P77" s="347">
        <v>102</v>
      </c>
      <c r="Q77" s="347">
        <v>170</v>
      </c>
      <c r="R77" s="348">
        <f t="shared" si="10"/>
        <v>272</v>
      </c>
      <c r="S77" s="347">
        <v>103</v>
      </c>
      <c r="T77" s="347">
        <v>111</v>
      </c>
      <c r="U77" s="347">
        <v>111</v>
      </c>
      <c r="V77" s="347">
        <v>111</v>
      </c>
      <c r="W77" s="347">
        <v>111</v>
      </c>
      <c r="X77" s="348">
        <f t="shared" si="11"/>
        <v>547</v>
      </c>
      <c r="Y77" s="347">
        <v>145</v>
      </c>
      <c r="Z77" s="347">
        <v>109</v>
      </c>
      <c r="AA77" s="347">
        <v>233</v>
      </c>
      <c r="AB77" s="347">
        <v>165</v>
      </c>
      <c r="AC77" s="347">
        <v>245</v>
      </c>
      <c r="AD77" s="347">
        <v>164</v>
      </c>
      <c r="AE77" s="348">
        <f t="shared" si="12"/>
        <v>1061</v>
      </c>
      <c r="AF77" s="347"/>
      <c r="AG77" s="347"/>
      <c r="AH77" s="347"/>
      <c r="AI77" s="347">
        <v>100</v>
      </c>
      <c r="AJ77" s="347">
        <v>129</v>
      </c>
      <c r="AK77" s="347">
        <v>183</v>
      </c>
      <c r="AL77" s="348">
        <f t="shared" si="13"/>
        <v>412</v>
      </c>
      <c r="AM77" s="347">
        <v>67</v>
      </c>
      <c r="AN77" s="347">
        <v>71</v>
      </c>
      <c r="AO77" s="347">
        <v>75</v>
      </c>
      <c r="AP77" s="347">
        <v>112</v>
      </c>
      <c r="AQ77" s="347">
        <v>193</v>
      </c>
      <c r="AR77" s="347">
        <v>77</v>
      </c>
      <c r="AS77" s="348">
        <f t="shared" si="14"/>
        <v>595</v>
      </c>
      <c r="AT77" s="347"/>
      <c r="AU77" s="347"/>
      <c r="AV77" s="347"/>
      <c r="AW77" s="347"/>
      <c r="AX77" s="347"/>
      <c r="AY77" s="347"/>
      <c r="AZ77" s="348">
        <f t="shared" si="15"/>
        <v>0</v>
      </c>
      <c r="BA77" s="347"/>
      <c r="BB77" s="347"/>
      <c r="BC77" s="347"/>
      <c r="BD77" s="347"/>
      <c r="BE77" s="348">
        <f t="shared" si="16"/>
        <v>0</v>
      </c>
      <c r="BF77" s="347"/>
      <c r="BG77" s="348">
        <f t="shared" si="17"/>
        <v>0</v>
      </c>
      <c r="BH77" s="356">
        <v>3664</v>
      </c>
    </row>
    <row r="78" spans="1:60" ht="17.45" customHeight="1">
      <c r="A78" s="357"/>
      <c r="B78" s="357"/>
      <c r="C78" s="357"/>
      <c r="D78" s="347" t="s">
        <v>1133</v>
      </c>
      <c r="E78" s="347" t="s">
        <v>1134</v>
      </c>
      <c r="F78" s="355"/>
      <c r="G78" s="347">
        <v>105</v>
      </c>
      <c r="H78" s="347"/>
      <c r="I78" s="347"/>
      <c r="J78" s="347"/>
      <c r="K78" s="347"/>
      <c r="L78" s="348">
        <f t="shared" si="9"/>
        <v>105</v>
      </c>
      <c r="M78" s="347"/>
      <c r="N78" s="347"/>
      <c r="O78" s="347"/>
      <c r="P78" s="347"/>
      <c r="Q78" s="347">
        <v>92</v>
      </c>
      <c r="R78" s="348">
        <f t="shared" si="10"/>
        <v>92</v>
      </c>
      <c r="S78" s="347">
        <v>32</v>
      </c>
      <c r="T78" s="347">
        <v>120</v>
      </c>
      <c r="U78" s="347"/>
      <c r="V78" s="347"/>
      <c r="W78" s="347"/>
      <c r="X78" s="348">
        <f t="shared" si="11"/>
        <v>152</v>
      </c>
      <c r="Y78" s="347"/>
      <c r="Z78" s="347"/>
      <c r="AA78" s="347"/>
      <c r="AB78" s="347"/>
      <c r="AC78" s="347"/>
      <c r="AD78" s="347"/>
      <c r="AE78" s="348">
        <f t="shared" si="12"/>
        <v>0</v>
      </c>
      <c r="AF78" s="347"/>
      <c r="AG78" s="347">
        <v>46</v>
      </c>
      <c r="AH78" s="347"/>
      <c r="AI78" s="347">
        <v>35</v>
      </c>
      <c r="AJ78" s="347"/>
      <c r="AK78" s="347"/>
      <c r="AL78" s="348">
        <f t="shared" si="13"/>
        <v>81</v>
      </c>
      <c r="AM78" s="347">
        <v>55</v>
      </c>
      <c r="AN78" s="347">
        <v>93</v>
      </c>
      <c r="AO78" s="347"/>
      <c r="AP78" s="347"/>
      <c r="AQ78" s="347"/>
      <c r="AR78" s="347"/>
      <c r="AS78" s="348">
        <f t="shared" si="14"/>
        <v>148</v>
      </c>
      <c r="AT78" s="347"/>
      <c r="AU78" s="347"/>
      <c r="AV78" s="347"/>
      <c r="AW78" s="347"/>
      <c r="AX78" s="347"/>
      <c r="AY78" s="347"/>
      <c r="AZ78" s="348">
        <f t="shared" si="15"/>
        <v>0</v>
      </c>
      <c r="BA78" s="347"/>
      <c r="BB78" s="347"/>
      <c r="BC78" s="347"/>
      <c r="BD78" s="347"/>
      <c r="BE78" s="348">
        <f t="shared" si="16"/>
        <v>0</v>
      </c>
      <c r="BF78" s="347"/>
      <c r="BG78" s="348">
        <f t="shared" si="17"/>
        <v>0</v>
      </c>
      <c r="BH78" s="356">
        <v>578</v>
      </c>
    </row>
    <row r="79" spans="1:60" ht="17.45" customHeight="1">
      <c r="A79" s="357"/>
      <c r="B79" s="357"/>
      <c r="C79" s="357"/>
      <c r="D79" s="347" t="s">
        <v>1135</v>
      </c>
      <c r="E79" s="347" t="s">
        <v>1136</v>
      </c>
      <c r="F79" s="355"/>
      <c r="G79" s="347"/>
      <c r="H79" s="347"/>
      <c r="I79" s="347">
        <v>56</v>
      </c>
      <c r="J79" s="347">
        <v>26</v>
      </c>
      <c r="K79" s="347">
        <v>54</v>
      </c>
      <c r="L79" s="348">
        <f t="shared" si="9"/>
        <v>136</v>
      </c>
      <c r="M79" s="347"/>
      <c r="N79" s="347"/>
      <c r="O79" s="347"/>
      <c r="P79" s="347">
        <v>118</v>
      </c>
      <c r="Q79" s="347"/>
      <c r="R79" s="348">
        <f t="shared" si="10"/>
        <v>118</v>
      </c>
      <c r="S79" s="347">
        <v>88</v>
      </c>
      <c r="T79" s="347"/>
      <c r="U79" s="347"/>
      <c r="V79" s="347"/>
      <c r="W79" s="347"/>
      <c r="X79" s="348">
        <f t="shared" si="11"/>
        <v>88</v>
      </c>
      <c r="Y79" s="347"/>
      <c r="Z79" s="347"/>
      <c r="AA79" s="347"/>
      <c r="AB79" s="347"/>
      <c r="AC79" s="347"/>
      <c r="AD79" s="347"/>
      <c r="AE79" s="348">
        <f t="shared" si="12"/>
        <v>0</v>
      </c>
      <c r="AF79" s="347"/>
      <c r="AG79" s="347"/>
      <c r="AH79" s="347">
        <v>43</v>
      </c>
      <c r="AI79" s="347">
        <v>47</v>
      </c>
      <c r="AJ79" s="347"/>
      <c r="AK79" s="347">
        <v>27</v>
      </c>
      <c r="AL79" s="348">
        <f t="shared" si="13"/>
        <v>117</v>
      </c>
      <c r="AM79" s="347"/>
      <c r="AN79" s="347"/>
      <c r="AO79" s="347"/>
      <c r="AP79" s="347">
        <v>81</v>
      </c>
      <c r="AQ79" s="347"/>
      <c r="AR79" s="347"/>
      <c r="AS79" s="348">
        <f t="shared" si="14"/>
        <v>81</v>
      </c>
      <c r="AT79" s="347"/>
      <c r="AU79" s="347"/>
      <c r="AV79" s="347"/>
      <c r="AW79" s="347"/>
      <c r="AX79" s="347"/>
      <c r="AY79" s="347"/>
      <c r="AZ79" s="348">
        <f t="shared" si="15"/>
        <v>0</v>
      </c>
      <c r="BA79" s="347"/>
      <c r="BB79" s="347"/>
      <c r="BC79" s="347"/>
      <c r="BD79" s="347"/>
      <c r="BE79" s="348">
        <f t="shared" si="16"/>
        <v>0</v>
      </c>
      <c r="BF79" s="347"/>
      <c r="BG79" s="348">
        <f t="shared" si="17"/>
        <v>0</v>
      </c>
      <c r="BH79" s="356">
        <v>540</v>
      </c>
    </row>
    <row r="80" spans="1:60" ht="17.45" customHeight="1">
      <c r="A80" s="357"/>
      <c r="B80" s="357"/>
      <c r="C80" s="357"/>
      <c r="D80" s="347" t="s">
        <v>1190</v>
      </c>
      <c r="E80" s="347" t="s">
        <v>1212</v>
      </c>
      <c r="F80" s="355"/>
      <c r="G80" s="347"/>
      <c r="H80" s="347"/>
      <c r="I80" s="347"/>
      <c r="J80" s="347"/>
      <c r="K80" s="347"/>
      <c r="L80" s="348">
        <f t="shared" si="9"/>
        <v>0</v>
      </c>
      <c r="M80" s="347"/>
      <c r="N80" s="347"/>
      <c r="O80" s="347"/>
      <c r="P80" s="347"/>
      <c r="Q80" s="347"/>
      <c r="R80" s="348">
        <f t="shared" si="10"/>
        <v>0</v>
      </c>
      <c r="S80" s="347"/>
      <c r="T80" s="347">
        <v>42</v>
      </c>
      <c r="U80" s="347"/>
      <c r="V80" s="347"/>
      <c r="W80" s="347"/>
      <c r="X80" s="348">
        <f t="shared" si="11"/>
        <v>42</v>
      </c>
      <c r="Y80" s="347"/>
      <c r="Z80" s="347">
        <v>4</v>
      </c>
      <c r="AA80" s="347"/>
      <c r="AB80" s="347"/>
      <c r="AC80" s="347"/>
      <c r="AD80" s="347"/>
      <c r="AE80" s="348">
        <f t="shared" si="12"/>
        <v>4</v>
      </c>
      <c r="AF80" s="347"/>
      <c r="AG80" s="347">
        <v>76</v>
      </c>
      <c r="AH80" s="347"/>
      <c r="AI80" s="347"/>
      <c r="AJ80" s="347"/>
      <c r="AK80" s="347"/>
      <c r="AL80" s="348">
        <f t="shared" si="13"/>
        <v>76</v>
      </c>
      <c r="AM80" s="347">
        <v>100</v>
      </c>
      <c r="AN80" s="347">
        <v>63</v>
      </c>
      <c r="AO80" s="347"/>
      <c r="AP80" s="347"/>
      <c r="AQ80" s="347"/>
      <c r="AR80" s="347"/>
      <c r="AS80" s="348">
        <f t="shared" si="14"/>
        <v>163</v>
      </c>
      <c r="AT80" s="347"/>
      <c r="AU80" s="347"/>
      <c r="AV80" s="347"/>
      <c r="AW80" s="347"/>
      <c r="AX80" s="347"/>
      <c r="AY80" s="347"/>
      <c r="AZ80" s="348">
        <f t="shared" si="15"/>
        <v>0</v>
      </c>
      <c r="BA80" s="347"/>
      <c r="BB80" s="347"/>
      <c r="BC80" s="347"/>
      <c r="BD80" s="347"/>
      <c r="BE80" s="348">
        <f t="shared" si="16"/>
        <v>0</v>
      </c>
      <c r="BF80" s="347"/>
      <c r="BG80" s="348">
        <f t="shared" si="17"/>
        <v>0</v>
      </c>
      <c r="BH80" s="356">
        <v>285</v>
      </c>
    </row>
    <row r="81" spans="1:60" ht="17.45" customHeight="1">
      <c r="A81" s="357"/>
      <c r="B81" s="357"/>
      <c r="C81" s="357"/>
      <c r="D81" s="347" t="s">
        <v>1184</v>
      </c>
      <c r="E81" s="347" t="s">
        <v>1206</v>
      </c>
      <c r="F81" s="355">
        <v>33</v>
      </c>
      <c r="G81" s="347"/>
      <c r="H81" s="347"/>
      <c r="I81" s="347"/>
      <c r="J81" s="347"/>
      <c r="K81" s="347"/>
      <c r="L81" s="348">
        <f t="shared" si="9"/>
        <v>33</v>
      </c>
      <c r="M81" s="347">
        <v>86</v>
      </c>
      <c r="N81" s="347"/>
      <c r="O81" s="347">
        <v>86</v>
      </c>
      <c r="P81" s="347"/>
      <c r="Q81" s="347"/>
      <c r="R81" s="348">
        <f t="shared" si="10"/>
        <v>172</v>
      </c>
      <c r="S81" s="347"/>
      <c r="T81" s="347"/>
      <c r="U81" s="347"/>
      <c r="V81" s="347"/>
      <c r="W81" s="347"/>
      <c r="X81" s="348">
        <f t="shared" si="11"/>
        <v>0</v>
      </c>
      <c r="Y81" s="347"/>
      <c r="Z81" s="347"/>
      <c r="AA81" s="347"/>
      <c r="AB81" s="347"/>
      <c r="AC81" s="347"/>
      <c r="AD81" s="347"/>
      <c r="AE81" s="348">
        <f t="shared" si="12"/>
        <v>0</v>
      </c>
      <c r="AF81" s="347"/>
      <c r="AG81" s="347"/>
      <c r="AH81" s="347">
        <v>76</v>
      </c>
      <c r="AI81" s="347">
        <v>53</v>
      </c>
      <c r="AJ81" s="347">
        <v>13</v>
      </c>
      <c r="AK81" s="347">
        <v>41</v>
      </c>
      <c r="AL81" s="348">
        <f t="shared" si="13"/>
        <v>183</v>
      </c>
      <c r="AM81" s="347">
        <v>5</v>
      </c>
      <c r="AN81" s="347"/>
      <c r="AO81" s="347"/>
      <c r="AP81" s="347"/>
      <c r="AQ81" s="347"/>
      <c r="AR81" s="347"/>
      <c r="AS81" s="348">
        <f t="shared" si="14"/>
        <v>5</v>
      </c>
      <c r="AT81" s="347"/>
      <c r="AU81" s="347"/>
      <c r="AV81" s="347"/>
      <c r="AW81" s="347"/>
      <c r="AX81" s="347"/>
      <c r="AY81" s="347"/>
      <c r="AZ81" s="348">
        <f t="shared" si="15"/>
        <v>0</v>
      </c>
      <c r="BA81" s="347"/>
      <c r="BB81" s="347"/>
      <c r="BC81" s="347"/>
      <c r="BD81" s="347"/>
      <c r="BE81" s="348">
        <f t="shared" si="16"/>
        <v>0</v>
      </c>
      <c r="BF81" s="347"/>
      <c r="BG81" s="348">
        <f t="shared" si="17"/>
        <v>0</v>
      </c>
      <c r="BH81" s="356">
        <v>393</v>
      </c>
    </row>
    <row r="82" spans="1:60" ht="17.45" customHeight="1">
      <c r="A82" s="357"/>
      <c r="B82" s="357"/>
      <c r="C82" s="358"/>
      <c r="D82" s="347" t="s">
        <v>1181</v>
      </c>
      <c r="E82" s="347" t="s">
        <v>1203</v>
      </c>
      <c r="F82" s="355"/>
      <c r="G82" s="347"/>
      <c r="H82" s="347"/>
      <c r="I82" s="347"/>
      <c r="J82" s="347"/>
      <c r="K82" s="347"/>
      <c r="L82" s="348">
        <f t="shared" si="9"/>
        <v>0</v>
      </c>
      <c r="M82" s="347"/>
      <c r="N82" s="347"/>
      <c r="O82" s="347">
        <v>13</v>
      </c>
      <c r="P82" s="347"/>
      <c r="Q82" s="347"/>
      <c r="R82" s="348">
        <f t="shared" si="10"/>
        <v>13</v>
      </c>
      <c r="S82" s="347"/>
      <c r="T82" s="347"/>
      <c r="U82" s="347"/>
      <c r="V82" s="347"/>
      <c r="W82" s="347"/>
      <c r="X82" s="348">
        <f t="shared" si="11"/>
        <v>0</v>
      </c>
      <c r="Y82" s="347"/>
      <c r="Z82" s="347"/>
      <c r="AA82" s="347"/>
      <c r="AB82" s="347"/>
      <c r="AC82" s="347"/>
      <c r="AD82" s="347"/>
      <c r="AE82" s="348">
        <f t="shared" si="12"/>
        <v>0</v>
      </c>
      <c r="AF82" s="347"/>
      <c r="AG82" s="347"/>
      <c r="AH82" s="347"/>
      <c r="AI82" s="347"/>
      <c r="AJ82" s="347"/>
      <c r="AK82" s="347"/>
      <c r="AL82" s="348">
        <f t="shared" si="13"/>
        <v>0</v>
      </c>
      <c r="AM82" s="347"/>
      <c r="AN82" s="347"/>
      <c r="AO82" s="347"/>
      <c r="AP82" s="347"/>
      <c r="AQ82" s="347"/>
      <c r="AR82" s="347"/>
      <c r="AS82" s="348">
        <f t="shared" si="14"/>
        <v>0</v>
      </c>
      <c r="AT82" s="347"/>
      <c r="AU82" s="347"/>
      <c r="AV82" s="347"/>
      <c r="AW82" s="347"/>
      <c r="AX82" s="347"/>
      <c r="AY82" s="347"/>
      <c r="AZ82" s="348">
        <f t="shared" si="15"/>
        <v>0</v>
      </c>
      <c r="BA82" s="347"/>
      <c r="BB82" s="347"/>
      <c r="BC82" s="347"/>
      <c r="BD82" s="347"/>
      <c r="BE82" s="348">
        <f t="shared" si="16"/>
        <v>0</v>
      </c>
      <c r="BF82" s="347"/>
      <c r="BG82" s="348">
        <f t="shared" si="17"/>
        <v>0</v>
      </c>
      <c r="BH82" s="356">
        <v>13</v>
      </c>
    </row>
    <row r="83" spans="1:60" ht="17.45" customHeight="1">
      <c r="A83" s="357"/>
      <c r="B83" s="358"/>
      <c r="C83" s="359" t="s">
        <v>1833</v>
      </c>
      <c r="D83" s="360"/>
      <c r="E83" s="361"/>
      <c r="F83" s="362">
        <v>256</v>
      </c>
      <c r="G83" s="363">
        <v>336</v>
      </c>
      <c r="H83" s="363">
        <v>336</v>
      </c>
      <c r="I83" s="363">
        <v>320</v>
      </c>
      <c r="J83" s="363">
        <v>260</v>
      </c>
      <c r="K83" s="363">
        <v>320</v>
      </c>
      <c r="L83" s="348">
        <f t="shared" si="9"/>
        <v>1828</v>
      </c>
      <c r="M83" s="363">
        <v>256</v>
      </c>
      <c r="N83" s="363">
        <v>328</v>
      </c>
      <c r="O83" s="363">
        <v>336</v>
      </c>
      <c r="P83" s="363">
        <v>320</v>
      </c>
      <c r="Q83" s="363">
        <v>320</v>
      </c>
      <c r="R83" s="348">
        <f t="shared" si="10"/>
        <v>1560</v>
      </c>
      <c r="S83" s="363">
        <v>316</v>
      </c>
      <c r="T83" s="363">
        <v>336</v>
      </c>
      <c r="U83" s="363">
        <v>336</v>
      </c>
      <c r="V83" s="363">
        <v>260</v>
      </c>
      <c r="W83" s="363">
        <v>336</v>
      </c>
      <c r="X83" s="348">
        <f t="shared" si="11"/>
        <v>1584</v>
      </c>
      <c r="Y83" s="363">
        <v>256</v>
      </c>
      <c r="Z83" s="363">
        <v>336</v>
      </c>
      <c r="AA83" s="363">
        <v>336</v>
      </c>
      <c r="AB83" s="363">
        <v>336</v>
      </c>
      <c r="AC83" s="363">
        <v>336</v>
      </c>
      <c r="AD83" s="363">
        <v>254</v>
      </c>
      <c r="AE83" s="348">
        <f t="shared" si="12"/>
        <v>1854</v>
      </c>
      <c r="AF83" s="363">
        <v>316</v>
      </c>
      <c r="AG83" s="363">
        <v>336</v>
      </c>
      <c r="AH83" s="363">
        <v>336</v>
      </c>
      <c r="AI83" s="363">
        <v>320</v>
      </c>
      <c r="AJ83" s="363">
        <v>260</v>
      </c>
      <c r="AK83" s="363">
        <v>320</v>
      </c>
      <c r="AL83" s="348">
        <f t="shared" si="13"/>
        <v>1888</v>
      </c>
      <c r="AM83" s="363">
        <v>332</v>
      </c>
      <c r="AN83" s="363">
        <v>336</v>
      </c>
      <c r="AO83" s="363">
        <v>260</v>
      </c>
      <c r="AP83" s="363">
        <v>328</v>
      </c>
      <c r="AQ83" s="363">
        <v>260</v>
      </c>
      <c r="AR83" s="363">
        <v>130</v>
      </c>
      <c r="AS83" s="348">
        <f t="shared" si="14"/>
        <v>1646</v>
      </c>
      <c r="AT83" s="363">
        <v>252</v>
      </c>
      <c r="AU83" s="363">
        <v>336</v>
      </c>
      <c r="AV83" s="363">
        <v>336</v>
      </c>
      <c r="AW83" s="363">
        <v>336</v>
      </c>
      <c r="AX83" s="363">
        <v>336</v>
      </c>
      <c r="AY83" s="363">
        <v>260</v>
      </c>
      <c r="AZ83" s="348">
        <f t="shared" si="15"/>
        <v>1856</v>
      </c>
      <c r="BA83" s="363">
        <v>256</v>
      </c>
      <c r="BB83" s="363">
        <v>320</v>
      </c>
      <c r="BC83" s="363">
        <v>320</v>
      </c>
      <c r="BD83" s="363">
        <v>260</v>
      </c>
      <c r="BE83" s="348">
        <f t="shared" si="16"/>
        <v>1156</v>
      </c>
      <c r="BF83" s="363">
        <v>192</v>
      </c>
      <c r="BG83" s="348">
        <f t="shared" si="17"/>
        <v>192</v>
      </c>
      <c r="BH83" s="356">
        <v>13564</v>
      </c>
    </row>
    <row r="84" spans="1:60" ht="17.45" customHeight="1">
      <c r="A84" s="357"/>
      <c r="B84" s="354" t="s">
        <v>1800</v>
      </c>
      <c r="C84" s="354" t="s">
        <v>1237</v>
      </c>
      <c r="D84" s="347" t="s">
        <v>1238</v>
      </c>
      <c r="E84" s="347" t="s">
        <v>1801</v>
      </c>
      <c r="F84" s="355">
        <v>864</v>
      </c>
      <c r="G84" s="347">
        <v>864</v>
      </c>
      <c r="H84" s="347">
        <v>288</v>
      </c>
      <c r="I84" s="347"/>
      <c r="J84" s="347"/>
      <c r="K84" s="347">
        <v>864</v>
      </c>
      <c r="L84" s="348">
        <f t="shared" si="9"/>
        <v>2880</v>
      </c>
      <c r="M84" s="347">
        <v>864</v>
      </c>
      <c r="N84" s="347">
        <v>1080</v>
      </c>
      <c r="O84" s="347">
        <v>1080</v>
      </c>
      <c r="P84" s="347">
        <v>864</v>
      </c>
      <c r="Q84" s="347">
        <v>72</v>
      </c>
      <c r="R84" s="348">
        <f t="shared" si="10"/>
        <v>3960</v>
      </c>
      <c r="S84" s="347">
        <v>1080</v>
      </c>
      <c r="T84" s="347">
        <v>1080</v>
      </c>
      <c r="U84" s="347">
        <v>72</v>
      </c>
      <c r="V84" s="347"/>
      <c r="W84" s="347">
        <v>1080</v>
      </c>
      <c r="X84" s="348">
        <f t="shared" si="11"/>
        <v>3312</v>
      </c>
      <c r="Y84" s="347">
        <v>864</v>
      </c>
      <c r="Z84" s="347">
        <v>1080</v>
      </c>
      <c r="AA84" s="347">
        <v>1008</v>
      </c>
      <c r="AB84" s="347"/>
      <c r="AC84" s="347"/>
      <c r="AD84" s="347"/>
      <c r="AE84" s="348">
        <f t="shared" si="12"/>
        <v>2952</v>
      </c>
      <c r="AF84" s="347">
        <v>1152</v>
      </c>
      <c r="AG84" s="347">
        <v>1368</v>
      </c>
      <c r="AH84" s="347">
        <v>576</v>
      </c>
      <c r="AI84" s="347"/>
      <c r="AJ84" s="347"/>
      <c r="AK84" s="347"/>
      <c r="AL84" s="348">
        <f t="shared" si="13"/>
        <v>3096</v>
      </c>
      <c r="AM84" s="347"/>
      <c r="AN84" s="347"/>
      <c r="AO84" s="347"/>
      <c r="AP84" s="347"/>
      <c r="AQ84" s="347"/>
      <c r="AR84" s="347"/>
      <c r="AS84" s="348">
        <f t="shared" si="14"/>
        <v>0</v>
      </c>
      <c r="AT84" s="347">
        <v>1152</v>
      </c>
      <c r="AU84" s="347">
        <v>1368</v>
      </c>
      <c r="AV84" s="347">
        <v>1368</v>
      </c>
      <c r="AW84" s="347">
        <v>288</v>
      </c>
      <c r="AX84" s="347"/>
      <c r="AY84" s="347"/>
      <c r="AZ84" s="348">
        <f t="shared" si="15"/>
        <v>4176</v>
      </c>
      <c r="BA84" s="347">
        <v>1152</v>
      </c>
      <c r="BB84" s="347">
        <v>1368</v>
      </c>
      <c r="BC84" s="347">
        <v>792</v>
      </c>
      <c r="BD84" s="347"/>
      <c r="BE84" s="348">
        <f t="shared" si="16"/>
        <v>3312</v>
      </c>
      <c r="BF84" s="347">
        <v>864</v>
      </c>
      <c r="BG84" s="348">
        <f t="shared" si="17"/>
        <v>864</v>
      </c>
      <c r="BH84" s="356">
        <v>24552</v>
      </c>
    </row>
    <row r="85" spans="1:60" ht="17.45" customHeight="1">
      <c r="A85" s="357"/>
      <c r="B85" s="357"/>
      <c r="C85" s="357"/>
      <c r="D85" s="347" t="s">
        <v>1239</v>
      </c>
      <c r="E85" s="347" t="s">
        <v>1802</v>
      </c>
      <c r="F85" s="355"/>
      <c r="G85" s="347"/>
      <c r="H85" s="347">
        <v>72</v>
      </c>
      <c r="I85" s="347">
        <v>864</v>
      </c>
      <c r="J85" s="347">
        <v>864</v>
      </c>
      <c r="K85" s="347">
        <v>144</v>
      </c>
      <c r="L85" s="348">
        <f t="shared" si="9"/>
        <v>1944</v>
      </c>
      <c r="M85" s="347"/>
      <c r="N85" s="347"/>
      <c r="O85" s="347"/>
      <c r="P85" s="347"/>
      <c r="Q85" s="347">
        <v>792</v>
      </c>
      <c r="R85" s="348">
        <f t="shared" si="10"/>
        <v>792</v>
      </c>
      <c r="S85" s="347"/>
      <c r="T85" s="347"/>
      <c r="U85" s="347">
        <v>720</v>
      </c>
      <c r="V85" s="347">
        <v>864</v>
      </c>
      <c r="W85" s="347"/>
      <c r="X85" s="348">
        <f t="shared" si="11"/>
        <v>1584</v>
      </c>
      <c r="Y85" s="347"/>
      <c r="Z85" s="347"/>
      <c r="AA85" s="347"/>
      <c r="AB85" s="347">
        <v>360</v>
      </c>
      <c r="AC85" s="347">
        <v>864</v>
      </c>
      <c r="AD85" s="347">
        <v>864</v>
      </c>
      <c r="AE85" s="348">
        <f t="shared" si="12"/>
        <v>2088</v>
      </c>
      <c r="AF85" s="347"/>
      <c r="AG85" s="347"/>
      <c r="AH85" s="347">
        <v>792</v>
      </c>
      <c r="AI85" s="347">
        <v>1368</v>
      </c>
      <c r="AJ85" s="347">
        <v>1152</v>
      </c>
      <c r="AK85" s="347">
        <v>648</v>
      </c>
      <c r="AL85" s="348">
        <f t="shared" si="13"/>
        <v>3960</v>
      </c>
      <c r="AM85" s="347">
        <v>1152</v>
      </c>
      <c r="AN85" s="347">
        <v>1368</v>
      </c>
      <c r="AO85" s="347">
        <v>1152</v>
      </c>
      <c r="AP85" s="347">
        <v>1368</v>
      </c>
      <c r="AQ85" s="347">
        <v>1368</v>
      </c>
      <c r="AR85" s="347">
        <v>576</v>
      </c>
      <c r="AS85" s="348">
        <f t="shared" si="14"/>
        <v>6984</v>
      </c>
      <c r="AT85" s="347"/>
      <c r="AU85" s="347"/>
      <c r="AV85" s="347"/>
      <c r="AW85" s="347">
        <v>864</v>
      </c>
      <c r="AX85" s="347">
        <v>1152</v>
      </c>
      <c r="AY85" s="347">
        <v>1152</v>
      </c>
      <c r="AZ85" s="348">
        <f t="shared" si="15"/>
        <v>3168</v>
      </c>
      <c r="BA85" s="347"/>
      <c r="BB85" s="347"/>
      <c r="BC85" s="347">
        <v>216</v>
      </c>
      <c r="BD85" s="347">
        <v>1152</v>
      </c>
      <c r="BE85" s="348">
        <f t="shared" si="16"/>
        <v>1368</v>
      </c>
      <c r="BF85" s="347"/>
      <c r="BG85" s="348">
        <f t="shared" si="17"/>
        <v>0</v>
      </c>
      <c r="BH85" s="356">
        <v>21888</v>
      </c>
    </row>
    <row r="86" spans="1:60" ht="17.45" customHeight="1">
      <c r="A86" s="357"/>
      <c r="B86" s="357"/>
      <c r="C86" s="358"/>
      <c r="D86" s="347" t="s">
        <v>1240</v>
      </c>
      <c r="E86" s="347" t="s">
        <v>1803</v>
      </c>
      <c r="F86" s="355"/>
      <c r="G86" s="347"/>
      <c r="H86" s="347">
        <v>504</v>
      </c>
      <c r="I86" s="347"/>
      <c r="J86" s="347"/>
      <c r="K86" s="347"/>
      <c r="L86" s="348">
        <f t="shared" si="9"/>
        <v>504</v>
      </c>
      <c r="M86" s="347"/>
      <c r="N86" s="347"/>
      <c r="O86" s="347"/>
      <c r="P86" s="347"/>
      <c r="Q86" s="347"/>
      <c r="R86" s="348">
        <f t="shared" si="10"/>
        <v>0</v>
      </c>
      <c r="S86" s="347"/>
      <c r="T86" s="347"/>
      <c r="U86" s="347">
        <v>72</v>
      </c>
      <c r="V86" s="347"/>
      <c r="W86" s="347"/>
      <c r="X86" s="348">
        <f t="shared" si="11"/>
        <v>72</v>
      </c>
      <c r="Y86" s="347"/>
      <c r="Z86" s="347"/>
      <c r="AA86" s="347">
        <v>72</v>
      </c>
      <c r="AB86" s="347">
        <v>504</v>
      </c>
      <c r="AC86" s="347"/>
      <c r="AD86" s="347"/>
      <c r="AE86" s="348">
        <f t="shared" si="12"/>
        <v>576</v>
      </c>
      <c r="AF86" s="347"/>
      <c r="AG86" s="347"/>
      <c r="AH86" s="347"/>
      <c r="AI86" s="347"/>
      <c r="AJ86" s="347"/>
      <c r="AK86" s="347"/>
      <c r="AL86" s="348">
        <f t="shared" si="13"/>
        <v>0</v>
      </c>
      <c r="AM86" s="347"/>
      <c r="AN86" s="347"/>
      <c r="AO86" s="347"/>
      <c r="AP86" s="347"/>
      <c r="AQ86" s="347"/>
      <c r="AR86" s="347"/>
      <c r="AS86" s="348">
        <f t="shared" si="14"/>
        <v>0</v>
      </c>
      <c r="AT86" s="347"/>
      <c r="AU86" s="347"/>
      <c r="AV86" s="347"/>
      <c r="AW86" s="347">
        <v>216</v>
      </c>
      <c r="AX86" s="347"/>
      <c r="AY86" s="347"/>
      <c r="AZ86" s="348">
        <f t="shared" si="15"/>
        <v>216</v>
      </c>
      <c r="BA86" s="347"/>
      <c r="BB86" s="347"/>
      <c r="BC86" s="347">
        <v>360</v>
      </c>
      <c r="BD86" s="347"/>
      <c r="BE86" s="348">
        <f t="shared" si="16"/>
        <v>360</v>
      </c>
      <c r="BF86" s="347"/>
      <c r="BG86" s="348">
        <f t="shared" si="17"/>
        <v>0</v>
      </c>
      <c r="BH86" s="356">
        <v>1728</v>
      </c>
    </row>
    <row r="87" spans="1:60" ht="17.45" customHeight="1">
      <c r="A87" s="357"/>
      <c r="B87" s="357"/>
      <c r="C87" s="364" t="s">
        <v>1834</v>
      </c>
      <c r="D87" s="365"/>
      <c r="E87" s="366"/>
      <c r="F87" s="362">
        <v>864</v>
      </c>
      <c r="G87" s="363">
        <v>864</v>
      </c>
      <c r="H87" s="363">
        <v>864</v>
      </c>
      <c r="I87" s="363">
        <v>864</v>
      </c>
      <c r="J87" s="363">
        <v>864</v>
      </c>
      <c r="K87" s="363">
        <v>1008</v>
      </c>
      <c r="L87" s="348">
        <f t="shared" si="9"/>
        <v>5328</v>
      </c>
      <c r="M87" s="363">
        <v>864</v>
      </c>
      <c r="N87" s="363">
        <v>1080</v>
      </c>
      <c r="O87" s="363">
        <v>1080</v>
      </c>
      <c r="P87" s="363">
        <v>864</v>
      </c>
      <c r="Q87" s="363">
        <v>864</v>
      </c>
      <c r="R87" s="348">
        <f t="shared" si="10"/>
        <v>4752</v>
      </c>
      <c r="S87" s="363">
        <v>1080</v>
      </c>
      <c r="T87" s="363">
        <v>1080</v>
      </c>
      <c r="U87" s="363">
        <v>864</v>
      </c>
      <c r="V87" s="363">
        <v>864</v>
      </c>
      <c r="W87" s="363">
        <v>1080</v>
      </c>
      <c r="X87" s="348">
        <f t="shared" si="11"/>
        <v>4968</v>
      </c>
      <c r="Y87" s="363">
        <v>864</v>
      </c>
      <c r="Z87" s="363">
        <v>1080</v>
      </c>
      <c r="AA87" s="363">
        <v>1080</v>
      </c>
      <c r="AB87" s="363">
        <v>864</v>
      </c>
      <c r="AC87" s="363">
        <v>864</v>
      </c>
      <c r="AD87" s="363">
        <v>864</v>
      </c>
      <c r="AE87" s="348">
        <f t="shared" si="12"/>
        <v>5616</v>
      </c>
      <c r="AF87" s="363">
        <v>1152</v>
      </c>
      <c r="AG87" s="363">
        <v>1368</v>
      </c>
      <c r="AH87" s="363">
        <v>1368</v>
      </c>
      <c r="AI87" s="363">
        <v>1368</v>
      </c>
      <c r="AJ87" s="363">
        <v>1152</v>
      </c>
      <c r="AK87" s="363">
        <v>648</v>
      </c>
      <c r="AL87" s="348">
        <f t="shared" si="13"/>
        <v>7056</v>
      </c>
      <c r="AM87" s="363">
        <v>1152</v>
      </c>
      <c r="AN87" s="363">
        <v>1368</v>
      </c>
      <c r="AO87" s="363">
        <v>1152</v>
      </c>
      <c r="AP87" s="363">
        <v>1368</v>
      </c>
      <c r="AQ87" s="363">
        <v>1368</v>
      </c>
      <c r="AR87" s="363">
        <v>576</v>
      </c>
      <c r="AS87" s="348">
        <f t="shared" si="14"/>
        <v>6984</v>
      </c>
      <c r="AT87" s="363">
        <v>1152</v>
      </c>
      <c r="AU87" s="363">
        <v>1368</v>
      </c>
      <c r="AV87" s="363">
        <v>1368</v>
      </c>
      <c r="AW87" s="363">
        <v>1368</v>
      </c>
      <c r="AX87" s="363">
        <v>1152</v>
      </c>
      <c r="AY87" s="363">
        <v>1152</v>
      </c>
      <c r="AZ87" s="348">
        <f t="shared" si="15"/>
        <v>7560</v>
      </c>
      <c r="BA87" s="363">
        <v>1152</v>
      </c>
      <c r="BB87" s="363">
        <v>1368</v>
      </c>
      <c r="BC87" s="363">
        <v>1368</v>
      </c>
      <c r="BD87" s="363">
        <v>1152</v>
      </c>
      <c r="BE87" s="348">
        <f t="shared" si="16"/>
        <v>5040</v>
      </c>
      <c r="BF87" s="363">
        <v>864</v>
      </c>
      <c r="BG87" s="348">
        <f t="shared" si="17"/>
        <v>864</v>
      </c>
      <c r="BH87" s="356">
        <v>48168</v>
      </c>
    </row>
    <row r="88" spans="1:60" ht="17.45" customHeight="1">
      <c r="A88" s="367" t="s">
        <v>1835</v>
      </c>
      <c r="B88" s="368"/>
      <c r="C88" s="368"/>
      <c r="D88" s="368"/>
      <c r="E88" s="369"/>
      <c r="F88" s="370">
        <v>2427</v>
      </c>
      <c r="G88" s="371">
        <v>2607</v>
      </c>
      <c r="H88" s="371">
        <v>2665</v>
      </c>
      <c r="I88" s="371">
        <v>2559</v>
      </c>
      <c r="J88" s="371">
        <v>2374</v>
      </c>
      <c r="K88" s="371">
        <v>1968</v>
      </c>
      <c r="L88" s="348">
        <f t="shared" si="9"/>
        <v>14600</v>
      </c>
      <c r="M88" s="371">
        <v>2456</v>
      </c>
      <c r="N88" s="371">
        <v>2878</v>
      </c>
      <c r="O88" s="371">
        <v>2901</v>
      </c>
      <c r="P88" s="371">
        <v>2568</v>
      </c>
      <c r="Q88" s="371">
        <v>2898</v>
      </c>
      <c r="R88" s="348">
        <f t="shared" si="10"/>
        <v>13701</v>
      </c>
      <c r="S88" s="371">
        <v>3160</v>
      </c>
      <c r="T88" s="371">
        <v>3220</v>
      </c>
      <c r="U88" s="371">
        <v>2970</v>
      </c>
      <c r="V88" s="371">
        <v>2606</v>
      </c>
      <c r="W88" s="371">
        <v>3136</v>
      </c>
      <c r="X88" s="348">
        <f t="shared" si="11"/>
        <v>15092</v>
      </c>
      <c r="Y88" s="371">
        <v>2482</v>
      </c>
      <c r="Z88" s="371">
        <v>3119</v>
      </c>
      <c r="AA88" s="371">
        <v>3127</v>
      </c>
      <c r="AB88" s="371">
        <v>2728</v>
      </c>
      <c r="AC88" s="371">
        <v>2628</v>
      </c>
      <c r="AD88" s="371">
        <v>2260</v>
      </c>
      <c r="AE88" s="348">
        <f t="shared" si="12"/>
        <v>16344</v>
      </c>
      <c r="AF88" s="371">
        <v>2784</v>
      </c>
      <c r="AG88" s="371">
        <v>3059</v>
      </c>
      <c r="AH88" s="371">
        <v>3059</v>
      </c>
      <c r="AI88" s="371">
        <v>3011</v>
      </c>
      <c r="AJ88" s="371">
        <v>2602</v>
      </c>
      <c r="AK88" s="371">
        <v>2212</v>
      </c>
      <c r="AL88" s="348">
        <f t="shared" si="13"/>
        <v>16727</v>
      </c>
      <c r="AM88" s="371">
        <v>3252</v>
      </c>
      <c r="AN88" s="371">
        <v>3450</v>
      </c>
      <c r="AO88" s="371">
        <v>2866</v>
      </c>
      <c r="AP88" s="371">
        <v>3286</v>
      </c>
      <c r="AQ88" s="371">
        <v>3081</v>
      </c>
      <c r="AR88" s="371">
        <v>1195</v>
      </c>
      <c r="AS88" s="348">
        <f t="shared" si="14"/>
        <v>17130</v>
      </c>
      <c r="AT88" s="371">
        <v>2842</v>
      </c>
      <c r="AU88" s="371">
        <v>3309</v>
      </c>
      <c r="AV88" s="371">
        <v>3321</v>
      </c>
      <c r="AW88" s="371">
        <v>3309</v>
      </c>
      <c r="AX88" s="371">
        <v>3093</v>
      </c>
      <c r="AY88" s="371">
        <v>2865</v>
      </c>
      <c r="AZ88" s="348">
        <f t="shared" si="15"/>
        <v>18739</v>
      </c>
      <c r="BA88" s="371">
        <v>2929</v>
      </c>
      <c r="BB88" s="371">
        <v>3484</v>
      </c>
      <c r="BC88" s="371">
        <v>3272</v>
      </c>
      <c r="BD88" s="371">
        <v>2875</v>
      </c>
      <c r="BE88" s="348">
        <f t="shared" si="16"/>
        <v>12560</v>
      </c>
      <c r="BF88" s="371">
        <v>2034</v>
      </c>
      <c r="BG88" s="348">
        <f t="shared" si="17"/>
        <v>2034</v>
      </c>
      <c r="BH88" s="356">
        <v>126927</v>
      </c>
    </row>
    <row r="91" spans="1:60" ht="18.75">
      <c r="A91" s="372" t="s">
        <v>1836</v>
      </c>
      <c r="F91" s="2" t="s">
        <v>1814</v>
      </c>
      <c r="G91" t="s">
        <v>1815</v>
      </c>
      <c r="H91" t="s">
        <v>1815</v>
      </c>
      <c r="I91" t="s">
        <v>1815</v>
      </c>
      <c r="J91" t="s">
        <v>1815</v>
      </c>
      <c r="K91" t="s">
        <v>1815</v>
      </c>
      <c r="M91" t="s">
        <v>1815</v>
      </c>
      <c r="N91" t="s">
        <v>1816</v>
      </c>
      <c r="O91" t="s">
        <v>1815</v>
      </c>
      <c r="P91" t="s">
        <v>1815</v>
      </c>
      <c r="Q91" t="s">
        <v>1815</v>
      </c>
      <c r="S91" t="s">
        <v>1815</v>
      </c>
      <c r="T91" t="s">
        <v>1815</v>
      </c>
      <c r="U91" t="s">
        <v>1815</v>
      </c>
      <c r="V91" t="s">
        <v>1815</v>
      </c>
      <c r="W91" t="s">
        <v>1815</v>
      </c>
      <c r="Y91" t="s">
        <v>1815</v>
      </c>
      <c r="Z91" t="s">
        <v>1815</v>
      </c>
      <c r="AA91" t="s">
        <v>1815</v>
      </c>
      <c r="AB91" t="s">
        <v>1815</v>
      </c>
      <c r="AC91" t="s">
        <v>1815</v>
      </c>
      <c r="AD91" t="s">
        <v>1815</v>
      </c>
      <c r="AF91" t="s">
        <v>1815</v>
      </c>
      <c r="AG91" t="s">
        <v>1815</v>
      </c>
      <c r="AH91" t="s">
        <v>1815</v>
      </c>
      <c r="AI91" t="s">
        <v>1815</v>
      </c>
      <c r="AJ91" t="s">
        <v>1815</v>
      </c>
      <c r="AK91" t="s">
        <v>1815</v>
      </c>
      <c r="AM91" t="s">
        <v>1815</v>
      </c>
      <c r="AN91" t="s">
        <v>1815</v>
      </c>
      <c r="AO91" t="s">
        <v>1815</v>
      </c>
      <c r="AP91" t="s">
        <v>1817</v>
      </c>
      <c r="AQ91" t="s">
        <v>1815</v>
      </c>
      <c r="AR91" t="s">
        <v>1815</v>
      </c>
      <c r="AT91" t="s">
        <v>1815</v>
      </c>
      <c r="AU91" t="s">
        <v>1815</v>
      </c>
      <c r="AV91" t="s">
        <v>1815</v>
      </c>
      <c r="AW91" t="s">
        <v>1815</v>
      </c>
      <c r="AX91" t="s">
        <v>1815</v>
      </c>
      <c r="AY91" t="s">
        <v>1815</v>
      </c>
      <c r="BA91" t="s">
        <v>1815</v>
      </c>
      <c r="BB91" t="s">
        <v>1815</v>
      </c>
      <c r="BC91" t="s">
        <v>1815</v>
      </c>
      <c r="BD91" t="s">
        <v>1815</v>
      </c>
      <c r="BF91" t="s">
        <v>1815</v>
      </c>
    </row>
    <row r="92" spans="1:60">
      <c r="A92" s="343"/>
      <c r="B92" s="344"/>
      <c r="C92" s="344"/>
      <c r="D92" s="344"/>
      <c r="E92" s="345"/>
      <c r="F92" s="346" t="s">
        <v>1818</v>
      </c>
      <c r="G92" s="347" t="s">
        <v>1819</v>
      </c>
      <c r="H92" s="347" t="s">
        <v>1820</v>
      </c>
      <c r="I92" s="347" t="s">
        <v>1821</v>
      </c>
      <c r="J92" s="347" t="s">
        <v>1822</v>
      </c>
      <c r="K92" s="347" t="s">
        <v>1823</v>
      </c>
      <c r="L92" s="347" t="s">
        <v>1824</v>
      </c>
      <c r="M92" s="347" t="s">
        <v>1818</v>
      </c>
      <c r="N92" s="347" t="s">
        <v>1819</v>
      </c>
      <c r="O92" s="347" t="s">
        <v>1820</v>
      </c>
      <c r="P92" s="347" t="s">
        <v>1821</v>
      </c>
      <c r="Q92" s="347" t="s">
        <v>1822</v>
      </c>
      <c r="R92" s="347" t="s">
        <v>1824</v>
      </c>
      <c r="S92" s="347" t="s">
        <v>1819</v>
      </c>
      <c r="T92" s="347" t="s">
        <v>1820</v>
      </c>
      <c r="U92" s="347" t="s">
        <v>1821</v>
      </c>
      <c r="V92" s="347" t="s">
        <v>1822</v>
      </c>
      <c r="W92" s="347" t="s">
        <v>1823</v>
      </c>
      <c r="X92" s="347" t="s">
        <v>1824</v>
      </c>
      <c r="Y92" s="347" t="s">
        <v>1818</v>
      </c>
      <c r="Z92" s="347" t="s">
        <v>1819</v>
      </c>
      <c r="AA92" s="347" t="s">
        <v>1820</v>
      </c>
      <c r="AB92" s="347" t="s">
        <v>1821</v>
      </c>
      <c r="AC92" s="347" t="s">
        <v>1822</v>
      </c>
      <c r="AD92" s="347" t="s">
        <v>1823</v>
      </c>
      <c r="AE92" s="347" t="s">
        <v>1824</v>
      </c>
      <c r="AF92" s="347" t="s">
        <v>1818</v>
      </c>
      <c r="AG92" s="347" t="s">
        <v>1819</v>
      </c>
      <c r="AH92" s="347" t="s">
        <v>1820</v>
      </c>
      <c r="AI92" s="347" t="s">
        <v>1821</v>
      </c>
      <c r="AJ92" s="347" t="s">
        <v>1822</v>
      </c>
      <c r="AK92" s="347" t="s">
        <v>1823</v>
      </c>
      <c r="AL92" s="347" t="s">
        <v>1824</v>
      </c>
      <c r="AM92" s="347" t="s">
        <v>1818</v>
      </c>
      <c r="AN92" s="347" t="s">
        <v>1819</v>
      </c>
      <c r="AO92" s="347" t="s">
        <v>1820</v>
      </c>
      <c r="AP92" s="347" t="s">
        <v>1821</v>
      </c>
      <c r="AQ92" s="347" t="s">
        <v>1822</v>
      </c>
      <c r="AR92" s="347" t="s">
        <v>1823</v>
      </c>
      <c r="AS92" s="347" t="s">
        <v>1824</v>
      </c>
      <c r="AT92" s="347" t="s">
        <v>1818</v>
      </c>
      <c r="AU92" s="347" t="s">
        <v>1819</v>
      </c>
      <c r="AV92" s="347" t="s">
        <v>1820</v>
      </c>
      <c r="AW92" s="347" t="s">
        <v>1821</v>
      </c>
      <c r="AX92" s="347" t="s">
        <v>1822</v>
      </c>
      <c r="AY92" s="347" t="s">
        <v>1823</v>
      </c>
      <c r="AZ92" s="347" t="s">
        <v>1824</v>
      </c>
      <c r="BA92" s="347" t="s">
        <v>1820</v>
      </c>
      <c r="BB92" s="347" t="s">
        <v>1821</v>
      </c>
      <c r="BC92" s="347" t="s">
        <v>1822</v>
      </c>
      <c r="BD92" s="347" t="s">
        <v>1823</v>
      </c>
      <c r="BE92" s="347" t="s">
        <v>1824</v>
      </c>
      <c r="BF92" s="347" t="s">
        <v>1818</v>
      </c>
      <c r="BG92" s="348" t="s">
        <v>1824</v>
      </c>
      <c r="BH92" s="349"/>
    </row>
    <row r="93" spans="1:60">
      <c r="A93" s="350" t="s">
        <v>1777</v>
      </c>
      <c r="B93" s="350" t="s">
        <v>1778</v>
      </c>
      <c r="C93" s="350" t="s">
        <v>0</v>
      </c>
      <c r="D93" s="350" t="s">
        <v>1</v>
      </c>
      <c r="E93" s="350" t="s">
        <v>1779</v>
      </c>
      <c r="F93" s="351">
        <v>44067</v>
      </c>
      <c r="G93" s="352">
        <v>44068</v>
      </c>
      <c r="H93" s="352">
        <v>44069</v>
      </c>
      <c r="I93" s="352">
        <v>44070</v>
      </c>
      <c r="J93" s="352">
        <v>44071</v>
      </c>
      <c r="K93" s="352">
        <v>44072</v>
      </c>
      <c r="L93" s="353" t="s">
        <v>1825</v>
      </c>
      <c r="M93" s="352">
        <v>44074</v>
      </c>
      <c r="N93" s="352">
        <v>44075</v>
      </c>
      <c r="O93" s="352">
        <v>44076</v>
      </c>
      <c r="P93" s="352">
        <v>44077</v>
      </c>
      <c r="Q93" s="352">
        <v>44078</v>
      </c>
      <c r="R93" s="353" t="s">
        <v>1825</v>
      </c>
      <c r="S93" s="352">
        <v>44082</v>
      </c>
      <c r="T93" s="352">
        <v>44083</v>
      </c>
      <c r="U93" s="352">
        <v>44084</v>
      </c>
      <c r="V93" s="352">
        <v>44085</v>
      </c>
      <c r="W93" s="352">
        <v>44086</v>
      </c>
      <c r="X93" s="353" t="s">
        <v>1825</v>
      </c>
      <c r="Y93" s="352">
        <v>44088</v>
      </c>
      <c r="Z93" s="352">
        <v>44089</v>
      </c>
      <c r="AA93" s="352">
        <v>44090</v>
      </c>
      <c r="AB93" s="352">
        <v>44091</v>
      </c>
      <c r="AC93" s="352">
        <v>44092</v>
      </c>
      <c r="AD93" s="352">
        <v>44093</v>
      </c>
      <c r="AE93" s="353" t="s">
        <v>1825</v>
      </c>
      <c r="AF93" s="352">
        <v>44095</v>
      </c>
      <c r="AG93" s="352">
        <v>44096</v>
      </c>
      <c r="AH93" s="352">
        <v>44097</v>
      </c>
      <c r="AI93" s="352">
        <v>44098</v>
      </c>
      <c r="AJ93" s="352">
        <v>44099</v>
      </c>
      <c r="AK93" s="352">
        <v>44100</v>
      </c>
      <c r="AL93" s="353" t="s">
        <v>1825</v>
      </c>
      <c r="AM93" s="352">
        <v>44102</v>
      </c>
      <c r="AN93" s="352">
        <v>44103</v>
      </c>
      <c r="AO93" s="352">
        <v>44104</v>
      </c>
      <c r="AP93" s="352">
        <v>44105</v>
      </c>
      <c r="AQ93" s="352">
        <v>44106</v>
      </c>
      <c r="AR93" s="352">
        <v>44107</v>
      </c>
      <c r="AS93" s="353" t="s">
        <v>1825</v>
      </c>
      <c r="AT93" s="352">
        <v>44109</v>
      </c>
      <c r="AU93" s="352">
        <v>44110</v>
      </c>
      <c r="AV93" s="352">
        <v>44111</v>
      </c>
      <c r="AW93" s="352">
        <v>44112</v>
      </c>
      <c r="AX93" s="352">
        <v>44113</v>
      </c>
      <c r="AY93" s="352">
        <v>44114</v>
      </c>
      <c r="AZ93" s="353" t="s">
        <v>1825</v>
      </c>
      <c r="BA93" s="352">
        <v>44118</v>
      </c>
      <c r="BB93" s="352">
        <v>44119</v>
      </c>
      <c r="BC93" s="352">
        <v>44120</v>
      </c>
      <c r="BD93" s="352">
        <v>44121</v>
      </c>
      <c r="BE93" s="353" t="s">
        <v>1825</v>
      </c>
      <c r="BF93" s="352">
        <v>44123</v>
      </c>
      <c r="BG93" s="353" t="s">
        <v>1825</v>
      </c>
      <c r="BH93" s="349" t="s">
        <v>1826</v>
      </c>
    </row>
    <row r="94" spans="1:60" ht="17.45" customHeight="1">
      <c r="A94" s="354" t="s">
        <v>1218</v>
      </c>
      <c r="B94" s="354" t="s">
        <v>1780</v>
      </c>
      <c r="C94" s="354" t="s">
        <v>1219</v>
      </c>
      <c r="D94" s="347" t="s">
        <v>1220</v>
      </c>
      <c r="E94" s="347" t="s">
        <v>1781</v>
      </c>
      <c r="F94" s="355">
        <v>360</v>
      </c>
      <c r="G94" s="347">
        <v>192</v>
      </c>
      <c r="H94" s="347"/>
      <c r="I94" s="347"/>
      <c r="J94" s="347"/>
      <c r="K94" s="347"/>
      <c r="L94" s="348">
        <f t="shared" ref="L94:L157" si="18">SUM(F94:K94)</f>
        <v>552</v>
      </c>
      <c r="M94" s="347">
        <v>350</v>
      </c>
      <c r="N94" s="347">
        <v>350</v>
      </c>
      <c r="O94" s="347">
        <v>53</v>
      </c>
      <c r="P94" s="347"/>
      <c r="Q94" s="347"/>
      <c r="R94" s="348">
        <f t="shared" ref="R94:R157" si="19">SUM(M94:Q94)</f>
        <v>753</v>
      </c>
      <c r="S94" s="347">
        <v>290</v>
      </c>
      <c r="T94" s="347">
        <v>298</v>
      </c>
      <c r="U94" s="347"/>
      <c r="V94" s="347"/>
      <c r="W94" s="347"/>
      <c r="X94" s="348">
        <f t="shared" ref="X94:X157" si="20">SUM(S94:W94)</f>
        <v>588</v>
      </c>
      <c r="Y94" s="347">
        <v>198</v>
      </c>
      <c r="Z94" s="347"/>
      <c r="AA94" s="347"/>
      <c r="AB94" s="347"/>
      <c r="AC94" s="347"/>
      <c r="AD94" s="347"/>
      <c r="AE94" s="348">
        <f t="shared" ref="AE94:AE157" si="21">SUM(Y94:AD94)</f>
        <v>198</v>
      </c>
      <c r="AF94" s="347">
        <v>340</v>
      </c>
      <c r="AG94" s="347">
        <v>294</v>
      </c>
      <c r="AH94" s="347"/>
      <c r="AI94" s="347"/>
      <c r="AJ94" s="347"/>
      <c r="AK94" s="347"/>
      <c r="AL94" s="348">
        <f t="shared" ref="AL94:AL157" si="22">SUM(AF94:AK94)</f>
        <v>634</v>
      </c>
      <c r="AM94" s="347">
        <v>374</v>
      </c>
      <c r="AN94" s="347">
        <v>374</v>
      </c>
      <c r="AO94" s="347">
        <v>157</v>
      </c>
      <c r="AP94" s="347"/>
      <c r="AQ94" s="347"/>
      <c r="AR94" s="347"/>
      <c r="AS94" s="348">
        <f t="shared" ref="AS94:AS157" si="23">SUM(AM94:AR94)</f>
        <v>905</v>
      </c>
      <c r="AT94" s="347">
        <v>340</v>
      </c>
      <c r="AU94" s="347">
        <v>340</v>
      </c>
      <c r="AV94" s="347">
        <v>340</v>
      </c>
      <c r="AW94" s="347">
        <v>54</v>
      </c>
      <c r="AX94" s="347"/>
      <c r="AY94" s="347"/>
      <c r="AZ94" s="348">
        <f t="shared" ref="AZ94:AZ157" si="24">SUM(AT94:AY94)</f>
        <v>1074</v>
      </c>
      <c r="BA94" s="347">
        <v>340</v>
      </c>
      <c r="BB94" s="347">
        <v>121</v>
      </c>
      <c r="BC94" s="347"/>
      <c r="BD94" s="347"/>
      <c r="BE94" s="348">
        <f t="shared" ref="BE94:BE157" si="25">SUM(BA94:BD94)</f>
        <v>461</v>
      </c>
      <c r="BF94" s="347">
        <v>255</v>
      </c>
      <c r="BG94" s="348">
        <f t="shared" ref="BG94:BG157" si="26">SUM(BF94:BF94)</f>
        <v>255</v>
      </c>
      <c r="BH94" s="356">
        <v>5420</v>
      </c>
    </row>
    <row r="95" spans="1:60" ht="17.45" customHeight="1">
      <c r="A95" s="357"/>
      <c r="B95" s="357"/>
      <c r="C95" s="357"/>
      <c r="D95" s="347" t="s">
        <v>1221</v>
      </c>
      <c r="E95" s="347" t="s">
        <v>1782</v>
      </c>
      <c r="F95" s="355"/>
      <c r="G95" s="347">
        <v>99</v>
      </c>
      <c r="H95" s="347"/>
      <c r="I95" s="347"/>
      <c r="J95" s="347"/>
      <c r="K95" s="347"/>
      <c r="L95" s="348">
        <f t="shared" si="18"/>
        <v>99</v>
      </c>
      <c r="M95" s="347"/>
      <c r="N95" s="347"/>
      <c r="O95" s="347">
        <v>150</v>
      </c>
      <c r="P95" s="347"/>
      <c r="Q95" s="347"/>
      <c r="R95" s="348">
        <f t="shared" si="19"/>
        <v>150</v>
      </c>
      <c r="S95" s="347"/>
      <c r="T95" s="347"/>
      <c r="U95" s="347"/>
      <c r="V95" s="347"/>
      <c r="W95" s="347"/>
      <c r="X95" s="348">
        <f t="shared" si="20"/>
        <v>0</v>
      </c>
      <c r="Y95" s="347">
        <v>72</v>
      </c>
      <c r="Z95" s="347"/>
      <c r="AA95" s="347"/>
      <c r="AB95" s="347"/>
      <c r="AC95" s="347"/>
      <c r="AD95" s="347"/>
      <c r="AE95" s="348">
        <f t="shared" si="21"/>
        <v>72</v>
      </c>
      <c r="AF95" s="347"/>
      <c r="AG95" s="347">
        <v>46</v>
      </c>
      <c r="AH95" s="347">
        <v>145</v>
      </c>
      <c r="AI95" s="347"/>
      <c r="AJ95" s="347"/>
      <c r="AK95" s="347"/>
      <c r="AL95" s="348">
        <f t="shared" si="22"/>
        <v>191</v>
      </c>
      <c r="AM95" s="347"/>
      <c r="AN95" s="347"/>
      <c r="AO95" s="347">
        <v>150</v>
      </c>
      <c r="AP95" s="347"/>
      <c r="AQ95" s="347"/>
      <c r="AR95" s="347"/>
      <c r="AS95" s="348">
        <f t="shared" si="23"/>
        <v>150</v>
      </c>
      <c r="AT95" s="347"/>
      <c r="AU95" s="347"/>
      <c r="AV95" s="347"/>
      <c r="AW95" s="347"/>
      <c r="AX95" s="347"/>
      <c r="AY95" s="347"/>
      <c r="AZ95" s="348">
        <f t="shared" si="24"/>
        <v>0</v>
      </c>
      <c r="BA95" s="347"/>
      <c r="BB95" s="347"/>
      <c r="BC95" s="347"/>
      <c r="BD95" s="347"/>
      <c r="BE95" s="348">
        <f t="shared" si="25"/>
        <v>0</v>
      </c>
      <c r="BF95" s="347"/>
      <c r="BG95" s="348">
        <f t="shared" si="26"/>
        <v>0</v>
      </c>
      <c r="BH95" s="356">
        <v>662</v>
      </c>
    </row>
    <row r="96" spans="1:60" ht="17.45" customHeight="1">
      <c r="A96" s="357"/>
      <c r="B96" s="357"/>
      <c r="C96" s="357"/>
      <c r="D96" s="347" t="s">
        <v>1223</v>
      </c>
      <c r="E96" s="347" t="s">
        <v>1783</v>
      </c>
      <c r="F96" s="355"/>
      <c r="G96" s="347">
        <v>28</v>
      </c>
      <c r="H96" s="347"/>
      <c r="I96" s="347"/>
      <c r="J96" s="347"/>
      <c r="K96" s="347"/>
      <c r="L96" s="348">
        <f t="shared" si="18"/>
        <v>28</v>
      </c>
      <c r="M96" s="347"/>
      <c r="N96" s="347"/>
      <c r="O96" s="347"/>
      <c r="P96" s="347"/>
      <c r="Q96" s="347"/>
      <c r="R96" s="348">
        <f t="shared" si="19"/>
        <v>0</v>
      </c>
      <c r="S96" s="347"/>
      <c r="T96" s="347">
        <v>3</v>
      </c>
      <c r="U96" s="347"/>
      <c r="V96" s="347"/>
      <c r="W96" s="347"/>
      <c r="X96" s="348">
        <f t="shared" si="20"/>
        <v>3</v>
      </c>
      <c r="Y96" s="347">
        <v>4</v>
      </c>
      <c r="Z96" s="347"/>
      <c r="AA96" s="347"/>
      <c r="AB96" s="347"/>
      <c r="AC96" s="347"/>
      <c r="AD96" s="347"/>
      <c r="AE96" s="348">
        <f t="shared" si="21"/>
        <v>4</v>
      </c>
      <c r="AF96" s="347"/>
      <c r="AG96" s="347"/>
      <c r="AH96" s="347">
        <v>5</v>
      </c>
      <c r="AI96" s="347"/>
      <c r="AJ96" s="347"/>
      <c r="AK96" s="347"/>
      <c r="AL96" s="348">
        <f t="shared" si="22"/>
        <v>5</v>
      </c>
      <c r="AM96" s="347"/>
      <c r="AN96" s="347"/>
      <c r="AO96" s="347">
        <v>3</v>
      </c>
      <c r="AP96" s="347"/>
      <c r="AQ96" s="347"/>
      <c r="AR96" s="347"/>
      <c r="AS96" s="348">
        <f t="shared" si="23"/>
        <v>3</v>
      </c>
      <c r="AT96" s="347"/>
      <c r="AU96" s="347"/>
      <c r="AV96" s="347"/>
      <c r="AW96" s="347">
        <v>4</v>
      </c>
      <c r="AX96" s="347"/>
      <c r="AY96" s="347"/>
      <c r="AZ96" s="348">
        <f t="shared" si="24"/>
        <v>4</v>
      </c>
      <c r="BA96" s="347"/>
      <c r="BB96" s="347">
        <v>4</v>
      </c>
      <c r="BC96" s="347"/>
      <c r="BD96" s="347"/>
      <c r="BE96" s="348">
        <f t="shared" si="25"/>
        <v>4</v>
      </c>
      <c r="BF96" s="347"/>
      <c r="BG96" s="348">
        <f t="shared" si="26"/>
        <v>0</v>
      </c>
      <c r="BH96" s="356">
        <v>51</v>
      </c>
    </row>
    <row r="97" spans="1:60" ht="17.45" customHeight="1">
      <c r="A97" s="357"/>
      <c r="B97" s="357"/>
      <c r="C97" s="357"/>
      <c r="D97" s="347" t="s">
        <v>1224</v>
      </c>
      <c r="E97" s="347" t="s">
        <v>1784</v>
      </c>
      <c r="F97" s="355"/>
      <c r="G97" s="347">
        <v>1</v>
      </c>
      <c r="H97" s="347"/>
      <c r="I97" s="347"/>
      <c r="J97" s="347"/>
      <c r="K97" s="347"/>
      <c r="L97" s="348">
        <f t="shared" si="18"/>
        <v>1</v>
      </c>
      <c r="M97" s="347"/>
      <c r="N97" s="347"/>
      <c r="O97" s="347"/>
      <c r="P97" s="347"/>
      <c r="Q97" s="347"/>
      <c r="R97" s="348">
        <f t="shared" si="19"/>
        <v>0</v>
      </c>
      <c r="S97" s="347"/>
      <c r="T97" s="347"/>
      <c r="U97" s="347"/>
      <c r="V97" s="347"/>
      <c r="W97" s="347"/>
      <c r="X97" s="348">
        <f t="shared" si="20"/>
        <v>0</v>
      </c>
      <c r="Y97" s="347">
        <v>12</v>
      </c>
      <c r="Z97" s="347"/>
      <c r="AA97" s="347"/>
      <c r="AB97" s="347"/>
      <c r="AC97" s="347"/>
      <c r="AD97" s="347"/>
      <c r="AE97" s="348">
        <f t="shared" si="21"/>
        <v>12</v>
      </c>
      <c r="AF97" s="347"/>
      <c r="AG97" s="347"/>
      <c r="AH97" s="347">
        <v>3</v>
      </c>
      <c r="AI97" s="347"/>
      <c r="AJ97" s="347"/>
      <c r="AK97" s="347"/>
      <c r="AL97" s="348">
        <f t="shared" si="22"/>
        <v>3</v>
      </c>
      <c r="AM97" s="347"/>
      <c r="AN97" s="347"/>
      <c r="AO97" s="347"/>
      <c r="AP97" s="347"/>
      <c r="AQ97" s="347"/>
      <c r="AR97" s="347"/>
      <c r="AS97" s="348">
        <f t="shared" si="23"/>
        <v>0</v>
      </c>
      <c r="AT97" s="347"/>
      <c r="AU97" s="347"/>
      <c r="AV97" s="347"/>
      <c r="AW97" s="347"/>
      <c r="AX97" s="347"/>
      <c r="AY97" s="347"/>
      <c r="AZ97" s="348">
        <f t="shared" si="24"/>
        <v>0</v>
      </c>
      <c r="BA97" s="347"/>
      <c r="BB97" s="347"/>
      <c r="BC97" s="347"/>
      <c r="BD97" s="347"/>
      <c r="BE97" s="348">
        <f t="shared" si="25"/>
        <v>0</v>
      </c>
      <c r="BF97" s="347"/>
      <c r="BG97" s="348">
        <f t="shared" si="26"/>
        <v>0</v>
      </c>
      <c r="BH97" s="356">
        <v>16</v>
      </c>
    </row>
    <row r="98" spans="1:60" ht="17.45" customHeight="1">
      <c r="A98" s="357"/>
      <c r="B98" s="357"/>
      <c r="C98" s="357"/>
      <c r="D98" s="347" t="s">
        <v>1116</v>
      </c>
      <c r="E98" s="347" t="s">
        <v>1785</v>
      </c>
      <c r="F98" s="355"/>
      <c r="G98" s="347"/>
      <c r="H98" s="347"/>
      <c r="I98" s="347"/>
      <c r="J98" s="347"/>
      <c r="K98" s="347"/>
      <c r="L98" s="348">
        <f t="shared" si="18"/>
        <v>0</v>
      </c>
      <c r="M98" s="347"/>
      <c r="N98" s="347"/>
      <c r="O98" s="347"/>
      <c r="P98" s="347"/>
      <c r="Q98" s="347"/>
      <c r="R98" s="348">
        <f t="shared" si="19"/>
        <v>0</v>
      </c>
      <c r="S98" s="347"/>
      <c r="T98" s="347"/>
      <c r="U98" s="347"/>
      <c r="V98" s="347"/>
      <c r="W98" s="347"/>
      <c r="X98" s="348">
        <f t="shared" si="20"/>
        <v>0</v>
      </c>
      <c r="Y98" s="347">
        <v>54</v>
      </c>
      <c r="Z98" s="347">
        <v>25</v>
      </c>
      <c r="AA98" s="347"/>
      <c r="AB98" s="347"/>
      <c r="AC98" s="347"/>
      <c r="AD98" s="347"/>
      <c r="AE98" s="348">
        <f t="shared" si="21"/>
        <v>79</v>
      </c>
      <c r="AF98" s="347"/>
      <c r="AG98" s="347"/>
      <c r="AH98" s="347">
        <v>27</v>
      </c>
      <c r="AI98" s="347"/>
      <c r="AJ98" s="347"/>
      <c r="AK98" s="347"/>
      <c r="AL98" s="348">
        <f t="shared" si="22"/>
        <v>27</v>
      </c>
      <c r="AM98" s="347"/>
      <c r="AN98" s="347"/>
      <c r="AO98" s="347">
        <v>12</v>
      </c>
      <c r="AP98" s="347"/>
      <c r="AQ98" s="347"/>
      <c r="AR98" s="347"/>
      <c r="AS98" s="348">
        <f t="shared" si="23"/>
        <v>12</v>
      </c>
      <c r="AT98" s="347"/>
      <c r="AU98" s="347"/>
      <c r="AV98" s="347"/>
      <c r="AW98" s="347">
        <v>11</v>
      </c>
      <c r="AX98" s="347"/>
      <c r="AY98" s="347"/>
      <c r="AZ98" s="348">
        <f t="shared" si="24"/>
        <v>11</v>
      </c>
      <c r="BA98" s="347"/>
      <c r="BB98" s="347">
        <v>21</v>
      </c>
      <c r="BC98" s="347"/>
      <c r="BD98" s="347"/>
      <c r="BE98" s="348">
        <f t="shared" si="25"/>
        <v>21</v>
      </c>
      <c r="BF98" s="347"/>
      <c r="BG98" s="348">
        <f t="shared" si="26"/>
        <v>0</v>
      </c>
      <c r="BH98" s="356">
        <v>150</v>
      </c>
    </row>
    <row r="99" spans="1:60" ht="17.45" customHeight="1">
      <c r="A99" s="357"/>
      <c r="B99" s="357"/>
      <c r="C99" s="357"/>
      <c r="D99" s="347" t="s">
        <v>1214</v>
      </c>
      <c r="E99" s="347" t="s">
        <v>1786</v>
      </c>
      <c r="F99" s="355"/>
      <c r="G99" s="347">
        <v>6</v>
      </c>
      <c r="H99" s="347"/>
      <c r="I99" s="347"/>
      <c r="J99" s="347"/>
      <c r="K99" s="347"/>
      <c r="L99" s="348">
        <f t="shared" si="18"/>
        <v>6</v>
      </c>
      <c r="M99" s="347"/>
      <c r="N99" s="347"/>
      <c r="O99" s="347">
        <v>1</v>
      </c>
      <c r="P99" s="347"/>
      <c r="Q99" s="347"/>
      <c r="R99" s="348">
        <f t="shared" si="19"/>
        <v>1</v>
      </c>
      <c r="S99" s="347"/>
      <c r="T99" s="347">
        <v>1</v>
      </c>
      <c r="U99" s="347"/>
      <c r="V99" s="347"/>
      <c r="W99" s="347"/>
      <c r="X99" s="348">
        <f t="shared" si="20"/>
        <v>1</v>
      </c>
      <c r="Y99" s="347"/>
      <c r="Z99" s="347"/>
      <c r="AA99" s="347"/>
      <c r="AB99" s="347"/>
      <c r="AC99" s="347"/>
      <c r="AD99" s="347"/>
      <c r="AE99" s="348">
        <f t="shared" si="21"/>
        <v>0</v>
      </c>
      <c r="AF99" s="347"/>
      <c r="AG99" s="347"/>
      <c r="AH99" s="347"/>
      <c r="AI99" s="347"/>
      <c r="AJ99" s="347"/>
      <c r="AK99" s="347"/>
      <c r="AL99" s="348">
        <f t="shared" si="22"/>
        <v>0</v>
      </c>
      <c r="AM99" s="347"/>
      <c r="AN99" s="347"/>
      <c r="AO99" s="347"/>
      <c r="AP99" s="347"/>
      <c r="AQ99" s="347"/>
      <c r="AR99" s="347"/>
      <c r="AS99" s="348">
        <f t="shared" si="23"/>
        <v>0</v>
      </c>
      <c r="AT99" s="347"/>
      <c r="AU99" s="347"/>
      <c r="AV99" s="347"/>
      <c r="AW99" s="347"/>
      <c r="AX99" s="347"/>
      <c r="AY99" s="347"/>
      <c r="AZ99" s="348">
        <f t="shared" si="24"/>
        <v>0</v>
      </c>
      <c r="BA99" s="347"/>
      <c r="BB99" s="347"/>
      <c r="BC99" s="347"/>
      <c r="BD99" s="347"/>
      <c r="BE99" s="348">
        <f t="shared" si="25"/>
        <v>0</v>
      </c>
      <c r="BF99" s="347"/>
      <c r="BG99" s="348">
        <f t="shared" si="26"/>
        <v>0</v>
      </c>
      <c r="BH99" s="356">
        <v>8</v>
      </c>
    </row>
    <row r="100" spans="1:60" ht="17.45" customHeight="1">
      <c r="A100" s="357"/>
      <c r="B100" s="357"/>
      <c r="C100" s="357"/>
      <c r="D100" s="347" t="s">
        <v>1074</v>
      </c>
      <c r="E100" s="347" t="s">
        <v>1075</v>
      </c>
      <c r="F100" s="355"/>
      <c r="G100" s="347">
        <v>34</v>
      </c>
      <c r="H100" s="347">
        <v>360</v>
      </c>
      <c r="I100" s="347">
        <v>127</v>
      </c>
      <c r="J100" s="347"/>
      <c r="K100" s="347"/>
      <c r="L100" s="348">
        <f t="shared" si="18"/>
        <v>521</v>
      </c>
      <c r="M100" s="347"/>
      <c r="N100" s="347"/>
      <c r="O100" s="347">
        <v>146</v>
      </c>
      <c r="P100" s="347">
        <v>294</v>
      </c>
      <c r="Q100" s="347"/>
      <c r="R100" s="348">
        <f t="shared" si="19"/>
        <v>440</v>
      </c>
      <c r="S100" s="347"/>
      <c r="T100" s="347">
        <v>8</v>
      </c>
      <c r="U100" s="347">
        <v>400</v>
      </c>
      <c r="V100" s="347">
        <v>245</v>
      </c>
      <c r="W100" s="347"/>
      <c r="X100" s="348">
        <f t="shared" si="20"/>
        <v>653</v>
      </c>
      <c r="Y100" s="347"/>
      <c r="Z100" s="347">
        <v>315</v>
      </c>
      <c r="AA100" s="347">
        <v>234</v>
      </c>
      <c r="AB100" s="347"/>
      <c r="AC100" s="347"/>
      <c r="AD100" s="347"/>
      <c r="AE100" s="348">
        <f t="shared" si="21"/>
        <v>549</v>
      </c>
      <c r="AF100" s="347"/>
      <c r="AG100" s="347"/>
      <c r="AH100" s="347">
        <v>160</v>
      </c>
      <c r="AI100" s="347">
        <v>340</v>
      </c>
      <c r="AJ100" s="347">
        <v>82</v>
      </c>
      <c r="AK100" s="347"/>
      <c r="AL100" s="348">
        <f t="shared" si="22"/>
        <v>582</v>
      </c>
      <c r="AM100" s="347"/>
      <c r="AN100" s="347"/>
      <c r="AO100" s="347">
        <v>52</v>
      </c>
      <c r="AP100" s="347">
        <v>250</v>
      </c>
      <c r="AQ100" s="347"/>
      <c r="AR100" s="347"/>
      <c r="AS100" s="348">
        <f t="shared" si="23"/>
        <v>302</v>
      </c>
      <c r="AT100" s="347"/>
      <c r="AU100" s="347"/>
      <c r="AV100" s="347"/>
      <c r="AW100" s="347">
        <v>271</v>
      </c>
      <c r="AX100" s="347">
        <v>254</v>
      </c>
      <c r="AY100" s="347"/>
      <c r="AZ100" s="348">
        <f t="shared" si="24"/>
        <v>525</v>
      </c>
      <c r="BA100" s="347"/>
      <c r="BB100" s="347">
        <v>194</v>
      </c>
      <c r="BC100" s="347">
        <v>240</v>
      </c>
      <c r="BD100" s="347"/>
      <c r="BE100" s="348">
        <f t="shared" si="25"/>
        <v>434</v>
      </c>
      <c r="BF100" s="347"/>
      <c r="BG100" s="348">
        <f t="shared" si="26"/>
        <v>0</v>
      </c>
      <c r="BH100" s="356">
        <v>4006</v>
      </c>
    </row>
    <row r="101" spans="1:60" ht="17.45" customHeight="1">
      <c r="A101" s="357"/>
      <c r="B101" s="357"/>
      <c r="C101" s="357"/>
      <c r="D101" s="347" t="s">
        <v>1076</v>
      </c>
      <c r="E101" s="347" t="s">
        <v>1077</v>
      </c>
      <c r="F101" s="355"/>
      <c r="G101" s="347"/>
      <c r="H101" s="347"/>
      <c r="I101" s="347">
        <v>233</v>
      </c>
      <c r="J101" s="347">
        <v>74</v>
      </c>
      <c r="K101" s="347"/>
      <c r="L101" s="348">
        <f t="shared" si="18"/>
        <v>307</v>
      </c>
      <c r="M101" s="347"/>
      <c r="N101" s="347"/>
      <c r="O101" s="347"/>
      <c r="P101" s="347">
        <v>56</v>
      </c>
      <c r="Q101" s="347">
        <v>500</v>
      </c>
      <c r="R101" s="348">
        <f t="shared" si="19"/>
        <v>556</v>
      </c>
      <c r="S101" s="347">
        <v>12</v>
      </c>
      <c r="T101" s="347"/>
      <c r="U101" s="347"/>
      <c r="V101" s="347">
        <v>155</v>
      </c>
      <c r="W101" s="347">
        <v>131</v>
      </c>
      <c r="X101" s="348">
        <f t="shared" si="20"/>
        <v>298</v>
      </c>
      <c r="Y101" s="347"/>
      <c r="Z101" s="347"/>
      <c r="AA101" s="347">
        <v>106</v>
      </c>
      <c r="AB101" s="347">
        <v>340</v>
      </c>
      <c r="AC101" s="347">
        <v>340</v>
      </c>
      <c r="AD101" s="347">
        <v>253</v>
      </c>
      <c r="AE101" s="348">
        <f t="shared" si="21"/>
        <v>1039</v>
      </c>
      <c r="AF101" s="347"/>
      <c r="AG101" s="347"/>
      <c r="AH101" s="347"/>
      <c r="AI101" s="347"/>
      <c r="AJ101" s="347">
        <v>182</v>
      </c>
      <c r="AK101" s="347"/>
      <c r="AL101" s="348">
        <f t="shared" si="22"/>
        <v>182</v>
      </c>
      <c r="AM101" s="347"/>
      <c r="AN101" s="347"/>
      <c r="AO101" s="347"/>
      <c r="AP101" s="347">
        <v>124</v>
      </c>
      <c r="AQ101" s="347">
        <v>168</v>
      </c>
      <c r="AR101" s="347"/>
      <c r="AS101" s="348">
        <f t="shared" si="23"/>
        <v>292</v>
      </c>
      <c r="AT101" s="347"/>
      <c r="AU101" s="347"/>
      <c r="AV101" s="347"/>
      <c r="AW101" s="347"/>
      <c r="AX101" s="347">
        <v>86</v>
      </c>
      <c r="AY101" s="347">
        <v>177</v>
      </c>
      <c r="AZ101" s="348">
        <f t="shared" si="24"/>
        <v>263</v>
      </c>
      <c r="BA101" s="347"/>
      <c r="BB101" s="347"/>
      <c r="BC101" s="347">
        <v>100</v>
      </c>
      <c r="BD101" s="347">
        <v>220</v>
      </c>
      <c r="BE101" s="348">
        <f t="shared" si="25"/>
        <v>320</v>
      </c>
      <c r="BF101" s="347"/>
      <c r="BG101" s="348">
        <f t="shared" si="26"/>
        <v>0</v>
      </c>
      <c r="BH101" s="356">
        <v>3257</v>
      </c>
    </row>
    <row r="102" spans="1:60" ht="17.45" customHeight="1">
      <c r="A102" s="357"/>
      <c r="B102" s="357"/>
      <c r="C102" s="357"/>
      <c r="D102" s="347" t="s">
        <v>1078</v>
      </c>
      <c r="E102" s="347" t="s">
        <v>1079</v>
      </c>
      <c r="F102" s="355"/>
      <c r="G102" s="347"/>
      <c r="H102" s="347"/>
      <c r="I102" s="347"/>
      <c r="J102" s="347">
        <v>259</v>
      </c>
      <c r="K102" s="347"/>
      <c r="L102" s="348">
        <f t="shared" si="18"/>
        <v>259</v>
      </c>
      <c r="M102" s="347"/>
      <c r="N102" s="347"/>
      <c r="O102" s="347"/>
      <c r="P102" s="347"/>
      <c r="Q102" s="347"/>
      <c r="R102" s="348">
        <f t="shared" si="19"/>
        <v>0</v>
      </c>
      <c r="S102" s="347">
        <v>98</v>
      </c>
      <c r="T102" s="347">
        <v>85</v>
      </c>
      <c r="U102" s="347"/>
      <c r="V102" s="347"/>
      <c r="W102" s="347">
        <v>210</v>
      </c>
      <c r="X102" s="348">
        <f t="shared" si="20"/>
        <v>393</v>
      </c>
      <c r="Y102" s="347"/>
      <c r="Z102" s="347"/>
      <c r="AA102" s="347"/>
      <c r="AB102" s="347"/>
      <c r="AC102" s="347"/>
      <c r="AD102" s="347">
        <v>82</v>
      </c>
      <c r="AE102" s="348">
        <f t="shared" si="21"/>
        <v>82</v>
      </c>
      <c r="AF102" s="347"/>
      <c r="AG102" s="347"/>
      <c r="AH102" s="347"/>
      <c r="AI102" s="347"/>
      <c r="AJ102" s="347">
        <v>74</v>
      </c>
      <c r="AK102" s="347"/>
      <c r="AL102" s="348">
        <f t="shared" si="22"/>
        <v>74</v>
      </c>
      <c r="AM102" s="347"/>
      <c r="AN102" s="347"/>
      <c r="AO102" s="347"/>
      <c r="AP102" s="347"/>
      <c r="AQ102" s="347">
        <v>191</v>
      </c>
      <c r="AR102" s="347"/>
      <c r="AS102" s="348">
        <f t="shared" si="23"/>
        <v>191</v>
      </c>
      <c r="AT102" s="347"/>
      <c r="AU102" s="347"/>
      <c r="AV102" s="347"/>
      <c r="AW102" s="347"/>
      <c r="AX102" s="347"/>
      <c r="AY102" s="347">
        <v>152</v>
      </c>
      <c r="AZ102" s="348">
        <f t="shared" si="24"/>
        <v>152</v>
      </c>
      <c r="BA102" s="347"/>
      <c r="BB102" s="347"/>
      <c r="BC102" s="347"/>
      <c r="BD102" s="347">
        <v>114</v>
      </c>
      <c r="BE102" s="348">
        <f t="shared" si="25"/>
        <v>114</v>
      </c>
      <c r="BF102" s="347"/>
      <c r="BG102" s="348">
        <f t="shared" si="26"/>
        <v>0</v>
      </c>
      <c r="BH102" s="356">
        <v>1265</v>
      </c>
    </row>
    <row r="103" spans="1:60" ht="17.45" customHeight="1">
      <c r="A103" s="357"/>
      <c r="B103" s="357"/>
      <c r="C103" s="357"/>
      <c r="D103" s="347" t="s">
        <v>1225</v>
      </c>
      <c r="E103" s="347" t="s">
        <v>1787</v>
      </c>
      <c r="F103" s="355"/>
      <c r="G103" s="347"/>
      <c r="H103" s="347"/>
      <c r="I103" s="347"/>
      <c r="J103" s="347">
        <v>17</v>
      </c>
      <c r="K103" s="347"/>
      <c r="L103" s="348">
        <f t="shared" si="18"/>
        <v>17</v>
      </c>
      <c r="M103" s="347"/>
      <c r="N103" s="347"/>
      <c r="O103" s="347"/>
      <c r="P103" s="347"/>
      <c r="Q103" s="347"/>
      <c r="R103" s="348">
        <f t="shared" si="19"/>
        <v>0</v>
      </c>
      <c r="S103" s="347"/>
      <c r="T103" s="347"/>
      <c r="U103" s="347"/>
      <c r="V103" s="347"/>
      <c r="W103" s="347">
        <v>6</v>
      </c>
      <c r="X103" s="348">
        <f t="shared" si="20"/>
        <v>6</v>
      </c>
      <c r="Y103" s="347"/>
      <c r="Z103" s="347"/>
      <c r="AA103" s="347"/>
      <c r="AB103" s="347"/>
      <c r="AC103" s="347"/>
      <c r="AD103" s="347"/>
      <c r="AE103" s="348">
        <f t="shared" si="21"/>
        <v>0</v>
      </c>
      <c r="AF103" s="347"/>
      <c r="AG103" s="347"/>
      <c r="AH103" s="347"/>
      <c r="AI103" s="347"/>
      <c r="AJ103" s="347">
        <v>1</v>
      </c>
      <c r="AK103" s="347"/>
      <c r="AL103" s="348">
        <f t="shared" si="22"/>
        <v>1</v>
      </c>
      <c r="AM103" s="347"/>
      <c r="AN103" s="347"/>
      <c r="AO103" s="347"/>
      <c r="AP103" s="347"/>
      <c r="AQ103" s="347">
        <v>9</v>
      </c>
      <c r="AR103" s="347"/>
      <c r="AS103" s="348">
        <f t="shared" si="23"/>
        <v>9</v>
      </c>
      <c r="AT103" s="347"/>
      <c r="AU103" s="347"/>
      <c r="AV103" s="347"/>
      <c r="AW103" s="347"/>
      <c r="AX103" s="347"/>
      <c r="AY103" s="347">
        <v>7</v>
      </c>
      <c r="AZ103" s="348">
        <f t="shared" si="24"/>
        <v>7</v>
      </c>
      <c r="BA103" s="347"/>
      <c r="BB103" s="347"/>
      <c r="BC103" s="347"/>
      <c r="BD103" s="347">
        <v>3</v>
      </c>
      <c r="BE103" s="348">
        <f t="shared" si="25"/>
        <v>3</v>
      </c>
      <c r="BF103" s="347"/>
      <c r="BG103" s="348">
        <f t="shared" si="26"/>
        <v>0</v>
      </c>
      <c r="BH103" s="356">
        <v>43</v>
      </c>
    </row>
    <row r="104" spans="1:60" ht="17.45" customHeight="1">
      <c r="A104" s="357"/>
      <c r="B104" s="357"/>
      <c r="C104" s="358"/>
      <c r="D104" s="347" t="s">
        <v>1226</v>
      </c>
      <c r="E104" s="347" t="s">
        <v>1788</v>
      </c>
      <c r="F104" s="355"/>
      <c r="G104" s="347"/>
      <c r="H104" s="347"/>
      <c r="I104" s="347"/>
      <c r="J104" s="347">
        <v>10</v>
      </c>
      <c r="K104" s="347"/>
      <c r="L104" s="348">
        <f t="shared" si="18"/>
        <v>10</v>
      </c>
      <c r="M104" s="347"/>
      <c r="N104" s="347"/>
      <c r="O104" s="347"/>
      <c r="P104" s="347"/>
      <c r="Q104" s="347"/>
      <c r="R104" s="348">
        <f t="shared" si="19"/>
        <v>0</v>
      </c>
      <c r="S104" s="347"/>
      <c r="T104" s="347">
        <v>5</v>
      </c>
      <c r="U104" s="347"/>
      <c r="V104" s="347"/>
      <c r="W104" s="347">
        <v>3</v>
      </c>
      <c r="X104" s="348">
        <f t="shared" si="20"/>
        <v>8</v>
      </c>
      <c r="Y104" s="347"/>
      <c r="Z104" s="347"/>
      <c r="AA104" s="347"/>
      <c r="AB104" s="347"/>
      <c r="AC104" s="347"/>
      <c r="AD104" s="347">
        <v>5</v>
      </c>
      <c r="AE104" s="348">
        <f t="shared" si="21"/>
        <v>5</v>
      </c>
      <c r="AF104" s="347"/>
      <c r="AG104" s="347"/>
      <c r="AH104" s="347"/>
      <c r="AI104" s="347"/>
      <c r="AJ104" s="347">
        <v>1</v>
      </c>
      <c r="AK104" s="347"/>
      <c r="AL104" s="348">
        <f t="shared" si="22"/>
        <v>1</v>
      </c>
      <c r="AM104" s="347"/>
      <c r="AN104" s="347"/>
      <c r="AO104" s="347"/>
      <c r="AP104" s="347"/>
      <c r="AQ104" s="347">
        <v>6</v>
      </c>
      <c r="AR104" s="347"/>
      <c r="AS104" s="348">
        <f t="shared" si="23"/>
        <v>6</v>
      </c>
      <c r="AT104" s="347"/>
      <c r="AU104" s="347"/>
      <c r="AV104" s="347"/>
      <c r="AW104" s="347"/>
      <c r="AX104" s="347"/>
      <c r="AY104" s="347">
        <v>4</v>
      </c>
      <c r="AZ104" s="348">
        <f t="shared" si="24"/>
        <v>4</v>
      </c>
      <c r="BA104" s="347"/>
      <c r="BB104" s="347"/>
      <c r="BC104" s="347"/>
      <c r="BD104" s="347">
        <v>3</v>
      </c>
      <c r="BE104" s="348">
        <f t="shared" si="25"/>
        <v>3</v>
      </c>
      <c r="BF104" s="347"/>
      <c r="BG104" s="348">
        <f t="shared" si="26"/>
        <v>0</v>
      </c>
      <c r="BH104" s="356">
        <v>37</v>
      </c>
    </row>
    <row r="105" spans="1:60" ht="17.45" customHeight="1">
      <c r="A105" s="357"/>
      <c r="B105" s="358"/>
      <c r="C105" s="359" t="s">
        <v>1827</v>
      </c>
      <c r="D105" s="360"/>
      <c r="E105" s="361"/>
      <c r="F105" s="362">
        <v>360</v>
      </c>
      <c r="G105" s="363">
        <v>360</v>
      </c>
      <c r="H105" s="363">
        <v>360</v>
      </c>
      <c r="I105" s="363">
        <v>360</v>
      </c>
      <c r="J105" s="363">
        <v>360</v>
      </c>
      <c r="K105" s="363"/>
      <c r="L105" s="348">
        <f t="shared" si="18"/>
        <v>1800</v>
      </c>
      <c r="M105" s="363">
        <v>350</v>
      </c>
      <c r="N105" s="363">
        <v>350</v>
      </c>
      <c r="O105" s="363">
        <v>350</v>
      </c>
      <c r="P105" s="363">
        <v>350</v>
      </c>
      <c r="Q105" s="363">
        <v>500</v>
      </c>
      <c r="R105" s="348">
        <f t="shared" si="19"/>
        <v>1900</v>
      </c>
      <c r="S105" s="363">
        <v>400</v>
      </c>
      <c r="T105" s="363">
        <v>400</v>
      </c>
      <c r="U105" s="363">
        <v>400</v>
      </c>
      <c r="V105" s="363">
        <v>400</v>
      </c>
      <c r="W105" s="363">
        <v>350</v>
      </c>
      <c r="X105" s="348">
        <f t="shared" si="20"/>
        <v>1950</v>
      </c>
      <c r="Y105" s="363">
        <v>340</v>
      </c>
      <c r="Z105" s="363">
        <v>340</v>
      </c>
      <c r="AA105" s="363">
        <v>340</v>
      </c>
      <c r="AB105" s="363">
        <v>340</v>
      </c>
      <c r="AC105" s="363">
        <v>340</v>
      </c>
      <c r="AD105" s="363">
        <v>340</v>
      </c>
      <c r="AE105" s="348">
        <f t="shared" si="21"/>
        <v>2040</v>
      </c>
      <c r="AF105" s="363">
        <v>340</v>
      </c>
      <c r="AG105" s="363">
        <v>340</v>
      </c>
      <c r="AH105" s="363">
        <v>340</v>
      </c>
      <c r="AI105" s="363">
        <v>340</v>
      </c>
      <c r="AJ105" s="363">
        <v>340</v>
      </c>
      <c r="AK105" s="363"/>
      <c r="AL105" s="348">
        <f t="shared" si="22"/>
        <v>1700</v>
      </c>
      <c r="AM105" s="363">
        <v>374</v>
      </c>
      <c r="AN105" s="363">
        <v>374</v>
      </c>
      <c r="AO105" s="363">
        <v>374</v>
      </c>
      <c r="AP105" s="363">
        <v>374</v>
      </c>
      <c r="AQ105" s="363">
        <v>374</v>
      </c>
      <c r="AR105" s="363"/>
      <c r="AS105" s="348">
        <f t="shared" si="23"/>
        <v>1870</v>
      </c>
      <c r="AT105" s="363">
        <v>340</v>
      </c>
      <c r="AU105" s="363">
        <v>340</v>
      </c>
      <c r="AV105" s="363">
        <v>340</v>
      </c>
      <c r="AW105" s="363">
        <v>340</v>
      </c>
      <c r="AX105" s="363">
        <v>340</v>
      </c>
      <c r="AY105" s="363">
        <v>340</v>
      </c>
      <c r="AZ105" s="348">
        <f t="shared" si="24"/>
        <v>2040</v>
      </c>
      <c r="BA105" s="363">
        <v>340</v>
      </c>
      <c r="BB105" s="363">
        <v>340</v>
      </c>
      <c r="BC105" s="363">
        <v>340</v>
      </c>
      <c r="BD105" s="363">
        <v>340</v>
      </c>
      <c r="BE105" s="348">
        <f t="shared" si="25"/>
        <v>1360</v>
      </c>
      <c r="BF105" s="363">
        <v>255</v>
      </c>
      <c r="BG105" s="348">
        <f t="shared" si="26"/>
        <v>255</v>
      </c>
      <c r="BH105" s="356">
        <v>14915</v>
      </c>
    </row>
    <row r="106" spans="1:60" ht="17.45" customHeight="1">
      <c r="A106" s="357"/>
      <c r="B106" s="354" t="s">
        <v>1789</v>
      </c>
      <c r="C106" s="354" t="s">
        <v>1228</v>
      </c>
      <c r="D106" s="347" t="s">
        <v>1229</v>
      </c>
      <c r="E106" s="347" t="s">
        <v>1790</v>
      </c>
      <c r="F106" s="355">
        <v>4</v>
      </c>
      <c r="G106" s="347"/>
      <c r="H106" s="347"/>
      <c r="I106" s="347"/>
      <c r="J106" s="347"/>
      <c r="K106" s="347"/>
      <c r="L106" s="348">
        <f t="shared" si="18"/>
        <v>4</v>
      </c>
      <c r="M106" s="347">
        <v>8</v>
      </c>
      <c r="N106" s="347"/>
      <c r="O106" s="347"/>
      <c r="P106" s="347"/>
      <c r="Q106" s="347"/>
      <c r="R106" s="348">
        <f t="shared" si="19"/>
        <v>8</v>
      </c>
      <c r="S106" s="347">
        <v>5</v>
      </c>
      <c r="T106" s="347"/>
      <c r="U106" s="347"/>
      <c r="V106" s="347"/>
      <c r="W106" s="347"/>
      <c r="X106" s="348">
        <f t="shared" si="20"/>
        <v>5</v>
      </c>
      <c r="Y106" s="347">
        <v>3</v>
      </c>
      <c r="Z106" s="347"/>
      <c r="AA106" s="347"/>
      <c r="AB106" s="347"/>
      <c r="AC106" s="347"/>
      <c r="AD106" s="347"/>
      <c r="AE106" s="348">
        <f t="shared" si="21"/>
        <v>3</v>
      </c>
      <c r="AF106" s="347">
        <v>1</v>
      </c>
      <c r="AG106" s="347"/>
      <c r="AH106" s="347"/>
      <c r="AI106" s="347"/>
      <c r="AJ106" s="347"/>
      <c r="AK106" s="347"/>
      <c r="AL106" s="348">
        <f t="shared" si="22"/>
        <v>1</v>
      </c>
      <c r="AM106" s="347">
        <v>1</v>
      </c>
      <c r="AN106" s="347"/>
      <c r="AO106" s="347"/>
      <c r="AP106" s="347"/>
      <c r="AQ106" s="347"/>
      <c r="AR106" s="347"/>
      <c r="AS106" s="348">
        <f t="shared" si="23"/>
        <v>1</v>
      </c>
      <c r="AT106" s="347">
        <v>19</v>
      </c>
      <c r="AU106" s="347"/>
      <c r="AV106" s="347"/>
      <c r="AW106" s="347"/>
      <c r="AX106" s="347"/>
      <c r="AY106" s="347"/>
      <c r="AZ106" s="348">
        <f t="shared" si="24"/>
        <v>19</v>
      </c>
      <c r="BA106" s="347">
        <v>20</v>
      </c>
      <c r="BB106" s="347"/>
      <c r="BC106" s="347"/>
      <c r="BD106" s="347"/>
      <c r="BE106" s="348">
        <f t="shared" si="25"/>
        <v>20</v>
      </c>
      <c r="BF106" s="347"/>
      <c r="BG106" s="348">
        <f t="shared" si="26"/>
        <v>0</v>
      </c>
      <c r="BH106" s="356">
        <v>61</v>
      </c>
    </row>
    <row r="107" spans="1:60" ht="17.45" customHeight="1">
      <c r="A107" s="357"/>
      <c r="B107" s="357"/>
      <c r="C107" s="358"/>
      <c r="D107" s="347" t="s">
        <v>1230</v>
      </c>
      <c r="E107" s="347" t="s">
        <v>1791</v>
      </c>
      <c r="F107" s="355">
        <v>415</v>
      </c>
      <c r="G107" s="347">
        <v>359</v>
      </c>
      <c r="H107" s="347">
        <v>417</v>
      </c>
      <c r="I107" s="347">
        <v>359</v>
      </c>
      <c r="J107" s="347">
        <v>354</v>
      </c>
      <c r="K107" s="347"/>
      <c r="L107" s="348">
        <f t="shared" si="18"/>
        <v>1904</v>
      </c>
      <c r="M107" s="347">
        <v>452</v>
      </c>
      <c r="N107" s="347">
        <v>450</v>
      </c>
      <c r="O107" s="347">
        <v>449</v>
      </c>
      <c r="P107" s="347">
        <v>380</v>
      </c>
      <c r="Q107" s="347">
        <v>560</v>
      </c>
      <c r="R107" s="348">
        <f t="shared" si="19"/>
        <v>2291</v>
      </c>
      <c r="S107" s="347">
        <v>709</v>
      </c>
      <c r="T107" s="347">
        <v>714</v>
      </c>
      <c r="U107" s="347">
        <v>680</v>
      </c>
      <c r="V107" s="347">
        <v>544</v>
      </c>
      <c r="W107" s="347">
        <v>680</v>
      </c>
      <c r="X107" s="348">
        <f t="shared" si="20"/>
        <v>3327</v>
      </c>
      <c r="Y107" s="347">
        <v>489</v>
      </c>
      <c r="Z107" s="347">
        <v>675</v>
      </c>
      <c r="AA107" s="347">
        <v>683</v>
      </c>
      <c r="AB107" s="347">
        <v>500</v>
      </c>
      <c r="AC107" s="347">
        <v>400</v>
      </c>
      <c r="AD107" s="347">
        <v>280</v>
      </c>
      <c r="AE107" s="348">
        <f t="shared" si="21"/>
        <v>3027</v>
      </c>
      <c r="AF107" s="347">
        <v>339</v>
      </c>
      <c r="AG107" s="347">
        <v>340</v>
      </c>
      <c r="AH107" s="347">
        <v>340</v>
      </c>
      <c r="AI107" s="347">
        <v>340</v>
      </c>
      <c r="AJ107" s="347">
        <v>327</v>
      </c>
      <c r="AK107" s="347">
        <v>604</v>
      </c>
      <c r="AL107" s="348">
        <f t="shared" si="22"/>
        <v>2290</v>
      </c>
      <c r="AM107" s="347">
        <v>713</v>
      </c>
      <c r="AN107" s="347">
        <v>684</v>
      </c>
      <c r="AO107" s="347">
        <v>544</v>
      </c>
      <c r="AP107" s="347">
        <v>544</v>
      </c>
      <c r="AQ107" s="347">
        <v>544</v>
      </c>
      <c r="AR107" s="347">
        <v>214</v>
      </c>
      <c r="AS107" s="348">
        <f t="shared" si="23"/>
        <v>3243</v>
      </c>
      <c r="AT107" s="347">
        <v>564</v>
      </c>
      <c r="AU107" s="347">
        <v>583</v>
      </c>
      <c r="AV107" s="347">
        <v>583</v>
      </c>
      <c r="AW107" s="347">
        <v>583</v>
      </c>
      <c r="AX107" s="347">
        <v>583</v>
      </c>
      <c r="AY107" s="347">
        <v>583</v>
      </c>
      <c r="AZ107" s="348">
        <f t="shared" si="24"/>
        <v>3479</v>
      </c>
      <c r="BA107" s="347">
        <v>573</v>
      </c>
      <c r="BB107" s="347">
        <v>593</v>
      </c>
      <c r="BC107" s="347">
        <v>593</v>
      </c>
      <c r="BD107" s="347">
        <v>592</v>
      </c>
      <c r="BE107" s="348">
        <f t="shared" si="25"/>
        <v>2351</v>
      </c>
      <c r="BF107" s="347">
        <v>333</v>
      </c>
      <c r="BG107" s="348">
        <f t="shared" si="26"/>
        <v>333</v>
      </c>
      <c r="BH107" s="356">
        <v>22245</v>
      </c>
    </row>
    <row r="108" spans="1:60" ht="17.45" customHeight="1">
      <c r="A108" s="357"/>
      <c r="B108" s="358"/>
      <c r="C108" s="359" t="s">
        <v>1828</v>
      </c>
      <c r="D108" s="360"/>
      <c r="E108" s="361"/>
      <c r="F108" s="362">
        <v>419</v>
      </c>
      <c r="G108" s="363">
        <v>359</v>
      </c>
      <c r="H108" s="363">
        <v>417</v>
      </c>
      <c r="I108" s="363">
        <v>359</v>
      </c>
      <c r="J108" s="363">
        <v>354</v>
      </c>
      <c r="K108" s="363"/>
      <c r="L108" s="348">
        <f t="shared" si="18"/>
        <v>1908</v>
      </c>
      <c r="M108" s="363">
        <v>460</v>
      </c>
      <c r="N108" s="363">
        <v>450</v>
      </c>
      <c r="O108" s="363">
        <v>449</v>
      </c>
      <c r="P108" s="363">
        <v>380</v>
      </c>
      <c r="Q108" s="363">
        <v>560</v>
      </c>
      <c r="R108" s="348">
        <f t="shared" si="19"/>
        <v>2299</v>
      </c>
      <c r="S108" s="363">
        <v>714</v>
      </c>
      <c r="T108" s="363">
        <v>714</v>
      </c>
      <c r="U108" s="363">
        <v>680</v>
      </c>
      <c r="V108" s="363">
        <v>544</v>
      </c>
      <c r="W108" s="363">
        <v>680</v>
      </c>
      <c r="X108" s="348">
        <f t="shared" si="20"/>
        <v>3332</v>
      </c>
      <c r="Y108" s="363">
        <v>492</v>
      </c>
      <c r="Z108" s="363">
        <v>675</v>
      </c>
      <c r="AA108" s="363">
        <v>683</v>
      </c>
      <c r="AB108" s="363">
        <v>500</v>
      </c>
      <c r="AC108" s="363">
        <v>400</v>
      </c>
      <c r="AD108" s="363">
        <v>280</v>
      </c>
      <c r="AE108" s="348">
        <f t="shared" si="21"/>
        <v>3030</v>
      </c>
      <c r="AF108" s="363">
        <v>340</v>
      </c>
      <c r="AG108" s="363">
        <v>340</v>
      </c>
      <c r="AH108" s="363">
        <v>340</v>
      </c>
      <c r="AI108" s="363">
        <v>340</v>
      </c>
      <c r="AJ108" s="363">
        <v>327</v>
      </c>
      <c r="AK108" s="363">
        <v>604</v>
      </c>
      <c r="AL108" s="348">
        <f t="shared" si="22"/>
        <v>2291</v>
      </c>
      <c r="AM108" s="363">
        <v>714</v>
      </c>
      <c r="AN108" s="363">
        <v>684</v>
      </c>
      <c r="AO108" s="363">
        <v>544</v>
      </c>
      <c r="AP108" s="363">
        <v>544</v>
      </c>
      <c r="AQ108" s="363">
        <v>544</v>
      </c>
      <c r="AR108" s="363">
        <v>214</v>
      </c>
      <c r="AS108" s="348">
        <f t="shared" si="23"/>
        <v>3244</v>
      </c>
      <c r="AT108" s="363">
        <v>583</v>
      </c>
      <c r="AU108" s="363">
        <v>583</v>
      </c>
      <c r="AV108" s="363">
        <v>583</v>
      </c>
      <c r="AW108" s="363">
        <v>583</v>
      </c>
      <c r="AX108" s="363">
        <v>583</v>
      </c>
      <c r="AY108" s="363">
        <v>583</v>
      </c>
      <c r="AZ108" s="348">
        <f t="shared" si="24"/>
        <v>3498</v>
      </c>
      <c r="BA108" s="363">
        <v>593</v>
      </c>
      <c r="BB108" s="363">
        <v>593</v>
      </c>
      <c r="BC108" s="363">
        <v>593</v>
      </c>
      <c r="BD108" s="363">
        <v>592</v>
      </c>
      <c r="BE108" s="348">
        <f t="shared" si="25"/>
        <v>2371</v>
      </c>
      <c r="BF108" s="363">
        <v>333</v>
      </c>
      <c r="BG108" s="348">
        <f t="shared" si="26"/>
        <v>333</v>
      </c>
      <c r="BH108" s="356">
        <v>22306</v>
      </c>
    </row>
    <row r="109" spans="1:60" ht="17.45" customHeight="1">
      <c r="A109" s="357"/>
      <c r="B109" s="354" t="s">
        <v>1792</v>
      </c>
      <c r="C109" s="347" t="s">
        <v>1231</v>
      </c>
      <c r="D109" s="347" t="s">
        <v>1232</v>
      </c>
      <c r="E109" s="347" t="s">
        <v>1793</v>
      </c>
      <c r="F109" s="355">
        <v>16</v>
      </c>
      <c r="G109" s="347">
        <v>16</v>
      </c>
      <c r="H109" s="347">
        <v>16</v>
      </c>
      <c r="I109" s="347">
        <v>16</v>
      </c>
      <c r="J109" s="347">
        <v>16</v>
      </c>
      <c r="K109" s="347"/>
      <c r="L109" s="348">
        <f t="shared" si="18"/>
        <v>80</v>
      </c>
      <c r="M109" s="347">
        <v>14</v>
      </c>
      <c r="N109" s="347">
        <v>14</v>
      </c>
      <c r="O109" s="347">
        <v>14</v>
      </c>
      <c r="P109" s="347">
        <v>14</v>
      </c>
      <c r="Q109" s="347">
        <v>14</v>
      </c>
      <c r="R109" s="348">
        <f t="shared" si="19"/>
        <v>70</v>
      </c>
      <c r="S109" s="347">
        <v>18</v>
      </c>
      <c r="T109" s="347">
        <v>18</v>
      </c>
      <c r="U109" s="347">
        <v>18</v>
      </c>
      <c r="V109" s="347">
        <v>18</v>
      </c>
      <c r="W109" s="347">
        <v>18</v>
      </c>
      <c r="X109" s="348">
        <f t="shared" si="20"/>
        <v>90</v>
      </c>
      <c r="Y109" s="347">
        <v>17</v>
      </c>
      <c r="Z109" s="347">
        <v>16</v>
      </c>
      <c r="AA109" s="347">
        <v>16</v>
      </c>
      <c r="AB109" s="347">
        <v>16</v>
      </c>
      <c r="AC109" s="347">
        <v>16</v>
      </c>
      <c r="AD109" s="347">
        <v>16</v>
      </c>
      <c r="AE109" s="348">
        <f t="shared" si="21"/>
        <v>97</v>
      </c>
      <c r="AF109" s="347">
        <v>4</v>
      </c>
      <c r="AG109" s="347">
        <v>3</v>
      </c>
      <c r="AH109" s="347">
        <v>3</v>
      </c>
      <c r="AI109" s="347">
        <v>3</v>
      </c>
      <c r="AJ109" s="347">
        <v>3</v>
      </c>
      <c r="AK109" s="347"/>
      <c r="AL109" s="348">
        <f t="shared" si="22"/>
        <v>16</v>
      </c>
      <c r="AM109" s="347">
        <v>16</v>
      </c>
      <c r="AN109" s="347">
        <v>16</v>
      </c>
      <c r="AO109" s="347">
        <v>16</v>
      </c>
      <c r="AP109" s="347">
        <v>16</v>
      </c>
      <c r="AQ109" s="347">
        <v>15</v>
      </c>
      <c r="AR109" s="347">
        <v>15</v>
      </c>
      <c r="AS109" s="348">
        <f t="shared" si="23"/>
        <v>94</v>
      </c>
      <c r="AT109" s="347">
        <v>11</v>
      </c>
      <c r="AU109" s="347">
        <v>10</v>
      </c>
      <c r="AV109" s="347">
        <v>10</v>
      </c>
      <c r="AW109" s="347">
        <v>10</v>
      </c>
      <c r="AX109" s="347">
        <v>10</v>
      </c>
      <c r="AY109" s="347">
        <v>10</v>
      </c>
      <c r="AZ109" s="348">
        <f t="shared" si="24"/>
        <v>61</v>
      </c>
      <c r="BA109" s="347">
        <v>12</v>
      </c>
      <c r="BB109" s="347">
        <v>11</v>
      </c>
      <c r="BC109" s="347">
        <v>11</v>
      </c>
      <c r="BD109" s="347">
        <v>11</v>
      </c>
      <c r="BE109" s="348">
        <f t="shared" si="25"/>
        <v>45</v>
      </c>
      <c r="BF109" s="347">
        <v>6</v>
      </c>
      <c r="BG109" s="348">
        <f t="shared" si="26"/>
        <v>6</v>
      </c>
      <c r="BH109" s="356">
        <v>559</v>
      </c>
    </row>
    <row r="110" spans="1:60" ht="17.45" customHeight="1">
      <c r="A110" s="357"/>
      <c r="B110" s="358"/>
      <c r="C110" s="359" t="s">
        <v>1829</v>
      </c>
      <c r="D110" s="360"/>
      <c r="E110" s="361"/>
      <c r="F110" s="362">
        <v>16</v>
      </c>
      <c r="G110" s="363">
        <v>16</v>
      </c>
      <c r="H110" s="363">
        <v>16</v>
      </c>
      <c r="I110" s="363">
        <v>16</v>
      </c>
      <c r="J110" s="363">
        <v>16</v>
      </c>
      <c r="K110" s="363"/>
      <c r="L110" s="348">
        <f t="shared" si="18"/>
        <v>80</v>
      </c>
      <c r="M110" s="363">
        <v>14</v>
      </c>
      <c r="N110" s="363">
        <v>14</v>
      </c>
      <c r="O110" s="363">
        <v>14</v>
      </c>
      <c r="P110" s="363">
        <v>14</v>
      </c>
      <c r="Q110" s="363">
        <v>14</v>
      </c>
      <c r="R110" s="348">
        <f t="shared" si="19"/>
        <v>70</v>
      </c>
      <c r="S110" s="363">
        <v>18</v>
      </c>
      <c r="T110" s="363">
        <v>18</v>
      </c>
      <c r="U110" s="363">
        <v>18</v>
      </c>
      <c r="V110" s="363">
        <v>18</v>
      </c>
      <c r="W110" s="363">
        <v>18</v>
      </c>
      <c r="X110" s="348">
        <f t="shared" si="20"/>
        <v>90</v>
      </c>
      <c r="Y110" s="363">
        <v>17</v>
      </c>
      <c r="Z110" s="363">
        <v>16</v>
      </c>
      <c r="AA110" s="363">
        <v>16</v>
      </c>
      <c r="AB110" s="363">
        <v>16</v>
      </c>
      <c r="AC110" s="363">
        <v>16</v>
      </c>
      <c r="AD110" s="363">
        <v>16</v>
      </c>
      <c r="AE110" s="348">
        <f t="shared" si="21"/>
        <v>97</v>
      </c>
      <c r="AF110" s="363">
        <v>4</v>
      </c>
      <c r="AG110" s="363">
        <v>3</v>
      </c>
      <c r="AH110" s="363">
        <v>3</v>
      </c>
      <c r="AI110" s="363">
        <v>3</v>
      </c>
      <c r="AJ110" s="363">
        <v>3</v>
      </c>
      <c r="AK110" s="363"/>
      <c r="AL110" s="348">
        <f t="shared" si="22"/>
        <v>16</v>
      </c>
      <c r="AM110" s="363">
        <v>16</v>
      </c>
      <c r="AN110" s="363">
        <v>16</v>
      </c>
      <c r="AO110" s="363">
        <v>16</v>
      </c>
      <c r="AP110" s="363">
        <v>16</v>
      </c>
      <c r="AQ110" s="363">
        <v>15</v>
      </c>
      <c r="AR110" s="363">
        <v>15</v>
      </c>
      <c r="AS110" s="348">
        <f t="shared" si="23"/>
        <v>94</v>
      </c>
      <c r="AT110" s="363">
        <v>11</v>
      </c>
      <c r="AU110" s="363">
        <v>10</v>
      </c>
      <c r="AV110" s="363">
        <v>10</v>
      </c>
      <c r="AW110" s="363">
        <v>10</v>
      </c>
      <c r="AX110" s="363">
        <v>10</v>
      </c>
      <c r="AY110" s="363">
        <v>10</v>
      </c>
      <c r="AZ110" s="348">
        <f t="shared" si="24"/>
        <v>61</v>
      </c>
      <c r="BA110" s="363">
        <v>12</v>
      </c>
      <c r="BB110" s="363">
        <v>11</v>
      </c>
      <c r="BC110" s="363">
        <v>11</v>
      </c>
      <c r="BD110" s="363">
        <v>11</v>
      </c>
      <c r="BE110" s="348">
        <f t="shared" si="25"/>
        <v>45</v>
      </c>
      <c r="BF110" s="363">
        <v>6</v>
      </c>
      <c r="BG110" s="348">
        <f t="shared" si="26"/>
        <v>6</v>
      </c>
      <c r="BH110" s="356">
        <v>559</v>
      </c>
    </row>
    <row r="111" spans="1:60" ht="17.45" customHeight="1">
      <c r="A111" s="357"/>
      <c r="B111" s="354" t="s">
        <v>1794</v>
      </c>
      <c r="C111" s="347" t="s">
        <v>1795</v>
      </c>
      <c r="D111" s="347" t="s">
        <v>1796</v>
      </c>
      <c r="E111" s="347" t="s">
        <v>1797</v>
      </c>
      <c r="F111" s="355"/>
      <c r="G111" s="347"/>
      <c r="H111" s="347"/>
      <c r="I111" s="347"/>
      <c r="J111" s="347"/>
      <c r="K111" s="347"/>
      <c r="L111" s="348">
        <f t="shared" si="18"/>
        <v>0</v>
      </c>
      <c r="M111" s="347"/>
      <c r="N111" s="347"/>
      <c r="O111" s="347"/>
      <c r="P111" s="347"/>
      <c r="Q111" s="347"/>
      <c r="R111" s="348">
        <f t="shared" si="19"/>
        <v>0</v>
      </c>
      <c r="S111" s="347"/>
      <c r="T111" s="347"/>
      <c r="U111" s="347"/>
      <c r="V111" s="347"/>
      <c r="W111" s="347"/>
      <c r="X111" s="348">
        <f t="shared" si="20"/>
        <v>0</v>
      </c>
      <c r="Y111" s="347">
        <v>1</v>
      </c>
      <c r="Z111" s="347"/>
      <c r="AA111" s="347"/>
      <c r="AB111" s="347"/>
      <c r="AC111" s="347"/>
      <c r="AD111" s="347"/>
      <c r="AE111" s="348">
        <f t="shared" si="21"/>
        <v>1</v>
      </c>
      <c r="AF111" s="347"/>
      <c r="AG111" s="347"/>
      <c r="AH111" s="347"/>
      <c r="AI111" s="347"/>
      <c r="AJ111" s="347"/>
      <c r="AK111" s="347"/>
      <c r="AL111" s="348">
        <f t="shared" si="22"/>
        <v>0</v>
      </c>
      <c r="AM111" s="347"/>
      <c r="AN111" s="347"/>
      <c r="AO111" s="347"/>
      <c r="AP111" s="347"/>
      <c r="AQ111" s="347"/>
      <c r="AR111" s="347"/>
      <c r="AS111" s="348">
        <f t="shared" si="23"/>
        <v>0</v>
      </c>
      <c r="AT111" s="347"/>
      <c r="AU111" s="347"/>
      <c r="AV111" s="347"/>
      <c r="AW111" s="347"/>
      <c r="AX111" s="347"/>
      <c r="AY111" s="347"/>
      <c r="AZ111" s="348">
        <f t="shared" si="24"/>
        <v>0</v>
      </c>
      <c r="BA111" s="347"/>
      <c r="BB111" s="347"/>
      <c r="BC111" s="347"/>
      <c r="BD111" s="347"/>
      <c r="BE111" s="348">
        <f t="shared" si="25"/>
        <v>0</v>
      </c>
      <c r="BF111" s="347"/>
      <c r="BG111" s="348">
        <f t="shared" si="26"/>
        <v>0</v>
      </c>
      <c r="BH111" s="356">
        <v>1</v>
      </c>
    </row>
    <row r="112" spans="1:60" ht="17.45" customHeight="1">
      <c r="A112" s="357"/>
      <c r="B112" s="358"/>
      <c r="C112" s="359" t="s">
        <v>1830</v>
      </c>
      <c r="D112" s="360"/>
      <c r="E112" s="361"/>
      <c r="F112" s="362"/>
      <c r="G112" s="363"/>
      <c r="H112" s="363"/>
      <c r="I112" s="363"/>
      <c r="J112" s="363"/>
      <c r="K112" s="363"/>
      <c r="L112" s="348">
        <f t="shared" si="18"/>
        <v>0</v>
      </c>
      <c r="M112" s="363"/>
      <c r="N112" s="363"/>
      <c r="O112" s="363"/>
      <c r="P112" s="363"/>
      <c r="Q112" s="363"/>
      <c r="R112" s="348">
        <f t="shared" si="19"/>
        <v>0</v>
      </c>
      <c r="S112" s="363"/>
      <c r="T112" s="363"/>
      <c r="U112" s="363"/>
      <c r="V112" s="363"/>
      <c r="W112" s="363"/>
      <c r="X112" s="348">
        <f t="shared" si="20"/>
        <v>0</v>
      </c>
      <c r="Y112" s="363">
        <v>1</v>
      </c>
      <c r="Z112" s="363"/>
      <c r="AA112" s="363"/>
      <c r="AB112" s="363"/>
      <c r="AC112" s="363"/>
      <c r="AD112" s="363"/>
      <c r="AE112" s="348">
        <f t="shared" si="21"/>
        <v>1</v>
      </c>
      <c r="AF112" s="363"/>
      <c r="AG112" s="363"/>
      <c r="AH112" s="363"/>
      <c r="AI112" s="363"/>
      <c r="AJ112" s="363"/>
      <c r="AK112" s="363"/>
      <c r="AL112" s="348">
        <f t="shared" si="22"/>
        <v>0</v>
      </c>
      <c r="AM112" s="363"/>
      <c r="AN112" s="363"/>
      <c r="AO112" s="363"/>
      <c r="AP112" s="363"/>
      <c r="AQ112" s="363"/>
      <c r="AR112" s="363"/>
      <c r="AS112" s="348">
        <f t="shared" si="23"/>
        <v>0</v>
      </c>
      <c r="AT112" s="363"/>
      <c r="AU112" s="363"/>
      <c r="AV112" s="363"/>
      <c r="AW112" s="363"/>
      <c r="AX112" s="363"/>
      <c r="AY112" s="363"/>
      <c r="AZ112" s="348">
        <f t="shared" si="24"/>
        <v>0</v>
      </c>
      <c r="BA112" s="363"/>
      <c r="BB112" s="363"/>
      <c r="BC112" s="363"/>
      <c r="BD112" s="363"/>
      <c r="BE112" s="348">
        <f t="shared" si="25"/>
        <v>0</v>
      </c>
      <c r="BF112" s="363"/>
      <c r="BG112" s="348">
        <f t="shared" si="26"/>
        <v>0</v>
      </c>
      <c r="BH112" s="356">
        <v>1</v>
      </c>
    </row>
    <row r="113" spans="1:60" ht="17.45" customHeight="1">
      <c r="A113" s="357"/>
      <c r="B113" s="354" t="s">
        <v>1798</v>
      </c>
      <c r="C113" s="354" t="s">
        <v>1233</v>
      </c>
      <c r="D113" s="347" t="s">
        <v>1155</v>
      </c>
      <c r="E113" s="347" t="s">
        <v>1156</v>
      </c>
      <c r="F113" s="355"/>
      <c r="G113" s="347">
        <v>65</v>
      </c>
      <c r="H113" s="347">
        <v>63</v>
      </c>
      <c r="I113" s="347"/>
      <c r="J113" s="347"/>
      <c r="K113" s="347"/>
      <c r="L113" s="348">
        <f t="shared" si="18"/>
        <v>128</v>
      </c>
      <c r="M113" s="347">
        <v>106</v>
      </c>
      <c r="N113" s="347">
        <v>62</v>
      </c>
      <c r="O113" s="347">
        <v>30</v>
      </c>
      <c r="P113" s="347"/>
      <c r="Q113" s="347"/>
      <c r="R113" s="348">
        <f t="shared" si="19"/>
        <v>198</v>
      </c>
      <c r="S113" s="347"/>
      <c r="T113" s="347">
        <v>21</v>
      </c>
      <c r="U113" s="347">
        <v>92</v>
      </c>
      <c r="V113" s="347"/>
      <c r="W113" s="347"/>
      <c r="X113" s="348">
        <f t="shared" si="20"/>
        <v>113</v>
      </c>
      <c r="Y113" s="347">
        <v>57</v>
      </c>
      <c r="Z113" s="347">
        <v>86</v>
      </c>
      <c r="AA113" s="347"/>
      <c r="AB113" s="347"/>
      <c r="AC113" s="347"/>
      <c r="AD113" s="347"/>
      <c r="AE113" s="348">
        <f t="shared" si="21"/>
        <v>143</v>
      </c>
      <c r="AF113" s="347">
        <v>32</v>
      </c>
      <c r="AG113" s="347">
        <v>177</v>
      </c>
      <c r="AH113" s="347"/>
      <c r="AI113" s="347"/>
      <c r="AJ113" s="347"/>
      <c r="AK113" s="347"/>
      <c r="AL113" s="348">
        <f t="shared" si="22"/>
        <v>209</v>
      </c>
      <c r="AM113" s="347"/>
      <c r="AN113" s="347">
        <v>180</v>
      </c>
      <c r="AO113" s="347"/>
      <c r="AP113" s="347"/>
      <c r="AQ113" s="347"/>
      <c r="AR113" s="347"/>
      <c r="AS113" s="348">
        <f t="shared" si="23"/>
        <v>180</v>
      </c>
      <c r="AT113" s="347"/>
      <c r="AU113" s="347"/>
      <c r="AV113" s="347"/>
      <c r="AW113" s="347"/>
      <c r="AX113" s="347"/>
      <c r="AY113" s="347"/>
      <c r="AZ113" s="348">
        <f t="shared" si="24"/>
        <v>0</v>
      </c>
      <c r="BA113" s="347"/>
      <c r="BB113" s="347"/>
      <c r="BC113" s="347"/>
      <c r="BD113" s="347"/>
      <c r="BE113" s="348">
        <f t="shared" si="25"/>
        <v>0</v>
      </c>
      <c r="BF113" s="347"/>
      <c r="BG113" s="348">
        <f t="shared" si="26"/>
        <v>0</v>
      </c>
      <c r="BH113" s="356">
        <v>971</v>
      </c>
    </row>
    <row r="114" spans="1:60" ht="17.45" customHeight="1">
      <c r="A114" s="357"/>
      <c r="B114" s="357"/>
      <c r="C114" s="357"/>
      <c r="D114" s="347" t="s">
        <v>1119</v>
      </c>
      <c r="E114" s="347" t="s">
        <v>1120</v>
      </c>
      <c r="F114" s="355">
        <v>55</v>
      </c>
      <c r="G114" s="347">
        <v>135</v>
      </c>
      <c r="H114" s="347">
        <v>134</v>
      </c>
      <c r="I114" s="347">
        <v>149</v>
      </c>
      <c r="J114" s="347"/>
      <c r="K114" s="347"/>
      <c r="L114" s="348">
        <f t="shared" si="18"/>
        <v>473</v>
      </c>
      <c r="M114" s="347">
        <v>30</v>
      </c>
      <c r="N114" s="347">
        <v>82</v>
      </c>
      <c r="O114" s="347">
        <v>47</v>
      </c>
      <c r="P114" s="347"/>
      <c r="Q114" s="347">
        <v>82</v>
      </c>
      <c r="R114" s="348">
        <f t="shared" si="19"/>
        <v>241</v>
      </c>
      <c r="S114" s="347"/>
      <c r="T114" s="347"/>
      <c r="U114" s="347">
        <v>14</v>
      </c>
      <c r="V114" s="347">
        <v>1</v>
      </c>
      <c r="W114" s="347">
        <v>105</v>
      </c>
      <c r="X114" s="348">
        <f t="shared" si="20"/>
        <v>120</v>
      </c>
      <c r="Y114" s="347"/>
      <c r="Z114" s="347"/>
      <c r="AA114" s="347"/>
      <c r="AB114" s="347"/>
      <c r="AC114" s="347"/>
      <c r="AD114" s="347"/>
      <c r="AE114" s="348">
        <f t="shared" si="21"/>
        <v>0</v>
      </c>
      <c r="AF114" s="347"/>
      <c r="AG114" s="347"/>
      <c r="AH114" s="347">
        <v>85</v>
      </c>
      <c r="AI114" s="347"/>
      <c r="AJ114" s="347"/>
      <c r="AK114" s="347"/>
      <c r="AL114" s="348">
        <f t="shared" si="22"/>
        <v>85</v>
      </c>
      <c r="AM114" s="347"/>
      <c r="AN114" s="347">
        <v>50</v>
      </c>
      <c r="AO114" s="347">
        <v>11</v>
      </c>
      <c r="AP114" s="347">
        <v>80</v>
      </c>
      <c r="AQ114" s="347">
        <v>60</v>
      </c>
      <c r="AR114" s="347">
        <v>38</v>
      </c>
      <c r="AS114" s="348">
        <f t="shared" si="23"/>
        <v>239</v>
      </c>
      <c r="AT114" s="347"/>
      <c r="AU114" s="347"/>
      <c r="AV114" s="347"/>
      <c r="AW114" s="347"/>
      <c r="AX114" s="347"/>
      <c r="AY114" s="347"/>
      <c r="AZ114" s="348">
        <f t="shared" si="24"/>
        <v>0</v>
      </c>
      <c r="BA114" s="347"/>
      <c r="BB114" s="347"/>
      <c r="BC114" s="347"/>
      <c r="BD114" s="347"/>
      <c r="BE114" s="348">
        <f t="shared" si="25"/>
        <v>0</v>
      </c>
      <c r="BF114" s="347"/>
      <c r="BG114" s="348">
        <f t="shared" si="26"/>
        <v>0</v>
      </c>
      <c r="BH114" s="356">
        <v>1158</v>
      </c>
    </row>
    <row r="115" spans="1:60" ht="17.45" customHeight="1">
      <c r="A115" s="357"/>
      <c r="B115" s="357"/>
      <c r="C115" s="357"/>
      <c r="D115" s="347" t="s">
        <v>1121</v>
      </c>
      <c r="E115" s="347" t="s">
        <v>1122</v>
      </c>
      <c r="F115" s="355"/>
      <c r="G115" s="347"/>
      <c r="H115" s="347"/>
      <c r="I115" s="347"/>
      <c r="J115" s="347"/>
      <c r="K115" s="347"/>
      <c r="L115" s="348">
        <f t="shared" si="18"/>
        <v>0</v>
      </c>
      <c r="M115" s="347"/>
      <c r="N115" s="347"/>
      <c r="O115" s="347"/>
      <c r="P115" s="347"/>
      <c r="Q115" s="347"/>
      <c r="R115" s="348">
        <f t="shared" si="19"/>
        <v>0</v>
      </c>
      <c r="S115" s="347"/>
      <c r="T115" s="347"/>
      <c r="U115" s="347"/>
      <c r="V115" s="347"/>
      <c r="W115" s="347"/>
      <c r="X115" s="348">
        <f t="shared" si="20"/>
        <v>0</v>
      </c>
      <c r="Y115" s="347"/>
      <c r="Z115" s="347"/>
      <c r="AA115" s="347"/>
      <c r="AB115" s="347"/>
      <c r="AC115" s="347"/>
      <c r="AD115" s="347"/>
      <c r="AE115" s="348">
        <f t="shared" si="21"/>
        <v>0</v>
      </c>
      <c r="AF115" s="347"/>
      <c r="AG115" s="347"/>
      <c r="AH115" s="347"/>
      <c r="AI115" s="347"/>
      <c r="AJ115" s="347">
        <v>16</v>
      </c>
      <c r="AK115" s="347"/>
      <c r="AL115" s="348">
        <f t="shared" si="22"/>
        <v>16</v>
      </c>
      <c r="AM115" s="347"/>
      <c r="AN115" s="347"/>
      <c r="AO115" s="347"/>
      <c r="AP115" s="347"/>
      <c r="AQ115" s="347"/>
      <c r="AR115" s="347"/>
      <c r="AS115" s="348">
        <f t="shared" si="23"/>
        <v>0</v>
      </c>
      <c r="AT115" s="347"/>
      <c r="AU115" s="347"/>
      <c r="AV115" s="347"/>
      <c r="AW115" s="347"/>
      <c r="AX115" s="347"/>
      <c r="AY115" s="347"/>
      <c r="AZ115" s="348">
        <f t="shared" si="24"/>
        <v>0</v>
      </c>
      <c r="BA115" s="347"/>
      <c r="BB115" s="347"/>
      <c r="BC115" s="347"/>
      <c r="BD115" s="347"/>
      <c r="BE115" s="348">
        <f t="shared" si="25"/>
        <v>0</v>
      </c>
      <c r="BF115" s="347"/>
      <c r="BG115" s="348">
        <f t="shared" si="26"/>
        <v>0</v>
      </c>
      <c r="BH115" s="356">
        <v>16</v>
      </c>
    </row>
    <row r="116" spans="1:60" ht="17.45" customHeight="1">
      <c r="A116" s="357"/>
      <c r="B116" s="357"/>
      <c r="C116" s="357"/>
      <c r="D116" s="347" t="s">
        <v>1123</v>
      </c>
      <c r="E116" s="347" t="s">
        <v>1124</v>
      </c>
      <c r="F116" s="355">
        <v>114</v>
      </c>
      <c r="G116" s="347">
        <v>19</v>
      </c>
      <c r="H116" s="347"/>
      <c r="I116" s="347"/>
      <c r="J116" s="347"/>
      <c r="K116" s="347"/>
      <c r="L116" s="348">
        <f t="shared" si="18"/>
        <v>133</v>
      </c>
      <c r="M116" s="347">
        <v>40</v>
      </c>
      <c r="N116" s="347">
        <v>84</v>
      </c>
      <c r="O116" s="347"/>
      <c r="P116" s="347"/>
      <c r="Q116" s="347"/>
      <c r="R116" s="348">
        <f t="shared" si="19"/>
        <v>124</v>
      </c>
      <c r="S116" s="347">
        <v>50</v>
      </c>
      <c r="T116" s="347">
        <v>56</v>
      </c>
      <c r="U116" s="347"/>
      <c r="V116" s="347"/>
      <c r="W116" s="347"/>
      <c r="X116" s="348">
        <f t="shared" si="20"/>
        <v>106</v>
      </c>
      <c r="Y116" s="347">
        <v>112</v>
      </c>
      <c r="Z116" s="347"/>
      <c r="AA116" s="347"/>
      <c r="AB116" s="347"/>
      <c r="AC116" s="347"/>
      <c r="AD116" s="347"/>
      <c r="AE116" s="348">
        <f t="shared" si="21"/>
        <v>112</v>
      </c>
      <c r="AF116" s="347">
        <v>126</v>
      </c>
      <c r="AG116" s="347"/>
      <c r="AH116" s="347"/>
      <c r="AI116" s="347"/>
      <c r="AJ116" s="347"/>
      <c r="AK116" s="347"/>
      <c r="AL116" s="348">
        <f t="shared" si="22"/>
        <v>126</v>
      </c>
      <c r="AM116" s="347">
        <v>74</v>
      </c>
      <c r="AN116" s="347"/>
      <c r="AO116" s="347"/>
      <c r="AP116" s="347"/>
      <c r="AQ116" s="347"/>
      <c r="AR116" s="347"/>
      <c r="AS116" s="348">
        <f t="shared" si="23"/>
        <v>74</v>
      </c>
      <c r="AT116" s="347"/>
      <c r="AU116" s="347"/>
      <c r="AV116" s="347"/>
      <c r="AW116" s="347"/>
      <c r="AX116" s="347"/>
      <c r="AY116" s="347"/>
      <c r="AZ116" s="348">
        <f t="shared" si="24"/>
        <v>0</v>
      </c>
      <c r="BA116" s="347"/>
      <c r="BB116" s="347"/>
      <c r="BC116" s="347"/>
      <c r="BD116" s="347"/>
      <c r="BE116" s="348">
        <f t="shared" si="25"/>
        <v>0</v>
      </c>
      <c r="BF116" s="347"/>
      <c r="BG116" s="348">
        <f t="shared" si="26"/>
        <v>0</v>
      </c>
      <c r="BH116" s="356">
        <v>675</v>
      </c>
    </row>
    <row r="117" spans="1:60" ht="17.45" customHeight="1">
      <c r="A117" s="357"/>
      <c r="B117" s="357"/>
      <c r="C117" s="357"/>
      <c r="D117" s="347" t="s">
        <v>1217</v>
      </c>
      <c r="E117" s="347" t="s">
        <v>1111</v>
      </c>
      <c r="F117" s="355"/>
      <c r="G117" s="347"/>
      <c r="H117" s="347">
        <v>60</v>
      </c>
      <c r="I117" s="347"/>
      <c r="J117" s="347">
        <v>127</v>
      </c>
      <c r="K117" s="347">
        <v>170</v>
      </c>
      <c r="L117" s="348">
        <f t="shared" si="18"/>
        <v>357</v>
      </c>
      <c r="M117" s="347"/>
      <c r="N117" s="347"/>
      <c r="O117" s="347">
        <v>80</v>
      </c>
      <c r="P117" s="347">
        <v>45</v>
      </c>
      <c r="Q117" s="347"/>
      <c r="R117" s="348">
        <f t="shared" si="19"/>
        <v>125</v>
      </c>
      <c r="S117" s="347">
        <v>122</v>
      </c>
      <c r="T117" s="347"/>
      <c r="U117" s="347"/>
      <c r="V117" s="347">
        <v>95</v>
      </c>
      <c r="W117" s="347">
        <v>107</v>
      </c>
      <c r="X117" s="348">
        <f t="shared" si="20"/>
        <v>324</v>
      </c>
      <c r="Y117" s="347"/>
      <c r="Z117" s="347">
        <v>96</v>
      </c>
      <c r="AA117" s="347">
        <v>100</v>
      </c>
      <c r="AB117" s="347">
        <v>122</v>
      </c>
      <c r="AC117" s="347">
        <v>237</v>
      </c>
      <c r="AD117" s="347">
        <v>237</v>
      </c>
      <c r="AE117" s="348">
        <f t="shared" si="21"/>
        <v>792</v>
      </c>
      <c r="AF117" s="347"/>
      <c r="AG117" s="347"/>
      <c r="AH117" s="347">
        <v>100</v>
      </c>
      <c r="AI117" s="347">
        <v>100</v>
      </c>
      <c r="AJ117" s="347">
        <v>147</v>
      </c>
      <c r="AK117" s="347">
        <v>162</v>
      </c>
      <c r="AL117" s="348">
        <f t="shared" si="22"/>
        <v>509</v>
      </c>
      <c r="AM117" s="347"/>
      <c r="AN117" s="347">
        <v>9</v>
      </c>
      <c r="AO117" s="347"/>
      <c r="AP117" s="347">
        <v>183</v>
      </c>
      <c r="AQ117" s="347">
        <v>189</v>
      </c>
      <c r="AR117" s="347">
        <v>67</v>
      </c>
      <c r="AS117" s="348">
        <f t="shared" si="23"/>
        <v>448</v>
      </c>
      <c r="AT117" s="347">
        <v>252</v>
      </c>
      <c r="AU117" s="347">
        <v>267</v>
      </c>
      <c r="AV117" s="347"/>
      <c r="AW117" s="347"/>
      <c r="AX117" s="347"/>
      <c r="AY117" s="347"/>
      <c r="AZ117" s="348">
        <f t="shared" si="24"/>
        <v>519</v>
      </c>
      <c r="BA117" s="347">
        <v>254</v>
      </c>
      <c r="BB117" s="347"/>
      <c r="BC117" s="347"/>
      <c r="BD117" s="347"/>
      <c r="BE117" s="348">
        <f t="shared" si="25"/>
        <v>254</v>
      </c>
      <c r="BF117" s="347">
        <v>192</v>
      </c>
      <c r="BG117" s="348">
        <f t="shared" si="26"/>
        <v>192</v>
      </c>
      <c r="BH117" s="356">
        <v>3520</v>
      </c>
    </row>
    <row r="118" spans="1:60" ht="17.45" customHeight="1">
      <c r="A118" s="357"/>
      <c r="B118" s="357"/>
      <c r="C118" s="357"/>
      <c r="D118" s="347" t="s">
        <v>1157</v>
      </c>
      <c r="E118" s="347" t="s">
        <v>1158</v>
      </c>
      <c r="F118" s="355"/>
      <c r="G118" s="347"/>
      <c r="H118" s="347">
        <v>48</v>
      </c>
      <c r="I118" s="347">
        <v>171</v>
      </c>
      <c r="J118" s="347">
        <v>44</v>
      </c>
      <c r="K118" s="347"/>
      <c r="L118" s="348">
        <f t="shared" si="18"/>
        <v>263</v>
      </c>
      <c r="M118" s="347"/>
      <c r="N118" s="347"/>
      <c r="O118" s="347">
        <v>36</v>
      </c>
      <c r="P118" s="347">
        <v>101</v>
      </c>
      <c r="Q118" s="347">
        <v>146</v>
      </c>
      <c r="R118" s="348">
        <f t="shared" si="19"/>
        <v>283</v>
      </c>
      <c r="S118" s="347"/>
      <c r="T118" s="347">
        <v>95</v>
      </c>
      <c r="U118" s="347">
        <v>80</v>
      </c>
      <c r="V118" s="347">
        <v>76</v>
      </c>
      <c r="W118" s="347">
        <v>64</v>
      </c>
      <c r="X118" s="348">
        <f t="shared" si="20"/>
        <v>315</v>
      </c>
      <c r="Y118" s="347"/>
      <c r="Z118" s="347">
        <v>56</v>
      </c>
      <c r="AA118" s="347">
        <v>138</v>
      </c>
      <c r="AB118" s="347">
        <v>116</v>
      </c>
      <c r="AC118" s="347"/>
      <c r="AD118" s="347"/>
      <c r="AE118" s="348">
        <f t="shared" si="21"/>
        <v>310</v>
      </c>
      <c r="AF118" s="347"/>
      <c r="AG118" s="347">
        <v>27</v>
      </c>
      <c r="AH118" s="347">
        <v>104</v>
      </c>
      <c r="AI118" s="347">
        <v>104</v>
      </c>
      <c r="AJ118" s="347">
        <v>97</v>
      </c>
      <c r="AK118" s="347"/>
      <c r="AL118" s="348">
        <f t="shared" si="22"/>
        <v>332</v>
      </c>
      <c r="AM118" s="347">
        <v>74</v>
      </c>
      <c r="AN118" s="347"/>
      <c r="AO118" s="347">
        <v>189</v>
      </c>
      <c r="AP118" s="347">
        <v>6</v>
      </c>
      <c r="AQ118" s="347"/>
      <c r="AR118" s="347"/>
      <c r="AS118" s="348">
        <f t="shared" si="23"/>
        <v>269</v>
      </c>
      <c r="AT118" s="347"/>
      <c r="AU118" s="347"/>
      <c r="AV118" s="347"/>
      <c r="AW118" s="347"/>
      <c r="AX118" s="347"/>
      <c r="AY118" s="347"/>
      <c r="AZ118" s="348">
        <f t="shared" si="24"/>
        <v>0</v>
      </c>
      <c r="BA118" s="347"/>
      <c r="BB118" s="347"/>
      <c r="BC118" s="347"/>
      <c r="BD118" s="347"/>
      <c r="BE118" s="348">
        <f t="shared" si="25"/>
        <v>0</v>
      </c>
      <c r="BF118" s="347"/>
      <c r="BG118" s="348">
        <f t="shared" si="26"/>
        <v>0</v>
      </c>
      <c r="BH118" s="356">
        <v>1772</v>
      </c>
    </row>
    <row r="119" spans="1:60" ht="17.45" customHeight="1">
      <c r="A119" s="357"/>
      <c r="B119" s="357"/>
      <c r="C119" s="357"/>
      <c r="D119" s="347" t="s">
        <v>1127</v>
      </c>
      <c r="E119" s="347" t="s">
        <v>1128</v>
      </c>
      <c r="F119" s="355"/>
      <c r="G119" s="347"/>
      <c r="H119" s="347"/>
      <c r="I119" s="347"/>
      <c r="J119" s="347"/>
      <c r="K119" s="347"/>
      <c r="L119" s="348">
        <f t="shared" si="18"/>
        <v>0</v>
      </c>
      <c r="M119" s="347"/>
      <c r="N119" s="347"/>
      <c r="O119" s="347"/>
      <c r="P119" s="347"/>
      <c r="Q119" s="347"/>
      <c r="R119" s="348">
        <f t="shared" si="19"/>
        <v>0</v>
      </c>
      <c r="S119" s="347">
        <v>137</v>
      </c>
      <c r="T119" s="347">
        <v>74</v>
      </c>
      <c r="U119" s="347">
        <v>60</v>
      </c>
      <c r="V119" s="347">
        <v>60</v>
      </c>
      <c r="W119" s="347">
        <v>60</v>
      </c>
      <c r="X119" s="348">
        <f t="shared" si="20"/>
        <v>391</v>
      </c>
      <c r="Y119" s="347"/>
      <c r="Z119" s="347"/>
      <c r="AA119" s="347"/>
      <c r="AB119" s="347"/>
      <c r="AC119" s="347"/>
      <c r="AD119" s="347"/>
      <c r="AE119" s="348">
        <f t="shared" si="21"/>
        <v>0</v>
      </c>
      <c r="AF119" s="347">
        <v>85</v>
      </c>
      <c r="AG119" s="347">
        <v>40</v>
      </c>
      <c r="AH119" s="347">
        <v>47</v>
      </c>
      <c r="AI119" s="347">
        <v>31</v>
      </c>
      <c r="AJ119" s="347"/>
      <c r="AK119" s="347">
        <v>120</v>
      </c>
      <c r="AL119" s="348">
        <f t="shared" si="22"/>
        <v>323</v>
      </c>
      <c r="AM119" s="347">
        <v>143</v>
      </c>
      <c r="AN119" s="347">
        <v>32</v>
      </c>
      <c r="AO119" s="347">
        <v>34</v>
      </c>
      <c r="AP119" s="347">
        <v>59</v>
      </c>
      <c r="AQ119" s="347">
        <v>11</v>
      </c>
      <c r="AR119" s="347">
        <v>5</v>
      </c>
      <c r="AS119" s="348">
        <f t="shared" si="23"/>
        <v>284</v>
      </c>
      <c r="AT119" s="347"/>
      <c r="AU119" s="347">
        <v>69</v>
      </c>
      <c r="AV119" s="347">
        <v>151</v>
      </c>
      <c r="AW119" s="347"/>
      <c r="AX119" s="347"/>
      <c r="AY119" s="347"/>
      <c r="AZ119" s="348">
        <f t="shared" si="24"/>
        <v>220</v>
      </c>
      <c r="BA119" s="347">
        <v>66</v>
      </c>
      <c r="BB119" s="347">
        <v>183</v>
      </c>
      <c r="BC119" s="347"/>
      <c r="BD119" s="347"/>
      <c r="BE119" s="348">
        <f t="shared" si="25"/>
        <v>249</v>
      </c>
      <c r="BF119" s="347"/>
      <c r="BG119" s="348">
        <f t="shared" si="26"/>
        <v>0</v>
      </c>
      <c r="BH119" s="356">
        <v>1467</v>
      </c>
    </row>
    <row r="120" spans="1:60" ht="17.45" customHeight="1">
      <c r="A120" s="357"/>
      <c r="B120" s="357"/>
      <c r="C120" s="357"/>
      <c r="D120" s="347" t="s">
        <v>1129</v>
      </c>
      <c r="E120" s="347" t="s">
        <v>1130</v>
      </c>
      <c r="F120" s="355"/>
      <c r="G120" s="347"/>
      <c r="H120" s="347"/>
      <c r="I120" s="347"/>
      <c r="J120" s="347"/>
      <c r="K120" s="347"/>
      <c r="L120" s="348">
        <f t="shared" si="18"/>
        <v>0</v>
      </c>
      <c r="M120" s="347"/>
      <c r="N120" s="347"/>
      <c r="O120" s="347"/>
      <c r="P120" s="347">
        <v>47</v>
      </c>
      <c r="Q120" s="347"/>
      <c r="R120" s="348">
        <f t="shared" si="19"/>
        <v>47</v>
      </c>
      <c r="S120" s="347"/>
      <c r="T120" s="347">
        <v>30</v>
      </c>
      <c r="U120" s="347">
        <v>7</v>
      </c>
      <c r="V120" s="347"/>
      <c r="W120" s="347"/>
      <c r="X120" s="348">
        <f t="shared" si="20"/>
        <v>37</v>
      </c>
      <c r="Y120" s="347"/>
      <c r="Z120" s="347"/>
      <c r="AA120" s="347"/>
      <c r="AB120" s="347"/>
      <c r="AC120" s="347"/>
      <c r="AD120" s="347"/>
      <c r="AE120" s="348">
        <f t="shared" si="21"/>
        <v>0</v>
      </c>
      <c r="AF120" s="347"/>
      <c r="AG120" s="347"/>
      <c r="AH120" s="347"/>
      <c r="AI120" s="347"/>
      <c r="AJ120" s="347"/>
      <c r="AK120" s="347">
        <v>38</v>
      </c>
      <c r="AL120" s="348">
        <f t="shared" si="22"/>
        <v>38</v>
      </c>
      <c r="AM120" s="347"/>
      <c r="AN120" s="347"/>
      <c r="AO120" s="347">
        <v>26</v>
      </c>
      <c r="AP120" s="347"/>
      <c r="AQ120" s="347"/>
      <c r="AR120" s="347"/>
      <c r="AS120" s="348">
        <f t="shared" si="23"/>
        <v>26</v>
      </c>
      <c r="AT120" s="347"/>
      <c r="AU120" s="347"/>
      <c r="AV120" s="347">
        <v>47</v>
      </c>
      <c r="AW120" s="347"/>
      <c r="AX120" s="347"/>
      <c r="AY120" s="347"/>
      <c r="AZ120" s="348">
        <f t="shared" si="24"/>
        <v>47</v>
      </c>
      <c r="BA120" s="347"/>
      <c r="BB120" s="347">
        <v>36</v>
      </c>
      <c r="BC120" s="347"/>
      <c r="BD120" s="347"/>
      <c r="BE120" s="348">
        <f t="shared" si="25"/>
        <v>36</v>
      </c>
      <c r="BF120" s="347"/>
      <c r="BG120" s="348">
        <f t="shared" si="26"/>
        <v>0</v>
      </c>
      <c r="BH120" s="356">
        <v>231</v>
      </c>
    </row>
    <row r="121" spans="1:60" ht="17.45" customHeight="1">
      <c r="A121" s="357"/>
      <c r="B121" s="357"/>
      <c r="C121" s="357"/>
      <c r="D121" s="347" t="s">
        <v>1182</v>
      </c>
      <c r="E121" s="347" t="s">
        <v>1204</v>
      </c>
      <c r="F121" s="355"/>
      <c r="G121" s="347"/>
      <c r="H121" s="347"/>
      <c r="I121" s="347"/>
      <c r="J121" s="347"/>
      <c r="K121" s="347"/>
      <c r="L121" s="348">
        <f t="shared" si="18"/>
        <v>0</v>
      </c>
      <c r="M121" s="347"/>
      <c r="N121" s="347"/>
      <c r="O121" s="347"/>
      <c r="P121" s="347"/>
      <c r="Q121" s="347"/>
      <c r="R121" s="348">
        <f t="shared" si="19"/>
        <v>0</v>
      </c>
      <c r="S121" s="347"/>
      <c r="T121" s="347"/>
      <c r="U121" s="347">
        <v>49</v>
      </c>
      <c r="V121" s="347"/>
      <c r="W121" s="347"/>
      <c r="X121" s="348">
        <f t="shared" si="20"/>
        <v>49</v>
      </c>
      <c r="Y121" s="347"/>
      <c r="Z121" s="347"/>
      <c r="AA121" s="347"/>
      <c r="AB121" s="347"/>
      <c r="AC121" s="347"/>
      <c r="AD121" s="347"/>
      <c r="AE121" s="348">
        <f t="shared" si="21"/>
        <v>0</v>
      </c>
      <c r="AF121" s="347">
        <v>27</v>
      </c>
      <c r="AG121" s="347">
        <v>5</v>
      </c>
      <c r="AH121" s="347"/>
      <c r="AI121" s="347"/>
      <c r="AJ121" s="347"/>
      <c r="AK121" s="347"/>
      <c r="AL121" s="348">
        <f t="shared" si="22"/>
        <v>32</v>
      </c>
      <c r="AM121" s="347"/>
      <c r="AN121" s="347">
        <v>61</v>
      </c>
      <c r="AO121" s="347"/>
      <c r="AP121" s="347"/>
      <c r="AQ121" s="347"/>
      <c r="AR121" s="347"/>
      <c r="AS121" s="348">
        <f t="shared" si="23"/>
        <v>61</v>
      </c>
      <c r="AT121" s="347"/>
      <c r="AU121" s="347"/>
      <c r="AV121" s="347">
        <v>96</v>
      </c>
      <c r="AW121" s="347"/>
      <c r="AX121" s="347"/>
      <c r="AY121" s="347"/>
      <c r="AZ121" s="348">
        <f t="shared" si="24"/>
        <v>96</v>
      </c>
      <c r="BA121" s="347"/>
      <c r="BB121" s="347">
        <v>20</v>
      </c>
      <c r="BC121" s="347"/>
      <c r="BD121" s="347"/>
      <c r="BE121" s="348">
        <f t="shared" si="25"/>
        <v>20</v>
      </c>
      <c r="BF121" s="347"/>
      <c r="BG121" s="348">
        <f t="shared" si="26"/>
        <v>0</v>
      </c>
      <c r="BH121" s="356">
        <v>258</v>
      </c>
    </row>
    <row r="122" spans="1:60" ht="17.45" customHeight="1">
      <c r="A122" s="357"/>
      <c r="B122" s="357"/>
      <c r="C122" s="357"/>
      <c r="D122" s="347" t="s">
        <v>1180</v>
      </c>
      <c r="E122" s="347" t="s">
        <v>1202</v>
      </c>
      <c r="F122" s="355"/>
      <c r="G122" s="347"/>
      <c r="H122" s="347"/>
      <c r="I122" s="347"/>
      <c r="J122" s="347"/>
      <c r="K122" s="347"/>
      <c r="L122" s="348">
        <f t="shared" si="18"/>
        <v>0</v>
      </c>
      <c r="M122" s="347"/>
      <c r="N122" s="347">
        <v>14</v>
      </c>
      <c r="O122" s="347"/>
      <c r="P122" s="347"/>
      <c r="Q122" s="347"/>
      <c r="R122" s="348">
        <f t="shared" si="19"/>
        <v>14</v>
      </c>
      <c r="S122" s="347"/>
      <c r="T122" s="347"/>
      <c r="U122" s="347"/>
      <c r="V122" s="347"/>
      <c r="W122" s="347"/>
      <c r="X122" s="348">
        <f t="shared" si="20"/>
        <v>0</v>
      </c>
      <c r="Y122" s="347"/>
      <c r="Z122" s="347"/>
      <c r="AA122" s="347"/>
      <c r="AB122" s="347"/>
      <c r="AC122" s="347"/>
      <c r="AD122" s="347"/>
      <c r="AE122" s="348">
        <f t="shared" si="21"/>
        <v>0</v>
      </c>
      <c r="AF122" s="347"/>
      <c r="AG122" s="347"/>
      <c r="AH122" s="347"/>
      <c r="AI122" s="347"/>
      <c r="AJ122" s="347"/>
      <c r="AK122" s="347"/>
      <c r="AL122" s="348">
        <f t="shared" si="22"/>
        <v>0</v>
      </c>
      <c r="AM122" s="347"/>
      <c r="AN122" s="347"/>
      <c r="AO122" s="347"/>
      <c r="AP122" s="347"/>
      <c r="AQ122" s="347"/>
      <c r="AR122" s="347"/>
      <c r="AS122" s="348">
        <f t="shared" si="23"/>
        <v>0</v>
      </c>
      <c r="AT122" s="347"/>
      <c r="AU122" s="347"/>
      <c r="AV122" s="347">
        <v>19</v>
      </c>
      <c r="AW122" s="347"/>
      <c r="AX122" s="347"/>
      <c r="AY122" s="347"/>
      <c r="AZ122" s="348">
        <f t="shared" si="24"/>
        <v>19</v>
      </c>
      <c r="BA122" s="347"/>
      <c r="BB122" s="347">
        <v>81</v>
      </c>
      <c r="BC122" s="347">
        <v>41</v>
      </c>
      <c r="BD122" s="347"/>
      <c r="BE122" s="348">
        <f t="shared" si="25"/>
        <v>122</v>
      </c>
      <c r="BF122" s="347"/>
      <c r="BG122" s="348">
        <f t="shared" si="26"/>
        <v>0</v>
      </c>
      <c r="BH122" s="356">
        <v>155</v>
      </c>
    </row>
    <row r="123" spans="1:60" ht="17.45" customHeight="1">
      <c r="A123" s="357"/>
      <c r="B123" s="357"/>
      <c r="C123" s="357"/>
      <c r="D123" s="347" t="s">
        <v>1183</v>
      </c>
      <c r="E123" s="347" t="s">
        <v>1205</v>
      </c>
      <c r="F123" s="355"/>
      <c r="G123" s="347"/>
      <c r="H123" s="347">
        <v>1</v>
      </c>
      <c r="I123" s="347"/>
      <c r="J123" s="347"/>
      <c r="K123" s="347"/>
      <c r="L123" s="348">
        <f t="shared" si="18"/>
        <v>1</v>
      </c>
      <c r="M123" s="347"/>
      <c r="N123" s="347"/>
      <c r="O123" s="347">
        <v>1</v>
      </c>
      <c r="P123" s="347"/>
      <c r="Q123" s="347"/>
      <c r="R123" s="348">
        <f t="shared" si="19"/>
        <v>1</v>
      </c>
      <c r="S123" s="347"/>
      <c r="T123" s="347"/>
      <c r="U123" s="347"/>
      <c r="V123" s="347"/>
      <c r="W123" s="347"/>
      <c r="X123" s="348">
        <f t="shared" si="20"/>
        <v>0</v>
      </c>
      <c r="Y123" s="347"/>
      <c r="Z123" s="347"/>
      <c r="AA123" s="347"/>
      <c r="AB123" s="347"/>
      <c r="AC123" s="347"/>
      <c r="AD123" s="347"/>
      <c r="AE123" s="348">
        <f t="shared" si="21"/>
        <v>0</v>
      </c>
      <c r="AF123" s="347"/>
      <c r="AG123" s="347"/>
      <c r="AH123" s="347"/>
      <c r="AI123" s="347"/>
      <c r="AJ123" s="347"/>
      <c r="AK123" s="347"/>
      <c r="AL123" s="348">
        <f t="shared" si="22"/>
        <v>0</v>
      </c>
      <c r="AM123" s="347"/>
      <c r="AN123" s="347">
        <v>1</v>
      </c>
      <c r="AO123" s="347"/>
      <c r="AP123" s="347"/>
      <c r="AQ123" s="347"/>
      <c r="AR123" s="347"/>
      <c r="AS123" s="348">
        <f t="shared" si="23"/>
        <v>1</v>
      </c>
      <c r="AT123" s="347"/>
      <c r="AU123" s="347"/>
      <c r="AV123" s="347"/>
      <c r="AW123" s="347"/>
      <c r="AX123" s="347"/>
      <c r="AY123" s="347"/>
      <c r="AZ123" s="348">
        <f t="shared" si="24"/>
        <v>0</v>
      </c>
      <c r="BA123" s="347"/>
      <c r="BB123" s="347"/>
      <c r="BC123" s="347">
        <v>1</v>
      </c>
      <c r="BD123" s="347"/>
      <c r="BE123" s="348">
        <f t="shared" si="25"/>
        <v>1</v>
      </c>
      <c r="BF123" s="347"/>
      <c r="BG123" s="348">
        <f t="shared" si="26"/>
        <v>0</v>
      </c>
      <c r="BH123" s="356">
        <v>4</v>
      </c>
    </row>
    <row r="124" spans="1:60" ht="17.45" customHeight="1">
      <c r="A124" s="357"/>
      <c r="B124" s="357"/>
      <c r="C124" s="357"/>
      <c r="D124" s="347" t="s">
        <v>1131</v>
      </c>
      <c r="E124" s="347" t="s">
        <v>1132</v>
      </c>
      <c r="F124" s="355">
        <v>30</v>
      </c>
      <c r="G124" s="347">
        <v>30</v>
      </c>
      <c r="H124" s="347">
        <v>30</v>
      </c>
      <c r="I124" s="347"/>
      <c r="J124" s="347">
        <v>89</v>
      </c>
      <c r="K124" s="347">
        <v>150</v>
      </c>
      <c r="L124" s="348">
        <f t="shared" si="18"/>
        <v>329</v>
      </c>
      <c r="M124" s="347"/>
      <c r="N124" s="347">
        <v>6</v>
      </c>
      <c r="O124" s="347">
        <v>62</v>
      </c>
      <c r="P124" s="347">
        <v>120</v>
      </c>
      <c r="Q124" s="347">
        <v>92</v>
      </c>
      <c r="R124" s="348">
        <f t="shared" si="19"/>
        <v>280</v>
      </c>
      <c r="S124" s="347"/>
      <c r="T124" s="347"/>
      <c r="U124" s="347"/>
      <c r="V124" s="347"/>
      <c r="W124" s="347"/>
      <c r="X124" s="348">
        <f t="shared" si="20"/>
        <v>0</v>
      </c>
      <c r="Y124" s="347"/>
      <c r="Z124" s="347"/>
      <c r="AA124" s="347"/>
      <c r="AB124" s="347"/>
      <c r="AC124" s="347"/>
      <c r="AD124" s="347"/>
      <c r="AE124" s="348">
        <f t="shared" si="21"/>
        <v>0</v>
      </c>
      <c r="AF124" s="347"/>
      <c r="AG124" s="347"/>
      <c r="AH124" s="347"/>
      <c r="AI124" s="347"/>
      <c r="AJ124" s="347"/>
      <c r="AK124" s="347"/>
      <c r="AL124" s="348">
        <f t="shared" si="22"/>
        <v>0</v>
      </c>
      <c r="AM124" s="347"/>
      <c r="AN124" s="347"/>
      <c r="AO124" s="347"/>
      <c r="AP124" s="347"/>
      <c r="AQ124" s="347"/>
      <c r="AR124" s="347"/>
      <c r="AS124" s="348">
        <f t="shared" si="23"/>
        <v>0</v>
      </c>
      <c r="AT124" s="347"/>
      <c r="AU124" s="347"/>
      <c r="AV124" s="347">
        <v>23</v>
      </c>
      <c r="AW124" s="347">
        <v>336</v>
      </c>
      <c r="AX124" s="347">
        <v>336</v>
      </c>
      <c r="AY124" s="347">
        <v>142</v>
      </c>
      <c r="AZ124" s="348">
        <f t="shared" si="24"/>
        <v>837</v>
      </c>
      <c r="BA124" s="347"/>
      <c r="BB124" s="347"/>
      <c r="BC124" s="347">
        <v>278</v>
      </c>
      <c r="BD124" s="347">
        <v>140</v>
      </c>
      <c r="BE124" s="348">
        <f t="shared" si="25"/>
        <v>418</v>
      </c>
      <c r="BF124" s="347"/>
      <c r="BG124" s="348">
        <f t="shared" si="26"/>
        <v>0</v>
      </c>
      <c r="BH124" s="356">
        <v>1864</v>
      </c>
    </row>
    <row r="125" spans="1:60" ht="17.45" customHeight="1">
      <c r="A125" s="357"/>
      <c r="B125" s="357"/>
      <c r="C125" s="357"/>
      <c r="D125" s="347" t="s">
        <v>1133</v>
      </c>
      <c r="E125" s="347" t="s">
        <v>1134</v>
      </c>
      <c r="F125" s="355"/>
      <c r="G125" s="347"/>
      <c r="H125" s="347"/>
      <c r="I125" s="347"/>
      <c r="J125" s="347"/>
      <c r="K125" s="347"/>
      <c r="L125" s="348">
        <f t="shared" si="18"/>
        <v>0</v>
      </c>
      <c r="M125" s="347">
        <v>80</v>
      </c>
      <c r="N125" s="347">
        <v>80</v>
      </c>
      <c r="O125" s="347">
        <v>80</v>
      </c>
      <c r="P125" s="347">
        <v>7</v>
      </c>
      <c r="Q125" s="347"/>
      <c r="R125" s="348">
        <f t="shared" si="19"/>
        <v>247</v>
      </c>
      <c r="S125" s="347"/>
      <c r="T125" s="347">
        <v>60</v>
      </c>
      <c r="U125" s="347">
        <v>34</v>
      </c>
      <c r="V125" s="347">
        <v>28</v>
      </c>
      <c r="W125" s="347"/>
      <c r="X125" s="348">
        <f t="shared" si="20"/>
        <v>122</v>
      </c>
      <c r="Y125" s="347">
        <v>4</v>
      </c>
      <c r="Z125" s="347"/>
      <c r="AA125" s="347"/>
      <c r="AB125" s="347">
        <v>92</v>
      </c>
      <c r="AC125" s="347">
        <v>99</v>
      </c>
      <c r="AD125" s="347">
        <v>17</v>
      </c>
      <c r="AE125" s="348">
        <f t="shared" si="21"/>
        <v>212</v>
      </c>
      <c r="AF125" s="347"/>
      <c r="AG125" s="347">
        <v>85</v>
      </c>
      <c r="AH125" s="347"/>
      <c r="AI125" s="347">
        <v>85</v>
      </c>
      <c r="AJ125" s="347"/>
      <c r="AK125" s="347"/>
      <c r="AL125" s="348">
        <f t="shared" si="22"/>
        <v>170</v>
      </c>
      <c r="AM125" s="347"/>
      <c r="AN125" s="347"/>
      <c r="AO125" s="347"/>
      <c r="AP125" s="347"/>
      <c r="AQ125" s="347"/>
      <c r="AR125" s="347">
        <v>20</v>
      </c>
      <c r="AS125" s="348">
        <f t="shared" si="23"/>
        <v>20</v>
      </c>
      <c r="AT125" s="347"/>
      <c r="AU125" s="347"/>
      <c r="AV125" s="347"/>
      <c r="AW125" s="347"/>
      <c r="AX125" s="347"/>
      <c r="AY125" s="347">
        <v>118</v>
      </c>
      <c r="AZ125" s="348">
        <f t="shared" si="24"/>
        <v>118</v>
      </c>
      <c r="BA125" s="347"/>
      <c r="BB125" s="347"/>
      <c r="BC125" s="347"/>
      <c r="BD125" s="347">
        <v>120</v>
      </c>
      <c r="BE125" s="348">
        <f t="shared" si="25"/>
        <v>120</v>
      </c>
      <c r="BF125" s="347"/>
      <c r="BG125" s="348">
        <f t="shared" si="26"/>
        <v>0</v>
      </c>
      <c r="BH125" s="356">
        <v>1009</v>
      </c>
    </row>
    <row r="126" spans="1:60" ht="17.45" customHeight="1">
      <c r="A126" s="357"/>
      <c r="B126" s="357"/>
      <c r="C126" s="357"/>
      <c r="D126" s="347" t="s">
        <v>1135</v>
      </c>
      <c r="E126" s="347" t="s">
        <v>1136</v>
      </c>
      <c r="F126" s="355"/>
      <c r="G126" s="347"/>
      <c r="H126" s="347"/>
      <c r="I126" s="347"/>
      <c r="J126" s="347"/>
      <c r="K126" s="347"/>
      <c r="L126" s="348">
        <f t="shared" si="18"/>
        <v>0</v>
      </c>
      <c r="M126" s="347"/>
      <c r="N126" s="347"/>
      <c r="O126" s="347"/>
      <c r="P126" s="347"/>
      <c r="Q126" s="347"/>
      <c r="R126" s="348">
        <f t="shared" si="19"/>
        <v>0</v>
      </c>
      <c r="S126" s="347"/>
      <c r="T126" s="347"/>
      <c r="U126" s="347"/>
      <c r="V126" s="347"/>
      <c r="W126" s="347"/>
      <c r="X126" s="348">
        <f t="shared" si="20"/>
        <v>0</v>
      </c>
      <c r="Y126" s="347"/>
      <c r="Z126" s="347"/>
      <c r="AA126" s="347">
        <v>98</v>
      </c>
      <c r="AB126" s="347">
        <v>6</v>
      </c>
      <c r="AC126" s="347"/>
      <c r="AD126" s="347"/>
      <c r="AE126" s="348">
        <f t="shared" si="21"/>
        <v>104</v>
      </c>
      <c r="AF126" s="347"/>
      <c r="AG126" s="347"/>
      <c r="AH126" s="347"/>
      <c r="AI126" s="347"/>
      <c r="AJ126" s="347"/>
      <c r="AK126" s="347"/>
      <c r="AL126" s="348">
        <f t="shared" si="22"/>
        <v>0</v>
      </c>
      <c r="AM126" s="347"/>
      <c r="AN126" s="347"/>
      <c r="AO126" s="347"/>
      <c r="AP126" s="347"/>
      <c r="AQ126" s="347"/>
      <c r="AR126" s="347"/>
      <c r="AS126" s="348">
        <f t="shared" si="23"/>
        <v>0</v>
      </c>
      <c r="AT126" s="347"/>
      <c r="AU126" s="347"/>
      <c r="AV126" s="347"/>
      <c r="AW126" s="347"/>
      <c r="AX126" s="347"/>
      <c r="AY126" s="347"/>
      <c r="AZ126" s="348">
        <f t="shared" si="24"/>
        <v>0</v>
      </c>
      <c r="BA126" s="347"/>
      <c r="BB126" s="347"/>
      <c r="BC126" s="347"/>
      <c r="BD126" s="347"/>
      <c r="BE126" s="348">
        <f t="shared" si="25"/>
        <v>0</v>
      </c>
      <c r="BF126" s="347"/>
      <c r="BG126" s="348">
        <f t="shared" si="26"/>
        <v>0</v>
      </c>
      <c r="BH126" s="356">
        <v>104</v>
      </c>
    </row>
    <row r="127" spans="1:60" ht="17.45" customHeight="1">
      <c r="A127" s="357"/>
      <c r="B127" s="357"/>
      <c r="C127" s="357"/>
      <c r="D127" s="347" t="s">
        <v>1190</v>
      </c>
      <c r="E127" s="347" t="s">
        <v>1212</v>
      </c>
      <c r="F127" s="355"/>
      <c r="G127" s="347"/>
      <c r="H127" s="347"/>
      <c r="I127" s="347"/>
      <c r="J127" s="347"/>
      <c r="K127" s="347"/>
      <c r="L127" s="348">
        <f t="shared" si="18"/>
        <v>0</v>
      </c>
      <c r="M127" s="347"/>
      <c r="N127" s="347"/>
      <c r="O127" s="347"/>
      <c r="P127" s="347"/>
      <c r="Q127" s="347"/>
      <c r="R127" s="348">
        <f t="shared" si="19"/>
        <v>0</v>
      </c>
      <c r="S127" s="347"/>
      <c r="T127" s="347"/>
      <c r="U127" s="347"/>
      <c r="V127" s="347"/>
      <c r="W127" s="347"/>
      <c r="X127" s="348">
        <f t="shared" si="20"/>
        <v>0</v>
      </c>
      <c r="Y127" s="347">
        <v>14</v>
      </c>
      <c r="Z127" s="347">
        <v>94</v>
      </c>
      <c r="AA127" s="347"/>
      <c r="AB127" s="347"/>
      <c r="AC127" s="347"/>
      <c r="AD127" s="347"/>
      <c r="AE127" s="348">
        <f t="shared" si="21"/>
        <v>108</v>
      </c>
      <c r="AF127" s="347"/>
      <c r="AG127" s="347"/>
      <c r="AH127" s="347"/>
      <c r="AI127" s="347"/>
      <c r="AJ127" s="347"/>
      <c r="AK127" s="347"/>
      <c r="AL127" s="348">
        <f t="shared" si="22"/>
        <v>0</v>
      </c>
      <c r="AM127" s="347"/>
      <c r="AN127" s="347"/>
      <c r="AO127" s="347"/>
      <c r="AP127" s="347"/>
      <c r="AQ127" s="347"/>
      <c r="AR127" s="347"/>
      <c r="AS127" s="348">
        <f t="shared" si="23"/>
        <v>0</v>
      </c>
      <c r="AT127" s="347"/>
      <c r="AU127" s="347"/>
      <c r="AV127" s="347"/>
      <c r="AW127" s="347"/>
      <c r="AX127" s="347"/>
      <c r="AY127" s="347"/>
      <c r="AZ127" s="348">
        <f t="shared" si="24"/>
        <v>0</v>
      </c>
      <c r="BA127" s="347"/>
      <c r="BB127" s="347"/>
      <c r="BC127" s="347"/>
      <c r="BD127" s="347"/>
      <c r="BE127" s="348">
        <f t="shared" si="25"/>
        <v>0</v>
      </c>
      <c r="BF127" s="347"/>
      <c r="BG127" s="348">
        <f t="shared" si="26"/>
        <v>0</v>
      </c>
      <c r="BH127" s="356">
        <v>108</v>
      </c>
    </row>
    <row r="128" spans="1:60" ht="17.45" customHeight="1">
      <c r="A128" s="357"/>
      <c r="B128" s="357"/>
      <c r="C128" s="357"/>
      <c r="D128" s="347" t="s">
        <v>1137</v>
      </c>
      <c r="E128" s="347" t="s">
        <v>1138</v>
      </c>
      <c r="F128" s="355">
        <v>57</v>
      </c>
      <c r="G128" s="347">
        <v>87</v>
      </c>
      <c r="H128" s="347"/>
      <c r="I128" s="347"/>
      <c r="J128" s="347"/>
      <c r="K128" s="347"/>
      <c r="L128" s="348">
        <f t="shared" si="18"/>
        <v>144</v>
      </c>
      <c r="M128" s="347"/>
      <c r="N128" s="347"/>
      <c r="O128" s="347"/>
      <c r="P128" s="347"/>
      <c r="Q128" s="347"/>
      <c r="R128" s="348">
        <f t="shared" si="19"/>
        <v>0</v>
      </c>
      <c r="S128" s="347"/>
      <c r="T128" s="347"/>
      <c r="U128" s="347"/>
      <c r="V128" s="347"/>
      <c r="W128" s="347"/>
      <c r="X128" s="348">
        <f t="shared" si="20"/>
        <v>0</v>
      </c>
      <c r="Y128" s="347">
        <v>69</v>
      </c>
      <c r="Z128" s="347"/>
      <c r="AA128" s="347"/>
      <c r="AB128" s="347"/>
      <c r="AC128" s="347"/>
      <c r="AD128" s="347"/>
      <c r="AE128" s="348">
        <f t="shared" si="21"/>
        <v>69</v>
      </c>
      <c r="AF128" s="347">
        <v>46</v>
      </c>
      <c r="AG128" s="347"/>
      <c r="AH128" s="347"/>
      <c r="AI128" s="347"/>
      <c r="AJ128" s="347"/>
      <c r="AK128" s="347"/>
      <c r="AL128" s="348">
        <f t="shared" si="22"/>
        <v>46</v>
      </c>
      <c r="AM128" s="347">
        <v>41</v>
      </c>
      <c r="AN128" s="347"/>
      <c r="AO128" s="347"/>
      <c r="AP128" s="347"/>
      <c r="AQ128" s="347"/>
      <c r="AR128" s="347"/>
      <c r="AS128" s="348">
        <f t="shared" si="23"/>
        <v>41</v>
      </c>
      <c r="AT128" s="347"/>
      <c r="AU128" s="347"/>
      <c r="AV128" s="347"/>
      <c r="AW128" s="347"/>
      <c r="AX128" s="347"/>
      <c r="AY128" s="347"/>
      <c r="AZ128" s="348">
        <f t="shared" si="24"/>
        <v>0</v>
      </c>
      <c r="BA128" s="347"/>
      <c r="BB128" s="347"/>
      <c r="BC128" s="347"/>
      <c r="BD128" s="347"/>
      <c r="BE128" s="348">
        <f t="shared" si="25"/>
        <v>0</v>
      </c>
      <c r="BF128" s="347"/>
      <c r="BG128" s="348">
        <f t="shared" si="26"/>
        <v>0</v>
      </c>
      <c r="BH128" s="356">
        <v>300</v>
      </c>
    </row>
    <row r="129" spans="1:60" ht="17.45" customHeight="1">
      <c r="A129" s="357"/>
      <c r="B129" s="357"/>
      <c r="C129" s="358"/>
      <c r="D129" s="347" t="s">
        <v>1139</v>
      </c>
      <c r="E129" s="347" t="s">
        <v>1140</v>
      </c>
      <c r="F129" s="355"/>
      <c r="G129" s="347"/>
      <c r="H129" s="347"/>
      <c r="I129" s="347"/>
      <c r="J129" s="347"/>
      <c r="K129" s="347"/>
      <c r="L129" s="348">
        <f t="shared" si="18"/>
        <v>0</v>
      </c>
      <c r="M129" s="347"/>
      <c r="N129" s="347"/>
      <c r="O129" s="347"/>
      <c r="P129" s="347"/>
      <c r="Q129" s="347"/>
      <c r="R129" s="348">
        <f t="shared" si="19"/>
        <v>0</v>
      </c>
      <c r="S129" s="347">
        <v>7</v>
      </c>
      <c r="T129" s="347"/>
      <c r="U129" s="347"/>
      <c r="V129" s="347"/>
      <c r="W129" s="347"/>
      <c r="X129" s="348">
        <f t="shared" si="20"/>
        <v>7</v>
      </c>
      <c r="Y129" s="347"/>
      <c r="Z129" s="347">
        <v>4</v>
      </c>
      <c r="AA129" s="347"/>
      <c r="AB129" s="347"/>
      <c r="AC129" s="347"/>
      <c r="AD129" s="347"/>
      <c r="AE129" s="348">
        <f t="shared" si="21"/>
        <v>4</v>
      </c>
      <c r="AF129" s="347"/>
      <c r="AG129" s="347">
        <v>2</v>
      </c>
      <c r="AH129" s="347"/>
      <c r="AI129" s="347"/>
      <c r="AJ129" s="347"/>
      <c r="AK129" s="347"/>
      <c r="AL129" s="348">
        <f t="shared" si="22"/>
        <v>2</v>
      </c>
      <c r="AM129" s="347"/>
      <c r="AN129" s="347">
        <v>3</v>
      </c>
      <c r="AO129" s="347"/>
      <c r="AP129" s="347"/>
      <c r="AQ129" s="347"/>
      <c r="AR129" s="347"/>
      <c r="AS129" s="348">
        <f t="shared" si="23"/>
        <v>3</v>
      </c>
      <c r="AT129" s="347"/>
      <c r="AU129" s="347"/>
      <c r="AV129" s="347">
        <v>3</v>
      </c>
      <c r="AW129" s="347"/>
      <c r="AX129" s="347"/>
      <c r="AY129" s="347"/>
      <c r="AZ129" s="348">
        <f t="shared" si="24"/>
        <v>3</v>
      </c>
      <c r="BA129" s="347"/>
      <c r="BB129" s="347">
        <v>2</v>
      </c>
      <c r="BC129" s="347"/>
      <c r="BD129" s="347"/>
      <c r="BE129" s="348">
        <f t="shared" si="25"/>
        <v>2</v>
      </c>
      <c r="BF129" s="347"/>
      <c r="BG129" s="348">
        <f t="shared" si="26"/>
        <v>0</v>
      </c>
      <c r="BH129" s="356">
        <v>21</v>
      </c>
    </row>
    <row r="130" spans="1:60" ht="17.45" customHeight="1">
      <c r="A130" s="357"/>
      <c r="B130" s="357"/>
      <c r="C130" s="359" t="s">
        <v>1831</v>
      </c>
      <c r="D130" s="360"/>
      <c r="E130" s="361"/>
      <c r="F130" s="362">
        <v>256</v>
      </c>
      <c r="G130" s="363">
        <v>336</v>
      </c>
      <c r="H130" s="363">
        <v>336</v>
      </c>
      <c r="I130" s="363">
        <v>320</v>
      </c>
      <c r="J130" s="363">
        <v>260</v>
      </c>
      <c r="K130" s="363">
        <v>320</v>
      </c>
      <c r="L130" s="348">
        <f t="shared" si="18"/>
        <v>1828</v>
      </c>
      <c r="M130" s="363">
        <v>256</v>
      </c>
      <c r="N130" s="363">
        <v>328</v>
      </c>
      <c r="O130" s="363">
        <v>336</v>
      </c>
      <c r="P130" s="363">
        <v>320</v>
      </c>
      <c r="Q130" s="363">
        <v>320</v>
      </c>
      <c r="R130" s="348">
        <f t="shared" si="19"/>
        <v>1560</v>
      </c>
      <c r="S130" s="363">
        <v>316</v>
      </c>
      <c r="T130" s="363">
        <v>336</v>
      </c>
      <c r="U130" s="363">
        <v>336</v>
      </c>
      <c r="V130" s="363">
        <v>260</v>
      </c>
      <c r="W130" s="363">
        <v>336</v>
      </c>
      <c r="X130" s="348">
        <f t="shared" si="20"/>
        <v>1584</v>
      </c>
      <c r="Y130" s="363">
        <v>256</v>
      </c>
      <c r="Z130" s="363">
        <v>336</v>
      </c>
      <c r="AA130" s="363">
        <v>336</v>
      </c>
      <c r="AB130" s="363">
        <v>336</v>
      </c>
      <c r="AC130" s="363">
        <v>336</v>
      </c>
      <c r="AD130" s="363">
        <v>254</v>
      </c>
      <c r="AE130" s="348">
        <f t="shared" si="21"/>
        <v>1854</v>
      </c>
      <c r="AF130" s="363">
        <v>316</v>
      </c>
      <c r="AG130" s="363">
        <v>336</v>
      </c>
      <c r="AH130" s="363">
        <v>336</v>
      </c>
      <c r="AI130" s="363">
        <v>320</v>
      </c>
      <c r="AJ130" s="363">
        <v>260</v>
      </c>
      <c r="AK130" s="363">
        <v>320</v>
      </c>
      <c r="AL130" s="348">
        <f t="shared" si="22"/>
        <v>1888</v>
      </c>
      <c r="AM130" s="363">
        <v>332</v>
      </c>
      <c r="AN130" s="363">
        <v>336</v>
      </c>
      <c r="AO130" s="363">
        <v>260</v>
      </c>
      <c r="AP130" s="363">
        <v>328</v>
      </c>
      <c r="AQ130" s="363">
        <v>260</v>
      </c>
      <c r="AR130" s="363">
        <v>130</v>
      </c>
      <c r="AS130" s="348">
        <f t="shared" si="23"/>
        <v>1646</v>
      </c>
      <c r="AT130" s="363">
        <v>252</v>
      </c>
      <c r="AU130" s="363">
        <v>336</v>
      </c>
      <c r="AV130" s="363">
        <v>339</v>
      </c>
      <c r="AW130" s="363">
        <v>336</v>
      </c>
      <c r="AX130" s="363">
        <v>336</v>
      </c>
      <c r="AY130" s="363">
        <v>260</v>
      </c>
      <c r="AZ130" s="348">
        <f t="shared" si="24"/>
        <v>1859</v>
      </c>
      <c r="BA130" s="363">
        <v>320</v>
      </c>
      <c r="BB130" s="363">
        <v>322</v>
      </c>
      <c r="BC130" s="363">
        <v>320</v>
      </c>
      <c r="BD130" s="363">
        <v>260</v>
      </c>
      <c r="BE130" s="348">
        <f t="shared" si="25"/>
        <v>1222</v>
      </c>
      <c r="BF130" s="363">
        <v>192</v>
      </c>
      <c r="BG130" s="348">
        <f t="shared" si="26"/>
        <v>192</v>
      </c>
      <c r="BH130" s="356">
        <v>13633</v>
      </c>
    </row>
    <row r="131" spans="1:60" ht="17.45" customHeight="1">
      <c r="A131" s="357"/>
      <c r="B131" s="357"/>
      <c r="C131" s="354" t="s">
        <v>1234</v>
      </c>
      <c r="D131" s="347" t="s">
        <v>1215</v>
      </c>
      <c r="E131" s="347" t="s">
        <v>1213</v>
      </c>
      <c r="F131" s="355"/>
      <c r="G131" s="347"/>
      <c r="H131" s="347"/>
      <c r="I131" s="347"/>
      <c r="J131" s="347"/>
      <c r="K131" s="347"/>
      <c r="L131" s="348">
        <f t="shared" si="18"/>
        <v>0</v>
      </c>
      <c r="M131" s="347"/>
      <c r="N131" s="347"/>
      <c r="O131" s="347"/>
      <c r="P131" s="347"/>
      <c r="Q131" s="347"/>
      <c r="R131" s="348">
        <f t="shared" si="19"/>
        <v>0</v>
      </c>
      <c r="S131" s="347"/>
      <c r="T131" s="347"/>
      <c r="U131" s="347">
        <v>8</v>
      </c>
      <c r="V131" s="347"/>
      <c r="W131" s="347"/>
      <c r="X131" s="348">
        <f t="shared" si="20"/>
        <v>8</v>
      </c>
      <c r="Y131" s="347"/>
      <c r="Z131" s="347"/>
      <c r="AA131" s="347">
        <v>12</v>
      </c>
      <c r="AB131" s="347"/>
      <c r="AC131" s="347"/>
      <c r="AD131" s="347"/>
      <c r="AE131" s="348">
        <f t="shared" si="21"/>
        <v>12</v>
      </c>
      <c r="AF131" s="347">
        <v>8</v>
      </c>
      <c r="AG131" s="347"/>
      <c r="AH131" s="347"/>
      <c r="AI131" s="347"/>
      <c r="AJ131" s="347"/>
      <c r="AK131" s="347"/>
      <c r="AL131" s="348">
        <f t="shared" si="22"/>
        <v>8</v>
      </c>
      <c r="AM131" s="347"/>
      <c r="AN131" s="347"/>
      <c r="AO131" s="347">
        <v>8</v>
      </c>
      <c r="AP131" s="347"/>
      <c r="AQ131" s="347"/>
      <c r="AR131" s="347"/>
      <c r="AS131" s="348">
        <f t="shared" si="23"/>
        <v>8</v>
      </c>
      <c r="AT131" s="347">
        <v>15</v>
      </c>
      <c r="AU131" s="347"/>
      <c r="AV131" s="347"/>
      <c r="AW131" s="347"/>
      <c r="AX131" s="347"/>
      <c r="AY131" s="347"/>
      <c r="AZ131" s="348">
        <f t="shared" si="24"/>
        <v>15</v>
      </c>
      <c r="BA131" s="347">
        <v>15</v>
      </c>
      <c r="BB131" s="347"/>
      <c r="BC131" s="347"/>
      <c r="BD131" s="347"/>
      <c r="BE131" s="348">
        <f t="shared" si="25"/>
        <v>15</v>
      </c>
      <c r="BF131" s="347">
        <v>10</v>
      </c>
      <c r="BG131" s="348">
        <f t="shared" si="26"/>
        <v>10</v>
      </c>
      <c r="BH131" s="356">
        <v>76</v>
      </c>
    </row>
    <row r="132" spans="1:60" ht="17.45" customHeight="1">
      <c r="A132" s="357"/>
      <c r="B132" s="357"/>
      <c r="C132" s="357"/>
      <c r="D132" s="347" t="s">
        <v>1141</v>
      </c>
      <c r="E132" s="347" t="s">
        <v>1142</v>
      </c>
      <c r="F132" s="355"/>
      <c r="G132" s="347"/>
      <c r="H132" s="347"/>
      <c r="I132" s="347"/>
      <c r="J132" s="347"/>
      <c r="K132" s="347"/>
      <c r="L132" s="348">
        <f t="shared" si="18"/>
        <v>0</v>
      </c>
      <c r="M132" s="347"/>
      <c r="N132" s="347"/>
      <c r="O132" s="347"/>
      <c r="P132" s="347"/>
      <c r="Q132" s="347"/>
      <c r="R132" s="348">
        <f t="shared" si="19"/>
        <v>0</v>
      </c>
      <c r="S132" s="347"/>
      <c r="T132" s="347"/>
      <c r="U132" s="347"/>
      <c r="V132" s="347"/>
      <c r="W132" s="347"/>
      <c r="X132" s="348">
        <f t="shared" si="20"/>
        <v>0</v>
      </c>
      <c r="Y132" s="347"/>
      <c r="Z132" s="347"/>
      <c r="AA132" s="347"/>
      <c r="AB132" s="347"/>
      <c r="AC132" s="347"/>
      <c r="AD132" s="347"/>
      <c r="AE132" s="348">
        <f t="shared" si="21"/>
        <v>0</v>
      </c>
      <c r="AF132" s="347"/>
      <c r="AG132" s="347"/>
      <c r="AH132" s="347"/>
      <c r="AI132" s="347"/>
      <c r="AJ132" s="347"/>
      <c r="AK132" s="347"/>
      <c r="AL132" s="348">
        <f t="shared" si="22"/>
        <v>0</v>
      </c>
      <c r="AM132" s="347"/>
      <c r="AN132" s="347"/>
      <c r="AO132" s="347"/>
      <c r="AP132" s="347"/>
      <c r="AQ132" s="347"/>
      <c r="AR132" s="347"/>
      <c r="AS132" s="348">
        <f t="shared" si="23"/>
        <v>0</v>
      </c>
      <c r="AT132" s="347"/>
      <c r="AU132" s="347"/>
      <c r="AV132" s="347"/>
      <c r="AW132" s="347"/>
      <c r="AX132" s="347"/>
      <c r="AY132" s="347"/>
      <c r="AZ132" s="348">
        <f t="shared" si="24"/>
        <v>0</v>
      </c>
      <c r="BA132" s="347">
        <v>150</v>
      </c>
      <c r="BB132" s="347"/>
      <c r="BC132" s="347"/>
      <c r="BD132" s="347"/>
      <c r="BE132" s="348">
        <f t="shared" si="25"/>
        <v>150</v>
      </c>
      <c r="BF132" s="347">
        <v>150</v>
      </c>
      <c r="BG132" s="348">
        <f t="shared" si="26"/>
        <v>150</v>
      </c>
      <c r="BH132" s="356">
        <v>300</v>
      </c>
    </row>
    <row r="133" spans="1:60" ht="17.45" customHeight="1">
      <c r="A133" s="357"/>
      <c r="B133" s="357"/>
      <c r="C133" s="357"/>
      <c r="D133" s="347" t="s">
        <v>1112</v>
      </c>
      <c r="E133" s="347" t="s">
        <v>1113</v>
      </c>
      <c r="F133" s="355"/>
      <c r="G133" s="347"/>
      <c r="H133" s="347"/>
      <c r="I133" s="347"/>
      <c r="J133" s="347"/>
      <c r="K133" s="347"/>
      <c r="L133" s="348">
        <f t="shared" si="18"/>
        <v>0</v>
      </c>
      <c r="M133" s="347"/>
      <c r="N133" s="347"/>
      <c r="O133" s="347"/>
      <c r="P133" s="347"/>
      <c r="Q133" s="347"/>
      <c r="R133" s="348">
        <f t="shared" si="19"/>
        <v>0</v>
      </c>
      <c r="S133" s="347"/>
      <c r="T133" s="347"/>
      <c r="U133" s="347"/>
      <c r="V133" s="347"/>
      <c r="W133" s="347"/>
      <c r="X133" s="348">
        <f t="shared" si="20"/>
        <v>0</v>
      </c>
      <c r="Y133" s="347"/>
      <c r="Z133" s="347">
        <v>31</v>
      </c>
      <c r="AA133" s="347"/>
      <c r="AB133" s="347"/>
      <c r="AC133" s="347"/>
      <c r="AD133" s="347"/>
      <c r="AE133" s="348">
        <f t="shared" si="21"/>
        <v>31</v>
      </c>
      <c r="AF133" s="347">
        <v>12</v>
      </c>
      <c r="AG133" s="347"/>
      <c r="AH133" s="347"/>
      <c r="AI133" s="347"/>
      <c r="AJ133" s="347"/>
      <c r="AK133" s="347"/>
      <c r="AL133" s="348">
        <f t="shared" si="22"/>
        <v>12</v>
      </c>
      <c r="AM133" s="347"/>
      <c r="AN133" s="347">
        <v>14</v>
      </c>
      <c r="AO133" s="347"/>
      <c r="AP133" s="347"/>
      <c r="AQ133" s="347"/>
      <c r="AR133" s="347"/>
      <c r="AS133" s="348">
        <f t="shared" si="23"/>
        <v>14</v>
      </c>
      <c r="AT133" s="347">
        <v>22</v>
      </c>
      <c r="AU133" s="347"/>
      <c r="AV133" s="347"/>
      <c r="AW133" s="347"/>
      <c r="AX133" s="347"/>
      <c r="AY133" s="347"/>
      <c r="AZ133" s="348">
        <f t="shared" si="24"/>
        <v>22</v>
      </c>
      <c r="BA133" s="347">
        <v>14</v>
      </c>
      <c r="BB133" s="347"/>
      <c r="BC133" s="347"/>
      <c r="BD133" s="347"/>
      <c r="BE133" s="348">
        <f t="shared" si="25"/>
        <v>14</v>
      </c>
      <c r="BF133" s="347">
        <v>11</v>
      </c>
      <c r="BG133" s="348">
        <f t="shared" si="26"/>
        <v>11</v>
      </c>
      <c r="BH133" s="356">
        <v>104</v>
      </c>
    </row>
    <row r="134" spans="1:60" ht="17.45" customHeight="1">
      <c r="A134" s="357"/>
      <c r="B134" s="357"/>
      <c r="C134" s="357"/>
      <c r="D134" s="347" t="s">
        <v>1147</v>
      </c>
      <c r="E134" s="347" t="s">
        <v>1148</v>
      </c>
      <c r="F134" s="355"/>
      <c r="G134" s="347"/>
      <c r="H134" s="347"/>
      <c r="I134" s="347"/>
      <c r="J134" s="347"/>
      <c r="K134" s="347"/>
      <c r="L134" s="348">
        <f t="shared" si="18"/>
        <v>0</v>
      </c>
      <c r="M134" s="347"/>
      <c r="N134" s="347"/>
      <c r="O134" s="347"/>
      <c r="P134" s="347"/>
      <c r="Q134" s="347"/>
      <c r="R134" s="348">
        <f t="shared" si="19"/>
        <v>0</v>
      </c>
      <c r="S134" s="347"/>
      <c r="T134" s="347"/>
      <c r="U134" s="347"/>
      <c r="V134" s="347"/>
      <c r="W134" s="347"/>
      <c r="X134" s="348">
        <f t="shared" si="20"/>
        <v>0</v>
      </c>
      <c r="Y134" s="347"/>
      <c r="Z134" s="347"/>
      <c r="AA134" s="347"/>
      <c r="AB134" s="347"/>
      <c r="AC134" s="347"/>
      <c r="AD134" s="347"/>
      <c r="AE134" s="348">
        <f t="shared" si="21"/>
        <v>0</v>
      </c>
      <c r="AF134" s="347"/>
      <c r="AG134" s="347"/>
      <c r="AH134" s="347"/>
      <c r="AI134" s="347"/>
      <c r="AJ134" s="347"/>
      <c r="AK134" s="347"/>
      <c r="AL134" s="348">
        <f t="shared" si="22"/>
        <v>0</v>
      </c>
      <c r="AM134" s="347"/>
      <c r="AN134" s="347">
        <v>1</v>
      </c>
      <c r="AO134" s="347"/>
      <c r="AP134" s="347"/>
      <c r="AQ134" s="347"/>
      <c r="AR134" s="347"/>
      <c r="AS134" s="348">
        <f t="shared" si="23"/>
        <v>1</v>
      </c>
      <c r="AT134" s="347">
        <v>4</v>
      </c>
      <c r="AU134" s="347"/>
      <c r="AV134" s="347"/>
      <c r="AW134" s="347"/>
      <c r="AX134" s="347"/>
      <c r="AY134" s="347"/>
      <c r="AZ134" s="348">
        <f t="shared" si="24"/>
        <v>4</v>
      </c>
      <c r="BA134" s="347">
        <v>4</v>
      </c>
      <c r="BB134" s="347"/>
      <c r="BC134" s="347"/>
      <c r="BD134" s="347"/>
      <c r="BE134" s="348">
        <f t="shared" si="25"/>
        <v>4</v>
      </c>
      <c r="BF134" s="347">
        <v>3</v>
      </c>
      <c r="BG134" s="348">
        <f t="shared" si="26"/>
        <v>3</v>
      </c>
      <c r="BH134" s="356">
        <v>12</v>
      </c>
    </row>
    <row r="135" spans="1:60" ht="17.45" customHeight="1">
      <c r="A135" s="357"/>
      <c r="B135" s="357"/>
      <c r="C135" s="357"/>
      <c r="D135" s="347" t="s">
        <v>1114</v>
      </c>
      <c r="E135" s="347" t="s">
        <v>1115</v>
      </c>
      <c r="F135" s="355">
        <v>71</v>
      </c>
      <c r="G135" s="347">
        <v>89</v>
      </c>
      <c r="H135" s="347">
        <v>80</v>
      </c>
      <c r="I135" s="347">
        <v>66</v>
      </c>
      <c r="J135" s="347"/>
      <c r="K135" s="347"/>
      <c r="L135" s="348">
        <f t="shared" si="18"/>
        <v>306</v>
      </c>
      <c r="M135" s="347">
        <v>32</v>
      </c>
      <c r="N135" s="347">
        <v>100</v>
      </c>
      <c r="O135" s="347">
        <v>124</v>
      </c>
      <c r="P135" s="347">
        <v>111</v>
      </c>
      <c r="Q135" s="347">
        <v>71</v>
      </c>
      <c r="R135" s="348">
        <f t="shared" si="19"/>
        <v>438</v>
      </c>
      <c r="S135" s="347">
        <v>90</v>
      </c>
      <c r="T135" s="347"/>
      <c r="U135" s="347"/>
      <c r="V135" s="347"/>
      <c r="W135" s="347"/>
      <c r="X135" s="348">
        <f t="shared" si="20"/>
        <v>90</v>
      </c>
      <c r="Y135" s="347">
        <v>80</v>
      </c>
      <c r="Z135" s="347">
        <v>88</v>
      </c>
      <c r="AA135" s="347"/>
      <c r="AB135" s="347"/>
      <c r="AC135" s="347"/>
      <c r="AD135" s="347"/>
      <c r="AE135" s="348">
        <f t="shared" si="21"/>
        <v>168</v>
      </c>
      <c r="AF135" s="347">
        <v>50</v>
      </c>
      <c r="AG135" s="347">
        <v>90</v>
      </c>
      <c r="AH135" s="347">
        <v>5</v>
      </c>
      <c r="AI135" s="347"/>
      <c r="AJ135" s="347"/>
      <c r="AK135" s="347">
        <v>71</v>
      </c>
      <c r="AL135" s="348">
        <f t="shared" si="22"/>
        <v>216</v>
      </c>
      <c r="AM135" s="347">
        <v>48</v>
      </c>
      <c r="AN135" s="347">
        <v>46</v>
      </c>
      <c r="AO135" s="347">
        <v>50</v>
      </c>
      <c r="AP135" s="347">
        <v>30</v>
      </c>
      <c r="AQ135" s="347"/>
      <c r="AR135" s="347"/>
      <c r="AS135" s="348">
        <f t="shared" si="23"/>
        <v>174</v>
      </c>
      <c r="AT135" s="347">
        <v>201</v>
      </c>
      <c r="AU135" s="347"/>
      <c r="AV135" s="347"/>
      <c r="AW135" s="347"/>
      <c r="AX135" s="347"/>
      <c r="AY135" s="347"/>
      <c r="AZ135" s="348">
        <f t="shared" si="24"/>
        <v>201</v>
      </c>
      <c r="BA135" s="347">
        <v>73</v>
      </c>
      <c r="BB135" s="347">
        <v>101</v>
      </c>
      <c r="BC135" s="347"/>
      <c r="BD135" s="347"/>
      <c r="BE135" s="348">
        <f t="shared" si="25"/>
        <v>174</v>
      </c>
      <c r="BF135" s="347">
        <v>18</v>
      </c>
      <c r="BG135" s="348">
        <f t="shared" si="26"/>
        <v>18</v>
      </c>
      <c r="BH135" s="356">
        <v>1785</v>
      </c>
    </row>
    <row r="136" spans="1:60" ht="17.45" customHeight="1">
      <c r="A136" s="357"/>
      <c r="B136" s="357"/>
      <c r="C136" s="357"/>
      <c r="D136" s="347" t="s">
        <v>1149</v>
      </c>
      <c r="E136" s="347" t="s">
        <v>1150</v>
      </c>
      <c r="F136" s="355"/>
      <c r="G136" s="347">
        <v>39</v>
      </c>
      <c r="H136" s="347">
        <v>67</v>
      </c>
      <c r="I136" s="347"/>
      <c r="J136" s="347">
        <v>35</v>
      </c>
      <c r="K136" s="347">
        <v>142</v>
      </c>
      <c r="L136" s="348">
        <f t="shared" si="18"/>
        <v>283</v>
      </c>
      <c r="M136" s="347"/>
      <c r="N136" s="347">
        <v>15</v>
      </c>
      <c r="O136" s="347">
        <v>36</v>
      </c>
      <c r="P136" s="347">
        <v>47</v>
      </c>
      <c r="Q136" s="347">
        <v>91</v>
      </c>
      <c r="R136" s="348">
        <f t="shared" si="19"/>
        <v>189</v>
      </c>
      <c r="S136" s="347">
        <v>40</v>
      </c>
      <c r="T136" s="347">
        <v>121</v>
      </c>
      <c r="U136" s="347">
        <v>113</v>
      </c>
      <c r="V136" s="347">
        <v>45</v>
      </c>
      <c r="W136" s="347">
        <v>124</v>
      </c>
      <c r="X136" s="348">
        <f t="shared" si="20"/>
        <v>443</v>
      </c>
      <c r="Y136" s="347"/>
      <c r="Z136" s="347">
        <v>37</v>
      </c>
      <c r="AA136" s="347">
        <v>134</v>
      </c>
      <c r="AB136" s="347">
        <v>82</v>
      </c>
      <c r="AC136" s="347">
        <v>161</v>
      </c>
      <c r="AD136" s="347"/>
      <c r="AE136" s="348">
        <f t="shared" si="21"/>
        <v>414</v>
      </c>
      <c r="AF136" s="347"/>
      <c r="AG136" s="347"/>
      <c r="AH136" s="347">
        <v>86</v>
      </c>
      <c r="AI136" s="347">
        <v>100</v>
      </c>
      <c r="AJ136" s="347">
        <v>75</v>
      </c>
      <c r="AK136" s="347">
        <v>50</v>
      </c>
      <c r="AL136" s="348">
        <f t="shared" si="22"/>
        <v>311</v>
      </c>
      <c r="AM136" s="347">
        <v>80</v>
      </c>
      <c r="AN136" s="347">
        <v>80</v>
      </c>
      <c r="AO136" s="347">
        <v>7</v>
      </c>
      <c r="AP136" s="347">
        <v>103</v>
      </c>
      <c r="AQ136" s="347">
        <v>69</v>
      </c>
      <c r="AR136" s="347">
        <v>84</v>
      </c>
      <c r="AS136" s="348">
        <f t="shared" si="23"/>
        <v>423</v>
      </c>
      <c r="AT136" s="347">
        <v>10</v>
      </c>
      <c r="AU136" s="347">
        <v>336</v>
      </c>
      <c r="AV136" s="347">
        <v>56</v>
      </c>
      <c r="AW136" s="347"/>
      <c r="AX136" s="347"/>
      <c r="AY136" s="347"/>
      <c r="AZ136" s="348">
        <f t="shared" si="24"/>
        <v>402</v>
      </c>
      <c r="BA136" s="347"/>
      <c r="BB136" s="347">
        <v>184</v>
      </c>
      <c r="BC136" s="347"/>
      <c r="BD136" s="347"/>
      <c r="BE136" s="348">
        <f t="shared" si="25"/>
        <v>184</v>
      </c>
      <c r="BF136" s="347"/>
      <c r="BG136" s="348">
        <f t="shared" si="26"/>
        <v>0</v>
      </c>
      <c r="BH136" s="356">
        <v>2649</v>
      </c>
    </row>
    <row r="137" spans="1:60" ht="17.45" customHeight="1">
      <c r="A137" s="357"/>
      <c r="B137" s="357"/>
      <c r="C137" s="357"/>
      <c r="D137" s="347" t="s">
        <v>1151</v>
      </c>
      <c r="E137" s="347" t="s">
        <v>1152</v>
      </c>
      <c r="F137" s="355"/>
      <c r="G137" s="347"/>
      <c r="H137" s="347"/>
      <c r="I137" s="347">
        <v>80</v>
      </c>
      <c r="J137" s="347">
        <v>60</v>
      </c>
      <c r="K137" s="347"/>
      <c r="L137" s="348">
        <f t="shared" si="18"/>
        <v>140</v>
      </c>
      <c r="M137" s="347">
        <v>50</v>
      </c>
      <c r="N137" s="347">
        <v>50</v>
      </c>
      <c r="O137" s="347"/>
      <c r="P137" s="347"/>
      <c r="Q137" s="347"/>
      <c r="R137" s="348">
        <f t="shared" si="19"/>
        <v>100</v>
      </c>
      <c r="S137" s="347"/>
      <c r="T137" s="347"/>
      <c r="U137" s="347"/>
      <c r="V137" s="347"/>
      <c r="W137" s="347"/>
      <c r="X137" s="348">
        <f t="shared" si="20"/>
        <v>0</v>
      </c>
      <c r="Y137" s="347"/>
      <c r="Z137" s="347"/>
      <c r="AA137" s="347">
        <v>12</v>
      </c>
      <c r="AB137" s="347">
        <v>79</v>
      </c>
      <c r="AC137" s="347"/>
      <c r="AD137" s="347">
        <v>81</v>
      </c>
      <c r="AE137" s="348">
        <f t="shared" si="21"/>
        <v>172</v>
      </c>
      <c r="AF137" s="347">
        <v>50</v>
      </c>
      <c r="AG137" s="347">
        <v>50</v>
      </c>
      <c r="AH137" s="347">
        <v>50</v>
      </c>
      <c r="AI137" s="347">
        <v>25</v>
      </c>
      <c r="AJ137" s="347"/>
      <c r="AK137" s="347"/>
      <c r="AL137" s="348">
        <f t="shared" si="22"/>
        <v>175</v>
      </c>
      <c r="AM137" s="347">
        <v>9</v>
      </c>
      <c r="AN137" s="347"/>
      <c r="AO137" s="347"/>
      <c r="AP137" s="347"/>
      <c r="AQ137" s="347"/>
      <c r="AR137" s="347"/>
      <c r="AS137" s="348">
        <f t="shared" si="23"/>
        <v>9</v>
      </c>
      <c r="AT137" s="347"/>
      <c r="AU137" s="347"/>
      <c r="AV137" s="347"/>
      <c r="AW137" s="347"/>
      <c r="AX137" s="347"/>
      <c r="AY137" s="347"/>
      <c r="AZ137" s="348">
        <f t="shared" si="24"/>
        <v>0</v>
      </c>
      <c r="BA137" s="347"/>
      <c r="BB137" s="347">
        <v>35</v>
      </c>
      <c r="BC137" s="347">
        <v>16</v>
      </c>
      <c r="BD137" s="347"/>
      <c r="BE137" s="348">
        <f t="shared" si="25"/>
        <v>51</v>
      </c>
      <c r="BF137" s="347"/>
      <c r="BG137" s="348">
        <f t="shared" si="26"/>
        <v>0</v>
      </c>
      <c r="BH137" s="356">
        <v>647</v>
      </c>
    </row>
    <row r="138" spans="1:60" ht="17.45" customHeight="1">
      <c r="A138" s="357"/>
      <c r="B138" s="357"/>
      <c r="C138" s="357"/>
      <c r="D138" s="347" t="s">
        <v>1119</v>
      </c>
      <c r="E138" s="347" t="s">
        <v>1120</v>
      </c>
      <c r="F138" s="355"/>
      <c r="G138" s="347"/>
      <c r="H138" s="347"/>
      <c r="I138" s="347"/>
      <c r="J138" s="347">
        <v>120</v>
      </c>
      <c r="K138" s="347">
        <v>15</v>
      </c>
      <c r="L138" s="348">
        <f t="shared" si="18"/>
        <v>135</v>
      </c>
      <c r="M138" s="347"/>
      <c r="N138" s="347"/>
      <c r="O138" s="347">
        <v>13</v>
      </c>
      <c r="P138" s="347"/>
      <c r="Q138" s="347"/>
      <c r="R138" s="348">
        <f t="shared" si="19"/>
        <v>13</v>
      </c>
      <c r="S138" s="347">
        <v>46</v>
      </c>
      <c r="T138" s="347">
        <v>60</v>
      </c>
      <c r="U138" s="347">
        <v>11</v>
      </c>
      <c r="V138" s="347"/>
      <c r="W138" s="347"/>
      <c r="X138" s="348">
        <f t="shared" si="20"/>
        <v>117</v>
      </c>
      <c r="Y138" s="347"/>
      <c r="Z138" s="347"/>
      <c r="AA138" s="347"/>
      <c r="AB138" s="347"/>
      <c r="AC138" s="347"/>
      <c r="AD138" s="347"/>
      <c r="AE138" s="348">
        <f t="shared" si="21"/>
        <v>0</v>
      </c>
      <c r="AF138" s="347">
        <v>65</v>
      </c>
      <c r="AG138" s="347">
        <v>112</v>
      </c>
      <c r="AH138" s="347"/>
      <c r="AI138" s="347"/>
      <c r="AJ138" s="347">
        <v>120</v>
      </c>
      <c r="AK138" s="347">
        <v>130</v>
      </c>
      <c r="AL138" s="348">
        <f t="shared" si="22"/>
        <v>427</v>
      </c>
      <c r="AM138" s="347"/>
      <c r="AN138" s="347"/>
      <c r="AO138" s="347"/>
      <c r="AP138" s="347"/>
      <c r="AQ138" s="347"/>
      <c r="AR138" s="347"/>
      <c r="AS138" s="348">
        <f t="shared" si="23"/>
        <v>0</v>
      </c>
      <c r="AT138" s="347"/>
      <c r="AU138" s="347"/>
      <c r="AV138" s="347"/>
      <c r="AW138" s="347"/>
      <c r="AX138" s="347"/>
      <c r="AY138" s="347"/>
      <c r="AZ138" s="348">
        <f t="shared" si="24"/>
        <v>0</v>
      </c>
      <c r="BA138" s="347"/>
      <c r="BB138" s="347"/>
      <c r="BC138" s="347"/>
      <c r="BD138" s="347"/>
      <c r="BE138" s="348">
        <f t="shared" si="25"/>
        <v>0</v>
      </c>
      <c r="BF138" s="347"/>
      <c r="BG138" s="348">
        <f t="shared" si="26"/>
        <v>0</v>
      </c>
      <c r="BH138" s="356">
        <v>692</v>
      </c>
    </row>
    <row r="139" spans="1:60" ht="17.45" customHeight="1">
      <c r="A139" s="357"/>
      <c r="B139" s="357"/>
      <c r="C139" s="357"/>
      <c r="D139" s="347" t="s">
        <v>1127</v>
      </c>
      <c r="E139" s="347" t="s">
        <v>1128</v>
      </c>
      <c r="F139" s="355"/>
      <c r="G139" s="347">
        <v>128</v>
      </c>
      <c r="H139" s="347">
        <v>89</v>
      </c>
      <c r="I139" s="347">
        <v>115</v>
      </c>
      <c r="J139" s="347"/>
      <c r="K139" s="347">
        <v>63</v>
      </c>
      <c r="L139" s="348">
        <f t="shared" si="18"/>
        <v>395</v>
      </c>
      <c r="M139" s="347"/>
      <c r="N139" s="347">
        <v>42</v>
      </c>
      <c r="O139" s="347">
        <v>108</v>
      </c>
      <c r="P139" s="347">
        <v>108</v>
      </c>
      <c r="Q139" s="347">
        <v>108</v>
      </c>
      <c r="R139" s="348">
        <f t="shared" si="19"/>
        <v>366</v>
      </c>
      <c r="S139" s="347"/>
      <c r="T139" s="347"/>
      <c r="U139" s="347">
        <v>33</v>
      </c>
      <c r="V139" s="347">
        <v>60</v>
      </c>
      <c r="W139" s="347">
        <v>60</v>
      </c>
      <c r="X139" s="348">
        <f t="shared" si="20"/>
        <v>153</v>
      </c>
      <c r="Y139" s="347">
        <v>37</v>
      </c>
      <c r="Z139" s="347">
        <v>77</v>
      </c>
      <c r="AA139" s="347">
        <v>123</v>
      </c>
      <c r="AB139" s="347">
        <v>39</v>
      </c>
      <c r="AC139" s="347">
        <v>82</v>
      </c>
      <c r="AD139" s="347">
        <v>120</v>
      </c>
      <c r="AE139" s="348">
        <f t="shared" si="21"/>
        <v>478</v>
      </c>
      <c r="AF139" s="347">
        <v>66</v>
      </c>
      <c r="AG139" s="347">
        <v>21</v>
      </c>
      <c r="AH139" s="347">
        <v>130</v>
      </c>
      <c r="AI139" s="347">
        <v>10</v>
      </c>
      <c r="AJ139" s="347"/>
      <c r="AK139" s="347"/>
      <c r="AL139" s="348">
        <f t="shared" si="22"/>
        <v>227</v>
      </c>
      <c r="AM139" s="347">
        <v>118</v>
      </c>
      <c r="AN139" s="347">
        <v>3</v>
      </c>
      <c r="AO139" s="347"/>
      <c r="AP139" s="347">
        <v>50</v>
      </c>
      <c r="AQ139" s="347">
        <v>120</v>
      </c>
      <c r="AR139" s="347">
        <v>18</v>
      </c>
      <c r="AS139" s="348">
        <f t="shared" si="23"/>
        <v>309</v>
      </c>
      <c r="AT139" s="347"/>
      <c r="AU139" s="347"/>
      <c r="AV139" s="347"/>
      <c r="AW139" s="347"/>
      <c r="AX139" s="347"/>
      <c r="AY139" s="347"/>
      <c r="AZ139" s="348">
        <f t="shared" si="24"/>
        <v>0</v>
      </c>
      <c r="BA139" s="347"/>
      <c r="BB139" s="347"/>
      <c r="BC139" s="347"/>
      <c r="BD139" s="347"/>
      <c r="BE139" s="348">
        <f t="shared" si="25"/>
        <v>0</v>
      </c>
      <c r="BF139" s="347"/>
      <c r="BG139" s="348">
        <f t="shared" si="26"/>
        <v>0</v>
      </c>
      <c r="BH139" s="356">
        <v>1928</v>
      </c>
    </row>
    <row r="140" spans="1:60" ht="17.45" customHeight="1">
      <c r="A140" s="357"/>
      <c r="B140" s="357"/>
      <c r="C140" s="357"/>
      <c r="D140" s="347" t="s">
        <v>1133</v>
      </c>
      <c r="E140" s="347" t="s">
        <v>1134</v>
      </c>
      <c r="F140" s="355">
        <v>120</v>
      </c>
      <c r="G140" s="347">
        <v>15</v>
      </c>
      <c r="H140" s="347">
        <v>54</v>
      </c>
      <c r="I140" s="347">
        <v>14</v>
      </c>
      <c r="J140" s="347"/>
      <c r="K140" s="347">
        <v>55</v>
      </c>
      <c r="L140" s="348">
        <f t="shared" si="18"/>
        <v>258</v>
      </c>
      <c r="M140" s="347">
        <v>108</v>
      </c>
      <c r="N140" s="347">
        <v>66</v>
      </c>
      <c r="O140" s="347"/>
      <c r="P140" s="347"/>
      <c r="Q140" s="347"/>
      <c r="R140" s="348">
        <f t="shared" si="19"/>
        <v>174</v>
      </c>
      <c r="S140" s="347">
        <v>34</v>
      </c>
      <c r="T140" s="347">
        <v>60</v>
      </c>
      <c r="U140" s="347">
        <v>76</v>
      </c>
      <c r="V140" s="347">
        <v>60</v>
      </c>
      <c r="W140" s="347">
        <v>60</v>
      </c>
      <c r="X140" s="348">
        <f t="shared" si="20"/>
        <v>290</v>
      </c>
      <c r="Y140" s="347">
        <v>83</v>
      </c>
      <c r="Z140" s="347">
        <v>50</v>
      </c>
      <c r="AA140" s="347"/>
      <c r="AB140" s="347">
        <v>84</v>
      </c>
      <c r="AC140" s="347">
        <v>41</v>
      </c>
      <c r="AD140" s="347"/>
      <c r="AE140" s="348">
        <f t="shared" si="21"/>
        <v>258</v>
      </c>
      <c r="AF140" s="347"/>
      <c r="AG140" s="347"/>
      <c r="AH140" s="347"/>
      <c r="AI140" s="347">
        <v>120</v>
      </c>
      <c r="AJ140" s="347"/>
      <c r="AK140" s="347"/>
      <c r="AL140" s="348">
        <f t="shared" si="22"/>
        <v>120</v>
      </c>
      <c r="AM140" s="347">
        <v>2</v>
      </c>
      <c r="AN140" s="347">
        <v>120</v>
      </c>
      <c r="AO140" s="347">
        <v>120</v>
      </c>
      <c r="AP140" s="347">
        <v>70</v>
      </c>
      <c r="AQ140" s="347"/>
      <c r="AR140" s="347"/>
      <c r="AS140" s="348">
        <f t="shared" si="23"/>
        <v>312</v>
      </c>
      <c r="AT140" s="347"/>
      <c r="AU140" s="347"/>
      <c r="AV140" s="347">
        <v>280</v>
      </c>
      <c r="AW140" s="347">
        <v>5</v>
      </c>
      <c r="AX140" s="347"/>
      <c r="AY140" s="347"/>
      <c r="AZ140" s="348">
        <f t="shared" si="24"/>
        <v>285</v>
      </c>
      <c r="BA140" s="347"/>
      <c r="BB140" s="347"/>
      <c r="BC140" s="347">
        <v>205</v>
      </c>
      <c r="BD140" s="347"/>
      <c r="BE140" s="348">
        <f t="shared" si="25"/>
        <v>205</v>
      </c>
      <c r="BF140" s="347"/>
      <c r="BG140" s="348">
        <f t="shared" si="26"/>
        <v>0</v>
      </c>
      <c r="BH140" s="356">
        <v>1902</v>
      </c>
    </row>
    <row r="141" spans="1:60" ht="17.45" customHeight="1">
      <c r="A141" s="357"/>
      <c r="B141" s="357"/>
      <c r="C141" s="357"/>
      <c r="D141" s="347" t="s">
        <v>1135</v>
      </c>
      <c r="E141" s="347" t="s">
        <v>1136</v>
      </c>
      <c r="F141" s="355"/>
      <c r="G141" s="347"/>
      <c r="H141" s="347"/>
      <c r="I141" s="347"/>
      <c r="J141" s="347"/>
      <c r="K141" s="347"/>
      <c r="L141" s="348">
        <f t="shared" si="18"/>
        <v>0</v>
      </c>
      <c r="M141" s="347"/>
      <c r="N141" s="347"/>
      <c r="O141" s="347"/>
      <c r="P141" s="347"/>
      <c r="Q141" s="347"/>
      <c r="R141" s="348">
        <f t="shared" si="19"/>
        <v>0</v>
      </c>
      <c r="S141" s="347"/>
      <c r="T141" s="347"/>
      <c r="U141" s="347"/>
      <c r="V141" s="347"/>
      <c r="W141" s="347"/>
      <c r="X141" s="348">
        <f t="shared" si="20"/>
        <v>0</v>
      </c>
      <c r="Y141" s="347"/>
      <c r="Z141" s="347"/>
      <c r="AA141" s="347"/>
      <c r="AB141" s="347"/>
      <c r="AC141" s="347"/>
      <c r="AD141" s="347"/>
      <c r="AE141" s="348">
        <f t="shared" si="21"/>
        <v>0</v>
      </c>
      <c r="AF141" s="347"/>
      <c r="AG141" s="347"/>
      <c r="AH141" s="347"/>
      <c r="AI141" s="347"/>
      <c r="AJ141" s="347"/>
      <c r="AK141" s="347"/>
      <c r="AL141" s="348">
        <f t="shared" si="22"/>
        <v>0</v>
      </c>
      <c r="AM141" s="347"/>
      <c r="AN141" s="347"/>
      <c r="AO141" s="347"/>
      <c r="AP141" s="347"/>
      <c r="AQ141" s="347"/>
      <c r="AR141" s="347"/>
      <c r="AS141" s="348">
        <f t="shared" si="23"/>
        <v>0</v>
      </c>
      <c r="AT141" s="347"/>
      <c r="AU141" s="347"/>
      <c r="AV141" s="347"/>
      <c r="AW141" s="347">
        <v>123</v>
      </c>
      <c r="AX141" s="347"/>
      <c r="AY141" s="347"/>
      <c r="AZ141" s="348">
        <f t="shared" si="24"/>
        <v>123</v>
      </c>
      <c r="BA141" s="347"/>
      <c r="BB141" s="347"/>
      <c r="BC141" s="347">
        <v>90</v>
      </c>
      <c r="BD141" s="347"/>
      <c r="BE141" s="348">
        <f t="shared" si="25"/>
        <v>90</v>
      </c>
      <c r="BF141" s="347"/>
      <c r="BG141" s="348">
        <f t="shared" si="26"/>
        <v>0</v>
      </c>
      <c r="BH141" s="356">
        <v>213</v>
      </c>
    </row>
    <row r="142" spans="1:60" ht="17.45" customHeight="1">
      <c r="A142" s="357"/>
      <c r="B142" s="357"/>
      <c r="C142" s="357"/>
      <c r="D142" s="347" t="s">
        <v>1188</v>
      </c>
      <c r="E142" s="347" t="s">
        <v>1210</v>
      </c>
      <c r="F142" s="355"/>
      <c r="G142" s="347"/>
      <c r="H142" s="347"/>
      <c r="I142" s="347"/>
      <c r="J142" s="347"/>
      <c r="K142" s="347"/>
      <c r="L142" s="348">
        <f t="shared" si="18"/>
        <v>0</v>
      </c>
      <c r="M142" s="347"/>
      <c r="N142" s="347"/>
      <c r="O142" s="347"/>
      <c r="P142" s="347"/>
      <c r="Q142" s="347"/>
      <c r="R142" s="348">
        <f t="shared" si="19"/>
        <v>0</v>
      </c>
      <c r="S142" s="347"/>
      <c r="T142" s="347"/>
      <c r="U142" s="347"/>
      <c r="V142" s="347"/>
      <c r="W142" s="347"/>
      <c r="X142" s="348">
        <f t="shared" si="20"/>
        <v>0</v>
      </c>
      <c r="Y142" s="347"/>
      <c r="Z142" s="347"/>
      <c r="AA142" s="347"/>
      <c r="AB142" s="347"/>
      <c r="AC142" s="347"/>
      <c r="AD142" s="347"/>
      <c r="AE142" s="348">
        <f t="shared" si="21"/>
        <v>0</v>
      </c>
      <c r="AF142" s="347"/>
      <c r="AG142" s="347"/>
      <c r="AH142" s="347"/>
      <c r="AI142" s="347"/>
      <c r="AJ142" s="347"/>
      <c r="AK142" s="347"/>
      <c r="AL142" s="348">
        <f t="shared" si="22"/>
        <v>0</v>
      </c>
      <c r="AM142" s="347"/>
      <c r="AN142" s="347"/>
      <c r="AO142" s="347"/>
      <c r="AP142" s="347"/>
      <c r="AQ142" s="347"/>
      <c r="AR142" s="347"/>
      <c r="AS142" s="348">
        <f t="shared" si="23"/>
        <v>0</v>
      </c>
      <c r="AT142" s="347"/>
      <c r="AU142" s="347"/>
      <c r="AV142" s="347"/>
      <c r="AW142" s="347">
        <v>5</v>
      </c>
      <c r="AX142" s="347"/>
      <c r="AY142" s="347"/>
      <c r="AZ142" s="348">
        <f t="shared" si="24"/>
        <v>5</v>
      </c>
      <c r="BA142" s="347"/>
      <c r="BB142" s="347"/>
      <c r="BC142" s="347">
        <v>9</v>
      </c>
      <c r="BD142" s="347">
        <v>102</v>
      </c>
      <c r="BE142" s="348">
        <f t="shared" si="25"/>
        <v>111</v>
      </c>
      <c r="BF142" s="347"/>
      <c r="BG142" s="348">
        <f t="shared" si="26"/>
        <v>0</v>
      </c>
      <c r="BH142" s="356">
        <v>116</v>
      </c>
    </row>
    <row r="143" spans="1:60" ht="17.45" customHeight="1">
      <c r="A143" s="357"/>
      <c r="B143" s="357"/>
      <c r="C143" s="357"/>
      <c r="D143" s="347" t="s">
        <v>1190</v>
      </c>
      <c r="E143" s="347" t="s">
        <v>1212</v>
      </c>
      <c r="F143" s="355"/>
      <c r="G143" s="347"/>
      <c r="H143" s="347"/>
      <c r="I143" s="347"/>
      <c r="J143" s="347"/>
      <c r="K143" s="347"/>
      <c r="L143" s="348">
        <f t="shared" si="18"/>
        <v>0</v>
      </c>
      <c r="M143" s="347"/>
      <c r="N143" s="347"/>
      <c r="O143" s="347"/>
      <c r="P143" s="347"/>
      <c r="Q143" s="347"/>
      <c r="R143" s="348">
        <f t="shared" si="19"/>
        <v>0</v>
      </c>
      <c r="S143" s="347"/>
      <c r="T143" s="347"/>
      <c r="U143" s="347"/>
      <c r="V143" s="347"/>
      <c r="W143" s="347"/>
      <c r="X143" s="348">
        <f t="shared" si="20"/>
        <v>0</v>
      </c>
      <c r="Y143" s="347"/>
      <c r="Z143" s="347"/>
      <c r="AA143" s="347"/>
      <c r="AB143" s="347"/>
      <c r="AC143" s="347"/>
      <c r="AD143" s="347"/>
      <c r="AE143" s="348">
        <f t="shared" si="21"/>
        <v>0</v>
      </c>
      <c r="AF143" s="347"/>
      <c r="AG143" s="347"/>
      <c r="AH143" s="347"/>
      <c r="AI143" s="347"/>
      <c r="AJ143" s="347"/>
      <c r="AK143" s="347"/>
      <c r="AL143" s="348">
        <f t="shared" si="22"/>
        <v>0</v>
      </c>
      <c r="AM143" s="347"/>
      <c r="AN143" s="347"/>
      <c r="AO143" s="347"/>
      <c r="AP143" s="347"/>
      <c r="AQ143" s="347"/>
      <c r="AR143" s="347"/>
      <c r="AS143" s="348">
        <f t="shared" si="23"/>
        <v>0</v>
      </c>
      <c r="AT143" s="347"/>
      <c r="AU143" s="347"/>
      <c r="AV143" s="347"/>
      <c r="AW143" s="347">
        <v>203</v>
      </c>
      <c r="AX143" s="347">
        <v>46</v>
      </c>
      <c r="AY143" s="347"/>
      <c r="AZ143" s="348">
        <f t="shared" si="24"/>
        <v>249</v>
      </c>
      <c r="BA143" s="347"/>
      <c r="BB143" s="347"/>
      <c r="BC143" s="347"/>
      <c r="BD143" s="347">
        <v>52</v>
      </c>
      <c r="BE143" s="348">
        <f t="shared" si="25"/>
        <v>52</v>
      </c>
      <c r="BF143" s="347"/>
      <c r="BG143" s="348">
        <f t="shared" si="26"/>
        <v>0</v>
      </c>
      <c r="BH143" s="356">
        <v>301</v>
      </c>
    </row>
    <row r="144" spans="1:60" ht="17.45" customHeight="1">
      <c r="A144" s="357"/>
      <c r="B144" s="357"/>
      <c r="C144" s="357"/>
      <c r="D144" s="347" t="s">
        <v>1184</v>
      </c>
      <c r="E144" s="347" t="s">
        <v>1206</v>
      </c>
      <c r="F144" s="355"/>
      <c r="G144" s="347"/>
      <c r="H144" s="347"/>
      <c r="I144" s="347"/>
      <c r="J144" s="347"/>
      <c r="K144" s="347"/>
      <c r="L144" s="348">
        <f t="shared" si="18"/>
        <v>0</v>
      </c>
      <c r="M144" s="347"/>
      <c r="N144" s="347"/>
      <c r="O144" s="347"/>
      <c r="P144" s="347"/>
      <c r="Q144" s="347"/>
      <c r="R144" s="348">
        <f t="shared" si="19"/>
        <v>0</v>
      </c>
      <c r="S144" s="347"/>
      <c r="T144" s="347"/>
      <c r="U144" s="347"/>
      <c r="V144" s="347"/>
      <c r="W144" s="347"/>
      <c r="X144" s="348">
        <f t="shared" si="20"/>
        <v>0</v>
      </c>
      <c r="Y144" s="347"/>
      <c r="Z144" s="347"/>
      <c r="AA144" s="347"/>
      <c r="AB144" s="347"/>
      <c r="AC144" s="347"/>
      <c r="AD144" s="347"/>
      <c r="AE144" s="348">
        <f t="shared" si="21"/>
        <v>0</v>
      </c>
      <c r="AF144" s="347"/>
      <c r="AG144" s="347"/>
      <c r="AH144" s="347"/>
      <c r="AI144" s="347"/>
      <c r="AJ144" s="347"/>
      <c r="AK144" s="347"/>
      <c r="AL144" s="348">
        <f t="shared" si="22"/>
        <v>0</v>
      </c>
      <c r="AM144" s="347"/>
      <c r="AN144" s="347"/>
      <c r="AO144" s="347"/>
      <c r="AP144" s="347"/>
      <c r="AQ144" s="347"/>
      <c r="AR144" s="347"/>
      <c r="AS144" s="348">
        <f t="shared" si="23"/>
        <v>0</v>
      </c>
      <c r="AT144" s="347"/>
      <c r="AU144" s="347"/>
      <c r="AV144" s="347"/>
      <c r="AW144" s="347"/>
      <c r="AX144" s="347">
        <v>9</v>
      </c>
      <c r="AY144" s="347"/>
      <c r="AZ144" s="348">
        <f t="shared" si="24"/>
        <v>9</v>
      </c>
      <c r="BA144" s="347"/>
      <c r="BB144" s="347"/>
      <c r="BC144" s="347"/>
      <c r="BD144" s="347">
        <v>33</v>
      </c>
      <c r="BE144" s="348">
        <f t="shared" si="25"/>
        <v>33</v>
      </c>
      <c r="BF144" s="347"/>
      <c r="BG144" s="348">
        <f t="shared" si="26"/>
        <v>0</v>
      </c>
      <c r="BH144" s="356">
        <v>42</v>
      </c>
    </row>
    <row r="145" spans="1:60" ht="17.45" customHeight="1">
      <c r="A145" s="357"/>
      <c r="B145" s="357"/>
      <c r="C145" s="357"/>
      <c r="D145" s="347" t="s">
        <v>1137</v>
      </c>
      <c r="E145" s="347" t="s">
        <v>1138</v>
      </c>
      <c r="F145" s="355"/>
      <c r="G145" s="347"/>
      <c r="H145" s="347"/>
      <c r="I145" s="347"/>
      <c r="J145" s="347"/>
      <c r="K145" s="347"/>
      <c r="L145" s="348">
        <f t="shared" si="18"/>
        <v>0</v>
      </c>
      <c r="M145" s="347"/>
      <c r="N145" s="347"/>
      <c r="O145" s="347"/>
      <c r="P145" s="347"/>
      <c r="Q145" s="347"/>
      <c r="R145" s="348">
        <f t="shared" si="19"/>
        <v>0</v>
      </c>
      <c r="S145" s="347"/>
      <c r="T145" s="347"/>
      <c r="U145" s="347"/>
      <c r="V145" s="347"/>
      <c r="W145" s="347"/>
      <c r="X145" s="348">
        <f t="shared" si="20"/>
        <v>0</v>
      </c>
      <c r="Y145" s="347"/>
      <c r="Z145" s="347"/>
      <c r="AA145" s="347"/>
      <c r="AB145" s="347"/>
      <c r="AC145" s="347"/>
      <c r="AD145" s="347"/>
      <c r="AE145" s="348">
        <f t="shared" si="21"/>
        <v>0</v>
      </c>
      <c r="AF145" s="347"/>
      <c r="AG145" s="347"/>
      <c r="AH145" s="347"/>
      <c r="AI145" s="347"/>
      <c r="AJ145" s="347"/>
      <c r="AK145" s="347"/>
      <c r="AL145" s="348">
        <f t="shared" si="22"/>
        <v>0</v>
      </c>
      <c r="AM145" s="347"/>
      <c r="AN145" s="347"/>
      <c r="AO145" s="347"/>
      <c r="AP145" s="347"/>
      <c r="AQ145" s="347"/>
      <c r="AR145" s="347"/>
      <c r="AS145" s="348">
        <f t="shared" si="23"/>
        <v>0</v>
      </c>
      <c r="AT145" s="347"/>
      <c r="AU145" s="347"/>
      <c r="AV145" s="347"/>
      <c r="AW145" s="347"/>
      <c r="AX145" s="347">
        <v>54</v>
      </c>
      <c r="AY145" s="347"/>
      <c r="AZ145" s="348">
        <f t="shared" si="24"/>
        <v>54</v>
      </c>
      <c r="BA145" s="347"/>
      <c r="BB145" s="347"/>
      <c r="BC145" s="347"/>
      <c r="BD145" s="347">
        <v>26</v>
      </c>
      <c r="BE145" s="348">
        <f t="shared" si="25"/>
        <v>26</v>
      </c>
      <c r="BF145" s="347"/>
      <c r="BG145" s="348">
        <f t="shared" si="26"/>
        <v>0</v>
      </c>
      <c r="BH145" s="356">
        <v>80</v>
      </c>
    </row>
    <row r="146" spans="1:60" ht="17.45" customHeight="1">
      <c r="A146" s="357"/>
      <c r="B146" s="357"/>
      <c r="C146" s="357"/>
      <c r="D146" s="347" t="s">
        <v>1153</v>
      </c>
      <c r="E146" s="347" t="s">
        <v>1154</v>
      </c>
      <c r="F146" s="355">
        <v>50</v>
      </c>
      <c r="G146" s="347">
        <v>50</v>
      </c>
      <c r="H146" s="347">
        <v>31</v>
      </c>
      <c r="I146" s="347">
        <v>30</v>
      </c>
      <c r="J146" s="347">
        <v>30</v>
      </c>
      <c r="K146" s="347">
        <v>30</v>
      </c>
      <c r="L146" s="348">
        <f t="shared" si="18"/>
        <v>221</v>
      </c>
      <c r="M146" s="347">
        <v>41</v>
      </c>
      <c r="N146" s="347">
        <v>30</v>
      </c>
      <c r="O146" s="347">
        <v>30</v>
      </c>
      <c r="P146" s="347">
        <v>30</v>
      </c>
      <c r="Q146" s="347">
        <v>30</v>
      </c>
      <c r="R146" s="348">
        <f t="shared" si="19"/>
        <v>161</v>
      </c>
      <c r="S146" s="347">
        <v>91</v>
      </c>
      <c r="T146" s="347">
        <v>80</v>
      </c>
      <c r="U146" s="347">
        <v>80</v>
      </c>
      <c r="V146" s="347">
        <v>80</v>
      </c>
      <c r="W146" s="347">
        <v>80</v>
      </c>
      <c r="X146" s="348">
        <f t="shared" si="20"/>
        <v>411</v>
      </c>
      <c r="Y146" s="347">
        <v>41</v>
      </c>
      <c r="Z146" s="347">
        <v>43</v>
      </c>
      <c r="AA146" s="347">
        <v>43</v>
      </c>
      <c r="AB146" s="347">
        <v>40</v>
      </c>
      <c r="AC146" s="347">
        <v>40</v>
      </c>
      <c r="AD146" s="347">
        <v>40</v>
      </c>
      <c r="AE146" s="348">
        <f t="shared" si="21"/>
        <v>247</v>
      </c>
      <c r="AF146" s="347">
        <v>50</v>
      </c>
      <c r="AG146" s="347">
        <v>50</v>
      </c>
      <c r="AH146" s="347">
        <v>50</v>
      </c>
      <c r="AI146" s="347">
        <v>50</v>
      </c>
      <c r="AJ146" s="347">
        <v>50</v>
      </c>
      <c r="AK146" s="347">
        <v>58</v>
      </c>
      <c r="AL146" s="348">
        <f t="shared" si="22"/>
        <v>308</v>
      </c>
      <c r="AM146" s="347">
        <v>60</v>
      </c>
      <c r="AN146" s="347">
        <v>60</v>
      </c>
      <c r="AO146" s="347">
        <v>60</v>
      </c>
      <c r="AP146" s="347">
        <v>60</v>
      </c>
      <c r="AQ146" s="347">
        <v>60</v>
      </c>
      <c r="AR146" s="347">
        <v>28</v>
      </c>
      <c r="AS146" s="348">
        <f t="shared" si="23"/>
        <v>328</v>
      </c>
      <c r="AT146" s="347"/>
      <c r="AU146" s="347"/>
      <c r="AV146" s="347">
        <v>9</v>
      </c>
      <c r="AW146" s="347"/>
      <c r="AX146" s="347">
        <v>227</v>
      </c>
      <c r="AY146" s="347">
        <v>260</v>
      </c>
      <c r="AZ146" s="348">
        <f t="shared" si="24"/>
        <v>496</v>
      </c>
      <c r="BA146" s="347"/>
      <c r="BB146" s="347">
        <v>121</v>
      </c>
      <c r="BC146" s="347"/>
      <c r="BD146" s="347">
        <v>47</v>
      </c>
      <c r="BE146" s="348">
        <f t="shared" si="25"/>
        <v>168</v>
      </c>
      <c r="BF146" s="347"/>
      <c r="BG146" s="348">
        <f t="shared" si="26"/>
        <v>0</v>
      </c>
      <c r="BH146" s="356">
        <v>2340</v>
      </c>
    </row>
    <row r="147" spans="1:60" ht="17.45" customHeight="1">
      <c r="A147" s="357"/>
      <c r="B147" s="357"/>
      <c r="C147" s="358"/>
      <c r="D147" s="347" t="s">
        <v>1235</v>
      </c>
      <c r="E147" s="347" t="s">
        <v>1799</v>
      </c>
      <c r="F147" s="355">
        <v>15</v>
      </c>
      <c r="G147" s="347">
        <v>15</v>
      </c>
      <c r="H147" s="347">
        <v>15</v>
      </c>
      <c r="I147" s="347">
        <v>15</v>
      </c>
      <c r="J147" s="347">
        <v>15</v>
      </c>
      <c r="K147" s="347">
        <v>15</v>
      </c>
      <c r="L147" s="348">
        <f t="shared" si="18"/>
        <v>90</v>
      </c>
      <c r="M147" s="347">
        <v>25</v>
      </c>
      <c r="N147" s="347">
        <v>25</v>
      </c>
      <c r="O147" s="347">
        <v>25</v>
      </c>
      <c r="P147" s="347">
        <v>24</v>
      </c>
      <c r="Q147" s="347">
        <v>20</v>
      </c>
      <c r="R147" s="348">
        <f t="shared" si="19"/>
        <v>119</v>
      </c>
      <c r="S147" s="347">
        <v>15</v>
      </c>
      <c r="T147" s="347">
        <v>15</v>
      </c>
      <c r="U147" s="347">
        <v>15</v>
      </c>
      <c r="V147" s="347">
        <v>15</v>
      </c>
      <c r="W147" s="347">
        <v>12</v>
      </c>
      <c r="X147" s="348">
        <f t="shared" si="20"/>
        <v>72</v>
      </c>
      <c r="Y147" s="347">
        <v>15</v>
      </c>
      <c r="Z147" s="347">
        <v>10</v>
      </c>
      <c r="AA147" s="347">
        <v>12</v>
      </c>
      <c r="AB147" s="347">
        <v>12</v>
      </c>
      <c r="AC147" s="347">
        <v>12</v>
      </c>
      <c r="AD147" s="347">
        <v>11</v>
      </c>
      <c r="AE147" s="348">
        <f t="shared" si="21"/>
        <v>72</v>
      </c>
      <c r="AF147" s="347">
        <v>15</v>
      </c>
      <c r="AG147" s="347">
        <v>13</v>
      </c>
      <c r="AH147" s="347">
        <v>15</v>
      </c>
      <c r="AI147" s="347">
        <v>15</v>
      </c>
      <c r="AJ147" s="347">
        <v>15</v>
      </c>
      <c r="AK147" s="347">
        <v>11</v>
      </c>
      <c r="AL147" s="348">
        <f t="shared" si="22"/>
        <v>84</v>
      </c>
      <c r="AM147" s="347">
        <v>15</v>
      </c>
      <c r="AN147" s="347">
        <v>12</v>
      </c>
      <c r="AO147" s="347">
        <v>15</v>
      </c>
      <c r="AP147" s="347">
        <v>15</v>
      </c>
      <c r="AQ147" s="347">
        <v>11</v>
      </c>
      <c r="AR147" s="347"/>
      <c r="AS147" s="348">
        <f t="shared" si="23"/>
        <v>68</v>
      </c>
      <c r="AT147" s="347"/>
      <c r="AU147" s="347"/>
      <c r="AV147" s="347"/>
      <c r="AW147" s="347"/>
      <c r="AX147" s="347"/>
      <c r="AY147" s="347"/>
      <c r="AZ147" s="348">
        <f t="shared" si="24"/>
        <v>0</v>
      </c>
      <c r="BA147" s="347"/>
      <c r="BB147" s="347">
        <v>89</v>
      </c>
      <c r="BC147" s="347"/>
      <c r="BD147" s="347"/>
      <c r="BE147" s="348">
        <f t="shared" si="25"/>
        <v>89</v>
      </c>
      <c r="BF147" s="347"/>
      <c r="BG147" s="348">
        <f t="shared" si="26"/>
        <v>0</v>
      </c>
      <c r="BH147" s="356">
        <v>594</v>
      </c>
    </row>
    <row r="148" spans="1:60" ht="17.45" customHeight="1">
      <c r="A148" s="357"/>
      <c r="B148" s="357"/>
      <c r="C148" s="359" t="s">
        <v>1832</v>
      </c>
      <c r="D148" s="360"/>
      <c r="E148" s="361"/>
      <c r="F148" s="362">
        <v>256</v>
      </c>
      <c r="G148" s="363">
        <v>336</v>
      </c>
      <c r="H148" s="363">
        <v>336</v>
      </c>
      <c r="I148" s="363">
        <v>320</v>
      </c>
      <c r="J148" s="363">
        <v>260</v>
      </c>
      <c r="K148" s="363">
        <v>320</v>
      </c>
      <c r="L148" s="348">
        <f t="shared" si="18"/>
        <v>1828</v>
      </c>
      <c r="M148" s="363">
        <v>256</v>
      </c>
      <c r="N148" s="363">
        <v>328</v>
      </c>
      <c r="O148" s="363">
        <v>336</v>
      </c>
      <c r="P148" s="363">
        <v>320</v>
      </c>
      <c r="Q148" s="363">
        <v>320</v>
      </c>
      <c r="R148" s="348">
        <f t="shared" si="19"/>
        <v>1560</v>
      </c>
      <c r="S148" s="363">
        <v>316</v>
      </c>
      <c r="T148" s="363">
        <v>336</v>
      </c>
      <c r="U148" s="363">
        <v>336</v>
      </c>
      <c r="V148" s="363">
        <v>260</v>
      </c>
      <c r="W148" s="363">
        <v>336</v>
      </c>
      <c r="X148" s="348">
        <f t="shared" si="20"/>
        <v>1584</v>
      </c>
      <c r="Y148" s="363">
        <v>256</v>
      </c>
      <c r="Z148" s="363">
        <v>336</v>
      </c>
      <c r="AA148" s="363">
        <v>336</v>
      </c>
      <c r="AB148" s="363">
        <v>336</v>
      </c>
      <c r="AC148" s="363">
        <v>336</v>
      </c>
      <c r="AD148" s="363">
        <v>252</v>
      </c>
      <c r="AE148" s="348">
        <f t="shared" si="21"/>
        <v>1852</v>
      </c>
      <c r="AF148" s="363">
        <v>316</v>
      </c>
      <c r="AG148" s="363">
        <v>336</v>
      </c>
      <c r="AH148" s="363">
        <v>336</v>
      </c>
      <c r="AI148" s="363">
        <v>320</v>
      </c>
      <c r="AJ148" s="363">
        <v>260</v>
      </c>
      <c r="AK148" s="363">
        <v>320</v>
      </c>
      <c r="AL148" s="348">
        <f t="shared" si="22"/>
        <v>1888</v>
      </c>
      <c r="AM148" s="363">
        <v>332</v>
      </c>
      <c r="AN148" s="363">
        <v>336</v>
      </c>
      <c r="AO148" s="363">
        <v>260</v>
      </c>
      <c r="AP148" s="363">
        <v>328</v>
      </c>
      <c r="AQ148" s="363">
        <v>260</v>
      </c>
      <c r="AR148" s="363">
        <v>130</v>
      </c>
      <c r="AS148" s="348">
        <f t="shared" si="23"/>
        <v>1646</v>
      </c>
      <c r="AT148" s="363">
        <v>252</v>
      </c>
      <c r="AU148" s="363">
        <v>336</v>
      </c>
      <c r="AV148" s="363">
        <v>345</v>
      </c>
      <c r="AW148" s="363">
        <v>336</v>
      </c>
      <c r="AX148" s="363">
        <v>336</v>
      </c>
      <c r="AY148" s="363">
        <v>260</v>
      </c>
      <c r="AZ148" s="348">
        <f t="shared" si="24"/>
        <v>1865</v>
      </c>
      <c r="BA148" s="363">
        <v>256</v>
      </c>
      <c r="BB148" s="363">
        <v>530</v>
      </c>
      <c r="BC148" s="363">
        <v>320</v>
      </c>
      <c r="BD148" s="363">
        <v>260</v>
      </c>
      <c r="BE148" s="348">
        <f t="shared" si="25"/>
        <v>1366</v>
      </c>
      <c r="BF148" s="363">
        <v>192</v>
      </c>
      <c r="BG148" s="348">
        <f t="shared" si="26"/>
        <v>192</v>
      </c>
      <c r="BH148" s="356">
        <v>13781</v>
      </c>
    </row>
    <row r="149" spans="1:60" ht="17.45" customHeight="1">
      <c r="A149" s="357"/>
      <c r="B149" s="357"/>
      <c r="C149" s="354" t="s">
        <v>1236</v>
      </c>
      <c r="D149" s="347" t="s">
        <v>1110</v>
      </c>
      <c r="E149" s="347" t="s">
        <v>1111</v>
      </c>
      <c r="F149" s="355"/>
      <c r="G149" s="347"/>
      <c r="H149" s="347">
        <v>24</v>
      </c>
      <c r="I149" s="347"/>
      <c r="J149" s="347"/>
      <c r="K149" s="347"/>
      <c r="L149" s="348">
        <f t="shared" si="18"/>
        <v>24</v>
      </c>
      <c r="M149" s="347"/>
      <c r="N149" s="347"/>
      <c r="O149" s="347"/>
      <c r="P149" s="347"/>
      <c r="Q149" s="347"/>
      <c r="R149" s="348">
        <f t="shared" si="19"/>
        <v>0</v>
      </c>
      <c r="S149" s="347"/>
      <c r="T149" s="347"/>
      <c r="U149" s="347"/>
      <c r="V149" s="347"/>
      <c r="W149" s="347"/>
      <c r="X149" s="348">
        <f t="shared" si="20"/>
        <v>0</v>
      </c>
      <c r="Y149" s="347"/>
      <c r="Z149" s="347"/>
      <c r="AA149" s="347"/>
      <c r="AB149" s="347"/>
      <c r="AC149" s="347"/>
      <c r="AD149" s="347"/>
      <c r="AE149" s="348">
        <f t="shared" si="21"/>
        <v>0</v>
      </c>
      <c r="AF149" s="347"/>
      <c r="AG149" s="347"/>
      <c r="AH149" s="347"/>
      <c r="AI149" s="347"/>
      <c r="AJ149" s="347"/>
      <c r="AK149" s="347"/>
      <c r="AL149" s="348">
        <f t="shared" si="22"/>
        <v>0</v>
      </c>
      <c r="AM149" s="347"/>
      <c r="AN149" s="347"/>
      <c r="AO149" s="347"/>
      <c r="AP149" s="347"/>
      <c r="AQ149" s="347"/>
      <c r="AR149" s="347"/>
      <c r="AS149" s="348">
        <f t="shared" si="23"/>
        <v>0</v>
      </c>
      <c r="AT149" s="347"/>
      <c r="AU149" s="347"/>
      <c r="AV149" s="347"/>
      <c r="AW149" s="347"/>
      <c r="AX149" s="347"/>
      <c r="AY149" s="347"/>
      <c r="AZ149" s="348">
        <f t="shared" si="24"/>
        <v>0</v>
      </c>
      <c r="BA149" s="347"/>
      <c r="BB149" s="347"/>
      <c r="BC149" s="347"/>
      <c r="BD149" s="347"/>
      <c r="BE149" s="348">
        <f t="shared" si="25"/>
        <v>0</v>
      </c>
      <c r="BF149" s="347"/>
      <c r="BG149" s="348">
        <f t="shared" si="26"/>
        <v>0</v>
      </c>
      <c r="BH149" s="356">
        <v>24</v>
      </c>
    </row>
    <row r="150" spans="1:60" ht="17.45" customHeight="1">
      <c r="A150" s="357"/>
      <c r="B150" s="357"/>
      <c r="C150" s="357"/>
      <c r="D150" s="347" t="s">
        <v>1155</v>
      </c>
      <c r="E150" s="347" t="s">
        <v>1156</v>
      </c>
      <c r="F150" s="355"/>
      <c r="G150" s="347"/>
      <c r="H150" s="347"/>
      <c r="I150" s="347"/>
      <c r="J150" s="347"/>
      <c r="K150" s="347"/>
      <c r="L150" s="348">
        <f t="shared" si="18"/>
        <v>0</v>
      </c>
      <c r="M150" s="347"/>
      <c r="N150" s="347"/>
      <c r="O150" s="347"/>
      <c r="P150" s="347"/>
      <c r="Q150" s="347"/>
      <c r="R150" s="348">
        <f t="shared" si="19"/>
        <v>0</v>
      </c>
      <c r="S150" s="347"/>
      <c r="T150" s="347"/>
      <c r="U150" s="347"/>
      <c r="V150" s="347"/>
      <c r="W150" s="347"/>
      <c r="X150" s="348">
        <f t="shared" si="20"/>
        <v>0</v>
      </c>
      <c r="Y150" s="347"/>
      <c r="Z150" s="347"/>
      <c r="AA150" s="347"/>
      <c r="AB150" s="347"/>
      <c r="AC150" s="347"/>
      <c r="AD150" s="347"/>
      <c r="AE150" s="348">
        <f t="shared" si="21"/>
        <v>0</v>
      </c>
      <c r="AF150" s="347"/>
      <c r="AG150" s="347"/>
      <c r="AH150" s="347"/>
      <c r="AI150" s="347"/>
      <c r="AJ150" s="347"/>
      <c r="AK150" s="347"/>
      <c r="AL150" s="348">
        <f t="shared" si="22"/>
        <v>0</v>
      </c>
      <c r="AM150" s="347"/>
      <c r="AN150" s="347"/>
      <c r="AO150" s="347"/>
      <c r="AP150" s="347"/>
      <c r="AQ150" s="347"/>
      <c r="AR150" s="347"/>
      <c r="AS150" s="348">
        <f t="shared" si="23"/>
        <v>0</v>
      </c>
      <c r="AT150" s="347">
        <v>252</v>
      </c>
      <c r="AU150" s="347">
        <v>25</v>
      </c>
      <c r="AV150" s="347"/>
      <c r="AW150" s="347"/>
      <c r="AX150" s="347"/>
      <c r="AY150" s="347"/>
      <c r="AZ150" s="348">
        <f t="shared" si="24"/>
        <v>277</v>
      </c>
      <c r="BA150" s="347">
        <v>168</v>
      </c>
      <c r="BB150" s="347"/>
      <c r="BC150" s="347"/>
      <c r="BD150" s="347"/>
      <c r="BE150" s="348">
        <f t="shared" si="25"/>
        <v>168</v>
      </c>
      <c r="BF150" s="347">
        <v>186</v>
      </c>
      <c r="BG150" s="348">
        <f t="shared" si="26"/>
        <v>186</v>
      </c>
      <c r="BH150" s="356">
        <v>631</v>
      </c>
    </row>
    <row r="151" spans="1:60" ht="17.45" customHeight="1">
      <c r="A151" s="357"/>
      <c r="B151" s="357"/>
      <c r="C151" s="357"/>
      <c r="D151" s="347" t="s">
        <v>1119</v>
      </c>
      <c r="E151" s="347" t="s">
        <v>1120</v>
      </c>
      <c r="F151" s="355"/>
      <c r="G151" s="347"/>
      <c r="H151" s="347"/>
      <c r="I151" s="347"/>
      <c r="J151" s="347"/>
      <c r="K151" s="347">
        <v>82</v>
      </c>
      <c r="L151" s="348">
        <f t="shared" si="18"/>
        <v>82</v>
      </c>
      <c r="M151" s="347"/>
      <c r="N151" s="347"/>
      <c r="O151" s="347">
        <v>78</v>
      </c>
      <c r="P151" s="347">
        <v>100</v>
      </c>
      <c r="Q151" s="347">
        <v>58</v>
      </c>
      <c r="R151" s="348">
        <f t="shared" si="19"/>
        <v>236</v>
      </c>
      <c r="S151" s="347">
        <v>84</v>
      </c>
      <c r="T151" s="347">
        <v>63</v>
      </c>
      <c r="U151" s="347">
        <v>107</v>
      </c>
      <c r="V151" s="347">
        <v>58</v>
      </c>
      <c r="W151" s="347">
        <v>60</v>
      </c>
      <c r="X151" s="348">
        <f t="shared" si="20"/>
        <v>372</v>
      </c>
      <c r="Y151" s="347">
        <v>42</v>
      </c>
      <c r="Z151" s="347">
        <v>50</v>
      </c>
      <c r="AA151" s="347">
        <v>3</v>
      </c>
      <c r="AB151" s="347">
        <v>17</v>
      </c>
      <c r="AC151" s="347">
        <v>91</v>
      </c>
      <c r="AD151" s="347">
        <v>90</v>
      </c>
      <c r="AE151" s="348">
        <f t="shared" si="21"/>
        <v>293</v>
      </c>
      <c r="AF151" s="347">
        <v>166</v>
      </c>
      <c r="AG151" s="347">
        <v>77</v>
      </c>
      <c r="AH151" s="347">
        <v>80</v>
      </c>
      <c r="AI151" s="347"/>
      <c r="AJ151" s="347"/>
      <c r="AK151" s="347"/>
      <c r="AL151" s="348">
        <f t="shared" si="22"/>
        <v>323</v>
      </c>
      <c r="AM151" s="347">
        <v>100</v>
      </c>
      <c r="AN151" s="347">
        <v>67</v>
      </c>
      <c r="AO151" s="347">
        <v>60</v>
      </c>
      <c r="AP151" s="347">
        <v>135</v>
      </c>
      <c r="AQ151" s="347">
        <v>120</v>
      </c>
      <c r="AR151" s="347"/>
      <c r="AS151" s="348">
        <f t="shared" si="23"/>
        <v>482</v>
      </c>
      <c r="AT151" s="347"/>
      <c r="AU151" s="347">
        <v>311</v>
      </c>
      <c r="AV151" s="347">
        <v>277</v>
      </c>
      <c r="AW151" s="347"/>
      <c r="AX151" s="347"/>
      <c r="AY151" s="347"/>
      <c r="AZ151" s="348">
        <f t="shared" si="24"/>
        <v>588</v>
      </c>
      <c r="BA151" s="347">
        <v>88</v>
      </c>
      <c r="BB151" s="347">
        <v>320</v>
      </c>
      <c r="BC151" s="347">
        <v>17</v>
      </c>
      <c r="BD151" s="347"/>
      <c r="BE151" s="348">
        <f t="shared" si="25"/>
        <v>425</v>
      </c>
      <c r="BF151" s="347">
        <v>6</v>
      </c>
      <c r="BG151" s="348">
        <f t="shared" si="26"/>
        <v>6</v>
      </c>
      <c r="BH151" s="356">
        <v>2807</v>
      </c>
    </row>
    <row r="152" spans="1:60" ht="17.45" customHeight="1">
      <c r="A152" s="357"/>
      <c r="B152" s="357"/>
      <c r="C152" s="357"/>
      <c r="D152" s="347" t="s">
        <v>1121</v>
      </c>
      <c r="E152" s="347" t="s">
        <v>1122</v>
      </c>
      <c r="F152" s="355"/>
      <c r="G152" s="347"/>
      <c r="H152" s="347"/>
      <c r="I152" s="347">
        <v>40</v>
      </c>
      <c r="J152" s="347">
        <v>44</v>
      </c>
      <c r="K152" s="347"/>
      <c r="L152" s="348">
        <f t="shared" si="18"/>
        <v>84</v>
      </c>
      <c r="M152" s="347"/>
      <c r="N152" s="347"/>
      <c r="O152" s="347">
        <v>73</v>
      </c>
      <c r="P152" s="347"/>
      <c r="Q152" s="347"/>
      <c r="R152" s="348">
        <f t="shared" si="19"/>
        <v>73</v>
      </c>
      <c r="S152" s="347"/>
      <c r="T152" s="347"/>
      <c r="U152" s="347">
        <v>58</v>
      </c>
      <c r="V152" s="347"/>
      <c r="W152" s="347"/>
      <c r="X152" s="348">
        <f t="shared" si="20"/>
        <v>58</v>
      </c>
      <c r="Y152" s="347"/>
      <c r="Z152" s="347">
        <v>41</v>
      </c>
      <c r="AA152" s="347"/>
      <c r="AB152" s="347"/>
      <c r="AC152" s="347"/>
      <c r="AD152" s="347"/>
      <c r="AE152" s="348">
        <f t="shared" si="21"/>
        <v>41</v>
      </c>
      <c r="AF152" s="347"/>
      <c r="AG152" s="347"/>
      <c r="AH152" s="347"/>
      <c r="AI152" s="347"/>
      <c r="AJ152" s="347"/>
      <c r="AK152" s="347">
        <v>24</v>
      </c>
      <c r="AL152" s="348">
        <f t="shared" si="22"/>
        <v>24</v>
      </c>
      <c r="AM152" s="347"/>
      <c r="AN152" s="347"/>
      <c r="AO152" s="347">
        <v>28</v>
      </c>
      <c r="AP152" s="347"/>
      <c r="AQ152" s="347"/>
      <c r="AR152" s="347"/>
      <c r="AS152" s="348">
        <f t="shared" si="23"/>
        <v>28</v>
      </c>
      <c r="AT152" s="347"/>
      <c r="AU152" s="347"/>
      <c r="AV152" s="347">
        <v>51</v>
      </c>
      <c r="AW152" s="347"/>
      <c r="AX152" s="347"/>
      <c r="AY152" s="347"/>
      <c r="AZ152" s="348">
        <f t="shared" si="24"/>
        <v>51</v>
      </c>
      <c r="BA152" s="347"/>
      <c r="BB152" s="347"/>
      <c r="BC152" s="347">
        <v>38</v>
      </c>
      <c r="BD152" s="347"/>
      <c r="BE152" s="348">
        <f t="shared" si="25"/>
        <v>38</v>
      </c>
      <c r="BF152" s="347"/>
      <c r="BG152" s="348">
        <f t="shared" si="26"/>
        <v>0</v>
      </c>
      <c r="BH152" s="356">
        <v>397</v>
      </c>
    </row>
    <row r="153" spans="1:60" ht="17.45" customHeight="1">
      <c r="A153" s="357"/>
      <c r="B153" s="357"/>
      <c r="C153" s="357"/>
      <c r="D153" s="347" t="s">
        <v>1179</v>
      </c>
      <c r="E153" s="347" t="s">
        <v>1201</v>
      </c>
      <c r="F153" s="355"/>
      <c r="G153" s="347">
        <v>9</v>
      </c>
      <c r="H153" s="347"/>
      <c r="I153" s="347"/>
      <c r="J153" s="347"/>
      <c r="K153" s="347"/>
      <c r="L153" s="348">
        <f t="shared" si="18"/>
        <v>9</v>
      </c>
      <c r="M153" s="347"/>
      <c r="N153" s="347"/>
      <c r="O153" s="347"/>
      <c r="P153" s="347"/>
      <c r="Q153" s="347"/>
      <c r="R153" s="348">
        <f t="shared" si="19"/>
        <v>0</v>
      </c>
      <c r="S153" s="347"/>
      <c r="T153" s="347"/>
      <c r="U153" s="347">
        <v>47</v>
      </c>
      <c r="V153" s="347"/>
      <c r="W153" s="347"/>
      <c r="X153" s="348">
        <f t="shared" si="20"/>
        <v>47</v>
      </c>
      <c r="Y153" s="347"/>
      <c r="Z153" s="347">
        <v>60</v>
      </c>
      <c r="AA153" s="347">
        <v>50</v>
      </c>
      <c r="AB153" s="347"/>
      <c r="AC153" s="347"/>
      <c r="AD153" s="347"/>
      <c r="AE153" s="348">
        <f t="shared" si="21"/>
        <v>110</v>
      </c>
      <c r="AF153" s="347"/>
      <c r="AG153" s="347">
        <v>24</v>
      </c>
      <c r="AH153" s="347"/>
      <c r="AI153" s="347"/>
      <c r="AJ153" s="347"/>
      <c r="AK153" s="347"/>
      <c r="AL153" s="348">
        <f t="shared" si="22"/>
        <v>24</v>
      </c>
      <c r="AM153" s="347"/>
      <c r="AN153" s="347">
        <v>42</v>
      </c>
      <c r="AO153" s="347"/>
      <c r="AP153" s="347"/>
      <c r="AQ153" s="347"/>
      <c r="AR153" s="347"/>
      <c r="AS153" s="348">
        <f t="shared" si="23"/>
        <v>42</v>
      </c>
      <c r="AT153" s="347"/>
      <c r="AU153" s="347"/>
      <c r="AV153" s="347">
        <v>8</v>
      </c>
      <c r="AW153" s="347">
        <v>56</v>
      </c>
      <c r="AX153" s="347"/>
      <c r="AY153" s="347"/>
      <c r="AZ153" s="348">
        <f t="shared" si="24"/>
        <v>64</v>
      </c>
      <c r="BA153" s="347"/>
      <c r="BB153" s="347"/>
      <c r="BC153" s="347">
        <v>14</v>
      </c>
      <c r="BD153" s="347"/>
      <c r="BE153" s="348">
        <f t="shared" si="25"/>
        <v>14</v>
      </c>
      <c r="BF153" s="347"/>
      <c r="BG153" s="348">
        <f t="shared" si="26"/>
        <v>0</v>
      </c>
      <c r="BH153" s="356">
        <v>310</v>
      </c>
    </row>
    <row r="154" spans="1:60" ht="17.45" customHeight="1">
      <c r="A154" s="357"/>
      <c r="B154" s="357"/>
      <c r="C154" s="357"/>
      <c r="D154" s="347" t="s">
        <v>1187</v>
      </c>
      <c r="E154" s="347" t="s">
        <v>1209</v>
      </c>
      <c r="F154" s="355">
        <v>11</v>
      </c>
      <c r="G154" s="347"/>
      <c r="H154" s="347"/>
      <c r="I154" s="347"/>
      <c r="J154" s="347"/>
      <c r="K154" s="347"/>
      <c r="L154" s="348">
        <f t="shared" si="18"/>
        <v>11</v>
      </c>
      <c r="M154" s="347">
        <v>56</v>
      </c>
      <c r="N154" s="347"/>
      <c r="O154" s="347"/>
      <c r="P154" s="347"/>
      <c r="Q154" s="347"/>
      <c r="R154" s="348">
        <f t="shared" si="19"/>
        <v>56</v>
      </c>
      <c r="S154" s="347">
        <v>9</v>
      </c>
      <c r="T154" s="347"/>
      <c r="U154" s="347"/>
      <c r="V154" s="347"/>
      <c r="W154" s="347"/>
      <c r="X154" s="348">
        <f t="shared" si="20"/>
        <v>9</v>
      </c>
      <c r="Y154" s="347"/>
      <c r="Z154" s="347">
        <v>37</v>
      </c>
      <c r="AA154" s="347"/>
      <c r="AB154" s="347"/>
      <c r="AC154" s="347"/>
      <c r="AD154" s="347"/>
      <c r="AE154" s="348">
        <f t="shared" si="21"/>
        <v>37</v>
      </c>
      <c r="AF154" s="347"/>
      <c r="AG154" s="347">
        <v>28</v>
      </c>
      <c r="AH154" s="347">
        <v>52</v>
      </c>
      <c r="AI154" s="347"/>
      <c r="AJ154" s="347"/>
      <c r="AK154" s="347"/>
      <c r="AL154" s="348">
        <f t="shared" si="22"/>
        <v>80</v>
      </c>
      <c r="AM154" s="347">
        <v>5</v>
      </c>
      <c r="AN154" s="347"/>
      <c r="AO154" s="347"/>
      <c r="AP154" s="347"/>
      <c r="AQ154" s="347"/>
      <c r="AR154" s="347"/>
      <c r="AS154" s="348">
        <f t="shared" si="23"/>
        <v>5</v>
      </c>
      <c r="AT154" s="347"/>
      <c r="AU154" s="347"/>
      <c r="AV154" s="347"/>
      <c r="AW154" s="347">
        <v>21</v>
      </c>
      <c r="AX154" s="347"/>
      <c r="AY154" s="347"/>
      <c r="AZ154" s="348">
        <f t="shared" si="24"/>
        <v>21</v>
      </c>
      <c r="BA154" s="347"/>
      <c r="BB154" s="347"/>
      <c r="BC154" s="347">
        <v>20</v>
      </c>
      <c r="BD154" s="347"/>
      <c r="BE154" s="348">
        <f t="shared" si="25"/>
        <v>20</v>
      </c>
      <c r="BF154" s="347"/>
      <c r="BG154" s="348">
        <f t="shared" si="26"/>
        <v>0</v>
      </c>
      <c r="BH154" s="356">
        <v>239</v>
      </c>
    </row>
    <row r="155" spans="1:60" ht="17.45" customHeight="1">
      <c r="A155" s="357"/>
      <c r="B155" s="357"/>
      <c r="C155" s="357"/>
      <c r="D155" s="347" t="s">
        <v>1123</v>
      </c>
      <c r="E155" s="347" t="s">
        <v>1124</v>
      </c>
      <c r="F155" s="355"/>
      <c r="G155" s="347"/>
      <c r="H155" s="347"/>
      <c r="I155" s="347"/>
      <c r="J155" s="347"/>
      <c r="K155" s="347"/>
      <c r="L155" s="348">
        <f t="shared" si="18"/>
        <v>0</v>
      </c>
      <c r="M155" s="347"/>
      <c r="N155" s="347"/>
      <c r="O155" s="347"/>
      <c r="P155" s="347"/>
      <c r="Q155" s="347"/>
      <c r="R155" s="348">
        <f t="shared" si="19"/>
        <v>0</v>
      </c>
      <c r="S155" s="347"/>
      <c r="T155" s="347"/>
      <c r="U155" s="347"/>
      <c r="V155" s="347"/>
      <c r="W155" s="347"/>
      <c r="X155" s="348">
        <f t="shared" si="20"/>
        <v>0</v>
      </c>
      <c r="Y155" s="347"/>
      <c r="Z155" s="347"/>
      <c r="AA155" s="347"/>
      <c r="AB155" s="347"/>
      <c r="AC155" s="347"/>
      <c r="AD155" s="347"/>
      <c r="AE155" s="348">
        <f t="shared" si="21"/>
        <v>0</v>
      </c>
      <c r="AF155" s="347"/>
      <c r="AG155" s="347"/>
      <c r="AH155" s="347"/>
      <c r="AI155" s="347"/>
      <c r="AJ155" s="347"/>
      <c r="AK155" s="347"/>
      <c r="AL155" s="348">
        <f t="shared" si="22"/>
        <v>0</v>
      </c>
      <c r="AM155" s="347"/>
      <c r="AN155" s="347"/>
      <c r="AO155" s="347"/>
      <c r="AP155" s="347"/>
      <c r="AQ155" s="347"/>
      <c r="AR155" s="347"/>
      <c r="AS155" s="348">
        <f t="shared" si="23"/>
        <v>0</v>
      </c>
      <c r="AT155" s="347"/>
      <c r="AU155" s="347"/>
      <c r="AV155" s="347"/>
      <c r="AW155" s="347">
        <v>97</v>
      </c>
      <c r="AX155" s="347"/>
      <c r="AY155" s="347"/>
      <c r="AZ155" s="348">
        <f t="shared" si="24"/>
        <v>97</v>
      </c>
      <c r="BA155" s="347"/>
      <c r="BB155" s="347"/>
      <c r="BC155" s="347">
        <v>49</v>
      </c>
      <c r="BD155" s="347"/>
      <c r="BE155" s="348">
        <f t="shared" si="25"/>
        <v>49</v>
      </c>
      <c r="BF155" s="347"/>
      <c r="BG155" s="348">
        <f t="shared" si="26"/>
        <v>0</v>
      </c>
      <c r="BH155" s="356">
        <v>146</v>
      </c>
    </row>
    <row r="156" spans="1:60" ht="17.45" customHeight="1">
      <c r="A156" s="357"/>
      <c r="B156" s="357"/>
      <c r="C156" s="357"/>
      <c r="D156" s="347" t="s">
        <v>1157</v>
      </c>
      <c r="E156" s="347" t="s">
        <v>1158</v>
      </c>
      <c r="F156" s="355"/>
      <c r="G156" s="347"/>
      <c r="H156" s="347"/>
      <c r="I156" s="347"/>
      <c r="J156" s="347"/>
      <c r="K156" s="347"/>
      <c r="L156" s="348">
        <f t="shared" si="18"/>
        <v>0</v>
      </c>
      <c r="M156" s="347"/>
      <c r="N156" s="347"/>
      <c r="O156" s="347"/>
      <c r="P156" s="347"/>
      <c r="Q156" s="347"/>
      <c r="R156" s="348">
        <f t="shared" si="19"/>
        <v>0</v>
      </c>
      <c r="S156" s="347"/>
      <c r="T156" s="347"/>
      <c r="U156" s="347"/>
      <c r="V156" s="347"/>
      <c r="W156" s="347"/>
      <c r="X156" s="348">
        <f t="shared" si="20"/>
        <v>0</v>
      </c>
      <c r="Y156" s="347"/>
      <c r="Z156" s="347"/>
      <c r="AA156" s="347"/>
      <c r="AB156" s="347"/>
      <c r="AC156" s="347"/>
      <c r="AD156" s="347"/>
      <c r="AE156" s="348">
        <f t="shared" si="21"/>
        <v>0</v>
      </c>
      <c r="AF156" s="347"/>
      <c r="AG156" s="347"/>
      <c r="AH156" s="347"/>
      <c r="AI156" s="347"/>
      <c r="AJ156" s="347"/>
      <c r="AK156" s="347"/>
      <c r="AL156" s="348">
        <f t="shared" si="22"/>
        <v>0</v>
      </c>
      <c r="AM156" s="347"/>
      <c r="AN156" s="347"/>
      <c r="AO156" s="347"/>
      <c r="AP156" s="347"/>
      <c r="AQ156" s="347"/>
      <c r="AR156" s="347"/>
      <c r="AS156" s="348">
        <f t="shared" si="23"/>
        <v>0</v>
      </c>
      <c r="AT156" s="347"/>
      <c r="AU156" s="347"/>
      <c r="AV156" s="347"/>
      <c r="AW156" s="347">
        <v>162</v>
      </c>
      <c r="AX156" s="347">
        <v>247</v>
      </c>
      <c r="AY156" s="347"/>
      <c r="AZ156" s="348">
        <f t="shared" si="24"/>
        <v>409</v>
      </c>
      <c r="BA156" s="347"/>
      <c r="BB156" s="347"/>
      <c r="BC156" s="347">
        <v>182</v>
      </c>
      <c r="BD156" s="347">
        <v>60</v>
      </c>
      <c r="BE156" s="348">
        <f t="shared" si="25"/>
        <v>242</v>
      </c>
      <c r="BF156" s="347"/>
      <c r="BG156" s="348">
        <f t="shared" si="26"/>
        <v>0</v>
      </c>
      <c r="BH156" s="356">
        <v>651</v>
      </c>
    </row>
    <row r="157" spans="1:60" ht="17.45" customHeight="1">
      <c r="A157" s="357"/>
      <c r="B157" s="357"/>
      <c r="C157" s="357"/>
      <c r="D157" s="347" t="s">
        <v>1125</v>
      </c>
      <c r="E157" s="347" t="s">
        <v>1126</v>
      </c>
      <c r="F157" s="355"/>
      <c r="G157" s="347"/>
      <c r="H157" s="347"/>
      <c r="I157" s="347"/>
      <c r="J157" s="347"/>
      <c r="K157" s="347"/>
      <c r="L157" s="348">
        <f t="shared" si="18"/>
        <v>0</v>
      </c>
      <c r="M157" s="347"/>
      <c r="N157" s="347"/>
      <c r="O157" s="347"/>
      <c r="P157" s="347"/>
      <c r="Q157" s="347"/>
      <c r="R157" s="348">
        <f t="shared" si="19"/>
        <v>0</v>
      </c>
      <c r="S157" s="347"/>
      <c r="T157" s="347"/>
      <c r="U157" s="347"/>
      <c r="V157" s="347"/>
      <c r="W157" s="347"/>
      <c r="X157" s="348">
        <f t="shared" si="20"/>
        <v>0</v>
      </c>
      <c r="Y157" s="347"/>
      <c r="Z157" s="347"/>
      <c r="AA157" s="347"/>
      <c r="AB157" s="347"/>
      <c r="AC157" s="347"/>
      <c r="AD157" s="347"/>
      <c r="AE157" s="348">
        <f t="shared" si="21"/>
        <v>0</v>
      </c>
      <c r="AF157" s="347"/>
      <c r="AG157" s="347"/>
      <c r="AH157" s="347"/>
      <c r="AI157" s="347"/>
      <c r="AJ157" s="347"/>
      <c r="AK157" s="347"/>
      <c r="AL157" s="348">
        <f t="shared" si="22"/>
        <v>0</v>
      </c>
      <c r="AM157" s="347"/>
      <c r="AN157" s="347"/>
      <c r="AO157" s="347"/>
      <c r="AP157" s="347"/>
      <c r="AQ157" s="347"/>
      <c r="AR157" s="347"/>
      <c r="AS157" s="348">
        <f t="shared" si="23"/>
        <v>0</v>
      </c>
      <c r="AT157" s="347"/>
      <c r="AU157" s="347"/>
      <c r="AV157" s="347"/>
      <c r="AW157" s="347"/>
      <c r="AX157" s="347">
        <v>1</v>
      </c>
      <c r="AY157" s="347"/>
      <c r="AZ157" s="348">
        <f t="shared" si="24"/>
        <v>1</v>
      </c>
      <c r="BA157" s="347"/>
      <c r="BB157" s="347"/>
      <c r="BC157" s="347"/>
      <c r="BD157" s="347"/>
      <c r="BE157" s="348">
        <f t="shared" si="25"/>
        <v>0</v>
      </c>
      <c r="BF157" s="347"/>
      <c r="BG157" s="348">
        <f t="shared" si="26"/>
        <v>0</v>
      </c>
      <c r="BH157" s="356">
        <v>1</v>
      </c>
    </row>
    <row r="158" spans="1:60" ht="17.45" customHeight="1">
      <c r="A158" s="357"/>
      <c r="B158" s="357"/>
      <c r="C158" s="357"/>
      <c r="D158" s="347" t="s">
        <v>1127</v>
      </c>
      <c r="E158" s="347" t="s">
        <v>1128</v>
      </c>
      <c r="F158" s="355">
        <v>45</v>
      </c>
      <c r="G158" s="347">
        <v>11</v>
      </c>
      <c r="H158" s="347">
        <v>125</v>
      </c>
      <c r="I158" s="347"/>
      <c r="J158" s="347"/>
      <c r="K158" s="347">
        <v>14</v>
      </c>
      <c r="L158" s="348">
        <f t="shared" ref="L158:L173" si="27">SUM(F158:K158)</f>
        <v>195</v>
      </c>
      <c r="M158" s="347">
        <v>28</v>
      </c>
      <c r="N158" s="347">
        <v>164</v>
      </c>
      <c r="O158" s="347"/>
      <c r="P158" s="347"/>
      <c r="Q158" s="347"/>
      <c r="R158" s="348">
        <f t="shared" ref="R158:R173" si="28">SUM(M158:Q158)</f>
        <v>192</v>
      </c>
      <c r="S158" s="347"/>
      <c r="T158" s="347"/>
      <c r="U158" s="347">
        <v>13</v>
      </c>
      <c r="V158" s="347">
        <v>91</v>
      </c>
      <c r="W158" s="347">
        <v>165</v>
      </c>
      <c r="X158" s="348">
        <f t="shared" ref="X158:X173" si="29">SUM(S158:W158)</f>
        <v>269</v>
      </c>
      <c r="Y158" s="347">
        <v>69</v>
      </c>
      <c r="Z158" s="347">
        <v>35</v>
      </c>
      <c r="AA158" s="347"/>
      <c r="AB158" s="347">
        <v>78</v>
      </c>
      <c r="AC158" s="347"/>
      <c r="AD158" s="347"/>
      <c r="AE158" s="348">
        <f t="shared" ref="AE158:AE173" si="30">SUM(Y158:AD158)</f>
        <v>182</v>
      </c>
      <c r="AF158" s="347">
        <v>65</v>
      </c>
      <c r="AG158" s="347"/>
      <c r="AH158" s="347"/>
      <c r="AI158" s="347"/>
      <c r="AJ158" s="347"/>
      <c r="AK158" s="347">
        <v>3</v>
      </c>
      <c r="AL158" s="348">
        <f t="shared" ref="AL158:AL173" si="31">SUM(AF158:AK158)</f>
        <v>68</v>
      </c>
      <c r="AM158" s="347"/>
      <c r="AN158" s="347"/>
      <c r="AO158" s="347">
        <v>86</v>
      </c>
      <c r="AP158" s="347"/>
      <c r="AQ158" s="347"/>
      <c r="AR158" s="347"/>
      <c r="AS158" s="348">
        <f t="shared" ref="AS158:AS173" si="32">SUM(AM158:AR158)</f>
        <v>86</v>
      </c>
      <c r="AT158" s="347"/>
      <c r="AU158" s="347"/>
      <c r="AV158" s="347"/>
      <c r="AW158" s="347"/>
      <c r="AX158" s="347">
        <v>88</v>
      </c>
      <c r="AY158" s="347">
        <v>260</v>
      </c>
      <c r="AZ158" s="348">
        <f t="shared" ref="AZ158:AZ173" si="33">SUM(AT158:AY158)</f>
        <v>348</v>
      </c>
      <c r="BA158" s="347"/>
      <c r="BB158" s="347"/>
      <c r="BC158" s="347"/>
      <c r="BD158" s="347">
        <v>200</v>
      </c>
      <c r="BE158" s="348">
        <f t="shared" ref="BE158:BE173" si="34">SUM(BA158:BD158)</f>
        <v>200</v>
      </c>
      <c r="BF158" s="347"/>
      <c r="BG158" s="348">
        <f t="shared" ref="BG158:BG173" si="35">SUM(BF158:BF158)</f>
        <v>0</v>
      </c>
      <c r="BH158" s="356">
        <v>1540</v>
      </c>
    </row>
    <row r="159" spans="1:60" ht="17.45" customHeight="1">
      <c r="A159" s="357"/>
      <c r="B159" s="357"/>
      <c r="C159" s="357"/>
      <c r="D159" s="347" t="s">
        <v>1129</v>
      </c>
      <c r="E159" s="347" t="s">
        <v>1130</v>
      </c>
      <c r="F159" s="355"/>
      <c r="G159" s="347"/>
      <c r="H159" s="347"/>
      <c r="I159" s="347">
        <v>50</v>
      </c>
      <c r="J159" s="347">
        <v>19</v>
      </c>
      <c r="K159" s="347"/>
      <c r="L159" s="348">
        <f t="shared" si="27"/>
        <v>69</v>
      </c>
      <c r="M159" s="347"/>
      <c r="N159" s="347"/>
      <c r="O159" s="347"/>
      <c r="P159" s="347"/>
      <c r="Q159" s="347"/>
      <c r="R159" s="348">
        <f t="shared" si="28"/>
        <v>0</v>
      </c>
      <c r="S159" s="347"/>
      <c r="T159" s="347"/>
      <c r="U159" s="347"/>
      <c r="V159" s="347"/>
      <c r="W159" s="347"/>
      <c r="X159" s="348">
        <f t="shared" si="29"/>
        <v>0</v>
      </c>
      <c r="Y159" s="347"/>
      <c r="Z159" s="347"/>
      <c r="AA159" s="347"/>
      <c r="AB159" s="347">
        <v>22</v>
      </c>
      <c r="AC159" s="347"/>
      <c r="AD159" s="347"/>
      <c r="AE159" s="348">
        <f t="shared" si="30"/>
        <v>22</v>
      </c>
      <c r="AF159" s="347"/>
      <c r="AG159" s="347"/>
      <c r="AH159" s="347"/>
      <c r="AI159" s="347"/>
      <c r="AJ159" s="347"/>
      <c r="AK159" s="347"/>
      <c r="AL159" s="348">
        <f t="shared" si="31"/>
        <v>0</v>
      </c>
      <c r="AM159" s="347"/>
      <c r="AN159" s="347"/>
      <c r="AO159" s="347"/>
      <c r="AP159" s="347"/>
      <c r="AQ159" s="347"/>
      <c r="AR159" s="347"/>
      <c r="AS159" s="348">
        <f t="shared" si="32"/>
        <v>0</v>
      </c>
      <c r="AT159" s="347"/>
      <c r="AU159" s="347"/>
      <c r="AV159" s="347"/>
      <c r="AW159" s="347"/>
      <c r="AX159" s="347"/>
      <c r="AY159" s="347"/>
      <c r="AZ159" s="348">
        <f t="shared" si="33"/>
        <v>0</v>
      </c>
      <c r="BA159" s="347"/>
      <c r="BB159" s="347"/>
      <c r="BC159" s="347"/>
      <c r="BD159" s="347"/>
      <c r="BE159" s="348">
        <f t="shared" si="34"/>
        <v>0</v>
      </c>
      <c r="BF159" s="347"/>
      <c r="BG159" s="348">
        <f t="shared" si="35"/>
        <v>0</v>
      </c>
      <c r="BH159" s="356">
        <v>91</v>
      </c>
    </row>
    <row r="160" spans="1:60" ht="17.45" customHeight="1">
      <c r="A160" s="357"/>
      <c r="B160" s="357"/>
      <c r="C160" s="357"/>
      <c r="D160" s="347" t="s">
        <v>1182</v>
      </c>
      <c r="E160" s="347" t="s">
        <v>1204</v>
      </c>
      <c r="F160" s="355"/>
      <c r="G160" s="347"/>
      <c r="H160" s="347"/>
      <c r="I160" s="347"/>
      <c r="J160" s="347"/>
      <c r="K160" s="347"/>
      <c r="L160" s="348">
        <f t="shared" si="27"/>
        <v>0</v>
      </c>
      <c r="M160" s="347"/>
      <c r="N160" s="347"/>
      <c r="O160" s="347"/>
      <c r="P160" s="347"/>
      <c r="Q160" s="347"/>
      <c r="R160" s="348">
        <f t="shared" si="28"/>
        <v>0</v>
      </c>
      <c r="S160" s="347"/>
      <c r="T160" s="347"/>
      <c r="U160" s="347"/>
      <c r="V160" s="347"/>
      <c r="W160" s="347"/>
      <c r="X160" s="348">
        <f t="shared" si="29"/>
        <v>0</v>
      </c>
      <c r="Y160" s="347"/>
      <c r="Z160" s="347"/>
      <c r="AA160" s="347">
        <v>50</v>
      </c>
      <c r="AB160" s="347">
        <v>54</v>
      </c>
      <c r="AC160" s="347"/>
      <c r="AD160" s="347"/>
      <c r="AE160" s="348">
        <f t="shared" si="30"/>
        <v>104</v>
      </c>
      <c r="AF160" s="347"/>
      <c r="AG160" s="347"/>
      <c r="AH160" s="347"/>
      <c r="AI160" s="347"/>
      <c r="AJ160" s="347"/>
      <c r="AK160" s="347"/>
      <c r="AL160" s="348">
        <f t="shared" si="31"/>
        <v>0</v>
      </c>
      <c r="AM160" s="347"/>
      <c r="AN160" s="347"/>
      <c r="AO160" s="347"/>
      <c r="AP160" s="347"/>
      <c r="AQ160" s="347"/>
      <c r="AR160" s="347"/>
      <c r="AS160" s="348">
        <f t="shared" si="32"/>
        <v>0</v>
      </c>
      <c r="AT160" s="347"/>
      <c r="AU160" s="347"/>
      <c r="AV160" s="347"/>
      <c r="AW160" s="347"/>
      <c r="AX160" s="347"/>
      <c r="AY160" s="347"/>
      <c r="AZ160" s="348">
        <f t="shared" si="33"/>
        <v>0</v>
      </c>
      <c r="BA160" s="347"/>
      <c r="BB160" s="347"/>
      <c r="BC160" s="347"/>
      <c r="BD160" s="347"/>
      <c r="BE160" s="348">
        <f t="shared" si="34"/>
        <v>0</v>
      </c>
      <c r="BF160" s="347"/>
      <c r="BG160" s="348">
        <f t="shared" si="35"/>
        <v>0</v>
      </c>
      <c r="BH160" s="356">
        <v>104</v>
      </c>
    </row>
    <row r="161" spans="1:60" ht="17.45" customHeight="1">
      <c r="A161" s="357"/>
      <c r="B161" s="357"/>
      <c r="C161" s="357"/>
      <c r="D161" s="347" t="s">
        <v>1180</v>
      </c>
      <c r="E161" s="347" t="s">
        <v>1202</v>
      </c>
      <c r="F161" s="355">
        <v>80</v>
      </c>
      <c r="G161" s="347">
        <v>80</v>
      </c>
      <c r="H161" s="347">
        <v>80</v>
      </c>
      <c r="I161" s="347">
        <v>63</v>
      </c>
      <c r="J161" s="347"/>
      <c r="K161" s="347"/>
      <c r="L161" s="348">
        <f t="shared" si="27"/>
        <v>303</v>
      </c>
      <c r="M161" s="347">
        <v>86</v>
      </c>
      <c r="N161" s="347">
        <v>164</v>
      </c>
      <c r="O161" s="347">
        <v>86</v>
      </c>
      <c r="P161" s="347"/>
      <c r="Q161" s="347"/>
      <c r="R161" s="348">
        <f t="shared" si="28"/>
        <v>336</v>
      </c>
      <c r="S161" s="347"/>
      <c r="T161" s="347"/>
      <c r="U161" s="347"/>
      <c r="V161" s="347"/>
      <c r="W161" s="347"/>
      <c r="X161" s="348">
        <f t="shared" si="29"/>
        <v>0</v>
      </c>
      <c r="Y161" s="347"/>
      <c r="Z161" s="347"/>
      <c r="AA161" s="347"/>
      <c r="AB161" s="347"/>
      <c r="AC161" s="347"/>
      <c r="AD161" s="347"/>
      <c r="AE161" s="348">
        <f t="shared" si="30"/>
        <v>0</v>
      </c>
      <c r="AF161" s="347">
        <v>85</v>
      </c>
      <c r="AG161" s="347">
        <v>85</v>
      </c>
      <c r="AH161" s="347">
        <v>85</v>
      </c>
      <c r="AI161" s="347">
        <v>85</v>
      </c>
      <c r="AJ161" s="347">
        <v>118</v>
      </c>
      <c r="AK161" s="347">
        <v>42</v>
      </c>
      <c r="AL161" s="348">
        <f t="shared" si="31"/>
        <v>500</v>
      </c>
      <c r="AM161" s="347"/>
      <c r="AN161" s="347"/>
      <c r="AO161" s="347">
        <v>11</v>
      </c>
      <c r="AP161" s="347"/>
      <c r="AQ161" s="347"/>
      <c r="AR161" s="347"/>
      <c r="AS161" s="348">
        <f t="shared" si="32"/>
        <v>11</v>
      </c>
      <c r="AT161" s="347"/>
      <c r="AU161" s="347"/>
      <c r="AV161" s="347"/>
      <c r="AW161" s="347"/>
      <c r="AX161" s="347"/>
      <c r="AY161" s="347"/>
      <c r="AZ161" s="348">
        <f t="shared" si="33"/>
        <v>0</v>
      </c>
      <c r="BA161" s="347"/>
      <c r="BB161" s="347"/>
      <c r="BC161" s="347"/>
      <c r="BD161" s="347"/>
      <c r="BE161" s="348">
        <f t="shared" si="34"/>
        <v>0</v>
      </c>
      <c r="BF161" s="347"/>
      <c r="BG161" s="348">
        <f t="shared" si="35"/>
        <v>0</v>
      </c>
      <c r="BH161" s="356">
        <v>1150</v>
      </c>
    </row>
    <row r="162" spans="1:60" ht="17.45" customHeight="1">
      <c r="A162" s="357"/>
      <c r="B162" s="357"/>
      <c r="C162" s="357"/>
      <c r="D162" s="347" t="s">
        <v>1131</v>
      </c>
      <c r="E162" s="347" t="s">
        <v>1132</v>
      </c>
      <c r="F162" s="355">
        <v>87</v>
      </c>
      <c r="G162" s="347">
        <v>131</v>
      </c>
      <c r="H162" s="347">
        <v>107</v>
      </c>
      <c r="I162" s="347">
        <v>111</v>
      </c>
      <c r="J162" s="347">
        <v>171</v>
      </c>
      <c r="K162" s="347">
        <v>170</v>
      </c>
      <c r="L162" s="348">
        <f t="shared" si="27"/>
        <v>777</v>
      </c>
      <c r="M162" s="347"/>
      <c r="N162" s="347"/>
      <c r="O162" s="347"/>
      <c r="P162" s="347">
        <v>102</v>
      </c>
      <c r="Q162" s="347">
        <v>170</v>
      </c>
      <c r="R162" s="348">
        <f t="shared" si="28"/>
        <v>272</v>
      </c>
      <c r="S162" s="347">
        <v>103</v>
      </c>
      <c r="T162" s="347">
        <v>111</v>
      </c>
      <c r="U162" s="347">
        <v>111</v>
      </c>
      <c r="V162" s="347">
        <v>111</v>
      </c>
      <c r="W162" s="347">
        <v>111</v>
      </c>
      <c r="X162" s="348">
        <f t="shared" si="29"/>
        <v>547</v>
      </c>
      <c r="Y162" s="347">
        <v>145</v>
      </c>
      <c r="Z162" s="347">
        <v>109</v>
      </c>
      <c r="AA162" s="347">
        <v>233</v>
      </c>
      <c r="AB162" s="347">
        <v>165</v>
      </c>
      <c r="AC162" s="347">
        <v>245</v>
      </c>
      <c r="AD162" s="347">
        <v>164</v>
      </c>
      <c r="AE162" s="348">
        <f t="shared" si="30"/>
        <v>1061</v>
      </c>
      <c r="AF162" s="347"/>
      <c r="AG162" s="347"/>
      <c r="AH162" s="347"/>
      <c r="AI162" s="347">
        <v>100</v>
      </c>
      <c r="AJ162" s="347">
        <v>129</v>
      </c>
      <c r="AK162" s="347">
        <v>183</v>
      </c>
      <c r="AL162" s="348">
        <f t="shared" si="31"/>
        <v>412</v>
      </c>
      <c r="AM162" s="347">
        <v>67</v>
      </c>
      <c r="AN162" s="347">
        <v>71</v>
      </c>
      <c r="AO162" s="347">
        <v>75</v>
      </c>
      <c r="AP162" s="347">
        <v>112</v>
      </c>
      <c r="AQ162" s="347">
        <v>140</v>
      </c>
      <c r="AR162" s="347">
        <v>130</v>
      </c>
      <c r="AS162" s="348">
        <f t="shared" si="32"/>
        <v>595</v>
      </c>
      <c r="AT162" s="347"/>
      <c r="AU162" s="347"/>
      <c r="AV162" s="347"/>
      <c r="AW162" s="347"/>
      <c r="AX162" s="347"/>
      <c r="AY162" s="347"/>
      <c r="AZ162" s="348">
        <f t="shared" si="33"/>
        <v>0</v>
      </c>
      <c r="BA162" s="347"/>
      <c r="BB162" s="347"/>
      <c r="BC162" s="347"/>
      <c r="BD162" s="347"/>
      <c r="BE162" s="348">
        <f t="shared" si="34"/>
        <v>0</v>
      </c>
      <c r="BF162" s="347"/>
      <c r="BG162" s="348">
        <f t="shared" si="35"/>
        <v>0</v>
      </c>
      <c r="BH162" s="356">
        <v>3664</v>
      </c>
    </row>
    <row r="163" spans="1:60" ht="17.45" customHeight="1">
      <c r="A163" s="357"/>
      <c r="B163" s="357"/>
      <c r="C163" s="357"/>
      <c r="D163" s="347" t="s">
        <v>1133</v>
      </c>
      <c r="E163" s="347" t="s">
        <v>1134</v>
      </c>
      <c r="F163" s="355"/>
      <c r="G163" s="347">
        <v>105</v>
      </c>
      <c r="H163" s="347"/>
      <c r="I163" s="347"/>
      <c r="J163" s="347"/>
      <c r="K163" s="347"/>
      <c r="L163" s="348">
        <f t="shared" si="27"/>
        <v>105</v>
      </c>
      <c r="M163" s="347"/>
      <c r="N163" s="347"/>
      <c r="O163" s="347"/>
      <c r="P163" s="347"/>
      <c r="Q163" s="347">
        <v>92</v>
      </c>
      <c r="R163" s="348">
        <f t="shared" si="28"/>
        <v>92</v>
      </c>
      <c r="S163" s="347">
        <v>32</v>
      </c>
      <c r="T163" s="347">
        <v>120</v>
      </c>
      <c r="U163" s="347"/>
      <c r="V163" s="347"/>
      <c r="W163" s="347"/>
      <c r="X163" s="348">
        <f t="shared" si="29"/>
        <v>152</v>
      </c>
      <c r="Y163" s="347"/>
      <c r="Z163" s="347"/>
      <c r="AA163" s="347"/>
      <c r="AB163" s="347"/>
      <c r="AC163" s="347"/>
      <c r="AD163" s="347"/>
      <c r="AE163" s="348">
        <f t="shared" si="30"/>
        <v>0</v>
      </c>
      <c r="AF163" s="347"/>
      <c r="AG163" s="347">
        <v>46</v>
      </c>
      <c r="AH163" s="347"/>
      <c r="AI163" s="347">
        <v>35</v>
      </c>
      <c r="AJ163" s="347"/>
      <c r="AK163" s="347"/>
      <c r="AL163" s="348">
        <f t="shared" si="31"/>
        <v>81</v>
      </c>
      <c r="AM163" s="347">
        <v>55</v>
      </c>
      <c r="AN163" s="347">
        <v>93</v>
      </c>
      <c r="AO163" s="347"/>
      <c r="AP163" s="347"/>
      <c r="AQ163" s="347"/>
      <c r="AR163" s="347"/>
      <c r="AS163" s="348">
        <f t="shared" si="32"/>
        <v>148</v>
      </c>
      <c r="AT163" s="347"/>
      <c r="AU163" s="347"/>
      <c r="AV163" s="347"/>
      <c r="AW163" s="347"/>
      <c r="AX163" s="347"/>
      <c r="AY163" s="347"/>
      <c r="AZ163" s="348">
        <f t="shared" si="33"/>
        <v>0</v>
      </c>
      <c r="BA163" s="347"/>
      <c r="BB163" s="347"/>
      <c r="BC163" s="347"/>
      <c r="BD163" s="347"/>
      <c r="BE163" s="348">
        <f t="shared" si="34"/>
        <v>0</v>
      </c>
      <c r="BF163" s="347"/>
      <c r="BG163" s="348">
        <f t="shared" si="35"/>
        <v>0</v>
      </c>
      <c r="BH163" s="356">
        <v>578</v>
      </c>
    </row>
    <row r="164" spans="1:60" ht="17.45" customHeight="1">
      <c r="A164" s="357"/>
      <c r="B164" s="357"/>
      <c r="C164" s="357"/>
      <c r="D164" s="347" t="s">
        <v>1135</v>
      </c>
      <c r="E164" s="347" t="s">
        <v>1136</v>
      </c>
      <c r="F164" s="355"/>
      <c r="G164" s="347"/>
      <c r="H164" s="347"/>
      <c r="I164" s="347">
        <v>56</v>
      </c>
      <c r="J164" s="347">
        <v>26</v>
      </c>
      <c r="K164" s="347">
        <v>54</v>
      </c>
      <c r="L164" s="348">
        <f t="shared" si="27"/>
        <v>136</v>
      </c>
      <c r="M164" s="347"/>
      <c r="N164" s="347"/>
      <c r="O164" s="347"/>
      <c r="P164" s="347">
        <v>118</v>
      </c>
      <c r="Q164" s="347"/>
      <c r="R164" s="348">
        <f t="shared" si="28"/>
        <v>118</v>
      </c>
      <c r="S164" s="347">
        <v>88</v>
      </c>
      <c r="T164" s="347"/>
      <c r="U164" s="347"/>
      <c r="V164" s="347"/>
      <c r="W164" s="347"/>
      <c r="X164" s="348">
        <f t="shared" si="29"/>
        <v>88</v>
      </c>
      <c r="Y164" s="347"/>
      <c r="Z164" s="347"/>
      <c r="AA164" s="347"/>
      <c r="AB164" s="347"/>
      <c r="AC164" s="347"/>
      <c r="AD164" s="347"/>
      <c r="AE164" s="348">
        <f t="shared" si="30"/>
        <v>0</v>
      </c>
      <c r="AF164" s="347"/>
      <c r="AG164" s="347"/>
      <c r="AH164" s="347">
        <v>43</v>
      </c>
      <c r="AI164" s="347">
        <v>47</v>
      </c>
      <c r="AJ164" s="347"/>
      <c r="AK164" s="347">
        <v>27</v>
      </c>
      <c r="AL164" s="348">
        <f t="shared" si="31"/>
        <v>117</v>
      </c>
      <c r="AM164" s="347"/>
      <c r="AN164" s="347"/>
      <c r="AO164" s="347"/>
      <c r="AP164" s="347">
        <v>81</v>
      </c>
      <c r="AQ164" s="347"/>
      <c r="AR164" s="347"/>
      <c r="AS164" s="348">
        <f t="shared" si="32"/>
        <v>81</v>
      </c>
      <c r="AT164" s="347"/>
      <c r="AU164" s="347"/>
      <c r="AV164" s="347"/>
      <c r="AW164" s="347"/>
      <c r="AX164" s="347"/>
      <c r="AY164" s="347"/>
      <c r="AZ164" s="348">
        <f t="shared" si="33"/>
        <v>0</v>
      </c>
      <c r="BA164" s="347"/>
      <c r="BB164" s="347"/>
      <c r="BC164" s="347"/>
      <c r="BD164" s="347"/>
      <c r="BE164" s="348">
        <f t="shared" si="34"/>
        <v>0</v>
      </c>
      <c r="BF164" s="347"/>
      <c r="BG164" s="348">
        <f t="shared" si="35"/>
        <v>0</v>
      </c>
      <c r="BH164" s="356">
        <v>540</v>
      </c>
    </row>
    <row r="165" spans="1:60" ht="17.45" customHeight="1">
      <c r="A165" s="357"/>
      <c r="B165" s="357"/>
      <c r="C165" s="357"/>
      <c r="D165" s="347" t="s">
        <v>1190</v>
      </c>
      <c r="E165" s="347" t="s">
        <v>1212</v>
      </c>
      <c r="F165" s="355"/>
      <c r="G165" s="347"/>
      <c r="H165" s="347"/>
      <c r="I165" s="347"/>
      <c r="J165" s="347"/>
      <c r="K165" s="347"/>
      <c r="L165" s="348">
        <f t="shared" si="27"/>
        <v>0</v>
      </c>
      <c r="M165" s="347"/>
      <c r="N165" s="347"/>
      <c r="O165" s="347"/>
      <c r="P165" s="347"/>
      <c r="Q165" s="347"/>
      <c r="R165" s="348">
        <f t="shared" si="28"/>
        <v>0</v>
      </c>
      <c r="S165" s="347"/>
      <c r="T165" s="347">
        <v>42</v>
      </c>
      <c r="U165" s="347"/>
      <c r="V165" s="347"/>
      <c r="W165" s="347"/>
      <c r="X165" s="348">
        <f t="shared" si="29"/>
        <v>42</v>
      </c>
      <c r="Y165" s="347"/>
      <c r="Z165" s="347">
        <v>4</v>
      </c>
      <c r="AA165" s="347"/>
      <c r="AB165" s="347"/>
      <c r="AC165" s="347"/>
      <c r="AD165" s="347"/>
      <c r="AE165" s="348">
        <f t="shared" si="30"/>
        <v>4</v>
      </c>
      <c r="AF165" s="347"/>
      <c r="AG165" s="347">
        <v>76</v>
      </c>
      <c r="AH165" s="347"/>
      <c r="AI165" s="347"/>
      <c r="AJ165" s="347"/>
      <c r="AK165" s="347"/>
      <c r="AL165" s="348">
        <f t="shared" si="31"/>
        <v>76</v>
      </c>
      <c r="AM165" s="347">
        <v>100</v>
      </c>
      <c r="AN165" s="347">
        <v>63</v>
      </c>
      <c r="AO165" s="347"/>
      <c r="AP165" s="347"/>
      <c r="AQ165" s="347"/>
      <c r="AR165" s="347"/>
      <c r="AS165" s="348">
        <f t="shared" si="32"/>
        <v>163</v>
      </c>
      <c r="AT165" s="347"/>
      <c r="AU165" s="347"/>
      <c r="AV165" s="347"/>
      <c r="AW165" s="347"/>
      <c r="AX165" s="347"/>
      <c r="AY165" s="347"/>
      <c r="AZ165" s="348">
        <f t="shared" si="33"/>
        <v>0</v>
      </c>
      <c r="BA165" s="347"/>
      <c r="BB165" s="347"/>
      <c r="BC165" s="347"/>
      <c r="BD165" s="347"/>
      <c r="BE165" s="348">
        <f t="shared" si="34"/>
        <v>0</v>
      </c>
      <c r="BF165" s="347"/>
      <c r="BG165" s="348">
        <f t="shared" si="35"/>
        <v>0</v>
      </c>
      <c r="BH165" s="356">
        <v>285</v>
      </c>
    </row>
    <row r="166" spans="1:60" ht="17.45" customHeight="1">
      <c r="A166" s="357"/>
      <c r="B166" s="357"/>
      <c r="C166" s="357"/>
      <c r="D166" s="347" t="s">
        <v>1184</v>
      </c>
      <c r="E166" s="347" t="s">
        <v>1206</v>
      </c>
      <c r="F166" s="355">
        <v>33</v>
      </c>
      <c r="G166" s="347"/>
      <c r="H166" s="347"/>
      <c r="I166" s="347"/>
      <c r="J166" s="347"/>
      <c r="K166" s="347"/>
      <c r="L166" s="348">
        <f t="shared" si="27"/>
        <v>33</v>
      </c>
      <c r="M166" s="347">
        <v>86</v>
      </c>
      <c r="N166" s="347"/>
      <c r="O166" s="347">
        <v>86</v>
      </c>
      <c r="P166" s="347"/>
      <c r="Q166" s="347"/>
      <c r="R166" s="348">
        <f t="shared" si="28"/>
        <v>172</v>
      </c>
      <c r="S166" s="347"/>
      <c r="T166" s="347"/>
      <c r="U166" s="347"/>
      <c r="V166" s="347"/>
      <c r="W166" s="347"/>
      <c r="X166" s="348">
        <f t="shared" si="29"/>
        <v>0</v>
      </c>
      <c r="Y166" s="347"/>
      <c r="Z166" s="347"/>
      <c r="AA166" s="347"/>
      <c r="AB166" s="347"/>
      <c r="AC166" s="347"/>
      <c r="AD166" s="347"/>
      <c r="AE166" s="348">
        <f t="shared" si="30"/>
        <v>0</v>
      </c>
      <c r="AF166" s="347"/>
      <c r="AG166" s="347"/>
      <c r="AH166" s="347">
        <v>76</v>
      </c>
      <c r="AI166" s="347">
        <v>53</v>
      </c>
      <c r="AJ166" s="347">
        <v>13</v>
      </c>
      <c r="AK166" s="347">
        <v>41</v>
      </c>
      <c r="AL166" s="348">
        <f t="shared" si="31"/>
        <v>183</v>
      </c>
      <c r="AM166" s="347">
        <v>5</v>
      </c>
      <c r="AN166" s="347"/>
      <c r="AO166" s="347"/>
      <c r="AP166" s="347"/>
      <c r="AQ166" s="347"/>
      <c r="AR166" s="347"/>
      <c r="AS166" s="348">
        <f t="shared" si="32"/>
        <v>5</v>
      </c>
      <c r="AT166" s="347"/>
      <c r="AU166" s="347"/>
      <c r="AV166" s="347"/>
      <c r="AW166" s="347"/>
      <c r="AX166" s="347"/>
      <c r="AY166" s="347"/>
      <c r="AZ166" s="348">
        <f t="shared" si="33"/>
        <v>0</v>
      </c>
      <c r="BA166" s="347"/>
      <c r="BB166" s="347"/>
      <c r="BC166" s="347"/>
      <c r="BD166" s="347"/>
      <c r="BE166" s="348">
        <f t="shared" si="34"/>
        <v>0</v>
      </c>
      <c r="BF166" s="347"/>
      <c r="BG166" s="348">
        <f t="shared" si="35"/>
        <v>0</v>
      </c>
      <c r="BH166" s="356">
        <v>393</v>
      </c>
    </row>
    <row r="167" spans="1:60" ht="17.45" customHeight="1">
      <c r="A167" s="357"/>
      <c r="B167" s="357"/>
      <c r="C167" s="358"/>
      <c r="D167" s="347" t="s">
        <v>1181</v>
      </c>
      <c r="E167" s="347" t="s">
        <v>1203</v>
      </c>
      <c r="F167" s="355"/>
      <c r="G167" s="347"/>
      <c r="H167" s="347"/>
      <c r="I167" s="347"/>
      <c r="J167" s="347"/>
      <c r="K167" s="347"/>
      <c r="L167" s="348">
        <f t="shared" si="27"/>
        <v>0</v>
      </c>
      <c r="M167" s="347"/>
      <c r="N167" s="347"/>
      <c r="O167" s="347">
        <v>13</v>
      </c>
      <c r="P167" s="347"/>
      <c r="Q167" s="347"/>
      <c r="R167" s="348">
        <f t="shared" si="28"/>
        <v>13</v>
      </c>
      <c r="S167" s="347"/>
      <c r="T167" s="347"/>
      <c r="U167" s="347"/>
      <c r="V167" s="347"/>
      <c r="W167" s="347"/>
      <c r="X167" s="348">
        <f t="shared" si="29"/>
        <v>0</v>
      </c>
      <c r="Y167" s="347"/>
      <c r="Z167" s="347"/>
      <c r="AA167" s="347"/>
      <c r="AB167" s="347"/>
      <c r="AC167" s="347"/>
      <c r="AD167" s="347"/>
      <c r="AE167" s="348">
        <f t="shared" si="30"/>
        <v>0</v>
      </c>
      <c r="AF167" s="347"/>
      <c r="AG167" s="347"/>
      <c r="AH167" s="347"/>
      <c r="AI167" s="347"/>
      <c r="AJ167" s="347"/>
      <c r="AK167" s="347"/>
      <c r="AL167" s="348">
        <f t="shared" si="31"/>
        <v>0</v>
      </c>
      <c r="AM167" s="347"/>
      <c r="AN167" s="347"/>
      <c r="AO167" s="347"/>
      <c r="AP167" s="347"/>
      <c r="AQ167" s="347"/>
      <c r="AR167" s="347"/>
      <c r="AS167" s="348">
        <f t="shared" si="32"/>
        <v>0</v>
      </c>
      <c r="AT167" s="347"/>
      <c r="AU167" s="347"/>
      <c r="AV167" s="347"/>
      <c r="AW167" s="347"/>
      <c r="AX167" s="347"/>
      <c r="AY167" s="347"/>
      <c r="AZ167" s="348">
        <f t="shared" si="33"/>
        <v>0</v>
      </c>
      <c r="BA167" s="347"/>
      <c r="BB167" s="347"/>
      <c r="BC167" s="347"/>
      <c r="BD167" s="347"/>
      <c r="BE167" s="348">
        <f t="shared" si="34"/>
        <v>0</v>
      </c>
      <c r="BF167" s="347"/>
      <c r="BG167" s="348">
        <f t="shared" si="35"/>
        <v>0</v>
      </c>
      <c r="BH167" s="356">
        <v>13</v>
      </c>
    </row>
    <row r="168" spans="1:60" ht="17.45" customHeight="1">
      <c r="A168" s="357"/>
      <c r="B168" s="358"/>
      <c r="C168" s="359" t="s">
        <v>1833</v>
      </c>
      <c r="D168" s="360"/>
      <c r="E168" s="361"/>
      <c r="F168" s="362">
        <v>256</v>
      </c>
      <c r="G168" s="363">
        <v>336</v>
      </c>
      <c r="H168" s="363">
        <v>336</v>
      </c>
      <c r="I168" s="363">
        <v>320</v>
      </c>
      <c r="J168" s="363">
        <v>260</v>
      </c>
      <c r="K168" s="363">
        <v>320</v>
      </c>
      <c r="L168" s="348">
        <f t="shared" si="27"/>
        <v>1828</v>
      </c>
      <c r="M168" s="363">
        <v>256</v>
      </c>
      <c r="N168" s="363">
        <v>328</v>
      </c>
      <c r="O168" s="363">
        <v>336</v>
      </c>
      <c r="P168" s="363">
        <v>320</v>
      </c>
      <c r="Q168" s="363">
        <v>320</v>
      </c>
      <c r="R168" s="348">
        <f t="shared" si="28"/>
        <v>1560</v>
      </c>
      <c r="S168" s="363">
        <v>316</v>
      </c>
      <c r="T168" s="363">
        <v>336</v>
      </c>
      <c r="U168" s="363">
        <v>336</v>
      </c>
      <c r="V168" s="363">
        <v>260</v>
      </c>
      <c r="W168" s="363">
        <v>336</v>
      </c>
      <c r="X168" s="348">
        <f t="shared" si="29"/>
        <v>1584</v>
      </c>
      <c r="Y168" s="363">
        <v>256</v>
      </c>
      <c r="Z168" s="363">
        <v>336</v>
      </c>
      <c r="AA168" s="363">
        <v>336</v>
      </c>
      <c r="AB168" s="363">
        <v>336</v>
      </c>
      <c r="AC168" s="363">
        <v>336</v>
      </c>
      <c r="AD168" s="363">
        <v>254</v>
      </c>
      <c r="AE168" s="348">
        <f t="shared" si="30"/>
        <v>1854</v>
      </c>
      <c r="AF168" s="363">
        <v>316</v>
      </c>
      <c r="AG168" s="363">
        <v>336</v>
      </c>
      <c r="AH168" s="363">
        <v>336</v>
      </c>
      <c r="AI168" s="363">
        <v>320</v>
      </c>
      <c r="AJ168" s="363">
        <v>260</v>
      </c>
      <c r="AK168" s="363">
        <v>320</v>
      </c>
      <c r="AL168" s="348">
        <f t="shared" si="31"/>
        <v>1888</v>
      </c>
      <c r="AM168" s="363">
        <v>332</v>
      </c>
      <c r="AN168" s="363">
        <v>336</v>
      </c>
      <c r="AO168" s="363">
        <v>260</v>
      </c>
      <c r="AP168" s="363">
        <v>328</v>
      </c>
      <c r="AQ168" s="363">
        <v>260</v>
      </c>
      <c r="AR168" s="363">
        <v>130</v>
      </c>
      <c r="AS168" s="348">
        <f t="shared" si="32"/>
        <v>1646</v>
      </c>
      <c r="AT168" s="363">
        <v>252</v>
      </c>
      <c r="AU168" s="363">
        <v>336</v>
      </c>
      <c r="AV168" s="363">
        <v>336</v>
      </c>
      <c r="AW168" s="363">
        <v>336</v>
      </c>
      <c r="AX168" s="363">
        <v>336</v>
      </c>
      <c r="AY168" s="363">
        <v>260</v>
      </c>
      <c r="AZ168" s="348">
        <f t="shared" si="33"/>
        <v>1856</v>
      </c>
      <c r="BA168" s="363">
        <v>256</v>
      </c>
      <c r="BB168" s="363">
        <v>320</v>
      </c>
      <c r="BC168" s="363">
        <v>320</v>
      </c>
      <c r="BD168" s="363">
        <v>260</v>
      </c>
      <c r="BE168" s="348">
        <f t="shared" si="34"/>
        <v>1156</v>
      </c>
      <c r="BF168" s="363">
        <v>192</v>
      </c>
      <c r="BG168" s="348">
        <f t="shared" si="35"/>
        <v>192</v>
      </c>
      <c r="BH168" s="356">
        <v>13564</v>
      </c>
    </row>
    <row r="169" spans="1:60" ht="17.45" customHeight="1">
      <c r="A169" s="357"/>
      <c r="B169" s="354" t="s">
        <v>1800</v>
      </c>
      <c r="C169" s="354" t="s">
        <v>1237</v>
      </c>
      <c r="D169" s="347" t="s">
        <v>1238</v>
      </c>
      <c r="E169" s="347" t="s">
        <v>1801</v>
      </c>
      <c r="F169" s="355">
        <v>864</v>
      </c>
      <c r="G169" s="347">
        <v>864</v>
      </c>
      <c r="H169" s="347">
        <v>288</v>
      </c>
      <c r="I169" s="347"/>
      <c r="J169" s="347"/>
      <c r="K169" s="347">
        <v>864</v>
      </c>
      <c r="L169" s="348">
        <f t="shared" si="27"/>
        <v>2880</v>
      </c>
      <c r="M169" s="347">
        <v>864</v>
      </c>
      <c r="N169" s="347">
        <v>1080</v>
      </c>
      <c r="O169" s="347">
        <v>1080</v>
      </c>
      <c r="P169" s="347">
        <v>864</v>
      </c>
      <c r="Q169" s="347">
        <v>72</v>
      </c>
      <c r="R169" s="348">
        <f t="shared" si="28"/>
        <v>3960</v>
      </c>
      <c r="S169" s="347">
        <v>1080</v>
      </c>
      <c r="T169" s="347">
        <v>1080</v>
      </c>
      <c r="U169" s="347">
        <v>72</v>
      </c>
      <c r="V169" s="347"/>
      <c r="W169" s="347">
        <v>1080</v>
      </c>
      <c r="X169" s="348">
        <f t="shared" si="29"/>
        <v>3312</v>
      </c>
      <c r="Y169" s="347">
        <v>864</v>
      </c>
      <c r="Z169" s="347">
        <v>1080</v>
      </c>
      <c r="AA169" s="347">
        <v>1008</v>
      </c>
      <c r="AB169" s="347"/>
      <c r="AC169" s="347"/>
      <c r="AD169" s="347"/>
      <c r="AE169" s="348">
        <f t="shared" si="30"/>
        <v>2952</v>
      </c>
      <c r="AF169" s="347">
        <v>1152</v>
      </c>
      <c r="AG169" s="347">
        <v>1368</v>
      </c>
      <c r="AH169" s="347">
        <v>576</v>
      </c>
      <c r="AI169" s="347"/>
      <c r="AJ169" s="347"/>
      <c r="AK169" s="347"/>
      <c r="AL169" s="348">
        <f t="shared" si="31"/>
        <v>3096</v>
      </c>
      <c r="AM169" s="347"/>
      <c r="AN169" s="347"/>
      <c r="AO169" s="347"/>
      <c r="AP169" s="347"/>
      <c r="AQ169" s="347"/>
      <c r="AR169" s="347"/>
      <c r="AS169" s="348">
        <f t="shared" si="32"/>
        <v>0</v>
      </c>
      <c r="AT169" s="347">
        <v>1152</v>
      </c>
      <c r="AU169" s="347">
        <v>1368</v>
      </c>
      <c r="AV169" s="347">
        <v>1368</v>
      </c>
      <c r="AW169" s="347">
        <v>288</v>
      </c>
      <c r="AX169" s="347"/>
      <c r="AY169" s="347"/>
      <c r="AZ169" s="348">
        <f t="shared" si="33"/>
        <v>4176</v>
      </c>
      <c r="BA169" s="347">
        <v>1152</v>
      </c>
      <c r="BB169" s="347">
        <v>1368</v>
      </c>
      <c r="BC169" s="347">
        <v>792</v>
      </c>
      <c r="BD169" s="347"/>
      <c r="BE169" s="348">
        <f t="shared" si="34"/>
        <v>3312</v>
      </c>
      <c r="BF169" s="347">
        <v>864</v>
      </c>
      <c r="BG169" s="348">
        <f t="shared" si="35"/>
        <v>864</v>
      </c>
      <c r="BH169" s="356">
        <v>24552</v>
      </c>
    </row>
    <row r="170" spans="1:60" ht="17.45" customHeight="1">
      <c r="A170" s="357"/>
      <c r="B170" s="357"/>
      <c r="C170" s="357"/>
      <c r="D170" s="347" t="s">
        <v>1239</v>
      </c>
      <c r="E170" s="347" t="s">
        <v>1802</v>
      </c>
      <c r="F170" s="355"/>
      <c r="G170" s="347"/>
      <c r="H170" s="347">
        <v>72</v>
      </c>
      <c r="I170" s="347">
        <v>864</v>
      </c>
      <c r="J170" s="347">
        <v>864</v>
      </c>
      <c r="K170" s="347">
        <v>144</v>
      </c>
      <c r="L170" s="348">
        <f t="shared" si="27"/>
        <v>1944</v>
      </c>
      <c r="M170" s="347"/>
      <c r="N170" s="347"/>
      <c r="O170" s="347"/>
      <c r="P170" s="347"/>
      <c r="Q170" s="347">
        <v>792</v>
      </c>
      <c r="R170" s="348">
        <f t="shared" si="28"/>
        <v>792</v>
      </c>
      <c r="S170" s="347"/>
      <c r="T170" s="347"/>
      <c r="U170" s="347">
        <v>720</v>
      </c>
      <c r="V170" s="347">
        <v>864</v>
      </c>
      <c r="W170" s="347"/>
      <c r="X170" s="348">
        <f t="shared" si="29"/>
        <v>1584</v>
      </c>
      <c r="Y170" s="347"/>
      <c r="Z170" s="347"/>
      <c r="AA170" s="347"/>
      <c r="AB170" s="347">
        <v>360</v>
      </c>
      <c r="AC170" s="347">
        <v>864</v>
      </c>
      <c r="AD170" s="347">
        <v>864</v>
      </c>
      <c r="AE170" s="348">
        <f t="shared" si="30"/>
        <v>2088</v>
      </c>
      <c r="AF170" s="347"/>
      <c r="AG170" s="347"/>
      <c r="AH170" s="347">
        <v>792</v>
      </c>
      <c r="AI170" s="347">
        <v>1368</v>
      </c>
      <c r="AJ170" s="347">
        <v>1152</v>
      </c>
      <c r="AK170" s="347">
        <v>648</v>
      </c>
      <c r="AL170" s="348">
        <f t="shared" si="31"/>
        <v>3960</v>
      </c>
      <c r="AM170" s="347">
        <v>1152</v>
      </c>
      <c r="AN170" s="347">
        <v>1368</v>
      </c>
      <c r="AO170" s="347">
        <v>1152</v>
      </c>
      <c r="AP170" s="347">
        <v>1368</v>
      </c>
      <c r="AQ170" s="347">
        <v>1368</v>
      </c>
      <c r="AR170" s="347">
        <v>576</v>
      </c>
      <c r="AS170" s="348">
        <f t="shared" si="32"/>
        <v>6984</v>
      </c>
      <c r="AT170" s="347"/>
      <c r="AU170" s="347"/>
      <c r="AV170" s="347"/>
      <c r="AW170" s="347">
        <v>864</v>
      </c>
      <c r="AX170" s="347">
        <v>1152</v>
      </c>
      <c r="AY170" s="347">
        <v>1152</v>
      </c>
      <c r="AZ170" s="348">
        <f t="shared" si="33"/>
        <v>3168</v>
      </c>
      <c r="BA170" s="347"/>
      <c r="BB170" s="347"/>
      <c r="BC170" s="347">
        <v>216</v>
      </c>
      <c r="BD170" s="347">
        <v>1152</v>
      </c>
      <c r="BE170" s="348">
        <f t="shared" si="34"/>
        <v>1368</v>
      </c>
      <c r="BF170" s="347"/>
      <c r="BG170" s="348">
        <f t="shared" si="35"/>
        <v>0</v>
      </c>
      <c r="BH170" s="356">
        <v>21888</v>
      </c>
    </row>
    <row r="171" spans="1:60" ht="17.45" customHeight="1">
      <c r="A171" s="357"/>
      <c r="B171" s="357"/>
      <c r="C171" s="358"/>
      <c r="D171" s="347" t="s">
        <v>1240</v>
      </c>
      <c r="E171" s="347" t="s">
        <v>1803</v>
      </c>
      <c r="F171" s="355"/>
      <c r="G171" s="347"/>
      <c r="H171" s="347">
        <v>504</v>
      </c>
      <c r="I171" s="347"/>
      <c r="J171" s="347"/>
      <c r="K171" s="347"/>
      <c r="L171" s="348">
        <f t="shared" si="27"/>
        <v>504</v>
      </c>
      <c r="M171" s="347"/>
      <c r="N171" s="347"/>
      <c r="O171" s="347"/>
      <c r="P171" s="347"/>
      <c r="Q171" s="347"/>
      <c r="R171" s="348">
        <f t="shared" si="28"/>
        <v>0</v>
      </c>
      <c r="S171" s="347"/>
      <c r="T171" s="347"/>
      <c r="U171" s="347">
        <v>72</v>
      </c>
      <c r="V171" s="347"/>
      <c r="W171" s="347"/>
      <c r="X171" s="348">
        <f t="shared" si="29"/>
        <v>72</v>
      </c>
      <c r="Y171" s="347"/>
      <c r="Z171" s="347"/>
      <c r="AA171" s="347">
        <v>72</v>
      </c>
      <c r="AB171" s="347">
        <v>504</v>
      </c>
      <c r="AC171" s="347"/>
      <c r="AD171" s="347"/>
      <c r="AE171" s="348">
        <f t="shared" si="30"/>
        <v>576</v>
      </c>
      <c r="AF171" s="347"/>
      <c r="AG171" s="347"/>
      <c r="AH171" s="347"/>
      <c r="AI171" s="347"/>
      <c r="AJ171" s="347"/>
      <c r="AK171" s="347"/>
      <c r="AL171" s="348">
        <f t="shared" si="31"/>
        <v>0</v>
      </c>
      <c r="AM171" s="347"/>
      <c r="AN171" s="347"/>
      <c r="AO171" s="347"/>
      <c r="AP171" s="347"/>
      <c r="AQ171" s="347"/>
      <c r="AR171" s="347"/>
      <c r="AS171" s="348">
        <f t="shared" si="32"/>
        <v>0</v>
      </c>
      <c r="AT171" s="347"/>
      <c r="AU171" s="347"/>
      <c r="AV171" s="347"/>
      <c r="AW171" s="347">
        <v>216</v>
      </c>
      <c r="AX171" s="347"/>
      <c r="AY171" s="347"/>
      <c r="AZ171" s="348">
        <f t="shared" si="33"/>
        <v>216</v>
      </c>
      <c r="BA171" s="347"/>
      <c r="BB171" s="347"/>
      <c r="BC171" s="347">
        <v>360</v>
      </c>
      <c r="BD171" s="347"/>
      <c r="BE171" s="348">
        <f t="shared" si="34"/>
        <v>360</v>
      </c>
      <c r="BF171" s="347"/>
      <c r="BG171" s="348">
        <f t="shared" si="35"/>
        <v>0</v>
      </c>
      <c r="BH171" s="356">
        <v>1728</v>
      </c>
    </row>
    <row r="172" spans="1:60" ht="17.45" customHeight="1">
      <c r="A172" s="357"/>
      <c r="B172" s="357"/>
      <c r="C172" s="364" t="s">
        <v>1834</v>
      </c>
      <c r="D172" s="365"/>
      <c r="E172" s="366"/>
      <c r="F172" s="362">
        <v>864</v>
      </c>
      <c r="G172" s="363">
        <v>864</v>
      </c>
      <c r="H172" s="363">
        <v>864</v>
      </c>
      <c r="I172" s="363">
        <v>864</v>
      </c>
      <c r="J172" s="363">
        <v>864</v>
      </c>
      <c r="K172" s="363">
        <v>1008</v>
      </c>
      <c r="L172" s="348">
        <f t="shared" si="27"/>
        <v>5328</v>
      </c>
      <c r="M172" s="363">
        <v>864</v>
      </c>
      <c r="N172" s="363">
        <v>1080</v>
      </c>
      <c r="O172" s="363">
        <v>1080</v>
      </c>
      <c r="P172" s="363">
        <v>864</v>
      </c>
      <c r="Q172" s="363">
        <v>864</v>
      </c>
      <c r="R172" s="348">
        <f t="shared" si="28"/>
        <v>4752</v>
      </c>
      <c r="S172" s="363">
        <v>1080</v>
      </c>
      <c r="T172" s="363">
        <v>1080</v>
      </c>
      <c r="U172" s="363">
        <v>864</v>
      </c>
      <c r="V172" s="363">
        <v>864</v>
      </c>
      <c r="W172" s="363">
        <v>1080</v>
      </c>
      <c r="X172" s="348">
        <f t="shared" si="29"/>
        <v>4968</v>
      </c>
      <c r="Y172" s="363">
        <v>864</v>
      </c>
      <c r="Z172" s="363">
        <v>1080</v>
      </c>
      <c r="AA172" s="363">
        <v>1080</v>
      </c>
      <c r="AB172" s="363">
        <v>864</v>
      </c>
      <c r="AC172" s="363">
        <v>864</v>
      </c>
      <c r="AD172" s="363">
        <v>864</v>
      </c>
      <c r="AE172" s="348">
        <f t="shared" si="30"/>
        <v>5616</v>
      </c>
      <c r="AF172" s="363">
        <v>1152</v>
      </c>
      <c r="AG172" s="363">
        <v>1368</v>
      </c>
      <c r="AH172" s="363">
        <v>1368</v>
      </c>
      <c r="AI172" s="363">
        <v>1368</v>
      </c>
      <c r="AJ172" s="363">
        <v>1152</v>
      </c>
      <c r="AK172" s="363">
        <v>648</v>
      </c>
      <c r="AL172" s="348">
        <f t="shared" si="31"/>
        <v>7056</v>
      </c>
      <c r="AM172" s="363">
        <v>1152</v>
      </c>
      <c r="AN172" s="363">
        <v>1368</v>
      </c>
      <c r="AO172" s="363">
        <v>1152</v>
      </c>
      <c r="AP172" s="363">
        <v>1368</v>
      </c>
      <c r="AQ172" s="363">
        <v>1368</v>
      </c>
      <c r="AR172" s="363">
        <v>576</v>
      </c>
      <c r="AS172" s="348">
        <f t="shared" si="32"/>
        <v>6984</v>
      </c>
      <c r="AT172" s="363">
        <v>1152</v>
      </c>
      <c r="AU172" s="363">
        <v>1368</v>
      </c>
      <c r="AV172" s="363">
        <v>1368</v>
      </c>
      <c r="AW172" s="363">
        <v>1368</v>
      </c>
      <c r="AX172" s="363">
        <v>1152</v>
      </c>
      <c r="AY172" s="363">
        <v>1152</v>
      </c>
      <c r="AZ172" s="348">
        <f t="shared" si="33"/>
        <v>7560</v>
      </c>
      <c r="BA172" s="363">
        <v>1152</v>
      </c>
      <c r="BB172" s="363">
        <v>1368</v>
      </c>
      <c r="BC172" s="363">
        <v>1368</v>
      </c>
      <c r="BD172" s="363">
        <v>1152</v>
      </c>
      <c r="BE172" s="348">
        <f t="shared" si="34"/>
        <v>5040</v>
      </c>
      <c r="BF172" s="363">
        <v>864</v>
      </c>
      <c r="BG172" s="348">
        <f t="shared" si="35"/>
        <v>864</v>
      </c>
      <c r="BH172" s="356">
        <v>48168</v>
      </c>
    </row>
    <row r="173" spans="1:60" ht="17.45" customHeight="1">
      <c r="A173" s="367" t="s">
        <v>1835</v>
      </c>
      <c r="B173" s="368"/>
      <c r="C173" s="368"/>
      <c r="D173" s="368"/>
      <c r="E173" s="369"/>
      <c r="F173" s="370">
        <v>2427</v>
      </c>
      <c r="G173" s="371">
        <v>2607</v>
      </c>
      <c r="H173" s="371">
        <v>2665</v>
      </c>
      <c r="I173" s="371">
        <v>2559</v>
      </c>
      <c r="J173" s="371">
        <v>2374</v>
      </c>
      <c r="K173" s="371">
        <v>1968</v>
      </c>
      <c r="L173" s="348">
        <f t="shared" si="27"/>
        <v>14600</v>
      </c>
      <c r="M173" s="371">
        <v>2456</v>
      </c>
      <c r="N173" s="371">
        <v>2878</v>
      </c>
      <c r="O173" s="371">
        <v>2901</v>
      </c>
      <c r="P173" s="371">
        <v>2568</v>
      </c>
      <c r="Q173" s="371">
        <v>2898</v>
      </c>
      <c r="R173" s="348">
        <f t="shared" si="28"/>
        <v>13701</v>
      </c>
      <c r="S173" s="371">
        <v>3160</v>
      </c>
      <c r="T173" s="371">
        <v>3220</v>
      </c>
      <c r="U173" s="371">
        <v>2970</v>
      </c>
      <c r="V173" s="371">
        <v>2606</v>
      </c>
      <c r="W173" s="371">
        <v>3136</v>
      </c>
      <c r="X173" s="348">
        <f t="shared" si="29"/>
        <v>15092</v>
      </c>
      <c r="Y173" s="371">
        <v>2482</v>
      </c>
      <c r="Z173" s="371">
        <v>3119</v>
      </c>
      <c r="AA173" s="371">
        <v>3127</v>
      </c>
      <c r="AB173" s="371">
        <v>2728</v>
      </c>
      <c r="AC173" s="371">
        <v>2628</v>
      </c>
      <c r="AD173" s="371">
        <v>2260</v>
      </c>
      <c r="AE173" s="348">
        <f t="shared" si="30"/>
        <v>16344</v>
      </c>
      <c r="AF173" s="371">
        <v>2784</v>
      </c>
      <c r="AG173" s="371">
        <v>3059</v>
      </c>
      <c r="AH173" s="371">
        <v>3059</v>
      </c>
      <c r="AI173" s="371">
        <v>3011</v>
      </c>
      <c r="AJ173" s="371">
        <v>2602</v>
      </c>
      <c r="AK173" s="371">
        <v>2212</v>
      </c>
      <c r="AL173" s="348">
        <f t="shared" si="31"/>
        <v>16727</v>
      </c>
      <c r="AM173" s="371">
        <v>3252</v>
      </c>
      <c r="AN173" s="371">
        <v>3450</v>
      </c>
      <c r="AO173" s="371">
        <v>2866</v>
      </c>
      <c r="AP173" s="371">
        <v>3286</v>
      </c>
      <c r="AQ173" s="371">
        <v>3081</v>
      </c>
      <c r="AR173" s="371">
        <v>1195</v>
      </c>
      <c r="AS173" s="348">
        <f t="shared" si="32"/>
        <v>17130</v>
      </c>
      <c r="AT173" s="371">
        <v>2842</v>
      </c>
      <c r="AU173" s="371">
        <v>3309</v>
      </c>
      <c r="AV173" s="371">
        <v>3321</v>
      </c>
      <c r="AW173" s="371">
        <v>3309</v>
      </c>
      <c r="AX173" s="371">
        <v>3093</v>
      </c>
      <c r="AY173" s="371">
        <v>2865</v>
      </c>
      <c r="AZ173" s="348">
        <f t="shared" si="33"/>
        <v>18739</v>
      </c>
      <c r="BA173" s="371">
        <v>2929</v>
      </c>
      <c r="BB173" s="371">
        <v>3484</v>
      </c>
      <c r="BC173" s="371">
        <v>3272</v>
      </c>
      <c r="BD173" s="371">
        <v>2875</v>
      </c>
      <c r="BE173" s="348">
        <f t="shared" si="34"/>
        <v>12560</v>
      </c>
      <c r="BF173" s="371">
        <v>2034</v>
      </c>
      <c r="BG173" s="348">
        <f t="shared" si="35"/>
        <v>2034</v>
      </c>
      <c r="BH173" s="356">
        <v>126927</v>
      </c>
    </row>
  </sheetData>
  <phoneticPr fontId="6"/>
  <pageMargins left="0.70866141732283472" right="0.70866141732283472" top="0.74803149606299213" bottom="0.74803149606299213" header="0.31496062992125984" footer="0.31496062992125984"/>
  <pageSetup paperSize="9" scale="5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_R_Timely">
    <tabColor rgb="FFFF33CC"/>
  </sheetPr>
  <dimension ref="A1:Q602"/>
  <sheetViews>
    <sheetView zoomScale="85" zoomScaleNormal="85" workbookViewId="0">
      <pane ySplit="1" topLeftCell="A2" activePane="bottomLeft" state="frozen"/>
      <selection pane="bottomLeft" activeCell="A1048576" sqref="A1048576"/>
    </sheetView>
  </sheetViews>
  <sheetFormatPr defaultRowHeight="15"/>
  <cols>
    <col min="1" max="1" width="9.140625" style="13"/>
  </cols>
  <sheetData>
    <row r="1" spans="1:17">
      <c r="A1" s="13" t="s">
        <v>2</v>
      </c>
      <c r="B1" t="s">
        <v>3</v>
      </c>
      <c r="C1" t="s">
        <v>1</v>
      </c>
      <c r="D1" t="s">
        <v>1779</v>
      </c>
      <c r="E1" t="s">
        <v>4</v>
      </c>
      <c r="F1" t="s">
        <v>1777</v>
      </c>
      <c r="G1" t="s">
        <v>1778</v>
      </c>
      <c r="H1" t="s">
        <v>0</v>
      </c>
      <c r="I1" t="s">
        <v>5</v>
      </c>
      <c r="J1" t="s">
        <v>1804</v>
      </c>
      <c r="K1" t="s">
        <v>6</v>
      </c>
      <c r="L1" t="s">
        <v>7</v>
      </c>
      <c r="M1" t="s">
        <v>750</v>
      </c>
      <c r="N1" t="s">
        <v>1805</v>
      </c>
      <c r="O1" t="s">
        <v>1806</v>
      </c>
      <c r="P1" t="s">
        <v>1807</v>
      </c>
      <c r="Q1" t="s">
        <v>1808</v>
      </c>
    </row>
    <row r="2" spans="1:17">
      <c r="A2" s="13">
        <v>44032</v>
      </c>
      <c r="B2">
        <v>1</v>
      </c>
      <c r="C2" t="s">
        <v>1220</v>
      </c>
      <c r="D2" t="s">
        <v>1781</v>
      </c>
      <c r="E2">
        <v>12</v>
      </c>
      <c r="F2" t="s">
        <v>1218</v>
      </c>
      <c r="G2" t="s">
        <v>1780</v>
      </c>
      <c r="H2" t="s">
        <v>1219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  <row r="3" spans="1:17">
      <c r="A3" s="13">
        <v>44032</v>
      </c>
      <c r="B3">
        <v>2</v>
      </c>
      <c r="C3" t="s">
        <v>1221</v>
      </c>
      <c r="D3" t="s">
        <v>1782</v>
      </c>
      <c r="E3">
        <v>7</v>
      </c>
      <c r="F3" t="s">
        <v>1218</v>
      </c>
      <c r="G3" t="s">
        <v>1780</v>
      </c>
      <c r="H3" t="s">
        <v>1219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</row>
    <row r="4" spans="1:17">
      <c r="A4" s="13">
        <v>44032</v>
      </c>
      <c r="B4">
        <v>3</v>
      </c>
      <c r="C4" t="s">
        <v>1223</v>
      </c>
      <c r="D4" t="s">
        <v>1783</v>
      </c>
      <c r="E4">
        <v>4</v>
      </c>
      <c r="F4" t="s">
        <v>1218</v>
      </c>
      <c r="G4" t="s">
        <v>1780</v>
      </c>
      <c r="H4" t="s">
        <v>1219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</row>
    <row r="5" spans="1:17">
      <c r="A5" s="13">
        <v>44032</v>
      </c>
      <c r="B5">
        <v>4</v>
      </c>
      <c r="C5" t="s">
        <v>1214</v>
      </c>
      <c r="D5" t="s">
        <v>1786</v>
      </c>
      <c r="E5">
        <v>3</v>
      </c>
      <c r="F5" t="s">
        <v>1218</v>
      </c>
      <c r="G5" t="s">
        <v>1780</v>
      </c>
      <c r="H5" t="s">
        <v>1219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</row>
    <row r="6" spans="1:17">
      <c r="A6" s="13">
        <v>44032</v>
      </c>
      <c r="B6">
        <v>5</v>
      </c>
      <c r="C6" t="s">
        <v>1074</v>
      </c>
      <c r="D6" t="s">
        <v>1075</v>
      </c>
      <c r="E6">
        <v>74</v>
      </c>
      <c r="F6" t="s">
        <v>1218</v>
      </c>
      <c r="G6" t="s">
        <v>1780</v>
      </c>
      <c r="H6" t="s">
        <v>1219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</row>
    <row r="7" spans="1:17">
      <c r="A7" s="13">
        <v>44032</v>
      </c>
      <c r="B7">
        <v>1</v>
      </c>
      <c r="C7" t="s">
        <v>1230</v>
      </c>
      <c r="D7" t="s">
        <v>1791</v>
      </c>
      <c r="E7">
        <v>135</v>
      </c>
      <c r="F7" t="s">
        <v>1218</v>
      </c>
      <c r="G7" t="s">
        <v>1789</v>
      </c>
      <c r="H7" t="s">
        <v>1228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</row>
    <row r="8" spans="1:17">
      <c r="A8" s="13">
        <v>44032</v>
      </c>
      <c r="B8">
        <v>2</v>
      </c>
      <c r="C8" t="s">
        <v>1229</v>
      </c>
      <c r="D8" t="s">
        <v>1790</v>
      </c>
      <c r="E8">
        <v>35</v>
      </c>
      <c r="F8" t="s">
        <v>1218</v>
      </c>
      <c r="G8" t="s">
        <v>1789</v>
      </c>
      <c r="H8" t="s">
        <v>1228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</row>
    <row r="9" spans="1:17">
      <c r="A9" s="13">
        <v>44032</v>
      </c>
      <c r="B9">
        <v>1</v>
      </c>
      <c r="C9" t="s">
        <v>1232</v>
      </c>
      <c r="D9" t="s">
        <v>1793</v>
      </c>
      <c r="E9">
        <v>2</v>
      </c>
      <c r="F9" t="s">
        <v>1218</v>
      </c>
      <c r="G9" t="s">
        <v>1792</v>
      </c>
      <c r="H9" t="s">
        <v>1231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</row>
    <row r="10" spans="1:17">
      <c r="A10" s="13">
        <v>44032</v>
      </c>
      <c r="B10">
        <v>1</v>
      </c>
      <c r="C10" t="s">
        <v>1180</v>
      </c>
      <c r="D10" t="s">
        <v>1202</v>
      </c>
      <c r="E10">
        <v>76</v>
      </c>
      <c r="F10" t="s">
        <v>1218</v>
      </c>
      <c r="G10" t="s">
        <v>1798</v>
      </c>
      <c r="H10" t="s">
        <v>1233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</row>
    <row r="11" spans="1:17">
      <c r="A11" s="13">
        <v>44032</v>
      </c>
      <c r="B11">
        <v>2</v>
      </c>
      <c r="C11" t="s">
        <v>1123</v>
      </c>
      <c r="D11" t="s">
        <v>1124</v>
      </c>
      <c r="E11">
        <v>53</v>
      </c>
      <c r="F11" t="s">
        <v>1218</v>
      </c>
      <c r="G11" t="s">
        <v>1798</v>
      </c>
      <c r="H11" t="s">
        <v>1233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>
      <c r="A12" s="13">
        <v>44032</v>
      </c>
      <c r="B12">
        <v>1</v>
      </c>
      <c r="C12" t="s">
        <v>1149</v>
      </c>
      <c r="D12" t="s">
        <v>1150</v>
      </c>
      <c r="E12">
        <v>7</v>
      </c>
      <c r="F12" t="s">
        <v>1218</v>
      </c>
      <c r="G12" t="s">
        <v>1798</v>
      </c>
      <c r="H12" t="s">
        <v>1234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13" spans="1:17">
      <c r="A13" s="13">
        <v>44032</v>
      </c>
      <c r="B13">
        <v>2</v>
      </c>
      <c r="C13" t="s">
        <v>1153</v>
      </c>
      <c r="D13" t="s">
        <v>1154</v>
      </c>
      <c r="E13">
        <v>50</v>
      </c>
      <c r="F13" t="s">
        <v>1218</v>
      </c>
      <c r="G13" t="s">
        <v>1798</v>
      </c>
      <c r="H13" t="s">
        <v>1234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</row>
    <row r="14" spans="1:17">
      <c r="A14" s="13">
        <v>44032</v>
      </c>
      <c r="B14">
        <v>3</v>
      </c>
      <c r="C14" t="s">
        <v>1235</v>
      </c>
      <c r="D14" t="s">
        <v>1799</v>
      </c>
      <c r="E14">
        <v>20</v>
      </c>
      <c r="F14" t="s">
        <v>1218</v>
      </c>
      <c r="G14" t="s">
        <v>1798</v>
      </c>
      <c r="H14" t="s">
        <v>1234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</row>
    <row r="15" spans="1:17">
      <c r="A15" s="13">
        <v>44032</v>
      </c>
      <c r="B15">
        <v>4</v>
      </c>
      <c r="C15" t="s">
        <v>1149</v>
      </c>
      <c r="D15" t="s">
        <v>1150</v>
      </c>
      <c r="E15">
        <v>51</v>
      </c>
      <c r="F15" t="s">
        <v>1218</v>
      </c>
      <c r="G15" t="s">
        <v>1798</v>
      </c>
      <c r="H15" t="s">
        <v>1234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</row>
    <row r="16" spans="1:17">
      <c r="A16" s="13">
        <v>44032</v>
      </c>
      <c r="B16">
        <v>1</v>
      </c>
      <c r="C16" t="s">
        <v>1110</v>
      </c>
      <c r="D16" t="s">
        <v>1111</v>
      </c>
      <c r="E16">
        <v>46</v>
      </c>
      <c r="F16" t="s">
        <v>1218</v>
      </c>
      <c r="G16" t="s">
        <v>1798</v>
      </c>
      <c r="H16" t="s">
        <v>1236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</row>
    <row r="17" spans="1:17">
      <c r="A17" s="13">
        <v>44032</v>
      </c>
      <c r="B17">
        <v>2</v>
      </c>
      <c r="C17" t="s">
        <v>1121</v>
      </c>
      <c r="D17" t="s">
        <v>1122</v>
      </c>
      <c r="E17">
        <v>12</v>
      </c>
      <c r="F17" t="s">
        <v>1218</v>
      </c>
      <c r="G17" t="s">
        <v>1798</v>
      </c>
      <c r="H17" t="s">
        <v>1236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</row>
    <row r="18" spans="1:17">
      <c r="A18" s="13">
        <v>44032</v>
      </c>
      <c r="B18">
        <v>3</v>
      </c>
      <c r="C18" t="s">
        <v>1182</v>
      </c>
      <c r="D18" t="s">
        <v>1204</v>
      </c>
      <c r="E18">
        <v>18</v>
      </c>
      <c r="F18" t="s">
        <v>1218</v>
      </c>
      <c r="G18" t="s">
        <v>1798</v>
      </c>
      <c r="H18" t="s">
        <v>1236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</row>
    <row r="19" spans="1:17">
      <c r="A19" s="13">
        <v>44032</v>
      </c>
      <c r="B19">
        <v>4</v>
      </c>
      <c r="C19" t="s">
        <v>1110</v>
      </c>
      <c r="D19" t="s">
        <v>1111</v>
      </c>
      <c r="E19">
        <v>53</v>
      </c>
      <c r="F19" t="s">
        <v>1218</v>
      </c>
      <c r="G19" t="s">
        <v>1798</v>
      </c>
      <c r="H19" t="s">
        <v>1236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</row>
    <row r="20" spans="1:17">
      <c r="A20" s="13">
        <v>44032</v>
      </c>
      <c r="B20">
        <v>1</v>
      </c>
      <c r="C20" t="s">
        <v>1238</v>
      </c>
      <c r="D20" t="s">
        <v>1801</v>
      </c>
      <c r="E20">
        <v>864</v>
      </c>
      <c r="F20" t="s">
        <v>1218</v>
      </c>
      <c r="G20" t="s">
        <v>1800</v>
      </c>
      <c r="H20" t="s">
        <v>1237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</row>
    <row r="21" spans="1:17">
      <c r="A21" s="13">
        <v>44033</v>
      </c>
      <c r="B21">
        <v>1</v>
      </c>
      <c r="C21" t="s">
        <v>1074</v>
      </c>
      <c r="D21" t="s">
        <v>1075</v>
      </c>
      <c r="E21">
        <v>100</v>
      </c>
      <c r="F21" t="s">
        <v>1218</v>
      </c>
      <c r="G21" t="s">
        <v>1780</v>
      </c>
      <c r="H21" t="s">
        <v>1219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</row>
    <row r="22" spans="1:17">
      <c r="A22" s="13">
        <v>44033</v>
      </c>
      <c r="B22">
        <v>1</v>
      </c>
      <c r="C22" t="s">
        <v>1230</v>
      </c>
      <c r="D22" t="s">
        <v>1791</v>
      </c>
      <c r="E22">
        <v>157</v>
      </c>
      <c r="F22" t="s">
        <v>1218</v>
      </c>
      <c r="G22" t="s">
        <v>1789</v>
      </c>
      <c r="H22" t="s">
        <v>1228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</row>
    <row r="23" spans="1:17">
      <c r="A23" s="13">
        <v>44033</v>
      </c>
      <c r="B23">
        <v>1</v>
      </c>
      <c r="C23" t="s">
        <v>1232</v>
      </c>
      <c r="D23" t="s">
        <v>1793</v>
      </c>
      <c r="E23">
        <v>2</v>
      </c>
      <c r="F23" t="s">
        <v>1218</v>
      </c>
      <c r="G23" t="s">
        <v>1792</v>
      </c>
      <c r="H23" t="s">
        <v>1231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</row>
    <row r="24" spans="1:17">
      <c r="A24" s="13">
        <v>44033</v>
      </c>
      <c r="B24">
        <v>1</v>
      </c>
      <c r="C24" t="s">
        <v>1123</v>
      </c>
      <c r="D24" t="s">
        <v>1124</v>
      </c>
      <c r="E24">
        <v>2</v>
      </c>
      <c r="F24" t="s">
        <v>1218</v>
      </c>
      <c r="G24" t="s">
        <v>1798</v>
      </c>
      <c r="H24" t="s">
        <v>1233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</row>
    <row r="25" spans="1:17">
      <c r="A25" s="13">
        <v>44033</v>
      </c>
      <c r="B25">
        <v>2</v>
      </c>
      <c r="C25" t="s">
        <v>1180</v>
      </c>
      <c r="D25" t="s">
        <v>1202</v>
      </c>
      <c r="E25">
        <v>73</v>
      </c>
      <c r="F25" t="s">
        <v>1218</v>
      </c>
      <c r="G25" t="s">
        <v>1798</v>
      </c>
      <c r="H25" t="s">
        <v>1233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</row>
    <row r="26" spans="1:17">
      <c r="A26" s="13">
        <v>44033</v>
      </c>
      <c r="B26">
        <v>3</v>
      </c>
      <c r="C26" t="s">
        <v>1123</v>
      </c>
      <c r="D26" t="s">
        <v>1124</v>
      </c>
      <c r="E26">
        <v>13</v>
      </c>
      <c r="F26" t="s">
        <v>1218</v>
      </c>
      <c r="G26" t="s">
        <v>1798</v>
      </c>
      <c r="H26" t="s">
        <v>1233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</row>
    <row r="27" spans="1:17">
      <c r="A27" s="13">
        <v>44033</v>
      </c>
      <c r="B27">
        <v>4</v>
      </c>
      <c r="C27" t="s">
        <v>1190</v>
      </c>
      <c r="D27" t="s">
        <v>1212</v>
      </c>
      <c r="E27">
        <v>40</v>
      </c>
      <c r="F27" t="s">
        <v>1218</v>
      </c>
      <c r="G27" t="s">
        <v>1798</v>
      </c>
      <c r="H27" t="s">
        <v>1233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</row>
    <row r="28" spans="1:17">
      <c r="A28" s="13">
        <v>44033</v>
      </c>
      <c r="B28">
        <v>1</v>
      </c>
      <c r="C28" t="s">
        <v>1149</v>
      </c>
      <c r="D28" t="s">
        <v>1150</v>
      </c>
      <c r="E28">
        <v>39</v>
      </c>
      <c r="F28" t="s">
        <v>1218</v>
      </c>
      <c r="G28" t="s">
        <v>1798</v>
      </c>
      <c r="H28" t="s">
        <v>1234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</row>
    <row r="29" spans="1:17">
      <c r="A29" s="13">
        <v>44033</v>
      </c>
      <c r="B29">
        <v>2</v>
      </c>
      <c r="C29" t="s">
        <v>1153</v>
      </c>
      <c r="D29" t="s">
        <v>1154</v>
      </c>
      <c r="E29">
        <v>50</v>
      </c>
      <c r="F29" t="s">
        <v>1218</v>
      </c>
      <c r="G29" t="s">
        <v>1798</v>
      </c>
      <c r="H29" t="s">
        <v>1234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</row>
    <row r="30" spans="1:17">
      <c r="A30" s="13">
        <v>44033</v>
      </c>
      <c r="B30">
        <v>3</v>
      </c>
      <c r="C30" t="s">
        <v>1235</v>
      </c>
      <c r="D30" t="s">
        <v>1799</v>
      </c>
      <c r="E30">
        <v>20</v>
      </c>
      <c r="F30" t="s">
        <v>1218</v>
      </c>
      <c r="G30" t="s">
        <v>1798</v>
      </c>
      <c r="H30" t="s">
        <v>1234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</row>
    <row r="31" spans="1:17">
      <c r="A31" s="13">
        <v>44033</v>
      </c>
      <c r="B31">
        <v>4</v>
      </c>
      <c r="C31" t="s">
        <v>1149</v>
      </c>
      <c r="D31" t="s">
        <v>1150</v>
      </c>
      <c r="E31">
        <v>51</v>
      </c>
      <c r="F31" t="s">
        <v>1218</v>
      </c>
      <c r="G31" t="s">
        <v>1798</v>
      </c>
      <c r="H31" t="s">
        <v>1234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</row>
    <row r="32" spans="1:17">
      <c r="A32" s="13">
        <v>44033</v>
      </c>
      <c r="B32">
        <v>1</v>
      </c>
      <c r="C32" t="s">
        <v>1110</v>
      </c>
      <c r="D32" t="s">
        <v>1111</v>
      </c>
      <c r="E32">
        <v>28</v>
      </c>
      <c r="F32" t="s">
        <v>1218</v>
      </c>
      <c r="G32" t="s">
        <v>1798</v>
      </c>
      <c r="H32" t="s">
        <v>1236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</row>
    <row r="33" spans="1:17">
      <c r="A33" s="13">
        <v>44033</v>
      </c>
      <c r="B33">
        <v>2</v>
      </c>
      <c r="C33" t="s">
        <v>1179</v>
      </c>
      <c r="D33" t="s">
        <v>1201</v>
      </c>
      <c r="E33">
        <v>10</v>
      </c>
      <c r="F33" t="s">
        <v>1218</v>
      </c>
      <c r="G33" t="s">
        <v>1798</v>
      </c>
      <c r="H33" t="s">
        <v>1236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</row>
    <row r="34" spans="1:17">
      <c r="A34" s="13">
        <v>44033</v>
      </c>
      <c r="B34">
        <v>3</v>
      </c>
      <c r="C34" t="s">
        <v>1187</v>
      </c>
      <c r="D34" t="s">
        <v>1209</v>
      </c>
      <c r="E34">
        <v>17</v>
      </c>
      <c r="F34" t="s">
        <v>1218</v>
      </c>
      <c r="G34" t="s">
        <v>1798</v>
      </c>
      <c r="H34" t="s">
        <v>1236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</row>
    <row r="35" spans="1:17">
      <c r="A35" s="13">
        <v>44033</v>
      </c>
      <c r="B35">
        <v>4</v>
      </c>
      <c r="C35" t="s">
        <v>1180</v>
      </c>
      <c r="D35" t="s">
        <v>1202</v>
      </c>
      <c r="E35">
        <v>22</v>
      </c>
      <c r="F35" t="s">
        <v>1218</v>
      </c>
      <c r="G35" t="s">
        <v>1798</v>
      </c>
      <c r="H35" t="s">
        <v>1236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</row>
    <row r="36" spans="1:17">
      <c r="A36" s="13">
        <v>44033</v>
      </c>
      <c r="B36">
        <v>5</v>
      </c>
      <c r="C36" t="s">
        <v>1110</v>
      </c>
      <c r="D36" t="s">
        <v>1111</v>
      </c>
      <c r="E36">
        <v>39</v>
      </c>
      <c r="F36" t="s">
        <v>1218</v>
      </c>
      <c r="G36" t="s">
        <v>1798</v>
      </c>
      <c r="H36" t="s">
        <v>1236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</row>
    <row r="37" spans="1:17">
      <c r="A37" s="13">
        <v>44033</v>
      </c>
      <c r="B37">
        <v>6</v>
      </c>
      <c r="C37" t="s">
        <v>1180</v>
      </c>
      <c r="D37" t="s">
        <v>1202</v>
      </c>
      <c r="E37">
        <v>14</v>
      </c>
      <c r="F37" t="s">
        <v>1218</v>
      </c>
      <c r="G37" t="s">
        <v>1798</v>
      </c>
      <c r="H37" t="s">
        <v>1236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</row>
    <row r="38" spans="1:17">
      <c r="A38" s="13">
        <v>44033</v>
      </c>
      <c r="B38">
        <v>1</v>
      </c>
      <c r="C38" t="s">
        <v>1238</v>
      </c>
      <c r="D38" t="s">
        <v>1801</v>
      </c>
      <c r="E38">
        <v>1080</v>
      </c>
      <c r="F38" t="s">
        <v>1218</v>
      </c>
      <c r="G38" t="s">
        <v>1800</v>
      </c>
      <c r="H38" t="s">
        <v>1237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</row>
    <row r="39" spans="1:17">
      <c r="A39" s="13">
        <v>44034</v>
      </c>
      <c r="B39">
        <v>1</v>
      </c>
      <c r="C39" t="s">
        <v>1074</v>
      </c>
      <c r="D39" t="s">
        <v>1075</v>
      </c>
      <c r="E39">
        <v>99</v>
      </c>
      <c r="F39" t="s">
        <v>1218</v>
      </c>
      <c r="G39" t="s">
        <v>1780</v>
      </c>
      <c r="H39" t="s">
        <v>1219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</row>
    <row r="40" spans="1:17">
      <c r="A40" s="13">
        <v>44034</v>
      </c>
      <c r="B40">
        <v>2</v>
      </c>
      <c r="C40" t="s">
        <v>1078</v>
      </c>
      <c r="D40" t="s">
        <v>1079</v>
      </c>
      <c r="E40">
        <v>1</v>
      </c>
      <c r="F40" t="s">
        <v>1218</v>
      </c>
      <c r="G40" t="s">
        <v>1780</v>
      </c>
      <c r="H40" t="s">
        <v>1219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</row>
    <row r="41" spans="1:17">
      <c r="A41" s="13">
        <v>44034</v>
      </c>
      <c r="B41">
        <v>1</v>
      </c>
      <c r="C41" t="s">
        <v>1230</v>
      </c>
      <c r="D41" t="s">
        <v>1791</v>
      </c>
      <c r="E41">
        <v>144</v>
      </c>
      <c r="F41" t="s">
        <v>1218</v>
      </c>
      <c r="G41" t="s">
        <v>1789</v>
      </c>
      <c r="H41" t="s">
        <v>1228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</row>
    <row r="42" spans="1:17">
      <c r="A42" s="13">
        <v>44034</v>
      </c>
      <c r="B42">
        <v>1</v>
      </c>
      <c r="C42" t="s">
        <v>1232</v>
      </c>
      <c r="D42" t="s">
        <v>1793</v>
      </c>
      <c r="E42">
        <v>2</v>
      </c>
      <c r="F42" t="s">
        <v>1218</v>
      </c>
      <c r="G42" t="s">
        <v>1792</v>
      </c>
      <c r="H42" t="s">
        <v>1231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</row>
    <row r="43" spans="1:17">
      <c r="A43" s="13">
        <v>44034</v>
      </c>
      <c r="B43">
        <v>1</v>
      </c>
      <c r="C43" t="s">
        <v>1190</v>
      </c>
      <c r="D43" t="s">
        <v>1212</v>
      </c>
      <c r="E43">
        <v>13</v>
      </c>
      <c r="F43" t="s">
        <v>1218</v>
      </c>
      <c r="G43" t="s">
        <v>1798</v>
      </c>
      <c r="H43" t="s">
        <v>1233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</row>
    <row r="44" spans="1:17">
      <c r="A44" s="13">
        <v>44034</v>
      </c>
      <c r="B44">
        <v>2</v>
      </c>
      <c r="C44" t="s">
        <v>1184</v>
      </c>
      <c r="D44" t="s">
        <v>1206</v>
      </c>
      <c r="E44">
        <v>64</v>
      </c>
      <c r="F44" t="s">
        <v>1218</v>
      </c>
      <c r="G44" t="s">
        <v>1798</v>
      </c>
      <c r="H44" t="s">
        <v>1233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</row>
    <row r="45" spans="1:17">
      <c r="A45" s="13">
        <v>44034</v>
      </c>
      <c r="B45">
        <v>3</v>
      </c>
      <c r="C45" t="s">
        <v>1155</v>
      </c>
      <c r="D45" t="s">
        <v>1156</v>
      </c>
      <c r="E45">
        <v>27</v>
      </c>
      <c r="F45" t="s">
        <v>1218</v>
      </c>
      <c r="G45" t="s">
        <v>1798</v>
      </c>
      <c r="H45" t="s">
        <v>1233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</row>
    <row r="46" spans="1:17">
      <c r="A46" s="13">
        <v>44034</v>
      </c>
      <c r="B46">
        <v>4</v>
      </c>
      <c r="C46" t="s">
        <v>1217</v>
      </c>
      <c r="D46" t="s">
        <v>1111</v>
      </c>
      <c r="E46">
        <v>1</v>
      </c>
      <c r="F46" t="s">
        <v>1218</v>
      </c>
      <c r="G46" t="s">
        <v>1798</v>
      </c>
      <c r="H46" t="s">
        <v>1233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</row>
    <row r="47" spans="1:17">
      <c r="A47" s="13">
        <v>44034</v>
      </c>
      <c r="B47">
        <v>5</v>
      </c>
      <c r="C47" t="s">
        <v>1184</v>
      </c>
      <c r="D47" t="s">
        <v>1206</v>
      </c>
      <c r="E47">
        <v>25</v>
      </c>
      <c r="F47" t="s">
        <v>1218</v>
      </c>
      <c r="G47" t="s">
        <v>1798</v>
      </c>
      <c r="H47" t="s">
        <v>1233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</row>
    <row r="48" spans="1:17">
      <c r="A48" s="13">
        <v>44034</v>
      </c>
      <c r="B48">
        <v>1</v>
      </c>
      <c r="C48" t="s">
        <v>1149</v>
      </c>
      <c r="D48" t="s">
        <v>1150</v>
      </c>
      <c r="E48">
        <v>39</v>
      </c>
      <c r="F48" t="s">
        <v>1218</v>
      </c>
      <c r="G48" t="s">
        <v>1798</v>
      </c>
      <c r="H48" t="s">
        <v>1234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</row>
    <row r="49" spans="1:17">
      <c r="A49" s="13">
        <v>44034</v>
      </c>
      <c r="B49">
        <v>2</v>
      </c>
      <c r="C49" t="s">
        <v>1235</v>
      </c>
      <c r="D49" t="s">
        <v>1799</v>
      </c>
      <c r="E49">
        <v>20</v>
      </c>
      <c r="F49" t="s">
        <v>1218</v>
      </c>
      <c r="G49" t="s">
        <v>1798</v>
      </c>
      <c r="H49" t="s">
        <v>1234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</row>
    <row r="50" spans="1:17">
      <c r="A50" s="13">
        <v>44034</v>
      </c>
      <c r="B50">
        <v>3</v>
      </c>
      <c r="C50" t="s">
        <v>1153</v>
      </c>
      <c r="D50" t="s">
        <v>1154</v>
      </c>
      <c r="E50">
        <v>50</v>
      </c>
      <c r="F50" t="s">
        <v>1218</v>
      </c>
      <c r="G50" t="s">
        <v>1798</v>
      </c>
      <c r="H50" t="s">
        <v>1234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</row>
    <row r="51" spans="1:17">
      <c r="A51" s="13">
        <v>44034</v>
      </c>
      <c r="B51">
        <v>4</v>
      </c>
      <c r="C51" t="s">
        <v>1149</v>
      </c>
      <c r="D51" t="s">
        <v>1150</v>
      </c>
      <c r="E51">
        <v>35</v>
      </c>
      <c r="F51" t="s">
        <v>1218</v>
      </c>
      <c r="G51" t="s">
        <v>1798</v>
      </c>
      <c r="H51" t="s">
        <v>1234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</row>
    <row r="52" spans="1:17">
      <c r="A52" s="13">
        <v>44034</v>
      </c>
      <c r="B52">
        <v>5</v>
      </c>
      <c r="C52" t="s">
        <v>1151</v>
      </c>
      <c r="D52" t="s">
        <v>1152</v>
      </c>
      <c r="E52">
        <v>16</v>
      </c>
      <c r="F52" t="s">
        <v>1218</v>
      </c>
      <c r="G52" t="s">
        <v>1798</v>
      </c>
      <c r="H52" t="s">
        <v>1234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</row>
    <row r="53" spans="1:17">
      <c r="A53" s="13">
        <v>44034</v>
      </c>
      <c r="B53">
        <v>1</v>
      </c>
      <c r="C53" t="s">
        <v>1180</v>
      </c>
      <c r="D53" t="s">
        <v>1202</v>
      </c>
      <c r="E53">
        <v>77</v>
      </c>
      <c r="F53" t="s">
        <v>1218</v>
      </c>
      <c r="G53" t="s">
        <v>1798</v>
      </c>
      <c r="H53" t="s">
        <v>1236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</row>
    <row r="54" spans="1:17">
      <c r="A54" s="13">
        <v>44034</v>
      </c>
      <c r="B54">
        <v>2</v>
      </c>
      <c r="C54" t="s">
        <v>1121</v>
      </c>
      <c r="D54" t="s">
        <v>1122</v>
      </c>
      <c r="E54">
        <v>20</v>
      </c>
      <c r="F54" t="s">
        <v>1218</v>
      </c>
      <c r="G54" t="s">
        <v>1798</v>
      </c>
      <c r="H54" t="s">
        <v>1236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</row>
    <row r="55" spans="1:17">
      <c r="A55" s="13">
        <v>44034</v>
      </c>
      <c r="B55">
        <v>3</v>
      </c>
      <c r="C55" t="s">
        <v>1187</v>
      </c>
      <c r="D55" t="s">
        <v>1209</v>
      </c>
      <c r="E55">
        <v>12</v>
      </c>
      <c r="F55" t="s">
        <v>1218</v>
      </c>
      <c r="G55" t="s">
        <v>1798</v>
      </c>
      <c r="H55" t="s">
        <v>1236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</row>
    <row r="56" spans="1:17">
      <c r="A56" s="13">
        <v>44034</v>
      </c>
      <c r="B56">
        <v>4</v>
      </c>
      <c r="C56" t="s">
        <v>1180</v>
      </c>
      <c r="D56" t="s">
        <v>1202</v>
      </c>
      <c r="E56">
        <v>21</v>
      </c>
      <c r="F56" t="s">
        <v>1218</v>
      </c>
      <c r="G56" t="s">
        <v>1798</v>
      </c>
      <c r="H56" t="s">
        <v>1236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</row>
    <row r="57" spans="1:17">
      <c r="A57" s="13">
        <v>44034</v>
      </c>
      <c r="B57">
        <v>1</v>
      </c>
      <c r="C57" t="s">
        <v>1238</v>
      </c>
      <c r="D57" t="s">
        <v>1801</v>
      </c>
      <c r="E57">
        <v>1080</v>
      </c>
      <c r="F57" t="s">
        <v>1218</v>
      </c>
      <c r="G57" t="s">
        <v>1800</v>
      </c>
      <c r="H57" t="s">
        <v>1237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</row>
    <row r="58" spans="1:17">
      <c r="A58" s="13">
        <v>44035</v>
      </c>
      <c r="B58">
        <v>1</v>
      </c>
      <c r="C58" t="s">
        <v>1078</v>
      </c>
      <c r="D58" t="s">
        <v>1079</v>
      </c>
      <c r="E58">
        <v>57</v>
      </c>
      <c r="F58" t="s">
        <v>1218</v>
      </c>
      <c r="G58" t="s">
        <v>1780</v>
      </c>
      <c r="H58" t="s">
        <v>1219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</row>
    <row r="59" spans="1:17">
      <c r="A59" s="13">
        <v>44035</v>
      </c>
      <c r="B59">
        <v>2</v>
      </c>
      <c r="C59" t="s">
        <v>1225</v>
      </c>
      <c r="D59" t="s">
        <v>1787</v>
      </c>
      <c r="E59">
        <v>7</v>
      </c>
      <c r="F59" t="s">
        <v>1218</v>
      </c>
      <c r="G59" t="s">
        <v>1780</v>
      </c>
      <c r="H59" t="s">
        <v>1219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</row>
    <row r="60" spans="1:17">
      <c r="A60" s="13">
        <v>44035</v>
      </c>
      <c r="B60">
        <v>3</v>
      </c>
      <c r="C60" t="s">
        <v>1227</v>
      </c>
      <c r="D60" t="s">
        <v>1860</v>
      </c>
      <c r="E60">
        <v>36</v>
      </c>
      <c r="F60" t="s">
        <v>1218</v>
      </c>
      <c r="G60" t="s">
        <v>1780</v>
      </c>
      <c r="H60" t="s">
        <v>1219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</row>
    <row r="61" spans="1:17">
      <c r="A61" s="13">
        <v>44035</v>
      </c>
      <c r="B61">
        <v>1</v>
      </c>
      <c r="C61" t="s">
        <v>1230</v>
      </c>
      <c r="D61" t="s">
        <v>1791</v>
      </c>
      <c r="E61">
        <v>170</v>
      </c>
      <c r="F61" t="s">
        <v>1218</v>
      </c>
      <c r="G61" t="s">
        <v>1789</v>
      </c>
      <c r="H61" t="s">
        <v>1228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</row>
    <row r="62" spans="1:17">
      <c r="A62" s="13">
        <v>44035</v>
      </c>
      <c r="B62">
        <v>1</v>
      </c>
      <c r="C62" t="s">
        <v>1232</v>
      </c>
      <c r="D62" t="s">
        <v>1793</v>
      </c>
      <c r="E62">
        <v>2</v>
      </c>
      <c r="F62" t="s">
        <v>1218</v>
      </c>
      <c r="G62" t="s">
        <v>1792</v>
      </c>
      <c r="H62" t="s">
        <v>1231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</row>
    <row r="63" spans="1:17">
      <c r="A63" s="13">
        <v>44035</v>
      </c>
      <c r="B63">
        <v>1</v>
      </c>
      <c r="C63" t="s">
        <v>1184</v>
      </c>
      <c r="D63" t="s">
        <v>1206</v>
      </c>
      <c r="E63">
        <v>71</v>
      </c>
      <c r="F63" t="s">
        <v>1218</v>
      </c>
      <c r="G63" t="s">
        <v>1798</v>
      </c>
      <c r="H63" t="s">
        <v>1233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</row>
    <row r="64" spans="1:17">
      <c r="A64" s="13">
        <v>44035</v>
      </c>
      <c r="B64">
        <v>2</v>
      </c>
      <c r="C64" t="s">
        <v>1137</v>
      </c>
      <c r="D64" t="s">
        <v>1138</v>
      </c>
      <c r="E64">
        <v>7</v>
      </c>
      <c r="F64" t="s">
        <v>1218</v>
      </c>
      <c r="G64" t="s">
        <v>1798</v>
      </c>
      <c r="H64" t="s">
        <v>1233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</row>
    <row r="65" spans="1:17">
      <c r="A65" s="13">
        <v>44035</v>
      </c>
      <c r="B65">
        <v>3</v>
      </c>
      <c r="C65" t="s">
        <v>1155</v>
      </c>
      <c r="D65" t="s">
        <v>1156</v>
      </c>
      <c r="E65">
        <v>34</v>
      </c>
      <c r="F65" t="s">
        <v>1218</v>
      </c>
      <c r="G65" t="s">
        <v>1798</v>
      </c>
      <c r="H65" t="s">
        <v>1233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</row>
    <row r="66" spans="1:17">
      <c r="A66" s="13">
        <v>44035</v>
      </c>
      <c r="B66">
        <v>4</v>
      </c>
      <c r="C66" t="s">
        <v>1131</v>
      </c>
      <c r="D66" t="s">
        <v>1132</v>
      </c>
      <c r="E66">
        <v>6</v>
      </c>
      <c r="F66" t="s">
        <v>1218</v>
      </c>
      <c r="G66" t="s">
        <v>1798</v>
      </c>
      <c r="H66" t="s">
        <v>1233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</row>
    <row r="67" spans="1:17">
      <c r="A67" s="13">
        <v>44035</v>
      </c>
      <c r="B67">
        <v>5</v>
      </c>
      <c r="C67" t="s">
        <v>1184</v>
      </c>
      <c r="D67" t="s">
        <v>1206</v>
      </c>
      <c r="E67">
        <v>13</v>
      </c>
      <c r="F67" t="s">
        <v>1218</v>
      </c>
      <c r="G67" t="s">
        <v>1798</v>
      </c>
      <c r="H67" t="s">
        <v>1233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</row>
    <row r="68" spans="1:17">
      <c r="A68" s="13">
        <v>44035</v>
      </c>
      <c r="B68">
        <v>1</v>
      </c>
      <c r="C68" t="s">
        <v>1151</v>
      </c>
      <c r="D68" t="s">
        <v>1152</v>
      </c>
      <c r="E68">
        <v>9</v>
      </c>
      <c r="F68" t="s">
        <v>1218</v>
      </c>
      <c r="G68" t="s">
        <v>1798</v>
      </c>
      <c r="H68" t="s">
        <v>1234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</row>
    <row r="69" spans="1:17">
      <c r="A69" s="13">
        <v>44035</v>
      </c>
      <c r="B69">
        <v>2</v>
      </c>
      <c r="C69" t="s">
        <v>1235</v>
      </c>
      <c r="D69" t="s">
        <v>1799</v>
      </c>
      <c r="E69">
        <v>20</v>
      </c>
      <c r="F69" t="s">
        <v>1218</v>
      </c>
      <c r="G69" t="s">
        <v>1798</v>
      </c>
      <c r="H69" t="s">
        <v>1234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</row>
    <row r="70" spans="1:17">
      <c r="A70" s="13">
        <v>44035</v>
      </c>
      <c r="B70">
        <v>3</v>
      </c>
      <c r="C70" t="s">
        <v>1153</v>
      </c>
      <c r="D70" t="s">
        <v>1154</v>
      </c>
      <c r="E70">
        <v>50</v>
      </c>
      <c r="F70" t="s">
        <v>1218</v>
      </c>
      <c r="G70" t="s">
        <v>1798</v>
      </c>
      <c r="H70" t="s">
        <v>1234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</row>
    <row r="71" spans="1:17">
      <c r="A71" s="13">
        <v>44035</v>
      </c>
      <c r="B71">
        <v>4</v>
      </c>
      <c r="C71" t="s">
        <v>1112</v>
      </c>
      <c r="D71" t="s">
        <v>1113</v>
      </c>
      <c r="E71">
        <v>7</v>
      </c>
      <c r="F71" t="s">
        <v>1218</v>
      </c>
      <c r="G71" t="s">
        <v>1798</v>
      </c>
      <c r="H71" t="s">
        <v>1234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</row>
    <row r="72" spans="1:17">
      <c r="A72" s="13">
        <v>44035</v>
      </c>
      <c r="B72">
        <v>5</v>
      </c>
      <c r="C72" t="s">
        <v>1151</v>
      </c>
      <c r="D72" t="s">
        <v>1152</v>
      </c>
      <c r="E72">
        <v>44</v>
      </c>
      <c r="F72" t="s">
        <v>1218</v>
      </c>
      <c r="G72" t="s">
        <v>1798</v>
      </c>
      <c r="H72" t="s">
        <v>1234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</row>
    <row r="73" spans="1:17">
      <c r="A73" s="13">
        <v>44035</v>
      </c>
      <c r="B73">
        <v>1</v>
      </c>
      <c r="C73" t="s">
        <v>1180</v>
      </c>
      <c r="D73" t="s">
        <v>1202</v>
      </c>
      <c r="E73">
        <v>27</v>
      </c>
      <c r="F73" t="s">
        <v>1218</v>
      </c>
      <c r="G73" t="s">
        <v>1798</v>
      </c>
      <c r="H73" t="s">
        <v>1236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</row>
    <row r="74" spans="1:17">
      <c r="A74" s="13">
        <v>44035</v>
      </c>
      <c r="B74">
        <v>2</v>
      </c>
      <c r="C74" t="s">
        <v>1135</v>
      </c>
      <c r="D74" t="s">
        <v>1136</v>
      </c>
      <c r="E74">
        <v>50</v>
      </c>
      <c r="F74" t="s">
        <v>1218</v>
      </c>
      <c r="G74" t="s">
        <v>1798</v>
      </c>
      <c r="H74" t="s">
        <v>1236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</row>
    <row r="75" spans="1:17">
      <c r="A75" s="13">
        <v>44035</v>
      </c>
      <c r="B75">
        <v>3</v>
      </c>
      <c r="C75" t="s">
        <v>1121</v>
      </c>
      <c r="D75" t="s">
        <v>1122</v>
      </c>
      <c r="E75">
        <v>2</v>
      </c>
      <c r="F75" t="s">
        <v>1218</v>
      </c>
      <c r="G75" t="s">
        <v>1798</v>
      </c>
      <c r="H75" t="s">
        <v>1236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</row>
    <row r="76" spans="1:17">
      <c r="A76" s="13">
        <v>44035</v>
      </c>
      <c r="B76">
        <v>4</v>
      </c>
      <c r="C76" t="s">
        <v>1129</v>
      </c>
      <c r="D76" t="s">
        <v>1130</v>
      </c>
      <c r="E76">
        <v>37</v>
      </c>
      <c r="F76" t="s">
        <v>1218</v>
      </c>
      <c r="G76" t="s">
        <v>1798</v>
      </c>
      <c r="H76" t="s">
        <v>1236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</row>
    <row r="77" spans="1:17">
      <c r="A77" s="13">
        <v>44035</v>
      </c>
      <c r="B77">
        <v>5</v>
      </c>
      <c r="C77" t="s">
        <v>1180</v>
      </c>
      <c r="D77" t="s">
        <v>1202</v>
      </c>
      <c r="E77">
        <v>14</v>
      </c>
      <c r="F77" t="s">
        <v>1218</v>
      </c>
      <c r="G77" t="s">
        <v>1798</v>
      </c>
      <c r="H77" t="s">
        <v>1236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</row>
    <row r="78" spans="1:17">
      <c r="A78" s="13">
        <v>44035</v>
      </c>
      <c r="B78">
        <v>1</v>
      </c>
      <c r="C78" t="s">
        <v>1238</v>
      </c>
      <c r="D78" t="s">
        <v>1801</v>
      </c>
      <c r="E78">
        <v>576</v>
      </c>
      <c r="F78" t="s">
        <v>1218</v>
      </c>
      <c r="G78" t="s">
        <v>1800</v>
      </c>
      <c r="H78" t="s">
        <v>1237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</row>
    <row r="79" spans="1:17">
      <c r="A79" s="13">
        <v>44035</v>
      </c>
      <c r="B79">
        <v>2</v>
      </c>
      <c r="C79" t="s">
        <v>1240</v>
      </c>
      <c r="D79" t="s">
        <v>1803</v>
      </c>
      <c r="E79">
        <v>144</v>
      </c>
      <c r="F79" t="s">
        <v>1218</v>
      </c>
      <c r="G79" t="s">
        <v>1800</v>
      </c>
      <c r="H79" t="s">
        <v>1237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</row>
    <row r="80" spans="1:17">
      <c r="A80" s="13">
        <v>44035</v>
      </c>
      <c r="B80">
        <v>3</v>
      </c>
      <c r="C80" t="s">
        <v>1239</v>
      </c>
      <c r="D80" t="s">
        <v>1802</v>
      </c>
      <c r="E80">
        <v>360</v>
      </c>
      <c r="F80" t="s">
        <v>1218</v>
      </c>
      <c r="G80" t="s">
        <v>1800</v>
      </c>
      <c r="H80" t="s">
        <v>1237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</row>
    <row r="81" spans="1:17">
      <c r="A81" s="13">
        <v>44036</v>
      </c>
      <c r="B81">
        <v>1</v>
      </c>
      <c r="C81" t="s">
        <v>1227</v>
      </c>
      <c r="D81" t="s">
        <v>1860</v>
      </c>
      <c r="E81">
        <v>100</v>
      </c>
      <c r="F81" t="s">
        <v>1218</v>
      </c>
      <c r="G81" t="s">
        <v>1780</v>
      </c>
      <c r="H81" t="s">
        <v>1219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</row>
    <row r="82" spans="1:17">
      <c r="A82" s="13">
        <v>44036</v>
      </c>
      <c r="B82">
        <v>1</v>
      </c>
      <c r="C82" t="s">
        <v>1230</v>
      </c>
      <c r="D82" t="s">
        <v>1791</v>
      </c>
      <c r="E82">
        <v>157</v>
      </c>
      <c r="F82" t="s">
        <v>1218</v>
      </c>
      <c r="G82" t="s">
        <v>1789</v>
      </c>
      <c r="H82" t="s">
        <v>1228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</row>
    <row r="83" spans="1:17">
      <c r="A83" s="13">
        <v>44036</v>
      </c>
      <c r="B83">
        <v>1</v>
      </c>
      <c r="C83" t="s">
        <v>1232</v>
      </c>
      <c r="D83" t="s">
        <v>1793</v>
      </c>
      <c r="E83">
        <v>2</v>
      </c>
      <c r="F83" t="s">
        <v>1218</v>
      </c>
      <c r="G83" t="s">
        <v>1792</v>
      </c>
      <c r="H83" t="s">
        <v>1231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</row>
    <row r="84" spans="1:17">
      <c r="A84" s="13">
        <v>44036</v>
      </c>
      <c r="B84">
        <v>1</v>
      </c>
      <c r="C84" t="s">
        <v>1184</v>
      </c>
      <c r="D84" t="s">
        <v>1206</v>
      </c>
      <c r="E84">
        <v>77</v>
      </c>
      <c r="F84" t="s">
        <v>1218</v>
      </c>
      <c r="G84" t="s">
        <v>1798</v>
      </c>
      <c r="H84" t="s">
        <v>1233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</row>
    <row r="85" spans="1:17">
      <c r="A85" s="13">
        <v>44036</v>
      </c>
      <c r="B85">
        <v>2</v>
      </c>
      <c r="C85" t="s">
        <v>1155</v>
      </c>
      <c r="D85" t="s">
        <v>1156</v>
      </c>
      <c r="E85">
        <v>34</v>
      </c>
      <c r="F85" t="s">
        <v>1218</v>
      </c>
      <c r="G85" t="s">
        <v>1798</v>
      </c>
      <c r="H85" t="s">
        <v>1233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</row>
    <row r="86" spans="1:17">
      <c r="A86" s="13">
        <v>44036</v>
      </c>
      <c r="B86">
        <v>3</v>
      </c>
      <c r="C86" t="s">
        <v>1131</v>
      </c>
      <c r="D86" t="s">
        <v>1132</v>
      </c>
      <c r="E86">
        <v>19</v>
      </c>
      <c r="F86" t="s">
        <v>1218</v>
      </c>
      <c r="G86" t="s">
        <v>1798</v>
      </c>
      <c r="H86" t="s">
        <v>1233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</row>
    <row r="87" spans="1:17">
      <c r="A87" s="13">
        <v>44036</v>
      </c>
      <c r="B87">
        <v>1</v>
      </c>
      <c r="C87" t="s">
        <v>1151</v>
      </c>
      <c r="D87" t="s">
        <v>1152</v>
      </c>
      <c r="E87">
        <v>8</v>
      </c>
      <c r="F87" t="s">
        <v>1218</v>
      </c>
      <c r="G87" t="s">
        <v>1798</v>
      </c>
      <c r="H87" t="s">
        <v>1234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</row>
    <row r="88" spans="1:17">
      <c r="A88" s="13">
        <v>44036</v>
      </c>
      <c r="B88">
        <v>2</v>
      </c>
      <c r="C88" t="s">
        <v>1235</v>
      </c>
      <c r="D88" t="s">
        <v>1799</v>
      </c>
      <c r="E88">
        <v>20</v>
      </c>
      <c r="F88" t="s">
        <v>1218</v>
      </c>
      <c r="G88" t="s">
        <v>1798</v>
      </c>
      <c r="H88" t="s">
        <v>1234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</row>
    <row r="89" spans="1:17">
      <c r="A89" s="13">
        <v>44036</v>
      </c>
      <c r="B89">
        <v>3</v>
      </c>
      <c r="C89" t="s">
        <v>1153</v>
      </c>
      <c r="D89" t="s">
        <v>1154</v>
      </c>
      <c r="E89">
        <v>51</v>
      </c>
      <c r="F89" t="s">
        <v>1218</v>
      </c>
      <c r="G89" t="s">
        <v>1798</v>
      </c>
      <c r="H89" t="s">
        <v>1234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</row>
    <row r="90" spans="1:17">
      <c r="A90" s="13">
        <v>44036</v>
      </c>
      <c r="B90">
        <v>4</v>
      </c>
      <c r="C90" t="s">
        <v>1215</v>
      </c>
      <c r="D90" t="s">
        <v>1213</v>
      </c>
      <c r="E90">
        <v>11</v>
      </c>
      <c r="F90" t="s">
        <v>1218</v>
      </c>
      <c r="G90" t="s">
        <v>1798</v>
      </c>
      <c r="H90" t="s">
        <v>1234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</row>
    <row r="91" spans="1:17">
      <c r="A91" s="13">
        <v>44036</v>
      </c>
      <c r="B91">
        <v>5</v>
      </c>
      <c r="C91" t="s">
        <v>1149</v>
      </c>
      <c r="D91" t="s">
        <v>1150</v>
      </c>
      <c r="E91">
        <v>31</v>
      </c>
      <c r="F91" t="s">
        <v>1218</v>
      </c>
      <c r="G91" t="s">
        <v>1798</v>
      </c>
      <c r="H91" t="s">
        <v>1234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</row>
    <row r="92" spans="1:17">
      <c r="A92" s="13">
        <v>44036</v>
      </c>
      <c r="B92">
        <v>6</v>
      </c>
      <c r="C92" t="s">
        <v>1151</v>
      </c>
      <c r="D92" t="s">
        <v>1152</v>
      </c>
      <c r="E92">
        <v>9</v>
      </c>
      <c r="F92" t="s">
        <v>1218</v>
      </c>
      <c r="G92" t="s">
        <v>1798</v>
      </c>
      <c r="H92" t="s">
        <v>1234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</row>
    <row r="93" spans="1:17">
      <c r="A93" s="13">
        <v>44036</v>
      </c>
      <c r="B93">
        <v>1</v>
      </c>
      <c r="C93" t="s">
        <v>1180</v>
      </c>
      <c r="D93" t="s">
        <v>1202</v>
      </c>
      <c r="E93">
        <v>36</v>
      </c>
      <c r="F93" t="s">
        <v>1218</v>
      </c>
      <c r="G93" t="s">
        <v>1798</v>
      </c>
      <c r="H93" t="s">
        <v>1236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</row>
    <row r="94" spans="1:17">
      <c r="A94" s="13">
        <v>44036</v>
      </c>
      <c r="B94">
        <v>2</v>
      </c>
      <c r="C94" t="s">
        <v>1135</v>
      </c>
      <c r="D94" t="s">
        <v>1136</v>
      </c>
      <c r="E94">
        <v>41</v>
      </c>
      <c r="F94" t="s">
        <v>1218</v>
      </c>
      <c r="G94" t="s">
        <v>1798</v>
      </c>
      <c r="H94" t="s">
        <v>1236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</row>
    <row r="95" spans="1:17">
      <c r="A95" s="13">
        <v>44036</v>
      </c>
      <c r="B95">
        <v>3</v>
      </c>
      <c r="C95" t="s">
        <v>1110</v>
      </c>
      <c r="D95" t="s">
        <v>1111</v>
      </c>
      <c r="E95">
        <v>53</v>
      </c>
      <c r="F95" t="s">
        <v>1218</v>
      </c>
      <c r="G95" t="s">
        <v>1798</v>
      </c>
      <c r="H95" t="s">
        <v>1236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</row>
    <row r="96" spans="1:17">
      <c r="A96" s="13">
        <v>44036</v>
      </c>
      <c r="B96">
        <v>1</v>
      </c>
      <c r="C96" t="s">
        <v>1239</v>
      </c>
      <c r="D96" t="s">
        <v>1802</v>
      </c>
      <c r="E96">
        <v>1080</v>
      </c>
      <c r="F96" t="s">
        <v>1218</v>
      </c>
      <c r="G96" t="s">
        <v>1800</v>
      </c>
      <c r="H96" t="s">
        <v>1237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</row>
    <row r="97" spans="1:17">
      <c r="A97" s="13">
        <v>44037</v>
      </c>
      <c r="B97">
        <v>1</v>
      </c>
      <c r="C97" t="s">
        <v>1227</v>
      </c>
      <c r="D97" t="s">
        <v>1860</v>
      </c>
      <c r="E97">
        <v>100</v>
      </c>
      <c r="F97" t="s">
        <v>1218</v>
      </c>
      <c r="G97" t="s">
        <v>1780</v>
      </c>
      <c r="H97" t="s">
        <v>1219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</row>
    <row r="98" spans="1:17">
      <c r="A98" s="13">
        <v>44037</v>
      </c>
      <c r="B98">
        <v>1</v>
      </c>
      <c r="C98" t="s">
        <v>1230</v>
      </c>
      <c r="D98" t="s">
        <v>1791</v>
      </c>
      <c r="E98">
        <v>119</v>
      </c>
      <c r="F98" t="s">
        <v>1218</v>
      </c>
      <c r="G98" t="s">
        <v>1789</v>
      </c>
      <c r="H98" t="s">
        <v>1228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</row>
    <row r="99" spans="1:17">
      <c r="A99" s="13">
        <v>44037</v>
      </c>
      <c r="B99">
        <v>1</v>
      </c>
      <c r="C99" t="s">
        <v>1232</v>
      </c>
      <c r="D99" t="s">
        <v>1793</v>
      </c>
      <c r="E99">
        <v>2</v>
      </c>
      <c r="F99" t="s">
        <v>1218</v>
      </c>
      <c r="G99" t="s">
        <v>1792</v>
      </c>
      <c r="H99" t="s">
        <v>1231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</row>
    <row r="100" spans="1:17">
      <c r="A100" s="13">
        <v>44037</v>
      </c>
      <c r="B100">
        <v>1</v>
      </c>
      <c r="C100" t="s">
        <v>1131</v>
      </c>
      <c r="D100" t="s">
        <v>1132</v>
      </c>
      <c r="E100">
        <v>77</v>
      </c>
      <c r="F100" t="s">
        <v>1218</v>
      </c>
      <c r="G100" t="s">
        <v>1798</v>
      </c>
      <c r="H100" t="s">
        <v>1233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</row>
    <row r="101" spans="1:17">
      <c r="A101" s="13">
        <v>44037</v>
      </c>
      <c r="B101">
        <v>2</v>
      </c>
      <c r="C101" t="s">
        <v>1119</v>
      </c>
      <c r="D101" t="s">
        <v>1120</v>
      </c>
      <c r="E101">
        <v>53</v>
      </c>
      <c r="F101" t="s">
        <v>1218</v>
      </c>
      <c r="G101" t="s">
        <v>1798</v>
      </c>
      <c r="H101" t="s">
        <v>1233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</row>
    <row r="102" spans="1:17">
      <c r="A102" s="13">
        <v>44037</v>
      </c>
      <c r="B102">
        <v>1</v>
      </c>
      <c r="C102" t="s">
        <v>1151</v>
      </c>
      <c r="D102" t="s">
        <v>1152</v>
      </c>
      <c r="E102">
        <v>18</v>
      </c>
      <c r="F102" t="s">
        <v>1218</v>
      </c>
      <c r="G102" t="s">
        <v>1798</v>
      </c>
      <c r="H102" t="s">
        <v>1234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</row>
    <row r="103" spans="1:17">
      <c r="A103" s="13">
        <v>44037</v>
      </c>
      <c r="B103">
        <v>2</v>
      </c>
      <c r="C103" t="s">
        <v>1235</v>
      </c>
      <c r="D103" t="s">
        <v>1799</v>
      </c>
      <c r="E103">
        <v>12</v>
      </c>
      <c r="F103" t="s">
        <v>1218</v>
      </c>
      <c r="G103" t="s">
        <v>1798</v>
      </c>
      <c r="H103" t="s">
        <v>1234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</row>
    <row r="104" spans="1:17">
      <c r="A104" s="13">
        <v>44037</v>
      </c>
      <c r="B104">
        <v>3</v>
      </c>
      <c r="C104" t="s">
        <v>1153</v>
      </c>
      <c r="D104" t="s">
        <v>1154</v>
      </c>
      <c r="E104">
        <v>49</v>
      </c>
      <c r="F104" t="s">
        <v>1218</v>
      </c>
      <c r="G104" t="s">
        <v>1798</v>
      </c>
      <c r="H104" t="s">
        <v>1234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</row>
    <row r="105" spans="1:17">
      <c r="A105" s="13">
        <v>44037</v>
      </c>
      <c r="B105">
        <v>4</v>
      </c>
      <c r="C105" t="s">
        <v>1114</v>
      </c>
      <c r="D105" t="s">
        <v>1115</v>
      </c>
      <c r="E105">
        <v>16</v>
      </c>
      <c r="F105" t="s">
        <v>1218</v>
      </c>
      <c r="G105" t="s">
        <v>1798</v>
      </c>
      <c r="H105" t="s">
        <v>1234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</row>
    <row r="106" spans="1:17">
      <c r="A106" s="13">
        <v>44037</v>
      </c>
      <c r="B106">
        <v>5</v>
      </c>
      <c r="C106" t="s">
        <v>1149</v>
      </c>
      <c r="D106" t="s">
        <v>1150</v>
      </c>
      <c r="E106">
        <v>35</v>
      </c>
      <c r="F106" t="s">
        <v>1218</v>
      </c>
      <c r="G106" t="s">
        <v>1798</v>
      </c>
      <c r="H106" t="s">
        <v>1234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</row>
    <row r="107" spans="1:17">
      <c r="A107" s="13">
        <v>44037</v>
      </c>
      <c r="B107">
        <v>1</v>
      </c>
      <c r="C107" t="s">
        <v>1110</v>
      </c>
      <c r="D107" t="s">
        <v>1111</v>
      </c>
      <c r="E107">
        <v>28</v>
      </c>
      <c r="F107" t="s">
        <v>1218</v>
      </c>
      <c r="G107" t="s">
        <v>1798</v>
      </c>
      <c r="H107" t="s">
        <v>1236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</row>
    <row r="108" spans="1:17">
      <c r="A108" s="13">
        <v>44037</v>
      </c>
      <c r="B108">
        <v>2</v>
      </c>
      <c r="C108" t="s">
        <v>1121</v>
      </c>
      <c r="D108" t="s">
        <v>1122</v>
      </c>
      <c r="E108">
        <v>9</v>
      </c>
      <c r="F108" t="s">
        <v>1218</v>
      </c>
      <c r="G108" t="s">
        <v>1798</v>
      </c>
      <c r="H108" t="s">
        <v>1236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</row>
    <row r="109" spans="1:17">
      <c r="A109" s="13">
        <v>44037</v>
      </c>
      <c r="B109">
        <v>3</v>
      </c>
      <c r="C109" t="s">
        <v>1187</v>
      </c>
      <c r="D109" t="s">
        <v>1209</v>
      </c>
      <c r="E109">
        <v>20</v>
      </c>
      <c r="F109" t="s">
        <v>1218</v>
      </c>
      <c r="G109" t="s">
        <v>1798</v>
      </c>
      <c r="H109" t="s">
        <v>1236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</row>
    <row r="110" spans="1:17">
      <c r="A110" s="13">
        <v>44037</v>
      </c>
      <c r="B110">
        <v>4</v>
      </c>
      <c r="C110" t="s">
        <v>1180</v>
      </c>
      <c r="D110" t="s">
        <v>1202</v>
      </c>
      <c r="E110">
        <v>20</v>
      </c>
      <c r="F110" t="s">
        <v>1218</v>
      </c>
      <c r="G110" t="s">
        <v>1798</v>
      </c>
      <c r="H110" t="s">
        <v>1236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</row>
    <row r="111" spans="1:17">
      <c r="A111" s="13">
        <v>44037</v>
      </c>
      <c r="B111">
        <v>5</v>
      </c>
      <c r="C111" t="s">
        <v>1110</v>
      </c>
      <c r="D111" t="s">
        <v>1111</v>
      </c>
      <c r="E111">
        <v>1</v>
      </c>
      <c r="F111" t="s">
        <v>1218</v>
      </c>
      <c r="G111" t="s">
        <v>1798</v>
      </c>
      <c r="H111" t="s">
        <v>1236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</row>
    <row r="112" spans="1:17">
      <c r="A112" s="13">
        <v>44037</v>
      </c>
      <c r="B112">
        <v>6</v>
      </c>
      <c r="C112" t="s">
        <v>1119</v>
      </c>
      <c r="D112" t="s">
        <v>1120</v>
      </c>
      <c r="E112">
        <v>52</v>
      </c>
      <c r="F112" t="s">
        <v>1218</v>
      </c>
      <c r="G112" t="s">
        <v>1798</v>
      </c>
      <c r="H112" t="s">
        <v>1236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</row>
    <row r="113" spans="1:17">
      <c r="A113" s="13">
        <v>44037</v>
      </c>
      <c r="B113">
        <v>1</v>
      </c>
      <c r="C113" t="s">
        <v>1239</v>
      </c>
      <c r="D113" t="s">
        <v>1802</v>
      </c>
      <c r="E113">
        <v>864</v>
      </c>
      <c r="F113" t="s">
        <v>1218</v>
      </c>
      <c r="G113" t="s">
        <v>1800</v>
      </c>
      <c r="H113" t="s">
        <v>1237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</row>
    <row r="114" spans="1:17">
      <c r="A114" s="13">
        <v>44041</v>
      </c>
      <c r="B114">
        <v>1</v>
      </c>
      <c r="C114" t="s">
        <v>1221</v>
      </c>
      <c r="D114" t="s">
        <v>1782</v>
      </c>
      <c r="E114">
        <v>100</v>
      </c>
      <c r="F114" t="s">
        <v>1218</v>
      </c>
      <c r="G114" t="s">
        <v>1780</v>
      </c>
      <c r="H114" t="s">
        <v>1219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</row>
    <row r="115" spans="1:17">
      <c r="A115" s="13">
        <v>44041</v>
      </c>
      <c r="B115">
        <v>1</v>
      </c>
      <c r="C115" t="s">
        <v>1230</v>
      </c>
      <c r="D115" t="s">
        <v>1791</v>
      </c>
      <c r="E115">
        <v>180</v>
      </c>
      <c r="F115" t="s">
        <v>1218</v>
      </c>
      <c r="G115" t="s">
        <v>1789</v>
      </c>
      <c r="H115" t="s">
        <v>1228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</row>
    <row r="116" spans="1:17">
      <c r="A116" s="13">
        <v>44041</v>
      </c>
      <c r="B116">
        <v>2</v>
      </c>
      <c r="C116" t="s">
        <v>1229</v>
      </c>
      <c r="D116" t="s">
        <v>1790</v>
      </c>
      <c r="E116">
        <v>83</v>
      </c>
      <c r="F116" t="s">
        <v>1218</v>
      </c>
      <c r="G116" t="s">
        <v>1789</v>
      </c>
      <c r="H116" t="s">
        <v>1228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</row>
    <row r="117" spans="1:17">
      <c r="A117" s="13">
        <v>44041</v>
      </c>
      <c r="B117">
        <v>1</v>
      </c>
      <c r="C117" t="s">
        <v>1232</v>
      </c>
      <c r="D117" t="s">
        <v>1793</v>
      </c>
      <c r="E117">
        <v>5</v>
      </c>
      <c r="F117" t="s">
        <v>1218</v>
      </c>
      <c r="G117" t="s">
        <v>1792</v>
      </c>
      <c r="H117" t="s">
        <v>1231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</row>
    <row r="118" spans="1:17">
      <c r="A118" s="13">
        <v>44041</v>
      </c>
      <c r="B118">
        <v>1</v>
      </c>
      <c r="C118" t="s">
        <v>1119</v>
      </c>
      <c r="D118" t="s">
        <v>1120</v>
      </c>
      <c r="E118">
        <v>89</v>
      </c>
      <c r="F118" t="s">
        <v>1218</v>
      </c>
      <c r="G118" t="s">
        <v>1798</v>
      </c>
      <c r="H118" t="s">
        <v>1233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</row>
    <row r="119" spans="1:17">
      <c r="A119" s="13">
        <v>44041</v>
      </c>
      <c r="B119">
        <v>2</v>
      </c>
      <c r="C119" t="s">
        <v>1137</v>
      </c>
      <c r="D119" t="s">
        <v>1138</v>
      </c>
      <c r="E119">
        <v>15</v>
      </c>
      <c r="F119" t="s">
        <v>1218</v>
      </c>
      <c r="G119" t="s">
        <v>1798</v>
      </c>
      <c r="H119" t="s">
        <v>1233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</row>
    <row r="120" spans="1:17">
      <c r="A120" s="13">
        <v>44041</v>
      </c>
      <c r="B120">
        <v>3</v>
      </c>
      <c r="C120" t="s">
        <v>1119</v>
      </c>
      <c r="D120" t="s">
        <v>1120</v>
      </c>
      <c r="E120">
        <v>53</v>
      </c>
      <c r="F120" t="s">
        <v>1218</v>
      </c>
      <c r="G120" t="s">
        <v>1798</v>
      </c>
      <c r="H120" t="s">
        <v>1233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</row>
    <row r="121" spans="1:17">
      <c r="A121" s="13">
        <v>44041</v>
      </c>
      <c r="B121">
        <v>1</v>
      </c>
      <c r="C121" t="s">
        <v>1149</v>
      </c>
      <c r="D121" t="s">
        <v>1150</v>
      </c>
      <c r="E121">
        <v>10</v>
      </c>
      <c r="F121" t="s">
        <v>1218</v>
      </c>
      <c r="G121" t="s">
        <v>1798</v>
      </c>
      <c r="H121" t="s">
        <v>1234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</row>
    <row r="122" spans="1:17">
      <c r="A122" s="13">
        <v>44041</v>
      </c>
      <c r="B122">
        <v>2</v>
      </c>
      <c r="C122" t="s">
        <v>1151</v>
      </c>
      <c r="D122" t="s">
        <v>1152</v>
      </c>
      <c r="E122">
        <v>57</v>
      </c>
      <c r="F122" t="s">
        <v>1218</v>
      </c>
      <c r="G122" t="s">
        <v>1798</v>
      </c>
      <c r="H122" t="s">
        <v>1234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</row>
    <row r="123" spans="1:17">
      <c r="A123" s="13">
        <v>44041</v>
      </c>
      <c r="B123">
        <v>3</v>
      </c>
      <c r="C123" t="s">
        <v>1235</v>
      </c>
      <c r="D123" t="s">
        <v>1799</v>
      </c>
      <c r="E123">
        <v>15</v>
      </c>
      <c r="F123" t="s">
        <v>1218</v>
      </c>
      <c r="G123" t="s">
        <v>1798</v>
      </c>
      <c r="H123" t="s">
        <v>1234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</row>
    <row r="124" spans="1:17">
      <c r="A124" s="13">
        <v>44041</v>
      </c>
      <c r="B124">
        <v>4</v>
      </c>
      <c r="C124" t="s">
        <v>1153</v>
      </c>
      <c r="D124" t="s">
        <v>1154</v>
      </c>
      <c r="E124">
        <v>25</v>
      </c>
      <c r="F124" t="s">
        <v>1218</v>
      </c>
      <c r="G124" t="s">
        <v>1798</v>
      </c>
      <c r="H124" t="s">
        <v>1234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</row>
    <row r="125" spans="1:17">
      <c r="A125" s="13">
        <v>44041</v>
      </c>
      <c r="B125">
        <v>5</v>
      </c>
      <c r="C125" t="s">
        <v>1114</v>
      </c>
      <c r="D125" t="s">
        <v>1115</v>
      </c>
      <c r="E125">
        <v>15</v>
      </c>
      <c r="F125" t="s">
        <v>1218</v>
      </c>
      <c r="G125" t="s">
        <v>1798</v>
      </c>
      <c r="H125" t="s">
        <v>1234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</row>
    <row r="126" spans="1:17">
      <c r="A126" s="13">
        <v>44041</v>
      </c>
      <c r="B126">
        <v>6</v>
      </c>
      <c r="C126" t="s">
        <v>1149</v>
      </c>
      <c r="D126" t="s">
        <v>1150</v>
      </c>
      <c r="E126">
        <v>25</v>
      </c>
      <c r="F126" t="s">
        <v>1218</v>
      </c>
      <c r="G126" t="s">
        <v>1798</v>
      </c>
      <c r="H126" t="s">
        <v>1234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</row>
    <row r="127" spans="1:17">
      <c r="A127" s="13">
        <v>44041</v>
      </c>
      <c r="B127">
        <v>7</v>
      </c>
      <c r="C127" t="s">
        <v>1151</v>
      </c>
      <c r="D127" t="s">
        <v>1152</v>
      </c>
      <c r="E127">
        <v>11</v>
      </c>
      <c r="F127" t="s">
        <v>1218</v>
      </c>
      <c r="G127" t="s">
        <v>1798</v>
      </c>
      <c r="H127" t="s">
        <v>1234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</row>
    <row r="128" spans="1:17">
      <c r="A128" s="13">
        <v>44041</v>
      </c>
      <c r="B128">
        <v>1</v>
      </c>
      <c r="C128" t="s">
        <v>1119</v>
      </c>
      <c r="D128" t="s">
        <v>1120</v>
      </c>
      <c r="E128">
        <v>57</v>
      </c>
      <c r="F128" t="s">
        <v>1218</v>
      </c>
      <c r="G128" t="s">
        <v>1798</v>
      </c>
      <c r="H128" t="s">
        <v>1236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</row>
    <row r="129" spans="1:17">
      <c r="A129" s="13">
        <v>44041</v>
      </c>
      <c r="B129">
        <v>2</v>
      </c>
      <c r="C129" t="s">
        <v>1127</v>
      </c>
      <c r="D129" t="s">
        <v>1128</v>
      </c>
      <c r="E129">
        <v>48</v>
      </c>
      <c r="F129" t="s">
        <v>1218</v>
      </c>
      <c r="G129" t="s">
        <v>1798</v>
      </c>
      <c r="H129" t="s">
        <v>1236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</row>
    <row r="130" spans="1:17">
      <c r="A130" s="13">
        <v>44041</v>
      </c>
      <c r="B130">
        <v>3</v>
      </c>
      <c r="C130" t="s">
        <v>1119</v>
      </c>
      <c r="D130" t="s">
        <v>1120</v>
      </c>
      <c r="E130">
        <v>5</v>
      </c>
      <c r="F130" t="s">
        <v>1218</v>
      </c>
      <c r="G130" t="s">
        <v>1798</v>
      </c>
      <c r="H130" t="s">
        <v>1236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</row>
    <row r="131" spans="1:17">
      <c r="A131" s="13">
        <v>44041</v>
      </c>
      <c r="B131">
        <v>4</v>
      </c>
      <c r="C131" t="s">
        <v>1127</v>
      </c>
      <c r="D131" t="s">
        <v>1128</v>
      </c>
      <c r="E131">
        <v>48</v>
      </c>
      <c r="F131" t="s">
        <v>1218</v>
      </c>
      <c r="G131" t="s">
        <v>1798</v>
      </c>
      <c r="H131" t="s">
        <v>1236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</row>
    <row r="132" spans="1:17">
      <c r="A132" s="13">
        <v>44041</v>
      </c>
      <c r="B132">
        <v>1</v>
      </c>
      <c r="C132" t="s">
        <v>1238</v>
      </c>
      <c r="D132" t="s">
        <v>1801</v>
      </c>
      <c r="E132">
        <v>1008</v>
      </c>
      <c r="F132" t="s">
        <v>1218</v>
      </c>
      <c r="G132" t="s">
        <v>1800</v>
      </c>
      <c r="H132" t="s">
        <v>1237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</row>
    <row r="133" spans="1:17">
      <c r="A133" s="13">
        <v>44041</v>
      </c>
      <c r="B133">
        <v>2</v>
      </c>
      <c r="C133" t="s">
        <v>1240</v>
      </c>
      <c r="D133" t="s">
        <v>1803</v>
      </c>
      <c r="E133">
        <v>72</v>
      </c>
      <c r="F133" t="s">
        <v>1218</v>
      </c>
      <c r="G133" t="s">
        <v>1800</v>
      </c>
      <c r="H133" t="s">
        <v>1237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</row>
    <row r="134" spans="1:17">
      <c r="A134" s="13">
        <v>44042</v>
      </c>
      <c r="B134">
        <v>1</v>
      </c>
      <c r="C134" t="s">
        <v>1221</v>
      </c>
      <c r="D134" t="s">
        <v>1782</v>
      </c>
      <c r="E134">
        <v>50</v>
      </c>
      <c r="F134" t="s">
        <v>1218</v>
      </c>
      <c r="G134" t="s">
        <v>1780</v>
      </c>
      <c r="H134" t="s">
        <v>1219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</row>
    <row r="135" spans="1:17">
      <c r="A135" s="13">
        <v>44042</v>
      </c>
      <c r="B135">
        <v>2</v>
      </c>
      <c r="C135" t="s">
        <v>1214</v>
      </c>
      <c r="D135" t="s">
        <v>1786</v>
      </c>
      <c r="E135">
        <v>5</v>
      </c>
      <c r="F135" t="s">
        <v>1218</v>
      </c>
      <c r="G135" t="s">
        <v>1780</v>
      </c>
      <c r="H135" t="s">
        <v>1219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</row>
    <row r="136" spans="1:17">
      <c r="A136" s="13">
        <v>44042</v>
      </c>
      <c r="B136">
        <v>3</v>
      </c>
      <c r="C136" t="s">
        <v>1078</v>
      </c>
      <c r="D136" t="s">
        <v>1079</v>
      </c>
      <c r="E136">
        <v>45</v>
      </c>
      <c r="F136" t="s">
        <v>1218</v>
      </c>
      <c r="G136" t="s">
        <v>1780</v>
      </c>
      <c r="H136" t="s">
        <v>1219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</row>
    <row r="137" spans="1:17">
      <c r="A137" s="13">
        <v>44042</v>
      </c>
      <c r="B137">
        <v>1</v>
      </c>
      <c r="C137" t="s">
        <v>1230</v>
      </c>
      <c r="D137" t="s">
        <v>1791</v>
      </c>
      <c r="E137">
        <v>270</v>
      </c>
      <c r="F137" t="s">
        <v>1218</v>
      </c>
      <c r="G137" t="s">
        <v>1789</v>
      </c>
      <c r="H137" t="s">
        <v>1228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</row>
    <row r="138" spans="1:17">
      <c r="A138" s="13">
        <v>44042</v>
      </c>
      <c r="B138">
        <v>1</v>
      </c>
      <c r="C138" t="s">
        <v>1232</v>
      </c>
      <c r="D138" t="s">
        <v>1793</v>
      </c>
      <c r="E138">
        <v>4</v>
      </c>
      <c r="F138" t="s">
        <v>1218</v>
      </c>
      <c r="G138" t="s">
        <v>1792</v>
      </c>
      <c r="H138" t="s">
        <v>1231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</row>
    <row r="139" spans="1:17">
      <c r="A139" s="13">
        <v>44042</v>
      </c>
      <c r="B139">
        <v>1</v>
      </c>
      <c r="C139" t="s">
        <v>1119</v>
      </c>
      <c r="D139" t="s">
        <v>1120</v>
      </c>
      <c r="E139">
        <v>57</v>
      </c>
      <c r="F139" t="s">
        <v>1218</v>
      </c>
      <c r="G139" t="s">
        <v>1798</v>
      </c>
      <c r="H139" t="s">
        <v>1233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</row>
    <row r="140" spans="1:17">
      <c r="A140" s="13">
        <v>44042</v>
      </c>
      <c r="B140">
        <v>2</v>
      </c>
      <c r="C140" t="s">
        <v>1135</v>
      </c>
      <c r="D140" t="s">
        <v>1136</v>
      </c>
      <c r="E140">
        <v>27</v>
      </c>
      <c r="F140" t="s">
        <v>1218</v>
      </c>
      <c r="G140" t="s">
        <v>1798</v>
      </c>
      <c r="H140" t="s">
        <v>1233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</row>
    <row r="141" spans="1:17">
      <c r="A141" s="13">
        <v>44042</v>
      </c>
      <c r="B141">
        <v>3</v>
      </c>
      <c r="C141" t="s">
        <v>1181</v>
      </c>
      <c r="D141" t="s">
        <v>1203</v>
      </c>
      <c r="E141">
        <v>8</v>
      </c>
      <c r="F141" t="s">
        <v>1218</v>
      </c>
      <c r="G141" t="s">
        <v>1798</v>
      </c>
      <c r="H141" t="s">
        <v>1233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</row>
    <row r="142" spans="1:17">
      <c r="A142" s="13">
        <v>44042</v>
      </c>
      <c r="B142">
        <v>4</v>
      </c>
      <c r="C142" t="s">
        <v>1137</v>
      </c>
      <c r="D142" t="s">
        <v>1138</v>
      </c>
      <c r="E142">
        <v>15</v>
      </c>
      <c r="F142" t="s">
        <v>1218</v>
      </c>
      <c r="G142" t="s">
        <v>1798</v>
      </c>
      <c r="H142" t="s">
        <v>1233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</row>
    <row r="143" spans="1:17">
      <c r="A143" s="13">
        <v>44042</v>
      </c>
      <c r="B143">
        <v>5</v>
      </c>
      <c r="C143" t="s">
        <v>1119</v>
      </c>
      <c r="D143" t="s">
        <v>1120</v>
      </c>
      <c r="E143">
        <v>53</v>
      </c>
      <c r="F143" t="s">
        <v>1218</v>
      </c>
      <c r="G143" t="s">
        <v>1798</v>
      </c>
      <c r="H143" t="s">
        <v>1233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</row>
    <row r="144" spans="1:17">
      <c r="A144" s="13">
        <v>44042</v>
      </c>
      <c r="B144">
        <v>1</v>
      </c>
      <c r="C144" t="s">
        <v>1151</v>
      </c>
      <c r="D144" t="s">
        <v>1152</v>
      </c>
      <c r="E144">
        <v>32</v>
      </c>
      <c r="F144" t="s">
        <v>1218</v>
      </c>
      <c r="G144" t="s">
        <v>1798</v>
      </c>
      <c r="H144" t="s">
        <v>1234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</row>
    <row r="145" spans="1:17">
      <c r="A145" s="13">
        <v>44042</v>
      </c>
      <c r="B145">
        <v>2</v>
      </c>
      <c r="C145" t="s">
        <v>1235</v>
      </c>
      <c r="D145" t="s">
        <v>1799</v>
      </c>
      <c r="E145">
        <v>15</v>
      </c>
      <c r="F145" t="s">
        <v>1218</v>
      </c>
      <c r="G145" t="s">
        <v>1798</v>
      </c>
      <c r="H145" t="s">
        <v>1234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</row>
    <row r="146" spans="1:17">
      <c r="A146" s="13">
        <v>44042</v>
      </c>
      <c r="B146">
        <v>3</v>
      </c>
      <c r="C146" t="s">
        <v>1153</v>
      </c>
      <c r="D146" t="s">
        <v>1154</v>
      </c>
      <c r="E146">
        <v>62</v>
      </c>
      <c r="F146" t="s">
        <v>1218</v>
      </c>
      <c r="G146" t="s">
        <v>1798</v>
      </c>
      <c r="H146" t="s">
        <v>1234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</row>
    <row r="147" spans="1:17">
      <c r="A147" s="13">
        <v>44042</v>
      </c>
      <c r="B147">
        <v>4</v>
      </c>
      <c r="C147" t="s">
        <v>1114</v>
      </c>
      <c r="D147" t="s">
        <v>1115</v>
      </c>
      <c r="E147">
        <v>11</v>
      </c>
      <c r="F147" t="s">
        <v>1218</v>
      </c>
      <c r="G147" t="s">
        <v>1798</v>
      </c>
      <c r="H147" t="s">
        <v>1234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</row>
    <row r="148" spans="1:17">
      <c r="A148" s="13">
        <v>44042</v>
      </c>
      <c r="B148">
        <v>5</v>
      </c>
      <c r="C148" t="s">
        <v>1151</v>
      </c>
      <c r="D148" t="s">
        <v>1152</v>
      </c>
      <c r="E148">
        <v>40</v>
      </c>
      <c r="F148" t="s">
        <v>1218</v>
      </c>
      <c r="G148" t="s">
        <v>1798</v>
      </c>
      <c r="H148" t="s">
        <v>1234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</row>
    <row r="149" spans="1:17">
      <c r="A149" s="13">
        <v>44042</v>
      </c>
      <c r="B149">
        <v>1</v>
      </c>
      <c r="C149" t="s">
        <v>1127</v>
      </c>
      <c r="D149" t="s">
        <v>1128</v>
      </c>
      <c r="E149">
        <v>160</v>
      </c>
      <c r="F149" t="s">
        <v>1218</v>
      </c>
      <c r="G149" t="s">
        <v>1798</v>
      </c>
      <c r="H149" t="s">
        <v>1236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</row>
    <row r="150" spans="1:17">
      <c r="A150" s="13">
        <v>44042</v>
      </c>
      <c r="B150">
        <v>1</v>
      </c>
      <c r="C150" t="s">
        <v>1240</v>
      </c>
      <c r="D150" t="s">
        <v>1803</v>
      </c>
      <c r="E150">
        <v>360</v>
      </c>
      <c r="F150" t="s">
        <v>1218</v>
      </c>
      <c r="G150" t="s">
        <v>1800</v>
      </c>
      <c r="H150" t="s">
        <v>1237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</row>
    <row r="151" spans="1:17">
      <c r="A151" s="13">
        <v>44042</v>
      </c>
      <c r="B151">
        <v>2</v>
      </c>
      <c r="C151" t="s">
        <v>1239</v>
      </c>
      <c r="D151" t="s">
        <v>1802</v>
      </c>
      <c r="E151">
        <v>720</v>
      </c>
      <c r="F151" t="s">
        <v>1218</v>
      </c>
      <c r="G151" t="s">
        <v>1800</v>
      </c>
      <c r="H151" t="s">
        <v>1237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</row>
    <row r="152" spans="1:17">
      <c r="A152" s="13">
        <v>44043</v>
      </c>
      <c r="B152">
        <v>1</v>
      </c>
      <c r="C152" t="s">
        <v>1078</v>
      </c>
      <c r="D152" t="s">
        <v>1079</v>
      </c>
      <c r="E152">
        <v>87</v>
      </c>
      <c r="F152" t="s">
        <v>1218</v>
      </c>
      <c r="G152" t="s">
        <v>1780</v>
      </c>
      <c r="H152" t="s">
        <v>1219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</row>
    <row r="153" spans="1:17">
      <c r="A153" s="13">
        <v>44043</v>
      </c>
      <c r="B153">
        <v>2</v>
      </c>
      <c r="C153" t="s">
        <v>1225</v>
      </c>
      <c r="D153" t="s">
        <v>1787</v>
      </c>
      <c r="E153">
        <v>12</v>
      </c>
      <c r="F153" t="s">
        <v>1218</v>
      </c>
      <c r="G153" t="s">
        <v>1780</v>
      </c>
      <c r="H153" t="s">
        <v>1219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</row>
    <row r="154" spans="1:17">
      <c r="A154" s="13">
        <v>44043</v>
      </c>
      <c r="B154">
        <v>3</v>
      </c>
      <c r="C154" t="s">
        <v>1226</v>
      </c>
      <c r="D154" t="s">
        <v>1788</v>
      </c>
      <c r="E154">
        <v>1</v>
      </c>
      <c r="F154" t="s">
        <v>1218</v>
      </c>
      <c r="G154" t="s">
        <v>1780</v>
      </c>
      <c r="H154" t="s">
        <v>1219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</row>
    <row r="155" spans="1:17">
      <c r="A155" s="13">
        <v>44043</v>
      </c>
      <c r="B155">
        <v>1</v>
      </c>
      <c r="C155" t="s">
        <v>1230</v>
      </c>
      <c r="D155" t="s">
        <v>1791</v>
      </c>
      <c r="E155">
        <v>277</v>
      </c>
      <c r="F155" t="s">
        <v>1218</v>
      </c>
      <c r="G155" t="s">
        <v>1789</v>
      </c>
      <c r="H155" t="s">
        <v>1228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</row>
    <row r="156" spans="1:17">
      <c r="A156" s="13">
        <v>44043</v>
      </c>
      <c r="B156">
        <v>1</v>
      </c>
      <c r="C156" t="s">
        <v>1232</v>
      </c>
      <c r="D156" t="s">
        <v>1793</v>
      </c>
      <c r="E156">
        <v>4</v>
      </c>
      <c r="F156" t="s">
        <v>1218</v>
      </c>
      <c r="G156" t="s">
        <v>1792</v>
      </c>
      <c r="H156" t="s">
        <v>1231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</row>
    <row r="157" spans="1:17">
      <c r="A157" s="13">
        <v>44043</v>
      </c>
      <c r="B157">
        <v>1</v>
      </c>
      <c r="C157" t="s">
        <v>1119</v>
      </c>
      <c r="D157" t="s">
        <v>1120</v>
      </c>
      <c r="E157">
        <v>30</v>
      </c>
      <c r="F157" t="s">
        <v>1218</v>
      </c>
      <c r="G157" t="s">
        <v>1798</v>
      </c>
      <c r="H157" t="s">
        <v>1233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</row>
    <row r="158" spans="1:17">
      <c r="A158" s="13">
        <v>44043</v>
      </c>
      <c r="B158">
        <v>2</v>
      </c>
      <c r="C158" t="s">
        <v>1121</v>
      </c>
      <c r="D158" t="s">
        <v>1122</v>
      </c>
      <c r="E158">
        <v>10</v>
      </c>
      <c r="F158" t="s">
        <v>1218</v>
      </c>
      <c r="G158" t="s">
        <v>1798</v>
      </c>
      <c r="H158" t="s">
        <v>1233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</row>
    <row r="159" spans="1:17">
      <c r="A159" s="13">
        <v>44043</v>
      </c>
      <c r="B159">
        <v>3</v>
      </c>
      <c r="C159" t="s">
        <v>1123</v>
      </c>
      <c r="D159" t="s">
        <v>1124</v>
      </c>
      <c r="E159">
        <v>5</v>
      </c>
      <c r="F159" t="s">
        <v>1218</v>
      </c>
      <c r="G159" t="s">
        <v>1798</v>
      </c>
      <c r="H159" t="s">
        <v>1233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</row>
    <row r="160" spans="1:17">
      <c r="A160" s="13">
        <v>44043</v>
      </c>
      <c r="B160">
        <v>4</v>
      </c>
      <c r="C160" t="s">
        <v>1129</v>
      </c>
      <c r="D160" t="s">
        <v>1130</v>
      </c>
      <c r="E160">
        <v>23</v>
      </c>
      <c r="F160" t="s">
        <v>1218</v>
      </c>
      <c r="G160" t="s">
        <v>1798</v>
      </c>
      <c r="H160" t="s">
        <v>1233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</row>
    <row r="161" spans="1:17">
      <c r="A161" s="13">
        <v>44043</v>
      </c>
      <c r="B161">
        <v>5</v>
      </c>
      <c r="C161" t="s">
        <v>1137</v>
      </c>
      <c r="D161" t="s">
        <v>1138</v>
      </c>
      <c r="E161">
        <v>9</v>
      </c>
      <c r="F161" t="s">
        <v>1218</v>
      </c>
      <c r="G161" t="s">
        <v>1798</v>
      </c>
      <c r="H161" t="s">
        <v>1233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</row>
    <row r="162" spans="1:17">
      <c r="A162" s="13">
        <v>44043</v>
      </c>
      <c r="B162">
        <v>6</v>
      </c>
      <c r="C162" t="s">
        <v>1123</v>
      </c>
      <c r="D162" t="s">
        <v>1124</v>
      </c>
      <c r="E162">
        <v>13</v>
      </c>
      <c r="F162" t="s">
        <v>1218</v>
      </c>
      <c r="G162" t="s">
        <v>1798</v>
      </c>
      <c r="H162" t="s">
        <v>1233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</row>
    <row r="163" spans="1:17">
      <c r="A163" s="13">
        <v>44043</v>
      </c>
      <c r="B163">
        <v>7</v>
      </c>
      <c r="C163" t="s">
        <v>1127</v>
      </c>
      <c r="D163" t="s">
        <v>1128</v>
      </c>
      <c r="E163">
        <v>40</v>
      </c>
      <c r="F163" t="s">
        <v>1218</v>
      </c>
      <c r="G163" t="s">
        <v>1798</v>
      </c>
      <c r="H163" t="s">
        <v>1233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</row>
    <row r="164" spans="1:17">
      <c r="A164" s="13">
        <v>44043</v>
      </c>
      <c r="B164">
        <v>1</v>
      </c>
      <c r="C164" t="s">
        <v>1151</v>
      </c>
      <c r="D164" t="s">
        <v>1152</v>
      </c>
      <c r="E164">
        <v>40</v>
      </c>
      <c r="F164" t="s">
        <v>1218</v>
      </c>
      <c r="G164" t="s">
        <v>1798</v>
      </c>
      <c r="H164" t="s">
        <v>1234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</row>
    <row r="165" spans="1:17">
      <c r="A165" s="13">
        <v>44043</v>
      </c>
      <c r="B165">
        <v>2</v>
      </c>
      <c r="C165" t="s">
        <v>1235</v>
      </c>
      <c r="D165" t="s">
        <v>1799</v>
      </c>
      <c r="E165">
        <v>15</v>
      </c>
      <c r="F165" t="s">
        <v>1218</v>
      </c>
      <c r="G165" t="s">
        <v>1798</v>
      </c>
      <c r="H165" t="s">
        <v>1234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</row>
    <row r="166" spans="1:17">
      <c r="A166" s="13">
        <v>44043</v>
      </c>
      <c r="B166">
        <v>3</v>
      </c>
      <c r="C166" t="s">
        <v>1153</v>
      </c>
      <c r="D166" t="s">
        <v>1154</v>
      </c>
      <c r="E166">
        <v>24</v>
      </c>
      <c r="F166" t="s">
        <v>1218</v>
      </c>
      <c r="G166" t="s">
        <v>1798</v>
      </c>
      <c r="H166" t="s">
        <v>1234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</row>
    <row r="167" spans="1:17">
      <c r="A167" s="13">
        <v>44043</v>
      </c>
      <c r="B167">
        <v>4</v>
      </c>
      <c r="C167" t="s">
        <v>1114</v>
      </c>
      <c r="D167" t="s">
        <v>1115</v>
      </c>
      <c r="E167">
        <v>45</v>
      </c>
      <c r="F167" t="s">
        <v>1218</v>
      </c>
      <c r="G167" t="s">
        <v>1798</v>
      </c>
      <c r="H167" t="s">
        <v>1234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</row>
    <row r="168" spans="1:17">
      <c r="A168" s="13">
        <v>44043</v>
      </c>
      <c r="B168">
        <v>5</v>
      </c>
      <c r="C168" t="s">
        <v>1149</v>
      </c>
      <c r="D168" t="s">
        <v>1150</v>
      </c>
      <c r="E168">
        <v>6</v>
      </c>
      <c r="F168" t="s">
        <v>1218</v>
      </c>
      <c r="G168" t="s">
        <v>1798</v>
      </c>
      <c r="H168" t="s">
        <v>1234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</row>
    <row r="169" spans="1:17">
      <c r="A169" s="13">
        <v>44043</v>
      </c>
      <c r="B169">
        <v>1</v>
      </c>
      <c r="C169" t="s">
        <v>1127</v>
      </c>
      <c r="D169" t="s">
        <v>1128</v>
      </c>
      <c r="E169">
        <v>77</v>
      </c>
      <c r="F169" t="s">
        <v>1218</v>
      </c>
      <c r="G169" t="s">
        <v>1798</v>
      </c>
      <c r="H169" t="s">
        <v>1236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</row>
    <row r="170" spans="1:17">
      <c r="A170" s="13">
        <v>44043</v>
      </c>
      <c r="B170">
        <v>2</v>
      </c>
      <c r="C170" t="s">
        <v>1121</v>
      </c>
      <c r="D170" t="s">
        <v>1122</v>
      </c>
      <c r="E170">
        <v>53</v>
      </c>
      <c r="F170" t="s">
        <v>1218</v>
      </c>
      <c r="G170" t="s">
        <v>1798</v>
      </c>
      <c r="H170" t="s">
        <v>1236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</row>
    <row r="171" spans="1:17">
      <c r="A171" s="13">
        <v>44043</v>
      </c>
      <c r="B171">
        <v>1</v>
      </c>
      <c r="C171" t="s">
        <v>1239</v>
      </c>
      <c r="D171" t="s">
        <v>1802</v>
      </c>
      <c r="E171">
        <v>864</v>
      </c>
      <c r="F171" t="s">
        <v>1218</v>
      </c>
      <c r="G171" t="s">
        <v>1800</v>
      </c>
      <c r="H171" t="s">
        <v>1237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</row>
    <row r="172" spans="1:17">
      <c r="A172" s="13">
        <v>44046</v>
      </c>
      <c r="B172">
        <v>1</v>
      </c>
      <c r="C172" t="s">
        <v>1220</v>
      </c>
      <c r="D172" t="s">
        <v>1781</v>
      </c>
      <c r="E172">
        <v>360</v>
      </c>
      <c r="F172" t="s">
        <v>1218</v>
      </c>
      <c r="G172" t="s">
        <v>1780</v>
      </c>
      <c r="H172" t="s">
        <v>1219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</row>
    <row r="173" spans="1:17">
      <c r="A173" s="13">
        <v>44046</v>
      </c>
      <c r="B173">
        <v>1</v>
      </c>
      <c r="C173" t="s">
        <v>1230</v>
      </c>
      <c r="D173" t="s">
        <v>1791</v>
      </c>
      <c r="E173">
        <v>165</v>
      </c>
      <c r="F173" t="s">
        <v>1218</v>
      </c>
      <c r="G173" t="s">
        <v>1789</v>
      </c>
      <c r="H173" t="s">
        <v>1228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</row>
    <row r="174" spans="1:17">
      <c r="A174" s="13">
        <v>44046</v>
      </c>
      <c r="B174">
        <v>2</v>
      </c>
      <c r="C174" t="s">
        <v>1229</v>
      </c>
      <c r="D174" t="s">
        <v>1790</v>
      </c>
      <c r="E174">
        <v>33</v>
      </c>
      <c r="F174" t="s">
        <v>1218</v>
      </c>
      <c r="G174" t="s">
        <v>1789</v>
      </c>
      <c r="H174" t="s">
        <v>1228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</row>
    <row r="175" spans="1:17">
      <c r="A175" s="13">
        <v>44046</v>
      </c>
      <c r="B175">
        <v>1</v>
      </c>
      <c r="C175" t="s">
        <v>1232</v>
      </c>
      <c r="D175" t="s">
        <v>1793</v>
      </c>
      <c r="E175">
        <v>7</v>
      </c>
      <c r="F175" t="s">
        <v>1218</v>
      </c>
      <c r="G175" t="s">
        <v>1792</v>
      </c>
      <c r="H175" t="s">
        <v>1231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</row>
    <row r="176" spans="1:17">
      <c r="A176" s="13">
        <v>44046</v>
      </c>
      <c r="B176">
        <v>1</v>
      </c>
      <c r="C176" t="s">
        <v>1127</v>
      </c>
      <c r="D176" t="s">
        <v>1128</v>
      </c>
      <c r="E176">
        <v>76</v>
      </c>
      <c r="F176" t="s">
        <v>1218</v>
      </c>
      <c r="G176" t="s">
        <v>1798</v>
      </c>
      <c r="H176" t="s">
        <v>1233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</row>
    <row r="177" spans="1:17">
      <c r="A177" s="13">
        <v>44046</v>
      </c>
      <c r="B177">
        <v>2</v>
      </c>
      <c r="C177" t="s">
        <v>1133</v>
      </c>
      <c r="D177" t="s">
        <v>1134</v>
      </c>
      <c r="E177">
        <v>22</v>
      </c>
      <c r="F177" t="s">
        <v>1218</v>
      </c>
      <c r="G177" t="s">
        <v>1798</v>
      </c>
      <c r="H177" t="s">
        <v>1233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</row>
    <row r="178" spans="1:17">
      <c r="A178" s="13">
        <v>44046</v>
      </c>
      <c r="B178">
        <v>3</v>
      </c>
      <c r="C178" t="s">
        <v>1137</v>
      </c>
      <c r="D178" t="s">
        <v>1138</v>
      </c>
      <c r="E178">
        <v>60</v>
      </c>
      <c r="F178" t="s">
        <v>1218</v>
      </c>
      <c r="G178" t="s">
        <v>1798</v>
      </c>
      <c r="H178" t="s">
        <v>1233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</row>
    <row r="179" spans="1:17">
      <c r="A179" s="13">
        <v>44046</v>
      </c>
      <c r="B179">
        <v>4</v>
      </c>
      <c r="C179" t="s">
        <v>1139</v>
      </c>
      <c r="D179" t="s">
        <v>1140</v>
      </c>
      <c r="E179">
        <v>3</v>
      </c>
      <c r="F179" t="s">
        <v>1218</v>
      </c>
      <c r="G179" t="s">
        <v>1798</v>
      </c>
      <c r="H179" t="s">
        <v>1233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</row>
    <row r="180" spans="1:17">
      <c r="A180" s="13">
        <v>44046</v>
      </c>
      <c r="B180">
        <v>5</v>
      </c>
      <c r="C180" t="s">
        <v>1123</v>
      </c>
      <c r="D180" t="s">
        <v>1124</v>
      </c>
      <c r="E180">
        <v>50</v>
      </c>
      <c r="F180" t="s">
        <v>1218</v>
      </c>
      <c r="G180" t="s">
        <v>1798</v>
      </c>
      <c r="H180" t="s">
        <v>1233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</row>
    <row r="181" spans="1:17">
      <c r="A181" s="13">
        <v>44046</v>
      </c>
      <c r="B181">
        <v>1</v>
      </c>
      <c r="C181" t="s">
        <v>1149</v>
      </c>
      <c r="D181" t="s">
        <v>1150</v>
      </c>
      <c r="E181">
        <v>107</v>
      </c>
      <c r="F181" t="s">
        <v>1218</v>
      </c>
      <c r="G181" t="s">
        <v>1798</v>
      </c>
      <c r="H181" t="s">
        <v>1234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</row>
    <row r="182" spans="1:17">
      <c r="A182" s="13">
        <v>44046</v>
      </c>
      <c r="B182">
        <v>2</v>
      </c>
      <c r="C182" t="s">
        <v>1235</v>
      </c>
      <c r="D182" t="s">
        <v>1799</v>
      </c>
      <c r="E182">
        <v>15</v>
      </c>
      <c r="F182" t="s">
        <v>1218</v>
      </c>
      <c r="G182" t="s">
        <v>1798</v>
      </c>
      <c r="H182" t="s">
        <v>1234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</row>
    <row r="183" spans="1:17">
      <c r="A183" s="13">
        <v>44046</v>
      </c>
      <c r="B183">
        <v>3</v>
      </c>
      <c r="C183" t="s">
        <v>1153</v>
      </c>
      <c r="D183" t="s">
        <v>1154</v>
      </c>
      <c r="E183">
        <v>38</v>
      </c>
      <c r="F183" t="s">
        <v>1218</v>
      </c>
      <c r="G183" t="s">
        <v>1798</v>
      </c>
      <c r="H183" t="s">
        <v>1234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</row>
    <row r="184" spans="1:17">
      <c r="A184" s="13">
        <v>44046</v>
      </c>
      <c r="B184">
        <v>4</v>
      </c>
      <c r="C184" t="s">
        <v>1235</v>
      </c>
      <c r="D184" t="s">
        <v>1799</v>
      </c>
      <c r="E184">
        <v>12</v>
      </c>
      <c r="F184" t="s">
        <v>1218</v>
      </c>
      <c r="G184" t="s">
        <v>1798</v>
      </c>
      <c r="H184" t="s">
        <v>1234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</row>
    <row r="185" spans="1:17">
      <c r="A185" s="13">
        <v>44046</v>
      </c>
      <c r="B185">
        <v>5</v>
      </c>
      <c r="C185" t="s">
        <v>1153</v>
      </c>
      <c r="D185" t="s">
        <v>1154</v>
      </c>
      <c r="E185">
        <v>39</v>
      </c>
      <c r="F185" t="s">
        <v>1218</v>
      </c>
      <c r="G185" t="s">
        <v>1798</v>
      </c>
      <c r="H185" t="s">
        <v>1234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</row>
    <row r="186" spans="1:17">
      <c r="A186" s="13">
        <v>44046</v>
      </c>
      <c r="B186">
        <v>1</v>
      </c>
      <c r="C186" t="s">
        <v>1121</v>
      </c>
      <c r="D186" t="s">
        <v>1122</v>
      </c>
      <c r="E186">
        <v>8</v>
      </c>
      <c r="F186" t="s">
        <v>1218</v>
      </c>
      <c r="G186" t="s">
        <v>1798</v>
      </c>
      <c r="H186" t="s">
        <v>1236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</row>
    <row r="187" spans="1:17">
      <c r="A187" s="13">
        <v>44046</v>
      </c>
      <c r="B187">
        <v>2</v>
      </c>
      <c r="C187" t="s">
        <v>1127</v>
      </c>
      <c r="D187" t="s">
        <v>1128</v>
      </c>
      <c r="E187">
        <v>100</v>
      </c>
      <c r="F187" t="s">
        <v>1218</v>
      </c>
      <c r="G187" t="s">
        <v>1798</v>
      </c>
      <c r="H187" t="s">
        <v>1236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</row>
    <row r="188" spans="1:17">
      <c r="A188" s="13">
        <v>44046</v>
      </c>
      <c r="B188">
        <v>3</v>
      </c>
      <c r="C188" t="s">
        <v>1133</v>
      </c>
      <c r="D188" t="s">
        <v>1134</v>
      </c>
      <c r="E188">
        <v>50</v>
      </c>
      <c r="F188" t="s">
        <v>1218</v>
      </c>
      <c r="G188" t="s">
        <v>1798</v>
      </c>
      <c r="H188" t="s">
        <v>1236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</row>
    <row r="189" spans="1:17">
      <c r="A189" s="13">
        <v>44046</v>
      </c>
      <c r="B189">
        <v>4</v>
      </c>
      <c r="C189" t="s">
        <v>1119</v>
      </c>
      <c r="D189" t="s">
        <v>1120</v>
      </c>
      <c r="E189">
        <v>53</v>
      </c>
      <c r="F189" t="s">
        <v>1218</v>
      </c>
      <c r="G189" t="s">
        <v>1798</v>
      </c>
      <c r="H189" t="s">
        <v>1236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</row>
    <row r="190" spans="1:17">
      <c r="A190" s="13">
        <v>44046</v>
      </c>
      <c r="B190">
        <v>1</v>
      </c>
      <c r="C190" t="s">
        <v>1238</v>
      </c>
      <c r="D190" t="s">
        <v>1801</v>
      </c>
      <c r="E190">
        <v>864</v>
      </c>
      <c r="F190" t="s">
        <v>1218</v>
      </c>
      <c r="G190" t="s">
        <v>1800</v>
      </c>
      <c r="H190" t="s">
        <v>1237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</row>
    <row r="191" spans="1:17">
      <c r="A191" s="13">
        <v>44047</v>
      </c>
      <c r="B191">
        <v>1</v>
      </c>
      <c r="C191" t="s">
        <v>1220</v>
      </c>
      <c r="D191" t="s">
        <v>1781</v>
      </c>
      <c r="E191">
        <v>360</v>
      </c>
      <c r="F191" t="s">
        <v>1218</v>
      </c>
      <c r="G191" t="s">
        <v>1780</v>
      </c>
      <c r="H191" t="s">
        <v>1219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</row>
    <row r="192" spans="1:17">
      <c r="A192" s="13">
        <v>44047</v>
      </c>
      <c r="B192">
        <v>1</v>
      </c>
      <c r="C192" t="s">
        <v>1230</v>
      </c>
      <c r="D192" t="s">
        <v>1791</v>
      </c>
      <c r="E192">
        <v>608</v>
      </c>
      <c r="F192" t="s">
        <v>1218</v>
      </c>
      <c r="G192" t="s">
        <v>1789</v>
      </c>
      <c r="H192" t="s">
        <v>1228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</row>
    <row r="193" spans="1:17">
      <c r="A193" s="13">
        <v>44047</v>
      </c>
      <c r="B193">
        <v>1</v>
      </c>
      <c r="C193" t="s">
        <v>1232</v>
      </c>
      <c r="D193" t="s">
        <v>1793</v>
      </c>
      <c r="E193">
        <v>7</v>
      </c>
      <c r="F193" t="s">
        <v>1218</v>
      </c>
      <c r="G193" t="s">
        <v>1792</v>
      </c>
      <c r="H193" t="s">
        <v>1231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</row>
    <row r="194" spans="1:17">
      <c r="A194" s="13">
        <v>44047</v>
      </c>
      <c r="B194">
        <v>1</v>
      </c>
      <c r="C194" t="s">
        <v>1123</v>
      </c>
      <c r="D194" t="s">
        <v>1124</v>
      </c>
      <c r="E194">
        <v>68</v>
      </c>
      <c r="F194" t="s">
        <v>1218</v>
      </c>
      <c r="G194" t="s">
        <v>1798</v>
      </c>
      <c r="H194" t="s">
        <v>1233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</row>
    <row r="195" spans="1:17">
      <c r="A195" s="13">
        <v>44047</v>
      </c>
      <c r="B195">
        <v>2</v>
      </c>
      <c r="C195" t="s">
        <v>1137</v>
      </c>
      <c r="D195" t="s">
        <v>1138</v>
      </c>
      <c r="E195">
        <v>34</v>
      </c>
      <c r="F195" t="s">
        <v>1218</v>
      </c>
      <c r="G195" t="s">
        <v>1798</v>
      </c>
      <c r="H195" t="s">
        <v>1233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</row>
    <row r="196" spans="1:17">
      <c r="A196" s="13">
        <v>44047</v>
      </c>
      <c r="B196">
        <v>3</v>
      </c>
      <c r="C196" t="s">
        <v>1127</v>
      </c>
      <c r="D196" t="s">
        <v>1128</v>
      </c>
      <c r="E196">
        <v>61</v>
      </c>
      <c r="F196" t="s">
        <v>1218</v>
      </c>
      <c r="G196" t="s">
        <v>1798</v>
      </c>
      <c r="H196" t="s">
        <v>1233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</row>
    <row r="197" spans="1:17">
      <c r="A197" s="13">
        <v>44047</v>
      </c>
      <c r="B197">
        <v>4</v>
      </c>
      <c r="C197" t="s">
        <v>1133</v>
      </c>
      <c r="D197" t="s">
        <v>1134</v>
      </c>
      <c r="E197">
        <v>74</v>
      </c>
      <c r="F197" t="s">
        <v>1218</v>
      </c>
      <c r="G197" t="s">
        <v>1798</v>
      </c>
      <c r="H197" t="s">
        <v>1233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</row>
    <row r="198" spans="1:17">
      <c r="A198" s="13">
        <v>44047</v>
      </c>
      <c r="B198">
        <v>5</v>
      </c>
      <c r="C198" t="s">
        <v>1123</v>
      </c>
      <c r="D198" t="s">
        <v>1124</v>
      </c>
      <c r="E198">
        <v>53</v>
      </c>
      <c r="F198" t="s">
        <v>1218</v>
      </c>
      <c r="G198" t="s">
        <v>1798</v>
      </c>
      <c r="H198" t="s">
        <v>1233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</row>
    <row r="199" spans="1:17">
      <c r="A199" s="13">
        <v>44047</v>
      </c>
      <c r="B199">
        <v>1</v>
      </c>
      <c r="C199" t="s">
        <v>1153</v>
      </c>
      <c r="D199" t="s">
        <v>1154</v>
      </c>
      <c r="E199">
        <v>51</v>
      </c>
      <c r="F199" t="s">
        <v>1218</v>
      </c>
      <c r="G199" t="s">
        <v>1798</v>
      </c>
      <c r="H199" t="s">
        <v>1234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</row>
    <row r="200" spans="1:17">
      <c r="A200" s="13">
        <v>44047</v>
      </c>
      <c r="B200">
        <v>2</v>
      </c>
      <c r="C200" t="s">
        <v>1149</v>
      </c>
      <c r="D200" t="s">
        <v>1150</v>
      </c>
      <c r="E200">
        <v>188</v>
      </c>
      <c r="F200" t="s">
        <v>1218</v>
      </c>
      <c r="G200" t="s">
        <v>1798</v>
      </c>
      <c r="H200" t="s">
        <v>1234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</row>
    <row r="201" spans="1:17">
      <c r="A201" s="13">
        <v>44047</v>
      </c>
      <c r="B201">
        <v>3</v>
      </c>
      <c r="C201" t="s">
        <v>1235</v>
      </c>
      <c r="D201" t="s">
        <v>1799</v>
      </c>
      <c r="E201">
        <v>15</v>
      </c>
      <c r="F201" t="s">
        <v>1218</v>
      </c>
      <c r="G201" t="s">
        <v>1798</v>
      </c>
      <c r="H201" t="s">
        <v>1234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</row>
    <row r="202" spans="1:17">
      <c r="A202" s="13">
        <v>44047</v>
      </c>
      <c r="B202">
        <v>4</v>
      </c>
      <c r="C202" t="s">
        <v>1119</v>
      </c>
      <c r="D202" t="s">
        <v>1120</v>
      </c>
      <c r="E202">
        <v>36</v>
      </c>
      <c r="F202" t="s">
        <v>1218</v>
      </c>
      <c r="G202" t="s">
        <v>1798</v>
      </c>
      <c r="H202" t="s">
        <v>1234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</row>
    <row r="203" spans="1:17">
      <c r="A203" s="13">
        <v>44047</v>
      </c>
      <c r="B203">
        <v>1</v>
      </c>
      <c r="C203" t="s">
        <v>1119</v>
      </c>
      <c r="D203" t="s">
        <v>1120</v>
      </c>
      <c r="E203">
        <v>91</v>
      </c>
      <c r="F203" t="s">
        <v>1218</v>
      </c>
      <c r="G203" t="s">
        <v>1798</v>
      </c>
      <c r="H203" t="s">
        <v>1236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</row>
    <row r="204" spans="1:17">
      <c r="A204" s="13">
        <v>44047</v>
      </c>
      <c r="B204">
        <v>2</v>
      </c>
      <c r="C204" t="s">
        <v>1127</v>
      </c>
      <c r="D204" t="s">
        <v>1128</v>
      </c>
      <c r="E204">
        <v>100</v>
      </c>
      <c r="F204" t="s">
        <v>1218</v>
      </c>
      <c r="G204" t="s">
        <v>1798</v>
      </c>
      <c r="H204" t="s">
        <v>1236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</row>
    <row r="205" spans="1:17">
      <c r="A205" s="13">
        <v>44047</v>
      </c>
      <c r="B205">
        <v>3</v>
      </c>
      <c r="C205" t="s">
        <v>1133</v>
      </c>
      <c r="D205" t="s">
        <v>1134</v>
      </c>
      <c r="E205">
        <v>46</v>
      </c>
      <c r="F205" t="s">
        <v>1218</v>
      </c>
      <c r="G205" t="s">
        <v>1798</v>
      </c>
      <c r="H205" t="s">
        <v>1236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</row>
    <row r="206" spans="1:17">
      <c r="A206" s="13">
        <v>44047</v>
      </c>
      <c r="B206">
        <v>4</v>
      </c>
      <c r="C206" t="s">
        <v>1119</v>
      </c>
      <c r="D206" t="s">
        <v>1120</v>
      </c>
      <c r="E206">
        <v>52</v>
      </c>
      <c r="F206" t="s">
        <v>1218</v>
      </c>
      <c r="G206" t="s">
        <v>1798</v>
      </c>
      <c r="H206" t="s">
        <v>1236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</row>
    <row r="207" spans="1:17">
      <c r="A207" s="13">
        <v>44047</v>
      </c>
      <c r="B207">
        <v>5</v>
      </c>
      <c r="C207" t="s">
        <v>1179</v>
      </c>
      <c r="D207" t="s">
        <v>1201</v>
      </c>
      <c r="E207">
        <v>1</v>
      </c>
      <c r="F207" t="s">
        <v>1218</v>
      </c>
      <c r="G207" t="s">
        <v>1798</v>
      </c>
      <c r="H207" t="s">
        <v>1236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</row>
    <row r="208" spans="1:17">
      <c r="A208" s="13">
        <v>44047</v>
      </c>
      <c r="B208">
        <v>1</v>
      </c>
      <c r="C208" t="s">
        <v>1238</v>
      </c>
      <c r="D208" t="s">
        <v>1801</v>
      </c>
      <c r="E208">
        <v>1080</v>
      </c>
      <c r="F208" t="s">
        <v>1218</v>
      </c>
      <c r="G208" t="s">
        <v>1800</v>
      </c>
      <c r="H208" t="s">
        <v>1237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</row>
    <row r="209" spans="1:17">
      <c r="A209" s="13">
        <v>44048</v>
      </c>
      <c r="B209">
        <v>1</v>
      </c>
      <c r="C209" t="s">
        <v>1220</v>
      </c>
      <c r="D209" t="s">
        <v>1781</v>
      </c>
      <c r="E209">
        <v>360</v>
      </c>
      <c r="F209" t="s">
        <v>1218</v>
      </c>
      <c r="G209" t="s">
        <v>1780</v>
      </c>
      <c r="H209" t="s">
        <v>1219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</row>
    <row r="210" spans="1:17">
      <c r="A210" s="13">
        <v>44048</v>
      </c>
      <c r="B210">
        <v>1</v>
      </c>
      <c r="C210" t="s">
        <v>1230</v>
      </c>
      <c r="D210" t="s">
        <v>1791</v>
      </c>
      <c r="E210">
        <v>564</v>
      </c>
      <c r="F210" t="s">
        <v>1218</v>
      </c>
      <c r="G210" t="s">
        <v>1789</v>
      </c>
      <c r="H210" t="s">
        <v>1228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</row>
    <row r="211" spans="1:17">
      <c r="A211" s="13">
        <v>44048</v>
      </c>
      <c r="B211">
        <v>1</v>
      </c>
      <c r="C211" t="s">
        <v>1232</v>
      </c>
      <c r="D211" t="s">
        <v>1793</v>
      </c>
      <c r="E211">
        <v>7</v>
      </c>
      <c r="F211" t="s">
        <v>1218</v>
      </c>
      <c r="G211" t="s">
        <v>1792</v>
      </c>
      <c r="H211" t="s">
        <v>1231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</row>
    <row r="212" spans="1:17">
      <c r="A212" s="13">
        <v>44048</v>
      </c>
      <c r="B212">
        <v>1</v>
      </c>
      <c r="C212" t="s">
        <v>1123</v>
      </c>
      <c r="D212" t="s">
        <v>1124</v>
      </c>
      <c r="E212">
        <v>12</v>
      </c>
      <c r="F212" t="s">
        <v>1218</v>
      </c>
      <c r="G212" t="s">
        <v>1798</v>
      </c>
      <c r="H212" t="s">
        <v>1233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</row>
    <row r="213" spans="1:17">
      <c r="A213" s="13">
        <v>44048</v>
      </c>
      <c r="B213">
        <v>2</v>
      </c>
      <c r="C213" t="s">
        <v>1137</v>
      </c>
      <c r="D213" t="s">
        <v>1138</v>
      </c>
      <c r="E213">
        <v>42</v>
      </c>
      <c r="F213" t="s">
        <v>1218</v>
      </c>
      <c r="G213" t="s">
        <v>1798</v>
      </c>
      <c r="H213" t="s">
        <v>1233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</row>
    <row r="214" spans="1:17">
      <c r="A214" s="13">
        <v>44048</v>
      </c>
      <c r="B214">
        <v>3</v>
      </c>
      <c r="C214" t="s">
        <v>1180</v>
      </c>
      <c r="D214" t="s">
        <v>1202</v>
      </c>
      <c r="E214">
        <v>15</v>
      </c>
      <c r="F214" t="s">
        <v>1218</v>
      </c>
      <c r="G214" t="s">
        <v>1798</v>
      </c>
      <c r="H214" t="s">
        <v>1233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</row>
    <row r="215" spans="1:17">
      <c r="A215" s="13">
        <v>44048</v>
      </c>
      <c r="B215">
        <v>4</v>
      </c>
      <c r="C215" t="s">
        <v>1119</v>
      </c>
      <c r="D215" t="s">
        <v>1120</v>
      </c>
      <c r="E215">
        <v>43</v>
      </c>
      <c r="F215" t="s">
        <v>1218</v>
      </c>
      <c r="G215" t="s">
        <v>1798</v>
      </c>
      <c r="H215" t="s">
        <v>1233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</row>
    <row r="216" spans="1:17">
      <c r="A216" s="13">
        <v>44048</v>
      </c>
      <c r="B216">
        <v>5</v>
      </c>
      <c r="C216" t="s">
        <v>1127</v>
      </c>
      <c r="D216" t="s">
        <v>1128</v>
      </c>
      <c r="E216">
        <v>60</v>
      </c>
      <c r="F216" t="s">
        <v>1218</v>
      </c>
      <c r="G216" t="s">
        <v>1798</v>
      </c>
      <c r="H216" t="s">
        <v>1233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</row>
    <row r="217" spans="1:17">
      <c r="A217" s="13">
        <v>44048</v>
      </c>
      <c r="B217">
        <v>6</v>
      </c>
      <c r="C217" t="s">
        <v>1129</v>
      </c>
      <c r="D217" t="s">
        <v>1130</v>
      </c>
      <c r="E217">
        <v>17</v>
      </c>
      <c r="F217" t="s">
        <v>1218</v>
      </c>
      <c r="G217" t="s">
        <v>1798</v>
      </c>
      <c r="H217" t="s">
        <v>1233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</row>
    <row r="218" spans="1:17">
      <c r="A218" s="13">
        <v>44048</v>
      </c>
      <c r="B218">
        <v>7</v>
      </c>
      <c r="C218" t="s">
        <v>1182</v>
      </c>
      <c r="D218" t="s">
        <v>1204</v>
      </c>
      <c r="E218">
        <v>42</v>
      </c>
      <c r="F218" t="s">
        <v>1218</v>
      </c>
      <c r="G218" t="s">
        <v>1798</v>
      </c>
      <c r="H218" t="s">
        <v>1233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</row>
    <row r="219" spans="1:17">
      <c r="A219" s="13">
        <v>44048</v>
      </c>
      <c r="B219">
        <v>8</v>
      </c>
      <c r="C219" t="s">
        <v>1133</v>
      </c>
      <c r="D219" t="s">
        <v>1134</v>
      </c>
      <c r="E219">
        <v>6</v>
      </c>
      <c r="F219" t="s">
        <v>1218</v>
      </c>
      <c r="G219" t="s">
        <v>1798</v>
      </c>
      <c r="H219" t="s">
        <v>1233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</row>
    <row r="220" spans="1:17">
      <c r="A220" s="13">
        <v>44048</v>
      </c>
      <c r="B220">
        <v>9</v>
      </c>
      <c r="C220" t="s">
        <v>1155</v>
      </c>
      <c r="D220" t="s">
        <v>1156</v>
      </c>
      <c r="E220">
        <v>53</v>
      </c>
      <c r="F220" t="s">
        <v>1218</v>
      </c>
      <c r="G220" t="s">
        <v>1798</v>
      </c>
      <c r="H220" t="s">
        <v>1233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</row>
    <row r="221" spans="1:17">
      <c r="A221" s="13">
        <v>44048</v>
      </c>
      <c r="B221">
        <v>1</v>
      </c>
      <c r="C221" t="s">
        <v>1119</v>
      </c>
      <c r="D221" t="s">
        <v>1120</v>
      </c>
      <c r="E221">
        <v>47</v>
      </c>
      <c r="F221" t="s">
        <v>1218</v>
      </c>
      <c r="G221" t="s">
        <v>1798</v>
      </c>
      <c r="H221" t="s">
        <v>1234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</row>
    <row r="222" spans="1:17">
      <c r="A222" s="13">
        <v>44048</v>
      </c>
      <c r="B222">
        <v>2</v>
      </c>
      <c r="C222" t="s">
        <v>1153</v>
      </c>
      <c r="D222" t="s">
        <v>1154</v>
      </c>
      <c r="E222">
        <v>90</v>
      </c>
      <c r="F222" t="s">
        <v>1218</v>
      </c>
      <c r="G222" t="s">
        <v>1798</v>
      </c>
      <c r="H222" t="s">
        <v>1234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</row>
    <row r="223" spans="1:17">
      <c r="A223" s="13">
        <v>44048</v>
      </c>
      <c r="B223">
        <v>3</v>
      </c>
      <c r="C223" t="s">
        <v>1149</v>
      </c>
      <c r="D223" t="s">
        <v>1150</v>
      </c>
      <c r="E223">
        <v>66</v>
      </c>
      <c r="F223" t="s">
        <v>1218</v>
      </c>
      <c r="G223" t="s">
        <v>1798</v>
      </c>
      <c r="H223" t="s">
        <v>1234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</row>
    <row r="224" spans="1:17">
      <c r="A224" s="13">
        <v>44048</v>
      </c>
      <c r="B224">
        <v>4</v>
      </c>
      <c r="C224" t="s">
        <v>1235</v>
      </c>
      <c r="D224" t="s">
        <v>1799</v>
      </c>
      <c r="E224">
        <v>15</v>
      </c>
      <c r="F224" t="s">
        <v>1218</v>
      </c>
      <c r="G224" t="s">
        <v>1798</v>
      </c>
      <c r="H224" t="s">
        <v>1234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</row>
    <row r="225" spans="1:17">
      <c r="A225" s="13">
        <v>44048</v>
      </c>
      <c r="B225">
        <v>5</v>
      </c>
      <c r="C225" t="s">
        <v>1119</v>
      </c>
      <c r="D225" t="s">
        <v>1120</v>
      </c>
      <c r="E225">
        <v>36</v>
      </c>
      <c r="F225" t="s">
        <v>1218</v>
      </c>
      <c r="G225" t="s">
        <v>1798</v>
      </c>
      <c r="H225" t="s">
        <v>1234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</row>
    <row r="226" spans="1:17">
      <c r="A226" s="13">
        <v>44048</v>
      </c>
      <c r="B226">
        <v>1</v>
      </c>
      <c r="C226" t="s">
        <v>1179</v>
      </c>
      <c r="D226" t="s">
        <v>1201</v>
      </c>
      <c r="E226">
        <v>38</v>
      </c>
      <c r="F226" t="s">
        <v>1218</v>
      </c>
      <c r="G226" t="s">
        <v>1798</v>
      </c>
      <c r="H226" t="s">
        <v>1236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</row>
    <row r="227" spans="1:17">
      <c r="A227" s="13">
        <v>44048</v>
      </c>
      <c r="B227">
        <v>2</v>
      </c>
      <c r="C227" t="s">
        <v>1127</v>
      </c>
      <c r="D227" t="s">
        <v>1128</v>
      </c>
      <c r="E227">
        <v>100</v>
      </c>
      <c r="F227" t="s">
        <v>1218</v>
      </c>
      <c r="G227" t="s">
        <v>1798</v>
      </c>
      <c r="H227" t="s">
        <v>1236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</row>
    <row r="228" spans="1:17">
      <c r="A228" s="13">
        <v>44048</v>
      </c>
      <c r="B228">
        <v>3</v>
      </c>
      <c r="C228" t="s">
        <v>1190</v>
      </c>
      <c r="D228" t="s">
        <v>1212</v>
      </c>
      <c r="E228">
        <v>99</v>
      </c>
      <c r="F228" t="s">
        <v>1218</v>
      </c>
      <c r="G228" t="s">
        <v>1798</v>
      </c>
      <c r="H228" t="s">
        <v>1236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</row>
    <row r="229" spans="1:17">
      <c r="A229" s="13">
        <v>44048</v>
      </c>
      <c r="B229">
        <v>4</v>
      </c>
      <c r="C229" t="s">
        <v>1119</v>
      </c>
      <c r="D229" t="s">
        <v>1120</v>
      </c>
      <c r="E229">
        <v>53</v>
      </c>
      <c r="F229" t="s">
        <v>1218</v>
      </c>
      <c r="G229" t="s">
        <v>1798</v>
      </c>
      <c r="H229" t="s">
        <v>1236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</row>
    <row r="230" spans="1:17">
      <c r="A230" s="13">
        <v>44048</v>
      </c>
      <c r="B230">
        <v>1</v>
      </c>
      <c r="C230" t="s">
        <v>1238</v>
      </c>
      <c r="D230" t="s">
        <v>1801</v>
      </c>
      <c r="E230">
        <v>1080</v>
      </c>
      <c r="F230" t="s">
        <v>1218</v>
      </c>
      <c r="G230" t="s">
        <v>1800</v>
      </c>
      <c r="H230" t="s">
        <v>1237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</row>
    <row r="231" spans="1:17">
      <c r="A231" s="13">
        <v>44049</v>
      </c>
      <c r="B231">
        <v>1</v>
      </c>
      <c r="C231" t="s">
        <v>1220</v>
      </c>
      <c r="D231" t="s">
        <v>1781</v>
      </c>
      <c r="E231">
        <v>163</v>
      </c>
      <c r="F231" t="s">
        <v>1218</v>
      </c>
      <c r="G231" t="s">
        <v>1780</v>
      </c>
      <c r="H231" t="s">
        <v>1219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</row>
    <row r="232" spans="1:17">
      <c r="A232" s="13">
        <v>44049</v>
      </c>
      <c r="B232">
        <v>2</v>
      </c>
      <c r="C232" t="s">
        <v>1224</v>
      </c>
      <c r="D232" t="s">
        <v>1784</v>
      </c>
      <c r="E232">
        <v>3</v>
      </c>
      <c r="F232" t="s">
        <v>1218</v>
      </c>
      <c r="G232" t="s">
        <v>1780</v>
      </c>
      <c r="H232" t="s">
        <v>1219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</row>
    <row r="233" spans="1:17">
      <c r="A233" s="13">
        <v>44049</v>
      </c>
      <c r="B233">
        <v>3</v>
      </c>
      <c r="C233" t="s">
        <v>1214</v>
      </c>
      <c r="D233" t="s">
        <v>1786</v>
      </c>
      <c r="E233">
        <v>11</v>
      </c>
      <c r="F233" t="s">
        <v>1218</v>
      </c>
      <c r="G233" t="s">
        <v>1780</v>
      </c>
      <c r="H233" t="s">
        <v>1219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</row>
    <row r="234" spans="1:17">
      <c r="A234" s="13">
        <v>44049</v>
      </c>
      <c r="B234">
        <v>4</v>
      </c>
      <c r="C234" t="s">
        <v>1074</v>
      </c>
      <c r="D234" t="s">
        <v>1075</v>
      </c>
      <c r="E234">
        <v>24</v>
      </c>
      <c r="F234" t="s">
        <v>1218</v>
      </c>
      <c r="G234" t="s">
        <v>1780</v>
      </c>
      <c r="H234" t="s">
        <v>1219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</row>
    <row r="235" spans="1:17">
      <c r="A235" s="13">
        <v>44049</v>
      </c>
      <c r="B235">
        <v>5</v>
      </c>
      <c r="C235" t="s">
        <v>1076</v>
      </c>
      <c r="D235" t="s">
        <v>1077</v>
      </c>
      <c r="E235">
        <v>70</v>
      </c>
      <c r="F235" t="s">
        <v>1218</v>
      </c>
      <c r="G235" t="s">
        <v>1780</v>
      </c>
      <c r="H235" t="s">
        <v>1219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</row>
    <row r="236" spans="1:17">
      <c r="A236" s="13">
        <v>44049</v>
      </c>
      <c r="B236">
        <v>6</v>
      </c>
      <c r="C236" t="s">
        <v>1078</v>
      </c>
      <c r="D236" t="s">
        <v>1079</v>
      </c>
      <c r="E236">
        <v>89</v>
      </c>
      <c r="F236" t="s">
        <v>1218</v>
      </c>
      <c r="G236" t="s">
        <v>1780</v>
      </c>
      <c r="H236" t="s">
        <v>1219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</row>
    <row r="237" spans="1:17">
      <c r="A237" s="13">
        <v>44049</v>
      </c>
      <c r="B237">
        <v>1</v>
      </c>
      <c r="C237" t="s">
        <v>1230</v>
      </c>
      <c r="D237" t="s">
        <v>1791</v>
      </c>
      <c r="E237">
        <v>567</v>
      </c>
      <c r="F237" t="s">
        <v>1218</v>
      </c>
      <c r="G237" t="s">
        <v>1789</v>
      </c>
      <c r="H237" t="s">
        <v>1228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</row>
    <row r="238" spans="1:17">
      <c r="A238" s="13">
        <v>44049</v>
      </c>
      <c r="B238">
        <v>1</v>
      </c>
      <c r="C238" t="s">
        <v>1232</v>
      </c>
      <c r="D238" t="s">
        <v>1793</v>
      </c>
      <c r="E238">
        <v>7</v>
      </c>
      <c r="F238" t="s">
        <v>1218</v>
      </c>
      <c r="G238" t="s">
        <v>1792</v>
      </c>
      <c r="H238" t="s">
        <v>1231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</row>
    <row r="239" spans="1:17">
      <c r="A239" s="13">
        <v>44049</v>
      </c>
      <c r="B239">
        <v>1</v>
      </c>
      <c r="C239" t="s">
        <v>1155</v>
      </c>
      <c r="D239" t="s">
        <v>1156</v>
      </c>
      <c r="E239">
        <v>4</v>
      </c>
      <c r="F239" t="s">
        <v>1218</v>
      </c>
      <c r="G239" t="s">
        <v>1798</v>
      </c>
      <c r="H239" t="s">
        <v>1233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</row>
    <row r="240" spans="1:17">
      <c r="A240" s="13">
        <v>44049</v>
      </c>
      <c r="B240">
        <v>2</v>
      </c>
      <c r="C240" t="s">
        <v>1123</v>
      </c>
      <c r="D240" t="s">
        <v>1124</v>
      </c>
      <c r="E240">
        <v>43</v>
      </c>
      <c r="F240" t="s">
        <v>1218</v>
      </c>
      <c r="G240" t="s">
        <v>1798</v>
      </c>
      <c r="H240" t="s">
        <v>1233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</row>
    <row r="241" spans="1:17">
      <c r="A241" s="13">
        <v>44049</v>
      </c>
      <c r="B241">
        <v>3</v>
      </c>
      <c r="C241" t="s">
        <v>1157</v>
      </c>
      <c r="D241" t="s">
        <v>1158</v>
      </c>
      <c r="E241">
        <v>18</v>
      </c>
      <c r="F241" t="s">
        <v>1218</v>
      </c>
      <c r="G241" t="s">
        <v>1798</v>
      </c>
      <c r="H241" t="s">
        <v>1233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</row>
    <row r="242" spans="1:17">
      <c r="A242" s="13">
        <v>44049</v>
      </c>
      <c r="B242">
        <v>4</v>
      </c>
      <c r="C242" t="s">
        <v>1180</v>
      </c>
      <c r="D242" t="s">
        <v>1202</v>
      </c>
      <c r="E242">
        <v>53</v>
      </c>
      <c r="F242" t="s">
        <v>1218</v>
      </c>
      <c r="G242" t="s">
        <v>1798</v>
      </c>
      <c r="H242" t="s">
        <v>1233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</row>
    <row r="243" spans="1:17">
      <c r="A243" s="13">
        <v>44049</v>
      </c>
      <c r="B243">
        <v>5</v>
      </c>
      <c r="C243" t="s">
        <v>1119</v>
      </c>
      <c r="D243" t="s">
        <v>1120</v>
      </c>
      <c r="E243">
        <v>15</v>
      </c>
      <c r="F243" t="s">
        <v>1218</v>
      </c>
      <c r="G243" t="s">
        <v>1798</v>
      </c>
      <c r="H243" t="s">
        <v>1233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</row>
    <row r="244" spans="1:17">
      <c r="A244" s="13">
        <v>44049</v>
      </c>
      <c r="B244">
        <v>6</v>
      </c>
      <c r="C244" t="s">
        <v>1127</v>
      </c>
      <c r="D244" t="s">
        <v>1128</v>
      </c>
      <c r="E244">
        <v>57</v>
      </c>
      <c r="F244" t="s">
        <v>1218</v>
      </c>
      <c r="G244" t="s">
        <v>1798</v>
      </c>
      <c r="H244" t="s">
        <v>1233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</row>
    <row r="245" spans="1:17">
      <c r="A245" s="13">
        <v>44049</v>
      </c>
      <c r="B245">
        <v>7</v>
      </c>
      <c r="C245" t="s">
        <v>1133</v>
      </c>
      <c r="D245" t="s">
        <v>1134</v>
      </c>
      <c r="E245">
        <v>47</v>
      </c>
      <c r="F245" t="s">
        <v>1218</v>
      </c>
      <c r="G245" t="s">
        <v>1798</v>
      </c>
      <c r="H245" t="s">
        <v>1233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</row>
    <row r="246" spans="1:17">
      <c r="A246" s="13">
        <v>44049</v>
      </c>
      <c r="B246">
        <v>8</v>
      </c>
      <c r="C246" t="s">
        <v>1155</v>
      </c>
      <c r="D246" t="s">
        <v>1156</v>
      </c>
      <c r="E246">
        <v>36</v>
      </c>
      <c r="F246" t="s">
        <v>1218</v>
      </c>
      <c r="G246" t="s">
        <v>1798</v>
      </c>
      <c r="H246" t="s">
        <v>1233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</row>
    <row r="247" spans="1:17">
      <c r="A247" s="13">
        <v>44049</v>
      </c>
      <c r="B247">
        <v>9</v>
      </c>
      <c r="C247" t="s">
        <v>1157</v>
      </c>
      <c r="D247" t="s">
        <v>1158</v>
      </c>
      <c r="E247">
        <v>17</v>
      </c>
      <c r="F247" t="s">
        <v>1218</v>
      </c>
      <c r="G247" t="s">
        <v>1798</v>
      </c>
      <c r="H247" t="s">
        <v>1233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</row>
    <row r="248" spans="1:17">
      <c r="A248" s="13">
        <v>44049</v>
      </c>
      <c r="B248">
        <v>1</v>
      </c>
      <c r="C248" t="s">
        <v>1119</v>
      </c>
      <c r="D248" t="s">
        <v>1120</v>
      </c>
      <c r="E248">
        <v>84</v>
      </c>
      <c r="F248" t="s">
        <v>1218</v>
      </c>
      <c r="G248" t="s">
        <v>1798</v>
      </c>
      <c r="H248" t="s">
        <v>1234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</row>
    <row r="249" spans="1:17">
      <c r="A249" s="13">
        <v>44049</v>
      </c>
      <c r="B249">
        <v>2</v>
      </c>
      <c r="C249" t="s">
        <v>1153</v>
      </c>
      <c r="D249" t="s">
        <v>1154</v>
      </c>
      <c r="E249">
        <v>90</v>
      </c>
      <c r="F249" t="s">
        <v>1218</v>
      </c>
      <c r="G249" t="s">
        <v>1798</v>
      </c>
      <c r="H249" t="s">
        <v>1234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</row>
    <row r="250" spans="1:17">
      <c r="A250" s="13">
        <v>44049</v>
      </c>
      <c r="B250">
        <v>3</v>
      </c>
      <c r="C250" t="s">
        <v>1149</v>
      </c>
      <c r="D250" t="s">
        <v>1150</v>
      </c>
      <c r="E250">
        <v>39</v>
      </c>
      <c r="F250" t="s">
        <v>1218</v>
      </c>
      <c r="G250" t="s">
        <v>1798</v>
      </c>
      <c r="H250" t="s">
        <v>1234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</row>
    <row r="251" spans="1:17">
      <c r="A251" s="13">
        <v>44049</v>
      </c>
      <c r="B251">
        <v>4</v>
      </c>
      <c r="C251" t="s">
        <v>1114</v>
      </c>
      <c r="D251" t="s">
        <v>1115</v>
      </c>
      <c r="E251">
        <v>26</v>
      </c>
      <c r="F251" t="s">
        <v>1218</v>
      </c>
      <c r="G251" t="s">
        <v>1798</v>
      </c>
      <c r="H251" t="s">
        <v>1234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</row>
    <row r="252" spans="1:17">
      <c r="A252" s="13">
        <v>44049</v>
      </c>
      <c r="B252">
        <v>5</v>
      </c>
      <c r="C252" t="s">
        <v>1235</v>
      </c>
      <c r="D252" t="s">
        <v>1799</v>
      </c>
      <c r="E252">
        <v>15</v>
      </c>
      <c r="F252" t="s">
        <v>1218</v>
      </c>
      <c r="G252" t="s">
        <v>1798</v>
      </c>
      <c r="H252" t="s">
        <v>1234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</row>
    <row r="253" spans="1:17">
      <c r="A253" s="13">
        <v>44049</v>
      </c>
      <c r="B253">
        <v>6</v>
      </c>
      <c r="C253" t="s">
        <v>1119</v>
      </c>
      <c r="D253" t="s">
        <v>1120</v>
      </c>
      <c r="E253">
        <v>36</v>
      </c>
      <c r="F253" t="s">
        <v>1218</v>
      </c>
      <c r="G253" t="s">
        <v>1798</v>
      </c>
      <c r="H253" t="s">
        <v>1234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</row>
    <row r="254" spans="1:17">
      <c r="A254" s="13">
        <v>44049</v>
      </c>
      <c r="B254">
        <v>1</v>
      </c>
      <c r="C254" t="s">
        <v>1119</v>
      </c>
      <c r="D254" t="s">
        <v>1120</v>
      </c>
      <c r="E254">
        <v>24</v>
      </c>
      <c r="F254" t="s">
        <v>1218</v>
      </c>
      <c r="G254" t="s">
        <v>1798</v>
      </c>
      <c r="H254" t="s">
        <v>1236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</row>
    <row r="255" spans="1:17">
      <c r="A255" s="13">
        <v>44049</v>
      </c>
      <c r="B255">
        <v>2</v>
      </c>
      <c r="C255" t="s">
        <v>1127</v>
      </c>
      <c r="D255" t="s">
        <v>1128</v>
      </c>
      <c r="E255">
        <v>100</v>
      </c>
      <c r="F255" t="s">
        <v>1218</v>
      </c>
      <c r="G255" t="s">
        <v>1798</v>
      </c>
      <c r="H255" t="s">
        <v>1236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</row>
    <row r="256" spans="1:17">
      <c r="A256" s="13">
        <v>44049</v>
      </c>
      <c r="B256">
        <v>3</v>
      </c>
      <c r="C256" t="s">
        <v>1135</v>
      </c>
      <c r="D256" t="s">
        <v>1136</v>
      </c>
      <c r="E256">
        <v>113</v>
      </c>
      <c r="F256" t="s">
        <v>1218</v>
      </c>
      <c r="G256" t="s">
        <v>1798</v>
      </c>
      <c r="H256" t="s">
        <v>1236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</row>
    <row r="257" spans="1:17">
      <c r="A257" s="13">
        <v>44049</v>
      </c>
      <c r="B257">
        <v>4</v>
      </c>
      <c r="C257" t="s">
        <v>1119</v>
      </c>
      <c r="D257" t="s">
        <v>1120</v>
      </c>
      <c r="E257">
        <v>53</v>
      </c>
      <c r="F257" t="s">
        <v>1218</v>
      </c>
      <c r="G257" t="s">
        <v>1798</v>
      </c>
      <c r="H257" t="s">
        <v>1236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</row>
    <row r="258" spans="1:17">
      <c r="A258" s="13">
        <v>44049</v>
      </c>
      <c r="B258">
        <v>1</v>
      </c>
      <c r="C258" t="s">
        <v>1238</v>
      </c>
      <c r="D258" t="s">
        <v>1801</v>
      </c>
      <c r="E258">
        <v>72</v>
      </c>
      <c r="F258" t="s">
        <v>1218</v>
      </c>
      <c r="G258" t="s">
        <v>1800</v>
      </c>
      <c r="H258" t="s">
        <v>1237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</row>
    <row r="259" spans="1:17">
      <c r="A259" s="13">
        <v>44049</v>
      </c>
      <c r="B259">
        <v>2</v>
      </c>
      <c r="C259" t="s">
        <v>1240</v>
      </c>
      <c r="D259" t="s">
        <v>1803</v>
      </c>
      <c r="E259">
        <v>504</v>
      </c>
      <c r="F259" t="s">
        <v>1218</v>
      </c>
      <c r="G259" t="s">
        <v>1800</v>
      </c>
      <c r="H259" t="s">
        <v>1237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</row>
    <row r="260" spans="1:17">
      <c r="A260" s="13">
        <v>44049</v>
      </c>
      <c r="B260">
        <v>3</v>
      </c>
      <c r="C260" t="s">
        <v>1239</v>
      </c>
      <c r="D260" t="s">
        <v>1802</v>
      </c>
      <c r="E260">
        <v>504</v>
      </c>
      <c r="F260" t="s">
        <v>1218</v>
      </c>
      <c r="G260" t="s">
        <v>1800</v>
      </c>
      <c r="H260" t="s">
        <v>1237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</row>
    <row r="261" spans="1:17">
      <c r="A261" s="13">
        <v>44050</v>
      </c>
      <c r="B261">
        <v>1</v>
      </c>
      <c r="C261" t="s">
        <v>1078</v>
      </c>
      <c r="D261" t="s">
        <v>1079</v>
      </c>
      <c r="E261">
        <v>65</v>
      </c>
      <c r="F261" t="s">
        <v>1218</v>
      </c>
      <c r="G261" t="s">
        <v>1780</v>
      </c>
      <c r="H261" t="s">
        <v>1219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</row>
    <row r="262" spans="1:17">
      <c r="A262" s="13">
        <v>44050</v>
      </c>
      <c r="B262">
        <v>2</v>
      </c>
      <c r="C262" t="s">
        <v>1227</v>
      </c>
      <c r="D262" t="s">
        <v>1860</v>
      </c>
      <c r="E262">
        <v>295</v>
      </c>
      <c r="F262" t="s">
        <v>1218</v>
      </c>
      <c r="G262" t="s">
        <v>1780</v>
      </c>
      <c r="H262" t="s">
        <v>1219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</row>
    <row r="263" spans="1:17">
      <c r="A263" s="13">
        <v>44050</v>
      </c>
      <c r="B263">
        <v>1</v>
      </c>
      <c r="C263" t="s">
        <v>1230</v>
      </c>
      <c r="D263" t="s">
        <v>1791</v>
      </c>
      <c r="E263">
        <v>488</v>
      </c>
      <c r="F263" t="s">
        <v>1218</v>
      </c>
      <c r="G263" t="s">
        <v>1789</v>
      </c>
      <c r="H263" t="s">
        <v>1228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</row>
    <row r="264" spans="1:17">
      <c r="A264" s="13">
        <v>44050</v>
      </c>
      <c r="B264">
        <v>1</v>
      </c>
      <c r="C264" t="s">
        <v>1232</v>
      </c>
      <c r="D264" t="s">
        <v>1793</v>
      </c>
      <c r="E264">
        <v>7</v>
      </c>
      <c r="F264" t="s">
        <v>1218</v>
      </c>
      <c r="G264" t="s">
        <v>1792</v>
      </c>
      <c r="H264" t="s">
        <v>1231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</row>
    <row r="265" spans="1:17">
      <c r="A265" s="13">
        <v>44050</v>
      </c>
      <c r="B265">
        <v>1</v>
      </c>
      <c r="C265" t="s">
        <v>1157</v>
      </c>
      <c r="D265" t="s">
        <v>1158</v>
      </c>
      <c r="E265">
        <v>37</v>
      </c>
      <c r="F265" t="s">
        <v>1218</v>
      </c>
      <c r="G265" t="s">
        <v>1798</v>
      </c>
      <c r="H265" t="s">
        <v>1233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</row>
    <row r="266" spans="1:17">
      <c r="A266" s="13">
        <v>44050</v>
      </c>
      <c r="B266">
        <v>2</v>
      </c>
      <c r="C266" t="s">
        <v>1119</v>
      </c>
      <c r="D266" t="s">
        <v>1120</v>
      </c>
      <c r="E266">
        <v>49</v>
      </c>
      <c r="F266" t="s">
        <v>1218</v>
      </c>
      <c r="G266" t="s">
        <v>1798</v>
      </c>
      <c r="H266" t="s">
        <v>1233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</row>
    <row r="267" spans="1:17">
      <c r="A267" s="13">
        <v>44050</v>
      </c>
      <c r="B267">
        <v>3</v>
      </c>
      <c r="C267" t="s">
        <v>1127</v>
      </c>
      <c r="D267" t="s">
        <v>1128</v>
      </c>
      <c r="E267">
        <v>95</v>
      </c>
      <c r="F267" t="s">
        <v>1218</v>
      </c>
      <c r="G267" t="s">
        <v>1798</v>
      </c>
      <c r="H267" t="s">
        <v>1233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</row>
    <row r="268" spans="1:17">
      <c r="A268" s="13">
        <v>44050</v>
      </c>
      <c r="B268">
        <v>4</v>
      </c>
      <c r="C268" t="s">
        <v>1155</v>
      </c>
      <c r="D268" t="s">
        <v>1156</v>
      </c>
      <c r="E268">
        <v>53</v>
      </c>
      <c r="F268" t="s">
        <v>1218</v>
      </c>
      <c r="G268" t="s">
        <v>1798</v>
      </c>
      <c r="H268" t="s">
        <v>1233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</row>
    <row r="269" spans="1:17">
      <c r="A269" s="13">
        <v>44050</v>
      </c>
      <c r="B269">
        <v>1</v>
      </c>
      <c r="C269" t="s">
        <v>1119</v>
      </c>
      <c r="D269" t="s">
        <v>1120</v>
      </c>
      <c r="E269">
        <v>84</v>
      </c>
      <c r="F269" t="s">
        <v>1218</v>
      </c>
      <c r="G269" t="s">
        <v>1798</v>
      </c>
      <c r="H269" t="s">
        <v>1234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</row>
    <row r="270" spans="1:17">
      <c r="A270" s="13">
        <v>44050</v>
      </c>
      <c r="B270">
        <v>2</v>
      </c>
      <c r="C270" t="s">
        <v>1153</v>
      </c>
      <c r="D270" t="s">
        <v>1154</v>
      </c>
      <c r="E270">
        <v>90</v>
      </c>
      <c r="F270" t="s">
        <v>1218</v>
      </c>
      <c r="G270" t="s">
        <v>1798</v>
      </c>
      <c r="H270" t="s">
        <v>1234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</row>
    <row r="271" spans="1:17">
      <c r="A271" s="13">
        <v>44050</v>
      </c>
      <c r="B271">
        <v>3</v>
      </c>
      <c r="C271" t="s">
        <v>1114</v>
      </c>
      <c r="D271" t="s">
        <v>1115</v>
      </c>
      <c r="E271">
        <v>9</v>
      </c>
      <c r="F271" t="s">
        <v>1218</v>
      </c>
      <c r="G271" t="s">
        <v>1798</v>
      </c>
      <c r="H271" t="s">
        <v>1234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</row>
    <row r="272" spans="1:17">
      <c r="A272" s="13">
        <v>44050</v>
      </c>
      <c r="B272">
        <v>4</v>
      </c>
      <c r="C272" t="s">
        <v>1235</v>
      </c>
      <c r="D272" t="s">
        <v>1799</v>
      </c>
      <c r="E272">
        <v>14</v>
      </c>
      <c r="F272" t="s">
        <v>1218</v>
      </c>
      <c r="G272" t="s">
        <v>1798</v>
      </c>
      <c r="H272" t="s">
        <v>1234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</row>
    <row r="273" spans="1:17">
      <c r="A273" s="13">
        <v>44050</v>
      </c>
      <c r="B273">
        <v>5</v>
      </c>
      <c r="C273" t="s">
        <v>1119</v>
      </c>
      <c r="D273" t="s">
        <v>1120</v>
      </c>
      <c r="E273">
        <v>37</v>
      </c>
      <c r="F273" t="s">
        <v>1218</v>
      </c>
      <c r="G273" t="s">
        <v>1798</v>
      </c>
      <c r="H273" t="s">
        <v>1234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</row>
    <row r="274" spans="1:17">
      <c r="A274" s="13">
        <v>44050</v>
      </c>
      <c r="B274">
        <v>1</v>
      </c>
      <c r="C274" t="s">
        <v>1119</v>
      </c>
      <c r="D274" t="s">
        <v>1120</v>
      </c>
      <c r="E274">
        <v>81</v>
      </c>
      <c r="F274" t="s">
        <v>1218</v>
      </c>
      <c r="G274" t="s">
        <v>1798</v>
      </c>
      <c r="H274" t="s">
        <v>1236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</row>
    <row r="275" spans="1:17">
      <c r="A275" s="13">
        <v>44050</v>
      </c>
      <c r="B275">
        <v>2</v>
      </c>
      <c r="C275" t="s">
        <v>1127</v>
      </c>
      <c r="D275" t="s">
        <v>1128</v>
      </c>
      <c r="E275">
        <v>100</v>
      </c>
      <c r="F275" t="s">
        <v>1218</v>
      </c>
      <c r="G275" t="s">
        <v>1798</v>
      </c>
      <c r="H275" t="s">
        <v>1236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</row>
    <row r="276" spans="1:17">
      <c r="A276" s="13">
        <v>44050</v>
      </c>
      <c r="B276">
        <v>3</v>
      </c>
      <c r="C276" t="s">
        <v>1119</v>
      </c>
      <c r="D276" t="s">
        <v>1120</v>
      </c>
      <c r="E276">
        <v>26</v>
      </c>
      <c r="F276" t="s">
        <v>1218</v>
      </c>
      <c r="G276" t="s">
        <v>1798</v>
      </c>
      <c r="H276" t="s">
        <v>1236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</row>
    <row r="277" spans="1:17">
      <c r="A277" s="13">
        <v>44050</v>
      </c>
      <c r="B277">
        <v>4</v>
      </c>
      <c r="C277" t="s">
        <v>1127</v>
      </c>
      <c r="D277" t="s">
        <v>1128</v>
      </c>
      <c r="E277">
        <v>27</v>
      </c>
      <c r="F277" t="s">
        <v>1218</v>
      </c>
      <c r="G277" t="s">
        <v>1798</v>
      </c>
      <c r="H277" t="s">
        <v>1236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</row>
    <row r="278" spans="1:17">
      <c r="A278" s="13">
        <v>44050</v>
      </c>
      <c r="B278">
        <v>1</v>
      </c>
      <c r="C278" t="s">
        <v>1239</v>
      </c>
      <c r="D278" t="s">
        <v>1802</v>
      </c>
      <c r="E278">
        <v>864</v>
      </c>
      <c r="F278" t="s">
        <v>1218</v>
      </c>
      <c r="G278" t="s">
        <v>1800</v>
      </c>
      <c r="H278" t="s">
        <v>1237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</row>
    <row r="279" spans="1:17">
      <c r="A279" s="13">
        <v>44051</v>
      </c>
      <c r="B279">
        <v>1</v>
      </c>
      <c r="C279" t="s">
        <v>1227</v>
      </c>
      <c r="D279" t="s">
        <v>1860</v>
      </c>
      <c r="E279">
        <v>360</v>
      </c>
      <c r="F279" t="s">
        <v>1218</v>
      </c>
      <c r="G279" t="s">
        <v>1780</v>
      </c>
      <c r="H279" t="s">
        <v>1219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</row>
    <row r="280" spans="1:17">
      <c r="A280" s="13">
        <v>44051</v>
      </c>
      <c r="B280">
        <v>1</v>
      </c>
      <c r="C280" t="s">
        <v>1230</v>
      </c>
      <c r="D280" t="s">
        <v>1791</v>
      </c>
      <c r="E280">
        <v>488</v>
      </c>
      <c r="F280" t="s">
        <v>1218</v>
      </c>
      <c r="G280" t="s">
        <v>1789</v>
      </c>
      <c r="H280" t="s">
        <v>1228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</row>
    <row r="281" spans="1:17">
      <c r="A281" s="13">
        <v>44051</v>
      </c>
      <c r="B281">
        <v>1</v>
      </c>
      <c r="C281" t="s">
        <v>1232</v>
      </c>
      <c r="D281" t="s">
        <v>1793</v>
      </c>
      <c r="E281">
        <v>7</v>
      </c>
      <c r="F281" t="s">
        <v>1218</v>
      </c>
      <c r="G281" t="s">
        <v>1792</v>
      </c>
      <c r="H281" t="s">
        <v>1231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</row>
    <row r="282" spans="1:17">
      <c r="A282" s="13">
        <v>44051</v>
      </c>
      <c r="B282">
        <v>1</v>
      </c>
      <c r="C282" t="s">
        <v>1155</v>
      </c>
      <c r="D282" t="s">
        <v>1156</v>
      </c>
      <c r="E282">
        <v>25</v>
      </c>
      <c r="F282" t="s">
        <v>1218</v>
      </c>
      <c r="G282" t="s">
        <v>1798</v>
      </c>
      <c r="H282" t="s">
        <v>1233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</row>
    <row r="283" spans="1:17">
      <c r="A283" s="13">
        <v>44051</v>
      </c>
      <c r="B283">
        <v>2</v>
      </c>
      <c r="C283" t="s">
        <v>1157</v>
      </c>
      <c r="D283" t="s">
        <v>1158</v>
      </c>
      <c r="E283">
        <v>16</v>
      </c>
      <c r="F283" t="s">
        <v>1218</v>
      </c>
      <c r="G283" t="s">
        <v>1798</v>
      </c>
      <c r="H283" t="s">
        <v>1233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</row>
    <row r="284" spans="1:17">
      <c r="A284" s="13">
        <v>44051</v>
      </c>
      <c r="B284">
        <v>3</v>
      </c>
      <c r="C284" t="s">
        <v>1119</v>
      </c>
      <c r="D284" t="s">
        <v>1120</v>
      </c>
      <c r="E284">
        <v>55</v>
      </c>
      <c r="F284" t="s">
        <v>1218</v>
      </c>
      <c r="G284" t="s">
        <v>1798</v>
      </c>
      <c r="H284" t="s">
        <v>1233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</row>
    <row r="285" spans="1:17">
      <c r="A285" s="13">
        <v>44051</v>
      </c>
      <c r="B285">
        <v>4</v>
      </c>
      <c r="C285" t="s">
        <v>1127</v>
      </c>
      <c r="D285" t="s">
        <v>1128</v>
      </c>
      <c r="E285">
        <v>85</v>
      </c>
      <c r="F285" t="s">
        <v>1218</v>
      </c>
      <c r="G285" t="s">
        <v>1798</v>
      </c>
      <c r="H285" t="s">
        <v>1233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</row>
    <row r="286" spans="1:17">
      <c r="A286" s="13">
        <v>44051</v>
      </c>
      <c r="B286">
        <v>5</v>
      </c>
      <c r="C286" t="s">
        <v>1139</v>
      </c>
      <c r="D286" t="s">
        <v>1140</v>
      </c>
      <c r="E286">
        <v>7</v>
      </c>
      <c r="F286" t="s">
        <v>1218</v>
      </c>
      <c r="G286" t="s">
        <v>1798</v>
      </c>
      <c r="H286" t="s">
        <v>1233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</row>
    <row r="287" spans="1:17">
      <c r="A287" s="13">
        <v>44051</v>
      </c>
      <c r="B287">
        <v>6</v>
      </c>
      <c r="C287" t="s">
        <v>1131</v>
      </c>
      <c r="D287" t="s">
        <v>1132</v>
      </c>
      <c r="E287">
        <v>16</v>
      </c>
      <c r="F287" t="s">
        <v>1218</v>
      </c>
      <c r="G287" t="s">
        <v>1798</v>
      </c>
      <c r="H287" t="s">
        <v>1233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</row>
    <row r="288" spans="1:17">
      <c r="A288" s="13">
        <v>44051</v>
      </c>
      <c r="B288">
        <v>7</v>
      </c>
      <c r="C288" t="s">
        <v>1127</v>
      </c>
      <c r="D288" t="s">
        <v>1128</v>
      </c>
      <c r="E288">
        <v>30</v>
      </c>
      <c r="F288" t="s">
        <v>1218</v>
      </c>
      <c r="G288" t="s">
        <v>1798</v>
      </c>
      <c r="H288" t="s">
        <v>1233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</row>
    <row r="289" spans="1:17">
      <c r="A289" s="13">
        <v>44051</v>
      </c>
      <c r="B289">
        <v>1</v>
      </c>
      <c r="C289" t="s">
        <v>1119</v>
      </c>
      <c r="D289" t="s">
        <v>1120</v>
      </c>
      <c r="E289">
        <v>83</v>
      </c>
      <c r="F289" t="s">
        <v>1218</v>
      </c>
      <c r="G289" t="s">
        <v>1798</v>
      </c>
      <c r="H289" t="s">
        <v>1234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</row>
    <row r="290" spans="1:17">
      <c r="A290" s="13">
        <v>44051</v>
      </c>
      <c r="B290">
        <v>2</v>
      </c>
      <c r="C290" t="s">
        <v>1153</v>
      </c>
      <c r="D290" t="s">
        <v>1154</v>
      </c>
      <c r="E290">
        <v>90</v>
      </c>
      <c r="F290" t="s">
        <v>1218</v>
      </c>
      <c r="G290" t="s">
        <v>1798</v>
      </c>
      <c r="H290" t="s">
        <v>1234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</row>
    <row r="291" spans="1:17">
      <c r="A291" s="13">
        <v>44051</v>
      </c>
      <c r="B291">
        <v>3</v>
      </c>
      <c r="C291" t="s">
        <v>1114</v>
      </c>
      <c r="D291" t="s">
        <v>1115</v>
      </c>
      <c r="E291">
        <v>10</v>
      </c>
      <c r="F291" t="s">
        <v>1218</v>
      </c>
      <c r="G291" t="s">
        <v>1798</v>
      </c>
      <c r="H291" t="s">
        <v>1234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</row>
    <row r="292" spans="1:17">
      <c r="A292" s="13">
        <v>44051</v>
      </c>
      <c r="B292">
        <v>4</v>
      </c>
      <c r="C292" t="s">
        <v>1235</v>
      </c>
      <c r="D292" t="s">
        <v>1799</v>
      </c>
      <c r="E292">
        <v>23</v>
      </c>
      <c r="F292" t="s">
        <v>1218</v>
      </c>
      <c r="G292" t="s">
        <v>1798</v>
      </c>
      <c r="H292" t="s">
        <v>1234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</row>
    <row r="293" spans="1:17">
      <c r="A293" s="13">
        <v>44051</v>
      </c>
      <c r="B293">
        <v>5</v>
      </c>
      <c r="C293" t="s">
        <v>1133</v>
      </c>
      <c r="D293" t="s">
        <v>1134</v>
      </c>
      <c r="E293">
        <v>28</v>
      </c>
      <c r="F293" t="s">
        <v>1218</v>
      </c>
      <c r="G293" t="s">
        <v>1798</v>
      </c>
      <c r="H293" t="s">
        <v>1234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</row>
    <row r="294" spans="1:17">
      <c r="A294" s="13">
        <v>44051</v>
      </c>
      <c r="B294">
        <v>1</v>
      </c>
      <c r="C294" t="s">
        <v>1127</v>
      </c>
      <c r="D294" t="s">
        <v>1128</v>
      </c>
      <c r="E294">
        <v>73</v>
      </c>
      <c r="F294" t="s">
        <v>1218</v>
      </c>
      <c r="G294" t="s">
        <v>1798</v>
      </c>
      <c r="H294" t="s">
        <v>1236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</row>
    <row r="295" spans="1:17">
      <c r="A295" s="13">
        <v>44051</v>
      </c>
      <c r="B295">
        <v>2</v>
      </c>
      <c r="C295" t="s">
        <v>1133</v>
      </c>
      <c r="D295" t="s">
        <v>1134</v>
      </c>
      <c r="E295">
        <v>108</v>
      </c>
      <c r="F295" t="s">
        <v>1218</v>
      </c>
      <c r="G295" t="s">
        <v>1798</v>
      </c>
      <c r="H295" t="s">
        <v>1236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</row>
    <row r="296" spans="1:17">
      <c r="A296" s="13">
        <v>44051</v>
      </c>
      <c r="B296">
        <v>3</v>
      </c>
      <c r="C296" t="s">
        <v>1110</v>
      </c>
      <c r="D296" t="s">
        <v>1111</v>
      </c>
      <c r="E296">
        <v>2</v>
      </c>
      <c r="F296" t="s">
        <v>1218</v>
      </c>
      <c r="G296" t="s">
        <v>1798</v>
      </c>
      <c r="H296" t="s">
        <v>1236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</row>
    <row r="297" spans="1:17">
      <c r="A297" s="13">
        <v>44051</v>
      </c>
      <c r="B297">
        <v>4</v>
      </c>
      <c r="C297" t="s">
        <v>1119</v>
      </c>
      <c r="D297" t="s">
        <v>1120</v>
      </c>
      <c r="E297">
        <v>51</v>
      </c>
      <c r="F297" t="s">
        <v>1218</v>
      </c>
      <c r="G297" t="s">
        <v>1798</v>
      </c>
      <c r="H297" t="s">
        <v>1236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</row>
    <row r="298" spans="1:17">
      <c r="A298" s="13">
        <v>44051</v>
      </c>
      <c r="B298">
        <v>1</v>
      </c>
      <c r="C298" t="s">
        <v>1239</v>
      </c>
      <c r="D298" t="s">
        <v>1802</v>
      </c>
      <c r="E298">
        <v>864</v>
      </c>
      <c r="F298" t="s">
        <v>1218</v>
      </c>
      <c r="G298" t="s">
        <v>1800</v>
      </c>
      <c r="H298" t="s">
        <v>1237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</row>
    <row r="299" spans="1:17">
      <c r="A299" s="13">
        <v>44053</v>
      </c>
      <c r="B299">
        <v>1</v>
      </c>
      <c r="C299" t="s">
        <v>1220</v>
      </c>
      <c r="D299" t="s">
        <v>1781</v>
      </c>
      <c r="E299">
        <v>213</v>
      </c>
      <c r="F299" t="s">
        <v>1218</v>
      </c>
      <c r="G299" t="s">
        <v>1780</v>
      </c>
      <c r="H299" t="s">
        <v>1219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</row>
    <row r="300" spans="1:17">
      <c r="A300" s="13">
        <v>44053</v>
      </c>
      <c r="B300">
        <v>2</v>
      </c>
      <c r="C300" t="s">
        <v>1222</v>
      </c>
      <c r="D300" t="s">
        <v>1861</v>
      </c>
      <c r="E300">
        <v>1</v>
      </c>
      <c r="F300" t="s">
        <v>1218</v>
      </c>
      <c r="G300" t="s">
        <v>1780</v>
      </c>
      <c r="H300" t="s">
        <v>1219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</row>
    <row r="301" spans="1:17">
      <c r="A301" s="13">
        <v>44053</v>
      </c>
      <c r="B301">
        <v>3</v>
      </c>
      <c r="C301" t="s">
        <v>1224</v>
      </c>
      <c r="D301" t="s">
        <v>1784</v>
      </c>
      <c r="E301">
        <v>1</v>
      </c>
      <c r="F301" t="s">
        <v>1218</v>
      </c>
      <c r="G301" t="s">
        <v>1780</v>
      </c>
      <c r="H301" t="s">
        <v>1219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</row>
    <row r="302" spans="1:17">
      <c r="A302" s="13">
        <v>44053</v>
      </c>
      <c r="B302">
        <v>4</v>
      </c>
      <c r="C302" t="s">
        <v>1074</v>
      </c>
      <c r="D302" t="s">
        <v>1075</v>
      </c>
      <c r="E302">
        <v>106</v>
      </c>
      <c r="F302" t="s">
        <v>1218</v>
      </c>
      <c r="G302" t="s">
        <v>1780</v>
      </c>
      <c r="H302" t="s">
        <v>1219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</row>
    <row r="303" spans="1:17">
      <c r="A303" s="13">
        <v>44053</v>
      </c>
      <c r="B303">
        <v>5</v>
      </c>
      <c r="C303" t="s">
        <v>1076</v>
      </c>
      <c r="D303" t="s">
        <v>1077</v>
      </c>
      <c r="E303">
        <v>39</v>
      </c>
      <c r="F303" t="s">
        <v>1218</v>
      </c>
      <c r="G303" t="s">
        <v>1780</v>
      </c>
      <c r="H303" t="s">
        <v>1219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</row>
    <row r="304" spans="1:17">
      <c r="A304" s="13">
        <v>44053</v>
      </c>
      <c r="B304">
        <v>1</v>
      </c>
      <c r="C304" t="s">
        <v>1230</v>
      </c>
      <c r="D304" t="s">
        <v>1791</v>
      </c>
      <c r="E304">
        <v>503</v>
      </c>
      <c r="F304" t="s">
        <v>1218</v>
      </c>
      <c r="G304" t="s">
        <v>1789</v>
      </c>
      <c r="H304" t="s">
        <v>1228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</row>
    <row r="305" spans="1:17">
      <c r="A305" s="13">
        <v>44053</v>
      </c>
      <c r="B305">
        <v>2</v>
      </c>
      <c r="C305" t="s">
        <v>1229</v>
      </c>
      <c r="D305" t="s">
        <v>1790</v>
      </c>
      <c r="E305">
        <v>141</v>
      </c>
      <c r="F305" t="s">
        <v>1218</v>
      </c>
      <c r="G305" t="s">
        <v>1789</v>
      </c>
      <c r="H305" t="s">
        <v>1228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</row>
    <row r="306" spans="1:17">
      <c r="A306" s="13">
        <v>44053</v>
      </c>
      <c r="B306">
        <v>1</v>
      </c>
      <c r="C306" t="s">
        <v>1232</v>
      </c>
      <c r="D306" t="s">
        <v>1793</v>
      </c>
      <c r="E306">
        <v>10</v>
      </c>
      <c r="F306" t="s">
        <v>1218</v>
      </c>
      <c r="G306" t="s">
        <v>1792</v>
      </c>
      <c r="H306" t="s">
        <v>1231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</row>
    <row r="307" spans="1:17">
      <c r="A307" s="13">
        <v>44053</v>
      </c>
      <c r="B307">
        <v>1</v>
      </c>
      <c r="C307" t="s">
        <v>1127</v>
      </c>
      <c r="D307" t="s">
        <v>1128</v>
      </c>
      <c r="E307">
        <v>132</v>
      </c>
      <c r="F307" t="s">
        <v>1218</v>
      </c>
      <c r="G307" t="s">
        <v>1798</v>
      </c>
      <c r="H307" t="s">
        <v>1233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</row>
    <row r="308" spans="1:17">
      <c r="A308" s="13">
        <v>44053</v>
      </c>
      <c r="B308">
        <v>2</v>
      </c>
      <c r="C308" t="s">
        <v>1129</v>
      </c>
      <c r="D308" t="s">
        <v>1130</v>
      </c>
      <c r="E308">
        <v>5</v>
      </c>
      <c r="F308" t="s">
        <v>1218</v>
      </c>
      <c r="G308" t="s">
        <v>1798</v>
      </c>
      <c r="H308" t="s">
        <v>1233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</row>
    <row r="309" spans="1:17">
      <c r="A309" s="13">
        <v>44053</v>
      </c>
      <c r="B309">
        <v>3</v>
      </c>
      <c r="C309" t="s">
        <v>1182</v>
      </c>
      <c r="D309" t="s">
        <v>1204</v>
      </c>
      <c r="E309">
        <v>14</v>
      </c>
      <c r="F309" t="s">
        <v>1218</v>
      </c>
      <c r="G309" t="s">
        <v>1798</v>
      </c>
      <c r="H309" t="s">
        <v>1233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</row>
    <row r="310" spans="1:17">
      <c r="A310" s="13">
        <v>44053</v>
      </c>
      <c r="B310">
        <v>4</v>
      </c>
      <c r="C310" t="s">
        <v>1133</v>
      </c>
      <c r="D310" t="s">
        <v>1134</v>
      </c>
      <c r="E310">
        <v>100</v>
      </c>
      <c r="F310" t="s">
        <v>1218</v>
      </c>
      <c r="G310" t="s">
        <v>1798</v>
      </c>
      <c r="H310" t="s">
        <v>1233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</row>
    <row r="311" spans="1:17">
      <c r="A311" s="13">
        <v>44053</v>
      </c>
      <c r="B311">
        <v>5</v>
      </c>
      <c r="C311" t="s">
        <v>1131</v>
      </c>
      <c r="D311" t="s">
        <v>1132</v>
      </c>
      <c r="E311">
        <v>18</v>
      </c>
      <c r="F311" t="s">
        <v>1218</v>
      </c>
      <c r="G311" t="s">
        <v>1798</v>
      </c>
      <c r="H311" t="s">
        <v>1233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</row>
    <row r="312" spans="1:17">
      <c r="A312" s="13">
        <v>44053</v>
      </c>
      <c r="B312">
        <v>6</v>
      </c>
      <c r="C312" t="s">
        <v>1119</v>
      </c>
      <c r="D312" t="s">
        <v>1120</v>
      </c>
      <c r="E312">
        <v>35</v>
      </c>
      <c r="F312" t="s">
        <v>1218</v>
      </c>
      <c r="G312" t="s">
        <v>1798</v>
      </c>
      <c r="H312" t="s">
        <v>1233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</row>
    <row r="313" spans="1:17">
      <c r="A313" s="13">
        <v>44053</v>
      </c>
      <c r="B313">
        <v>1</v>
      </c>
      <c r="C313" t="s">
        <v>1133</v>
      </c>
      <c r="D313" t="s">
        <v>1134</v>
      </c>
      <c r="E313">
        <v>58</v>
      </c>
      <c r="F313" t="s">
        <v>1218</v>
      </c>
      <c r="G313" t="s">
        <v>1798</v>
      </c>
      <c r="H313" t="s">
        <v>1234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</row>
    <row r="314" spans="1:17">
      <c r="A314" s="13">
        <v>44053</v>
      </c>
      <c r="B314">
        <v>2</v>
      </c>
      <c r="C314" t="s">
        <v>1153</v>
      </c>
      <c r="D314" t="s">
        <v>1154</v>
      </c>
      <c r="E314">
        <v>75</v>
      </c>
      <c r="F314" t="s">
        <v>1218</v>
      </c>
      <c r="G314" t="s">
        <v>1798</v>
      </c>
      <c r="H314" t="s">
        <v>1234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</row>
    <row r="315" spans="1:17">
      <c r="A315" s="13">
        <v>44053</v>
      </c>
      <c r="B315">
        <v>3</v>
      </c>
      <c r="C315" t="s">
        <v>1149</v>
      </c>
      <c r="D315" t="s">
        <v>1150</v>
      </c>
      <c r="E315">
        <v>100</v>
      </c>
      <c r="F315" t="s">
        <v>1218</v>
      </c>
      <c r="G315" t="s">
        <v>1798</v>
      </c>
      <c r="H315" t="s">
        <v>1234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</row>
    <row r="316" spans="1:17">
      <c r="A316" s="13">
        <v>44053</v>
      </c>
      <c r="B316">
        <v>4</v>
      </c>
      <c r="C316" t="s">
        <v>1114</v>
      </c>
      <c r="D316" t="s">
        <v>1115</v>
      </c>
      <c r="E316">
        <v>20</v>
      </c>
      <c r="F316" t="s">
        <v>1218</v>
      </c>
      <c r="G316" t="s">
        <v>1798</v>
      </c>
      <c r="H316" t="s">
        <v>1234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</row>
    <row r="317" spans="1:17">
      <c r="A317" s="13">
        <v>44053</v>
      </c>
      <c r="B317">
        <v>5</v>
      </c>
      <c r="C317" t="s">
        <v>1235</v>
      </c>
      <c r="D317" t="s">
        <v>1799</v>
      </c>
      <c r="E317">
        <v>22</v>
      </c>
      <c r="F317" t="s">
        <v>1218</v>
      </c>
      <c r="G317" t="s">
        <v>1798</v>
      </c>
      <c r="H317" t="s">
        <v>1234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</row>
    <row r="318" spans="1:17">
      <c r="A318" s="13">
        <v>44053</v>
      </c>
      <c r="B318">
        <v>6</v>
      </c>
      <c r="C318" t="s">
        <v>1127</v>
      </c>
      <c r="D318" t="s">
        <v>1128</v>
      </c>
      <c r="E318">
        <v>29</v>
      </c>
      <c r="F318" t="s">
        <v>1218</v>
      </c>
      <c r="G318" t="s">
        <v>1798</v>
      </c>
      <c r="H318" t="s">
        <v>1234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</row>
    <row r="319" spans="1:17">
      <c r="A319" s="13">
        <v>44053</v>
      </c>
      <c r="B319">
        <v>1</v>
      </c>
      <c r="C319" t="s">
        <v>1119</v>
      </c>
      <c r="D319" t="s">
        <v>1120</v>
      </c>
      <c r="E319">
        <v>149</v>
      </c>
      <c r="F319" t="s">
        <v>1218</v>
      </c>
      <c r="G319" t="s">
        <v>1798</v>
      </c>
      <c r="H319" t="s">
        <v>1236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</row>
    <row r="320" spans="1:17">
      <c r="A320" s="13">
        <v>44053</v>
      </c>
      <c r="B320">
        <v>2</v>
      </c>
      <c r="C320" t="s">
        <v>1121</v>
      </c>
      <c r="D320" t="s">
        <v>1122</v>
      </c>
      <c r="E320">
        <v>44</v>
      </c>
      <c r="F320" t="s">
        <v>1218</v>
      </c>
      <c r="G320" t="s">
        <v>1798</v>
      </c>
      <c r="H320" t="s">
        <v>1236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</row>
    <row r="321" spans="1:17">
      <c r="A321" s="13">
        <v>44053</v>
      </c>
      <c r="B321">
        <v>3</v>
      </c>
      <c r="C321" t="s">
        <v>1179</v>
      </c>
      <c r="D321" t="s">
        <v>1201</v>
      </c>
      <c r="E321">
        <v>13</v>
      </c>
      <c r="F321" t="s">
        <v>1218</v>
      </c>
      <c r="G321" t="s">
        <v>1798</v>
      </c>
      <c r="H321" t="s">
        <v>1236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</row>
    <row r="322" spans="1:17">
      <c r="A322" s="13">
        <v>44053</v>
      </c>
      <c r="B322">
        <v>4</v>
      </c>
      <c r="C322" t="s">
        <v>1127</v>
      </c>
      <c r="D322" t="s">
        <v>1128</v>
      </c>
      <c r="E322">
        <v>11</v>
      </c>
      <c r="F322" t="s">
        <v>1218</v>
      </c>
      <c r="G322" t="s">
        <v>1798</v>
      </c>
      <c r="H322" t="s">
        <v>1236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</row>
    <row r="323" spans="1:17">
      <c r="A323" s="13">
        <v>44053</v>
      </c>
      <c r="B323">
        <v>5</v>
      </c>
      <c r="C323" t="s">
        <v>1135</v>
      </c>
      <c r="D323" t="s">
        <v>1136</v>
      </c>
      <c r="E323">
        <v>34</v>
      </c>
      <c r="F323" t="s">
        <v>1218</v>
      </c>
      <c r="G323" t="s">
        <v>1798</v>
      </c>
      <c r="H323" t="s">
        <v>1236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</row>
    <row r="324" spans="1:17">
      <c r="A324" s="13">
        <v>44053</v>
      </c>
      <c r="B324">
        <v>6</v>
      </c>
      <c r="C324" t="s">
        <v>1110</v>
      </c>
      <c r="D324" t="s">
        <v>1111</v>
      </c>
      <c r="E324">
        <v>3</v>
      </c>
      <c r="F324" t="s">
        <v>1218</v>
      </c>
      <c r="G324" t="s">
        <v>1798</v>
      </c>
      <c r="H324" t="s">
        <v>1236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</row>
    <row r="325" spans="1:17">
      <c r="A325" s="13">
        <v>44053</v>
      </c>
      <c r="B325">
        <v>7</v>
      </c>
      <c r="C325" t="s">
        <v>1119</v>
      </c>
      <c r="D325" t="s">
        <v>1120</v>
      </c>
      <c r="E325">
        <v>50</v>
      </c>
      <c r="F325" t="s">
        <v>1218</v>
      </c>
      <c r="G325" t="s">
        <v>1798</v>
      </c>
      <c r="H325" t="s">
        <v>1236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</row>
    <row r="326" spans="1:17">
      <c r="A326" s="13">
        <v>44053</v>
      </c>
      <c r="B326">
        <v>1</v>
      </c>
      <c r="C326" t="s">
        <v>1239</v>
      </c>
      <c r="D326" t="s">
        <v>1802</v>
      </c>
      <c r="E326">
        <v>432</v>
      </c>
      <c r="F326" t="s">
        <v>1218</v>
      </c>
      <c r="G326" t="s">
        <v>1800</v>
      </c>
      <c r="H326" t="s">
        <v>1237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</row>
    <row r="327" spans="1:17">
      <c r="A327" s="13">
        <v>44053</v>
      </c>
      <c r="B327">
        <v>2</v>
      </c>
      <c r="C327" t="s">
        <v>1240</v>
      </c>
      <c r="D327" t="s">
        <v>1803</v>
      </c>
      <c r="E327">
        <v>432</v>
      </c>
      <c r="F327" t="s">
        <v>1218</v>
      </c>
      <c r="G327" t="s">
        <v>1800</v>
      </c>
      <c r="H327" t="s">
        <v>1237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</row>
    <row r="328" spans="1:17">
      <c r="A328" s="13">
        <v>44054</v>
      </c>
      <c r="B328">
        <v>1</v>
      </c>
      <c r="C328" t="s">
        <v>1076</v>
      </c>
      <c r="D328" t="s">
        <v>1077</v>
      </c>
      <c r="E328">
        <v>152</v>
      </c>
      <c r="F328" t="s">
        <v>1218</v>
      </c>
      <c r="G328" t="s">
        <v>1780</v>
      </c>
      <c r="H328" t="s">
        <v>1219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</row>
    <row r="329" spans="1:17">
      <c r="A329" s="13">
        <v>44054</v>
      </c>
      <c r="B329">
        <v>2</v>
      </c>
      <c r="C329" t="s">
        <v>1078</v>
      </c>
      <c r="D329" t="s">
        <v>1079</v>
      </c>
      <c r="E329">
        <v>174</v>
      </c>
      <c r="F329" t="s">
        <v>1218</v>
      </c>
      <c r="G329" t="s">
        <v>1780</v>
      </c>
      <c r="H329" t="s">
        <v>1219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</row>
    <row r="330" spans="1:17">
      <c r="A330" s="13">
        <v>44054</v>
      </c>
      <c r="B330">
        <v>3</v>
      </c>
      <c r="C330" t="s">
        <v>1226</v>
      </c>
      <c r="D330" t="s">
        <v>1788</v>
      </c>
      <c r="E330">
        <v>3</v>
      </c>
      <c r="F330" t="s">
        <v>1218</v>
      </c>
      <c r="G330" t="s">
        <v>1780</v>
      </c>
      <c r="H330" t="s">
        <v>1219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</row>
    <row r="331" spans="1:17">
      <c r="A331" s="13">
        <v>44054</v>
      </c>
      <c r="B331">
        <v>4</v>
      </c>
      <c r="C331" t="s">
        <v>1227</v>
      </c>
      <c r="D331" t="s">
        <v>1860</v>
      </c>
      <c r="E331">
        <v>31</v>
      </c>
      <c r="F331" t="s">
        <v>1218</v>
      </c>
      <c r="G331" t="s">
        <v>1780</v>
      </c>
      <c r="H331" t="s">
        <v>1219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</row>
    <row r="332" spans="1:17">
      <c r="A332" s="13">
        <v>44054</v>
      </c>
      <c r="B332">
        <v>1</v>
      </c>
      <c r="C332" t="s">
        <v>1230</v>
      </c>
      <c r="D332" t="s">
        <v>1791</v>
      </c>
      <c r="E332">
        <v>526</v>
      </c>
      <c r="F332" t="s">
        <v>1218</v>
      </c>
      <c r="G332" t="s">
        <v>1789</v>
      </c>
      <c r="H332" t="s">
        <v>1228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</row>
    <row r="333" spans="1:17">
      <c r="A333" s="13">
        <v>44054</v>
      </c>
      <c r="B333">
        <v>1</v>
      </c>
      <c r="C333" t="s">
        <v>1232</v>
      </c>
      <c r="D333" t="s">
        <v>1793</v>
      </c>
      <c r="E333">
        <v>10</v>
      </c>
      <c r="F333" t="s">
        <v>1218</v>
      </c>
      <c r="G333" t="s">
        <v>1792</v>
      </c>
      <c r="H333" t="s">
        <v>1231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</row>
    <row r="334" spans="1:17">
      <c r="A334" s="13">
        <v>44054</v>
      </c>
      <c r="B334">
        <v>1</v>
      </c>
      <c r="C334" t="s">
        <v>1119</v>
      </c>
      <c r="D334" t="s">
        <v>1120</v>
      </c>
      <c r="E334">
        <v>7</v>
      </c>
      <c r="F334" t="s">
        <v>1218</v>
      </c>
      <c r="G334" t="s">
        <v>1798</v>
      </c>
      <c r="H334" t="s">
        <v>1233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</row>
    <row r="335" spans="1:17">
      <c r="A335" s="13">
        <v>44054</v>
      </c>
      <c r="B335">
        <v>2</v>
      </c>
      <c r="C335" t="s">
        <v>1127</v>
      </c>
      <c r="D335" t="s">
        <v>1128</v>
      </c>
      <c r="E335">
        <v>186</v>
      </c>
      <c r="F335" t="s">
        <v>1218</v>
      </c>
      <c r="G335" t="s">
        <v>1798</v>
      </c>
      <c r="H335" t="s">
        <v>1233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</row>
    <row r="336" spans="1:17">
      <c r="A336" s="13">
        <v>44054</v>
      </c>
      <c r="B336">
        <v>3</v>
      </c>
      <c r="C336" t="s">
        <v>1123</v>
      </c>
      <c r="D336" t="s">
        <v>1124</v>
      </c>
      <c r="E336">
        <v>53</v>
      </c>
      <c r="F336" t="s">
        <v>1218</v>
      </c>
      <c r="G336" t="s">
        <v>1798</v>
      </c>
      <c r="H336" t="s">
        <v>1233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</row>
    <row r="337" spans="1:17">
      <c r="A337" s="13">
        <v>44054</v>
      </c>
      <c r="B337">
        <v>1</v>
      </c>
      <c r="C337" t="s">
        <v>1127</v>
      </c>
      <c r="D337" t="s">
        <v>1128</v>
      </c>
      <c r="E337">
        <v>50</v>
      </c>
      <c r="F337" t="s">
        <v>1218</v>
      </c>
      <c r="G337" t="s">
        <v>1798</v>
      </c>
      <c r="H337" t="s">
        <v>1234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</row>
    <row r="338" spans="1:17">
      <c r="A338" s="13">
        <v>44054</v>
      </c>
      <c r="B338">
        <v>2</v>
      </c>
      <c r="C338" t="s">
        <v>1153</v>
      </c>
      <c r="D338" t="s">
        <v>1154</v>
      </c>
      <c r="E338">
        <v>74</v>
      </c>
      <c r="F338" t="s">
        <v>1218</v>
      </c>
      <c r="G338" t="s">
        <v>1798</v>
      </c>
      <c r="H338" t="s">
        <v>1234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</row>
    <row r="339" spans="1:17">
      <c r="A339" s="13">
        <v>44054</v>
      </c>
      <c r="B339">
        <v>3</v>
      </c>
      <c r="C339" t="s">
        <v>1149</v>
      </c>
      <c r="D339" t="s">
        <v>1150</v>
      </c>
      <c r="E339">
        <v>55</v>
      </c>
      <c r="F339" t="s">
        <v>1218</v>
      </c>
      <c r="G339" t="s">
        <v>1798</v>
      </c>
      <c r="H339" t="s">
        <v>1234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</row>
    <row r="340" spans="1:17">
      <c r="A340" s="13">
        <v>44054</v>
      </c>
      <c r="B340">
        <v>4</v>
      </c>
      <c r="C340" t="s">
        <v>1114</v>
      </c>
      <c r="D340" t="s">
        <v>1115</v>
      </c>
      <c r="E340">
        <v>16</v>
      </c>
      <c r="F340" t="s">
        <v>1218</v>
      </c>
      <c r="G340" t="s">
        <v>1798</v>
      </c>
      <c r="H340" t="s">
        <v>1234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</row>
    <row r="341" spans="1:17">
      <c r="A341" s="13">
        <v>44054</v>
      </c>
      <c r="B341">
        <v>5</v>
      </c>
      <c r="C341" t="s">
        <v>1235</v>
      </c>
      <c r="D341" t="s">
        <v>1799</v>
      </c>
      <c r="E341">
        <v>15</v>
      </c>
      <c r="F341" t="s">
        <v>1218</v>
      </c>
      <c r="G341" t="s">
        <v>1798</v>
      </c>
      <c r="H341" t="s">
        <v>1234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</row>
    <row r="342" spans="1:17">
      <c r="A342" s="13">
        <v>44054</v>
      </c>
      <c r="B342">
        <v>6</v>
      </c>
      <c r="C342" t="s">
        <v>1127</v>
      </c>
      <c r="D342" t="s">
        <v>1128</v>
      </c>
      <c r="E342">
        <v>1</v>
      </c>
      <c r="F342" t="s">
        <v>1218</v>
      </c>
      <c r="G342" t="s">
        <v>1798</v>
      </c>
      <c r="H342" t="s">
        <v>1234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</row>
    <row r="343" spans="1:17">
      <c r="A343" s="13">
        <v>44054</v>
      </c>
      <c r="B343">
        <v>7</v>
      </c>
      <c r="C343" t="s">
        <v>1133</v>
      </c>
      <c r="D343" t="s">
        <v>1134</v>
      </c>
      <c r="E343">
        <v>35</v>
      </c>
      <c r="F343" t="s">
        <v>1218</v>
      </c>
      <c r="G343" t="s">
        <v>1798</v>
      </c>
      <c r="H343" t="s">
        <v>1234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</row>
    <row r="344" spans="1:17">
      <c r="A344" s="13">
        <v>44054</v>
      </c>
      <c r="B344">
        <v>1</v>
      </c>
      <c r="C344" t="s">
        <v>1119</v>
      </c>
      <c r="D344" t="s">
        <v>1120</v>
      </c>
      <c r="E344">
        <v>128</v>
      </c>
      <c r="F344" t="s">
        <v>1218</v>
      </c>
      <c r="G344" t="s">
        <v>1798</v>
      </c>
      <c r="H344" t="s">
        <v>1236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</row>
    <row r="345" spans="1:17">
      <c r="A345" s="13">
        <v>44054</v>
      </c>
      <c r="B345">
        <v>2</v>
      </c>
      <c r="C345" t="s">
        <v>1127</v>
      </c>
      <c r="D345" t="s">
        <v>1128</v>
      </c>
      <c r="E345">
        <v>65</v>
      </c>
      <c r="F345" t="s">
        <v>1218</v>
      </c>
      <c r="G345" t="s">
        <v>1798</v>
      </c>
      <c r="H345" t="s">
        <v>1236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</row>
    <row r="346" spans="1:17">
      <c r="A346" s="13">
        <v>44054</v>
      </c>
      <c r="B346">
        <v>3</v>
      </c>
      <c r="C346" t="s">
        <v>1119</v>
      </c>
      <c r="D346" t="s">
        <v>1120</v>
      </c>
      <c r="E346">
        <v>53</v>
      </c>
      <c r="F346" t="s">
        <v>1218</v>
      </c>
      <c r="G346" t="s">
        <v>1798</v>
      </c>
      <c r="H346" t="s">
        <v>1236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</row>
    <row r="347" spans="1:17">
      <c r="A347" s="13">
        <v>44054</v>
      </c>
      <c r="B347">
        <v>1</v>
      </c>
      <c r="C347" t="s">
        <v>1239</v>
      </c>
      <c r="D347" t="s">
        <v>1802</v>
      </c>
      <c r="E347">
        <v>864</v>
      </c>
      <c r="F347" t="s">
        <v>1218</v>
      </c>
      <c r="G347" t="s">
        <v>1800</v>
      </c>
      <c r="H347" t="s">
        <v>1237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</row>
    <row r="348" spans="1:17">
      <c r="A348" s="13">
        <v>44060</v>
      </c>
      <c r="B348">
        <v>1</v>
      </c>
      <c r="C348" t="s">
        <v>1220</v>
      </c>
      <c r="D348" t="s">
        <v>1781</v>
      </c>
      <c r="E348">
        <v>360</v>
      </c>
      <c r="F348" t="s">
        <v>1218</v>
      </c>
      <c r="G348" t="s">
        <v>1780</v>
      </c>
      <c r="H348" t="s">
        <v>1219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</row>
    <row r="349" spans="1:17">
      <c r="A349" s="13">
        <v>44060</v>
      </c>
      <c r="B349">
        <v>1</v>
      </c>
      <c r="C349" t="s">
        <v>1230</v>
      </c>
      <c r="D349" t="s">
        <v>1791</v>
      </c>
      <c r="E349">
        <v>532</v>
      </c>
      <c r="F349" t="s">
        <v>1218</v>
      </c>
      <c r="G349" t="s">
        <v>1789</v>
      </c>
      <c r="H349" t="s">
        <v>1228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</row>
    <row r="350" spans="1:17">
      <c r="A350" s="13">
        <v>44060</v>
      </c>
      <c r="B350">
        <v>2</v>
      </c>
      <c r="C350" t="s">
        <v>1229</v>
      </c>
      <c r="D350" t="s">
        <v>1790</v>
      </c>
      <c r="E350">
        <v>12</v>
      </c>
      <c r="F350" t="s">
        <v>1218</v>
      </c>
      <c r="G350" t="s">
        <v>1789</v>
      </c>
      <c r="H350" t="s">
        <v>1228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</row>
    <row r="351" spans="1:17">
      <c r="A351" s="13">
        <v>44060</v>
      </c>
      <c r="B351">
        <v>1</v>
      </c>
      <c r="C351" t="s">
        <v>1232</v>
      </c>
      <c r="D351" t="s">
        <v>1793</v>
      </c>
      <c r="E351">
        <v>8</v>
      </c>
      <c r="F351" t="s">
        <v>1218</v>
      </c>
      <c r="G351" t="s">
        <v>1792</v>
      </c>
      <c r="H351" t="s">
        <v>1231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</row>
    <row r="352" spans="1:17">
      <c r="A352" s="13">
        <v>44060</v>
      </c>
      <c r="B352">
        <v>1</v>
      </c>
      <c r="C352" t="s">
        <v>1123</v>
      </c>
      <c r="D352" t="s">
        <v>1124</v>
      </c>
      <c r="E352">
        <v>14</v>
      </c>
      <c r="F352" t="s">
        <v>1218</v>
      </c>
      <c r="G352" t="s">
        <v>1798</v>
      </c>
      <c r="H352" t="s">
        <v>1233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</row>
    <row r="353" spans="1:17">
      <c r="A353" s="13">
        <v>44060</v>
      </c>
      <c r="B353">
        <v>2</v>
      </c>
      <c r="C353" t="s">
        <v>1137</v>
      </c>
      <c r="D353" t="s">
        <v>1138</v>
      </c>
      <c r="E353">
        <v>57</v>
      </c>
      <c r="F353" t="s">
        <v>1218</v>
      </c>
      <c r="G353" t="s">
        <v>1798</v>
      </c>
      <c r="H353" t="s">
        <v>1233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</row>
    <row r="354" spans="1:17">
      <c r="A354" s="13">
        <v>44060</v>
      </c>
      <c r="B354">
        <v>3</v>
      </c>
      <c r="C354" t="s">
        <v>1127</v>
      </c>
      <c r="D354" t="s">
        <v>1128</v>
      </c>
      <c r="E354">
        <v>134</v>
      </c>
      <c r="F354" t="s">
        <v>1218</v>
      </c>
      <c r="G354" t="s">
        <v>1798</v>
      </c>
      <c r="H354" t="s">
        <v>1233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</row>
    <row r="355" spans="1:17">
      <c r="A355" s="13">
        <v>44060</v>
      </c>
      <c r="B355">
        <v>4</v>
      </c>
      <c r="C355" t="s">
        <v>1139</v>
      </c>
      <c r="D355" t="s">
        <v>1140</v>
      </c>
      <c r="E355">
        <v>2</v>
      </c>
      <c r="F355" t="s">
        <v>1218</v>
      </c>
      <c r="G355" t="s">
        <v>1798</v>
      </c>
      <c r="H355" t="s">
        <v>1233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</row>
    <row r="356" spans="1:17">
      <c r="A356" s="13">
        <v>44060</v>
      </c>
      <c r="B356">
        <v>5</v>
      </c>
      <c r="C356" t="s">
        <v>1123</v>
      </c>
      <c r="D356" t="s">
        <v>1124</v>
      </c>
      <c r="E356">
        <v>51</v>
      </c>
      <c r="F356" t="s">
        <v>1218</v>
      </c>
      <c r="G356" t="s">
        <v>1798</v>
      </c>
      <c r="H356" t="s">
        <v>1233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</row>
    <row r="357" spans="1:17">
      <c r="A357" s="13">
        <v>44060</v>
      </c>
      <c r="B357">
        <v>1</v>
      </c>
      <c r="C357" t="s">
        <v>1133</v>
      </c>
      <c r="D357" t="s">
        <v>1134</v>
      </c>
      <c r="E357">
        <v>73</v>
      </c>
      <c r="F357" t="s">
        <v>1218</v>
      </c>
      <c r="G357" t="s">
        <v>1798</v>
      </c>
      <c r="H357" t="s">
        <v>1234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</row>
    <row r="358" spans="1:17">
      <c r="A358" s="13">
        <v>44060</v>
      </c>
      <c r="B358">
        <v>2</v>
      </c>
      <c r="C358" t="s">
        <v>1153</v>
      </c>
      <c r="D358" t="s">
        <v>1154</v>
      </c>
      <c r="E358">
        <v>64</v>
      </c>
      <c r="F358" t="s">
        <v>1218</v>
      </c>
      <c r="G358" t="s">
        <v>1798</v>
      </c>
      <c r="H358" t="s">
        <v>1234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</row>
    <row r="359" spans="1:17">
      <c r="A359" s="13">
        <v>44060</v>
      </c>
      <c r="B359">
        <v>3</v>
      </c>
      <c r="C359" t="s">
        <v>1114</v>
      </c>
      <c r="D359" t="s">
        <v>1115</v>
      </c>
      <c r="E359">
        <v>70</v>
      </c>
      <c r="F359" t="s">
        <v>1218</v>
      </c>
      <c r="G359" t="s">
        <v>1798</v>
      </c>
      <c r="H359" t="s">
        <v>1234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</row>
    <row r="360" spans="1:17">
      <c r="A360" s="13">
        <v>44060</v>
      </c>
      <c r="B360">
        <v>4</v>
      </c>
      <c r="C360" t="s">
        <v>1235</v>
      </c>
      <c r="D360" t="s">
        <v>1799</v>
      </c>
      <c r="E360">
        <v>15</v>
      </c>
      <c r="F360" t="s">
        <v>1218</v>
      </c>
      <c r="G360" t="s">
        <v>1798</v>
      </c>
      <c r="H360" t="s">
        <v>1234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</row>
    <row r="361" spans="1:17">
      <c r="A361" s="13">
        <v>44060</v>
      </c>
      <c r="B361">
        <v>5</v>
      </c>
      <c r="C361" t="s">
        <v>1133</v>
      </c>
      <c r="D361" t="s">
        <v>1134</v>
      </c>
      <c r="E361">
        <v>36</v>
      </c>
      <c r="F361" t="s">
        <v>1218</v>
      </c>
      <c r="G361" t="s">
        <v>1798</v>
      </c>
      <c r="H361" t="s">
        <v>1234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</row>
    <row r="362" spans="1:17">
      <c r="A362" s="13">
        <v>44060</v>
      </c>
      <c r="B362">
        <v>1</v>
      </c>
      <c r="C362" t="s">
        <v>1119</v>
      </c>
      <c r="D362" t="s">
        <v>1120</v>
      </c>
      <c r="E362">
        <v>56</v>
      </c>
      <c r="F362" t="s">
        <v>1218</v>
      </c>
      <c r="G362" t="s">
        <v>1798</v>
      </c>
      <c r="H362" t="s">
        <v>1236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</row>
    <row r="363" spans="1:17">
      <c r="A363" s="13">
        <v>44060</v>
      </c>
      <c r="B363">
        <v>2</v>
      </c>
      <c r="C363" t="s">
        <v>1133</v>
      </c>
      <c r="D363" t="s">
        <v>1134</v>
      </c>
      <c r="E363">
        <v>149</v>
      </c>
      <c r="F363" t="s">
        <v>1218</v>
      </c>
      <c r="G363" t="s">
        <v>1798</v>
      </c>
      <c r="H363" t="s">
        <v>1236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</row>
    <row r="364" spans="1:17">
      <c r="A364" s="13">
        <v>44060</v>
      </c>
      <c r="B364">
        <v>3</v>
      </c>
      <c r="C364" t="s">
        <v>1110</v>
      </c>
      <c r="D364" t="s">
        <v>1111</v>
      </c>
      <c r="E364">
        <v>13</v>
      </c>
      <c r="F364" t="s">
        <v>1218</v>
      </c>
      <c r="G364" t="s">
        <v>1798</v>
      </c>
      <c r="H364" t="s">
        <v>1236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</row>
    <row r="365" spans="1:17">
      <c r="A365" s="13">
        <v>44060</v>
      </c>
      <c r="B365">
        <v>4</v>
      </c>
      <c r="C365" t="s">
        <v>1119</v>
      </c>
      <c r="D365" t="s">
        <v>1120</v>
      </c>
      <c r="E365">
        <v>40</v>
      </c>
      <c r="F365" t="s">
        <v>1218</v>
      </c>
      <c r="G365" t="s">
        <v>1798</v>
      </c>
      <c r="H365" t="s">
        <v>1236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</row>
    <row r="366" spans="1:17">
      <c r="A366" s="13">
        <v>44060</v>
      </c>
      <c r="B366">
        <v>1</v>
      </c>
      <c r="C366" t="s">
        <v>1238</v>
      </c>
      <c r="D366" t="s">
        <v>1801</v>
      </c>
      <c r="E366">
        <v>864</v>
      </c>
      <c r="F366" t="s">
        <v>1218</v>
      </c>
      <c r="G366" t="s">
        <v>1800</v>
      </c>
      <c r="H366" t="s">
        <v>1237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</row>
    <row r="367" spans="1:17">
      <c r="A367" s="13">
        <v>44061</v>
      </c>
      <c r="B367">
        <v>1</v>
      </c>
      <c r="C367" t="s">
        <v>1220</v>
      </c>
      <c r="D367" t="s">
        <v>1781</v>
      </c>
      <c r="E367">
        <v>360</v>
      </c>
      <c r="F367" t="s">
        <v>1218</v>
      </c>
      <c r="G367" t="s">
        <v>1780</v>
      </c>
      <c r="H367" t="s">
        <v>1219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</row>
    <row r="368" spans="1:17">
      <c r="A368" s="13">
        <v>44061</v>
      </c>
      <c r="B368">
        <v>1</v>
      </c>
      <c r="C368" t="s">
        <v>1230</v>
      </c>
      <c r="D368" t="s">
        <v>1791</v>
      </c>
      <c r="E368">
        <v>680</v>
      </c>
      <c r="F368" t="s">
        <v>1218</v>
      </c>
      <c r="G368" t="s">
        <v>1789</v>
      </c>
      <c r="H368" t="s">
        <v>1228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</row>
    <row r="369" spans="1:17">
      <c r="A369" s="13">
        <v>44061</v>
      </c>
      <c r="B369">
        <v>1</v>
      </c>
      <c r="C369" t="s">
        <v>1232</v>
      </c>
      <c r="D369" t="s">
        <v>1793</v>
      </c>
      <c r="E369">
        <v>8</v>
      </c>
      <c r="F369" t="s">
        <v>1218</v>
      </c>
      <c r="G369" t="s">
        <v>1792</v>
      </c>
      <c r="H369" t="s">
        <v>1231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</row>
    <row r="370" spans="1:17">
      <c r="A370" s="13">
        <v>44061</v>
      </c>
      <c r="B370">
        <v>1</v>
      </c>
      <c r="C370" t="s">
        <v>1123</v>
      </c>
      <c r="D370" t="s">
        <v>1124</v>
      </c>
      <c r="E370">
        <v>73</v>
      </c>
      <c r="F370" t="s">
        <v>1218</v>
      </c>
      <c r="G370" t="s">
        <v>1798</v>
      </c>
      <c r="H370" t="s">
        <v>1233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</row>
    <row r="371" spans="1:17">
      <c r="A371" s="13">
        <v>44061</v>
      </c>
      <c r="B371">
        <v>2</v>
      </c>
      <c r="C371" t="s">
        <v>1127</v>
      </c>
      <c r="D371" t="s">
        <v>1128</v>
      </c>
      <c r="E371">
        <v>193</v>
      </c>
      <c r="F371" t="s">
        <v>1218</v>
      </c>
      <c r="G371" t="s">
        <v>1798</v>
      </c>
      <c r="H371" t="s">
        <v>1233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</row>
    <row r="372" spans="1:17">
      <c r="A372" s="13">
        <v>44061</v>
      </c>
      <c r="B372">
        <v>3</v>
      </c>
      <c r="C372" t="s">
        <v>1183</v>
      </c>
      <c r="D372" t="s">
        <v>1205</v>
      </c>
      <c r="E372">
        <v>1</v>
      </c>
      <c r="F372" t="s">
        <v>1218</v>
      </c>
      <c r="G372" t="s">
        <v>1798</v>
      </c>
      <c r="H372" t="s">
        <v>1233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</row>
    <row r="373" spans="1:17">
      <c r="A373" s="13">
        <v>44061</v>
      </c>
      <c r="B373">
        <v>4</v>
      </c>
      <c r="C373" t="s">
        <v>1155</v>
      </c>
      <c r="D373" t="s">
        <v>1156</v>
      </c>
      <c r="E373">
        <v>53</v>
      </c>
      <c r="F373" t="s">
        <v>1218</v>
      </c>
      <c r="G373" t="s">
        <v>1798</v>
      </c>
      <c r="H373" t="s">
        <v>1233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</row>
    <row r="374" spans="1:17">
      <c r="A374" s="13">
        <v>44061</v>
      </c>
      <c r="B374">
        <v>1</v>
      </c>
      <c r="C374" t="s">
        <v>1133</v>
      </c>
      <c r="D374" t="s">
        <v>1134</v>
      </c>
      <c r="E374">
        <v>73</v>
      </c>
      <c r="F374" t="s">
        <v>1218</v>
      </c>
      <c r="G374" t="s">
        <v>1798</v>
      </c>
      <c r="H374" t="s">
        <v>1234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</row>
    <row r="375" spans="1:17">
      <c r="A375" s="13">
        <v>44061</v>
      </c>
      <c r="B375">
        <v>2</v>
      </c>
      <c r="C375" t="s">
        <v>1153</v>
      </c>
      <c r="D375" t="s">
        <v>1154</v>
      </c>
      <c r="E375">
        <v>70</v>
      </c>
      <c r="F375" t="s">
        <v>1218</v>
      </c>
      <c r="G375" t="s">
        <v>1798</v>
      </c>
      <c r="H375" t="s">
        <v>1234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</row>
    <row r="376" spans="1:17">
      <c r="A376" s="13">
        <v>44061</v>
      </c>
      <c r="B376">
        <v>3</v>
      </c>
      <c r="C376" t="s">
        <v>1149</v>
      </c>
      <c r="D376" t="s">
        <v>1150</v>
      </c>
      <c r="E376">
        <v>34</v>
      </c>
      <c r="F376" t="s">
        <v>1218</v>
      </c>
      <c r="G376" t="s">
        <v>1798</v>
      </c>
      <c r="H376" t="s">
        <v>1234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</row>
    <row r="377" spans="1:17">
      <c r="A377" s="13">
        <v>44061</v>
      </c>
      <c r="B377">
        <v>4</v>
      </c>
      <c r="C377" t="s">
        <v>1114</v>
      </c>
      <c r="D377" t="s">
        <v>1115</v>
      </c>
      <c r="E377">
        <v>72</v>
      </c>
      <c r="F377" t="s">
        <v>1218</v>
      </c>
      <c r="G377" t="s">
        <v>1798</v>
      </c>
      <c r="H377" t="s">
        <v>1234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</row>
    <row r="378" spans="1:17">
      <c r="A378" s="13">
        <v>44061</v>
      </c>
      <c r="B378">
        <v>5</v>
      </c>
      <c r="C378" t="s">
        <v>1151</v>
      </c>
      <c r="D378" t="s">
        <v>1152</v>
      </c>
      <c r="E378">
        <v>20</v>
      </c>
      <c r="F378" t="s">
        <v>1218</v>
      </c>
      <c r="G378" t="s">
        <v>1798</v>
      </c>
      <c r="H378" t="s">
        <v>1234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</row>
    <row r="379" spans="1:17">
      <c r="A379" s="13">
        <v>44061</v>
      </c>
      <c r="B379">
        <v>6</v>
      </c>
      <c r="C379" t="s">
        <v>1235</v>
      </c>
      <c r="D379" t="s">
        <v>1799</v>
      </c>
      <c r="E379">
        <v>15</v>
      </c>
      <c r="F379" t="s">
        <v>1218</v>
      </c>
      <c r="G379" t="s">
        <v>1798</v>
      </c>
      <c r="H379" t="s">
        <v>1234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</row>
    <row r="380" spans="1:17">
      <c r="A380" s="13">
        <v>44061</v>
      </c>
      <c r="B380">
        <v>7</v>
      </c>
      <c r="C380" t="s">
        <v>1133</v>
      </c>
      <c r="D380" t="s">
        <v>1134</v>
      </c>
      <c r="E380">
        <v>36</v>
      </c>
      <c r="F380" t="s">
        <v>1218</v>
      </c>
      <c r="G380" t="s">
        <v>1798</v>
      </c>
      <c r="H380" t="s">
        <v>1234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</row>
    <row r="381" spans="1:17">
      <c r="A381" s="13">
        <v>44061</v>
      </c>
      <c r="B381">
        <v>1</v>
      </c>
      <c r="C381" t="s">
        <v>1119</v>
      </c>
      <c r="D381" t="s">
        <v>1120</v>
      </c>
      <c r="E381">
        <v>160</v>
      </c>
      <c r="F381" t="s">
        <v>1218</v>
      </c>
      <c r="G381" t="s">
        <v>1798</v>
      </c>
      <c r="H381" t="s">
        <v>1236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</row>
    <row r="382" spans="1:17">
      <c r="A382" s="13">
        <v>44061</v>
      </c>
      <c r="B382">
        <v>2</v>
      </c>
      <c r="C382" t="s">
        <v>1135</v>
      </c>
      <c r="D382" t="s">
        <v>1136</v>
      </c>
      <c r="E382">
        <v>7</v>
      </c>
      <c r="F382" t="s">
        <v>1218</v>
      </c>
      <c r="G382" t="s">
        <v>1798</v>
      </c>
      <c r="H382" t="s">
        <v>1236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</row>
    <row r="383" spans="1:17">
      <c r="A383" s="13">
        <v>44061</v>
      </c>
      <c r="B383">
        <v>3</v>
      </c>
      <c r="C383" t="s">
        <v>1190</v>
      </c>
      <c r="D383" t="s">
        <v>1212</v>
      </c>
      <c r="E383">
        <v>100</v>
      </c>
      <c r="F383" t="s">
        <v>1218</v>
      </c>
      <c r="G383" t="s">
        <v>1798</v>
      </c>
      <c r="H383" t="s">
        <v>1236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</row>
    <row r="384" spans="1:17">
      <c r="A384" s="13">
        <v>44061</v>
      </c>
      <c r="B384">
        <v>4</v>
      </c>
      <c r="C384" t="s">
        <v>1110</v>
      </c>
      <c r="D384" t="s">
        <v>1111</v>
      </c>
      <c r="E384">
        <v>53</v>
      </c>
      <c r="F384" t="s">
        <v>1218</v>
      </c>
      <c r="G384" t="s">
        <v>1798</v>
      </c>
      <c r="H384" t="s">
        <v>1236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</row>
    <row r="385" spans="1:17">
      <c r="A385" s="13">
        <v>44061</v>
      </c>
      <c r="B385">
        <v>1</v>
      </c>
      <c r="C385" t="s">
        <v>1238</v>
      </c>
      <c r="D385" t="s">
        <v>1801</v>
      </c>
      <c r="E385">
        <v>864</v>
      </c>
      <c r="F385" t="s">
        <v>1218</v>
      </c>
      <c r="G385" t="s">
        <v>1800</v>
      </c>
      <c r="H385" t="s">
        <v>1237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</row>
    <row r="386" spans="1:17">
      <c r="A386" s="13">
        <v>44062</v>
      </c>
      <c r="B386">
        <v>1</v>
      </c>
      <c r="C386" t="s">
        <v>1220</v>
      </c>
      <c r="D386" t="s">
        <v>1781</v>
      </c>
      <c r="E386">
        <v>188</v>
      </c>
      <c r="F386" t="s">
        <v>1218</v>
      </c>
      <c r="G386" t="s">
        <v>1780</v>
      </c>
      <c r="H386" t="s">
        <v>1219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</row>
    <row r="387" spans="1:17">
      <c r="A387" s="13">
        <v>44062</v>
      </c>
      <c r="B387">
        <v>2</v>
      </c>
      <c r="C387" t="s">
        <v>1223</v>
      </c>
      <c r="D387" t="s">
        <v>1783</v>
      </c>
      <c r="E387">
        <v>2</v>
      </c>
      <c r="F387" t="s">
        <v>1218</v>
      </c>
      <c r="G387" t="s">
        <v>1780</v>
      </c>
      <c r="H387" t="s">
        <v>1219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</row>
    <row r="388" spans="1:17">
      <c r="A388" s="13">
        <v>44062</v>
      </c>
      <c r="B388">
        <v>3</v>
      </c>
      <c r="C388" t="s">
        <v>1224</v>
      </c>
      <c r="D388" t="s">
        <v>1784</v>
      </c>
      <c r="E388">
        <v>1</v>
      </c>
      <c r="F388" t="s">
        <v>1218</v>
      </c>
      <c r="G388" t="s">
        <v>1780</v>
      </c>
      <c r="H388" t="s">
        <v>1219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</row>
    <row r="389" spans="1:17">
      <c r="A389" s="13">
        <v>44062</v>
      </c>
      <c r="B389">
        <v>4</v>
      </c>
      <c r="C389" t="s">
        <v>1074</v>
      </c>
      <c r="D389" t="s">
        <v>1075</v>
      </c>
      <c r="E389">
        <v>169</v>
      </c>
      <c r="F389" t="s">
        <v>1218</v>
      </c>
      <c r="G389" t="s">
        <v>1780</v>
      </c>
      <c r="H389" t="s">
        <v>1219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</row>
    <row r="390" spans="1:17">
      <c r="A390" s="13">
        <v>44062</v>
      </c>
      <c r="B390">
        <v>1</v>
      </c>
      <c r="C390" t="s">
        <v>1230</v>
      </c>
      <c r="D390" t="s">
        <v>1791</v>
      </c>
      <c r="E390">
        <v>674</v>
      </c>
      <c r="F390" t="s">
        <v>1218</v>
      </c>
      <c r="G390" t="s">
        <v>1789</v>
      </c>
      <c r="H390" t="s">
        <v>1228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</row>
    <row r="391" spans="1:17">
      <c r="A391" s="13">
        <v>44062</v>
      </c>
      <c r="B391">
        <v>1</v>
      </c>
      <c r="C391" t="s">
        <v>1232</v>
      </c>
      <c r="D391" t="s">
        <v>1793</v>
      </c>
      <c r="E391">
        <v>8</v>
      </c>
      <c r="F391" t="s">
        <v>1218</v>
      </c>
      <c r="G391" t="s">
        <v>1792</v>
      </c>
      <c r="H391" t="s">
        <v>1231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</row>
    <row r="392" spans="1:17">
      <c r="A392" s="13">
        <v>44062</v>
      </c>
      <c r="B392">
        <v>1</v>
      </c>
      <c r="C392" t="s">
        <v>1155</v>
      </c>
      <c r="D392" t="s">
        <v>1156</v>
      </c>
      <c r="E392">
        <v>59</v>
      </c>
      <c r="F392" t="s">
        <v>1218</v>
      </c>
      <c r="G392" t="s">
        <v>1798</v>
      </c>
      <c r="H392" t="s">
        <v>1233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</row>
    <row r="393" spans="1:17">
      <c r="A393" s="13">
        <v>44062</v>
      </c>
      <c r="B393">
        <v>2</v>
      </c>
      <c r="C393" t="s">
        <v>1123</v>
      </c>
      <c r="D393" t="s">
        <v>1124</v>
      </c>
      <c r="E393">
        <v>12</v>
      </c>
      <c r="F393" t="s">
        <v>1218</v>
      </c>
      <c r="G393" t="s">
        <v>1798</v>
      </c>
      <c r="H393" t="s">
        <v>1233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</row>
    <row r="394" spans="1:17">
      <c r="A394" s="13">
        <v>44062</v>
      </c>
      <c r="B394">
        <v>3</v>
      </c>
      <c r="C394" t="s">
        <v>1131</v>
      </c>
      <c r="D394" t="s">
        <v>1132</v>
      </c>
      <c r="E394">
        <v>7</v>
      </c>
      <c r="F394" t="s">
        <v>1218</v>
      </c>
      <c r="G394" t="s">
        <v>1798</v>
      </c>
      <c r="H394" t="s">
        <v>1233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</row>
    <row r="395" spans="1:17">
      <c r="A395" s="13">
        <v>44062</v>
      </c>
      <c r="B395">
        <v>4</v>
      </c>
      <c r="C395" t="s">
        <v>1119</v>
      </c>
      <c r="D395" t="s">
        <v>1120</v>
      </c>
      <c r="E395">
        <v>61</v>
      </c>
      <c r="F395" t="s">
        <v>1218</v>
      </c>
      <c r="G395" t="s">
        <v>1798</v>
      </c>
      <c r="H395" t="s">
        <v>1233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</row>
    <row r="396" spans="1:17">
      <c r="A396" s="13">
        <v>44062</v>
      </c>
      <c r="B396">
        <v>5</v>
      </c>
      <c r="C396" t="s">
        <v>1182</v>
      </c>
      <c r="D396" t="s">
        <v>1204</v>
      </c>
      <c r="E396">
        <v>63</v>
      </c>
      <c r="F396" t="s">
        <v>1218</v>
      </c>
      <c r="G396" t="s">
        <v>1798</v>
      </c>
      <c r="H396" t="s">
        <v>1233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</row>
    <row r="397" spans="1:17">
      <c r="A397" s="13">
        <v>44062</v>
      </c>
      <c r="B397">
        <v>6</v>
      </c>
      <c r="C397" t="s">
        <v>1133</v>
      </c>
      <c r="D397" t="s">
        <v>1134</v>
      </c>
      <c r="E397">
        <v>65</v>
      </c>
      <c r="F397" t="s">
        <v>1218</v>
      </c>
      <c r="G397" t="s">
        <v>1798</v>
      </c>
      <c r="H397" t="s">
        <v>1233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</row>
    <row r="398" spans="1:17">
      <c r="A398" s="13">
        <v>44062</v>
      </c>
      <c r="B398">
        <v>7</v>
      </c>
      <c r="C398" t="s">
        <v>1155</v>
      </c>
      <c r="D398" t="s">
        <v>1156</v>
      </c>
      <c r="E398">
        <v>18</v>
      </c>
      <c r="F398" t="s">
        <v>1218</v>
      </c>
      <c r="G398" t="s">
        <v>1798</v>
      </c>
      <c r="H398" t="s">
        <v>1233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</row>
    <row r="399" spans="1:17">
      <c r="A399" s="13">
        <v>44062</v>
      </c>
      <c r="B399">
        <v>8</v>
      </c>
      <c r="C399" t="s">
        <v>1217</v>
      </c>
      <c r="D399" t="s">
        <v>1111</v>
      </c>
      <c r="E399">
        <v>35</v>
      </c>
      <c r="F399" t="s">
        <v>1218</v>
      </c>
      <c r="G399" t="s">
        <v>1798</v>
      </c>
      <c r="H399" t="s">
        <v>1233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</row>
    <row r="400" spans="1:17">
      <c r="A400" s="13">
        <v>44062</v>
      </c>
      <c r="B400">
        <v>1</v>
      </c>
      <c r="C400" t="s">
        <v>1133</v>
      </c>
      <c r="D400" t="s">
        <v>1134</v>
      </c>
      <c r="E400">
        <v>72</v>
      </c>
      <c r="F400" t="s">
        <v>1218</v>
      </c>
      <c r="G400" t="s">
        <v>1798</v>
      </c>
      <c r="H400" t="s">
        <v>1234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</row>
    <row r="401" spans="1:17">
      <c r="A401" s="13">
        <v>44062</v>
      </c>
      <c r="B401">
        <v>2</v>
      </c>
      <c r="C401" t="s">
        <v>1153</v>
      </c>
      <c r="D401" t="s">
        <v>1154</v>
      </c>
      <c r="E401">
        <v>70</v>
      </c>
      <c r="F401" t="s">
        <v>1218</v>
      </c>
      <c r="G401" t="s">
        <v>1798</v>
      </c>
      <c r="H401" t="s">
        <v>1234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</row>
    <row r="402" spans="1:17">
      <c r="A402" s="13">
        <v>44062</v>
      </c>
      <c r="B402">
        <v>3</v>
      </c>
      <c r="C402" t="s">
        <v>1149</v>
      </c>
      <c r="D402" t="s">
        <v>1150</v>
      </c>
      <c r="E402">
        <v>91</v>
      </c>
      <c r="F402" t="s">
        <v>1218</v>
      </c>
      <c r="G402" t="s">
        <v>1798</v>
      </c>
      <c r="H402" t="s">
        <v>1234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</row>
    <row r="403" spans="1:17">
      <c r="A403" s="13">
        <v>44062</v>
      </c>
      <c r="B403">
        <v>4</v>
      </c>
      <c r="C403" t="s">
        <v>1114</v>
      </c>
      <c r="D403" t="s">
        <v>1115</v>
      </c>
      <c r="E403">
        <v>36</v>
      </c>
      <c r="F403" t="s">
        <v>1218</v>
      </c>
      <c r="G403" t="s">
        <v>1798</v>
      </c>
      <c r="H403" t="s">
        <v>1234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</row>
    <row r="404" spans="1:17">
      <c r="A404" s="13">
        <v>44062</v>
      </c>
      <c r="B404">
        <v>5</v>
      </c>
      <c r="C404" t="s">
        <v>1235</v>
      </c>
      <c r="D404" t="s">
        <v>1799</v>
      </c>
      <c r="E404">
        <v>15</v>
      </c>
      <c r="F404" t="s">
        <v>1218</v>
      </c>
      <c r="G404" t="s">
        <v>1798</v>
      </c>
      <c r="H404" t="s">
        <v>1234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</row>
    <row r="405" spans="1:17">
      <c r="A405" s="13">
        <v>44062</v>
      </c>
      <c r="B405">
        <v>6</v>
      </c>
      <c r="C405" t="s">
        <v>1127</v>
      </c>
      <c r="D405" t="s">
        <v>1128</v>
      </c>
      <c r="E405">
        <v>36</v>
      </c>
      <c r="F405" t="s">
        <v>1218</v>
      </c>
      <c r="G405" t="s">
        <v>1798</v>
      </c>
      <c r="H405" t="s">
        <v>1234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</row>
    <row r="406" spans="1:17">
      <c r="A406" s="13">
        <v>44062</v>
      </c>
      <c r="B406">
        <v>1</v>
      </c>
      <c r="C406" t="s">
        <v>1110</v>
      </c>
      <c r="D406" t="s">
        <v>1111</v>
      </c>
      <c r="E406">
        <v>18</v>
      </c>
      <c r="F406" t="s">
        <v>1218</v>
      </c>
      <c r="G406" t="s">
        <v>1798</v>
      </c>
      <c r="H406" t="s">
        <v>1236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</row>
    <row r="407" spans="1:17">
      <c r="A407" s="13">
        <v>44062</v>
      </c>
      <c r="B407">
        <v>2</v>
      </c>
      <c r="C407" t="s">
        <v>1179</v>
      </c>
      <c r="D407" t="s">
        <v>1201</v>
      </c>
      <c r="E407">
        <v>40</v>
      </c>
      <c r="F407" t="s">
        <v>1218</v>
      </c>
      <c r="G407" t="s">
        <v>1798</v>
      </c>
      <c r="H407" t="s">
        <v>1236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</row>
    <row r="408" spans="1:17">
      <c r="A408" s="13">
        <v>44062</v>
      </c>
      <c r="B408">
        <v>3</v>
      </c>
      <c r="C408" t="s">
        <v>1187</v>
      </c>
      <c r="D408" t="s">
        <v>1209</v>
      </c>
      <c r="E408">
        <v>27</v>
      </c>
      <c r="F408" t="s">
        <v>1218</v>
      </c>
      <c r="G408" t="s">
        <v>1798</v>
      </c>
      <c r="H408" t="s">
        <v>1236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</row>
    <row r="409" spans="1:17">
      <c r="A409" s="13">
        <v>44062</v>
      </c>
      <c r="B409">
        <v>4</v>
      </c>
      <c r="C409" t="s">
        <v>1127</v>
      </c>
      <c r="D409" t="s">
        <v>1128</v>
      </c>
      <c r="E409">
        <v>135</v>
      </c>
      <c r="F409" t="s">
        <v>1218</v>
      </c>
      <c r="G409" t="s">
        <v>1798</v>
      </c>
      <c r="H409" t="s">
        <v>1236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</row>
    <row r="410" spans="1:17">
      <c r="A410" s="13">
        <v>44062</v>
      </c>
      <c r="B410">
        <v>5</v>
      </c>
      <c r="C410" t="s">
        <v>1190</v>
      </c>
      <c r="D410" t="s">
        <v>1212</v>
      </c>
      <c r="E410">
        <v>35</v>
      </c>
      <c r="F410" t="s">
        <v>1218</v>
      </c>
      <c r="G410" t="s">
        <v>1798</v>
      </c>
      <c r="H410" t="s">
        <v>1236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</row>
    <row r="411" spans="1:17">
      <c r="A411" s="13">
        <v>44062</v>
      </c>
      <c r="B411">
        <v>6</v>
      </c>
      <c r="C411" t="s">
        <v>1181</v>
      </c>
      <c r="D411" t="s">
        <v>1203</v>
      </c>
      <c r="E411">
        <v>12</v>
      </c>
      <c r="F411" t="s">
        <v>1218</v>
      </c>
      <c r="G411" t="s">
        <v>1798</v>
      </c>
      <c r="H411" t="s">
        <v>1236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</row>
    <row r="412" spans="1:17">
      <c r="A412" s="13">
        <v>44062</v>
      </c>
      <c r="B412">
        <v>7</v>
      </c>
      <c r="C412" t="s">
        <v>1110</v>
      </c>
      <c r="D412" t="s">
        <v>1111</v>
      </c>
      <c r="E412">
        <v>53</v>
      </c>
      <c r="F412" t="s">
        <v>1218</v>
      </c>
      <c r="G412" t="s">
        <v>1798</v>
      </c>
      <c r="H412" t="s">
        <v>1236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</row>
    <row r="413" spans="1:17">
      <c r="A413" s="13">
        <v>44062</v>
      </c>
      <c r="B413">
        <v>1</v>
      </c>
      <c r="C413" t="s">
        <v>1238</v>
      </c>
      <c r="D413" t="s">
        <v>1801</v>
      </c>
      <c r="E413">
        <v>360</v>
      </c>
      <c r="F413" t="s">
        <v>1218</v>
      </c>
      <c r="G413" t="s">
        <v>1800</v>
      </c>
      <c r="H413" t="s">
        <v>1237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</row>
    <row r="414" spans="1:17">
      <c r="A414" s="13">
        <v>44062</v>
      </c>
      <c r="B414">
        <v>2</v>
      </c>
      <c r="C414" t="s">
        <v>1240</v>
      </c>
      <c r="D414" t="s">
        <v>1803</v>
      </c>
      <c r="E414">
        <v>504</v>
      </c>
      <c r="F414" t="s">
        <v>1218</v>
      </c>
      <c r="G414" t="s">
        <v>1800</v>
      </c>
      <c r="H414" t="s">
        <v>1237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</row>
    <row r="415" spans="1:17">
      <c r="A415" s="13">
        <v>44063</v>
      </c>
      <c r="B415">
        <v>1</v>
      </c>
      <c r="C415" t="s">
        <v>1074</v>
      </c>
      <c r="D415" t="s">
        <v>1075</v>
      </c>
      <c r="E415">
        <v>210</v>
      </c>
      <c r="F415" t="s">
        <v>1218</v>
      </c>
      <c r="G415" t="s">
        <v>1780</v>
      </c>
      <c r="H415" t="s">
        <v>1219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</row>
    <row r="416" spans="1:17">
      <c r="A416" s="13">
        <v>44063</v>
      </c>
      <c r="B416">
        <v>2</v>
      </c>
      <c r="C416" t="s">
        <v>1076</v>
      </c>
      <c r="D416" t="s">
        <v>1077</v>
      </c>
      <c r="E416">
        <v>150</v>
      </c>
      <c r="F416" t="s">
        <v>1218</v>
      </c>
      <c r="G416" t="s">
        <v>1780</v>
      </c>
      <c r="H416" t="s">
        <v>1219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</row>
    <row r="417" spans="1:17">
      <c r="A417" s="13">
        <v>44063</v>
      </c>
      <c r="B417">
        <v>1</v>
      </c>
      <c r="C417" t="s">
        <v>1230</v>
      </c>
      <c r="D417" t="s">
        <v>1791</v>
      </c>
      <c r="E417">
        <v>660</v>
      </c>
      <c r="F417" t="s">
        <v>1218</v>
      </c>
      <c r="G417" t="s">
        <v>1789</v>
      </c>
      <c r="H417" t="s">
        <v>1228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</row>
    <row r="418" spans="1:17">
      <c r="A418" s="13">
        <v>44063</v>
      </c>
      <c r="B418">
        <v>1</v>
      </c>
      <c r="C418" t="s">
        <v>1232</v>
      </c>
      <c r="D418" t="s">
        <v>1793</v>
      </c>
      <c r="E418">
        <v>8</v>
      </c>
      <c r="F418" t="s">
        <v>1218</v>
      </c>
      <c r="G418" t="s">
        <v>1792</v>
      </c>
      <c r="H418" t="s">
        <v>1231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</row>
    <row r="419" spans="1:17">
      <c r="A419" s="13">
        <v>44063</v>
      </c>
      <c r="B419">
        <v>1</v>
      </c>
      <c r="C419" t="s">
        <v>1217</v>
      </c>
      <c r="D419" t="s">
        <v>1111</v>
      </c>
      <c r="E419">
        <v>3</v>
      </c>
      <c r="F419" t="s">
        <v>1218</v>
      </c>
      <c r="G419" t="s">
        <v>1798</v>
      </c>
      <c r="H419" t="s">
        <v>1233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</row>
    <row r="420" spans="1:17">
      <c r="A420" s="13">
        <v>44063</v>
      </c>
      <c r="B420">
        <v>2</v>
      </c>
      <c r="C420" t="s">
        <v>1157</v>
      </c>
      <c r="D420" t="s">
        <v>1158</v>
      </c>
      <c r="E420">
        <v>67</v>
      </c>
      <c r="F420" t="s">
        <v>1218</v>
      </c>
      <c r="G420" t="s">
        <v>1798</v>
      </c>
      <c r="H420" t="s">
        <v>1233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</row>
    <row r="421" spans="1:17">
      <c r="A421" s="13">
        <v>44063</v>
      </c>
      <c r="B421">
        <v>3</v>
      </c>
      <c r="C421" t="s">
        <v>1119</v>
      </c>
      <c r="D421" t="s">
        <v>1120</v>
      </c>
      <c r="E421">
        <v>138</v>
      </c>
      <c r="F421" t="s">
        <v>1218</v>
      </c>
      <c r="G421" t="s">
        <v>1798</v>
      </c>
      <c r="H421" t="s">
        <v>1233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</row>
    <row r="422" spans="1:17">
      <c r="A422" s="13">
        <v>44063</v>
      </c>
      <c r="B422">
        <v>4</v>
      </c>
      <c r="C422" t="s">
        <v>1127</v>
      </c>
      <c r="D422" t="s">
        <v>1128</v>
      </c>
      <c r="E422">
        <v>59</v>
      </c>
      <c r="F422" t="s">
        <v>1218</v>
      </c>
      <c r="G422" t="s">
        <v>1798</v>
      </c>
      <c r="H422" t="s">
        <v>1233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</row>
    <row r="423" spans="1:17">
      <c r="A423" s="13">
        <v>44063</v>
      </c>
      <c r="B423">
        <v>5</v>
      </c>
      <c r="C423" t="s">
        <v>1155</v>
      </c>
      <c r="D423" t="s">
        <v>1156</v>
      </c>
      <c r="E423">
        <v>53</v>
      </c>
      <c r="F423" t="s">
        <v>1218</v>
      </c>
      <c r="G423" t="s">
        <v>1798</v>
      </c>
      <c r="H423" t="s">
        <v>1233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</row>
    <row r="424" spans="1:17">
      <c r="A424" s="13">
        <v>44063</v>
      </c>
      <c r="B424">
        <v>1</v>
      </c>
      <c r="C424" t="s">
        <v>1127</v>
      </c>
      <c r="D424" t="s">
        <v>1128</v>
      </c>
      <c r="E424">
        <v>5</v>
      </c>
      <c r="F424" t="s">
        <v>1218</v>
      </c>
      <c r="G424" t="s">
        <v>1798</v>
      </c>
      <c r="H424" t="s">
        <v>1234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</row>
    <row r="425" spans="1:17">
      <c r="A425" s="13">
        <v>44063</v>
      </c>
      <c r="B425">
        <v>2</v>
      </c>
      <c r="C425" t="s">
        <v>1133</v>
      </c>
      <c r="D425" t="s">
        <v>1134</v>
      </c>
      <c r="E425">
        <v>67</v>
      </c>
      <c r="F425" t="s">
        <v>1218</v>
      </c>
      <c r="G425" t="s">
        <v>1798</v>
      </c>
      <c r="H425" t="s">
        <v>1234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</row>
    <row r="426" spans="1:17">
      <c r="A426" s="13">
        <v>44063</v>
      </c>
      <c r="B426">
        <v>3</v>
      </c>
      <c r="C426" t="s">
        <v>1153</v>
      </c>
      <c r="D426" t="s">
        <v>1154</v>
      </c>
      <c r="E426">
        <v>70</v>
      </c>
      <c r="F426" t="s">
        <v>1218</v>
      </c>
      <c r="G426" t="s">
        <v>1798</v>
      </c>
      <c r="H426" t="s">
        <v>1234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</row>
    <row r="427" spans="1:17">
      <c r="A427" s="13">
        <v>44063</v>
      </c>
      <c r="B427">
        <v>4</v>
      </c>
      <c r="C427" t="s">
        <v>1149</v>
      </c>
      <c r="D427" t="s">
        <v>1150</v>
      </c>
      <c r="E427">
        <v>105</v>
      </c>
      <c r="F427" t="s">
        <v>1218</v>
      </c>
      <c r="G427" t="s">
        <v>1798</v>
      </c>
      <c r="H427" t="s">
        <v>1234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</row>
    <row r="428" spans="1:17">
      <c r="A428" s="13">
        <v>44063</v>
      </c>
      <c r="B428">
        <v>5</v>
      </c>
      <c r="C428" t="s">
        <v>1112</v>
      </c>
      <c r="D428" t="s">
        <v>1113</v>
      </c>
      <c r="E428">
        <v>22</v>
      </c>
      <c r="F428" t="s">
        <v>1218</v>
      </c>
      <c r="G428" t="s">
        <v>1798</v>
      </c>
      <c r="H428" t="s">
        <v>1234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</row>
    <row r="429" spans="1:17">
      <c r="A429" s="13">
        <v>44063</v>
      </c>
      <c r="B429">
        <v>6</v>
      </c>
      <c r="C429" t="s">
        <v>1235</v>
      </c>
      <c r="D429" t="s">
        <v>1799</v>
      </c>
      <c r="E429">
        <v>15</v>
      </c>
      <c r="F429" t="s">
        <v>1218</v>
      </c>
      <c r="G429" t="s">
        <v>1798</v>
      </c>
      <c r="H429" t="s">
        <v>1234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</row>
    <row r="430" spans="1:17">
      <c r="A430" s="13">
        <v>44063</v>
      </c>
      <c r="B430">
        <v>7</v>
      </c>
      <c r="C430" t="s">
        <v>1127</v>
      </c>
      <c r="D430" t="s">
        <v>1128</v>
      </c>
      <c r="E430">
        <v>36</v>
      </c>
      <c r="F430" t="s">
        <v>1218</v>
      </c>
      <c r="G430" t="s">
        <v>1798</v>
      </c>
      <c r="H430" t="s">
        <v>1234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</row>
    <row r="431" spans="1:17">
      <c r="A431" s="13">
        <v>44063</v>
      </c>
      <c r="B431">
        <v>1</v>
      </c>
      <c r="C431" t="s">
        <v>1110</v>
      </c>
      <c r="D431" t="s">
        <v>1111</v>
      </c>
      <c r="E431">
        <v>30</v>
      </c>
      <c r="F431" t="s">
        <v>1218</v>
      </c>
      <c r="G431" t="s">
        <v>1798</v>
      </c>
      <c r="H431" t="s">
        <v>1236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</row>
    <row r="432" spans="1:17">
      <c r="A432" s="13">
        <v>44063</v>
      </c>
      <c r="B432">
        <v>2</v>
      </c>
      <c r="C432" t="s">
        <v>1119</v>
      </c>
      <c r="D432" t="s">
        <v>1120</v>
      </c>
      <c r="E432">
        <v>166</v>
      </c>
      <c r="F432" t="s">
        <v>1218</v>
      </c>
      <c r="G432" t="s">
        <v>1798</v>
      </c>
      <c r="H432" t="s">
        <v>1236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</row>
    <row r="433" spans="1:17">
      <c r="A433" s="13">
        <v>44063</v>
      </c>
      <c r="B433">
        <v>3</v>
      </c>
      <c r="C433" t="s">
        <v>1121</v>
      </c>
      <c r="D433" t="s">
        <v>1122</v>
      </c>
      <c r="E433">
        <v>4</v>
      </c>
      <c r="F433" t="s">
        <v>1218</v>
      </c>
      <c r="G433" t="s">
        <v>1798</v>
      </c>
      <c r="H433" t="s">
        <v>1236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</row>
    <row r="434" spans="1:17">
      <c r="A434" s="13">
        <v>44063</v>
      </c>
      <c r="B434">
        <v>4</v>
      </c>
      <c r="C434" t="s">
        <v>1127</v>
      </c>
      <c r="D434" t="s">
        <v>1128</v>
      </c>
      <c r="E434">
        <v>67</v>
      </c>
      <c r="F434" t="s">
        <v>1218</v>
      </c>
      <c r="G434" t="s">
        <v>1798</v>
      </c>
      <c r="H434" t="s">
        <v>1236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</row>
    <row r="435" spans="1:17">
      <c r="A435" s="13">
        <v>44063</v>
      </c>
      <c r="B435">
        <v>5</v>
      </c>
      <c r="C435" t="s">
        <v>1110</v>
      </c>
      <c r="D435" t="s">
        <v>1111</v>
      </c>
      <c r="E435">
        <v>8</v>
      </c>
      <c r="F435" t="s">
        <v>1218</v>
      </c>
      <c r="G435" t="s">
        <v>1798</v>
      </c>
      <c r="H435" t="s">
        <v>1236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</row>
    <row r="436" spans="1:17">
      <c r="A436" s="13">
        <v>44063</v>
      </c>
      <c r="B436">
        <v>6</v>
      </c>
      <c r="C436" t="s">
        <v>1119</v>
      </c>
      <c r="D436" t="s">
        <v>1120</v>
      </c>
      <c r="E436">
        <v>45</v>
      </c>
      <c r="F436" t="s">
        <v>1218</v>
      </c>
      <c r="G436" t="s">
        <v>1798</v>
      </c>
      <c r="H436" t="s">
        <v>1236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</row>
    <row r="437" spans="1:17">
      <c r="A437" s="13">
        <v>44063</v>
      </c>
      <c r="B437">
        <v>1</v>
      </c>
      <c r="C437" t="s">
        <v>1240</v>
      </c>
      <c r="D437" t="s">
        <v>1803</v>
      </c>
      <c r="E437">
        <v>144</v>
      </c>
      <c r="F437" t="s">
        <v>1218</v>
      </c>
      <c r="G437" t="s">
        <v>1800</v>
      </c>
      <c r="H437" t="s">
        <v>1237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</row>
    <row r="438" spans="1:17">
      <c r="A438" s="13">
        <v>44063</v>
      </c>
      <c r="B438">
        <v>2</v>
      </c>
      <c r="C438" t="s">
        <v>1239</v>
      </c>
      <c r="D438" t="s">
        <v>1802</v>
      </c>
      <c r="E438">
        <v>720</v>
      </c>
      <c r="F438" t="s">
        <v>1218</v>
      </c>
      <c r="G438" t="s">
        <v>1800</v>
      </c>
      <c r="H438" t="s">
        <v>1237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</row>
    <row r="439" spans="1:17">
      <c r="A439" s="13">
        <v>44064</v>
      </c>
      <c r="B439">
        <v>1</v>
      </c>
      <c r="C439" t="s">
        <v>1076</v>
      </c>
      <c r="D439" t="s">
        <v>1077</v>
      </c>
      <c r="E439">
        <v>144</v>
      </c>
      <c r="F439" t="s">
        <v>1218</v>
      </c>
      <c r="G439" t="s">
        <v>1780</v>
      </c>
      <c r="H439" t="s">
        <v>1219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</row>
    <row r="440" spans="1:17">
      <c r="A440" s="13">
        <v>44064</v>
      </c>
      <c r="B440">
        <v>2</v>
      </c>
      <c r="C440" t="s">
        <v>1078</v>
      </c>
      <c r="D440" t="s">
        <v>1079</v>
      </c>
      <c r="E440">
        <v>185</v>
      </c>
      <c r="F440" t="s">
        <v>1218</v>
      </c>
      <c r="G440" t="s">
        <v>1780</v>
      </c>
      <c r="H440" t="s">
        <v>1219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</row>
    <row r="441" spans="1:17">
      <c r="A441" s="13">
        <v>44064</v>
      </c>
      <c r="B441">
        <v>3</v>
      </c>
      <c r="C441" t="s">
        <v>1226</v>
      </c>
      <c r="D441" t="s">
        <v>1788</v>
      </c>
      <c r="E441">
        <v>2</v>
      </c>
      <c r="F441" t="s">
        <v>1218</v>
      </c>
      <c r="G441" t="s">
        <v>1780</v>
      </c>
      <c r="H441" t="s">
        <v>1219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</row>
    <row r="442" spans="1:17">
      <c r="A442" s="13">
        <v>44064</v>
      </c>
      <c r="B442">
        <v>4</v>
      </c>
      <c r="C442" t="s">
        <v>1227</v>
      </c>
      <c r="D442" t="s">
        <v>1860</v>
      </c>
      <c r="E442">
        <v>29</v>
      </c>
      <c r="F442" t="s">
        <v>1218</v>
      </c>
      <c r="G442" t="s">
        <v>1780</v>
      </c>
      <c r="H442" t="s">
        <v>1219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</row>
    <row r="443" spans="1:17">
      <c r="A443" s="13">
        <v>44064</v>
      </c>
      <c r="B443">
        <v>1</v>
      </c>
      <c r="C443" t="s">
        <v>1230</v>
      </c>
      <c r="D443" t="s">
        <v>1791</v>
      </c>
      <c r="E443">
        <v>544</v>
      </c>
      <c r="F443" t="s">
        <v>1218</v>
      </c>
      <c r="G443" t="s">
        <v>1789</v>
      </c>
      <c r="H443" t="s">
        <v>1228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</row>
    <row r="444" spans="1:17">
      <c r="A444" s="13">
        <v>44064</v>
      </c>
      <c r="B444">
        <v>1</v>
      </c>
      <c r="C444" t="s">
        <v>1232</v>
      </c>
      <c r="D444" t="s">
        <v>1793</v>
      </c>
      <c r="E444">
        <v>7</v>
      </c>
      <c r="F444" t="s">
        <v>1218</v>
      </c>
      <c r="G444" t="s">
        <v>1792</v>
      </c>
      <c r="H444" t="s">
        <v>1231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</row>
    <row r="445" spans="1:17">
      <c r="A445" s="13">
        <v>44064</v>
      </c>
      <c r="B445">
        <v>1</v>
      </c>
      <c r="C445" t="s">
        <v>1155</v>
      </c>
      <c r="D445" t="s">
        <v>1156</v>
      </c>
      <c r="E445">
        <v>27</v>
      </c>
      <c r="F445" t="s">
        <v>1218</v>
      </c>
      <c r="G445" t="s">
        <v>1798</v>
      </c>
      <c r="H445" t="s">
        <v>1233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</row>
    <row r="446" spans="1:17">
      <c r="A446" s="13">
        <v>44064</v>
      </c>
      <c r="B446">
        <v>2</v>
      </c>
      <c r="C446" t="s">
        <v>1157</v>
      </c>
      <c r="D446" t="s">
        <v>1158</v>
      </c>
      <c r="E446">
        <v>43</v>
      </c>
      <c r="F446" t="s">
        <v>1218</v>
      </c>
      <c r="G446" t="s">
        <v>1798</v>
      </c>
      <c r="H446" t="s">
        <v>1233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</row>
    <row r="447" spans="1:17">
      <c r="A447" s="13">
        <v>44064</v>
      </c>
      <c r="B447">
        <v>3</v>
      </c>
      <c r="C447" t="s">
        <v>1180</v>
      </c>
      <c r="D447" t="s">
        <v>1202</v>
      </c>
      <c r="E447">
        <v>97</v>
      </c>
      <c r="F447" t="s">
        <v>1218</v>
      </c>
      <c r="G447" t="s">
        <v>1798</v>
      </c>
      <c r="H447" t="s">
        <v>1233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</row>
    <row r="448" spans="1:17">
      <c r="A448" s="13">
        <v>44064</v>
      </c>
      <c r="B448">
        <v>4</v>
      </c>
      <c r="C448" t="s">
        <v>1127</v>
      </c>
      <c r="D448" t="s">
        <v>1128</v>
      </c>
      <c r="E448">
        <v>100</v>
      </c>
      <c r="F448" t="s">
        <v>1218</v>
      </c>
      <c r="G448" t="s">
        <v>1798</v>
      </c>
      <c r="H448" t="s">
        <v>1233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</row>
    <row r="449" spans="1:17">
      <c r="A449" s="13">
        <v>44064</v>
      </c>
      <c r="B449">
        <v>5</v>
      </c>
      <c r="C449" t="s">
        <v>1155</v>
      </c>
      <c r="D449" t="s">
        <v>1156</v>
      </c>
      <c r="E449">
        <v>53</v>
      </c>
      <c r="F449" t="s">
        <v>1218</v>
      </c>
      <c r="G449" t="s">
        <v>1798</v>
      </c>
      <c r="H449" t="s">
        <v>1233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</row>
    <row r="450" spans="1:17">
      <c r="A450" s="13">
        <v>44064</v>
      </c>
      <c r="B450">
        <v>1</v>
      </c>
      <c r="C450" t="s">
        <v>1127</v>
      </c>
      <c r="D450" t="s">
        <v>1128</v>
      </c>
      <c r="E450">
        <v>72</v>
      </c>
      <c r="F450" t="s">
        <v>1218</v>
      </c>
      <c r="G450" t="s">
        <v>1798</v>
      </c>
      <c r="H450" t="s">
        <v>1234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</row>
    <row r="451" spans="1:17">
      <c r="A451" s="13">
        <v>44064</v>
      </c>
      <c r="B451">
        <v>2</v>
      </c>
      <c r="C451" t="s">
        <v>1153</v>
      </c>
      <c r="D451" t="s">
        <v>1154</v>
      </c>
      <c r="E451">
        <v>70</v>
      </c>
      <c r="F451" t="s">
        <v>1218</v>
      </c>
      <c r="G451" t="s">
        <v>1798</v>
      </c>
      <c r="H451" t="s">
        <v>1234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</row>
    <row r="452" spans="1:17">
      <c r="A452" s="13">
        <v>44064</v>
      </c>
      <c r="B452">
        <v>3</v>
      </c>
      <c r="C452" t="s">
        <v>1149</v>
      </c>
      <c r="D452" t="s">
        <v>1150</v>
      </c>
      <c r="E452">
        <v>127</v>
      </c>
      <c r="F452" t="s">
        <v>1218</v>
      </c>
      <c r="G452" t="s">
        <v>1798</v>
      </c>
      <c r="H452" t="s">
        <v>1234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</row>
    <row r="453" spans="1:17">
      <c r="A453" s="13">
        <v>44064</v>
      </c>
      <c r="B453">
        <v>4</v>
      </c>
      <c r="C453" t="s">
        <v>1235</v>
      </c>
      <c r="D453" t="s">
        <v>1799</v>
      </c>
      <c r="E453">
        <v>6</v>
      </c>
      <c r="F453" t="s">
        <v>1218</v>
      </c>
      <c r="G453" t="s">
        <v>1798</v>
      </c>
      <c r="H453" t="s">
        <v>1234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</row>
    <row r="454" spans="1:17">
      <c r="A454" s="13">
        <v>44064</v>
      </c>
      <c r="B454">
        <v>5</v>
      </c>
      <c r="C454" t="s">
        <v>1127</v>
      </c>
      <c r="D454" t="s">
        <v>1128</v>
      </c>
      <c r="E454">
        <v>45</v>
      </c>
      <c r="F454" t="s">
        <v>1218</v>
      </c>
      <c r="G454" t="s">
        <v>1798</v>
      </c>
      <c r="H454" t="s">
        <v>1234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</row>
    <row r="455" spans="1:17">
      <c r="A455" s="13">
        <v>44064</v>
      </c>
      <c r="B455">
        <v>1</v>
      </c>
      <c r="C455" t="s">
        <v>1119</v>
      </c>
      <c r="D455" t="s">
        <v>1120</v>
      </c>
      <c r="E455">
        <v>267</v>
      </c>
      <c r="F455" t="s">
        <v>1218</v>
      </c>
      <c r="G455" t="s">
        <v>1798</v>
      </c>
      <c r="H455" t="s">
        <v>1236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</row>
    <row r="456" spans="1:17">
      <c r="A456" s="13">
        <v>44064</v>
      </c>
      <c r="B456">
        <v>2</v>
      </c>
      <c r="C456" t="s">
        <v>1110</v>
      </c>
      <c r="D456" t="s">
        <v>1111</v>
      </c>
      <c r="E456">
        <v>53</v>
      </c>
      <c r="F456" t="s">
        <v>1218</v>
      </c>
      <c r="G456" t="s">
        <v>1798</v>
      </c>
      <c r="H456" t="s">
        <v>1236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</row>
    <row r="457" spans="1:17">
      <c r="A457" s="13">
        <v>44064</v>
      </c>
      <c r="B457">
        <v>1</v>
      </c>
      <c r="C457" t="s">
        <v>1239</v>
      </c>
      <c r="D457" t="s">
        <v>1802</v>
      </c>
      <c r="E457">
        <v>864</v>
      </c>
      <c r="F457" t="s">
        <v>1218</v>
      </c>
      <c r="G457" t="s">
        <v>1800</v>
      </c>
      <c r="H457" t="s">
        <v>1237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</row>
    <row r="458" spans="1:17">
      <c r="A458" s="13">
        <v>44065</v>
      </c>
      <c r="B458">
        <v>1</v>
      </c>
      <c r="C458" t="s">
        <v>1227</v>
      </c>
      <c r="D458" t="s">
        <v>1860</v>
      </c>
      <c r="E458">
        <v>360</v>
      </c>
      <c r="F458" t="s">
        <v>1218</v>
      </c>
      <c r="G458" t="s">
        <v>1780</v>
      </c>
      <c r="H458" t="s">
        <v>1219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</row>
    <row r="459" spans="1:17">
      <c r="A459" s="13">
        <v>44065</v>
      </c>
      <c r="B459">
        <v>1</v>
      </c>
      <c r="C459" t="s">
        <v>1230</v>
      </c>
      <c r="D459" t="s">
        <v>1791</v>
      </c>
      <c r="E459">
        <v>544</v>
      </c>
      <c r="F459" t="s">
        <v>1218</v>
      </c>
      <c r="G459" t="s">
        <v>1789</v>
      </c>
      <c r="H459" t="s">
        <v>1228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</row>
    <row r="460" spans="1:17">
      <c r="A460" s="13">
        <v>44065</v>
      </c>
      <c r="B460">
        <v>1</v>
      </c>
      <c r="C460" t="s">
        <v>1232</v>
      </c>
      <c r="D460" t="s">
        <v>1793</v>
      </c>
      <c r="E460">
        <v>7</v>
      </c>
      <c r="F460" t="s">
        <v>1218</v>
      </c>
      <c r="G460" t="s">
        <v>1792</v>
      </c>
      <c r="H460" t="s">
        <v>1231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</row>
    <row r="461" spans="1:17">
      <c r="A461" s="13">
        <v>44065</v>
      </c>
      <c r="B461">
        <v>1</v>
      </c>
      <c r="C461" t="s">
        <v>1157</v>
      </c>
      <c r="D461" t="s">
        <v>1158</v>
      </c>
      <c r="E461">
        <v>70</v>
      </c>
      <c r="F461" t="s">
        <v>1218</v>
      </c>
      <c r="G461" t="s">
        <v>1798</v>
      </c>
      <c r="H461" t="s">
        <v>1233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</row>
    <row r="462" spans="1:17">
      <c r="A462" s="13">
        <v>44065</v>
      </c>
      <c r="B462">
        <v>2</v>
      </c>
      <c r="C462" t="s">
        <v>1127</v>
      </c>
      <c r="D462" t="s">
        <v>1128</v>
      </c>
      <c r="E462">
        <v>137</v>
      </c>
      <c r="F462" t="s">
        <v>1218</v>
      </c>
      <c r="G462" t="s">
        <v>1798</v>
      </c>
      <c r="H462" t="s">
        <v>1233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</row>
    <row r="463" spans="1:17">
      <c r="A463" s="13">
        <v>44065</v>
      </c>
      <c r="B463">
        <v>3</v>
      </c>
      <c r="C463" t="s">
        <v>1123</v>
      </c>
      <c r="D463" t="s">
        <v>1124</v>
      </c>
      <c r="E463">
        <v>53</v>
      </c>
      <c r="F463" t="s">
        <v>1218</v>
      </c>
      <c r="G463" t="s">
        <v>1798</v>
      </c>
      <c r="H463" t="s">
        <v>1233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</row>
    <row r="464" spans="1:17">
      <c r="A464" s="13">
        <v>44065</v>
      </c>
      <c r="B464">
        <v>1</v>
      </c>
      <c r="C464" t="s">
        <v>1127</v>
      </c>
      <c r="D464" t="s">
        <v>1128</v>
      </c>
      <c r="E464">
        <v>63</v>
      </c>
      <c r="F464" t="s">
        <v>1218</v>
      </c>
      <c r="G464" t="s">
        <v>1798</v>
      </c>
      <c r="H464" t="s">
        <v>1234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</row>
    <row r="465" spans="1:17">
      <c r="A465" s="13">
        <v>44065</v>
      </c>
      <c r="B465">
        <v>2</v>
      </c>
      <c r="C465" t="s">
        <v>1153</v>
      </c>
      <c r="D465" t="s">
        <v>1154</v>
      </c>
      <c r="E465">
        <v>64</v>
      </c>
      <c r="F465" t="s">
        <v>1218</v>
      </c>
      <c r="G465" t="s">
        <v>1798</v>
      </c>
      <c r="H465" t="s">
        <v>1234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</row>
    <row r="466" spans="1:17">
      <c r="A466" s="13">
        <v>44065</v>
      </c>
      <c r="B466">
        <v>3</v>
      </c>
      <c r="C466" t="s">
        <v>1149</v>
      </c>
      <c r="D466" t="s">
        <v>1150</v>
      </c>
      <c r="E466">
        <v>82</v>
      </c>
      <c r="F466" t="s">
        <v>1218</v>
      </c>
      <c r="G466" t="s">
        <v>1798</v>
      </c>
      <c r="H466" t="s">
        <v>1234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</row>
    <row r="467" spans="1:17">
      <c r="A467" s="13">
        <v>44065</v>
      </c>
      <c r="B467">
        <v>4</v>
      </c>
      <c r="C467" t="s">
        <v>1235</v>
      </c>
      <c r="D467" t="s">
        <v>1799</v>
      </c>
      <c r="E467">
        <v>15</v>
      </c>
      <c r="F467" t="s">
        <v>1218</v>
      </c>
      <c r="G467" t="s">
        <v>1798</v>
      </c>
      <c r="H467" t="s">
        <v>1234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</row>
    <row r="468" spans="1:17">
      <c r="A468" s="13">
        <v>44065</v>
      </c>
      <c r="B468">
        <v>5</v>
      </c>
      <c r="C468" t="s">
        <v>1133</v>
      </c>
      <c r="D468" t="s">
        <v>1134</v>
      </c>
      <c r="E468">
        <v>36</v>
      </c>
      <c r="F468" t="s">
        <v>1218</v>
      </c>
      <c r="G468" t="s">
        <v>1798</v>
      </c>
      <c r="H468" t="s">
        <v>1234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</row>
    <row r="469" spans="1:17">
      <c r="A469" s="13">
        <v>44065</v>
      </c>
      <c r="B469">
        <v>1</v>
      </c>
      <c r="C469" t="s">
        <v>1110</v>
      </c>
      <c r="D469" t="s">
        <v>1111</v>
      </c>
      <c r="E469">
        <v>52</v>
      </c>
      <c r="F469" t="s">
        <v>1218</v>
      </c>
      <c r="G469" t="s">
        <v>1798</v>
      </c>
      <c r="H469" t="s">
        <v>1236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</row>
    <row r="470" spans="1:17">
      <c r="A470" s="13">
        <v>44065</v>
      </c>
      <c r="B470">
        <v>2</v>
      </c>
      <c r="C470" t="s">
        <v>1119</v>
      </c>
      <c r="D470" t="s">
        <v>1120</v>
      </c>
      <c r="E470">
        <v>155</v>
      </c>
      <c r="F470" t="s">
        <v>1218</v>
      </c>
      <c r="G470" t="s">
        <v>1798</v>
      </c>
      <c r="H470" t="s">
        <v>1236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</row>
    <row r="471" spans="1:17">
      <c r="A471" s="13">
        <v>44065</v>
      </c>
      <c r="B471">
        <v>3</v>
      </c>
      <c r="C471" t="s">
        <v>1187</v>
      </c>
      <c r="D471" t="s">
        <v>1209</v>
      </c>
      <c r="E471">
        <v>11</v>
      </c>
      <c r="F471" t="s">
        <v>1218</v>
      </c>
      <c r="G471" t="s">
        <v>1798</v>
      </c>
      <c r="H471" t="s">
        <v>1236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</row>
    <row r="472" spans="1:17">
      <c r="A472" s="13">
        <v>44065</v>
      </c>
      <c r="B472">
        <v>4</v>
      </c>
      <c r="C472" t="s">
        <v>1127</v>
      </c>
      <c r="D472" t="s">
        <v>1128</v>
      </c>
      <c r="E472">
        <v>42</v>
      </c>
      <c r="F472" t="s">
        <v>1218</v>
      </c>
      <c r="G472" t="s">
        <v>1798</v>
      </c>
      <c r="H472" t="s">
        <v>1236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</row>
    <row r="473" spans="1:17">
      <c r="A473" s="13">
        <v>44065</v>
      </c>
      <c r="B473">
        <v>1</v>
      </c>
      <c r="C473" t="s">
        <v>1239</v>
      </c>
      <c r="D473" t="s">
        <v>1802</v>
      </c>
      <c r="E473">
        <v>864</v>
      </c>
      <c r="F473" t="s">
        <v>1218</v>
      </c>
      <c r="G473" t="s">
        <v>1800</v>
      </c>
      <c r="H473" t="s">
        <v>1237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</row>
    <row r="474" spans="1:17">
      <c r="A474" s="13">
        <v>44067</v>
      </c>
      <c r="B474">
        <v>1</v>
      </c>
      <c r="C474" t="s">
        <v>1220</v>
      </c>
      <c r="D474" t="s">
        <v>1781</v>
      </c>
      <c r="E474">
        <v>360</v>
      </c>
      <c r="F474" t="s">
        <v>1218</v>
      </c>
      <c r="G474" t="s">
        <v>1780</v>
      </c>
      <c r="H474" t="s">
        <v>1219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</row>
    <row r="475" spans="1:17">
      <c r="A475" s="13">
        <v>44067</v>
      </c>
      <c r="B475">
        <v>1</v>
      </c>
      <c r="C475" t="s">
        <v>1230</v>
      </c>
      <c r="D475" t="s">
        <v>1791</v>
      </c>
      <c r="E475">
        <v>415</v>
      </c>
      <c r="F475" t="s">
        <v>1218</v>
      </c>
      <c r="G475" t="s">
        <v>1789</v>
      </c>
      <c r="H475" t="s">
        <v>1228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</row>
    <row r="476" spans="1:17">
      <c r="A476" s="13">
        <v>44067</v>
      </c>
      <c r="B476">
        <v>2</v>
      </c>
      <c r="C476" t="s">
        <v>1229</v>
      </c>
      <c r="D476" t="s">
        <v>1790</v>
      </c>
      <c r="E476">
        <v>4</v>
      </c>
      <c r="F476" t="s">
        <v>1218</v>
      </c>
      <c r="G476" t="s">
        <v>1789</v>
      </c>
      <c r="H476" t="s">
        <v>1228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</row>
    <row r="477" spans="1:17">
      <c r="A477" s="13">
        <v>44067</v>
      </c>
      <c r="B477">
        <v>1</v>
      </c>
      <c r="C477" t="s">
        <v>1232</v>
      </c>
      <c r="D477" t="s">
        <v>1793</v>
      </c>
      <c r="E477">
        <v>16</v>
      </c>
      <c r="F477" t="s">
        <v>1218</v>
      </c>
      <c r="G477" t="s">
        <v>1792</v>
      </c>
      <c r="H477" t="s">
        <v>1231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</row>
    <row r="478" spans="1:17">
      <c r="A478" s="13">
        <v>44067</v>
      </c>
      <c r="B478">
        <v>1</v>
      </c>
      <c r="C478" t="s">
        <v>1123</v>
      </c>
      <c r="D478" t="s">
        <v>1124</v>
      </c>
      <c r="E478">
        <v>61</v>
      </c>
      <c r="F478" t="s">
        <v>1218</v>
      </c>
      <c r="G478" t="s">
        <v>1798</v>
      </c>
      <c r="H478" t="s">
        <v>1233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</row>
    <row r="479" spans="1:17">
      <c r="A479" s="13">
        <v>44067</v>
      </c>
      <c r="B479">
        <v>2</v>
      </c>
      <c r="C479" t="s">
        <v>1137</v>
      </c>
      <c r="D479" t="s">
        <v>1138</v>
      </c>
      <c r="E479">
        <v>57</v>
      </c>
      <c r="F479" t="s">
        <v>1218</v>
      </c>
      <c r="G479" t="s">
        <v>1798</v>
      </c>
      <c r="H479" t="s">
        <v>1233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</row>
    <row r="480" spans="1:17">
      <c r="A480" s="13">
        <v>44067</v>
      </c>
      <c r="B480">
        <v>3</v>
      </c>
      <c r="C480" t="s">
        <v>1131</v>
      </c>
      <c r="D480" t="s">
        <v>1132</v>
      </c>
      <c r="E480">
        <v>30</v>
      </c>
      <c r="F480" t="s">
        <v>1218</v>
      </c>
      <c r="G480" t="s">
        <v>1798</v>
      </c>
      <c r="H480" t="s">
        <v>1233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</row>
    <row r="481" spans="1:17">
      <c r="A481" s="13">
        <v>44067</v>
      </c>
      <c r="B481">
        <v>4</v>
      </c>
      <c r="C481" t="s">
        <v>1119</v>
      </c>
      <c r="D481" t="s">
        <v>1120</v>
      </c>
      <c r="E481">
        <v>55</v>
      </c>
      <c r="F481" t="s">
        <v>1218</v>
      </c>
      <c r="G481" t="s">
        <v>1798</v>
      </c>
      <c r="H481" t="s">
        <v>1233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</row>
    <row r="482" spans="1:17">
      <c r="A482" s="13">
        <v>44067</v>
      </c>
      <c r="B482">
        <v>5</v>
      </c>
      <c r="C482" t="s">
        <v>1155</v>
      </c>
      <c r="D482" t="s">
        <v>1156</v>
      </c>
      <c r="E482">
        <v>53</v>
      </c>
      <c r="F482" t="s">
        <v>1218</v>
      </c>
      <c r="G482" t="s">
        <v>1798</v>
      </c>
      <c r="H482" t="s">
        <v>1233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</row>
    <row r="483" spans="1:17">
      <c r="A483" s="13">
        <v>44067</v>
      </c>
      <c r="B483">
        <v>1</v>
      </c>
      <c r="C483" t="s">
        <v>1133</v>
      </c>
      <c r="D483" t="s">
        <v>1134</v>
      </c>
      <c r="E483">
        <v>84</v>
      </c>
      <c r="F483" t="s">
        <v>1218</v>
      </c>
      <c r="G483" t="s">
        <v>1798</v>
      </c>
      <c r="H483" t="s">
        <v>1234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</row>
    <row r="484" spans="1:17">
      <c r="A484" s="13">
        <v>44067</v>
      </c>
      <c r="B484">
        <v>2</v>
      </c>
      <c r="C484" t="s">
        <v>1153</v>
      </c>
      <c r="D484" t="s">
        <v>1154</v>
      </c>
      <c r="E484">
        <v>50</v>
      </c>
      <c r="F484" t="s">
        <v>1218</v>
      </c>
      <c r="G484" t="s">
        <v>1798</v>
      </c>
      <c r="H484" t="s">
        <v>1234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</row>
    <row r="485" spans="1:17">
      <c r="A485" s="13">
        <v>44067</v>
      </c>
      <c r="B485">
        <v>3</v>
      </c>
      <c r="C485" t="s">
        <v>1114</v>
      </c>
      <c r="D485" t="s">
        <v>1115</v>
      </c>
      <c r="E485">
        <v>71</v>
      </c>
      <c r="F485" t="s">
        <v>1218</v>
      </c>
      <c r="G485" t="s">
        <v>1798</v>
      </c>
      <c r="H485" t="s">
        <v>1234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</row>
    <row r="486" spans="1:17">
      <c r="A486" s="13">
        <v>44067</v>
      </c>
      <c r="B486">
        <v>4</v>
      </c>
      <c r="C486" t="s">
        <v>1235</v>
      </c>
      <c r="D486" t="s">
        <v>1799</v>
      </c>
      <c r="E486">
        <v>15</v>
      </c>
      <c r="F486" t="s">
        <v>1218</v>
      </c>
      <c r="G486" t="s">
        <v>1798</v>
      </c>
      <c r="H486" t="s">
        <v>1234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</row>
    <row r="487" spans="1:17">
      <c r="A487" s="13">
        <v>44067</v>
      </c>
      <c r="B487">
        <v>5</v>
      </c>
      <c r="C487" t="s">
        <v>1127</v>
      </c>
      <c r="D487" t="s">
        <v>1128</v>
      </c>
      <c r="E487">
        <v>36</v>
      </c>
      <c r="F487" t="s">
        <v>1218</v>
      </c>
      <c r="G487" t="s">
        <v>1798</v>
      </c>
      <c r="H487" t="s">
        <v>1234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</row>
    <row r="488" spans="1:17">
      <c r="A488" s="13">
        <v>44067</v>
      </c>
      <c r="B488">
        <v>1</v>
      </c>
      <c r="C488" t="s">
        <v>1127</v>
      </c>
      <c r="D488" t="s">
        <v>1128</v>
      </c>
      <c r="E488">
        <v>3</v>
      </c>
      <c r="F488" t="s">
        <v>1218</v>
      </c>
      <c r="G488" t="s">
        <v>1798</v>
      </c>
      <c r="H488" t="s">
        <v>1236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</row>
    <row r="489" spans="1:17">
      <c r="A489" s="13">
        <v>44067</v>
      </c>
      <c r="B489">
        <v>2</v>
      </c>
      <c r="C489" t="s">
        <v>1180</v>
      </c>
      <c r="D489" t="s">
        <v>1202</v>
      </c>
      <c r="E489">
        <v>80</v>
      </c>
      <c r="F489" t="s">
        <v>1218</v>
      </c>
      <c r="G489" t="s">
        <v>1798</v>
      </c>
      <c r="H489" t="s">
        <v>1236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</row>
    <row r="490" spans="1:17">
      <c r="A490" s="13">
        <v>44067</v>
      </c>
      <c r="B490">
        <v>3</v>
      </c>
      <c r="C490" t="s">
        <v>1131</v>
      </c>
      <c r="D490" t="s">
        <v>1132</v>
      </c>
      <c r="E490">
        <v>87</v>
      </c>
      <c r="F490" t="s">
        <v>1218</v>
      </c>
      <c r="G490" t="s">
        <v>1798</v>
      </c>
      <c r="H490" t="s">
        <v>1236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</row>
    <row r="491" spans="1:17">
      <c r="A491" s="13">
        <v>44067</v>
      </c>
      <c r="B491">
        <v>4</v>
      </c>
      <c r="C491" t="s">
        <v>1184</v>
      </c>
      <c r="D491" t="s">
        <v>1206</v>
      </c>
      <c r="E491">
        <v>33</v>
      </c>
      <c r="F491" t="s">
        <v>1218</v>
      </c>
      <c r="G491" t="s">
        <v>1798</v>
      </c>
      <c r="H491" t="s">
        <v>1236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</row>
    <row r="492" spans="1:17">
      <c r="A492" s="13">
        <v>44067</v>
      </c>
      <c r="B492">
        <v>5</v>
      </c>
      <c r="C492" t="s">
        <v>1179</v>
      </c>
      <c r="D492" t="s">
        <v>1201</v>
      </c>
      <c r="E492">
        <v>9</v>
      </c>
      <c r="F492" t="s">
        <v>1218</v>
      </c>
      <c r="G492" t="s">
        <v>1798</v>
      </c>
      <c r="H492" t="s">
        <v>1236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</row>
    <row r="493" spans="1:17">
      <c r="A493" s="13">
        <v>44067</v>
      </c>
      <c r="B493">
        <v>6</v>
      </c>
      <c r="C493" t="s">
        <v>1127</v>
      </c>
      <c r="D493" t="s">
        <v>1128</v>
      </c>
      <c r="E493">
        <v>11</v>
      </c>
      <c r="F493" t="s">
        <v>1218</v>
      </c>
      <c r="G493" t="s">
        <v>1798</v>
      </c>
      <c r="H493" t="s">
        <v>1236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</row>
    <row r="494" spans="1:17">
      <c r="A494" s="13">
        <v>44067</v>
      </c>
      <c r="B494">
        <v>7</v>
      </c>
      <c r="C494" t="s">
        <v>1180</v>
      </c>
      <c r="D494" t="s">
        <v>1202</v>
      </c>
      <c r="E494">
        <v>33</v>
      </c>
      <c r="F494" t="s">
        <v>1218</v>
      </c>
      <c r="G494" t="s">
        <v>1798</v>
      </c>
      <c r="H494" t="s">
        <v>1236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</row>
    <row r="495" spans="1:17">
      <c r="A495" s="13">
        <v>44067</v>
      </c>
      <c r="B495">
        <v>1</v>
      </c>
      <c r="C495" t="s">
        <v>1238</v>
      </c>
      <c r="D495" t="s">
        <v>1801</v>
      </c>
      <c r="E495">
        <v>864</v>
      </c>
      <c r="F495" t="s">
        <v>1218</v>
      </c>
      <c r="G495" t="s">
        <v>1800</v>
      </c>
      <c r="H495" t="s">
        <v>1237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</row>
    <row r="496" spans="1:17">
      <c r="A496" s="13">
        <v>44068</v>
      </c>
      <c r="B496">
        <v>1</v>
      </c>
      <c r="C496" t="s">
        <v>1220</v>
      </c>
      <c r="D496" t="s">
        <v>1781</v>
      </c>
      <c r="E496">
        <v>192</v>
      </c>
      <c r="F496" t="s">
        <v>1218</v>
      </c>
      <c r="G496" t="s">
        <v>1780</v>
      </c>
      <c r="H496" t="s">
        <v>1219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</row>
    <row r="497" spans="1:17">
      <c r="A497" s="13">
        <v>44068</v>
      </c>
      <c r="B497">
        <v>2</v>
      </c>
      <c r="C497" t="s">
        <v>1221</v>
      </c>
      <c r="D497" t="s">
        <v>1782</v>
      </c>
      <c r="E497">
        <v>99</v>
      </c>
      <c r="F497" t="s">
        <v>1218</v>
      </c>
      <c r="G497" t="s">
        <v>1780</v>
      </c>
      <c r="H497" t="s">
        <v>1219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</row>
    <row r="498" spans="1:17">
      <c r="A498" s="13">
        <v>44068</v>
      </c>
      <c r="B498">
        <v>3</v>
      </c>
      <c r="C498" t="s">
        <v>1223</v>
      </c>
      <c r="D498" t="s">
        <v>1783</v>
      </c>
      <c r="E498">
        <v>28</v>
      </c>
      <c r="F498" t="s">
        <v>1218</v>
      </c>
      <c r="G498" t="s">
        <v>1780</v>
      </c>
      <c r="H498" t="s">
        <v>1219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</row>
    <row r="499" spans="1:17">
      <c r="A499" s="13">
        <v>44068</v>
      </c>
      <c r="B499">
        <v>4</v>
      </c>
      <c r="C499" t="s">
        <v>1224</v>
      </c>
      <c r="D499" t="s">
        <v>1784</v>
      </c>
      <c r="E499">
        <v>1</v>
      </c>
      <c r="F499" t="s">
        <v>1218</v>
      </c>
      <c r="G499" t="s">
        <v>1780</v>
      </c>
      <c r="H499" t="s">
        <v>1219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</row>
    <row r="500" spans="1:17">
      <c r="A500" s="13">
        <v>44068</v>
      </c>
      <c r="B500">
        <v>5</v>
      </c>
      <c r="C500" t="s">
        <v>1214</v>
      </c>
      <c r="D500" t="s">
        <v>1786</v>
      </c>
      <c r="E500">
        <v>6</v>
      </c>
      <c r="F500" t="s">
        <v>1218</v>
      </c>
      <c r="G500" t="s">
        <v>1780</v>
      </c>
      <c r="H500" t="s">
        <v>1219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</row>
    <row r="501" spans="1:17">
      <c r="A501" s="13">
        <v>44068</v>
      </c>
      <c r="B501">
        <v>6</v>
      </c>
      <c r="C501" t="s">
        <v>1074</v>
      </c>
      <c r="D501" t="s">
        <v>1075</v>
      </c>
      <c r="E501">
        <v>34</v>
      </c>
      <c r="F501" t="s">
        <v>1218</v>
      </c>
      <c r="G501" t="s">
        <v>1780</v>
      </c>
      <c r="H501" t="s">
        <v>1219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</row>
    <row r="502" spans="1:17">
      <c r="A502" s="13">
        <v>44068</v>
      </c>
      <c r="B502">
        <v>1</v>
      </c>
      <c r="C502" t="s">
        <v>1230</v>
      </c>
      <c r="D502" t="s">
        <v>1791</v>
      </c>
      <c r="E502">
        <v>359</v>
      </c>
      <c r="F502" t="s">
        <v>1218</v>
      </c>
      <c r="G502" t="s">
        <v>1789</v>
      </c>
      <c r="H502" t="s">
        <v>1228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</row>
    <row r="503" spans="1:17">
      <c r="A503" s="13">
        <v>44068</v>
      </c>
      <c r="B503">
        <v>1</v>
      </c>
      <c r="C503" t="s">
        <v>1232</v>
      </c>
      <c r="D503" t="s">
        <v>1793</v>
      </c>
      <c r="E503">
        <v>16</v>
      </c>
      <c r="F503" t="s">
        <v>1218</v>
      </c>
      <c r="G503" t="s">
        <v>1792</v>
      </c>
      <c r="H503" t="s">
        <v>1231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</row>
    <row r="504" spans="1:17">
      <c r="A504" s="13">
        <v>44068</v>
      </c>
      <c r="B504">
        <v>1</v>
      </c>
      <c r="C504" t="s">
        <v>1155</v>
      </c>
      <c r="D504" t="s">
        <v>1156</v>
      </c>
      <c r="E504">
        <v>12</v>
      </c>
      <c r="F504" t="s">
        <v>1218</v>
      </c>
      <c r="G504" t="s">
        <v>1798</v>
      </c>
      <c r="H504" t="s">
        <v>1233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</row>
    <row r="505" spans="1:17">
      <c r="A505" s="13">
        <v>44068</v>
      </c>
      <c r="B505">
        <v>2</v>
      </c>
      <c r="C505" t="s">
        <v>1123</v>
      </c>
      <c r="D505" t="s">
        <v>1124</v>
      </c>
      <c r="E505">
        <v>19</v>
      </c>
      <c r="F505" t="s">
        <v>1218</v>
      </c>
      <c r="G505" t="s">
        <v>1798</v>
      </c>
      <c r="H505" t="s">
        <v>1233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</row>
    <row r="506" spans="1:17">
      <c r="A506" s="13">
        <v>44068</v>
      </c>
      <c r="B506">
        <v>3</v>
      </c>
      <c r="C506" t="s">
        <v>1137</v>
      </c>
      <c r="D506" t="s">
        <v>1138</v>
      </c>
      <c r="E506">
        <v>87</v>
      </c>
      <c r="F506" t="s">
        <v>1218</v>
      </c>
      <c r="G506" t="s">
        <v>1798</v>
      </c>
      <c r="H506" t="s">
        <v>1233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</row>
    <row r="507" spans="1:17">
      <c r="A507" s="13">
        <v>44068</v>
      </c>
      <c r="B507">
        <v>4</v>
      </c>
      <c r="C507" t="s">
        <v>1131</v>
      </c>
      <c r="D507" t="s">
        <v>1132</v>
      </c>
      <c r="E507">
        <v>30</v>
      </c>
      <c r="F507" t="s">
        <v>1218</v>
      </c>
      <c r="G507" t="s">
        <v>1798</v>
      </c>
      <c r="H507" t="s">
        <v>1233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</row>
    <row r="508" spans="1:17">
      <c r="A508" s="13">
        <v>44068</v>
      </c>
      <c r="B508">
        <v>5</v>
      </c>
      <c r="C508" t="s">
        <v>1119</v>
      </c>
      <c r="D508" t="s">
        <v>1120</v>
      </c>
      <c r="E508">
        <v>135</v>
      </c>
      <c r="F508" t="s">
        <v>1218</v>
      </c>
      <c r="G508" t="s">
        <v>1798</v>
      </c>
      <c r="H508" t="s">
        <v>1233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</row>
    <row r="509" spans="1:17">
      <c r="A509" s="13">
        <v>44068</v>
      </c>
      <c r="B509">
        <v>6</v>
      </c>
      <c r="C509" t="s">
        <v>1155</v>
      </c>
      <c r="D509" t="s">
        <v>1156</v>
      </c>
      <c r="E509">
        <v>53</v>
      </c>
      <c r="F509" t="s">
        <v>1218</v>
      </c>
      <c r="G509" t="s">
        <v>1798</v>
      </c>
      <c r="H509" t="s">
        <v>1233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</row>
    <row r="510" spans="1:17">
      <c r="A510" s="13">
        <v>44068</v>
      </c>
      <c r="B510">
        <v>1</v>
      </c>
      <c r="C510" t="s">
        <v>1127</v>
      </c>
      <c r="D510" t="s">
        <v>1128</v>
      </c>
      <c r="E510">
        <v>92</v>
      </c>
      <c r="F510" t="s">
        <v>1218</v>
      </c>
      <c r="G510" t="s">
        <v>1798</v>
      </c>
      <c r="H510" t="s">
        <v>1234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</row>
    <row r="511" spans="1:17">
      <c r="A511" s="13">
        <v>44068</v>
      </c>
      <c r="B511">
        <v>2</v>
      </c>
      <c r="C511" t="s">
        <v>1133</v>
      </c>
      <c r="D511" t="s">
        <v>1134</v>
      </c>
      <c r="E511">
        <v>15</v>
      </c>
      <c r="F511" t="s">
        <v>1218</v>
      </c>
      <c r="G511" t="s">
        <v>1798</v>
      </c>
      <c r="H511" t="s">
        <v>1234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</row>
    <row r="512" spans="1:17">
      <c r="A512" s="13">
        <v>44068</v>
      </c>
      <c r="B512">
        <v>3</v>
      </c>
      <c r="C512" t="s">
        <v>1153</v>
      </c>
      <c r="D512" t="s">
        <v>1154</v>
      </c>
      <c r="E512">
        <v>50</v>
      </c>
      <c r="F512" t="s">
        <v>1218</v>
      </c>
      <c r="G512" t="s">
        <v>1798</v>
      </c>
      <c r="H512" t="s">
        <v>1234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</row>
    <row r="513" spans="1:17">
      <c r="A513" s="13">
        <v>44068</v>
      </c>
      <c r="B513">
        <v>4</v>
      </c>
      <c r="C513" t="s">
        <v>1149</v>
      </c>
      <c r="D513" t="s">
        <v>1150</v>
      </c>
      <c r="E513">
        <v>39</v>
      </c>
      <c r="F513" t="s">
        <v>1218</v>
      </c>
      <c r="G513" t="s">
        <v>1798</v>
      </c>
      <c r="H513" t="s">
        <v>1234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</row>
    <row r="514" spans="1:17">
      <c r="A514" s="13">
        <v>44068</v>
      </c>
      <c r="B514">
        <v>5</v>
      </c>
      <c r="C514" t="s">
        <v>1114</v>
      </c>
      <c r="D514" t="s">
        <v>1115</v>
      </c>
      <c r="E514">
        <v>89</v>
      </c>
      <c r="F514" t="s">
        <v>1218</v>
      </c>
      <c r="G514" t="s">
        <v>1798</v>
      </c>
      <c r="H514" t="s">
        <v>1234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</row>
    <row r="515" spans="1:17">
      <c r="A515" s="13">
        <v>44068</v>
      </c>
      <c r="B515">
        <v>6</v>
      </c>
      <c r="C515" t="s">
        <v>1235</v>
      </c>
      <c r="D515" t="s">
        <v>1799</v>
      </c>
      <c r="E515">
        <v>15</v>
      </c>
      <c r="F515" t="s">
        <v>1218</v>
      </c>
      <c r="G515" t="s">
        <v>1798</v>
      </c>
      <c r="H515" t="s">
        <v>1234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</row>
    <row r="516" spans="1:17">
      <c r="A516" s="13">
        <v>44068</v>
      </c>
      <c r="B516">
        <v>7</v>
      </c>
      <c r="C516" t="s">
        <v>1127</v>
      </c>
      <c r="D516" t="s">
        <v>1128</v>
      </c>
      <c r="E516">
        <v>36</v>
      </c>
      <c r="F516" t="s">
        <v>1218</v>
      </c>
      <c r="G516" t="s">
        <v>1798</v>
      </c>
      <c r="H516" t="s">
        <v>1234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</row>
    <row r="517" spans="1:17">
      <c r="A517" s="13">
        <v>44068</v>
      </c>
      <c r="B517">
        <v>1</v>
      </c>
      <c r="C517" t="s">
        <v>1180</v>
      </c>
      <c r="D517" t="s">
        <v>1202</v>
      </c>
      <c r="E517">
        <v>47</v>
      </c>
      <c r="F517" t="s">
        <v>1218</v>
      </c>
      <c r="G517" t="s">
        <v>1798</v>
      </c>
      <c r="H517" t="s">
        <v>1236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</row>
    <row r="518" spans="1:17">
      <c r="A518" s="13">
        <v>44068</v>
      </c>
      <c r="B518">
        <v>2</v>
      </c>
      <c r="C518" t="s">
        <v>1131</v>
      </c>
      <c r="D518" t="s">
        <v>1132</v>
      </c>
      <c r="E518">
        <v>131</v>
      </c>
      <c r="F518" t="s">
        <v>1218</v>
      </c>
      <c r="G518" t="s">
        <v>1798</v>
      </c>
      <c r="H518" t="s">
        <v>1236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</row>
    <row r="519" spans="1:17">
      <c r="A519" s="13">
        <v>44068</v>
      </c>
      <c r="B519">
        <v>3</v>
      </c>
      <c r="C519" t="s">
        <v>1133</v>
      </c>
      <c r="D519" t="s">
        <v>1134</v>
      </c>
      <c r="E519">
        <v>105</v>
      </c>
      <c r="F519" t="s">
        <v>1218</v>
      </c>
      <c r="G519" t="s">
        <v>1798</v>
      </c>
      <c r="H519" t="s">
        <v>1236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</row>
    <row r="520" spans="1:17">
      <c r="A520" s="13">
        <v>44068</v>
      </c>
      <c r="B520">
        <v>4</v>
      </c>
      <c r="C520" t="s">
        <v>1110</v>
      </c>
      <c r="D520" t="s">
        <v>1111</v>
      </c>
      <c r="E520">
        <v>24</v>
      </c>
      <c r="F520" t="s">
        <v>1218</v>
      </c>
      <c r="G520" t="s">
        <v>1798</v>
      </c>
      <c r="H520" t="s">
        <v>1236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</row>
    <row r="521" spans="1:17">
      <c r="A521" s="13">
        <v>44068</v>
      </c>
      <c r="B521">
        <v>5</v>
      </c>
      <c r="C521" t="s">
        <v>1127</v>
      </c>
      <c r="D521" t="s">
        <v>1128</v>
      </c>
      <c r="E521">
        <v>29</v>
      </c>
      <c r="F521" t="s">
        <v>1218</v>
      </c>
      <c r="G521" t="s">
        <v>1798</v>
      </c>
      <c r="H521" t="s">
        <v>1236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</row>
    <row r="522" spans="1:17">
      <c r="A522" s="13">
        <v>44068</v>
      </c>
      <c r="B522">
        <v>1</v>
      </c>
      <c r="C522" t="s">
        <v>1238</v>
      </c>
      <c r="D522" t="s">
        <v>1801</v>
      </c>
      <c r="E522">
        <v>864</v>
      </c>
      <c r="F522" t="s">
        <v>1218</v>
      </c>
      <c r="G522" t="s">
        <v>1800</v>
      </c>
      <c r="H522" t="s">
        <v>1237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</row>
    <row r="523" spans="1:17">
      <c r="A523" s="13">
        <v>44069</v>
      </c>
      <c r="B523">
        <v>1</v>
      </c>
      <c r="C523" t="s">
        <v>1074</v>
      </c>
      <c r="D523" t="s">
        <v>1075</v>
      </c>
      <c r="E523">
        <v>360</v>
      </c>
      <c r="F523" t="s">
        <v>1218</v>
      </c>
      <c r="G523" t="s">
        <v>1780</v>
      </c>
      <c r="H523" t="s">
        <v>1219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</row>
    <row r="524" spans="1:17">
      <c r="A524" s="13">
        <v>44069</v>
      </c>
      <c r="B524">
        <v>1</v>
      </c>
      <c r="C524" t="s">
        <v>1230</v>
      </c>
      <c r="D524" t="s">
        <v>1791</v>
      </c>
      <c r="E524">
        <v>417</v>
      </c>
      <c r="F524" t="s">
        <v>1218</v>
      </c>
      <c r="G524" t="s">
        <v>1789</v>
      </c>
      <c r="H524" t="s">
        <v>1228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</row>
    <row r="525" spans="1:17">
      <c r="A525" s="13">
        <v>44069</v>
      </c>
      <c r="B525">
        <v>1</v>
      </c>
      <c r="C525" t="s">
        <v>1232</v>
      </c>
      <c r="D525" t="s">
        <v>1793</v>
      </c>
      <c r="E525">
        <v>16</v>
      </c>
      <c r="F525" t="s">
        <v>1218</v>
      </c>
      <c r="G525" t="s">
        <v>1792</v>
      </c>
      <c r="H525" t="s">
        <v>1231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</row>
    <row r="526" spans="1:17">
      <c r="A526" s="13">
        <v>44069</v>
      </c>
      <c r="B526">
        <v>1</v>
      </c>
      <c r="C526" t="s">
        <v>1155</v>
      </c>
      <c r="D526" t="s">
        <v>1156</v>
      </c>
      <c r="E526">
        <v>10</v>
      </c>
      <c r="F526" t="s">
        <v>1218</v>
      </c>
      <c r="G526" t="s">
        <v>1798</v>
      </c>
      <c r="H526" t="s">
        <v>1233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</row>
    <row r="527" spans="1:17">
      <c r="A527" s="13">
        <v>44069</v>
      </c>
      <c r="B527">
        <v>2</v>
      </c>
      <c r="C527" t="s">
        <v>1217</v>
      </c>
      <c r="D527" t="s">
        <v>1111</v>
      </c>
      <c r="E527">
        <v>60</v>
      </c>
      <c r="F527" t="s">
        <v>1218</v>
      </c>
      <c r="G527" t="s">
        <v>1798</v>
      </c>
      <c r="H527" t="s">
        <v>1233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</row>
    <row r="528" spans="1:17">
      <c r="A528" s="13">
        <v>44069</v>
      </c>
      <c r="B528">
        <v>3</v>
      </c>
      <c r="C528" t="s">
        <v>1157</v>
      </c>
      <c r="D528" t="s">
        <v>1158</v>
      </c>
      <c r="E528">
        <v>48</v>
      </c>
      <c r="F528" t="s">
        <v>1218</v>
      </c>
      <c r="G528" t="s">
        <v>1798</v>
      </c>
      <c r="H528" t="s">
        <v>1233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</row>
    <row r="529" spans="1:17">
      <c r="A529" s="13">
        <v>44069</v>
      </c>
      <c r="B529">
        <v>4</v>
      </c>
      <c r="C529" t="s">
        <v>1131</v>
      </c>
      <c r="D529" t="s">
        <v>1132</v>
      </c>
      <c r="E529">
        <v>30</v>
      </c>
      <c r="F529" t="s">
        <v>1218</v>
      </c>
      <c r="G529" t="s">
        <v>1798</v>
      </c>
      <c r="H529" t="s">
        <v>1233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</row>
    <row r="530" spans="1:17">
      <c r="A530" s="13">
        <v>44069</v>
      </c>
      <c r="B530">
        <v>5</v>
      </c>
      <c r="C530" t="s">
        <v>1119</v>
      </c>
      <c r="D530" t="s">
        <v>1120</v>
      </c>
      <c r="E530">
        <v>134</v>
      </c>
      <c r="F530" t="s">
        <v>1218</v>
      </c>
      <c r="G530" t="s">
        <v>1798</v>
      </c>
      <c r="H530" t="s">
        <v>1233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</row>
    <row r="531" spans="1:17">
      <c r="A531" s="13">
        <v>44069</v>
      </c>
      <c r="B531">
        <v>6</v>
      </c>
      <c r="C531" t="s">
        <v>1183</v>
      </c>
      <c r="D531" t="s">
        <v>1205</v>
      </c>
      <c r="E531">
        <v>1</v>
      </c>
      <c r="F531" t="s">
        <v>1218</v>
      </c>
      <c r="G531" t="s">
        <v>1798</v>
      </c>
      <c r="H531" t="s">
        <v>1233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</row>
    <row r="532" spans="1:17">
      <c r="A532" s="13">
        <v>44069</v>
      </c>
      <c r="B532">
        <v>7</v>
      </c>
      <c r="C532" t="s">
        <v>1157</v>
      </c>
      <c r="D532" t="s">
        <v>1158</v>
      </c>
      <c r="E532">
        <v>53</v>
      </c>
      <c r="F532" t="s">
        <v>1218</v>
      </c>
      <c r="G532" t="s">
        <v>1798</v>
      </c>
      <c r="H532" t="s">
        <v>1233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</row>
    <row r="533" spans="1:17">
      <c r="A533" s="13">
        <v>44069</v>
      </c>
      <c r="B533">
        <v>1</v>
      </c>
      <c r="C533" t="s">
        <v>1127</v>
      </c>
      <c r="D533" t="s">
        <v>1128</v>
      </c>
      <c r="E533">
        <v>53</v>
      </c>
      <c r="F533" t="s">
        <v>1218</v>
      </c>
      <c r="G533" t="s">
        <v>1798</v>
      </c>
      <c r="H533" t="s">
        <v>1234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</row>
    <row r="534" spans="1:17">
      <c r="A534" s="13">
        <v>44069</v>
      </c>
      <c r="B534">
        <v>2</v>
      </c>
      <c r="C534" t="s">
        <v>1133</v>
      </c>
      <c r="D534" t="s">
        <v>1134</v>
      </c>
      <c r="E534">
        <v>54</v>
      </c>
      <c r="F534" t="s">
        <v>1218</v>
      </c>
      <c r="G534" t="s">
        <v>1798</v>
      </c>
      <c r="H534" t="s">
        <v>1234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</row>
    <row r="535" spans="1:17">
      <c r="A535" s="13">
        <v>44069</v>
      </c>
      <c r="B535">
        <v>3</v>
      </c>
      <c r="C535" t="s">
        <v>1153</v>
      </c>
      <c r="D535" t="s">
        <v>1154</v>
      </c>
      <c r="E535">
        <v>31</v>
      </c>
      <c r="F535" t="s">
        <v>1218</v>
      </c>
      <c r="G535" t="s">
        <v>1798</v>
      </c>
      <c r="H535" t="s">
        <v>1234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</row>
    <row r="536" spans="1:17">
      <c r="A536" s="13">
        <v>44069</v>
      </c>
      <c r="B536">
        <v>4</v>
      </c>
      <c r="C536" t="s">
        <v>1149</v>
      </c>
      <c r="D536" t="s">
        <v>1150</v>
      </c>
      <c r="E536">
        <v>67</v>
      </c>
      <c r="F536" t="s">
        <v>1218</v>
      </c>
      <c r="G536" t="s">
        <v>1798</v>
      </c>
      <c r="H536" t="s">
        <v>1234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</row>
    <row r="537" spans="1:17">
      <c r="A537" s="13">
        <v>44069</v>
      </c>
      <c r="B537">
        <v>5</v>
      </c>
      <c r="C537" t="s">
        <v>1114</v>
      </c>
      <c r="D537" t="s">
        <v>1115</v>
      </c>
      <c r="E537">
        <v>80</v>
      </c>
      <c r="F537" t="s">
        <v>1218</v>
      </c>
      <c r="G537" t="s">
        <v>1798</v>
      </c>
      <c r="H537" t="s">
        <v>1234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</row>
    <row r="538" spans="1:17">
      <c r="A538" s="13">
        <v>44069</v>
      </c>
      <c r="B538">
        <v>6</v>
      </c>
      <c r="C538" t="s">
        <v>1235</v>
      </c>
      <c r="D538" t="s">
        <v>1799</v>
      </c>
      <c r="E538">
        <v>15</v>
      </c>
      <c r="F538" t="s">
        <v>1218</v>
      </c>
      <c r="G538" t="s">
        <v>1798</v>
      </c>
      <c r="H538" t="s">
        <v>1234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</row>
    <row r="539" spans="1:17">
      <c r="A539" s="13">
        <v>44069</v>
      </c>
      <c r="B539">
        <v>7</v>
      </c>
      <c r="C539" t="s">
        <v>1127</v>
      </c>
      <c r="D539" t="s">
        <v>1128</v>
      </c>
      <c r="E539">
        <v>36</v>
      </c>
      <c r="F539" t="s">
        <v>1218</v>
      </c>
      <c r="G539" t="s">
        <v>1798</v>
      </c>
      <c r="H539" t="s">
        <v>1234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</row>
    <row r="540" spans="1:17">
      <c r="A540" s="13">
        <v>44069</v>
      </c>
      <c r="B540">
        <v>1</v>
      </c>
      <c r="C540" t="s">
        <v>1127</v>
      </c>
      <c r="D540" t="s">
        <v>1128</v>
      </c>
      <c r="E540">
        <v>96</v>
      </c>
      <c r="F540" t="s">
        <v>1218</v>
      </c>
      <c r="G540" t="s">
        <v>1798</v>
      </c>
      <c r="H540" t="s">
        <v>1236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</row>
    <row r="541" spans="1:17">
      <c r="A541" s="13">
        <v>44069</v>
      </c>
      <c r="B541">
        <v>2</v>
      </c>
      <c r="C541" t="s">
        <v>1180</v>
      </c>
      <c r="D541" t="s">
        <v>1202</v>
      </c>
      <c r="E541">
        <v>80</v>
      </c>
      <c r="F541" t="s">
        <v>1218</v>
      </c>
      <c r="G541" t="s">
        <v>1798</v>
      </c>
      <c r="H541" t="s">
        <v>1236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</row>
    <row r="542" spans="1:17">
      <c r="A542" s="13">
        <v>44069</v>
      </c>
      <c r="B542">
        <v>3</v>
      </c>
      <c r="C542" t="s">
        <v>1131</v>
      </c>
      <c r="D542" t="s">
        <v>1132</v>
      </c>
      <c r="E542">
        <v>107</v>
      </c>
      <c r="F542" t="s">
        <v>1218</v>
      </c>
      <c r="G542" t="s">
        <v>1798</v>
      </c>
      <c r="H542" t="s">
        <v>1236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</row>
    <row r="543" spans="1:17">
      <c r="A543" s="13">
        <v>44069</v>
      </c>
      <c r="B543">
        <v>4</v>
      </c>
      <c r="C543" t="s">
        <v>1121</v>
      </c>
      <c r="D543" t="s">
        <v>1122</v>
      </c>
      <c r="E543">
        <v>40</v>
      </c>
      <c r="F543" t="s">
        <v>1218</v>
      </c>
      <c r="G543" t="s">
        <v>1798</v>
      </c>
      <c r="H543" t="s">
        <v>1236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</row>
    <row r="544" spans="1:17">
      <c r="A544" s="13">
        <v>44069</v>
      </c>
      <c r="B544">
        <v>5</v>
      </c>
      <c r="C544" t="s">
        <v>1129</v>
      </c>
      <c r="D544" t="s">
        <v>1130</v>
      </c>
      <c r="E544">
        <v>13</v>
      </c>
      <c r="F544" t="s">
        <v>1218</v>
      </c>
      <c r="G544" t="s">
        <v>1798</v>
      </c>
      <c r="H544" t="s">
        <v>1236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</row>
    <row r="545" spans="1:17">
      <c r="A545" s="13">
        <v>44069</v>
      </c>
      <c r="B545">
        <v>1</v>
      </c>
      <c r="C545" t="s">
        <v>1238</v>
      </c>
      <c r="D545" t="s">
        <v>1801</v>
      </c>
      <c r="E545">
        <v>288</v>
      </c>
      <c r="F545" t="s">
        <v>1218</v>
      </c>
      <c r="G545" t="s">
        <v>1800</v>
      </c>
      <c r="H545" t="s">
        <v>1237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</row>
    <row r="546" spans="1:17">
      <c r="A546" s="13">
        <v>44069</v>
      </c>
      <c r="B546">
        <v>2</v>
      </c>
      <c r="C546" t="s">
        <v>1240</v>
      </c>
      <c r="D546" t="s">
        <v>1803</v>
      </c>
      <c r="E546">
        <v>504</v>
      </c>
      <c r="F546" t="s">
        <v>1218</v>
      </c>
      <c r="G546" t="s">
        <v>1800</v>
      </c>
      <c r="H546" t="s">
        <v>1237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</row>
    <row r="547" spans="1:17">
      <c r="A547" s="13">
        <v>44069</v>
      </c>
      <c r="B547">
        <v>3</v>
      </c>
      <c r="C547" t="s">
        <v>1239</v>
      </c>
      <c r="D547" t="s">
        <v>1802</v>
      </c>
      <c r="E547">
        <v>72</v>
      </c>
      <c r="F547" t="s">
        <v>1218</v>
      </c>
      <c r="G547" t="s">
        <v>1800</v>
      </c>
      <c r="H547" t="s">
        <v>1237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</row>
    <row r="548" spans="1:17">
      <c r="A548" s="13">
        <v>44070</v>
      </c>
      <c r="B548">
        <v>1</v>
      </c>
      <c r="C548" t="s">
        <v>1074</v>
      </c>
      <c r="D548" t="s">
        <v>1075</v>
      </c>
      <c r="E548">
        <v>127</v>
      </c>
      <c r="F548" t="s">
        <v>1218</v>
      </c>
      <c r="G548" t="s">
        <v>1780</v>
      </c>
      <c r="H548" t="s">
        <v>1219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</row>
    <row r="549" spans="1:17">
      <c r="A549" s="13">
        <v>44070</v>
      </c>
      <c r="B549">
        <v>2</v>
      </c>
      <c r="C549" t="s">
        <v>1076</v>
      </c>
      <c r="D549" t="s">
        <v>1077</v>
      </c>
      <c r="E549">
        <v>233</v>
      </c>
      <c r="F549" t="s">
        <v>1218</v>
      </c>
      <c r="G549" t="s">
        <v>1780</v>
      </c>
      <c r="H549" t="s">
        <v>1219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</row>
    <row r="550" spans="1:17">
      <c r="A550" s="13">
        <v>44070</v>
      </c>
      <c r="B550">
        <v>1</v>
      </c>
      <c r="C550" t="s">
        <v>1230</v>
      </c>
      <c r="D550" t="s">
        <v>1791</v>
      </c>
      <c r="E550">
        <v>359</v>
      </c>
      <c r="F550" t="s">
        <v>1218</v>
      </c>
      <c r="G550" t="s">
        <v>1789</v>
      </c>
      <c r="H550" t="s">
        <v>1228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</row>
    <row r="551" spans="1:17">
      <c r="A551" s="13">
        <v>44070</v>
      </c>
      <c r="B551">
        <v>1</v>
      </c>
      <c r="C551" t="s">
        <v>1232</v>
      </c>
      <c r="D551" t="s">
        <v>1793</v>
      </c>
      <c r="E551">
        <v>16</v>
      </c>
      <c r="F551" t="s">
        <v>1218</v>
      </c>
      <c r="G551" t="s">
        <v>1792</v>
      </c>
      <c r="H551" t="s">
        <v>1231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</row>
    <row r="552" spans="1:17">
      <c r="A552" s="13">
        <v>44070</v>
      </c>
      <c r="B552">
        <v>1</v>
      </c>
      <c r="C552" t="s">
        <v>1157</v>
      </c>
      <c r="D552" t="s">
        <v>1158</v>
      </c>
      <c r="E552">
        <v>118</v>
      </c>
      <c r="F552" t="s">
        <v>1218</v>
      </c>
      <c r="G552" t="s">
        <v>1798</v>
      </c>
      <c r="H552" t="s">
        <v>1233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</row>
    <row r="553" spans="1:17">
      <c r="A553" s="13">
        <v>44070</v>
      </c>
      <c r="B553">
        <v>2</v>
      </c>
      <c r="C553" t="s">
        <v>1119</v>
      </c>
      <c r="D553" t="s">
        <v>1120</v>
      </c>
      <c r="E553">
        <v>149</v>
      </c>
      <c r="F553" t="s">
        <v>1218</v>
      </c>
      <c r="G553" t="s">
        <v>1798</v>
      </c>
      <c r="H553" t="s">
        <v>1233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</row>
    <row r="554" spans="1:17">
      <c r="A554" s="13">
        <v>44070</v>
      </c>
      <c r="B554">
        <v>3</v>
      </c>
      <c r="C554" t="s">
        <v>1217</v>
      </c>
      <c r="D554" t="s">
        <v>1111</v>
      </c>
      <c r="E554">
        <v>53</v>
      </c>
      <c r="F554" t="s">
        <v>1218</v>
      </c>
      <c r="G554" t="s">
        <v>1798</v>
      </c>
      <c r="H554" t="s">
        <v>1233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</row>
    <row r="555" spans="1:17">
      <c r="A555" s="13">
        <v>44070</v>
      </c>
      <c r="B555">
        <v>1</v>
      </c>
      <c r="C555" t="s">
        <v>1127</v>
      </c>
      <c r="D555" t="s">
        <v>1128</v>
      </c>
      <c r="E555">
        <v>79</v>
      </c>
      <c r="F555" t="s">
        <v>1218</v>
      </c>
      <c r="G555" t="s">
        <v>1798</v>
      </c>
      <c r="H555" t="s">
        <v>1234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</row>
    <row r="556" spans="1:17">
      <c r="A556" s="13">
        <v>44070</v>
      </c>
      <c r="B556">
        <v>2</v>
      </c>
      <c r="C556" t="s">
        <v>1133</v>
      </c>
      <c r="D556" t="s">
        <v>1134</v>
      </c>
      <c r="E556">
        <v>14</v>
      </c>
      <c r="F556" t="s">
        <v>1218</v>
      </c>
      <c r="G556" t="s">
        <v>1798</v>
      </c>
      <c r="H556" t="s">
        <v>1234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</row>
    <row r="557" spans="1:17">
      <c r="A557" s="13">
        <v>44070</v>
      </c>
      <c r="B557">
        <v>3</v>
      </c>
      <c r="C557" t="s">
        <v>1153</v>
      </c>
      <c r="D557" t="s">
        <v>1154</v>
      </c>
      <c r="E557">
        <v>30</v>
      </c>
      <c r="F557" t="s">
        <v>1218</v>
      </c>
      <c r="G557" t="s">
        <v>1798</v>
      </c>
      <c r="H557" t="s">
        <v>1234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</row>
    <row r="558" spans="1:17">
      <c r="A558" s="13">
        <v>44070</v>
      </c>
      <c r="B558">
        <v>4</v>
      </c>
      <c r="C558" t="s">
        <v>1114</v>
      </c>
      <c r="D558" t="s">
        <v>1115</v>
      </c>
      <c r="E558">
        <v>66</v>
      </c>
      <c r="F558" t="s">
        <v>1218</v>
      </c>
      <c r="G558" t="s">
        <v>1798</v>
      </c>
      <c r="H558" t="s">
        <v>1234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</row>
    <row r="559" spans="1:17">
      <c r="A559" s="13">
        <v>44070</v>
      </c>
      <c r="B559">
        <v>5</v>
      </c>
      <c r="C559" t="s">
        <v>1151</v>
      </c>
      <c r="D559" t="s">
        <v>1152</v>
      </c>
      <c r="E559">
        <v>80</v>
      </c>
      <c r="F559" t="s">
        <v>1218</v>
      </c>
      <c r="G559" t="s">
        <v>1798</v>
      </c>
      <c r="H559" t="s">
        <v>1234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</row>
    <row r="560" spans="1:17">
      <c r="A560" s="13">
        <v>44070</v>
      </c>
      <c r="B560">
        <v>6</v>
      </c>
      <c r="C560" t="s">
        <v>1235</v>
      </c>
      <c r="D560" t="s">
        <v>1799</v>
      </c>
      <c r="E560">
        <v>15</v>
      </c>
      <c r="F560" t="s">
        <v>1218</v>
      </c>
      <c r="G560" t="s">
        <v>1798</v>
      </c>
      <c r="H560" t="s">
        <v>1234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</row>
    <row r="561" spans="1:17">
      <c r="A561" s="13">
        <v>44070</v>
      </c>
      <c r="B561">
        <v>7</v>
      </c>
      <c r="C561" t="s">
        <v>1119</v>
      </c>
      <c r="D561" t="s">
        <v>1120</v>
      </c>
      <c r="E561">
        <v>36</v>
      </c>
      <c r="F561" t="s">
        <v>1218</v>
      </c>
      <c r="G561" t="s">
        <v>1798</v>
      </c>
      <c r="H561" t="s">
        <v>1234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</row>
    <row r="562" spans="1:17">
      <c r="A562" s="13">
        <v>44070</v>
      </c>
      <c r="B562">
        <v>1</v>
      </c>
      <c r="C562" t="s">
        <v>1129</v>
      </c>
      <c r="D562" t="s">
        <v>1130</v>
      </c>
      <c r="E562">
        <v>37</v>
      </c>
      <c r="F562" t="s">
        <v>1218</v>
      </c>
      <c r="G562" t="s">
        <v>1798</v>
      </c>
      <c r="H562" t="s">
        <v>1236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</row>
    <row r="563" spans="1:17">
      <c r="A563" s="13">
        <v>44070</v>
      </c>
      <c r="B563">
        <v>2</v>
      </c>
      <c r="C563" t="s">
        <v>1180</v>
      </c>
      <c r="D563" t="s">
        <v>1202</v>
      </c>
      <c r="E563">
        <v>63</v>
      </c>
      <c r="F563" t="s">
        <v>1218</v>
      </c>
      <c r="G563" t="s">
        <v>1798</v>
      </c>
      <c r="H563" t="s">
        <v>1236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</row>
    <row r="564" spans="1:17">
      <c r="A564" s="13">
        <v>44070</v>
      </c>
      <c r="B564">
        <v>3</v>
      </c>
      <c r="C564" t="s">
        <v>1131</v>
      </c>
      <c r="D564" t="s">
        <v>1132</v>
      </c>
      <c r="E564">
        <v>111</v>
      </c>
      <c r="F564" t="s">
        <v>1218</v>
      </c>
      <c r="G564" t="s">
        <v>1798</v>
      </c>
      <c r="H564" t="s">
        <v>1236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</row>
    <row r="565" spans="1:17">
      <c r="A565" s="13">
        <v>44070</v>
      </c>
      <c r="B565">
        <v>4</v>
      </c>
      <c r="C565" t="s">
        <v>1135</v>
      </c>
      <c r="D565" t="s">
        <v>1136</v>
      </c>
      <c r="E565">
        <v>56</v>
      </c>
      <c r="F565" t="s">
        <v>1218</v>
      </c>
      <c r="G565" t="s">
        <v>1798</v>
      </c>
      <c r="H565" t="s">
        <v>1236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</row>
    <row r="566" spans="1:17">
      <c r="A566" s="13">
        <v>44070</v>
      </c>
      <c r="B566">
        <v>5</v>
      </c>
      <c r="C566" t="s">
        <v>1121</v>
      </c>
      <c r="D566" t="s">
        <v>1122</v>
      </c>
      <c r="E566">
        <v>44</v>
      </c>
      <c r="F566" t="s">
        <v>1218</v>
      </c>
      <c r="G566" t="s">
        <v>1798</v>
      </c>
      <c r="H566" t="s">
        <v>1236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</row>
    <row r="567" spans="1:17">
      <c r="A567" s="13">
        <v>44070</v>
      </c>
      <c r="B567">
        <v>6</v>
      </c>
      <c r="C567" t="s">
        <v>1129</v>
      </c>
      <c r="D567" t="s">
        <v>1130</v>
      </c>
      <c r="E567">
        <v>9</v>
      </c>
      <c r="F567" t="s">
        <v>1218</v>
      </c>
      <c r="G567" t="s">
        <v>1798</v>
      </c>
      <c r="H567" t="s">
        <v>1236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</row>
    <row r="568" spans="1:17">
      <c r="A568" s="13">
        <v>44070</v>
      </c>
      <c r="B568">
        <v>1</v>
      </c>
      <c r="C568" t="s">
        <v>1239</v>
      </c>
      <c r="D568" t="s">
        <v>1802</v>
      </c>
      <c r="E568">
        <v>864</v>
      </c>
      <c r="F568" t="s">
        <v>1218</v>
      </c>
      <c r="G568" t="s">
        <v>1800</v>
      </c>
      <c r="H568" t="s">
        <v>1237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</row>
    <row r="569" spans="1:17">
      <c r="A569" s="13">
        <v>44071</v>
      </c>
      <c r="B569">
        <v>1</v>
      </c>
      <c r="C569" t="s">
        <v>1076</v>
      </c>
      <c r="D569" t="s">
        <v>1077</v>
      </c>
      <c r="E569">
        <v>74</v>
      </c>
      <c r="F569" t="s">
        <v>1218</v>
      </c>
      <c r="G569" t="s">
        <v>1780</v>
      </c>
      <c r="H569" t="s">
        <v>1219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</row>
    <row r="570" spans="1:17">
      <c r="A570" s="13">
        <v>44071</v>
      </c>
      <c r="B570">
        <v>2</v>
      </c>
      <c r="C570" t="s">
        <v>1078</v>
      </c>
      <c r="D570" t="s">
        <v>1079</v>
      </c>
      <c r="E570">
        <v>259</v>
      </c>
      <c r="F570" t="s">
        <v>1218</v>
      </c>
      <c r="G570" t="s">
        <v>1780</v>
      </c>
      <c r="H570" t="s">
        <v>1219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</row>
    <row r="571" spans="1:17">
      <c r="A571" s="13">
        <v>44071</v>
      </c>
      <c r="B571">
        <v>3</v>
      </c>
      <c r="C571" t="s">
        <v>1225</v>
      </c>
      <c r="D571" t="s">
        <v>1787</v>
      </c>
      <c r="E571">
        <v>17</v>
      </c>
      <c r="F571" t="s">
        <v>1218</v>
      </c>
      <c r="G571" t="s">
        <v>1780</v>
      </c>
      <c r="H571" t="s">
        <v>1219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</row>
    <row r="572" spans="1:17">
      <c r="A572" s="13">
        <v>44071</v>
      </c>
      <c r="B572">
        <v>4</v>
      </c>
      <c r="C572" t="s">
        <v>1226</v>
      </c>
      <c r="D572" t="s">
        <v>1788</v>
      </c>
      <c r="E572">
        <v>10</v>
      </c>
      <c r="F572" t="s">
        <v>1218</v>
      </c>
      <c r="G572" t="s">
        <v>1780</v>
      </c>
      <c r="H572" t="s">
        <v>1219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</row>
    <row r="573" spans="1:17">
      <c r="A573" s="13">
        <v>44071</v>
      </c>
      <c r="B573">
        <v>1</v>
      </c>
      <c r="C573" t="s">
        <v>1230</v>
      </c>
      <c r="D573" t="s">
        <v>1791</v>
      </c>
      <c r="E573">
        <v>354</v>
      </c>
      <c r="F573" t="s">
        <v>1218</v>
      </c>
      <c r="G573" t="s">
        <v>1789</v>
      </c>
      <c r="H573" t="s">
        <v>1228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</row>
    <row r="574" spans="1:17">
      <c r="A574" s="13">
        <v>44071</v>
      </c>
      <c r="B574">
        <v>1</v>
      </c>
      <c r="C574" t="s">
        <v>1232</v>
      </c>
      <c r="D574" t="s">
        <v>1793</v>
      </c>
      <c r="E574">
        <v>16</v>
      </c>
      <c r="F574" t="s">
        <v>1218</v>
      </c>
      <c r="G574" t="s">
        <v>1792</v>
      </c>
      <c r="H574" t="s">
        <v>1231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</row>
    <row r="575" spans="1:17">
      <c r="A575" s="13">
        <v>44071</v>
      </c>
      <c r="B575">
        <v>1</v>
      </c>
      <c r="C575" t="s">
        <v>1217</v>
      </c>
      <c r="D575" t="s">
        <v>1111</v>
      </c>
      <c r="E575">
        <v>74</v>
      </c>
      <c r="F575" t="s">
        <v>1218</v>
      </c>
      <c r="G575" t="s">
        <v>1798</v>
      </c>
      <c r="H575" t="s">
        <v>1233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</row>
    <row r="576" spans="1:17">
      <c r="A576" s="13">
        <v>44071</v>
      </c>
      <c r="B576">
        <v>2</v>
      </c>
      <c r="C576" t="s">
        <v>1157</v>
      </c>
      <c r="D576" t="s">
        <v>1158</v>
      </c>
      <c r="E576">
        <v>44</v>
      </c>
      <c r="F576" t="s">
        <v>1218</v>
      </c>
      <c r="G576" t="s">
        <v>1798</v>
      </c>
      <c r="H576" t="s">
        <v>1233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</row>
    <row r="577" spans="1:17">
      <c r="A577" s="13">
        <v>44071</v>
      </c>
      <c r="B577">
        <v>3</v>
      </c>
      <c r="C577" t="s">
        <v>1131</v>
      </c>
      <c r="D577" t="s">
        <v>1132</v>
      </c>
      <c r="E577">
        <v>89</v>
      </c>
      <c r="F577" t="s">
        <v>1218</v>
      </c>
      <c r="G577" t="s">
        <v>1798</v>
      </c>
      <c r="H577" t="s">
        <v>1233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</row>
    <row r="578" spans="1:17">
      <c r="A578" s="13">
        <v>44071</v>
      </c>
      <c r="B578">
        <v>4</v>
      </c>
      <c r="C578" t="s">
        <v>1217</v>
      </c>
      <c r="D578" t="s">
        <v>1111</v>
      </c>
      <c r="E578">
        <v>53</v>
      </c>
      <c r="F578" t="s">
        <v>1218</v>
      </c>
      <c r="G578" t="s">
        <v>1798</v>
      </c>
      <c r="H578" t="s">
        <v>1233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</row>
    <row r="579" spans="1:17">
      <c r="A579" s="13">
        <v>44071</v>
      </c>
      <c r="B579">
        <v>1</v>
      </c>
      <c r="C579" t="s">
        <v>1119</v>
      </c>
      <c r="D579" t="s">
        <v>1120</v>
      </c>
      <c r="E579">
        <v>84</v>
      </c>
      <c r="F579" t="s">
        <v>1218</v>
      </c>
      <c r="G579" t="s">
        <v>1798</v>
      </c>
      <c r="H579" t="s">
        <v>1234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</row>
    <row r="580" spans="1:17">
      <c r="A580" s="13">
        <v>44071</v>
      </c>
      <c r="B580">
        <v>2</v>
      </c>
      <c r="C580" t="s">
        <v>1153</v>
      </c>
      <c r="D580" t="s">
        <v>1154</v>
      </c>
      <c r="E580">
        <v>30</v>
      </c>
      <c r="F580" t="s">
        <v>1218</v>
      </c>
      <c r="G580" t="s">
        <v>1798</v>
      </c>
      <c r="H580" t="s">
        <v>1234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</row>
    <row r="581" spans="1:17">
      <c r="A581" s="13">
        <v>44071</v>
      </c>
      <c r="B581">
        <v>3</v>
      </c>
      <c r="C581" t="s">
        <v>1149</v>
      </c>
      <c r="D581" t="s">
        <v>1150</v>
      </c>
      <c r="E581">
        <v>35</v>
      </c>
      <c r="F581" t="s">
        <v>1218</v>
      </c>
      <c r="G581" t="s">
        <v>1798</v>
      </c>
      <c r="H581" t="s">
        <v>1234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</row>
    <row r="582" spans="1:17">
      <c r="A582" s="13">
        <v>44071</v>
      </c>
      <c r="B582">
        <v>4</v>
      </c>
      <c r="C582" t="s">
        <v>1151</v>
      </c>
      <c r="D582" t="s">
        <v>1152</v>
      </c>
      <c r="E582">
        <v>60</v>
      </c>
      <c r="F582" t="s">
        <v>1218</v>
      </c>
      <c r="G582" t="s">
        <v>1798</v>
      </c>
      <c r="H582" t="s">
        <v>1234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</row>
    <row r="583" spans="1:17">
      <c r="A583" s="13">
        <v>44071</v>
      </c>
      <c r="B583">
        <v>5</v>
      </c>
      <c r="C583" t="s">
        <v>1235</v>
      </c>
      <c r="D583" t="s">
        <v>1799</v>
      </c>
      <c r="E583">
        <v>15</v>
      </c>
      <c r="F583" t="s">
        <v>1218</v>
      </c>
      <c r="G583" t="s">
        <v>1798</v>
      </c>
      <c r="H583" t="s">
        <v>1234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</row>
    <row r="584" spans="1:17">
      <c r="A584" s="13">
        <v>44071</v>
      </c>
      <c r="B584">
        <v>6</v>
      </c>
      <c r="C584" t="s">
        <v>1119</v>
      </c>
      <c r="D584" t="s">
        <v>1120</v>
      </c>
      <c r="E584">
        <v>15</v>
      </c>
      <c r="F584" t="s">
        <v>1218</v>
      </c>
      <c r="G584" t="s">
        <v>1798</v>
      </c>
      <c r="H584" t="s">
        <v>1234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</row>
    <row r="585" spans="1:17">
      <c r="A585" s="13">
        <v>44071</v>
      </c>
      <c r="B585">
        <v>7</v>
      </c>
      <c r="C585" t="s">
        <v>1127</v>
      </c>
      <c r="D585" t="s">
        <v>1128</v>
      </c>
      <c r="E585">
        <v>21</v>
      </c>
      <c r="F585" t="s">
        <v>1218</v>
      </c>
      <c r="G585" t="s">
        <v>1798</v>
      </c>
      <c r="H585" t="s">
        <v>1234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</row>
    <row r="586" spans="1:17">
      <c r="A586" s="13">
        <v>44071</v>
      </c>
      <c r="B586">
        <v>1</v>
      </c>
      <c r="C586" t="s">
        <v>1129</v>
      </c>
      <c r="D586" t="s">
        <v>1130</v>
      </c>
      <c r="E586">
        <v>10</v>
      </c>
      <c r="F586" t="s">
        <v>1218</v>
      </c>
      <c r="G586" t="s">
        <v>1798</v>
      </c>
      <c r="H586" t="s">
        <v>1236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</row>
    <row r="587" spans="1:17">
      <c r="A587" s="13">
        <v>44071</v>
      </c>
      <c r="B587">
        <v>2</v>
      </c>
      <c r="C587" t="s">
        <v>1131</v>
      </c>
      <c r="D587" t="s">
        <v>1132</v>
      </c>
      <c r="E587">
        <v>171</v>
      </c>
      <c r="F587" t="s">
        <v>1218</v>
      </c>
      <c r="G587" t="s">
        <v>1798</v>
      </c>
      <c r="H587" t="s">
        <v>1236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</row>
    <row r="588" spans="1:17">
      <c r="A588" s="13">
        <v>44071</v>
      </c>
      <c r="B588">
        <v>3</v>
      </c>
      <c r="C588" t="s">
        <v>1135</v>
      </c>
      <c r="D588" t="s">
        <v>1136</v>
      </c>
      <c r="E588">
        <v>26</v>
      </c>
      <c r="F588" t="s">
        <v>1218</v>
      </c>
      <c r="G588" t="s">
        <v>1798</v>
      </c>
      <c r="H588" t="s">
        <v>1236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</row>
    <row r="589" spans="1:17">
      <c r="A589" s="13">
        <v>44071</v>
      </c>
      <c r="B589">
        <v>4</v>
      </c>
      <c r="C589" t="s">
        <v>1119</v>
      </c>
      <c r="D589" t="s">
        <v>1120</v>
      </c>
      <c r="E589">
        <v>53</v>
      </c>
      <c r="F589" t="s">
        <v>1218</v>
      </c>
      <c r="G589" t="s">
        <v>1798</v>
      </c>
      <c r="H589" t="s">
        <v>1236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</row>
    <row r="590" spans="1:17">
      <c r="A590" s="13">
        <v>44071</v>
      </c>
      <c r="B590">
        <v>1</v>
      </c>
      <c r="C590" t="s">
        <v>1239</v>
      </c>
      <c r="D590" t="s">
        <v>1802</v>
      </c>
      <c r="E590">
        <v>864</v>
      </c>
      <c r="F590" t="s">
        <v>1218</v>
      </c>
      <c r="G590" t="s">
        <v>1800</v>
      </c>
      <c r="H590" t="s">
        <v>1237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</row>
    <row r="591" spans="1:17">
      <c r="A591" s="13">
        <v>44072</v>
      </c>
      <c r="B591">
        <v>1</v>
      </c>
      <c r="C591" t="s">
        <v>1217</v>
      </c>
      <c r="D591" t="s">
        <v>1111</v>
      </c>
      <c r="E591">
        <v>117</v>
      </c>
      <c r="F591" t="s">
        <v>1218</v>
      </c>
      <c r="G591" t="s">
        <v>1798</v>
      </c>
      <c r="H591" t="s">
        <v>1233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</row>
    <row r="592" spans="1:17">
      <c r="A592" s="13">
        <v>44072</v>
      </c>
      <c r="B592">
        <v>2</v>
      </c>
      <c r="C592" t="s">
        <v>1131</v>
      </c>
      <c r="D592" t="s">
        <v>1132</v>
      </c>
      <c r="E592">
        <v>123</v>
      </c>
      <c r="F592" t="s">
        <v>1218</v>
      </c>
      <c r="G592" t="s">
        <v>1798</v>
      </c>
      <c r="H592" t="s">
        <v>1233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</row>
    <row r="593" spans="1:17">
      <c r="A593" s="13">
        <v>44072</v>
      </c>
      <c r="B593">
        <v>1</v>
      </c>
      <c r="C593" t="s">
        <v>1127</v>
      </c>
      <c r="D593" t="s">
        <v>1128</v>
      </c>
      <c r="E593">
        <v>42</v>
      </c>
      <c r="F593" t="s">
        <v>1218</v>
      </c>
      <c r="G593" t="s">
        <v>1798</v>
      </c>
      <c r="H593" t="s">
        <v>1234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</row>
    <row r="594" spans="1:17">
      <c r="A594" s="13">
        <v>44072</v>
      </c>
      <c r="B594">
        <v>2</v>
      </c>
      <c r="C594" t="s">
        <v>1133</v>
      </c>
      <c r="D594" t="s">
        <v>1134</v>
      </c>
      <c r="E594">
        <v>55</v>
      </c>
      <c r="F594" t="s">
        <v>1218</v>
      </c>
      <c r="G594" t="s">
        <v>1798</v>
      </c>
      <c r="H594" t="s">
        <v>1234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</row>
    <row r="595" spans="1:17">
      <c r="A595" s="13">
        <v>44072</v>
      </c>
      <c r="B595">
        <v>3</v>
      </c>
      <c r="C595" t="s">
        <v>1153</v>
      </c>
      <c r="D595" t="s">
        <v>1154</v>
      </c>
      <c r="E595">
        <v>30</v>
      </c>
      <c r="F595" t="s">
        <v>1218</v>
      </c>
      <c r="G595" t="s">
        <v>1798</v>
      </c>
      <c r="H595" t="s">
        <v>1234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</row>
    <row r="596" spans="1:17">
      <c r="A596" s="13">
        <v>44072</v>
      </c>
      <c r="B596">
        <v>4</v>
      </c>
      <c r="C596" t="s">
        <v>1149</v>
      </c>
      <c r="D596" t="s">
        <v>1150</v>
      </c>
      <c r="E596">
        <v>113</v>
      </c>
      <c r="F596" t="s">
        <v>1218</v>
      </c>
      <c r="G596" t="s">
        <v>1798</v>
      </c>
      <c r="H596" t="s">
        <v>1234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</row>
    <row r="597" spans="1:17">
      <c r="A597" s="13">
        <v>44072</v>
      </c>
      <c r="B597">
        <v>1</v>
      </c>
      <c r="C597" t="s">
        <v>1119</v>
      </c>
      <c r="D597" t="s">
        <v>1120</v>
      </c>
      <c r="E597">
        <v>29</v>
      </c>
      <c r="F597" t="s">
        <v>1218</v>
      </c>
      <c r="G597" t="s">
        <v>1798</v>
      </c>
      <c r="H597" t="s">
        <v>1236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</row>
    <row r="598" spans="1:17">
      <c r="A598" s="13">
        <v>44072</v>
      </c>
      <c r="B598">
        <v>2</v>
      </c>
      <c r="C598" t="s">
        <v>1127</v>
      </c>
      <c r="D598" t="s">
        <v>1128</v>
      </c>
      <c r="E598">
        <v>14</v>
      </c>
      <c r="F598" t="s">
        <v>1218</v>
      </c>
      <c r="G598" t="s">
        <v>1798</v>
      </c>
      <c r="H598" t="s">
        <v>1236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</row>
    <row r="599" spans="1:17">
      <c r="A599" s="13">
        <v>44072</v>
      </c>
      <c r="B599">
        <v>3</v>
      </c>
      <c r="C599" t="s">
        <v>1131</v>
      </c>
      <c r="D599" t="s">
        <v>1132</v>
      </c>
      <c r="E599">
        <v>170</v>
      </c>
      <c r="F599" t="s">
        <v>1218</v>
      </c>
      <c r="G599" t="s">
        <v>1798</v>
      </c>
      <c r="H599" t="s">
        <v>1236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</row>
    <row r="600" spans="1:17">
      <c r="A600" s="13">
        <v>44072</v>
      </c>
      <c r="B600">
        <v>4</v>
      </c>
      <c r="C600" t="s">
        <v>1135</v>
      </c>
      <c r="D600" t="s">
        <v>1136</v>
      </c>
      <c r="E600">
        <v>27</v>
      </c>
      <c r="F600" t="s">
        <v>1218</v>
      </c>
      <c r="G600" t="s">
        <v>1798</v>
      </c>
      <c r="H600" t="s">
        <v>1236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</row>
    <row r="601" spans="1:17">
      <c r="A601" s="13">
        <v>44072</v>
      </c>
      <c r="B601">
        <v>1</v>
      </c>
      <c r="C601" t="s">
        <v>1239</v>
      </c>
      <c r="D601" t="s">
        <v>1802</v>
      </c>
      <c r="E601">
        <v>144</v>
      </c>
      <c r="F601" t="s">
        <v>1218</v>
      </c>
      <c r="G601" t="s">
        <v>1800</v>
      </c>
      <c r="H601" t="s">
        <v>1237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</row>
    <row r="602" spans="1:17">
      <c r="A602" s="13">
        <v>44072</v>
      </c>
      <c r="B602">
        <v>2</v>
      </c>
      <c r="C602" t="s">
        <v>1238</v>
      </c>
      <c r="D602" t="s">
        <v>1801</v>
      </c>
      <c r="E602">
        <v>612</v>
      </c>
      <c r="F602" t="s">
        <v>1218</v>
      </c>
      <c r="G602" t="s">
        <v>1800</v>
      </c>
      <c r="H602" t="s">
        <v>1237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_db_b">
    <tabColor theme="0"/>
  </sheetPr>
  <dimension ref="A1:XFD155"/>
  <sheetViews>
    <sheetView zoomScale="70" zoomScaleNormal="70" workbookViewId="0">
      <pane xSplit="10" ySplit="8" topLeftCell="K241" activePane="bottomRight" state="frozen"/>
      <selection pane="topRight" activeCell="K1" sqref="K1"/>
      <selection pane="bottomLeft" activeCell="A9" sqref="A9"/>
      <selection pane="bottomRight" activeCell="L260" sqref="L260"/>
    </sheetView>
  </sheetViews>
  <sheetFormatPr defaultRowHeight="15"/>
  <cols>
    <col min="1" max="1" width="15.85546875" style="126" bestFit="1" customWidth="1"/>
    <col min="2" max="2" width="35.42578125" style="127" bestFit="1" customWidth="1"/>
    <col min="3" max="3" width="41" style="127" bestFit="1" customWidth="1"/>
    <col min="4" max="4" width="7.42578125" style="127" bestFit="1" customWidth="1"/>
    <col min="5" max="5" width="12" style="127" bestFit="1" customWidth="1"/>
    <col min="6" max="6" width="8.7109375" style="127" bestFit="1" customWidth="1"/>
    <col min="7" max="9" width="5.42578125" style="149" bestFit="1" customWidth="1"/>
    <col min="10" max="10" width="8.28515625" style="150" bestFit="1" customWidth="1"/>
    <col min="11" max="12" width="5.42578125" style="150" bestFit="1" customWidth="1"/>
    <col min="13" max="13" width="11.5703125" style="151" bestFit="1" customWidth="1"/>
    <col min="14" max="14" width="12.140625" style="152" bestFit="1" customWidth="1"/>
    <col min="15" max="15" width="5.42578125" style="153" bestFit="1" customWidth="1"/>
    <col min="16" max="16" width="15.85546875" style="127" bestFit="1" customWidth="1"/>
    <col min="17" max="17" width="20.5703125" style="127" bestFit="1" customWidth="1"/>
    <col min="18" max="18" width="20.140625" style="127" bestFit="1" customWidth="1"/>
    <col min="19" max="19" width="15.85546875" style="127" bestFit="1" customWidth="1"/>
    <col min="20" max="22" width="16.28515625" style="127" bestFit="1" customWidth="1"/>
    <col min="23" max="24" width="16" style="127" bestFit="1" customWidth="1"/>
    <col min="25" max="25" width="17.140625" style="127" bestFit="1" customWidth="1"/>
    <col min="26" max="26" width="16.28515625" style="127" bestFit="1" customWidth="1"/>
    <col min="27" max="27" width="27.7109375" style="127" bestFit="1" customWidth="1"/>
    <col min="28" max="28" width="29.5703125" style="127" bestFit="1" customWidth="1"/>
    <col min="29" max="29" width="10" style="127" bestFit="1" customWidth="1"/>
    <col min="30" max="16384" width="9.140625" style="127"/>
  </cols>
  <sheetData>
    <row r="1" spans="1:29" ht="77.25" customHeight="1">
      <c r="A1" s="126">
        <v>1</v>
      </c>
      <c r="B1" s="127">
        <v>2</v>
      </c>
      <c r="C1" s="127">
        <v>3</v>
      </c>
      <c r="D1" s="127">
        <v>4</v>
      </c>
      <c r="E1" s="127">
        <v>5</v>
      </c>
      <c r="F1" s="127">
        <v>6</v>
      </c>
      <c r="G1" s="128">
        <v>7</v>
      </c>
      <c r="H1" s="128">
        <v>8</v>
      </c>
      <c r="I1" s="128">
        <v>9</v>
      </c>
      <c r="J1" s="129">
        <v>10</v>
      </c>
      <c r="K1" s="129">
        <v>11</v>
      </c>
      <c r="L1" s="129">
        <v>12</v>
      </c>
      <c r="M1" s="130">
        <v>13</v>
      </c>
      <c r="N1" s="131">
        <v>14</v>
      </c>
      <c r="O1" s="132">
        <v>15</v>
      </c>
    </row>
    <row r="2" spans="1:29">
      <c r="G2" s="322" t="s">
        <v>48</v>
      </c>
      <c r="H2" s="322"/>
      <c r="I2" s="322"/>
      <c r="J2" s="322"/>
      <c r="K2" s="322"/>
      <c r="L2" s="322"/>
      <c r="M2" s="322"/>
      <c r="N2" s="322"/>
      <c r="O2" s="322"/>
    </row>
    <row r="3" spans="1:29" s="113" customFormat="1">
      <c r="A3" s="112"/>
      <c r="G3" s="323" t="s">
        <v>7</v>
      </c>
      <c r="H3" s="323"/>
      <c r="I3" s="323"/>
      <c r="J3" s="324" t="s">
        <v>413</v>
      </c>
      <c r="K3" s="324"/>
      <c r="L3" s="324"/>
      <c r="M3" s="114"/>
      <c r="N3" s="119"/>
      <c r="O3" s="115"/>
    </row>
    <row r="4" spans="1:29" ht="26.25">
      <c r="A4" s="126" t="s">
        <v>49</v>
      </c>
      <c r="B4" s="127" t="s">
        <v>50</v>
      </c>
      <c r="C4" s="127" t="s">
        <v>51</v>
      </c>
      <c r="D4" s="127" t="s">
        <v>52</v>
      </c>
      <c r="E4" s="127" t="s">
        <v>5</v>
      </c>
      <c r="F4" s="127" t="s">
        <v>35</v>
      </c>
      <c r="G4" s="128" t="s">
        <v>7</v>
      </c>
      <c r="H4" s="128" t="s">
        <v>37</v>
      </c>
      <c r="I4" s="128" t="s">
        <v>36</v>
      </c>
      <c r="J4" s="129" t="s">
        <v>6</v>
      </c>
      <c r="K4" s="129" t="s">
        <v>37</v>
      </c>
      <c r="L4" s="129" t="s">
        <v>36</v>
      </c>
      <c r="M4" s="130" t="s">
        <v>38</v>
      </c>
      <c r="N4" s="131" t="s">
        <v>53</v>
      </c>
      <c r="O4" s="132" t="s">
        <v>54</v>
      </c>
      <c r="Q4" s="127" t="s">
        <v>55</v>
      </c>
      <c r="R4" s="127" t="s">
        <v>56</v>
      </c>
      <c r="S4" s="127" t="s">
        <v>57</v>
      </c>
      <c r="T4" s="127" t="s">
        <v>58</v>
      </c>
      <c r="U4" s="127" t="s">
        <v>59</v>
      </c>
      <c r="V4" s="127" t="s">
        <v>60</v>
      </c>
      <c r="W4" s="127" t="s">
        <v>61</v>
      </c>
      <c r="X4" s="127" t="s">
        <v>62</v>
      </c>
      <c r="Y4" s="127" t="s">
        <v>63</v>
      </c>
      <c r="Z4" s="127" t="s">
        <v>64</v>
      </c>
      <c r="AA4" s="126" t="s">
        <v>65</v>
      </c>
      <c r="AB4" s="7" t="s">
        <v>66</v>
      </c>
      <c r="AC4" s="126" t="s">
        <v>67</v>
      </c>
    </row>
    <row r="5" spans="1:29" ht="15.75">
      <c r="A5" s="126" t="s">
        <v>68</v>
      </c>
      <c r="B5" s="127" t="s">
        <v>69</v>
      </c>
      <c r="C5" s="127" t="s">
        <v>70</v>
      </c>
      <c r="D5" s="127" t="s">
        <v>71</v>
      </c>
      <c r="E5" s="127" t="s">
        <v>72</v>
      </c>
      <c r="F5" s="127">
        <v>120</v>
      </c>
      <c r="G5" s="104" t="s">
        <v>39</v>
      </c>
      <c r="H5" s="104"/>
      <c r="I5" s="104"/>
      <c r="J5" s="109" t="s">
        <v>39</v>
      </c>
      <c r="K5" s="109"/>
      <c r="L5" s="109"/>
      <c r="M5" s="105"/>
      <c r="N5" s="120"/>
      <c r="O5" s="116"/>
      <c r="P5" s="127" t="e">
        <v>#N/A</v>
      </c>
      <c r="Q5" s="127" t="s">
        <v>73</v>
      </c>
      <c r="R5" s="127" t="s">
        <v>74</v>
      </c>
      <c r="S5" s="127" t="s">
        <v>75</v>
      </c>
      <c r="T5" s="127" t="s">
        <v>76</v>
      </c>
      <c r="U5" s="127" t="s">
        <v>77</v>
      </c>
      <c r="V5" s="127" t="s">
        <v>78</v>
      </c>
      <c r="W5" s="127" t="s">
        <v>79</v>
      </c>
      <c r="X5" s="127" t="s">
        <v>80</v>
      </c>
      <c r="Y5" s="127" t="s">
        <v>81</v>
      </c>
      <c r="Z5" s="127" t="s">
        <v>82</v>
      </c>
      <c r="AC5" s="133" t="s">
        <v>597</v>
      </c>
    </row>
    <row r="6" spans="1:29" ht="15.75">
      <c r="A6" s="126" t="s">
        <v>83</v>
      </c>
      <c r="B6" s="127" t="s">
        <v>84</v>
      </c>
      <c r="C6" s="127" t="s">
        <v>85</v>
      </c>
      <c r="D6" s="127" t="s">
        <v>86</v>
      </c>
      <c r="E6" s="127" t="s">
        <v>42</v>
      </c>
      <c r="F6" s="127">
        <v>230</v>
      </c>
      <c r="G6" s="104"/>
      <c r="H6" s="104"/>
      <c r="I6" s="104"/>
      <c r="J6" s="109"/>
      <c r="K6" s="109"/>
      <c r="L6" s="109"/>
      <c r="M6" s="105"/>
      <c r="N6" s="120"/>
      <c r="O6" s="116"/>
      <c r="P6" s="127" t="e">
        <v>#N/A</v>
      </c>
      <c r="Q6" s="127" t="s">
        <v>87</v>
      </c>
      <c r="T6" s="127" t="s">
        <v>88</v>
      </c>
      <c r="U6" s="127" t="s">
        <v>89</v>
      </c>
      <c r="V6" s="127" t="s">
        <v>78</v>
      </c>
      <c r="W6" s="127" t="s">
        <v>90</v>
      </c>
      <c r="X6" s="127" t="s">
        <v>91</v>
      </c>
      <c r="Z6" s="127" t="s">
        <v>82</v>
      </c>
      <c r="AC6" s="133" t="s">
        <v>598</v>
      </c>
    </row>
    <row r="7" spans="1:29" ht="15.75">
      <c r="A7" s="126" t="s">
        <v>92</v>
      </c>
      <c r="B7" s="127" t="s">
        <v>69</v>
      </c>
      <c r="C7" s="127" t="s">
        <v>69</v>
      </c>
      <c r="D7" s="127" t="s">
        <v>71</v>
      </c>
      <c r="E7" s="127" t="s">
        <v>40</v>
      </c>
      <c r="F7" s="127">
        <v>230</v>
      </c>
      <c r="G7" s="104"/>
      <c r="H7" s="104"/>
      <c r="I7" s="104"/>
      <c r="J7" s="109" t="s">
        <v>39</v>
      </c>
      <c r="K7" s="109"/>
      <c r="L7" s="109"/>
      <c r="M7" s="105"/>
      <c r="N7" s="120" t="s">
        <v>39</v>
      </c>
      <c r="O7" s="116"/>
      <c r="P7" s="127" t="s">
        <v>92</v>
      </c>
      <c r="Q7" s="127" t="s">
        <v>73</v>
      </c>
      <c r="S7" s="127" t="s">
        <v>93</v>
      </c>
      <c r="T7" s="127" t="s">
        <v>88</v>
      </c>
      <c r="U7" s="127" t="s">
        <v>89</v>
      </c>
      <c r="V7" s="127" t="s">
        <v>78</v>
      </c>
      <c r="W7" s="127" t="s">
        <v>79</v>
      </c>
      <c r="X7" s="127" t="s">
        <v>94</v>
      </c>
      <c r="Y7" s="127" t="s">
        <v>95</v>
      </c>
      <c r="Z7" s="127" t="s">
        <v>82</v>
      </c>
      <c r="AA7" s="127" t="s">
        <v>96</v>
      </c>
      <c r="AB7" s="127" t="s">
        <v>97</v>
      </c>
      <c r="AC7" s="133" t="s">
        <v>599</v>
      </c>
    </row>
    <row r="8" spans="1:29" ht="15.75">
      <c r="A8" s="126" t="s">
        <v>98</v>
      </c>
      <c r="B8" s="127" t="s">
        <v>99</v>
      </c>
      <c r="C8" s="127" t="s">
        <v>100</v>
      </c>
      <c r="D8" s="127" t="s">
        <v>71</v>
      </c>
      <c r="E8" s="127" t="s">
        <v>41</v>
      </c>
      <c r="F8" s="127">
        <v>220</v>
      </c>
      <c r="G8" s="104"/>
      <c r="H8" s="104"/>
      <c r="I8" s="104"/>
      <c r="J8" s="109" t="s">
        <v>39</v>
      </c>
      <c r="K8" s="109"/>
      <c r="L8" s="109"/>
      <c r="M8" s="105"/>
      <c r="N8" s="120" t="s">
        <v>39</v>
      </c>
      <c r="O8" s="116"/>
      <c r="P8" s="127" t="s">
        <v>98</v>
      </c>
      <c r="Q8" s="127" t="s">
        <v>101</v>
      </c>
      <c r="S8" s="127" t="s">
        <v>93</v>
      </c>
      <c r="T8" s="127" t="s">
        <v>88</v>
      </c>
      <c r="U8" s="127" t="s">
        <v>89</v>
      </c>
      <c r="V8" s="127" t="s">
        <v>78</v>
      </c>
      <c r="W8" s="127" t="s">
        <v>79</v>
      </c>
      <c r="X8" s="127" t="s">
        <v>102</v>
      </c>
      <c r="Y8" s="127" t="s">
        <v>103</v>
      </c>
      <c r="Z8" s="127" t="s">
        <v>82</v>
      </c>
      <c r="AA8" s="127" t="s">
        <v>96</v>
      </c>
      <c r="AB8" s="127" t="s">
        <v>97</v>
      </c>
      <c r="AC8" s="133" t="s">
        <v>600</v>
      </c>
    </row>
    <row r="9" spans="1:29" ht="15.75">
      <c r="A9" s="126" t="s">
        <v>104</v>
      </c>
      <c r="B9" s="127" t="s">
        <v>105</v>
      </c>
      <c r="C9" s="127" t="s">
        <v>105</v>
      </c>
      <c r="D9" s="127" t="s">
        <v>71</v>
      </c>
      <c r="E9" s="127" t="s">
        <v>45</v>
      </c>
      <c r="F9" s="127">
        <v>220</v>
      </c>
      <c r="G9" s="104" t="s">
        <v>39</v>
      </c>
      <c r="H9" s="104"/>
      <c r="I9" s="104"/>
      <c r="J9" s="109" t="s">
        <v>39</v>
      </c>
      <c r="K9" s="109"/>
      <c r="L9" s="109"/>
      <c r="M9" s="105"/>
      <c r="N9" s="120" t="s">
        <v>39</v>
      </c>
      <c r="O9" s="116"/>
      <c r="P9" s="127" t="s">
        <v>104</v>
      </c>
      <c r="Q9" s="127" t="s">
        <v>106</v>
      </c>
      <c r="R9" s="127" t="s">
        <v>107</v>
      </c>
      <c r="S9" s="127" t="s">
        <v>93</v>
      </c>
      <c r="T9" s="127" t="s">
        <v>88</v>
      </c>
      <c r="U9" s="127" t="s">
        <v>89</v>
      </c>
      <c r="V9" s="127" t="s">
        <v>78</v>
      </c>
      <c r="W9" s="127" t="s">
        <v>79</v>
      </c>
      <c r="X9" s="127" t="s">
        <v>108</v>
      </c>
      <c r="Y9" s="127" t="s">
        <v>109</v>
      </c>
      <c r="Z9" s="127" t="s">
        <v>82</v>
      </c>
      <c r="AA9" s="127" t="s">
        <v>96</v>
      </c>
      <c r="AB9" s="127" t="s">
        <v>97</v>
      </c>
      <c r="AC9" s="133" t="s">
        <v>601</v>
      </c>
    </row>
    <row r="10" spans="1:29" ht="15.75">
      <c r="A10" s="8" t="s">
        <v>110</v>
      </c>
      <c r="B10" s="9" t="s">
        <v>111</v>
      </c>
      <c r="C10" s="127" t="s">
        <v>111</v>
      </c>
      <c r="D10" s="9" t="s">
        <v>71</v>
      </c>
      <c r="E10" s="9" t="s">
        <v>45</v>
      </c>
      <c r="F10" s="9">
        <v>220</v>
      </c>
      <c r="G10" s="106" t="s">
        <v>39</v>
      </c>
      <c r="H10" s="106"/>
      <c r="I10" s="106"/>
      <c r="J10" s="110" t="s">
        <v>39</v>
      </c>
      <c r="K10" s="110"/>
      <c r="L10" s="110"/>
      <c r="M10" s="107"/>
      <c r="N10" s="121" t="s">
        <v>39</v>
      </c>
      <c r="O10" s="117"/>
      <c r="P10" s="127" t="e">
        <v>#N/A</v>
      </c>
      <c r="Q10" s="9" t="s">
        <v>106</v>
      </c>
      <c r="R10" s="9" t="s">
        <v>107</v>
      </c>
      <c r="S10" s="9" t="s">
        <v>93</v>
      </c>
      <c r="T10" s="9" t="s">
        <v>88</v>
      </c>
      <c r="U10" s="9" t="s">
        <v>89</v>
      </c>
      <c r="V10" s="9" t="s">
        <v>78</v>
      </c>
      <c r="W10" s="9" t="s">
        <v>79</v>
      </c>
      <c r="X10" s="9" t="s">
        <v>108</v>
      </c>
      <c r="Y10" s="9" t="s">
        <v>109</v>
      </c>
      <c r="Z10" s="9" t="s">
        <v>82</v>
      </c>
      <c r="AA10" s="9" t="s">
        <v>96</v>
      </c>
      <c r="AB10" s="9" t="s">
        <v>97</v>
      </c>
      <c r="AC10" s="133" t="s">
        <v>601</v>
      </c>
    </row>
    <row r="11" spans="1:29" ht="15.75">
      <c r="A11" s="126" t="s">
        <v>112</v>
      </c>
      <c r="B11" s="127" t="s">
        <v>99</v>
      </c>
      <c r="C11" s="127" t="s">
        <v>100</v>
      </c>
      <c r="D11" s="127" t="s">
        <v>71</v>
      </c>
      <c r="E11" s="127" t="s">
        <v>47</v>
      </c>
      <c r="F11" s="127">
        <v>120</v>
      </c>
      <c r="G11" s="104"/>
      <c r="H11" s="104"/>
      <c r="I11" s="104"/>
      <c r="J11" s="109" t="s">
        <v>39</v>
      </c>
      <c r="K11" s="109"/>
      <c r="L11" s="109"/>
      <c r="M11" s="105"/>
      <c r="N11" s="120" t="s">
        <v>39</v>
      </c>
      <c r="O11" s="116"/>
      <c r="P11" s="127" t="s">
        <v>112</v>
      </c>
      <c r="Q11" s="127" t="s">
        <v>113</v>
      </c>
      <c r="S11" s="127" t="s">
        <v>93</v>
      </c>
      <c r="T11" s="127" t="s">
        <v>76</v>
      </c>
      <c r="U11" s="127" t="s">
        <v>77</v>
      </c>
      <c r="V11" s="127" t="s">
        <v>78</v>
      </c>
      <c r="W11" s="127" t="s">
        <v>79</v>
      </c>
      <c r="X11" s="127" t="s">
        <v>114</v>
      </c>
      <c r="Y11" s="127" t="s">
        <v>115</v>
      </c>
      <c r="Z11" s="127" t="s">
        <v>82</v>
      </c>
      <c r="AA11" s="127" t="s">
        <v>96</v>
      </c>
      <c r="AB11" s="127" t="s">
        <v>116</v>
      </c>
      <c r="AC11" s="133" t="s">
        <v>602</v>
      </c>
    </row>
    <row r="12" spans="1:29" ht="15.75">
      <c r="A12" s="126" t="s">
        <v>117</v>
      </c>
      <c r="B12" s="127" t="s">
        <v>99</v>
      </c>
      <c r="C12" s="127" t="s">
        <v>100</v>
      </c>
      <c r="D12" s="127" t="s">
        <v>71</v>
      </c>
      <c r="E12" s="127" t="s">
        <v>43</v>
      </c>
      <c r="F12" s="127">
        <v>230</v>
      </c>
      <c r="G12" s="104"/>
      <c r="H12" s="104"/>
      <c r="I12" s="104"/>
      <c r="J12" s="109" t="s">
        <v>39</v>
      </c>
      <c r="K12" s="109"/>
      <c r="L12" s="109"/>
      <c r="M12" s="105"/>
      <c r="N12" s="120" t="s">
        <v>39</v>
      </c>
      <c r="O12" s="116"/>
      <c r="P12" s="127" t="s">
        <v>117</v>
      </c>
      <c r="Q12" s="127" t="s">
        <v>73</v>
      </c>
      <c r="S12" s="127" t="s">
        <v>93</v>
      </c>
      <c r="T12" s="127" t="s">
        <v>88</v>
      </c>
      <c r="U12" s="127" t="s">
        <v>89</v>
      </c>
      <c r="V12" s="127" t="s">
        <v>78</v>
      </c>
      <c r="W12" s="127" t="s">
        <v>79</v>
      </c>
      <c r="X12" s="127" t="s">
        <v>94</v>
      </c>
      <c r="Y12" s="127" t="s">
        <v>118</v>
      </c>
      <c r="Z12" s="127" t="s">
        <v>82</v>
      </c>
      <c r="AA12" s="127" t="s">
        <v>96</v>
      </c>
      <c r="AB12" s="127" t="s">
        <v>97</v>
      </c>
      <c r="AC12" s="133" t="s">
        <v>603</v>
      </c>
    </row>
    <row r="13" spans="1:29" ht="15.75">
      <c r="A13" s="126" t="s">
        <v>119</v>
      </c>
      <c r="B13" s="127" t="s">
        <v>120</v>
      </c>
      <c r="C13" s="127" t="s">
        <v>120</v>
      </c>
      <c r="D13" s="127" t="s">
        <v>71</v>
      </c>
      <c r="E13" s="127" t="s">
        <v>121</v>
      </c>
      <c r="F13" s="127">
        <v>100</v>
      </c>
      <c r="G13" s="104" t="s">
        <v>39</v>
      </c>
      <c r="H13" s="104"/>
      <c r="I13" s="104"/>
      <c r="J13" s="109" t="s">
        <v>39</v>
      </c>
      <c r="K13" s="109"/>
      <c r="L13" s="109"/>
      <c r="M13" s="105"/>
      <c r="N13" s="120" t="s">
        <v>39</v>
      </c>
      <c r="O13" s="116"/>
      <c r="P13" s="127" t="s">
        <v>119</v>
      </c>
      <c r="Q13" s="127" t="s">
        <v>122</v>
      </c>
      <c r="R13" s="127" t="s">
        <v>123</v>
      </c>
      <c r="S13" s="127" t="s">
        <v>124</v>
      </c>
      <c r="T13" s="127" t="s">
        <v>125</v>
      </c>
      <c r="U13" s="127" t="s">
        <v>126</v>
      </c>
      <c r="V13" s="127" t="s">
        <v>78</v>
      </c>
      <c r="W13" s="127" t="s">
        <v>79</v>
      </c>
      <c r="X13" s="127" t="s">
        <v>127</v>
      </c>
      <c r="Y13" s="127" t="s">
        <v>128</v>
      </c>
      <c r="AA13" s="127" t="s">
        <v>96</v>
      </c>
      <c r="AB13" s="127" t="s">
        <v>116</v>
      </c>
      <c r="AC13" s="133" t="s">
        <v>604</v>
      </c>
    </row>
    <row r="14" spans="1:29" ht="15.75">
      <c r="A14" s="126" t="s">
        <v>129</v>
      </c>
      <c r="B14" s="127" t="s">
        <v>130</v>
      </c>
      <c r="C14" s="127" t="s">
        <v>131</v>
      </c>
      <c r="D14" s="127" t="s">
        <v>71</v>
      </c>
      <c r="E14" s="127" t="s">
        <v>121</v>
      </c>
      <c r="F14" s="127">
        <v>100</v>
      </c>
      <c r="G14" s="104" t="s">
        <v>39</v>
      </c>
      <c r="H14" s="104"/>
      <c r="I14" s="104"/>
      <c r="J14" s="109" t="s">
        <v>39</v>
      </c>
      <c r="K14" s="109"/>
      <c r="L14" s="109"/>
      <c r="M14" s="105"/>
      <c r="N14" s="120" t="s">
        <v>39</v>
      </c>
      <c r="O14" s="116" t="s">
        <v>39</v>
      </c>
      <c r="P14" s="127" t="s">
        <v>129</v>
      </c>
      <c r="Q14" s="127" t="s">
        <v>132</v>
      </c>
      <c r="R14" s="127" t="s">
        <v>123</v>
      </c>
      <c r="S14" s="127" t="s">
        <v>124</v>
      </c>
      <c r="T14" s="127" t="s">
        <v>125</v>
      </c>
      <c r="U14" s="127" t="s">
        <v>126</v>
      </c>
      <c r="V14" s="127" t="s">
        <v>78</v>
      </c>
      <c r="W14" s="127" t="s">
        <v>79</v>
      </c>
      <c r="X14" s="127" t="s">
        <v>133</v>
      </c>
      <c r="Y14" s="127" t="s">
        <v>134</v>
      </c>
      <c r="AA14" s="127" t="s">
        <v>96</v>
      </c>
      <c r="AB14" s="127" t="s">
        <v>116</v>
      </c>
      <c r="AC14" s="133" t="s">
        <v>605</v>
      </c>
    </row>
    <row r="15" spans="1:29" ht="15.75">
      <c r="A15" s="126" t="s">
        <v>135</v>
      </c>
      <c r="B15" s="127" t="s">
        <v>136</v>
      </c>
      <c r="C15" s="127" t="s">
        <v>136</v>
      </c>
      <c r="D15" s="127" t="s">
        <v>71</v>
      </c>
      <c r="E15" s="127" t="s">
        <v>72</v>
      </c>
      <c r="F15" s="127">
        <v>120</v>
      </c>
      <c r="G15" s="104" t="s">
        <v>39</v>
      </c>
      <c r="H15" s="104"/>
      <c r="I15" s="104"/>
      <c r="J15" s="109" t="s">
        <v>39</v>
      </c>
      <c r="K15" s="109"/>
      <c r="L15" s="109"/>
      <c r="M15" s="105"/>
      <c r="N15" s="120"/>
      <c r="O15" s="116"/>
      <c r="P15" s="127" t="e">
        <v>#N/A</v>
      </c>
      <c r="Q15" s="127" t="s">
        <v>137</v>
      </c>
      <c r="R15" s="127" t="s">
        <v>74</v>
      </c>
      <c r="S15" s="127" t="s">
        <v>75</v>
      </c>
      <c r="T15" s="127" t="s">
        <v>138</v>
      </c>
      <c r="U15" s="127" t="s">
        <v>139</v>
      </c>
      <c r="V15" s="127" t="s">
        <v>78</v>
      </c>
      <c r="W15" s="127" t="s">
        <v>79</v>
      </c>
      <c r="X15" s="127" t="s">
        <v>80</v>
      </c>
      <c r="Y15" s="127" t="s">
        <v>81</v>
      </c>
      <c r="AC15" s="133" t="s">
        <v>606</v>
      </c>
    </row>
    <row r="16" spans="1:29" ht="15.75">
      <c r="A16" s="126" t="s">
        <v>140</v>
      </c>
      <c r="B16" s="127" t="s">
        <v>141</v>
      </c>
      <c r="C16" s="127" t="s">
        <v>141</v>
      </c>
      <c r="D16" s="127" t="s">
        <v>86</v>
      </c>
      <c r="E16" s="127" t="s">
        <v>42</v>
      </c>
      <c r="F16" s="127">
        <v>230</v>
      </c>
      <c r="G16" s="104"/>
      <c r="H16" s="104"/>
      <c r="I16" s="104"/>
      <c r="J16" s="109"/>
      <c r="K16" s="109"/>
      <c r="L16" s="109"/>
      <c r="M16" s="105"/>
      <c r="N16" s="120"/>
      <c r="O16" s="116"/>
      <c r="P16" s="127" t="e">
        <v>#N/A</v>
      </c>
      <c r="Q16" s="127" t="s">
        <v>142</v>
      </c>
      <c r="T16" s="127" t="s">
        <v>143</v>
      </c>
      <c r="U16" s="127" t="s">
        <v>144</v>
      </c>
      <c r="V16" s="127" t="s">
        <v>78</v>
      </c>
      <c r="W16" s="127" t="s">
        <v>90</v>
      </c>
      <c r="X16" s="127" t="s">
        <v>91</v>
      </c>
      <c r="AC16" s="133" t="s">
        <v>607</v>
      </c>
    </row>
    <row r="17" spans="1:29" ht="15.75">
      <c r="A17" s="126" t="s">
        <v>145</v>
      </c>
      <c r="B17" s="127" t="s">
        <v>136</v>
      </c>
      <c r="C17" s="127" t="s">
        <v>136</v>
      </c>
      <c r="D17" s="127" t="s">
        <v>71</v>
      </c>
      <c r="E17" s="127" t="s">
        <v>40</v>
      </c>
      <c r="F17" s="127">
        <v>230</v>
      </c>
      <c r="G17" s="104"/>
      <c r="H17" s="104"/>
      <c r="I17" s="104"/>
      <c r="J17" s="109" t="s">
        <v>39</v>
      </c>
      <c r="K17" s="109"/>
      <c r="L17" s="109"/>
      <c r="M17" s="105"/>
      <c r="N17" s="120" t="s">
        <v>39</v>
      </c>
      <c r="O17" s="116"/>
      <c r="P17" s="127" t="s">
        <v>145</v>
      </c>
      <c r="Q17" s="127" t="s">
        <v>137</v>
      </c>
      <c r="S17" s="127" t="s">
        <v>93</v>
      </c>
      <c r="T17" s="127" t="s">
        <v>143</v>
      </c>
      <c r="U17" s="127" t="s">
        <v>144</v>
      </c>
      <c r="V17" s="127" t="s">
        <v>78</v>
      </c>
      <c r="W17" s="127" t="s">
        <v>79</v>
      </c>
      <c r="X17" s="127" t="s">
        <v>94</v>
      </c>
      <c r="Y17" s="127" t="s">
        <v>95</v>
      </c>
      <c r="AA17" s="127" t="s">
        <v>96</v>
      </c>
      <c r="AB17" s="127" t="s">
        <v>97</v>
      </c>
      <c r="AC17" s="133" t="s">
        <v>608</v>
      </c>
    </row>
    <row r="18" spans="1:29" ht="15.75">
      <c r="A18" s="126" t="s">
        <v>146</v>
      </c>
      <c r="B18" s="127" t="s">
        <v>147</v>
      </c>
      <c r="C18" s="127" t="s">
        <v>147</v>
      </c>
      <c r="D18" s="127" t="s">
        <v>71</v>
      </c>
      <c r="E18" s="127" t="s">
        <v>41</v>
      </c>
      <c r="F18" s="127">
        <v>220</v>
      </c>
      <c r="G18" s="104"/>
      <c r="H18" s="104"/>
      <c r="I18" s="104"/>
      <c r="J18" s="109" t="s">
        <v>39</v>
      </c>
      <c r="K18" s="109"/>
      <c r="L18" s="109"/>
      <c r="M18" s="105"/>
      <c r="N18" s="120" t="s">
        <v>39</v>
      </c>
      <c r="O18" s="116"/>
      <c r="P18" s="127" t="s">
        <v>146</v>
      </c>
      <c r="Q18" s="127" t="s">
        <v>148</v>
      </c>
      <c r="S18" s="127" t="s">
        <v>93</v>
      </c>
      <c r="T18" s="127" t="s">
        <v>143</v>
      </c>
      <c r="U18" s="127" t="s">
        <v>144</v>
      </c>
      <c r="V18" s="127" t="s">
        <v>78</v>
      </c>
      <c r="W18" s="127" t="s">
        <v>79</v>
      </c>
      <c r="X18" s="127" t="s">
        <v>102</v>
      </c>
      <c r="Y18" s="127" t="s">
        <v>103</v>
      </c>
      <c r="AA18" s="127" t="s">
        <v>96</v>
      </c>
      <c r="AB18" s="127" t="s">
        <v>97</v>
      </c>
      <c r="AC18" s="133" t="s">
        <v>609</v>
      </c>
    </row>
    <row r="19" spans="1:29" ht="15.75">
      <c r="A19" s="126" t="s">
        <v>149</v>
      </c>
      <c r="B19" s="127" t="s">
        <v>150</v>
      </c>
      <c r="C19" s="127" t="s">
        <v>150</v>
      </c>
      <c r="D19" s="127" t="s">
        <v>71</v>
      </c>
      <c r="E19" s="127" t="s">
        <v>45</v>
      </c>
      <c r="F19" s="127">
        <v>220</v>
      </c>
      <c r="G19" s="104" t="s">
        <v>39</v>
      </c>
      <c r="H19" s="104"/>
      <c r="I19" s="104"/>
      <c r="J19" s="109" t="s">
        <v>39</v>
      </c>
      <c r="K19" s="109"/>
      <c r="L19" s="109"/>
      <c r="M19" s="105"/>
      <c r="N19" s="120" t="s">
        <v>39</v>
      </c>
      <c r="O19" s="116"/>
      <c r="P19" s="127" t="s">
        <v>149</v>
      </c>
      <c r="Q19" s="127" t="s">
        <v>151</v>
      </c>
      <c r="R19" s="127" t="s">
        <v>107</v>
      </c>
      <c r="S19" s="127" t="s">
        <v>93</v>
      </c>
      <c r="T19" s="127" t="s">
        <v>143</v>
      </c>
      <c r="U19" s="127" t="s">
        <v>144</v>
      </c>
      <c r="V19" s="127" t="s">
        <v>78</v>
      </c>
      <c r="W19" s="127" t="s">
        <v>79</v>
      </c>
      <c r="X19" s="127" t="s">
        <v>108</v>
      </c>
      <c r="Y19" s="127" t="s">
        <v>109</v>
      </c>
      <c r="AA19" s="127" t="s">
        <v>96</v>
      </c>
      <c r="AB19" s="127" t="s">
        <v>97</v>
      </c>
      <c r="AC19" s="133" t="s">
        <v>610</v>
      </c>
    </row>
    <row r="20" spans="1:29" ht="15.75">
      <c r="A20" s="126" t="s">
        <v>152</v>
      </c>
      <c r="B20" s="127" t="s">
        <v>147</v>
      </c>
      <c r="C20" s="127" t="s">
        <v>147</v>
      </c>
      <c r="D20" s="127" t="s">
        <v>71</v>
      </c>
      <c r="E20" s="127" t="s">
        <v>47</v>
      </c>
      <c r="F20" s="127">
        <v>120</v>
      </c>
      <c r="G20" s="104"/>
      <c r="H20" s="104"/>
      <c r="I20" s="104"/>
      <c r="J20" s="109" t="s">
        <v>39</v>
      </c>
      <c r="K20" s="109"/>
      <c r="L20" s="109"/>
      <c r="M20" s="105"/>
      <c r="N20" s="120" t="s">
        <v>39</v>
      </c>
      <c r="O20" s="116"/>
      <c r="P20" s="127" t="s">
        <v>152</v>
      </c>
      <c r="Q20" s="127" t="s">
        <v>153</v>
      </c>
      <c r="S20" s="127" t="s">
        <v>93</v>
      </c>
      <c r="T20" s="127" t="s">
        <v>138</v>
      </c>
      <c r="U20" s="127" t="s">
        <v>139</v>
      </c>
      <c r="V20" s="127" t="s">
        <v>78</v>
      </c>
      <c r="W20" s="127" t="s">
        <v>79</v>
      </c>
      <c r="X20" s="127" t="s">
        <v>114</v>
      </c>
      <c r="Y20" s="127" t="s">
        <v>115</v>
      </c>
      <c r="Z20" s="127" t="s">
        <v>82</v>
      </c>
      <c r="AA20" s="127" t="s">
        <v>96</v>
      </c>
      <c r="AB20" s="127" t="s">
        <v>116</v>
      </c>
      <c r="AC20" s="133" t="s">
        <v>611</v>
      </c>
    </row>
    <row r="21" spans="1:29" ht="15.75">
      <c r="A21" s="126" t="s">
        <v>154</v>
      </c>
      <c r="B21" s="127" t="s">
        <v>147</v>
      </c>
      <c r="C21" s="127" t="s">
        <v>147</v>
      </c>
      <c r="D21" s="127" t="s">
        <v>71</v>
      </c>
      <c r="E21" s="127" t="s">
        <v>43</v>
      </c>
      <c r="F21" s="127">
        <v>230</v>
      </c>
      <c r="G21" s="104"/>
      <c r="H21" s="104"/>
      <c r="I21" s="104"/>
      <c r="J21" s="109" t="s">
        <v>39</v>
      </c>
      <c r="K21" s="109"/>
      <c r="L21" s="109"/>
      <c r="M21" s="105"/>
      <c r="N21" s="120" t="s">
        <v>39</v>
      </c>
      <c r="O21" s="116"/>
      <c r="P21" s="127" t="s">
        <v>154</v>
      </c>
      <c r="Q21" s="127" t="s">
        <v>137</v>
      </c>
      <c r="S21" s="127" t="s">
        <v>93</v>
      </c>
      <c r="T21" s="127" t="s">
        <v>143</v>
      </c>
      <c r="U21" s="127" t="s">
        <v>144</v>
      </c>
      <c r="V21" s="127" t="s">
        <v>78</v>
      </c>
      <c r="W21" s="127" t="s">
        <v>79</v>
      </c>
      <c r="X21" s="127" t="s">
        <v>94</v>
      </c>
      <c r="Y21" s="127" t="s">
        <v>118</v>
      </c>
      <c r="AA21" s="127" t="s">
        <v>96</v>
      </c>
      <c r="AB21" s="127" t="s">
        <v>97</v>
      </c>
      <c r="AC21" s="133" t="s">
        <v>612</v>
      </c>
    </row>
    <row r="22" spans="1:29" ht="15.75">
      <c r="A22" s="126" t="s">
        <v>155</v>
      </c>
      <c r="B22" s="127" t="s">
        <v>156</v>
      </c>
      <c r="C22" s="127" t="s">
        <v>157</v>
      </c>
      <c r="D22" s="127" t="s">
        <v>71</v>
      </c>
      <c r="E22" s="127" t="s">
        <v>121</v>
      </c>
      <c r="F22" s="127">
        <v>100</v>
      </c>
      <c r="G22" s="104" t="s">
        <v>39</v>
      </c>
      <c r="H22" s="104"/>
      <c r="I22" s="104"/>
      <c r="J22" s="109" t="s">
        <v>39</v>
      </c>
      <c r="K22" s="109"/>
      <c r="L22" s="109"/>
      <c r="M22" s="105"/>
      <c r="N22" s="120" t="s">
        <v>39</v>
      </c>
      <c r="O22" s="116"/>
      <c r="P22" s="127" t="s">
        <v>155</v>
      </c>
      <c r="Q22" s="127" t="s">
        <v>158</v>
      </c>
      <c r="R22" s="127" t="s">
        <v>123</v>
      </c>
      <c r="S22" s="127" t="s">
        <v>124</v>
      </c>
      <c r="T22" s="127" t="s">
        <v>125</v>
      </c>
      <c r="U22" s="127" t="s">
        <v>126</v>
      </c>
      <c r="V22" s="127" t="s">
        <v>159</v>
      </c>
      <c r="W22" s="127" t="s">
        <v>79</v>
      </c>
      <c r="X22" s="127" t="s">
        <v>127</v>
      </c>
      <c r="Y22" s="127" t="s">
        <v>128</v>
      </c>
      <c r="AA22" s="127" t="s">
        <v>96</v>
      </c>
      <c r="AB22" s="127" t="s">
        <v>116</v>
      </c>
      <c r="AC22" s="133" t="s">
        <v>613</v>
      </c>
    </row>
    <row r="23" spans="1:29" ht="15.75">
      <c r="A23" s="126" t="s">
        <v>160</v>
      </c>
      <c r="B23" s="127" t="s">
        <v>161</v>
      </c>
      <c r="C23" s="127" t="s">
        <v>161</v>
      </c>
      <c r="D23" s="127" t="s">
        <v>71</v>
      </c>
      <c r="E23" s="127" t="s">
        <v>121</v>
      </c>
      <c r="F23" s="127">
        <v>100</v>
      </c>
      <c r="G23" s="104" t="s">
        <v>39</v>
      </c>
      <c r="H23" s="104"/>
      <c r="I23" s="104"/>
      <c r="J23" s="109" t="s">
        <v>39</v>
      </c>
      <c r="K23" s="109"/>
      <c r="L23" s="109"/>
      <c r="M23" s="105"/>
      <c r="N23" s="120" t="s">
        <v>39</v>
      </c>
      <c r="O23" s="116" t="s">
        <v>39</v>
      </c>
      <c r="P23" s="127" t="s">
        <v>160</v>
      </c>
      <c r="Q23" s="127" t="s">
        <v>162</v>
      </c>
      <c r="R23" s="127" t="s">
        <v>123</v>
      </c>
      <c r="S23" s="127" t="s">
        <v>124</v>
      </c>
      <c r="T23" s="127" t="s">
        <v>125</v>
      </c>
      <c r="U23" s="127" t="s">
        <v>126</v>
      </c>
      <c r="V23" s="127" t="s">
        <v>159</v>
      </c>
      <c r="W23" s="127" t="s">
        <v>79</v>
      </c>
      <c r="X23" s="127" t="s">
        <v>133</v>
      </c>
      <c r="Y23" s="127" t="s">
        <v>134</v>
      </c>
      <c r="AA23" s="127" t="s">
        <v>96</v>
      </c>
      <c r="AB23" s="127" t="s">
        <v>116</v>
      </c>
      <c r="AC23" s="133" t="s">
        <v>614</v>
      </c>
    </row>
    <row r="24" spans="1:29" ht="15.75">
      <c r="A24" s="8" t="s">
        <v>163</v>
      </c>
      <c r="B24" s="9" t="s">
        <v>164</v>
      </c>
      <c r="C24" s="127" t="s">
        <v>164</v>
      </c>
      <c r="D24" s="9" t="s">
        <v>71</v>
      </c>
      <c r="E24" s="9" t="s">
        <v>121</v>
      </c>
      <c r="F24" s="9">
        <v>100</v>
      </c>
      <c r="G24" s="106" t="s">
        <v>39</v>
      </c>
      <c r="H24" s="106"/>
      <c r="I24" s="106"/>
      <c r="J24" s="110" t="s">
        <v>39</v>
      </c>
      <c r="K24" s="110"/>
      <c r="L24" s="110"/>
      <c r="M24" s="107"/>
      <c r="N24" s="121" t="s">
        <v>39</v>
      </c>
      <c r="O24" s="117" t="s">
        <v>39</v>
      </c>
      <c r="P24" s="127" t="s">
        <v>160</v>
      </c>
      <c r="Q24" s="9" t="s">
        <v>162</v>
      </c>
      <c r="R24" s="9" t="s">
        <v>123</v>
      </c>
      <c r="S24" s="9" t="s">
        <v>124</v>
      </c>
      <c r="T24" s="9" t="s">
        <v>125</v>
      </c>
      <c r="U24" s="9" t="s">
        <v>126</v>
      </c>
      <c r="V24" s="9" t="s">
        <v>159</v>
      </c>
      <c r="W24" s="9" t="s">
        <v>79</v>
      </c>
      <c r="X24" s="9" t="s">
        <v>133</v>
      </c>
      <c r="Y24" s="9" t="s">
        <v>134</v>
      </c>
      <c r="Z24" s="9"/>
      <c r="AA24" s="9" t="s">
        <v>96</v>
      </c>
      <c r="AB24" s="9" t="s">
        <v>116</v>
      </c>
      <c r="AC24" s="133" t="s">
        <v>614</v>
      </c>
    </row>
    <row r="25" spans="1:29" ht="15.75">
      <c r="A25" s="126" t="s">
        <v>165</v>
      </c>
      <c r="B25" s="127" t="s">
        <v>157</v>
      </c>
      <c r="C25" s="127" t="s">
        <v>156</v>
      </c>
      <c r="D25" s="127" t="s">
        <v>71</v>
      </c>
      <c r="E25" s="127" t="s">
        <v>72</v>
      </c>
      <c r="F25" s="127">
        <v>120</v>
      </c>
      <c r="G25" s="104"/>
      <c r="H25" s="104"/>
      <c r="I25" s="104"/>
      <c r="J25" s="109" t="s">
        <v>39</v>
      </c>
      <c r="K25" s="109"/>
      <c r="L25" s="109"/>
      <c r="M25" s="105"/>
      <c r="N25" s="120"/>
      <c r="O25" s="116"/>
      <c r="P25" s="127" t="e">
        <v>#N/A</v>
      </c>
      <c r="Q25" s="127" t="s">
        <v>166</v>
      </c>
      <c r="S25" s="127" t="s">
        <v>75</v>
      </c>
      <c r="T25" s="127" t="s">
        <v>138</v>
      </c>
      <c r="U25" s="127" t="s">
        <v>139</v>
      </c>
      <c r="V25" s="127" t="s">
        <v>159</v>
      </c>
      <c r="W25" s="127" t="s">
        <v>79</v>
      </c>
      <c r="X25" s="127" t="s">
        <v>80</v>
      </c>
      <c r="Y25" s="127" t="s">
        <v>81</v>
      </c>
      <c r="AC25" s="133" t="s">
        <v>615</v>
      </c>
    </row>
    <row r="26" spans="1:29" ht="15.75">
      <c r="A26" s="126" t="s">
        <v>167</v>
      </c>
      <c r="B26" s="127" t="s">
        <v>168</v>
      </c>
      <c r="C26" s="127" t="s">
        <v>169</v>
      </c>
      <c r="D26" s="127" t="s">
        <v>86</v>
      </c>
      <c r="E26" s="127" t="s">
        <v>170</v>
      </c>
      <c r="F26" s="127">
        <v>230</v>
      </c>
      <c r="G26" s="104"/>
      <c r="H26" s="104"/>
      <c r="I26" s="104"/>
      <c r="J26" s="109"/>
      <c r="K26" s="109"/>
      <c r="L26" s="109"/>
      <c r="M26" s="105"/>
      <c r="N26" s="120"/>
      <c r="O26" s="116"/>
      <c r="P26" s="127" t="e">
        <v>#N/A</v>
      </c>
      <c r="Q26" s="127" t="s">
        <v>171</v>
      </c>
      <c r="T26" s="127" t="s">
        <v>143</v>
      </c>
      <c r="U26" s="127" t="s">
        <v>144</v>
      </c>
      <c r="V26" s="127" t="s">
        <v>159</v>
      </c>
      <c r="W26" s="127" t="s">
        <v>90</v>
      </c>
      <c r="X26" s="127" t="s">
        <v>91</v>
      </c>
      <c r="AC26" s="133" t="s">
        <v>616</v>
      </c>
    </row>
    <row r="27" spans="1:29" ht="15.75">
      <c r="A27" s="126" t="s">
        <v>172</v>
      </c>
      <c r="B27" s="127" t="s">
        <v>156</v>
      </c>
      <c r="C27" s="127" t="s">
        <v>156</v>
      </c>
      <c r="D27" s="127" t="s">
        <v>71</v>
      </c>
      <c r="E27" s="127" t="s">
        <v>40</v>
      </c>
      <c r="F27" s="127">
        <v>230</v>
      </c>
      <c r="G27" s="104"/>
      <c r="H27" s="104"/>
      <c r="I27" s="104"/>
      <c r="J27" s="109" t="s">
        <v>39</v>
      </c>
      <c r="K27" s="109"/>
      <c r="L27" s="109"/>
      <c r="M27" s="105"/>
      <c r="N27" s="120" t="s">
        <v>39</v>
      </c>
      <c r="O27" s="116"/>
      <c r="P27" s="127" t="s">
        <v>172</v>
      </c>
      <c r="Q27" s="127" t="s">
        <v>166</v>
      </c>
      <c r="S27" s="127" t="s">
        <v>93</v>
      </c>
      <c r="T27" s="127" t="s">
        <v>143</v>
      </c>
      <c r="U27" s="127" t="s">
        <v>144</v>
      </c>
      <c r="V27" s="127" t="s">
        <v>159</v>
      </c>
      <c r="W27" s="127" t="s">
        <v>79</v>
      </c>
      <c r="X27" s="127" t="s">
        <v>94</v>
      </c>
      <c r="Y27" s="127" t="s">
        <v>95</v>
      </c>
      <c r="AA27" s="127" t="s">
        <v>96</v>
      </c>
      <c r="AB27" s="127" t="s">
        <v>97</v>
      </c>
      <c r="AC27" s="133" t="s">
        <v>617</v>
      </c>
    </row>
    <row r="28" spans="1:29" ht="15.75">
      <c r="A28" s="126" t="s">
        <v>173</v>
      </c>
      <c r="B28" s="127" t="s">
        <v>174</v>
      </c>
      <c r="C28" s="127" t="s">
        <v>174</v>
      </c>
      <c r="D28" s="127" t="s">
        <v>71</v>
      </c>
      <c r="E28" s="127" t="s">
        <v>41</v>
      </c>
      <c r="F28" s="127">
        <v>220</v>
      </c>
      <c r="G28" s="104"/>
      <c r="H28" s="104"/>
      <c r="I28" s="104"/>
      <c r="J28" s="109" t="s">
        <v>39</v>
      </c>
      <c r="K28" s="109"/>
      <c r="L28" s="109"/>
      <c r="M28" s="105"/>
      <c r="N28" s="120" t="s">
        <v>39</v>
      </c>
      <c r="O28" s="116"/>
      <c r="P28" s="127" t="s">
        <v>173</v>
      </c>
      <c r="Q28" s="127" t="s">
        <v>175</v>
      </c>
      <c r="S28" s="127" t="s">
        <v>93</v>
      </c>
      <c r="T28" s="127" t="s">
        <v>143</v>
      </c>
      <c r="U28" s="127" t="s">
        <v>144</v>
      </c>
      <c r="V28" s="127" t="s">
        <v>159</v>
      </c>
      <c r="W28" s="127" t="s">
        <v>79</v>
      </c>
      <c r="X28" s="127" t="s">
        <v>102</v>
      </c>
      <c r="Y28" s="127" t="s">
        <v>103</v>
      </c>
      <c r="AA28" s="127" t="s">
        <v>96</v>
      </c>
      <c r="AB28" s="127" t="s">
        <v>97</v>
      </c>
      <c r="AC28" s="133" t="s">
        <v>618</v>
      </c>
    </row>
    <row r="29" spans="1:29" ht="15.75">
      <c r="A29" s="126" t="s">
        <v>176</v>
      </c>
      <c r="B29" s="127" t="s">
        <v>177</v>
      </c>
      <c r="C29" s="127" t="s">
        <v>177</v>
      </c>
      <c r="D29" s="127" t="s">
        <v>71</v>
      </c>
      <c r="E29" s="127" t="s">
        <v>45</v>
      </c>
      <c r="F29" s="127">
        <v>220</v>
      </c>
      <c r="G29" s="104" t="s">
        <v>39</v>
      </c>
      <c r="H29" s="104"/>
      <c r="I29" s="104"/>
      <c r="J29" s="109" t="s">
        <v>39</v>
      </c>
      <c r="K29" s="109"/>
      <c r="L29" s="109"/>
      <c r="M29" s="105"/>
      <c r="N29" s="120" t="s">
        <v>39</v>
      </c>
      <c r="O29" s="116"/>
      <c r="P29" s="127" t="s">
        <v>176</v>
      </c>
      <c r="Q29" s="127" t="s">
        <v>178</v>
      </c>
      <c r="R29" s="127" t="s">
        <v>107</v>
      </c>
      <c r="S29" s="127" t="s">
        <v>93</v>
      </c>
      <c r="T29" s="127" t="s">
        <v>143</v>
      </c>
      <c r="U29" s="127" t="s">
        <v>144</v>
      </c>
      <c r="V29" s="127" t="s">
        <v>159</v>
      </c>
      <c r="W29" s="127" t="s">
        <v>79</v>
      </c>
      <c r="X29" s="127" t="s">
        <v>108</v>
      </c>
      <c r="Y29" s="127" t="s">
        <v>109</v>
      </c>
      <c r="AA29" s="127" t="s">
        <v>96</v>
      </c>
      <c r="AB29" s="127" t="s">
        <v>97</v>
      </c>
      <c r="AC29" s="133" t="s">
        <v>619</v>
      </c>
    </row>
    <row r="30" spans="1:29" ht="15.75">
      <c r="A30" s="126" t="s">
        <v>179</v>
      </c>
      <c r="B30" s="127" t="s">
        <v>174</v>
      </c>
      <c r="C30" s="127" t="s">
        <v>180</v>
      </c>
      <c r="D30" s="127" t="s">
        <v>71</v>
      </c>
      <c r="E30" s="127" t="s">
        <v>47</v>
      </c>
      <c r="F30" s="127">
        <v>120</v>
      </c>
      <c r="G30" s="104"/>
      <c r="H30" s="104"/>
      <c r="I30" s="104"/>
      <c r="J30" s="109" t="s">
        <v>39</v>
      </c>
      <c r="K30" s="109"/>
      <c r="L30" s="109"/>
      <c r="M30" s="105"/>
      <c r="N30" s="120" t="s">
        <v>39</v>
      </c>
      <c r="O30" s="116"/>
      <c r="P30" s="127" t="s">
        <v>179</v>
      </c>
      <c r="Q30" s="127" t="s">
        <v>181</v>
      </c>
      <c r="S30" s="127" t="s">
        <v>93</v>
      </c>
      <c r="T30" s="127" t="s">
        <v>138</v>
      </c>
      <c r="U30" s="127" t="s">
        <v>139</v>
      </c>
      <c r="V30" s="127" t="s">
        <v>159</v>
      </c>
      <c r="W30" s="127" t="s">
        <v>79</v>
      </c>
      <c r="X30" s="127" t="s">
        <v>114</v>
      </c>
      <c r="Y30" s="127" t="s">
        <v>115</v>
      </c>
      <c r="Z30" s="127" t="s">
        <v>82</v>
      </c>
      <c r="AA30" s="127" t="s">
        <v>96</v>
      </c>
      <c r="AB30" s="127" t="s">
        <v>116</v>
      </c>
      <c r="AC30" s="133" t="s">
        <v>620</v>
      </c>
    </row>
    <row r="31" spans="1:29" s="134" customFormat="1" ht="15.75">
      <c r="A31" s="134" t="s">
        <v>182</v>
      </c>
      <c r="B31" s="134" t="s">
        <v>174</v>
      </c>
      <c r="C31" s="134" t="s">
        <v>174</v>
      </c>
      <c r="D31" s="134" t="s">
        <v>71</v>
      </c>
      <c r="E31" s="134" t="s">
        <v>43</v>
      </c>
      <c r="F31" s="134">
        <v>230</v>
      </c>
      <c r="G31" s="104"/>
      <c r="H31" s="104"/>
      <c r="I31" s="104"/>
      <c r="J31" s="109" t="s">
        <v>39</v>
      </c>
      <c r="K31" s="109"/>
      <c r="L31" s="109"/>
      <c r="M31" s="105"/>
      <c r="N31" s="120" t="s">
        <v>39</v>
      </c>
      <c r="O31" s="116"/>
      <c r="P31" s="134" t="s">
        <v>182</v>
      </c>
      <c r="Q31" s="134" t="s">
        <v>166</v>
      </c>
      <c r="S31" s="134" t="s">
        <v>93</v>
      </c>
      <c r="T31" s="134" t="s">
        <v>143</v>
      </c>
      <c r="U31" s="134" t="s">
        <v>144</v>
      </c>
      <c r="V31" s="134" t="s">
        <v>159</v>
      </c>
      <c r="W31" s="134" t="s">
        <v>79</v>
      </c>
      <c r="X31" s="134" t="s">
        <v>94</v>
      </c>
      <c r="Y31" s="134" t="s">
        <v>118</v>
      </c>
      <c r="AA31" s="134" t="s">
        <v>96</v>
      </c>
      <c r="AB31" s="134" t="s">
        <v>97</v>
      </c>
      <c r="AC31" s="135" t="s">
        <v>621</v>
      </c>
    </row>
    <row r="32" spans="1:29" ht="15.75">
      <c r="A32" s="126" t="s">
        <v>183</v>
      </c>
      <c r="B32" s="127" t="s">
        <v>184</v>
      </c>
      <c r="C32" s="127" t="s">
        <v>185</v>
      </c>
      <c r="D32" s="127" t="s">
        <v>71</v>
      </c>
      <c r="E32" s="127" t="s">
        <v>121</v>
      </c>
      <c r="F32" s="127">
        <v>100</v>
      </c>
      <c r="G32" s="104" t="s">
        <v>39</v>
      </c>
      <c r="H32" s="104"/>
      <c r="I32" s="104"/>
      <c r="J32" s="109" t="s">
        <v>39</v>
      </c>
      <c r="K32" s="109"/>
      <c r="L32" s="109"/>
      <c r="M32" s="105"/>
      <c r="N32" s="120" t="s">
        <v>39</v>
      </c>
      <c r="O32" s="116"/>
      <c r="P32" s="127" t="s">
        <v>183</v>
      </c>
      <c r="Q32" s="127" t="s">
        <v>186</v>
      </c>
      <c r="R32" s="127" t="s">
        <v>123</v>
      </c>
      <c r="S32" s="127" t="s">
        <v>124</v>
      </c>
      <c r="T32" s="127" t="s">
        <v>125</v>
      </c>
      <c r="U32" s="127" t="s">
        <v>126</v>
      </c>
      <c r="V32" s="127" t="s">
        <v>159</v>
      </c>
      <c r="W32" s="127" t="s">
        <v>79</v>
      </c>
      <c r="X32" s="127" t="s">
        <v>127</v>
      </c>
      <c r="Y32" s="127" t="s">
        <v>128</v>
      </c>
      <c r="AA32" s="127" t="s">
        <v>96</v>
      </c>
      <c r="AB32" s="127" t="s">
        <v>116</v>
      </c>
      <c r="AC32" s="133" t="s">
        <v>622</v>
      </c>
    </row>
    <row r="33" spans="1:29" ht="15.75">
      <c r="A33" s="126" t="s">
        <v>187</v>
      </c>
      <c r="B33" s="127" t="s">
        <v>188</v>
      </c>
      <c r="C33" s="127" t="s">
        <v>189</v>
      </c>
      <c r="D33" s="127" t="s">
        <v>71</v>
      </c>
      <c r="E33" s="127" t="s">
        <v>121</v>
      </c>
      <c r="F33" s="127">
        <v>100</v>
      </c>
      <c r="G33" s="104" t="s">
        <v>39</v>
      </c>
      <c r="H33" s="104"/>
      <c r="I33" s="104"/>
      <c r="J33" s="109" t="s">
        <v>39</v>
      </c>
      <c r="K33" s="109"/>
      <c r="L33" s="109"/>
      <c r="M33" s="105"/>
      <c r="N33" s="120" t="s">
        <v>39</v>
      </c>
      <c r="O33" s="116" t="s">
        <v>39</v>
      </c>
      <c r="P33" s="127" t="s">
        <v>187</v>
      </c>
      <c r="Q33" s="127" t="s">
        <v>190</v>
      </c>
      <c r="R33" s="127" t="s">
        <v>123</v>
      </c>
      <c r="S33" s="127" t="s">
        <v>124</v>
      </c>
      <c r="T33" s="127" t="s">
        <v>125</v>
      </c>
      <c r="U33" s="127" t="s">
        <v>126</v>
      </c>
      <c r="V33" s="127" t="s">
        <v>159</v>
      </c>
      <c r="W33" s="127" t="s">
        <v>79</v>
      </c>
      <c r="X33" s="127" t="s">
        <v>133</v>
      </c>
      <c r="Y33" s="127" t="s">
        <v>134</v>
      </c>
      <c r="AA33" s="127" t="s">
        <v>96</v>
      </c>
      <c r="AB33" s="127" t="s">
        <v>116</v>
      </c>
      <c r="AC33" s="133" t="s">
        <v>623</v>
      </c>
    </row>
    <row r="34" spans="1:29" ht="15.75">
      <c r="A34" s="126" t="s">
        <v>191</v>
      </c>
      <c r="B34" s="127" t="s">
        <v>184</v>
      </c>
      <c r="C34" s="127" t="s">
        <v>184</v>
      </c>
      <c r="D34" s="127" t="s">
        <v>71</v>
      </c>
      <c r="E34" s="127" t="s">
        <v>72</v>
      </c>
      <c r="F34" s="127">
        <v>120</v>
      </c>
      <c r="G34" s="104"/>
      <c r="H34" s="104"/>
      <c r="I34" s="104"/>
      <c r="J34" s="109" t="s">
        <v>39</v>
      </c>
      <c r="K34" s="109"/>
      <c r="L34" s="109"/>
      <c r="M34" s="105"/>
      <c r="N34" s="120"/>
      <c r="O34" s="116"/>
      <c r="P34" s="127" t="e">
        <v>#N/A</v>
      </c>
      <c r="Q34" s="127" t="s">
        <v>192</v>
      </c>
      <c r="S34" s="127" t="s">
        <v>75</v>
      </c>
      <c r="T34" s="127" t="s">
        <v>138</v>
      </c>
      <c r="U34" s="127" t="s">
        <v>139</v>
      </c>
      <c r="V34" s="127" t="s">
        <v>159</v>
      </c>
      <c r="W34" s="127" t="s">
        <v>79</v>
      </c>
      <c r="X34" s="127" t="s">
        <v>80</v>
      </c>
      <c r="Y34" s="127" t="s">
        <v>81</v>
      </c>
      <c r="AC34" s="133" t="s">
        <v>618</v>
      </c>
    </row>
    <row r="35" spans="1:29" ht="15.75">
      <c r="A35" s="126" t="s">
        <v>193</v>
      </c>
      <c r="B35" s="127" t="s">
        <v>194</v>
      </c>
      <c r="C35" s="127" t="s">
        <v>194</v>
      </c>
      <c r="D35" s="127" t="s">
        <v>86</v>
      </c>
      <c r="E35" s="127" t="s">
        <v>170</v>
      </c>
      <c r="F35" s="127">
        <v>230</v>
      </c>
      <c r="G35" s="104"/>
      <c r="H35" s="104"/>
      <c r="I35" s="104"/>
      <c r="J35" s="109"/>
      <c r="K35" s="109"/>
      <c r="L35" s="109"/>
      <c r="M35" s="105"/>
      <c r="N35" s="120"/>
      <c r="O35" s="116"/>
      <c r="P35" s="127" t="e">
        <v>#N/A</v>
      </c>
      <c r="Q35" s="127" t="s">
        <v>195</v>
      </c>
      <c r="T35" s="127" t="s">
        <v>143</v>
      </c>
      <c r="U35" s="127" t="s">
        <v>89</v>
      </c>
      <c r="V35" s="127" t="s">
        <v>159</v>
      </c>
      <c r="W35" s="127" t="s">
        <v>90</v>
      </c>
      <c r="X35" s="127" t="s">
        <v>91</v>
      </c>
      <c r="AC35" s="133" t="s">
        <v>624</v>
      </c>
    </row>
    <row r="36" spans="1:29" ht="15.75">
      <c r="A36" s="126" t="s">
        <v>196</v>
      </c>
      <c r="B36" s="127" t="s">
        <v>184</v>
      </c>
      <c r="C36" s="127" t="s">
        <v>184</v>
      </c>
      <c r="D36" s="127" t="s">
        <v>71</v>
      </c>
      <c r="E36" s="127" t="s">
        <v>40</v>
      </c>
      <c r="F36" s="127">
        <v>230</v>
      </c>
      <c r="G36" s="104"/>
      <c r="H36" s="104"/>
      <c r="I36" s="104"/>
      <c r="J36" s="109" t="s">
        <v>39</v>
      </c>
      <c r="K36" s="109"/>
      <c r="L36" s="109"/>
      <c r="M36" s="105"/>
      <c r="N36" s="120"/>
      <c r="O36" s="116"/>
      <c r="P36" s="127" t="e">
        <v>#N/A</v>
      </c>
      <c r="Q36" s="127" t="s">
        <v>192</v>
      </c>
      <c r="S36" s="127" t="s">
        <v>93</v>
      </c>
      <c r="T36" s="127" t="s">
        <v>143</v>
      </c>
      <c r="U36" s="127" t="s">
        <v>144</v>
      </c>
      <c r="V36" s="127" t="s">
        <v>159</v>
      </c>
      <c r="W36" s="127" t="s">
        <v>79</v>
      </c>
      <c r="X36" s="127" t="s">
        <v>94</v>
      </c>
      <c r="Y36" s="127" t="s">
        <v>95</v>
      </c>
      <c r="AC36" s="133" t="s">
        <v>625</v>
      </c>
    </row>
    <row r="37" spans="1:29" ht="15.75">
      <c r="A37" s="126" t="s">
        <v>197</v>
      </c>
      <c r="B37" s="127" t="s">
        <v>198</v>
      </c>
      <c r="C37" s="127" t="s">
        <v>199</v>
      </c>
      <c r="D37" s="127" t="s">
        <v>71</v>
      </c>
      <c r="E37" s="127" t="s">
        <v>41</v>
      </c>
      <c r="F37" s="127">
        <v>220</v>
      </c>
      <c r="G37" s="104"/>
      <c r="H37" s="104"/>
      <c r="I37" s="104"/>
      <c r="J37" s="109" t="s">
        <v>39</v>
      </c>
      <c r="K37" s="109"/>
      <c r="L37" s="109"/>
      <c r="M37" s="105"/>
      <c r="N37" s="120"/>
      <c r="O37" s="116"/>
      <c r="P37" s="127" t="e">
        <v>#N/A</v>
      </c>
      <c r="Q37" s="127" t="s">
        <v>200</v>
      </c>
      <c r="S37" s="127" t="s">
        <v>93</v>
      </c>
      <c r="T37" s="127" t="s">
        <v>143</v>
      </c>
      <c r="U37" s="127" t="s">
        <v>144</v>
      </c>
      <c r="V37" s="127" t="s">
        <v>159</v>
      </c>
      <c r="W37" s="127" t="s">
        <v>79</v>
      </c>
      <c r="X37" s="127" t="s">
        <v>102</v>
      </c>
      <c r="Y37" s="127" t="s">
        <v>103</v>
      </c>
      <c r="AC37" s="133" t="s">
        <v>626</v>
      </c>
    </row>
    <row r="38" spans="1:29" ht="15.75">
      <c r="A38" s="126" t="s">
        <v>201</v>
      </c>
      <c r="B38" s="127" t="s">
        <v>202</v>
      </c>
      <c r="C38" s="127" t="s">
        <v>202</v>
      </c>
      <c r="D38" s="127" t="s">
        <v>71</v>
      </c>
      <c r="E38" s="127" t="s">
        <v>45</v>
      </c>
      <c r="F38" s="127">
        <v>220</v>
      </c>
      <c r="G38" s="104" t="s">
        <v>39</v>
      </c>
      <c r="H38" s="104"/>
      <c r="I38" s="104"/>
      <c r="J38" s="109" t="s">
        <v>39</v>
      </c>
      <c r="K38" s="109"/>
      <c r="L38" s="109"/>
      <c r="M38" s="105"/>
      <c r="N38" s="120"/>
      <c r="O38" s="116"/>
      <c r="P38" s="127" t="e">
        <v>#N/A</v>
      </c>
      <c r="Q38" s="127" t="s">
        <v>203</v>
      </c>
      <c r="R38" s="127" t="s">
        <v>107</v>
      </c>
      <c r="S38" s="127" t="s">
        <v>93</v>
      </c>
      <c r="T38" s="127" t="s">
        <v>143</v>
      </c>
      <c r="U38" s="127" t="s">
        <v>89</v>
      </c>
      <c r="V38" s="127" t="s">
        <v>159</v>
      </c>
      <c r="W38" s="127" t="s">
        <v>79</v>
      </c>
      <c r="X38" s="127" t="s">
        <v>108</v>
      </c>
      <c r="Y38" s="127" t="s">
        <v>109</v>
      </c>
      <c r="AC38" s="133" t="s">
        <v>627</v>
      </c>
    </row>
    <row r="39" spans="1:29" s="134" customFormat="1" ht="15.75">
      <c r="A39" s="134" t="s">
        <v>204</v>
      </c>
      <c r="B39" s="134" t="s">
        <v>198</v>
      </c>
      <c r="C39" s="134" t="s">
        <v>199</v>
      </c>
      <c r="D39" s="134" t="s">
        <v>71</v>
      </c>
      <c r="E39" s="134" t="s">
        <v>43</v>
      </c>
      <c r="F39" s="134">
        <v>230</v>
      </c>
      <c r="G39" s="104"/>
      <c r="H39" s="104"/>
      <c r="I39" s="104"/>
      <c r="J39" s="109" t="s">
        <v>39</v>
      </c>
      <c r="K39" s="109"/>
      <c r="L39" s="109"/>
      <c r="M39" s="105"/>
      <c r="N39" s="120"/>
      <c r="O39" s="116"/>
      <c r="P39" s="134" t="e">
        <v>#N/A</v>
      </c>
      <c r="Q39" s="134" t="s">
        <v>192</v>
      </c>
      <c r="S39" s="134" t="s">
        <v>93</v>
      </c>
      <c r="T39" s="134" t="s">
        <v>143</v>
      </c>
      <c r="U39" s="134" t="s">
        <v>144</v>
      </c>
      <c r="V39" s="134" t="s">
        <v>159</v>
      </c>
      <c r="W39" s="134" t="s">
        <v>79</v>
      </c>
      <c r="X39" s="134" t="s">
        <v>94</v>
      </c>
      <c r="Y39" s="134" t="s">
        <v>118</v>
      </c>
      <c r="AC39" s="135" t="s">
        <v>628</v>
      </c>
    </row>
    <row r="40" spans="1:29" ht="15.75">
      <c r="A40" s="126" t="s">
        <v>205</v>
      </c>
      <c r="B40" s="127" t="s">
        <v>206</v>
      </c>
      <c r="C40" s="127" t="s">
        <v>207</v>
      </c>
      <c r="D40" s="127" t="s">
        <v>208</v>
      </c>
      <c r="E40" s="127" t="s">
        <v>121</v>
      </c>
      <c r="F40" s="127">
        <v>100</v>
      </c>
      <c r="G40" s="104"/>
      <c r="H40" s="104"/>
      <c r="I40" s="104"/>
      <c r="J40" s="109"/>
      <c r="K40" s="109"/>
      <c r="L40" s="109"/>
      <c r="M40" s="105"/>
      <c r="N40" s="120" t="s">
        <v>39</v>
      </c>
      <c r="O40" s="116"/>
      <c r="P40" s="127" t="s">
        <v>205</v>
      </c>
      <c r="Q40" s="127" t="s">
        <v>209</v>
      </c>
      <c r="T40" s="127" t="s">
        <v>210</v>
      </c>
      <c r="U40" s="127" t="s">
        <v>211</v>
      </c>
      <c r="V40" s="127" t="s">
        <v>212</v>
      </c>
      <c r="W40" s="127" t="s">
        <v>213</v>
      </c>
      <c r="X40" s="127" t="s">
        <v>214</v>
      </c>
      <c r="AA40" s="127" t="s">
        <v>96</v>
      </c>
      <c r="AB40" s="127" t="s">
        <v>116</v>
      </c>
      <c r="AC40" s="133" t="s">
        <v>629</v>
      </c>
    </row>
    <row r="41" spans="1:29" ht="15.75">
      <c r="A41" s="126" t="s">
        <v>215</v>
      </c>
      <c r="B41" s="127" t="s">
        <v>216</v>
      </c>
      <c r="C41" s="127" t="s">
        <v>217</v>
      </c>
      <c r="D41" s="127" t="s">
        <v>218</v>
      </c>
      <c r="E41" s="127" t="s">
        <v>41</v>
      </c>
      <c r="F41" s="127">
        <v>230</v>
      </c>
      <c r="G41" s="104"/>
      <c r="H41" s="104"/>
      <c r="I41" s="104"/>
      <c r="J41" s="109" t="s">
        <v>39</v>
      </c>
      <c r="K41" s="109"/>
      <c r="L41" s="109"/>
      <c r="M41" s="105"/>
      <c r="N41" s="120"/>
      <c r="O41" s="116"/>
      <c r="P41" s="127" t="e">
        <v>#N/A</v>
      </c>
      <c r="Q41" s="127" t="s">
        <v>200</v>
      </c>
      <c r="S41" s="127" t="s">
        <v>93</v>
      </c>
      <c r="T41" s="127" t="s">
        <v>143</v>
      </c>
      <c r="U41" s="127" t="s">
        <v>144</v>
      </c>
      <c r="V41" s="127" t="s">
        <v>159</v>
      </c>
      <c r="W41" s="127" t="s">
        <v>219</v>
      </c>
      <c r="X41" s="127" t="s">
        <v>220</v>
      </c>
      <c r="AC41" s="133" t="s">
        <v>630</v>
      </c>
    </row>
    <row r="42" spans="1:29" ht="15.75">
      <c r="A42" s="126" t="s">
        <v>221</v>
      </c>
      <c r="B42" s="127" t="s">
        <v>222</v>
      </c>
      <c r="C42" s="127" t="s">
        <v>223</v>
      </c>
      <c r="D42" s="127" t="s">
        <v>218</v>
      </c>
      <c r="E42" s="127" t="s">
        <v>41</v>
      </c>
      <c r="F42" s="127">
        <v>230</v>
      </c>
      <c r="G42" s="104"/>
      <c r="H42" s="104"/>
      <c r="I42" s="104"/>
      <c r="J42" s="109" t="s">
        <v>39</v>
      </c>
      <c r="K42" s="109"/>
      <c r="L42" s="109"/>
      <c r="M42" s="105"/>
      <c r="N42" s="120" t="s">
        <v>39</v>
      </c>
      <c r="O42" s="116"/>
      <c r="P42" s="127" t="s">
        <v>221</v>
      </c>
      <c r="Q42" s="127" t="s">
        <v>175</v>
      </c>
      <c r="S42" s="127" t="s">
        <v>93</v>
      </c>
      <c r="T42" s="127" t="s">
        <v>143</v>
      </c>
      <c r="U42" s="127" t="s">
        <v>144</v>
      </c>
      <c r="V42" s="127" t="s">
        <v>159</v>
      </c>
      <c r="W42" s="127" t="s">
        <v>219</v>
      </c>
      <c r="X42" s="127" t="s">
        <v>220</v>
      </c>
      <c r="AA42" s="127" t="s">
        <v>96</v>
      </c>
      <c r="AB42" s="127" t="s">
        <v>97</v>
      </c>
      <c r="AC42" s="133" t="s">
        <v>631</v>
      </c>
    </row>
    <row r="43" spans="1:29" s="136" customFormat="1" ht="15.75">
      <c r="A43" s="136" t="s">
        <v>224</v>
      </c>
      <c r="C43" s="127" t="s">
        <v>225</v>
      </c>
      <c r="G43" s="104"/>
      <c r="H43" s="104"/>
      <c r="I43" s="104"/>
      <c r="J43" s="109" t="s">
        <v>39</v>
      </c>
      <c r="K43" s="109"/>
      <c r="L43" s="109"/>
      <c r="M43" s="105"/>
      <c r="N43" s="120" t="s">
        <v>39</v>
      </c>
      <c r="O43" s="116"/>
      <c r="P43" s="127" t="s">
        <v>224</v>
      </c>
      <c r="AA43" s="136" t="s">
        <v>96</v>
      </c>
      <c r="AB43" s="136" t="s">
        <v>97</v>
      </c>
      <c r="AC43" s="137" t="s">
        <v>470</v>
      </c>
    </row>
    <row r="44" spans="1:29" ht="15.75">
      <c r="A44" s="126" t="s">
        <v>226</v>
      </c>
      <c r="B44" s="127" t="s">
        <v>227</v>
      </c>
      <c r="C44" s="127" t="s">
        <v>228</v>
      </c>
      <c r="D44" s="127" t="s">
        <v>218</v>
      </c>
      <c r="E44" s="127" t="s">
        <v>41</v>
      </c>
      <c r="F44" s="127">
        <v>230</v>
      </c>
      <c r="G44" s="104"/>
      <c r="H44" s="104"/>
      <c r="I44" s="104"/>
      <c r="J44" s="109" t="s">
        <v>39</v>
      </c>
      <c r="K44" s="109"/>
      <c r="L44" s="109"/>
      <c r="M44" s="105"/>
      <c r="N44" s="120" t="s">
        <v>39</v>
      </c>
      <c r="O44" s="116"/>
      <c r="P44" s="127" t="s">
        <v>226</v>
      </c>
      <c r="Q44" s="127" t="s">
        <v>101</v>
      </c>
      <c r="S44" s="127" t="s">
        <v>93</v>
      </c>
      <c r="T44" s="127" t="s">
        <v>88</v>
      </c>
      <c r="U44" s="127" t="s">
        <v>89</v>
      </c>
      <c r="V44" s="127" t="s">
        <v>78</v>
      </c>
      <c r="W44" s="127" t="s">
        <v>219</v>
      </c>
      <c r="X44" s="127" t="s">
        <v>220</v>
      </c>
      <c r="AA44" s="127" t="s">
        <v>96</v>
      </c>
      <c r="AB44" s="127" t="s">
        <v>97</v>
      </c>
      <c r="AC44" s="133" t="s">
        <v>630</v>
      </c>
    </row>
    <row r="45" spans="1:29" ht="15.75">
      <c r="A45" s="126" t="s">
        <v>229</v>
      </c>
      <c r="B45" s="127" t="s">
        <v>230</v>
      </c>
      <c r="C45" s="127" t="s">
        <v>230</v>
      </c>
      <c r="D45" s="127" t="s">
        <v>218</v>
      </c>
      <c r="E45" s="127" t="s">
        <v>72</v>
      </c>
      <c r="F45" s="127">
        <v>120</v>
      </c>
      <c r="G45" s="104" t="s">
        <v>39</v>
      </c>
      <c r="H45" s="104"/>
      <c r="I45" s="104"/>
      <c r="J45" s="109" t="s">
        <v>39</v>
      </c>
      <c r="K45" s="109"/>
      <c r="L45" s="109"/>
      <c r="M45" s="105"/>
      <c r="N45" s="120"/>
      <c r="O45" s="116"/>
      <c r="P45" s="127" t="e">
        <v>#N/A</v>
      </c>
      <c r="Q45" s="127" t="s">
        <v>73</v>
      </c>
      <c r="R45" s="127" t="s">
        <v>74</v>
      </c>
      <c r="S45" s="127" t="s">
        <v>75</v>
      </c>
      <c r="T45" s="127" t="s">
        <v>231</v>
      </c>
      <c r="U45" s="127" t="s">
        <v>232</v>
      </c>
      <c r="V45" s="127" t="s">
        <v>78</v>
      </c>
      <c r="W45" s="127" t="s">
        <v>219</v>
      </c>
      <c r="X45" s="127" t="s">
        <v>80</v>
      </c>
      <c r="AC45" s="133" t="s">
        <v>632</v>
      </c>
    </row>
    <row r="46" spans="1:29" ht="15.75">
      <c r="A46" s="126" t="s">
        <v>233</v>
      </c>
      <c r="B46" s="127" t="s">
        <v>234</v>
      </c>
      <c r="C46" s="127" t="s">
        <v>235</v>
      </c>
      <c r="D46" s="127" t="s">
        <v>218</v>
      </c>
      <c r="E46" s="127" t="s">
        <v>72</v>
      </c>
      <c r="F46" s="127">
        <v>120</v>
      </c>
      <c r="G46" s="104" t="s">
        <v>39</v>
      </c>
      <c r="H46" s="104"/>
      <c r="I46" s="104"/>
      <c r="J46" s="109" t="s">
        <v>39</v>
      </c>
      <c r="K46" s="109"/>
      <c r="L46" s="109"/>
      <c r="M46" s="105"/>
      <c r="N46" s="120"/>
      <c r="O46" s="116"/>
      <c r="P46" s="127" t="e">
        <v>#N/A</v>
      </c>
      <c r="Q46" s="127" t="s">
        <v>137</v>
      </c>
      <c r="R46" s="127" t="s">
        <v>74</v>
      </c>
      <c r="S46" s="127" t="s">
        <v>75</v>
      </c>
      <c r="T46" s="127" t="s">
        <v>236</v>
      </c>
      <c r="U46" s="127" t="s">
        <v>237</v>
      </c>
      <c r="V46" s="127" t="s">
        <v>78</v>
      </c>
      <c r="W46" s="127" t="s">
        <v>219</v>
      </c>
      <c r="X46" s="127" t="s">
        <v>80</v>
      </c>
      <c r="AC46" s="133" t="s">
        <v>633</v>
      </c>
    </row>
    <row r="47" spans="1:29" ht="15.75">
      <c r="A47" s="126" t="s">
        <v>238</v>
      </c>
      <c r="B47" s="127" t="s">
        <v>239</v>
      </c>
      <c r="C47" s="127" t="s">
        <v>240</v>
      </c>
      <c r="D47" s="127" t="s">
        <v>218</v>
      </c>
      <c r="E47" s="127" t="s">
        <v>72</v>
      </c>
      <c r="F47" s="127">
        <v>120</v>
      </c>
      <c r="G47" s="104" t="s">
        <v>39</v>
      </c>
      <c r="H47" s="104"/>
      <c r="I47" s="104"/>
      <c r="J47" s="109" t="s">
        <v>39</v>
      </c>
      <c r="K47" s="109"/>
      <c r="L47" s="109"/>
      <c r="M47" s="105"/>
      <c r="N47" s="120"/>
      <c r="O47" s="116"/>
      <c r="P47" s="127" t="e">
        <v>#N/A</v>
      </c>
      <c r="Q47" s="127" t="s">
        <v>166</v>
      </c>
      <c r="R47" s="127" t="s">
        <v>74</v>
      </c>
      <c r="S47" s="127" t="s">
        <v>75</v>
      </c>
      <c r="T47" s="127" t="s">
        <v>236</v>
      </c>
      <c r="U47" s="127" t="s">
        <v>237</v>
      </c>
      <c r="V47" s="127" t="s">
        <v>159</v>
      </c>
      <c r="W47" s="127" t="s">
        <v>219</v>
      </c>
      <c r="X47" s="127" t="s">
        <v>80</v>
      </c>
      <c r="AC47" s="133" t="s">
        <v>634</v>
      </c>
    </row>
    <row r="48" spans="1:29" ht="15.75">
      <c r="A48" s="126" t="s">
        <v>241</v>
      </c>
      <c r="B48" s="127" t="s">
        <v>242</v>
      </c>
      <c r="C48" s="127" t="s">
        <v>243</v>
      </c>
      <c r="D48" s="127" t="s">
        <v>218</v>
      </c>
      <c r="E48" s="127" t="s">
        <v>72</v>
      </c>
      <c r="F48" s="127">
        <v>120</v>
      </c>
      <c r="G48" s="104" t="s">
        <v>39</v>
      </c>
      <c r="H48" s="104"/>
      <c r="I48" s="104"/>
      <c r="J48" s="109" t="s">
        <v>39</v>
      </c>
      <c r="K48" s="109"/>
      <c r="L48" s="109"/>
      <c r="M48" s="105"/>
      <c r="N48" s="120"/>
      <c r="O48" s="116"/>
      <c r="P48" s="127" t="e">
        <v>#N/A</v>
      </c>
      <c r="Q48" s="127" t="s">
        <v>192</v>
      </c>
      <c r="R48" s="127" t="s">
        <v>74</v>
      </c>
      <c r="S48" s="127" t="s">
        <v>75</v>
      </c>
      <c r="T48" s="127" t="s">
        <v>236</v>
      </c>
      <c r="U48" s="127" t="s">
        <v>237</v>
      </c>
      <c r="V48" s="127" t="s">
        <v>159</v>
      </c>
      <c r="W48" s="127" t="s">
        <v>219</v>
      </c>
      <c r="X48" s="127" t="s">
        <v>80</v>
      </c>
      <c r="AC48" s="133" t="s">
        <v>635</v>
      </c>
    </row>
    <row r="49" spans="1:29" ht="15.75">
      <c r="A49" s="126" t="s">
        <v>244</v>
      </c>
      <c r="B49" s="127" t="s">
        <v>245</v>
      </c>
      <c r="C49" s="127" t="s">
        <v>246</v>
      </c>
      <c r="D49" s="127" t="s">
        <v>71</v>
      </c>
      <c r="E49" s="127" t="s">
        <v>40</v>
      </c>
      <c r="F49" s="127">
        <v>230</v>
      </c>
      <c r="G49" s="104"/>
      <c r="H49" s="104"/>
      <c r="I49" s="104"/>
      <c r="J49" s="109" t="s">
        <v>39</v>
      </c>
      <c r="K49" s="109"/>
      <c r="L49" s="109"/>
      <c r="M49" s="105"/>
      <c r="N49" s="120" t="s">
        <v>39</v>
      </c>
      <c r="O49" s="116"/>
      <c r="P49" s="127" t="e">
        <v>#N/A</v>
      </c>
      <c r="Q49" s="127" t="s">
        <v>137</v>
      </c>
      <c r="S49" s="127" t="s">
        <v>93</v>
      </c>
      <c r="T49" s="127" t="s">
        <v>143</v>
      </c>
      <c r="U49" s="127" t="s">
        <v>144</v>
      </c>
      <c r="V49" s="127" t="s">
        <v>78</v>
      </c>
      <c r="W49" s="127" t="s">
        <v>79</v>
      </c>
      <c r="X49" s="127" t="s">
        <v>94</v>
      </c>
      <c r="Y49" s="127" t="s">
        <v>95</v>
      </c>
      <c r="AA49" s="127" t="s">
        <v>96</v>
      </c>
      <c r="AB49" s="127" t="s">
        <v>97</v>
      </c>
      <c r="AC49" s="133" t="e">
        <v>#N/A</v>
      </c>
    </row>
    <row r="50" spans="1:29" ht="15.75">
      <c r="A50" s="126" t="s">
        <v>247</v>
      </c>
      <c r="B50" s="127" t="s">
        <v>136</v>
      </c>
      <c r="C50" s="127" t="s">
        <v>248</v>
      </c>
      <c r="D50" s="127" t="s">
        <v>71</v>
      </c>
      <c r="E50" s="127" t="s">
        <v>72</v>
      </c>
      <c r="F50" s="127">
        <v>120</v>
      </c>
      <c r="G50" s="104" t="s">
        <v>39</v>
      </c>
      <c r="H50" s="104"/>
      <c r="I50" s="104"/>
      <c r="J50" s="109" t="s">
        <v>39</v>
      </c>
      <c r="K50" s="109"/>
      <c r="L50" s="109"/>
      <c r="M50" s="105"/>
      <c r="N50" s="120"/>
      <c r="O50" s="116"/>
      <c r="P50" s="127" t="e">
        <v>#N/A</v>
      </c>
      <c r="AC50" s="133" t="s">
        <v>606</v>
      </c>
    </row>
    <row r="51" spans="1:29" ht="15.75">
      <c r="A51" s="126" t="s">
        <v>249</v>
      </c>
      <c r="B51" s="127" t="s">
        <v>157</v>
      </c>
      <c r="C51" s="127" t="s">
        <v>250</v>
      </c>
      <c r="D51" s="127" t="s">
        <v>71</v>
      </c>
      <c r="E51" s="127" t="s">
        <v>72</v>
      </c>
      <c r="F51" s="127">
        <v>120</v>
      </c>
      <c r="G51" s="104"/>
      <c r="H51" s="104"/>
      <c r="I51" s="104"/>
      <c r="J51" s="109" t="s">
        <v>39</v>
      </c>
      <c r="K51" s="109"/>
      <c r="L51" s="109"/>
      <c r="M51" s="105"/>
      <c r="N51" s="120"/>
      <c r="O51" s="116"/>
      <c r="P51" s="127" t="e">
        <v>#N/A</v>
      </c>
      <c r="AC51" s="133" t="s">
        <v>615</v>
      </c>
    </row>
    <row r="52" spans="1:29" s="139" customFormat="1" ht="15.75">
      <c r="A52" s="138" t="s">
        <v>251</v>
      </c>
      <c r="B52" s="139" t="s">
        <v>252</v>
      </c>
      <c r="C52" s="127" t="s">
        <v>253</v>
      </c>
      <c r="D52" s="139" t="s">
        <v>254</v>
      </c>
      <c r="E52" s="10" t="s">
        <v>72</v>
      </c>
      <c r="F52" s="139">
        <v>120</v>
      </c>
      <c r="G52" s="128"/>
      <c r="H52" s="128"/>
      <c r="I52" s="128"/>
      <c r="J52" s="129"/>
      <c r="K52" s="129"/>
      <c r="L52" s="129"/>
      <c r="M52" s="105" t="s">
        <v>39</v>
      </c>
      <c r="N52" s="131"/>
      <c r="O52" s="132"/>
      <c r="P52" s="127" t="e">
        <v>#N/A</v>
      </c>
      <c r="AC52" s="140" t="s">
        <v>636</v>
      </c>
    </row>
    <row r="53" spans="1:29" s="10" customFormat="1" ht="15.75">
      <c r="A53" s="11" t="s">
        <v>255</v>
      </c>
      <c r="B53" s="10" t="s">
        <v>252</v>
      </c>
      <c r="C53" s="127" t="s">
        <v>256</v>
      </c>
      <c r="D53" s="10" t="s">
        <v>254</v>
      </c>
      <c r="E53" s="10" t="s">
        <v>72</v>
      </c>
      <c r="F53" s="10">
        <v>120</v>
      </c>
      <c r="G53" s="108"/>
      <c r="H53" s="108"/>
      <c r="I53" s="108"/>
      <c r="J53" s="111"/>
      <c r="K53" s="111"/>
      <c r="L53" s="111"/>
      <c r="M53" s="107" t="s">
        <v>39</v>
      </c>
      <c r="N53" s="122"/>
      <c r="O53" s="118"/>
      <c r="P53" s="127" t="e">
        <v>#N/A</v>
      </c>
      <c r="Q53" s="10" t="s">
        <v>251</v>
      </c>
      <c r="AC53" s="12" t="e">
        <v>#N/A</v>
      </c>
    </row>
    <row r="54" spans="1:29" s="139" customFormat="1" ht="15.75">
      <c r="A54" s="138" t="s">
        <v>257</v>
      </c>
      <c r="B54" s="139" t="s">
        <v>258</v>
      </c>
      <c r="C54" s="127" t="s">
        <v>259</v>
      </c>
      <c r="D54" s="139" t="s">
        <v>254</v>
      </c>
      <c r="E54" s="139" t="s">
        <v>121</v>
      </c>
      <c r="F54" s="139">
        <v>100</v>
      </c>
      <c r="G54" s="128"/>
      <c r="H54" s="104" t="s">
        <v>39</v>
      </c>
      <c r="I54" s="104"/>
      <c r="J54" s="110"/>
      <c r="K54" s="109" t="s">
        <v>39</v>
      </c>
      <c r="L54" s="109"/>
      <c r="M54" s="105"/>
      <c r="N54" s="120" t="s">
        <v>39</v>
      </c>
      <c r="O54" s="132"/>
      <c r="P54" s="127" t="s">
        <v>257</v>
      </c>
      <c r="AC54" s="140" t="s">
        <v>637</v>
      </c>
    </row>
    <row r="55" spans="1:29" s="139" customFormat="1" ht="15.75">
      <c r="A55" s="138" t="s">
        <v>260</v>
      </c>
      <c r="B55" s="139" t="s">
        <v>261</v>
      </c>
      <c r="C55" s="127" t="s">
        <v>253</v>
      </c>
      <c r="D55" s="139" t="s">
        <v>254</v>
      </c>
      <c r="E55" s="139" t="s">
        <v>46</v>
      </c>
      <c r="F55" s="139">
        <v>230</v>
      </c>
      <c r="G55" s="128"/>
      <c r="H55" s="128"/>
      <c r="I55" s="128"/>
      <c r="J55" s="129"/>
      <c r="K55" s="129"/>
      <c r="L55" s="129"/>
      <c r="M55" s="105" t="s">
        <v>39</v>
      </c>
      <c r="N55" s="131"/>
      <c r="O55" s="132"/>
      <c r="P55" s="127" t="e">
        <v>#N/A</v>
      </c>
      <c r="AC55" s="140" t="s">
        <v>638</v>
      </c>
    </row>
    <row r="56" spans="1:29" s="139" customFormat="1" ht="15.75">
      <c r="A56" s="138" t="s">
        <v>262</v>
      </c>
      <c r="B56" s="139" t="s">
        <v>263</v>
      </c>
      <c r="C56" s="127" t="s">
        <v>264</v>
      </c>
      <c r="D56" s="139" t="s">
        <v>254</v>
      </c>
      <c r="E56" s="139" t="s">
        <v>45</v>
      </c>
      <c r="F56" s="139">
        <v>220</v>
      </c>
      <c r="G56" s="128"/>
      <c r="H56" s="128"/>
      <c r="I56" s="128"/>
      <c r="J56" s="129"/>
      <c r="K56" s="129"/>
      <c r="L56" s="129"/>
      <c r="M56" s="105" t="s">
        <v>39</v>
      </c>
      <c r="N56" s="131"/>
      <c r="O56" s="132"/>
      <c r="P56" s="127" t="e">
        <v>#N/A</v>
      </c>
      <c r="AC56" s="140" t="s">
        <v>639</v>
      </c>
    </row>
    <row r="57" spans="1:29" s="10" customFormat="1" ht="15.75">
      <c r="A57" s="11" t="s">
        <v>265</v>
      </c>
      <c r="B57" s="10" t="s">
        <v>263</v>
      </c>
      <c r="C57" s="127" t="s">
        <v>266</v>
      </c>
      <c r="D57" s="10" t="s">
        <v>254</v>
      </c>
      <c r="E57" s="10" t="s">
        <v>45</v>
      </c>
      <c r="F57" s="10">
        <v>220</v>
      </c>
      <c r="G57" s="108"/>
      <c r="H57" s="108"/>
      <c r="I57" s="108"/>
      <c r="J57" s="111"/>
      <c r="K57" s="111"/>
      <c r="L57" s="111"/>
      <c r="M57" s="107" t="s">
        <v>39</v>
      </c>
      <c r="N57" s="122"/>
      <c r="O57" s="118"/>
      <c r="P57" s="127" t="e">
        <v>#N/A</v>
      </c>
      <c r="Q57" s="10" t="s">
        <v>262</v>
      </c>
      <c r="AC57" s="12" t="e">
        <v>#N/A</v>
      </c>
    </row>
    <row r="58" spans="1:29" s="139" customFormat="1" ht="15.75">
      <c r="A58" s="138" t="s">
        <v>267</v>
      </c>
      <c r="B58" s="139" t="s">
        <v>268</v>
      </c>
      <c r="C58" s="127" t="s">
        <v>259</v>
      </c>
      <c r="D58" s="139" t="s">
        <v>254</v>
      </c>
      <c r="E58" s="139" t="s">
        <v>41</v>
      </c>
      <c r="F58" s="139">
        <v>220</v>
      </c>
      <c r="G58" s="128"/>
      <c r="H58" s="128"/>
      <c r="I58" s="128"/>
      <c r="J58" s="129"/>
      <c r="K58" s="129"/>
      <c r="L58" s="129"/>
      <c r="M58" s="105" t="s">
        <v>39</v>
      </c>
      <c r="N58" s="120" t="s">
        <v>39</v>
      </c>
      <c r="O58" s="132"/>
      <c r="P58" s="127" t="s">
        <v>267</v>
      </c>
      <c r="AC58" s="140" t="s">
        <v>640</v>
      </c>
    </row>
    <row r="59" spans="1:29" s="10" customFormat="1" ht="15.75">
      <c r="A59" s="11" t="s">
        <v>269</v>
      </c>
      <c r="B59" s="10" t="s">
        <v>268</v>
      </c>
      <c r="C59" s="127" t="s">
        <v>270</v>
      </c>
      <c r="D59" s="10" t="s">
        <v>254</v>
      </c>
      <c r="E59" s="10" t="s">
        <v>41</v>
      </c>
      <c r="F59" s="10">
        <v>220</v>
      </c>
      <c r="G59" s="108"/>
      <c r="H59" s="108"/>
      <c r="I59" s="108"/>
      <c r="J59" s="111"/>
      <c r="K59" s="111"/>
      <c r="L59" s="111"/>
      <c r="M59" s="107" t="s">
        <v>39</v>
      </c>
      <c r="N59" s="120" t="s">
        <v>39</v>
      </c>
      <c r="O59" s="118"/>
      <c r="P59" s="127" t="s">
        <v>267</v>
      </c>
      <c r="Q59" s="10" t="s">
        <v>267</v>
      </c>
      <c r="AC59" s="12" t="e">
        <v>#N/A</v>
      </c>
    </row>
    <row r="60" spans="1:29" s="139" customFormat="1" ht="15.75">
      <c r="A60" s="138" t="s">
        <v>271</v>
      </c>
      <c r="B60" s="139" t="s">
        <v>272</v>
      </c>
      <c r="C60" s="127" t="s">
        <v>253</v>
      </c>
      <c r="D60" s="139" t="s">
        <v>254</v>
      </c>
      <c r="E60" s="139" t="s">
        <v>47</v>
      </c>
      <c r="F60" s="139">
        <v>120</v>
      </c>
      <c r="G60" s="128"/>
      <c r="H60" s="128"/>
      <c r="I60" s="128"/>
      <c r="J60" s="129"/>
      <c r="K60" s="129"/>
      <c r="L60" s="129"/>
      <c r="M60" s="105" t="s">
        <v>39</v>
      </c>
      <c r="N60" s="131"/>
      <c r="O60" s="132"/>
      <c r="P60" s="127" t="e">
        <v>#N/A</v>
      </c>
      <c r="AC60" s="140" t="s">
        <v>641</v>
      </c>
    </row>
    <row r="61" spans="1:29" s="10" customFormat="1" ht="15.75">
      <c r="A61" s="11" t="s">
        <v>273</v>
      </c>
      <c r="B61" s="10" t="s">
        <v>272</v>
      </c>
      <c r="C61" s="127" t="s">
        <v>256</v>
      </c>
      <c r="D61" s="10" t="s">
        <v>254</v>
      </c>
      <c r="E61" s="10" t="s">
        <v>47</v>
      </c>
      <c r="F61" s="10">
        <v>120</v>
      </c>
      <c r="G61" s="108"/>
      <c r="H61" s="108"/>
      <c r="I61" s="108"/>
      <c r="J61" s="111"/>
      <c r="K61" s="111"/>
      <c r="L61" s="111"/>
      <c r="M61" s="107" t="s">
        <v>39</v>
      </c>
      <c r="N61" s="122"/>
      <c r="O61" s="118"/>
      <c r="P61" s="127" t="e">
        <v>#N/A</v>
      </c>
      <c r="Q61" s="10" t="s">
        <v>271</v>
      </c>
      <c r="AC61" s="12" t="e">
        <v>#N/A</v>
      </c>
    </row>
    <row r="62" spans="1:29" s="139" customFormat="1" ht="15.75">
      <c r="A62" s="138" t="s">
        <v>274</v>
      </c>
      <c r="B62" s="139" t="s">
        <v>275</v>
      </c>
      <c r="C62" s="127" t="s">
        <v>276</v>
      </c>
      <c r="D62" s="139" t="s">
        <v>254</v>
      </c>
      <c r="E62" s="139" t="s">
        <v>121</v>
      </c>
      <c r="F62" s="139">
        <v>100</v>
      </c>
      <c r="G62" s="128"/>
      <c r="H62" s="104" t="s">
        <v>39</v>
      </c>
      <c r="I62" s="104"/>
      <c r="J62" s="109"/>
      <c r="K62" s="109" t="s">
        <v>39</v>
      </c>
      <c r="L62" s="109"/>
      <c r="M62" s="105"/>
      <c r="N62" s="120" t="s">
        <v>39</v>
      </c>
      <c r="O62" s="116" t="s">
        <v>39</v>
      </c>
      <c r="P62" s="127" t="s">
        <v>274</v>
      </c>
      <c r="AC62" s="140" t="s">
        <v>642</v>
      </c>
    </row>
    <row r="63" spans="1:29" s="10" customFormat="1" ht="15.75">
      <c r="A63" s="11" t="s">
        <v>277</v>
      </c>
      <c r="B63" s="10" t="s">
        <v>275</v>
      </c>
      <c r="C63" s="127" t="s">
        <v>278</v>
      </c>
      <c r="D63" s="10" t="s">
        <v>254</v>
      </c>
      <c r="E63" s="139" t="s">
        <v>121</v>
      </c>
      <c r="F63" s="10">
        <v>100</v>
      </c>
      <c r="G63" s="108"/>
      <c r="H63" s="106" t="s">
        <v>39</v>
      </c>
      <c r="I63" s="106"/>
      <c r="J63" s="110"/>
      <c r="K63" s="110" t="s">
        <v>39</v>
      </c>
      <c r="L63" s="110"/>
      <c r="M63" s="107"/>
      <c r="N63" s="120" t="s">
        <v>39</v>
      </c>
      <c r="O63" s="117" t="s">
        <v>39</v>
      </c>
      <c r="P63" s="127" t="s">
        <v>274</v>
      </c>
      <c r="Q63" s="10" t="s">
        <v>274</v>
      </c>
      <c r="AC63" s="12" t="e">
        <v>#N/A</v>
      </c>
    </row>
    <row r="64" spans="1:29" s="139" customFormat="1" ht="15.75">
      <c r="A64" s="138" t="s">
        <v>279</v>
      </c>
      <c r="B64" s="139" t="s">
        <v>280</v>
      </c>
      <c r="C64" s="127" t="s">
        <v>253</v>
      </c>
      <c r="D64" s="139" t="s">
        <v>254</v>
      </c>
      <c r="E64" s="139" t="s">
        <v>42</v>
      </c>
      <c r="F64" s="139">
        <v>230</v>
      </c>
      <c r="G64" s="128"/>
      <c r="H64" s="128"/>
      <c r="I64" s="128"/>
      <c r="J64" s="109"/>
      <c r="K64" s="129"/>
      <c r="L64" s="129"/>
      <c r="M64" s="105" t="s">
        <v>39</v>
      </c>
      <c r="N64" s="131"/>
      <c r="O64" s="132"/>
      <c r="P64" s="127" t="e">
        <v>#N/A</v>
      </c>
      <c r="AC64" s="140" t="s">
        <v>643</v>
      </c>
    </row>
    <row r="65" spans="1:29" s="10" customFormat="1" ht="15.75">
      <c r="A65" s="11" t="s">
        <v>281</v>
      </c>
      <c r="B65" s="10" t="s">
        <v>280</v>
      </c>
      <c r="C65" s="127" t="s">
        <v>256</v>
      </c>
      <c r="D65" s="10" t="s">
        <v>254</v>
      </c>
      <c r="E65" s="10" t="s">
        <v>42</v>
      </c>
      <c r="F65" s="10">
        <v>230</v>
      </c>
      <c r="G65" s="108"/>
      <c r="H65" s="108"/>
      <c r="I65" s="108"/>
      <c r="J65" s="110"/>
      <c r="K65" s="111"/>
      <c r="L65" s="111"/>
      <c r="M65" s="107" t="s">
        <v>39</v>
      </c>
      <c r="N65" s="122"/>
      <c r="O65" s="118"/>
      <c r="P65" s="127" t="e">
        <v>#N/A</v>
      </c>
      <c r="Q65" s="10" t="s">
        <v>279</v>
      </c>
      <c r="AC65" s="12" t="e">
        <v>#N/A</v>
      </c>
    </row>
    <row r="66" spans="1:29" s="139" customFormat="1" ht="15.75">
      <c r="A66" s="138" t="s">
        <v>282</v>
      </c>
      <c r="B66" s="139" t="s">
        <v>283</v>
      </c>
      <c r="C66" s="127" t="s">
        <v>253</v>
      </c>
      <c r="D66" s="139" t="s">
        <v>254</v>
      </c>
      <c r="E66" s="139" t="s">
        <v>40</v>
      </c>
      <c r="F66" s="139">
        <v>230</v>
      </c>
      <c r="G66" s="128"/>
      <c r="H66" s="128"/>
      <c r="I66" s="128"/>
      <c r="J66" s="129"/>
      <c r="K66" s="129"/>
      <c r="L66" s="129"/>
      <c r="M66" s="105" t="s">
        <v>39</v>
      </c>
      <c r="N66" s="131"/>
      <c r="O66" s="132"/>
      <c r="P66" s="127" t="e">
        <v>#N/A</v>
      </c>
      <c r="AC66" s="140" t="s">
        <v>644</v>
      </c>
    </row>
    <row r="67" spans="1:29" s="139" customFormat="1" ht="15.75">
      <c r="A67" s="138" t="s">
        <v>284</v>
      </c>
      <c r="B67" s="139" t="s">
        <v>285</v>
      </c>
      <c r="C67" s="127" t="s">
        <v>264</v>
      </c>
      <c r="D67" s="139" t="s">
        <v>254</v>
      </c>
      <c r="E67" s="139" t="s">
        <v>43</v>
      </c>
      <c r="F67" s="139">
        <v>230</v>
      </c>
      <c r="G67" s="128"/>
      <c r="H67" s="128"/>
      <c r="I67" s="128"/>
      <c r="J67" s="129"/>
      <c r="K67" s="129"/>
      <c r="L67" s="129"/>
      <c r="M67" s="105" t="s">
        <v>39</v>
      </c>
      <c r="N67" s="131"/>
      <c r="O67" s="132"/>
      <c r="P67" s="127" t="e">
        <v>#N/A</v>
      </c>
      <c r="AC67" s="140" t="s">
        <v>645</v>
      </c>
    </row>
    <row r="68" spans="1:29" s="10" customFormat="1" ht="15.75">
      <c r="A68" s="11" t="s">
        <v>286</v>
      </c>
      <c r="B68" s="10" t="s">
        <v>285</v>
      </c>
      <c r="C68" s="127" t="s">
        <v>266</v>
      </c>
      <c r="D68" s="10" t="s">
        <v>254</v>
      </c>
      <c r="E68" s="10" t="s">
        <v>43</v>
      </c>
      <c r="F68" s="10">
        <v>230</v>
      </c>
      <c r="G68" s="108"/>
      <c r="H68" s="108"/>
      <c r="I68" s="108"/>
      <c r="J68" s="111"/>
      <c r="K68" s="111"/>
      <c r="L68" s="111"/>
      <c r="M68" s="107" t="s">
        <v>39</v>
      </c>
      <c r="N68" s="122"/>
      <c r="O68" s="118"/>
      <c r="P68" s="127" t="e">
        <v>#N/A</v>
      </c>
      <c r="Q68" s="10" t="s">
        <v>284</v>
      </c>
      <c r="AC68" s="12" t="e">
        <v>#N/A</v>
      </c>
    </row>
    <row r="69" spans="1:29" s="139" customFormat="1" ht="15.75">
      <c r="A69" s="138" t="s">
        <v>287</v>
      </c>
      <c r="B69" s="139" t="s">
        <v>288</v>
      </c>
      <c r="C69" s="127" t="s">
        <v>289</v>
      </c>
      <c r="D69" s="139" t="s">
        <v>254</v>
      </c>
      <c r="E69" s="139" t="s">
        <v>72</v>
      </c>
      <c r="F69" s="139">
        <v>120</v>
      </c>
      <c r="G69" s="128"/>
      <c r="H69" s="128"/>
      <c r="I69" s="128"/>
      <c r="J69" s="129"/>
      <c r="K69" s="129"/>
      <c r="L69" s="129"/>
      <c r="M69" s="105" t="s">
        <v>39</v>
      </c>
      <c r="N69" s="131"/>
      <c r="O69" s="132"/>
      <c r="P69" s="127" t="e">
        <v>#N/A</v>
      </c>
      <c r="AC69" s="140" t="s">
        <v>646</v>
      </c>
    </row>
    <row r="70" spans="1:29" s="10" customFormat="1" ht="15.75">
      <c r="A70" s="11" t="s">
        <v>290</v>
      </c>
      <c r="B70" s="10" t="s">
        <v>288</v>
      </c>
      <c r="C70" s="127" t="s">
        <v>291</v>
      </c>
      <c r="D70" s="10" t="s">
        <v>254</v>
      </c>
      <c r="E70" s="139" t="s">
        <v>72</v>
      </c>
      <c r="F70" s="10">
        <v>120</v>
      </c>
      <c r="G70" s="108"/>
      <c r="H70" s="108"/>
      <c r="I70" s="108"/>
      <c r="J70" s="111"/>
      <c r="K70" s="111"/>
      <c r="L70" s="111"/>
      <c r="M70" s="107" t="s">
        <v>39</v>
      </c>
      <c r="N70" s="122"/>
      <c r="O70" s="118"/>
      <c r="P70" s="127" t="e">
        <v>#N/A</v>
      </c>
      <c r="Q70" s="10" t="s">
        <v>287</v>
      </c>
      <c r="AC70" s="12" t="e">
        <v>#N/A</v>
      </c>
    </row>
    <row r="71" spans="1:29" s="139" customFormat="1" ht="15.75">
      <c r="A71" s="138" t="s">
        <v>292</v>
      </c>
      <c r="B71" s="139" t="s">
        <v>293</v>
      </c>
      <c r="C71" s="127" t="s">
        <v>289</v>
      </c>
      <c r="D71" s="139" t="s">
        <v>254</v>
      </c>
      <c r="E71" s="139" t="s">
        <v>42</v>
      </c>
      <c r="F71" s="139">
        <v>230</v>
      </c>
      <c r="G71" s="128"/>
      <c r="H71" s="128"/>
      <c r="I71" s="128"/>
      <c r="J71" s="129"/>
      <c r="K71" s="129"/>
      <c r="L71" s="129"/>
      <c r="M71" s="105" t="s">
        <v>39</v>
      </c>
      <c r="N71" s="131"/>
      <c r="O71" s="132"/>
      <c r="P71" s="127" t="e">
        <v>#N/A</v>
      </c>
      <c r="AC71" s="140" t="s">
        <v>647</v>
      </c>
    </row>
    <row r="72" spans="1:29" s="10" customFormat="1" ht="15.75">
      <c r="A72" s="11" t="s">
        <v>294</v>
      </c>
      <c r="B72" s="10" t="s">
        <v>293</v>
      </c>
      <c r="C72" s="127" t="s">
        <v>295</v>
      </c>
      <c r="D72" s="10" t="s">
        <v>254</v>
      </c>
      <c r="E72" s="10" t="s">
        <v>42</v>
      </c>
      <c r="F72" s="10">
        <v>230</v>
      </c>
      <c r="G72" s="108"/>
      <c r="H72" s="108"/>
      <c r="I72" s="108"/>
      <c r="J72" s="111"/>
      <c r="K72" s="111"/>
      <c r="L72" s="111"/>
      <c r="M72" s="107" t="s">
        <v>39</v>
      </c>
      <c r="N72" s="122"/>
      <c r="O72" s="118"/>
      <c r="P72" s="127" t="e">
        <v>#N/A</v>
      </c>
      <c r="Q72" s="10" t="s">
        <v>292</v>
      </c>
      <c r="AC72" s="12" t="e">
        <v>#N/A</v>
      </c>
    </row>
    <row r="73" spans="1:29" s="139" customFormat="1" ht="15.75">
      <c r="A73" s="138" t="s">
        <v>296</v>
      </c>
      <c r="B73" s="139" t="s">
        <v>297</v>
      </c>
      <c r="C73" s="127" t="s">
        <v>298</v>
      </c>
      <c r="D73" s="139" t="s">
        <v>254</v>
      </c>
      <c r="E73" s="139" t="s">
        <v>121</v>
      </c>
      <c r="F73" s="139">
        <v>100</v>
      </c>
      <c r="G73" s="128"/>
      <c r="H73" s="104"/>
      <c r="I73" s="104" t="s">
        <v>39</v>
      </c>
      <c r="J73" s="110"/>
      <c r="K73" s="109"/>
      <c r="L73" s="109" t="s">
        <v>39</v>
      </c>
      <c r="M73" s="105"/>
      <c r="N73" s="120" t="s">
        <v>39</v>
      </c>
      <c r="O73" s="132"/>
      <c r="P73" s="127" t="s">
        <v>296</v>
      </c>
      <c r="AC73" s="140" t="s">
        <v>648</v>
      </c>
    </row>
    <row r="74" spans="1:29" s="139" customFormat="1" ht="15.75">
      <c r="A74" s="138" t="s">
        <v>299</v>
      </c>
      <c r="B74" s="139" t="s">
        <v>300</v>
      </c>
      <c r="C74" s="127" t="s">
        <v>289</v>
      </c>
      <c r="D74" s="139" t="s">
        <v>254</v>
      </c>
      <c r="E74" s="139" t="s">
        <v>46</v>
      </c>
      <c r="F74" s="139">
        <v>230</v>
      </c>
      <c r="G74" s="128"/>
      <c r="H74" s="128"/>
      <c r="I74" s="128"/>
      <c r="J74" s="129"/>
      <c r="K74" s="129"/>
      <c r="L74" s="129"/>
      <c r="M74" s="105" t="s">
        <v>39</v>
      </c>
      <c r="N74" s="131"/>
      <c r="O74" s="132"/>
      <c r="P74" s="127" t="e">
        <v>#N/A</v>
      </c>
      <c r="AC74" s="140" t="s">
        <v>649</v>
      </c>
    </row>
    <row r="75" spans="1:29" s="139" customFormat="1" ht="15.75">
      <c r="A75" s="138" t="s">
        <v>301</v>
      </c>
      <c r="B75" s="139" t="s">
        <v>302</v>
      </c>
      <c r="C75" s="127" t="s">
        <v>303</v>
      </c>
      <c r="D75" s="139" t="s">
        <v>254</v>
      </c>
      <c r="E75" s="139" t="s">
        <v>41</v>
      </c>
      <c r="F75" s="139">
        <v>220</v>
      </c>
      <c r="G75" s="128"/>
      <c r="H75" s="128"/>
      <c r="I75" s="128"/>
      <c r="J75" s="129"/>
      <c r="K75" s="129"/>
      <c r="L75" s="129"/>
      <c r="M75" s="105" t="s">
        <v>39</v>
      </c>
      <c r="N75" s="120" t="s">
        <v>39</v>
      </c>
      <c r="O75" s="132"/>
      <c r="P75" s="127" t="s">
        <v>301</v>
      </c>
      <c r="AC75" s="140" t="s">
        <v>650</v>
      </c>
    </row>
    <row r="76" spans="1:29" s="139" customFormat="1" ht="15.75">
      <c r="A76" s="138" t="s">
        <v>304</v>
      </c>
      <c r="B76" s="139" t="s">
        <v>305</v>
      </c>
      <c r="C76" s="127" t="s">
        <v>289</v>
      </c>
      <c r="D76" s="139" t="s">
        <v>254</v>
      </c>
      <c r="E76" s="139" t="s">
        <v>47</v>
      </c>
      <c r="F76" s="139">
        <v>120</v>
      </c>
      <c r="G76" s="128"/>
      <c r="H76" s="128"/>
      <c r="I76" s="128"/>
      <c r="J76" s="129"/>
      <c r="K76" s="129"/>
      <c r="L76" s="129"/>
      <c r="M76" s="105" t="s">
        <v>39</v>
      </c>
      <c r="N76" s="120" t="s">
        <v>39</v>
      </c>
      <c r="O76" s="132"/>
      <c r="P76" s="127" t="s">
        <v>304</v>
      </c>
      <c r="AC76" s="140" t="s">
        <v>651</v>
      </c>
    </row>
    <row r="77" spans="1:29" s="139" customFormat="1" ht="15.75">
      <c r="A77" s="138" t="s">
        <v>306</v>
      </c>
      <c r="B77" s="139" t="s">
        <v>307</v>
      </c>
      <c r="C77" s="127" t="s">
        <v>303</v>
      </c>
      <c r="D77" s="139" t="s">
        <v>254</v>
      </c>
      <c r="E77" s="139" t="s">
        <v>45</v>
      </c>
      <c r="F77" s="139">
        <v>220</v>
      </c>
      <c r="G77" s="128"/>
      <c r="H77" s="128"/>
      <c r="I77" s="128"/>
      <c r="J77" s="129"/>
      <c r="K77" s="129"/>
      <c r="L77" s="129"/>
      <c r="M77" s="105" t="s">
        <v>39</v>
      </c>
      <c r="N77" s="120" t="s">
        <v>39</v>
      </c>
      <c r="O77" s="132"/>
      <c r="P77" s="127" t="s">
        <v>306</v>
      </c>
      <c r="AC77" s="140" t="s">
        <v>652</v>
      </c>
    </row>
    <row r="78" spans="1:29" s="10" customFormat="1" ht="15.75">
      <c r="A78" s="11" t="s">
        <v>308</v>
      </c>
      <c r="B78" s="10" t="s">
        <v>307</v>
      </c>
      <c r="C78" s="127" t="s">
        <v>309</v>
      </c>
      <c r="D78" s="10" t="s">
        <v>254</v>
      </c>
      <c r="E78" s="10" t="s">
        <v>45</v>
      </c>
      <c r="F78" s="10">
        <v>220</v>
      </c>
      <c r="G78" s="108"/>
      <c r="H78" s="108"/>
      <c r="I78" s="108"/>
      <c r="J78" s="111"/>
      <c r="K78" s="111"/>
      <c r="L78" s="111"/>
      <c r="M78" s="107" t="s">
        <v>39</v>
      </c>
      <c r="N78" s="120" t="s">
        <v>39</v>
      </c>
      <c r="O78" s="118"/>
      <c r="P78" s="127" t="s">
        <v>306</v>
      </c>
      <c r="Q78" s="10" t="s">
        <v>306</v>
      </c>
      <c r="AC78" s="12" t="e">
        <v>#N/A</v>
      </c>
    </row>
    <row r="79" spans="1:29" s="139" customFormat="1" ht="15.75">
      <c r="A79" s="138" t="s">
        <v>310</v>
      </c>
      <c r="B79" s="139" t="s">
        <v>311</v>
      </c>
      <c r="C79" s="127" t="s">
        <v>312</v>
      </c>
      <c r="D79" s="139" t="s">
        <v>254</v>
      </c>
      <c r="E79" s="139" t="s">
        <v>121</v>
      </c>
      <c r="F79" s="139">
        <v>100</v>
      </c>
      <c r="G79" s="128"/>
      <c r="H79" s="104"/>
      <c r="I79" s="104" t="s">
        <v>39</v>
      </c>
      <c r="J79" s="110"/>
      <c r="K79" s="109"/>
      <c r="L79" s="109" t="s">
        <v>39</v>
      </c>
      <c r="M79" s="105"/>
      <c r="N79" s="120" t="s">
        <v>39</v>
      </c>
      <c r="O79" s="116" t="s">
        <v>39</v>
      </c>
      <c r="P79" s="127" t="s">
        <v>310</v>
      </c>
      <c r="AC79" s="140" t="s">
        <v>653</v>
      </c>
    </row>
    <row r="80" spans="1:29" s="10" customFormat="1" ht="15.75">
      <c r="A80" s="11" t="s">
        <v>313</v>
      </c>
      <c r="B80" s="10" t="s">
        <v>314</v>
      </c>
      <c r="C80" s="127" t="s">
        <v>315</v>
      </c>
      <c r="D80" s="10" t="s">
        <v>254</v>
      </c>
      <c r="E80" s="10" t="s">
        <v>121</v>
      </c>
      <c r="F80" s="10">
        <v>100</v>
      </c>
      <c r="G80" s="108"/>
      <c r="H80" s="104"/>
      <c r="I80" s="104" t="s">
        <v>39</v>
      </c>
      <c r="J80" s="110"/>
      <c r="K80" s="109"/>
      <c r="L80" s="109" t="s">
        <v>39</v>
      </c>
      <c r="M80" s="105"/>
      <c r="N80" s="120" t="s">
        <v>39</v>
      </c>
      <c r="O80" s="116" t="s">
        <v>39</v>
      </c>
      <c r="P80" s="127" t="s">
        <v>310</v>
      </c>
      <c r="Q80" s="10" t="s">
        <v>310</v>
      </c>
      <c r="AC80" s="12" t="e">
        <v>#N/A</v>
      </c>
    </row>
    <row r="81" spans="1:29" s="139" customFormat="1" ht="15.75">
      <c r="A81" s="138" t="s">
        <v>316</v>
      </c>
      <c r="B81" s="139" t="s">
        <v>317</v>
      </c>
      <c r="C81" s="127" t="s">
        <v>289</v>
      </c>
      <c r="D81" s="139" t="s">
        <v>254</v>
      </c>
      <c r="E81" s="139" t="s">
        <v>40</v>
      </c>
      <c r="F81" s="139">
        <v>230</v>
      </c>
      <c r="G81" s="128"/>
      <c r="H81" s="128"/>
      <c r="I81" s="128"/>
      <c r="J81" s="129"/>
      <c r="K81" s="129"/>
      <c r="L81" s="129"/>
      <c r="M81" s="105" t="s">
        <v>39</v>
      </c>
      <c r="N81" s="120" t="s">
        <v>39</v>
      </c>
      <c r="O81" s="132"/>
      <c r="P81" s="127" t="s">
        <v>316</v>
      </c>
      <c r="AC81" s="140" t="s">
        <v>654</v>
      </c>
    </row>
    <row r="82" spans="1:29" s="139" customFormat="1" ht="15.75">
      <c r="A82" s="138" t="s">
        <v>318</v>
      </c>
      <c r="B82" s="139" t="s">
        <v>319</v>
      </c>
      <c r="C82" s="127" t="s">
        <v>303</v>
      </c>
      <c r="D82" s="139" t="s">
        <v>254</v>
      </c>
      <c r="E82" s="139" t="s">
        <v>43</v>
      </c>
      <c r="F82" s="139">
        <v>230</v>
      </c>
      <c r="G82" s="128"/>
      <c r="H82" s="128"/>
      <c r="I82" s="128"/>
      <c r="J82" s="129"/>
      <c r="K82" s="129"/>
      <c r="L82" s="129"/>
      <c r="M82" s="105" t="s">
        <v>39</v>
      </c>
      <c r="N82" s="120" t="s">
        <v>39</v>
      </c>
      <c r="O82" s="132"/>
      <c r="P82" s="127" t="s">
        <v>318</v>
      </c>
      <c r="AC82" s="140" t="s">
        <v>655</v>
      </c>
    </row>
    <row r="83" spans="1:29" s="139" customFormat="1" ht="15.75">
      <c r="A83" s="138" t="s">
        <v>320</v>
      </c>
      <c r="B83" s="139" t="s">
        <v>321</v>
      </c>
      <c r="C83" s="127" t="s">
        <v>322</v>
      </c>
      <c r="D83" s="139" t="s">
        <v>254</v>
      </c>
      <c r="E83" s="139" t="s">
        <v>72</v>
      </c>
      <c r="F83" s="139">
        <v>120</v>
      </c>
      <c r="G83" s="128"/>
      <c r="H83" s="104"/>
      <c r="I83" s="104" t="s">
        <v>39</v>
      </c>
      <c r="J83" s="109"/>
      <c r="K83" s="109"/>
      <c r="L83" s="109" t="s">
        <v>39</v>
      </c>
      <c r="M83" s="105"/>
      <c r="N83" s="131"/>
      <c r="O83" s="132"/>
      <c r="P83" s="127" t="e">
        <v>#N/A</v>
      </c>
      <c r="AC83" s="140" t="s">
        <v>656</v>
      </c>
    </row>
    <row r="84" spans="1:29" s="10" customFormat="1" ht="15.75">
      <c r="A84" s="11" t="s">
        <v>323</v>
      </c>
      <c r="B84" s="10" t="s">
        <v>321</v>
      </c>
      <c r="C84" s="127" t="s">
        <v>324</v>
      </c>
      <c r="D84" s="10" t="s">
        <v>254</v>
      </c>
      <c r="E84" s="10" t="s">
        <v>72</v>
      </c>
      <c r="F84" s="10">
        <v>120</v>
      </c>
      <c r="G84" s="108"/>
      <c r="H84" s="106"/>
      <c r="I84" s="106" t="s">
        <v>39</v>
      </c>
      <c r="J84" s="109"/>
      <c r="K84" s="110"/>
      <c r="L84" s="110" t="s">
        <v>39</v>
      </c>
      <c r="M84" s="107"/>
      <c r="N84" s="122"/>
      <c r="O84" s="118"/>
      <c r="P84" s="127" t="e">
        <v>#N/A</v>
      </c>
      <c r="Q84" s="10" t="s">
        <v>320</v>
      </c>
      <c r="AC84" s="12" t="e">
        <v>#N/A</v>
      </c>
    </row>
    <row r="85" spans="1:29" s="139" customFormat="1" ht="15.75">
      <c r="A85" s="138" t="s">
        <v>325</v>
      </c>
      <c r="B85" s="139" t="s">
        <v>326</v>
      </c>
      <c r="C85" s="127" t="s">
        <v>327</v>
      </c>
      <c r="D85" s="139" t="s">
        <v>254</v>
      </c>
      <c r="E85" s="139" t="s">
        <v>42</v>
      </c>
      <c r="F85" s="139">
        <v>230</v>
      </c>
      <c r="G85" s="128"/>
      <c r="H85" s="128"/>
      <c r="I85" s="128"/>
      <c r="J85" s="129"/>
      <c r="K85" s="129"/>
      <c r="L85" s="129"/>
      <c r="M85" s="105" t="s">
        <v>39</v>
      </c>
      <c r="N85" s="131"/>
      <c r="O85" s="132"/>
      <c r="P85" s="127" t="e">
        <v>#N/A</v>
      </c>
      <c r="AC85" s="140" t="s">
        <v>657</v>
      </c>
    </row>
    <row r="86" spans="1:29" s="10" customFormat="1" ht="15.75">
      <c r="A86" s="11" t="s">
        <v>328</v>
      </c>
      <c r="B86" s="10" t="s">
        <v>326</v>
      </c>
      <c r="C86" s="127" t="s">
        <v>324</v>
      </c>
      <c r="D86" s="10" t="s">
        <v>254</v>
      </c>
      <c r="E86" s="10" t="s">
        <v>42</v>
      </c>
      <c r="F86" s="10">
        <v>230</v>
      </c>
      <c r="G86" s="108"/>
      <c r="H86" s="108"/>
      <c r="I86" s="108"/>
      <c r="J86" s="111"/>
      <c r="K86" s="111"/>
      <c r="L86" s="111"/>
      <c r="M86" s="107" t="s">
        <v>39</v>
      </c>
      <c r="N86" s="122"/>
      <c r="O86" s="118"/>
      <c r="P86" s="127" t="e">
        <v>#N/A</v>
      </c>
      <c r="Q86" s="10" t="s">
        <v>325</v>
      </c>
      <c r="AC86" s="12" t="e">
        <v>#N/A</v>
      </c>
    </row>
    <row r="87" spans="1:29" s="139" customFormat="1" ht="15.75">
      <c r="A87" s="138" t="s">
        <v>329</v>
      </c>
      <c r="B87" s="139" t="s">
        <v>330</v>
      </c>
      <c r="C87" s="127" t="s">
        <v>331</v>
      </c>
      <c r="D87" s="139" t="s">
        <v>254</v>
      </c>
      <c r="E87" s="139" t="s">
        <v>121</v>
      </c>
      <c r="F87" s="139">
        <v>100</v>
      </c>
      <c r="G87" s="128"/>
      <c r="H87" s="104"/>
      <c r="I87" s="104" t="s">
        <v>39</v>
      </c>
      <c r="J87" s="110"/>
      <c r="K87" s="109"/>
      <c r="L87" s="109" t="s">
        <v>39</v>
      </c>
      <c r="M87" s="105"/>
      <c r="N87" s="120" t="s">
        <v>39</v>
      </c>
      <c r="O87" s="132"/>
      <c r="P87" s="127" t="s">
        <v>329</v>
      </c>
      <c r="AC87" s="140" t="s">
        <v>658</v>
      </c>
    </row>
    <row r="88" spans="1:29" s="10" customFormat="1" ht="15.75">
      <c r="A88" s="11" t="s">
        <v>332</v>
      </c>
      <c r="B88" s="10" t="s">
        <v>330</v>
      </c>
      <c r="C88" s="127" t="s">
        <v>333</v>
      </c>
      <c r="D88" s="10" t="s">
        <v>254</v>
      </c>
      <c r="E88" s="10" t="s">
        <v>121</v>
      </c>
      <c r="F88" s="10">
        <v>100</v>
      </c>
      <c r="G88" s="108"/>
      <c r="H88" s="106"/>
      <c r="I88" s="106" t="s">
        <v>39</v>
      </c>
      <c r="J88" s="110"/>
      <c r="K88" s="110"/>
      <c r="L88" s="110" t="s">
        <v>39</v>
      </c>
      <c r="M88" s="107"/>
      <c r="N88" s="120" t="s">
        <v>39</v>
      </c>
      <c r="O88" s="118"/>
      <c r="P88" s="127" t="s">
        <v>329</v>
      </c>
      <c r="Q88" s="10" t="s">
        <v>329</v>
      </c>
      <c r="AC88" s="12" t="e">
        <v>#N/A</v>
      </c>
    </row>
    <row r="89" spans="1:29" s="139" customFormat="1" ht="15.75">
      <c r="A89" s="138" t="s">
        <v>334</v>
      </c>
      <c r="B89" s="139" t="s">
        <v>335</v>
      </c>
      <c r="C89" s="127" t="s">
        <v>322</v>
      </c>
      <c r="D89" s="139" t="s">
        <v>254</v>
      </c>
      <c r="E89" s="139" t="s">
        <v>46</v>
      </c>
      <c r="F89" s="139">
        <v>230</v>
      </c>
      <c r="G89" s="128"/>
      <c r="H89" s="128"/>
      <c r="I89" s="104" t="s">
        <v>39</v>
      </c>
      <c r="J89" s="110"/>
      <c r="K89" s="129"/>
      <c r="L89" s="109" t="s">
        <v>39</v>
      </c>
      <c r="M89" s="130"/>
      <c r="N89" s="131"/>
      <c r="O89" s="132"/>
      <c r="P89" s="127" t="e">
        <v>#N/A</v>
      </c>
      <c r="AC89" s="140" t="s">
        <v>659</v>
      </c>
    </row>
    <row r="90" spans="1:29" s="139" customFormat="1" ht="15.75">
      <c r="A90" s="138" t="s">
        <v>336</v>
      </c>
      <c r="B90" s="139" t="s">
        <v>337</v>
      </c>
      <c r="C90" s="127" t="s">
        <v>322</v>
      </c>
      <c r="D90" s="139" t="s">
        <v>254</v>
      </c>
      <c r="E90" s="139" t="s">
        <v>47</v>
      </c>
      <c r="F90" s="139">
        <v>120</v>
      </c>
      <c r="G90" s="128"/>
      <c r="H90" s="128"/>
      <c r="I90" s="128"/>
      <c r="J90" s="129"/>
      <c r="K90" s="129"/>
      <c r="L90" s="129"/>
      <c r="M90" s="107" t="s">
        <v>39</v>
      </c>
      <c r="N90" s="120" t="s">
        <v>39</v>
      </c>
      <c r="O90" s="132"/>
      <c r="P90" s="127" t="s">
        <v>336</v>
      </c>
      <c r="AC90" s="140" t="s">
        <v>660</v>
      </c>
    </row>
    <row r="91" spans="1:29" s="10" customFormat="1" ht="15.75">
      <c r="A91" s="11" t="s">
        <v>338</v>
      </c>
      <c r="B91" s="10" t="s">
        <v>337</v>
      </c>
      <c r="C91" s="127" t="s">
        <v>324</v>
      </c>
      <c r="D91" s="10" t="s">
        <v>254</v>
      </c>
      <c r="E91" s="10" t="s">
        <v>47</v>
      </c>
      <c r="F91" s="10">
        <v>120</v>
      </c>
      <c r="G91" s="108"/>
      <c r="H91" s="108"/>
      <c r="I91" s="108"/>
      <c r="J91" s="111"/>
      <c r="K91" s="111"/>
      <c r="L91" s="111"/>
      <c r="M91" s="107" t="s">
        <v>39</v>
      </c>
      <c r="N91" s="120" t="s">
        <v>39</v>
      </c>
      <c r="O91" s="118"/>
      <c r="P91" s="127" t="s">
        <v>336</v>
      </c>
      <c r="Q91" s="10" t="s">
        <v>336</v>
      </c>
      <c r="AC91" s="12" t="e">
        <v>#N/A</v>
      </c>
    </row>
    <row r="92" spans="1:29" s="139" customFormat="1" ht="15.75">
      <c r="A92" s="138" t="s">
        <v>339</v>
      </c>
      <c r="B92" s="139" t="s">
        <v>340</v>
      </c>
      <c r="C92" s="127" t="s">
        <v>331</v>
      </c>
      <c r="D92" s="139" t="s">
        <v>254</v>
      </c>
      <c r="E92" s="139" t="s">
        <v>45</v>
      </c>
      <c r="F92" s="139">
        <v>220</v>
      </c>
      <c r="G92" s="128"/>
      <c r="H92" s="128"/>
      <c r="I92" s="128"/>
      <c r="J92" s="129"/>
      <c r="K92" s="129"/>
      <c r="L92" s="129"/>
      <c r="M92" s="105" t="s">
        <v>39</v>
      </c>
      <c r="N92" s="120" t="s">
        <v>39</v>
      </c>
      <c r="O92" s="132"/>
      <c r="P92" s="127" t="s">
        <v>339</v>
      </c>
      <c r="AC92" s="140" t="s">
        <v>661</v>
      </c>
    </row>
    <row r="93" spans="1:29" s="10" customFormat="1" ht="15.75">
      <c r="A93" s="11" t="s">
        <v>341</v>
      </c>
      <c r="B93" s="10" t="s">
        <v>340</v>
      </c>
      <c r="C93" s="127" t="s">
        <v>333</v>
      </c>
      <c r="D93" s="10" t="s">
        <v>254</v>
      </c>
      <c r="E93" s="10" t="s">
        <v>45</v>
      </c>
      <c r="F93" s="10">
        <v>220</v>
      </c>
      <c r="G93" s="108"/>
      <c r="H93" s="108"/>
      <c r="I93" s="108"/>
      <c r="J93" s="111"/>
      <c r="K93" s="111"/>
      <c r="L93" s="111"/>
      <c r="M93" s="107" t="s">
        <v>39</v>
      </c>
      <c r="N93" s="120" t="s">
        <v>39</v>
      </c>
      <c r="O93" s="118"/>
      <c r="P93" s="127" t="s">
        <v>339</v>
      </c>
      <c r="Q93" s="10" t="s">
        <v>339</v>
      </c>
      <c r="AC93" s="12" t="e">
        <v>#N/A</v>
      </c>
    </row>
    <row r="94" spans="1:29" s="139" customFormat="1" ht="15.75">
      <c r="A94" s="138" t="s">
        <v>342</v>
      </c>
      <c r="B94" s="139" t="s">
        <v>343</v>
      </c>
      <c r="C94" s="127" t="s">
        <v>331</v>
      </c>
      <c r="D94" s="139" t="s">
        <v>254</v>
      </c>
      <c r="E94" s="139" t="s">
        <v>41</v>
      </c>
      <c r="F94" s="139">
        <v>220</v>
      </c>
      <c r="G94" s="128"/>
      <c r="H94" s="128"/>
      <c r="I94" s="128"/>
      <c r="J94" s="129"/>
      <c r="K94" s="129"/>
      <c r="L94" s="129"/>
      <c r="M94" s="105" t="s">
        <v>39</v>
      </c>
      <c r="N94" s="120" t="s">
        <v>39</v>
      </c>
      <c r="O94" s="132"/>
      <c r="P94" s="127" t="s">
        <v>342</v>
      </c>
      <c r="AC94" s="140" t="s">
        <v>662</v>
      </c>
    </row>
    <row r="95" spans="1:29" s="10" customFormat="1" ht="15.75">
      <c r="A95" s="11" t="s">
        <v>344</v>
      </c>
      <c r="B95" s="10" t="s">
        <v>343</v>
      </c>
      <c r="C95" s="127" t="s">
        <v>333</v>
      </c>
      <c r="D95" s="10" t="s">
        <v>254</v>
      </c>
      <c r="E95" s="10" t="s">
        <v>41</v>
      </c>
      <c r="F95" s="10">
        <v>220</v>
      </c>
      <c r="G95" s="108"/>
      <c r="H95" s="108"/>
      <c r="I95" s="108"/>
      <c r="J95" s="111"/>
      <c r="K95" s="111"/>
      <c r="L95" s="111"/>
      <c r="M95" s="107" t="s">
        <v>39</v>
      </c>
      <c r="N95" s="120" t="s">
        <v>39</v>
      </c>
      <c r="O95" s="118"/>
      <c r="P95" s="127" t="s">
        <v>342</v>
      </c>
      <c r="Q95" s="10" t="s">
        <v>342</v>
      </c>
      <c r="AC95" s="12" t="e">
        <v>#N/A</v>
      </c>
    </row>
    <row r="96" spans="1:29" s="139" customFormat="1" ht="15.75">
      <c r="A96" s="138" t="s">
        <v>345</v>
      </c>
      <c r="B96" s="139" t="s">
        <v>346</v>
      </c>
      <c r="C96" s="127" t="s">
        <v>347</v>
      </c>
      <c r="D96" s="139" t="s">
        <v>254</v>
      </c>
      <c r="E96" s="139" t="s">
        <v>121</v>
      </c>
      <c r="F96" s="139">
        <v>100</v>
      </c>
      <c r="G96" s="128"/>
      <c r="H96" s="104"/>
      <c r="I96" s="104" t="s">
        <v>39</v>
      </c>
      <c r="J96" s="110"/>
      <c r="K96" s="109"/>
      <c r="L96" s="109" t="s">
        <v>39</v>
      </c>
      <c r="M96" s="105"/>
      <c r="N96" s="120" t="s">
        <v>39</v>
      </c>
      <c r="O96" s="116" t="s">
        <v>39</v>
      </c>
      <c r="P96" s="127" t="s">
        <v>345</v>
      </c>
      <c r="AC96" s="140" t="s">
        <v>663</v>
      </c>
    </row>
    <row r="97" spans="1:29" s="10" customFormat="1" ht="15.75">
      <c r="A97" s="11" t="s">
        <v>348</v>
      </c>
      <c r="B97" s="10" t="s">
        <v>346</v>
      </c>
      <c r="C97" s="127" t="s">
        <v>349</v>
      </c>
      <c r="D97" s="10" t="s">
        <v>254</v>
      </c>
      <c r="E97" s="139" t="s">
        <v>121</v>
      </c>
      <c r="F97" s="10">
        <v>100</v>
      </c>
      <c r="G97" s="108"/>
      <c r="H97" s="106"/>
      <c r="I97" s="106" t="s">
        <v>39</v>
      </c>
      <c r="J97" s="110"/>
      <c r="K97" s="110"/>
      <c r="L97" s="110" t="s">
        <v>39</v>
      </c>
      <c r="M97" s="107"/>
      <c r="N97" s="120" t="s">
        <v>39</v>
      </c>
      <c r="O97" s="116" t="s">
        <v>39</v>
      </c>
      <c r="P97" s="127" t="s">
        <v>345</v>
      </c>
      <c r="Q97" s="10" t="s">
        <v>345</v>
      </c>
      <c r="AC97" s="12" t="e">
        <v>#N/A</v>
      </c>
    </row>
    <row r="98" spans="1:29" s="139" customFormat="1" ht="15.75">
      <c r="A98" s="138" t="s">
        <v>350</v>
      </c>
      <c r="B98" s="139" t="s">
        <v>351</v>
      </c>
      <c r="C98" s="127" t="s">
        <v>322</v>
      </c>
      <c r="D98" s="139" t="s">
        <v>254</v>
      </c>
      <c r="E98" s="139" t="s">
        <v>40</v>
      </c>
      <c r="F98" s="139">
        <v>230</v>
      </c>
      <c r="G98" s="128"/>
      <c r="H98" s="128"/>
      <c r="I98" s="128"/>
      <c r="J98" s="129"/>
      <c r="K98" s="129"/>
      <c r="L98" s="129"/>
      <c r="M98" s="105" t="s">
        <v>39</v>
      </c>
      <c r="N98" s="120" t="s">
        <v>39</v>
      </c>
      <c r="O98" s="132"/>
      <c r="P98" s="127" t="s">
        <v>350</v>
      </c>
      <c r="AC98" s="140" t="s">
        <v>664</v>
      </c>
    </row>
    <row r="99" spans="1:29" s="139" customFormat="1" ht="15.75">
      <c r="A99" s="138" t="s">
        <v>352</v>
      </c>
      <c r="B99" s="139" t="s">
        <v>353</v>
      </c>
      <c r="C99" s="127" t="s">
        <v>354</v>
      </c>
      <c r="D99" s="139" t="s">
        <v>254</v>
      </c>
      <c r="E99" s="139" t="s">
        <v>43</v>
      </c>
      <c r="F99" s="139">
        <v>230</v>
      </c>
      <c r="G99" s="128"/>
      <c r="H99" s="128"/>
      <c r="I99" s="128"/>
      <c r="J99" s="129"/>
      <c r="K99" s="129"/>
      <c r="L99" s="129"/>
      <c r="M99" s="105" t="s">
        <v>39</v>
      </c>
      <c r="N99" s="120" t="s">
        <v>39</v>
      </c>
      <c r="O99" s="132"/>
      <c r="P99" s="127" t="s">
        <v>352</v>
      </c>
      <c r="AC99" s="140" t="s">
        <v>665</v>
      </c>
    </row>
    <row r="100" spans="1:29" s="10" customFormat="1" ht="15.75">
      <c r="A100" s="11" t="s">
        <v>355</v>
      </c>
      <c r="B100" s="10" t="s">
        <v>353</v>
      </c>
      <c r="C100" s="127" t="s">
        <v>333</v>
      </c>
      <c r="D100" s="10" t="s">
        <v>254</v>
      </c>
      <c r="E100" s="10" t="s">
        <v>43</v>
      </c>
      <c r="F100" s="10">
        <v>230</v>
      </c>
      <c r="G100" s="108"/>
      <c r="H100" s="108"/>
      <c r="I100" s="108"/>
      <c r="J100" s="111"/>
      <c r="K100" s="111"/>
      <c r="L100" s="111"/>
      <c r="M100" s="107" t="s">
        <v>39</v>
      </c>
      <c r="N100" s="120" t="s">
        <v>39</v>
      </c>
      <c r="O100" s="118"/>
      <c r="P100" s="127" t="s">
        <v>352</v>
      </c>
      <c r="Q100" s="10" t="s">
        <v>352</v>
      </c>
      <c r="AC100" s="12" t="e">
        <v>#N/A</v>
      </c>
    </row>
    <row r="101" spans="1:29" s="139" customFormat="1" ht="15.75">
      <c r="A101" s="138" t="s">
        <v>356</v>
      </c>
      <c r="B101" s="139" t="s">
        <v>357</v>
      </c>
      <c r="C101" s="127" t="s">
        <v>358</v>
      </c>
      <c r="D101" s="139" t="s">
        <v>254</v>
      </c>
      <c r="E101" s="139" t="s">
        <v>72</v>
      </c>
      <c r="F101" s="139">
        <v>120</v>
      </c>
      <c r="G101" s="128"/>
      <c r="H101" s="104"/>
      <c r="I101" s="104" t="s">
        <v>39</v>
      </c>
      <c r="J101" s="110"/>
      <c r="K101" s="109"/>
      <c r="L101" s="109" t="s">
        <v>39</v>
      </c>
      <c r="M101" s="105"/>
      <c r="N101" s="131"/>
      <c r="O101" s="132"/>
      <c r="P101" s="127" t="e">
        <v>#N/A</v>
      </c>
      <c r="AC101" s="140" t="s">
        <v>666</v>
      </c>
    </row>
    <row r="102" spans="1:29" s="139" customFormat="1" ht="15.75">
      <c r="A102" s="11" t="s">
        <v>359</v>
      </c>
      <c r="B102" s="10" t="s">
        <v>357</v>
      </c>
      <c r="C102" s="127" t="s">
        <v>360</v>
      </c>
      <c r="D102" s="10" t="s">
        <v>254</v>
      </c>
      <c r="E102" s="10" t="s">
        <v>72</v>
      </c>
      <c r="F102" s="10">
        <v>120</v>
      </c>
      <c r="G102" s="128"/>
      <c r="H102" s="104"/>
      <c r="I102" s="104" t="s">
        <v>39</v>
      </c>
      <c r="J102" s="110"/>
      <c r="K102" s="109"/>
      <c r="L102" s="109" t="s">
        <v>39</v>
      </c>
      <c r="M102" s="105"/>
      <c r="N102" s="131"/>
      <c r="O102" s="132"/>
      <c r="P102" s="127" t="e">
        <v>#N/A</v>
      </c>
      <c r="Q102" s="139" t="s">
        <v>356</v>
      </c>
      <c r="AC102" s="140" t="e">
        <v>#N/A</v>
      </c>
    </row>
    <row r="103" spans="1:29" s="139" customFormat="1" ht="15.75">
      <c r="A103" s="138" t="s">
        <v>361</v>
      </c>
      <c r="B103" s="139" t="s">
        <v>362</v>
      </c>
      <c r="C103" s="127" t="s">
        <v>358</v>
      </c>
      <c r="D103" s="139" t="s">
        <v>254</v>
      </c>
      <c r="E103" s="139" t="s">
        <v>42</v>
      </c>
      <c r="F103" s="139">
        <v>230</v>
      </c>
      <c r="G103" s="128"/>
      <c r="H103" s="128"/>
      <c r="I103" s="128"/>
      <c r="J103" s="129"/>
      <c r="K103" s="129"/>
      <c r="L103" s="129"/>
      <c r="M103" s="105" t="s">
        <v>39</v>
      </c>
      <c r="N103" s="131"/>
      <c r="O103" s="132"/>
      <c r="P103" s="127" t="e">
        <v>#N/A</v>
      </c>
      <c r="AC103" s="140" t="s">
        <v>667</v>
      </c>
    </row>
    <row r="104" spans="1:29" s="139" customFormat="1" ht="15.75">
      <c r="A104" s="11" t="s">
        <v>363</v>
      </c>
      <c r="B104" s="10" t="s">
        <v>362</v>
      </c>
      <c r="C104" s="127" t="s">
        <v>360</v>
      </c>
      <c r="D104" s="10" t="s">
        <v>254</v>
      </c>
      <c r="E104" s="10" t="s">
        <v>42</v>
      </c>
      <c r="F104" s="10">
        <v>230</v>
      </c>
      <c r="G104" s="128"/>
      <c r="H104" s="128"/>
      <c r="I104" s="128"/>
      <c r="J104" s="129"/>
      <c r="K104" s="129"/>
      <c r="L104" s="129"/>
      <c r="M104" s="107" t="s">
        <v>39</v>
      </c>
      <c r="N104" s="131"/>
      <c r="O104" s="132"/>
      <c r="P104" s="127" t="e">
        <v>#N/A</v>
      </c>
      <c r="Q104" s="139" t="s">
        <v>361</v>
      </c>
      <c r="AC104" s="140" t="e">
        <v>#N/A</v>
      </c>
    </row>
    <row r="105" spans="1:29" s="139" customFormat="1" ht="15.75">
      <c r="A105" s="138" t="s">
        <v>364</v>
      </c>
      <c r="B105" s="139" t="s">
        <v>365</v>
      </c>
      <c r="C105" s="127" t="s">
        <v>358</v>
      </c>
      <c r="D105" s="139" t="s">
        <v>254</v>
      </c>
      <c r="E105" s="139" t="s">
        <v>46</v>
      </c>
      <c r="F105" s="139">
        <v>230</v>
      </c>
      <c r="G105" s="128"/>
      <c r="H105" s="104"/>
      <c r="I105" s="104" t="s">
        <v>39</v>
      </c>
      <c r="J105" s="110"/>
      <c r="K105" s="109"/>
      <c r="L105" s="109" t="s">
        <v>39</v>
      </c>
      <c r="M105" s="105"/>
      <c r="N105" s="131"/>
      <c r="O105" s="132"/>
      <c r="P105" s="127" t="e">
        <v>#N/A</v>
      </c>
      <c r="AC105" s="140" t="s">
        <v>668</v>
      </c>
    </row>
    <row r="106" spans="1:29" s="10" customFormat="1" ht="15.75">
      <c r="A106" s="11" t="s">
        <v>366</v>
      </c>
      <c r="B106" s="10" t="s">
        <v>365</v>
      </c>
      <c r="C106" s="127" t="s">
        <v>360</v>
      </c>
      <c r="D106" s="10" t="s">
        <v>254</v>
      </c>
      <c r="E106" s="10" t="s">
        <v>46</v>
      </c>
      <c r="F106" s="10">
        <v>230</v>
      </c>
      <c r="G106" s="108"/>
      <c r="H106" s="106"/>
      <c r="I106" s="106" t="s">
        <v>39</v>
      </c>
      <c r="J106" s="110"/>
      <c r="K106" s="110"/>
      <c r="L106" s="110" t="s">
        <v>39</v>
      </c>
      <c r="M106" s="107"/>
      <c r="N106" s="122"/>
      <c r="O106" s="118"/>
      <c r="P106" s="127" t="e">
        <v>#N/A</v>
      </c>
      <c r="Q106" s="10" t="s">
        <v>364</v>
      </c>
      <c r="AC106" s="12" t="e">
        <v>#N/A</v>
      </c>
    </row>
    <row r="107" spans="1:29" s="139" customFormat="1" ht="15.75">
      <c r="A107" s="138" t="s">
        <v>367</v>
      </c>
      <c r="B107" s="139" t="s">
        <v>368</v>
      </c>
      <c r="C107" s="127" t="s">
        <v>358</v>
      </c>
      <c r="D107" s="139" t="s">
        <v>254</v>
      </c>
      <c r="E107" s="139" t="s">
        <v>47</v>
      </c>
      <c r="F107" s="139">
        <v>120</v>
      </c>
      <c r="G107" s="128"/>
      <c r="H107" s="128"/>
      <c r="I107" s="128"/>
      <c r="J107" s="129"/>
      <c r="K107" s="129"/>
      <c r="L107" s="129"/>
      <c r="M107" s="105" t="s">
        <v>39</v>
      </c>
      <c r="N107" s="120" t="s">
        <v>39</v>
      </c>
      <c r="O107" s="132"/>
      <c r="P107" s="127" t="s">
        <v>367</v>
      </c>
      <c r="AC107" s="140" t="s">
        <v>669</v>
      </c>
    </row>
    <row r="108" spans="1:29" s="10" customFormat="1" ht="15.75">
      <c r="A108" s="11" t="s">
        <v>369</v>
      </c>
      <c r="B108" s="10" t="s">
        <v>368</v>
      </c>
      <c r="C108" s="127" t="s">
        <v>360</v>
      </c>
      <c r="D108" s="10" t="s">
        <v>254</v>
      </c>
      <c r="E108" s="10" t="s">
        <v>47</v>
      </c>
      <c r="F108" s="10">
        <v>120</v>
      </c>
      <c r="G108" s="108"/>
      <c r="H108" s="108"/>
      <c r="I108" s="108"/>
      <c r="J108" s="111"/>
      <c r="K108" s="111"/>
      <c r="L108" s="111"/>
      <c r="M108" s="107" t="s">
        <v>39</v>
      </c>
      <c r="N108" s="120" t="s">
        <v>39</v>
      </c>
      <c r="O108" s="118"/>
      <c r="P108" s="127" t="e">
        <v>#N/A</v>
      </c>
      <c r="Q108" s="10" t="s">
        <v>367</v>
      </c>
      <c r="AC108" s="12" t="e">
        <v>#N/A</v>
      </c>
    </row>
    <row r="109" spans="1:29" s="139" customFormat="1" ht="15.75">
      <c r="A109" s="138" t="s">
        <v>370</v>
      </c>
      <c r="B109" s="139" t="s">
        <v>371</v>
      </c>
      <c r="C109" s="127" t="s">
        <v>372</v>
      </c>
      <c r="D109" s="139" t="s">
        <v>254</v>
      </c>
      <c r="E109" s="139" t="s">
        <v>45</v>
      </c>
      <c r="F109" s="139">
        <v>220</v>
      </c>
      <c r="G109" s="128"/>
      <c r="H109" s="128"/>
      <c r="I109" s="128"/>
      <c r="J109" s="129"/>
      <c r="K109" s="129"/>
      <c r="L109" s="129"/>
      <c r="M109" s="105" t="s">
        <v>39</v>
      </c>
      <c r="N109" s="120" t="s">
        <v>39</v>
      </c>
      <c r="O109" s="132"/>
      <c r="P109" s="127" t="s">
        <v>370</v>
      </c>
      <c r="AC109" s="140" t="s">
        <v>670</v>
      </c>
    </row>
    <row r="110" spans="1:29" s="10" customFormat="1" ht="15.75">
      <c r="A110" s="11" t="s">
        <v>373</v>
      </c>
      <c r="B110" s="10" t="s">
        <v>371</v>
      </c>
      <c r="C110" s="127" t="s">
        <v>374</v>
      </c>
      <c r="D110" s="10" t="s">
        <v>254</v>
      </c>
      <c r="E110" s="10" t="s">
        <v>45</v>
      </c>
      <c r="F110" s="10">
        <v>220</v>
      </c>
      <c r="G110" s="108"/>
      <c r="H110" s="108"/>
      <c r="I110" s="108"/>
      <c r="J110" s="111"/>
      <c r="K110" s="111"/>
      <c r="L110" s="111"/>
      <c r="M110" s="107" t="s">
        <v>39</v>
      </c>
      <c r="N110" s="120" t="s">
        <v>39</v>
      </c>
      <c r="O110" s="118"/>
      <c r="P110" s="127" t="e">
        <v>#N/A</v>
      </c>
      <c r="Q110" s="10" t="s">
        <v>370</v>
      </c>
      <c r="AC110" s="12" t="e">
        <v>#N/A</v>
      </c>
    </row>
    <row r="111" spans="1:29" s="139" customFormat="1" ht="15.75">
      <c r="A111" s="138" t="s">
        <v>375</v>
      </c>
      <c r="B111" s="139" t="s">
        <v>376</v>
      </c>
      <c r="C111" s="127" t="s">
        <v>372</v>
      </c>
      <c r="D111" s="139" t="s">
        <v>254</v>
      </c>
      <c r="E111" s="139" t="s">
        <v>41</v>
      </c>
      <c r="F111" s="139">
        <v>220</v>
      </c>
      <c r="G111" s="128"/>
      <c r="H111" s="128"/>
      <c r="I111" s="128"/>
      <c r="J111" s="129"/>
      <c r="K111" s="129"/>
      <c r="L111" s="129"/>
      <c r="M111" s="105" t="s">
        <v>39</v>
      </c>
      <c r="N111" s="120" t="s">
        <v>39</v>
      </c>
      <c r="O111" s="132"/>
      <c r="P111" s="127" t="s">
        <v>375</v>
      </c>
      <c r="AC111" s="140" t="s">
        <v>671</v>
      </c>
    </row>
    <row r="112" spans="1:29" s="10" customFormat="1" ht="15.75">
      <c r="A112" s="11" t="s">
        <v>377</v>
      </c>
      <c r="B112" s="10" t="s">
        <v>376</v>
      </c>
      <c r="C112" s="127" t="s">
        <v>378</v>
      </c>
      <c r="D112" s="10" t="s">
        <v>254</v>
      </c>
      <c r="E112" s="10" t="s">
        <v>41</v>
      </c>
      <c r="F112" s="10">
        <v>220</v>
      </c>
      <c r="G112" s="108"/>
      <c r="H112" s="108"/>
      <c r="I112" s="108"/>
      <c r="J112" s="111"/>
      <c r="K112" s="111"/>
      <c r="L112" s="111"/>
      <c r="M112" s="107" t="s">
        <v>39</v>
      </c>
      <c r="N112" s="120" t="s">
        <v>39</v>
      </c>
      <c r="O112" s="118"/>
      <c r="P112" s="127" t="e">
        <v>#N/A</v>
      </c>
      <c r="Q112" s="10" t="s">
        <v>375</v>
      </c>
      <c r="AC112" s="12" t="e">
        <v>#N/A</v>
      </c>
    </row>
    <row r="113" spans="1:16384" s="139" customFormat="1" ht="15.75">
      <c r="A113" s="138" t="s">
        <v>379</v>
      </c>
      <c r="B113" s="139" t="s">
        <v>380</v>
      </c>
      <c r="C113" s="127" t="s">
        <v>381</v>
      </c>
      <c r="D113" s="139" t="s">
        <v>254</v>
      </c>
      <c r="E113" s="139" t="s">
        <v>40</v>
      </c>
      <c r="F113" s="139">
        <v>230</v>
      </c>
      <c r="G113" s="128"/>
      <c r="H113" s="128"/>
      <c r="I113" s="128"/>
      <c r="J113" s="129"/>
      <c r="K113" s="129"/>
      <c r="L113" s="129"/>
      <c r="M113" s="105" t="s">
        <v>39</v>
      </c>
      <c r="N113" s="120" t="s">
        <v>39</v>
      </c>
      <c r="O113" s="132"/>
      <c r="P113" s="127" t="s">
        <v>379</v>
      </c>
      <c r="AC113" s="140" t="s">
        <v>672</v>
      </c>
    </row>
    <row r="114" spans="1:16384" s="139" customFormat="1" ht="15.75">
      <c r="A114" s="138" t="s">
        <v>382</v>
      </c>
      <c r="B114" s="139" t="s">
        <v>383</v>
      </c>
      <c r="C114" s="127" t="s">
        <v>384</v>
      </c>
      <c r="D114" s="139" t="s">
        <v>254</v>
      </c>
      <c r="E114" s="139" t="s">
        <v>43</v>
      </c>
      <c r="F114" s="139">
        <v>230</v>
      </c>
      <c r="G114" s="128"/>
      <c r="H114" s="128"/>
      <c r="I114" s="128"/>
      <c r="J114" s="129"/>
      <c r="K114" s="129"/>
      <c r="L114" s="129"/>
      <c r="M114" s="105" t="s">
        <v>39</v>
      </c>
      <c r="N114" s="120" t="s">
        <v>39</v>
      </c>
      <c r="O114" s="132"/>
      <c r="P114" s="127" t="s">
        <v>382</v>
      </c>
      <c r="AC114" s="140" t="s">
        <v>673</v>
      </c>
    </row>
    <row r="115" spans="1:16384" s="10" customFormat="1" ht="15.75">
      <c r="A115" s="11" t="s">
        <v>385</v>
      </c>
      <c r="B115" s="10" t="s">
        <v>383</v>
      </c>
      <c r="C115" s="127" t="s">
        <v>374</v>
      </c>
      <c r="D115" s="10" t="s">
        <v>254</v>
      </c>
      <c r="E115" s="10" t="s">
        <v>43</v>
      </c>
      <c r="F115" s="10">
        <v>230</v>
      </c>
      <c r="G115" s="108"/>
      <c r="H115" s="108"/>
      <c r="I115" s="108"/>
      <c r="J115" s="111"/>
      <c r="K115" s="111"/>
      <c r="L115" s="111"/>
      <c r="M115" s="107" t="s">
        <v>39</v>
      </c>
      <c r="N115" s="120" t="s">
        <v>39</v>
      </c>
      <c r="O115" s="118"/>
      <c r="P115" s="127" t="e">
        <v>#N/A</v>
      </c>
      <c r="Q115" s="10" t="s">
        <v>382</v>
      </c>
      <c r="AC115" s="12" t="e">
        <v>#N/A</v>
      </c>
    </row>
    <row r="116" spans="1:16384" s="126" customFormat="1" ht="15.75">
      <c r="A116" s="141" t="s">
        <v>386</v>
      </c>
      <c r="B116" s="126" t="s">
        <v>387</v>
      </c>
      <c r="C116" s="127" t="s">
        <v>388</v>
      </c>
      <c r="D116" s="126" t="s">
        <v>254</v>
      </c>
      <c r="E116" s="126" t="s">
        <v>72</v>
      </c>
      <c r="F116" s="126">
        <v>120</v>
      </c>
      <c r="G116" s="104" t="s">
        <v>39</v>
      </c>
      <c r="H116" s="104"/>
      <c r="I116" s="104"/>
      <c r="J116" s="110" t="s">
        <v>39</v>
      </c>
      <c r="K116" s="109"/>
      <c r="L116" s="109"/>
      <c r="M116" s="105"/>
      <c r="N116" s="131"/>
      <c r="O116" s="132"/>
      <c r="P116" s="127" t="e">
        <v>#N/A</v>
      </c>
      <c r="AC116" s="142" t="s">
        <v>666</v>
      </c>
    </row>
    <row r="117" spans="1:16384" ht="15.75">
      <c r="A117" s="126" t="s">
        <v>389</v>
      </c>
      <c r="B117" s="126" t="s">
        <v>390</v>
      </c>
      <c r="C117" s="127" t="s">
        <v>391</v>
      </c>
      <c r="D117" s="126" t="s">
        <v>254</v>
      </c>
      <c r="E117" s="126" t="s">
        <v>40</v>
      </c>
      <c r="F117" s="126">
        <v>230</v>
      </c>
      <c r="G117" s="128"/>
      <c r="H117" s="128"/>
      <c r="I117" s="128"/>
      <c r="J117" s="129"/>
      <c r="K117" s="129"/>
      <c r="L117" s="129"/>
      <c r="M117" s="105" t="s">
        <v>39</v>
      </c>
      <c r="N117" s="131"/>
      <c r="O117" s="132"/>
      <c r="P117" s="127" t="e">
        <v>#N/A</v>
      </c>
      <c r="AC117" s="133" t="s">
        <v>644</v>
      </c>
    </row>
    <row r="118" spans="1:16384" ht="15.75">
      <c r="A118" s="126" t="s">
        <v>392</v>
      </c>
      <c r="B118" s="127" t="s">
        <v>393</v>
      </c>
      <c r="C118" s="127" t="s">
        <v>394</v>
      </c>
      <c r="D118" s="127" t="s">
        <v>254</v>
      </c>
      <c r="E118" s="127" t="s">
        <v>121</v>
      </c>
      <c r="F118" s="127">
        <v>100</v>
      </c>
      <c r="G118" s="104"/>
      <c r="H118" s="104"/>
      <c r="I118" s="104" t="s">
        <v>39</v>
      </c>
      <c r="J118" s="109"/>
      <c r="K118" s="109"/>
      <c r="L118" s="109" t="s">
        <v>39</v>
      </c>
      <c r="M118" s="105"/>
      <c r="N118" s="120"/>
      <c r="O118" s="116" t="s">
        <v>39</v>
      </c>
      <c r="P118" s="127" t="e">
        <v>#N/A</v>
      </c>
      <c r="AC118" s="133" t="s">
        <v>653</v>
      </c>
    </row>
    <row r="119" spans="1:16384" ht="15.75">
      <c r="A119" s="126" t="s">
        <v>395</v>
      </c>
      <c r="C119" s="127" t="s">
        <v>396</v>
      </c>
      <c r="D119" s="127" t="s">
        <v>218</v>
      </c>
      <c r="E119" s="127" t="s">
        <v>72</v>
      </c>
      <c r="F119" s="127">
        <v>120</v>
      </c>
      <c r="G119" s="128"/>
      <c r="H119" s="128"/>
      <c r="I119" s="104" t="s">
        <v>39</v>
      </c>
      <c r="J119" s="129"/>
      <c r="K119" s="129"/>
      <c r="L119" s="109" t="s">
        <v>39</v>
      </c>
      <c r="M119" s="105"/>
      <c r="N119" s="131"/>
      <c r="O119" s="132"/>
      <c r="AC119" s="133" t="s">
        <v>674</v>
      </c>
    </row>
    <row r="120" spans="1:16384" ht="15.75">
      <c r="A120" s="126" t="s">
        <v>397</v>
      </c>
      <c r="C120" s="127" t="s">
        <v>398</v>
      </c>
      <c r="D120" s="127" t="s">
        <v>218</v>
      </c>
      <c r="E120" s="127" t="s">
        <v>72</v>
      </c>
      <c r="F120" s="127">
        <v>120</v>
      </c>
      <c r="G120" s="128"/>
      <c r="H120" s="128"/>
      <c r="I120" s="104" t="s">
        <v>39</v>
      </c>
      <c r="J120" s="129"/>
      <c r="K120" s="129"/>
      <c r="L120" s="109" t="s">
        <v>39</v>
      </c>
      <c r="M120" s="105"/>
      <c r="N120" s="131"/>
      <c r="O120" s="132"/>
      <c r="AC120" s="133" t="s">
        <v>675</v>
      </c>
    </row>
    <row r="121" spans="1:16384" ht="15.75">
      <c r="A121" s="126" t="s">
        <v>399</v>
      </c>
      <c r="C121" s="127" t="s">
        <v>400</v>
      </c>
      <c r="D121" s="127" t="s">
        <v>218</v>
      </c>
      <c r="E121" s="127" t="s">
        <v>72</v>
      </c>
      <c r="F121" s="127">
        <v>120</v>
      </c>
      <c r="G121" s="128"/>
      <c r="H121" s="128"/>
      <c r="I121" s="128"/>
      <c r="J121" s="129"/>
      <c r="K121" s="129"/>
      <c r="L121" s="129"/>
      <c r="M121" s="105" t="s">
        <v>39</v>
      </c>
      <c r="N121" s="131"/>
      <c r="O121" s="132"/>
      <c r="AC121" s="133" t="s">
        <v>676</v>
      </c>
    </row>
    <row r="122" spans="1:16384" ht="15.75">
      <c r="A122" s="126" t="s">
        <v>401</v>
      </c>
      <c r="C122" s="127" t="s">
        <v>402</v>
      </c>
      <c r="D122" s="127" t="s">
        <v>218</v>
      </c>
      <c r="E122" s="127" t="s">
        <v>72</v>
      </c>
      <c r="F122" s="127">
        <v>120</v>
      </c>
      <c r="G122" s="128"/>
      <c r="H122" s="128"/>
      <c r="I122" s="128"/>
      <c r="J122" s="129"/>
      <c r="K122" s="129"/>
      <c r="L122" s="129"/>
      <c r="M122" s="105" t="s">
        <v>39</v>
      </c>
      <c r="N122" s="131"/>
      <c r="O122" s="132"/>
      <c r="AC122" s="133" t="s">
        <v>677</v>
      </c>
    </row>
    <row r="123" spans="1:16384" ht="15.75">
      <c r="A123" s="126" t="s">
        <v>403</v>
      </c>
      <c r="C123" s="127" t="s">
        <v>404</v>
      </c>
      <c r="D123" s="139" t="s">
        <v>254</v>
      </c>
      <c r="E123" s="10" t="s">
        <v>72</v>
      </c>
      <c r="F123" s="139">
        <v>120</v>
      </c>
      <c r="G123" s="128"/>
      <c r="H123" s="128"/>
      <c r="I123" s="128"/>
      <c r="J123" s="129"/>
      <c r="K123" s="129"/>
      <c r="L123" s="129"/>
      <c r="M123" s="105" t="s">
        <v>39</v>
      </c>
      <c r="N123" s="131"/>
      <c r="O123" s="132"/>
      <c r="P123" s="127" t="e">
        <v>#N/A</v>
      </c>
      <c r="Q123" s="139"/>
      <c r="R123" s="139"/>
      <c r="S123" s="139"/>
      <c r="T123" s="139"/>
      <c r="U123" s="139"/>
      <c r="V123" s="139"/>
      <c r="W123" s="139"/>
      <c r="X123" s="139"/>
      <c r="Y123" s="139"/>
      <c r="Z123" s="139"/>
      <c r="AA123" s="139"/>
      <c r="AB123" s="139"/>
      <c r="AC123" s="140" t="s">
        <v>636</v>
      </c>
      <c r="AD123" s="139"/>
      <c r="AE123" s="139"/>
      <c r="AF123" s="139"/>
      <c r="AG123" s="139"/>
      <c r="AH123" s="139"/>
      <c r="AI123" s="139"/>
      <c r="AJ123" s="139"/>
      <c r="AK123" s="139"/>
      <c r="AL123" s="139"/>
      <c r="AM123" s="139"/>
      <c r="AN123" s="139"/>
      <c r="AO123" s="139"/>
      <c r="AP123" s="139"/>
      <c r="AQ123" s="139"/>
      <c r="AR123" s="139"/>
      <c r="AS123" s="139"/>
      <c r="AT123" s="139"/>
      <c r="AU123" s="139"/>
      <c r="AV123" s="139"/>
      <c r="AW123" s="139"/>
      <c r="AX123" s="139"/>
      <c r="AY123" s="139"/>
      <c r="AZ123" s="139"/>
      <c r="BA123" s="139"/>
      <c r="BB123" s="139"/>
      <c r="BC123" s="139"/>
      <c r="BD123" s="139"/>
      <c r="BE123" s="139"/>
      <c r="BF123" s="139"/>
      <c r="BG123" s="139"/>
      <c r="BH123" s="139"/>
      <c r="BI123" s="139"/>
      <c r="BJ123" s="139"/>
      <c r="BK123" s="139"/>
      <c r="BL123" s="139"/>
      <c r="BM123" s="139"/>
      <c r="BN123" s="139"/>
      <c r="BO123" s="139"/>
      <c r="BP123" s="139"/>
      <c r="BQ123" s="139"/>
      <c r="BR123" s="139"/>
      <c r="BS123" s="139"/>
      <c r="BT123" s="139"/>
      <c r="BU123" s="139"/>
      <c r="BV123" s="139"/>
      <c r="BW123" s="139"/>
      <c r="BX123" s="139"/>
      <c r="BY123" s="139"/>
      <c r="BZ123" s="139"/>
      <c r="CA123" s="139"/>
      <c r="CB123" s="139"/>
      <c r="CC123" s="139"/>
      <c r="CD123" s="139"/>
      <c r="CE123" s="139"/>
      <c r="CF123" s="139"/>
      <c r="CG123" s="139"/>
      <c r="CH123" s="139"/>
      <c r="CI123" s="139"/>
      <c r="CJ123" s="139"/>
      <c r="CK123" s="139"/>
      <c r="CL123" s="139"/>
      <c r="CM123" s="139"/>
      <c r="CN123" s="139"/>
      <c r="CO123" s="139"/>
      <c r="CP123" s="139"/>
      <c r="CQ123" s="139"/>
      <c r="CR123" s="139"/>
      <c r="CS123" s="139"/>
      <c r="CT123" s="139"/>
      <c r="CU123" s="139"/>
      <c r="CV123" s="139"/>
      <c r="CW123" s="139"/>
      <c r="CX123" s="139"/>
      <c r="CY123" s="139"/>
      <c r="CZ123" s="139"/>
      <c r="DA123" s="139"/>
      <c r="DB123" s="139"/>
      <c r="DC123" s="139"/>
      <c r="DD123" s="139"/>
      <c r="DE123" s="139"/>
      <c r="DF123" s="139"/>
      <c r="DG123" s="139"/>
      <c r="DH123" s="139"/>
      <c r="DI123" s="139"/>
      <c r="DJ123" s="139"/>
      <c r="DK123" s="139"/>
      <c r="DL123" s="139"/>
      <c r="DM123" s="139"/>
      <c r="DN123" s="139"/>
      <c r="DO123" s="139"/>
      <c r="DP123" s="139"/>
      <c r="DQ123" s="139"/>
      <c r="DR123" s="139"/>
      <c r="DS123" s="139"/>
      <c r="DT123" s="139"/>
      <c r="DU123" s="139"/>
      <c r="DV123" s="139"/>
      <c r="DW123" s="139"/>
      <c r="DX123" s="139"/>
      <c r="DY123" s="139"/>
      <c r="DZ123" s="139"/>
      <c r="EA123" s="139"/>
      <c r="EB123" s="139"/>
      <c r="EC123" s="139"/>
      <c r="ED123" s="139"/>
      <c r="EE123" s="139"/>
      <c r="EF123" s="139"/>
      <c r="EG123" s="139"/>
      <c r="EH123" s="139"/>
      <c r="EI123" s="139"/>
      <c r="EJ123" s="139"/>
      <c r="EK123" s="139"/>
      <c r="EL123" s="139"/>
      <c r="EM123" s="139"/>
      <c r="EN123" s="139"/>
      <c r="EO123" s="139"/>
      <c r="EP123" s="139"/>
      <c r="EQ123" s="139"/>
      <c r="ER123" s="139"/>
      <c r="ES123" s="139"/>
      <c r="ET123" s="139"/>
      <c r="EU123" s="139"/>
      <c r="EV123" s="139"/>
      <c r="EW123" s="139"/>
      <c r="EX123" s="139"/>
      <c r="EY123" s="139"/>
      <c r="EZ123" s="139"/>
      <c r="FA123" s="139"/>
      <c r="FB123" s="139"/>
      <c r="FC123" s="139"/>
      <c r="FD123" s="139"/>
      <c r="FE123" s="139"/>
      <c r="FF123" s="139"/>
      <c r="FG123" s="139"/>
      <c r="FH123" s="139"/>
      <c r="FI123" s="139"/>
      <c r="FJ123" s="139"/>
      <c r="FK123" s="139"/>
      <c r="FL123" s="139"/>
      <c r="FM123" s="139"/>
      <c r="FN123" s="139"/>
      <c r="FO123" s="139"/>
      <c r="FP123" s="139"/>
      <c r="FQ123" s="139"/>
      <c r="FR123" s="139"/>
      <c r="FS123" s="139"/>
      <c r="FT123" s="139"/>
      <c r="FU123" s="139"/>
      <c r="FV123" s="139"/>
      <c r="FW123" s="139"/>
      <c r="FX123" s="139"/>
      <c r="FY123" s="139"/>
      <c r="FZ123" s="139"/>
      <c r="GA123" s="139"/>
      <c r="GB123" s="139"/>
      <c r="GC123" s="139"/>
      <c r="GD123" s="139"/>
      <c r="GE123" s="139"/>
      <c r="GF123" s="139"/>
      <c r="GG123" s="139"/>
      <c r="GH123" s="139"/>
      <c r="GI123" s="139"/>
      <c r="GJ123" s="139"/>
      <c r="GK123" s="139"/>
      <c r="GL123" s="139"/>
      <c r="GM123" s="139"/>
      <c r="GN123" s="139"/>
      <c r="GO123" s="139"/>
      <c r="GP123" s="139"/>
      <c r="GQ123" s="139"/>
      <c r="GR123" s="139"/>
      <c r="GS123" s="139"/>
      <c r="GT123" s="139"/>
      <c r="GU123" s="139"/>
      <c r="GV123" s="139"/>
      <c r="GW123" s="139"/>
      <c r="GX123" s="139"/>
      <c r="GY123" s="139"/>
      <c r="GZ123" s="139"/>
      <c r="HA123" s="139"/>
      <c r="HB123" s="139"/>
      <c r="HC123" s="139"/>
      <c r="HD123" s="139"/>
      <c r="HE123" s="139"/>
      <c r="HF123" s="139"/>
      <c r="HG123" s="139"/>
      <c r="HH123" s="139"/>
      <c r="HI123" s="139"/>
      <c r="HJ123" s="139"/>
      <c r="HK123" s="139"/>
      <c r="HL123" s="139"/>
      <c r="HM123" s="139"/>
      <c r="HN123" s="139"/>
      <c r="HO123" s="139"/>
      <c r="HP123" s="139"/>
      <c r="HQ123" s="139"/>
      <c r="HR123" s="139"/>
      <c r="HS123" s="139"/>
      <c r="HT123" s="139"/>
      <c r="HU123" s="139"/>
      <c r="HV123" s="139"/>
      <c r="HW123" s="139"/>
      <c r="HX123" s="139"/>
      <c r="HY123" s="139"/>
      <c r="HZ123" s="139"/>
      <c r="IA123" s="139"/>
      <c r="IB123" s="139"/>
      <c r="IC123" s="139"/>
      <c r="ID123" s="139"/>
      <c r="IE123" s="139"/>
      <c r="IF123" s="139"/>
      <c r="IG123" s="139"/>
      <c r="IH123" s="139"/>
      <c r="II123" s="139"/>
      <c r="IJ123" s="139"/>
      <c r="IK123" s="139"/>
      <c r="IL123" s="139"/>
      <c r="IM123" s="139"/>
      <c r="IN123" s="139"/>
      <c r="IO123" s="139"/>
      <c r="IP123" s="139"/>
      <c r="IQ123" s="139"/>
      <c r="IR123" s="139"/>
      <c r="IS123" s="139"/>
      <c r="IT123" s="139"/>
      <c r="IU123" s="139"/>
      <c r="IV123" s="139"/>
      <c r="IW123" s="139"/>
      <c r="IX123" s="139"/>
      <c r="IY123" s="139"/>
      <c r="IZ123" s="139"/>
      <c r="JA123" s="139"/>
      <c r="JB123" s="139"/>
      <c r="JC123" s="139"/>
      <c r="JD123" s="139"/>
      <c r="JE123" s="139"/>
      <c r="JF123" s="139"/>
      <c r="JG123" s="139"/>
      <c r="JH123" s="139"/>
      <c r="JI123" s="139"/>
      <c r="JJ123" s="139"/>
      <c r="JK123" s="139"/>
      <c r="JL123" s="139"/>
      <c r="JM123" s="139"/>
      <c r="JN123" s="139"/>
      <c r="JO123" s="139"/>
      <c r="JP123" s="139"/>
      <c r="JQ123" s="139"/>
      <c r="JR123" s="139"/>
      <c r="JS123" s="139"/>
      <c r="JT123" s="139"/>
      <c r="JU123" s="139"/>
      <c r="JV123" s="139"/>
      <c r="JW123" s="139"/>
      <c r="JX123" s="139"/>
      <c r="JY123" s="139"/>
      <c r="JZ123" s="139"/>
      <c r="KA123" s="139"/>
      <c r="KB123" s="139"/>
      <c r="KC123" s="139"/>
      <c r="KD123" s="139"/>
      <c r="KE123" s="139"/>
      <c r="KF123" s="139"/>
      <c r="KG123" s="139"/>
      <c r="KH123" s="139"/>
      <c r="KI123" s="139"/>
      <c r="KJ123" s="139"/>
      <c r="KK123" s="139"/>
      <c r="KL123" s="139"/>
      <c r="KM123" s="139"/>
      <c r="KN123" s="139"/>
      <c r="KO123" s="139"/>
      <c r="KP123" s="139"/>
      <c r="KQ123" s="139"/>
      <c r="KR123" s="139"/>
      <c r="KS123" s="139"/>
      <c r="KT123" s="139"/>
      <c r="KU123" s="139"/>
      <c r="KV123" s="139"/>
      <c r="KW123" s="139"/>
      <c r="KX123" s="139"/>
      <c r="KY123" s="139"/>
      <c r="KZ123" s="139"/>
      <c r="LA123" s="139"/>
      <c r="LB123" s="139"/>
      <c r="LC123" s="139"/>
      <c r="LD123" s="139"/>
      <c r="LE123" s="139"/>
      <c r="LF123" s="139"/>
      <c r="LG123" s="139"/>
      <c r="LH123" s="139"/>
      <c r="LI123" s="139"/>
      <c r="LJ123" s="139"/>
      <c r="LK123" s="139"/>
      <c r="LL123" s="139"/>
      <c r="LM123" s="139"/>
      <c r="LN123" s="139"/>
      <c r="LO123" s="139"/>
      <c r="LP123" s="139"/>
      <c r="LQ123" s="139"/>
      <c r="LR123" s="139"/>
      <c r="LS123" s="139"/>
      <c r="LT123" s="139"/>
      <c r="LU123" s="139"/>
      <c r="LV123" s="139"/>
      <c r="LW123" s="139"/>
      <c r="LX123" s="139"/>
      <c r="LY123" s="139"/>
      <c r="LZ123" s="139"/>
      <c r="MA123" s="139"/>
      <c r="MB123" s="139"/>
      <c r="MC123" s="139"/>
      <c r="MD123" s="139"/>
      <c r="ME123" s="139"/>
      <c r="MF123" s="139"/>
      <c r="MG123" s="139"/>
      <c r="MH123" s="139"/>
      <c r="MI123" s="139"/>
      <c r="MJ123" s="139"/>
      <c r="MK123" s="139"/>
      <c r="ML123" s="139"/>
      <c r="MM123" s="139"/>
      <c r="MN123" s="139"/>
      <c r="MO123" s="139"/>
      <c r="MP123" s="139"/>
      <c r="MQ123" s="139"/>
      <c r="MR123" s="139"/>
      <c r="MS123" s="139"/>
      <c r="MT123" s="139"/>
      <c r="MU123" s="139"/>
      <c r="MV123" s="139"/>
      <c r="MW123" s="139"/>
      <c r="MX123" s="139"/>
      <c r="MY123" s="139"/>
      <c r="MZ123" s="139"/>
      <c r="NA123" s="139"/>
      <c r="NB123" s="139"/>
      <c r="NC123" s="139"/>
      <c r="ND123" s="139"/>
      <c r="NE123" s="139"/>
      <c r="NF123" s="139"/>
      <c r="NG123" s="139"/>
      <c r="NH123" s="139"/>
      <c r="NI123" s="139"/>
      <c r="NJ123" s="139"/>
      <c r="NK123" s="139"/>
      <c r="NL123" s="139"/>
      <c r="NM123" s="139"/>
      <c r="NN123" s="139"/>
      <c r="NO123" s="139"/>
      <c r="NP123" s="139"/>
      <c r="NQ123" s="139"/>
      <c r="NR123" s="139"/>
      <c r="NS123" s="139"/>
      <c r="NT123" s="139"/>
      <c r="NU123" s="139"/>
      <c r="NV123" s="139"/>
      <c r="NW123" s="139"/>
      <c r="NX123" s="139"/>
      <c r="NY123" s="139"/>
      <c r="NZ123" s="139"/>
      <c r="OA123" s="139"/>
      <c r="OB123" s="139"/>
      <c r="OC123" s="139"/>
      <c r="OD123" s="139"/>
      <c r="OE123" s="139"/>
      <c r="OF123" s="139"/>
      <c r="OG123" s="139"/>
      <c r="OH123" s="139"/>
      <c r="OI123" s="139"/>
      <c r="OJ123" s="139"/>
      <c r="OK123" s="139"/>
      <c r="OL123" s="139"/>
      <c r="OM123" s="139"/>
      <c r="ON123" s="139"/>
      <c r="OO123" s="139"/>
      <c r="OP123" s="139"/>
      <c r="OQ123" s="139"/>
      <c r="OR123" s="139"/>
      <c r="OS123" s="139"/>
      <c r="OT123" s="139"/>
      <c r="OU123" s="139"/>
      <c r="OV123" s="139"/>
      <c r="OW123" s="139"/>
      <c r="OX123" s="139"/>
      <c r="OY123" s="139"/>
      <c r="OZ123" s="139"/>
      <c r="PA123" s="139"/>
      <c r="PB123" s="139"/>
      <c r="PC123" s="139"/>
      <c r="PD123" s="139"/>
      <c r="PE123" s="139"/>
      <c r="PF123" s="139"/>
      <c r="PG123" s="139"/>
      <c r="PH123" s="139"/>
      <c r="PI123" s="139"/>
      <c r="PJ123" s="139"/>
      <c r="PK123" s="139"/>
      <c r="PL123" s="139"/>
      <c r="PM123" s="139"/>
      <c r="PN123" s="139"/>
      <c r="PO123" s="139"/>
      <c r="PP123" s="139"/>
      <c r="PQ123" s="139"/>
      <c r="PR123" s="139"/>
      <c r="PS123" s="139"/>
      <c r="PT123" s="139"/>
      <c r="PU123" s="139"/>
      <c r="PV123" s="139"/>
      <c r="PW123" s="139"/>
      <c r="PX123" s="139"/>
      <c r="PY123" s="139"/>
      <c r="PZ123" s="139"/>
      <c r="QA123" s="139"/>
      <c r="QB123" s="139"/>
      <c r="QC123" s="139"/>
      <c r="QD123" s="139"/>
      <c r="QE123" s="139"/>
      <c r="QF123" s="139"/>
      <c r="QG123" s="139"/>
      <c r="QH123" s="139"/>
      <c r="QI123" s="139"/>
      <c r="QJ123" s="139"/>
      <c r="QK123" s="139"/>
      <c r="QL123" s="139"/>
      <c r="QM123" s="139"/>
      <c r="QN123" s="139"/>
      <c r="QO123" s="139"/>
      <c r="QP123" s="139"/>
      <c r="QQ123" s="139"/>
      <c r="QR123" s="139"/>
      <c r="QS123" s="139"/>
      <c r="QT123" s="139"/>
      <c r="QU123" s="139"/>
      <c r="QV123" s="139"/>
      <c r="QW123" s="139"/>
      <c r="QX123" s="139"/>
      <c r="QY123" s="139"/>
      <c r="QZ123" s="139"/>
      <c r="RA123" s="139"/>
      <c r="RB123" s="139"/>
      <c r="RC123" s="139"/>
      <c r="RD123" s="139"/>
      <c r="RE123" s="139"/>
      <c r="RF123" s="139"/>
      <c r="RG123" s="139"/>
      <c r="RH123" s="139"/>
      <c r="RI123" s="139"/>
      <c r="RJ123" s="139"/>
      <c r="RK123" s="139"/>
      <c r="RL123" s="139"/>
      <c r="RM123" s="139"/>
      <c r="RN123" s="139"/>
      <c r="RO123" s="139"/>
      <c r="RP123" s="139"/>
      <c r="RQ123" s="139"/>
      <c r="RR123" s="139"/>
      <c r="RS123" s="139"/>
      <c r="RT123" s="139"/>
      <c r="RU123" s="139"/>
      <c r="RV123" s="139"/>
      <c r="RW123" s="139"/>
      <c r="RX123" s="139"/>
      <c r="RY123" s="139"/>
      <c r="RZ123" s="139"/>
      <c r="SA123" s="139"/>
      <c r="SB123" s="139"/>
      <c r="SC123" s="139"/>
      <c r="SD123" s="139"/>
      <c r="SE123" s="139"/>
      <c r="SF123" s="139"/>
      <c r="SG123" s="139"/>
      <c r="SH123" s="139"/>
      <c r="SI123" s="139"/>
      <c r="SJ123" s="139"/>
      <c r="SK123" s="139"/>
      <c r="SL123" s="139"/>
      <c r="SM123" s="139"/>
      <c r="SN123" s="139"/>
      <c r="SO123" s="139"/>
      <c r="SP123" s="139"/>
      <c r="SQ123" s="139"/>
      <c r="SR123" s="139"/>
      <c r="SS123" s="139"/>
      <c r="ST123" s="139"/>
      <c r="SU123" s="139"/>
      <c r="SV123" s="139"/>
      <c r="SW123" s="139"/>
      <c r="SX123" s="139"/>
      <c r="SY123" s="139"/>
      <c r="SZ123" s="139"/>
      <c r="TA123" s="139"/>
      <c r="TB123" s="139"/>
      <c r="TC123" s="139"/>
      <c r="TD123" s="139"/>
      <c r="TE123" s="139"/>
      <c r="TF123" s="139"/>
      <c r="TG123" s="139"/>
      <c r="TH123" s="139"/>
      <c r="TI123" s="139"/>
      <c r="TJ123" s="139"/>
      <c r="TK123" s="139"/>
      <c r="TL123" s="139"/>
      <c r="TM123" s="139"/>
      <c r="TN123" s="139"/>
      <c r="TO123" s="139"/>
      <c r="TP123" s="139"/>
      <c r="TQ123" s="139"/>
      <c r="TR123" s="139"/>
      <c r="TS123" s="139"/>
      <c r="TT123" s="139"/>
      <c r="TU123" s="139"/>
      <c r="TV123" s="139"/>
      <c r="TW123" s="139"/>
      <c r="TX123" s="139"/>
      <c r="TY123" s="139"/>
      <c r="TZ123" s="139"/>
      <c r="UA123" s="139"/>
      <c r="UB123" s="139"/>
      <c r="UC123" s="139"/>
      <c r="UD123" s="139"/>
      <c r="UE123" s="139"/>
      <c r="UF123" s="139"/>
      <c r="UG123" s="139"/>
      <c r="UH123" s="139"/>
      <c r="UI123" s="139"/>
      <c r="UJ123" s="139"/>
      <c r="UK123" s="139"/>
      <c r="UL123" s="139"/>
      <c r="UM123" s="139"/>
      <c r="UN123" s="139"/>
      <c r="UO123" s="139"/>
      <c r="UP123" s="139"/>
      <c r="UQ123" s="139"/>
      <c r="UR123" s="139"/>
      <c r="US123" s="139"/>
      <c r="UT123" s="139"/>
      <c r="UU123" s="139"/>
      <c r="UV123" s="139"/>
      <c r="UW123" s="139"/>
      <c r="UX123" s="139"/>
      <c r="UY123" s="139"/>
      <c r="UZ123" s="139"/>
      <c r="VA123" s="139"/>
      <c r="VB123" s="139"/>
      <c r="VC123" s="139"/>
      <c r="VD123" s="139"/>
      <c r="VE123" s="139"/>
      <c r="VF123" s="139"/>
      <c r="VG123" s="139"/>
      <c r="VH123" s="139"/>
      <c r="VI123" s="139"/>
      <c r="VJ123" s="139"/>
      <c r="VK123" s="139"/>
      <c r="VL123" s="139"/>
      <c r="VM123" s="139"/>
      <c r="VN123" s="139"/>
      <c r="VO123" s="139"/>
      <c r="VP123" s="139"/>
      <c r="VQ123" s="139"/>
      <c r="VR123" s="139"/>
      <c r="VS123" s="139"/>
      <c r="VT123" s="139"/>
      <c r="VU123" s="139"/>
      <c r="VV123" s="139"/>
      <c r="VW123" s="139"/>
      <c r="VX123" s="139"/>
      <c r="VY123" s="139"/>
      <c r="VZ123" s="139"/>
      <c r="WA123" s="139"/>
      <c r="WB123" s="139"/>
      <c r="WC123" s="139"/>
      <c r="WD123" s="139"/>
      <c r="WE123" s="139"/>
      <c r="WF123" s="139"/>
      <c r="WG123" s="139"/>
      <c r="WH123" s="139"/>
      <c r="WI123" s="139"/>
      <c r="WJ123" s="139"/>
      <c r="WK123" s="139"/>
      <c r="WL123" s="139"/>
      <c r="WM123" s="139"/>
      <c r="WN123" s="139"/>
      <c r="WO123" s="139"/>
      <c r="WP123" s="139"/>
      <c r="WQ123" s="139"/>
      <c r="WR123" s="139"/>
      <c r="WS123" s="139"/>
      <c r="WT123" s="139"/>
      <c r="WU123" s="139"/>
      <c r="WV123" s="139"/>
      <c r="WW123" s="139"/>
      <c r="WX123" s="139"/>
      <c r="WY123" s="139"/>
      <c r="WZ123" s="139"/>
      <c r="XA123" s="139"/>
      <c r="XB123" s="139"/>
      <c r="XC123" s="139"/>
      <c r="XD123" s="139"/>
      <c r="XE123" s="139"/>
      <c r="XF123" s="139"/>
      <c r="XG123" s="139"/>
      <c r="XH123" s="139"/>
      <c r="XI123" s="139"/>
      <c r="XJ123" s="139"/>
      <c r="XK123" s="139"/>
      <c r="XL123" s="139"/>
      <c r="XM123" s="139"/>
      <c r="XN123" s="139"/>
      <c r="XO123" s="139"/>
      <c r="XP123" s="139"/>
      <c r="XQ123" s="139"/>
      <c r="XR123" s="139"/>
      <c r="XS123" s="139"/>
      <c r="XT123" s="139"/>
      <c r="XU123" s="139"/>
      <c r="XV123" s="139"/>
      <c r="XW123" s="139"/>
      <c r="XX123" s="139"/>
      <c r="XY123" s="139"/>
      <c r="XZ123" s="139"/>
      <c r="YA123" s="139"/>
      <c r="YB123" s="139"/>
      <c r="YC123" s="139"/>
      <c r="YD123" s="139"/>
      <c r="YE123" s="139"/>
      <c r="YF123" s="139"/>
      <c r="YG123" s="139"/>
      <c r="YH123" s="139"/>
      <c r="YI123" s="139"/>
      <c r="YJ123" s="139"/>
      <c r="YK123" s="139"/>
      <c r="YL123" s="139"/>
      <c r="YM123" s="139"/>
      <c r="YN123" s="139"/>
      <c r="YO123" s="139"/>
      <c r="YP123" s="139"/>
      <c r="YQ123" s="139"/>
      <c r="YR123" s="139"/>
      <c r="YS123" s="139"/>
      <c r="YT123" s="139"/>
      <c r="YU123" s="139"/>
      <c r="YV123" s="139"/>
      <c r="YW123" s="139"/>
      <c r="YX123" s="139"/>
      <c r="YY123" s="139"/>
      <c r="YZ123" s="139"/>
      <c r="ZA123" s="139"/>
      <c r="ZB123" s="139"/>
      <c r="ZC123" s="139"/>
      <c r="ZD123" s="139"/>
      <c r="ZE123" s="139"/>
      <c r="ZF123" s="139"/>
      <c r="ZG123" s="139"/>
      <c r="ZH123" s="139"/>
      <c r="ZI123" s="139"/>
      <c r="ZJ123" s="139"/>
      <c r="ZK123" s="139"/>
      <c r="ZL123" s="139"/>
      <c r="ZM123" s="139"/>
      <c r="ZN123" s="139"/>
      <c r="ZO123" s="139"/>
      <c r="ZP123" s="139"/>
      <c r="ZQ123" s="139"/>
      <c r="ZR123" s="139"/>
      <c r="ZS123" s="139"/>
      <c r="ZT123" s="139"/>
      <c r="ZU123" s="139"/>
      <c r="ZV123" s="139"/>
      <c r="ZW123" s="139"/>
      <c r="ZX123" s="139"/>
      <c r="ZY123" s="139"/>
      <c r="ZZ123" s="139"/>
      <c r="AAA123" s="139"/>
      <c r="AAB123" s="139"/>
      <c r="AAC123" s="139"/>
      <c r="AAD123" s="139"/>
      <c r="AAE123" s="139"/>
      <c r="AAF123" s="139"/>
      <c r="AAG123" s="139"/>
      <c r="AAH123" s="139"/>
      <c r="AAI123" s="139"/>
      <c r="AAJ123" s="139"/>
      <c r="AAK123" s="139"/>
      <c r="AAL123" s="139"/>
      <c r="AAM123" s="139"/>
      <c r="AAN123" s="139"/>
      <c r="AAO123" s="139"/>
      <c r="AAP123" s="139"/>
      <c r="AAQ123" s="139"/>
      <c r="AAR123" s="139"/>
      <c r="AAS123" s="139"/>
      <c r="AAT123" s="139"/>
      <c r="AAU123" s="139"/>
      <c r="AAV123" s="139"/>
      <c r="AAW123" s="139"/>
      <c r="AAX123" s="139"/>
      <c r="AAY123" s="139"/>
      <c r="AAZ123" s="139"/>
      <c r="ABA123" s="139"/>
      <c r="ABB123" s="139"/>
      <c r="ABC123" s="139"/>
      <c r="ABD123" s="139"/>
      <c r="ABE123" s="139"/>
      <c r="ABF123" s="139"/>
      <c r="ABG123" s="139"/>
      <c r="ABH123" s="139"/>
      <c r="ABI123" s="139"/>
      <c r="ABJ123" s="139"/>
      <c r="ABK123" s="139"/>
      <c r="ABL123" s="139"/>
      <c r="ABM123" s="139"/>
      <c r="ABN123" s="139"/>
      <c r="ABO123" s="139"/>
      <c r="ABP123" s="139"/>
      <c r="ABQ123" s="139"/>
      <c r="ABR123" s="139"/>
      <c r="ABS123" s="139"/>
      <c r="ABT123" s="139"/>
      <c r="ABU123" s="139"/>
      <c r="ABV123" s="139"/>
      <c r="ABW123" s="139"/>
      <c r="ABX123" s="139"/>
      <c r="ABY123" s="139"/>
      <c r="ABZ123" s="139"/>
      <c r="ACA123" s="139"/>
      <c r="ACB123" s="139"/>
      <c r="ACC123" s="139"/>
      <c r="ACD123" s="139"/>
      <c r="ACE123" s="139"/>
      <c r="ACF123" s="139"/>
      <c r="ACG123" s="139"/>
      <c r="ACH123" s="139"/>
      <c r="ACI123" s="139"/>
      <c r="ACJ123" s="139"/>
      <c r="ACK123" s="139"/>
      <c r="ACL123" s="139"/>
      <c r="ACM123" s="139"/>
      <c r="ACN123" s="139"/>
      <c r="ACO123" s="139"/>
      <c r="ACP123" s="139"/>
      <c r="ACQ123" s="139"/>
      <c r="ACR123" s="139"/>
      <c r="ACS123" s="139"/>
      <c r="ACT123" s="139"/>
      <c r="ACU123" s="139"/>
      <c r="ACV123" s="139"/>
      <c r="ACW123" s="139"/>
      <c r="ACX123" s="139"/>
      <c r="ACY123" s="139"/>
      <c r="ACZ123" s="139"/>
      <c r="ADA123" s="139"/>
      <c r="ADB123" s="139"/>
      <c r="ADC123" s="139"/>
      <c r="ADD123" s="139"/>
      <c r="ADE123" s="139"/>
      <c r="ADF123" s="139"/>
      <c r="ADG123" s="139"/>
      <c r="ADH123" s="139"/>
      <c r="ADI123" s="139"/>
      <c r="ADJ123" s="139"/>
      <c r="ADK123" s="139"/>
      <c r="ADL123" s="139"/>
      <c r="ADM123" s="139"/>
      <c r="ADN123" s="139"/>
      <c r="ADO123" s="139"/>
      <c r="ADP123" s="139"/>
      <c r="ADQ123" s="139"/>
      <c r="ADR123" s="139"/>
      <c r="ADS123" s="139"/>
      <c r="ADT123" s="139"/>
      <c r="ADU123" s="139"/>
      <c r="ADV123" s="139"/>
      <c r="ADW123" s="139"/>
      <c r="ADX123" s="139"/>
      <c r="ADY123" s="139"/>
      <c r="ADZ123" s="139"/>
      <c r="AEA123" s="139"/>
      <c r="AEB123" s="139"/>
      <c r="AEC123" s="139"/>
      <c r="AED123" s="139"/>
      <c r="AEE123" s="139"/>
      <c r="AEF123" s="139"/>
      <c r="AEG123" s="139"/>
      <c r="AEH123" s="139"/>
      <c r="AEI123" s="139"/>
      <c r="AEJ123" s="139"/>
      <c r="AEK123" s="139"/>
      <c r="AEL123" s="139"/>
      <c r="AEM123" s="139"/>
      <c r="AEN123" s="139"/>
      <c r="AEO123" s="139"/>
      <c r="AEP123" s="139"/>
      <c r="AEQ123" s="139"/>
      <c r="AER123" s="139"/>
      <c r="AES123" s="139"/>
      <c r="AET123" s="139"/>
      <c r="AEU123" s="139"/>
      <c r="AEV123" s="139"/>
      <c r="AEW123" s="139"/>
      <c r="AEX123" s="139"/>
      <c r="AEY123" s="139"/>
      <c r="AEZ123" s="139"/>
      <c r="AFA123" s="139"/>
      <c r="AFB123" s="139"/>
      <c r="AFC123" s="139"/>
      <c r="AFD123" s="139"/>
      <c r="AFE123" s="139"/>
      <c r="AFF123" s="139"/>
      <c r="AFG123" s="139"/>
      <c r="AFH123" s="139"/>
      <c r="AFI123" s="139"/>
      <c r="AFJ123" s="139"/>
      <c r="AFK123" s="139"/>
      <c r="AFL123" s="139"/>
      <c r="AFM123" s="139"/>
      <c r="AFN123" s="139"/>
      <c r="AFO123" s="139"/>
      <c r="AFP123" s="139"/>
      <c r="AFQ123" s="139"/>
      <c r="AFR123" s="139"/>
      <c r="AFS123" s="139"/>
      <c r="AFT123" s="139"/>
      <c r="AFU123" s="139"/>
      <c r="AFV123" s="139"/>
      <c r="AFW123" s="139"/>
      <c r="AFX123" s="139"/>
      <c r="AFY123" s="139"/>
      <c r="AFZ123" s="139"/>
      <c r="AGA123" s="139"/>
      <c r="AGB123" s="139"/>
      <c r="AGC123" s="139"/>
      <c r="AGD123" s="139"/>
      <c r="AGE123" s="139"/>
      <c r="AGF123" s="139"/>
      <c r="AGG123" s="139"/>
      <c r="AGH123" s="139"/>
      <c r="AGI123" s="139"/>
      <c r="AGJ123" s="139"/>
      <c r="AGK123" s="139"/>
      <c r="AGL123" s="139"/>
      <c r="AGM123" s="139"/>
      <c r="AGN123" s="139"/>
      <c r="AGO123" s="139"/>
      <c r="AGP123" s="139"/>
      <c r="AGQ123" s="139"/>
      <c r="AGR123" s="139"/>
      <c r="AGS123" s="139"/>
      <c r="AGT123" s="139"/>
      <c r="AGU123" s="139"/>
      <c r="AGV123" s="139"/>
      <c r="AGW123" s="139"/>
      <c r="AGX123" s="139"/>
      <c r="AGY123" s="139"/>
      <c r="AGZ123" s="139"/>
      <c r="AHA123" s="139"/>
      <c r="AHB123" s="139"/>
      <c r="AHC123" s="139"/>
      <c r="AHD123" s="139"/>
      <c r="AHE123" s="139"/>
      <c r="AHF123" s="139"/>
      <c r="AHG123" s="139"/>
      <c r="AHH123" s="139"/>
      <c r="AHI123" s="139"/>
      <c r="AHJ123" s="139"/>
      <c r="AHK123" s="139"/>
      <c r="AHL123" s="139"/>
      <c r="AHM123" s="139"/>
      <c r="AHN123" s="139"/>
      <c r="AHO123" s="139"/>
      <c r="AHP123" s="139"/>
      <c r="AHQ123" s="139"/>
      <c r="AHR123" s="139"/>
      <c r="AHS123" s="139"/>
      <c r="AHT123" s="139"/>
      <c r="AHU123" s="139"/>
      <c r="AHV123" s="139"/>
      <c r="AHW123" s="139"/>
      <c r="AHX123" s="139"/>
      <c r="AHY123" s="139"/>
      <c r="AHZ123" s="139"/>
      <c r="AIA123" s="139"/>
      <c r="AIB123" s="139"/>
      <c r="AIC123" s="139"/>
      <c r="AID123" s="139"/>
      <c r="AIE123" s="139"/>
      <c r="AIF123" s="139"/>
      <c r="AIG123" s="139"/>
      <c r="AIH123" s="139"/>
      <c r="AII123" s="139"/>
      <c r="AIJ123" s="139"/>
      <c r="AIK123" s="139"/>
      <c r="AIL123" s="139"/>
      <c r="AIM123" s="139"/>
      <c r="AIN123" s="139"/>
      <c r="AIO123" s="139"/>
      <c r="AIP123" s="139"/>
      <c r="AIQ123" s="139"/>
      <c r="AIR123" s="139"/>
      <c r="AIS123" s="139"/>
      <c r="AIT123" s="139"/>
      <c r="AIU123" s="139"/>
      <c r="AIV123" s="139"/>
      <c r="AIW123" s="139"/>
      <c r="AIX123" s="139"/>
      <c r="AIY123" s="139"/>
      <c r="AIZ123" s="139"/>
      <c r="AJA123" s="139"/>
      <c r="AJB123" s="139"/>
      <c r="AJC123" s="139"/>
      <c r="AJD123" s="139"/>
      <c r="AJE123" s="139"/>
      <c r="AJF123" s="139"/>
      <c r="AJG123" s="139"/>
      <c r="AJH123" s="139"/>
      <c r="AJI123" s="139"/>
      <c r="AJJ123" s="139"/>
      <c r="AJK123" s="139"/>
      <c r="AJL123" s="139"/>
      <c r="AJM123" s="139"/>
      <c r="AJN123" s="139"/>
      <c r="AJO123" s="139"/>
      <c r="AJP123" s="139"/>
      <c r="AJQ123" s="139"/>
      <c r="AJR123" s="139"/>
      <c r="AJS123" s="139"/>
      <c r="AJT123" s="139"/>
      <c r="AJU123" s="139"/>
      <c r="AJV123" s="139"/>
      <c r="AJW123" s="139"/>
      <c r="AJX123" s="139"/>
      <c r="AJY123" s="139"/>
      <c r="AJZ123" s="139"/>
      <c r="AKA123" s="139"/>
      <c r="AKB123" s="139"/>
      <c r="AKC123" s="139"/>
      <c r="AKD123" s="139"/>
      <c r="AKE123" s="139"/>
      <c r="AKF123" s="139"/>
      <c r="AKG123" s="139"/>
      <c r="AKH123" s="139"/>
      <c r="AKI123" s="139"/>
      <c r="AKJ123" s="139"/>
      <c r="AKK123" s="139"/>
      <c r="AKL123" s="139"/>
      <c r="AKM123" s="139"/>
      <c r="AKN123" s="139"/>
      <c r="AKO123" s="139"/>
      <c r="AKP123" s="139"/>
      <c r="AKQ123" s="139"/>
      <c r="AKR123" s="139"/>
      <c r="AKS123" s="139"/>
      <c r="AKT123" s="139"/>
      <c r="AKU123" s="139"/>
      <c r="AKV123" s="139"/>
      <c r="AKW123" s="139"/>
      <c r="AKX123" s="139"/>
      <c r="AKY123" s="139"/>
      <c r="AKZ123" s="139"/>
      <c r="ALA123" s="139"/>
      <c r="ALB123" s="139"/>
      <c r="ALC123" s="139"/>
      <c r="ALD123" s="139"/>
      <c r="ALE123" s="139"/>
      <c r="ALF123" s="139"/>
      <c r="ALG123" s="139"/>
      <c r="ALH123" s="139"/>
      <c r="ALI123" s="139"/>
      <c r="ALJ123" s="139"/>
      <c r="ALK123" s="139"/>
      <c r="ALL123" s="139"/>
      <c r="ALM123" s="139"/>
      <c r="ALN123" s="139"/>
      <c r="ALO123" s="139"/>
      <c r="ALP123" s="139"/>
      <c r="ALQ123" s="139"/>
      <c r="ALR123" s="139"/>
      <c r="ALS123" s="139"/>
      <c r="ALT123" s="139"/>
      <c r="ALU123" s="139"/>
      <c r="ALV123" s="139"/>
      <c r="ALW123" s="139"/>
      <c r="ALX123" s="139"/>
      <c r="ALY123" s="139"/>
      <c r="ALZ123" s="139"/>
      <c r="AMA123" s="139"/>
      <c r="AMB123" s="139"/>
      <c r="AMC123" s="139"/>
      <c r="AMD123" s="139"/>
      <c r="AME123" s="139"/>
      <c r="AMF123" s="139"/>
      <c r="AMG123" s="139"/>
      <c r="AMH123" s="139"/>
      <c r="AMI123" s="139"/>
      <c r="AMJ123" s="139"/>
      <c r="AMK123" s="139"/>
      <c r="AML123" s="139"/>
      <c r="AMM123" s="139"/>
      <c r="AMN123" s="139"/>
      <c r="AMO123" s="139"/>
      <c r="AMP123" s="139"/>
      <c r="AMQ123" s="139"/>
      <c r="AMR123" s="139"/>
      <c r="AMS123" s="139"/>
      <c r="AMT123" s="139"/>
      <c r="AMU123" s="139"/>
      <c r="AMV123" s="139"/>
      <c r="AMW123" s="139"/>
      <c r="AMX123" s="139"/>
      <c r="AMY123" s="139"/>
      <c r="AMZ123" s="139"/>
      <c r="ANA123" s="139"/>
      <c r="ANB123" s="139"/>
      <c r="ANC123" s="139"/>
      <c r="AND123" s="139"/>
      <c r="ANE123" s="139"/>
      <c r="ANF123" s="139"/>
      <c r="ANG123" s="139"/>
      <c r="ANH123" s="139"/>
      <c r="ANI123" s="139"/>
      <c r="ANJ123" s="139"/>
      <c r="ANK123" s="139"/>
      <c r="ANL123" s="139"/>
      <c r="ANM123" s="139"/>
      <c r="ANN123" s="139"/>
      <c r="ANO123" s="139"/>
      <c r="ANP123" s="139"/>
      <c r="ANQ123" s="139"/>
      <c r="ANR123" s="139"/>
      <c r="ANS123" s="139"/>
      <c r="ANT123" s="139"/>
      <c r="ANU123" s="139"/>
      <c r="ANV123" s="139"/>
      <c r="ANW123" s="139"/>
      <c r="ANX123" s="139"/>
      <c r="ANY123" s="139"/>
      <c r="ANZ123" s="139"/>
      <c r="AOA123" s="139"/>
      <c r="AOB123" s="139"/>
      <c r="AOC123" s="139"/>
      <c r="AOD123" s="139"/>
      <c r="AOE123" s="139"/>
      <c r="AOF123" s="139"/>
      <c r="AOG123" s="139"/>
      <c r="AOH123" s="139"/>
      <c r="AOI123" s="139"/>
      <c r="AOJ123" s="139"/>
      <c r="AOK123" s="139"/>
      <c r="AOL123" s="139"/>
      <c r="AOM123" s="139"/>
      <c r="AON123" s="139"/>
      <c r="AOO123" s="139"/>
      <c r="AOP123" s="139"/>
      <c r="AOQ123" s="139"/>
      <c r="AOR123" s="139"/>
      <c r="AOS123" s="139"/>
      <c r="AOT123" s="139"/>
      <c r="AOU123" s="139"/>
      <c r="AOV123" s="139"/>
      <c r="AOW123" s="139"/>
      <c r="AOX123" s="139"/>
      <c r="AOY123" s="139"/>
      <c r="AOZ123" s="139"/>
      <c r="APA123" s="139"/>
      <c r="APB123" s="139"/>
      <c r="APC123" s="139"/>
      <c r="APD123" s="139"/>
      <c r="APE123" s="139"/>
      <c r="APF123" s="139"/>
      <c r="APG123" s="139"/>
      <c r="APH123" s="139"/>
      <c r="API123" s="139"/>
      <c r="APJ123" s="139"/>
      <c r="APK123" s="139"/>
      <c r="APL123" s="139"/>
      <c r="APM123" s="139"/>
      <c r="APN123" s="139"/>
      <c r="APO123" s="139"/>
      <c r="APP123" s="139"/>
      <c r="APQ123" s="139"/>
      <c r="APR123" s="139"/>
      <c r="APS123" s="139"/>
      <c r="APT123" s="139"/>
      <c r="APU123" s="139"/>
      <c r="APV123" s="139"/>
      <c r="APW123" s="139"/>
      <c r="APX123" s="139"/>
      <c r="APY123" s="139"/>
      <c r="APZ123" s="139"/>
      <c r="AQA123" s="139"/>
      <c r="AQB123" s="139"/>
      <c r="AQC123" s="139"/>
      <c r="AQD123" s="139"/>
      <c r="AQE123" s="139"/>
      <c r="AQF123" s="139"/>
      <c r="AQG123" s="139"/>
      <c r="AQH123" s="139"/>
      <c r="AQI123" s="139"/>
      <c r="AQJ123" s="139"/>
      <c r="AQK123" s="139"/>
      <c r="AQL123" s="139"/>
      <c r="AQM123" s="139"/>
      <c r="AQN123" s="139"/>
      <c r="AQO123" s="139"/>
      <c r="AQP123" s="139"/>
      <c r="AQQ123" s="139"/>
      <c r="AQR123" s="139"/>
      <c r="AQS123" s="139"/>
      <c r="AQT123" s="139"/>
      <c r="AQU123" s="139"/>
      <c r="AQV123" s="139"/>
      <c r="AQW123" s="139"/>
      <c r="AQX123" s="139"/>
      <c r="AQY123" s="139"/>
      <c r="AQZ123" s="139"/>
      <c r="ARA123" s="139"/>
      <c r="ARB123" s="139"/>
      <c r="ARC123" s="139"/>
      <c r="ARD123" s="139"/>
      <c r="ARE123" s="139"/>
      <c r="ARF123" s="139"/>
      <c r="ARG123" s="139"/>
      <c r="ARH123" s="139"/>
      <c r="ARI123" s="139"/>
      <c r="ARJ123" s="139"/>
      <c r="ARK123" s="139"/>
      <c r="ARL123" s="139"/>
      <c r="ARM123" s="139"/>
      <c r="ARN123" s="139"/>
      <c r="ARO123" s="139"/>
      <c r="ARP123" s="139"/>
      <c r="ARQ123" s="139"/>
      <c r="ARR123" s="139"/>
      <c r="ARS123" s="139"/>
      <c r="ART123" s="139"/>
      <c r="ARU123" s="139"/>
      <c r="ARV123" s="139"/>
      <c r="ARW123" s="139"/>
      <c r="ARX123" s="139"/>
      <c r="ARY123" s="139"/>
      <c r="ARZ123" s="139"/>
      <c r="ASA123" s="139"/>
      <c r="ASB123" s="139"/>
      <c r="ASC123" s="139"/>
      <c r="ASD123" s="139"/>
      <c r="ASE123" s="139"/>
      <c r="ASF123" s="139"/>
      <c r="ASG123" s="139"/>
      <c r="ASH123" s="139"/>
      <c r="ASI123" s="139"/>
      <c r="ASJ123" s="139"/>
      <c r="ASK123" s="139"/>
      <c r="ASL123" s="139"/>
      <c r="ASM123" s="139"/>
      <c r="ASN123" s="139"/>
      <c r="ASO123" s="139"/>
      <c r="ASP123" s="139"/>
      <c r="ASQ123" s="139"/>
      <c r="ASR123" s="139"/>
      <c r="ASS123" s="139"/>
      <c r="AST123" s="139"/>
      <c r="ASU123" s="139"/>
      <c r="ASV123" s="139"/>
      <c r="ASW123" s="139"/>
      <c r="ASX123" s="139"/>
      <c r="ASY123" s="139"/>
      <c r="ASZ123" s="139"/>
      <c r="ATA123" s="139"/>
      <c r="ATB123" s="139"/>
      <c r="ATC123" s="139"/>
      <c r="ATD123" s="139"/>
      <c r="ATE123" s="139"/>
      <c r="ATF123" s="139"/>
      <c r="ATG123" s="139"/>
      <c r="ATH123" s="139"/>
      <c r="ATI123" s="139"/>
      <c r="ATJ123" s="139"/>
      <c r="ATK123" s="139"/>
      <c r="ATL123" s="139"/>
      <c r="ATM123" s="139"/>
      <c r="ATN123" s="139"/>
      <c r="ATO123" s="139"/>
      <c r="ATP123" s="139"/>
      <c r="ATQ123" s="139"/>
      <c r="ATR123" s="139"/>
      <c r="ATS123" s="139"/>
      <c r="ATT123" s="139"/>
      <c r="ATU123" s="139"/>
      <c r="ATV123" s="139"/>
      <c r="ATW123" s="139"/>
      <c r="ATX123" s="139"/>
      <c r="ATY123" s="139"/>
      <c r="ATZ123" s="139"/>
      <c r="AUA123" s="139"/>
      <c r="AUB123" s="139"/>
      <c r="AUC123" s="139"/>
      <c r="AUD123" s="139"/>
      <c r="AUE123" s="139"/>
      <c r="AUF123" s="139"/>
      <c r="AUG123" s="139"/>
      <c r="AUH123" s="139"/>
      <c r="AUI123" s="139"/>
      <c r="AUJ123" s="139"/>
      <c r="AUK123" s="139"/>
      <c r="AUL123" s="139"/>
      <c r="AUM123" s="139"/>
      <c r="AUN123" s="139"/>
      <c r="AUO123" s="139"/>
      <c r="AUP123" s="139"/>
      <c r="AUQ123" s="139"/>
      <c r="AUR123" s="139"/>
      <c r="AUS123" s="139"/>
      <c r="AUT123" s="139"/>
      <c r="AUU123" s="139"/>
      <c r="AUV123" s="139"/>
      <c r="AUW123" s="139"/>
      <c r="AUX123" s="139"/>
      <c r="AUY123" s="139"/>
      <c r="AUZ123" s="139"/>
      <c r="AVA123" s="139"/>
      <c r="AVB123" s="139"/>
      <c r="AVC123" s="139"/>
      <c r="AVD123" s="139"/>
      <c r="AVE123" s="139"/>
      <c r="AVF123" s="139"/>
      <c r="AVG123" s="139"/>
      <c r="AVH123" s="139"/>
      <c r="AVI123" s="139"/>
      <c r="AVJ123" s="139"/>
      <c r="AVK123" s="139"/>
      <c r="AVL123" s="139"/>
      <c r="AVM123" s="139"/>
      <c r="AVN123" s="139"/>
      <c r="AVO123" s="139"/>
      <c r="AVP123" s="139"/>
      <c r="AVQ123" s="139"/>
      <c r="AVR123" s="139"/>
      <c r="AVS123" s="139"/>
      <c r="AVT123" s="139"/>
      <c r="AVU123" s="139"/>
      <c r="AVV123" s="139"/>
      <c r="AVW123" s="139"/>
      <c r="AVX123" s="139"/>
      <c r="AVY123" s="139"/>
      <c r="AVZ123" s="139"/>
      <c r="AWA123" s="139"/>
      <c r="AWB123" s="139"/>
      <c r="AWC123" s="139"/>
      <c r="AWD123" s="139"/>
      <c r="AWE123" s="139"/>
      <c r="AWF123" s="139"/>
      <c r="AWG123" s="139"/>
      <c r="AWH123" s="139"/>
      <c r="AWI123" s="139"/>
      <c r="AWJ123" s="139"/>
      <c r="AWK123" s="139"/>
      <c r="AWL123" s="139"/>
      <c r="AWM123" s="139"/>
      <c r="AWN123" s="139"/>
      <c r="AWO123" s="139"/>
      <c r="AWP123" s="139"/>
      <c r="AWQ123" s="139"/>
      <c r="AWR123" s="139"/>
      <c r="AWS123" s="139"/>
      <c r="AWT123" s="139"/>
      <c r="AWU123" s="139"/>
      <c r="AWV123" s="139"/>
      <c r="AWW123" s="139"/>
      <c r="AWX123" s="139"/>
      <c r="AWY123" s="139"/>
      <c r="AWZ123" s="139"/>
      <c r="AXA123" s="139"/>
      <c r="AXB123" s="139"/>
      <c r="AXC123" s="139"/>
      <c r="AXD123" s="139"/>
      <c r="AXE123" s="139"/>
      <c r="AXF123" s="139"/>
      <c r="AXG123" s="139"/>
      <c r="AXH123" s="139"/>
      <c r="AXI123" s="139"/>
      <c r="AXJ123" s="139"/>
      <c r="AXK123" s="139"/>
      <c r="AXL123" s="139"/>
      <c r="AXM123" s="139"/>
      <c r="AXN123" s="139"/>
      <c r="AXO123" s="139"/>
      <c r="AXP123" s="139"/>
      <c r="AXQ123" s="139"/>
      <c r="AXR123" s="139"/>
      <c r="AXS123" s="139"/>
      <c r="AXT123" s="139"/>
      <c r="AXU123" s="139"/>
      <c r="AXV123" s="139"/>
      <c r="AXW123" s="139"/>
      <c r="AXX123" s="139"/>
      <c r="AXY123" s="139"/>
      <c r="AXZ123" s="139"/>
      <c r="AYA123" s="139"/>
      <c r="AYB123" s="139"/>
      <c r="AYC123" s="139"/>
      <c r="AYD123" s="139"/>
      <c r="AYE123" s="139"/>
      <c r="AYF123" s="139"/>
      <c r="AYG123" s="139"/>
      <c r="AYH123" s="139"/>
      <c r="AYI123" s="139"/>
      <c r="AYJ123" s="139"/>
      <c r="AYK123" s="139"/>
      <c r="AYL123" s="139"/>
      <c r="AYM123" s="139"/>
      <c r="AYN123" s="139"/>
      <c r="AYO123" s="139"/>
      <c r="AYP123" s="139"/>
      <c r="AYQ123" s="139"/>
      <c r="AYR123" s="139"/>
      <c r="AYS123" s="139"/>
      <c r="AYT123" s="139"/>
      <c r="AYU123" s="139"/>
      <c r="AYV123" s="139"/>
      <c r="AYW123" s="139"/>
      <c r="AYX123" s="139"/>
      <c r="AYY123" s="139"/>
      <c r="AYZ123" s="139"/>
      <c r="AZA123" s="139"/>
      <c r="AZB123" s="139"/>
      <c r="AZC123" s="139"/>
      <c r="AZD123" s="139"/>
      <c r="AZE123" s="139"/>
      <c r="AZF123" s="139"/>
      <c r="AZG123" s="139"/>
      <c r="AZH123" s="139"/>
      <c r="AZI123" s="139"/>
      <c r="AZJ123" s="139"/>
      <c r="AZK123" s="139"/>
      <c r="AZL123" s="139"/>
      <c r="AZM123" s="139"/>
      <c r="AZN123" s="139"/>
      <c r="AZO123" s="139"/>
      <c r="AZP123" s="139"/>
      <c r="AZQ123" s="139"/>
      <c r="AZR123" s="139"/>
      <c r="AZS123" s="139"/>
      <c r="AZT123" s="139"/>
      <c r="AZU123" s="139"/>
      <c r="AZV123" s="139"/>
      <c r="AZW123" s="139"/>
      <c r="AZX123" s="139"/>
      <c r="AZY123" s="139"/>
      <c r="AZZ123" s="139"/>
      <c r="BAA123" s="139"/>
      <c r="BAB123" s="139"/>
      <c r="BAC123" s="139"/>
      <c r="BAD123" s="139"/>
      <c r="BAE123" s="139"/>
      <c r="BAF123" s="139"/>
      <c r="BAG123" s="139"/>
      <c r="BAH123" s="139"/>
      <c r="BAI123" s="139"/>
      <c r="BAJ123" s="139"/>
      <c r="BAK123" s="139"/>
      <c r="BAL123" s="139"/>
      <c r="BAM123" s="139"/>
      <c r="BAN123" s="139"/>
      <c r="BAO123" s="139"/>
      <c r="BAP123" s="139"/>
      <c r="BAQ123" s="139"/>
      <c r="BAR123" s="139"/>
      <c r="BAS123" s="139"/>
      <c r="BAT123" s="139"/>
      <c r="BAU123" s="139"/>
      <c r="BAV123" s="139"/>
      <c r="BAW123" s="139"/>
      <c r="BAX123" s="139"/>
      <c r="BAY123" s="139"/>
      <c r="BAZ123" s="139"/>
      <c r="BBA123" s="139"/>
      <c r="BBB123" s="139"/>
      <c r="BBC123" s="139"/>
      <c r="BBD123" s="139"/>
      <c r="BBE123" s="139"/>
      <c r="BBF123" s="139"/>
      <c r="BBG123" s="139"/>
      <c r="BBH123" s="139"/>
      <c r="BBI123" s="139"/>
      <c r="BBJ123" s="139"/>
      <c r="BBK123" s="139"/>
      <c r="BBL123" s="139"/>
      <c r="BBM123" s="139"/>
      <c r="BBN123" s="139"/>
      <c r="BBO123" s="139"/>
      <c r="BBP123" s="139"/>
      <c r="BBQ123" s="139"/>
      <c r="BBR123" s="139"/>
      <c r="BBS123" s="139"/>
      <c r="BBT123" s="139"/>
      <c r="BBU123" s="139"/>
      <c r="BBV123" s="139"/>
      <c r="BBW123" s="139"/>
      <c r="BBX123" s="139"/>
      <c r="BBY123" s="139"/>
      <c r="BBZ123" s="139"/>
      <c r="BCA123" s="139"/>
      <c r="BCB123" s="139"/>
      <c r="BCC123" s="139"/>
      <c r="BCD123" s="139"/>
      <c r="BCE123" s="139"/>
      <c r="BCF123" s="139"/>
      <c r="BCG123" s="139"/>
      <c r="BCH123" s="139"/>
      <c r="BCI123" s="139"/>
      <c r="BCJ123" s="139"/>
      <c r="BCK123" s="139"/>
      <c r="BCL123" s="139"/>
      <c r="BCM123" s="139"/>
      <c r="BCN123" s="139"/>
      <c r="BCO123" s="139"/>
      <c r="BCP123" s="139"/>
      <c r="BCQ123" s="139"/>
      <c r="BCR123" s="139"/>
      <c r="BCS123" s="139"/>
      <c r="BCT123" s="139"/>
      <c r="BCU123" s="139"/>
      <c r="BCV123" s="139"/>
      <c r="BCW123" s="139"/>
      <c r="BCX123" s="139"/>
      <c r="BCY123" s="139"/>
      <c r="BCZ123" s="139"/>
      <c r="BDA123" s="139"/>
      <c r="BDB123" s="139"/>
      <c r="BDC123" s="139"/>
      <c r="BDD123" s="139"/>
      <c r="BDE123" s="139"/>
      <c r="BDF123" s="139"/>
      <c r="BDG123" s="139"/>
      <c r="BDH123" s="139"/>
      <c r="BDI123" s="139"/>
      <c r="BDJ123" s="139"/>
      <c r="BDK123" s="139"/>
      <c r="BDL123" s="139"/>
      <c r="BDM123" s="139"/>
      <c r="BDN123" s="139"/>
      <c r="BDO123" s="139"/>
      <c r="BDP123" s="139"/>
      <c r="BDQ123" s="139"/>
      <c r="BDR123" s="139"/>
      <c r="BDS123" s="139"/>
      <c r="BDT123" s="139"/>
      <c r="BDU123" s="139"/>
      <c r="BDV123" s="139"/>
      <c r="BDW123" s="139"/>
      <c r="BDX123" s="139"/>
      <c r="BDY123" s="139"/>
      <c r="BDZ123" s="139"/>
      <c r="BEA123" s="139"/>
      <c r="BEB123" s="139"/>
      <c r="BEC123" s="139"/>
      <c r="BED123" s="139"/>
      <c r="BEE123" s="139"/>
      <c r="BEF123" s="139"/>
      <c r="BEG123" s="139"/>
      <c r="BEH123" s="139"/>
      <c r="BEI123" s="139"/>
      <c r="BEJ123" s="139"/>
      <c r="BEK123" s="139"/>
      <c r="BEL123" s="139"/>
      <c r="BEM123" s="139"/>
      <c r="BEN123" s="139"/>
      <c r="BEO123" s="139"/>
      <c r="BEP123" s="139"/>
      <c r="BEQ123" s="139"/>
      <c r="BER123" s="139"/>
      <c r="BES123" s="139"/>
      <c r="BET123" s="139"/>
      <c r="BEU123" s="139"/>
      <c r="BEV123" s="139"/>
      <c r="BEW123" s="139"/>
      <c r="BEX123" s="139"/>
      <c r="BEY123" s="139"/>
      <c r="BEZ123" s="139"/>
      <c r="BFA123" s="139"/>
      <c r="BFB123" s="139"/>
      <c r="BFC123" s="139"/>
      <c r="BFD123" s="139"/>
      <c r="BFE123" s="139"/>
      <c r="BFF123" s="139"/>
      <c r="BFG123" s="139"/>
      <c r="BFH123" s="139"/>
      <c r="BFI123" s="139"/>
      <c r="BFJ123" s="139"/>
      <c r="BFK123" s="139"/>
      <c r="BFL123" s="139"/>
      <c r="BFM123" s="139"/>
      <c r="BFN123" s="139"/>
      <c r="BFO123" s="139"/>
      <c r="BFP123" s="139"/>
      <c r="BFQ123" s="139"/>
      <c r="BFR123" s="139"/>
      <c r="BFS123" s="139"/>
      <c r="BFT123" s="139"/>
      <c r="BFU123" s="139"/>
      <c r="BFV123" s="139"/>
      <c r="BFW123" s="139"/>
      <c r="BFX123" s="139"/>
      <c r="BFY123" s="139"/>
      <c r="BFZ123" s="139"/>
      <c r="BGA123" s="139"/>
      <c r="BGB123" s="139"/>
      <c r="BGC123" s="139"/>
      <c r="BGD123" s="139"/>
      <c r="BGE123" s="139"/>
      <c r="BGF123" s="139"/>
      <c r="BGG123" s="139"/>
      <c r="BGH123" s="139"/>
      <c r="BGI123" s="139"/>
      <c r="BGJ123" s="139"/>
      <c r="BGK123" s="139"/>
      <c r="BGL123" s="139"/>
      <c r="BGM123" s="139"/>
      <c r="BGN123" s="139"/>
      <c r="BGO123" s="139"/>
      <c r="BGP123" s="139"/>
      <c r="BGQ123" s="139"/>
      <c r="BGR123" s="139"/>
      <c r="BGS123" s="139"/>
      <c r="BGT123" s="139"/>
      <c r="BGU123" s="139"/>
      <c r="BGV123" s="139"/>
      <c r="BGW123" s="139"/>
      <c r="BGX123" s="139"/>
      <c r="BGY123" s="139"/>
      <c r="BGZ123" s="139"/>
      <c r="BHA123" s="139"/>
      <c r="BHB123" s="139"/>
      <c r="BHC123" s="139"/>
      <c r="BHD123" s="139"/>
      <c r="BHE123" s="139"/>
      <c r="BHF123" s="139"/>
      <c r="BHG123" s="139"/>
      <c r="BHH123" s="139"/>
      <c r="BHI123" s="139"/>
      <c r="BHJ123" s="139"/>
      <c r="BHK123" s="139"/>
      <c r="BHL123" s="139"/>
      <c r="BHM123" s="139"/>
      <c r="BHN123" s="139"/>
      <c r="BHO123" s="139"/>
      <c r="BHP123" s="139"/>
      <c r="BHQ123" s="139"/>
      <c r="BHR123" s="139"/>
      <c r="BHS123" s="139"/>
      <c r="BHT123" s="139"/>
      <c r="BHU123" s="139"/>
      <c r="BHV123" s="139"/>
      <c r="BHW123" s="139"/>
      <c r="BHX123" s="139"/>
      <c r="BHY123" s="139"/>
      <c r="BHZ123" s="139"/>
      <c r="BIA123" s="139"/>
      <c r="BIB123" s="139"/>
      <c r="BIC123" s="139"/>
      <c r="BID123" s="139"/>
      <c r="BIE123" s="139"/>
      <c r="BIF123" s="139"/>
      <c r="BIG123" s="139"/>
      <c r="BIH123" s="139"/>
      <c r="BII123" s="139"/>
      <c r="BIJ123" s="139"/>
      <c r="BIK123" s="139"/>
      <c r="BIL123" s="139"/>
      <c r="BIM123" s="139"/>
      <c r="BIN123" s="139"/>
      <c r="BIO123" s="139"/>
      <c r="BIP123" s="139"/>
      <c r="BIQ123" s="139"/>
      <c r="BIR123" s="139"/>
      <c r="BIS123" s="139"/>
      <c r="BIT123" s="139"/>
      <c r="BIU123" s="139"/>
      <c r="BIV123" s="139"/>
      <c r="BIW123" s="139"/>
      <c r="BIX123" s="139"/>
      <c r="BIY123" s="139"/>
      <c r="BIZ123" s="139"/>
      <c r="BJA123" s="139"/>
      <c r="BJB123" s="139"/>
      <c r="BJC123" s="139"/>
      <c r="BJD123" s="139"/>
      <c r="BJE123" s="139"/>
      <c r="BJF123" s="139"/>
      <c r="BJG123" s="139"/>
      <c r="BJH123" s="139"/>
      <c r="BJI123" s="139"/>
      <c r="BJJ123" s="139"/>
      <c r="BJK123" s="139"/>
      <c r="BJL123" s="139"/>
      <c r="BJM123" s="139"/>
      <c r="BJN123" s="139"/>
      <c r="BJO123" s="139"/>
      <c r="BJP123" s="139"/>
      <c r="BJQ123" s="139"/>
      <c r="BJR123" s="139"/>
      <c r="BJS123" s="139"/>
      <c r="BJT123" s="139"/>
      <c r="BJU123" s="139"/>
      <c r="BJV123" s="139"/>
      <c r="BJW123" s="139"/>
      <c r="BJX123" s="139"/>
      <c r="BJY123" s="139"/>
      <c r="BJZ123" s="139"/>
      <c r="BKA123" s="139"/>
      <c r="BKB123" s="139"/>
      <c r="BKC123" s="139"/>
      <c r="BKD123" s="139"/>
      <c r="BKE123" s="139"/>
      <c r="BKF123" s="139"/>
      <c r="BKG123" s="139"/>
      <c r="BKH123" s="139"/>
      <c r="BKI123" s="139"/>
      <c r="BKJ123" s="139"/>
      <c r="BKK123" s="139"/>
      <c r="BKL123" s="139"/>
      <c r="BKM123" s="139"/>
      <c r="BKN123" s="139"/>
      <c r="BKO123" s="139"/>
      <c r="BKP123" s="139"/>
      <c r="BKQ123" s="139"/>
      <c r="BKR123" s="139"/>
      <c r="BKS123" s="139"/>
      <c r="BKT123" s="139"/>
      <c r="BKU123" s="139"/>
      <c r="BKV123" s="139"/>
      <c r="BKW123" s="139"/>
      <c r="BKX123" s="139"/>
      <c r="BKY123" s="139"/>
      <c r="BKZ123" s="139"/>
      <c r="BLA123" s="139"/>
      <c r="BLB123" s="139"/>
      <c r="BLC123" s="139"/>
      <c r="BLD123" s="139"/>
      <c r="BLE123" s="139"/>
      <c r="BLF123" s="139"/>
      <c r="BLG123" s="139"/>
      <c r="BLH123" s="139"/>
      <c r="BLI123" s="139"/>
      <c r="BLJ123" s="139"/>
      <c r="BLK123" s="139"/>
      <c r="BLL123" s="139"/>
      <c r="BLM123" s="139"/>
      <c r="BLN123" s="139"/>
      <c r="BLO123" s="139"/>
      <c r="BLP123" s="139"/>
      <c r="BLQ123" s="139"/>
      <c r="BLR123" s="139"/>
      <c r="BLS123" s="139"/>
      <c r="BLT123" s="139"/>
      <c r="BLU123" s="139"/>
      <c r="BLV123" s="139"/>
      <c r="BLW123" s="139"/>
      <c r="BLX123" s="139"/>
      <c r="BLY123" s="139"/>
      <c r="BLZ123" s="139"/>
      <c r="BMA123" s="139"/>
      <c r="BMB123" s="139"/>
      <c r="BMC123" s="139"/>
      <c r="BMD123" s="139"/>
      <c r="BME123" s="139"/>
      <c r="BMF123" s="139"/>
      <c r="BMG123" s="139"/>
      <c r="BMH123" s="139"/>
      <c r="BMI123" s="139"/>
      <c r="BMJ123" s="139"/>
      <c r="BMK123" s="139"/>
      <c r="BML123" s="139"/>
      <c r="BMM123" s="139"/>
      <c r="BMN123" s="139"/>
      <c r="BMO123" s="139"/>
      <c r="BMP123" s="139"/>
      <c r="BMQ123" s="139"/>
      <c r="BMR123" s="139"/>
      <c r="BMS123" s="139"/>
      <c r="BMT123" s="139"/>
      <c r="BMU123" s="139"/>
      <c r="BMV123" s="139"/>
      <c r="BMW123" s="139"/>
      <c r="BMX123" s="139"/>
      <c r="BMY123" s="139"/>
      <c r="BMZ123" s="139"/>
      <c r="BNA123" s="139"/>
      <c r="BNB123" s="139"/>
      <c r="BNC123" s="139"/>
      <c r="BND123" s="139"/>
      <c r="BNE123" s="139"/>
      <c r="BNF123" s="139"/>
      <c r="BNG123" s="139"/>
      <c r="BNH123" s="139"/>
      <c r="BNI123" s="139"/>
      <c r="BNJ123" s="139"/>
      <c r="BNK123" s="139"/>
      <c r="BNL123" s="139"/>
      <c r="BNM123" s="139"/>
      <c r="BNN123" s="139"/>
      <c r="BNO123" s="139"/>
      <c r="BNP123" s="139"/>
      <c r="BNQ123" s="139"/>
      <c r="BNR123" s="139"/>
      <c r="BNS123" s="139"/>
      <c r="BNT123" s="139"/>
      <c r="BNU123" s="139"/>
      <c r="BNV123" s="139"/>
      <c r="BNW123" s="139"/>
      <c r="BNX123" s="139"/>
      <c r="BNY123" s="139"/>
      <c r="BNZ123" s="139"/>
      <c r="BOA123" s="139"/>
      <c r="BOB123" s="139"/>
      <c r="BOC123" s="139"/>
      <c r="BOD123" s="139"/>
      <c r="BOE123" s="139"/>
      <c r="BOF123" s="139"/>
      <c r="BOG123" s="139"/>
      <c r="BOH123" s="139"/>
      <c r="BOI123" s="139"/>
      <c r="BOJ123" s="139"/>
      <c r="BOK123" s="139"/>
      <c r="BOL123" s="139"/>
      <c r="BOM123" s="139"/>
      <c r="BON123" s="139"/>
      <c r="BOO123" s="139"/>
      <c r="BOP123" s="139"/>
      <c r="BOQ123" s="139"/>
      <c r="BOR123" s="139"/>
      <c r="BOS123" s="139"/>
      <c r="BOT123" s="139"/>
      <c r="BOU123" s="139"/>
      <c r="BOV123" s="139"/>
      <c r="BOW123" s="139"/>
      <c r="BOX123" s="139"/>
      <c r="BOY123" s="139"/>
      <c r="BOZ123" s="139"/>
      <c r="BPA123" s="139"/>
      <c r="BPB123" s="139"/>
      <c r="BPC123" s="139"/>
      <c r="BPD123" s="139"/>
      <c r="BPE123" s="139"/>
      <c r="BPF123" s="139"/>
      <c r="BPG123" s="139"/>
      <c r="BPH123" s="139"/>
      <c r="BPI123" s="139"/>
      <c r="BPJ123" s="139"/>
      <c r="BPK123" s="139"/>
      <c r="BPL123" s="139"/>
      <c r="BPM123" s="139"/>
      <c r="BPN123" s="139"/>
      <c r="BPO123" s="139"/>
      <c r="BPP123" s="139"/>
      <c r="BPQ123" s="139"/>
      <c r="BPR123" s="139"/>
      <c r="BPS123" s="139"/>
      <c r="BPT123" s="139"/>
      <c r="BPU123" s="139"/>
      <c r="BPV123" s="139"/>
      <c r="BPW123" s="139"/>
      <c r="BPX123" s="139"/>
      <c r="BPY123" s="139"/>
      <c r="BPZ123" s="139"/>
      <c r="BQA123" s="139"/>
      <c r="BQB123" s="139"/>
      <c r="BQC123" s="139"/>
      <c r="BQD123" s="139"/>
      <c r="BQE123" s="139"/>
      <c r="BQF123" s="139"/>
      <c r="BQG123" s="139"/>
      <c r="BQH123" s="139"/>
      <c r="BQI123" s="139"/>
      <c r="BQJ123" s="139"/>
      <c r="BQK123" s="139"/>
      <c r="BQL123" s="139"/>
      <c r="BQM123" s="139"/>
      <c r="BQN123" s="139"/>
      <c r="BQO123" s="139"/>
      <c r="BQP123" s="139"/>
      <c r="BQQ123" s="139"/>
      <c r="BQR123" s="139"/>
      <c r="BQS123" s="139"/>
      <c r="BQT123" s="139"/>
      <c r="BQU123" s="139"/>
      <c r="BQV123" s="139"/>
      <c r="BQW123" s="139"/>
      <c r="BQX123" s="139"/>
      <c r="BQY123" s="139"/>
      <c r="BQZ123" s="139"/>
      <c r="BRA123" s="139"/>
      <c r="BRB123" s="139"/>
      <c r="BRC123" s="139"/>
      <c r="BRD123" s="139"/>
      <c r="BRE123" s="139"/>
      <c r="BRF123" s="139"/>
      <c r="BRG123" s="139"/>
      <c r="BRH123" s="139"/>
      <c r="BRI123" s="139"/>
      <c r="BRJ123" s="139"/>
      <c r="BRK123" s="139"/>
      <c r="BRL123" s="139"/>
      <c r="BRM123" s="139"/>
      <c r="BRN123" s="139"/>
      <c r="BRO123" s="139"/>
      <c r="BRP123" s="139"/>
      <c r="BRQ123" s="139"/>
      <c r="BRR123" s="139"/>
      <c r="BRS123" s="139"/>
      <c r="BRT123" s="139"/>
      <c r="BRU123" s="139"/>
      <c r="BRV123" s="139"/>
      <c r="BRW123" s="139"/>
      <c r="BRX123" s="139"/>
      <c r="BRY123" s="139"/>
      <c r="BRZ123" s="139"/>
      <c r="BSA123" s="139"/>
      <c r="BSB123" s="139"/>
      <c r="BSC123" s="139"/>
      <c r="BSD123" s="139"/>
      <c r="BSE123" s="139"/>
      <c r="BSF123" s="139"/>
      <c r="BSG123" s="139"/>
      <c r="BSH123" s="139"/>
      <c r="BSI123" s="139"/>
      <c r="BSJ123" s="139"/>
      <c r="BSK123" s="139"/>
      <c r="BSL123" s="139"/>
      <c r="BSM123" s="139"/>
      <c r="BSN123" s="139"/>
      <c r="BSO123" s="139"/>
      <c r="BSP123" s="139"/>
      <c r="BSQ123" s="139"/>
      <c r="BSR123" s="139"/>
      <c r="BSS123" s="139"/>
      <c r="BST123" s="139"/>
      <c r="BSU123" s="139"/>
      <c r="BSV123" s="139"/>
      <c r="BSW123" s="139"/>
      <c r="BSX123" s="139"/>
      <c r="BSY123" s="139"/>
      <c r="BSZ123" s="139"/>
      <c r="BTA123" s="139"/>
      <c r="BTB123" s="139"/>
      <c r="BTC123" s="139"/>
      <c r="BTD123" s="139"/>
      <c r="BTE123" s="139"/>
      <c r="BTF123" s="139"/>
      <c r="BTG123" s="139"/>
      <c r="BTH123" s="139"/>
      <c r="BTI123" s="139"/>
      <c r="BTJ123" s="139"/>
      <c r="BTK123" s="139"/>
      <c r="BTL123" s="139"/>
      <c r="BTM123" s="139"/>
      <c r="BTN123" s="139"/>
      <c r="BTO123" s="139"/>
      <c r="BTP123" s="139"/>
      <c r="BTQ123" s="139"/>
      <c r="BTR123" s="139"/>
      <c r="BTS123" s="139"/>
      <c r="BTT123" s="139"/>
      <c r="BTU123" s="139"/>
      <c r="BTV123" s="139"/>
      <c r="BTW123" s="139"/>
      <c r="BTX123" s="139"/>
      <c r="BTY123" s="139"/>
      <c r="BTZ123" s="139"/>
      <c r="BUA123" s="139"/>
      <c r="BUB123" s="139"/>
      <c r="BUC123" s="139"/>
      <c r="BUD123" s="139"/>
      <c r="BUE123" s="139"/>
      <c r="BUF123" s="139"/>
      <c r="BUG123" s="139"/>
      <c r="BUH123" s="139"/>
      <c r="BUI123" s="139"/>
      <c r="BUJ123" s="139"/>
      <c r="BUK123" s="139"/>
      <c r="BUL123" s="139"/>
      <c r="BUM123" s="139"/>
      <c r="BUN123" s="139"/>
      <c r="BUO123" s="139"/>
      <c r="BUP123" s="139"/>
      <c r="BUQ123" s="139"/>
      <c r="BUR123" s="139"/>
      <c r="BUS123" s="139"/>
      <c r="BUT123" s="139"/>
      <c r="BUU123" s="139"/>
      <c r="BUV123" s="139"/>
      <c r="BUW123" s="139"/>
      <c r="BUX123" s="139"/>
      <c r="BUY123" s="139"/>
      <c r="BUZ123" s="139"/>
      <c r="BVA123" s="139"/>
      <c r="BVB123" s="139"/>
      <c r="BVC123" s="139"/>
      <c r="BVD123" s="139"/>
      <c r="BVE123" s="139"/>
      <c r="BVF123" s="139"/>
      <c r="BVG123" s="139"/>
      <c r="BVH123" s="139"/>
      <c r="BVI123" s="139"/>
      <c r="BVJ123" s="139"/>
      <c r="BVK123" s="139"/>
      <c r="BVL123" s="139"/>
      <c r="BVM123" s="139"/>
      <c r="BVN123" s="139"/>
      <c r="BVO123" s="139"/>
      <c r="BVP123" s="139"/>
      <c r="BVQ123" s="139"/>
      <c r="BVR123" s="139"/>
      <c r="BVS123" s="139"/>
      <c r="BVT123" s="139"/>
      <c r="BVU123" s="139"/>
      <c r="BVV123" s="139"/>
      <c r="BVW123" s="139"/>
      <c r="BVX123" s="139"/>
      <c r="BVY123" s="139"/>
      <c r="BVZ123" s="139"/>
      <c r="BWA123" s="139"/>
      <c r="BWB123" s="139"/>
      <c r="BWC123" s="139"/>
      <c r="BWD123" s="139"/>
      <c r="BWE123" s="139"/>
      <c r="BWF123" s="139"/>
      <c r="BWG123" s="139"/>
      <c r="BWH123" s="139"/>
      <c r="BWI123" s="139"/>
      <c r="BWJ123" s="139"/>
      <c r="BWK123" s="139"/>
      <c r="BWL123" s="139"/>
      <c r="BWM123" s="139"/>
      <c r="BWN123" s="139"/>
      <c r="BWO123" s="139"/>
      <c r="BWP123" s="139"/>
      <c r="BWQ123" s="139"/>
      <c r="BWR123" s="139"/>
      <c r="BWS123" s="139"/>
      <c r="BWT123" s="139"/>
      <c r="BWU123" s="139"/>
      <c r="BWV123" s="139"/>
      <c r="BWW123" s="139"/>
      <c r="BWX123" s="139"/>
      <c r="BWY123" s="139"/>
      <c r="BWZ123" s="139"/>
      <c r="BXA123" s="139"/>
      <c r="BXB123" s="139"/>
      <c r="BXC123" s="139"/>
      <c r="BXD123" s="139"/>
      <c r="BXE123" s="139"/>
      <c r="BXF123" s="139"/>
      <c r="BXG123" s="139"/>
      <c r="BXH123" s="139"/>
      <c r="BXI123" s="139"/>
      <c r="BXJ123" s="139"/>
      <c r="BXK123" s="139"/>
      <c r="BXL123" s="139"/>
      <c r="BXM123" s="139"/>
      <c r="BXN123" s="139"/>
      <c r="BXO123" s="139"/>
      <c r="BXP123" s="139"/>
      <c r="BXQ123" s="139"/>
      <c r="BXR123" s="139"/>
      <c r="BXS123" s="139"/>
      <c r="BXT123" s="139"/>
      <c r="BXU123" s="139"/>
      <c r="BXV123" s="139"/>
      <c r="BXW123" s="139"/>
      <c r="BXX123" s="139"/>
      <c r="BXY123" s="139"/>
      <c r="BXZ123" s="139"/>
      <c r="BYA123" s="139"/>
      <c r="BYB123" s="139"/>
      <c r="BYC123" s="139"/>
      <c r="BYD123" s="139"/>
      <c r="BYE123" s="139"/>
      <c r="BYF123" s="139"/>
      <c r="BYG123" s="139"/>
      <c r="BYH123" s="139"/>
      <c r="BYI123" s="139"/>
      <c r="BYJ123" s="139"/>
      <c r="BYK123" s="139"/>
      <c r="BYL123" s="139"/>
      <c r="BYM123" s="139"/>
      <c r="BYN123" s="139"/>
      <c r="BYO123" s="139"/>
      <c r="BYP123" s="139"/>
      <c r="BYQ123" s="139"/>
      <c r="BYR123" s="139"/>
      <c r="BYS123" s="139"/>
      <c r="BYT123" s="139"/>
      <c r="BYU123" s="139"/>
      <c r="BYV123" s="139"/>
      <c r="BYW123" s="139"/>
      <c r="BYX123" s="139"/>
      <c r="BYY123" s="139"/>
      <c r="BYZ123" s="139"/>
      <c r="BZA123" s="139"/>
      <c r="BZB123" s="139"/>
      <c r="BZC123" s="139"/>
      <c r="BZD123" s="139"/>
      <c r="BZE123" s="139"/>
      <c r="BZF123" s="139"/>
      <c r="BZG123" s="139"/>
      <c r="BZH123" s="139"/>
      <c r="BZI123" s="139"/>
      <c r="BZJ123" s="139"/>
      <c r="BZK123" s="139"/>
      <c r="BZL123" s="139"/>
      <c r="BZM123" s="139"/>
      <c r="BZN123" s="139"/>
      <c r="BZO123" s="139"/>
      <c r="BZP123" s="139"/>
      <c r="BZQ123" s="139"/>
      <c r="BZR123" s="139"/>
      <c r="BZS123" s="139"/>
      <c r="BZT123" s="139"/>
      <c r="BZU123" s="139"/>
      <c r="BZV123" s="139"/>
      <c r="BZW123" s="139"/>
      <c r="BZX123" s="139"/>
      <c r="BZY123" s="139"/>
      <c r="BZZ123" s="139"/>
      <c r="CAA123" s="139"/>
      <c r="CAB123" s="139"/>
      <c r="CAC123" s="139"/>
      <c r="CAD123" s="139"/>
      <c r="CAE123" s="139"/>
      <c r="CAF123" s="139"/>
      <c r="CAG123" s="139"/>
      <c r="CAH123" s="139"/>
      <c r="CAI123" s="139"/>
      <c r="CAJ123" s="139"/>
      <c r="CAK123" s="139"/>
      <c r="CAL123" s="139"/>
      <c r="CAM123" s="139"/>
      <c r="CAN123" s="139"/>
      <c r="CAO123" s="139"/>
      <c r="CAP123" s="139"/>
      <c r="CAQ123" s="139"/>
      <c r="CAR123" s="139"/>
      <c r="CAS123" s="139"/>
      <c r="CAT123" s="139"/>
      <c r="CAU123" s="139"/>
      <c r="CAV123" s="139"/>
      <c r="CAW123" s="139"/>
      <c r="CAX123" s="139"/>
      <c r="CAY123" s="139"/>
      <c r="CAZ123" s="139"/>
      <c r="CBA123" s="139"/>
      <c r="CBB123" s="139"/>
      <c r="CBC123" s="139"/>
      <c r="CBD123" s="139"/>
      <c r="CBE123" s="139"/>
      <c r="CBF123" s="139"/>
      <c r="CBG123" s="139"/>
      <c r="CBH123" s="139"/>
      <c r="CBI123" s="139"/>
      <c r="CBJ123" s="139"/>
      <c r="CBK123" s="139"/>
      <c r="CBL123" s="139"/>
      <c r="CBM123" s="139"/>
      <c r="CBN123" s="139"/>
      <c r="CBO123" s="139"/>
      <c r="CBP123" s="139"/>
      <c r="CBQ123" s="139"/>
      <c r="CBR123" s="139"/>
      <c r="CBS123" s="139"/>
      <c r="CBT123" s="139"/>
      <c r="CBU123" s="139"/>
      <c r="CBV123" s="139"/>
      <c r="CBW123" s="139"/>
      <c r="CBX123" s="139"/>
      <c r="CBY123" s="139"/>
      <c r="CBZ123" s="139"/>
      <c r="CCA123" s="139"/>
      <c r="CCB123" s="139"/>
      <c r="CCC123" s="139"/>
      <c r="CCD123" s="139"/>
      <c r="CCE123" s="139"/>
      <c r="CCF123" s="139"/>
      <c r="CCG123" s="139"/>
      <c r="CCH123" s="139"/>
      <c r="CCI123" s="139"/>
      <c r="CCJ123" s="139"/>
      <c r="CCK123" s="139"/>
      <c r="CCL123" s="139"/>
      <c r="CCM123" s="139"/>
      <c r="CCN123" s="139"/>
      <c r="CCO123" s="139"/>
      <c r="CCP123" s="139"/>
      <c r="CCQ123" s="139"/>
      <c r="CCR123" s="139"/>
      <c r="CCS123" s="139"/>
      <c r="CCT123" s="139"/>
      <c r="CCU123" s="139"/>
      <c r="CCV123" s="139"/>
      <c r="CCW123" s="139"/>
      <c r="CCX123" s="139"/>
      <c r="CCY123" s="139"/>
      <c r="CCZ123" s="139"/>
      <c r="CDA123" s="139"/>
      <c r="CDB123" s="139"/>
      <c r="CDC123" s="139"/>
      <c r="CDD123" s="139"/>
      <c r="CDE123" s="139"/>
      <c r="CDF123" s="139"/>
      <c r="CDG123" s="139"/>
      <c r="CDH123" s="139"/>
      <c r="CDI123" s="139"/>
      <c r="CDJ123" s="139"/>
      <c r="CDK123" s="139"/>
      <c r="CDL123" s="139"/>
      <c r="CDM123" s="139"/>
      <c r="CDN123" s="139"/>
      <c r="CDO123" s="139"/>
      <c r="CDP123" s="139"/>
      <c r="CDQ123" s="139"/>
      <c r="CDR123" s="139"/>
      <c r="CDS123" s="139"/>
      <c r="CDT123" s="139"/>
      <c r="CDU123" s="139"/>
      <c r="CDV123" s="139"/>
      <c r="CDW123" s="139"/>
      <c r="CDX123" s="139"/>
      <c r="CDY123" s="139"/>
      <c r="CDZ123" s="139"/>
      <c r="CEA123" s="139"/>
      <c r="CEB123" s="139"/>
      <c r="CEC123" s="139"/>
      <c r="CED123" s="139"/>
      <c r="CEE123" s="139"/>
      <c r="CEF123" s="139"/>
      <c r="CEG123" s="139"/>
      <c r="CEH123" s="139"/>
      <c r="CEI123" s="139"/>
      <c r="CEJ123" s="139"/>
      <c r="CEK123" s="139"/>
      <c r="CEL123" s="139"/>
      <c r="CEM123" s="139"/>
      <c r="CEN123" s="139"/>
      <c r="CEO123" s="139"/>
      <c r="CEP123" s="139"/>
      <c r="CEQ123" s="139"/>
      <c r="CER123" s="139"/>
      <c r="CES123" s="139"/>
      <c r="CET123" s="139"/>
      <c r="CEU123" s="139"/>
      <c r="CEV123" s="139"/>
      <c r="CEW123" s="139"/>
      <c r="CEX123" s="139"/>
      <c r="CEY123" s="139"/>
      <c r="CEZ123" s="139"/>
      <c r="CFA123" s="139"/>
      <c r="CFB123" s="139"/>
      <c r="CFC123" s="139"/>
      <c r="CFD123" s="139"/>
      <c r="CFE123" s="139"/>
      <c r="CFF123" s="139"/>
      <c r="CFG123" s="139"/>
      <c r="CFH123" s="139"/>
      <c r="CFI123" s="139"/>
      <c r="CFJ123" s="139"/>
      <c r="CFK123" s="139"/>
      <c r="CFL123" s="139"/>
      <c r="CFM123" s="139"/>
      <c r="CFN123" s="139"/>
      <c r="CFO123" s="139"/>
      <c r="CFP123" s="139"/>
      <c r="CFQ123" s="139"/>
      <c r="CFR123" s="139"/>
      <c r="CFS123" s="139"/>
      <c r="CFT123" s="139"/>
      <c r="CFU123" s="139"/>
      <c r="CFV123" s="139"/>
      <c r="CFW123" s="139"/>
      <c r="CFX123" s="139"/>
      <c r="CFY123" s="139"/>
      <c r="CFZ123" s="139"/>
      <c r="CGA123" s="139"/>
      <c r="CGB123" s="139"/>
      <c r="CGC123" s="139"/>
      <c r="CGD123" s="139"/>
      <c r="CGE123" s="139"/>
      <c r="CGF123" s="139"/>
      <c r="CGG123" s="139"/>
      <c r="CGH123" s="139"/>
      <c r="CGI123" s="139"/>
      <c r="CGJ123" s="139"/>
      <c r="CGK123" s="139"/>
      <c r="CGL123" s="139"/>
      <c r="CGM123" s="139"/>
      <c r="CGN123" s="139"/>
      <c r="CGO123" s="139"/>
      <c r="CGP123" s="139"/>
      <c r="CGQ123" s="139"/>
      <c r="CGR123" s="139"/>
      <c r="CGS123" s="139"/>
      <c r="CGT123" s="139"/>
      <c r="CGU123" s="139"/>
      <c r="CGV123" s="139"/>
      <c r="CGW123" s="139"/>
      <c r="CGX123" s="139"/>
      <c r="CGY123" s="139"/>
      <c r="CGZ123" s="139"/>
      <c r="CHA123" s="139"/>
      <c r="CHB123" s="139"/>
      <c r="CHC123" s="139"/>
      <c r="CHD123" s="139"/>
      <c r="CHE123" s="139"/>
      <c r="CHF123" s="139"/>
      <c r="CHG123" s="139"/>
      <c r="CHH123" s="139"/>
      <c r="CHI123" s="139"/>
      <c r="CHJ123" s="139"/>
      <c r="CHK123" s="139"/>
      <c r="CHL123" s="139"/>
      <c r="CHM123" s="139"/>
      <c r="CHN123" s="139"/>
      <c r="CHO123" s="139"/>
      <c r="CHP123" s="139"/>
      <c r="CHQ123" s="139"/>
      <c r="CHR123" s="139"/>
      <c r="CHS123" s="139"/>
      <c r="CHT123" s="139"/>
      <c r="CHU123" s="139"/>
      <c r="CHV123" s="139"/>
      <c r="CHW123" s="139"/>
      <c r="CHX123" s="139"/>
      <c r="CHY123" s="139"/>
      <c r="CHZ123" s="139"/>
      <c r="CIA123" s="139"/>
      <c r="CIB123" s="139"/>
      <c r="CIC123" s="139"/>
      <c r="CID123" s="139"/>
      <c r="CIE123" s="139"/>
      <c r="CIF123" s="139"/>
      <c r="CIG123" s="139"/>
      <c r="CIH123" s="139"/>
      <c r="CII123" s="139"/>
      <c r="CIJ123" s="139"/>
      <c r="CIK123" s="139"/>
      <c r="CIL123" s="139"/>
      <c r="CIM123" s="139"/>
      <c r="CIN123" s="139"/>
      <c r="CIO123" s="139"/>
      <c r="CIP123" s="139"/>
      <c r="CIQ123" s="139"/>
      <c r="CIR123" s="139"/>
      <c r="CIS123" s="139"/>
      <c r="CIT123" s="139"/>
      <c r="CIU123" s="139"/>
      <c r="CIV123" s="139"/>
      <c r="CIW123" s="139"/>
      <c r="CIX123" s="139"/>
      <c r="CIY123" s="139"/>
      <c r="CIZ123" s="139"/>
      <c r="CJA123" s="139"/>
      <c r="CJB123" s="139"/>
      <c r="CJC123" s="139"/>
      <c r="CJD123" s="139"/>
      <c r="CJE123" s="139"/>
      <c r="CJF123" s="139"/>
      <c r="CJG123" s="139"/>
      <c r="CJH123" s="139"/>
      <c r="CJI123" s="139"/>
      <c r="CJJ123" s="139"/>
      <c r="CJK123" s="139"/>
      <c r="CJL123" s="139"/>
      <c r="CJM123" s="139"/>
      <c r="CJN123" s="139"/>
      <c r="CJO123" s="139"/>
      <c r="CJP123" s="139"/>
      <c r="CJQ123" s="139"/>
      <c r="CJR123" s="139"/>
      <c r="CJS123" s="139"/>
      <c r="CJT123" s="139"/>
      <c r="CJU123" s="139"/>
      <c r="CJV123" s="139"/>
      <c r="CJW123" s="139"/>
      <c r="CJX123" s="139"/>
      <c r="CJY123" s="139"/>
      <c r="CJZ123" s="139"/>
      <c r="CKA123" s="139"/>
      <c r="CKB123" s="139"/>
      <c r="CKC123" s="139"/>
      <c r="CKD123" s="139"/>
      <c r="CKE123" s="139"/>
      <c r="CKF123" s="139"/>
      <c r="CKG123" s="139"/>
      <c r="CKH123" s="139"/>
      <c r="CKI123" s="139"/>
      <c r="CKJ123" s="139"/>
      <c r="CKK123" s="139"/>
      <c r="CKL123" s="139"/>
      <c r="CKM123" s="139"/>
      <c r="CKN123" s="139"/>
      <c r="CKO123" s="139"/>
      <c r="CKP123" s="139"/>
      <c r="CKQ123" s="139"/>
      <c r="CKR123" s="139"/>
      <c r="CKS123" s="139"/>
      <c r="CKT123" s="139"/>
      <c r="CKU123" s="139"/>
      <c r="CKV123" s="139"/>
      <c r="CKW123" s="139"/>
      <c r="CKX123" s="139"/>
      <c r="CKY123" s="139"/>
      <c r="CKZ123" s="139"/>
      <c r="CLA123" s="139"/>
      <c r="CLB123" s="139"/>
      <c r="CLC123" s="139"/>
      <c r="CLD123" s="139"/>
      <c r="CLE123" s="139"/>
      <c r="CLF123" s="139"/>
      <c r="CLG123" s="139"/>
      <c r="CLH123" s="139"/>
      <c r="CLI123" s="139"/>
      <c r="CLJ123" s="139"/>
      <c r="CLK123" s="139"/>
      <c r="CLL123" s="139"/>
      <c r="CLM123" s="139"/>
      <c r="CLN123" s="139"/>
      <c r="CLO123" s="139"/>
      <c r="CLP123" s="139"/>
      <c r="CLQ123" s="139"/>
      <c r="CLR123" s="139"/>
      <c r="CLS123" s="139"/>
      <c r="CLT123" s="139"/>
      <c r="CLU123" s="139"/>
      <c r="CLV123" s="139"/>
      <c r="CLW123" s="139"/>
      <c r="CLX123" s="139"/>
      <c r="CLY123" s="139"/>
      <c r="CLZ123" s="139"/>
      <c r="CMA123" s="139"/>
      <c r="CMB123" s="139"/>
      <c r="CMC123" s="139"/>
      <c r="CMD123" s="139"/>
      <c r="CME123" s="139"/>
      <c r="CMF123" s="139"/>
      <c r="CMG123" s="139"/>
      <c r="CMH123" s="139"/>
      <c r="CMI123" s="139"/>
      <c r="CMJ123" s="139"/>
      <c r="CMK123" s="139"/>
      <c r="CML123" s="139"/>
      <c r="CMM123" s="139"/>
      <c r="CMN123" s="139"/>
      <c r="CMO123" s="139"/>
      <c r="CMP123" s="139"/>
      <c r="CMQ123" s="139"/>
      <c r="CMR123" s="139"/>
      <c r="CMS123" s="139"/>
      <c r="CMT123" s="139"/>
      <c r="CMU123" s="139"/>
      <c r="CMV123" s="139"/>
      <c r="CMW123" s="139"/>
      <c r="CMX123" s="139"/>
      <c r="CMY123" s="139"/>
      <c r="CMZ123" s="139"/>
      <c r="CNA123" s="139"/>
      <c r="CNB123" s="139"/>
      <c r="CNC123" s="139"/>
      <c r="CND123" s="139"/>
      <c r="CNE123" s="139"/>
      <c r="CNF123" s="139"/>
      <c r="CNG123" s="139"/>
      <c r="CNH123" s="139"/>
      <c r="CNI123" s="139"/>
      <c r="CNJ123" s="139"/>
      <c r="CNK123" s="139"/>
      <c r="CNL123" s="139"/>
      <c r="CNM123" s="139"/>
      <c r="CNN123" s="139"/>
      <c r="CNO123" s="139"/>
      <c r="CNP123" s="139"/>
      <c r="CNQ123" s="139"/>
      <c r="CNR123" s="139"/>
      <c r="CNS123" s="139"/>
      <c r="CNT123" s="139"/>
      <c r="CNU123" s="139"/>
      <c r="CNV123" s="139"/>
      <c r="CNW123" s="139"/>
      <c r="CNX123" s="139"/>
      <c r="CNY123" s="139"/>
      <c r="CNZ123" s="139"/>
      <c r="COA123" s="139"/>
      <c r="COB123" s="139"/>
      <c r="COC123" s="139"/>
      <c r="COD123" s="139"/>
      <c r="COE123" s="139"/>
      <c r="COF123" s="139"/>
      <c r="COG123" s="139"/>
      <c r="COH123" s="139"/>
      <c r="COI123" s="139"/>
      <c r="COJ123" s="139"/>
      <c r="COK123" s="139"/>
      <c r="COL123" s="139"/>
      <c r="COM123" s="139"/>
      <c r="CON123" s="139"/>
      <c r="COO123" s="139"/>
      <c r="COP123" s="139"/>
      <c r="COQ123" s="139"/>
      <c r="COR123" s="139"/>
      <c r="COS123" s="139"/>
      <c r="COT123" s="139"/>
      <c r="COU123" s="139"/>
      <c r="COV123" s="139"/>
      <c r="COW123" s="139"/>
      <c r="COX123" s="139"/>
      <c r="COY123" s="139"/>
      <c r="COZ123" s="139"/>
      <c r="CPA123" s="139"/>
      <c r="CPB123" s="139"/>
      <c r="CPC123" s="139"/>
      <c r="CPD123" s="139"/>
      <c r="CPE123" s="139"/>
      <c r="CPF123" s="139"/>
      <c r="CPG123" s="139"/>
      <c r="CPH123" s="139"/>
      <c r="CPI123" s="139"/>
      <c r="CPJ123" s="139"/>
      <c r="CPK123" s="139"/>
      <c r="CPL123" s="139"/>
      <c r="CPM123" s="139"/>
      <c r="CPN123" s="139"/>
      <c r="CPO123" s="139"/>
      <c r="CPP123" s="139"/>
      <c r="CPQ123" s="139"/>
      <c r="CPR123" s="139"/>
      <c r="CPS123" s="139"/>
      <c r="CPT123" s="139"/>
      <c r="CPU123" s="139"/>
      <c r="CPV123" s="139"/>
      <c r="CPW123" s="139"/>
      <c r="CPX123" s="139"/>
      <c r="CPY123" s="139"/>
      <c r="CPZ123" s="139"/>
      <c r="CQA123" s="139"/>
      <c r="CQB123" s="139"/>
      <c r="CQC123" s="139"/>
      <c r="CQD123" s="139"/>
      <c r="CQE123" s="139"/>
      <c r="CQF123" s="139"/>
      <c r="CQG123" s="139"/>
      <c r="CQH123" s="139"/>
      <c r="CQI123" s="139"/>
      <c r="CQJ123" s="139"/>
      <c r="CQK123" s="139"/>
      <c r="CQL123" s="139"/>
      <c r="CQM123" s="139"/>
      <c r="CQN123" s="139"/>
      <c r="CQO123" s="139"/>
      <c r="CQP123" s="139"/>
      <c r="CQQ123" s="139"/>
      <c r="CQR123" s="139"/>
      <c r="CQS123" s="139"/>
      <c r="CQT123" s="139"/>
      <c r="CQU123" s="139"/>
      <c r="CQV123" s="139"/>
      <c r="CQW123" s="139"/>
      <c r="CQX123" s="139"/>
      <c r="CQY123" s="139"/>
      <c r="CQZ123" s="139"/>
      <c r="CRA123" s="139"/>
      <c r="CRB123" s="139"/>
      <c r="CRC123" s="139"/>
      <c r="CRD123" s="139"/>
      <c r="CRE123" s="139"/>
      <c r="CRF123" s="139"/>
      <c r="CRG123" s="139"/>
      <c r="CRH123" s="139"/>
      <c r="CRI123" s="139"/>
      <c r="CRJ123" s="139"/>
      <c r="CRK123" s="139"/>
      <c r="CRL123" s="139"/>
      <c r="CRM123" s="139"/>
      <c r="CRN123" s="139"/>
      <c r="CRO123" s="139"/>
      <c r="CRP123" s="139"/>
      <c r="CRQ123" s="139"/>
      <c r="CRR123" s="139"/>
      <c r="CRS123" s="139"/>
      <c r="CRT123" s="139"/>
      <c r="CRU123" s="139"/>
      <c r="CRV123" s="139"/>
      <c r="CRW123" s="139"/>
      <c r="CRX123" s="139"/>
      <c r="CRY123" s="139"/>
      <c r="CRZ123" s="139"/>
      <c r="CSA123" s="139"/>
      <c r="CSB123" s="139"/>
      <c r="CSC123" s="139"/>
      <c r="CSD123" s="139"/>
      <c r="CSE123" s="139"/>
      <c r="CSF123" s="139"/>
      <c r="CSG123" s="139"/>
      <c r="CSH123" s="139"/>
      <c r="CSI123" s="139"/>
      <c r="CSJ123" s="139"/>
      <c r="CSK123" s="139"/>
      <c r="CSL123" s="139"/>
      <c r="CSM123" s="139"/>
      <c r="CSN123" s="139"/>
      <c r="CSO123" s="139"/>
      <c r="CSP123" s="139"/>
      <c r="CSQ123" s="139"/>
      <c r="CSR123" s="139"/>
      <c r="CSS123" s="139"/>
      <c r="CST123" s="139"/>
      <c r="CSU123" s="139"/>
      <c r="CSV123" s="139"/>
      <c r="CSW123" s="139"/>
      <c r="CSX123" s="139"/>
      <c r="CSY123" s="139"/>
      <c r="CSZ123" s="139"/>
      <c r="CTA123" s="139"/>
      <c r="CTB123" s="139"/>
      <c r="CTC123" s="139"/>
      <c r="CTD123" s="139"/>
      <c r="CTE123" s="139"/>
      <c r="CTF123" s="139"/>
      <c r="CTG123" s="139"/>
      <c r="CTH123" s="139"/>
      <c r="CTI123" s="139"/>
      <c r="CTJ123" s="139"/>
      <c r="CTK123" s="139"/>
      <c r="CTL123" s="139"/>
      <c r="CTM123" s="139"/>
      <c r="CTN123" s="139"/>
      <c r="CTO123" s="139"/>
      <c r="CTP123" s="139"/>
      <c r="CTQ123" s="139"/>
      <c r="CTR123" s="139"/>
      <c r="CTS123" s="139"/>
      <c r="CTT123" s="139"/>
      <c r="CTU123" s="139"/>
      <c r="CTV123" s="139"/>
      <c r="CTW123" s="139"/>
      <c r="CTX123" s="139"/>
      <c r="CTY123" s="139"/>
      <c r="CTZ123" s="139"/>
      <c r="CUA123" s="139"/>
      <c r="CUB123" s="139"/>
      <c r="CUC123" s="139"/>
      <c r="CUD123" s="139"/>
      <c r="CUE123" s="139"/>
      <c r="CUF123" s="139"/>
      <c r="CUG123" s="139"/>
      <c r="CUH123" s="139"/>
      <c r="CUI123" s="139"/>
      <c r="CUJ123" s="139"/>
      <c r="CUK123" s="139"/>
      <c r="CUL123" s="139"/>
      <c r="CUM123" s="139"/>
      <c r="CUN123" s="139"/>
      <c r="CUO123" s="139"/>
      <c r="CUP123" s="139"/>
      <c r="CUQ123" s="139"/>
      <c r="CUR123" s="139"/>
      <c r="CUS123" s="139"/>
      <c r="CUT123" s="139"/>
      <c r="CUU123" s="139"/>
      <c r="CUV123" s="139"/>
      <c r="CUW123" s="139"/>
      <c r="CUX123" s="139"/>
      <c r="CUY123" s="139"/>
      <c r="CUZ123" s="139"/>
      <c r="CVA123" s="139"/>
      <c r="CVB123" s="139"/>
      <c r="CVC123" s="139"/>
      <c r="CVD123" s="139"/>
      <c r="CVE123" s="139"/>
      <c r="CVF123" s="139"/>
      <c r="CVG123" s="139"/>
      <c r="CVH123" s="139"/>
      <c r="CVI123" s="139"/>
      <c r="CVJ123" s="139"/>
      <c r="CVK123" s="139"/>
      <c r="CVL123" s="139"/>
      <c r="CVM123" s="139"/>
      <c r="CVN123" s="139"/>
      <c r="CVO123" s="139"/>
      <c r="CVP123" s="139"/>
      <c r="CVQ123" s="139"/>
      <c r="CVR123" s="139"/>
      <c r="CVS123" s="139"/>
      <c r="CVT123" s="139"/>
      <c r="CVU123" s="139"/>
      <c r="CVV123" s="139"/>
      <c r="CVW123" s="139"/>
      <c r="CVX123" s="139"/>
      <c r="CVY123" s="139"/>
      <c r="CVZ123" s="139"/>
      <c r="CWA123" s="139"/>
      <c r="CWB123" s="139"/>
      <c r="CWC123" s="139"/>
      <c r="CWD123" s="139"/>
      <c r="CWE123" s="139"/>
      <c r="CWF123" s="139"/>
      <c r="CWG123" s="139"/>
      <c r="CWH123" s="139"/>
      <c r="CWI123" s="139"/>
      <c r="CWJ123" s="139"/>
      <c r="CWK123" s="139"/>
      <c r="CWL123" s="139"/>
      <c r="CWM123" s="139"/>
      <c r="CWN123" s="139"/>
      <c r="CWO123" s="139"/>
      <c r="CWP123" s="139"/>
      <c r="CWQ123" s="139"/>
      <c r="CWR123" s="139"/>
      <c r="CWS123" s="139"/>
      <c r="CWT123" s="139"/>
      <c r="CWU123" s="139"/>
      <c r="CWV123" s="139"/>
      <c r="CWW123" s="139"/>
      <c r="CWX123" s="139"/>
      <c r="CWY123" s="139"/>
      <c r="CWZ123" s="139"/>
      <c r="CXA123" s="139"/>
      <c r="CXB123" s="139"/>
      <c r="CXC123" s="139"/>
      <c r="CXD123" s="139"/>
      <c r="CXE123" s="139"/>
      <c r="CXF123" s="139"/>
      <c r="CXG123" s="139"/>
      <c r="CXH123" s="139"/>
      <c r="CXI123" s="139"/>
      <c r="CXJ123" s="139"/>
      <c r="CXK123" s="139"/>
      <c r="CXL123" s="139"/>
      <c r="CXM123" s="139"/>
      <c r="CXN123" s="139"/>
      <c r="CXO123" s="139"/>
      <c r="CXP123" s="139"/>
      <c r="CXQ123" s="139"/>
      <c r="CXR123" s="139"/>
      <c r="CXS123" s="139"/>
      <c r="CXT123" s="139"/>
      <c r="CXU123" s="139"/>
      <c r="CXV123" s="139"/>
      <c r="CXW123" s="139"/>
      <c r="CXX123" s="139"/>
      <c r="CXY123" s="139"/>
      <c r="CXZ123" s="139"/>
      <c r="CYA123" s="139"/>
      <c r="CYB123" s="139"/>
      <c r="CYC123" s="139"/>
      <c r="CYD123" s="139"/>
      <c r="CYE123" s="139"/>
      <c r="CYF123" s="139"/>
      <c r="CYG123" s="139"/>
      <c r="CYH123" s="139"/>
      <c r="CYI123" s="139"/>
      <c r="CYJ123" s="139"/>
      <c r="CYK123" s="139"/>
      <c r="CYL123" s="139"/>
      <c r="CYM123" s="139"/>
      <c r="CYN123" s="139"/>
      <c r="CYO123" s="139"/>
      <c r="CYP123" s="139"/>
      <c r="CYQ123" s="139"/>
      <c r="CYR123" s="139"/>
      <c r="CYS123" s="139"/>
      <c r="CYT123" s="139"/>
      <c r="CYU123" s="139"/>
      <c r="CYV123" s="139"/>
      <c r="CYW123" s="139"/>
      <c r="CYX123" s="139"/>
      <c r="CYY123" s="139"/>
      <c r="CYZ123" s="139"/>
      <c r="CZA123" s="139"/>
      <c r="CZB123" s="139"/>
      <c r="CZC123" s="139"/>
      <c r="CZD123" s="139"/>
      <c r="CZE123" s="139"/>
      <c r="CZF123" s="139"/>
      <c r="CZG123" s="139"/>
      <c r="CZH123" s="139"/>
      <c r="CZI123" s="139"/>
      <c r="CZJ123" s="139"/>
      <c r="CZK123" s="139"/>
      <c r="CZL123" s="139"/>
      <c r="CZM123" s="139"/>
      <c r="CZN123" s="139"/>
      <c r="CZO123" s="139"/>
      <c r="CZP123" s="139"/>
      <c r="CZQ123" s="139"/>
      <c r="CZR123" s="139"/>
      <c r="CZS123" s="139"/>
      <c r="CZT123" s="139"/>
      <c r="CZU123" s="139"/>
      <c r="CZV123" s="139"/>
      <c r="CZW123" s="139"/>
      <c r="CZX123" s="139"/>
      <c r="CZY123" s="139"/>
      <c r="CZZ123" s="139"/>
      <c r="DAA123" s="139"/>
      <c r="DAB123" s="139"/>
      <c r="DAC123" s="139"/>
      <c r="DAD123" s="139"/>
      <c r="DAE123" s="139"/>
      <c r="DAF123" s="139"/>
      <c r="DAG123" s="139"/>
      <c r="DAH123" s="139"/>
      <c r="DAI123" s="139"/>
      <c r="DAJ123" s="139"/>
      <c r="DAK123" s="139"/>
      <c r="DAL123" s="139"/>
      <c r="DAM123" s="139"/>
      <c r="DAN123" s="139"/>
      <c r="DAO123" s="139"/>
      <c r="DAP123" s="139"/>
      <c r="DAQ123" s="139"/>
      <c r="DAR123" s="139"/>
      <c r="DAS123" s="139"/>
      <c r="DAT123" s="139"/>
      <c r="DAU123" s="139"/>
      <c r="DAV123" s="139"/>
      <c r="DAW123" s="139"/>
      <c r="DAX123" s="139"/>
      <c r="DAY123" s="139"/>
      <c r="DAZ123" s="139"/>
      <c r="DBA123" s="139"/>
      <c r="DBB123" s="139"/>
      <c r="DBC123" s="139"/>
      <c r="DBD123" s="139"/>
      <c r="DBE123" s="139"/>
      <c r="DBF123" s="139"/>
      <c r="DBG123" s="139"/>
      <c r="DBH123" s="139"/>
      <c r="DBI123" s="139"/>
      <c r="DBJ123" s="139"/>
      <c r="DBK123" s="139"/>
      <c r="DBL123" s="139"/>
      <c r="DBM123" s="139"/>
      <c r="DBN123" s="139"/>
      <c r="DBO123" s="139"/>
      <c r="DBP123" s="139"/>
      <c r="DBQ123" s="139"/>
      <c r="DBR123" s="139"/>
      <c r="DBS123" s="139"/>
      <c r="DBT123" s="139"/>
      <c r="DBU123" s="139"/>
      <c r="DBV123" s="139"/>
      <c r="DBW123" s="139"/>
      <c r="DBX123" s="139"/>
      <c r="DBY123" s="139"/>
      <c r="DBZ123" s="139"/>
      <c r="DCA123" s="139"/>
      <c r="DCB123" s="139"/>
      <c r="DCC123" s="139"/>
      <c r="DCD123" s="139"/>
      <c r="DCE123" s="139"/>
      <c r="DCF123" s="139"/>
      <c r="DCG123" s="139"/>
      <c r="DCH123" s="139"/>
      <c r="DCI123" s="139"/>
      <c r="DCJ123" s="139"/>
      <c r="DCK123" s="139"/>
      <c r="DCL123" s="139"/>
      <c r="DCM123" s="139"/>
      <c r="DCN123" s="139"/>
      <c r="DCO123" s="139"/>
      <c r="DCP123" s="139"/>
      <c r="DCQ123" s="139"/>
      <c r="DCR123" s="139"/>
      <c r="DCS123" s="139"/>
      <c r="DCT123" s="139"/>
      <c r="DCU123" s="139"/>
      <c r="DCV123" s="139"/>
      <c r="DCW123" s="139"/>
      <c r="DCX123" s="139"/>
      <c r="DCY123" s="139"/>
      <c r="DCZ123" s="139"/>
      <c r="DDA123" s="139"/>
      <c r="DDB123" s="139"/>
      <c r="DDC123" s="139"/>
      <c r="DDD123" s="139"/>
      <c r="DDE123" s="139"/>
      <c r="DDF123" s="139"/>
      <c r="DDG123" s="139"/>
      <c r="DDH123" s="139"/>
      <c r="DDI123" s="139"/>
      <c r="DDJ123" s="139"/>
      <c r="DDK123" s="139"/>
      <c r="DDL123" s="139"/>
      <c r="DDM123" s="139"/>
      <c r="DDN123" s="139"/>
      <c r="DDO123" s="139"/>
      <c r="DDP123" s="139"/>
      <c r="DDQ123" s="139"/>
      <c r="DDR123" s="139"/>
      <c r="DDS123" s="139"/>
      <c r="DDT123" s="139"/>
      <c r="DDU123" s="139"/>
      <c r="DDV123" s="139"/>
      <c r="DDW123" s="139"/>
      <c r="DDX123" s="139"/>
      <c r="DDY123" s="139"/>
      <c r="DDZ123" s="139"/>
      <c r="DEA123" s="139"/>
      <c r="DEB123" s="139"/>
      <c r="DEC123" s="139"/>
      <c r="DED123" s="139"/>
      <c r="DEE123" s="139"/>
      <c r="DEF123" s="139"/>
      <c r="DEG123" s="139"/>
      <c r="DEH123" s="139"/>
      <c r="DEI123" s="139"/>
      <c r="DEJ123" s="139"/>
      <c r="DEK123" s="139"/>
      <c r="DEL123" s="139"/>
      <c r="DEM123" s="139"/>
      <c r="DEN123" s="139"/>
      <c r="DEO123" s="139"/>
      <c r="DEP123" s="139"/>
      <c r="DEQ123" s="139"/>
      <c r="DER123" s="139"/>
      <c r="DES123" s="139"/>
      <c r="DET123" s="139"/>
      <c r="DEU123" s="139"/>
      <c r="DEV123" s="139"/>
      <c r="DEW123" s="139"/>
      <c r="DEX123" s="139"/>
      <c r="DEY123" s="139"/>
      <c r="DEZ123" s="139"/>
      <c r="DFA123" s="139"/>
      <c r="DFB123" s="139"/>
      <c r="DFC123" s="139"/>
      <c r="DFD123" s="139"/>
      <c r="DFE123" s="139"/>
      <c r="DFF123" s="139"/>
      <c r="DFG123" s="139"/>
      <c r="DFH123" s="139"/>
      <c r="DFI123" s="139"/>
      <c r="DFJ123" s="139"/>
      <c r="DFK123" s="139"/>
      <c r="DFL123" s="139"/>
      <c r="DFM123" s="139"/>
      <c r="DFN123" s="139"/>
      <c r="DFO123" s="139"/>
      <c r="DFP123" s="139"/>
      <c r="DFQ123" s="139"/>
      <c r="DFR123" s="139"/>
      <c r="DFS123" s="139"/>
      <c r="DFT123" s="139"/>
      <c r="DFU123" s="139"/>
      <c r="DFV123" s="139"/>
      <c r="DFW123" s="139"/>
      <c r="DFX123" s="139"/>
      <c r="DFY123" s="139"/>
      <c r="DFZ123" s="139"/>
      <c r="DGA123" s="139"/>
      <c r="DGB123" s="139"/>
      <c r="DGC123" s="139"/>
      <c r="DGD123" s="139"/>
      <c r="DGE123" s="139"/>
      <c r="DGF123" s="139"/>
      <c r="DGG123" s="139"/>
      <c r="DGH123" s="139"/>
      <c r="DGI123" s="139"/>
      <c r="DGJ123" s="139"/>
      <c r="DGK123" s="139"/>
      <c r="DGL123" s="139"/>
      <c r="DGM123" s="139"/>
      <c r="DGN123" s="139"/>
      <c r="DGO123" s="139"/>
      <c r="DGP123" s="139"/>
      <c r="DGQ123" s="139"/>
      <c r="DGR123" s="139"/>
      <c r="DGS123" s="139"/>
      <c r="DGT123" s="139"/>
      <c r="DGU123" s="139"/>
      <c r="DGV123" s="139"/>
      <c r="DGW123" s="139"/>
      <c r="DGX123" s="139"/>
      <c r="DGY123" s="139"/>
      <c r="DGZ123" s="139"/>
      <c r="DHA123" s="139"/>
      <c r="DHB123" s="139"/>
      <c r="DHC123" s="139"/>
      <c r="DHD123" s="139"/>
      <c r="DHE123" s="139"/>
      <c r="DHF123" s="139"/>
      <c r="DHG123" s="139"/>
      <c r="DHH123" s="139"/>
      <c r="DHI123" s="139"/>
      <c r="DHJ123" s="139"/>
      <c r="DHK123" s="139"/>
      <c r="DHL123" s="139"/>
      <c r="DHM123" s="139"/>
      <c r="DHN123" s="139"/>
      <c r="DHO123" s="139"/>
      <c r="DHP123" s="139"/>
      <c r="DHQ123" s="139"/>
      <c r="DHR123" s="139"/>
      <c r="DHS123" s="139"/>
      <c r="DHT123" s="139"/>
      <c r="DHU123" s="139"/>
      <c r="DHV123" s="139"/>
      <c r="DHW123" s="139"/>
      <c r="DHX123" s="139"/>
      <c r="DHY123" s="139"/>
      <c r="DHZ123" s="139"/>
      <c r="DIA123" s="139"/>
      <c r="DIB123" s="139"/>
      <c r="DIC123" s="139"/>
      <c r="DID123" s="139"/>
      <c r="DIE123" s="139"/>
      <c r="DIF123" s="139"/>
      <c r="DIG123" s="139"/>
      <c r="DIH123" s="139"/>
      <c r="DII123" s="139"/>
      <c r="DIJ123" s="139"/>
      <c r="DIK123" s="139"/>
      <c r="DIL123" s="139"/>
      <c r="DIM123" s="139"/>
      <c r="DIN123" s="139"/>
      <c r="DIO123" s="139"/>
      <c r="DIP123" s="139"/>
      <c r="DIQ123" s="139"/>
      <c r="DIR123" s="139"/>
      <c r="DIS123" s="139"/>
      <c r="DIT123" s="139"/>
      <c r="DIU123" s="139"/>
      <c r="DIV123" s="139"/>
      <c r="DIW123" s="139"/>
      <c r="DIX123" s="139"/>
      <c r="DIY123" s="139"/>
      <c r="DIZ123" s="139"/>
      <c r="DJA123" s="139"/>
      <c r="DJB123" s="139"/>
      <c r="DJC123" s="139"/>
      <c r="DJD123" s="139"/>
      <c r="DJE123" s="139"/>
      <c r="DJF123" s="139"/>
      <c r="DJG123" s="139"/>
      <c r="DJH123" s="139"/>
      <c r="DJI123" s="139"/>
      <c r="DJJ123" s="139"/>
      <c r="DJK123" s="139"/>
      <c r="DJL123" s="139"/>
      <c r="DJM123" s="139"/>
      <c r="DJN123" s="139"/>
      <c r="DJO123" s="139"/>
      <c r="DJP123" s="139"/>
      <c r="DJQ123" s="139"/>
      <c r="DJR123" s="139"/>
      <c r="DJS123" s="139"/>
      <c r="DJT123" s="139"/>
      <c r="DJU123" s="139"/>
      <c r="DJV123" s="139"/>
      <c r="DJW123" s="139"/>
      <c r="DJX123" s="139"/>
      <c r="DJY123" s="139"/>
      <c r="DJZ123" s="139"/>
      <c r="DKA123" s="139"/>
      <c r="DKB123" s="139"/>
      <c r="DKC123" s="139"/>
      <c r="DKD123" s="139"/>
      <c r="DKE123" s="139"/>
      <c r="DKF123" s="139"/>
      <c r="DKG123" s="139"/>
      <c r="DKH123" s="139"/>
      <c r="DKI123" s="139"/>
      <c r="DKJ123" s="139"/>
      <c r="DKK123" s="139"/>
      <c r="DKL123" s="139"/>
      <c r="DKM123" s="139"/>
      <c r="DKN123" s="139"/>
      <c r="DKO123" s="139"/>
      <c r="DKP123" s="139"/>
      <c r="DKQ123" s="139"/>
      <c r="DKR123" s="139"/>
      <c r="DKS123" s="139"/>
      <c r="DKT123" s="139"/>
      <c r="DKU123" s="139"/>
      <c r="DKV123" s="139"/>
      <c r="DKW123" s="139"/>
      <c r="DKX123" s="139"/>
      <c r="DKY123" s="139"/>
      <c r="DKZ123" s="139"/>
      <c r="DLA123" s="139"/>
      <c r="DLB123" s="139"/>
      <c r="DLC123" s="139"/>
      <c r="DLD123" s="139"/>
      <c r="DLE123" s="139"/>
      <c r="DLF123" s="139"/>
      <c r="DLG123" s="139"/>
      <c r="DLH123" s="139"/>
      <c r="DLI123" s="139"/>
      <c r="DLJ123" s="139"/>
      <c r="DLK123" s="139"/>
      <c r="DLL123" s="139"/>
      <c r="DLM123" s="139"/>
      <c r="DLN123" s="139"/>
      <c r="DLO123" s="139"/>
      <c r="DLP123" s="139"/>
      <c r="DLQ123" s="139"/>
      <c r="DLR123" s="139"/>
      <c r="DLS123" s="139"/>
      <c r="DLT123" s="139"/>
      <c r="DLU123" s="139"/>
      <c r="DLV123" s="139"/>
      <c r="DLW123" s="139"/>
      <c r="DLX123" s="139"/>
      <c r="DLY123" s="139"/>
      <c r="DLZ123" s="139"/>
      <c r="DMA123" s="139"/>
      <c r="DMB123" s="139"/>
      <c r="DMC123" s="139"/>
      <c r="DMD123" s="139"/>
      <c r="DME123" s="139"/>
      <c r="DMF123" s="139"/>
      <c r="DMG123" s="139"/>
      <c r="DMH123" s="139"/>
      <c r="DMI123" s="139"/>
      <c r="DMJ123" s="139"/>
      <c r="DMK123" s="139"/>
      <c r="DML123" s="139"/>
      <c r="DMM123" s="139"/>
      <c r="DMN123" s="139"/>
      <c r="DMO123" s="139"/>
      <c r="DMP123" s="139"/>
      <c r="DMQ123" s="139"/>
      <c r="DMR123" s="139"/>
      <c r="DMS123" s="139"/>
      <c r="DMT123" s="139"/>
      <c r="DMU123" s="139"/>
      <c r="DMV123" s="139"/>
      <c r="DMW123" s="139"/>
      <c r="DMX123" s="139"/>
      <c r="DMY123" s="139"/>
      <c r="DMZ123" s="139"/>
      <c r="DNA123" s="139"/>
      <c r="DNB123" s="139"/>
      <c r="DNC123" s="139"/>
      <c r="DND123" s="139"/>
      <c r="DNE123" s="139"/>
      <c r="DNF123" s="139"/>
      <c r="DNG123" s="139"/>
      <c r="DNH123" s="139"/>
      <c r="DNI123" s="139"/>
      <c r="DNJ123" s="139"/>
      <c r="DNK123" s="139"/>
      <c r="DNL123" s="139"/>
      <c r="DNM123" s="139"/>
      <c r="DNN123" s="139"/>
      <c r="DNO123" s="139"/>
      <c r="DNP123" s="139"/>
      <c r="DNQ123" s="139"/>
      <c r="DNR123" s="139"/>
      <c r="DNS123" s="139"/>
      <c r="DNT123" s="139"/>
      <c r="DNU123" s="139"/>
      <c r="DNV123" s="139"/>
      <c r="DNW123" s="139"/>
      <c r="DNX123" s="139"/>
      <c r="DNY123" s="139"/>
      <c r="DNZ123" s="139"/>
      <c r="DOA123" s="139"/>
      <c r="DOB123" s="139"/>
      <c r="DOC123" s="139"/>
      <c r="DOD123" s="139"/>
      <c r="DOE123" s="139"/>
      <c r="DOF123" s="139"/>
      <c r="DOG123" s="139"/>
      <c r="DOH123" s="139"/>
      <c r="DOI123" s="139"/>
      <c r="DOJ123" s="139"/>
      <c r="DOK123" s="139"/>
      <c r="DOL123" s="139"/>
      <c r="DOM123" s="139"/>
      <c r="DON123" s="139"/>
      <c r="DOO123" s="139"/>
      <c r="DOP123" s="139"/>
      <c r="DOQ123" s="139"/>
      <c r="DOR123" s="139"/>
      <c r="DOS123" s="139"/>
      <c r="DOT123" s="139"/>
      <c r="DOU123" s="139"/>
      <c r="DOV123" s="139"/>
      <c r="DOW123" s="139"/>
      <c r="DOX123" s="139"/>
      <c r="DOY123" s="139"/>
      <c r="DOZ123" s="139"/>
      <c r="DPA123" s="139"/>
      <c r="DPB123" s="139"/>
      <c r="DPC123" s="139"/>
      <c r="DPD123" s="139"/>
      <c r="DPE123" s="139"/>
      <c r="DPF123" s="139"/>
      <c r="DPG123" s="139"/>
      <c r="DPH123" s="139"/>
      <c r="DPI123" s="139"/>
      <c r="DPJ123" s="139"/>
      <c r="DPK123" s="139"/>
      <c r="DPL123" s="139"/>
      <c r="DPM123" s="139"/>
      <c r="DPN123" s="139"/>
      <c r="DPO123" s="139"/>
      <c r="DPP123" s="139"/>
      <c r="DPQ123" s="139"/>
      <c r="DPR123" s="139"/>
      <c r="DPS123" s="139"/>
      <c r="DPT123" s="139"/>
      <c r="DPU123" s="139"/>
      <c r="DPV123" s="139"/>
      <c r="DPW123" s="139"/>
      <c r="DPX123" s="139"/>
      <c r="DPY123" s="139"/>
      <c r="DPZ123" s="139"/>
      <c r="DQA123" s="139"/>
      <c r="DQB123" s="139"/>
      <c r="DQC123" s="139"/>
      <c r="DQD123" s="139"/>
      <c r="DQE123" s="139"/>
      <c r="DQF123" s="139"/>
      <c r="DQG123" s="139"/>
      <c r="DQH123" s="139"/>
      <c r="DQI123" s="139"/>
      <c r="DQJ123" s="139"/>
      <c r="DQK123" s="139"/>
      <c r="DQL123" s="139"/>
      <c r="DQM123" s="139"/>
      <c r="DQN123" s="139"/>
      <c r="DQO123" s="139"/>
      <c r="DQP123" s="139"/>
      <c r="DQQ123" s="139"/>
      <c r="DQR123" s="139"/>
      <c r="DQS123" s="139"/>
      <c r="DQT123" s="139"/>
      <c r="DQU123" s="139"/>
      <c r="DQV123" s="139"/>
      <c r="DQW123" s="139"/>
      <c r="DQX123" s="139"/>
      <c r="DQY123" s="139"/>
      <c r="DQZ123" s="139"/>
      <c r="DRA123" s="139"/>
      <c r="DRB123" s="139"/>
      <c r="DRC123" s="139"/>
      <c r="DRD123" s="139"/>
      <c r="DRE123" s="139"/>
      <c r="DRF123" s="139"/>
      <c r="DRG123" s="139"/>
      <c r="DRH123" s="139"/>
      <c r="DRI123" s="139"/>
      <c r="DRJ123" s="139"/>
      <c r="DRK123" s="139"/>
      <c r="DRL123" s="139"/>
      <c r="DRM123" s="139"/>
      <c r="DRN123" s="139"/>
      <c r="DRO123" s="139"/>
      <c r="DRP123" s="139"/>
      <c r="DRQ123" s="139"/>
      <c r="DRR123" s="139"/>
      <c r="DRS123" s="139"/>
      <c r="DRT123" s="139"/>
      <c r="DRU123" s="139"/>
      <c r="DRV123" s="139"/>
      <c r="DRW123" s="139"/>
      <c r="DRX123" s="139"/>
      <c r="DRY123" s="139"/>
      <c r="DRZ123" s="139"/>
      <c r="DSA123" s="139"/>
      <c r="DSB123" s="139"/>
      <c r="DSC123" s="139"/>
      <c r="DSD123" s="139"/>
      <c r="DSE123" s="139"/>
      <c r="DSF123" s="139"/>
      <c r="DSG123" s="139"/>
      <c r="DSH123" s="139"/>
      <c r="DSI123" s="139"/>
      <c r="DSJ123" s="139"/>
      <c r="DSK123" s="139"/>
      <c r="DSL123" s="139"/>
      <c r="DSM123" s="139"/>
      <c r="DSN123" s="139"/>
      <c r="DSO123" s="139"/>
      <c r="DSP123" s="139"/>
      <c r="DSQ123" s="139"/>
      <c r="DSR123" s="139"/>
      <c r="DSS123" s="139"/>
      <c r="DST123" s="139"/>
      <c r="DSU123" s="139"/>
      <c r="DSV123" s="139"/>
      <c r="DSW123" s="139"/>
      <c r="DSX123" s="139"/>
      <c r="DSY123" s="139"/>
      <c r="DSZ123" s="139"/>
      <c r="DTA123" s="139"/>
      <c r="DTB123" s="139"/>
      <c r="DTC123" s="139"/>
      <c r="DTD123" s="139"/>
      <c r="DTE123" s="139"/>
      <c r="DTF123" s="139"/>
      <c r="DTG123" s="139"/>
      <c r="DTH123" s="139"/>
      <c r="DTI123" s="139"/>
      <c r="DTJ123" s="139"/>
      <c r="DTK123" s="139"/>
      <c r="DTL123" s="139"/>
      <c r="DTM123" s="139"/>
      <c r="DTN123" s="139"/>
      <c r="DTO123" s="139"/>
      <c r="DTP123" s="139"/>
      <c r="DTQ123" s="139"/>
      <c r="DTR123" s="139"/>
      <c r="DTS123" s="139"/>
      <c r="DTT123" s="139"/>
      <c r="DTU123" s="139"/>
      <c r="DTV123" s="139"/>
      <c r="DTW123" s="139"/>
      <c r="DTX123" s="139"/>
      <c r="DTY123" s="139"/>
      <c r="DTZ123" s="139"/>
      <c r="DUA123" s="139"/>
      <c r="DUB123" s="139"/>
      <c r="DUC123" s="139"/>
      <c r="DUD123" s="139"/>
      <c r="DUE123" s="139"/>
      <c r="DUF123" s="139"/>
      <c r="DUG123" s="139"/>
      <c r="DUH123" s="139"/>
      <c r="DUI123" s="139"/>
      <c r="DUJ123" s="139"/>
      <c r="DUK123" s="139"/>
      <c r="DUL123" s="139"/>
      <c r="DUM123" s="139"/>
      <c r="DUN123" s="139"/>
      <c r="DUO123" s="139"/>
      <c r="DUP123" s="139"/>
      <c r="DUQ123" s="139"/>
      <c r="DUR123" s="139"/>
      <c r="DUS123" s="139"/>
      <c r="DUT123" s="139"/>
      <c r="DUU123" s="139"/>
      <c r="DUV123" s="139"/>
      <c r="DUW123" s="139"/>
      <c r="DUX123" s="139"/>
      <c r="DUY123" s="139"/>
      <c r="DUZ123" s="139"/>
      <c r="DVA123" s="139"/>
      <c r="DVB123" s="139"/>
      <c r="DVC123" s="139"/>
      <c r="DVD123" s="139"/>
      <c r="DVE123" s="139"/>
      <c r="DVF123" s="139"/>
      <c r="DVG123" s="139"/>
      <c r="DVH123" s="139"/>
      <c r="DVI123" s="139"/>
      <c r="DVJ123" s="139"/>
      <c r="DVK123" s="139"/>
      <c r="DVL123" s="139"/>
      <c r="DVM123" s="139"/>
      <c r="DVN123" s="139"/>
      <c r="DVO123" s="139"/>
      <c r="DVP123" s="139"/>
      <c r="DVQ123" s="139"/>
      <c r="DVR123" s="139"/>
      <c r="DVS123" s="139"/>
      <c r="DVT123" s="139"/>
      <c r="DVU123" s="139"/>
      <c r="DVV123" s="139"/>
      <c r="DVW123" s="139"/>
      <c r="DVX123" s="139"/>
      <c r="DVY123" s="139"/>
      <c r="DVZ123" s="139"/>
      <c r="DWA123" s="139"/>
      <c r="DWB123" s="139"/>
      <c r="DWC123" s="139"/>
      <c r="DWD123" s="139"/>
      <c r="DWE123" s="139"/>
      <c r="DWF123" s="139"/>
      <c r="DWG123" s="139"/>
      <c r="DWH123" s="139"/>
      <c r="DWI123" s="139"/>
      <c r="DWJ123" s="139"/>
      <c r="DWK123" s="139"/>
      <c r="DWL123" s="139"/>
      <c r="DWM123" s="139"/>
      <c r="DWN123" s="139"/>
      <c r="DWO123" s="139"/>
      <c r="DWP123" s="139"/>
      <c r="DWQ123" s="139"/>
      <c r="DWR123" s="139"/>
      <c r="DWS123" s="139"/>
      <c r="DWT123" s="139"/>
      <c r="DWU123" s="139"/>
      <c r="DWV123" s="139"/>
      <c r="DWW123" s="139"/>
      <c r="DWX123" s="139"/>
      <c r="DWY123" s="139"/>
      <c r="DWZ123" s="139"/>
      <c r="DXA123" s="139"/>
      <c r="DXB123" s="139"/>
      <c r="DXC123" s="139"/>
      <c r="DXD123" s="139"/>
      <c r="DXE123" s="139"/>
      <c r="DXF123" s="139"/>
      <c r="DXG123" s="139"/>
      <c r="DXH123" s="139"/>
      <c r="DXI123" s="139"/>
      <c r="DXJ123" s="139"/>
      <c r="DXK123" s="139"/>
      <c r="DXL123" s="139"/>
      <c r="DXM123" s="139"/>
      <c r="DXN123" s="139"/>
      <c r="DXO123" s="139"/>
      <c r="DXP123" s="139"/>
      <c r="DXQ123" s="139"/>
      <c r="DXR123" s="139"/>
      <c r="DXS123" s="139"/>
      <c r="DXT123" s="139"/>
      <c r="DXU123" s="139"/>
      <c r="DXV123" s="139"/>
      <c r="DXW123" s="139"/>
      <c r="DXX123" s="139"/>
      <c r="DXY123" s="139"/>
      <c r="DXZ123" s="139"/>
      <c r="DYA123" s="139"/>
      <c r="DYB123" s="139"/>
      <c r="DYC123" s="139"/>
      <c r="DYD123" s="139"/>
      <c r="DYE123" s="139"/>
      <c r="DYF123" s="139"/>
      <c r="DYG123" s="139"/>
      <c r="DYH123" s="139"/>
      <c r="DYI123" s="139"/>
      <c r="DYJ123" s="139"/>
      <c r="DYK123" s="139"/>
      <c r="DYL123" s="139"/>
      <c r="DYM123" s="139"/>
      <c r="DYN123" s="139"/>
      <c r="DYO123" s="139"/>
      <c r="DYP123" s="139"/>
      <c r="DYQ123" s="139"/>
      <c r="DYR123" s="139"/>
      <c r="DYS123" s="139"/>
      <c r="DYT123" s="139"/>
      <c r="DYU123" s="139"/>
      <c r="DYV123" s="139"/>
      <c r="DYW123" s="139"/>
      <c r="DYX123" s="139"/>
      <c r="DYY123" s="139"/>
      <c r="DYZ123" s="139"/>
      <c r="DZA123" s="139"/>
      <c r="DZB123" s="139"/>
      <c r="DZC123" s="139"/>
      <c r="DZD123" s="139"/>
      <c r="DZE123" s="139"/>
      <c r="DZF123" s="139"/>
      <c r="DZG123" s="139"/>
      <c r="DZH123" s="139"/>
      <c r="DZI123" s="139"/>
      <c r="DZJ123" s="139"/>
      <c r="DZK123" s="139"/>
      <c r="DZL123" s="139"/>
      <c r="DZM123" s="139"/>
      <c r="DZN123" s="139"/>
      <c r="DZO123" s="139"/>
      <c r="DZP123" s="139"/>
      <c r="DZQ123" s="139"/>
      <c r="DZR123" s="139"/>
      <c r="DZS123" s="139"/>
      <c r="DZT123" s="139"/>
      <c r="DZU123" s="139"/>
      <c r="DZV123" s="139"/>
      <c r="DZW123" s="139"/>
      <c r="DZX123" s="139"/>
      <c r="DZY123" s="139"/>
      <c r="DZZ123" s="139"/>
      <c r="EAA123" s="139"/>
      <c r="EAB123" s="139"/>
      <c r="EAC123" s="139"/>
      <c r="EAD123" s="139"/>
      <c r="EAE123" s="139"/>
      <c r="EAF123" s="139"/>
      <c r="EAG123" s="139"/>
      <c r="EAH123" s="139"/>
      <c r="EAI123" s="139"/>
      <c r="EAJ123" s="139"/>
      <c r="EAK123" s="139"/>
      <c r="EAL123" s="139"/>
      <c r="EAM123" s="139"/>
      <c r="EAN123" s="139"/>
      <c r="EAO123" s="139"/>
      <c r="EAP123" s="139"/>
      <c r="EAQ123" s="139"/>
      <c r="EAR123" s="139"/>
      <c r="EAS123" s="139"/>
      <c r="EAT123" s="139"/>
      <c r="EAU123" s="139"/>
      <c r="EAV123" s="139"/>
      <c r="EAW123" s="139"/>
      <c r="EAX123" s="139"/>
      <c r="EAY123" s="139"/>
      <c r="EAZ123" s="139"/>
      <c r="EBA123" s="139"/>
      <c r="EBB123" s="139"/>
      <c r="EBC123" s="139"/>
      <c r="EBD123" s="139"/>
      <c r="EBE123" s="139"/>
      <c r="EBF123" s="139"/>
      <c r="EBG123" s="139"/>
      <c r="EBH123" s="139"/>
      <c r="EBI123" s="139"/>
      <c r="EBJ123" s="139"/>
      <c r="EBK123" s="139"/>
      <c r="EBL123" s="139"/>
      <c r="EBM123" s="139"/>
      <c r="EBN123" s="139"/>
      <c r="EBO123" s="139"/>
      <c r="EBP123" s="139"/>
      <c r="EBQ123" s="139"/>
      <c r="EBR123" s="139"/>
      <c r="EBS123" s="139"/>
      <c r="EBT123" s="139"/>
      <c r="EBU123" s="139"/>
      <c r="EBV123" s="139"/>
      <c r="EBW123" s="139"/>
      <c r="EBX123" s="139"/>
      <c r="EBY123" s="139"/>
      <c r="EBZ123" s="139"/>
      <c r="ECA123" s="139"/>
      <c r="ECB123" s="139"/>
      <c r="ECC123" s="139"/>
      <c r="ECD123" s="139"/>
      <c r="ECE123" s="139"/>
      <c r="ECF123" s="139"/>
      <c r="ECG123" s="139"/>
      <c r="ECH123" s="139"/>
      <c r="ECI123" s="139"/>
      <c r="ECJ123" s="139"/>
      <c r="ECK123" s="139"/>
      <c r="ECL123" s="139"/>
      <c r="ECM123" s="139"/>
      <c r="ECN123" s="139"/>
      <c r="ECO123" s="139"/>
      <c r="ECP123" s="139"/>
      <c r="ECQ123" s="139"/>
      <c r="ECR123" s="139"/>
      <c r="ECS123" s="139"/>
      <c r="ECT123" s="139"/>
      <c r="ECU123" s="139"/>
      <c r="ECV123" s="139"/>
      <c r="ECW123" s="139"/>
      <c r="ECX123" s="139"/>
      <c r="ECY123" s="139"/>
      <c r="ECZ123" s="139"/>
      <c r="EDA123" s="139"/>
      <c r="EDB123" s="139"/>
      <c r="EDC123" s="139"/>
      <c r="EDD123" s="139"/>
      <c r="EDE123" s="139"/>
      <c r="EDF123" s="139"/>
      <c r="EDG123" s="139"/>
      <c r="EDH123" s="139"/>
      <c r="EDI123" s="139"/>
      <c r="EDJ123" s="139"/>
      <c r="EDK123" s="139"/>
      <c r="EDL123" s="139"/>
      <c r="EDM123" s="139"/>
      <c r="EDN123" s="139"/>
      <c r="EDO123" s="139"/>
      <c r="EDP123" s="139"/>
      <c r="EDQ123" s="139"/>
      <c r="EDR123" s="139"/>
      <c r="EDS123" s="139"/>
      <c r="EDT123" s="139"/>
      <c r="EDU123" s="139"/>
      <c r="EDV123" s="139"/>
      <c r="EDW123" s="139"/>
      <c r="EDX123" s="139"/>
      <c r="EDY123" s="139"/>
      <c r="EDZ123" s="139"/>
      <c r="EEA123" s="139"/>
      <c r="EEB123" s="139"/>
      <c r="EEC123" s="139"/>
      <c r="EED123" s="139"/>
      <c r="EEE123" s="139"/>
      <c r="EEF123" s="139"/>
      <c r="EEG123" s="139"/>
      <c r="EEH123" s="139"/>
      <c r="EEI123" s="139"/>
      <c r="EEJ123" s="139"/>
      <c r="EEK123" s="139"/>
      <c r="EEL123" s="139"/>
      <c r="EEM123" s="139"/>
      <c r="EEN123" s="139"/>
      <c r="EEO123" s="139"/>
      <c r="EEP123" s="139"/>
      <c r="EEQ123" s="139"/>
      <c r="EER123" s="139"/>
      <c r="EES123" s="139"/>
      <c r="EET123" s="139"/>
      <c r="EEU123" s="139"/>
      <c r="EEV123" s="139"/>
      <c r="EEW123" s="139"/>
      <c r="EEX123" s="139"/>
      <c r="EEY123" s="139"/>
      <c r="EEZ123" s="139"/>
      <c r="EFA123" s="139"/>
      <c r="EFB123" s="139"/>
      <c r="EFC123" s="139"/>
      <c r="EFD123" s="139"/>
      <c r="EFE123" s="139"/>
      <c r="EFF123" s="139"/>
      <c r="EFG123" s="139"/>
      <c r="EFH123" s="139"/>
      <c r="EFI123" s="139"/>
      <c r="EFJ123" s="139"/>
      <c r="EFK123" s="139"/>
      <c r="EFL123" s="139"/>
      <c r="EFM123" s="139"/>
      <c r="EFN123" s="139"/>
      <c r="EFO123" s="139"/>
      <c r="EFP123" s="139"/>
      <c r="EFQ123" s="139"/>
      <c r="EFR123" s="139"/>
      <c r="EFS123" s="139"/>
      <c r="EFT123" s="139"/>
      <c r="EFU123" s="139"/>
      <c r="EFV123" s="139"/>
      <c r="EFW123" s="139"/>
      <c r="EFX123" s="139"/>
      <c r="EFY123" s="139"/>
      <c r="EFZ123" s="139"/>
      <c r="EGA123" s="139"/>
      <c r="EGB123" s="139"/>
      <c r="EGC123" s="139"/>
      <c r="EGD123" s="139"/>
      <c r="EGE123" s="139"/>
      <c r="EGF123" s="139"/>
      <c r="EGG123" s="139"/>
      <c r="EGH123" s="139"/>
      <c r="EGI123" s="139"/>
      <c r="EGJ123" s="139"/>
      <c r="EGK123" s="139"/>
      <c r="EGL123" s="139"/>
      <c r="EGM123" s="139"/>
      <c r="EGN123" s="139"/>
      <c r="EGO123" s="139"/>
      <c r="EGP123" s="139"/>
      <c r="EGQ123" s="139"/>
      <c r="EGR123" s="139"/>
      <c r="EGS123" s="139"/>
      <c r="EGT123" s="139"/>
      <c r="EGU123" s="139"/>
      <c r="EGV123" s="139"/>
      <c r="EGW123" s="139"/>
      <c r="EGX123" s="139"/>
      <c r="EGY123" s="139"/>
      <c r="EGZ123" s="139"/>
      <c r="EHA123" s="139"/>
      <c r="EHB123" s="139"/>
      <c r="EHC123" s="139"/>
      <c r="EHD123" s="139"/>
      <c r="EHE123" s="139"/>
      <c r="EHF123" s="139"/>
      <c r="EHG123" s="139"/>
      <c r="EHH123" s="139"/>
      <c r="EHI123" s="139"/>
      <c r="EHJ123" s="139"/>
      <c r="EHK123" s="139"/>
      <c r="EHL123" s="139"/>
      <c r="EHM123" s="139"/>
      <c r="EHN123" s="139"/>
      <c r="EHO123" s="139"/>
      <c r="EHP123" s="139"/>
      <c r="EHQ123" s="139"/>
      <c r="EHR123" s="139"/>
      <c r="EHS123" s="139"/>
      <c r="EHT123" s="139"/>
      <c r="EHU123" s="139"/>
      <c r="EHV123" s="139"/>
      <c r="EHW123" s="139"/>
      <c r="EHX123" s="139"/>
      <c r="EHY123" s="139"/>
      <c r="EHZ123" s="139"/>
      <c r="EIA123" s="139"/>
      <c r="EIB123" s="139"/>
      <c r="EIC123" s="139"/>
      <c r="EID123" s="139"/>
      <c r="EIE123" s="139"/>
      <c r="EIF123" s="139"/>
      <c r="EIG123" s="139"/>
      <c r="EIH123" s="139"/>
      <c r="EII123" s="139"/>
      <c r="EIJ123" s="139"/>
      <c r="EIK123" s="139"/>
      <c r="EIL123" s="139"/>
      <c r="EIM123" s="139"/>
      <c r="EIN123" s="139"/>
      <c r="EIO123" s="139"/>
      <c r="EIP123" s="139"/>
      <c r="EIQ123" s="139"/>
      <c r="EIR123" s="139"/>
      <c r="EIS123" s="139"/>
      <c r="EIT123" s="139"/>
      <c r="EIU123" s="139"/>
      <c r="EIV123" s="139"/>
      <c r="EIW123" s="139"/>
      <c r="EIX123" s="139"/>
      <c r="EIY123" s="139"/>
      <c r="EIZ123" s="139"/>
      <c r="EJA123" s="139"/>
      <c r="EJB123" s="139"/>
      <c r="EJC123" s="139"/>
      <c r="EJD123" s="139"/>
      <c r="EJE123" s="139"/>
      <c r="EJF123" s="139"/>
      <c r="EJG123" s="139"/>
      <c r="EJH123" s="139"/>
      <c r="EJI123" s="139"/>
      <c r="EJJ123" s="139"/>
      <c r="EJK123" s="139"/>
      <c r="EJL123" s="139"/>
      <c r="EJM123" s="139"/>
      <c r="EJN123" s="139"/>
      <c r="EJO123" s="139"/>
      <c r="EJP123" s="139"/>
      <c r="EJQ123" s="139"/>
      <c r="EJR123" s="139"/>
      <c r="EJS123" s="139"/>
      <c r="EJT123" s="139"/>
      <c r="EJU123" s="139"/>
      <c r="EJV123" s="139"/>
      <c r="EJW123" s="139"/>
      <c r="EJX123" s="139"/>
      <c r="EJY123" s="139"/>
      <c r="EJZ123" s="139"/>
      <c r="EKA123" s="139"/>
      <c r="EKB123" s="139"/>
      <c r="EKC123" s="139"/>
      <c r="EKD123" s="139"/>
      <c r="EKE123" s="139"/>
      <c r="EKF123" s="139"/>
      <c r="EKG123" s="139"/>
      <c r="EKH123" s="139"/>
      <c r="EKI123" s="139"/>
      <c r="EKJ123" s="139"/>
      <c r="EKK123" s="139"/>
      <c r="EKL123" s="139"/>
      <c r="EKM123" s="139"/>
      <c r="EKN123" s="139"/>
      <c r="EKO123" s="139"/>
      <c r="EKP123" s="139"/>
      <c r="EKQ123" s="139"/>
      <c r="EKR123" s="139"/>
      <c r="EKS123" s="139"/>
      <c r="EKT123" s="139"/>
      <c r="EKU123" s="139"/>
      <c r="EKV123" s="139"/>
      <c r="EKW123" s="139"/>
      <c r="EKX123" s="139"/>
      <c r="EKY123" s="139"/>
      <c r="EKZ123" s="139"/>
      <c r="ELA123" s="139"/>
      <c r="ELB123" s="139"/>
      <c r="ELC123" s="139"/>
      <c r="ELD123" s="139"/>
      <c r="ELE123" s="139"/>
      <c r="ELF123" s="139"/>
      <c r="ELG123" s="139"/>
      <c r="ELH123" s="139"/>
      <c r="ELI123" s="139"/>
      <c r="ELJ123" s="139"/>
      <c r="ELK123" s="139"/>
      <c r="ELL123" s="139"/>
      <c r="ELM123" s="139"/>
      <c r="ELN123" s="139"/>
      <c r="ELO123" s="139"/>
      <c r="ELP123" s="139"/>
      <c r="ELQ123" s="139"/>
      <c r="ELR123" s="139"/>
      <c r="ELS123" s="139"/>
      <c r="ELT123" s="139"/>
      <c r="ELU123" s="139"/>
      <c r="ELV123" s="139"/>
      <c r="ELW123" s="139"/>
      <c r="ELX123" s="139"/>
      <c r="ELY123" s="139"/>
      <c r="ELZ123" s="139"/>
      <c r="EMA123" s="139"/>
      <c r="EMB123" s="139"/>
      <c r="EMC123" s="139"/>
      <c r="EMD123" s="139"/>
      <c r="EME123" s="139"/>
      <c r="EMF123" s="139"/>
      <c r="EMG123" s="139"/>
      <c r="EMH123" s="139"/>
      <c r="EMI123" s="139"/>
      <c r="EMJ123" s="139"/>
      <c r="EMK123" s="139"/>
      <c r="EML123" s="139"/>
      <c r="EMM123" s="139"/>
      <c r="EMN123" s="139"/>
      <c r="EMO123" s="139"/>
      <c r="EMP123" s="139"/>
      <c r="EMQ123" s="139"/>
      <c r="EMR123" s="139"/>
      <c r="EMS123" s="139"/>
      <c r="EMT123" s="139"/>
      <c r="EMU123" s="139"/>
      <c r="EMV123" s="139"/>
      <c r="EMW123" s="139"/>
      <c r="EMX123" s="139"/>
      <c r="EMY123" s="139"/>
      <c r="EMZ123" s="139"/>
      <c r="ENA123" s="139"/>
      <c r="ENB123" s="139"/>
      <c r="ENC123" s="139"/>
      <c r="END123" s="139"/>
      <c r="ENE123" s="139"/>
      <c r="ENF123" s="139"/>
      <c r="ENG123" s="139"/>
      <c r="ENH123" s="139"/>
      <c r="ENI123" s="139"/>
      <c r="ENJ123" s="139"/>
      <c r="ENK123" s="139"/>
      <c r="ENL123" s="139"/>
      <c r="ENM123" s="139"/>
      <c r="ENN123" s="139"/>
      <c r="ENO123" s="139"/>
      <c r="ENP123" s="139"/>
      <c r="ENQ123" s="139"/>
      <c r="ENR123" s="139"/>
      <c r="ENS123" s="139"/>
      <c r="ENT123" s="139"/>
      <c r="ENU123" s="139"/>
      <c r="ENV123" s="139"/>
      <c r="ENW123" s="139"/>
      <c r="ENX123" s="139"/>
      <c r="ENY123" s="139"/>
      <c r="ENZ123" s="139"/>
      <c r="EOA123" s="139"/>
      <c r="EOB123" s="139"/>
      <c r="EOC123" s="139"/>
      <c r="EOD123" s="139"/>
      <c r="EOE123" s="139"/>
      <c r="EOF123" s="139"/>
      <c r="EOG123" s="139"/>
      <c r="EOH123" s="139"/>
      <c r="EOI123" s="139"/>
      <c r="EOJ123" s="139"/>
      <c r="EOK123" s="139"/>
      <c r="EOL123" s="139"/>
      <c r="EOM123" s="139"/>
      <c r="EON123" s="139"/>
      <c r="EOO123" s="139"/>
      <c r="EOP123" s="139"/>
      <c r="EOQ123" s="139"/>
      <c r="EOR123" s="139"/>
      <c r="EOS123" s="139"/>
      <c r="EOT123" s="139"/>
      <c r="EOU123" s="139"/>
      <c r="EOV123" s="139"/>
      <c r="EOW123" s="139"/>
      <c r="EOX123" s="139"/>
      <c r="EOY123" s="139"/>
      <c r="EOZ123" s="139"/>
      <c r="EPA123" s="139"/>
      <c r="EPB123" s="139"/>
      <c r="EPC123" s="139"/>
      <c r="EPD123" s="139"/>
      <c r="EPE123" s="139"/>
      <c r="EPF123" s="139"/>
      <c r="EPG123" s="139"/>
      <c r="EPH123" s="139"/>
      <c r="EPI123" s="139"/>
      <c r="EPJ123" s="139"/>
      <c r="EPK123" s="139"/>
      <c r="EPL123" s="139"/>
      <c r="EPM123" s="139"/>
      <c r="EPN123" s="139"/>
      <c r="EPO123" s="139"/>
      <c r="EPP123" s="139"/>
      <c r="EPQ123" s="139"/>
      <c r="EPR123" s="139"/>
      <c r="EPS123" s="139"/>
      <c r="EPT123" s="139"/>
      <c r="EPU123" s="139"/>
      <c r="EPV123" s="139"/>
      <c r="EPW123" s="139"/>
      <c r="EPX123" s="139"/>
      <c r="EPY123" s="139"/>
      <c r="EPZ123" s="139"/>
      <c r="EQA123" s="139"/>
      <c r="EQB123" s="139"/>
      <c r="EQC123" s="139"/>
      <c r="EQD123" s="139"/>
      <c r="EQE123" s="139"/>
      <c r="EQF123" s="139"/>
      <c r="EQG123" s="139"/>
      <c r="EQH123" s="139"/>
      <c r="EQI123" s="139"/>
      <c r="EQJ123" s="139"/>
      <c r="EQK123" s="139"/>
      <c r="EQL123" s="139"/>
      <c r="EQM123" s="139"/>
      <c r="EQN123" s="139"/>
      <c r="EQO123" s="139"/>
      <c r="EQP123" s="139"/>
      <c r="EQQ123" s="139"/>
      <c r="EQR123" s="139"/>
      <c r="EQS123" s="139"/>
      <c r="EQT123" s="139"/>
      <c r="EQU123" s="139"/>
      <c r="EQV123" s="139"/>
      <c r="EQW123" s="139"/>
      <c r="EQX123" s="139"/>
      <c r="EQY123" s="139"/>
      <c r="EQZ123" s="139"/>
      <c r="ERA123" s="139"/>
      <c r="ERB123" s="139"/>
      <c r="ERC123" s="139"/>
      <c r="ERD123" s="139"/>
      <c r="ERE123" s="139"/>
      <c r="ERF123" s="139"/>
      <c r="ERG123" s="139"/>
      <c r="ERH123" s="139"/>
      <c r="ERI123" s="139"/>
      <c r="ERJ123" s="139"/>
      <c r="ERK123" s="139"/>
      <c r="ERL123" s="139"/>
      <c r="ERM123" s="139"/>
      <c r="ERN123" s="139"/>
      <c r="ERO123" s="139"/>
      <c r="ERP123" s="139"/>
      <c r="ERQ123" s="139"/>
      <c r="ERR123" s="139"/>
      <c r="ERS123" s="139"/>
      <c r="ERT123" s="139"/>
      <c r="ERU123" s="139"/>
      <c r="ERV123" s="139"/>
      <c r="ERW123" s="139"/>
      <c r="ERX123" s="139"/>
      <c r="ERY123" s="139"/>
      <c r="ERZ123" s="139"/>
      <c r="ESA123" s="139"/>
      <c r="ESB123" s="139"/>
      <c r="ESC123" s="139"/>
      <c r="ESD123" s="139"/>
      <c r="ESE123" s="139"/>
      <c r="ESF123" s="139"/>
      <c r="ESG123" s="139"/>
      <c r="ESH123" s="139"/>
      <c r="ESI123" s="139"/>
      <c r="ESJ123" s="139"/>
      <c r="ESK123" s="139"/>
      <c r="ESL123" s="139"/>
      <c r="ESM123" s="139"/>
      <c r="ESN123" s="139"/>
      <c r="ESO123" s="139"/>
      <c r="ESP123" s="139"/>
      <c r="ESQ123" s="139"/>
      <c r="ESR123" s="139"/>
      <c r="ESS123" s="139"/>
      <c r="EST123" s="139"/>
      <c r="ESU123" s="139"/>
      <c r="ESV123" s="139"/>
      <c r="ESW123" s="139"/>
      <c r="ESX123" s="139"/>
      <c r="ESY123" s="139"/>
      <c r="ESZ123" s="139"/>
      <c r="ETA123" s="139"/>
      <c r="ETB123" s="139"/>
      <c r="ETC123" s="139"/>
      <c r="ETD123" s="139"/>
      <c r="ETE123" s="139"/>
      <c r="ETF123" s="139"/>
      <c r="ETG123" s="139"/>
      <c r="ETH123" s="139"/>
      <c r="ETI123" s="139"/>
      <c r="ETJ123" s="139"/>
      <c r="ETK123" s="139"/>
      <c r="ETL123" s="139"/>
      <c r="ETM123" s="139"/>
      <c r="ETN123" s="139"/>
      <c r="ETO123" s="139"/>
      <c r="ETP123" s="139"/>
      <c r="ETQ123" s="139"/>
      <c r="ETR123" s="139"/>
      <c r="ETS123" s="139"/>
      <c r="ETT123" s="139"/>
      <c r="ETU123" s="139"/>
      <c r="ETV123" s="139"/>
      <c r="ETW123" s="139"/>
      <c r="ETX123" s="139"/>
      <c r="ETY123" s="139"/>
      <c r="ETZ123" s="139"/>
      <c r="EUA123" s="139"/>
      <c r="EUB123" s="139"/>
      <c r="EUC123" s="139"/>
      <c r="EUD123" s="139"/>
      <c r="EUE123" s="139"/>
      <c r="EUF123" s="139"/>
      <c r="EUG123" s="139"/>
      <c r="EUH123" s="139"/>
      <c r="EUI123" s="139"/>
      <c r="EUJ123" s="139"/>
      <c r="EUK123" s="139"/>
      <c r="EUL123" s="139"/>
      <c r="EUM123" s="139"/>
      <c r="EUN123" s="139"/>
      <c r="EUO123" s="139"/>
      <c r="EUP123" s="139"/>
      <c r="EUQ123" s="139"/>
      <c r="EUR123" s="139"/>
      <c r="EUS123" s="139"/>
      <c r="EUT123" s="139"/>
      <c r="EUU123" s="139"/>
      <c r="EUV123" s="139"/>
      <c r="EUW123" s="139"/>
      <c r="EUX123" s="139"/>
      <c r="EUY123" s="139"/>
      <c r="EUZ123" s="139"/>
      <c r="EVA123" s="139"/>
      <c r="EVB123" s="139"/>
      <c r="EVC123" s="139"/>
      <c r="EVD123" s="139"/>
      <c r="EVE123" s="139"/>
      <c r="EVF123" s="139"/>
      <c r="EVG123" s="139"/>
      <c r="EVH123" s="139"/>
      <c r="EVI123" s="139"/>
      <c r="EVJ123" s="139"/>
      <c r="EVK123" s="139"/>
      <c r="EVL123" s="139"/>
      <c r="EVM123" s="139"/>
      <c r="EVN123" s="139"/>
      <c r="EVO123" s="139"/>
      <c r="EVP123" s="139"/>
      <c r="EVQ123" s="139"/>
      <c r="EVR123" s="139"/>
      <c r="EVS123" s="139"/>
      <c r="EVT123" s="139"/>
      <c r="EVU123" s="139"/>
      <c r="EVV123" s="139"/>
      <c r="EVW123" s="139"/>
      <c r="EVX123" s="139"/>
      <c r="EVY123" s="139"/>
      <c r="EVZ123" s="139"/>
      <c r="EWA123" s="139"/>
      <c r="EWB123" s="139"/>
      <c r="EWC123" s="139"/>
      <c r="EWD123" s="139"/>
      <c r="EWE123" s="139"/>
      <c r="EWF123" s="139"/>
      <c r="EWG123" s="139"/>
      <c r="EWH123" s="139"/>
      <c r="EWI123" s="139"/>
      <c r="EWJ123" s="139"/>
      <c r="EWK123" s="139"/>
      <c r="EWL123" s="139"/>
      <c r="EWM123" s="139"/>
      <c r="EWN123" s="139"/>
      <c r="EWO123" s="139"/>
      <c r="EWP123" s="139"/>
      <c r="EWQ123" s="139"/>
      <c r="EWR123" s="139"/>
      <c r="EWS123" s="139"/>
      <c r="EWT123" s="139"/>
      <c r="EWU123" s="139"/>
      <c r="EWV123" s="139"/>
      <c r="EWW123" s="139"/>
      <c r="EWX123" s="139"/>
      <c r="EWY123" s="139"/>
      <c r="EWZ123" s="139"/>
      <c r="EXA123" s="139"/>
      <c r="EXB123" s="139"/>
      <c r="EXC123" s="139"/>
      <c r="EXD123" s="139"/>
      <c r="EXE123" s="139"/>
      <c r="EXF123" s="139"/>
      <c r="EXG123" s="139"/>
      <c r="EXH123" s="139"/>
      <c r="EXI123" s="139"/>
      <c r="EXJ123" s="139"/>
      <c r="EXK123" s="139"/>
      <c r="EXL123" s="139"/>
      <c r="EXM123" s="139"/>
      <c r="EXN123" s="139"/>
      <c r="EXO123" s="139"/>
      <c r="EXP123" s="139"/>
      <c r="EXQ123" s="139"/>
      <c r="EXR123" s="139"/>
      <c r="EXS123" s="139"/>
      <c r="EXT123" s="139"/>
      <c r="EXU123" s="139"/>
      <c r="EXV123" s="139"/>
      <c r="EXW123" s="139"/>
      <c r="EXX123" s="139"/>
      <c r="EXY123" s="139"/>
      <c r="EXZ123" s="139"/>
      <c r="EYA123" s="139"/>
      <c r="EYB123" s="139"/>
      <c r="EYC123" s="139"/>
      <c r="EYD123" s="139"/>
      <c r="EYE123" s="139"/>
      <c r="EYF123" s="139"/>
      <c r="EYG123" s="139"/>
      <c r="EYH123" s="139"/>
      <c r="EYI123" s="139"/>
      <c r="EYJ123" s="139"/>
      <c r="EYK123" s="139"/>
      <c r="EYL123" s="139"/>
      <c r="EYM123" s="139"/>
      <c r="EYN123" s="139"/>
      <c r="EYO123" s="139"/>
      <c r="EYP123" s="139"/>
      <c r="EYQ123" s="139"/>
      <c r="EYR123" s="139"/>
      <c r="EYS123" s="139"/>
      <c r="EYT123" s="139"/>
      <c r="EYU123" s="139"/>
      <c r="EYV123" s="139"/>
      <c r="EYW123" s="139"/>
      <c r="EYX123" s="139"/>
      <c r="EYY123" s="139"/>
      <c r="EYZ123" s="139"/>
      <c r="EZA123" s="139"/>
      <c r="EZB123" s="139"/>
      <c r="EZC123" s="139"/>
      <c r="EZD123" s="139"/>
      <c r="EZE123" s="139"/>
      <c r="EZF123" s="139"/>
      <c r="EZG123" s="139"/>
      <c r="EZH123" s="139"/>
      <c r="EZI123" s="139"/>
      <c r="EZJ123" s="139"/>
      <c r="EZK123" s="139"/>
      <c r="EZL123" s="139"/>
      <c r="EZM123" s="139"/>
      <c r="EZN123" s="139"/>
      <c r="EZO123" s="139"/>
      <c r="EZP123" s="139"/>
      <c r="EZQ123" s="139"/>
      <c r="EZR123" s="139"/>
      <c r="EZS123" s="139"/>
      <c r="EZT123" s="139"/>
      <c r="EZU123" s="139"/>
      <c r="EZV123" s="139"/>
      <c r="EZW123" s="139"/>
      <c r="EZX123" s="139"/>
      <c r="EZY123" s="139"/>
      <c r="EZZ123" s="139"/>
      <c r="FAA123" s="139"/>
      <c r="FAB123" s="139"/>
      <c r="FAC123" s="139"/>
      <c r="FAD123" s="139"/>
      <c r="FAE123" s="139"/>
      <c r="FAF123" s="139"/>
      <c r="FAG123" s="139"/>
      <c r="FAH123" s="139"/>
      <c r="FAI123" s="139"/>
      <c r="FAJ123" s="139"/>
      <c r="FAK123" s="139"/>
      <c r="FAL123" s="139"/>
      <c r="FAM123" s="139"/>
      <c r="FAN123" s="139"/>
      <c r="FAO123" s="139"/>
      <c r="FAP123" s="139"/>
      <c r="FAQ123" s="139"/>
      <c r="FAR123" s="139"/>
      <c r="FAS123" s="139"/>
      <c r="FAT123" s="139"/>
      <c r="FAU123" s="139"/>
      <c r="FAV123" s="139"/>
      <c r="FAW123" s="139"/>
      <c r="FAX123" s="139"/>
      <c r="FAY123" s="139"/>
      <c r="FAZ123" s="139"/>
      <c r="FBA123" s="139"/>
      <c r="FBB123" s="139"/>
      <c r="FBC123" s="139"/>
      <c r="FBD123" s="139"/>
      <c r="FBE123" s="139"/>
      <c r="FBF123" s="139"/>
      <c r="FBG123" s="139"/>
      <c r="FBH123" s="139"/>
      <c r="FBI123" s="139"/>
      <c r="FBJ123" s="139"/>
      <c r="FBK123" s="139"/>
      <c r="FBL123" s="139"/>
      <c r="FBM123" s="139"/>
      <c r="FBN123" s="139"/>
      <c r="FBO123" s="139"/>
      <c r="FBP123" s="139"/>
      <c r="FBQ123" s="139"/>
      <c r="FBR123" s="139"/>
      <c r="FBS123" s="139"/>
      <c r="FBT123" s="139"/>
      <c r="FBU123" s="139"/>
      <c r="FBV123" s="139"/>
      <c r="FBW123" s="139"/>
      <c r="FBX123" s="139"/>
      <c r="FBY123" s="139"/>
      <c r="FBZ123" s="139"/>
      <c r="FCA123" s="139"/>
      <c r="FCB123" s="139"/>
      <c r="FCC123" s="139"/>
      <c r="FCD123" s="139"/>
      <c r="FCE123" s="139"/>
      <c r="FCF123" s="139"/>
      <c r="FCG123" s="139"/>
      <c r="FCH123" s="139"/>
      <c r="FCI123" s="139"/>
      <c r="FCJ123" s="139"/>
      <c r="FCK123" s="139"/>
      <c r="FCL123" s="139"/>
      <c r="FCM123" s="139"/>
      <c r="FCN123" s="139"/>
      <c r="FCO123" s="139"/>
      <c r="FCP123" s="139"/>
      <c r="FCQ123" s="139"/>
      <c r="FCR123" s="139"/>
      <c r="FCS123" s="139"/>
      <c r="FCT123" s="139"/>
      <c r="FCU123" s="139"/>
      <c r="FCV123" s="139"/>
      <c r="FCW123" s="139"/>
      <c r="FCX123" s="139"/>
      <c r="FCY123" s="139"/>
      <c r="FCZ123" s="139"/>
      <c r="FDA123" s="139"/>
      <c r="FDB123" s="139"/>
      <c r="FDC123" s="139"/>
      <c r="FDD123" s="139"/>
      <c r="FDE123" s="139"/>
      <c r="FDF123" s="139"/>
      <c r="FDG123" s="139"/>
      <c r="FDH123" s="139"/>
      <c r="FDI123" s="139"/>
      <c r="FDJ123" s="139"/>
      <c r="FDK123" s="139"/>
      <c r="FDL123" s="139"/>
      <c r="FDM123" s="139"/>
      <c r="FDN123" s="139"/>
      <c r="FDO123" s="139"/>
      <c r="FDP123" s="139"/>
      <c r="FDQ123" s="139"/>
      <c r="FDR123" s="139"/>
      <c r="FDS123" s="139"/>
      <c r="FDT123" s="139"/>
      <c r="FDU123" s="139"/>
      <c r="FDV123" s="139"/>
      <c r="FDW123" s="139"/>
      <c r="FDX123" s="139"/>
      <c r="FDY123" s="139"/>
      <c r="FDZ123" s="139"/>
      <c r="FEA123" s="139"/>
      <c r="FEB123" s="139"/>
      <c r="FEC123" s="139"/>
      <c r="FED123" s="139"/>
      <c r="FEE123" s="139"/>
      <c r="FEF123" s="139"/>
      <c r="FEG123" s="139"/>
      <c r="FEH123" s="139"/>
      <c r="FEI123" s="139"/>
      <c r="FEJ123" s="139"/>
      <c r="FEK123" s="139"/>
      <c r="FEL123" s="139"/>
      <c r="FEM123" s="139"/>
      <c r="FEN123" s="139"/>
      <c r="FEO123" s="139"/>
      <c r="FEP123" s="139"/>
      <c r="FEQ123" s="139"/>
      <c r="FER123" s="139"/>
      <c r="FES123" s="139"/>
      <c r="FET123" s="139"/>
      <c r="FEU123" s="139"/>
      <c r="FEV123" s="139"/>
      <c r="FEW123" s="139"/>
      <c r="FEX123" s="139"/>
      <c r="FEY123" s="139"/>
      <c r="FEZ123" s="139"/>
      <c r="FFA123" s="139"/>
      <c r="FFB123" s="139"/>
      <c r="FFC123" s="139"/>
      <c r="FFD123" s="139"/>
      <c r="FFE123" s="139"/>
      <c r="FFF123" s="139"/>
      <c r="FFG123" s="139"/>
      <c r="FFH123" s="139"/>
      <c r="FFI123" s="139"/>
      <c r="FFJ123" s="139"/>
      <c r="FFK123" s="139"/>
      <c r="FFL123" s="139"/>
      <c r="FFM123" s="139"/>
      <c r="FFN123" s="139"/>
      <c r="FFO123" s="139"/>
      <c r="FFP123" s="139"/>
      <c r="FFQ123" s="139"/>
      <c r="FFR123" s="139"/>
      <c r="FFS123" s="139"/>
      <c r="FFT123" s="139"/>
      <c r="FFU123" s="139"/>
      <c r="FFV123" s="139"/>
      <c r="FFW123" s="139"/>
      <c r="FFX123" s="139"/>
      <c r="FFY123" s="139"/>
      <c r="FFZ123" s="139"/>
      <c r="FGA123" s="139"/>
      <c r="FGB123" s="139"/>
      <c r="FGC123" s="139"/>
      <c r="FGD123" s="139"/>
      <c r="FGE123" s="139"/>
      <c r="FGF123" s="139"/>
      <c r="FGG123" s="139"/>
      <c r="FGH123" s="139"/>
      <c r="FGI123" s="139"/>
      <c r="FGJ123" s="139"/>
      <c r="FGK123" s="139"/>
      <c r="FGL123" s="139"/>
      <c r="FGM123" s="139"/>
      <c r="FGN123" s="139"/>
      <c r="FGO123" s="139"/>
      <c r="FGP123" s="139"/>
      <c r="FGQ123" s="139"/>
      <c r="FGR123" s="139"/>
      <c r="FGS123" s="139"/>
      <c r="FGT123" s="139"/>
      <c r="FGU123" s="139"/>
      <c r="FGV123" s="139"/>
      <c r="FGW123" s="139"/>
      <c r="FGX123" s="139"/>
      <c r="FGY123" s="139"/>
      <c r="FGZ123" s="139"/>
      <c r="FHA123" s="139"/>
      <c r="FHB123" s="139"/>
      <c r="FHC123" s="139"/>
      <c r="FHD123" s="139"/>
      <c r="FHE123" s="139"/>
      <c r="FHF123" s="139"/>
      <c r="FHG123" s="139"/>
      <c r="FHH123" s="139"/>
      <c r="FHI123" s="139"/>
      <c r="FHJ123" s="139"/>
      <c r="FHK123" s="139"/>
      <c r="FHL123" s="139"/>
      <c r="FHM123" s="139"/>
      <c r="FHN123" s="139"/>
      <c r="FHO123" s="139"/>
      <c r="FHP123" s="139"/>
      <c r="FHQ123" s="139"/>
      <c r="FHR123" s="139"/>
      <c r="FHS123" s="139"/>
      <c r="FHT123" s="139"/>
      <c r="FHU123" s="139"/>
      <c r="FHV123" s="139"/>
      <c r="FHW123" s="139"/>
      <c r="FHX123" s="139"/>
      <c r="FHY123" s="139"/>
      <c r="FHZ123" s="139"/>
      <c r="FIA123" s="139"/>
      <c r="FIB123" s="139"/>
      <c r="FIC123" s="139"/>
      <c r="FID123" s="139"/>
      <c r="FIE123" s="139"/>
      <c r="FIF123" s="139"/>
      <c r="FIG123" s="139"/>
      <c r="FIH123" s="139"/>
      <c r="FII123" s="139"/>
      <c r="FIJ123" s="139"/>
      <c r="FIK123" s="139"/>
      <c r="FIL123" s="139"/>
      <c r="FIM123" s="139"/>
      <c r="FIN123" s="139"/>
      <c r="FIO123" s="139"/>
      <c r="FIP123" s="139"/>
      <c r="FIQ123" s="139"/>
      <c r="FIR123" s="139"/>
      <c r="FIS123" s="139"/>
      <c r="FIT123" s="139"/>
      <c r="FIU123" s="139"/>
      <c r="FIV123" s="139"/>
      <c r="FIW123" s="139"/>
      <c r="FIX123" s="139"/>
      <c r="FIY123" s="139"/>
      <c r="FIZ123" s="139"/>
      <c r="FJA123" s="139"/>
      <c r="FJB123" s="139"/>
      <c r="FJC123" s="139"/>
      <c r="FJD123" s="139"/>
      <c r="FJE123" s="139"/>
      <c r="FJF123" s="139"/>
      <c r="FJG123" s="139"/>
      <c r="FJH123" s="139"/>
      <c r="FJI123" s="139"/>
      <c r="FJJ123" s="139"/>
      <c r="FJK123" s="139"/>
      <c r="FJL123" s="139"/>
      <c r="FJM123" s="139"/>
      <c r="FJN123" s="139"/>
      <c r="FJO123" s="139"/>
      <c r="FJP123" s="139"/>
      <c r="FJQ123" s="139"/>
      <c r="FJR123" s="139"/>
      <c r="FJS123" s="139"/>
      <c r="FJT123" s="139"/>
      <c r="FJU123" s="139"/>
      <c r="FJV123" s="139"/>
      <c r="FJW123" s="139"/>
      <c r="FJX123" s="139"/>
      <c r="FJY123" s="139"/>
      <c r="FJZ123" s="139"/>
      <c r="FKA123" s="139"/>
      <c r="FKB123" s="139"/>
      <c r="FKC123" s="139"/>
      <c r="FKD123" s="139"/>
      <c r="FKE123" s="139"/>
      <c r="FKF123" s="139"/>
      <c r="FKG123" s="139"/>
      <c r="FKH123" s="139"/>
      <c r="FKI123" s="139"/>
      <c r="FKJ123" s="139"/>
      <c r="FKK123" s="139"/>
      <c r="FKL123" s="139"/>
      <c r="FKM123" s="139"/>
      <c r="FKN123" s="139"/>
      <c r="FKO123" s="139"/>
      <c r="FKP123" s="139"/>
      <c r="FKQ123" s="139"/>
      <c r="FKR123" s="139"/>
      <c r="FKS123" s="139"/>
      <c r="FKT123" s="139"/>
      <c r="FKU123" s="139"/>
      <c r="FKV123" s="139"/>
      <c r="FKW123" s="139"/>
      <c r="FKX123" s="139"/>
      <c r="FKY123" s="139"/>
      <c r="FKZ123" s="139"/>
      <c r="FLA123" s="139"/>
      <c r="FLB123" s="139"/>
      <c r="FLC123" s="139"/>
      <c r="FLD123" s="139"/>
      <c r="FLE123" s="139"/>
      <c r="FLF123" s="139"/>
      <c r="FLG123" s="139"/>
      <c r="FLH123" s="139"/>
      <c r="FLI123" s="139"/>
      <c r="FLJ123" s="139"/>
      <c r="FLK123" s="139"/>
      <c r="FLL123" s="139"/>
      <c r="FLM123" s="139"/>
      <c r="FLN123" s="139"/>
      <c r="FLO123" s="139"/>
      <c r="FLP123" s="139"/>
      <c r="FLQ123" s="139"/>
      <c r="FLR123" s="139"/>
      <c r="FLS123" s="139"/>
      <c r="FLT123" s="139"/>
      <c r="FLU123" s="139"/>
      <c r="FLV123" s="139"/>
      <c r="FLW123" s="139"/>
      <c r="FLX123" s="139"/>
      <c r="FLY123" s="139"/>
      <c r="FLZ123" s="139"/>
      <c r="FMA123" s="139"/>
      <c r="FMB123" s="139"/>
      <c r="FMC123" s="139"/>
      <c r="FMD123" s="139"/>
      <c r="FME123" s="139"/>
      <c r="FMF123" s="139"/>
      <c r="FMG123" s="139"/>
      <c r="FMH123" s="139"/>
      <c r="FMI123" s="139"/>
      <c r="FMJ123" s="139"/>
      <c r="FMK123" s="139"/>
      <c r="FML123" s="139"/>
      <c r="FMM123" s="139"/>
      <c r="FMN123" s="139"/>
      <c r="FMO123" s="139"/>
      <c r="FMP123" s="139"/>
      <c r="FMQ123" s="139"/>
      <c r="FMR123" s="139"/>
      <c r="FMS123" s="139"/>
      <c r="FMT123" s="139"/>
      <c r="FMU123" s="139"/>
      <c r="FMV123" s="139"/>
      <c r="FMW123" s="139"/>
      <c r="FMX123" s="139"/>
      <c r="FMY123" s="139"/>
      <c r="FMZ123" s="139"/>
      <c r="FNA123" s="139"/>
      <c r="FNB123" s="139"/>
      <c r="FNC123" s="139"/>
      <c r="FND123" s="139"/>
      <c r="FNE123" s="139"/>
      <c r="FNF123" s="139"/>
      <c r="FNG123" s="139"/>
      <c r="FNH123" s="139"/>
      <c r="FNI123" s="139"/>
      <c r="FNJ123" s="139"/>
      <c r="FNK123" s="139"/>
      <c r="FNL123" s="139"/>
      <c r="FNM123" s="139"/>
      <c r="FNN123" s="139"/>
      <c r="FNO123" s="139"/>
      <c r="FNP123" s="139"/>
      <c r="FNQ123" s="139"/>
      <c r="FNR123" s="139"/>
      <c r="FNS123" s="139"/>
      <c r="FNT123" s="139"/>
      <c r="FNU123" s="139"/>
      <c r="FNV123" s="139"/>
      <c r="FNW123" s="139"/>
      <c r="FNX123" s="139"/>
      <c r="FNY123" s="139"/>
      <c r="FNZ123" s="139"/>
      <c r="FOA123" s="139"/>
      <c r="FOB123" s="139"/>
      <c r="FOC123" s="139"/>
      <c r="FOD123" s="139"/>
      <c r="FOE123" s="139"/>
      <c r="FOF123" s="139"/>
      <c r="FOG123" s="139"/>
      <c r="FOH123" s="139"/>
      <c r="FOI123" s="139"/>
      <c r="FOJ123" s="139"/>
      <c r="FOK123" s="139"/>
      <c r="FOL123" s="139"/>
      <c r="FOM123" s="139"/>
      <c r="FON123" s="139"/>
      <c r="FOO123" s="139"/>
      <c r="FOP123" s="139"/>
      <c r="FOQ123" s="139"/>
      <c r="FOR123" s="139"/>
      <c r="FOS123" s="139"/>
      <c r="FOT123" s="139"/>
      <c r="FOU123" s="139"/>
      <c r="FOV123" s="139"/>
      <c r="FOW123" s="139"/>
      <c r="FOX123" s="139"/>
      <c r="FOY123" s="139"/>
      <c r="FOZ123" s="139"/>
      <c r="FPA123" s="139"/>
      <c r="FPB123" s="139"/>
      <c r="FPC123" s="139"/>
      <c r="FPD123" s="139"/>
      <c r="FPE123" s="139"/>
      <c r="FPF123" s="139"/>
      <c r="FPG123" s="139"/>
      <c r="FPH123" s="139"/>
      <c r="FPI123" s="139"/>
      <c r="FPJ123" s="139"/>
      <c r="FPK123" s="139"/>
      <c r="FPL123" s="139"/>
      <c r="FPM123" s="139"/>
      <c r="FPN123" s="139"/>
      <c r="FPO123" s="139"/>
      <c r="FPP123" s="139"/>
      <c r="FPQ123" s="139"/>
      <c r="FPR123" s="139"/>
      <c r="FPS123" s="139"/>
      <c r="FPT123" s="139"/>
      <c r="FPU123" s="139"/>
      <c r="FPV123" s="139"/>
      <c r="FPW123" s="139"/>
      <c r="FPX123" s="139"/>
      <c r="FPY123" s="139"/>
      <c r="FPZ123" s="139"/>
      <c r="FQA123" s="139"/>
      <c r="FQB123" s="139"/>
      <c r="FQC123" s="139"/>
      <c r="FQD123" s="139"/>
      <c r="FQE123" s="139"/>
      <c r="FQF123" s="139"/>
      <c r="FQG123" s="139"/>
      <c r="FQH123" s="139"/>
      <c r="FQI123" s="139"/>
      <c r="FQJ123" s="139"/>
      <c r="FQK123" s="139"/>
      <c r="FQL123" s="139"/>
      <c r="FQM123" s="139"/>
      <c r="FQN123" s="139"/>
      <c r="FQO123" s="139"/>
      <c r="FQP123" s="139"/>
      <c r="FQQ123" s="139"/>
      <c r="FQR123" s="139"/>
      <c r="FQS123" s="139"/>
      <c r="FQT123" s="139"/>
      <c r="FQU123" s="139"/>
      <c r="FQV123" s="139"/>
      <c r="FQW123" s="139"/>
      <c r="FQX123" s="139"/>
      <c r="FQY123" s="139"/>
      <c r="FQZ123" s="139"/>
      <c r="FRA123" s="139"/>
      <c r="FRB123" s="139"/>
      <c r="FRC123" s="139"/>
      <c r="FRD123" s="139"/>
      <c r="FRE123" s="139"/>
      <c r="FRF123" s="139"/>
      <c r="FRG123" s="139"/>
      <c r="FRH123" s="139"/>
      <c r="FRI123" s="139"/>
      <c r="FRJ123" s="139"/>
      <c r="FRK123" s="139"/>
      <c r="FRL123" s="139"/>
      <c r="FRM123" s="139"/>
      <c r="FRN123" s="139"/>
      <c r="FRO123" s="139"/>
      <c r="FRP123" s="139"/>
      <c r="FRQ123" s="139"/>
      <c r="FRR123" s="139"/>
      <c r="FRS123" s="139"/>
      <c r="FRT123" s="139"/>
      <c r="FRU123" s="139"/>
      <c r="FRV123" s="139"/>
      <c r="FRW123" s="139"/>
      <c r="FRX123" s="139"/>
      <c r="FRY123" s="139"/>
      <c r="FRZ123" s="139"/>
      <c r="FSA123" s="139"/>
      <c r="FSB123" s="139"/>
      <c r="FSC123" s="139"/>
      <c r="FSD123" s="139"/>
      <c r="FSE123" s="139"/>
      <c r="FSF123" s="139"/>
      <c r="FSG123" s="139"/>
      <c r="FSH123" s="139"/>
      <c r="FSI123" s="139"/>
      <c r="FSJ123" s="139"/>
      <c r="FSK123" s="139"/>
      <c r="FSL123" s="139"/>
      <c r="FSM123" s="139"/>
      <c r="FSN123" s="139"/>
      <c r="FSO123" s="139"/>
      <c r="FSP123" s="139"/>
      <c r="FSQ123" s="139"/>
      <c r="FSR123" s="139"/>
      <c r="FSS123" s="139"/>
      <c r="FST123" s="139"/>
      <c r="FSU123" s="139"/>
      <c r="FSV123" s="139"/>
      <c r="FSW123" s="139"/>
      <c r="FSX123" s="139"/>
      <c r="FSY123" s="139"/>
      <c r="FSZ123" s="139"/>
      <c r="FTA123" s="139"/>
      <c r="FTB123" s="139"/>
      <c r="FTC123" s="139"/>
      <c r="FTD123" s="139"/>
      <c r="FTE123" s="139"/>
      <c r="FTF123" s="139"/>
      <c r="FTG123" s="139"/>
      <c r="FTH123" s="139"/>
      <c r="FTI123" s="139"/>
      <c r="FTJ123" s="139"/>
      <c r="FTK123" s="139"/>
      <c r="FTL123" s="139"/>
      <c r="FTM123" s="139"/>
      <c r="FTN123" s="139"/>
      <c r="FTO123" s="139"/>
      <c r="FTP123" s="139"/>
      <c r="FTQ123" s="139"/>
      <c r="FTR123" s="139"/>
      <c r="FTS123" s="139"/>
      <c r="FTT123" s="139"/>
      <c r="FTU123" s="139"/>
      <c r="FTV123" s="139"/>
      <c r="FTW123" s="139"/>
      <c r="FTX123" s="139"/>
      <c r="FTY123" s="139"/>
      <c r="FTZ123" s="139"/>
      <c r="FUA123" s="139"/>
      <c r="FUB123" s="139"/>
      <c r="FUC123" s="139"/>
      <c r="FUD123" s="139"/>
      <c r="FUE123" s="139"/>
      <c r="FUF123" s="139"/>
      <c r="FUG123" s="139"/>
      <c r="FUH123" s="139"/>
      <c r="FUI123" s="139"/>
      <c r="FUJ123" s="139"/>
      <c r="FUK123" s="139"/>
      <c r="FUL123" s="139"/>
      <c r="FUM123" s="139"/>
      <c r="FUN123" s="139"/>
      <c r="FUO123" s="139"/>
      <c r="FUP123" s="139"/>
      <c r="FUQ123" s="139"/>
      <c r="FUR123" s="139"/>
      <c r="FUS123" s="139"/>
      <c r="FUT123" s="139"/>
      <c r="FUU123" s="139"/>
      <c r="FUV123" s="139"/>
      <c r="FUW123" s="139"/>
      <c r="FUX123" s="139"/>
      <c r="FUY123" s="139"/>
      <c r="FUZ123" s="139"/>
      <c r="FVA123" s="139"/>
      <c r="FVB123" s="139"/>
      <c r="FVC123" s="139"/>
      <c r="FVD123" s="139"/>
      <c r="FVE123" s="139"/>
      <c r="FVF123" s="139"/>
      <c r="FVG123" s="139"/>
      <c r="FVH123" s="139"/>
      <c r="FVI123" s="139"/>
      <c r="FVJ123" s="139"/>
      <c r="FVK123" s="139"/>
      <c r="FVL123" s="139"/>
      <c r="FVM123" s="139"/>
      <c r="FVN123" s="139"/>
      <c r="FVO123" s="139"/>
      <c r="FVP123" s="139"/>
      <c r="FVQ123" s="139"/>
      <c r="FVR123" s="139"/>
      <c r="FVS123" s="139"/>
      <c r="FVT123" s="139"/>
      <c r="FVU123" s="139"/>
      <c r="FVV123" s="139"/>
      <c r="FVW123" s="139"/>
      <c r="FVX123" s="139"/>
      <c r="FVY123" s="139"/>
      <c r="FVZ123" s="139"/>
      <c r="FWA123" s="139"/>
      <c r="FWB123" s="139"/>
      <c r="FWC123" s="139"/>
      <c r="FWD123" s="139"/>
      <c r="FWE123" s="139"/>
      <c r="FWF123" s="139"/>
      <c r="FWG123" s="139"/>
      <c r="FWH123" s="139"/>
      <c r="FWI123" s="139"/>
      <c r="FWJ123" s="139"/>
      <c r="FWK123" s="139"/>
      <c r="FWL123" s="139"/>
      <c r="FWM123" s="139"/>
      <c r="FWN123" s="139"/>
      <c r="FWO123" s="139"/>
      <c r="FWP123" s="139"/>
      <c r="FWQ123" s="139"/>
      <c r="FWR123" s="139"/>
      <c r="FWS123" s="139"/>
      <c r="FWT123" s="139"/>
      <c r="FWU123" s="139"/>
      <c r="FWV123" s="139"/>
      <c r="FWW123" s="139"/>
      <c r="FWX123" s="139"/>
      <c r="FWY123" s="139"/>
      <c r="FWZ123" s="139"/>
      <c r="FXA123" s="139"/>
      <c r="FXB123" s="139"/>
      <c r="FXC123" s="139"/>
      <c r="FXD123" s="139"/>
      <c r="FXE123" s="139"/>
      <c r="FXF123" s="139"/>
      <c r="FXG123" s="139"/>
      <c r="FXH123" s="139"/>
      <c r="FXI123" s="139"/>
      <c r="FXJ123" s="139"/>
      <c r="FXK123" s="139"/>
      <c r="FXL123" s="139"/>
      <c r="FXM123" s="139"/>
      <c r="FXN123" s="139"/>
      <c r="FXO123" s="139"/>
      <c r="FXP123" s="139"/>
      <c r="FXQ123" s="139"/>
      <c r="FXR123" s="139"/>
      <c r="FXS123" s="139"/>
      <c r="FXT123" s="139"/>
      <c r="FXU123" s="139"/>
      <c r="FXV123" s="139"/>
      <c r="FXW123" s="139"/>
      <c r="FXX123" s="139"/>
      <c r="FXY123" s="139"/>
      <c r="FXZ123" s="139"/>
      <c r="FYA123" s="139"/>
      <c r="FYB123" s="139"/>
      <c r="FYC123" s="139"/>
      <c r="FYD123" s="139"/>
      <c r="FYE123" s="139"/>
      <c r="FYF123" s="139"/>
      <c r="FYG123" s="139"/>
      <c r="FYH123" s="139"/>
      <c r="FYI123" s="139"/>
      <c r="FYJ123" s="139"/>
      <c r="FYK123" s="139"/>
      <c r="FYL123" s="139"/>
      <c r="FYM123" s="139"/>
      <c r="FYN123" s="139"/>
      <c r="FYO123" s="139"/>
      <c r="FYP123" s="139"/>
      <c r="FYQ123" s="139"/>
      <c r="FYR123" s="139"/>
      <c r="FYS123" s="139"/>
      <c r="FYT123" s="139"/>
      <c r="FYU123" s="139"/>
      <c r="FYV123" s="139"/>
      <c r="FYW123" s="139"/>
      <c r="FYX123" s="139"/>
      <c r="FYY123" s="139"/>
      <c r="FYZ123" s="139"/>
      <c r="FZA123" s="139"/>
      <c r="FZB123" s="139"/>
      <c r="FZC123" s="139"/>
      <c r="FZD123" s="139"/>
      <c r="FZE123" s="139"/>
      <c r="FZF123" s="139"/>
      <c r="FZG123" s="139"/>
      <c r="FZH123" s="139"/>
      <c r="FZI123" s="139"/>
      <c r="FZJ123" s="139"/>
      <c r="FZK123" s="139"/>
      <c r="FZL123" s="139"/>
      <c r="FZM123" s="139"/>
      <c r="FZN123" s="139"/>
      <c r="FZO123" s="139"/>
      <c r="FZP123" s="139"/>
      <c r="FZQ123" s="139"/>
      <c r="FZR123" s="139"/>
      <c r="FZS123" s="139"/>
      <c r="FZT123" s="139"/>
      <c r="FZU123" s="139"/>
      <c r="FZV123" s="139"/>
      <c r="FZW123" s="139"/>
      <c r="FZX123" s="139"/>
      <c r="FZY123" s="139"/>
      <c r="FZZ123" s="139"/>
      <c r="GAA123" s="139"/>
      <c r="GAB123" s="139"/>
      <c r="GAC123" s="139"/>
      <c r="GAD123" s="139"/>
      <c r="GAE123" s="139"/>
      <c r="GAF123" s="139"/>
      <c r="GAG123" s="139"/>
      <c r="GAH123" s="139"/>
      <c r="GAI123" s="139"/>
      <c r="GAJ123" s="139"/>
      <c r="GAK123" s="139"/>
      <c r="GAL123" s="139"/>
      <c r="GAM123" s="139"/>
      <c r="GAN123" s="139"/>
      <c r="GAO123" s="139"/>
      <c r="GAP123" s="139"/>
      <c r="GAQ123" s="139"/>
      <c r="GAR123" s="139"/>
      <c r="GAS123" s="139"/>
      <c r="GAT123" s="139"/>
      <c r="GAU123" s="139"/>
      <c r="GAV123" s="139"/>
      <c r="GAW123" s="139"/>
      <c r="GAX123" s="139"/>
      <c r="GAY123" s="139"/>
      <c r="GAZ123" s="139"/>
      <c r="GBA123" s="139"/>
      <c r="GBB123" s="139"/>
      <c r="GBC123" s="139"/>
      <c r="GBD123" s="139"/>
      <c r="GBE123" s="139"/>
      <c r="GBF123" s="139"/>
      <c r="GBG123" s="139"/>
      <c r="GBH123" s="139"/>
      <c r="GBI123" s="139"/>
      <c r="GBJ123" s="139"/>
      <c r="GBK123" s="139"/>
      <c r="GBL123" s="139"/>
      <c r="GBM123" s="139"/>
      <c r="GBN123" s="139"/>
      <c r="GBO123" s="139"/>
      <c r="GBP123" s="139"/>
      <c r="GBQ123" s="139"/>
      <c r="GBR123" s="139"/>
      <c r="GBS123" s="139"/>
      <c r="GBT123" s="139"/>
      <c r="GBU123" s="139"/>
      <c r="GBV123" s="139"/>
      <c r="GBW123" s="139"/>
      <c r="GBX123" s="139"/>
      <c r="GBY123" s="139"/>
      <c r="GBZ123" s="139"/>
      <c r="GCA123" s="139"/>
      <c r="GCB123" s="139"/>
      <c r="GCC123" s="139"/>
      <c r="GCD123" s="139"/>
      <c r="GCE123" s="139"/>
      <c r="GCF123" s="139"/>
      <c r="GCG123" s="139"/>
      <c r="GCH123" s="139"/>
      <c r="GCI123" s="139"/>
      <c r="GCJ123" s="139"/>
      <c r="GCK123" s="139"/>
      <c r="GCL123" s="139"/>
      <c r="GCM123" s="139"/>
      <c r="GCN123" s="139"/>
      <c r="GCO123" s="139"/>
      <c r="GCP123" s="139"/>
      <c r="GCQ123" s="139"/>
      <c r="GCR123" s="139"/>
      <c r="GCS123" s="139"/>
      <c r="GCT123" s="139"/>
      <c r="GCU123" s="139"/>
      <c r="GCV123" s="139"/>
      <c r="GCW123" s="139"/>
      <c r="GCX123" s="139"/>
      <c r="GCY123" s="139"/>
      <c r="GCZ123" s="139"/>
      <c r="GDA123" s="139"/>
      <c r="GDB123" s="139"/>
      <c r="GDC123" s="139"/>
      <c r="GDD123" s="139"/>
      <c r="GDE123" s="139"/>
      <c r="GDF123" s="139"/>
      <c r="GDG123" s="139"/>
      <c r="GDH123" s="139"/>
      <c r="GDI123" s="139"/>
      <c r="GDJ123" s="139"/>
      <c r="GDK123" s="139"/>
      <c r="GDL123" s="139"/>
      <c r="GDM123" s="139"/>
      <c r="GDN123" s="139"/>
      <c r="GDO123" s="139"/>
      <c r="GDP123" s="139"/>
      <c r="GDQ123" s="139"/>
      <c r="GDR123" s="139"/>
      <c r="GDS123" s="139"/>
      <c r="GDT123" s="139"/>
      <c r="GDU123" s="139"/>
      <c r="GDV123" s="139"/>
      <c r="GDW123" s="139"/>
      <c r="GDX123" s="139"/>
      <c r="GDY123" s="139"/>
      <c r="GDZ123" s="139"/>
      <c r="GEA123" s="139"/>
      <c r="GEB123" s="139"/>
      <c r="GEC123" s="139"/>
      <c r="GED123" s="139"/>
      <c r="GEE123" s="139"/>
      <c r="GEF123" s="139"/>
      <c r="GEG123" s="139"/>
      <c r="GEH123" s="139"/>
      <c r="GEI123" s="139"/>
      <c r="GEJ123" s="139"/>
      <c r="GEK123" s="139"/>
      <c r="GEL123" s="139"/>
      <c r="GEM123" s="139"/>
      <c r="GEN123" s="139"/>
      <c r="GEO123" s="139"/>
      <c r="GEP123" s="139"/>
      <c r="GEQ123" s="139"/>
      <c r="GER123" s="139"/>
      <c r="GES123" s="139"/>
      <c r="GET123" s="139"/>
      <c r="GEU123" s="139"/>
      <c r="GEV123" s="139"/>
      <c r="GEW123" s="139"/>
      <c r="GEX123" s="139"/>
      <c r="GEY123" s="139"/>
      <c r="GEZ123" s="139"/>
      <c r="GFA123" s="139"/>
      <c r="GFB123" s="139"/>
      <c r="GFC123" s="139"/>
      <c r="GFD123" s="139"/>
      <c r="GFE123" s="139"/>
      <c r="GFF123" s="139"/>
      <c r="GFG123" s="139"/>
      <c r="GFH123" s="139"/>
      <c r="GFI123" s="139"/>
      <c r="GFJ123" s="139"/>
      <c r="GFK123" s="139"/>
      <c r="GFL123" s="139"/>
      <c r="GFM123" s="139"/>
      <c r="GFN123" s="139"/>
      <c r="GFO123" s="139"/>
      <c r="GFP123" s="139"/>
      <c r="GFQ123" s="139"/>
      <c r="GFR123" s="139"/>
      <c r="GFS123" s="139"/>
      <c r="GFT123" s="139"/>
      <c r="GFU123" s="139"/>
      <c r="GFV123" s="139"/>
      <c r="GFW123" s="139"/>
      <c r="GFX123" s="139"/>
      <c r="GFY123" s="139"/>
      <c r="GFZ123" s="139"/>
      <c r="GGA123" s="139"/>
      <c r="GGB123" s="139"/>
      <c r="GGC123" s="139"/>
      <c r="GGD123" s="139"/>
      <c r="GGE123" s="139"/>
      <c r="GGF123" s="139"/>
      <c r="GGG123" s="139"/>
      <c r="GGH123" s="139"/>
      <c r="GGI123" s="139"/>
      <c r="GGJ123" s="139"/>
      <c r="GGK123" s="139"/>
      <c r="GGL123" s="139"/>
      <c r="GGM123" s="139"/>
      <c r="GGN123" s="139"/>
      <c r="GGO123" s="139"/>
      <c r="GGP123" s="139"/>
      <c r="GGQ123" s="139"/>
      <c r="GGR123" s="139"/>
      <c r="GGS123" s="139"/>
      <c r="GGT123" s="139"/>
      <c r="GGU123" s="139"/>
      <c r="GGV123" s="139"/>
      <c r="GGW123" s="139"/>
      <c r="GGX123" s="139"/>
      <c r="GGY123" s="139"/>
      <c r="GGZ123" s="139"/>
      <c r="GHA123" s="139"/>
      <c r="GHB123" s="139"/>
      <c r="GHC123" s="139"/>
      <c r="GHD123" s="139"/>
      <c r="GHE123" s="139"/>
      <c r="GHF123" s="139"/>
      <c r="GHG123" s="139"/>
      <c r="GHH123" s="139"/>
      <c r="GHI123" s="139"/>
      <c r="GHJ123" s="139"/>
      <c r="GHK123" s="139"/>
      <c r="GHL123" s="139"/>
      <c r="GHM123" s="139"/>
      <c r="GHN123" s="139"/>
      <c r="GHO123" s="139"/>
      <c r="GHP123" s="139"/>
      <c r="GHQ123" s="139"/>
      <c r="GHR123" s="139"/>
      <c r="GHS123" s="139"/>
      <c r="GHT123" s="139"/>
      <c r="GHU123" s="139"/>
      <c r="GHV123" s="139"/>
      <c r="GHW123" s="139"/>
      <c r="GHX123" s="139"/>
      <c r="GHY123" s="139"/>
      <c r="GHZ123" s="139"/>
      <c r="GIA123" s="139"/>
      <c r="GIB123" s="139"/>
      <c r="GIC123" s="139"/>
      <c r="GID123" s="139"/>
      <c r="GIE123" s="139"/>
      <c r="GIF123" s="139"/>
      <c r="GIG123" s="139"/>
      <c r="GIH123" s="139"/>
      <c r="GII123" s="139"/>
      <c r="GIJ123" s="139"/>
      <c r="GIK123" s="139"/>
      <c r="GIL123" s="139"/>
      <c r="GIM123" s="139"/>
      <c r="GIN123" s="139"/>
      <c r="GIO123" s="139"/>
      <c r="GIP123" s="139"/>
      <c r="GIQ123" s="139"/>
      <c r="GIR123" s="139"/>
      <c r="GIS123" s="139"/>
      <c r="GIT123" s="139"/>
      <c r="GIU123" s="139"/>
      <c r="GIV123" s="139"/>
      <c r="GIW123" s="139"/>
      <c r="GIX123" s="139"/>
      <c r="GIY123" s="139"/>
      <c r="GIZ123" s="139"/>
      <c r="GJA123" s="139"/>
      <c r="GJB123" s="139"/>
      <c r="GJC123" s="139"/>
      <c r="GJD123" s="139"/>
      <c r="GJE123" s="139"/>
      <c r="GJF123" s="139"/>
      <c r="GJG123" s="139"/>
      <c r="GJH123" s="139"/>
      <c r="GJI123" s="139"/>
      <c r="GJJ123" s="139"/>
      <c r="GJK123" s="139"/>
      <c r="GJL123" s="139"/>
      <c r="GJM123" s="139"/>
      <c r="GJN123" s="139"/>
      <c r="GJO123" s="139"/>
      <c r="GJP123" s="139"/>
      <c r="GJQ123" s="139"/>
      <c r="GJR123" s="139"/>
      <c r="GJS123" s="139"/>
      <c r="GJT123" s="139"/>
      <c r="GJU123" s="139"/>
      <c r="GJV123" s="139"/>
      <c r="GJW123" s="139"/>
      <c r="GJX123" s="139"/>
      <c r="GJY123" s="139"/>
      <c r="GJZ123" s="139"/>
      <c r="GKA123" s="139"/>
      <c r="GKB123" s="139"/>
      <c r="GKC123" s="139"/>
      <c r="GKD123" s="139"/>
      <c r="GKE123" s="139"/>
      <c r="GKF123" s="139"/>
      <c r="GKG123" s="139"/>
      <c r="GKH123" s="139"/>
      <c r="GKI123" s="139"/>
      <c r="GKJ123" s="139"/>
      <c r="GKK123" s="139"/>
      <c r="GKL123" s="139"/>
      <c r="GKM123" s="139"/>
      <c r="GKN123" s="139"/>
      <c r="GKO123" s="139"/>
      <c r="GKP123" s="139"/>
      <c r="GKQ123" s="139"/>
      <c r="GKR123" s="139"/>
      <c r="GKS123" s="139"/>
      <c r="GKT123" s="139"/>
      <c r="GKU123" s="139"/>
      <c r="GKV123" s="139"/>
      <c r="GKW123" s="139"/>
      <c r="GKX123" s="139"/>
      <c r="GKY123" s="139"/>
      <c r="GKZ123" s="139"/>
      <c r="GLA123" s="139"/>
      <c r="GLB123" s="139"/>
      <c r="GLC123" s="139"/>
      <c r="GLD123" s="139"/>
      <c r="GLE123" s="139"/>
      <c r="GLF123" s="139"/>
      <c r="GLG123" s="139"/>
      <c r="GLH123" s="139"/>
      <c r="GLI123" s="139"/>
      <c r="GLJ123" s="139"/>
      <c r="GLK123" s="139"/>
      <c r="GLL123" s="139"/>
      <c r="GLM123" s="139"/>
      <c r="GLN123" s="139"/>
      <c r="GLO123" s="139"/>
      <c r="GLP123" s="139"/>
      <c r="GLQ123" s="139"/>
      <c r="GLR123" s="139"/>
      <c r="GLS123" s="139"/>
      <c r="GLT123" s="139"/>
      <c r="GLU123" s="139"/>
      <c r="GLV123" s="139"/>
      <c r="GLW123" s="139"/>
      <c r="GLX123" s="139"/>
      <c r="GLY123" s="139"/>
      <c r="GLZ123" s="139"/>
      <c r="GMA123" s="139"/>
      <c r="GMB123" s="139"/>
      <c r="GMC123" s="139"/>
      <c r="GMD123" s="139"/>
      <c r="GME123" s="139"/>
      <c r="GMF123" s="139"/>
      <c r="GMG123" s="139"/>
      <c r="GMH123" s="139"/>
      <c r="GMI123" s="139"/>
      <c r="GMJ123" s="139"/>
      <c r="GMK123" s="139"/>
      <c r="GML123" s="139"/>
      <c r="GMM123" s="139"/>
      <c r="GMN123" s="139"/>
      <c r="GMO123" s="139"/>
      <c r="GMP123" s="139"/>
      <c r="GMQ123" s="139"/>
      <c r="GMR123" s="139"/>
      <c r="GMS123" s="139"/>
      <c r="GMT123" s="139"/>
      <c r="GMU123" s="139"/>
      <c r="GMV123" s="139"/>
      <c r="GMW123" s="139"/>
      <c r="GMX123" s="139"/>
      <c r="GMY123" s="139"/>
      <c r="GMZ123" s="139"/>
      <c r="GNA123" s="139"/>
      <c r="GNB123" s="139"/>
      <c r="GNC123" s="139"/>
      <c r="GND123" s="139"/>
      <c r="GNE123" s="139"/>
      <c r="GNF123" s="139"/>
      <c r="GNG123" s="139"/>
      <c r="GNH123" s="139"/>
      <c r="GNI123" s="139"/>
      <c r="GNJ123" s="139"/>
      <c r="GNK123" s="139"/>
      <c r="GNL123" s="139"/>
      <c r="GNM123" s="139"/>
      <c r="GNN123" s="139"/>
      <c r="GNO123" s="139"/>
      <c r="GNP123" s="139"/>
      <c r="GNQ123" s="139"/>
      <c r="GNR123" s="139"/>
      <c r="GNS123" s="139"/>
      <c r="GNT123" s="139"/>
      <c r="GNU123" s="139"/>
      <c r="GNV123" s="139"/>
      <c r="GNW123" s="139"/>
      <c r="GNX123" s="139"/>
      <c r="GNY123" s="139"/>
      <c r="GNZ123" s="139"/>
      <c r="GOA123" s="139"/>
      <c r="GOB123" s="139"/>
      <c r="GOC123" s="139"/>
      <c r="GOD123" s="139"/>
      <c r="GOE123" s="139"/>
      <c r="GOF123" s="139"/>
      <c r="GOG123" s="139"/>
      <c r="GOH123" s="139"/>
      <c r="GOI123" s="139"/>
      <c r="GOJ123" s="139"/>
      <c r="GOK123" s="139"/>
      <c r="GOL123" s="139"/>
      <c r="GOM123" s="139"/>
      <c r="GON123" s="139"/>
      <c r="GOO123" s="139"/>
      <c r="GOP123" s="139"/>
      <c r="GOQ123" s="139"/>
      <c r="GOR123" s="139"/>
      <c r="GOS123" s="139"/>
      <c r="GOT123" s="139"/>
      <c r="GOU123" s="139"/>
      <c r="GOV123" s="139"/>
      <c r="GOW123" s="139"/>
      <c r="GOX123" s="139"/>
      <c r="GOY123" s="139"/>
      <c r="GOZ123" s="139"/>
      <c r="GPA123" s="139"/>
      <c r="GPB123" s="139"/>
      <c r="GPC123" s="139"/>
      <c r="GPD123" s="139"/>
      <c r="GPE123" s="139"/>
      <c r="GPF123" s="139"/>
      <c r="GPG123" s="139"/>
      <c r="GPH123" s="139"/>
      <c r="GPI123" s="139"/>
      <c r="GPJ123" s="139"/>
      <c r="GPK123" s="139"/>
      <c r="GPL123" s="139"/>
      <c r="GPM123" s="139"/>
      <c r="GPN123" s="139"/>
      <c r="GPO123" s="139"/>
      <c r="GPP123" s="139"/>
      <c r="GPQ123" s="139"/>
      <c r="GPR123" s="139"/>
      <c r="GPS123" s="139"/>
      <c r="GPT123" s="139"/>
      <c r="GPU123" s="139"/>
      <c r="GPV123" s="139"/>
      <c r="GPW123" s="139"/>
      <c r="GPX123" s="139"/>
      <c r="GPY123" s="139"/>
      <c r="GPZ123" s="139"/>
      <c r="GQA123" s="139"/>
      <c r="GQB123" s="139"/>
      <c r="GQC123" s="139"/>
      <c r="GQD123" s="139"/>
      <c r="GQE123" s="139"/>
      <c r="GQF123" s="139"/>
      <c r="GQG123" s="139"/>
      <c r="GQH123" s="139"/>
      <c r="GQI123" s="139"/>
      <c r="GQJ123" s="139"/>
      <c r="GQK123" s="139"/>
      <c r="GQL123" s="139"/>
      <c r="GQM123" s="139"/>
      <c r="GQN123" s="139"/>
      <c r="GQO123" s="139"/>
      <c r="GQP123" s="139"/>
      <c r="GQQ123" s="139"/>
      <c r="GQR123" s="139"/>
      <c r="GQS123" s="139"/>
      <c r="GQT123" s="139"/>
      <c r="GQU123" s="139"/>
      <c r="GQV123" s="139"/>
      <c r="GQW123" s="139"/>
      <c r="GQX123" s="139"/>
      <c r="GQY123" s="139"/>
      <c r="GQZ123" s="139"/>
      <c r="GRA123" s="139"/>
      <c r="GRB123" s="139"/>
      <c r="GRC123" s="139"/>
      <c r="GRD123" s="139"/>
      <c r="GRE123" s="139"/>
      <c r="GRF123" s="139"/>
      <c r="GRG123" s="139"/>
      <c r="GRH123" s="139"/>
      <c r="GRI123" s="139"/>
      <c r="GRJ123" s="139"/>
      <c r="GRK123" s="139"/>
      <c r="GRL123" s="139"/>
      <c r="GRM123" s="139"/>
      <c r="GRN123" s="139"/>
      <c r="GRO123" s="139"/>
      <c r="GRP123" s="139"/>
      <c r="GRQ123" s="139"/>
      <c r="GRR123" s="139"/>
      <c r="GRS123" s="139"/>
      <c r="GRT123" s="139"/>
      <c r="GRU123" s="139"/>
      <c r="GRV123" s="139"/>
      <c r="GRW123" s="139"/>
      <c r="GRX123" s="139"/>
      <c r="GRY123" s="139"/>
      <c r="GRZ123" s="139"/>
      <c r="GSA123" s="139"/>
      <c r="GSB123" s="139"/>
      <c r="GSC123" s="139"/>
      <c r="GSD123" s="139"/>
      <c r="GSE123" s="139"/>
      <c r="GSF123" s="139"/>
      <c r="GSG123" s="139"/>
      <c r="GSH123" s="139"/>
      <c r="GSI123" s="139"/>
      <c r="GSJ123" s="139"/>
      <c r="GSK123" s="139"/>
      <c r="GSL123" s="139"/>
      <c r="GSM123" s="139"/>
      <c r="GSN123" s="139"/>
      <c r="GSO123" s="139"/>
      <c r="GSP123" s="139"/>
      <c r="GSQ123" s="139"/>
      <c r="GSR123" s="139"/>
      <c r="GSS123" s="139"/>
      <c r="GST123" s="139"/>
      <c r="GSU123" s="139"/>
      <c r="GSV123" s="139"/>
      <c r="GSW123" s="139"/>
      <c r="GSX123" s="139"/>
      <c r="GSY123" s="139"/>
      <c r="GSZ123" s="139"/>
      <c r="GTA123" s="139"/>
      <c r="GTB123" s="139"/>
      <c r="GTC123" s="139"/>
      <c r="GTD123" s="139"/>
      <c r="GTE123" s="139"/>
      <c r="GTF123" s="139"/>
      <c r="GTG123" s="139"/>
      <c r="GTH123" s="139"/>
      <c r="GTI123" s="139"/>
      <c r="GTJ123" s="139"/>
      <c r="GTK123" s="139"/>
      <c r="GTL123" s="139"/>
      <c r="GTM123" s="139"/>
      <c r="GTN123" s="139"/>
      <c r="GTO123" s="139"/>
      <c r="GTP123" s="139"/>
      <c r="GTQ123" s="139"/>
      <c r="GTR123" s="139"/>
      <c r="GTS123" s="139"/>
      <c r="GTT123" s="139"/>
      <c r="GTU123" s="139"/>
      <c r="GTV123" s="139"/>
      <c r="GTW123" s="139"/>
      <c r="GTX123" s="139"/>
      <c r="GTY123" s="139"/>
      <c r="GTZ123" s="139"/>
      <c r="GUA123" s="139"/>
      <c r="GUB123" s="139"/>
      <c r="GUC123" s="139"/>
      <c r="GUD123" s="139"/>
      <c r="GUE123" s="139"/>
      <c r="GUF123" s="139"/>
      <c r="GUG123" s="139"/>
      <c r="GUH123" s="139"/>
      <c r="GUI123" s="139"/>
      <c r="GUJ123" s="139"/>
      <c r="GUK123" s="139"/>
      <c r="GUL123" s="139"/>
      <c r="GUM123" s="139"/>
      <c r="GUN123" s="139"/>
      <c r="GUO123" s="139"/>
      <c r="GUP123" s="139"/>
      <c r="GUQ123" s="139"/>
      <c r="GUR123" s="139"/>
      <c r="GUS123" s="139"/>
      <c r="GUT123" s="139"/>
      <c r="GUU123" s="139"/>
      <c r="GUV123" s="139"/>
      <c r="GUW123" s="139"/>
      <c r="GUX123" s="139"/>
      <c r="GUY123" s="139"/>
      <c r="GUZ123" s="139"/>
      <c r="GVA123" s="139"/>
      <c r="GVB123" s="139"/>
      <c r="GVC123" s="139"/>
      <c r="GVD123" s="139"/>
      <c r="GVE123" s="139"/>
      <c r="GVF123" s="139"/>
      <c r="GVG123" s="139"/>
      <c r="GVH123" s="139"/>
      <c r="GVI123" s="139"/>
      <c r="GVJ123" s="139"/>
      <c r="GVK123" s="139"/>
      <c r="GVL123" s="139"/>
      <c r="GVM123" s="139"/>
      <c r="GVN123" s="139"/>
      <c r="GVO123" s="139"/>
      <c r="GVP123" s="139"/>
      <c r="GVQ123" s="139"/>
      <c r="GVR123" s="139"/>
      <c r="GVS123" s="139"/>
      <c r="GVT123" s="139"/>
      <c r="GVU123" s="139"/>
      <c r="GVV123" s="139"/>
      <c r="GVW123" s="139"/>
      <c r="GVX123" s="139"/>
      <c r="GVY123" s="139"/>
      <c r="GVZ123" s="139"/>
      <c r="GWA123" s="139"/>
      <c r="GWB123" s="139"/>
      <c r="GWC123" s="139"/>
      <c r="GWD123" s="139"/>
      <c r="GWE123" s="139"/>
      <c r="GWF123" s="139"/>
      <c r="GWG123" s="139"/>
      <c r="GWH123" s="139"/>
      <c r="GWI123" s="139"/>
      <c r="GWJ123" s="139"/>
      <c r="GWK123" s="139"/>
      <c r="GWL123" s="139"/>
      <c r="GWM123" s="139"/>
      <c r="GWN123" s="139"/>
      <c r="GWO123" s="139"/>
      <c r="GWP123" s="139"/>
      <c r="GWQ123" s="139"/>
      <c r="GWR123" s="139"/>
      <c r="GWS123" s="139"/>
      <c r="GWT123" s="139"/>
      <c r="GWU123" s="139"/>
      <c r="GWV123" s="139"/>
      <c r="GWW123" s="139"/>
      <c r="GWX123" s="139"/>
      <c r="GWY123" s="139"/>
      <c r="GWZ123" s="139"/>
      <c r="GXA123" s="139"/>
      <c r="GXB123" s="139"/>
      <c r="GXC123" s="139"/>
      <c r="GXD123" s="139"/>
      <c r="GXE123" s="139"/>
      <c r="GXF123" s="139"/>
      <c r="GXG123" s="139"/>
      <c r="GXH123" s="139"/>
      <c r="GXI123" s="139"/>
      <c r="GXJ123" s="139"/>
      <c r="GXK123" s="139"/>
      <c r="GXL123" s="139"/>
      <c r="GXM123" s="139"/>
      <c r="GXN123" s="139"/>
      <c r="GXO123" s="139"/>
      <c r="GXP123" s="139"/>
      <c r="GXQ123" s="139"/>
      <c r="GXR123" s="139"/>
      <c r="GXS123" s="139"/>
      <c r="GXT123" s="139"/>
      <c r="GXU123" s="139"/>
      <c r="GXV123" s="139"/>
      <c r="GXW123" s="139"/>
      <c r="GXX123" s="139"/>
      <c r="GXY123" s="139"/>
      <c r="GXZ123" s="139"/>
      <c r="GYA123" s="139"/>
      <c r="GYB123" s="139"/>
      <c r="GYC123" s="139"/>
      <c r="GYD123" s="139"/>
      <c r="GYE123" s="139"/>
      <c r="GYF123" s="139"/>
      <c r="GYG123" s="139"/>
      <c r="GYH123" s="139"/>
      <c r="GYI123" s="139"/>
      <c r="GYJ123" s="139"/>
      <c r="GYK123" s="139"/>
      <c r="GYL123" s="139"/>
      <c r="GYM123" s="139"/>
      <c r="GYN123" s="139"/>
      <c r="GYO123" s="139"/>
      <c r="GYP123" s="139"/>
      <c r="GYQ123" s="139"/>
      <c r="GYR123" s="139"/>
      <c r="GYS123" s="139"/>
      <c r="GYT123" s="139"/>
      <c r="GYU123" s="139"/>
      <c r="GYV123" s="139"/>
      <c r="GYW123" s="139"/>
      <c r="GYX123" s="139"/>
      <c r="GYY123" s="139"/>
      <c r="GYZ123" s="139"/>
      <c r="GZA123" s="139"/>
      <c r="GZB123" s="139"/>
      <c r="GZC123" s="139"/>
      <c r="GZD123" s="139"/>
      <c r="GZE123" s="139"/>
      <c r="GZF123" s="139"/>
      <c r="GZG123" s="139"/>
      <c r="GZH123" s="139"/>
      <c r="GZI123" s="139"/>
      <c r="GZJ123" s="139"/>
      <c r="GZK123" s="139"/>
      <c r="GZL123" s="139"/>
      <c r="GZM123" s="139"/>
      <c r="GZN123" s="139"/>
      <c r="GZO123" s="139"/>
      <c r="GZP123" s="139"/>
      <c r="GZQ123" s="139"/>
      <c r="GZR123" s="139"/>
      <c r="GZS123" s="139"/>
      <c r="GZT123" s="139"/>
      <c r="GZU123" s="139"/>
      <c r="GZV123" s="139"/>
      <c r="GZW123" s="139"/>
      <c r="GZX123" s="139"/>
      <c r="GZY123" s="139"/>
      <c r="GZZ123" s="139"/>
      <c r="HAA123" s="139"/>
      <c r="HAB123" s="139"/>
      <c r="HAC123" s="139"/>
      <c r="HAD123" s="139"/>
      <c r="HAE123" s="139"/>
      <c r="HAF123" s="139"/>
      <c r="HAG123" s="139"/>
      <c r="HAH123" s="139"/>
      <c r="HAI123" s="139"/>
      <c r="HAJ123" s="139"/>
      <c r="HAK123" s="139"/>
      <c r="HAL123" s="139"/>
      <c r="HAM123" s="139"/>
      <c r="HAN123" s="139"/>
      <c r="HAO123" s="139"/>
      <c r="HAP123" s="139"/>
      <c r="HAQ123" s="139"/>
      <c r="HAR123" s="139"/>
      <c r="HAS123" s="139"/>
      <c r="HAT123" s="139"/>
      <c r="HAU123" s="139"/>
      <c r="HAV123" s="139"/>
      <c r="HAW123" s="139"/>
      <c r="HAX123" s="139"/>
      <c r="HAY123" s="139"/>
      <c r="HAZ123" s="139"/>
      <c r="HBA123" s="139"/>
      <c r="HBB123" s="139"/>
      <c r="HBC123" s="139"/>
      <c r="HBD123" s="139"/>
      <c r="HBE123" s="139"/>
      <c r="HBF123" s="139"/>
      <c r="HBG123" s="139"/>
      <c r="HBH123" s="139"/>
      <c r="HBI123" s="139"/>
      <c r="HBJ123" s="139"/>
      <c r="HBK123" s="139"/>
      <c r="HBL123" s="139"/>
      <c r="HBM123" s="139"/>
      <c r="HBN123" s="139"/>
      <c r="HBO123" s="139"/>
      <c r="HBP123" s="139"/>
      <c r="HBQ123" s="139"/>
      <c r="HBR123" s="139"/>
      <c r="HBS123" s="139"/>
      <c r="HBT123" s="139"/>
      <c r="HBU123" s="139"/>
      <c r="HBV123" s="139"/>
      <c r="HBW123" s="139"/>
      <c r="HBX123" s="139"/>
      <c r="HBY123" s="139"/>
      <c r="HBZ123" s="139"/>
      <c r="HCA123" s="139"/>
      <c r="HCB123" s="139"/>
      <c r="HCC123" s="139"/>
      <c r="HCD123" s="139"/>
      <c r="HCE123" s="139"/>
      <c r="HCF123" s="139"/>
      <c r="HCG123" s="139"/>
      <c r="HCH123" s="139"/>
      <c r="HCI123" s="139"/>
      <c r="HCJ123" s="139"/>
      <c r="HCK123" s="139"/>
      <c r="HCL123" s="139"/>
      <c r="HCM123" s="139"/>
      <c r="HCN123" s="139"/>
      <c r="HCO123" s="139"/>
      <c r="HCP123" s="139"/>
      <c r="HCQ123" s="139"/>
      <c r="HCR123" s="139"/>
      <c r="HCS123" s="139"/>
      <c r="HCT123" s="139"/>
      <c r="HCU123" s="139"/>
      <c r="HCV123" s="139"/>
      <c r="HCW123" s="139"/>
      <c r="HCX123" s="139"/>
      <c r="HCY123" s="139"/>
      <c r="HCZ123" s="139"/>
      <c r="HDA123" s="139"/>
      <c r="HDB123" s="139"/>
      <c r="HDC123" s="139"/>
      <c r="HDD123" s="139"/>
      <c r="HDE123" s="139"/>
      <c r="HDF123" s="139"/>
      <c r="HDG123" s="139"/>
      <c r="HDH123" s="139"/>
      <c r="HDI123" s="139"/>
      <c r="HDJ123" s="139"/>
      <c r="HDK123" s="139"/>
      <c r="HDL123" s="139"/>
      <c r="HDM123" s="139"/>
      <c r="HDN123" s="139"/>
      <c r="HDO123" s="139"/>
      <c r="HDP123" s="139"/>
      <c r="HDQ123" s="139"/>
      <c r="HDR123" s="139"/>
      <c r="HDS123" s="139"/>
      <c r="HDT123" s="139"/>
      <c r="HDU123" s="139"/>
      <c r="HDV123" s="139"/>
      <c r="HDW123" s="139"/>
      <c r="HDX123" s="139"/>
      <c r="HDY123" s="139"/>
      <c r="HDZ123" s="139"/>
      <c r="HEA123" s="139"/>
      <c r="HEB123" s="139"/>
      <c r="HEC123" s="139"/>
      <c r="HED123" s="139"/>
      <c r="HEE123" s="139"/>
      <c r="HEF123" s="139"/>
      <c r="HEG123" s="139"/>
      <c r="HEH123" s="139"/>
      <c r="HEI123" s="139"/>
      <c r="HEJ123" s="139"/>
      <c r="HEK123" s="139"/>
      <c r="HEL123" s="139"/>
      <c r="HEM123" s="139"/>
      <c r="HEN123" s="139"/>
      <c r="HEO123" s="139"/>
      <c r="HEP123" s="139"/>
      <c r="HEQ123" s="139"/>
      <c r="HER123" s="139"/>
      <c r="HES123" s="139"/>
      <c r="HET123" s="139"/>
      <c r="HEU123" s="139"/>
      <c r="HEV123" s="139"/>
      <c r="HEW123" s="139"/>
      <c r="HEX123" s="139"/>
      <c r="HEY123" s="139"/>
      <c r="HEZ123" s="139"/>
      <c r="HFA123" s="139"/>
      <c r="HFB123" s="139"/>
      <c r="HFC123" s="139"/>
      <c r="HFD123" s="139"/>
      <c r="HFE123" s="139"/>
      <c r="HFF123" s="139"/>
      <c r="HFG123" s="139"/>
      <c r="HFH123" s="139"/>
      <c r="HFI123" s="139"/>
      <c r="HFJ123" s="139"/>
      <c r="HFK123" s="139"/>
      <c r="HFL123" s="139"/>
      <c r="HFM123" s="139"/>
      <c r="HFN123" s="139"/>
      <c r="HFO123" s="139"/>
      <c r="HFP123" s="139"/>
      <c r="HFQ123" s="139"/>
      <c r="HFR123" s="139"/>
      <c r="HFS123" s="139"/>
      <c r="HFT123" s="139"/>
      <c r="HFU123" s="139"/>
      <c r="HFV123" s="139"/>
      <c r="HFW123" s="139"/>
      <c r="HFX123" s="139"/>
      <c r="HFY123" s="139"/>
      <c r="HFZ123" s="139"/>
      <c r="HGA123" s="139"/>
      <c r="HGB123" s="139"/>
      <c r="HGC123" s="139"/>
      <c r="HGD123" s="139"/>
      <c r="HGE123" s="139"/>
      <c r="HGF123" s="139"/>
      <c r="HGG123" s="139"/>
      <c r="HGH123" s="139"/>
      <c r="HGI123" s="139"/>
      <c r="HGJ123" s="139"/>
      <c r="HGK123" s="139"/>
      <c r="HGL123" s="139"/>
      <c r="HGM123" s="139"/>
      <c r="HGN123" s="139"/>
      <c r="HGO123" s="139"/>
      <c r="HGP123" s="139"/>
      <c r="HGQ123" s="139"/>
      <c r="HGR123" s="139"/>
      <c r="HGS123" s="139"/>
      <c r="HGT123" s="139"/>
      <c r="HGU123" s="139"/>
      <c r="HGV123" s="139"/>
      <c r="HGW123" s="139"/>
      <c r="HGX123" s="139"/>
      <c r="HGY123" s="139"/>
      <c r="HGZ123" s="139"/>
      <c r="HHA123" s="139"/>
      <c r="HHB123" s="139"/>
      <c r="HHC123" s="139"/>
      <c r="HHD123" s="139"/>
      <c r="HHE123" s="139"/>
      <c r="HHF123" s="139"/>
      <c r="HHG123" s="139"/>
      <c r="HHH123" s="139"/>
      <c r="HHI123" s="139"/>
      <c r="HHJ123" s="139"/>
      <c r="HHK123" s="139"/>
      <c r="HHL123" s="139"/>
      <c r="HHM123" s="139"/>
      <c r="HHN123" s="139"/>
      <c r="HHO123" s="139"/>
      <c r="HHP123" s="139"/>
      <c r="HHQ123" s="139"/>
      <c r="HHR123" s="139"/>
      <c r="HHS123" s="139"/>
      <c r="HHT123" s="139"/>
      <c r="HHU123" s="139"/>
      <c r="HHV123" s="139"/>
      <c r="HHW123" s="139"/>
      <c r="HHX123" s="139"/>
      <c r="HHY123" s="139"/>
      <c r="HHZ123" s="139"/>
      <c r="HIA123" s="139"/>
      <c r="HIB123" s="139"/>
      <c r="HIC123" s="139"/>
      <c r="HID123" s="139"/>
      <c r="HIE123" s="139"/>
      <c r="HIF123" s="139"/>
      <c r="HIG123" s="139"/>
      <c r="HIH123" s="139"/>
      <c r="HII123" s="139"/>
      <c r="HIJ123" s="139"/>
      <c r="HIK123" s="139"/>
      <c r="HIL123" s="139"/>
      <c r="HIM123" s="139"/>
      <c r="HIN123" s="139"/>
      <c r="HIO123" s="139"/>
      <c r="HIP123" s="139"/>
      <c r="HIQ123" s="139"/>
      <c r="HIR123" s="139"/>
      <c r="HIS123" s="139"/>
      <c r="HIT123" s="139"/>
      <c r="HIU123" s="139"/>
      <c r="HIV123" s="139"/>
      <c r="HIW123" s="139"/>
      <c r="HIX123" s="139"/>
      <c r="HIY123" s="139"/>
      <c r="HIZ123" s="139"/>
      <c r="HJA123" s="139"/>
      <c r="HJB123" s="139"/>
      <c r="HJC123" s="139"/>
      <c r="HJD123" s="139"/>
      <c r="HJE123" s="139"/>
      <c r="HJF123" s="139"/>
      <c r="HJG123" s="139"/>
      <c r="HJH123" s="139"/>
      <c r="HJI123" s="139"/>
      <c r="HJJ123" s="139"/>
      <c r="HJK123" s="139"/>
      <c r="HJL123" s="139"/>
      <c r="HJM123" s="139"/>
      <c r="HJN123" s="139"/>
      <c r="HJO123" s="139"/>
      <c r="HJP123" s="139"/>
      <c r="HJQ123" s="139"/>
      <c r="HJR123" s="139"/>
      <c r="HJS123" s="139"/>
      <c r="HJT123" s="139"/>
      <c r="HJU123" s="139"/>
      <c r="HJV123" s="139"/>
      <c r="HJW123" s="139"/>
      <c r="HJX123" s="139"/>
      <c r="HJY123" s="139"/>
      <c r="HJZ123" s="139"/>
      <c r="HKA123" s="139"/>
      <c r="HKB123" s="139"/>
      <c r="HKC123" s="139"/>
      <c r="HKD123" s="139"/>
      <c r="HKE123" s="139"/>
      <c r="HKF123" s="139"/>
      <c r="HKG123" s="139"/>
      <c r="HKH123" s="139"/>
      <c r="HKI123" s="139"/>
      <c r="HKJ123" s="139"/>
      <c r="HKK123" s="139"/>
      <c r="HKL123" s="139"/>
      <c r="HKM123" s="139"/>
      <c r="HKN123" s="139"/>
      <c r="HKO123" s="139"/>
      <c r="HKP123" s="139"/>
      <c r="HKQ123" s="139"/>
      <c r="HKR123" s="139"/>
      <c r="HKS123" s="139"/>
      <c r="HKT123" s="139"/>
      <c r="HKU123" s="139"/>
      <c r="HKV123" s="139"/>
      <c r="HKW123" s="139"/>
      <c r="HKX123" s="139"/>
      <c r="HKY123" s="139"/>
      <c r="HKZ123" s="139"/>
      <c r="HLA123" s="139"/>
      <c r="HLB123" s="139"/>
      <c r="HLC123" s="139"/>
      <c r="HLD123" s="139"/>
      <c r="HLE123" s="139"/>
      <c r="HLF123" s="139"/>
      <c r="HLG123" s="139"/>
      <c r="HLH123" s="139"/>
      <c r="HLI123" s="139"/>
      <c r="HLJ123" s="139"/>
      <c r="HLK123" s="139"/>
      <c r="HLL123" s="139"/>
      <c r="HLM123" s="139"/>
      <c r="HLN123" s="139"/>
      <c r="HLO123" s="139"/>
      <c r="HLP123" s="139"/>
      <c r="HLQ123" s="139"/>
      <c r="HLR123" s="139"/>
      <c r="HLS123" s="139"/>
      <c r="HLT123" s="139"/>
      <c r="HLU123" s="139"/>
      <c r="HLV123" s="139"/>
      <c r="HLW123" s="139"/>
      <c r="HLX123" s="139"/>
      <c r="HLY123" s="139"/>
      <c r="HLZ123" s="139"/>
      <c r="HMA123" s="139"/>
      <c r="HMB123" s="139"/>
      <c r="HMC123" s="139"/>
      <c r="HMD123" s="139"/>
      <c r="HME123" s="139"/>
      <c r="HMF123" s="139"/>
      <c r="HMG123" s="139"/>
      <c r="HMH123" s="139"/>
      <c r="HMI123" s="139"/>
      <c r="HMJ123" s="139"/>
      <c r="HMK123" s="139"/>
      <c r="HML123" s="139"/>
      <c r="HMM123" s="139"/>
      <c r="HMN123" s="139"/>
      <c r="HMO123" s="139"/>
      <c r="HMP123" s="139"/>
      <c r="HMQ123" s="139"/>
      <c r="HMR123" s="139"/>
      <c r="HMS123" s="139"/>
      <c r="HMT123" s="139"/>
      <c r="HMU123" s="139"/>
      <c r="HMV123" s="139"/>
      <c r="HMW123" s="139"/>
      <c r="HMX123" s="139"/>
      <c r="HMY123" s="139"/>
      <c r="HMZ123" s="139"/>
      <c r="HNA123" s="139"/>
      <c r="HNB123" s="139"/>
      <c r="HNC123" s="139"/>
      <c r="HND123" s="139"/>
      <c r="HNE123" s="139"/>
      <c r="HNF123" s="139"/>
      <c r="HNG123" s="139"/>
      <c r="HNH123" s="139"/>
      <c r="HNI123" s="139"/>
      <c r="HNJ123" s="139"/>
      <c r="HNK123" s="139"/>
      <c r="HNL123" s="139"/>
      <c r="HNM123" s="139"/>
      <c r="HNN123" s="139"/>
      <c r="HNO123" s="139"/>
      <c r="HNP123" s="139"/>
      <c r="HNQ123" s="139"/>
      <c r="HNR123" s="139"/>
      <c r="HNS123" s="139"/>
      <c r="HNT123" s="139"/>
      <c r="HNU123" s="139"/>
      <c r="HNV123" s="139"/>
      <c r="HNW123" s="139"/>
      <c r="HNX123" s="139"/>
      <c r="HNY123" s="139"/>
      <c r="HNZ123" s="139"/>
      <c r="HOA123" s="139"/>
      <c r="HOB123" s="139"/>
      <c r="HOC123" s="139"/>
      <c r="HOD123" s="139"/>
      <c r="HOE123" s="139"/>
      <c r="HOF123" s="139"/>
      <c r="HOG123" s="139"/>
      <c r="HOH123" s="139"/>
      <c r="HOI123" s="139"/>
      <c r="HOJ123" s="139"/>
      <c r="HOK123" s="139"/>
      <c r="HOL123" s="139"/>
      <c r="HOM123" s="139"/>
      <c r="HON123" s="139"/>
      <c r="HOO123" s="139"/>
      <c r="HOP123" s="139"/>
      <c r="HOQ123" s="139"/>
      <c r="HOR123" s="139"/>
      <c r="HOS123" s="139"/>
      <c r="HOT123" s="139"/>
      <c r="HOU123" s="139"/>
      <c r="HOV123" s="139"/>
      <c r="HOW123" s="139"/>
      <c r="HOX123" s="139"/>
      <c r="HOY123" s="139"/>
      <c r="HOZ123" s="139"/>
      <c r="HPA123" s="139"/>
      <c r="HPB123" s="139"/>
      <c r="HPC123" s="139"/>
      <c r="HPD123" s="139"/>
      <c r="HPE123" s="139"/>
      <c r="HPF123" s="139"/>
      <c r="HPG123" s="139"/>
      <c r="HPH123" s="139"/>
      <c r="HPI123" s="139"/>
      <c r="HPJ123" s="139"/>
      <c r="HPK123" s="139"/>
      <c r="HPL123" s="139"/>
      <c r="HPM123" s="139"/>
      <c r="HPN123" s="139"/>
      <c r="HPO123" s="139"/>
      <c r="HPP123" s="139"/>
      <c r="HPQ123" s="139"/>
      <c r="HPR123" s="139"/>
      <c r="HPS123" s="139"/>
      <c r="HPT123" s="139"/>
      <c r="HPU123" s="139"/>
      <c r="HPV123" s="139"/>
      <c r="HPW123" s="139"/>
      <c r="HPX123" s="139"/>
      <c r="HPY123" s="139"/>
      <c r="HPZ123" s="139"/>
      <c r="HQA123" s="139"/>
      <c r="HQB123" s="139"/>
      <c r="HQC123" s="139"/>
      <c r="HQD123" s="139"/>
      <c r="HQE123" s="139"/>
      <c r="HQF123" s="139"/>
      <c r="HQG123" s="139"/>
      <c r="HQH123" s="139"/>
      <c r="HQI123" s="139"/>
      <c r="HQJ123" s="139"/>
      <c r="HQK123" s="139"/>
      <c r="HQL123" s="139"/>
      <c r="HQM123" s="139"/>
      <c r="HQN123" s="139"/>
      <c r="HQO123" s="139"/>
      <c r="HQP123" s="139"/>
      <c r="HQQ123" s="139"/>
      <c r="HQR123" s="139"/>
      <c r="HQS123" s="139"/>
      <c r="HQT123" s="139"/>
      <c r="HQU123" s="139"/>
      <c r="HQV123" s="139"/>
      <c r="HQW123" s="139"/>
      <c r="HQX123" s="139"/>
      <c r="HQY123" s="139"/>
      <c r="HQZ123" s="139"/>
      <c r="HRA123" s="139"/>
      <c r="HRB123" s="139"/>
      <c r="HRC123" s="139"/>
      <c r="HRD123" s="139"/>
      <c r="HRE123" s="139"/>
      <c r="HRF123" s="139"/>
      <c r="HRG123" s="139"/>
      <c r="HRH123" s="139"/>
      <c r="HRI123" s="139"/>
      <c r="HRJ123" s="139"/>
      <c r="HRK123" s="139"/>
      <c r="HRL123" s="139"/>
      <c r="HRM123" s="139"/>
      <c r="HRN123" s="139"/>
      <c r="HRO123" s="139"/>
      <c r="HRP123" s="139"/>
      <c r="HRQ123" s="139"/>
      <c r="HRR123" s="139"/>
      <c r="HRS123" s="139"/>
      <c r="HRT123" s="139"/>
      <c r="HRU123" s="139"/>
      <c r="HRV123" s="139"/>
      <c r="HRW123" s="139"/>
      <c r="HRX123" s="139"/>
      <c r="HRY123" s="139"/>
      <c r="HRZ123" s="139"/>
      <c r="HSA123" s="139"/>
      <c r="HSB123" s="139"/>
      <c r="HSC123" s="139"/>
      <c r="HSD123" s="139"/>
      <c r="HSE123" s="139"/>
      <c r="HSF123" s="139"/>
      <c r="HSG123" s="139"/>
      <c r="HSH123" s="139"/>
      <c r="HSI123" s="139"/>
      <c r="HSJ123" s="139"/>
      <c r="HSK123" s="139"/>
      <c r="HSL123" s="139"/>
      <c r="HSM123" s="139"/>
      <c r="HSN123" s="139"/>
      <c r="HSO123" s="139"/>
      <c r="HSP123" s="139"/>
      <c r="HSQ123" s="139"/>
      <c r="HSR123" s="139"/>
      <c r="HSS123" s="139"/>
      <c r="HST123" s="139"/>
      <c r="HSU123" s="139"/>
      <c r="HSV123" s="139"/>
      <c r="HSW123" s="139"/>
      <c r="HSX123" s="139"/>
      <c r="HSY123" s="139"/>
      <c r="HSZ123" s="139"/>
      <c r="HTA123" s="139"/>
      <c r="HTB123" s="139"/>
      <c r="HTC123" s="139"/>
      <c r="HTD123" s="139"/>
      <c r="HTE123" s="139"/>
      <c r="HTF123" s="139"/>
      <c r="HTG123" s="139"/>
      <c r="HTH123" s="139"/>
      <c r="HTI123" s="139"/>
      <c r="HTJ123" s="139"/>
      <c r="HTK123" s="139"/>
      <c r="HTL123" s="139"/>
      <c r="HTM123" s="139"/>
      <c r="HTN123" s="139"/>
      <c r="HTO123" s="139"/>
      <c r="HTP123" s="139"/>
      <c r="HTQ123" s="139"/>
      <c r="HTR123" s="139"/>
      <c r="HTS123" s="139"/>
      <c r="HTT123" s="139"/>
      <c r="HTU123" s="139"/>
      <c r="HTV123" s="139"/>
      <c r="HTW123" s="139"/>
      <c r="HTX123" s="139"/>
      <c r="HTY123" s="139"/>
      <c r="HTZ123" s="139"/>
      <c r="HUA123" s="139"/>
      <c r="HUB123" s="139"/>
      <c r="HUC123" s="139"/>
      <c r="HUD123" s="139"/>
      <c r="HUE123" s="139"/>
      <c r="HUF123" s="139"/>
      <c r="HUG123" s="139"/>
      <c r="HUH123" s="139"/>
      <c r="HUI123" s="139"/>
      <c r="HUJ123" s="139"/>
      <c r="HUK123" s="139"/>
      <c r="HUL123" s="139"/>
      <c r="HUM123" s="139"/>
      <c r="HUN123" s="139"/>
      <c r="HUO123" s="139"/>
      <c r="HUP123" s="139"/>
      <c r="HUQ123" s="139"/>
      <c r="HUR123" s="139"/>
      <c r="HUS123" s="139"/>
      <c r="HUT123" s="139"/>
      <c r="HUU123" s="139"/>
      <c r="HUV123" s="139"/>
      <c r="HUW123" s="139"/>
      <c r="HUX123" s="139"/>
      <c r="HUY123" s="139"/>
      <c r="HUZ123" s="139"/>
      <c r="HVA123" s="139"/>
      <c r="HVB123" s="139"/>
      <c r="HVC123" s="139"/>
      <c r="HVD123" s="139"/>
      <c r="HVE123" s="139"/>
      <c r="HVF123" s="139"/>
      <c r="HVG123" s="139"/>
      <c r="HVH123" s="139"/>
      <c r="HVI123" s="139"/>
      <c r="HVJ123" s="139"/>
      <c r="HVK123" s="139"/>
      <c r="HVL123" s="139"/>
      <c r="HVM123" s="139"/>
      <c r="HVN123" s="139"/>
      <c r="HVO123" s="139"/>
      <c r="HVP123" s="139"/>
      <c r="HVQ123" s="139"/>
      <c r="HVR123" s="139"/>
      <c r="HVS123" s="139"/>
      <c r="HVT123" s="139"/>
      <c r="HVU123" s="139"/>
      <c r="HVV123" s="139"/>
      <c r="HVW123" s="139"/>
      <c r="HVX123" s="139"/>
      <c r="HVY123" s="139"/>
      <c r="HVZ123" s="139"/>
      <c r="HWA123" s="139"/>
      <c r="HWB123" s="139"/>
      <c r="HWC123" s="139"/>
      <c r="HWD123" s="139"/>
      <c r="HWE123" s="139"/>
      <c r="HWF123" s="139"/>
      <c r="HWG123" s="139"/>
      <c r="HWH123" s="139"/>
      <c r="HWI123" s="139"/>
      <c r="HWJ123" s="139"/>
      <c r="HWK123" s="139"/>
      <c r="HWL123" s="139"/>
      <c r="HWM123" s="139"/>
      <c r="HWN123" s="139"/>
      <c r="HWO123" s="139"/>
      <c r="HWP123" s="139"/>
      <c r="HWQ123" s="139"/>
      <c r="HWR123" s="139"/>
      <c r="HWS123" s="139"/>
      <c r="HWT123" s="139"/>
      <c r="HWU123" s="139"/>
      <c r="HWV123" s="139"/>
      <c r="HWW123" s="139"/>
      <c r="HWX123" s="139"/>
      <c r="HWY123" s="139"/>
      <c r="HWZ123" s="139"/>
      <c r="HXA123" s="139"/>
      <c r="HXB123" s="139"/>
      <c r="HXC123" s="139"/>
      <c r="HXD123" s="139"/>
      <c r="HXE123" s="139"/>
      <c r="HXF123" s="139"/>
      <c r="HXG123" s="139"/>
      <c r="HXH123" s="139"/>
      <c r="HXI123" s="139"/>
      <c r="HXJ123" s="139"/>
      <c r="HXK123" s="139"/>
      <c r="HXL123" s="139"/>
      <c r="HXM123" s="139"/>
      <c r="HXN123" s="139"/>
      <c r="HXO123" s="139"/>
      <c r="HXP123" s="139"/>
      <c r="HXQ123" s="139"/>
      <c r="HXR123" s="139"/>
      <c r="HXS123" s="139"/>
      <c r="HXT123" s="139"/>
      <c r="HXU123" s="139"/>
      <c r="HXV123" s="139"/>
      <c r="HXW123" s="139"/>
      <c r="HXX123" s="139"/>
      <c r="HXY123" s="139"/>
      <c r="HXZ123" s="139"/>
      <c r="HYA123" s="139"/>
      <c r="HYB123" s="139"/>
      <c r="HYC123" s="139"/>
      <c r="HYD123" s="139"/>
      <c r="HYE123" s="139"/>
      <c r="HYF123" s="139"/>
      <c r="HYG123" s="139"/>
      <c r="HYH123" s="139"/>
      <c r="HYI123" s="139"/>
      <c r="HYJ123" s="139"/>
      <c r="HYK123" s="139"/>
      <c r="HYL123" s="139"/>
      <c r="HYM123" s="139"/>
      <c r="HYN123" s="139"/>
      <c r="HYO123" s="139"/>
      <c r="HYP123" s="139"/>
      <c r="HYQ123" s="139"/>
      <c r="HYR123" s="139"/>
      <c r="HYS123" s="139"/>
      <c r="HYT123" s="139"/>
      <c r="HYU123" s="139"/>
      <c r="HYV123" s="139"/>
      <c r="HYW123" s="139"/>
      <c r="HYX123" s="139"/>
      <c r="HYY123" s="139"/>
      <c r="HYZ123" s="139"/>
      <c r="HZA123" s="139"/>
      <c r="HZB123" s="139"/>
      <c r="HZC123" s="139"/>
      <c r="HZD123" s="139"/>
      <c r="HZE123" s="139"/>
      <c r="HZF123" s="139"/>
      <c r="HZG123" s="139"/>
      <c r="HZH123" s="139"/>
      <c r="HZI123" s="139"/>
      <c r="HZJ123" s="139"/>
      <c r="HZK123" s="139"/>
      <c r="HZL123" s="139"/>
      <c r="HZM123" s="139"/>
      <c r="HZN123" s="139"/>
      <c r="HZO123" s="139"/>
      <c r="HZP123" s="139"/>
      <c r="HZQ123" s="139"/>
      <c r="HZR123" s="139"/>
      <c r="HZS123" s="139"/>
      <c r="HZT123" s="139"/>
      <c r="HZU123" s="139"/>
      <c r="HZV123" s="139"/>
      <c r="HZW123" s="139"/>
      <c r="HZX123" s="139"/>
      <c r="HZY123" s="139"/>
      <c r="HZZ123" s="139"/>
      <c r="IAA123" s="139"/>
      <c r="IAB123" s="139"/>
      <c r="IAC123" s="139"/>
      <c r="IAD123" s="139"/>
      <c r="IAE123" s="139"/>
      <c r="IAF123" s="139"/>
      <c r="IAG123" s="139"/>
      <c r="IAH123" s="139"/>
      <c r="IAI123" s="139"/>
      <c r="IAJ123" s="139"/>
      <c r="IAK123" s="139"/>
      <c r="IAL123" s="139"/>
      <c r="IAM123" s="139"/>
      <c r="IAN123" s="139"/>
      <c r="IAO123" s="139"/>
      <c r="IAP123" s="139"/>
      <c r="IAQ123" s="139"/>
      <c r="IAR123" s="139"/>
      <c r="IAS123" s="139"/>
      <c r="IAT123" s="139"/>
      <c r="IAU123" s="139"/>
      <c r="IAV123" s="139"/>
      <c r="IAW123" s="139"/>
      <c r="IAX123" s="139"/>
      <c r="IAY123" s="139"/>
      <c r="IAZ123" s="139"/>
      <c r="IBA123" s="139"/>
      <c r="IBB123" s="139"/>
      <c r="IBC123" s="139"/>
      <c r="IBD123" s="139"/>
      <c r="IBE123" s="139"/>
      <c r="IBF123" s="139"/>
      <c r="IBG123" s="139"/>
      <c r="IBH123" s="139"/>
      <c r="IBI123" s="139"/>
      <c r="IBJ123" s="139"/>
      <c r="IBK123" s="139"/>
      <c r="IBL123" s="139"/>
      <c r="IBM123" s="139"/>
      <c r="IBN123" s="139"/>
      <c r="IBO123" s="139"/>
      <c r="IBP123" s="139"/>
      <c r="IBQ123" s="139"/>
      <c r="IBR123" s="139"/>
      <c r="IBS123" s="139"/>
      <c r="IBT123" s="139"/>
      <c r="IBU123" s="139"/>
      <c r="IBV123" s="139"/>
      <c r="IBW123" s="139"/>
      <c r="IBX123" s="139"/>
      <c r="IBY123" s="139"/>
      <c r="IBZ123" s="139"/>
      <c r="ICA123" s="139"/>
      <c r="ICB123" s="139"/>
      <c r="ICC123" s="139"/>
      <c r="ICD123" s="139"/>
      <c r="ICE123" s="139"/>
      <c r="ICF123" s="139"/>
      <c r="ICG123" s="139"/>
      <c r="ICH123" s="139"/>
      <c r="ICI123" s="139"/>
      <c r="ICJ123" s="139"/>
      <c r="ICK123" s="139"/>
      <c r="ICL123" s="139"/>
      <c r="ICM123" s="139"/>
      <c r="ICN123" s="139"/>
      <c r="ICO123" s="139"/>
      <c r="ICP123" s="139"/>
      <c r="ICQ123" s="139"/>
      <c r="ICR123" s="139"/>
      <c r="ICS123" s="139"/>
      <c r="ICT123" s="139"/>
      <c r="ICU123" s="139"/>
      <c r="ICV123" s="139"/>
      <c r="ICW123" s="139"/>
      <c r="ICX123" s="139"/>
      <c r="ICY123" s="139"/>
      <c r="ICZ123" s="139"/>
      <c r="IDA123" s="139"/>
      <c r="IDB123" s="139"/>
      <c r="IDC123" s="139"/>
      <c r="IDD123" s="139"/>
      <c r="IDE123" s="139"/>
      <c r="IDF123" s="139"/>
      <c r="IDG123" s="139"/>
      <c r="IDH123" s="139"/>
      <c r="IDI123" s="139"/>
      <c r="IDJ123" s="139"/>
      <c r="IDK123" s="139"/>
      <c r="IDL123" s="139"/>
      <c r="IDM123" s="139"/>
      <c r="IDN123" s="139"/>
      <c r="IDO123" s="139"/>
      <c r="IDP123" s="139"/>
      <c r="IDQ123" s="139"/>
      <c r="IDR123" s="139"/>
      <c r="IDS123" s="139"/>
      <c r="IDT123" s="139"/>
      <c r="IDU123" s="139"/>
      <c r="IDV123" s="139"/>
      <c r="IDW123" s="139"/>
      <c r="IDX123" s="139"/>
      <c r="IDY123" s="139"/>
      <c r="IDZ123" s="139"/>
      <c r="IEA123" s="139"/>
      <c r="IEB123" s="139"/>
      <c r="IEC123" s="139"/>
      <c r="IED123" s="139"/>
      <c r="IEE123" s="139"/>
      <c r="IEF123" s="139"/>
      <c r="IEG123" s="139"/>
      <c r="IEH123" s="139"/>
      <c r="IEI123" s="139"/>
      <c r="IEJ123" s="139"/>
      <c r="IEK123" s="139"/>
      <c r="IEL123" s="139"/>
      <c r="IEM123" s="139"/>
      <c r="IEN123" s="139"/>
      <c r="IEO123" s="139"/>
      <c r="IEP123" s="139"/>
      <c r="IEQ123" s="139"/>
      <c r="IER123" s="139"/>
      <c r="IES123" s="139"/>
      <c r="IET123" s="139"/>
      <c r="IEU123" s="139"/>
      <c r="IEV123" s="139"/>
      <c r="IEW123" s="139"/>
      <c r="IEX123" s="139"/>
      <c r="IEY123" s="139"/>
      <c r="IEZ123" s="139"/>
      <c r="IFA123" s="139"/>
      <c r="IFB123" s="139"/>
      <c r="IFC123" s="139"/>
      <c r="IFD123" s="139"/>
      <c r="IFE123" s="139"/>
      <c r="IFF123" s="139"/>
      <c r="IFG123" s="139"/>
      <c r="IFH123" s="139"/>
      <c r="IFI123" s="139"/>
      <c r="IFJ123" s="139"/>
      <c r="IFK123" s="139"/>
      <c r="IFL123" s="139"/>
      <c r="IFM123" s="139"/>
      <c r="IFN123" s="139"/>
      <c r="IFO123" s="139"/>
      <c r="IFP123" s="139"/>
      <c r="IFQ123" s="139"/>
      <c r="IFR123" s="139"/>
      <c r="IFS123" s="139"/>
      <c r="IFT123" s="139"/>
      <c r="IFU123" s="139"/>
      <c r="IFV123" s="139"/>
      <c r="IFW123" s="139"/>
      <c r="IFX123" s="139"/>
      <c r="IFY123" s="139"/>
      <c r="IFZ123" s="139"/>
      <c r="IGA123" s="139"/>
      <c r="IGB123" s="139"/>
      <c r="IGC123" s="139"/>
      <c r="IGD123" s="139"/>
      <c r="IGE123" s="139"/>
      <c r="IGF123" s="139"/>
      <c r="IGG123" s="139"/>
      <c r="IGH123" s="139"/>
      <c r="IGI123" s="139"/>
      <c r="IGJ123" s="139"/>
      <c r="IGK123" s="139"/>
      <c r="IGL123" s="139"/>
      <c r="IGM123" s="139"/>
      <c r="IGN123" s="139"/>
      <c r="IGO123" s="139"/>
      <c r="IGP123" s="139"/>
      <c r="IGQ123" s="139"/>
      <c r="IGR123" s="139"/>
      <c r="IGS123" s="139"/>
      <c r="IGT123" s="139"/>
      <c r="IGU123" s="139"/>
      <c r="IGV123" s="139"/>
      <c r="IGW123" s="139"/>
      <c r="IGX123" s="139"/>
      <c r="IGY123" s="139"/>
      <c r="IGZ123" s="139"/>
      <c r="IHA123" s="139"/>
      <c r="IHB123" s="139"/>
      <c r="IHC123" s="139"/>
      <c r="IHD123" s="139"/>
      <c r="IHE123" s="139"/>
      <c r="IHF123" s="139"/>
      <c r="IHG123" s="139"/>
      <c r="IHH123" s="139"/>
      <c r="IHI123" s="139"/>
      <c r="IHJ123" s="139"/>
      <c r="IHK123" s="139"/>
      <c r="IHL123" s="139"/>
      <c r="IHM123" s="139"/>
      <c r="IHN123" s="139"/>
      <c r="IHO123" s="139"/>
      <c r="IHP123" s="139"/>
      <c r="IHQ123" s="139"/>
      <c r="IHR123" s="139"/>
      <c r="IHS123" s="139"/>
      <c r="IHT123" s="139"/>
      <c r="IHU123" s="139"/>
      <c r="IHV123" s="139"/>
      <c r="IHW123" s="139"/>
      <c r="IHX123" s="139"/>
      <c r="IHY123" s="139"/>
      <c r="IHZ123" s="139"/>
      <c r="IIA123" s="139"/>
      <c r="IIB123" s="139"/>
      <c r="IIC123" s="139"/>
      <c r="IID123" s="139"/>
      <c r="IIE123" s="139"/>
      <c r="IIF123" s="139"/>
      <c r="IIG123" s="139"/>
      <c r="IIH123" s="139"/>
      <c r="III123" s="139"/>
      <c r="IIJ123" s="139"/>
      <c r="IIK123" s="139"/>
      <c r="IIL123" s="139"/>
      <c r="IIM123" s="139"/>
      <c r="IIN123" s="139"/>
      <c r="IIO123" s="139"/>
      <c r="IIP123" s="139"/>
      <c r="IIQ123" s="139"/>
      <c r="IIR123" s="139"/>
      <c r="IIS123" s="139"/>
      <c r="IIT123" s="139"/>
      <c r="IIU123" s="139"/>
      <c r="IIV123" s="139"/>
      <c r="IIW123" s="139"/>
      <c r="IIX123" s="139"/>
      <c r="IIY123" s="139"/>
      <c r="IIZ123" s="139"/>
      <c r="IJA123" s="139"/>
      <c r="IJB123" s="139"/>
      <c r="IJC123" s="139"/>
      <c r="IJD123" s="139"/>
      <c r="IJE123" s="139"/>
      <c r="IJF123" s="139"/>
      <c r="IJG123" s="139"/>
      <c r="IJH123" s="139"/>
      <c r="IJI123" s="139"/>
      <c r="IJJ123" s="139"/>
      <c r="IJK123" s="139"/>
      <c r="IJL123" s="139"/>
      <c r="IJM123" s="139"/>
      <c r="IJN123" s="139"/>
      <c r="IJO123" s="139"/>
      <c r="IJP123" s="139"/>
      <c r="IJQ123" s="139"/>
      <c r="IJR123" s="139"/>
      <c r="IJS123" s="139"/>
      <c r="IJT123" s="139"/>
      <c r="IJU123" s="139"/>
      <c r="IJV123" s="139"/>
      <c r="IJW123" s="139"/>
      <c r="IJX123" s="139"/>
      <c r="IJY123" s="139"/>
      <c r="IJZ123" s="139"/>
      <c r="IKA123" s="139"/>
      <c r="IKB123" s="139"/>
      <c r="IKC123" s="139"/>
      <c r="IKD123" s="139"/>
      <c r="IKE123" s="139"/>
      <c r="IKF123" s="139"/>
      <c r="IKG123" s="139"/>
      <c r="IKH123" s="139"/>
      <c r="IKI123" s="139"/>
      <c r="IKJ123" s="139"/>
      <c r="IKK123" s="139"/>
      <c r="IKL123" s="139"/>
      <c r="IKM123" s="139"/>
      <c r="IKN123" s="139"/>
      <c r="IKO123" s="139"/>
      <c r="IKP123" s="139"/>
      <c r="IKQ123" s="139"/>
      <c r="IKR123" s="139"/>
      <c r="IKS123" s="139"/>
      <c r="IKT123" s="139"/>
      <c r="IKU123" s="139"/>
      <c r="IKV123" s="139"/>
      <c r="IKW123" s="139"/>
      <c r="IKX123" s="139"/>
      <c r="IKY123" s="139"/>
      <c r="IKZ123" s="139"/>
      <c r="ILA123" s="139"/>
      <c r="ILB123" s="139"/>
      <c r="ILC123" s="139"/>
      <c r="ILD123" s="139"/>
      <c r="ILE123" s="139"/>
      <c r="ILF123" s="139"/>
      <c r="ILG123" s="139"/>
      <c r="ILH123" s="139"/>
      <c r="ILI123" s="139"/>
      <c r="ILJ123" s="139"/>
      <c r="ILK123" s="139"/>
      <c r="ILL123" s="139"/>
      <c r="ILM123" s="139"/>
      <c r="ILN123" s="139"/>
      <c r="ILO123" s="139"/>
      <c r="ILP123" s="139"/>
      <c r="ILQ123" s="139"/>
      <c r="ILR123" s="139"/>
      <c r="ILS123" s="139"/>
      <c r="ILT123" s="139"/>
      <c r="ILU123" s="139"/>
      <c r="ILV123" s="139"/>
      <c r="ILW123" s="139"/>
      <c r="ILX123" s="139"/>
      <c r="ILY123" s="139"/>
      <c r="ILZ123" s="139"/>
      <c r="IMA123" s="139"/>
      <c r="IMB123" s="139"/>
      <c r="IMC123" s="139"/>
      <c r="IMD123" s="139"/>
      <c r="IME123" s="139"/>
      <c r="IMF123" s="139"/>
      <c r="IMG123" s="139"/>
      <c r="IMH123" s="139"/>
      <c r="IMI123" s="139"/>
      <c r="IMJ123" s="139"/>
      <c r="IMK123" s="139"/>
      <c r="IML123" s="139"/>
      <c r="IMM123" s="139"/>
      <c r="IMN123" s="139"/>
      <c r="IMO123" s="139"/>
      <c r="IMP123" s="139"/>
      <c r="IMQ123" s="139"/>
      <c r="IMR123" s="139"/>
      <c r="IMS123" s="139"/>
      <c r="IMT123" s="139"/>
      <c r="IMU123" s="139"/>
      <c r="IMV123" s="139"/>
      <c r="IMW123" s="139"/>
      <c r="IMX123" s="139"/>
      <c r="IMY123" s="139"/>
      <c r="IMZ123" s="139"/>
      <c r="INA123" s="139"/>
      <c r="INB123" s="139"/>
      <c r="INC123" s="139"/>
      <c r="IND123" s="139"/>
      <c r="INE123" s="139"/>
      <c r="INF123" s="139"/>
      <c r="ING123" s="139"/>
      <c r="INH123" s="139"/>
      <c r="INI123" s="139"/>
      <c r="INJ123" s="139"/>
      <c r="INK123" s="139"/>
      <c r="INL123" s="139"/>
      <c r="INM123" s="139"/>
      <c r="INN123" s="139"/>
      <c r="INO123" s="139"/>
      <c r="INP123" s="139"/>
      <c r="INQ123" s="139"/>
      <c r="INR123" s="139"/>
      <c r="INS123" s="139"/>
      <c r="INT123" s="139"/>
      <c r="INU123" s="139"/>
      <c r="INV123" s="139"/>
      <c r="INW123" s="139"/>
      <c r="INX123" s="139"/>
      <c r="INY123" s="139"/>
      <c r="INZ123" s="139"/>
      <c r="IOA123" s="139"/>
      <c r="IOB123" s="139"/>
      <c r="IOC123" s="139"/>
      <c r="IOD123" s="139"/>
      <c r="IOE123" s="139"/>
      <c r="IOF123" s="139"/>
      <c r="IOG123" s="139"/>
      <c r="IOH123" s="139"/>
      <c r="IOI123" s="139"/>
      <c r="IOJ123" s="139"/>
      <c r="IOK123" s="139"/>
      <c r="IOL123" s="139"/>
      <c r="IOM123" s="139"/>
      <c r="ION123" s="139"/>
      <c r="IOO123" s="139"/>
      <c r="IOP123" s="139"/>
      <c r="IOQ123" s="139"/>
      <c r="IOR123" s="139"/>
      <c r="IOS123" s="139"/>
      <c r="IOT123" s="139"/>
      <c r="IOU123" s="139"/>
      <c r="IOV123" s="139"/>
      <c r="IOW123" s="139"/>
      <c r="IOX123" s="139"/>
      <c r="IOY123" s="139"/>
      <c r="IOZ123" s="139"/>
      <c r="IPA123" s="139"/>
      <c r="IPB123" s="139"/>
      <c r="IPC123" s="139"/>
      <c r="IPD123" s="139"/>
      <c r="IPE123" s="139"/>
      <c r="IPF123" s="139"/>
      <c r="IPG123" s="139"/>
      <c r="IPH123" s="139"/>
      <c r="IPI123" s="139"/>
      <c r="IPJ123" s="139"/>
      <c r="IPK123" s="139"/>
      <c r="IPL123" s="139"/>
      <c r="IPM123" s="139"/>
      <c r="IPN123" s="139"/>
      <c r="IPO123" s="139"/>
      <c r="IPP123" s="139"/>
      <c r="IPQ123" s="139"/>
      <c r="IPR123" s="139"/>
      <c r="IPS123" s="139"/>
      <c r="IPT123" s="139"/>
      <c r="IPU123" s="139"/>
      <c r="IPV123" s="139"/>
      <c r="IPW123" s="139"/>
      <c r="IPX123" s="139"/>
      <c r="IPY123" s="139"/>
      <c r="IPZ123" s="139"/>
      <c r="IQA123" s="139"/>
      <c r="IQB123" s="139"/>
      <c r="IQC123" s="139"/>
      <c r="IQD123" s="139"/>
      <c r="IQE123" s="139"/>
      <c r="IQF123" s="139"/>
      <c r="IQG123" s="139"/>
      <c r="IQH123" s="139"/>
      <c r="IQI123" s="139"/>
      <c r="IQJ123" s="139"/>
      <c r="IQK123" s="139"/>
      <c r="IQL123" s="139"/>
      <c r="IQM123" s="139"/>
      <c r="IQN123" s="139"/>
      <c r="IQO123" s="139"/>
      <c r="IQP123" s="139"/>
      <c r="IQQ123" s="139"/>
      <c r="IQR123" s="139"/>
      <c r="IQS123" s="139"/>
      <c r="IQT123" s="139"/>
      <c r="IQU123" s="139"/>
      <c r="IQV123" s="139"/>
      <c r="IQW123" s="139"/>
      <c r="IQX123" s="139"/>
      <c r="IQY123" s="139"/>
      <c r="IQZ123" s="139"/>
      <c r="IRA123" s="139"/>
      <c r="IRB123" s="139"/>
      <c r="IRC123" s="139"/>
      <c r="IRD123" s="139"/>
      <c r="IRE123" s="139"/>
      <c r="IRF123" s="139"/>
      <c r="IRG123" s="139"/>
      <c r="IRH123" s="139"/>
      <c r="IRI123" s="139"/>
      <c r="IRJ123" s="139"/>
      <c r="IRK123" s="139"/>
      <c r="IRL123" s="139"/>
      <c r="IRM123" s="139"/>
      <c r="IRN123" s="139"/>
      <c r="IRO123" s="139"/>
      <c r="IRP123" s="139"/>
      <c r="IRQ123" s="139"/>
      <c r="IRR123" s="139"/>
      <c r="IRS123" s="139"/>
      <c r="IRT123" s="139"/>
      <c r="IRU123" s="139"/>
      <c r="IRV123" s="139"/>
      <c r="IRW123" s="139"/>
      <c r="IRX123" s="139"/>
      <c r="IRY123" s="139"/>
      <c r="IRZ123" s="139"/>
      <c r="ISA123" s="139"/>
      <c r="ISB123" s="139"/>
      <c r="ISC123" s="139"/>
      <c r="ISD123" s="139"/>
      <c r="ISE123" s="139"/>
      <c r="ISF123" s="139"/>
      <c r="ISG123" s="139"/>
      <c r="ISH123" s="139"/>
      <c r="ISI123" s="139"/>
      <c r="ISJ123" s="139"/>
      <c r="ISK123" s="139"/>
      <c r="ISL123" s="139"/>
      <c r="ISM123" s="139"/>
      <c r="ISN123" s="139"/>
      <c r="ISO123" s="139"/>
      <c r="ISP123" s="139"/>
      <c r="ISQ123" s="139"/>
      <c r="ISR123" s="139"/>
      <c r="ISS123" s="139"/>
      <c r="IST123" s="139"/>
      <c r="ISU123" s="139"/>
      <c r="ISV123" s="139"/>
      <c r="ISW123" s="139"/>
      <c r="ISX123" s="139"/>
      <c r="ISY123" s="139"/>
      <c r="ISZ123" s="139"/>
      <c r="ITA123" s="139"/>
      <c r="ITB123" s="139"/>
      <c r="ITC123" s="139"/>
      <c r="ITD123" s="139"/>
      <c r="ITE123" s="139"/>
      <c r="ITF123" s="139"/>
      <c r="ITG123" s="139"/>
      <c r="ITH123" s="139"/>
      <c r="ITI123" s="139"/>
      <c r="ITJ123" s="139"/>
      <c r="ITK123" s="139"/>
      <c r="ITL123" s="139"/>
      <c r="ITM123" s="139"/>
      <c r="ITN123" s="139"/>
      <c r="ITO123" s="139"/>
      <c r="ITP123" s="139"/>
      <c r="ITQ123" s="139"/>
      <c r="ITR123" s="139"/>
      <c r="ITS123" s="139"/>
      <c r="ITT123" s="139"/>
      <c r="ITU123" s="139"/>
      <c r="ITV123" s="139"/>
      <c r="ITW123" s="139"/>
      <c r="ITX123" s="139"/>
      <c r="ITY123" s="139"/>
      <c r="ITZ123" s="139"/>
      <c r="IUA123" s="139"/>
      <c r="IUB123" s="139"/>
      <c r="IUC123" s="139"/>
      <c r="IUD123" s="139"/>
      <c r="IUE123" s="139"/>
      <c r="IUF123" s="139"/>
      <c r="IUG123" s="139"/>
      <c r="IUH123" s="139"/>
      <c r="IUI123" s="139"/>
      <c r="IUJ123" s="139"/>
      <c r="IUK123" s="139"/>
      <c r="IUL123" s="139"/>
      <c r="IUM123" s="139"/>
      <c r="IUN123" s="139"/>
      <c r="IUO123" s="139"/>
      <c r="IUP123" s="139"/>
      <c r="IUQ123" s="139"/>
      <c r="IUR123" s="139"/>
      <c r="IUS123" s="139"/>
      <c r="IUT123" s="139"/>
      <c r="IUU123" s="139"/>
      <c r="IUV123" s="139"/>
      <c r="IUW123" s="139"/>
      <c r="IUX123" s="139"/>
      <c r="IUY123" s="139"/>
      <c r="IUZ123" s="139"/>
      <c r="IVA123" s="139"/>
      <c r="IVB123" s="139"/>
      <c r="IVC123" s="139"/>
      <c r="IVD123" s="139"/>
      <c r="IVE123" s="139"/>
      <c r="IVF123" s="139"/>
      <c r="IVG123" s="139"/>
      <c r="IVH123" s="139"/>
      <c r="IVI123" s="139"/>
      <c r="IVJ123" s="139"/>
      <c r="IVK123" s="139"/>
      <c r="IVL123" s="139"/>
      <c r="IVM123" s="139"/>
      <c r="IVN123" s="139"/>
      <c r="IVO123" s="139"/>
      <c r="IVP123" s="139"/>
      <c r="IVQ123" s="139"/>
      <c r="IVR123" s="139"/>
      <c r="IVS123" s="139"/>
      <c r="IVT123" s="139"/>
      <c r="IVU123" s="139"/>
      <c r="IVV123" s="139"/>
      <c r="IVW123" s="139"/>
      <c r="IVX123" s="139"/>
      <c r="IVY123" s="139"/>
      <c r="IVZ123" s="139"/>
      <c r="IWA123" s="139"/>
      <c r="IWB123" s="139"/>
      <c r="IWC123" s="139"/>
      <c r="IWD123" s="139"/>
      <c r="IWE123" s="139"/>
      <c r="IWF123" s="139"/>
      <c r="IWG123" s="139"/>
      <c r="IWH123" s="139"/>
      <c r="IWI123" s="139"/>
      <c r="IWJ123" s="139"/>
      <c r="IWK123" s="139"/>
      <c r="IWL123" s="139"/>
      <c r="IWM123" s="139"/>
      <c r="IWN123" s="139"/>
      <c r="IWO123" s="139"/>
      <c r="IWP123" s="139"/>
      <c r="IWQ123" s="139"/>
      <c r="IWR123" s="139"/>
      <c r="IWS123" s="139"/>
      <c r="IWT123" s="139"/>
      <c r="IWU123" s="139"/>
      <c r="IWV123" s="139"/>
      <c r="IWW123" s="139"/>
      <c r="IWX123" s="139"/>
      <c r="IWY123" s="139"/>
      <c r="IWZ123" s="139"/>
      <c r="IXA123" s="139"/>
      <c r="IXB123" s="139"/>
      <c r="IXC123" s="139"/>
      <c r="IXD123" s="139"/>
      <c r="IXE123" s="139"/>
      <c r="IXF123" s="139"/>
      <c r="IXG123" s="139"/>
      <c r="IXH123" s="139"/>
      <c r="IXI123" s="139"/>
      <c r="IXJ123" s="139"/>
      <c r="IXK123" s="139"/>
      <c r="IXL123" s="139"/>
      <c r="IXM123" s="139"/>
      <c r="IXN123" s="139"/>
      <c r="IXO123" s="139"/>
      <c r="IXP123" s="139"/>
      <c r="IXQ123" s="139"/>
      <c r="IXR123" s="139"/>
      <c r="IXS123" s="139"/>
      <c r="IXT123" s="139"/>
      <c r="IXU123" s="139"/>
      <c r="IXV123" s="139"/>
      <c r="IXW123" s="139"/>
      <c r="IXX123" s="139"/>
      <c r="IXY123" s="139"/>
      <c r="IXZ123" s="139"/>
      <c r="IYA123" s="139"/>
      <c r="IYB123" s="139"/>
      <c r="IYC123" s="139"/>
      <c r="IYD123" s="139"/>
      <c r="IYE123" s="139"/>
      <c r="IYF123" s="139"/>
      <c r="IYG123" s="139"/>
      <c r="IYH123" s="139"/>
      <c r="IYI123" s="139"/>
      <c r="IYJ123" s="139"/>
      <c r="IYK123" s="139"/>
      <c r="IYL123" s="139"/>
      <c r="IYM123" s="139"/>
      <c r="IYN123" s="139"/>
      <c r="IYO123" s="139"/>
      <c r="IYP123" s="139"/>
      <c r="IYQ123" s="139"/>
      <c r="IYR123" s="139"/>
      <c r="IYS123" s="139"/>
      <c r="IYT123" s="139"/>
      <c r="IYU123" s="139"/>
      <c r="IYV123" s="139"/>
      <c r="IYW123" s="139"/>
      <c r="IYX123" s="139"/>
      <c r="IYY123" s="139"/>
      <c r="IYZ123" s="139"/>
      <c r="IZA123" s="139"/>
      <c r="IZB123" s="139"/>
      <c r="IZC123" s="139"/>
      <c r="IZD123" s="139"/>
      <c r="IZE123" s="139"/>
      <c r="IZF123" s="139"/>
      <c r="IZG123" s="139"/>
      <c r="IZH123" s="139"/>
      <c r="IZI123" s="139"/>
      <c r="IZJ123" s="139"/>
      <c r="IZK123" s="139"/>
      <c r="IZL123" s="139"/>
      <c r="IZM123" s="139"/>
      <c r="IZN123" s="139"/>
      <c r="IZO123" s="139"/>
      <c r="IZP123" s="139"/>
      <c r="IZQ123" s="139"/>
      <c r="IZR123" s="139"/>
      <c r="IZS123" s="139"/>
      <c r="IZT123" s="139"/>
      <c r="IZU123" s="139"/>
      <c r="IZV123" s="139"/>
      <c r="IZW123" s="139"/>
      <c r="IZX123" s="139"/>
      <c r="IZY123" s="139"/>
      <c r="IZZ123" s="139"/>
      <c r="JAA123" s="139"/>
      <c r="JAB123" s="139"/>
      <c r="JAC123" s="139"/>
      <c r="JAD123" s="139"/>
      <c r="JAE123" s="139"/>
      <c r="JAF123" s="139"/>
      <c r="JAG123" s="139"/>
      <c r="JAH123" s="139"/>
      <c r="JAI123" s="139"/>
      <c r="JAJ123" s="139"/>
      <c r="JAK123" s="139"/>
      <c r="JAL123" s="139"/>
      <c r="JAM123" s="139"/>
      <c r="JAN123" s="139"/>
      <c r="JAO123" s="139"/>
      <c r="JAP123" s="139"/>
      <c r="JAQ123" s="139"/>
      <c r="JAR123" s="139"/>
      <c r="JAS123" s="139"/>
      <c r="JAT123" s="139"/>
      <c r="JAU123" s="139"/>
      <c r="JAV123" s="139"/>
      <c r="JAW123" s="139"/>
      <c r="JAX123" s="139"/>
      <c r="JAY123" s="139"/>
      <c r="JAZ123" s="139"/>
      <c r="JBA123" s="139"/>
      <c r="JBB123" s="139"/>
      <c r="JBC123" s="139"/>
      <c r="JBD123" s="139"/>
      <c r="JBE123" s="139"/>
      <c r="JBF123" s="139"/>
      <c r="JBG123" s="139"/>
      <c r="JBH123" s="139"/>
      <c r="JBI123" s="139"/>
      <c r="JBJ123" s="139"/>
      <c r="JBK123" s="139"/>
      <c r="JBL123" s="139"/>
      <c r="JBM123" s="139"/>
      <c r="JBN123" s="139"/>
      <c r="JBO123" s="139"/>
      <c r="JBP123" s="139"/>
      <c r="JBQ123" s="139"/>
      <c r="JBR123" s="139"/>
      <c r="JBS123" s="139"/>
      <c r="JBT123" s="139"/>
      <c r="JBU123" s="139"/>
      <c r="JBV123" s="139"/>
      <c r="JBW123" s="139"/>
      <c r="JBX123" s="139"/>
      <c r="JBY123" s="139"/>
      <c r="JBZ123" s="139"/>
      <c r="JCA123" s="139"/>
      <c r="JCB123" s="139"/>
      <c r="JCC123" s="139"/>
      <c r="JCD123" s="139"/>
      <c r="JCE123" s="139"/>
      <c r="JCF123" s="139"/>
      <c r="JCG123" s="139"/>
      <c r="JCH123" s="139"/>
      <c r="JCI123" s="139"/>
      <c r="JCJ123" s="139"/>
      <c r="JCK123" s="139"/>
      <c r="JCL123" s="139"/>
      <c r="JCM123" s="139"/>
      <c r="JCN123" s="139"/>
      <c r="JCO123" s="139"/>
      <c r="JCP123" s="139"/>
      <c r="JCQ123" s="139"/>
      <c r="JCR123" s="139"/>
      <c r="JCS123" s="139"/>
      <c r="JCT123" s="139"/>
      <c r="JCU123" s="139"/>
      <c r="JCV123" s="139"/>
      <c r="JCW123" s="139"/>
      <c r="JCX123" s="139"/>
      <c r="JCY123" s="139"/>
      <c r="JCZ123" s="139"/>
      <c r="JDA123" s="139"/>
      <c r="JDB123" s="139"/>
      <c r="JDC123" s="139"/>
      <c r="JDD123" s="139"/>
      <c r="JDE123" s="139"/>
      <c r="JDF123" s="139"/>
      <c r="JDG123" s="139"/>
      <c r="JDH123" s="139"/>
      <c r="JDI123" s="139"/>
      <c r="JDJ123" s="139"/>
      <c r="JDK123" s="139"/>
      <c r="JDL123" s="139"/>
      <c r="JDM123" s="139"/>
      <c r="JDN123" s="139"/>
      <c r="JDO123" s="139"/>
      <c r="JDP123" s="139"/>
      <c r="JDQ123" s="139"/>
      <c r="JDR123" s="139"/>
      <c r="JDS123" s="139"/>
      <c r="JDT123" s="139"/>
      <c r="JDU123" s="139"/>
      <c r="JDV123" s="139"/>
      <c r="JDW123" s="139"/>
      <c r="JDX123" s="139"/>
      <c r="JDY123" s="139"/>
      <c r="JDZ123" s="139"/>
      <c r="JEA123" s="139"/>
      <c r="JEB123" s="139"/>
      <c r="JEC123" s="139"/>
      <c r="JED123" s="139"/>
      <c r="JEE123" s="139"/>
      <c r="JEF123" s="139"/>
      <c r="JEG123" s="139"/>
      <c r="JEH123" s="139"/>
      <c r="JEI123" s="139"/>
      <c r="JEJ123" s="139"/>
      <c r="JEK123" s="139"/>
      <c r="JEL123" s="139"/>
      <c r="JEM123" s="139"/>
      <c r="JEN123" s="139"/>
      <c r="JEO123" s="139"/>
      <c r="JEP123" s="139"/>
      <c r="JEQ123" s="139"/>
      <c r="JER123" s="139"/>
      <c r="JES123" s="139"/>
      <c r="JET123" s="139"/>
      <c r="JEU123" s="139"/>
      <c r="JEV123" s="139"/>
      <c r="JEW123" s="139"/>
      <c r="JEX123" s="139"/>
      <c r="JEY123" s="139"/>
      <c r="JEZ123" s="139"/>
      <c r="JFA123" s="139"/>
      <c r="JFB123" s="139"/>
      <c r="JFC123" s="139"/>
      <c r="JFD123" s="139"/>
      <c r="JFE123" s="139"/>
      <c r="JFF123" s="139"/>
      <c r="JFG123" s="139"/>
      <c r="JFH123" s="139"/>
      <c r="JFI123" s="139"/>
      <c r="JFJ123" s="139"/>
      <c r="JFK123" s="139"/>
      <c r="JFL123" s="139"/>
      <c r="JFM123" s="139"/>
      <c r="JFN123" s="139"/>
      <c r="JFO123" s="139"/>
      <c r="JFP123" s="139"/>
      <c r="JFQ123" s="139"/>
      <c r="JFR123" s="139"/>
      <c r="JFS123" s="139"/>
      <c r="JFT123" s="139"/>
      <c r="JFU123" s="139"/>
      <c r="JFV123" s="139"/>
      <c r="JFW123" s="139"/>
      <c r="JFX123" s="139"/>
      <c r="JFY123" s="139"/>
      <c r="JFZ123" s="139"/>
      <c r="JGA123" s="139"/>
      <c r="JGB123" s="139"/>
      <c r="JGC123" s="139"/>
      <c r="JGD123" s="139"/>
      <c r="JGE123" s="139"/>
      <c r="JGF123" s="139"/>
      <c r="JGG123" s="139"/>
      <c r="JGH123" s="139"/>
      <c r="JGI123" s="139"/>
      <c r="JGJ123" s="139"/>
      <c r="JGK123" s="139"/>
      <c r="JGL123" s="139"/>
      <c r="JGM123" s="139"/>
      <c r="JGN123" s="139"/>
      <c r="JGO123" s="139"/>
      <c r="JGP123" s="139"/>
      <c r="JGQ123" s="139"/>
      <c r="JGR123" s="139"/>
      <c r="JGS123" s="139"/>
      <c r="JGT123" s="139"/>
      <c r="JGU123" s="139"/>
      <c r="JGV123" s="139"/>
      <c r="JGW123" s="139"/>
      <c r="JGX123" s="139"/>
      <c r="JGY123" s="139"/>
      <c r="JGZ123" s="139"/>
      <c r="JHA123" s="139"/>
      <c r="JHB123" s="139"/>
      <c r="JHC123" s="139"/>
      <c r="JHD123" s="139"/>
      <c r="JHE123" s="139"/>
      <c r="JHF123" s="139"/>
      <c r="JHG123" s="139"/>
      <c r="JHH123" s="139"/>
      <c r="JHI123" s="139"/>
      <c r="JHJ123" s="139"/>
      <c r="JHK123" s="139"/>
      <c r="JHL123" s="139"/>
      <c r="JHM123" s="139"/>
      <c r="JHN123" s="139"/>
      <c r="JHO123" s="139"/>
      <c r="JHP123" s="139"/>
      <c r="JHQ123" s="139"/>
      <c r="JHR123" s="139"/>
      <c r="JHS123" s="139"/>
      <c r="JHT123" s="139"/>
      <c r="JHU123" s="139"/>
      <c r="JHV123" s="139"/>
      <c r="JHW123" s="139"/>
      <c r="JHX123" s="139"/>
      <c r="JHY123" s="139"/>
      <c r="JHZ123" s="139"/>
      <c r="JIA123" s="139"/>
      <c r="JIB123" s="139"/>
      <c r="JIC123" s="139"/>
      <c r="JID123" s="139"/>
      <c r="JIE123" s="139"/>
      <c r="JIF123" s="139"/>
      <c r="JIG123" s="139"/>
      <c r="JIH123" s="139"/>
      <c r="JII123" s="139"/>
      <c r="JIJ123" s="139"/>
      <c r="JIK123" s="139"/>
      <c r="JIL123" s="139"/>
      <c r="JIM123" s="139"/>
      <c r="JIN123" s="139"/>
      <c r="JIO123" s="139"/>
      <c r="JIP123" s="139"/>
      <c r="JIQ123" s="139"/>
      <c r="JIR123" s="139"/>
      <c r="JIS123" s="139"/>
      <c r="JIT123" s="139"/>
      <c r="JIU123" s="139"/>
      <c r="JIV123" s="139"/>
      <c r="JIW123" s="139"/>
      <c r="JIX123" s="139"/>
      <c r="JIY123" s="139"/>
      <c r="JIZ123" s="139"/>
      <c r="JJA123" s="139"/>
      <c r="JJB123" s="139"/>
      <c r="JJC123" s="139"/>
      <c r="JJD123" s="139"/>
      <c r="JJE123" s="139"/>
      <c r="JJF123" s="139"/>
      <c r="JJG123" s="139"/>
      <c r="JJH123" s="139"/>
      <c r="JJI123" s="139"/>
      <c r="JJJ123" s="139"/>
      <c r="JJK123" s="139"/>
      <c r="JJL123" s="139"/>
      <c r="JJM123" s="139"/>
      <c r="JJN123" s="139"/>
      <c r="JJO123" s="139"/>
      <c r="JJP123" s="139"/>
      <c r="JJQ123" s="139"/>
      <c r="JJR123" s="139"/>
      <c r="JJS123" s="139"/>
      <c r="JJT123" s="139"/>
      <c r="JJU123" s="139"/>
      <c r="JJV123" s="139"/>
      <c r="JJW123" s="139"/>
      <c r="JJX123" s="139"/>
      <c r="JJY123" s="139"/>
      <c r="JJZ123" s="139"/>
      <c r="JKA123" s="139"/>
      <c r="JKB123" s="139"/>
      <c r="JKC123" s="139"/>
      <c r="JKD123" s="139"/>
      <c r="JKE123" s="139"/>
      <c r="JKF123" s="139"/>
      <c r="JKG123" s="139"/>
      <c r="JKH123" s="139"/>
      <c r="JKI123" s="139"/>
      <c r="JKJ123" s="139"/>
      <c r="JKK123" s="139"/>
      <c r="JKL123" s="139"/>
      <c r="JKM123" s="139"/>
      <c r="JKN123" s="139"/>
      <c r="JKO123" s="139"/>
      <c r="JKP123" s="139"/>
      <c r="JKQ123" s="139"/>
      <c r="JKR123" s="139"/>
      <c r="JKS123" s="139"/>
      <c r="JKT123" s="139"/>
      <c r="JKU123" s="139"/>
      <c r="JKV123" s="139"/>
      <c r="JKW123" s="139"/>
      <c r="JKX123" s="139"/>
      <c r="JKY123" s="139"/>
      <c r="JKZ123" s="139"/>
      <c r="JLA123" s="139"/>
      <c r="JLB123" s="139"/>
      <c r="JLC123" s="139"/>
      <c r="JLD123" s="139"/>
      <c r="JLE123" s="139"/>
      <c r="JLF123" s="139"/>
      <c r="JLG123" s="139"/>
      <c r="JLH123" s="139"/>
      <c r="JLI123" s="139"/>
      <c r="JLJ123" s="139"/>
      <c r="JLK123" s="139"/>
      <c r="JLL123" s="139"/>
      <c r="JLM123" s="139"/>
      <c r="JLN123" s="139"/>
      <c r="JLO123" s="139"/>
      <c r="JLP123" s="139"/>
      <c r="JLQ123" s="139"/>
      <c r="JLR123" s="139"/>
      <c r="JLS123" s="139"/>
      <c r="JLT123" s="139"/>
      <c r="JLU123" s="139"/>
      <c r="JLV123" s="139"/>
      <c r="JLW123" s="139"/>
      <c r="JLX123" s="139"/>
      <c r="JLY123" s="139"/>
      <c r="JLZ123" s="139"/>
      <c r="JMA123" s="139"/>
      <c r="JMB123" s="139"/>
      <c r="JMC123" s="139"/>
      <c r="JMD123" s="139"/>
      <c r="JME123" s="139"/>
      <c r="JMF123" s="139"/>
      <c r="JMG123" s="139"/>
      <c r="JMH123" s="139"/>
      <c r="JMI123" s="139"/>
      <c r="JMJ123" s="139"/>
      <c r="JMK123" s="139"/>
      <c r="JML123" s="139"/>
      <c r="JMM123" s="139"/>
      <c r="JMN123" s="139"/>
      <c r="JMO123" s="139"/>
      <c r="JMP123" s="139"/>
      <c r="JMQ123" s="139"/>
      <c r="JMR123" s="139"/>
      <c r="JMS123" s="139"/>
      <c r="JMT123" s="139"/>
      <c r="JMU123" s="139"/>
      <c r="JMV123" s="139"/>
      <c r="JMW123" s="139"/>
      <c r="JMX123" s="139"/>
      <c r="JMY123" s="139"/>
      <c r="JMZ123" s="139"/>
      <c r="JNA123" s="139"/>
      <c r="JNB123" s="139"/>
      <c r="JNC123" s="139"/>
      <c r="JND123" s="139"/>
      <c r="JNE123" s="139"/>
      <c r="JNF123" s="139"/>
      <c r="JNG123" s="139"/>
      <c r="JNH123" s="139"/>
      <c r="JNI123" s="139"/>
      <c r="JNJ123" s="139"/>
      <c r="JNK123" s="139"/>
      <c r="JNL123" s="139"/>
      <c r="JNM123" s="139"/>
      <c r="JNN123" s="139"/>
      <c r="JNO123" s="139"/>
      <c r="JNP123" s="139"/>
      <c r="JNQ123" s="139"/>
      <c r="JNR123" s="139"/>
      <c r="JNS123" s="139"/>
      <c r="JNT123" s="139"/>
      <c r="JNU123" s="139"/>
      <c r="JNV123" s="139"/>
      <c r="JNW123" s="139"/>
      <c r="JNX123" s="139"/>
      <c r="JNY123" s="139"/>
      <c r="JNZ123" s="139"/>
      <c r="JOA123" s="139"/>
      <c r="JOB123" s="139"/>
      <c r="JOC123" s="139"/>
      <c r="JOD123" s="139"/>
      <c r="JOE123" s="139"/>
      <c r="JOF123" s="139"/>
      <c r="JOG123" s="139"/>
      <c r="JOH123" s="139"/>
      <c r="JOI123" s="139"/>
      <c r="JOJ123" s="139"/>
      <c r="JOK123" s="139"/>
      <c r="JOL123" s="139"/>
      <c r="JOM123" s="139"/>
      <c r="JON123" s="139"/>
      <c r="JOO123" s="139"/>
      <c r="JOP123" s="139"/>
      <c r="JOQ123" s="139"/>
      <c r="JOR123" s="139"/>
      <c r="JOS123" s="139"/>
      <c r="JOT123" s="139"/>
      <c r="JOU123" s="139"/>
      <c r="JOV123" s="139"/>
      <c r="JOW123" s="139"/>
      <c r="JOX123" s="139"/>
      <c r="JOY123" s="139"/>
      <c r="JOZ123" s="139"/>
      <c r="JPA123" s="139"/>
      <c r="JPB123" s="139"/>
      <c r="JPC123" s="139"/>
      <c r="JPD123" s="139"/>
      <c r="JPE123" s="139"/>
      <c r="JPF123" s="139"/>
      <c r="JPG123" s="139"/>
      <c r="JPH123" s="139"/>
      <c r="JPI123" s="139"/>
      <c r="JPJ123" s="139"/>
      <c r="JPK123" s="139"/>
      <c r="JPL123" s="139"/>
      <c r="JPM123" s="139"/>
      <c r="JPN123" s="139"/>
      <c r="JPO123" s="139"/>
      <c r="JPP123" s="139"/>
      <c r="JPQ123" s="139"/>
      <c r="JPR123" s="139"/>
      <c r="JPS123" s="139"/>
      <c r="JPT123" s="139"/>
      <c r="JPU123" s="139"/>
      <c r="JPV123" s="139"/>
      <c r="JPW123" s="139"/>
      <c r="JPX123" s="139"/>
      <c r="JPY123" s="139"/>
      <c r="JPZ123" s="139"/>
      <c r="JQA123" s="139"/>
      <c r="JQB123" s="139"/>
      <c r="JQC123" s="139"/>
      <c r="JQD123" s="139"/>
      <c r="JQE123" s="139"/>
      <c r="JQF123" s="139"/>
      <c r="JQG123" s="139"/>
      <c r="JQH123" s="139"/>
      <c r="JQI123" s="139"/>
      <c r="JQJ123" s="139"/>
      <c r="JQK123" s="139"/>
      <c r="JQL123" s="139"/>
      <c r="JQM123" s="139"/>
      <c r="JQN123" s="139"/>
      <c r="JQO123" s="139"/>
      <c r="JQP123" s="139"/>
      <c r="JQQ123" s="139"/>
      <c r="JQR123" s="139"/>
      <c r="JQS123" s="139"/>
      <c r="JQT123" s="139"/>
      <c r="JQU123" s="139"/>
      <c r="JQV123" s="139"/>
      <c r="JQW123" s="139"/>
      <c r="JQX123" s="139"/>
      <c r="JQY123" s="139"/>
      <c r="JQZ123" s="139"/>
      <c r="JRA123" s="139"/>
      <c r="JRB123" s="139"/>
      <c r="JRC123" s="139"/>
      <c r="JRD123" s="139"/>
      <c r="JRE123" s="139"/>
      <c r="JRF123" s="139"/>
      <c r="JRG123" s="139"/>
      <c r="JRH123" s="139"/>
      <c r="JRI123" s="139"/>
      <c r="JRJ123" s="139"/>
      <c r="JRK123" s="139"/>
      <c r="JRL123" s="139"/>
      <c r="JRM123" s="139"/>
      <c r="JRN123" s="139"/>
      <c r="JRO123" s="139"/>
      <c r="JRP123" s="139"/>
      <c r="JRQ123" s="139"/>
      <c r="JRR123" s="139"/>
      <c r="JRS123" s="139"/>
      <c r="JRT123" s="139"/>
      <c r="JRU123" s="139"/>
      <c r="JRV123" s="139"/>
      <c r="JRW123" s="139"/>
      <c r="JRX123" s="139"/>
      <c r="JRY123" s="139"/>
      <c r="JRZ123" s="139"/>
      <c r="JSA123" s="139"/>
      <c r="JSB123" s="139"/>
      <c r="JSC123" s="139"/>
      <c r="JSD123" s="139"/>
      <c r="JSE123" s="139"/>
      <c r="JSF123" s="139"/>
      <c r="JSG123" s="139"/>
      <c r="JSH123" s="139"/>
      <c r="JSI123" s="139"/>
      <c r="JSJ123" s="139"/>
      <c r="JSK123" s="139"/>
      <c r="JSL123" s="139"/>
      <c r="JSM123" s="139"/>
      <c r="JSN123" s="139"/>
      <c r="JSO123" s="139"/>
      <c r="JSP123" s="139"/>
      <c r="JSQ123" s="139"/>
      <c r="JSR123" s="139"/>
      <c r="JSS123" s="139"/>
      <c r="JST123" s="139"/>
      <c r="JSU123" s="139"/>
      <c r="JSV123" s="139"/>
      <c r="JSW123" s="139"/>
      <c r="JSX123" s="139"/>
      <c r="JSY123" s="139"/>
      <c r="JSZ123" s="139"/>
      <c r="JTA123" s="139"/>
      <c r="JTB123" s="139"/>
      <c r="JTC123" s="139"/>
      <c r="JTD123" s="139"/>
      <c r="JTE123" s="139"/>
      <c r="JTF123" s="139"/>
      <c r="JTG123" s="139"/>
      <c r="JTH123" s="139"/>
      <c r="JTI123" s="139"/>
      <c r="JTJ123" s="139"/>
      <c r="JTK123" s="139"/>
      <c r="JTL123" s="139"/>
      <c r="JTM123" s="139"/>
      <c r="JTN123" s="139"/>
      <c r="JTO123" s="139"/>
      <c r="JTP123" s="139"/>
      <c r="JTQ123" s="139"/>
      <c r="JTR123" s="139"/>
      <c r="JTS123" s="139"/>
      <c r="JTT123" s="139"/>
      <c r="JTU123" s="139"/>
      <c r="JTV123" s="139"/>
      <c r="JTW123" s="139"/>
      <c r="JTX123" s="139"/>
      <c r="JTY123" s="139"/>
      <c r="JTZ123" s="139"/>
      <c r="JUA123" s="139"/>
      <c r="JUB123" s="139"/>
      <c r="JUC123" s="139"/>
      <c r="JUD123" s="139"/>
      <c r="JUE123" s="139"/>
      <c r="JUF123" s="139"/>
      <c r="JUG123" s="139"/>
      <c r="JUH123" s="139"/>
      <c r="JUI123" s="139"/>
      <c r="JUJ123" s="139"/>
      <c r="JUK123" s="139"/>
      <c r="JUL123" s="139"/>
      <c r="JUM123" s="139"/>
      <c r="JUN123" s="139"/>
      <c r="JUO123" s="139"/>
      <c r="JUP123" s="139"/>
      <c r="JUQ123" s="139"/>
      <c r="JUR123" s="139"/>
      <c r="JUS123" s="139"/>
      <c r="JUT123" s="139"/>
      <c r="JUU123" s="139"/>
      <c r="JUV123" s="139"/>
      <c r="JUW123" s="139"/>
      <c r="JUX123" s="139"/>
      <c r="JUY123" s="139"/>
      <c r="JUZ123" s="139"/>
      <c r="JVA123" s="139"/>
      <c r="JVB123" s="139"/>
      <c r="JVC123" s="139"/>
      <c r="JVD123" s="139"/>
      <c r="JVE123" s="139"/>
      <c r="JVF123" s="139"/>
      <c r="JVG123" s="139"/>
      <c r="JVH123" s="139"/>
      <c r="JVI123" s="139"/>
      <c r="JVJ123" s="139"/>
      <c r="JVK123" s="139"/>
      <c r="JVL123" s="139"/>
      <c r="JVM123" s="139"/>
      <c r="JVN123" s="139"/>
      <c r="JVO123" s="139"/>
      <c r="JVP123" s="139"/>
      <c r="JVQ123" s="139"/>
      <c r="JVR123" s="139"/>
      <c r="JVS123" s="139"/>
      <c r="JVT123" s="139"/>
      <c r="JVU123" s="139"/>
      <c r="JVV123" s="139"/>
      <c r="JVW123" s="139"/>
      <c r="JVX123" s="139"/>
      <c r="JVY123" s="139"/>
      <c r="JVZ123" s="139"/>
      <c r="JWA123" s="139"/>
      <c r="JWB123" s="139"/>
      <c r="JWC123" s="139"/>
      <c r="JWD123" s="139"/>
      <c r="JWE123" s="139"/>
      <c r="JWF123" s="139"/>
      <c r="JWG123" s="139"/>
      <c r="JWH123" s="139"/>
      <c r="JWI123" s="139"/>
      <c r="JWJ123" s="139"/>
      <c r="JWK123" s="139"/>
      <c r="JWL123" s="139"/>
      <c r="JWM123" s="139"/>
      <c r="JWN123" s="139"/>
      <c r="JWO123" s="139"/>
      <c r="JWP123" s="139"/>
      <c r="JWQ123" s="139"/>
      <c r="JWR123" s="139"/>
      <c r="JWS123" s="139"/>
      <c r="JWT123" s="139"/>
      <c r="JWU123" s="139"/>
      <c r="JWV123" s="139"/>
      <c r="JWW123" s="139"/>
      <c r="JWX123" s="139"/>
      <c r="JWY123" s="139"/>
      <c r="JWZ123" s="139"/>
      <c r="JXA123" s="139"/>
      <c r="JXB123" s="139"/>
      <c r="JXC123" s="139"/>
      <c r="JXD123" s="139"/>
      <c r="JXE123" s="139"/>
      <c r="JXF123" s="139"/>
      <c r="JXG123" s="139"/>
      <c r="JXH123" s="139"/>
      <c r="JXI123" s="139"/>
      <c r="JXJ123" s="139"/>
      <c r="JXK123" s="139"/>
      <c r="JXL123" s="139"/>
      <c r="JXM123" s="139"/>
      <c r="JXN123" s="139"/>
      <c r="JXO123" s="139"/>
      <c r="JXP123" s="139"/>
      <c r="JXQ123" s="139"/>
      <c r="JXR123" s="139"/>
      <c r="JXS123" s="139"/>
      <c r="JXT123" s="139"/>
      <c r="JXU123" s="139"/>
      <c r="JXV123" s="139"/>
      <c r="JXW123" s="139"/>
      <c r="JXX123" s="139"/>
      <c r="JXY123" s="139"/>
      <c r="JXZ123" s="139"/>
      <c r="JYA123" s="139"/>
      <c r="JYB123" s="139"/>
      <c r="JYC123" s="139"/>
      <c r="JYD123" s="139"/>
      <c r="JYE123" s="139"/>
      <c r="JYF123" s="139"/>
      <c r="JYG123" s="139"/>
      <c r="JYH123" s="139"/>
      <c r="JYI123" s="139"/>
      <c r="JYJ123" s="139"/>
      <c r="JYK123" s="139"/>
      <c r="JYL123" s="139"/>
      <c r="JYM123" s="139"/>
      <c r="JYN123" s="139"/>
      <c r="JYO123" s="139"/>
      <c r="JYP123" s="139"/>
      <c r="JYQ123" s="139"/>
      <c r="JYR123" s="139"/>
      <c r="JYS123" s="139"/>
      <c r="JYT123" s="139"/>
      <c r="JYU123" s="139"/>
      <c r="JYV123" s="139"/>
      <c r="JYW123" s="139"/>
      <c r="JYX123" s="139"/>
      <c r="JYY123" s="139"/>
      <c r="JYZ123" s="139"/>
      <c r="JZA123" s="139"/>
      <c r="JZB123" s="139"/>
      <c r="JZC123" s="139"/>
      <c r="JZD123" s="139"/>
      <c r="JZE123" s="139"/>
      <c r="JZF123" s="139"/>
      <c r="JZG123" s="139"/>
      <c r="JZH123" s="139"/>
      <c r="JZI123" s="139"/>
      <c r="JZJ123" s="139"/>
      <c r="JZK123" s="139"/>
      <c r="JZL123" s="139"/>
      <c r="JZM123" s="139"/>
      <c r="JZN123" s="139"/>
      <c r="JZO123" s="139"/>
      <c r="JZP123" s="139"/>
      <c r="JZQ123" s="139"/>
      <c r="JZR123" s="139"/>
      <c r="JZS123" s="139"/>
      <c r="JZT123" s="139"/>
      <c r="JZU123" s="139"/>
      <c r="JZV123" s="139"/>
      <c r="JZW123" s="139"/>
      <c r="JZX123" s="139"/>
      <c r="JZY123" s="139"/>
      <c r="JZZ123" s="139"/>
      <c r="KAA123" s="139"/>
      <c r="KAB123" s="139"/>
      <c r="KAC123" s="139"/>
      <c r="KAD123" s="139"/>
      <c r="KAE123" s="139"/>
      <c r="KAF123" s="139"/>
      <c r="KAG123" s="139"/>
      <c r="KAH123" s="139"/>
      <c r="KAI123" s="139"/>
      <c r="KAJ123" s="139"/>
      <c r="KAK123" s="139"/>
      <c r="KAL123" s="139"/>
      <c r="KAM123" s="139"/>
      <c r="KAN123" s="139"/>
      <c r="KAO123" s="139"/>
      <c r="KAP123" s="139"/>
      <c r="KAQ123" s="139"/>
      <c r="KAR123" s="139"/>
      <c r="KAS123" s="139"/>
      <c r="KAT123" s="139"/>
      <c r="KAU123" s="139"/>
      <c r="KAV123" s="139"/>
      <c r="KAW123" s="139"/>
      <c r="KAX123" s="139"/>
      <c r="KAY123" s="139"/>
      <c r="KAZ123" s="139"/>
      <c r="KBA123" s="139"/>
      <c r="KBB123" s="139"/>
      <c r="KBC123" s="139"/>
      <c r="KBD123" s="139"/>
      <c r="KBE123" s="139"/>
      <c r="KBF123" s="139"/>
      <c r="KBG123" s="139"/>
      <c r="KBH123" s="139"/>
      <c r="KBI123" s="139"/>
      <c r="KBJ123" s="139"/>
      <c r="KBK123" s="139"/>
      <c r="KBL123" s="139"/>
      <c r="KBM123" s="139"/>
      <c r="KBN123" s="139"/>
      <c r="KBO123" s="139"/>
      <c r="KBP123" s="139"/>
      <c r="KBQ123" s="139"/>
      <c r="KBR123" s="139"/>
      <c r="KBS123" s="139"/>
      <c r="KBT123" s="139"/>
      <c r="KBU123" s="139"/>
      <c r="KBV123" s="139"/>
      <c r="KBW123" s="139"/>
      <c r="KBX123" s="139"/>
      <c r="KBY123" s="139"/>
      <c r="KBZ123" s="139"/>
      <c r="KCA123" s="139"/>
      <c r="KCB123" s="139"/>
      <c r="KCC123" s="139"/>
      <c r="KCD123" s="139"/>
      <c r="KCE123" s="139"/>
      <c r="KCF123" s="139"/>
      <c r="KCG123" s="139"/>
      <c r="KCH123" s="139"/>
      <c r="KCI123" s="139"/>
      <c r="KCJ123" s="139"/>
      <c r="KCK123" s="139"/>
      <c r="KCL123" s="139"/>
      <c r="KCM123" s="139"/>
      <c r="KCN123" s="139"/>
      <c r="KCO123" s="139"/>
      <c r="KCP123" s="139"/>
      <c r="KCQ123" s="139"/>
      <c r="KCR123" s="139"/>
      <c r="KCS123" s="139"/>
      <c r="KCT123" s="139"/>
      <c r="KCU123" s="139"/>
      <c r="KCV123" s="139"/>
      <c r="KCW123" s="139"/>
      <c r="KCX123" s="139"/>
      <c r="KCY123" s="139"/>
      <c r="KCZ123" s="139"/>
      <c r="KDA123" s="139"/>
      <c r="KDB123" s="139"/>
      <c r="KDC123" s="139"/>
      <c r="KDD123" s="139"/>
      <c r="KDE123" s="139"/>
      <c r="KDF123" s="139"/>
      <c r="KDG123" s="139"/>
      <c r="KDH123" s="139"/>
      <c r="KDI123" s="139"/>
      <c r="KDJ123" s="139"/>
      <c r="KDK123" s="139"/>
      <c r="KDL123" s="139"/>
      <c r="KDM123" s="139"/>
      <c r="KDN123" s="139"/>
      <c r="KDO123" s="139"/>
      <c r="KDP123" s="139"/>
      <c r="KDQ123" s="139"/>
      <c r="KDR123" s="139"/>
      <c r="KDS123" s="139"/>
      <c r="KDT123" s="139"/>
      <c r="KDU123" s="139"/>
      <c r="KDV123" s="139"/>
      <c r="KDW123" s="139"/>
      <c r="KDX123" s="139"/>
      <c r="KDY123" s="139"/>
      <c r="KDZ123" s="139"/>
      <c r="KEA123" s="139"/>
      <c r="KEB123" s="139"/>
      <c r="KEC123" s="139"/>
      <c r="KED123" s="139"/>
      <c r="KEE123" s="139"/>
      <c r="KEF123" s="139"/>
      <c r="KEG123" s="139"/>
      <c r="KEH123" s="139"/>
      <c r="KEI123" s="139"/>
      <c r="KEJ123" s="139"/>
      <c r="KEK123" s="139"/>
      <c r="KEL123" s="139"/>
      <c r="KEM123" s="139"/>
      <c r="KEN123" s="139"/>
      <c r="KEO123" s="139"/>
      <c r="KEP123" s="139"/>
      <c r="KEQ123" s="139"/>
      <c r="KER123" s="139"/>
      <c r="KES123" s="139"/>
      <c r="KET123" s="139"/>
      <c r="KEU123" s="139"/>
      <c r="KEV123" s="139"/>
      <c r="KEW123" s="139"/>
      <c r="KEX123" s="139"/>
      <c r="KEY123" s="139"/>
      <c r="KEZ123" s="139"/>
      <c r="KFA123" s="139"/>
      <c r="KFB123" s="139"/>
      <c r="KFC123" s="139"/>
      <c r="KFD123" s="139"/>
      <c r="KFE123" s="139"/>
      <c r="KFF123" s="139"/>
      <c r="KFG123" s="139"/>
      <c r="KFH123" s="139"/>
      <c r="KFI123" s="139"/>
      <c r="KFJ123" s="139"/>
      <c r="KFK123" s="139"/>
      <c r="KFL123" s="139"/>
      <c r="KFM123" s="139"/>
      <c r="KFN123" s="139"/>
      <c r="KFO123" s="139"/>
      <c r="KFP123" s="139"/>
      <c r="KFQ123" s="139"/>
      <c r="KFR123" s="139"/>
      <c r="KFS123" s="139"/>
      <c r="KFT123" s="139"/>
      <c r="KFU123" s="139"/>
      <c r="KFV123" s="139"/>
      <c r="KFW123" s="139"/>
      <c r="KFX123" s="139"/>
      <c r="KFY123" s="139"/>
      <c r="KFZ123" s="139"/>
      <c r="KGA123" s="139"/>
      <c r="KGB123" s="139"/>
      <c r="KGC123" s="139"/>
      <c r="KGD123" s="139"/>
      <c r="KGE123" s="139"/>
      <c r="KGF123" s="139"/>
      <c r="KGG123" s="139"/>
      <c r="KGH123" s="139"/>
      <c r="KGI123" s="139"/>
      <c r="KGJ123" s="139"/>
      <c r="KGK123" s="139"/>
      <c r="KGL123" s="139"/>
      <c r="KGM123" s="139"/>
      <c r="KGN123" s="139"/>
      <c r="KGO123" s="139"/>
      <c r="KGP123" s="139"/>
      <c r="KGQ123" s="139"/>
      <c r="KGR123" s="139"/>
      <c r="KGS123" s="139"/>
      <c r="KGT123" s="139"/>
      <c r="KGU123" s="139"/>
      <c r="KGV123" s="139"/>
      <c r="KGW123" s="139"/>
      <c r="KGX123" s="139"/>
      <c r="KGY123" s="139"/>
      <c r="KGZ123" s="139"/>
      <c r="KHA123" s="139"/>
      <c r="KHB123" s="139"/>
      <c r="KHC123" s="139"/>
      <c r="KHD123" s="139"/>
      <c r="KHE123" s="139"/>
      <c r="KHF123" s="139"/>
      <c r="KHG123" s="139"/>
      <c r="KHH123" s="139"/>
      <c r="KHI123" s="139"/>
      <c r="KHJ123" s="139"/>
      <c r="KHK123" s="139"/>
      <c r="KHL123" s="139"/>
      <c r="KHM123" s="139"/>
      <c r="KHN123" s="139"/>
      <c r="KHO123" s="139"/>
      <c r="KHP123" s="139"/>
      <c r="KHQ123" s="139"/>
      <c r="KHR123" s="139"/>
      <c r="KHS123" s="139"/>
      <c r="KHT123" s="139"/>
      <c r="KHU123" s="139"/>
      <c r="KHV123" s="139"/>
      <c r="KHW123" s="139"/>
      <c r="KHX123" s="139"/>
      <c r="KHY123" s="139"/>
      <c r="KHZ123" s="139"/>
      <c r="KIA123" s="139"/>
      <c r="KIB123" s="139"/>
      <c r="KIC123" s="139"/>
      <c r="KID123" s="139"/>
      <c r="KIE123" s="139"/>
      <c r="KIF123" s="139"/>
      <c r="KIG123" s="139"/>
      <c r="KIH123" s="139"/>
      <c r="KII123" s="139"/>
      <c r="KIJ123" s="139"/>
      <c r="KIK123" s="139"/>
      <c r="KIL123" s="139"/>
      <c r="KIM123" s="139"/>
      <c r="KIN123" s="139"/>
      <c r="KIO123" s="139"/>
      <c r="KIP123" s="139"/>
      <c r="KIQ123" s="139"/>
      <c r="KIR123" s="139"/>
      <c r="KIS123" s="139"/>
      <c r="KIT123" s="139"/>
      <c r="KIU123" s="139"/>
      <c r="KIV123" s="139"/>
      <c r="KIW123" s="139"/>
      <c r="KIX123" s="139"/>
      <c r="KIY123" s="139"/>
      <c r="KIZ123" s="139"/>
      <c r="KJA123" s="139"/>
      <c r="KJB123" s="139"/>
      <c r="KJC123" s="139"/>
      <c r="KJD123" s="139"/>
      <c r="KJE123" s="139"/>
      <c r="KJF123" s="139"/>
      <c r="KJG123" s="139"/>
      <c r="KJH123" s="139"/>
      <c r="KJI123" s="139"/>
      <c r="KJJ123" s="139"/>
      <c r="KJK123" s="139"/>
      <c r="KJL123" s="139"/>
      <c r="KJM123" s="139"/>
      <c r="KJN123" s="139"/>
      <c r="KJO123" s="139"/>
      <c r="KJP123" s="139"/>
      <c r="KJQ123" s="139"/>
      <c r="KJR123" s="139"/>
      <c r="KJS123" s="139"/>
      <c r="KJT123" s="139"/>
      <c r="KJU123" s="139"/>
      <c r="KJV123" s="139"/>
      <c r="KJW123" s="139"/>
      <c r="KJX123" s="139"/>
      <c r="KJY123" s="139"/>
      <c r="KJZ123" s="139"/>
      <c r="KKA123" s="139"/>
      <c r="KKB123" s="139"/>
      <c r="KKC123" s="139"/>
      <c r="KKD123" s="139"/>
      <c r="KKE123" s="139"/>
      <c r="KKF123" s="139"/>
      <c r="KKG123" s="139"/>
      <c r="KKH123" s="139"/>
      <c r="KKI123" s="139"/>
      <c r="KKJ123" s="139"/>
      <c r="KKK123" s="139"/>
      <c r="KKL123" s="139"/>
      <c r="KKM123" s="139"/>
      <c r="KKN123" s="139"/>
      <c r="KKO123" s="139"/>
      <c r="KKP123" s="139"/>
      <c r="KKQ123" s="139"/>
      <c r="KKR123" s="139"/>
      <c r="KKS123" s="139"/>
      <c r="KKT123" s="139"/>
      <c r="KKU123" s="139"/>
      <c r="KKV123" s="139"/>
      <c r="KKW123" s="139"/>
      <c r="KKX123" s="139"/>
      <c r="KKY123" s="139"/>
      <c r="KKZ123" s="139"/>
      <c r="KLA123" s="139"/>
      <c r="KLB123" s="139"/>
      <c r="KLC123" s="139"/>
      <c r="KLD123" s="139"/>
      <c r="KLE123" s="139"/>
      <c r="KLF123" s="139"/>
      <c r="KLG123" s="139"/>
      <c r="KLH123" s="139"/>
      <c r="KLI123" s="139"/>
      <c r="KLJ123" s="139"/>
      <c r="KLK123" s="139"/>
      <c r="KLL123" s="139"/>
      <c r="KLM123" s="139"/>
      <c r="KLN123" s="139"/>
      <c r="KLO123" s="139"/>
      <c r="KLP123" s="139"/>
      <c r="KLQ123" s="139"/>
      <c r="KLR123" s="139"/>
      <c r="KLS123" s="139"/>
      <c r="KLT123" s="139"/>
      <c r="KLU123" s="139"/>
      <c r="KLV123" s="139"/>
      <c r="KLW123" s="139"/>
      <c r="KLX123" s="139"/>
      <c r="KLY123" s="139"/>
      <c r="KLZ123" s="139"/>
      <c r="KMA123" s="139"/>
      <c r="KMB123" s="139"/>
      <c r="KMC123" s="139"/>
      <c r="KMD123" s="139"/>
      <c r="KME123" s="139"/>
      <c r="KMF123" s="139"/>
      <c r="KMG123" s="139"/>
      <c r="KMH123" s="139"/>
      <c r="KMI123" s="139"/>
      <c r="KMJ123" s="139"/>
      <c r="KMK123" s="139"/>
      <c r="KML123" s="139"/>
      <c r="KMM123" s="139"/>
      <c r="KMN123" s="139"/>
      <c r="KMO123" s="139"/>
      <c r="KMP123" s="139"/>
      <c r="KMQ123" s="139"/>
      <c r="KMR123" s="139"/>
      <c r="KMS123" s="139"/>
      <c r="KMT123" s="139"/>
      <c r="KMU123" s="139"/>
      <c r="KMV123" s="139"/>
      <c r="KMW123" s="139"/>
      <c r="KMX123" s="139"/>
      <c r="KMY123" s="139"/>
      <c r="KMZ123" s="139"/>
      <c r="KNA123" s="139"/>
      <c r="KNB123" s="139"/>
      <c r="KNC123" s="139"/>
      <c r="KND123" s="139"/>
      <c r="KNE123" s="139"/>
      <c r="KNF123" s="139"/>
      <c r="KNG123" s="139"/>
      <c r="KNH123" s="139"/>
      <c r="KNI123" s="139"/>
      <c r="KNJ123" s="139"/>
      <c r="KNK123" s="139"/>
      <c r="KNL123" s="139"/>
      <c r="KNM123" s="139"/>
      <c r="KNN123" s="139"/>
      <c r="KNO123" s="139"/>
      <c r="KNP123" s="139"/>
      <c r="KNQ123" s="139"/>
      <c r="KNR123" s="139"/>
      <c r="KNS123" s="139"/>
      <c r="KNT123" s="139"/>
      <c r="KNU123" s="139"/>
      <c r="KNV123" s="139"/>
      <c r="KNW123" s="139"/>
      <c r="KNX123" s="139"/>
      <c r="KNY123" s="139"/>
      <c r="KNZ123" s="139"/>
      <c r="KOA123" s="139"/>
      <c r="KOB123" s="139"/>
      <c r="KOC123" s="139"/>
      <c r="KOD123" s="139"/>
      <c r="KOE123" s="139"/>
      <c r="KOF123" s="139"/>
      <c r="KOG123" s="139"/>
      <c r="KOH123" s="139"/>
      <c r="KOI123" s="139"/>
      <c r="KOJ123" s="139"/>
      <c r="KOK123" s="139"/>
      <c r="KOL123" s="139"/>
      <c r="KOM123" s="139"/>
      <c r="KON123" s="139"/>
      <c r="KOO123" s="139"/>
      <c r="KOP123" s="139"/>
      <c r="KOQ123" s="139"/>
      <c r="KOR123" s="139"/>
      <c r="KOS123" s="139"/>
      <c r="KOT123" s="139"/>
      <c r="KOU123" s="139"/>
      <c r="KOV123" s="139"/>
      <c r="KOW123" s="139"/>
      <c r="KOX123" s="139"/>
      <c r="KOY123" s="139"/>
      <c r="KOZ123" s="139"/>
      <c r="KPA123" s="139"/>
      <c r="KPB123" s="139"/>
      <c r="KPC123" s="139"/>
      <c r="KPD123" s="139"/>
      <c r="KPE123" s="139"/>
      <c r="KPF123" s="139"/>
      <c r="KPG123" s="139"/>
      <c r="KPH123" s="139"/>
      <c r="KPI123" s="139"/>
      <c r="KPJ123" s="139"/>
      <c r="KPK123" s="139"/>
      <c r="KPL123" s="139"/>
      <c r="KPM123" s="139"/>
      <c r="KPN123" s="139"/>
      <c r="KPO123" s="139"/>
      <c r="KPP123" s="139"/>
      <c r="KPQ123" s="139"/>
      <c r="KPR123" s="139"/>
      <c r="KPS123" s="139"/>
      <c r="KPT123" s="139"/>
      <c r="KPU123" s="139"/>
      <c r="KPV123" s="139"/>
      <c r="KPW123" s="139"/>
      <c r="KPX123" s="139"/>
      <c r="KPY123" s="139"/>
      <c r="KPZ123" s="139"/>
      <c r="KQA123" s="139"/>
      <c r="KQB123" s="139"/>
      <c r="KQC123" s="139"/>
      <c r="KQD123" s="139"/>
      <c r="KQE123" s="139"/>
      <c r="KQF123" s="139"/>
      <c r="KQG123" s="139"/>
      <c r="KQH123" s="139"/>
      <c r="KQI123" s="139"/>
      <c r="KQJ123" s="139"/>
      <c r="KQK123" s="139"/>
      <c r="KQL123" s="139"/>
      <c r="KQM123" s="139"/>
      <c r="KQN123" s="139"/>
      <c r="KQO123" s="139"/>
      <c r="KQP123" s="139"/>
      <c r="KQQ123" s="139"/>
      <c r="KQR123" s="139"/>
      <c r="KQS123" s="139"/>
      <c r="KQT123" s="139"/>
      <c r="KQU123" s="139"/>
      <c r="KQV123" s="139"/>
      <c r="KQW123" s="139"/>
      <c r="KQX123" s="139"/>
      <c r="KQY123" s="139"/>
      <c r="KQZ123" s="139"/>
      <c r="KRA123" s="139"/>
      <c r="KRB123" s="139"/>
      <c r="KRC123" s="139"/>
      <c r="KRD123" s="139"/>
      <c r="KRE123" s="139"/>
      <c r="KRF123" s="139"/>
      <c r="KRG123" s="139"/>
      <c r="KRH123" s="139"/>
      <c r="KRI123" s="139"/>
      <c r="KRJ123" s="139"/>
      <c r="KRK123" s="139"/>
      <c r="KRL123" s="139"/>
      <c r="KRM123" s="139"/>
      <c r="KRN123" s="139"/>
      <c r="KRO123" s="139"/>
      <c r="KRP123" s="139"/>
      <c r="KRQ123" s="139"/>
      <c r="KRR123" s="139"/>
      <c r="KRS123" s="139"/>
      <c r="KRT123" s="139"/>
      <c r="KRU123" s="139"/>
      <c r="KRV123" s="139"/>
      <c r="KRW123" s="139"/>
      <c r="KRX123" s="139"/>
      <c r="KRY123" s="139"/>
      <c r="KRZ123" s="139"/>
      <c r="KSA123" s="139"/>
      <c r="KSB123" s="139"/>
      <c r="KSC123" s="139"/>
      <c r="KSD123" s="139"/>
      <c r="KSE123" s="139"/>
      <c r="KSF123" s="139"/>
      <c r="KSG123" s="139"/>
      <c r="KSH123" s="139"/>
      <c r="KSI123" s="139"/>
      <c r="KSJ123" s="139"/>
      <c r="KSK123" s="139"/>
      <c r="KSL123" s="139"/>
      <c r="KSM123" s="139"/>
      <c r="KSN123" s="139"/>
      <c r="KSO123" s="139"/>
      <c r="KSP123" s="139"/>
      <c r="KSQ123" s="139"/>
      <c r="KSR123" s="139"/>
      <c r="KSS123" s="139"/>
      <c r="KST123" s="139"/>
      <c r="KSU123" s="139"/>
      <c r="KSV123" s="139"/>
      <c r="KSW123" s="139"/>
      <c r="KSX123" s="139"/>
      <c r="KSY123" s="139"/>
      <c r="KSZ123" s="139"/>
      <c r="KTA123" s="139"/>
      <c r="KTB123" s="139"/>
      <c r="KTC123" s="139"/>
      <c r="KTD123" s="139"/>
      <c r="KTE123" s="139"/>
      <c r="KTF123" s="139"/>
      <c r="KTG123" s="139"/>
      <c r="KTH123" s="139"/>
      <c r="KTI123" s="139"/>
      <c r="KTJ123" s="139"/>
      <c r="KTK123" s="139"/>
      <c r="KTL123" s="139"/>
      <c r="KTM123" s="139"/>
      <c r="KTN123" s="139"/>
      <c r="KTO123" s="139"/>
      <c r="KTP123" s="139"/>
      <c r="KTQ123" s="139"/>
      <c r="KTR123" s="139"/>
      <c r="KTS123" s="139"/>
      <c r="KTT123" s="139"/>
      <c r="KTU123" s="139"/>
      <c r="KTV123" s="139"/>
      <c r="KTW123" s="139"/>
      <c r="KTX123" s="139"/>
      <c r="KTY123" s="139"/>
      <c r="KTZ123" s="139"/>
      <c r="KUA123" s="139"/>
      <c r="KUB123" s="139"/>
      <c r="KUC123" s="139"/>
      <c r="KUD123" s="139"/>
      <c r="KUE123" s="139"/>
      <c r="KUF123" s="139"/>
      <c r="KUG123" s="139"/>
      <c r="KUH123" s="139"/>
      <c r="KUI123" s="139"/>
      <c r="KUJ123" s="139"/>
      <c r="KUK123" s="139"/>
      <c r="KUL123" s="139"/>
      <c r="KUM123" s="139"/>
      <c r="KUN123" s="139"/>
      <c r="KUO123" s="139"/>
      <c r="KUP123" s="139"/>
      <c r="KUQ123" s="139"/>
      <c r="KUR123" s="139"/>
      <c r="KUS123" s="139"/>
      <c r="KUT123" s="139"/>
      <c r="KUU123" s="139"/>
      <c r="KUV123" s="139"/>
      <c r="KUW123" s="139"/>
      <c r="KUX123" s="139"/>
      <c r="KUY123" s="139"/>
      <c r="KUZ123" s="139"/>
      <c r="KVA123" s="139"/>
      <c r="KVB123" s="139"/>
      <c r="KVC123" s="139"/>
      <c r="KVD123" s="139"/>
      <c r="KVE123" s="139"/>
      <c r="KVF123" s="139"/>
      <c r="KVG123" s="139"/>
      <c r="KVH123" s="139"/>
      <c r="KVI123" s="139"/>
      <c r="KVJ123" s="139"/>
      <c r="KVK123" s="139"/>
      <c r="KVL123" s="139"/>
      <c r="KVM123" s="139"/>
      <c r="KVN123" s="139"/>
      <c r="KVO123" s="139"/>
      <c r="KVP123" s="139"/>
      <c r="KVQ123" s="139"/>
      <c r="KVR123" s="139"/>
      <c r="KVS123" s="139"/>
      <c r="KVT123" s="139"/>
      <c r="KVU123" s="139"/>
      <c r="KVV123" s="139"/>
      <c r="KVW123" s="139"/>
      <c r="KVX123" s="139"/>
      <c r="KVY123" s="139"/>
      <c r="KVZ123" s="139"/>
      <c r="KWA123" s="139"/>
      <c r="KWB123" s="139"/>
      <c r="KWC123" s="139"/>
      <c r="KWD123" s="139"/>
      <c r="KWE123" s="139"/>
      <c r="KWF123" s="139"/>
      <c r="KWG123" s="139"/>
      <c r="KWH123" s="139"/>
      <c r="KWI123" s="139"/>
      <c r="KWJ123" s="139"/>
      <c r="KWK123" s="139"/>
      <c r="KWL123" s="139"/>
      <c r="KWM123" s="139"/>
      <c r="KWN123" s="139"/>
      <c r="KWO123" s="139"/>
      <c r="KWP123" s="139"/>
      <c r="KWQ123" s="139"/>
      <c r="KWR123" s="139"/>
      <c r="KWS123" s="139"/>
      <c r="KWT123" s="139"/>
      <c r="KWU123" s="139"/>
      <c r="KWV123" s="139"/>
      <c r="KWW123" s="139"/>
      <c r="KWX123" s="139"/>
      <c r="KWY123" s="139"/>
      <c r="KWZ123" s="139"/>
      <c r="KXA123" s="139"/>
      <c r="KXB123" s="139"/>
      <c r="KXC123" s="139"/>
      <c r="KXD123" s="139"/>
      <c r="KXE123" s="139"/>
      <c r="KXF123" s="139"/>
      <c r="KXG123" s="139"/>
      <c r="KXH123" s="139"/>
      <c r="KXI123" s="139"/>
      <c r="KXJ123" s="139"/>
      <c r="KXK123" s="139"/>
      <c r="KXL123" s="139"/>
      <c r="KXM123" s="139"/>
      <c r="KXN123" s="139"/>
      <c r="KXO123" s="139"/>
      <c r="KXP123" s="139"/>
      <c r="KXQ123" s="139"/>
      <c r="KXR123" s="139"/>
      <c r="KXS123" s="139"/>
      <c r="KXT123" s="139"/>
      <c r="KXU123" s="139"/>
      <c r="KXV123" s="139"/>
      <c r="KXW123" s="139"/>
      <c r="KXX123" s="139"/>
      <c r="KXY123" s="139"/>
      <c r="KXZ123" s="139"/>
      <c r="KYA123" s="139"/>
      <c r="KYB123" s="139"/>
      <c r="KYC123" s="139"/>
      <c r="KYD123" s="139"/>
      <c r="KYE123" s="139"/>
      <c r="KYF123" s="139"/>
      <c r="KYG123" s="139"/>
      <c r="KYH123" s="139"/>
      <c r="KYI123" s="139"/>
      <c r="KYJ123" s="139"/>
      <c r="KYK123" s="139"/>
      <c r="KYL123" s="139"/>
      <c r="KYM123" s="139"/>
      <c r="KYN123" s="139"/>
      <c r="KYO123" s="139"/>
      <c r="KYP123" s="139"/>
      <c r="KYQ123" s="139"/>
      <c r="KYR123" s="139"/>
      <c r="KYS123" s="139"/>
      <c r="KYT123" s="139"/>
      <c r="KYU123" s="139"/>
      <c r="KYV123" s="139"/>
      <c r="KYW123" s="139"/>
      <c r="KYX123" s="139"/>
      <c r="KYY123" s="139"/>
      <c r="KYZ123" s="139"/>
      <c r="KZA123" s="139"/>
      <c r="KZB123" s="139"/>
      <c r="KZC123" s="139"/>
      <c r="KZD123" s="139"/>
      <c r="KZE123" s="139"/>
      <c r="KZF123" s="139"/>
      <c r="KZG123" s="139"/>
      <c r="KZH123" s="139"/>
      <c r="KZI123" s="139"/>
      <c r="KZJ123" s="139"/>
      <c r="KZK123" s="139"/>
      <c r="KZL123" s="139"/>
      <c r="KZM123" s="139"/>
      <c r="KZN123" s="139"/>
      <c r="KZO123" s="139"/>
      <c r="KZP123" s="139"/>
      <c r="KZQ123" s="139"/>
      <c r="KZR123" s="139"/>
      <c r="KZS123" s="139"/>
      <c r="KZT123" s="139"/>
      <c r="KZU123" s="139"/>
      <c r="KZV123" s="139"/>
      <c r="KZW123" s="139"/>
      <c r="KZX123" s="139"/>
      <c r="KZY123" s="139"/>
      <c r="KZZ123" s="139"/>
      <c r="LAA123" s="139"/>
      <c r="LAB123" s="139"/>
      <c r="LAC123" s="139"/>
      <c r="LAD123" s="139"/>
      <c r="LAE123" s="139"/>
      <c r="LAF123" s="139"/>
      <c r="LAG123" s="139"/>
      <c r="LAH123" s="139"/>
      <c r="LAI123" s="139"/>
      <c r="LAJ123" s="139"/>
      <c r="LAK123" s="139"/>
      <c r="LAL123" s="139"/>
      <c r="LAM123" s="139"/>
      <c r="LAN123" s="139"/>
      <c r="LAO123" s="139"/>
      <c r="LAP123" s="139"/>
      <c r="LAQ123" s="139"/>
      <c r="LAR123" s="139"/>
      <c r="LAS123" s="139"/>
      <c r="LAT123" s="139"/>
      <c r="LAU123" s="139"/>
      <c r="LAV123" s="139"/>
      <c r="LAW123" s="139"/>
      <c r="LAX123" s="139"/>
      <c r="LAY123" s="139"/>
      <c r="LAZ123" s="139"/>
      <c r="LBA123" s="139"/>
      <c r="LBB123" s="139"/>
      <c r="LBC123" s="139"/>
      <c r="LBD123" s="139"/>
      <c r="LBE123" s="139"/>
      <c r="LBF123" s="139"/>
      <c r="LBG123" s="139"/>
      <c r="LBH123" s="139"/>
      <c r="LBI123" s="139"/>
      <c r="LBJ123" s="139"/>
      <c r="LBK123" s="139"/>
      <c r="LBL123" s="139"/>
      <c r="LBM123" s="139"/>
      <c r="LBN123" s="139"/>
      <c r="LBO123" s="139"/>
      <c r="LBP123" s="139"/>
      <c r="LBQ123" s="139"/>
      <c r="LBR123" s="139"/>
      <c r="LBS123" s="139"/>
      <c r="LBT123" s="139"/>
      <c r="LBU123" s="139"/>
      <c r="LBV123" s="139"/>
      <c r="LBW123" s="139"/>
      <c r="LBX123" s="139"/>
      <c r="LBY123" s="139"/>
      <c r="LBZ123" s="139"/>
      <c r="LCA123" s="139"/>
      <c r="LCB123" s="139"/>
      <c r="LCC123" s="139"/>
      <c r="LCD123" s="139"/>
      <c r="LCE123" s="139"/>
      <c r="LCF123" s="139"/>
      <c r="LCG123" s="139"/>
      <c r="LCH123" s="139"/>
      <c r="LCI123" s="139"/>
      <c r="LCJ123" s="139"/>
      <c r="LCK123" s="139"/>
      <c r="LCL123" s="139"/>
      <c r="LCM123" s="139"/>
      <c r="LCN123" s="139"/>
      <c r="LCO123" s="139"/>
      <c r="LCP123" s="139"/>
      <c r="LCQ123" s="139"/>
      <c r="LCR123" s="139"/>
      <c r="LCS123" s="139"/>
      <c r="LCT123" s="139"/>
      <c r="LCU123" s="139"/>
      <c r="LCV123" s="139"/>
      <c r="LCW123" s="139"/>
      <c r="LCX123" s="139"/>
      <c r="LCY123" s="139"/>
      <c r="LCZ123" s="139"/>
      <c r="LDA123" s="139"/>
      <c r="LDB123" s="139"/>
      <c r="LDC123" s="139"/>
      <c r="LDD123" s="139"/>
      <c r="LDE123" s="139"/>
      <c r="LDF123" s="139"/>
      <c r="LDG123" s="139"/>
      <c r="LDH123" s="139"/>
      <c r="LDI123" s="139"/>
      <c r="LDJ123" s="139"/>
      <c r="LDK123" s="139"/>
      <c r="LDL123" s="139"/>
      <c r="LDM123" s="139"/>
      <c r="LDN123" s="139"/>
      <c r="LDO123" s="139"/>
      <c r="LDP123" s="139"/>
      <c r="LDQ123" s="139"/>
      <c r="LDR123" s="139"/>
      <c r="LDS123" s="139"/>
      <c r="LDT123" s="139"/>
      <c r="LDU123" s="139"/>
      <c r="LDV123" s="139"/>
      <c r="LDW123" s="139"/>
      <c r="LDX123" s="139"/>
      <c r="LDY123" s="139"/>
      <c r="LDZ123" s="139"/>
      <c r="LEA123" s="139"/>
      <c r="LEB123" s="139"/>
      <c r="LEC123" s="139"/>
      <c r="LED123" s="139"/>
      <c r="LEE123" s="139"/>
      <c r="LEF123" s="139"/>
      <c r="LEG123" s="139"/>
      <c r="LEH123" s="139"/>
      <c r="LEI123" s="139"/>
      <c r="LEJ123" s="139"/>
      <c r="LEK123" s="139"/>
      <c r="LEL123" s="139"/>
      <c r="LEM123" s="139"/>
      <c r="LEN123" s="139"/>
      <c r="LEO123" s="139"/>
      <c r="LEP123" s="139"/>
      <c r="LEQ123" s="139"/>
      <c r="LER123" s="139"/>
      <c r="LES123" s="139"/>
      <c r="LET123" s="139"/>
      <c r="LEU123" s="139"/>
      <c r="LEV123" s="139"/>
      <c r="LEW123" s="139"/>
      <c r="LEX123" s="139"/>
      <c r="LEY123" s="139"/>
      <c r="LEZ123" s="139"/>
      <c r="LFA123" s="139"/>
      <c r="LFB123" s="139"/>
      <c r="LFC123" s="139"/>
      <c r="LFD123" s="139"/>
      <c r="LFE123" s="139"/>
      <c r="LFF123" s="139"/>
      <c r="LFG123" s="139"/>
      <c r="LFH123" s="139"/>
      <c r="LFI123" s="139"/>
      <c r="LFJ123" s="139"/>
      <c r="LFK123" s="139"/>
      <c r="LFL123" s="139"/>
      <c r="LFM123" s="139"/>
      <c r="LFN123" s="139"/>
      <c r="LFO123" s="139"/>
      <c r="LFP123" s="139"/>
      <c r="LFQ123" s="139"/>
      <c r="LFR123" s="139"/>
      <c r="LFS123" s="139"/>
      <c r="LFT123" s="139"/>
      <c r="LFU123" s="139"/>
      <c r="LFV123" s="139"/>
      <c r="LFW123" s="139"/>
      <c r="LFX123" s="139"/>
      <c r="LFY123" s="139"/>
      <c r="LFZ123" s="139"/>
      <c r="LGA123" s="139"/>
      <c r="LGB123" s="139"/>
      <c r="LGC123" s="139"/>
      <c r="LGD123" s="139"/>
      <c r="LGE123" s="139"/>
      <c r="LGF123" s="139"/>
      <c r="LGG123" s="139"/>
      <c r="LGH123" s="139"/>
      <c r="LGI123" s="139"/>
      <c r="LGJ123" s="139"/>
      <c r="LGK123" s="139"/>
      <c r="LGL123" s="139"/>
      <c r="LGM123" s="139"/>
      <c r="LGN123" s="139"/>
      <c r="LGO123" s="139"/>
      <c r="LGP123" s="139"/>
      <c r="LGQ123" s="139"/>
      <c r="LGR123" s="139"/>
      <c r="LGS123" s="139"/>
      <c r="LGT123" s="139"/>
      <c r="LGU123" s="139"/>
      <c r="LGV123" s="139"/>
      <c r="LGW123" s="139"/>
      <c r="LGX123" s="139"/>
      <c r="LGY123" s="139"/>
      <c r="LGZ123" s="139"/>
      <c r="LHA123" s="139"/>
      <c r="LHB123" s="139"/>
      <c r="LHC123" s="139"/>
      <c r="LHD123" s="139"/>
      <c r="LHE123" s="139"/>
      <c r="LHF123" s="139"/>
      <c r="LHG123" s="139"/>
      <c r="LHH123" s="139"/>
      <c r="LHI123" s="139"/>
      <c r="LHJ123" s="139"/>
      <c r="LHK123" s="139"/>
      <c r="LHL123" s="139"/>
      <c r="LHM123" s="139"/>
      <c r="LHN123" s="139"/>
      <c r="LHO123" s="139"/>
      <c r="LHP123" s="139"/>
      <c r="LHQ123" s="139"/>
      <c r="LHR123" s="139"/>
      <c r="LHS123" s="139"/>
      <c r="LHT123" s="139"/>
      <c r="LHU123" s="139"/>
      <c r="LHV123" s="139"/>
      <c r="LHW123" s="139"/>
      <c r="LHX123" s="139"/>
      <c r="LHY123" s="139"/>
      <c r="LHZ123" s="139"/>
      <c r="LIA123" s="139"/>
      <c r="LIB123" s="139"/>
      <c r="LIC123" s="139"/>
      <c r="LID123" s="139"/>
      <c r="LIE123" s="139"/>
      <c r="LIF123" s="139"/>
      <c r="LIG123" s="139"/>
      <c r="LIH123" s="139"/>
      <c r="LII123" s="139"/>
      <c r="LIJ123" s="139"/>
      <c r="LIK123" s="139"/>
      <c r="LIL123" s="139"/>
      <c r="LIM123" s="139"/>
      <c r="LIN123" s="139"/>
      <c r="LIO123" s="139"/>
      <c r="LIP123" s="139"/>
      <c r="LIQ123" s="139"/>
      <c r="LIR123" s="139"/>
      <c r="LIS123" s="139"/>
      <c r="LIT123" s="139"/>
      <c r="LIU123" s="139"/>
      <c r="LIV123" s="139"/>
      <c r="LIW123" s="139"/>
      <c r="LIX123" s="139"/>
      <c r="LIY123" s="139"/>
      <c r="LIZ123" s="139"/>
      <c r="LJA123" s="139"/>
      <c r="LJB123" s="139"/>
      <c r="LJC123" s="139"/>
      <c r="LJD123" s="139"/>
      <c r="LJE123" s="139"/>
      <c r="LJF123" s="139"/>
      <c r="LJG123" s="139"/>
      <c r="LJH123" s="139"/>
      <c r="LJI123" s="139"/>
      <c r="LJJ123" s="139"/>
      <c r="LJK123" s="139"/>
      <c r="LJL123" s="139"/>
      <c r="LJM123" s="139"/>
      <c r="LJN123" s="139"/>
      <c r="LJO123" s="139"/>
      <c r="LJP123" s="139"/>
      <c r="LJQ123" s="139"/>
      <c r="LJR123" s="139"/>
      <c r="LJS123" s="139"/>
      <c r="LJT123" s="139"/>
      <c r="LJU123" s="139"/>
      <c r="LJV123" s="139"/>
      <c r="LJW123" s="139"/>
      <c r="LJX123" s="139"/>
      <c r="LJY123" s="139"/>
      <c r="LJZ123" s="139"/>
      <c r="LKA123" s="139"/>
      <c r="LKB123" s="139"/>
      <c r="LKC123" s="139"/>
      <c r="LKD123" s="139"/>
      <c r="LKE123" s="139"/>
      <c r="LKF123" s="139"/>
      <c r="LKG123" s="139"/>
      <c r="LKH123" s="139"/>
      <c r="LKI123" s="139"/>
      <c r="LKJ123" s="139"/>
      <c r="LKK123" s="139"/>
      <c r="LKL123" s="139"/>
      <c r="LKM123" s="139"/>
      <c r="LKN123" s="139"/>
      <c r="LKO123" s="139"/>
      <c r="LKP123" s="139"/>
      <c r="LKQ123" s="139"/>
      <c r="LKR123" s="139"/>
      <c r="LKS123" s="139"/>
      <c r="LKT123" s="139"/>
      <c r="LKU123" s="139"/>
      <c r="LKV123" s="139"/>
      <c r="LKW123" s="139"/>
      <c r="LKX123" s="139"/>
      <c r="LKY123" s="139"/>
      <c r="LKZ123" s="139"/>
      <c r="LLA123" s="139"/>
      <c r="LLB123" s="139"/>
      <c r="LLC123" s="139"/>
      <c r="LLD123" s="139"/>
      <c r="LLE123" s="139"/>
      <c r="LLF123" s="139"/>
      <c r="LLG123" s="139"/>
      <c r="LLH123" s="139"/>
      <c r="LLI123" s="139"/>
      <c r="LLJ123" s="139"/>
      <c r="LLK123" s="139"/>
      <c r="LLL123" s="139"/>
      <c r="LLM123" s="139"/>
      <c r="LLN123" s="139"/>
      <c r="LLO123" s="139"/>
      <c r="LLP123" s="139"/>
      <c r="LLQ123" s="139"/>
      <c r="LLR123" s="139"/>
      <c r="LLS123" s="139"/>
      <c r="LLT123" s="139"/>
      <c r="LLU123" s="139"/>
      <c r="LLV123" s="139"/>
      <c r="LLW123" s="139"/>
      <c r="LLX123" s="139"/>
      <c r="LLY123" s="139"/>
      <c r="LLZ123" s="139"/>
      <c r="LMA123" s="139"/>
      <c r="LMB123" s="139"/>
      <c r="LMC123" s="139"/>
      <c r="LMD123" s="139"/>
      <c r="LME123" s="139"/>
      <c r="LMF123" s="139"/>
      <c r="LMG123" s="139"/>
      <c r="LMH123" s="139"/>
      <c r="LMI123" s="139"/>
      <c r="LMJ123" s="139"/>
      <c r="LMK123" s="139"/>
      <c r="LML123" s="139"/>
      <c r="LMM123" s="139"/>
      <c r="LMN123" s="139"/>
      <c r="LMO123" s="139"/>
      <c r="LMP123" s="139"/>
      <c r="LMQ123" s="139"/>
      <c r="LMR123" s="139"/>
      <c r="LMS123" s="139"/>
      <c r="LMT123" s="139"/>
      <c r="LMU123" s="139"/>
      <c r="LMV123" s="139"/>
      <c r="LMW123" s="139"/>
      <c r="LMX123" s="139"/>
      <c r="LMY123" s="139"/>
      <c r="LMZ123" s="139"/>
      <c r="LNA123" s="139"/>
      <c r="LNB123" s="139"/>
      <c r="LNC123" s="139"/>
      <c r="LND123" s="139"/>
      <c r="LNE123" s="139"/>
      <c r="LNF123" s="139"/>
      <c r="LNG123" s="139"/>
      <c r="LNH123" s="139"/>
      <c r="LNI123" s="139"/>
      <c r="LNJ123" s="139"/>
      <c r="LNK123" s="139"/>
      <c r="LNL123" s="139"/>
      <c r="LNM123" s="139"/>
      <c r="LNN123" s="139"/>
      <c r="LNO123" s="139"/>
      <c r="LNP123" s="139"/>
      <c r="LNQ123" s="139"/>
      <c r="LNR123" s="139"/>
      <c r="LNS123" s="139"/>
      <c r="LNT123" s="139"/>
      <c r="LNU123" s="139"/>
      <c r="LNV123" s="139"/>
      <c r="LNW123" s="139"/>
      <c r="LNX123" s="139"/>
      <c r="LNY123" s="139"/>
      <c r="LNZ123" s="139"/>
      <c r="LOA123" s="139"/>
      <c r="LOB123" s="139"/>
      <c r="LOC123" s="139"/>
      <c r="LOD123" s="139"/>
      <c r="LOE123" s="139"/>
      <c r="LOF123" s="139"/>
      <c r="LOG123" s="139"/>
      <c r="LOH123" s="139"/>
      <c r="LOI123" s="139"/>
      <c r="LOJ123" s="139"/>
      <c r="LOK123" s="139"/>
      <c r="LOL123" s="139"/>
      <c r="LOM123" s="139"/>
      <c r="LON123" s="139"/>
      <c r="LOO123" s="139"/>
      <c r="LOP123" s="139"/>
      <c r="LOQ123" s="139"/>
      <c r="LOR123" s="139"/>
      <c r="LOS123" s="139"/>
      <c r="LOT123" s="139"/>
      <c r="LOU123" s="139"/>
      <c r="LOV123" s="139"/>
      <c r="LOW123" s="139"/>
      <c r="LOX123" s="139"/>
      <c r="LOY123" s="139"/>
      <c r="LOZ123" s="139"/>
      <c r="LPA123" s="139"/>
      <c r="LPB123" s="139"/>
      <c r="LPC123" s="139"/>
      <c r="LPD123" s="139"/>
      <c r="LPE123" s="139"/>
      <c r="LPF123" s="139"/>
      <c r="LPG123" s="139"/>
      <c r="LPH123" s="139"/>
      <c r="LPI123" s="139"/>
      <c r="LPJ123" s="139"/>
      <c r="LPK123" s="139"/>
      <c r="LPL123" s="139"/>
      <c r="LPM123" s="139"/>
      <c r="LPN123" s="139"/>
      <c r="LPO123" s="139"/>
      <c r="LPP123" s="139"/>
      <c r="LPQ123" s="139"/>
      <c r="LPR123" s="139"/>
      <c r="LPS123" s="139"/>
      <c r="LPT123" s="139"/>
      <c r="LPU123" s="139"/>
      <c r="LPV123" s="139"/>
      <c r="LPW123" s="139"/>
      <c r="LPX123" s="139"/>
      <c r="LPY123" s="139"/>
      <c r="LPZ123" s="139"/>
      <c r="LQA123" s="139"/>
      <c r="LQB123" s="139"/>
      <c r="LQC123" s="139"/>
      <c r="LQD123" s="139"/>
      <c r="LQE123" s="139"/>
      <c r="LQF123" s="139"/>
      <c r="LQG123" s="139"/>
      <c r="LQH123" s="139"/>
      <c r="LQI123" s="139"/>
      <c r="LQJ123" s="139"/>
      <c r="LQK123" s="139"/>
      <c r="LQL123" s="139"/>
      <c r="LQM123" s="139"/>
      <c r="LQN123" s="139"/>
      <c r="LQO123" s="139"/>
      <c r="LQP123" s="139"/>
      <c r="LQQ123" s="139"/>
      <c r="LQR123" s="139"/>
      <c r="LQS123" s="139"/>
      <c r="LQT123" s="139"/>
      <c r="LQU123" s="139"/>
      <c r="LQV123" s="139"/>
      <c r="LQW123" s="139"/>
      <c r="LQX123" s="139"/>
      <c r="LQY123" s="139"/>
      <c r="LQZ123" s="139"/>
      <c r="LRA123" s="139"/>
      <c r="LRB123" s="139"/>
      <c r="LRC123" s="139"/>
      <c r="LRD123" s="139"/>
      <c r="LRE123" s="139"/>
      <c r="LRF123" s="139"/>
      <c r="LRG123" s="139"/>
      <c r="LRH123" s="139"/>
      <c r="LRI123" s="139"/>
      <c r="LRJ123" s="139"/>
      <c r="LRK123" s="139"/>
      <c r="LRL123" s="139"/>
      <c r="LRM123" s="139"/>
      <c r="LRN123" s="139"/>
      <c r="LRO123" s="139"/>
      <c r="LRP123" s="139"/>
      <c r="LRQ123" s="139"/>
      <c r="LRR123" s="139"/>
      <c r="LRS123" s="139"/>
      <c r="LRT123" s="139"/>
      <c r="LRU123" s="139"/>
      <c r="LRV123" s="139"/>
      <c r="LRW123" s="139"/>
      <c r="LRX123" s="139"/>
      <c r="LRY123" s="139"/>
      <c r="LRZ123" s="139"/>
      <c r="LSA123" s="139"/>
      <c r="LSB123" s="139"/>
      <c r="LSC123" s="139"/>
      <c r="LSD123" s="139"/>
      <c r="LSE123" s="139"/>
      <c r="LSF123" s="139"/>
      <c r="LSG123" s="139"/>
      <c r="LSH123" s="139"/>
      <c r="LSI123" s="139"/>
      <c r="LSJ123" s="139"/>
      <c r="LSK123" s="139"/>
      <c r="LSL123" s="139"/>
      <c r="LSM123" s="139"/>
      <c r="LSN123" s="139"/>
      <c r="LSO123" s="139"/>
      <c r="LSP123" s="139"/>
      <c r="LSQ123" s="139"/>
      <c r="LSR123" s="139"/>
      <c r="LSS123" s="139"/>
      <c r="LST123" s="139"/>
      <c r="LSU123" s="139"/>
      <c r="LSV123" s="139"/>
      <c r="LSW123" s="139"/>
      <c r="LSX123" s="139"/>
      <c r="LSY123" s="139"/>
      <c r="LSZ123" s="139"/>
      <c r="LTA123" s="139"/>
      <c r="LTB123" s="139"/>
      <c r="LTC123" s="139"/>
      <c r="LTD123" s="139"/>
      <c r="LTE123" s="139"/>
      <c r="LTF123" s="139"/>
      <c r="LTG123" s="139"/>
      <c r="LTH123" s="139"/>
      <c r="LTI123" s="139"/>
      <c r="LTJ123" s="139"/>
      <c r="LTK123" s="139"/>
      <c r="LTL123" s="139"/>
      <c r="LTM123" s="139"/>
      <c r="LTN123" s="139"/>
      <c r="LTO123" s="139"/>
      <c r="LTP123" s="139"/>
      <c r="LTQ123" s="139"/>
      <c r="LTR123" s="139"/>
      <c r="LTS123" s="139"/>
      <c r="LTT123" s="139"/>
      <c r="LTU123" s="139"/>
      <c r="LTV123" s="139"/>
      <c r="LTW123" s="139"/>
      <c r="LTX123" s="139"/>
      <c r="LTY123" s="139"/>
      <c r="LTZ123" s="139"/>
      <c r="LUA123" s="139"/>
      <c r="LUB123" s="139"/>
      <c r="LUC123" s="139"/>
      <c r="LUD123" s="139"/>
      <c r="LUE123" s="139"/>
      <c r="LUF123" s="139"/>
      <c r="LUG123" s="139"/>
      <c r="LUH123" s="139"/>
      <c r="LUI123" s="139"/>
      <c r="LUJ123" s="139"/>
      <c r="LUK123" s="139"/>
      <c r="LUL123" s="139"/>
      <c r="LUM123" s="139"/>
      <c r="LUN123" s="139"/>
      <c r="LUO123" s="139"/>
      <c r="LUP123" s="139"/>
      <c r="LUQ123" s="139"/>
      <c r="LUR123" s="139"/>
      <c r="LUS123" s="139"/>
      <c r="LUT123" s="139"/>
      <c r="LUU123" s="139"/>
      <c r="LUV123" s="139"/>
      <c r="LUW123" s="139"/>
      <c r="LUX123" s="139"/>
      <c r="LUY123" s="139"/>
      <c r="LUZ123" s="139"/>
      <c r="LVA123" s="139"/>
      <c r="LVB123" s="139"/>
      <c r="LVC123" s="139"/>
      <c r="LVD123" s="139"/>
      <c r="LVE123" s="139"/>
      <c r="LVF123" s="139"/>
      <c r="LVG123" s="139"/>
      <c r="LVH123" s="139"/>
      <c r="LVI123" s="139"/>
      <c r="LVJ123" s="139"/>
      <c r="LVK123" s="139"/>
      <c r="LVL123" s="139"/>
      <c r="LVM123" s="139"/>
      <c r="LVN123" s="139"/>
      <c r="LVO123" s="139"/>
      <c r="LVP123" s="139"/>
      <c r="LVQ123" s="139"/>
      <c r="LVR123" s="139"/>
      <c r="LVS123" s="139"/>
      <c r="LVT123" s="139"/>
      <c r="LVU123" s="139"/>
      <c r="LVV123" s="139"/>
      <c r="LVW123" s="139"/>
      <c r="LVX123" s="139"/>
      <c r="LVY123" s="139"/>
      <c r="LVZ123" s="139"/>
      <c r="LWA123" s="139"/>
      <c r="LWB123" s="139"/>
      <c r="LWC123" s="139"/>
      <c r="LWD123" s="139"/>
      <c r="LWE123" s="139"/>
      <c r="LWF123" s="139"/>
      <c r="LWG123" s="139"/>
      <c r="LWH123" s="139"/>
      <c r="LWI123" s="139"/>
      <c r="LWJ123" s="139"/>
      <c r="LWK123" s="139"/>
      <c r="LWL123" s="139"/>
      <c r="LWM123" s="139"/>
      <c r="LWN123" s="139"/>
      <c r="LWO123" s="139"/>
      <c r="LWP123" s="139"/>
      <c r="LWQ123" s="139"/>
      <c r="LWR123" s="139"/>
      <c r="LWS123" s="139"/>
      <c r="LWT123" s="139"/>
      <c r="LWU123" s="139"/>
      <c r="LWV123" s="139"/>
      <c r="LWW123" s="139"/>
      <c r="LWX123" s="139"/>
      <c r="LWY123" s="139"/>
      <c r="LWZ123" s="139"/>
      <c r="LXA123" s="139"/>
      <c r="LXB123" s="139"/>
      <c r="LXC123" s="139"/>
      <c r="LXD123" s="139"/>
      <c r="LXE123" s="139"/>
      <c r="LXF123" s="139"/>
      <c r="LXG123" s="139"/>
      <c r="LXH123" s="139"/>
      <c r="LXI123" s="139"/>
      <c r="LXJ123" s="139"/>
      <c r="LXK123" s="139"/>
      <c r="LXL123" s="139"/>
      <c r="LXM123" s="139"/>
      <c r="LXN123" s="139"/>
      <c r="LXO123" s="139"/>
      <c r="LXP123" s="139"/>
      <c r="LXQ123" s="139"/>
      <c r="LXR123" s="139"/>
      <c r="LXS123" s="139"/>
      <c r="LXT123" s="139"/>
      <c r="LXU123" s="139"/>
      <c r="LXV123" s="139"/>
      <c r="LXW123" s="139"/>
      <c r="LXX123" s="139"/>
      <c r="LXY123" s="139"/>
      <c r="LXZ123" s="139"/>
      <c r="LYA123" s="139"/>
      <c r="LYB123" s="139"/>
      <c r="LYC123" s="139"/>
      <c r="LYD123" s="139"/>
      <c r="LYE123" s="139"/>
      <c r="LYF123" s="139"/>
      <c r="LYG123" s="139"/>
      <c r="LYH123" s="139"/>
      <c r="LYI123" s="139"/>
      <c r="LYJ123" s="139"/>
      <c r="LYK123" s="139"/>
      <c r="LYL123" s="139"/>
      <c r="LYM123" s="139"/>
      <c r="LYN123" s="139"/>
      <c r="LYO123" s="139"/>
      <c r="LYP123" s="139"/>
      <c r="LYQ123" s="139"/>
      <c r="LYR123" s="139"/>
      <c r="LYS123" s="139"/>
      <c r="LYT123" s="139"/>
      <c r="LYU123" s="139"/>
      <c r="LYV123" s="139"/>
      <c r="LYW123" s="139"/>
      <c r="LYX123" s="139"/>
      <c r="LYY123" s="139"/>
      <c r="LYZ123" s="139"/>
      <c r="LZA123" s="139"/>
      <c r="LZB123" s="139"/>
      <c r="LZC123" s="139"/>
      <c r="LZD123" s="139"/>
      <c r="LZE123" s="139"/>
      <c r="LZF123" s="139"/>
      <c r="LZG123" s="139"/>
      <c r="LZH123" s="139"/>
      <c r="LZI123" s="139"/>
      <c r="LZJ123" s="139"/>
      <c r="LZK123" s="139"/>
      <c r="LZL123" s="139"/>
      <c r="LZM123" s="139"/>
      <c r="LZN123" s="139"/>
      <c r="LZO123" s="139"/>
      <c r="LZP123" s="139"/>
      <c r="LZQ123" s="139"/>
      <c r="LZR123" s="139"/>
      <c r="LZS123" s="139"/>
      <c r="LZT123" s="139"/>
      <c r="LZU123" s="139"/>
      <c r="LZV123" s="139"/>
      <c r="LZW123" s="139"/>
      <c r="LZX123" s="139"/>
      <c r="LZY123" s="139"/>
      <c r="LZZ123" s="139"/>
      <c r="MAA123" s="139"/>
      <c r="MAB123" s="139"/>
      <c r="MAC123" s="139"/>
      <c r="MAD123" s="139"/>
      <c r="MAE123" s="139"/>
      <c r="MAF123" s="139"/>
      <c r="MAG123" s="139"/>
      <c r="MAH123" s="139"/>
      <c r="MAI123" s="139"/>
      <c r="MAJ123" s="139"/>
      <c r="MAK123" s="139"/>
      <c r="MAL123" s="139"/>
      <c r="MAM123" s="139"/>
      <c r="MAN123" s="139"/>
      <c r="MAO123" s="139"/>
      <c r="MAP123" s="139"/>
      <c r="MAQ123" s="139"/>
      <c r="MAR123" s="139"/>
      <c r="MAS123" s="139"/>
      <c r="MAT123" s="139"/>
      <c r="MAU123" s="139"/>
      <c r="MAV123" s="139"/>
      <c r="MAW123" s="139"/>
      <c r="MAX123" s="139"/>
      <c r="MAY123" s="139"/>
      <c r="MAZ123" s="139"/>
      <c r="MBA123" s="139"/>
      <c r="MBB123" s="139"/>
      <c r="MBC123" s="139"/>
      <c r="MBD123" s="139"/>
      <c r="MBE123" s="139"/>
      <c r="MBF123" s="139"/>
      <c r="MBG123" s="139"/>
      <c r="MBH123" s="139"/>
      <c r="MBI123" s="139"/>
      <c r="MBJ123" s="139"/>
      <c r="MBK123" s="139"/>
      <c r="MBL123" s="139"/>
      <c r="MBM123" s="139"/>
      <c r="MBN123" s="139"/>
      <c r="MBO123" s="139"/>
      <c r="MBP123" s="139"/>
      <c r="MBQ123" s="139"/>
      <c r="MBR123" s="139"/>
      <c r="MBS123" s="139"/>
      <c r="MBT123" s="139"/>
      <c r="MBU123" s="139"/>
      <c r="MBV123" s="139"/>
      <c r="MBW123" s="139"/>
      <c r="MBX123" s="139"/>
      <c r="MBY123" s="139"/>
      <c r="MBZ123" s="139"/>
      <c r="MCA123" s="139"/>
      <c r="MCB123" s="139"/>
      <c r="MCC123" s="139"/>
      <c r="MCD123" s="139"/>
      <c r="MCE123" s="139"/>
      <c r="MCF123" s="139"/>
      <c r="MCG123" s="139"/>
      <c r="MCH123" s="139"/>
      <c r="MCI123" s="139"/>
      <c r="MCJ123" s="139"/>
      <c r="MCK123" s="139"/>
      <c r="MCL123" s="139"/>
      <c r="MCM123" s="139"/>
      <c r="MCN123" s="139"/>
      <c r="MCO123" s="139"/>
      <c r="MCP123" s="139"/>
      <c r="MCQ123" s="139"/>
      <c r="MCR123" s="139"/>
      <c r="MCS123" s="139"/>
      <c r="MCT123" s="139"/>
      <c r="MCU123" s="139"/>
      <c r="MCV123" s="139"/>
      <c r="MCW123" s="139"/>
      <c r="MCX123" s="139"/>
      <c r="MCY123" s="139"/>
      <c r="MCZ123" s="139"/>
      <c r="MDA123" s="139"/>
      <c r="MDB123" s="139"/>
      <c r="MDC123" s="139"/>
      <c r="MDD123" s="139"/>
      <c r="MDE123" s="139"/>
      <c r="MDF123" s="139"/>
      <c r="MDG123" s="139"/>
      <c r="MDH123" s="139"/>
      <c r="MDI123" s="139"/>
      <c r="MDJ123" s="139"/>
      <c r="MDK123" s="139"/>
      <c r="MDL123" s="139"/>
      <c r="MDM123" s="139"/>
      <c r="MDN123" s="139"/>
      <c r="MDO123" s="139"/>
      <c r="MDP123" s="139"/>
      <c r="MDQ123" s="139"/>
      <c r="MDR123" s="139"/>
      <c r="MDS123" s="139"/>
      <c r="MDT123" s="139"/>
      <c r="MDU123" s="139"/>
      <c r="MDV123" s="139"/>
      <c r="MDW123" s="139"/>
      <c r="MDX123" s="139"/>
      <c r="MDY123" s="139"/>
      <c r="MDZ123" s="139"/>
      <c r="MEA123" s="139"/>
      <c r="MEB123" s="139"/>
      <c r="MEC123" s="139"/>
      <c r="MED123" s="139"/>
      <c r="MEE123" s="139"/>
      <c r="MEF123" s="139"/>
      <c r="MEG123" s="139"/>
      <c r="MEH123" s="139"/>
      <c r="MEI123" s="139"/>
      <c r="MEJ123" s="139"/>
      <c r="MEK123" s="139"/>
      <c r="MEL123" s="139"/>
      <c r="MEM123" s="139"/>
      <c r="MEN123" s="139"/>
      <c r="MEO123" s="139"/>
      <c r="MEP123" s="139"/>
      <c r="MEQ123" s="139"/>
      <c r="MER123" s="139"/>
      <c r="MES123" s="139"/>
      <c r="MET123" s="139"/>
      <c r="MEU123" s="139"/>
      <c r="MEV123" s="139"/>
      <c r="MEW123" s="139"/>
      <c r="MEX123" s="139"/>
      <c r="MEY123" s="139"/>
      <c r="MEZ123" s="139"/>
      <c r="MFA123" s="139"/>
      <c r="MFB123" s="139"/>
      <c r="MFC123" s="139"/>
      <c r="MFD123" s="139"/>
      <c r="MFE123" s="139"/>
      <c r="MFF123" s="139"/>
      <c r="MFG123" s="139"/>
      <c r="MFH123" s="139"/>
      <c r="MFI123" s="139"/>
      <c r="MFJ123" s="139"/>
      <c r="MFK123" s="139"/>
      <c r="MFL123" s="139"/>
      <c r="MFM123" s="139"/>
      <c r="MFN123" s="139"/>
      <c r="MFO123" s="139"/>
      <c r="MFP123" s="139"/>
      <c r="MFQ123" s="139"/>
      <c r="MFR123" s="139"/>
      <c r="MFS123" s="139"/>
      <c r="MFT123" s="139"/>
      <c r="MFU123" s="139"/>
      <c r="MFV123" s="139"/>
      <c r="MFW123" s="139"/>
      <c r="MFX123" s="139"/>
      <c r="MFY123" s="139"/>
      <c r="MFZ123" s="139"/>
      <c r="MGA123" s="139"/>
      <c r="MGB123" s="139"/>
      <c r="MGC123" s="139"/>
      <c r="MGD123" s="139"/>
      <c r="MGE123" s="139"/>
      <c r="MGF123" s="139"/>
      <c r="MGG123" s="139"/>
      <c r="MGH123" s="139"/>
      <c r="MGI123" s="139"/>
      <c r="MGJ123" s="139"/>
      <c r="MGK123" s="139"/>
      <c r="MGL123" s="139"/>
      <c r="MGM123" s="139"/>
      <c r="MGN123" s="139"/>
      <c r="MGO123" s="139"/>
      <c r="MGP123" s="139"/>
      <c r="MGQ123" s="139"/>
      <c r="MGR123" s="139"/>
      <c r="MGS123" s="139"/>
      <c r="MGT123" s="139"/>
      <c r="MGU123" s="139"/>
      <c r="MGV123" s="139"/>
      <c r="MGW123" s="139"/>
      <c r="MGX123" s="139"/>
      <c r="MGY123" s="139"/>
      <c r="MGZ123" s="139"/>
      <c r="MHA123" s="139"/>
      <c r="MHB123" s="139"/>
      <c r="MHC123" s="139"/>
      <c r="MHD123" s="139"/>
      <c r="MHE123" s="139"/>
      <c r="MHF123" s="139"/>
      <c r="MHG123" s="139"/>
      <c r="MHH123" s="139"/>
      <c r="MHI123" s="139"/>
      <c r="MHJ123" s="139"/>
      <c r="MHK123" s="139"/>
      <c r="MHL123" s="139"/>
      <c r="MHM123" s="139"/>
      <c r="MHN123" s="139"/>
      <c r="MHO123" s="139"/>
      <c r="MHP123" s="139"/>
      <c r="MHQ123" s="139"/>
      <c r="MHR123" s="139"/>
      <c r="MHS123" s="139"/>
      <c r="MHT123" s="139"/>
      <c r="MHU123" s="139"/>
      <c r="MHV123" s="139"/>
      <c r="MHW123" s="139"/>
      <c r="MHX123" s="139"/>
      <c r="MHY123" s="139"/>
      <c r="MHZ123" s="139"/>
      <c r="MIA123" s="139"/>
      <c r="MIB123" s="139"/>
      <c r="MIC123" s="139"/>
      <c r="MID123" s="139"/>
      <c r="MIE123" s="139"/>
      <c r="MIF123" s="139"/>
      <c r="MIG123" s="139"/>
      <c r="MIH123" s="139"/>
      <c r="MII123" s="139"/>
      <c r="MIJ123" s="139"/>
      <c r="MIK123" s="139"/>
      <c r="MIL123" s="139"/>
      <c r="MIM123" s="139"/>
      <c r="MIN123" s="139"/>
      <c r="MIO123" s="139"/>
      <c r="MIP123" s="139"/>
      <c r="MIQ123" s="139"/>
      <c r="MIR123" s="139"/>
      <c r="MIS123" s="139"/>
      <c r="MIT123" s="139"/>
      <c r="MIU123" s="139"/>
      <c r="MIV123" s="139"/>
      <c r="MIW123" s="139"/>
      <c r="MIX123" s="139"/>
      <c r="MIY123" s="139"/>
      <c r="MIZ123" s="139"/>
      <c r="MJA123" s="139"/>
      <c r="MJB123" s="139"/>
      <c r="MJC123" s="139"/>
      <c r="MJD123" s="139"/>
      <c r="MJE123" s="139"/>
      <c r="MJF123" s="139"/>
      <c r="MJG123" s="139"/>
      <c r="MJH123" s="139"/>
      <c r="MJI123" s="139"/>
      <c r="MJJ123" s="139"/>
      <c r="MJK123" s="139"/>
      <c r="MJL123" s="139"/>
      <c r="MJM123" s="139"/>
      <c r="MJN123" s="139"/>
      <c r="MJO123" s="139"/>
      <c r="MJP123" s="139"/>
      <c r="MJQ123" s="139"/>
      <c r="MJR123" s="139"/>
      <c r="MJS123" s="139"/>
      <c r="MJT123" s="139"/>
      <c r="MJU123" s="139"/>
      <c r="MJV123" s="139"/>
      <c r="MJW123" s="139"/>
      <c r="MJX123" s="139"/>
      <c r="MJY123" s="139"/>
      <c r="MJZ123" s="139"/>
      <c r="MKA123" s="139"/>
      <c r="MKB123" s="139"/>
      <c r="MKC123" s="139"/>
      <c r="MKD123" s="139"/>
      <c r="MKE123" s="139"/>
      <c r="MKF123" s="139"/>
      <c r="MKG123" s="139"/>
      <c r="MKH123" s="139"/>
      <c r="MKI123" s="139"/>
      <c r="MKJ123" s="139"/>
      <c r="MKK123" s="139"/>
      <c r="MKL123" s="139"/>
      <c r="MKM123" s="139"/>
      <c r="MKN123" s="139"/>
      <c r="MKO123" s="139"/>
      <c r="MKP123" s="139"/>
      <c r="MKQ123" s="139"/>
      <c r="MKR123" s="139"/>
      <c r="MKS123" s="139"/>
      <c r="MKT123" s="139"/>
      <c r="MKU123" s="139"/>
      <c r="MKV123" s="139"/>
      <c r="MKW123" s="139"/>
      <c r="MKX123" s="139"/>
      <c r="MKY123" s="139"/>
      <c r="MKZ123" s="139"/>
      <c r="MLA123" s="139"/>
      <c r="MLB123" s="139"/>
      <c r="MLC123" s="139"/>
      <c r="MLD123" s="139"/>
      <c r="MLE123" s="139"/>
      <c r="MLF123" s="139"/>
      <c r="MLG123" s="139"/>
      <c r="MLH123" s="139"/>
      <c r="MLI123" s="139"/>
      <c r="MLJ123" s="139"/>
      <c r="MLK123" s="139"/>
      <c r="MLL123" s="139"/>
      <c r="MLM123" s="139"/>
      <c r="MLN123" s="139"/>
      <c r="MLO123" s="139"/>
      <c r="MLP123" s="139"/>
      <c r="MLQ123" s="139"/>
      <c r="MLR123" s="139"/>
      <c r="MLS123" s="139"/>
      <c r="MLT123" s="139"/>
      <c r="MLU123" s="139"/>
      <c r="MLV123" s="139"/>
      <c r="MLW123" s="139"/>
      <c r="MLX123" s="139"/>
      <c r="MLY123" s="139"/>
      <c r="MLZ123" s="139"/>
      <c r="MMA123" s="139"/>
      <c r="MMB123" s="139"/>
      <c r="MMC123" s="139"/>
      <c r="MMD123" s="139"/>
      <c r="MME123" s="139"/>
      <c r="MMF123" s="139"/>
      <c r="MMG123" s="139"/>
      <c r="MMH123" s="139"/>
      <c r="MMI123" s="139"/>
      <c r="MMJ123" s="139"/>
      <c r="MMK123" s="139"/>
      <c r="MML123" s="139"/>
      <c r="MMM123" s="139"/>
      <c r="MMN123" s="139"/>
      <c r="MMO123" s="139"/>
      <c r="MMP123" s="139"/>
      <c r="MMQ123" s="139"/>
      <c r="MMR123" s="139"/>
      <c r="MMS123" s="139"/>
      <c r="MMT123" s="139"/>
      <c r="MMU123" s="139"/>
      <c r="MMV123" s="139"/>
      <c r="MMW123" s="139"/>
      <c r="MMX123" s="139"/>
      <c r="MMY123" s="139"/>
      <c r="MMZ123" s="139"/>
      <c r="MNA123" s="139"/>
      <c r="MNB123" s="139"/>
      <c r="MNC123" s="139"/>
      <c r="MND123" s="139"/>
      <c r="MNE123" s="139"/>
      <c r="MNF123" s="139"/>
      <c r="MNG123" s="139"/>
      <c r="MNH123" s="139"/>
      <c r="MNI123" s="139"/>
      <c r="MNJ123" s="139"/>
      <c r="MNK123" s="139"/>
      <c r="MNL123" s="139"/>
      <c r="MNM123" s="139"/>
      <c r="MNN123" s="139"/>
      <c r="MNO123" s="139"/>
      <c r="MNP123" s="139"/>
      <c r="MNQ123" s="139"/>
      <c r="MNR123" s="139"/>
      <c r="MNS123" s="139"/>
      <c r="MNT123" s="139"/>
      <c r="MNU123" s="139"/>
      <c r="MNV123" s="139"/>
      <c r="MNW123" s="139"/>
      <c r="MNX123" s="139"/>
      <c r="MNY123" s="139"/>
      <c r="MNZ123" s="139"/>
      <c r="MOA123" s="139"/>
      <c r="MOB123" s="139"/>
      <c r="MOC123" s="139"/>
      <c r="MOD123" s="139"/>
      <c r="MOE123" s="139"/>
      <c r="MOF123" s="139"/>
      <c r="MOG123" s="139"/>
      <c r="MOH123" s="139"/>
      <c r="MOI123" s="139"/>
      <c r="MOJ123" s="139"/>
      <c r="MOK123" s="139"/>
      <c r="MOL123" s="139"/>
      <c r="MOM123" s="139"/>
      <c r="MON123" s="139"/>
      <c r="MOO123" s="139"/>
      <c r="MOP123" s="139"/>
      <c r="MOQ123" s="139"/>
      <c r="MOR123" s="139"/>
      <c r="MOS123" s="139"/>
      <c r="MOT123" s="139"/>
      <c r="MOU123" s="139"/>
      <c r="MOV123" s="139"/>
      <c r="MOW123" s="139"/>
      <c r="MOX123" s="139"/>
      <c r="MOY123" s="139"/>
      <c r="MOZ123" s="139"/>
      <c r="MPA123" s="139"/>
      <c r="MPB123" s="139"/>
      <c r="MPC123" s="139"/>
      <c r="MPD123" s="139"/>
      <c r="MPE123" s="139"/>
      <c r="MPF123" s="139"/>
      <c r="MPG123" s="139"/>
      <c r="MPH123" s="139"/>
      <c r="MPI123" s="139"/>
      <c r="MPJ123" s="139"/>
      <c r="MPK123" s="139"/>
      <c r="MPL123" s="139"/>
      <c r="MPM123" s="139"/>
      <c r="MPN123" s="139"/>
      <c r="MPO123" s="139"/>
      <c r="MPP123" s="139"/>
      <c r="MPQ123" s="139"/>
      <c r="MPR123" s="139"/>
      <c r="MPS123" s="139"/>
      <c r="MPT123" s="139"/>
      <c r="MPU123" s="139"/>
      <c r="MPV123" s="139"/>
      <c r="MPW123" s="139"/>
      <c r="MPX123" s="139"/>
      <c r="MPY123" s="139"/>
      <c r="MPZ123" s="139"/>
      <c r="MQA123" s="139"/>
      <c r="MQB123" s="139"/>
      <c r="MQC123" s="139"/>
      <c r="MQD123" s="139"/>
      <c r="MQE123" s="139"/>
      <c r="MQF123" s="139"/>
      <c r="MQG123" s="139"/>
      <c r="MQH123" s="139"/>
      <c r="MQI123" s="139"/>
      <c r="MQJ123" s="139"/>
      <c r="MQK123" s="139"/>
      <c r="MQL123" s="139"/>
      <c r="MQM123" s="139"/>
      <c r="MQN123" s="139"/>
      <c r="MQO123" s="139"/>
      <c r="MQP123" s="139"/>
      <c r="MQQ123" s="139"/>
      <c r="MQR123" s="139"/>
      <c r="MQS123" s="139"/>
      <c r="MQT123" s="139"/>
      <c r="MQU123" s="139"/>
      <c r="MQV123" s="139"/>
      <c r="MQW123" s="139"/>
      <c r="MQX123" s="139"/>
      <c r="MQY123" s="139"/>
      <c r="MQZ123" s="139"/>
      <c r="MRA123" s="139"/>
      <c r="MRB123" s="139"/>
      <c r="MRC123" s="139"/>
      <c r="MRD123" s="139"/>
      <c r="MRE123" s="139"/>
      <c r="MRF123" s="139"/>
      <c r="MRG123" s="139"/>
      <c r="MRH123" s="139"/>
      <c r="MRI123" s="139"/>
      <c r="MRJ123" s="139"/>
      <c r="MRK123" s="139"/>
      <c r="MRL123" s="139"/>
      <c r="MRM123" s="139"/>
      <c r="MRN123" s="139"/>
      <c r="MRO123" s="139"/>
      <c r="MRP123" s="139"/>
      <c r="MRQ123" s="139"/>
      <c r="MRR123" s="139"/>
      <c r="MRS123" s="139"/>
      <c r="MRT123" s="139"/>
      <c r="MRU123" s="139"/>
      <c r="MRV123" s="139"/>
      <c r="MRW123" s="139"/>
      <c r="MRX123" s="139"/>
      <c r="MRY123" s="139"/>
      <c r="MRZ123" s="139"/>
      <c r="MSA123" s="139"/>
      <c r="MSB123" s="139"/>
      <c r="MSC123" s="139"/>
      <c r="MSD123" s="139"/>
      <c r="MSE123" s="139"/>
      <c r="MSF123" s="139"/>
      <c r="MSG123" s="139"/>
      <c r="MSH123" s="139"/>
      <c r="MSI123" s="139"/>
      <c r="MSJ123" s="139"/>
      <c r="MSK123" s="139"/>
      <c r="MSL123" s="139"/>
      <c r="MSM123" s="139"/>
      <c r="MSN123" s="139"/>
      <c r="MSO123" s="139"/>
      <c r="MSP123" s="139"/>
      <c r="MSQ123" s="139"/>
      <c r="MSR123" s="139"/>
      <c r="MSS123" s="139"/>
      <c r="MST123" s="139"/>
      <c r="MSU123" s="139"/>
      <c r="MSV123" s="139"/>
      <c r="MSW123" s="139"/>
      <c r="MSX123" s="139"/>
      <c r="MSY123" s="139"/>
      <c r="MSZ123" s="139"/>
      <c r="MTA123" s="139"/>
      <c r="MTB123" s="139"/>
      <c r="MTC123" s="139"/>
      <c r="MTD123" s="139"/>
      <c r="MTE123" s="139"/>
      <c r="MTF123" s="139"/>
      <c r="MTG123" s="139"/>
      <c r="MTH123" s="139"/>
      <c r="MTI123" s="139"/>
      <c r="MTJ123" s="139"/>
      <c r="MTK123" s="139"/>
      <c r="MTL123" s="139"/>
      <c r="MTM123" s="139"/>
      <c r="MTN123" s="139"/>
      <c r="MTO123" s="139"/>
      <c r="MTP123" s="139"/>
      <c r="MTQ123" s="139"/>
      <c r="MTR123" s="139"/>
      <c r="MTS123" s="139"/>
      <c r="MTT123" s="139"/>
      <c r="MTU123" s="139"/>
      <c r="MTV123" s="139"/>
      <c r="MTW123" s="139"/>
      <c r="MTX123" s="139"/>
      <c r="MTY123" s="139"/>
      <c r="MTZ123" s="139"/>
      <c r="MUA123" s="139"/>
      <c r="MUB123" s="139"/>
      <c r="MUC123" s="139"/>
      <c r="MUD123" s="139"/>
      <c r="MUE123" s="139"/>
      <c r="MUF123" s="139"/>
      <c r="MUG123" s="139"/>
      <c r="MUH123" s="139"/>
      <c r="MUI123" s="139"/>
      <c r="MUJ123" s="139"/>
      <c r="MUK123" s="139"/>
      <c r="MUL123" s="139"/>
      <c r="MUM123" s="139"/>
      <c r="MUN123" s="139"/>
      <c r="MUO123" s="139"/>
      <c r="MUP123" s="139"/>
      <c r="MUQ123" s="139"/>
      <c r="MUR123" s="139"/>
      <c r="MUS123" s="139"/>
      <c r="MUT123" s="139"/>
      <c r="MUU123" s="139"/>
      <c r="MUV123" s="139"/>
      <c r="MUW123" s="139"/>
      <c r="MUX123" s="139"/>
      <c r="MUY123" s="139"/>
      <c r="MUZ123" s="139"/>
      <c r="MVA123" s="139"/>
      <c r="MVB123" s="139"/>
      <c r="MVC123" s="139"/>
      <c r="MVD123" s="139"/>
      <c r="MVE123" s="139"/>
      <c r="MVF123" s="139"/>
      <c r="MVG123" s="139"/>
      <c r="MVH123" s="139"/>
      <c r="MVI123" s="139"/>
      <c r="MVJ123" s="139"/>
      <c r="MVK123" s="139"/>
      <c r="MVL123" s="139"/>
      <c r="MVM123" s="139"/>
      <c r="MVN123" s="139"/>
      <c r="MVO123" s="139"/>
      <c r="MVP123" s="139"/>
      <c r="MVQ123" s="139"/>
      <c r="MVR123" s="139"/>
      <c r="MVS123" s="139"/>
      <c r="MVT123" s="139"/>
      <c r="MVU123" s="139"/>
      <c r="MVV123" s="139"/>
      <c r="MVW123" s="139"/>
      <c r="MVX123" s="139"/>
      <c r="MVY123" s="139"/>
      <c r="MVZ123" s="139"/>
      <c r="MWA123" s="139"/>
      <c r="MWB123" s="139"/>
      <c r="MWC123" s="139"/>
      <c r="MWD123" s="139"/>
      <c r="MWE123" s="139"/>
      <c r="MWF123" s="139"/>
      <c r="MWG123" s="139"/>
      <c r="MWH123" s="139"/>
      <c r="MWI123" s="139"/>
      <c r="MWJ123" s="139"/>
      <c r="MWK123" s="139"/>
      <c r="MWL123" s="139"/>
      <c r="MWM123" s="139"/>
      <c r="MWN123" s="139"/>
      <c r="MWO123" s="139"/>
      <c r="MWP123" s="139"/>
      <c r="MWQ123" s="139"/>
      <c r="MWR123" s="139"/>
      <c r="MWS123" s="139"/>
      <c r="MWT123" s="139"/>
      <c r="MWU123" s="139"/>
      <c r="MWV123" s="139"/>
      <c r="MWW123" s="139"/>
      <c r="MWX123" s="139"/>
      <c r="MWY123" s="139"/>
      <c r="MWZ123" s="139"/>
      <c r="MXA123" s="139"/>
      <c r="MXB123" s="139"/>
      <c r="MXC123" s="139"/>
      <c r="MXD123" s="139"/>
      <c r="MXE123" s="139"/>
      <c r="MXF123" s="139"/>
      <c r="MXG123" s="139"/>
      <c r="MXH123" s="139"/>
      <c r="MXI123" s="139"/>
      <c r="MXJ123" s="139"/>
      <c r="MXK123" s="139"/>
      <c r="MXL123" s="139"/>
      <c r="MXM123" s="139"/>
      <c r="MXN123" s="139"/>
      <c r="MXO123" s="139"/>
      <c r="MXP123" s="139"/>
      <c r="MXQ123" s="139"/>
      <c r="MXR123" s="139"/>
      <c r="MXS123" s="139"/>
      <c r="MXT123" s="139"/>
      <c r="MXU123" s="139"/>
      <c r="MXV123" s="139"/>
      <c r="MXW123" s="139"/>
      <c r="MXX123" s="139"/>
      <c r="MXY123" s="139"/>
      <c r="MXZ123" s="139"/>
      <c r="MYA123" s="139"/>
      <c r="MYB123" s="139"/>
      <c r="MYC123" s="139"/>
      <c r="MYD123" s="139"/>
      <c r="MYE123" s="139"/>
      <c r="MYF123" s="139"/>
      <c r="MYG123" s="139"/>
      <c r="MYH123" s="139"/>
      <c r="MYI123" s="139"/>
      <c r="MYJ123" s="139"/>
      <c r="MYK123" s="139"/>
      <c r="MYL123" s="139"/>
      <c r="MYM123" s="139"/>
      <c r="MYN123" s="139"/>
      <c r="MYO123" s="139"/>
      <c r="MYP123" s="139"/>
      <c r="MYQ123" s="139"/>
      <c r="MYR123" s="139"/>
      <c r="MYS123" s="139"/>
      <c r="MYT123" s="139"/>
      <c r="MYU123" s="139"/>
      <c r="MYV123" s="139"/>
      <c r="MYW123" s="139"/>
      <c r="MYX123" s="139"/>
      <c r="MYY123" s="139"/>
      <c r="MYZ123" s="139"/>
      <c r="MZA123" s="139"/>
      <c r="MZB123" s="139"/>
      <c r="MZC123" s="139"/>
      <c r="MZD123" s="139"/>
      <c r="MZE123" s="139"/>
      <c r="MZF123" s="139"/>
      <c r="MZG123" s="139"/>
      <c r="MZH123" s="139"/>
      <c r="MZI123" s="139"/>
      <c r="MZJ123" s="139"/>
      <c r="MZK123" s="139"/>
      <c r="MZL123" s="139"/>
      <c r="MZM123" s="139"/>
      <c r="MZN123" s="139"/>
      <c r="MZO123" s="139"/>
      <c r="MZP123" s="139"/>
      <c r="MZQ123" s="139"/>
      <c r="MZR123" s="139"/>
      <c r="MZS123" s="139"/>
      <c r="MZT123" s="139"/>
      <c r="MZU123" s="139"/>
      <c r="MZV123" s="139"/>
      <c r="MZW123" s="139"/>
      <c r="MZX123" s="139"/>
      <c r="MZY123" s="139"/>
      <c r="MZZ123" s="139"/>
      <c r="NAA123" s="139"/>
      <c r="NAB123" s="139"/>
      <c r="NAC123" s="139"/>
      <c r="NAD123" s="139"/>
      <c r="NAE123" s="139"/>
      <c r="NAF123" s="139"/>
      <c r="NAG123" s="139"/>
      <c r="NAH123" s="139"/>
      <c r="NAI123" s="139"/>
      <c r="NAJ123" s="139"/>
      <c r="NAK123" s="139"/>
      <c r="NAL123" s="139"/>
      <c r="NAM123" s="139"/>
      <c r="NAN123" s="139"/>
      <c r="NAO123" s="139"/>
      <c r="NAP123" s="139"/>
      <c r="NAQ123" s="139"/>
      <c r="NAR123" s="139"/>
      <c r="NAS123" s="139"/>
      <c r="NAT123" s="139"/>
      <c r="NAU123" s="139"/>
      <c r="NAV123" s="139"/>
      <c r="NAW123" s="139"/>
      <c r="NAX123" s="139"/>
      <c r="NAY123" s="139"/>
      <c r="NAZ123" s="139"/>
      <c r="NBA123" s="139"/>
      <c r="NBB123" s="139"/>
      <c r="NBC123" s="139"/>
      <c r="NBD123" s="139"/>
      <c r="NBE123" s="139"/>
      <c r="NBF123" s="139"/>
      <c r="NBG123" s="139"/>
      <c r="NBH123" s="139"/>
      <c r="NBI123" s="139"/>
      <c r="NBJ123" s="139"/>
      <c r="NBK123" s="139"/>
      <c r="NBL123" s="139"/>
      <c r="NBM123" s="139"/>
      <c r="NBN123" s="139"/>
      <c r="NBO123" s="139"/>
      <c r="NBP123" s="139"/>
      <c r="NBQ123" s="139"/>
      <c r="NBR123" s="139"/>
      <c r="NBS123" s="139"/>
      <c r="NBT123" s="139"/>
      <c r="NBU123" s="139"/>
      <c r="NBV123" s="139"/>
      <c r="NBW123" s="139"/>
      <c r="NBX123" s="139"/>
      <c r="NBY123" s="139"/>
      <c r="NBZ123" s="139"/>
      <c r="NCA123" s="139"/>
      <c r="NCB123" s="139"/>
      <c r="NCC123" s="139"/>
      <c r="NCD123" s="139"/>
      <c r="NCE123" s="139"/>
      <c r="NCF123" s="139"/>
      <c r="NCG123" s="139"/>
      <c r="NCH123" s="139"/>
      <c r="NCI123" s="139"/>
      <c r="NCJ123" s="139"/>
      <c r="NCK123" s="139"/>
      <c r="NCL123" s="139"/>
      <c r="NCM123" s="139"/>
      <c r="NCN123" s="139"/>
      <c r="NCO123" s="139"/>
      <c r="NCP123" s="139"/>
      <c r="NCQ123" s="139"/>
      <c r="NCR123" s="139"/>
      <c r="NCS123" s="139"/>
      <c r="NCT123" s="139"/>
      <c r="NCU123" s="139"/>
      <c r="NCV123" s="139"/>
      <c r="NCW123" s="139"/>
      <c r="NCX123" s="139"/>
      <c r="NCY123" s="139"/>
      <c r="NCZ123" s="139"/>
      <c r="NDA123" s="139"/>
      <c r="NDB123" s="139"/>
      <c r="NDC123" s="139"/>
      <c r="NDD123" s="139"/>
      <c r="NDE123" s="139"/>
      <c r="NDF123" s="139"/>
      <c r="NDG123" s="139"/>
      <c r="NDH123" s="139"/>
      <c r="NDI123" s="139"/>
      <c r="NDJ123" s="139"/>
      <c r="NDK123" s="139"/>
      <c r="NDL123" s="139"/>
      <c r="NDM123" s="139"/>
      <c r="NDN123" s="139"/>
      <c r="NDO123" s="139"/>
      <c r="NDP123" s="139"/>
      <c r="NDQ123" s="139"/>
      <c r="NDR123" s="139"/>
      <c r="NDS123" s="139"/>
      <c r="NDT123" s="139"/>
      <c r="NDU123" s="139"/>
      <c r="NDV123" s="139"/>
      <c r="NDW123" s="139"/>
      <c r="NDX123" s="139"/>
      <c r="NDY123" s="139"/>
      <c r="NDZ123" s="139"/>
      <c r="NEA123" s="139"/>
      <c r="NEB123" s="139"/>
      <c r="NEC123" s="139"/>
      <c r="NED123" s="139"/>
      <c r="NEE123" s="139"/>
      <c r="NEF123" s="139"/>
      <c r="NEG123" s="139"/>
      <c r="NEH123" s="139"/>
      <c r="NEI123" s="139"/>
      <c r="NEJ123" s="139"/>
      <c r="NEK123" s="139"/>
      <c r="NEL123" s="139"/>
      <c r="NEM123" s="139"/>
      <c r="NEN123" s="139"/>
      <c r="NEO123" s="139"/>
      <c r="NEP123" s="139"/>
      <c r="NEQ123" s="139"/>
      <c r="NER123" s="139"/>
      <c r="NES123" s="139"/>
      <c r="NET123" s="139"/>
      <c r="NEU123" s="139"/>
      <c r="NEV123" s="139"/>
      <c r="NEW123" s="139"/>
      <c r="NEX123" s="139"/>
      <c r="NEY123" s="139"/>
      <c r="NEZ123" s="139"/>
      <c r="NFA123" s="139"/>
      <c r="NFB123" s="139"/>
      <c r="NFC123" s="139"/>
      <c r="NFD123" s="139"/>
      <c r="NFE123" s="139"/>
      <c r="NFF123" s="139"/>
      <c r="NFG123" s="139"/>
      <c r="NFH123" s="139"/>
      <c r="NFI123" s="139"/>
      <c r="NFJ123" s="139"/>
      <c r="NFK123" s="139"/>
      <c r="NFL123" s="139"/>
      <c r="NFM123" s="139"/>
      <c r="NFN123" s="139"/>
      <c r="NFO123" s="139"/>
      <c r="NFP123" s="139"/>
      <c r="NFQ123" s="139"/>
      <c r="NFR123" s="139"/>
      <c r="NFS123" s="139"/>
      <c r="NFT123" s="139"/>
      <c r="NFU123" s="139"/>
      <c r="NFV123" s="139"/>
      <c r="NFW123" s="139"/>
      <c r="NFX123" s="139"/>
      <c r="NFY123" s="139"/>
      <c r="NFZ123" s="139"/>
      <c r="NGA123" s="139"/>
      <c r="NGB123" s="139"/>
      <c r="NGC123" s="139"/>
      <c r="NGD123" s="139"/>
      <c r="NGE123" s="139"/>
      <c r="NGF123" s="139"/>
      <c r="NGG123" s="139"/>
      <c r="NGH123" s="139"/>
      <c r="NGI123" s="139"/>
      <c r="NGJ123" s="139"/>
      <c r="NGK123" s="139"/>
      <c r="NGL123" s="139"/>
      <c r="NGM123" s="139"/>
      <c r="NGN123" s="139"/>
      <c r="NGO123" s="139"/>
      <c r="NGP123" s="139"/>
      <c r="NGQ123" s="139"/>
      <c r="NGR123" s="139"/>
      <c r="NGS123" s="139"/>
      <c r="NGT123" s="139"/>
      <c r="NGU123" s="139"/>
      <c r="NGV123" s="139"/>
      <c r="NGW123" s="139"/>
      <c r="NGX123" s="139"/>
      <c r="NGY123" s="139"/>
      <c r="NGZ123" s="139"/>
      <c r="NHA123" s="139"/>
      <c r="NHB123" s="139"/>
      <c r="NHC123" s="139"/>
      <c r="NHD123" s="139"/>
      <c r="NHE123" s="139"/>
      <c r="NHF123" s="139"/>
      <c r="NHG123" s="139"/>
      <c r="NHH123" s="139"/>
      <c r="NHI123" s="139"/>
      <c r="NHJ123" s="139"/>
      <c r="NHK123" s="139"/>
      <c r="NHL123" s="139"/>
      <c r="NHM123" s="139"/>
      <c r="NHN123" s="139"/>
      <c r="NHO123" s="139"/>
      <c r="NHP123" s="139"/>
      <c r="NHQ123" s="139"/>
      <c r="NHR123" s="139"/>
      <c r="NHS123" s="139"/>
      <c r="NHT123" s="139"/>
      <c r="NHU123" s="139"/>
      <c r="NHV123" s="139"/>
      <c r="NHW123" s="139"/>
      <c r="NHX123" s="139"/>
      <c r="NHY123" s="139"/>
      <c r="NHZ123" s="139"/>
      <c r="NIA123" s="139"/>
      <c r="NIB123" s="139"/>
      <c r="NIC123" s="139"/>
      <c r="NID123" s="139"/>
      <c r="NIE123" s="139"/>
      <c r="NIF123" s="139"/>
      <c r="NIG123" s="139"/>
      <c r="NIH123" s="139"/>
      <c r="NII123" s="139"/>
      <c r="NIJ123" s="139"/>
      <c r="NIK123" s="139"/>
      <c r="NIL123" s="139"/>
      <c r="NIM123" s="139"/>
      <c r="NIN123" s="139"/>
      <c r="NIO123" s="139"/>
      <c r="NIP123" s="139"/>
      <c r="NIQ123" s="139"/>
      <c r="NIR123" s="139"/>
      <c r="NIS123" s="139"/>
      <c r="NIT123" s="139"/>
      <c r="NIU123" s="139"/>
      <c r="NIV123" s="139"/>
      <c r="NIW123" s="139"/>
      <c r="NIX123" s="139"/>
      <c r="NIY123" s="139"/>
      <c r="NIZ123" s="139"/>
      <c r="NJA123" s="139"/>
      <c r="NJB123" s="139"/>
      <c r="NJC123" s="139"/>
      <c r="NJD123" s="139"/>
      <c r="NJE123" s="139"/>
      <c r="NJF123" s="139"/>
      <c r="NJG123" s="139"/>
      <c r="NJH123" s="139"/>
      <c r="NJI123" s="139"/>
      <c r="NJJ123" s="139"/>
      <c r="NJK123" s="139"/>
      <c r="NJL123" s="139"/>
      <c r="NJM123" s="139"/>
      <c r="NJN123" s="139"/>
      <c r="NJO123" s="139"/>
      <c r="NJP123" s="139"/>
      <c r="NJQ123" s="139"/>
      <c r="NJR123" s="139"/>
      <c r="NJS123" s="139"/>
      <c r="NJT123" s="139"/>
      <c r="NJU123" s="139"/>
      <c r="NJV123" s="139"/>
      <c r="NJW123" s="139"/>
      <c r="NJX123" s="139"/>
      <c r="NJY123" s="139"/>
      <c r="NJZ123" s="139"/>
      <c r="NKA123" s="139"/>
      <c r="NKB123" s="139"/>
      <c r="NKC123" s="139"/>
      <c r="NKD123" s="139"/>
      <c r="NKE123" s="139"/>
      <c r="NKF123" s="139"/>
      <c r="NKG123" s="139"/>
      <c r="NKH123" s="139"/>
      <c r="NKI123" s="139"/>
      <c r="NKJ123" s="139"/>
      <c r="NKK123" s="139"/>
      <c r="NKL123" s="139"/>
      <c r="NKM123" s="139"/>
      <c r="NKN123" s="139"/>
      <c r="NKO123" s="139"/>
      <c r="NKP123" s="139"/>
      <c r="NKQ123" s="139"/>
      <c r="NKR123" s="139"/>
      <c r="NKS123" s="139"/>
      <c r="NKT123" s="139"/>
      <c r="NKU123" s="139"/>
      <c r="NKV123" s="139"/>
      <c r="NKW123" s="139"/>
      <c r="NKX123" s="139"/>
      <c r="NKY123" s="139"/>
      <c r="NKZ123" s="139"/>
      <c r="NLA123" s="139"/>
      <c r="NLB123" s="139"/>
      <c r="NLC123" s="139"/>
      <c r="NLD123" s="139"/>
      <c r="NLE123" s="139"/>
      <c r="NLF123" s="139"/>
      <c r="NLG123" s="139"/>
      <c r="NLH123" s="139"/>
      <c r="NLI123" s="139"/>
      <c r="NLJ123" s="139"/>
      <c r="NLK123" s="139"/>
      <c r="NLL123" s="139"/>
      <c r="NLM123" s="139"/>
      <c r="NLN123" s="139"/>
      <c r="NLO123" s="139"/>
      <c r="NLP123" s="139"/>
      <c r="NLQ123" s="139"/>
      <c r="NLR123" s="139"/>
      <c r="NLS123" s="139"/>
      <c r="NLT123" s="139"/>
      <c r="NLU123" s="139"/>
      <c r="NLV123" s="139"/>
      <c r="NLW123" s="139"/>
      <c r="NLX123" s="139"/>
      <c r="NLY123" s="139"/>
      <c r="NLZ123" s="139"/>
      <c r="NMA123" s="139"/>
      <c r="NMB123" s="139"/>
      <c r="NMC123" s="139"/>
      <c r="NMD123" s="139"/>
      <c r="NME123" s="139"/>
      <c r="NMF123" s="139"/>
      <c r="NMG123" s="139"/>
      <c r="NMH123" s="139"/>
      <c r="NMI123" s="139"/>
      <c r="NMJ123" s="139"/>
      <c r="NMK123" s="139"/>
      <c r="NML123" s="139"/>
      <c r="NMM123" s="139"/>
      <c r="NMN123" s="139"/>
      <c r="NMO123" s="139"/>
      <c r="NMP123" s="139"/>
      <c r="NMQ123" s="139"/>
      <c r="NMR123" s="139"/>
      <c r="NMS123" s="139"/>
      <c r="NMT123" s="139"/>
      <c r="NMU123" s="139"/>
      <c r="NMV123" s="139"/>
      <c r="NMW123" s="139"/>
      <c r="NMX123" s="139"/>
      <c r="NMY123" s="139"/>
      <c r="NMZ123" s="139"/>
      <c r="NNA123" s="139"/>
      <c r="NNB123" s="139"/>
      <c r="NNC123" s="139"/>
      <c r="NND123" s="139"/>
      <c r="NNE123" s="139"/>
      <c r="NNF123" s="139"/>
      <c r="NNG123" s="139"/>
      <c r="NNH123" s="139"/>
      <c r="NNI123" s="139"/>
      <c r="NNJ123" s="139"/>
      <c r="NNK123" s="139"/>
      <c r="NNL123" s="139"/>
      <c r="NNM123" s="139"/>
      <c r="NNN123" s="139"/>
      <c r="NNO123" s="139"/>
      <c r="NNP123" s="139"/>
      <c r="NNQ123" s="139"/>
      <c r="NNR123" s="139"/>
      <c r="NNS123" s="139"/>
      <c r="NNT123" s="139"/>
      <c r="NNU123" s="139"/>
      <c r="NNV123" s="139"/>
      <c r="NNW123" s="139"/>
      <c r="NNX123" s="139"/>
      <c r="NNY123" s="139"/>
      <c r="NNZ123" s="139"/>
      <c r="NOA123" s="139"/>
      <c r="NOB123" s="139"/>
      <c r="NOC123" s="139"/>
      <c r="NOD123" s="139"/>
      <c r="NOE123" s="139"/>
      <c r="NOF123" s="139"/>
      <c r="NOG123" s="139"/>
      <c r="NOH123" s="139"/>
      <c r="NOI123" s="139"/>
      <c r="NOJ123" s="139"/>
      <c r="NOK123" s="139"/>
      <c r="NOL123" s="139"/>
      <c r="NOM123" s="139"/>
      <c r="NON123" s="139"/>
      <c r="NOO123" s="139"/>
      <c r="NOP123" s="139"/>
      <c r="NOQ123" s="139"/>
      <c r="NOR123" s="139"/>
      <c r="NOS123" s="139"/>
      <c r="NOT123" s="139"/>
      <c r="NOU123" s="139"/>
      <c r="NOV123" s="139"/>
      <c r="NOW123" s="139"/>
      <c r="NOX123" s="139"/>
      <c r="NOY123" s="139"/>
      <c r="NOZ123" s="139"/>
      <c r="NPA123" s="139"/>
      <c r="NPB123" s="139"/>
      <c r="NPC123" s="139"/>
      <c r="NPD123" s="139"/>
      <c r="NPE123" s="139"/>
      <c r="NPF123" s="139"/>
      <c r="NPG123" s="139"/>
      <c r="NPH123" s="139"/>
      <c r="NPI123" s="139"/>
      <c r="NPJ123" s="139"/>
      <c r="NPK123" s="139"/>
      <c r="NPL123" s="139"/>
      <c r="NPM123" s="139"/>
      <c r="NPN123" s="139"/>
      <c r="NPO123" s="139"/>
      <c r="NPP123" s="139"/>
      <c r="NPQ123" s="139"/>
      <c r="NPR123" s="139"/>
      <c r="NPS123" s="139"/>
      <c r="NPT123" s="139"/>
      <c r="NPU123" s="139"/>
      <c r="NPV123" s="139"/>
      <c r="NPW123" s="139"/>
      <c r="NPX123" s="139"/>
      <c r="NPY123" s="139"/>
      <c r="NPZ123" s="139"/>
      <c r="NQA123" s="139"/>
      <c r="NQB123" s="139"/>
      <c r="NQC123" s="139"/>
      <c r="NQD123" s="139"/>
      <c r="NQE123" s="139"/>
      <c r="NQF123" s="139"/>
      <c r="NQG123" s="139"/>
      <c r="NQH123" s="139"/>
      <c r="NQI123" s="139"/>
      <c r="NQJ123" s="139"/>
      <c r="NQK123" s="139"/>
      <c r="NQL123" s="139"/>
      <c r="NQM123" s="139"/>
      <c r="NQN123" s="139"/>
      <c r="NQO123" s="139"/>
      <c r="NQP123" s="139"/>
      <c r="NQQ123" s="139"/>
      <c r="NQR123" s="139"/>
      <c r="NQS123" s="139"/>
      <c r="NQT123" s="139"/>
      <c r="NQU123" s="139"/>
      <c r="NQV123" s="139"/>
      <c r="NQW123" s="139"/>
      <c r="NQX123" s="139"/>
      <c r="NQY123" s="139"/>
      <c r="NQZ123" s="139"/>
      <c r="NRA123" s="139"/>
      <c r="NRB123" s="139"/>
      <c r="NRC123" s="139"/>
      <c r="NRD123" s="139"/>
      <c r="NRE123" s="139"/>
      <c r="NRF123" s="139"/>
      <c r="NRG123" s="139"/>
      <c r="NRH123" s="139"/>
      <c r="NRI123" s="139"/>
      <c r="NRJ123" s="139"/>
      <c r="NRK123" s="139"/>
      <c r="NRL123" s="139"/>
      <c r="NRM123" s="139"/>
      <c r="NRN123" s="139"/>
      <c r="NRO123" s="139"/>
      <c r="NRP123" s="139"/>
      <c r="NRQ123" s="139"/>
      <c r="NRR123" s="139"/>
      <c r="NRS123" s="139"/>
      <c r="NRT123" s="139"/>
      <c r="NRU123" s="139"/>
      <c r="NRV123" s="139"/>
      <c r="NRW123" s="139"/>
      <c r="NRX123" s="139"/>
      <c r="NRY123" s="139"/>
      <c r="NRZ123" s="139"/>
      <c r="NSA123" s="139"/>
      <c r="NSB123" s="139"/>
      <c r="NSC123" s="139"/>
      <c r="NSD123" s="139"/>
      <c r="NSE123" s="139"/>
      <c r="NSF123" s="139"/>
      <c r="NSG123" s="139"/>
      <c r="NSH123" s="139"/>
      <c r="NSI123" s="139"/>
      <c r="NSJ123" s="139"/>
      <c r="NSK123" s="139"/>
      <c r="NSL123" s="139"/>
      <c r="NSM123" s="139"/>
      <c r="NSN123" s="139"/>
      <c r="NSO123" s="139"/>
      <c r="NSP123" s="139"/>
      <c r="NSQ123" s="139"/>
      <c r="NSR123" s="139"/>
      <c r="NSS123" s="139"/>
      <c r="NST123" s="139"/>
      <c r="NSU123" s="139"/>
      <c r="NSV123" s="139"/>
      <c r="NSW123" s="139"/>
      <c r="NSX123" s="139"/>
      <c r="NSY123" s="139"/>
      <c r="NSZ123" s="139"/>
      <c r="NTA123" s="139"/>
      <c r="NTB123" s="139"/>
      <c r="NTC123" s="139"/>
      <c r="NTD123" s="139"/>
      <c r="NTE123" s="139"/>
      <c r="NTF123" s="139"/>
      <c r="NTG123" s="139"/>
      <c r="NTH123" s="139"/>
      <c r="NTI123" s="139"/>
      <c r="NTJ123" s="139"/>
      <c r="NTK123" s="139"/>
      <c r="NTL123" s="139"/>
      <c r="NTM123" s="139"/>
      <c r="NTN123" s="139"/>
      <c r="NTO123" s="139"/>
      <c r="NTP123" s="139"/>
      <c r="NTQ123" s="139"/>
      <c r="NTR123" s="139"/>
      <c r="NTS123" s="139"/>
      <c r="NTT123" s="139"/>
      <c r="NTU123" s="139"/>
      <c r="NTV123" s="139"/>
      <c r="NTW123" s="139"/>
      <c r="NTX123" s="139"/>
      <c r="NTY123" s="139"/>
      <c r="NTZ123" s="139"/>
      <c r="NUA123" s="139"/>
      <c r="NUB123" s="139"/>
      <c r="NUC123" s="139"/>
      <c r="NUD123" s="139"/>
      <c r="NUE123" s="139"/>
      <c r="NUF123" s="139"/>
      <c r="NUG123" s="139"/>
      <c r="NUH123" s="139"/>
      <c r="NUI123" s="139"/>
      <c r="NUJ123" s="139"/>
      <c r="NUK123" s="139"/>
      <c r="NUL123" s="139"/>
      <c r="NUM123" s="139"/>
      <c r="NUN123" s="139"/>
      <c r="NUO123" s="139"/>
      <c r="NUP123" s="139"/>
      <c r="NUQ123" s="139"/>
      <c r="NUR123" s="139"/>
      <c r="NUS123" s="139"/>
      <c r="NUT123" s="139"/>
      <c r="NUU123" s="139"/>
      <c r="NUV123" s="139"/>
      <c r="NUW123" s="139"/>
      <c r="NUX123" s="139"/>
      <c r="NUY123" s="139"/>
      <c r="NUZ123" s="139"/>
      <c r="NVA123" s="139"/>
      <c r="NVB123" s="139"/>
      <c r="NVC123" s="139"/>
      <c r="NVD123" s="139"/>
      <c r="NVE123" s="139"/>
      <c r="NVF123" s="139"/>
      <c r="NVG123" s="139"/>
      <c r="NVH123" s="139"/>
      <c r="NVI123" s="139"/>
      <c r="NVJ123" s="139"/>
      <c r="NVK123" s="139"/>
      <c r="NVL123" s="139"/>
      <c r="NVM123" s="139"/>
      <c r="NVN123" s="139"/>
      <c r="NVO123" s="139"/>
      <c r="NVP123" s="139"/>
      <c r="NVQ123" s="139"/>
      <c r="NVR123" s="139"/>
      <c r="NVS123" s="139"/>
      <c r="NVT123" s="139"/>
      <c r="NVU123" s="139"/>
      <c r="NVV123" s="139"/>
      <c r="NVW123" s="139"/>
      <c r="NVX123" s="139"/>
      <c r="NVY123" s="139"/>
      <c r="NVZ123" s="139"/>
      <c r="NWA123" s="139"/>
      <c r="NWB123" s="139"/>
      <c r="NWC123" s="139"/>
      <c r="NWD123" s="139"/>
      <c r="NWE123" s="139"/>
      <c r="NWF123" s="139"/>
      <c r="NWG123" s="139"/>
      <c r="NWH123" s="139"/>
      <c r="NWI123" s="139"/>
      <c r="NWJ123" s="139"/>
      <c r="NWK123" s="139"/>
      <c r="NWL123" s="139"/>
      <c r="NWM123" s="139"/>
      <c r="NWN123" s="139"/>
      <c r="NWO123" s="139"/>
      <c r="NWP123" s="139"/>
      <c r="NWQ123" s="139"/>
      <c r="NWR123" s="139"/>
      <c r="NWS123" s="139"/>
      <c r="NWT123" s="139"/>
      <c r="NWU123" s="139"/>
      <c r="NWV123" s="139"/>
      <c r="NWW123" s="139"/>
      <c r="NWX123" s="139"/>
      <c r="NWY123" s="139"/>
      <c r="NWZ123" s="139"/>
      <c r="NXA123" s="139"/>
      <c r="NXB123" s="139"/>
      <c r="NXC123" s="139"/>
      <c r="NXD123" s="139"/>
      <c r="NXE123" s="139"/>
      <c r="NXF123" s="139"/>
      <c r="NXG123" s="139"/>
      <c r="NXH123" s="139"/>
      <c r="NXI123" s="139"/>
      <c r="NXJ123" s="139"/>
      <c r="NXK123" s="139"/>
      <c r="NXL123" s="139"/>
      <c r="NXM123" s="139"/>
      <c r="NXN123" s="139"/>
      <c r="NXO123" s="139"/>
      <c r="NXP123" s="139"/>
      <c r="NXQ123" s="139"/>
      <c r="NXR123" s="139"/>
      <c r="NXS123" s="139"/>
      <c r="NXT123" s="139"/>
      <c r="NXU123" s="139"/>
      <c r="NXV123" s="139"/>
      <c r="NXW123" s="139"/>
      <c r="NXX123" s="139"/>
      <c r="NXY123" s="139"/>
      <c r="NXZ123" s="139"/>
      <c r="NYA123" s="139"/>
      <c r="NYB123" s="139"/>
      <c r="NYC123" s="139"/>
      <c r="NYD123" s="139"/>
      <c r="NYE123" s="139"/>
      <c r="NYF123" s="139"/>
      <c r="NYG123" s="139"/>
      <c r="NYH123" s="139"/>
      <c r="NYI123" s="139"/>
      <c r="NYJ123" s="139"/>
      <c r="NYK123" s="139"/>
      <c r="NYL123" s="139"/>
      <c r="NYM123" s="139"/>
      <c r="NYN123" s="139"/>
      <c r="NYO123" s="139"/>
      <c r="NYP123" s="139"/>
      <c r="NYQ123" s="139"/>
      <c r="NYR123" s="139"/>
      <c r="NYS123" s="139"/>
      <c r="NYT123" s="139"/>
      <c r="NYU123" s="139"/>
      <c r="NYV123" s="139"/>
      <c r="NYW123" s="139"/>
      <c r="NYX123" s="139"/>
      <c r="NYY123" s="139"/>
      <c r="NYZ123" s="139"/>
      <c r="NZA123" s="139"/>
      <c r="NZB123" s="139"/>
      <c r="NZC123" s="139"/>
      <c r="NZD123" s="139"/>
      <c r="NZE123" s="139"/>
      <c r="NZF123" s="139"/>
      <c r="NZG123" s="139"/>
      <c r="NZH123" s="139"/>
      <c r="NZI123" s="139"/>
      <c r="NZJ123" s="139"/>
      <c r="NZK123" s="139"/>
      <c r="NZL123" s="139"/>
      <c r="NZM123" s="139"/>
      <c r="NZN123" s="139"/>
      <c r="NZO123" s="139"/>
      <c r="NZP123" s="139"/>
      <c r="NZQ123" s="139"/>
      <c r="NZR123" s="139"/>
      <c r="NZS123" s="139"/>
      <c r="NZT123" s="139"/>
      <c r="NZU123" s="139"/>
      <c r="NZV123" s="139"/>
      <c r="NZW123" s="139"/>
      <c r="NZX123" s="139"/>
      <c r="NZY123" s="139"/>
      <c r="NZZ123" s="139"/>
      <c r="OAA123" s="139"/>
      <c r="OAB123" s="139"/>
      <c r="OAC123" s="139"/>
      <c r="OAD123" s="139"/>
      <c r="OAE123" s="139"/>
      <c r="OAF123" s="139"/>
      <c r="OAG123" s="139"/>
      <c r="OAH123" s="139"/>
      <c r="OAI123" s="139"/>
      <c r="OAJ123" s="139"/>
      <c r="OAK123" s="139"/>
      <c r="OAL123" s="139"/>
      <c r="OAM123" s="139"/>
      <c r="OAN123" s="139"/>
      <c r="OAO123" s="139"/>
      <c r="OAP123" s="139"/>
      <c r="OAQ123" s="139"/>
      <c r="OAR123" s="139"/>
      <c r="OAS123" s="139"/>
      <c r="OAT123" s="139"/>
      <c r="OAU123" s="139"/>
      <c r="OAV123" s="139"/>
      <c r="OAW123" s="139"/>
      <c r="OAX123" s="139"/>
      <c r="OAY123" s="139"/>
      <c r="OAZ123" s="139"/>
      <c r="OBA123" s="139"/>
      <c r="OBB123" s="139"/>
      <c r="OBC123" s="139"/>
      <c r="OBD123" s="139"/>
      <c r="OBE123" s="139"/>
      <c r="OBF123" s="139"/>
      <c r="OBG123" s="139"/>
      <c r="OBH123" s="139"/>
      <c r="OBI123" s="139"/>
      <c r="OBJ123" s="139"/>
      <c r="OBK123" s="139"/>
      <c r="OBL123" s="139"/>
      <c r="OBM123" s="139"/>
      <c r="OBN123" s="139"/>
      <c r="OBO123" s="139"/>
      <c r="OBP123" s="139"/>
      <c r="OBQ123" s="139"/>
      <c r="OBR123" s="139"/>
      <c r="OBS123" s="139"/>
      <c r="OBT123" s="139"/>
      <c r="OBU123" s="139"/>
      <c r="OBV123" s="139"/>
      <c r="OBW123" s="139"/>
      <c r="OBX123" s="139"/>
      <c r="OBY123" s="139"/>
      <c r="OBZ123" s="139"/>
      <c r="OCA123" s="139"/>
      <c r="OCB123" s="139"/>
      <c r="OCC123" s="139"/>
      <c r="OCD123" s="139"/>
      <c r="OCE123" s="139"/>
      <c r="OCF123" s="139"/>
      <c r="OCG123" s="139"/>
      <c r="OCH123" s="139"/>
      <c r="OCI123" s="139"/>
      <c r="OCJ123" s="139"/>
      <c r="OCK123" s="139"/>
      <c r="OCL123" s="139"/>
      <c r="OCM123" s="139"/>
      <c r="OCN123" s="139"/>
      <c r="OCO123" s="139"/>
      <c r="OCP123" s="139"/>
      <c r="OCQ123" s="139"/>
      <c r="OCR123" s="139"/>
      <c r="OCS123" s="139"/>
      <c r="OCT123" s="139"/>
      <c r="OCU123" s="139"/>
      <c r="OCV123" s="139"/>
      <c r="OCW123" s="139"/>
      <c r="OCX123" s="139"/>
      <c r="OCY123" s="139"/>
      <c r="OCZ123" s="139"/>
      <c r="ODA123" s="139"/>
      <c r="ODB123" s="139"/>
      <c r="ODC123" s="139"/>
      <c r="ODD123" s="139"/>
      <c r="ODE123" s="139"/>
      <c r="ODF123" s="139"/>
      <c r="ODG123" s="139"/>
      <c r="ODH123" s="139"/>
      <c r="ODI123" s="139"/>
      <c r="ODJ123" s="139"/>
      <c r="ODK123" s="139"/>
      <c r="ODL123" s="139"/>
      <c r="ODM123" s="139"/>
      <c r="ODN123" s="139"/>
      <c r="ODO123" s="139"/>
      <c r="ODP123" s="139"/>
      <c r="ODQ123" s="139"/>
      <c r="ODR123" s="139"/>
      <c r="ODS123" s="139"/>
      <c r="ODT123" s="139"/>
      <c r="ODU123" s="139"/>
      <c r="ODV123" s="139"/>
      <c r="ODW123" s="139"/>
      <c r="ODX123" s="139"/>
      <c r="ODY123" s="139"/>
      <c r="ODZ123" s="139"/>
      <c r="OEA123" s="139"/>
      <c r="OEB123" s="139"/>
      <c r="OEC123" s="139"/>
      <c r="OED123" s="139"/>
      <c r="OEE123" s="139"/>
      <c r="OEF123" s="139"/>
      <c r="OEG123" s="139"/>
      <c r="OEH123" s="139"/>
      <c r="OEI123" s="139"/>
      <c r="OEJ123" s="139"/>
      <c r="OEK123" s="139"/>
      <c r="OEL123" s="139"/>
      <c r="OEM123" s="139"/>
      <c r="OEN123" s="139"/>
      <c r="OEO123" s="139"/>
      <c r="OEP123" s="139"/>
      <c r="OEQ123" s="139"/>
      <c r="OER123" s="139"/>
      <c r="OES123" s="139"/>
      <c r="OET123" s="139"/>
      <c r="OEU123" s="139"/>
      <c r="OEV123" s="139"/>
      <c r="OEW123" s="139"/>
      <c r="OEX123" s="139"/>
      <c r="OEY123" s="139"/>
      <c r="OEZ123" s="139"/>
      <c r="OFA123" s="139"/>
      <c r="OFB123" s="139"/>
      <c r="OFC123" s="139"/>
      <c r="OFD123" s="139"/>
      <c r="OFE123" s="139"/>
      <c r="OFF123" s="139"/>
      <c r="OFG123" s="139"/>
      <c r="OFH123" s="139"/>
      <c r="OFI123" s="139"/>
      <c r="OFJ123" s="139"/>
      <c r="OFK123" s="139"/>
      <c r="OFL123" s="139"/>
      <c r="OFM123" s="139"/>
      <c r="OFN123" s="139"/>
      <c r="OFO123" s="139"/>
      <c r="OFP123" s="139"/>
      <c r="OFQ123" s="139"/>
      <c r="OFR123" s="139"/>
      <c r="OFS123" s="139"/>
      <c r="OFT123" s="139"/>
      <c r="OFU123" s="139"/>
      <c r="OFV123" s="139"/>
      <c r="OFW123" s="139"/>
      <c r="OFX123" s="139"/>
      <c r="OFY123" s="139"/>
      <c r="OFZ123" s="139"/>
      <c r="OGA123" s="139"/>
      <c r="OGB123" s="139"/>
      <c r="OGC123" s="139"/>
      <c r="OGD123" s="139"/>
      <c r="OGE123" s="139"/>
      <c r="OGF123" s="139"/>
      <c r="OGG123" s="139"/>
      <c r="OGH123" s="139"/>
      <c r="OGI123" s="139"/>
      <c r="OGJ123" s="139"/>
      <c r="OGK123" s="139"/>
      <c r="OGL123" s="139"/>
      <c r="OGM123" s="139"/>
      <c r="OGN123" s="139"/>
      <c r="OGO123" s="139"/>
      <c r="OGP123" s="139"/>
      <c r="OGQ123" s="139"/>
      <c r="OGR123" s="139"/>
      <c r="OGS123" s="139"/>
      <c r="OGT123" s="139"/>
      <c r="OGU123" s="139"/>
      <c r="OGV123" s="139"/>
      <c r="OGW123" s="139"/>
      <c r="OGX123" s="139"/>
      <c r="OGY123" s="139"/>
      <c r="OGZ123" s="139"/>
      <c r="OHA123" s="139"/>
      <c r="OHB123" s="139"/>
      <c r="OHC123" s="139"/>
      <c r="OHD123" s="139"/>
      <c r="OHE123" s="139"/>
      <c r="OHF123" s="139"/>
      <c r="OHG123" s="139"/>
      <c r="OHH123" s="139"/>
      <c r="OHI123" s="139"/>
      <c r="OHJ123" s="139"/>
      <c r="OHK123" s="139"/>
      <c r="OHL123" s="139"/>
      <c r="OHM123" s="139"/>
      <c r="OHN123" s="139"/>
      <c r="OHO123" s="139"/>
      <c r="OHP123" s="139"/>
      <c r="OHQ123" s="139"/>
      <c r="OHR123" s="139"/>
      <c r="OHS123" s="139"/>
      <c r="OHT123" s="139"/>
      <c r="OHU123" s="139"/>
      <c r="OHV123" s="139"/>
      <c r="OHW123" s="139"/>
      <c r="OHX123" s="139"/>
      <c r="OHY123" s="139"/>
      <c r="OHZ123" s="139"/>
      <c r="OIA123" s="139"/>
      <c r="OIB123" s="139"/>
      <c r="OIC123" s="139"/>
      <c r="OID123" s="139"/>
      <c r="OIE123" s="139"/>
      <c r="OIF123" s="139"/>
      <c r="OIG123" s="139"/>
      <c r="OIH123" s="139"/>
      <c r="OII123" s="139"/>
      <c r="OIJ123" s="139"/>
      <c r="OIK123" s="139"/>
      <c r="OIL123" s="139"/>
      <c r="OIM123" s="139"/>
      <c r="OIN123" s="139"/>
      <c r="OIO123" s="139"/>
      <c r="OIP123" s="139"/>
      <c r="OIQ123" s="139"/>
      <c r="OIR123" s="139"/>
      <c r="OIS123" s="139"/>
      <c r="OIT123" s="139"/>
      <c r="OIU123" s="139"/>
      <c r="OIV123" s="139"/>
      <c r="OIW123" s="139"/>
      <c r="OIX123" s="139"/>
      <c r="OIY123" s="139"/>
      <c r="OIZ123" s="139"/>
      <c r="OJA123" s="139"/>
      <c r="OJB123" s="139"/>
      <c r="OJC123" s="139"/>
      <c r="OJD123" s="139"/>
      <c r="OJE123" s="139"/>
      <c r="OJF123" s="139"/>
      <c r="OJG123" s="139"/>
      <c r="OJH123" s="139"/>
      <c r="OJI123" s="139"/>
      <c r="OJJ123" s="139"/>
      <c r="OJK123" s="139"/>
      <c r="OJL123" s="139"/>
      <c r="OJM123" s="139"/>
      <c r="OJN123" s="139"/>
      <c r="OJO123" s="139"/>
      <c r="OJP123" s="139"/>
      <c r="OJQ123" s="139"/>
      <c r="OJR123" s="139"/>
      <c r="OJS123" s="139"/>
      <c r="OJT123" s="139"/>
      <c r="OJU123" s="139"/>
      <c r="OJV123" s="139"/>
      <c r="OJW123" s="139"/>
      <c r="OJX123" s="139"/>
      <c r="OJY123" s="139"/>
      <c r="OJZ123" s="139"/>
      <c r="OKA123" s="139"/>
      <c r="OKB123" s="139"/>
      <c r="OKC123" s="139"/>
      <c r="OKD123" s="139"/>
      <c r="OKE123" s="139"/>
      <c r="OKF123" s="139"/>
      <c r="OKG123" s="139"/>
      <c r="OKH123" s="139"/>
      <c r="OKI123" s="139"/>
      <c r="OKJ123" s="139"/>
      <c r="OKK123" s="139"/>
      <c r="OKL123" s="139"/>
      <c r="OKM123" s="139"/>
      <c r="OKN123" s="139"/>
      <c r="OKO123" s="139"/>
      <c r="OKP123" s="139"/>
      <c r="OKQ123" s="139"/>
      <c r="OKR123" s="139"/>
      <c r="OKS123" s="139"/>
      <c r="OKT123" s="139"/>
      <c r="OKU123" s="139"/>
      <c r="OKV123" s="139"/>
      <c r="OKW123" s="139"/>
      <c r="OKX123" s="139"/>
      <c r="OKY123" s="139"/>
      <c r="OKZ123" s="139"/>
      <c r="OLA123" s="139"/>
      <c r="OLB123" s="139"/>
      <c r="OLC123" s="139"/>
      <c r="OLD123" s="139"/>
      <c r="OLE123" s="139"/>
      <c r="OLF123" s="139"/>
      <c r="OLG123" s="139"/>
      <c r="OLH123" s="139"/>
      <c r="OLI123" s="139"/>
      <c r="OLJ123" s="139"/>
      <c r="OLK123" s="139"/>
      <c r="OLL123" s="139"/>
      <c r="OLM123" s="139"/>
      <c r="OLN123" s="139"/>
      <c r="OLO123" s="139"/>
      <c r="OLP123" s="139"/>
      <c r="OLQ123" s="139"/>
      <c r="OLR123" s="139"/>
      <c r="OLS123" s="139"/>
      <c r="OLT123" s="139"/>
      <c r="OLU123" s="139"/>
      <c r="OLV123" s="139"/>
      <c r="OLW123" s="139"/>
      <c r="OLX123" s="139"/>
      <c r="OLY123" s="139"/>
      <c r="OLZ123" s="139"/>
      <c r="OMA123" s="139"/>
      <c r="OMB123" s="139"/>
      <c r="OMC123" s="139"/>
      <c r="OMD123" s="139"/>
      <c r="OME123" s="139"/>
      <c r="OMF123" s="139"/>
      <c r="OMG123" s="139"/>
      <c r="OMH123" s="139"/>
      <c r="OMI123" s="139"/>
      <c r="OMJ123" s="139"/>
      <c r="OMK123" s="139"/>
      <c r="OML123" s="139"/>
      <c r="OMM123" s="139"/>
      <c r="OMN123" s="139"/>
      <c r="OMO123" s="139"/>
      <c r="OMP123" s="139"/>
      <c r="OMQ123" s="139"/>
      <c r="OMR123" s="139"/>
      <c r="OMS123" s="139"/>
      <c r="OMT123" s="139"/>
      <c r="OMU123" s="139"/>
      <c r="OMV123" s="139"/>
      <c r="OMW123" s="139"/>
      <c r="OMX123" s="139"/>
      <c r="OMY123" s="139"/>
      <c r="OMZ123" s="139"/>
      <c r="ONA123" s="139"/>
      <c r="ONB123" s="139"/>
      <c r="ONC123" s="139"/>
      <c r="OND123" s="139"/>
      <c r="ONE123" s="139"/>
      <c r="ONF123" s="139"/>
      <c r="ONG123" s="139"/>
      <c r="ONH123" s="139"/>
      <c r="ONI123" s="139"/>
      <c r="ONJ123" s="139"/>
      <c r="ONK123" s="139"/>
      <c r="ONL123" s="139"/>
      <c r="ONM123" s="139"/>
      <c r="ONN123" s="139"/>
      <c r="ONO123" s="139"/>
      <c r="ONP123" s="139"/>
      <c r="ONQ123" s="139"/>
      <c r="ONR123" s="139"/>
      <c r="ONS123" s="139"/>
      <c r="ONT123" s="139"/>
      <c r="ONU123" s="139"/>
      <c r="ONV123" s="139"/>
      <c r="ONW123" s="139"/>
      <c r="ONX123" s="139"/>
      <c r="ONY123" s="139"/>
      <c r="ONZ123" s="139"/>
      <c r="OOA123" s="139"/>
      <c r="OOB123" s="139"/>
      <c r="OOC123" s="139"/>
      <c r="OOD123" s="139"/>
      <c r="OOE123" s="139"/>
      <c r="OOF123" s="139"/>
      <c r="OOG123" s="139"/>
      <c r="OOH123" s="139"/>
      <c r="OOI123" s="139"/>
      <c r="OOJ123" s="139"/>
      <c r="OOK123" s="139"/>
      <c r="OOL123" s="139"/>
      <c r="OOM123" s="139"/>
      <c r="OON123" s="139"/>
      <c r="OOO123" s="139"/>
      <c r="OOP123" s="139"/>
      <c r="OOQ123" s="139"/>
      <c r="OOR123" s="139"/>
      <c r="OOS123" s="139"/>
      <c r="OOT123" s="139"/>
      <c r="OOU123" s="139"/>
      <c r="OOV123" s="139"/>
      <c r="OOW123" s="139"/>
      <c r="OOX123" s="139"/>
      <c r="OOY123" s="139"/>
      <c r="OOZ123" s="139"/>
      <c r="OPA123" s="139"/>
      <c r="OPB123" s="139"/>
      <c r="OPC123" s="139"/>
      <c r="OPD123" s="139"/>
      <c r="OPE123" s="139"/>
      <c r="OPF123" s="139"/>
      <c r="OPG123" s="139"/>
      <c r="OPH123" s="139"/>
      <c r="OPI123" s="139"/>
      <c r="OPJ123" s="139"/>
      <c r="OPK123" s="139"/>
      <c r="OPL123" s="139"/>
      <c r="OPM123" s="139"/>
      <c r="OPN123" s="139"/>
      <c r="OPO123" s="139"/>
      <c r="OPP123" s="139"/>
      <c r="OPQ123" s="139"/>
      <c r="OPR123" s="139"/>
      <c r="OPS123" s="139"/>
      <c r="OPT123" s="139"/>
      <c r="OPU123" s="139"/>
      <c r="OPV123" s="139"/>
      <c r="OPW123" s="139"/>
      <c r="OPX123" s="139"/>
      <c r="OPY123" s="139"/>
      <c r="OPZ123" s="139"/>
      <c r="OQA123" s="139"/>
      <c r="OQB123" s="139"/>
      <c r="OQC123" s="139"/>
      <c r="OQD123" s="139"/>
      <c r="OQE123" s="139"/>
      <c r="OQF123" s="139"/>
      <c r="OQG123" s="139"/>
      <c r="OQH123" s="139"/>
      <c r="OQI123" s="139"/>
      <c r="OQJ123" s="139"/>
      <c r="OQK123" s="139"/>
      <c r="OQL123" s="139"/>
      <c r="OQM123" s="139"/>
      <c r="OQN123" s="139"/>
      <c r="OQO123" s="139"/>
      <c r="OQP123" s="139"/>
      <c r="OQQ123" s="139"/>
      <c r="OQR123" s="139"/>
      <c r="OQS123" s="139"/>
      <c r="OQT123" s="139"/>
      <c r="OQU123" s="139"/>
      <c r="OQV123" s="139"/>
      <c r="OQW123" s="139"/>
      <c r="OQX123" s="139"/>
      <c r="OQY123" s="139"/>
      <c r="OQZ123" s="139"/>
      <c r="ORA123" s="139"/>
      <c r="ORB123" s="139"/>
      <c r="ORC123" s="139"/>
      <c r="ORD123" s="139"/>
      <c r="ORE123" s="139"/>
      <c r="ORF123" s="139"/>
      <c r="ORG123" s="139"/>
      <c r="ORH123" s="139"/>
      <c r="ORI123" s="139"/>
      <c r="ORJ123" s="139"/>
      <c r="ORK123" s="139"/>
      <c r="ORL123" s="139"/>
      <c r="ORM123" s="139"/>
      <c r="ORN123" s="139"/>
      <c r="ORO123" s="139"/>
      <c r="ORP123" s="139"/>
      <c r="ORQ123" s="139"/>
      <c r="ORR123" s="139"/>
      <c r="ORS123" s="139"/>
      <c r="ORT123" s="139"/>
      <c r="ORU123" s="139"/>
      <c r="ORV123" s="139"/>
      <c r="ORW123" s="139"/>
      <c r="ORX123" s="139"/>
      <c r="ORY123" s="139"/>
      <c r="ORZ123" s="139"/>
      <c r="OSA123" s="139"/>
      <c r="OSB123" s="139"/>
      <c r="OSC123" s="139"/>
      <c r="OSD123" s="139"/>
      <c r="OSE123" s="139"/>
      <c r="OSF123" s="139"/>
      <c r="OSG123" s="139"/>
      <c r="OSH123" s="139"/>
      <c r="OSI123" s="139"/>
      <c r="OSJ123" s="139"/>
      <c r="OSK123" s="139"/>
      <c r="OSL123" s="139"/>
      <c r="OSM123" s="139"/>
      <c r="OSN123" s="139"/>
      <c r="OSO123" s="139"/>
      <c r="OSP123" s="139"/>
      <c r="OSQ123" s="139"/>
      <c r="OSR123" s="139"/>
      <c r="OSS123" s="139"/>
      <c r="OST123" s="139"/>
      <c r="OSU123" s="139"/>
      <c r="OSV123" s="139"/>
      <c r="OSW123" s="139"/>
      <c r="OSX123" s="139"/>
      <c r="OSY123" s="139"/>
      <c r="OSZ123" s="139"/>
      <c r="OTA123" s="139"/>
      <c r="OTB123" s="139"/>
      <c r="OTC123" s="139"/>
      <c r="OTD123" s="139"/>
      <c r="OTE123" s="139"/>
      <c r="OTF123" s="139"/>
      <c r="OTG123" s="139"/>
      <c r="OTH123" s="139"/>
      <c r="OTI123" s="139"/>
      <c r="OTJ123" s="139"/>
      <c r="OTK123" s="139"/>
      <c r="OTL123" s="139"/>
      <c r="OTM123" s="139"/>
      <c r="OTN123" s="139"/>
      <c r="OTO123" s="139"/>
      <c r="OTP123" s="139"/>
      <c r="OTQ123" s="139"/>
      <c r="OTR123" s="139"/>
      <c r="OTS123" s="139"/>
      <c r="OTT123" s="139"/>
      <c r="OTU123" s="139"/>
      <c r="OTV123" s="139"/>
      <c r="OTW123" s="139"/>
      <c r="OTX123" s="139"/>
      <c r="OTY123" s="139"/>
      <c r="OTZ123" s="139"/>
      <c r="OUA123" s="139"/>
      <c r="OUB123" s="139"/>
      <c r="OUC123" s="139"/>
      <c r="OUD123" s="139"/>
      <c r="OUE123" s="139"/>
      <c r="OUF123" s="139"/>
      <c r="OUG123" s="139"/>
      <c r="OUH123" s="139"/>
      <c r="OUI123" s="139"/>
      <c r="OUJ123" s="139"/>
      <c r="OUK123" s="139"/>
      <c r="OUL123" s="139"/>
      <c r="OUM123" s="139"/>
      <c r="OUN123" s="139"/>
      <c r="OUO123" s="139"/>
      <c r="OUP123" s="139"/>
      <c r="OUQ123" s="139"/>
      <c r="OUR123" s="139"/>
      <c r="OUS123" s="139"/>
      <c r="OUT123" s="139"/>
      <c r="OUU123" s="139"/>
      <c r="OUV123" s="139"/>
      <c r="OUW123" s="139"/>
      <c r="OUX123" s="139"/>
      <c r="OUY123" s="139"/>
      <c r="OUZ123" s="139"/>
      <c r="OVA123" s="139"/>
      <c r="OVB123" s="139"/>
      <c r="OVC123" s="139"/>
      <c r="OVD123" s="139"/>
      <c r="OVE123" s="139"/>
      <c r="OVF123" s="139"/>
      <c r="OVG123" s="139"/>
      <c r="OVH123" s="139"/>
      <c r="OVI123" s="139"/>
      <c r="OVJ123" s="139"/>
      <c r="OVK123" s="139"/>
      <c r="OVL123" s="139"/>
      <c r="OVM123" s="139"/>
      <c r="OVN123" s="139"/>
      <c r="OVO123" s="139"/>
      <c r="OVP123" s="139"/>
      <c r="OVQ123" s="139"/>
      <c r="OVR123" s="139"/>
      <c r="OVS123" s="139"/>
      <c r="OVT123" s="139"/>
      <c r="OVU123" s="139"/>
      <c r="OVV123" s="139"/>
      <c r="OVW123" s="139"/>
      <c r="OVX123" s="139"/>
      <c r="OVY123" s="139"/>
      <c r="OVZ123" s="139"/>
      <c r="OWA123" s="139"/>
      <c r="OWB123" s="139"/>
      <c r="OWC123" s="139"/>
      <c r="OWD123" s="139"/>
      <c r="OWE123" s="139"/>
      <c r="OWF123" s="139"/>
      <c r="OWG123" s="139"/>
      <c r="OWH123" s="139"/>
      <c r="OWI123" s="139"/>
      <c r="OWJ123" s="139"/>
      <c r="OWK123" s="139"/>
      <c r="OWL123" s="139"/>
      <c r="OWM123" s="139"/>
      <c r="OWN123" s="139"/>
      <c r="OWO123" s="139"/>
      <c r="OWP123" s="139"/>
      <c r="OWQ123" s="139"/>
      <c r="OWR123" s="139"/>
      <c r="OWS123" s="139"/>
      <c r="OWT123" s="139"/>
      <c r="OWU123" s="139"/>
      <c r="OWV123" s="139"/>
      <c r="OWW123" s="139"/>
      <c r="OWX123" s="139"/>
      <c r="OWY123" s="139"/>
      <c r="OWZ123" s="139"/>
      <c r="OXA123" s="139"/>
      <c r="OXB123" s="139"/>
      <c r="OXC123" s="139"/>
      <c r="OXD123" s="139"/>
      <c r="OXE123" s="139"/>
      <c r="OXF123" s="139"/>
      <c r="OXG123" s="139"/>
      <c r="OXH123" s="139"/>
      <c r="OXI123" s="139"/>
      <c r="OXJ123" s="139"/>
      <c r="OXK123" s="139"/>
      <c r="OXL123" s="139"/>
      <c r="OXM123" s="139"/>
      <c r="OXN123" s="139"/>
      <c r="OXO123" s="139"/>
      <c r="OXP123" s="139"/>
      <c r="OXQ123" s="139"/>
      <c r="OXR123" s="139"/>
      <c r="OXS123" s="139"/>
      <c r="OXT123" s="139"/>
      <c r="OXU123" s="139"/>
      <c r="OXV123" s="139"/>
      <c r="OXW123" s="139"/>
      <c r="OXX123" s="139"/>
      <c r="OXY123" s="139"/>
      <c r="OXZ123" s="139"/>
      <c r="OYA123" s="139"/>
      <c r="OYB123" s="139"/>
      <c r="OYC123" s="139"/>
      <c r="OYD123" s="139"/>
      <c r="OYE123" s="139"/>
      <c r="OYF123" s="139"/>
      <c r="OYG123" s="139"/>
      <c r="OYH123" s="139"/>
      <c r="OYI123" s="139"/>
      <c r="OYJ123" s="139"/>
      <c r="OYK123" s="139"/>
      <c r="OYL123" s="139"/>
      <c r="OYM123" s="139"/>
      <c r="OYN123" s="139"/>
      <c r="OYO123" s="139"/>
      <c r="OYP123" s="139"/>
      <c r="OYQ123" s="139"/>
      <c r="OYR123" s="139"/>
      <c r="OYS123" s="139"/>
      <c r="OYT123" s="139"/>
      <c r="OYU123" s="139"/>
      <c r="OYV123" s="139"/>
      <c r="OYW123" s="139"/>
      <c r="OYX123" s="139"/>
      <c r="OYY123" s="139"/>
      <c r="OYZ123" s="139"/>
      <c r="OZA123" s="139"/>
      <c r="OZB123" s="139"/>
      <c r="OZC123" s="139"/>
      <c r="OZD123" s="139"/>
      <c r="OZE123" s="139"/>
      <c r="OZF123" s="139"/>
      <c r="OZG123" s="139"/>
      <c r="OZH123" s="139"/>
      <c r="OZI123" s="139"/>
      <c r="OZJ123" s="139"/>
      <c r="OZK123" s="139"/>
      <c r="OZL123" s="139"/>
      <c r="OZM123" s="139"/>
      <c r="OZN123" s="139"/>
      <c r="OZO123" s="139"/>
      <c r="OZP123" s="139"/>
      <c r="OZQ123" s="139"/>
      <c r="OZR123" s="139"/>
      <c r="OZS123" s="139"/>
      <c r="OZT123" s="139"/>
      <c r="OZU123" s="139"/>
      <c r="OZV123" s="139"/>
      <c r="OZW123" s="139"/>
      <c r="OZX123" s="139"/>
      <c r="OZY123" s="139"/>
      <c r="OZZ123" s="139"/>
      <c r="PAA123" s="139"/>
      <c r="PAB123" s="139"/>
      <c r="PAC123" s="139"/>
      <c r="PAD123" s="139"/>
      <c r="PAE123" s="139"/>
      <c r="PAF123" s="139"/>
      <c r="PAG123" s="139"/>
      <c r="PAH123" s="139"/>
      <c r="PAI123" s="139"/>
      <c r="PAJ123" s="139"/>
      <c r="PAK123" s="139"/>
      <c r="PAL123" s="139"/>
      <c r="PAM123" s="139"/>
      <c r="PAN123" s="139"/>
      <c r="PAO123" s="139"/>
      <c r="PAP123" s="139"/>
      <c r="PAQ123" s="139"/>
      <c r="PAR123" s="139"/>
      <c r="PAS123" s="139"/>
      <c r="PAT123" s="139"/>
      <c r="PAU123" s="139"/>
      <c r="PAV123" s="139"/>
      <c r="PAW123" s="139"/>
      <c r="PAX123" s="139"/>
      <c r="PAY123" s="139"/>
      <c r="PAZ123" s="139"/>
      <c r="PBA123" s="139"/>
      <c r="PBB123" s="139"/>
      <c r="PBC123" s="139"/>
      <c r="PBD123" s="139"/>
      <c r="PBE123" s="139"/>
      <c r="PBF123" s="139"/>
      <c r="PBG123" s="139"/>
      <c r="PBH123" s="139"/>
      <c r="PBI123" s="139"/>
      <c r="PBJ123" s="139"/>
      <c r="PBK123" s="139"/>
      <c r="PBL123" s="139"/>
      <c r="PBM123" s="139"/>
      <c r="PBN123" s="139"/>
      <c r="PBO123" s="139"/>
      <c r="PBP123" s="139"/>
      <c r="PBQ123" s="139"/>
      <c r="PBR123" s="139"/>
      <c r="PBS123" s="139"/>
      <c r="PBT123" s="139"/>
      <c r="PBU123" s="139"/>
      <c r="PBV123" s="139"/>
      <c r="PBW123" s="139"/>
      <c r="PBX123" s="139"/>
      <c r="PBY123" s="139"/>
      <c r="PBZ123" s="139"/>
      <c r="PCA123" s="139"/>
      <c r="PCB123" s="139"/>
      <c r="PCC123" s="139"/>
      <c r="PCD123" s="139"/>
      <c r="PCE123" s="139"/>
      <c r="PCF123" s="139"/>
      <c r="PCG123" s="139"/>
      <c r="PCH123" s="139"/>
      <c r="PCI123" s="139"/>
      <c r="PCJ123" s="139"/>
      <c r="PCK123" s="139"/>
      <c r="PCL123" s="139"/>
      <c r="PCM123" s="139"/>
      <c r="PCN123" s="139"/>
      <c r="PCO123" s="139"/>
      <c r="PCP123" s="139"/>
      <c r="PCQ123" s="139"/>
      <c r="PCR123" s="139"/>
      <c r="PCS123" s="139"/>
      <c r="PCT123" s="139"/>
      <c r="PCU123" s="139"/>
      <c r="PCV123" s="139"/>
      <c r="PCW123" s="139"/>
      <c r="PCX123" s="139"/>
      <c r="PCY123" s="139"/>
      <c r="PCZ123" s="139"/>
      <c r="PDA123" s="139"/>
      <c r="PDB123" s="139"/>
      <c r="PDC123" s="139"/>
      <c r="PDD123" s="139"/>
      <c r="PDE123" s="139"/>
      <c r="PDF123" s="139"/>
      <c r="PDG123" s="139"/>
      <c r="PDH123" s="139"/>
      <c r="PDI123" s="139"/>
      <c r="PDJ123" s="139"/>
      <c r="PDK123" s="139"/>
      <c r="PDL123" s="139"/>
      <c r="PDM123" s="139"/>
      <c r="PDN123" s="139"/>
      <c r="PDO123" s="139"/>
      <c r="PDP123" s="139"/>
      <c r="PDQ123" s="139"/>
      <c r="PDR123" s="139"/>
      <c r="PDS123" s="139"/>
      <c r="PDT123" s="139"/>
      <c r="PDU123" s="139"/>
      <c r="PDV123" s="139"/>
      <c r="PDW123" s="139"/>
      <c r="PDX123" s="139"/>
      <c r="PDY123" s="139"/>
      <c r="PDZ123" s="139"/>
      <c r="PEA123" s="139"/>
      <c r="PEB123" s="139"/>
      <c r="PEC123" s="139"/>
      <c r="PED123" s="139"/>
      <c r="PEE123" s="139"/>
      <c r="PEF123" s="139"/>
      <c r="PEG123" s="139"/>
      <c r="PEH123" s="139"/>
      <c r="PEI123" s="139"/>
      <c r="PEJ123" s="139"/>
      <c r="PEK123" s="139"/>
      <c r="PEL123" s="139"/>
      <c r="PEM123" s="139"/>
      <c r="PEN123" s="139"/>
      <c r="PEO123" s="139"/>
      <c r="PEP123" s="139"/>
      <c r="PEQ123" s="139"/>
      <c r="PER123" s="139"/>
      <c r="PES123" s="139"/>
      <c r="PET123" s="139"/>
      <c r="PEU123" s="139"/>
      <c r="PEV123" s="139"/>
      <c r="PEW123" s="139"/>
      <c r="PEX123" s="139"/>
      <c r="PEY123" s="139"/>
      <c r="PEZ123" s="139"/>
      <c r="PFA123" s="139"/>
      <c r="PFB123" s="139"/>
      <c r="PFC123" s="139"/>
      <c r="PFD123" s="139"/>
      <c r="PFE123" s="139"/>
      <c r="PFF123" s="139"/>
      <c r="PFG123" s="139"/>
      <c r="PFH123" s="139"/>
      <c r="PFI123" s="139"/>
      <c r="PFJ123" s="139"/>
      <c r="PFK123" s="139"/>
      <c r="PFL123" s="139"/>
      <c r="PFM123" s="139"/>
      <c r="PFN123" s="139"/>
      <c r="PFO123" s="139"/>
      <c r="PFP123" s="139"/>
      <c r="PFQ123" s="139"/>
      <c r="PFR123" s="139"/>
      <c r="PFS123" s="139"/>
      <c r="PFT123" s="139"/>
      <c r="PFU123" s="139"/>
      <c r="PFV123" s="139"/>
      <c r="PFW123" s="139"/>
      <c r="PFX123" s="139"/>
      <c r="PFY123" s="139"/>
      <c r="PFZ123" s="139"/>
      <c r="PGA123" s="139"/>
      <c r="PGB123" s="139"/>
      <c r="PGC123" s="139"/>
      <c r="PGD123" s="139"/>
      <c r="PGE123" s="139"/>
      <c r="PGF123" s="139"/>
      <c r="PGG123" s="139"/>
      <c r="PGH123" s="139"/>
      <c r="PGI123" s="139"/>
      <c r="PGJ123" s="139"/>
      <c r="PGK123" s="139"/>
      <c r="PGL123" s="139"/>
      <c r="PGM123" s="139"/>
      <c r="PGN123" s="139"/>
      <c r="PGO123" s="139"/>
      <c r="PGP123" s="139"/>
      <c r="PGQ123" s="139"/>
      <c r="PGR123" s="139"/>
      <c r="PGS123" s="139"/>
      <c r="PGT123" s="139"/>
      <c r="PGU123" s="139"/>
      <c r="PGV123" s="139"/>
      <c r="PGW123" s="139"/>
      <c r="PGX123" s="139"/>
      <c r="PGY123" s="139"/>
      <c r="PGZ123" s="139"/>
      <c r="PHA123" s="139"/>
      <c r="PHB123" s="139"/>
      <c r="PHC123" s="139"/>
      <c r="PHD123" s="139"/>
      <c r="PHE123" s="139"/>
      <c r="PHF123" s="139"/>
      <c r="PHG123" s="139"/>
      <c r="PHH123" s="139"/>
      <c r="PHI123" s="139"/>
      <c r="PHJ123" s="139"/>
      <c r="PHK123" s="139"/>
      <c r="PHL123" s="139"/>
      <c r="PHM123" s="139"/>
      <c r="PHN123" s="139"/>
      <c r="PHO123" s="139"/>
      <c r="PHP123" s="139"/>
      <c r="PHQ123" s="139"/>
      <c r="PHR123" s="139"/>
      <c r="PHS123" s="139"/>
      <c r="PHT123" s="139"/>
      <c r="PHU123" s="139"/>
      <c r="PHV123" s="139"/>
      <c r="PHW123" s="139"/>
      <c r="PHX123" s="139"/>
      <c r="PHY123" s="139"/>
      <c r="PHZ123" s="139"/>
      <c r="PIA123" s="139"/>
      <c r="PIB123" s="139"/>
      <c r="PIC123" s="139"/>
      <c r="PID123" s="139"/>
      <c r="PIE123" s="139"/>
      <c r="PIF123" s="139"/>
      <c r="PIG123" s="139"/>
      <c r="PIH123" s="139"/>
      <c r="PII123" s="139"/>
      <c r="PIJ123" s="139"/>
      <c r="PIK123" s="139"/>
      <c r="PIL123" s="139"/>
      <c r="PIM123" s="139"/>
      <c r="PIN123" s="139"/>
      <c r="PIO123" s="139"/>
      <c r="PIP123" s="139"/>
      <c r="PIQ123" s="139"/>
      <c r="PIR123" s="139"/>
      <c r="PIS123" s="139"/>
      <c r="PIT123" s="139"/>
      <c r="PIU123" s="139"/>
      <c r="PIV123" s="139"/>
      <c r="PIW123" s="139"/>
      <c r="PIX123" s="139"/>
      <c r="PIY123" s="139"/>
      <c r="PIZ123" s="139"/>
      <c r="PJA123" s="139"/>
      <c r="PJB123" s="139"/>
      <c r="PJC123" s="139"/>
      <c r="PJD123" s="139"/>
      <c r="PJE123" s="139"/>
      <c r="PJF123" s="139"/>
      <c r="PJG123" s="139"/>
      <c r="PJH123" s="139"/>
      <c r="PJI123" s="139"/>
      <c r="PJJ123" s="139"/>
      <c r="PJK123" s="139"/>
      <c r="PJL123" s="139"/>
      <c r="PJM123" s="139"/>
      <c r="PJN123" s="139"/>
      <c r="PJO123" s="139"/>
      <c r="PJP123" s="139"/>
      <c r="PJQ123" s="139"/>
      <c r="PJR123" s="139"/>
      <c r="PJS123" s="139"/>
      <c r="PJT123" s="139"/>
      <c r="PJU123" s="139"/>
      <c r="PJV123" s="139"/>
      <c r="PJW123" s="139"/>
      <c r="PJX123" s="139"/>
      <c r="PJY123" s="139"/>
      <c r="PJZ123" s="139"/>
      <c r="PKA123" s="139"/>
      <c r="PKB123" s="139"/>
      <c r="PKC123" s="139"/>
      <c r="PKD123" s="139"/>
      <c r="PKE123" s="139"/>
      <c r="PKF123" s="139"/>
      <c r="PKG123" s="139"/>
      <c r="PKH123" s="139"/>
      <c r="PKI123" s="139"/>
      <c r="PKJ123" s="139"/>
      <c r="PKK123" s="139"/>
      <c r="PKL123" s="139"/>
      <c r="PKM123" s="139"/>
      <c r="PKN123" s="139"/>
      <c r="PKO123" s="139"/>
      <c r="PKP123" s="139"/>
      <c r="PKQ123" s="139"/>
      <c r="PKR123" s="139"/>
      <c r="PKS123" s="139"/>
      <c r="PKT123" s="139"/>
      <c r="PKU123" s="139"/>
      <c r="PKV123" s="139"/>
      <c r="PKW123" s="139"/>
      <c r="PKX123" s="139"/>
      <c r="PKY123" s="139"/>
      <c r="PKZ123" s="139"/>
      <c r="PLA123" s="139"/>
      <c r="PLB123" s="139"/>
      <c r="PLC123" s="139"/>
      <c r="PLD123" s="139"/>
      <c r="PLE123" s="139"/>
      <c r="PLF123" s="139"/>
      <c r="PLG123" s="139"/>
      <c r="PLH123" s="139"/>
      <c r="PLI123" s="139"/>
      <c r="PLJ123" s="139"/>
      <c r="PLK123" s="139"/>
      <c r="PLL123" s="139"/>
      <c r="PLM123" s="139"/>
      <c r="PLN123" s="139"/>
      <c r="PLO123" s="139"/>
      <c r="PLP123" s="139"/>
      <c r="PLQ123" s="139"/>
      <c r="PLR123" s="139"/>
      <c r="PLS123" s="139"/>
      <c r="PLT123" s="139"/>
      <c r="PLU123" s="139"/>
      <c r="PLV123" s="139"/>
      <c r="PLW123" s="139"/>
      <c r="PLX123" s="139"/>
      <c r="PLY123" s="139"/>
      <c r="PLZ123" s="139"/>
      <c r="PMA123" s="139"/>
      <c r="PMB123" s="139"/>
      <c r="PMC123" s="139"/>
      <c r="PMD123" s="139"/>
      <c r="PME123" s="139"/>
      <c r="PMF123" s="139"/>
      <c r="PMG123" s="139"/>
      <c r="PMH123" s="139"/>
      <c r="PMI123" s="139"/>
      <c r="PMJ123" s="139"/>
      <c r="PMK123" s="139"/>
      <c r="PML123" s="139"/>
      <c r="PMM123" s="139"/>
      <c r="PMN123" s="139"/>
      <c r="PMO123" s="139"/>
      <c r="PMP123" s="139"/>
      <c r="PMQ123" s="139"/>
      <c r="PMR123" s="139"/>
      <c r="PMS123" s="139"/>
      <c r="PMT123" s="139"/>
      <c r="PMU123" s="139"/>
      <c r="PMV123" s="139"/>
      <c r="PMW123" s="139"/>
      <c r="PMX123" s="139"/>
      <c r="PMY123" s="139"/>
      <c r="PMZ123" s="139"/>
      <c r="PNA123" s="139"/>
      <c r="PNB123" s="139"/>
      <c r="PNC123" s="139"/>
      <c r="PND123" s="139"/>
      <c r="PNE123" s="139"/>
      <c r="PNF123" s="139"/>
      <c r="PNG123" s="139"/>
      <c r="PNH123" s="139"/>
      <c r="PNI123" s="139"/>
      <c r="PNJ123" s="139"/>
      <c r="PNK123" s="139"/>
      <c r="PNL123" s="139"/>
      <c r="PNM123" s="139"/>
      <c r="PNN123" s="139"/>
      <c r="PNO123" s="139"/>
      <c r="PNP123" s="139"/>
      <c r="PNQ123" s="139"/>
      <c r="PNR123" s="139"/>
      <c r="PNS123" s="139"/>
      <c r="PNT123" s="139"/>
      <c r="PNU123" s="139"/>
      <c r="PNV123" s="139"/>
      <c r="PNW123" s="139"/>
      <c r="PNX123" s="139"/>
      <c r="PNY123" s="139"/>
      <c r="PNZ123" s="139"/>
      <c r="POA123" s="139"/>
      <c r="POB123" s="139"/>
      <c r="POC123" s="139"/>
      <c r="POD123" s="139"/>
      <c r="POE123" s="139"/>
      <c r="POF123" s="139"/>
      <c r="POG123" s="139"/>
      <c r="POH123" s="139"/>
      <c r="POI123" s="139"/>
      <c r="POJ123" s="139"/>
      <c r="POK123" s="139"/>
      <c r="POL123" s="139"/>
      <c r="POM123" s="139"/>
      <c r="PON123" s="139"/>
      <c r="POO123" s="139"/>
      <c r="POP123" s="139"/>
      <c r="POQ123" s="139"/>
      <c r="POR123" s="139"/>
      <c r="POS123" s="139"/>
      <c r="POT123" s="139"/>
      <c r="POU123" s="139"/>
      <c r="POV123" s="139"/>
      <c r="POW123" s="139"/>
      <c r="POX123" s="139"/>
      <c r="POY123" s="139"/>
      <c r="POZ123" s="139"/>
      <c r="PPA123" s="139"/>
      <c r="PPB123" s="139"/>
      <c r="PPC123" s="139"/>
      <c r="PPD123" s="139"/>
      <c r="PPE123" s="139"/>
      <c r="PPF123" s="139"/>
      <c r="PPG123" s="139"/>
      <c r="PPH123" s="139"/>
      <c r="PPI123" s="139"/>
      <c r="PPJ123" s="139"/>
      <c r="PPK123" s="139"/>
      <c r="PPL123" s="139"/>
      <c r="PPM123" s="139"/>
      <c r="PPN123" s="139"/>
      <c r="PPO123" s="139"/>
      <c r="PPP123" s="139"/>
      <c r="PPQ123" s="139"/>
      <c r="PPR123" s="139"/>
      <c r="PPS123" s="139"/>
      <c r="PPT123" s="139"/>
      <c r="PPU123" s="139"/>
      <c r="PPV123" s="139"/>
      <c r="PPW123" s="139"/>
      <c r="PPX123" s="139"/>
      <c r="PPY123" s="139"/>
      <c r="PPZ123" s="139"/>
      <c r="PQA123" s="139"/>
      <c r="PQB123" s="139"/>
      <c r="PQC123" s="139"/>
      <c r="PQD123" s="139"/>
      <c r="PQE123" s="139"/>
      <c r="PQF123" s="139"/>
      <c r="PQG123" s="139"/>
      <c r="PQH123" s="139"/>
      <c r="PQI123" s="139"/>
      <c r="PQJ123" s="139"/>
      <c r="PQK123" s="139"/>
      <c r="PQL123" s="139"/>
      <c r="PQM123" s="139"/>
      <c r="PQN123" s="139"/>
      <c r="PQO123" s="139"/>
      <c r="PQP123" s="139"/>
      <c r="PQQ123" s="139"/>
      <c r="PQR123" s="139"/>
      <c r="PQS123" s="139"/>
      <c r="PQT123" s="139"/>
      <c r="PQU123" s="139"/>
      <c r="PQV123" s="139"/>
      <c r="PQW123" s="139"/>
      <c r="PQX123" s="139"/>
      <c r="PQY123" s="139"/>
      <c r="PQZ123" s="139"/>
      <c r="PRA123" s="139"/>
      <c r="PRB123" s="139"/>
      <c r="PRC123" s="139"/>
      <c r="PRD123" s="139"/>
      <c r="PRE123" s="139"/>
      <c r="PRF123" s="139"/>
      <c r="PRG123" s="139"/>
      <c r="PRH123" s="139"/>
      <c r="PRI123" s="139"/>
      <c r="PRJ123" s="139"/>
      <c r="PRK123" s="139"/>
      <c r="PRL123" s="139"/>
      <c r="PRM123" s="139"/>
      <c r="PRN123" s="139"/>
      <c r="PRO123" s="139"/>
      <c r="PRP123" s="139"/>
      <c r="PRQ123" s="139"/>
      <c r="PRR123" s="139"/>
      <c r="PRS123" s="139"/>
      <c r="PRT123" s="139"/>
      <c r="PRU123" s="139"/>
      <c r="PRV123" s="139"/>
      <c r="PRW123" s="139"/>
      <c r="PRX123" s="139"/>
      <c r="PRY123" s="139"/>
      <c r="PRZ123" s="139"/>
      <c r="PSA123" s="139"/>
      <c r="PSB123" s="139"/>
      <c r="PSC123" s="139"/>
      <c r="PSD123" s="139"/>
      <c r="PSE123" s="139"/>
      <c r="PSF123" s="139"/>
      <c r="PSG123" s="139"/>
      <c r="PSH123" s="139"/>
      <c r="PSI123" s="139"/>
      <c r="PSJ123" s="139"/>
      <c r="PSK123" s="139"/>
      <c r="PSL123" s="139"/>
      <c r="PSM123" s="139"/>
      <c r="PSN123" s="139"/>
      <c r="PSO123" s="139"/>
      <c r="PSP123" s="139"/>
      <c r="PSQ123" s="139"/>
      <c r="PSR123" s="139"/>
      <c r="PSS123" s="139"/>
      <c r="PST123" s="139"/>
      <c r="PSU123" s="139"/>
      <c r="PSV123" s="139"/>
      <c r="PSW123" s="139"/>
      <c r="PSX123" s="139"/>
      <c r="PSY123" s="139"/>
      <c r="PSZ123" s="139"/>
      <c r="PTA123" s="139"/>
      <c r="PTB123" s="139"/>
      <c r="PTC123" s="139"/>
      <c r="PTD123" s="139"/>
      <c r="PTE123" s="139"/>
      <c r="PTF123" s="139"/>
      <c r="PTG123" s="139"/>
      <c r="PTH123" s="139"/>
      <c r="PTI123" s="139"/>
      <c r="PTJ123" s="139"/>
      <c r="PTK123" s="139"/>
      <c r="PTL123" s="139"/>
      <c r="PTM123" s="139"/>
      <c r="PTN123" s="139"/>
      <c r="PTO123" s="139"/>
      <c r="PTP123" s="139"/>
      <c r="PTQ123" s="139"/>
      <c r="PTR123" s="139"/>
      <c r="PTS123" s="139"/>
      <c r="PTT123" s="139"/>
      <c r="PTU123" s="139"/>
      <c r="PTV123" s="139"/>
      <c r="PTW123" s="139"/>
      <c r="PTX123" s="139"/>
      <c r="PTY123" s="139"/>
      <c r="PTZ123" s="139"/>
      <c r="PUA123" s="139"/>
      <c r="PUB123" s="139"/>
      <c r="PUC123" s="139"/>
      <c r="PUD123" s="139"/>
      <c r="PUE123" s="139"/>
      <c r="PUF123" s="139"/>
      <c r="PUG123" s="139"/>
      <c r="PUH123" s="139"/>
      <c r="PUI123" s="139"/>
      <c r="PUJ123" s="139"/>
      <c r="PUK123" s="139"/>
      <c r="PUL123" s="139"/>
      <c r="PUM123" s="139"/>
      <c r="PUN123" s="139"/>
      <c r="PUO123" s="139"/>
      <c r="PUP123" s="139"/>
      <c r="PUQ123" s="139"/>
      <c r="PUR123" s="139"/>
      <c r="PUS123" s="139"/>
      <c r="PUT123" s="139"/>
      <c r="PUU123" s="139"/>
      <c r="PUV123" s="139"/>
      <c r="PUW123" s="139"/>
      <c r="PUX123" s="139"/>
      <c r="PUY123" s="139"/>
      <c r="PUZ123" s="139"/>
      <c r="PVA123" s="139"/>
      <c r="PVB123" s="139"/>
      <c r="PVC123" s="139"/>
      <c r="PVD123" s="139"/>
      <c r="PVE123" s="139"/>
      <c r="PVF123" s="139"/>
      <c r="PVG123" s="139"/>
      <c r="PVH123" s="139"/>
      <c r="PVI123" s="139"/>
      <c r="PVJ123" s="139"/>
      <c r="PVK123" s="139"/>
      <c r="PVL123" s="139"/>
      <c r="PVM123" s="139"/>
      <c r="PVN123" s="139"/>
      <c r="PVO123" s="139"/>
      <c r="PVP123" s="139"/>
      <c r="PVQ123" s="139"/>
      <c r="PVR123" s="139"/>
      <c r="PVS123" s="139"/>
      <c r="PVT123" s="139"/>
      <c r="PVU123" s="139"/>
      <c r="PVV123" s="139"/>
      <c r="PVW123" s="139"/>
      <c r="PVX123" s="139"/>
      <c r="PVY123" s="139"/>
      <c r="PVZ123" s="139"/>
      <c r="PWA123" s="139"/>
      <c r="PWB123" s="139"/>
      <c r="PWC123" s="139"/>
      <c r="PWD123" s="139"/>
      <c r="PWE123" s="139"/>
      <c r="PWF123" s="139"/>
      <c r="PWG123" s="139"/>
      <c r="PWH123" s="139"/>
      <c r="PWI123" s="139"/>
      <c r="PWJ123" s="139"/>
      <c r="PWK123" s="139"/>
      <c r="PWL123" s="139"/>
      <c r="PWM123" s="139"/>
      <c r="PWN123" s="139"/>
      <c r="PWO123" s="139"/>
      <c r="PWP123" s="139"/>
      <c r="PWQ123" s="139"/>
      <c r="PWR123" s="139"/>
      <c r="PWS123" s="139"/>
      <c r="PWT123" s="139"/>
      <c r="PWU123" s="139"/>
      <c r="PWV123" s="139"/>
      <c r="PWW123" s="139"/>
      <c r="PWX123" s="139"/>
      <c r="PWY123" s="139"/>
      <c r="PWZ123" s="139"/>
      <c r="PXA123" s="139"/>
      <c r="PXB123" s="139"/>
      <c r="PXC123" s="139"/>
      <c r="PXD123" s="139"/>
      <c r="PXE123" s="139"/>
      <c r="PXF123" s="139"/>
      <c r="PXG123" s="139"/>
      <c r="PXH123" s="139"/>
      <c r="PXI123" s="139"/>
      <c r="PXJ123" s="139"/>
      <c r="PXK123" s="139"/>
      <c r="PXL123" s="139"/>
      <c r="PXM123" s="139"/>
      <c r="PXN123" s="139"/>
      <c r="PXO123" s="139"/>
      <c r="PXP123" s="139"/>
      <c r="PXQ123" s="139"/>
      <c r="PXR123" s="139"/>
      <c r="PXS123" s="139"/>
      <c r="PXT123" s="139"/>
      <c r="PXU123" s="139"/>
      <c r="PXV123" s="139"/>
      <c r="PXW123" s="139"/>
      <c r="PXX123" s="139"/>
      <c r="PXY123" s="139"/>
      <c r="PXZ123" s="139"/>
      <c r="PYA123" s="139"/>
      <c r="PYB123" s="139"/>
      <c r="PYC123" s="139"/>
      <c r="PYD123" s="139"/>
      <c r="PYE123" s="139"/>
      <c r="PYF123" s="139"/>
      <c r="PYG123" s="139"/>
      <c r="PYH123" s="139"/>
      <c r="PYI123" s="139"/>
      <c r="PYJ123" s="139"/>
      <c r="PYK123" s="139"/>
      <c r="PYL123" s="139"/>
      <c r="PYM123" s="139"/>
      <c r="PYN123" s="139"/>
      <c r="PYO123" s="139"/>
      <c r="PYP123" s="139"/>
      <c r="PYQ123" s="139"/>
      <c r="PYR123" s="139"/>
      <c r="PYS123" s="139"/>
      <c r="PYT123" s="139"/>
      <c r="PYU123" s="139"/>
      <c r="PYV123" s="139"/>
      <c r="PYW123" s="139"/>
      <c r="PYX123" s="139"/>
      <c r="PYY123" s="139"/>
      <c r="PYZ123" s="139"/>
      <c r="PZA123" s="139"/>
      <c r="PZB123" s="139"/>
      <c r="PZC123" s="139"/>
      <c r="PZD123" s="139"/>
      <c r="PZE123" s="139"/>
      <c r="PZF123" s="139"/>
      <c r="PZG123" s="139"/>
      <c r="PZH123" s="139"/>
      <c r="PZI123" s="139"/>
      <c r="PZJ123" s="139"/>
      <c r="PZK123" s="139"/>
      <c r="PZL123" s="139"/>
      <c r="PZM123" s="139"/>
      <c r="PZN123" s="139"/>
      <c r="PZO123" s="139"/>
      <c r="PZP123" s="139"/>
      <c r="PZQ123" s="139"/>
      <c r="PZR123" s="139"/>
      <c r="PZS123" s="139"/>
      <c r="PZT123" s="139"/>
      <c r="PZU123" s="139"/>
      <c r="PZV123" s="139"/>
      <c r="PZW123" s="139"/>
      <c r="PZX123" s="139"/>
      <c r="PZY123" s="139"/>
      <c r="PZZ123" s="139"/>
      <c r="QAA123" s="139"/>
      <c r="QAB123" s="139"/>
      <c r="QAC123" s="139"/>
      <c r="QAD123" s="139"/>
      <c r="QAE123" s="139"/>
      <c r="QAF123" s="139"/>
      <c r="QAG123" s="139"/>
      <c r="QAH123" s="139"/>
      <c r="QAI123" s="139"/>
      <c r="QAJ123" s="139"/>
      <c r="QAK123" s="139"/>
      <c r="QAL123" s="139"/>
      <c r="QAM123" s="139"/>
      <c r="QAN123" s="139"/>
      <c r="QAO123" s="139"/>
      <c r="QAP123" s="139"/>
      <c r="QAQ123" s="139"/>
      <c r="QAR123" s="139"/>
      <c r="QAS123" s="139"/>
      <c r="QAT123" s="139"/>
      <c r="QAU123" s="139"/>
      <c r="QAV123" s="139"/>
      <c r="QAW123" s="139"/>
      <c r="QAX123" s="139"/>
      <c r="QAY123" s="139"/>
      <c r="QAZ123" s="139"/>
      <c r="QBA123" s="139"/>
      <c r="QBB123" s="139"/>
      <c r="QBC123" s="139"/>
      <c r="QBD123" s="139"/>
      <c r="QBE123" s="139"/>
      <c r="QBF123" s="139"/>
      <c r="QBG123" s="139"/>
      <c r="QBH123" s="139"/>
      <c r="QBI123" s="139"/>
      <c r="QBJ123" s="139"/>
      <c r="QBK123" s="139"/>
      <c r="QBL123" s="139"/>
      <c r="QBM123" s="139"/>
      <c r="QBN123" s="139"/>
      <c r="QBO123" s="139"/>
      <c r="QBP123" s="139"/>
      <c r="QBQ123" s="139"/>
      <c r="QBR123" s="139"/>
      <c r="QBS123" s="139"/>
      <c r="QBT123" s="139"/>
      <c r="QBU123" s="139"/>
      <c r="QBV123" s="139"/>
      <c r="QBW123" s="139"/>
      <c r="QBX123" s="139"/>
      <c r="QBY123" s="139"/>
      <c r="QBZ123" s="139"/>
      <c r="QCA123" s="139"/>
      <c r="QCB123" s="139"/>
      <c r="QCC123" s="139"/>
      <c r="QCD123" s="139"/>
      <c r="QCE123" s="139"/>
      <c r="QCF123" s="139"/>
      <c r="QCG123" s="139"/>
      <c r="QCH123" s="139"/>
      <c r="QCI123" s="139"/>
      <c r="QCJ123" s="139"/>
      <c r="QCK123" s="139"/>
      <c r="QCL123" s="139"/>
      <c r="QCM123" s="139"/>
      <c r="QCN123" s="139"/>
      <c r="QCO123" s="139"/>
      <c r="QCP123" s="139"/>
      <c r="QCQ123" s="139"/>
      <c r="QCR123" s="139"/>
      <c r="QCS123" s="139"/>
      <c r="QCT123" s="139"/>
      <c r="QCU123" s="139"/>
      <c r="QCV123" s="139"/>
      <c r="QCW123" s="139"/>
      <c r="QCX123" s="139"/>
      <c r="QCY123" s="139"/>
      <c r="QCZ123" s="139"/>
      <c r="QDA123" s="139"/>
      <c r="QDB123" s="139"/>
      <c r="QDC123" s="139"/>
      <c r="QDD123" s="139"/>
      <c r="QDE123" s="139"/>
      <c r="QDF123" s="139"/>
      <c r="QDG123" s="139"/>
      <c r="QDH123" s="139"/>
      <c r="QDI123" s="139"/>
      <c r="QDJ123" s="139"/>
      <c r="QDK123" s="139"/>
      <c r="QDL123" s="139"/>
      <c r="QDM123" s="139"/>
      <c r="QDN123" s="139"/>
      <c r="QDO123" s="139"/>
      <c r="QDP123" s="139"/>
      <c r="QDQ123" s="139"/>
      <c r="QDR123" s="139"/>
      <c r="QDS123" s="139"/>
      <c r="QDT123" s="139"/>
      <c r="QDU123" s="139"/>
      <c r="QDV123" s="139"/>
      <c r="QDW123" s="139"/>
      <c r="QDX123" s="139"/>
      <c r="QDY123" s="139"/>
      <c r="QDZ123" s="139"/>
      <c r="QEA123" s="139"/>
      <c r="QEB123" s="139"/>
      <c r="QEC123" s="139"/>
      <c r="QED123" s="139"/>
      <c r="QEE123" s="139"/>
      <c r="QEF123" s="139"/>
      <c r="QEG123" s="139"/>
      <c r="QEH123" s="139"/>
      <c r="QEI123" s="139"/>
      <c r="QEJ123" s="139"/>
      <c r="QEK123" s="139"/>
      <c r="QEL123" s="139"/>
      <c r="QEM123" s="139"/>
      <c r="QEN123" s="139"/>
      <c r="QEO123" s="139"/>
      <c r="QEP123" s="139"/>
      <c r="QEQ123" s="139"/>
      <c r="QER123" s="139"/>
      <c r="QES123" s="139"/>
      <c r="QET123" s="139"/>
      <c r="QEU123" s="139"/>
      <c r="QEV123" s="139"/>
      <c r="QEW123" s="139"/>
      <c r="QEX123" s="139"/>
      <c r="QEY123" s="139"/>
      <c r="QEZ123" s="139"/>
      <c r="QFA123" s="139"/>
      <c r="QFB123" s="139"/>
      <c r="QFC123" s="139"/>
      <c r="QFD123" s="139"/>
      <c r="QFE123" s="139"/>
      <c r="QFF123" s="139"/>
      <c r="QFG123" s="139"/>
      <c r="QFH123" s="139"/>
      <c r="QFI123" s="139"/>
      <c r="QFJ123" s="139"/>
      <c r="QFK123" s="139"/>
      <c r="QFL123" s="139"/>
      <c r="QFM123" s="139"/>
      <c r="QFN123" s="139"/>
      <c r="QFO123" s="139"/>
      <c r="QFP123" s="139"/>
      <c r="QFQ123" s="139"/>
      <c r="QFR123" s="139"/>
      <c r="QFS123" s="139"/>
      <c r="QFT123" s="139"/>
      <c r="QFU123" s="139"/>
      <c r="QFV123" s="139"/>
      <c r="QFW123" s="139"/>
      <c r="QFX123" s="139"/>
      <c r="QFY123" s="139"/>
      <c r="QFZ123" s="139"/>
      <c r="QGA123" s="139"/>
      <c r="QGB123" s="139"/>
      <c r="QGC123" s="139"/>
      <c r="QGD123" s="139"/>
      <c r="QGE123" s="139"/>
      <c r="QGF123" s="139"/>
      <c r="QGG123" s="139"/>
      <c r="QGH123" s="139"/>
      <c r="QGI123" s="139"/>
      <c r="QGJ123" s="139"/>
      <c r="QGK123" s="139"/>
      <c r="QGL123" s="139"/>
      <c r="QGM123" s="139"/>
      <c r="QGN123" s="139"/>
      <c r="QGO123" s="139"/>
      <c r="QGP123" s="139"/>
      <c r="QGQ123" s="139"/>
      <c r="QGR123" s="139"/>
      <c r="QGS123" s="139"/>
      <c r="QGT123" s="139"/>
      <c r="QGU123" s="139"/>
      <c r="QGV123" s="139"/>
      <c r="QGW123" s="139"/>
      <c r="QGX123" s="139"/>
      <c r="QGY123" s="139"/>
      <c r="QGZ123" s="139"/>
      <c r="QHA123" s="139"/>
      <c r="QHB123" s="139"/>
      <c r="QHC123" s="139"/>
      <c r="QHD123" s="139"/>
      <c r="QHE123" s="139"/>
      <c r="QHF123" s="139"/>
      <c r="QHG123" s="139"/>
      <c r="QHH123" s="139"/>
      <c r="QHI123" s="139"/>
      <c r="QHJ123" s="139"/>
      <c r="QHK123" s="139"/>
      <c r="QHL123" s="139"/>
      <c r="QHM123" s="139"/>
      <c r="QHN123" s="139"/>
      <c r="QHO123" s="139"/>
      <c r="QHP123" s="139"/>
      <c r="QHQ123" s="139"/>
      <c r="QHR123" s="139"/>
      <c r="QHS123" s="139"/>
      <c r="QHT123" s="139"/>
      <c r="QHU123" s="139"/>
      <c r="QHV123" s="139"/>
      <c r="QHW123" s="139"/>
      <c r="QHX123" s="139"/>
      <c r="QHY123" s="139"/>
      <c r="QHZ123" s="139"/>
      <c r="QIA123" s="139"/>
      <c r="QIB123" s="139"/>
      <c r="QIC123" s="139"/>
      <c r="QID123" s="139"/>
      <c r="QIE123" s="139"/>
      <c r="QIF123" s="139"/>
      <c r="QIG123" s="139"/>
      <c r="QIH123" s="139"/>
      <c r="QII123" s="139"/>
      <c r="QIJ123" s="139"/>
      <c r="QIK123" s="139"/>
      <c r="QIL123" s="139"/>
      <c r="QIM123" s="139"/>
      <c r="QIN123" s="139"/>
      <c r="QIO123" s="139"/>
      <c r="QIP123" s="139"/>
      <c r="QIQ123" s="139"/>
      <c r="QIR123" s="139"/>
      <c r="QIS123" s="139"/>
      <c r="QIT123" s="139"/>
      <c r="QIU123" s="139"/>
      <c r="QIV123" s="139"/>
      <c r="QIW123" s="139"/>
      <c r="QIX123" s="139"/>
      <c r="QIY123" s="139"/>
      <c r="QIZ123" s="139"/>
      <c r="QJA123" s="139"/>
      <c r="QJB123" s="139"/>
      <c r="QJC123" s="139"/>
      <c r="QJD123" s="139"/>
      <c r="QJE123" s="139"/>
      <c r="QJF123" s="139"/>
      <c r="QJG123" s="139"/>
      <c r="QJH123" s="139"/>
      <c r="QJI123" s="139"/>
      <c r="QJJ123" s="139"/>
      <c r="QJK123" s="139"/>
      <c r="QJL123" s="139"/>
      <c r="QJM123" s="139"/>
      <c r="QJN123" s="139"/>
      <c r="QJO123" s="139"/>
      <c r="QJP123" s="139"/>
      <c r="QJQ123" s="139"/>
      <c r="QJR123" s="139"/>
      <c r="QJS123" s="139"/>
      <c r="QJT123" s="139"/>
      <c r="QJU123" s="139"/>
      <c r="QJV123" s="139"/>
      <c r="QJW123" s="139"/>
      <c r="QJX123" s="139"/>
      <c r="QJY123" s="139"/>
      <c r="QJZ123" s="139"/>
      <c r="QKA123" s="139"/>
      <c r="QKB123" s="139"/>
      <c r="QKC123" s="139"/>
      <c r="QKD123" s="139"/>
      <c r="QKE123" s="139"/>
      <c r="QKF123" s="139"/>
      <c r="QKG123" s="139"/>
      <c r="QKH123" s="139"/>
      <c r="QKI123" s="139"/>
      <c r="QKJ123" s="139"/>
      <c r="QKK123" s="139"/>
      <c r="QKL123" s="139"/>
      <c r="QKM123" s="139"/>
      <c r="QKN123" s="139"/>
      <c r="QKO123" s="139"/>
      <c r="QKP123" s="139"/>
      <c r="QKQ123" s="139"/>
      <c r="QKR123" s="139"/>
      <c r="QKS123" s="139"/>
      <c r="QKT123" s="139"/>
      <c r="QKU123" s="139"/>
      <c r="QKV123" s="139"/>
      <c r="QKW123" s="139"/>
      <c r="QKX123" s="139"/>
      <c r="QKY123" s="139"/>
      <c r="QKZ123" s="139"/>
      <c r="QLA123" s="139"/>
      <c r="QLB123" s="139"/>
      <c r="QLC123" s="139"/>
      <c r="QLD123" s="139"/>
      <c r="QLE123" s="139"/>
      <c r="QLF123" s="139"/>
      <c r="QLG123" s="139"/>
      <c r="QLH123" s="139"/>
      <c r="QLI123" s="139"/>
      <c r="QLJ123" s="139"/>
      <c r="QLK123" s="139"/>
      <c r="QLL123" s="139"/>
      <c r="QLM123" s="139"/>
      <c r="QLN123" s="139"/>
      <c r="QLO123" s="139"/>
      <c r="QLP123" s="139"/>
      <c r="QLQ123" s="139"/>
      <c r="QLR123" s="139"/>
      <c r="QLS123" s="139"/>
      <c r="QLT123" s="139"/>
      <c r="QLU123" s="139"/>
      <c r="QLV123" s="139"/>
      <c r="QLW123" s="139"/>
      <c r="QLX123" s="139"/>
      <c r="QLY123" s="139"/>
      <c r="QLZ123" s="139"/>
      <c r="QMA123" s="139"/>
      <c r="QMB123" s="139"/>
      <c r="QMC123" s="139"/>
      <c r="QMD123" s="139"/>
      <c r="QME123" s="139"/>
      <c r="QMF123" s="139"/>
      <c r="QMG123" s="139"/>
      <c r="QMH123" s="139"/>
      <c r="QMI123" s="139"/>
      <c r="QMJ123" s="139"/>
      <c r="QMK123" s="139"/>
      <c r="QML123" s="139"/>
      <c r="QMM123" s="139"/>
      <c r="QMN123" s="139"/>
      <c r="QMO123" s="139"/>
      <c r="QMP123" s="139"/>
      <c r="QMQ123" s="139"/>
      <c r="QMR123" s="139"/>
      <c r="QMS123" s="139"/>
      <c r="QMT123" s="139"/>
      <c r="QMU123" s="139"/>
      <c r="QMV123" s="139"/>
      <c r="QMW123" s="139"/>
      <c r="QMX123" s="139"/>
      <c r="QMY123" s="139"/>
      <c r="QMZ123" s="139"/>
      <c r="QNA123" s="139"/>
      <c r="QNB123" s="139"/>
      <c r="QNC123" s="139"/>
      <c r="QND123" s="139"/>
      <c r="QNE123" s="139"/>
      <c r="QNF123" s="139"/>
      <c r="QNG123" s="139"/>
      <c r="QNH123" s="139"/>
      <c r="QNI123" s="139"/>
      <c r="QNJ123" s="139"/>
      <c r="QNK123" s="139"/>
      <c r="QNL123" s="139"/>
      <c r="QNM123" s="139"/>
      <c r="QNN123" s="139"/>
      <c r="QNO123" s="139"/>
      <c r="QNP123" s="139"/>
      <c r="QNQ123" s="139"/>
      <c r="QNR123" s="139"/>
      <c r="QNS123" s="139"/>
      <c r="QNT123" s="139"/>
      <c r="QNU123" s="139"/>
      <c r="QNV123" s="139"/>
      <c r="QNW123" s="139"/>
      <c r="QNX123" s="139"/>
      <c r="QNY123" s="139"/>
      <c r="QNZ123" s="139"/>
      <c r="QOA123" s="139"/>
      <c r="QOB123" s="139"/>
      <c r="QOC123" s="139"/>
      <c r="QOD123" s="139"/>
      <c r="QOE123" s="139"/>
      <c r="QOF123" s="139"/>
      <c r="QOG123" s="139"/>
      <c r="QOH123" s="139"/>
      <c r="QOI123" s="139"/>
      <c r="QOJ123" s="139"/>
      <c r="QOK123" s="139"/>
      <c r="QOL123" s="139"/>
      <c r="QOM123" s="139"/>
      <c r="QON123" s="139"/>
      <c r="QOO123" s="139"/>
      <c r="QOP123" s="139"/>
      <c r="QOQ123" s="139"/>
      <c r="QOR123" s="139"/>
      <c r="QOS123" s="139"/>
      <c r="QOT123" s="139"/>
      <c r="QOU123" s="139"/>
      <c r="QOV123" s="139"/>
      <c r="QOW123" s="139"/>
      <c r="QOX123" s="139"/>
      <c r="QOY123" s="139"/>
      <c r="QOZ123" s="139"/>
      <c r="QPA123" s="139"/>
      <c r="QPB123" s="139"/>
      <c r="QPC123" s="139"/>
      <c r="QPD123" s="139"/>
      <c r="QPE123" s="139"/>
      <c r="QPF123" s="139"/>
      <c r="QPG123" s="139"/>
      <c r="QPH123" s="139"/>
      <c r="QPI123" s="139"/>
      <c r="QPJ123" s="139"/>
      <c r="QPK123" s="139"/>
      <c r="QPL123" s="139"/>
      <c r="QPM123" s="139"/>
      <c r="QPN123" s="139"/>
      <c r="QPO123" s="139"/>
      <c r="QPP123" s="139"/>
      <c r="QPQ123" s="139"/>
      <c r="QPR123" s="139"/>
      <c r="QPS123" s="139"/>
      <c r="QPT123" s="139"/>
      <c r="QPU123" s="139"/>
      <c r="QPV123" s="139"/>
      <c r="QPW123" s="139"/>
      <c r="QPX123" s="139"/>
      <c r="QPY123" s="139"/>
      <c r="QPZ123" s="139"/>
      <c r="QQA123" s="139"/>
      <c r="QQB123" s="139"/>
      <c r="QQC123" s="139"/>
      <c r="QQD123" s="139"/>
      <c r="QQE123" s="139"/>
      <c r="QQF123" s="139"/>
      <c r="QQG123" s="139"/>
      <c r="QQH123" s="139"/>
      <c r="QQI123" s="139"/>
      <c r="QQJ123" s="139"/>
      <c r="QQK123" s="139"/>
      <c r="QQL123" s="139"/>
      <c r="QQM123" s="139"/>
      <c r="QQN123" s="139"/>
      <c r="QQO123" s="139"/>
      <c r="QQP123" s="139"/>
      <c r="QQQ123" s="139"/>
      <c r="QQR123" s="139"/>
      <c r="QQS123" s="139"/>
      <c r="QQT123" s="139"/>
      <c r="QQU123" s="139"/>
      <c r="QQV123" s="139"/>
      <c r="QQW123" s="139"/>
      <c r="QQX123" s="139"/>
      <c r="QQY123" s="139"/>
      <c r="QQZ123" s="139"/>
      <c r="QRA123" s="139"/>
      <c r="QRB123" s="139"/>
      <c r="QRC123" s="139"/>
      <c r="QRD123" s="139"/>
      <c r="QRE123" s="139"/>
      <c r="QRF123" s="139"/>
      <c r="QRG123" s="139"/>
      <c r="QRH123" s="139"/>
      <c r="QRI123" s="139"/>
      <c r="QRJ123" s="139"/>
      <c r="QRK123" s="139"/>
      <c r="QRL123" s="139"/>
      <c r="QRM123" s="139"/>
      <c r="QRN123" s="139"/>
      <c r="QRO123" s="139"/>
      <c r="QRP123" s="139"/>
      <c r="QRQ123" s="139"/>
      <c r="QRR123" s="139"/>
      <c r="QRS123" s="139"/>
      <c r="QRT123" s="139"/>
      <c r="QRU123" s="139"/>
      <c r="QRV123" s="139"/>
      <c r="QRW123" s="139"/>
      <c r="QRX123" s="139"/>
      <c r="QRY123" s="139"/>
      <c r="QRZ123" s="139"/>
      <c r="QSA123" s="139"/>
      <c r="QSB123" s="139"/>
      <c r="QSC123" s="139"/>
      <c r="QSD123" s="139"/>
      <c r="QSE123" s="139"/>
      <c r="QSF123" s="139"/>
      <c r="QSG123" s="139"/>
      <c r="QSH123" s="139"/>
      <c r="QSI123" s="139"/>
      <c r="QSJ123" s="139"/>
      <c r="QSK123" s="139"/>
      <c r="QSL123" s="139"/>
      <c r="QSM123" s="139"/>
      <c r="QSN123" s="139"/>
      <c r="QSO123" s="139"/>
      <c r="QSP123" s="139"/>
      <c r="QSQ123" s="139"/>
      <c r="QSR123" s="139"/>
      <c r="QSS123" s="139"/>
      <c r="QST123" s="139"/>
      <c r="QSU123" s="139"/>
      <c r="QSV123" s="139"/>
      <c r="QSW123" s="139"/>
      <c r="QSX123" s="139"/>
      <c r="QSY123" s="139"/>
      <c r="QSZ123" s="139"/>
      <c r="QTA123" s="139"/>
      <c r="QTB123" s="139"/>
      <c r="QTC123" s="139"/>
      <c r="QTD123" s="139"/>
      <c r="QTE123" s="139"/>
      <c r="QTF123" s="139"/>
      <c r="QTG123" s="139"/>
      <c r="QTH123" s="139"/>
      <c r="QTI123" s="139"/>
      <c r="QTJ123" s="139"/>
      <c r="QTK123" s="139"/>
      <c r="QTL123" s="139"/>
      <c r="QTM123" s="139"/>
      <c r="QTN123" s="139"/>
      <c r="QTO123" s="139"/>
      <c r="QTP123" s="139"/>
      <c r="QTQ123" s="139"/>
      <c r="QTR123" s="139"/>
      <c r="QTS123" s="139"/>
      <c r="QTT123" s="139"/>
      <c r="QTU123" s="139"/>
      <c r="QTV123" s="139"/>
      <c r="QTW123" s="139"/>
      <c r="QTX123" s="139"/>
      <c r="QTY123" s="139"/>
      <c r="QTZ123" s="139"/>
      <c r="QUA123" s="139"/>
      <c r="QUB123" s="139"/>
      <c r="QUC123" s="139"/>
      <c r="QUD123" s="139"/>
      <c r="QUE123" s="139"/>
      <c r="QUF123" s="139"/>
      <c r="QUG123" s="139"/>
      <c r="QUH123" s="139"/>
      <c r="QUI123" s="139"/>
      <c r="QUJ123" s="139"/>
      <c r="QUK123" s="139"/>
      <c r="QUL123" s="139"/>
      <c r="QUM123" s="139"/>
      <c r="QUN123" s="139"/>
      <c r="QUO123" s="139"/>
      <c r="QUP123" s="139"/>
      <c r="QUQ123" s="139"/>
      <c r="QUR123" s="139"/>
      <c r="QUS123" s="139"/>
      <c r="QUT123" s="139"/>
      <c r="QUU123" s="139"/>
      <c r="QUV123" s="139"/>
      <c r="QUW123" s="139"/>
      <c r="QUX123" s="139"/>
      <c r="QUY123" s="139"/>
      <c r="QUZ123" s="139"/>
      <c r="QVA123" s="139"/>
      <c r="QVB123" s="139"/>
      <c r="QVC123" s="139"/>
      <c r="QVD123" s="139"/>
      <c r="QVE123" s="139"/>
      <c r="QVF123" s="139"/>
      <c r="QVG123" s="139"/>
      <c r="QVH123" s="139"/>
      <c r="QVI123" s="139"/>
      <c r="QVJ123" s="139"/>
      <c r="QVK123" s="139"/>
      <c r="QVL123" s="139"/>
      <c r="QVM123" s="139"/>
      <c r="QVN123" s="139"/>
      <c r="QVO123" s="139"/>
      <c r="QVP123" s="139"/>
      <c r="QVQ123" s="139"/>
      <c r="QVR123" s="139"/>
      <c r="QVS123" s="139"/>
      <c r="QVT123" s="139"/>
      <c r="QVU123" s="139"/>
      <c r="QVV123" s="139"/>
      <c r="QVW123" s="139"/>
      <c r="QVX123" s="139"/>
      <c r="QVY123" s="139"/>
      <c r="QVZ123" s="139"/>
      <c r="QWA123" s="139"/>
      <c r="QWB123" s="139"/>
      <c r="QWC123" s="139"/>
      <c r="QWD123" s="139"/>
      <c r="QWE123" s="139"/>
      <c r="QWF123" s="139"/>
      <c r="QWG123" s="139"/>
      <c r="QWH123" s="139"/>
      <c r="QWI123" s="139"/>
      <c r="QWJ123" s="139"/>
      <c r="QWK123" s="139"/>
      <c r="QWL123" s="139"/>
      <c r="QWM123" s="139"/>
      <c r="QWN123" s="139"/>
      <c r="QWO123" s="139"/>
      <c r="QWP123" s="139"/>
      <c r="QWQ123" s="139"/>
      <c r="QWR123" s="139"/>
      <c r="QWS123" s="139"/>
      <c r="QWT123" s="139"/>
      <c r="QWU123" s="139"/>
      <c r="QWV123" s="139"/>
      <c r="QWW123" s="139"/>
      <c r="QWX123" s="139"/>
      <c r="QWY123" s="139"/>
      <c r="QWZ123" s="139"/>
      <c r="QXA123" s="139"/>
      <c r="QXB123" s="139"/>
      <c r="QXC123" s="139"/>
      <c r="QXD123" s="139"/>
      <c r="QXE123" s="139"/>
      <c r="QXF123" s="139"/>
      <c r="QXG123" s="139"/>
      <c r="QXH123" s="139"/>
      <c r="QXI123" s="139"/>
      <c r="QXJ123" s="139"/>
      <c r="QXK123" s="139"/>
      <c r="QXL123" s="139"/>
      <c r="QXM123" s="139"/>
      <c r="QXN123" s="139"/>
      <c r="QXO123" s="139"/>
      <c r="QXP123" s="139"/>
      <c r="QXQ123" s="139"/>
      <c r="QXR123" s="139"/>
      <c r="QXS123" s="139"/>
      <c r="QXT123" s="139"/>
      <c r="QXU123" s="139"/>
      <c r="QXV123" s="139"/>
      <c r="QXW123" s="139"/>
      <c r="QXX123" s="139"/>
      <c r="QXY123" s="139"/>
      <c r="QXZ123" s="139"/>
      <c r="QYA123" s="139"/>
      <c r="QYB123" s="139"/>
      <c r="QYC123" s="139"/>
      <c r="QYD123" s="139"/>
      <c r="QYE123" s="139"/>
      <c r="QYF123" s="139"/>
      <c r="QYG123" s="139"/>
      <c r="QYH123" s="139"/>
      <c r="QYI123" s="139"/>
      <c r="QYJ123" s="139"/>
      <c r="QYK123" s="139"/>
      <c r="QYL123" s="139"/>
      <c r="QYM123" s="139"/>
      <c r="QYN123" s="139"/>
      <c r="QYO123" s="139"/>
      <c r="QYP123" s="139"/>
      <c r="QYQ123" s="139"/>
      <c r="QYR123" s="139"/>
      <c r="QYS123" s="139"/>
      <c r="QYT123" s="139"/>
      <c r="QYU123" s="139"/>
      <c r="QYV123" s="139"/>
      <c r="QYW123" s="139"/>
      <c r="QYX123" s="139"/>
      <c r="QYY123" s="139"/>
      <c r="QYZ123" s="139"/>
      <c r="QZA123" s="139"/>
      <c r="QZB123" s="139"/>
      <c r="QZC123" s="139"/>
      <c r="QZD123" s="139"/>
      <c r="QZE123" s="139"/>
      <c r="QZF123" s="139"/>
      <c r="QZG123" s="139"/>
      <c r="QZH123" s="139"/>
      <c r="QZI123" s="139"/>
      <c r="QZJ123" s="139"/>
      <c r="QZK123" s="139"/>
      <c r="QZL123" s="139"/>
      <c r="QZM123" s="139"/>
      <c r="QZN123" s="139"/>
      <c r="QZO123" s="139"/>
      <c r="QZP123" s="139"/>
      <c r="QZQ123" s="139"/>
      <c r="QZR123" s="139"/>
      <c r="QZS123" s="139"/>
      <c r="QZT123" s="139"/>
      <c r="QZU123" s="139"/>
      <c r="QZV123" s="139"/>
      <c r="QZW123" s="139"/>
      <c r="QZX123" s="139"/>
      <c r="QZY123" s="139"/>
      <c r="QZZ123" s="139"/>
      <c r="RAA123" s="139"/>
      <c r="RAB123" s="139"/>
      <c r="RAC123" s="139"/>
      <c r="RAD123" s="139"/>
      <c r="RAE123" s="139"/>
      <c r="RAF123" s="139"/>
      <c r="RAG123" s="139"/>
      <c r="RAH123" s="139"/>
      <c r="RAI123" s="139"/>
      <c r="RAJ123" s="139"/>
      <c r="RAK123" s="139"/>
      <c r="RAL123" s="139"/>
      <c r="RAM123" s="139"/>
      <c r="RAN123" s="139"/>
      <c r="RAO123" s="139"/>
      <c r="RAP123" s="139"/>
      <c r="RAQ123" s="139"/>
      <c r="RAR123" s="139"/>
      <c r="RAS123" s="139"/>
      <c r="RAT123" s="139"/>
      <c r="RAU123" s="139"/>
      <c r="RAV123" s="139"/>
      <c r="RAW123" s="139"/>
      <c r="RAX123" s="139"/>
      <c r="RAY123" s="139"/>
      <c r="RAZ123" s="139"/>
      <c r="RBA123" s="139"/>
      <c r="RBB123" s="139"/>
      <c r="RBC123" s="139"/>
      <c r="RBD123" s="139"/>
      <c r="RBE123" s="139"/>
      <c r="RBF123" s="139"/>
      <c r="RBG123" s="139"/>
      <c r="RBH123" s="139"/>
      <c r="RBI123" s="139"/>
      <c r="RBJ123" s="139"/>
      <c r="RBK123" s="139"/>
      <c r="RBL123" s="139"/>
      <c r="RBM123" s="139"/>
      <c r="RBN123" s="139"/>
      <c r="RBO123" s="139"/>
      <c r="RBP123" s="139"/>
      <c r="RBQ123" s="139"/>
      <c r="RBR123" s="139"/>
      <c r="RBS123" s="139"/>
      <c r="RBT123" s="139"/>
      <c r="RBU123" s="139"/>
      <c r="RBV123" s="139"/>
      <c r="RBW123" s="139"/>
      <c r="RBX123" s="139"/>
      <c r="RBY123" s="139"/>
      <c r="RBZ123" s="139"/>
      <c r="RCA123" s="139"/>
      <c r="RCB123" s="139"/>
      <c r="RCC123" s="139"/>
      <c r="RCD123" s="139"/>
      <c r="RCE123" s="139"/>
      <c r="RCF123" s="139"/>
      <c r="RCG123" s="139"/>
      <c r="RCH123" s="139"/>
      <c r="RCI123" s="139"/>
      <c r="RCJ123" s="139"/>
      <c r="RCK123" s="139"/>
      <c r="RCL123" s="139"/>
      <c r="RCM123" s="139"/>
      <c r="RCN123" s="139"/>
      <c r="RCO123" s="139"/>
      <c r="RCP123" s="139"/>
      <c r="RCQ123" s="139"/>
      <c r="RCR123" s="139"/>
      <c r="RCS123" s="139"/>
      <c r="RCT123" s="139"/>
      <c r="RCU123" s="139"/>
      <c r="RCV123" s="139"/>
      <c r="RCW123" s="139"/>
      <c r="RCX123" s="139"/>
      <c r="RCY123" s="139"/>
      <c r="RCZ123" s="139"/>
      <c r="RDA123" s="139"/>
      <c r="RDB123" s="139"/>
      <c r="RDC123" s="139"/>
      <c r="RDD123" s="139"/>
      <c r="RDE123" s="139"/>
      <c r="RDF123" s="139"/>
      <c r="RDG123" s="139"/>
      <c r="RDH123" s="139"/>
      <c r="RDI123" s="139"/>
      <c r="RDJ123" s="139"/>
      <c r="RDK123" s="139"/>
      <c r="RDL123" s="139"/>
      <c r="RDM123" s="139"/>
      <c r="RDN123" s="139"/>
      <c r="RDO123" s="139"/>
      <c r="RDP123" s="139"/>
      <c r="RDQ123" s="139"/>
      <c r="RDR123" s="139"/>
      <c r="RDS123" s="139"/>
      <c r="RDT123" s="139"/>
      <c r="RDU123" s="139"/>
      <c r="RDV123" s="139"/>
      <c r="RDW123" s="139"/>
      <c r="RDX123" s="139"/>
      <c r="RDY123" s="139"/>
      <c r="RDZ123" s="139"/>
      <c r="REA123" s="139"/>
      <c r="REB123" s="139"/>
      <c r="REC123" s="139"/>
      <c r="RED123" s="139"/>
      <c r="REE123" s="139"/>
      <c r="REF123" s="139"/>
      <c r="REG123" s="139"/>
      <c r="REH123" s="139"/>
      <c r="REI123" s="139"/>
      <c r="REJ123" s="139"/>
      <c r="REK123" s="139"/>
      <c r="REL123" s="139"/>
      <c r="REM123" s="139"/>
      <c r="REN123" s="139"/>
      <c r="REO123" s="139"/>
      <c r="REP123" s="139"/>
      <c r="REQ123" s="139"/>
      <c r="RER123" s="139"/>
      <c r="RES123" s="139"/>
      <c r="RET123" s="139"/>
      <c r="REU123" s="139"/>
      <c r="REV123" s="139"/>
      <c r="REW123" s="139"/>
      <c r="REX123" s="139"/>
      <c r="REY123" s="139"/>
      <c r="REZ123" s="139"/>
      <c r="RFA123" s="139"/>
      <c r="RFB123" s="139"/>
      <c r="RFC123" s="139"/>
      <c r="RFD123" s="139"/>
      <c r="RFE123" s="139"/>
      <c r="RFF123" s="139"/>
      <c r="RFG123" s="139"/>
      <c r="RFH123" s="139"/>
      <c r="RFI123" s="139"/>
      <c r="RFJ123" s="139"/>
      <c r="RFK123" s="139"/>
      <c r="RFL123" s="139"/>
      <c r="RFM123" s="139"/>
      <c r="RFN123" s="139"/>
      <c r="RFO123" s="139"/>
      <c r="RFP123" s="139"/>
      <c r="RFQ123" s="139"/>
      <c r="RFR123" s="139"/>
      <c r="RFS123" s="139"/>
      <c r="RFT123" s="139"/>
      <c r="RFU123" s="139"/>
      <c r="RFV123" s="139"/>
      <c r="RFW123" s="139"/>
      <c r="RFX123" s="139"/>
      <c r="RFY123" s="139"/>
      <c r="RFZ123" s="139"/>
      <c r="RGA123" s="139"/>
      <c r="RGB123" s="139"/>
      <c r="RGC123" s="139"/>
      <c r="RGD123" s="139"/>
      <c r="RGE123" s="139"/>
      <c r="RGF123" s="139"/>
      <c r="RGG123" s="139"/>
      <c r="RGH123" s="139"/>
      <c r="RGI123" s="139"/>
      <c r="RGJ123" s="139"/>
      <c r="RGK123" s="139"/>
      <c r="RGL123" s="139"/>
      <c r="RGM123" s="139"/>
      <c r="RGN123" s="139"/>
      <c r="RGO123" s="139"/>
      <c r="RGP123" s="139"/>
      <c r="RGQ123" s="139"/>
      <c r="RGR123" s="139"/>
      <c r="RGS123" s="139"/>
      <c r="RGT123" s="139"/>
      <c r="RGU123" s="139"/>
      <c r="RGV123" s="139"/>
      <c r="RGW123" s="139"/>
      <c r="RGX123" s="139"/>
      <c r="RGY123" s="139"/>
      <c r="RGZ123" s="139"/>
      <c r="RHA123" s="139"/>
      <c r="RHB123" s="139"/>
      <c r="RHC123" s="139"/>
      <c r="RHD123" s="139"/>
      <c r="RHE123" s="139"/>
      <c r="RHF123" s="139"/>
      <c r="RHG123" s="139"/>
      <c r="RHH123" s="139"/>
      <c r="RHI123" s="139"/>
      <c r="RHJ123" s="139"/>
      <c r="RHK123" s="139"/>
      <c r="RHL123" s="139"/>
      <c r="RHM123" s="139"/>
      <c r="RHN123" s="139"/>
      <c r="RHO123" s="139"/>
      <c r="RHP123" s="139"/>
      <c r="RHQ123" s="139"/>
      <c r="RHR123" s="139"/>
      <c r="RHS123" s="139"/>
      <c r="RHT123" s="139"/>
      <c r="RHU123" s="139"/>
      <c r="RHV123" s="139"/>
      <c r="RHW123" s="139"/>
      <c r="RHX123" s="139"/>
      <c r="RHY123" s="139"/>
      <c r="RHZ123" s="139"/>
      <c r="RIA123" s="139"/>
      <c r="RIB123" s="139"/>
      <c r="RIC123" s="139"/>
      <c r="RID123" s="139"/>
      <c r="RIE123" s="139"/>
      <c r="RIF123" s="139"/>
      <c r="RIG123" s="139"/>
      <c r="RIH123" s="139"/>
      <c r="RII123" s="139"/>
      <c r="RIJ123" s="139"/>
      <c r="RIK123" s="139"/>
      <c r="RIL123" s="139"/>
      <c r="RIM123" s="139"/>
      <c r="RIN123" s="139"/>
      <c r="RIO123" s="139"/>
      <c r="RIP123" s="139"/>
      <c r="RIQ123" s="139"/>
      <c r="RIR123" s="139"/>
      <c r="RIS123" s="139"/>
      <c r="RIT123" s="139"/>
      <c r="RIU123" s="139"/>
      <c r="RIV123" s="139"/>
      <c r="RIW123" s="139"/>
      <c r="RIX123" s="139"/>
      <c r="RIY123" s="139"/>
      <c r="RIZ123" s="139"/>
      <c r="RJA123" s="139"/>
      <c r="RJB123" s="139"/>
      <c r="RJC123" s="139"/>
      <c r="RJD123" s="139"/>
      <c r="RJE123" s="139"/>
      <c r="RJF123" s="139"/>
      <c r="RJG123" s="139"/>
      <c r="RJH123" s="139"/>
      <c r="RJI123" s="139"/>
      <c r="RJJ123" s="139"/>
      <c r="RJK123" s="139"/>
      <c r="RJL123" s="139"/>
      <c r="RJM123" s="139"/>
      <c r="RJN123" s="139"/>
      <c r="RJO123" s="139"/>
      <c r="RJP123" s="139"/>
      <c r="RJQ123" s="139"/>
      <c r="RJR123" s="139"/>
      <c r="RJS123" s="139"/>
      <c r="RJT123" s="139"/>
      <c r="RJU123" s="139"/>
      <c r="RJV123" s="139"/>
      <c r="RJW123" s="139"/>
      <c r="RJX123" s="139"/>
      <c r="RJY123" s="139"/>
      <c r="RJZ123" s="139"/>
      <c r="RKA123" s="139"/>
      <c r="RKB123" s="139"/>
      <c r="RKC123" s="139"/>
      <c r="RKD123" s="139"/>
      <c r="RKE123" s="139"/>
      <c r="RKF123" s="139"/>
      <c r="RKG123" s="139"/>
      <c r="RKH123" s="139"/>
      <c r="RKI123" s="139"/>
      <c r="RKJ123" s="139"/>
      <c r="RKK123" s="139"/>
      <c r="RKL123" s="139"/>
      <c r="RKM123" s="139"/>
      <c r="RKN123" s="139"/>
      <c r="RKO123" s="139"/>
      <c r="RKP123" s="139"/>
      <c r="RKQ123" s="139"/>
      <c r="RKR123" s="139"/>
      <c r="RKS123" s="139"/>
      <c r="RKT123" s="139"/>
      <c r="RKU123" s="139"/>
      <c r="RKV123" s="139"/>
      <c r="RKW123" s="139"/>
      <c r="RKX123" s="139"/>
      <c r="RKY123" s="139"/>
      <c r="RKZ123" s="139"/>
      <c r="RLA123" s="139"/>
      <c r="RLB123" s="139"/>
      <c r="RLC123" s="139"/>
      <c r="RLD123" s="139"/>
      <c r="RLE123" s="139"/>
      <c r="RLF123" s="139"/>
      <c r="RLG123" s="139"/>
      <c r="RLH123" s="139"/>
      <c r="RLI123" s="139"/>
      <c r="RLJ123" s="139"/>
      <c r="RLK123" s="139"/>
      <c r="RLL123" s="139"/>
      <c r="RLM123" s="139"/>
      <c r="RLN123" s="139"/>
      <c r="RLO123" s="139"/>
      <c r="RLP123" s="139"/>
      <c r="RLQ123" s="139"/>
      <c r="RLR123" s="139"/>
      <c r="RLS123" s="139"/>
      <c r="RLT123" s="139"/>
      <c r="RLU123" s="139"/>
      <c r="RLV123" s="139"/>
      <c r="RLW123" s="139"/>
      <c r="RLX123" s="139"/>
      <c r="RLY123" s="139"/>
      <c r="RLZ123" s="139"/>
      <c r="RMA123" s="139"/>
      <c r="RMB123" s="139"/>
      <c r="RMC123" s="139"/>
      <c r="RMD123" s="139"/>
      <c r="RME123" s="139"/>
      <c r="RMF123" s="139"/>
      <c r="RMG123" s="139"/>
      <c r="RMH123" s="139"/>
      <c r="RMI123" s="139"/>
      <c r="RMJ123" s="139"/>
      <c r="RMK123" s="139"/>
      <c r="RML123" s="139"/>
      <c r="RMM123" s="139"/>
      <c r="RMN123" s="139"/>
      <c r="RMO123" s="139"/>
      <c r="RMP123" s="139"/>
      <c r="RMQ123" s="139"/>
      <c r="RMR123" s="139"/>
      <c r="RMS123" s="139"/>
      <c r="RMT123" s="139"/>
      <c r="RMU123" s="139"/>
      <c r="RMV123" s="139"/>
      <c r="RMW123" s="139"/>
      <c r="RMX123" s="139"/>
      <c r="RMY123" s="139"/>
      <c r="RMZ123" s="139"/>
      <c r="RNA123" s="139"/>
      <c r="RNB123" s="139"/>
      <c r="RNC123" s="139"/>
      <c r="RND123" s="139"/>
      <c r="RNE123" s="139"/>
      <c r="RNF123" s="139"/>
      <c r="RNG123" s="139"/>
      <c r="RNH123" s="139"/>
      <c r="RNI123" s="139"/>
      <c r="RNJ123" s="139"/>
      <c r="RNK123" s="139"/>
      <c r="RNL123" s="139"/>
      <c r="RNM123" s="139"/>
      <c r="RNN123" s="139"/>
      <c r="RNO123" s="139"/>
      <c r="RNP123" s="139"/>
      <c r="RNQ123" s="139"/>
      <c r="RNR123" s="139"/>
      <c r="RNS123" s="139"/>
      <c r="RNT123" s="139"/>
      <c r="RNU123" s="139"/>
      <c r="RNV123" s="139"/>
      <c r="RNW123" s="139"/>
      <c r="RNX123" s="139"/>
      <c r="RNY123" s="139"/>
      <c r="RNZ123" s="139"/>
      <c r="ROA123" s="139"/>
      <c r="ROB123" s="139"/>
      <c r="ROC123" s="139"/>
      <c r="ROD123" s="139"/>
      <c r="ROE123" s="139"/>
      <c r="ROF123" s="139"/>
      <c r="ROG123" s="139"/>
      <c r="ROH123" s="139"/>
      <c r="ROI123" s="139"/>
      <c r="ROJ123" s="139"/>
      <c r="ROK123" s="139"/>
      <c r="ROL123" s="139"/>
      <c r="ROM123" s="139"/>
      <c r="RON123" s="139"/>
      <c r="ROO123" s="139"/>
      <c r="ROP123" s="139"/>
      <c r="ROQ123" s="139"/>
      <c r="ROR123" s="139"/>
      <c r="ROS123" s="139"/>
      <c r="ROT123" s="139"/>
      <c r="ROU123" s="139"/>
      <c r="ROV123" s="139"/>
      <c r="ROW123" s="139"/>
      <c r="ROX123" s="139"/>
      <c r="ROY123" s="139"/>
      <c r="ROZ123" s="139"/>
      <c r="RPA123" s="139"/>
      <c r="RPB123" s="139"/>
      <c r="RPC123" s="139"/>
      <c r="RPD123" s="139"/>
      <c r="RPE123" s="139"/>
      <c r="RPF123" s="139"/>
      <c r="RPG123" s="139"/>
      <c r="RPH123" s="139"/>
      <c r="RPI123" s="139"/>
      <c r="RPJ123" s="139"/>
      <c r="RPK123" s="139"/>
      <c r="RPL123" s="139"/>
      <c r="RPM123" s="139"/>
      <c r="RPN123" s="139"/>
      <c r="RPO123" s="139"/>
      <c r="RPP123" s="139"/>
      <c r="RPQ123" s="139"/>
      <c r="RPR123" s="139"/>
      <c r="RPS123" s="139"/>
      <c r="RPT123" s="139"/>
      <c r="RPU123" s="139"/>
      <c r="RPV123" s="139"/>
      <c r="RPW123" s="139"/>
      <c r="RPX123" s="139"/>
      <c r="RPY123" s="139"/>
      <c r="RPZ123" s="139"/>
      <c r="RQA123" s="139"/>
      <c r="RQB123" s="139"/>
      <c r="RQC123" s="139"/>
      <c r="RQD123" s="139"/>
      <c r="RQE123" s="139"/>
      <c r="RQF123" s="139"/>
      <c r="RQG123" s="139"/>
      <c r="RQH123" s="139"/>
      <c r="RQI123" s="139"/>
      <c r="RQJ123" s="139"/>
      <c r="RQK123" s="139"/>
      <c r="RQL123" s="139"/>
      <c r="RQM123" s="139"/>
      <c r="RQN123" s="139"/>
      <c r="RQO123" s="139"/>
      <c r="RQP123" s="139"/>
      <c r="RQQ123" s="139"/>
      <c r="RQR123" s="139"/>
      <c r="RQS123" s="139"/>
      <c r="RQT123" s="139"/>
      <c r="RQU123" s="139"/>
      <c r="RQV123" s="139"/>
      <c r="RQW123" s="139"/>
      <c r="RQX123" s="139"/>
      <c r="RQY123" s="139"/>
      <c r="RQZ123" s="139"/>
      <c r="RRA123" s="139"/>
      <c r="RRB123" s="139"/>
      <c r="RRC123" s="139"/>
      <c r="RRD123" s="139"/>
      <c r="RRE123" s="139"/>
      <c r="RRF123" s="139"/>
      <c r="RRG123" s="139"/>
      <c r="RRH123" s="139"/>
      <c r="RRI123" s="139"/>
      <c r="RRJ123" s="139"/>
      <c r="RRK123" s="139"/>
      <c r="RRL123" s="139"/>
      <c r="RRM123" s="139"/>
      <c r="RRN123" s="139"/>
      <c r="RRO123" s="139"/>
      <c r="RRP123" s="139"/>
      <c r="RRQ123" s="139"/>
      <c r="RRR123" s="139"/>
      <c r="RRS123" s="139"/>
      <c r="RRT123" s="139"/>
      <c r="RRU123" s="139"/>
      <c r="RRV123" s="139"/>
      <c r="RRW123" s="139"/>
      <c r="RRX123" s="139"/>
      <c r="RRY123" s="139"/>
      <c r="RRZ123" s="139"/>
      <c r="RSA123" s="139"/>
      <c r="RSB123" s="139"/>
      <c r="RSC123" s="139"/>
      <c r="RSD123" s="139"/>
      <c r="RSE123" s="139"/>
      <c r="RSF123" s="139"/>
      <c r="RSG123" s="139"/>
      <c r="RSH123" s="139"/>
      <c r="RSI123" s="139"/>
      <c r="RSJ123" s="139"/>
      <c r="RSK123" s="139"/>
      <c r="RSL123" s="139"/>
      <c r="RSM123" s="139"/>
      <c r="RSN123" s="139"/>
      <c r="RSO123" s="139"/>
      <c r="RSP123" s="139"/>
      <c r="RSQ123" s="139"/>
      <c r="RSR123" s="139"/>
      <c r="RSS123" s="139"/>
      <c r="RST123" s="139"/>
      <c r="RSU123" s="139"/>
      <c r="RSV123" s="139"/>
      <c r="RSW123" s="139"/>
      <c r="RSX123" s="139"/>
      <c r="RSY123" s="139"/>
      <c r="RSZ123" s="139"/>
      <c r="RTA123" s="139"/>
      <c r="RTB123" s="139"/>
      <c r="RTC123" s="139"/>
      <c r="RTD123" s="139"/>
      <c r="RTE123" s="139"/>
      <c r="RTF123" s="139"/>
      <c r="RTG123" s="139"/>
      <c r="RTH123" s="139"/>
      <c r="RTI123" s="139"/>
      <c r="RTJ123" s="139"/>
      <c r="RTK123" s="139"/>
      <c r="RTL123" s="139"/>
      <c r="RTM123" s="139"/>
      <c r="RTN123" s="139"/>
      <c r="RTO123" s="139"/>
      <c r="RTP123" s="139"/>
      <c r="RTQ123" s="139"/>
      <c r="RTR123" s="139"/>
      <c r="RTS123" s="139"/>
      <c r="RTT123" s="139"/>
      <c r="RTU123" s="139"/>
      <c r="RTV123" s="139"/>
      <c r="RTW123" s="139"/>
      <c r="RTX123" s="139"/>
      <c r="RTY123" s="139"/>
      <c r="RTZ123" s="139"/>
      <c r="RUA123" s="139"/>
      <c r="RUB123" s="139"/>
      <c r="RUC123" s="139"/>
      <c r="RUD123" s="139"/>
      <c r="RUE123" s="139"/>
      <c r="RUF123" s="139"/>
      <c r="RUG123" s="139"/>
      <c r="RUH123" s="139"/>
      <c r="RUI123" s="139"/>
      <c r="RUJ123" s="139"/>
      <c r="RUK123" s="139"/>
      <c r="RUL123" s="139"/>
      <c r="RUM123" s="139"/>
      <c r="RUN123" s="139"/>
      <c r="RUO123" s="139"/>
      <c r="RUP123" s="139"/>
      <c r="RUQ123" s="139"/>
      <c r="RUR123" s="139"/>
      <c r="RUS123" s="139"/>
      <c r="RUT123" s="139"/>
      <c r="RUU123" s="139"/>
      <c r="RUV123" s="139"/>
      <c r="RUW123" s="139"/>
      <c r="RUX123" s="139"/>
      <c r="RUY123" s="139"/>
      <c r="RUZ123" s="139"/>
      <c r="RVA123" s="139"/>
      <c r="RVB123" s="139"/>
      <c r="RVC123" s="139"/>
      <c r="RVD123" s="139"/>
      <c r="RVE123" s="139"/>
      <c r="RVF123" s="139"/>
      <c r="RVG123" s="139"/>
      <c r="RVH123" s="139"/>
      <c r="RVI123" s="139"/>
      <c r="RVJ123" s="139"/>
      <c r="RVK123" s="139"/>
      <c r="RVL123" s="139"/>
      <c r="RVM123" s="139"/>
      <c r="RVN123" s="139"/>
      <c r="RVO123" s="139"/>
      <c r="RVP123" s="139"/>
      <c r="RVQ123" s="139"/>
      <c r="RVR123" s="139"/>
      <c r="RVS123" s="139"/>
      <c r="RVT123" s="139"/>
      <c r="RVU123" s="139"/>
      <c r="RVV123" s="139"/>
      <c r="RVW123" s="139"/>
      <c r="RVX123" s="139"/>
      <c r="RVY123" s="139"/>
      <c r="RVZ123" s="139"/>
      <c r="RWA123" s="139"/>
      <c r="RWB123" s="139"/>
      <c r="RWC123" s="139"/>
      <c r="RWD123" s="139"/>
      <c r="RWE123" s="139"/>
      <c r="RWF123" s="139"/>
      <c r="RWG123" s="139"/>
      <c r="RWH123" s="139"/>
      <c r="RWI123" s="139"/>
      <c r="RWJ123" s="139"/>
      <c r="RWK123" s="139"/>
      <c r="RWL123" s="139"/>
      <c r="RWM123" s="139"/>
      <c r="RWN123" s="139"/>
      <c r="RWO123" s="139"/>
      <c r="RWP123" s="139"/>
      <c r="RWQ123" s="139"/>
      <c r="RWR123" s="139"/>
      <c r="RWS123" s="139"/>
      <c r="RWT123" s="139"/>
      <c r="RWU123" s="139"/>
      <c r="RWV123" s="139"/>
      <c r="RWW123" s="139"/>
      <c r="RWX123" s="139"/>
      <c r="RWY123" s="139"/>
      <c r="RWZ123" s="139"/>
      <c r="RXA123" s="139"/>
      <c r="RXB123" s="139"/>
      <c r="RXC123" s="139"/>
      <c r="RXD123" s="139"/>
      <c r="RXE123" s="139"/>
      <c r="RXF123" s="139"/>
      <c r="RXG123" s="139"/>
      <c r="RXH123" s="139"/>
      <c r="RXI123" s="139"/>
      <c r="RXJ123" s="139"/>
      <c r="RXK123" s="139"/>
      <c r="RXL123" s="139"/>
      <c r="RXM123" s="139"/>
      <c r="RXN123" s="139"/>
      <c r="RXO123" s="139"/>
      <c r="RXP123" s="139"/>
      <c r="RXQ123" s="139"/>
      <c r="RXR123" s="139"/>
      <c r="RXS123" s="139"/>
      <c r="RXT123" s="139"/>
      <c r="RXU123" s="139"/>
      <c r="RXV123" s="139"/>
      <c r="RXW123" s="139"/>
      <c r="RXX123" s="139"/>
      <c r="RXY123" s="139"/>
      <c r="RXZ123" s="139"/>
      <c r="RYA123" s="139"/>
      <c r="RYB123" s="139"/>
      <c r="RYC123" s="139"/>
      <c r="RYD123" s="139"/>
      <c r="RYE123" s="139"/>
      <c r="RYF123" s="139"/>
      <c r="RYG123" s="139"/>
      <c r="RYH123" s="139"/>
      <c r="RYI123" s="139"/>
      <c r="RYJ123" s="139"/>
      <c r="RYK123" s="139"/>
      <c r="RYL123" s="139"/>
      <c r="RYM123" s="139"/>
      <c r="RYN123" s="139"/>
      <c r="RYO123" s="139"/>
      <c r="RYP123" s="139"/>
      <c r="RYQ123" s="139"/>
      <c r="RYR123" s="139"/>
      <c r="RYS123" s="139"/>
      <c r="RYT123" s="139"/>
      <c r="RYU123" s="139"/>
      <c r="RYV123" s="139"/>
      <c r="RYW123" s="139"/>
      <c r="RYX123" s="139"/>
      <c r="RYY123" s="139"/>
      <c r="RYZ123" s="139"/>
      <c r="RZA123" s="139"/>
      <c r="RZB123" s="139"/>
      <c r="RZC123" s="139"/>
      <c r="RZD123" s="139"/>
      <c r="RZE123" s="139"/>
      <c r="RZF123" s="139"/>
      <c r="RZG123" s="139"/>
      <c r="RZH123" s="139"/>
      <c r="RZI123" s="139"/>
      <c r="RZJ123" s="139"/>
      <c r="RZK123" s="139"/>
      <c r="RZL123" s="139"/>
      <c r="RZM123" s="139"/>
      <c r="RZN123" s="139"/>
      <c r="RZO123" s="139"/>
      <c r="RZP123" s="139"/>
      <c r="RZQ123" s="139"/>
      <c r="RZR123" s="139"/>
      <c r="RZS123" s="139"/>
      <c r="RZT123" s="139"/>
      <c r="RZU123" s="139"/>
      <c r="RZV123" s="139"/>
      <c r="RZW123" s="139"/>
      <c r="RZX123" s="139"/>
      <c r="RZY123" s="139"/>
      <c r="RZZ123" s="139"/>
      <c r="SAA123" s="139"/>
      <c r="SAB123" s="139"/>
      <c r="SAC123" s="139"/>
      <c r="SAD123" s="139"/>
      <c r="SAE123" s="139"/>
      <c r="SAF123" s="139"/>
      <c r="SAG123" s="139"/>
      <c r="SAH123" s="139"/>
      <c r="SAI123" s="139"/>
      <c r="SAJ123" s="139"/>
      <c r="SAK123" s="139"/>
      <c r="SAL123" s="139"/>
      <c r="SAM123" s="139"/>
      <c r="SAN123" s="139"/>
      <c r="SAO123" s="139"/>
      <c r="SAP123" s="139"/>
      <c r="SAQ123" s="139"/>
      <c r="SAR123" s="139"/>
      <c r="SAS123" s="139"/>
      <c r="SAT123" s="139"/>
      <c r="SAU123" s="139"/>
      <c r="SAV123" s="139"/>
      <c r="SAW123" s="139"/>
      <c r="SAX123" s="139"/>
      <c r="SAY123" s="139"/>
      <c r="SAZ123" s="139"/>
      <c r="SBA123" s="139"/>
      <c r="SBB123" s="139"/>
      <c r="SBC123" s="139"/>
      <c r="SBD123" s="139"/>
      <c r="SBE123" s="139"/>
      <c r="SBF123" s="139"/>
      <c r="SBG123" s="139"/>
      <c r="SBH123" s="139"/>
      <c r="SBI123" s="139"/>
      <c r="SBJ123" s="139"/>
      <c r="SBK123" s="139"/>
      <c r="SBL123" s="139"/>
      <c r="SBM123" s="139"/>
      <c r="SBN123" s="139"/>
      <c r="SBO123" s="139"/>
      <c r="SBP123" s="139"/>
      <c r="SBQ123" s="139"/>
      <c r="SBR123" s="139"/>
      <c r="SBS123" s="139"/>
      <c r="SBT123" s="139"/>
      <c r="SBU123" s="139"/>
      <c r="SBV123" s="139"/>
      <c r="SBW123" s="139"/>
      <c r="SBX123" s="139"/>
      <c r="SBY123" s="139"/>
      <c r="SBZ123" s="139"/>
      <c r="SCA123" s="139"/>
      <c r="SCB123" s="139"/>
      <c r="SCC123" s="139"/>
      <c r="SCD123" s="139"/>
      <c r="SCE123" s="139"/>
      <c r="SCF123" s="139"/>
      <c r="SCG123" s="139"/>
      <c r="SCH123" s="139"/>
      <c r="SCI123" s="139"/>
      <c r="SCJ123" s="139"/>
      <c r="SCK123" s="139"/>
      <c r="SCL123" s="139"/>
      <c r="SCM123" s="139"/>
      <c r="SCN123" s="139"/>
      <c r="SCO123" s="139"/>
      <c r="SCP123" s="139"/>
      <c r="SCQ123" s="139"/>
      <c r="SCR123" s="139"/>
      <c r="SCS123" s="139"/>
      <c r="SCT123" s="139"/>
      <c r="SCU123" s="139"/>
      <c r="SCV123" s="139"/>
      <c r="SCW123" s="139"/>
      <c r="SCX123" s="139"/>
      <c r="SCY123" s="139"/>
      <c r="SCZ123" s="139"/>
      <c r="SDA123" s="139"/>
      <c r="SDB123" s="139"/>
      <c r="SDC123" s="139"/>
      <c r="SDD123" s="139"/>
      <c r="SDE123" s="139"/>
      <c r="SDF123" s="139"/>
      <c r="SDG123" s="139"/>
      <c r="SDH123" s="139"/>
      <c r="SDI123" s="139"/>
      <c r="SDJ123" s="139"/>
      <c r="SDK123" s="139"/>
      <c r="SDL123" s="139"/>
      <c r="SDM123" s="139"/>
      <c r="SDN123" s="139"/>
      <c r="SDO123" s="139"/>
      <c r="SDP123" s="139"/>
      <c r="SDQ123" s="139"/>
      <c r="SDR123" s="139"/>
      <c r="SDS123" s="139"/>
      <c r="SDT123" s="139"/>
      <c r="SDU123" s="139"/>
      <c r="SDV123" s="139"/>
      <c r="SDW123" s="139"/>
      <c r="SDX123" s="139"/>
      <c r="SDY123" s="139"/>
      <c r="SDZ123" s="139"/>
      <c r="SEA123" s="139"/>
      <c r="SEB123" s="139"/>
      <c r="SEC123" s="139"/>
      <c r="SED123" s="139"/>
      <c r="SEE123" s="139"/>
      <c r="SEF123" s="139"/>
      <c r="SEG123" s="139"/>
      <c r="SEH123" s="139"/>
      <c r="SEI123" s="139"/>
      <c r="SEJ123" s="139"/>
      <c r="SEK123" s="139"/>
      <c r="SEL123" s="139"/>
      <c r="SEM123" s="139"/>
      <c r="SEN123" s="139"/>
      <c r="SEO123" s="139"/>
      <c r="SEP123" s="139"/>
      <c r="SEQ123" s="139"/>
      <c r="SER123" s="139"/>
      <c r="SES123" s="139"/>
      <c r="SET123" s="139"/>
      <c r="SEU123" s="139"/>
      <c r="SEV123" s="139"/>
      <c r="SEW123" s="139"/>
      <c r="SEX123" s="139"/>
      <c r="SEY123" s="139"/>
      <c r="SEZ123" s="139"/>
      <c r="SFA123" s="139"/>
      <c r="SFB123" s="139"/>
      <c r="SFC123" s="139"/>
      <c r="SFD123" s="139"/>
      <c r="SFE123" s="139"/>
      <c r="SFF123" s="139"/>
      <c r="SFG123" s="139"/>
      <c r="SFH123" s="139"/>
      <c r="SFI123" s="139"/>
      <c r="SFJ123" s="139"/>
      <c r="SFK123" s="139"/>
      <c r="SFL123" s="139"/>
      <c r="SFM123" s="139"/>
      <c r="SFN123" s="139"/>
      <c r="SFO123" s="139"/>
      <c r="SFP123" s="139"/>
      <c r="SFQ123" s="139"/>
      <c r="SFR123" s="139"/>
      <c r="SFS123" s="139"/>
      <c r="SFT123" s="139"/>
      <c r="SFU123" s="139"/>
      <c r="SFV123" s="139"/>
      <c r="SFW123" s="139"/>
      <c r="SFX123" s="139"/>
      <c r="SFY123" s="139"/>
      <c r="SFZ123" s="139"/>
      <c r="SGA123" s="139"/>
      <c r="SGB123" s="139"/>
      <c r="SGC123" s="139"/>
      <c r="SGD123" s="139"/>
      <c r="SGE123" s="139"/>
      <c r="SGF123" s="139"/>
      <c r="SGG123" s="139"/>
      <c r="SGH123" s="139"/>
      <c r="SGI123" s="139"/>
      <c r="SGJ123" s="139"/>
      <c r="SGK123" s="139"/>
      <c r="SGL123" s="139"/>
      <c r="SGM123" s="139"/>
      <c r="SGN123" s="139"/>
      <c r="SGO123" s="139"/>
      <c r="SGP123" s="139"/>
      <c r="SGQ123" s="139"/>
      <c r="SGR123" s="139"/>
      <c r="SGS123" s="139"/>
      <c r="SGT123" s="139"/>
      <c r="SGU123" s="139"/>
      <c r="SGV123" s="139"/>
      <c r="SGW123" s="139"/>
      <c r="SGX123" s="139"/>
      <c r="SGY123" s="139"/>
      <c r="SGZ123" s="139"/>
      <c r="SHA123" s="139"/>
      <c r="SHB123" s="139"/>
      <c r="SHC123" s="139"/>
      <c r="SHD123" s="139"/>
      <c r="SHE123" s="139"/>
      <c r="SHF123" s="139"/>
      <c r="SHG123" s="139"/>
      <c r="SHH123" s="139"/>
      <c r="SHI123" s="139"/>
      <c r="SHJ123" s="139"/>
      <c r="SHK123" s="139"/>
      <c r="SHL123" s="139"/>
      <c r="SHM123" s="139"/>
      <c r="SHN123" s="139"/>
      <c r="SHO123" s="139"/>
      <c r="SHP123" s="139"/>
      <c r="SHQ123" s="139"/>
      <c r="SHR123" s="139"/>
      <c r="SHS123" s="139"/>
      <c r="SHT123" s="139"/>
      <c r="SHU123" s="139"/>
      <c r="SHV123" s="139"/>
      <c r="SHW123" s="139"/>
      <c r="SHX123" s="139"/>
      <c r="SHY123" s="139"/>
      <c r="SHZ123" s="139"/>
      <c r="SIA123" s="139"/>
      <c r="SIB123" s="139"/>
      <c r="SIC123" s="139"/>
      <c r="SID123" s="139"/>
      <c r="SIE123" s="139"/>
      <c r="SIF123" s="139"/>
      <c r="SIG123" s="139"/>
      <c r="SIH123" s="139"/>
      <c r="SII123" s="139"/>
      <c r="SIJ123" s="139"/>
      <c r="SIK123" s="139"/>
      <c r="SIL123" s="139"/>
      <c r="SIM123" s="139"/>
      <c r="SIN123" s="139"/>
      <c r="SIO123" s="139"/>
      <c r="SIP123" s="139"/>
      <c r="SIQ123" s="139"/>
      <c r="SIR123" s="139"/>
      <c r="SIS123" s="139"/>
      <c r="SIT123" s="139"/>
      <c r="SIU123" s="139"/>
      <c r="SIV123" s="139"/>
      <c r="SIW123" s="139"/>
      <c r="SIX123" s="139"/>
      <c r="SIY123" s="139"/>
      <c r="SIZ123" s="139"/>
      <c r="SJA123" s="139"/>
      <c r="SJB123" s="139"/>
      <c r="SJC123" s="139"/>
      <c r="SJD123" s="139"/>
      <c r="SJE123" s="139"/>
      <c r="SJF123" s="139"/>
      <c r="SJG123" s="139"/>
      <c r="SJH123" s="139"/>
      <c r="SJI123" s="139"/>
      <c r="SJJ123" s="139"/>
      <c r="SJK123" s="139"/>
      <c r="SJL123" s="139"/>
      <c r="SJM123" s="139"/>
      <c r="SJN123" s="139"/>
      <c r="SJO123" s="139"/>
      <c r="SJP123" s="139"/>
      <c r="SJQ123" s="139"/>
      <c r="SJR123" s="139"/>
      <c r="SJS123" s="139"/>
      <c r="SJT123" s="139"/>
      <c r="SJU123" s="139"/>
      <c r="SJV123" s="139"/>
      <c r="SJW123" s="139"/>
      <c r="SJX123" s="139"/>
      <c r="SJY123" s="139"/>
      <c r="SJZ123" s="139"/>
      <c r="SKA123" s="139"/>
      <c r="SKB123" s="139"/>
      <c r="SKC123" s="139"/>
      <c r="SKD123" s="139"/>
      <c r="SKE123" s="139"/>
      <c r="SKF123" s="139"/>
      <c r="SKG123" s="139"/>
      <c r="SKH123" s="139"/>
      <c r="SKI123" s="139"/>
      <c r="SKJ123" s="139"/>
      <c r="SKK123" s="139"/>
      <c r="SKL123" s="139"/>
      <c r="SKM123" s="139"/>
      <c r="SKN123" s="139"/>
      <c r="SKO123" s="139"/>
      <c r="SKP123" s="139"/>
      <c r="SKQ123" s="139"/>
      <c r="SKR123" s="139"/>
      <c r="SKS123" s="139"/>
      <c r="SKT123" s="139"/>
      <c r="SKU123" s="139"/>
      <c r="SKV123" s="139"/>
      <c r="SKW123" s="139"/>
      <c r="SKX123" s="139"/>
      <c r="SKY123" s="139"/>
      <c r="SKZ123" s="139"/>
      <c r="SLA123" s="139"/>
      <c r="SLB123" s="139"/>
      <c r="SLC123" s="139"/>
      <c r="SLD123" s="139"/>
      <c r="SLE123" s="139"/>
      <c r="SLF123" s="139"/>
      <c r="SLG123" s="139"/>
      <c r="SLH123" s="139"/>
      <c r="SLI123" s="139"/>
      <c r="SLJ123" s="139"/>
      <c r="SLK123" s="139"/>
      <c r="SLL123" s="139"/>
      <c r="SLM123" s="139"/>
      <c r="SLN123" s="139"/>
      <c r="SLO123" s="139"/>
      <c r="SLP123" s="139"/>
      <c r="SLQ123" s="139"/>
      <c r="SLR123" s="139"/>
      <c r="SLS123" s="139"/>
      <c r="SLT123" s="139"/>
      <c r="SLU123" s="139"/>
      <c r="SLV123" s="139"/>
      <c r="SLW123" s="139"/>
      <c r="SLX123" s="139"/>
      <c r="SLY123" s="139"/>
      <c r="SLZ123" s="139"/>
      <c r="SMA123" s="139"/>
      <c r="SMB123" s="139"/>
      <c r="SMC123" s="139"/>
      <c r="SMD123" s="139"/>
      <c r="SME123" s="139"/>
      <c r="SMF123" s="139"/>
      <c r="SMG123" s="139"/>
      <c r="SMH123" s="139"/>
      <c r="SMI123" s="139"/>
      <c r="SMJ123" s="139"/>
      <c r="SMK123" s="139"/>
      <c r="SML123" s="139"/>
      <c r="SMM123" s="139"/>
      <c r="SMN123" s="139"/>
      <c r="SMO123" s="139"/>
      <c r="SMP123" s="139"/>
      <c r="SMQ123" s="139"/>
      <c r="SMR123" s="139"/>
      <c r="SMS123" s="139"/>
      <c r="SMT123" s="139"/>
      <c r="SMU123" s="139"/>
      <c r="SMV123" s="139"/>
      <c r="SMW123" s="139"/>
      <c r="SMX123" s="139"/>
      <c r="SMY123" s="139"/>
      <c r="SMZ123" s="139"/>
      <c r="SNA123" s="139"/>
      <c r="SNB123" s="139"/>
      <c r="SNC123" s="139"/>
      <c r="SND123" s="139"/>
      <c r="SNE123" s="139"/>
      <c r="SNF123" s="139"/>
      <c r="SNG123" s="139"/>
      <c r="SNH123" s="139"/>
      <c r="SNI123" s="139"/>
      <c r="SNJ123" s="139"/>
      <c r="SNK123" s="139"/>
      <c r="SNL123" s="139"/>
      <c r="SNM123" s="139"/>
      <c r="SNN123" s="139"/>
      <c r="SNO123" s="139"/>
      <c r="SNP123" s="139"/>
      <c r="SNQ123" s="139"/>
      <c r="SNR123" s="139"/>
      <c r="SNS123" s="139"/>
      <c r="SNT123" s="139"/>
      <c r="SNU123" s="139"/>
      <c r="SNV123" s="139"/>
      <c r="SNW123" s="139"/>
      <c r="SNX123" s="139"/>
      <c r="SNY123" s="139"/>
      <c r="SNZ123" s="139"/>
      <c r="SOA123" s="139"/>
      <c r="SOB123" s="139"/>
      <c r="SOC123" s="139"/>
      <c r="SOD123" s="139"/>
      <c r="SOE123" s="139"/>
      <c r="SOF123" s="139"/>
      <c r="SOG123" s="139"/>
      <c r="SOH123" s="139"/>
      <c r="SOI123" s="139"/>
      <c r="SOJ123" s="139"/>
      <c r="SOK123" s="139"/>
      <c r="SOL123" s="139"/>
      <c r="SOM123" s="139"/>
      <c r="SON123" s="139"/>
      <c r="SOO123" s="139"/>
      <c r="SOP123" s="139"/>
      <c r="SOQ123" s="139"/>
      <c r="SOR123" s="139"/>
      <c r="SOS123" s="139"/>
      <c r="SOT123" s="139"/>
      <c r="SOU123" s="139"/>
      <c r="SOV123" s="139"/>
      <c r="SOW123" s="139"/>
      <c r="SOX123" s="139"/>
      <c r="SOY123" s="139"/>
      <c r="SOZ123" s="139"/>
      <c r="SPA123" s="139"/>
      <c r="SPB123" s="139"/>
      <c r="SPC123" s="139"/>
      <c r="SPD123" s="139"/>
      <c r="SPE123" s="139"/>
      <c r="SPF123" s="139"/>
      <c r="SPG123" s="139"/>
      <c r="SPH123" s="139"/>
      <c r="SPI123" s="139"/>
      <c r="SPJ123" s="139"/>
      <c r="SPK123" s="139"/>
      <c r="SPL123" s="139"/>
      <c r="SPM123" s="139"/>
      <c r="SPN123" s="139"/>
      <c r="SPO123" s="139"/>
      <c r="SPP123" s="139"/>
      <c r="SPQ123" s="139"/>
      <c r="SPR123" s="139"/>
      <c r="SPS123" s="139"/>
      <c r="SPT123" s="139"/>
      <c r="SPU123" s="139"/>
      <c r="SPV123" s="139"/>
      <c r="SPW123" s="139"/>
      <c r="SPX123" s="139"/>
      <c r="SPY123" s="139"/>
      <c r="SPZ123" s="139"/>
      <c r="SQA123" s="139"/>
      <c r="SQB123" s="139"/>
      <c r="SQC123" s="139"/>
      <c r="SQD123" s="139"/>
      <c r="SQE123" s="139"/>
      <c r="SQF123" s="139"/>
      <c r="SQG123" s="139"/>
      <c r="SQH123" s="139"/>
      <c r="SQI123" s="139"/>
      <c r="SQJ123" s="139"/>
      <c r="SQK123" s="139"/>
      <c r="SQL123" s="139"/>
      <c r="SQM123" s="139"/>
      <c r="SQN123" s="139"/>
      <c r="SQO123" s="139"/>
      <c r="SQP123" s="139"/>
      <c r="SQQ123" s="139"/>
      <c r="SQR123" s="139"/>
      <c r="SQS123" s="139"/>
      <c r="SQT123" s="139"/>
      <c r="SQU123" s="139"/>
      <c r="SQV123" s="139"/>
      <c r="SQW123" s="139"/>
      <c r="SQX123" s="139"/>
      <c r="SQY123" s="139"/>
      <c r="SQZ123" s="139"/>
      <c r="SRA123" s="139"/>
      <c r="SRB123" s="139"/>
      <c r="SRC123" s="139"/>
      <c r="SRD123" s="139"/>
      <c r="SRE123" s="139"/>
      <c r="SRF123" s="139"/>
      <c r="SRG123" s="139"/>
      <c r="SRH123" s="139"/>
      <c r="SRI123" s="139"/>
      <c r="SRJ123" s="139"/>
      <c r="SRK123" s="139"/>
      <c r="SRL123" s="139"/>
      <c r="SRM123" s="139"/>
      <c r="SRN123" s="139"/>
      <c r="SRO123" s="139"/>
      <c r="SRP123" s="139"/>
      <c r="SRQ123" s="139"/>
      <c r="SRR123" s="139"/>
      <c r="SRS123" s="139"/>
      <c r="SRT123" s="139"/>
      <c r="SRU123" s="139"/>
      <c r="SRV123" s="139"/>
      <c r="SRW123" s="139"/>
      <c r="SRX123" s="139"/>
      <c r="SRY123" s="139"/>
      <c r="SRZ123" s="139"/>
      <c r="SSA123" s="139"/>
      <c r="SSB123" s="139"/>
      <c r="SSC123" s="139"/>
      <c r="SSD123" s="139"/>
      <c r="SSE123" s="139"/>
      <c r="SSF123" s="139"/>
      <c r="SSG123" s="139"/>
      <c r="SSH123" s="139"/>
      <c r="SSI123" s="139"/>
      <c r="SSJ123" s="139"/>
      <c r="SSK123" s="139"/>
      <c r="SSL123" s="139"/>
      <c r="SSM123" s="139"/>
      <c r="SSN123" s="139"/>
      <c r="SSO123" s="139"/>
      <c r="SSP123" s="139"/>
      <c r="SSQ123" s="139"/>
      <c r="SSR123" s="139"/>
      <c r="SSS123" s="139"/>
      <c r="SST123" s="139"/>
      <c r="SSU123" s="139"/>
      <c r="SSV123" s="139"/>
      <c r="SSW123" s="139"/>
      <c r="SSX123" s="139"/>
      <c r="SSY123" s="139"/>
      <c r="SSZ123" s="139"/>
      <c r="STA123" s="139"/>
      <c r="STB123" s="139"/>
      <c r="STC123" s="139"/>
      <c r="STD123" s="139"/>
      <c r="STE123" s="139"/>
      <c r="STF123" s="139"/>
      <c r="STG123" s="139"/>
      <c r="STH123" s="139"/>
      <c r="STI123" s="139"/>
      <c r="STJ123" s="139"/>
      <c r="STK123" s="139"/>
      <c r="STL123" s="139"/>
      <c r="STM123" s="139"/>
      <c r="STN123" s="139"/>
      <c r="STO123" s="139"/>
      <c r="STP123" s="139"/>
      <c r="STQ123" s="139"/>
      <c r="STR123" s="139"/>
      <c r="STS123" s="139"/>
      <c r="STT123" s="139"/>
      <c r="STU123" s="139"/>
      <c r="STV123" s="139"/>
      <c r="STW123" s="139"/>
      <c r="STX123" s="139"/>
      <c r="STY123" s="139"/>
      <c r="STZ123" s="139"/>
      <c r="SUA123" s="139"/>
      <c r="SUB123" s="139"/>
      <c r="SUC123" s="139"/>
      <c r="SUD123" s="139"/>
      <c r="SUE123" s="139"/>
      <c r="SUF123" s="139"/>
      <c r="SUG123" s="139"/>
      <c r="SUH123" s="139"/>
      <c r="SUI123" s="139"/>
      <c r="SUJ123" s="139"/>
      <c r="SUK123" s="139"/>
      <c r="SUL123" s="139"/>
      <c r="SUM123" s="139"/>
      <c r="SUN123" s="139"/>
      <c r="SUO123" s="139"/>
      <c r="SUP123" s="139"/>
      <c r="SUQ123" s="139"/>
      <c r="SUR123" s="139"/>
      <c r="SUS123" s="139"/>
      <c r="SUT123" s="139"/>
      <c r="SUU123" s="139"/>
      <c r="SUV123" s="139"/>
      <c r="SUW123" s="139"/>
      <c r="SUX123" s="139"/>
      <c r="SUY123" s="139"/>
      <c r="SUZ123" s="139"/>
      <c r="SVA123" s="139"/>
      <c r="SVB123" s="139"/>
      <c r="SVC123" s="139"/>
      <c r="SVD123" s="139"/>
      <c r="SVE123" s="139"/>
      <c r="SVF123" s="139"/>
      <c r="SVG123" s="139"/>
      <c r="SVH123" s="139"/>
      <c r="SVI123" s="139"/>
      <c r="SVJ123" s="139"/>
      <c r="SVK123" s="139"/>
      <c r="SVL123" s="139"/>
      <c r="SVM123" s="139"/>
      <c r="SVN123" s="139"/>
      <c r="SVO123" s="139"/>
      <c r="SVP123" s="139"/>
      <c r="SVQ123" s="139"/>
      <c r="SVR123" s="139"/>
      <c r="SVS123" s="139"/>
      <c r="SVT123" s="139"/>
      <c r="SVU123" s="139"/>
      <c r="SVV123" s="139"/>
      <c r="SVW123" s="139"/>
      <c r="SVX123" s="139"/>
      <c r="SVY123" s="139"/>
      <c r="SVZ123" s="139"/>
      <c r="SWA123" s="139"/>
      <c r="SWB123" s="139"/>
      <c r="SWC123" s="139"/>
      <c r="SWD123" s="139"/>
      <c r="SWE123" s="139"/>
      <c r="SWF123" s="139"/>
      <c r="SWG123" s="139"/>
      <c r="SWH123" s="139"/>
      <c r="SWI123" s="139"/>
      <c r="SWJ123" s="139"/>
      <c r="SWK123" s="139"/>
      <c r="SWL123" s="139"/>
      <c r="SWM123" s="139"/>
      <c r="SWN123" s="139"/>
      <c r="SWO123" s="139"/>
      <c r="SWP123" s="139"/>
      <c r="SWQ123" s="139"/>
      <c r="SWR123" s="139"/>
      <c r="SWS123" s="139"/>
      <c r="SWT123" s="139"/>
      <c r="SWU123" s="139"/>
      <c r="SWV123" s="139"/>
      <c r="SWW123" s="139"/>
      <c r="SWX123" s="139"/>
      <c r="SWY123" s="139"/>
      <c r="SWZ123" s="139"/>
      <c r="SXA123" s="139"/>
      <c r="SXB123" s="139"/>
      <c r="SXC123" s="139"/>
      <c r="SXD123" s="139"/>
      <c r="SXE123" s="139"/>
      <c r="SXF123" s="139"/>
      <c r="SXG123" s="139"/>
      <c r="SXH123" s="139"/>
      <c r="SXI123" s="139"/>
      <c r="SXJ123" s="139"/>
      <c r="SXK123" s="139"/>
      <c r="SXL123" s="139"/>
      <c r="SXM123" s="139"/>
      <c r="SXN123" s="139"/>
      <c r="SXO123" s="139"/>
      <c r="SXP123" s="139"/>
      <c r="SXQ123" s="139"/>
      <c r="SXR123" s="139"/>
      <c r="SXS123" s="139"/>
      <c r="SXT123" s="139"/>
      <c r="SXU123" s="139"/>
      <c r="SXV123" s="139"/>
      <c r="SXW123" s="139"/>
      <c r="SXX123" s="139"/>
      <c r="SXY123" s="139"/>
      <c r="SXZ123" s="139"/>
      <c r="SYA123" s="139"/>
      <c r="SYB123" s="139"/>
      <c r="SYC123" s="139"/>
      <c r="SYD123" s="139"/>
      <c r="SYE123" s="139"/>
      <c r="SYF123" s="139"/>
      <c r="SYG123" s="139"/>
      <c r="SYH123" s="139"/>
      <c r="SYI123" s="139"/>
      <c r="SYJ123" s="139"/>
      <c r="SYK123" s="139"/>
      <c r="SYL123" s="139"/>
      <c r="SYM123" s="139"/>
      <c r="SYN123" s="139"/>
      <c r="SYO123" s="139"/>
      <c r="SYP123" s="139"/>
      <c r="SYQ123" s="139"/>
      <c r="SYR123" s="139"/>
      <c r="SYS123" s="139"/>
      <c r="SYT123" s="139"/>
      <c r="SYU123" s="139"/>
      <c r="SYV123" s="139"/>
      <c r="SYW123" s="139"/>
      <c r="SYX123" s="139"/>
      <c r="SYY123" s="139"/>
      <c r="SYZ123" s="139"/>
      <c r="SZA123" s="139"/>
      <c r="SZB123" s="139"/>
      <c r="SZC123" s="139"/>
      <c r="SZD123" s="139"/>
      <c r="SZE123" s="139"/>
      <c r="SZF123" s="139"/>
      <c r="SZG123" s="139"/>
      <c r="SZH123" s="139"/>
      <c r="SZI123" s="139"/>
      <c r="SZJ123" s="139"/>
      <c r="SZK123" s="139"/>
      <c r="SZL123" s="139"/>
      <c r="SZM123" s="139"/>
      <c r="SZN123" s="139"/>
      <c r="SZO123" s="139"/>
      <c r="SZP123" s="139"/>
      <c r="SZQ123" s="139"/>
      <c r="SZR123" s="139"/>
      <c r="SZS123" s="139"/>
      <c r="SZT123" s="139"/>
      <c r="SZU123" s="139"/>
      <c r="SZV123" s="139"/>
      <c r="SZW123" s="139"/>
      <c r="SZX123" s="139"/>
      <c r="SZY123" s="139"/>
      <c r="SZZ123" s="139"/>
      <c r="TAA123" s="139"/>
      <c r="TAB123" s="139"/>
      <c r="TAC123" s="139"/>
      <c r="TAD123" s="139"/>
      <c r="TAE123" s="139"/>
      <c r="TAF123" s="139"/>
      <c r="TAG123" s="139"/>
      <c r="TAH123" s="139"/>
      <c r="TAI123" s="139"/>
      <c r="TAJ123" s="139"/>
      <c r="TAK123" s="139"/>
      <c r="TAL123" s="139"/>
      <c r="TAM123" s="139"/>
      <c r="TAN123" s="139"/>
      <c r="TAO123" s="139"/>
      <c r="TAP123" s="139"/>
      <c r="TAQ123" s="139"/>
      <c r="TAR123" s="139"/>
      <c r="TAS123" s="139"/>
      <c r="TAT123" s="139"/>
      <c r="TAU123" s="139"/>
      <c r="TAV123" s="139"/>
      <c r="TAW123" s="139"/>
      <c r="TAX123" s="139"/>
      <c r="TAY123" s="139"/>
      <c r="TAZ123" s="139"/>
      <c r="TBA123" s="139"/>
      <c r="TBB123" s="139"/>
      <c r="TBC123" s="139"/>
      <c r="TBD123" s="139"/>
      <c r="TBE123" s="139"/>
      <c r="TBF123" s="139"/>
      <c r="TBG123" s="139"/>
      <c r="TBH123" s="139"/>
      <c r="TBI123" s="139"/>
      <c r="TBJ123" s="139"/>
      <c r="TBK123" s="139"/>
      <c r="TBL123" s="139"/>
      <c r="TBM123" s="139"/>
      <c r="TBN123" s="139"/>
      <c r="TBO123" s="139"/>
      <c r="TBP123" s="139"/>
      <c r="TBQ123" s="139"/>
      <c r="TBR123" s="139"/>
      <c r="TBS123" s="139"/>
      <c r="TBT123" s="139"/>
      <c r="TBU123" s="139"/>
      <c r="TBV123" s="139"/>
      <c r="TBW123" s="139"/>
      <c r="TBX123" s="139"/>
      <c r="TBY123" s="139"/>
      <c r="TBZ123" s="139"/>
      <c r="TCA123" s="139"/>
      <c r="TCB123" s="139"/>
      <c r="TCC123" s="139"/>
      <c r="TCD123" s="139"/>
      <c r="TCE123" s="139"/>
      <c r="TCF123" s="139"/>
      <c r="TCG123" s="139"/>
      <c r="TCH123" s="139"/>
      <c r="TCI123" s="139"/>
      <c r="TCJ123" s="139"/>
      <c r="TCK123" s="139"/>
      <c r="TCL123" s="139"/>
      <c r="TCM123" s="139"/>
      <c r="TCN123" s="139"/>
      <c r="TCO123" s="139"/>
      <c r="TCP123" s="139"/>
      <c r="TCQ123" s="139"/>
      <c r="TCR123" s="139"/>
      <c r="TCS123" s="139"/>
      <c r="TCT123" s="139"/>
      <c r="TCU123" s="139"/>
      <c r="TCV123" s="139"/>
      <c r="TCW123" s="139"/>
      <c r="TCX123" s="139"/>
      <c r="TCY123" s="139"/>
      <c r="TCZ123" s="139"/>
      <c r="TDA123" s="139"/>
      <c r="TDB123" s="139"/>
      <c r="TDC123" s="139"/>
      <c r="TDD123" s="139"/>
      <c r="TDE123" s="139"/>
      <c r="TDF123" s="139"/>
      <c r="TDG123" s="139"/>
      <c r="TDH123" s="139"/>
      <c r="TDI123" s="139"/>
      <c r="TDJ123" s="139"/>
      <c r="TDK123" s="139"/>
      <c r="TDL123" s="139"/>
      <c r="TDM123" s="139"/>
      <c r="TDN123" s="139"/>
      <c r="TDO123" s="139"/>
      <c r="TDP123" s="139"/>
      <c r="TDQ123" s="139"/>
      <c r="TDR123" s="139"/>
      <c r="TDS123" s="139"/>
      <c r="TDT123" s="139"/>
      <c r="TDU123" s="139"/>
      <c r="TDV123" s="139"/>
      <c r="TDW123" s="139"/>
      <c r="TDX123" s="139"/>
      <c r="TDY123" s="139"/>
      <c r="TDZ123" s="139"/>
      <c r="TEA123" s="139"/>
      <c r="TEB123" s="139"/>
      <c r="TEC123" s="139"/>
      <c r="TED123" s="139"/>
      <c r="TEE123" s="139"/>
      <c r="TEF123" s="139"/>
      <c r="TEG123" s="139"/>
      <c r="TEH123" s="139"/>
      <c r="TEI123" s="139"/>
      <c r="TEJ123" s="139"/>
      <c r="TEK123" s="139"/>
      <c r="TEL123" s="139"/>
      <c r="TEM123" s="139"/>
      <c r="TEN123" s="139"/>
      <c r="TEO123" s="139"/>
      <c r="TEP123" s="139"/>
      <c r="TEQ123" s="139"/>
      <c r="TER123" s="139"/>
      <c r="TES123" s="139"/>
      <c r="TET123" s="139"/>
      <c r="TEU123" s="139"/>
      <c r="TEV123" s="139"/>
      <c r="TEW123" s="139"/>
      <c r="TEX123" s="139"/>
      <c r="TEY123" s="139"/>
      <c r="TEZ123" s="139"/>
      <c r="TFA123" s="139"/>
      <c r="TFB123" s="139"/>
      <c r="TFC123" s="139"/>
      <c r="TFD123" s="139"/>
      <c r="TFE123" s="139"/>
      <c r="TFF123" s="139"/>
      <c r="TFG123" s="139"/>
      <c r="TFH123" s="139"/>
      <c r="TFI123" s="139"/>
      <c r="TFJ123" s="139"/>
      <c r="TFK123" s="139"/>
      <c r="TFL123" s="139"/>
      <c r="TFM123" s="139"/>
      <c r="TFN123" s="139"/>
      <c r="TFO123" s="139"/>
      <c r="TFP123" s="139"/>
      <c r="TFQ123" s="139"/>
      <c r="TFR123" s="139"/>
      <c r="TFS123" s="139"/>
      <c r="TFT123" s="139"/>
      <c r="TFU123" s="139"/>
      <c r="TFV123" s="139"/>
      <c r="TFW123" s="139"/>
      <c r="TFX123" s="139"/>
      <c r="TFY123" s="139"/>
      <c r="TFZ123" s="139"/>
      <c r="TGA123" s="139"/>
      <c r="TGB123" s="139"/>
      <c r="TGC123" s="139"/>
      <c r="TGD123" s="139"/>
      <c r="TGE123" s="139"/>
      <c r="TGF123" s="139"/>
      <c r="TGG123" s="139"/>
      <c r="TGH123" s="139"/>
      <c r="TGI123" s="139"/>
      <c r="TGJ123" s="139"/>
      <c r="TGK123" s="139"/>
      <c r="TGL123" s="139"/>
      <c r="TGM123" s="139"/>
      <c r="TGN123" s="139"/>
      <c r="TGO123" s="139"/>
      <c r="TGP123" s="139"/>
      <c r="TGQ123" s="139"/>
      <c r="TGR123" s="139"/>
      <c r="TGS123" s="139"/>
      <c r="TGT123" s="139"/>
      <c r="TGU123" s="139"/>
      <c r="TGV123" s="139"/>
      <c r="TGW123" s="139"/>
      <c r="TGX123" s="139"/>
      <c r="TGY123" s="139"/>
      <c r="TGZ123" s="139"/>
      <c r="THA123" s="139"/>
      <c r="THB123" s="139"/>
      <c r="THC123" s="139"/>
      <c r="THD123" s="139"/>
      <c r="THE123" s="139"/>
      <c r="THF123" s="139"/>
      <c r="THG123" s="139"/>
      <c r="THH123" s="139"/>
      <c r="THI123" s="139"/>
      <c r="THJ123" s="139"/>
      <c r="THK123" s="139"/>
      <c r="THL123" s="139"/>
      <c r="THM123" s="139"/>
      <c r="THN123" s="139"/>
      <c r="THO123" s="139"/>
      <c r="THP123" s="139"/>
      <c r="THQ123" s="139"/>
      <c r="THR123" s="139"/>
      <c r="THS123" s="139"/>
      <c r="THT123" s="139"/>
      <c r="THU123" s="139"/>
      <c r="THV123" s="139"/>
      <c r="THW123" s="139"/>
      <c r="THX123" s="139"/>
      <c r="THY123" s="139"/>
      <c r="THZ123" s="139"/>
      <c r="TIA123" s="139"/>
      <c r="TIB123" s="139"/>
      <c r="TIC123" s="139"/>
      <c r="TID123" s="139"/>
      <c r="TIE123" s="139"/>
      <c r="TIF123" s="139"/>
      <c r="TIG123" s="139"/>
      <c r="TIH123" s="139"/>
      <c r="TII123" s="139"/>
      <c r="TIJ123" s="139"/>
      <c r="TIK123" s="139"/>
      <c r="TIL123" s="139"/>
      <c r="TIM123" s="139"/>
      <c r="TIN123" s="139"/>
      <c r="TIO123" s="139"/>
      <c r="TIP123" s="139"/>
      <c r="TIQ123" s="139"/>
      <c r="TIR123" s="139"/>
      <c r="TIS123" s="139"/>
      <c r="TIT123" s="139"/>
      <c r="TIU123" s="139"/>
      <c r="TIV123" s="139"/>
      <c r="TIW123" s="139"/>
      <c r="TIX123" s="139"/>
      <c r="TIY123" s="139"/>
      <c r="TIZ123" s="139"/>
      <c r="TJA123" s="139"/>
      <c r="TJB123" s="139"/>
      <c r="TJC123" s="139"/>
      <c r="TJD123" s="139"/>
      <c r="TJE123" s="139"/>
      <c r="TJF123" s="139"/>
      <c r="TJG123" s="139"/>
      <c r="TJH123" s="139"/>
      <c r="TJI123" s="139"/>
      <c r="TJJ123" s="139"/>
      <c r="TJK123" s="139"/>
      <c r="TJL123" s="139"/>
      <c r="TJM123" s="139"/>
      <c r="TJN123" s="139"/>
      <c r="TJO123" s="139"/>
      <c r="TJP123" s="139"/>
      <c r="TJQ123" s="139"/>
      <c r="TJR123" s="139"/>
      <c r="TJS123" s="139"/>
      <c r="TJT123" s="139"/>
      <c r="TJU123" s="139"/>
      <c r="TJV123" s="139"/>
      <c r="TJW123" s="139"/>
      <c r="TJX123" s="139"/>
      <c r="TJY123" s="139"/>
      <c r="TJZ123" s="139"/>
      <c r="TKA123" s="139"/>
      <c r="TKB123" s="139"/>
      <c r="TKC123" s="139"/>
      <c r="TKD123" s="139"/>
      <c r="TKE123" s="139"/>
      <c r="TKF123" s="139"/>
      <c r="TKG123" s="139"/>
      <c r="TKH123" s="139"/>
      <c r="TKI123" s="139"/>
      <c r="TKJ123" s="139"/>
      <c r="TKK123" s="139"/>
      <c r="TKL123" s="139"/>
      <c r="TKM123" s="139"/>
      <c r="TKN123" s="139"/>
      <c r="TKO123" s="139"/>
      <c r="TKP123" s="139"/>
      <c r="TKQ123" s="139"/>
      <c r="TKR123" s="139"/>
      <c r="TKS123" s="139"/>
      <c r="TKT123" s="139"/>
      <c r="TKU123" s="139"/>
      <c r="TKV123" s="139"/>
      <c r="TKW123" s="139"/>
      <c r="TKX123" s="139"/>
      <c r="TKY123" s="139"/>
      <c r="TKZ123" s="139"/>
      <c r="TLA123" s="139"/>
      <c r="TLB123" s="139"/>
      <c r="TLC123" s="139"/>
      <c r="TLD123" s="139"/>
      <c r="TLE123" s="139"/>
      <c r="TLF123" s="139"/>
      <c r="TLG123" s="139"/>
      <c r="TLH123" s="139"/>
      <c r="TLI123" s="139"/>
      <c r="TLJ123" s="139"/>
      <c r="TLK123" s="139"/>
      <c r="TLL123" s="139"/>
      <c r="TLM123" s="139"/>
      <c r="TLN123" s="139"/>
      <c r="TLO123" s="139"/>
      <c r="TLP123" s="139"/>
      <c r="TLQ123" s="139"/>
      <c r="TLR123" s="139"/>
      <c r="TLS123" s="139"/>
      <c r="TLT123" s="139"/>
      <c r="TLU123" s="139"/>
      <c r="TLV123" s="139"/>
      <c r="TLW123" s="139"/>
      <c r="TLX123" s="139"/>
      <c r="TLY123" s="139"/>
      <c r="TLZ123" s="139"/>
      <c r="TMA123" s="139"/>
      <c r="TMB123" s="139"/>
      <c r="TMC123" s="139"/>
      <c r="TMD123" s="139"/>
      <c r="TME123" s="139"/>
      <c r="TMF123" s="139"/>
      <c r="TMG123" s="139"/>
      <c r="TMH123" s="139"/>
      <c r="TMI123" s="139"/>
      <c r="TMJ123" s="139"/>
      <c r="TMK123" s="139"/>
      <c r="TML123" s="139"/>
      <c r="TMM123" s="139"/>
      <c r="TMN123" s="139"/>
      <c r="TMO123" s="139"/>
      <c r="TMP123" s="139"/>
      <c r="TMQ123" s="139"/>
      <c r="TMR123" s="139"/>
      <c r="TMS123" s="139"/>
      <c r="TMT123" s="139"/>
      <c r="TMU123" s="139"/>
      <c r="TMV123" s="139"/>
      <c r="TMW123" s="139"/>
      <c r="TMX123" s="139"/>
      <c r="TMY123" s="139"/>
      <c r="TMZ123" s="139"/>
      <c r="TNA123" s="139"/>
      <c r="TNB123" s="139"/>
      <c r="TNC123" s="139"/>
      <c r="TND123" s="139"/>
      <c r="TNE123" s="139"/>
      <c r="TNF123" s="139"/>
      <c r="TNG123" s="139"/>
      <c r="TNH123" s="139"/>
      <c r="TNI123" s="139"/>
      <c r="TNJ123" s="139"/>
      <c r="TNK123" s="139"/>
      <c r="TNL123" s="139"/>
      <c r="TNM123" s="139"/>
      <c r="TNN123" s="139"/>
      <c r="TNO123" s="139"/>
      <c r="TNP123" s="139"/>
      <c r="TNQ123" s="139"/>
      <c r="TNR123" s="139"/>
      <c r="TNS123" s="139"/>
      <c r="TNT123" s="139"/>
      <c r="TNU123" s="139"/>
      <c r="TNV123" s="139"/>
      <c r="TNW123" s="139"/>
      <c r="TNX123" s="139"/>
      <c r="TNY123" s="139"/>
      <c r="TNZ123" s="139"/>
      <c r="TOA123" s="139"/>
      <c r="TOB123" s="139"/>
      <c r="TOC123" s="139"/>
      <c r="TOD123" s="139"/>
      <c r="TOE123" s="139"/>
      <c r="TOF123" s="139"/>
      <c r="TOG123" s="139"/>
      <c r="TOH123" s="139"/>
      <c r="TOI123" s="139"/>
      <c r="TOJ123" s="139"/>
      <c r="TOK123" s="139"/>
      <c r="TOL123" s="139"/>
      <c r="TOM123" s="139"/>
      <c r="TON123" s="139"/>
      <c r="TOO123" s="139"/>
      <c r="TOP123" s="139"/>
      <c r="TOQ123" s="139"/>
      <c r="TOR123" s="139"/>
      <c r="TOS123" s="139"/>
      <c r="TOT123" s="139"/>
      <c r="TOU123" s="139"/>
      <c r="TOV123" s="139"/>
      <c r="TOW123" s="139"/>
      <c r="TOX123" s="139"/>
      <c r="TOY123" s="139"/>
      <c r="TOZ123" s="139"/>
      <c r="TPA123" s="139"/>
      <c r="TPB123" s="139"/>
      <c r="TPC123" s="139"/>
      <c r="TPD123" s="139"/>
      <c r="TPE123" s="139"/>
      <c r="TPF123" s="139"/>
      <c r="TPG123" s="139"/>
      <c r="TPH123" s="139"/>
      <c r="TPI123" s="139"/>
      <c r="TPJ123" s="139"/>
      <c r="TPK123" s="139"/>
      <c r="TPL123" s="139"/>
      <c r="TPM123" s="139"/>
      <c r="TPN123" s="139"/>
      <c r="TPO123" s="139"/>
      <c r="TPP123" s="139"/>
      <c r="TPQ123" s="139"/>
      <c r="TPR123" s="139"/>
      <c r="TPS123" s="139"/>
      <c r="TPT123" s="139"/>
      <c r="TPU123" s="139"/>
      <c r="TPV123" s="139"/>
      <c r="TPW123" s="139"/>
      <c r="TPX123" s="139"/>
      <c r="TPY123" s="139"/>
      <c r="TPZ123" s="139"/>
      <c r="TQA123" s="139"/>
      <c r="TQB123" s="139"/>
      <c r="TQC123" s="139"/>
      <c r="TQD123" s="139"/>
      <c r="TQE123" s="139"/>
      <c r="TQF123" s="139"/>
      <c r="TQG123" s="139"/>
      <c r="TQH123" s="139"/>
      <c r="TQI123" s="139"/>
      <c r="TQJ123" s="139"/>
      <c r="TQK123" s="139"/>
      <c r="TQL123" s="139"/>
      <c r="TQM123" s="139"/>
      <c r="TQN123" s="139"/>
      <c r="TQO123" s="139"/>
      <c r="TQP123" s="139"/>
      <c r="TQQ123" s="139"/>
      <c r="TQR123" s="139"/>
      <c r="TQS123" s="139"/>
      <c r="TQT123" s="139"/>
      <c r="TQU123" s="139"/>
      <c r="TQV123" s="139"/>
      <c r="TQW123" s="139"/>
      <c r="TQX123" s="139"/>
      <c r="TQY123" s="139"/>
      <c r="TQZ123" s="139"/>
      <c r="TRA123" s="139"/>
      <c r="TRB123" s="139"/>
      <c r="TRC123" s="139"/>
      <c r="TRD123" s="139"/>
      <c r="TRE123" s="139"/>
      <c r="TRF123" s="139"/>
      <c r="TRG123" s="139"/>
      <c r="TRH123" s="139"/>
      <c r="TRI123" s="139"/>
      <c r="TRJ123" s="139"/>
      <c r="TRK123" s="139"/>
      <c r="TRL123" s="139"/>
      <c r="TRM123" s="139"/>
      <c r="TRN123" s="139"/>
      <c r="TRO123" s="139"/>
      <c r="TRP123" s="139"/>
      <c r="TRQ123" s="139"/>
      <c r="TRR123" s="139"/>
      <c r="TRS123" s="139"/>
      <c r="TRT123" s="139"/>
      <c r="TRU123" s="139"/>
      <c r="TRV123" s="139"/>
      <c r="TRW123" s="139"/>
      <c r="TRX123" s="139"/>
      <c r="TRY123" s="139"/>
      <c r="TRZ123" s="139"/>
      <c r="TSA123" s="139"/>
      <c r="TSB123" s="139"/>
      <c r="TSC123" s="139"/>
      <c r="TSD123" s="139"/>
      <c r="TSE123" s="139"/>
      <c r="TSF123" s="139"/>
      <c r="TSG123" s="139"/>
      <c r="TSH123" s="139"/>
      <c r="TSI123" s="139"/>
      <c r="TSJ123" s="139"/>
      <c r="TSK123" s="139"/>
      <c r="TSL123" s="139"/>
      <c r="TSM123" s="139"/>
      <c r="TSN123" s="139"/>
      <c r="TSO123" s="139"/>
      <c r="TSP123" s="139"/>
      <c r="TSQ123" s="139"/>
      <c r="TSR123" s="139"/>
      <c r="TSS123" s="139"/>
      <c r="TST123" s="139"/>
      <c r="TSU123" s="139"/>
      <c r="TSV123" s="139"/>
      <c r="TSW123" s="139"/>
      <c r="TSX123" s="139"/>
      <c r="TSY123" s="139"/>
      <c r="TSZ123" s="139"/>
      <c r="TTA123" s="139"/>
      <c r="TTB123" s="139"/>
      <c r="TTC123" s="139"/>
      <c r="TTD123" s="139"/>
      <c r="TTE123" s="139"/>
      <c r="TTF123" s="139"/>
      <c r="TTG123" s="139"/>
      <c r="TTH123" s="139"/>
      <c r="TTI123" s="139"/>
      <c r="TTJ123" s="139"/>
      <c r="TTK123" s="139"/>
      <c r="TTL123" s="139"/>
      <c r="TTM123" s="139"/>
      <c r="TTN123" s="139"/>
      <c r="TTO123" s="139"/>
      <c r="TTP123" s="139"/>
      <c r="TTQ123" s="139"/>
      <c r="TTR123" s="139"/>
      <c r="TTS123" s="139"/>
      <c r="TTT123" s="139"/>
      <c r="TTU123" s="139"/>
      <c r="TTV123" s="139"/>
      <c r="TTW123" s="139"/>
      <c r="TTX123" s="139"/>
      <c r="TTY123" s="139"/>
      <c r="TTZ123" s="139"/>
      <c r="TUA123" s="139"/>
      <c r="TUB123" s="139"/>
      <c r="TUC123" s="139"/>
      <c r="TUD123" s="139"/>
      <c r="TUE123" s="139"/>
      <c r="TUF123" s="139"/>
      <c r="TUG123" s="139"/>
      <c r="TUH123" s="139"/>
      <c r="TUI123" s="139"/>
      <c r="TUJ123" s="139"/>
      <c r="TUK123" s="139"/>
      <c r="TUL123" s="139"/>
      <c r="TUM123" s="139"/>
      <c r="TUN123" s="139"/>
      <c r="TUO123" s="139"/>
      <c r="TUP123" s="139"/>
      <c r="TUQ123" s="139"/>
      <c r="TUR123" s="139"/>
      <c r="TUS123" s="139"/>
      <c r="TUT123" s="139"/>
      <c r="TUU123" s="139"/>
      <c r="TUV123" s="139"/>
      <c r="TUW123" s="139"/>
      <c r="TUX123" s="139"/>
      <c r="TUY123" s="139"/>
      <c r="TUZ123" s="139"/>
      <c r="TVA123" s="139"/>
      <c r="TVB123" s="139"/>
      <c r="TVC123" s="139"/>
      <c r="TVD123" s="139"/>
      <c r="TVE123" s="139"/>
      <c r="TVF123" s="139"/>
      <c r="TVG123" s="139"/>
      <c r="TVH123" s="139"/>
      <c r="TVI123" s="139"/>
      <c r="TVJ123" s="139"/>
      <c r="TVK123" s="139"/>
      <c r="TVL123" s="139"/>
      <c r="TVM123" s="139"/>
      <c r="TVN123" s="139"/>
      <c r="TVO123" s="139"/>
      <c r="TVP123" s="139"/>
      <c r="TVQ123" s="139"/>
      <c r="TVR123" s="139"/>
      <c r="TVS123" s="139"/>
      <c r="TVT123" s="139"/>
      <c r="TVU123" s="139"/>
      <c r="TVV123" s="139"/>
      <c r="TVW123" s="139"/>
      <c r="TVX123" s="139"/>
      <c r="TVY123" s="139"/>
      <c r="TVZ123" s="139"/>
      <c r="TWA123" s="139"/>
      <c r="TWB123" s="139"/>
      <c r="TWC123" s="139"/>
      <c r="TWD123" s="139"/>
      <c r="TWE123" s="139"/>
      <c r="TWF123" s="139"/>
      <c r="TWG123" s="139"/>
      <c r="TWH123" s="139"/>
      <c r="TWI123" s="139"/>
      <c r="TWJ123" s="139"/>
      <c r="TWK123" s="139"/>
      <c r="TWL123" s="139"/>
      <c r="TWM123" s="139"/>
      <c r="TWN123" s="139"/>
      <c r="TWO123" s="139"/>
      <c r="TWP123" s="139"/>
      <c r="TWQ123" s="139"/>
      <c r="TWR123" s="139"/>
      <c r="TWS123" s="139"/>
      <c r="TWT123" s="139"/>
      <c r="TWU123" s="139"/>
      <c r="TWV123" s="139"/>
      <c r="TWW123" s="139"/>
      <c r="TWX123" s="139"/>
      <c r="TWY123" s="139"/>
      <c r="TWZ123" s="139"/>
      <c r="TXA123" s="139"/>
      <c r="TXB123" s="139"/>
      <c r="TXC123" s="139"/>
      <c r="TXD123" s="139"/>
      <c r="TXE123" s="139"/>
      <c r="TXF123" s="139"/>
      <c r="TXG123" s="139"/>
      <c r="TXH123" s="139"/>
      <c r="TXI123" s="139"/>
      <c r="TXJ123" s="139"/>
      <c r="TXK123" s="139"/>
      <c r="TXL123" s="139"/>
      <c r="TXM123" s="139"/>
      <c r="TXN123" s="139"/>
      <c r="TXO123" s="139"/>
      <c r="TXP123" s="139"/>
      <c r="TXQ123" s="139"/>
      <c r="TXR123" s="139"/>
      <c r="TXS123" s="139"/>
      <c r="TXT123" s="139"/>
      <c r="TXU123" s="139"/>
      <c r="TXV123" s="139"/>
      <c r="TXW123" s="139"/>
      <c r="TXX123" s="139"/>
      <c r="TXY123" s="139"/>
      <c r="TXZ123" s="139"/>
      <c r="TYA123" s="139"/>
      <c r="TYB123" s="139"/>
      <c r="TYC123" s="139"/>
      <c r="TYD123" s="139"/>
      <c r="TYE123" s="139"/>
      <c r="TYF123" s="139"/>
      <c r="TYG123" s="139"/>
      <c r="TYH123" s="139"/>
      <c r="TYI123" s="139"/>
      <c r="TYJ123" s="139"/>
      <c r="TYK123" s="139"/>
      <c r="TYL123" s="139"/>
      <c r="TYM123" s="139"/>
      <c r="TYN123" s="139"/>
      <c r="TYO123" s="139"/>
      <c r="TYP123" s="139"/>
      <c r="TYQ123" s="139"/>
      <c r="TYR123" s="139"/>
      <c r="TYS123" s="139"/>
      <c r="TYT123" s="139"/>
      <c r="TYU123" s="139"/>
      <c r="TYV123" s="139"/>
      <c r="TYW123" s="139"/>
      <c r="TYX123" s="139"/>
      <c r="TYY123" s="139"/>
      <c r="TYZ123" s="139"/>
      <c r="TZA123" s="139"/>
      <c r="TZB123" s="139"/>
      <c r="TZC123" s="139"/>
      <c r="TZD123" s="139"/>
      <c r="TZE123" s="139"/>
      <c r="TZF123" s="139"/>
      <c r="TZG123" s="139"/>
      <c r="TZH123" s="139"/>
      <c r="TZI123" s="139"/>
      <c r="TZJ123" s="139"/>
      <c r="TZK123" s="139"/>
      <c r="TZL123" s="139"/>
      <c r="TZM123" s="139"/>
      <c r="TZN123" s="139"/>
      <c r="TZO123" s="139"/>
      <c r="TZP123" s="139"/>
      <c r="TZQ123" s="139"/>
      <c r="TZR123" s="139"/>
      <c r="TZS123" s="139"/>
      <c r="TZT123" s="139"/>
      <c r="TZU123" s="139"/>
      <c r="TZV123" s="139"/>
      <c r="TZW123" s="139"/>
      <c r="TZX123" s="139"/>
      <c r="TZY123" s="139"/>
      <c r="TZZ123" s="139"/>
      <c r="UAA123" s="139"/>
      <c r="UAB123" s="139"/>
      <c r="UAC123" s="139"/>
      <c r="UAD123" s="139"/>
      <c r="UAE123" s="139"/>
      <c r="UAF123" s="139"/>
      <c r="UAG123" s="139"/>
      <c r="UAH123" s="139"/>
      <c r="UAI123" s="139"/>
      <c r="UAJ123" s="139"/>
      <c r="UAK123" s="139"/>
      <c r="UAL123" s="139"/>
      <c r="UAM123" s="139"/>
      <c r="UAN123" s="139"/>
      <c r="UAO123" s="139"/>
      <c r="UAP123" s="139"/>
      <c r="UAQ123" s="139"/>
      <c r="UAR123" s="139"/>
      <c r="UAS123" s="139"/>
      <c r="UAT123" s="139"/>
      <c r="UAU123" s="139"/>
      <c r="UAV123" s="139"/>
      <c r="UAW123" s="139"/>
      <c r="UAX123" s="139"/>
      <c r="UAY123" s="139"/>
      <c r="UAZ123" s="139"/>
      <c r="UBA123" s="139"/>
      <c r="UBB123" s="139"/>
      <c r="UBC123" s="139"/>
      <c r="UBD123" s="139"/>
      <c r="UBE123" s="139"/>
      <c r="UBF123" s="139"/>
      <c r="UBG123" s="139"/>
      <c r="UBH123" s="139"/>
      <c r="UBI123" s="139"/>
      <c r="UBJ123" s="139"/>
      <c r="UBK123" s="139"/>
      <c r="UBL123" s="139"/>
      <c r="UBM123" s="139"/>
      <c r="UBN123" s="139"/>
      <c r="UBO123" s="139"/>
      <c r="UBP123" s="139"/>
      <c r="UBQ123" s="139"/>
      <c r="UBR123" s="139"/>
      <c r="UBS123" s="139"/>
      <c r="UBT123" s="139"/>
      <c r="UBU123" s="139"/>
      <c r="UBV123" s="139"/>
      <c r="UBW123" s="139"/>
      <c r="UBX123" s="139"/>
      <c r="UBY123" s="139"/>
      <c r="UBZ123" s="139"/>
      <c r="UCA123" s="139"/>
      <c r="UCB123" s="139"/>
      <c r="UCC123" s="139"/>
      <c r="UCD123" s="139"/>
      <c r="UCE123" s="139"/>
      <c r="UCF123" s="139"/>
      <c r="UCG123" s="139"/>
      <c r="UCH123" s="139"/>
      <c r="UCI123" s="139"/>
      <c r="UCJ123" s="139"/>
      <c r="UCK123" s="139"/>
      <c r="UCL123" s="139"/>
      <c r="UCM123" s="139"/>
      <c r="UCN123" s="139"/>
      <c r="UCO123" s="139"/>
      <c r="UCP123" s="139"/>
      <c r="UCQ123" s="139"/>
      <c r="UCR123" s="139"/>
      <c r="UCS123" s="139"/>
      <c r="UCT123" s="139"/>
      <c r="UCU123" s="139"/>
      <c r="UCV123" s="139"/>
      <c r="UCW123" s="139"/>
      <c r="UCX123" s="139"/>
      <c r="UCY123" s="139"/>
      <c r="UCZ123" s="139"/>
      <c r="UDA123" s="139"/>
      <c r="UDB123" s="139"/>
      <c r="UDC123" s="139"/>
      <c r="UDD123" s="139"/>
      <c r="UDE123" s="139"/>
      <c r="UDF123" s="139"/>
      <c r="UDG123" s="139"/>
      <c r="UDH123" s="139"/>
      <c r="UDI123" s="139"/>
      <c r="UDJ123" s="139"/>
      <c r="UDK123" s="139"/>
      <c r="UDL123" s="139"/>
      <c r="UDM123" s="139"/>
      <c r="UDN123" s="139"/>
      <c r="UDO123" s="139"/>
      <c r="UDP123" s="139"/>
      <c r="UDQ123" s="139"/>
      <c r="UDR123" s="139"/>
      <c r="UDS123" s="139"/>
      <c r="UDT123" s="139"/>
      <c r="UDU123" s="139"/>
      <c r="UDV123" s="139"/>
      <c r="UDW123" s="139"/>
      <c r="UDX123" s="139"/>
      <c r="UDY123" s="139"/>
      <c r="UDZ123" s="139"/>
      <c r="UEA123" s="139"/>
      <c r="UEB123" s="139"/>
      <c r="UEC123" s="139"/>
      <c r="UED123" s="139"/>
      <c r="UEE123" s="139"/>
      <c r="UEF123" s="139"/>
      <c r="UEG123" s="139"/>
      <c r="UEH123" s="139"/>
      <c r="UEI123" s="139"/>
      <c r="UEJ123" s="139"/>
      <c r="UEK123" s="139"/>
      <c r="UEL123" s="139"/>
      <c r="UEM123" s="139"/>
      <c r="UEN123" s="139"/>
      <c r="UEO123" s="139"/>
      <c r="UEP123" s="139"/>
      <c r="UEQ123" s="139"/>
      <c r="UER123" s="139"/>
      <c r="UES123" s="139"/>
      <c r="UET123" s="139"/>
      <c r="UEU123" s="139"/>
      <c r="UEV123" s="139"/>
      <c r="UEW123" s="139"/>
      <c r="UEX123" s="139"/>
      <c r="UEY123" s="139"/>
      <c r="UEZ123" s="139"/>
      <c r="UFA123" s="139"/>
      <c r="UFB123" s="139"/>
      <c r="UFC123" s="139"/>
      <c r="UFD123" s="139"/>
      <c r="UFE123" s="139"/>
      <c r="UFF123" s="139"/>
      <c r="UFG123" s="139"/>
      <c r="UFH123" s="139"/>
      <c r="UFI123" s="139"/>
      <c r="UFJ123" s="139"/>
      <c r="UFK123" s="139"/>
      <c r="UFL123" s="139"/>
      <c r="UFM123" s="139"/>
      <c r="UFN123" s="139"/>
      <c r="UFO123" s="139"/>
      <c r="UFP123" s="139"/>
      <c r="UFQ123" s="139"/>
      <c r="UFR123" s="139"/>
      <c r="UFS123" s="139"/>
      <c r="UFT123" s="139"/>
      <c r="UFU123" s="139"/>
      <c r="UFV123" s="139"/>
      <c r="UFW123" s="139"/>
      <c r="UFX123" s="139"/>
      <c r="UFY123" s="139"/>
      <c r="UFZ123" s="139"/>
      <c r="UGA123" s="139"/>
      <c r="UGB123" s="139"/>
      <c r="UGC123" s="139"/>
      <c r="UGD123" s="139"/>
      <c r="UGE123" s="139"/>
      <c r="UGF123" s="139"/>
      <c r="UGG123" s="139"/>
      <c r="UGH123" s="139"/>
      <c r="UGI123" s="139"/>
      <c r="UGJ123" s="139"/>
      <c r="UGK123" s="139"/>
      <c r="UGL123" s="139"/>
      <c r="UGM123" s="139"/>
      <c r="UGN123" s="139"/>
      <c r="UGO123" s="139"/>
      <c r="UGP123" s="139"/>
      <c r="UGQ123" s="139"/>
      <c r="UGR123" s="139"/>
      <c r="UGS123" s="139"/>
      <c r="UGT123" s="139"/>
      <c r="UGU123" s="139"/>
      <c r="UGV123" s="139"/>
      <c r="UGW123" s="139"/>
      <c r="UGX123" s="139"/>
      <c r="UGY123" s="139"/>
      <c r="UGZ123" s="139"/>
      <c r="UHA123" s="139"/>
      <c r="UHB123" s="139"/>
      <c r="UHC123" s="139"/>
      <c r="UHD123" s="139"/>
      <c r="UHE123" s="139"/>
      <c r="UHF123" s="139"/>
      <c r="UHG123" s="139"/>
      <c r="UHH123" s="139"/>
      <c r="UHI123" s="139"/>
      <c r="UHJ123" s="139"/>
      <c r="UHK123" s="139"/>
      <c r="UHL123" s="139"/>
      <c r="UHM123" s="139"/>
      <c r="UHN123" s="139"/>
      <c r="UHO123" s="139"/>
      <c r="UHP123" s="139"/>
      <c r="UHQ123" s="139"/>
      <c r="UHR123" s="139"/>
      <c r="UHS123" s="139"/>
      <c r="UHT123" s="139"/>
      <c r="UHU123" s="139"/>
      <c r="UHV123" s="139"/>
      <c r="UHW123" s="139"/>
      <c r="UHX123" s="139"/>
      <c r="UHY123" s="139"/>
      <c r="UHZ123" s="139"/>
      <c r="UIA123" s="139"/>
      <c r="UIB123" s="139"/>
      <c r="UIC123" s="139"/>
      <c r="UID123" s="139"/>
      <c r="UIE123" s="139"/>
      <c r="UIF123" s="139"/>
      <c r="UIG123" s="139"/>
      <c r="UIH123" s="139"/>
      <c r="UII123" s="139"/>
      <c r="UIJ123" s="139"/>
      <c r="UIK123" s="139"/>
      <c r="UIL123" s="139"/>
      <c r="UIM123" s="139"/>
      <c r="UIN123" s="139"/>
      <c r="UIO123" s="139"/>
      <c r="UIP123" s="139"/>
      <c r="UIQ123" s="139"/>
      <c r="UIR123" s="139"/>
      <c r="UIS123" s="139"/>
      <c r="UIT123" s="139"/>
      <c r="UIU123" s="139"/>
      <c r="UIV123" s="139"/>
      <c r="UIW123" s="139"/>
      <c r="UIX123" s="139"/>
      <c r="UIY123" s="139"/>
      <c r="UIZ123" s="139"/>
      <c r="UJA123" s="139"/>
      <c r="UJB123" s="139"/>
      <c r="UJC123" s="139"/>
      <c r="UJD123" s="139"/>
      <c r="UJE123" s="139"/>
      <c r="UJF123" s="139"/>
      <c r="UJG123" s="139"/>
      <c r="UJH123" s="139"/>
      <c r="UJI123" s="139"/>
      <c r="UJJ123" s="139"/>
      <c r="UJK123" s="139"/>
      <c r="UJL123" s="139"/>
      <c r="UJM123" s="139"/>
      <c r="UJN123" s="139"/>
      <c r="UJO123" s="139"/>
      <c r="UJP123" s="139"/>
      <c r="UJQ123" s="139"/>
      <c r="UJR123" s="139"/>
      <c r="UJS123" s="139"/>
      <c r="UJT123" s="139"/>
      <c r="UJU123" s="139"/>
      <c r="UJV123" s="139"/>
      <c r="UJW123" s="139"/>
      <c r="UJX123" s="139"/>
      <c r="UJY123" s="139"/>
      <c r="UJZ123" s="139"/>
      <c r="UKA123" s="139"/>
      <c r="UKB123" s="139"/>
      <c r="UKC123" s="139"/>
      <c r="UKD123" s="139"/>
      <c r="UKE123" s="139"/>
      <c r="UKF123" s="139"/>
      <c r="UKG123" s="139"/>
      <c r="UKH123" s="139"/>
      <c r="UKI123" s="139"/>
      <c r="UKJ123" s="139"/>
      <c r="UKK123" s="139"/>
      <c r="UKL123" s="139"/>
      <c r="UKM123" s="139"/>
      <c r="UKN123" s="139"/>
      <c r="UKO123" s="139"/>
      <c r="UKP123" s="139"/>
      <c r="UKQ123" s="139"/>
      <c r="UKR123" s="139"/>
      <c r="UKS123" s="139"/>
      <c r="UKT123" s="139"/>
      <c r="UKU123" s="139"/>
      <c r="UKV123" s="139"/>
      <c r="UKW123" s="139"/>
      <c r="UKX123" s="139"/>
      <c r="UKY123" s="139"/>
      <c r="UKZ123" s="139"/>
      <c r="ULA123" s="139"/>
      <c r="ULB123" s="139"/>
      <c r="ULC123" s="139"/>
      <c r="ULD123" s="139"/>
      <c r="ULE123" s="139"/>
      <c r="ULF123" s="139"/>
      <c r="ULG123" s="139"/>
      <c r="ULH123" s="139"/>
      <c r="ULI123" s="139"/>
      <c r="ULJ123" s="139"/>
      <c r="ULK123" s="139"/>
      <c r="ULL123" s="139"/>
      <c r="ULM123" s="139"/>
      <c r="ULN123" s="139"/>
      <c r="ULO123" s="139"/>
      <c r="ULP123" s="139"/>
      <c r="ULQ123" s="139"/>
      <c r="ULR123" s="139"/>
      <c r="ULS123" s="139"/>
      <c r="ULT123" s="139"/>
      <c r="ULU123" s="139"/>
      <c r="ULV123" s="139"/>
      <c r="ULW123" s="139"/>
      <c r="ULX123" s="139"/>
      <c r="ULY123" s="139"/>
      <c r="ULZ123" s="139"/>
      <c r="UMA123" s="139"/>
      <c r="UMB123" s="139"/>
      <c r="UMC123" s="139"/>
      <c r="UMD123" s="139"/>
      <c r="UME123" s="139"/>
      <c r="UMF123" s="139"/>
      <c r="UMG123" s="139"/>
      <c r="UMH123" s="139"/>
      <c r="UMI123" s="139"/>
      <c r="UMJ123" s="139"/>
      <c r="UMK123" s="139"/>
      <c r="UML123" s="139"/>
      <c r="UMM123" s="139"/>
      <c r="UMN123" s="139"/>
      <c r="UMO123" s="139"/>
      <c r="UMP123" s="139"/>
      <c r="UMQ123" s="139"/>
      <c r="UMR123" s="139"/>
      <c r="UMS123" s="139"/>
      <c r="UMT123" s="139"/>
      <c r="UMU123" s="139"/>
      <c r="UMV123" s="139"/>
      <c r="UMW123" s="139"/>
      <c r="UMX123" s="139"/>
      <c r="UMY123" s="139"/>
      <c r="UMZ123" s="139"/>
      <c r="UNA123" s="139"/>
      <c r="UNB123" s="139"/>
      <c r="UNC123" s="139"/>
      <c r="UND123" s="139"/>
      <c r="UNE123" s="139"/>
      <c r="UNF123" s="139"/>
      <c r="UNG123" s="139"/>
      <c r="UNH123" s="139"/>
      <c r="UNI123" s="139"/>
      <c r="UNJ123" s="139"/>
      <c r="UNK123" s="139"/>
      <c r="UNL123" s="139"/>
      <c r="UNM123" s="139"/>
      <c r="UNN123" s="139"/>
      <c r="UNO123" s="139"/>
      <c r="UNP123" s="139"/>
      <c r="UNQ123" s="139"/>
      <c r="UNR123" s="139"/>
      <c r="UNS123" s="139"/>
      <c r="UNT123" s="139"/>
      <c r="UNU123" s="139"/>
      <c r="UNV123" s="139"/>
      <c r="UNW123" s="139"/>
      <c r="UNX123" s="139"/>
      <c r="UNY123" s="139"/>
      <c r="UNZ123" s="139"/>
      <c r="UOA123" s="139"/>
      <c r="UOB123" s="139"/>
      <c r="UOC123" s="139"/>
      <c r="UOD123" s="139"/>
      <c r="UOE123" s="139"/>
      <c r="UOF123" s="139"/>
      <c r="UOG123" s="139"/>
      <c r="UOH123" s="139"/>
      <c r="UOI123" s="139"/>
      <c r="UOJ123" s="139"/>
      <c r="UOK123" s="139"/>
      <c r="UOL123" s="139"/>
      <c r="UOM123" s="139"/>
      <c r="UON123" s="139"/>
      <c r="UOO123" s="139"/>
      <c r="UOP123" s="139"/>
      <c r="UOQ123" s="139"/>
      <c r="UOR123" s="139"/>
      <c r="UOS123" s="139"/>
      <c r="UOT123" s="139"/>
      <c r="UOU123" s="139"/>
      <c r="UOV123" s="139"/>
      <c r="UOW123" s="139"/>
      <c r="UOX123" s="139"/>
      <c r="UOY123" s="139"/>
      <c r="UOZ123" s="139"/>
      <c r="UPA123" s="139"/>
      <c r="UPB123" s="139"/>
      <c r="UPC123" s="139"/>
      <c r="UPD123" s="139"/>
      <c r="UPE123" s="139"/>
      <c r="UPF123" s="139"/>
      <c r="UPG123" s="139"/>
      <c r="UPH123" s="139"/>
      <c r="UPI123" s="139"/>
      <c r="UPJ123" s="139"/>
      <c r="UPK123" s="139"/>
      <c r="UPL123" s="139"/>
      <c r="UPM123" s="139"/>
      <c r="UPN123" s="139"/>
      <c r="UPO123" s="139"/>
      <c r="UPP123" s="139"/>
      <c r="UPQ123" s="139"/>
      <c r="UPR123" s="139"/>
      <c r="UPS123" s="139"/>
      <c r="UPT123" s="139"/>
      <c r="UPU123" s="139"/>
      <c r="UPV123" s="139"/>
      <c r="UPW123" s="139"/>
      <c r="UPX123" s="139"/>
      <c r="UPY123" s="139"/>
      <c r="UPZ123" s="139"/>
      <c r="UQA123" s="139"/>
      <c r="UQB123" s="139"/>
      <c r="UQC123" s="139"/>
      <c r="UQD123" s="139"/>
      <c r="UQE123" s="139"/>
      <c r="UQF123" s="139"/>
      <c r="UQG123" s="139"/>
      <c r="UQH123" s="139"/>
      <c r="UQI123" s="139"/>
      <c r="UQJ123" s="139"/>
      <c r="UQK123" s="139"/>
      <c r="UQL123" s="139"/>
      <c r="UQM123" s="139"/>
      <c r="UQN123" s="139"/>
      <c r="UQO123" s="139"/>
      <c r="UQP123" s="139"/>
      <c r="UQQ123" s="139"/>
      <c r="UQR123" s="139"/>
      <c r="UQS123" s="139"/>
      <c r="UQT123" s="139"/>
      <c r="UQU123" s="139"/>
      <c r="UQV123" s="139"/>
      <c r="UQW123" s="139"/>
      <c r="UQX123" s="139"/>
      <c r="UQY123" s="139"/>
      <c r="UQZ123" s="139"/>
      <c r="URA123" s="139"/>
      <c r="URB123" s="139"/>
      <c r="URC123" s="139"/>
      <c r="URD123" s="139"/>
      <c r="URE123" s="139"/>
      <c r="URF123" s="139"/>
      <c r="URG123" s="139"/>
      <c r="URH123" s="139"/>
      <c r="URI123" s="139"/>
      <c r="URJ123" s="139"/>
      <c r="URK123" s="139"/>
      <c r="URL123" s="139"/>
      <c r="URM123" s="139"/>
      <c r="URN123" s="139"/>
      <c r="URO123" s="139"/>
      <c r="URP123" s="139"/>
      <c r="URQ123" s="139"/>
      <c r="URR123" s="139"/>
      <c r="URS123" s="139"/>
      <c r="URT123" s="139"/>
      <c r="URU123" s="139"/>
      <c r="URV123" s="139"/>
      <c r="URW123" s="139"/>
      <c r="URX123" s="139"/>
      <c r="URY123" s="139"/>
      <c r="URZ123" s="139"/>
      <c r="USA123" s="139"/>
      <c r="USB123" s="139"/>
      <c r="USC123" s="139"/>
      <c r="USD123" s="139"/>
      <c r="USE123" s="139"/>
      <c r="USF123" s="139"/>
      <c r="USG123" s="139"/>
      <c r="USH123" s="139"/>
      <c r="USI123" s="139"/>
      <c r="USJ123" s="139"/>
      <c r="USK123" s="139"/>
      <c r="USL123" s="139"/>
      <c r="USM123" s="139"/>
      <c r="USN123" s="139"/>
      <c r="USO123" s="139"/>
      <c r="USP123" s="139"/>
      <c r="USQ123" s="139"/>
      <c r="USR123" s="139"/>
      <c r="USS123" s="139"/>
      <c r="UST123" s="139"/>
      <c r="USU123" s="139"/>
      <c r="USV123" s="139"/>
      <c r="USW123" s="139"/>
      <c r="USX123" s="139"/>
      <c r="USY123" s="139"/>
      <c r="USZ123" s="139"/>
      <c r="UTA123" s="139"/>
      <c r="UTB123" s="139"/>
      <c r="UTC123" s="139"/>
      <c r="UTD123" s="139"/>
      <c r="UTE123" s="139"/>
      <c r="UTF123" s="139"/>
      <c r="UTG123" s="139"/>
      <c r="UTH123" s="139"/>
      <c r="UTI123" s="139"/>
      <c r="UTJ123" s="139"/>
      <c r="UTK123" s="139"/>
      <c r="UTL123" s="139"/>
      <c r="UTM123" s="139"/>
      <c r="UTN123" s="139"/>
      <c r="UTO123" s="139"/>
      <c r="UTP123" s="139"/>
      <c r="UTQ123" s="139"/>
      <c r="UTR123" s="139"/>
      <c r="UTS123" s="139"/>
      <c r="UTT123" s="139"/>
      <c r="UTU123" s="139"/>
      <c r="UTV123" s="139"/>
      <c r="UTW123" s="139"/>
      <c r="UTX123" s="139"/>
      <c r="UTY123" s="139"/>
      <c r="UTZ123" s="139"/>
      <c r="UUA123" s="139"/>
      <c r="UUB123" s="139"/>
      <c r="UUC123" s="139"/>
      <c r="UUD123" s="139"/>
      <c r="UUE123" s="139"/>
      <c r="UUF123" s="139"/>
      <c r="UUG123" s="139"/>
      <c r="UUH123" s="139"/>
      <c r="UUI123" s="139"/>
      <c r="UUJ123" s="139"/>
      <c r="UUK123" s="139"/>
      <c r="UUL123" s="139"/>
      <c r="UUM123" s="139"/>
      <c r="UUN123" s="139"/>
      <c r="UUO123" s="139"/>
      <c r="UUP123" s="139"/>
      <c r="UUQ123" s="139"/>
      <c r="UUR123" s="139"/>
      <c r="UUS123" s="139"/>
      <c r="UUT123" s="139"/>
      <c r="UUU123" s="139"/>
      <c r="UUV123" s="139"/>
      <c r="UUW123" s="139"/>
      <c r="UUX123" s="139"/>
      <c r="UUY123" s="139"/>
      <c r="UUZ123" s="139"/>
      <c r="UVA123" s="139"/>
      <c r="UVB123" s="139"/>
      <c r="UVC123" s="139"/>
      <c r="UVD123" s="139"/>
      <c r="UVE123" s="139"/>
      <c r="UVF123" s="139"/>
      <c r="UVG123" s="139"/>
      <c r="UVH123" s="139"/>
      <c r="UVI123" s="139"/>
      <c r="UVJ123" s="139"/>
      <c r="UVK123" s="139"/>
      <c r="UVL123" s="139"/>
      <c r="UVM123" s="139"/>
      <c r="UVN123" s="139"/>
      <c r="UVO123" s="139"/>
      <c r="UVP123" s="139"/>
      <c r="UVQ123" s="139"/>
      <c r="UVR123" s="139"/>
      <c r="UVS123" s="139"/>
      <c r="UVT123" s="139"/>
      <c r="UVU123" s="139"/>
      <c r="UVV123" s="139"/>
      <c r="UVW123" s="139"/>
      <c r="UVX123" s="139"/>
      <c r="UVY123" s="139"/>
      <c r="UVZ123" s="139"/>
      <c r="UWA123" s="139"/>
      <c r="UWB123" s="139"/>
      <c r="UWC123" s="139"/>
      <c r="UWD123" s="139"/>
      <c r="UWE123" s="139"/>
      <c r="UWF123" s="139"/>
      <c r="UWG123" s="139"/>
      <c r="UWH123" s="139"/>
      <c r="UWI123" s="139"/>
      <c r="UWJ123" s="139"/>
      <c r="UWK123" s="139"/>
      <c r="UWL123" s="139"/>
      <c r="UWM123" s="139"/>
      <c r="UWN123" s="139"/>
      <c r="UWO123" s="139"/>
      <c r="UWP123" s="139"/>
      <c r="UWQ123" s="139"/>
      <c r="UWR123" s="139"/>
      <c r="UWS123" s="139"/>
      <c r="UWT123" s="139"/>
      <c r="UWU123" s="139"/>
      <c r="UWV123" s="139"/>
      <c r="UWW123" s="139"/>
      <c r="UWX123" s="139"/>
      <c r="UWY123" s="139"/>
      <c r="UWZ123" s="139"/>
      <c r="UXA123" s="139"/>
      <c r="UXB123" s="139"/>
      <c r="UXC123" s="139"/>
      <c r="UXD123" s="139"/>
      <c r="UXE123" s="139"/>
      <c r="UXF123" s="139"/>
      <c r="UXG123" s="139"/>
      <c r="UXH123" s="139"/>
      <c r="UXI123" s="139"/>
      <c r="UXJ123" s="139"/>
      <c r="UXK123" s="139"/>
      <c r="UXL123" s="139"/>
      <c r="UXM123" s="139"/>
      <c r="UXN123" s="139"/>
      <c r="UXO123" s="139"/>
      <c r="UXP123" s="139"/>
      <c r="UXQ123" s="139"/>
      <c r="UXR123" s="139"/>
      <c r="UXS123" s="139"/>
      <c r="UXT123" s="139"/>
      <c r="UXU123" s="139"/>
      <c r="UXV123" s="139"/>
      <c r="UXW123" s="139"/>
      <c r="UXX123" s="139"/>
      <c r="UXY123" s="139"/>
      <c r="UXZ123" s="139"/>
      <c r="UYA123" s="139"/>
      <c r="UYB123" s="139"/>
      <c r="UYC123" s="139"/>
      <c r="UYD123" s="139"/>
      <c r="UYE123" s="139"/>
      <c r="UYF123" s="139"/>
      <c r="UYG123" s="139"/>
      <c r="UYH123" s="139"/>
      <c r="UYI123" s="139"/>
      <c r="UYJ123" s="139"/>
      <c r="UYK123" s="139"/>
      <c r="UYL123" s="139"/>
      <c r="UYM123" s="139"/>
      <c r="UYN123" s="139"/>
      <c r="UYO123" s="139"/>
      <c r="UYP123" s="139"/>
      <c r="UYQ123" s="139"/>
      <c r="UYR123" s="139"/>
      <c r="UYS123" s="139"/>
      <c r="UYT123" s="139"/>
      <c r="UYU123" s="139"/>
      <c r="UYV123" s="139"/>
      <c r="UYW123" s="139"/>
      <c r="UYX123" s="139"/>
      <c r="UYY123" s="139"/>
      <c r="UYZ123" s="139"/>
      <c r="UZA123" s="139"/>
      <c r="UZB123" s="139"/>
      <c r="UZC123" s="139"/>
      <c r="UZD123" s="139"/>
      <c r="UZE123" s="139"/>
      <c r="UZF123" s="139"/>
      <c r="UZG123" s="139"/>
      <c r="UZH123" s="139"/>
      <c r="UZI123" s="139"/>
      <c r="UZJ123" s="139"/>
      <c r="UZK123" s="139"/>
      <c r="UZL123" s="139"/>
      <c r="UZM123" s="139"/>
      <c r="UZN123" s="139"/>
      <c r="UZO123" s="139"/>
      <c r="UZP123" s="139"/>
      <c r="UZQ123" s="139"/>
      <c r="UZR123" s="139"/>
      <c r="UZS123" s="139"/>
      <c r="UZT123" s="139"/>
      <c r="UZU123" s="139"/>
      <c r="UZV123" s="139"/>
      <c r="UZW123" s="139"/>
      <c r="UZX123" s="139"/>
      <c r="UZY123" s="139"/>
      <c r="UZZ123" s="139"/>
      <c r="VAA123" s="139"/>
      <c r="VAB123" s="139"/>
      <c r="VAC123" s="139"/>
      <c r="VAD123" s="139"/>
      <c r="VAE123" s="139"/>
      <c r="VAF123" s="139"/>
      <c r="VAG123" s="139"/>
      <c r="VAH123" s="139"/>
      <c r="VAI123" s="139"/>
      <c r="VAJ123" s="139"/>
      <c r="VAK123" s="139"/>
      <c r="VAL123" s="139"/>
      <c r="VAM123" s="139"/>
      <c r="VAN123" s="139"/>
      <c r="VAO123" s="139"/>
      <c r="VAP123" s="139"/>
      <c r="VAQ123" s="139"/>
      <c r="VAR123" s="139"/>
      <c r="VAS123" s="139"/>
      <c r="VAT123" s="139"/>
      <c r="VAU123" s="139"/>
      <c r="VAV123" s="139"/>
      <c r="VAW123" s="139"/>
      <c r="VAX123" s="139"/>
      <c r="VAY123" s="139"/>
      <c r="VAZ123" s="139"/>
      <c r="VBA123" s="139"/>
      <c r="VBB123" s="139"/>
      <c r="VBC123" s="139"/>
      <c r="VBD123" s="139"/>
      <c r="VBE123" s="139"/>
      <c r="VBF123" s="139"/>
      <c r="VBG123" s="139"/>
      <c r="VBH123" s="139"/>
      <c r="VBI123" s="139"/>
      <c r="VBJ123" s="139"/>
      <c r="VBK123" s="139"/>
      <c r="VBL123" s="139"/>
      <c r="VBM123" s="139"/>
      <c r="VBN123" s="139"/>
      <c r="VBO123" s="139"/>
      <c r="VBP123" s="139"/>
      <c r="VBQ123" s="139"/>
      <c r="VBR123" s="139"/>
      <c r="VBS123" s="139"/>
      <c r="VBT123" s="139"/>
      <c r="VBU123" s="139"/>
      <c r="VBV123" s="139"/>
      <c r="VBW123" s="139"/>
      <c r="VBX123" s="139"/>
      <c r="VBY123" s="139"/>
      <c r="VBZ123" s="139"/>
      <c r="VCA123" s="139"/>
      <c r="VCB123" s="139"/>
      <c r="VCC123" s="139"/>
      <c r="VCD123" s="139"/>
      <c r="VCE123" s="139"/>
      <c r="VCF123" s="139"/>
      <c r="VCG123" s="139"/>
      <c r="VCH123" s="139"/>
      <c r="VCI123" s="139"/>
      <c r="VCJ123" s="139"/>
      <c r="VCK123" s="139"/>
      <c r="VCL123" s="139"/>
      <c r="VCM123" s="139"/>
      <c r="VCN123" s="139"/>
      <c r="VCO123" s="139"/>
      <c r="VCP123" s="139"/>
      <c r="VCQ123" s="139"/>
      <c r="VCR123" s="139"/>
      <c r="VCS123" s="139"/>
      <c r="VCT123" s="139"/>
      <c r="VCU123" s="139"/>
      <c r="VCV123" s="139"/>
      <c r="VCW123" s="139"/>
      <c r="VCX123" s="139"/>
      <c r="VCY123" s="139"/>
      <c r="VCZ123" s="139"/>
      <c r="VDA123" s="139"/>
      <c r="VDB123" s="139"/>
      <c r="VDC123" s="139"/>
      <c r="VDD123" s="139"/>
      <c r="VDE123" s="139"/>
      <c r="VDF123" s="139"/>
      <c r="VDG123" s="139"/>
      <c r="VDH123" s="139"/>
      <c r="VDI123" s="139"/>
      <c r="VDJ123" s="139"/>
      <c r="VDK123" s="139"/>
      <c r="VDL123" s="139"/>
      <c r="VDM123" s="139"/>
      <c r="VDN123" s="139"/>
      <c r="VDO123" s="139"/>
      <c r="VDP123" s="139"/>
      <c r="VDQ123" s="139"/>
      <c r="VDR123" s="139"/>
      <c r="VDS123" s="139"/>
      <c r="VDT123" s="139"/>
      <c r="VDU123" s="139"/>
      <c r="VDV123" s="139"/>
      <c r="VDW123" s="139"/>
      <c r="VDX123" s="139"/>
      <c r="VDY123" s="139"/>
      <c r="VDZ123" s="139"/>
      <c r="VEA123" s="139"/>
      <c r="VEB123" s="139"/>
      <c r="VEC123" s="139"/>
      <c r="VED123" s="139"/>
      <c r="VEE123" s="139"/>
      <c r="VEF123" s="139"/>
      <c r="VEG123" s="139"/>
      <c r="VEH123" s="139"/>
      <c r="VEI123" s="139"/>
      <c r="VEJ123" s="139"/>
      <c r="VEK123" s="139"/>
      <c r="VEL123" s="139"/>
      <c r="VEM123" s="139"/>
      <c r="VEN123" s="139"/>
      <c r="VEO123" s="139"/>
      <c r="VEP123" s="139"/>
      <c r="VEQ123" s="139"/>
      <c r="VER123" s="139"/>
      <c r="VES123" s="139"/>
      <c r="VET123" s="139"/>
      <c r="VEU123" s="139"/>
      <c r="VEV123" s="139"/>
      <c r="VEW123" s="139"/>
      <c r="VEX123" s="139"/>
      <c r="VEY123" s="139"/>
      <c r="VEZ123" s="139"/>
      <c r="VFA123" s="139"/>
      <c r="VFB123" s="139"/>
      <c r="VFC123" s="139"/>
      <c r="VFD123" s="139"/>
      <c r="VFE123" s="139"/>
      <c r="VFF123" s="139"/>
      <c r="VFG123" s="139"/>
      <c r="VFH123" s="139"/>
      <c r="VFI123" s="139"/>
      <c r="VFJ123" s="139"/>
      <c r="VFK123" s="139"/>
      <c r="VFL123" s="139"/>
      <c r="VFM123" s="139"/>
      <c r="VFN123" s="139"/>
      <c r="VFO123" s="139"/>
      <c r="VFP123" s="139"/>
      <c r="VFQ123" s="139"/>
      <c r="VFR123" s="139"/>
      <c r="VFS123" s="139"/>
      <c r="VFT123" s="139"/>
      <c r="VFU123" s="139"/>
      <c r="VFV123" s="139"/>
      <c r="VFW123" s="139"/>
      <c r="VFX123" s="139"/>
      <c r="VFY123" s="139"/>
      <c r="VFZ123" s="139"/>
      <c r="VGA123" s="139"/>
      <c r="VGB123" s="139"/>
      <c r="VGC123" s="139"/>
      <c r="VGD123" s="139"/>
      <c r="VGE123" s="139"/>
      <c r="VGF123" s="139"/>
      <c r="VGG123" s="139"/>
      <c r="VGH123" s="139"/>
      <c r="VGI123" s="139"/>
      <c r="VGJ123" s="139"/>
      <c r="VGK123" s="139"/>
      <c r="VGL123" s="139"/>
      <c r="VGM123" s="139"/>
      <c r="VGN123" s="139"/>
      <c r="VGO123" s="139"/>
      <c r="VGP123" s="139"/>
      <c r="VGQ123" s="139"/>
      <c r="VGR123" s="139"/>
      <c r="VGS123" s="139"/>
      <c r="VGT123" s="139"/>
      <c r="VGU123" s="139"/>
      <c r="VGV123" s="139"/>
      <c r="VGW123" s="139"/>
      <c r="VGX123" s="139"/>
      <c r="VGY123" s="139"/>
      <c r="VGZ123" s="139"/>
      <c r="VHA123" s="139"/>
      <c r="VHB123" s="139"/>
      <c r="VHC123" s="139"/>
      <c r="VHD123" s="139"/>
      <c r="VHE123" s="139"/>
      <c r="VHF123" s="139"/>
      <c r="VHG123" s="139"/>
      <c r="VHH123" s="139"/>
      <c r="VHI123" s="139"/>
      <c r="VHJ123" s="139"/>
      <c r="VHK123" s="139"/>
      <c r="VHL123" s="139"/>
      <c r="VHM123" s="139"/>
      <c r="VHN123" s="139"/>
      <c r="VHO123" s="139"/>
      <c r="VHP123" s="139"/>
      <c r="VHQ123" s="139"/>
      <c r="VHR123" s="139"/>
      <c r="VHS123" s="139"/>
      <c r="VHT123" s="139"/>
      <c r="VHU123" s="139"/>
      <c r="VHV123" s="139"/>
      <c r="VHW123" s="139"/>
      <c r="VHX123" s="139"/>
      <c r="VHY123" s="139"/>
      <c r="VHZ123" s="139"/>
      <c r="VIA123" s="139"/>
      <c r="VIB123" s="139"/>
      <c r="VIC123" s="139"/>
      <c r="VID123" s="139"/>
      <c r="VIE123" s="139"/>
      <c r="VIF123" s="139"/>
      <c r="VIG123" s="139"/>
      <c r="VIH123" s="139"/>
      <c r="VII123" s="139"/>
      <c r="VIJ123" s="139"/>
      <c r="VIK123" s="139"/>
      <c r="VIL123" s="139"/>
      <c r="VIM123" s="139"/>
      <c r="VIN123" s="139"/>
      <c r="VIO123" s="139"/>
      <c r="VIP123" s="139"/>
      <c r="VIQ123" s="139"/>
      <c r="VIR123" s="139"/>
      <c r="VIS123" s="139"/>
      <c r="VIT123" s="139"/>
      <c r="VIU123" s="139"/>
      <c r="VIV123" s="139"/>
      <c r="VIW123" s="139"/>
      <c r="VIX123" s="139"/>
      <c r="VIY123" s="139"/>
      <c r="VIZ123" s="139"/>
      <c r="VJA123" s="139"/>
      <c r="VJB123" s="139"/>
      <c r="VJC123" s="139"/>
      <c r="VJD123" s="139"/>
      <c r="VJE123" s="139"/>
      <c r="VJF123" s="139"/>
      <c r="VJG123" s="139"/>
      <c r="VJH123" s="139"/>
      <c r="VJI123" s="139"/>
      <c r="VJJ123" s="139"/>
      <c r="VJK123" s="139"/>
      <c r="VJL123" s="139"/>
      <c r="VJM123" s="139"/>
      <c r="VJN123" s="139"/>
      <c r="VJO123" s="139"/>
      <c r="VJP123" s="139"/>
      <c r="VJQ123" s="139"/>
      <c r="VJR123" s="139"/>
      <c r="VJS123" s="139"/>
      <c r="VJT123" s="139"/>
      <c r="VJU123" s="139"/>
      <c r="VJV123" s="139"/>
      <c r="VJW123" s="139"/>
      <c r="VJX123" s="139"/>
      <c r="VJY123" s="139"/>
      <c r="VJZ123" s="139"/>
      <c r="VKA123" s="139"/>
      <c r="VKB123" s="139"/>
      <c r="VKC123" s="139"/>
      <c r="VKD123" s="139"/>
      <c r="VKE123" s="139"/>
      <c r="VKF123" s="139"/>
      <c r="VKG123" s="139"/>
      <c r="VKH123" s="139"/>
      <c r="VKI123" s="139"/>
      <c r="VKJ123" s="139"/>
      <c r="VKK123" s="139"/>
      <c r="VKL123" s="139"/>
      <c r="VKM123" s="139"/>
      <c r="VKN123" s="139"/>
      <c r="VKO123" s="139"/>
      <c r="VKP123" s="139"/>
      <c r="VKQ123" s="139"/>
      <c r="VKR123" s="139"/>
      <c r="VKS123" s="139"/>
      <c r="VKT123" s="139"/>
      <c r="VKU123" s="139"/>
      <c r="VKV123" s="139"/>
      <c r="VKW123" s="139"/>
      <c r="VKX123" s="139"/>
      <c r="VKY123" s="139"/>
      <c r="VKZ123" s="139"/>
      <c r="VLA123" s="139"/>
      <c r="VLB123" s="139"/>
      <c r="VLC123" s="139"/>
      <c r="VLD123" s="139"/>
      <c r="VLE123" s="139"/>
      <c r="VLF123" s="139"/>
      <c r="VLG123" s="139"/>
      <c r="VLH123" s="139"/>
      <c r="VLI123" s="139"/>
      <c r="VLJ123" s="139"/>
      <c r="VLK123" s="139"/>
      <c r="VLL123" s="139"/>
      <c r="VLM123" s="139"/>
      <c r="VLN123" s="139"/>
      <c r="VLO123" s="139"/>
      <c r="VLP123" s="139"/>
      <c r="VLQ123" s="139"/>
      <c r="VLR123" s="139"/>
      <c r="VLS123" s="139"/>
      <c r="VLT123" s="139"/>
      <c r="VLU123" s="139"/>
      <c r="VLV123" s="139"/>
      <c r="VLW123" s="139"/>
      <c r="VLX123" s="139"/>
      <c r="VLY123" s="139"/>
      <c r="VLZ123" s="139"/>
      <c r="VMA123" s="139"/>
      <c r="VMB123" s="139"/>
      <c r="VMC123" s="139"/>
      <c r="VMD123" s="139"/>
      <c r="VME123" s="139"/>
      <c r="VMF123" s="139"/>
      <c r="VMG123" s="139"/>
      <c r="VMH123" s="139"/>
      <c r="VMI123" s="139"/>
      <c r="VMJ123" s="139"/>
      <c r="VMK123" s="139"/>
      <c r="VML123" s="139"/>
      <c r="VMM123" s="139"/>
      <c r="VMN123" s="139"/>
      <c r="VMO123" s="139"/>
      <c r="VMP123" s="139"/>
      <c r="VMQ123" s="139"/>
      <c r="VMR123" s="139"/>
      <c r="VMS123" s="139"/>
      <c r="VMT123" s="139"/>
      <c r="VMU123" s="139"/>
      <c r="VMV123" s="139"/>
      <c r="VMW123" s="139"/>
      <c r="VMX123" s="139"/>
      <c r="VMY123" s="139"/>
      <c r="VMZ123" s="139"/>
      <c r="VNA123" s="139"/>
      <c r="VNB123" s="139"/>
      <c r="VNC123" s="139"/>
      <c r="VND123" s="139"/>
      <c r="VNE123" s="139"/>
      <c r="VNF123" s="139"/>
      <c r="VNG123" s="139"/>
      <c r="VNH123" s="139"/>
      <c r="VNI123" s="139"/>
      <c r="VNJ123" s="139"/>
      <c r="VNK123" s="139"/>
      <c r="VNL123" s="139"/>
      <c r="VNM123" s="139"/>
      <c r="VNN123" s="139"/>
      <c r="VNO123" s="139"/>
      <c r="VNP123" s="139"/>
      <c r="VNQ123" s="139"/>
      <c r="VNR123" s="139"/>
      <c r="VNS123" s="139"/>
      <c r="VNT123" s="139"/>
      <c r="VNU123" s="139"/>
      <c r="VNV123" s="139"/>
      <c r="VNW123" s="139"/>
      <c r="VNX123" s="139"/>
      <c r="VNY123" s="139"/>
      <c r="VNZ123" s="139"/>
      <c r="VOA123" s="139"/>
      <c r="VOB123" s="139"/>
      <c r="VOC123" s="139"/>
      <c r="VOD123" s="139"/>
      <c r="VOE123" s="139"/>
      <c r="VOF123" s="139"/>
      <c r="VOG123" s="139"/>
      <c r="VOH123" s="139"/>
      <c r="VOI123" s="139"/>
      <c r="VOJ123" s="139"/>
      <c r="VOK123" s="139"/>
      <c r="VOL123" s="139"/>
      <c r="VOM123" s="139"/>
      <c r="VON123" s="139"/>
      <c r="VOO123" s="139"/>
      <c r="VOP123" s="139"/>
      <c r="VOQ123" s="139"/>
      <c r="VOR123" s="139"/>
      <c r="VOS123" s="139"/>
      <c r="VOT123" s="139"/>
      <c r="VOU123" s="139"/>
      <c r="VOV123" s="139"/>
      <c r="VOW123" s="139"/>
      <c r="VOX123" s="139"/>
      <c r="VOY123" s="139"/>
      <c r="VOZ123" s="139"/>
      <c r="VPA123" s="139"/>
      <c r="VPB123" s="139"/>
      <c r="VPC123" s="139"/>
      <c r="VPD123" s="139"/>
      <c r="VPE123" s="139"/>
      <c r="VPF123" s="139"/>
      <c r="VPG123" s="139"/>
      <c r="VPH123" s="139"/>
      <c r="VPI123" s="139"/>
      <c r="VPJ123" s="139"/>
      <c r="VPK123" s="139"/>
      <c r="VPL123" s="139"/>
      <c r="VPM123" s="139"/>
      <c r="VPN123" s="139"/>
      <c r="VPO123" s="139"/>
      <c r="VPP123" s="139"/>
      <c r="VPQ123" s="139"/>
      <c r="VPR123" s="139"/>
      <c r="VPS123" s="139"/>
      <c r="VPT123" s="139"/>
      <c r="VPU123" s="139"/>
      <c r="VPV123" s="139"/>
      <c r="VPW123" s="139"/>
      <c r="VPX123" s="139"/>
      <c r="VPY123" s="139"/>
      <c r="VPZ123" s="139"/>
      <c r="VQA123" s="139"/>
      <c r="VQB123" s="139"/>
      <c r="VQC123" s="139"/>
      <c r="VQD123" s="139"/>
      <c r="VQE123" s="139"/>
      <c r="VQF123" s="139"/>
      <c r="VQG123" s="139"/>
      <c r="VQH123" s="139"/>
      <c r="VQI123" s="139"/>
      <c r="VQJ123" s="139"/>
      <c r="VQK123" s="139"/>
      <c r="VQL123" s="139"/>
      <c r="VQM123" s="139"/>
      <c r="VQN123" s="139"/>
      <c r="VQO123" s="139"/>
      <c r="VQP123" s="139"/>
      <c r="VQQ123" s="139"/>
      <c r="VQR123" s="139"/>
      <c r="VQS123" s="139"/>
      <c r="VQT123" s="139"/>
      <c r="VQU123" s="139"/>
      <c r="VQV123" s="139"/>
      <c r="VQW123" s="139"/>
      <c r="VQX123" s="139"/>
      <c r="VQY123" s="139"/>
      <c r="VQZ123" s="139"/>
      <c r="VRA123" s="139"/>
      <c r="VRB123" s="139"/>
      <c r="VRC123" s="139"/>
      <c r="VRD123" s="139"/>
      <c r="VRE123" s="139"/>
      <c r="VRF123" s="139"/>
      <c r="VRG123" s="139"/>
      <c r="VRH123" s="139"/>
      <c r="VRI123" s="139"/>
      <c r="VRJ123" s="139"/>
      <c r="VRK123" s="139"/>
      <c r="VRL123" s="139"/>
      <c r="VRM123" s="139"/>
      <c r="VRN123" s="139"/>
      <c r="VRO123" s="139"/>
      <c r="VRP123" s="139"/>
      <c r="VRQ123" s="139"/>
      <c r="VRR123" s="139"/>
      <c r="VRS123" s="139"/>
      <c r="VRT123" s="139"/>
      <c r="VRU123" s="139"/>
      <c r="VRV123" s="139"/>
      <c r="VRW123" s="139"/>
      <c r="VRX123" s="139"/>
      <c r="VRY123" s="139"/>
      <c r="VRZ123" s="139"/>
      <c r="VSA123" s="139"/>
      <c r="VSB123" s="139"/>
      <c r="VSC123" s="139"/>
      <c r="VSD123" s="139"/>
      <c r="VSE123" s="139"/>
      <c r="VSF123" s="139"/>
      <c r="VSG123" s="139"/>
      <c r="VSH123" s="139"/>
      <c r="VSI123" s="139"/>
      <c r="VSJ123" s="139"/>
      <c r="VSK123" s="139"/>
      <c r="VSL123" s="139"/>
      <c r="VSM123" s="139"/>
      <c r="VSN123" s="139"/>
      <c r="VSO123" s="139"/>
      <c r="VSP123" s="139"/>
      <c r="VSQ123" s="139"/>
      <c r="VSR123" s="139"/>
      <c r="VSS123" s="139"/>
      <c r="VST123" s="139"/>
      <c r="VSU123" s="139"/>
      <c r="VSV123" s="139"/>
      <c r="VSW123" s="139"/>
      <c r="VSX123" s="139"/>
      <c r="VSY123" s="139"/>
      <c r="VSZ123" s="139"/>
      <c r="VTA123" s="139"/>
      <c r="VTB123" s="139"/>
      <c r="VTC123" s="139"/>
      <c r="VTD123" s="139"/>
      <c r="VTE123" s="139"/>
      <c r="VTF123" s="139"/>
      <c r="VTG123" s="139"/>
      <c r="VTH123" s="139"/>
      <c r="VTI123" s="139"/>
      <c r="VTJ123" s="139"/>
      <c r="VTK123" s="139"/>
      <c r="VTL123" s="139"/>
      <c r="VTM123" s="139"/>
      <c r="VTN123" s="139"/>
      <c r="VTO123" s="139"/>
      <c r="VTP123" s="139"/>
      <c r="VTQ123" s="139"/>
      <c r="VTR123" s="139"/>
      <c r="VTS123" s="139"/>
      <c r="VTT123" s="139"/>
      <c r="VTU123" s="139"/>
      <c r="VTV123" s="139"/>
      <c r="VTW123" s="139"/>
      <c r="VTX123" s="139"/>
      <c r="VTY123" s="139"/>
      <c r="VTZ123" s="139"/>
      <c r="VUA123" s="139"/>
      <c r="VUB123" s="139"/>
      <c r="VUC123" s="139"/>
      <c r="VUD123" s="139"/>
      <c r="VUE123" s="139"/>
      <c r="VUF123" s="139"/>
      <c r="VUG123" s="139"/>
      <c r="VUH123" s="139"/>
      <c r="VUI123" s="139"/>
      <c r="VUJ123" s="139"/>
      <c r="VUK123" s="139"/>
      <c r="VUL123" s="139"/>
      <c r="VUM123" s="139"/>
      <c r="VUN123" s="139"/>
      <c r="VUO123" s="139"/>
      <c r="VUP123" s="139"/>
      <c r="VUQ123" s="139"/>
      <c r="VUR123" s="139"/>
      <c r="VUS123" s="139"/>
      <c r="VUT123" s="139"/>
      <c r="VUU123" s="139"/>
      <c r="VUV123" s="139"/>
      <c r="VUW123" s="139"/>
      <c r="VUX123" s="139"/>
      <c r="VUY123" s="139"/>
      <c r="VUZ123" s="139"/>
      <c r="VVA123" s="139"/>
      <c r="VVB123" s="139"/>
      <c r="VVC123" s="139"/>
      <c r="VVD123" s="139"/>
      <c r="VVE123" s="139"/>
      <c r="VVF123" s="139"/>
      <c r="VVG123" s="139"/>
      <c r="VVH123" s="139"/>
      <c r="VVI123" s="139"/>
      <c r="VVJ123" s="139"/>
      <c r="VVK123" s="139"/>
      <c r="VVL123" s="139"/>
      <c r="VVM123" s="139"/>
      <c r="VVN123" s="139"/>
      <c r="VVO123" s="139"/>
      <c r="VVP123" s="139"/>
      <c r="VVQ123" s="139"/>
      <c r="VVR123" s="139"/>
      <c r="VVS123" s="139"/>
      <c r="VVT123" s="139"/>
      <c r="VVU123" s="139"/>
      <c r="VVV123" s="139"/>
      <c r="VVW123" s="139"/>
      <c r="VVX123" s="139"/>
      <c r="VVY123" s="139"/>
      <c r="VVZ123" s="139"/>
      <c r="VWA123" s="139"/>
      <c r="VWB123" s="139"/>
      <c r="VWC123" s="139"/>
      <c r="VWD123" s="139"/>
      <c r="VWE123" s="139"/>
      <c r="VWF123" s="139"/>
      <c r="VWG123" s="139"/>
      <c r="VWH123" s="139"/>
      <c r="VWI123" s="139"/>
      <c r="VWJ123" s="139"/>
      <c r="VWK123" s="139"/>
      <c r="VWL123" s="139"/>
      <c r="VWM123" s="139"/>
      <c r="VWN123" s="139"/>
      <c r="VWO123" s="139"/>
      <c r="VWP123" s="139"/>
      <c r="VWQ123" s="139"/>
      <c r="VWR123" s="139"/>
      <c r="VWS123" s="139"/>
      <c r="VWT123" s="139"/>
      <c r="VWU123" s="139"/>
      <c r="VWV123" s="139"/>
      <c r="VWW123" s="139"/>
      <c r="VWX123" s="139"/>
      <c r="VWY123" s="139"/>
      <c r="VWZ123" s="139"/>
      <c r="VXA123" s="139"/>
      <c r="VXB123" s="139"/>
      <c r="VXC123" s="139"/>
      <c r="VXD123" s="139"/>
      <c r="VXE123" s="139"/>
      <c r="VXF123" s="139"/>
      <c r="VXG123" s="139"/>
      <c r="VXH123" s="139"/>
      <c r="VXI123" s="139"/>
      <c r="VXJ123" s="139"/>
      <c r="VXK123" s="139"/>
      <c r="VXL123" s="139"/>
      <c r="VXM123" s="139"/>
      <c r="VXN123" s="139"/>
      <c r="VXO123" s="139"/>
      <c r="VXP123" s="139"/>
      <c r="VXQ123" s="139"/>
      <c r="VXR123" s="139"/>
      <c r="VXS123" s="139"/>
      <c r="VXT123" s="139"/>
      <c r="VXU123" s="139"/>
      <c r="VXV123" s="139"/>
      <c r="VXW123" s="139"/>
      <c r="VXX123" s="139"/>
      <c r="VXY123" s="139"/>
      <c r="VXZ123" s="139"/>
      <c r="VYA123" s="139"/>
      <c r="VYB123" s="139"/>
      <c r="VYC123" s="139"/>
      <c r="VYD123" s="139"/>
      <c r="VYE123" s="139"/>
      <c r="VYF123" s="139"/>
      <c r="VYG123" s="139"/>
      <c r="VYH123" s="139"/>
      <c r="VYI123" s="139"/>
      <c r="VYJ123" s="139"/>
      <c r="VYK123" s="139"/>
      <c r="VYL123" s="139"/>
      <c r="VYM123" s="139"/>
      <c r="VYN123" s="139"/>
      <c r="VYO123" s="139"/>
      <c r="VYP123" s="139"/>
      <c r="VYQ123" s="139"/>
      <c r="VYR123" s="139"/>
      <c r="VYS123" s="139"/>
      <c r="VYT123" s="139"/>
      <c r="VYU123" s="139"/>
      <c r="VYV123" s="139"/>
      <c r="VYW123" s="139"/>
      <c r="VYX123" s="139"/>
      <c r="VYY123" s="139"/>
      <c r="VYZ123" s="139"/>
      <c r="VZA123" s="139"/>
      <c r="VZB123" s="139"/>
      <c r="VZC123" s="139"/>
      <c r="VZD123" s="139"/>
      <c r="VZE123" s="139"/>
      <c r="VZF123" s="139"/>
      <c r="VZG123" s="139"/>
      <c r="VZH123" s="139"/>
      <c r="VZI123" s="139"/>
      <c r="VZJ123" s="139"/>
      <c r="VZK123" s="139"/>
      <c r="VZL123" s="139"/>
      <c r="VZM123" s="139"/>
      <c r="VZN123" s="139"/>
      <c r="VZO123" s="139"/>
      <c r="VZP123" s="139"/>
      <c r="VZQ123" s="139"/>
      <c r="VZR123" s="139"/>
      <c r="VZS123" s="139"/>
      <c r="VZT123" s="139"/>
      <c r="VZU123" s="139"/>
      <c r="VZV123" s="139"/>
      <c r="VZW123" s="139"/>
      <c r="VZX123" s="139"/>
      <c r="VZY123" s="139"/>
      <c r="VZZ123" s="139"/>
      <c r="WAA123" s="139"/>
      <c r="WAB123" s="139"/>
      <c r="WAC123" s="139"/>
      <c r="WAD123" s="139"/>
      <c r="WAE123" s="139"/>
      <c r="WAF123" s="139"/>
      <c r="WAG123" s="139"/>
      <c r="WAH123" s="139"/>
      <c r="WAI123" s="139"/>
      <c r="WAJ123" s="139"/>
      <c r="WAK123" s="139"/>
      <c r="WAL123" s="139"/>
      <c r="WAM123" s="139"/>
      <c r="WAN123" s="139"/>
      <c r="WAO123" s="139"/>
      <c r="WAP123" s="139"/>
      <c r="WAQ123" s="139"/>
      <c r="WAR123" s="139"/>
      <c r="WAS123" s="139"/>
      <c r="WAT123" s="139"/>
      <c r="WAU123" s="139"/>
      <c r="WAV123" s="139"/>
      <c r="WAW123" s="139"/>
      <c r="WAX123" s="139"/>
      <c r="WAY123" s="139"/>
      <c r="WAZ123" s="139"/>
      <c r="WBA123" s="139"/>
      <c r="WBB123" s="139"/>
      <c r="WBC123" s="139"/>
      <c r="WBD123" s="139"/>
      <c r="WBE123" s="139"/>
      <c r="WBF123" s="139"/>
      <c r="WBG123" s="139"/>
      <c r="WBH123" s="139"/>
      <c r="WBI123" s="139"/>
      <c r="WBJ123" s="139"/>
      <c r="WBK123" s="139"/>
      <c r="WBL123" s="139"/>
      <c r="WBM123" s="139"/>
      <c r="WBN123" s="139"/>
      <c r="WBO123" s="139"/>
      <c r="WBP123" s="139"/>
      <c r="WBQ123" s="139"/>
      <c r="WBR123" s="139"/>
      <c r="WBS123" s="139"/>
      <c r="WBT123" s="139"/>
      <c r="WBU123" s="139"/>
      <c r="WBV123" s="139"/>
      <c r="WBW123" s="139"/>
      <c r="WBX123" s="139"/>
      <c r="WBY123" s="139"/>
      <c r="WBZ123" s="139"/>
      <c r="WCA123" s="139"/>
      <c r="WCB123" s="139"/>
      <c r="WCC123" s="139"/>
      <c r="WCD123" s="139"/>
      <c r="WCE123" s="139"/>
      <c r="WCF123" s="139"/>
      <c r="WCG123" s="139"/>
      <c r="WCH123" s="139"/>
      <c r="WCI123" s="139"/>
      <c r="WCJ123" s="139"/>
      <c r="WCK123" s="139"/>
      <c r="WCL123" s="139"/>
      <c r="WCM123" s="139"/>
      <c r="WCN123" s="139"/>
      <c r="WCO123" s="139"/>
      <c r="WCP123" s="139"/>
      <c r="WCQ123" s="139"/>
      <c r="WCR123" s="139"/>
      <c r="WCS123" s="139"/>
      <c r="WCT123" s="139"/>
      <c r="WCU123" s="139"/>
      <c r="WCV123" s="139"/>
      <c r="WCW123" s="139"/>
      <c r="WCX123" s="139"/>
      <c r="WCY123" s="139"/>
      <c r="WCZ123" s="139"/>
      <c r="WDA123" s="139"/>
      <c r="WDB123" s="139"/>
      <c r="WDC123" s="139"/>
      <c r="WDD123" s="139"/>
      <c r="WDE123" s="139"/>
      <c r="WDF123" s="139"/>
      <c r="WDG123" s="139"/>
      <c r="WDH123" s="139"/>
      <c r="WDI123" s="139"/>
      <c r="WDJ123" s="139"/>
      <c r="WDK123" s="139"/>
      <c r="WDL123" s="139"/>
      <c r="WDM123" s="139"/>
      <c r="WDN123" s="139"/>
      <c r="WDO123" s="139"/>
      <c r="WDP123" s="139"/>
      <c r="WDQ123" s="139"/>
      <c r="WDR123" s="139"/>
      <c r="WDS123" s="139"/>
      <c r="WDT123" s="139"/>
      <c r="WDU123" s="139"/>
      <c r="WDV123" s="139"/>
      <c r="WDW123" s="139"/>
      <c r="WDX123" s="139"/>
      <c r="WDY123" s="139"/>
      <c r="WDZ123" s="139"/>
      <c r="WEA123" s="139"/>
      <c r="WEB123" s="139"/>
      <c r="WEC123" s="139"/>
      <c r="WED123" s="139"/>
      <c r="WEE123" s="139"/>
      <c r="WEF123" s="139"/>
      <c r="WEG123" s="139"/>
      <c r="WEH123" s="139"/>
      <c r="WEI123" s="139"/>
      <c r="WEJ123" s="139"/>
      <c r="WEK123" s="139"/>
      <c r="WEL123" s="139"/>
      <c r="WEM123" s="139"/>
      <c r="WEN123" s="139"/>
      <c r="WEO123" s="139"/>
      <c r="WEP123" s="139"/>
      <c r="WEQ123" s="139"/>
      <c r="WER123" s="139"/>
      <c r="WES123" s="139"/>
      <c r="WET123" s="139"/>
      <c r="WEU123" s="139"/>
      <c r="WEV123" s="139"/>
      <c r="WEW123" s="139"/>
      <c r="WEX123" s="139"/>
      <c r="WEY123" s="139"/>
      <c r="WEZ123" s="139"/>
      <c r="WFA123" s="139"/>
      <c r="WFB123" s="139"/>
      <c r="WFC123" s="139"/>
      <c r="WFD123" s="139"/>
      <c r="WFE123" s="139"/>
      <c r="WFF123" s="139"/>
      <c r="WFG123" s="139"/>
      <c r="WFH123" s="139"/>
      <c r="WFI123" s="139"/>
      <c r="WFJ123" s="139"/>
      <c r="WFK123" s="139"/>
      <c r="WFL123" s="139"/>
      <c r="WFM123" s="139"/>
      <c r="WFN123" s="139"/>
      <c r="WFO123" s="139"/>
      <c r="WFP123" s="139"/>
      <c r="WFQ123" s="139"/>
      <c r="WFR123" s="139"/>
      <c r="WFS123" s="139"/>
      <c r="WFT123" s="139"/>
      <c r="WFU123" s="139"/>
      <c r="WFV123" s="139"/>
      <c r="WFW123" s="139"/>
      <c r="WFX123" s="139"/>
      <c r="WFY123" s="139"/>
      <c r="WFZ123" s="139"/>
      <c r="WGA123" s="139"/>
      <c r="WGB123" s="139"/>
      <c r="WGC123" s="139"/>
      <c r="WGD123" s="139"/>
      <c r="WGE123" s="139"/>
      <c r="WGF123" s="139"/>
      <c r="WGG123" s="139"/>
      <c r="WGH123" s="139"/>
      <c r="WGI123" s="139"/>
      <c r="WGJ123" s="139"/>
      <c r="WGK123" s="139"/>
      <c r="WGL123" s="139"/>
      <c r="WGM123" s="139"/>
      <c r="WGN123" s="139"/>
      <c r="WGO123" s="139"/>
      <c r="WGP123" s="139"/>
      <c r="WGQ123" s="139"/>
      <c r="WGR123" s="139"/>
      <c r="WGS123" s="139"/>
      <c r="WGT123" s="139"/>
      <c r="WGU123" s="139"/>
      <c r="WGV123" s="139"/>
      <c r="WGW123" s="139"/>
      <c r="WGX123" s="139"/>
      <c r="WGY123" s="139"/>
      <c r="WGZ123" s="139"/>
      <c r="WHA123" s="139"/>
      <c r="WHB123" s="139"/>
      <c r="WHC123" s="139"/>
      <c r="WHD123" s="139"/>
      <c r="WHE123" s="139"/>
      <c r="WHF123" s="139"/>
      <c r="WHG123" s="139"/>
      <c r="WHH123" s="139"/>
      <c r="WHI123" s="139"/>
      <c r="WHJ123" s="139"/>
      <c r="WHK123" s="139"/>
      <c r="WHL123" s="139"/>
      <c r="WHM123" s="139"/>
      <c r="WHN123" s="139"/>
      <c r="WHO123" s="139"/>
      <c r="WHP123" s="139"/>
      <c r="WHQ123" s="139"/>
      <c r="WHR123" s="139"/>
      <c r="WHS123" s="139"/>
      <c r="WHT123" s="139"/>
      <c r="WHU123" s="139"/>
      <c r="WHV123" s="139"/>
      <c r="WHW123" s="139"/>
      <c r="WHX123" s="139"/>
      <c r="WHY123" s="139"/>
      <c r="WHZ123" s="139"/>
      <c r="WIA123" s="139"/>
      <c r="WIB123" s="139"/>
      <c r="WIC123" s="139"/>
      <c r="WID123" s="139"/>
      <c r="WIE123" s="139"/>
      <c r="WIF123" s="139"/>
      <c r="WIG123" s="139"/>
      <c r="WIH123" s="139"/>
      <c r="WII123" s="139"/>
      <c r="WIJ123" s="139"/>
      <c r="WIK123" s="139"/>
      <c r="WIL123" s="139"/>
      <c r="WIM123" s="139"/>
      <c r="WIN123" s="139"/>
      <c r="WIO123" s="139"/>
      <c r="WIP123" s="139"/>
      <c r="WIQ123" s="139"/>
      <c r="WIR123" s="139"/>
      <c r="WIS123" s="139"/>
      <c r="WIT123" s="139"/>
      <c r="WIU123" s="139"/>
      <c r="WIV123" s="139"/>
      <c r="WIW123" s="139"/>
      <c r="WIX123" s="139"/>
      <c r="WIY123" s="139"/>
      <c r="WIZ123" s="139"/>
      <c r="WJA123" s="139"/>
      <c r="WJB123" s="139"/>
      <c r="WJC123" s="139"/>
      <c r="WJD123" s="139"/>
      <c r="WJE123" s="139"/>
      <c r="WJF123" s="139"/>
      <c r="WJG123" s="139"/>
      <c r="WJH123" s="139"/>
      <c r="WJI123" s="139"/>
      <c r="WJJ123" s="139"/>
      <c r="WJK123" s="139"/>
      <c r="WJL123" s="139"/>
      <c r="WJM123" s="139"/>
      <c r="WJN123" s="139"/>
      <c r="WJO123" s="139"/>
      <c r="WJP123" s="139"/>
      <c r="WJQ123" s="139"/>
      <c r="WJR123" s="139"/>
      <c r="WJS123" s="139"/>
      <c r="WJT123" s="139"/>
      <c r="WJU123" s="139"/>
      <c r="WJV123" s="139"/>
      <c r="WJW123" s="139"/>
      <c r="WJX123" s="139"/>
      <c r="WJY123" s="139"/>
      <c r="WJZ123" s="139"/>
      <c r="WKA123" s="139"/>
      <c r="WKB123" s="139"/>
      <c r="WKC123" s="139"/>
      <c r="WKD123" s="139"/>
      <c r="WKE123" s="139"/>
      <c r="WKF123" s="139"/>
      <c r="WKG123" s="139"/>
      <c r="WKH123" s="139"/>
      <c r="WKI123" s="139"/>
      <c r="WKJ123" s="139"/>
      <c r="WKK123" s="139"/>
      <c r="WKL123" s="139"/>
      <c r="WKM123" s="139"/>
      <c r="WKN123" s="139"/>
      <c r="WKO123" s="139"/>
      <c r="WKP123" s="139"/>
      <c r="WKQ123" s="139"/>
      <c r="WKR123" s="139"/>
      <c r="WKS123" s="139"/>
      <c r="WKT123" s="139"/>
      <c r="WKU123" s="139"/>
      <c r="WKV123" s="139"/>
      <c r="WKW123" s="139"/>
      <c r="WKX123" s="139"/>
      <c r="WKY123" s="139"/>
      <c r="WKZ123" s="139"/>
      <c r="WLA123" s="139"/>
      <c r="WLB123" s="139"/>
      <c r="WLC123" s="139"/>
      <c r="WLD123" s="139"/>
      <c r="WLE123" s="139"/>
      <c r="WLF123" s="139"/>
      <c r="WLG123" s="139"/>
      <c r="WLH123" s="139"/>
      <c r="WLI123" s="139"/>
      <c r="WLJ123" s="139"/>
      <c r="WLK123" s="139"/>
      <c r="WLL123" s="139"/>
      <c r="WLM123" s="139"/>
      <c r="WLN123" s="139"/>
      <c r="WLO123" s="139"/>
      <c r="WLP123" s="139"/>
      <c r="WLQ123" s="139"/>
      <c r="WLR123" s="139"/>
      <c r="WLS123" s="139"/>
      <c r="WLT123" s="139"/>
      <c r="WLU123" s="139"/>
      <c r="WLV123" s="139"/>
      <c r="WLW123" s="139"/>
      <c r="WLX123" s="139"/>
      <c r="WLY123" s="139"/>
      <c r="WLZ123" s="139"/>
      <c r="WMA123" s="139"/>
      <c r="WMB123" s="139"/>
      <c r="WMC123" s="139"/>
      <c r="WMD123" s="139"/>
      <c r="WME123" s="139"/>
      <c r="WMF123" s="139"/>
      <c r="WMG123" s="139"/>
      <c r="WMH123" s="139"/>
      <c r="WMI123" s="139"/>
      <c r="WMJ123" s="139"/>
      <c r="WMK123" s="139"/>
      <c r="WML123" s="139"/>
      <c r="WMM123" s="139"/>
      <c r="WMN123" s="139"/>
      <c r="WMO123" s="139"/>
      <c r="WMP123" s="139"/>
      <c r="WMQ123" s="139"/>
      <c r="WMR123" s="139"/>
      <c r="WMS123" s="139"/>
      <c r="WMT123" s="139"/>
      <c r="WMU123" s="139"/>
      <c r="WMV123" s="139"/>
      <c r="WMW123" s="139"/>
      <c r="WMX123" s="139"/>
      <c r="WMY123" s="139"/>
      <c r="WMZ123" s="139"/>
      <c r="WNA123" s="139"/>
      <c r="WNB123" s="139"/>
      <c r="WNC123" s="139"/>
      <c r="WND123" s="139"/>
      <c r="WNE123" s="139"/>
      <c r="WNF123" s="139"/>
      <c r="WNG123" s="139"/>
      <c r="WNH123" s="139"/>
      <c r="WNI123" s="139"/>
      <c r="WNJ123" s="139"/>
      <c r="WNK123" s="139"/>
      <c r="WNL123" s="139"/>
      <c r="WNM123" s="139"/>
      <c r="WNN123" s="139"/>
      <c r="WNO123" s="139"/>
      <c r="WNP123" s="139"/>
      <c r="WNQ123" s="139"/>
      <c r="WNR123" s="139"/>
      <c r="WNS123" s="139"/>
      <c r="WNT123" s="139"/>
      <c r="WNU123" s="139"/>
      <c r="WNV123" s="139"/>
      <c r="WNW123" s="139"/>
      <c r="WNX123" s="139"/>
      <c r="WNY123" s="139"/>
      <c r="WNZ123" s="139"/>
      <c r="WOA123" s="139"/>
      <c r="WOB123" s="139"/>
      <c r="WOC123" s="139"/>
      <c r="WOD123" s="139"/>
      <c r="WOE123" s="139"/>
      <c r="WOF123" s="139"/>
      <c r="WOG123" s="139"/>
      <c r="WOH123" s="139"/>
      <c r="WOI123" s="139"/>
      <c r="WOJ123" s="139"/>
      <c r="WOK123" s="139"/>
      <c r="WOL123" s="139"/>
      <c r="WOM123" s="139"/>
      <c r="WON123" s="139"/>
      <c r="WOO123" s="139"/>
      <c r="WOP123" s="139"/>
      <c r="WOQ123" s="139"/>
      <c r="WOR123" s="139"/>
      <c r="WOS123" s="139"/>
      <c r="WOT123" s="139"/>
      <c r="WOU123" s="139"/>
      <c r="WOV123" s="139"/>
      <c r="WOW123" s="139"/>
      <c r="WOX123" s="139"/>
      <c r="WOY123" s="139"/>
      <c r="WOZ123" s="139"/>
      <c r="WPA123" s="139"/>
      <c r="WPB123" s="139"/>
      <c r="WPC123" s="139"/>
      <c r="WPD123" s="139"/>
      <c r="WPE123" s="139"/>
      <c r="WPF123" s="139"/>
      <c r="WPG123" s="139"/>
      <c r="WPH123" s="139"/>
      <c r="WPI123" s="139"/>
      <c r="WPJ123" s="139"/>
      <c r="WPK123" s="139"/>
      <c r="WPL123" s="139"/>
      <c r="WPM123" s="139"/>
      <c r="WPN123" s="139"/>
      <c r="WPO123" s="139"/>
      <c r="WPP123" s="139"/>
      <c r="WPQ123" s="139"/>
      <c r="WPR123" s="139"/>
      <c r="WPS123" s="139"/>
      <c r="WPT123" s="139"/>
      <c r="WPU123" s="139"/>
      <c r="WPV123" s="139"/>
      <c r="WPW123" s="139"/>
      <c r="WPX123" s="139"/>
      <c r="WPY123" s="139"/>
      <c r="WPZ123" s="139"/>
      <c r="WQA123" s="139"/>
      <c r="WQB123" s="139"/>
      <c r="WQC123" s="139"/>
      <c r="WQD123" s="139"/>
      <c r="WQE123" s="139"/>
      <c r="WQF123" s="139"/>
      <c r="WQG123" s="139"/>
      <c r="WQH123" s="139"/>
      <c r="WQI123" s="139"/>
      <c r="WQJ123" s="139"/>
      <c r="WQK123" s="139"/>
      <c r="WQL123" s="139"/>
      <c r="WQM123" s="139"/>
      <c r="WQN123" s="139"/>
      <c r="WQO123" s="139"/>
      <c r="WQP123" s="139"/>
      <c r="WQQ123" s="139"/>
      <c r="WQR123" s="139"/>
      <c r="WQS123" s="139"/>
      <c r="WQT123" s="139"/>
      <c r="WQU123" s="139"/>
      <c r="WQV123" s="139"/>
      <c r="WQW123" s="139"/>
      <c r="WQX123" s="139"/>
      <c r="WQY123" s="139"/>
      <c r="WQZ123" s="139"/>
      <c r="WRA123" s="139"/>
      <c r="WRB123" s="139"/>
      <c r="WRC123" s="139"/>
      <c r="WRD123" s="139"/>
      <c r="WRE123" s="139"/>
      <c r="WRF123" s="139"/>
      <c r="WRG123" s="139"/>
      <c r="WRH123" s="139"/>
      <c r="WRI123" s="139"/>
      <c r="WRJ123" s="139"/>
      <c r="WRK123" s="139"/>
      <c r="WRL123" s="139"/>
      <c r="WRM123" s="139"/>
      <c r="WRN123" s="139"/>
      <c r="WRO123" s="139"/>
      <c r="WRP123" s="139"/>
      <c r="WRQ123" s="139"/>
      <c r="WRR123" s="139"/>
      <c r="WRS123" s="139"/>
      <c r="WRT123" s="139"/>
      <c r="WRU123" s="139"/>
      <c r="WRV123" s="139"/>
      <c r="WRW123" s="139"/>
      <c r="WRX123" s="139"/>
      <c r="WRY123" s="139"/>
      <c r="WRZ123" s="139"/>
      <c r="WSA123" s="139"/>
      <c r="WSB123" s="139"/>
      <c r="WSC123" s="139"/>
      <c r="WSD123" s="139"/>
      <c r="WSE123" s="139"/>
      <c r="WSF123" s="139"/>
      <c r="WSG123" s="139"/>
      <c r="WSH123" s="139"/>
      <c r="WSI123" s="139"/>
      <c r="WSJ123" s="139"/>
      <c r="WSK123" s="139"/>
      <c r="WSL123" s="139"/>
      <c r="WSM123" s="139"/>
      <c r="WSN123" s="139"/>
      <c r="WSO123" s="139"/>
      <c r="WSP123" s="139"/>
      <c r="WSQ123" s="139"/>
      <c r="WSR123" s="139"/>
      <c r="WSS123" s="139"/>
      <c r="WST123" s="139"/>
      <c r="WSU123" s="139"/>
      <c r="WSV123" s="139"/>
      <c r="WSW123" s="139"/>
      <c r="WSX123" s="139"/>
      <c r="WSY123" s="139"/>
      <c r="WSZ123" s="139"/>
      <c r="WTA123" s="139"/>
      <c r="WTB123" s="139"/>
      <c r="WTC123" s="139"/>
      <c r="WTD123" s="139"/>
      <c r="WTE123" s="139"/>
      <c r="WTF123" s="139"/>
      <c r="WTG123" s="139"/>
      <c r="WTH123" s="139"/>
      <c r="WTI123" s="139"/>
      <c r="WTJ123" s="139"/>
      <c r="WTK123" s="139"/>
      <c r="WTL123" s="139"/>
      <c r="WTM123" s="139"/>
      <c r="WTN123" s="139"/>
      <c r="WTO123" s="139"/>
      <c r="WTP123" s="139"/>
      <c r="WTQ123" s="139"/>
      <c r="WTR123" s="139"/>
      <c r="WTS123" s="139"/>
      <c r="WTT123" s="139"/>
      <c r="WTU123" s="139"/>
      <c r="WTV123" s="139"/>
      <c r="WTW123" s="139"/>
      <c r="WTX123" s="139"/>
      <c r="WTY123" s="139"/>
      <c r="WTZ123" s="139"/>
      <c r="WUA123" s="139"/>
      <c r="WUB123" s="139"/>
      <c r="WUC123" s="139"/>
      <c r="WUD123" s="139"/>
      <c r="WUE123" s="139"/>
      <c r="WUF123" s="139"/>
      <c r="WUG123" s="139"/>
      <c r="WUH123" s="139"/>
      <c r="WUI123" s="139"/>
      <c r="WUJ123" s="139"/>
      <c r="WUK123" s="139"/>
      <c r="WUL123" s="139"/>
      <c r="WUM123" s="139"/>
      <c r="WUN123" s="139"/>
      <c r="WUO123" s="139"/>
      <c r="WUP123" s="139"/>
      <c r="WUQ123" s="139"/>
      <c r="WUR123" s="139"/>
      <c r="WUS123" s="139"/>
      <c r="WUT123" s="139"/>
      <c r="WUU123" s="139"/>
      <c r="WUV123" s="139"/>
      <c r="WUW123" s="139"/>
      <c r="WUX123" s="139"/>
      <c r="WUY123" s="139"/>
      <c r="WUZ123" s="139"/>
      <c r="WVA123" s="139"/>
      <c r="WVB123" s="139"/>
      <c r="WVC123" s="139"/>
      <c r="WVD123" s="139"/>
      <c r="WVE123" s="139"/>
      <c r="WVF123" s="139"/>
      <c r="WVG123" s="139"/>
      <c r="WVH123" s="139"/>
      <c r="WVI123" s="139"/>
      <c r="WVJ123" s="139"/>
      <c r="WVK123" s="139"/>
      <c r="WVL123" s="139"/>
      <c r="WVM123" s="139"/>
      <c r="WVN123" s="139"/>
      <c r="WVO123" s="139"/>
      <c r="WVP123" s="139"/>
      <c r="WVQ123" s="139"/>
      <c r="WVR123" s="139"/>
      <c r="WVS123" s="139"/>
      <c r="WVT123" s="139"/>
      <c r="WVU123" s="139"/>
      <c r="WVV123" s="139"/>
      <c r="WVW123" s="139"/>
      <c r="WVX123" s="139"/>
      <c r="WVY123" s="139"/>
      <c r="WVZ123" s="139"/>
      <c r="WWA123" s="139"/>
      <c r="WWB123" s="139"/>
      <c r="WWC123" s="139"/>
      <c r="WWD123" s="139"/>
      <c r="WWE123" s="139"/>
      <c r="WWF123" s="139"/>
      <c r="WWG123" s="139"/>
      <c r="WWH123" s="139"/>
      <c r="WWI123" s="139"/>
      <c r="WWJ123" s="139"/>
      <c r="WWK123" s="139"/>
      <c r="WWL123" s="139"/>
      <c r="WWM123" s="139"/>
      <c r="WWN123" s="139"/>
      <c r="WWO123" s="139"/>
      <c r="WWP123" s="139"/>
      <c r="WWQ123" s="139"/>
      <c r="WWR123" s="139"/>
      <c r="WWS123" s="139"/>
      <c r="WWT123" s="139"/>
      <c r="WWU123" s="139"/>
      <c r="WWV123" s="139"/>
      <c r="WWW123" s="139"/>
      <c r="WWX123" s="139"/>
      <c r="WWY123" s="139"/>
      <c r="WWZ123" s="139"/>
      <c r="WXA123" s="139"/>
      <c r="WXB123" s="139"/>
      <c r="WXC123" s="139"/>
      <c r="WXD123" s="139"/>
      <c r="WXE123" s="139"/>
      <c r="WXF123" s="139"/>
      <c r="WXG123" s="139"/>
      <c r="WXH123" s="139"/>
      <c r="WXI123" s="139"/>
      <c r="WXJ123" s="139"/>
      <c r="WXK123" s="139"/>
      <c r="WXL123" s="139"/>
      <c r="WXM123" s="139"/>
      <c r="WXN123" s="139"/>
      <c r="WXO123" s="139"/>
      <c r="WXP123" s="139"/>
      <c r="WXQ123" s="139"/>
      <c r="WXR123" s="139"/>
      <c r="WXS123" s="139"/>
      <c r="WXT123" s="139"/>
      <c r="WXU123" s="139"/>
      <c r="WXV123" s="139"/>
      <c r="WXW123" s="139"/>
      <c r="WXX123" s="139"/>
      <c r="WXY123" s="139"/>
      <c r="WXZ123" s="139"/>
      <c r="WYA123" s="139"/>
      <c r="WYB123" s="139"/>
      <c r="WYC123" s="139"/>
      <c r="WYD123" s="139"/>
      <c r="WYE123" s="139"/>
      <c r="WYF123" s="139"/>
      <c r="WYG123" s="139"/>
      <c r="WYH123" s="139"/>
      <c r="WYI123" s="139"/>
      <c r="WYJ123" s="139"/>
      <c r="WYK123" s="139"/>
      <c r="WYL123" s="139"/>
      <c r="WYM123" s="139"/>
      <c r="WYN123" s="139"/>
      <c r="WYO123" s="139"/>
      <c r="WYP123" s="139"/>
      <c r="WYQ123" s="139"/>
      <c r="WYR123" s="139"/>
      <c r="WYS123" s="139"/>
      <c r="WYT123" s="139"/>
      <c r="WYU123" s="139"/>
      <c r="WYV123" s="139"/>
      <c r="WYW123" s="139"/>
      <c r="WYX123" s="139"/>
      <c r="WYY123" s="139"/>
      <c r="WYZ123" s="139"/>
      <c r="WZA123" s="139"/>
      <c r="WZB123" s="139"/>
      <c r="WZC123" s="139"/>
      <c r="WZD123" s="139"/>
      <c r="WZE123" s="139"/>
      <c r="WZF123" s="139"/>
      <c r="WZG123" s="139"/>
      <c r="WZH123" s="139"/>
      <c r="WZI123" s="139"/>
      <c r="WZJ123" s="139"/>
      <c r="WZK123" s="139"/>
      <c r="WZL123" s="139"/>
      <c r="WZM123" s="139"/>
      <c r="WZN123" s="139"/>
      <c r="WZO123" s="139"/>
      <c r="WZP123" s="139"/>
      <c r="WZQ123" s="139"/>
      <c r="WZR123" s="139"/>
      <c r="WZS123" s="139"/>
      <c r="WZT123" s="139"/>
      <c r="WZU123" s="139"/>
      <c r="WZV123" s="139"/>
      <c r="WZW123" s="139"/>
      <c r="WZX123" s="139"/>
      <c r="WZY123" s="139"/>
      <c r="WZZ123" s="139"/>
      <c r="XAA123" s="139"/>
      <c r="XAB123" s="139"/>
      <c r="XAC123" s="139"/>
      <c r="XAD123" s="139"/>
      <c r="XAE123" s="139"/>
      <c r="XAF123" s="139"/>
      <c r="XAG123" s="139"/>
      <c r="XAH123" s="139"/>
      <c r="XAI123" s="139"/>
      <c r="XAJ123" s="139"/>
      <c r="XAK123" s="139"/>
      <c r="XAL123" s="139"/>
      <c r="XAM123" s="139"/>
      <c r="XAN123" s="139"/>
      <c r="XAO123" s="139"/>
      <c r="XAP123" s="139"/>
      <c r="XAQ123" s="139"/>
      <c r="XAR123" s="139"/>
      <c r="XAS123" s="139"/>
      <c r="XAT123" s="139"/>
      <c r="XAU123" s="139"/>
      <c r="XAV123" s="139"/>
      <c r="XAW123" s="139"/>
      <c r="XAX123" s="139"/>
      <c r="XAY123" s="139"/>
      <c r="XAZ123" s="139"/>
      <c r="XBA123" s="139"/>
      <c r="XBB123" s="139"/>
      <c r="XBC123" s="139"/>
      <c r="XBD123" s="139"/>
      <c r="XBE123" s="139"/>
      <c r="XBF123" s="139"/>
      <c r="XBG123" s="139"/>
      <c r="XBH123" s="139"/>
      <c r="XBI123" s="139"/>
      <c r="XBJ123" s="139"/>
      <c r="XBK123" s="139"/>
      <c r="XBL123" s="139"/>
      <c r="XBM123" s="139"/>
      <c r="XBN123" s="139"/>
      <c r="XBO123" s="139"/>
      <c r="XBP123" s="139"/>
      <c r="XBQ123" s="139"/>
      <c r="XBR123" s="139"/>
      <c r="XBS123" s="139"/>
      <c r="XBT123" s="139"/>
      <c r="XBU123" s="139"/>
      <c r="XBV123" s="139"/>
      <c r="XBW123" s="139"/>
      <c r="XBX123" s="139"/>
      <c r="XBY123" s="139"/>
      <c r="XBZ123" s="139"/>
      <c r="XCA123" s="139"/>
      <c r="XCB123" s="139"/>
      <c r="XCC123" s="139"/>
      <c r="XCD123" s="139"/>
      <c r="XCE123" s="139"/>
      <c r="XCF123" s="139"/>
      <c r="XCG123" s="139"/>
      <c r="XCH123" s="139"/>
      <c r="XCI123" s="139"/>
      <c r="XCJ123" s="139"/>
      <c r="XCK123" s="139"/>
      <c r="XCL123" s="139"/>
      <c r="XCM123" s="139"/>
      <c r="XCN123" s="139"/>
      <c r="XCO123" s="139"/>
      <c r="XCP123" s="139"/>
      <c r="XCQ123" s="139"/>
      <c r="XCR123" s="139"/>
      <c r="XCS123" s="139"/>
      <c r="XCT123" s="139"/>
      <c r="XCU123" s="139"/>
      <c r="XCV123" s="139"/>
      <c r="XCW123" s="139"/>
      <c r="XCX123" s="139"/>
      <c r="XCY123" s="139"/>
      <c r="XCZ123" s="139"/>
      <c r="XDA123" s="139"/>
      <c r="XDB123" s="139"/>
      <c r="XDC123" s="139"/>
      <c r="XDD123" s="139"/>
      <c r="XDE123" s="139"/>
      <c r="XDF123" s="139"/>
      <c r="XDG123" s="139"/>
      <c r="XDH123" s="139"/>
      <c r="XDI123" s="139"/>
      <c r="XDJ123" s="139"/>
      <c r="XDK123" s="139"/>
      <c r="XDL123" s="139"/>
      <c r="XDM123" s="139"/>
      <c r="XDN123" s="139"/>
      <c r="XDO123" s="139"/>
      <c r="XDP123" s="139"/>
      <c r="XDQ123" s="139"/>
      <c r="XDR123" s="139"/>
      <c r="XDS123" s="139"/>
      <c r="XDT123" s="139"/>
      <c r="XDU123" s="139"/>
      <c r="XDV123" s="139"/>
      <c r="XDW123" s="139"/>
      <c r="XDX123" s="139"/>
      <c r="XDY123" s="139"/>
      <c r="XDZ123" s="139"/>
      <c r="XEA123" s="139"/>
      <c r="XEB123" s="139"/>
      <c r="XEC123" s="139"/>
      <c r="XED123" s="139"/>
      <c r="XEE123" s="139"/>
      <c r="XEF123" s="139"/>
      <c r="XEG123" s="139"/>
      <c r="XEH123" s="139"/>
      <c r="XEI123" s="139"/>
      <c r="XEJ123" s="139"/>
      <c r="XEK123" s="139"/>
      <c r="XEL123" s="139"/>
      <c r="XEM123" s="139"/>
      <c r="XEN123" s="139"/>
      <c r="XEO123" s="139"/>
      <c r="XEP123" s="139"/>
      <c r="XEQ123" s="139"/>
      <c r="XER123" s="139"/>
      <c r="XES123" s="139"/>
      <c r="XET123" s="139"/>
      <c r="XEU123" s="139"/>
      <c r="XEV123" s="139"/>
      <c r="XEW123" s="139"/>
      <c r="XEX123" s="139"/>
      <c r="XEY123" s="139"/>
      <c r="XEZ123" s="139"/>
      <c r="XFA123" s="139"/>
      <c r="XFB123" s="139"/>
      <c r="XFC123" s="139"/>
      <c r="XFD123" s="139"/>
    </row>
    <row r="124" spans="1:16384" ht="15.75">
      <c r="A124" s="126" t="s">
        <v>405</v>
      </c>
      <c r="C124" s="127" t="s">
        <v>396</v>
      </c>
      <c r="D124" s="127" t="s">
        <v>218</v>
      </c>
      <c r="E124" s="127" t="s">
        <v>41</v>
      </c>
      <c r="F124" s="127">
        <v>220</v>
      </c>
      <c r="G124" s="128"/>
      <c r="H124" s="128"/>
      <c r="I124" s="128"/>
      <c r="J124" s="129"/>
      <c r="K124" s="129"/>
      <c r="L124" s="129"/>
      <c r="M124" s="105" t="s">
        <v>39</v>
      </c>
      <c r="N124" s="131"/>
      <c r="O124" s="132"/>
      <c r="AC124" s="133" t="s">
        <v>678</v>
      </c>
    </row>
    <row r="125" spans="1:16384" ht="15.75">
      <c r="A125" s="126" t="s">
        <v>406</v>
      </c>
      <c r="C125" s="127" t="s">
        <v>400</v>
      </c>
      <c r="D125" s="127" t="s">
        <v>218</v>
      </c>
      <c r="E125" s="127" t="s">
        <v>41</v>
      </c>
      <c r="F125" s="127">
        <v>220</v>
      </c>
      <c r="G125" s="128"/>
      <c r="H125" s="128"/>
      <c r="I125" s="128"/>
      <c r="J125" s="129"/>
      <c r="K125" s="129"/>
      <c r="L125" s="129"/>
      <c r="M125" s="105" t="s">
        <v>39</v>
      </c>
      <c r="N125" s="131"/>
      <c r="O125" s="132"/>
      <c r="AC125" s="133" t="s">
        <v>679</v>
      </c>
    </row>
    <row r="126" spans="1:16384" ht="15.75">
      <c r="A126" s="126" t="s">
        <v>407</v>
      </c>
      <c r="C126" s="127" t="s">
        <v>402</v>
      </c>
      <c r="D126" s="127" t="s">
        <v>218</v>
      </c>
      <c r="E126" s="127" t="s">
        <v>41</v>
      </c>
      <c r="F126" s="127">
        <v>220</v>
      </c>
      <c r="G126" s="128"/>
      <c r="H126" s="128"/>
      <c r="I126" s="128"/>
      <c r="J126" s="129"/>
      <c r="K126" s="129"/>
      <c r="L126" s="129"/>
      <c r="M126" s="105" t="s">
        <v>39</v>
      </c>
      <c r="N126" s="131"/>
      <c r="O126" s="132"/>
      <c r="AC126" s="133" t="s">
        <v>680</v>
      </c>
    </row>
    <row r="127" spans="1:16384" ht="15.75">
      <c r="A127" s="126" t="s">
        <v>408</v>
      </c>
      <c r="C127" s="127" t="s">
        <v>409</v>
      </c>
      <c r="D127" s="127" t="s">
        <v>71</v>
      </c>
      <c r="E127" s="127" t="s">
        <v>43</v>
      </c>
      <c r="F127" s="127">
        <v>230</v>
      </c>
      <c r="G127" s="104"/>
      <c r="H127" s="104"/>
      <c r="I127" s="104"/>
      <c r="J127" s="109" t="s">
        <v>39</v>
      </c>
      <c r="K127" s="109"/>
      <c r="L127" s="109"/>
      <c r="M127" s="105"/>
      <c r="N127" s="120" t="s">
        <v>39</v>
      </c>
      <c r="O127" s="116"/>
      <c r="P127" s="127" t="s">
        <v>182</v>
      </c>
      <c r="Q127" s="127" t="s">
        <v>166</v>
      </c>
      <c r="S127" s="127" t="s">
        <v>93</v>
      </c>
      <c r="T127" s="127" t="s">
        <v>143</v>
      </c>
      <c r="U127" s="127" t="s">
        <v>144</v>
      </c>
      <c r="V127" s="127" t="s">
        <v>159</v>
      </c>
      <c r="W127" s="127" t="s">
        <v>79</v>
      </c>
      <c r="X127" s="127" t="s">
        <v>94</v>
      </c>
      <c r="Y127" s="127" t="s">
        <v>118</v>
      </c>
      <c r="AC127" s="133" t="s">
        <v>621</v>
      </c>
    </row>
    <row r="128" spans="1:16384" ht="15.75">
      <c r="A128" s="126" t="s">
        <v>410</v>
      </c>
      <c r="C128" s="127" t="s">
        <v>411</v>
      </c>
      <c r="D128" s="139" t="s">
        <v>254</v>
      </c>
      <c r="E128" s="139" t="s">
        <v>42</v>
      </c>
      <c r="F128" s="139">
        <v>230</v>
      </c>
      <c r="G128" s="128"/>
      <c r="H128" s="128"/>
      <c r="I128" s="128"/>
      <c r="J128" s="109"/>
      <c r="K128" s="129"/>
      <c r="L128" s="129"/>
      <c r="M128" s="105" t="s">
        <v>39</v>
      </c>
      <c r="N128" s="131"/>
      <c r="O128" s="132"/>
      <c r="P128" s="127" t="e">
        <v>#N/A</v>
      </c>
      <c r="Q128" s="139"/>
      <c r="R128" s="139"/>
      <c r="S128" s="139"/>
      <c r="T128" s="139"/>
      <c r="U128" s="139"/>
      <c r="V128" s="139"/>
      <c r="W128" s="139"/>
      <c r="X128" s="139"/>
      <c r="Y128" s="139"/>
      <c r="Z128" s="139"/>
      <c r="AA128" s="139"/>
      <c r="AB128" s="139"/>
      <c r="AC128" s="140" t="s">
        <v>643</v>
      </c>
      <c r="AD128" s="139"/>
      <c r="AE128" s="139"/>
      <c r="AF128" s="139"/>
      <c r="AG128" s="139"/>
      <c r="AH128" s="139"/>
      <c r="AI128" s="139"/>
      <c r="AJ128" s="139"/>
      <c r="AK128" s="139"/>
      <c r="AL128" s="139"/>
      <c r="AM128" s="139"/>
      <c r="AN128" s="139"/>
      <c r="AO128" s="139"/>
      <c r="AP128" s="139"/>
      <c r="AQ128" s="139"/>
      <c r="AR128" s="139"/>
      <c r="AS128" s="139"/>
      <c r="AT128" s="139"/>
      <c r="AU128" s="139"/>
      <c r="AV128" s="139"/>
      <c r="AW128" s="139"/>
      <c r="AX128" s="139"/>
      <c r="AY128" s="139"/>
      <c r="AZ128" s="139"/>
      <c r="BA128" s="139"/>
      <c r="BB128" s="139"/>
      <c r="BC128" s="139"/>
      <c r="BD128" s="139"/>
      <c r="BE128" s="139"/>
      <c r="BF128" s="139"/>
      <c r="BG128" s="139"/>
      <c r="BH128" s="139"/>
      <c r="BI128" s="139"/>
      <c r="BJ128" s="139"/>
      <c r="BK128" s="139"/>
      <c r="BL128" s="139"/>
      <c r="BM128" s="139"/>
      <c r="BN128" s="139"/>
      <c r="BO128" s="139"/>
      <c r="BP128" s="139"/>
      <c r="BQ128" s="139"/>
      <c r="BR128" s="139"/>
      <c r="BS128" s="139"/>
      <c r="BT128" s="139"/>
      <c r="BU128" s="139"/>
      <c r="BV128" s="139"/>
      <c r="BW128" s="139"/>
      <c r="BX128" s="139"/>
      <c r="BY128" s="139"/>
      <c r="BZ128" s="139"/>
      <c r="CA128" s="139"/>
      <c r="CB128" s="139"/>
      <c r="CC128" s="139"/>
      <c r="CD128" s="139"/>
      <c r="CE128" s="139"/>
      <c r="CF128" s="139"/>
      <c r="CG128" s="139"/>
      <c r="CH128" s="139"/>
      <c r="CI128" s="139"/>
      <c r="CJ128" s="139"/>
      <c r="CK128" s="139"/>
      <c r="CL128" s="139"/>
      <c r="CM128" s="139"/>
      <c r="CN128" s="139"/>
      <c r="CO128" s="139"/>
      <c r="CP128" s="139"/>
      <c r="CQ128" s="139"/>
      <c r="CR128" s="139"/>
      <c r="CS128" s="139"/>
      <c r="CT128" s="139"/>
      <c r="CU128" s="139"/>
      <c r="CV128" s="139"/>
      <c r="CW128" s="139"/>
      <c r="CX128" s="139"/>
      <c r="CY128" s="139"/>
      <c r="CZ128" s="139"/>
      <c r="DA128" s="139"/>
      <c r="DB128" s="139"/>
      <c r="DC128" s="139"/>
      <c r="DD128" s="139"/>
      <c r="DE128" s="139"/>
      <c r="DF128" s="139"/>
      <c r="DG128" s="139"/>
      <c r="DH128" s="139"/>
      <c r="DI128" s="139"/>
      <c r="DJ128" s="139"/>
      <c r="DK128" s="139"/>
      <c r="DL128" s="139"/>
      <c r="DM128" s="139"/>
      <c r="DN128" s="139"/>
      <c r="DO128" s="139"/>
      <c r="DP128" s="139"/>
      <c r="DQ128" s="139"/>
      <c r="DR128" s="139"/>
      <c r="DS128" s="139"/>
      <c r="DT128" s="139"/>
      <c r="DU128" s="139"/>
      <c r="DV128" s="139"/>
      <c r="DW128" s="139"/>
      <c r="DX128" s="139"/>
      <c r="DY128" s="139"/>
      <c r="DZ128" s="139"/>
      <c r="EA128" s="139"/>
      <c r="EB128" s="139"/>
      <c r="EC128" s="139"/>
      <c r="ED128" s="139"/>
      <c r="EE128" s="139"/>
      <c r="EF128" s="139"/>
      <c r="EG128" s="139"/>
      <c r="EH128" s="139"/>
      <c r="EI128" s="139"/>
      <c r="EJ128" s="139"/>
      <c r="EK128" s="139"/>
      <c r="EL128" s="139"/>
      <c r="EM128" s="139"/>
      <c r="EN128" s="139"/>
      <c r="EO128" s="139"/>
      <c r="EP128" s="139"/>
      <c r="EQ128" s="139"/>
      <c r="ER128" s="139"/>
      <c r="ES128" s="139"/>
      <c r="ET128" s="139"/>
      <c r="EU128" s="139"/>
      <c r="EV128" s="139"/>
      <c r="EW128" s="139"/>
      <c r="EX128" s="139"/>
      <c r="EY128" s="139"/>
      <c r="EZ128" s="139"/>
      <c r="FA128" s="139"/>
      <c r="FB128" s="139"/>
      <c r="FC128" s="139"/>
      <c r="FD128" s="139"/>
      <c r="FE128" s="139"/>
      <c r="FF128" s="139"/>
      <c r="FG128" s="139"/>
      <c r="FH128" s="139"/>
      <c r="FI128" s="139"/>
      <c r="FJ128" s="139"/>
      <c r="FK128" s="139"/>
      <c r="FL128" s="139"/>
      <c r="FM128" s="139"/>
      <c r="FN128" s="139"/>
      <c r="FO128" s="139"/>
      <c r="FP128" s="139"/>
      <c r="FQ128" s="139"/>
      <c r="FR128" s="139"/>
      <c r="FS128" s="139"/>
      <c r="FT128" s="139"/>
      <c r="FU128" s="139"/>
      <c r="FV128" s="139"/>
      <c r="FW128" s="139"/>
      <c r="FX128" s="139"/>
      <c r="FY128" s="139"/>
      <c r="FZ128" s="139"/>
      <c r="GA128" s="139"/>
      <c r="GB128" s="139"/>
      <c r="GC128" s="139"/>
      <c r="GD128" s="139"/>
      <c r="GE128" s="139"/>
      <c r="GF128" s="139"/>
      <c r="GG128" s="139"/>
      <c r="GH128" s="139"/>
      <c r="GI128" s="139"/>
      <c r="GJ128" s="139"/>
      <c r="GK128" s="139"/>
      <c r="GL128" s="139"/>
      <c r="GM128" s="139"/>
      <c r="GN128" s="139"/>
      <c r="GO128" s="139"/>
      <c r="GP128" s="139"/>
      <c r="GQ128" s="139"/>
      <c r="GR128" s="139"/>
      <c r="GS128" s="139"/>
      <c r="GT128" s="139"/>
      <c r="GU128" s="139"/>
      <c r="GV128" s="139"/>
      <c r="GW128" s="139"/>
      <c r="GX128" s="139"/>
      <c r="GY128" s="139"/>
      <c r="GZ128" s="139"/>
      <c r="HA128" s="139"/>
      <c r="HB128" s="139"/>
      <c r="HC128" s="139"/>
      <c r="HD128" s="139"/>
      <c r="HE128" s="139"/>
      <c r="HF128" s="139"/>
      <c r="HG128" s="139"/>
      <c r="HH128" s="139"/>
      <c r="HI128" s="139"/>
      <c r="HJ128" s="139"/>
      <c r="HK128" s="139"/>
      <c r="HL128" s="139"/>
      <c r="HM128" s="139"/>
      <c r="HN128" s="139"/>
      <c r="HO128" s="139"/>
      <c r="HP128" s="139"/>
      <c r="HQ128" s="139"/>
      <c r="HR128" s="139"/>
      <c r="HS128" s="139"/>
      <c r="HT128" s="139"/>
      <c r="HU128" s="139"/>
      <c r="HV128" s="139"/>
      <c r="HW128" s="139"/>
      <c r="HX128" s="139"/>
      <c r="HY128" s="139"/>
      <c r="HZ128" s="139"/>
      <c r="IA128" s="139"/>
      <c r="IB128" s="139"/>
      <c r="IC128" s="139"/>
      <c r="ID128" s="139"/>
      <c r="IE128" s="139"/>
      <c r="IF128" s="139"/>
      <c r="IG128" s="139"/>
      <c r="IH128" s="139"/>
      <c r="II128" s="139"/>
      <c r="IJ128" s="139"/>
      <c r="IK128" s="139"/>
      <c r="IL128" s="139"/>
      <c r="IM128" s="139"/>
      <c r="IN128" s="139"/>
      <c r="IO128" s="139"/>
      <c r="IP128" s="139"/>
      <c r="IQ128" s="139"/>
      <c r="IR128" s="139"/>
      <c r="IS128" s="139"/>
      <c r="IT128" s="139"/>
      <c r="IU128" s="139"/>
      <c r="IV128" s="139"/>
      <c r="IW128" s="139"/>
      <c r="IX128" s="139"/>
      <c r="IY128" s="139"/>
      <c r="IZ128" s="139"/>
      <c r="JA128" s="139"/>
      <c r="JB128" s="139"/>
      <c r="JC128" s="139"/>
      <c r="JD128" s="139"/>
      <c r="JE128" s="139"/>
      <c r="JF128" s="139"/>
      <c r="JG128" s="139"/>
      <c r="JH128" s="139"/>
      <c r="JI128" s="139"/>
      <c r="JJ128" s="139"/>
      <c r="JK128" s="139"/>
      <c r="JL128" s="139"/>
      <c r="JM128" s="139"/>
      <c r="JN128" s="139"/>
      <c r="JO128" s="139"/>
      <c r="JP128" s="139"/>
      <c r="JQ128" s="139"/>
      <c r="JR128" s="139"/>
      <c r="JS128" s="139"/>
      <c r="JT128" s="139"/>
      <c r="JU128" s="139"/>
      <c r="JV128" s="139"/>
      <c r="JW128" s="139"/>
      <c r="JX128" s="139"/>
      <c r="JY128" s="139"/>
      <c r="JZ128" s="139"/>
      <c r="KA128" s="139"/>
      <c r="KB128" s="139"/>
      <c r="KC128" s="139"/>
      <c r="KD128" s="139"/>
      <c r="KE128" s="139"/>
      <c r="KF128" s="139"/>
      <c r="KG128" s="139"/>
      <c r="KH128" s="139"/>
      <c r="KI128" s="139"/>
      <c r="KJ128" s="139"/>
      <c r="KK128" s="139"/>
      <c r="KL128" s="139"/>
      <c r="KM128" s="139"/>
      <c r="KN128" s="139"/>
      <c r="KO128" s="139"/>
      <c r="KP128" s="139"/>
      <c r="KQ128" s="139"/>
      <c r="KR128" s="139"/>
      <c r="KS128" s="139"/>
      <c r="KT128" s="139"/>
      <c r="KU128" s="139"/>
      <c r="KV128" s="139"/>
      <c r="KW128" s="139"/>
      <c r="KX128" s="139"/>
      <c r="KY128" s="139"/>
      <c r="KZ128" s="139"/>
      <c r="LA128" s="139"/>
      <c r="LB128" s="139"/>
      <c r="LC128" s="139"/>
      <c r="LD128" s="139"/>
      <c r="LE128" s="139"/>
      <c r="LF128" s="139"/>
      <c r="LG128" s="139"/>
      <c r="LH128" s="139"/>
      <c r="LI128" s="139"/>
      <c r="LJ128" s="139"/>
      <c r="LK128" s="139"/>
      <c r="LL128" s="139"/>
      <c r="LM128" s="139"/>
      <c r="LN128" s="139"/>
      <c r="LO128" s="139"/>
      <c r="LP128" s="139"/>
      <c r="LQ128" s="139"/>
      <c r="LR128" s="139"/>
      <c r="LS128" s="139"/>
      <c r="LT128" s="139"/>
      <c r="LU128" s="139"/>
      <c r="LV128" s="139"/>
      <c r="LW128" s="139"/>
      <c r="LX128" s="139"/>
      <c r="LY128" s="139"/>
      <c r="LZ128" s="139"/>
      <c r="MA128" s="139"/>
      <c r="MB128" s="139"/>
      <c r="MC128" s="139"/>
      <c r="MD128" s="139"/>
      <c r="ME128" s="139"/>
      <c r="MF128" s="139"/>
      <c r="MG128" s="139"/>
      <c r="MH128" s="139"/>
      <c r="MI128" s="139"/>
      <c r="MJ128" s="139"/>
      <c r="MK128" s="139"/>
      <c r="ML128" s="139"/>
      <c r="MM128" s="139"/>
      <c r="MN128" s="139"/>
      <c r="MO128" s="139"/>
      <c r="MP128" s="139"/>
      <c r="MQ128" s="139"/>
      <c r="MR128" s="139"/>
      <c r="MS128" s="139"/>
      <c r="MT128" s="139"/>
      <c r="MU128" s="139"/>
      <c r="MV128" s="139"/>
      <c r="MW128" s="139"/>
      <c r="MX128" s="139"/>
      <c r="MY128" s="139"/>
      <c r="MZ128" s="139"/>
      <c r="NA128" s="139"/>
      <c r="NB128" s="139"/>
      <c r="NC128" s="139"/>
      <c r="ND128" s="139"/>
      <c r="NE128" s="139"/>
      <c r="NF128" s="139"/>
      <c r="NG128" s="139"/>
      <c r="NH128" s="139"/>
      <c r="NI128" s="139"/>
      <c r="NJ128" s="139"/>
      <c r="NK128" s="139"/>
      <c r="NL128" s="139"/>
      <c r="NM128" s="139"/>
      <c r="NN128" s="139"/>
      <c r="NO128" s="139"/>
      <c r="NP128" s="139"/>
      <c r="NQ128" s="139"/>
      <c r="NR128" s="139"/>
      <c r="NS128" s="139"/>
      <c r="NT128" s="139"/>
      <c r="NU128" s="139"/>
      <c r="NV128" s="139"/>
      <c r="NW128" s="139"/>
      <c r="NX128" s="139"/>
      <c r="NY128" s="139"/>
      <c r="NZ128" s="139"/>
      <c r="OA128" s="139"/>
      <c r="OB128" s="139"/>
      <c r="OC128" s="139"/>
      <c r="OD128" s="139"/>
      <c r="OE128" s="139"/>
      <c r="OF128" s="139"/>
      <c r="OG128" s="139"/>
      <c r="OH128" s="139"/>
      <c r="OI128" s="139"/>
      <c r="OJ128" s="139"/>
      <c r="OK128" s="139"/>
      <c r="OL128" s="139"/>
      <c r="OM128" s="139"/>
      <c r="ON128" s="139"/>
      <c r="OO128" s="139"/>
      <c r="OP128" s="139"/>
      <c r="OQ128" s="139"/>
      <c r="OR128" s="139"/>
      <c r="OS128" s="139"/>
      <c r="OT128" s="139"/>
      <c r="OU128" s="139"/>
      <c r="OV128" s="139"/>
      <c r="OW128" s="139"/>
      <c r="OX128" s="139"/>
      <c r="OY128" s="139"/>
      <c r="OZ128" s="139"/>
      <c r="PA128" s="139"/>
      <c r="PB128" s="139"/>
      <c r="PC128" s="139"/>
      <c r="PD128" s="139"/>
      <c r="PE128" s="139"/>
      <c r="PF128" s="139"/>
      <c r="PG128" s="139"/>
      <c r="PH128" s="139"/>
      <c r="PI128" s="139"/>
      <c r="PJ128" s="139"/>
      <c r="PK128" s="139"/>
      <c r="PL128" s="139"/>
      <c r="PM128" s="139"/>
      <c r="PN128" s="139"/>
      <c r="PO128" s="139"/>
      <c r="PP128" s="139"/>
      <c r="PQ128" s="139"/>
      <c r="PR128" s="139"/>
      <c r="PS128" s="139"/>
      <c r="PT128" s="139"/>
      <c r="PU128" s="139"/>
      <c r="PV128" s="139"/>
      <c r="PW128" s="139"/>
      <c r="PX128" s="139"/>
      <c r="PY128" s="139"/>
      <c r="PZ128" s="139"/>
      <c r="QA128" s="139"/>
      <c r="QB128" s="139"/>
      <c r="QC128" s="139"/>
      <c r="QD128" s="139"/>
      <c r="QE128" s="139"/>
      <c r="QF128" s="139"/>
      <c r="QG128" s="139"/>
      <c r="QH128" s="139"/>
      <c r="QI128" s="139"/>
      <c r="QJ128" s="139"/>
      <c r="QK128" s="139"/>
      <c r="QL128" s="139"/>
      <c r="QM128" s="139"/>
      <c r="QN128" s="139"/>
      <c r="QO128" s="139"/>
      <c r="QP128" s="139"/>
      <c r="QQ128" s="139"/>
      <c r="QR128" s="139"/>
      <c r="QS128" s="139"/>
      <c r="QT128" s="139"/>
      <c r="QU128" s="139"/>
      <c r="QV128" s="139"/>
      <c r="QW128" s="139"/>
      <c r="QX128" s="139"/>
      <c r="QY128" s="139"/>
      <c r="QZ128" s="139"/>
      <c r="RA128" s="139"/>
      <c r="RB128" s="139"/>
      <c r="RC128" s="139"/>
      <c r="RD128" s="139"/>
      <c r="RE128" s="139"/>
      <c r="RF128" s="139"/>
      <c r="RG128" s="139"/>
      <c r="RH128" s="139"/>
      <c r="RI128" s="139"/>
      <c r="RJ128" s="139"/>
      <c r="RK128" s="139"/>
      <c r="RL128" s="139"/>
      <c r="RM128" s="139"/>
      <c r="RN128" s="139"/>
      <c r="RO128" s="139"/>
      <c r="RP128" s="139"/>
      <c r="RQ128" s="139"/>
      <c r="RR128" s="139"/>
      <c r="RS128" s="139"/>
      <c r="RT128" s="139"/>
      <c r="RU128" s="139"/>
      <c r="RV128" s="139"/>
      <c r="RW128" s="139"/>
      <c r="RX128" s="139"/>
      <c r="RY128" s="139"/>
      <c r="RZ128" s="139"/>
      <c r="SA128" s="139"/>
      <c r="SB128" s="139"/>
      <c r="SC128" s="139"/>
      <c r="SD128" s="139"/>
      <c r="SE128" s="139"/>
      <c r="SF128" s="139"/>
      <c r="SG128" s="139"/>
      <c r="SH128" s="139"/>
      <c r="SI128" s="139"/>
      <c r="SJ128" s="139"/>
      <c r="SK128" s="139"/>
      <c r="SL128" s="139"/>
      <c r="SM128" s="139"/>
      <c r="SN128" s="139"/>
      <c r="SO128" s="139"/>
      <c r="SP128" s="139"/>
      <c r="SQ128" s="139"/>
      <c r="SR128" s="139"/>
      <c r="SS128" s="139"/>
      <c r="ST128" s="139"/>
      <c r="SU128" s="139"/>
      <c r="SV128" s="139"/>
      <c r="SW128" s="139"/>
      <c r="SX128" s="139"/>
      <c r="SY128" s="139"/>
      <c r="SZ128" s="139"/>
      <c r="TA128" s="139"/>
      <c r="TB128" s="139"/>
      <c r="TC128" s="139"/>
      <c r="TD128" s="139"/>
      <c r="TE128" s="139"/>
      <c r="TF128" s="139"/>
      <c r="TG128" s="139"/>
      <c r="TH128" s="139"/>
      <c r="TI128" s="139"/>
      <c r="TJ128" s="139"/>
      <c r="TK128" s="139"/>
      <c r="TL128" s="139"/>
      <c r="TM128" s="139"/>
      <c r="TN128" s="139"/>
      <c r="TO128" s="139"/>
      <c r="TP128" s="139"/>
      <c r="TQ128" s="139"/>
      <c r="TR128" s="139"/>
      <c r="TS128" s="139"/>
      <c r="TT128" s="139"/>
      <c r="TU128" s="139"/>
      <c r="TV128" s="139"/>
      <c r="TW128" s="139"/>
      <c r="TX128" s="139"/>
      <c r="TY128" s="139"/>
      <c r="TZ128" s="139"/>
      <c r="UA128" s="139"/>
      <c r="UB128" s="139"/>
      <c r="UC128" s="139"/>
      <c r="UD128" s="139"/>
      <c r="UE128" s="139"/>
      <c r="UF128" s="139"/>
      <c r="UG128" s="139"/>
      <c r="UH128" s="139"/>
      <c r="UI128" s="139"/>
      <c r="UJ128" s="139"/>
      <c r="UK128" s="139"/>
      <c r="UL128" s="139"/>
      <c r="UM128" s="139"/>
      <c r="UN128" s="139"/>
      <c r="UO128" s="139"/>
      <c r="UP128" s="139"/>
      <c r="UQ128" s="139"/>
      <c r="UR128" s="139"/>
      <c r="US128" s="139"/>
      <c r="UT128" s="139"/>
      <c r="UU128" s="139"/>
      <c r="UV128" s="139"/>
      <c r="UW128" s="139"/>
      <c r="UX128" s="139"/>
      <c r="UY128" s="139"/>
      <c r="UZ128" s="139"/>
      <c r="VA128" s="139"/>
      <c r="VB128" s="139"/>
      <c r="VC128" s="139"/>
      <c r="VD128" s="139"/>
      <c r="VE128" s="139"/>
      <c r="VF128" s="139"/>
      <c r="VG128" s="139"/>
      <c r="VH128" s="139"/>
      <c r="VI128" s="139"/>
      <c r="VJ128" s="139"/>
      <c r="VK128" s="139"/>
      <c r="VL128" s="139"/>
      <c r="VM128" s="139"/>
      <c r="VN128" s="139"/>
      <c r="VO128" s="139"/>
      <c r="VP128" s="139"/>
      <c r="VQ128" s="139"/>
      <c r="VR128" s="139"/>
      <c r="VS128" s="139"/>
      <c r="VT128" s="139"/>
      <c r="VU128" s="139"/>
      <c r="VV128" s="139"/>
      <c r="VW128" s="139"/>
      <c r="VX128" s="139"/>
      <c r="VY128" s="139"/>
      <c r="VZ128" s="139"/>
      <c r="WA128" s="139"/>
      <c r="WB128" s="139"/>
      <c r="WC128" s="139"/>
      <c r="WD128" s="139"/>
      <c r="WE128" s="139"/>
      <c r="WF128" s="139"/>
      <c r="WG128" s="139"/>
      <c r="WH128" s="139"/>
      <c r="WI128" s="139"/>
      <c r="WJ128" s="139"/>
      <c r="WK128" s="139"/>
      <c r="WL128" s="139"/>
      <c r="WM128" s="139"/>
      <c r="WN128" s="139"/>
      <c r="WO128" s="139"/>
      <c r="WP128" s="139"/>
      <c r="WQ128" s="139"/>
      <c r="WR128" s="139"/>
      <c r="WS128" s="139"/>
      <c r="WT128" s="139"/>
      <c r="WU128" s="139"/>
      <c r="WV128" s="139"/>
      <c r="WW128" s="139"/>
      <c r="WX128" s="139"/>
      <c r="WY128" s="139"/>
      <c r="WZ128" s="139"/>
      <c r="XA128" s="139"/>
      <c r="XB128" s="139"/>
      <c r="XC128" s="139"/>
      <c r="XD128" s="139"/>
      <c r="XE128" s="139"/>
      <c r="XF128" s="139"/>
      <c r="XG128" s="139"/>
      <c r="XH128" s="139"/>
      <c r="XI128" s="139"/>
      <c r="XJ128" s="139"/>
      <c r="XK128" s="139"/>
      <c r="XL128" s="139"/>
      <c r="XM128" s="139"/>
      <c r="XN128" s="139"/>
      <c r="XO128" s="139"/>
      <c r="XP128" s="139"/>
      <c r="XQ128" s="139"/>
      <c r="XR128" s="139"/>
      <c r="XS128" s="139"/>
      <c r="XT128" s="139"/>
      <c r="XU128" s="139"/>
      <c r="XV128" s="139"/>
      <c r="XW128" s="139"/>
      <c r="XX128" s="139"/>
      <c r="XY128" s="139"/>
      <c r="XZ128" s="139"/>
      <c r="YA128" s="139"/>
      <c r="YB128" s="139"/>
      <c r="YC128" s="139"/>
      <c r="YD128" s="139"/>
      <c r="YE128" s="139"/>
      <c r="YF128" s="139"/>
      <c r="YG128" s="139"/>
      <c r="YH128" s="139"/>
      <c r="YI128" s="139"/>
      <c r="YJ128" s="139"/>
      <c r="YK128" s="139"/>
      <c r="YL128" s="139"/>
      <c r="YM128" s="139"/>
      <c r="YN128" s="139"/>
      <c r="YO128" s="139"/>
      <c r="YP128" s="139"/>
      <c r="YQ128" s="139"/>
      <c r="YR128" s="139"/>
      <c r="YS128" s="139"/>
      <c r="YT128" s="139"/>
      <c r="YU128" s="139"/>
      <c r="YV128" s="139"/>
      <c r="YW128" s="139"/>
      <c r="YX128" s="139"/>
      <c r="YY128" s="139"/>
      <c r="YZ128" s="139"/>
      <c r="ZA128" s="139"/>
      <c r="ZB128" s="139"/>
      <c r="ZC128" s="139"/>
      <c r="ZD128" s="139"/>
      <c r="ZE128" s="139"/>
      <c r="ZF128" s="139"/>
      <c r="ZG128" s="139"/>
      <c r="ZH128" s="139"/>
      <c r="ZI128" s="139"/>
      <c r="ZJ128" s="139"/>
      <c r="ZK128" s="139"/>
      <c r="ZL128" s="139"/>
      <c r="ZM128" s="139"/>
      <c r="ZN128" s="139"/>
      <c r="ZO128" s="139"/>
      <c r="ZP128" s="139"/>
      <c r="ZQ128" s="139"/>
      <c r="ZR128" s="139"/>
      <c r="ZS128" s="139"/>
      <c r="ZT128" s="139"/>
      <c r="ZU128" s="139"/>
      <c r="ZV128" s="139"/>
      <c r="ZW128" s="139"/>
      <c r="ZX128" s="139"/>
      <c r="ZY128" s="139"/>
      <c r="ZZ128" s="139"/>
      <c r="AAA128" s="139"/>
      <c r="AAB128" s="139"/>
      <c r="AAC128" s="139"/>
      <c r="AAD128" s="139"/>
      <c r="AAE128" s="139"/>
      <c r="AAF128" s="139"/>
      <c r="AAG128" s="139"/>
      <c r="AAH128" s="139"/>
      <c r="AAI128" s="139"/>
      <c r="AAJ128" s="139"/>
      <c r="AAK128" s="139"/>
      <c r="AAL128" s="139"/>
      <c r="AAM128" s="139"/>
      <c r="AAN128" s="139"/>
      <c r="AAO128" s="139"/>
      <c r="AAP128" s="139"/>
      <c r="AAQ128" s="139"/>
      <c r="AAR128" s="139"/>
      <c r="AAS128" s="139"/>
      <c r="AAT128" s="139"/>
      <c r="AAU128" s="139"/>
      <c r="AAV128" s="139"/>
      <c r="AAW128" s="139"/>
      <c r="AAX128" s="139"/>
      <c r="AAY128" s="139"/>
      <c r="AAZ128" s="139"/>
      <c r="ABA128" s="139"/>
      <c r="ABB128" s="139"/>
      <c r="ABC128" s="139"/>
      <c r="ABD128" s="139"/>
      <c r="ABE128" s="139"/>
      <c r="ABF128" s="139"/>
      <c r="ABG128" s="139"/>
      <c r="ABH128" s="139"/>
      <c r="ABI128" s="139"/>
      <c r="ABJ128" s="139"/>
      <c r="ABK128" s="139"/>
      <c r="ABL128" s="139"/>
      <c r="ABM128" s="139"/>
      <c r="ABN128" s="139"/>
      <c r="ABO128" s="139"/>
      <c r="ABP128" s="139"/>
      <c r="ABQ128" s="139"/>
      <c r="ABR128" s="139"/>
      <c r="ABS128" s="139"/>
      <c r="ABT128" s="139"/>
      <c r="ABU128" s="139"/>
      <c r="ABV128" s="139"/>
      <c r="ABW128" s="139"/>
      <c r="ABX128" s="139"/>
      <c r="ABY128" s="139"/>
      <c r="ABZ128" s="139"/>
      <c r="ACA128" s="139"/>
      <c r="ACB128" s="139"/>
      <c r="ACC128" s="139"/>
      <c r="ACD128" s="139"/>
      <c r="ACE128" s="139"/>
      <c r="ACF128" s="139"/>
      <c r="ACG128" s="139"/>
      <c r="ACH128" s="139"/>
      <c r="ACI128" s="139"/>
      <c r="ACJ128" s="139"/>
      <c r="ACK128" s="139"/>
      <c r="ACL128" s="139"/>
      <c r="ACM128" s="139"/>
      <c r="ACN128" s="139"/>
      <c r="ACO128" s="139"/>
      <c r="ACP128" s="139"/>
      <c r="ACQ128" s="139"/>
      <c r="ACR128" s="139"/>
      <c r="ACS128" s="139"/>
      <c r="ACT128" s="139"/>
      <c r="ACU128" s="139"/>
      <c r="ACV128" s="139"/>
      <c r="ACW128" s="139"/>
      <c r="ACX128" s="139"/>
      <c r="ACY128" s="139"/>
      <c r="ACZ128" s="139"/>
      <c r="ADA128" s="139"/>
      <c r="ADB128" s="139"/>
      <c r="ADC128" s="139"/>
      <c r="ADD128" s="139"/>
      <c r="ADE128" s="139"/>
      <c r="ADF128" s="139"/>
      <c r="ADG128" s="139"/>
      <c r="ADH128" s="139"/>
      <c r="ADI128" s="139"/>
      <c r="ADJ128" s="139"/>
      <c r="ADK128" s="139"/>
      <c r="ADL128" s="139"/>
      <c r="ADM128" s="139"/>
      <c r="ADN128" s="139"/>
      <c r="ADO128" s="139"/>
      <c r="ADP128" s="139"/>
      <c r="ADQ128" s="139"/>
      <c r="ADR128" s="139"/>
      <c r="ADS128" s="139"/>
      <c r="ADT128" s="139"/>
      <c r="ADU128" s="139"/>
      <c r="ADV128" s="139"/>
      <c r="ADW128" s="139"/>
      <c r="ADX128" s="139"/>
      <c r="ADY128" s="139"/>
      <c r="ADZ128" s="139"/>
      <c r="AEA128" s="139"/>
      <c r="AEB128" s="139"/>
      <c r="AEC128" s="139"/>
      <c r="AED128" s="139"/>
      <c r="AEE128" s="139"/>
      <c r="AEF128" s="139"/>
      <c r="AEG128" s="139"/>
      <c r="AEH128" s="139"/>
      <c r="AEI128" s="139"/>
      <c r="AEJ128" s="139"/>
      <c r="AEK128" s="139"/>
      <c r="AEL128" s="139"/>
      <c r="AEM128" s="139"/>
      <c r="AEN128" s="139"/>
      <c r="AEO128" s="139"/>
      <c r="AEP128" s="139"/>
      <c r="AEQ128" s="139"/>
      <c r="AER128" s="139"/>
      <c r="AES128" s="139"/>
      <c r="AET128" s="139"/>
      <c r="AEU128" s="139"/>
      <c r="AEV128" s="139"/>
      <c r="AEW128" s="139"/>
      <c r="AEX128" s="139"/>
      <c r="AEY128" s="139"/>
      <c r="AEZ128" s="139"/>
      <c r="AFA128" s="139"/>
      <c r="AFB128" s="139"/>
      <c r="AFC128" s="139"/>
      <c r="AFD128" s="139"/>
      <c r="AFE128" s="139"/>
      <c r="AFF128" s="139"/>
      <c r="AFG128" s="139"/>
      <c r="AFH128" s="139"/>
      <c r="AFI128" s="139"/>
      <c r="AFJ128" s="139"/>
      <c r="AFK128" s="139"/>
      <c r="AFL128" s="139"/>
      <c r="AFM128" s="139"/>
      <c r="AFN128" s="139"/>
      <c r="AFO128" s="139"/>
      <c r="AFP128" s="139"/>
      <c r="AFQ128" s="139"/>
      <c r="AFR128" s="139"/>
      <c r="AFS128" s="139"/>
      <c r="AFT128" s="139"/>
      <c r="AFU128" s="139"/>
      <c r="AFV128" s="139"/>
      <c r="AFW128" s="139"/>
      <c r="AFX128" s="139"/>
      <c r="AFY128" s="139"/>
      <c r="AFZ128" s="139"/>
      <c r="AGA128" s="139"/>
      <c r="AGB128" s="139"/>
      <c r="AGC128" s="139"/>
      <c r="AGD128" s="139"/>
      <c r="AGE128" s="139"/>
      <c r="AGF128" s="139"/>
      <c r="AGG128" s="139"/>
      <c r="AGH128" s="139"/>
      <c r="AGI128" s="139"/>
      <c r="AGJ128" s="139"/>
      <c r="AGK128" s="139"/>
      <c r="AGL128" s="139"/>
      <c r="AGM128" s="139"/>
      <c r="AGN128" s="139"/>
      <c r="AGO128" s="139"/>
      <c r="AGP128" s="139"/>
      <c r="AGQ128" s="139"/>
      <c r="AGR128" s="139"/>
      <c r="AGS128" s="139"/>
      <c r="AGT128" s="139"/>
      <c r="AGU128" s="139"/>
      <c r="AGV128" s="139"/>
      <c r="AGW128" s="139"/>
      <c r="AGX128" s="139"/>
      <c r="AGY128" s="139"/>
      <c r="AGZ128" s="139"/>
      <c r="AHA128" s="139"/>
      <c r="AHB128" s="139"/>
      <c r="AHC128" s="139"/>
      <c r="AHD128" s="139"/>
      <c r="AHE128" s="139"/>
      <c r="AHF128" s="139"/>
      <c r="AHG128" s="139"/>
      <c r="AHH128" s="139"/>
      <c r="AHI128" s="139"/>
      <c r="AHJ128" s="139"/>
      <c r="AHK128" s="139"/>
      <c r="AHL128" s="139"/>
      <c r="AHM128" s="139"/>
      <c r="AHN128" s="139"/>
      <c r="AHO128" s="139"/>
      <c r="AHP128" s="139"/>
      <c r="AHQ128" s="139"/>
      <c r="AHR128" s="139"/>
      <c r="AHS128" s="139"/>
      <c r="AHT128" s="139"/>
      <c r="AHU128" s="139"/>
      <c r="AHV128" s="139"/>
      <c r="AHW128" s="139"/>
      <c r="AHX128" s="139"/>
      <c r="AHY128" s="139"/>
      <c r="AHZ128" s="139"/>
      <c r="AIA128" s="139"/>
      <c r="AIB128" s="139"/>
      <c r="AIC128" s="139"/>
      <c r="AID128" s="139"/>
      <c r="AIE128" s="139"/>
      <c r="AIF128" s="139"/>
      <c r="AIG128" s="139"/>
      <c r="AIH128" s="139"/>
      <c r="AII128" s="139"/>
      <c r="AIJ128" s="139"/>
      <c r="AIK128" s="139"/>
      <c r="AIL128" s="139"/>
      <c r="AIM128" s="139"/>
      <c r="AIN128" s="139"/>
      <c r="AIO128" s="139"/>
      <c r="AIP128" s="139"/>
      <c r="AIQ128" s="139"/>
      <c r="AIR128" s="139"/>
      <c r="AIS128" s="139"/>
      <c r="AIT128" s="139"/>
      <c r="AIU128" s="139"/>
      <c r="AIV128" s="139"/>
      <c r="AIW128" s="139"/>
      <c r="AIX128" s="139"/>
      <c r="AIY128" s="139"/>
      <c r="AIZ128" s="139"/>
      <c r="AJA128" s="139"/>
      <c r="AJB128" s="139"/>
      <c r="AJC128" s="139"/>
      <c r="AJD128" s="139"/>
      <c r="AJE128" s="139"/>
      <c r="AJF128" s="139"/>
      <c r="AJG128" s="139"/>
      <c r="AJH128" s="139"/>
      <c r="AJI128" s="139"/>
      <c r="AJJ128" s="139"/>
      <c r="AJK128" s="139"/>
      <c r="AJL128" s="139"/>
      <c r="AJM128" s="139"/>
      <c r="AJN128" s="139"/>
      <c r="AJO128" s="139"/>
      <c r="AJP128" s="139"/>
      <c r="AJQ128" s="139"/>
      <c r="AJR128" s="139"/>
      <c r="AJS128" s="139"/>
      <c r="AJT128" s="139"/>
      <c r="AJU128" s="139"/>
      <c r="AJV128" s="139"/>
      <c r="AJW128" s="139"/>
      <c r="AJX128" s="139"/>
      <c r="AJY128" s="139"/>
      <c r="AJZ128" s="139"/>
      <c r="AKA128" s="139"/>
      <c r="AKB128" s="139"/>
      <c r="AKC128" s="139"/>
      <c r="AKD128" s="139"/>
      <c r="AKE128" s="139"/>
      <c r="AKF128" s="139"/>
      <c r="AKG128" s="139"/>
      <c r="AKH128" s="139"/>
      <c r="AKI128" s="139"/>
      <c r="AKJ128" s="139"/>
      <c r="AKK128" s="139"/>
      <c r="AKL128" s="139"/>
      <c r="AKM128" s="139"/>
      <c r="AKN128" s="139"/>
      <c r="AKO128" s="139"/>
      <c r="AKP128" s="139"/>
      <c r="AKQ128" s="139"/>
      <c r="AKR128" s="139"/>
      <c r="AKS128" s="139"/>
      <c r="AKT128" s="139"/>
      <c r="AKU128" s="139"/>
      <c r="AKV128" s="139"/>
      <c r="AKW128" s="139"/>
      <c r="AKX128" s="139"/>
      <c r="AKY128" s="139"/>
      <c r="AKZ128" s="139"/>
      <c r="ALA128" s="139"/>
      <c r="ALB128" s="139"/>
      <c r="ALC128" s="139"/>
      <c r="ALD128" s="139"/>
      <c r="ALE128" s="139"/>
      <c r="ALF128" s="139"/>
      <c r="ALG128" s="139"/>
      <c r="ALH128" s="139"/>
      <c r="ALI128" s="139"/>
      <c r="ALJ128" s="139"/>
      <c r="ALK128" s="139"/>
      <c r="ALL128" s="139"/>
      <c r="ALM128" s="139"/>
      <c r="ALN128" s="139"/>
      <c r="ALO128" s="139"/>
      <c r="ALP128" s="139"/>
      <c r="ALQ128" s="139"/>
      <c r="ALR128" s="139"/>
      <c r="ALS128" s="139"/>
      <c r="ALT128" s="139"/>
      <c r="ALU128" s="139"/>
      <c r="ALV128" s="139"/>
      <c r="ALW128" s="139"/>
      <c r="ALX128" s="139"/>
      <c r="ALY128" s="139"/>
      <c r="ALZ128" s="139"/>
      <c r="AMA128" s="139"/>
      <c r="AMB128" s="139"/>
      <c r="AMC128" s="139"/>
      <c r="AMD128" s="139"/>
      <c r="AME128" s="139"/>
      <c r="AMF128" s="139"/>
      <c r="AMG128" s="139"/>
      <c r="AMH128" s="139"/>
      <c r="AMI128" s="139"/>
      <c r="AMJ128" s="139"/>
      <c r="AMK128" s="139"/>
      <c r="AML128" s="139"/>
      <c r="AMM128" s="139"/>
      <c r="AMN128" s="139"/>
      <c r="AMO128" s="139"/>
      <c r="AMP128" s="139"/>
      <c r="AMQ128" s="139"/>
      <c r="AMR128" s="139"/>
      <c r="AMS128" s="139"/>
      <c r="AMT128" s="139"/>
      <c r="AMU128" s="139"/>
      <c r="AMV128" s="139"/>
      <c r="AMW128" s="139"/>
      <c r="AMX128" s="139"/>
      <c r="AMY128" s="139"/>
      <c r="AMZ128" s="139"/>
      <c r="ANA128" s="139"/>
      <c r="ANB128" s="139"/>
      <c r="ANC128" s="139"/>
      <c r="AND128" s="139"/>
      <c r="ANE128" s="139"/>
      <c r="ANF128" s="139"/>
      <c r="ANG128" s="139"/>
      <c r="ANH128" s="139"/>
      <c r="ANI128" s="139"/>
      <c r="ANJ128" s="139"/>
      <c r="ANK128" s="139"/>
      <c r="ANL128" s="139"/>
      <c r="ANM128" s="139"/>
      <c r="ANN128" s="139"/>
      <c r="ANO128" s="139"/>
      <c r="ANP128" s="139"/>
      <c r="ANQ128" s="139"/>
      <c r="ANR128" s="139"/>
      <c r="ANS128" s="139"/>
      <c r="ANT128" s="139"/>
      <c r="ANU128" s="139"/>
      <c r="ANV128" s="139"/>
      <c r="ANW128" s="139"/>
      <c r="ANX128" s="139"/>
      <c r="ANY128" s="139"/>
      <c r="ANZ128" s="139"/>
      <c r="AOA128" s="139"/>
      <c r="AOB128" s="139"/>
      <c r="AOC128" s="139"/>
      <c r="AOD128" s="139"/>
      <c r="AOE128" s="139"/>
      <c r="AOF128" s="139"/>
      <c r="AOG128" s="139"/>
      <c r="AOH128" s="139"/>
      <c r="AOI128" s="139"/>
      <c r="AOJ128" s="139"/>
      <c r="AOK128" s="139"/>
      <c r="AOL128" s="139"/>
      <c r="AOM128" s="139"/>
      <c r="AON128" s="139"/>
      <c r="AOO128" s="139"/>
      <c r="AOP128" s="139"/>
      <c r="AOQ128" s="139"/>
      <c r="AOR128" s="139"/>
      <c r="AOS128" s="139"/>
      <c r="AOT128" s="139"/>
      <c r="AOU128" s="139"/>
      <c r="AOV128" s="139"/>
      <c r="AOW128" s="139"/>
      <c r="AOX128" s="139"/>
      <c r="AOY128" s="139"/>
      <c r="AOZ128" s="139"/>
      <c r="APA128" s="139"/>
      <c r="APB128" s="139"/>
      <c r="APC128" s="139"/>
      <c r="APD128" s="139"/>
      <c r="APE128" s="139"/>
      <c r="APF128" s="139"/>
      <c r="APG128" s="139"/>
      <c r="APH128" s="139"/>
      <c r="API128" s="139"/>
      <c r="APJ128" s="139"/>
      <c r="APK128" s="139"/>
      <c r="APL128" s="139"/>
      <c r="APM128" s="139"/>
      <c r="APN128" s="139"/>
      <c r="APO128" s="139"/>
      <c r="APP128" s="139"/>
      <c r="APQ128" s="139"/>
      <c r="APR128" s="139"/>
      <c r="APS128" s="139"/>
      <c r="APT128" s="139"/>
      <c r="APU128" s="139"/>
      <c r="APV128" s="139"/>
      <c r="APW128" s="139"/>
      <c r="APX128" s="139"/>
      <c r="APY128" s="139"/>
      <c r="APZ128" s="139"/>
      <c r="AQA128" s="139"/>
      <c r="AQB128" s="139"/>
      <c r="AQC128" s="139"/>
      <c r="AQD128" s="139"/>
      <c r="AQE128" s="139"/>
      <c r="AQF128" s="139"/>
      <c r="AQG128" s="139"/>
      <c r="AQH128" s="139"/>
      <c r="AQI128" s="139"/>
      <c r="AQJ128" s="139"/>
      <c r="AQK128" s="139"/>
      <c r="AQL128" s="139"/>
      <c r="AQM128" s="139"/>
      <c r="AQN128" s="139"/>
      <c r="AQO128" s="139"/>
      <c r="AQP128" s="139"/>
      <c r="AQQ128" s="139"/>
      <c r="AQR128" s="139"/>
      <c r="AQS128" s="139"/>
      <c r="AQT128" s="139"/>
      <c r="AQU128" s="139"/>
      <c r="AQV128" s="139"/>
      <c r="AQW128" s="139"/>
      <c r="AQX128" s="139"/>
      <c r="AQY128" s="139"/>
      <c r="AQZ128" s="139"/>
      <c r="ARA128" s="139"/>
      <c r="ARB128" s="139"/>
      <c r="ARC128" s="139"/>
      <c r="ARD128" s="139"/>
      <c r="ARE128" s="139"/>
      <c r="ARF128" s="139"/>
      <c r="ARG128" s="139"/>
      <c r="ARH128" s="139"/>
      <c r="ARI128" s="139"/>
      <c r="ARJ128" s="139"/>
      <c r="ARK128" s="139"/>
      <c r="ARL128" s="139"/>
      <c r="ARM128" s="139"/>
      <c r="ARN128" s="139"/>
      <c r="ARO128" s="139"/>
      <c r="ARP128" s="139"/>
      <c r="ARQ128" s="139"/>
      <c r="ARR128" s="139"/>
      <c r="ARS128" s="139"/>
      <c r="ART128" s="139"/>
      <c r="ARU128" s="139"/>
      <c r="ARV128" s="139"/>
      <c r="ARW128" s="139"/>
      <c r="ARX128" s="139"/>
      <c r="ARY128" s="139"/>
      <c r="ARZ128" s="139"/>
      <c r="ASA128" s="139"/>
      <c r="ASB128" s="139"/>
      <c r="ASC128" s="139"/>
      <c r="ASD128" s="139"/>
      <c r="ASE128" s="139"/>
      <c r="ASF128" s="139"/>
      <c r="ASG128" s="139"/>
      <c r="ASH128" s="139"/>
      <c r="ASI128" s="139"/>
      <c r="ASJ128" s="139"/>
      <c r="ASK128" s="139"/>
      <c r="ASL128" s="139"/>
      <c r="ASM128" s="139"/>
      <c r="ASN128" s="139"/>
      <c r="ASO128" s="139"/>
      <c r="ASP128" s="139"/>
      <c r="ASQ128" s="139"/>
      <c r="ASR128" s="139"/>
      <c r="ASS128" s="139"/>
      <c r="AST128" s="139"/>
      <c r="ASU128" s="139"/>
      <c r="ASV128" s="139"/>
      <c r="ASW128" s="139"/>
      <c r="ASX128" s="139"/>
      <c r="ASY128" s="139"/>
      <c r="ASZ128" s="139"/>
      <c r="ATA128" s="139"/>
      <c r="ATB128" s="139"/>
      <c r="ATC128" s="139"/>
      <c r="ATD128" s="139"/>
      <c r="ATE128" s="139"/>
      <c r="ATF128" s="139"/>
      <c r="ATG128" s="139"/>
      <c r="ATH128" s="139"/>
      <c r="ATI128" s="139"/>
      <c r="ATJ128" s="139"/>
      <c r="ATK128" s="139"/>
      <c r="ATL128" s="139"/>
      <c r="ATM128" s="139"/>
      <c r="ATN128" s="139"/>
      <c r="ATO128" s="139"/>
      <c r="ATP128" s="139"/>
      <c r="ATQ128" s="139"/>
      <c r="ATR128" s="139"/>
      <c r="ATS128" s="139"/>
      <c r="ATT128" s="139"/>
      <c r="ATU128" s="139"/>
      <c r="ATV128" s="139"/>
      <c r="ATW128" s="139"/>
      <c r="ATX128" s="139"/>
      <c r="ATY128" s="139"/>
      <c r="ATZ128" s="139"/>
      <c r="AUA128" s="139"/>
      <c r="AUB128" s="139"/>
      <c r="AUC128" s="139"/>
      <c r="AUD128" s="139"/>
      <c r="AUE128" s="139"/>
      <c r="AUF128" s="139"/>
      <c r="AUG128" s="139"/>
      <c r="AUH128" s="139"/>
      <c r="AUI128" s="139"/>
      <c r="AUJ128" s="139"/>
      <c r="AUK128" s="139"/>
      <c r="AUL128" s="139"/>
      <c r="AUM128" s="139"/>
      <c r="AUN128" s="139"/>
      <c r="AUO128" s="139"/>
      <c r="AUP128" s="139"/>
      <c r="AUQ128" s="139"/>
      <c r="AUR128" s="139"/>
      <c r="AUS128" s="139"/>
      <c r="AUT128" s="139"/>
      <c r="AUU128" s="139"/>
      <c r="AUV128" s="139"/>
      <c r="AUW128" s="139"/>
      <c r="AUX128" s="139"/>
      <c r="AUY128" s="139"/>
      <c r="AUZ128" s="139"/>
      <c r="AVA128" s="139"/>
      <c r="AVB128" s="139"/>
      <c r="AVC128" s="139"/>
      <c r="AVD128" s="139"/>
      <c r="AVE128" s="139"/>
      <c r="AVF128" s="139"/>
      <c r="AVG128" s="139"/>
      <c r="AVH128" s="139"/>
      <c r="AVI128" s="139"/>
      <c r="AVJ128" s="139"/>
      <c r="AVK128" s="139"/>
      <c r="AVL128" s="139"/>
      <c r="AVM128" s="139"/>
      <c r="AVN128" s="139"/>
      <c r="AVO128" s="139"/>
      <c r="AVP128" s="139"/>
      <c r="AVQ128" s="139"/>
      <c r="AVR128" s="139"/>
      <c r="AVS128" s="139"/>
      <c r="AVT128" s="139"/>
      <c r="AVU128" s="139"/>
      <c r="AVV128" s="139"/>
      <c r="AVW128" s="139"/>
      <c r="AVX128" s="139"/>
      <c r="AVY128" s="139"/>
      <c r="AVZ128" s="139"/>
      <c r="AWA128" s="139"/>
      <c r="AWB128" s="139"/>
      <c r="AWC128" s="139"/>
      <c r="AWD128" s="139"/>
      <c r="AWE128" s="139"/>
      <c r="AWF128" s="139"/>
      <c r="AWG128" s="139"/>
      <c r="AWH128" s="139"/>
      <c r="AWI128" s="139"/>
      <c r="AWJ128" s="139"/>
      <c r="AWK128" s="139"/>
      <c r="AWL128" s="139"/>
      <c r="AWM128" s="139"/>
      <c r="AWN128" s="139"/>
      <c r="AWO128" s="139"/>
      <c r="AWP128" s="139"/>
      <c r="AWQ128" s="139"/>
      <c r="AWR128" s="139"/>
      <c r="AWS128" s="139"/>
      <c r="AWT128" s="139"/>
      <c r="AWU128" s="139"/>
      <c r="AWV128" s="139"/>
      <c r="AWW128" s="139"/>
      <c r="AWX128" s="139"/>
      <c r="AWY128" s="139"/>
      <c r="AWZ128" s="139"/>
      <c r="AXA128" s="139"/>
      <c r="AXB128" s="139"/>
      <c r="AXC128" s="139"/>
      <c r="AXD128" s="139"/>
      <c r="AXE128" s="139"/>
      <c r="AXF128" s="139"/>
      <c r="AXG128" s="139"/>
      <c r="AXH128" s="139"/>
      <c r="AXI128" s="139"/>
      <c r="AXJ128" s="139"/>
      <c r="AXK128" s="139"/>
      <c r="AXL128" s="139"/>
      <c r="AXM128" s="139"/>
      <c r="AXN128" s="139"/>
      <c r="AXO128" s="139"/>
      <c r="AXP128" s="139"/>
      <c r="AXQ128" s="139"/>
      <c r="AXR128" s="139"/>
      <c r="AXS128" s="139"/>
      <c r="AXT128" s="139"/>
      <c r="AXU128" s="139"/>
      <c r="AXV128" s="139"/>
      <c r="AXW128" s="139"/>
      <c r="AXX128" s="139"/>
      <c r="AXY128" s="139"/>
      <c r="AXZ128" s="139"/>
      <c r="AYA128" s="139"/>
      <c r="AYB128" s="139"/>
      <c r="AYC128" s="139"/>
      <c r="AYD128" s="139"/>
      <c r="AYE128" s="139"/>
      <c r="AYF128" s="139"/>
      <c r="AYG128" s="139"/>
      <c r="AYH128" s="139"/>
      <c r="AYI128" s="139"/>
      <c r="AYJ128" s="139"/>
      <c r="AYK128" s="139"/>
      <c r="AYL128" s="139"/>
      <c r="AYM128" s="139"/>
      <c r="AYN128" s="139"/>
      <c r="AYO128" s="139"/>
      <c r="AYP128" s="139"/>
      <c r="AYQ128" s="139"/>
      <c r="AYR128" s="139"/>
      <c r="AYS128" s="139"/>
      <c r="AYT128" s="139"/>
      <c r="AYU128" s="139"/>
      <c r="AYV128" s="139"/>
      <c r="AYW128" s="139"/>
      <c r="AYX128" s="139"/>
      <c r="AYY128" s="139"/>
      <c r="AYZ128" s="139"/>
      <c r="AZA128" s="139"/>
      <c r="AZB128" s="139"/>
      <c r="AZC128" s="139"/>
      <c r="AZD128" s="139"/>
      <c r="AZE128" s="139"/>
      <c r="AZF128" s="139"/>
      <c r="AZG128" s="139"/>
      <c r="AZH128" s="139"/>
      <c r="AZI128" s="139"/>
      <c r="AZJ128" s="139"/>
      <c r="AZK128" s="139"/>
      <c r="AZL128" s="139"/>
      <c r="AZM128" s="139"/>
      <c r="AZN128" s="139"/>
      <c r="AZO128" s="139"/>
      <c r="AZP128" s="139"/>
      <c r="AZQ128" s="139"/>
      <c r="AZR128" s="139"/>
      <c r="AZS128" s="139"/>
      <c r="AZT128" s="139"/>
      <c r="AZU128" s="139"/>
      <c r="AZV128" s="139"/>
      <c r="AZW128" s="139"/>
      <c r="AZX128" s="139"/>
      <c r="AZY128" s="139"/>
      <c r="AZZ128" s="139"/>
      <c r="BAA128" s="139"/>
      <c r="BAB128" s="139"/>
      <c r="BAC128" s="139"/>
      <c r="BAD128" s="139"/>
      <c r="BAE128" s="139"/>
      <c r="BAF128" s="139"/>
      <c r="BAG128" s="139"/>
      <c r="BAH128" s="139"/>
      <c r="BAI128" s="139"/>
      <c r="BAJ128" s="139"/>
      <c r="BAK128" s="139"/>
      <c r="BAL128" s="139"/>
      <c r="BAM128" s="139"/>
      <c r="BAN128" s="139"/>
      <c r="BAO128" s="139"/>
      <c r="BAP128" s="139"/>
      <c r="BAQ128" s="139"/>
      <c r="BAR128" s="139"/>
      <c r="BAS128" s="139"/>
      <c r="BAT128" s="139"/>
      <c r="BAU128" s="139"/>
      <c r="BAV128" s="139"/>
      <c r="BAW128" s="139"/>
      <c r="BAX128" s="139"/>
      <c r="BAY128" s="139"/>
      <c r="BAZ128" s="139"/>
      <c r="BBA128" s="139"/>
      <c r="BBB128" s="139"/>
      <c r="BBC128" s="139"/>
      <c r="BBD128" s="139"/>
      <c r="BBE128" s="139"/>
      <c r="BBF128" s="139"/>
      <c r="BBG128" s="139"/>
      <c r="BBH128" s="139"/>
      <c r="BBI128" s="139"/>
      <c r="BBJ128" s="139"/>
      <c r="BBK128" s="139"/>
      <c r="BBL128" s="139"/>
      <c r="BBM128" s="139"/>
      <c r="BBN128" s="139"/>
      <c r="BBO128" s="139"/>
      <c r="BBP128" s="139"/>
      <c r="BBQ128" s="139"/>
      <c r="BBR128" s="139"/>
      <c r="BBS128" s="139"/>
      <c r="BBT128" s="139"/>
      <c r="BBU128" s="139"/>
      <c r="BBV128" s="139"/>
      <c r="BBW128" s="139"/>
      <c r="BBX128" s="139"/>
      <c r="BBY128" s="139"/>
      <c r="BBZ128" s="139"/>
      <c r="BCA128" s="139"/>
      <c r="BCB128" s="139"/>
      <c r="BCC128" s="139"/>
      <c r="BCD128" s="139"/>
      <c r="BCE128" s="139"/>
      <c r="BCF128" s="139"/>
      <c r="BCG128" s="139"/>
      <c r="BCH128" s="139"/>
      <c r="BCI128" s="139"/>
      <c r="BCJ128" s="139"/>
      <c r="BCK128" s="139"/>
      <c r="BCL128" s="139"/>
      <c r="BCM128" s="139"/>
      <c r="BCN128" s="139"/>
      <c r="BCO128" s="139"/>
      <c r="BCP128" s="139"/>
      <c r="BCQ128" s="139"/>
      <c r="BCR128" s="139"/>
      <c r="BCS128" s="139"/>
      <c r="BCT128" s="139"/>
      <c r="BCU128" s="139"/>
      <c r="BCV128" s="139"/>
      <c r="BCW128" s="139"/>
      <c r="BCX128" s="139"/>
      <c r="BCY128" s="139"/>
      <c r="BCZ128" s="139"/>
      <c r="BDA128" s="139"/>
      <c r="BDB128" s="139"/>
      <c r="BDC128" s="139"/>
      <c r="BDD128" s="139"/>
      <c r="BDE128" s="139"/>
      <c r="BDF128" s="139"/>
      <c r="BDG128" s="139"/>
      <c r="BDH128" s="139"/>
      <c r="BDI128" s="139"/>
      <c r="BDJ128" s="139"/>
      <c r="BDK128" s="139"/>
      <c r="BDL128" s="139"/>
      <c r="BDM128" s="139"/>
      <c r="BDN128" s="139"/>
      <c r="BDO128" s="139"/>
      <c r="BDP128" s="139"/>
      <c r="BDQ128" s="139"/>
      <c r="BDR128" s="139"/>
      <c r="BDS128" s="139"/>
      <c r="BDT128" s="139"/>
      <c r="BDU128" s="139"/>
      <c r="BDV128" s="139"/>
      <c r="BDW128" s="139"/>
      <c r="BDX128" s="139"/>
      <c r="BDY128" s="139"/>
      <c r="BDZ128" s="139"/>
      <c r="BEA128" s="139"/>
      <c r="BEB128" s="139"/>
      <c r="BEC128" s="139"/>
      <c r="BED128" s="139"/>
      <c r="BEE128" s="139"/>
      <c r="BEF128" s="139"/>
      <c r="BEG128" s="139"/>
      <c r="BEH128" s="139"/>
      <c r="BEI128" s="139"/>
      <c r="BEJ128" s="139"/>
      <c r="BEK128" s="139"/>
      <c r="BEL128" s="139"/>
      <c r="BEM128" s="139"/>
      <c r="BEN128" s="139"/>
      <c r="BEO128" s="139"/>
      <c r="BEP128" s="139"/>
      <c r="BEQ128" s="139"/>
      <c r="BER128" s="139"/>
      <c r="BES128" s="139"/>
      <c r="BET128" s="139"/>
      <c r="BEU128" s="139"/>
      <c r="BEV128" s="139"/>
      <c r="BEW128" s="139"/>
      <c r="BEX128" s="139"/>
      <c r="BEY128" s="139"/>
      <c r="BEZ128" s="139"/>
      <c r="BFA128" s="139"/>
      <c r="BFB128" s="139"/>
      <c r="BFC128" s="139"/>
      <c r="BFD128" s="139"/>
      <c r="BFE128" s="139"/>
      <c r="BFF128" s="139"/>
      <c r="BFG128" s="139"/>
      <c r="BFH128" s="139"/>
      <c r="BFI128" s="139"/>
      <c r="BFJ128" s="139"/>
      <c r="BFK128" s="139"/>
      <c r="BFL128" s="139"/>
      <c r="BFM128" s="139"/>
      <c r="BFN128" s="139"/>
      <c r="BFO128" s="139"/>
      <c r="BFP128" s="139"/>
      <c r="BFQ128" s="139"/>
      <c r="BFR128" s="139"/>
      <c r="BFS128" s="139"/>
      <c r="BFT128" s="139"/>
      <c r="BFU128" s="139"/>
      <c r="BFV128" s="139"/>
      <c r="BFW128" s="139"/>
      <c r="BFX128" s="139"/>
      <c r="BFY128" s="139"/>
      <c r="BFZ128" s="139"/>
      <c r="BGA128" s="139"/>
      <c r="BGB128" s="139"/>
      <c r="BGC128" s="139"/>
      <c r="BGD128" s="139"/>
      <c r="BGE128" s="139"/>
      <c r="BGF128" s="139"/>
      <c r="BGG128" s="139"/>
      <c r="BGH128" s="139"/>
      <c r="BGI128" s="139"/>
      <c r="BGJ128" s="139"/>
      <c r="BGK128" s="139"/>
      <c r="BGL128" s="139"/>
      <c r="BGM128" s="139"/>
      <c r="BGN128" s="139"/>
      <c r="BGO128" s="139"/>
      <c r="BGP128" s="139"/>
      <c r="BGQ128" s="139"/>
      <c r="BGR128" s="139"/>
      <c r="BGS128" s="139"/>
      <c r="BGT128" s="139"/>
      <c r="BGU128" s="139"/>
      <c r="BGV128" s="139"/>
      <c r="BGW128" s="139"/>
      <c r="BGX128" s="139"/>
      <c r="BGY128" s="139"/>
      <c r="BGZ128" s="139"/>
      <c r="BHA128" s="139"/>
      <c r="BHB128" s="139"/>
      <c r="BHC128" s="139"/>
      <c r="BHD128" s="139"/>
      <c r="BHE128" s="139"/>
      <c r="BHF128" s="139"/>
      <c r="BHG128" s="139"/>
      <c r="BHH128" s="139"/>
      <c r="BHI128" s="139"/>
      <c r="BHJ128" s="139"/>
      <c r="BHK128" s="139"/>
      <c r="BHL128" s="139"/>
      <c r="BHM128" s="139"/>
      <c r="BHN128" s="139"/>
      <c r="BHO128" s="139"/>
      <c r="BHP128" s="139"/>
      <c r="BHQ128" s="139"/>
      <c r="BHR128" s="139"/>
      <c r="BHS128" s="139"/>
      <c r="BHT128" s="139"/>
      <c r="BHU128" s="139"/>
      <c r="BHV128" s="139"/>
      <c r="BHW128" s="139"/>
      <c r="BHX128" s="139"/>
      <c r="BHY128" s="139"/>
      <c r="BHZ128" s="139"/>
      <c r="BIA128" s="139"/>
      <c r="BIB128" s="139"/>
      <c r="BIC128" s="139"/>
      <c r="BID128" s="139"/>
      <c r="BIE128" s="139"/>
      <c r="BIF128" s="139"/>
      <c r="BIG128" s="139"/>
      <c r="BIH128" s="139"/>
      <c r="BII128" s="139"/>
      <c r="BIJ128" s="139"/>
      <c r="BIK128" s="139"/>
      <c r="BIL128" s="139"/>
      <c r="BIM128" s="139"/>
      <c r="BIN128" s="139"/>
      <c r="BIO128" s="139"/>
      <c r="BIP128" s="139"/>
      <c r="BIQ128" s="139"/>
      <c r="BIR128" s="139"/>
      <c r="BIS128" s="139"/>
      <c r="BIT128" s="139"/>
      <c r="BIU128" s="139"/>
      <c r="BIV128" s="139"/>
      <c r="BIW128" s="139"/>
      <c r="BIX128" s="139"/>
      <c r="BIY128" s="139"/>
      <c r="BIZ128" s="139"/>
      <c r="BJA128" s="139"/>
      <c r="BJB128" s="139"/>
      <c r="BJC128" s="139"/>
      <c r="BJD128" s="139"/>
      <c r="BJE128" s="139"/>
      <c r="BJF128" s="139"/>
      <c r="BJG128" s="139"/>
      <c r="BJH128" s="139"/>
      <c r="BJI128" s="139"/>
      <c r="BJJ128" s="139"/>
      <c r="BJK128" s="139"/>
      <c r="BJL128" s="139"/>
      <c r="BJM128" s="139"/>
      <c r="BJN128" s="139"/>
      <c r="BJO128" s="139"/>
      <c r="BJP128" s="139"/>
      <c r="BJQ128" s="139"/>
      <c r="BJR128" s="139"/>
      <c r="BJS128" s="139"/>
      <c r="BJT128" s="139"/>
      <c r="BJU128" s="139"/>
      <c r="BJV128" s="139"/>
      <c r="BJW128" s="139"/>
      <c r="BJX128" s="139"/>
      <c r="BJY128" s="139"/>
      <c r="BJZ128" s="139"/>
      <c r="BKA128" s="139"/>
      <c r="BKB128" s="139"/>
      <c r="BKC128" s="139"/>
      <c r="BKD128" s="139"/>
      <c r="BKE128" s="139"/>
      <c r="BKF128" s="139"/>
      <c r="BKG128" s="139"/>
      <c r="BKH128" s="139"/>
      <c r="BKI128" s="139"/>
      <c r="BKJ128" s="139"/>
      <c r="BKK128" s="139"/>
      <c r="BKL128" s="139"/>
      <c r="BKM128" s="139"/>
      <c r="BKN128" s="139"/>
      <c r="BKO128" s="139"/>
      <c r="BKP128" s="139"/>
      <c r="BKQ128" s="139"/>
      <c r="BKR128" s="139"/>
      <c r="BKS128" s="139"/>
      <c r="BKT128" s="139"/>
      <c r="BKU128" s="139"/>
      <c r="BKV128" s="139"/>
      <c r="BKW128" s="139"/>
      <c r="BKX128" s="139"/>
      <c r="BKY128" s="139"/>
      <c r="BKZ128" s="139"/>
      <c r="BLA128" s="139"/>
      <c r="BLB128" s="139"/>
      <c r="BLC128" s="139"/>
      <c r="BLD128" s="139"/>
      <c r="BLE128" s="139"/>
      <c r="BLF128" s="139"/>
      <c r="BLG128" s="139"/>
      <c r="BLH128" s="139"/>
      <c r="BLI128" s="139"/>
      <c r="BLJ128" s="139"/>
      <c r="BLK128" s="139"/>
      <c r="BLL128" s="139"/>
      <c r="BLM128" s="139"/>
      <c r="BLN128" s="139"/>
      <c r="BLO128" s="139"/>
      <c r="BLP128" s="139"/>
      <c r="BLQ128" s="139"/>
      <c r="BLR128" s="139"/>
      <c r="BLS128" s="139"/>
      <c r="BLT128" s="139"/>
      <c r="BLU128" s="139"/>
      <c r="BLV128" s="139"/>
      <c r="BLW128" s="139"/>
      <c r="BLX128" s="139"/>
      <c r="BLY128" s="139"/>
      <c r="BLZ128" s="139"/>
      <c r="BMA128" s="139"/>
      <c r="BMB128" s="139"/>
      <c r="BMC128" s="139"/>
      <c r="BMD128" s="139"/>
      <c r="BME128" s="139"/>
      <c r="BMF128" s="139"/>
      <c r="BMG128" s="139"/>
      <c r="BMH128" s="139"/>
      <c r="BMI128" s="139"/>
      <c r="BMJ128" s="139"/>
      <c r="BMK128" s="139"/>
      <c r="BML128" s="139"/>
      <c r="BMM128" s="139"/>
      <c r="BMN128" s="139"/>
      <c r="BMO128" s="139"/>
      <c r="BMP128" s="139"/>
      <c r="BMQ128" s="139"/>
      <c r="BMR128" s="139"/>
      <c r="BMS128" s="139"/>
      <c r="BMT128" s="139"/>
      <c r="BMU128" s="139"/>
      <c r="BMV128" s="139"/>
      <c r="BMW128" s="139"/>
      <c r="BMX128" s="139"/>
      <c r="BMY128" s="139"/>
      <c r="BMZ128" s="139"/>
      <c r="BNA128" s="139"/>
      <c r="BNB128" s="139"/>
      <c r="BNC128" s="139"/>
      <c r="BND128" s="139"/>
      <c r="BNE128" s="139"/>
      <c r="BNF128" s="139"/>
      <c r="BNG128" s="139"/>
      <c r="BNH128" s="139"/>
      <c r="BNI128" s="139"/>
      <c r="BNJ128" s="139"/>
      <c r="BNK128" s="139"/>
      <c r="BNL128" s="139"/>
      <c r="BNM128" s="139"/>
      <c r="BNN128" s="139"/>
      <c r="BNO128" s="139"/>
      <c r="BNP128" s="139"/>
      <c r="BNQ128" s="139"/>
      <c r="BNR128" s="139"/>
      <c r="BNS128" s="139"/>
      <c r="BNT128" s="139"/>
      <c r="BNU128" s="139"/>
      <c r="BNV128" s="139"/>
      <c r="BNW128" s="139"/>
      <c r="BNX128" s="139"/>
      <c r="BNY128" s="139"/>
      <c r="BNZ128" s="139"/>
      <c r="BOA128" s="139"/>
      <c r="BOB128" s="139"/>
      <c r="BOC128" s="139"/>
      <c r="BOD128" s="139"/>
      <c r="BOE128" s="139"/>
      <c r="BOF128" s="139"/>
      <c r="BOG128" s="139"/>
      <c r="BOH128" s="139"/>
      <c r="BOI128" s="139"/>
      <c r="BOJ128" s="139"/>
      <c r="BOK128" s="139"/>
      <c r="BOL128" s="139"/>
      <c r="BOM128" s="139"/>
      <c r="BON128" s="139"/>
      <c r="BOO128" s="139"/>
      <c r="BOP128" s="139"/>
      <c r="BOQ128" s="139"/>
      <c r="BOR128" s="139"/>
      <c r="BOS128" s="139"/>
      <c r="BOT128" s="139"/>
      <c r="BOU128" s="139"/>
      <c r="BOV128" s="139"/>
      <c r="BOW128" s="139"/>
      <c r="BOX128" s="139"/>
      <c r="BOY128" s="139"/>
      <c r="BOZ128" s="139"/>
      <c r="BPA128" s="139"/>
      <c r="BPB128" s="139"/>
      <c r="BPC128" s="139"/>
      <c r="BPD128" s="139"/>
      <c r="BPE128" s="139"/>
      <c r="BPF128" s="139"/>
      <c r="BPG128" s="139"/>
      <c r="BPH128" s="139"/>
      <c r="BPI128" s="139"/>
      <c r="BPJ128" s="139"/>
      <c r="BPK128" s="139"/>
      <c r="BPL128" s="139"/>
      <c r="BPM128" s="139"/>
      <c r="BPN128" s="139"/>
      <c r="BPO128" s="139"/>
      <c r="BPP128" s="139"/>
      <c r="BPQ128" s="139"/>
      <c r="BPR128" s="139"/>
      <c r="BPS128" s="139"/>
      <c r="BPT128" s="139"/>
      <c r="BPU128" s="139"/>
      <c r="BPV128" s="139"/>
      <c r="BPW128" s="139"/>
      <c r="BPX128" s="139"/>
      <c r="BPY128" s="139"/>
      <c r="BPZ128" s="139"/>
      <c r="BQA128" s="139"/>
      <c r="BQB128" s="139"/>
      <c r="BQC128" s="139"/>
      <c r="BQD128" s="139"/>
      <c r="BQE128" s="139"/>
      <c r="BQF128" s="139"/>
      <c r="BQG128" s="139"/>
      <c r="BQH128" s="139"/>
      <c r="BQI128" s="139"/>
      <c r="BQJ128" s="139"/>
      <c r="BQK128" s="139"/>
      <c r="BQL128" s="139"/>
      <c r="BQM128" s="139"/>
      <c r="BQN128" s="139"/>
      <c r="BQO128" s="139"/>
      <c r="BQP128" s="139"/>
      <c r="BQQ128" s="139"/>
      <c r="BQR128" s="139"/>
      <c r="BQS128" s="139"/>
      <c r="BQT128" s="139"/>
      <c r="BQU128" s="139"/>
      <c r="BQV128" s="139"/>
      <c r="BQW128" s="139"/>
      <c r="BQX128" s="139"/>
      <c r="BQY128" s="139"/>
      <c r="BQZ128" s="139"/>
      <c r="BRA128" s="139"/>
      <c r="BRB128" s="139"/>
      <c r="BRC128" s="139"/>
      <c r="BRD128" s="139"/>
      <c r="BRE128" s="139"/>
      <c r="BRF128" s="139"/>
      <c r="BRG128" s="139"/>
      <c r="BRH128" s="139"/>
      <c r="BRI128" s="139"/>
      <c r="BRJ128" s="139"/>
      <c r="BRK128" s="139"/>
      <c r="BRL128" s="139"/>
      <c r="BRM128" s="139"/>
      <c r="BRN128" s="139"/>
      <c r="BRO128" s="139"/>
      <c r="BRP128" s="139"/>
      <c r="BRQ128" s="139"/>
      <c r="BRR128" s="139"/>
      <c r="BRS128" s="139"/>
      <c r="BRT128" s="139"/>
      <c r="BRU128" s="139"/>
      <c r="BRV128" s="139"/>
      <c r="BRW128" s="139"/>
      <c r="BRX128" s="139"/>
      <c r="BRY128" s="139"/>
      <c r="BRZ128" s="139"/>
      <c r="BSA128" s="139"/>
      <c r="BSB128" s="139"/>
      <c r="BSC128" s="139"/>
      <c r="BSD128" s="139"/>
      <c r="BSE128" s="139"/>
      <c r="BSF128" s="139"/>
      <c r="BSG128" s="139"/>
      <c r="BSH128" s="139"/>
      <c r="BSI128" s="139"/>
      <c r="BSJ128" s="139"/>
      <c r="BSK128" s="139"/>
      <c r="BSL128" s="139"/>
      <c r="BSM128" s="139"/>
      <c r="BSN128" s="139"/>
      <c r="BSO128" s="139"/>
      <c r="BSP128" s="139"/>
      <c r="BSQ128" s="139"/>
      <c r="BSR128" s="139"/>
      <c r="BSS128" s="139"/>
      <c r="BST128" s="139"/>
      <c r="BSU128" s="139"/>
      <c r="BSV128" s="139"/>
      <c r="BSW128" s="139"/>
      <c r="BSX128" s="139"/>
      <c r="BSY128" s="139"/>
      <c r="BSZ128" s="139"/>
      <c r="BTA128" s="139"/>
      <c r="BTB128" s="139"/>
      <c r="BTC128" s="139"/>
      <c r="BTD128" s="139"/>
      <c r="BTE128" s="139"/>
      <c r="BTF128" s="139"/>
      <c r="BTG128" s="139"/>
      <c r="BTH128" s="139"/>
      <c r="BTI128" s="139"/>
      <c r="BTJ128" s="139"/>
      <c r="BTK128" s="139"/>
      <c r="BTL128" s="139"/>
      <c r="BTM128" s="139"/>
      <c r="BTN128" s="139"/>
      <c r="BTO128" s="139"/>
      <c r="BTP128" s="139"/>
      <c r="BTQ128" s="139"/>
      <c r="BTR128" s="139"/>
      <c r="BTS128" s="139"/>
      <c r="BTT128" s="139"/>
      <c r="BTU128" s="139"/>
      <c r="BTV128" s="139"/>
      <c r="BTW128" s="139"/>
      <c r="BTX128" s="139"/>
      <c r="BTY128" s="139"/>
      <c r="BTZ128" s="139"/>
      <c r="BUA128" s="139"/>
      <c r="BUB128" s="139"/>
      <c r="BUC128" s="139"/>
      <c r="BUD128" s="139"/>
      <c r="BUE128" s="139"/>
      <c r="BUF128" s="139"/>
      <c r="BUG128" s="139"/>
      <c r="BUH128" s="139"/>
      <c r="BUI128" s="139"/>
      <c r="BUJ128" s="139"/>
      <c r="BUK128" s="139"/>
      <c r="BUL128" s="139"/>
      <c r="BUM128" s="139"/>
      <c r="BUN128" s="139"/>
      <c r="BUO128" s="139"/>
      <c r="BUP128" s="139"/>
      <c r="BUQ128" s="139"/>
      <c r="BUR128" s="139"/>
      <c r="BUS128" s="139"/>
      <c r="BUT128" s="139"/>
      <c r="BUU128" s="139"/>
      <c r="BUV128" s="139"/>
      <c r="BUW128" s="139"/>
      <c r="BUX128" s="139"/>
      <c r="BUY128" s="139"/>
      <c r="BUZ128" s="139"/>
      <c r="BVA128" s="139"/>
      <c r="BVB128" s="139"/>
      <c r="BVC128" s="139"/>
      <c r="BVD128" s="139"/>
      <c r="BVE128" s="139"/>
      <c r="BVF128" s="139"/>
      <c r="BVG128" s="139"/>
      <c r="BVH128" s="139"/>
      <c r="BVI128" s="139"/>
      <c r="BVJ128" s="139"/>
      <c r="BVK128" s="139"/>
      <c r="BVL128" s="139"/>
      <c r="BVM128" s="139"/>
      <c r="BVN128" s="139"/>
      <c r="BVO128" s="139"/>
      <c r="BVP128" s="139"/>
      <c r="BVQ128" s="139"/>
      <c r="BVR128" s="139"/>
      <c r="BVS128" s="139"/>
      <c r="BVT128" s="139"/>
      <c r="BVU128" s="139"/>
      <c r="BVV128" s="139"/>
      <c r="BVW128" s="139"/>
      <c r="BVX128" s="139"/>
      <c r="BVY128" s="139"/>
      <c r="BVZ128" s="139"/>
      <c r="BWA128" s="139"/>
      <c r="BWB128" s="139"/>
      <c r="BWC128" s="139"/>
      <c r="BWD128" s="139"/>
      <c r="BWE128" s="139"/>
      <c r="BWF128" s="139"/>
      <c r="BWG128" s="139"/>
      <c r="BWH128" s="139"/>
      <c r="BWI128" s="139"/>
      <c r="BWJ128" s="139"/>
      <c r="BWK128" s="139"/>
      <c r="BWL128" s="139"/>
      <c r="BWM128" s="139"/>
      <c r="BWN128" s="139"/>
      <c r="BWO128" s="139"/>
      <c r="BWP128" s="139"/>
      <c r="BWQ128" s="139"/>
      <c r="BWR128" s="139"/>
      <c r="BWS128" s="139"/>
      <c r="BWT128" s="139"/>
      <c r="BWU128" s="139"/>
      <c r="BWV128" s="139"/>
      <c r="BWW128" s="139"/>
      <c r="BWX128" s="139"/>
      <c r="BWY128" s="139"/>
      <c r="BWZ128" s="139"/>
      <c r="BXA128" s="139"/>
      <c r="BXB128" s="139"/>
      <c r="BXC128" s="139"/>
      <c r="BXD128" s="139"/>
      <c r="BXE128" s="139"/>
      <c r="BXF128" s="139"/>
      <c r="BXG128" s="139"/>
      <c r="BXH128" s="139"/>
      <c r="BXI128" s="139"/>
      <c r="BXJ128" s="139"/>
      <c r="BXK128" s="139"/>
      <c r="BXL128" s="139"/>
      <c r="BXM128" s="139"/>
      <c r="BXN128" s="139"/>
      <c r="BXO128" s="139"/>
      <c r="BXP128" s="139"/>
      <c r="BXQ128" s="139"/>
      <c r="BXR128" s="139"/>
      <c r="BXS128" s="139"/>
      <c r="BXT128" s="139"/>
      <c r="BXU128" s="139"/>
      <c r="BXV128" s="139"/>
      <c r="BXW128" s="139"/>
      <c r="BXX128" s="139"/>
      <c r="BXY128" s="139"/>
      <c r="BXZ128" s="139"/>
      <c r="BYA128" s="139"/>
      <c r="BYB128" s="139"/>
      <c r="BYC128" s="139"/>
      <c r="BYD128" s="139"/>
      <c r="BYE128" s="139"/>
      <c r="BYF128" s="139"/>
      <c r="BYG128" s="139"/>
      <c r="BYH128" s="139"/>
      <c r="BYI128" s="139"/>
      <c r="BYJ128" s="139"/>
      <c r="BYK128" s="139"/>
      <c r="BYL128" s="139"/>
      <c r="BYM128" s="139"/>
      <c r="BYN128" s="139"/>
      <c r="BYO128" s="139"/>
      <c r="BYP128" s="139"/>
      <c r="BYQ128" s="139"/>
      <c r="BYR128" s="139"/>
      <c r="BYS128" s="139"/>
      <c r="BYT128" s="139"/>
      <c r="BYU128" s="139"/>
      <c r="BYV128" s="139"/>
      <c r="BYW128" s="139"/>
      <c r="BYX128" s="139"/>
      <c r="BYY128" s="139"/>
      <c r="BYZ128" s="139"/>
      <c r="BZA128" s="139"/>
      <c r="BZB128" s="139"/>
      <c r="BZC128" s="139"/>
      <c r="BZD128" s="139"/>
      <c r="BZE128" s="139"/>
      <c r="BZF128" s="139"/>
      <c r="BZG128" s="139"/>
      <c r="BZH128" s="139"/>
      <c r="BZI128" s="139"/>
      <c r="BZJ128" s="139"/>
      <c r="BZK128" s="139"/>
      <c r="BZL128" s="139"/>
      <c r="BZM128" s="139"/>
      <c r="BZN128" s="139"/>
      <c r="BZO128" s="139"/>
      <c r="BZP128" s="139"/>
      <c r="BZQ128" s="139"/>
      <c r="BZR128" s="139"/>
      <c r="BZS128" s="139"/>
      <c r="BZT128" s="139"/>
      <c r="BZU128" s="139"/>
      <c r="BZV128" s="139"/>
      <c r="BZW128" s="139"/>
      <c r="BZX128" s="139"/>
      <c r="BZY128" s="139"/>
      <c r="BZZ128" s="139"/>
      <c r="CAA128" s="139"/>
      <c r="CAB128" s="139"/>
      <c r="CAC128" s="139"/>
      <c r="CAD128" s="139"/>
      <c r="CAE128" s="139"/>
      <c r="CAF128" s="139"/>
      <c r="CAG128" s="139"/>
      <c r="CAH128" s="139"/>
      <c r="CAI128" s="139"/>
      <c r="CAJ128" s="139"/>
      <c r="CAK128" s="139"/>
      <c r="CAL128" s="139"/>
      <c r="CAM128" s="139"/>
      <c r="CAN128" s="139"/>
      <c r="CAO128" s="139"/>
      <c r="CAP128" s="139"/>
      <c r="CAQ128" s="139"/>
      <c r="CAR128" s="139"/>
      <c r="CAS128" s="139"/>
      <c r="CAT128" s="139"/>
      <c r="CAU128" s="139"/>
      <c r="CAV128" s="139"/>
      <c r="CAW128" s="139"/>
      <c r="CAX128" s="139"/>
      <c r="CAY128" s="139"/>
      <c r="CAZ128" s="139"/>
      <c r="CBA128" s="139"/>
      <c r="CBB128" s="139"/>
      <c r="CBC128" s="139"/>
      <c r="CBD128" s="139"/>
      <c r="CBE128" s="139"/>
      <c r="CBF128" s="139"/>
      <c r="CBG128" s="139"/>
      <c r="CBH128" s="139"/>
      <c r="CBI128" s="139"/>
      <c r="CBJ128" s="139"/>
      <c r="CBK128" s="139"/>
      <c r="CBL128" s="139"/>
      <c r="CBM128" s="139"/>
      <c r="CBN128" s="139"/>
      <c r="CBO128" s="139"/>
      <c r="CBP128" s="139"/>
      <c r="CBQ128" s="139"/>
      <c r="CBR128" s="139"/>
      <c r="CBS128" s="139"/>
      <c r="CBT128" s="139"/>
      <c r="CBU128" s="139"/>
      <c r="CBV128" s="139"/>
      <c r="CBW128" s="139"/>
      <c r="CBX128" s="139"/>
      <c r="CBY128" s="139"/>
      <c r="CBZ128" s="139"/>
      <c r="CCA128" s="139"/>
      <c r="CCB128" s="139"/>
      <c r="CCC128" s="139"/>
      <c r="CCD128" s="139"/>
      <c r="CCE128" s="139"/>
      <c r="CCF128" s="139"/>
      <c r="CCG128" s="139"/>
      <c r="CCH128" s="139"/>
      <c r="CCI128" s="139"/>
      <c r="CCJ128" s="139"/>
      <c r="CCK128" s="139"/>
      <c r="CCL128" s="139"/>
      <c r="CCM128" s="139"/>
      <c r="CCN128" s="139"/>
      <c r="CCO128" s="139"/>
      <c r="CCP128" s="139"/>
      <c r="CCQ128" s="139"/>
      <c r="CCR128" s="139"/>
      <c r="CCS128" s="139"/>
      <c r="CCT128" s="139"/>
      <c r="CCU128" s="139"/>
      <c r="CCV128" s="139"/>
      <c r="CCW128" s="139"/>
      <c r="CCX128" s="139"/>
      <c r="CCY128" s="139"/>
      <c r="CCZ128" s="139"/>
      <c r="CDA128" s="139"/>
      <c r="CDB128" s="139"/>
      <c r="CDC128" s="139"/>
      <c r="CDD128" s="139"/>
      <c r="CDE128" s="139"/>
      <c r="CDF128" s="139"/>
      <c r="CDG128" s="139"/>
      <c r="CDH128" s="139"/>
      <c r="CDI128" s="139"/>
      <c r="CDJ128" s="139"/>
      <c r="CDK128" s="139"/>
      <c r="CDL128" s="139"/>
      <c r="CDM128" s="139"/>
      <c r="CDN128" s="139"/>
      <c r="CDO128" s="139"/>
      <c r="CDP128" s="139"/>
      <c r="CDQ128" s="139"/>
      <c r="CDR128" s="139"/>
      <c r="CDS128" s="139"/>
      <c r="CDT128" s="139"/>
      <c r="CDU128" s="139"/>
      <c r="CDV128" s="139"/>
      <c r="CDW128" s="139"/>
      <c r="CDX128" s="139"/>
      <c r="CDY128" s="139"/>
      <c r="CDZ128" s="139"/>
      <c r="CEA128" s="139"/>
      <c r="CEB128" s="139"/>
      <c r="CEC128" s="139"/>
      <c r="CED128" s="139"/>
      <c r="CEE128" s="139"/>
      <c r="CEF128" s="139"/>
      <c r="CEG128" s="139"/>
      <c r="CEH128" s="139"/>
      <c r="CEI128" s="139"/>
      <c r="CEJ128" s="139"/>
      <c r="CEK128" s="139"/>
      <c r="CEL128" s="139"/>
      <c r="CEM128" s="139"/>
      <c r="CEN128" s="139"/>
      <c r="CEO128" s="139"/>
      <c r="CEP128" s="139"/>
      <c r="CEQ128" s="139"/>
      <c r="CER128" s="139"/>
      <c r="CES128" s="139"/>
      <c r="CET128" s="139"/>
      <c r="CEU128" s="139"/>
      <c r="CEV128" s="139"/>
      <c r="CEW128" s="139"/>
      <c r="CEX128" s="139"/>
      <c r="CEY128" s="139"/>
      <c r="CEZ128" s="139"/>
      <c r="CFA128" s="139"/>
      <c r="CFB128" s="139"/>
      <c r="CFC128" s="139"/>
      <c r="CFD128" s="139"/>
      <c r="CFE128" s="139"/>
      <c r="CFF128" s="139"/>
      <c r="CFG128" s="139"/>
      <c r="CFH128" s="139"/>
      <c r="CFI128" s="139"/>
      <c r="CFJ128" s="139"/>
      <c r="CFK128" s="139"/>
      <c r="CFL128" s="139"/>
      <c r="CFM128" s="139"/>
      <c r="CFN128" s="139"/>
      <c r="CFO128" s="139"/>
      <c r="CFP128" s="139"/>
      <c r="CFQ128" s="139"/>
      <c r="CFR128" s="139"/>
      <c r="CFS128" s="139"/>
      <c r="CFT128" s="139"/>
      <c r="CFU128" s="139"/>
      <c r="CFV128" s="139"/>
      <c r="CFW128" s="139"/>
      <c r="CFX128" s="139"/>
      <c r="CFY128" s="139"/>
      <c r="CFZ128" s="139"/>
      <c r="CGA128" s="139"/>
      <c r="CGB128" s="139"/>
      <c r="CGC128" s="139"/>
      <c r="CGD128" s="139"/>
      <c r="CGE128" s="139"/>
      <c r="CGF128" s="139"/>
      <c r="CGG128" s="139"/>
      <c r="CGH128" s="139"/>
      <c r="CGI128" s="139"/>
      <c r="CGJ128" s="139"/>
      <c r="CGK128" s="139"/>
      <c r="CGL128" s="139"/>
      <c r="CGM128" s="139"/>
      <c r="CGN128" s="139"/>
      <c r="CGO128" s="139"/>
      <c r="CGP128" s="139"/>
      <c r="CGQ128" s="139"/>
      <c r="CGR128" s="139"/>
      <c r="CGS128" s="139"/>
      <c r="CGT128" s="139"/>
      <c r="CGU128" s="139"/>
      <c r="CGV128" s="139"/>
      <c r="CGW128" s="139"/>
      <c r="CGX128" s="139"/>
      <c r="CGY128" s="139"/>
      <c r="CGZ128" s="139"/>
      <c r="CHA128" s="139"/>
      <c r="CHB128" s="139"/>
      <c r="CHC128" s="139"/>
      <c r="CHD128" s="139"/>
      <c r="CHE128" s="139"/>
      <c r="CHF128" s="139"/>
      <c r="CHG128" s="139"/>
      <c r="CHH128" s="139"/>
      <c r="CHI128" s="139"/>
      <c r="CHJ128" s="139"/>
      <c r="CHK128" s="139"/>
      <c r="CHL128" s="139"/>
      <c r="CHM128" s="139"/>
      <c r="CHN128" s="139"/>
      <c r="CHO128" s="139"/>
      <c r="CHP128" s="139"/>
      <c r="CHQ128" s="139"/>
      <c r="CHR128" s="139"/>
      <c r="CHS128" s="139"/>
      <c r="CHT128" s="139"/>
      <c r="CHU128" s="139"/>
      <c r="CHV128" s="139"/>
      <c r="CHW128" s="139"/>
      <c r="CHX128" s="139"/>
      <c r="CHY128" s="139"/>
      <c r="CHZ128" s="139"/>
      <c r="CIA128" s="139"/>
      <c r="CIB128" s="139"/>
      <c r="CIC128" s="139"/>
      <c r="CID128" s="139"/>
      <c r="CIE128" s="139"/>
      <c r="CIF128" s="139"/>
      <c r="CIG128" s="139"/>
      <c r="CIH128" s="139"/>
      <c r="CII128" s="139"/>
      <c r="CIJ128" s="139"/>
      <c r="CIK128" s="139"/>
      <c r="CIL128" s="139"/>
      <c r="CIM128" s="139"/>
      <c r="CIN128" s="139"/>
      <c r="CIO128" s="139"/>
      <c r="CIP128" s="139"/>
      <c r="CIQ128" s="139"/>
      <c r="CIR128" s="139"/>
      <c r="CIS128" s="139"/>
      <c r="CIT128" s="139"/>
      <c r="CIU128" s="139"/>
      <c r="CIV128" s="139"/>
      <c r="CIW128" s="139"/>
      <c r="CIX128" s="139"/>
      <c r="CIY128" s="139"/>
      <c r="CIZ128" s="139"/>
      <c r="CJA128" s="139"/>
      <c r="CJB128" s="139"/>
      <c r="CJC128" s="139"/>
      <c r="CJD128" s="139"/>
      <c r="CJE128" s="139"/>
      <c r="CJF128" s="139"/>
      <c r="CJG128" s="139"/>
      <c r="CJH128" s="139"/>
      <c r="CJI128" s="139"/>
      <c r="CJJ128" s="139"/>
      <c r="CJK128" s="139"/>
      <c r="CJL128" s="139"/>
      <c r="CJM128" s="139"/>
      <c r="CJN128" s="139"/>
      <c r="CJO128" s="139"/>
      <c r="CJP128" s="139"/>
      <c r="CJQ128" s="139"/>
      <c r="CJR128" s="139"/>
      <c r="CJS128" s="139"/>
      <c r="CJT128" s="139"/>
      <c r="CJU128" s="139"/>
      <c r="CJV128" s="139"/>
      <c r="CJW128" s="139"/>
      <c r="CJX128" s="139"/>
      <c r="CJY128" s="139"/>
      <c r="CJZ128" s="139"/>
      <c r="CKA128" s="139"/>
      <c r="CKB128" s="139"/>
      <c r="CKC128" s="139"/>
      <c r="CKD128" s="139"/>
      <c r="CKE128" s="139"/>
      <c r="CKF128" s="139"/>
      <c r="CKG128" s="139"/>
      <c r="CKH128" s="139"/>
      <c r="CKI128" s="139"/>
      <c r="CKJ128" s="139"/>
      <c r="CKK128" s="139"/>
      <c r="CKL128" s="139"/>
      <c r="CKM128" s="139"/>
      <c r="CKN128" s="139"/>
      <c r="CKO128" s="139"/>
      <c r="CKP128" s="139"/>
      <c r="CKQ128" s="139"/>
      <c r="CKR128" s="139"/>
      <c r="CKS128" s="139"/>
      <c r="CKT128" s="139"/>
      <c r="CKU128" s="139"/>
      <c r="CKV128" s="139"/>
      <c r="CKW128" s="139"/>
      <c r="CKX128" s="139"/>
      <c r="CKY128" s="139"/>
      <c r="CKZ128" s="139"/>
      <c r="CLA128" s="139"/>
      <c r="CLB128" s="139"/>
      <c r="CLC128" s="139"/>
      <c r="CLD128" s="139"/>
      <c r="CLE128" s="139"/>
      <c r="CLF128" s="139"/>
      <c r="CLG128" s="139"/>
      <c r="CLH128" s="139"/>
      <c r="CLI128" s="139"/>
      <c r="CLJ128" s="139"/>
      <c r="CLK128" s="139"/>
      <c r="CLL128" s="139"/>
      <c r="CLM128" s="139"/>
      <c r="CLN128" s="139"/>
      <c r="CLO128" s="139"/>
      <c r="CLP128" s="139"/>
      <c r="CLQ128" s="139"/>
      <c r="CLR128" s="139"/>
      <c r="CLS128" s="139"/>
      <c r="CLT128" s="139"/>
      <c r="CLU128" s="139"/>
      <c r="CLV128" s="139"/>
      <c r="CLW128" s="139"/>
      <c r="CLX128" s="139"/>
      <c r="CLY128" s="139"/>
      <c r="CLZ128" s="139"/>
      <c r="CMA128" s="139"/>
      <c r="CMB128" s="139"/>
      <c r="CMC128" s="139"/>
      <c r="CMD128" s="139"/>
      <c r="CME128" s="139"/>
      <c r="CMF128" s="139"/>
      <c r="CMG128" s="139"/>
      <c r="CMH128" s="139"/>
      <c r="CMI128" s="139"/>
      <c r="CMJ128" s="139"/>
      <c r="CMK128" s="139"/>
      <c r="CML128" s="139"/>
      <c r="CMM128" s="139"/>
      <c r="CMN128" s="139"/>
      <c r="CMO128" s="139"/>
      <c r="CMP128" s="139"/>
      <c r="CMQ128" s="139"/>
      <c r="CMR128" s="139"/>
      <c r="CMS128" s="139"/>
      <c r="CMT128" s="139"/>
      <c r="CMU128" s="139"/>
      <c r="CMV128" s="139"/>
      <c r="CMW128" s="139"/>
      <c r="CMX128" s="139"/>
      <c r="CMY128" s="139"/>
      <c r="CMZ128" s="139"/>
      <c r="CNA128" s="139"/>
      <c r="CNB128" s="139"/>
      <c r="CNC128" s="139"/>
      <c r="CND128" s="139"/>
      <c r="CNE128" s="139"/>
      <c r="CNF128" s="139"/>
      <c r="CNG128" s="139"/>
      <c r="CNH128" s="139"/>
      <c r="CNI128" s="139"/>
      <c r="CNJ128" s="139"/>
      <c r="CNK128" s="139"/>
      <c r="CNL128" s="139"/>
      <c r="CNM128" s="139"/>
      <c r="CNN128" s="139"/>
      <c r="CNO128" s="139"/>
      <c r="CNP128" s="139"/>
      <c r="CNQ128" s="139"/>
      <c r="CNR128" s="139"/>
      <c r="CNS128" s="139"/>
      <c r="CNT128" s="139"/>
      <c r="CNU128" s="139"/>
      <c r="CNV128" s="139"/>
      <c r="CNW128" s="139"/>
      <c r="CNX128" s="139"/>
      <c r="CNY128" s="139"/>
      <c r="CNZ128" s="139"/>
      <c r="COA128" s="139"/>
      <c r="COB128" s="139"/>
      <c r="COC128" s="139"/>
      <c r="COD128" s="139"/>
      <c r="COE128" s="139"/>
      <c r="COF128" s="139"/>
      <c r="COG128" s="139"/>
      <c r="COH128" s="139"/>
      <c r="COI128" s="139"/>
      <c r="COJ128" s="139"/>
      <c r="COK128" s="139"/>
      <c r="COL128" s="139"/>
      <c r="COM128" s="139"/>
      <c r="CON128" s="139"/>
      <c r="COO128" s="139"/>
      <c r="COP128" s="139"/>
      <c r="COQ128" s="139"/>
      <c r="COR128" s="139"/>
      <c r="COS128" s="139"/>
      <c r="COT128" s="139"/>
      <c r="COU128" s="139"/>
      <c r="COV128" s="139"/>
      <c r="COW128" s="139"/>
      <c r="COX128" s="139"/>
      <c r="COY128" s="139"/>
      <c r="COZ128" s="139"/>
      <c r="CPA128" s="139"/>
      <c r="CPB128" s="139"/>
      <c r="CPC128" s="139"/>
      <c r="CPD128" s="139"/>
      <c r="CPE128" s="139"/>
      <c r="CPF128" s="139"/>
      <c r="CPG128" s="139"/>
      <c r="CPH128" s="139"/>
      <c r="CPI128" s="139"/>
      <c r="CPJ128" s="139"/>
      <c r="CPK128" s="139"/>
      <c r="CPL128" s="139"/>
      <c r="CPM128" s="139"/>
      <c r="CPN128" s="139"/>
      <c r="CPO128" s="139"/>
      <c r="CPP128" s="139"/>
      <c r="CPQ128" s="139"/>
      <c r="CPR128" s="139"/>
      <c r="CPS128" s="139"/>
      <c r="CPT128" s="139"/>
      <c r="CPU128" s="139"/>
      <c r="CPV128" s="139"/>
      <c r="CPW128" s="139"/>
      <c r="CPX128" s="139"/>
      <c r="CPY128" s="139"/>
      <c r="CPZ128" s="139"/>
      <c r="CQA128" s="139"/>
      <c r="CQB128" s="139"/>
      <c r="CQC128" s="139"/>
      <c r="CQD128" s="139"/>
      <c r="CQE128" s="139"/>
      <c r="CQF128" s="139"/>
      <c r="CQG128" s="139"/>
      <c r="CQH128" s="139"/>
      <c r="CQI128" s="139"/>
      <c r="CQJ128" s="139"/>
      <c r="CQK128" s="139"/>
      <c r="CQL128" s="139"/>
      <c r="CQM128" s="139"/>
      <c r="CQN128" s="139"/>
      <c r="CQO128" s="139"/>
      <c r="CQP128" s="139"/>
      <c r="CQQ128" s="139"/>
      <c r="CQR128" s="139"/>
      <c r="CQS128" s="139"/>
      <c r="CQT128" s="139"/>
      <c r="CQU128" s="139"/>
      <c r="CQV128" s="139"/>
      <c r="CQW128" s="139"/>
      <c r="CQX128" s="139"/>
      <c r="CQY128" s="139"/>
      <c r="CQZ128" s="139"/>
      <c r="CRA128" s="139"/>
      <c r="CRB128" s="139"/>
      <c r="CRC128" s="139"/>
      <c r="CRD128" s="139"/>
      <c r="CRE128" s="139"/>
      <c r="CRF128" s="139"/>
      <c r="CRG128" s="139"/>
      <c r="CRH128" s="139"/>
      <c r="CRI128" s="139"/>
      <c r="CRJ128" s="139"/>
      <c r="CRK128" s="139"/>
      <c r="CRL128" s="139"/>
      <c r="CRM128" s="139"/>
      <c r="CRN128" s="139"/>
      <c r="CRO128" s="139"/>
      <c r="CRP128" s="139"/>
      <c r="CRQ128" s="139"/>
      <c r="CRR128" s="139"/>
      <c r="CRS128" s="139"/>
      <c r="CRT128" s="139"/>
      <c r="CRU128" s="139"/>
      <c r="CRV128" s="139"/>
      <c r="CRW128" s="139"/>
      <c r="CRX128" s="139"/>
      <c r="CRY128" s="139"/>
      <c r="CRZ128" s="139"/>
      <c r="CSA128" s="139"/>
      <c r="CSB128" s="139"/>
      <c r="CSC128" s="139"/>
      <c r="CSD128" s="139"/>
      <c r="CSE128" s="139"/>
      <c r="CSF128" s="139"/>
      <c r="CSG128" s="139"/>
      <c r="CSH128" s="139"/>
      <c r="CSI128" s="139"/>
      <c r="CSJ128" s="139"/>
      <c r="CSK128" s="139"/>
      <c r="CSL128" s="139"/>
      <c r="CSM128" s="139"/>
      <c r="CSN128" s="139"/>
      <c r="CSO128" s="139"/>
      <c r="CSP128" s="139"/>
      <c r="CSQ128" s="139"/>
      <c r="CSR128" s="139"/>
      <c r="CSS128" s="139"/>
      <c r="CST128" s="139"/>
      <c r="CSU128" s="139"/>
      <c r="CSV128" s="139"/>
      <c r="CSW128" s="139"/>
      <c r="CSX128" s="139"/>
      <c r="CSY128" s="139"/>
      <c r="CSZ128" s="139"/>
      <c r="CTA128" s="139"/>
      <c r="CTB128" s="139"/>
      <c r="CTC128" s="139"/>
      <c r="CTD128" s="139"/>
      <c r="CTE128" s="139"/>
      <c r="CTF128" s="139"/>
      <c r="CTG128" s="139"/>
      <c r="CTH128" s="139"/>
      <c r="CTI128" s="139"/>
      <c r="CTJ128" s="139"/>
      <c r="CTK128" s="139"/>
      <c r="CTL128" s="139"/>
      <c r="CTM128" s="139"/>
      <c r="CTN128" s="139"/>
      <c r="CTO128" s="139"/>
      <c r="CTP128" s="139"/>
      <c r="CTQ128" s="139"/>
      <c r="CTR128" s="139"/>
      <c r="CTS128" s="139"/>
      <c r="CTT128" s="139"/>
      <c r="CTU128" s="139"/>
      <c r="CTV128" s="139"/>
      <c r="CTW128" s="139"/>
      <c r="CTX128" s="139"/>
      <c r="CTY128" s="139"/>
      <c r="CTZ128" s="139"/>
      <c r="CUA128" s="139"/>
      <c r="CUB128" s="139"/>
      <c r="CUC128" s="139"/>
      <c r="CUD128" s="139"/>
      <c r="CUE128" s="139"/>
      <c r="CUF128" s="139"/>
      <c r="CUG128" s="139"/>
      <c r="CUH128" s="139"/>
      <c r="CUI128" s="139"/>
      <c r="CUJ128" s="139"/>
      <c r="CUK128" s="139"/>
      <c r="CUL128" s="139"/>
      <c r="CUM128" s="139"/>
      <c r="CUN128" s="139"/>
      <c r="CUO128" s="139"/>
      <c r="CUP128" s="139"/>
      <c r="CUQ128" s="139"/>
      <c r="CUR128" s="139"/>
      <c r="CUS128" s="139"/>
      <c r="CUT128" s="139"/>
      <c r="CUU128" s="139"/>
      <c r="CUV128" s="139"/>
      <c r="CUW128" s="139"/>
      <c r="CUX128" s="139"/>
      <c r="CUY128" s="139"/>
      <c r="CUZ128" s="139"/>
      <c r="CVA128" s="139"/>
      <c r="CVB128" s="139"/>
      <c r="CVC128" s="139"/>
      <c r="CVD128" s="139"/>
      <c r="CVE128" s="139"/>
      <c r="CVF128" s="139"/>
      <c r="CVG128" s="139"/>
      <c r="CVH128" s="139"/>
      <c r="CVI128" s="139"/>
      <c r="CVJ128" s="139"/>
      <c r="CVK128" s="139"/>
      <c r="CVL128" s="139"/>
      <c r="CVM128" s="139"/>
      <c r="CVN128" s="139"/>
      <c r="CVO128" s="139"/>
      <c r="CVP128" s="139"/>
      <c r="CVQ128" s="139"/>
      <c r="CVR128" s="139"/>
      <c r="CVS128" s="139"/>
      <c r="CVT128" s="139"/>
      <c r="CVU128" s="139"/>
      <c r="CVV128" s="139"/>
      <c r="CVW128" s="139"/>
      <c r="CVX128" s="139"/>
      <c r="CVY128" s="139"/>
      <c r="CVZ128" s="139"/>
      <c r="CWA128" s="139"/>
      <c r="CWB128" s="139"/>
      <c r="CWC128" s="139"/>
      <c r="CWD128" s="139"/>
      <c r="CWE128" s="139"/>
      <c r="CWF128" s="139"/>
      <c r="CWG128" s="139"/>
      <c r="CWH128" s="139"/>
      <c r="CWI128" s="139"/>
      <c r="CWJ128" s="139"/>
      <c r="CWK128" s="139"/>
      <c r="CWL128" s="139"/>
      <c r="CWM128" s="139"/>
      <c r="CWN128" s="139"/>
      <c r="CWO128" s="139"/>
      <c r="CWP128" s="139"/>
      <c r="CWQ128" s="139"/>
      <c r="CWR128" s="139"/>
      <c r="CWS128" s="139"/>
      <c r="CWT128" s="139"/>
      <c r="CWU128" s="139"/>
      <c r="CWV128" s="139"/>
      <c r="CWW128" s="139"/>
      <c r="CWX128" s="139"/>
      <c r="CWY128" s="139"/>
      <c r="CWZ128" s="139"/>
      <c r="CXA128" s="139"/>
      <c r="CXB128" s="139"/>
      <c r="CXC128" s="139"/>
      <c r="CXD128" s="139"/>
      <c r="CXE128" s="139"/>
      <c r="CXF128" s="139"/>
      <c r="CXG128" s="139"/>
      <c r="CXH128" s="139"/>
      <c r="CXI128" s="139"/>
      <c r="CXJ128" s="139"/>
      <c r="CXK128" s="139"/>
      <c r="CXL128" s="139"/>
      <c r="CXM128" s="139"/>
      <c r="CXN128" s="139"/>
      <c r="CXO128" s="139"/>
      <c r="CXP128" s="139"/>
      <c r="CXQ128" s="139"/>
      <c r="CXR128" s="139"/>
      <c r="CXS128" s="139"/>
      <c r="CXT128" s="139"/>
      <c r="CXU128" s="139"/>
      <c r="CXV128" s="139"/>
      <c r="CXW128" s="139"/>
      <c r="CXX128" s="139"/>
      <c r="CXY128" s="139"/>
      <c r="CXZ128" s="139"/>
      <c r="CYA128" s="139"/>
      <c r="CYB128" s="139"/>
      <c r="CYC128" s="139"/>
      <c r="CYD128" s="139"/>
      <c r="CYE128" s="139"/>
      <c r="CYF128" s="139"/>
      <c r="CYG128" s="139"/>
      <c r="CYH128" s="139"/>
      <c r="CYI128" s="139"/>
      <c r="CYJ128" s="139"/>
      <c r="CYK128" s="139"/>
      <c r="CYL128" s="139"/>
      <c r="CYM128" s="139"/>
      <c r="CYN128" s="139"/>
      <c r="CYO128" s="139"/>
      <c r="CYP128" s="139"/>
      <c r="CYQ128" s="139"/>
      <c r="CYR128" s="139"/>
      <c r="CYS128" s="139"/>
      <c r="CYT128" s="139"/>
      <c r="CYU128" s="139"/>
      <c r="CYV128" s="139"/>
      <c r="CYW128" s="139"/>
      <c r="CYX128" s="139"/>
      <c r="CYY128" s="139"/>
      <c r="CYZ128" s="139"/>
      <c r="CZA128" s="139"/>
      <c r="CZB128" s="139"/>
      <c r="CZC128" s="139"/>
      <c r="CZD128" s="139"/>
      <c r="CZE128" s="139"/>
      <c r="CZF128" s="139"/>
      <c r="CZG128" s="139"/>
      <c r="CZH128" s="139"/>
      <c r="CZI128" s="139"/>
      <c r="CZJ128" s="139"/>
      <c r="CZK128" s="139"/>
      <c r="CZL128" s="139"/>
      <c r="CZM128" s="139"/>
      <c r="CZN128" s="139"/>
      <c r="CZO128" s="139"/>
      <c r="CZP128" s="139"/>
      <c r="CZQ128" s="139"/>
      <c r="CZR128" s="139"/>
      <c r="CZS128" s="139"/>
      <c r="CZT128" s="139"/>
      <c r="CZU128" s="139"/>
      <c r="CZV128" s="139"/>
      <c r="CZW128" s="139"/>
      <c r="CZX128" s="139"/>
      <c r="CZY128" s="139"/>
      <c r="CZZ128" s="139"/>
      <c r="DAA128" s="139"/>
      <c r="DAB128" s="139"/>
      <c r="DAC128" s="139"/>
      <c r="DAD128" s="139"/>
      <c r="DAE128" s="139"/>
      <c r="DAF128" s="139"/>
      <c r="DAG128" s="139"/>
      <c r="DAH128" s="139"/>
      <c r="DAI128" s="139"/>
      <c r="DAJ128" s="139"/>
      <c r="DAK128" s="139"/>
      <c r="DAL128" s="139"/>
      <c r="DAM128" s="139"/>
      <c r="DAN128" s="139"/>
      <c r="DAO128" s="139"/>
      <c r="DAP128" s="139"/>
      <c r="DAQ128" s="139"/>
      <c r="DAR128" s="139"/>
      <c r="DAS128" s="139"/>
      <c r="DAT128" s="139"/>
      <c r="DAU128" s="139"/>
      <c r="DAV128" s="139"/>
      <c r="DAW128" s="139"/>
      <c r="DAX128" s="139"/>
      <c r="DAY128" s="139"/>
      <c r="DAZ128" s="139"/>
      <c r="DBA128" s="139"/>
      <c r="DBB128" s="139"/>
      <c r="DBC128" s="139"/>
      <c r="DBD128" s="139"/>
      <c r="DBE128" s="139"/>
      <c r="DBF128" s="139"/>
      <c r="DBG128" s="139"/>
      <c r="DBH128" s="139"/>
      <c r="DBI128" s="139"/>
      <c r="DBJ128" s="139"/>
      <c r="DBK128" s="139"/>
      <c r="DBL128" s="139"/>
      <c r="DBM128" s="139"/>
      <c r="DBN128" s="139"/>
      <c r="DBO128" s="139"/>
      <c r="DBP128" s="139"/>
      <c r="DBQ128" s="139"/>
      <c r="DBR128" s="139"/>
      <c r="DBS128" s="139"/>
      <c r="DBT128" s="139"/>
      <c r="DBU128" s="139"/>
      <c r="DBV128" s="139"/>
      <c r="DBW128" s="139"/>
      <c r="DBX128" s="139"/>
      <c r="DBY128" s="139"/>
      <c r="DBZ128" s="139"/>
      <c r="DCA128" s="139"/>
      <c r="DCB128" s="139"/>
      <c r="DCC128" s="139"/>
      <c r="DCD128" s="139"/>
      <c r="DCE128" s="139"/>
      <c r="DCF128" s="139"/>
      <c r="DCG128" s="139"/>
      <c r="DCH128" s="139"/>
      <c r="DCI128" s="139"/>
      <c r="DCJ128" s="139"/>
      <c r="DCK128" s="139"/>
      <c r="DCL128" s="139"/>
      <c r="DCM128" s="139"/>
      <c r="DCN128" s="139"/>
      <c r="DCO128" s="139"/>
      <c r="DCP128" s="139"/>
      <c r="DCQ128" s="139"/>
      <c r="DCR128" s="139"/>
      <c r="DCS128" s="139"/>
      <c r="DCT128" s="139"/>
      <c r="DCU128" s="139"/>
      <c r="DCV128" s="139"/>
      <c r="DCW128" s="139"/>
      <c r="DCX128" s="139"/>
      <c r="DCY128" s="139"/>
      <c r="DCZ128" s="139"/>
      <c r="DDA128" s="139"/>
      <c r="DDB128" s="139"/>
      <c r="DDC128" s="139"/>
      <c r="DDD128" s="139"/>
      <c r="DDE128" s="139"/>
      <c r="DDF128" s="139"/>
      <c r="DDG128" s="139"/>
      <c r="DDH128" s="139"/>
      <c r="DDI128" s="139"/>
      <c r="DDJ128" s="139"/>
      <c r="DDK128" s="139"/>
      <c r="DDL128" s="139"/>
      <c r="DDM128" s="139"/>
      <c r="DDN128" s="139"/>
      <c r="DDO128" s="139"/>
      <c r="DDP128" s="139"/>
      <c r="DDQ128" s="139"/>
      <c r="DDR128" s="139"/>
      <c r="DDS128" s="139"/>
      <c r="DDT128" s="139"/>
      <c r="DDU128" s="139"/>
      <c r="DDV128" s="139"/>
      <c r="DDW128" s="139"/>
      <c r="DDX128" s="139"/>
      <c r="DDY128" s="139"/>
      <c r="DDZ128" s="139"/>
      <c r="DEA128" s="139"/>
      <c r="DEB128" s="139"/>
      <c r="DEC128" s="139"/>
      <c r="DED128" s="139"/>
      <c r="DEE128" s="139"/>
      <c r="DEF128" s="139"/>
      <c r="DEG128" s="139"/>
      <c r="DEH128" s="139"/>
      <c r="DEI128" s="139"/>
      <c r="DEJ128" s="139"/>
      <c r="DEK128" s="139"/>
      <c r="DEL128" s="139"/>
      <c r="DEM128" s="139"/>
      <c r="DEN128" s="139"/>
      <c r="DEO128" s="139"/>
      <c r="DEP128" s="139"/>
      <c r="DEQ128" s="139"/>
      <c r="DER128" s="139"/>
      <c r="DES128" s="139"/>
      <c r="DET128" s="139"/>
      <c r="DEU128" s="139"/>
      <c r="DEV128" s="139"/>
      <c r="DEW128" s="139"/>
      <c r="DEX128" s="139"/>
      <c r="DEY128" s="139"/>
      <c r="DEZ128" s="139"/>
      <c r="DFA128" s="139"/>
      <c r="DFB128" s="139"/>
      <c r="DFC128" s="139"/>
      <c r="DFD128" s="139"/>
      <c r="DFE128" s="139"/>
      <c r="DFF128" s="139"/>
      <c r="DFG128" s="139"/>
      <c r="DFH128" s="139"/>
      <c r="DFI128" s="139"/>
      <c r="DFJ128" s="139"/>
      <c r="DFK128" s="139"/>
      <c r="DFL128" s="139"/>
      <c r="DFM128" s="139"/>
      <c r="DFN128" s="139"/>
      <c r="DFO128" s="139"/>
      <c r="DFP128" s="139"/>
      <c r="DFQ128" s="139"/>
      <c r="DFR128" s="139"/>
      <c r="DFS128" s="139"/>
      <c r="DFT128" s="139"/>
      <c r="DFU128" s="139"/>
      <c r="DFV128" s="139"/>
      <c r="DFW128" s="139"/>
      <c r="DFX128" s="139"/>
      <c r="DFY128" s="139"/>
      <c r="DFZ128" s="139"/>
      <c r="DGA128" s="139"/>
      <c r="DGB128" s="139"/>
      <c r="DGC128" s="139"/>
      <c r="DGD128" s="139"/>
      <c r="DGE128" s="139"/>
      <c r="DGF128" s="139"/>
      <c r="DGG128" s="139"/>
      <c r="DGH128" s="139"/>
      <c r="DGI128" s="139"/>
      <c r="DGJ128" s="139"/>
      <c r="DGK128" s="139"/>
      <c r="DGL128" s="139"/>
      <c r="DGM128" s="139"/>
      <c r="DGN128" s="139"/>
      <c r="DGO128" s="139"/>
      <c r="DGP128" s="139"/>
      <c r="DGQ128" s="139"/>
      <c r="DGR128" s="139"/>
      <c r="DGS128" s="139"/>
      <c r="DGT128" s="139"/>
      <c r="DGU128" s="139"/>
      <c r="DGV128" s="139"/>
      <c r="DGW128" s="139"/>
      <c r="DGX128" s="139"/>
      <c r="DGY128" s="139"/>
      <c r="DGZ128" s="139"/>
      <c r="DHA128" s="139"/>
      <c r="DHB128" s="139"/>
      <c r="DHC128" s="139"/>
      <c r="DHD128" s="139"/>
      <c r="DHE128" s="139"/>
      <c r="DHF128" s="139"/>
      <c r="DHG128" s="139"/>
      <c r="DHH128" s="139"/>
      <c r="DHI128" s="139"/>
      <c r="DHJ128" s="139"/>
      <c r="DHK128" s="139"/>
      <c r="DHL128" s="139"/>
      <c r="DHM128" s="139"/>
      <c r="DHN128" s="139"/>
      <c r="DHO128" s="139"/>
      <c r="DHP128" s="139"/>
      <c r="DHQ128" s="139"/>
      <c r="DHR128" s="139"/>
      <c r="DHS128" s="139"/>
      <c r="DHT128" s="139"/>
      <c r="DHU128" s="139"/>
      <c r="DHV128" s="139"/>
      <c r="DHW128" s="139"/>
      <c r="DHX128" s="139"/>
      <c r="DHY128" s="139"/>
      <c r="DHZ128" s="139"/>
      <c r="DIA128" s="139"/>
      <c r="DIB128" s="139"/>
      <c r="DIC128" s="139"/>
      <c r="DID128" s="139"/>
      <c r="DIE128" s="139"/>
      <c r="DIF128" s="139"/>
      <c r="DIG128" s="139"/>
      <c r="DIH128" s="139"/>
      <c r="DII128" s="139"/>
      <c r="DIJ128" s="139"/>
      <c r="DIK128" s="139"/>
      <c r="DIL128" s="139"/>
      <c r="DIM128" s="139"/>
      <c r="DIN128" s="139"/>
      <c r="DIO128" s="139"/>
      <c r="DIP128" s="139"/>
      <c r="DIQ128" s="139"/>
      <c r="DIR128" s="139"/>
      <c r="DIS128" s="139"/>
      <c r="DIT128" s="139"/>
      <c r="DIU128" s="139"/>
      <c r="DIV128" s="139"/>
      <c r="DIW128" s="139"/>
      <c r="DIX128" s="139"/>
      <c r="DIY128" s="139"/>
      <c r="DIZ128" s="139"/>
      <c r="DJA128" s="139"/>
      <c r="DJB128" s="139"/>
      <c r="DJC128" s="139"/>
      <c r="DJD128" s="139"/>
      <c r="DJE128" s="139"/>
      <c r="DJF128" s="139"/>
      <c r="DJG128" s="139"/>
      <c r="DJH128" s="139"/>
      <c r="DJI128" s="139"/>
      <c r="DJJ128" s="139"/>
      <c r="DJK128" s="139"/>
      <c r="DJL128" s="139"/>
      <c r="DJM128" s="139"/>
      <c r="DJN128" s="139"/>
      <c r="DJO128" s="139"/>
      <c r="DJP128" s="139"/>
      <c r="DJQ128" s="139"/>
      <c r="DJR128" s="139"/>
      <c r="DJS128" s="139"/>
      <c r="DJT128" s="139"/>
      <c r="DJU128" s="139"/>
      <c r="DJV128" s="139"/>
      <c r="DJW128" s="139"/>
      <c r="DJX128" s="139"/>
      <c r="DJY128" s="139"/>
      <c r="DJZ128" s="139"/>
      <c r="DKA128" s="139"/>
      <c r="DKB128" s="139"/>
      <c r="DKC128" s="139"/>
      <c r="DKD128" s="139"/>
      <c r="DKE128" s="139"/>
      <c r="DKF128" s="139"/>
      <c r="DKG128" s="139"/>
      <c r="DKH128" s="139"/>
      <c r="DKI128" s="139"/>
      <c r="DKJ128" s="139"/>
      <c r="DKK128" s="139"/>
      <c r="DKL128" s="139"/>
      <c r="DKM128" s="139"/>
      <c r="DKN128" s="139"/>
      <c r="DKO128" s="139"/>
      <c r="DKP128" s="139"/>
      <c r="DKQ128" s="139"/>
      <c r="DKR128" s="139"/>
      <c r="DKS128" s="139"/>
      <c r="DKT128" s="139"/>
      <c r="DKU128" s="139"/>
      <c r="DKV128" s="139"/>
      <c r="DKW128" s="139"/>
      <c r="DKX128" s="139"/>
      <c r="DKY128" s="139"/>
      <c r="DKZ128" s="139"/>
      <c r="DLA128" s="139"/>
      <c r="DLB128" s="139"/>
      <c r="DLC128" s="139"/>
      <c r="DLD128" s="139"/>
      <c r="DLE128" s="139"/>
      <c r="DLF128" s="139"/>
      <c r="DLG128" s="139"/>
      <c r="DLH128" s="139"/>
      <c r="DLI128" s="139"/>
      <c r="DLJ128" s="139"/>
      <c r="DLK128" s="139"/>
      <c r="DLL128" s="139"/>
      <c r="DLM128" s="139"/>
      <c r="DLN128" s="139"/>
      <c r="DLO128" s="139"/>
      <c r="DLP128" s="139"/>
      <c r="DLQ128" s="139"/>
      <c r="DLR128" s="139"/>
      <c r="DLS128" s="139"/>
      <c r="DLT128" s="139"/>
      <c r="DLU128" s="139"/>
      <c r="DLV128" s="139"/>
      <c r="DLW128" s="139"/>
      <c r="DLX128" s="139"/>
      <c r="DLY128" s="139"/>
      <c r="DLZ128" s="139"/>
      <c r="DMA128" s="139"/>
      <c r="DMB128" s="139"/>
      <c r="DMC128" s="139"/>
      <c r="DMD128" s="139"/>
      <c r="DME128" s="139"/>
      <c r="DMF128" s="139"/>
      <c r="DMG128" s="139"/>
      <c r="DMH128" s="139"/>
      <c r="DMI128" s="139"/>
      <c r="DMJ128" s="139"/>
      <c r="DMK128" s="139"/>
      <c r="DML128" s="139"/>
      <c r="DMM128" s="139"/>
      <c r="DMN128" s="139"/>
      <c r="DMO128" s="139"/>
      <c r="DMP128" s="139"/>
      <c r="DMQ128" s="139"/>
      <c r="DMR128" s="139"/>
      <c r="DMS128" s="139"/>
      <c r="DMT128" s="139"/>
      <c r="DMU128" s="139"/>
      <c r="DMV128" s="139"/>
      <c r="DMW128" s="139"/>
      <c r="DMX128" s="139"/>
      <c r="DMY128" s="139"/>
      <c r="DMZ128" s="139"/>
      <c r="DNA128" s="139"/>
      <c r="DNB128" s="139"/>
      <c r="DNC128" s="139"/>
      <c r="DND128" s="139"/>
      <c r="DNE128" s="139"/>
      <c r="DNF128" s="139"/>
      <c r="DNG128" s="139"/>
      <c r="DNH128" s="139"/>
      <c r="DNI128" s="139"/>
      <c r="DNJ128" s="139"/>
      <c r="DNK128" s="139"/>
      <c r="DNL128" s="139"/>
      <c r="DNM128" s="139"/>
      <c r="DNN128" s="139"/>
      <c r="DNO128" s="139"/>
      <c r="DNP128" s="139"/>
      <c r="DNQ128" s="139"/>
      <c r="DNR128" s="139"/>
      <c r="DNS128" s="139"/>
      <c r="DNT128" s="139"/>
      <c r="DNU128" s="139"/>
      <c r="DNV128" s="139"/>
      <c r="DNW128" s="139"/>
      <c r="DNX128" s="139"/>
      <c r="DNY128" s="139"/>
      <c r="DNZ128" s="139"/>
      <c r="DOA128" s="139"/>
      <c r="DOB128" s="139"/>
      <c r="DOC128" s="139"/>
      <c r="DOD128" s="139"/>
      <c r="DOE128" s="139"/>
      <c r="DOF128" s="139"/>
      <c r="DOG128" s="139"/>
      <c r="DOH128" s="139"/>
      <c r="DOI128" s="139"/>
      <c r="DOJ128" s="139"/>
      <c r="DOK128" s="139"/>
      <c r="DOL128" s="139"/>
      <c r="DOM128" s="139"/>
      <c r="DON128" s="139"/>
      <c r="DOO128" s="139"/>
      <c r="DOP128" s="139"/>
      <c r="DOQ128" s="139"/>
      <c r="DOR128" s="139"/>
      <c r="DOS128" s="139"/>
      <c r="DOT128" s="139"/>
      <c r="DOU128" s="139"/>
      <c r="DOV128" s="139"/>
      <c r="DOW128" s="139"/>
      <c r="DOX128" s="139"/>
      <c r="DOY128" s="139"/>
      <c r="DOZ128" s="139"/>
      <c r="DPA128" s="139"/>
      <c r="DPB128" s="139"/>
      <c r="DPC128" s="139"/>
      <c r="DPD128" s="139"/>
      <c r="DPE128" s="139"/>
      <c r="DPF128" s="139"/>
      <c r="DPG128" s="139"/>
      <c r="DPH128" s="139"/>
      <c r="DPI128" s="139"/>
      <c r="DPJ128" s="139"/>
      <c r="DPK128" s="139"/>
      <c r="DPL128" s="139"/>
      <c r="DPM128" s="139"/>
      <c r="DPN128" s="139"/>
      <c r="DPO128" s="139"/>
      <c r="DPP128" s="139"/>
      <c r="DPQ128" s="139"/>
      <c r="DPR128" s="139"/>
      <c r="DPS128" s="139"/>
      <c r="DPT128" s="139"/>
      <c r="DPU128" s="139"/>
      <c r="DPV128" s="139"/>
      <c r="DPW128" s="139"/>
      <c r="DPX128" s="139"/>
      <c r="DPY128" s="139"/>
      <c r="DPZ128" s="139"/>
      <c r="DQA128" s="139"/>
      <c r="DQB128" s="139"/>
      <c r="DQC128" s="139"/>
      <c r="DQD128" s="139"/>
      <c r="DQE128" s="139"/>
      <c r="DQF128" s="139"/>
      <c r="DQG128" s="139"/>
      <c r="DQH128" s="139"/>
      <c r="DQI128" s="139"/>
      <c r="DQJ128" s="139"/>
      <c r="DQK128" s="139"/>
      <c r="DQL128" s="139"/>
      <c r="DQM128" s="139"/>
      <c r="DQN128" s="139"/>
      <c r="DQO128" s="139"/>
      <c r="DQP128" s="139"/>
      <c r="DQQ128" s="139"/>
      <c r="DQR128" s="139"/>
      <c r="DQS128" s="139"/>
      <c r="DQT128" s="139"/>
      <c r="DQU128" s="139"/>
      <c r="DQV128" s="139"/>
      <c r="DQW128" s="139"/>
      <c r="DQX128" s="139"/>
      <c r="DQY128" s="139"/>
      <c r="DQZ128" s="139"/>
      <c r="DRA128" s="139"/>
      <c r="DRB128" s="139"/>
      <c r="DRC128" s="139"/>
      <c r="DRD128" s="139"/>
      <c r="DRE128" s="139"/>
      <c r="DRF128" s="139"/>
      <c r="DRG128" s="139"/>
      <c r="DRH128" s="139"/>
      <c r="DRI128" s="139"/>
      <c r="DRJ128" s="139"/>
      <c r="DRK128" s="139"/>
      <c r="DRL128" s="139"/>
      <c r="DRM128" s="139"/>
      <c r="DRN128" s="139"/>
      <c r="DRO128" s="139"/>
      <c r="DRP128" s="139"/>
      <c r="DRQ128" s="139"/>
      <c r="DRR128" s="139"/>
      <c r="DRS128" s="139"/>
      <c r="DRT128" s="139"/>
      <c r="DRU128" s="139"/>
      <c r="DRV128" s="139"/>
      <c r="DRW128" s="139"/>
      <c r="DRX128" s="139"/>
      <c r="DRY128" s="139"/>
      <c r="DRZ128" s="139"/>
      <c r="DSA128" s="139"/>
      <c r="DSB128" s="139"/>
      <c r="DSC128" s="139"/>
      <c r="DSD128" s="139"/>
      <c r="DSE128" s="139"/>
      <c r="DSF128" s="139"/>
      <c r="DSG128" s="139"/>
      <c r="DSH128" s="139"/>
      <c r="DSI128" s="139"/>
      <c r="DSJ128" s="139"/>
      <c r="DSK128" s="139"/>
      <c r="DSL128" s="139"/>
      <c r="DSM128" s="139"/>
      <c r="DSN128" s="139"/>
      <c r="DSO128" s="139"/>
      <c r="DSP128" s="139"/>
      <c r="DSQ128" s="139"/>
      <c r="DSR128" s="139"/>
      <c r="DSS128" s="139"/>
      <c r="DST128" s="139"/>
      <c r="DSU128" s="139"/>
      <c r="DSV128" s="139"/>
      <c r="DSW128" s="139"/>
      <c r="DSX128" s="139"/>
      <c r="DSY128" s="139"/>
      <c r="DSZ128" s="139"/>
      <c r="DTA128" s="139"/>
      <c r="DTB128" s="139"/>
      <c r="DTC128" s="139"/>
      <c r="DTD128" s="139"/>
      <c r="DTE128" s="139"/>
      <c r="DTF128" s="139"/>
      <c r="DTG128" s="139"/>
      <c r="DTH128" s="139"/>
      <c r="DTI128" s="139"/>
      <c r="DTJ128" s="139"/>
      <c r="DTK128" s="139"/>
      <c r="DTL128" s="139"/>
      <c r="DTM128" s="139"/>
      <c r="DTN128" s="139"/>
      <c r="DTO128" s="139"/>
      <c r="DTP128" s="139"/>
      <c r="DTQ128" s="139"/>
      <c r="DTR128" s="139"/>
      <c r="DTS128" s="139"/>
      <c r="DTT128" s="139"/>
      <c r="DTU128" s="139"/>
      <c r="DTV128" s="139"/>
      <c r="DTW128" s="139"/>
      <c r="DTX128" s="139"/>
      <c r="DTY128" s="139"/>
      <c r="DTZ128" s="139"/>
      <c r="DUA128" s="139"/>
      <c r="DUB128" s="139"/>
      <c r="DUC128" s="139"/>
      <c r="DUD128" s="139"/>
      <c r="DUE128" s="139"/>
      <c r="DUF128" s="139"/>
      <c r="DUG128" s="139"/>
      <c r="DUH128" s="139"/>
      <c r="DUI128" s="139"/>
      <c r="DUJ128" s="139"/>
      <c r="DUK128" s="139"/>
      <c r="DUL128" s="139"/>
      <c r="DUM128" s="139"/>
      <c r="DUN128" s="139"/>
      <c r="DUO128" s="139"/>
      <c r="DUP128" s="139"/>
      <c r="DUQ128" s="139"/>
      <c r="DUR128" s="139"/>
      <c r="DUS128" s="139"/>
      <c r="DUT128" s="139"/>
      <c r="DUU128" s="139"/>
      <c r="DUV128" s="139"/>
      <c r="DUW128" s="139"/>
      <c r="DUX128" s="139"/>
      <c r="DUY128" s="139"/>
      <c r="DUZ128" s="139"/>
      <c r="DVA128" s="139"/>
      <c r="DVB128" s="139"/>
      <c r="DVC128" s="139"/>
      <c r="DVD128" s="139"/>
      <c r="DVE128" s="139"/>
      <c r="DVF128" s="139"/>
      <c r="DVG128" s="139"/>
      <c r="DVH128" s="139"/>
      <c r="DVI128" s="139"/>
      <c r="DVJ128" s="139"/>
      <c r="DVK128" s="139"/>
      <c r="DVL128" s="139"/>
      <c r="DVM128" s="139"/>
      <c r="DVN128" s="139"/>
      <c r="DVO128" s="139"/>
      <c r="DVP128" s="139"/>
      <c r="DVQ128" s="139"/>
      <c r="DVR128" s="139"/>
      <c r="DVS128" s="139"/>
      <c r="DVT128" s="139"/>
      <c r="DVU128" s="139"/>
      <c r="DVV128" s="139"/>
      <c r="DVW128" s="139"/>
      <c r="DVX128" s="139"/>
      <c r="DVY128" s="139"/>
      <c r="DVZ128" s="139"/>
      <c r="DWA128" s="139"/>
      <c r="DWB128" s="139"/>
      <c r="DWC128" s="139"/>
      <c r="DWD128" s="139"/>
      <c r="DWE128" s="139"/>
      <c r="DWF128" s="139"/>
      <c r="DWG128" s="139"/>
      <c r="DWH128" s="139"/>
      <c r="DWI128" s="139"/>
      <c r="DWJ128" s="139"/>
      <c r="DWK128" s="139"/>
      <c r="DWL128" s="139"/>
      <c r="DWM128" s="139"/>
      <c r="DWN128" s="139"/>
      <c r="DWO128" s="139"/>
      <c r="DWP128" s="139"/>
      <c r="DWQ128" s="139"/>
      <c r="DWR128" s="139"/>
      <c r="DWS128" s="139"/>
      <c r="DWT128" s="139"/>
      <c r="DWU128" s="139"/>
      <c r="DWV128" s="139"/>
      <c r="DWW128" s="139"/>
      <c r="DWX128" s="139"/>
      <c r="DWY128" s="139"/>
      <c r="DWZ128" s="139"/>
      <c r="DXA128" s="139"/>
      <c r="DXB128" s="139"/>
      <c r="DXC128" s="139"/>
      <c r="DXD128" s="139"/>
      <c r="DXE128" s="139"/>
      <c r="DXF128" s="139"/>
      <c r="DXG128" s="139"/>
      <c r="DXH128" s="139"/>
      <c r="DXI128" s="139"/>
      <c r="DXJ128" s="139"/>
      <c r="DXK128" s="139"/>
      <c r="DXL128" s="139"/>
      <c r="DXM128" s="139"/>
      <c r="DXN128" s="139"/>
      <c r="DXO128" s="139"/>
      <c r="DXP128" s="139"/>
      <c r="DXQ128" s="139"/>
      <c r="DXR128" s="139"/>
      <c r="DXS128" s="139"/>
      <c r="DXT128" s="139"/>
      <c r="DXU128" s="139"/>
      <c r="DXV128" s="139"/>
      <c r="DXW128" s="139"/>
      <c r="DXX128" s="139"/>
      <c r="DXY128" s="139"/>
      <c r="DXZ128" s="139"/>
      <c r="DYA128" s="139"/>
      <c r="DYB128" s="139"/>
      <c r="DYC128" s="139"/>
      <c r="DYD128" s="139"/>
      <c r="DYE128" s="139"/>
      <c r="DYF128" s="139"/>
      <c r="DYG128" s="139"/>
      <c r="DYH128" s="139"/>
      <c r="DYI128" s="139"/>
      <c r="DYJ128" s="139"/>
      <c r="DYK128" s="139"/>
      <c r="DYL128" s="139"/>
      <c r="DYM128" s="139"/>
      <c r="DYN128" s="139"/>
      <c r="DYO128" s="139"/>
      <c r="DYP128" s="139"/>
      <c r="DYQ128" s="139"/>
      <c r="DYR128" s="139"/>
      <c r="DYS128" s="139"/>
      <c r="DYT128" s="139"/>
      <c r="DYU128" s="139"/>
      <c r="DYV128" s="139"/>
      <c r="DYW128" s="139"/>
      <c r="DYX128" s="139"/>
      <c r="DYY128" s="139"/>
      <c r="DYZ128" s="139"/>
      <c r="DZA128" s="139"/>
      <c r="DZB128" s="139"/>
      <c r="DZC128" s="139"/>
      <c r="DZD128" s="139"/>
      <c r="DZE128" s="139"/>
      <c r="DZF128" s="139"/>
      <c r="DZG128" s="139"/>
      <c r="DZH128" s="139"/>
      <c r="DZI128" s="139"/>
      <c r="DZJ128" s="139"/>
      <c r="DZK128" s="139"/>
      <c r="DZL128" s="139"/>
      <c r="DZM128" s="139"/>
      <c r="DZN128" s="139"/>
      <c r="DZO128" s="139"/>
      <c r="DZP128" s="139"/>
      <c r="DZQ128" s="139"/>
      <c r="DZR128" s="139"/>
      <c r="DZS128" s="139"/>
      <c r="DZT128" s="139"/>
      <c r="DZU128" s="139"/>
      <c r="DZV128" s="139"/>
      <c r="DZW128" s="139"/>
      <c r="DZX128" s="139"/>
      <c r="DZY128" s="139"/>
      <c r="DZZ128" s="139"/>
      <c r="EAA128" s="139"/>
      <c r="EAB128" s="139"/>
      <c r="EAC128" s="139"/>
      <c r="EAD128" s="139"/>
      <c r="EAE128" s="139"/>
      <c r="EAF128" s="139"/>
      <c r="EAG128" s="139"/>
      <c r="EAH128" s="139"/>
      <c r="EAI128" s="139"/>
      <c r="EAJ128" s="139"/>
      <c r="EAK128" s="139"/>
      <c r="EAL128" s="139"/>
      <c r="EAM128" s="139"/>
      <c r="EAN128" s="139"/>
      <c r="EAO128" s="139"/>
      <c r="EAP128" s="139"/>
      <c r="EAQ128" s="139"/>
      <c r="EAR128" s="139"/>
      <c r="EAS128" s="139"/>
      <c r="EAT128" s="139"/>
      <c r="EAU128" s="139"/>
      <c r="EAV128" s="139"/>
      <c r="EAW128" s="139"/>
      <c r="EAX128" s="139"/>
      <c r="EAY128" s="139"/>
      <c r="EAZ128" s="139"/>
      <c r="EBA128" s="139"/>
      <c r="EBB128" s="139"/>
      <c r="EBC128" s="139"/>
      <c r="EBD128" s="139"/>
      <c r="EBE128" s="139"/>
      <c r="EBF128" s="139"/>
      <c r="EBG128" s="139"/>
      <c r="EBH128" s="139"/>
      <c r="EBI128" s="139"/>
      <c r="EBJ128" s="139"/>
      <c r="EBK128" s="139"/>
      <c r="EBL128" s="139"/>
      <c r="EBM128" s="139"/>
      <c r="EBN128" s="139"/>
      <c r="EBO128" s="139"/>
      <c r="EBP128" s="139"/>
      <c r="EBQ128" s="139"/>
      <c r="EBR128" s="139"/>
      <c r="EBS128" s="139"/>
      <c r="EBT128" s="139"/>
      <c r="EBU128" s="139"/>
      <c r="EBV128" s="139"/>
      <c r="EBW128" s="139"/>
      <c r="EBX128" s="139"/>
      <c r="EBY128" s="139"/>
      <c r="EBZ128" s="139"/>
      <c r="ECA128" s="139"/>
      <c r="ECB128" s="139"/>
      <c r="ECC128" s="139"/>
      <c r="ECD128" s="139"/>
      <c r="ECE128" s="139"/>
      <c r="ECF128" s="139"/>
      <c r="ECG128" s="139"/>
      <c r="ECH128" s="139"/>
      <c r="ECI128" s="139"/>
      <c r="ECJ128" s="139"/>
      <c r="ECK128" s="139"/>
      <c r="ECL128" s="139"/>
      <c r="ECM128" s="139"/>
      <c r="ECN128" s="139"/>
      <c r="ECO128" s="139"/>
      <c r="ECP128" s="139"/>
      <c r="ECQ128" s="139"/>
      <c r="ECR128" s="139"/>
      <c r="ECS128" s="139"/>
      <c r="ECT128" s="139"/>
      <c r="ECU128" s="139"/>
      <c r="ECV128" s="139"/>
      <c r="ECW128" s="139"/>
      <c r="ECX128" s="139"/>
      <c r="ECY128" s="139"/>
      <c r="ECZ128" s="139"/>
      <c r="EDA128" s="139"/>
      <c r="EDB128" s="139"/>
      <c r="EDC128" s="139"/>
      <c r="EDD128" s="139"/>
      <c r="EDE128" s="139"/>
      <c r="EDF128" s="139"/>
      <c r="EDG128" s="139"/>
      <c r="EDH128" s="139"/>
      <c r="EDI128" s="139"/>
      <c r="EDJ128" s="139"/>
      <c r="EDK128" s="139"/>
      <c r="EDL128" s="139"/>
      <c r="EDM128" s="139"/>
      <c r="EDN128" s="139"/>
      <c r="EDO128" s="139"/>
      <c r="EDP128" s="139"/>
      <c r="EDQ128" s="139"/>
      <c r="EDR128" s="139"/>
      <c r="EDS128" s="139"/>
      <c r="EDT128" s="139"/>
      <c r="EDU128" s="139"/>
      <c r="EDV128" s="139"/>
      <c r="EDW128" s="139"/>
      <c r="EDX128" s="139"/>
      <c r="EDY128" s="139"/>
      <c r="EDZ128" s="139"/>
      <c r="EEA128" s="139"/>
      <c r="EEB128" s="139"/>
      <c r="EEC128" s="139"/>
      <c r="EED128" s="139"/>
      <c r="EEE128" s="139"/>
      <c r="EEF128" s="139"/>
      <c r="EEG128" s="139"/>
      <c r="EEH128" s="139"/>
      <c r="EEI128" s="139"/>
      <c r="EEJ128" s="139"/>
      <c r="EEK128" s="139"/>
      <c r="EEL128" s="139"/>
      <c r="EEM128" s="139"/>
      <c r="EEN128" s="139"/>
      <c r="EEO128" s="139"/>
      <c r="EEP128" s="139"/>
      <c r="EEQ128" s="139"/>
      <c r="EER128" s="139"/>
      <c r="EES128" s="139"/>
      <c r="EET128" s="139"/>
      <c r="EEU128" s="139"/>
      <c r="EEV128" s="139"/>
      <c r="EEW128" s="139"/>
      <c r="EEX128" s="139"/>
      <c r="EEY128" s="139"/>
      <c r="EEZ128" s="139"/>
      <c r="EFA128" s="139"/>
      <c r="EFB128" s="139"/>
      <c r="EFC128" s="139"/>
      <c r="EFD128" s="139"/>
      <c r="EFE128" s="139"/>
      <c r="EFF128" s="139"/>
      <c r="EFG128" s="139"/>
      <c r="EFH128" s="139"/>
      <c r="EFI128" s="139"/>
      <c r="EFJ128" s="139"/>
      <c r="EFK128" s="139"/>
      <c r="EFL128" s="139"/>
      <c r="EFM128" s="139"/>
      <c r="EFN128" s="139"/>
      <c r="EFO128" s="139"/>
      <c r="EFP128" s="139"/>
      <c r="EFQ128" s="139"/>
      <c r="EFR128" s="139"/>
      <c r="EFS128" s="139"/>
      <c r="EFT128" s="139"/>
      <c r="EFU128" s="139"/>
      <c r="EFV128" s="139"/>
      <c r="EFW128" s="139"/>
      <c r="EFX128" s="139"/>
      <c r="EFY128" s="139"/>
      <c r="EFZ128" s="139"/>
      <c r="EGA128" s="139"/>
      <c r="EGB128" s="139"/>
      <c r="EGC128" s="139"/>
      <c r="EGD128" s="139"/>
      <c r="EGE128" s="139"/>
      <c r="EGF128" s="139"/>
      <c r="EGG128" s="139"/>
      <c r="EGH128" s="139"/>
      <c r="EGI128" s="139"/>
      <c r="EGJ128" s="139"/>
      <c r="EGK128" s="139"/>
      <c r="EGL128" s="139"/>
      <c r="EGM128" s="139"/>
      <c r="EGN128" s="139"/>
      <c r="EGO128" s="139"/>
      <c r="EGP128" s="139"/>
      <c r="EGQ128" s="139"/>
      <c r="EGR128" s="139"/>
      <c r="EGS128" s="139"/>
      <c r="EGT128" s="139"/>
      <c r="EGU128" s="139"/>
      <c r="EGV128" s="139"/>
      <c r="EGW128" s="139"/>
      <c r="EGX128" s="139"/>
      <c r="EGY128" s="139"/>
      <c r="EGZ128" s="139"/>
      <c r="EHA128" s="139"/>
      <c r="EHB128" s="139"/>
      <c r="EHC128" s="139"/>
      <c r="EHD128" s="139"/>
      <c r="EHE128" s="139"/>
      <c r="EHF128" s="139"/>
      <c r="EHG128" s="139"/>
      <c r="EHH128" s="139"/>
      <c r="EHI128" s="139"/>
      <c r="EHJ128" s="139"/>
      <c r="EHK128" s="139"/>
      <c r="EHL128" s="139"/>
      <c r="EHM128" s="139"/>
      <c r="EHN128" s="139"/>
      <c r="EHO128" s="139"/>
      <c r="EHP128" s="139"/>
      <c r="EHQ128" s="139"/>
      <c r="EHR128" s="139"/>
      <c r="EHS128" s="139"/>
      <c r="EHT128" s="139"/>
      <c r="EHU128" s="139"/>
      <c r="EHV128" s="139"/>
      <c r="EHW128" s="139"/>
      <c r="EHX128" s="139"/>
      <c r="EHY128" s="139"/>
      <c r="EHZ128" s="139"/>
      <c r="EIA128" s="139"/>
      <c r="EIB128" s="139"/>
      <c r="EIC128" s="139"/>
      <c r="EID128" s="139"/>
      <c r="EIE128" s="139"/>
      <c r="EIF128" s="139"/>
      <c r="EIG128" s="139"/>
      <c r="EIH128" s="139"/>
      <c r="EII128" s="139"/>
      <c r="EIJ128" s="139"/>
      <c r="EIK128" s="139"/>
      <c r="EIL128" s="139"/>
      <c r="EIM128" s="139"/>
      <c r="EIN128" s="139"/>
      <c r="EIO128" s="139"/>
      <c r="EIP128" s="139"/>
      <c r="EIQ128" s="139"/>
      <c r="EIR128" s="139"/>
      <c r="EIS128" s="139"/>
      <c r="EIT128" s="139"/>
      <c r="EIU128" s="139"/>
      <c r="EIV128" s="139"/>
      <c r="EIW128" s="139"/>
      <c r="EIX128" s="139"/>
      <c r="EIY128" s="139"/>
      <c r="EIZ128" s="139"/>
      <c r="EJA128" s="139"/>
      <c r="EJB128" s="139"/>
      <c r="EJC128" s="139"/>
      <c r="EJD128" s="139"/>
      <c r="EJE128" s="139"/>
      <c r="EJF128" s="139"/>
      <c r="EJG128" s="139"/>
      <c r="EJH128" s="139"/>
      <c r="EJI128" s="139"/>
      <c r="EJJ128" s="139"/>
      <c r="EJK128" s="139"/>
      <c r="EJL128" s="139"/>
      <c r="EJM128" s="139"/>
      <c r="EJN128" s="139"/>
      <c r="EJO128" s="139"/>
      <c r="EJP128" s="139"/>
      <c r="EJQ128" s="139"/>
      <c r="EJR128" s="139"/>
      <c r="EJS128" s="139"/>
      <c r="EJT128" s="139"/>
      <c r="EJU128" s="139"/>
      <c r="EJV128" s="139"/>
      <c r="EJW128" s="139"/>
      <c r="EJX128" s="139"/>
      <c r="EJY128" s="139"/>
      <c r="EJZ128" s="139"/>
      <c r="EKA128" s="139"/>
      <c r="EKB128" s="139"/>
      <c r="EKC128" s="139"/>
      <c r="EKD128" s="139"/>
      <c r="EKE128" s="139"/>
      <c r="EKF128" s="139"/>
      <c r="EKG128" s="139"/>
      <c r="EKH128" s="139"/>
      <c r="EKI128" s="139"/>
      <c r="EKJ128" s="139"/>
      <c r="EKK128" s="139"/>
      <c r="EKL128" s="139"/>
      <c r="EKM128" s="139"/>
      <c r="EKN128" s="139"/>
      <c r="EKO128" s="139"/>
      <c r="EKP128" s="139"/>
      <c r="EKQ128" s="139"/>
      <c r="EKR128" s="139"/>
      <c r="EKS128" s="139"/>
      <c r="EKT128" s="139"/>
      <c r="EKU128" s="139"/>
      <c r="EKV128" s="139"/>
      <c r="EKW128" s="139"/>
      <c r="EKX128" s="139"/>
      <c r="EKY128" s="139"/>
      <c r="EKZ128" s="139"/>
      <c r="ELA128" s="139"/>
      <c r="ELB128" s="139"/>
      <c r="ELC128" s="139"/>
      <c r="ELD128" s="139"/>
      <c r="ELE128" s="139"/>
      <c r="ELF128" s="139"/>
      <c r="ELG128" s="139"/>
      <c r="ELH128" s="139"/>
      <c r="ELI128" s="139"/>
      <c r="ELJ128" s="139"/>
      <c r="ELK128" s="139"/>
      <c r="ELL128" s="139"/>
      <c r="ELM128" s="139"/>
      <c r="ELN128" s="139"/>
      <c r="ELO128" s="139"/>
      <c r="ELP128" s="139"/>
      <c r="ELQ128" s="139"/>
      <c r="ELR128" s="139"/>
      <c r="ELS128" s="139"/>
      <c r="ELT128" s="139"/>
      <c r="ELU128" s="139"/>
      <c r="ELV128" s="139"/>
      <c r="ELW128" s="139"/>
      <c r="ELX128" s="139"/>
      <c r="ELY128" s="139"/>
      <c r="ELZ128" s="139"/>
      <c r="EMA128" s="139"/>
      <c r="EMB128" s="139"/>
      <c r="EMC128" s="139"/>
      <c r="EMD128" s="139"/>
      <c r="EME128" s="139"/>
      <c r="EMF128" s="139"/>
      <c r="EMG128" s="139"/>
      <c r="EMH128" s="139"/>
      <c r="EMI128" s="139"/>
      <c r="EMJ128" s="139"/>
      <c r="EMK128" s="139"/>
      <c r="EML128" s="139"/>
      <c r="EMM128" s="139"/>
      <c r="EMN128" s="139"/>
      <c r="EMO128" s="139"/>
      <c r="EMP128" s="139"/>
      <c r="EMQ128" s="139"/>
      <c r="EMR128" s="139"/>
      <c r="EMS128" s="139"/>
      <c r="EMT128" s="139"/>
      <c r="EMU128" s="139"/>
      <c r="EMV128" s="139"/>
      <c r="EMW128" s="139"/>
      <c r="EMX128" s="139"/>
      <c r="EMY128" s="139"/>
      <c r="EMZ128" s="139"/>
      <c r="ENA128" s="139"/>
      <c r="ENB128" s="139"/>
      <c r="ENC128" s="139"/>
      <c r="END128" s="139"/>
      <c r="ENE128" s="139"/>
      <c r="ENF128" s="139"/>
      <c r="ENG128" s="139"/>
      <c r="ENH128" s="139"/>
      <c r="ENI128" s="139"/>
      <c r="ENJ128" s="139"/>
      <c r="ENK128" s="139"/>
      <c r="ENL128" s="139"/>
      <c r="ENM128" s="139"/>
      <c r="ENN128" s="139"/>
      <c r="ENO128" s="139"/>
      <c r="ENP128" s="139"/>
      <c r="ENQ128" s="139"/>
      <c r="ENR128" s="139"/>
      <c r="ENS128" s="139"/>
      <c r="ENT128" s="139"/>
      <c r="ENU128" s="139"/>
      <c r="ENV128" s="139"/>
      <c r="ENW128" s="139"/>
      <c r="ENX128" s="139"/>
      <c r="ENY128" s="139"/>
      <c r="ENZ128" s="139"/>
      <c r="EOA128" s="139"/>
      <c r="EOB128" s="139"/>
      <c r="EOC128" s="139"/>
      <c r="EOD128" s="139"/>
      <c r="EOE128" s="139"/>
      <c r="EOF128" s="139"/>
      <c r="EOG128" s="139"/>
      <c r="EOH128" s="139"/>
      <c r="EOI128" s="139"/>
      <c r="EOJ128" s="139"/>
      <c r="EOK128" s="139"/>
      <c r="EOL128" s="139"/>
      <c r="EOM128" s="139"/>
      <c r="EON128" s="139"/>
      <c r="EOO128" s="139"/>
      <c r="EOP128" s="139"/>
      <c r="EOQ128" s="139"/>
      <c r="EOR128" s="139"/>
      <c r="EOS128" s="139"/>
      <c r="EOT128" s="139"/>
      <c r="EOU128" s="139"/>
      <c r="EOV128" s="139"/>
      <c r="EOW128" s="139"/>
      <c r="EOX128" s="139"/>
      <c r="EOY128" s="139"/>
      <c r="EOZ128" s="139"/>
      <c r="EPA128" s="139"/>
      <c r="EPB128" s="139"/>
      <c r="EPC128" s="139"/>
      <c r="EPD128" s="139"/>
      <c r="EPE128" s="139"/>
      <c r="EPF128" s="139"/>
      <c r="EPG128" s="139"/>
      <c r="EPH128" s="139"/>
      <c r="EPI128" s="139"/>
      <c r="EPJ128" s="139"/>
      <c r="EPK128" s="139"/>
      <c r="EPL128" s="139"/>
      <c r="EPM128" s="139"/>
      <c r="EPN128" s="139"/>
      <c r="EPO128" s="139"/>
      <c r="EPP128" s="139"/>
      <c r="EPQ128" s="139"/>
      <c r="EPR128" s="139"/>
      <c r="EPS128" s="139"/>
      <c r="EPT128" s="139"/>
      <c r="EPU128" s="139"/>
      <c r="EPV128" s="139"/>
      <c r="EPW128" s="139"/>
      <c r="EPX128" s="139"/>
      <c r="EPY128" s="139"/>
      <c r="EPZ128" s="139"/>
      <c r="EQA128" s="139"/>
      <c r="EQB128" s="139"/>
      <c r="EQC128" s="139"/>
      <c r="EQD128" s="139"/>
      <c r="EQE128" s="139"/>
      <c r="EQF128" s="139"/>
      <c r="EQG128" s="139"/>
      <c r="EQH128" s="139"/>
      <c r="EQI128" s="139"/>
      <c r="EQJ128" s="139"/>
      <c r="EQK128" s="139"/>
      <c r="EQL128" s="139"/>
      <c r="EQM128" s="139"/>
      <c r="EQN128" s="139"/>
      <c r="EQO128" s="139"/>
      <c r="EQP128" s="139"/>
      <c r="EQQ128" s="139"/>
      <c r="EQR128" s="139"/>
      <c r="EQS128" s="139"/>
      <c r="EQT128" s="139"/>
      <c r="EQU128" s="139"/>
      <c r="EQV128" s="139"/>
      <c r="EQW128" s="139"/>
      <c r="EQX128" s="139"/>
      <c r="EQY128" s="139"/>
      <c r="EQZ128" s="139"/>
      <c r="ERA128" s="139"/>
      <c r="ERB128" s="139"/>
      <c r="ERC128" s="139"/>
      <c r="ERD128" s="139"/>
      <c r="ERE128" s="139"/>
      <c r="ERF128" s="139"/>
      <c r="ERG128" s="139"/>
      <c r="ERH128" s="139"/>
      <c r="ERI128" s="139"/>
      <c r="ERJ128" s="139"/>
      <c r="ERK128" s="139"/>
      <c r="ERL128" s="139"/>
      <c r="ERM128" s="139"/>
      <c r="ERN128" s="139"/>
      <c r="ERO128" s="139"/>
      <c r="ERP128" s="139"/>
      <c r="ERQ128" s="139"/>
      <c r="ERR128" s="139"/>
      <c r="ERS128" s="139"/>
      <c r="ERT128" s="139"/>
      <c r="ERU128" s="139"/>
      <c r="ERV128" s="139"/>
      <c r="ERW128" s="139"/>
      <c r="ERX128" s="139"/>
      <c r="ERY128" s="139"/>
      <c r="ERZ128" s="139"/>
      <c r="ESA128" s="139"/>
      <c r="ESB128" s="139"/>
      <c r="ESC128" s="139"/>
      <c r="ESD128" s="139"/>
      <c r="ESE128" s="139"/>
      <c r="ESF128" s="139"/>
      <c r="ESG128" s="139"/>
      <c r="ESH128" s="139"/>
      <c r="ESI128" s="139"/>
      <c r="ESJ128" s="139"/>
      <c r="ESK128" s="139"/>
      <c r="ESL128" s="139"/>
      <c r="ESM128" s="139"/>
      <c r="ESN128" s="139"/>
      <c r="ESO128" s="139"/>
      <c r="ESP128" s="139"/>
      <c r="ESQ128" s="139"/>
      <c r="ESR128" s="139"/>
      <c r="ESS128" s="139"/>
      <c r="EST128" s="139"/>
      <c r="ESU128" s="139"/>
      <c r="ESV128" s="139"/>
      <c r="ESW128" s="139"/>
      <c r="ESX128" s="139"/>
      <c r="ESY128" s="139"/>
      <c r="ESZ128" s="139"/>
      <c r="ETA128" s="139"/>
      <c r="ETB128" s="139"/>
      <c r="ETC128" s="139"/>
      <c r="ETD128" s="139"/>
      <c r="ETE128" s="139"/>
      <c r="ETF128" s="139"/>
      <c r="ETG128" s="139"/>
      <c r="ETH128" s="139"/>
      <c r="ETI128" s="139"/>
      <c r="ETJ128" s="139"/>
      <c r="ETK128" s="139"/>
      <c r="ETL128" s="139"/>
      <c r="ETM128" s="139"/>
      <c r="ETN128" s="139"/>
      <c r="ETO128" s="139"/>
      <c r="ETP128" s="139"/>
      <c r="ETQ128" s="139"/>
      <c r="ETR128" s="139"/>
      <c r="ETS128" s="139"/>
      <c r="ETT128" s="139"/>
      <c r="ETU128" s="139"/>
      <c r="ETV128" s="139"/>
      <c r="ETW128" s="139"/>
      <c r="ETX128" s="139"/>
      <c r="ETY128" s="139"/>
      <c r="ETZ128" s="139"/>
      <c r="EUA128" s="139"/>
      <c r="EUB128" s="139"/>
      <c r="EUC128" s="139"/>
      <c r="EUD128" s="139"/>
      <c r="EUE128" s="139"/>
      <c r="EUF128" s="139"/>
      <c r="EUG128" s="139"/>
      <c r="EUH128" s="139"/>
      <c r="EUI128" s="139"/>
      <c r="EUJ128" s="139"/>
      <c r="EUK128" s="139"/>
      <c r="EUL128" s="139"/>
      <c r="EUM128" s="139"/>
      <c r="EUN128" s="139"/>
      <c r="EUO128" s="139"/>
      <c r="EUP128" s="139"/>
      <c r="EUQ128" s="139"/>
      <c r="EUR128" s="139"/>
      <c r="EUS128" s="139"/>
      <c r="EUT128" s="139"/>
      <c r="EUU128" s="139"/>
      <c r="EUV128" s="139"/>
      <c r="EUW128" s="139"/>
      <c r="EUX128" s="139"/>
      <c r="EUY128" s="139"/>
      <c r="EUZ128" s="139"/>
      <c r="EVA128" s="139"/>
      <c r="EVB128" s="139"/>
      <c r="EVC128" s="139"/>
      <c r="EVD128" s="139"/>
      <c r="EVE128" s="139"/>
      <c r="EVF128" s="139"/>
      <c r="EVG128" s="139"/>
      <c r="EVH128" s="139"/>
      <c r="EVI128" s="139"/>
      <c r="EVJ128" s="139"/>
      <c r="EVK128" s="139"/>
      <c r="EVL128" s="139"/>
      <c r="EVM128" s="139"/>
      <c r="EVN128" s="139"/>
      <c r="EVO128" s="139"/>
      <c r="EVP128" s="139"/>
      <c r="EVQ128" s="139"/>
      <c r="EVR128" s="139"/>
      <c r="EVS128" s="139"/>
      <c r="EVT128" s="139"/>
      <c r="EVU128" s="139"/>
      <c r="EVV128" s="139"/>
      <c r="EVW128" s="139"/>
      <c r="EVX128" s="139"/>
      <c r="EVY128" s="139"/>
      <c r="EVZ128" s="139"/>
      <c r="EWA128" s="139"/>
      <c r="EWB128" s="139"/>
      <c r="EWC128" s="139"/>
      <c r="EWD128" s="139"/>
      <c r="EWE128" s="139"/>
      <c r="EWF128" s="139"/>
      <c r="EWG128" s="139"/>
      <c r="EWH128" s="139"/>
      <c r="EWI128" s="139"/>
      <c r="EWJ128" s="139"/>
      <c r="EWK128" s="139"/>
      <c r="EWL128" s="139"/>
      <c r="EWM128" s="139"/>
      <c r="EWN128" s="139"/>
      <c r="EWO128" s="139"/>
      <c r="EWP128" s="139"/>
      <c r="EWQ128" s="139"/>
      <c r="EWR128" s="139"/>
      <c r="EWS128" s="139"/>
      <c r="EWT128" s="139"/>
      <c r="EWU128" s="139"/>
      <c r="EWV128" s="139"/>
      <c r="EWW128" s="139"/>
      <c r="EWX128" s="139"/>
      <c r="EWY128" s="139"/>
      <c r="EWZ128" s="139"/>
      <c r="EXA128" s="139"/>
      <c r="EXB128" s="139"/>
      <c r="EXC128" s="139"/>
      <c r="EXD128" s="139"/>
      <c r="EXE128" s="139"/>
      <c r="EXF128" s="139"/>
      <c r="EXG128" s="139"/>
      <c r="EXH128" s="139"/>
      <c r="EXI128" s="139"/>
      <c r="EXJ128" s="139"/>
      <c r="EXK128" s="139"/>
      <c r="EXL128" s="139"/>
      <c r="EXM128" s="139"/>
      <c r="EXN128" s="139"/>
      <c r="EXO128" s="139"/>
      <c r="EXP128" s="139"/>
      <c r="EXQ128" s="139"/>
      <c r="EXR128" s="139"/>
      <c r="EXS128" s="139"/>
      <c r="EXT128" s="139"/>
      <c r="EXU128" s="139"/>
      <c r="EXV128" s="139"/>
      <c r="EXW128" s="139"/>
      <c r="EXX128" s="139"/>
      <c r="EXY128" s="139"/>
      <c r="EXZ128" s="139"/>
      <c r="EYA128" s="139"/>
      <c r="EYB128" s="139"/>
      <c r="EYC128" s="139"/>
      <c r="EYD128" s="139"/>
      <c r="EYE128" s="139"/>
      <c r="EYF128" s="139"/>
      <c r="EYG128" s="139"/>
      <c r="EYH128" s="139"/>
      <c r="EYI128" s="139"/>
      <c r="EYJ128" s="139"/>
      <c r="EYK128" s="139"/>
      <c r="EYL128" s="139"/>
      <c r="EYM128" s="139"/>
      <c r="EYN128" s="139"/>
      <c r="EYO128" s="139"/>
      <c r="EYP128" s="139"/>
      <c r="EYQ128" s="139"/>
      <c r="EYR128" s="139"/>
      <c r="EYS128" s="139"/>
      <c r="EYT128" s="139"/>
      <c r="EYU128" s="139"/>
      <c r="EYV128" s="139"/>
      <c r="EYW128" s="139"/>
      <c r="EYX128" s="139"/>
      <c r="EYY128" s="139"/>
      <c r="EYZ128" s="139"/>
      <c r="EZA128" s="139"/>
      <c r="EZB128" s="139"/>
      <c r="EZC128" s="139"/>
      <c r="EZD128" s="139"/>
      <c r="EZE128" s="139"/>
      <c r="EZF128" s="139"/>
      <c r="EZG128" s="139"/>
      <c r="EZH128" s="139"/>
      <c r="EZI128" s="139"/>
      <c r="EZJ128" s="139"/>
      <c r="EZK128" s="139"/>
      <c r="EZL128" s="139"/>
      <c r="EZM128" s="139"/>
      <c r="EZN128" s="139"/>
      <c r="EZO128" s="139"/>
      <c r="EZP128" s="139"/>
      <c r="EZQ128" s="139"/>
      <c r="EZR128" s="139"/>
      <c r="EZS128" s="139"/>
      <c r="EZT128" s="139"/>
      <c r="EZU128" s="139"/>
      <c r="EZV128" s="139"/>
      <c r="EZW128" s="139"/>
      <c r="EZX128" s="139"/>
      <c r="EZY128" s="139"/>
      <c r="EZZ128" s="139"/>
      <c r="FAA128" s="139"/>
      <c r="FAB128" s="139"/>
      <c r="FAC128" s="139"/>
      <c r="FAD128" s="139"/>
      <c r="FAE128" s="139"/>
      <c r="FAF128" s="139"/>
      <c r="FAG128" s="139"/>
      <c r="FAH128" s="139"/>
      <c r="FAI128" s="139"/>
      <c r="FAJ128" s="139"/>
      <c r="FAK128" s="139"/>
      <c r="FAL128" s="139"/>
      <c r="FAM128" s="139"/>
      <c r="FAN128" s="139"/>
      <c r="FAO128" s="139"/>
      <c r="FAP128" s="139"/>
      <c r="FAQ128" s="139"/>
      <c r="FAR128" s="139"/>
      <c r="FAS128" s="139"/>
      <c r="FAT128" s="139"/>
      <c r="FAU128" s="139"/>
      <c r="FAV128" s="139"/>
      <c r="FAW128" s="139"/>
      <c r="FAX128" s="139"/>
      <c r="FAY128" s="139"/>
      <c r="FAZ128" s="139"/>
      <c r="FBA128" s="139"/>
      <c r="FBB128" s="139"/>
      <c r="FBC128" s="139"/>
      <c r="FBD128" s="139"/>
      <c r="FBE128" s="139"/>
      <c r="FBF128" s="139"/>
      <c r="FBG128" s="139"/>
      <c r="FBH128" s="139"/>
      <c r="FBI128" s="139"/>
      <c r="FBJ128" s="139"/>
      <c r="FBK128" s="139"/>
      <c r="FBL128" s="139"/>
      <c r="FBM128" s="139"/>
      <c r="FBN128" s="139"/>
      <c r="FBO128" s="139"/>
      <c r="FBP128" s="139"/>
      <c r="FBQ128" s="139"/>
      <c r="FBR128" s="139"/>
      <c r="FBS128" s="139"/>
      <c r="FBT128" s="139"/>
      <c r="FBU128" s="139"/>
      <c r="FBV128" s="139"/>
      <c r="FBW128" s="139"/>
      <c r="FBX128" s="139"/>
      <c r="FBY128" s="139"/>
      <c r="FBZ128" s="139"/>
      <c r="FCA128" s="139"/>
      <c r="FCB128" s="139"/>
      <c r="FCC128" s="139"/>
      <c r="FCD128" s="139"/>
      <c r="FCE128" s="139"/>
      <c r="FCF128" s="139"/>
      <c r="FCG128" s="139"/>
      <c r="FCH128" s="139"/>
      <c r="FCI128" s="139"/>
      <c r="FCJ128" s="139"/>
      <c r="FCK128" s="139"/>
      <c r="FCL128" s="139"/>
      <c r="FCM128" s="139"/>
      <c r="FCN128" s="139"/>
      <c r="FCO128" s="139"/>
      <c r="FCP128" s="139"/>
      <c r="FCQ128" s="139"/>
      <c r="FCR128" s="139"/>
      <c r="FCS128" s="139"/>
      <c r="FCT128" s="139"/>
      <c r="FCU128" s="139"/>
      <c r="FCV128" s="139"/>
      <c r="FCW128" s="139"/>
      <c r="FCX128" s="139"/>
      <c r="FCY128" s="139"/>
      <c r="FCZ128" s="139"/>
      <c r="FDA128" s="139"/>
      <c r="FDB128" s="139"/>
      <c r="FDC128" s="139"/>
      <c r="FDD128" s="139"/>
      <c r="FDE128" s="139"/>
      <c r="FDF128" s="139"/>
      <c r="FDG128" s="139"/>
      <c r="FDH128" s="139"/>
      <c r="FDI128" s="139"/>
      <c r="FDJ128" s="139"/>
      <c r="FDK128" s="139"/>
      <c r="FDL128" s="139"/>
      <c r="FDM128" s="139"/>
      <c r="FDN128" s="139"/>
      <c r="FDO128" s="139"/>
      <c r="FDP128" s="139"/>
      <c r="FDQ128" s="139"/>
      <c r="FDR128" s="139"/>
      <c r="FDS128" s="139"/>
      <c r="FDT128" s="139"/>
      <c r="FDU128" s="139"/>
      <c r="FDV128" s="139"/>
      <c r="FDW128" s="139"/>
      <c r="FDX128" s="139"/>
      <c r="FDY128" s="139"/>
      <c r="FDZ128" s="139"/>
      <c r="FEA128" s="139"/>
      <c r="FEB128" s="139"/>
      <c r="FEC128" s="139"/>
      <c r="FED128" s="139"/>
      <c r="FEE128" s="139"/>
      <c r="FEF128" s="139"/>
      <c r="FEG128" s="139"/>
      <c r="FEH128" s="139"/>
      <c r="FEI128" s="139"/>
      <c r="FEJ128" s="139"/>
      <c r="FEK128" s="139"/>
      <c r="FEL128" s="139"/>
      <c r="FEM128" s="139"/>
      <c r="FEN128" s="139"/>
      <c r="FEO128" s="139"/>
      <c r="FEP128" s="139"/>
      <c r="FEQ128" s="139"/>
      <c r="FER128" s="139"/>
      <c r="FES128" s="139"/>
      <c r="FET128" s="139"/>
      <c r="FEU128" s="139"/>
      <c r="FEV128" s="139"/>
      <c r="FEW128" s="139"/>
      <c r="FEX128" s="139"/>
      <c r="FEY128" s="139"/>
      <c r="FEZ128" s="139"/>
      <c r="FFA128" s="139"/>
      <c r="FFB128" s="139"/>
      <c r="FFC128" s="139"/>
      <c r="FFD128" s="139"/>
      <c r="FFE128" s="139"/>
      <c r="FFF128" s="139"/>
      <c r="FFG128" s="139"/>
      <c r="FFH128" s="139"/>
      <c r="FFI128" s="139"/>
      <c r="FFJ128" s="139"/>
      <c r="FFK128" s="139"/>
      <c r="FFL128" s="139"/>
      <c r="FFM128" s="139"/>
      <c r="FFN128" s="139"/>
      <c r="FFO128" s="139"/>
      <c r="FFP128" s="139"/>
      <c r="FFQ128" s="139"/>
      <c r="FFR128" s="139"/>
      <c r="FFS128" s="139"/>
      <c r="FFT128" s="139"/>
      <c r="FFU128" s="139"/>
      <c r="FFV128" s="139"/>
      <c r="FFW128" s="139"/>
      <c r="FFX128" s="139"/>
      <c r="FFY128" s="139"/>
      <c r="FFZ128" s="139"/>
      <c r="FGA128" s="139"/>
      <c r="FGB128" s="139"/>
      <c r="FGC128" s="139"/>
      <c r="FGD128" s="139"/>
      <c r="FGE128" s="139"/>
      <c r="FGF128" s="139"/>
      <c r="FGG128" s="139"/>
      <c r="FGH128" s="139"/>
      <c r="FGI128" s="139"/>
      <c r="FGJ128" s="139"/>
      <c r="FGK128" s="139"/>
      <c r="FGL128" s="139"/>
      <c r="FGM128" s="139"/>
      <c r="FGN128" s="139"/>
      <c r="FGO128" s="139"/>
      <c r="FGP128" s="139"/>
      <c r="FGQ128" s="139"/>
      <c r="FGR128" s="139"/>
      <c r="FGS128" s="139"/>
      <c r="FGT128" s="139"/>
      <c r="FGU128" s="139"/>
      <c r="FGV128" s="139"/>
      <c r="FGW128" s="139"/>
      <c r="FGX128" s="139"/>
      <c r="FGY128" s="139"/>
      <c r="FGZ128" s="139"/>
      <c r="FHA128" s="139"/>
      <c r="FHB128" s="139"/>
      <c r="FHC128" s="139"/>
      <c r="FHD128" s="139"/>
      <c r="FHE128" s="139"/>
      <c r="FHF128" s="139"/>
      <c r="FHG128" s="139"/>
      <c r="FHH128" s="139"/>
      <c r="FHI128" s="139"/>
      <c r="FHJ128" s="139"/>
      <c r="FHK128" s="139"/>
      <c r="FHL128" s="139"/>
      <c r="FHM128" s="139"/>
      <c r="FHN128" s="139"/>
      <c r="FHO128" s="139"/>
      <c r="FHP128" s="139"/>
      <c r="FHQ128" s="139"/>
      <c r="FHR128" s="139"/>
      <c r="FHS128" s="139"/>
      <c r="FHT128" s="139"/>
      <c r="FHU128" s="139"/>
      <c r="FHV128" s="139"/>
      <c r="FHW128" s="139"/>
      <c r="FHX128" s="139"/>
      <c r="FHY128" s="139"/>
      <c r="FHZ128" s="139"/>
      <c r="FIA128" s="139"/>
      <c r="FIB128" s="139"/>
      <c r="FIC128" s="139"/>
      <c r="FID128" s="139"/>
      <c r="FIE128" s="139"/>
      <c r="FIF128" s="139"/>
      <c r="FIG128" s="139"/>
      <c r="FIH128" s="139"/>
      <c r="FII128" s="139"/>
      <c r="FIJ128" s="139"/>
      <c r="FIK128" s="139"/>
      <c r="FIL128" s="139"/>
      <c r="FIM128" s="139"/>
      <c r="FIN128" s="139"/>
      <c r="FIO128" s="139"/>
      <c r="FIP128" s="139"/>
      <c r="FIQ128" s="139"/>
      <c r="FIR128" s="139"/>
      <c r="FIS128" s="139"/>
      <c r="FIT128" s="139"/>
      <c r="FIU128" s="139"/>
      <c r="FIV128" s="139"/>
      <c r="FIW128" s="139"/>
      <c r="FIX128" s="139"/>
      <c r="FIY128" s="139"/>
      <c r="FIZ128" s="139"/>
      <c r="FJA128" s="139"/>
      <c r="FJB128" s="139"/>
      <c r="FJC128" s="139"/>
      <c r="FJD128" s="139"/>
      <c r="FJE128" s="139"/>
      <c r="FJF128" s="139"/>
      <c r="FJG128" s="139"/>
      <c r="FJH128" s="139"/>
      <c r="FJI128" s="139"/>
      <c r="FJJ128" s="139"/>
      <c r="FJK128" s="139"/>
      <c r="FJL128" s="139"/>
      <c r="FJM128" s="139"/>
      <c r="FJN128" s="139"/>
      <c r="FJO128" s="139"/>
      <c r="FJP128" s="139"/>
      <c r="FJQ128" s="139"/>
      <c r="FJR128" s="139"/>
      <c r="FJS128" s="139"/>
      <c r="FJT128" s="139"/>
      <c r="FJU128" s="139"/>
      <c r="FJV128" s="139"/>
      <c r="FJW128" s="139"/>
      <c r="FJX128" s="139"/>
      <c r="FJY128" s="139"/>
      <c r="FJZ128" s="139"/>
      <c r="FKA128" s="139"/>
      <c r="FKB128" s="139"/>
      <c r="FKC128" s="139"/>
      <c r="FKD128" s="139"/>
      <c r="FKE128" s="139"/>
      <c r="FKF128" s="139"/>
      <c r="FKG128" s="139"/>
      <c r="FKH128" s="139"/>
      <c r="FKI128" s="139"/>
      <c r="FKJ128" s="139"/>
      <c r="FKK128" s="139"/>
      <c r="FKL128" s="139"/>
      <c r="FKM128" s="139"/>
      <c r="FKN128" s="139"/>
      <c r="FKO128" s="139"/>
      <c r="FKP128" s="139"/>
      <c r="FKQ128" s="139"/>
      <c r="FKR128" s="139"/>
      <c r="FKS128" s="139"/>
      <c r="FKT128" s="139"/>
      <c r="FKU128" s="139"/>
      <c r="FKV128" s="139"/>
      <c r="FKW128" s="139"/>
      <c r="FKX128" s="139"/>
      <c r="FKY128" s="139"/>
      <c r="FKZ128" s="139"/>
      <c r="FLA128" s="139"/>
      <c r="FLB128" s="139"/>
      <c r="FLC128" s="139"/>
      <c r="FLD128" s="139"/>
      <c r="FLE128" s="139"/>
      <c r="FLF128" s="139"/>
      <c r="FLG128" s="139"/>
      <c r="FLH128" s="139"/>
      <c r="FLI128" s="139"/>
      <c r="FLJ128" s="139"/>
      <c r="FLK128" s="139"/>
      <c r="FLL128" s="139"/>
      <c r="FLM128" s="139"/>
      <c r="FLN128" s="139"/>
      <c r="FLO128" s="139"/>
      <c r="FLP128" s="139"/>
      <c r="FLQ128" s="139"/>
      <c r="FLR128" s="139"/>
      <c r="FLS128" s="139"/>
      <c r="FLT128" s="139"/>
      <c r="FLU128" s="139"/>
      <c r="FLV128" s="139"/>
      <c r="FLW128" s="139"/>
      <c r="FLX128" s="139"/>
      <c r="FLY128" s="139"/>
      <c r="FLZ128" s="139"/>
      <c r="FMA128" s="139"/>
      <c r="FMB128" s="139"/>
      <c r="FMC128" s="139"/>
      <c r="FMD128" s="139"/>
      <c r="FME128" s="139"/>
      <c r="FMF128" s="139"/>
      <c r="FMG128" s="139"/>
      <c r="FMH128" s="139"/>
      <c r="FMI128" s="139"/>
      <c r="FMJ128" s="139"/>
      <c r="FMK128" s="139"/>
      <c r="FML128" s="139"/>
      <c r="FMM128" s="139"/>
      <c r="FMN128" s="139"/>
      <c r="FMO128" s="139"/>
      <c r="FMP128" s="139"/>
      <c r="FMQ128" s="139"/>
      <c r="FMR128" s="139"/>
      <c r="FMS128" s="139"/>
      <c r="FMT128" s="139"/>
      <c r="FMU128" s="139"/>
      <c r="FMV128" s="139"/>
      <c r="FMW128" s="139"/>
      <c r="FMX128" s="139"/>
      <c r="FMY128" s="139"/>
      <c r="FMZ128" s="139"/>
      <c r="FNA128" s="139"/>
      <c r="FNB128" s="139"/>
      <c r="FNC128" s="139"/>
      <c r="FND128" s="139"/>
      <c r="FNE128" s="139"/>
      <c r="FNF128" s="139"/>
      <c r="FNG128" s="139"/>
      <c r="FNH128" s="139"/>
      <c r="FNI128" s="139"/>
      <c r="FNJ128" s="139"/>
      <c r="FNK128" s="139"/>
      <c r="FNL128" s="139"/>
      <c r="FNM128" s="139"/>
      <c r="FNN128" s="139"/>
      <c r="FNO128" s="139"/>
      <c r="FNP128" s="139"/>
      <c r="FNQ128" s="139"/>
      <c r="FNR128" s="139"/>
      <c r="FNS128" s="139"/>
      <c r="FNT128" s="139"/>
      <c r="FNU128" s="139"/>
      <c r="FNV128" s="139"/>
      <c r="FNW128" s="139"/>
      <c r="FNX128" s="139"/>
      <c r="FNY128" s="139"/>
      <c r="FNZ128" s="139"/>
      <c r="FOA128" s="139"/>
      <c r="FOB128" s="139"/>
      <c r="FOC128" s="139"/>
      <c r="FOD128" s="139"/>
      <c r="FOE128" s="139"/>
      <c r="FOF128" s="139"/>
      <c r="FOG128" s="139"/>
      <c r="FOH128" s="139"/>
      <c r="FOI128" s="139"/>
      <c r="FOJ128" s="139"/>
      <c r="FOK128" s="139"/>
      <c r="FOL128" s="139"/>
      <c r="FOM128" s="139"/>
      <c r="FON128" s="139"/>
      <c r="FOO128" s="139"/>
      <c r="FOP128" s="139"/>
      <c r="FOQ128" s="139"/>
      <c r="FOR128" s="139"/>
      <c r="FOS128" s="139"/>
      <c r="FOT128" s="139"/>
      <c r="FOU128" s="139"/>
      <c r="FOV128" s="139"/>
      <c r="FOW128" s="139"/>
      <c r="FOX128" s="139"/>
      <c r="FOY128" s="139"/>
      <c r="FOZ128" s="139"/>
      <c r="FPA128" s="139"/>
      <c r="FPB128" s="139"/>
      <c r="FPC128" s="139"/>
      <c r="FPD128" s="139"/>
      <c r="FPE128" s="139"/>
      <c r="FPF128" s="139"/>
      <c r="FPG128" s="139"/>
      <c r="FPH128" s="139"/>
      <c r="FPI128" s="139"/>
      <c r="FPJ128" s="139"/>
      <c r="FPK128" s="139"/>
      <c r="FPL128" s="139"/>
      <c r="FPM128" s="139"/>
      <c r="FPN128" s="139"/>
      <c r="FPO128" s="139"/>
      <c r="FPP128" s="139"/>
      <c r="FPQ128" s="139"/>
      <c r="FPR128" s="139"/>
      <c r="FPS128" s="139"/>
      <c r="FPT128" s="139"/>
      <c r="FPU128" s="139"/>
      <c r="FPV128" s="139"/>
      <c r="FPW128" s="139"/>
      <c r="FPX128" s="139"/>
      <c r="FPY128" s="139"/>
      <c r="FPZ128" s="139"/>
      <c r="FQA128" s="139"/>
      <c r="FQB128" s="139"/>
      <c r="FQC128" s="139"/>
      <c r="FQD128" s="139"/>
      <c r="FQE128" s="139"/>
      <c r="FQF128" s="139"/>
      <c r="FQG128" s="139"/>
      <c r="FQH128" s="139"/>
      <c r="FQI128" s="139"/>
      <c r="FQJ128" s="139"/>
      <c r="FQK128" s="139"/>
      <c r="FQL128" s="139"/>
      <c r="FQM128" s="139"/>
      <c r="FQN128" s="139"/>
      <c r="FQO128" s="139"/>
      <c r="FQP128" s="139"/>
      <c r="FQQ128" s="139"/>
      <c r="FQR128" s="139"/>
      <c r="FQS128" s="139"/>
      <c r="FQT128" s="139"/>
      <c r="FQU128" s="139"/>
      <c r="FQV128" s="139"/>
      <c r="FQW128" s="139"/>
      <c r="FQX128" s="139"/>
      <c r="FQY128" s="139"/>
      <c r="FQZ128" s="139"/>
      <c r="FRA128" s="139"/>
      <c r="FRB128" s="139"/>
      <c r="FRC128" s="139"/>
      <c r="FRD128" s="139"/>
      <c r="FRE128" s="139"/>
      <c r="FRF128" s="139"/>
      <c r="FRG128" s="139"/>
      <c r="FRH128" s="139"/>
      <c r="FRI128" s="139"/>
      <c r="FRJ128" s="139"/>
      <c r="FRK128" s="139"/>
      <c r="FRL128" s="139"/>
      <c r="FRM128" s="139"/>
      <c r="FRN128" s="139"/>
      <c r="FRO128" s="139"/>
      <c r="FRP128" s="139"/>
      <c r="FRQ128" s="139"/>
      <c r="FRR128" s="139"/>
      <c r="FRS128" s="139"/>
      <c r="FRT128" s="139"/>
      <c r="FRU128" s="139"/>
      <c r="FRV128" s="139"/>
      <c r="FRW128" s="139"/>
      <c r="FRX128" s="139"/>
      <c r="FRY128" s="139"/>
      <c r="FRZ128" s="139"/>
      <c r="FSA128" s="139"/>
      <c r="FSB128" s="139"/>
      <c r="FSC128" s="139"/>
      <c r="FSD128" s="139"/>
      <c r="FSE128" s="139"/>
      <c r="FSF128" s="139"/>
      <c r="FSG128" s="139"/>
      <c r="FSH128" s="139"/>
      <c r="FSI128" s="139"/>
      <c r="FSJ128" s="139"/>
      <c r="FSK128" s="139"/>
      <c r="FSL128" s="139"/>
      <c r="FSM128" s="139"/>
      <c r="FSN128" s="139"/>
      <c r="FSO128" s="139"/>
      <c r="FSP128" s="139"/>
      <c r="FSQ128" s="139"/>
      <c r="FSR128" s="139"/>
      <c r="FSS128" s="139"/>
      <c r="FST128" s="139"/>
      <c r="FSU128" s="139"/>
      <c r="FSV128" s="139"/>
      <c r="FSW128" s="139"/>
      <c r="FSX128" s="139"/>
      <c r="FSY128" s="139"/>
      <c r="FSZ128" s="139"/>
      <c r="FTA128" s="139"/>
      <c r="FTB128" s="139"/>
      <c r="FTC128" s="139"/>
      <c r="FTD128" s="139"/>
      <c r="FTE128" s="139"/>
      <c r="FTF128" s="139"/>
      <c r="FTG128" s="139"/>
      <c r="FTH128" s="139"/>
      <c r="FTI128" s="139"/>
      <c r="FTJ128" s="139"/>
      <c r="FTK128" s="139"/>
      <c r="FTL128" s="139"/>
      <c r="FTM128" s="139"/>
      <c r="FTN128" s="139"/>
      <c r="FTO128" s="139"/>
      <c r="FTP128" s="139"/>
      <c r="FTQ128" s="139"/>
      <c r="FTR128" s="139"/>
      <c r="FTS128" s="139"/>
      <c r="FTT128" s="139"/>
      <c r="FTU128" s="139"/>
      <c r="FTV128" s="139"/>
      <c r="FTW128" s="139"/>
      <c r="FTX128" s="139"/>
      <c r="FTY128" s="139"/>
      <c r="FTZ128" s="139"/>
      <c r="FUA128" s="139"/>
      <c r="FUB128" s="139"/>
      <c r="FUC128" s="139"/>
      <c r="FUD128" s="139"/>
      <c r="FUE128" s="139"/>
      <c r="FUF128" s="139"/>
      <c r="FUG128" s="139"/>
      <c r="FUH128" s="139"/>
      <c r="FUI128" s="139"/>
      <c r="FUJ128" s="139"/>
      <c r="FUK128" s="139"/>
      <c r="FUL128" s="139"/>
      <c r="FUM128" s="139"/>
      <c r="FUN128" s="139"/>
      <c r="FUO128" s="139"/>
      <c r="FUP128" s="139"/>
      <c r="FUQ128" s="139"/>
      <c r="FUR128" s="139"/>
      <c r="FUS128" s="139"/>
      <c r="FUT128" s="139"/>
      <c r="FUU128" s="139"/>
      <c r="FUV128" s="139"/>
      <c r="FUW128" s="139"/>
      <c r="FUX128" s="139"/>
      <c r="FUY128" s="139"/>
      <c r="FUZ128" s="139"/>
      <c r="FVA128" s="139"/>
      <c r="FVB128" s="139"/>
      <c r="FVC128" s="139"/>
      <c r="FVD128" s="139"/>
      <c r="FVE128" s="139"/>
      <c r="FVF128" s="139"/>
      <c r="FVG128" s="139"/>
      <c r="FVH128" s="139"/>
      <c r="FVI128" s="139"/>
      <c r="FVJ128" s="139"/>
      <c r="FVK128" s="139"/>
      <c r="FVL128" s="139"/>
      <c r="FVM128" s="139"/>
      <c r="FVN128" s="139"/>
      <c r="FVO128" s="139"/>
      <c r="FVP128" s="139"/>
      <c r="FVQ128" s="139"/>
      <c r="FVR128" s="139"/>
      <c r="FVS128" s="139"/>
      <c r="FVT128" s="139"/>
      <c r="FVU128" s="139"/>
      <c r="FVV128" s="139"/>
      <c r="FVW128" s="139"/>
      <c r="FVX128" s="139"/>
      <c r="FVY128" s="139"/>
      <c r="FVZ128" s="139"/>
      <c r="FWA128" s="139"/>
      <c r="FWB128" s="139"/>
      <c r="FWC128" s="139"/>
      <c r="FWD128" s="139"/>
      <c r="FWE128" s="139"/>
      <c r="FWF128" s="139"/>
      <c r="FWG128" s="139"/>
      <c r="FWH128" s="139"/>
      <c r="FWI128" s="139"/>
      <c r="FWJ128" s="139"/>
      <c r="FWK128" s="139"/>
      <c r="FWL128" s="139"/>
      <c r="FWM128" s="139"/>
      <c r="FWN128" s="139"/>
      <c r="FWO128" s="139"/>
      <c r="FWP128" s="139"/>
      <c r="FWQ128" s="139"/>
      <c r="FWR128" s="139"/>
      <c r="FWS128" s="139"/>
      <c r="FWT128" s="139"/>
      <c r="FWU128" s="139"/>
      <c r="FWV128" s="139"/>
      <c r="FWW128" s="139"/>
      <c r="FWX128" s="139"/>
      <c r="FWY128" s="139"/>
      <c r="FWZ128" s="139"/>
      <c r="FXA128" s="139"/>
      <c r="FXB128" s="139"/>
      <c r="FXC128" s="139"/>
      <c r="FXD128" s="139"/>
      <c r="FXE128" s="139"/>
      <c r="FXF128" s="139"/>
      <c r="FXG128" s="139"/>
      <c r="FXH128" s="139"/>
      <c r="FXI128" s="139"/>
      <c r="FXJ128" s="139"/>
      <c r="FXK128" s="139"/>
      <c r="FXL128" s="139"/>
      <c r="FXM128" s="139"/>
      <c r="FXN128" s="139"/>
      <c r="FXO128" s="139"/>
      <c r="FXP128" s="139"/>
      <c r="FXQ128" s="139"/>
      <c r="FXR128" s="139"/>
      <c r="FXS128" s="139"/>
      <c r="FXT128" s="139"/>
      <c r="FXU128" s="139"/>
      <c r="FXV128" s="139"/>
      <c r="FXW128" s="139"/>
      <c r="FXX128" s="139"/>
      <c r="FXY128" s="139"/>
      <c r="FXZ128" s="139"/>
      <c r="FYA128" s="139"/>
      <c r="FYB128" s="139"/>
      <c r="FYC128" s="139"/>
      <c r="FYD128" s="139"/>
      <c r="FYE128" s="139"/>
      <c r="FYF128" s="139"/>
      <c r="FYG128" s="139"/>
      <c r="FYH128" s="139"/>
      <c r="FYI128" s="139"/>
      <c r="FYJ128" s="139"/>
      <c r="FYK128" s="139"/>
      <c r="FYL128" s="139"/>
      <c r="FYM128" s="139"/>
      <c r="FYN128" s="139"/>
      <c r="FYO128" s="139"/>
      <c r="FYP128" s="139"/>
      <c r="FYQ128" s="139"/>
      <c r="FYR128" s="139"/>
      <c r="FYS128" s="139"/>
      <c r="FYT128" s="139"/>
      <c r="FYU128" s="139"/>
      <c r="FYV128" s="139"/>
      <c r="FYW128" s="139"/>
      <c r="FYX128" s="139"/>
      <c r="FYY128" s="139"/>
      <c r="FYZ128" s="139"/>
      <c r="FZA128" s="139"/>
      <c r="FZB128" s="139"/>
      <c r="FZC128" s="139"/>
      <c r="FZD128" s="139"/>
      <c r="FZE128" s="139"/>
      <c r="FZF128" s="139"/>
      <c r="FZG128" s="139"/>
      <c r="FZH128" s="139"/>
      <c r="FZI128" s="139"/>
      <c r="FZJ128" s="139"/>
      <c r="FZK128" s="139"/>
      <c r="FZL128" s="139"/>
      <c r="FZM128" s="139"/>
      <c r="FZN128" s="139"/>
      <c r="FZO128" s="139"/>
      <c r="FZP128" s="139"/>
      <c r="FZQ128" s="139"/>
      <c r="FZR128" s="139"/>
      <c r="FZS128" s="139"/>
      <c r="FZT128" s="139"/>
      <c r="FZU128" s="139"/>
      <c r="FZV128" s="139"/>
      <c r="FZW128" s="139"/>
      <c r="FZX128" s="139"/>
      <c r="FZY128" s="139"/>
      <c r="FZZ128" s="139"/>
      <c r="GAA128" s="139"/>
      <c r="GAB128" s="139"/>
      <c r="GAC128" s="139"/>
      <c r="GAD128" s="139"/>
      <c r="GAE128" s="139"/>
      <c r="GAF128" s="139"/>
      <c r="GAG128" s="139"/>
      <c r="GAH128" s="139"/>
      <c r="GAI128" s="139"/>
      <c r="GAJ128" s="139"/>
      <c r="GAK128" s="139"/>
      <c r="GAL128" s="139"/>
      <c r="GAM128" s="139"/>
      <c r="GAN128" s="139"/>
      <c r="GAO128" s="139"/>
      <c r="GAP128" s="139"/>
      <c r="GAQ128" s="139"/>
      <c r="GAR128" s="139"/>
      <c r="GAS128" s="139"/>
      <c r="GAT128" s="139"/>
      <c r="GAU128" s="139"/>
      <c r="GAV128" s="139"/>
      <c r="GAW128" s="139"/>
      <c r="GAX128" s="139"/>
      <c r="GAY128" s="139"/>
      <c r="GAZ128" s="139"/>
      <c r="GBA128" s="139"/>
      <c r="GBB128" s="139"/>
      <c r="GBC128" s="139"/>
      <c r="GBD128" s="139"/>
      <c r="GBE128" s="139"/>
      <c r="GBF128" s="139"/>
      <c r="GBG128" s="139"/>
      <c r="GBH128" s="139"/>
      <c r="GBI128" s="139"/>
      <c r="GBJ128" s="139"/>
      <c r="GBK128" s="139"/>
      <c r="GBL128" s="139"/>
      <c r="GBM128" s="139"/>
      <c r="GBN128" s="139"/>
      <c r="GBO128" s="139"/>
      <c r="GBP128" s="139"/>
      <c r="GBQ128" s="139"/>
      <c r="GBR128" s="139"/>
      <c r="GBS128" s="139"/>
      <c r="GBT128" s="139"/>
      <c r="GBU128" s="139"/>
      <c r="GBV128" s="139"/>
      <c r="GBW128" s="139"/>
      <c r="GBX128" s="139"/>
      <c r="GBY128" s="139"/>
      <c r="GBZ128" s="139"/>
      <c r="GCA128" s="139"/>
      <c r="GCB128" s="139"/>
      <c r="GCC128" s="139"/>
      <c r="GCD128" s="139"/>
      <c r="GCE128" s="139"/>
      <c r="GCF128" s="139"/>
      <c r="GCG128" s="139"/>
      <c r="GCH128" s="139"/>
      <c r="GCI128" s="139"/>
      <c r="GCJ128" s="139"/>
      <c r="GCK128" s="139"/>
      <c r="GCL128" s="139"/>
      <c r="GCM128" s="139"/>
      <c r="GCN128" s="139"/>
      <c r="GCO128" s="139"/>
      <c r="GCP128" s="139"/>
      <c r="GCQ128" s="139"/>
      <c r="GCR128" s="139"/>
      <c r="GCS128" s="139"/>
      <c r="GCT128" s="139"/>
      <c r="GCU128" s="139"/>
      <c r="GCV128" s="139"/>
      <c r="GCW128" s="139"/>
      <c r="GCX128" s="139"/>
      <c r="GCY128" s="139"/>
      <c r="GCZ128" s="139"/>
      <c r="GDA128" s="139"/>
      <c r="GDB128" s="139"/>
      <c r="GDC128" s="139"/>
      <c r="GDD128" s="139"/>
      <c r="GDE128" s="139"/>
      <c r="GDF128" s="139"/>
      <c r="GDG128" s="139"/>
      <c r="GDH128" s="139"/>
      <c r="GDI128" s="139"/>
      <c r="GDJ128" s="139"/>
      <c r="GDK128" s="139"/>
      <c r="GDL128" s="139"/>
      <c r="GDM128" s="139"/>
      <c r="GDN128" s="139"/>
      <c r="GDO128" s="139"/>
      <c r="GDP128" s="139"/>
      <c r="GDQ128" s="139"/>
      <c r="GDR128" s="139"/>
      <c r="GDS128" s="139"/>
      <c r="GDT128" s="139"/>
      <c r="GDU128" s="139"/>
      <c r="GDV128" s="139"/>
      <c r="GDW128" s="139"/>
      <c r="GDX128" s="139"/>
      <c r="GDY128" s="139"/>
      <c r="GDZ128" s="139"/>
      <c r="GEA128" s="139"/>
      <c r="GEB128" s="139"/>
      <c r="GEC128" s="139"/>
      <c r="GED128" s="139"/>
      <c r="GEE128" s="139"/>
      <c r="GEF128" s="139"/>
      <c r="GEG128" s="139"/>
      <c r="GEH128" s="139"/>
      <c r="GEI128" s="139"/>
      <c r="GEJ128" s="139"/>
      <c r="GEK128" s="139"/>
      <c r="GEL128" s="139"/>
      <c r="GEM128" s="139"/>
      <c r="GEN128" s="139"/>
      <c r="GEO128" s="139"/>
      <c r="GEP128" s="139"/>
      <c r="GEQ128" s="139"/>
      <c r="GER128" s="139"/>
      <c r="GES128" s="139"/>
      <c r="GET128" s="139"/>
      <c r="GEU128" s="139"/>
      <c r="GEV128" s="139"/>
      <c r="GEW128" s="139"/>
      <c r="GEX128" s="139"/>
      <c r="GEY128" s="139"/>
      <c r="GEZ128" s="139"/>
      <c r="GFA128" s="139"/>
      <c r="GFB128" s="139"/>
      <c r="GFC128" s="139"/>
      <c r="GFD128" s="139"/>
      <c r="GFE128" s="139"/>
      <c r="GFF128" s="139"/>
      <c r="GFG128" s="139"/>
      <c r="GFH128" s="139"/>
      <c r="GFI128" s="139"/>
      <c r="GFJ128" s="139"/>
      <c r="GFK128" s="139"/>
      <c r="GFL128" s="139"/>
      <c r="GFM128" s="139"/>
      <c r="GFN128" s="139"/>
      <c r="GFO128" s="139"/>
      <c r="GFP128" s="139"/>
      <c r="GFQ128" s="139"/>
      <c r="GFR128" s="139"/>
      <c r="GFS128" s="139"/>
      <c r="GFT128" s="139"/>
      <c r="GFU128" s="139"/>
      <c r="GFV128" s="139"/>
      <c r="GFW128" s="139"/>
      <c r="GFX128" s="139"/>
      <c r="GFY128" s="139"/>
      <c r="GFZ128" s="139"/>
      <c r="GGA128" s="139"/>
      <c r="GGB128" s="139"/>
      <c r="GGC128" s="139"/>
      <c r="GGD128" s="139"/>
      <c r="GGE128" s="139"/>
      <c r="GGF128" s="139"/>
      <c r="GGG128" s="139"/>
      <c r="GGH128" s="139"/>
      <c r="GGI128" s="139"/>
      <c r="GGJ128" s="139"/>
      <c r="GGK128" s="139"/>
      <c r="GGL128" s="139"/>
      <c r="GGM128" s="139"/>
      <c r="GGN128" s="139"/>
      <c r="GGO128" s="139"/>
      <c r="GGP128" s="139"/>
      <c r="GGQ128" s="139"/>
      <c r="GGR128" s="139"/>
      <c r="GGS128" s="139"/>
      <c r="GGT128" s="139"/>
      <c r="GGU128" s="139"/>
      <c r="GGV128" s="139"/>
      <c r="GGW128" s="139"/>
      <c r="GGX128" s="139"/>
      <c r="GGY128" s="139"/>
      <c r="GGZ128" s="139"/>
      <c r="GHA128" s="139"/>
      <c r="GHB128" s="139"/>
      <c r="GHC128" s="139"/>
      <c r="GHD128" s="139"/>
      <c r="GHE128" s="139"/>
      <c r="GHF128" s="139"/>
      <c r="GHG128" s="139"/>
      <c r="GHH128" s="139"/>
      <c r="GHI128" s="139"/>
      <c r="GHJ128" s="139"/>
      <c r="GHK128" s="139"/>
      <c r="GHL128" s="139"/>
      <c r="GHM128" s="139"/>
      <c r="GHN128" s="139"/>
      <c r="GHO128" s="139"/>
      <c r="GHP128" s="139"/>
      <c r="GHQ128" s="139"/>
      <c r="GHR128" s="139"/>
      <c r="GHS128" s="139"/>
      <c r="GHT128" s="139"/>
      <c r="GHU128" s="139"/>
      <c r="GHV128" s="139"/>
      <c r="GHW128" s="139"/>
      <c r="GHX128" s="139"/>
      <c r="GHY128" s="139"/>
      <c r="GHZ128" s="139"/>
      <c r="GIA128" s="139"/>
      <c r="GIB128" s="139"/>
      <c r="GIC128" s="139"/>
      <c r="GID128" s="139"/>
      <c r="GIE128" s="139"/>
      <c r="GIF128" s="139"/>
      <c r="GIG128" s="139"/>
      <c r="GIH128" s="139"/>
      <c r="GII128" s="139"/>
      <c r="GIJ128" s="139"/>
      <c r="GIK128" s="139"/>
      <c r="GIL128" s="139"/>
      <c r="GIM128" s="139"/>
      <c r="GIN128" s="139"/>
      <c r="GIO128" s="139"/>
      <c r="GIP128" s="139"/>
      <c r="GIQ128" s="139"/>
      <c r="GIR128" s="139"/>
      <c r="GIS128" s="139"/>
      <c r="GIT128" s="139"/>
      <c r="GIU128" s="139"/>
      <c r="GIV128" s="139"/>
      <c r="GIW128" s="139"/>
      <c r="GIX128" s="139"/>
      <c r="GIY128" s="139"/>
      <c r="GIZ128" s="139"/>
      <c r="GJA128" s="139"/>
      <c r="GJB128" s="139"/>
      <c r="GJC128" s="139"/>
      <c r="GJD128" s="139"/>
      <c r="GJE128" s="139"/>
      <c r="GJF128" s="139"/>
      <c r="GJG128" s="139"/>
      <c r="GJH128" s="139"/>
      <c r="GJI128" s="139"/>
      <c r="GJJ128" s="139"/>
      <c r="GJK128" s="139"/>
      <c r="GJL128" s="139"/>
      <c r="GJM128" s="139"/>
      <c r="GJN128" s="139"/>
      <c r="GJO128" s="139"/>
      <c r="GJP128" s="139"/>
      <c r="GJQ128" s="139"/>
      <c r="GJR128" s="139"/>
      <c r="GJS128" s="139"/>
      <c r="GJT128" s="139"/>
      <c r="GJU128" s="139"/>
      <c r="GJV128" s="139"/>
      <c r="GJW128" s="139"/>
      <c r="GJX128" s="139"/>
      <c r="GJY128" s="139"/>
      <c r="GJZ128" s="139"/>
      <c r="GKA128" s="139"/>
      <c r="GKB128" s="139"/>
      <c r="GKC128" s="139"/>
      <c r="GKD128" s="139"/>
      <c r="GKE128" s="139"/>
      <c r="GKF128" s="139"/>
      <c r="GKG128" s="139"/>
      <c r="GKH128" s="139"/>
      <c r="GKI128" s="139"/>
      <c r="GKJ128" s="139"/>
      <c r="GKK128" s="139"/>
      <c r="GKL128" s="139"/>
      <c r="GKM128" s="139"/>
      <c r="GKN128" s="139"/>
      <c r="GKO128" s="139"/>
      <c r="GKP128" s="139"/>
      <c r="GKQ128" s="139"/>
      <c r="GKR128" s="139"/>
      <c r="GKS128" s="139"/>
      <c r="GKT128" s="139"/>
      <c r="GKU128" s="139"/>
      <c r="GKV128" s="139"/>
      <c r="GKW128" s="139"/>
      <c r="GKX128" s="139"/>
      <c r="GKY128" s="139"/>
      <c r="GKZ128" s="139"/>
      <c r="GLA128" s="139"/>
      <c r="GLB128" s="139"/>
      <c r="GLC128" s="139"/>
      <c r="GLD128" s="139"/>
      <c r="GLE128" s="139"/>
      <c r="GLF128" s="139"/>
      <c r="GLG128" s="139"/>
      <c r="GLH128" s="139"/>
      <c r="GLI128" s="139"/>
      <c r="GLJ128" s="139"/>
      <c r="GLK128" s="139"/>
      <c r="GLL128" s="139"/>
      <c r="GLM128" s="139"/>
      <c r="GLN128" s="139"/>
      <c r="GLO128" s="139"/>
      <c r="GLP128" s="139"/>
      <c r="GLQ128" s="139"/>
      <c r="GLR128" s="139"/>
      <c r="GLS128" s="139"/>
      <c r="GLT128" s="139"/>
      <c r="GLU128" s="139"/>
      <c r="GLV128" s="139"/>
      <c r="GLW128" s="139"/>
      <c r="GLX128" s="139"/>
      <c r="GLY128" s="139"/>
      <c r="GLZ128" s="139"/>
      <c r="GMA128" s="139"/>
      <c r="GMB128" s="139"/>
      <c r="GMC128" s="139"/>
      <c r="GMD128" s="139"/>
      <c r="GME128" s="139"/>
      <c r="GMF128" s="139"/>
      <c r="GMG128" s="139"/>
      <c r="GMH128" s="139"/>
      <c r="GMI128" s="139"/>
      <c r="GMJ128" s="139"/>
      <c r="GMK128" s="139"/>
      <c r="GML128" s="139"/>
      <c r="GMM128" s="139"/>
      <c r="GMN128" s="139"/>
      <c r="GMO128" s="139"/>
      <c r="GMP128" s="139"/>
      <c r="GMQ128" s="139"/>
      <c r="GMR128" s="139"/>
      <c r="GMS128" s="139"/>
      <c r="GMT128" s="139"/>
      <c r="GMU128" s="139"/>
      <c r="GMV128" s="139"/>
      <c r="GMW128" s="139"/>
      <c r="GMX128" s="139"/>
      <c r="GMY128" s="139"/>
      <c r="GMZ128" s="139"/>
      <c r="GNA128" s="139"/>
      <c r="GNB128" s="139"/>
      <c r="GNC128" s="139"/>
      <c r="GND128" s="139"/>
      <c r="GNE128" s="139"/>
      <c r="GNF128" s="139"/>
      <c r="GNG128" s="139"/>
      <c r="GNH128" s="139"/>
      <c r="GNI128" s="139"/>
      <c r="GNJ128" s="139"/>
      <c r="GNK128" s="139"/>
      <c r="GNL128" s="139"/>
      <c r="GNM128" s="139"/>
      <c r="GNN128" s="139"/>
      <c r="GNO128" s="139"/>
      <c r="GNP128" s="139"/>
      <c r="GNQ128" s="139"/>
      <c r="GNR128" s="139"/>
      <c r="GNS128" s="139"/>
      <c r="GNT128" s="139"/>
      <c r="GNU128" s="139"/>
      <c r="GNV128" s="139"/>
      <c r="GNW128" s="139"/>
      <c r="GNX128" s="139"/>
      <c r="GNY128" s="139"/>
      <c r="GNZ128" s="139"/>
      <c r="GOA128" s="139"/>
      <c r="GOB128" s="139"/>
      <c r="GOC128" s="139"/>
      <c r="GOD128" s="139"/>
      <c r="GOE128" s="139"/>
      <c r="GOF128" s="139"/>
      <c r="GOG128" s="139"/>
      <c r="GOH128" s="139"/>
      <c r="GOI128" s="139"/>
      <c r="GOJ128" s="139"/>
      <c r="GOK128" s="139"/>
      <c r="GOL128" s="139"/>
      <c r="GOM128" s="139"/>
      <c r="GON128" s="139"/>
      <c r="GOO128" s="139"/>
      <c r="GOP128" s="139"/>
      <c r="GOQ128" s="139"/>
      <c r="GOR128" s="139"/>
      <c r="GOS128" s="139"/>
      <c r="GOT128" s="139"/>
      <c r="GOU128" s="139"/>
      <c r="GOV128" s="139"/>
      <c r="GOW128" s="139"/>
      <c r="GOX128" s="139"/>
      <c r="GOY128" s="139"/>
      <c r="GOZ128" s="139"/>
      <c r="GPA128" s="139"/>
      <c r="GPB128" s="139"/>
      <c r="GPC128" s="139"/>
      <c r="GPD128" s="139"/>
      <c r="GPE128" s="139"/>
      <c r="GPF128" s="139"/>
      <c r="GPG128" s="139"/>
      <c r="GPH128" s="139"/>
      <c r="GPI128" s="139"/>
      <c r="GPJ128" s="139"/>
      <c r="GPK128" s="139"/>
      <c r="GPL128" s="139"/>
      <c r="GPM128" s="139"/>
      <c r="GPN128" s="139"/>
      <c r="GPO128" s="139"/>
      <c r="GPP128" s="139"/>
      <c r="GPQ128" s="139"/>
      <c r="GPR128" s="139"/>
      <c r="GPS128" s="139"/>
      <c r="GPT128" s="139"/>
      <c r="GPU128" s="139"/>
      <c r="GPV128" s="139"/>
      <c r="GPW128" s="139"/>
      <c r="GPX128" s="139"/>
      <c r="GPY128" s="139"/>
      <c r="GPZ128" s="139"/>
      <c r="GQA128" s="139"/>
      <c r="GQB128" s="139"/>
      <c r="GQC128" s="139"/>
      <c r="GQD128" s="139"/>
      <c r="GQE128" s="139"/>
      <c r="GQF128" s="139"/>
      <c r="GQG128" s="139"/>
      <c r="GQH128" s="139"/>
      <c r="GQI128" s="139"/>
      <c r="GQJ128" s="139"/>
      <c r="GQK128" s="139"/>
      <c r="GQL128" s="139"/>
      <c r="GQM128" s="139"/>
      <c r="GQN128" s="139"/>
      <c r="GQO128" s="139"/>
      <c r="GQP128" s="139"/>
      <c r="GQQ128" s="139"/>
      <c r="GQR128" s="139"/>
      <c r="GQS128" s="139"/>
      <c r="GQT128" s="139"/>
      <c r="GQU128" s="139"/>
      <c r="GQV128" s="139"/>
      <c r="GQW128" s="139"/>
      <c r="GQX128" s="139"/>
      <c r="GQY128" s="139"/>
      <c r="GQZ128" s="139"/>
      <c r="GRA128" s="139"/>
      <c r="GRB128" s="139"/>
      <c r="GRC128" s="139"/>
      <c r="GRD128" s="139"/>
      <c r="GRE128" s="139"/>
      <c r="GRF128" s="139"/>
      <c r="GRG128" s="139"/>
      <c r="GRH128" s="139"/>
      <c r="GRI128" s="139"/>
      <c r="GRJ128" s="139"/>
      <c r="GRK128" s="139"/>
      <c r="GRL128" s="139"/>
      <c r="GRM128" s="139"/>
      <c r="GRN128" s="139"/>
      <c r="GRO128" s="139"/>
      <c r="GRP128" s="139"/>
      <c r="GRQ128" s="139"/>
      <c r="GRR128" s="139"/>
      <c r="GRS128" s="139"/>
      <c r="GRT128" s="139"/>
      <c r="GRU128" s="139"/>
      <c r="GRV128" s="139"/>
      <c r="GRW128" s="139"/>
      <c r="GRX128" s="139"/>
      <c r="GRY128" s="139"/>
      <c r="GRZ128" s="139"/>
      <c r="GSA128" s="139"/>
      <c r="GSB128" s="139"/>
      <c r="GSC128" s="139"/>
      <c r="GSD128" s="139"/>
      <c r="GSE128" s="139"/>
      <c r="GSF128" s="139"/>
      <c r="GSG128" s="139"/>
      <c r="GSH128" s="139"/>
      <c r="GSI128" s="139"/>
      <c r="GSJ128" s="139"/>
      <c r="GSK128" s="139"/>
      <c r="GSL128" s="139"/>
      <c r="GSM128" s="139"/>
      <c r="GSN128" s="139"/>
      <c r="GSO128" s="139"/>
      <c r="GSP128" s="139"/>
      <c r="GSQ128" s="139"/>
      <c r="GSR128" s="139"/>
      <c r="GSS128" s="139"/>
      <c r="GST128" s="139"/>
      <c r="GSU128" s="139"/>
      <c r="GSV128" s="139"/>
      <c r="GSW128" s="139"/>
      <c r="GSX128" s="139"/>
      <c r="GSY128" s="139"/>
      <c r="GSZ128" s="139"/>
      <c r="GTA128" s="139"/>
      <c r="GTB128" s="139"/>
      <c r="GTC128" s="139"/>
      <c r="GTD128" s="139"/>
      <c r="GTE128" s="139"/>
      <c r="GTF128" s="139"/>
      <c r="GTG128" s="139"/>
      <c r="GTH128" s="139"/>
      <c r="GTI128" s="139"/>
      <c r="GTJ128" s="139"/>
      <c r="GTK128" s="139"/>
      <c r="GTL128" s="139"/>
      <c r="GTM128" s="139"/>
      <c r="GTN128" s="139"/>
      <c r="GTO128" s="139"/>
      <c r="GTP128" s="139"/>
      <c r="GTQ128" s="139"/>
      <c r="GTR128" s="139"/>
      <c r="GTS128" s="139"/>
      <c r="GTT128" s="139"/>
      <c r="GTU128" s="139"/>
      <c r="GTV128" s="139"/>
      <c r="GTW128" s="139"/>
      <c r="GTX128" s="139"/>
      <c r="GTY128" s="139"/>
      <c r="GTZ128" s="139"/>
      <c r="GUA128" s="139"/>
      <c r="GUB128" s="139"/>
      <c r="GUC128" s="139"/>
      <c r="GUD128" s="139"/>
      <c r="GUE128" s="139"/>
      <c r="GUF128" s="139"/>
      <c r="GUG128" s="139"/>
      <c r="GUH128" s="139"/>
      <c r="GUI128" s="139"/>
      <c r="GUJ128" s="139"/>
      <c r="GUK128" s="139"/>
      <c r="GUL128" s="139"/>
      <c r="GUM128" s="139"/>
      <c r="GUN128" s="139"/>
      <c r="GUO128" s="139"/>
      <c r="GUP128" s="139"/>
      <c r="GUQ128" s="139"/>
      <c r="GUR128" s="139"/>
      <c r="GUS128" s="139"/>
      <c r="GUT128" s="139"/>
      <c r="GUU128" s="139"/>
      <c r="GUV128" s="139"/>
      <c r="GUW128" s="139"/>
      <c r="GUX128" s="139"/>
      <c r="GUY128" s="139"/>
      <c r="GUZ128" s="139"/>
      <c r="GVA128" s="139"/>
      <c r="GVB128" s="139"/>
      <c r="GVC128" s="139"/>
      <c r="GVD128" s="139"/>
      <c r="GVE128" s="139"/>
      <c r="GVF128" s="139"/>
      <c r="GVG128" s="139"/>
      <c r="GVH128" s="139"/>
      <c r="GVI128" s="139"/>
      <c r="GVJ128" s="139"/>
      <c r="GVK128" s="139"/>
      <c r="GVL128" s="139"/>
      <c r="GVM128" s="139"/>
      <c r="GVN128" s="139"/>
      <c r="GVO128" s="139"/>
      <c r="GVP128" s="139"/>
      <c r="GVQ128" s="139"/>
      <c r="GVR128" s="139"/>
      <c r="GVS128" s="139"/>
      <c r="GVT128" s="139"/>
      <c r="GVU128" s="139"/>
      <c r="GVV128" s="139"/>
      <c r="GVW128" s="139"/>
      <c r="GVX128" s="139"/>
      <c r="GVY128" s="139"/>
      <c r="GVZ128" s="139"/>
      <c r="GWA128" s="139"/>
      <c r="GWB128" s="139"/>
      <c r="GWC128" s="139"/>
      <c r="GWD128" s="139"/>
      <c r="GWE128" s="139"/>
      <c r="GWF128" s="139"/>
      <c r="GWG128" s="139"/>
      <c r="GWH128" s="139"/>
      <c r="GWI128" s="139"/>
      <c r="GWJ128" s="139"/>
      <c r="GWK128" s="139"/>
      <c r="GWL128" s="139"/>
      <c r="GWM128" s="139"/>
      <c r="GWN128" s="139"/>
      <c r="GWO128" s="139"/>
      <c r="GWP128" s="139"/>
      <c r="GWQ128" s="139"/>
      <c r="GWR128" s="139"/>
      <c r="GWS128" s="139"/>
      <c r="GWT128" s="139"/>
      <c r="GWU128" s="139"/>
      <c r="GWV128" s="139"/>
      <c r="GWW128" s="139"/>
      <c r="GWX128" s="139"/>
      <c r="GWY128" s="139"/>
      <c r="GWZ128" s="139"/>
      <c r="GXA128" s="139"/>
      <c r="GXB128" s="139"/>
      <c r="GXC128" s="139"/>
      <c r="GXD128" s="139"/>
      <c r="GXE128" s="139"/>
      <c r="GXF128" s="139"/>
      <c r="GXG128" s="139"/>
      <c r="GXH128" s="139"/>
      <c r="GXI128" s="139"/>
      <c r="GXJ128" s="139"/>
      <c r="GXK128" s="139"/>
      <c r="GXL128" s="139"/>
      <c r="GXM128" s="139"/>
      <c r="GXN128" s="139"/>
      <c r="GXO128" s="139"/>
      <c r="GXP128" s="139"/>
      <c r="GXQ128" s="139"/>
      <c r="GXR128" s="139"/>
      <c r="GXS128" s="139"/>
      <c r="GXT128" s="139"/>
      <c r="GXU128" s="139"/>
      <c r="GXV128" s="139"/>
      <c r="GXW128" s="139"/>
      <c r="GXX128" s="139"/>
      <c r="GXY128" s="139"/>
      <c r="GXZ128" s="139"/>
      <c r="GYA128" s="139"/>
      <c r="GYB128" s="139"/>
      <c r="GYC128" s="139"/>
      <c r="GYD128" s="139"/>
      <c r="GYE128" s="139"/>
      <c r="GYF128" s="139"/>
      <c r="GYG128" s="139"/>
      <c r="GYH128" s="139"/>
      <c r="GYI128" s="139"/>
      <c r="GYJ128" s="139"/>
      <c r="GYK128" s="139"/>
      <c r="GYL128" s="139"/>
      <c r="GYM128" s="139"/>
      <c r="GYN128" s="139"/>
      <c r="GYO128" s="139"/>
      <c r="GYP128" s="139"/>
      <c r="GYQ128" s="139"/>
      <c r="GYR128" s="139"/>
      <c r="GYS128" s="139"/>
      <c r="GYT128" s="139"/>
      <c r="GYU128" s="139"/>
      <c r="GYV128" s="139"/>
      <c r="GYW128" s="139"/>
      <c r="GYX128" s="139"/>
      <c r="GYY128" s="139"/>
      <c r="GYZ128" s="139"/>
      <c r="GZA128" s="139"/>
      <c r="GZB128" s="139"/>
      <c r="GZC128" s="139"/>
      <c r="GZD128" s="139"/>
      <c r="GZE128" s="139"/>
      <c r="GZF128" s="139"/>
      <c r="GZG128" s="139"/>
      <c r="GZH128" s="139"/>
      <c r="GZI128" s="139"/>
      <c r="GZJ128" s="139"/>
      <c r="GZK128" s="139"/>
      <c r="GZL128" s="139"/>
      <c r="GZM128" s="139"/>
      <c r="GZN128" s="139"/>
      <c r="GZO128" s="139"/>
      <c r="GZP128" s="139"/>
      <c r="GZQ128" s="139"/>
      <c r="GZR128" s="139"/>
      <c r="GZS128" s="139"/>
      <c r="GZT128" s="139"/>
      <c r="GZU128" s="139"/>
      <c r="GZV128" s="139"/>
      <c r="GZW128" s="139"/>
      <c r="GZX128" s="139"/>
      <c r="GZY128" s="139"/>
      <c r="GZZ128" s="139"/>
      <c r="HAA128" s="139"/>
      <c r="HAB128" s="139"/>
      <c r="HAC128" s="139"/>
      <c r="HAD128" s="139"/>
      <c r="HAE128" s="139"/>
      <c r="HAF128" s="139"/>
      <c r="HAG128" s="139"/>
      <c r="HAH128" s="139"/>
      <c r="HAI128" s="139"/>
      <c r="HAJ128" s="139"/>
      <c r="HAK128" s="139"/>
      <c r="HAL128" s="139"/>
      <c r="HAM128" s="139"/>
      <c r="HAN128" s="139"/>
      <c r="HAO128" s="139"/>
      <c r="HAP128" s="139"/>
      <c r="HAQ128" s="139"/>
      <c r="HAR128" s="139"/>
      <c r="HAS128" s="139"/>
      <c r="HAT128" s="139"/>
      <c r="HAU128" s="139"/>
      <c r="HAV128" s="139"/>
      <c r="HAW128" s="139"/>
      <c r="HAX128" s="139"/>
      <c r="HAY128" s="139"/>
      <c r="HAZ128" s="139"/>
      <c r="HBA128" s="139"/>
      <c r="HBB128" s="139"/>
      <c r="HBC128" s="139"/>
      <c r="HBD128" s="139"/>
      <c r="HBE128" s="139"/>
      <c r="HBF128" s="139"/>
      <c r="HBG128" s="139"/>
      <c r="HBH128" s="139"/>
      <c r="HBI128" s="139"/>
      <c r="HBJ128" s="139"/>
      <c r="HBK128" s="139"/>
      <c r="HBL128" s="139"/>
      <c r="HBM128" s="139"/>
      <c r="HBN128" s="139"/>
      <c r="HBO128" s="139"/>
      <c r="HBP128" s="139"/>
      <c r="HBQ128" s="139"/>
      <c r="HBR128" s="139"/>
      <c r="HBS128" s="139"/>
      <c r="HBT128" s="139"/>
      <c r="HBU128" s="139"/>
      <c r="HBV128" s="139"/>
      <c r="HBW128" s="139"/>
      <c r="HBX128" s="139"/>
      <c r="HBY128" s="139"/>
      <c r="HBZ128" s="139"/>
      <c r="HCA128" s="139"/>
      <c r="HCB128" s="139"/>
      <c r="HCC128" s="139"/>
      <c r="HCD128" s="139"/>
      <c r="HCE128" s="139"/>
      <c r="HCF128" s="139"/>
      <c r="HCG128" s="139"/>
      <c r="HCH128" s="139"/>
      <c r="HCI128" s="139"/>
      <c r="HCJ128" s="139"/>
      <c r="HCK128" s="139"/>
      <c r="HCL128" s="139"/>
      <c r="HCM128" s="139"/>
      <c r="HCN128" s="139"/>
      <c r="HCO128" s="139"/>
      <c r="HCP128" s="139"/>
      <c r="HCQ128" s="139"/>
      <c r="HCR128" s="139"/>
      <c r="HCS128" s="139"/>
      <c r="HCT128" s="139"/>
      <c r="HCU128" s="139"/>
      <c r="HCV128" s="139"/>
      <c r="HCW128" s="139"/>
      <c r="HCX128" s="139"/>
      <c r="HCY128" s="139"/>
      <c r="HCZ128" s="139"/>
      <c r="HDA128" s="139"/>
      <c r="HDB128" s="139"/>
      <c r="HDC128" s="139"/>
      <c r="HDD128" s="139"/>
      <c r="HDE128" s="139"/>
      <c r="HDF128" s="139"/>
      <c r="HDG128" s="139"/>
      <c r="HDH128" s="139"/>
      <c r="HDI128" s="139"/>
      <c r="HDJ128" s="139"/>
      <c r="HDK128" s="139"/>
      <c r="HDL128" s="139"/>
      <c r="HDM128" s="139"/>
      <c r="HDN128" s="139"/>
      <c r="HDO128" s="139"/>
      <c r="HDP128" s="139"/>
      <c r="HDQ128" s="139"/>
      <c r="HDR128" s="139"/>
      <c r="HDS128" s="139"/>
      <c r="HDT128" s="139"/>
      <c r="HDU128" s="139"/>
      <c r="HDV128" s="139"/>
      <c r="HDW128" s="139"/>
      <c r="HDX128" s="139"/>
      <c r="HDY128" s="139"/>
      <c r="HDZ128" s="139"/>
      <c r="HEA128" s="139"/>
      <c r="HEB128" s="139"/>
      <c r="HEC128" s="139"/>
      <c r="HED128" s="139"/>
      <c r="HEE128" s="139"/>
      <c r="HEF128" s="139"/>
      <c r="HEG128" s="139"/>
      <c r="HEH128" s="139"/>
      <c r="HEI128" s="139"/>
      <c r="HEJ128" s="139"/>
      <c r="HEK128" s="139"/>
      <c r="HEL128" s="139"/>
      <c r="HEM128" s="139"/>
      <c r="HEN128" s="139"/>
      <c r="HEO128" s="139"/>
      <c r="HEP128" s="139"/>
      <c r="HEQ128" s="139"/>
      <c r="HER128" s="139"/>
      <c r="HES128" s="139"/>
      <c r="HET128" s="139"/>
      <c r="HEU128" s="139"/>
      <c r="HEV128" s="139"/>
      <c r="HEW128" s="139"/>
      <c r="HEX128" s="139"/>
      <c r="HEY128" s="139"/>
      <c r="HEZ128" s="139"/>
      <c r="HFA128" s="139"/>
      <c r="HFB128" s="139"/>
      <c r="HFC128" s="139"/>
      <c r="HFD128" s="139"/>
      <c r="HFE128" s="139"/>
      <c r="HFF128" s="139"/>
      <c r="HFG128" s="139"/>
      <c r="HFH128" s="139"/>
      <c r="HFI128" s="139"/>
      <c r="HFJ128" s="139"/>
      <c r="HFK128" s="139"/>
      <c r="HFL128" s="139"/>
      <c r="HFM128" s="139"/>
      <c r="HFN128" s="139"/>
      <c r="HFO128" s="139"/>
      <c r="HFP128" s="139"/>
      <c r="HFQ128" s="139"/>
      <c r="HFR128" s="139"/>
      <c r="HFS128" s="139"/>
      <c r="HFT128" s="139"/>
      <c r="HFU128" s="139"/>
      <c r="HFV128" s="139"/>
      <c r="HFW128" s="139"/>
      <c r="HFX128" s="139"/>
      <c r="HFY128" s="139"/>
      <c r="HFZ128" s="139"/>
      <c r="HGA128" s="139"/>
      <c r="HGB128" s="139"/>
      <c r="HGC128" s="139"/>
      <c r="HGD128" s="139"/>
      <c r="HGE128" s="139"/>
      <c r="HGF128" s="139"/>
      <c r="HGG128" s="139"/>
      <c r="HGH128" s="139"/>
      <c r="HGI128" s="139"/>
      <c r="HGJ128" s="139"/>
      <c r="HGK128" s="139"/>
      <c r="HGL128" s="139"/>
      <c r="HGM128" s="139"/>
      <c r="HGN128" s="139"/>
      <c r="HGO128" s="139"/>
      <c r="HGP128" s="139"/>
      <c r="HGQ128" s="139"/>
      <c r="HGR128" s="139"/>
      <c r="HGS128" s="139"/>
      <c r="HGT128" s="139"/>
      <c r="HGU128" s="139"/>
      <c r="HGV128" s="139"/>
      <c r="HGW128" s="139"/>
      <c r="HGX128" s="139"/>
      <c r="HGY128" s="139"/>
      <c r="HGZ128" s="139"/>
      <c r="HHA128" s="139"/>
      <c r="HHB128" s="139"/>
      <c r="HHC128" s="139"/>
      <c r="HHD128" s="139"/>
      <c r="HHE128" s="139"/>
      <c r="HHF128" s="139"/>
      <c r="HHG128" s="139"/>
      <c r="HHH128" s="139"/>
      <c r="HHI128" s="139"/>
      <c r="HHJ128" s="139"/>
      <c r="HHK128" s="139"/>
      <c r="HHL128" s="139"/>
      <c r="HHM128" s="139"/>
      <c r="HHN128" s="139"/>
      <c r="HHO128" s="139"/>
      <c r="HHP128" s="139"/>
      <c r="HHQ128" s="139"/>
      <c r="HHR128" s="139"/>
      <c r="HHS128" s="139"/>
      <c r="HHT128" s="139"/>
      <c r="HHU128" s="139"/>
      <c r="HHV128" s="139"/>
      <c r="HHW128" s="139"/>
      <c r="HHX128" s="139"/>
      <c r="HHY128" s="139"/>
      <c r="HHZ128" s="139"/>
      <c r="HIA128" s="139"/>
      <c r="HIB128" s="139"/>
      <c r="HIC128" s="139"/>
      <c r="HID128" s="139"/>
      <c r="HIE128" s="139"/>
      <c r="HIF128" s="139"/>
      <c r="HIG128" s="139"/>
      <c r="HIH128" s="139"/>
      <c r="HII128" s="139"/>
      <c r="HIJ128" s="139"/>
      <c r="HIK128" s="139"/>
      <c r="HIL128" s="139"/>
      <c r="HIM128" s="139"/>
      <c r="HIN128" s="139"/>
      <c r="HIO128" s="139"/>
      <c r="HIP128" s="139"/>
      <c r="HIQ128" s="139"/>
      <c r="HIR128" s="139"/>
      <c r="HIS128" s="139"/>
      <c r="HIT128" s="139"/>
      <c r="HIU128" s="139"/>
      <c r="HIV128" s="139"/>
      <c r="HIW128" s="139"/>
      <c r="HIX128" s="139"/>
      <c r="HIY128" s="139"/>
      <c r="HIZ128" s="139"/>
      <c r="HJA128" s="139"/>
      <c r="HJB128" s="139"/>
      <c r="HJC128" s="139"/>
      <c r="HJD128" s="139"/>
      <c r="HJE128" s="139"/>
      <c r="HJF128" s="139"/>
      <c r="HJG128" s="139"/>
      <c r="HJH128" s="139"/>
      <c r="HJI128" s="139"/>
      <c r="HJJ128" s="139"/>
      <c r="HJK128" s="139"/>
      <c r="HJL128" s="139"/>
      <c r="HJM128" s="139"/>
      <c r="HJN128" s="139"/>
      <c r="HJO128" s="139"/>
      <c r="HJP128" s="139"/>
      <c r="HJQ128" s="139"/>
      <c r="HJR128" s="139"/>
      <c r="HJS128" s="139"/>
      <c r="HJT128" s="139"/>
      <c r="HJU128" s="139"/>
      <c r="HJV128" s="139"/>
      <c r="HJW128" s="139"/>
      <c r="HJX128" s="139"/>
      <c r="HJY128" s="139"/>
      <c r="HJZ128" s="139"/>
      <c r="HKA128" s="139"/>
      <c r="HKB128" s="139"/>
      <c r="HKC128" s="139"/>
      <c r="HKD128" s="139"/>
      <c r="HKE128" s="139"/>
      <c r="HKF128" s="139"/>
      <c r="HKG128" s="139"/>
      <c r="HKH128" s="139"/>
      <c r="HKI128" s="139"/>
      <c r="HKJ128" s="139"/>
      <c r="HKK128" s="139"/>
      <c r="HKL128" s="139"/>
      <c r="HKM128" s="139"/>
      <c r="HKN128" s="139"/>
      <c r="HKO128" s="139"/>
      <c r="HKP128" s="139"/>
      <c r="HKQ128" s="139"/>
      <c r="HKR128" s="139"/>
      <c r="HKS128" s="139"/>
      <c r="HKT128" s="139"/>
      <c r="HKU128" s="139"/>
      <c r="HKV128" s="139"/>
      <c r="HKW128" s="139"/>
      <c r="HKX128" s="139"/>
      <c r="HKY128" s="139"/>
      <c r="HKZ128" s="139"/>
      <c r="HLA128" s="139"/>
      <c r="HLB128" s="139"/>
      <c r="HLC128" s="139"/>
      <c r="HLD128" s="139"/>
      <c r="HLE128" s="139"/>
      <c r="HLF128" s="139"/>
      <c r="HLG128" s="139"/>
      <c r="HLH128" s="139"/>
      <c r="HLI128" s="139"/>
      <c r="HLJ128" s="139"/>
      <c r="HLK128" s="139"/>
      <c r="HLL128" s="139"/>
      <c r="HLM128" s="139"/>
      <c r="HLN128" s="139"/>
      <c r="HLO128" s="139"/>
      <c r="HLP128" s="139"/>
      <c r="HLQ128" s="139"/>
      <c r="HLR128" s="139"/>
      <c r="HLS128" s="139"/>
      <c r="HLT128" s="139"/>
      <c r="HLU128" s="139"/>
      <c r="HLV128" s="139"/>
      <c r="HLW128" s="139"/>
      <c r="HLX128" s="139"/>
      <c r="HLY128" s="139"/>
      <c r="HLZ128" s="139"/>
      <c r="HMA128" s="139"/>
      <c r="HMB128" s="139"/>
      <c r="HMC128" s="139"/>
      <c r="HMD128" s="139"/>
      <c r="HME128" s="139"/>
      <c r="HMF128" s="139"/>
      <c r="HMG128" s="139"/>
      <c r="HMH128" s="139"/>
      <c r="HMI128" s="139"/>
      <c r="HMJ128" s="139"/>
      <c r="HMK128" s="139"/>
      <c r="HML128" s="139"/>
      <c r="HMM128" s="139"/>
      <c r="HMN128" s="139"/>
      <c r="HMO128" s="139"/>
      <c r="HMP128" s="139"/>
      <c r="HMQ128" s="139"/>
      <c r="HMR128" s="139"/>
      <c r="HMS128" s="139"/>
      <c r="HMT128" s="139"/>
      <c r="HMU128" s="139"/>
      <c r="HMV128" s="139"/>
      <c r="HMW128" s="139"/>
      <c r="HMX128" s="139"/>
      <c r="HMY128" s="139"/>
      <c r="HMZ128" s="139"/>
      <c r="HNA128" s="139"/>
      <c r="HNB128" s="139"/>
      <c r="HNC128" s="139"/>
      <c r="HND128" s="139"/>
      <c r="HNE128" s="139"/>
      <c r="HNF128" s="139"/>
      <c r="HNG128" s="139"/>
      <c r="HNH128" s="139"/>
      <c r="HNI128" s="139"/>
      <c r="HNJ128" s="139"/>
      <c r="HNK128" s="139"/>
      <c r="HNL128" s="139"/>
      <c r="HNM128" s="139"/>
      <c r="HNN128" s="139"/>
      <c r="HNO128" s="139"/>
      <c r="HNP128" s="139"/>
      <c r="HNQ128" s="139"/>
      <c r="HNR128" s="139"/>
      <c r="HNS128" s="139"/>
      <c r="HNT128" s="139"/>
      <c r="HNU128" s="139"/>
      <c r="HNV128" s="139"/>
      <c r="HNW128" s="139"/>
      <c r="HNX128" s="139"/>
      <c r="HNY128" s="139"/>
      <c r="HNZ128" s="139"/>
      <c r="HOA128" s="139"/>
      <c r="HOB128" s="139"/>
      <c r="HOC128" s="139"/>
      <c r="HOD128" s="139"/>
      <c r="HOE128" s="139"/>
      <c r="HOF128" s="139"/>
      <c r="HOG128" s="139"/>
      <c r="HOH128" s="139"/>
      <c r="HOI128" s="139"/>
      <c r="HOJ128" s="139"/>
      <c r="HOK128" s="139"/>
      <c r="HOL128" s="139"/>
      <c r="HOM128" s="139"/>
      <c r="HON128" s="139"/>
      <c r="HOO128" s="139"/>
      <c r="HOP128" s="139"/>
      <c r="HOQ128" s="139"/>
      <c r="HOR128" s="139"/>
      <c r="HOS128" s="139"/>
      <c r="HOT128" s="139"/>
      <c r="HOU128" s="139"/>
      <c r="HOV128" s="139"/>
      <c r="HOW128" s="139"/>
      <c r="HOX128" s="139"/>
      <c r="HOY128" s="139"/>
      <c r="HOZ128" s="139"/>
      <c r="HPA128" s="139"/>
      <c r="HPB128" s="139"/>
      <c r="HPC128" s="139"/>
      <c r="HPD128" s="139"/>
      <c r="HPE128" s="139"/>
      <c r="HPF128" s="139"/>
      <c r="HPG128" s="139"/>
      <c r="HPH128" s="139"/>
      <c r="HPI128" s="139"/>
      <c r="HPJ128" s="139"/>
      <c r="HPK128" s="139"/>
      <c r="HPL128" s="139"/>
      <c r="HPM128" s="139"/>
      <c r="HPN128" s="139"/>
      <c r="HPO128" s="139"/>
      <c r="HPP128" s="139"/>
      <c r="HPQ128" s="139"/>
      <c r="HPR128" s="139"/>
      <c r="HPS128" s="139"/>
      <c r="HPT128" s="139"/>
      <c r="HPU128" s="139"/>
      <c r="HPV128" s="139"/>
      <c r="HPW128" s="139"/>
      <c r="HPX128" s="139"/>
      <c r="HPY128" s="139"/>
      <c r="HPZ128" s="139"/>
      <c r="HQA128" s="139"/>
      <c r="HQB128" s="139"/>
      <c r="HQC128" s="139"/>
      <c r="HQD128" s="139"/>
      <c r="HQE128" s="139"/>
      <c r="HQF128" s="139"/>
      <c r="HQG128" s="139"/>
      <c r="HQH128" s="139"/>
      <c r="HQI128" s="139"/>
      <c r="HQJ128" s="139"/>
      <c r="HQK128" s="139"/>
      <c r="HQL128" s="139"/>
      <c r="HQM128" s="139"/>
      <c r="HQN128" s="139"/>
      <c r="HQO128" s="139"/>
      <c r="HQP128" s="139"/>
      <c r="HQQ128" s="139"/>
      <c r="HQR128" s="139"/>
      <c r="HQS128" s="139"/>
      <c r="HQT128" s="139"/>
      <c r="HQU128" s="139"/>
      <c r="HQV128" s="139"/>
      <c r="HQW128" s="139"/>
      <c r="HQX128" s="139"/>
      <c r="HQY128" s="139"/>
      <c r="HQZ128" s="139"/>
      <c r="HRA128" s="139"/>
      <c r="HRB128" s="139"/>
      <c r="HRC128" s="139"/>
      <c r="HRD128" s="139"/>
      <c r="HRE128" s="139"/>
      <c r="HRF128" s="139"/>
      <c r="HRG128" s="139"/>
      <c r="HRH128" s="139"/>
      <c r="HRI128" s="139"/>
      <c r="HRJ128" s="139"/>
      <c r="HRK128" s="139"/>
      <c r="HRL128" s="139"/>
      <c r="HRM128" s="139"/>
      <c r="HRN128" s="139"/>
      <c r="HRO128" s="139"/>
      <c r="HRP128" s="139"/>
      <c r="HRQ128" s="139"/>
      <c r="HRR128" s="139"/>
      <c r="HRS128" s="139"/>
      <c r="HRT128" s="139"/>
      <c r="HRU128" s="139"/>
      <c r="HRV128" s="139"/>
      <c r="HRW128" s="139"/>
      <c r="HRX128" s="139"/>
      <c r="HRY128" s="139"/>
      <c r="HRZ128" s="139"/>
      <c r="HSA128" s="139"/>
      <c r="HSB128" s="139"/>
      <c r="HSC128" s="139"/>
      <c r="HSD128" s="139"/>
      <c r="HSE128" s="139"/>
      <c r="HSF128" s="139"/>
      <c r="HSG128" s="139"/>
      <c r="HSH128" s="139"/>
      <c r="HSI128" s="139"/>
      <c r="HSJ128" s="139"/>
      <c r="HSK128" s="139"/>
      <c r="HSL128" s="139"/>
      <c r="HSM128" s="139"/>
      <c r="HSN128" s="139"/>
      <c r="HSO128" s="139"/>
      <c r="HSP128" s="139"/>
      <c r="HSQ128" s="139"/>
      <c r="HSR128" s="139"/>
      <c r="HSS128" s="139"/>
      <c r="HST128" s="139"/>
      <c r="HSU128" s="139"/>
      <c r="HSV128" s="139"/>
      <c r="HSW128" s="139"/>
      <c r="HSX128" s="139"/>
      <c r="HSY128" s="139"/>
      <c r="HSZ128" s="139"/>
      <c r="HTA128" s="139"/>
      <c r="HTB128" s="139"/>
      <c r="HTC128" s="139"/>
      <c r="HTD128" s="139"/>
      <c r="HTE128" s="139"/>
      <c r="HTF128" s="139"/>
      <c r="HTG128" s="139"/>
      <c r="HTH128" s="139"/>
      <c r="HTI128" s="139"/>
      <c r="HTJ128" s="139"/>
      <c r="HTK128" s="139"/>
      <c r="HTL128" s="139"/>
      <c r="HTM128" s="139"/>
      <c r="HTN128" s="139"/>
      <c r="HTO128" s="139"/>
      <c r="HTP128" s="139"/>
      <c r="HTQ128" s="139"/>
      <c r="HTR128" s="139"/>
      <c r="HTS128" s="139"/>
      <c r="HTT128" s="139"/>
      <c r="HTU128" s="139"/>
      <c r="HTV128" s="139"/>
      <c r="HTW128" s="139"/>
      <c r="HTX128" s="139"/>
      <c r="HTY128" s="139"/>
      <c r="HTZ128" s="139"/>
      <c r="HUA128" s="139"/>
      <c r="HUB128" s="139"/>
      <c r="HUC128" s="139"/>
      <c r="HUD128" s="139"/>
      <c r="HUE128" s="139"/>
      <c r="HUF128" s="139"/>
      <c r="HUG128" s="139"/>
      <c r="HUH128" s="139"/>
      <c r="HUI128" s="139"/>
      <c r="HUJ128" s="139"/>
      <c r="HUK128" s="139"/>
      <c r="HUL128" s="139"/>
      <c r="HUM128" s="139"/>
      <c r="HUN128" s="139"/>
      <c r="HUO128" s="139"/>
      <c r="HUP128" s="139"/>
      <c r="HUQ128" s="139"/>
      <c r="HUR128" s="139"/>
      <c r="HUS128" s="139"/>
      <c r="HUT128" s="139"/>
      <c r="HUU128" s="139"/>
      <c r="HUV128" s="139"/>
      <c r="HUW128" s="139"/>
      <c r="HUX128" s="139"/>
      <c r="HUY128" s="139"/>
      <c r="HUZ128" s="139"/>
      <c r="HVA128" s="139"/>
      <c r="HVB128" s="139"/>
      <c r="HVC128" s="139"/>
      <c r="HVD128" s="139"/>
      <c r="HVE128" s="139"/>
      <c r="HVF128" s="139"/>
      <c r="HVG128" s="139"/>
      <c r="HVH128" s="139"/>
      <c r="HVI128" s="139"/>
      <c r="HVJ128" s="139"/>
      <c r="HVK128" s="139"/>
      <c r="HVL128" s="139"/>
      <c r="HVM128" s="139"/>
      <c r="HVN128" s="139"/>
      <c r="HVO128" s="139"/>
      <c r="HVP128" s="139"/>
      <c r="HVQ128" s="139"/>
      <c r="HVR128" s="139"/>
      <c r="HVS128" s="139"/>
      <c r="HVT128" s="139"/>
      <c r="HVU128" s="139"/>
      <c r="HVV128" s="139"/>
      <c r="HVW128" s="139"/>
      <c r="HVX128" s="139"/>
      <c r="HVY128" s="139"/>
      <c r="HVZ128" s="139"/>
      <c r="HWA128" s="139"/>
      <c r="HWB128" s="139"/>
      <c r="HWC128" s="139"/>
      <c r="HWD128" s="139"/>
      <c r="HWE128" s="139"/>
      <c r="HWF128" s="139"/>
      <c r="HWG128" s="139"/>
      <c r="HWH128" s="139"/>
      <c r="HWI128" s="139"/>
      <c r="HWJ128" s="139"/>
      <c r="HWK128" s="139"/>
      <c r="HWL128" s="139"/>
      <c r="HWM128" s="139"/>
      <c r="HWN128" s="139"/>
      <c r="HWO128" s="139"/>
      <c r="HWP128" s="139"/>
      <c r="HWQ128" s="139"/>
      <c r="HWR128" s="139"/>
      <c r="HWS128" s="139"/>
      <c r="HWT128" s="139"/>
      <c r="HWU128" s="139"/>
      <c r="HWV128" s="139"/>
      <c r="HWW128" s="139"/>
      <c r="HWX128" s="139"/>
      <c r="HWY128" s="139"/>
      <c r="HWZ128" s="139"/>
      <c r="HXA128" s="139"/>
      <c r="HXB128" s="139"/>
      <c r="HXC128" s="139"/>
      <c r="HXD128" s="139"/>
      <c r="HXE128" s="139"/>
      <c r="HXF128" s="139"/>
      <c r="HXG128" s="139"/>
      <c r="HXH128" s="139"/>
      <c r="HXI128" s="139"/>
      <c r="HXJ128" s="139"/>
      <c r="HXK128" s="139"/>
      <c r="HXL128" s="139"/>
      <c r="HXM128" s="139"/>
      <c r="HXN128" s="139"/>
      <c r="HXO128" s="139"/>
      <c r="HXP128" s="139"/>
      <c r="HXQ128" s="139"/>
      <c r="HXR128" s="139"/>
      <c r="HXS128" s="139"/>
      <c r="HXT128" s="139"/>
      <c r="HXU128" s="139"/>
      <c r="HXV128" s="139"/>
      <c r="HXW128" s="139"/>
      <c r="HXX128" s="139"/>
      <c r="HXY128" s="139"/>
      <c r="HXZ128" s="139"/>
      <c r="HYA128" s="139"/>
      <c r="HYB128" s="139"/>
      <c r="HYC128" s="139"/>
      <c r="HYD128" s="139"/>
      <c r="HYE128" s="139"/>
      <c r="HYF128" s="139"/>
      <c r="HYG128" s="139"/>
      <c r="HYH128" s="139"/>
      <c r="HYI128" s="139"/>
      <c r="HYJ128" s="139"/>
      <c r="HYK128" s="139"/>
      <c r="HYL128" s="139"/>
      <c r="HYM128" s="139"/>
      <c r="HYN128" s="139"/>
      <c r="HYO128" s="139"/>
      <c r="HYP128" s="139"/>
      <c r="HYQ128" s="139"/>
      <c r="HYR128" s="139"/>
      <c r="HYS128" s="139"/>
      <c r="HYT128" s="139"/>
      <c r="HYU128" s="139"/>
      <c r="HYV128" s="139"/>
      <c r="HYW128" s="139"/>
      <c r="HYX128" s="139"/>
      <c r="HYY128" s="139"/>
      <c r="HYZ128" s="139"/>
      <c r="HZA128" s="139"/>
      <c r="HZB128" s="139"/>
      <c r="HZC128" s="139"/>
      <c r="HZD128" s="139"/>
      <c r="HZE128" s="139"/>
      <c r="HZF128" s="139"/>
      <c r="HZG128" s="139"/>
      <c r="HZH128" s="139"/>
      <c r="HZI128" s="139"/>
      <c r="HZJ128" s="139"/>
      <c r="HZK128" s="139"/>
      <c r="HZL128" s="139"/>
      <c r="HZM128" s="139"/>
      <c r="HZN128" s="139"/>
      <c r="HZO128" s="139"/>
      <c r="HZP128" s="139"/>
      <c r="HZQ128" s="139"/>
      <c r="HZR128" s="139"/>
      <c r="HZS128" s="139"/>
      <c r="HZT128" s="139"/>
      <c r="HZU128" s="139"/>
      <c r="HZV128" s="139"/>
      <c r="HZW128" s="139"/>
      <c r="HZX128" s="139"/>
      <c r="HZY128" s="139"/>
      <c r="HZZ128" s="139"/>
      <c r="IAA128" s="139"/>
      <c r="IAB128" s="139"/>
      <c r="IAC128" s="139"/>
      <c r="IAD128" s="139"/>
      <c r="IAE128" s="139"/>
      <c r="IAF128" s="139"/>
      <c r="IAG128" s="139"/>
      <c r="IAH128" s="139"/>
      <c r="IAI128" s="139"/>
      <c r="IAJ128" s="139"/>
      <c r="IAK128" s="139"/>
      <c r="IAL128" s="139"/>
      <c r="IAM128" s="139"/>
      <c r="IAN128" s="139"/>
      <c r="IAO128" s="139"/>
      <c r="IAP128" s="139"/>
      <c r="IAQ128" s="139"/>
      <c r="IAR128" s="139"/>
      <c r="IAS128" s="139"/>
      <c r="IAT128" s="139"/>
      <c r="IAU128" s="139"/>
      <c r="IAV128" s="139"/>
      <c r="IAW128" s="139"/>
      <c r="IAX128" s="139"/>
      <c r="IAY128" s="139"/>
      <c r="IAZ128" s="139"/>
      <c r="IBA128" s="139"/>
      <c r="IBB128" s="139"/>
      <c r="IBC128" s="139"/>
      <c r="IBD128" s="139"/>
      <c r="IBE128" s="139"/>
      <c r="IBF128" s="139"/>
      <c r="IBG128" s="139"/>
      <c r="IBH128" s="139"/>
      <c r="IBI128" s="139"/>
      <c r="IBJ128" s="139"/>
      <c r="IBK128" s="139"/>
      <c r="IBL128" s="139"/>
      <c r="IBM128" s="139"/>
      <c r="IBN128" s="139"/>
      <c r="IBO128" s="139"/>
      <c r="IBP128" s="139"/>
      <c r="IBQ128" s="139"/>
      <c r="IBR128" s="139"/>
      <c r="IBS128" s="139"/>
      <c r="IBT128" s="139"/>
      <c r="IBU128" s="139"/>
      <c r="IBV128" s="139"/>
      <c r="IBW128" s="139"/>
      <c r="IBX128" s="139"/>
      <c r="IBY128" s="139"/>
      <c r="IBZ128" s="139"/>
      <c r="ICA128" s="139"/>
      <c r="ICB128" s="139"/>
      <c r="ICC128" s="139"/>
      <c r="ICD128" s="139"/>
      <c r="ICE128" s="139"/>
      <c r="ICF128" s="139"/>
      <c r="ICG128" s="139"/>
      <c r="ICH128" s="139"/>
      <c r="ICI128" s="139"/>
      <c r="ICJ128" s="139"/>
      <c r="ICK128" s="139"/>
      <c r="ICL128" s="139"/>
      <c r="ICM128" s="139"/>
      <c r="ICN128" s="139"/>
      <c r="ICO128" s="139"/>
      <c r="ICP128" s="139"/>
      <c r="ICQ128" s="139"/>
      <c r="ICR128" s="139"/>
      <c r="ICS128" s="139"/>
      <c r="ICT128" s="139"/>
      <c r="ICU128" s="139"/>
      <c r="ICV128" s="139"/>
      <c r="ICW128" s="139"/>
      <c r="ICX128" s="139"/>
      <c r="ICY128" s="139"/>
      <c r="ICZ128" s="139"/>
      <c r="IDA128" s="139"/>
      <c r="IDB128" s="139"/>
      <c r="IDC128" s="139"/>
      <c r="IDD128" s="139"/>
      <c r="IDE128" s="139"/>
      <c r="IDF128" s="139"/>
      <c r="IDG128" s="139"/>
      <c r="IDH128" s="139"/>
      <c r="IDI128" s="139"/>
      <c r="IDJ128" s="139"/>
      <c r="IDK128" s="139"/>
      <c r="IDL128" s="139"/>
      <c r="IDM128" s="139"/>
      <c r="IDN128" s="139"/>
      <c r="IDO128" s="139"/>
      <c r="IDP128" s="139"/>
      <c r="IDQ128" s="139"/>
      <c r="IDR128" s="139"/>
      <c r="IDS128" s="139"/>
      <c r="IDT128" s="139"/>
      <c r="IDU128" s="139"/>
      <c r="IDV128" s="139"/>
      <c r="IDW128" s="139"/>
      <c r="IDX128" s="139"/>
      <c r="IDY128" s="139"/>
      <c r="IDZ128" s="139"/>
      <c r="IEA128" s="139"/>
      <c r="IEB128" s="139"/>
      <c r="IEC128" s="139"/>
      <c r="IED128" s="139"/>
      <c r="IEE128" s="139"/>
      <c r="IEF128" s="139"/>
      <c r="IEG128" s="139"/>
      <c r="IEH128" s="139"/>
      <c r="IEI128" s="139"/>
      <c r="IEJ128" s="139"/>
      <c r="IEK128" s="139"/>
      <c r="IEL128" s="139"/>
      <c r="IEM128" s="139"/>
      <c r="IEN128" s="139"/>
      <c r="IEO128" s="139"/>
      <c r="IEP128" s="139"/>
      <c r="IEQ128" s="139"/>
      <c r="IER128" s="139"/>
      <c r="IES128" s="139"/>
      <c r="IET128" s="139"/>
      <c r="IEU128" s="139"/>
      <c r="IEV128" s="139"/>
      <c r="IEW128" s="139"/>
      <c r="IEX128" s="139"/>
      <c r="IEY128" s="139"/>
      <c r="IEZ128" s="139"/>
      <c r="IFA128" s="139"/>
      <c r="IFB128" s="139"/>
      <c r="IFC128" s="139"/>
      <c r="IFD128" s="139"/>
      <c r="IFE128" s="139"/>
      <c r="IFF128" s="139"/>
      <c r="IFG128" s="139"/>
      <c r="IFH128" s="139"/>
      <c r="IFI128" s="139"/>
      <c r="IFJ128" s="139"/>
      <c r="IFK128" s="139"/>
      <c r="IFL128" s="139"/>
      <c r="IFM128" s="139"/>
      <c r="IFN128" s="139"/>
      <c r="IFO128" s="139"/>
      <c r="IFP128" s="139"/>
      <c r="IFQ128" s="139"/>
      <c r="IFR128" s="139"/>
      <c r="IFS128" s="139"/>
      <c r="IFT128" s="139"/>
      <c r="IFU128" s="139"/>
      <c r="IFV128" s="139"/>
      <c r="IFW128" s="139"/>
      <c r="IFX128" s="139"/>
      <c r="IFY128" s="139"/>
      <c r="IFZ128" s="139"/>
      <c r="IGA128" s="139"/>
      <c r="IGB128" s="139"/>
      <c r="IGC128" s="139"/>
      <c r="IGD128" s="139"/>
      <c r="IGE128" s="139"/>
      <c r="IGF128" s="139"/>
      <c r="IGG128" s="139"/>
      <c r="IGH128" s="139"/>
      <c r="IGI128" s="139"/>
      <c r="IGJ128" s="139"/>
      <c r="IGK128" s="139"/>
      <c r="IGL128" s="139"/>
      <c r="IGM128" s="139"/>
      <c r="IGN128" s="139"/>
      <c r="IGO128" s="139"/>
      <c r="IGP128" s="139"/>
      <c r="IGQ128" s="139"/>
      <c r="IGR128" s="139"/>
      <c r="IGS128" s="139"/>
      <c r="IGT128" s="139"/>
      <c r="IGU128" s="139"/>
      <c r="IGV128" s="139"/>
      <c r="IGW128" s="139"/>
      <c r="IGX128" s="139"/>
      <c r="IGY128" s="139"/>
      <c r="IGZ128" s="139"/>
      <c r="IHA128" s="139"/>
      <c r="IHB128" s="139"/>
      <c r="IHC128" s="139"/>
      <c r="IHD128" s="139"/>
      <c r="IHE128" s="139"/>
      <c r="IHF128" s="139"/>
      <c r="IHG128" s="139"/>
      <c r="IHH128" s="139"/>
      <c r="IHI128" s="139"/>
      <c r="IHJ128" s="139"/>
      <c r="IHK128" s="139"/>
      <c r="IHL128" s="139"/>
      <c r="IHM128" s="139"/>
      <c r="IHN128" s="139"/>
      <c r="IHO128" s="139"/>
      <c r="IHP128" s="139"/>
      <c r="IHQ128" s="139"/>
      <c r="IHR128" s="139"/>
      <c r="IHS128" s="139"/>
      <c r="IHT128" s="139"/>
      <c r="IHU128" s="139"/>
      <c r="IHV128" s="139"/>
      <c r="IHW128" s="139"/>
      <c r="IHX128" s="139"/>
      <c r="IHY128" s="139"/>
      <c r="IHZ128" s="139"/>
      <c r="IIA128" s="139"/>
      <c r="IIB128" s="139"/>
      <c r="IIC128" s="139"/>
      <c r="IID128" s="139"/>
      <c r="IIE128" s="139"/>
      <c r="IIF128" s="139"/>
      <c r="IIG128" s="139"/>
      <c r="IIH128" s="139"/>
      <c r="III128" s="139"/>
      <c r="IIJ128" s="139"/>
      <c r="IIK128" s="139"/>
      <c r="IIL128" s="139"/>
      <c r="IIM128" s="139"/>
      <c r="IIN128" s="139"/>
      <c r="IIO128" s="139"/>
      <c r="IIP128" s="139"/>
      <c r="IIQ128" s="139"/>
      <c r="IIR128" s="139"/>
      <c r="IIS128" s="139"/>
      <c r="IIT128" s="139"/>
      <c r="IIU128" s="139"/>
      <c r="IIV128" s="139"/>
      <c r="IIW128" s="139"/>
      <c r="IIX128" s="139"/>
      <c r="IIY128" s="139"/>
      <c r="IIZ128" s="139"/>
      <c r="IJA128" s="139"/>
      <c r="IJB128" s="139"/>
      <c r="IJC128" s="139"/>
      <c r="IJD128" s="139"/>
      <c r="IJE128" s="139"/>
      <c r="IJF128" s="139"/>
      <c r="IJG128" s="139"/>
      <c r="IJH128" s="139"/>
      <c r="IJI128" s="139"/>
      <c r="IJJ128" s="139"/>
      <c r="IJK128" s="139"/>
      <c r="IJL128" s="139"/>
      <c r="IJM128" s="139"/>
      <c r="IJN128" s="139"/>
      <c r="IJO128" s="139"/>
      <c r="IJP128" s="139"/>
      <c r="IJQ128" s="139"/>
      <c r="IJR128" s="139"/>
      <c r="IJS128" s="139"/>
      <c r="IJT128" s="139"/>
      <c r="IJU128" s="139"/>
      <c r="IJV128" s="139"/>
      <c r="IJW128" s="139"/>
      <c r="IJX128" s="139"/>
      <c r="IJY128" s="139"/>
      <c r="IJZ128" s="139"/>
      <c r="IKA128" s="139"/>
      <c r="IKB128" s="139"/>
      <c r="IKC128" s="139"/>
      <c r="IKD128" s="139"/>
      <c r="IKE128" s="139"/>
      <c r="IKF128" s="139"/>
      <c r="IKG128" s="139"/>
      <c r="IKH128" s="139"/>
      <c r="IKI128" s="139"/>
      <c r="IKJ128" s="139"/>
      <c r="IKK128" s="139"/>
      <c r="IKL128" s="139"/>
      <c r="IKM128" s="139"/>
      <c r="IKN128" s="139"/>
      <c r="IKO128" s="139"/>
      <c r="IKP128" s="139"/>
      <c r="IKQ128" s="139"/>
      <c r="IKR128" s="139"/>
      <c r="IKS128" s="139"/>
      <c r="IKT128" s="139"/>
      <c r="IKU128" s="139"/>
      <c r="IKV128" s="139"/>
      <c r="IKW128" s="139"/>
      <c r="IKX128" s="139"/>
      <c r="IKY128" s="139"/>
      <c r="IKZ128" s="139"/>
      <c r="ILA128" s="139"/>
      <c r="ILB128" s="139"/>
      <c r="ILC128" s="139"/>
      <c r="ILD128" s="139"/>
      <c r="ILE128" s="139"/>
      <c r="ILF128" s="139"/>
      <c r="ILG128" s="139"/>
      <c r="ILH128" s="139"/>
      <c r="ILI128" s="139"/>
      <c r="ILJ128" s="139"/>
      <c r="ILK128" s="139"/>
      <c r="ILL128" s="139"/>
      <c r="ILM128" s="139"/>
      <c r="ILN128" s="139"/>
      <c r="ILO128" s="139"/>
      <c r="ILP128" s="139"/>
      <c r="ILQ128" s="139"/>
      <c r="ILR128" s="139"/>
      <c r="ILS128" s="139"/>
      <c r="ILT128" s="139"/>
      <c r="ILU128" s="139"/>
      <c r="ILV128" s="139"/>
      <c r="ILW128" s="139"/>
      <c r="ILX128" s="139"/>
      <c r="ILY128" s="139"/>
      <c r="ILZ128" s="139"/>
      <c r="IMA128" s="139"/>
      <c r="IMB128" s="139"/>
      <c r="IMC128" s="139"/>
      <c r="IMD128" s="139"/>
      <c r="IME128" s="139"/>
      <c r="IMF128" s="139"/>
      <c r="IMG128" s="139"/>
      <c r="IMH128" s="139"/>
      <c r="IMI128" s="139"/>
      <c r="IMJ128" s="139"/>
      <c r="IMK128" s="139"/>
      <c r="IML128" s="139"/>
      <c r="IMM128" s="139"/>
      <c r="IMN128" s="139"/>
      <c r="IMO128" s="139"/>
      <c r="IMP128" s="139"/>
      <c r="IMQ128" s="139"/>
      <c r="IMR128" s="139"/>
      <c r="IMS128" s="139"/>
      <c r="IMT128" s="139"/>
      <c r="IMU128" s="139"/>
      <c r="IMV128" s="139"/>
      <c r="IMW128" s="139"/>
      <c r="IMX128" s="139"/>
      <c r="IMY128" s="139"/>
      <c r="IMZ128" s="139"/>
      <c r="INA128" s="139"/>
      <c r="INB128" s="139"/>
      <c r="INC128" s="139"/>
      <c r="IND128" s="139"/>
      <c r="INE128" s="139"/>
      <c r="INF128" s="139"/>
      <c r="ING128" s="139"/>
      <c r="INH128" s="139"/>
      <c r="INI128" s="139"/>
      <c r="INJ128" s="139"/>
      <c r="INK128" s="139"/>
      <c r="INL128" s="139"/>
      <c r="INM128" s="139"/>
      <c r="INN128" s="139"/>
      <c r="INO128" s="139"/>
      <c r="INP128" s="139"/>
      <c r="INQ128" s="139"/>
      <c r="INR128" s="139"/>
      <c r="INS128" s="139"/>
      <c r="INT128" s="139"/>
      <c r="INU128" s="139"/>
      <c r="INV128" s="139"/>
      <c r="INW128" s="139"/>
      <c r="INX128" s="139"/>
      <c r="INY128" s="139"/>
      <c r="INZ128" s="139"/>
      <c r="IOA128" s="139"/>
      <c r="IOB128" s="139"/>
      <c r="IOC128" s="139"/>
      <c r="IOD128" s="139"/>
      <c r="IOE128" s="139"/>
      <c r="IOF128" s="139"/>
      <c r="IOG128" s="139"/>
      <c r="IOH128" s="139"/>
      <c r="IOI128" s="139"/>
      <c r="IOJ128" s="139"/>
      <c r="IOK128" s="139"/>
      <c r="IOL128" s="139"/>
      <c r="IOM128" s="139"/>
      <c r="ION128" s="139"/>
      <c r="IOO128" s="139"/>
      <c r="IOP128" s="139"/>
      <c r="IOQ128" s="139"/>
      <c r="IOR128" s="139"/>
      <c r="IOS128" s="139"/>
      <c r="IOT128" s="139"/>
      <c r="IOU128" s="139"/>
      <c r="IOV128" s="139"/>
      <c r="IOW128" s="139"/>
      <c r="IOX128" s="139"/>
      <c r="IOY128" s="139"/>
      <c r="IOZ128" s="139"/>
      <c r="IPA128" s="139"/>
      <c r="IPB128" s="139"/>
      <c r="IPC128" s="139"/>
      <c r="IPD128" s="139"/>
      <c r="IPE128" s="139"/>
      <c r="IPF128" s="139"/>
      <c r="IPG128" s="139"/>
      <c r="IPH128" s="139"/>
      <c r="IPI128" s="139"/>
      <c r="IPJ128" s="139"/>
      <c r="IPK128" s="139"/>
      <c r="IPL128" s="139"/>
      <c r="IPM128" s="139"/>
      <c r="IPN128" s="139"/>
      <c r="IPO128" s="139"/>
      <c r="IPP128" s="139"/>
      <c r="IPQ128" s="139"/>
      <c r="IPR128" s="139"/>
      <c r="IPS128" s="139"/>
      <c r="IPT128" s="139"/>
      <c r="IPU128" s="139"/>
      <c r="IPV128" s="139"/>
      <c r="IPW128" s="139"/>
      <c r="IPX128" s="139"/>
      <c r="IPY128" s="139"/>
      <c r="IPZ128" s="139"/>
      <c r="IQA128" s="139"/>
      <c r="IQB128" s="139"/>
      <c r="IQC128" s="139"/>
      <c r="IQD128" s="139"/>
      <c r="IQE128" s="139"/>
      <c r="IQF128" s="139"/>
      <c r="IQG128" s="139"/>
      <c r="IQH128" s="139"/>
      <c r="IQI128" s="139"/>
      <c r="IQJ128" s="139"/>
      <c r="IQK128" s="139"/>
      <c r="IQL128" s="139"/>
      <c r="IQM128" s="139"/>
      <c r="IQN128" s="139"/>
      <c r="IQO128" s="139"/>
      <c r="IQP128" s="139"/>
      <c r="IQQ128" s="139"/>
      <c r="IQR128" s="139"/>
      <c r="IQS128" s="139"/>
      <c r="IQT128" s="139"/>
      <c r="IQU128" s="139"/>
      <c r="IQV128" s="139"/>
      <c r="IQW128" s="139"/>
      <c r="IQX128" s="139"/>
      <c r="IQY128" s="139"/>
      <c r="IQZ128" s="139"/>
      <c r="IRA128" s="139"/>
      <c r="IRB128" s="139"/>
      <c r="IRC128" s="139"/>
      <c r="IRD128" s="139"/>
      <c r="IRE128" s="139"/>
      <c r="IRF128" s="139"/>
      <c r="IRG128" s="139"/>
      <c r="IRH128" s="139"/>
      <c r="IRI128" s="139"/>
      <c r="IRJ128" s="139"/>
      <c r="IRK128" s="139"/>
      <c r="IRL128" s="139"/>
      <c r="IRM128" s="139"/>
      <c r="IRN128" s="139"/>
      <c r="IRO128" s="139"/>
      <c r="IRP128" s="139"/>
      <c r="IRQ128" s="139"/>
      <c r="IRR128" s="139"/>
      <c r="IRS128" s="139"/>
      <c r="IRT128" s="139"/>
      <c r="IRU128" s="139"/>
      <c r="IRV128" s="139"/>
      <c r="IRW128" s="139"/>
      <c r="IRX128" s="139"/>
      <c r="IRY128" s="139"/>
      <c r="IRZ128" s="139"/>
      <c r="ISA128" s="139"/>
      <c r="ISB128" s="139"/>
      <c r="ISC128" s="139"/>
      <c r="ISD128" s="139"/>
      <c r="ISE128" s="139"/>
      <c r="ISF128" s="139"/>
      <c r="ISG128" s="139"/>
      <c r="ISH128" s="139"/>
      <c r="ISI128" s="139"/>
      <c r="ISJ128" s="139"/>
      <c r="ISK128" s="139"/>
      <c r="ISL128" s="139"/>
      <c r="ISM128" s="139"/>
      <c r="ISN128" s="139"/>
      <c r="ISO128" s="139"/>
      <c r="ISP128" s="139"/>
      <c r="ISQ128" s="139"/>
      <c r="ISR128" s="139"/>
      <c r="ISS128" s="139"/>
      <c r="IST128" s="139"/>
      <c r="ISU128" s="139"/>
      <c r="ISV128" s="139"/>
      <c r="ISW128" s="139"/>
      <c r="ISX128" s="139"/>
      <c r="ISY128" s="139"/>
      <c r="ISZ128" s="139"/>
      <c r="ITA128" s="139"/>
      <c r="ITB128" s="139"/>
      <c r="ITC128" s="139"/>
      <c r="ITD128" s="139"/>
      <c r="ITE128" s="139"/>
      <c r="ITF128" s="139"/>
      <c r="ITG128" s="139"/>
      <c r="ITH128" s="139"/>
      <c r="ITI128" s="139"/>
      <c r="ITJ128" s="139"/>
      <c r="ITK128" s="139"/>
      <c r="ITL128" s="139"/>
      <c r="ITM128" s="139"/>
      <c r="ITN128" s="139"/>
      <c r="ITO128" s="139"/>
      <c r="ITP128" s="139"/>
      <c r="ITQ128" s="139"/>
      <c r="ITR128" s="139"/>
      <c r="ITS128" s="139"/>
      <c r="ITT128" s="139"/>
      <c r="ITU128" s="139"/>
      <c r="ITV128" s="139"/>
      <c r="ITW128" s="139"/>
      <c r="ITX128" s="139"/>
      <c r="ITY128" s="139"/>
      <c r="ITZ128" s="139"/>
      <c r="IUA128" s="139"/>
      <c r="IUB128" s="139"/>
      <c r="IUC128" s="139"/>
      <c r="IUD128" s="139"/>
      <c r="IUE128" s="139"/>
      <c r="IUF128" s="139"/>
      <c r="IUG128" s="139"/>
      <c r="IUH128" s="139"/>
      <c r="IUI128" s="139"/>
      <c r="IUJ128" s="139"/>
      <c r="IUK128" s="139"/>
      <c r="IUL128" s="139"/>
      <c r="IUM128" s="139"/>
      <c r="IUN128" s="139"/>
      <c r="IUO128" s="139"/>
      <c r="IUP128" s="139"/>
      <c r="IUQ128" s="139"/>
      <c r="IUR128" s="139"/>
      <c r="IUS128" s="139"/>
      <c r="IUT128" s="139"/>
      <c r="IUU128" s="139"/>
      <c r="IUV128" s="139"/>
      <c r="IUW128" s="139"/>
      <c r="IUX128" s="139"/>
      <c r="IUY128" s="139"/>
      <c r="IUZ128" s="139"/>
      <c r="IVA128" s="139"/>
      <c r="IVB128" s="139"/>
      <c r="IVC128" s="139"/>
      <c r="IVD128" s="139"/>
      <c r="IVE128" s="139"/>
      <c r="IVF128" s="139"/>
      <c r="IVG128" s="139"/>
      <c r="IVH128" s="139"/>
      <c r="IVI128" s="139"/>
      <c r="IVJ128" s="139"/>
      <c r="IVK128" s="139"/>
      <c r="IVL128" s="139"/>
      <c r="IVM128" s="139"/>
      <c r="IVN128" s="139"/>
      <c r="IVO128" s="139"/>
      <c r="IVP128" s="139"/>
      <c r="IVQ128" s="139"/>
      <c r="IVR128" s="139"/>
      <c r="IVS128" s="139"/>
      <c r="IVT128" s="139"/>
      <c r="IVU128" s="139"/>
      <c r="IVV128" s="139"/>
      <c r="IVW128" s="139"/>
      <c r="IVX128" s="139"/>
      <c r="IVY128" s="139"/>
      <c r="IVZ128" s="139"/>
      <c r="IWA128" s="139"/>
      <c r="IWB128" s="139"/>
      <c r="IWC128" s="139"/>
      <c r="IWD128" s="139"/>
      <c r="IWE128" s="139"/>
      <c r="IWF128" s="139"/>
      <c r="IWG128" s="139"/>
      <c r="IWH128" s="139"/>
      <c r="IWI128" s="139"/>
      <c r="IWJ128" s="139"/>
      <c r="IWK128" s="139"/>
      <c r="IWL128" s="139"/>
      <c r="IWM128" s="139"/>
      <c r="IWN128" s="139"/>
      <c r="IWO128" s="139"/>
      <c r="IWP128" s="139"/>
      <c r="IWQ128" s="139"/>
      <c r="IWR128" s="139"/>
      <c r="IWS128" s="139"/>
      <c r="IWT128" s="139"/>
      <c r="IWU128" s="139"/>
      <c r="IWV128" s="139"/>
      <c r="IWW128" s="139"/>
      <c r="IWX128" s="139"/>
      <c r="IWY128" s="139"/>
      <c r="IWZ128" s="139"/>
      <c r="IXA128" s="139"/>
      <c r="IXB128" s="139"/>
      <c r="IXC128" s="139"/>
      <c r="IXD128" s="139"/>
      <c r="IXE128" s="139"/>
      <c r="IXF128" s="139"/>
      <c r="IXG128" s="139"/>
      <c r="IXH128" s="139"/>
      <c r="IXI128" s="139"/>
      <c r="IXJ128" s="139"/>
      <c r="IXK128" s="139"/>
      <c r="IXL128" s="139"/>
      <c r="IXM128" s="139"/>
      <c r="IXN128" s="139"/>
      <c r="IXO128" s="139"/>
      <c r="IXP128" s="139"/>
      <c r="IXQ128" s="139"/>
      <c r="IXR128" s="139"/>
      <c r="IXS128" s="139"/>
      <c r="IXT128" s="139"/>
      <c r="IXU128" s="139"/>
      <c r="IXV128" s="139"/>
      <c r="IXW128" s="139"/>
      <c r="IXX128" s="139"/>
      <c r="IXY128" s="139"/>
      <c r="IXZ128" s="139"/>
      <c r="IYA128" s="139"/>
      <c r="IYB128" s="139"/>
      <c r="IYC128" s="139"/>
      <c r="IYD128" s="139"/>
      <c r="IYE128" s="139"/>
      <c r="IYF128" s="139"/>
      <c r="IYG128" s="139"/>
      <c r="IYH128" s="139"/>
      <c r="IYI128" s="139"/>
      <c r="IYJ128" s="139"/>
      <c r="IYK128" s="139"/>
      <c r="IYL128" s="139"/>
      <c r="IYM128" s="139"/>
      <c r="IYN128" s="139"/>
      <c r="IYO128" s="139"/>
      <c r="IYP128" s="139"/>
      <c r="IYQ128" s="139"/>
      <c r="IYR128" s="139"/>
      <c r="IYS128" s="139"/>
      <c r="IYT128" s="139"/>
      <c r="IYU128" s="139"/>
      <c r="IYV128" s="139"/>
      <c r="IYW128" s="139"/>
      <c r="IYX128" s="139"/>
      <c r="IYY128" s="139"/>
      <c r="IYZ128" s="139"/>
      <c r="IZA128" s="139"/>
      <c r="IZB128" s="139"/>
      <c r="IZC128" s="139"/>
      <c r="IZD128" s="139"/>
      <c r="IZE128" s="139"/>
      <c r="IZF128" s="139"/>
      <c r="IZG128" s="139"/>
      <c r="IZH128" s="139"/>
      <c r="IZI128" s="139"/>
      <c r="IZJ128" s="139"/>
      <c r="IZK128" s="139"/>
      <c r="IZL128" s="139"/>
      <c r="IZM128" s="139"/>
      <c r="IZN128" s="139"/>
      <c r="IZO128" s="139"/>
      <c r="IZP128" s="139"/>
      <c r="IZQ128" s="139"/>
      <c r="IZR128" s="139"/>
      <c r="IZS128" s="139"/>
      <c r="IZT128" s="139"/>
      <c r="IZU128" s="139"/>
      <c r="IZV128" s="139"/>
      <c r="IZW128" s="139"/>
      <c r="IZX128" s="139"/>
      <c r="IZY128" s="139"/>
      <c r="IZZ128" s="139"/>
      <c r="JAA128" s="139"/>
      <c r="JAB128" s="139"/>
      <c r="JAC128" s="139"/>
      <c r="JAD128" s="139"/>
      <c r="JAE128" s="139"/>
      <c r="JAF128" s="139"/>
      <c r="JAG128" s="139"/>
      <c r="JAH128" s="139"/>
      <c r="JAI128" s="139"/>
      <c r="JAJ128" s="139"/>
      <c r="JAK128" s="139"/>
      <c r="JAL128" s="139"/>
      <c r="JAM128" s="139"/>
      <c r="JAN128" s="139"/>
      <c r="JAO128" s="139"/>
      <c r="JAP128" s="139"/>
      <c r="JAQ128" s="139"/>
      <c r="JAR128" s="139"/>
      <c r="JAS128" s="139"/>
      <c r="JAT128" s="139"/>
      <c r="JAU128" s="139"/>
      <c r="JAV128" s="139"/>
      <c r="JAW128" s="139"/>
      <c r="JAX128" s="139"/>
      <c r="JAY128" s="139"/>
      <c r="JAZ128" s="139"/>
      <c r="JBA128" s="139"/>
      <c r="JBB128" s="139"/>
      <c r="JBC128" s="139"/>
      <c r="JBD128" s="139"/>
      <c r="JBE128" s="139"/>
      <c r="JBF128" s="139"/>
      <c r="JBG128" s="139"/>
      <c r="JBH128" s="139"/>
      <c r="JBI128" s="139"/>
      <c r="JBJ128" s="139"/>
      <c r="JBK128" s="139"/>
      <c r="JBL128" s="139"/>
      <c r="JBM128" s="139"/>
      <c r="JBN128" s="139"/>
      <c r="JBO128" s="139"/>
      <c r="JBP128" s="139"/>
      <c r="JBQ128" s="139"/>
      <c r="JBR128" s="139"/>
      <c r="JBS128" s="139"/>
      <c r="JBT128" s="139"/>
      <c r="JBU128" s="139"/>
      <c r="JBV128" s="139"/>
      <c r="JBW128" s="139"/>
      <c r="JBX128" s="139"/>
      <c r="JBY128" s="139"/>
      <c r="JBZ128" s="139"/>
      <c r="JCA128" s="139"/>
      <c r="JCB128" s="139"/>
      <c r="JCC128" s="139"/>
      <c r="JCD128" s="139"/>
      <c r="JCE128" s="139"/>
      <c r="JCF128" s="139"/>
      <c r="JCG128" s="139"/>
      <c r="JCH128" s="139"/>
      <c r="JCI128" s="139"/>
      <c r="JCJ128" s="139"/>
      <c r="JCK128" s="139"/>
      <c r="JCL128" s="139"/>
      <c r="JCM128" s="139"/>
      <c r="JCN128" s="139"/>
      <c r="JCO128" s="139"/>
      <c r="JCP128" s="139"/>
      <c r="JCQ128" s="139"/>
      <c r="JCR128" s="139"/>
      <c r="JCS128" s="139"/>
      <c r="JCT128" s="139"/>
      <c r="JCU128" s="139"/>
      <c r="JCV128" s="139"/>
      <c r="JCW128" s="139"/>
      <c r="JCX128" s="139"/>
      <c r="JCY128" s="139"/>
      <c r="JCZ128" s="139"/>
      <c r="JDA128" s="139"/>
      <c r="JDB128" s="139"/>
      <c r="JDC128" s="139"/>
      <c r="JDD128" s="139"/>
      <c r="JDE128" s="139"/>
      <c r="JDF128" s="139"/>
      <c r="JDG128" s="139"/>
      <c r="JDH128" s="139"/>
      <c r="JDI128" s="139"/>
      <c r="JDJ128" s="139"/>
      <c r="JDK128" s="139"/>
      <c r="JDL128" s="139"/>
      <c r="JDM128" s="139"/>
      <c r="JDN128" s="139"/>
      <c r="JDO128" s="139"/>
      <c r="JDP128" s="139"/>
      <c r="JDQ128" s="139"/>
      <c r="JDR128" s="139"/>
      <c r="JDS128" s="139"/>
      <c r="JDT128" s="139"/>
      <c r="JDU128" s="139"/>
      <c r="JDV128" s="139"/>
      <c r="JDW128" s="139"/>
      <c r="JDX128" s="139"/>
      <c r="JDY128" s="139"/>
      <c r="JDZ128" s="139"/>
      <c r="JEA128" s="139"/>
      <c r="JEB128" s="139"/>
      <c r="JEC128" s="139"/>
      <c r="JED128" s="139"/>
      <c r="JEE128" s="139"/>
      <c r="JEF128" s="139"/>
      <c r="JEG128" s="139"/>
      <c r="JEH128" s="139"/>
      <c r="JEI128" s="139"/>
      <c r="JEJ128" s="139"/>
      <c r="JEK128" s="139"/>
      <c r="JEL128" s="139"/>
      <c r="JEM128" s="139"/>
      <c r="JEN128" s="139"/>
      <c r="JEO128" s="139"/>
      <c r="JEP128" s="139"/>
      <c r="JEQ128" s="139"/>
      <c r="JER128" s="139"/>
      <c r="JES128" s="139"/>
      <c r="JET128" s="139"/>
      <c r="JEU128" s="139"/>
      <c r="JEV128" s="139"/>
      <c r="JEW128" s="139"/>
      <c r="JEX128" s="139"/>
      <c r="JEY128" s="139"/>
      <c r="JEZ128" s="139"/>
      <c r="JFA128" s="139"/>
      <c r="JFB128" s="139"/>
      <c r="JFC128" s="139"/>
      <c r="JFD128" s="139"/>
      <c r="JFE128" s="139"/>
      <c r="JFF128" s="139"/>
      <c r="JFG128" s="139"/>
      <c r="JFH128" s="139"/>
      <c r="JFI128" s="139"/>
      <c r="JFJ128" s="139"/>
      <c r="JFK128" s="139"/>
      <c r="JFL128" s="139"/>
      <c r="JFM128" s="139"/>
      <c r="JFN128" s="139"/>
      <c r="JFO128" s="139"/>
      <c r="JFP128" s="139"/>
      <c r="JFQ128" s="139"/>
      <c r="JFR128" s="139"/>
      <c r="JFS128" s="139"/>
      <c r="JFT128" s="139"/>
      <c r="JFU128" s="139"/>
      <c r="JFV128" s="139"/>
      <c r="JFW128" s="139"/>
      <c r="JFX128" s="139"/>
      <c r="JFY128" s="139"/>
      <c r="JFZ128" s="139"/>
      <c r="JGA128" s="139"/>
      <c r="JGB128" s="139"/>
      <c r="JGC128" s="139"/>
      <c r="JGD128" s="139"/>
      <c r="JGE128" s="139"/>
      <c r="JGF128" s="139"/>
      <c r="JGG128" s="139"/>
      <c r="JGH128" s="139"/>
      <c r="JGI128" s="139"/>
      <c r="JGJ128" s="139"/>
      <c r="JGK128" s="139"/>
      <c r="JGL128" s="139"/>
      <c r="JGM128" s="139"/>
      <c r="JGN128" s="139"/>
      <c r="JGO128" s="139"/>
      <c r="JGP128" s="139"/>
      <c r="JGQ128" s="139"/>
      <c r="JGR128" s="139"/>
      <c r="JGS128" s="139"/>
      <c r="JGT128" s="139"/>
      <c r="JGU128" s="139"/>
      <c r="JGV128" s="139"/>
      <c r="JGW128" s="139"/>
      <c r="JGX128" s="139"/>
      <c r="JGY128" s="139"/>
      <c r="JGZ128" s="139"/>
      <c r="JHA128" s="139"/>
      <c r="JHB128" s="139"/>
      <c r="JHC128" s="139"/>
      <c r="JHD128" s="139"/>
      <c r="JHE128" s="139"/>
      <c r="JHF128" s="139"/>
      <c r="JHG128" s="139"/>
      <c r="JHH128" s="139"/>
      <c r="JHI128" s="139"/>
      <c r="JHJ128" s="139"/>
      <c r="JHK128" s="139"/>
      <c r="JHL128" s="139"/>
      <c r="JHM128" s="139"/>
      <c r="JHN128" s="139"/>
      <c r="JHO128" s="139"/>
      <c r="JHP128" s="139"/>
      <c r="JHQ128" s="139"/>
      <c r="JHR128" s="139"/>
      <c r="JHS128" s="139"/>
      <c r="JHT128" s="139"/>
      <c r="JHU128" s="139"/>
      <c r="JHV128" s="139"/>
      <c r="JHW128" s="139"/>
      <c r="JHX128" s="139"/>
      <c r="JHY128" s="139"/>
      <c r="JHZ128" s="139"/>
      <c r="JIA128" s="139"/>
      <c r="JIB128" s="139"/>
      <c r="JIC128" s="139"/>
      <c r="JID128" s="139"/>
      <c r="JIE128" s="139"/>
      <c r="JIF128" s="139"/>
      <c r="JIG128" s="139"/>
      <c r="JIH128" s="139"/>
      <c r="JII128" s="139"/>
      <c r="JIJ128" s="139"/>
      <c r="JIK128" s="139"/>
      <c r="JIL128" s="139"/>
      <c r="JIM128" s="139"/>
      <c r="JIN128" s="139"/>
      <c r="JIO128" s="139"/>
      <c r="JIP128" s="139"/>
      <c r="JIQ128" s="139"/>
      <c r="JIR128" s="139"/>
      <c r="JIS128" s="139"/>
      <c r="JIT128" s="139"/>
      <c r="JIU128" s="139"/>
      <c r="JIV128" s="139"/>
      <c r="JIW128" s="139"/>
      <c r="JIX128" s="139"/>
      <c r="JIY128" s="139"/>
      <c r="JIZ128" s="139"/>
      <c r="JJA128" s="139"/>
      <c r="JJB128" s="139"/>
      <c r="JJC128" s="139"/>
      <c r="JJD128" s="139"/>
      <c r="JJE128" s="139"/>
      <c r="JJF128" s="139"/>
      <c r="JJG128" s="139"/>
      <c r="JJH128" s="139"/>
      <c r="JJI128" s="139"/>
      <c r="JJJ128" s="139"/>
      <c r="JJK128" s="139"/>
      <c r="JJL128" s="139"/>
      <c r="JJM128" s="139"/>
      <c r="JJN128" s="139"/>
      <c r="JJO128" s="139"/>
      <c r="JJP128" s="139"/>
      <c r="JJQ128" s="139"/>
      <c r="JJR128" s="139"/>
      <c r="JJS128" s="139"/>
      <c r="JJT128" s="139"/>
      <c r="JJU128" s="139"/>
      <c r="JJV128" s="139"/>
      <c r="JJW128" s="139"/>
      <c r="JJX128" s="139"/>
      <c r="JJY128" s="139"/>
      <c r="JJZ128" s="139"/>
      <c r="JKA128" s="139"/>
      <c r="JKB128" s="139"/>
      <c r="JKC128" s="139"/>
      <c r="JKD128" s="139"/>
      <c r="JKE128" s="139"/>
      <c r="JKF128" s="139"/>
      <c r="JKG128" s="139"/>
      <c r="JKH128" s="139"/>
      <c r="JKI128" s="139"/>
      <c r="JKJ128" s="139"/>
      <c r="JKK128" s="139"/>
      <c r="JKL128" s="139"/>
      <c r="JKM128" s="139"/>
      <c r="JKN128" s="139"/>
      <c r="JKO128" s="139"/>
      <c r="JKP128" s="139"/>
      <c r="JKQ128" s="139"/>
      <c r="JKR128" s="139"/>
      <c r="JKS128" s="139"/>
      <c r="JKT128" s="139"/>
      <c r="JKU128" s="139"/>
      <c r="JKV128" s="139"/>
      <c r="JKW128" s="139"/>
      <c r="JKX128" s="139"/>
      <c r="JKY128" s="139"/>
      <c r="JKZ128" s="139"/>
      <c r="JLA128" s="139"/>
      <c r="JLB128" s="139"/>
      <c r="JLC128" s="139"/>
      <c r="JLD128" s="139"/>
      <c r="JLE128" s="139"/>
      <c r="JLF128" s="139"/>
      <c r="JLG128" s="139"/>
      <c r="JLH128" s="139"/>
      <c r="JLI128" s="139"/>
      <c r="JLJ128" s="139"/>
      <c r="JLK128" s="139"/>
      <c r="JLL128" s="139"/>
      <c r="JLM128" s="139"/>
      <c r="JLN128" s="139"/>
      <c r="JLO128" s="139"/>
      <c r="JLP128" s="139"/>
      <c r="JLQ128" s="139"/>
      <c r="JLR128" s="139"/>
      <c r="JLS128" s="139"/>
      <c r="JLT128" s="139"/>
      <c r="JLU128" s="139"/>
      <c r="JLV128" s="139"/>
      <c r="JLW128" s="139"/>
      <c r="JLX128" s="139"/>
      <c r="JLY128" s="139"/>
      <c r="JLZ128" s="139"/>
      <c r="JMA128" s="139"/>
      <c r="JMB128" s="139"/>
      <c r="JMC128" s="139"/>
      <c r="JMD128" s="139"/>
      <c r="JME128" s="139"/>
      <c r="JMF128" s="139"/>
      <c r="JMG128" s="139"/>
      <c r="JMH128" s="139"/>
      <c r="JMI128" s="139"/>
      <c r="JMJ128" s="139"/>
      <c r="JMK128" s="139"/>
      <c r="JML128" s="139"/>
      <c r="JMM128" s="139"/>
      <c r="JMN128" s="139"/>
      <c r="JMO128" s="139"/>
      <c r="JMP128" s="139"/>
      <c r="JMQ128" s="139"/>
      <c r="JMR128" s="139"/>
      <c r="JMS128" s="139"/>
      <c r="JMT128" s="139"/>
      <c r="JMU128" s="139"/>
      <c r="JMV128" s="139"/>
      <c r="JMW128" s="139"/>
      <c r="JMX128" s="139"/>
      <c r="JMY128" s="139"/>
      <c r="JMZ128" s="139"/>
      <c r="JNA128" s="139"/>
      <c r="JNB128" s="139"/>
      <c r="JNC128" s="139"/>
      <c r="JND128" s="139"/>
      <c r="JNE128" s="139"/>
      <c r="JNF128" s="139"/>
      <c r="JNG128" s="139"/>
      <c r="JNH128" s="139"/>
      <c r="JNI128" s="139"/>
      <c r="JNJ128" s="139"/>
      <c r="JNK128" s="139"/>
      <c r="JNL128" s="139"/>
      <c r="JNM128" s="139"/>
      <c r="JNN128" s="139"/>
      <c r="JNO128" s="139"/>
      <c r="JNP128" s="139"/>
      <c r="JNQ128" s="139"/>
      <c r="JNR128" s="139"/>
      <c r="JNS128" s="139"/>
      <c r="JNT128" s="139"/>
      <c r="JNU128" s="139"/>
      <c r="JNV128" s="139"/>
      <c r="JNW128" s="139"/>
      <c r="JNX128" s="139"/>
      <c r="JNY128" s="139"/>
      <c r="JNZ128" s="139"/>
      <c r="JOA128" s="139"/>
      <c r="JOB128" s="139"/>
      <c r="JOC128" s="139"/>
      <c r="JOD128" s="139"/>
      <c r="JOE128" s="139"/>
      <c r="JOF128" s="139"/>
      <c r="JOG128" s="139"/>
      <c r="JOH128" s="139"/>
      <c r="JOI128" s="139"/>
      <c r="JOJ128" s="139"/>
      <c r="JOK128" s="139"/>
      <c r="JOL128" s="139"/>
      <c r="JOM128" s="139"/>
      <c r="JON128" s="139"/>
      <c r="JOO128" s="139"/>
      <c r="JOP128" s="139"/>
      <c r="JOQ128" s="139"/>
      <c r="JOR128" s="139"/>
      <c r="JOS128" s="139"/>
      <c r="JOT128" s="139"/>
      <c r="JOU128" s="139"/>
      <c r="JOV128" s="139"/>
      <c r="JOW128" s="139"/>
      <c r="JOX128" s="139"/>
      <c r="JOY128" s="139"/>
      <c r="JOZ128" s="139"/>
      <c r="JPA128" s="139"/>
      <c r="JPB128" s="139"/>
      <c r="JPC128" s="139"/>
      <c r="JPD128" s="139"/>
      <c r="JPE128" s="139"/>
      <c r="JPF128" s="139"/>
      <c r="JPG128" s="139"/>
      <c r="JPH128" s="139"/>
      <c r="JPI128" s="139"/>
      <c r="JPJ128" s="139"/>
      <c r="JPK128" s="139"/>
      <c r="JPL128" s="139"/>
      <c r="JPM128" s="139"/>
      <c r="JPN128" s="139"/>
      <c r="JPO128" s="139"/>
      <c r="JPP128" s="139"/>
      <c r="JPQ128" s="139"/>
      <c r="JPR128" s="139"/>
      <c r="JPS128" s="139"/>
      <c r="JPT128" s="139"/>
      <c r="JPU128" s="139"/>
      <c r="JPV128" s="139"/>
      <c r="JPW128" s="139"/>
      <c r="JPX128" s="139"/>
      <c r="JPY128" s="139"/>
      <c r="JPZ128" s="139"/>
      <c r="JQA128" s="139"/>
      <c r="JQB128" s="139"/>
      <c r="JQC128" s="139"/>
      <c r="JQD128" s="139"/>
      <c r="JQE128" s="139"/>
      <c r="JQF128" s="139"/>
      <c r="JQG128" s="139"/>
      <c r="JQH128" s="139"/>
      <c r="JQI128" s="139"/>
      <c r="JQJ128" s="139"/>
      <c r="JQK128" s="139"/>
      <c r="JQL128" s="139"/>
      <c r="JQM128" s="139"/>
      <c r="JQN128" s="139"/>
      <c r="JQO128" s="139"/>
      <c r="JQP128" s="139"/>
      <c r="JQQ128" s="139"/>
      <c r="JQR128" s="139"/>
      <c r="JQS128" s="139"/>
      <c r="JQT128" s="139"/>
      <c r="JQU128" s="139"/>
      <c r="JQV128" s="139"/>
      <c r="JQW128" s="139"/>
      <c r="JQX128" s="139"/>
      <c r="JQY128" s="139"/>
      <c r="JQZ128" s="139"/>
      <c r="JRA128" s="139"/>
      <c r="JRB128" s="139"/>
      <c r="JRC128" s="139"/>
      <c r="JRD128" s="139"/>
      <c r="JRE128" s="139"/>
      <c r="JRF128" s="139"/>
      <c r="JRG128" s="139"/>
      <c r="JRH128" s="139"/>
      <c r="JRI128" s="139"/>
      <c r="JRJ128" s="139"/>
      <c r="JRK128" s="139"/>
      <c r="JRL128" s="139"/>
      <c r="JRM128" s="139"/>
      <c r="JRN128" s="139"/>
      <c r="JRO128" s="139"/>
      <c r="JRP128" s="139"/>
      <c r="JRQ128" s="139"/>
      <c r="JRR128" s="139"/>
      <c r="JRS128" s="139"/>
      <c r="JRT128" s="139"/>
      <c r="JRU128" s="139"/>
      <c r="JRV128" s="139"/>
      <c r="JRW128" s="139"/>
      <c r="JRX128" s="139"/>
      <c r="JRY128" s="139"/>
      <c r="JRZ128" s="139"/>
      <c r="JSA128" s="139"/>
      <c r="JSB128" s="139"/>
      <c r="JSC128" s="139"/>
      <c r="JSD128" s="139"/>
      <c r="JSE128" s="139"/>
      <c r="JSF128" s="139"/>
      <c r="JSG128" s="139"/>
      <c r="JSH128" s="139"/>
      <c r="JSI128" s="139"/>
      <c r="JSJ128" s="139"/>
      <c r="JSK128" s="139"/>
      <c r="JSL128" s="139"/>
      <c r="JSM128" s="139"/>
      <c r="JSN128" s="139"/>
      <c r="JSO128" s="139"/>
      <c r="JSP128" s="139"/>
      <c r="JSQ128" s="139"/>
      <c r="JSR128" s="139"/>
      <c r="JSS128" s="139"/>
      <c r="JST128" s="139"/>
      <c r="JSU128" s="139"/>
      <c r="JSV128" s="139"/>
      <c r="JSW128" s="139"/>
      <c r="JSX128" s="139"/>
      <c r="JSY128" s="139"/>
      <c r="JSZ128" s="139"/>
      <c r="JTA128" s="139"/>
      <c r="JTB128" s="139"/>
      <c r="JTC128" s="139"/>
      <c r="JTD128" s="139"/>
      <c r="JTE128" s="139"/>
      <c r="JTF128" s="139"/>
      <c r="JTG128" s="139"/>
      <c r="JTH128" s="139"/>
      <c r="JTI128" s="139"/>
      <c r="JTJ128" s="139"/>
      <c r="JTK128" s="139"/>
      <c r="JTL128" s="139"/>
      <c r="JTM128" s="139"/>
      <c r="JTN128" s="139"/>
      <c r="JTO128" s="139"/>
      <c r="JTP128" s="139"/>
      <c r="JTQ128" s="139"/>
      <c r="JTR128" s="139"/>
      <c r="JTS128" s="139"/>
      <c r="JTT128" s="139"/>
      <c r="JTU128" s="139"/>
      <c r="JTV128" s="139"/>
      <c r="JTW128" s="139"/>
      <c r="JTX128" s="139"/>
      <c r="JTY128" s="139"/>
      <c r="JTZ128" s="139"/>
      <c r="JUA128" s="139"/>
      <c r="JUB128" s="139"/>
      <c r="JUC128" s="139"/>
      <c r="JUD128" s="139"/>
      <c r="JUE128" s="139"/>
      <c r="JUF128" s="139"/>
      <c r="JUG128" s="139"/>
      <c r="JUH128" s="139"/>
      <c r="JUI128" s="139"/>
      <c r="JUJ128" s="139"/>
      <c r="JUK128" s="139"/>
      <c r="JUL128" s="139"/>
      <c r="JUM128" s="139"/>
      <c r="JUN128" s="139"/>
      <c r="JUO128" s="139"/>
      <c r="JUP128" s="139"/>
      <c r="JUQ128" s="139"/>
      <c r="JUR128" s="139"/>
      <c r="JUS128" s="139"/>
      <c r="JUT128" s="139"/>
      <c r="JUU128" s="139"/>
      <c r="JUV128" s="139"/>
      <c r="JUW128" s="139"/>
      <c r="JUX128" s="139"/>
      <c r="JUY128" s="139"/>
      <c r="JUZ128" s="139"/>
      <c r="JVA128" s="139"/>
      <c r="JVB128" s="139"/>
      <c r="JVC128" s="139"/>
      <c r="JVD128" s="139"/>
      <c r="JVE128" s="139"/>
      <c r="JVF128" s="139"/>
      <c r="JVG128" s="139"/>
      <c r="JVH128" s="139"/>
      <c r="JVI128" s="139"/>
      <c r="JVJ128" s="139"/>
      <c r="JVK128" s="139"/>
      <c r="JVL128" s="139"/>
      <c r="JVM128" s="139"/>
      <c r="JVN128" s="139"/>
      <c r="JVO128" s="139"/>
      <c r="JVP128" s="139"/>
      <c r="JVQ128" s="139"/>
      <c r="JVR128" s="139"/>
      <c r="JVS128" s="139"/>
      <c r="JVT128" s="139"/>
      <c r="JVU128" s="139"/>
      <c r="JVV128" s="139"/>
      <c r="JVW128" s="139"/>
      <c r="JVX128" s="139"/>
      <c r="JVY128" s="139"/>
      <c r="JVZ128" s="139"/>
      <c r="JWA128" s="139"/>
      <c r="JWB128" s="139"/>
      <c r="JWC128" s="139"/>
      <c r="JWD128" s="139"/>
      <c r="JWE128" s="139"/>
      <c r="JWF128" s="139"/>
      <c r="JWG128" s="139"/>
      <c r="JWH128" s="139"/>
      <c r="JWI128" s="139"/>
      <c r="JWJ128" s="139"/>
      <c r="JWK128" s="139"/>
      <c r="JWL128" s="139"/>
      <c r="JWM128" s="139"/>
      <c r="JWN128" s="139"/>
      <c r="JWO128" s="139"/>
      <c r="JWP128" s="139"/>
      <c r="JWQ128" s="139"/>
      <c r="JWR128" s="139"/>
      <c r="JWS128" s="139"/>
      <c r="JWT128" s="139"/>
      <c r="JWU128" s="139"/>
      <c r="JWV128" s="139"/>
      <c r="JWW128" s="139"/>
      <c r="JWX128" s="139"/>
      <c r="JWY128" s="139"/>
      <c r="JWZ128" s="139"/>
      <c r="JXA128" s="139"/>
      <c r="JXB128" s="139"/>
      <c r="JXC128" s="139"/>
      <c r="JXD128" s="139"/>
      <c r="JXE128" s="139"/>
      <c r="JXF128" s="139"/>
      <c r="JXG128" s="139"/>
      <c r="JXH128" s="139"/>
      <c r="JXI128" s="139"/>
      <c r="JXJ128" s="139"/>
      <c r="JXK128" s="139"/>
      <c r="JXL128" s="139"/>
      <c r="JXM128" s="139"/>
      <c r="JXN128" s="139"/>
      <c r="JXO128" s="139"/>
      <c r="JXP128" s="139"/>
      <c r="JXQ128" s="139"/>
      <c r="JXR128" s="139"/>
      <c r="JXS128" s="139"/>
      <c r="JXT128" s="139"/>
      <c r="JXU128" s="139"/>
      <c r="JXV128" s="139"/>
      <c r="JXW128" s="139"/>
      <c r="JXX128" s="139"/>
      <c r="JXY128" s="139"/>
      <c r="JXZ128" s="139"/>
      <c r="JYA128" s="139"/>
      <c r="JYB128" s="139"/>
      <c r="JYC128" s="139"/>
      <c r="JYD128" s="139"/>
      <c r="JYE128" s="139"/>
      <c r="JYF128" s="139"/>
      <c r="JYG128" s="139"/>
      <c r="JYH128" s="139"/>
      <c r="JYI128" s="139"/>
      <c r="JYJ128" s="139"/>
      <c r="JYK128" s="139"/>
      <c r="JYL128" s="139"/>
      <c r="JYM128" s="139"/>
      <c r="JYN128" s="139"/>
      <c r="JYO128" s="139"/>
      <c r="JYP128" s="139"/>
      <c r="JYQ128" s="139"/>
      <c r="JYR128" s="139"/>
      <c r="JYS128" s="139"/>
      <c r="JYT128" s="139"/>
      <c r="JYU128" s="139"/>
      <c r="JYV128" s="139"/>
      <c r="JYW128" s="139"/>
      <c r="JYX128" s="139"/>
      <c r="JYY128" s="139"/>
      <c r="JYZ128" s="139"/>
      <c r="JZA128" s="139"/>
      <c r="JZB128" s="139"/>
      <c r="JZC128" s="139"/>
      <c r="JZD128" s="139"/>
      <c r="JZE128" s="139"/>
      <c r="JZF128" s="139"/>
      <c r="JZG128" s="139"/>
      <c r="JZH128" s="139"/>
      <c r="JZI128" s="139"/>
      <c r="JZJ128" s="139"/>
      <c r="JZK128" s="139"/>
      <c r="JZL128" s="139"/>
      <c r="JZM128" s="139"/>
      <c r="JZN128" s="139"/>
      <c r="JZO128" s="139"/>
      <c r="JZP128" s="139"/>
      <c r="JZQ128" s="139"/>
      <c r="JZR128" s="139"/>
      <c r="JZS128" s="139"/>
      <c r="JZT128" s="139"/>
      <c r="JZU128" s="139"/>
      <c r="JZV128" s="139"/>
      <c r="JZW128" s="139"/>
      <c r="JZX128" s="139"/>
      <c r="JZY128" s="139"/>
      <c r="JZZ128" s="139"/>
      <c r="KAA128" s="139"/>
      <c r="KAB128" s="139"/>
      <c r="KAC128" s="139"/>
      <c r="KAD128" s="139"/>
      <c r="KAE128" s="139"/>
      <c r="KAF128" s="139"/>
      <c r="KAG128" s="139"/>
      <c r="KAH128" s="139"/>
      <c r="KAI128" s="139"/>
      <c r="KAJ128" s="139"/>
      <c r="KAK128" s="139"/>
      <c r="KAL128" s="139"/>
      <c r="KAM128" s="139"/>
      <c r="KAN128" s="139"/>
      <c r="KAO128" s="139"/>
      <c r="KAP128" s="139"/>
      <c r="KAQ128" s="139"/>
      <c r="KAR128" s="139"/>
      <c r="KAS128" s="139"/>
      <c r="KAT128" s="139"/>
      <c r="KAU128" s="139"/>
      <c r="KAV128" s="139"/>
      <c r="KAW128" s="139"/>
      <c r="KAX128" s="139"/>
      <c r="KAY128" s="139"/>
      <c r="KAZ128" s="139"/>
      <c r="KBA128" s="139"/>
      <c r="KBB128" s="139"/>
      <c r="KBC128" s="139"/>
      <c r="KBD128" s="139"/>
      <c r="KBE128" s="139"/>
      <c r="KBF128" s="139"/>
      <c r="KBG128" s="139"/>
      <c r="KBH128" s="139"/>
      <c r="KBI128" s="139"/>
      <c r="KBJ128" s="139"/>
      <c r="KBK128" s="139"/>
      <c r="KBL128" s="139"/>
      <c r="KBM128" s="139"/>
      <c r="KBN128" s="139"/>
      <c r="KBO128" s="139"/>
      <c r="KBP128" s="139"/>
      <c r="KBQ128" s="139"/>
      <c r="KBR128" s="139"/>
      <c r="KBS128" s="139"/>
      <c r="KBT128" s="139"/>
      <c r="KBU128" s="139"/>
      <c r="KBV128" s="139"/>
      <c r="KBW128" s="139"/>
      <c r="KBX128" s="139"/>
      <c r="KBY128" s="139"/>
      <c r="KBZ128" s="139"/>
      <c r="KCA128" s="139"/>
      <c r="KCB128" s="139"/>
      <c r="KCC128" s="139"/>
      <c r="KCD128" s="139"/>
      <c r="KCE128" s="139"/>
      <c r="KCF128" s="139"/>
      <c r="KCG128" s="139"/>
      <c r="KCH128" s="139"/>
      <c r="KCI128" s="139"/>
      <c r="KCJ128" s="139"/>
      <c r="KCK128" s="139"/>
      <c r="KCL128" s="139"/>
      <c r="KCM128" s="139"/>
      <c r="KCN128" s="139"/>
      <c r="KCO128" s="139"/>
      <c r="KCP128" s="139"/>
      <c r="KCQ128" s="139"/>
      <c r="KCR128" s="139"/>
      <c r="KCS128" s="139"/>
      <c r="KCT128" s="139"/>
      <c r="KCU128" s="139"/>
      <c r="KCV128" s="139"/>
      <c r="KCW128" s="139"/>
      <c r="KCX128" s="139"/>
      <c r="KCY128" s="139"/>
      <c r="KCZ128" s="139"/>
      <c r="KDA128" s="139"/>
      <c r="KDB128" s="139"/>
      <c r="KDC128" s="139"/>
      <c r="KDD128" s="139"/>
      <c r="KDE128" s="139"/>
      <c r="KDF128" s="139"/>
      <c r="KDG128" s="139"/>
      <c r="KDH128" s="139"/>
      <c r="KDI128" s="139"/>
      <c r="KDJ128" s="139"/>
      <c r="KDK128" s="139"/>
      <c r="KDL128" s="139"/>
      <c r="KDM128" s="139"/>
      <c r="KDN128" s="139"/>
      <c r="KDO128" s="139"/>
      <c r="KDP128" s="139"/>
      <c r="KDQ128" s="139"/>
      <c r="KDR128" s="139"/>
      <c r="KDS128" s="139"/>
      <c r="KDT128" s="139"/>
      <c r="KDU128" s="139"/>
      <c r="KDV128" s="139"/>
      <c r="KDW128" s="139"/>
      <c r="KDX128" s="139"/>
      <c r="KDY128" s="139"/>
      <c r="KDZ128" s="139"/>
      <c r="KEA128" s="139"/>
      <c r="KEB128" s="139"/>
      <c r="KEC128" s="139"/>
      <c r="KED128" s="139"/>
      <c r="KEE128" s="139"/>
      <c r="KEF128" s="139"/>
      <c r="KEG128" s="139"/>
      <c r="KEH128" s="139"/>
      <c r="KEI128" s="139"/>
      <c r="KEJ128" s="139"/>
      <c r="KEK128" s="139"/>
      <c r="KEL128" s="139"/>
      <c r="KEM128" s="139"/>
      <c r="KEN128" s="139"/>
      <c r="KEO128" s="139"/>
      <c r="KEP128" s="139"/>
      <c r="KEQ128" s="139"/>
      <c r="KER128" s="139"/>
      <c r="KES128" s="139"/>
      <c r="KET128" s="139"/>
      <c r="KEU128" s="139"/>
      <c r="KEV128" s="139"/>
      <c r="KEW128" s="139"/>
      <c r="KEX128" s="139"/>
      <c r="KEY128" s="139"/>
      <c r="KEZ128" s="139"/>
      <c r="KFA128" s="139"/>
      <c r="KFB128" s="139"/>
      <c r="KFC128" s="139"/>
      <c r="KFD128" s="139"/>
      <c r="KFE128" s="139"/>
      <c r="KFF128" s="139"/>
      <c r="KFG128" s="139"/>
      <c r="KFH128" s="139"/>
      <c r="KFI128" s="139"/>
      <c r="KFJ128" s="139"/>
      <c r="KFK128" s="139"/>
      <c r="KFL128" s="139"/>
      <c r="KFM128" s="139"/>
      <c r="KFN128" s="139"/>
      <c r="KFO128" s="139"/>
      <c r="KFP128" s="139"/>
      <c r="KFQ128" s="139"/>
      <c r="KFR128" s="139"/>
      <c r="KFS128" s="139"/>
      <c r="KFT128" s="139"/>
      <c r="KFU128" s="139"/>
      <c r="KFV128" s="139"/>
      <c r="KFW128" s="139"/>
      <c r="KFX128" s="139"/>
      <c r="KFY128" s="139"/>
      <c r="KFZ128" s="139"/>
      <c r="KGA128" s="139"/>
      <c r="KGB128" s="139"/>
      <c r="KGC128" s="139"/>
      <c r="KGD128" s="139"/>
      <c r="KGE128" s="139"/>
      <c r="KGF128" s="139"/>
      <c r="KGG128" s="139"/>
      <c r="KGH128" s="139"/>
      <c r="KGI128" s="139"/>
      <c r="KGJ128" s="139"/>
      <c r="KGK128" s="139"/>
      <c r="KGL128" s="139"/>
      <c r="KGM128" s="139"/>
      <c r="KGN128" s="139"/>
      <c r="KGO128" s="139"/>
      <c r="KGP128" s="139"/>
      <c r="KGQ128" s="139"/>
      <c r="KGR128" s="139"/>
      <c r="KGS128" s="139"/>
      <c r="KGT128" s="139"/>
      <c r="KGU128" s="139"/>
      <c r="KGV128" s="139"/>
      <c r="KGW128" s="139"/>
      <c r="KGX128" s="139"/>
      <c r="KGY128" s="139"/>
      <c r="KGZ128" s="139"/>
      <c r="KHA128" s="139"/>
      <c r="KHB128" s="139"/>
      <c r="KHC128" s="139"/>
      <c r="KHD128" s="139"/>
      <c r="KHE128" s="139"/>
      <c r="KHF128" s="139"/>
      <c r="KHG128" s="139"/>
      <c r="KHH128" s="139"/>
      <c r="KHI128" s="139"/>
      <c r="KHJ128" s="139"/>
      <c r="KHK128" s="139"/>
      <c r="KHL128" s="139"/>
      <c r="KHM128" s="139"/>
      <c r="KHN128" s="139"/>
      <c r="KHO128" s="139"/>
      <c r="KHP128" s="139"/>
      <c r="KHQ128" s="139"/>
      <c r="KHR128" s="139"/>
      <c r="KHS128" s="139"/>
      <c r="KHT128" s="139"/>
      <c r="KHU128" s="139"/>
      <c r="KHV128" s="139"/>
      <c r="KHW128" s="139"/>
      <c r="KHX128" s="139"/>
      <c r="KHY128" s="139"/>
      <c r="KHZ128" s="139"/>
      <c r="KIA128" s="139"/>
      <c r="KIB128" s="139"/>
      <c r="KIC128" s="139"/>
      <c r="KID128" s="139"/>
      <c r="KIE128" s="139"/>
      <c r="KIF128" s="139"/>
      <c r="KIG128" s="139"/>
      <c r="KIH128" s="139"/>
      <c r="KII128" s="139"/>
      <c r="KIJ128" s="139"/>
      <c r="KIK128" s="139"/>
      <c r="KIL128" s="139"/>
      <c r="KIM128" s="139"/>
      <c r="KIN128" s="139"/>
      <c r="KIO128" s="139"/>
      <c r="KIP128" s="139"/>
      <c r="KIQ128" s="139"/>
      <c r="KIR128" s="139"/>
      <c r="KIS128" s="139"/>
      <c r="KIT128" s="139"/>
      <c r="KIU128" s="139"/>
      <c r="KIV128" s="139"/>
      <c r="KIW128" s="139"/>
      <c r="KIX128" s="139"/>
      <c r="KIY128" s="139"/>
      <c r="KIZ128" s="139"/>
      <c r="KJA128" s="139"/>
      <c r="KJB128" s="139"/>
      <c r="KJC128" s="139"/>
      <c r="KJD128" s="139"/>
      <c r="KJE128" s="139"/>
      <c r="KJF128" s="139"/>
      <c r="KJG128" s="139"/>
      <c r="KJH128" s="139"/>
      <c r="KJI128" s="139"/>
      <c r="KJJ128" s="139"/>
      <c r="KJK128" s="139"/>
      <c r="KJL128" s="139"/>
      <c r="KJM128" s="139"/>
      <c r="KJN128" s="139"/>
      <c r="KJO128" s="139"/>
      <c r="KJP128" s="139"/>
      <c r="KJQ128" s="139"/>
      <c r="KJR128" s="139"/>
      <c r="KJS128" s="139"/>
      <c r="KJT128" s="139"/>
      <c r="KJU128" s="139"/>
      <c r="KJV128" s="139"/>
      <c r="KJW128" s="139"/>
      <c r="KJX128" s="139"/>
      <c r="KJY128" s="139"/>
      <c r="KJZ128" s="139"/>
      <c r="KKA128" s="139"/>
      <c r="KKB128" s="139"/>
      <c r="KKC128" s="139"/>
      <c r="KKD128" s="139"/>
      <c r="KKE128" s="139"/>
      <c r="KKF128" s="139"/>
      <c r="KKG128" s="139"/>
      <c r="KKH128" s="139"/>
      <c r="KKI128" s="139"/>
      <c r="KKJ128" s="139"/>
      <c r="KKK128" s="139"/>
      <c r="KKL128" s="139"/>
      <c r="KKM128" s="139"/>
      <c r="KKN128" s="139"/>
      <c r="KKO128" s="139"/>
      <c r="KKP128" s="139"/>
      <c r="KKQ128" s="139"/>
      <c r="KKR128" s="139"/>
      <c r="KKS128" s="139"/>
      <c r="KKT128" s="139"/>
      <c r="KKU128" s="139"/>
      <c r="KKV128" s="139"/>
      <c r="KKW128" s="139"/>
      <c r="KKX128" s="139"/>
      <c r="KKY128" s="139"/>
      <c r="KKZ128" s="139"/>
      <c r="KLA128" s="139"/>
      <c r="KLB128" s="139"/>
      <c r="KLC128" s="139"/>
      <c r="KLD128" s="139"/>
      <c r="KLE128" s="139"/>
      <c r="KLF128" s="139"/>
      <c r="KLG128" s="139"/>
      <c r="KLH128" s="139"/>
      <c r="KLI128" s="139"/>
      <c r="KLJ128" s="139"/>
      <c r="KLK128" s="139"/>
      <c r="KLL128" s="139"/>
      <c r="KLM128" s="139"/>
      <c r="KLN128" s="139"/>
      <c r="KLO128" s="139"/>
      <c r="KLP128" s="139"/>
      <c r="KLQ128" s="139"/>
      <c r="KLR128" s="139"/>
      <c r="KLS128" s="139"/>
      <c r="KLT128" s="139"/>
      <c r="KLU128" s="139"/>
      <c r="KLV128" s="139"/>
      <c r="KLW128" s="139"/>
      <c r="KLX128" s="139"/>
      <c r="KLY128" s="139"/>
      <c r="KLZ128" s="139"/>
      <c r="KMA128" s="139"/>
      <c r="KMB128" s="139"/>
      <c r="KMC128" s="139"/>
      <c r="KMD128" s="139"/>
      <c r="KME128" s="139"/>
      <c r="KMF128" s="139"/>
      <c r="KMG128" s="139"/>
      <c r="KMH128" s="139"/>
      <c r="KMI128" s="139"/>
      <c r="KMJ128" s="139"/>
      <c r="KMK128" s="139"/>
      <c r="KML128" s="139"/>
      <c r="KMM128" s="139"/>
      <c r="KMN128" s="139"/>
      <c r="KMO128" s="139"/>
      <c r="KMP128" s="139"/>
      <c r="KMQ128" s="139"/>
      <c r="KMR128" s="139"/>
      <c r="KMS128" s="139"/>
      <c r="KMT128" s="139"/>
      <c r="KMU128" s="139"/>
      <c r="KMV128" s="139"/>
      <c r="KMW128" s="139"/>
      <c r="KMX128" s="139"/>
      <c r="KMY128" s="139"/>
      <c r="KMZ128" s="139"/>
      <c r="KNA128" s="139"/>
      <c r="KNB128" s="139"/>
      <c r="KNC128" s="139"/>
      <c r="KND128" s="139"/>
      <c r="KNE128" s="139"/>
      <c r="KNF128" s="139"/>
      <c r="KNG128" s="139"/>
      <c r="KNH128" s="139"/>
      <c r="KNI128" s="139"/>
      <c r="KNJ128" s="139"/>
      <c r="KNK128" s="139"/>
      <c r="KNL128" s="139"/>
      <c r="KNM128" s="139"/>
      <c r="KNN128" s="139"/>
      <c r="KNO128" s="139"/>
      <c r="KNP128" s="139"/>
      <c r="KNQ128" s="139"/>
      <c r="KNR128" s="139"/>
      <c r="KNS128" s="139"/>
      <c r="KNT128" s="139"/>
      <c r="KNU128" s="139"/>
      <c r="KNV128" s="139"/>
      <c r="KNW128" s="139"/>
      <c r="KNX128" s="139"/>
      <c r="KNY128" s="139"/>
      <c r="KNZ128" s="139"/>
      <c r="KOA128" s="139"/>
      <c r="KOB128" s="139"/>
      <c r="KOC128" s="139"/>
      <c r="KOD128" s="139"/>
      <c r="KOE128" s="139"/>
      <c r="KOF128" s="139"/>
      <c r="KOG128" s="139"/>
      <c r="KOH128" s="139"/>
      <c r="KOI128" s="139"/>
      <c r="KOJ128" s="139"/>
      <c r="KOK128" s="139"/>
      <c r="KOL128" s="139"/>
      <c r="KOM128" s="139"/>
      <c r="KON128" s="139"/>
      <c r="KOO128" s="139"/>
      <c r="KOP128" s="139"/>
      <c r="KOQ128" s="139"/>
      <c r="KOR128" s="139"/>
      <c r="KOS128" s="139"/>
      <c r="KOT128" s="139"/>
      <c r="KOU128" s="139"/>
      <c r="KOV128" s="139"/>
      <c r="KOW128" s="139"/>
      <c r="KOX128" s="139"/>
      <c r="KOY128" s="139"/>
      <c r="KOZ128" s="139"/>
      <c r="KPA128" s="139"/>
      <c r="KPB128" s="139"/>
      <c r="KPC128" s="139"/>
      <c r="KPD128" s="139"/>
      <c r="KPE128" s="139"/>
      <c r="KPF128" s="139"/>
      <c r="KPG128" s="139"/>
      <c r="KPH128" s="139"/>
      <c r="KPI128" s="139"/>
      <c r="KPJ128" s="139"/>
      <c r="KPK128" s="139"/>
      <c r="KPL128" s="139"/>
      <c r="KPM128" s="139"/>
      <c r="KPN128" s="139"/>
      <c r="KPO128" s="139"/>
      <c r="KPP128" s="139"/>
      <c r="KPQ128" s="139"/>
      <c r="KPR128" s="139"/>
      <c r="KPS128" s="139"/>
      <c r="KPT128" s="139"/>
      <c r="KPU128" s="139"/>
      <c r="KPV128" s="139"/>
      <c r="KPW128" s="139"/>
      <c r="KPX128" s="139"/>
      <c r="KPY128" s="139"/>
      <c r="KPZ128" s="139"/>
      <c r="KQA128" s="139"/>
      <c r="KQB128" s="139"/>
      <c r="KQC128" s="139"/>
      <c r="KQD128" s="139"/>
      <c r="KQE128" s="139"/>
      <c r="KQF128" s="139"/>
      <c r="KQG128" s="139"/>
      <c r="KQH128" s="139"/>
      <c r="KQI128" s="139"/>
      <c r="KQJ128" s="139"/>
      <c r="KQK128" s="139"/>
      <c r="KQL128" s="139"/>
      <c r="KQM128" s="139"/>
      <c r="KQN128" s="139"/>
      <c r="KQO128" s="139"/>
      <c r="KQP128" s="139"/>
      <c r="KQQ128" s="139"/>
      <c r="KQR128" s="139"/>
      <c r="KQS128" s="139"/>
      <c r="KQT128" s="139"/>
      <c r="KQU128" s="139"/>
      <c r="KQV128" s="139"/>
      <c r="KQW128" s="139"/>
      <c r="KQX128" s="139"/>
      <c r="KQY128" s="139"/>
      <c r="KQZ128" s="139"/>
      <c r="KRA128" s="139"/>
      <c r="KRB128" s="139"/>
      <c r="KRC128" s="139"/>
      <c r="KRD128" s="139"/>
      <c r="KRE128" s="139"/>
      <c r="KRF128" s="139"/>
      <c r="KRG128" s="139"/>
      <c r="KRH128" s="139"/>
      <c r="KRI128" s="139"/>
      <c r="KRJ128" s="139"/>
      <c r="KRK128" s="139"/>
      <c r="KRL128" s="139"/>
      <c r="KRM128" s="139"/>
      <c r="KRN128" s="139"/>
      <c r="KRO128" s="139"/>
      <c r="KRP128" s="139"/>
      <c r="KRQ128" s="139"/>
      <c r="KRR128" s="139"/>
      <c r="KRS128" s="139"/>
      <c r="KRT128" s="139"/>
      <c r="KRU128" s="139"/>
      <c r="KRV128" s="139"/>
      <c r="KRW128" s="139"/>
      <c r="KRX128" s="139"/>
      <c r="KRY128" s="139"/>
      <c r="KRZ128" s="139"/>
      <c r="KSA128" s="139"/>
      <c r="KSB128" s="139"/>
      <c r="KSC128" s="139"/>
      <c r="KSD128" s="139"/>
      <c r="KSE128" s="139"/>
      <c r="KSF128" s="139"/>
      <c r="KSG128" s="139"/>
      <c r="KSH128" s="139"/>
      <c r="KSI128" s="139"/>
      <c r="KSJ128" s="139"/>
      <c r="KSK128" s="139"/>
      <c r="KSL128" s="139"/>
      <c r="KSM128" s="139"/>
      <c r="KSN128" s="139"/>
      <c r="KSO128" s="139"/>
      <c r="KSP128" s="139"/>
      <c r="KSQ128" s="139"/>
      <c r="KSR128" s="139"/>
      <c r="KSS128" s="139"/>
      <c r="KST128" s="139"/>
      <c r="KSU128" s="139"/>
      <c r="KSV128" s="139"/>
      <c r="KSW128" s="139"/>
      <c r="KSX128" s="139"/>
      <c r="KSY128" s="139"/>
      <c r="KSZ128" s="139"/>
      <c r="KTA128" s="139"/>
      <c r="KTB128" s="139"/>
      <c r="KTC128" s="139"/>
      <c r="KTD128" s="139"/>
      <c r="KTE128" s="139"/>
      <c r="KTF128" s="139"/>
      <c r="KTG128" s="139"/>
      <c r="KTH128" s="139"/>
      <c r="KTI128" s="139"/>
      <c r="KTJ128" s="139"/>
      <c r="KTK128" s="139"/>
      <c r="KTL128" s="139"/>
      <c r="KTM128" s="139"/>
      <c r="KTN128" s="139"/>
      <c r="KTO128" s="139"/>
      <c r="KTP128" s="139"/>
      <c r="KTQ128" s="139"/>
      <c r="KTR128" s="139"/>
      <c r="KTS128" s="139"/>
      <c r="KTT128" s="139"/>
      <c r="KTU128" s="139"/>
      <c r="KTV128" s="139"/>
      <c r="KTW128" s="139"/>
      <c r="KTX128" s="139"/>
      <c r="KTY128" s="139"/>
      <c r="KTZ128" s="139"/>
      <c r="KUA128" s="139"/>
      <c r="KUB128" s="139"/>
      <c r="KUC128" s="139"/>
      <c r="KUD128" s="139"/>
      <c r="KUE128" s="139"/>
      <c r="KUF128" s="139"/>
      <c r="KUG128" s="139"/>
      <c r="KUH128" s="139"/>
      <c r="KUI128" s="139"/>
      <c r="KUJ128" s="139"/>
      <c r="KUK128" s="139"/>
      <c r="KUL128" s="139"/>
      <c r="KUM128" s="139"/>
      <c r="KUN128" s="139"/>
      <c r="KUO128" s="139"/>
      <c r="KUP128" s="139"/>
      <c r="KUQ128" s="139"/>
      <c r="KUR128" s="139"/>
      <c r="KUS128" s="139"/>
      <c r="KUT128" s="139"/>
      <c r="KUU128" s="139"/>
      <c r="KUV128" s="139"/>
      <c r="KUW128" s="139"/>
      <c r="KUX128" s="139"/>
      <c r="KUY128" s="139"/>
      <c r="KUZ128" s="139"/>
      <c r="KVA128" s="139"/>
      <c r="KVB128" s="139"/>
      <c r="KVC128" s="139"/>
      <c r="KVD128" s="139"/>
      <c r="KVE128" s="139"/>
      <c r="KVF128" s="139"/>
      <c r="KVG128" s="139"/>
      <c r="KVH128" s="139"/>
      <c r="KVI128" s="139"/>
      <c r="KVJ128" s="139"/>
      <c r="KVK128" s="139"/>
      <c r="KVL128" s="139"/>
      <c r="KVM128" s="139"/>
      <c r="KVN128" s="139"/>
      <c r="KVO128" s="139"/>
      <c r="KVP128" s="139"/>
      <c r="KVQ128" s="139"/>
      <c r="KVR128" s="139"/>
      <c r="KVS128" s="139"/>
      <c r="KVT128" s="139"/>
      <c r="KVU128" s="139"/>
      <c r="KVV128" s="139"/>
      <c r="KVW128" s="139"/>
      <c r="KVX128" s="139"/>
      <c r="KVY128" s="139"/>
      <c r="KVZ128" s="139"/>
      <c r="KWA128" s="139"/>
      <c r="KWB128" s="139"/>
      <c r="KWC128" s="139"/>
      <c r="KWD128" s="139"/>
      <c r="KWE128" s="139"/>
      <c r="KWF128" s="139"/>
      <c r="KWG128" s="139"/>
      <c r="KWH128" s="139"/>
      <c r="KWI128" s="139"/>
      <c r="KWJ128" s="139"/>
      <c r="KWK128" s="139"/>
      <c r="KWL128" s="139"/>
      <c r="KWM128" s="139"/>
      <c r="KWN128" s="139"/>
      <c r="KWO128" s="139"/>
      <c r="KWP128" s="139"/>
      <c r="KWQ128" s="139"/>
      <c r="KWR128" s="139"/>
      <c r="KWS128" s="139"/>
      <c r="KWT128" s="139"/>
      <c r="KWU128" s="139"/>
      <c r="KWV128" s="139"/>
      <c r="KWW128" s="139"/>
      <c r="KWX128" s="139"/>
      <c r="KWY128" s="139"/>
      <c r="KWZ128" s="139"/>
      <c r="KXA128" s="139"/>
      <c r="KXB128" s="139"/>
      <c r="KXC128" s="139"/>
      <c r="KXD128" s="139"/>
      <c r="KXE128" s="139"/>
      <c r="KXF128" s="139"/>
      <c r="KXG128" s="139"/>
      <c r="KXH128" s="139"/>
      <c r="KXI128" s="139"/>
      <c r="KXJ128" s="139"/>
      <c r="KXK128" s="139"/>
      <c r="KXL128" s="139"/>
      <c r="KXM128" s="139"/>
      <c r="KXN128" s="139"/>
      <c r="KXO128" s="139"/>
      <c r="KXP128" s="139"/>
      <c r="KXQ128" s="139"/>
      <c r="KXR128" s="139"/>
      <c r="KXS128" s="139"/>
      <c r="KXT128" s="139"/>
      <c r="KXU128" s="139"/>
      <c r="KXV128" s="139"/>
      <c r="KXW128" s="139"/>
      <c r="KXX128" s="139"/>
      <c r="KXY128" s="139"/>
      <c r="KXZ128" s="139"/>
      <c r="KYA128" s="139"/>
      <c r="KYB128" s="139"/>
      <c r="KYC128" s="139"/>
      <c r="KYD128" s="139"/>
      <c r="KYE128" s="139"/>
      <c r="KYF128" s="139"/>
      <c r="KYG128" s="139"/>
      <c r="KYH128" s="139"/>
      <c r="KYI128" s="139"/>
      <c r="KYJ128" s="139"/>
      <c r="KYK128" s="139"/>
      <c r="KYL128" s="139"/>
      <c r="KYM128" s="139"/>
      <c r="KYN128" s="139"/>
      <c r="KYO128" s="139"/>
      <c r="KYP128" s="139"/>
      <c r="KYQ128" s="139"/>
      <c r="KYR128" s="139"/>
      <c r="KYS128" s="139"/>
      <c r="KYT128" s="139"/>
      <c r="KYU128" s="139"/>
      <c r="KYV128" s="139"/>
      <c r="KYW128" s="139"/>
      <c r="KYX128" s="139"/>
      <c r="KYY128" s="139"/>
      <c r="KYZ128" s="139"/>
      <c r="KZA128" s="139"/>
      <c r="KZB128" s="139"/>
      <c r="KZC128" s="139"/>
      <c r="KZD128" s="139"/>
      <c r="KZE128" s="139"/>
      <c r="KZF128" s="139"/>
      <c r="KZG128" s="139"/>
      <c r="KZH128" s="139"/>
      <c r="KZI128" s="139"/>
      <c r="KZJ128" s="139"/>
      <c r="KZK128" s="139"/>
      <c r="KZL128" s="139"/>
      <c r="KZM128" s="139"/>
      <c r="KZN128" s="139"/>
      <c r="KZO128" s="139"/>
      <c r="KZP128" s="139"/>
      <c r="KZQ128" s="139"/>
      <c r="KZR128" s="139"/>
      <c r="KZS128" s="139"/>
      <c r="KZT128" s="139"/>
      <c r="KZU128" s="139"/>
      <c r="KZV128" s="139"/>
      <c r="KZW128" s="139"/>
      <c r="KZX128" s="139"/>
      <c r="KZY128" s="139"/>
      <c r="KZZ128" s="139"/>
      <c r="LAA128" s="139"/>
      <c r="LAB128" s="139"/>
      <c r="LAC128" s="139"/>
      <c r="LAD128" s="139"/>
      <c r="LAE128" s="139"/>
      <c r="LAF128" s="139"/>
      <c r="LAG128" s="139"/>
      <c r="LAH128" s="139"/>
      <c r="LAI128" s="139"/>
      <c r="LAJ128" s="139"/>
      <c r="LAK128" s="139"/>
      <c r="LAL128" s="139"/>
      <c r="LAM128" s="139"/>
      <c r="LAN128" s="139"/>
      <c r="LAO128" s="139"/>
      <c r="LAP128" s="139"/>
      <c r="LAQ128" s="139"/>
      <c r="LAR128" s="139"/>
      <c r="LAS128" s="139"/>
      <c r="LAT128" s="139"/>
      <c r="LAU128" s="139"/>
      <c r="LAV128" s="139"/>
      <c r="LAW128" s="139"/>
      <c r="LAX128" s="139"/>
      <c r="LAY128" s="139"/>
      <c r="LAZ128" s="139"/>
      <c r="LBA128" s="139"/>
      <c r="LBB128" s="139"/>
      <c r="LBC128" s="139"/>
      <c r="LBD128" s="139"/>
      <c r="LBE128" s="139"/>
      <c r="LBF128" s="139"/>
      <c r="LBG128" s="139"/>
      <c r="LBH128" s="139"/>
      <c r="LBI128" s="139"/>
      <c r="LBJ128" s="139"/>
      <c r="LBK128" s="139"/>
      <c r="LBL128" s="139"/>
      <c r="LBM128" s="139"/>
      <c r="LBN128" s="139"/>
      <c r="LBO128" s="139"/>
      <c r="LBP128" s="139"/>
      <c r="LBQ128" s="139"/>
      <c r="LBR128" s="139"/>
      <c r="LBS128" s="139"/>
      <c r="LBT128" s="139"/>
      <c r="LBU128" s="139"/>
      <c r="LBV128" s="139"/>
      <c r="LBW128" s="139"/>
      <c r="LBX128" s="139"/>
      <c r="LBY128" s="139"/>
      <c r="LBZ128" s="139"/>
      <c r="LCA128" s="139"/>
      <c r="LCB128" s="139"/>
      <c r="LCC128" s="139"/>
      <c r="LCD128" s="139"/>
      <c r="LCE128" s="139"/>
      <c r="LCF128" s="139"/>
      <c r="LCG128" s="139"/>
      <c r="LCH128" s="139"/>
      <c r="LCI128" s="139"/>
      <c r="LCJ128" s="139"/>
      <c r="LCK128" s="139"/>
      <c r="LCL128" s="139"/>
      <c r="LCM128" s="139"/>
      <c r="LCN128" s="139"/>
      <c r="LCO128" s="139"/>
      <c r="LCP128" s="139"/>
      <c r="LCQ128" s="139"/>
      <c r="LCR128" s="139"/>
      <c r="LCS128" s="139"/>
      <c r="LCT128" s="139"/>
      <c r="LCU128" s="139"/>
      <c r="LCV128" s="139"/>
      <c r="LCW128" s="139"/>
      <c r="LCX128" s="139"/>
      <c r="LCY128" s="139"/>
      <c r="LCZ128" s="139"/>
      <c r="LDA128" s="139"/>
      <c r="LDB128" s="139"/>
      <c r="LDC128" s="139"/>
      <c r="LDD128" s="139"/>
      <c r="LDE128" s="139"/>
      <c r="LDF128" s="139"/>
      <c r="LDG128" s="139"/>
      <c r="LDH128" s="139"/>
      <c r="LDI128" s="139"/>
      <c r="LDJ128" s="139"/>
      <c r="LDK128" s="139"/>
      <c r="LDL128" s="139"/>
      <c r="LDM128" s="139"/>
      <c r="LDN128" s="139"/>
      <c r="LDO128" s="139"/>
      <c r="LDP128" s="139"/>
      <c r="LDQ128" s="139"/>
      <c r="LDR128" s="139"/>
      <c r="LDS128" s="139"/>
      <c r="LDT128" s="139"/>
      <c r="LDU128" s="139"/>
      <c r="LDV128" s="139"/>
      <c r="LDW128" s="139"/>
      <c r="LDX128" s="139"/>
      <c r="LDY128" s="139"/>
      <c r="LDZ128" s="139"/>
      <c r="LEA128" s="139"/>
      <c r="LEB128" s="139"/>
      <c r="LEC128" s="139"/>
      <c r="LED128" s="139"/>
      <c r="LEE128" s="139"/>
      <c r="LEF128" s="139"/>
      <c r="LEG128" s="139"/>
      <c r="LEH128" s="139"/>
      <c r="LEI128" s="139"/>
      <c r="LEJ128" s="139"/>
      <c r="LEK128" s="139"/>
      <c r="LEL128" s="139"/>
      <c r="LEM128" s="139"/>
      <c r="LEN128" s="139"/>
      <c r="LEO128" s="139"/>
      <c r="LEP128" s="139"/>
      <c r="LEQ128" s="139"/>
      <c r="LER128" s="139"/>
      <c r="LES128" s="139"/>
      <c r="LET128" s="139"/>
      <c r="LEU128" s="139"/>
      <c r="LEV128" s="139"/>
      <c r="LEW128" s="139"/>
      <c r="LEX128" s="139"/>
      <c r="LEY128" s="139"/>
      <c r="LEZ128" s="139"/>
      <c r="LFA128" s="139"/>
      <c r="LFB128" s="139"/>
      <c r="LFC128" s="139"/>
      <c r="LFD128" s="139"/>
      <c r="LFE128" s="139"/>
      <c r="LFF128" s="139"/>
      <c r="LFG128" s="139"/>
      <c r="LFH128" s="139"/>
      <c r="LFI128" s="139"/>
      <c r="LFJ128" s="139"/>
      <c r="LFK128" s="139"/>
      <c r="LFL128" s="139"/>
      <c r="LFM128" s="139"/>
      <c r="LFN128" s="139"/>
      <c r="LFO128" s="139"/>
      <c r="LFP128" s="139"/>
      <c r="LFQ128" s="139"/>
      <c r="LFR128" s="139"/>
      <c r="LFS128" s="139"/>
      <c r="LFT128" s="139"/>
      <c r="LFU128" s="139"/>
      <c r="LFV128" s="139"/>
      <c r="LFW128" s="139"/>
      <c r="LFX128" s="139"/>
      <c r="LFY128" s="139"/>
      <c r="LFZ128" s="139"/>
      <c r="LGA128" s="139"/>
      <c r="LGB128" s="139"/>
      <c r="LGC128" s="139"/>
      <c r="LGD128" s="139"/>
      <c r="LGE128" s="139"/>
      <c r="LGF128" s="139"/>
      <c r="LGG128" s="139"/>
      <c r="LGH128" s="139"/>
      <c r="LGI128" s="139"/>
      <c r="LGJ128" s="139"/>
      <c r="LGK128" s="139"/>
      <c r="LGL128" s="139"/>
      <c r="LGM128" s="139"/>
      <c r="LGN128" s="139"/>
      <c r="LGO128" s="139"/>
      <c r="LGP128" s="139"/>
      <c r="LGQ128" s="139"/>
      <c r="LGR128" s="139"/>
      <c r="LGS128" s="139"/>
      <c r="LGT128" s="139"/>
      <c r="LGU128" s="139"/>
      <c r="LGV128" s="139"/>
      <c r="LGW128" s="139"/>
      <c r="LGX128" s="139"/>
      <c r="LGY128" s="139"/>
      <c r="LGZ128" s="139"/>
      <c r="LHA128" s="139"/>
      <c r="LHB128" s="139"/>
      <c r="LHC128" s="139"/>
      <c r="LHD128" s="139"/>
      <c r="LHE128" s="139"/>
      <c r="LHF128" s="139"/>
      <c r="LHG128" s="139"/>
      <c r="LHH128" s="139"/>
      <c r="LHI128" s="139"/>
      <c r="LHJ128" s="139"/>
      <c r="LHK128" s="139"/>
      <c r="LHL128" s="139"/>
      <c r="LHM128" s="139"/>
      <c r="LHN128" s="139"/>
      <c r="LHO128" s="139"/>
      <c r="LHP128" s="139"/>
      <c r="LHQ128" s="139"/>
      <c r="LHR128" s="139"/>
      <c r="LHS128" s="139"/>
      <c r="LHT128" s="139"/>
      <c r="LHU128" s="139"/>
      <c r="LHV128" s="139"/>
      <c r="LHW128" s="139"/>
      <c r="LHX128" s="139"/>
      <c r="LHY128" s="139"/>
      <c r="LHZ128" s="139"/>
      <c r="LIA128" s="139"/>
      <c r="LIB128" s="139"/>
      <c r="LIC128" s="139"/>
      <c r="LID128" s="139"/>
      <c r="LIE128" s="139"/>
      <c r="LIF128" s="139"/>
      <c r="LIG128" s="139"/>
      <c r="LIH128" s="139"/>
      <c r="LII128" s="139"/>
      <c r="LIJ128" s="139"/>
      <c r="LIK128" s="139"/>
      <c r="LIL128" s="139"/>
      <c r="LIM128" s="139"/>
      <c r="LIN128" s="139"/>
      <c r="LIO128" s="139"/>
      <c r="LIP128" s="139"/>
      <c r="LIQ128" s="139"/>
      <c r="LIR128" s="139"/>
      <c r="LIS128" s="139"/>
      <c r="LIT128" s="139"/>
      <c r="LIU128" s="139"/>
      <c r="LIV128" s="139"/>
      <c r="LIW128" s="139"/>
      <c r="LIX128" s="139"/>
      <c r="LIY128" s="139"/>
      <c r="LIZ128" s="139"/>
      <c r="LJA128" s="139"/>
      <c r="LJB128" s="139"/>
      <c r="LJC128" s="139"/>
      <c r="LJD128" s="139"/>
      <c r="LJE128" s="139"/>
      <c r="LJF128" s="139"/>
      <c r="LJG128" s="139"/>
      <c r="LJH128" s="139"/>
      <c r="LJI128" s="139"/>
      <c r="LJJ128" s="139"/>
      <c r="LJK128" s="139"/>
      <c r="LJL128" s="139"/>
      <c r="LJM128" s="139"/>
      <c r="LJN128" s="139"/>
      <c r="LJO128" s="139"/>
      <c r="LJP128" s="139"/>
      <c r="LJQ128" s="139"/>
      <c r="LJR128" s="139"/>
      <c r="LJS128" s="139"/>
      <c r="LJT128" s="139"/>
      <c r="LJU128" s="139"/>
      <c r="LJV128" s="139"/>
      <c r="LJW128" s="139"/>
      <c r="LJX128" s="139"/>
      <c r="LJY128" s="139"/>
      <c r="LJZ128" s="139"/>
      <c r="LKA128" s="139"/>
      <c r="LKB128" s="139"/>
      <c r="LKC128" s="139"/>
      <c r="LKD128" s="139"/>
      <c r="LKE128" s="139"/>
      <c r="LKF128" s="139"/>
      <c r="LKG128" s="139"/>
      <c r="LKH128" s="139"/>
      <c r="LKI128" s="139"/>
      <c r="LKJ128" s="139"/>
      <c r="LKK128" s="139"/>
      <c r="LKL128" s="139"/>
      <c r="LKM128" s="139"/>
      <c r="LKN128" s="139"/>
      <c r="LKO128" s="139"/>
      <c r="LKP128" s="139"/>
      <c r="LKQ128" s="139"/>
      <c r="LKR128" s="139"/>
      <c r="LKS128" s="139"/>
      <c r="LKT128" s="139"/>
      <c r="LKU128" s="139"/>
      <c r="LKV128" s="139"/>
      <c r="LKW128" s="139"/>
      <c r="LKX128" s="139"/>
      <c r="LKY128" s="139"/>
      <c r="LKZ128" s="139"/>
      <c r="LLA128" s="139"/>
      <c r="LLB128" s="139"/>
      <c r="LLC128" s="139"/>
      <c r="LLD128" s="139"/>
      <c r="LLE128" s="139"/>
      <c r="LLF128" s="139"/>
      <c r="LLG128" s="139"/>
      <c r="LLH128" s="139"/>
      <c r="LLI128" s="139"/>
      <c r="LLJ128" s="139"/>
      <c r="LLK128" s="139"/>
      <c r="LLL128" s="139"/>
      <c r="LLM128" s="139"/>
      <c r="LLN128" s="139"/>
      <c r="LLO128" s="139"/>
      <c r="LLP128" s="139"/>
      <c r="LLQ128" s="139"/>
      <c r="LLR128" s="139"/>
      <c r="LLS128" s="139"/>
      <c r="LLT128" s="139"/>
      <c r="LLU128" s="139"/>
      <c r="LLV128" s="139"/>
      <c r="LLW128" s="139"/>
      <c r="LLX128" s="139"/>
      <c r="LLY128" s="139"/>
      <c r="LLZ128" s="139"/>
      <c r="LMA128" s="139"/>
      <c r="LMB128" s="139"/>
      <c r="LMC128" s="139"/>
      <c r="LMD128" s="139"/>
      <c r="LME128" s="139"/>
      <c r="LMF128" s="139"/>
      <c r="LMG128" s="139"/>
      <c r="LMH128" s="139"/>
      <c r="LMI128" s="139"/>
      <c r="LMJ128" s="139"/>
      <c r="LMK128" s="139"/>
      <c r="LML128" s="139"/>
      <c r="LMM128" s="139"/>
      <c r="LMN128" s="139"/>
      <c r="LMO128" s="139"/>
      <c r="LMP128" s="139"/>
      <c r="LMQ128" s="139"/>
      <c r="LMR128" s="139"/>
      <c r="LMS128" s="139"/>
      <c r="LMT128" s="139"/>
      <c r="LMU128" s="139"/>
      <c r="LMV128" s="139"/>
      <c r="LMW128" s="139"/>
      <c r="LMX128" s="139"/>
      <c r="LMY128" s="139"/>
      <c r="LMZ128" s="139"/>
      <c r="LNA128" s="139"/>
      <c r="LNB128" s="139"/>
      <c r="LNC128" s="139"/>
      <c r="LND128" s="139"/>
      <c r="LNE128" s="139"/>
      <c r="LNF128" s="139"/>
      <c r="LNG128" s="139"/>
      <c r="LNH128" s="139"/>
      <c r="LNI128" s="139"/>
      <c r="LNJ128" s="139"/>
      <c r="LNK128" s="139"/>
      <c r="LNL128" s="139"/>
      <c r="LNM128" s="139"/>
      <c r="LNN128" s="139"/>
      <c r="LNO128" s="139"/>
      <c r="LNP128" s="139"/>
      <c r="LNQ128" s="139"/>
      <c r="LNR128" s="139"/>
      <c r="LNS128" s="139"/>
      <c r="LNT128" s="139"/>
      <c r="LNU128" s="139"/>
      <c r="LNV128" s="139"/>
      <c r="LNW128" s="139"/>
      <c r="LNX128" s="139"/>
      <c r="LNY128" s="139"/>
      <c r="LNZ128" s="139"/>
      <c r="LOA128" s="139"/>
      <c r="LOB128" s="139"/>
      <c r="LOC128" s="139"/>
      <c r="LOD128" s="139"/>
      <c r="LOE128" s="139"/>
      <c r="LOF128" s="139"/>
      <c r="LOG128" s="139"/>
      <c r="LOH128" s="139"/>
      <c r="LOI128" s="139"/>
      <c r="LOJ128" s="139"/>
      <c r="LOK128" s="139"/>
      <c r="LOL128" s="139"/>
      <c r="LOM128" s="139"/>
      <c r="LON128" s="139"/>
      <c r="LOO128" s="139"/>
      <c r="LOP128" s="139"/>
      <c r="LOQ128" s="139"/>
      <c r="LOR128" s="139"/>
      <c r="LOS128" s="139"/>
      <c r="LOT128" s="139"/>
      <c r="LOU128" s="139"/>
      <c r="LOV128" s="139"/>
      <c r="LOW128" s="139"/>
      <c r="LOX128" s="139"/>
      <c r="LOY128" s="139"/>
      <c r="LOZ128" s="139"/>
      <c r="LPA128" s="139"/>
      <c r="LPB128" s="139"/>
      <c r="LPC128" s="139"/>
      <c r="LPD128" s="139"/>
      <c r="LPE128" s="139"/>
      <c r="LPF128" s="139"/>
      <c r="LPG128" s="139"/>
      <c r="LPH128" s="139"/>
      <c r="LPI128" s="139"/>
      <c r="LPJ128" s="139"/>
      <c r="LPK128" s="139"/>
      <c r="LPL128" s="139"/>
      <c r="LPM128" s="139"/>
      <c r="LPN128" s="139"/>
      <c r="LPO128" s="139"/>
      <c r="LPP128" s="139"/>
      <c r="LPQ128" s="139"/>
      <c r="LPR128" s="139"/>
      <c r="LPS128" s="139"/>
      <c r="LPT128" s="139"/>
      <c r="LPU128" s="139"/>
      <c r="LPV128" s="139"/>
      <c r="LPW128" s="139"/>
      <c r="LPX128" s="139"/>
      <c r="LPY128" s="139"/>
      <c r="LPZ128" s="139"/>
      <c r="LQA128" s="139"/>
      <c r="LQB128" s="139"/>
      <c r="LQC128" s="139"/>
      <c r="LQD128" s="139"/>
      <c r="LQE128" s="139"/>
      <c r="LQF128" s="139"/>
      <c r="LQG128" s="139"/>
      <c r="LQH128" s="139"/>
      <c r="LQI128" s="139"/>
      <c r="LQJ128" s="139"/>
      <c r="LQK128" s="139"/>
      <c r="LQL128" s="139"/>
      <c r="LQM128" s="139"/>
      <c r="LQN128" s="139"/>
      <c r="LQO128" s="139"/>
      <c r="LQP128" s="139"/>
      <c r="LQQ128" s="139"/>
      <c r="LQR128" s="139"/>
      <c r="LQS128" s="139"/>
      <c r="LQT128" s="139"/>
      <c r="LQU128" s="139"/>
      <c r="LQV128" s="139"/>
      <c r="LQW128" s="139"/>
      <c r="LQX128" s="139"/>
      <c r="LQY128" s="139"/>
      <c r="LQZ128" s="139"/>
      <c r="LRA128" s="139"/>
      <c r="LRB128" s="139"/>
      <c r="LRC128" s="139"/>
      <c r="LRD128" s="139"/>
      <c r="LRE128" s="139"/>
      <c r="LRF128" s="139"/>
      <c r="LRG128" s="139"/>
      <c r="LRH128" s="139"/>
      <c r="LRI128" s="139"/>
      <c r="LRJ128" s="139"/>
      <c r="LRK128" s="139"/>
      <c r="LRL128" s="139"/>
      <c r="LRM128" s="139"/>
      <c r="LRN128" s="139"/>
      <c r="LRO128" s="139"/>
      <c r="LRP128" s="139"/>
      <c r="LRQ128" s="139"/>
      <c r="LRR128" s="139"/>
      <c r="LRS128" s="139"/>
      <c r="LRT128" s="139"/>
      <c r="LRU128" s="139"/>
      <c r="LRV128" s="139"/>
      <c r="LRW128" s="139"/>
      <c r="LRX128" s="139"/>
      <c r="LRY128" s="139"/>
      <c r="LRZ128" s="139"/>
      <c r="LSA128" s="139"/>
      <c r="LSB128" s="139"/>
      <c r="LSC128" s="139"/>
      <c r="LSD128" s="139"/>
      <c r="LSE128" s="139"/>
      <c r="LSF128" s="139"/>
      <c r="LSG128" s="139"/>
      <c r="LSH128" s="139"/>
      <c r="LSI128" s="139"/>
      <c r="LSJ128" s="139"/>
      <c r="LSK128" s="139"/>
      <c r="LSL128" s="139"/>
      <c r="LSM128" s="139"/>
      <c r="LSN128" s="139"/>
      <c r="LSO128" s="139"/>
      <c r="LSP128" s="139"/>
      <c r="LSQ128" s="139"/>
      <c r="LSR128" s="139"/>
      <c r="LSS128" s="139"/>
      <c r="LST128" s="139"/>
      <c r="LSU128" s="139"/>
      <c r="LSV128" s="139"/>
      <c r="LSW128" s="139"/>
      <c r="LSX128" s="139"/>
      <c r="LSY128" s="139"/>
      <c r="LSZ128" s="139"/>
      <c r="LTA128" s="139"/>
      <c r="LTB128" s="139"/>
      <c r="LTC128" s="139"/>
      <c r="LTD128" s="139"/>
      <c r="LTE128" s="139"/>
      <c r="LTF128" s="139"/>
      <c r="LTG128" s="139"/>
      <c r="LTH128" s="139"/>
      <c r="LTI128" s="139"/>
      <c r="LTJ128" s="139"/>
      <c r="LTK128" s="139"/>
      <c r="LTL128" s="139"/>
      <c r="LTM128" s="139"/>
      <c r="LTN128" s="139"/>
      <c r="LTO128" s="139"/>
      <c r="LTP128" s="139"/>
      <c r="LTQ128" s="139"/>
      <c r="LTR128" s="139"/>
      <c r="LTS128" s="139"/>
      <c r="LTT128" s="139"/>
      <c r="LTU128" s="139"/>
      <c r="LTV128" s="139"/>
      <c r="LTW128" s="139"/>
      <c r="LTX128" s="139"/>
      <c r="LTY128" s="139"/>
      <c r="LTZ128" s="139"/>
      <c r="LUA128" s="139"/>
      <c r="LUB128" s="139"/>
      <c r="LUC128" s="139"/>
      <c r="LUD128" s="139"/>
      <c r="LUE128" s="139"/>
      <c r="LUF128" s="139"/>
      <c r="LUG128" s="139"/>
      <c r="LUH128" s="139"/>
      <c r="LUI128" s="139"/>
      <c r="LUJ128" s="139"/>
      <c r="LUK128" s="139"/>
      <c r="LUL128" s="139"/>
      <c r="LUM128" s="139"/>
      <c r="LUN128" s="139"/>
      <c r="LUO128" s="139"/>
      <c r="LUP128" s="139"/>
      <c r="LUQ128" s="139"/>
      <c r="LUR128" s="139"/>
      <c r="LUS128" s="139"/>
      <c r="LUT128" s="139"/>
      <c r="LUU128" s="139"/>
      <c r="LUV128" s="139"/>
      <c r="LUW128" s="139"/>
      <c r="LUX128" s="139"/>
      <c r="LUY128" s="139"/>
      <c r="LUZ128" s="139"/>
      <c r="LVA128" s="139"/>
      <c r="LVB128" s="139"/>
      <c r="LVC128" s="139"/>
      <c r="LVD128" s="139"/>
      <c r="LVE128" s="139"/>
      <c r="LVF128" s="139"/>
      <c r="LVG128" s="139"/>
      <c r="LVH128" s="139"/>
      <c r="LVI128" s="139"/>
      <c r="LVJ128" s="139"/>
      <c r="LVK128" s="139"/>
      <c r="LVL128" s="139"/>
      <c r="LVM128" s="139"/>
      <c r="LVN128" s="139"/>
      <c r="LVO128" s="139"/>
      <c r="LVP128" s="139"/>
      <c r="LVQ128" s="139"/>
      <c r="LVR128" s="139"/>
      <c r="LVS128" s="139"/>
      <c r="LVT128" s="139"/>
      <c r="LVU128" s="139"/>
      <c r="LVV128" s="139"/>
      <c r="LVW128" s="139"/>
      <c r="LVX128" s="139"/>
      <c r="LVY128" s="139"/>
      <c r="LVZ128" s="139"/>
      <c r="LWA128" s="139"/>
      <c r="LWB128" s="139"/>
      <c r="LWC128" s="139"/>
      <c r="LWD128" s="139"/>
      <c r="LWE128" s="139"/>
      <c r="LWF128" s="139"/>
      <c r="LWG128" s="139"/>
      <c r="LWH128" s="139"/>
      <c r="LWI128" s="139"/>
      <c r="LWJ128" s="139"/>
      <c r="LWK128" s="139"/>
      <c r="LWL128" s="139"/>
      <c r="LWM128" s="139"/>
      <c r="LWN128" s="139"/>
      <c r="LWO128" s="139"/>
      <c r="LWP128" s="139"/>
      <c r="LWQ128" s="139"/>
      <c r="LWR128" s="139"/>
      <c r="LWS128" s="139"/>
      <c r="LWT128" s="139"/>
      <c r="LWU128" s="139"/>
      <c r="LWV128" s="139"/>
      <c r="LWW128" s="139"/>
      <c r="LWX128" s="139"/>
      <c r="LWY128" s="139"/>
      <c r="LWZ128" s="139"/>
      <c r="LXA128" s="139"/>
      <c r="LXB128" s="139"/>
      <c r="LXC128" s="139"/>
      <c r="LXD128" s="139"/>
      <c r="LXE128" s="139"/>
      <c r="LXF128" s="139"/>
      <c r="LXG128" s="139"/>
      <c r="LXH128" s="139"/>
      <c r="LXI128" s="139"/>
      <c r="LXJ128" s="139"/>
      <c r="LXK128" s="139"/>
      <c r="LXL128" s="139"/>
      <c r="LXM128" s="139"/>
      <c r="LXN128" s="139"/>
      <c r="LXO128" s="139"/>
      <c r="LXP128" s="139"/>
      <c r="LXQ128" s="139"/>
      <c r="LXR128" s="139"/>
      <c r="LXS128" s="139"/>
      <c r="LXT128" s="139"/>
      <c r="LXU128" s="139"/>
      <c r="LXV128" s="139"/>
      <c r="LXW128" s="139"/>
      <c r="LXX128" s="139"/>
      <c r="LXY128" s="139"/>
      <c r="LXZ128" s="139"/>
      <c r="LYA128" s="139"/>
      <c r="LYB128" s="139"/>
      <c r="LYC128" s="139"/>
      <c r="LYD128" s="139"/>
      <c r="LYE128" s="139"/>
      <c r="LYF128" s="139"/>
      <c r="LYG128" s="139"/>
      <c r="LYH128" s="139"/>
      <c r="LYI128" s="139"/>
      <c r="LYJ128" s="139"/>
      <c r="LYK128" s="139"/>
      <c r="LYL128" s="139"/>
      <c r="LYM128" s="139"/>
      <c r="LYN128" s="139"/>
      <c r="LYO128" s="139"/>
      <c r="LYP128" s="139"/>
      <c r="LYQ128" s="139"/>
      <c r="LYR128" s="139"/>
      <c r="LYS128" s="139"/>
      <c r="LYT128" s="139"/>
      <c r="LYU128" s="139"/>
      <c r="LYV128" s="139"/>
      <c r="LYW128" s="139"/>
      <c r="LYX128" s="139"/>
      <c r="LYY128" s="139"/>
      <c r="LYZ128" s="139"/>
      <c r="LZA128" s="139"/>
      <c r="LZB128" s="139"/>
      <c r="LZC128" s="139"/>
      <c r="LZD128" s="139"/>
      <c r="LZE128" s="139"/>
      <c r="LZF128" s="139"/>
      <c r="LZG128" s="139"/>
      <c r="LZH128" s="139"/>
      <c r="LZI128" s="139"/>
      <c r="LZJ128" s="139"/>
      <c r="LZK128" s="139"/>
      <c r="LZL128" s="139"/>
      <c r="LZM128" s="139"/>
      <c r="LZN128" s="139"/>
      <c r="LZO128" s="139"/>
      <c r="LZP128" s="139"/>
      <c r="LZQ128" s="139"/>
      <c r="LZR128" s="139"/>
      <c r="LZS128" s="139"/>
      <c r="LZT128" s="139"/>
      <c r="LZU128" s="139"/>
      <c r="LZV128" s="139"/>
      <c r="LZW128" s="139"/>
      <c r="LZX128" s="139"/>
      <c r="LZY128" s="139"/>
      <c r="LZZ128" s="139"/>
      <c r="MAA128" s="139"/>
      <c r="MAB128" s="139"/>
      <c r="MAC128" s="139"/>
      <c r="MAD128" s="139"/>
      <c r="MAE128" s="139"/>
      <c r="MAF128" s="139"/>
      <c r="MAG128" s="139"/>
      <c r="MAH128" s="139"/>
      <c r="MAI128" s="139"/>
      <c r="MAJ128" s="139"/>
      <c r="MAK128" s="139"/>
      <c r="MAL128" s="139"/>
      <c r="MAM128" s="139"/>
      <c r="MAN128" s="139"/>
      <c r="MAO128" s="139"/>
      <c r="MAP128" s="139"/>
      <c r="MAQ128" s="139"/>
      <c r="MAR128" s="139"/>
      <c r="MAS128" s="139"/>
      <c r="MAT128" s="139"/>
      <c r="MAU128" s="139"/>
      <c r="MAV128" s="139"/>
      <c r="MAW128" s="139"/>
      <c r="MAX128" s="139"/>
      <c r="MAY128" s="139"/>
      <c r="MAZ128" s="139"/>
      <c r="MBA128" s="139"/>
      <c r="MBB128" s="139"/>
      <c r="MBC128" s="139"/>
      <c r="MBD128" s="139"/>
      <c r="MBE128" s="139"/>
      <c r="MBF128" s="139"/>
      <c r="MBG128" s="139"/>
      <c r="MBH128" s="139"/>
      <c r="MBI128" s="139"/>
      <c r="MBJ128" s="139"/>
      <c r="MBK128" s="139"/>
      <c r="MBL128" s="139"/>
      <c r="MBM128" s="139"/>
      <c r="MBN128" s="139"/>
      <c r="MBO128" s="139"/>
      <c r="MBP128" s="139"/>
      <c r="MBQ128" s="139"/>
      <c r="MBR128" s="139"/>
      <c r="MBS128" s="139"/>
      <c r="MBT128" s="139"/>
      <c r="MBU128" s="139"/>
      <c r="MBV128" s="139"/>
      <c r="MBW128" s="139"/>
      <c r="MBX128" s="139"/>
      <c r="MBY128" s="139"/>
      <c r="MBZ128" s="139"/>
      <c r="MCA128" s="139"/>
      <c r="MCB128" s="139"/>
      <c r="MCC128" s="139"/>
      <c r="MCD128" s="139"/>
      <c r="MCE128" s="139"/>
      <c r="MCF128" s="139"/>
      <c r="MCG128" s="139"/>
      <c r="MCH128" s="139"/>
      <c r="MCI128" s="139"/>
      <c r="MCJ128" s="139"/>
      <c r="MCK128" s="139"/>
      <c r="MCL128" s="139"/>
      <c r="MCM128" s="139"/>
      <c r="MCN128" s="139"/>
      <c r="MCO128" s="139"/>
      <c r="MCP128" s="139"/>
      <c r="MCQ128" s="139"/>
      <c r="MCR128" s="139"/>
      <c r="MCS128" s="139"/>
      <c r="MCT128" s="139"/>
      <c r="MCU128" s="139"/>
      <c r="MCV128" s="139"/>
      <c r="MCW128" s="139"/>
      <c r="MCX128" s="139"/>
      <c r="MCY128" s="139"/>
      <c r="MCZ128" s="139"/>
      <c r="MDA128" s="139"/>
      <c r="MDB128" s="139"/>
      <c r="MDC128" s="139"/>
      <c r="MDD128" s="139"/>
      <c r="MDE128" s="139"/>
      <c r="MDF128" s="139"/>
      <c r="MDG128" s="139"/>
      <c r="MDH128" s="139"/>
      <c r="MDI128" s="139"/>
      <c r="MDJ128" s="139"/>
      <c r="MDK128" s="139"/>
      <c r="MDL128" s="139"/>
      <c r="MDM128" s="139"/>
      <c r="MDN128" s="139"/>
      <c r="MDO128" s="139"/>
      <c r="MDP128" s="139"/>
      <c r="MDQ128" s="139"/>
      <c r="MDR128" s="139"/>
      <c r="MDS128" s="139"/>
      <c r="MDT128" s="139"/>
      <c r="MDU128" s="139"/>
      <c r="MDV128" s="139"/>
      <c r="MDW128" s="139"/>
      <c r="MDX128" s="139"/>
      <c r="MDY128" s="139"/>
      <c r="MDZ128" s="139"/>
      <c r="MEA128" s="139"/>
      <c r="MEB128" s="139"/>
      <c r="MEC128" s="139"/>
      <c r="MED128" s="139"/>
      <c r="MEE128" s="139"/>
      <c r="MEF128" s="139"/>
      <c r="MEG128" s="139"/>
      <c r="MEH128" s="139"/>
      <c r="MEI128" s="139"/>
      <c r="MEJ128" s="139"/>
      <c r="MEK128" s="139"/>
      <c r="MEL128" s="139"/>
      <c r="MEM128" s="139"/>
      <c r="MEN128" s="139"/>
      <c r="MEO128" s="139"/>
      <c r="MEP128" s="139"/>
      <c r="MEQ128" s="139"/>
      <c r="MER128" s="139"/>
      <c r="MES128" s="139"/>
      <c r="MET128" s="139"/>
      <c r="MEU128" s="139"/>
      <c r="MEV128" s="139"/>
      <c r="MEW128" s="139"/>
      <c r="MEX128" s="139"/>
      <c r="MEY128" s="139"/>
      <c r="MEZ128" s="139"/>
      <c r="MFA128" s="139"/>
      <c r="MFB128" s="139"/>
      <c r="MFC128" s="139"/>
      <c r="MFD128" s="139"/>
      <c r="MFE128" s="139"/>
      <c r="MFF128" s="139"/>
      <c r="MFG128" s="139"/>
      <c r="MFH128" s="139"/>
      <c r="MFI128" s="139"/>
      <c r="MFJ128" s="139"/>
      <c r="MFK128" s="139"/>
      <c r="MFL128" s="139"/>
      <c r="MFM128" s="139"/>
      <c r="MFN128" s="139"/>
      <c r="MFO128" s="139"/>
      <c r="MFP128" s="139"/>
      <c r="MFQ128" s="139"/>
      <c r="MFR128" s="139"/>
      <c r="MFS128" s="139"/>
      <c r="MFT128" s="139"/>
      <c r="MFU128" s="139"/>
      <c r="MFV128" s="139"/>
      <c r="MFW128" s="139"/>
      <c r="MFX128" s="139"/>
      <c r="MFY128" s="139"/>
      <c r="MFZ128" s="139"/>
      <c r="MGA128" s="139"/>
      <c r="MGB128" s="139"/>
      <c r="MGC128" s="139"/>
      <c r="MGD128" s="139"/>
      <c r="MGE128" s="139"/>
      <c r="MGF128" s="139"/>
      <c r="MGG128" s="139"/>
      <c r="MGH128" s="139"/>
      <c r="MGI128" s="139"/>
      <c r="MGJ128" s="139"/>
      <c r="MGK128" s="139"/>
      <c r="MGL128" s="139"/>
      <c r="MGM128" s="139"/>
      <c r="MGN128" s="139"/>
      <c r="MGO128" s="139"/>
      <c r="MGP128" s="139"/>
      <c r="MGQ128" s="139"/>
      <c r="MGR128" s="139"/>
      <c r="MGS128" s="139"/>
      <c r="MGT128" s="139"/>
      <c r="MGU128" s="139"/>
      <c r="MGV128" s="139"/>
      <c r="MGW128" s="139"/>
      <c r="MGX128" s="139"/>
      <c r="MGY128" s="139"/>
      <c r="MGZ128" s="139"/>
      <c r="MHA128" s="139"/>
      <c r="MHB128" s="139"/>
      <c r="MHC128" s="139"/>
      <c r="MHD128" s="139"/>
      <c r="MHE128" s="139"/>
      <c r="MHF128" s="139"/>
      <c r="MHG128" s="139"/>
      <c r="MHH128" s="139"/>
      <c r="MHI128" s="139"/>
      <c r="MHJ128" s="139"/>
      <c r="MHK128" s="139"/>
      <c r="MHL128" s="139"/>
      <c r="MHM128" s="139"/>
      <c r="MHN128" s="139"/>
      <c r="MHO128" s="139"/>
      <c r="MHP128" s="139"/>
      <c r="MHQ128" s="139"/>
      <c r="MHR128" s="139"/>
      <c r="MHS128" s="139"/>
      <c r="MHT128" s="139"/>
      <c r="MHU128" s="139"/>
      <c r="MHV128" s="139"/>
      <c r="MHW128" s="139"/>
      <c r="MHX128" s="139"/>
      <c r="MHY128" s="139"/>
      <c r="MHZ128" s="139"/>
      <c r="MIA128" s="139"/>
      <c r="MIB128" s="139"/>
      <c r="MIC128" s="139"/>
      <c r="MID128" s="139"/>
      <c r="MIE128" s="139"/>
      <c r="MIF128" s="139"/>
      <c r="MIG128" s="139"/>
      <c r="MIH128" s="139"/>
      <c r="MII128" s="139"/>
      <c r="MIJ128" s="139"/>
      <c r="MIK128" s="139"/>
      <c r="MIL128" s="139"/>
      <c r="MIM128" s="139"/>
      <c r="MIN128" s="139"/>
      <c r="MIO128" s="139"/>
      <c r="MIP128" s="139"/>
      <c r="MIQ128" s="139"/>
      <c r="MIR128" s="139"/>
      <c r="MIS128" s="139"/>
      <c r="MIT128" s="139"/>
      <c r="MIU128" s="139"/>
      <c r="MIV128" s="139"/>
      <c r="MIW128" s="139"/>
      <c r="MIX128" s="139"/>
      <c r="MIY128" s="139"/>
      <c r="MIZ128" s="139"/>
      <c r="MJA128" s="139"/>
      <c r="MJB128" s="139"/>
      <c r="MJC128" s="139"/>
      <c r="MJD128" s="139"/>
      <c r="MJE128" s="139"/>
      <c r="MJF128" s="139"/>
      <c r="MJG128" s="139"/>
      <c r="MJH128" s="139"/>
      <c r="MJI128" s="139"/>
      <c r="MJJ128" s="139"/>
      <c r="MJK128" s="139"/>
      <c r="MJL128" s="139"/>
      <c r="MJM128" s="139"/>
      <c r="MJN128" s="139"/>
      <c r="MJO128" s="139"/>
      <c r="MJP128" s="139"/>
      <c r="MJQ128" s="139"/>
      <c r="MJR128" s="139"/>
      <c r="MJS128" s="139"/>
      <c r="MJT128" s="139"/>
      <c r="MJU128" s="139"/>
      <c r="MJV128" s="139"/>
      <c r="MJW128" s="139"/>
      <c r="MJX128" s="139"/>
      <c r="MJY128" s="139"/>
      <c r="MJZ128" s="139"/>
      <c r="MKA128" s="139"/>
      <c r="MKB128" s="139"/>
      <c r="MKC128" s="139"/>
      <c r="MKD128" s="139"/>
      <c r="MKE128" s="139"/>
      <c r="MKF128" s="139"/>
      <c r="MKG128" s="139"/>
      <c r="MKH128" s="139"/>
      <c r="MKI128" s="139"/>
      <c r="MKJ128" s="139"/>
      <c r="MKK128" s="139"/>
      <c r="MKL128" s="139"/>
      <c r="MKM128" s="139"/>
      <c r="MKN128" s="139"/>
      <c r="MKO128" s="139"/>
      <c r="MKP128" s="139"/>
      <c r="MKQ128" s="139"/>
      <c r="MKR128" s="139"/>
      <c r="MKS128" s="139"/>
      <c r="MKT128" s="139"/>
      <c r="MKU128" s="139"/>
      <c r="MKV128" s="139"/>
      <c r="MKW128" s="139"/>
      <c r="MKX128" s="139"/>
      <c r="MKY128" s="139"/>
      <c r="MKZ128" s="139"/>
      <c r="MLA128" s="139"/>
      <c r="MLB128" s="139"/>
      <c r="MLC128" s="139"/>
      <c r="MLD128" s="139"/>
      <c r="MLE128" s="139"/>
      <c r="MLF128" s="139"/>
      <c r="MLG128" s="139"/>
      <c r="MLH128" s="139"/>
      <c r="MLI128" s="139"/>
      <c r="MLJ128" s="139"/>
      <c r="MLK128" s="139"/>
      <c r="MLL128" s="139"/>
      <c r="MLM128" s="139"/>
      <c r="MLN128" s="139"/>
      <c r="MLO128" s="139"/>
      <c r="MLP128" s="139"/>
      <c r="MLQ128" s="139"/>
      <c r="MLR128" s="139"/>
      <c r="MLS128" s="139"/>
      <c r="MLT128" s="139"/>
      <c r="MLU128" s="139"/>
      <c r="MLV128" s="139"/>
      <c r="MLW128" s="139"/>
      <c r="MLX128" s="139"/>
      <c r="MLY128" s="139"/>
      <c r="MLZ128" s="139"/>
      <c r="MMA128" s="139"/>
      <c r="MMB128" s="139"/>
      <c r="MMC128" s="139"/>
      <c r="MMD128" s="139"/>
      <c r="MME128" s="139"/>
      <c r="MMF128" s="139"/>
      <c r="MMG128" s="139"/>
      <c r="MMH128" s="139"/>
      <c r="MMI128" s="139"/>
      <c r="MMJ128" s="139"/>
      <c r="MMK128" s="139"/>
      <c r="MML128" s="139"/>
      <c r="MMM128" s="139"/>
      <c r="MMN128" s="139"/>
      <c r="MMO128" s="139"/>
      <c r="MMP128" s="139"/>
      <c r="MMQ128" s="139"/>
      <c r="MMR128" s="139"/>
      <c r="MMS128" s="139"/>
      <c r="MMT128" s="139"/>
      <c r="MMU128" s="139"/>
      <c r="MMV128" s="139"/>
      <c r="MMW128" s="139"/>
      <c r="MMX128" s="139"/>
      <c r="MMY128" s="139"/>
      <c r="MMZ128" s="139"/>
      <c r="MNA128" s="139"/>
      <c r="MNB128" s="139"/>
      <c r="MNC128" s="139"/>
      <c r="MND128" s="139"/>
      <c r="MNE128" s="139"/>
      <c r="MNF128" s="139"/>
      <c r="MNG128" s="139"/>
      <c r="MNH128" s="139"/>
      <c r="MNI128" s="139"/>
      <c r="MNJ128" s="139"/>
      <c r="MNK128" s="139"/>
      <c r="MNL128" s="139"/>
      <c r="MNM128" s="139"/>
      <c r="MNN128" s="139"/>
      <c r="MNO128" s="139"/>
      <c r="MNP128" s="139"/>
      <c r="MNQ128" s="139"/>
      <c r="MNR128" s="139"/>
      <c r="MNS128" s="139"/>
      <c r="MNT128" s="139"/>
      <c r="MNU128" s="139"/>
      <c r="MNV128" s="139"/>
      <c r="MNW128" s="139"/>
      <c r="MNX128" s="139"/>
      <c r="MNY128" s="139"/>
      <c r="MNZ128" s="139"/>
      <c r="MOA128" s="139"/>
      <c r="MOB128" s="139"/>
      <c r="MOC128" s="139"/>
      <c r="MOD128" s="139"/>
      <c r="MOE128" s="139"/>
      <c r="MOF128" s="139"/>
      <c r="MOG128" s="139"/>
      <c r="MOH128" s="139"/>
      <c r="MOI128" s="139"/>
      <c r="MOJ128" s="139"/>
      <c r="MOK128" s="139"/>
      <c r="MOL128" s="139"/>
      <c r="MOM128" s="139"/>
      <c r="MON128" s="139"/>
      <c r="MOO128" s="139"/>
      <c r="MOP128" s="139"/>
      <c r="MOQ128" s="139"/>
      <c r="MOR128" s="139"/>
      <c r="MOS128" s="139"/>
      <c r="MOT128" s="139"/>
      <c r="MOU128" s="139"/>
      <c r="MOV128" s="139"/>
      <c r="MOW128" s="139"/>
      <c r="MOX128" s="139"/>
      <c r="MOY128" s="139"/>
      <c r="MOZ128" s="139"/>
      <c r="MPA128" s="139"/>
      <c r="MPB128" s="139"/>
      <c r="MPC128" s="139"/>
      <c r="MPD128" s="139"/>
      <c r="MPE128" s="139"/>
      <c r="MPF128" s="139"/>
      <c r="MPG128" s="139"/>
      <c r="MPH128" s="139"/>
      <c r="MPI128" s="139"/>
      <c r="MPJ128" s="139"/>
      <c r="MPK128" s="139"/>
      <c r="MPL128" s="139"/>
      <c r="MPM128" s="139"/>
      <c r="MPN128" s="139"/>
      <c r="MPO128" s="139"/>
      <c r="MPP128" s="139"/>
      <c r="MPQ128" s="139"/>
      <c r="MPR128" s="139"/>
      <c r="MPS128" s="139"/>
      <c r="MPT128" s="139"/>
      <c r="MPU128" s="139"/>
      <c r="MPV128" s="139"/>
      <c r="MPW128" s="139"/>
      <c r="MPX128" s="139"/>
      <c r="MPY128" s="139"/>
      <c r="MPZ128" s="139"/>
      <c r="MQA128" s="139"/>
      <c r="MQB128" s="139"/>
      <c r="MQC128" s="139"/>
      <c r="MQD128" s="139"/>
      <c r="MQE128" s="139"/>
      <c r="MQF128" s="139"/>
      <c r="MQG128" s="139"/>
      <c r="MQH128" s="139"/>
      <c r="MQI128" s="139"/>
      <c r="MQJ128" s="139"/>
      <c r="MQK128" s="139"/>
      <c r="MQL128" s="139"/>
      <c r="MQM128" s="139"/>
      <c r="MQN128" s="139"/>
      <c r="MQO128" s="139"/>
      <c r="MQP128" s="139"/>
      <c r="MQQ128" s="139"/>
      <c r="MQR128" s="139"/>
      <c r="MQS128" s="139"/>
      <c r="MQT128" s="139"/>
      <c r="MQU128" s="139"/>
      <c r="MQV128" s="139"/>
      <c r="MQW128" s="139"/>
      <c r="MQX128" s="139"/>
      <c r="MQY128" s="139"/>
      <c r="MQZ128" s="139"/>
      <c r="MRA128" s="139"/>
      <c r="MRB128" s="139"/>
      <c r="MRC128" s="139"/>
      <c r="MRD128" s="139"/>
      <c r="MRE128" s="139"/>
      <c r="MRF128" s="139"/>
      <c r="MRG128" s="139"/>
      <c r="MRH128" s="139"/>
      <c r="MRI128" s="139"/>
      <c r="MRJ128" s="139"/>
      <c r="MRK128" s="139"/>
      <c r="MRL128" s="139"/>
      <c r="MRM128" s="139"/>
      <c r="MRN128" s="139"/>
      <c r="MRO128" s="139"/>
      <c r="MRP128" s="139"/>
      <c r="MRQ128" s="139"/>
      <c r="MRR128" s="139"/>
      <c r="MRS128" s="139"/>
      <c r="MRT128" s="139"/>
      <c r="MRU128" s="139"/>
      <c r="MRV128" s="139"/>
      <c r="MRW128" s="139"/>
      <c r="MRX128" s="139"/>
      <c r="MRY128" s="139"/>
      <c r="MRZ128" s="139"/>
      <c r="MSA128" s="139"/>
      <c r="MSB128" s="139"/>
      <c r="MSC128" s="139"/>
      <c r="MSD128" s="139"/>
      <c r="MSE128" s="139"/>
      <c r="MSF128" s="139"/>
      <c r="MSG128" s="139"/>
      <c r="MSH128" s="139"/>
      <c r="MSI128" s="139"/>
      <c r="MSJ128" s="139"/>
      <c r="MSK128" s="139"/>
      <c r="MSL128" s="139"/>
      <c r="MSM128" s="139"/>
      <c r="MSN128" s="139"/>
      <c r="MSO128" s="139"/>
      <c r="MSP128" s="139"/>
      <c r="MSQ128" s="139"/>
      <c r="MSR128" s="139"/>
      <c r="MSS128" s="139"/>
      <c r="MST128" s="139"/>
      <c r="MSU128" s="139"/>
      <c r="MSV128" s="139"/>
      <c r="MSW128" s="139"/>
      <c r="MSX128" s="139"/>
      <c r="MSY128" s="139"/>
      <c r="MSZ128" s="139"/>
      <c r="MTA128" s="139"/>
      <c r="MTB128" s="139"/>
      <c r="MTC128" s="139"/>
      <c r="MTD128" s="139"/>
      <c r="MTE128" s="139"/>
      <c r="MTF128" s="139"/>
      <c r="MTG128" s="139"/>
      <c r="MTH128" s="139"/>
      <c r="MTI128" s="139"/>
      <c r="MTJ128" s="139"/>
      <c r="MTK128" s="139"/>
      <c r="MTL128" s="139"/>
      <c r="MTM128" s="139"/>
      <c r="MTN128" s="139"/>
      <c r="MTO128" s="139"/>
      <c r="MTP128" s="139"/>
      <c r="MTQ128" s="139"/>
      <c r="MTR128" s="139"/>
      <c r="MTS128" s="139"/>
      <c r="MTT128" s="139"/>
      <c r="MTU128" s="139"/>
      <c r="MTV128" s="139"/>
      <c r="MTW128" s="139"/>
      <c r="MTX128" s="139"/>
      <c r="MTY128" s="139"/>
      <c r="MTZ128" s="139"/>
      <c r="MUA128" s="139"/>
      <c r="MUB128" s="139"/>
      <c r="MUC128" s="139"/>
      <c r="MUD128" s="139"/>
      <c r="MUE128" s="139"/>
      <c r="MUF128" s="139"/>
      <c r="MUG128" s="139"/>
      <c r="MUH128" s="139"/>
      <c r="MUI128" s="139"/>
      <c r="MUJ128" s="139"/>
      <c r="MUK128" s="139"/>
      <c r="MUL128" s="139"/>
      <c r="MUM128" s="139"/>
      <c r="MUN128" s="139"/>
      <c r="MUO128" s="139"/>
      <c r="MUP128" s="139"/>
      <c r="MUQ128" s="139"/>
      <c r="MUR128" s="139"/>
      <c r="MUS128" s="139"/>
      <c r="MUT128" s="139"/>
      <c r="MUU128" s="139"/>
      <c r="MUV128" s="139"/>
      <c r="MUW128" s="139"/>
      <c r="MUX128" s="139"/>
      <c r="MUY128" s="139"/>
      <c r="MUZ128" s="139"/>
      <c r="MVA128" s="139"/>
      <c r="MVB128" s="139"/>
      <c r="MVC128" s="139"/>
      <c r="MVD128" s="139"/>
      <c r="MVE128" s="139"/>
      <c r="MVF128" s="139"/>
      <c r="MVG128" s="139"/>
      <c r="MVH128" s="139"/>
      <c r="MVI128" s="139"/>
      <c r="MVJ128" s="139"/>
      <c r="MVK128" s="139"/>
      <c r="MVL128" s="139"/>
      <c r="MVM128" s="139"/>
      <c r="MVN128" s="139"/>
      <c r="MVO128" s="139"/>
      <c r="MVP128" s="139"/>
      <c r="MVQ128" s="139"/>
      <c r="MVR128" s="139"/>
      <c r="MVS128" s="139"/>
      <c r="MVT128" s="139"/>
      <c r="MVU128" s="139"/>
      <c r="MVV128" s="139"/>
      <c r="MVW128" s="139"/>
      <c r="MVX128" s="139"/>
      <c r="MVY128" s="139"/>
      <c r="MVZ128" s="139"/>
      <c r="MWA128" s="139"/>
      <c r="MWB128" s="139"/>
      <c r="MWC128" s="139"/>
      <c r="MWD128" s="139"/>
      <c r="MWE128" s="139"/>
      <c r="MWF128" s="139"/>
      <c r="MWG128" s="139"/>
      <c r="MWH128" s="139"/>
      <c r="MWI128" s="139"/>
      <c r="MWJ128" s="139"/>
      <c r="MWK128" s="139"/>
      <c r="MWL128" s="139"/>
      <c r="MWM128" s="139"/>
      <c r="MWN128" s="139"/>
      <c r="MWO128" s="139"/>
      <c r="MWP128" s="139"/>
      <c r="MWQ128" s="139"/>
      <c r="MWR128" s="139"/>
      <c r="MWS128" s="139"/>
      <c r="MWT128" s="139"/>
      <c r="MWU128" s="139"/>
      <c r="MWV128" s="139"/>
      <c r="MWW128" s="139"/>
      <c r="MWX128" s="139"/>
      <c r="MWY128" s="139"/>
      <c r="MWZ128" s="139"/>
      <c r="MXA128" s="139"/>
      <c r="MXB128" s="139"/>
      <c r="MXC128" s="139"/>
      <c r="MXD128" s="139"/>
      <c r="MXE128" s="139"/>
      <c r="MXF128" s="139"/>
      <c r="MXG128" s="139"/>
      <c r="MXH128" s="139"/>
      <c r="MXI128" s="139"/>
      <c r="MXJ128" s="139"/>
      <c r="MXK128" s="139"/>
      <c r="MXL128" s="139"/>
      <c r="MXM128" s="139"/>
      <c r="MXN128" s="139"/>
      <c r="MXO128" s="139"/>
      <c r="MXP128" s="139"/>
      <c r="MXQ128" s="139"/>
      <c r="MXR128" s="139"/>
      <c r="MXS128" s="139"/>
      <c r="MXT128" s="139"/>
      <c r="MXU128" s="139"/>
      <c r="MXV128" s="139"/>
      <c r="MXW128" s="139"/>
      <c r="MXX128" s="139"/>
      <c r="MXY128" s="139"/>
      <c r="MXZ128" s="139"/>
      <c r="MYA128" s="139"/>
      <c r="MYB128" s="139"/>
      <c r="MYC128" s="139"/>
      <c r="MYD128" s="139"/>
      <c r="MYE128" s="139"/>
      <c r="MYF128" s="139"/>
      <c r="MYG128" s="139"/>
      <c r="MYH128" s="139"/>
      <c r="MYI128" s="139"/>
      <c r="MYJ128" s="139"/>
      <c r="MYK128" s="139"/>
      <c r="MYL128" s="139"/>
      <c r="MYM128" s="139"/>
      <c r="MYN128" s="139"/>
      <c r="MYO128" s="139"/>
      <c r="MYP128" s="139"/>
      <c r="MYQ128" s="139"/>
      <c r="MYR128" s="139"/>
      <c r="MYS128" s="139"/>
      <c r="MYT128" s="139"/>
      <c r="MYU128" s="139"/>
      <c r="MYV128" s="139"/>
      <c r="MYW128" s="139"/>
      <c r="MYX128" s="139"/>
      <c r="MYY128" s="139"/>
      <c r="MYZ128" s="139"/>
      <c r="MZA128" s="139"/>
      <c r="MZB128" s="139"/>
      <c r="MZC128" s="139"/>
      <c r="MZD128" s="139"/>
      <c r="MZE128" s="139"/>
      <c r="MZF128" s="139"/>
      <c r="MZG128" s="139"/>
      <c r="MZH128" s="139"/>
      <c r="MZI128" s="139"/>
      <c r="MZJ128" s="139"/>
      <c r="MZK128" s="139"/>
      <c r="MZL128" s="139"/>
      <c r="MZM128" s="139"/>
      <c r="MZN128" s="139"/>
      <c r="MZO128" s="139"/>
      <c r="MZP128" s="139"/>
      <c r="MZQ128" s="139"/>
      <c r="MZR128" s="139"/>
      <c r="MZS128" s="139"/>
      <c r="MZT128" s="139"/>
      <c r="MZU128" s="139"/>
      <c r="MZV128" s="139"/>
      <c r="MZW128" s="139"/>
      <c r="MZX128" s="139"/>
      <c r="MZY128" s="139"/>
      <c r="MZZ128" s="139"/>
      <c r="NAA128" s="139"/>
      <c r="NAB128" s="139"/>
      <c r="NAC128" s="139"/>
      <c r="NAD128" s="139"/>
      <c r="NAE128" s="139"/>
      <c r="NAF128" s="139"/>
      <c r="NAG128" s="139"/>
      <c r="NAH128" s="139"/>
      <c r="NAI128" s="139"/>
      <c r="NAJ128" s="139"/>
      <c r="NAK128" s="139"/>
      <c r="NAL128" s="139"/>
      <c r="NAM128" s="139"/>
      <c r="NAN128" s="139"/>
      <c r="NAO128" s="139"/>
      <c r="NAP128" s="139"/>
      <c r="NAQ128" s="139"/>
      <c r="NAR128" s="139"/>
      <c r="NAS128" s="139"/>
      <c r="NAT128" s="139"/>
      <c r="NAU128" s="139"/>
      <c r="NAV128" s="139"/>
      <c r="NAW128" s="139"/>
      <c r="NAX128" s="139"/>
      <c r="NAY128" s="139"/>
      <c r="NAZ128" s="139"/>
      <c r="NBA128" s="139"/>
      <c r="NBB128" s="139"/>
      <c r="NBC128" s="139"/>
      <c r="NBD128" s="139"/>
      <c r="NBE128" s="139"/>
      <c r="NBF128" s="139"/>
      <c r="NBG128" s="139"/>
      <c r="NBH128" s="139"/>
      <c r="NBI128" s="139"/>
      <c r="NBJ128" s="139"/>
      <c r="NBK128" s="139"/>
      <c r="NBL128" s="139"/>
      <c r="NBM128" s="139"/>
      <c r="NBN128" s="139"/>
      <c r="NBO128" s="139"/>
      <c r="NBP128" s="139"/>
      <c r="NBQ128" s="139"/>
      <c r="NBR128" s="139"/>
      <c r="NBS128" s="139"/>
      <c r="NBT128" s="139"/>
      <c r="NBU128" s="139"/>
      <c r="NBV128" s="139"/>
      <c r="NBW128" s="139"/>
      <c r="NBX128" s="139"/>
      <c r="NBY128" s="139"/>
      <c r="NBZ128" s="139"/>
      <c r="NCA128" s="139"/>
      <c r="NCB128" s="139"/>
      <c r="NCC128" s="139"/>
      <c r="NCD128" s="139"/>
      <c r="NCE128" s="139"/>
      <c r="NCF128" s="139"/>
      <c r="NCG128" s="139"/>
      <c r="NCH128" s="139"/>
      <c r="NCI128" s="139"/>
      <c r="NCJ128" s="139"/>
      <c r="NCK128" s="139"/>
      <c r="NCL128" s="139"/>
      <c r="NCM128" s="139"/>
      <c r="NCN128" s="139"/>
      <c r="NCO128" s="139"/>
      <c r="NCP128" s="139"/>
      <c r="NCQ128" s="139"/>
      <c r="NCR128" s="139"/>
      <c r="NCS128" s="139"/>
      <c r="NCT128" s="139"/>
      <c r="NCU128" s="139"/>
      <c r="NCV128" s="139"/>
      <c r="NCW128" s="139"/>
      <c r="NCX128" s="139"/>
      <c r="NCY128" s="139"/>
      <c r="NCZ128" s="139"/>
      <c r="NDA128" s="139"/>
      <c r="NDB128" s="139"/>
      <c r="NDC128" s="139"/>
      <c r="NDD128" s="139"/>
      <c r="NDE128" s="139"/>
      <c r="NDF128" s="139"/>
      <c r="NDG128" s="139"/>
      <c r="NDH128" s="139"/>
      <c r="NDI128" s="139"/>
      <c r="NDJ128" s="139"/>
      <c r="NDK128" s="139"/>
      <c r="NDL128" s="139"/>
      <c r="NDM128" s="139"/>
      <c r="NDN128" s="139"/>
      <c r="NDO128" s="139"/>
      <c r="NDP128" s="139"/>
      <c r="NDQ128" s="139"/>
      <c r="NDR128" s="139"/>
      <c r="NDS128" s="139"/>
      <c r="NDT128" s="139"/>
      <c r="NDU128" s="139"/>
      <c r="NDV128" s="139"/>
      <c r="NDW128" s="139"/>
      <c r="NDX128" s="139"/>
      <c r="NDY128" s="139"/>
      <c r="NDZ128" s="139"/>
      <c r="NEA128" s="139"/>
      <c r="NEB128" s="139"/>
      <c r="NEC128" s="139"/>
      <c r="NED128" s="139"/>
      <c r="NEE128" s="139"/>
      <c r="NEF128" s="139"/>
      <c r="NEG128" s="139"/>
      <c r="NEH128" s="139"/>
      <c r="NEI128" s="139"/>
      <c r="NEJ128" s="139"/>
      <c r="NEK128" s="139"/>
      <c r="NEL128" s="139"/>
      <c r="NEM128" s="139"/>
      <c r="NEN128" s="139"/>
      <c r="NEO128" s="139"/>
      <c r="NEP128" s="139"/>
      <c r="NEQ128" s="139"/>
      <c r="NER128" s="139"/>
      <c r="NES128" s="139"/>
      <c r="NET128" s="139"/>
      <c r="NEU128" s="139"/>
      <c r="NEV128" s="139"/>
      <c r="NEW128" s="139"/>
      <c r="NEX128" s="139"/>
      <c r="NEY128" s="139"/>
      <c r="NEZ128" s="139"/>
      <c r="NFA128" s="139"/>
      <c r="NFB128" s="139"/>
      <c r="NFC128" s="139"/>
      <c r="NFD128" s="139"/>
      <c r="NFE128" s="139"/>
      <c r="NFF128" s="139"/>
      <c r="NFG128" s="139"/>
      <c r="NFH128" s="139"/>
      <c r="NFI128" s="139"/>
      <c r="NFJ128" s="139"/>
      <c r="NFK128" s="139"/>
      <c r="NFL128" s="139"/>
      <c r="NFM128" s="139"/>
      <c r="NFN128" s="139"/>
      <c r="NFO128" s="139"/>
      <c r="NFP128" s="139"/>
      <c r="NFQ128" s="139"/>
      <c r="NFR128" s="139"/>
      <c r="NFS128" s="139"/>
      <c r="NFT128" s="139"/>
      <c r="NFU128" s="139"/>
      <c r="NFV128" s="139"/>
      <c r="NFW128" s="139"/>
      <c r="NFX128" s="139"/>
      <c r="NFY128" s="139"/>
      <c r="NFZ128" s="139"/>
      <c r="NGA128" s="139"/>
      <c r="NGB128" s="139"/>
      <c r="NGC128" s="139"/>
      <c r="NGD128" s="139"/>
      <c r="NGE128" s="139"/>
      <c r="NGF128" s="139"/>
      <c r="NGG128" s="139"/>
      <c r="NGH128" s="139"/>
      <c r="NGI128" s="139"/>
      <c r="NGJ128" s="139"/>
      <c r="NGK128" s="139"/>
      <c r="NGL128" s="139"/>
      <c r="NGM128" s="139"/>
      <c r="NGN128" s="139"/>
      <c r="NGO128" s="139"/>
      <c r="NGP128" s="139"/>
      <c r="NGQ128" s="139"/>
      <c r="NGR128" s="139"/>
      <c r="NGS128" s="139"/>
      <c r="NGT128" s="139"/>
      <c r="NGU128" s="139"/>
      <c r="NGV128" s="139"/>
      <c r="NGW128" s="139"/>
      <c r="NGX128" s="139"/>
      <c r="NGY128" s="139"/>
      <c r="NGZ128" s="139"/>
      <c r="NHA128" s="139"/>
      <c r="NHB128" s="139"/>
      <c r="NHC128" s="139"/>
      <c r="NHD128" s="139"/>
      <c r="NHE128" s="139"/>
      <c r="NHF128" s="139"/>
      <c r="NHG128" s="139"/>
      <c r="NHH128" s="139"/>
      <c r="NHI128" s="139"/>
      <c r="NHJ128" s="139"/>
      <c r="NHK128" s="139"/>
      <c r="NHL128" s="139"/>
      <c r="NHM128" s="139"/>
      <c r="NHN128" s="139"/>
      <c r="NHO128" s="139"/>
      <c r="NHP128" s="139"/>
      <c r="NHQ128" s="139"/>
      <c r="NHR128" s="139"/>
      <c r="NHS128" s="139"/>
      <c r="NHT128" s="139"/>
      <c r="NHU128" s="139"/>
      <c r="NHV128" s="139"/>
      <c r="NHW128" s="139"/>
      <c r="NHX128" s="139"/>
      <c r="NHY128" s="139"/>
      <c r="NHZ128" s="139"/>
      <c r="NIA128" s="139"/>
      <c r="NIB128" s="139"/>
      <c r="NIC128" s="139"/>
      <c r="NID128" s="139"/>
      <c r="NIE128" s="139"/>
      <c r="NIF128" s="139"/>
      <c r="NIG128" s="139"/>
      <c r="NIH128" s="139"/>
      <c r="NII128" s="139"/>
      <c r="NIJ128" s="139"/>
      <c r="NIK128" s="139"/>
      <c r="NIL128" s="139"/>
      <c r="NIM128" s="139"/>
      <c r="NIN128" s="139"/>
      <c r="NIO128" s="139"/>
      <c r="NIP128" s="139"/>
      <c r="NIQ128" s="139"/>
      <c r="NIR128" s="139"/>
      <c r="NIS128" s="139"/>
      <c r="NIT128" s="139"/>
      <c r="NIU128" s="139"/>
      <c r="NIV128" s="139"/>
      <c r="NIW128" s="139"/>
      <c r="NIX128" s="139"/>
      <c r="NIY128" s="139"/>
      <c r="NIZ128" s="139"/>
      <c r="NJA128" s="139"/>
      <c r="NJB128" s="139"/>
      <c r="NJC128" s="139"/>
      <c r="NJD128" s="139"/>
      <c r="NJE128" s="139"/>
      <c r="NJF128" s="139"/>
      <c r="NJG128" s="139"/>
      <c r="NJH128" s="139"/>
      <c r="NJI128" s="139"/>
      <c r="NJJ128" s="139"/>
      <c r="NJK128" s="139"/>
      <c r="NJL128" s="139"/>
      <c r="NJM128" s="139"/>
      <c r="NJN128" s="139"/>
      <c r="NJO128" s="139"/>
      <c r="NJP128" s="139"/>
      <c r="NJQ128" s="139"/>
      <c r="NJR128" s="139"/>
      <c r="NJS128" s="139"/>
      <c r="NJT128" s="139"/>
      <c r="NJU128" s="139"/>
      <c r="NJV128" s="139"/>
      <c r="NJW128" s="139"/>
      <c r="NJX128" s="139"/>
      <c r="NJY128" s="139"/>
      <c r="NJZ128" s="139"/>
      <c r="NKA128" s="139"/>
      <c r="NKB128" s="139"/>
      <c r="NKC128" s="139"/>
      <c r="NKD128" s="139"/>
      <c r="NKE128" s="139"/>
      <c r="NKF128" s="139"/>
      <c r="NKG128" s="139"/>
      <c r="NKH128" s="139"/>
      <c r="NKI128" s="139"/>
      <c r="NKJ128" s="139"/>
      <c r="NKK128" s="139"/>
      <c r="NKL128" s="139"/>
      <c r="NKM128" s="139"/>
      <c r="NKN128" s="139"/>
      <c r="NKO128" s="139"/>
      <c r="NKP128" s="139"/>
      <c r="NKQ128" s="139"/>
      <c r="NKR128" s="139"/>
      <c r="NKS128" s="139"/>
      <c r="NKT128" s="139"/>
      <c r="NKU128" s="139"/>
      <c r="NKV128" s="139"/>
      <c r="NKW128" s="139"/>
      <c r="NKX128" s="139"/>
      <c r="NKY128" s="139"/>
      <c r="NKZ128" s="139"/>
      <c r="NLA128" s="139"/>
      <c r="NLB128" s="139"/>
      <c r="NLC128" s="139"/>
      <c r="NLD128" s="139"/>
      <c r="NLE128" s="139"/>
      <c r="NLF128" s="139"/>
      <c r="NLG128" s="139"/>
      <c r="NLH128" s="139"/>
      <c r="NLI128" s="139"/>
      <c r="NLJ128" s="139"/>
      <c r="NLK128" s="139"/>
      <c r="NLL128" s="139"/>
      <c r="NLM128" s="139"/>
      <c r="NLN128" s="139"/>
      <c r="NLO128" s="139"/>
      <c r="NLP128" s="139"/>
      <c r="NLQ128" s="139"/>
      <c r="NLR128" s="139"/>
      <c r="NLS128" s="139"/>
      <c r="NLT128" s="139"/>
      <c r="NLU128" s="139"/>
      <c r="NLV128" s="139"/>
      <c r="NLW128" s="139"/>
      <c r="NLX128" s="139"/>
      <c r="NLY128" s="139"/>
      <c r="NLZ128" s="139"/>
      <c r="NMA128" s="139"/>
      <c r="NMB128" s="139"/>
      <c r="NMC128" s="139"/>
      <c r="NMD128" s="139"/>
      <c r="NME128" s="139"/>
      <c r="NMF128" s="139"/>
      <c r="NMG128" s="139"/>
      <c r="NMH128" s="139"/>
      <c r="NMI128" s="139"/>
      <c r="NMJ128" s="139"/>
      <c r="NMK128" s="139"/>
      <c r="NML128" s="139"/>
      <c r="NMM128" s="139"/>
      <c r="NMN128" s="139"/>
      <c r="NMO128" s="139"/>
      <c r="NMP128" s="139"/>
      <c r="NMQ128" s="139"/>
      <c r="NMR128" s="139"/>
      <c r="NMS128" s="139"/>
      <c r="NMT128" s="139"/>
      <c r="NMU128" s="139"/>
      <c r="NMV128" s="139"/>
      <c r="NMW128" s="139"/>
      <c r="NMX128" s="139"/>
      <c r="NMY128" s="139"/>
      <c r="NMZ128" s="139"/>
      <c r="NNA128" s="139"/>
      <c r="NNB128" s="139"/>
      <c r="NNC128" s="139"/>
      <c r="NND128" s="139"/>
      <c r="NNE128" s="139"/>
      <c r="NNF128" s="139"/>
      <c r="NNG128" s="139"/>
      <c r="NNH128" s="139"/>
      <c r="NNI128" s="139"/>
      <c r="NNJ128" s="139"/>
      <c r="NNK128" s="139"/>
      <c r="NNL128" s="139"/>
      <c r="NNM128" s="139"/>
      <c r="NNN128" s="139"/>
      <c r="NNO128" s="139"/>
      <c r="NNP128" s="139"/>
      <c r="NNQ128" s="139"/>
      <c r="NNR128" s="139"/>
      <c r="NNS128" s="139"/>
      <c r="NNT128" s="139"/>
      <c r="NNU128" s="139"/>
      <c r="NNV128" s="139"/>
      <c r="NNW128" s="139"/>
      <c r="NNX128" s="139"/>
      <c r="NNY128" s="139"/>
      <c r="NNZ128" s="139"/>
      <c r="NOA128" s="139"/>
      <c r="NOB128" s="139"/>
      <c r="NOC128" s="139"/>
      <c r="NOD128" s="139"/>
      <c r="NOE128" s="139"/>
      <c r="NOF128" s="139"/>
      <c r="NOG128" s="139"/>
      <c r="NOH128" s="139"/>
      <c r="NOI128" s="139"/>
      <c r="NOJ128" s="139"/>
      <c r="NOK128" s="139"/>
      <c r="NOL128" s="139"/>
      <c r="NOM128" s="139"/>
      <c r="NON128" s="139"/>
      <c r="NOO128" s="139"/>
      <c r="NOP128" s="139"/>
      <c r="NOQ128" s="139"/>
      <c r="NOR128" s="139"/>
      <c r="NOS128" s="139"/>
      <c r="NOT128" s="139"/>
      <c r="NOU128" s="139"/>
      <c r="NOV128" s="139"/>
      <c r="NOW128" s="139"/>
      <c r="NOX128" s="139"/>
      <c r="NOY128" s="139"/>
      <c r="NOZ128" s="139"/>
      <c r="NPA128" s="139"/>
      <c r="NPB128" s="139"/>
      <c r="NPC128" s="139"/>
      <c r="NPD128" s="139"/>
      <c r="NPE128" s="139"/>
      <c r="NPF128" s="139"/>
      <c r="NPG128" s="139"/>
      <c r="NPH128" s="139"/>
      <c r="NPI128" s="139"/>
      <c r="NPJ128" s="139"/>
      <c r="NPK128" s="139"/>
      <c r="NPL128" s="139"/>
      <c r="NPM128" s="139"/>
      <c r="NPN128" s="139"/>
      <c r="NPO128" s="139"/>
      <c r="NPP128" s="139"/>
      <c r="NPQ128" s="139"/>
      <c r="NPR128" s="139"/>
      <c r="NPS128" s="139"/>
      <c r="NPT128" s="139"/>
      <c r="NPU128" s="139"/>
      <c r="NPV128" s="139"/>
      <c r="NPW128" s="139"/>
      <c r="NPX128" s="139"/>
      <c r="NPY128" s="139"/>
      <c r="NPZ128" s="139"/>
      <c r="NQA128" s="139"/>
      <c r="NQB128" s="139"/>
      <c r="NQC128" s="139"/>
      <c r="NQD128" s="139"/>
      <c r="NQE128" s="139"/>
      <c r="NQF128" s="139"/>
      <c r="NQG128" s="139"/>
      <c r="NQH128" s="139"/>
      <c r="NQI128" s="139"/>
      <c r="NQJ128" s="139"/>
      <c r="NQK128" s="139"/>
      <c r="NQL128" s="139"/>
      <c r="NQM128" s="139"/>
      <c r="NQN128" s="139"/>
      <c r="NQO128" s="139"/>
      <c r="NQP128" s="139"/>
      <c r="NQQ128" s="139"/>
      <c r="NQR128" s="139"/>
      <c r="NQS128" s="139"/>
      <c r="NQT128" s="139"/>
      <c r="NQU128" s="139"/>
      <c r="NQV128" s="139"/>
      <c r="NQW128" s="139"/>
      <c r="NQX128" s="139"/>
      <c r="NQY128" s="139"/>
      <c r="NQZ128" s="139"/>
      <c r="NRA128" s="139"/>
      <c r="NRB128" s="139"/>
      <c r="NRC128" s="139"/>
      <c r="NRD128" s="139"/>
      <c r="NRE128" s="139"/>
      <c r="NRF128" s="139"/>
      <c r="NRG128" s="139"/>
      <c r="NRH128" s="139"/>
      <c r="NRI128" s="139"/>
      <c r="NRJ128" s="139"/>
      <c r="NRK128" s="139"/>
      <c r="NRL128" s="139"/>
      <c r="NRM128" s="139"/>
      <c r="NRN128" s="139"/>
      <c r="NRO128" s="139"/>
      <c r="NRP128" s="139"/>
      <c r="NRQ128" s="139"/>
      <c r="NRR128" s="139"/>
      <c r="NRS128" s="139"/>
      <c r="NRT128" s="139"/>
      <c r="NRU128" s="139"/>
      <c r="NRV128" s="139"/>
      <c r="NRW128" s="139"/>
      <c r="NRX128" s="139"/>
      <c r="NRY128" s="139"/>
      <c r="NRZ128" s="139"/>
      <c r="NSA128" s="139"/>
      <c r="NSB128" s="139"/>
      <c r="NSC128" s="139"/>
      <c r="NSD128" s="139"/>
      <c r="NSE128" s="139"/>
      <c r="NSF128" s="139"/>
      <c r="NSG128" s="139"/>
      <c r="NSH128" s="139"/>
      <c r="NSI128" s="139"/>
      <c r="NSJ128" s="139"/>
      <c r="NSK128" s="139"/>
      <c r="NSL128" s="139"/>
      <c r="NSM128" s="139"/>
      <c r="NSN128" s="139"/>
      <c r="NSO128" s="139"/>
      <c r="NSP128" s="139"/>
      <c r="NSQ128" s="139"/>
      <c r="NSR128" s="139"/>
      <c r="NSS128" s="139"/>
      <c r="NST128" s="139"/>
      <c r="NSU128" s="139"/>
      <c r="NSV128" s="139"/>
      <c r="NSW128" s="139"/>
      <c r="NSX128" s="139"/>
      <c r="NSY128" s="139"/>
      <c r="NSZ128" s="139"/>
      <c r="NTA128" s="139"/>
      <c r="NTB128" s="139"/>
      <c r="NTC128" s="139"/>
      <c r="NTD128" s="139"/>
      <c r="NTE128" s="139"/>
      <c r="NTF128" s="139"/>
      <c r="NTG128" s="139"/>
      <c r="NTH128" s="139"/>
      <c r="NTI128" s="139"/>
      <c r="NTJ128" s="139"/>
      <c r="NTK128" s="139"/>
      <c r="NTL128" s="139"/>
      <c r="NTM128" s="139"/>
      <c r="NTN128" s="139"/>
      <c r="NTO128" s="139"/>
      <c r="NTP128" s="139"/>
      <c r="NTQ128" s="139"/>
      <c r="NTR128" s="139"/>
      <c r="NTS128" s="139"/>
      <c r="NTT128" s="139"/>
      <c r="NTU128" s="139"/>
      <c r="NTV128" s="139"/>
      <c r="NTW128" s="139"/>
      <c r="NTX128" s="139"/>
      <c r="NTY128" s="139"/>
      <c r="NTZ128" s="139"/>
      <c r="NUA128" s="139"/>
      <c r="NUB128" s="139"/>
      <c r="NUC128" s="139"/>
      <c r="NUD128" s="139"/>
      <c r="NUE128" s="139"/>
      <c r="NUF128" s="139"/>
      <c r="NUG128" s="139"/>
      <c r="NUH128" s="139"/>
      <c r="NUI128" s="139"/>
      <c r="NUJ128" s="139"/>
      <c r="NUK128" s="139"/>
      <c r="NUL128" s="139"/>
      <c r="NUM128" s="139"/>
      <c r="NUN128" s="139"/>
      <c r="NUO128" s="139"/>
      <c r="NUP128" s="139"/>
      <c r="NUQ128" s="139"/>
      <c r="NUR128" s="139"/>
      <c r="NUS128" s="139"/>
      <c r="NUT128" s="139"/>
      <c r="NUU128" s="139"/>
      <c r="NUV128" s="139"/>
      <c r="NUW128" s="139"/>
      <c r="NUX128" s="139"/>
      <c r="NUY128" s="139"/>
      <c r="NUZ128" s="139"/>
      <c r="NVA128" s="139"/>
      <c r="NVB128" s="139"/>
      <c r="NVC128" s="139"/>
      <c r="NVD128" s="139"/>
      <c r="NVE128" s="139"/>
      <c r="NVF128" s="139"/>
      <c r="NVG128" s="139"/>
      <c r="NVH128" s="139"/>
      <c r="NVI128" s="139"/>
      <c r="NVJ128" s="139"/>
      <c r="NVK128" s="139"/>
      <c r="NVL128" s="139"/>
      <c r="NVM128" s="139"/>
      <c r="NVN128" s="139"/>
      <c r="NVO128" s="139"/>
      <c r="NVP128" s="139"/>
      <c r="NVQ128" s="139"/>
      <c r="NVR128" s="139"/>
      <c r="NVS128" s="139"/>
      <c r="NVT128" s="139"/>
      <c r="NVU128" s="139"/>
      <c r="NVV128" s="139"/>
      <c r="NVW128" s="139"/>
      <c r="NVX128" s="139"/>
      <c r="NVY128" s="139"/>
      <c r="NVZ128" s="139"/>
      <c r="NWA128" s="139"/>
      <c r="NWB128" s="139"/>
      <c r="NWC128" s="139"/>
      <c r="NWD128" s="139"/>
      <c r="NWE128" s="139"/>
      <c r="NWF128" s="139"/>
      <c r="NWG128" s="139"/>
      <c r="NWH128" s="139"/>
      <c r="NWI128" s="139"/>
      <c r="NWJ128" s="139"/>
      <c r="NWK128" s="139"/>
      <c r="NWL128" s="139"/>
      <c r="NWM128" s="139"/>
      <c r="NWN128" s="139"/>
      <c r="NWO128" s="139"/>
      <c r="NWP128" s="139"/>
      <c r="NWQ128" s="139"/>
      <c r="NWR128" s="139"/>
      <c r="NWS128" s="139"/>
      <c r="NWT128" s="139"/>
      <c r="NWU128" s="139"/>
      <c r="NWV128" s="139"/>
      <c r="NWW128" s="139"/>
      <c r="NWX128" s="139"/>
      <c r="NWY128" s="139"/>
      <c r="NWZ128" s="139"/>
      <c r="NXA128" s="139"/>
      <c r="NXB128" s="139"/>
      <c r="NXC128" s="139"/>
      <c r="NXD128" s="139"/>
      <c r="NXE128" s="139"/>
      <c r="NXF128" s="139"/>
      <c r="NXG128" s="139"/>
      <c r="NXH128" s="139"/>
      <c r="NXI128" s="139"/>
      <c r="NXJ128" s="139"/>
      <c r="NXK128" s="139"/>
      <c r="NXL128" s="139"/>
      <c r="NXM128" s="139"/>
      <c r="NXN128" s="139"/>
      <c r="NXO128" s="139"/>
      <c r="NXP128" s="139"/>
      <c r="NXQ128" s="139"/>
      <c r="NXR128" s="139"/>
      <c r="NXS128" s="139"/>
      <c r="NXT128" s="139"/>
      <c r="NXU128" s="139"/>
      <c r="NXV128" s="139"/>
      <c r="NXW128" s="139"/>
      <c r="NXX128" s="139"/>
      <c r="NXY128" s="139"/>
      <c r="NXZ128" s="139"/>
      <c r="NYA128" s="139"/>
      <c r="NYB128" s="139"/>
      <c r="NYC128" s="139"/>
      <c r="NYD128" s="139"/>
      <c r="NYE128" s="139"/>
      <c r="NYF128" s="139"/>
      <c r="NYG128" s="139"/>
      <c r="NYH128" s="139"/>
      <c r="NYI128" s="139"/>
      <c r="NYJ128" s="139"/>
      <c r="NYK128" s="139"/>
      <c r="NYL128" s="139"/>
      <c r="NYM128" s="139"/>
      <c r="NYN128" s="139"/>
      <c r="NYO128" s="139"/>
      <c r="NYP128" s="139"/>
      <c r="NYQ128" s="139"/>
      <c r="NYR128" s="139"/>
      <c r="NYS128" s="139"/>
      <c r="NYT128" s="139"/>
      <c r="NYU128" s="139"/>
      <c r="NYV128" s="139"/>
      <c r="NYW128" s="139"/>
      <c r="NYX128" s="139"/>
      <c r="NYY128" s="139"/>
      <c r="NYZ128" s="139"/>
      <c r="NZA128" s="139"/>
      <c r="NZB128" s="139"/>
      <c r="NZC128" s="139"/>
      <c r="NZD128" s="139"/>
      <c r="NZE128" s="139"/>
      <c r="NZF128" s="139"/>
      <c r="NZG128" s="139"/>
      <c r="NZH128" s="139"/>
      <c r="NZI128" s="139"/>
      <c r="NZJ128" s="139"/>
      <c r="NZK128" s="139"/>
      <c r="NZL128" s="139"/>
      <c r="NZM128" s="139"/>
      <c r="NZN128" s="139"/>
      <c r="NZO128" s="139"/>
      <c r="NZP128" s="139"/>
      <c r="NZQ128" s="139"/>
      <c r="NZR128" s="139"/>
      <c r="NZS128" s="139"/>
      <c r="NZT128" s="139"/>
      <c r="NZU128" s="139"/>
      <c r="NZV128" s="139"/>
      <c r="NZW128" s="139"/>
      <c r="NZX128" s="139"/>
      <c r="NZY128" s="139"/>
      <c r="NZZ128" s="139"/>
      <c r="OAA128" s="139"/>
      <c r="OAB128" s="139"/>
      <c r="OAC128" s="139"/>
      <c r="OAD128" s="139"/>
      <c r="OAE128" s="139"/>
      <c r="OAF128" s="139"/>
      <c r="OAG128" s="139"/>
      <c r="OAH128" s="139"/>
      <c r="OAI128" s="139"/>
      <c r="OAJ128" s="139"/>
      <c r="OAK128" s="139"/>
      <c r="OAL128" s="139"/>
      <c r="OAM128" s="139"/>
      <c r="OAN128" s="139"/>
      <c r="OAO128" s="139"/>
      <c r="OAP128" s="139"/>
      <c r="OAQ128" s="139"/>
      <c r="OAR128" s="139"/>
      <c r="OAS128" s="139"/>
      <c r="OAT128" s="139"/>
      <c r="OAU128" s="139"/>
      <c r="OAV128" s="139"/>
      <c r="OAW128" s="139"/>
      <c r="OAX128" s="139"/>
      <c r="OAY128" s="139"/>
      <c r="OAZ128" s="139"/>
      <c r="OBA128" s="139"/>
      <c r="OBB128" s="139"/>
      <c r="OBC128" s="139"/>
      <c r="OBD128" s="139"/>
      <c r="OBE128" s="139"/>
      <c r="OBF128" s="139"/>
      <c r="OBG128" s="139"/>
      <c r="OBH128" s="139"/>
      <c r="OBI128" s="139"/>
      <c r="OBJ128" s="139"/>
      <c r="OBK128" s="139"/>
      <c r="OBL128" s="139"/>
      <c r="OBM128" s="139"/>
      <c r="OBN128" s="139"/>
      <c r="OBO128" s="139"/>
      <c r="OBP128" s="139"/>
      <c r="OBQ128" s="139"/>
      <c r="OBR128" s="139"/>
      <c r="OBS128" s="139"/>
      <c r="OBT128" s="139"/>
      <c r="OBU128" s="139"/>
      <c r="OBV128" s="139"/>
      <c r="OBW128" s="139"/>
      <c r="OBX128" s="139"/>
      <c r="OBY128" s="139"/>
      <c r="OBZ128" s="139"/>
      <c r="OCA128" s="139"/>
      <c r="OCB128" s="139"/>
      <c r="OCC128" s="139"/>
      <c r="OCD128" s="139"/>
      <c r="OCE128" s="139"/>
      <c r="OCF128" s="139"/>
      <c r="OCG128" s="139"/>
      <c r="OCH128" s="139"/>
      <c r="OCI128" s="139"/>
      <c r="OCJ128" s="139"/>
      <c r="OCK128" s="139"/>
      <c r="OCL128" s="139"/>
      <c r="OCM128" s="139"/>
      <c r="OCN128" s="139"/>
      <c r="OCO128" s="139"/>
      <c r="OCP128" s="139"/>
      <c r="OCQ128" s="139"/>
      <c r="OCR128" s="139"/>
      <c r="OCS128" s="139"/>
      <c r="OCT128" s="139"/>
      <c r="OCU128" s="139"/>
      <c r="OCV128" s="139"/>
      <c r="OCW128" s="139"/>
      <c r="OCX128" s="139"/>
      <c r="OCY128" s="139"/>
      <c r="OCZ128" s="139"/>
      <c r="ODA128" s="139"/>
      <c r="ODB128" s="139"/>
      <c r="ODC128" s="139"/>
      <c r="ODD128" s="139"/>
      <c r="ODE128" s="139"/>
      <c r="ODF128" s="139"/>
      <c r="ODG128" s="139"/>
      <c r="ODH128" s="139"/>
      <c r="ODI128" s="139"/>
      <c r="ODJ128" s="139"/>
      <c r="ODK128" s="139"/>
      <c r="ODL128" s="139"/>
      <c r="ODM128" s="139"/>
      <c r="ODN128" s="139"/>
      <c r="ODO128" s="139"/>
      <c r="ODP128" s="139"/>
      <c r="ODQ128" s="139"/>
      <c r="ODR128" s="139"/>
      <c r="ODS128" s="139"/>
      <c r="ODT128" s="139"/>
      <c r="ODU128" s="139"/>
      <c r="ODV128" s="139"/>
      <c r="ODW128" s="139"/>
      <c r="ODX128" s="139"/>
      <c r="ODY128" s="139"/>
      <c r="ODZ128" s="139"/>
      <c r="OEA128" s="139"/>
      <c r="OEB128" s="139"/>
      <c r="OEC128" s="139"/>
      <c r="OED128" s="139"/>
      <c r="OEE128" s="139"/>
      <c r="OEF128" s="139"/>
      <c r="OEG128" s="139"/>
      <c r="OEH128" s="139"/>
      <c r="OEI128" s="139"/>
      <c r="OEJ128" s="139"/>
      <c r="OEK128" s="139"/>
      <c r="OEL128" s="139"/>
      <c r="OEM128" s="139"/>
      <c r="OEN128" s="139"/>
      <c r="OEO128" s="139"/>
      <c r="OEP128" s="139"/>
      <c r="OEQ128" s="139"/>
      <c r="OER128" s="139"/>
      <c r="OES128" s="139"/>
      <c r="OET128" s="139"/>
      <c r="OEU128" s="139"/>
      <c r="OEV128" s="139"/>
      <c r="OEW128" s="139"/>
      <c r="OEX128" s="139"/>
      <c r="OEY128" s="139"/>
      <c r="OEZ128" s="139"/>
      <c r="OFA128" s="139"/>
      <c r="OFB128" s="139"/>
      <c r="OFC128" s="139"/>
      <c r="OFD128" s="139"/>
      <c r="OFE128" s="139"/>
      <c r="OFF128" s="139"/>
      <c r="OFG128" s="139"/>
      <c r="OFH128" s="139"/>
      <c r="OFI128" s="139"/>
      <c r="OFJ128" s="139"/>
      <c r="OFK128" s="139"/>
      <c r="OFL128" s="139"/>
      <c r="OFM128" s="139"/>
      <c r="OFN128" s="139"/>
      <c r="OFO128" s="139"/>
      <c r="OFP128" s="139"/>
      <c r="OFQ128" s="139"/>
      <c r="OFR128" s="139"/>
      <c r="OFS128" s="139"/>
      <c r="OFT128" s="139"/>
      <c r="OFU128" s="139"/>
      <c r="OFV128" s="139"/>
      <c r="OFW128" s="139"/>
      <c r="OFX128" s="139"/>
      <c r="OFY128" s="139"/>
      <c r="OFZ128" s="139"/>
      <c r="OGA128" s="139"/>
      <c r="OGB128" s="139"/>
      <c r="OGC128" s="139"/>
      <c r="OGD128" s="139"/>
      <c r="OGE128" s="139"/>
      <c r="OGF128" s="139"/>
      <c r="OGG128" s="139"/>
      <c r="OGH128" s="139"/>
      <c r="OGI128" s="139"/>
      <c r="OGJ128" s="139"/>
      <c r="OGK128" s="139"/>
      <c r="OGL128" s="139"/>
      <c r="OGM128" s="139"/>
      <c r="OGN128" s="139"/>
      <c r="OGO128" s="139"/>
      <c r="OGP128" s="139"/>
      <c r="OGQ128" s="139"/>
      <c r="OGR128" s="139"/>
      <c r="OGS128" s="139"/>
      <c r="OGT128" s="139"/>
      <c r="OGU128" s="139"/>
      <c r="OGV128" s="139"/>
      <c r="OGW128" s="139"/>
      <c r="OGX128" s="139"/>
      <c r="OGY128" s="139"/>
      <c r="OGZ128" s="139"/>
      <c r="OHA128" s="139"/>
      <c r="OHB128" s="139"/>
      <c r="OHC128" s="139"/>
      <c r="OHD128" s="139"/>
      <c r="OHE128" s="139"/>
      <c r="OHF128" s="139"/>
      <c r="OHG128" s="139"/>
      <c r="OHH128" s="139"/>
      <c r="OHI128" s="139"/>
      <c r="OHJ128" s="139"/>
      <c r="OHK128" s="139"/>
      <c r="OHL128" s="139"/>
      <c r="OHM128" s="139"/>
      <c r="OHN128" s="139"/>
      <c r="OHO128" s="139"/>
      <c r="OHP128" s="139"/>
      <c r="OHQ128" s="139"/>
      <c r="OHR128" s="139"/>
      <c r="OHS128" s="139"/>
      <c r="OHT128" s="139"/>
      <c r="OHU128" s="139"/>
      <c r="OHV128" s="139"/>
      <c r="OHW128" s="139"/>
      <c r="OHX128" s="139"/>
      <c r="OHY128" s="139"/>
      <c r="OHZ128" s="139"/>
      <c r="OIA128" s="139"/>
      <c r="OIB128" s="139"/>
      <c r="OIC128" s="139"/>
      <c r="OID128" s="139"/>
      <c r="OIE128" s="139"/>
      <c r="OIF128" s="139"/>
      <c r="OIG128" s="139"/>
      <c r="OIH128" s="139"/>
      <c r="OII128" s="139"/>
      <c r="OIJ128" s="139"/>
      <c r="OIK128" s="139"/>
      <c r="OIL128" s="139"/>
      <c r="OIM128" s="139"/>
      <c r="OIN128" s="139"/>
      <c r="OIO128" s="139"/>
      <c r="OIP128" s="139"/>
      <c r="OIQ128" s="139"/>
      <c r="OIR128" s="139"/>
      <c r="OIS128" s="139"/>
      <c r="OIT128" s="139"/>
      <c r="OIU128" s="139"/>
      <c r="OIV128" s="139"/>
      <c r="OIW128" s="139"/>
      <c r="OIX128" s="139"/>
      <c r="OIY128" s="139"/>
      <c r="OIZ128" s="139"/>
      <c r="OJA128" s="139"/>
      <c r="OJB128" s="139"/>
      <c r="OJC128" s="139"/>
      <c r="OJD128" s="139"/>
      <c r="OJE128" s="139"/>
      <c r="OJF128" s="139"/>
      <c r="OJG128" s="139"/>
      <c r="OJH128" s="139"/>
      <c r="OJI128" s="139"/>
      <c r="OJJ128" s="139"/>
      <c r="OJK128" s="139"/>
      <c r="OJL128" s="139"/>
      <c r="OJM128" s="139"/>
      <c r="OJN128" s="139"/>
      <c r="OJO128" s="139"/>
      <c r="OJP128" s="139"/>
      <c r="OJQ128" s="139"/>
      <c r="OJR128" s="139"/>
      <c r="OJS128" s="139"/>
      <c r="OJT128" s="139"/>
      <c r="OJU128" s="139"/>
      <c r="OJV128" s="139"/>
      <c r="OJW128" s="139"/>
      <c r="OJX128" s="139"/>
      <c r="OJY128" s="139"/>
      <c r="OJZ128" s="139"/>
      <c r="OKA128" s="139"/>
      <c r="OKB128" s="139"/>
      <c r="OKC128" s="139"/>
      <c r="OKD128" s="139"/>
      <c r="OKE128" s="139"/>
      <c r="OKF128" s="139"/>
      <c r="OKG128" s="139"/>
      <c r="OKH128" s="139"/>
      <c r="OKI128" s="139"/>
      <c r="OKJ128" s="139"/>
      <c r="OKK128" s="139"/>
      <c r="OKL128" s="139"/>
      <c r="OKM128" s="139"/>
      <c r="OKN128" s="139"/>
      <c r="OKO128" s="139"/>
      <c r="OKP128" s="139"/>
      <c r="OKQ128" s="139"/>
      <c r="OKR128" s="139"/>
      <c r="OKS128" s="139"/>
      <c r="OKT128" s="139"/>
      <c r="OKU128" s="139"/>
      <c r="OKV128" s="139"/>
      <c r="OKW128" s="139"/>
      <c r="OKX128" s="139"/>
      <c r="OKY128" s="139"/>
      <c r="OKZ128" s="139"/>
      <c r="OLA128" s="139"/>
      <c r="OLB128" s="139"/>
      <c r="OLC128" s="139"/>
      <c r="OLD128" s="139"/>
      <c r="OLE128" s="139"/>
      <c r="OLF128" s="139"/>
      <c r="OLG128" s="139"/>
      <c r="OLH128" s="139"/>
      <c r="OLI128" s="139"/>
      <c r="OLJ128" s="139"/>
      <c r="OLK128" s="139"/>
      <c r="OLL128" s="139"/>
      <c r="OLM128" s="139"/>
      <c r="OLN128" s="139"/>
      <c r="OLO128" s="139"/>
      <c r="OLP128" s="139"/>
      <c r="OLQ128" s="139"/>
      <c r="OLR128" s="139"/>
      <c r="OLS128" s="139"/>
      <c r="OLT128" s="139"/>
      <c r="OLU128" s="139"/>
      <c r="OLV128" s="139"/>
      <c r="OLW128" s="139"/>
      <c r="OLX128" s="139"/>
      <c r="OLY128" s="139"/>
      <c r="OLZ128" s="139"/>
      <c r="OMA128" s="139"/>
      <c r="OMB128" s="139"/>
      <c r="OMC128" s="139"/>
      <c r="OMD128" s="139"/>
      <c r="OME128" s="139"/>
      <c r="OMF128" s="139"/>
      <c r="OMG128" s="139"/>
      <c r="OMH128" s="139"/>
      <c r="OMI128" s="139"/>
      <c r="OMJ128" s="139"/>
      <c r="OMK128" s="139"/>
      <c r="OML128" s="139"/>
      <c r="OMM128" s="139"/>
      <c r="OMN128" s="139"/>
      <c r="OMO128" s="139"/>
      <c r="OMP128" s="139"/>
      <c r="OMQ128" s="139"/>
      <c r="OMR128" s="139"/>
      <c r="OMS128" s="139"/>
      <c r="OMT128" s="139"/>
      <c r="OMU128" s="139"/>
      <c r="OMV128" s="139"/>
      <c r="OMW128" s="139"/>
      <c r="OMX128" s="139"/>
      <c r="OMY128" s="139"/>
      <c r="OMZ128" s="139"/>
      <c r="ONA128" s="139"/>
      <c r="ONB128" s="139"/>
      <c r="ONC128" s="139"/>
      <c r="OND128" s="139"/>
      <c r="ONE128" s="139"/>
      <c r="ONF128" s="139"/>
      <c r="ONG128" s="139"/>
      <c r="ONH128" s="139"/>
      <c r="ONI128" s="139"/>
      <c r="ONJ128" s="139"/>
      <c r="ONK128" s="139"/>
      <c r="ONL128" s="139"/>
      <c r="ONM128" s="139"/>
      <c r="ONN128" s="139"/>
      <c r="ONO128" s="139"/>
      <c r="ONP128" s="139"/>
      <c r="ONQ128" s="139"/>
      <c r="ONR128" s="139"/>
      <c r="ONS128" s="139"/>
      <c r="ONT128" s="139"/>
      <c r="ONU128" s="139"/>
      <c r="ONV128" s="139"/>
      <c r="ONW128" s="139"/>
      <c r="ONX128" s="139"/>
      <c r="ONY128" s="139"/>
      <c r="ONZ128" s="139"/>
      <c r="OOA128" s="139"/>
      <c r="OOB128" s="139"/>
      <c r="OOC128" s="139"/>
      <c r="OOD128" s="139"/>
      <c r="OOE128" s="139"/>
      <c r="OOF128" s="139"/>
      <c r="OOG128" s="139"/>
      <c r="OOH128" s="139"/>
      <c r="OOI128" s="139"/>
      <c r="OOJ128" s="139"/>
      <c r="OOK128" s="139"/>
      <c r="OOL128" s="139"/>
      <c r="OOM128" s="139"/>
      <c r="OON128" s="139"/>
      <c r="OOO128" s="139"/>
      <c r="OOP128" s="139"/>
      <c r="OOQ128" s="139"/>
      <c r="OOR128" s="139"/>
      <c r="OOS128" s="139"/>
      <c r="OOT128" s="139"/>
      <c r="OOU128" s="139"/>
      <c r="OOV128" s="139"/>
      <c r="OOW128" s="139"/>
      <c r="OOX128" s="139"/>
      <c r="OOY128" s="139"/>
      <c r="OOZ128" s="139"/>
      <c r="OPA128" s="139"/>
      <c r="OPB128" s="139"/>
      <c r="OPC128" s="139"/>
      <c r="OPD128" s="139"/>
      <c r="OPE128" s="139"/>
      <c r="OPF128" s="139"/>
      <c r="OPG128" s="139"/>
      <c r="OPH128" s="139"/>
      <c r="OPI128" s="139"/>
      <c r="OPJ128" s="139"/>
      <c r="OPK128" s="139"/>
      <c r="OPL128" s="139"/>
      <c r="OPM128" s="139"/>
      <c r="OPN128" s="139"/>
      <c r="OPO128" s="139"/>
      <c r="OPP128" s="139"/>
      <c r="OPQ128" s="139"/>
      <c r="OPR128" s="139"/>
      <c r="OPS128" s="139"/>
      <c r="OPT128" s="139"/>
      <c r="OPU128" s="139"/>
      <c r="OPV128" s="139"/>
      <c r="OPW128" s="139"/>
      <c r="OPX128" s="139"/>
      <c r="OPY128" s="139"/>
      <c r="OPZ128" s="139"/>
      <c r="OQA128" s="139"/>
      <c r="OQB128" s="139"/>
      <c r="OQC128" s="139"/>
      <c r="OQD128" s="139"/>
      <c r="OQE128" s="139"/>
      <c r="OQF128" s="139"/>
      <c r="OQG128" s="139"/>
      <c r="OQH128" s="139"/>
      <c r="OQI128" s="139"/>
      <c r="OQJ128" s="139"/>
      <c r="OQK128" s="139"/>
      <c r="OQL128" s="139"/>
      <c r="OQM128" s="139"/>
      <c r="OQN128" s="139"/>
      <c r="OQO128" s="139"/>
      <c r="OQP128" s="139"/>
      <c r="OQQ128" s="139"/>
      <c r="OQR128" s="139"/>
      <c r="OQS128" s="139"/>
      <c r="OQT128" s="139"/>
      <c r="OQU128" s="139"/>
      <c r="OQV128" s="139"/>
      <c r="OQW128" s="139"/>
      <c r="OQX128" s="139"/>
      <c r="OQY128" s="139"/>
      <c r="OQZ128" s="139"/>
      <c r="ORA128" s="139"/>
      <c r="ORB128" s="139"/>
      <c r="ORC128" s="139"/>
      <c r="ORD128" s="139"/>
      <c r="ORE128" s="139"/>
      <c r="ORF128" s="139"/>
      <c r="ORG128" s="139"/>
      <c r="ORH128" s="139"/>
      <c r="ORI128" s="139"/>
      <c r="ORJ128" s="139"/>
      <c r="ORK128" s="139"/>
      <c r="ORL128" s="139"/>
      <c r="ORM128" s="139"/>
      <c r="ORN128" s="139"/>
      <c r="ORO128" s="139"/>
      <c r="ORP128" s="139"/>
      <c r="ORQ128" s="139"/>
      <c r="ORR128" s="139"/>
      <c r="ORS128" s="139"/>
      <c r="ORT128" s="139"/>
      <c r="ORU128" s="139"/>
      <c r="ORV128" s="139"/>
      <c r="ORW128" s="139"/>
      <c r="ORX128" s="139"/>
      <c r="ORY128" s="139"/>
      <c r="ORZ128" s="139"/>
      <c r="OSA128" s="139"/>
      <c r="OSB128" s="139"/>
      <c r="OSC128" s="139"/>
      <c r="OSD128" s="139"/>
      <c r="OSE128" s="139"/>
      <c r="OSF128" s="139"/>
      <c r="OSG128" s="139"/>
      <c r="OSH128" s="139"/>
      <c r="OSI128" s="139"/>
      <c r="OSJ128" s="139"/>
      <c r="OSK128" s="139"/>
      <c r="OSL128" s="139"/>
      <c r="OSM128" s="139"/>
      <c r="OSN128" s="139"/>
      <c r="OSO128" s="139"/>
      <c r="OSP128" s="139"/>
      <c r="OSQ128" s="139"/>
      <c r="OSR128" s="139"/>
      <c r="OSS128" s="139"/>
      <c r="OST128" s="139"/>
      <c r="OSU128" s="139"/>
      <c r="OSV128" s="139"/>
      <c r="OSW128" s="139"/>
      <c r="OSX128" s="139"/>
      <c r="OSY128" s="139"/>
      <c r="OSZ128" s="139"/>
      <c r="OTA128" s="139"/>
      <c r="OTB128" s="139"/>
      <c r="OTC128" s="139"/>
      <c r="OTD128" s="139"/>
      <c r="OTE128" s="139"/>
      <c r="OTF128" s="139"/>
      <c r="OTG128" s="139"/>
      <c r="OTH128" s="139"/>
      <c r="OTI128" s="139"/>
      <c r="OTJ128" s="139"/>
      <c r="OTK128" s="139"/>
      <c r="OTL128" s="139"/>
      <c r="OTM128" s="139"/>
      <c r="OTN128" s="139"/>
      <c r="OTO128" s="139"/>
      <c r="OTP128" s="139"/>
      <c r="OTQ128" s="139"/>
      <c r="OTR128" s="139"/>
      <c r="OTS128" s="139"/>
      <c r="OTT128" s="139"/>
      <c r="OTU128" s="139"/>
      <c r="OTV128" s="139"/>
      <c r="OTW128" s="139"/>
      <c r="OTX128" s="139"/>
      <c r="OTY128" s="139"/>
      <c r="OTZ128" s="139"/>
      <c r="OUA128" s="139"/>
      <c r="OUB128" s="139"/>
      <c r="OUC128" s="139"/>
      <c r="OUD128" s="139"/>
      <c r="OUE128" s="139"/>
      <c r="OUF128" s="139"/>
      <c r="OUG128" s="139"/>
      <c r="OUH128" s="139"/>
      <c r="OUI128" s="139"/>
      <c r="OUJ128" s="139"/>
      <c r="OUK128" s="139"/>
      <c r="OUL128" s="139"/>
      <c r="OUM128" s="139"/>
      <c r="OUN128" s="139"/>
      <c r="OUO128" s="139"/>
      <c r="OUP128" s="139"/>
      <c r="OUQ128" s="139"/>
      <c r="OUR128" s="139"/>
      <c r="OUS128" s="139"/>
      <c r="OUT128" s="139"/>
      <c r="OUU128" s="139"/>
      <c r="OUV128" s="139"/>
      <c r="OUW128" s="139"/>
      <c r="OUX128" s="139"/>
      <c r="OUY128" s="139"/>
      <c r="OUZ128" s="139"/>
      <c r="OVA128" s="139"/>
      <c r="OVB128" s="139"/>
      <c r="OVC128" s="139"/>
      <c r="OVD128" s="139"/>
      <c r="OVE128" s="139"/>
      <c r="OVF128" s="139"/>
      <c r="OVG128" s="139"/>
      <c r="OVH128" s="139"/>
      <c r="OVI128" s="139"/>
      <c r="OVJ128" s="139"/>
      <c r="OVK128" s="139"/>
      <c r="OVL128" s="139"/>
      <c r="OVM128" s="139"/>
      <c r="OVN128" s="139"/>
      <c r="OVO128" s="139"/>
      <c r="OVP128" s="139"/>
      <c r="OVQ128" s="139"/>
      <c r="OVR128" s="139"/>
      <c r="OVS128" s="139"/>
      <c r="OVT128" s="139"/>
      <c r="OVU128" s="139"/>
      <c r="OVV128" s="139"/>
      <c r="OVW128" s="139"/>
      <c r="OVX128" s="139"/>
      <c r="OVY128" s="139"/>
      <c r="OVZ128" s="139"/>
      <c r="OWA128" s="139"/>
      <c r="OWB128" s="139"/>
      <c r="OWC128" s="139"/>
      <c r="OWD128" s="139"/>
      <c r="OWE128" s="139"/>
      <c r="OWF128" s="139"/>
      <c r="OWG128" s="139"/>
      <c r="OWH128" s="139"/>
      <c r="OWI128" s="139"/>
      <c r="OWJ128" s="139"/>
      <c r="OWK128" s="139"/>
      <c r="OWL128" s="139"/>
      <c r="OWM128" s="139"/>
      <c r="OWN128" s="139"/>
      <c r="OWO128" s="139"/>
      <c r="OWP128" s="139"/>
      <c r="OWQ128" s="139"/>
      <c r="OWR128" s="139"/>
      <c r="OWS128" s="139"/>
      <c r="OWT128" s="139"/>
      <c r="OWU128" s="139"/>
      <c r="OWV128" s="139"/>
      <c r="OWW128" s="139"/>
      <c r="OWX128" s="139"/>
      <c r="OWY128" s="139"/>
      <c r="OWZ128" s="139"/>
      <c r="OXA128" s="139"/>
      <c r="OXB128" s="139"/>
      <c r="OXC128" s="139"/>
      <c r="OXD128" s="139"/>
      <c r="OXE128" s="139"/>
      <c r="OXF128" s="139"/>
      <c r="OXG128" s="139"/>
      <c r="OXH128" s="139"/>
      <c r="OXI128" s="139"/>
      <c r="OXJ128" s="139"/>
      <c r="OXK128" s="139"/>
      <c r="OXL128" s="139"/>
      <c r="OXM128" s="139"/>
      <c r="OXN128" s="139"/>
      <c r="OXO128" s="139"/>
      <c r="OXP128" s="139"/>
      <c r="OXQ128" s="139"/>
      <c r="OXR128" s="139"/>
      <c r="OXS128" s="139"/>
      <c r="OXT128" s="139"/>
      <c r="OXU128" s="139"/>
      <c r="OXV128" s="139"/>
      <c r="OXW128" s="139"/>
      <c r="OXX128" s="139"/>
      <c r="OXY128" s="139"/>
      <c r="OXZ128" s="139"/>
      <c r="OYA128" s="139"/>
      <c r="OYB128" s="139"/>
      <c r="OYC128" s="139"/>
      <c r="OYD128" s="139"/>
      <c r="OYE128" s="139"/>
      <c r="OYF128" s="139"/>
      <c r="OYG128" s="139"/>
      <c r="OYH128" s="139"/>
      <c r="OYI128" s="139"/>
      <c r="OYJ128" s="139"/>
      <c r="OYK128" s="139"/>
      <c r="OYL128" s="139"/>
      <c r="OYM128" s="139"/>
      <c r="OYN128" s="139"/>
      <c r="OYO128" s="139"/>
      <c r="OYP128" s="139"/>
      <c r="OYQ128" s="139"/>
      <c r="OYR128" s="139"/>
      <c r="OYS128" s="139"/>
      <c r="OYT128" s="139"/>
      <c r="OYU128" s="139"/>
      <c r="OYV128" s="139"/>
      <c r="OYW128" s="139"/>
      <c r="OYX128" s="139"/>
      <c r="OYY128" s="139"/>
      <c r="OYZ128" s="139"/>
      <c r="OZA128" s="139"/>
      <c r="OZB128" s="139"/>
      <c r="OZC128" s="139"/>
      <c r="OZD128" s="139"/>
      <c r="OZE128" s="139"/>
      <c r="OZF128" s="139"/>
      <c r="OZG128" s="139"/>
      <c r="OZH128" s="139"/>
      <c r="OZI128" s="139"/>
      <c r="OZJ128" s="139"/>
      <c r="OZK128" s="139"/>
      <c r="OZL128" s="139"/>
      <c r="OZM128" s="139"/>
      <c r="OZN128" s="139"/>
      <c r="OZO128" s="139"/>
      <c r="OZP128" s="139"/>
      <c r="OZQ128" s="139"/>
      <c r="OZR128" s="139"/>
      <c r="OZS128" s="139"/>
      <c r="OZT128" s="139"/>
      <c r="OZU128" s="139"/>
      <c r="OZV128" s="139"/>
      <c r="OZW128" s="139"/>
      <c r="OZX128" s="139"/>
      <c r="OZY128" s="139"/>
      <c r="OZZ128" s="139"/>
      <c r="PAA128" s="139"/>
      <c r="PAB128" s="139"/>
      <c r="PAC128" s="139"/>
      <c r="PAD128" s="139"/>
      <c r="PAE128" s="139"/>
      <c r="PAF128" s="139"/>
      <c r="PAG128" s="139"/>
      <c r="PAH128" s="139"/>
      <c r="PAI128" s="139"/>
      <c r="PAJ128" s="139"/>
      <c r="PAK128" s="139"/>
      <c r="PAL128" s="139"/>
      <c r="PAM128" s="139"/>
      <c r="PAN128" s="139"/>
      <c r="PAO128" s="139"/>
      <c r="PAP128" s="139"/>
      <c r="PAQ128" s="139"/>
      <c r="PAR128" s="139"/>
      <c r="PAS128" s="139"/>
      <c r="PAT128" s="139"/>
      <c r="PAU128" s="139"/>
      <c r="PAV128" s="139"/>
      <c r="PAW128" s="139"/>
      <c r="PAX128" s="139"/>
      <c r="PAY128" s="139"/>
      <c r="PAZ128" s="139"/>
      <c r="PBA128" s="139"/>
      <c r="PBB128" s="139"/>
      <c r="PBC128" s="139"/>
      <c r="PBD128" s="139"/>
      <c r="PBE128" s="139"/>
      <c r="PBF128" s="139"/>
      <c r="PBG128" s="139"/>
      <c r="PBH128" s="139"/>
      <c r="PBI128" s="139"/>
      <c r="PBJ128" s="139"/>
      <c r="PBK128" s="139"/>
      <c r="PBL128" s="139"/>
      <c r="PBM128" s="139"/>
      <c r="PBN128" s="139"/>
      <c r="PBO128" s="139"/>
      <c r="PBP128" s="139"/>
      <c r="PBQ128" s="139"/>
      <c r="PBR128" s="139"/>
      <c r="PBS128" s="139"/>
      <c r="PBT128" s="139"/>
      <c r="PBU128" s="139"/>
      <c r="PBV128" s="139"/>
      <c r="PBW128" s="139"/>
      <c r="PBX128" s="139"/>
      <c r="PBY128" s="139"/>
      <c r="PBZ128" s="139"/>
      <c r="PCA128" s="139"/>
      <c r="PCB128" s="139"/>
      <c r="PCC128" s="139"/>
      <c r="PCD128" s="139"/>
      <c r="PCE128" s="139"/>
      <c r="PCF128" s="139"/>
      <c r="PCG128" s="139"/>
      <c r="PCH128" s="139"/>
      <c r="PCI128" s="139"/>
      <c r="PCJ128" s="139"/>
      <c r="PCK128" s="139"/>
      <c r="PCL128" s="139"/>
      <c r="PCM128" s="139"/>
      <c r="PCN128" s="139"/>
      <c r="PCO128" s="139"/>
      <c r="PCP128" s="139"/>
      <c r="PCQ128" s="139"/>
      <c r="PCR128" s="139"/>
      <c r="PCS128" s="139"/>
      <c r="PCT128" s="139"/>
      <c r="PCU128" s="139"/>
      <c r="PCV128" s="139"/>
      <c r="PCW128" s="139"/>
      <c r="PCX128" s="139"/>
      <c r="PCY128" s="139"/>
      <c r="PCZ128" s="139"/>
      <c r="PDA128" s="139"/>
      <c r="PDB128" s="139"/>
      <c r="PDC128" s="139"/>
      <c r="PDD128" s="139"/>
      <c r="PDE128" s="139"/>
      <c r="PDF128" s="139"/>
      <c r="PDG128" s="139"/>
      <c r="PDH128" s="139"/>
      <c r="PDI128" s="139"/>
      <c r="PDJ128" s="139"/>
      <c r="PDK128" s="139"/>
      <c r="PDL128" s="139"/>
      <c r="PDM128" s="139"/>
      <c r="PDN128" s="139"/>
      <c r="PDO128" s="139"/>
      <c r="PDP128" s="139"/>
      <c r="PDQ128" s="139"/>
      <c r="PDR128" s="139"/>
      <c r="PDS128" s="139"/>
      <c r="PDT128" s="139"/>
      <c r="PDU128" s="139"/>
      <c r="PDV128" s="139"/>
      <c r="PDW128" s="139"/>
      <c r="PDX128" s="139"/>
      <c r="PDY128" s="139"/>
      <c r="PDZ128" s="139"/>
      <c r="PEA128" s="139"/>
      <c r="PEB128" s="139"/>
      <c r="PEC128" s="139"/>
      <c r="PED128" s="139"/>
      <c r="PEE128" s="139"/>
      <c r="PEF128" s="139"/>
      <c r="PEG128" s="139"/>
      <c r="PEH128" s="139"/>
      <c r="PEI128" s="139"/>
      <c r="PEJ128" s="139"/>
      <c r="PEK128" s="139"/>
      <c r="PEL128" s="139"/>
      <c r="PEM128" s="139"/>
      <c r="PEN128" s="139"/>
      <c r="PEO128" s="139"/>
      <c r="PEP128" s="139"/>
      <c r="PEQ128" s="139"/>
      <c r="PER128" s="139"/>
      <c r="PES128" s="139"/>
      <c r="PET128" s="139"/>
      <c r="PEU128" s="139"/>
      <c r="PEV128" s="139"/>
      <c r="PEW128" s="139"/>
      <c r="PEX128" s="139"/>
      <c r="PEY128" s="139"/>
      <c r="PEZ128" s="139"/>
      <c r="PFA128" s="139"/>
      <c r="PFB128" s="139"/>
      <c r="PFC128" s="139"/>
      <c r="PFD128" s="139"/>
      <c r="PFE128" s="139"/>
      <c r="PFF128" s="139"/>
      <c r="PFG128" s="139"/>
      <c r="PFH128" s="139"/>
      <c r="PFI128" s="139"/>
      <c r="PFJ128" s="139"/>
      <c r="PFK128" s="139"/>
      <c r="PFL128" s="139"/>
      <c r="PFM128" s="139"/>
      <c r="PFN128" s="139"/>
      <c r="PFO128" s="139"/>
      <c r="PFP128" s="139"/>
      <c r="PFQ128" s="139"/>
      <c r="PFR128" s="139"/>
      <c r="PFS128" s="139"/>
      <c r="PFT128" s="139"/>
      <c r="PFU128" s="139"/>
      <c r="PFV128" s="139"/>
      <c r="PFW128" s="139"/>
      <c r="PFX128" s="139"/>
      <c r="PFY128" s="139"/>
      <c r="PFZ128" s="139"/>
      <c r="PGA128" s="139"/>
      <c r="PGB128" s="139"/>
      <c r="PGC128" s="139"/>
      <c r="PGD128" s="139"/>
      <c r="PGE128" s="139"/>
      <c r="PGF128" s="139"/>
      <c r="PGG128" s="139"/>
      <c r="PGH128" s="139"/>
      <c r="PGI128" s="139"/>
      <c r="PGJ128" s="139"/>
      <c r="PGK128" s="139"/>
      <c r="PGL128" s="139"/>
      <c r="PGM128" s="139"/>
      <c r="PGN128" s="139"/>
      <c r="PGO128" s="139"/>
      <c r="PGP128" s="139"/>
      <c r="PGQ128" s="139"/>
      <c r="PGR128" s="139"/>
      <c r="PGS128" s="139"/>
      <c r="PGT128" s="139"/>
      <c r="PGU128" s="139"/>
      <c r="PGV128" s="139"/>
      <c r="PGW128" s="139"/>
      <c r="PGX128" s="139"/>
      <c r="PGY128" s="139"/>
      <c r="PGZ128" s="139"/>
      <c r="PHA128" s="139"/>
      <c r="PHB128" s="139"/>
      <c r="PHC128" s="139"/>
      <c r="PHD128" s="139"/>
      <c r="PHE128" s="139"/>
      <c r="PHF128" s="139"/>
      <c r="PHG128" s="139"/>
      <c r="PHH128" s="139"/>
      <c r="PHI128" s="139"/>
      <c r="PHJ128" s="139"/>
      <c r="PHK128" s="139"/>
      <c r="PHL128" s="139"/>
      <c r="PHM128" s="139"/>
      <c r="PHN128" s="139"/>
      <c r="PHO128" s="139"/>
      <c r="PHP128" s="139"/>
      <c r="PHQ128" s="139"/>
      <c r="PHR128" s="139"/>
      <c r="PHS128" s="139"/>
      <c r="PHT128" s="139"/>
      <c r="PHU128" s="139"/>
      <c r="PHV128" s="139"/>
      <c r="PHW128" s="139"/>
      <c r="PHX128" s="139"/>
      <c r="PHY128" s="139"/>
      <c r="PHZ128" s="139"/>
      <c r="PIA128" s="139"/>
      <c r="PIB128" s="139"/>
      <c r="PIC128" s="139"/>
      <c r="PID128" s="139"/>
      <c r="PIE128" s="139"/>
      <c r="PIF128" s="139"/>
      <c r="PIG128" s="139"/>
      <c r="PIH128" s="139"/>
      <c r="PII128" s="139"/>
      <c r="PIJ128" s="139"/>
      <c r="PIK128" s="139"/>
      <c r="PIL128" s="139"/>
      <c r="PIM128" s="139"/>
      <c r="PIN128" s="139"/>
      <c r="PIO128" s="139"/>
      <c r="PIP128" s="139"/>
      <c r="PIQ128" s="139"/>
      <c r="PIR128" s="139"/>
      <c r="PIS128" s="139"/>
      <c r="PIT128" s="139"/>
      <c r="PIU128" s="139"/>
      <c r="PIV128" s="139"/>
      <c r="PIW128" s="139"/>
      <c r="PIX128" s="139"/>
      <c r="PIY128" s="139"/>
      <c r="PIZ128" s="139"/>
      <c r="PJA128" s="139"/>
      <c r="PJB128" s="139"/>
      <c r="PJC128" s="139"/>
      <c r="PJD128" s="139"/>
      <c r="PJE128" s="139"/>
      <c r="PJF128" s="139"/>
      <c r="PJG128" s="139"/>
      <c r="PJH128" s="139"/>
      <c r="PJI128" s="139"/>
      <c r="PJJ128" s="139"/>
      <c r="PJK128" s="139"/>
      <c r="PJL128" s="139"/>
      <c r="PJM128" s="139"/>
      <c r="PJN128" s="139"/>
      <c r="PJO128" s="139"/>
      <c r="PJP128" s="139"/>
      <c r="PJQ128" s="139"/>
      <c r="PJR128" s="139"/>
      <c r="PJS128" s="139"/>
      <c r="PJT128" s="139"/>
      <c r="PJU128" s="139"/>
      <c r="PJV128" s="139"/>
      <c r="PJW128" s="139"/>
      <c r="PJX128" s="139"/>
      <c r="PJY128" s="139"/>
      <c r="PJZ128" s="139"/>
      <c r="PKA128" s="139"/>
      <c r="PKB128" s="139"/>
      <c r="PKC128" s="139"/>
      <c r="PKD128" s="139"/>
      <c r="PKE128" s="139"/>
      <c r="PKF128" s="139"/>
      <c r="PKG128" s="139"/>
      <c r="PKH128" s="139"/>
      <c r="PKI128" s="139"/>
      <c r="PKJ128" s="139"/>
      <c r="PKK128" s="139"/>
      <c r="PKL128" s="139"/>
      <c r="PKM128" s="139"/>
      <c r="PKN128" s="139"/>
      <c r="PKO128" s="139"/>
      <c r="PKP128" s="139"/>
      <c r="PKQ128" s="139"/>
      <c r="PKR128" s="139"/>
      <c r="PKS128" s="139"/>
      <c r="PKT128" s="139"/>
      <c r="PKU128" s="139"/>
      <c r="PKV128" s="139"/>
      <c r="PKW128" s="139"/>
      <c r="PKX128" s="139"/>
      <c r="PKY128" s="139"/>
      <c r="PKZ128" s="139"/>
      <c r="PLA128" s="139"/>
      <c r="PLB128" s="139"/>
      <c r="PLC128" s="139"/>
      <c r="PLD128" s="139"/>
      <c r="PLE128" s="139"/>
      <c r="PLF128" s="139"/>
      <c r="PLG128" s="139"/>
      <c r="PLH128" s="139"/>
      <c r="PLI128" s="139"/>
      <c r="PLJ128" s="139"/>
      <c r="PLK128" s="139"/>
      <c r="PLL128" s="139"/>
      <c r="PLM128" s="139"/>
      <c r="PLN128" s="139"/>
      <c r="PLO128" s="139"/>
      <c r="PLP128" s="139"/>
      <c r="PLQ128" s="139"/>
      <c r="PLR128" s="139"/>
      <c r="PLS128" s="139"/>
      <c r="PLT128" s="139"/>
      <c r="PLU128" s="139"/>
      <c r="PLV128" s="139"/>
      <c r="PLW128" s="139"/>
      <c r="PLX128" s="139"/>
      <c r="PLY128" s="139"/>
      <c r="PLZ128" s="139"/>
      <c r="PMA128" s="139"/>
      <c r="PMB128" s="139"/>
      <c r="PMC128" s="139"/>
      <c r="PMD128" s="139"/>
      <c r="PME128" s="139"/>
      <c r="PMF128" s="139"/>
      <c r="PMG128" s="139"/>
      <c r="PMH128" s="139"/>
      <c r="PMI128" s="139"/>
      <c r="PMJ128" s="139"/>
      <c r="PMK128" s="139"/>
      <c r="PML128" s="139"/>
      <c r="PMM128" s="139"/>
      <c r="PMN128" s="139"/>
      <c r="PMO128" s="139"/>
      <c r="PMP128" s="139"/>
      <c r="PMQ128" s="139"/>
      <c r="PMR128" s="139"/>
      <c r="PMS128" s="139"/>
      <c r="PMT128" s="139"/>
      <c r="PMU128" s="139"/>
      <c r="PMV128" s="139"/>
      <c r="PMW128" s="139"/>
      <c r="PMX128" s="139"/>
      <c r="PMY128" s="139"/>
      <c r="PMZ128" s="139"/>
      <c r="PNA128" s="139"/>
      <c r="PNB128" s="139"/>
      <c r="PNC128" s="139"/>
      <c r="PND128" s="139"/>
      <c r="PNE128" s="139"/>
      <c r="PNF128" s="139"/>
      <c r="PNG128" s="139"/>
      <c r="PNH128" s="139"/>
      <c r="PNI128" s="139"/>
      <c r="PNJ128" s="139"/>
      <c r="PNK128" s="139"/>
      <c r="PNL128" s="139"/>
      <c r="PNM128" s="139"/>
      <c r="PNN128" s="139"/>
      <c r="PNO128" s="139"/>
      <c r="PNP128" s="139"/>
      <c r="PNQ128" s="139"/>
      <c r="PNR128" s="139"/>
      <c r="PNS128" s="139"/>
      <c r="PNT128" s="139"/>
      <c r="PNU128" s="139"/>
      <c r="PNV128" s="139"/>
      <c r="PNW128" s="139"/>
      <c r="PNX128" s="139"/>
      <c r="PNY128" s="139"/>
      <c r="PNZ128" s="139"/>
      <c r="POA128" s="139"/>
      <c r="POB128" s="139"/>
      <c r="POC128" s="139"/>
      <c r="POD128" s="139"/>
      <c r="POE128" s="139"/>
      <c r="POF128" s="139"/>
      <c r="POG128" s="139"/>
      <c r="POH128" s="139"/>
      <c r="POI128" s="139"/>
      <c r="POJ128" s="139"/>
      <c r="POK128" s="139"/>
      <c r="POL128" s="139"/>
      <c r="POM128" s="139"/>
      <c r="PON128" s="139"/>
      <c r="POO128" s="139"/>
      <c r="POP128" s="139"/>
      <c r="POQ128" s="139"/>
      <c r="POR128" s="139"/>
      <c r="POS128" s="139"/>
      <c r="POT128" s="139"/>
      <c r="POU128" s="139"/>
      <c r="POV128" s="139"/>
      <c r="POW128" s="139"/>
      <c r="POX128" s="139"/>
      <c r="POY128" s="139"/>
      <c r="POZ128" s="139"/>
      <c r="PPA128" s="139"/>
      <c r="PPB128" s="139"/>
      <c r="PPC128" s="139"/>
      <c r="PPD128" s="139"/>
      <c r="PPE128" s="139"/>
      <c r="PPF128" s="139"/>
      <c r="PPG128" s="139"/>
      <c r="PPH128" s="139"/>
      <c r="PPI128" s="139"/>
      <c r="PPJ128" s="139"/>
      <c r="PPK128" s="139"/>
      <c r="PPL128" s="139"/>
      <c r="PPM128" s="139"/>
      <c r="PPN128" s="139"/>
      <c r="PPO128" s="139"/>
      <c r="PPP128" s="139"/>
      <c r="PPQ128" s="139"/>
      <c r="PPR128" s="139"/>
      <c r="PPS128" s="139"/>
      <c r="PPT128" s="139"/>
      <c r="PPU128" s="139"/>
      <c r="PPV128" s="139"/>
      <c r="PPW128" s="139"/>
      <c r="PPX128" s="139"/>
      <c r="PPY128" s="139"/>
      <c r="PPZ128" s="139"/>
      <c r="PQA128" s="139"/>
      <c r="PQB128" s="139"/>
      <c r="PQC128" s="139"/>
      <c r="PQD128" s="139"/>
      <c r="PQE128" s="139"/>
      <c r="PQF128" s="139"/>
      <c r="PQG128" s="139"/>
      <c r="PQH128" s="139"/>
      <c r="PQI128" s="139"/>
      <c r="PQJ128" s="139"/>
      <c r="PQK128" s="139"/>
      <c r="PQL128" s="139"/>
      <c r="PQM128" s="139"/>
      <c r="PQN128" s="139"/>
      <c r="PQO128" s="139"/>
      <c r="PQP128" s="139"/>
      <c r="PQQ128" s="139"/>
      <c r="PQR128" s="139"/>
      <c r="PQS128" s="139"/>
      <c r="PQT128" s="139"/>
      <c r="PQU128" s="139"/>
      <c r="PQV128" s="139"/>
      <c r="PQW128" s="139"/>
      <c r="PQX128" s="139"/>
      <c r="PQY128" s="139"/>
      <c r="PQZ128" s="139"/>
      <c r="PRA128" s="139"/>
      <c r="PRB128" s="139"/>
      <c r="PRC128" s="139"/>
      <c r="PRD128" s="139"/>
      <c r="PRE128" s="139"/>
      <c r="PRF128" s="139"/>
      <c r="PRG128" s="139"/>
      <c r="PRH128" s="139"/>
      <c r="PRI128" s="139"/>
      <c r="PRJ128" s="139"/>
      <c r="PRK128" s="139"/>
      <c r="PRL128" s="139"/>
      <c r="PRM128" s="139"/>
      <c r="PRN128" s="139"/>
      <c r="PRO128" s="139"/>
      <c r="PRP128" s="139"/>
      <c r="PRQ128" s="139"/>
      <c r="PRR128" s="139"/>
      <c r="PRS128" s="139"/>
      <c r="PRT128" s="139"/>
      <c r="PRU128" s="139"/>
      <c r="PRV128" s="139"/>
      <c r="PRW128" s="139"/>
      <c r="PRX128" s="139"/>
      <c r="PRY128" s="139"/>
      <c r="PRZ128" s="139"/>
      <c r="PSA128" s="139"/>
      <c r="PSB128" s="139"/>
      <c r="PSC128" s="139"/>
      <c r="PSD128" s="139"/>
      <c r="PSE128" s="139"/>
      <c r="PSF128" s="139"/>
      <c r="PSG128" s="139"/>
      <c r="PSH128" s="139"/>
      <c r="PSI128" s="139"/>
      <c r="PSJ128" s="139"/>
      <c r="PSK128" s="139"/>
      <c r="PSL128" s="139"/>
      <c r="PSM128" s="139"/>
      <c r="PSN128" s="139"/>
      <c r="PSO128" s="139"/>
      <c r="PSP128" s="139"/>
      <c r="PSQ128" s="139"/>
      <c r="PSR128" s="139"/>
      <c r="PSS128" s="139"/>
      <c r="PST128" s="139"/>
      <c r="PSU128" s="139"/>
      <c r="PSV128" s="139"/>
      <c r="PSW128" s="139"/>
      <c r="PSX128" s="139"/>
      <c r="PSY128" s="139"/>
      <c r="PSZ128" s="139"/>
      <c r="PTA128" s="139"/>
      <c r="PTB128" s="139"/>
      <c r="PTC128" s="139"/>
      <c r="PTD128" s="139"/>
      <c r="PTE128" s="139"/>
      <c r="PTF128" s="139"/>
      <c r="PTG128" s="139"/>
      <c r="PTH128" s="139"/>
      <c r="PTI128" s="139"/>
      <c r="PTJ128" s="139"/>
      <c r="PTK128" s="139"/>
      <c r="PTL128" s="139"/>
      <c r="PTM128" s="139"/>
      <c r="PTN128" s="139"/>
      <c r="PTO128" s="139"/>
      <c r="PTP128" s="139"/>
      <c r="PTQ128" s="139"/>
      <c r="PTR128" s="139"/>
      <c r="PTS128" s="139"/>
      <c r="PTT128" s="139"/>
      <c r="PTU128" s="139"/>
      <c r="PTV128" s="139"/>
      <c r="PTW128" s="139"/>
      <c r="PTX128" s="139"/>
      <c r="PTY128" s="139"/>
      <c r="PTZ128" s="139"/>
      <c r="PUA128" s="139"/>
      <c r="PUB128" s="139"/>
      <c r="PUC128" s="139"/>
      <c r="PUD128" s="139"/>
      <c r="PUE128" s="139"/>
      <c r="PUF128" s="139"/>
      <c r="PUG128" s="139"/>
      <c r="PUH128" s="139"/>
      <c r="PUI128" s="139"/>
      <c r="PUJ128" s="139"/>
      <c r="PUK128" s="139"/>
      <c r="PUL128" s="139"/>
      <c r="PUM128" s="139"/>
      <c r="PUN128" s="139"/>
      <c r="PUO128" s="139"/>
      <c r="PUP128" s="139"/>
      <c r="PUQ128" s="139"/>
      <c r="PUR128" s="139"/>
      <c r="PUS128" s="139"/>
      <c r="PUT128" s="139"/>
      <c r="PUU128" s="139"/>
      <c r="PUV128" s="139"/>
      <c r="PUW128" s="139"/>
      <c r="PUX128" s="139"/>
      <c r="PUY128" s="139"/>
      <c r="PUZ128" s="139"/>
      <c r="PVA128" s="139"/>
      <c r="PVB128" s="139"/>
      <c r="PVC128" s="139"/>
      <c r="PVD128" s="139"/>
      <c r="PVE128" s="139"/>
      <c r="PVF128" s="139"/>
      <c r="PVG128" s="139"/>
      <c r="PVH128" s="139"/>
      <c r="PVI128" s="139"/>
      <c r="PVJ128" s="139"/>
      <c r="PVK128" s="139"/>
      <c r="PVL128" s="139"/>
      <c r="PVM128" s="139"/>
      <c r="PVN128" s="139"/>
      <c r="PVO128" s="139"/>
      <c r="PVP128" s="139"/>
      <c r="PVQ128" s="139"/>
      <c r="PVR128" s="139"/>
      <c r="PVS128" s="139"/>
      <c r="PVT128" s="139"/>
      <c r="PVU128" s="139"/>
      <c r="PVV128" s="139"/>
      <c r="PVW128" s="139"/>
      <c r="PVX128" s="139"/>
      <c r="PVY128" s="139"/>
      <c r="PVZ128" s="139"/>
      <c r="PWA128" s="139"/>
      <c r="PWB128" s="139"/>
      <c r="PWC128" s="139"/>
      <c r="PWD128" s="139"/>
      <c r="PWE128" s="139"/>
      <c r="PWF128" s="139"/>
      <c r="PWG128" s="139"/>
      <c r="PWH128" s="139"/>
      <c r="PWI128" s="139"/>
      <c r="PWJ128" s="139"/>
      <c r="PWK128" s="139"/>
      <c r="PWL128" s="139"/>
      <c r="PWM128" s="139"/>
      <c r="PWN128" s="139"/>
      <c r="PWO128" s="139"/>
      <c r="PWP128" s="139"/>
      <c r="PWQ128" s="139"/>
      <c r="PWR128" s="139"/>
      <c r="PWS128" s="139"/>
      <c r="PWT128" s="139"/>
      <c r="PWU128" s="139"/>
      <c r="PWV128" s="139"/>
      <c r="PWW128" s="139"/>
      <c r="PWX128" s="139"/>
      <c r="PWY128" s="139"/>
      <c r="PWZ128" s="139"/>
      <c r="PXA128" s="139"/>
      <c r="PXB128" s="139"/>
      <c r="PXC128" s="139"/>
      <c r="PXD128" s="139"/>
      <c r="PXE128" s="139"/>
      <c r="PXF128" s="139"/>
      <c r="PXG128" s="139"/>
      <c r="PXH128" s="139"/>
      <c r="PXI128" s="139"/>
      <c r="PXJ128" s="139"/>
      <c r="PXK128" s="139"/>
      <c r="PXL128" s="139"/>
      <c r="PXM128" s="139"/>
      <c r="PXN128" s="139"/>
      <c r="PXO128" s="139"/>
      <c r="PXP128" s="139"/>
      <c r="PXQ128" s="139"/>
      <c r="PXR128" s="139"/>
      <c r="PXS128" s="139"/>
      <c r="PXT128" s="139"/>
      <c r="PXU128" s="139"/>
      <c r="PXV128" s="139"/>
      <c r="PXW128" s="139"/>
      <c r="PXX128" s="139"/>
      <c r="PXY128" s="139"/>
      <c r="PXZ128" s="139"/>
      <c r="PYA128" s="139"/>
      <c r="PYB128" s="139"/>
      <c r="PYC128" s="139"/>
      <c r="PYD128" s="139"/>
      <c r="PYE128" s="139"/>
      <c r="PYF128" s="139"/>
      <c r="PYG128" s="139"/>
      <c r="PYH128" s="139"/>
      <c r="PYI128" s="139"/>
      <c r="PYJ128" s="139"/>
      <c r="PYK128" s="139"/>
      <c r="PYL128" s="139"/>
      <c r="PYM128" s="139"/>
      <c r="PYN128" s="139"/>
      <c r="PYO128" s="139"/>
      <c r="PYP128" s="139"/>
      <c r="PYQ128" s="139"/>
      <c r="PYR128" s="139"/>
      <c r="PYS128" s="139"/>
      <c r="PYT128" s="139"/>
      <c r="PYU128" s="139"/>
      <c r="PYV128" s="139"/>
      <c r="PYW128" s="139"/>
      <c r="PYX128" s="139"/>
      <c r="PYY128" s="139"/>
      <c r="PYZ128" s="139"/>
      <c r="PZA128" s="139"/>
      <c r="PZB128" s="139"/>
      <c r="PZC128" s="139"/>
      <c r="PZD128" s="139"/>
      <c r="PZE128" s="139"/>
      <c r="PZF128" s="139"/>
      <c r="PZG128" s="139"/>
      <c r="PZH128" s="139"/>
      <c r="PZI128" s="139"/>
      <c r="PZJ128" s="139"/>
      <c r="PZK128" s="139"/>
      <c r="PZL128" s="139"/>
      <c r="PZM128" s="139"/>
      <c r="PZN128" s="139"/>
      <c r="PZO128" s="139"/>
      <c r="PZP128" s="139"/>
      <c r="PZQ128" s="139"/>
      <c r="PZR128" s="139"/>
      <c r="PZS128" s="139"/>
      <c r="PZT128" s="139"/>
      <c r="PZU128" s="139"/>
      <c r="PZV128" s="139"/>
      <c r="PZW128" s="139"/>
      <c r="PZX128" s="139"/>
      <c r="PZY128" s="139"/>
      <c r="PZZ128" s="139"/>
      <c r="QAA128" s="139"/>
      <c r="QAB128" s="139"/>
      <c r="QAC128" s="139"/>
      <c r="QAD128" s="139"/>
      <c r="QAE128" s="139"/>
      <c r="QAF128" s="139"/>
      <c r="QAG128" s="139"/>
      <c r="QAH128" s="139"/>
      <c r="QAI128" s="139"/>
      <c r="QAJ128" s="139"/>
      <c r="QAK128" s="139"/>
      <c r="QAL128" s="139"/>
      <c r="QAM128" s="139"/>
      <c r="QAN128" s="139"/>
      <c r="QAO128" s="139"/>
      <c r="QAP128" s="139"/>
      <c r="QAQ128" s="139"/>
      <c r="QAR128" s="139"/>
      <c r="QAS128" s="139"/>
      <c r="QAT128" s="139"/>
      <c r="QAU128" s="139"/>
      <c r="QAV128" s="139"/>
      <c r="QAW128" s="139"/>
      <c r="QAX128" s="139"/>
      <c r="QAY128" s="139"/>
      <c r="QAZ128" s="139"/>
      <c r="QBA128" s="139"/>
      <c r="QBB128" s="139"/>
      <c r="QBC128" s="139"/>
      <c r="QBD128" s="139"/>
      <c r="QBE128" s="139"/>
      <c r="QBF128" s="139"/>
      <c r="QBG128" s="139"/>
      <c r="QBH128" s="139"/>
      <c r="QBI128" s="139"/>
      <c r="QBJ128" s="139"/>
      <c r="QBK128" s="139"/>
      <c r="QBL128" s="139"/>
      <c r="QBM128" s="139"/>
      <c r="QBN128" s="139"/>
      <c r="QBO128" s="139"/>
      <c r="QBP128" s="139"/>
      <c r="QBQ128" s="139"/>
      <c r="QBR128" s="139"/>
      <c r="QBS128" s="139"/>
      <c r="QBT128" s="139"/>
      <c r="QBU128" s="139"/>
      <c r="QBV128" s="139"/>
      <c r="QBW128" s="139"/>
      <c r="QBX128" s="139"/>
      <c r="QBY128" s="139"/>
      <c r="QBZ128" s="139"/>
      <c r="QCA128" s="139"/>
      <c r="QCB128" s="139"/>
      <c r="QCC128" s="139"/>
      <c r="QCD128" s="139"/>
      <c r="QCE128" s="139"/>
      <c r="QCF128" s="139"/>
      <c r="QCG128" s="139"/>
      <c r="QCH128" s="139"/>
      <c r="QCI128" s="139"/>
      <c r="QCJ128" s="139"/>
      <c r="QCK128" s="139"/>
      <c r="QCL128" s="139"/>
      <c r="QCM128" s="139"/>
      <c r="QCN128" s="139"/>
      <c r="QCO128" s="139"/>
      <c r="QCP128" s="139"/>
      <c r="QCQ128" s="139"/>
      <c r="QCR128" s="139"/>
      <c r="QCS128" s="139"/>
      <c r="QCT128" s="139"/>
      <c r="QCU128" s="139"/>
      <c r="QCV128" s="139"/>
      <c r="QCW128" s="139"/>
      <c r="QCX128" s="139"/>
      <c r="QCY128" s="139"/>
      <c r="QCZ128" s="139"/>
      <c r="QDA128" s="139"/>
      <c r="QDB128" s="139"/>
      <c r="QDC128" s="139"/>
      <c r="QDD128" s="139"/>
      <c r="QDE128" s="139"/>
      <c r="QDF128" s="139"/>
      <c r="QDG128" s="139"/>
      <c r="QDH128" s="139"/>
      <c r="QDI128" s="139"/>
      <c r="QDJ128" s="139"/>
      <c r="QDK128" s="139"/>
      <c r="QDL128" s="139"/>
      <c r="QDM128" s="139"/>
      <c r="QDN128" s="139"/>
      <c r="QDO128" s="139"/>
      <c r="QDP128" s="139"/>
      <c r="QDQ128" s="139"/>
      <c r="QDR128" s="139"/>
      <c r="QDS128" s="139"/>
      <c r="QDT128" s="139"/>
      <c r="QDU128" s="139"/>
      <c r="QDV128" s="139"/>
      <c r="QDW128" s="139"/>
      <c r="QDX128" s="139"/>
      <c r="QDY128" s="139"/>
      <c r="QDZ128" s="139"/>
      <c r="QEA128" s="139"/>
      <c r="QEB128" s="139"/>
      <c r="QEC128" s="139"/>
      <c r="QED128" s="139"/>
      <c r="QEE128" s="139"/>
      <c r="QEF128" s="139"/>
      <c r="QEG128" s="139"/>
      <c r="QEH128" s="139"/>
      <c r="QEI128" s="139"/>
      <c r="QEJ128" s="139"/>
      <c r="QEK128" s="139"/>
      <c r="QEL128" s="139"/>
      <c r="QEM128" s="139"/>
      <c r="QEN128" s="139"/>
      <c r="QEO128" s="139"/>
      <c r="QEP128" s="139"/>
      <c r="QEQ128" s="139"/>
      <c r="QER128" s="139"/>
      <c r="QES128" s="139"/>
      <c r="QET128" s="139"/>
      <c r="QEU128" s="139"/>
      <c r="QEV128" s="139"/>
      <c r="QEW128" s="139"/>
      <c r="QEX128" s="139"/>
      <c r="QEY128" s="139"/>
      <c r="QEZ128" s="139"/>
      <c r="QFA128" s="139"/>
      <c r="QFB128" s="139"/>
      <c r="QFC128" s="139"/>
      <c r="QFD128" s="139"/>
      <c r="QFE128" s="139"/>
      <c r="QFF128" s="139"/>
      <c r="QFG128" s="139"/>
      <c r="QFH128" s="139"/>
      <c r="QFI128" s="139"/>
      <c r="QFJ128" s="139"/>
      <c r="QFK128" s="139"/>
      <c r="QFL128" s="139"/>
      <c r="QFM128" s="139"/>
      <c r="QFN128" s="139"/>
      <c r="QFO128" s="139"/>
      <c r="QFP128" s="139"/>
      <c r="QFQ128" s="139"/>
      <c r="QFR128" s="139"/>
      <c r="QFS128" s="139"/>
      <c r="QFT128" s="139"/>
      <c r="QFU128" s="139"/>
      <c r="QFV128" s="139"/>
      <c r="QFW128" s="139"/>
      <c r="QFX128" s="139"/>
      <c r="QFY128" s="139"/>
      <c r="QFZ128" s="139"/>
      <c r="QGA128" s="139"/>
      <c r="QGB128" s="139"/>
      <c r="QGC128" s="139"/>
      <c r="QGD128" s="139"/>
      <c r="QGE128" s="139"/>
      <c r="QGF128" s="139"/>
      <c r="QGG128" s="139"/>
      <c r="QGH128" s="139"/>
      <c r="QGI128" s="139"/>
      <c r="QGJ128" s="139"/>
      <c r="QGK128" s="139"/>
      <c r="QGL128" s="139"/>
      <c r="QGM128" s="139"/>
      <c r="QGN128" s="139"/>
      <c r="QGO128" s="139"/>
      <c r="QGP128" s="139"/>
      <c r="QGQ128" s="139"/>
      <c r="QGR128" s="139"/>
      <c r="QGS128" s="139"/>
      <c r="QGT128" s="139"/>
      <c r="QGU128" s="139"/>
      <c r="QGV128" s="139"/>
      <c r="QGW128" s="139"/>
      <c r="QGX128" s="139"/>
      <c r="QGY128" s="139"/>
      <c r="QGZ128" s="139"/>
      <c r="QHA128" s="139"/>
      <c r="QHB128" s="139"/>
      <c r="QHC128" s="139"/>
      <c r="QHD128" s="139"/>
      <c r="QHE128" s="139"/>
      <c r="QHF128" s="139"/>
      <c r="QHG128" s="139"/>
      <c r="QHH128" s="139"/>
      <c r="QHI128" s="139"/>
      <c r="QHJ128" s="139"/>
      <c r="QHK128" s="139"/>
      <c r="QHL128" s="139"/>
      <c r="QHM128" s="139"/>
      <c r="QHN128" s="139"/>
      <c r="QHO128" s="139"/>
      <c r="QHP128" s="139"/>
      <c r="QHQ128" s="139"/>
      <c r="QHR128" s="139"/>
      <c r="QHS128" s="139"/>
      <c r="QHT128" s="139"/>
      <c r="QHU128" s="139"/>
      <c r="QHV128" s="139"/>
      <c r="QHW128" s="139"/>
      <c r="QHX128" s="139"/>
      <c r="QHY128" s="139"/>
      <c r="QHZ128" s="139"/>
      <c r="QIA128" s="139"/>
      <c r="QIB128" s="139"/>
      <c r="QIC128" s="139"/>
      <c r="QID128" s="139"/>
      <c r="QIE128" s="139"/>
      <c r="QIF128" s="139"/>
      <c r="QIG128" s="139"/>
      <c r="QIH128" s="139"/>
      <c r="QII128" s="139"/>
      <c r="QIJ128" s="139"/>
      <c r="QIK128" s="139"/>
      <c r="QIL128" s="139"/>
      <c r="QIM128" s="139"/>
      <c r="QIN128" s="139"/>
      <c r="QIO128" s="139"/>
      <c r="QIP128" s="139"/>
      <c r="QIQ128" s="139"/>
      <c r="QIR128" s="139"/>
      <c r="QIS128" s="139"/>
      <c r="QIT128" s="139"/>
      <c r="QIU128" s="139"/>
      <c r="QIV128" s="139"/>
      <c r="QIW128" s="139"/>
      <c r="QIX128" s="139"/>
      <c r="QIY128" s="139"/>
      <c r="QIZ128" s="139"/>
      <c r="QJA128" s="139"/>
      <c r="QJB128" s="139"/>
      <c r="QJC128" s="139"/>
      <c r="QJD128" s="139"/>
      <c r="QJE128" s="139"/>
      <c r="QJF128" s="139"/>
      <c r="QJG128" s="139"/>
      <c r="QJH128" s="139"/>
      <c r="QJI128" s="139"/>
      <c r="QJJ128" s="139"/>
      <c r="QJK128" s="139"/>
      <c r="QJL128" s="139"/>
      <c r="QJM128" s="139"/>
      <c r="QJN128" s="139"/>
      <c r="QJO128" s="139"/>
      <c r="QJP128" s="139"/>
      <c r="QJQ128" s="139"/>
      <c r="QJR128" s="139"/>
      <c r="QJS128" s="139"/>
      <c r="QJT128" s="139"/>
      <c r="QJU128" s="139"/>
      <c r="QJV128" s="139"/>
      <c r="QJW128" s="139"/>
      <c r="QJX128" s="139"/>
      <c r="QJY128" s="139"/>
      <c r="QJZ128" s="139"/>
      <c r="QKA128" s="139"/>
      <c r="QKB128" s="139"/>
      <c r="QKC128" s="139"/>
      <c r="QKD128" s="139"/>
      <c r="QKE128" s="139"/>
      <c r="QKF128" s="139"/>
      <c r="QKG128" s="139"/>
      <c r="QKH128" s="139"/>
      <c r="QKI128" s="139"/>
      <c r="QKJ128" s="139"/>
      <c r="QKK128" s="139"/>
      <c r="QKL128" s="139"/>
      <c r="QKM128" s="139"/>
      <c r="QKN128" s="139"/>
      <c r="QKO128" s="139"/>
      <c r="QKP128" s="139"/>
      <c r="QKQ128" s="139"/>
      <c r="QKR128" s="139"/>
      <c r="QKS128" s="139"/>
      <c r="QKT128" s="139"/>
      <c r="QKU128" s="139"/>
      <c r="QKV128" s="139"/>
      <c r="QKW128" s="139"/>
      <c r="QKX128" s="139"/>
      <c r="QKY128" s="139"/>
      <c r="QKZ128" s="139"/>
      <c r="QLA128" s="139"/>
      <c r="QLB128" s="139"/>
      <c r="QLC128" s="139"/>
      <c r="QLD128" s="139"/>
      <c r="QLE128" s="139"/>
      <c r="QLF128" s="139"/>
      <c r="QLG128" s="139"/>
      <c r="QLH128" s="139"/>
      <c r="QLI128" s="139"/>
      <c r="QLJ128" s="139"/>
      <c r="QLK128" s="139"/>
      <c r="QLL128" s="139"/>
      <c r="QLM128" s="139"/>
      <c r="QLN128" s="139"/>
      <c r="QLO128" s="139"/>
      <c r="QLP128" s="139"/>
      <c r="QLQ128" s="139"/>
      <c r="QLR128" s="139"/>
      <c r="QLS128" s="139"/>
      <c r="QLT128" s="139"/>
      <c r="QLU128" s="139"/>
      <c r="QLV128" s="139"/>
      <c r="QLW128" s="139"/>
      <c r="QLX128" s="139"/>
      <c r="QLY128" s="139"/>
      <c r="QLZ128" s="139"/>
      <c r="QMA128" s="139"/>
      <c r="QMB128" s="139"/>
      <c r="QMC128" s="139"/>
      <c r="QMD128" s="139"/>
      <c r="QME128" s="139"/>
      <c r="QMF128" s="139"/>
      <c r="QMG128" s="139"/>
      <c r="QMH128" s="139"/>
      <c r="QMI128" s="139"/>
      <c r="QMJ128" s="139"/>
      <c r="QMK128" s="139"/>
      <c r="QML128" s="139"/>
      <c r="QMM128" s="139"/>
      <c r="QMN128" s="139"/>
      <c r="QMO128" s="139"/>
      <c r="QMP128" s="139"/>
      <c r="QMQ128" s="139"/>
      <c r="QMR128" s="139"/>
      <c r="QMS128" s="139"/>
      <c r="QMT128" s="139"/>
      <c r="QMU128" s="139"/>
      <c r="QMV128" s="139"/>
      <c r="QMW128" s="139"/>
      <c r="QMX128" s="139"/>
      <c r="QMY128" s="139"/>
      <c r="QMZ128" s="139"/>
      <c r="QNA128" s="139"/>
      <c r="QNB128" s="139"/>
      <c r="QNC128" s="139"/>
      <c r="QND128" s="139"/>
      <c r="QNE128" s="139"/>
      <c r="QNF128" s="139"/>
      <c r="QNG128" s="139"/>
      <c r="QNH128" s="139"/>
      <c r="QNI128" s="139"/>
      <c r="QNJ128" s="139"/>
      <c r="QNK128" s="139"/>
      <c r="QNL128" s="139"/>
      <c r="QNM128" s="139"/>
      <c r="QNN128" s="139"/>
      <c r="QNO128" s="139"/>
      <c r="QNP128" s="139"/>
      <c r="QNQ128" s="139"/>
      <c r="QNR128" s="139"/>
      <c r="QNS128" s="139"/>
      <c r="QNT128" s="139"/>
      <c r="QNU128" s="139"/>
      <c r="QNV128" s="139"/>
      <c r="QNW128" s="139"/>
      <c r="QNX128" s="139"/>
      <c r="QNY128" s="139"/>
      <c r="QNZ128" s="139"/>
      <c r="QOA128" s="139"/>
      <c r="QOB128" s="139"/>
      <c r="QOC128" s="139"/>
      <c r="QOD128" s="139"/>
      <c r="QOE128" s="139"/>
      <c r="QOF128" s="139"/>
      <c r="QOG128" s="139"/>
      <c r="QOH128" s="139"/>
      <c r="QOI128" s="139"/>
      <c r="QOJ128" s="139"/>
      <c r="QOK128" s="139"/>
      <c r="QOL128" s="139"/>
      <c r="QOM128" s="139"/>
      <c r="QON128" s="139"/>
      <c r="QOO128" s="139"/>
      <c r="QOP128" s="139"/>
      <c r="QOQ128" s="139"/>
      <c r="QOR128" s="139"/>
      <c r="QOS128" s="139"/>
      <c r="QOT128" s="139"/>
      <c r="QOU128" s="139"/>
      <c r="QOV128" s="139"/>
      <c r="QOW128" s="139"/>
      <c r="QOX128" s="139"/>
      <c r="QOY128" s="139"/>
      <c r="QOZ128" s="139"/>
      <c r="QPA128" s="139"/>
      <c r="QPB128" s="139"/>
      <c r="QPC128" s="139"/>
      <c r="QPD128" s="139"/>
      <c r="QPE128" s="139"/>
      <c r="QPF128" s="139"/>
      <c r="QPG128" s="139"/>
      <c r="QPH128" s="139"/>
      <c r="QPI128" s="139"/>
      <c r="QPJ128" s="139"/>
      <c r="QPK128" s="139"/>
      <c r="QPL128" s="139"/>
      <c r="QPM128" s="139"/>
      <c r="QPN128" s="139"/>
      <c r="QPO128" s="139"/>
      <c r="QPP128" s="139"/>
      <c r="QPQ128" s="139"/>
      <c r="QPR128" s="139"/>
      <c r="QPS128" s="139"/>
      <c r="QPT128" s="139"/>
      <c r="QPU128" s="139"/>
      <c r="QPV128" s="139"/>
      <c r="QPW128" s="139"/>
      <c r="QPX128" s="139"/>
      <c r="QPY128" s="139"/>
      <c r="QPZ128" s="139"/>
      <c r="QQA128" s="139"/>
      <c r="QQB128" s="139"/>
      <c r="QQC128" s="139"/>
      <c r="QQD128" s="139"/>
      <c r="QQE128" s="139"/>
      <c r="QQF128" s="139"/>
      <c r="QQG128" s="139"/>
      <c r="QQH128" s="139"/>
      <c r="QQI128" s="139"/>
      <c r="QQJ128" s="139"/>
      <c r="QQK128" s="139"/>
      <c r="QQL128" s="139"/>
      <c r="QQM128" s="139"/>
      <c r="QQN128" s="139"/>
      <c r="QQO128" s="139"/>
      <c r="QQP128" s="139"/>
      <c r="QQQ128" s="139"/>
      <c r="QQR128" s="139"/>
      <c r="QQS128" s="139"/>
      <c r="QQT128" s="139"/>
      <c r="QQU128" s="139"/>
      <c r="QQV128" s="139"/>
      <c r="QQW128" s="139"/>
      <c r="QQX128" s="139"/>
      <c r="QQY128" s="139"/>
      <c r="QQZ128" s="139"/>
      <c r="QRA128" s="139"/>
      <c r="QRB128" s="139"/>
      <c r="QRC128" s="139"/>
      <c r="QRD128" s="139"/>
      <c r="QRE128" s="139"/>
      <c r="QRF128" s="139"/>
      <c r="QRG128" s="139"/>
      <c r="QRH128" s="139"/>
      <c r="QRI128" s="139"/>
      <c r="QRJ128" s="139"/>
      <c r="QRK128" s="139"/>
      <c r="QRL128" s="139"/>
      <c r="QRM128" s="139"/>
      <c r="QRN128" s="139"/>
      <c r="QRO128" s="139"/>
      <c r="QRP128" s="139"/>
      <c r="QRQ128" s="139"/>
      <c r="QRR128" s="139"/>
      <c r="QRS128" s="139"/>
      <c r="QRT128" s="139"/>
      <c r="QRU128" s="139"/>
      <c r="QRV128" s="139"/>
      <c r="QRW128" s="139"/>
      <c r="QRX128" s="139"/>
      <c r="QRY128" s="139"/>
      <c r="QRZ128" s="139"/>
      <c r="QSA128" s="139"/>
      <c r="QSB128" s="139"/>
      <c r="QSC128" s="139"/>
      <c r="QSD128" s="139"/>
      <c r="QSE128" s="139"/>
      <c r="QSF128" s="139"/>
      <c r="QSG128" s="139"/>
      <c r="QSH128" s="139"/>
      <c r="QSI128" s="139"/>
      <c r="QSJ128" s="139"/>
      <c r="QSK128" s="139"/>
      <c r="QSL128" s="139"/>
      <c r="QSM128" s="139"/>
      <c r="QSN128" s="139"/>
      <c r="QSO128" s="139"/>
      <c r="QSP128" s="139"/>
      <c r="QSQ128" s="139"/>
      <c r="QSR128" s="139"/>
      <c r="QSS128" s="139"/>
      <c r="QST128" s="139"/>
      <c r="QSU128" s="139"/>
      <c r="QSV128" s="139"/>
      <c r="QSW128" s="139"/>
      <c r="QSX128" s="139"/>
      <c r="QSY128" s="139"/>
      <c r="QSZ128" s="139"/>
      <c r="QTA128" s="139"/>
      <c r="QTB128" s="139"/>
      <c r="QTC128" s="139"/>
      <c r="QTD128" s="139"/>
      <c r="QTE128" s="139"/>
      <c r="QTF128" s="139"/>
      <c r="QTG128" s="139"/>
      <c r="QTH128" s="139"/>
      <c r="QTI128" s="139"/>
      <c r="QTJ128" s="139"/>
      <c r="QTK128" s="139"/>
      <c r="QTL128" s="139"/>
      <c r="QTM128" s="139"/>
      <c r="QTN128" s="139"/>
      <c r="QTO128" s="139"/>
      <c r="QTP128" s="139"/>
      <c r="QTQ128" s="139"/>
      <c r="QTR128" s="139"/>
      <c r="QTS128" s="139"/>
      <c r="QTT128" s="139"/>
      <c r="QTU128" s="139"/>
      <c r="QTV128" s="139"/>
      <c r="QTW128" s="139"/>
      <c r="QTX128" s="139"/>
      <c r="QTY128" s="139"/>
      <c r="QTZ128" s="139"/>
      <c r="QUA128" s="139"/>
      <c r="QUB128" s="139"/>
      <c r="QUC128" s="139"/>
      <c r="QUD128" s="139"/>
      <c r="QUE128" s="139"/>
      <c r="QUF128" s="139"/>
      <c r="QUG128" s="139"/>
      <c r="QUH128" s="139"/>
      <c r="QUI128" s="139"/>
      <c r="QUJ128" s="139"/>
      <c r="QUK128" s="139"/>
      <c r="QUL128" s="139"/>
      <c r="QUM128" s="139"/>
      <c r="QUN128" s="139"/>
      <c r="QUO128" s="139"/>
      <c r="QUP128" s="139"/>
      <c r="QUQ128" s="139"/>
      <c r="QUR128" s="139"/>
      <c r="QUS128" s="139"/>
      <c r="QUT128" s="139"/>
      <c r="QUU128" s="139"/>
      <c r="QUV128" s="139"/>
      <c r="QUW128" s="139"/>
      <c r="QUX128" s="139"/>
      <c r="QUY128" s="139"/>
      <c r="QUZ128" s="139"/>
      <c r="QVA128" s="139"/>
      <c r="QVB128" s="139"/>
      <c r="QVC128" s="139"/>
      <c r="QVD128" s="139"/>
      <c r="QVE128" s="139"/>
      <c r="QVF128" s="139"/>
      <c r="QVG128" s="139"/>
      <c r="QVH128" s="139"/>
      <c r="QVI128" s="139"/>
      <c r="QVJ128" s="139"/>
      <c r="QVK128" s="139"/>
      <c r="QVL128" s="139"/>
      <c r="QVM128" s="139"/>
      <c r="QVN128" s="139"/>
      <c r="QVO128" s="139"/>
      <c r="QVP128" s="139"/>
      <c r="QVQ128" s="139"/>
      <c r="QVR128" s="139"/>
      <c r="QVS128" s="139"/>
      <c r="QVT128" s="139"/>
      <c r="QVU128" s="139"/>
      <c r="QVV128" s="139"/>
      <c r="QVW128" s="139"/>
      <c r="QVX128" s="139"/>
      <c r="QVY128" s="139"/>
      <c r="QVZ128" s="139"/>
      <c r="QWA128" s="139"/>
      <c r="QWB128" s="139"/>
      <c r="QWC128" s="139"/>
      <c r="QWD128" s="139"/>
      <c r="QWE128" s="139"/>
      <c r="QWF128" s="139"/>
      <c r="QWG128" s="139"/>
      <c r="QWH128" s="139"/>
      <c r="QWI128" s="139"/>
      <c r="QWJ128" s="139"/>
      <c r="QWK128" s="139"/>
      <c r="QWL128" s="139"/>
      <c r="QWM128" s="139"/>
      <c r="QWN128" s="139"/>
      <c r="QWO128" s="139"/>
      <c r="QWP128" s="139"/>
      <c r="QWQ128" s="139"/>
      <c r="QWR128" s="139"/>
      <c r="QWS128" s="139"/>
      <c r="QWT128" s="139"/>
      <c r="QWU128" s="139"/>
      <c r="QWV128" s="139"/>
      <c r="QWW128" s="139"/>
      <c r="QWX128" s="139"/>
      <c r="QWY128" s="139"/>
      <c r="QWZ128" s="139"/>
      <c r="QXA128" s="139"/>
      <c r="QXB128" s="139"/>
      <c r="QXC128" s="139"/>
      <c r="QXD128" s="139"/>
      <c r="QXE128" s="139"/>
      <c r="QXF128" s="139"/>
      <c r="QXG128" s="139"/>
      <c r="QXH128" s="139"/>
      <c r="QXI128" s="139"/>
      <c r="QXJ128" s="139"/>
      <c r="QXK128" s="139"/>
      <c r="QXL128" s="139"/>
      <c r="QXM128" s="139"/>
      <c r="QXN128" s="139"/>
      <c r="QXO128" s="139"/>
      <c r="QXP128" s="139"/>
      <c r="QXQ128" s="139"/>
      <c r="QXR128" s="139"/>
      <c r="QXS128" s="139"/>
      <c r="QXT128" s="139"/>
      <c r="QXU128" s="139"/>
      <c r="QXV128" s="139"/>
      <c r="QXW128" s="139"/>
      <c r="QXX128" s="139"/>
      <c r="QXY128" s="139"/>
      <c r="QXZ128" s="139"/>
      <c r="QYA128" s="139"/>
      <c r="QYB128" s="139"/>
      <c r="QYC128" s="139"/>
      <c r="QYD128" s="139"/>
      <c r="QYE128" s="139"/>
      <c r="QYF128" s="139"/>
      <c r="QYG128" s="139"/>
      <c r="QYH128" s="139"/>
      <c r="QYI128" s="139"/>
      <c r="QYJ128" s="139"/>
      <c r="QYK128" s="139"/>
      <c r="QYL128" s="139"/>
      <c r="QYM128" s="139"/>
      <c r="QYN128" s="139"/>
      <c r="QYO128" s="139"/>
      <c r="QYP128" s="139"/>
      <c r="QYQ128" s="139"/>
      <c r="QYR128" s="139"/>
      <c r="QYS128" s="139"/>
      <c r="QYT128" s="139"/>
      <c r="QYU128" s="139"/>
      <c r="QYV128" s="139"/>
      <c r="QYW128" s="139"/>
      <c r="QYX128" s="139"/>
      <c r="QYY128" s="139"/>
      <c r="QYZ128" s="139"/>
      <c r="QZA128" s="139"/>
      <c r="QZB128" s="139"/>
      <c r="QZC128" s="139"/>
      <c r="QZD128" s="139"/>
      <c r="QZE128" s="139"/>
      <c r="QZF128" s="139"/>
      <c r="QZG128" s="139"/>
      <c r="QZH128" s="139"/>
      <c r="QZI128" s="139"/>
      <c r="QZJ128" s="139"/>
      <c r="QZK128" s="139"/>
      <c r="QZL128" s="139"/>
      <c r="QZM128" s="139"/>
      <c r="QZN128" s="139"/>
      <c r="QZO128" s="139"/>
      <c r="QZP128" s="139"/>
      <c r="QZQ128" s="139"/>
      <c r="QZR128" s="139"/>
      <c r="QZS128" s="139"/>
      <c r="QZT128" s="139"/>
      <c r="QZU128" s="139"/>
      <c r="QZV128" s="139"/>
      <c r="QZW128" s="139"/>
      <c r="QZX128" s="139"/>
      <c r="QZY128" s="139"/>
      <c r="QZZ128" s="139"/>
      <c r="RAA128" s="139"/>
      <c r="RAB128" s="139"/>
      <c r="RAC128" s="139"/>
      <c r="RAD128" s="139"/>
      <c r="RAE128" s="139"/>
      <c r="RAF128" s="139"/>
      <c r="RAG128" s="139"/>
      <c r="RAH128" s="139"/>
      <c r="RAI128" s="139"/>
      <c r="RAJ128" s="139"/>
      <c r="RAK128" s="139"/>
      <c r="RAL128" s="139"/>
      <c r="RAM128" s="139"/>
      <c r="RAN128" s="139"/>
      <c r="RAO128" s="139"/>
      <c r="RAP128" s="139"/>
      <c r="RAQ128" s="139"/>
      <c r="RAR128" s="139"/>
      <c r="RAS128" s="139"/>
      <c r="RAT128" s="139"/>
      <c r="RAU128" s="139"/>
      <c r="RAV128" s="139"/>
      <c r="RAW128" s="139"/>
      <c r="RAX128" s="139"/>
      <c r="RAY128" s="139"/>
      <c r="RAZ128" s="139"/>
      <c r="RBA128" s="139"/>
      <c r="RBB128" s="139"/>
      <c r="RBC128" s="139"/>
      <c r="RBD128" s="139"/>
      <c r="RBE128" s="139"/>
      <c r="RBF128" s="139"/>
      <c r="RBG128" s="139"/>
      <c r="RBH128" s="139"/>
      <c r="RBI128" s="139"/>
      <c r="RBJ128" s="139"/>
      <c r="RBK128" s="139"/>
      <c r="RBL128" s="139"/>
      <c r="RBM128" s="139"/>
      <c r="RBN128" s="139"/>
      <c r="RBO128" s="139"/>
      <c r="RBP128" s="139"/>
      <c r="RBQ128" s="139"/>
      <c r="RBR128" s="139"/>
      <c r="RBS128" s="139"/>
      <c r="RBT128" s="139"/>
      <c r="RBU128" s="139"/>
      <c r="RBV128" s="139"/>
      <c r="RBW128" s="139"/>
      <c r="RBX128" s="139"/>
      <c r="RBY128" s="139"/>
      <c r="RBZ128" s="139"/>
      <c r="RCA128" s="139"/>
      <c r="RCB128" s="139"/>
      <c r="RCC128" s="139"/>
      <c r="RCD128" s="139"/>
      <c r="RCE128" s="139"/>
      <c r="RCF128" s="139"/>
      <c r="RCG128" s="139"/>
      <c r="RCH128" s="139"/>
      <c r="RCI128" s="139"/>
      <c r="RCJ128" s="139"/>
      <c r="RCK128" s="139"/>
      <c r="RCL128" s="139"/>
      <c r="RCM128" s="139"/>
      <c r="RCN128" s="139"/>
      <c r="RCO128" s="139"/>
      <c r="RCP128" s="139"/>
      <c r="RCQ128" s="139"/>
      <c r="RCR128" s="139"/>
      <c r="RCS128" s="139"/>
      <c r="RCT128" s="139"/>
      <c r="RCU128" s="139"/>
      <c r="RCV128" s="139"/>
      <c r="RCW128" s="139"/>
      <c r="RCX128" s="139"/>
      <c r="RCY128" s="139"/>
      <c r="RCZ128" s="139"/>
      <c r="RDA128" s="139"/>
      <c r="RDB128" s="139"/>
      <c r="RDC128" s="139"/>
      <c r="RDD128" s="139"/>
      <c r="RDE128" s="139"/>
      <c r="RDF128" s="139"/>
      <c r="RDG128" s="139"/>
      <c r="RDH128" s="139"/>
      <c r="RDI128" s="139"/>
      <c r="RDJ128" s="139"/>
      <c r="RDK128" s="139"/>
      <c r="RDL128" s="139"/>
      <c r="RDM128" s="139"/>
      <c r="RDN128" s="139"/>
      <c r="RDO128" s="139"/>
      <c r="RDP128" s="139"/>
      <c r="RDQ128" s="139"/>
      <c r="RDR128" s="139"/>
      <c r="RDS128" s="139"/>
      <c r="RDT128" s="139"/>
      <c r="RDU128" s="139"/>
      <c r="RDV128" s="139"/>
      <c r="RDW128" s="139"/>
      <c r="RDX128" s="139"/>
      <c r="RDY128" s="139"/>
      <c r="RDZ128" s="139"/>
      <c r="REA128" s="139"/>
      <c r="REB128" s="139"/>
      <c r="REC128" s="139"/>
      <c r="RED128" s="139"/>
      <c r="REE128" s="139"/>
      <c r="REF128" s="139"/>
      <c r="REG128" s="139"/>
      <c r="REH128" s="139"/>
      <c r="REI128" s="139"/>
      <c r="REJ128" s="139"/>
      <c r="REK128" s="139"/>
      <c r="REL128" s="139"/>
      <c r="REM128" s="139"/>
      <c r="REN128" s="139"/>
      <c r="REO128" s="139"/>
      <c r="REP128" s="139"/>
      <c r="REQ128" s="139"/>
      <c r="RER128" s="139"/>
      <c r="RES128" s="139"/>
      <c r="RET128" s="139"/>
      <c r="REU128" s="139"/>
      <c r="REV128" s="139"/>
      <c r="REW128" s="139"/>
      <c r="REX128" s="139"/>
      <c r="REY128" s="139"/>
      <c r="REZ128" s="139"/>
      <c r="RFA128" s="139"/>
      <c r="RFB128" s="139"/>
      <c r="RFC128" s="139"/>
      <c r="RFD128" s="139"/>
      <c r="RFE128" s="139"/>
      <c r="RFF128" s="139"/>
      <c r="RFG128" s="139"/>
      <c r="RFH128" s="139"/>
      <c r="RFI128" s="139"/>
      <c r="RFJ128" s="139"/>
      <c r="RFK128" s="139"/>
      <c r="RFL128" s="139"/>
      <c r="RFM128" s="139"/>
      <c r="RFN128" s="139"/>
      <c r="RFO128" s="139"/>
      <c r="RFP128" s="139"/>
      <c r="RFQ128" s="139"/>
      <c r="RFR128" s="139"/>
      <c r="RFS128" s="139"/>
      <c r="RFT128" s="139"/>
      <c r="RFU128" s="139"/>
      <c r="RFV128" s="139"/>
      <c r="RFW128" s="139"/>
      <c r="RFX128" s="139"/>
      <c r="RFY128" s="139"/>
      <c r="RFZ128" s="139"/>
      <c r="RGA128" s="139"/>
      <c r="RGB128" s="139"/>
      <c r="RGC128" s="139"/>
      <c r="RGD128" s="139"/>
      <c r="RGE128" s="139"/>
      <c r="RGF128" s="139"/>
      <c r="RGG128" s="139"/>
      <c r="RGH128" s="139"/>
      <c r="RGI128" s="139"/>
      <c r="RGJ128" s="139"/>
      <c r="RGK128" s="139"/>
      <c r="RGL128" s="139"/>
      <c r="RGM128" s="139"/>
      <c r="RGN128" s="139"/>
      <c r="RGO128" s="139"/>
      <c r="RGP128" s="139"/>
      <c r="RGQ128" s="139"/>
      <c r="RGR128" s="139"/>
      <c r="RGS128" s="139"/>
      <c r="RGT128" s="139"/>
      <c r="RGU128" s="139"/>
      <c r="RGV128" s="139"/>
      <c r="RGW128" s="139"/>
      <c r="RGX128" s="139"/>
      <c r="RGY128" s="139"/>
      <c r="RGZ128" s="139"/>
      <c r="RHA128" s="139"/>
      <c r="RHB128" s="139"/>
      <c r="RHC128" s="139"/>
      <c r="RHD128" s="139"/>
      <c r="RHE128" s="139"/>
      <c r="RHF128" s="139"/>
      <c r="RHG128" s="139"/>
      <c r="RHH128" s="139"/>
      <c r="RHI128" s="139"/>
      <c r="RHJ128" s="139"/>
      <c r="RHK128" s="139"/>
      <c r="RHL128" s="139"/>
      <c r="RHM128" s="139"/>
      <c r="RHN128" s="139"/>
      <c r="RHO128" s="139"/>
      <c r="RHP128" s="139"/>
      <c r="RHQ128" s="139"/>
      <c r="RHR128" s="139"/>
      <c r="RHS128" s="139"/>
      <c r="RHT128" s="139"/>
      <c r="RHU128" s="139"/>
      <c r="RHV128" s="139"/>
      <c r="RHW128" s="139"/>
      <c r="RHX128" s="139"/>
      <c r="RHY128" s="139"/>
      <c r="RHZ128" s="139"/>
      <c r="RIA128" s="139"/>
      <c r="RIB128" s="139"/>
      <c r="RIC128" s="139"/>
      <c r="RID128" s="139"/>
      <c r="RIE128" s="139"/>
      <c r="RIF128" s="139"/>
      <c r="RIG128" s="139"/>
      <c r="RIH128" s="139"/>
      <c r="RII128" s="139"/>
      <c r="RIJ128" s="139"/>
      <c r="RIK128" s="139"/>
      <c r="RIL128" s="139"/>
      <c r="RIM128" s="139"/>
      <c r="RIN128" s="139"/>
      <c r="RIO128" s="139"/>
      <c r="RIP128" s="139"/>
      <c r="RIQ128" s="139"/>
      <c r="RIR128" s="139"/>
      <c r="RIS128" s="139"/>
      <c r="RIT128" s="139"/>
      <c r="RIU128" s="139"/>
      <c r="RIV128" s="139"/>
      <c r="RIW128" s="139"/>
      <c r="RIX128" s="139"/>
      <c r="RIY128" s="139"/>
      <c r="RIZ128" s="139"/>
      <c r="RJA128" s="139"/>
      <c r="RJB128" s="139"/>
      <c r="RJC128" s="139"/>
      <c r="RJD128" s="139"/>
      <c r="RJE128" s="139"/>
      <c r="RJF128" s="139"/>
      <c r="RJG128" s="139"/>
      <c r="RJH128" s="139"/>
      <c r="RJI128" s="139"/>
      <c r="RJJ128" s="139"/>
      <c r="RJK128" s="139"/>
      <c r="RJL128" s="139"/>
      <c r="RJM128" s="139"/>
      <c r="RJN128" s="139"/>
      <c r="RJO128" s="139"/>
      <c r="RJP128" s="139"/>
      <c r="RJQ128" s="139"/>
      <c r="RJR128" s="139"/>
      <c r="RJS128" s="139"/>
      <c r="RJT128" s="139"/>
      <c r="RJU128" s="139"/>
      <c r="RJV128" s="139"/>
      <c r="RJW128" s="139"/>
      <c r="RJX128" s="139"/>
      <c r="RJY128" s="139"/>
      <c r="RJZ128" s="139"/>
      <c r="RKA128" s="139"/>
      <c r="RKB128" s="139"/>
      <c r="RKC128" s="139"/>
      <c r="RKD128" s="139"/>
      <c r="RKE128" s="139"/>
      <c r="RKF128" s="139"/>
      <c r="RKG128" s="139"/>
      <c r="RKH128" s="139"/>
      <c r="RKI128" s="139"/>
      <c r="RKJ128" s="139"/>
      <c r="RKK128" s="139"/>
      <c r="RKL128" s="139"/>
      <c r="RKM128" s="139"/>
      <c r="RKN128" s="139"/>
      <c r="RKO128" s="139"/>
      <c r="RKP128" s="139"/>
      <c r="RKQ128" s="139"/>
      <c r="RKR128" s="139"/>
      <c r="RKS128" s="139"/>
      <c r="RKT128" s="139"/>
      <c r="RKU128" s="139"/>
      <c r="RKV128" s="139"/>
      <c r="RKW128" s="139"/>
      <c r="RKX128" s="139"/>
      <c r="RKY128" s="139"/>
      <c r="RKZ128" s="139"/>
      <c r="RLA128" s="139"/>
      <c r="RLB128" s="139"/>
      <c r="RLC128" s="139"/>
      <c r="RLD128" s="139"/>
      <c r="RLE128" s="139"/>
      <c r="RLF128" s="139"/>
      <c r="RLG128" s="139"/>
      <c r="RLH128" s="139"/>
      <c r="RLI128" s="139"/>
      <c r="RLJ128" s="139"/>
      <c r="RLK128" s="139"/>
      <c r="RLL128" s="139"/>
      <c r="RLM128" s="139"/>
      <c r="RLN128" s="139"/>
      <c r="RLO128" s="139"/>
      <c r="RLP128" s="139"/>
      <c r="RLQ128" s="139"/>
      <c r="RLR128" s="139"/>
      <c r="RLS128" s="139"/>
      <c r="RLT128" s="139"/>
      <c r="RLU128" s="139"/>
      <c r="RLV128" s="139"/>
      <c r="RLW128" s="139"/>
      <c r="RLX128" s="139"/>
      <c r="RLY128" s="139"/>
      <c r="RLZ128" s="139"/>
      <c r="RMA128" s="139"/>
      <c r="RMB128" s="139"/>
      <c r="RMC128" s="139"/>
      <c r="RMD128" s="139"/>
      <c r="RME128" s="139"/>
      <c r="RMF128" s="139"/>
      <c r="RMG128" s="139"/>
      <c r="RMH128" s="139"/>
      <c r="RMI128" s="139"/>
      <c r="RMJ128" s="139"/>
      <c r="RMK128" s="139"/>
      <c r="RML128" s="139"/>
      <c r="RMM128" s="139"/>
      <c r="RMN128" s="139"/>
      <c r="RMO128" s="139"/>
      <c r="RMP128" s="139"/>
      <c r="RMQ128" s="139"/>
      <c r="RMR128" s="139"/>
      <c r="RMS128" s="139"/>
      <c r="RMT128" s="139"/>
      <c r="RMU128" s="139"/>
      <c r="RMV128" s="139"/>
      <c r="RMW128" s="139"/>
      <c r="RMX128" s="139"/>
      <c r="RMY128" s="139"/>
      <c r="RMZ128" s="139"/>
      <c r="RNA128" s="139"/>
      <c r="RNB128" s="139"/>
      <c r="RNC128" s="139"/>
      <c r="RND128" s="139"/>
      <c r="RNE128" s="139"/>
      <c r="RNF128" s="139"/>
      <c r="RNG128" s="139"/>
      <c r="RNH128" s="139"/>
      <c r="RNI128" s="139"/>
      <c r="RNJ128" s="139"/>
      <c r="RNK128" s="139"/>
      <c r="RNL128" s="139"/>
      <c r="RNM128" s="139"/>
      <c r="RNN128" s="139"/>
      <c r="RNO128" s="139"/>
      <c r="RNP128" s="139"/>
      <c r="RNQ128" s="139"/>
      <c r="RNR128" s="139"/>
      <c r="RNS128" s="139"/>
      <c r="RNT128" s="139"/>
      <c r="RNU128" s="139"/>
      <c r="RNV128" s="139"/>
      <c r="RNW128" s="139"/>
      <c r="RNX128" s="139"/>
      <c r="RNY128" s="139"/>
      <c r="RNZ128" s="139"/>
      <c r="ROA128" s="139"/>
      <c r="ROB128" s="139"/>
      <c r="ROC128" s="139"/>
      <c r="ROD128" s="139"/>
      <c r="ROE128" s="139"/>
      <c r="ROF128" s="139"/>
      <c r="ROG128" s="139"/>
      <c r="ROH128" s="139"/>
      <c r="ROI128" s="139"/>
      <c r="ROJ128" s="139"/>
      <c r="ROK128" s="139"/>
      <c r="ROL128" s="139"/>
      <c r="ROM128" s="139"/>
      <c r="RON128" s="139"/>
      <c r="ROO128" s="139"/>
      <c r="ROP128" s="139"/>
      <c r="ROQ128" s="139"/>
      <c r="ROR128" s="139"/>
      <c r="ROS128" s="139"/>
      <c r="ROT128" s="139"/>
      <c r="ROU128" s="139"/>
      <c r="ROV128" s="139"/>
      <c r="ROW128" s="139"/>
      <c r="ROX128" s="139"/>
      <c r="ROY128" s="139"/>
      <c r="ROZ128" s="139"/>
      <c r="RPA128" s="139"/>
      <c r="RPB128" s="139"/>
      <c r="RPC128" s="139"/>
      <c r="RPD128" s="139"/>
      <c r="RPE128" s="139"/>
      <c r="RPF128" s="139"/>
      <c r="RPG128" s="139"/>
      <c r="RPH128" s="139"/>
      <c r="RPI128" s="139"/>
      <c r="RPJ128" s="139"/>
      <c r="RPK128" s="139"/>
      <c r="RPL128" s="139"/>
      <c r="RPM128" s="139"/>
      <c r="RPN128" s="139"/>
      <c r="RPO128" s="139"/>
      <c r="RPP128" s="139"/>
      <c r="RPQ128" s="139"/>
      <c r="RPR128" s="139"/>
      <c r="RPS128" s="139"/>
      <c r="RPT128" s="139"/>
      <c r="RPU128" s="139"/>
      <c r="RPV128" s="139"/>
      <c r="RPW128" s="139"/>
      <c r="RPX128" s="139"/>
      <c r="RPY128" s="139"/>
      <c r="RPZ128" s="139"/>
      <c r="RQA128" s="139"/>
      <c r="RQB128" s="139"/>
      <c r="RQC128" s="139"/>
      <c r="RQD128" s="139"/>
      <c r="RQE128" s="139"/>
      <c r="RQF128" s="139"/>
      <c r="RQG128" s="139"/>
      <c r="RQH128" s="139"/>
      <c r="RQI128" s="139"/>
      <c r="RQJ128" s="139"/>
      <c r="RQK128" s="139"/>
      <c r="RQL128" s="139"/>
      <c r="RQM128" s="139"/>
      <c r="RQN128" s="139"/>
      <c r="RQO128" s="139"/>
      <c r="RQP128" s="139"/>
      <c r="RQQ128" s="139"/>
      <c r="RQR128" s="139"/>
      <c r="RQS128" s="139"/>
      <c r="RQT128" s="139"/>
      <c r="RQU128" s="139"/>
      <c r="RQV128" s="139"/>
      <c r="RQW128" s="139"/>
      <c r="RQX128" s="139"/>
      <c r="RQY128" s="139"/>
      <c r="RQZ128" s="139"/>
      <c r="RRA128" s="139"/>
      <c r="RRB128" s="139"/>
      <c r="RRC128" s="139"/>
      <c r="RRD128" s="139"/>
      <c r="RRE128" s="139"/>
      <c r="RRF128" s="139"/>
      <c r="RRG128" s="139"/>
      <c r="RRH128" s="139"/>
      <c r="RRI128" s="139"/>
      <c r="RRJ128" s="139"/>
      <c r="RRK128" s="139"/>
      <c r="RRL128" s="139"/>
      <c r="RRM128" s="139"/>
      <c r="RRN128" s="139"/>
      <c r="RRO128" s="139"/>
      <c r="RRP128" s="139"/>
      <c r="RRQ128" s="139"/>
      <c r="RRR128" s="139"/>
      <c r="RRS128" s="139"/>
      <c r="RRT128" s="139"/>
      <c r="RRU128" s="139"/>
      <c r="RRV128" s="139"/>
      <c r="RRW128" s="139"/>
      <c r="RRX128" s="139"/>
      <c r="RRY128" s="139"/>
      <c r="RRZ128" s="139"/>
      <c r="RSA128" s="139"/>
      <c r="RSB128" s="139"/>
      <c r="RSC128" s="139"/>
      <c r="RSD128" s="139"/>
      <c r="RSE128" s="139"/>
      <c r="RSF128" s="139"/>
      <c r="RSG128" s="139"/>
      <c r="RSH128" s="139"/>
      <c r="RSI128" s="139"/>
      <c r="RSJ128" s="139"/>
      <c r="RSK128" s="139"/>
      <c r="RSL128" s="139"/>
      <c r="RSM128" s="139"/>
      <c r="RSN128" s="139"/>
      <c r="RSO128" s="139"/>
      <c r="RSP128" s="139"/>
      <c r="RSQ128" s="139"/>
      <c r="RSR128" s="139"/>
      <c r="RSS128" s="139"/>
      <c r="RST128" s="139"/>
      <c r="RSU128" s="139"/>
      <c r="RSV128" s="139"/>
      <c r="RSW128" s="139"/>
      <c r="RSX128" s="139"/>
      <c r="RSY128" s="139"/>
      <c r="RSZ128" s="139"/>
      <c r="RTA128" s="139"/>
      <c r="RTB128" s="139"/>
      <c r="RTC128" s="139"/>
      <c r="RTD128" s="139"/>
      <c r="RTE128" s="139"/>
      <c r="RTF128" s="139"/>
      <c r="RTG128" s="139"/>
      <c r="RTH128" s="139"/>
      <c r="RTI128" s="139"/>
      <c r="RTJ128" s="139"/>
      <c r="RTK128" s="139"/>
      <c r="RTL128" s="139"/>
      <c r="RTM128" s="139"/>
      <c r="RTN128" s="139"/>
      <c r="RTO128" s="139"/>
      <c r="RTP128" s="139"/>
      <c r="RTQ128" s="139"/>
      <c r="RTR128" s="139"/>
      <c r="RTS128" s="139"/>
      <c r="RTT128" s="139"/>
      <c r="RTU128" s="139"/>
      <c r="RTV128" s="139"/>
      <c r="RTW128" s="139"/>
      <c r="RTX128" s="139"/>
      <c r="RTY128" s="139"/>
      <c r="RTZ128" s="139"/>
      <c r="RUA128" s="139"/>
      <c r="RUB128" s="139"/>
      <c r="RUC128" s="139"/>
      <c r="RUD128" s="139"/>
      <c r="RUE128" s="139"/>
      <c r="RUF128" s="139"/>
      <c r="RUG128" s="139"/>
      <c r="RUH128" s="139"/>
      <c r="RUI128" s="139"/>
      <c r="RUJ128" s="139"/>
      <c r="RUK128" s="139"/>
      <c r="RUL128" s="139"/>
      <c r="RUM128" s="139"/>
      <c r="RUN128" s="139"/>
      <c r="RUO128" s="139"/>
      <c r="RUP128" s="139"/>
      <c r="RUQ128" s="139"/>
      <c r="RUR128" s="139"/>
      <c r="RUS128" s="139"/>
      <c r="RUT128" s="139"/>
      <c r="RUU128" s="139"/>
      <c r="RUV128" s="139"/>
      <c r="RUW128" s="139"/>
      <c r="RUX128" s="139"/>
      <c r="RUY128" s="139"/>
      <c r="RUZ128" s="139"/>
      <c r="RVA128" s="139"/>
      <c r="RVB128" s="139"/>
      <c r="RVC128" s="139"/>
      <c r="RVD128" s="139"/>
      <c r="RVE128" s="139"/>
      <c r="RVF128" s="139"/>
      <c r="RVG128" s="139"/>
      <c r="RVH128" s="139"/>
      <c r="RVI128" s="139"/>
      <c r="RVJ128" s="139"/>
      <c r="RVK128" s="139"/>
      <c r="RVL128" s="139"/>
      <c r="RVM128" s="139"/>
      <c r="RVN128" s="139"/>
      <c r="RVO128" s="139"/>
      <c r="RVP128" s="139"/>
      <c r="RVQ128" s="139"/>
      <c r="RVR128" s="139"/>
      <c r="RVS128" s="139"/>
      <c r="RVT128" s="139"/>
      <c r="RVU128" s="139"/>
      <c r="RVV128" s="139"/>
      <c r="RVW128" s="139"/>
      <c r="RVX128" s="139"/>
      <c r="RVY128" s="139"/>
      <c r="RVZ128" s="139"/>
      <c r="RWA128" s="139"/>
      <c r="RWB128" s="139"/>
      <c r="RWC128" s="139"/>
      <c r="RWD128" s="139"/>
      <c r="RWE128" s="139"/>
      <c r="RWF128" s="139"/>
      <c r="RWG128" s="139"/>
      <c r="RWH128" s="139"/>
      <c r="RWI128" s="139"/>
      <c r="RWJ128" s="139"/>
      <c r="RWK128" s="139"/>
      <c r="RWL128" s="139"/>
      <c r="RWM128" s="139"/>
      <c r="RWN128" s="139"/>
      <c r="RWO128" s="139"/>
      <c r="RWP128" s="139"/>
      <c r="RWQ128" s="139"/>
      <c r="RWR128" s="139"/>
      <c r="RWS128" s="139"/>
      <c r="RWT128" s="139"/>
      <c r="RWU128" s="139"/>
      <c r="RWV128" s="139"/>
      <c r="RWW128" s="139"/>
      <c r="RWX128" s="139"/>
      <c r="RWY128" s="139"/>
      <c r="RWZ128" s="139"/>
      <c r="RXA128" s="139"/>
      <c r="RXB128" s="139"/>
      <c r="RXC128" s="139"/>
      <c r="RXD128" s="139"/>
      <c r="RXE128" s="139"/>
      <c r="RXF128" s="139"/>
      <c r="RXG128" s="139"/>
      <c r="RXH128" s="139"/>
      <c r="RXI128" s="139"/>
      <c r="RXJ128" s="139"/>
      <c r="RXK128" s="139"/>
      <c r="RXL128" s="139"/>
      <c r="RXM128" s="139"/>
      <c r="RXN128" s="139"/>
      <c r="RXO128" s="139"/>
      <c r="RXP128" s="139"/>
      <c r="RXQ128" s="139"/>
      <c r="RXR128" s="139"/>
      <c r="RXS128" s="139"/>
      <c r="RXT128" s="139"/>
      <c r="RXU128" s="139"/>
      <c r="RXV128" s="139"/>
      <c r="RXW128" s="139"/>
      <c r="RXX128" s="139"/>
      <c r="RXY128" s="139"/>
      <c r="RXZ128" s="139"/>
      <c r="RYA128" s="139"/>
      <c r="RYB128" s="139"/>
      <c r="RYC128" s="139"/>
      <c r="RYD128" s="139"/>
      <c r="RYE128" s="139"/>
      <c r="RYF128" s="139"/>
      <c r="RYG128" s="139"/>
      <c r="RYH128" s="139"/>
      <c r="RYI128" s="139"/>
      <c r="RYJ128" s="139"/>
      <c r="RYK128" s="139"/>
      <c r="RYL128" s="139"/>
      <c r="RYM128" s="139"/>
      <c r="RYN128" s="139"/>
      <c r="RYO128" s="139"/>
      <c r="RYP128" s="139"/>
      <c r="RYQ128" s="139"/>
      <c r="RYR128" s="139"/>
      <c r="RYS128" s="139"/>
      <c r="RYT128" s="139"/>
      <c r="RYU128" s="139"/>
      <c r="RYV128" s="139"/>
      <c r="RYW128" s="139"/>
      <c r="RYX128" s="139"/>
      <c r="RYY128" s="139"/>
      <c r="RYZ128" s="139"/>
      <c r="RZA128" s="139"/>
      <c r="RZB128" s="139"/>
      <c r="RZC128" s="139"/>
      <c r="RZD128" s="139"/>
      <c r="RZE128" s="139"/>
      <c r="RZF128" s="139"/>
      <c r="RZG128" s="139"/>
      <c r="RZH128" s="139"/>
      <c r="RZI128" s="139"/>
      <c r="RZJ128" s="139"/>
      <c r="RZK128" s="139"/>
      <c r="RZL128" s="139"/>
      <c r="RZM128" s="139"/>
      <c r="RZN128" s="139"/>
      <c r="RZO128" s="139"/>
      <c r="RZP128" s="139"/>
      <c r="RZQ128" s="139"/>
      <c r="RZR128" s="139"/>
      <c r="RZS128" s="139"/>
      <c r="RZT128" s="139"/>
      <c r="RZU128" s="139"/>
      <c r="RZV128" s="139"/>
      <c r="RZW128" s="139"/>
      <c r="RZX128" s="139"/>
      <c r="RZY128" s="139"/>
      <c r="RZZ128" s="139"/>
      <c r="SAA128" s="139"/>
      <c r="SAB128" s="139"/>
      <c r="SAC128" s="139"/>
      <c r="SAD128" s="139"/>
      <c r="SAE128" s="139"/>
      <c r="SAF128" s="139"/>
      <c r="SAG128" s="139"/>
      <c r="SAH128" s="139"/>
      <c r="SAI128" s="139"/>
      <c r="SAJ128" s="139"/>
      <c r="SAK128" s="139"/>
      <c r="SAL128" s="139"/>
      <c r="SAM128" s="139"/>
      <c r="SAN128" s="139"/>
      <c r="SAO128" s="139"/>
      <c r="SAP128" s="139"/>
      <c r="SAQ128" s="139"/>
      <c r="SAR128" s="139"/>
      <c r="SAS128" s="139"/>
      <c r="SAT128" s="139"/>
      <c r="SAU128" s="139"/>
      <c r="SAV128" s="139"/>
      <c r="SAW128" s="139"/>
      <c r="SAX128" s="139"/>
      <c r="SAY128" s="139"/>
      <c r="SAZ128" s="139"/>
      <c r="SBA128" s="139"/>
      <c r="SBB128" s="139"/>
      <c r="SBC128" s="139"/>
      <c r="SBD128" s="139"/>
      <c r="SBE128" s="139"/>
      <c r="SBF128" s="139"/>
      <c r="SBG128" s="139"/>
      <c r="SBH128" s="139"/>
      <c r="SBI128" s="139"/>
      <c r="SBJ128" s="139"/>
      <c r="SBK128" s="139"/>
      <c r="SBL128" s="139"/>
      <c r="SBM128" s="139"/>
      <c r="SBN128" s="139"/>
      <c r="SBO128" s="139"/>
      <c r="SBP128" s="139"/>
      <c r="SBQ128" s="139"/>
      <c r="SBR128" s="139"/>
      <c r="SBS128" s="139"/>
      <c r="SBT128" s="139"/>
      <c r="SBU128" s="139"/>
      <c r="SBV128" s="139"/>
      <c r="SBW128" s="139"/>
      <c r="SBX128" s="139"/>
      <c r="SBY128" s="139"/>
      <c r="SBZ128" s="139"/>
      <c r="SCA128" s="139"/>
      <c r="SCB128" s="139"/>
      <c r="SCC128" s="139"/>
      <c r="SCD128" s="139"/>
      <c r="SCE128" s="139"/>
      <c r="SCF128" s="139"/>
      <c r="SCG128" s="139"/>
      <c r="SCH128" s="139"/>
      <c r="SCI128" s="139"/>
      <c r="SCJ128" s="139"/>
      <c r="SCK128" s="139"/>
      <c r="SCL128" s="139"/>
      <c r="SCM128" s="139"/>
      <c r="SCN128" s="139"/>
      <c r="SCO128" s="139"/>
      <c r="SCP128" s="139"/>
      <c r="SCQ128" s="139"/>
      <c r="SCR128" s="139"/>
      <c r="SCS128" s="139"/>
      <c r="SCT128" s="139"/>
      <c r="SCU128" s="139"/>
      <c r="SCV128" s="139"/>
      <c r="SCW128" s="139"/>
      <c r="SCX128" s="139"/>
      <c r="SCY128" s="139"/>
      <c r="SCZ128" s="139"/>
      <c r="SDA128" s="139"/>
      <c r="SDB128" s="139"/>
      <c r="SDC128" s="139"/>
      <c r="SDD128" s="139"/>
      <c r="SDE128" s="139"/>
      <c r="SDF128" s="139"/>
      <c r="SDG128" s="139"/>
      <c r="SDH128" s="139"/>
      <c r="SDI128" s="139"/>
      <c r="SDJ128" s="139"/>
      <c r="SDK128" s="139"/>
      <c r="SDL128" s="139"/>
      <c r="SDM128" s="139"/>
      <c r="SDN128" s="139"/>
      <c r="SDO128" s="139"/>
      <c r="SDP128" s="139"/>
      <c r="SDQ128" s="139"/>
      <c r="SDR128" s="139"/>
      <c r="SDS128" s="139"/>
      <c r="SDT128" s="139"/>
      <c r="SDU128" s="139"/>
      <c r="SDV128" s="139"/>
      <c r="SDW128" s="139"/>
      <c r="SDX128" s="139"/>
      <c r="SDY128" s="139"/>
      <c r="SDZ128" s="139"/>
      <c r="SEA128" s="139"/>
      <c r="SEB128" s="139"/>
      <c r="SEC128" s="139"/>
      <c r="SED128" s="139"/>
      <c r="SEE128" s="139"/>
      <c r="SEF128" s="139"/>
      <c r="SEG128" s="139"/>
      <c r="SEH128" s="139"/>
      <c r="SEI128" s="139"/>
      <c r="SEJ128" s="139"/>
      <c r="SEK128" s="139"/>
      <c r="SEL128" s="139"/>
      <c r="SEM128" s="139"/>
      <c r="SEN128" s="139"/>
      <c r="SEO128" s="139"/>
      <c r="SEP128" s="139"/>
      <c r="SEQ128" s="139"/>
      <c r="SER128" s="139"/>
      <c r="SES128" s="139"/>
      <c r="SET128" s="139"/>
      <c r="SEU128" s="139"/>
      <c r="SEV128" s="139"/>
      <c r="SEW128" s="139"/>
      <c r="SEX128" s="139"/>
      <c r="SEY128" s="139"/>
      <c r="SEZ128" s="139"/>
      <c r="SFA128" s="139"/>
      <c r="SFB128" s="139"/>
      <c r="SFC128" s="139"/>
      <c r="SFD128" s="139"/>
      <c r="SFE128" s="139"/>
      <c r="SFF128" s="139"/>
      <c r="SFG128" s="139"/>
      <c r="SFH128" s="139"/>
      <c r="SFI128" s="139"/>
      <c r="SFJ128" s="139"/>
      <c r="SFK128" s="139"/>
      <c r="SFL128" s="139"/>
      <c r="SFM128" s="139"/>
      <c r="SFN128" s="139"/>
      <c r="SFO128" s="139"/>
      <c r="SFP128" s="139"/>
      <c r="SFQ128" s="139"/>
      <c r="SFR128" s="139"/>
      <c r="SFS128" s="139"/>
      <c r="SFT128" s="139"/>
      <c r="SFU128" s="139"/>
      <c r="SFV128" s="139"/>
      <c r="SFW128" s="139"/>
      <c r="SFX128" s="139"/>
      <c r="SFY128" s="139"/>
      <c r="SFZ128" s="139"/>
      <c r="SGA128" s="139"/>
      <c r="SGB128" s="139"/>
      <c r="SGC128" s="139"/>
      <c r="SGD128" s="139"/>
      <c r="SGE128" s="139"/>
      <c r="SGF128" s="139"/>
      <c r="SGG128" s="139"/>
      <c r="SGH128" s="139"/>
      <c r="SGI128" s="139"/>
      <c r="SGJ128" s="139"/>
      <c r="SGK128" s="139"/>
      <c r="SGL128" s="139"/>
      <c r="SGM128" s="139"/>
      <c r="SGN128" s="139"/>
      <c r="SGO128" s="139"/>
      <c r="SGP128" s="139"/>
      <c r="SGQ128" s="139"/>
      <c r="SGR128" s="139"/>
      <c r="SGS128" s="139"/>
      <c r="SGT128" s="139"/>
      <c r="SGU128" s="139"/>
      <c r="SGV128" s="139"/>
      <c r="SGW128" s="139"/>
      <c r="SGX128" s="139"/>
      <c r="SGY128" s="139"/>
      <c r="SGZ128" s="139"/>
      <c r="SHA128" s="139"/>
      <c r="SHB128" s="139"/>
      <c r="SHC128" s="139"/>
      <c r="SHD128" s="139"/>
      <c r="SHE128" s="139"/>
      <c r="SHF128" s="139"/>
      <c r="SHG128" s="139"/>
      <c r="SHH128" s="139"/>
      <c r="SHI128" s="139"/>
      <c r="SHJ128" s="139"/>
      <c r="SHK128" s="139"/>
      <c r="SHL128" s="139"/>
      <c r="SHM128" s="139"/>
      <c r="SHN128" s="139"/>
      <c r="SHO128" s="139"/>
      <c r="SHP128" s="139"/>
      <c r="SHQ128" s="139"/>
      <c r="SHR128" s="139"/>
      <c r="SHS128" s="139"/>
      <c r="SHT128" s="139"/>
      <c r="SHU128" s="139"/>
      <c r="SHV128" s="139"/>
      <c r="SHW128" s="139"/>
      <c r="SHX128" s="139"/>
      <c r="SHY128" s="139"/>
      <c r="SHZ128" s="139"/>
      <c r="SIA128" s="139"/>
      <c r="SIB128" s="139"/>
      <c r="SIC128" s="139"/>
      <c r="SID128" s="139"/>
      <c r="SIE128" s="139"/>
      <c r="SIF128" s="139"/>
      <c r="SIG128" s="139"/>
      <c r="SIH128" s="139"/>
      <c r="SII128" s="139"/>
      <c r="SIJ128" s="139"/>
      <c r="SIK128" s="139"/>
      <c r="SIL128" s="139"/>
      <c r="SIM128" s="139"/>
      <c r="SIN128" s="139"/>
      <c r="SIO128" s="139"/>
      <c r="SIP128" s="139"/>
      <c r="SIQ128" s="139"/>
      <c r="SIR128" s="139"/>
      <c r="SIS128" s="139"/>
      <c r="SIT128" s="139"/>
      <c r="SIU128" s="139"/>
      <c r="SIV128" s="139"/>
      <c r="SIW128" s="139"/>
      <c r="SIX128" s="139"/>
      <c r="SIY128" s="139"/>
      <c r="SIZ128" s="139"/>
      <c r="SJA128" s="139"/>
      <c r="SJB128" s="139"/>
      <c r="SJC128" s="139"/>
      <c r="SJD128" s="139"/>
      <c r="SJE128" s="139"/>
      <c r="SJF128" s="139"/>
      <c r="SJG128" s="139"/>
      <c r="SJH128" s="139"/>
      <c r="SJI128" s="139"/>
      <c r="SJJ128" s="139"/>
      <c r="SJK128" s="139"/>
      <c r="SJL128" s="139"/>
      <c r="SJM128" s="139"/>
      <c r="SJN128" s="139"/>
      <c r="SJO128" s="139"/>
      <c r="SJP128" s="139"/>
      <c r="SJQ128" s="139"/>
      <c r="SJR128" s="139"/>
      <c r="SJS128" s="139"/>
      <c r="SJT128" s="139"/>
      <c r="SJU128" s="139"/>
      <c r="SJV128" s="139"/>
      <c r="SJW128" s="139"/>
      <c r="SJX128" s="139"/>
      <c r="SJY128" s="139"/>
      <c r="SJZ128" s="139"/>
      <c r="SKA128" s="139"/>
      <c r="SKB128" s="139"/>
      <c r="SKC128" s="139"/>
      <c r="SKD128" s="139"/>
      <c r="SKE128" s="139"/>
      <c r="SKF128" s="139"/>
      <c r="SKG128" s="139"/>
      <c r="SKH128" s="139"/>
      <c r="SKI128" s="139"/>
      <c r="SKJ128" s="139"/>
      <c r="SKK128" s="139"/>
      <c r="SKL128" s="139"/>
      <c r="SKM128" s="139"/>
      <c r="SKN128" s="139"/>
      <c r="SKO128" s="139"/>
      <c r="SKP128" s="139"/>
      <c r="SKQ128" s="139"/>
      <c r="SKR128" s="139"/>
      <c r="SKS128" s="139"/>
      <c r="SKT128" s="139"/>
      <c r="SKU128" s="139"/>
      <c r="SKV128" s="139"/>
      <c r="SKW128" s="139"/>
      <c r="SKX128" s="139"/>
      <c r="SKY128" s="139"/>
      <c r="SKZ128" s="139"/>
      <c r="SLA128" s="139"/>
      <c r="SLB128" s="139"/>
      <c r="SLC128" s="139"/>
      <c r="SLD128" s="139"/>
      <c r="SLE128" s="139"/>
      <c r="SLF128" s="139"/>
      <c r="SLG128" s="139"/>
      <c r="SLH128" s="139"/>
      <c r="SLI128" s="139"/>
      <c r="SLJ128" s="139"/>
      <c r="SLK128" s="139"/>
      <c r="SLL128" s="139"/>
      <c r="SLM128" s="139"/>
      <c r="SLN128" s="139"/>
      <c r="SLO128" s="139"/>
      <c r="SLP128" s="139"/>
      <c r="SLQ128" s="139"/>
      <c r="SLR128" s="139"/>
      <c r="SLS128" s="139"/>
      <c r="SLT128" s="139"/>
      <c r="SLU128" s="139"/>
      <c r="SLV128" s="139"/>
      <c r="SLW128" s="139"/>
      <c r="SLX128" s="139"/>
      <c r="SLY128" s="139"/>
      <c r="SLZ128" s="139"/>
      <c r="SMA128" s="139"/>
      <c r="SMB128" s="139"/>
      <c r="SMC128" s="139"/>
      <c r="SMD128" s="139"/>
      <c r="SME128" s="139"/>
      <c r="SMF128" s="139"/>
      <c r="SMG128" s="139"/>
      <c r="SMH128" s="139"/>
      <c r="SMI128" s="139"/>
      <c r="SMJ128" s="139"/>
      <c r="SMK128" s="139"/>
      <c r="SML128" s="139"/>
      <c r="SMM128" s="139"/>
      <c r="SMN128" s="139"/>
      <c r="SMO128" s="139"/>
      <c r="SMP128" s="139"/>
      <c r="SMQ128" s="139"/>
      <c r="SMR128" s="139"/>
      <c r="SMS128" s="139"/>
      <c r="SMT128" s="139"/>
      <c r="SMU128" s="139"/>
      <c r="SMV128" s="139"/>
      <c r="SMW128" s="139"/>
      <c r="SMX128" s="139"/>
      <c r="SMY128" s="139"/>
      <c r="SMZ128" s="139"/>
      <c r="SNA128" s="139"/>
      <c r="SNB128" s="139"/>
      <c r="SNC128" s="139"/>
      <c r="SND128" s="139"/>
      <c r="SNE128" s="139"/>
      <c r="SNF128" s="139"/>
      <c r="SNG128" s="139"/>
      <c r="SNH128" s="139"/>
      <c r="SNI128" s="139"/>
      <c r="SNJ128" s="139"/>
      <c r="SNK128" s="139"/>
      <c r="SNL128" s="139"/>
      <c r="SNM128" s="139"/>
      <c r="SNN128" s="139"/>
      <c r="SNO128" s="139"/>
      <c r="SNP128" s="139"/>
      <c r="SNQ128" s="139"/>
      <c r="SNR128" s="139"/>
      <c r="SNS128" s="139"/>
      <c r="SNT128" s="139"/>
      <c r="SNU128" s="139"/>
      <c r="SNV128" s="139"/>
      <c r="SNW128" s="139"/>
      <c r="SNX128" s="139"/>
      <c r="SNY128" s="139"/>
      <c r="SNZ128" s="139"/>
      <c r="SOA128" s="139"/>
      <c r="SOB128" s="139"/>
      <c r="SOC128" s="139"/>
      <c r="SOD128" s="139"/>
      <c r="SOE128" s="139"/>
      <c r="SOF128" s="139"/>
      <c r="SOG128" s="139"/>
      <c r="SOH128" s="139"/>
      <c r="SOI128" s="139"/>
      <c r="SOJ128" s="139"/>
      <c r="SOK128" s="139"/>
      <c r="SOL128" s="139"/>
      <c r="SOM128" s="139"/>
      <c r="SON128" s="139"/>
      <c r="SOO128" s="139"/>
      <c r="SOP128" s="139"/>
      <c r="SOQ128" s="139"/>
      <c r="SOR128" s="139"/>
      <c r="SOS128" s="139"/>
      <c r="SOT128" s="139"/>
      <c r="SOU128" s="139"/>
      <c r="SOV128" s="139"/>
      <c r="SOW128" s="139"/>
      <c r="SOX128" s="139"/>
      <c r="SOY128" s="139"/>
      <c r="SOZ128" s="139"/>
      <c r="SPA128" s="139"/>
      <c r="SPB128" s="139"/>
      <c r="SPC128" s="139"/>
      <c r="SPD128" s="139"/>
      <c r="SPE128" s="139"/>
      <c r="SPF128" s="139"/>
      <c r="SPG128" s="139"/>
      <c r="SPH128" s="139"/>
      <c r="SPI128" s="139"/>
      <c r="SPJ128" s="139"/>
      <c r="SPK128" s="139"/>
      <c r="SPL128" s="139"/>
      <c r="SPM128" s="139"/>
      <c r="SPN128" s="139"/>
      <c r="SPO128" s="139"/>
      <c r="SPP128" s="139"/>
      <c r="SPQ128" s="139"/>
      <c r="SPR128" s="139"/>
      <c r="SPS128" s="139"/>
      <c r="SPT128" s="139"/>
      <c r="SPU128" s="139"/>
      <c r="SPV128" s="139"/>
      <c r="SPW128" s="139"/>
      <c r="SPX128" s="139"/>
      <c r="SPY128" s="139"/>
      <c r="SPZ128" s="139"/>
      <c r="SQA128" s="139"/>
      <c r="SQB128" s="139"/>
      <c r="SQC128" s="139"/>
      <c r="SQD128" s="139"/>
      <c r="SQE128" s="139"/>
      <c r="SQF128" s="139"/>
      <c r="SQG128" s="139"/>
      <c r="SQH128" s="139"/>
      <c r="SQI128" s="139"/>
      <c r="SQJ128" s="139"/>
      <c r="SQK128" s="139"/>
      <c r="SQL128" s="139"/>
      <c r="SQM128" s="139"/>
      <c r="SQN128" s="139"/>
      <c r="SQO128" s="139"/>
      <c r="SQP128" s="139"/>
      <c r="SQQ128" s="139"/>
      <c r="SQR128" s="139"/>
      <c r="SQS128" s="139"/>
      <c r="SQT128" s="139"/>
      <c r="SQU128" s="139"/>
      <c r="SQV128" s="139"/>
      <c r="SQW128" s="139"/>
      <c r="SQX128" s="139"/>
      <c r="SQY128" s="139"/>
      <c r="SQZ128" s="139"/>
      <c r="SRA128" s="139"/>
      <c r="SRB128" s="139"/>
      <c r="SRC128" s="139"/>
      <c r="SRD128" s="139"/>
      <c r="SRE128" s="139"/>
      <c r="SRF128" s="139"/>
      <c r="SRG128" s="139"/>
      <c r="SRH128" s="139"/>
      <c r="SRI128" s="139"/>
      <c r="SRJ128" s="139"/>
      <c r="SRK128" s="139"/>
      <c r="SRL128" s="139"/>
      <c r="SRM128" s="139"/>
      <c r="SRN128" s="139"/>
      <c r="SRO128" s="139"/>
      <c r="SRP128" s="139"/>
      <c r="SRQ128" s="139"/>
      <c r="SRR128" s="139"/>
      <c r="SRS128" s="139"/>
      <c r="SRT128" s="139"/>
      <c r="SRU128" s="139"/>
      <c r="SRV128" s="139"/>
      <c r="SRW128" s="139"/>
      <c r="SRX128" s="139"/>
      <c r="SRY128" s="139"/>
      <c r="SRZ128" s="139"/>
      <c r="SSA128" s="139"/>
      <c r="SSB128" s="139"/>
      <c r="SSC128" s="139"/>
      <c r="SSD128" s="139"/>
      <c r="SSE128" s="139"/>
      <c r="SSF128" s="139"/>
      <c r="SSG128" s="139"/>
      <c r="SSH128" s="139"/>
      <c r="SSI128" s="139"/>
      <c r="SSJ128" s="139"/>
      <c r="SSK128" s="139"/>
      <c r="SSL128" s="139"/>
      <c r="SSM128" s="139"/>
      <c r="SSN128" s="139"/>
      <c r="SSO128" s="139"/>
      <c r="SSP128" s="139"/>
      <c r="SSQ128" s="139"/>
      <c r="SSR128" s="139"/>
      <c r="SSS128" s="139"/>
      <c r="SST128" s="139"/>
      <c r="SSU128" s="139"/>
      <c r="SSV128" s="139"/>
      <c r="SSW128" s="139"/>
      <c r="SSX128" s="139"/>
      <c r="SSY128" s="139"/>
      <c r="SSZ128" s="139"/>
      <c r="STA128" s="139"/>
      <c r="STB128" s="139"/>
      <c r="STC128" s="139"/>
      <c r="STD128" s="139"/>
      <c r="STE128" s="139"/>
      <c r="STF128" s="139"/>
      <c r="STG128" s="139"/>
      <c r="STH128" s="139"/>
      <c r="STI128" s="139"/>
      <c r="STJ128" s="139"/>
      <c r="STK128" s="139"/>
      <c r="STL128" s="139"/>
      <c r="STM128" s="139"/>
      <c r="STN128" s="139"/>
      <c r="STO128" s="139"/>
      <c r="STP128" s="139"/>
      <c r="STQ128" s="139"/>
      <c r="STR128" s="139"/>
      <c r="STS128" s="139"/>
      <c r="STT128" s="139"/>
      <c r="STU128" s="139"/>
      <c r="STV128" s="139"/>
      <c r="STW128" s="139"/>
      <c r="STX128" s="139"/>
      <c r="STY128" s="139"/>
      <c r="STZ128" s="139"/>
      <c r="SUA128" s="139"/>
      <c r="SUB128" s="139"/>
      <c r="SUC128" s="139"/>
      <c r="SUD128" s="139"/>
      <c r="SUE128" s="139"/>
      <c r="SUF128" s="139"/>
      <c r="SUG128" s="139"/>
      <c r="SUH128" s="139"/>
      <c r="SUI128" s="139"/>
      <c r="SUJ128" s="139"/>
      <c r="SUK128" s="139"/>
      <c r="SUL128" s="139"/>
      <c r="SUM128" s="139"/>
      <c r="SUN128" s="139"/>
      <c r="SUO128" s="139"/>
      <c r="SUP128" s="139"/>
      <c r="SUQ128" s="139"/>
      <c r="SUR128" s="139"/>
      <c r="SUS128" s="139"/>
      <c r="SUT128" s="139"/>
      <c r="SUU128" s="139"/>
      <c r="SUV128" s="139"/>
      <c r="SUW128" s="139"/>
      <c r="SUX128" s="139"/>
      <c r="SUY128" s="139"/>
      <c r="SUZ128" s="139"/>
      <c r="SVA128" s="139"/>
      <c r="SVB128" s="139"/>
      <c r="SVC128" s="139"/>
      <c r="SVD128" s="139"/>
      <c r="SVE128" s="139"/>
      <c r="SVF128" s="139"/>
      <c r="SVG128" s="139"/>
      <c r="SVH128" s="139"/>
      <c r="SVI128" s="139"/>
      <c r="SVJ128" s="139"/>
      <c r="SVK128" s="139"/>
      <c r="SVL128" s="139"/>
      <c r="SVM128" s="139"/>
      <c r="SVN128" s="139"/>
      <c r="SVO128" s="139"/>
      <c r="SVP128" s="139"/>
      <c r="SVQ128" s="139"/>
      <c r="SVR128" s="139"/>
      <c r="SVS128" s="139"/>
      <c r="SVT128" s="139"/>
      <c r="SVU128" s="139"/>
      <c r="SVV128" s="139"/>
      <c r="SVW128" s="139"/>
      <c r="SVX128" s="139"/>
      <c r="SVY128" s="139"/>
      <c r="SVZ128" s="139"/>
      <c r="SWA128" s="139"/>
      <c r="SWB128" s="139"/>
      <c r="SWC128" s="139"/>
      <c r="SWD128" s="139"/>
      <c r="SWE128" s="139"/>
      <c r="SWF128" s="139"/>
      <c r="SWG128" s="139"/>
      <c r="SWH128" s="139"/>
      <c r="SWI128" s="139"/>
      <c r="SWJ128" s="139"/>
      <c r="SWK128" s="139"/>
      <c r="SWL128" s="139"/>
      <c r="SWM128" s="139"/>
      <c r="SWN128" s="139"/>
      <c r="SWO128" s="139"/>
      <c r="SWP128" s="139"/>
      <c r="SWQ128" s="139"/>
      <c r="SWR128" s="139"/>
      <c r="SWS128" s="139"/>
      <c r="SWT128" s="139"/>
      <c r="SWU128" s="139"/>
      <c r="SWV128" s="139"/>
      <c r="SWW128" s="139"/>
      <c r="SWX128" s="139"/>
      <c r="SWY128" s="139"/>
      <c r="SWZ128" s="139"/>
      <c r="SXA128" s="139"/>
      <c r="SXB128" s="139"/>
      <c r="SXC128" s="139"/>
      <c r="SXD128" s="139"/>
      <c r="SXE128" s="139"/>
      <c r="SXF128" s="139"/>
      <c r="SXG128" s="139"/>
      <c r="SXH128" s="139"/>
      <c r="SXI128" s="139"/>
      <c r="SXJ128" s="139"/>
      <c r="SXK128" s="139"/>
      <c r="SXL128" s="139"/>
      <c r="SXM128" s="139"/>
      <c r="SXN128" s="139"/>
      <c r="SXO128" s="139"/>
      <c r="SXP128" s="139"/>
      <c r="SXQ128" s="139"/>
      <c r="SXR128" s="139"/>
      <c r="SXS128" s="139"/>
      <c r="SXT128" s="139"/>
      <c r="SXU128" s="139"/>
      <c r="SXV128" s="139"/>
      <c r="SXW128" s="139"/>
      <c r="SXX128" s="139"/>
      <c r="SXY128" s="139"/>
      <c r="SXZ128" s="139"/>
      <c r="SYA128" s="139"/>
      <c r="SYB128" s="139"/>
      <c r="SYC128" s="139"/>
      <c r="SYD128" s="139"/>
      <c r="SYE128" s="139"/>
      <c r="SYF128" s="139"/>
      <c r="SYG128" s="139"/>
      <c r="SYH128" s="139"/>
      <c r="SYI128" s="139"/>
      <c r="SYJ128" s="139"/>
      <c r="SYK128" s="139"/>
      <c r="SYL128" s="139"/>
      <c r="SYM128" s="139"/>
      <c r="SYN128" s="139"/>
      <c r="SYO128" s="139"/>
      <c r="SYP128" s="139"/>
      <c r="SYQ128" s="139"/>
      <c r="SYR128" s="139"/>
      <c r="SYS128" s="139"/>
      <c r="SYT128" s="139"/>
      <c r="SYU128" s="139"/>
      <c r="SYV128" s="139"/>
      <c r="SYW128" s="139"/>
      <c r="SYX128" s="139"/>
      <c r="SYY128" s="139"/>
      <c r="SYZ128" s="139"/>
      <c r="SZA128" s="139"/>
      <c r="SZB128" s="139"/>
      <c r="SZC128" s="139"/>
      <c r="SZD128" s="139"/>
      <c r="SZE128" s="139"/>
      <c r="SZF128" s="139"/>
      <c r="SZG128" s="139"/>
      <c r="SZH128" s="139"/>
      <c r="SZI128" s="139"/>
      <c r="SZJ128" s="139"/>
      <c r="SZK128" s="139"/>
      <c r="SZL128" s="139"/>
      <c r="SZM128" s="139"/>
      <c r="SZN128" s="139"/>
      <c r="SZO128" s="139"/>
      <c r="SZP128" s="139"/>
      <c r="SZQ128" s="139"/>
      <c r="SZR128" s="139"/>
      <c r="SZS128" s="139"/>
      <c r="SZT128" s="139"/>
      <c r="SZU128" s="139"/>
      <c r="SZV128" s="139"/>
      <c r="SZW128" s="139"/>
      <c r="SZX128" s="139"/>
      <c r="SZY128" s="139"/>
      <c r="SZZ128" s="139"/>
      <c r="TAA128" s="139"/>
      <c r="TAB128" s="139"/>
      <c r="TAC128" s="139"/>
      <c r="TAD128" s="139"/>
      <c r="TAE128" s="139"/>
      <c r="TAF128" s="139"/>
      <c r="TAG128" s="139"/>
      <c r="TAH128" s="139"/>
      <c r="TAI128" s="139"/>
      <c r="TAJ128" s="139"/>
      <c r="TAK128" s="139"/>
      <c r="TAL128" s="139"/>
      <c r="TAM128" s="139"/>
      <c r="TAN128" s="139"/>
      <c r="TAO128" s="139"/>
      <c r="TAP128" s="139"/>
      <c r="TAQ128" s="139"/>
      <c r="TAR128" s="139"/>
      <c r="TAS128" s="139"/>
      <c r="TAT128" s="139"/>
      <c r="TAU128" s="139"/>
      <c r="TAV128" s="139"/>
      <c r="TAW128" s="139"/>
      <c r="TAX128" s="139"/>
      <c r="TAY128" s="139"/>
      <c r="TAZ128" s="139"/>
      <c r="TBA128" s="139"/>
      <c r="TBB128" s="139"/>
      <c r="TBC128" s="139"/>
      <c r="TBD128" s="139"/>
      <c r="TBE128" s="139"/>
      <c r="TBF128" s="139"/>
      <c r="TBG128" s="139"/>
      <c r="TBH128" s="139"/>
      <c r="TBI128" s="139"/>
      <c r="TBJ128" s="139"/>
      <c r="TBK128" s="139"/>
      <c r="TBL128" s="139"/>
      <c r="TBM128" s="139"/>
      <c r="TBN128" s="139"/>
      <c r="TBO128" s="139"/>
      <c r="TBP128" s="139"/>
      <c r="TBQ128" s="139"/>
      <c r="TBR128" s="139"/>
      <c r="TBS128" s="139"/>
      <c r="TBT128" s="139"/>
      <c r="TBU128" s="139"/>
      <c r="TBV128" s="139"/>
      <c r="TBW128" s="139"/>
      <c r="TBX128" s="139"/>
      <c r="TBY128" s="139"/>
      <c r="TBZ128" s="139"/>
      <c r="TCA128" s="139"/>
      <c r="TCB128" s="139"/>
      <c r="TCC128" s="139"/>
      <c r="TCD128" s="139"/>
      <c r="TCE128" s="139"/>
      <c r="TCF128" s="139"/>
      <c r="TCG128" s="139"/>
      <c r="TCH128" s="139"/>
      <c r="TCI128" s="139"/>
      <c r="TCJ128" s="139"/>
      <c r="TCK128" s="139"/>
      <c r="TCL128" s="139"/>
      <c r="TCM128" s="139"/>
      <c r="TCN128" s="139"/>
      <c r="TCO128" s="139"/>
      <c r="TCP128" s="139"/>
      <c r="TCQ128" s="139"/>
      <c r="TCR128" s="139"/>
      <c r="TCS128" s="139"/>
      <c r="TCT128" s="139"/>
      <c r="TCU128" s="139"/>
      <c r="TCV128" s="139"/>
      <c r="TCW128" s="139"/>
      <c r="TCX128" s="139"/>
      <c r="TCY128" s="139"/>
      <c r="TCZ128" s="139"/>
      <c r="TDA128" s="139"/>
      <c r="TDB128" s="139"/>
      <c r="TDC128" s="139"/>
      <c r="TDD128" s="139"/>
      <c r="TDE128" s="139"/>
      <c r="TDF128" s="139"/>
      <c r="TDG128" s="139"/>
      <c r="TDH128" s="139"/>
      <c r="TDI128" s="139"/>
      <c r="TDJ128" s="139"/>
      <c r="TDK128" s="139"/>
      <c r="TDL128" s="139"/>
      <c r="TDM128" s="139"/>
      <c r="TDN128" s="139"/>
      <c r="TDO128" s="139"/>
      <c r="TDP128" s="139"/>
      <c r="TDQ128" s="139"/>
      <c r="TDR128" s="139"/>
      <c r="TDS128" s="139"/>
      <c r="TDT128" s="139"/>
      <c r="TDU128" s="139"/>
      <c r="TDV128" s="139"/>
      <c r="TDW128" s="139"/>
      <c r="TDX128" s="139"/>
      <c r="TDY128" s="139"/>
      <c r="TDZ128" s="139"/>
      <c r="TEA128" s="139"/>
      <c r="TEB128" s="139"/>
      <c r="TEC128" s="139"/>
      <c r="TED128" s="139"/>
      <c r="TEE128" s="139"/>
      <c r="TEF128" s="139"/>
      <c r="TEG128" s="139"/>
      <c r="TEH128" s="139"/>
      <c r="TEI128" s="139"/>
      <c r="TEJ128" s="139"/>
      <c r="TEK128" s="139"/>
      <c r="TEL128" s="139"/>
      <c r="TEM128" s="139"/>
      <c r="TEN128" s="139"/>
      <c r="TEO128" s="139"/>
      <c r="TEP128" s="139"/>
      <c r="TEQ128" s="139"/>
      <c r="TER128" s="139"/>
      <c r="TES128" s="139"/>
      <c r="TET128" s="139"/>
      <c r="TEU128" s="139"/>
      <c r="TEV128" s="139"/>
      <c r="TEW128" s="139"/>
      <c r="TEX128" s="139"/>
      <c r="TEY128" s="139"/>
      <c r="TEZ128" s="139"/>
      <c r="TFA128" s="139"/>
      <c r="TFB128" s="139"/>
      <c r="TFC128" s="139"/>
      <c r="TFD128" s="139"/>
      <c r="TFE128" s="139"/>
      <c r="TFF128" s="139"/>
      <c r="TFG128" s="139"/>
      <c r="TFH128" s="139"/>
      <c r="TFI128" s="139"/>
      <c r="TFJ128" s="139"/>
      <c r="TFK128" s="139"/>
      <c r="TFL128" s="139"/>
      <c r="TFM128" s="139"/>
      <c r="TFN128" s="139"/>
      <c r="TFO128" s="139"/>
      <c r="TFP128" s="139"/>
      <c r="TFQ128" s="139"/>
      <c r="TFR128" s="139"/>
      <c r="TFS128" s="139"/>
      <c r="TFT128" s="139"/>
      <c r="TFU128" s="139"/>
      <c r="TFV128" s="139"/>
      <c r="TFW128" s="139"/>
      <c r="TFX128" s="139"/>
      <c r="TFY128" s="139"/>
      <c r="TFZ128" s="139"/>
      <c r="TGA128" s="139"/>
      <c r="TGB128" s="139"/>
      <c r="TGC128" s="139"/>
      <c r="TGD128" s="139"/>
      <c r="TGE128" s="139"/>
      <c r="TGF128" s="139"/>
      <c r="TGG128" s="139"/>
      <c r="TGH128" s="139"/>
      <c r="TGI128" s="139"/>
      <c r="TGJ128" s="139"/>
      <c r="TGK128" s="139"/>
      <c r="TGL128" s="139"/>
      <c r="TGM128" s="139"/>
      <c r="TGN128" s="139"/>
      <c r="TGO128" s="139"/>
      <c r="TGP128" s="139"/>
      <c r="TGQ128" s="139"/>
      <c r="TGR128" s="139"/>
      <c r="TGS128" s="139"/>
      <c r="TGT128" s="139"/>
      <c r="TGU128" s="139"/>
      <c r="TGV128" s="139"/>
      <c r="TGW128" s="139"/>
      <c r="TGX128" s="139"/>
      <c r="TGY128" s="139"/>
      <c r="TGZ128" s="139"/>
      <c r="THA128" s="139"/>
      <c r="THB128" s="139"/>
      <c r="THC128" s="139"/>
      <c r="THD128" s="139"/>
      <c r="THE128" s="139"/>
      <c r="THF128" s="139"/>
      <c r="THG128" s="139"/>
      <c r="THH128" s="139"/>
      <c r="THI128" s="139"/>
      <c r="THJ128" s="139"/>
      <c r="THK128" s="139"/>
      <c r="THL128" s="139"/>
      <c r="THM128" s="139"/>
      <c r="THN128" s="139"/>
      <c r="THO128" s="139"/>
      <c r="THP128" s="139"/>
      <c r="THQ128" s="139"/>
      <c r="THR128" s="139"/>
      <c r="THS128" s="139"/>
      <c r="THT128" s="139"/>
      <c r="THU128" s="139"/>
      <c r="THV128" s="139"/>
      <c r="THW128" s="139"/>
      <c r="THX128" s="139"/>
      <c r="THY128" s="139"/>
      <c r="THZ128" s="139"/>
      <c r="TIA128" s="139"/>
      <c r="TIB128" s="139"/>
      <c r="TIC128" s="139"/>
      <c r="TID128" s="139"/>
      <c r="TIE128" s="139"/>
      <c r="TIF128" s="139"/>
      <c r="TIG128" s="139"/>
      <c r="TIH128" s="139"/>
      <c r="TII128" s="139"/>
      <c r="TIJ128" s="139"/>
      <c r="TIK128" s="139"/>
      <c r="TIL128" s="139"/>
      <c r="TIM128" s="139"/>
      <c r="TIN128" s="139"/>
      <c r="TIO128" s="139"/>
      <c r="TIP128" s="139"/>
      <c r="TIQ128" s="139"/>
      <c r="TIR128" s="139"/>
      <c r="TIS128" s="139"/>
      <c r="TIT128" s="139"/>
      <c r="TIU128" s="139"/>
      <c r="TIV128" s="139"/>
      <c r="TIW128" s="139"/>
      <c r="TIX128" s="139"/>
      <c r="TIY128" s="139"/>
      <c r="TIZ128" s="139"/>
      <c r="TJA128" s="139"/>
      <c r="TJB128" s="139"/>
      <c r="TJC128" s="139"/>
      <c r="TJD128" s="139"/>
      <c r="TJE128" s="139"/>
      <c r="TJF128" s="139"/>
      <c r="TJG128" s="139"/>
      <c r="TJH128" s="139"/>
      <c r="TJI128" s="139"/>
      <c r="TJJ128" s="139"/>
      <c r="TJK128" s="139"/>
      <c r="TJL128" s="139"/>
      <c r="TJM128" s="139"/>
      <c r="TJN128" s="139"/>
      <c r="TJO128" s="139"/>
      <c r="TJP128" s="139"/>
      <c r="TJQ128" s="139"/>
      <c r="TJR128" s="139"/>
      <c r="TJS128" s="139"/>
      <c r="TJT128" s="139"/>
      <c r="TJU128" s="139"/>
      <c r="TJV128" s="139"/>
      <c r="TJW128" s="139"/>
      <c r="TJX128" s="139"/>
      <c r="TJY128" s="139"/>
      <c r="TJZ128" s="139"/>
      <c r="TKA128" s="139"/>
      <c r="TKB128" s="139"/>
      <c r="TKC128" s="139"/>
      <c r="TKD128" s="139"/>
      <c r="TKE128" s="139"/>
      <c r="TKF128" s="139"/>
      <c r="TKG128" s="139"/>
      <c r="TKH128" s="139"/>
      <c r="TKI128" s="139"/>
      <c r="TKJ128" s="139"/>
      <c r="TKK128" s="139"/>
      <c r="TKL128" s="139"/>
      <c r="TKM128" s="139"/>
      <c r="TKN128" s="139"/>
      <c r="TKO128" s="139"/>
      <c r="TKP128" s="139"/>
      <c r="TKQ128" s="139"/>
      <c r="TKR128" s="139"/>
      <c r="TKS128" s="139"/>
      <c r="TKT128" s="139"/>
      <c r="TKU128" s="139"/>
      <c r="TKV128" s="139"/>
      <c r="TKW128" s="139"/>
      <c r="TKX128" s="139"/>
      <c r="TKY128" s="139"/>
      <c r="TKZ128" s="139"/>
      <c r="TLA128" s="139"/>
      <c r="TLB128" s="139"/>
      <c r="TLC128" s="139"/>
      <c r="TLD128" s="139"/>
      <c r="TLE128" s="139"/>
      <c r="TLF128" s="139"/>
      <c r="TLG128" s="139"/>
      <c r="TLH128" s="139"/>
      <c r="TLI128" s="139"/>
      <c r="TLJ128" s="139"/>
      <c r="TLK128" s="139"/>
      <c r="TLL128" s="139"/>
      <c r="TLM128" s="139"/>
      <c r="TLN128" s="139"/>
      <c r="TLO128" s="139"/>
      <c r="TLP128" s="139"/>
      <c r="TLQ128" s="139"/>
      <c r="TLR128" s="139"/>
      <c r="TLS128" s="139"/>
      <c r="TLT128" s="139"/>
      <c r="TLU128" s="139"/>
      <c r="TLV128" s="139"/>
      <c r="TLW128" s="139"/>
      <c r="TLX128" s="139"/>
      <c r="TLY128" s="139"/>
      <c r="TLZ128" s="139"/>
      <c r="TMA128" s="139"/>
      <c r="TMB128" s="139"/>
      <c r="TMC128" s="139"/>
      <c r="TMD128" s="139"/>
      <c r="TME128" s="139"/>
      <c r="TMF128" s="139"/>
      <c r="TMG128" s="139"/>
      <c r="TMH128" s="139"/>
      <c r="TMI128" s="139"/>
      <c r="TMJ128" s="139"/>
      <c r="TMK128" s="139"/>
      <c r="TML128" s="139"/>
      <c r="TMM128" s="139"/>
      <c r="TMN128" s="139"/>
      <c r="TMO128" s="139"/>
      <c r="TMP128" s="139"/>
      <c r="TMQ128" s="139"/>
      <c r="TMR128" s="139"/>
      <c r="TMS128" s="139"/>
      <c r="TMT128" s="139"/>
      <c r="TMU128" s="139"/>
      <c r="TMV128" s="139"/>
      <c r="TMW128" s="139"/>
      <c r="TMX128" s="139"/>
      <c r="TMY128" s="139"/>
      <c r="TMZ128" s="139"/>
      <c r="TNA128" s="139"/>
      <c r="TNB128" s="139"/>
      <c r="TNC128" s="139"/>
      <c r="TND128" s="139"/>
      <c r="TNE128" s="139"/>
      <c r="TNF128" s="139"/>
      <c r="TNG128" s="139"/>
      <c r="TNH128" s="139"/>
      <c r="TNI128" s="139"/>
      <c r="TNJ128" s="139"/>
      <c r="TNK128" s="139"/>
      <c r="TNL128" s="139"/>
      <c r="TNM128" s="139"/>
      <c r="TNN128" s="139"/>
      <c r="TNO128" s="139"/>
      <c r="TNP128" s="139"/>
      <c r="TNQ128" s="139"/>
      <c r="TNR128" s="139"/>
      <c r="TNS128" s="139"/>
      <c r="TNT128" s="139"/>
      <c r="TNU128" s="139"/>
      <c r="TNV128" s="139"/>
      <c r="TNW128" s="139"/>
      <c r="TNX128" s="139"/>
      <c r="TNY128" s="139"/>
      <c r="TNZ128" s="139"/>
      <c r="TOA128" s="139"/>
      <c r="TOB128" s="139"/>
      <c r="TOC128" s="139"/>
      <c r="TOD128" s="139"/>
      <c r="TOE128" s="139"/>
      <c r="TOF128" s="139"/>
      <c r="TOG128" s="139"/>
      <c r="TOH128" s="139"/>
      <c r="TOI128" s="139"/>
      <c r="TOJ128" s="139"/>
      <c r="TOK128" s="139"/>
      <c r="TOL128" s="139"/>
      <c r="TOM128" s="139"/>
      <c r="TON128" s="139"/>
      <c r="TOO128" s="139"/>
      <c r="TOP128" s="139"/>
      <c r="TOQ128" s="139"/>
      <c r="TOR128" s="139"/>
      <c r="TOS128" s="139"/>
      <c r="TOT128" s="139"/>
      <c r="TOU128" s="139"/>
      <c r="TOV128" s="139"/>
      <c r="TOW128" s="139"/>
      <c r="TOX128" s="139"/>
      <c r="TOY128" s="139"/>
      <c r="TOZ128" s="139"/>
      <c r="TPA128" s="139"/>
      <c r="TPB128" s="139"/>
      <c r="TPC128" s="139"/>
      <c r="TPD128" s="139"/>
      <c r="TPE128" s="139"/>
      <c r="TPF128" s="139"/>
      <c r="TPG128" s="139"/>
      <c r="TPH128" s="139"/>
      <c r="TPI128" s="139"/>
      <c r="TPJ128" s="139"/>
      <c r="TPK128" s="139"/>
      <c r="TPL128" s="139"/>
      <c r="TPM128" s="139"/>
      <c r="TPN128" s="139"/>
      <c r="TPO128" s="139"/>
      <c r="TPP128" s="139"/>
      <c r="TPQ128" s="139"/>
      <c r="TPR128" s="139"/>
      <c r="TPS128" s="139"/>
      <c r="TPT128" s="139"/>
      <c r="TPU128" s="139"/>
      <c r="TPV128" s="139"/>
      <c r="TPW128" s="139"/>
      <c r="TPX128" s="139"/>
      <c r="TPY128" s="139"/>
      <c r="TPZ128" s="139"/>
      <c r="TQA128" s="139"/>
      <c r="TQB128" s="139"/>
      <c r="TQC128" s="139"/>
      <c r="TQD128" s="139"/>
      <c r="TQE128" s="139"/>
      <c r="TQF128" s="139"/>
      <c r="TQG128" s="139"/>
      <c r="TQH128" s="139"/>
      <c r="TQI128" s="139"/>
      <c r="TQJ128" s="139"/>
      <c r="TQK128" s="139"/>
      <c r="TQL128" s="139"/>
      <c r="TQM128" s="139"/>
      <c r="TQN128" s="139"/>
      <c r="TQO128" s="139"/>
      <c r="TQP128" s="139"/>
      <c r="TQQ128" s="139"/>
      <c r="TQR128" s="139"/>
      <c r="TQS128" s="139"/>
      <c r="TQT128" s="139"/>
      <c r="TQU128" s="139"/>
      <c r="TQV128" s="139"/>
      <c r="TQW128" s="139"/>
      <c r="TQX128" s="139"/>
      <c r="TQY128" s="139"/>
      <c r="TQZ128" s="139"/>
      <c r="TRA128" s="139"/>
      <c r="TRB128" s="139"/>
      <c r="TRC128" s="139"/>
      <c r="TRD128" s="139"/>
      <c r="TRE128" s="139"/>
      <c r="TRF128" s="139"/>
      <c r="TRG128" s="139"/>
      <c r="TRH128" s="139"/>
      <c r="TRI128" s="139"/>
      <c r="TRJ128" s="139"/>
      <c r="TRK128" s="139"/>
      <c r="TRL128" s="139"/>
      <c r="TRM128" s="139"/>
      <c r="TRN128" s="139"/>
      <c r="TRO128" s="139"/>
      <c r="TRP128" s="139"/>
      <c r="TRQ128" s="139"/>
      <c r="TRR128" s="139"/>
      <c r="TRS128" s="139"/>
      <c r="TRT128" s="139"/>
      <c r="TRU128" s="139"/>
      <c r="TRV128" s="139"/>
      <c r="TRW128" s="139"/>
      <c r="TRX128" s="139"/>
      <c r="TRY128" s="139"/>
      <c r="TRZ128" s="139"/>
      <c r="TSA128" s="139"/>
      <c r="TSB128" s="139"/>
      <c r="TSC128" s="139"/>
      <c r="TSD128" s="139"/>
      <c r="TSE128" s="139"/>
      <c r="TSF128" s="139"/>
      <c r="TSG128" s="139"/>
      <c r="TSH128" s="139"/>
      <c r="TSI128" s="139"/>
      <c r="TSJ128" s="139"/>
      <c r="TSK128" s="139"/>
      <c r="TSL128" s="139"/>
      <c r="TSM128" s="139"/>
      <c r="TSN128" s="139"/>
      <c r="TSO128" s="139"/>
      <c r="TSP128" s="139"/>
      <c r="TSQ128" s="139"/>
      <c r="TSR128" s="139"/>
      <c r="TSS128" s="139"/>
      <c r="TST128" s="139"/>
      <c r="TSU128" s="139"/>
      <c r="TSV128" s="139"/>
      <c r="TSW128" s="139"/>
      <c r="TSX128" s="139"/>
      <c r="TSY128" s="139"/>
      <c r="TSZ128" s="139"/>
      <c r="TTA128" s="139"/>
      <c r="TTB128" s="139"/>
      <c r="TTC128" s="139"/>
      <c r="TTD128" s="139"/>
      <c r="TTE128" s="139"/>
      <c r="TTF128" s="139"/>
      <c r="TTG128" s="139"/>
      <c r="TTH128" s="139"/>
      <c r="TTI128" s="139"/>
      <c r="TTJ128" s="139"/>
      <c r="TTK128" s="139"/>
      <c r="TTL128" s="139"/>
      <c r="TTM128" s="139"/>
      <c r="TTN128" s="139"/>
      <c r="TTO128" s="139"/>
      <c r="TTP128" s="139"/>
      <c r="TTQ128" s="139"/>
      <c r="TTR128" s="139"/>
      <c r="TTS128" s="139"/>
      <c r="TTT128" s="139"/>
      <c r="TTU128" s="139"/>
      <c r="TTV128" s="139"/>
      <c r="TTW128" s="139"/>
      <c r="TTX128" s="139"/>
      <c r="TTY128" s="139"/>
      <c r="TTZ128" s="139"/>
      <c r="TUA128" s="139"/>
      <c r="TUB128" s="139"/>
      <c r="TUC128" s="139"/>
      <c r="TUD128" s="139"/>
      <c r="TUE128" s="139"/>
      <c r="TUF128" s="139"/>
      <c r="TUG128" s="139"/>
      <c r="TUH128" s="139"/>
      <c r="TUI128" s="139"/>
      <c r="TUJ128" s="139"/>
      <c r="TUK128" s="139"/>
      <c r="TUL128" s="139"/>
      <c r="TUM128" s="139"/>
      <c r="TUN128" s="139"/>
      <c r="TUO128" s="139"/>
      <c r="TUP128" s="139"/>
      <c r="TUQ128" s="139"/>
      <c r="TUR128" s="139"/>
      <c r="TUS128" s="139"/>
      <c r="TUT128" s="139"/>
      <c r="TUU128" s="139"/>
      <c r="TUV128" s="139"/>
      <c r="TUW128" s="139"/>
      <c r="TUX128" s="139"/>
      <c r="TUY128" s="139"/>
      <c r="TUZ128" s="139"/>
      <c r="TVA128" s="139"/>
      <c r="TVB128" s="139"/>
      <c r="TVC128" s="139"/>
      <c r="TVD128" s="139"/>
      <c r="TVE128" s="139"/>
      <c r="TVF128" s="139"/>
      <c r="TVG128" s="139"/>
      <c r="TVH128" s="139"/>
      <c r="TVI128" s="139"/>
      <c r="TVJ128" s="139"/>
      <c r="TVK128" s="139"/>
      <c r="TVL128" s="139"/>
      <c r="TVM128" s="139"/>
      <c r="TVN128" s="139"/>
      <c r="TVO128" s="139"/>
      <c r="TVP128" s="139"/>
      <c r="TVQ128" s="139"/>
      <c r="TVR128" s="139"/>
      <c r="TVS128" s="139"/>
      <c r="TVT128" s="139"/>
      <c r="TVU128" s="139"/>
      <c r="TVV128" s="139"/>
      <c r="TVW128" s="139"/>
      <c r="TVX128" s="139"/>
      <c r="TVY128" s="139"/>
      <c r="TVZ128" s="139"/>
      <c r="TWA128" s="139"/>
      <c r="TWB128" s="139"/>
      <c r="TWC128" s="139"/>
      <c r="TWD128" s="139"/>
      <c r="TWE128" s="139"/>
      <c r="TWF128" s="139"/>
      <c r="TWG128" s="139"/>
      <c r="TWH128" s="139"/>
      <c r="TWI128" s="139"/>
      <c r="TWJ128" s="139"/>
      <c r="TWK128" s="139"/>
      <c r="TWL128" s="139"/>
      <c r="TWM128" s="139"/>
      <c r="TWN128" s="139"/>
      <c r="TWO128" s="139"/>
      <c r="TWP128" s="139"/>
      <c r="TWQ128" s="139"/>
      <c r="TWR128" s="139"/>
      <c r="TWS128" s="139"/>
      <c r="TWT128" s="139"/>
      <c r="TWU128" s="139"/>
      <c r="TWV128" s="139"/>
      <c r="TWW128" s="139"/>
      <c r="TWX128" s="139"/>
      <c r="TWY128" s="139"/>
      <c r="TWZ128" s="139"/>
      <c r="TXA128" s="139"/>
      <c r="TXB128" s="139"/>
      <c r="TXC128" s="139"/>
      <c r="TXD128" s="139"/>
      <c r="TXE128" s="139"/>
      <c r="TXF128" s="139"/>
      <c r="TXG128" s="139"/>
      <c r="TXH128" s="139"/>
      <c r="TXI128" s="139"/>
      <c r="TXJ128" s="139"/>
      <c r="TXK128" s="139"/>
      <c r="TXL128" s="139"/>
      <c r="TXM128" s="139"/>
      <c r="TXN128" s="139"/>
      <c r="TXO128" s="139"/>
      <c r="TXP128" s="139"/>
      <c r="TXQ128" s="139"/>
      <c r="TXR128" s="139"/>
      <c r="TXS128" s="139"/>
      <c r="TXT128" s="139"/>
      <c r="TXU128" s="139"/>
      <c r="TXV128" s="139"/>
      <c r="TXW128" s="139"/>
      <c r="TXX128" s="139"/>
      <c r="TXY128" s="139"/>
      <c r="TXZ128" s="139"/>
      <c r="TYA128" s="139"/>
      <c r="TYB128" s="139"/>
      <c r="TYC128" s="139"/>
      <c r="TYD128" s="139"/>
      <c r="TYE128" s="139"/>
      <c r="TYF128" s="139"/>
      <c r="TYG128" s="139"/>
      <c r="TYH128" s="139"/>
      <c r="TYI128" s="139"/>
      <c r="TYJ128" s="139"/>
      <c r="TYK128" s="139"/>
      <c r="TYL128" s="139"/>
      <c r="TYM128" s="139"/>
      <c r="TYN128" s="139"/>
      <c r="TYO128" s="139"/>
      <c r="TYP128" s="139"/>
      <c r="TYQ128" s="139"/>
      <c r="TYR128" s="139"/>
      <c r="TYS128" s="139"/>
      <c r="TYT128" s="139"/>
      <c r="TYU128" s="139"/>
      <c r="TYV128" s="139"/>
      <c r="TYW128" s="139"/>
      <c r="TYX128" s="139"/>
      <c r="TYY128" s="139"/>
      <c r="TYZ128" s="139"/>
      <c r="TZA128" s="139"/>
      <c r="TZB128" s="139"/>
      <c r="TZC128" s="139"/>
      <c r="TZD128" s="139"/>
      <c r="TZE128" s="139"/>
      <c r="TZF128" s="139"/>
      <c r="TZG128" s="139"/>
      <c r="TZH128" s="139"/>
      <c r="TZI128" s="139"/>
      <c r="TZJ128" s="139"/>
      <c r="TZK128" s="139"/>
      <c r="TZL128" s="139"/>
      <c r="TZM128" s="139"/>
      <c r="TZN128" s="139"/>
      <c r="TZO128" s="139"/>
      <c r="TZP128" s="139"/>
      <c r="TZQ128" s="139"/>
      <c r="TZR128" s="139"/>
      <c r="TZS128" s="139"/>
      <c r="TZT128" s="139"/>
      <c r="TZU128" s="139"/>
      <c r="TZV128" s="139"/>
      <c r="TZW128" s="139"/>
      <c r="TZX128" s="139"/>
      <c r="TZY128" s="139"/>
      <c r="TZZ128" s="139"/>
      <c r="UAA128" s="139"/>
      <c r="UAB128" s="139"/>
      <c r="UAC128" s="139"/>
      <c r="UAD128" s="139"/>
      <c r="UAE128" s="139"/>
      <c r="UAF128" s="139"/>
      <c r="UAG128" s="139"/>
      <c r="UAH128" s="139"/>
      <c r="UAI128" s="139"/>
      <c r="UAJ128" s="139"/>
      <c r="UAK128" s="139"/>
      <c r="UAL128" s="139"/>
      <c r="UAM128" s="139"/>
      <c r="UAN128" s="139"/>
      <c r="UAO128" s="139"/>
      <c r="UAP128" s="139"/>
      <c r="UAQ128" s="139"/>
      <c r="UAR128" s="139"/>
      <c r="UAS128" s="139"/>
      <c r="UAT128" s="139"/>
      <c r="UAU128" s="139"/>
      <c r="UAV128" s="139"/>
      <c r="UAW128" s="139"/>
      <c r="UAX128" s="139"/>
      <c r="UAY128" s="139"/>
      <c r="UAZ128" s="139"/>
      <c r="UBA128" s="139"/>
      <c r="UBB128" s="139"/>
      <c r="UBC128" s="139"/>
      <c r="UBD128" s="139"/>
      <c r="UBE128" s="139"/>
      <c r="UBF128" s="139"/>
      <c r="UBG128" s="139"/>
      <c r="UBH128" s="139"/>
      <c r="UBI128" s="139"/>
      <c r="UBJ128" s="139"/>
      <c r="UBK128" s="139"/>
      <c r="UBL128" s="139"/>
      <c r="UBM128" s="139"/>
      <c r="UBN128" s="139"/>
      <c r="UBO128" s="139"/>
      <c r="UBP128" s="139"/>
      <c r="UBQ128" s="139"/>
      <c r="UBR128" s="139"/>
      <c r="UBS128" s="139"/>
      <c r="UBT128" s="139"/>
      <c r="UBU128" s="139"/>
      <c r="UBV128" s="139"/>
      <c r="UBW128" s="139"/>
      <c r="UBX128" s="139"/>
      <c r="UBY128" s="139"/>
      <c r="UBZ128" s="139"/>
      <c r="UCA128" s="139"/>
      <c r="UCB128" s="139"/>
      <c r="UCC128" s="139"/>
      <c r="UCD128" s="139"/>
      <c r="UCE128" s="139"/>
      <c r="UCF128" s="139"/>
      <c r="UCG128" s="139"/>
      <c r="UCH128" s="139"/>
      <c r="UCI128" s="139"/>
      <c r="UCJ128" s="139"/>
      <c r="UCK128" s="139"/>
      <c r="UCL128" s="139"/>
      <c r="UCM128" s="139"/>
      <c r="UCN128" s="139"/>
      <c r="UCO128" s="139"/>
      <c r="UCP128" s="139"/>
      <c r="UCQ128" s="139"/>
      <c r="UCR128" s="139"/>
      <c r="UCS128" s="139"/>
      <c r="UCT128" s="139"/>
      <c r="UCU128" s="139"/>
      <c r="UCV128" s="139"/>
      <c r="UCW128" s="139"/>
      <c r="UCX128" s="139"/>
      <c r="UCY128" s="139"/>
      <c r="UCZ128" s="139"/>
      <c r="UDA128" s="139"/>
      <c r="UDB128" s="139"/>
      <c r="UDC128" s="139"/>
      <c r="UDD128" s="139"/>
      <c r="UDE128" s="139"/>
      <c r="UDF128" s="139"/>
      <c r="UDG128" s="139"/>
      <c r="UDH128" s="139"/>
      <c r="UDI128" s="139"/>
      <c r="UDJ128" s="139"/>
      <c r="UDK128" s="139"/>
      <c r="UDL128" s="139"/>
      <c r="UDM128" s="139"/>
      <c r="UDN128" s="139"/>
      <c r="UDO128" s="139"/>
      <c r="UDP128" s="139"/>
      <c r="UDQ128" s="139"/>
      <c r="UDR128" s="139"/>
      <c r="UDS128" s="139"/>
      <c r="UDT128" s="139"/>
      <c r="UDU128" s="139"/>
      <c r="UDV128" s="139"/>
      <c r="UDW128" s="139"/>
      <c r="UDX128" s="139"/>
      <c r="UDY128" s="139"/>
      <c r="UDZ128" s="139"/>
      <c r="UEA128" s="139"/>
      <c r="UEB128" s="139"/>
      <c r="UEC128" s="139"/>
      <c r="UED128" s="139"/>
      <c r="UEE128" s="139"/>
      <c r="UEF128" s="139"/>
      <c r="UEG128" s="139"/>
      <c r="UEH128" s="139"/>
      <c r="UEI128" s="139"/>
      <c r="UEJ128" s="139"/>
      <c r="UEK128" s="139"/>
      <c r="UEL128" s="139"/>
      <c r="UEM128" s="139"/>
      <c r="UEN128" s="139"/>
      <c r="UEO128" s="139"/>
      <c r="UEP128" s="139"/>
      <c r="UEQ128" s="139"/>
      <c r="UER128" s="139"/>
      <c r="UES128" s="139"/>
      <c r="UET128" s="139"/>
      <c r="UEU128" s="139"/>
      <c r="UEV128" s="139"/>
      <c r="UEW128" s="139"/>
      <c r="UEX128" s="139"/>
      <c r="UEY128" s="139"/>
      <c r="UEZ128" s="139"/>
      <c r="UFA128" s="139"/>
      <c r="UFB128" s="139"/>
      <c r="UFC128" s="139"/>
      <c r="UFD128" s="139"/>
      <c r="UFE128" s="139"/>
      <c r="UFF128" s="139"/>
      <c r="UFG128" s="139"/>
      <c r="UFH128" s="139"/>
      <c r="UFI128" s="139"/>
      <c r="UFJ128" s="139"/>
      <c r="UFK128" s="139"/>
      <c r="UFL128" s="139"/>
      <c r="UFM128" s="139"/>
      <c r="UFN128" s="139"/>
      <c r="UFO128" s="139"/>
      <c r="UFP128" s="139"/>
      <c r="UFQ128" s="139"/>
      <c r="UFR128" s="139"/>
      <c r="UFS128" s="139"/>
      <c r="UFT128" s="139"/>
      <c r="UFU128" s="139"/>
      <c r="UFV128" s="139"/>
      <c r="UFW128" s="139"/>
      <c r="UFX128" s="139"/>
      <c r="UFY128" s="139"/>
      <c r="UFZ128" s="139"/>
      <c r="UGA128" s="139"/>
      <c r="UGB128" s="139"/>
      <c r="UGC128" s="139"/>
      <c r="UGD128" s="139"/>
      <c r="UGE128" s="139"/>
      <c r="UGF128" s="139"/>
      <c r="UGG128" s="139"/>
      <c r="UGH128" s="139"/>
      <c r="UGI128" s="139"/>
      <c r="UGJ128" s="139"/>
      <c r="UGK128" s="139"/>
      <c r="UGL128" s="139"/>
      <c r="UGM128" s="139"/>
      <c r="UGN128" s="139"/>
      <c r="UGO128" s="139"/>
      <c r="UGP128" s="139"/>
      <c r="UGQ128" s="139"/>
      <c r="UGR128" s="139"/>
      <c r="UGS128" s="139"/>
      <c r="UGT128" s="139"/>
      <c r="UGU128" s="139"/>
      <c r="UGV128" s="139"/>
      <c r="UGW128" s="139"/>
      <c r="UGX128" s="139"/>
      <c r="UGY128" s="139"/>
      <c r="UGZ128" s="139"/>
      <c r="UHA128" s="139"/>
      <c r="UHB128" s="139"/>
      <c r="UHC128" s="139"/>
      <c r="UHD128" s="139"/>
      <c r="UHE128" s="139"/>
      <c r="UHF128" s="139"/>
      <c r="UHG128" s="139"/>
      <c r="UHH128" s="139"/>
      <c r="UHI128" s="139"/>
      <c r="UHJ128" s="139"/>
      <c r="UHK128" s="139"/>
      <c r="UHL128" s="139"/>
      <c r="UHM128" s="139"/>
      <c r="UHN128" s="139"/>
      <c r="UHO128" s="139"/>
      <c r="UHP128" s="139"/>
      <c r="UHQ128" s="139"/>
      <c r="UHR128" s="139"/>
      <c r="UHS128" s="139"/>
      <c r="UHT128" s="139"/>
      <c r="UHU128" s="139"/>
      <c r="UHV128" s="139"/>
      <c r="UHW128" s="139"/>
      <c r="UHX128" s="139"/>
      <c r="UHY128" s="139"/>
      <c r="UHZ128" s="139"/>
      <c r="UIA128" s="139"/>
      <c r="UIB128" s="139"/>
      <c r="UIC128" s="139"/>
      <c r="UID128" s="139"/>
      <c r="UIE128" s="139"/>
      <c r="UIF128" s="139"/>
      <c r="UIG128" s="139"/>
      <c r="UIH128" s="139"/>
      <c r="UII128" s="139"/>
      <c r="UIJ128" s="139"/>
      <c r="UIK128" s="139"/>
      <c r="UIL128" s="139"/>
      <c r="UIM128" s="139"/>
      <c r="UIN128" s="139"/>
      <c r="UIO128" s="139"/>
      <c r="UIP128" s="139"/>
      <c r="UIQ128" s="139"/>
      <c r="UIR128" s="139"/>
      <c r="UIS128" s="139"/>
      <c r="UIT128" s="139"/>
      <c r="UIU128" s="139"/>
      <c r="UIV128" s="139"/>
      <c r="UIW128" s="139"/>
      <c r="UIX128" s="139"/>
      <c r="UIY128" s="139"/>
      <c r="UIZ128" s="139"/>
      <c r="UJA128" s="139"/>
      <c r="UJB128" s="139"/>
      <c r="UJC128" s="139"/>
      <c r="UJD128" s="139"/>
      <c r="UJE128" s="139"/>
      <c r="UJF128" s="139"/>
      <c r="UJG128" s="139"/>
      <c r="UJH128" s="139"/>
      <c r="UJI128" s="139"/>
      <c r="UJJ128" s="139"/>
      <c r="UJK128" s="139"/>
      <c r="UJL128" s="139"/>
      <c r="UJM128" s="139"/>
      <c r="UJN128" s="139"/>
      <c r="UJO128" s="139"/>
      <c r="UJP128" s="139"/>
      <c r="UJQ128" s="139"/>
      <c r="UJR128" s="139"/>
      <c r="UJS128" s="139"/>
      <c r="UJT128" s="139"/>
      <c r="UJU128" s="139"/>
      <c r="UJV128" s="139"/>
      <c r="UJW128" s="139"/>
      <c r="UJX128" s="139"/>
      <c r="UJY128" s="139"/>
      <c r="UJZ128" s="139"/>
      <c r="UKA128" s="139"/>
      <c r="UKB128" s="139"/>
      <c r="UKC128" s="139"/>
      <c r="UKD128" s="139"/>
      <c r="UKE128" s="139"/>
      <c r="UKF128" s="139"/>
      <c r="UKG128" s="139"/>
      <c r="UKH128" s="139"/>
      <c r="UKI128" s="139"/>
      <c r="UKJ128" s="139"/>
      <c r="UKK128" s="139"/>
      <c r="UKL128" s="139"/>
      <c r="UKM128" s="139"/>
      <c r="UKN128" s="139"/>
      <c r="UKO128" s="139"/>
      <c r="UKP128" s="139"/>
      <c r="UKQ128" s="139"/>
      <c r="UKR128" s="139"/>
      <c r="UKS128" s="139"/>
      <c r="UKT128" s="139"/>
      <c r="UKU128" s="139"/>
      <c r="UKV128" s="139"/>
      <c r="UKW128" s="139"/>
      <c r="UKX128" s="139"/>
      <c r="UKY128" s="139"/>
      <c r="UKZ128" s="139"/>
      <c r="ULA128" s="139"/>
      <c r="ULB128" s="139"/>
      <c r="ULC128" s="139"/>
      <c r="ULD128" s="139"/>
      <c r="ULE128" s="139"/>
      <c r="ULF128" s="139"/>
      <c r="ULG128" s="139"/>
      <c r="ULH128" s="139"/>
      <c r="ULI128" s="139"/>
      <c r="ULJ128" s="139"/>
      <c r="ULK128" s="139"/>
      <c r="ULL128" s="139"/>
      <c r="ULM128" s="139"/>
      <c r="ULN128" s="139"/>
      <c r="ULO128" s="139"/>
      <c r="ULP128" s="139"/>
      <c r="ULQ128" s="139"/>
      <c r="ULR128" s="139"/>
      <c r="ULS128" s="139"/>
      <c r="ULT128" s="139"/>
      <c r="ULU128" s="139"/>
      <c r="ULV128" s="139"/>
      <c r="ULW128" s="139"/>
      <c r="ULX128" s="139"/>
      <c r="ULY128" s="139"/>
      <c r="ULZ128" s="139"/>
      <c r="UMA128" s="139"/>
      <c r="UMB128" s="139"/>
      <c r="UMC128" s="139"/>
      <c r="UMD128" s="139"/>
      <c r="UME128" s="139"/>
      <c r="UMF128" s="139"/>
      <c r="UMG128" s="139"/>
      <c r="UMH128" s="139"/>
      <c r="UMI128" s="139"/>
      <c r="UMJ128" s="139"/>
      <c r="UMK128" s="139"/>
      <c r="UML128" s="139"/>
      <c r="UMM128" s="139"/>
      <c r="UMN128" s="139"/>
      <c r="UMO128" s="139"/>
      <c r="UMP128" s="139"/>
      <c r="UMQ128" s="139"/>
      <c r="UMR128" s="139"/>
      <c r="UMS128" s="139"/>
      <c r="UMT128" s="139"/>
      <c r="UMU128" s="139"/>
      <c r="UMV128" s="139"/>
      <c r="UMW128" s="139"/>
      <c r="UMX128" s="139"/>
      <c r="UMY128" s="139"/>
      <c r="UMZ128" s="139"/>
      <c r="UNA128" s="139"/>
      <c r="UNB128" s="139"/>
      <c r="UNC128" s="139"/>
      <c r="UND128" s="139"/>
      <c r="UNE128" s="139"/>
      <c r="UNF128" s="139"/>
      <c r="UNG128" s="139"/>
      <c r="UNH128" s="139"/>
      <c r="UNI128" s="139"/>
      <c r="UNJ128" s="139"/>
      <c r="UNK128" s="139"/>
      <c r="UNL128" s="139"/>
      <c r="UNM128" s="139"/>
      <c r="UNN128" s="139"/>
      <c r="UNO128" s="139"/>
      <c r="UNP128" s="139"/>
      <c r="UNQ128" s="139"/>
      <c r="UNR128" s="139"/>
      <c r="UNS128" s="139"/>
      <c r="UNT128" s="139"/>
      <c r="UNU128" s="139"/>
      <c r="UNV128" s="139"/>
      <c r="UNW128" s="139"/>
      <c r="UNX128" s="139"/>
      <c r="UNY128" s="139"/>
      <c r="UNZ128" s="139"/>
      <c r="UOA128" s="139"/>
      <c r="UOB128" s="139"/>
      <c r="UOC128" s="139"/>
      <c r="UOD128" s="139"/>
      <c r="UOE128" s="139"/>
      <c r="UOF128" s="139"/>
      <c r="UOG128" s="139"/>
      <c r="UOH128" s="139"/>
      <c r="UOI128" s="139"/>
      <c r="UOJ128" s="139"/>
      <c r="UOK128" s="139"/>
      <c r="UOL128" s="139"/>
      <c r="UOM128" s="139"/>
      <c r="UON128" s="139"/>
      <c r="UOO128" s="139"/>
      <c r="UOP128" s="139"/>
      <c r="UOQ128" s="139"/>
      <c r="UOR128" s="139"/>
      <c r="UOS128" s="139"/>
      <c r="UOT128" s="139"/>
      <c r="UOU128" s="139"/>
      <c r="UOV128" s="139"/>
      <c r="UOW128" s="139"/>
      <c r="UOX128" s="139"/>
      <c r="UOY128" s="139"/>
      <c r="UOZ128" s="139"/>
      <c r="UPA128" s="139"/>
      <c r="UPB128" s="139"/>
      <c r="UPC128" s="139"/>
      <c r="UPD128" s="139"/>
      <c r="UPE128" s="139"/>
      <c r="UPF128" s="139"/>
      <c r="UPG128" s="139"/>
      <c r="UPH128" s="139"/>
      <c r="UPI128" s="139"/>
      <c r="UPJ128" s="139"/>
      <c r="UPK128" s="139"/>
      <c r="UPL128" s="139"/>
      <c r="UPM128" s="139"/>
      <c r="UPN128" s="139"/>
      <c r="UPO128" s="139"/>
      <c r="UPP128" s="139"/>
      <c r="UPQ128" s="139"/>
      <c r="UPR128" s="139"/>
      <c r="UPS128" s="139"/>
      <c r="UPT128" s="139"/>
      <c r="UPU128" s="139"/>
      <c r="UPV128" s="139"/>
      <c r="UPW128" s="139"/>
      <c r="UPX128" s="139"/>
      <c r="UPY128" s="139"/>
      <c r="UPZ128" s="139"/>
      <c r="UQA128" s="139"/>
      <c r="UQB128" s="139"/>
      <c r="UQC128" s="139"/>
      <c r="UQD128" s="139"/>
      <c r="UQE128" s="139"/>
      <c r="UQF128" s="139"/>
      <c r="UQG128" s="139"/>
      <c r="UQH128" s="139"/>
      <c r="UQI128" s="139"/>
      <c r="UQJ128" s="139"/>
      <c r="UQK128" s="139"/>
      <c r="UQL128" s="139"/>
      <c r="UQM128" s="139"/>
      <c r="UQN128" s="139"/>
      <c r="UQO128" s="139"/>
      <c r="UQP128" s="139"/>
      <c r="UQQ128" s="139"/>
      <c r="UQR128" s="139"/>
      <c r="UQS128" s="139"/>
      <c r="UQT128" s="139"/>
      <c r="UQU128" s="139"/>
      <c r="UQV128" s="139"/>
      <c r="UQW128" s="139"/>
      <c r="UQX128" s="139"/>
      <c r="UQY128" s="139"/>
      <c r="UQZ128" s="139"/>
      <c r="URA128" s="139"/>
      <c r="URB128" s="139"/>
      <c r="URC128" s="139"/>
      <c r="URD128" s="139"/>
      <c r="URE128" s="139"/>
      <c r="URF128" s="139"/>
      <c r="URG128" s="139"/>
      <c r="URH128" s="139"/>
      <c r="URI128" s="139"/>
      <c r="URJ128" s="139"/>
      <c r="URK128" s="139"/>
      <c r="URL128" s="139"/>
      <c r="URM128" s="139"/>
      <c r="URN128" s="139"/>
      <c r="URO128" s="139"/>
      <c r="URP128" s="139"/>
      <c r="URQ128" s="139"/>
      <c r="URR128" s="139"/>
      <c r="URS128" s="139"/>
      <c r="URT128" s="139"/>
      <c r="URU128" s="139"/>
      <c r="URV128" s="139"/>
      <c r="URW128" s="139"/>
      <c r="URX128" s="139"/>
      <c r="URY128" s="139"/>
      <c r="URZ128" s="139"/>
      <c r="USA128" s="139"/>
      <c r="USB128" s="139"/>
      <c r="USC128" s="139"/>
      <c r="USD128" s="139"/>
      <c r="USE128" s="139"/>
      <c r="USF128" s="139"/>
      <c r="USG128" s="139"/>
      <c r="USH128" s="139"/>
      <c r="USI128" s="139"/>
      <c r="USJ128" s="139"/>
      <c r="USK128" s="139"/>
      <c r="USL128" s="139"/>
      <c r="USM128" s="139"/>
      <c r="USN128" s="139"/>
      <c r="USO128" s="139"/>
      <c r="USP128" s="139"/>
      <c r="USQ128" s="139"/>
      <c r="USR128" s="139"/>
      <c r="USS128" s="139"/>
      <c r="UST128" s="139"/>
      <c r="USU128" s="139"/>
      <c r="USV128" s="139"/>
      <c r="USW128" s="139"/>
      <c r="USX128" s="139"/>
      <c r="USY128" s="139"/>
      <c r="USZ128" s="139"/>
      <c r="UTA128" s="139"/>
      <c r="UTB128" s="139"/>
      <c r="UTC128" s="139"/>
      <c r="UTD128" s="139"/>
      <c r="UTE128" s="139"/>
      <c r="UTF128" s="139"/>
      <c r="UTG128" s="139"/>
      <c r="UTH128" s="139"/>
      <c r="UTI128" s="139"/>
      <c r="UTJ128" s="139"/>
      <c r="UTK128" s="139"/>
      <c r="UTL128" s="139"/>
      <c r="UTM128" s="139"/>
      <c r="UTN128" s="139"/>
      <c r="UTO128" s="139"/>
      <c r="UTP128" s="139"/>
      <c r="UTQ128" s="139"/>
      <c r="UTR128" s="139"/>
      <c r="UTS128" s="139"/>
      <c r="UTT128" s="139"/>
      <c r="UTU128" s="139"/>
      <c r="UTV128" s="139"/>
      <c r="UTW128" s="139"/>
      <c r="UTX128" s="139"/>
      <c r="UTY128" s="139"/>
      <c r="UTZ128" s="139"/>
      <c r="UUA128" s="139"/>
      <c r="UUB128" s="139"/>
      <c r="UUC128" s="139"/>
      <c r="UUD128" s="139"/>
      <c r="UUE128" s="139"/>
      <c r="UUF128" s="139"/>
      <c r="UUG128" s="139"/>
      <c r="UUH128" s="139"/>
      <c r="UUI128" s="139"/>
      <c r="UUJ128" s="139"/>
      <c r="UUK128" s="139"/>
      <c r="UUL128" s="139"/>
      <c r="UUM128" s="139"/>
      <c r="UUN128" s="139"/>
      <c r="UUO128" s="139"/>
      <c r="UUP128" s="139"/>
      <c r="UUQ128" s="139"/>
      <c r="UUR128" s="139"/>
      <c r="UUS128" s="139"/>
      <c r="UUT128" s="139"/>
      <c r="UUU128" s="139"/>
      <c r="UUV128" s="139"/>
      <c r="UUW128" s="139"/>
      <c r="UUX128" s="139"/>
      <c r="UUY128" s="139"/>
      <c r="UUZ128" s="139"/>
      <c r="UVA128" s="139"/>
      <c r="UVB128" s="139"/>
      <c r="UVC128" s="139"/>
      <c r="UVD128" s="139"/>
      <c r="UVE128" s="139"/>
      <c r="UVF128" s="139"/>
      <c r="UVG128" s="139"/>
      <c r="UVH128" s="139"/>
      <c r="UVI128" s="139"/>
      <c r="UVJ128" s="139"/>
      <c r="UVK128" s="139"/>
      <c r="UVL128" s="139"/>
      <c r="UVM128" s="139"/>
      <c r="UVN128" s="139"/>
      <c r="UVO128" s="139"/>
      <c r="UVP128" s="139"/>
      <c r="UVQ128" s="139"/>
      <c r="UVR128" s="139"/>
      <c r="UVS128" s="139"/>
      <c r="UVT128" s="139"/>
      <c r="UVU128" s="139"/>
      <c r="UVV128" s="139"/>
      <c r="UVW128" s="139"/>
      <c r="UVX128" s="139"/>
      <c r="UVY128" s="139"/>
      <c r="UVZ128" s="139"/>
      <c r="UWA128" s="139"/>
      <c r="UWB128" s="139"/>
      <c r="UWC128" s="139"/>
      <c r="UWD128" s="139"/>
      <c r="UWE128" s="139"/>
      <c r="UWF128" s="139"/>
      <c r="UWG128" s="139"/>
      <c r="UWH128" s="139"/>
      <c r="UWI128" s="139"/>
      <c r="UWJ128" s="139"/>
      <c r="UWK128" s="139"/>
      <c r="UWL128" s="139"/>
      <c r="UWM128" s="139"/>
      <c r="UWN128" s="139"/>
      <c r="UWO128" s="139"/>
      <c r="UWP128" s="139"/>
      <c r="UWQ128" s="139"/>
      <c r="UWR128" s="139"/>
      <c r="UWS128" s="139"/>
      <c r="UWT128" s="139"/>
      <c r="UWU128" s="139"/>
      <c r="UWV128" s="139"/>
      <c r="UWW128" s="139"/>
      <c r="UWX128" s="139"/>
      <c r="UWY128" s="139"/>
      <c r="UWZ128" s="139"/>
      <c r="UXA128" s="139"/>
      <c r="UXB128" s="139"/>
      <c r="UXC128" s="139"/>
      <c r="UXD128" s="139"/>
      <c r="UXE128" s="139"/>
      <c r="UXF128" s="139"/>
      <c r="UXG128" s="139"/>
      <c r="UXH128" s="139"/>
      <c r="UXI128" s="139"/>
      <c r="UXJ128" s="139"/>
      <c r="UXK128" s="139"/>
      <c r="UXL128" s="139"/>
      <c r="UXM128" s="139"/>
      <c r="UXN128" s="139"/>
      <c r="UXO128" s="139"/>
      <c r="UXP128" s="139"/>
      <c r="UXQ128" s="139"/>
      <c r="UXR128" s="139"/>
      <c r="UXS128" s="139"/>
      <c r="UXT128" s="139"/>
      <c r="UXU128" s="139"/>
      <c r="UXV128" s="139"/>
      <c r="UXW128" s="139"/>
      <c r="UXX128" s="139"/>
      <c r="UXY128" s="139"/>
      <c r="UXZ128" s="139"/>
      <c r="UYA128" s="139"/>
      <c r="UYB128" s="139"/>
      <c r="UYC128" s="139"/>
      <c r="UYD128" s="139"/>
      <c r="UYE128" s="139"/>
      <c r="UYF128" s="139"/>
      <c r="UYG128" s="139"/>
      <c r="UYH128" s="139"/>
      <c r="UYI128" s="139"/>
      <c r="UYJ128" s="139"/>
      <c r="UYK128" s="139"/>
      <c r="UYL128" s="139"/>
      <c r="UYM128" s="139"/>
      <c r="UYN128" s="139"/>
      <c r="UYO128" s="139"/>
      <c r="UYP128" s="139"/>
      <c r="UYQ128" s="139"/>
      <c r="UYR128" s="139"/>
      <c r="UYS128" s="139"/>
      <c r="UYT128" s="139"/>
      <c r="UYU128" s="139"/>
      <c r="UYV128" s="139"/>
      <c r="UYW128" s="139"/>
      <c r="UYX128" s="139"/>
      <c r="UYY128" s="139"/>
      <c r="UYZ128" s="139"/>
      <c r="UZA128" s="139"/>
      <c r="UZB128" s="139"/>
      <c r="UZC128" s="139"/>
      <c r="UZD128" s="139"/>
      <c r="UZE128" s="139"/>
      <c r="UZF128" s="139"/>
      <c r="UZG128" s="139"/>
      <c r="UZH128" s="139"/>
      <c r="UZI128" s="139"/>
      <c r="UZJ128" s="139"/>
      <c r="UZK128" s="139"/>
      <c r="UZL128" s="139"/>
      <c r="UZM128" s="139"/>
      <c r="UZN128" s="139"/>
      <c r="UZO128" s="139"/>
      <c r="UZP128" s="139"/>
      <c r="UZQ128" s="139"/>
      <c r="UZR128" s="139"/>
      <c r="UZS128" s="139"/>
      <c r="UZT128" s="139"/>
      <c r="UZU128" s="139"/>
      <c r="UZV128" s="139"/>
      <c r="UZW128" s="139"/>
      <c r="UZX128" s="139"/>
      <c r="UZY128" s="139"/>
      <c r="UZZ128" s="139"/>
      <c r="VAA128" s="139"/>
      <c r="VAB128" s="139"/>
      <c r="VAC128" s="139"/>
      <c r="VAD128" s="139"/>
      <c r="VAE128" s="139"/>
      <c r="VAF128" s="139"/>
      <c r="VAG128" s="139"/>
      <c r="VAH128" s="139"/>
      <c r="VAI128" s="139"/>
      <c r="VAJ128" s="139"/>
      <c r="VAK128" s="139"/>
      <c r="VAL128" s="139"/>
      <c r="VAM128" s="139"/>
      <c r="VAN128" s="139"/>
      <c r="VAO128" s="139"/>
      <c r="VAP128" s="139"/>
      <c r="VAQ128" s="139"/>
      <c r="VAR128" s="139"/>
      <c r="VAS128" s="139"/>
      <c r="VAT128" s="139"/>
      <c r="VAU128" s="139"/>
      <c r="VAV128" s="139"/>
      <c r="VAW128" s="139"/>
      <c r="VAX128" s="139"/>
      <c r="VAY128" s="139"/>
      <c r="VAZ128" s="139"/>
      <c r="VBA128" s="139"/>
      <c r="VBB128" s="139"/>
      <c r="VBC128" s="139"/>
      <c r="VBD128" s="139"/>
      <c r="VBE128" s="139"/>
      <c r="VBF128" s="139"/>
      <c r="VBG128" s="139"/>
      <c r="VBH128" s="139"/>
      <c r="VBI128" s="139"/>
      <c r="VBJ128" s="139"/>
      <c r="VBK128" s="139"/>
      <c r="VBL128" s="139"/>
      <c r="VBM128" s="139"/>
      <c r="VBN128" s="139"/>
      <c r="VBO128" s="139"/>
      <c r="VBP128" s="139"/>
      <c r="VBQ128" s="139"/>
      <c r="VBR128" s="139"/>
      <c r="VBS128" s="139"/>
      <c r="VBT128" s="139"/>
      <c r="VBU128" s="139"/>
      <c r="VBV128" s="139"/>
      <c r="VBW128" s="139"/>
      <c r="VBX128" s="139"/>
      <c r="VBY128" s="139"/>
      <c r="VBZ128" s="139"/>
      <c r="VCA128" s="139"/>
      <c r="VCB128" s="139"/>
      <c r="VCC128" s="139"/>
      <c r="VCD128" s="139"/>
      <c r="VCE128" s="139"/>
      <c r="VCF128" s="139"/>
      <c r="VCG128" s="139"/>
      <c r="VCH128" s="139"/>
      <c r="VCI128" s="139"/>
      <c r="VCJ128" s="139"/>
      <c r="VCK128" s="139"/>
      <c r="VCL128" s="139"/>
      <c r="VCM128" s="139"/>
      <c r="VCN128" s="139"/>
      <c r="VCO128" s="139"/>
      <c r="VCP128" s="139"/>
      <c r="VCQ128" s="139"/>
      <c r="VCR128" s="139"/>
      <c r="VCS128" s="139"/>
      <c r="VCT128" s="139"/>
      <c r="VCU128" s="139"/>
      <c r="VCV128" s="139"/>
      <c r="VCW128" s="139"/>
      <c r="VCX128" s="139"/>
      <c r="VCY128" s="139"/>
      <c r="VCZ128" s="139"/>
      <c r="VDA128" s="139"/>
      <c r="VDB128" s="139"/>
      <c r="VDC128" s="139"/>
      <c r="VDD128" s="139"/>
      <c r="VDE128" s="139"/>
      <c r="VDF128" s="139"/>
      <c r="VDG128" s="139"/>
      <c r="VDH128" s="139"/>
      <c r="VDI128" s="139"/>
      <c r="VDJ128" s="139"/>
      <c r="VDK128" s="139"/>
      <c r="VDL128" s="139"/>
      <c r="VDM128" s="139"/>
      <c r="VDN128" s="139"/>
      <c r="VDO128" s="139"/>
      <c r="VDP128" s="139"/>
      <c r="VDQ128" s="139"/>
      <c r="VDR128" s="139"/>
      <c r="VDS128" s="139"/>
      <c r="VDT128" s="139"/>
      <c r="VDU128" s="139"/>
      <c r="VDV128" s="139"/>
      <c r="VDW128" s="139"/>
      <c r="VDX128" s="139"/>
      <c r="VDY128" s="139"/>
      <c r="VDZ128" s="139"/>
      <c r="VEA128" s="139"/>
      <c r="VEB128" s="139"/>
      <c r="VEC128" s="139"/>
      <c r="VED128" s="139"/>
      <c r="VEE128" s="139"/>
      <c r="VEF128" s="139"/>
      <c r="VEG128" s="139"/>
      <c r="VEH128" s="139"/>
      <c r="VEI128" s="139"/>
      <c r="VEJ128" s="139"/>
      <c r="VEK128" s="139"/>
      <c r="VEL128" s="139"/>
      <c r="VEM128" s="139"/>
      <c r="VEN128" s="139"/>
      <c r="VEO128" s="139"/>
      <c r="VEP128" s="139"/>
      <c r="VEQ128" s="139"/>
      <c r="VER128" s="139"/>
      <c r="VES128" s="139"/>
      <c r="VET128" s="139"/>
      <c r="VEU128" s="139"/>
      <c r="VEV128" s="139"/>
      <c r="VEW128" s="139"/>
      <c r="VEX128" s="139"/>
      <c r="VEY128" s="139"/>
      <c r="VEZ128" s="139"/>
      <c r="VFA128" s="139"/>
      <c r="VFB128" s="139"/>
      <c r="VFC128" s="139"/>
      <c r="VFD128" s="139"/>
      <c r="VFE128" s="139"/>
      <c r="VFF128" s="139"/>
      <c r="VFG128" s="139"/>
      <c r="VFH128" s="139"/>
      <c r="VFI128" s="139"/>
      <c r="VFJ128" s="139"/>
      <c r="VFK128" s="139"/>
      <c r="VFL128" s="139"/>
      <c r="VFM128" s="139"/>
      <c r="VFN128" s="139"/>
      <c r="VFO128" s="139"/>
      <c r="VFP128" s="139"/>
      <c r="VFQ128" s="139"/>
      <c r="VFR128" s="139"/>
      <c r="VFS128" s="139"/>
      <c r="VFT128" s="139"/>
      <c r="VFU128" s="139"/>
      <c r="VFV128" s="139"/>
      <c r="VFW128" s="139"/>
      <c r="VFX128" s="139"/>
      <c r="VFY128" s="139"/>
      <c r="VFZ128" s="139"/>
      <c r="VGA128" s="139"/>
      <c r="VGB128" s="139"/>
      <c r="VGC128" s="139"/>
      <c r="VGD128" s="139"/>
      <c r="VGE128" s="139"/>
      <c r="VGF128" s="139"/>
      <c r="VGG128" s="139"/>
      <c r="VGH128" s="139"/>
      <c r="VGI128" s="139"/>
      <c r="VGJ128" s="139"/>
      <c r="VGK128" s="139"/>
      <c r="VGL128" s="139"/>
      <c r="VGM128" s="139"/>
      <c r="VGN128" s="139"/>
      <c r="VGO128" s="139"/>
      <c r="VGP128" s="139"/>
      <c r="VGQ128" s="139"/>
      <c r="VGR128" s="139"/>
      <c r="VGS128" s="139"/>
      <c r="VGT128" s="139"/>
      <c r="VGU128" s="139"/>
      <c r="VGV128" s="139"/>
      <c r="VGW128" s="139"/>
      <c r="VGX128" s="139"/>
      <c r="VGY128" s="139"/>
      <c r="VGZ128" s="139"/>
      <c r="VHA128" s="139"/>
      <c r="VHB128" s="139"/>
      <c r="VHC128" s="139"/>
      <c r="VHD128" s="139"/>
      <c r="VHE128" s="139"/>
      <c r="VHF128" s="139"/>
      <c r="VHG128" s="139"/>
      <c r="VHH128" s="139"/>
      <c r="VHI128" s="139"/>
      <c r="VHJ128" s="139"/>
      <c r="VHK128" s="139"/>
      <c r="VHL128" s="139"/>
      <c r="VHM128" s="139"/>
      <c r="VHN128" s="139"/>
      <c r="VHO128" s="139"/>
      <c r="VHP128" s="139"/>
      <c r="VHQ128" s="139"/>
      <c r="VHR128" s="139"/>
      <c r="VHS128" s="139"/>
      <c r="VHT128" s="139"/>
      <c r="VHU128" s="139"/>
      <c r="VHV128" s="139"/>
      <c r="VHW128" s="139"/>
      <c r="VHX128" s="139"/>
      <c r="VHY128" s="139"/>
      <c r="VHZ128" s="139"/>
      <c r="VIA128" s="139"/>
      <c r="VIB128" s="139"/>
      <c r="VIC128" s="139"/>
      <c r="VID128" s="139"/>
      <c r="VIE128" s="139"/>
      <c r="VIF128" s="139"/>
      <c r="VIG128" s="139"/>
      <c r="VIH128" s="139"/>
      <c r="VII128" s="139"/>
      <c r="VIJ128" s="139"/>
      <c r="VIK128" s="139"/>
      <c r="VIL128" s="139"/>
      <c r="VIM128" s="139"/>
      <c r="VIN128" s="139"/>
      <c r="VIO128" s="139"/>
      <c r="VIP128" s="139"/>
      <c r="VIQ128" s="139"/>
      <c r="VIR128" s="139"/>
      <c r="VIS128" s="139"/>
      <c r="VIT128" s="139"/>
      <c r="VIU128" s="139"/>
      <c r="VIV128" s="139"/>
      <c r="VIW128" s="139"/>
      <c r="VIX128" s="139"/>
      <c r="VIY128" s="139"/>
      <c r="VIZ128" s="139"/>
      <c r="VJA128" s="139"/>
      <c r="VJB128" s="139"/>
      <c r="VJC128" s="139"/>
      <c r="VJD128" s="139"/>
      <c r="VJE128" s="139"/>
      <c r="VJF128" s="139"/>
      <c r="VJG128" s="139"/>
      <c r="VJH128" s="139"/>
      <c r="VJI128" s="139"/>
      <c r="VJJ128" s="139"/>
      <c r="VJK128" s="139"/>
      <c r="VJL128" s="139"/>
      <c r="VJM128" s="139"/>
      <c r="VJN128" s="139"/>
      <c r="VJO128" s="139"/>
      <c r="VJP128" s="139"/>
      <c r="VJQ128" s="139"/>
      <c r="VJR128" s="139"/>
      <c r="VJS128" s="139"/>
      <c r="VJT128" s="139"/>
      <c r="VJU128" s="139"/>
      <c r="VJV128" s="139"/>
      <c r="VJW128" s="139"/>
      <c r="VJX128" s="139"/>
      <c r="VJY128" s="139"/>
      <c r="VJZ128" s="139"/>
      <c r="VKA128" s="139"/>
      <c r="VKB128" s="139"/>
      <c r="VKC128" s="139"/>
      <c r="VKD128" s="139"/>
      <c r="VKE128" s="139"/>
      <c r="VKF128" s="139"/>
      <c r="VKG128" s="139"/>
      <c r="VKH128" s="139"/>
      <c r="VKI128" s="139"/>
      <c r="VKJ128" s="139"/>
      <c r="VKK128" s="139"/>
      <c r="VKL128" s="139"/>
      <c r="VKM128" s="139"/>
      <c r="VKN128" s="139"/>
      <c r="VKO128" s="139"/>
      <c r="VKP128" s="139"/>
      <c r="VKQ128" s="139"/>
      <c r="VKR128" s="139"/>
      <c r="VKS128" s="139"/>
      <c r="VKT128" s="139"/>
      <c r="VKU128" s="139"/>
      <c r="VKV128" s="139"/>
      <c r="VKW128" s="139"/>
      <c r="VKX128" s="139"/>
      <c r="VKY128" s="139"/>
      <c r="VKZ128" s="139"/>
      <c r="VLA128" s="139"/>
      <c r="VLB128" s="139"/>
      <c r="VLC128" s="139"/>
      <c r="VLD128" s="139"/>
      <c r="VLE128" s="139"/>
      <c r="VLF128" s="139"/>
      <c r="VLG128" s="139"/>
      <c r="VLH128" s="139"/>
      <c r="VLI128" s="139"/>
      <c r="VLJ128" s="139"/>
      <c r="VLK128" s="139"/>
      <c r="VLL128" s="139"/>
      <c r="VLM128" s="139"/>
      <c r="VLN128" s="139"/>
      <c r="VLO128" s="139"/>
      <c r="VLP128" s="139"/>
      <c r="VLQ128" s="139"/>
      <c r="VLR128" s="139"/>
      <c r="VLS128" s="139"/>
      <c r="VLT128" s="139"/>
      <c r="VLU128" s="139"/>
      <c r="VLV128" s="139"/>
      <c r="VLW128" s="139"/>
      <c r="VLX128" s="139"/>
      <c r="VLY128" s="139"/>
      <c r="VLZ128" s="139"/>
      <c r="VMA128" s="139"/>
      <c r="VMB128" s="139"/>
      <c r="VMC128" s="139"/>
      <c r="VMD128" s="139"/>
      <c r="VME128" s="139"/>
      <c r="VMF128" s="139"/>
      <c r="VMG128" s="139"/>
      <c r="VMH128" s="139"/>
      <c r="VMI128" s="139"/>
      <c r="VMJ128" s="139"/>
      <c r="VMK128" s="139"/>
      <c r="VML128" s="139"/>
      <c r="VMM128" s="139"/>
      <c r="VMN128" s="139"/>
      <c r="VMO128" s="139"/>
      <c r="VMP128" s="139"/>
      <c r="VMQ128" s="139"/>
      <c r="VMR128" s="139"/>
      <c r="VMS128" s="139"/>
      <c r="VMT128" s="139"/>
      <c r="VMU128" s="139"/>
      <c r="VMV128" s="139"/>
      <c r="VMW128" s="139"/>
      <c r="VMX128" s="139"/>
      <c r="VMY128" s="139"/>
      <c r="VMZ128" s="139"/>
      <c r="VNA128" s="139"/>
      <c r="VNB128" s="139"/>
      <c r="VNC128" s="139"/>
      <c r="VND128" s="139"/>
      <c r="VNE128" s="139"/>
      <c r="VNF128" s="139"/>
      <c r="VNG128" s="139"/>
      <c r="VNH128" s="139"/>
      <c r="VNI128" s="139"/>
      <c r="VNJ128" s="139"/>
      <c r="VNK128" s="139"/>
      <c r="VNL128" s="139"/>
      <c r="VNM128" s="139"/>
      <c r="VNN128" s="139"/>
      <c r="VNO128" s="139"/>
      <c r="VNP128" s="139"/>
      <c r="VNQ128" s="139"/>
      <c r="VNR128" s="139"/>
      <c r="VNS128" s="139"/>
      <c r="VNT128" s="139"/>
      <c r="VNU128" s="139"/>
      <c r="VNV128" s="139"/>
      <c r="VNW128" s="139"/>
      <c r="VNX128" s="139"/>
      <c r="VNY128" s="139"/>
      <c r="VNZ128" s="139"/>
      <c r="VOA128" s="139"/>
      <c r="VOB128" s="139"/>
      <c r="VOC128" s="139"/>
      <c r="VOD128" s="139"/>
      <c r="VOE128" s="139"/>
      <c r="VOF128" s="139"/>
      <c r="VOG128" s="139"/>
      <c r="VOH128" s="139"/>
      <c r="VOI128" s="139"/>
      <c r="VOJ128" s="139"/>
      <c r="VOK128" s="139"/>
      <c r="VOL128" s="139"/>
      <c r="VOM128" s="139"/>
      <c r="VON128" s="139"/>
      <c r="VOO128" s="139"/>
      <c r="VOP128" s="139"/>
      <c r="VOQ128" s="139"/>
      <c r="VOR128" s="139"/>
      <c r="VOS128" s="139"/>
      <c r="VOT128" s="139"/>
      <c r="VOU128" s="139"/>
      <c r="VOV128" s="139"/>
      <c r="VOW128" s="139"/>
      <c r="VOX128" s="139"/>
      <c r="VOY128" s="139"/>
      <c r="VOZ128" s="139"/>
      <c r="VPA128" s="139"/>
      <c r="VPB128" s="139"/>
      <c r="VPC128" s="139"/>
      <c r="VPD128" s="139"/>
      <c r="VPE128" s="139"/>
      <c r="VPF128" s="139"/>
      <c r="VPG128" s="139"/>
      <c r="VPH128" s="139"/>
      <c r="VPI128" s="139"/>
      <c r="VPJ128" s="139"/>
      <c r="VPK128" s="139"/>
      <c r="VPL128" s="139"/>
      <c r="VPM128" s="139"/>
      <c r="VPN128" s="139"/>
      <c r="VPO128" s="139"/>
      <c r="VPP128" s="139"/>
      <c r="VPQ128" s="139"/>
      <c r="VPR128" s="139"/>
      <c r="VPS128" s="139"/>
      <c r="VPT128" s="139"/>
      <c r="VPU128" s="139"/>
      <c r="VPV128" s="139"/>
      <c r="VPW128" s="139"/>
      <c r="VPX128" s="139"/>
      <c r="VPY128" s="139"/>
      <c r="VPZ128" s="139"/>
      <c r="VQA128" s="139"/>
      <c r="VQB128" s="139"/>
      <c r="VQC128" s="139"/>
      <c r="VQD128" s="139"/>
      <c r="VQE128" s="139"/>
      <c r="VQF128" s="139"/>
      <c r="VQG128" s="139"/>
      <c r="VQH128" s="139"/>
      <c r="VQI128" s="139"/>
      <c r="VQJ128" s="139"/>
      <c r="VQK128" s="139"/>
      <c r="VQL128" s="139"/>
      <c r="VQM128" s="139"/>
      <c r="VQN128" s="139"/>
      <c r="VQO128" s="139"/>
      <c r="VQP128" s="139"/>
      <c r="VQQ128" s="139"/>
      <c r="VQR128" s="139"/>
      <c r="VQS128" s="139"/>
      <c r="VQT128" s="139"/>
      <c r="VQU128" s="139"/>
      <c r="VQV128" s="139"/>
      <c r="VQW128" s="139"/>
      <c r="VQX128" s="139"/>
      <c r="VQY128" s="139"/>
      <c r="VQZ128" s="139"/>
      <c r="VRA128" s="139"/>
      <c r="VRB128" s="139"/>
      <c r="VRC128" s="139"/>
      <c r="VRD128" s="139"/>
      <c r="VRE128" s="139"/>
      <c r="VRF128" s="139"/>
      <c r="VRG128" s="139"/>
      <c r="VRH128" s="139"/>
      <c r="VRI128" s="139"/>
      <c r="VRJ128" s="139"/>
      <c r="VRK128" s="139"/>
      <c r="VRL128" s="139"/>
      <c r="VRM128" s="139"/>
      <c r="VRN128" s="139"/>
      <c r="VRO128" s="139"/>
      <c r="VRP128" s="139"/>
      <c r="VRQ128" s="139"/>
      <c r="VRR128" s="139"/>
      <c r="VRS128" s="139"/>
      <c r="VRT128" s="139"/>
      <c r="VRU128" s="139"/>
      <c r="VRV128" s="139"/>
      <c r="VRW128" s="139"/>
      <c r="VRX128" s="139"/>
      <c r="VRY128" s="139"/>
      <c r="VRZ128" s="139"/>
      <c r="VSA128" s="139"/>
      <c r="VSB128" s="139"/>
      <c r="VSC128" s="139"/>
      <c r="VSD128" s="139"/>
      <c r="VSE128" s="139"/>
      <c r="VSF128" s="139"/>
      <c r="VSG128" s="139"/>
      <c r="VSH128" s="139"/>
      <c r="VSI128" s="139"/>
      <c r="VSJ128" s="139"/>
      <c r="VSK128" s="139"/>
      <c r="VSL128" s="139"/>
      <c r="VSM128" s="139"/>
      <c r="VSN128" s="139"/>
      <c r="VSO128" s="139"/>
      <c r="VSP128" s="139"/>
      <c r="VSQ128" s="139"/>
      <c r="VSR128" s="139"/>
      <c r="VSS128" s="139"/>
      <c r="VST128" s="139"/>
      <c r="VSU128" s="139"/>
      <c r="VSV128" s="139"/>
      <c r="VSW128" s="139"/>
      <c r="VSX128" s="139"/>
      <c r="VSY128" s="139"/>
      <c r="VSZ128" s="139"/>
      <c r="VTA128" s="139"/>
      <c r="VTB128" s="139"/>
      <c r="VTC128" s="139"/>
      <c r="VTD128" s="139"/>
      <c r="VTE128" s="139"/>
      <c r="VTF128" s="139"/>
      <c r="VTG128" s="139"/>
      <c r="VTH128" s="139"/>
      <c r="VTI128" s="139"/>
      <c r="VTJ128" s="139"/>
      <c r="VTK128" s="139"/>
      <c r="VTL128" s="139"/>
      <c r="VTM128" s="139"/>
      <c r="VTN128" s="139"/>
      <c r="VTO128" s="139"/>
      <c r="VTP128" s="139"/>
      <c r="VTQ128" s="139"/>
      <c r="VTR128" s="139"/>
      <c r="VTS128" s="139"/>
      <c r="VTT128" s="139"/>
      <c r="VTU128" s="139"/>
      <c r="VTV128" s="139"/>
      <c r="VTW128" s="139"/>
      <c r="VTX128" s="139"/>
      <c r="VTY128" s="139"/>
      <c r="VTZ128" s="139"/>
      <c r="VUA128" s="139"/>
      <c r="VUB128" s="139"/>
      <c r="VUC128" s="139"/>
      <c r="VUD128" s="139"/>
      <c r="VUE128" s="139"/>
      <c r="VUF128" s="139"/>
      <c r="VUG128" s="139"/>
      <c r="VUH128" s="139"/>
      <c r="VUI128" s="139"/>
      <c r="VUJ128" s="139"/>
      <c r="VUK128" s="139"/>
      <c r="VUL128" s="139"/>
      <c r="VUM128" s="139"/>
      <c r="VUN128" s="139"/>
      <c r="VUO128" s="139"/>
      <c r="VUP128" s="139"/>
      <c r="VUQ128" s="139"/>
      <c r="VUR128" s="139"/>
      <c r="VUS128" s="139"/>
      <c r="VUT128" s="139"/>
      <c r="VUU128" s="139"/>
      <c r="VUV128" s="139"/>
      <c r="VUW128" s="139"/>
      <c r="VUX128" s="139"/>
      <c r="VUY128" s="139"/>
      <c r="VUZ128" s="139"/>
      <c r="VVA128" s="139"/>
      <c r="VVB128" s="139"/>
      <c r="VVC128" s="139"/>
      <c r="VVD128" s="139"/>
      <c r="VVE128" s="139"/>
      <c r="VVF128" s="139"/>
      <c r="VVG128" s="139"/>
      <c r="VVH128" s="139"/>
      <c r="VVI128" s="139"/>
      <c r="VVJ128" s="139"/>
      <c r="VVK128" s="139"/>
      <c r="VVL128" s="139"/>
      <c r="VVM128" s="139"/>
      <c r="VVN128" s="139"/>
      <c r="VVO128" s="139"/>
      <c r="VVP128" s="139"/>
      <c r="VVQ128" s="139"/>
      <c r="VVR128" s="139"/>
      <c r="VVS128" s="139"/>
      <c r="VVT128" s="139"/>
      <c r="VVU128" s="139"/>
      <c r="VVV128" s="139"/>
      <c r="VVW128" s="139"/>
      <c r="VVX128" s="139"/>
      <c r="VVY128" s="139"/>
      <c r="VVZ128" s="139"/>
      <c r="VWA128" s="139"/>
      <c r="VWB128" s="139"/>
      <c r="VWC128" s="139"/>
      <c r="VWD128" s="139"/>
      <c r="VWE128" s="139"/>
      <c r="VWF128" s="139"/>
      <c r="VWG128" s="139"/>
      <c r="VWH128" s="139"/>
      <c r="VWI128" s="139"/>
      <c r="VWJ128" s="139"/>
      <c r="VWK128" s="139"/>
      <c r="VWL128" s="139"/>
      <c r="VWM128" s="139"/>
      <c r="VWN128" s="139"/>
      <c r="VWO128" s="139"/>
      <c r="VWP128" s="139"/>
      <c r="VWQ128" s="139"/>
      <c r="VWR128" s="139"/>
      <c r="VWS128" s="139"/>
      <c r="VWT128" s="139"/>
      <c r="VWU128" s="139"/>
      <c r="VWV128" s="139"/>
      <c r="VWW128" s="139"/>
      <c r="VWX128" s="139"/>
      <c r="VWY128" s="139"/>
      <c r="VWZ128" s="139"/>
      <c r="VXA128" s="139"/>
      <c r="VXB128" s="139"/>
      <c r="VXC128" s="139"/>
      <c r="VXD128" s="139"/>
      <c r="VXE128" s="139"/>
      <c r="VXF128" s="139"/>
      <c r="VXG128" s="139"/>
      <c r="VXH128" s="139"/>
      <c r="VXI128" s="139"/>
      <c r="VXJ128" s="139"/>
      <c r="VXK128" s="139"/>
      <c r="VXL128" s="139"/>
      <c r="VXM128" s="139"/>
      <c r="VXN128" s="139"/>
      <c r="VXO128" s="139"/>
      <c r="VXP128" s="139"/>
      <c r="VXQ128" s="139"/>
      <c r="VXR128" s="139"/>
      <c r="VXS128" s="139"/>
      <c r="VXT128" s="139"/>
      <c r="VXU128" s="139"/>
      <c r="VXV128" s="139"/>
      <c r="VXW128" s="139"/>
      <c r="VXX128" s="139"/>
      <c r="VXY128" s="139"/>
      <c r="VXZ128" s="139"/>
      <c r="VYA128" s="139"/>
      <c r="VYB128" s="139"/>
      <c r="VYC128" s="139"/>
      <c r="VYD128" s="139"/>
      <c r="VYE128" s="139"/>
      <c r="VYF128" s="139"/>
      <c r="VYG128" s="139"/>
      <c r="VYH128" s="139"/>
      <c r="VYI128" s="139"/>
      <c r="VYJ128" s="139"/>
      <c r="VYK128" s="139"/>
      <c r="VYL128" s="139"/>
      <c r="VYM128" s="139"/>
      <c r="VYN128" s="139"/>
      <c r="VYO128" s="139"/>
      <c r="VYP128" s="139"/>
      <c r="VYQ128" s="139"/>
      <c r="VYR128" s="139"/>
      <c r="VYS128" s="139"/>
      <c r="VYT128" s="139"/>
      <c r="VYU128" s="139"/>
      <c r="VYV128" s="139"/>
      <c r="VYW128" s="139"/>
      <c r="VYX128" s="139"/>
      <c r="VYY128" s="139"/>
      <c r="VYZ128" s="139"/>
      <c r="VZA128" s="139"/>
      <c r="VZB128" s="139"/>
      <c r="VZC128" s="139"/>
      <c r="VZD128" s="139"/>
      <c r="VZE128" s="139"/>
      <c r="VZF128" s="139"/>
      <c r="VZG128" s="139"/>
      <c r="VZH128" s="139"/>
      <c r="VZI128" s="139"/>
      <c r="VZJ128" s="139"/>
      <c r="VZK128" s="139"/>
      <c r="VZL128" s="139"/>
      <c r="VZM128" s="139"/>
      <c r="VZN128" s="139"/>
      <c r="VZO128" s="139"/>
      <c r="VZP128" s="139"/>
      <c r="VZQ128" s="139"/>
      <c r="VZR128" s="139"/>
      <c r="VZS128" s="139"/>
      <c r="VZT128" s="139"/>
      <c r="VZU128" s="139"/>
      <c r="VZV128" s="139"/>
      <c r="VZW128" s="139"/>
      <c r="VZX128" s="139"/>
      <c r="VZY128" s="139"/>
      <c r="VZZ128" s="139"/>
      <c r="WAA128" s="139"/>
      <c r="WAB128" s="139"/>
      <c r="WAC128" s="139"/>
      <c r="WAD128" s="139"/>
      <c r="WAE128" s="139"/>
      <c r="WAF128" s="139"/>
      <c r="WAG128" s="139"/>
      <c r="WAH128" s="139"/>
      <c r="WAI128" s="139"/>
      <c r="WAJ128" s="139"/>
      <c r="WAK128" s="139"/>
      <c r="WAL128" s="139"/>
      <c r="WAM128" s="139"/>
      <c r="WAN128" s="139"/>
      <c r="WAO128" s="139"/>
      <c r="WAP128" s="139"/>
      <c r="WAQ128" s="139"/>
      <c r="WAR128" s="139"/>
      <c r="WAS128" s="139"/>
      <c r="WAT128" s="139"/>
      <c r="WAU128" s="139"/>
      <c r="WAV128" s="139"/>
      <c r="WAW128" s="139"/>
      <c r="WAX128" s="139"/>
      <c r="WAY128" s="139"/>
      <c r="WAZ128" s="139"/>
      <c r="WBA128" s="139"/>
      <c r="WBB128" s="139"/>
      <c r="WBC128" s="139"/>
      <c r="WBD128" s="139"/>
      <c r="WBE128" s="139"/>
      <c r="WBF128" s="139"/>
      <c r="WBG128" s="139"/>
      <c r="WBH128" s="139"/>
      <c r="WBI128" s="139"/>
      <c r="WBJ128" s="139"/>
      <c r="WBK128" s="139"/>
      <c r="WBL128" s="139"/>
      <c r="WBM128" s="139"/>
      <c r="WBN128" s="139"/>
      <c r="WBO128" s="139"/>
      <c r="WBP128" s="139"/>
      <c r="WBQ128" s="139"/>
      <c r="WBR128" s="139"/>
      <c r="WBS128" s="139"/>
      <c r="WBT128" s="139"/>
      <c r="WBU128" s="139"/>
      <c r="WBV128" s="139"/>
      <c r="WBW128" s="139"/>
      <c r="WBX128" s="139"/>
      <c r="WBY128" s="139"/>
      <c r="WBZ128" s="139"/>
      <c r="WCA128" s="139"/>
      <c r="WCB128" s="139"/>
      <c r="WCC128" s="139"/>
      <c r="WCD128" s="139"/>
      <c r="WCE128" s="139"/>
      <c r="WCF128" s="139"/>
      <c r="WCG128" s="139"/>
      <c r="WCH128" s="139"/>
      <c r="WCI128" s="139"/>
      <c r="WCJ128" s="139"/>
      <c r="WCK128" s="139"/>
      <c r="WCL128" s="139"/>
      <c r="WCM128" s="139"/>
      <c r="WCN128" s="139"/>
      <c r="WCO128" s="139"/>
      <c r="WCP128" s="139"/>
      <c r="WCQ128" s="139"/>
      <c r="WCR128" s="139"/>
      <c r="WCS128" s="139"/>
      <c r="WCT128" s="139"/>
      <c r="WCU128" s="139"/>
      <c r="WCV128" s="139"/>
      <c r="WCW128" s="139"/>
      <c r="WCX128" s="139"/>
      <c r="WCY128" s="139"/>
      <c r="WCZ128" s="139"/>
      <c r="WDA128" s="139"/>
      <c r="WDB128" s="139"/>
      <c r="WDC128" s="139"/>
      <c r="WDD128" s="139"/>
      <c r="WDE128" s="139"/>
      <c r="WDF128" s="139"/>
      <c r="WDG128" s="139"/>
      <c r="WDH128" s="139"/>
      <c r="WDI128" s="139"/>
      <c r="WDJ128" s="139"/>
      <c r="WDK128" s="139"/>
      <c r="WDL128" s="139"/>
      <c r="WDM128" s="139"/>
      <c r="WDN128" s="139"/>
      <c r="WDO128" s="139"/>
      <c r="WDP128" s="139"/>
      <c r="WDQ128" s="139"/>
      <c r="WDR128" s="139"/>
      <c r="WDS128" s="139"/>
      <c r="WDT128" s="139"/>
      <c r="WDU128" s="139"/>
      <c r="WDV128" s="139"/>
      <c r="WDW128" s="139"/>
      <c r="WDX128" s="139"/>
      <c r="WDY128" s="139"/>
      <c r="WDZ128" s="139"/>
      <c r="WEA128" s="139"/>
      <c r="WEB128" s="139"/>
      <c r="WEC128" s="139"/>
      <c r="WED128" s="139"/>
      <c r="WEE128" s="139"/>
      <c r="WEF128" s="139"/>
      <c r="WEG128" s="139"/>
      <c r="WEH128" s="139"/>
      <c r="WEI128" s="139"/>
      <c r="WEJ128" s="139"/>
      <c r="WEK128" s="139"/>
      <c r="WEL128" s="139"/>
      <c r="WEM128" s="139"/>
      <c r="WEN128" s="139"/>
      <c r="WEO128" s="139"/>
      <c r="WEP128" s="139"/>
      <c r="WEQ128" s="139"/>
      <c r="WER128" s="139"/>
      <c r="WES128" s="139"/>
      <c r="WET128" s="139"/>
      <c r="WEU128" s="139"/>
      <c r="WEV128" s="139"/>
      <c r="WEW128" s="139"/>
      <c r="WEX128" s="139"/>
      <c r="WEY128" s="139"/>
      <c r="WEZ128" s="139"/>
      <c r="WFA128" s="139"/>
      <c r="WFB128" s="139"/>
      <c r="WFC128" s="139"/>
      <c r="WFD128" s="139"/>
      <c r="WFE128" s="139"/>
      <c r="WFF128" s="139"/>
      <c r="WFG128" s="139"/>
      <c r="WFH128" s="139"/>
      <c r="WFI128" s="139"/>
      <c r="WFJ128" s="139"/>
      <c r="WFK128" s="139"/>
      <c r="WFL128" s="139"/>
      <c r="WFM128" s="139"/>
      <c r="WFN128" s="139"/>
      <c r="WFO128" s="139"/>
      <c r="WFP128" s="139"/>
      <c r="WFQ128" s="139"/>
      <c r="WFR128" s="139"/>
      <c r="WFS128" s="139"/>
      <c r="WFT128" s="139"/>
      <c r="WFU128" s="139"/>
      <c r="WFV128" s="139"/>
      <c r="WFW128" s="139"/>
      <c r="WFX128" s="139"/>
      <c r="WFY128" s="139"/>
      <c r="WFZ128" s="139"/>
      <c r="WGA128" s="139"/>
      <c r="WGB128" s="139"/>
      <c r="WGC128" s="139"/>
      <c r="WGD128" s="139"/>
      <c r="WGE128" s="139"/>
      <c r="WGF128" s="139"/>
      <c r="WGG128" s="139"/>
      <c r="WGH128" s="139"/>
      <c r="WGI128" s="139"/>
      <c r="WGJ128" s="139"/>
      <c r="WGK128" s="139"/>
      <c r="WGL128" s="139"/>
      <c r="WGM128" s="139"/>
      <c r="WGN128" s="139"/>
      <c r="WGO128" s="139"/>
      <c r="WGP128" s="139"/>
      <c r="WGQ128" s="139"/>
      <c r="WGR128" s="139"/>
      <c r="WGS128" s="139"/>
      <c r="WGT128" s="139"/>
      <c r="WGU128" s="139"/>
      <c r="WGV128" s="139"/>
      <c r="WGW128" s="139"/>
      <c r="WGX128" s="139"/>
      <c r="WGY128" s="139"/>
      <c r="WGZ128" s="139"/>
      <c r="WHA128" s="139"/>
      <c r="WHB128" s="139"/>
      <c r="WHC128" s="139"/>
      <c r="WHD128" s="139"/>
      <c r="WHE128" s="139"/>
      <c r="WHF128" s="139"/>
      <c r="WHG128" s="139"/>
      <c r="WHH128" s="139"/>
      <c r="WHI128" s="139"/>
      <c r="WHJ128" s="139"/>
      <c r="WHK128" s="139"/>
      <c r="WHL128" s="139"/>
      <c r="WHM128" s="139"/>
      <c r="WHN128" s="139"/>
      <c r="WHO128" s="139"/>
      <c r="WHP128" s="139"/>
      <c r="WHQ128" s="139"/>
      <c r="WHR128" s="139"/>
      <c r="WHS128" s="139"/>
      <c r="WHT128" s="139"/>
      <c r="WHU128" s="139"/>
      <c r="WHV128" s="139"/>
      <c r="WHW128" s="139"/>
      <c r="WHX128" s="139"/>
      <c r="WHY128" s="139"/>
      <c r="WHZ128" s="139"/>
      <c r="WIA128" s="139"/>
      <c r="WIB128" s="139"/>
      <c r="WIC128" s="139"/>
      <c r="WID128" s="139"/>
      <c r="WIE128" s="139"/>
      <c r="WIF128" s="139"/>
      <c r="WIG128" s="139"/>
      <c r="WIH128" s="139"/>
      <c r="WII128" s="139"/>
      <c r="WIJ128" s="139"/>
      <c r="WIK128" s="139"/>
      <c r="WIL128" s="139"/>
      <c r="WIM128" s="139"/>
      <c r="WIN128" s="139"/>
      <c r="WIO128" s="139"/>
      <c r="WIP128" s="139"/>
      <c r="WIQ128" s="139"/>
      <c r="WIR128" s="139"/>
      <c r="WIS128" s="139"/>
      <c r="WIT128" s="139"/>
      <c r="WIU128" s="139"/>
      <c r="WIV128" s="139"/>
      <c r="WIW128" s="139"/>
      <c r="WIX128" s="139"/>
      <c r="WIY128" s="139"/>
      <c r="WIZ128" s="139"/>
      <c r="WJA128" s="139"/>
      <c r="WJB128" s="139"/>
      <c r="WJC128" s="139"/>
      <c r="WJD128" s="139"/>
      <c r="WJE128" s="139"/>
      <c r="WJF128" s="139"/>
      <c r="WJG128" s="139"/>
      <c r="WJH128" s="139"/>
      <c r="WJI128" s="139"/>
      <c r="WJJ128" s="139"/>
      <c r="WJK128" s="139"/>
      <c r="WJL128" s="139"/>
      <c r="WJM128" s="139"/>
      <c r="WJN128" s="139"/>
      <c r="WJO128" s="139"/>
      <c r="WJP128" s="139"/>
      <c r="WJQ128" s="139"/>
      <c r="WJR128" s="139"/>
      <c r="WJS128" s="139"/>
      <c r="WJT128" s="139"/>
      <c r="WJU128" s="139"/>
      <c r="WJV128" s="139"/>
      <c r="WJW128" s="139"/>
      <c r="WJX128" s="139"/>
      <c r="WJY128" s="139"/>
      <c r="WJZ128" s="139"/>
      <c r="WKA128" s="139"/>
      <c r="WKB128" s="139"/>
      <c r="WKC128" s="139"/>
      <c r="WKD128" s="139"/>
      <c r="WKE128" s="139"/>
      <c r="WKF128" s="139"/>
      <c r="WKG128" s="139"/>
      <c r="WKH128" s="139"/>
      <c r="WKI128" s="139"/>
      <c r="WKJ128" s="139"/>
      <c r="WKK128" s="139"/>
      <c r="WKL128" s="139"/>
      <c r="WKM128" s="139"/>
      <c r="WKN128" s="139"/>
      <c r="WKO128" s="139"/>
      <c r="WKP128" s="139"/>
      <c r="WKQ128" s="139"/>
      <c r="WKR128" s="139"/>
      <c r="WKS128" s="139"/>
      <c r="WKT128" s="139"/>
      <c r="WKU128" s="139"/>
      <c r="WKV128" s="139"/>
      <c r="WKW128" s="139"/>
      <c r="WKX128" s="139"/>
      <c r="WKY128" s="139"/>
      <c r="WKZ128" s="139"/>
      <c r="WLA128" s="139"/>
      <c r="WLB128" s="139"/>
      <c r="WLC128" s="139"/>
      <c r="WLD128" s="139"/>
      <c r="WLE128" s="139"/>
      <c r="WLF128" s="139"/>
      <c r="WLG128" s="139"/>
      <c r="WLH128" s="139"/>
      <c r="WLI128" s="139"/>
      <c r="WLJ128" s="139"/>
      <c r="WLK128" s="139"/>
      <c r="WLL128" s="139"/>
      <c r="WLM128" s="139"/>
      <c r="WLN128" s="139"/>
      <c r="WLO128" s="139"/>
      <c r="WLP128" s="139"/>
      <c r="WLQ128" s="139"/>
      <c r="WLR128" s="139"/>
      <c r="WLS128" s="139"/>
      <c r="WLT128" s="139"/>
      <c r="WLU128" s="139"/>
      <c r="WLV128" s="139"/>
      <c r="WLW128" s="139"/>
      <c r="WLX128" s="139"/>
      <c r="WLY128" s="139"/>
      <c r="WLZ128" s="139"/>
      <c r="WMA128" s="139"/>
      <c r="WMB128" s="139"/>
      <c r="WMC128" s="139"/>
      <c r="WMD128" s="139"/>
      <c r="WME128" s="139"/>
      <c r="WMF128" s="139"/>
      <c r="WMG128" s="139"/>
      <c r="WMH128" s="139"/>
      <c r="WMI128" s="139"/>
      <c r="WMJ128" s="139"/>
      <c r="WMK128" s="139"/>
      <c r="WML128" s="139"/>
      <c r="WMM128" s="139"/>
      <c r="WMN128" s="139"/>
      <c r="WMO128" s="139"/>
      <c r="WMP128" s="139"/>
      <c r="WMQ128" s="139"/>
      <c r="WMR128" s="139"/>
      <c r="WMS128" s="139"/>
      <c r="WMT128" s="139"/>
      <c r="WMU128" s="139"/>
      <c r="WMV128" s="139"/>
      <c r="WMW128" s="139"/>
      <c r="WMX128" s="139"/>
      <c r="WMY128" s="139"/>
      <c r="WMZ128" s="139"/>
      <c r="WNA128" s="139"/>
      <c r="WNB128" s="139"/>
      <c r="WNC128" s="139"/>
      <c r="WND128" s="139"/>
      <c r="WNE128" s="139"/>
      <c r="WNF128" s="139"/>
      <c r="WNG128" s="139"/>
      <c r="WNH128" s="139"/>
      <c r="WNI128" s="139"/>
      <c r="WNJ128" s="139"/>
      <c r="WNK128" s="139"/>
      <c r="WNL128" s="139"/>
      <c r="WNM128" s="139"/>
      <c r="WNN128" s="139"/>
      <c r="WNO128" s="139"/>
      <c r="WNP128" s="139"/>
      <c r="WNQ128" s="139"/>
      <c r="WNR128" s="139"/>
      <c r="WNS128" s="139"/>
      <c r="WNT128" s="139"/>
      <c r="WNU128" s="139"/>
      <c r="WNV128" s="139"/>
      <c r="WNW128" s="139"/>
      <c r="WNX128" s="139"/>
      <c r="WNY128" s="139"/>
      <c r="WNZ128" s="139"/>
      <c r="WOA128" s="139"/>
      <c r="WOB128" s="139"/>
      <c r="WOC128" s="139"/>
      <c r="WOD128" s="139"/>
      <c r="WOE128" s="139"/>
      <c r="WOF128" s="139"/>
      <c r="WOG128" s="139"/>
      <c r="WOH128" s="139"/>
      <c r="WOI128" s="139"/>
      <c r="WOJ128" s="139"/>
      <c r="WOK128" s="139"/>
      <c r="WOL128" s="139"/>
      <c r="WOM128" s="139"/>
      <c r="WON128" s="139"/>
      <c r="WOO128" s="139"/>
      <c r="WOP128" s="139"/>
      <c r="WOQ128" s="139"/>
      <c r="WOR128" s="139"/>
      <c r="WOS128" s="139"/>
      <c r="WOT128" s="139"/>
      <c r="WOU128" s="139"/>
      <c r="WOV128" s="139"/>
      <c r="WOW128" s="139"/>
      <c r="WOX128" s="139"/>
      <c r="WOY128" s="139"/>
      <c r="WOZ128" s="139"/>
      <c r="WPA128" s="139"/>
      <c r="WPB128" s="139"/>
      <c r="WPC128" s="139"/>
      <c r="WPD128" s="139"/>
      <c r="WPE128" s="139"/>
      <c r="WPF128" s="139"/>
      <c r="WPG128" s="139"/>
      <c r="WPH128" s="139"/>
      <c r="WPI128" s="139"/>
      <c r="WPJ128" s="139"/>
      <c r="WPK128" s="139"/>
      <c r="WPL128" s="139"/>
      <c r="WPM128" s="139"/>
      <c r="WPN128" s="139"/>
      <c r="WPO128" s="139"/>
      <c r="WPP128" s="139"/>
      <c r="WPQ128" s="139"/>
      <c r="WPR128" s="139"/>
      <c r="WPS128" s="139"/>
      <c r="WPT128" s="139"/>
      <c r="WPU128" s="139"/>
      <c r="WPV128" s="139"/>
      <c r="WPW128" s="139"/>
      <c r="WPX128" s="139"/>
      <c r="WPY128" s="139"/>
      <c r="WPZ128" s="139"/>
      <c r="WQA128" s="139"/>
      <c r="WQB128" s="139"/>
      <c r="WQC128" s="139"/>
      <c r="WQD128" s="139"/>
      <c r="WQE128" s="139"/>
      <c r="WQF128" s="139"/>
      <c r="WQG128" s="139"/>
      <c r="WQH128" s="139"/>
      <c r="WQI128" s="139"/>
      <c r="WQJ128" s="139"/>
      <c r="WQK128" s="139"/>
      <c r="WQL128" s="139"/>
      <c r="WQM128" s="139"/>
      <c r="WQN128" s="139"/>
      <c r="WQO128" s="139"/>
      <c r="WQP128" s="139"/>
      <c r="WQQ128" s="139"/>
      <c r="WQR128" s="139"/>
      <c r="WQS128" s="139"/>
      <c r="WQT128" s="139"/>
      <c r="WQU128" s="139"/>
      <c r="WQV128" s="139"/>
      <c r="WQW128" s="139"/>
      <c r="WQX128" s="139"/>
      <c r="WQY128" s="139"/>
      <c r="WQZ128" s="139"/>
      <c r="WRA128" s="139"/>
      <c r="WRB128" s="139"/>
      <c r="WRC128" s="139"/>
      <c r="WRD128" s="139"/>
      <c r="WRE128" s="139"/>
      <c r="WRF128" s="139"/>
      <c r="WRG128" s="139"/>
      <c r="WRH128" s="139"/>
      <c r="WRI128" s="139"/>
      <c r="WRJ128" s="139"/>
      <c r="WRK128" s="139"/>
      <c r="WRL128" s="139"/>
      <c r="WRM128" s="139"/>
      <c r="WRN128" s="139"/>
      <c r="WRO128" s="139"/>
      <c r="WRP128" s="139"/>
      <c r="WRQ128" s="139"/>
      <c r="WRR128" s="139"/>
      <c r="WRS128" s="139"/>
      <c r="WRT128" s="139"/>
      <c r="WRU128" s="139"/>
      <c r="WRV128" s="139"/>
      <c r="WRW128" s="139"/>
      <c r="WRX128" s="139"/>
      <c r="WRY128" s="139"/>
      <c r="WRZ128" s="139"/>
      <c r="WSA128" s="139"/>
      <c r="WSB128" s="139"/>
      <c r="WSC128" s="139"/>
      <c r="WSD128" s="139"/>
      <c r="WSE128" s="139"/>
      <c r="WSF128" s="139"/>
      <c r="WSG128" s="139"/>
      <c r="WSH128" s="139"/>
      <c r="WSI128" s="139"/>
      <c r="WSJ128" s="139"/>
      <c r="WSK128" s="139"/>
      <c r="WSL128" s="139"/>
      <c r="WSM128" s="139"/>
      <c r="WSN128" s="139"/>
      <c r="WSO128" s="139"/>
      <c r="WSP128" s="139"/>
      <c r="WSQ128" s="139"/>
      <c r="WSR128" s="139"/>
      <c r="WSS128" s="139"/>
      <c r="WST128" s="139"/>
      <c r="WSU128" s="139"/>
      <c r="WSV128" s="139"/>
      <c r="WSW128" s="139"/>
      <c r="WSX128" s="139"/>
      <c r="WSY128" s="139"/>
      <c r="WSZ128" s="139"/>
      <c r="WTA128" s="139"/>
      <c r="WTB128" s="139"/>
      <c r="WTC128" s="139"/>
      <c r="WTD128" s="139"/>
      <c r="WTE128" s="139"/>
      <c r="WTF128" s="139"/>
      <c r="WTG128" s="139"/>
      <c r="WTH128" s="139"/>
      <c r="WTI128" s="139"/>
      <c r="WTJ128" s="139"/>
      <c r="WTK128" s="139"/>
      <c r="WTL128" s="139"/>
      <c r="WTM128" s="139"/>
      <c r="WTN128" s="139"/>
      <c r="WTO128" s="139"/>
      <c r="WTP128" s="139"/>
      <c r="WTQ128" s="139"/>
      <c r="WTR128" s="139"/>
      <c r="WTS128" s="139"/>
      <c r="WTT128" s="139"/>
      <c r="WTU128" s="139"/>
      <c r="WTV128" s="139"/>
      <c r="WTW128" s="139"/>
      <c r="WTX128" s="139"/>
      <c r="WTY128" s="139"/>
      <c r="WTZ128" s="139"/>
      <c r="WUA128" s="139"/>
      <c r="WUB128" s="139"/>
      <c r="WUC128" s="139"/>
      <c r="WUD128" s="139"/>
      <c r="WUE128" s="139"/>
      <c r="WUF128" s="139"/>
      <c r="WUG128" s="139"/>
      <c r="WUH128" s="139"/>
      <c r="WUI128" s="139"/>
      <c r="WUJ128" s="139"/>
      <c r="WUK128" s="139"/>
      <c r="WUL128" s="139"/>
      <c r="WUM128" s="139"/>
      <c r="WUN128" s="139"/>
      <c r="WUO128" s="139"/>
      <c r="WUP128" s="139"/>
      <c r="WUQ128" s="139"/>
      <c r="WUR128" s="139"/>
      <c r="WUS128" s="139"/>
      <c r="WUT128" s="139"/>
      <c r="WUU128" s="139"/>
      <c r="WUV128" s="139"/>
      <c r="WUW128" s="139"/>
      <c r="WUX128" s="139"/>
      <c r="WUY128" s="139"/>
      <c r="WUZ128" s="139"/>
      <c r="WVA128" s="139"/>
      <c r="WVB128" s="139"/>
      <c r="WVC128" s="139"/>
      <c r="WVD128" s="139"/>
      <c r="WVE128" s="139"/>
      <c r="WVF128" s="139"/>
      <c r="WVG128" s="139"/>
      <c r="WVH128" s="139"/>
      <c r="WVI128" s="139"/>
      <c r="WVJ128" s="139"/>
      <c r="WVK128" s="139"/>
      <c r="WVL128" s="139"/>
      <c r="WVM128" s="139"/>
      <c r="WVN128" s="139"/>
      <c r="WVO128" s="139"/>
      <c r="WVP128" s="139"/>
      <c r="WVQ128" s="139"/>
      <c r="WVR128" s="139"/>
      <c r="WVS128" s="139"/>
      <c r="WVT128" s="139"/>
      <c r="WVU128" s="139"/>
      <c r="WVV128" s="139"/>
      <c r="WVW128" s="139"/>
      <c r="WVX128" s="139"/>
      <c r="WVY128" s="139"/>
      <c r="WVZ128" s="139"/>
      <c r="WWA128" s="139"/>
      <c r="WWB128" s="139"/>
      <c r="WWC128" s="139"/>
      <c r="WWD128" s="139"/>
      <c r="WWE128" s="139"/>
      <c r="WWF128" s="139"/>
      <c r="WWG128" s="139"/>
      <c r="WWH128" s="139"/>
      <c r="WWI128" s="139"/>
      <c r="WWJ128" s="139"/>
      <c r="WWK128" s="139"/>
      <c r="WWL128" s="139"/>
      <c r="WWM128" s="139"/>
      <c r="WWN128" s="139"/>
      <c r="WWO128" s="139"/>
      <c r="WWP128" s="139"/>
      <c r="WWQ128" s="139"/>
      <c r="WWR128" s="139"/>
      <c r="WWS128" s="139"/>
      <c r="WWT128" s="139"/>
      <c r="WWU128" s="139"/>
      <c r="WWV128" s="139"/>
      <c r="WWW128" s="139"/>
      <c r="WWX128" s="139"/>
      <c r="WWY128" s="139"/>
      <c r="WWZ128" s="139"/>
      <c r="WXA128" s="139"/>
      <c r="WXB128" s="139"/>
      <c r="WXC128" s="139"/>
      <c r="WXD128" s="139"/>
      <c r="WXE128" s="139"/>
      <c r="WXF128" s="139"/>
      <c r="WXG128" s="139"/>
      <c r="WXH128" s="139"/>
      <c r="WXI128" s="139"/>
      <c r="WXJ128" s="139"/>
      <c r="WXK128" s="139"/>
      <c r="WXL128" s="139"/>
      <c r="WXM128" s="139"/>
      <c r="WXN128" s="139"/>
      <c r="WXO128" s="139"/>
      <c r="WXP128" s="139"/>
      <c r="WXQ128" s="139"/>
      <c r="WXR128" s="139"/>
      <c r="WXS128" s="139"/>
      <c r="WXT128" s="139"/>
      <c r="WXU128" s="139"/>
      <c r="WXV128" s="139"/>
      <c r="WXW128" s="139"/>
      <c r="WXX128" s="139"/>
      <c r="WXY128" s="139"/>
      <c r="WXZ128" s="139"/>
      <c r="WYA128" s="139"/>
      <c r="WYB128" s="139"/>
      <c r="WYC128" s="139"/>
      <c r="WYD128" s="139"/>
      <c r="WYE128" s="139"/>
      <c r="WYF128" s="139"/>
      <c r="WYG128" s="139"/>
      <c r="WYH128" s="139"/>
      <c r="WYI128" s="139"/>
      <c r="WYJ128" s="139"/>
      <c r="WYK128" s="139"/>
      <c r="WYL128" s="139"/>
      <c r="WYM128" s="139"/>
      <c r="WYN128" s="139"/>
      <c r="WYO128" s="139"/>
      <c r="WYP128" s="139"/>
      <c r="WYQ128" s="139"/>
      <c r="WYR128" s="139"/>
      <c r="WYS128" s="139"/>
      <c r="WYT128" s="139"/>
      <c r="WYU128" s="139"/>
      <c r="WYV128" s="139"/>
      <c r="WYW128" s="139"/>
      <c r="WYX128" s="139"/>
      <c r="WYY128" s="139"/>
      <c r="WYZ128" s="139"/>
      <c r="WZA128" s="139"/>
      <c r="WZB128" s="139"/>
      <c r="WZC128" s="139"/>
      <c r="WZD128" s="139"/>
      <c r="WZE128" s="139"/>
      <c r="WZF128" s="139"/>
      <c r="WZG128" s="139"/>
      <c r="WZH128" s="139"/>
      <c r="WZI128" s="139"/>
      <c r="WZJ128" s="139"/>
      <c r="WZK128" s="139"/>
      <c r="WZL128" s="139"/>
      <c r="WZM128" s="139"/>
      <c r="WZN128" s="139"/>
      <c r="WZO128" s="139"/>
      <c r="WZP128" s="139"/>
      <c r="WZQ128" s="139"/>
      <c r="WZR128" s="139"/>
      <c r="WZS128" s="139"/>
      <c r="WZT128" s="139"/>
      <c r="WZU128" s="139"/>
      <c r="WZV128" s="139"/>
      <c r="WZW128" s="139"/>
      <c r="WZX128" s="139"/>
      <c r="WZY128" s="139"/>
      <c r="WZZ128" s="139"/>
      <c r="XAA128" s="139"/>
      <c r="XAB128" s="139"/>
      <c r="XAC128" s="139"/>
      <c r="XAD128" s="139"/>
      <c r="XAE128" s="139"/>
      <c r="XAF128" s="139"/>
      <c r="XAG128" s="139"/>
      <c r="XAH128" s="139"/>
      <c r="XAI128" s="139"/>
      <c r="XAJ128" s="139"/>
      <c r="XAK128" s="139"/>
      <c r="XAL128" s="139"/>
      <c r="XAM128" s="139"/>
      <c r="XAN128" s="139"/>
      <c r="XAO128" s="139"/>
      <c r="XAP128" s="139"/>
      <c r="XAQ128" s="139"/>
      <c r="XAR128" s="139"/>
      <c r="XAS128" s="139"/>
      <c r="XAT128" s="139"/>
      <c r="XAU128" s="139"/>
      <c r="XAV128" s="139"/>
      <c r="XAW128" s="139"/>
      <c r="XAX128" s="139"/>
      <c r="XAY128" s="139"/>
      <c r="XAZ128" s="139"/>
      <c r="XBA128" s="139"/>
      <c r="XBB128" s="139"/>
      <c r="XBC128" s="139"/>
      <c r="XBD128" s="139"/>
      <c r="XBE128" s="139"/>
      <c r="XBF128" s="139"/>
      <c r="XBG128" s="139"/>
      <c r="XBH128" s="139"/>
      <c r="XBI128" s="139"/>
      <c r="XBJ128" s="139"/>
      <c r="XBK128" s="139"/>
      <c r="XBL128" s="139"/>
      <c r="XBM128" s="139"/>
      <c r="XBN128" s="139"/>
      <c r="XBO128" s="139"/>
      <c r="XBP128" s="139"/>
      <c r="XBQ128" s="139"/>
      <c r="XBR128" s="139"/>
      <c r="XBS128" s="139"/>
      <c r="XBT128" s="139"/>
      <c r="XBU128" s="139"/>
      <c r="XBV128" s="139"/>
      <c r="XBW128" s="139"/>
      <c r="XBX128" s="139"/>
      <c r="XBY128" s="139"/>
      <c r="XBZ128" s="139"/>
      <c r="XCA128" s="139"/>
      <c r="XCB128" s="139"/>
      <c r="XCC128" s="139"/>
      <c r="XCD128" s="139"/>
      <c r="XCE128" s="139"/>
      <c r="XCF128" s="139"/>
      <c r="XCG128" s="139"/>
      <c r="XCH128" s="139"/>
      <c r="XCI128" s="139"/>
      <c r="XCJ128" s="139"/>
      <c r="XCK128" s="139"/>
      <c r="XCL128" s="139"/>
      <c r="XCM128" s="139"/>
      <c r="XCN128" s="139"/>
      <c r="XCO128" s="139"/>
      <c r="XCP128" s="139"/>
      <c r="XCQ128" s="139"/>
      <c r="XCR128" s="139"/>
      <c r="XCS128" s="139"/>
      <c r="XCT128" s="139"/>
      <c r="XCU128" s="139"/>
      <c r="XCV128" s="139"/>
      <c r="XCW128" s="139"/>
      <c r="XCX128" s="139"/>
      <c r="XCY128" s="139"/>
      <c r="XCZ128" s="139"/>
      <c r="XDA128" s="139"/>
      <c r="XDB128" s="139"/>
      <c r="XDC128" s="139"/>
      <c r="XDD128" s="139"/>
      <c r="XDE128" s="139"/>
      <c r="XDF128" s="139"/>
      <c r="XDG128" s="139"/>
      <c r="XDH128" s="139"/>
      <c r="XDI128" s="139"/>
      <c r="XDJ128" s="139"/>
      <c r="XDK128" s="139"/>
      <c r="XDL128" s="139"/>
      <c r="XDM128" s="139"/>
      <c r="XDN128" s="139"/>
      <c r="XDO128" s="139"/>
      <c r="XDP128" s="139"/>
      <c r="XDQ128" s="139"/>
      <c r="XDR128" s="139"/>
      <c r="XDS128" s="139"/>
      <c r="XDT128" s="139"/>
      <c r="XDU128" s="139"/>
      <c r="XDV128" s="139"/>
      <c r="XDW128" s="139"/>
      <c r="XDX128" s="139"/>
      <c r="XDY128" s="139"/>
      <c r="XDZ128" s="139"/>
      <c r="XEA128" s="139"/>
      <c r="XEB128" s="139"/>
      <c r="XEC128" s="139"/>
      <c r="XED128" s="139"/>
      <c r="XEE128" s="139"/>
      <c r="XEF128" s="139"/>
      <c r="XEG128" s="139"/>
      <c r="XEH128" s="139"/>
      <c r="XEI128" s="139"/>
      <c r="XEJ128" s="139"/>
      <c r="XEK128" s="139"/>
      <c r="XEL128" s="139"/>
      <c r="XEM128" s="139"/>
      <c r="XEN128" s="139"/>
      <c r="XEO128" s="139"/>
      <c r="XEP128" s="139"/>
      <c r="XEQ128" s="139"/>
      <c r="XER128" s="139"/>
      <c r="XES128" s="139"/>
      <c r="XET128" s="139"/>
      <c r="XEU128" s="139"/>
      <c r="XEV128" s="139"/>
      <c r="XEW128" s="139"/>
      <c r="XEX128" s="139"/>
      <c r="XEY128" s="139"/>
      <c r="XEZ128" s="139"/>
      <c r="XFA128" s="139"/>
      <c r="XFB128" s="139"/>
      <c r="XFC128" s="139"/>
      <c r="XFD128" s="139"/>
    </row>
    <row r="129" spans="1:29" s="139" customFormat="1" ht="15.75">
      <c r="A129" s="138" t="s">
        <v>412</v>
      </c>
      <c r="B129" s="139" t="s">
        <v>293</v>
      </c>
      <c r="C129" s="127" t="s">
        <v>289</v>
      </c>
      <c r="D129" s="139" t="s">
        <v>254</v>
      </c>
      <c r="E129" s="139" t="s">
        <v>42</v>
      </c>
      <c r="F129" s="139">
        <v>230</v>
      </c>
      <c r="G129" s="143"/>
      <c r="H129" s="143"/>
      <c r="I129" s="143"/>
      <c r="J129" s="144"/>
      <c r="K129" s="144"/>
      <c r="L129" s="144"/>
      <c r="M129" s="123" t="s">
        <v>39</v>
      </c>
      <c r="N129" s="145"/>
      <c r="O129" s="146"/>
      <c r="P129" s="127" t="e">
        <v>#N/A</v>
      </c>
      <c r="AC129" s="140" t="s">
        <v>647</v>
      </c>
    </row>
    <row r="130" spans="1:29" ht="15.75">
      <c r="A130" s="147" t="s">
        <v>681</v>
      </c>
      <c r="C130" s="127" t="s">
        <v>707</v>
      </c>
      <c r="E130" s="127" t="s">
        <v>42</v>
      </c>
      <c r="F130" s="127">
        <v>230</v>
      </c>
      <c r="G130" s="128"/>
      <c r="H130" s="124"/>
      <c r="I130" s="148"/>
      <c r="J130" s="129"/>
      <c r="K130" s="129"/>
      <c r="L130" s="129"/>
      <c r="M130" s="105" t="s">
        <v>39</v>
      </c>
      <c r="N130" s="131"/>
      <c r="O130" s="132"/>
    </row>
    <row r="131" spans="1:29" ht="15.75">
      <c r="A131" s="147" t="s">
        <v>682</v>
      </c>
      <c r="C131" s="127" t="s">
        <v>708</v>
      </c>
      <c r="E131" s="127" t="s">
        <v>121</v>
      </c>
      <c r="F131" s="127">
        <v>100</v>
      </c>
      <c r="G131" s="128"/>
      <c r="H131" s="104" t="s">
        <v>39</v>
      </c>
      <c r="I131" s="104"/>
      <c r="J131" s="110"/>
      <c r="K131" s="109" t="s">
        <v>39</v>
      </c>
      <c r="L131" s="109"/>
      <c r="M131" s="105"/>
      <c r="N131" s="120" t="s">
        <v>39</v>
      </c>
      <c r="O131" s="132"/>
    </row>
    <row r="132" spans="1:29" ht="15.75">
      <c r="A132" s="147" t="s">
        <v>683</v>
      </c>
      <c r="C132" s="127" t="s">
        <v>709</v>
      </c>
      <c r="E132" s="127" t="s">
        <v>121</v>
      </c>
      <c r="F132" s="127">
        <v>100</v>
      </c>
      <c r="G132" s="128"/>
      <c r="H132" s="104" t="s">
        <v>39</v>
      </c>
      <c r="I132" s="104"/>
      <c r="J132" s="109"/>
      <c r="K132" s="109" t="s">
        <v>39</v>
      </c>
      <c r="L132" s="109"/>
      <c r="M132" s="105"/>
      <c r="N132" s="120" t="s">
        <v>39</v>
      </c>
      <c r="O132" s="116" t="s">
        <v>39</v>
      </c>
    </row>
    <row r="133" spans="1:29" ht="15.75">
      <c r="A133" s="147" t="s">
        <v>684</v>
      </c>
      <c r="C133" s="127" t="s">
        <v>710</v>
      </c>
      <c r="E133" s="127" t="s">
        <v>72</v>
      </c>
      <c r="F133" s="127">
        <v>120</v>
      </c>
      <c r="G133" s="128"/>
      <c r="H133" s="128"/>
      <c r="I133" s="128"/>
      <c r="J133" s="129"/>
      <c r="K133" s="129"/>
      <c r="L133" s="129"/>
      <c r="M133" s="105" t="s">
        <v>39</v>
      </c>
      <c r="N133" s="131"/>
      <c r="O133" s="132"/>
    </row>
    <row r="134" spans="1:29" ht="15.75">
      <c r="A134" s="147" t="s">
        <v>685</v>
      </c>
      <c r="C134" s="127" t="s">
        <v>711</v>
      </c>
      <c r="E134" s="127" t="s">
        <v>46</v>
      </c>
      <c r="F134" s="127">
        <v>230</v>
      </c>
      <c r="G134" s="128"/>
      <c r="H134" s="128"/>
      <c r="I134" s="128"/>
      <c r="J134" s="129"/>
      <c r="K134" s="129"/>
      <c r="L134" s="129"/>
      <c r="M134" s="105" t="s">
        <v>39</v>
      </c>
      <c r="N134" s="131"/>
      <c r="O134" s="132"/>
    </row>
    <row r="135" spans="1:29" ht="15.75">
      <c r="A135" s="147" t="s">
        <v>686</v>
      </c>
      <c r="C135" s="127" t="s">
        <v>712</v>
      </c>
      <c r="E135" s="127" t="s">
        <v>41</v>
      </c>
      <c r="F135" s="127">
        <v>220</v>
      </c>
      <c r="G135" s="128"/>
      <c r="H135" s="128"/>
      <c r="I135" s="128"/>
      <c r="J135" s="129"/>
      <c r="K135" s="129"/>
      <c r="L135" s="129"/>
      <c r="M135" s="105" t="s">
        <v>39</v>
      </c>
      <c r="N135" s="120" t="s">
        <v>39</v>
      </c>
      <c r="O135" s="132"/>
    </row>
    <row r="136" spans="1:29" ht="15.75">
      <c r="A136" s="147" t="s">
        <v>687</v>
      </c>
      <c r="C136" s="127" t="s">
        <v>713</v>
      </c>
      <c r="E136" s="127" t="s">
        <v>45</v>
      </c>
      <c r="F136" s="127">
        <v>220</v>
      </c>
      <c r="G136" s="128"/>
      <c r="H136" s="128"/>
      <c r="I136" s="128"/>
      <c r="J136" s="129"/>
      <c r="K136" s="129"/>
      <c r="L136" s="129"/>
      <c r="M136" s="105" t="s">
        <v>39</v>
      </c>
      <c r="N136" s="131"/>
      <c r="O136" s="132"/>
    </row>
    <row r="137" spans="1:29" ht="15.75">
      <c r="A137" s="147" t="s">
        <v>688</v>
      </c>
      <c r="C137" s="127" t="s">
        <v>714</v>
      </c>
      <c r="E137" s="127" t="s">
        <v>42</v>
      </c>
      <c r="F137" s="127">
        <v>230</v>
      </c>
      <c r="G137" s="128"/>
      <c r="H137" s="128"/>
      <c r="I137" s="128"/>
      <c r="J137" s="129"/>
      <c r="K137" s="129"/>
      <c r="L137" s="129"/>
      <c r="M137" s="105" t="s">
        <v>39</v>
      </c>
      <c r="N137" s="131"/>
      <c r="O137" s="132"/>
    </row>
    <row r="138" spans="1:29" ht="15.75">
      <c r="A138" s="147" t="s">
        <v>689</v>
      </c>
      <c r="C138" s="127" t="s">
        <v>715</v>
      </c>
      <c r="E138" s="127" t="s">
        <v>121</v>
      </c>
      <c r="F138" s="127">
        <v>100</v>
      </c>
      <c r="G138" s="128"/>
      <c r="H138" s="104"/>
      <c r="I138" s="104" t="s">
        <v>39</v>
      </c>
      <c r="J138" s="110"/>
      <c r="K138" s="109"/>
      <c r="L138" s="109" t="s">
        <v>39</v>
      </c>
      <c r="M138" s="105"/>
      <c r="N138" s="120" t="s">
        <v>39</v>
      </c>
      <c r="O138" s="132"/>
    </row>
    <row r="139" spans="1:29" ht="15.75">
      <c r="A139" s="147" t="s">
        <v>690</v>
      </c>
      <c r="C139" s="127" t="s">
        <v>716</v>
      </c>
      <c r="E139" s="127" t="s">
        <v>121</v>
      </c>
      <c r="F139" s="127">
        <v>100</v>
      </c>
      <c r="G139" s="128"/>
      <c r="H139" s="104"/>
      <c r="I139" s="104" t="s">
        <v>39</v>
      </c>
      <c r="J139" s="110"/>
      <c r="K139" s="109"/>
      <c r="L139" s="109" t="s">
        <v>39</v>
      </c>
      <c r="M139" s="105"/>
      <c r="N139" s="120" t="s">
        <v>39</v>
      </c>
      <c r="O139" s="116" t="s">
        <v>39</v>
      </c>
    </row>
    <row r="140" spans="1:29" ht="15.75">
      <c r="A140" s="147" t="s">
        <v>691</v>
      </c>
      <c r="C140" s="127" t="s">
        <v>717</v>
      </c>
      <c r="E140" s="127" t="s">
        <v>72</v>
      </c>
      <c r="F140" s="127">
        <v>230</v>
      </c>
      <c r="G140" s="128"/>
      <c r="H140" s="128"/>
      <c r="I140" s="128"/>
      <c r="J140" s="129"/>
      <c r="K140" s="129"/>
      <c r="L140" s="129"/>
      <c r="M140" s="105" t="s">
        <v>39</v>
      </c>
      <c r="N140" s="131"/>
      <c r="O140" s="132"/>
    </row>
    <row r="141" spans="1:29" ht="15.75">
      <c r="A141" s="147" t="s">
        <v>692</v>
      </c>
      <c r="C141" s="127" t="s">
        <v>718</v>
      </c>
      <c r="E141" s="127" t="s">
        <v>46</v>
      </c>
      <c r="F141" s="127">
        <v>230</v>
      </c>
      <c r="G141" s="128"/>
      <c r="H141" s="128"/>
      <c r="I141" s="128"/>
      <c r="J141" s="129"/>
      <c r="K141" s="129"/>
      <c r="L141" s="129"/>
      <c r="M141" s="105" t="s">
        <v>39</v>
      </c>
      <c r="N141" s="131"/>
      <c r="O141" s="132"/>
    </row>
    <row r="142" spans="1:29" ht="15.75">
      <c r="A142" s="147" t="s">
        <v>693</v>
      </c>
      <c r="C142" s="127" t="s">
        <v>719</v>
      </c>
      <c r="E142" s="127" t="s">
        <v>41</v>
      </c>
      <c r="F142" s="127">
        <v>220</v>
      </c>
      <c r="G142" s="128"/>
      <c r="H142" s="128"/>
      <c r="I142" s="128"/>
      <c r="J142" s="129"/>
      <c r="K142" s="129"/>
      <c r="L142" s="129"/>
      <c r="M142" s="105" t="s">
        <v>39</v>
      </c>
      <c r="N142" s="120" t="s">
        <v>39</v>
      </c>
      <c r="O142" s="132"/>
    </row>
    <row r="143" spans="1:29" ht="15.75">
      <c r="A143" s="147" t="s">
        <v>694</v>
      </c>
      <c r="C143" s="127" t="s">
        <v>720</v>
      </c>
      <c r="E143" s="127" t="s">
        <v>45</v>
      </c>
      <c r="F143" s="127">
        <v>220</v>
      </c>
      <c r="G143" s="128"/>
      <c r="H143" s="128"/>
      <c r="I143" s="128"/>
      <c r="J143" s="129"/>
      <c r="K143" s="129"/>
      <c r="L143" s="129"/>
      <c r="M143" s="105" t="s">
        <v>39</v>
      </c>
      <c r="N143" s="120" t="s">
        <v>39</v>
      </c>
      <c r="O143" s="132"/>
    </row>
    <row r="144" spans="1:29" ht="15.75">
      <c r="A144" s="147" t="s">
        <v>695</v>
      </c>
      <c r="C144" s="127" t="s">
        <v>721</v>
      </c>
      <c r="E144" s="127" t="s">
        <v>42</v>
      </c>
      <c r="F144" s="127">
        <v>230</v>
      </c>
      <c r="G144" s="128"/>
      <c r="H144" s="128"/>
      <c r="I144" s="128"/>
      <c r="J144" s="129"/>
      <c r="K144" s="129"/>
      <c r="L144" s="129"/>
      <c r="M144" s="105" t="s">
        <v>39</v>
      </c>
      <c r="N144" s="131"/>
      <c r="O144" s="132"/>
    </row>
    <row r="145" spans="1:15" ht="15.75">
      <c r="A145" s="147" t="s">
        <v>696</v>
      </c>
      <c r="C145" s="127" t="s">
        <v>722</v>
      </c>
      <c r="E145" s="127" t="s">
        <v>121</v>
      </c>
      <c r="F145" s="127">
        <v>100</v>
      </c>
      <c r="G145" s="128"/>
      <c r="H145" s="104"/>
      <c r="I145" s="104" t="s">
        <v>39</v>
      </c>
      <c r="J145" s="110"/>
      <c r="K145" s="109"/>
      <c r="L145" s="109" t="s">
        <v>39</v>
      </c>
      <c r="M145" s="105"/>
      <c r="N145" s="120" t="s">
        <v>39</v>
      </c>
      <c r="O145" s="132"/>
    </row>
    <row r="146" spans="1:15" ht="15.75">
      <c r="A146" s="147" t="s">
        <v>697</v>
      </c>
      <c r="C146" s="127" t="s">
        <v>723</v>
      </c>
      <c r="E146" s="127" t="s">
        <v>121</v>
      </c>
      <c r="F146" s="127">
        <v>100</v>
      </c>
      <c r="G146" s="128"/>
      <c r="H146" s="104"/>
      <c r="I146" s="104" t="s">
        <v>39</v>
      </c>
      <c r="J146" s="110"/>
      <c r="K146" s="109"/>
      <c r="L146" s="109" t="s">
        <v>39</v>
      </c>
      <c r="M146" s="105"/>
      <c r="N146" s="120" t="s">
        <v>39</v>
      </c>
      <c r="O146" s="116" t="s">
        <v>39</v>
      </c>
    </row>
    <row r="147" spans="1:15" ht="15.75">
      <c r="A147" s="147" t="s">
        <v>698</v>
      </c>
      <c r="C147" s="127" t="s">
        <v>724</v>
      </c>
      <c r="E147" s="127" t="s">
        <v>72</v>
      </c>
      <c r="F147" s="127">
        <v>120</v>
      </c>
      <c r="G147" s="128"/>
      <c r="H147" s="104"/>
      <c r="I147" s="104" t="s">
        <v>39</v>
      </c>
      <c r="J147" s="109"/>
      <c r="K147" s="109"/>
      <c r="L147" s="109" t="s">
        <v>39</v>
      </c>
      <c r="M147" s="105"/>
      <c r="N147" s="131"/>
      <c r="O147" s="132"/>
    </row>
    <row r="148" spans="1:15" ht="15.75">
      <c r="A148" s="147" t="s">
        <v>699</v>
      </c>
      <c r="C148" s="127" t="s">
        <v>725</v>
      </c>
      <c r="E148" s="127" t="s">
        <v>46</v>
      </c>
      <c r="F148" s="127">
        <v>230</v>
      </c>
      <c r="G148" s="128"/>
      <c r="H148" s="128"/>
      <c r="I148" s="104" t="s">
        <v>39</v>
      </c>
      <c r="J148" s="110"/>
      <c r="K148" s="129"/>
      <c r="L148" s="109" t="s">
        <v>39</v>
      </c>
      <c r="M148" s="130"/>
      <c r="N148" s="131"/>
      <c r="O148" s="132"/>
    </row>
    <row r="149" spans="1:15" ht="15.75">
      <c r="A149" s="147" t="s">
        <v>700</v>
      </c>
      <c r="C149" s="127" t="s">
        <v>726</v>
      </c>
      <c r="E149" s="127" t="s">
        <v>41</v>
      </c>
      <c r="F149" s="127">
        <v>220</v>
      </c>
      <c r="G149" s="128"/>
      <c r="H149" s="128"/>
      <c r="I149" s="128"/>
      <c r="J149" s="129"/>
      <c r="K149" s="129"/>
      <c r="L149" s="129"/>
      <c r="M149" s="105" t="s">
        <v>39</v>
      </c>
      <c r="N149" s="120" t="s">
        <v>39</v>
      </c>
      <c r="O149" s="132"/>
    </row>
    <row r="150" spans="1:15" ht="15.75">
      <c r="A150" s="147" t="s">
        <v>701</v>
      </c>
      <c r="C150" s="127" t="s">
        <v>727</v>
      </c>
      <c r="E150" s="127" t="s">
        <v>45</v>
      </c>
      <c r="F150" s="127">
        <v>220</v>
      </c>
      <c r="G150" s="128"/>
      <c r="H150" s="128"/>
      <c r="I150" s="128"/>
      <c r="J150" s="129"/>
      <c r="K150" s="129"/>
      <c r="L150" s="129"/>
      <c r="M150" s="105" t="s">
        <v>39</v>
      </c>
      <c r="N150" s="120" t="s">
        <v>39</v>
      </c>
      <c r="O150" s="132"/>
    </row>
    <row r="151" spans="1:15" ht="15.75">
      <c r="A151" s="147" t="s">
        <v>702</v>
      </c>
      <c r="C151" s="127" t="s">
        <v>728</v>
      </c>
      <c r="E151" s="127" t="s">
        <v>42</v>
      </c>
      <c r="F151" s="127">
        <v>230</v>
      </c>
      <c r="G151" s="128"/>
      <c r="H151" s="128"/>
      <c r="I151" s="128"/>
      <c r="J151" s="129"/>
      <c r="K151" s="129"/>
      <c r="L151" s="129"/>
      <c r="M151" s="105" t="s">
        <v>39</v>
      </c>
      <c r="N151" s="131"/>
      <c r="O151" s="132"/>
    </row>
    <row r="152" spans="1:15" ht="15.75">
      <c r="A152" s="147" t="s">
        <v>703</v>
      </c>
      <c r="C152" s="127" t="s">
        <v>729</v>
      </c>
      <c r="E152" s="127" t="s">
        <v>72</v>
      </c>
      <c r="F152" s="127">
        <v>120</v>
      </c>
      <c r="G152" s="128"/>
      <c r="H152" s="104"/>
      <c r="I152" s="104" t="s">
        <v>39</v>
      </c>
      <c r="J152" s="110"/>
      <c r="K152" s="109"/>
      <c r="L152" s="109" t="s">
        <v>39</v>
      </c>
      <c r="M152" s="105"/>
      <c r="N152" s="131"/>
      <c r="O152" s="132"/>
    </row>
    <row r="153" spans="1:15" ht="15.75">
      <c r="A153" s="147" t="s">
        <v>704</v>
      </c>
      <c r="C153" s="127" t="s">
        <v>730</v>
      </c>
      <c r="E153" s="127" t="s">
        <v>46</v>
      </c>
      <c r="F153" s="127">
        <v>230</v>
      </c>
      <c r="G153" s="128"/>
      <c r="H153" s="104"/>
      <c r="I153" s="104" t="s">
        <v>39</v>
      </c>
      <c r="J153" s="110"/>
      <c r="K153" s="109"/>
      <c r="L153" s="109" t="s">
        <v>39</v>
      </c>
      <c r="M153" s="105"/>
      <c r="N153" s="131"/>
      <c r="O153" s="132"/>
    </row>
    <row r="154" spans="1:15" ht="15.75">
      <c r="A154" s="147" t="s">
        <v>705</v>
      </c>
      <c r="C154" s="127" t="s">
        <v>731</v>
      </c>
      <c r="E154" s="127" t="s">
        <v>733</v>
      </c>
      <c r="F154" s="127">
        <v>220</v>
      </c>
      <c r="G154" s="128"/>
      <c r="H154" s="128"/>
      <c r="I154" s="128"/>
      <c r="J154" s="129"/>
      <c r="K154" s="129"/>
      <c r="L154" s="129"/>
      <c r="M154" s="105" t="s">
        <v>39</v>
      </c>
      <c r="N154" s="120" t="s">
        <v>39</v>
      </c>
      <c r="O154" s="132"/>
    </row>
    <row r="155" spans="1:15" ht="15.75">
      <c r="A155" s="126" t="s">
        <v>706</v>
      </c>
      <c r="C155" s="127" t="s">
        <v>732</v>
      </c>
      <c r="E155" s="127" t="s">
        <v>45</v>
      </c>
      <c r="F155" s="127">
        <v>220</v>
      </c>
      <c r="G155" s="128"/>
      <c r="H155" s="128"/>
      <c r="I155" s="128"/>
      <c r="J155" s="129"/>
      <c r="K155" s="129"/>
      <c r="L155" s="129"/>
      <c r="M155" s="105" t="s">
        <v>39</v>
      </c>
      <c r="N155" s="120" t="s">
        <v>39</v>
      </c>
      <c r="O155" s="132"/>
    </row>
  </sheetData>
  <mergeCells count="3">
    <mergeCell ref="G2:O2"/>
    <mergeCell ref="G3:I3"/>
    <mergeCell ref="J3:L3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1265" r:id="rId4" name="P_CLOSE_PDB">
          <controlPr defaultSize="0" autoLine="0" r:id="rId5">
            <anchor moveWithCells="1">
              <from>
                <xdr:col>1</xdr:col>
                <xdr:colOff>66675</xdr:colOff>
                <xdr:row>0</xdr:row>
                <xdr:rowOff>47625</xdr:rowOff>
              </from>
              <to>
                <xdr:col>1</xdr:col>
                <xdr:colOff>952500</xdr:colOff>
                <xdr:row>0</xdr:row>
                <xdr:rowOff>933450</xdr:rowOff>
              </to>
            </anchor>
          </controlPr>
        </control>
      </mc:Choice>
      <mc:Fallback>
        <control shapeId="11265" r:id="rId4" name="P_CLOSE_PDB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_db_c">
    <tabColor theme="0" tint="-0.14999847407452621"/>
  </sheetPr>
  <dimension ref="A1:W269"/>
  <sheetViews>
    <sheetView zoomScale="70" zoomScaleNormal="70" workbookViewId="0">
      <pane xSplit="8" ySplit="8" topLeftCell="I9" activePane="bottomRight" state="frozen"/>
      <selection pane="topRight" activeCell="I1" sqref="I1"/>
      <selection pane="bottomLeft" activeCell="A9" sqref="A9"/>
      <selection pane="bottomRight" activeCell="D16" sqref="D16"/>
    </sheetView>
  </sheetViews>
  <sheetFormatPr defaultRowHeight="22.5" customHeight="1"/>
  <cols>
    <col min="1" max="1" width="6.140625" style="154" customWidth="1"/>
    <col min="2" max="2" width="20.28515625" style="155" customWidth="1"/>
    <col min="3" max="3" width="43.5703125" style="156" customWidth="1"/>
    <col min="4" max="4" width="25.140625" style="155" customWidth="1"/>
    <col min="5" max="5" width="17.42578125" style="155" customWidth="1"/>
    <col min="6" max="6" width="12.42578125" style="155" customWidth="1"/>
    <col min="7" max="7" width="17.140625" style="157" customWidth="1"/>
    <col min="8" max="9" width="17.140625" style="155" customWidth="1"/>
    <col min="10" max="10" width="10.7109375" style="155" customWidth="1"/>
    <col min="11" max="11" width="17.140625" style="157" customWidth="1"/>
    <col min="12" max="18" width="10.7109375" style="155" customWidth="1"/>
    <col min="19" max="19" width="16.7109375" style="158" customWidth="1"/>
    <col min="20" max="20" width="18" style="158" customWidth="1"/>
    <col min="21" max="21" width="16.7109375" style="155" customWidth="1"/>
    <col min="22" max="22" width="14.140625" style="155" customWidth="1"/>
    <col min="23" max="23" width="16.140625" style="155" customWidth="1"/>
    <col min="24" max="16384" width="9.140625" style="155"/>
  </cols>
  <sheetData>
    <row r="1" spans="1:23" ht="115.5" customHeight="1" thickBot="1">
      <c r="B1" s="155">
        <v>1</v>
      </c>
      <c r="C1" s="156">
        <v>2</v>
      </c>
      <c r="D1" s="155">
        <v>3</v>
      </c>
      <c r="E1" s="155">
        <v>4</v>
      </c>
      <c r="F1" s="155">
        <v>5</v>
      </c>
      <c r="G1" s="157">
        <v>6</v>
      </c>
      <c r="H1" s="155">
        <v>7</v>
      </c>
      <c r="I1" s="155">
        <v>8</v>
      </c>
      <c r="J1" s="155">
        <v>9</v>
      </c>
      <c r="K1" s="157">
        <v>10</v>
      </c>
      <c r="L1" s="155">
        <v>11</v>
      </c>
      <c r="M1" s="155">
        <v>12</v>
      </c>
      <c r="N1" s="155">
        <v>13</v>
      </c>
      <c r="O1" s="155">
        <v>14</v>
      </c>
      <c r="P1" s="155">
        <v>15</v>
      </c>
      <c r="Q1" s="155">
        <v>16</v>
      </c>
      <c r="R1" s="155">
        <v>17</v>
      </c>
      <c r="V1" s="155" t="s">
        <v>748</v>
      </c>
      <c r="W1" s="156" t="s">
        <v>749</v>
      </c>
    </row>
    <row r="2" spans="1:23" s="169" customFormat="1" ht="22.5" customHeight="1">
      <c r="A2" s="159"/>
      <c r="B2" s="160" t="s">
        <v>32</v>
      </c>
      <c r="C2" s="161" t="s">
        <v>33</v>
      </c>
      <c r="D2" s="161" t="s">
        <v>34</v>
      </c>
      <c r="E2" s="160" t="s">
        <v>5</v>
      </c>
      <c r="F2" s="162" t="s">
        <v>35</v>
      </c>
      <c r="G2" s="163" t="s">
        <v>7</v>
      </c>
      <c r="H2" s="164" t="s">
        <v>1216</v>
      </c>
      <c r="I2" s="165" t="s">
        <v>37</v>
      </c>
      <c r="J2" s="166" t="s">
        <v>750</v>
      </c>
      <c r="K2" s="167" t="s">
        <v>6</v>
      </c>
      <c r="L2" s="164" t="s">
        <v>1216</v>
      </c>
      <c r="M2" s="160" t="s">
        <v>37</v>
      </c>
      <c r="N2" s="160" t="s">
        <v>38</v>
      </c>
      <c r="O2" s="160" t="s">
        <v>751</v>
      </c>
      <c r="P2" s="160" t="s">
        <v>752</v>
      </c>
      <c r="Q2" s="160" t="s">
        <v>753</v>
      </c>
      <c r="R2" s="160" t="s">
        <v>754</v>
      </c>
      <c r="S2" s="168" t="s">
        <v>755</v>
      </c>
      <c r="T2" s="168" t="s">
        <v>756</v>
      </c>
      <c r="U2" s="169" t="s">
        <v>757</v>
      </c>
      <c r="W2" s="169" t="s">
        <v>758</v>
      </c>
    </row>
    <row r="3" spans="1:23" ht="22.5" customHeight="1">
      <c r="A3" s="170">
        <v>1</v>
      </c>
      <c r="B3" s="171" t="s">
        <v>759</v>
      </c>
      <c r="C3" s="171" t="s">
        <v>760</v>
      </c>
      <c r="D3" s="172" t="s">
        <v>761</v>
      </c>
      <c r="E3" s="173" t="s">
        <v>762</v>
      </c>
      <c r="F3" s="174">
        <v>100</v>
      </c>
      <c r="G3" s="175"/>
      <c r="H3" s="176"/>
      <c r="I3" s="177"/>
      <c r="J3" s="178"/>
      <c r="K3" s="179" t="s">
        <v>39</v>
      </c>
      <c r="L3" s="176"/>
      <c r="M3" s="176"/>
      <c r="N3" s="176"/>
      <c r="O3" s="180"/>
      <c r="P3" s="181" t="s">
        <v>39</v>
      </c>
      <c r="Q3" s="181" t="s">
        <v>39</v>
      </c>
      <c r="R3" s="181"/>
    </row>
    <row r="4" spans="1:23" ht="22.5" customHeight="1">
      <c r="A4" s="155"/>
      <c r="B4" s="182" t="s">
        <v>763</v>
      </c>
      <c r="C4" s="182" t="s">
        <v>764</v>
      </c>
      <c r="D4" s="183" t="s">
        <v>761</v>
      </c>
      <c r="E4" s="184" t="s">
        <v>762</v>
      </c>
      <c r="F4" s="184">
        <v>100</v>
      </c>
      <c r="G4" s="185"/>
      <c r="H4" s="184"/>
      <c r="I4" s="184"/>
      <c r="J4" s="184"/>
      <c r="K4" s="179" t="s">
        <v>39</v>
      </c>
      <c r="L4" s="184"/>
      <c r="M4" s="184"/>
      <c r="N4" s="184"/>
      <c r="O4" s="186"/>
      <c r="P4" s="186"/>
      <c r="Q4" s="187"/>
      <c r="R4" s="187"/>
    </row>
    <row r="5" spans="1:23" s="188" customFormat="1" ht="22.5" customHeight="1">
      <c r="B5" s="189" t="s">
        <v>765</v>
      </c>
      <c r="C5" s="189" t="s">
        <v>766</v>
      </c>
      <c r="D5" s="190" t="s">
        <v>767</v>
      </c>
      <c r="E5" s="184" t="s">
        <v>762</v>
      </c>
      <c r="F5" s="184">
        <v>100</v>
      </c>
      <c r="G5" s="185"/>
      <c r="H5" s="184"/>
      <c r="I5" s="184"/>
      <c r="J5" s="184"/>
      <c r="K5" s="179" t="s">
        <v>39</v>
      </c>
      <c r="L5" s="184"/>
      <c r="M5" s="184"/>
      <c r="N5" s="184"/>
      <c r="O5" s="184"/>
      <c r="P5" s="187" t="s">
        <v>39</v>
      </c>
      <c r="Q5" s="187" t="s">
        <v>39</v>
      </c>
      <c r="R5" s="187"/>
      <c r="S5" s="191" t="s">
        <v>759</v>
      </c>
      <c r="T5" s="191" t="s">
        <v>759</v>
      </c>
      <c r="U5" s="192">
        <v>143030</v>
      </c>
      <c r="V5" s="192">
        <v>30000</v>
      </c>
      <c r="W5" s="192">
        <v>173030</v>
      </c>
    </row>
    <row r="6" spans="1:23" ht="22.5" customHeight="1">
      <c r="A6" s="170">
        <v>2</v>
      </c>
      <c r="B6" s="182" t="s">
        <v>768</v>
      </c>
      <c r="C6" s="182" t="s">
        <v>769</v>
      </c>
      <c r="D6" s="183" t="s">
        <v>761</v>
      </c>
      <c r="E6" s="184" t="s">
        <v>40</v>
      </c>
      <c r="F6" s="193">
        <v>230</v>
      </c>
      <c r="G6" s="194"/>
      <c r="H6" s="184"/>
      <c r="I6" s="195"/>
      <c r="J6" s="178"/>
      <c r="K6" s="179" t="s">
        <v>39</v>
      </c>
      <c r="L6" s="184"/>
      <c r="M6" s="184"/>
      <c r="N6" s="184"/>
      <c r="O6" s="186"/>
      <c r="P6" s="187" t="s">
        <v>39</v>
      </c>
      <c r="Q6" s="187"/>
      <c r="R6" s="187" t="s">
        <v>39</v>
      </c>
    </row>
    <row r="7" spans="1:23" ht="22.5" customHeight="1">
      <c r="A7" s="155"/>
      <c r="B7" s="182" t="s">
        <v>770</v>
      </c>
      <c r="C7" s="182" t="s">
        <v>771</v>
      </c>
      <c r="D7" s="183" t="s">
        <v>761</v>
      </c>
      <c r="E7" s="184" t="s">
        <v>40</v>
      </c>
      <c r="F7" s="184">
        <v>230</v>
      </c>
      <c r="G7" s="185"/>
      <c r="H7" s="184"/>
      <c r="I7" s="184"/>
      <c r="J7" s="184"/>
      <c r="K7" s="179" t="s">
        <v>39</v>
      </c>
      <c r="L7" s="184"/>
      <c r="M7" s="184"/>
      <c r="N7" s="184"/>
      <c r="O7" s="186"/>
      <c r="P7" s="186"/>
      <c r="Q7" s="187"/>
      <c r="R7" s="187"/>
    </row>
    <row r="8" spans="1:23" ht="22.5" customHeight="1">
      <c r="A8" s="155"/>
      <c r="B8" s="196" t="s">
        <v>772</v>
      </c>
      <c r="C8" s="196" t="s">
        <v>773</v>
      </c>
      <c r="D8" s="183" t="s">
        <v>761</v>
      </c>
      <c r="E8" s="184" t="s">
        <v>40</v>
      </c>
      <c r="F8" s="184">
        <v>230</v>
      </c>
      <c r="G8" s="185"/>
      <c r="H8" s="184"/>
      <c r="I8" s="184"/>
      <c r="J8" s="184"/>
      <c r="K8" s="179" t="s">
        <v>39</v>
      </c>
      <c r="L8" s="184"/>
      <c r="M8" s="184"/>
      <c r="N8" s="184"/>
      <c r="O8" s="184"/>
      <c r="P8" s="184"/>
      <c r="Q8" s="187"/>
      <c r="R8" s="187"/>
    </row>
    <row r="9" spans="1:23" ht="22.5" customHeight="1">
      <c r="A9" s="155"/>
      <c r="B9" s="196" t="s">
        <v>774</v>
      </c>
      <c r="C9" s="196" t="s">
        <v>771</v>
      </c>
      <c r="D9" s="183" t="s">
        <v>761</v>
      </c>
      <c r="E9" s="184" t="s">
        <v>40</v>
      </c>
      <c r="F9" s="184">
        <v>230</v>
      </c>
      <c r="G9" s="185"/>
      <c r="H9" s="184"/>
      <c r="I9" s="184"/>
      <c r="J9" s="184"/>
      <c r="K9" s="179" t="s">
        <v>39</v>
      </c>
      <c r="L9" s="184"/>
      <c r="M9" s="184"/>
      <c r="N9" s="184"/>
      <c r="O9" s="184"/>
      <c r="P9" s="184"/>
      <c r="Q9" s="187"/>
      <c r="R9" s="187"/>
    </row>
    <row r="10" spans="1:23" ht="22.5" customHeight="1">
      <c r="A10" s="170">
        <v>3</v>
      </c>
      <c r="B10" s="182" t="s">
        <v>775</v>
      </c>
      <c r="C10" s="182" t="s">
        <v>776</v>
      </c>
      <c r="D10" s="183" t="s">
        <v>761</v>
      </c>
      <c r="E10" s="184" t="s">
        <v>41</v>
      </c>
      <c r="F10" s="193">
        <v>220</v>
      </c>
      <c r="G10" s="194"/>
      <c r="H10" s="184"/>
      <c r="I10" s="195"/>
      <c r="J10" s="178"/>
      <c r="K10" s="179" t="s">
        <v>39</v>
      </c>
      <c r="L10" s="184"/>
      <c r="M10" s="184"/>
      <c r="N10" s="184"/>
      <c r="O10" s="186"/>
      <c r="P10" s="187" t="s">
        <v>39</v>
      </c>
      <c r="Q10" s="187" t="s">
        <v>39</v>
      </c>
      <c r="R10" s="187"/>
    </row>
    <row r="11" spans="1:23" ht="22.5" customHeight="1">
      <c r="A11" s="155"/>
      <c r="B11" s="182" t="s">
        <v>777</v>
      </c>
      <c r="C11" s="182" t="s">
        <v>778</v>
      </c>
      <c r="D11" s="183" t="s">
        <v>761</v>
      </c>
      <c r="E11" s="184" t="s">
        <v>41</v>
      </c>
      <c r="F11" s="184">
        <v>220</v>
      </c>
      <c r="G11" s="185"/>
      <c r="H11" s="184"/>
      <c r="I11" s="184"/>
      <c r="J11" s="184"/>
      <c r="K11" s="179" t="s">
        <v>39</v>
      </c>
      <c r="L11" s="184"/>
      <c r="M11" s="184"/>
      <c r="N11" s="184"/>
      <c r="O11" s="186"/>
      <c r="P11" s="186"/>
      <c r="Q11" s="187"/>
      <c r="R11" s="187"/>
    </row>
    <row r="12" spans="1:23" s="188" customFormat="1" ht="22.5" customHeight="1">
      <c r="B12" s="189" t="s">
        <v>779</v>
      </c>
      <c r="C12" s="189" t="s">
        <v>780</v>
      </c>
      <c r="D12" s="190" t="s">
        <v>767</v>
      </c>
      <c r="E12" s="184" t="s">
        <v>41</v>
      </c>
      <c r="F12" s="184">
        <v>220</v>
      </c>
      <c r="G12" s="185"/>
      <c r="H12" s="184"/>
      <c r="I12" s="184"/>
      <c r="J12" s="184"/>
      <c r="K12" s="179" t="s">
        <v>39</v>
      </c>
      <c r="L12" s="184"/>
      <c r="M12" s="184"/>
      <c r="N12" s="184"/>
      <c r="O12" s="184"/>
      <c r="P12" s="187" t="s">
        <v>39</v>
      </c>
      <c r="Q12" s="187" t="s">
        <v>39</v>
      </c>
      <c r="R12" s="187"/>
      <c r="S12" s="191" t="s">
        <v>775</v>
      </c>
      <c r="T12" s="191" t="s">
        <v>759</v>
      </c>
      <c r="U12" s="192">
        <v>143030</v>
      </c>
      <c r="V12" s="192">
        <v>30000</v>
      </c>
      <c r="W12" s="192">
        <v>173030</v>
      </c>
    </row>
    <row r="13" spans="1:23" ht="22.5" customHeight="1">
      <c r="A13" s="170">
        <v>4</v>
      </c>
      <c r="B13" s="182" t="s">
        <v>781</v>
      </c>
      <c r="C13" s="182" t="s">
        <v>782</v>
      </c>
      <c r="D13" s="183" t="s">
        <v>761</v>
      </c>
      <c r="E13" s="184" t="s">
        <v>40</v>
      </c>
      <c r="F13" s="193">
        <v>230</v>
      </c>
      <c r="G13" s="194"/>
      <c r="H13" s="184"/>
      <c r="I13" s="195"/>
      <c r="J13" s="178"/>
      <c r="K13" s="179" t="s">
        <v>39</v>
      </c>
      <c r="L13" s="184"/>
      <c r="M13" s="184"/>
      <c r="N13" s="184"/>
      <c r="O13" s="186"/>
      <c r="P13" s="187" t="s">
        <v>39</v>
      </c>
      <c r="Q13" s="187"/>
      <c r="R13" s="187" t="s">
        <v>39</v>
      </c>
    </row>
    <row r="14" spans="1:23" ht="22.5" customHeight="1">
      <c r="A14" s="155"/>
      <c r="B14" s="182" t="s">
        <v>783</v>
      </c>
      <c r="C14" s="182" t="s">
        <v>784</v>
      </c>
      <c r="D14" s="183" t="s">
        <v>761</v>
      </c>
      <c r="E14" s="184" t="s">
        <v>40</v>
      </c>
      <c r="F14" s="184">
        <v>230</v>
      </c>
      <c r="G14" s="185"/>
      <c r="H14" s="184"/>
      <c r="I14" s="184"/>
      <c r="J14" s="184"/>
      <c r="K14" s="179" t="s">
        <v>39</v>
      </c>
      <c r="L14" s="184"/>
      <c r="M14" s="184"/>
      <c r="N14" s="184"/>
      <c r="O14" s="186"/>
      <c r="P14" s="186"/>
      <c r="Q14" s="187"/>
      <c r="R14" s="187"/>
    </row>
    <row r="15" spans="1:23" ht="22.5" customHeight="1">
      <c r="A15" s="170">
        <v>5</v>
      </c>
      <c r="B15" s="182" t="s">
        <v>785</v>
      </c>
      <c r="C15" s="182" t="s">
        <v>786</v>
      </c>
      <c r="D15" s="183" t="s">
        <v>761</v>
      </c>
      <c r="E15" s="184" t="s">
        <v>41</v>
      </c>
      <c r="F15" s="193">
        <v>220</v>
      </c>
      <c r="G15" s="194"/>
      <c r="H15" s="184"/>
      <c r="I15" s="195"/>
      <c r="J15" s="178"/>
      <c r="K15" s="179" t="s">
        <v>39</v>
      </c>
      <c r="L15" s="184"/>
      <c r="M15" s="184"/>
      <c r="N15" s="184"/>
      <c r="O15" s="186"/>
      <c r="P15" s="187" t="s">
        <v>39</v>
      </c>
      <c r="Q15" s="187" t="s">
        <v>39</v>
      </c>
      <c r="R15" s="187"/>
    </row>
    <row r="16" spans="1:23" ht="22.5" customHeight="1">
      <c r="A16" s="155"/>
      <c r="B16" s="182" t="s">
        <v>787</v>
      </c>
      <c r="C16" s="182" t="s">
        <v>788</v>
      </c>
      <c r="D16" s="183" t="s">
        <v>761</v>
      </c>
      <c r="E16" s="184" t="s">
        <v>41</v>
      </c>
      <c r="F16" s="184">
        <v>220</v>
      </c>
      <c r="G16" s="185"/>
      <c r="H16" s="184"/>
      <c r="I16" s="184"/>
      <c r="J16" s="184"/>
      <c r="K16" s="179" t="s">
        <v>39</v>
      </c>
      <c r="L16" s="184"/>
      <c r="M16" s="184"/>
      <c r="N16" s="184"/>
      <c r="O16" s="186"/>
      <c r="P16" s="186"/>
      <c r="Q16" s="187"/>
      <c r="R16" s="187"/>
    </row>
    <row r="17" spans="1:23" s="188" customFormat="1" ht="22.5" customHeight="1">
      <c r="B17" s="189" t="s">
        <v>789</v>
      </c>
      <c r="C17" s="189" t="s">
        <v>790</v>
      </c>
      <c r="D17" s="190" t="s">
        <v>767</v>
      </c>
      <c r="E17" s="184" t="s">
        <v>41</v>
      </c>
      <c r="F17" s="184">
        <v>220</v>
      </c>
      <c r="G17" s="185"/>
      <c r="H17" s="184"/>
      <c r="I17" s="184"/>
      <c r="J17" s="184"/>
      <c r="K17" s="179" t="s">
        <v>39</v>
      </c>
      <c r="L17" s="184"/>
      <c r="M17" s="184"/>
      <c r="N17" s="184"/>
      <c r="O17" s="184"/>
      <c r="P17" s="187" t="s">
        <v>39</v>
      </c>
      <c r="Q17" s="187" t="s">
        <v>39</v>
      </c>
      <c r="R17" s="187"/>
      <c r="S17" s="191" t="s">
        <v>785</v>
      </c>
      <c r="T17" s="191" t="s">
        <v>759</v>
      </c>
      <c r="U17" s="192">
        <v>143030</v>
      </c>
      <c r="V17" s="192">
        <v>30000</v>
      </c>
      <c r="W17" s="192">
        <v>173030</v>
      </c>
    </row>
    <row r="18" spans="1:23" ht="22.5" customHeight="1">
      <c r="A18" s="170">
        <v>6</v>
      </c>
      <c r="B18" s="182" t="s">
        <v>791</v>
      </c>
      <c r="C18" s="182" t="s">
        <v>792</v>
      </c>
      <c r="D18" s="183" t="s">
        <v>761</v>
      </c>
      <c r="E18" s="184" t="s">
        <v>42</v>
      </c>
      <c r="F18" s="193">
        <v>230</v>
      </c>
      <c r="G18" s="194"/>
      <c r="H18" s="184"/>
      <c r="I18" s="195"/>
      <c r="J18" s="178"/>
      <c r="K18" s="179" t="s">
        <v>39</v>
      </c>
      <c r="L18" s="184"/>
      <c r="M18" s="184"/>
      <c r="N18" s="184"/>
      <c r="O18" s="186"/>
      <c r="P18" s="186"/>
      <c r="Q18" s="187"/>
      <c r="R18" s="187" t="s">
        <v>39</v>
      </c>
    </row>
    <row r="19" spans="1:23" ht="22.5" customHeight="1">
      <c r="A19" s="155"/>
      <c r="B19" s="182" t="s">
        <v>793</v>
      </c>
      <c r="C19" s="182" t="s">
        <v>794</v>
      </c>
      <c r="D19" s="183" t="s">
        <v>761</v>
      </c>
      <c r="E19" s="184" t="s">
        <v>42</v>
      </c>
      <c r="F19" s="184">
        <v>230</v>
      </c>
      <c r="G19" s="185"/>
      <c r="H19" s="184"/>
      <c r="I19" s="184"/>
      <c r="J19" s="184"/>
      <c r="K19" s="179" t="s">
        <v>39</v>
      </c>
      <c r="L19" s="184"/>
      <c r="M19" s="184"/>
      <c r="N19" s="184"/>
      <c r="O19" s="186"/>
      <c r="P19" s="186"/>
      <c r="Q19" s="187"/>
      <c r="R19" s="187"/>
    </row>
    <row r="20" spans="1:23" ht="22.5" customHeight="1">
      <c r="A20" s="170">
        <v>7</v>
      </c>
      <c r="B20" s="182" t="s">
        <v>795</v>
      </c>
      <c r="C20" s="182" t="s">
        <v>796</v>
      </c>
      <c r="D20" s="183" t="s">
        <v>761</v>
      </c>
      <c r="E20" s="184" t="s">
        <v>40</v>
      </c>
      <c r="F20" s="193">
        <v>230</v>
      </c>
      <c r="G20" s="194"/>
      <c r="H20" s="184"/>
      <c r="I20" s="195"/>
      <c r="J20" s="178"/>
      <c r="K20" s="179" t="s">
        <v>39</v>
      </c>
      <c r="L20" s="184"/>
      <c r="M20" s="184"/>
      <c r="N20" s="184"/>
      <c r="O20" s="186"/>
      <c r="P20" s="187" t="s">
        <v>39</v>
      </c>
      <c r="Q20" s="187"/>
      <c r="R20" s="187" t="s">
        <v>39</v>
      </c>
    </row>
    <row r="21" spans="1:23" ht="22.5" customHeight="1">
      <c r="A21" s="155"/>
      <c r="B21" s="182" t="s">
        <v>797</v>
      </c>
      <c r="C21" s="182" t="s">
        <v>798</v>
      </c>
      <c r="D21" s="183" t="s">
        <v>761</v>
      </c>
      <c r="E21" s="184" t="s">
        <v>40</v>
      </c>
      <c r="F21" s="184">
        <v>230</v>
      </c>
      <c r="G21" s="185"/>
      <c r="H21" s="184"/>
      <c r="I21" s="184"/>
      <c r="J21" s="184"/>
      <c r="K21" s="179" t="s">
        <v>39</v>
      </c>
      <c r="L21" s="184"/>
      <c r="M21" s="184"/>
      <c r="N21" s="184"/>
      <c r="O21" s="186"/>
      <c r="P21" s="186"/>
      <c r="Q21" s="187"/>
      <c r="R21" s="187"/>
    </row>
    <row r="22" spans="1:23" ht="22.5" customHeight="1">
      <c r="A22" s="170">
        <v>8</v>
      </c>
      <c r="B22" s="182" t="s">
        <v>799</v>
      </c>
      <c r="C22" s="182" t="s">
        <v>800</v>
      </c>
      <c r="D22" s="183" t="s">
        <v>761</v>
      </c>
      <c r="E22" s="184" t="s">
        <v>41</v>
      </c>
      <c r="F22" s="193">
        <v>220</v>
      </c>
      <c r="G22" s="194"/>
      <c r="H22" s="184"/>
      <c r="I22" s="195"/>
      <c r="J22" s="178"/>
      <c r="K22" s="179" t="s">
        <v>39</v>
      </c>
      <c r="L22" s="184"/>
      <c r="M22" s="184"/>
      <c r="N22" s="184"/>
      <c r="O22" s="186"/>
      <c r="P22" s="187" t="s">
        <v>39</v>
      </c>
      <c r="Q22" s="187" t="s">
        <v>39</v>
      </c>
      <c r="R22" s="187"/>
    </row>
    <row r="23" spans="1:23" ht="22.5" customHeight="1">
      <c r="A23" s="155"/>
      <c r="B23" s="182" t="s">
        <v>801</v>
      </c>
      <c r="C23" s="182" t="s">
        <v>802</v>
      </c>
      <c r="D23" s="183" t="s">
        <v>761</v>
      </c>
      <c r="E23" s="184" t="s">
        <v>41</v>
      </c>
      <c r="F23" s="184">
        <v>220</v>
      </c>
      <c r="G23" s="185"/>
      <c r="H23" s="184"/>
      <c r="I23" s="184"/>
      <c r="J23" s="184"/>
      <c r="K23" s="179" t="s">
        <v>39</v>
      </c>
      <c r="L23" s="184"/>
      <c r="M23" s="184"/>
      <c r="N23" s="184"/>
      <c r="O23" s="186"/>
      <c r="P23" s="186"/>
      <c r="Q23" s="187"/>
      <c r="R23" s="187"/>
    </row>
    <row r="24" spans="1:23" s="188" customFormat="1" ht="22.5" customHeight="1">
      <c r="B24" s="189" t="s">
        <v>803</v>
      </c>
      <c r="C24" s="189" t="s">
        <v>804</v>
      </c>
      <c r="D24" s="190" t="s">
        <v>767</v>
      </c>
      <c r="E24" s="184" t="s">
        <v>41</v>
      </c>
      <c r="F24" s="184">
        <v>220</v>
      </c>
      <c r="G24" s="185"/>
      <c r="H24" s="184"/>
      <c r="I24" s="184"/>
      <c r="J24" s="184"/>
      <c r="K24" s="179" t="s">
        <v>39</v>
      </c>
      <c r="L24" s="184"/>
      <c r="M24" s="184"/>
      <c r="N24" s="184"/>
      <c r="O24" s="184"/>
      <c r="P24" s="187" t="s">
        <v>39</v>
      </c>
      <c r="Q24" s="187" t="s">
        <v>39</v>
      </c>
      <c r="R24" s="187"/>
      <c r="S24" s="191" t="s">
        <v>799</v>
      </c>
      <c r="T24" s="191" t="s">
        <v>759</v>
      </c>
      <c r="U24" s="192">
        <v>143030</v>
      </c>
      <c r="V24" s="192">
        <v>30000</v>
      </c>
      <c r="W24" s="192">
        <v>173030</v>
      </c>
    </row>
    <row r="25" spans="1:23" ht="22.5" customHeight="1">
      <c r="A25" s="170">
        <v>9</v>
      </c>
      <c r="B25" s="182" t="s">
        <v>805</v>
      </c>
      <c r="C25" s="182" t="s">
        <v>806</v>
      </c>
      <c r="D25" s="183" t="s">
        <v>761</v>
      </c>
      <c r="E25" s="184" t="s">
        <v>41</v>
      </c>
      <c r="F25" s="193">
        <v>220</v>
      </c>
      <c r="G25" s="194"/>
      <c r="H25" s="184"/>
      <c r="I25" s="195"/>
      <c r="J25" s="178"/>
      <c r="K25" s="179" t="s">
        <v>39</v>
      </c>
      <c r="L25" s="184"/>
      <c r="M25" s="184"/>
      <c r="N25" s="184"/>
      <c r="O25" s="186"/>
      <c r="P25" s="187" t="s">
        <v>39</v>
      </c>
      <c r="Q25" s="187" t="s">
        <v>39</v>
      </c>
      <c r="R25" s="187"/>
    </row>
    <row r="26" spans="1:23" ht="22.5" customHeight="1">
      <c r="A26" s="155"/>
      <c r="B26" s="182" t="s">
        <v>807</v>
      </c>
      <c r="C26" s="182" t="s">
        <v>808</v>
      </c>
      <c r="D26" s="183" t="s">
        <v>761</v>
      </c>
      <c r="E26" s="184" t="s">
        <v>41</v>
      </c>
      <c r="F26" s="184">
        <v>220</v>
      </c>
      <c r="G26" s="185"/>
      <c r="H26" s="184"/>
      <c r="I26" s="184"/>
      <c r="J26" s="184"/>
      <c r="K26" s="179" t="s">
        <v>39</v>
      </c>
      <c r="L26" s="184"/>
      <c r="M26" s="184"/>
      <c r="N26" s="184"/>
      <c r="O26" s="186"/>
      <c r="P26" s="186"/>
      <c r="Q26" s="187"/>
      <c r="R26" s="187"/>
    </row>
    <row r="27" spans="1:23" ht="22.5" customHeight="1">
      <c r="A27" s="155"/>
      <c r="B27" s="182" t="s">
        <v>809</v>
      </c>
      <c r="C27" s="182" t="s">
        <v>810</v>
      </c>
      <c r="D27" s="183" t="s">
        <v>6</v>
      </c>
      <c r="E27" s="184" t="s">
        <v>811</v>
      </c>
      <c r="F27" s="184">
        <v>120</v>
      </c>
      <c r="G27" s="185"/>
      <c r="H27" s="184"/>
      <c r="I27" s="184"/>
      <c r="J27" s="184"/>
      <c r="K27" s="179" t="s">
        <v>39</v>
      </c>
      <c r="L27" s="184"/>
      <c r="M27" s="184"/>
      <c r="N27" s="184"/>
      <c r="O27" s="186"/>
      <c r="P27" s="186"/>
      <c r="Q27" s="187"/>
      <c r="R27" s="187"/>
    </row>
    <row r="28" spans="1:23" ht="22.5" customHeight="1">
      <c r="A28" s="170">
        <v>10</v>
      </c>
      <c r="B28" s="182" t="s">
        <v>812</v>
      </c>
      <c r="C28" s="182" t="s">
        <v>813</v>
      </c>
      <c r="D28" s="183" t="s">
        <v>6</v>
      </c>
      <c r="E28" s="184" t="s">
        <v>43</v>
      </c>
      <c r="F28" s="193">
        <v>230</v>
      </c>
      <c r="G28" s="194"/>
      <c r="H28" s="184"/>
      <c r="I28" s="195"/>
      <c r="J28" s="178"/>
      <c r="K28" s="179" t="s">
        <v>39</v>
      </c>
      <c r="L28" s="184"/>
      <c r="M28" s="184"/>
      <c r="N28" s="184"/>
      <c r="O28" s="186"/>
      <c r="P28" s="187" t="s">
        <v>39</v>
      </c>
      <c r="Q28" s="187"/>
      <c r="R28" s="187" t="s">
        <v>39</v>
      </c>
    </row>
    <row r="29" spans="1:23" ht="22.5" customHeight="1">
      <c r="A29" s="155"/>
      <c r="B29" s="182" t="s">
        <v>814</v>
      </c>
      <c r="C29" s="182" t="s">
        <v>815</v>
      </c>
      <c r="D29" s="183" t="s">
        <v>6</v>
      </c>
      <c r="E29" s="184" t="s">
        <v>43</v>
      </c>
      <c r="F29" s="184">
        <v>230</v>
      </c>
      <c r="G29" s="185"/>
      <c r="H29" s="184"/>
      <c r="I29" s="184"/>
      <c r="J29" s="184"/>
      <c r="K29" s="179" t="s">
        <v>39</v>
      </c>
      <c r="L29" s="184"/>
      <c r="M29" s="184"/>
      <c r="N29" s="184"/>
      <c r="O29" s="186"/>
      <c r="P29" s="186"/>
      <c r="Q29" s="187"/>
      <c r="R29" s="187"/>
    </row>
    <row r="30" spans="1:23" ht="22.5" customHeight="1">
      <c r="A30" s="170">
        <v>11</v>
      </c>
      <c r="B30" s="197" t="s">
        <v>816</v>
      </c>
      <c r="C30" s="197" t="s">
        <v>817</v>
      </c>
      <c r="D30" s="183" t="s">
        <v>6</v>
      </c>
      <c r="E30" s="184" t="s">
        <v>43</v>
      </c>
      <c r="F30" s="193">
        <v>230</v>
      </c>
      <c r="G30" s="198"/>
      <c r="H30" s="186"/>
      <c r="I30" s="199"/>
      <c r="J30" s="200"/>
      <c r="K30" s="179" t="s">
        <v>39</v>
      </c>
      <c r="L30" s="186"/>
      <c r="M30" s="186"/>
      <c r="N30" s="186"/>
      <c r="O30" s="186"/>
      <c r="P30" s="187" t="s">
        <v>39</v>
      </c>
      <c r="Q30" s="187"/>
      <c r="R30" s="187" t="s">
        <v>39</v>
      </c>
    </row>
    <row r="31" spans="1:23" ht="22.5" customHeight="1">
      <c r="A31" s="170">
        <v>12</v>
      </c>
      <c r="B31" s="197" t="s">
        <v>818</v>
      </c>
      <c r="C31" s="197" t="s">
        <v>819</v>
      </c>
      <c r="D31" s="201" t="s">
        <v>6</v>
      </c>
      <c r="E31" s="184" t="s">
        <v>43</v>
      </c>
      <c r="F31" s="193">
        <v>230</v>
      </c>
      <c r="G31" s="198"/>
      <c r="H31" s="186"/>
      <c r="I31" s="199"/>
      <c r="J31" s="200"/>
      <c r="K31" s="179" t="s">
        <v>39</v>
      </c>
      <c r="L31" s="186"/>
      <c r="M31" s="186"/>
      <c r="N31" s="186"/>
      <c r="O31" s="186"/>
      <c r="P31" s="187" t="s">
        <v>39</v>
      </c>
      <c r="Q31" s="187"/>
      <c r="R31" s="187" t="s">
        <v>39</v>
      </c>
    </row>
    <row r="32" spans="1:23" ht="22.5" customHeight="1">
      <c r="A32" s="155"/>
      <c r="B32" s="197" t="s">
        <v>820</v>
      </c>
      <c r="C32" s="197" t="s">
        <v>821</v>
      </c>
      <c r="D32" s="201" t="s">
        <v>761</v>
      </c>
      <c r="E32" s="184" t="s">
        <v>43</v>
      </c>
      <c r="F32" s="184">
        <v>230</v>
      </c>
      <c r="G32" s="202"/>
      <c r="H32" s="186"/>
      <c r="I32" s="186"/>
      <c r="J32" s="186"/>
      <c r="K32" s="179" t="s">
        <v>39</v>
      </c>
      <c r="L32" s="186"/>
      <c r="M32" s="186"/>
      <c r="N32" s="186"/>
      <c r="O32" s="186"/>
      <c r="P32" s="186"/>
      <c r="Q32" s="187"/>
      <c r="R32" s="187"/>
    </row>
    <row r="33" spans="1:23" ht="22.5" customHeight="1">
      <c r="A33" s="170">
        <v>13</v>
      </c>
      <c r="B33" s="203" t="s">
        <v>822</v>
      </c>
      <c r="C33" s="203" t="s">
        <v>823</v>
      </c>
      <c r="D33" s="204" t="s">
        <v>824</v>
      </c>
      <c r="E33" s="184" t="s">
        <v>762</v>
      </c>
      <c r="F33" s="193">
        <v>100</v>
      </c>
      <c r="G33" s="198" t="s">
        <v>39</v>
      </c>
      <c r="H33" s="186"/>
      <c r="I33" s="199"/>
      <c r="J33" s="200"/>
      <c r="K33" s="179" t="s">
        <v>39</v>
      </c>
      <c r="L33" s="186"/>
      <c r="M33" s="186"/>
      <c r="N33" s="186"/>
      <c r="O33" s="186" t="s">
        <v>39</v>
      </c>
      <c r="P33" s="187" t="s">
        <v>39</v>
      </c>
      <c r="Q33" s="187" t="s">
        <v>39</v>
      </c>
      <c r="R33" s="187"/>
    </row>
    <row r="34" spans="1:23" ht="22.5" customHeight="1">
      <c r="A34" s="155"/>
      <c r="B34" s="205" t="s">
        <v>825</v>
      </c>
      <c r="C34" s="205" t="s">
        <v>826</v>
      </c>
      <c r="D34" s="206" t="s">
        <v>824</v>
      </c>
      <c r="E34" s="184" t="s">
        <v>762</v>
      </c>
      <c r="F34" s="184">
        <v>100</v>
      </c>
      <c r="G34" s="202" t="s">
        <v>39</v>
      </c>
      <c r="H34" s="186"/>
      <c r="I34" s="186"/>
      <c r="J34" s="186"/>
      <c r="K34" s="179" t="s">
        <v>39</v>
      </c>
      <c r="L34" s="186"/>
      <c r="M34" s="186"/>
      <c r="N34" s="186"/>
      <c r="O34" s="186" t="s">
        <v>39</v>
      </c>
      <c r="P34" s="186"/>
      <c r="Q34" s="187"/>
      <c r="R34" s="187"/>
    </row>
    <row r="35" spans="1:23" ht="22.5" customHeight="1">
      <c r="A35" s="155"/>
      <c r="B35" s="205" t="s">
        <v>827</v>
      </c>
      <c r="C35" s="205" t="s">
        <v>826</v>
      </c>
      <c r="D35" s="206" t="s">
        <v>824</v>
      </c>
      <c r="E35" s="184" t="s">
        <v>762</v>
      </c>
      <c r="F35" s="184">
        <v>100</v>
      </c>
      <c r="G35" s="202" t="s">
        <v>39</v>
      </c>
      <c r="H35" s="186"/>
      <c r="I35" s="186"/>
      <c r="J35" s="186"/>
      <c r="K35" s="179" t="s">
        <v>39</v>
      </c>
      <c r="L35" s="186"/>
      <c r="M35" s="186"/>
      <c r="N35" s="186"/>
      <c r="O35" s="186" t="s">
        <v>39</v>
      </c>
      <c r="P35" s="186"/>
      <c r="Q35" s="187"/>
      <c r="R35" s="187"/>
    </row>
    <row r="36" spans="1:23" ht="22.5" customHeight="1">
      <c r="A36" s="155"/>
      <c r="B36" s="207" t="s">
        <v>828</v>
      </c>
      <c r="C36" s="207" t="s">
        <v>829</v>
      </c>
      <c r="D36" s="206" t="s">
        <v>824</v>
      </c>
      <c r="E36" s="184" t="s">
        <v>762</v>
      </c>
      <c r="F36" s="184">
        <v>100</v>
      </c>
      <c r="G36" s="202" t="s">
        <v>39</v>
      </c>
      <c r="H36" s="186"/>
      <c r="I36" s="186"/>
      <c r="J36" s="186"/>
      <c r="K36" s="179" t="s">
        <v>39</v>
      </c>
      <c r="L36" s="186"/>
      <c r="M36" s="186"/>
      <c r="N36" s="186"/>
      <c r="O36" s="186" t="s">
        <v>39</v>
      </c>
      <c r="P36" s="186"/>
      <c r="Q36" s="187"/>
      <c r="R36" s="187"/>
    </row>
    <row r="37" spans="1:23" ht="22.5" customHeight="1">
      <c r="A37" s="155"/>
      <c r="B37" s="207" t="s">
        <v>830</v>
      </c>
      <c r="C37" s="207" t="s">
        <v>829</v>
      </c>
      <c r="D37" s="206" t="s">
        <v>824</v>
      </c>
      <c r="E37" s="184" t="s">
        <v>762</v>
      </c>
      <c r="F37" s="184">
        <v>100</v>
      </c>
      <c r="G37" s="202" t="s">
        <v>39</v>
      </c>
      <c r="H37" s="186"/>
      <c r="I37" s="186"/>
      <c r="J37" s="186"/>
      <c r="K37" s="179" t="s">
        <v>39</v>
      </c>
      <c r="L37" s="186"/>
      <c r="M37" s="186"/>
      <c r="N37" s="186"/>
      <c r="O37" s="186" t="s">
        <v>39</v>
      </c>
      <c r="P37" s="186"/>
      <c r="Q37" s="187"/>
      <c r="R37" s="187"/>
    </row>
    <row r="38" spans="1:23" s="188" customFormat="1" ht="22.5" customHeight="1">
      <c r="B38" s="189" t="s">
        <v>831</v>
      </c>
      <c r="C38" s="189" t="s">
        <v>832</v>
      </c>
      <c r="D38" s="190" t="s">
        <v>833</v>
      </c>
      <c r="E38" s="184" t="s">
        <v>762</v>
      </c>
      <c r="F38" s="184">
        <v>100</v>
      </c>
      <c r="G38" s="202" t="s">
        <v>39</v>
      </c>
      <c r="H38" s="186"/>
      <c r="I38" s="186"/>
      <c r="J38" s="186"/>
      <c r="K38" s="179" t="s">
        <v>39</v>
      </c>
      <c r="L38" s="186"/>
      <c r="M38" s="186"/>
      <c r="N38" s="186"/>
      <c r="O38" s="186" t="s">
        <v>39</v>
      </c>
      <c r="P38" s="187" t="s">
        <v>39</v>
      </c>
      <c r="Q38" s="187" t="s">
        <v>39</v>
      </c>
      <c r="R38" s="187"/>
      <c r="S38" s="191" t="s">
        <v>822</v>
      </c>
      <c r="T38" s="191" t="s">
        <v>822</v>
      </c>
      <c r="U38" s="192">
        <v>146612</v>
      </c>
      <c r="V38" s="192">
        <v>30000</v>
      </c>
      <c r="W38" s="192">
        <v>176612</v>
      </c>
    </row>
    <row r="39" spans="1:23" ht="22.5" customHeight="1">
      <c r="A39" s="170">
        <v>14</v>
      </c>
      <c r="B39" s="205" t="s">
        <v>834</v>
      </c>
      <c r="C39" s="205" t="s">
        <v>835</v>
      </c>
      <c r="D39" s="206" t="s">
        <v>824</v>
      </c>
      <c r="E39" s="184" t="s">
        <v>42</v>
      </c>
      <c r="F39" s="193">
        <v>230</v>
      </c>
      <c r="G39" s="198" t="s">
        <v>39</v>
      </c>
      <c r="H39" s="186"/>
      <c r="I39" s="199"/>
      <c r="J39" s="200"/>
      <c r="K39" s="179" t="s">
        <v>39</v>
      </c>
      <c r="L39" s="186"/>
      <c r="M39" s="186"/>
      <c r="N39" s="186"/>
      <c r="O39" s="186"/>
      <c r="P39" s="186"/>
      <c r="Q39" s="187"/>
      <c r="R39" s="187" t="s">
        <v>39</v>
      </c>
    </row>
    <row r="40" spans="1:23" ht="22.5" customHeight="1">
      <c r="A40" s="155"/>
      <c r="B40" s="205" t="s">
        <v>836</v>
      </c>
      <c r="C40" s="205" t="s">
        <v>837</v>
      </c>
      <c r="D40" s="206" t="s">
        <v>824</v>
      </c>
      <c r="E40" s="184" t="s">
        <v>42</v>
      </c>
      <c r="F40" s="184">
        <v>230</v>
      </c>
      <c r="G40" s="202" t="s">
        <v>39</v>
      </c>
      <c r="H40" s="186"/>
      <c r="I40" s="186"/>
      <c r="J40" s="186"/>
      <c r="K40" s="179" t="s">
        <v>39</v>
      </c>
      <c r="L40" s="186"/>
      <c r="M40" s="186"/>
      <c r="N40" s="186"/>
      <c r="O40" s="186"/>
      <c r="P40" s="186"/>
      <c r="Q40" s="187"/>
      <c r="R40" s="187"/>
    </row>
    <row r="41" spans="1:23" ht="22.5" customHeight="1">
      <c r="A41" s="155"/>
      <c r="B41" s="205" t="s">
        <v>838</v>
      </c>
      <c r="C41" s="205" t="s">
        <v>837</v>
      </c>
      <c r="D41" s="206" t="s">
        <v>824</v>
      </c>
      <c r="E41" s="184" t="s">
        <v>42</v>
      </c>
      <c r="F41" s="184">
        <v>230</v>
      </c>
      <c r="G41" s="202" t="s">
        <v>39</v>
      </c>
      <c r="H41" s="186"/>
      <c r="I41" s="186"/>
      <c r="J41" s="186"/>
      <c r="K41" s="179" t="s">
        <v>39</v>
      </c>
      <c r="L41" s="186"/>
      <c r="M41" s="186"/>
      <c r="N41" s="186"/>
      <c r="O41" s="186"/>
      <c r="P41" s="186"/>
      <c r="Q41" s="187"/>
      <c r="R41" s="187"/>
    </row>
    <row r="42" spans="1:23" ht="22.5" customHeight="1">
      <c r="A42" s="170">
        <v>15</v>
      </c>
      <c r="B42" s="205" t="s">
        <v>839</v>
      </c>
      <c r="C42" s="205" t="s">
        <v>840</v>
      </c>
      <c r="D42" s="206" t="s">
        <v>824</v>
      </c>
      <c r="E42" s="184" t="s">
        <v>44</v>
      </c>
      <c r="F42" s="193">
        <v>120</v>
      </c>
      <c r="G42" s="198" t="s">
        <v>39</v>
      </c>
      <c r="H42" s="186"/>
      <c r="I42" s="199"/>
      <c r="J42" s="200"/>
      <c r="K42" s="179" t="s">
        <v>39</v>
      </c>
      <c r="L42" s="186"/>
      <c r="M42" s="186"/>
      <c r="N42" s="186"/>
      <c r="O42" s="186"/>
      <c r="P42" s="186"/>
      <c r="Q42" s="187" t="s">
        <v>39</v>
      </c>
      <c r="R42" s="187"/>
    </row>
    <row r="43" spans="1:23" ht="22.5" customHeight="1">
      <c r="A43" s="155"/>
      <c r="B43" s="205" t="s">
        <v>841</v>
      </c>
      <c r="C43" s="205" t="s">
        <v>842</v>
      </c>
      <c r="D43" s="206" t="s">
        <v>824</v>
      </c>
      <c r="E43" s="184" t="s">
        <v>44</v>
      </c>
      <c r="F43" s="184">
        <v>120</v>
      </c>
      <c r="G43" s="202" t="s">
        <v>39</v>
      </c>
      <c r="H43" s="186"/>
      <c r="I43" s="186"/>
      <c r="J43" s="186"/>
      <c r="K43" s="179" t="s">
        <v>39</v>
      </c>
      <c r="L43" s="186"/>
      <c r="M43" s="186"/>
      <c r="N43" s="186"/>
      <c r="O43" s="186"/>
      <c r="P43" s="186"/>
      <c r="Q43" s="187"/>
      <c r="R43" s="187"/>
    </row>
    <row r="44" spans="1:23" ht="22.5" customHeight="1">
      <c r="A44" s="155"/>
      <c r="B44" s="205" t="s">
        <v>843</v>
      </c>
      <c r="C44" s="205" t="s">
        <v>842</v>
      </c>
      <c r="D44" s="206" t="s">
        <v>824</v>
      </c>
      <c r="E44" s="184" t="s">
        <v>44</v>
      </c>
      <c r="F44" s="184">
        <v>120</v>
      </c>
      <c r="G44" s="202" t="s">
        <v>39</v>
      </c>
      <c r="H44" s="186"/>
      <c r="I44" s="186"/>
      <c r="J44" s="186"/>
      <c r="K44" s="179" t="s">
        <v>39</v>
      </c>
      <c r="L44" s="186"/>
      <c r="M44" s="186"/>
      <c r="N44" s="186"/>
      <c r="O44" s="186"/>
      <c r="P44" s="186"/>
      <c r="Q44" s="187"/>
      <c r="R44" s="187"/>
    </row>
    <row r="45" spans="1:23" ht="22.5" customHeight="1">
      <c r="A45" s="155"/>
      <c r="B45" s="207" t="s">
        <v>844</v>
      </c>
      <c r="C45" s="207" t="s">
        <v>845</v>
      </c>
      <c r="D45" s="206" t="s">
        <v>824</v>
      </c>
      <c r="E45" s="184" t="s">
        <v>44</v>
      </c>
      <c r="F45" s="184">
        <v>120</v>
      </c>
      <c r="G45" s="202" t="s">
        <v>39</v>
      </c>
      <c r="H45" s="186"/>
      <c r="I45" s="186"/>
      <c r="J45" s="186"/>
      <c r="K45" s="179" t="s">
        <v>39</v>
      </c>
      <c r="L45" s="186"/>
      <c r="M45" s="186"/>
      <c r="N45" s="186"/>
      <c r="O45" s="186"/>
      <c r="P45" s="186"/>
      <c r="Q45" s="187"/>
      <c r="R45" s="187"/>
    </row>
    <row r="46" spans="1:23" s="188" customFormat="1" ht="22.5" customHeight="1">
      <c r="B46" s="189" t="s">
        <v>846</v>
      </c>
      <c r="C46" s="189" t="s">
        <v>847</v>
      </c>
      <c r="D46" s="190" t="s">
        <v>767</v>
      </c>
      <c r="E46" s="184" t="s">
        <v>848</v>
      </c>
      <c r="F46" s="184">
        <v>120</v>
      </c>
      <c r="G46" s="202" t="s">
        <v>39</v>
      </c>
      <c r="H46" s="186"/>
      <c r="I46" s="186"/>
      <c r="J46" s="186"/>
      <c r="K46" s="179" t="s">
        <v>39</v>
      </c>
      <c r="L46" s="186"/>
      <c r="M46" s="186"/>
      <c r="N46" s="186"/>
      <c r="O46" s="184"/>
      <c r="P46" s="184"/>
      <c r="Q46" s="187" t="s">
        <v>39</v>
      </c>
      <c r="R46" s="187"/>
      <c r="S46" s="191" t="s">
        <v>839</v>
      </c>
      <c r="T46" s="191" t="s">
        <v>822</v>
      </c>
      <c r="U46" s="192">
        <v>146612</v>
      </c>
      <c r="V46" s="192">
        <v>30000</v>
      </c>
      <c r="W46" s="192">
        <v>176612</v>
      </c>
    </row>
    <row r="47" spans="1:23" ht="22.5" customHeight="1">
      <c r="A47" s="170">
        <v>16</v>
      </c>
      <c r="B47" s="205" t="s">
        <v>849</v>
      </c>
      <c r="C47" s="205" t="s">
        <v>850</v>
      </c>
      <c r="D47" s="206" t="s">
        <v>824</v>
      </c>
      <c r="E47" s="184" t="s">
        <v>45</v>
      </c>
      <c r="F47" s="193">
        <v>220</v>
      </c>
      <c r="G47" s="198" t="s">
        <v>39</v>
      </c>
      <c r="H47" s="186"/>
      <c r="I47" s="199"/>
      <c r="J47" s="200"/>
      <c r="K47" s="179" t="s">
        <v>39</v>
      </c>
      <c r="L47" s="186"/>
      <c r="M47" s="186"/>
      <c r="N47" s="186"/>
      <c r="O47" s="186"/>
      <c r="P47" s="187" t="s">
        <v>39</v>
      </c>
      <c r="Q47" s="187" t="s">
        <v>39</v>
      </c>
      <c r="R47" s="187"/>
    </row>
    <row r="48" spans="1:23" ht="22.5" customHeight="1">
      <c r="A48" s="170">
        <v>17</v>
      </c>
      <c r="B48" s="205" t="s">
        <v>851</v>
      </c>
      <c r="C48" s="205" t="s">
        <v>852</v>
      </c>
      <c r="D48" s="206" t="s">
        <v>824</v>
      </c>
      <c r="E48" s="184" t="s">
        <v>46</v>
      </c>
      <c r="F48" s="193">
        <v>230</v>
      </c>
      <c r="G48" s="198" t="s">
        <v>39</v>
      </c>
      <c r="H48" s="186"/>
      <c r="I48" s="199"/>
      <c r="J48" s="200"/>
      <c r="K48" s="179" t="s">
        <v>39</v>
      </c>
      <c r="L48" s="186"/>
      <c r="M48" s="186"/>
      <c r="N48" s="186"/>
      <c r="O48" s="186"/>
      <c r="P48" s="186"/>
      <c r="Q48" s="187"/>
      <c r="R48" s="187" t="s">
        <v>39</v>
      </c>
    </row>
    <row r="49" spans="1:23" ht="22.5" customHeight="1">
      <c r="A49" s="170">
        <v>18</v>
      </c>
      <c r="B49" s="205" t="s">
        <v>853</v>
      </c>
      <c r="C49" s="205" t="s">
        <v>854</v>
      </c>
      <c r="D49" s="206" t="s">
        <v>824</v>
      </c>
      <c r="E49" s="184" t="s">
        <v>42</v>
      </c>
      <c r="F49" s="193">
        <v>230</v>
      </c>
      <c r="G49" s="198" t="s">
        <v>39</v>
      </c>
      <c r="H49" s="186"/>
      <c r="I49" s="199"/>
      <c r="J49" s="200"/>
      <c r="K49" s="179" t="s">
        <v>39</v>
      </c>
      <c r="L49" s="186"/>
      <c r="M49" s="186"/>
      <c r="N49" s="186"/>
      <c r="O49" s="186"/>
      <c r="P49" s="186"/>
      <c r="Q49" s="187"/>
      <c r="R49" s="187" t="s">
        <v>39</v>
      </c>
    </row>
    <row r="50" spans="1:23" ht="22.5" customHeight="1">
      <c r="A50" s="155"/>
      <c r="B50" s="205" t="s">
        <v>855</v>
      </c>
      <c r="C50" s="205" t="s">
        <v>856</v>
      </c>
      <c r="D50" s="206" t="s">
        <v>824</v>
      </c>
      <c r="E50" s="184" t="s">
        <v>42</v>
      </c>
      <c r="F50" s="184">
        <v>230</v>
      </c>
      <c r="G50" s="202" t="s">
        <v>39</v>
      </c>
      <c r="H50" s="186"/>
      <c r="I50" s="186"/>
      <c r="J50" s="186"/>
      <c r="K50" s="179" t="s">
        <v>39</v>
      </c>
      <c r="L50" s="186"/>
      <c r="M50" s="186"/>
      <c r="N50" s="186"/>
      <c r="O50" s="186"/>
      <c r="P50" s="186"/>
      <c r="Q50" s="187"/>
      <c r="R50" s="187"/>
    </row>
    <row r="51" spans="1:23" s="211" customFormat="1" ht="22.5" customHeight="1">
      <c r="A51" s="170">
        <v>19</v>
      </c>
      <c r="B51" s="205" t="s">
        <v>857</v>
      </c>
      <c r="C51" s="205" t="s">
        <v>858</v>
      </c>
      <c r="D51" s="206" t="s">
        <v>824</v>
      </c>
      <c r="E51" s="208" t="s">
        <v>44</v>
      </c>
      <c r="F51" s="209">
        <v>120</v>
      </c>
      <c r="G51" s="198" t="s">
        <v>39</v>
      </c>
      <c r="H51" s="186"/>
      <c r="I51" s="199"/>
      <c r="J51" s="200"/>
      <c r="K51" s="179" t="s">
        <v>39</v>
      </c>
      <c r="L51" s="186"/>
      <c r="M51" s="186"/>
      <c r="N51" s="186"/>
      <c r="O51" s="186"/>
      <c r="P51" s="186"/>
      <c r="Q51" s="187" t="s">
        <v>39</v>
      </c>
      <c r="R51" s="187"/>
      <c r="S51" s="210"/>
      <c r="T51" s="210"/>
    </row>
    <row r="52" spans="1:23" s="211" customFormat="1" ht="22.5" customHeight="1">
      <c r="B52" s="205" t="s">
        <v>859</v>
      </c>
      <c r="C52" s="205" t="s">
        <v>860</v>
      </c>
      <c r="D52" s="206" t="s">
        <v>824</v>
      </c>
      <c r="E52" s="208" t="s">
        <v>44</v>
      </c>
      <c r="F52" s="208">
        <v>120</v>
      </c>
      <c r="G52" s="202" t="s">
        <v>39</v>
      </c>
      <c r="H52" s="186"/>
      <c r="I52" s="186"/>
      <c r="J52" s="186"/>
      <c r="K52" s="179" t="s">
        <v>39</v>
      </c>
      <c r="L52" s="186"/>
      <c r="M52" s="186"/>
      <c r="N52" s="186"/>
      <c r="O52" s="186"/>
      <c r="P52" s="186"/>
      <c r="Q52" s="187"/>
      <c r="R52" s="187"/>
      <c r="S52" s="210"/>
      <c r="T52" s="210"/>
    </row>
    <row r="53" spans="1:23" s="211" customFormat="1" ht="22.5" customHeight="1">
      <c r="B53" s="205" t="s">
        <v>861</v>
      </c>
      <c r="C53" s="205" t="s">
        <v>860</v>
      </c>
      <c r="D53" s="206" t="s">
        <v>824</v>
      </c>
      <c r="E53" s="208" t="s">
        <v>44</v>
      </c>
      <c r="F53" s="208">
        <v>120</v>
      </c>
      <c r="G53" s="202" t="s">
        <v>39</v>
      </c>
      <c r="H53" s="186"/>
      <c r="I53" s="186"/>
      <c r="J53" s="186"/>
      <c r="K53" s="179" t="s">
        <v>39</v>
      </c>
      <c r="L53" s="186"/>
      <c r="M53" s="186"/>
      <c r="N53" s="186"/>
      <c r="O53" s="186"/>
      <c r="P53" s="186"/>
      <c r="Q53" s="187"/>
      <c r="R53" s="187"/>
      <c r="S53" s="210"/>
      <c r="T53" s="210"/>
    </row>
    <row r="54" spans="1:23" ht="22.5" customHeight="1">
      <c r="A54" s="170">
        <v>20</v>
      </c>
      <c r="B54" s="205" t="s">
        <v>862</v>
      </c>
      <c r="C54" s="205" t="s">
        <v>863</v>
      </c>
      <c r="D54" s="206" t="s">
        <v>824</v>
      </c>
      <c r="E54" s="184" t="s">
        <v>45</v>
      </c>
      <c r="F54" s="193">
        <v>220</v>
      </c>
      <c r="G54" s="198" t="s">
        <v>39</v>
      </c>
      <c r="H54" s="186"/>
      <c r="I54" s="199"/>
      <c r="J54" s="200"/>
      <c r="K54" s="179" t="s">
        <v>39</v>
      </c>
      <c r="L54" s="186"/>
      <c r="M54" s="186"/>
      <c r="N54" s="186"/>
      <c r="O54" s="186"/>
      <c r="P54" s="187" t="s">
        <v>39</v>
      </c>
      <c r="Q54" s="187" t="s">
        <v>39</v>
      </c>
      <c r="R54" s="187"/>
    </row>
    <row r="55" spans="1:23" ht="25.5" customHeight="1">
      <c r="A55" s="170">
        <v>21</v>
      </c>
      <c r="B55" s="205" t="s">
        <v>864</v>
      </c>
      <c r="C55" s="205" t="s">
        <v>865</v>
      </c>
      <c r="D55" s="206" t="s">
        <v>824</v>
      </c>
      <c r="E55" s="184" t="s">
        <v>46</v>
      </c>
      <c r="F55" s="193">
        <v>230</v>
      </c>
      <c r="G55" s="198" t="s">
        <v>39</v>
      </c>
      <c r="H55" s="186"/>
      <c r="I55" s="199"/>
      <c r="J55" s="200"/>
      <c r="K55" s="179" t="s">
        <v>39</v>
      </c>
      <c r="L55" s="186"/>
      <c r="M55" s="186"/>
      <c r="N55" s="186"/>
      <c r="O55" s="186"/>
      <c r="P55" s="186"/>
      <c r="Q55" s="187"/>
      <c r="R55" s="187" t="s">
        <v>39</v>
      </c>
    </row>
    <row r="56" spans="1:23" ht="25.5" customHeight="1">
      <c r="A56" s="170">
        <v>22</v>
      </c>
      <c r="B56" s="205" t="s">
        <v>866</v>
      </c>
      <c r="C56" s="205" t="s">
        <v>867</v>
      </c>
      <c r="D56" s="206" t="s">
        <v>824</v>
      </c>
      <c r="E56" s="184" t="s">
        <v>762</v>
      </c>
      <c r="F56" s="193">
        <v>100</v>
      </c>
      <c r="G56" s="198" t="s">
        <v>39</v>
      </c>
      <c r="H56" s="186"/>
      <c r="I56" s="199"/>
      <c r="J56" s="200"/>
      <c r="K56" s="179" t="s">
        <v>39</v>
      </c>
      <c r="L56" s="186"/>
      <c r="M56" s="186"/>
      <c r="N56" s="186"/>
      <c r="O56" s="186" t="s">
        <v>39</v>
      </c>
      <c r="P56" s="187" t="s">
        <v>39</v>
      </c>
      <c r="Q56" s="187" t="s">
        <v>39</v>
      </c>
      <c r="R56" s="187"/>
    </row>
    <row r="57" spans="1:23" ht="25.5" customHeight="1">
      <c r="A57" s="155"/>
      <c r="B57" s="205" t="s">
        <v>868</v>
      </c>
      <c r="C57" s="205" t="s">
        <v>869</v>
      </c>
      <c r="D57" s="206" t="s">
        <v>824</v>
      </c>
      <c r="E57" s="184" t="s">
        <v>762</v>
      </c>
      <c r="F57" s="184">
        <v>100</v>
      </c>
      <c r="G57" s="202" t="s">
        <v>39</v>
      </c>
      <c r="H57" s="186"/>
      <c r="I57" s="186"/>
      <c r="J57" s="186"/>
      <c r="K57" s="179" t="s">
        <v>39</v>
      </c>
      <c r="L57" s="186"/>
      <c r="M57" s="186"/>
      <c r="N57" s="186"/>
      <c r="O57" s="186" t="s">
        <v>39</v>
      </c>
      <c r="P57" s="186"/>
      <c r="Q57" s="187"/>
      <c r="R57" s="187"/>
    </row>
    <row r="58" spans="1:23" s="188" customFormat="1" ht="22.5" customHeight="1">
      <c r="B58" s="189" t="s">
        <v>870</v>
      </c>
      <c r="C58" s="189" t="s">
        <v>871</v>
      </c>
      <c r="D58" s="190" t="s">
        <v>767</v>
      </c>
      <c r="E58" s="184" t="s">
        <v>762</v>
      </c>
      <c r="F58" s="184">
        <v>100</v>
      </c>
      <c r="G58" s="202" t="s">
        <v>39</v>
      </c>
      <c r="H58" s="186"/>
      <c r="I58" s="186"/>
      <c r="J58" s="186"/>
      <c r="K58" s="179" t="s">
        <v>39</v>
      </c>
      <c r="L58" s="186"/>
      <c r="M58" s="186"/>
      <c r="N58" s="186"/>
      <c r="O58" s="186" t="s">
        <v>39</v>
      </c>
      <c r="P58" s="187" t="s">
        <v>39</v>
      </c>
      <c r="Q58" s="187" t="s">
        <v>39</v>
      </c>
      <c r="R58" s="187"/>
      <c r="S58" s="191" t="s">
        <v>866</v>
      </c>
      <c r="T58" s="191" t="s">
        <v>822</v>
      </c>
      <c r="U58" s="192">
        <v>146612</v>
      </c>
      <c r="V58" s="192">
        <v>30000</v>
      </c>
      <c r="W58" s="192">
        <v>176612</v>
      </c>
    </row>
    <row r="59" spans="1:23" ht="25.5" customHeight="1">
      <c r="A59" s="170">
        <v>23</v>
      </c>
      <c r="B59" s="205" t="s">
        <v>872</v>
      </c>
      <c r="C59" s="205" t="s">
        <v>873</v>
      </c>
      <c r="D59" s="206" t="s">
        <v>824</v>
      </c>
      <c r="E59" s="184" t="s">
        <v>42</v>
      </c>
      <c r="F59" s="193">
        <v>230</v>
      </c>
      <c r="G59" s="198" t="s">
        <v>39</v>
      </c>
      <c r="H59" s="186"/>
      <c r="I59" s="199"/>
      <c r="J59" s="200"/>
      <c r="K59" s="179" t="s">
        <v>39</v>
      </c>
      <c r="L59" s="186"/>
      <c r="M59" s="186"/>
      <c r="N59" s="186"/>
      <c r="O59" s="186"/>
      <c r="P59" s="186"/>
      <c r="Q59" s="187"/>
      <c r="R59" s="187" t="s">
        <v>39</v>
      </c>
    </row>
    <row r="60" spans="1:23" ht="22.5" customHeight="1">
      <c r="A60" s="155"/>
      <c r="B60" s="205" t="s">
        <v>874</v>
      </c>
      <c r="C60" s="205" t="s">
        <v>873</v>
      </c>
      <c r="D60" s="206" t="s">
        <v>824</v>
      </c>
      <c r="E60" s="184" t="s">
        <v>42</v>
      </c>
      <c r="F60" s="184">
        <v>230</v>
      </c>
      <c r="G60" s="202" t="s">
        <v>39</v>
      </c>
      <c r="H60" s="186"/>
      <c r="I60" s="186"/>
      <c r="J60" s="186"/>
      <c r="K60" s="179" t="s">
        <v>39</v>
      </c>
      <c r="L60" s="186"/>
      <c r="M60" s="186"/>
      <c r="N60" s="186"/>
      <c r="O60" s="186"/>
      <c r="P60" s="186"/>
      <c r="Q60" s="187"/>
      <c r="R60" s="187"/>
    </row>
    <row r="61" spans="1:23" ht="22.5" customHeight="1">
      <c r="A61" s="170">
        <v>24</v>
      </c>
      <c r="B61" s="205" t="s">
        <v>875</v>
      </c>
      <c r="C61" s="205" t="s">
        <v>876</v>
      </c>
      <c r="D61" s="206" t="s">
        <v>824</v>
      </c>
      <c r="E61" s="184" t="s">
        <v>45</v>
      </c>
      <c r="F61" s="193">
        <v>220</v>
      </c>
      <c r="G61" s="198" t="s">
        <v>39</v>
      </c>
      <c r="H61" s="186"/>
      <c r="I61" s="199"/>
      <c r="J61" s="200"/>
      <c r="K61" s="179" t="s">
        <v>39</v>
      </c>
      <c r="L61" s="186"/>
      <c r="M61" s="186"/>
      <c r="N61" s="186"/>
      <c r="O61" s="186"/>
      <c r="P61" s="187" t="s">
        <v>39</v>
      </c>
      <c r="Q61" s="187" t="s">
        <v>39</v>
      </c>
      <c r="R61" s="187"/>
    </row>
    <row r="62" spans="1:23" ht="22.5" customHeight="1">
      <c r="A62" s="170">
        <v>25</v>
      </c>
      <c r="B62" s="212" t="s">
        <v>877</v>
      </c>
      <c r="C62" s="212" t="s">
        <v>878</v>
      </c>
      <c r="D62" s="206" t="s">
        <v>824</v>
      </c>
      <c r="E62" s="184" t="s">
        <v>811</v>
      </c>
      <c r="F62" s="193">
        <v>120</v>
      </c>
      <c r="G62" s="198" t="s">
        <v>39</v>
      </c>
      <c r="H62" s="186"/>
      <c r="I62" s="199"/>
      <c r="J62" s="200"/>
      <c r="K62" s="179" t="s">
        <v>39</v>
      </c>
      <c r="L62" s="186"/>
      <c r="M62" s="186"/>
      <c r="N62" s="186"/>
      <c r="O62" s="213"/>
      <c r="P62" s="187" t="s">
        <v>39</v>
      </c>
      <c r="Q62" s="187" t="s">
        <v>39</v>
      </c>
      <c r="R62" s="187"/>
    </row>
    <row r="63" spans="1:23" ht="22.5" customHeight="1">
      <c r="A63" s="170">
        <v>26</v>
      </c>
      <c r="B63" s="212" t="s">
        <v>879</v>
      </c>
      <c r="C63" s="212" t="s">
        <v>880</v>
      </c>
      <c r="D63" s="206" t="s">
        <v>824</v>
      </c>
      <c r="E63" s="184" t="s">
        <v>47</v>
      </c>
      <c r="F63" s="193">
        <v>120</v>
      </c>
      <c r="G63" s="198" t="s">
        <v>39</v>
      </c>
      <c r="H63" s="186"/>
      <c r="I63" s="199"/>
      <c r="J63" s="200"/>
      <c r="K63" s="179" t="s">
        <v>39</v>
      </c>
      <c r="L63" s="186"/>
      <c r="M63" s="186"/>
      <c r="N63" s="186"/>
      <c r="O63" s="213"/>
      <c r="P63" s="187" t="s">
        <v>39</v>
      </c>
      <c r="Q63" s="187" t="s">
        <v>39</v>
      </c>
      <c r="R63" s="187"/>
    </row>
    <row r="64" spans="1:23" ht="22.5" customHeight="1">
      <c r="A64" s="170">
        <v>27</v>
      </c>
      <c r="B64" s="214" t="s">
        <v>881</v>
      </c>
      <c r="C64" s="214" t="s">
        <v>882</v>
      </c>
      <c r="D64" s="215" t="s">
        <v>824</v>
      </c>
      <c r="E64" s="216" t="s">
        <v>47</v>
      </c>
      <c r="F64" s="217">
        <v>120</v>
      </c>
      <c r="G64" s="218" t="s">
        <v>39</v>
      </c>
      <c r="H64" s="219"/>
      <c r="I64" s="220"/>
      <c r="J64" s="200"/>
      <c r="K64" s="221" t="s">
        <v>39</v>
      </c>
      <c r="L64" s="219"/>
      <c r="M64" s="219"/>
      <c r="N64" s="219"/>
      <c r="O64" s="222"/>
      <c r="P64" s="187" t="s">
        <v>39</v>
      </c>
      <c r="Q64" s="223" t="s">
        <v>39</v>
      </c>
      <c r="R64" s="223"/>
    </row>
    <row r="65" spans="1:20" ht="22.5" customHeight="1">
      <c r="A65" s="155"/>
      <c r="B65" s="224" t="s">
        <v>883</v>
      </c>
      <c r="C65" s="224" t="s">
        <v>884</v>
      </c>
      <c r="D65" s="206" t="s">
        <v>824</v>
      </c>
      <c r="E65" s="184" t="s">
        <v>42</v>
      </c>
      <c r="F65" s="184">
        <v>230</v>
      </c>
      <c r="G65" s="202" t="s">
        <v>39</v>
      </c>
      <c r="H65" s="186"/>
      <c r="I65" s="186"/>
      <c r="J65" s="186"/>
      <c r="K65" s="179" t="s">
        <v>39</v>
      </c>
      <c r="L65" s="186"/>
      <c r="M65" s="186"/>
      <c r="N65" s="186"/>
      <c r="O65" s="186"/>
      <c r="P65" s="186"/>
      <c r="Q65" s="187"/>
      <c r="R65" s="187" t="s">
        <v>39</v>
      </c>
    </row>
    <row r="66" spans="1:20" ht="22.5" customHeight="1">
      <c r="A66" s="155"/>
      <c r="B66" s="224" t="s">
        <v>885</v>
      </c>
      <c r="C66" s="224" t="s">
        <v>886</v>
      </c>
      <c r="D66" s="224" t="s">
        <v>887</v>
      </c>
      <c r="E66" s="225" t="s">
        <v>762</v>
      </c>
      <c r="F66" s="225">
        <v>100</v>
      </c>
      <c r="G66" s="202" t="s">
        <v>39</v>
      </c>
      <c r="H66" s="186"/>
      <c r="I66" s="186"/>
      <c r="J66" s="186"/>
      <c r="K66" s="179" t="s">
        <v>39</v>
      </c>
      <c r="L66" s="186"/>
      <c r="M66" s="186"/>
      <c r="N66" s="186"/>
      <c r="O66" s="186" t="s">
        <v>39</v>
      </c>
      <c r="P66" s="186"/>
      <c r="Q66" s="225"/>
      <c r="R66" s="225"/>
      <c r="S66" s="158" t="s">
        <v>888</v>
      </c>
    </row>
    <row r="67" spans="1:20" ht="22.5" customHeight="1">
      <c r="A67" s="155"/>
      <c r="B67" s="224" t="s">
        <v>889</v>
      </c>
      <c r="C67" s="224" t="s">
        <v>890</v>
      </c>
      <c r="D67" s="226" t="s">
        <v>891</v>
      </c>
      <c r="E67" s="225" t="s">
        <v>44</v>
      </c>
      <c r="F67" s="225">
        <v>120</v>
      </c>
      <c r="G67" s="202" t="s">
        <v>39</v>
      </c>
      <c r="H67" s="186"/>
      <c r="I67" s="186"/>
      <c r="J67" s="186"/>
      <c r="K67" s="179" t="s">
        <v>39</v>
      </c>
      <c r="L67" s="186"/>
      <c r="M67" s="186"/>
      <c r="N67" s="186"/>
      <c r="O67" s="225"/>
      <c r="P67" s="225"/>
      <c r="Q67" s="225"/>
      <c r="R67" s="225"/>
      <c r="S67" s="158" t="s">
        <v>892</v>
      </c>
    </row>
    <row r="68" spans="1:20" ht="22.5" customHeight="1">
      <c r="A68" s="155"/>
      <c r="B68" s="224" t="s">
        <v>893</v>
      </c>
      <c r="C68" s="224" t="s">
        <v>894</v>
      </c>
      <c r="D68" s="226" t="s">
        <v>6</v>
      </c>
      <c r="E68" s="225" t="s">
        <v>42</v>
      </c>
      <c r="F68" s="225">
        <v>230</v>
      </c>
      <c r="G68" s="227"/>
      <c r="H68" s="225"/>
      <c r="I68" s="225"/>
      <c r="J68" s="225"/>
      <c r="K68" s="179" t="s">
        <v>39</v>
      </c>
      <c r="L68" s="225"/>
      <c r="M68" s="225"/>
      <c r="N68" s="225"/>
      <c r="O68" s="225"/>
      <c r="P68" s="225"/>
      <c r="Q68" s="225"/>
      <c r="R68" s="225"/>
      <c r="S68" s="158" t="s">
        <v>895</v>
      </c>
    </row>
    <row r="69" spans="1:20" ht="22.5" customHeight="1">
      <c r="A69" s="155"/>
      <c r="B69" s="224" t="s">
        <v>896</v>
      </c>
      <c r="C69" s="224" t="s">
        <v>897</v>
      </c>
      <c r="D69" s="226" t="s">
        <v>6</v>
      </c>
      <c r="E69" s="225" t="s">
        <v>40</v>
      </c>
      <c r="F69" s="225">
        <v>230</v>
      </c>
      <c r="G69" s="227"/>
      <c r="H69" s="225"/>
      <c r="I69" s="225"/>
      <c r="J69" s="225"/>
      <c r="K69" s="179" t="s">
        <v>39</v>
      </c>
      <c r="L69" s="225"/>
      <c r="M69" s="225"/>
      <c r="N69" s="225"/>
      <c r="O69" s="225"/>
      <c r="P69" s="225"/>
      <c r="Q69" s="225"/>
      <c r="R69" s="225"/>
      <c r="S69" s="158" t="s">
        <v>9</v>
      </c>
    </row>
    <row r="70" spans="1:20" ht="22.5" customHeight="1">
      <c r="A70" s="155"/>
      <c r="B70" s="224" t="s">
        <v>898</v>
      </c>
      <c r="C70" s="224" t="s">
        <v>899</v>
      </c>
      <c r="D70" s="226" t="s">
        <v>891</v>
      </c>
      <c r="E70" s="225" t="s">
        <v>44</v>
      </c>
      <c r="F70" s="225">
        <v>120</v>
      </c>
      <c r="G70" s="202" t="s">
        <v>39</v>
      </c>
      <c r="H70" s="186"/>
      <c r="I70" s="186"/>
      <c r="J70" s="186"/>
      <c r="K70" s="179" t="s">
        <v>39</v>
      </c>
      <c r="L70" s="186"/>
      <c r="M70" s="186"/>
      <c r="N70" s="186"/>
      <c r="O70" s="225"/>
      <c r="P70" s="225"/>
      <c r="Q70" s="225"/>
      <c r="R70" s="225"/>
      <c r="S70" s="158" t="s">
        <v>900</v>
      </c>
    </row>
    <row r="71" spans="1:20" ht="22.5" customHeight="1">
      <c r="A71" s="155"/>
      <c r="B71" s="224" t="s">
        <v>901</v>
      </c>
      <c r="C71" s="224" t="s">
        <v>902</v>
      </c>
      <c r="D71" s="226" t="s">
        <v>6</v>
      </c>
      <c r="E71" s="225" t="s">
        <v>42</v>
      </c>
      <c r="F71" s="225">
        <v>230</v>
      </c>
      <c r="G71" s="227"/>
      <c r="H71" s="225"/>
      <c r="I71" s="225"/>
      <c r="J71" s="225"/>
      <c r="K71" s="179" t="s">
        <v>39</v>
      </c>
      <c r="L71" s="225"/>
      <c r="M71" s="225"/>
      <c r="N71" s="225"/>
      <c r="O71" s="225"/>
      <c r="P71" s="225"/>
      <c r="Q71" s="225"/>
      <c r="R71" s="225"/>
      <c r="S71" s="158" t="s">
        <v>903</v>
      </c>
    </row>
    <row r="72" spans="1:20" ht="22.5" customHeight="1">
      <c r="A72" s="155"/>
      <c r="B72" s="224" t="s">
        <v>904</v>
      </c>
      <c r="C72" s="224" t="s">
        <v>905</v>
      </c>
      <c r="D72" s="226" t="s">
        <v>6</v>
      </c>
      <c r="E72" s="225" t="s">
        <v>40</v>
      </c>
      <c r="F72" s="225">
        <v>230</v>
      </c>
      <c r="G72" s="227"/>
      <c r="H72" s="225"/>
      <c r="I72" s="225"/>
      <c r="J72" s="225"/>
      <c r="K72" s="179" t="s">
        <v>39</v>
      </c>
      <c r="L72" s="225"/>
      <c r="M72" s="225"/>
      <c r="N72" s="225"/>
      <c r="O72" s="225"/>
      <c r="P72" s="225"/>
      <c r="Q72" s="225"/>
      <c r="R72" s="225"/>
      <c r="S72" s="158" t="s">
        <v>23</v>
      </c>
    </row>
    <row r="73" spans="1:20" ht="22.5" customHeight="1">
      <c r="A73" s="155"/>
      <c r="B73" s="224" t="s">
        <v>906</v>
      </c>
      <c r="C73" s="224" t="s">
        <v>907</v>
      </c>
      <c r="D73" s="226" t="s">
        <v>6</v>
      </c>
      <c r="E73" s="225" t="s">
        <v>47</v>
      </c>
      <c r="F73" s="225">
        <v>120</v>
      </c>
      <c r="G73" s="227"/>
      <c r="H73" s="225"/>
      <c r="I73" s="225"/>
      <c r="J73" s="225"/>
      <c r="K73" s="179" t="s">
        <v>39</v>
      </c>
      <c r="L73" s="225"/>
      <c r="M73" s="225"/>
      <c r="N73" s="225"/>
      <c r="O73" s="225"/>
      <c r="P73" s="225"/>
      <c r="Q73" s="225"/>
      <c r="R73" s="225"/>
      <c r="S73" s="158" t="s">
        <v>13</v>
      </c>
    </row>
    <row r="74" spans="1:20" ht="22.5" customHeight="1">
      <c r="A74" s="155"/>
      <c r="B74" s="224" t="s">
        <v>908</v>
      </c>
      <c r="C74" s="224" t="s">
        <v>909</v>
      </c>
      <c r="D74" s="224" t="s">
        <v>887</v>
      </c>
      <c r="E74" s="225" t="s">
        <v>762</v>
      </c>
      <c r="F74" s="225">
        <v>100</v>
      </c>
      <c r="G74" s="202" t="s">
        <v>39</v>
      </c>
      <c r="H74" s="186"/>
      <c r="I74" s="186"/>
      <c r="J74" s="186"/>
      <c r="K74" s="179" t="s">
        <v>39</v>
      </c>
      <c r="L74" s="186"/>
      <c r="M74" s="186"/>
      <c r="N74" s="186"/>
      <c r="O74" s="186" t="s">
        <v>39</v>
      </c>
      <c r="P74" s="186"/>
      <c r="Q74" s="225"/>
      <c r="R74" s="225"/>
      <c r="S74" s="158" t="s">
        <v>910</v>
      </c>
    </row>
    <row r="75" spans="1:20" ht="22.5" customHeight="1">
      <c r="A75" s="155"/>
      <c r="B75" s="224" t="s">
        <v>911</v>
      </c>
      <c r="C75" s="224" t="s">
        <v>912</v>
      </c>
      <c r="D75" s="226" t="s">
        <v>6</v>
      </c>
      <c r="E75" s="225" t="s">
        <v>42</v>
      </c>
      <c r="F75" s="225">
        <v>230</v>
      </c>
      <c r="G75" s="227"/>
      <c r="H75" s="225"/>
      <c r="I75" s="225"/>
      <c r="J75" s="225"/>
      <c r="K75" s="179" t="s">
        <v>39</v>
      </c>
      <c r="L75" s="225"/>
      <c r="M75" s="225"/>
      <c r="N75" s="225"/>
      <c r="O75" s="225"/>
      <c r="P75" s="225"/>
      <c r="Q75" s="225"/>
      <c r="R75" s="225"/>
      <c r="S75" s="158" t="s">
        <v>913</v>
      </c>
    </row>
    <row r="76" spans="1:20" ht="22.5" customHeight="1">
      <c r="A76" s="155"/>
      <c r="B76" s="224" t="s">
        <v>914</v>
      </c>
      <c r="C76" s="224" t="s">
        <v>907</v>
      </c>
      <c r="D76" s="226" t="s">
        <v>6</v>
      </c>
      <c r="E76" s="225" t="s">
        <v>47</v>
      </c>
      <c r="F76" s="225">
        <v>120</v>
      </c>
      <c r="G76" s="227"/>
      <c r="H76" s="225"/>
      <c r="I76" s="225"/>
      <c r="J76" s="225"/>
      <c r="K76" s="179" t="s">
        <v>39</v>
      </c>
      <c r="L76" s="225"/>
      <c r="M76" s="225"/>
      <c r="N76" s="225"/>
      <c r="O76" s="225"/>
      <c r="P76" s="225"/>
      <c r="Q76" s="225"/>
      <c r="R76" s="225"/>
      <c r="S76" s="158" t="s">
        <v>15</v>
      </c>
    </row>
    <row r="77" spans="1:20" ht="22.5" customHeight="1">
      <c r="A77" s="170"/>
      <c r="B77" s="224" t="s">
        <v>915</v>
      </c>
      <c r="C77" s="224" t="s">
        <v>916</v>
      </c>
      <c r="D77" s="224" t="s">
        <v>917</v>
      </c>
      <c r="E77" s="225"/>
      <c r="F77" s="228">
        <v>100</v>
      </c>
      <c r="G77" s="198" t="s">
        <v>39</v>
      </c>
      <c r="H77" s="186"/>
      <c r="I77" s="199"/>
      <c r="J77" s="200"/>
      <c r="K77" s="179" t="s">
        <v>39</v>
      </c>
      <c r="L77" s="186"/>
      <c r="M77" s="186"/>
      <c r="N77" s="186"/>
      <c r="O77" s="186" t="s">
        <v>39</v>
      </c>
      <c r="P77" s="186"/>
      <c r="Q77" s="225"/>
      <c r="R77" s="225"/>
    </row>
    <row r="78" spans="1:20" ht="22.5" customHeight="1">
      <c r="A78" s="170"/>
      <c r="B78" s="224" t="s">
        <v>918</v>
      </c>
      <c r="C78" s="224" t="s">
        <v>919</v>
      </c>
      <c r="D78" s="224" t="s">
        <v>6</v>
      </c>
      <c r="E78" s="225"/>
      <c r="F78" s="228">
        <v>100</v>
      </c>
      <c r="G78" s="229"/>
      <c r="H78" s="225"/>
      <c r="I78" s="230"/>
      <c r="J78" s="231"/>
      <c r="K78" s="179" t="s">
        <v>39</v>
      </c>
      <c r="L78" s="225"/>
      <c r="M78" s="225"/>
      <c r="N78" s="225"/>
      <c r="O78" s="225"/>
      <c r="P78" s="225"/>
      <c r="Q78" s="225"/>
      <c r="R78" s="225"/>
    </row>
    <row r="79" spans="1:20" s="241" customFormat="1" ht="22.5" customHeight="1">
      <c r="A79" s="170"/>
      <c r="B79" s="232" t="s">
        <v>892</v>
      </c>
      <c r="C79" s="232" t="s">
        <v>920</v>
      </c>
      <c r="D79" s="233" t="s">
        <v>824</v>
      </c>
      <c r="E79" s="234" t="s">
        <v>44</v>
      </c>
      <c r="F79" s="235">
        <v>120</v>
      </c>
      <c r="G79" s="236"/>
      <c r="H79" s="237" t="s">
        <v>39</v>
      </c>
      <c r="I79" s="238"/>
      <c r="J79" s="239"/>
      <c r="K79" s="157"/>
      <c r="L79" s="237" t="s">
        <v>39</v>
      </c>
      <c r="M79" s="237"/>
      <c r="N79" s="237"/>
      <c r="O79" s="234"/>
      <c r="P79" s="234"/>
      <c r="Q79" s="234"/>
      <c r="R79" s="234"/>
      <c r="S79" s="240"/>
      <c r="T79" s="240"/>
    </row>
    <row r="80" spans="1:20" ht="22.5" customHeight="1">
      <c r="A80" s="170"/>
      <c r="B80" s="224" t="s">
        <v>921</v>
      </c>
      <c r="C80" s="224" t="s">
        <v>922</v>
      </c>
      <c r="D80" s="224" t="s">
        <v>891</v>
      </c>
      <c r="E80" s="225"/>
      <c r="F80" s="228">
        <v>120</v>
      </c>
      <c r="G80" s="198" t="s">
        <v>39</v>
      </c>
      <c r="H80" s="186"/>
      <c r="I80" s="199"/>
      <c r="J80" s="200"/>
      <c r="K80" s="179" t="s">
        <v>39</v>
      </c>
      <c r="L80" s="186"/>
      <c r="M80" s="186"/>
      <c r="N80" s="186"/>
      <c r="O80" s="225"/>
      <c r="P80" s="225"/>
      <c r="Q80" s="225"/>
      <c r="R80" s="225"/>
    </row>
    <row r="81" spans="1:20" s="241" customFormat="1" ht="22.5" customHeight="1">
      <c r="A81" s="170"/>
      <c r="B81" s="232" t="s">
        <v>923</v>
      </c>
      <c r="C81" s="232" t="s">
        <v>924</v>
      </c>
      <c r="D81" s="232" t="s">
        <v>891</v>
      </c>
      <c r="E81" s="234" t="s">
        <v>46</v>
      </c>
      <c r="F81" s="235">
        <v>230</v>
      </c>
      <c r="G81" s="236"/>
      <c r="H81" s="237" t="s">
        <v>39</v>
      </c>
      <c r="I81" s="238"/>
      <c r="J81" s="239"/>
      <c r="K81" s="157"/>
      <c r="L81" s="237" t="s">
        <v>39</v>
      </c>
      <c r="M81" s="237"/>
      <c r="N81" s="237"/>
      <c r="O81" s="234"/>
      <c r="P81" s="234"/>
      <c r="Q81" s="234"/>
      <c r="R81" s="234"/>
      <c r="S81" s="240"/>
      <c r="T81" s="240"/>
    </row>
    <row r="82" spans="1:20" s="241" customFormat="1" ht="22.5" customHeight="1">
      <c r="A82" s="170"/>
      <c r="B82" s="232" t="s">
        <v>895</v>
      </c>
      <c r="C82" s="232" t="s">
        <v>925</v>
      </c>
      <c r="D82" s="233" t="s">
        <v>761</v>
      </c>
      <c r="E82" s="242" t="s">
        <v>42</v>
      </c>
      <c r="F82" s="235">
        <v>230</v>
      </c>
      <c r="G82" s="229"/>
      <c r="H82" s="234"/>
      <c r="I82" s="243"/>
      <c r="J82" s="244"/>
      <c r="K82" s="245"/>
      <c r="L82" s="234"/>
      <c r="M82" s="234"/>
      <c r="N82" s="237" t="s">
        <v>39</v>
      </c>
      <c r="O82" s="234"/>
      <c r="P82" s="234"/>
      <c r="Q82" s="234"/>
      <c r="R82" s="234"/>
      <c r="S82" s="240"/>
      <c r="T82" s="240"/>
    </row>
    <row r="83" spans="1:20" s="241" customFormat="1" ht="22.5" customHeight="1">
      <c r="A83" s="170"/>
      <c r="B83" s="232" t="s">
        <v>9</v>
      </c>
      <c r="C83" s="232" t="s">
        <v>926</v>
      </c>
      <c r="D83" s="233" t="s">
        <v>761</v>
      </c>
      <c r="E83" s="234" t="s">
        <v>40</v>
      </c>
      <c r="F83" s="235">
        <v>230</v>
      </c>
      <c r="G83" s="229"/>
      <c r="H83" s="234"/>
      <c r="I83" s="243"/>
      <c r="J83" s="244"/>
      <c r="K83" s="245"/>
      <c r="L83" s="234"/>
      <c r="M83" s="234"/>
      <c r="N83" s="237" t="s">
        <v>39</v>
      </c>
      <c r="O83" s="234"/>
      <c r="P83" s="237" t="s">
        <v>39</v>
      </c>
      <c r="Q83" s="234"/>
      <c r="R83" s="234"/>
      <c r="S83" s="240"/>
      <c r="T83" s="240"/>
    </row>
    <row r="84" spans="1:20" s="241" customFormat="1" ht="22.5" customHeight="1">
      <c r="A84" s="170"/>
      <c r="B84" s="232" t="s">
        <v>10</v>
      </c>
      <c r="C84" s="232" t="s">
        <v>927</v>
      </c>
      <c r="D84" s="232" t="s">
        <v>6</v>
      </c>
      <c r="E84" s="234" t="s">
        <v>43</v>
      </c>
      <c r="F84" s="235">
        <v>230</v>
      </c>
      <c r="G84" s="229"/>
      <c r="H84" s="234"/>
      <c r="I84" s="243"/>
      <c r="J84" s="244"/>
      <c r="K84" s="245"/>
      <c r="L84" s="234"/>
      <c r="M84" s="234"/>
      <c r="N84" s="237" t="s">
        <v>39</v>
      </c>
      <c r="O84" s="234"/>
      <c r="P84" s="237" t="s">
        <v>39</v>
      </c>
      <c r="Q84" s="234"/>
      <c r="R84" s="234"/>
      <c r="S84" s="240"/>
      <c r="T84" s="240"/>
    </row>
    <row r="85" spans="1:20" s="241" customFormat="1" ht="22.5" customHeight="1">
      <c r="A85" s="170"/>
      <c r="B85" s="232" t="s">
        <v>928</v>
      </c>
      <c r="C85" s="232" t="s">
        <v>929</v>
      </c>
      <c r="D85" s="232" t="s">
        <v>6</v>
      </c>
      <c r="E85" s="234" t="s">
        <v>41</v>
      </c>
      <c r="F85" s="235">
        <v>220</v>
      </c>
      <c r="G85" s="229"/>
      <c r="H85" s="234"/>
      <c r="I85" s="243"/>
      <c r="J85" s="244"/>
      <c r="K85" s="245"/>
      <c r="L85" s="234"/>
      <c r="M85" s="234"/>
      <c r="N85" s="237" t="s">
        <v>39</v>
      </c>
      <c r="O85" s="234"/>
      <c r="P85" s="237" t="s">
        <v>39</v>
      </c>
      <c r="Q85" s="234"/>
      <c r="R85" s="234"/>
      <c r="S85" s="240"/>
      <c r="T85" s="240"/>
    </row>
    <row r="86" spans="1:20" ht="22.5" customHeight="1">
      <c r="A86" s="170"/>
      <c r="B86" s="224" t="s">
        <v>930</v>
      </c>
      <c r="C86" s="224" t="s">
        <v>931</v>
      </c>
      <c r="D86" s="224" t="s">
        <v>6</v>
      </c>
      <c r="E86" s="225" t="s">
        <v>41</v>
      </c>
      <c r="F86" s="228">
        <v>220</v>
      </c>
      <c r="G86" s="229"/>
      <c r="H86" s="225"/>
      <c r="I86" s="230"/>
      <c r="J86" s="231"/>
      <c r="K86" s="179" t="s">
        <v>39</v>
      </c>
      <c r="L86" s="225"/>
      <c r="M86" s="225"/>
      <c r="N86" s="225"/>
      <c r="O86" s="225"/>
      <c r="P86" s="225"/>
      <c r="Q86" s="225"/>
      <c r="R86" s="225"/>
    </row>
    <row r="87" spans="1:20" s="241" customFormat="1" ht="22.5" customHeight="1">
      <c r="A87" s="170"/>
      <c r="B87" s="232" t="s">
        <v>932</v>
      </c>
      <c r="C87" s="232" t="s">
        <v>933</v>
      </c>
      <c r="D87" s="232" t="s">
        <v>917</v>
      </c>
      <c r="E87" s="234" t="s">
        <v>45</v>
      </c>
      <c r="F87" s="235">
        <v>220</v>
      </c>
      <c r="G87" s="236"/>
      <c r="H87" s="237"/>
      <c r="I87" s="237" t="s">
        <v>39</v>
      </c>
      <c r="J87" s="239"/>
      <c r="K87" s="179"/>
      <c r="L87" s="237"/>
      <c r="M87" s="237" t="s">
        <v>39</v>
      </c>
      <c r="N87" s="237"/>
      <c r="O87" s="234"/>
      <c r="P87" s="237" t="s">
        <v>39</v>
      </c>
      <c r="Q87" s="234"/>
      <c r="R87" s="234"/>
      <c r="S87" s="240"/>
      <c r="T87" s="240"/>
    </row>
    <row r="88" spans="1:20" s="241" customFormat="1" ht="22.5" customHeight="1">
      <c r="A88" s="170"/>
      <c r="B88" s="232" t="s">
        <v>11</v>
      </c>
      <c r="C88" s="232" t="s">
        <v>934</v>
      </c>
      <c r="D88" s="232" t="s">
        <v>6</v>
      </c>
      <c r="E88" s="234" t="s">
        <v>47</v>
      </c>
      <c r="F88" s="235">
        <v>120</v>
      </c>
      <c r="G88" s="229"/>
      <c r="H88" s="234"/>
      <c r="I88" s="243"/>
      <c r="J88" s="244"/>
      <c r="K88" s="157"/>
      <c r="L88" s="234"/>
      <c r="M88" s="234"/>
      <c r="N88" s="237" t="s">
        <v>39</v>
      </c>
      <c r="O88" s="234"/>
      <c r="P88" s="237" t="s">
        <v>39</v>
      </c>
      <c r="Q88" s="234"/>
      <c r="R88" s="234"/>
      <c r="S88" s="240"/>
      <c r="T88" s="240"/>
    </row>
    <row r="89" spans="1:20" s="241" customFormat="1" ht="22.5" customHeight="1">
      <c r="A89" s="170"/>
      <c r="B89" s="232" t="s">
        <v>900</v>
      </c>
      <c r="C89" s="232" t="s">
        <v>935</v>
      </c>
      <c r="D89" s="233" t="s">
        <v>824</v>
      </c>
      <c r="E89" s="234" t="s">
        <v>44</v>
      </c>
      <c r="F89" s="235">
        <v>120</v>
      </c>
      <c r="G89" s="229"/>
      <c r="H89" s="237" t="s">
        <v>39</v>
      </c>
      <c r="I89" s="238"/>
      <c r="J89" s="239"/>
      <c r="K89" s="245"/>
      <c r="L89" s="237" t="s">
        <v>39</v>
      </c>
      <c r="M89" s="237"/>
      <c r="N89" s="237"/>
      <c r="O89" s="234"/>
      <c r="P89" s="234"/>
      <c r="Q89" s="234"/>
      <c r="R89" s="234"/>
      <c r="S89" s="240"/>
      <c r="T89" s="240"/>
    </row>
    <row r="90" spans="1:20" s="241" customFormat="1" ht="22.5" customHeight="1">
      <c r="A90" s="170"/>
      <c r="B90" s="232" t="s">
        <v>936</v>
      </c>
      <c r="C90" s="232" t="s">
        <v>937</v>
      </c>
      <c r="D90" s="232" t="s">
        <v>891</v>
      </c>
      <c r="E90" s="234" t="s">
        <v>46</v>
      </c>
      <c r="F90" s="235">
        <v>230</v>
      </c>
      <c r="G90" s="236"/>
      <c r="H90" s="237" t="s">
        <v>39</v>
      </c>
      <c r="I90" s="238"/>
      <c r="J90" s="239"/>
      <c r="K90" s="157"/>
      <c r="L90" s="237" t="s">
        <v>39</v>
      </c>
      <c r="M90" s="237"/>
      <c r="N90" s="237"/>
      <c r="O90" s="234"/>
      <c r="P90" s="234"/>
      <c r="Q90" s="234"/>
      <c r="R90" s="234"/>
      <c r="S90" s="240"/>
      <c r="T90" s="240"/>
    </row>
    <row r="91" spans="1:20" s="241" customFormat="1" ht="22.5" customHeight="1">
      <c r="A91" s="170"/>
      <c r="B91" s="232" t="s">
        <v>903</v>
      </c>
      <c r="C91" s="232" t="s">
        <v>938</v>
      </c>
      <c r="D91" s="233" t="s">
        <v>761</v>
      </c>
      <c r="E91" s="242" t="s">
        <v>42</v>
      </c>
      <c r="F91" s="235">
        <v>230</v>
      </c>
      <c r="G91" s="229"/>
      <c r="H91" s="234"/>
      <c r="I91" s="243"/>
      <c r="J91" s="244"/>
      <c r="K91" s="245"/>
      <c r="L91" s="234"/>
      <c r="M91" s="234"/>
      <c r="N91" s="237" t="s">
        <v>39</v>
      </c>
      <c r="O91" s="234"/>
      <c r="P91" s="234"/>
      <c r="Q91" s="234"/>
      <c r="R91" s="234"/>
      <c r="S91" s="240"/>
      <c r="T91" s="240"/>
    </row>
    <row r="92" spans="1:20" s="241" customFormat="1" ht="22.5" customHeight="1">
      <c r="A92" s="170"/>
      <c r="B92" s="232" t="s">
        <v>23</v>
      </c>
      <c r="C92" s="232" t="s">
        <v>939</v>
      </c>
      <c r="D92" s="233" t="s">
        <v>761</v>
      </c>
      <c r="E92" s="234" t="s">
        <v>40</v>
      </c>
      <c r="F92" s="235">
        <v>230</v>
      </c>
      <c r="G92" s="229"/>
      <c r="H92" s="234"/>
      <c r="I92" s="243"/>
      <c r="J92" s="244"/>
      <c r="K92" s="157"/>
      <c r="L92" s="234"/>
      <c r="M92" s="234"/>
      <c r="N92" s="237" t="s">
        <v>39</v>
      </c>
      <c r="O92" s="234"/>
      <c r="P92" s="237" t="s">
        <v>39</v>
      </c>
      <c r="Q92" s="234"/>
      <c r="R92" s="234"/>
      <c r="S92" s="240"/>
      <c r="T92" s="240"/>
    </row>
    <row r="93" spans="1:20" s="241" customFormat="1" ht="22.5" customHeight="1">
      <c r="A93" s="170"/>
      <c r="B93" s="232" t="s">
        <v>12</v>
      </c>
      <c r="C93" s="232" t="s">
        <v>940</v>
      </c>
      <c r="D93" s="232" t="s">
        <v>6</v>
      </c>
      <c r="E93" s="234" t="s">
        <v>43</v>
      </c>
      <c r="F93" s="235">
        <v>230</v>
      </c>
      <c r="G93" s="229"/>
      <c r="H93" s="234"/>
      <c r="I93" s="243"/>
      <c r="J93" s="244"/>
      <c r="K93" s="245"/>
      <c r="L93" s="234"/>
      <c r="M93" s="234"/>
      <c r="N93" s="237" t="s">
        <v>39</v>
      </c>
      <c r="O93" s="234"/>
      <c r="P93" s="237" t="s">
        <v>39</v>
      </c>
      <c r="Q93" s="234"/>
      <c r="R93" s="234"/>
      <c r="S93" s="240"/>
      <c r="T93" s="240"/>
    </row>
    <row r="94" spans="1:20" s="241" customFormat="1" ht="22.5" customHeight="1">
      <c r="A94" s="170"/>
      <c r="B94" s="232" t="s">
        <v>941</v>
      </c>
      <c r="C94" s="232" t="s">
        <v>942</v>
      </c>
      <c r="D94" s="232" t="s">
        <v>6</v>
      </c>
      <c r="E94" s="234" t="s">
        <v>41</v>
      </c>
      <c r="F94" s="235">
        <v>220</v>
      </c>
      <c r="G94" s="229"/>
      <c r="H94" s="234"/>
      <c r="I94" s="243"/>
      <c r="J94" s="244"/>
      <c r="K94" s="157"/>
      <c r="L94" s="234"/>
      <c r="M94" s="234"/>
      <c r="N94" s="237" t="s">
        <v>39</v>
      </c>
      <c r="O94" s="234"/>
      <c r="P94" s="237" t="s">
        <v>39</v>
      </c>
      <c r="Q94" s="234"/>
      <c r="R94" s="234"/>
      <c r="S94" s="240"/>
      <c r="T94" s="240"/>
    </row>
    <row r="95" spans="1:20" ht="22.5" customHeight="1">
      <c r="A95" s="170"/>
      <c r="B95" s="224" t="s">
        <v>943</v>
      </c>
      <c r="C95" s="224" t="s">
        <v>944</v>
      </c>
      <c r="D95" s="224" t="s">
        <v>6</v>
      </c>
      <c r="E95" s="225" t="s">
        <v>41</v>
      </c>
      <c r="F95" s="228">
        <v>220</v>
      </c>
      <c r="G95" s="229"/>
      <c r="H95" s="225"/>
      <c r="I95" s="230"/>
      <c r="J95" s="231"/>
      <c r="K95" s="179" t="s">
        <v>39</v>
      </c>
      <c r="L95" s="225"/>
      <c r="M95" s="225"/>
      <c r="N95" s="225"/>
      <c r="O95" s="225"/>
      <c r="P95" s="225"/>
      <c r="Q95" s="225"/>
      <c r="R95" s="225"/>
    </row>
    <row r="96" spans="1:20" s="241" customFormat="1" ht="22.5" customHeight="1">
      <c r="A96" s="170"/>
      <c r="B96" s="232" t="s">
        <v>945</v>
      </c>
      <c r="C96" s="232" t="s">
        <v>946</v>
      </c>
      <c r="D96" s="232" t="s">
        <v>917</v>
      </c>
      <c r="E96" s="234" t="s">
        <v>45</v>
      </c>
      <c r="F96" s="235">
        <v>220</v>
      </c>
      <c r="G96" s="236"/>
      <c r="H96" s="237"/>
      <c r="I96" s="237" t="s">
        <v>39</v>
      </c>
      <c r="J96" s="239"/>
      <c r="K96" s="179"/>
      <c r="L96" s="237"/>
      <c r="M96" s="237" t="s">
        <v>39</v>
      </c>
      <c r="N96" s="237"/>
      <c r="O96" s="234"/>
      <c r="P96" s="237" t="s">
        <v>39</v>
      </c>
      <c r="Q96" s="234"/>
      <c r="R96" s="234"/>
      <c r="S96" s="240"/>
      <c r="T96" s="240"/>
    </row>
    <row r="97" spans="1:20" s="241" customFormat="1" ht="22.5" customHeight="1">
      <c r="A97" s="170"/>
      <c r="B97" s="232" t="s">
        <v>13</v>
      </c>
      <c r="C97" s="232" t="s">
        <v>947</v>
      </c>
      <c r="D97" s="233" t="s">
        <v>761</v>
      </c>
      <c r="E97" s="234" t="s">
        <v>47</v>
      </c>
      <c r="F97" s="235">
        <v>120</v>
      </c>
      <c r="G97" s="229"/>
      <c r="H97" s="234"/>
      <c r="I97" s="243"/>
      <c r="J97" s="244"/>
      <c r="K97" s="157"/>
      <c r="L97" s="234"/>
      <c r="M97" s="234"/>
      <c r="N97" s="237" t="s">
        <v>39</v>
      </c>
      <c r="O97" s="234"/>
      <c r="P97" s="237" t="s">
        <v>39</v>
      </c>
      <c r="Q97" s="234"/>
      <c r="R97" s="234"/>
      <c r="S97" s="240"/>
      <c r="T97" s="240"/>
    </row>
    <row r="98" spans="1:20" ht="22.5" customHeight="1">
      <c r="A98" s="170"/>
      <c r="B98" s="224" t="s">
        <v>948</v>
      </c>
      <c r="C98" s="224" t="s">
        <v>949</v>
      </c>
      <c r="D98" s="224" t="s">
        <v>917</v>
      </c>
      <c r="E98" s="225"/>
      <c r="F98" s="228">
        <v>100</v>
      </c>
      <c r="G98" s="198" t="s">
        <v>39</v>
      </c>
      <c r="H98" s="186"/>
      <c r="I98" s="199"/>
      <c r="J98" s="200"/>
      <c r="K98" s="179" t="s">
        <v>39</v>
      </c>
      <c r="L98" s="186"/>
      <c r="M98" s="186"/>
      <c r="N98" s="186"/>
      <c r="O98" s="186" t="s">
        <v>39</v>
      </c>
      <c r="P98" s="186"/>
      <c r="Q98" s="225"/>
      <c r="R98" s="225"/>
    </row>
    <row r="99" spans="1:20" s="241" customFormat="1" ht="22.5" customHeight="1">
      <c r="A99" s="170"/>
      <c r="B99" s="232" t="s">
        <v>913</v>
      </c>
      <c r="C99" s="232" t="s">
        <v>950</v>
      </c>
      <c r="D99" s="233" t="s">
        <v>761</v>
      </c>
      <c r="E99" s="242" t="s">
        <v>42</v>
      </c>
      <c r="F99" s="235">
        <v>230</v>
      </c>
      <c r="G99" s="229"/>
      <c r="H99" s="234"/>
      <c r="I99" s="243"/>
      <c r="J99" s="244"/>
      <c r="K99" s="157"/>
      <c r="L99" s="234"/>
      <c r="M99" s="234"/>
      <c r="N99" s="237" t="s">
        <v>39</v>
      </c>
      <c r="O99" s="234"/>
      <c r="P99" s="234"/>
      <c r="Q99" s="234"/>
      <c r="R99" s="234"/>
      <c r="S99" s="240"/>
      <c r="T99" s="240"/>
    </row>
    <row r="100" spans="1:20" s="241" customFormat="1" ht="22.5" customHeight="1">
      <c r="A100" s="170"/>
      <c r="B100" s="232" t="s">
        <v>24</v>
      </c>
      <c r="C100" s="232" t="s">
        <v>951</v>
      </c>
      <c r="D100" s="232" t="s">
        <v>6</v>
      </c>
      <c r="E100" s="234" t="s">
        <v>40</v>
      </c>
      <c r="F100" s="235">
        <v>230</v>
      </c>
      <c r="G100" s="229"/>
      <c r="H100" s="234"/>
      <c r="I100" s="243"/>
      <c r="J100" s="244"/>
      <c r="K100" s="245"/>
      <c r="L100" s="234"/>
      <c r="M100" s="234"/>
      <c r="N100" s="237" t="s">
        <v>39</v>
      </c>
      <c r="O100" s="234"/>
      <c r="P100" s="237" t="s">
        <v>39</v>
      </c>
      <c r="Q100" s="234"/>
      <c r="R100" s="234"/>
      <c r="S100" s="240"/>
      <c r="T100" s="240"/>
    </row>
    <row r="101" spans="1:20" s="241" customFormat="1" ht="22.5" customHeight="1">
      <c r="A101" s="170"/>
      <c r="B101" s="232" t="s">
        <v>14</v>
      </c>
      <c r="C101" s="232" t="s">
        <v>952</v>
      </c>
      <c r="D101" s="232" t="s">
        <v>6</v>
      </c>
      <c r="E101" s="234" t="s">
        <v>43</v>
      </c>
      <c r="F101" s="235">
        <v>230</v>
      </c>
      <c r="G101" s="229"/>
      <c r="H101" s="234"/>
      <c r="I101" s="243"/>
      <c r="J101" s="244"/>
      <c r="K101" s="157"/>
      <c r="L101" s="234"/>
      <c r="M101" s="234"/>
      <c r="N101" s="237" t="s">
        <v>39</v>
      </c>
      <c r="O101" s="234"/>
      <c r="P101" s="237" t="s">
        <v>39</v>
      </c>
      <c r="Q101" s="234"/>
      <c r="R101" s="234"/>
      <c r="S101" s="240"/>
      <c r="T101" s="240"/>
    </row>
    <row r="102" spans="1:20" s="241" customFormat="1" ht="22.5" customHeight="1">
      <c r="A102" s="170"/>
      <c r="B102" s="232" t="s">
        <v>953</v>
      </c>
      <c r="C102" s="232" t="s">
        <v>954</v>
      </c>
      <c r="D102" s="232" t="s">
        <v>6</v>
      </c>
      <c r="E102" s="234" t="s">
        <v>41</v>
      </c>
      <c r="F102" s="235">
        <v>220</v>
      </c>
      <c r="G102" s="229"/>
      <c r="H102" s="234"/>
      <c r="I102" s="243"/>
      <c r="J102" s="244"/>
      <c r="K102" s="245"/>
      <c r="L102" s="234"/>
      <c r="M102" s="234"/>
      <c r="N102" s="237" t="s">
        <v>39</v>
      </c>
      <c r="O102" s="234"/>
      <c r="P102" s="237" t="s">
        <v>39</v>
      </c>
      <c r="Q102" s="234"/>
      <c r="R102" s="234"/>
      <c r="S102" s="240"/>
      <c r="T102" s="240"/>
    </row>
    <row r="103" spans="1:20" ht="22.5" customHeight="1">
      <c r="A103" s="170"/>
      <c r="B103" s="224" t="s">
        <v>955</v>
      </c>
      <c r="C103" s="224" t="s">
        <v>956</v>
      </c>
      <c r="D103" s="224" t="s">
        <v>6</v>
      </c>
      <c r="E103" s="225" t="s">
        <v>41</v>
      </c>
      <c r="F103" s="228">
        <v>220</v>
      </c>
      <c r="G103" s="229"/>
      <c r="H103" s="225"/>
      <c r="I103" s="230"/>
      <c r="J103" s="231"/>
      <c r="K103" s="179" t="s">
        <v>39</v>
      </c>
      <c r="L103" s="225"/>
      <c r="M103" s="225"/>
      <c r="N103" s="225"/>
      <c r="O103" s="225"/>
      <c r="P103" s="225"/>
      <c r="Q103" s="225"/>
      <c r="R103" s="225"/>
    </row>
    <row r="104" spans="1:20" s="241" customFormat="1" ht="22.5" customHeight="1">
      <c r="A104" s="170"/>
      <c r="B104" s="232" t="s">
        <v>957</v>
      </c>
      <c r="C104" s="232" t="s">
        <v>958</v>
      </c>
      <c r="D104" s="232" t="s">
        <v>917</v>
      </c>
      <c r="E104" s="234" t="s">
        <v>45</v>
      </c>
      <c r="F104" s="235">
        <v>220</v>
      </c>
      <c r="G104" s="236"/>
      <c r="H104" s="237"/>
      <c r="I104" s="237" t="s">
        <v>39</v>
      </c>
      <c r="J104" s="239"/>
      <c r="K104" s="179"/>
      <c r="L104" s="237"/>
      <c r="M104" s="237" t="s">
        <v>39</v>
      </c>
      <c r="N104" s="237"/>
      <c r="O104" s="234"/>
      <c r="P104" s="237" t="s">
        <v>39</v>
      </c>
      <c r="Q104" s="234"/>
      <c r="R104" s="234"/>
      <c r="S104" s="240"/>
      <c r="T104" s="240"/>
    </row>
    <row r="105" spans="1:20" s="241" customFormat="1" ht="22.5" customHeight="1">
      <c r="A105" s="170"/>
      <c r="B105" s="232" t="s">
        <v>15</v>
      </c>
      <c r="C105" s="232" t="s">
        <v>959</v>
      </c>
      <c r="D105" s="233" t="s">
        <v>761</v>
      </c>
      <c r="E105" s="234" t="s">
        <v>47</v>
      </c>
      <c r="F105" s="235">
        <v>120</v>
      </c>
      <c r="G105" s="229"/>
      <c r="H105" s="234"/>
      <c r="I105" s="243"/>
      <c r="J105" s="244"/>
      <c r="K105" s="157"/>
      <c r="L105" s="234"/>
      <c r="M105" s="234"/>
      <c r="N105" s="237" t="s">
        <v>39</v>
      </c>
      <c r="O105" s="234"/>
      <c r="P105" s="237" t="s">
        <v>39</v>
      </c>
      <c r="Q105" s="234"/>
      <c r="R105" s="234"/>
      <c r="S105" s="240"/>
      <c r="T105" s="240"/>
    </row>
    <row r="106" spans="1:20" s="241" customFormat="1" ht="22.5" customHeight="1">
      <c r="A106" s="170"/>
      <c r="B106" s="232" t="s">
        <v>888</v>
      </c>
      <c r="C106" s="232" t="s">
        <v>960</v>
      </c>
      <c r="D106" s="232" t="s">
        <v>961</v>
      </c>
      <c r="E106" s="234" t="s">
        <v>762</v>
      </c>
      <c r="F106" s="235">
        <v>100</v>
      </c>
      <c r="G106" s="198"/>
      <c r="H106" s="237"/>
      <c r="I106" s="237" t="s">
        <v>39</v>
      </c>
      <c r="J106" s="239"/>
      <c r="K106" s="179"/>
      <c r="L106" s="237"/>
      <c r="M106" s="237" t="s">
        <v>39</v>
      </c>
      <c r="O106" s="237" t="s">
        <v>39</v>
      </c>
      <c r="P106" s="237" t="s">
        <v>39</v>
      </c>
      <c r="Q106" s="234"/>
      <c r="R106" s="234"/>
      <c r="S106" s="240" t="s">
        <v>962</v>
      </c>
      <c r="T106" s="240"/>
    </row>
    <row r="107" spans="1:20" s="241" customFormat="1" ht="22.5" customHeight="1">
      <c r="A107" s="170"/>
      <c r="B107" s="232" t="s">
        <v>963</v>
      </c>
      <c r="C107" s="232" t="s">
        <v>964</v>
      </c>
      <c r="D107" s="232" t="s">
        <v>961</v>
      </c>
      <c r="E107" s="234" t="s">
        <v>762</v>
      </c>
      <c r="F107" s="235">
        <v>100</v>
      </c>
      <c r="G107" s="229"/>
      <c r="H107" s="234"/>
      <c r="I107" s="243"/>
      <c r="J107" s="244"/>
      <c r="K107" s="245"/>
      <c r="L107" s="234"/>
      <c r="M107" s="234"/>
      <c r="N107" s="237" t="s">
        <v>39</v>
      </c>
      <c r="O107" s="234"/>
      <c r="P107" s="237" t="s">
        <v>39</v>
      </c>
      <c r="Q107" s="234"/>
      <c r="R107" s="234"/>
      <c r="S107" s="240" t="s">
        <v>965</v>
      </c>
      <c r="T107" s="240"/>
    </row>
    <row r="108" spans="1:20" s="241" customFormat="1" ht="22.5" customHeight="1">
      <c r="A108" s="170"/>
      <c r="B108" s="232" t="s">
        <v>910</v>
      </c>
      <c r="C108" s="232" t="s">
        <v>966</v>
      </c>
      <c r="D108" s="232" t="s">
        <v>887</v>
      </c>
      <c r="E108" s="234" t="s">
        <v>762</v>
      </c>
      <c r="F108" s="235">
        <v>100</v>
      </c>
      <c r="G108" s="236"/>
      <c r="H108" s="237"/>
      <c r="I108" s="237" t="s">
        <v>39</v>
      </c>
      <c r="J108" s="239"/>
      <c r="K108" s="157"/>
      <c r="L108" s="237"/>
      <c r="M108" s="237" t="s">
        <v>39</v>
      </c>
      <c r="N108" s="237"/>
      <c r="O108" s="237" t="s">
        <v>39</v>
      </c>
      <c r="P108" s="237" t="s">
        <v>39</v>
      </c>
      <c r="Q108" s="234"/>
      <c r="R108" s="234"/>
      <c r="S108" s="240" t="s">
        <v>967</v>
      </c>
      <c r="T108" s="240"/>
    </row>
    <row r="109" spans="1:20" ht="22.5" customHeight="1">
      <c r="A109" s="155"/>
      <c r="B109" s="224" t="s">
        <v>968</v>
      </c>
      <c r="C109" s="224" t="s">
        <v>969</v>
      </c>
      <c r="D109" s="224" t="s">
        <v>961</v>
      </c>
      <c r="E109" s="225" t="s">
        <v>762</v>
      </c>
      <c r="F109" s="225">
        <v>100</v>
      </c>
      <c r="G109" s="227"/>
      <c r="H109" s="225"/>
      <c r="I109" s="225"/>
      <c r="J109" s="225"/>
      <c r="K109" s="227"/>
      <c r="L109" s="225"/>
      <c r="M109" s="225"/>
      <c r="N109" s="225"/>
      <c r="O109" s="200" t="s">
        <v>39</v>
      </c>
      <c r="P109" s="225"/>
      <c r="Q109" s="225"/>
      <c r="R109" s="225"/>
      <c r="S109" s="158" t="s">
        <v>963</v>
      </c>
    </row>
    <row r="110" spans="1:20" s="252" customFormat="1" ht="22.5" customHeight="1">
      <c r="A110" s="170"/>
      <c r="B110" s="246" t="s">
        <v>970</v>
      </c>
      <c r="C110" s="246" t="s">
        <v>971</v>
      </c>
      <c r="D110" s="246"/>
      <c r="E110" s="247" t="s">
        <v>762</v>
      </c>
      <c r="F110" s="248">
        <v>100</v>
      </c>
      <c r="G110" s="229"/>
      <c r="H110" s="247"/>
      <c r="I110" s="237" t="s">
        <v>39</v>
      </c>
      <c r="J110" s="249"/>
      <c r="K110" s="157"/>
      <c r="L110" s="247"/>
      <c r="M110" s="237" t="s">
        <v>39</v>
      </c>
      <c r="N110" s="247"/>
      <c r="O110" s="250" t="s">
        <v>39</v>
      </c>
      <c r="P110" s="250" t="s">
        <v>39</v>
      </c>
      <c r="Q110" s="247"/>
      <c r="R110" s="247"/>
      <c r="S110" s="251"/>
      <c r="T110" s="251"/>
    </row>
    <row r="111" spans="1:20" s="252" customFormat="1" ht="22.5" customHeight="1">
      <c r="A111" s="170"/>
      <c r="B111" s="246" t="s">
        <v>17</v>
      </c>
      <c r="C111" s="246" t="s">
        <v>972</v>
      </c>
      <c r="D111" s="246"/>
      <c r="E111" s="247" t="s">
        <v>40</v>
      </c>
      <c r="F111" s="248">
        <v>230</v>
      </c>
      <c r="G111" s="229"/>
      <c r="H111" s="247"/>
      <c r="I111" s="253"/>
      <c r="J111" s="254"/>
      <c r="K111" s="179"/>
      <c r="L111" s="247"/>
      <c r="M111" s="247"/>
      <c r="N111" s="250" t="s">
        <v>39</v>
      </c>
      <c r="O111" s="247"/>
      <c r="P111" s="250" t="s">
        <v>39</v>
      </c>
      <c r="Q111" s="247"/>
      <c r="R111" s="247"/>
      <c r="S111" s="251"/>
      <c r="T111" s="251"/>
    </row>
    <row r="112" spans="1:20" s="252" customFormat="1" ht="22.5" customHeight="1">
      <c r="A112" s="170"/>
      <c r="B112" s="246" t="s">
        <v>18</v>
      </c>
      <c r="C112" s="246" t="s">
        <v>973</v>
      </c>
      <c r="D112" s="246"/>
      <c r="E112" s="247" t="s">
        <v>43</v>
      </c>
      <c r="F112" s="248">
        <v>230</v>
      </c>
      <c r="G112" s="198"/>
      <c r="H112" s="250"/>
      <c r="I112" s="255"/>
      <c r="J112" s="249"/>
      <c r="K112" s="179"/>
      <c r="L112" s="250"/>
      <c r="M112" s="250"/>
      <c r="N112" s="250" t="s">
        <v>39</v>
      </c>
      <c r="O112" s="247"/>
      <c r="P112" s="250" t="s">
        <v>39</v>
      </c>
      <c r="Q112" s="247"/>
      <c r="R112" s="247"/>
      <c r="S112" s="251"/>
      <c r="T112" s="251"/>
    </row>
    <row r="113" spans="1:20" s="252" customFormat="1" ht="22.5" customHeight="1">
      <c r="A113" s="170"/>
      <c r="B113" s="246" t="s">
        <v>974</v>
      </c>
      <c r="C113" s="246" t="s">
        <v>975</v>
      </c>
      <c r="D113" s="256"/>
      <c r="E113" s="247" t="s">
        <v>47</v>
      </c>
      <c r="F113" s="248">
        <v>120</v>
      </c>
      <c r="G113" s="229"/>
      <c r="H113" s="247"/>
      <c r="I113" s="253"/>
      <c r="J113" s="254"/>
      <c r="K113" s="179"/>
      <c r="L113" s="247"/>
      <c r="M113" s="247"/>
      <c r="N113" s="250" t="s">
        <v>39</v>
      </c>
      <c r="O113" s="247"/>
      <c r="P113" s="250" t="s">
        <v>39</v>
      </c>
      <c r="Q113" s="247"/>
      <c r="R113" s="247"/>
      <c r="S113" s="251"/>
      <c r="T113" s="251"/>
    </row>
    <row r="114" spans="1:20" s="262" customFormat="1" ht="22.5" customHeight="1">
      <c r="A114" s="170"/>
      <c r="B114" s="257" t="s">
        <v>20</v>
      </c>
      <c r="C114" s="257" t="s">
        <v>976</v>
      </c>
      <c r="D114" s="257"/>
      <c r="E114" s="258" t="s">
        <v>46</v>
      </c>
      <c r="F114" s="259">
        <v>120</v>
      </c>
      <c r="G114" s="229"/>
      <c r="H114" s="258"/>
      <c r="I114" s="237" t="s">
        <v>39</v>
      </c>
      <c r="J114" s="260"/>
      <c r="K114" s="157"/>
      <c r="L114" s="258"/>
      <c r="M114" s="237" t="s">
        <v>39</v>
      </c>
      <c r="N114" s="258"/>
      <c r="O114" s="258"/>
      <c r="P114" s="258"/>
      <c r="Q114" s="258"/>
      <c r="R114" s="258"/>
      <c r="S114" s="261"/>
      <c r="T114" s="261"/>
    </row>
    <row r="115" spans="1:20" s="241" customFormat="1" ht="22.5" customHeight="1">
      <c r="B115" s="232" t="s">
        <v>977</v>
      </c>
      <c r="C115" s="232" t="s">
        <v>978</v>
      </c>
      <c r="D115" s="232" t="s">
        <v>979</v>
      </c>
      <c r="E115" s="234" t="s">
        <v>762</v>
      </c>
      <c r="F115" s="234">
        <v>100</v>
      </c>
      <c r="G115" s="227"/>
      <c r="H115" s="234"/>
      <c r="I115" s="234"/>
      <c r="J115" s="234"/>
      <c r="K115" s="179"/>
      <c r="L115" s="234"/>
      <c r="M115" s="234"/>
      <c r="N115" s="237" t="s">
        <v>39</v>
      </c>
      <c r="O115" s="234"/>
      <c r="P115" s="237" t="s">
        <v>39</v>
      </c>
      <c r="Q115" s="234"/>
      <c r="R115" s="234"/>
      <c r="S115" s="240"/>
      <c r="T115" s="240"/>
    </row>
    <row r="116" spans="1:20" s="241" customFormat="1" ht="22.5" customHeight="1">
      <c r="B116" s="232" t="s">
        <v>980</v>
      </c>
      <c r="C116" s="232" t="s">
        <v>981</v>
      </c>
      <c r="D116" s="232" t="s">
        <v>979</v>
      </c>
      <c r="E116" s="234" t="s">
        <v>41</v>
      </c>
      <c r="F116" s="234">
        <v>230</v>
      </c>
      <c r="G116" s="202"/>
      <c r="H116" s="237"/>
      <c r="I116" s="237"/>
      <c r="J116" s="237"/>
      <c r="K116" s="179"/>
      <c r="L116" s="237"/>
      <c r="M116" s="237"/>
      <c r="N116" s="237" t="s">
        <v>39</v>
      </c>
      <c r="O116" s="234"/>
      <c r="P116" s="237" t="s">
        <v>39</v>
      </c>
      <c r="Q116" s="234"/>
      <c r="R116" s="234"/>
      <c r="S116" s="240"/>
      <c r="T116" s="240"/>
    </row>
    <row r="117" spans="1:20" s="241" customFormat="1" ht="22.5" customHeight="1">
      <c r="B117" s="232" t="s">
        <v>982</v>
      </c>
      <c r="C117" s="232" t="s">
        <v>983</v>
      </c>
      <c r="D117" s="233" t="s">
        <v>979</v>
      </c>
      <c r="E117" s="234" t="s">
        <v>41</v>
      </c>
      <c r="F117" s="234">
        <v>230</v>
      </c>
      <c r="G117" s="227"/>
      <c r="H117" s="234"/>
      <c r="I117" s="234"/>
      <c r="J117" s="234"/>
      <c r="K117" s="179"/>
      <c r="L117" s="234"/>
      <c r="M117" s="234"/>
      <c r="N117" s="237" t="s">
        <v>39</v>
      </c>
      <c r="O117" s="234"/>
      <c r="P117" s="237" t="s">
        <v>39</v>
      </c>
      <c r="Q117" s="234"/>
      <c r="R117" s="234"/>
      <c r="S117" s="240"/>
      <c r="T117" s="240"/>
    </row>
    <row r="118" spans="1:20" s="241" customFormat="1" ht="22.5" customHeight="1">
      <c r="B118" s="232" t="s">
        <v>984</v>
      </c>
      <c r="C118" s="232" t="s">
        <v>985</v>
      </c>
      <c r="D118" s="232" t="s">
        <v>979</v>
      </c>
      <c r="E118" s="234" t="s">
        <v>41</v>
      </c>
      <c r="F118" s="234">
        <v>230</v>
      </c>
      <c r="G118" s="227"/>
      <c r="H118" s="234"/>
      <c r="I118" s="234"/>
      <c r="J118" s="234"/>
      <c r="K118" s="179"/>
      <c r="L118" s="234"/>
      <c r="M118" s="234"/>
      <c r="N118" s="237" t="s">
        <v>39</v>
      </c>
      <c r="O118" s="234"/>
      <c r="P118" s="237" t="s">
        <v>39</v>
      </c>
      <c r="Q118" s="234"/>
      <c r="R118" s="234"/>
      <c r="S118" s="240"/>
      <c r="T118" s="240"/>
    </row>
    <row r="119" spans="1:20" s="262" customFormat="1" ht="22.5" customHeight="1">
      <c r="A119" s="170"/>
      <c r="B119" s="257" t="s">
        <v>22</v>
      </c>
      <c r="C119" s="257" t="s">
        <v>986</v>
      </c>
      <c r="D119" s="257"/>
      <c r="E119" s="258" t="s">
        <v>42</v>
      </c>
      <c r="F119" s="259">
        <v>230</v>
      </c>
      <c r="G119" s="236"/>
      <c r="H119" s="258"/>
      <c r="I119" s="237" t="s">
        <v>39</v>
      </c>
      <c r="J119" s="260"/>
      <c r="K119" s="157"/>
      <c r="L119" s="258"/>
      <c r="M119" s="237" t="s">
        <v>39</v>
      </c>
      <c r="N119" s="258"/>
      <c r="O119" s="258"/>
      <c r="P119" s="258"/>
      <c r="Q119" s="258"/>
      <c r="R119" s="258"/>
      <c r="S119" s="261"/>
      <c r="T119" s="261"/>
    </row>
    <row r="120" spans="1:20" s="241" customFormat="1" ht="22.5" customHeight="1">
      <c r="B120" s="232" t="s">
        <v>16</v>
      </c>
      <c r="C120" s="232" t="s">
        <v>987</v>
      </c>
      <c r="D120" s="232" t="s">
        <v>979</v>
      </c>
      <c r="E120" s="234" t="s">
        <v>44</v>
      </c>
      <c r="F120" s="234">
        <v>120</v>
      </c>
      <c r="G120" s="202"/>
      <c r="H120" s="237" t="s">
        <v>39</v>
      </c>
      <c r="I120" s="237"/>
      <c r="J120" s="237"/>
      <c r="K120" s="179"/>
      <c r="L120" s="237" t="s">
        <v>39</v>
      </c>
      <c r="M120" s="237"/>
      <c r="N120" s="237"/>
      <c r="O120" s="234"/>
      <c r="P120" s="234"/>
      <c r="Q120" s="234"/>
      <c r="R120" s="234"/>
      <c r="S120" s="240"/>
      <c r="T120" s="240"/>
    </row>
    <row r="121" spans="1:20" s="241" customFormat="1" ht="22.5" customHeight="1">
      <c r="B121" s="232" t="s">
        <v>988</v>
      </c>
      <c r="C121" s="232" t="s">
        <v>989</v>
      </c>
      <c r="D121" s="232" t="s">
        <v>979</v>
      </c>
      <c r="E121" s="234" t="s">
        <v>762</v>
      </c>
      <c r="F121" s="234">
        <v>100</v>
      </c>
      <c r="G121" s="227"/>
      <c r="H121" s="234"/>
      <c r="I121" s="237" t="s">
        <v>39</v>
      </c>
      <c r="J121" s="237"/>
      <c r="K121" s="179"/>
      <c r="L121" s="234"/>
      <c r="M121" s="237" t="s">
        <v>39</v>
      </c>
      <c r="N121" s="234"/>
      <c r="O121" s="234"/>
      <c r="P121" s="237" t="s">
        <v>39</v>
      </c>
      <c r="Q121" s="234"/>
      <c r="R121" s="234"/>
      <c r="S121" s="240"/>
      <c r="T121" s="240"/>
    </row>
    <row r="122" spans="1:20" s="241" customFormat="1" ht="22.5" customHeight="1">
      <c r="B122" s="232" t="s">
        <v>990</v>
      </c>
      <c r="C122" s="232" t="s">
        <v>991</v>
      </c>
      <c r="D122" s="232" t="s">
        <v>979</v>
      </c>
      <c r="E122" s="234" t="s">
        <v>762</v>
      </c>
      <c r="F122" s="234">
        <v>100</v>
      </c>
      <c r="G122" s="227"/>
      <c r="H122" s="234"/>
      <c r="I122" s="237" t="s">
        <v>39</v>
      </c>
      <c r="J122" s="237"/>
      <c r="K122" s="179"/>
      <c r="L122" s="234"/>
      <c r="M122" s="237" t="s">
        <v>39</v>
      </c>
      <c r="N122" s="234"/>
      <c r="O122" s="234"/>
      <c r="P122" s="237" t="s">
        <v>39</v>
      </c>
      <c r="Q122" s="234"/>
      <c r="R122" s="234"/>
      <c r="S122" s="240"/>
      <c r="T122" s="240"/>
    </row>
    <row r="123" spans="1:20" s="252" customFormat="1" ht="22.5" customHeight="1">
      <c r="A123" s="170"/>
      <c r="B123" s="246" t="s">
        <v>19</v>
      </c>
      <c r="C123" s="246" t="s">
        <v>992</v>
      </c>
      <c r="D123" s="246"/>
      <c r="E123" s="247" t="s">
        <v>41</v>
      </c>
      <c r="F123" s="248">
        <v>220</v>
      </c>
      <c r="G123" s="229"/>
      <c r="H123" s="247"/>
      <c r="I123" s="253"/>
      <c r="J123" s="254"/>
      <c r="K123" s="179"/>
      <c r="L123" s="247"/>
      <c r="M123" s="247"/>
      <c r="N123" s="250" t="s">
        <v>39</v>
      </c>
      <c r="O123" s="247"/>
      <c r="P123" s="250" t="s">
        <v>39</v>
      </c>
      <c r="Q123" s="247"/>
      <c r="R123" s="247"/>
      <c r="S123" s="251"/>
      <c r="T123" s="251"/>
    </row>
    <row r="124" spans="1:20" s="262" customFormat="1" ht="22.5" customHeight="1">
      <c r="A124" s="170"/>
      <c r="B124" s="257" t="s">
        <v>993</v>
      </c>
      <c r="C124" s="257" t="s">
        <v>994</v>
      </c>
      <c r="D124" s="257"/>
      <c r="E124" s="258" t="s">
        <v>45</v>
      </c>
      <c r="F124" s="259">
        <v>220</v>
      </c>
      <c r="G124" s="198"/>
      <c r="H124" s="263"/>
      <c r="I124" s="237" t="s">
        <v>39</v>
      </c>
      <c r="J124" s="260"/>
      <c r="K124" s="245"/>
      <c r="L124" s="263"/>
      <c r="M124" s="237" t="s">
        <v>39</v>
      </c>
      <c r="N124" s="263"/>
      <c r="O124" s="258"/>
      <c r="P124" s="263" t="s">
        <v>39</v>
      </c>
      <c r="Q124" s="258"/>
      <c r="R124" s="258"/>
      <c r="S124" s="261"/>
      <c r="T124" s="261"/>
    </row>
    <row r="125" spans="1:20" s="262" customFormat="1" ht="22.5" customHeight="1">
      <c r="A125" s="170"/>
      <c r="B125" s="257" t="s">
        <v>21</v>
      </c>
      <c r="C125" s="257" t="s">
        <v>995</v>
      </c>
      <c r="D125" s="264"/>
      <c r="E125" s="258" t="s">
        <v>46</v>
      </c>
      <c r="F125" s="259">
        <v>230</v>
      </c>
      <c r="G125" s="229"/>
      <c r="H125" s="258"/>
      <c r="I125" s="237" t="s">
        <v>39</v>
      </c>
      <c r="J125" s="260"/>
      <c r="K125" s="157"/>
      <c r="L125" s="258"/>
      <c r="M125" s="237" t="s">
        <v>39</v>
      </c>
      <c r="N125" s="258"/>
      <c r="O125" s="258"/>
      <c r="P125" s="258"/>
      <c r="Q125" s="258"/>
      <c r="R125" s="258"/>
      <c r="S125" s="261"/>
      <c r="T125" s="261"/>
    </row>
    <row r="126" spans="1:20" s="271" customFormat="1" ht="22.5" customHeight="1">
      <c r="A126" s="170"/>
      <c r="B126" s="265" t="s">
        <v>996</v>
      </c>
      <c r="C126" s="265" t="s">
        <v>997</v>
      </c>
      <c r="D126" s="265"/>
      <c r="E126" s="266" t="s">
        <v>42</v>
      </c>
      <c r="F126" s="267">
        <v>230</v>
      </c>
      <c r="G126" s="198"/>
      <c r="H126" s="268"/>
      <c r="I126" s="269"/>
      <c r="J126" s="270" t="s">
        <v>39</v>
      </c>
      <c r="K126" s="179" t="s">
        <v>39</v>
      </c>
      <c r="L126" s="268"/>
      <c r="M126" s="268"/>
      <c r="O126" s="266"/>
      <c r="P126" s="266"/>
      <c r="Q126" s="266"/>
      <c r="R126" s="266"/>
      <c r="S126" s="272"/>
      <c r="T126" s="272"/>
    </row>
    <row r="127" spans="1:20" ht="22.5" customHeight="1">
      <c r="A127" s="155"/>
      <c r="B127" s="224" t="s">
        <v>998</v>
      </c>
      <c r="C127" s="224" t="s">
        <v>999</v>
      </c>
      <c r="D127" s="224" t="s">
        <v>1000</v>
      </c>
      <c r="E127" s="225" t="s">
        <v>40</v>
      </c>
      <c r="F127" s="225">
        <v>230</v>
      </c>
      <c r="G127" s="227"/>
      <c r="H127" s="247"/>
      <c r="I127" s="247"/>
      <c r="J127" s="247"/>
      <c r="K127" s="179"/>
      <c r="L127" s="247"/>
      <c r="M127" s="247"/>
      <c r="N127" s="250" t="s">
        <v>39</v>
      </c>
      <c r="O127" s="247"/>
      <c r="P127" s="250" t="s">
        <v>39</v>
      </c>
      <c r="Q127" s="247"/>
      <c r="R127" s="247"/>
      <c r="S127" s="158" t="s">
        <v>17</v>
      </c>
    </row>
    <row r="128" spans="1:20" ht="22.5" customHeight="1">
      <c r="A128" s="155"/>
      <c r="B128" s="224" t="s">
        <v>1001</v>
      </c>
      <c r="C128" s="224" t="s">
        <v>1002</v>
      </c>
      <c r="D128" s="224"/>
      <c r="E128" s="225" t="s">
        <v>43</v>
      </c>
      <c r="F128" s="225">
        <v>230</v>
      </c>
      <c r="G128" s="202"/>
      <c r="H128" s="250"/>
      <c r="I128" s="250"/>
      <c r="J128" s="250"/>
      <c r="K128" s="179"/>
      <c r="L128" s="250"/>
      <c r="M128" s="250"/>
      <c r="N128" s="250" t="s">
        <v>39</v>
      </c>
      <c r="O128" s="247"/>
      <c r="P128" s="250" t="s">
        <v>39</v>
      </c>
      <c r="Q128" s="247"/>
      <c r="R128" s="247"/>
      <c r="S128" s="158" t="s">
        <v>1003</v>
      </c>
    </row>
    <row r="129" spans="1:20" s="158" customFormat="1" ht="22.5" customHeight="1">
      <c r="A129" s="155"/>
      <c r="B129" s="224" t="s">
        <v>1004</v>
      </c>
      <c r="C129" s="224" t="s">
        <v>1005</v>
      </c>
      <c r="D129" s="224"/>
      <c r="E129" s="225" t="s">
        <v>47</v>
      </c>
      <c r="F129" s="225">
        <v>120</v>
      </c>
      <c r="G129" s="227"/>
      <c r="H129" s="247"/>
      <c r="I129" s="247"/>
      <c r="J129" s="247"/>
      <c r="K129" s="179"/>
      <c r="L129" s="247"/>
      <c r="M129" s="247"/>
      <c r="N129" s="250" t="s">
        <v>39</v>
      </c>
      <c r="O129" s="247"/>
      <c r="P129" s="250" t="s">
        <v>39</v>
      </c>
      <c r="Q129" s="247"/>
      <c r="R129" s="247"/>
      <c r="S129" s="158" t="s">
        <v>1006</v>
      </c>
    </row>
    <row r="130" spans="1:20" s="158" customFormat="1" ht="22.5" customHeight="1">
      <c r="A130" s="155"/>
      <c r="B130" s="224" t="s">
        <v>1007</v>
      </c>
      <c r="C130" s="224" t="s">
        <v>1008</v>
      </c>
      <c r="D130" s="224"/>
      <c r="E130" s="225" t="s">
        <v>762</v>
      </c>
      <c r="F130" s="225">
        <v>100</v>
      </c>
      <c r="G130" s="227"/>
      <c r="H130" s="247"/>
      <c r="I130" s="237" t="s">
        <v>39</v>
      </c>
      <c r="J130" s="250"/>
      <c r="K130" s="227"/>
      <c r="L130" s="247"/>
      <c r="M130" s="237" t="s">
        <v>39</v>
      </c>
      <c r="N130" s="247"/>
      <c r="O130" s="250" t="s">
        <v>39</v>
      </c>
      <c r="P130" s="250" t="s">
        <v>39</v>
      </c>
      <c r="Q130" s="247"/>
      <c r="R130" s="247"/>
      <c r="S130" s="158" t="s">
        <v>970</v>
      </c>
    </row>
    <row r="131" spans="1:20" s="158" customFormat="1" ht="22.5" customHeight="1">
      <c r="A131" s="155"/>
      <c r="B131" s="224" t="s">
        <v>1009</v>
      </c>
      <c r="C131" s="224" t="s">
        <v>1010</v>
      </c>
      <c r="D131" s="224"/>
      <c r="E131" s="225" t="s">
        <v>46</v>
      </c>
      <c r="F131" s="225">
        <v>120</v>
      </c>
      <c r="G131" s="227"/>
      <c r="H131" s="258"/>
      <c r="I131" s="237" t="s">
        <v>39</v>
      </c>
      <c r="J131" s="263"/>
      <c r="K131" s="157"/>
      <c r="L131" s="258"/>
      <c r="M131" s="237" t="s">
        <v>39</v>
      </c>
      <c r="N131" s="258"/>
      <c r="O131" s="258"/>
      <c r="P131" s="258"/>
      <c r="Q131" s="258"/>
      <c r="R131" s="258"/>
      <c r="S131" s="158" t="s">
        <v>20</v>
      </c>
    </row>
    <row r="132" spans="1:20" s="158" customFormat="1" ht="22.5" customHeight="1">
      <c r="A132" s="155"/>
      <c r="B132" s="224" t="s">
        <v>1011</v>
      </c>
      <c r="C132" s="224" t="s">
        <v>1012</v>
      </c>
      <c r="D132" s="224"/>
      <c r="E132" s="225" t="s">
        <v>42</v>
      </c>
      <c r="F132" s="225">
        <v>230</v>
      </c>
      <c r="G132" s="202"/>
      <c r="H132" s="268"/>
      <c r="I132" s="268"/>
      <c r="J132" s="270" t="s">
        <v>39</v>
      </c>
      <c r="K132" s="179" t="s">
        <v>39</v>
      </c>
      <c r="L132" s="268"/>
      <c r="M132" s="268"/>
      <c r="N132" s="271"/>
      <c r="O132" s="266"/>
      <c r="P132" s="266"/>
      <c r="Q132" s="266"/>
      <c r="R132" s="266"/>
      <c r="S132" s="158" t="s">
        <v>996</v>
      </c>
    </row>
    <row r="133" spans="1:20" s="158" customFormat="1" ht="22.5" customHeight="1">
      <c r="A133" s="155"/>
      <c r="B133" s="224" t="s">
        <v>1013</v>
      </c>
      <c r="C133" s="224" t="s">
        <v>1014</v>
      </c>
      <c r="D133" s="224"/>
      <c r="E133" s="225" t="s">
        <v>42</v>
      </c>
      <c r="F133" s="225">
        <v>230</v>
      </c>
      <c r="G133" s="157"/>
      <c r="H133" s="258"/>
      <c r="I133" s="237" t="s">
        <v>39</v>
      </c>
      <c r="J133" s="263"/>
      <c r="K133" s="157"/>
      <c r="L133" s="258"/>
      <c r="M133" s="237" t="s">
        <v>39</v>
      </c>
      <c r="N133" s="258"/>
      <c r="O133" s="258"/>
      <c r="P133" s="258"/>
      <c r="Q133" s="258"/>
      <c r="R133" s="258"/>
      <c r="S133" s="158" t="s">
        <v>22</v>
      </c>
    </row>
    <row r="134" spans="1:20" s="158" customFormat="1" ht="22.5" customHeight="1">
      <c r="A134" s="155"/>
      <c r="B134" s="224" t="s">
        <v>1015</v>
      </c>
      <c r="C134" s="224" t="s">
        <v>1016</v>
      </c>
      <c r="D134" s="224"/>
      <c r="E134" s="225" t="s">
        <v>42</v>
      </c>
      <c r="F134" s="225">
        <v>230</v>
      </c>
      <c r="G134" s="157"/>
      <c r="H134" s="258"/>
      <c r="I134" s="237" t="s">
        <v>39</v>
      </c>
      <c r="J134" s="263"/>
      <c r="K134" s="157"/>
      <c r="L134" s="258"/>
      <c r="M134" s="237" t="s">
        <v>39</v>
      </c>
      <c r="N134" s="258"/>
      <c r="O134" s="258"/>
      <c r="P134" s="258"/>
      <c r="Q134" s="258"/>
      <c r="R134" s="258"/>
      <c r="S134" s="158" t="s">
        <v>22</v>
      </c>
    </row>
    <row r="135" spans="1:20" ht="22.5" customHeight="1">
      <c r="A135" s="170"/>
      <c r="B135" s="224" t="s">
        <v>734</v>
      </c>
      <c r="C135" s="224" t="s">
        <v>1017</v>
      </c>
      <c r="D135" s="233" t="s">
        <v>761</v>
      </c>
      <c r="E135" s="242" t="s">
        <v>42</v>
      </c>
      <c r="F135" s="235">
        <v>230</v>
      </c>
      <c r="G135" s="229"/>
      <c r="H135" s="273"/>
      <c r="I135" s="273"/>
      <c r="J135" s="244"/>
      <c r="K135" s="245"/>
      <c r="L135" s="273"/>
      <c r="M135" s="234"/>
      <c r="N135" s="237" t="s">
        <v>39</v>
      </c>
      <c r="O135" s="234"/>
      <c r="P135" s="234"/>
      <c r="Q135" s="234"/>
      <c r="R135" s="234"/>
      <c r="T135" s="155"/>
    </row>
    <row r="136" spans="1:20" ht="22.5" customHeight="1">
      <c r="A136" s="170"/>
      <c r="B136" s="274" t="s">
        <v>735</v>
      </c>
      <c r="C136" s="224" t="s">
        <v>1018</v>
      </c>
      <c r="D136" s="232" t="s">
        <v>961</v>
      </c>
      <c r="E136" s="234" t="s">
        <v>762</v>
      </c>
      <c r="F136" s="235">
        <v>100</v>
      </c>
      <c r="G136" s="275" t="s">
        <v>1019</v>
      </c>
      <c r="H136" s="276"/>
      <c r="I136" s="237" t="s">
        <v>39</v>
      </c>
      <c r="J136" s="239"/>
      <c r="K136" s="179"/>
      <c r="L136" s="276"/>
      <c r="M136" s="237" t="s">
        <v>39</v>
      </c>
      <c r="N136" s="241"/>
      <c r="O136" s="237" t="s">
        <v>39</v>
      </c>
      <c r="P136" s="237" t="s">
        <v>39</v>
      </c>
      <c r="Q136" s="234"/>
      <c r="R136" s="234"/>
      <c r="T136" s="155"/>
    </row>
    <row r="137" spans="1:20" ht="22.5" customHeight="1">
      <c r="A137" s="170"/>
      <c r="B137" s="224" t="s">
        <v>1020</v>
      </c>
      <c r="C137" s="224" t="s">
        <v>1021</v>
      </c>
      <c r="D137" s="232" t="s">
        <v>961</v>
      </c>
      <c r="E137" s="234" t="s">
        <v>762</v>
      </c>
      <c r="F137" s="235">
        <v>100</v>
      </c>
      <c r="G137" s="229"/>
      <c r="H137" s="276"/>
      <c r="I137" s="276"/>
      <c r="J137" s="244"/>
      <c r="K137" s="245"/>
      <c r="L137" s="276"/>
      <c r="M137" s="234"/>
      <c r="N137" s="237" t="s">
        <v>39</v>
      </c>
      <c r="O137" s="234"/>
      <c r="P137" s="237" t="s">
        <v>39</v>
      </c>
      <c r="Q137" s="234"/>
      <c r="R137" s="234"/>
      <c r="T137" s="155"/>
    </row>
    <row r="138" spans="1:20" ht="22.5" customHeight="1">
      <c r="A138" s="170"/>
      <c r="B138" s="224" t="s">
        <v>736</v>
      </c>
      <c r="C138" s="224" t="s">
        <v>1022</v>
      </c>
      <c r="D138" s="233" t="s">
        <v>824</v>
      </c>
      <c r="E138" s="234" t="s">
        <v>44</v>
      </c>
      <c r="F138" s="235">
        <v>120</v>
      </c>
      <c r="G138" s="236"/>
      <c r="H138" s="237" t="s">
        <v>39</v>
      </c>
      <c r="I138" s="276"/>
      <c r="J138" s="239"/>
      <c r="L138" s="237" t="s">
        <v>39</v>
      </c>
      <c r="M138" s="237"/>
      <c r="N138" s="237"/>
      <c r="O138" s="234"/>
      <c r="P138" s="234"/>
      <c r="Q138" s="234"/>
      <c r="R138" s="234"/>
      <c r="T138" s="155"/>
    </row>
    <row r="139" spans="1:20" ht="22.5" customHeight="1">
      <c r="A139" s="170"/>
      <c r="B139" s="224" t="s">
        <v>737</v>
      </c>
      <c r="C139" s="224" t="s">
        <v>1023</v>
      </c>
      <c r="D139" s="232" t="s">
        <v>891</v>
      </c>
      <c r="E139" s="234" t="s">
        <v>46</v>
      </c>
      <c r="F139" s="235">
        <v>230</v>
      </c>
      <c r="G139" s="236"/>
      <c r="H139" s="237" t="s">
        <v>39</v>
      </c>
      <c r="I139" s="276"/>
      <c r="J139" s="239"/>
      <c r="L139" s="237" t="s">
        <v>39</v>
      </c>
      <c r="M139" s="237"/>
      <c r="N139" s="237"/>
      <c r="O139" s="234"/>
      <c r="P139" s="234"/>
      <c r="Q139" s="234"/>
      <c r="R139" s="234"/>
      <c r="T139" s="155"/>
    </row>
    <row r="140" spans="1:20" ht="22.5" customHeight="1">
      <c r="A140" s="170"/>
      <c r="B140" s="224" t="s">
        <v>738</v>
      </c>
      <c r="C140" s="224" t="s">
        <v>1024</v>
      </c>
      <c r="D140" s="232" t="s">
        <v>6</v>
      </c>
      <c r="E140" s="234" t="s">
        <v>41</v>
      </c>
      <c r="F140" s="235">
        <v>220</v>
      </c>
      <c r="G140" s="229"/>
      <c r="H140" s="276"/>
      <c r="I140" s="276"/>
      <c r="J140" s="244"/>
      <c r="K140" s="245"/>
      <c r="L140" s="276"/>
      <c r="M140" s="234"/>
      <c r="N140" s="237" t="s">
        <v>39</v>
      </c>
      <c r="O140" s="234"/>
      <c r="P140" s="237" t="s">
        <v>39</v>
      </c>
      <c r="Q140" s="234"/>
      <c r="R140" s="234"/>
      <c r="T140" s="155"/>
    </row>
    <row r="141" spans="1:20" ht="22.5" customHeight="1">
      <c r="A141" s="170"/>
      <c r="B141" s="274" t="s">
        <v>1025</v>
      </c>
      <c r="C141" s="224" t="s">
        <v>1026</v>
      </c>
      <c r="D141" s="232" t="s">
        <v>917</v>
      </c>
      <c r="E141" s="234" t="s">
        <v>45</v>
      </c>
      <c r="F141" s="235">
        <v>220</v>
      </c>
      <c r="G141" s="275" t="s">
        <v>1019</v>
      </c>
      <c r="H141" s="276"/>
      <c r="I141" s="237" t="s">
        <v>39</v>
      </c>
      <c r="J141" s="239"/>
      <c r="K141" s="179"/>
      <c r="L141" s="276"/>
      <c r="M141" s="237" t="s">
        <v>39</v>
      </c>
      <c r="N141" s="237"/>
      <c r="O141" s="234"/>
      <c r="P141" s="237" t="s">
        <v>39</v>
      </c>
      <c r="Q141" s="234"/>
      <c r="R141" s="234"/>
      <c r="T141" s="155"/>
    </row>
    <row r="142" spans="1:20" ht="22.5" customHeight="1">
      <c r="A142" s="170"/>
      <c r="B142" s="224" t="s">
        <v>739</v>
      </c>
      <c r="C142" s="224" t="s">
        <v>1027</v>
      </c>
      <c r="D142" s="233" t="s">
        <v>761</v>
      </c>
      <c r="E142" s="242" t="s">
        <v>42</v>
      </c>
      <c r="F142" s="235">
        <v>230</v>
      </c>
      <c r="G142" s="229"/>
      <c r="H142" s="276"/>
      <c r="I142" s="276"/>
      <c r="J142" s="244"/>
      <c r="K142" s="245"/>
      <c r="L142" s="276"/>
      <c r="M142" s="234"/>
      <c r="N142" s="237" t="s">
        <v>39</v>
      </c>
      <c r="O142" s="234"/>
      <c r="P142" s="234"/>
      <c r="Q142" s="234"/>
      <c r="R142" s="234"/>
      <c r="T142" s="155"/>
    </row>
    <row r="143" spans="1:20" ht="22.5" customHeight="1">
      <c r="A143" s="170"/>
      <c r="B143" s="224" t="s">
        <v>740</v>
      </c>
      <c r="C143" s="224" t="s">
        <v>1028</v>
      </c>
      <c r="D143" s="233" t="s">
        <v>824</v>
      </c>
      <c r="E143" s="234" t="s">
        <v>44</v>
      </c>
      <c r="F143" s="235">
        <v>120</v>
      </c>
      <c r="G143" s="229"/>
      <c r="H143" s="237" t="s">
        <v>39</v>
      </c>
      <c r="I143" s="276"/>
      <c r="J143" s="239"/>
      <c r="K143" s="245"/>
      <c r="L143" s="237" t="s">
        <v>39</v>
      </c>
      <c r="M143" s="237"/>
      <c r="N143" s="237"/>
      <c r="O143" s="234"/>
      <c r="P143" s="234"/>
      <c r="Q143" s="234"/>
      <c r="R143" s="234"/>
      <c r="T143" s="155"/>
    </row>
    <row r="144" spans="1:20" ht="22.5" customHeight="1">
      <c r="A144" s="170"/>
      <c r="B144" s="224" t="s">
        <v>741</v>
      </c>
      <c r="C144" s="224" t="s">
        <v>1029</v>
      </c>
      <c r="D144" s="232" t="s">
        <v>891</v>
      </c>
      <c r="E144" s="234" t="s">
        <v>46</v>
      </c>
      <c r="F144" s="235">
        <v>230</v>
      </c>
      <c r="G144" s="236"/>
      <c r="H144" s="237" t="s">
        <v>39</v>
      </c>
      <c r="I144" s="276"/>
      <c r="J144" s="239"/>
      <c r="L144" s="237" t="s">
        <v>39</v>
      </c>
      <c r="M144" s="237"/>
      <c r="N144" s="237"/>
      <c r="O144" s="234"/>
      <c r="P144" s="234"/>
      <c r="Q144" s="234"/>
      <c r="R144" s="234"/>
      <c r="T144" s="155"/>
    </row>
    <row r="145" spans="1:18" s="155" customFormat="1" ht="22.5" customHeight="1">
      <c r="A145" s="170"/>
      <c r="B145" s="224" t="s">
        <v>742</v>
      </c>
      <c r="C145" s="224" t="s">
        <v>1030</v>
      </c>
      <c r="D145" s="232" t="s">
        <v>6</v>
      </c>
      <c r="E145" s="234" t="s">
        <v>41</v>
      </c>
      <c r="F145" s="235">
        <v>220</v>
      </c>
      <c r="G145" s="229"/>
      <c r="H145" s="276"/>
      <c r="I145" s="276"/>
      <c r="J145" s="244"/>
      <c r="K145" s="157"/>
      <c r="L145" s="276"/>
      <c r="M145" s="234"/>
      <c r="N145" s="237" t="s">
        <v>39</v>
      </c>
      <c r="O145" s="234"/>
      <c r="P145" s="237" t="s">
        <v>39</v>
      </c>
      <c r="Q145" s="234"/>
      <c r="R145" s="234"/>
    </row>
    <row r="146" spans="1:18" s="155" customFormat="1" ht="22.5" customHeight="1">
      <c r="A146" s="170"/>
      <c r="B146" s="274" t="s">
        <v>743</v>
      </c>
      <c r="C146" s="224" t="s">
        <v>1031</v>
      </c>
      <c r="D146" s="232" t="s">
        <v>917</v>
      </c>
      <c r="E146" s="234" t="s">
        <v>45</v>
      </c>
      <c r="F146" s="235">
        <v>220</v>
      </c>
      <c r="G146" s="275" t="s">
        <v>1019</v>
      </c>
      <c r="H146" s="276"/>
      <c r="I146" s="237" t="s">
        <v>39</v>
      </c>
      <c r="J146" s="239"/>
      <c r="K146" s="179"/>
      <c r="L146" s="276"/>
      <c r="M146" s="237" t="s">
        <v>39</v>
      </c>
      <c r="N146" s="237"/>
      <c r="O146" s="234"/>
      <c r="P146" s="237" t="s">
        <v>39</v>
      </c>
      <c r="Q146" s="234"/>
      <c r="R146" s="234"/>
    </row>
    <row r="147" spans="1:18" s="155" customFormat="1" ht="22.5" customHeight="1">
      <c r="A147" s="170"/>
      <c r="B147" s="224" t="s">
        <v>744</v>
      </c>
      <c r="C147" s="224" t="s">
        <v>1032</v>
      </c>
      <c r="D147" s="233" t="s">
        <v>761</v>
      </c>
      <c r="E147" s="242" t="s">
        <v>42</v>
      </c>
      <c r="F147" s="235">
        <v>230</v>
      </c>
      <c r="G147" s="229"/>
      <c r="H147" s="276"/>
      <c r="I147" s="276"/>
      <c r="J147" s="244"/>
      <c r="K147" s="157"/>
      <c r="L147" s="276"/>
      <c r="M147" s="234"/>
      <c r="N147" s="237" t="s">
        <v>39</v>
      </c>
      <c r="O147" s="234"/>
      <c r="P147" s="234"/>
      <c r="Q147" s="234"/>
      <c r="R147" s="234"/>
    </row>
    <row r="148" spans="1:18" s="155" customFormat="1" ht="22.5" customHeight="1">
      <c r="A148" s="170"/>
      <c r="B148" s="274" t="s">
        <v>745</v>
      </c>
      <c r="C148" s="224" t="s">
        <v>1033</v>
      </c>
      <c r="D148" s="232" t="s">
        <v>887</v>
      </c>
      <c r="E148" s="234" t="s">
        <v>762</v>
      </c>
      <c r="F148" s="235">
        <v>100</v>
      </c>
      <c r="G148" s="275" t="s">
        <v>1019</v>
      </c>
      <c r="H148" s="276"/>
      <c r="I148" s="237" t="s">
        <v>39</v>
      </c>
      <c r="J148" s="239"/>
      <c r="K148" s="157"/>
      <c r="L148" s="276"/>
      <c r="M148" s="237" t="s">
        <v>39</v>
      </c>
      <c r="N148" s="237"/>
      <c r="O148" s="237" t="s">
        <v>39</v>
      </c>
      <c r="P148" s="237" t="s">
        <v>39</v>
      </c>
      <c r="Q148" s="234"/>
      <c r="R148" s="234"/>
    </row>
    <row r="149" spans="1:18" s="155" customFormat="1" ht="22.5" customHeight="1">
      <c r="A149" s="170"/>
      <c r="B149" s="224" t="s">
        <v>746</v>
      </c>
      <c r="C149" s="224" t="s">
        <v>1034</v>
      </c>
      <c r="D149" s="232" t="s">
        <v>6</v>
      </c>
      <c r="E149" s="234" t="s">
        <v>41</v>
      </c>
      <c r="F149" s="235">
        <v>220</v>
      </c>
      <c r="G149" s="229"/>
      <c r="H149" s="276"/>
      <c r="I149" s="276"/>
      <c r="J149" s="244"/>
      <c r="K149" s="245"/>
      <c r="L149" s="276"/>
      <c r="M149" s="234"/>
      <c r="N149" s="237" t="s">
        <v>39</v>
      </c>
      <c r="O149" s="234"/>
      <c r="P149" s="237" t="s">
        <v>39</v>
      </c>
      <c r="Q149" s="234"/>
      <c r="R149" s="234"/>
    </row>
    <row r="150" spans="1:18" s="155" customFormat="1" ht="22.5" customHeight="1">
      <c r="A150" s="170"/>
      <c r="B150" s="274" t="s">
        <v>747</v>
      </c>
      <c r="C150" s="224" t="s">
        <v>1035</v>
      </c>
      <c r="D150" s="232" t="s">
        <v>917</v>
      </c>
      <c r="E150" s="234" t="s">
        <v>45</v>
      </c>
      <c r="F150" s="235">
        <v>220</v>
      </c>
      <c r="G150" s="275" t="s">
        <v>1019</v>
      </c>
      <c r="H150" s="276"/>
      <c r="I150" s="237" t="s">
        <v>39</v>
      </c>
      <c r="J150" s="239"/>
      <c r="K150" s="179"/>
      <c r="L150" s="276"/>
      <c r="M150" s="237" t="s">
        <v>39</v>
      </c>
      <c r="N150" s="237"/>
      <c r="O150" s="234"/>
      <c r="P150" s="237" t="s">
        <v>39</v>
      </c>
      <c r="Q150" s="234"/>
      <c r="R150" s="234"/>
    </row>
    <row r="151" spans="1:18" s="155" customFormat="1" ht="22.5" customHeight="1">
      <c r="A151" s="170"/>
      <c r="B151" s="224" t="s">
        <v>16</v>
      </c>
      <c r="C151" s="224" t="s">
        <v>1036</v>
      </c>
      <c r="D151" s="224" t="s">
        <v>979</v>
      </c>
      <c r="E151" s="224" t="s">
        <v>44</v>
      </c>
      <c r="F151" s="224">
        <v>120</v>
      </c>
      <c r="G151" s="229"/>
      <c r="H151" s="237" t="s">
        <v>39</v>
      </c>
      <c r="I151" s="230"/>
      <c r="J151" s="231"/>
      <c r="K151" s="179"/>
      <c r="L151" s="237" t="s">
        <v>39</v>
      </c>
      <c r="M151" s="225"/>
      <c r="N151" s="225"/>
      <c r="O151" s="225"/>
      <c r="P151" s="225"/>
      <c r="Q151" s="225"/>
      <c r="R151" s="225"/>
    </row>
    <row r="152" spans="1:18" s="155" customFormat="1" ht="22.5" customHeight="1">
      <c r="A152" s="170"/>
      <c r="B152" s="224" t="s">
        <v>892</v>
      </c>
      <c r="C152" s="224" t="s">
        <v>920</v>
      </c>
      <c r="D152" s="224" t="s">
        <v>824</v>
      </c>
      <c r="E152" s="224" t="s">
        <v>44</v>
      </c>
      <c r="F152" s="224">
        <v>120</v>
      </c>
      <c r="G152" s="229"/>
      <c r="H152" s="237" t="s">
        <v>39</v>
      </c>
      <c r="I152" s="230"/>
      <c r="J152" s="231"/>
      <c r="K152" s="179"/>
      <c r="L152" s="237" t="s">
        <v>39</v>
      </c>
      <c r="M152" s="225"/>
      <c r="N152" s="225"/>
      <c r="O152" s="225"/>
      <c r="P152" s="225"/>
      <c r="Q152" s="225"/>
      <c r="R152" s="225"/>
    </row>
    <row r="153" spans="1:18" s="155" customFormat="1" ht="22.5" customHeight="1">
      <c r="A153" s="170"/>
      <c r="B153" s="224" t="s">
        <v>923</v>
      </c>
      <c r="C153" s="224" t="s">
        <v>1037</v>
      </c>
      <c r="D153" s="224" t="s">
        <v>891</v>
      </c>
      <c r="E153" s="224" t="s">
        <v>46</v>
      </c>
      <c r="F153" s="224">
        <v>230</v>
      </c>
      <c r="G153" s="229"/>
      <c r="H153" s="237" t="s">
        <v>39</v>
      </c>
      <c r="I153" s="230"/>
      <c r="J153" s="231"/>
      <c r="K153" s="179"/>
      <c r="L153" s="237" t="s">
        <v>39</v>
      </c>
      <c r="M153" s="225"/>
      <c r="N153" s="225"/>
      <c r="O153" s="225"/>
      <c r="P153" s="225"/>
      <c r="Q153" s="225"/>
      <c r="R153" s="225"/>
    </row>
    <row r="154" spans="1:18" s="155" customFormat="1" ht="22.5" customHeight="1">
      <c r="A154" s="170"/>
      <c r="B154" s="224" t="s">
        <v>932</v>
      </c>
      <c r="C154" s="224" t="s">
        <v>1038</v>
      </c>
      <c r="D154" s="224" t="s">
        <v>917</v>
      </c>
      <c r="E154" s="224" t="s">
        <v>45</v>
      </c>
      <c r="F154" s="224">
        <v>220</v>
      </c>
      <c r="G154" s="229"/>
      <c r="H154" s="225"/>
      <c r="I154" s="237" t="s">
        <v>39</v>
      </c>
      <c r="J154" s="231"/>
      <c r="K154" s="179"/>
      <c r="L154" s="225"/>
      <c r="M154" s="230"/>
      <c r="N154" s="225"/>
      <c r="O154" s="225"/>
      <c r="P154" s="225"/>
      <c r="Q154" s="225"/>
      <c r="R154" s="225"/>
    </row>
    <row r="155" spans="1:18" s="155" customFormat="1" ht="22.5" customHeight="1">
      <c r="A155" s="170"/>
      <c r="B155" s="224" t="s">
        <v>900</v>
      </c>
      <c r="C155" s="224" t="s">
        <v>935</v>
      </c>
      <c r="D155" s="224" t="s">
        <v>824</v>
      </c>
      <c r="E155" s="224" t="s">
        <v>44</v>
      </c>
      <c r="F155" s="224">
        <v>120</v>
      </c>
      <c r="G155" s="229"/>
      <c r="H155" s="237" t="s">
        <v>39</v>
      </c>
      <c r="I155" s="230"/>
      <c r="J155" s="231"/>
      <c r="K155" s="179"/>
      <c r="L155" s="237" t="s">
        <v>39</v>
      </c>
      <c r="M155" s="225"/>
      <c r="N155" s="225"/>
      <c r="O155" s="225"/>
      <c r="P155" s="225"/>
      <c r="Q155" s="225"/>
      <c r="R155" s="225"/>
    </row>
    <row r="156" spans="1:18" s="155" customFormat="1" ht="22.5" customHeight="1">
      <c r="A156" s="170"/>
      <c r="B156" s="224" t="s">
        <v>936</v>
      </c>
      <c r="C156" s="224" t="s">
        <v>1039</v>
      </c>
      <c r="D156" s="224" t="s">
        <v>891</v>
      </c>
      <c r="E156" s="224" t="s">
        <v>46</v>
      </c>
      <c r="F156" s="224">
        <v>230</v>
      </c>
      <c r="G156" s="229"/>
      <c r="H156" s="237" t="s">
        <v>39</v>
      </c>
      <c r="I156" s="230"/>
      <c r="J156" s="231"/>
      <c r="K156" s="179"/>
      <c r="L156" s="237" t="s">
        <v>39</v>
      </c>
      <c r="M156" s="225"/>
      <c r="N156" s="225"/>
      <c r="O156" s="225"/>
      <c r="P156" s="225"/>
      <c r="Q156" s="225"/>
      <c r="R156" s="225"/>
    </row>
    <row r="157" spans="1:18" s="155" customFormat="1" ht="22.5" customHeight="1">
      <c r="A157" s="170"/>
      <c r="B157" s="224" t="s">
        <v>945</v>
      </c>
      <c r="C157" s="224" t="s">
        <v>1040</v>
      </c>
      <c r="D157" s="224" t="s">
        <v>917</v>
      </c>
      <c r="E157" s="224" t="s">
        <v>45</v>
      </c>
      <c r="F157" s="224">
        <v>220</v>
      </c>
      <c r="G157" s="229"/>
      <c r="H157" s="225"/>
      <c r="I157" s="237" t="s">
        <v>39</v>
      </c>
      <c r="J157" s="231"/>
      <c r="K157" s="179"/>
      <c r="L157" s="225"/>
      <c r="M157" s="230"/>
      <c r="N157" s="225"/>
      <c r="O157" s="225"/>
      <c r="P157" s="225"/>
      <c r="Q157" s="225"/>
      <c r="R157" s="225"/>
    </row>
    <row r="158" spans="1:18" s="155" customFormat="1" ht="22.5" customHeight="1">
      <c r="A158" s="170"/>
      <c r="B158" s="224" t="s">
        <v>957</v>
      </c>
      <c r="C158" s="224" t="s">
        <v>1041</v>
      </c>
      <c r="D158" s="224" t="s">
        <v>917</v>
      </c>
      <c r="E158" s="224" t="s">
        <v>45</v>
      </c>
      <c r="F158" s="224">
        <v>220</v>
      </c>
      <c r="G158" s="229"/>
      <c r="H158" s="225"/>
      <c r="I158" s="237" t="s">
        <v>39</v>
      </c>
      <c r="J158" s="231"/>
      <c r="K158" s="179"/>
      <c r="L158" s="225"/>
      <c r="M158" s="230"/>
      <c r="N158" s="225"/>
      <c r="O158" s="225"/>
      <c r="P158" s="225"/>
      <c r="Q158" s="225"/>
      <c r="R158" s="225"/>
    </row>
    <row r="159" spans="1:18" s="155" customFormat="1" ht="22.5" customHeight="1">
      <c r="A159" s="170"/>
      <c r="B159" s="224" t="s">
        <v>21</v>
      </c>
      <c r="C159" s="224" t="s">
        <v>995</v>
      </c>
      <c r="D159" s="224">
        <v>0</v>
      </c>
      <c r="E159" s="224" t="s">
        <v>46</v>
      </c>
      <c r="F159" s="224">
        <v>230</v>
      </c>
      <c r="G159" s="229"/>
      <c r="H159" s="225"/>
      <c r="I159" s="237" t="s">
        <v>39</v>
      </c>
      <c r="J159" s="231"/>
      <c r="K159" s="179"/>
      <c r="L159" s="225"/>
      <c r="M159" s="230"/>
      <c r="N159" s="225"/>
      <c r="O159" s="225"/>
      <c r="P159" s="225"/>
      <c r="Q159" s="225"/>
      <c r="R159" s="225"/>
    </row>
    <row r="160" spans="1:18" s="155" customFormat="1" ht="22.5" customHeight="1">
      <c r="A160" s="170"/>
      <c r="B160" s="224" t="s">
        <v>993</v>
      </c>
      <c r="C160" s="224" t="s">
        <v>994</v>
      </c>
      <c r="D160" s="224">
        <v>0</v>
      </c>
      <c r="E160" s="224" t="s">
        <v>45</v>
      </c>
      <c r="F160" s="224">
        <v>220</v>
      </c>
      <c r="G160" s="229"/>
      <c r="H160" s="225"/>
      <c r="I160" s="237" t="s">
        <v>39</v>
      </c>
      <c r="J160" s="231"/>
      <c r="K160" s="179"/>
      <c r="L160" s="225"/>
      <c r="M160" s="230"/>
      <c r="N160" s="225"/>
      <c r="O160" s="225"/>
      <c r="P160" s="225"/>
      <c r="Q160" s="225"/>
      <c r="R160" s="225"/>
    </row>
    <row r="161" spans="1:20" ht="22.5" customHeight="1">
      <c r="A161" s="170"/>
      <c r="B161" s="224" t="s">
        <v>970</v>
      </c>
      <c r="C161" s="224" t="s">
        <v>971</v>
      </c>
      <c r="D161" s="224">
        <v>0</v>
      </c>
      <c r="E161" s="224" t="s">
        <v>762</v>
      </c>
      <c r="F161" s="224">
        <v>100</v>
      </c>
      <c r="G161" s="229"/>
      <c r="H161" s="225"/>
      <c r="I161" s="237" t="s">
        <v>39</v>
      </c>
      <c r="J161" s="231"/>
      <c r="K161" s="179"/>
      <c r="L161" s="225"/>
      <c r="M161" s="230"/>
      <c r="N161" s="225"/>
      <c r="O161" s="225"/>
      <c r="P161" s="225"/>
      <c r="Q161" s="225"/>
      <c r="R161" s="225"/>
      <c r="S161" s="155"/>
      <c r="T161" s="155"/>
    </row>
    <row r="162" spans="1:20" ht="22.5" customHeight="1">
      <c r="A162" s="170"/>
      <c r="B162" s="224" t="s">
        <v>22</v>
      </c>
      <c r="C162" s="224" t="s">
        <v>986</v>
      </c>
      <c r="D162" s="224">
        <v>0</v>
      </c>
      <c r="E162" s="224" t="s">
        <v>42</v>
      </c>
      <c r="F162" s="224">
        <v>230</v>
      </c>
      <c r="G162" s="229"/>
      <c r="H162" s="225"/>
      <c r="I162" s="237" t="s">
        <v>39</v>
      </c>
      <c r="J162" s="231"/>
      <c r="K162" s="179"/>
      <c r="L162" s="225"/>
      <c r="M162" s="230"/>
      <c r="N162" s="225"/>
      <c r="O162" s="225"/>
      <c r="P162" s="225"/>
      <c r="Q162" s="225"/>
      <c r="R162" s="225"/>
      <c r="S162" s="155"/>
      <c r="T162" s="155"/>
    </row>
    <row r="163" spans="1:20" ht="22.5" customHeight="1">
      <c r="A163" s="170"/>
      <c r="B163" s="224" t="s">
        <v>20</v>
      </c>
      <c r="C163" s="224" t="s">
        <v>976</v>
      </c>
      <c r="D163" s="224">
        <v>0</v>
      </c>
      <c r="E163" s="224" t="s">
        <v>46</v>
      </c>
      <c r="F163" s="224">
        <v>120</v>
      </c>
      <c r="G163" s="229"/>
      <c r="H163" s="225"/>
      <c r="I163" s="237" t="s">
        <v>39</v>
      </c>
      <c r="J163" s="231"/>
      <c r="K163" s="179"/>
      <c r="L163" s="225"/>
      <c r="M163" s="230"/>
      <c r="N163" s="225"/>
      <c r="O163" s="225"/>
      <c r="P163" s="225"/>
      <c r="Q163" s="225"/>
      <c r="R163" s="225"/>
      <c r="S163" s="155"/>
      <c r="T163" s="155"/>
    </row>
    <row r="164" spans="1:20" ht="22.5" customHeight="1">
      <c r="A164" s="170"/>
      <c r="B164" s="224" t="s">
        <v>910</v>
      </c>
      <c r="C164" s="224" t="s">
        <v>966</v>
      </c>
      <c r="D164" s="224" t="s">
        <v>887</v>
      </c>
      <c r="E164" s="224" t="s">
        <v>762</v>
      </c>
      <c r="F164" s="224">
        <v>100</v>
      </c>
      <c r="G164" s="229"/>
      <c r="H164" s="225"/>
      <c r="I164" s="237" t="s">
        <v>39</v>
      </c>
      <c r="J164" s="231"/>
      <c r="K164" s="179"/>
      <c r="L164" s="225"/>
      <c r="M164" s="230"/>
      <c r="N164" s="225"/>
      <c r="O164" s="225"/>
      <c r="P164" s="225"/>
      <c r="Q164" s="225"/>
      <c r="R164" s="225"/>
      <c r="S164" s="155"/>
      <c r="T164" s="155"/>
    </row>
    <row r="165" spans="1:20" ht="22.5" customHeight="1">
      <c r="A165" s="170"/>
      <c r="B165" s="224" t="s">
        <v>1044</v>
      </c>
      <c r="C165" s="224" t="s">
        <v>1045</v>
      </c>
      <c r="D165" s="224"/>
      <c r="E165" s="225"/>
      <c r="F165" s="228"/>
      <c r="G165" s="229"/>
      <c r="H165" s="225"/>
      <c r="I165" s="237" t="s">
        <v>39</v>
      </c>
      <c r="J165" s="231"/>
      <c r="K165" s="179"/>
      <c r="L165" s="225"/>
      <c r="M165" s="230"/>
      <c r="N165" s="225"/>
      <c r="O165" s="225"/>
      <c r="P165" s="225"/>
      <c r="Q165" s="225"/>
      <c r="R165" s="225"/>
      <c r="S165" s="155"/>
      <c r="T165" s="155"/>
    </row>
    <row r="166" spans="1:20" ht="22.5" customHeight="1">
      <c r="A166" s="170"/>
      <c r="B166" s="224" t="s">
        <v>1046</v>
      </c>
      <c r="C166" s="224" t="s">
        <v>1047</v>
      </c>
      <c r="D166" s="224"/>
      <c r="E166" s="225"/>
      <c r="F166" s="228"/>
      <c r="G166" s="229"/>
      <c r="H166" s="237" t="s">
        <v>39</v>
      </c>
      <c r="I166" s="230"/>
      <c r="J166" s="231"/>
      <c r="K166" s="179"/>
      <c r="L166" s="237" t="s">
        <v>39</v>
      </c>
      <c r="M166" s="230"/>
      <c r="N166" s="225"/>
      <c r="O166" s="225"/>
      <c r="P166" s="225"/>
      <c r="Q166" s="225"/>
      <c r="R166" s="225"/>
      <c r="S166" s="155"/>
      <c r="T166" s="155"/>
    </row>
    <row r="167" spans="1:20" ht="22.5" customHeight="1">
      <c r="A167" s="170"/>
      <c r="B167" s="224" t="s">
        <v>1048</v>
      </c>
      <c r="C167" s="224" t="s">
        <v>1049</v>
      </c>
      <c r="D167" s="224"/>
      <c r="E167" s="225"/>
      <c r="F167" s="228"/>
      <c r="G167" s="229"/>
      <c r="H167" s="237" t="s">
        <v>39</v>
      </c>
      <c r="I167" s="230"/>
      <c r="J167" s="231"/>
      <c r="K167" s="179"/>
      <c r="L167" s="237" t="s">
        <v>39</v>
      </c>
      <c r="M167" s="230"/>
      <c r="N167" s="225"/>
      <c r="O167" s="225"/>
      <c r="P167" s="225"/>
      <c r="Q167" s="225"/>
      <c r="R167" s="225"/>
      <c r="S167" s="155"/>
      <c r="T167" s="155"/>
    </row>
    <row r="168" spans="1:20" ht="22.5" customHeight="1">
      <c r="A168" s="170"/>
      <c r="B168" s="224" t="s">
        <v>1050</v>
      </c>
      <c r="C168" s="224" t="s">
        <v>1051</v>
      </c>
      <c r="D168" s="224"/>
      <c r="E168" s="225"/>
      <c r="F168" s="228"/>
      <c r="G168" s="229"/>
      <c r="H168" s="225"/>
      <c r="I168" s="230"/>
      <c r="J168" s="231"/>
      <c r="K168" s="179"/>
      <c r="L168" s="225"/>
      <c r="M168" s="230"/>
      <c r="N168" s="225"/>
      <c r="O168" s="225"/>
      <c r="P168" s="225"/>
      <c r="Q168" s="225"/>
      <c r="R168" s="225"/>
      <c r="S168" s="155"/>
      <c r="T168" s="155"/>
    </row>
    <row r="169" spans="1:20" ht="22.5" customHeight="1">
      <c r="A169" s="170"/>
      <c r="B169" s="224" t="s">
        <v>1052</v>
      </c>
      <c r="C169" s="224" t="s">
        <v>1053</v>
      </c>
      <c r="D169" s="224"/>
      <c r="E169" s="225"/>
      <c r="F169" s="228"/>
      <c r="G169" s="229"/>
      <c r="H169" s="225"/>
      <c r="I169" s="230"/>
      <c r="J169" s="231"/>
      <c r="K169" s="179"/>
      <c r="L169" s="225"/>
      <c r="M169" s="230"/>
      <c r="N169" s="225"/>
      <c r="O169" s="225"/>
      <c r="P169" s="225"/>
      <c r="Q169" s="225"/>
      <c r="R169" s="225"/>
      <c r="S169" s="155"/>
      <c r="T169" s="155"/>
    </row>
    <row r="170" spans="1:20" ht="22.5" customHeight="1">
      <c r="A170" s="170"/>
      <c r="B170" s="224" t="s">
        <v>1054</v>
      </c>
      <c r="C170" s="224" t="s">
        <v>1055</v>
      </c>
      <c r="D170" s="224"/>
      <c r="E170" s="225"/>
      <c r="F170" s="228"/>
      <c r="G170" s="229"/>
      <c r="H170" s="237" t="s">
        <v>39</v>
      </c>
      <c r="I170" s="230"/>
      <c r="J170" s="231"/>
      <c r="K170" s="179"/>
      <c r="L170" s="237" t="s">
        <v>39</v>
      </c>
      <c r="M170" s="230"/>
      <c r="N170" s="225"/>
      <c r="O170" s="225"/>
      <c r="P170" s="225"/>
      <c r="Q170" s="225"/>
      <c r="R170" s="225"/>
      <c r="S170" s="155"/>
      <c r="T170" s="155"/>
    </row>
    <row r="171" spans="1:20" ht="22.5" customHeight="1">
      <c r="A171" s="170"/>
      <c r="B171" s="224" t="s">
        <v>1056</v>
      </c>
      <c r="C171" s="224" t="s">
        <v>1057</v>
      </c>
      <c r="D171" s="224"/>
      <c r="E171" s="225"/>
      <c r="F171" s="228"/>
      <c r="G171" s="229"/>
      <c r="H171" s="237" t="s">
        <v>39</v>
      </c>
      <c r="I171" s="230"/>
      <c r="J171" s="231"/>
      <c r="K171" s="179"/>
      <c r="L171" s="237" t="s">
        <v>39</v>
      </c>
      <c r="M171" s="230"/>
      <c r="N171" s="225"/>
      <c r="O171" s="225"/>
      <c r="P171" s="225"/>
      <c r="Q171" s="225"/>
      <c r="R171" s="225"/>
      <c r="S171" s="155"/>
      <c r="T171" s="155"/>
    </row>
    <row r="172" spans="1:20" ht="22.5" customHeight="1">
      <c r="A172" s="170"/>
      <c r="B172" s="224" t="s">
        <v>1058</v>
      </c>
      <c r="C172" s="224" t="s">
        <v>1059</v>
      </c>
      <c r="D172" s="224"/>
      <c r="E172" s="225"/>
      <c r="F172" s="228"/>
      <c r="G172" s="229"/>
      <c r="H172" s="225"/>
      <c r="I172" s="230"/>
      <c r="J172" s="231"/>
      <c r="K172" s="179"/>
      <c r="L172" s="225"/>
      <c r="M172" s="230"/>
      <c r="N172" s="225"/>
      <c r="O172" s="225"/>
      <c r="P172" s="225"/>
      <c r="Q172" s="225"/>
      <c r="R172" s="225"/>
      <c r="S172" s="155"/>
      <c r="T172" s="155"/>
    </row>
    <row r="173" spans="1:20" ht="22.5" customHeight="1">
      <c r="A173" s="170"/>
      <c r="B173" s="224" t="s">
        <v>1060</v>
      </c>
      <c r="C173" s="224" t="s">
        <v>1061</v>
      </c>
      <c r="D173" s="224"/>
      <c r="E173" s="225"/>
      <c r="F173" s="228"/>
      <c r="G173" s="229"/>
      <c r="H173" s="225"/>
      <c r="I173" s="230"/>
      <c r="J173" s="231"/>
      <c r="K173" s="179"/>
      <c r="L173" s="225"/>
      <c r="M173" s="230"/>
      <c r="N173" s="225"/>
      <c r="O173" s="225"/>
      <c r="P173" s="225"/>
      <c r="Q173" s="225"/>
      <c r="R173" s="225"/>
      <c r="S173" s="155"/>
      <c r="T173" s="155"/>
    </row>
    <row r="174" spans="1:20" ht="22.5" customHeight="1">
      <c r="A174" s="170"/>
      <c r="B174" s="224" t="s">
        <v>1062</v>
      </c>
      <c r="C174" s="224" t="s">
        <v>1063</v>
      </c>
      <c r="D174" s="224"/>
      <c r="E174" s="225"/>
      <c r="F174" s="228"/>
      <c r="G174" s="229"/>
      <c r="H174" s="225"/>
      <c r="I174" s="237" t="s">
        <v>39</v>
      </c>
      <c r="J174" s="231"/>
      <c r="K174" s="179"/>
      <c r="L174" s="225"/>
      <c r="M174" s="230"/>
      <c r="N174" s="225"/>
      <c r="O174" s="225"/>
      <c r="P174" s="225"/>
      <c r="Q174" s="225"/>
      <c r="R174" s="225"/>
      <c r="S174" s="155"/>
      <c r="T174" s="155"/>
    </row>
    <row r="175" spans="1:20" ht="22.5" customHeight="1">
      <c r="A175" s="170"/>
      <c r="B175" s="224" t="s">
        <v>1064</v>
      </c>
      <c r="C175" s="224" t="s">
        <v>1065</v>
      </c>
      <c r="D175" s="224"/>
      <c r="E175" s="225"/>
      <c r="F175" s="228"/>
      <c r="G175" s="229"/>
      <c r="H175" s="225"/>
      <c r="I175" s="230"/>
      <c r="J175" s="231"/>
      <c r="K175" s="179"/>
      <c r="L175" s="225"/>
      <c r="M175" s="230"/>
      <c r="N175" s="225"/>
      <c r="O175" s="225"/>
      <c r="P175" s="225"/>
      <c r="Q175" s="225"/>
      <c r="R175" s="225"/>
      <c r="S175" s="155"/>
      <c r="T175" s="155"/>
    </row>
    <row r="176" spans="1:20" ht="22.5" customHeight="1">
      <c r="A176" s="170"/>
      <c r="B176" s="224" t="s">
        <v>1066</v>
      </c>
      <c r="C176" s="224" t="s">
        <v>1067</v>
      </c>
      <c r="D176" s="224"/>
      <c r="E176" s="225"/>
      <c r="F176" s="228"/>
      <c r="G176" s="229"/>
      <c r="H176" s="225"/>
      <c r="I176" s="230"/>
      <c r="J176" s="231"/>
      <c r="K176" s="179"/>
      <c r="L176" s="225"/>
      <c r="M176" s="230"/>
      <c r="N176" s="225"/>
      <c r="O176" s="225"/>
      <c r="P176" s="225"/>
      <c r="Q176" s="225"/>
      <c r="R176" s="225"/>
      <c r="S176" s="155"/>
      <c r="T176" s="155"/>
    </row>
    <row r="177" spans="1:20" ht="22.5" customHeight="1">
      <c r="A177" s="170"/>
      <c r="B177" s="224" t="s">
        <v>1068</v>
      </c>
      <c r="C177" s="224" t="s">
        <v>1069</v>
      </c>
      <c r="D177" s="224"/>
      <c r="E177" s="225"/>
      <c r="F177" s="228"/>
      <c r="G177" s="229"/>
      <c r="H177" s="225"/>
      <c r="I177" s="230"/>
      <c r="J177" s="231"/>
      <c r="K177" s="179"/>
      <c r="L177" s="225"/>
      <c r="M177" s="230"/>
      <c r="N177" s="225"/>
      <c r="O177" s="225"/>
      <c r="P177" s="225"/>
      <c r="Q177" s="225"/>
      <c r="R177" s="225"/>
      <c r="S177" s="155"/>
      <c r="T177" s="155"/>
    </row>
    <row r="178" spans="1:20" ht="22.5" customHeight="1">
      <c r="A178" s="170"/>
      <c r="B178" s="224" t="s">
        <v>1070</v>
      </c>
      <c r="C178" s="224" t="s">
        <v>1071</v>
      </c>
      <c r="D178" s="224"/>
      <c r="E178" s="225"/>
      <c r="F178" s="228"/>
      <c r="G178" s="229"/>
      <c r="H178" s="225"/>
      <c r="I178" s="230"/>
      <c r="J178" s="231"/>
      <c r="K178" s="179"/>
      <c r="L178" s="225"/>
      <c r="M178" s="230"/>
      <c r="N178" s="225"/>
      <c r="O178" s="225"/>
      <c r="P178" s="225"/>
      <c r="Q178" s="225"/>
      <c r="R178" s="225"/>
      <c r="S178" s="155"/>
      <c r="T178" s="155"/>
    </row>
    <row r="179" spans="1:20" ht="22.5" customHeight="1">
      <c r="A179" s="170"/>
      <c r="B179" s="224" t="s">
        <v>1072</v>
      </c>
      <c r="C179" s="224" t="s">
        <v>1073</v>
      </c>
      <c r="D179" s="224"/>
      <c r="E179" s="225"/>
      <c r="F179" s="228"/>
      <c r="G179" s="229"/>
      <c r="H179" s="225"/>
      <c r="I179" s="230"/>
      <c r="J179" s="231"/>
      <c r="K179" s="179"/>
      <c r="L179" s="225"/>
      <c r="M179" s="230"/>
      <c r="N179" s="225"/>
      <c r="O179" s="225"/>
      <c r="P179" s="225"/>
      <c r="Q179" s="225"/>
      <c r="R179" s="225"/>
      <c r="S179" s="155"/>
      <c r="T179" s="155"/>
    </row>
    <row r="180" spans="1:20" ht="22.5" customHeight="1">
      <c r="A180" s="170"/>
      <c r="B180" s="224" t="s">
        <v>1074</v>
      </c>
      <c r="C180" s="224" t="s">
        <v>1075</v>
      </c>
      <c r="D180" s="224"/>
      <c r="E180" s="225"/>
      <c r="F180" s="228"/>
      <c r="G180" s="229"/>
      <c r="H180" s="225"/>
      <c r="I180" s="230"/>
      <c r="J180" s="231"/>
      <c r="K180" s="179"/>
      <c r="L180" s="225"/>
      <c r="M180" s="230"/>
      <c r="N180" s="225"/>
      <c r="O180" s="225"/>
      <c r="P180" s="225"/>
      <c r="Q180" s="225"/>
      <c r="R180" s="225"/>
      <c r="S180" s="155"/>
      <c r="T180" s="155"/>
    </row>
    <row r="181" spans="1:20" ht="22.5" customHeight="1">
      <c r="A181" s="170"/>
      <c r="B181" s="224" t="s">
        <v>1076</v>
      </c>
      <c r="C181" s="224" t="s">
        <v>1077</v>
      </c>
      <c r="D181" s="224"/>
      <c r="E181" s="225"/>
      <c r="F181" s="228"/>
      <c r="G181" s="229"/>
      <c r="H181" s="225"/>
      <c r="I181" s="230"/>
      <c r="J181" s="231"/>
      <c r="K181" s="179"/>
      <c r="L181" s="225"/>
      <c r="M181" s="230"/>
      <c r="N181" s="225"/>
      <c r="O181" s="225"/>
      <c r="P181" s="225"/>
      <c r="Q181" s="225"/>
      <c r="R181" s="225"/>
      <c r="S181" s="155"/>
      <c r="T181" s="155"/>
    </row>
    <row r="182" spans="1:20" ht="22.5" customHeight="1">
      <c r="A182" s="170"/>
      <c r="B182" s="224" t="s">
        <v>1078</v>
      </c>
      <c r="C182" s="224" t="s">
        <v>1079</v>
      </c>
      <c r="D182" s="224"/>
      <c r="E182" s="225"/>
      <c r="F182" s="228"/>
      <c r="G182" s="229"/>
      <c r="H182" s="225"/>
      <c r="I182" s="230"/>
      <c r="J182" s="231"/>
      <c r="K182" s="179"/>
      <c r="L182" s="225"/>
      <c r="M182" s="230"/>
      <c r="N182" s="225"/>
      <c r="O182" s="225"/>
      <c r="P182" s="225"/>
      <c r="Q182" s="225"/>
      <c r="R182" s="225"/>
      <c r="S182" s="155"/>
      <c r="T182" s="155"/>
    </row>
    <row r="183" spans="1:20" ht="22.5" customHeight="1">
      <c r="A183" s="170"/>
      <c r="B183" s="224" t="s">
        <v>1080</v>
      </c>
      <c r="C183" s="224" t="s">
        <v>994</v>
      </c>
      <c r="D183" s="224">
        <v>0</v>
      </c>
      <c r="E183" s="224" t="s">
        <v>45</v>
      </c>
      <c r="F183" s="224">
        <v>220</v>
      </c>
      <c r="G183" s="229"/>
      <c r="H183" s="225"/>
      <c r="I183" s="237" t="s">
        <v>39</v>
      </c>
      <c r="J183" s="231"/>
      <c r="K183" s="179"/>
      <c r="L183" s="225"/>
      <c r="M183" s="230"/>
      <c r="N183" s="225"/>
      <c r="O183" s="225"/>
      <c r="P183" s="225"/>
      <c r="Q183" s="225"/>
      <c r="R183" s="225"/>
      <c r="S183" s="155"/>
      <c r="T183" s="155"/>
    </row>
    <row r="184" spans="1:20" ht="22.5" customHeight="1">
      <c r="A184" s="170"/>
      <c r="B184" s="224" t="s">
        <v>1081</v>
      </c>
      <c r="C184" s="224" t="s">
        <v>1082</v>
      </c>
      <c r="D184" s="224"/>
      <c r="E184" s="225"/>
      <c r="F184" s="228"/>
      <c r="G184" s="229"/>
      <c r="H184" s="237" t="s">
        <v>39</v>
      </c>
      <c r="I184" s="230"/>
      <c r="J184" s="231"/>
      <c r="K184" s="179"/>
      <c r="L184" s="237" t="s">
        <v>39</v>
      </c>
      <c r="M184" s="225"/>
      <c r="N184" s="225"/>
      <c r="O184" s="225"/>
      <c r="P184" s="225"/>
      <c r="Q184" s="225"/>
      <c r="R184" s="225"/>
      <c r="S184" s="155"/>
      <c r="T184" s="155"/>
    </row>
    <row r="185" spans="1:20" ht="22.5" customHeight="1">
      <c r="A185" s="170"/>
      <c r="B185" s="224" t="s">
        <v>1091</v>
      </c>
      <c r="C185" s="224" t="s">
        <v>1092</v>
      </c>
      <c r="D185" s="224"/>
      <c r="E185" s="225" t="s">
        <v>41</v>
      </c>
      <c r="F185" s="228">
        <v>220</v>
      </c>
      <c r="G185" s="229"/>
      <c r="H185" s="225"/>
      <c r="I185" s="230"/>
      <c r="J185" s="231"/>
      <c r="K185" s="179"/>
      <c r="L185" s="225"/>
      <c r="M185" s="225"/>
      <c r="N185" s="225"/>
      <c r="O185" s="225"/>
      <c r="P185" s="225"/>
      <c r="Q185" s="225"/>
      <c r="R185" s="225"/>
      <c r="S185" s="155"/>
      <c r="T185" s="155"/>
    </row>
    <row r="186" spans="1:20" ht="22.5" customHeight="1">
      <c r="A186" s="170"/>
      <c r="B186" s="224" t="s">
        <v>1085</v>
      </c>
      <c r="C186" s="224" t="s">
        <v>1086</v>
      </c>
      <c r="D186" s="224"/>
      <c r="E186" s="225" t="s">
        <v>41</v>
      </c>
      <c r="F186" s="228">
        <v>220</v>
      </c>
      <c r="G186" s="229"/>
      <c r="H186" s="225"/>
      <c r="I186" s="230"/>
      <c r="J186" s="231"/>
      <c r="K186" s="179"/>
      <c r="L186" s="225"/>
      <c r="M186" s="225"/>
      <c r="N186" s="225"/>
      <c r="O186" s="225"/>
      <c r="P186" s="225"/>
      <c r="Q186" s="225"/>
      <c r="R186" s="225"/>
      <c r="S186" s="155"/>
      <c r="T186" s="155"/>
    </row>
    <row r="187" spans="1:20" ht="22.5" customHeight="1">
      <c r="A187" s="170"/>
      <c r="B187" s="224" t="s">
        <v>1095</v>
      </c>
      <c r="C187" s="224" t="s">
        <v>1096</v>
      </c>
      <c r="D187" s="224"/>
      <c r="E187" s="225" t="s">
        <v>41</v>
      </c>
      <c r="F187" s="228">
        <v>220</v>
      </c>
      <c r="G187" s="229"/>
      <c r="H187" s="225"/>
      <c r="I187" s="230"/>
      <c r="J187" s="231"/>
      <c r="K187" s="179"/>
      <c r="L187" s="225"/>
      <c r="M187" s="225"/>
      <c r="N187" s="225"/>
      <c r="O187" s="225"/>
      <c r="P187" s="225"/>
      <c r="Q187" s="225"/>
      <c r="R187" s="225"/>
      <c r="S187" s="155"/>
      <c r="T187" s="155"/>
    </row>
    <row r="188" spans="1:20" ht="22.5" customHeight="1">
      <c r="A188" s="170"/>
      <c r="B188" s="224" t="s">
        <v>1093</v>
      </c>
      <c r="C188" s="224" t="s">
        <v>1094</v>
      </c>
      <c r="D188" s="224"/>
      <c r="E188" s="225" t="s">
        <v>45</v>
      </c>
      <c r="F188" s="228">
        <v>220</v>
      </c>
      <c r="G188" s="229"/>
      <c r="H188" s="225"/>
      <c r="I188" s="237" t="s">
        <v>39</v>
      </c>
      <c r="J188" s="231"/>
      <c r="K188" s="179"/>
      <c r="L188" s="225"/>
      <c r="M188" s="225"/>
      <c r="N188" s="225"/>
      <c r="O188" s="225"/>
      <c r="P188" s="225"/>
      <c r="Q188" s="225"/>
      <c r="R188" s="225"/>
      <c r="S188" s="155"/>
      <c r="T188" s="155"/>
    </row>
    <row r="189" spans="1:20" ht="22.5" customHeight="1">
      <c r="A189" s="170"/>
      <c r="B189" s="224" t="s">
        <v>1087</v>
      </c>
      <c r="C189" s="224" t="s">
        <v>1088</v>
      </c>
      <c r="D189" s="224"/>
      <c r="E189" s="225" t="s">
        <v>45</v>
      </c>
      <c r="F189" s="228">
        <v>220</v>
      </c>
      <c r="G189" s="229"/>
      <c r="H189" s="225"/>
      <c r="I189" s="237" t="s">
        <v>39</v>
      </c>
      <c r="J189" s="231"/>
      <c r="K189" s="179"/>
      <c r="L189" s="225"/>
      <c r="M189" s="225"/>
      <c r="N189" s="225"/>
      <c r="O189" s="225"/>
      <c r="P189" s="225"/>
      <c r="Q189" s="225"/>
      <c r="R189" s="225"/>
      <c r="S189" s="155"/>
      <c r="T189" s="155"/>
    </row>
    <row r="190" spans="1:20" ht="22.5" customHeight="1">
      <c r="A190" s="170"/>
      <c r="B190" s="224" t="s">
        <v>1097</v>
      </c>
      <c r="C190" s="224" t="s">
        <v>1098</v>
      </c>
      <c r="D190" s="224"/>
      <c r="E190" s="225" t="s">
        <v>45</v>
      </c>
      <c r="F190" s="228">
        <v>220</v>
      </c>
      <c r="G190" s="229"/>
      <c r="H190" s="225"/>
      <c r="I190" s="237" t="s">
        <v>39</v>
      </c>
      <c r="J190" s="231"/>
      <c r="K190" s="179"/>
      <c r="L190" s="225"/>
      <c r="M190" s="225"/>
      <c r="N190" s="225"/>
      <c r="O190" s="225"/>
      <c r="P190" s="225"/>
      <c r="Q190" s="225"/>
      <c r="R190" s="225"/>
      <c r="S190" s="155"/>
      <c r="T190" s="155"/>
    </row>
    <row r="191" spans="1:20" ht="22.5" customHeight="1">
      <c r="A191" s="170"/>
      <c r="B191" s="224" t="s">
        <v>1083</v>
      </c>
      <c r="C191" s="224" t="s">
        <v>1084</v>
      </c>
      <c r="D191" s="224"/>
      <c r="E191" s="225" t="s">
        <v>47</v>
      </c>
      <c r="F191" s="228">
        <v>120</v>
      </c>
      <c r="G191" s="229"/>
      <c r="H191" s="225"/>
      <c r="I191" s="230"/>
      <c r="J191" s="231"/>
      <c r="K191" s="179"/>
      <c r="L191" s="225"/>
      <c r="M191" s="225"/>
      <c r="N191" s="225"/>
      <c r="O191" s="225"/>
      <c r="P191" s="225"/>
      <c r="Q191" s="225"/>
      <c r="R191" s="225"/>
      <c r="S191" s="155"/>
      <c r="T191" s="155"/>
    </row>
    <row r="192" spans="1:20" ht="22.5" customHeight="1">
      <c r="A192" s="170"/>
      <c r="B192" s="224" t="s">
        <v>1089</v>
      </c>
      <c r="C192" s="224" t="s">
        <v>1090</v>
      </c>
      <c r="D192" s="224"/>
      <c r="E192" s="225" t="s">
        <v>47</v>
      </c>
      <c r="F192" s="228">
        <v>120</v>
      </c>
      <c r="G192" s="229"/>
      <c r="H192" s="225"/>
      <c r="I192" s="230"/>
      <c r="J192" s="231"/>
      <c r="K192" s="179"/>
      <c r="L192" s="225"/>
      <c r="M192" s="225"/>
      <c r="N192" s="225"/>
      <c r="O192" s="225"/>
      <c r="P192" s="225"/>
      <c r="Q192" s="225"/>
      <c r="R192" s="225"/>
      <c r="S192" s="155"/>
      <c r="T192" s="155"/>
    </row>
    <row r="193" spans="1:20" ht="22.5" customHeight="1">
      <c r="A193" s="170"/>
      <c r="B193" s="224" t="s">
        <v>1099</v>
      </c>
      <c r="C193" s="224" t="s">
        <v>1100</v>
      </c>
      <c r="D193" s="224"/>
      <c r="E193" s="225" t="s">
        <v>47</v>
      </c>
      <c r="F193" s="228">
        <v>120</v>
      </c>
      <c r="G193" s="229"/>
      <c r="H193" s="225"/>
      <c r="I193" s="230"/>
      <c r="J193" s="231"/>
      <c r="K193" s="179"/>
      <c r="L193" s="225"/>
      <c r="M193" s="225"/>
      <c r="N193" s="225"/>
      <c r="O193" s="225"/>
      <c r="P193" s="225"/>
      <c r="Q193" s="225"/>
      <c r="R193" s="225"/>
      <c r="S193" s="155"/>
      <c r="T193" s="155"/>
    </row>
    <row r="194" spans="1:20" ht="22.5" customHeight="1">
      <c r="A194" s="170"/>
      <c r="B194" s="224" t="s">
        <v>1101</v>
      </c>
      <c r="C194" s="224" t="s">
        <v>1102</v>
      </c>
      <c r="D194" s="224"/>
      <c r="E194" s="225" t="s">
        <v>43</v>
      </c>
      <c r="F194" s="228">
        <v>230</v>
      </c>
      <c r="G194" s="229"/>
      <c r="H194" s="225"/>
      <c r="I194" s="230"/>
      <c r="J194" s="231"/>
      <c r="K194" s="179"/>
      <c r="L194" s="225"/>
      <c r="M194" s="225"/>
      <c r="N194" s="225"/>
      <c r="O194" s="225"/>
      <c r="P194" s="225"/>
      <c r="Q194" s="225"/>
      <c r="R194" s="225"/>
      <c r="S194" s="155"/>
      <c r="T194" s="155"/>
    </row>
    <row r="195" spans="1:20" ht="22.5" customHeight="1">
      <c r="A195" s="170"/>
      <c r="B195" s="224" t="s">
        <v>1103</v>
      </c>
      <c r="C195" s="224" t="s">
        <v>1104</v>
      </c>
      <c r="D195" s="224"/>
      <c r="E195" s="225" t="s">
        <v>43</v>
      </c>
      <c r="F195" s="228">
        <v>230</v>
      </c>
      <c r="G195" s="198"/>
      <c r="H195" s="186"/>
      <c r="I195" s="199"/>
      <c r="J195" s="200"/>
      <c r="K195" s="179"/>
      <c r="L195" s="186"/>
      <c r="M195" s="186"/>
      <c r="N195" s="186"/>
      <c r="O195" s="225"/>
      <c r="P195" s="225"/>
      <c r="Q195" s="225"/>
      <c r="R195" s="225"/>
      <c r="S195" s="155"/>
      <c r="T195" s="155"/>
    </row>
    <row r="196" spans="1:20" ht="22.5" customHeight="1">
      <c r="A196" s="170"/>
      <c r="B196" s="224" t="s">
        <v>1105</v>
      </c>
      <c r="C196" s="224" t="s">
        <v>1106</v>
      </c>
      <c r="D196" s="224"/>
      <c r="E196" s="225" t="s">
        <v>43</v>
      </c>
      <c r="F196" s="228">
        <v>230</v>
      </c>
      <c r="G196" s="229"/>
      <c r="H196" s="225"/>
      <c r="I196" s="230"/>
      <c r="J196" s="231"/>
      <c r="K196" s="179"/>
      <c r="L196" s="225"/>
      <c r="M196" s="225"/>
      <c r="N196" s="225"/>
      <c r="O196" s="225"/>
      <c r="P196" s="225"/>
      <c r="Q196" s="225"/>
      <c r="R196" s="225"/>
      <c r="S196" s="155"/>
      <c r="T196" s="155"/>
    </row>
    <row r="197" spans="1:20" ht="22.5" customHeight="1" thickBot="1">
      <c r="A197" s="170"/>
      <c r="B197" s="287" t="s">
        <v>1110</v>
      </c>
      <c r="C197" s="287" t="s">
        <v>1111</v>
      </c>
      <c r="D197" s="287"/>
      <c r="E197" s="288" t="s">
        <v>121</v>
      </c>
      <c r="F197" s="289">
        <v>100</v>
      </c>
      <c r="G197" s="290"/>
      <c r="H197" s="291"/>
      <c r="I197" s="292" t="s">
        <v>39</v>
      </c>
      <c r="J197" s="293"/>
      <c r="K197" s="294"/>
      <c r="L197" s="291"/>
      <c r="M197" s="295"/>
      <c r="N197" s="295"/>
      <c r="O197" s="295"/>
      <c r="P197" s="295"/>
      <c r="Q197" s="295"/>
      <c r="R197" s="295"/>
      <c r="S197" s="155"/>
      <c r="T197" s="155"/>
    </row>
    <row r="198" spans="1:20" ht="22.5" customHeight="1" thickBot="1">
      <c r="A198" s="170"/>
      <c r="B198" s="284" t="s">
        <v>1112</v>
      </c>
      <c r="C198" s="284" t="s">
        <v>1113</v>
      </c>
      <c r="D198" s="284"/>
      <c r="E198" s="285" t="s">
        <v>72</v>
      </c>
      <c r="F198" s="286">
        <v>120</v>
      </c>
      <c r="G198" s="278"/>
      <c r="H198" s="279"/>
      <c r="I198" s="237" t="s">
        <v>39</v>
      </c>
      <c r="J198" s="280"/>
      <c r="K198" s="281"/>
      <c r="L198" s="279"/>
      <c r="M198" s="277"/>
      <c r="N198" s="277"/>
      <c r="O198" s="277"/>
      <c r="P198" s="277"/>
      <c r="Q198" s="277"/>
      <c r="R198" s="277"/>
      <c r="S198" s="155"/>
      <c r="T198" s="155"/>
    </row>
    <row r="199" spans="1:20" ht="22.5" customHeight="1" thickBot="1">
      <c r="A199" s="170"/>
      <c r="B199" s="284" t="s">
        <v>1114</v>
      </c>
      <c r="C199" s="284" t="s">
        <v>1115</v>
      </c>
      <c r="D199" s="284"/>
      <c r="E199" s="285" t="s">
        <v>42</v>
      </c>
      <c r="F199" s="286">
        <v>230</v>
      </c>
      <c r="G199" s="278"/>
      <c r="H199" s="279"/>
      <c r="I199" s="237" t="s">
        <v>39</v>
      </c>
      <c r="J199" s="280"/>
      <c r="K199" s="281"/>
      <c r="L199" s="279"/>
      <c r="M199" s="277"/>
      <c r="N199" s="277"/>
      <c r="O199" s="277"/>
      <c r="P199" s="277"/>
      <c r="Q199" s="277"/>
      <c r="R199" s="277"/>
      <c r="S199" s="155"/>
      <c r="T199" s="155"/>
    </row>
    <row r="200" spans="1:20" ht="22.5" customHeight="1">
      <c r="B200" s="296" t="s">
        <v>1159</v>
      </c>
    </row>
    <row r="201" spans="1:20" ht="22.5" customHeight="1">
      <c r="B201" s="297" t="s">
        <v>1160</v>
      </c>
    </row>
    <row r="202" spans="1:20" ht="22.5" customHeight="1">
      <c r="B202" s="297" t="s">
        <v>1161</v>
      </c>
    </row>
    <row r="203" spans="1:20" ht="22.5" customHeight="1">
      <c r="B203" s="297" t="s">
        <v>1162</v>
      </c>
    </row>
    <row r="204" spans="1:20" ht="22.5" customHeight="1">
      <c r="B204" s="297" t="s">
        <v>1163</v>
      </c>
    </row>
    <row r="205" spans="1:20" ht="22.5" customHeight="1">
      <c r="B205" s="297" t="s">
        <v>1164</v>
      </c>
    </row>
    <row r="206" spans="1:20" ht="22.5" customHeight="1">
      <c r="B206" s="297" t="s">
        <v>1165</v>
      </c>
    </row>
    <row r="207" spans="1:20" ht="22.5" customHeight="1">
      <c r="B207" s="297" t="s">
        <v>1166</v>
      </c>
    </row>
    <row r="208" spans="1:20" ht="22.5" customHeight="1">
      <c r="B208" s="297" t="s">
        <v>1167</v>
      </c>
    </row>
    <row r="209" spans="2:12" ht="22.5" customHeight="1">
      <c r="B209" s="297" t="s">
        <v>1168</v>
      </c>
    </row>
    <row r="210" spans="2:12" ht="22.5" customHeight="1">
      <c r="B210" s="297" t="s">
        <v>1169</v>
      </c>
    </row>
    <row r="211" spans="2:12" ht="22.5" customHeight="1">
      <c r="B211" s="297" t="s">
        <v>1170</v>
      </c>
    </row>
    <row r="212" spans="2:12" ht="22.5" customHeight="1">
      <c r="B212" s="297" t="s">
        <v>1171</v>
      </c>
    </row>
    <row r="213" spans="2:12" ht="22.5" customHeight="1">
      <c r="B213" s="297" t="s">
        <v>1172</v>
      </c>
    </row>
    <row r="214" spans="2:12" ht="22.5" customHeight="1">
      <c r="B214" s="298" t="s">
        <v>1173</v>
      </c>
    </row>
    <row r="215" spans="2:12" ht="22.5" customHeight="1">
      <c r="B215" s="296" t="s">
        <v>1174</v>
      </c>
    </row>
    <row r="216" spans="2:12" ht="22.5" customHeight="1">
      <c r="B216" s="296" t="s">
        <v>1175</v>
      </c>
    </row>
    <row r="217" spans="2:12" ht="22.5" customHeight="1">
      <c r="B217" s="296" t="s">
        <v>1176</v>
      </c>
    </row>
    <row r="218" spans="2:12" ht="22.5" customHeight="1">
      <c r="B218" s="296" t="s">
        <v>1177</v>
      </c>
    </row>
    <row r="219" spans="2:12" ht="22.5" customHeight="1" thickBot="1">
      <c r="B219" s="296" t="s">
        <v>1178</v>
      </c>
    </row>
    <row r="220" spans="2:12" ht="22.5" customHeight="1" thickTop="1" thickBot="1">
      <c r="B220" s="299" t="s">
        <v>1153</v>
      </c>
      <c r="C220" s="308" t="s">
        <v>1154</v>
      </c>
      <c r="E220" s="155" t="s">
        <v>41</v>
      </c>
      <c r="F220" s="155">
        <v>220</v>
      </c>
    </row>
    <row r="221" spans="2:12" ht="22.5" customHeight="1" thickTop="1">
      <c r="B221" s="300" t="s">
        <v>1179</v>
      </c>
      <c r="C221" s="303" t="s">
        <v>1201</v>
      </c>
      <c r="E221" s="155" t="s">
        <v>41</v>
      </c>
      <c r="F221" s="155">
        <v>220</v>
      </c>
    </row>
    <row r="222" spans="2:12" ht="22.5" customHeight="1">
      <c r="B222" s="297" t="s">
        <v>1180</v>
      </c>
      <c r="C222" s="304" t="s">
        <v>1202</v>
      </c>
      <c r="F222" s="155">
        <v>220</v>
      </c>
      <c r="I222" s="237" t="s">
        <v>39</v>
      </c>
    </row>
    <row r="223" spans="2:12" ht="22.5" customHeight="1">
      <c r="B223" s="297" t="s">
        <v>1181</v>
      </c>
      <c r="C223" s="304" t="s">
        <v>1203</v>
      </c>
      <c r="F223" s="155">
        <v>120</v>
      </c>
    </row>
    <row r="224" spans="2:12" ht="22.5" customHeight="1">
      <c r="B224" s="297" t="s">
        <v>1137</v>
      </c>
      <c r="C224" s="304" t="s">
        <v>1138</v>
      </c>
      <c r="F224" s="155">
        <v>230</v>
      </c>
      <c r="H224" s="237" t="s">
        <v>39</v>
      </c>
      <c r="L224" s="237" t="s">
        <v>39</v>
      </c>
    </row>
    <row r="225" spans="2:12" ht="22.5" customHeight="1">
      <c r="B225" s="297" t="s">
        <v>1157</v>
      </c>
      <c r="C225" s="304" t="s">
        <v>1158</v>
      </c>
      <c r="F225" s="155">
        <v>120</v>
      </c>
      <c r="H225" s="237" t="s">
        <v>39</v>
      </c>
      <c r="L225" s="237" t="s">
        <v>39</v>
      </c>
    </row>
    <row r="226" spans="2:12" ht="22.5" customHeight="1">
      <c r="B226" s="297" t="s">
        <v>1182</v>
      </c>
      <c r="C226" s="304" t="s">
        <v>1204</v>
      </c>
      <c r="E226" s="155" t="s">
        <v>41</v>
      </c>
      <c r="F226" s="155">
        <v>220</v>
      </c>
    </row>
    <row r="227" spans="2:12" ht="22.5" customHeight="1">
      <c r="B227" s="297" t="s">
        <v>1183</v>
      </c>
      <c r="C227" s="304" t="s">
        <v>1205</v>
      </c>
      <c r="F227" s="155">
        <v>120</v>
      </c>
    </row>
    <row r="228" spans="2:12" ht="22.5" customHeight="1">
      <c r="B228" s="297" t="s">
        <v>1184</v>
      </c>
      <c r="C228" s="304" t="s">
        <v>1206</v>
      </c>
      <c r="F228" s="155">
        <v>220</v>
      </c>
      <c r="I228" s="237" t="s">
        <v>39</v>
      </c>
    </row>
    <row r="229" spans="2:12" ht="22.5" customHeight="1">
      <c r="B229" s="297" t="s">
        <v>1155</v>
      </c>
      <c r="C229" s="304" t="s">
        <v>1156</v>
      </c>
      <c r="F229" s="155">
        <v>120</v>
      </c>
      <c r="H229" s="237" t="s">
        <v>39</v>
      </c>
      <c r="L229" s="237" t="s">
        <v>39</v>
      </c>
    </row>
    <row r="230" spans="2:12" ht="22.5" customHeight="1">
      <c r="B230" s="297" t="s">
        <v>1123</v>
      </c>
      <c r="C230" s="304" t="s">
        <v>1124</v>
      </c>
      <c r="F230" s="155">
        <v>230</v>
      </c>
      <c r="H230" s="237" t="s">
        <v>39</v>
      </c>
      <c r="L230" s="237" t="s">
        <v>39</v>
      </c>
    </row>
    <row r="231" spans="2:12" ht="22.5" customHeight="1">
      <c r="B231" s="297" t="s">
        <v>1125</v>
      </c>
      <c r="C231" s="304" t="s">
        <v>1126</v>
      </c>
      <c r="F231" s="155">
        <v>230</v>
      </c>
      <c r="H231" s="237" t="s">
        <v>39</v>
      </c>
      <c r="L231" s="237" t="s">
        <v>39</v>
      </c>
    </row>
    <row r="232" spans="2:12" ht="22.5" customHeight="1">
      <c r="B232" s="297" t="s">
        <v>1110</v>
      </c>
      <c r="C232" s="304" t="s">
        <v>1111</v>
      </c>
      <c r="F232" s="155">
        <v>100</v>
      </c>
      <c r="I232" s="237" t="s">
        <v>39</v>
      </c>
    </row>
    <row r="233" spans="2:12" ht="22.5" customHeight="1">
      <c r="B233" s="297" t="s">
        <v>1127</v>
      </c>
      <c r="C233" s="304" t="s">
        <v>1128</v>
      </c>
      <c r="F233" s="155">
        <v>230</v>
      </c>
    </row>
    <row r="234" spans="2:12" ht="22.5" customHeight="1">
      <c r="B234" s="297" t="s">
        <v>1129</v>
      </c>
      <c r="C234" s="304" t="s">
        <v>1130</v>
      </c>
      <c r="F234" s="155">
        <v>230</v>
      </c>
    </row>
    <row r="235" spans="2:12" ht="22.5" customHeight="1">
      <c r="B235" s="297" t="s">
        <v>1131</v>
      </c>
      <c r="C235" s="304" t="s">
        <v>1132</v>
      </c>
      <c r="F235" s="155">
        <v>100</v>
      </c>
      <c r="I235" s="237" t="s">
        <v>39</v>
      </c>
    </row>
    <row r="236" spans="2:12" ht="22.5" customHeight="1">
      <c r="B236" s="297" t="s">
        <v>1119</v>
      </c>
      <c r="C236" s="304" t="s">
        <v>1120</v>
      </c>
      <c r="F236" s="155">
        <v>230</v>
      </c>
    </row>
    <row r="237" spans="2:12" ht="22.5" customHeight="1">
      <c r="B237" s="297" t="s">
        <v>1121</v>
      </c>
      <c r="C237" s="304" t="s">
        <v>1122</v>
      </c>
      <c r="F237" s="155">
        <v>230</v>
      </c>
    </row>
    <row r="238" spans="2:12" ht="22.5" customHeight="1">
      <c r="B238" s="297" t="s">
        <v>1185</v>
      </c>
      <c r="C238" s="304" t="s">
        <v>1207</v>
      </c>
      <c r="F238" s="155">
        <v>120</v>
      </c>
    </row>
    <row r="239" spans="2:12" ht="22.5" customHeight="1">
      <c r="B239" s="297" t="s">
        <v>1186</v>
      </c>
      <c r="C239" s="304" t="s">
        <v>1208</v>
      </c>
      <c r="F239" s="155">
        <v>230</v>
      </c>
    </row>
    <row r="240" spans="2:12" ht="22.5" customHeight="1">
      <c r="B240" s="297" t="s">
        <v>1117</v>
      </c>
      <c r="C240" s="304" t="s">
        <v>1118</v>
      </c>
      <c r="F240" s="155">
        <v>230</v>
      </c>
      <c r="H240" s="237" t="s">
        <v>39</v>
      </c>
      <c r="L240" s="237" t="s">
        <v>39</v>
      </c>
    </row>
    <row r="241" spans="2:9" ht="22.5" customHeight="1">
      <c r="B241" s="297" t="s">
        <v>1133</v>
      </c>
      <c r="C241" s="304" t="s">
        <v>1134</v>
      </c>
      <c r="F241" s="155">
        <v>230</v>
      </c>
    </row>
    <row r="242" spans="2:9" ht="22.5" customHeight="1">
      <c r="B242" s="297" t="s">
        <v>1135</v>
      </c>
      <c r="C242" s="304" t="s">
        <v>1136</v>
      </c>
      <c r="F242" s="155">
        <v>230</v>
      </c>
    </row>
    <row r="243" spans="2:9" ht="22.5" customHeight="1">
      <c r="B243" s="297" t="s">
        <v>1187</v>
      </c>
      <c r="C243" s="304" t="s">
        <v>1209</v>
      </c>
      <c r="F243" s="155">
        <v>220</v>
      </c>
      <c r="I243" s="237" t="s">
        <v>39</v>
      </c>
    </row>
    <row r="244" spans="2:9" ht="22.5" customHeight="1">
      <c r="B244" s="297" t="s">
        <v>1188</v>
      </c>
      <c r="C244" s="304" t="s">
        <v>1210</v>
      </c>
      <c r="F244" s="155">
        <v>230</v>
      </c>
    </row>
    <row r="245" spans="2:9" ht="22.5" customHeight="1">
      <c r="B245" s="297" t="s">
        <v>1189</v>
      </c>
      <c r="C245" s="304" t="s">
        <v>1211</v>
      </c>
      <c r="F245" s="155">
        <v>230</v>
      </c>
    </row>
    <row r="246" spans="2:9" ht="22.5" customHeight="1">
      <c r="B246" s="297" t="s">
        <v>1190</v>
      </c>
      <c r="C246" s="304" t="s">
        <v>1212</v>
      </c>
      <c r="F246" s="155">
        <v>220</v>
      </c>
    </row>
    <row r="247" spans="2:9" ht="22.5" customHeight="1" thickBot="1">
      <c r="B247" s="301" t="s">
        <v>1139</v>
      </c>
      <c r="C247" s="305" t="s">
        <v>1140</v>
      </c>
    </row>
    <row r="248" spans="2:9" ht="22.5" customHeight="1" thickTop="1">
      <c r="B248" s="302" t="s">
        <v>1191</v>
      </c>
    </row>
    <row r="249" spans="2:9" ht="22.5" customHeight="1">
      <c r="B249" s="302" t="s">
        <v>1192</v>
      </c>
    </row>
    <row r="250" spans="2:9" ht="22.5" customHeight="1">
      <c r="B250" s="302" t="s">
        <v>1193</v>
      </c>
    </row>
    <row r="251" spans="2:9" ht="22.5" customHeight="1">
      <c r="B251" s="302" t="s">
        <v>1194</v>
      </c>
    </row>
    <row r="252" spans="2:9" ht="22.5" customHeight="1">
      <c r="B252" s="302" t="s">
        <v>1195</v>
      </c>
    </row>
    <row r="253" spans="2:9" ht="22.5" customHeight="1">
      <c r="B253" s="302" t="s">
        <v>1196</v>
      </c>
    </row>
    <row r="254" spans="2:9" ht="22.5" customHeight="1">
      <c r="B254" s="302" t="s">
        <v>1197</v>
      </c>
    </row>
    <row r="255" spans="2:9" ht="22.5" customHeight="1">
      <c r="B255" s="302" t="s">
        <v>1198</v>
      </c>
    </row>
    <row r="256" spans="2:9" ht="22.5" customHeight="1">
      <c r="B256" s="302" t="s">
        <v>1199</v>
      </c>
    </row>
    <row r="257" spans="2:9" ht="22.5" customHeight="1">
      <c r="B257" s="302" t="s">
        <v>1200</v>
      </c>
    </row>
    <row r="258" spans="2:9" ht="22.5" customHeight="1">
      <c r="B258" s="296" t="s">
        <v>1215</v>
      </c>
      <c r="C258" s="306" t="s">
        <v>1213</v>
      </c>
    </row>
    <row r="259" spans="2:9" ht="22.5" customHeight="1">
      <c r="B259" s="297" t="s">
        <v>1141</v>
      </c>
      <c r="C259" s="304" t="s">
        <v>1142</v>
      </c>
    </row>
    <row r="260" spans="2:9" ht="22.5" customHeight="1">
      <c r="B260" s="297" t="s">
        <v>1143</v>
      </c>
      <c r="C260" s="304" t="s">
        <v>1144</v>
      </c>
    </row>
    <row r="261" spans="2:9" ht="22.5" customHeight="1">
      <c r="B261" s="297" t="s">
        <v>1145</v>
      </c>
      <c r="C261" s="304" t="s">
        <v>1146</v>
      </c>
    </row>
    <row r="262" spans="2:9" ht="22.5" customHeight="1">
      <c r="B262" s="297" t="s">
        <v>1112</v>
      </c>
      <c r="C262" s="304" t="s">
        <v>1113</v>
      </c>
    </row>
    <row r="263" spans="2:9" ht="22.5" customHeight="1">
      <c r="B263" s="297" t="s">
        <v>1147</v>
      </c>
      <c r="C263" s="304" t="s">
        <v>1148</v>
      </c>
      <c r="I263" s="237" t="s">
        <v>39</v>
      </c>
    </row>
    <row r="264" spans="2:9" ht="22.5" customHeight="1">
      <c r="B264" s="297" t="s">
        <v>1114</v>
      </c>
      <c r="C264" s="304" t="s">
        <v>1115</v>
      </c>
    </row>
    <row r="265" spans="2:9" ht="22.5" customHeight="1">
      <c r="B265" s="297" t="s">
        <v>1149</v>
      </c>
      <c r="C265" s="304" t="s">
        <v>1150</v>
      </c>
    </row>
    <row r="266" spans="2:9" ht="22.5" customHeight="1">
      <c r="B266" s="297" t="s">
        <v>1151</v>
      </c>
      <c r="C266" s="304" t="s">
        <v>1152</v>
      </c>
      <c r="I266" s="237" t="s">
        <v>39</v>
      </c>
    </row>
    <row r="267" spans="2:9" ht="22.5" customHeight="1">
      <c r="B267" s="309" t="s">
        <v>1116</v>
      </c>
      <c r="C267" s="307" t="s">
        <v>1116</v>
      </c>
    </row>
    <row r="268" spans="2:9" ht="22.5" customHeight="1" thickBot="1">
      <c r="B268" s="301" t="s">
        <v>1214</v>
      </c>
      <c r="C268" s="305" t="s">
        <v>1214</v>
      </c>
    </row>
    <row r="269" spans="2:9" ht="22.5" customHeight="1" thickTop="1">
      <c r="B269" s="155" t="s">
        <v>1217</v>
      </c>
      <c r="C269" s="156" t="s">
        <v>1111</v>
      </c>
      <c r="H269" s="237" t="s">
        <v>39</v>
      </c>
    </row>
  </sheetData>
  <autoFilter ref="A2:W269"/>
  <pageMargins left="0.7" right="0.7" top="0.75" bottom="0.75" header="0.3" footer="0.3"/>
  <pageSetup paperSize="9" scale="40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217" r:id="rId4" name="P_CLOSE_PDB">
          <controlPr defaultSize="0" autoLine="0" r:id="rId5">
            <anchor moveWithCells="1">
              <from>
                <xdr:col>1</xdr:col>
                <xdr:colOff>152400</xdr:colOff>
                <xdr:row>0</xdr:row>
                <xdr:rowOff>152400</xdr:rowOff>
              </from>
              <to>
                <xdr:col>1</xdr:col>
                <xdr:colOff>1038225</xdr:colOff>
                <xdr:row>0</xdr:row>
                <xdr:rowOff>1038225</xdr:rowOff>
              </to>
            </anchor>
          </controlPr>
        </control>
      </mc:Choice>
      <mc:Fallback>
        <control shapeId="9217" r:id="rId4" name="P_CLOSE_PDB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_R_Result">
    <tabColor rgb="FF00B050"/>
    <pageSetUpPr fitToPage="1"/>
  </sheetPr>
  <dimension ref="A1:DD191"/>
  <sheetViews>
    <sheetView view="pageBreakPreview" zoomScale="86" zoomScaleNormal="85" zoomScaleSheetLayoutView="86" workbookViewId="0">
      <selection activeCell="H23" sqref="H23"/>
    </sheetView>
  </sheetViews>
  <sheetFormatPr defaultRowHeight="15"/>
  <cols>
    <col min="1" max="6" width="5.42578125" customWidth="1"/>
    <col min="7" max="7" width="11.7109375" customWidth="1"/>
    <col min="8" max="8" width="25.28515625" customWidth="1"/>
    <col min="9" max="9" width="2.7109375" customWidth="1"/>
    <col min="10" max="10" width="3.7109375" style="2" customWidth="1"/>
    <col min="11" max="11" width="2.7109375" customWidth="1"/>
    <col min="12" max="12" width="3.7109375" style="2" customWidth="1"/>
    <col min="13" max="13" width="2.7109375" customWidth="1"/>
    <col min="14" max="14" width="3.7109375" style="2" customWidth="1"/>
    <col min="15" max="15" width="2.7109375" customWidth="1"/>
    <col min="16" max="16" width="3.7109375" style="2" customWidth="1"/>
    <col min="17" max="17" width="2.7109375" customWidth="1"/>
    <col min="18" max="18" width="3.7109375" style="2" customWidth="1"/>
    <col min="19" max="19" width="2.7109375" customWidth="1"/>
    <col min="20" max="20" width="3.7109375" style="2" customWidth="1"/>
    <col min="21" max="21" width="5.7109375" customWidth="1"/>
    <col min="22" max="22" width="2.7109375" customWidth="1"/>
    <col min="23" max="23" width="3.7109375" style="2" customWidth="1"/>
    <col min="24" max="24" width="2.7109375" customWidth="1"/>
    <col min="25" max="25" width="3.7109375" style="2" customWidth="1"/>
    <col min="26" max="26" width="2.7109375" customWidth="1"/>
    <col min="27" max="27" width="3.7109375" style="2" customWidth="1"/>
    <col min="28" max="28" width="2.7109375" customWidth="1"/>
    <col min="29" max="29" width="3.7109375" style="2" customWidth="1"/>
    <col min="30" max="30" width="2.7109375" customWidth="1"/>
    <col min="31" max="31" width="3.7109375" style="2" customWidth="1"/>
    <col min="32" max="32" width="5.7109375" customWidth="1"/>
    <col min="33" max="33" width="2.7109375" customWidth="1"/>
    <col min="34" max="34" width="3.7109375" style="2" customWidth="1"/>
    <col min="35" max="35" width="2.7109375" customWidth="1"/>
    <col min="36" max="36" width="3.7109375" style="2" customWidth="1"/>
    <col min="37" max="37" width="2.7109375" customWidth="1"/>
    <col min="38" max="38" width="3.7109375" style="2" customWidth="1"/>
    <col min="39" max="39" width="2.7109375" customWidth="1"/>
    <col min="40" max="40" width="3.7109375" style="2" customWidth="1"/>
    <col min="41" max="41" width="2.7109375" customWidth="1"/>
    <col min="42" max="42" width="3.7109375" style="2" customWidth="1"/>
    <col min="43" max="43" width="5.7109375" customWidth="1"/>
    <col min="44" max="44" width="2.7109375" customWidth="1"/>
    <col min="45" max="45" width="3.7109375" style="2" customWidth="1"/>
    <col min="46" max="46" width="2.7109375" customWidth="1"/>
    <col min="47" max="47" width="3.7109375" style="2" customWidth="1"/>
    <col min="48" max="48" width="2.7109375" customWidth="1"/>
    <col min="49" max="49" width="3.7109375" style="2" customWidth="1"/>
    <col min="50" max="50" width="2.7109375" customWidth="1"/>
    <col min="51" max="51" width="3.7109375" style="2" customWidth="1"/>
    <col min="52" max="52" width="2.7109375" customWidth="1"/>
    <col min="53" max="53" width="3.7109375" style="2" customWidth="1"/>
    <col min="54" max="54" width="2.7109375" customWidth="1"/>
    <col min="55" max="55" width="3.7109375" style="2" customWidth="1"/>
    <col min="56" max="56" width="5.7109375" customWidth="1"/>
    <col min="57" max="57" width="2.7109375" customWidth="1"/>
    <col min="58" max="58" width="3.7109375" style="2" customWidth="1"/>
    <col min="59" max="59" width="2.7109375" customWidth="1"/>
    <col min="60" max="60" width="3.7109375" style="2" customWidth="1"/>
    <col min="61" max="61" width="2.7109375" customWidth="1"/>
    <col min="62" max="62" width="3.7109375" style="2" customWidth="1"/>
    <col min="63" max="63" width="2.7109375" customWidth="1"/>
    <col min="64" max="64" width="3.7109375" style="2" customWidth="1"/>
    <col min="65" max="65" width="2.7109375" customWidth="1"/>
    <col min="66" max="66" width="3.7109375" style="2" customWidth="1"/>
    <col min="67" max="67" width="2.7109375" customWidth="1"/>
    <col min="68" max="68" width="3.7109375" style="2" customWidth="1"/>
    <col min="69" max="69" width="5.7109375" customWidth="1"/>
    <col min="70" max="70" width="2.7109375" customWidth="1"/>
    <col min="71" max="71" width="3.7109375" style="2" customWidth="1"/>
    <col min="72" max="72" width="2.7109375" customWidth="1"/>
    <col min="73" max="73" width="3.7109375" style="2" customWidth="1"/>
    <col min="74" max="74" width="2.7109375" customWidth="1"/>
    <col min="75" max="75" width="3.7109375" style="2" customWidth="1"/>
    <col min="76" max="76" width="2.7109375" customWidth="1"/>
    <col min="77" max="77" width="3.7109375" style="2" customWidth="1"/>
    <col min="78" max="78" width="2.7109375" customWidth="1"/>
    <col min="79" max="79" width="3.7109375" style="2" customWidth="1"/>
    <col min="80" max="80" width="2.7109375" customWidth="1"/>
    <col min="81" max="81" width="3.7109375" style="2" customWidth="1"/>
    <col min="82" max="82" width="5.7109375" customWidth="1"/>
    <col min="83" max="83" width="2.7109375" customWidth="1"/>
    <col min="84" max="84" width="3.7109375" style="2" customWidth="1"/>
    <col min="85" max="85" width="2.7109375" customWidth="1"/>
    <col min="86" max="86" width="3.7109375" style="2" customWidth="1"/>
    <col min="87" max="87" width="2.7109375" customWidth="1"/>
    <col min="88" max="88" width="3.7109375" style="2" customWidth="1"/>
    <col min="89" max="89" width="2.7109375" customWidth="1"/>
    <col min="90" max="90" width="3.7109375" style="2" customWidth="1"/>
    <col min="91" max="91" width="2.7109375" customWidth="1"/>
    <col min="92" max="92" width="3.7109375" style="2" customWidth="1"/>
    <col min="93" max="93" width="2.7109375" customWidth="1"/>
    <col min="94" max="94" width="3.7109375" style="2" customWidth="1"/>
    <col min="95" max="95" width="5.7109375" customWidth="1"/>
    <col min="96" max="96" width="2.7109375" customWidth="1"/>
    <col min="97" max="97" width="3.7109375" style="2" customWidth="1"/>
    <col min="98" max="98" width="2.7109375" customWidth="1"/>
    <col min="99" max="99" width="3.7109375" style="2" customWidth="1"/>
    <col min="100" max="100" width="2.7109375" customWidth="1"/>
    <col min="101" max="101" width="3.7109375" style="2" customWidth="1"/>
    <col min="102" max="102" width="2.7109375" customWidth="1"/>
    <col min="103" max="103" width="3.7109375" style="2" customWidth="1"/>
    <col min="104" max="104" width="5.7109375" customWidth="1"/>
    <col min="105" max="105" width="2.7109375" customWidth="1"/>
    <col min="106" max="106" width="3.7109375" style="2" customWidth="1"/>
    <col min="107" max="107" width="5.7109375" customWidth="1"/>
    <col min="108" max="108" width="7.42578125" customWidth="1"/>
  </cols>
  <sheetData>
    <row r="1" spans="1:108" s="378" customFormat="1" ht="30" customHeight="1">
      <c r="A1" s="377" t="s">
        <v>1809</v>
      </c>
      <c r="CO1" s="382" t="s">
        <v>1810</v>
      </c>
      <c r="CP1" s="382"/>
      <c r="CQ1" s="382"/>
      <c r="CR1" s="382"/>
      <c r="CS1" s="382"/>
      <c r="CT1" s="382" t="s">
        <v>1811</v>
      </c>
      <c r="CU1" s="382"/>
      <c r="CV1" s="382"/>
      <c r="CW1" s="382"/>
      <c r="CX1" s="382"/>
      <c r="CY1" s="382" t="s">
        <v>1812</v>
      </c>
      <c r="CZ1" s="382"/>
      <c r="DA1" s="382"/>
      <c r="DB1" s="382"/>
      <c r="DC1" s="382"/>
    </row>
    <row r="2" spans="1:108" s="378" customFormat="1">
      <c r="A2" s="378" t="s">
        <v>1856</v>
      </c>
      <c r="CO2" s="383"/>
      <c r="CP2" s="383"/>
      <c r="CQ2" s="383"/>
      <c r="CR2" s="383"/>
      <c r="CS2" s="383"/>
      <c r="CT2" s="383"/>
      <c r="CU2" s="383"/>
      <c r="CV2" s="383"/>
      <c r="CW2" s="383"/>
      <c r="CX2" s="383"/>
      <c r="CY2" s="383"/>
      <c r="CZ2" s="383"/>
      <c r="DA2" s="383"/>
      <c r="DB2" s="383"/>
      <c r="DC2" s="383"/>
    </row>
    <row r="3" spans="1:108" s="378" customFormat="1">
      <c r="A3" s="378" t="s">
        <v>1857</v>
      </c>
      <c r="CO3" s="383"/>
      <c r="CP3" s="383"/>
      <c r="CQ3" s="383"/>
      <c r="CR3" s="383"/>
      <c r="CS3" s="383"/>
      <c r="CT3" s="383"/>
      <c r="CU3" s="383"/>
      <c r="CV3" s="383"/>
      <c r="CW3" s="383"/>
      <c r="CX3" s="383"/>
      <c r="CY3" s="383"/>
      <c r="CZ3" s="383"/>
      <c r="DA3" s="383"/>
      <c r="DB3" s="383"/>
      <c r="DC3" s="383"/>
    </row>
    <row r="4" spans="1:108" s="378" customFormat="1">
      <c r="A4" s="378" t="s">
        <v>1858</v>
      </c>
      <c r="CO4" s="383"/>
      <c r="CP4" s="383"/>
      <c r="CQ4" s="383"/>
      <c r="CR4" s="383"/>
      <c r="CS4" s="383"/>
      <c r="CT4" s="383"/>
      <c r="CU4" s="383"/>
      <c r="CV4" s="383"/>
      <c r="CW4" s="383"/>
      <c r="CX4" s="383"/>
      <c r="CY4" s="383"/>
      <c r="CZ4" s="383"/>
      <c r="DA4" s="383"/>
      <c r="DB4" s="383"/>
      <c r="DC4" s="383"/>
    </row>
    <row r="5" spans="1:108" s="378" customFormat="1">
      <c r="A5" s="378" t="s">
        <v>2021</v>
      </c>
      <c r="I5" s="378" t="s">
        <v>1838</v>
      </c>
      <c r="J5" s="378" t="s">
        <v>1837</v>
      </c>
      <c r="K5" s="378" t="s">
        <v>1838</v>
      </c>
      <c r="L5" s="378" t="s">
        <v>1837</v>
      </c>
      <c r="M5" s="378" t="s">
        <v>1838</v>
      </c>
      <c r="N5" s="378" t="s">
        <v>1837</v>
      </c>
      <c r="O5" s="378" t="s">
        <v>1838</v>
      </c>
      <c r="P5" s="378" t="s">
        <v>1837</v>
      </c>
      <c r="Q5" s="378" t="s">
        <v>1838</v>
      </c>
      <c r="R5" s="378" t="s">
        <v>1837</v>
      </c>
      <c r="S5" s="378" t="s">
        <v>1838</v>
      </c>
      <c r="T5" s="378" t="s">
        <v>1837</v>
      </c>
      <c r="V5" s="378" t="s">
        <v>1838</v>
      </c>
      <c r="W5" s="378" t="s">
        <v>1837</v>
      </c>
      <c r="X5" s="378" t="s">
        <v>1838</v>
      </c>
      <c r="Y5" s="378" t="s">
        <v>1837</v>
      </c>
      <c r="Z5" s="378" t="s">
        <v>1838</v>
      </c>
      <c r="AA5" s="378" t="s">
        <v>1837</v>
      </c>
      <c r="AB5" s="378" t="s">
        <v>1838</v>
      </c>
      <c r="AC5" s="378" t="s">
        <v>1837</v>
      </c>
      <c r="AD5" s="378" t="s">
        <v>1838</v>
      </c>
      <c r="AE5" s="378" t="s">
        <v>1837</v>
      </c>
      <c r="AG5" s="378" t="s">
        <v>1838</v>
      </c>
      <c r="AH5" s="378" t="s">
        <v>1837</v>
      </c>
      <c r="AI5" s="378" t="s">
        <v>1838</v>
      </c>
      <c r="AJ5" s="378" t="s">
        <v>1837</v>
      </c>
      <c r="AK5" s="378" t="s">
        <v>1838</v>
      </c>
      <c r="AL5" s="378" t="s">
        <v>1837</v>
      </c>
      <c r="AM5" s="378" t="s">
        <v>1838</v>
      </c>
      <c r="AN5" s="378" t="s">
        <v>1837</v>
      </c>
      <c r="AO5" s="378" t="s">
        <v>1838</v>
      </c>
      <c r="AP5" s="378" t="s">
        <v>1837</v>
      </c>
      <c r="AR5" s="378" t="s">
        <v>1838</v>
      </c>
      <c r="AS5" s="378" t="s">
        <v>1837</v>
      </c>
      <c r="AT5" s="378" t="s">
        <v>1838</v>
      </c>
      <c r="AU5" s="378" t="s">
        <v>1837</v>
      </c>
      <c r="AV5" s="378" t="s">
        <v>1838</v>
      </c>
      <c r="AW5" s="378" t="s">
        <v>1837</v>
      </c>
      <c r="AX5" s="378" t="s">
        <v>1838</v>
      </c>
      <c r="AY5" s="378" t="s">
        <v>1837</v>
      </c>
      <c r="AZ5" s="378" t="s">
        <v>1838</v>
      </c>
      <c r="BA5" s="378" t="s">
        <v>1837</v>
      </c>
      <c r="BB5" s="378" t="s">
        <v>1838</v>
      </c>
      <c r="BC5" s="378" t="s">
        <v>1837</v>
      </c>
      <c r="BE5" s="378" t="s">
        <v>1838</v>
      </c>
      <c r="BF5" s="378" t="s">
        <v>1837</v>
      </c>
      <c r="BG5" s="378" t="s">
        <v>1838</v>
      </c>
      <c r="BH5" s="378" t="s">
        <v>1837</v>
      </c>
      <c r="BI5" s="378" t="s">
        <v>1838</v>
      </c>
      <c r="BJ5" s="378" t="s">
        <v>1837</v>
      </c>
      <c r="BK5" s="378" t="s">
        <v>1838</v>
      </c>
      <c r="BL5" s="378" t="s">
        <v>1837</v>
      </c>
      <c r="BM5" s="378" t="s">
        <v>1838</v>
      </c>
      <c r="BN5" s="378" t="s">
        <v>1837</v>
      </c>
      <c r="BO5" s="378" t="s">
        <v>1838</v>
      </c>
      <c r="BP5" s="378" t="s">
        <v>1837</v>
      </c>
      <c r="BR5" s="378" t="s">
        <v>1838</v>
      </c>
      <c r="BS5" s="378" t="s">
        <v>1837</v>
      </c>
      <c r="BT5" s="378" t="s">
        <v>1838</v>
      </c>
      <c r="BU5" s="378" t="s">
        <v>1837</v>
      </c>
      <c r="BV5" s="378" t="s">
        <v>1838</v>
      </c>
      <c r="BW5" s="378" t="s">
        <v>1837</v>
      </c>
      <c r="BX5" s="378" t="s">
        <v>1838</v>
      </c>
      <c r="BY5" s="378" t="s">
        <v>1837</v>
      </c>
      <c r="BZ5" s="378" t="s">
        <v>1838</v>
      </c>
      <c r="CA5" s="378" t="s">
        <v>1837</v>
      </c>
      <c r="CB5" s="378" t="s">
        <v>1838</v>
      </c>
      <c r="CC5" s="378" t="s">
        <v>1837</v>
      </c>
      <c r="CE5" s="378" t="s">
        <v>1838</v>
      </c>
      <c r="CF5" s="378" t="s">
        <v>1837</v>
      </c>
      <c r="CG5" s="378" t="s">
        <v>1838</v>
      </c>
      <c r="CH5" s="378" t="s">
        <v>1837</v>
      </c>
      <c r="CI5" s="378" t="s">
        <v>1838</v>
      </c>
      <c r="CJ5" s="378" t="s">
        <v>1837</v>
      </c>
      <c r="CK5" s="378" t="s">
        <v>1838</v>
      </c>
      <c r="CL5" s="378" t="s">
        <v>1837</v>
      </c>
      <c r="CM5" s="378" t="s">
        <v>1838</v>
      </c>
      <c r="CN5" s="378" t="s">
        <v>1837</v>
      </c>
      <c r="CO5" s="378" t="s">
        <v>1838</v>
      </c>
      <c r="CP5" s="378" t="s">
        <v>1837</v>
      </c>
      <c r="CR5" s="378" t="s">
        <v>1838</v>
      </c>
      <c r="CS5" s="378" t="s">
        <v>1837</v>
      </c>
      <c r="CT5" s="378" t="s">
        <v>1838</v>
      </c>
      <c r="CU5" s="378" t="s">
        <v>1837</v>
      </c>
      <c r="CV5" s="378" t="s">
        <v>1838</v>
      </c>
      <c r="CW5" s="378" t="s">
        <v>1837</v>
      </c>
      <c r="CX5" s="378" t="s">
        <v>1838</v>
      </c>
      <c r="CY5" s="378" t="s">
        <v>1837</v>
      </c>
      <c r="DA5" s="378" t="s">
        <v>1838</v>
      </c>
      <c r="DB5" s="378" t="s">
        <v>1837</v>
      </c>
    </row>
    <row r="6" spans="1:108" ht="18.75">
      <c r="A6" s="342" t="s">
        <v>1813</v>
      </c>
      <c r="J6" s="2" t="s">
        <v>1814</v>
      </c>
      <c r="L6" s="2" t="s">
        <v>1815</v>
      </c>
      <c r="N6" s="2" t="s">
        <v>1815</v>
      </c>
      <c r="P6" s="2" t="s">
        <v>1815</v>
      </c>
      <c r="R6" s="2" t="s">
        <v>1815</v>
      </c>
      <c r="T6" s="2" t="s">
        <v>1815</v>
      </c>
      <c r="W6" s="2" t="s">
        <v>1815</v>
      </c>
      <c r="Y6" s="2" t="s">
        <v>1816</v>
      </c>
      <c r="AA6" s="2" t="s">
        <v>1815</v>
      </c>
      <c r="AC6" s="2" t="s">
        <v>1815</v>
      </c>
      <c r="AE6" s="2" t="s">
        <v>1815</v>
      </c>
      <c r="AH6" s="2" t="s">
        <v>1815</v>
      </c>
      <c r="AJ6" s="2" t="s">
        <v>1815</v>
      </c>
      <c r="AL6" s="2" t="s">
        <v>1815</v>
      </c>
      <c r="AN6" s="2" t="s">
        <v>1815</v>
      </c>
      <c r="AP6" s="2" t="s">
        <v>1815</v>
      </c>
      <c r="AS6" s="2" t="s">
        <v>1815</v>
      </c>
      <c r="AU6" s="2" t="s">
        <v>1815</v>
      </c>
      <c r="AW6" s="2" t="s">
        <v>1815</v>
      </c>
      <c r="AY6" s="2" t="s">
        <v>1815</v>
      </c>
      <c r="BA6" s="2" t="s">
        <v>1815</v>
      </c>
      <c r="BC6" s="2" t="s">
        <v>1815</v>
      </c>
      <c r="BF6" s="2" t="s">
        <v>1815</v>
      </c>
      <c r="BH6" s="2" t="s">
        <v>1815</v>
      </c>
      <c r="BJ6" s="2" t="s">
        <v>1815</v>
      </c>
      <c r="BL6" s="2" t="s">
        <v>1815</v>
      </c>
      <c r="BN6" s="2" t="s">
        <v>1815</v>
      </c>
      <c r="BP6" s="2" t="s">
        <v>1815</v>
      </c>
      <c r="BS6" s="2" t="s">
        <v>1815</v>
      </c>
      <c r="BU6" s="2" t="s">
        <v>1815</v>
      </c>
      <c r="BW6" s="2" t="s">
        <v>1815</v>
      </c>
      <c r="BY6" s="2" t="s">
        <v>1817</v>
      </c>
      <c r="CA6" s="2" t="s">
        <v>1815</v>
      </c>
      <c r="CC6" s="2" t="s">
        <v>1815</v>
      </c>
      <c r="CF6" s="2" t="s">
        <v>1815</v>
      </c>
      <c r="CH6" s="2" t="s">
        <v>1815</v>
      </c>
      <c r="CJ6" s="2" t="s">
        <v>1815</v>
      </c>
      <c r="CL6" s="2" t="s">
        <v>1815</v>
      </c>
      <c r="CN6" s="2" t="s">
        <v>1815</v>
      </c>
      <c r="CP6" s="2" t="s">
        <v>1815</v>
      </c>
      <c r="CS6" s="2" t="s">
        <v>1815</v>
      </c>
      <c r="CU6" s="2" t="s">
        <v>1815</v>
      </c>
      <c r="CW6" s="2" t="s">
        <v>1815</v>
      </c>
      <c r="CY6" s="2" t="s">
        <v>1815</v>
      </c>
      <c r="DB6" s="2" t="s">
        <v>1815</v>
      </c>
    </row>
    <row r="7" spans="1:108">
      <c r="A7" s="343"/>
      <c r="B7" s="344"/>
      <c r="C7" s="344"/>
      <c r="D7" s="344"/>
      <c r="E7" s="344"/>
      <c r="F7" s="344"/>
      <c r="G7" s="344"/>
      <c r="H7" s="345"/>
      <c r="I7" s="374" t="s">
        <v>1818</v>
      </c>
      <c r="J7" s="373"/>
      <c r="K7" s="374" t="s">
        <v>1819</v>
      </c>
      <c r="L7" s="373"/>
      <c r="M7" s="374" t="s">
        <v>1820</v>
      </c>
      <c r="N7" s="373"/>
      <c r="O7" s="374" t="s">
        <v>1821</v>
      </c>
      <c r="P7" s="373"/>
      <c r="Q7" s="374" t="s">
        <v>1822</v>
      </c>
      <c r="R7" s="373"/>
      <c r="S7" s="374" t="s">
        <v>1823</v>
      </c>
      <c r="T7" s="373"/>
      <c r="U7" s="414" t="s">
        <v>1824</v>
      </c>
      <c r="V7" s="374" t="s">
        <v>1818</v>
      </c>
      <c r="W7" s="373"/>
      <c r="X7" s="374" t="s">
        <v>1819</v>
      </c>
      <c r="Y7" s="373"/>
      <c r="Z7" s="374" t="s">
        <v>1820</v>
      </c>
      <c r="AA7" s="373"/>
      <c r="AB7" s="374" t="s">
        <v>1821</v>
      </c>
      <c r="AC7" s="373"/>
      <c r="AD7" s="374" t="s">
        <v>1822</v>
      </c>
      <c r="AE7" s="373"/>
      <c r="AF7" s="414" t="s">
        <v>1824</v>
      </c>
      <c r="AG7" s="374" t="s">
        <v>1819</v>
      </c>
      <c r="AH7" s="373"/>
      <c r="AI7" s="374" t="s">
        <v>1820</v>
      </c>
      <c r="AJ7" s="373"/>
      <c r="AK7" s="374" t="s">
        <v>1821</v>
      </c>
      <c r="AL7" s="373"/>
      <c r="AM7" s="374" t="s">
        <v>1822</v>
      </c>
      <c r="AN7" s="373"/>
      <c r="AO7" s="374" t="s">
        <v>1823</v>
      </c>
      <c r="AP7" s="373"/>
      <c r="AQ7" s="414" t="s">
        <v>1824</v>
      </c>
      <c r="AR7" s="374" t="s">
        <v>1818</v>
      </c>
      <c r="AS7" s="373"/>
      <c r="AT7" s="374" t="s">
        <v>1819</v>
      </c>
      <c r="AU7" s="373"/>
      <c r="AV7" s="374" t="s">
        <v>1820</v>
      </c>
      <c r="AW7" s="373"/>
      <c r="AX7" s="374" t="s">
        <v>1821</v>
      </c>
      <c r="AY7" s="373"/>
      <c r="AZ7" s="374" t="s">
        <v>1822</v>
      </c>
      <c r="BA7" s="373"/>
      <c r="BB7" s="374" t="s">
        <v>1823</v>
      </c>
      <c r="BC7" s="373"/>
      <c r="BD7" s="414" t="s">
        <v>1824</v>
      </c>
      <c r="BE7" s="374" t="s">
        <v>1818</v>
      </c>
      <c r="BF7" s="373"/>
      <c r="BG7" s="374" t="s">
        <v>1819</v>
      </c>
      <c r="BH7" s="373"/>
      <c r="BI7" s="374" t="s">
        <v>1820</v>
      </c>
      <c r="BJ7" s="373"/>
      <c r="BK7" s="374" t="s">
        <v>1821</v>
      </c>
      <c r="BL7" s="373"/>
      <c r="BM7" s="374" t="s">
        <v>1822</v>
      </c>
      <c r="BN7" s="373"/>
      <c r="BO7" s="374" t="s">
        <v>1823</v>
      </c>
      <c r="BP7" s="373"/>
      <c r="BQ7" s="414" t="s">
        <v>1824</v>
      </c>
      <c r="BR7" s="374" t="s">
        <v>1818</v>
      </c>
      <c r="BS7" s="373"/>
      <c r="BT7" s="374" t="s">
        <v>1819</v>
      </c>
      <c r="BU7" s="373"/>
      <c r="BV7" s="374" t="s">
        <v>1820</v>
      </c>
      <c r="BW7" s="373"/>
      <c r="BX7" s="374" t="s">
        <v>1821</v>
      </c>
      <c r="BY7" s="373"/>
      <c r="BZ7" s="374" t="s">
        <v>1822</v>
      </c>
      <c r="CA7" s="373"/>
      <c r="CB7" s="374" t="s">
        <v>1823</v>
      </c>
      <c r="CC7" s="373"/>
      <c r="CD7" s="414" t="s">
        <v>1824</v>
      </c>
      <c r="CE7" s="374" t="s">
        <v>1818</v>
      </c>
      <c r="CF7" s="373"/>
      <c r="CG7" s="374" t="s">
        <v>1819</v>
      </c>
      <c r="CH7" s="373"/>
      <c r="CI7" s="374" t="s">
        <v>1820</v>
      </c>
      <c r="CJ7" s="373"/>
      <c r="CK7" s="374" t="s">
        <v>1821</v>
      </c>
      <c r="CL7" s="373"/>
      <c r="CM7" s="374" t="s">
        <v>1822</v>
      </c>
      <c r="CN7" s="373"/>
      <c r="CO7" s="374" t="s">
        <v>1823</v>
      </c>
      <c r="CP7" s="373"/>
      <c r="CQ7" s="414" t="s">
        <v>1824</v>
      </c>
      <c r="CR7" s="374" t="s">
        <v>1820</v>
      </c>
      <c r="CS7" s="373"/>
      <c r="CT7" s="374" t="s">
        <v>1821</v>
      </c>
      <c r="CU7" s="373"/>
      <c r="CV7" s="374" t="s">
        <v>1822</v>
      </c>
      <c r="CW7" s="373"/>
      <c r="CX7" s="374" t="s">
        <v>1823</v>
      </c>
      <c r="CY7" s="373"/>
      <c r="CZ7" s="414" t="s">
        <v>1824</v>
      </c>
      <c r="DA7" s="374" t="s">
        <v>1818</v>
      </c>
      <c r="DB7" s="373"/>
      <c r="DC7" s="414" t="s">
        <v>1824</v>
      </c>
      <c r="DD7" s="349"/>
    </row>
    <row r="8" spans="1:108">
      <c r="A8" s="350" t="s">
        <v>1777</v>
      </c>
      <c r="B8" s="350" t="s">
        <v>1778</v>
      </c>
      <c r="C8" s="350" t="s">
        <v>0</v>
      </c>
      <c r="D8" s="384" t="s">
        <v>1859</v>
      </c>
      <c r="E8" s="384" t="s">
        <v>36</v>
      </c>
      <c r="F8" s="384" t="s">
        <v>37</v>
      </c>
      <c r="G8" s="350" t="s">
        <v>1</v>
      </c>
      <c r="H8" s="350" t="s">
        <v>1779</v>
      </c>
      <c r="I8" s="375">
        <v>44067</v>
      </c>
      <c r="J8" s="376"/>
      <c r="K8" s="375">
        <v>44068</v>
      </c>
      <c r="L8" s="376"/>
      <c r="M8" s="375">
        <v>44069</v>
      </c>
      <c r="N8" s="376"/>
      <c r="O8" s="375">
        <v>44070</v>
      </c>
      <c r="P8" s="376"/>
      <c r="Q8" s="375">
        <v>44071</v>
      </c>
      <c r="R8" s="376"/>
      <c r="S8" s="375">
        <v>44072</v>
      </c>
      <c r="T8" s="376"/>
      <c r="U8" s="415" t="s">
        <v>1825</v>
      </c>
      <c r="V8" s="375">
        <v>44074</v>
      </c>
      <c r="W8" s="376"/>
      <c r="X8" s="375">
        <v>44075</v>
      </c>
      <c r="Y8" s="376"/>
      <c r="Z8" s="375">
        <v>44076</v>
      </c>
      <c r="AA8" s="376"/>
      <c r="AB8" s="375">
        <v>44077</v>
      </c>
      <c r="AC8" s="376"/>
      <c r="AD8" s="375">
        <v>44078</v>
      </c>
      <c r="AE8" s="376"/>
      <c r="AF8" s="415" t="s">
        <v>1825</v>
      </c>
      <c r="AG8" s="375">
        <v>44082</v>
      </c>
      <c r="AH8" s="376"/>
      <c r="AI8" s="375">
        <v>44083</v>
      </c>
      <c r="AJ8" s="376"/>
      <c r="AK8" s="375">
        <v>44084</v>
      </c>
      <c r="AL8" s="376"/>
      <c r="AM8" s="375">
        <v>44085</v>
      </c>
      <c r="AN8" s="376"/>
      <c r="AO8" s="375">
        <v>44086</v>
      </c>
      <c r="AP8" s="376"/>
      <c r="AQ8" s="415" t="s">
        <v>1825</v>
      </c>
      <c r="AR8" s="375">
        <v>44088</v>
      </c>
      <c r="AS8" s="376"/>
      <c r="AT8" s="375">
        <v>44089</v>
      </c>
      <c r="AU8" s="376"/>
      <c r="AV8" s="375">
        <v>44090</v>
      </c>
      <c r="AW8" s="376"/>
      <c r="AX8" s="375">
        <v>44091</v>
      </c>
      <c r="AY8" s="376"/>
      <c r="AZ8" s="375">
        <v>44092</v>
      </c>
      <c r="BA8" s="376"/>
      <c r="BB8" s="375">
        <v>44093</v>
      </c>
      <c r="BC8" s="376"/>
      <c r="BD8" s="415" t="s">
        <v>1825</v>
      </c>
      <c r="BE8" s="375">
        <v>44095</v>
      </c>
      <c r="BF8" s="376"/>
      <c r="BG8" s="375">
        <v>44096</v>
      </c>
      <c r="BH8" s="376"/>
      <c r="BI8" s="375">
        <v>44097</v>
      </c>
      <c r="BJ8" s="376"/>
      <c r="BK8" s="375">
        <v>44098</v>
      </c>
      <c r="BL8" s="376"/>
      <c r="BM8" s="375">
        <v>44099</v>
      </c>
      <c r="BN8" s="376"/>
      <c r="BO8" s="375">
        <v>44100</v>
      </c>
      <c r="BP8" s="376"/>
      <c r="BQ8" s="415" t="s">
        <v>1825</v>
      </c>
      <c r="BR8" s="375">
        <v>44102</v>
      </c>
      <c r="BS8" s="376"/>
      <c r="BT8" s="375">
        <v>44103</v>
      </c>
      <c r="BU8" s="376"/>
      <c r="BV8" s="375">
        <v>44104</v>
      </c>
      <c r="BW8" s="376"/>
      <c r="BX8" s="375">
        <v>44105</v>
      </c>
      <c r="BY8" s="376"/>
      <c r="BZ8" s="375">
        <v>44106</v>
      </c>
      <c r="CA8" s="376"/>
      <c r="CB8" s="375">
        <v>44107</v>
      </c>
      <c r="CC8" s="376"/>
      <c r="CD8" s="415" t="s">
        <v>1825</v>
      </c>
      <c r="CE8" s="375">
        <v>44109</v>
      </c>
      <c r="CF8" s="376"/>
      <c r="CG8" s="375">
        <v>44110</v>
      </c>
      <c r="CH8" s="376"/>
      <c r="CI8" s="375">
        <v>44111</v>
      </c>
      <c r="CJ8" s="376"/>
      <c r="CK8" s="375">
        <v>44112</v>
      </c>
      <c r="CL8" s="376"/>
      <c r="CM8" s="375">
        <v>44113</v>
      </c>
      <c r="CN8" s="376"/>
      <c r="CO8" s="375">
        <v>44114</v>
      </c>
      <c r="CP8" s="376"/>
      <c r="CQ8" s="415" t="s">
        <v>1825</v>
      </c>
      <c r="CR8" s="375">
        <v>44118</v>
      </c>
      <c r="CS8" s="376"/>
      <c r="CT8" s="375">
        <v>44119</v>
      </c>
      <c r="CU8" s="376"/>
      <c r="CV8" s="375">
        <v>44120</v>
      </c>
      <c r="CW8" s="376"/>
      <c r="CX8" s="375">
        <v>44121</v>
      </c>
      <c r="CY8" s="376"/>
      <c r="CZ8" s="415" t="s">
        <v>1825</v>
      </c>
      <c r="DA8" s="375">
        <v>44123</v>
      </c>
      <c r="DB8" s="376"/>
      <c r="DC8" s="415" t="s">
        <v>1825</v>
      </c>
      <c r="DD8" s="349" t="s">
        <v>1826</v>
      </c>
    </row>
    <row r="9" spans="1:108" ht="17.45" customHeight="1">
      <c r="A9" s="354" t="s">
        <v>1218</v>
      </c>
      <c r="B9" s="354" t="s">
        <v>1780</v>
      </c>
      <c r="C9" s="354" t="s">
        <v>1219</v>
      </c>
      <c r="D9" s="354"/>
      <c r="E9" s="354"/>
      <c r="F9" s="354"/>
      <c r="G9" s="347" t="s">
        <v>1220</v>
      </c>
      <c r="H9" s="347" t="s">
        <v>1781</v>
      </c>
      <c r="I9" s="381" t="s">
        <v>1849</v>
      </c>
      <c r="J9" s="355">
        <v>360</v>
      </c>
      <c r="K9" s="381" t="s">
        <v>1849</v>
      </c>
      <c r="L9" s="355">
        <v>192</v>
      </c>
      <c r="M9" s="380"/>
      <c r="N9" s="355"/>
      <c r="O9" s="380"/>
      <c r="P9" s="355"/>
      <c r="Q9" s="380"/>
      <c r="R9" s="355"/>
      <c r="S9" s="380"/>
      <c r="T9" s="355"/>
      <c r="U9" s="414">
        <f t="shared" ref="U9:U87" si="0">SUM(J9:T9)</f>
        <v>552</v>
      </c>
      <c r="V9" s="380"/>
      <c r="W9" s="355"/>
      <c r="X9" s="380"/>
      <c r="Y9" s="355"/>
      <c r="Z9" s="380"/>
      <c r="AA9" s="355"/>
      <c r="AB9" s="380"/>
      <c r="AC9" s="355"/>
      <c r="AD9" s="380"/>
      <c r="AE9" s="355"/>
      <c r="AF9" s="414">
        <f t="shared" ref="AF9:AF87" si="1">SUM(W9:AE9)</f>
        <v>0</v>
      </c>
      <c r="AG9" s="380"/>
      <c r="AH9" s="355"/>
      <c r="AI9" s="380"/>
      <c r="AJ9" s="355"/>
      <c r="AK9" s="380"/>
      <c r="AL9" s="355"/>
      <c r="AM9" s="380"/>
      <c r="AN9" s="355"/>
      <c r="AO9" s="380"/>
      <c r="AP9" s="355"/>
      <c r="AQ9" s="414">
        <f t="shared" ref="AQ9:AQ87" si="2">SUM(AH9:AP9)</f>
        <v>0</v>
      </c>
      <c r="AR9" s="380"/>
      <c r="AS9" s="355"/>
      <c r="AT9" s="380"/>
      <c r="AU9" s="355"/>
      <c r="AV9" s="380"/>
      <c r="AW9" s="355"/>
      <c r="AX9" s="380"/>
      <c r="AY9" s="355"/>
      <c r="AZ9" s="380"/>
      <c r="BA9" s="355"/>
      <c r="BB9" s="380"/>
      <c r="BC9" s="355"/>
      <c r="BD9" s="414">
        <f t="shared" ref="BD9:BD87" si="3">SUM(AS9:BC9)</f>
        <v>0</v>
      </c>
      <c r="BE9" s="380"/>
      <c r="BF9" s="355"/>
      <c r="BG9" s="380"/>
      <c r="BH9" s="355"/>
      <c r="BI9" s="380"/>
      <c r="BJ9" s="355"/>
      <c r="BK9" s="380"/>
      <c r="BL9" s="355"/>
      <c r="BM9" s="380"/>
      <c r="BN9" s="355"/>
      <c r="BO9" s="380"/>
      <c r="BP9" s="355"/>
      <c r="BQ9" s="414">
        <f t="shared" ref="BQ9:BQ87" si="4">SUM(BF9:BP9)</f>
        <v>0</v>
      </c>
      <c r="BR9" s="380"/>
      <c r="BS9" s="355"/>
      <c r="BT9" s="380"/>
      <c r="BU9" s="355"/>
      <c r="BV9" s="380"/>
      <c r="BW9" s="355"/>
      <c r="BX9" s="380"/>
      <c r="BY9" s="355"/>
      <c r="BZ9" s="380"/>
      <c r="CA9" s="355"/>
      <c r="CB9" s="380"/>
      <c r="CC9" s="355"/>
      <c r="CD9" s="414">
        <f t="shared" ref="CD9:CD87" si="5">SUM(BS9:CC9)</f>
        <v>0</v>
      </c>
      <c r="CE9" s="380"/>
      <c r="CF9" s="355"/>
      <c r="CG9" s="380"/>
      <c r="CH9" s="355"/>
      <c r="CI9" s="380"/>
      <c r="CJ9" s="355"/>
      <c r="CK9" s="380"/>
      <c r="CL9" s="355"/>
      <c r="CM9" s="380"/>
      <c r="CN9" s="355"/>
      <c r="CO9" s="380"/>
      <c r="CP9" s="355"/>
      <c r="CQ9" s="414">
        <f t="shared" ref="CQ9:CQ87" si="6">SUM(CF9:CP9)</f>
        <v>0</v>
      </c>
      <c r="CR9" s="380"/>
      <c r="CS9" s="355"/>
      <c r="CT9" s="380"/>
      <c r="CU9" s="355"/>
      <c r="CV9" s="380"/>
      <c r="CW9" s="355"/>
      <c r="CX9" s="380"/>
      <c r="CY9" s="355"/>
      <c r="CZ9" s="414">
        <f t="shared" ref="CZ9:CZ87" si="7">SUM(CS9:CY9)</f>
        <v>0</v>
      </c>
      <c r="DA9" s="380"/>
      <c r="DB9" s="355"/>
      <c r="DC9" s="414">
        <f t="shared" ref="DC9:DC87" si="8">SUM(DB9:DB9)</f>
        <v>0</v>
      </c>
      <c r="DD9" s="356">
        <f>+$U$9+$AF$9+$AQ$9+$BD$9+$BQ$9+$CD$9+$CQ$9+$CZ$9+$DC$9</f>
        <v>552</v>
      </c>
    </row>
    <row r="10" spans="1:108" ht="17.45" customHeight="1">
      <c r="A10" s="357"/>
      <c r="B10" s="357"/>
      <c r="C10" s="357"/>
      <c r="D10" s="357"/>
      <c r="E10" s="357"/>
      <c r="F10" s="357"/>
      <c r="G10" s="347" t="s">
        <v>1221</v>
      </c>
      <c r="H10" s="347" t="s">
        <v>1782</v>
      </c>
      <c r="I10" s="380"/>
      <c r="J10" s="355"/>
      <c r="K10" s="381" t="s">
        <v>1850</v>
      </c>
      <c r="L10" s="355">
        <v>99</v>
      </c>
      <c r="M10" s="380"/>
      <c r="N10" s="355"/>
      <c r="O10" s="380"/>
      <c r="P10" s="355"/>
      <c r="Q10" s="380"/>
      <c r="R10" s="355"/>
      <c r="S10" s="380"/>
      <c r="T10" s="355"/>
      <c r="U10" s="414">
        <f t="shared" si="0"/>
        <v>99</v>
      </c>
      <c r="V10" s="380"/>
      <c r="W10" s="355"/>
      <c r="X10" s="380"/>
      <c r="Y10" s="355"/>
      <c r="Z10" s="380"/>
      <c r="AA10" s="355"/>
      <c r="AB10" s="380"/>
      <c r="AC10" s="355"/>
      <c r="AD10" s="380"/>
      <c r="AE10" s="355"/>
      <c r="AF10" s="414">
        <f t="shared" si="1"/>
        <v>0</v>
      </c>
      <c r="AG10" s="380"/>
      <c r="AH10" s="355"/>
      <c r="AI10" s="380"/>
      <c r="AJ10" s="355"/>
      <c r="AK10" s="380"/>
      <c r="AL10" s="355"/>
      <c r="AM10" s="380"/>
      <c r="AN10" s="355"/>
      <c r="AO10" s="380"/>
      <c r="AP10" s="355"/>
      <c r="AQ10" s="414">
        <f t="shared" si="2"/>
        <v>0</v>
      </c>
      <c r="AR10" s="380"/>
      <c r="AS10" s="355"/>
      <c r="AT10" s="380"/>
      <c r="AU10" s="355"/>
      <c r="AV10" s="380"/>
      <c r="AW10" s="355"/>
      <c r="AX10" s="380"/>
      <c r="AY10" s="355"/>
      <c r="AZ10" s="380"/>
      <c r="BA10" s="355"/>
      <c r="BB10" s="380"/>
      <c r="BC10" s="355"/>
      <c r="BD10" s="414">
        <f t="shared" si="3"/>
        <v>0</v>
      </c>
      <c r="BE10" s="380"/>
      <c r="BF10" s="355"/>
      <c r="BG10" s="380"/>
      <c r="BH10" s="355"/>
      <c r="BI10" s="380"/>
      <c r="BJ10" s="355"/>
      <c r="BK10" s="380"/>
      <c r="BL10" s="355"/>
      <c r="BM10" s="380"/>
      <c r="BN10" s="355"/>
      <c r="BO10" s="380"/>
      <c r="BP10" s="355"/>
      <c r="BQ10" s="414">
        <f t="shared" si="4"/>
        <v>0</v>
      </c>
      <c r="BR10" s="380"/>
      <c r="BS10" s="355"/>
      <c r="BT10" s="380"/>
      <c r="BU10" s="355"/>
      <c r="BV10" s="380"/>
      <c r="BW10" s="355"/>
      <c r="BX10" s="380"/>
      <c r="BY10" s="355"/>
      <c r="BZ10" s="380"/>
      <c r="CA10" s="355"/>
      <c r="CB10" s="380"/>
      <c r="CC10" s="355"/>
      <c r="CD10" s="414">
        <f t="shared" si="5"/>
        <v>0</v>
      </c>
      <c r="CE10" s="380"/>
      <c r="CF10" s="355"/>
      <c r="CG10" s="380"/>
      <c r="CH10" s="355"/>
      <c r="CI10" s="380"/>
      <c r="CJ10" s="355"/>
      <c r="CK10" s="380"/>
      <c r="CL10" s="355"/>
      <c r="CM10" s="380"/>
      <c r="CN10" s="355"/>
      <c r="CO10" s="380"/>
      <c r="CP10" s="355"/>
      <c r="CQ10" s="414">
        <f t="shared" si="6"/>
        <v>0</v>
      </c>
      <c r="CR10" s="380"/>
      <c r="CS10" s="355"/>
      <c r="CT10" s="380"/>
      <c r="CU10" s="355"/>
      <c r="CV10" s="380"/>
      <c r="CW10" s="355"/>
      <c r="CX10" s="380"/>
      <c r="CY10" s="355"/>
      <c r="CZ10" s="414">
        <f t="shared" si="7"/>
        <v>0</v>
      </c>
      <c r="DA10" s="380"/>
      <c r="DB10" s="355"/>
      <c r="DC10" s="414">
        <f t="shared" si="8"/>
        <v>0</v>
      </c>
      <c r="DD10" s="356">
        <f>+$U$10+$AF$10+$AQ$10+$BD$10+$BQ$10+$CD$10+$CQ$10+$CZ$10+$DC$10</f>
        <v>99</v>
      </c>
    </row>
    <row r="11" spans="1:108" ht="17.45" customHeight="1">
      <c r="A11" s="357"/>
      <c r="B11" s="357"/>
      <c r="C11" s="357"/>
      <c r="D11" s="357"/>
      <c r="E11" s="357"/>
      <c r="F11" s="357"/>
      <c r="G11" s="347" t="s">
        <v>1223</v>
      </c>
      <c r="H11" s="347" t="s">
        <v>1783</v>
      </c>
      <c r="I11" s="380"/>
      <c r="J11" s="355"/>
      <c r="K11" s="381" t="s">
        <v>1853</v>
      </c>
      <c r="L11" s="355">
        <v>28</v>
      </c>
      <c r="M11" s="380"/>
      <c r="N11" s="355"/>
      <c r="O11" s="380"/>
      <c r="P11" s="355"/>
      <c r="Q11" s="380"/>
      <c r="R11" s="355"/>
      <c r="S11" s="380"/>
      <c r="T11" s="355"/>
      <c r="U11" s="414">
        <f t="shared" si="0"/>
        <v>28</v>
      </c>
      <c r="V11" s="380"/>
      <c r="W11" s="355"/>
      <c r="X11" s="380"/>
      <c r="Y11" s="355"/>
      <c r="Z11" s="380"/>
      <c r="AA11" s="355"/>
      <c r="AB11" s="380"/>
      <c r="AC11" s="355"/>
      <c r="AD11" s="380"/>
      <c r="AE11" s="355"/>
      <c r="AF11" s="414">
        <f t="shared" si="1"/>
        <v>0</v>
      </c>
      <c r="AG11" s="380"/>
      <c r="AH11" s="355"/>
      <c r="AI11" s="380"/>
      <c r="AJ11" s="355"/>
      <c r="AK11" s="380"/>
      <c r="AL11" s="355"/>
      <c r="AM11" s="380"/>
      <c r="AN11" s="355"/>
      <c r="AO11" s="380"/>
      <c r="AP11" s="355"/>
      <c r="AQ11" s="414">
        <f t="shared" si="2"/>
        <v>0</v>
      </c>
      <c r="AR11" s="380"/>
      <c r="AS11" s="355"/>
      <c r="AT11" s="380"/>
      <c r="AU11" s="355"/>
      <c r="AV11" s="380"/>
      <c r="AW11" s="355"/>
      <c r="AX11" s="380"/>
      <c r="AY11" s="355"/>
      <c r="AZ11" s="380"/>
      <c r="BA11" s="355"/>
      <c r="BB11" s="380"/>
      <c r="BC11" s="355"/>
      <c r="BD11" s="414">
        <f t="shared" si="3"/>
        <v>0</v>
      </c>
      <c r="BE11" s="380"/>
      <c r="BF11" s="355"/>
      <c r="BG11" s="380"/>
      <c r="BH11" s="355"/>
      <c r="BI11" s="380"/>
      <c r="BJ11" s="355"/>
      <c r="BK11" s="380"/>
      <c r="BL11" s="355"/>
      <c r="BM11" s="380"/>
      <c r="BN11" s="355"/>
      <c r="BO11" s="380"/>
      <c r="BP11" s="355"/>
      <c r="BQ11" s="414">
        <f t="shared" si="4"/>
        <v>0</v>
      </c>
      <c r="BR11" s="380"/>
      <c r="BS11" s="355"/>
      <c r="BT11" s="380"/>
      <c r="BU11" s="355"/>
      <c r="BV11" s="380"/>
      <c r="BW11" s="355"/>
      <c r="BX11" s="380"/>
      <c r="BY11" s="355"/>
      <c r="BZ11" s="380"/>
      <c r="CA11" s="355"/>
      <c r="CB11" s="380"/>
      <c r="CC11" s="355"/>
      <c r="CD11" s="414">
        <f t="shared" si="5"/>
        <v>0</v>
      </c>
      <c r="CE11" s="380"/>
      <c r="CF11" s="355"/>
      <c r="CG11" s="380"/>
      <c r="CH11" s="355"/>
      <c r="CI11" s="380"/>
      <c r="CJ11" s="355"/>
      <c r="CK11" s="380"/>
      <c r="CL11" s="355"/>
      <c r="CM11" s="380"/>
      <c r="CN11" s="355"/>
      <c r="CO11" s="380"/>
      <c r="CP11" s="355"/>
      <c r="CQ11" s="414">
        <f t="shared" si="6"/>
        <v>0</v>
      </c>
      <c r="CR11" s="380"/>
      <c r="CS11" s="355"/>
      <c r="CT11" s="380"/>
      <c r="CU11" s="355"/>
      <c r="CV11" s="380"/>
      <c r="CW11" s="355"/>
      <c r="CX11" s="380"/>
      <c r="CY11" s="355"/>
      <c r="CZ11" s="414">
        <f t="shared" si="7"/>
        <v>0</v>
      </c>
      <c r="DA11" s="380"/>
      <c r="DB11" s="355"/>
      <c r="DC11" s="414">
        <f t="shared" si="8"/>
        <v>0</v>
      </c>
      <c r="DD11" s="356">
        <f>+$U$11+$AF$11+$AQ$11+$BD$11+$BQ$11+$CD$11+$CQ$11+$CZ$11+$DC$11</f>
        <v>28</v>
      </c>
    </row>
    <row r="12" spans="1:108" ht="17.45" customHeight="1">
      <c r="A12" s="357"/>
      <c r="B12" s="357"/>
      <c r="C12" s="357"/>
      <c r="D12" s="357"/>
      <c r="E12" s="357"/>
      <c r="F12" s="357"/>
      <c r="G12" s="347" t="s">
        <v>1224</v>
      </c>
      <c r="H12" s="347" t="s">
        <v>1784</v>
      </c>
      <c r="I12" s="380"/>
      <c r="J12" s="355"/>
      <c r="K12" s="381" t="s">
        <v>1852</v>
      </c>
      <c r="L12" s="355">
        <v>1</v>
      </c>
      <c r="M12" s="380"/>
      <c r="N12" s="355"/>
      <c r="O12" s="380"/>
      <c r="P12" s="355"/>
      <c r="Q12" s="380"/>
      <c r="R12" s="355"/>
      <c r="S12" s="380"/>
      <c r="T12" s="355"/>
      <c r="U12" s="414">
        <f t="shared" si="0"/>
        <v>1</v>
      </c>
      <c r="V12" s="380"/>
      <c r="W12" s="355"/>
      <c r="X12" s="380"/>
      <c r="Y12" s="355"/>
      <c r="Z12" s="380"/>
      <c r="AA12" s="355"/>
      <c r="AB12" s="380"/>
      <c r="AC12" s="355"/>
      <c r="AD12" s="380"/>
      <c r="AE12" s="355"/>
      <c r="AF12" s="414">
        <f t="shared" si="1"/>
        <v>0</v>
      </c>
      <c r="AG12" s="380"/>
      <c r="AH12" s="355"/>
      <c r="AI12" s="380"/>
      <c r="AJ12" s="355"/>
      <c r="AK12" s="380"/>
      <c r="AL12" s="355"/>
      <c r="AM12" s="380"/>
      <c r="AN12" s="355"/>
      <c r="AO12" s="380"/>
      <c r="AP12" s="355"/>
      <c r="AQ12" s="414">
        <f t="shared" si="2"/>
        <v>0</v>
      </c>
      <c r="AR12" s="380"/>
      <c r="AS12" s="355"/>
      <c r="AT12" s="380"/>
      <c r="AU12" s="355"/>
      <c r="AV12" s="380"/>
      <c r="AW12" s="355"/>
      <c r="AX12" s="380"/>
      <c r="AY12" s="355"/>
      <c r="AZ12" s="380"/>
      <c r="BA12" s="355"/>
      <c r="BB12" s="380"/>
      <c r="BC12" s="355"/>
      <c r="BD12" s="414">
        <f t="shared" si="3"/>
        <v>0</v>
      </c>
      <c r="BE12" s="380"/>
      <c r="BF12" s="355"/>
      <c r="BG12" s="380"/>
      <c r="BH12" s="355"/>
      <c r="BI12" s="380"/>
      <c r="BJ12" s="355"/>
      <c r="BK12" s="380"/>
      <c r="BL12" s="355"/>
      <c r="BM12" s="380"/>
      <c r="BN12" s="355"/>
      <c r="BO12" s="380"/>
      <c r="BP12" s="355"/>
      <c r="BQ12" s="414">
        <f t="shared" si="4"/>
        <v>0</v>
      </c>
      <c r="BR12" s="380"/>
      <c r="BS12" s="355"/>
      <c r="BT12" s="380"/>
      <c r="BU12" s="355"/>
      <c r="BV12" s="380"/>
      <c r="BW12" s="355"/>
      <c r="BX12" s="380"/>
      <c r="BY12" s="355"/>
      <c r="BZ12" s="380"/>
      <c r="CA12" s="355"/>
      <c r="CB12" s="380"/>
      <c r="CC12" s="355"/>
      <c r="CD12" s="414">
        <f t="shared" si="5"/>
        <v>0</v>
      </c>
      <c r="CE12" s="380"/>
      <c r="CF12" s="355"/>
      <c r="CG12" s="380"/>
      <c r="CH12" s="355"/>
      <c r="CI12" s="380"/>
      <c r="CJ12" s="355"/>
      <c r="CK12" s="380"/>
      <c r="CL12" s="355"/>
      <c r="CM12" s="380"/>
      <c r="CN12" s="355"/>
      <c r="CO12" s="380"/>
      <c r="CP12" s="355"/>
      <c r="CQ12" s="414">
        <f t="shared" si="6"/>
        <v>0</v>
      </c>
      <c r="CR12" s="380"/>
      <c r="CS12" s="355"/>
      <c r="CT12" s="380"/>
      <c r="CU12" s="355"/>
      <c r="CV12" s="380"/>
      <c r="CW12" s="355"/>
      <c r="CX12" s="380"/>
      <c r="CY12" s="355"/>
      <c r="CZ12" s="414">
        <f t="shared" si="7"/>
        <v>0</v>
      </c>
      <c r="DA12" s="380"/>
      <c r="DB12" s="355"/>
      <c r="DC12" s="414">
        <f t="shared" si="8"/>
        <v>0</v>
      </c>
      <c r="DD12" s="356">
        <f>+$U$12+$AF$12+$AQ$12+$BD$12+$BQ$12+$CD$12+$CQ$12+$CZ$12+$DC$12</f>
        <v>1</v>
      </c>
    </row>
    <row r="13" spans="1:108" ht="17.45" customHeight="1">
      <c r="A13" s="357"/>
      <c r="B13" s="357"/>
      <c r="C13" s="357"/>
      <c r="D13" s="357"/>
      <c r="E13" s="357"/>
      <c r="F13" s="357"/>
      <c r="G13" s="347" t="s">
        <v>1116</v>
      </c>
      <c r="H13" s="347" t="s">
        <v>1785</v>
      </c>
      <c r="I13" s="380"/>
      <c r="J13" s="355"/>
      <c r="K13" s="380"/>
      <c r="L13" s="355"/>
      <c r="M13" s="380"/>
      <c r="N13" s="355"/>
      <c r="O13" s="380"/>
      <c r="P13" s="355"/>
      <c r="Q13" s="380"/>
      <c r="R13" s="355"/>
      <c r="S13" s="380"/>
      <c r="T13" s="355"/>
      <c r="U13" s="414">
        <f t="shared" si="0"/>
        <v>0</v>
      </c>
      <c r="V13" s="380"/>
      <c r="W13" s="355"/>
      <c r="X13" s="380"/>
      <c r="Y13" s="355"/>
      <c r="Z13" s="380"/>
      <c r="AA13" s="355"/>
      <c r="AB13" s="380"/>
      <c r="AC13" s="355"/>
      <c r="AD13" s="380"/>
      <c r="AE13" s="355"/>
      <c r="AF13" s="414">
        <f t="shared" si="1"/>
        <v>0</v>
      </c>
      <c r="AG13" s="380"/>
      <c r="AH13" s="355"/>
      <c r="AI13" s="380"/>
      <c r="AJ13" s="355"/>
      <c r="AK13" s="380"/>
      <c r="AL13" s="355"/>
      <c r="AM13" s="380"/>
      <c r="AN13" s="355"/>
      <c r="AO13" s="380"/>
      <c r="AP13" s="355"/>
      <c r="AQ13" s="414">
        <f t="shared" si="2"/>
        <v>0</v>
      </c>
      <c r="AR13" s="380"/>
      <c r="AS13" s="355"/>
      <c r="AT13" s="380"/>
      <c r="AU13" s="355"/>
      <c r="AV13" s="380"/>
      <c r="AW13" s="355"/>
      <c r="AX13" s="380"/>
      <c r="AY13" s="355"/>
      <c r="AZ13" s="380"/>
      <c r="BA13" s="355"/>
      <c r="BB13" s="380"/>
      <c r="BC13" s="355"/>
      <c r="BD13" s="414">
        <f t="shared" si="3"/>
        <v>0</v>
      </c>
      <c r="BE13" s="380"/>
      <c r="BF13" s="355"/>
      <c r="BG13" s="380"/>
      <c r="BH13" s="355"/>
      <c r="BI13" s="380"/>
      <c r="BJ13" s="355"/>
      <c r="BK13" s="380"/>
      <c r="BL13" s="355"/>
      <c r="BM13" s="380"/>
      <c r="BN13" s="355"/>
      <c r="BO13" s="380"/>
      <c r="BP13" s="355"/>
      <c r="BQ13" s="414">
        <f t="shared" si="4"/>
        <v>0</v>
      </c>
      <c r="BR13" s="380"/>
      <c r="BS13" s="355"/>
      <c r="BT13" s="380"/>
      <c r="BU13" s="355"/>
      <c r="BV13" s="380"/>
      <c r="BW13" s="355"/>
      <c r="BX13" s="380"/>
      <c r="BY13" s="355"/>
      <c r="BZ13" s="380"/>
      <c r="CA13" s="355"/>
      <c r="CB13" s="380"/>
      <c r="CC13" s="355"/>
      <c r="CD13" s="414">
        <f t="shared" si="5"/>
        <v>0</v>
      </c>
      <c r="CE13" s="380"/>
      <c r="CF13" s="355"/>
      <c r="CG13" s="380"/>
      <c r="CH13" s="355"/>
      <c r="CI13" s="380"/>
      <c r="CJ13" s="355"/>
      <c r="CK13" s="380"/>
      <c r="CL13" s="355"/>
      <c r="CM13" s="380"/>
      <c r="CN13" s="355"/>
      <c r="CO13" s="380"/>
      <c r="CP13" s="355"/>
      <c r="CQ13" s="414">
        <f t="shared" si="6"/>
        <v>0</v>
      </c>
      <c r="CR13" s="380"/>
      <c r="CS13" s="355"/>
      <c r="CT13" s="380"/>
      <c r="CU13" s="355"/>
      <c r="CV13" s="380"/>
      <c r="CW13" s="355"/>
      <c r="CX13" s="380"/>
      <c r="CY13" s="355"/>
      <c r="CZ13" s="414">
        <f t="shared" si="7"/>
        <v>0</v>
      </c>
      <c r="DA13" s="380"/>
      <c r="DB13" s="355"/>
      <c r="DC13" s="414">
        <f t="shared" si="8"/>
        <v>0</v>
      </c>
      <c r="DD13" s="356">
        <f>+$U$13+$AF$13+$AQ$13+$BD$13+$BQ$13+$CD$13+$CQ$13+$CZ$13+$DC$13</f>
        <v>0</v>
      </c>
    </row>
    <row r="14" spans="1:108" ht="17.45" customHeight="1">
      <c r="A14" s="357"/>
      <c r="B14" s="357"/>
      <c r="C14" s="357"/>
      <c r="D14" s="357"/>
      <c r="E14" s="357"/>
      <c r="F14" s="357"/>
      <c r="G14" s="347" t="s">
        <v>1214</v>
      </c>
      <c r="H14" s="347" t="s">
        <v>1786</v>
      </c>
      <c r="I14" s="380"/>
      <c r="J14" s="355"/>
      <c r="K14" s="381" t="s">
        <v>1851</v>
      </c>
      <c r="L14" s="355">
        <v>6</v>
      </c>
      <c r="M14" s="380"/>
      <c r="N14" s="355"/>
      <c r="O14" s="380"/>
      <c r="P14" s="355"/>
      <c r="Q14" s="380"/>
      <c r="R14" s="355"/>
      <c r="S14" s="380"/>
      <c r="T14" s="355"/>
      <c r="U14" s="414">
        <f t="shared" si="0"/>
        <v>6</v>
      </c>
      <c r="V14" s="380"/>
      <c r="W14" s="355"/>
      <c r="X14" s="380"/>
      <c r="Y14" s="355"/>
      <c r="Z14" s="380"/>
      <c r="AA14" s="355"/>
      <c r="AB14" s="380"/>
      <c r="AC14" s="355"/>
      <c r="AD14" s="380"/>
      <c r="AE14" s="355"/>
      <c r="AF14" s="414">
        <f t="shared" si="1"/>
        <v>0</v>
      </c>
      <c r="AG14" s="380"/>
      <c r="AH14" s="355"/>
      <c r="AI14" s="380"/>
      <c r="AJ14" s="355"/>
      <c r="AK14" s="380"/>
      <c r="AL14" s="355"/>
      <c r="AM14" s="380"/>
      <c r="AN14" s="355"/>
      <c r="AO14" s="380"/>
      <c r="AP14" s="355"/>
      <c r="AQ14" s="414">
        <f t="shared" si="2"/>
        <v>0</v>
      </c>
      <c r="AR14" s="380"/>
      <c r="AS14" s="355"/>
      <c r="AT14" s="380"/>
      <c r="AU14" s="355"/>
      <c r="AV14" s="380"/>
      <c r="AW14" s="355"/>
      <c r="AX14" s="380"/>
      <c r="AY14" s="355"/>
      <c r="AZ14" s="380"/>
      <c r="BA14" s="355"/>
      <c r="BB14" s="380"/>
      <c r="BC14" s="355"/>
      <c r="BD14" s="414">
        <f t="shared" si="3"/>
        <v>0</v>
      </c>
      <c r="BE14" s="380"/>
      <c r="BF14" s="355"/>
      <c r="BG14" s="380"/>
      <c r="BH14" s="355"/>
      <c r="BI14" s="380"/>
      <c r="BJ14" s="355"/>
      <c r="BK14" s="380"/>
      <c r="BL14" s="355"/>
      <c r="BM14" s="380"/>
      <c r="BN14" s="355"/>
      <c r="BO14" s="380"/>
      <c r="BP14" s="355"/>
      <c r="BQ14" s="414">
        <f t="shared" si="4"/>
        <v>0</v>
      </c>
      <c r="BR14" s="380"/>
      <c r="BS14" s="355"/>
      <c r="BT14" s="380"/>
      <c r="BU14" s="355"/>
      <c r="BV14" s="380"/>
      <c r="BW14" s="355"/>
      <c r="BX14" s="380"/>
      <c r="BY14" s="355"/>
      <c r="BZ14" s="380"/>
      <c r="CA14" s="355"/>
      <c r="CB14" s="380"/>
      <c r="CC14" s="355"/>
      <c r="CD14" s="414">
        <f t="shared" si="5"/>
        <v>0</v>
      </c>
      <c r="CE14" s="380"/>
      <c r="CF14" s="355"/>
      <c r="CG14" s="380"/>
      <c r="CH14" s="355"/>
      <c r="CI14" s="380"/>
      <c r="CJ14" s="355"/>
      <c r="CK14" s="380"/>
      <c r="CL14" s="355"/>
      <c r="CM14" s="380"/>
      <c r="CN14" s="355"/>
      <c r="CO14" s="380"/>
      <c r="CP14" s="355"/>
      <c r="CQ14" s="414">
        <f t="shared" si="6"/>
        <v>0</v>
      </c>
      <c r="CR14" s="380"/>
      <c r="CS14" s="355"/>
      <c r="CT14" s="380"/>
      <c r="CU14" s="355"/>
      <c r="CV14" s="380"/>
      <c r="CW14" s="355"/>
      <c r="CX14" s="380"/>
      <c r="CY14" s="355"/>
      <c r="CZ14" s="414">
        <f t="shared" si="7"/>
        <v>0</v>
      </c>
      <c r="DA14" s="380"/>
      <c r="DB14" s="355"/>
      <c r="DC14" s="414">
        <f t="shared" si="8"/>
        <v>0</v>
      </c>
      <c r="DD14" s="356">
        <f>+$U$14+$AF$14+$AQ$14+$BD$14+$BQ$14+$CD$14+$CQ$14+$CZ$14+$DC$14</f>
        <v>6</v>
      </c>
    </row>
    <row r="15" spans="1:108" ht="17.45" customHeight="1">
      <c r="A15" s="357"/>
      <c r="B15" s="357"/>
      <c r="C15" s="357"/>
      <c r="D15" s="357"/>
      <c r="E15" s="357"/>
      <c r="F15" s="357"/>
      <c r="G15" s="347" t="s">
        <v>1074</v>
      </c>
      <c r="H15" s="347" t="s">
        <v>1075</v>
      </c>
      <c r="I15" s="380"/>
      <c r="J15" s="355"/>
      <c r="K15" s="381" t="s">
        <v>1854</v>
      </c>
      <c r="L15" s="355">
        <v>34</v>
      </c>
      <c r="M15" s="381" t="s">
        <v>1849</v>
      </c>
      <c r="N15" s="355">
        <v>360</v>
      </c>
      <c r="O15" s="381" t="s">
        <v>1849</v>
      </c>
      <c r="P15" s="355">
        <v>127</v>
      </c>
      <c r="Q15" s="380"/>
      <c r="R15" s="355"/>
      <c r="S15" s="380"/>
      <c r="T15" s="355"/>
      <c r="U15" s="414">
        <f t="shared" si="0"/>
        <v>521</v>
      </c>
      <c r="V15" s="380"/>
      <c r="W15" s="355"/>
      <c r="X15" s="380"/>
      <c r="Y15" s="355"/>
      <c r="Z15" s="380"/>
      <c r="AA15" s="355"/>
      <c r="AB15" s="380"/>
      <c r="AC15" s="355"/>
      <c r="AD15" s="380"/>
      <c r="AE15" s="355"/>
      <c r="AF15" s="414">
        <f t="shared" si="1"/>
        <v>0</v>
      </c>
      <c r="AG15" s="380"/>
      <c r="AH15" s="355"/>
      <c r="AI15" s="380"/>
      <c r="AJ15" s="355"/>
      <c r="AK15" s="380"/>
      <c r="AL15" s="355"/>
      <c r="AM15" s="380"/>
      <c r="AN15" s="355"/>
      <c r="AO15" s="380"/>
      <c r="AP15" s="355"/>
      <c r="AQ15" s="414">
        <f t="shared" si="2"/>
        <v>0</v>
      </c>
      <c r="AR15" s="380"/>
      <c r="AS15" s="355"/>
      <c r="AT15" s="380"/>
      <c r="AU15" s="355"/>
      <c r="AV15" s="380"/>
      <c r="AW15" s="355"/>
      <c r="AX15" s="380"/>
      <c r="AY15" s="355"/>
      <c r="AZ15" s="380"/>
      <c r="BA15" s="355"/>
      <c r="BB15" s="380"/>
      <c r="BC15" s="355"/>
      <c r="BD15" s="414">
        <f t="shared" si="3"/>
        <v>0</v>
      </c>
      <c r="BE15" s="380"/>
      <c r="BF15" s="355"/>
      <c r="BG15" s="380"/>
      <c r="BH15" s="355"/>
      <c r="BI15" s="380"/>
      <c r="BJ15" s="355"/>
      <c r="BK15" s="380"/>
      <c r="BL15" s="355"/>
      <c r="BM15" s="380"/>
      <c r="BN15" s="355"/>
      <c r="BO15" s="380"/>
      <c r="BP15" s="355"/>
      <c r="BQ15" s="414">
        <f t="shared" si="4"/>
        <v>0</v>
      </c>
      <c r="BR15" s="380"/>
      <c r="BS15" s="355"/>
      <c r="BT15" s="380"/>
      <c r="BU15" s="355"/>
      <c r="BV15" s="380"/>
      <c r="BW15" s="355"/>
      <c r="BX15" s="380"/>
      <c r="BY15" s="355"/>
      <c r="BZ15" s="380"/>
      <c r="CA15" s="355"/>
      <c r="CB15" s="380"/>
      <c r="CC15" s="355"/>
      <c r="CD15" s="414">
        <f t="shared" si="5"/>
        <v>0</v>
      </c>
      <c r="CE15" s="380"/>
      <c r="CF15" s="355"/>
      <c r="CG15" s="380"/>
      <c r="CH15" s="355"/>
      <c r="CI15" s="380"/>
      <c r="CJ15" s="355"/>
      <c r="CK15" s="380"/>
      <c r="CL15" s="355"/>
      <c r="CM15" s="380"/>
      <c r="CN15" s="355"/>
      <c r="CO15" s="380"/>
      <c r="CP15" s="355"/>
      <c r="CQ15" s="414">
        <f t="shared" si="6"/>
        <v>0</v>
      </c>
      <c r="CR15" s="380"/>
      <c r="CS15" s="355"/>
      <c r="CT15" s="380"/>
      <c r="CU15" s="355"/>
      <c r="CV15" s="380"/>
      <c r="CW15" s="355"/>
      <c r="CX15" s="380"/>
      <c r="CY15" s="355"/>
      <c r="CZ15" s="414">
        <f t="shared" si="7"/>
        <v>0</v>
      </c>
      <c r="DA15" s="380"/>
      <c r="DB15" s="355"/>
      <c r="DC15" s="414">
        <f t="shared" si="8"/>
        <v>0</v>
      </c>
      <c r="DD15" s="356">
        <f>+$U$15+$AF$15+$AQ$15+$BD$15+$BQ$15+$CD$15+$CQ$15+$CZ$15+$DC$15</f>
        <v>521</v>
      </c>
    </row>
    <row r="16" spans="1:108" ht="17.45" customHeight="1">
      <c r="A16" s="357"/>
      <c r="B16" s="357"/>
      <c r="C16" s="357"/>
      <c r="D16" s="357"/>
      <c r="E16" s="357"/>
      <c r="F16" s="357"/>
      <c r="G16" s="347" t="s">
        <v>1076</v>
      </c>
      <c r="H16" s="347" t="s">
        <v>1077</v>
      </c>
      <c r="I16" s="380"/>
      <c r="J16" s="355"/>
      <c r="K16" s="380"/>
      <c r="L16" s="355"/>
      <c r="M16" s="380"/>
      <c r="N16" s="355"/>
      <c r="O16" s="381" t="s">
        <v>1850</v>
      </c>
      <c r="P16" s="355">
        <v>233</v>
      </c>
      <c r="Q16" s="381" t="s">
        <v>1849</v>
      </c>
      <c r="R16" s="355">
        <v>74</v>
      </c>
      <c r="S16" s="380"/>
      <c r="T16" s="355"/>
      <c r="U16" s="414">
        <f t="shared" si="0"/>
        <v>307</v>
      </c>
      <c r="V16" s="380"/>
      <c r="W16" s="355"/>
      <c r="X16" s="380"/>
      <c r="Y16" s="355"/>
      <c r="Z16" s="380"/>
      <c r="AA16" s="355"/>
      <c r="AB16" s="380"/>
      <c r="AC16" s="355"/>
      <c r="AD16" s="380"/>
      <c r="AE16" s="355"/>
      <c r="AF16" s="414">
        <f t="shared" si="1"/>
        <v>0</v>
      </c>
      <c r="AG16" s="380"/>
      <c r="AH16" s="355"/>
      <c r="AI16" s="380"/>
      <c r="AJ16" s="355"/>
      <c r="AK16" s="380"/>
      <c r="AL16" s="355"/>
      <c r="AM16" s="380"/>
      <c r="AN16" s="355"/>
      <c r="AO16" s="380"/>
      <c r="AP16" s="355"/>
      <c r="AQ16" s="414">
        <f t="shared" si="2"/>
        <v>0</v>
      </c>
      <c r="AR16" s="380"/>
      <c r="AS16" s="355"/>
      <c r="AT16" s="380"/>
      <c r="AU16" s="355"/>
      <c r="AV16" s="380"/>
      <c r="AW16" s="355"/>
      <c r="AX16" s="380"/>
      <c r="AY16" s="355"/>
      <c r="AZ16" s="380"/>
      <c r="BA16" s="355"/>
      <c r="BB16" s="380"/>
      <c r="BC16" s="355"/>
      <c r="BD16" s="414">
        <f t="shared" si="3"/>
        <v>0</v>
      </c>
      <c r="BE16" s="380"/>
      <c r="BF16" s="355"/>
      <c r="BG16" s="380"/>
      <c r="BH16" s="355"/>
      <c r="BI16" s="380"/>
      <c r="BJ16" s="355"/>
      <c r="BK16" s="380"/>
      <c r="BL16" s="355"/>
      <c r="BM16" s="380"/>
      <c r="BN16" s="355"/>
      <c r="BO16" s="380"/>
      <c r="BP16" s="355"/>
      <c r="BQ16" s="414">
        <f t="shared" si="4"/>
        <v>0</v>
      </c>
      <c r="BR16" s="380"/>
      <c r="BS16" s="355"/>
      <c r="BT16" s="380"/>
      <c r="BU16" s="355"/>
      <c r="BV16" s="380"/>
      <c r="BW16" s="355"/>
      <c r="BX16" s="380"/>
      <c r="BY16" s="355"/>
      <c r="BZ16" s="380"/>
      <c r="CA16" s="355"/>
      <c r="CB16" s="380"/>
      <c r="CC16" s="355"/>
      <c r="CD16" s="414">
        <f t="shared" si="5"/>
        <v>0</v>
      </c>
      <c r="CE16" s="380"/>
      <c r="CF16" s="355"/>
      <c r="CG16" s="380"/>
      <c r="CH16" s="355"/>
      <c r="CI16" s="380"/>
      <c r="CJ16" s="355"/>
      <c r="CK16" s="380"/>
      <c r="CL16" s="355"/>
      <c r="CM16" s="380"/>
      <c r="CN16" s="355"/>
      <c r="CO16" s="380"/>
      <c r="CP16" s="355"/>
      <c r="CQ16" s="414">
        <f t="shared" si="6"/>
        <v>0</v>
      </c>
      <c r="CR16" s="380"/>
      <c r="CS16" s="355"/>
      <c r="CT16" s="380"/>
      <c r="CU16" s="355"/>
      <c r="CV16" s="380"/>
      <c r="CW16" s="355"/>
      <c r="CX16" s="380"/>
      <c r="CY16" s="355"/>
      <c r="CZ16" s="414">
        <f t="shared" si="7"/>
        <v>0</v>
      </c>
      <c r="DA16" s="380"/>
      <c r="DB16" s="355"/>
      <c r="DC16" s="414">
        <f t="shared" si="8"/>
        <v>0</v>
      </c>
      <c r="DD16" s="356">
        <f>+$U$16+$AF$16+$AQ$16+$BD$16+$BQ$16+$CD$16+$CQ$16+$CZ$16+$DC$16</f>
        <v>307</v>
      </c>
    </row>
    <row r="17" spans="1:108" ht="17.45" customHeight="1">
      <c r="A17" s="357"/>
      <c r="B17" s="357"/>
      <c r="C17" s="357"/>
      <c r="D17" s="357"/>
      <c r="E17" s="357"/>
      <c r="F17" s="357"/>
      <c r="G17" s="347" t="s">
        <v>1078</v>
      </c>
      <c r="H17" s="347" t="s">
        <v>1079</v>
      </c>
      <c r="I17" s="380"/>
      <c r="J17" s="355"/>
      <c r="K17" s="380"/>
      <c r="L17" s="355"/>
      <c r="M17" s="380"/>
      <c r="N17" s="355"/>
      <c r="O17" s="380"/>
      <c r="P17" s="355"/>
      <c r="Q17" s="381" t="s">
        <v>1850</v>
      </c>
      <c r="R17" s="355">
        <v>259</v>
      </c>
      <c r="S17" s="380"/>
      <c r="T17" s="355"/>
      <c r="U17" s="414">
        <f t="shared" si="0"/>
        <v>259</v>
      </c>
      <c r="V17" s="380"/>
      <c r="W17" s="355"/>
      <c r="X17" s="380"/>
      <c r="Y17" s="355"/>
      <c r="Z17" s="380"/>
      <c r="AA17" s="355"/>
      <c r="AB17" s="380"/>
      <c r="AC17" s="355"/>
      <c r="AD17" s="380"/>
      <c r="AE17" s="355"/>
      <c r="AF17" s="414">
        <f t="shared" si="1"/>
        <v>0</v>
      </c>
      <c r="AG17" s="380"/>
      <c r="AH17" s="355"/>
      <c r="AI17" s="380"/>
      <c r="AJ17" s="355"/>
      <c r="AK17" s="380"/>
      <c r="AL17" s="355"/>
      <c r="AM17" s="380"/>
      <c r="AN17" s="355"/>
      <c r="AO17" s="380"/>
      <c r="AP17" s="355"/>
      <c r="AQ17" s="414">
        <f t="shared" si="2"/>
        <v>0</v>
      </c>
      <c r="AR17" s="380"/>
      <c r="AS17" s="355"/>
      <c r="AT17" s="380"/>
      <c r="AU17" s="355"/>
      <c r="AV17" s="380"/>
      <c r="AW17" s="355"/>
      <c r="AX17" s="380"/>
      <c r="AY17" s="355"/>
      <c r="AZ17" s="380"/>
      <c r="BA17" s="355"/>
      <c r="BB17" s="380"/>
      <c r="BC17" s="355"/>
      <c r="BD17" s="414">
        <f t="shared" si="3"/>
        <v>0</v>
      </c>
      <c r="BE17" s="380"/>
      <c r="BF17" s="355"/>
      <c r="BG17" s="380"/>
      <c r="BH17" s="355"/>
      <c r="BI17" s="380"/>
      <c r="BJ17" s="355"/>
      <c r="BK17" s="380"/>
      <c r="BL17" s="355"/>
      <c r="BM17" s="380"/>
      <c r="BN17" s="355"/>
      <c r="BO17" s="380"/>
      <c r="BP17" s="355"/>
      <c r="BQ17" s="414">
        <f t="shared" si="4"/>
        <v>0</v>
      </c>
      <c r="BR17" s="380"/>
      <c r="BS17" s="355"/>
      <c r="BT17" s="380"/>
      <c r="BU17" s="355"/>
      <c r="BV17" s="380"/>
      <c r="BW17" s="355"/>
      <c r="BX17" s="380"/>
      <c r="BY17" s="355"/>
      <c r="BZ17" s="380"/>
      <c r="CA17" s="355"/>
      <c r="CB17" s="380"/>
      <c r="CC17" s="355"/>
      <c r="CD17" s="414">
        <f t="shared" si="5"/>
        <v>0</v>
      </c>
      <c r="CE17" s="380"/>
      <c r="CF17" s="355"/>
      <c r="CG17" s="380"/>
      <c r="CH17" s="355"/>
      <c r="CI17" s="380"/>
      <c r="CJ17" s="355"/>
      <c r="CK17" s="380"/>
      <c r="CL17" s="355"/>
      <c r="CM17" s="380"/>
      <c r="CN17" s="355"/>
      <c r="CO17" s="380"/>
      <c r="CP17" s="355"/>
      <c r="CQ17" s="414">
        <f t="shared" si="6"/>
        <v>0</v>
      </c>
      <c r="CR17" s="380"/>
      <c r="CS17" s="355"/>
      <c r="CT17" s="380"/>
      <c r="CU17" s="355"/>
      <c r="CV17" s="380"/>
      <c r="CW17" s="355"/>
      <c r="CX17" s="380"/>
      <c r="CY17" s="355"/>
      <c r="CZ17" s="414">
        <f t="shared" si="7"/>
        <v>0</v>
      </c>
      <c r="DA17" s="380"/>
      <c r="DB17" s="355"/>
      <c r="DC17" s="414">
        <f t="shared" si="8"/>
        <v>0</v>
      </c>
      <c r="DD17" s="356">
        <f>+$U$17+$AF$17+$AQ$17+$BD$17+$BQ$17+$CD$17+$CQ$17+$CZ$17+$DC$17</f>
        <v>259</v>
      </c>
    </row>
    <row r="18" spans="1:108" ht="17.45" customHeight="1">
      <c r="A18" s="357"/>
      <c r="B18" s="357"/>
      <c r="C18" s="357"/>
      <c r="D18" s="357"/>
      <c r="E18" s="357"/>
      <c r="F18" s="357"/>
      <c r="G18" s="347" t="s">
        <v>1225</v>
      </c>
      <c r="H18" s="347" t="s">
        <v>1787</v>
      </c>
      <c r="I18" s="380"/>
      <c r="J18" s="355"/>
      <c r="K18" s="380"/>
      <c r="L18" s="355"/>
      <c r="M18" s="380"/>
      <c r="N18" s="355"/>
      <c r="O18" s="380"/>
      <c r="P18" s="355"/>
      <c r="Q18" s="381" t="s">
        <v>1853</v>
      </c>
      <c r="R18" s="355">
        <v>17</v>
      </c>
      <c r="S18" s="380"/>
      <c r="T18" s="355"/>
      <c r="U18" s="414">
        <f t="shared" si="0"/>
        <v>17</v>
      </c>
      <c r="V18" s="380"/>
      <c r="W18" s="355"/>
      <c r="X18" s="380"/>
      <c r="Y18" s="355"/>
      <c r="Z18" s="380"/>
      <c r="AA18" s="355"/>
      <c r="AB18" s="380"/>
      <c r="AC18" s="355"/>
      <c r="AD18" s="380"/>
      <c r="AE18" s="355"/>
      <c r="AF18" s="414">
        <f t="shared" si="1"/>
        <v>0</v>
      </c>
      <c r="AG18" s="380"/>
      <c r="AH18" s="355"/>
      <c r="AI18" s="380"/>
      <c r="AJ18" s="355"/>
      <c r="AK18" s="380"/>
      <c r="AL18" s="355"/>
      <c r="AM18" s="380"/>
      <c r="AN18" s="355"/>
      <c r="AO18" s="380"/>
      <c r="AP18" s="355"/>
      <c r="AQ18" s="414">
        <f t="shared" si="2"/>
        <v>0</v>
      </c>
      <c r="AR18" s="380"/>
      <c r="AS18" s="355"/>
      <c r="AT18" s="380"/>
      <c r="AU18" s="355"/>
      <c r="AV18" s="380"/>
      <c r="AW18" s="355"/>
      <c r="AX18" s="380"/>
      <c r="AY18" s="355"/>
      <c r="AZ18" s="380"/>
      <c r="BA18" s="355"/>
      <c r="BB18" s="380"/>
      <c r="BC18" s="355"/>
      <c r="BD18" s="414">
        <f t="shared" si="3"/>
        <v>0</v>
      </c>
      <c r="BE18" s="380"/>
      <c r="BF18" s="355"/>
      <c r="BG18" s="380"/>
      <c r="BH18" s="355"/>
      <c r="BI18" s="380"/>
      <c r="BJ18" s="355"/>
      <c r="BK18" s="380"/>
      <c r="BL18" s="355"/>
      <c r="BM18" s="380"/>
      <c r="BN18" s="355"/>
      <c r="BO18" s="380"/>
      <c r="BP18" s="355"/>
      <c r="BQ18" s="414">
        <f t="shared" si="4"/>
        <v>0</v>
      </c>
      <c r="BR18" s="380"/>
      <c r="BS18" s="355"/>
      <c r="BT18" s="380"/>
      <c r="BU18" s="355"/>
      <c r="BV18" s="380"/>
      <c r="BW18" s="355"/>
      <c r="BX18" s="380"/>
      <c r="BY18" s="355"/>
      <c r="BZ18" s="380"/>
      <c r="CA18" s="355"/>
      <c r="CB18" s="380"/>
      <c r="CC18" s="355"/>
      <c r="CD18" s="414">
        <f t="shared" si="5"/>
        <v>0</v>
      </c>
      <c r="CE18" s="380"/>
      <c r="CF18" s="355"/>
      <c r="CG18" s="380"/>
      <c r="CH18" s="355"/>
      <c r="CI18" s="380"/>
      <c r="CJ18" s="355"/>
      <c r="CK18" s="380"/>
      <c r="CL18" s="355"/>
      <c r="CM18" s="380"/>
      <c r="CN18" s="355"/>
      <c r="CO18" s="380"/>
      <c r="CP18" s="355"/>
      <c r="CQ18" s="414">
        <f t="shared" si="6"/>
        <v>0</v>
      </c>
      <c r="CR18" s="380"/>
      <c r="CS18" s="355"/>
      <c r="CT18" s="380"/>
      <c r="CU18" s="355"/>
      <c r="CV18" s="380"/>
      <c r="CW18" s="355"/>
      <c r="CX18" s="380"/>
      <c r="CY18" s="355"/>
      <c r="CZ18" s="414">
        <f t="shared" si="7"/>
        <v>0</v>
      </c>
      <c r="DA18" s="380"/>
      <c r="DB18" s="355"/>
      <c r="DC18" s="414">
        <f t="shared" si="8"/>
        <v>0</v>
      </c>
      <c r="DD18" s="356">
        <f>+$U$18+$AF$18+$AQ$18+$BD$18+$BQ$18+$CD$18+$CQ$18+$CZ$18+$DC$18</f>
        <v>17</v>
      </c>
    </row>
    <row r="19" spans="1:108" ht="17.45" customHeight="1">
      <c r="A19" s="357"/>
      <c r="B19" s="357"/>
      <c r="C19" s="357"/>
      <c r="D19" s="357"/>
      <c r="E19" s="357"/>
      <c r="F19" s="357"/>
      <c r="G19" s="354" t="s">
        <v>1226</v>
      </c>
      <c r="H19" s="354" t="s">
        <v>1788</v>
      </c>
      <c r="I19" s="390"/>
      <c r="J19" s="391"/>
      <c r="K19" s="390"/>
      <c r="L19" s="391"/>
      <c r="M19" s="390"/>
      <c r="N19" s="391"/>
      <c r="O19" s="390"/>
      <c r="P19" s="391"/>
      <c r="Q19" s="392" t="s">
        <v>1852</v>
      </c>
      <c r="R19" s="391">
        <v>10</v>
      </c>
      <c r="S19" s="390"/>
      <c r="T19" s="391"/>
      <c r="U19" s="416">
        <f t="shared" si="0"/>
        <v>10</v>
      </c>
      <c r="V19" s="390"/>
      <c r="W19" s="391"/>
      <c r="X19" s="390"/>
      <c r="Y19" s="391"/>
      <c r="Z19" s="390"/>
      <c r="AA19" s="391"/>
      <c r="AB19" s="390"/>
      <c r="AC19" s="391"/>
      <c r="AD19" s="390"/>
      <c r="AE19" s="391"/>
      <c r="AF19" s="416">
        <f t="shared" si="1"/>
        <v>0</v>
      </c>
      <c r="AG19" s="390"/>
      <c r="AH19" s="391"/>
      <c r="AI19" s="390"/>
      <c r="AJ19" s="391"/>
      <c r="AK19" s="390"/>
      <c r="AL19" s="391"/>
      <c r="AM19" s="390"/>
      <c r="AN19" s="391"/>
      <c r="AO19" s="390"/>
      <c r="AP19" s="391"/>
      <c r="AQ19" s="416">
        <f t="shared" si="2"/>
        <v>0</v>
      </c>
      <c r="AR19" s="390"/>
      <c r="AS19" s="391"/>
      <c r="AT19" s="390"/>
      <c r="AU19" s="391"/>
      <c r="AV19" s="390"/>
      <c r="AW19" s="391"/>
      <c r="AX19" s="390"/>
      <c r="AY19" s="391"/>
      <c r="AZ19" s="390"/>
      <c r="BA19" s="391"/>
      <c r="BB19" s="390"/>
      <c r="BC19" s="391"/>
      <c r="BD19" s="416">
        <f t="shared" si="3"/>
        <v>0</v>
      </c>
      <c r="BE19" s="390"/>
      <c r="BF19" s="391"/>
      <c r="BG19" s="390"/>
      <c r="BH19" s="391"/>
      <c r="BI19" s="390"/>
      <c r="BJ19" s="391"/>
      <c r="BK19" s="390"/>
      <c r="BL19" s="391"/>
      <c r="BM19" s="390"/>
      <c r="BN19" s="391"/>
      <c r="BO19" s="390"/>
      <c r="BP19" s="391"/>
      <c r="BQ19" s="416">
        <f t="shared" si="4"/>
        <v>0</v>
      </c>
      <c r="BR19" s="390"/>
      <c r="BS19" s="391"/>
      <c r="BT19" s="390"/>
      <c r="BU19" s="391"/>
      <c r="BV19" s="390"/>
      <c r="BW19" s="391"/>
      <c r="BX19" s="390"/>
      <c r="BY19" s="391"/>
      <c r="BZ19" s="390"/>
      <c r="CA19" s="391"/>
      <c r="CB19" s="390"/>
      <c r="CC19" s="391"/>
      <c r="CD19" s="416">
        <f t="shared" si="5"/>
        <v>0</v>
      </c>
      <c r="CE19" s="390"/>
      <c r="CF19" s="391"/>
      <c r="CG19" s="390"/>
      <c r="CH19" s="391"/>
      <c r="CI19" s="390"/>
      <c r="CJ19" s="391"/>
      <c r="CK19" s="390"/>
      <c r="CL19" s="391"/>
      <c r="CM19" s="390"/>
      <c r="CN19" s="391"/>
      <c r="CO19" s="390"/>
      <c r="CP19" s="391"/>
      <c r="CQ19" s="416">
        <f t="shared" si="6"/>
        <v>0</v>
      </c>
      <c r="CR19" s="390"/>
      <c r="CS19" s="391"/>
      <c r="CT19" s="390"/>
      <c r="CU19" s="391"/>
      <c r="CV19" s="390"/>
      <c r="CW19" s="391"/>
      <c r="CX19" s="390"/>
      <c r="CY19" s="391"/>
      <c r="CZ19" s="416">
        <f t="shared" si="7"/>
        <v>0</v>
      </c>
      <c r="DA19" s="390"/>
      <c r="DB19" s="391"/>
      <c r="DC19" s="416">
        <f t="shared" si="8"/>
        <v>0</v>
      </c>
      <c r="DD19" s="393">
        <f>+$U$19+$AF$19+$AQ$19+$BD$19+$BQ$19+$CD$19+$CQ$19+$CZ$19+$DC$19</f>
        <v>10</v>
      </c>
    </row>
    <row r="20" spans="1:108" ht="17.45" customHeight="1">
      <c r="A20" s="357"/>
      <c r="B20" s="339"/>
      <c r="C20" s="385" t="s">
        <v>1827</v>
      </c>
      <c r="D20" s="386"/>
      <c r="E20" s="386"/>
      <c r="F20" s="386"/>
      <c r="G20" s="386"/>
      <c r="H20" s="387"/>
      <c r="I20" s="387"/>
      <c r="J20" s="388">
        <f>+$J$19+$J$18+$J$17+$J$16+$J$15+$J$14+$J$13+$J$12+$J$11+$J$10+$J$9</f>
        <v>360</v>
      </c>
      <c r="K20" s="387"/>
      <c r="L20" s="388">
        <f>+$L$19+$L$18+$L$17+$L$16+$L$15+$L$14+$L$13+$L$12+$L$11+$L$10+$L$9</f>
        <v>360</v>
      </c>
      <c r="M20" s="387"/>
      <c r="N20" s="388">
        <f>+$N$19+$N$18+$N$17+$N$16+$N$15+$N$14+$N$13+$N$12+$N$11+$N$10+$N$9</f>
        <v>360</v>
      </c>
      <c r="O20" s="387"/>
      <c r="P20" s="388">
        <f>+$P$19+$P$18+$P$17+$P$16+$P$15+$P$14+$P$13+$P$12+$P$11+$P$10+$P$9</f>
        <v>360</v>
      </c>
      <c r="Q20" s="387"/>
      <c r="R20" s="388">
        <f>+$R$19+$R$18+$R$17+$R$16+$R$15+$R$14+$R$13+$R$12+$R$11+$R$10+$R$9</f>
        <v>360</v>
      </c>
      <c r="S20" s="387"/>
      <c r="T20" s="388">
        <f>+$T$19+$T$18+$T$17+$T$16+$T$15+$T$14+$T$13+$T$12+$T$11+$T$10+$T$9</f>
        <v>0</v>
      </c>
      <c r="U20" s="414">
        <f t="shared" si="0"/>
        <v>1800</v>
      </c>
      <c r="V20" s="387"/>
      <c r="W20" s="388">
        <f>+$W$19+$W$18+$W$17+$W$16+$W$15+$W$14+$W$13+$W$12+$W$11+$W$10+$W$9</f>
        <v>0</v>
      </c>
      <c r="X20" s="387"/>
      <c r="Y20" s="388">
        <f>+$Y$19+$Y$18+$Y$17+$Y$16+$Y$15+$Y$14+$Y$13+$Y$12+$Y$11+$Y$10+$Y$9</f>
        <v>0</v>
      </c>
      <c r="Z20" s="387"/>
      <c r="AA20" s="388">
        <f>+$AA$19+$AA$18+$AA$17+$AA$16+$AA$15+$AA$14+$AA$13+$AA$12+$AA$11+$AA$10+$AA$9</f>
        <v>0</v>
      </c>
      <c r="AB20" s="387"/>
      <c r="AC20" s="388">
        <f>+$AC$19+$AC$18+$AC$17+$AC$16+$AC$15+$AC$14+$AC$13+$AC$12+$AC$11+$AC$10+$AC$9</f>
        <v>0</v>
      </c>
      <c r="AD20" s="387"/>
      <c r="AE20" s="388">
        <f>+$AE$19+$AE$18+$AE$17+$AE$16+$AE$15+$AE$14+$AE$13+$AE$12+$AE$11+$AE$10+$AE$9</f>
        <v>0</v>
      </c>
      <c r="AF20" s="414">
        <f t="shared" si="1"/>
        <v>0</v>
      </c>
      <c r="AG20" s="387"/>
      <c r="AH20" s="388">
        <f>+$AH$19+$AH$18+$AH$17+$AH$16+$AH$15+$AH$14+$AH$13+$AH$12+$AH$11+$AH$10+$AH$9</f>
        <v>0</v>
      </c>
      <c r="AI20" s="387"/>
      <c r="AJ20" s="388">
        <f>+$AJ$19+$AJ$18+$AJ$17+$AJ$16+$AJ$15+$AJ$14+$AJ$13+$AJ$12+$AJ$11+$AJ$10+$AJ$9</f>
        <v>0</v>
      </c>
      <c r="AK20" s="387"/>
      <c r="AL20" s="388">
        <f>+$AL$19+$AL$18+$AL$17+$AL$16+$AL$15+$AL$14+$AL$13+$AL$12+$AL$11+$AL$10+$AL$9</f>
        <v>0</v>
      </c>
      <c r="AM20" s="387"/>
      <c r="AN20" s="388">
        <f>+$AN$19+$AN$18+$AN$17+$AN$16+$AN$15+$AN$14+$AN$13+$AN$12+$AN$11+$AN$10+$AN$9</f>
        <v>0</v>
      </c>
      <c r="AO20" s="387"/>
      <c r="AP20" s="388">
        <f>+$AP$19+$AP$18+$AP$17+$AP$16+$AP$15+$AP$14+$AP$13+$AP$12+$AP$11+$AP$10+$AP$9</f>
        <v>0</v>
      </c>
      <c r="AQ20" s="414">
        <f t="shared" si="2"/>
        <v>0</v>
      </c>
      <c r="AR20" s="387"/>
      <c r="AS20" s="388">
        <f>+$AS$19+$AS$18+$AS$17+$AS$16+$AS$15+$AS$14+$AS$13+$AS$12+$AS$11+$AS$10+$AS$9</f>
        <v>0</v>
      </c>
      <c r="AT20" s="387"/>
      <c r="AU20" s="388">
        <f>+$AU$19+$AU$18+$AU$17+$AU$16+$AU$15+$AU$14+$AU$13+$AU$12+$AU$11+$AU$10+$AU$9</f>
        <v>0</v>
      </c>
      <c r="AV20" s="387"/>
      <c r="AW20" s="388">
        <f>+$AW$19+$AW$18+$AW$17+$AW$16+$AW$15+$AW$14+$AW$13+$AW$12+$AW$11+$AW$10+$AW$9</f>
        <v>0</v>
      </c>
      <c r="AX20" s="387"/>
      <c r="AY20" s="388">
        <f>+$AY$19+$AY$18+$AY$17+$AY$16+$AY$15+$AY$14+$AY$13+$AY$12+$AY$11+$AY$10+$AY$9</f>
        <v>0</v>
      </c>
      <c r="AZ20" s="387"/>
      <c r="BA20" s="388">
        <f>+$BA$19+$BA$18+$BA$17+$BA$16+$BA$15+$BA$14+$BA$13+$BA$12+$BA$11+$BA$10+$BA$9</f>
        <v>0</v>
      </c>
      <c r="BB20" s="387"/>
      <c r="BC20" s="388">
        <f>+$BC$19+$BC$18+$BC$17+$BC$16+$BC$15+$BC$14+$BC$13+$BC$12+$BC$11+$BC$10+$BC$9</f>
        <v>0</v>
      </c>
      <c r="BD20" s="414">
        <f t="shared" si="3"/>
        <v>0</v>
      </c>
      <c r="BE20" s="387"/>
      <c r="BF20" s="388">
        <f>+$BF$19+$BF$18+$BF$17+$BF$16+$BF$15+$BF$14+$BF$13+$BF$12+$BF$11+$BF$10+$BF$9</f>
        <v>0</v>
      </c>
      <c r="BG20" s="387"/>
      <c r="BH20" s="388">
        <f>+$BH$19+$BH$18+$BH$17+$BH$16+$BH$15+$BH$14+$BH$13+$BH$12+$BH$11+$BH$10+$BH$9</f>
        <v>0</v>
      </c>
      <c r="BI20" s="387"/>
      <c r="BJ20" s="388">
        <f>+$BJ$19+$BJ$18+$BJ$17+$BJ$16+$BJ$15+$BJ$14+$BJ$13+$BJ$12+$BJ$11+$BJ$10+$BJ$9</f>
        <v>0</v>
      </c>
      <c r="BK20" s="387"/>
      <c r="BL20" s="388">
        <f>+$BL$19+$BL$18+$BL$17+$BL$16+$BL$15+$BL$14+$BL$13+$BL$12+$BL$11+$BL$10+$BL$9</f>
        <v>0</v>
      </c>
      <c r="BM20" s="387"/>
      <c r="BN20" s="388">
        <f>+$BN$19+$BN$18+$BN$17+$BN$16+$BN$15+$BN$14+$BN$13+$BN$12+$BN$11+$BN$10+$BN$9</f>
        <v>0</v>
      </c>
      <c r="BO20" s="387"/>
      <c r="BP20" s="388">
        <f>+$BP$19+$BP$18+$BP$17+$BP$16+$BP$15+$BP$14+$BP$13+$BP$12+$BP$11+$BP$10+$BP$9</f>
        <v>0</v>
      </c>
      <c r="BQ20" s="414">
        <f t="shared" si="4"/>
        <v>0</v>
      </c>
      <c r="BR20" s="387"/>
      <c r="BS20" s="388">
        <f>+$BS$19+$BS$18+$BS$17+$BS$16+$BS$15+$BS$14+$BS$13+$BS$12+$BS$11+$BS$10+$BS$9</f>
        <v>0</v>
      </c>
      <c r="BT20" s="387"/>
      <c r="BU20" s="388">
        <f>+$BU$19+$BU$18+$BU$17+$BU$16+$BU$15+$BU$14+$BU$13+$BU$12+$BU$11+$BU$10+$BU$9</f>
        <v>0</v>
      </c>
      <c r="BV20" s="387"/>
      <c r="BW20" s="388">
        <f>+$BW$19+$BW$18+$BW$17+$BW$16+$BW$15+$BW$14+$BW$13+$BW$12+$BW$11+$BW$10+$BW$9</f>
        <v>0</v>
      </c>
      <c r="BX20" s="387"/>
      <c r="BY20" s="388">
        <f>+$BY$19+$BY$18+$BY$17+$BY$16+$BY$15+$BY$14+$BY$13+$BY$12+$BY$11+$BY$10+$BY$9</f>
        <v>0</v>
      </c>
      <c r="BZ20" s="387"/>
      <c r="CA20" s="388">
        <f>+$CA$19+$CA$18+$CA$17+$CA$16+$CA$15+$CA$14+$CA$13+$CA$12+$CA$11+$CA$10+$CA$9</f>
        <v>0</v>
      </c>
      <c r="CB20" s="387"/>
      <c r="CC20" s="388">
        <f>+$CC$19+$CC$18+$CC$17+$CC$16+$CC$15+$CC$14+$CC$13+$CC$12+$CC$11+$CC$10+$CC$9</f>
        <v>0</v>
      </c>
      <c r="CD20" s="414">
        <f t="shared" si="5"/>
        <v>0</v>
      </c>
      <c r="CE20" s="387"/>
      <c r="CF20" s="388">
        <f>+$CF$19+$CF$18+$CF$17+$CF$16+$CF$15+$CF$14+$CF$13+$CF$12+$CF$11+$CF$10+$CF$9</f>
        <v>0</v>
      </c>
      <c r="CG20" s="387"/>
      <c r="CH20" s="388">
        <f>+$CH$19+$CH$18+$CH$17+$CH$16+$CH$15+$CH$14+$CH$13+$CH$12+$CH$11+$CH$10+$CH$9</f>
        <v>0</v>
      </c>
      <c r="CI20" s="387"/>
      <c r="CJ20" s="388">
        <f>+$CJ$19+$CJ$18+$CJ$17+$CJ$16+$CJ$15+$CJ$14+$CJ$13+$CJ$12+$CJ$11+$CJ$10+$CJ$9</f>
        <v>0</v>
      </c>
      <c r="CK20" s="387"/>
      <c r="CL20" s="388">
        <f>+$CL$19+$CL$18+$CL$17+$CL$16+$CL$15+$CL$14+$CL$13+$CL$12+$CL$11+$CL$10+$CL$9</f>
        <v>0</v>
      </c>
      <c r="CM20" s="387"/>
      <c r="CN20" s="388">
        <f>+$CN$19+$CN$18+$CN$17+$CN$16+$CN$15+$CN$14+$CN$13+$CN$12+$CN$11+$CN$10+$CN$9</f>
        <v>0</v>
      </c>
      <c r="CO20" s="387"/>
      <c r="CP20" s="388">
        <f>+$CP$19+$CP$18+$CP$17+$CP$16+$CP$15+$CP$14+$CP$13+$CP$12+$CP$11+$CP$10+$CP$9</f>
        <v>0</v>
      </c>
      <c r="CQ20" s="414">
        <f t="shared" si="6"/>
        <v>0</v>
      </c>
      <c r="CR20" s="387"/>
      <c r="CS20" s="388">
        <f>+$CS$19+$CS$18+$CS$17+$CS$16+$CS$15+$CS$14+$CS$13+$CS$12+$CS$11+$CS$10+$CS$9</f>
        <v>0</v>
      </c>
      <c r="CT20" s="387"/>
      <c r="CU20" s="388">
        <f>+$CU$19+$CU$18+$CU$17+$CU$16+$CU$15+$CU$14+$CU$13+$CU$12+$CU$11+$CU$10+$CU$9</f>
        <v>0</v>
      </c>
      <c r="CV20" s="387"/>
      <c r="CW20" s="388">
        <f>+$CW$19+$CW$18+$CW$17+$CW$16+$CW$15+$CW$14+$CW$13+$CW$12+$CW$11+$CW$10+$CW$9</f>
        <v>0</v>
      </c>
      <c r="CX20" s="387"/>
      <c r="CY20" s="388">
        <f>+$CY$19+$CY$18+$CY$17+$CY$16+$CY$15+$CY$14+$CY$13+$CY$12+$CY$11+$CY$10+$CY$9</f>
        <v>0</v>
      </c>
      <c r="CZ20" s="414">
        <f t="shared" si="7"/>
        <v>0</v>
      </c>
      <c r="DA20" s="387"/>
      <c r="DB20" s="388">
        <f>+$DB$19+$DB$18+$DB$17+$DB$16+$DB$15+$DB$14+$DB$13+$DB$12+$DB$11+$DB$10+$DB$9</f>
        <v>0</v>
      </c>
      <c r="DC20" s="414">
        <f t="shared" si="8"/>
        <v>0</v>
      </c>
      <c r="DD20" s="389">
        <f>+$U$20+$AF$20+$AQ$20+$BD$20+$BQ$20+$CD$20+$CQ$20+$CZ$20+$DC$20</f>
        <v>1800</v>
      </c>
    </row>
    <row r="21" spans="1:108" ht="17.45" customHeight="1">
      <c r="A21" s="357"/>
      <c r="B21" s="354" t="s">
        <v>1789</v>
      </c>
      <c r="C21" s="357" t="s">
        <v>1228</v>
      </c>
      <c r="D21" s="357"/>
      <c r="E21" s="357"/>
      <c r="F21" s="357"/>
      <c r="G21" s="358" t="s">
        <v>1229</v>
      </c>
      <c r="H21" s="358" t="s">
        <v>1790</v>
      </c>
      <c r="I21" s="394" t="s">
        <v>1850</v>
      </c>
      <c r="J21" s="395">
        <v>4</v>
      </c>
      <c r="K21" s="396"/>
      <c r="L21" s="395"/>
      <c r="M21" s="396"/>
      <c r="N21" s="395"/>
      <c r="O21" s="396"/>
      <c r="P21" s="395"/>
      <c r="Q21" s="396"/>
      <c r="R21" s="395"/>
      <c r="S21" s="396"/>
      <c r="T21" s="395"/>
      <c r="U21" s="417">
        <f t="shared" si="0"/>
        <v>4</v>
      </c>
      <c r="V21" s="396"/>
      <c r="W21" s="395"/>
      <c r="X21" s="396"/>
      <c r="Y21" s="395"/>
      <c r="Z21" s="396"/>
      <c r="AA21" s="395"/>
      <c r="AB21" s="396"/>
      <c r="AC21" s="395"/>
      <c r="AD21" s="396"/>
      <c r="AE21" s="395"/>
      <c r="AF21" s="417">
        <f t="shared" si="1"/>
        <v>0</v>
      </c>
      <c r="AG21" s="396"/>
      <c r="AH21" s="395"/>
      <c r="AI21" s="396"/>
      <c r="AJ21" s="395"/>
      <c r="AK21" s="396"/>
      <c r="AL21" s="395"/>
      <c r="AM21" s="396"/>
      <c r="AN21" s="395"/>
      <c r="AO21" s="396"/>
      <c r="AP21" s="395"/>
      <c r="AQ21" s="417">
        <f t="shared" si="2"/>
        <v>0</v>
      </c>
      <c r="AR21" s="396"/>
      <c r="AS21" s="395"/>
      <c r="AT21" s="396"/>
      <c r="AU21" s="395"/>
      <c r="AV21" s="396"/>
      <c r="AW21" s="395"/>
      <c r="AX21" s="396"/>
      <c r="AY21" s="395"/>
      <c r="AZ21" s="396"/>
      <c r="BA21" s="395"/>
      <c r="BB21" s="396"/>
      <c r="BC21" s="395"/>
      <c r="BD21" s="417">
        <f t="shared" si="3"/>
        <v>0</v>
      </c>
      <c r="BE21" s="396"/>
      <c r="BF21" s="395"/>
      <c r="BG21" s="396"/>
      <c r="BH21" s="395"/>
      <c r="BI21" s="396"/>
      <c r="BJ21" s="395"/>
      <c r="BK21" s="396"/>
      <c r="BL21" s="395"/>
      <c r="BM21" s="396"/>
      <c r="BN21" s="395"/>
      <c r="BO21" s="396"/>
      <c r="BP21" s="395"/>
      <c r="BQ21" s="417">
        <f t="shared" si="4"/>
        <v>0</v>
      </c>
      <c r="BR21" s="396"/>
      <c r="BS21" s="395"/>
      <c r="BT21" s="396"/>
      <c r="BU21" s="395"/>
      <c r="BV21" s="396"/>
      <c r="BW21" s="395"/>
      <c r="BX21" s="396"/>
      <c r="BY21" s="395"/>
      <c r="BZ21" s="396"/>
      <c r="CA21" s="395"/>
      <c r="CB21" s="396"/>
      <c r="CC21" s="395"/>
      <c r="CD21" s="417">
        <f t="shared" si="5"/>
        <v>0</v>
      </c>
      <c r="CE21" s="396"/>
      <c r="CF21" s="395"/>
      <c r="CG21" s="396"/>
      <c r="CH21" s="395"/>
      <c r="CI21" s="396"/>
      <c r="CJ21" s="395"/>
      <c r="CK21" s="396"/>
      <c r="CL21" s="395"/>
      <c r="CM21" s="396"/>
      <c r="CN21" s="395"/>
      <c r="CO21" s="396"/>
      <c r="CP21" s="395"/>
      <c r="CQ21" s="417">
        <f t="shared" si="6"/>
        <v>0</v>
      </c>
      <c r="CR21" s="396"/>
      <c r="CS21" s="395"/>
      <c r="CT21" s="396"/>
      <c r="CU21" s="395"/>
      <c r="CV21" s="396"/>
      <c r="CW21" s="395"/>
      <c r="CX21" s="396"/>
      <c r="CY21" s="395"/>
      <c r="CZ21" s="417">
        <f t="shared" si="7"/>
        <v>0</v>
      </c>
      <c r="DA21" s="396"/>
      <c r="DB21" s="395"/>
      <c r="DC21" s="417">
        <f t="shared" si="8"/>
        <v>0</v>
      </c>
      <c r="DD21" s="397">
        <f>+$U$21+$AF$21+$AQ$21+$BD$21+$BQ$21+$CD$21+$CQ$21+$CZ$21+$DC$21</f>
        <v>4</v>
      </c>
    </row>
    <row r="22" spans="1:108" ht="17.45" customHeight="1">
      <c r="A22" s="357"/>
      <c r="B22" s="357"/>
      <c r="C22" s="357"/>
      <c r="D22" s="357"/>
      <c r="E22" s="357"/>
      <c r="F22" s="357"/>
      <c r="G22" s="354" t="s">
        <v>1230</v>
      </c>
      <c r="H22" s="354" t="s">
        <v>1791</v>
      </c>
      <c r="I22" s="392" t="s">
        <v>1849</v>
      </c>
      <c r="J22" s="391">
        <v>415</v>
      </c>
      <c r="K22" s="392" t="s">
        <v>1849</v>
      </c>
      <c r="L22" s="391">
        <v>359</v>
      </c>
      <c r="M22" s="392" t="s">
        <v>1849</v>
      </c>
      <c r="N22" s="391">
        <v>417</v>
      </c>
      <c r="O22" s="392" t="s">
        <v>1849</v>
      </c>
      <c r="P22" s="391">
        <v>359</v>
      </c>
      <c r="Q22" s="392" t="s">
        <v>1849</v>
      </c>
      <c r="R22" s="391">
        <v>354</v>
      </c>
      <c r="S22" s="390"/>
      <c r="T22" s="391"/>
      <c r="U22" s="416">
        <f t="shared" si="0"/>
        <v>1904</v>
      </c>
      <c r="V22" s="390"/>
      <c r="W22" s="391"/>
      <c r="X22" s="390"/>
      <c r="Y22" s="391"/>
      <c r="Z22" s="390"/>
      <c r="AA22" s="391"/>
      <c r="AB22" s="390"/>
      <c r="AC22" s="391"/>
      <c r="AD22" s="390"/>
      <c r="AE22" s="391"/>
      <c r="AF22" s="416">
        <f t="shared" si="1"/>
        <v>0</v>
      </c>
      <c r="AG22" s="390"/>
      <c r="AH22" s="391"/>
      <c r="AI22" s="390"/>
      <c r="AJ22" s="391"/>
      <c r="AK22" s="390"/>
      <c r="AL22" s="391"/>
      <c r="AM22" s="390"/>
      <c r="AN22" s="391"/>
      <c r="AO22" s="390"/>
      <c r="AP22" s="391"/>
      <c r="AQ22" s="416">
        <f t="shared" si="2"/>
        <v>0</v>
      </c>
      <c r="AR22" s="390"/>
      <c r="AS22" s="391"/>
      <c r="AT22" s="390"/>
      <c r="AU22" s="391"/>
      <c r="AV22" s="390"/>
      <c r="AW22" s="391"/>
      <c r="AX22" s="390"/>
      <c r="AY22" s="391"/>
      <c r="AZ22" s="390"/>
      <c r="BA22" s="391"/>
      <c r="BB22" s="390"/>
      <c r="BC22" s="391"/>
      <c r="BD22" s="416">
        <f t="shared" si="3"/>
        <v>0</v>
      </c>
      <c r="BE22" s="390"/>
      <c r="BF22" s="391"/>
      <c r="BG22" s="390"/>
      <c r="BH22" s="391"/>
      <c r="BI22" s="390"/>
      <c r="BJ22" s="391"/>
      <c r="BK22" s="390"/>
      <c r="BL22" s="391"/>
      <c r="BM22" s="390"/>
      <c r="BN22" s="391"/>
      <c r="BO22" s="390"/>
      <c r="BP22" s="391"/>
      <c r="BQ22" s="416">
        <f t="shared" si="4"/>
        <v>0</v>
      </c>
      <c r="BR22" s="390"/>
      <c r="BS22" s="391"/>
      <c r="BT22" s="390"/>
      <c r="BU22" s="391"/>
      <c r="BV22" s="390"/>
      <c r="BW22" s="391"/>
      <c r="BX22" s="390"/>
      <c r="BY22" s="391"/>
      <c r="BZ22" s="390"/>
      <c r="CA22" s="391"/>
      <c r="CB22" s="390"/>
      <c r="CC22" s="391"/>
      <c r="CD22" s="416">
        <f t="shared" si="5"/>
        <v>0</v>
      </c>
      <c r="CE22" s="390"/>
      <c r="CF22" s="391"/>
      <c r="CG22" s="390"/>
      <c r="CH22" s="391"/>
      <c r="CI22" s="390"/>
      <c r="CJ22" s="391"/>
      <c r="CK22" s="390"/>
      <c r="CL22" s="391"/>
      <c r="CM22" s="390"/>
      <c r="CN22" s="391"/>
      <c r="CO22" s="390"/>
      <c r="CP22" s="391"/>
      <c r="CQ22" s="416">
        <f t="shared" si="6"/>
        <v>0</v>
      </c>
      <c r="CR22" s="390"/>
      <c r="CS22" s="391"/>
      <c r="CT22" s="390"/>
      <c r="CU22" s="391"/>
      <c r="CV22" s="390"/>
      <c r="CW22" s="391"/>
      <c r="CX22" s="390"/>
      <c r="CY22" s="391"/>
      <c r="CZ22" s="416">
        <f t="shared" si="7"/>
        <v>0</v>
      </c>
      <c r="DA22" s="390"/>
      <c r="DB22" s="391"/>
      <c r="DC22" s="416">
        <f t="shared" si="8"/>
        <v>0</v>
      </c>
      <c r="DD22" s="393">
        <f>+$U$22+$AF$22+$AQ$22+$BD$22+$BQ$22+$CD$22+$CQ$22+$CZ$22+$DC$22</f>
        <v>1904</v>
      </c>
    </row>
    <row r="23" spans="1:108" ht="17.45" customHeight="1">
      <c r="A23" s="357"/>
      <c r="B23" s="339"/>
      <c r="C23" s="385" t="s">
        <v>1828</v>
      </c>
      <c r="D23" s="386"/>
      <c r="E23" s="386"/>
      <c r="F23" s="386"/>
      <c r="G23" s="386"/>
      <c r="H23" s="387"/>
      <c r="I23" s="387"/>
      <c r="J23" s="388">
        <f>+$J$22+$J$21</f>
        <v>419</v>
      </c>
      <c r="K23" s="387"/>
      <c r="L23" s="388">
        <f>+$L$22+$L$21</f>
        <v>359</v>
      </c>
      <c r="M23" s="387"/>
      <c r="N23" s="388">
        <f>+$N$22+$N$21</f>
        <v>417</v>
      </c>
      <c r="O23" s="387"/>
      <c r="P23" s="388">
        <f>+$P$22+$P$21</f>
        <v>359</v>
      </c>
      <c r="Q23" s="387"/>
      <c r="R23" s="388">
        <f>+$R$22+$R$21</f>
        <v>354</v>
      </c>
      <c r="S23" s="387"/>
      <c r="T23" s="388">
        <f>+$T$22+$T$21</f>
        <v>0</v>
      </c>
      <c r="U23" s="414">
        <f t="shared" si="0"/>
        <v>1908</v>
      </c>
      <c r="V23" s="387"/>
      <c r="W23" s="388">
        <f>+$W$22+$W$21</f>
        <v>0</v>
      </c>
      <c r="X23" s="387"/>
      <c r="Y23" s="388">
        <f>+$Y$22+$Y$21</f>
        <v>0</v>
      </c>
      <c r="Z23" s="387"/>
      <c r="AA23" s="388">
        <f>+$AA$22+$AA$21</f>
        <v>0</v>
      </c>
      <c r="AB23" s="387"/>
      <c r="AC23" s="388">
        <f>+$AC$22+$AC$21</f>
        <v>0</v>
      </c>
      <c r="AD23" s="387"/>
      <c r="AE23" s="388">
        <f>+$AE$22+$AE$21</f>
        <v>0</v>
      </c>
      <c r="AF23" s="414">
        <f t="shared" si="1"/>
        <v>0</v>
      </c>
      <c r="AG23" s="387"/>
      <c r="AH23" s="388">
        <f>+$AH$22+$AH$21</f>
        <v>0</v>
      </c>
      <c r="AI23" s="387"/>
      <c r="AJ23" s="388">
        <f>+$AJ$22+$AJ$21</f>
        <v>0</v>
      </c>
      <c r="AK23" s="387"/>
      <c r="AL23" s="388">
        <f>+$AL$22+$AL$21</f>
        <v>0</v>
      </c>
      <c r="AM23" s="387"/>
      <c r="AN23" s="388">
        <f>+$AN$22+$AN$21</f>
        <v>0</v>
      </c>
      <c r="AO23" s="387"/>
      <c r="AP23" s="388">
        <f>+$AP$22+$AP$21</f>
        <v>0</v>
      </c>
      <c r="AQ23" s="414">
        <f t="shared" si="2"/>
        <v>0</v>
      </c>
      <c r="AR23" s="387"/>
      <c r="AS23" s="388">
        <f>+$AS$22+$AS$21</f>
        <v>0</v>
      </c>
      <c r="AT23" s="387"/>
      <c r="AU23" s="388">
        <f>+$AU$22+$AU$21</f>
        <v>0</v>
      </c>
      <c r="AV23" s="387"/>
      <c r="AW23" s="388">
        <f>+$AW$22+$AW$21</f>
        <v>0</v>
      </c>
      <c r="AX23" s="387"/>
      <c r="AY23" s="388">
        <f>+$AY$22+$AY$21</f>
        <v>0</v>
      </c>
      <c r="AZ23" s="387"/>
      <c r="BA23" s="388">
        <f>+$BA$22+$BA$21</f>
        <v>0</v>
      </c>
      <c r="BB23" s="387"/>
      <c r="BC23" s="388">
        <f>+$BC$22+$BC$21</f>
        <v>0</v>
      </c>
      <c r="BD23" s="414">
        <f t="shared" si="3"/>
        <v>0</v>
      </c>
      <c r="BE23" s="387"/>
      <c r="BF23" s="388">
        <f>+$BF$22+$BF$21</f>
        <v>0</v>
      </c>
      <c r="BG23" s="387"/>
      <c r="BH23" s="388">
        <f>+$BH$22+$BH$21</f>
        <v>0</v>
      </c>
      <c r="BI23" s="387"/>
      <c r="BJ23" s="388">
        <f>+$BJ$22+$BJ$21</f>
        <v>0</v>
      </c>
      <c r="BK23" s="387"/>
      <c r="BL23" s="388">
        <f>+$BL$22+$BL$21</f>
        <v>0</v>
      </c>
      <c r="BM23" s="387"/>
      <c r="BN23" s="388">
        <f>+$BN$22+$BN$21</f>
        <v>0</v>
      </c>
      <c r="BO23" s="387"/>
      <c r="BP23" s="388">
        <f>+$BP$22+$BP$21</f>
        <v>0</v>
      </c>
      <c r="BQ23" s="414">
        <f t="shared" si="4"/>
        <v>0</v>
      </c>
      <c r="BR23" s="387"/>
      <c r="BS23" s="388">
        <f>+$BS$22+$BS$21</f>
        <v>0</v>
      </c>
      <c r="BT23" s="387"/>
      <c r="BU23" s="388">
        <f>+$BU$22+$BU$21</f>
        <v>0</v>
      </c>
      <c r="BV23" s="387"/>
      <c r="BW23" s="388">
        <f>+$BW$22+$BW$21</f>
        <v>0</v>
      </c>
      <c r="BX23" s="387"/>
      <c r="BY23" s="388">
        <f>+$BY$22+$BY$21</f>
        <v>0</v>
      </c>
      <c r="BZ23" s="387"/>
      <c r="CA23" s="388">
        <f>+$CA$22+$CA$21</f>
        <v>0</v>
      </c>
      <c r="CB23" s="387"/>
      <c r="CC23" s="388">
        <f>+$CC$22+$CC$21</f>
        <v>0</v>
      </c>
      <c r="CD23" s="414">
        <f t="shared" si="5"/>
        <v>0</v>
      </c>
      <c r="CE23" s="387"/>
      <c r="CF23" s="388">
        <f>+$CF$22+$CF$21</f>
        <v>0</v>
      </c>
      <c r="CG23" s="387"/>
      <c r="CH23" s="388">
        <f>+$CH$22+$CH$21</f>
        <v>0</v>
      </c>
      <c r="CI23" s="387"/>
      <c r="CJ23" s="388">
        <f>+$CJ$22+$CJ$21</f>
        <v>0</v>
      </c>
      <c r="CK23" s="387"/>
      <c r="CL23" s="388">
        <f>+$CL$22+$CL$21</f>
        <v>0</v>
      </c>
      <c r="CM23" s="387"/>
      <c r="CN23" s="388">
        <f>+$CN$22+$CN$21</f>
        <v>0</v>
      </c>
      <c r="CO23" s="387"/>
      <c r="CP23" s="388">
        <f>+$CP$22+$CP$21</f>
        <v>0</v>
      </c>
      <c r="CQ23" s="414">
        <f t="shared" si="6"/>
        <v>0</v>
      </c>
      <c r="CR23" s="387"/>
      <c r="CS23" s="388">
        <f>+$CS$22+$CS$21</f>
        <v>0</v>
      </c>
      <c r="CT23" s="387"/>
      <c r="CU23" s="388">
        <f>+$CU$22+$CU$21</f>
        <v>0</v>
      </c>
      <c r="CV23" s="387"/>
      <c r="CW23" s="388">
        <f>+$CW$22+$CW$21</f>
        <v>0</v>
      </c>
      <c r="CX23" s="387"/>
      <c r="CY23" s="388">
        <f>+$CY$22+$CY$21</f>
        <v>0</v>
      </c>
      <c r="CZ23" s="414">
        <f t="shared" si="7"/>
        <v>0</v>
      </c>
      <c r="DA23" s="387"/>
      <c r="DB23" s="388">
        <f>+$DB$22+$DB$21</f>
        <v>0</v>
      </c>
      <c r="DC23" s="414">
        <f t="shared" si="8"/>
        <v>0</v>
      </c>
      <c r="DD23" s="389">
        <f>+$U$23+$AF$23+$AQ$23+$BD$23+$BQ$23+$CD$23+$CQ$23+$CZ$23+$DC$23</f>
        <v>1908</v>
      </c>
    </row>
    <row r="24" spans="1:108" ht="17.45" customHeight="1">
      <c r="A24" s="357"/>
      <c r="B24" s="354" t="s">
        <v>1792</v>
      </c>
      <c r="C24" s="357" t="s">
        <v>1231</v>
      </c>
      <c r="D24" s="357"/>
      <c r="E24" s="357"/>
      <c r="F24" s="357"/>
      <c r="G24" s="357" t="s">
        <v>1232</v>
      </c>
      <c r="H24" s="357" t="s">
        <v>1793</v>
      </c>
      <c r="I24" s="398" t="s">
        <v>1849</v>
      </c>
      <c r="J24" s="399">
        <v>16</v>
      </c>
      <c r="K24" s="398" t="s">
        <v>1849</v>
      </c>
      <c r="L24" s="399">
        <v>16</v>
      </c>
      <c r="M24" s="398" t="s">
        <v>1849</v>
      </c>
      <c r="N24" s="399">
        <v>16</v>
      </c>
      <c r="O24" s="398" t="s">
        <v>1849</v>
      </c>
      <c r="P24" s="399">
        <v>16</v>
      </c>
      <c r="Q24" s="398" t="s">
        <v>1849</v>
      </c>
      <c r="R24" s="399">
        <v>16</v>
      </c>
      <c r="S24" s="400"/>
      <c r="T24" s="399"/>
      <c r="U24" s="418">
        <f t="shared" si="0"/>
        <v>80</v>
      </c>
      <c r="V24" s="400"/>
      <c r="W24" s="399"/>
      <c r="X24" s="400"/>
      <c r="Y24" s="399"/>
      <c r="Z24" s="400"/>
      <c r="AA24" s="399"/>
      <c r="AB24" s="400"/>
      <c r="AC24" s="399"/>
      <c r="AD24" s="400"/>
      <c r="AE24" s="399"/>
      <c r="AF24" s="418">
        <f t="shared" si="1"/>
        <v>0</v>
      </c>
      <c r="AG24" s="400"/>
      <c r="AH24" s="399"/>
      <c r="AI24" s="400"/>
      <c r="AJ24" s="399"/>
      <c r="AK24" s="400"/>
      <c r="AL24" s="399"/>
      <c r="AM24" s="400"/>
      <c r="AN24" s="399"/>
      <c r="AO24" s="400"/>
      <c r="AP24" s="399"/>
      <c r="AQ24" s="418">
        <f t="shared" si="2"/>
        <v>0</v>
      </c>
      <c r="AR24" s="400"/>
      <c r="AS24" s="399"/>
      <c r="AT24" s="400"/>
      <c r="AU24" s="399"/>
      <c r="AV24" s="400"/>
      <c r="AW24" s="399"/>
      <c r="AX24" s="400"/>
      <c r="AY24" s="399"/>
      <c r="AZ24" s="400"/>
      <c r="BA24" s="399"/>
      <c r="BB24" s="400"/>
      <c r="BC24" s="399"/>
      <c r="BD24" s="418">
        <f t="shared" si="3"/>
        <v>0</v>
      </c>
      <c r="BE24" s="400"/>
      <c r="BF24" s="399"/>
      <c r="BG24" s="400"/>
      <c r="BH24" s="399"/>
      <c r="BI24" s="400"/>
      <c r="BJ24" s="399"/>
      <c r="BK24" s="400"/>
      <c r="BL24" s="399"/>
      <c r="BM24" s="400"/>
      <c r="BN24" s="399"/>
      <c r="BO24" s="400"/>
      <c r="BP24" s="399"/>
      <c r="BQ24" s="418">
        <f t="shared" si="4"/>
        <v>0</v>
      </c>
      <c r="BR24" s="400"/>
      <c r="BS24" s="399"/>
      <c r="BT24" s="400"/>
      <c r="BU24" s="399"/>
      <c r="BV24" s="400"/>
      <c r="BW24" s="399"/>
      <c r="BX24" s="400"/>
      <c r="BY24" s="399"/>
      <c r="BZ24" s="400"/>
      <c r="CA24" s="399"/>
      <c r="CB24" s="400"/>
      <c r="CC24" s="399"/>
      <c r="CD24" s="418">
        <f t="shared" si="5"/>
        <v>0</v>
      </c>
      <c r="CE24" s="400"/>
      <c r="CF24" s="399"/>
      <c r="CG24" s="400"/>
      <c r="CH24" s="399"/>
      <c r="CI24" s="400"/>
      <c r="CJ24" s="399"/>
      <c r="CK24" s="400"/>
      <c r="CL24" s="399"/>
      <c r="CM24" s="400"/>
      <c r="CN24" s="399"/>
      <c r="CO24" s="400"/>
      <c r="CP24" s="399"/>
      <c r="CQ24" s="418">
        <f t="shared" si="6"/>
        <v>0</v>
      </c>
      <c r="CR24" s="400"/>
      <c r="CS24" s="399"/>
      <c r="CT24" s="400"/>
      <c r="CU24" s="399"/>
      <c r="CV24" s="400"/>
      <c r="CW24" s="399"/>
      <c r="CX24" s="400"/>
      <c r="CY24" s="399"/>
      <c r="CZ24" s="418">
        <f t="shared" si="7"/>
        <v>0</v>
      </c>
      <c r="DA24" s="400"/>
      <c r="DB24" s="399"/>
      <c r="DC24" s="418">
        <f t="shared" si="8"/>
        <v>0</v>
      </c>
      <c r="DD24" s="401">
        <f>+$U$24+$AF$24+$AQ$24+$BD$24+$BQ$24+$CD$24+$CQ$24+$CZ$24+$DC$24</f>
        <v>80</v>
      </c>
    </row>
    <row r="25" spans="1:108" ht="17.45" customHeight="1">
      <c r="A25" s="357"/>
      <c r="B25" s="339"/>
      <c r="C25" s="385" t="s">
        <v>1829</v>
      </c>
      <c r="D25" s="386"/>
      <c r="E25" s="386"/>
      <c r="F25" s="386"/>
      <c r="G25" s="386"/>
      <c r="H25" s="387"/>
      <c r="I25" s="387"/>
      <c r="J25" s="388">
        <f>+$J$24</f>
        <v>16</v>
      </c>
      <c r="K25" s="387"/>
      <c r="L25" s="388">
        <f>+$L$24</f>
        <v>16</v>
      </c>
      <c r="M25" s="387"/>
      <c r="N25" s="388">
        <f>+$N$24</f>
        <v>16</v>
      </c>
      <c r="O25" s="387"/>
      <c r="P25" s="388">
        <f>+$P$24</f>
        <v>16</v>
      </c>
      <c r="Q25" s="387"/>
      <c r="R25" s="388">
        <f>+$R$24</f>
        <v>16</v>
      </c>
      <c r="S25" s="387"/>
      <c r="T25" s="388">
        <f>+$T$24</f>
        <v>0</v>
      </c>
      <c r="U25" s="414">
        <f t="shared" si="0"/>
        <v>80</v>
      </c>
      <c r="V25" s="387"/>
      <c r="W25" s="388">
        <f>+$W$24</f>
        <v>0</v>
      </c>
      <c r="X25" s="387"/>
      <c r="Y25" s="388">
        <f>+$Y$24</f>
        <v>0</v>
      </c>
      <c r="Z25" s="387"/>
      <c r="AA25" s="388">
        <f>+$AA$24</f>
        <v>0</v>
      </c>
      <c r="AB25" s="387"/>
      <c r="AC25" s="388">
        <f>+$AC$24</f>
        <v>0</v>
      </c>
      <c r="AD25" s="387"/>
      <c r="AE25" s="388">
        <f>+$AE$24</f>
        <v>0</v>
      </c>
      <c r="AF25" s="414">
        <f t="shared" si="1"/>
        <v>0</v>
      </c>
      <c r="AG25" s="387"/>
      <c r="AH25" s="388">
        <f>+$AH$24</f>
        <v>0</v>
      </c>
      <c r="AI25" s="387"/>
      <c r="AJ25" s="388">
        <f>+$AJ$24</f>
        <v>0</v>
      </c>
      <c r="AK25" s="387"/>
      <c r="AL25" s="388">
        <f>+$AL$24</f>
        <v>0</v>
      </c>
      <c r="AM25" s="387"/>
      <c r="AN25" s="388">
        <f>+$AN$24</f>
        <v>0</v>
      </c>
      <c r="AO25" s="387"/>
      <c r="AP25" s="388">
        <f>+$AP$24</f>
        <v>0</v>
      </c>
      <c r="AQ25" s="414">
        <f t="shared" si="2"/>
        <v>0</v>
      </c>
      <c r="AR25" s="387"/>
      <c r="AS25" s="388">
        <f>+$AS$24</f>
        <v>0</v>
      </c>
      <c r="AT25" s="387"/>
      <c r="AU25" s="388">
        <f>+$AU$24</f>
        <v>0</v>
      </c>
      <c r="AV25" s="387"/>
      <c r="AW25" s="388">
        <f>+$AW$24</f>
        <v>0</v>
      </c>
      <c r="AX25" s="387"/>
      <c r="AY25" s="388">
        <f>+$AY$24</f>
        <v>0</v>
      </c>
      <c r="AZ25" s="387"/>
      <c r="BA25" s="388">
        <f>+$BA$24</f>
        <v>0</v>
      </c>
      <c r="BB25" s="387"/>
      <c r="BC25" s="388">
        <f>+$BC$24</f>
        <v>0</v>
      </c>
      <c r="BD25" s="414">
        <f t="shared" si="3"/>
        <v>0</v>
      </c>
      <c r="BE25" s="387"/>
      <c r="BF25" s="388">
        <f>+$BF$24</f>
        <v>0</v>
      </c>
      <c r="BG25" s="387"/>
      <c r="BH25" s="388">
        <f>+$BH$24</f>
        <v>0</v>
      </c>
      <c r="BI25" s="387"/>
      <c r="BJ25" s="388">
        <f>+$BJ$24</f>
        <v>0</v>
      </c>
      <c r="BK25" s="387"/>
      <c r="BL25" s="388">
        <f>+$BL$24</f>
        <v>0</v>
      </c>
      <c r="BM25" s="387"/>
      <c r="BN25" s="388">
        <f>+$BN$24</f>
        <v>0</v>
      </c>
      <c r="BO25" s="387"/>
      <c r="BP25" s="388">
        <f>+$BP$24</f>
        <v>0</v>
      </c>
      <c r="BQ25" s="414">
        <f t="shared" si="4"/>
        <v>0</v>
      </c>
      <c r="BR25" s="387"/>
      <c r="BS25" s="388">
        <f>+$BS$24</f>
        <v>0</v>
      </c>
      <c r="BT25" s="387"/>
      <c r="BU25" s="388">
        <f>+$BU$24</f>
        <v>0</v>
      </c>
      <c r="BV25" s="387"/>
      <c r="BW25" s="388">
        <f>+$BW$24</f>
        <v>0</v>
      </c>
      <c r="BX25" s="387"/>
      <c r="BY25" s="388">
        <f>+$BY$24</f>
        <v>0</v>
      </c>
      <c r="BZ25" s="387"/>
      <c r="CA25" s="388">
        <f>+$CA$24</f>
        <v>0</v>
      </c>
      <c r="CB25" s="387"/>
      <c r="CC25" s="388">
        <f>+$CC$24</f>
        <v>0</v>
      </c>
      <c r="CD25" s="414">
        <f t="shared" si="5"/>
        <v>0</v>
      </c>
      <c r="CE25" s="387"/>
      <c r="CF25" s="388">
        <f>+$CF$24</f>
        <v>0</v>
      </c>
      <c r="CG25" s="387"/>
      <c r="CH25" s="388">
        <f>+$CH$24</f>
        <v>0</v>
      </c>
      <c r="CI25" s="387"/>
      <c r="CJ25" s="388">
        <f>+$CJ$24</f>
        <v>0</v>
      </c>
      <c r="CK25" s="387"/>
      <c r="CL25" s="388">
        <f>+$CL$24</f>
        <v>0</v>
      </c>
      <c r="CM25" s="387"/>
      <c r="CN25" s="388">
        <f>+$CN$24</f>
        <v>0</v>
      </c>
      <c r="CO25" s="387"/>
      <c r="CP25" s="388">
        <f>+$CP$24</f>
        <v>0</v>
      </c>
      <c r="CQ25" s="414">
        <f t="shared" si="6"/>
        <v>0</v>
      </c>
      <c r="CR25" s="387"/>
      <c r="CS25" s="388">
        <f>+$CS$24</f>
        <v>0</v>
      </c>
      <c r="CT25" s="387"/>
      <c r="CU25" s="388">
        <f>+$CU$24</f>
        <v>0</v>
      </c>
      <c r="CV25" s="387"/>
      <c r="CW25" s="388">
        <f>+$CW$24</f>
        <v>0</v>
      </c>
      <c r="CX25" s="387"/>
      <c r="CY25" s="388">
        <f>+$CY$24</f>
        <v>0</v>
      </c>
      <c r="CZ25" s="414">
        <f t="shared" si="7"/>
        <v>0</v>
      </c>
      <c r="DA25" s="387"/>
      <c r="DB25" s="388">
        <f>+$DB$24</f>
        <v>0</v>
      </c>
      <c r="DC25" s="414">
        <f t="shared" si="8"/>
        <v>0</v>
      </c>
      <c r="DD25" s="389">
        <f>+$U$25+$AF$25+$AQ$25+$BD$25+$BQ$25+$CD$25+$CQ$25+$CZ$25+$DC$25</f>
        <v>80</v>
      </c>
    </row>
    <row r="26" spans="1:108" ht="17.45" customHeight="1">
      <c r="A26" s="357"/>
      <c r="B26" s="354" t="s">
        <v>1794</v>
      </c>
      <c r="C26" s="357" t="s">
        <v>1795</v>
      </c>
      <c r="D26" s="357"/>
      <c r="E26" s="357"/>
      <c r="F26" s="357"/>
      <c r="G26" s="357" t="s">
        <v>1796</v>
      </c>
      <c r="H26" s="357" t="s">
        <v>1797</v>
      </c>
      <c r="I26" s="400"/>
      <c r="J26" s="399"/>
      <c r="K26" s="400"/>
      <c r="L26" s="399"/>
      <c r="M26" s="400"/>
      <c r="N26" s="399"/>
      <c r="O26" s="400"/>
      <c r="P26" s="399"/>
      <c r="Q26" s="400"/>
      <c r="R26" s="399"/>
      <c r="S26" s="400"/>
      <c r="T26" s="399"/>
      <c r="U26" s="418">
        <f t="shared" si="0"/>
        <v>0</v>
      </c>
      <c r="V26" s="400"/>
      <c r="W26" s="399"/>
      <c r="X26" s="400"/>
      <c r="Y26" s="399"/>
      <c r="Z26" s="400"/>
      <c r="AA26" s="399"/>
      <c r="AB26" s="400"/>
      <c r="AC26" s="399"/>
      <c r="AD26" s="400"/>
      <c r="AE26" s="399"/>
      <c r="AF26" s="418">
        <f t="shared" si="1"/>
        <v>0</v>
      </c>
      <c r="AG26" s="400"/>
      <c r="AH26" s="399"/>
      <c r="AI26" s="400"/>
      <c r="AJ26" s="399"/>
      <c r="AK26" s="400"/>
      <c r="AL26" s="399"/>
      <c r="AM26" s="400"/>
      <c r="AN26" s="399"/>
      <c r="AO26" s="400"/>
      <c r="AP26" s="399"/>
      <c r="AQ26" s="418">
        <f t="shared" si="2"/>
        <v>0</v>
      </c>
      <c r="AR26" s="400"/>
      <c r="AS26" s="399"/>
      <c r="AT26" s="400"/>
      <c r="AU26" s="399"/>
      <c r="AV26" s="400"/>
      <c r="AW26" s="399"/>
      <c r="AX26" s="400"/>
      <c r="AY26" s="399"/>
      <c r="AZ26" s="400"/>
      <c r="BA26" s="399"/>
      <c r="BB26" s="400"/>
      <c r="BC26" s="399"/>
      <c r="BD26" s="418">
        <f t="shared" si="3"/>
        <v>0</v>
      </c>
      <c r="BE26" s="400"/>
      <c r="BF26" s="399"/>
      <c r="BG26" s="400"/>
      <c r="BH26" s="399"/>
      <c r="BI26" s="400"/>
      <c r="BJ26" s="399"/>
      <c r="BK26" s="400"/>
      <c r="BL26" s="399"/>
      <c r="BM26" s="400"/>
      <c r="BN26" s="399"/>
      <c r="BO26" s="400"/>
      <c r="BP26" s="399"/>
      <c r="BQ26" s="418">
        <f t="shared" si="4"/>
        <v>0</v>
      </c>
      <c r="BR26" s="400"/>
      <c r="BS26" s="399"/>
      <c r="BT26" s="400"/>
      <c r="BU26" s="399"/>
      <c r="BV26" s="400"/>
      <c r="BW26" s="399"/>
      <c r="BX26" s="400"/>
      <c r="BY26" s="399"/>
      <c r="BZ26" s="400"/>
      <c r="CA26" s="399"/>
      <c r="CB26" s="400"/>
      <c r="CC26" s="399"/>
      <c r="CD26" s="418">
        <f t="shared" si="5"/>
        <v>0</v>
      </c>
      <c r="CE26" s="400"/>
      <c r="CF26" s="399"/>
      <c r="CG26" s="400"/>
      <c r="CH26" s="399"/>
      <c r="CI26" s="400"/>
      <c r="CJ26" s="399"/>
      <c r="CK26" s="400"/>
      <c r="CL26" s="399"/>
      <c r="CM26" s="400"/>
      <c r="CN26" s="399"/>
      <c r="CO26" s="400"/>
      <c r="CP26" s="399"/>
      <c r="CQ26" s="418">
        <f t="shared" si="6"/>
        <v>0</v>
      </c>
      <c r="CR26" s="400"/>
      <c r="CS26" s="399"/>
      <c r="CT26" s="400"/>
      <c r="CU26" s="399"/>
      <c r="CV26" s="400"/>
      <c r="CW26" s="399"/>
      <c r="CX26" s="400"/>
      <c r="CY26" s="399"/>
      <c r="CZ26" s="418">
        <f t="shared" si="7"/>
        <v>0</v>
      </c>
      <c r="DA26" s="400"/>
      <c r="DB26" s="399"/>
      <c r="DC26" s="418">
        <f t="shared" si="8"/>
        <v>0</v>
      </c>
      <c r="DD26" s="401">
        <f>+$U$26+$AF$26+$AQ$26+$BD$26+$BQ$26+$CD$26+$CQ$26+$CZ$26+$DC$26</f>
        <v>0</v>
      </c>
    </row>
    <row r="27" spans="1:108" ht="17.45" customHeight="1">
      <c r="A27" s="357"/>
      <c r="B27" s="339"/>
      <c r="C27" s="385" t="s">
        <v>1830</v>
      </c>
      <c r="D27" s="386"/>
      <c r="E27" s="386"/>
      <c r="F27" s="386"/>
      <c r="G27" s="386"/>
      <c r="H27" s="387"/>
      <c r="I27" s="387"/>
      <c r="J27" s="388">
        <f>+$J$26</f>
        <v>0</v>
      </c>
      <c r="K27" s="387"/>
      <c r="L27" s="388">
        <f>+$L$26</f>
        <v>0</v>
      </c>
      <c r="M27" s="387"/>
      <c r="N27" s="388">
        <f>+$N$26</f>
        <v>0</v>
      </c>
      <c r="O27" s="387"/>
      <c r="P27" s="388">
        <f>+$P$26</f>
        <v>0</v>
      </c>
      <c r="Q27" s="387"/>
      <c r="R27" s="388">
        <f>+$R$26</f>
        <v>0</v>
      </c>
      <c r="S27" s="387"/>
      <c r="T27" s="388">
        <f>+$T$26</f>
        <v>0</v>
      </c>
      <c r="U27" s="414">
        <f t="shared" si="0"/>
        <v>0</v>
      </c>
      <c r="V27" s="387"/>
      <c r="W27" s="388">
        <f>+$W$26</f>
        <v>0</v>
      </c>
      <c r="X27" s="387"/>
      <c r="Y27" s="388">
        <f>+$Y$26</f>
        <v>0</v>
      </c>
      <c r="Z27" s="387"/>
      <c r="AA27" s="388">
        <f>+$AA$26</f>
        <v>0</v>
      </c>
      <c r="AB27" s="387"/>
      <c r="AC27" s="388">
        <f>+$AC$26</f>
        <v>0</v>
      </c>
      <c r="AD27" s="387"/>
      <c r="AE27" s="388">
        <f>+$AE$26</f>
        <v>0</v>
      </c>
      <c r="AF27" s="414">
        <f t="shared" si="1"/>
        <v>0</v>
      </c>
      <c r="AG27" s="387"/>
      <c r="AH27" s="388">
        <f>+$AH$26</f>
        <v>0</v>
      </c>
      <c r="AI27" s="387"/>
      <c r="AJ27" s="388">
        <f>+$AJ$26</f>
        <v>0</v>
      </c>
      <c r="AK27" s="387"/>
      <c r="AL27" s="388">
        <f>+$AL$26</f>
        <v>0</v>
      </c>
      <c r="AM27" s="387"/>
      <c r="AN27" s="388">
        <f>+$AN$26</f>
        <v>0</v>
      </c>
      <c r="AO27" s="387"/>
      <c r="AP27" s="388">
        <f>+$AP$26</f>
        <v>0</v>
      </c>
      <c r="AQ27" s="414">
        <f t="shared" si="2"/>
        <v>0</v>
      </c>
      <c r="AR27" s="387"/>
      <c r="AS27" s="388">
        <f>+$AS$26</f>
        <v>0</v>
      </c>
      <c r="AT27" s="387"/>
      <c r="AU27" s="388">
        <f>+$AU$26</f>
        <v>0</v>
      </c>
      <c r="AV27" s="387"/>
      <c r="AW27" s="388">
        <f>+$AW$26</f>
        <v>0</v>
      </c>
      <c r="AX27" s="387"/>
      <c r="AY27" s="388">
        <f>+$AY$26</f>
        <v>0</v>
      </c>
      <c r="AZ27" s="387"/>
      <c r="BA27" s="388">
        <f>+$BA$26</f>
        <v>0</v>
      </c>
      <c r="BB27" s="387"/>
      <c r="BC27" s="388">
        <f>+$BC$26</f>
        <v>0</v>
      </c>
      <c r="BD27" s="414">
        <f t="shared" si="3"/>
        <v>0</v>
      </c>
      <c r="BE27" s="387"/>
      <c r="BF27" s="388">
        <f>+$BF$26</f>
        <v>0</v>
      </c>
      <c r="BG27" s="387"/>
      <c r="BH27" s="388">
        <f>+$BH$26</f>
        <v>0</v>
      </c>
      <c r="BI27" s="387"/>
      <c r="BJ27" s="388">
        <f>+$BJ$26</f>
        <v>0</v>
      </c>
      <c r="BK27" s="387"/>
      <c r="BL27" s="388">
        <f>+$BL$26</f>
        <v>0</v>
      </c>
      <c r="BM27" s="387"/>
      <c r="BN27" s="388">
        <f>+$BN$26</f>
        <v>0</v>
      </c>
      <c r="BO27" s="387"/>
      <c r="BP27" s="388">
        <f>+$BP$26</f>
        <v>0</v>
      </c>
      <c r="BQ27" s="414">
        <f t="shared" si="4"/>
        <v>0</v>
      </c>
      <c r="BR27" s="387"/>
      <c r="BS27" s="388">
        <f>+$BS$26</f>
        <v>0</v>
      </c>
      <c r="BT27" s="387"/>
      <c r="BU27" s="388">
        <f>+$BU$26</f>
        <v>0</v>
      </c>
      <c r="BV27" s="387"/>
      <c r="BW27" s="388">
        <f>+$BW$26</f>
        <v>0</v>
      </c>
      <c r="BX27" s="387"/>
      <c r="BY27" s="388">
        <f>+$BY$26</f>
        <v>0</v>
      </c>
      <c r="BZ27" s="387"/>
      <c r="CA27" s="388">
        <f>+$CA$26</f>
        <v>0</v>
      </c>
      <c r="CB27" s="387"/>
      <c r="CC27" s="388">
        <f>+$CC$26</f>
        <v>0</v>
      </c>
      <c r="CD27" s="414">
        <f t="shared" si="5"/>
        <v>0</v>
      </c>
      <c r="CE27" s="387"/>
      <c r="CF27" s="388">
        <f>+$CF$26</f>
        <v>0</v>
      </c>
      <c r="CG27" s="387"/>
      <c r="CH27" s="388">
        <f>+$CH$26</f>
        <v>0</v>
      </c>
      <c r="CI27" s="387"/>
      <c r="CJ27" s="388">
        <f>+$CJ$26</f>
        <v>0</v>
      </c>
      <c r="CK27" s="387"/>
      <c r="CL27" s="388">
        <f>+$CL$26</f>
        <v>0</v>
      </c>
      <c r="CM27" s="387"/>
      <c r="CN27" s="388">
        <f>+$CN$26</f>
        <v>0</v>
      </c>
      <c r="CO27" s="387"/>
      <c r="CP27" s="388">
        <f>+$CP$26</f>
        <v>0</v>
      </c>
      <c r="CQ27" s="414">
        <f t="shared" si="6"/>
        <v>0</v>
      </c>
      <c r="CR27" s="387"/>
      <c r="CS27" s="388">
        <f>+$CS$26</f>
        <v>0</v>
      </c>
      <c r="CT27" s="387"/>
      <c r="CU27" s="388">
        <f>+$CU$26</f>
        <v>0</v>
      </c>
      <c r="CV27" s="387"/>
      <c r="CW27" s="388">
        <f>+$CW$26</f>
        <v>0</v>
      </c>
      <c r="CX27" s="387"/>
      <c r="CY27" s="388">
        <f>+$CY$26</f>
        <v>0</v>
      </c>
      <c r="CZ27" s="414">
        <f t="shared" si="7"/>
        <v>0</v>
      </c>
      <c r="DA27" s="387"/>
      <c r="DB27" s="388">
        <f>+$DB$26</f>
        <v>0</v>
      </c>
      <c r="DC27" s="414">
        <f t="shared" si="8"/>
        <v>0</v>
      </c>
      <c r="DD27" s="389">
        <f>+$U$27+$AF$27+$AQ$27+$BD$27+$BQ$27+$CD$27+$CQ$27+$CZ$27+$DC$27</f>
        <v>0</v>
      </c>
    </row>
    <row r="28" spans="1:108" ht="17.45" customHeight="1">
      <c r="A28" s="357"/>
      <c r="B28" s="354" t="s">
        <v>1798</v>
      </c>
      <c r="C28" s="357" t="s">
        <v>1233</v>
      </c>
      <c r="D28" s="357"/>
      <c r="E28" s="357" t="s">
        <v>36</v>
      </c>
      <c r="F28" s="357"/>
      <c r="G28" s="402" t="s">
        <v>1155</v>
      </c>
      <c r="H28" s="358" t="s">
        <v>1156</v>
      </c>
      <c r="I28" s="394" t="s">
        <v>1851</v>
      </c>
      <c r="J28" s="395">
        <v>53</v>
      </c>
      <c r="K28" s="394" t="s">
        <v>1849</v>
      </c>
      <c r="L28" s="395">
        <v>12</v>
      </c>
      <c r="M28" s="394" t="s">
        <v>1849</v>
      </c>
      <c r="N28" s="395">
        <v>10</v>
      </c>
      <c r="O28" s="396"/>
      <c r="P28" s="395"/>
      <c r="Q28" s="396"/>
      <c r="R28" s="395"/>
      <c r="S28" s="396"/>
      <c r="T28" s="395"/>
      <c r="U28" s="417">
        <f t="shared" ref="U28" si="9">SUM(J28:T28)</f>
        <v>75</v>
      </c>
      <c r="V28" s="396"/>
      <c r="W28" s="395"/>
      <c r="X28" s="396"/>
      <c r="Y28" s="395"/>
      <c r="Z28" s="396"/>
      <c r="AA28" s="395"/>
      <c r="AB28" s="396"/>
      <c r="AC28" s="395"/>
      <c r="AD28" s="396"/>
      <c r="AE28" s="395"/>
      <c r="AF28" s="417">
        <f t="shared" ref="AF28" si="10">SUM(W28:AE28)</f>
        <v>0</v>
      </c>
      <c r="AG28" s="396"/>
      <c r="AH28" s="395"/>
      <c r="AI28" s="396"/>
      <c r="AJ28" s="395"/>
      <c r="AK28" s="396"/>
      <c r="AL28" s="395"/>
      <c r="AM28" s="396"/>
      <c r="AN28" s="395"/>
      <c r="AO28" s="396"/>
      <c r="AP28" s="395"/>
      <c r="AQ28" s="417">
        <f t="shared" ref="AQ28" si="11">SUM(AH28:AP28)</f>
        <v>0</v>
      </c>
      <c r="AR28" s="396"/>
      <c r="AS28" s="395"/>
      <c r="AT28" s="396"/>
      <c r="AU28" s="395"/>
      <c r="AV28" s="396"/>
      <c r="AW28" s="395"/>
      <c r="AX28" s="396"/>
      <c r="AY28" s="395"/>
      <c r="AZ28" s="396"/>
      <c r="BA28" s="395"/>
      <c r="BB28" s="396"/>
      <c r="BC28" s="395"/>
      <c r="BD28" s="417">
        <f t="shared" ref="BD28" si="12">SUM(AS28:BC28)</f>
        <v>0</v>
      </c>
      <c r="BE28" s="396"/>
      <c r="BF28" s="395"/>
      <c r="BG28" s="396"/>
      <c r="BH28" s="395"/>
      <c r="BI28" s="396"/>
      <c r="BJ28" s="395"/>
      <c r="BK28" s="396"/>
      <c r="BL28" s="395"/>
      <c r="BM28" s="396"/>
      <c r="BN28" s="395"/>
      <c r="BO28" s="396"/>
      <c r="BP28" s="395"/>
      <c r="BQ28" s="417">
        <f t="shared" ref="BQ28" si="13">SUM(BF28:BP28)</f>
        <v>0</v>
      </c>
      <c r="BR28" s="396"/>
      <c r="BS28" s="395"/>
      <c r="BT28" s="396"/>
      <c r="BU28" s="395"/>
      <c r="BV28" s="396"/>
      <c r="BW28" s="395"/>
      <c r="BX28" s="396"/>
      <c r="BY28" s="395"/>
      <c r="BZ28" s="396"/>
      <c r="CA28" s="395"/>
      <c r="CB28" s="396"/>
      <c r="CC28" s="395"/>
      <c r="CD28" s="417">
        <f t="shared" ref="CD28" si="14">SUM(BS28:CC28)</f>
        <v>0</v>
      </c>
      <c r="CE28" s="396"/>
      <c r="CF28" s="395"/>
      <c r="CG28" s="396"/>
      <c r="CH28" s="395"/>
      <c r="CI28" s="396"/>
      <c r="CJ28" s="395"/>
      <c r="CK28" s="396"/>
      <c r="CL28" s="395"/>
      <c r="CM28" s="396"/>
      <c r="CN28" s="395"/>
      <c r="CO28" s="396"/>
      <c r="CP28" s="395"/>
      <c r="CQ28" s="417">
        <f t="shared" ref="CQ28" si="15">SUM(CF28:CP28)</f>
        <v>0</v>
      </c>
      <c r="CR28" s="396"/>
      <c r="CS28" s="395"/>
      <c r="CT28" s="396"/>
      <c r="CU28" s="395"/>
      <c r="CV28" s="396"/>
      <c r="CW28" s="395"/>
      <c r="CX28" s="396"/>
      <c r="CY28" s="395"/>
      <c r="CZ28" s="417">
        <f t="shared" ref="CZ28" si="16">SUM(CS28:CY28)</f>
        <v>0</v>
      </c>
      <c r="DA28" s="396"/>
      <c r="DB28" s="395"/>
      <c r="DC28" s="417">
        <f t="shared" si="8"/>
        <v>0</v>
      </c>
      <c r="DD28" s="397">
        <f>+$U$28+$AF$28+$AQ$28+$BD$28+$BQ$28+$CD$28+$CQ$28+$CZ$28+$DC$28</f>
        <v>75</v>
      </c>
    </row>
    <row r="29" spans="1:108" ht="17.45" customHeight="1">
      <c r="A29" s="357"/>
      <c r="B29" s="354"/>
      <c r="C29" s="354"/>
      <c r="D29" s="354"/>
      <c r="E29" s="354" t="s">
        <v>36</v>
      </c>
      <c r="F29" s="354"/>
      <c r="G29" s="379" t="s">
        <v>1155</v>
      </c>
      <c r="H29" s="347" t="s">
        <v>1156</v>
      </c>
      <c r="I29" s="380"/>
      <c r="J29" s="355"/>
      <c r="K29" s="381" t="s">
        <v>1854</v>
      </c>
      <c r="L29" s="355">
        <v>53</v>
      </c>
      <c r="M29" s="380"/>
      <c r="N29" s="355"/>
      <c r="O29" s="380"/>
      <c r="P29" s="355"/>
      <c r="Q29" s="380"/>
      <c r="R29" s="355"/>
      <c r="S29" s="380"/>
      <c r="T29" s="355"/>
      <c r="U29" s="414">
        <f t="shared" si="0"/>
        <v>53</v>
      </c>
      <c r="V29" s="380"/>
      <c r="W29" s="355"/>
      <c r="X29" s="380"/>
      <c r="Y29" s="355"/>
      <c r="Z29" s="380"/>
      <c r="AA29" s="355"/>
      <c r="AB29" s="380"/>
      <c r="AC29" s="355"/>
      <c r="AD29" s="380"/>
      <c r="AE29" s="355"/>
      <c r="AF29" s="414">
        <f t="shared" si="1"/>
        <v>0</v>
      </c>
      <c r="AG29" s="380"/>
      <c r="AH29" s="355"/>
      <c r="AI29" s="380"/>
      <c r="AJ29" s="355"/>
      <c r="AK29" s="380"/>
      <c r="AL29" s="355"/>
      <c r="AM29" s="380"/>
      <c r="AN29" s="355"/>
      <c r="AO29" s="380"/>
      <c r="AP29" s="355"/>
      <c r="AQ29" s="414">
        <f t="shared" si="2"/>
        <v>0</v>
      </c>
      <c r="AR29" s="380"/>
      <c r="AS29" s="355"/>
      <c r="AT29" s="380"/>
      <c r="AU29" s="355"/>
      <c r="AV29" s="380"/>
      <c r="AW29" s="355"/>
      <c r="AX29" s="380"/>
      <c r="AY29" s="355"/>
      <c r="AZ29" s="380"/>
      <c r="BA29" s="355"/>
      <c r="BB29" s="380"/>
      <c r="BC29" s="355"/>
      <c r="BD29" s="414">
        <f t="shared" si="3"/>
        <v>0</v>
      </c>
      <c r="BE29" s="380"/>
      <c r="BF29" s="355"/>
      <c r="BG29" s="380"/>
      <c r="BH29" s="355"/>
      <c r="BI29" s="380"/>
      <c r="BJ29" s="355"/>
      <c r="BK29" s="380"/>
      <c r="BL29" s="355"/>
      <c r="BM29" s="380"/>
      <c r="BN29" s="355"/>
      <c r="BO29" s="380"/>
      <c r="BP29" s="355"/>
      <c r="BQ29" s="414">
        <f t="shared" si="4"/>
        <v>0</v>
      </c>
      <c r="BR29" s="380"/>
      <c r="BS29" s="355"/>
      <c r="BT29" s="380"/>
      <c r="BU29" s="355"/>
      <c r="BV29" s="380"/>
      <c r="BW29" s="355"/>
      <c r="BX29" s="380"/>
      <c r="BY29" s="355"/>
      <c r="BZ29" s="380"/>
      <c r="CA29" s="355"/>
      <c r="CB29" s="380"/>
      <c r="CC29" s="355"/>
      <c r="CD29" s="414">
        <f t="shared" si="5"/>
        <v>0</v>
      </c>
      <c r="CE29" s="380"/>
      <c r="CF29" s="355"/>
      <c r="CG29" s="380"/>
      <c r="CH29" s="355"/>
      <c r="CI29" s="380"/>
      <c r="CJ29" s="355"/>
      <c r="CK29" s="380"/>
      <c r="CL29" s="355"/>
      <c r="CM29" s="380"/>
      <c r="CN29" s="355"/>
      <c r="CO29" s="380"/>
      <c r="CP29" s="355"/>
      <c r="CQ29" s="414">
        <f t="shared" si="6"/>
        <v>0</v>
      </c>
      <c r="CR29" s="380"/>
      <c r="CS29" s="355"/>
      <c r="CT29" s="380"/>
      <c r="CU29" s="355"/>
      <c r="CV29" s="380"/>
      <c r="CW29" s="355"/>
      <c r="CX29" s="380"/>
      <c r="CY29" s="355"/>
      <c r="CZ29" s="414">
        <f t="shared" si="7"/>
        <v>0</v>
      </c>
      <c r="DA29" s="380"/>
      <c r="DB29" s="355"/>
      <c r="DC29" s="414">
        <f t="shared" si="8"/>
        <v>0</v>
      </c>
      <c r="DD29" s="356">
        <f>+$U$29+$AF$29+$AQ$29+$BD$29+$BQ$29+$CD$29+$CQ$29+$CZ$29+$DC$29</f>
        <v>53</v>
      </c>
    </row>
    <row r="30" spans="1:108" ht="17.45" customHeight="1">
      <c r="A30" s="357"/>
      <c r="B30" s="357"/>
      <c r="C30" s="357"/>
      <c r="D30" s="357"/>
      <c r="E30" s="357"/>
      <c r="F30" s="357"/>
      <c r="G30" s="379" t="s">
        <v>1119</v>
      </c>
      <c r="H30" s="347" t="s">
        <v>1120</v>
      </c>
      <c r="I30" s="381" t="s">
        <v>1852</v>
      </c>
      <c r="J30" s="355">
        <v>55</v>
      </c>
      <c r="K30" s="381" t="s">
        <v>1851</v>
      </c>
      <c r="L30" s="355">
        <v>135</v>
      </c>
      <c r="M30" s="381" t="s">
        <v>1851</v>
      </c>
      <c r="N30" s="355">
        <v>134</v>
      </c>
      <c r="O30" s="381" t="s">
        <v>1850</v>
      </c>
      <c r="P30" s="355">
        <v>149</v>
      </c>
      <c r="Q30" s="380"/>
      <c r="R30" s="355"/>
      <c r="S30" s="380"/>
      <c r="T30" s="355"/>
      <c r="U30" s="414">
        <f t="shared" ref="U30" si="17">SUM(J30:T30)</f>
        <v>473</v>
      </c>
      <c r="V30" s="380"/>
      <c r="W30" s="355"/>
      <c r="X30" s="380"/>
      <c r="Y30" s="355"/>
      <c r="Z30" s="380"/>
      <c r="AA30" s="355"/>
      <c r="AB30" s="380"/>
      <c r="AC30" s="355"/>
      <c r="AD30" s="380"/>
      <c r="AE30" s="355"/>
      <c r="AF30" s="414">
        <f t="shared" ref="AF30" si="18">SUM(W30:AE30)</f>
        <v>0</v>
      </c>
      <c r="AG30" s="380"/>
      <c r="AH30" s="355"/>
      <c r="AI30" s="380"/>
      <c r="AJ30" s="355"/>
      <c r="AK30" s="380"/>
      <c r="AL30" s="355"/>
      <c r="AM30" s="380"/>
      <c r="AN30" s="355"/>
      <c r="AO30" s="380"/>
      <c r="AP30" s="355"/>
      <c r="AQ30" s="414">
        <f t="shared" ref="AQ30" si="19">SUM(AH30:AP30)</f>
        <v>0</v>
      </c>
      <c r="AR30" s="380"/>
      <c r="AS30" s="355"/>
      <c r="AT30" s="380"/>
      <c r="AU30" s="355"/>
      <c r="AV30" s="380"/>
      <c r="AW30" s="355"/>
      <c r="AX30" s="380"/>
      <c r="AY30" s="355"/>
      <c r="AZ30" s="380"/>
      <c r="BA30" s="355"/>
      <c r="BB30" s="380"/>
      <c r="BC30" s="355"/>
      <c r="BD30" s="414">
        <f t="shared" ref="BD30" si="20">SUM(AS30:BC30)</f>
        <v>0</v>
      </c>
      <c r="BE30" s="380"/>
      <c r="BF30" s="355"/>
      <c r="BG30" s="380"/>
      <c r="BH30" s="355"/>
      <c r="BI30" s="380"/>
      <c r="BJ30" s="355"/>
      <c r="BK30" s="380"/>
      <c r="BL30" s="355"/>
      <c r="BM30" s="380"/>
      <c r="BN30" s="355"/>
      <c r="BO30" s="380"/>
      <c r="BP30" s="355"/>
      <c r="BQ30" s="414">
        <f t="shared" ref="BQ30" si="21">SUM(BF30:BP30)</f>
        <v>0</v>
      </c>
      <c r="BR30" s="380"/>
      <c r="BS30" s="355"/>
      <c r="BT30" s="380"/>
      <c r="BU30" s="355"/>
      <c r="BV30" s="380"/>
      <c r="BW30" s="355"/>
      <c r="BX30" s="380"/>
      <c r="BY30" s="355"/>
      <c r="BZ30" s="380"/>
      <c r="CA30" s="355"/>
      <c r="CB30" s="380"/>
      <c r="CC30" s="355"/>
      <c r="CD30" s="414">
        <f t="shared" ref="CD30" si="22">SUM(BS30:CC30)</f>
        <v>0</v>
      </c>
      <c r="CE30" s="380"/>
      <c r="CF30" s="355"/>
      <c r="CG30" s="380"/>
      <c r="CH30" s="355"/>
      <c r="CI30" s="380"/>
      <c r="CJ30" s="355"/>
      <c r="CK30" s="380"/>
      <c r="CL30" s="355"/>
      <c r="CM30" s="380"/>
      <c r="CN30" s="355"/>
      <c r="CO30" s="380"/>
      <c r="CP30" s="355"/>
      <c r="CQ30" s="414">
        <f t="shared" ref="CQ30" si="23">SUM(CF30:CP30)</f>
        <v>0</v>
      </c>
      <c r="CR30" s="380"/>
      <c r="CS30" s="355"/>
      <c r="CT30" s="380"/>
      <c r="CU30" s="355"/>
      <c r="CV30" s="380"/>
      <c r="CW30" s="355"/>
      <c r="CX30" s="380"/>
      <c r="CY30" s="355"/>
      <c r="CZ30" s="414">
        <f t="shared" ref="CZ30" si="24">SUM(CS30:CY30)</f>
        <v>0</v>
      </c>
      <c r="DA30" s="380"/>
      <c r="DB30" s="355"/>
      <c r="DC30" s="414">
        <f t="shared" si="8"/>
        <v>0</v>
      </c>
      <c r="DD30" s="356">
        <f>+$U$30+$AF$30+$AQ$30+$BD$30+$BQ$30+$CD$30+$CQ$30+$CZ$30+$DC$30</f>
        <v>473</v>
      </c>
    </row>
    <row r="31" spans="1:108" ht="17.45" customHeight="1">
      <c r="A31" s="357"/>
      <c r="B31" s="357"/>
      <c r="C31" s="357"/>
      <c r="D31" s="357"/>
      <c r="E31" s="357"/>
      <c r="F31" s="357"/>
      <c r="G31" s="379" t="s">
        <v>1119</v>
      </c>
      <c r="H31" s="347" t="s">
        <v>1120</v>
      </c>
      <c r="I31" s="380"/>
      <c r="J31" s="355"/>
      <c r="K31" s="380"/>
      <c r="L31" s="355"/>
      <c r="M31" s="380"/>
      <c r="N31" s="355"/>
      <c r="O31" s="380"/>
      <c r="P31" s="355"/>
      <c r="Q31" s="380"/>
      <c r="R31" s="355"/>
      <c r="S31" s="380"/>
      <c r="T31" s="355"/>
      <c r="U31" s="414">
        <f t="shared" si="0"/>
        <v>0</v>
      </c>
      <c r="V31" s="380"/>
      <c r="W31" s="355"/>
      <c r="X31" s="380"/>
      <c r="Y31" s="355"/>
      <c r="Z31" s="380"/>
      <c r="AA31" s="355"/>
      <c r="AB31" s="380"/>
      <c r="AC31" s="355"/>
      <c r="AD31" s="380"/>
      <c r="AE31" s="355"/>
      <c r="AF31" s="414">
        <f t="shared" si="1"/>
        <v>0</v>
      </c>
      <c r="AG31" s="380"/>
      <c r="AH31" s="355"/>
      <c r="AI31" s="380"/>
      <c r="AJ31" s="355"/>
      <c r="AK31" s="380"/>
      <c r="AL31" s="355"/>
      <c r="AM31" s="380"/>
      <c r="AN31" s="355"/>
      <c r="AO31" s="380"/>
      <c r="AP31" s="355"/>
      <c r="AQ31" s="414">
        <f t="shared" si="2"/>
        <v>0</v>
      </c>
      <c r="AR31" s="380"/>
      <c r="AS31" s="355"/>
      <c r="AT31" s="380"/>
      <c r="AU31" s="355"/>
      <c r="AV31" s="380"/>
      <c r="AW31" s="355"/>
      <c r="AX31" s="380"/>
      <c r="AY31" s="355"/>
      <c r="AZ31" s="380"/>
      <c r="BA31" s="355"/>
      <c r="BB31" s="380"/>
      <c r="BC31" s="355"/>
      <c r="BD31" s="414">
        <f t="shared" si="3"/>
        <v>0</v>
      </c>
      <c r="BE31" s="380"/>
      <c r="BF31" s="355"/>
      <c r="BG31" s="380"/>
      <c r="BH31" s="355"/>
      <c r="BI31" s="380"/>
      <c r="BJ31" s="355"/>
      <c r="BK31" s="380"/>
      <c r="BL31" s="355"/>
      <c r="BM31" s="380"/>
      <c r="BN31" s="355"/>
      <c r="BO31" s="380"/>
      <c r="BP31" s="355"/>
      <c r="BQ31" s="414">
        <f t="shared" si="4"/>
        <v>0</v>
      </c>
      <c r="BR31" s="380"/>
      <c r="BS31" s="355"/>
      <c r="BT31" s="380"/>
      <c r="BU31" s="355"/>
      <c r="BV31" s="380"/>
      <c r="BW31" s="355"/>
      <c r="BX31" s="380"/>
      <c r="BY31" s="355"/>
      <c r="BZ31" s="380"/>
      <c r="CA31" s="355"/>
      <c r="CB31" s="380"/>
      <c r="CC31" s="355"/>
      <c r="CD31" s="414">
        <f t="shared" si="5"/>
        <v>0</v>
      </c>
      <c r="CE31" s="380"/>
      <c r="CF31" s="355"/>
      <c r="CG31" s="380"/>
      <c r="CH31" s="355"/>
      <c r="CI31" s="380"/>
      <c r="CJ31" s="355"/>
      <c r="CK31" s="380"/>
      <c r="CL31" s="355"/>
      <c r="CM31" s="380"/>
      <c r="CN31" s="355"/>
      <c r="CO31" s="380"/>
      <c r="CP31" s="355"/>
      <c r="CQ31" s="414">
        <f t="shared" si="6"/>
        <v>0</v>
      </c>
      <c r="CR31" s="380"/>
      <c r="CS31" s="355"/>
      <c r="CT31" s="380"/>
      <c r="CU31" s="355"/>
      <c r="CV31" s="380"/>
      <c r="CW31" s="355"/>
      <c r="CX31" s="380"/>
      <c r="CY31" s="355"/>
      <c r="CZ31" s="414">
        <f t="shared" si="7"/>
        <v>0</v>
      </c>
      <c r="DA31" s="380"/>
      <c r="DB31" s="355"/>
      <c r="DC31" s="414">
        <f t="shared" si="8"/>
        <v>0</v>
      </c>
      <c r="DD31" s="356">
        <f>+$U$31+$AF$31+$AQ$31+$BD$31+$BQ$31+$CD$31+$CQ$31+$CZ$31+$DC$31</f>
        <v>0</v>
      </c>
    </row>
    <row r="32" spans="1:108" ht="17.45" customHeight="1">
      <c r="A32" s="357"/>
      <c r="B32" s="357"/>
      <c r="C32" s="357"/>
      <c r="D32" s="357"/>
      <c r="E32" s="357"/>
      <c r="F32" s="357"/>
      <c r="G32" s="347" t="s">
        <v>1121</v>
      </c>
      <c r="H32" s="347" t="s">
        <v>1122</v>
      </c>
      <c r="I32" s="380"/>
      <c r="J32" s="355"/>
      <c r="K32" s="380"/>
      <c r="L32" s="355"/>
      <c r="M32" s="380"/>
      <c r="N32" s="355"/>
      <c r="O32" s="380"/>
      <c r="P32" s="355"/>
      <c r="Q32" s="380"/>
      <c r="R32" s="355"/>
      <c r="S32" s="380"/>
      <c r="T32" s="355"/>
      <c r="U32" s="414">
        <f t="shared" si="0"/>
        <v>0</v>
      </c>
      <c r="V32" s="380"/>
      <c r="W32" s="355"/>
      <c r="X32" s="380"/>
      <c r="Y32" s="355"/>
      <c r="Z32" s="380"/>
      <c r="AA32" s="355"/>
      <c r="AB32" s="380"/>
      <c r="AC32" s="355"/>
      <c r="AD32" s="380"/>
      <c r="AE32" s="355"/>
      <c r="AF32" s="414">
        <f t="shared" si="1"/>
        <v>0</v>
      </c>
      <c r="AG32" s="380"/>
      <c r="AH32" s="355"/>
      <c r="AI32" s="380"/>
      <c r="AJ32" s="355"/>
      <c r="AK32" s="380"/>
      <c r="AL32" s="355"/>
      <c r="AM32" s="380"/>
      <c r="AN32" s="355"/>
      <c r="AO32" s="380"/>
      <c r="AP32" s="355"/>
      <c r="AQ32" s="414">
        <f t="shared" si="2"/>
        <v>0</v>
      </c>
      <c r="AR32" s="380"/>
      <c r="AS32" s="355"/>
      <c r="AT32" s="380"/>
      <c r="AU32" s="355"/>
      <c r="AV32" s="380"/>
      <c r="AW32" s="355"/>
      <c r="AX32" s="380"/>
      <c r="AY32" s="355"/>
      <c r="AZ32" s="380"/>
      <c r="BA32" s="355"/>
      <c r="BB32" s="380"/>
      <c r="BC32" s="355"/>
      <c r="BD32" s="414">
        <f t="shared" si="3"/>
        <v>0</v>
      </c>
      <c r="BE32" s="380"/>
      <c r="BF32" s="355"/>
      <c r="BG32" s="380"/>
      <c r="BH32" s="355"/>
      <c r="BI32" s="380"/>
      <c r="BJ32" s="355"/>
      <c r="BK32" s="380"/>
      <c r="BL32" s="355"/>
      <c r="BM32" s="380"/>
      <c r="BN32" s="355"/>
      <c r="BO32" s="380"/>
      <c r="BP32" s="355"/>
      <c r="BQ32" s="414">
        <f t="shared" si="4"/>
        <v>0</v>
      </c>
      <c r="BR32" s="380"/>
      <c r="BS32" s="355"/>
      <c r="BT32" s="380"/>
      <c r="BU32" s="355"/>
      <c r="BV32" s="380"/>
      <c r="BW32" s="355"/>
      <c r="BX32" s="380"/>
      <c r="BY32" s="355"/>
      <c r="BZ32" s="380"/>
      <c r="CA32" s="355"/>
      <c r="CB32" s="380"/>
      <c r="CC32" s="355"/>
      <c r="CD32" s="414">
        <f t="shared" si="5"/>
        <v>0</v>
      </c>
      <c r="CE32" s="380"/>
      <c r="CF32" s="355"/>
      <c r="CG32" s="380"/>
      <c r="CH32" s="355"/>
      <c r="CI32" s="380"/>
      <c r="CJ32" s="355"/>
      <c r="CK32" s="380"/>
      <c r="CL32" s="355"/>
      <c r="CM32" s="380"/>
      <c r="CN32" s="355"/>
      <c r="CO32" s="380"/>
      <c r="CP32" s="355"/>
      <c r="CQ32" s="414">
        <f t="shared" si="6"/>
        <v>0</v>
      </c>
      <c r="CR32" s="380"/>
      <c r="CS32" s="355"/>
      <c r="CT32" s="380"/>
      <c r="CU32" s="355"/>
      <c r="CV32" s="380"/>
      <c r="CW32" s="355"/>
      <c r="CX32" s="380"/>
      <c r="CY32" s="355"/>
      <c r="CZ32" s="414">
        <f t="shared" si="7"/>
        <v>0</v>
      </c>
      <c r="DA32" s="380"/>
      <c r="DB32" s="355"/>
      <c r="DC32" s="414">
        <f t="shared" si="8"/>
        <v>0</v>
      </c>
      <c r="DD32" s="356">
        <f>+$U$32+$AF$32+$AQ$32+$BD$32+$BQ$32+$CD$32+$CQ$32+$CZ$32+$DC$32</f>
        <v>0</v>
      </c>
    </row>
    <row r="33" spans="1:108" ht="17.45" customHeight="1">
      <c r="A33" s="357"/>
      <c r="B33" s="357"/>
      <c r="C33" s="357"/>
      <c r="D33" s="357"/>
      <c r="E33" s="357" t="s">
        <v>36</v>
      </c>
      <c r="F33" s="357"/>
      <c r="G33" s="379" t="s">
        <v>1123</v>
      </c>
      <c r="H33" s="347" t="s">
        <v>1124</v>
      </c>
      <c r="I33" s="381" t="s">
        <v>1849</v>
      </c>
      <c r="J33" s="355">
        <v>61</v>
      </c>
      <c r="K33" s="381" t="s">
        <v>1850</v>
      </c>
      <c r="L33" s="355">
        <v>19</v>
      </c>
      <c r="M33" s="380"/>
      <c r="N33" s="355"/>
      <c r="O33" s="380"/>
      <c r="P33" s="355"/>
      <c r="Q33" s="380"/>
      <c r="R33" s="355"/>
      <c r="S33" s="380"/>
      <c r="T33" s="355"/>
      <c r="U33" s="414">
        <f t="shared" ref="U33" si="25">SUM(J33:T33)</f>
        <v>80</v>
      </c>
      <c r="V33" s="380"/>
      <c r="W33" s="355"/>
      <c r="X33" s="380"/>
      <c r="Y33" s="355"/>
      <c r="Z33" s="380"/>
      <c r="AA33" s="355"/>
      <c r="AB33" s="380"/>
      <c r="AC33" s="355"/>
      <c r="AD33" s="380"/>
      <c r="AE33" s="355"/>
      <c r="AF33" s="414">
        <f t="shared" ref="AF33" si="26">SUM(W33:AE33)</f>
        <v>0</v>
      </c>
      <c r="AG33" s="380"/>
      <c r="AH33" s="355"/>
      <c r="AI33" s="380"/>
      <c r="AJ33" s="355"/>
      <c r="AK33" s="380"/>
      <c r="AL33" s="355"/>
      <c r="AM33" s="380"/>
      <c r="AN33" s="355"/>
      <c r="AO33" s="380"/>
      <c r="AP33" s="355"/>
      <c r="AQ33" s="414">
        <f t="shared" ref="AQ33" si="27">SUM(AH33:AP33)</f>
        <v>0</v>
      </c>
      <c r="AR33" s="380"/>
      <c r="AS33" s="355"/>
      <c r="AT33" s="380"/>
      <c r="AU33" s="355"/>
      <c r="AV33" s="380"/>
      <c r="AW33" s="355"/>
      <c r="AX33" s="380"/>
      <c r="AY33" s="355"/>
      <c r="AZ33" s="380"/>
      <c r="BA33" s="355"/>
      <c r="BB33" s="380"/>
      <c r="BC33" s="355"/>
      <c r="BD33" s="414">
        <f t="shared" ref="BD33" si="28">SUM(AS33:BC33)</f>
        <v>0</v>
      </c>
      <c r="BE33" s="380"/>
      <c r="BF33" s="355"/>
      <c r="BG33" s="380"/>
      <c r="BH33" s="355"/>
      <c r="BI33" s="380"/>
      <c r="BJ33" s="355"/>
      <c r="BK33" s="380"/>
      <c r="BL33" s="355"/>
      <c r="BM33" s="380"/>
      <c r="BN33" s="355"/>
      <c r="BO33" s="380"/>
      <c r="BP33" s="355"/>
      <c r="BQ33" s="414">
        <f t="shared" ref="BQ33" si="29">SUM(BF33:BP33)</f>
        <v>0</v>
      </c>
      <c r="BR33" s="380"/>
      <c r="BS33" s="355"/>
      <c r="BT33" s="380"/>
      <c r="BU33" s="355"/>
      <c r="BV33" s="380"/>
      <c r="BW33" s="355"/>
      <c r="BX33" s="380"/>
      <c r="BY33" s="355"/>
      <c r="BZ33" s="380"/>
      <c r="CA33" s="355"/>
      <c r="CB33" s="380"/>
      <c r="CC33" s="355"/>
      <c r="CD33" s="414">
        <f t="shared" ref="CD33" si="30">SUM(BS33:CC33)</f>
        <v>0</v>
      </c>
      <c r="CE33" s="380"/>
      <c r="CF33" s="355"/>
      <c r="CG33" s="380"/>
      <c r="CH33" s="355"/>
      <c r="CI33" s="380"/>
      <c r="CJ33" s="355"/>
      <c r="CK33" s="380"/>
      <c r="CL33" s="355"/>
      <c r="CM33" s="380"/>
      <c r="CN33" s="355"/>
      <c r="CO33" s="380"/>
      <c r="CP33" s="355"/>
      <c r="CQ33" s="414">
        <f t="shared" ref="CQ33" si="31">SUM(CF33:CP33)</f>
        <v>0</v>
      </c>
      <c r="CR33" s="380"/>
      <c r="CS33" s="355"/>
      <c r="CT33" s="380"/>
      <c r="CU33" s="355"/>
      <c r="CV33" s="380"/>
      <c r="CW33" s="355"/>
      <c r="CX33" s="380"/>
      <c r="CY33" s="355"/>
      <c r="CZ33" s="414">
        <f t="shared" ref="CZ33" si="32">SUM(CS33:CY33)</f>
        <v>0</v>
      </c>
      <c r="DA33" s="380"/>
      <c r="DB33" s="355"/>
      <c r="DC33" s="414">
        <f t="shared" si="8"/>
        <v>0</v>
      </c>
      <c r="DD33" s="356">
        <f>+$U$33+$AF$33+$AQ$33+$BD$33+$BQ$33+$CD$33+$CQ$33+$CZ$33+$DC$33</f>
        <v>80</v>
      </c>
    </row>
    <row r="34" spans="1:108" ht="17.45" customHeight="1">
      <c r="A34" s="357"/>
      <c r="B34" s="357"/>
      <c r="C34" s="357"/>
      <c r="D34" s="357"/>
      <c r="E34" s="357" t="s">
        <v>36</v>
      </c>
      <c r="F34" s="357"/>
      <c r="G34" s="379" t="s">
        <v>1123</v>
      </c>
      <c r="H34" s="347" t="s">
        <v>1124</v>
      </c>
      <c r="I34" s="380"/>
      <c r="J34" s="355"/>
      <c r="K34" s="380"/>
      <c r="L34" s="355"/>
      <c r="M34" s="380"/>
      <c r="N34" s="355"/>
      <c r="O34" s="380"/>
      <c r="P34" s="355"/>
      <c r="Q34" s="380"/>
      <c r="R34" s="355"/>
      <c r="S34" s="380"/>
      <c r="T34" s="355"/>
      <c r="U34" s="414">
        <f t="shared" si="0"/>
        <v>0</v>
      </c>
      <c r="V34" s="380"/>
      <c r="W34" s="355"/>
      <c r="X34" s="380"/>
      <c r="Y34" s="355"/>
      <c r="Z34" s="380"/>
      <c r="AA34" s="355"/>
      <c r="AB34" s="380"/>
      <c r="AC34" s="355"/>
      <c r="AD34" s="380"/>
      <c r="AE34" s="355"/>
      <c r="AF34" s="414">
        <f t="shared" si="1"/>
        <v>0</v>
      </c>
      <c r="AG34" s="380"/>
      <c r="AH34" s="355"/>
      <c r="AI34" s="380"/>
      <c r="AJ34" s="355"/>
      <c r="AK34" s="380"/>
      <c r="AL34" s="355"/>
      <c r="AM34" s="380"/>
      <c r="AN34" s="355"/>
      <c r="AO34" s="380"/>
      <c r="AP34" s="355"/>
      <c r="AQ34" s="414">
        <f t="shared" si="2"/>
        <v>0</v>
      </c>
      <c r="AR34" s="380"/>
      <c r="AS34" s="355"/>
      <c r="AT34" s="380"/>
      <c r="AU34" s="355"/>
      <c r="AV34" s="380"/>
      <c r="AW34" s="355"/>
      <c r="AX34" s="380"/>
      <c r="AY34" s="355"/>
      <c r="AZ34" s="380"/>
      <c r="BA34" s="355"/>
      <c r="BB34" s="380"/>
      <c r="BC34" s="355"/>
      <c r="BD34" s="414">
        <f t="shared" si="3"/>
        <v>0</v>
      </c>
      <c r="BE34" s="380"/>
      <c r="BF34" s="355"/>
      <c r="BG34" s="380"/>
      <c r="BH34" s="355"/>
      <c r="BI34" s="380"/>
      <c r="BJ34" s="355"/>
      <c r="BK34" s="380"/>
      <c r="BL34" s="355"/>
      <c r="BM34" s="380"/>
      <c r="BN34" s="355"/>
      <c r="BO34" s="380"/>
      <c r="BP34" s="355"/>
      <c r="BQ34" s="414">
        <f t="shared" si="4"/>
        <v>0</v>
      </c>
      <c r="BR34" s="380"/>
      <c r="BS34" s="355"/>
      <c r="BT34" s="380"/>
      <c r="BU34" s="355"/>
      <c r="BV34" s="380"/>
      <c r="BW34" s="355"/>
      <c r="BX34" s="380"/>
      <c r="BY34" s="355"/>
      <c r="BZ34" s="380"/>
      <c r="CA34" s="355"/>
      <c r="CB34" s="380"/>
      <c r="CC34" s="355"/>
      <c r="CD34" s="414">
        <f t="shared" si="5"/>
        <v>0</v>
      </c>
      <c r="CE34" s="380"/>
      <c r="CF34" s="355"/>
      <c r="CG34" s="380"/>
      <c r="CH34" s="355"/>
      <c r="CI34" s="380"/>
      <c r="CJ34" s="355"/>
      <c r="CK34" s="380"/>
      <c r="CL34" s="355"/>
      <c r="CM34" s="380"/>
      <c r="CN34" s="355"/>
      <c r="CO34" s="380"/>
      <c r="CP34" s="355"/>
      <c r="CQ34" s="414">
        <f t="shared" si="6"/>
        <v>0</v>
      </c>
      <c r="CR34" s="380"/>
      <c r="CS34" s="355"/>
      <c r="CT34" s="380"/>
      <c r="CU34" s="355"/>
      <c r="CV34" s="380"/>
      <c r="CW34" s="355"/>
      <c r="CX34" s="380"/>
      <c r="CY34" s="355"/>
      <c r="CZ34" s="414">
        <f t="shared" si="7"/>
        <v>0</v>
      </c>
      <c r="DA34" s="380"/>
      <c r="DB34" s="355"/>
      <c r="DC34" s="414">
        <f t="shared" si="8"/>
        <v>0</v>
      </c>
      <c r="DD34" s="356">
        <f>+$U$34+$AF$34+$AQ$34+$BD$34+$BQ$34+$CD$34+$CQ$34+$CZ$34+$DC$34</f>
        <v>0</v>
      </c>
    </row>
    <row r="35" spans="1:108" ht="17.45" customHeight="1">
      <c r="A35" s="357"/>
      <c r="B35" s="357"/>
      <c r="C35" s="357"/>
      <c r="D35" s="357"/>
      <c r="E35" s="357" t="s">
        <v>36</v>
      </c>
      <c r="F35" s="357"/>
      <c r="G35" s="379" t="s">
        <v>1217</v>
      </c>
      <c r="H35" s="347" t="s">
        <v>1111</v>
      </c>
      <c r="I35" s="380"/>
      <c r="J35" s="355"/>
      <c r="K35" s="380"/>
      <c r="L35" s="355"/>
      <c r="M35" s="381" t="s">
        <v>1850</v>
      </c>
      <c r="N35" s="355">
        <v>60</v>
      </c>
      <c r="O35" s="381" t="s">
        <v>1853</v>
      </c>
      <c r="P35" s="355">
        <v>53</v>
      </c>
      <c r="Q35" s="381" t="s">
        <v>1849</v>
      </c>
      <c r="R35" s="355">
        <v>74</v>
      </c>
      <c r="S35" s="381" t="s">
        <v>1849</v>
      </c>
      <c r="T35" s="355">
        <v>117</v>
      </c>
      <c r="U35" s="414">
        <f t="shared" ref="U35" si="33">SUM(J35:T35)</f>
        <v>304</v>
      </c>
      <c r="V35" s="380"/>
      <c r="W35" s="355"/>
      <c r="X35" s="380"/>
      <c r="Y35" s="355"/>
      <c r="Z35" s="380"/>
      <c r="AA35" s="355"/>
      <c r="AB35" s="380"/>
      <c r="AC35" s="355"/>
      <c r="AD35" s="380"/>
      <c r="AE35" s="355"/>
      <c r="AF35" s="414">
        <f t="shared" ref="AF35" si="34">SUM(W35:AE35)</f>
        <v>0</v>
      </c>
      <c r="AG35" s="380"/>
      <c r="AH35" s="355"/>
      <c r="AI35" s="380"/>
      <c r="AJ35" s="355"/>
      <c r="AK35" s="380"/>
      <c r="AL35" s="355"/>
      <c r="AM35" s="380"/>
      <c r="AN35" s="355"/>
      <c r="AO35" s="380"/>
      <c r="AP35" s="355"/>
      <c r="AQ35" s="414">
        <f t="shared" ref="AQ35" si="35">SUM(AH35:AP35)</f>
        <v>0</v>
      </c>
      <c r="AR35" s="380"/>
      <c r="AS35" s="355"/>
      <c r="AT35" s="380"/>
      <c r="AU35" s="355"/>
      <c r="AV35" s="380"/>
      <c r="AW35" s="355"/>
      <c r="AX35" s="380"/>
      <c r="AY35" s="355"/>
      <c r="AZ35" s="380"/>
      <c r="BA35" s="355"/>
      <c r="BB35" s="380"/>
      <c r="BC35" s="355"/>
      <c r="BD35" s="414">
        <f t="shared" ref="BD35" si="36">SUM(AS35:BC35)</f>
        <v>0</v>
      </c>
      <c r="BE35" s="380"/>
      <c r="BF35" s="355"/>
      <c r="BG35" s="380"/>
      <c r="BH35" s="355"/>
      <c r="BI35" s="380"/>
      <c r="BJ35" s="355"/>
      <c r="BK35" s="380"/>
      <c r="BL35" s="355"/>
      <c r="BM35" s="380"/>
      <c r="BN35" s="355"/>
      <c r="BO35" s="380"/>
      <c r="BP35" s="355"/>
      <c r="BQ35" s="414">
        <f t="shared" ref="BQ35" si="37">SUM(BF35:BP35)</f>
        <v>0</v>
      </c>
      <c r="BR35" s="380"/>
      <c r="BS35" s="355"/>
      <c r="BT35" s="380"/>
      <c r="BU35" s="355"/>
      <c r="BV35" s="380"/>
      <c r="BW35" s="355"/>
      <c r="BX35" s="380"/>
      <c r="BY35" s="355"/>
      <c r="BZ35" s="380"/>
      <c r="CA35" s="355"/>
      <c r="CB35" s="380"/>
      <c r="CC35" s="355"/>
      <c r="CD35" s="414">
        <f t="shared" ref="CD35" si="38">SUM(BS35:CC35)</f>
        <v>0</v>
      </c>
      <c r="CE35" s="380"/>
      <c r="CF35" s="355"/>
      <c r="CG35" s="380"/>
      <c r="CH35" s="355"/>
      <c r="CI35" s="380"/>
      <c r="CJ35" s="355"/>
      <c r="CK35" s="380"/>
      <c r="CL35" s="355"/>
      <c r="CM35" s="380"/>
      <c r="CN35" s="355"/>
      <c r="CO35" s="380"/>
      <c r="CP35" s="355"/>
      <c r="CQ35" s="414">
        <f t="shared" ref="CQ35" si="39">SUM(CF35:CP35)</f>
        <v>0</v>
      </c>
      <c r="CR35" s="380"/>
      <c r="CS35" s="355"/>
      <c r="CT35" s="380"/>
      <c r="CU35" s="355"/>
      <c r="CV35" s="380"/>
      <c r="CW35" s="355"/>
      <c r="CX35" s="380"/>
      <c r="CY35" s="355"/>
      <c r="CZ35" s="414">
        <f t="shared" ref="CZ35" si="40">SUM(CS35:CY35)</f>
        <v>0</v>
      </c>
      <c r="DA35" s="380"/>
      <c r="DB35" s="355"/>
      <c r="DC35" s="414">
        <f t="shared" si="8"/>
        <v>0</v>
      </c>
      <c r="DD35" s="356">
        <f>+$U$35+$AF$35+$AQ$35+$BD$35+$BQ$35+$CD$35+$CQ$35+$CZ$35+$DC$35</f>
        <v>304</v>
      </c>
    </row>
    <row r="36" spans="1:108" ht="17.45" customHeight="1">
      <c r="A36" s="357"/>
      <c r="B36" s="357"/>
      <c r="C36" s="357"/>
      <c r="D36" s="357"/>
      <c r="E36" s="357" t="s">
        <v>36</v>
      </c>
      <c r="F36" s="357"/>
      <c r="G36" s="379" t="s">
        <v>1217</v>
      </c>
      <c r="H36" s="347" t="s">
        <v>1111</v>
      </c>
      <c r="I36" s="380"/>
      <c r="J36" s="355"/>
      <c r="K36" s="380"/>
      <c r="L36" s="355"/>
      <c r="M36" s="380"/>
      <c r="N36" s="355"/>
      <c r="O36" s="380"/>
      <c r="P36" s="355"/>
      <c r="Q36" s="381" t="s">
        <v>1852</v>
      </c>
      <c r="R36" s="355">
        <v>53</v>
      </c>
      <c r="S36" s="380"/>
      <c r="T36" s="355"/>
      <c r="U36" s="414">
        <f t="shared" si="0"/>
        <v>53</v>
      </c>
      <c r="V36" s="380"/>
      <c r="W36" s="355"/>
      <c r="X36" s="380"/>
      <c r="Y36" s="355"/>
      <c r="Z36" s="380"/>
      <c r="AA36" s="355"/>
      <c r="AB36" s="380"/>
      <c r="AC36" s="355"/>
      <c r="AD36" s="380"/>
      <c r="AE36" s="355"/>
      <c r="AF36" s="414">
        <f t="shared" si="1"/>
        <v>0</v>
      </c>
      <c r="AG36" s="380"/>
      <c r="AH36" s="355"/>
      <c r="AI36" s="380"/>
      <c r="AJ36" s="355"/>
      <c r="AK36" s="380"/>
      <c r="AL36" s="355"/>
      <c r="AM36" s="380"/>
      <c r="AN36" s="355"/>
      <c r="AO36" s="380"/>
      <c r="AP36" s="355"/>
      <c r="AQ36" s="414">
        <f t="shared" si="2"/>
        <v>0</v>
      </c>
      <c r="AR36" s="380"/>
      <c r="AS36" s="355"/>
      <c r="AT36" s="380"/>
      <c r="AU36" s="355"/>
      <c r="AV36" s="380"/>
      <c r="AW36" s="355"/>
      <c r="AX36" s="380"/>
      <c r="AY36" s="355"/>
      <c r="AZ36" s="380"/>
      <c r="BA36" s="355"/>
      <c r="BB36" s="380"/>
      <c r="BC36" s="355"/>
      <c r="BD36" s="414">
        <f t="shared" si="3"/>
        <v>0</v>
      </c>
      <c r="BE36" s="380"/>
      <c r="BF36" s="355"/>
      <c r="BG36" s="380"/>
      <c r="BH36" s="355"/>
      <c r="BI36" s="380"/>
      <c r="BJ36" s="355"/>
      <c r="BK36" s="380"/>
      <c r="BL36" s="355"/>
      <c r="BM36" s="380"/>
      <c r="BN36" s="355"/>
      <c r="BO36" s="380"/>
      <c r="BP36" s="355"/>
      <c r="BQ36" s="414">
        <f t="shared" si="4"/>
        <v>0</v>
      </c>
      <c r="BR36" s="380"/>
      <c r="BS36" s="355"/>
      <c r="BT36" s="380"/>
      <c r="BU36" s="355"/>
      <c r="BV36" s="380"/>
      <c r="BW36" s="355"/>
      <c r="BX36" s="380"/>
      <c r="BY36" s="355"/>
      <c r="BZ36" s="380"/>
      <c r="CA36" s="355"/>
      <c r="CB36" s="380"/>
      <c r="CC36" s="355"/>
      <c r="CD36" s="414">
        <f t="shared" si="5"/>
        <v>0</v>
      </c>
      <c r="CE36" s="380"/>
      <c r="CF36" s="355"/>
      <c r="CG36" s="380"/>
      <c r="CH36" s="355"/>
      <c r="CI36" s="380"/>
      <c r="CJ36" s="355"/>
      <c r="CK36" s="380"/>
      <c r="CL36" s="355"/>
      <c r="CM36" s="380"/>
      <c r="CN36" s="355"/>
      <c r="CO36" s="380"/>
      <c r="CP36" s="355"/>
      <c r="CQ36" s="414">
        <f t="shared" si="6"/>
        <v>0</v>
      </c>
      <c r="CR36" s="380"/>
      <c r="CS36" s="355"/>
      <c r="CT36" s="380"/>
      <c r="CU36" s="355"/>
      <c r="CV36" s="380"/>
      <c r="CW36" s="355"/>
      <c r="CX36" s="380"/>
      <c r="CY36" s="355"/>
      <c r="CZ36" s="414">
        <f t="shared" si="7"/>
        <v>0</v>
      </c>
      <c r="DA36" s="380"/>
      <c r="DB36" s="355"/>
      <c r="DC36" s="414">
        <f t="shared" si="8"/>
        <v>0</v>
      </c>
      <c r="DD36" s="356">
        <f>+$U$36+$AF$36+$AQ$36+$BD$36+$BQ$36+$CD$36+$CQ$36+$CZ$36+$DC$36</f>
        <v>53</v>
      </c>
    </row>
    <row r="37" spans="1:108" ht="17.45" customHeight="1">
      <c r="A37" s="357"/>
      <c r="B37" s="357"/>
      <c r="C37" s="357"/>
      <c r="D37" s="357"/>
      <c r="E37" s="357" t="s">
        <v>36</v>
      </c>
      <c r="F37" s="357"/>
      <c r="G37" s="379" t="s">
        <v>1157</v>
      </c>
      <c r="H37" s="347" t="s">
        <v>1158</v>
      </c>
      <c r="I37" s="380"/>
      <c r="J37" s="355"/>
      <c r="K37" s="380"/>
      <c r="L37" s="355"/>
      <c r="M37" s="381" t="s">
        <v>1853</v>
      </c>
      <c r="N37" s="355">
        <v>48</v>
      </c>
      <c r="O37" s="381" t="s">
        <v>1849</v>
      </c>
      <c r="P37" s="355">
        <v>118</v>
      </c>
      <c r="Q37" s="381" t="s">
        <v>1850</v>
      </c>
      <c r="R37" s="355">
        <v>44</v>
      </c>
      <c r="S37" s="380"/>
      <c r="T37" s="355"/>
      <c r="U37" s="414">
        <f t="shared" ref="U37" si="41">SUM(J37:T37)</f>
        <v>210</v>
      </c>
      <c r="V37" s="380"/>
      <c r="W37" s="355"/>
      <c r="X37" s="380"/>
      <c r="Y37" s="355"/>
      <c r="Z37" s="380"/>
      <c r="AA37" s="355"/>
      <c r="AB37" s="380"/>
      <c r="AC37" s="355"/>
      <c r="AD37" s="380"/>
      <c r="AE37" s="355"/>
      <c r="AF37" s="414">
        <f t="shared" ref="AF37" si="42">SUM(W37:AE37)</f>
        <v>0</v>
      </c>
      <c r="AG37" s="380"/>
      <c r="AH37" s="355"/>
      <c r="AI37" s="380"/>
      <c r="AJ37" s="355"/>
      <c r="AK37" s="380"/>
      <c r="AL37" s="355"/>
      <c r="AM37" s="380"/>
      <c r="AN37" s="355"/>
      <c r="AO37" s="380"/>
      <c r="AP37" s="355"/>
      <c r="AQ37" s="414">
        <f t="shared" ref="AQ37" si="43">SUM(AH37:AP37)</f>
        <v>0</v>
      </c>
      <c r="AR37" s="380"/>
      <c r="AS37" s="355"/>
      <c r="AT37" s="380"/>
      <c r="AU37" s="355"/>
      <c r="AV37" s="380"/>
      <c r="AW37" s="355"/>
      <c r="AX37" s="380"/>
      <c r="AY37" s="355"/>
      <c r="AZ37" s="380"/>
      <c r="BA37" s="355"/>
      <c r="BB37" s="380"/>
      <c r="BC37" s="355"/>
      <c r="BD37" s="414">
        <f t="shared" ref="BD37" si="44">SUM(AS37:BC37)</f>
        <v>0</v>
      </c>
      <c r="BE37" s="380"/>
      <c r="BF37" s="355"/>
      <c r="BG37" s="380"/>
      <c r="BH37" s="355"/>
      <c r="BI37" s="380"/>
      <c r="BJ37" s="355"/>
      <c r="BK37" s="380"/>
      <c r="BL37" s="355"/>
      <c r="BM37" s="380"/>
      <c r="BN37" s="355"/>
      <c r="BO37" s="380"/>
      <c r="BP37" s="355"/>
      <c r="BQ37" s="414">
        <f t="shared" ref="BQ37" si="45">SUM(BF37:BP37)</f>
        <v>0</v>
      </c>
      <c r="BR37" s="380"/>
      <c r="BS37" s="355"/>
      <c r="BT37" s="380"/>
      <c r="BU37" s="355"/>
      <c r="BV37" s="380"/>
      <c r="BW37" s="355"/>
      <c r="BX37" s="380"/>
      <c r="BY37" s="355"/>
      <c r="BZ37" s="380"/>
      <c r="CA37" s="355"/>
      <c r="CB37" s="380"/>
      <c r="CC37" s="355"/>
      <c r="CD37" s="414">
        <f t="shared" ref="CD37" si="46">SUM(BS37:CC37)</f>
        <v>0</v>
      </c>
      <c r="CE37" s="380"/>
      <c r="CF37" s="355"/>
      <c r="CG37" s="380"/>
      <c r="CH37" s="355"/>
      <c r="CI37" s="380"/>
      <c r="CJ37" s="355"/>
      <c r="CK37" s="380"/>
      <c r="CL37" s="355"/>
      <c r="CM37" s="380"/>
      <c r="CN37" s="355"/>
      <c r="CO37" s="380"/>
      <c r="CP37" s="355"/>
      <c r="CQ37" s="414">
        <f t="shared" ref="CQ37" si="47">SUM(CF37:CP37)</f>
        <v>0</v>
      </c>
      <c r="CR37" s="380"/>
      <c r="CS37" s="355"/>
      <c r="CT37" s="380"/>
      <c r="CU37" s="355"/>
      <c r="CV37" s="380"/>
      <c r="CW37" s="355"/>
      <c r="CX37" s="380"/>
      <c r="CY37" s="355"/>
      <c r="CZ37" s="414">
        <f t="shared" ref="CZ37" si="48">SUM(CS37:CY37)</f>
        <v>0</v>
      </c>
      <c r="DA37" s="380"/>
      <c r="DB37" s="355"/>
      <c r="DC37" s="414">
        <f t="shared" si="8"/>
        <v>0</v>
      </c>
      <c r="DD37" s="356">
        <f>+$U$37+$AF$37+$AQ$37+$BD$37+$BQ$37+$CD$37+$CQ$37+$CZ$37+$DC$37</f>
        <v>210</v>
      </c>
    </row>
    <row r="38" spans="1:108" ht="17.45" customHeight="1">
      <c r="A38" s="357"/>
      <c r="B38" s="357"/>
      <c r="C38" s="357"/>
      <c r="D38" s="357"/>
      <c r="E38" s="357" t="s">
        <v>36</v>
      </c>
      <c r="F38" s="357"/>
      <c r="G38" s="379" t="s">
        <v>1157</v>
      </c>
      <c r="H38" s="347" t="s">
        <v>1158</v>
      </c>
      <c r="I38" s="380"/>
      <c r="J38" s="355"/>
      <c r="K38" s="380"/>
      <c r="L38" s="355"/>
      <c r="M38" s="381" t="s">
        <v>1855</v>
      </c>
      <c r="N38" s="355">
        <v>53</v>
      </c>
      <c r="O38" s="380"/>
      <c r="P38" s="355"/>
      <c r="Q38" s="380"/>
      <c r="R38" s="355"/>
      <c r="S38" s="380"/>
      <c r="T38" s="355"/>
      <c r="U38" s="414">
        <f t="shared" si="0"/>
        <v>53</v>
      </c>
      <c r="V38" s="380"/>
      <c r="W38" s="355"/>
      <c r="X38" s="380"/>
      <c r="Y38" s="355"/>
      <c r="Z38" s="380"/>
      <c r="AA38" s="355"/>
      <c r="AB38" s="380"/>
      <c r="AC38" s="355"/>
      <c r="AD38" s="380"/>
      <c r="AE38" s="355"/>
      <c r="AF38" s="414">
        <f t="shared" si="1"/>
        <v>0</v>
      </c>
      <c r="AG38" s="380"/>
      <c r="AH38" s="355"/>
      <c r="AI38" s="380"/>
      <c r="AJ38" s="355"/>
      <c r="AK38" s="380"/>
      <c r="AL38" s="355"/>
      <c r="AM38" s="380"/>
      <c r="AN38" s="355"/>
      <c r="AO38" s="380"/>
      <c r="AP38" s="355"/>
      <c r="AQ38" s="414">
        <f t="shared" si="2"/>
        <v>0</v>
      </c>
      <c r="AR38" s="380"/>
      <c r="AS38" s="355"/>
      <c r="AT38" s="380"/>
      <c r="AU38" s="355"/>
      <c r="AV38" s="380"/>
      <c r="AW38" s="355"/>
      <c r="AX38" s="380"/>
      <c r="AY38" s="355"/>
      <c r="AZ38" s="380"/>
      <c r="BA38" s="355"/>
      <c r="BB38" s="380"/>
      <c r="BC38" s="355"/>
      <c r="BD38" s="414">
        <f t="shared" si="3"/>
        <v>0</v>
      </c>
      <c r="BE38" s="380"/>
      <c r="BF38" s="355"/>
      <c r="BG38" s="380"/>
      <c r="BH38" s="355"/>
      <c r="BI38" s="380"/>
      <c r="BJ38" s="355"/>
      <c r="BK38" s="380"/>
      <c r="BL38" s="355"/>
      <c r="BM38" s="380"/>
      <c r="BN38" s="355"/>
      <c r="BO38" s="380"/>
      <c r="BP38" s="355"/>
      <c r="BQ38" s="414">
        <f t="shared" si="4"/>
        <v>0</v>
      </c>
      <c r="BR38" s="380"/>
      <c r="BS38" s="355"/>
      <c r="BT38" s="380"/>
      <c r="BU38" s="355"/>
      <c r="BV38" s="380"/>
      <c r="BW38" s="355"/>
      <c r="BX38" s="380"/>
      <c r="BY38" s="355"/>
      <c r="BZ38" s="380"/>
      <c r="CA38" s="355"/>
      <c r="CB38" s="380"/>
      <c r="CC38" s="355"/>
      <c r="CD38" s="414">
        <f t="shared" si="5"/>
        <v>0</v>
      </c>
      <c r="CE38" s="380"/>
      <c r="CF38" s="355"/>
      <c r="CG38" s="380"/>
      <c r="CH38" s="355"/>
      <c r="CI38" s="380"/>
      <c r="CJ38" s="355"/>
      <c r="CK38" s="380"/>
      <c r="CL38" s="355"/>
      <c r="CM38" s="380"/>
      <c r="CN38" s="355"/>
      <c r="CO38" s="380"/>
      <c r="CP38" s="355"/>
      <c r="CQ38" s="414">
        <f t="shared" si="6"/>
        <v>0</v>
      </c>
      <c r="CR38" s="380"/>
      <c r="CS38" s="355"/>
      <c r="CT38" s="380"/>
      <c r="CU38" s="355"/>
      <c r="CV38" s="380"/>
      <c r="CW38" s="355"/>
      <c r="CX38" s="380"/>
      <c r="CY38" s="355"/>
      <c r="CZ38" s="414">
        <f t="shared" si="7"/>
        <v>0</v>
      </c>
      <c r="DA38" s="380"/>
      <c r="DB38" s="355"/>
      <c r="DC38" s="414">
        <f t="shared" si="8"/>
        <v>0</v>
      </c>
      <c r="DD38" s="356">
        <f>+$U$38+$AF$38+$AQ$38+$BD$38+$BQ$38+$CD$38+$CQ$38+$CZ$38+$DC$38</f>
        <v>53</v>
      </c>
    </row>
    <row r="39" spans="1:108" ht="17.45" customHeight="1">
      <c r="A39" s="357"/>
      <c r="B39" s="357"/>
      <c r="C39" s="357"/>
      <c r="D39" s="357"/>
      <c r="E39" s="357"/>
      <c r="F39" s="357"/>
      <c r="G39" s="379" t="s">
        <v>1127</v>
      </c>
      <c r="H39" s="347" t="s">
        <v>1128</v>
      </c>
      <c r="I39" s="380"/>
      <c r="J39" s="355"/>
      <c r="K39" s="380"/>
      <c r="L39" s="355"/>
      <c r="M39" s="380"/>
      <c r="N39" s="355"/>
      <c r="O39" s="380"/>
      <c r="P39" s="355"/>
      <c r="Q39" s="380"/>
      <c r="R39" s="355"/>
      <c r="S39" s="380"/>
      <c r="T39" s="355"/>
      <c r="U39" s="414">
        <f t="shared" ref="U39" si="49">SUM(J39:T39)</f>
        <v>0</v>
      </c>
      <c r="V39" s="380"/>
      <c r="W39" s="355"/>
      <c r="X39" s="380"/>
      <c r="Y39" s="355"/>
      <c r="Z39" s="380"/>
      <c r="AA39" s="355"/>
      <c r="AB39" s="380"/>
      <c r="AC39" s="355"/>
      <c r="AD39" s="380"/>
      <c r="AE39" s="355"/>
      <c r="AF39" s="414">
        <f t="shared" ref="AF39" si="50">SUM(W39:AE39)</f>
        <v>0</v>
      </c>
      <c r="AG39" s="380"/>
      <c r="AH39" s="355"/>
      <c r="AI39" s="380"/>
      <c r="AJ39" s="355"/>
      <c r="AK39" s="380"/>
      <c r="AL39" s="355"/>
      <c r="AM39" s="380"/>
      <c r="AN39" s="355"/>
      <c r="AO39" s="380"/>
      <c r="AP39" s="355"/>
      <c r="AQ39" s="414">
        <f t="shared" ref="AQ39" si="51">SUM(AH39:AP39)</f>
        <v>0</v>
      </c>
      <c r="AR39" s="380"/>
      <c r="AS39" s="355"/>
      <c r="AT39" s="380"/>
      <c r="AU39" s="355"/>
      <c r="AV39" s="380"/>
      <c r="AW39" s="355"/>
      <c r="AX39" s="380"/>
      <c r="AY39" s="355"/>
      <c r="AZ39" s="380"/>
      <c r="BA39" s="355"/>
      <c r="BB39" s="380"/>
      <c r="BC39" s="355"/>
      <c r="BD39" s="414">
        <f t="shared" ref="BD39" si="52">SUM(AS39:BC39)</f>
        <v>0</v>
      </c>
      <c r="BE39" s="380"/>
      <c r="BF39" s="355"/>
      <c r="BG39" s="380"/>
      <c r="BH39" s="355"/>
      <c r="BI39" s="380"/>
      <c r="BJ39" s="355"/>
      <c r="BK39" s="380"/>
      <c r="BL39" s="355"/>
      <c r="BM39" s="380"/>
      <c r="BN39" s="355"/>
      <c r="BO39" s="380"/>
      <c r="BP39" s="355"/>
      <c r="BQ39" s="414">
        <f t="shared" ref="BQ39" si="53">SUM(BF39:BP39)</f>
        <v>0</v>
      </c>
      <c r="BR39" s="380"/>
      <c r="BS39" s="355"/>
      <c r="BT39" s="380"/>
      <c r="BU39" s="355"/>
      <c r="BV39" s="380"/>
      <c r="BW39" s="355"/>
      <c r="BX39" s="380"/>
      <c r="BY39" s="355"/>
      <c r="BZ39" s="380"/>
      <c r="CA39" s="355"/>
      <c r="CB39" s="380"/>
      <c r="CC39" s="355"/>
      <c r="CD39" s="414">
        <f t="shared" ref="CD39" si="54">SUM(BS39:CC39)</f>
        <v>0</v>
      </c>
      <c r="CE39" s="380"/>
      <c r="CF39" s="355"/>
      <c r="CG39" s="380"/>
      <c r="CH39" s="355"/>
      <c r="CI39" s="380"/>
      <c r="CJ39" s="355"/>
      <c r="CK39" s="380"/>
      <c r="CL39" s="355"/>
      <c r="CM39" s="380"/>
      <c r="CN39" s="355"/>
      <c r="CO39" s="380"/>
      <c r="CP39" s="355"/>
      <c r="CQ39" s="414">
        <f t="shared" ref="CQ39" si="55">SUM(CF39:CP39)</f>
        <v>0</v>
      </c>
      <c r="CR39" s="380"/>
      <c r="CS39" s="355"/>
      <c r="CT39" s="380"/>
      <c r="CU39" s="355"/>
      <c r="CV39" s="380"/>
      <c r="CW39" s="355"/>
      <c r="CX39" s="380"/>
      <c r="CY39" s="355"/>
      <c r="CZ39" s="414">
        <f t="shared" ref="CZ39" si="56">SUM(CS39:CY39)</f>
        <v>0</v>
      </c>
      <c r="DA39" s="380"/>
      <c r="DB39" s="355"/>
      <c r="DC39" s="414">
        <f t="shared" si="8"/>
        <v>0</v>
      </c>
      <c r="DD39" s="356">
        <f>+$U$39+$AF$39+$AQ$39+$BD$39+$BQ$39+$CD$39+$CQ$39+$CZ$39+$DC$39</f>
        <v>0</v>
      </c>
    </row>
    <row r="40" spans="1:108" ht="17.45" customHeight="1">
      <c r="A40" s="357"/>
      <c r="B40" s="357"/>
      <c r="C40" s="357"/>
      <c r="D40" s="357"/>
      <c r="E40" s="357"/>
      <c r="F40" s="357"/>
      <c r="G40" s="379" t="s">
        <v>1127</v>
      </c>
      <c r="H40" s="347" t="s">
        <v>1128</v>
      </c>
      <c r="I40" s="380"/>
      <c r="J40" s="355"/>
      <c r="K40" s="380"/>
      <c r="L40" s="355"/>
      <c r="M40" s="380"/>
      <c r="N40" s="355"/>
      <c r="O40" s="380"/>
      <c r="P40" s="355"/>
      <c r="Q40" s="380"/>
      <c r="R40" s="355"/>
      <c r="S40" s="380"/>
      <c r="T40" s="355"/>
      <c r="U40" s="414">
        <f t="shared" si="0"/>
        <v>0</v>
      </c>
      <c r="V40" s="380"/>
      <c r="W40" s="355"/>
      <c r="X40" s="380"/>
      <c r="Y40" s="355"/>
      <c r="Z40" s="380"/>
      <c r="AA40" s="355"/>
      <c r="AB40" s="380"/>
      <c r="AC40" s="355"/>
      <c r="AD40" s="380"/>
      <c r="AE40" s="355"/>
      <c r="AF40" s="414">
        <f t="shared" si="1"/>
        <v>0</v>
      </c>
      <c r="AG40" s="380"/>
      <c r="AH40" s="355"/>
      <c r="AI40" s="380"/>
      <c r="AJ40" s="355"/>
      <c r="AK40" s="380"/>
      <c r="AL40" s="355"/>
      <c r="AM40" s="380"/>
      <c r="AN40" s="355"/>
      <c r="AO40" s="380"/>
      <c r="AP40" s="355"/>
      <c r="AQ40" s="414">
        <f t="shared" si="2"/>
        <v>0</v>
      </c>
      <c r="AR40" s="380"/>
      <c r="AS40" s="355"/>
      <c r="AT40" s="380"/>
      <c r="AU40" s="355"/>
      <c r="AV40" s="380"/>
      <c r="AW40" s="355"/>
      <c r="AX40" s="380"/>
      <c r="AY40" s="355"/>
      <c r="AZ40" s="380"/>
      <c r="BA40" s="355"/>
      <c r="BB40" s="380"/>
      <c r="BC40" s="355"/>
      <c r="BD40" s="414">
        <f t="shared" si="3"/>
        <v>0</v>
      </c>
      <c r="BE40" s="380"/>
      <c r="BF40" s="355"/>
      <c r="BG40" s="380"/>
      <c r="BH40" s="355"/>
      <c r="BI40" s="380"/>
      <c r="BJ40" s="355"/>
      <c r="BK40" s="380"/>
      <c r="BL40" s="355"/>
      <c r="BM40" s="380"/>
      <c r="BN40" s="355"/>
      <c r="BO40" s="380"/>
      <c r="BP40" s="355"/>
      <c r="BQ40" s="414">
        <f t="shared" si="4"/>
        <v>0</v>
      </c>
      <c r="BR40" s="380"/>
      <c r="BS40" s="355"/>
      <c r="BT40" s="380"/>
      <c r="BU40" s="355"/>
      <c r="BV40" s="380"/>
      <c r="BW40" s="355"/>
      <c r="BX40" s="380"/>
      <c r="BY40" s="355"/>
      <c r="BZ40" s="380"/>
      <c r="CA40" s="355"/>
      <c r="CB40" s="380"/>
      <c r="CC40" s="355"/>
      <c r="CD40" s="414">
        <f t="shared" si="5"/>
        <v>0</v>
      </c>
      <c r="CE40" s="380"/>
      <c r="CF40" s="355"/>
      <c r="CG40" s="380"/>
      <c r="CH40" s="355"/>
      <c r="CI40" s="380"/>
      <c r="CJ40" s="355"/>
      <c r="CK40" s="380"/>
      <c r="CL40" s="355"/>
      <c r="CM40" s="380"/>
      <c r="CN40" s="355"/>
      <c r="CO40" s="380"/>
      <c r="CP40" s="355"/>
      <c r="CQ40" s="414">
        <f t="shared" si="6"/>
        <v>0</v>
      </c>
      <c r="CR40" s="380"/>
      <c r="CS40" s="355"/>
      <c r="CT40" s="380"/>
      <c r="CU40" s="355"/>
      <c r="CV40" s="380"/>
      <c r="CW40" s="355"/>
      <c r="CX40" s="380"/>
      <c r="CY40" s="355"/>
      <c r="CZ40" s="414">
        <f t="shared" si="7"/>
        <v>0</v>
      </c>
      <c r="DA40" s="380"/>
      <c r="DB40" s="355"/>
      <c r="DC40" s="414">
        <f t="shared" si="8"/>
        <v>0</v>
      </c>
      <c r="DD40" s="356">
        <f>+$U$40+$AF$40+$AQ$40+$BD$40+$BQ$40+$CD$40+$CQ$40+$CZ$40+$DC$40</f>
        <v>0</v>
      </c>
    </row>
    <row r="41" spans="1:108" ht="17.45" customHeight="1">
      <c r="A41" s="357"/>
      <c r="B41" s="357"/>
      <c r="C41" s="357"/>
      <c r="D41" s="357"/>
      <c r="E41" s="357"/>
      <c r="F41" s="357"/>
      <c r="G41" s="347" t="s">
        <v>1129</v>
      </c>
      <c r="H41" s="347" t="s">
        <v>1130</v>
      </c>
      <c r="I41" s="380"/>
      <c r="J41" s="355"/>
      <c r="K41" s="380"/>
      <c r="L41" s="355"/>
      <c r="M41" s="380"/>
      <c r="N41" s="355"/>
      <c r="O41" s="380"/>
      <c r="P41" s="355"/>
      <c r="Q41" s="380"/>
      <c r="R41" s="355"/>
      <c r="S41" s="380"/>
      <c r="T41" s="355"/>
      <c r="U41" s="414">
        <f t="shared" si="0"/>
        <v>0</v>
      </c>
      <c r="V41" s="380"/>
      <c r="W41" s="355"/>
      <c r="X41" s="380"/>
      <c r="Y41" s="355"/>
      <c r="Z41" s="380"/>
      <c r="AA41" s="355"/>
      <c r="AB41" s="380"/>
      <c r="AC41" s="355"/>
      <c r="AD41" s="380"/>
      <c r="AE41" s="355"/>
      <c r="AF41" s="414">
        <f t="shared" si="1"/>
        <v>0</v>
      </c>
      <c r="AG41" s="380"/>
      <c r="AH41" s="355"/>
      <c r="AI41" s="380"/>
      <c r="AJ41" s="355"/>
      <c r="AK41" s="380"/>
      <c r="AL41" s="355"/>
      <c r="AM41" s="380"/>
      <c r="AN41" s="355"/>
      <c r="AO41" s="380"/>
      <c r="AP41" s="355"/>
      <c r="AQ41" s="414">
        <f t="shared" si="2"/>
        <v>0</v>
      </c>
      <c r="AR41" s="380"/>
      <c r="AS41" s="355"/>
      <c r="AT41" s="380"/>
      <c r="AU41" s="355"/>
      <c r="AV41" s="380"/>
      <c r="AW41" s="355"/>
      <c r="AX41" s="380"/>
      <c r="AY41" s="355"/>
      <c r="AZ41" s="380"/>
      <c r="BA41" s="355"/>
      <c r="BB41" s="380"/>
      <c r="BC41" s="355"/>
      <c r="BD41" s="414">
        <f t="shared" si="3"/>
        <v>0</v>
      </c>
      <c r="BE41" s="380"/>
      <c r="BF41" s="355"/>
      <c r="BG41" s="380"/>
      <c r="BH41" s="355"/>
      <c r="BI41" s="380"/>
      <c r="BJ41" s="355"/>
      <c r="BK41" s="380"/>
      <c r="BL41" s="355"/>
      <c r="BM41" s="380"/>
      <c r="BN41" s="355"/>
      <c r="BO41" s="380"/>
      <c r="BP41" s="355"/>
      <c r="BQ41" s="414">
        <f t="shared" si="4"/>
        <v>0</v>
      </c>
      <c r="BR41" s="380"/>
      <c r="BS41" s="355"/>
      <c r="BT41" s="380"/>
      <c r="BU41" s="355"/>
      <c r="BV41" s="380"/>
      <c r="BW41" s="355"/>
      <c r="BX41" s="380"/>
      <c r="BY41" s="355"/>
      <c r="BZ41" s="380"/>
      <c r="CA41" s="355"/>
      <c r="CB41" s="380"/>
      <c r="CC41" s="355"/>
      <c r="CD41" s="414">
        <f t="shared" si="5"/>
        <v>0</v>
      </c>
      <c r="CE41" s="380"/>
      <c r="CF41" s="355"/>
      <c r="CG41" s="380"/>
      <c r="CH41" s="355"/>
      <c r="CI41" s="380"/>
      <c r="CJ41" s="355"/>
      <c r="CK41" s="380"/>
      <c r="CL41" s="355"/>
      <c r="CM41" s="380"/>
      <c r="CN41" s="355"/>
      <c r="CO41" s="380"/>
      <c r="CP41" s="355"/>
      <c r="CQ41" s="414">
        <f t="shared" si="6"/>
        <v>0</v>
      </c>
      <c r="CR41" s="380"/>
      <c r="CS41" s="355"/>
      <c r="CT41" s="380"/>
      <c r="CU41" s="355"/>
      <c r="CV41" s="380"/>
      <c r="CW41" s="355"/>
      <c r="CX41" s="380"/>
      <c r="CY41" s="355"/>
      <c r="CZ41" s="414">
        <f t="shared" si="7"/>
        <v>0</v>
      </c>
      <c r="DA41" s="380"/>
      <c r="DB41" s="355"/>
      <c r="DC41" s="414">
        <f t="shared" si="8"/>
        <v>0</v>
      </c>
      <c r="DD41" s="356">
        <f>+$U$41+$AF$41+$AQ$41+$BD$41+$BQ$41+$CD$41+$CQ$41+$CZ$41+$DC$41</f>
        <v>0</v>
      </c>
    </row>
    <row r="42" spans="1:108" ht="17.45" customHeight="1">
      <c r="A42" s="357"/>
      <c r="B42" s="357"/>
      <c r="C42" s="357"/>
      <c r="D42" s="357"/>
      <c r="E42" s="357"/>
      <c r="F42" s="357"/>
      <c r="G42" s="347" t="s">
        <v>1182</v>
      </c>
      <c r="H42" s="347" t="s">
        <v>1204</v>
      </c>
      <c r="I42" s="380"/>
      <c r="J42" s="355"/>
      <c r="K42" s="380"/>
      <c r="L42" s="355"/>
      <c r="M42" s="380"/>
      <c r="N42" s="355"/>
      <c r="O42" s="380"/>
      <c r="P42" s="355"/>
      <c r="Q42" s="380"/>
      <c r="R42" s="355"/>
      <c r="S42" s="380"/>
      <c r="T42" s="355"/>
      <c r="U42" s="414">
        <f t="shared" si="0"/>
        <v>0</v>
      </c>
      <c r="V42" s="380"/>
      <c r="W42" s="355"/>
      <c r="X42" s="380"/>
      <c r="Y42" s="355"/>
      <c r="Z42" s="380"/>
      <c r="AA42" s="355"/>
      <c r="AB42" s="380"/>
      <c r="AC42" s="355"/>
      <c r="AD42" s="380"/>
      <c r="AE42" s="355"/>
      <c r="AF42" s="414">
        <f t="shared" si="1"/>
        <v>0</v>
      </c>
      <c r="AG42" s="380"/>
      <c r="AH42" s="355"/>
      <c r="AI42" s="380"/>
      <c r="AJ42" s="355"/>
      <c r="AK42" s="380"/>
      <c r="AL42" s="355"/>
      <c r="AM42" s="380"/>
      <c r="AN42" s="355"/>
      <c r="AO42" s="380"/>
      <c r="AP42" s="355"/>
      <c r="AQ42" s="414">
        <f t="shared" si="2"/>
        <v>0</v>
      </c>
      <c r="AR42" s="380"/>
      <c r="AS42" s="355"/>
      <c r="AT42" s="380"/>
      <c r="AU42" s="355"/>
      <c r="AV42" s="380"/>
      <c r="AW42" s="355"/>
      <c r="AX42" s="380"/>
      <c r="AY42" s="355"/>
      <c r="AZ42" s="380"/>
      <c r="BA42" s="355"/>
      <c r="BB42" s="380"/>
      <c r="BC42" s="355"/>
      <c r="BD42" s="414">
        <f t="shared" si="3"/>
        <v>0</v>
      </c>
      <c r="BE42" s="380"/>
      <c r="BF42" s="355"/>
      <c r="BG42" s="380"/>
      <c r="BH42" s="355"/>
      <c r="BI42" s="380"/>
      <c r="BJ42" s="355"/>
      <c r="BK42" s="380"/>
      <c r="BL42" s="355"/>
      <c r="BM42" s="380"/>
      <c r="BN42" s="355"/>
      <c r="BO42" s="380"/>
      <c r="BP42" s="355"/>
      <c r="BQ42" s="414">
        <f t="shared" si="4"/>
        <v>0</v>
      </c>
      <c r="BR42" s="380"/>
      <c r="BS42" s="355"/>
      <c r="BT42" s="380"/>
      <c r="BU42" s="355"/>
      <c r="BV42" s="380"/>
      <c r="BW42" s="355"/>
      <c r="BX42" s="380"/>
      <c r="BY42" s="355"/>
      <c r="BZ42" s="380"/>
      <c r="CA42" s="355"/>
      <c r="CB42" s="380"/>
      <c r="CC42" s="355"/>
      <c r="CD42" s="414">
        <f t="shared" si="5"/>
        <v>0</v>
      </c>
      <c r="CE42" s="380"/>
      <c r="CF42" s="355"/>
      <c r="CG42" s="380"/>
      <c r="CH42" s="355"/>
      <c r="CI42" s="380"/>
      <c r="CJ42" s="355"/>
      <c r="CK42" s="380"/>
      <c r="CL42" s="355"/>
      <c r="CM42" s="380"/>
      <c r="CN42" s="355"/>
      <c r="CO42" s="380"/>
      <c r="CP42" s="355"/>
      <c r="CQ42" s="414">
        <f t="shared" si="6"/>
        <v>0</v>
      </c>
      <c r="CR42" s="380"/>
      <c r="CS42" s="355"/>
      <c r="CT42" s="380"/>
      <c r="CU42" s="355"/>
      <c r="CV42" s="380"/>
      <c r="CW42" s="355"/>
      <c r="CX42" s="380"/>
      <c r="CY42" s="355"/>
      <c r="CZ42" s="414">
        <f t="shared" si="7"/>
        <v>0</v>
      </c>
      <c r="DA42" s="380"/>
      <c r="DB42" s="355"/>
      <c r="DC42" s="414">
        <f t="shared" si="8"/>
        <v>0</v>
      </c>
      <c r="DD42" s="356">
        <f>+$U$42+$AF$42+$AQ$42+$BD$42+$BQ$42+$CD$42+$CQ$42+$CZ$42+$DC$42</f>
        <v>0</v>
      </c>
    </row>
    <row r="43" spans="1:108" ht="17.45" customHeight="1">
      <c r="A43" s="357"/>
      <c r="B43" s="357"/>
      <c r="C43" s="357"/>
      <c r="D43" s="357"/>
      <c r="E43" s="357"/>
      <c r="F43" s="357" t="s">
        <v>37</v>
      </c>
      <c r="G43" s="347" t="s">
        <v>1180</v>
      </c>
      <c r="H43" s="347" t="s">
        <v>1202</v>
      </c>
      <c r="I43" s="380"/>
      <c r="J43" s="355"/>
      <c r="K43" s="380"/>
      <c r="L43" s="355"/>
      <c r="M43" s="380"/>
      <c r="N43" s="355"/>
      <c r="O43" s="380"/>
      <c r="P43" s="355"/>
      <c r="Q43" s="380"/>
      <c r="R43" s="355"/>
      <c r="S43" s="380"/>
      <c r="T43" s="355"/>
      <c r="U43" s="414">
        <f t="shared" si="0"/>
        <v>0</v>
      </c>
      <c r="V43" s="380"/>
      <c r="W43" s="355"/>
      <c r="X43" s="380"/>
      <c r="Y43" s="355"/>
      <c r="Z43" s="380"/>
      <c r="AA43" s="355"/>
      <c r="AB43" s="380"/>
      <c r="AC43" s="355"/>
      <c r="AD43" s="380"/>
      <c r="AE43" s="355"/>
      <c r="AF43" s="414">
        <f t="shared" si="1"/>
        <v>0</v>
      </c>
      <c r="AG43" s="380"/>
      <c r="AH43" s="355"/>
      <c r="AI43" s="380"/>
      <c r="AJ43" s="355"/>
      <c r="AK43" s="380"/>
      <c r="AL43" s="355"/>
      <c r="AM43" s="380"/>
      <c r="AN43" s="355"/>
      <c r="AO43" s="380"/>
      <c r="AP43" s="355"/>
      <c r="AQ43" s="414">
        <f t="shared" si="2"/>
        <v>0</v>
      </c>
      <c r="AR43" s="380"/>
      <c r="AS43" s="355"/>
      <c r="AT43" s="380"/>
      <c r="AU43" s="355"/>
      <c r="AV43" s="380"/>
      <c r="AW43" s="355"/>
      <c r="AX43" s="380"/>
      <c r="AY43" s="355"/>
      <c r="AZ43" s="380"/>
      <c r="BA43" s="355"/>
      <c r="BB43" s="380"/>
      <c r="BC43" s="355"/>
      <c r="BD43" s="414">
        <f t="shared" si="3"/>
        <v>0</v>
      </c>
      <c r="BE43" s="380"/>
      <c r="BF43" s="355"/>
      <c r="BG43" s="380"/>
      <c r="BH43" s="355"/>
      <c r="BI43" s="380"/>
      <c r="BJ43" s="355"/>
      <c r="BK43" s="380"/>
      <c r="BL43" s="355"/>
      <c r="BM43" s="380"/>
      <c r="BN43" s="355"/>
      <c r="BO43" s="380"/>
      <c r="BP43" s="355"/>
      <c r="BQ43" s="414">
        <f t="shared" si="4"/>
        <v>0</v>
      </c>
      <c r="BR43" s="380"/>
      <c r="BS43" s="355"/>
      <c r="BT43" s="380"/>
      <c r="BU43" s="355"/>
      <c r="BV43" s="380"/>
      <c r="BW43" s="355"/>
      <c r="BX43" s="380"/>
      <c r="BY43" s="355"/>
      <c r="BZ43" s="380"/>
      <c r="CA43" s="355"/>
      <c r="CB43" s="380"/>
      <c r="CC43" s="355"/>
      <c r="CD43" s="414">
        <f t="shared" si="5"/>
        <v>0</v>
      </c>
      <c r="CE43" s="380"/>
      <c r="CF43" s="355"/>
      <c r="CG43" s="380"/>
      <c r="CH43" s="355"/>
      <c r="CI43" s="380"/>
      <c r="CJ43" s="355"/>
      <c r="CK43" s="380"/>
      <c r="CL43" s="355"/>
      <c r="CM43" s="380"/>
      <c r="CN43" s="355"/>
      <c r="CO43" s="380"/>
      <c r="CP43" s="355"/>
      <c r="CQ43" s="414">
        <f t="shared" si="6"/>
        <v>0</v>
      </c>
      <c r="CR43" s="380"/>
      <c r="CS43" s="355"/>
      <c r="CT43" s="380"/>
      <c r="CU43" s="355"/>
      <c r="CV43" s="380"/>
      <c r="CW43" s="355"/>
      <c r="CX43" s="380"/>
      <c r="CY43" s="355"/>
      <c r="CZ43" s="414">
        <f t="shared" si="7"/>
        <v>0</v>
      </c>
      <c r="DA43" s="380"/>
      <c r="DB43" s="355"/>
      <c r="DC43" s="414">
        <f t="shared" si="8"/>
        <v>0</v>
      </c>
      <c r="DD43" s="356">
        <f>+$U$43+$AF$43+$AQ$43+$BD$43+$BQ$43+$CD$43+$CQ$43+$CZ$43+$DC$43</f>
        <v>0</v>
      </c>
    </row>
    <row r="44" spans="1:108" ht="17.45" customHeight="1">
      <c r="A44" s="357"/>
      <c r="B44" s="357"/>
      <c r="C44" s="357"/>
      <c r="D44" s="357"/>
      <c r="E44" s="357"/>
      <c r="F44" s="357"/>
      <c r="G44" s="347" t="s">
        <v>1183</v>
      </c>
      <c r="H44" s="347" t="s">
        <v>1205</v>
      </c>
      <c r="I44" s="380"/>
      <c r="J44" s="355"/>
      <c r="K44" s="380"/>
      <c r="L44" s="355"/>
      <c r="M44" s="381" t="s">
        <v>1854</v>
      </c>
      <c r="N44" s="355">
        <v>1</v>
      </c>
      <c r="O44" s="380"/>
      <c r="P44" s="355"/>
      <c r="Q44" s="380"/>
      <c r="R44" s="355"/>
      <c r="S44" s="380"/>
      <c r="T44" s="355"/>
      <c r="U44" s="414">
        <f t="shared" si="0"/>
        <v>1</v>
      </c>
      <c r="V44" s="380"/>
      <c r="W44" s="355"/>
      <c r="X44" s="380"/>
      <c r="Y44" s="355"/>
      <c r="Z44" s="380"/>
      <c r="AA44" s="355"/>
      <c r="AB44" s="380"/>
      <c r="AC44" s="355"/>
      <c r="AD44" s="380"/>
      <c r="AE44" s="355"/>
      <c r="AF44" s="414">
        <f t="shared" si="1"/>
        <v>0</v>
      </c>
      <c r="AG44" s="380"/>
      <c r="AH44" s="355"/>
      <c r="AI44" s="380"/>
      <c r="AJ44" s="355"/>
      <c r="AK44" s="380"/>
      <c r="AL44" s="355"/>
      <c r="AM44" s="380"/>
      <c r="AN44" s="355"/>
      <c r="AO44" s="380"/>
      <c r="AP44" s="355"/>
      <c r="AQ44" s="414">
        <f t="shared" si="2"/>
        <v>0</v>
      </c>
      <c r="AR44" s="380"/>
      <c r="AS44" s="355"/>
      <c r="AT44" s="380"/>
      <c r="AU44" s="355"/>
      <c r="AV44" s="380"/>
      <c r="AW44" s="355"/>
      <c r="AX44" s="380"/>
      <c r="AY44" s="355"/>
      <c r="AZ44" s="380"/>
      <c r="BA44" s="355"/>
      <c r="BB44" s="380"/>
      <c r="BC44" s="355"/>
      <c r="BD44" s="414">
        <f t="shared" si="3"/>
        <v>0</v>
      </c>
      <c r="BE44" s="380"/>
      <c r="BF44" s="355"/>
      <c r="BG44" s="380"/>
      <c r="BH44" s="355"/>
      <c r="BI44" s="380"/>
      <c r="BJ44" s="355"/>
      <c r="BK44" s="380"/>
      <c r="BL44" s="355"/>
      <c r="BM44" s="380"/>
      <c r="BN44" s="355"/>
      <c r="BO44" s="380"/>
      <c r="BP44" s="355"/>
      <c r="BQ44" s="414">
        <f t="shared" si="4"/>
        <v>0</v>
      </c>
      <c r="BR44" s="380"/>
      <c r="BS44" s="355"/>
      <c r="BT44" s="380"/>
      <c r="BU44" s="355"/>
      <c r="BV44" s="380"/>
      <c r="BW44" s="355"/>
      <c r="BX44" s="380"/>
      <c r="BY44" s="355"/>
      <c r="BZ44" s="380"/>
      <c r="CA44" s="355"/>
      <c r="CB44" s="380"/>
      <c r="CC44" s="355"/>
      <c r="CD44" s="414">
        <f t="shared" si="5"/>
        <v>0</v>
      </c>
      <c r="CE44" s="380"/>
      <c r="CF44" s="355"/>
      <c r="CG44" s="380"/>
      <c r="CH44" s="355"/>
      <c r="CI44" s="380"/>
      <c r="CJ44" s="355"/>
      <c r="CK44" s="380"/>
      <c r="CL44" s="355"/>
      <c r="CM44" s="380"/>
      <c r="CN44" s="355"/>
      <c r="CO44" s="380"/>
      <c r="CP44" s="355"/>
      <c r="CQ44" s="414">
        <f t="shared" si="6"/>
        <v>0</v>
      </c>
      <c r="CR44" s="380"/>
      <c r="CS44" s="355"/>
      <c r="CT44" s="380"/>
      <c r="CU44" s="355"/>
      <c r="CV44" s="380"/>
      <c r="CW44" s="355"/>
      <c r="CX44" s="380"/>
      <c r="CY44" s="355"/>
      <c r="CZ44" s="414">
        <f t="shared" si="7"/>
        <v>0</v>
      </c>
      <c r="DA44" s="380"/>
      <c r="DB44" s="355"/>
      <c r="DC44" s="414">
        <f t="shared" si="8"/>
        <v>0</v>
      </c>
      <c r="DD44" s="356">
        <f>+$U$44+$AF$44+$AQ$44+$BD$44+$BQ$44+$CD$44+$CQ$44+$CZ$44+$DC$44</f>
        <v>1</v>
      </c>
    </row>
    <row r="45" spans="1:108" ht="17.45" customHeight="1">
      <c r="A45" s="357"/>
      <c r="B45" s="357"/>
      <c r="C45" s="357"/>
      <c r="D45" s="357"/>
      <c r="E45" s="357"/>
      <c r="F45" s="357" t="s">
        <v>37</v>
      </c>
      <c r="G45" s="347" t="s">
        <v>1131</v>
      </c>
      <c r="H45" s="347" t="s">
        <v>1132</v>
      </c>
      <c r="I45" s="381" t="s">
        <v>1853</v>
      </c>
      <c r="J45" s="355">
        <v>30</v>
      </c>
      <c r="K45" s="381" t="s">
        <v>1852</v>
      </c>
      <c r="L45" s="355">
        <v>30</v>
      </c>
      <c r="M45" s="381" t="s">
        <v>1852</v>
      </c>
      <c r="N45" s="355">
        <v>30</v>
      </c>
      <c r="O45" s="380"/>
      <c r="P45" s="355"/>
      <c r="Q45" s="381" t="s">
        <v>1853</v>
      </c>
      <c r="R45" s="355">
        <v>89</v>
      </c>
      <c r="S45" s="381" t="s">
        <v>1850</v>
      </c>
      <c r="T45" s="355">
        <v>123</v>
      </c>
      <c r="U45" s="414">
        <f t="shared" si="0"/>
        <v>302</v>
      </c>
      <c r="V45" s="380"/>
      <c r="W45" s="355"/>
      <c r="X45" s="380"/>
      <c r="Y45" s="355"/>
      <c r="Z45" s="380"/>
      <c r="AA45" s="355"/>
      <c r="AB45" s="380"/>
      <c r="AC45" s="355"/>
      <c r="AD45" s="380"/>
      <c r="AE45" s="355"/>
      <c r="AF45" s="414">
        <f t="shared" si="1"/>
        <v>0</v>
      </c>
      <c r="AG45" s="380"/>
      <c r="AH45" s="355"/>
      <c r="AI45" s="380"/>
      <c r="AJ45" s="355"/>
      <c r="AK45" s="380"/>
      <c r="AL45" s="355"/>
      <c r="AM45" s="380"/>
      <c r="AN45" s="355"/>
      <c r="AO45" s="380"/>
      <c r="AP45" s="355"/>
      <c r="AQ45" s="414">
        <f t="shared" si="2"/>
        <v>0</v>
      </c>
      <c r="AR45" s="380"/>
      <c r="AS45" s="355"/>
      <c r="AT45" s="380"/>
      <c r="AU45" s="355"/>
      <c r="AV45" s="380"/>
      <c r="AW45" s="355"/>
      <c r="AX45" s="380"/>
      <c r="AY45" s="355"/>
      <c r="AZ45" s="380"/>
      <c r="BA45" s="355"/>
      <c r="BB45" s="380"/>
      <c r="BC45" s="355"/>
      <c r="BD45" s="414">
        <f t="shared" si="3"/>
        <v>0</v>
      </c>
      <c r="BE45" s="380"/>
      <c r="BF45" s="355"/>
      <c r="BG45" s="380"/>
      <c r="BH45" s="355"/>
      <c r="BI45" s="380"/>
      <c r="BJ45" s="355"/>
      <c r="BK45" s="380"/>
      <c r="BL45" s="355"/>
      <c r="BM45" s="380"/>
      <c r="BN45" s="355"/>
      <c r="BO45" s="380"/>
      <c r="BP45" s="355"/>
      <c r="BQ45" s="414">
        <f t="shared" si="4"/>
        <v>0</v>
      </c>
      <c r="BR45" s="380"/>
      <c r="BS45" s="355"/>
      <c r="BT45" s="380"/>
      <c r="BU45" s="355"/>
      <c r="BV45" s="380"/>
      <c r="BW45" s="355"/>
      <c r="BX45" s="380"/>
      <c r="BY45" s="355"/>
      <c r="BZ45" s="380"/>
      <c r="CA45" s="355"/>
      <c r="CB45" s="380"/>
      <c r="CC45" s="355"/>
      <c r="CD45" s="414">
        <f t="shared" si="5"/>
        <v>0</v>
      </c>
      <c r="CE45" s="380"/>
      <c r="CF45" s="355"/>
      <c r="CG45" s="380"/>
      <c r="CH45" s="355"/>
      <c r="CI45" s="380"/>
      <c r="CJ45" s="355"/>
      <c r="CK45" s="380"/>
      <c r="CL45" s="355"/>
      <c r="CM45" s="380"/>
      <c r="CN45" s="355"/>
      <c r="CO45" s="380"/>
      <c r="CP45" s="355"/>
      <c r="CQ45" s="414">
        <f t="shared" si="6"/>
        <v>0</v>
      </c>
      <c r="CR45" s="380"/>
      <c r="CS45" s="355"/>
      <c r="CT45" s="380"/>
      <c r="CU45" s="355"/>
      <c r="CV45" s="380"/>
      <c r="CW45" s="355"/>
      <c r="CX45" s="380"/>
      <c r="CY45" s="355"/>
      <c r="CZ45" s="414">
        <f t="shared" si="7"/>
        <v>0</v>
      </c>
      <c r="DA45" s="380"/>
      <c r="DB45" s="355"/>
      <c r="DC45" s="414">
        <f t="shared" si="8"/>
        <v>0</v>
      </c>
      <c r="DD45" s="356">
        <f>+$U$45+$AF$45+$AQ$45+$BD$45+$BQ$45+$CD$45+$CQ$45+$CZ$45+$DC$45</f>
        <v>302</v>
      </c>
    </row>
    <row r="46" spans="1:108" ht="17.45" customHeight="1">
      <c r="A46" s="357"/>
      <c r="B46" s="357"/>
      <c r="C46" s="357"/>
      <c r="D46" s="357"/>
      <c r="E46" s="357"/>
      <c r="F46" s="357"/>
      <c r="G46" s="347" t="s">
        <v>1133</v>
      </c>
      <c r="H46" s="347" t="s">
        <v>1134</v>
      </c>
      <c r="I46" s="380"/>
      <c r="J46" s="355"/>
      <c r="K46" s="380"/>
      <c r="L46" s="355"/>
      <c r="M46" s="380"/>
      <c r="N46" s="355"/>
      <c r="O46" s="380"/>
      <c r="P46" s="355"/>
      <c r="Q46" s="380"/>
      <c r="R46" s="355"/>
      <c r="S46" s="380"/>
      <c r="T46" s="355"/>
      <c r="U46" s="414">
        <f t="shared" si="0"/>
        <v>0</v>
      </c>
      <c r="V46" s="380"/>
      <c r="W46" s="355"/>
      <c r="X46" s="380"/>
      <c r="Y46" s="355"/>
      <c r="Z46" s="380"/>
      <c r="AA46" s="355"/>
      <c r="AB46" s="380"/>
      <c r="AC46" s="355"/>
      <c r="AD46" s="380"/>
      <c r="AE46" s="355"/>
      <c r="AF46" s="414">
        <f t="shared" si="1"/>
        <v>0</v>
      </c>
      <c r="AG46" s="380"/>
      <c r="AH46" s="355"/>
      <c r="AI46" s="380"/>
      <c r="AJ46" s="355"/>
      <c r="AK46" s="380"/>
      <c r="AL46" s="355"/>
      <c r="AM46" s="380"/>
      <c r="AN46" s="355"/>
      <c r="AO46" s="380"/>
      <c r="AP46" s="355"/>
      <c r="AQ46" s="414">
        <f t="shared" si="2"/>
        <v>0</v>
      </c>
      <c r="AR46" s="380"/>
      <c r="AS46" s="355"/>
      <c r="AT46" s="380"/>
      <c r="AU46" s="355"/>
      <c r="AV46" s="380"/>
      <c r="AW46" s="355"/>
      <c r="AX46" s="380"/>
      <c r="AY46" s="355"/>
      <c r="AZ46" s="380"/>
      <c r="BA46" s="355"/>
      <c r="BB46" s="380"/>
      <c r="BC46" s="355"/>
      <c r="BD46" s="414">
        <f t="shared" si="3"/>
        <v>0</v>
      </c>
      <c r="BE46" s="380"/>
      <c r="BF46" s="355"/>
      <c r="BG46" s="380"/>
      <c r="BH46" s="355"/>
      <c r="BI46" s="380"/>
      <c r="BJ46" s="355"/>
      <c r="BK46" s="380"/>
      <c r="BL46" s="355"/>
      <c r="BM46" s="380"/>
      <c r="BN46" s="355"/>
      <c r="BO46" s="380"/>
      <c r="BP46" s="355"/>
      <c r="BQ46" s="414">
        <f t="shared" si="4"/>
        <v>0</v>
      </c>
      <c r="BR46" s="380"/>
      <c r="BS46" s="355"/>
      <c r="BT46" s="380"/>
      <c r="BU46" s="355"/>
      <c r="BV46" s="380"/>
      <c r="BW46" s="355"/>
      <c r="BX46" s="380"/>
      <c r="BY46" s="355"/>
      <c r="BZ46" s="380"/>
      <c r="CA46" s="355"/>
      <c r="CB46" s="380"/>
      <c r="CC46" s="355"/>
      <c r="CD46" s="414">
        <f t="shared" si="5"/>
        <v>0</v>
      </c>
      <c r="CE46" s="380"/>
      <c r="CF46" s="355"/>
      <c r="CG46" s="380"/>
      <c r="CH46" s="355"/>
      <c r="CI46" s="380"/>
      <c r="CJ46" s="355"/>
      <c r="CK46" s="380"/>
      <c r="CL46" s="355"/>
      <c r="CM46" s="380"/>
      <c r="CN46" s="355"/>
      <c r="CO46" s="380"/>
      <c r="CP46" s="355"/>
      <c r="CQ46" s="414">
        <f t="shared" si="6"/>
        <v>0</v>
      </c>
      <c r="CR46" s="380"/>
      <c r="CS46" s="355"/>
      <c r="CT46" s="380"/>
      <c r="CU46" s="355"/>
      <c r="CV46" s="380"/>
      <c r="CW46" s="355"/>
      <c r="CX46" s="380"/>
      <c r="CY46" s="355"/>
      <c r="CZ46" s="414">
        <f t="shared" si="7"/>
        <v>0</v>
      </c>
      <c r="DA46" s="380"/>
      <c r="DB46" s="355"/>
      <c r="DC46" s="414">
        <f t="shared" si="8"/>
        <v>0</v>
      </c>
      <c r="DD46" s="356">
        <f>+$U$46+$AF$46+$AQ$46+$BD$46+$BQ$46+$CD$46+$CQ$46+$CZ$46+$DC$46</f>
        <v>0</v>
      </c>
    </row>
    <row r="47" spans="1:108" ht="17.45" customHeight="1">
      <c r="A47" s="357"/>
      <c r="B47" s="357"/>
      <c r="C47" s="357"/>
      <c r="D47" s="357"/>
      <c r="E47" s="357"/>
      <c r="F47" s="357"/>
      <c r="G47" s="347" t="s">
        <v>1135</v>
      </c>
      <c r="H47" s="347" t="s">
        <v>1136</v>
      </c>
      <c r="I47" s="380"/>
      <c r="J47" s="355"/>
      <c r="K47" s="380"/>
      <c r="L47" s="355"/>
      <c r="M47" s="380"/>
      <c r="N47" s="355"/>
      <c r="O47" s="380"/>
      <c r="P47" s="355"/>
      <c r="Q47" s="380"/>
      <c r="R47" s="355"/>
      <c r="S47" s="380"/>
      <c r="T47" s="355"/>
      <c r="U47" s="414">
        <f t="shared" si="0"/>
        <v>0</v>
      </c>
      <c r="V47" s="380"/>
      <c r="W47" s="355"/>
      <c r="X47" s="380"/>
      <c r="Y47" s="355"/>
      <c r="Z47" s="380"/>
      <c r="AA47" s="355"/>
      <c r="AB47" s="380"/>
      <c r="AC47" s="355"/>
      <c r="AD47" s="380"/>
      <c r="AE47" s="355"/>
      <c r="AF47" s="414">
        <f t="shared" si="1"/>
        <v>0</v>
      </c>
      <c r="AG47" s="380"/>
      <c r="AH47" s="355"/>
      <c r="AI47" s="380"/>
      <c r="AJ47" s="355"/>
      <c r="AK47" s="380"/>
      <c r="AL47" s="355"/>
      <c r="AM47" s="380"/>
      <c r="AN47" s="355"/>
      <c r="AO47" s="380"/>
      <c r="AP47" s="355"/>
      <c r="AQ47" s="414">
        <f t="shared" si="2"/>
        <v>0</v>
      </c>
      <c r="AR47" s="380"/>
      <c r="AS47" s="355"/>
      <c r="AT47" s="380"/>
      <c r="AU47" s="355"/>
      <c r="AV47" s="380"/>
      <c r="AW47" s="355"/>
      <c r="AX47" s="380"/>
      <c r="AY47" s="355"/>
      <c r="AZ47" s="380"/>
      <c r="BA47" s="355"/>
      <c r="BB47" s="380"/>
      <c r="BC47" s="355"/>
      <c r="BD47" s="414">
        <f t="shared" si="3"/>
        <v>0</v>
      </c>
      <c r="BE47" s="380"/>
      <c r="BF47" s="355"/>
      <c r="BG47" s="380"/>
      <c r="BH47" s="355"/>
      <c r="BI47" s="380"/>
      <c r="BJ47" s="355"/>
      <c r="BK47" s="380"/>
      <c r="BL47" s="355"/>
      <c r="BM47" s="380"/>
      <c r="BN47" s="355"/>
      <c r="BO47" s="380"/>
      <c r="BP47" s="355"/>
      <c r="BQ47" s="414">
        <f t="shared" si="4"/>
        <v>0</v>
      </c>
      <c r="BR47" s="380"/>
      <c r="BS47" s="355"/>
      <c r="BT47" s="380"/>
      <c r="BU47" s="355"/>
      <c r="BV47" s="380"/>
      <c r="BW47" s="355"/>
      <c r="BX47" s="380"/>
      <c r="BY47" s="355"/>
      <c r="BZ47" s="380"/>
      <c r="CA47" s="355"/>
      <c r="CB47" s="380"/>
      <c r="CC47" s="355"/>
      <c r="CD47" s="414">
        <f t="shared" si="5"/>
        <v>0</v>
      </c>
      <c r="CE47" s="380"/>
      <c r="CF47" s="355"/>
      <c r="CG47" s="380"/>
      <c r="CH47" s="355"/>
      <c r="CI47" s="380"/>
      <c r="CJ47" s="355"/>
      <c r="CK47" s="380"/>
      <c r="CL47" s="355"/>
      <c r="CM47" s="380"/>
      <c r="CN47" s="355"/>
      <c r="CO47" s="380"/>
      <c r="CP47" s="355"/>
      <c r="CQ47" s="414">
        <f t="shared" si="6"/>
        <v>0</v>
      </c>
      <c r="CR47" s="380"/>
      <c r="CS47" s="355"/>
      <c r="CT47" s="380"/>
      <c r="CU47" s="355"/>
      <c r="CV47" s="380"/>
      <c r="CW47" s="355"/>
      <c r="CX47" s="380"/>
      <c r="CY47" s="355"/>
      <c r="CZ47" s="414">
        <f t="shared" si="7"/>
        <v>0</v>
      </c>
      <c r="DA47" s="380"/>
      <c r="DB47" s="355"/>
      <c r="DC47" s="414">
        <f t="shared" si="8"/>
        <v>0</v>
      </c>
      <c r="DD47" s="356">
        <f>+$U$47+$AF$47+$AQ$47+$BD$47+$BQ$47+$CD$47+$CQ$47+$CZ$47+$DC$47</f>
        <v>0</v>
      </c>
    </row>
    <row r="48" spans="1:108" ht="17.45" customHeight="1">
      <c r="A48" s="357"/>
      <c r="B48" s="357"/>
      <c r="C48" s="357"/>
      <c r="D48" s="357"/>
      <c r="E48" s="357"/>
      <c r="F48" s="357"/>
      <c r="G48" s="347" t="s">
        <v>1190</v>
      </c>
      <c r="H48" s="347" t="s">
        <v>1212</v>
      </c>
      <c r="I48" s="380"/>
      <c r="J48" s="355"/>
      <c r="K48" s="380"/>
      <c r="L48" s="355"/>
      <c r="M48" s="380"/>
      <c r="N48" s="355"/>
      <c r="O48" s="380"/>
      <c r="P48" s="355"/>
      <c r="Q48" s="380"/>
      <c r="R48" s="355"/>
      <c r="S48" s="380"/>
      <c r="T48" s="355"/>
      <c r="U48" s="414">
        <f t="shared" si="0"/>
        <v>0</v>
      </c>
      <c r="V48" s="380"/>
      <c r="W48" s="355"/>
      <c r="X48" s="380"/>
      <c r="Y48" s="355"/>
      <c r="Z48" s="380"/>
      <c r="AA48" s="355"/>
      <c r="AB48" s="380"/>
      <c r="AC48" s="355"/>
      <c r="AD48" s="380"/>
      <c r="AE48" s="355"/>
      <c r="AF48" s="414">
        <f t="shared" si="1"/>
        <v>0</v>
      </c>
      <c r="AG48" s="380"/>
      <c r="AH48" s="355"/>
      <c r="AI48" s="380"/>
      <c r="AJ48" s="355"/>
      <c r="AK48" s="380"/>
      <c r="AL48" s="355"/>
      <c r="AM48" s="380"/>
      <c r="AN48" s="355"/>
      <c r="AO48" s="380"/>
      <c r="AP48" s="355"/>
      <c r="AQ48" s="414">
        <f t="shared" si="2"/>
        <v>0</v>
      </c>
      <c r="AR48" s="380"/>
      <c r="AS48" s="355"/>
      <c r="AT48" s="380"/>
      <c r="AU48" s="355"/>
      <c r="AV48" s="380"/>
      <c r="AW48" s="355"/>
      <c r="AX48" s="380"/>
      <c r="AY48" s="355"/>
      <c r="AZ48" s="380"/>
      <c r="BA48" s="355"/>
      <c r="BB48" s="380"/>
      <c r="BC48" s="355"/>
      <c r="BD48" s="414">
        <f t="shared" si="3"/>
        <v>0</v>
      </c>
      <c r="BE48" s="380"/>
      <c r="BF48" s="355"/>
      <c r="BG48" s="380"/>
      <c r="BH48" s="355"/>
      <c r="BI48" s="380"/>
      <c r="BJ48" s="355"/>
      <c r="BK48" s="380"/>
      <c r="BL48" s="355"/>
      <c r="BM48" s="380"/>
      <c r="BN48" s="355"/>
      <c r="BO48" s="380"/>
      <c r="BP48" s="355"/>
      <c r="BQ48" s="414">
        <f t="shared" si="4"/>
        <v>0</v>
      </c>
      <c r="BR48" s="380"/>
      <c r="BS48" s="355"/>
      <c r="BT48" s="380"/>
      <c r="BU48" s="355"/>
      <c r="BV48" s="380"/>
      <c r="BW48" s="355"/>
      <c r="BX48" s="380"/>
      <c r="BY48" s="355"/>
      <c r="BZ48" s="380"/>
      <c r="CA48" s="355"/>
      <c r="CB48" s="380"/>
      <c r="CC48" s="355"/>
      <c r="CD48" s="414">
        <f t="shared" si="5"/>
        <v>0</v>
      </c>
      <c r="CE48" s="380"/>
      <c r="CF48" s="355"/>
      <c r="CG48" s="380"/>
      <c r="CH48" s="355"/>
      <c r="CI48" s="380"/>
      <c r="CJ48" s="355"/>
      <c r="CK48" s="380"/>
      <c r="CL48" s="355"/>
      <c r="CM48" s="380"/>
      <c r="CN48" s="355"/>
      <c r="CO48" s="380"/>
      <c r="CP48" s="355"/>
      <c r="CQ48" s="414">
        <f t="shared" si="6"/>
        <v>0</v>
      </c>
      <c r="CR48" s="380"/>
      <c r="CS48" s="355"/>
      <c r="CT48" s="380"/>
      <c r="CU48" s="355"/>
      <c r="CV48" s="380"/>
      <c r="CW48" s="355"/>
      <c r="CX48" s="380"/>
      <c r="CY48" s="355"/>
      <c r="CZ48" s="414">
        <f t="shared" si="7"/>
        <v>0</v>
      </c>
      <c r="DA48" s="380"/>
      <c r="DB48" s="355"/>
      <c r="DC48" s="414">
        <f t="shared" si="8"/>
        <v>0</v>
      </c>
      <c r="DD48" s="356">
        <f>+$U$48+$AF$48+$AQ$48+$BD$48+$BQ$48+$CD$48+$CQ$48+$CZ$48+$DC$48</f>
        <v>0</v>
      </c>
    </row>
    <row r="49" spans="1:108" ht="17.45" customHeight="1">
      <c r="A49" s="357"/>
      <c r="B49" s="357"/>
      <c r="C49" s="357"/>
      <c r="D49" s="357"/>
      <c r="E49" s="357" t="s">
        <v>36</v>
      </c>
      <c r="F49" s="357"/>
      <c r="G49" s="347" t="s">
        <v>1137</v>
      </c>
      <c r="H49" s="347" t="s">
        <v>1138</v>
      </c>
      <c r="I49" s="381" t="s">
        <v>1850</v>
      </c>
      <c r="J49" s="355">
        <v>57</v>
      </c>
      <c r="K49" s="381" t="s">
        <v>1853</v>
      </c>
      <c r="L49" s="355">
        <v>87</v>
      </c>
      <c r="M49" s="380"/>
      <c r="N49" s="355"/>
      <c r="O49" s="380"/>
      <c r="P49" s="355"/>
      <c r="Q49" s="380"/>
      <c r="R49" s="355"/>
      <c r="S49" s="380"/>
      <c r="T49" s="355"/>
      <c r="U49" s="414">
        <f t="shared" si="0"/>
        <v>144</v>
      </c>
      <c r="V49" s="380"/>
      <c r="W49" s="355"/>
      <c r="X49" s="380"/>
      <c r="Y49" s="355"/>
      <c r="Z49" s="380"/>
      <c r="AA49" s="355"/>
      <c r="AB49" s="380"/>
      <c r="AC49" s="355"/>
      <c r="AD49" s="380"/>
      <c r="AE49" s="355"/>
      <c r="AF49" s="414">
        <f t="shared" si="1"/>
        <v>0</v>
      </c>
      <c r="AG49" s="380"/>
      <c r="AH49" s="355"/>
      <c r="AI49" s="380"/>
      <c r="AJ49" s="355"/>
      <c r="AK49" s="380"/>
      <c r="AL49" s="355"/>
      <c r="AM49" s="380"/>
      <c r="AN49" s="355"/>
      <c r="AO49" s="380"/>
      <c r="AP49" s="355"/>
      <c r="AQ49" s="414">
        <f t="shared" si="2"/>
        <v>0</v>
      </c>
      <c r="AR49" s="380"/>
      <c r="AS49" s="355"/>
      <c r="AT49" s="380"/>
      <c r="AU49" s="355"/>
      <c r="AV49" s="380"/>
      <c r="AW49" s="355"/>
      <c r="AX49" s="380"/>
      <c r="AY49" s="355"/>
      <c r="AZ49" s="380"/>
      <c r="BA49" s="355"/>
      <c r="BB49" s="380"/>
      <c r="BC49" s="355"/>
      <c r="BD49" s="414">
        <f t="shared" si="3"/>
        <v>0</v>
      </c>
      <c r="BE49" s="380"/>
      <c r="BF49" s="355"/>
      <c r="BG49" s="380"/>
      <c r="BH49" s="355"/>
      <c r="BI49" s="380"/>
      <c r="BJ49" s="355"/>
      <c r="BK49" s="380"/>
      <c r="BL49" s="355"/>
      <c r="BM49" s="380"/>
      <c r="BN49" s="355"/>
      <c r="BO49" s="380"/>
      <c r="BP49" s="355"/>
      <c r="BQ49" s="414">
        <f t="shared" si="4"/>
        <v>0</v>
      </c>
      <c r="BR49" s="380"/>
      <c r="BS49" s="355"/>
      <c r="BT49" s="380"/>
      <c r="BU49" s="355"/>
      <c r="BV49" s="380"/>
      <c r="BW49" s="355"/>
      <c r="BX49" s="380"/>
      <c r="BY49" s="355"/>
      <c r="BZ49" s="380"/>
      <c r="CA49" s="355"/>
      <c r="CB49" s="380"/>
      <c r="CC49" s="355"/>
      <c r="CD49" s="414">
        <f t="shared" si="5"/>
        <v>0</v>
      </c>
      <c r="CE49" s="380"/>
      <c r="CF49" s="355"/>
      <c r="CG49" s="380"/>
      <c r="CH49" s="355"/>
      <c r="CI49" s="380"/>
      <c r="CJ49" s="355"/>
      <c r="CK49" s="380"/>
      <c r="CL49" s="355"/>
      <c r="CM49" s="380"/>
      <c r="CN49" s="355"/>
      <c r="CO49" s="380"/>
      <c r="CP49" s="355"/>
      <c r="CQ49" s="414">
        <f t="shared" si="6"/>
        <v>0</v>
      </c>
      <c r="CR49" s="380"/>
      <c r="CS49" s="355"/>
      <c r="CT49" s="380"/>
      <c r="CU49" s="355"/>
      <c r="CV49" s="380"/>
      <c r="CW49" s="355"/>
      <c r="CX49" s="380"/>
      <c r="CY49" s="355"/>
      <c r="CZ49" s="414">
        <f t="shared" si="7"/>
        <v>0</v>
      </c>
      <c r="DA49" s="380"/>
      <c r="DB49" s="355"/>
      <c r="DC49" s="414">
        <f t="shared" si="8"/>
        <v>0</v>
      </c>
      <c r="DD49" s="356">
        <f>+$U$49+$AF$49+$AQ$49+$BD$49+$BQ$49+$CD$49+$CQ$49+$CZ$49+$DC$49</f>
        <v>144</v>
      </c>
    </row>
    <row r="50" spans="1:108" ht="17.45" customHeight="1">
      <c r="A50" s="357"/>
      <c r="B50" s="357"/>
      <c r="C50" s="357"/>
      <c r="D50" s="357"/>
      <c r="E50" s="357"/>
      <c r="F50" s="357"/>
      <c r="G50" s="354" t="s">
        <v>1139</v>
      </c>
      <c r="H50" s="354" t="s">
        <v>1140</v>
      </c>
      <c r="I50" s="390"/>
      <c r="J50" s="391"/>
      <c r="K50" s="390"/>
      <c r="L50" s="391"/>
      <c r="M50" s="390"/>
      <c r="N50" s="391"/>
      <c r="O50" s="390"/>
      <c r="P50" s="391"/>
      <c r="Q50" s="390"/>
      <c r="R50" s="391"/>
      <c r="S50" s="390"/>
      <c r="T50" s="391"/>
      <c r="U50" s="416">
        <f t="shared" si="0"/>
        <v>0</v>
      </c>
      <c r="V50" s="390"/>
      <c r="W50" s="391"/>
      <c r="X50" s="390"/>
      <c r="Y50" s="391"/>
      <c r="Z50" s="390"/>
      <c r="AA50" s="391"/>
      <c r="AB50" s="390"/>
      <c r="AC50" s="391"/>
      <c r="AD50" s="390"/>
      <c r="AE50" s="391"/>
      <c r="AF50" s="416">
        <f t="shared" si="1"/>
        <v>0</v>
      </c>
      <c r="AG50" s="390"/>
      <c r="AH50" s="391"/>
      <c r="AI50" s="390"/>
      <c r="AJ50" s="391"/>
      <c r="AK50" s="390"/>
      <c r="AL50" s="391"/>
      <c r="AM50" s="390"/>
      <c r="AN50" s="391"/>
      <c r="AO50" s="390"/>
      <c r="AP50" s="391"/>
      <c r="AQ50" s="416">
        <f t="shared" si="2"/>
        <v>0</v>
      </c>
      <c r="AR50" s="390"/>
      <c r="AS50" s="391"/>
      <c r="AT50" s="390"/>
      <c r="AU50" s="391"/>
      <c r="AV50" s="390"/>
      <c r="AW50" s="391"/>
      <c r="AX50" s="390"/>
      <c r="AY50" s="391"/>
      <c r="AZ50" s="390"/>
      <c r="BA50" s="391"/>
      <c r="BB50" s="390"/>
      <c r="BC50" s="391"/>
      <c r="BD50" s="416">
        <f t="shared" si="3"/>
        <v>0</v>
      </c>
      <c r="BE50" s="390"/>
      <c r="BF50" s="391"/>
      <c r="BG50" s="390"/>
      <c r="BH50" s="391"/>
      <c r="BI50" s="390"/>
      <c r="BJ50" s="391"/>
      <c r="BK50" s="390"/>
      <c r="BL50" s="391"/>
      <c r="BM50" s="390"/>
      <c r="BN50" s="391"/>
      <c r="BO50" s="390"/>
      <c r="BP50" s="391"/>
      <c r="BQ50" s="416">
        <f t="shared" si="4"/>
        <v>0</v>
      </c>
      <c r="BR50" s="390"/>
      <c r="BS50" s="391"/>
      <c r="BT50" s="390"/>
      <c r="BU50" s="391"/>
      <c r="BV50" s="390"/>
      <c r="BW50" s="391"/>
      <c r="BX50" s="390"/>
      <c r="BY50" s="391"/>
      <c r="BZ50" s="390"/>
      <c r="CA50" s="391"/>
      <c r="CB50" s="390"/>
      <c r="CC50" s="391"/>
      <c r="CD50" s="416">
        <f t="shared" si="5"/>
        <v>0</v>
      </c>
      <c r="CE50" s="390"/>
      <c r="CF50" s="391"/>
      <c r="CG50" s="390"/>
      <c r="CH50" s="391"/>
      <c r="CI50" s="390"/>
      <c r="CJ50" s="391"/>
      <c r="CK50" s="390"/>
      <c r="CL50" s="391"/>
      <c r="CM50" s="390"/>
      <c r="CN50" s="391"/>
      <c r="CO50" s="390"/>
      <c r="CP50" s="391"/>
      <c r="CQ50" s="416">
        <f t="shared" si="6"/>
        <v>0</v>
      </c>
      <c r="CR50" s="390"/>
      <c r="CS50" s="391"/>
      <c r="CT50" s="390"/>
      <c r="CU50" s="391"/>
      <c r="CV50" s="390"/>
      <c r="CW50" s="391"/>
      <c r="CX50" s="390"/>
      <c r="CY50" s="391"/>
      <c r="CZ50" s="416">
        <f t="shared" si="7"/>
        <v>0</v>
      </c>
      <c r="DA50" s="390"/>
      <c r="DB50" s="391"/>
      <c r="DC50" s="416">
        <f t="shared" si="8"/>
        <v>0</v>
      </c>
      <c r="DD50" s="393">
        <f>+$U$50+$AF$50+$AQ$50+$BD$50+$BQ$50+$CD$50+$CQ$50+$CZ$50+$DC$50</f>
        <v>0</v>
      </c>
    </row>
    <row r="51" spans="1:108" ht="17.45" customHeight="1">
      <c r="A51" s="357"/>
      <c r="B51" s="336"/>
      <c r="C51" s="385" t="s">
        <v>1831</v>
      </c>
      <c r="D51" s="386"/>
      <c r="E51" s="386"/>
      <c r="F51" s="386"/>
      <c r="G51" s="386"/>
      <c r="H51" s="387"/>
      <c r="I51" s="387"/>
      <c r="J51" s="388">
        <f>+$J$50+$J$49+$J$48+$J$47+$J$46+$J$45+$J$44+$J$43+$J$42+$J$41+$J$40+$J$39+$J$38+$J$37+$J$36+$J$35+$J$34+$J$33+$J$32+$J$31+$J$30+$J$29+$J$28</f>
        <v>256</v>
      </c>
      <c r="K51" s="387"/>
      <c r="L51" s="388">
        <f>+$L$50+$L$49+$L$48+$L$47+$L$46+$L$45+$L$44+$L$43+$L$42+$L$41+$L$40+$L$39+$L$38+$L$37+$L$36+$L$35+$L$34+$L$33+$L$32+$L$31+$L$30+$L$29+$L$28</f>
        <v>336</v>
      </c>
      <c r="M51" s="387"/>
      <c r="N51" s="388">
        <f>+$N$50+$N$49+$N$48+$N$47+$N$46+$N$45+$N$44+$N$43+$N$42+$N$41+$N$40+$N$39+$N$38+$N$37+$N$36+$N$35+$N$34+$N$33+$N$32+$N$31+$N$30+$N$29+$N$28</f>
        <v>336</v>
      </c>
      <c r="O51" s="387"/>
      <c r="P51" s="388">
        <f>+$P$50+$P$49+$P$48+$P$47+$P$46+$P$45+$P$44+$P$43+$P$42+$P$41+$P$40+$P$39+$P$38+$P$37+$P$36+$P$35+$P$34+$P$33+$P$32+$P$31+$P$30+$P$29+$P$28</f>
        <v>320</v>
      </c>
      <c r="Q51" s="387"/>
      <c r="R51" s="388">
        <f>+$R$50+$R$49+$R$48+$R$47+$R$46+$R$45+$R$44+$R$43+$R$42+$R$41+$R$40+$R$39+$R$38+$R$37+$R$36+$R$35+$R$34+$R$33+$R$32+$R$31+$R$30+$R$29+$R$28</f>
        <v>260</v>
      </c>
      <c r="S51" s="387"/>
      <c r="T51" s="388">
        <f>+$T$50+$T$49+$T$48+$T$47+$T$46+$T$45+$T$44+$T$43+$T$42+$T$41+$T$40+$T$39+$T$38+$T$37+$T$36+$T$35+$T$34+$T$33+$T$32+$T$31+$T$30+$T$29+$T$28</f>
        <v>240</v>
      </c>
      <c r="U51" s="414">
        <f t="shared" si="0"/>
        <v>1748</v>
      </c>
      <c r="V51" s="387"/>
      <c r="W51" s="388">
        <f>+$W$50+$W$49+$W$48+$W$47+$W$46+$W$45+$W$44+$W$43+$W$42+$W$41+$W$40+$W$39+$W$38+$W$37+$W$36+$W$35+$W$34+$W$33+$W$32+$W$31+$W$30+$W$29+$W$28</f>
        <v>0</v>
      </c>
      <c r="X51" s="387"/>
      <c r="Y51" s="388">
        <f>+$Y$50+$Y$49+$Y$48+$Y$47+$Y$46+$Y$45+$Y$44+$Y$43+$Y$42+$Y$41+$Y$40+$Y$39+$Y$38+$Y$37+$Y$36+$Y$35+$Y$34+$Y$33+$Y$32+$Y$31+$Y$30+$Y$29+$Y$28</f>
        <v>0</v>
      </c>
      <c r="Z51" s="387"/>
      <c r="AA51" s="388">
        <f>+$AA$50+$AA$49+$AA$48+$AA$47+$AA$46+$AA$45+$AA$44+$AA$43+$AA$42+$AA$41+$AA$40+$AA$39+$AA$38+$AA$37+$AA$36+$AA$35+$AA$34+$AA$33+$AA$32+$AA$31+$AA$30+$AA$29+$AA$28</f>
        <v>0</v>
      </c>
      <c r="AB51" s="387"/>
      <c r="AC51" s="388">
        <f>+$AC$50+$AC$49+$AC$48+$AC$47+$AC$46+$AC$45+$AC$44+$AC$43+$AC$42+$AC$41+$AC$40+$AC$39+$AC$38+$AC$37+$AC$36+$AC$35+$AC$34+$AC$33+$AC$32+$AC$31+$AC$30+$AC$29+$AC$28</f>
        <v>0</v>
      </c>
      <c r="AD51" s="387"/>
      <c r="AE51" s="388">
        <f>+$AE$50+$AE$49+$AE$48+$AE$47+$AE$46+$AE$45+$AE$44+$AE$43+$AE$42+$AE$41+$AE$40+$AE$39+$AE$38+$AE$37+$AE$36+$AE$35+$AE$34+$AE$33+$AE$32+$AE$31+$AE$30+$AE$29+$AE$28</f>
        <v>0</v>
      </c>
      <c r="AF51" s="414">
        <f t="shared" si="1"/>
        <v>0</v>
      </c>
      <c r="AG51" s="387"/>
      <c r="AH51" s="388">
        <f>+$AH$50+$AH$49+$AH$48+$AH$47+$AH$46+$AH$45+$AH$44+$AH$43+$AH$42+$AH$41+$AH$40+$AH$39+$AH$38+$AH$37+$AH$36+$AH$35+$AH$34+$AH$33+$AH$32+$AH$31+$AH$30+$AH$29+$AH$28</f>
        <v>0</v>
      </c>
      <c r="AI51" s="387"/>
      <c r="AJ51" s="388">
        <f>+$AJ$50+$AJ$49+$AJ$48+$AJ$47+$AJ$46+$AJ$45+$AJ$44+$AJ$43+$AJ$42+$AJ$41+$AJ$40+$AJ$39+$AJ$38+$AJ$37+$AJ$36+$AJ$35+$AJ$34+$AJ$33+$AJ$32+$AJ$31+$AJ$30+$AJ$29+$AJ$28</f>
        <v>0</v>
      </c>
      <c r="AK51" s="387"/>
      <c r="AL51" s="388">
        <f>+$AL$50+$AL$49+$AL$48+$AL$47+$AL$46+$AL$45+$AL$44+$AL$43+$AL$42+$AL$41+$AL$40+$AL$39+$AL$38+$AL$37+$AL$36+$AL$35+$AL$34+$AL$33+$AL$32+$AL$31+$AL$30+$AL$29+$AL$28</f>
        <v>0</v>
      </c>
      <c r="AM51" s="387"/>
      <c r="AN51" s="388">
        <f>+$AN$50+$AN$49+$AN$48+$AN$47+$AN$46+$AN$45+$AN$44+$AN$43+$AN$42+$AN$41+$AN$40+$AN$39+$AN$38+$AN$37+$AN$36+$AN$35+$AN$34+$AN$33+$AN$32+$AN$31+$AN$30+$AN$29+$AN$28</f>
        <v>0</v>
      </c>
      <c r="AO51" s="387"/>
      <c r="AP51" s="388">
        <f>+$AP$50+$AP$49+$AP$48+$AP$47+$AP$46+$AP$45+$AP$44+$AP$43+$AP$42+$AP$41+$AP$40+$AP$39+$AP$38+$AP$37+$AP$36+$AP$35+$AP$34+$AP$33+$AP$32+$AP$31+$AP$30+$AP$29+$AP$28</f>
        <v>0</v>
      </c>
      <c r="AQ51" s="414">
        <f t="shared" si="2"/>
        <v>0</v>
      </c>
      <c r="AR51" s="387"/>
      <c r="AS51" s="388">
        <f>+$AS$50+$AS$49+$AS$48+$AS$47+$AS$46+$AS$45+$AS$44+$AS$43+$AS$42+$AS$41+$AS$40+$AS$39+$AS$38+$AS$37+$AS$36+$AS$35+$AS$34+$AS$33+$AS$32+$AS$31+$AS$30+$AS$29+$AS$28</f>
        <v>0</v>
      </c>
      <c r="AT51" s="387"/>
      <c r="AU51" s="388">
        <f>+$AU$50+$AU$49+$AU$48+$AU$47+$AU$46+$AU$45+$AU$44+$AU$43+$AU$42+$AU$41+$AU$40+$AU$39+$AU$38+$AU$37+$AU$36+$AU$35+$AU$34+$AU$33+$AU$32+$AU$31+$AU$30+$AU$29+$AU$28</f>
        <v>0</v>
      </c>
      <c r="AV51" s="387"/>
      <c r="AW51" s="388">
        <f>+$AW$50+$AW$49+$AW$48+$AW$47+$AW$46+$AW$45+$AW$44+$AW$43+$AW$42+$AW$41+$AW$40+$AW$39+$AW$38+$AW$37+$AW$36+$AW$35+$AW$34+$AW$33+$AW$32+$AW$31+$AW$30+$AW$29+$AW$28</f>
        <v>0</v>
      </c>
      <c r="AX51" s="387"/>
      <c r="AY51" s="388">
        <f>+$AY$50+$AY$49+$AY$48+$AY$47+$AY$46+$AY$45+$AY$44+$AY$43+$AY$42+$AY$41+$AY$40+$AY$39+$AY$38+$AY$37+$AY$36+$AY$35+$AY$34+$AY$33+$AY$32+$AY$31+$AY$30+$AY$29+$AY$28</f>
        <v>0</v>
      </c>
      <c r="AZ51" s="387"/>
      <c r="BA51" s="388">
        <f>+$BA$50+$BA$49+$BA$48+$BA$47+$BA$46+$BA$45+$BA$44+$BA$43+$BA$42+$BA$41+$BA$40+$BA$39+$BA$38+$BA$37+$BA$36+$BA$35+$BA$34+$BA$33+$BA$32+$BA$31+$BA$30+$BA$29+$BA$28</f>
        <v>0</v>
      </c>
      <c r="BB51" s="387"/>
      <c r="BC51" s="388">
        <f>+$BC$50+$BC$49+$BC$48+$BC$47+$BC$46+$BC$45+$BC$44+$BC$43+$BC$42+$BC$41+$BC$40+$BC$39+$BC$38+$BC$37+$BC$36+$BC$35+$BC$34+$BC$33+$BC$32+$BC$31+$BC$30+$BC$29+$BC$28</f>
        <v>0</v>
      </c>
      <c r="BD51" s="414">
        <f t="shared" si="3"/>
        <v>0</v>
      </c>
      <c r="BE51" s="387"/>
      <c r="BF51" s="388">
        <f>+$BF$50+$BF$49+$BF$48+$BF$47+$BF$46+$BF$45+$BF$44+$BF$43+$BF$42+$BF$41+$BF$40+$BF$39+$BF$38+$BF$37+$BF$36+$BF$35+$BF$34+$BF$33+$BF$32+$BF$31+$BF$30+$BF$29+$BF$28</f>
        <v>0</v>
      </c>
      <c r="BG51" s="387"/>
      <c r="BH51" s="388">
        <f>+$BH$50+$BH$49+$BH$48+$BH$47+$BH$46+$BH$45+$BH$44+$BH$43+$BH$42+$BH$41+$BH$40+$BH$39+$BH$38+$BH$37+$BH$36+$BH$35+$BH$34+$BH$33+$BH$32+$BH$31+$BH$30+$BH$29+$BH$28</f>
        <v>0</v>
      </c>
      <c r="BI51" s="387"/>
      <c r="BJ51" s="388">
        <f>+$BJ$50+$BJ$49+$BJ$48+$BJ$47+$BJ$46+$BJ$45+$BJ$44+$BJ$43+$BJ$42+$BJ$41+$BJ$40+$BJ$39+$BJ$38+$BJ$37+$BJ$36+$BJ$35+$BJ$34+$BJ$33+$BJ$32+$BJ$31+$BJ$30+$BJ$29+$BJ$28</f>
        <v>0</v>
      </c>
      <c r="BK51" s="387"/>
      <c r="BL51" s="388">
        <f>+$BL$50+$BL$49+$BL$48+$BL$47+$BL$46+$BL$45+$BL$44+$BL$43+$BL$42+$BL$41+$BL$40+$BL$39+$BL$38+$BL$37+$BL$36+$BL$35+$BL$34+$BL$33+$BL$32+$BL$31+$BL$30+$BL$29+$BL$28</f>
        <v>0</v>
      </c>
      <c r="BM51" s="387"/>
      <c r="BN51" s="388">
        <f>+$BN$50+$BN$49+$BN$48+$BN$47+$BN$46+$BN$45+$BN$44+$BN$43+$BN$42+$BN$41+$BN$40+$BN$39+$BN$38+$BN$37+$BN$36+$BN$35+$BN$34+$BN$33+$BN$32+$BN$31+$BN$30+$BN$29+$BN$28</f>
        <v>0</v>
      </c>
      <c r="BO51" s="387"/>
      <c r="BP51" s="388">
        <f>+$BP$50+$BP$49+$BP$48+$BP$47+$BP$46+$BP$45+$BP$44+$BP$43+$BP$42+$BP$41+$BP$40+$BP$39+$BP$38+$BP$37+$BP$36+$BP$35+$BP$34+$BP$33+$BP$32+$BP$31+$BP$30+$BP$29+$BP$28</f>
        <v>0</v>
      </c>
      <c r="BQ51" s="414">
        <f t="shared" si="4"/>
        <v>0</v>
      </c>
      <c r="BR51" s="387"/>
      <c r="BS51" s="388">
        <f>+$BS$50+$BS$49+$BS$48+$BS$47+$BS$46+$BS$45+$BS$44+$BS$43+$BS$42+$BS$41+$BS$40+$BS$39+$BS$38+$BS$37+$BS$36+$BS$35+$BS$34+$BS$33+$BS$32+$BS$31+$BS$30+$BS$29+$BS$28</f>
        <v>0</v>
      </c>
      <c r="BT51" s="387"/>
      <c r="BU51" s="388">
        <f>+$BU$50+$BU$49+$BU$48+$BU$47+$BU$46+$BU$45+$BU$44+$BU$43+$BU$42+$BU$41+$BU$40+$BU$39+$BU$38+$BU$37+$BU$36+$BU$35+$BU$34+$BU$33+$BU$32+$BU$31+$BU$30+$BU$29+$BU$28</f>
        <v>0</v>
      </c>
      <c r="BV51" s="387"/>
      <c r="BW51" s="388">
        <f>+$BW$50+$BW$49+$BW$48+$BW$47+$BW$46+$BW$45+$BW$44+$BW$43+$BW$42+$BW$41+$BW$40+$BW$39+$BW$38+$BW$37+$BW$36+$BW$35+$BW$34+$BW$33+$BW$32+$BW$31+$BW$30+$BW$29+$BW$28</f>
        <v>0</v>
      </c>
      <c r="BX51" s="387"/>
      <c r="BY51" s="388">
        <f>+$BY$50+$BY$49+$BY$48+$BY$47+$BY$46+$BY$45+$BY$44+$BY$43+$BY$42+$BY$41+$BY$40+$BY$39+$BY$38+$BY$37+$BY$36+$BY$35+$BY$34+$BY$33+$BY$32+$BY$31+$BY$30+$BY$29+$BY$28</f>
        <v>0</v>
      </c>
      <c r="BZ51" s="387"/>
      <c r="CA51" s="388">
        <f>+$CA$50+$CA$49+$CA$48+$CA$47+$CA$46+$CA$45+$CA$44+$CA$43+$CA$42+$CA$41+$CA$40+$CA$39+$CA$38+$CA$37+$CA$36+$CA$35+$CA$34+$CA$33+$CA$32+$CA$31+$CA$30+$CA$29+$CA$28</f>
        <v>0</v>
      </c>
      <c r="CB51" s="387"/>
      <c r="CC51" s="388">
        <f>+$CC$50+$CC$49+$CC$48+$CC$47+$CC$46+$CC$45+$CC$44+$CC$43+$CC$42+$CC$41+$CC$40+$CC$39+$CC$38+$CC$37+$CC$36+$CC$35+$CC$34+$CC$33+$CC$32+$CC$31+$CC$30+$CC$29+$CC$28</f>
        <v>0</v>
      </c>
      <c r="CD51" s="414">
        <f t="shared" si="5"/>
        <v>0</v>
      </c>
      <c r="CE51" s="387"/>
      <c r="CF51" s="388">
        <f>+$CF$50+$CF$49+$CF$48+$CF$47+$CF$46+$CF$45+$CF$44+$CF$43+$CF$42+$CF$41+$CF$40+$CF$39+$CF$38+$CF$37+$CF$36+$CF$35+$CF$34+$CF$33+$CF$32+$CF$31+$CF$30+$CF$29+$CF$28</f>
        <v>0</v>
      </c>
      <c r="CG51" s="387"/>
      <c r="CH51" s="388">
        <f>+$CH$50+$CH$49+$CH$48+$CH$47+$CH$46+$CH$45+$CH$44+$CH$43+$CH$42+$CH$41+$CH$40+$CH$39+$CH$38+$CH$37+$CH$36+$CH$35+$CH$34+$CH$33+$CH$32+$CH$31+$CH$30+$CH$29+$CH$28</f>
        <v>0</v>
      </c>
      <c r="CI51" s="387"/>
      <c r="CJ51" s="388">
        <f>+$CJ$50+$CJ$49+$CJ$48+$CJ$47+$CJ$46+$CJ$45+$CJ$44+$CJ$43+$CJ$42+$CJ$41+$CJ$40+$CJ$39+$CJ$38+$CJ$37+$CJ$36+$CJ$35+$CJ$34+$CJ$33+$CJ$32+$CJ$31+$CJ$30+$CJ$29+$CJ$28</f>
        <v>0</v>
      </c>
      <c r="CK51" s="387"/>
      <c r="CL51" s="388">
        <f>+$CL$50+$CL$49+$CL$48+$CL$47+$CL$46+$CL$45+$CL$44+$CL$43+$CL$42+$CL$41+$CL$40+$CL$39+$CL$38+$CL$37+$CL$36+$CL$35+$CL$34+$CL$33+$CL$32+$CL$31+$CL$30+$CL$29+$CL$28</f>
        <v>0</v>
      </c>
      <c r="CM51" s="387"/>
      <c r="CN51" s="388">
        <f>+$CN$50+$CN$49+$CN$48+$CN$47+$CN$46+$CN$45+$CN$44+$CN$43+$CN$42+$CN$41+$CN$40+$CN$39+$CN$38+$CN$37+$CN$36+$CN$35+$CN$34+$CN$33+$CN$32+$CN$31+$CN$30+$CN$29+$CN$28</f>
        <v>0</v>
      </c>
      <c r="CO51" s="387"/>
      <c r="CP51" s="388">
        <f>+$CP$50+$CP$49+$CP$48+$CP$47+$CP$46+$CP$45+$CP$44+$CP$43+$CP$42+$CP$41+$CP$40+$CP$39+$CP$38+$CP$37+$CP$36+$CP$35+$CP$34+$CP$33+$CP$32+$CP$31+$CP$30+$CP$29+$CP$28</f>
        <v>0</v>
      </c>
      <c r="CQ51" s="414">
        <f t="shared" si="6"/>
        <v>0</v>
      </c>
      <c r="CR51" s="387"/>
      <c r="CS51" s="388">
        <f>+$CS$50+$CS$49+$CS$48+$CS$47+$CS$46+$CS$45+$CS$44+$CS$43+$CS$42+$CS$41+$CS$40+$CS$39+$CS$38+$CS$37+$CS$36+$CS$35+$CS$34+$CS$33+$CS$32+$CS$31+$CS$30+$CS$29+$CS$28</f>
        <v>0</v>
      </c>
      <c r="CT51" s="387"/>
      <c r="CU51" s="388">
        <f>+$CU$50+$CU$49+$CU$48+$CU$47+$CU$46+$CU$45+$CU$44+$CU$43+$CU$42+$CU$41+$CU$40+$CU$39+$CU$38+$CU$37+$CU$36+$CU$35+$CU$34+$CU$33+$CU$32+$CU$31+$CU$30+$CU$29+$CU$28</f>
        <v>0</v>
      </c>
      <c r="CV51" s="387"/>
      <c r="CW51" s="388">
        <f>+$CW$50+$CW$49+$CW$48+$CW$47+$CW$46+$CW$45+$CW$44+$CW$43+$CW$42+$CW$41+$CW$40+$CW$39+$CW$38+$CW$37+$CW$36+$CW$35+$CW$34+$CW$33+$CW$32+$CW$31+$CW$30+$CW$29+$CW$28</f>
        <v>0</v>
      </c>
      <c r="CX51" s="387"/>
      <c r="CY51" s="388">
        <f>+$CY$50+$CY$49+$CY$48+$CY$47+$CY$46+$CY$45+$CY$44+$CY$43+$CY$42+$CY$41+$CY$40+$CY$39+$CY$38+$CY$37+$CY$36+$CY$35+$CY$34+$CY$33+$CY$32+$CY$31+$CY$30+$CY$29+$CY$28</f>
        <v>0</v>
      </c>
      <c r="CZ51" s="414">
        <f t="shared" si="7"/>
        <v>0</v>
      </c>
      <c r="DA51" s="387"/>
      <c r="DB51" s="388">
        <f>+$DB$50+$DB$49+$DB$48+$DB$47+$DB$46+$DB$45+$DB$44+$DB$43+$DB$42+$DB$41+$DB$40+$DB$39+$DB$38+$DB$37+$DB$36+$DB$35+$DB$34+$DB$33+$DB$32+$DB$31+$DB$30+$DB$29+$DB$28</f>
        <v>0</v>
      </c>
      <c r="DC51" s="414">
        <f t="shared" si="8"/>
        <v>0</v>
      </c>
      <c r="DD51" s="389">
        <f>+$U$51+$AF$51+$AQ$51+$BD$51+$BQ$51+$CD$51+$CQ$51+$CZ$51+$DC$51</f>
        <v>1748</v>
      </c>
    </row>
    <row r="52" spans="1:108" ht="17.45" customHeight="1">
      <c r="A52" s="357"/>
      <c r="B52" s="357"/>
      <c r="C52" s="357" t="s">
        <v>1234</v>
      </c>
      <c r="D52" s="357"/>
      <c r="E52" s="357"/>
      <c r="F52" s="357"/>
      <c r="G52" s="358" t="s">
        <v>1215</v>
      </c>
      <c r="H52" s="358" t="s">
        <v>1213</v>
      </c>
      <c r="I52" s="396"/>
      <c r="J52" s="395"/>
      <c r="K52" s="396"/>
      <c r="L52" s="395"/>
      <c r="M52" s="396"/>
      <c r="N52" s="395"/>
      <c r="O52" s="396"/>
      <c r="P52" s="395"/>
      <c r="Q52" s="396"/>
      <c r="R52" s="395"/>
      <c r="S52" s="396"/>
      <c r="T52" s="395"/>
      <c r="U52" s="417">
        <f t="shared" si="0"/>
        <v>0</v>
      </c>
      <c r="V52" s="396"/>
      <c r="W52" s="395"/>
      <c r="X52" s="396"/>
      <c r="Y52" s="395"/>
      <c r="Z52" s="396"/>
      <c r="AA52" s="395"/>
      <c r="AB52" s="396"/>
      <c r="AC52" s="395"/>
      <c r="AD52" s="396"/>
      <c r="AE52" s="395"/>
      <c r="AF52" s="417">
        <f t="shared" si="1"/>
        <v>0</v>
      </c>
      <c r="AG52" s="396"/>
      <c r="AH52" s="395"/>
      <c r="AI52" s="396"/>
      <c r="AJ52" s="395"/>
      <c r="AK52" s="396"/>
      <c r="AL52" s="395"/>
      <c r="AM52" s="396"/>
      <c r="AN52" s="395"/>
      <c r="AO52" s="396"/>
      <c r="AP52" s="395"/>
      <c r="AQ52" s="417">
        <f t="shared" si="2"/>
        <v>0</v>
      </c>
      <c r="AR52" s="396"/>
      <c r="AS52" s="395"/>
      <c r="AT52" s="396"/>
      <c r="AU52" s="395"/>
      <c r="AV52" s="396"/>
      <c r="AW52" s="395"/>
      <c r="AX52" s="396"/>
      <c r="AY52" s="395"/>
      <c r="AZ52" s="396"/>
      <c r="BA52" s="395"/>
      <c r="BB52" s="396"/>
      <c r="BC52" s="395"/>
      <c r="BD52" s="417">
        <f t="shared" si="3"/>
        <v>0</v>
      </c>
      <c r="BE52" s="396"/>
      <c r="BF52" s="395"/>
      <c r="BG52" s="396"/>
      <c r="BH52" s="395"/>
      <c r="BI52" s="396"/>
      <c r="BJ52" s="395"/>
      <c r="BK52" s="396"/>
      <c r="BL52" s="395"/>
      <c r="BM52" s="396"/>
      <c r="BN52" s="395"/>
      <c r="BO52" s="396"/>
      <c r="BP52" s="395"/>
      <c r="BQ52" s="417">
        <f t="shared" si="4"/>
        <v>0</v>
      </c>
      <c r="BR52" s="396"/>
      <c r="BS52" s="395"/>
      <c r="BT52" s="396"/>
      <c r="BU52" s="395"/>
      <c r="BV52" s="396"/>
      <c r="BW52" s="395"/>
      <c r="BX52" s="396"/>
      <c r="BY52" s="395"/>
      <c r="BZ52" s="396"/>
      <c r="CA52" s="395"/>
      <c r="CB52" s="396"/>
      <c r="CC52" s="395"/>
      <c r="CD52" s="417">
        <f t="shared" si="5"/>
        <v>0</v>
      </c>
      <c r="CE52" s="396"/>
      <c r="CF52" s="395"/>
      <c r="CG52" s="396"/>
      <c r="CH52" s="395"/>
      <c r="CI52" s="396"/>
      <c r="CJ52" s="395"/>
      <c r="CK52" s="396"/>
      <c r="CL52" s="395"/>
      <c r="CM52" s="396"/>
      <c r="CN52" s="395"/>
      <c r="CO52" s="396"/>
      <c r="CP52" s="395"/>
      <c r="CQ52" s="417">
        <f t="shared" si="6"/>
        <v>0</v>
      </c>
      <c r="CR52" s="396"/>
      <c r="CS52" s="395"/>
      <c r="CT52" s="396"/>
      <c r="CU52" s="395"/>
      <c r="CV52" s="396"/>
      <c r="CW52" s="395"/>
      <c r="CX52" s="396"/>
      <c r="CY52" s="395"/>
      <c r="CZ52" s="417">
        <f t="shared" si="7"/>
        <v>0</v>
      </c>
      <c r="DA52" s="396"/>
      <c r="DB52" s="395"/>
      <c r="DC52" s="417">
        <f t="shared" si="8"/>
        <v>0</v>
      </c>
      <c r="DD52" s="397">
        <f>+$U$52+$AF$52+$AQ$52+$BD$52+$BQ$52+$CD$52+$CQ$52+$CZ$52+$DC$52</f>
        <v>0</v>
      </c>
    </row>
    <row r="53" spans="1:108" ht="17.45" customHeight="1">
      <c r="A53" s="357"/>
      <c r="B53" s="357"/>
      <c r="C53" s="357"/>
      <c r="D53" s="357"/>
      <c r="E53" s="357"/>
      <c r="F53" s="357"/>
      <c r="G53" s="347" t="s">
        <v>1141</v>
      </c>
      <c r="H53" s="347" t="s">
        <v>1142</v>
      </c>
      <c r="I53" s="380"/>
      <c r="J53" s="355"/>
      <c r="K53" s="380"/>
      <c r="L53" s="355"/>
      <c r="M53" s="380"/>
      <c r="N53" s="355"/>
      <c r="O53" s="380"/>
      <c r="P53" s="355"/>
      <c r="Q53" s="380"/>
      <c r="R53" s="355"/>
      <c r="S53" s="380"/>
      <c r="T53" s="355"/>
      <c r="U53" s="414">
        <f t="shared" si="0"/>
        <v>0</v>
      </c>
      <c r="V53" s="380"/>
      <c r="W53" s="355"/>
      <c r="X53" s="380"/>
      <c r="Y53" s="355"/>
      <c r="Z53" s="380"/>
      <c r="AA53" s="355"/>
      <c r="AB53" s="380"/>
      <c r="AC53" s="355"/>
      <c r="AD53" s="380"/>
      <c r="AE53" s="355"/>
      <c r="AF53" s="414">
        <f t="shared" si="1"/>
        <v>0</v>
      </c>
      <c r="AG53" s="380"/>
      <c r="AH53" s="355"/>
      <c r="AI53" s="380"/>
      <c r="AJ53" s="355"/>
      <c r="AK53" s="380"/>
      <c r="AL53" s="355"/>
      <c r="AM53" s="380"/>
      <c r="AN53" s="355"/>
      <c r="AO53" s="380"/>
      <c r="AP53" s="355"/>
      <c r="AQ53" s="414">
        <f t="shared" si="2"/>
        <v>0</v>
      </c>
      <c r="AR53" s="380"/>
      <c r="AS53" s="355"/>
      <c r="AT53" s="380"/>
      <c r="AU53" s="355"/>
      <c r="AV53" s="380"/>
      <c r="AW53" s="355"/>
      <c r="AX53" s="380"/>
      <c r="AY53" s="355"/>
      <c r="AZ53" s="380"/>
      <c r="BA53" s="355"/>
      <c r="BB53" s="380"/>
      <c r="BC53" s="355"/>
      <c r="BD53" s="414">
        <f t="shared" si="3"/>
        <v>0</v>
      </c>
      <c r="BE53" s="380"/>
      <c r="BF53" s="355"/>
      <c r="BG53" s="380"/>
      <c r="BH53" s="355"/>
      <c r="BI53" s="380"/>
      <c r="BJ53" s="355"/>
      <c r="BK53" s="380"/>
      <c r="BL53" s="355"/>
      <c r="BM53" s="380"/>
      <c r="BN53" s="355"/>
      <c r="BO53" s="380"/>
      <c r="BP53" s="355"/>
      <c r="BQ53" s="414">
        <f t="shared" si="4"/>
        <v>0</v>
      </c>
      <c r="BR53" s="380"/>
      <c r="BS53" s="355"/>
      <c r="BT53" s="380"/>
      <c r="BU53" s="355"/>
      <c r="BV53" s="380"/>
      <c r="BW53" s="355"/>
      <c r="BX53" s="380"/>
      <c r="BY53" s="355"/>
      <c r="BZ53" s="380"/>
      <c r="CA53" s="355"/>
      <c r="CB53" s="380"/>
      <c r="CC53" s="355"/>
      <c r="CD53" s="414">
        <f t="shared" si="5"/>
        <v>0</v>
      </c>
      <c r="CE53" s="380"/>
      <c r="CF53" s="355"/>
      <c r="CG53" s="380"/>
      <c r="CH53" s="355"/>
      <c r="CI53" s="380"/>
      <c r="CJ53" s="355"/>
      <c r="CK53" s="380"/>
      <c r="CL53" s="355"/>
      <c r="CM53" s="380"/>
      <c r="CN53" s="355"/>
      <c r="CO53" s="380"/>
      <c r="CP53" s="355"/>
      <c r="CQ53" s="414">
        <f t="shared" si="6"/>
        <v>0</v>
      </c>
      <c r="CR53" s="380"/>
      <c r="CS53" s="355"/>
      <c r="CT53" s="380"/>
      <c r="CU53" s="355"/>
      <c r="CV53" s="380"/>
      <c r="CW53" s="355"/>
      <c r="CX53" s="380"/>
      <c r="CY53" s="355"/>
      <c r="CZ53" s="414">
        <f t="shared" si="7"/>
        <v>0</v>
      </c>
      <c r="DA53" s="380"/>
      <c r="DB53" s="355"/>
      <c r="DC53" s="414">
        <f t="shared" si="8"/>
        <v>0</v>
      </c>
      <c r="DD53" s="356">
        <f>+$U$53+$AF$53+$AQ$53+$BD$53+$BQ$53+$CD$53+$CQ$53+$CZ$53+$DC$53</f>
        <v>0</v>
      </c>
    </row>
    <row r="54" spans="1:108" ht="17.45" customHeight="1">
      <c r="A54" s="357"/>
      <c r="B54" s="357"/>
      <c r="C54" s="357"/>
      <c r="D54" s="357"/>
      <c r="E54" s="357"/>
      <c r="F54" s="357" t="s">
        <v>37</v>
      </c>
      <c r="G54" s="347" t="s">
        <v>1112</v>
      </c>
      <c r="H54" s="347" t="s">
        <v>1113</v>
      </c>
      <c r="I54" s="380"/>
      <c r="J54" s="355"/>
      <c r="K54" s="380"/>
      <c r="L54" s="355"/>
      <c r="M54" s="380"/>
      <c r="N54" s="355"/>
      <c r="O54" s="380"/>
      <c r="P54" s="355"/>
      <c r="Q54" s="380"/>
      <c r="R54" s="355"/>
      <c r="S54" s="380"/>
      <c r="T54" s="355"/>
      <c r="U54" s="414">
        <f t="shared" si="0"/>
        <v>0</v>
      </c>
      <c r="V54" s="380"/>
      <c r="W54" s="355"/>
      <c r="X54" s="380"/>
      <c r="Y54" s="355"/>
      <c r="Z54" s="380"/>
      <c r="AA54" s="355"/>
      <c r="AB54" s="380"/>
      <c r="AC54" s="355"/>
      <c r="AD54" s="380"/>
      <c r="AE54" s="355"/>
      <c r="AF54" s="414">
        <f t="shared" si="1"/>
        <v>0</v>
      </c>
      <c r="AG54" s="380"/>
      <c r="AH54" s="355"/>
      <c r="AI54" s="380"/>
      <c r="AJ54" s="355"/>
      <c r="AK54" s="380"/>
      <c r="AL54" s="355"/>
      <c r="AM54" s="380"/>
      <c r="AN54" s="355"/>
      <c r="AO54" s="380"/>
      <c r="AP54" s="355"/>
      <c r="AQ54" s="414">
        <f t="shared" si="2"/>
        <v>0</v>
      </c>
      <c r="AR54" s="380"/>
      <c r="AS54" s="355"/>
      <c r="AT54" s="380"/>
      <c r="AU54" s="355"/>
      <c r="AV54" s="380"/>
      <c r="AW54" s="355"/>
      <c r="AX54" s="380"/>
      <c r="AY54" s="355"/>
      <c r="AZ54" s="380"/>
      <c r="BA54" s="355"/>
      <c r="BB54" s="380"/>
      <c r="BC54" s="355"/>
      <c r="BD54" s="414">
        <f t="shared" si="3"/>
        <v>0</v>
      </c>
      <c r="BE54" s="380"/>
      <c r="BF54" s="355"/>
      <c r="BG54" s="380"/>
      <c r="BH54" s="355"/>
      <c r="BI54" s="380"/>
      <c r="BJ54" s="355"/>
      <c r="BK54" s="380"/>
      <c r="BL54" s="355"/>
      <c r="BM54" s="380"/>
      <c r="BN54" s="355"/>
      <c r="BO54" s="380"/>
      <c r="BP54" s="355"/>
      <c r="BQ54" s="414">
        <f t="shared" si="4"/>
        <v>0</v>
      </c>
      <c r="BR54" s="380"/>
      <c r="BS54" s="355"/>
      <c r="BT54" s="380"/>
      <c r="BU54" s="355"/>
      <c r="BV54" s="380"/>
      <c r="BW54" s="355"/>
      <c r="BX54" s="380"/>
      <c r="BY54" s="355"/>
      <c r="BZ54" s="380"/>
      <c r="CA54" s="355"/>
      <c r="CB54" s="380"/>
      <c r="CC54" s="355"/>
      <c r="CD54" s="414">
        <f t="shared" si="5"/>
        <v>0</v>
      </c>
      <c r="CE54" s="380"/>
      <c r="CF54" s="355"/>
      <c r="CG54" s="380"/>
      <c r="CH54" s="355"/>
      <c r="CI54" s="380"/>
      <c r="CJ54" s="355"/>
      <c r="CK54" s="380"/>
      <c r="CL54" s="355"/>
      <c r="CM54" s="380"/>
      <c r="CN54" s="355"/>
      <c r="CO54" s="380"/>
      <c r="CP54" s="355"/>
      <c r="CQ54" s="414">
        <f t="shared" si="6"/>
        <v>0</v>
      </c>
      <c r="CR54" s="380"/>
      <c r="CS54" s="355"/>
      <c r="CT54" s="380"/>
      <c r="CU54" s="355"/>
      <c r="CV54" s="380"/>
      <c r="CW54" s="355"/>
      <c r="CX54" s="380"/>
      <c r="CY54" s="355"/>
      <c r="CZ54" s="414">
        <f t="shared" si="7"/>
        <v>0</v>
      </c>
      <c r="DA54" s="380"/>
      <c r="DB54" s="355"/>
      <c r="DC54" s="414">
        <f t="shared" si="8"/>
        <v>0</v>
      </c>
      <c r="DD54" s="356">
        <f>+$U$54+$AF$54+$AQ$54+$BD$54+$BQ$54+$CD$54+$CQ$54+$CZ$54+$DC$54</f>
        <v>0</v>
      </c>
    </row>
    <row r="55" spans="1:108" ht="17.45" customHeight="1">
      <c r="A55" s="357"/>
      <c r="B55" s="357"/>
      <c r="C55" s="357"/>
      <c r="D55" s="357"/>
      <c r="E55" s="357"/>
      <c r="F55" s="357" t="s">
        <v>37</v>
      </c>
      <c r="G55" s="347" t="s">
        <v>1147</v>
      </c>
      <c r="H55" s="347" t="s">
        <v>1148</v>
      </c>
      <c r="I55" s="380"/>
      <c r="J55" s="355"/>
      <c r="K55" s="380"/>
      <c r="L55" s="355"/>
      <c r="M55" s="380"/>
      <c r="N55" s="355"/>
      <c r="O55" s="380"/>
      <c r="P55" s="355"/>
      <c r="Q55" s="380"/>
      <c r="R55" s="355"/>
      <c r="S55" s="380"/>
      <c r="T55" s="355"/>
      <c r="U55" s="414">
        <f t="shared" si="0"/>
        <v>0</v>
      </c>
      <c r="V55" s="380"/>
      <c r="W55" s="355"/>
      <c r="X55" s="380"/>
      <c r="Y55" s="355"/>
      <c r="Z55" s="380"/>
      <c r="AA55" s="355"/>
      <c r="AB55" s="380"/>
      <c r="AC55" s="355"/>
      <c r="AD55" s="380"/>
      <c r="AE55" s="355"/>
      <c r="AF55" s="414">
        <f t="shared" si="1"/>
        <v>0</v>
      </c>
      <c r="AG55" s="380"/>
      <c r="AH55" s="355"/>
      <c r="AI55" s="380"/>
      <c r="AJ55" s="355"/>
      <c r="AK55" s="380"/>
      <c r="AL55" s="355"/>
      <c r="AM55" s="380"/>
      <c r="AN55" s="355"/>
      <c r="AO55" s="380"/>
      <c r="AP55" s="355"/>
      <c r="AQ55" s="414">
        <f t="shared" si="2"/>
        <v>0</v>
      </c>
      <c r="AR55" s="380"/>
      <c r="AS55" s="355"/>
      <c r="AT55" s="380"/>
      <c r="AU55" s="355"/>
      <c r="AV55" s="380"/>
      <c r="AW55" s="355"/>
      <c r="AX55" s="380"/>
      <c r="AY55" s="355"/>
      <c r="AZ55" s="380"/>
      <c r="BA55" s="355"/>
      <c r="BB55" s="380"/>
      <c r="BC55" s="355"/>
      <c r="BD55" s="414">
        <f t="shared" si="3"/>
        <v>0</v>
      </c>
      <c r="BE55" s="380"/>
      <c r="BF55" s="355"/>
      <c r="BG55" s="380"/>
      <c r="BH55" s="355"/>
      <c r="BI55" s="380"/>
      <c r="BJ55" s="355"/>
      <c r="BK55" s="380"/>
      <c r="BL55" s="355"/>
      <c r="BM55" s="380"/>
      <c r="BN55" s="355"/>
      <c r="BO55" s="380"/>
      <c r="BP55" s="355"/>
      <c r="BQ55" s="414">
        <f t="shared" si="4"/>
        <v>0</v>
      </c>
      <c r="BR55" s="380"/>
      <c r="BS55" s="355"/>
      <c r="BT55" s="380"/>
      <c r="BU55" s="355"/>
      <c r="BV55" s="380"/>
      <c r="BW55" s="355"/>
      <c r="BX55" s="380"/>
      <c r="BY55" s="355"/>
      <c r="BZ55" s="380"/>
      <c r="CA55" s="355"/>
      <c r="CB55" s="380"/>
      <c r="CC55" s="355"/>
      <c r="CD55" s="414">
        <f t="shared" si="5"/>
        <v>0</v>
      </c>
      <c r="CE55" s="380"/>
      <c r="CF55" s="355"/>
      <c r="CG55" s="380"/>
      <c r="CH55" s="355"/>
      <c r="CI55" s="380"/>
      <c r="CJ55" s="355"/>
      <c r="CK55" s="380"/>
      <c r="CL55" s="355"/>
      <c r="CM55" s="380"/>
      <c r="CN55" s="355"/>
      <c r="CO55" s="380"/>
      <c r="CP55" s="355"/>
      <c r="CQ55" s="414">
        <f t="shared" si="6"/>
        <v>0</v>
      </c>
      <c r="CR55" s="380"/>
      <c r="CS55" s="355"/>
      <c r="CT55" s="380"/>
      <c r="CU55" s="355"/>
      <c r="CV55" s="380"/>
      <c r="CW55" s="355"/>
      <c r="CX55" s="380"/>
      <c r="CY55" s="355"/>
      <c r="CZ55" s="414">
        <f t="shared" si="7"/>
        <v>0</v>
      </c>
      <c r="DA55" s="380"/>
      <c r="DB55" s="355"/>
      <c r="DC55" s="414">
        <f t="shared" si="8"/>
        <v>0</v>
      </c>
      <c r="DD55" s="356">
        <f>+$U$55+$AF$55+$AQ$55+$BD$55+$BQ$55+$CD$55+$CQ$55+$CZ$55+$DC$55</f>
        <v>0</v>
      </c>
    </row>
    <row r="56" spans="1:108" ht="17.45" customHeight="1">
      <c r="A56" s="357"/>
      <c r="B56" s="357"/>
      <c r="C56" s="357"/>
      <c r="D56" s="357"/>
      <c r="E56" s="357"/>
      <c r="F56" s="357" t="s">
        <v>37</v>
      </c>
      <c r="G56" s="347" t="s">
        <v>1114</v>
      </c>
      <c r="H56" s="347" t="s">
        <v>1115</v>
      </c>
      <c r="I56" s="381" t="s">
        <v>1853</v>
      </c>
      <c r="J56" s="355">
        <v>71</v>
      </c>
      <c r="K56" s="381" t="s">
        <v>1851</v>
      </c>
      <c r="L56" s="355">
        <v>89</v>
      </c>
      <c r="M56" s="381" t="s">
        <v>1851</v>
      </c>
      <c r="N56" s="355">
        <v>80</v>
      </c>
      <c r="O56" s="381" t="s">
        <v>1852</v>
      </c>
      <c r="P56" s="355">
        <v>66</v>
      </c>
      <c r="Q56" s="380"/>
      <c r="R56" s="355"/>
      <c r="S56" s="380"/>
      <c r="T56" s="355"/>
      <c r="U56" s="414">
        <f t="shared" si="0"/>
        <v>306</v>
      </c>
      <c r="V56" s="380"/>
      <c r="W56" s="355"/>
      <c r="X56" s="380"/>
      <c r="Y56" s="355"/>
      <c r="Z56" s="380"/>
      <c r="AA56" s="355"/>
      <c r="AB56" s="380"/>
      <c r="AC56" s="355"/>
      <c r="AD56" s="380"/>
      <c r="AE56" s="355"/>
      <c r="AF56" s="414">
        <f t="shared" si="1"/>
        <v>0</v>
      </c>
      <c r="AG56" s="380"/>
      <c r="AH56" s="355"/>
      <c r="AI56" s="380"/>
      <c r="AJ56" s="355"/>
      <c r="AK56" s="380"/>
      <c r="AL56" s="355"/>
      <c r="AM56" s="380"/>
      <c r="AN56" s="355"/>
      <c r="AO56" s="380"/>
      <c r="AP56" s="355"/>
      <c r="AQ56" s="414">
        <f t="shared" si="2"/>
        <v>0</v>
      </c>
      <c r="AR56" s="380"/>
      <c r="AS56" s="355"/>
      <c r="AT56" s="380"/>
      <c r="AU56" s="355"/>
      <c r="AV56" s="380"/>
      <c r="AW56" s="355"/>
      <c r="AX56" s="380"/>
      <c r="AY56" s="355"/>
      <c r="AZ56" s="380"/>
      <c r="BA56" s="355"/>
      <c r="BB56" s="380"/>
      <c r="BC56" s="355"/>
      <c r="BD56" s="414">
        <f t="shared" si="3"/>
        <v>0</v>
      </c>
      <c r="BE56" s="380"/>
      <c r="BF56" s="355"/>
      <c r="BG56" s="380"/>
      <c r="BH56" s="355"/>
      <c r="BI56" s="380"/>
      <c r="BJ56" s="355"/>
      <c r="BK56" s="380"/>
      <c r="BL56" s="355"/>
      <c r="BM56" s="380"/>
      <c r="BN56" s="355"/>
      <c r="BO56" s="380"/>
      <c r="BP56" s="355"/>
      <c r="BQ56" s="414">
        <f t="shared" si="4"/>
        <v>0</v>
      </c>
      <c r="BR56" s="380"/>
      <c r="BS56" s="355"/>
      <c r="BT56" s="380"/>
      <c r="BU56" s="355"/>
      <c r="BV56" s="380"/>
      <c r="BW56" s="355"/>
      <c r="BX56" s="380"/>
      <c r="BY56" s="355"/>
      <c r="BZ56" s="380"/>
      <c r="CA56" s="355"/>
      <c r="CB56" s="380"/>
      <c r="CC56" s="355"/>
      <c r="CD56" s="414">
        <f t="shared" si="5"/>
        <v>0</v>
      </c>
      <c r="CE56" s="380"/>
      <c r="CF56" s="355"/>
      <c r="CG56" s="380"/>
      <c r="CH56" s="355"/>
      <c r="CI56" s="380"/>
      <c r="CJ56" s="355"/>
      <c r="CK56" s="380"/>
      <c r="CL56" s="355"/>
      <c r="CM56" s="380"/>
      <c r="CN56" s="355"/>
      <c r="CO56" s="380"/>
      <c r="CP56" s="355"/>
      <c r="CQ56" s="414">
        <f t="shared" si="6"/>
        <v>0</v>
      </c>
      <c r="CR56" s="380"/>
      <c r="CS56" s="355"/>
      <c r="CT56" s="380"/>
      <c r="CU56" s="355"/>
      <c r="CV56" s="380"/>
      <c r="CW56" s="355"/>
      <c r="CX56" s="380"/>
      <c r="CY56" s="355"/>
      <c r="CZ56" s="414">
        <f t="shared" si="7"/>
        <v>0</v>
      </c>
      <c r="DA56" s="380"/>
      <c r="DB56" s="355"/>
      <c r="DC56" s="414">
        <f t="shared" si="8"/>
        <v>0</v>
      </c>
      <c r="DD56" s="356">
        <f>+$U$56+$AF$56+$AQ$56+$BD$56+$BQ$56+$CD$56+$CQ$56+$CZ$56+$DC$56</f>
        <v>306</v>
      </c>
    </row>
    <row r="57" spans="1:108" ht="17.45" customHeight="1">
      <c r="A57" s="357"/>
      <c r="B57" s="357"/>
      <c r="C57" s="357"/>
      <c r="D57" s="357"/>
      <c r="E57" s="357"/>
      <c r="F57" s="357"/>
      <c r="G57" s="379" t="s">
        <v>1149</v>
      </c>
      <c r="H57" s="347" t="s">
        <v>1150</v>
      </c>
      <c r="I57" s="380"/>
      <c r="J57" s="355"/>
      <c r="K57" s="381" t="s">
        <v>1852</v>
      </c>
      <c r="L57" s="355">
        <v>39</v>
      </c>
      <c r="M57" s="381" t="s">
        <v>1852</v>
      </c>
      <c r="N57" s="355">
        <v>67</v>
      </c>
      <c r="O57" s="380"/>
      <c r="P57" s="355"/>
      <c r="Q57" s="381" t="s">
        <v>1853</v>
      </c>
      <c r="R57" s="355">
        <v>35</v>
      </c>
      <c r="S57" s="381" t="s">
        <v>1852</v>
      </c>
      <c r="T57" s="355">
        <v>113</v>
      </c>
      <c r="U57" s="414">
        <f t="shared" ref="U57" si="57">SUM(J57:T57)</f>
        <v>254</v>
      </c>
      <c r="V57" s="380"/>
      <c r="W57" s="355"/>
      <c r="X57" s="380"/>
      <c r="Y57" s="355"/>
      <c r="Z57" s="380"/>
      <c r="AA57" s="355"/>
      <c r="AB57" s="380"/>
      <c r="AC57" s="355"/>
      <c r="AD57" s="380"/>
      <c r="AE57" s="355"/>
      <c r="AF57" s="414">
        <f t="shared" ref="AF57" si="58">SUM(W57:AE57)</f>
        <v>0</v>
      </c>
      <c r="AG57" s="380"/>
      <c r="AH57" s="355"/>
      <c r="AI57" s="380"/>
      <c r="AJ57" s="355"/>
      <c r="AK57" s="380"/>
      <c r="AL57" s="355"/>
      <c r="AM57" s="380"/>
      <c r="AN57" s="355"/>
      <c r="AO57" s="380"/>
      <c r="AP57" s="355"/>
      <c r="AQ57" s="414">
        <f t="shared" ref="AQ57" si="59">SUM(AH57:AP57)</f>
        <v>0</v>
      </c>
      <c r="AR57" s="380"/>
      <c r="AS57" s="355"/>
      <c r="AT57" s="380"/>
      <c r="AU57" s="355"/>
      <c r="AV57" s="380"/>
      <c r="AW57" s="355"/>
      <c r="AX57" s="380"/>
      <c r="AY57" s="355"/>
      <c r="AZ57" s="380"/>
      <c r="BA57" s="355"/>
      <c r="BB57" s="380"/>
      <c r="BC57" s="355"/>
      <c r="BD57" s="414">
        <f t="shared" ref="BD57" si="60">SUM(AS57:BC57)</f>
        <v>0</v>
      </c>
      <c r="BE57" s="380"/>
      <c r="BF57" s="355"/>
      <c r="BG57" s="380"/>
      <c r="BH57" s="355"/>
      <c r="BI57" s="380"/>
      <c r="BJ57" s="355"/>
      <c r="BK57" s="380"/>
      <c r="BL57" s="355"/>
      <c r="BM57" s="380"/>
      <c r="BN57" s="355"/>
      <c r="BO57" s="380"/>
      <c r="BP57" s="355"/>
      <c r="BQ57" s="414">
        <f t="shared" ref="BQ57" si="61">SUM(BF57:BP57)</f>
        <v>0</v>
      </c>
      <c r="BR57" s="380"/>
      <c r="BS57" s="355"/>
      <c r="BT57" s="380"/>
      <c r="BU57" s="355"/>
      <c r="BV57" s="380"/>
      <c r="BW57" s="355"/>
      <c r="BX57" s="380"/>
      <c r="BY57" s="355"/>
      <c r="BZ57" s="380"/>
      <c r="CA57" s="355"/>
      <c r="CB57" s="380"/>
      <c r="CC57" s="355"/>
      <c r="CD57" s="414">
        <f t="shared" ref="CD57" si="62">SUM(BS57:CC57)</f>
        <v>0</v>
      </c>
      <c r="CE57" s="380"/>
      <c r="CF57" s="355"/>
      <c r="CG57" s="380"/>
      <c r="CH57" s="355"/>
      <c r="CI57" s="380"/>
      <c r="CJ57" s="355"/>
      <c r="CK57" s="380"/>
      <c r="CL57" s="355"/>
      <c r="CM57" s="380"/>
      <c r="CN57" s="355"/>
      <c r="CO57" s="380"/>
      <c r="CP57" s="355"/>
      <c r="CQ57" s="414">
        <f t="shared" ref="CQ57" si="63">SUM(CF57:CP57)</f>
        <v>0</v>
      </c>
      <c r="CR57" s="380"/>
      <c r="CS57" s="355"/>
      <c r="CT57" s="380"/>
      <c r="CU57" s="355"/>
      <c r="CV57" s="380"/>
      <c r="CW57" s="355"/>
      <c r="CX57" s="380"/>
      <c r="CY57" s="355"/>
      <c r="CZ57" s="414">
        <f t="shared" ref="CZ57" si="64">SUM(CS57:CY57)</f>
        <v>0</v>
      </c>
      <c r="DA57" s="380"/>
      <c r="DB57" s="355"/>
      <c r="DC57" s="414">
        <f t="shared" si="8"/>
        <v>0</v>
      </c>
      <c r="DD57" s="356">
        <f>+$U$57+$AF$57+$AQ$57+$BD$57+$BQ$57+$CD$57+$CQ$57+$CZ$57+$DC$57</f>
        <v>254</v>
      </c>
    </row>
    <row r="58" spans="1:108" ht="17.45" customHeight="1">
      <c r="A58" s="357"/>
      <c r="B58" s="357"/>
      <c r="C58" s="357"/>
      <c r="D58" s="357"/>
      <c r="E58" s="357"/>
      <c r="F58" s="357"/>
      <c r="G58" s="379" t="s">
        <v>1149</v>
      </c>
      <c r="H58" s="347" t="s">
        <v>1150</v>
      </c>
      <c r="I58" s="380"/>
      <c r="J58" s="355"/>
      <c r="K58" s="380"/>
      <c r="L58" s="355"/>
      <c r="M58" s="380"/>
      <c r="N58" s="355"/>
      <c r="O58" s="380"/>
      <c r="P58" s="355"/>
      <c r="Q58" s="380"/>
      <c r="R58" s="355"/>
      <c r="S58" s="380"/>
      <c r="T58" s="355"/>
      <c r="U58" s="414">
        <f t="shared" si="0"/>
        <v>0</v>
      </c>
      <c r="V58" s="380"/>
      <c r="W58" s="355"/>
      <c r="X58" s="380"/>
      <c r="Y58" s="355"/>
      <c r="Z58" s="380"/>
      <c r="AA58" s="355"/>
      <c r="AB58" s="380"/>
      <c r="AC58" s="355"/>
      <c r="AD58" s="380"/>
      <c r="AE58" s="355"/>
      <c r="AF58" s="414">
        <f t="shared" si="1"/>
        <v>0</v>
      </c>
      <c r="AG58" s="380"/>
      <c r="AH58" s="355"/>
      <c r="AI58" s="380"/>
      <c r="AJ58" s="355"/>
      <c r="AK58" s="380"/>
      <c r="AL58" s="355"/>
      <c r="AM58" s="380"/>
      <c r="AN58" s="355"/>
      <c r="AO58" s="380"/>
      <c r="AP58" s="355"/>
      <c r="AQ58" s="414">
        <f t="shared" si="2"/>
        <v>0</v>
      </c>
      <c r="AR58" s="380"/>
      <c r="AS58" s="355"/>
      <c r="AT58" s="380"/>
      <c r="AU58" s="355"/>
      <c r="AV58" s="380"/>
      <c r="AW58" s="355"/>
      <c r="AX58" s="380"/>
      <c r="AY58" s="355"/>
      <c r="AZ58" s="380"/>
      <c r="BA58" s="355"/>
      <c r="BB58" s="380"/>
      <c r="BC58" s="355"/>
      <c r="BD58" s="414">
        <f t="shared" si="3"/>
        <v>0</v>
      </c>
      <c r="BE58" s="380"/>
      <c r="BF58" s="355"/>
      <c r="BG58" s="380"/>
      <c r="BH58" s="355"/>
      <c r="BI58" s="380"/>
      <c r="BJ58" s="355"/>
      <c r="BK58" s="380"/>
      <c r="BL58" s="355"/>
      <c r="BM58" s="380"/>
      <c r="BN58" s="355"/>
      <c r="BO58" s="380"/>
      <c r="BP58" s="355"/>
      <c r="BQ58" s="414">
        <f t="shared" si="4"/>
        <v>0</v>
      </c>
      <c r="BR58" s="380"/>
      <c r="BS58" s="355"/>
      <c r="BT58" s="380"/>
      <c r="BU58" s="355"/>
      <c r="BV58" s="380"/>
      <c r="BW58" s="355"/>
      <c r="BX58" s="380"/>
      <c r="BY58" s="355"/>
      <c r="BZ58" s="380"/>
      <c r="CA58" s="355"/>
      <c r="CB58" s="380"/>
      <c r="CC58" s="355"/>
      <c r="CD58" s="414">
        <f t="shared" si="5"/>
        <v>0</v>
      </c>
      <c r="CE58" s="380"/>
      <c r="CF58" s="355"/>
      <c r="CG58" s="380"/>
      <c r="CH58" s="355"/>
      <c r="CI58" s="380"/>
      <c r="CJ58" s="355"/>
      <c r="CK58" s="380"/>
      <c r="CL58" s="355"/>
      <c r="CM58" s="380"/>
      <c r="CN58" s="355"/>
      <c r="CO58" s="380"/>
      <c r="CP58" s="355"/>
      <c r="CQ58" s="414">
        <f t="shared" si="6"/>
        <v>0</v>
      </c>
      <c r="CR58" s="380"/>
      <c r="CS58" s="355"/>
      <c r="CT58" s="380"/>
      <c r="CU58" s="355"/>
      <c r="CV58" s="380"/>
      <c r="CW58" s="355"/>
      <c r="CX58" s="380"/>
      <c r="CY58" s="355"/>
      <c r="CZ58" s="414">
        <f t="shared" si="7"/>
        <v>0</v>
      </c>
      <c r="DA58" s="380"/>
      <c r="DB58" s="355"/>
      <c r="DC58" s="414">
        <f t="shared" si="8"/>
        <v>0</v>
      </c>
      <c r="DD58" s="356">
        <f>+$U$58+$AF$58+$AQ$58+$BD$58+$BQ$58+$CD$58+$CQ$58+$CZ$58+$DC$58</f>
        <v>0</v>
      </c>
    </row>
    <row r="59" spans="1:108" ht="17.45" customHeight="1">
      <c r="A59" s="357"/>
      <c r="B59" s="357"/>
      <c r="C59" s="357"/>
      <c r="D59" s="357"/>
      <c r="E59" s="357"/>
      <c r="F59" s="357" t="s">
        <v>37</v>
      </c>
      <c r="G59" s="379" t="s">
        <v>1151</v>
      </c>
      <c r="H59" s="347" t="s">
        <v>1152</v>
      </c>
      <c r="I59" s="380"/>
      <c r="J59" s="355"/>
      <c r="K59" s="380"/>
      <c r="L59" s="355"/>
      <c r="M59" s="380"/>
      <c r="N59" s="355"/>
      <c r="O59" s="381" t="s">
        <v>1851</v>
      </c>
      <c r="P59" s="355">
        <v>80</v>
      </c>
      <c r="Q59" s="381" t="s">
        <v>1852</v>
      </c>
      <c r="R59" s="355">
        <v>60</v>
      </c>
      <c r="S59" s="380"/>
      <c r="T59" s="355"/>
      <c r="U59" s="414">
        <f t="shared" ref="U59" si="65">SUM(J59:T59)</f>
        <v>140</v>
      </c>
      <c r="V59" s="380"/>
      <c r="W59" s="355"/>
      <c r="X59" s="380"/>
      <c r="Y59" s="355"/>
      <c r="Z59" s="380"/>
      <c r="AA59" s="355"/>
      <c r="AB59" s="380"/>
      <c r="AC59" s="355"/>
      <c r="AD59" s="380"/>
      <c r="AE59" s="355"/>
      <c r="AF59" s="414">
        <f t="shared" ref="AF59" si="66">SUM(W59:AE59)</f>
        <v>0</v>
      </c>
      <c r="AG59" s="380"/>
      <c r="AH59" s="355"/>
      <c r="AI59" s="380"/>
      <c r="AJ59" s="355"/>
      <c r="AK59" s="380"/>
      <c r="AL59" s="355"/>
      <c r="AM59" s="380"/>
      <c r="AN59" s="355"/>
      <c r="AO59" s="380"/>
      <c r="AP59" s="355"/>
      <c r="AQ59" s="414">
        <f t="shared" ref="AQ59" si="67">SUM(AH59:AP59)</f>
        <v>0</v>
      </c>
      <c r="AR59" s="380"/>
      <c r="AS59" s="355"/>
      <c r="AT59" s="380"/>
      <c r="AU59" s="355"/>
      <c r="AV59" s="380"/>
      <c r="AW59" s="355"/>
      <c r="AX59" s="380"/>
      <c r="AY59" s="355"/>
      <c r="AZ59" s="380"/>
      <c r="BA59" s="355"/>
      <c r="BB59" s="380"/>
      <c r="BC59" s="355"/>
      <c r="BD59" s="414">
        <f t="shared" ref="BD59" si="68">SUM(AS59:BC59)</f>
        <v>0</v>
      </c>
      <c r="BE59" s="380"/>
      <c r="BF59" s="355"/>
      <c r="BG59" s="380"/>
      <c r="BH59" s="355"/>
      <c r="BI59" s="380"/>
      <c r="BJ59" s="355"/>
      <c r="BK59" s="380"/>
      <c r="BL59" s="355"/>
      <c r="BM59" s="380"/>
      <c r="BN59" s="355"/>
      <c r="BO59" s="380"/>
      <c r="BP59" s="355"/>
      <c r="BQ59" s="414">
        <f t="shared" ref="BQ59" si="69">SUM(BF59:BP59)</f>
        <v>0</v>
      </c>
      <c r="BR59" s="380"/>
      <c r="BS59" s="355"/>
      <c r="BT59" s="380"/>
      <c r="BU59" s="355"/>
      <c r="BV59" s="380"/>
      <c r="BW59" s="355"/>
      <c r="BX59" s="380"/>
      <c r="BY59" s="355"/>
      <c r="BZ59" s="380"/>
      <c r="CA59" s="355"/>
      <c r="CB59" s="380"/>
      <c r="CC59" s="355"/>
      <c r="CD59" s="414">
        <f t="shared" ref="CD59" si="70">SUM(BS59:CC59)</f>
        <v>0</v>
      </c>
      <c r="CE59" s="380"/>
      <c r="CF59" s="355"/>
      <c r="CG59" s="380"/>
      <c r="CH59" s="355"/>
      <c r="CI59" s="380"/>
      <c r="CJ59" s="355"/>
      <c r="CK59" s="380"/>
      <c r="CL59" s="355"/>
      <c r="CM59" s="380"/>
      <c r="CN59" s="355"/>
      <c r="CO59" s="380"/>
      <c r="CP59" s="355"/>
      <c r="CQ59" s="414">
        <f t="shared" ref="CQ59" si="71">SUM(CF59:CP59)</f>
        <v>0</v>
      </c>
      <c r="CR59" s="380"/>
      <c r="CS59" s="355"/>
      <c r="CT59" s="380"/>
      <c r="CU59" s="355"/>
      <c r="CV59" s="380"/>
      <c r="CW59" s="355"/>
      <c r="CX59" s="380"/>
      <c r="CY59" s="355"/>
      <c r="CZ59" s="414">
        <f t="shared" ref="CZ59" si="72">SUM(CS59:CY59)</f>
        <v>0</v>
      </c>
      <c r="DA59" s="380"/>
      <c r="DB59" s="355"/>
      <c r="DC59" s="414">
        <f t="shared" si="8"/>
        <v>0</v>
      </c>
      <c r="DD59" s="356">
        <f>+$U$59+$AF$59+$AQ$59+$BD$59+$BQ$59+$CD$59+$CQ$59+$CZ$59+$DC$59</f>
        <v>140</v>
      </c>
    </row>
    <row r="60" spans="1:108" ht="17.45" customHeight="1">
      <c r="A60" s="357"/>
      <c r="B60" s="357"/>
      <c r="C60" s="357"/>
      <c r="D60" s="357"/>
      <c r="E60" s="357"/>
      <c r="F60" s="357" t="s">
        <v>37</v>
      </c>
      <c r="G60" s="379" t="s">
        <v>1151</v>
      </c>
      <c r="H60" s="347" t="s">
        <v>1152</v>
      </c>
      <c r="I60" s="380"/>
      <c r="J60" s="355"/>
      <c r="K60" s="380"/>
      <c r="L60" s="355"/>
      <c r="M60" s="380"/>
      <c r="N60" s="355"/>
      <c r="O60" s="380"/>
      <c r="P60" s="355"/>
      <c r="Q60" s="380"/>
      <c r="R60" s="355"/>
      <c r="S60" s="380"/>
      <c r="T60" s="355"/>
      <c r="U60" s="414">
        <f t="shared" si="0"/>
        <v>0</v>
      </c>
      <c r="V60" s="380"/>
      <c r="W60" s="355"/>
      <c r="X60" s="380"/>
      <c r="Y60" s="355"/>
      <c r="Z60" s="380"/>
      <c r="AA60" s="355"/>
      <c r="AB60" s="380"/>
      <c r="AC60" s="355"/>
      <c r="AD60" s="380"/>
      <c r="AE60" s="355"/>
      <c r="AF60" s="414">
        <f t="shared" si="1"/>
        <v>0</v>
      </c>
      <c r="AG60" s="380"/>
      <c r="AH60" s="355"/>
      <c r="AI60" s="380"/>
      <c r="AJ60" s="355"/>
      <c r="AK60" s="380"/>
      <c r="AL60" s="355"/>
      <c r="AM60" s="380"/>
      <c r="AN60" s="355"/>
      <c r="AO60" s="380"/>
      <c r="AP60" s="355"/>
      <c r="AQ60" s="414">
        <f t="shared" si="2"/>
        <v>0</v>
      </c>
      <c r="AR60" s="380"/>
      <c r="AS60" s="355"/>
      <c r="AT60" s="380"/>
      <c r="AU60" s="355"/>
      <c r="AV60" s="380"/>
      <c r="AW60" s="355"/>
      <c r="AX60" s="380"/>
      <c r="AY60" s="355"/>
      <c r="AZ60" s="380"/>
      <c r="BA60" s="355"/>
      <c r="BB60" s="380"/>
      <c r="BC60" s="355"/>
      <c r="BD60" s="414">
        <f t="shared" si="3"/>
        <v>0</v>
      </c>
      <c r="BE60" s="380"/>
      <c r="BF60" s="355"/>
      <c r="BG60" s="380"/>
      <c r="BH60" s="355"/>
      <c r="BI60" s="380"/>
      <c r="BJ60" s="355"/>
      <c r="BK60" s="380"/>
      <c r="BL60" s="355"/>
      <c r="BM60" s="380"/>
      <c r="BN60" s="355"/>
      <c r="BO60" s="380"/>
      <c r="BP60" s="355"/>
      <c r="BQ60" s="414">
        <f t="shared" si="4"/>
        <v>0</v>
      </c>
      <c r="BR60" s="380"/>
      <c r="BS60" s="355"/>
      <c r="BT60" s="380"/>
      <c r="BU60" s="355"/>
      <c r="BV60" s="380"/>
      <c r="BW60" s="355"/>
      <c r="BX60" s="380"/>
      <c r="BY60" s="355"/>
      <c r="BZ60" s="380"/>
      <c r="CA60" s="355"/>
      <c r="CB60" s="380"/>
      <c r="CC60" s="355"/>
      <c r="CD60" s="414">
        <f t="shared" si="5"/>
        <v>0</v>
      </c>
      <c r="CE60" s="380"/>
      <c r="CF60" s="355"/>
      <c r="CG60" s="380"/>
      <c r="CH60" s="355"/>
      <c r="CI60" s="380"/>
      <c r="CJ60" s="355"/>
      <c r="CK60" s="380"/>
      <c r="CL60" s="355"/>
      <c r="CM60" s="380"/>
      <c r="CN60" s="355"/>
      <c r="CO60" s="380"/>
      <c r="CP60" s="355"/>
      <c r="CQ60" s="414">
        <f t="shared" si="6"/>
        <v>0</v>
      </c>
      <c r="CR60" s="380"/>
      <c r="CS60" s="355"/>
      <c r="CT60" s="380"/>
      <c r="CU60" s="355"/>
      <c r="CV60" s="380"/>
      <c r="CW60" s="355"/>
      <c r="CX60" s="380"/>
      <c r="CY60" s="355"/>
      <c r="CZ60" s="414">
        <f t="shared" si="7"/>
        <v>0</v>
      </c>
      <c r="DA60" s="380"/>
      <c r="DB60" s="355"/>
      <c r="DC60" s="414">
        <f t="shared" si="8"/>
        <v>0</v>
      </c>
      <c r="DD60" s="356">
        <f>+$U$60+$AF$60+$AQ$60+$BD$60+$BQ$60+$CD$60+$CQ$60+$CZ$60+$DC$60</f>
        <v>0</v>
      </c>
    </row>
    <row r="61" spans="1:108" ht="17.45" customHeight="1">
      <c r="A61" s="357"/>
      <c r="B61" s="357"/>
      <c r="C61" s="357"/>
      <c r="D61" s="357"/>
      <c r="E61" s="357"/>
      <c r="F61" s="357"/>
      <c r="G61" s="379" t="s">
        <v>1119</v>
      </c>
      <c r="H61" s="347" t="s">
        <v>1120</v>
      </c>
      <c r="I61" s="380"/>
      <c r="J61" s="355"/>
      <c r="K61" s="380"/>
      <c r="L61" s="355"/>
      <c r="M61" s="380"/>
      <c r="N61" s="355"/>
      <c r="O61" s="381" t="s">
        <v>1855</v>
      </c>
      <c r="P61" s="355">
        <v>36</v>
      </c>
      <c r="Q61" s="381" t="s">
        <v>1849</v>
      </c>
      <c r="R61" s="355">
        <v>84</v>
      </c>
      <c r="S61" s="380"/>
      <c r="T61" s="355"/>
      <c r="U61" s="414">
        <f t="shared" ref="U61" si="73">SUM(J61:T61)</f>
        <v>120</v>
      </c>
      <c r="V61" s="380"/>
      <c r="W61" s="355"/>
      <c r="X61" s="380"/>
      <c r="Y61" s="355"/>
      <c r="Z61" s="380"/>
      <c r="AA61" s="355"/>
      <c r="AB61" s="380"/>
      <c r="AC61" s="355"/>
      <c r="AD61" s="380"/>
      <c r="AE61" s="355"/>
      <c r="AF61" s="414">
        <f t="shared" ref="AF61" si="74">SUM(W61:AE61)</f>
        <v>0</v>
      </c>
      <c r="AG61" s="380"/>
      <c r="AH61" s="355"/>
      <c r="AI61" s="380"/>
      <c r="AJ61" s="355"/>
      <c r="AK61" s="380"/>
      <c r="AL61" s="355"/>
      <c r="AM61" s="380"/>
      <c r="AN61" s="355"/>
      <c r="AO61" s="380"/>
      <c r="AP61" s="355"/>
      <c r="AQ61" s="414">
        <f t="shared" ref="AQ61" si="75">SUM(AH61:AP61)</f>
        <v>0</v>
      </c>
      <c r="AR61" s="380"/>
      <c r="AS61" s="355"/>
      <c r="AT61" s="380"/>
      <c r="AU61" s="355"/>
      <c r="AV61" s="380"/>
      <c r="AW61" s="355"/>
      <c r="AX61" s="380"/>
      <c r="AY61" s="355"/>
      <c r="AZ61" s="380"/>
      <c r="BA61" s="355"/>
      <c r="BB61" s="380"/>
      <c r="BC61" s="355"/>
      <c r="BD61" s="414">
        <f t="shared" ref="BD61" si="76">SUM(AS61:BC61)</f>
        <v>0</v>
      </c>
      <c r="BE61" s="380"/>
      <c r="BF61" s="355"/>
      <c r="BG61" s="380"/>
      <c r="BH61" s="355"/>
      <c r="BI61" s="380"/>
      <c r="BJ61" s="355"/>
      <c r="BK61" s="380"/>
      <c r="BL61" s="355"/>
      <c r="BM61" s="380"/>
      <c r="BN61" s="355"/>
      <c r="BO61" s="380"/>
      <c r="BP61" s="355"/>
      <c r="BQ61" s="414">
        <f t="shared" ref="BQ61" si="77">SUM(BF61:BP61)</f>
        <v>0</v>
      </c>
      <c r="BR61" s="380"/>
      <c r="BS61" s="355"/>
      <c r="BT61" s="380"/>
      <c r="BU61" s="355"/>
      <c r="BV61" s="380"/>
      <c r="BW61" s="355"/>
      <c r="BX61" s="380"/>
      <c r="BY61" s="355"/>
      <c r="BZ61" s="380"/>
      <c r="CA61" s="355"/>
      <c r="CB61" s="380"/>
      <c r="CC61" s="355"/>
      <c r="CD61" s="414">
        <f t="shared" ref="CD61" si="78">SUM(BS61:CC61)</f>
        <v>0</v>
      </c>
      <c r="CE61" s="380"/>
      <c r="CF61" s="355"/>
      <c r="CG61" s="380"/>
      <c r="CH61" s="355"/>
      <c r="CI61" s="380"/>
      <c r="CJ61" s="355"/>
      <c r="CK61" s="380"/>
      <c r="CL61" s="355"/>
      <c r="CM61" s="380"/>
      <c r="CN61" s="355"/>
      <c r="CO61" s="380"/>
      <c r="CP61" s="355"/>
      <c r="CQ61" s="414">
        <f t="shared" ref="CQ61" si="79">SUM(CF61:CP61)</f>
        <v>0</v>
      </c>
      <c r="CR61" s="380"/>
      <c r="CS61" s="355"/>
      <c r="CT61" s="380"/>
      <c r="CU61" s="355"/>
      <c r="CV61" s="380"/>
      <c r="CW61" s="355"/>
      <c r="CX61" s="380"/>
      <c r="CY61" s="355"/>
      <c r="CZ61" s="414">
        <f t="shared" ref="CZ61" si="80">SUM(CS61:CY61)</f>
        <v>0</v>
      </c>
      <c r="DA61" s="380"/>
      <c r="DB61" s="355"/>
      <c r="DC61" s="414">
        <f t="shared" si="8"/>
        <v>0</v>
      </c>
      <c r="DD61" s="356">
        <f>+$U$61+$AF$61+$AQ$61+$BD$61+$BQ$61+$CD$61+$CQ$61+$CZ$61+$DC$61</f>
        <v>120</v>
      </c>
    </row>
    <row r="62" spans="1:108" ht="17.45" customHeight="1">
      <c r="A62" s="357"/>
      <c r="B62" s="357"/>
      <c r="C62" s="357"/>
      <c r="D62" s="357"/>
      <c r="E62" s="357"/>
      <c r="F62" s="357"/>
      <c r="G62" s="379" t="s">
        <v>1119</v>
      </c>
      <c r="H62" s="347" t="s">
        <v>1120</v>
      </c>
      <c r="I62" s="380"/>
      <c r="J62" s="355"/>
      <c r="K62" s="380"/>
      <c r="L62" s="355"/>
      <c r="M62" s="380"/>
      <c r="N62" s="355"/>
      <c r="O62" s="380"/>
      <c r="P62" s="355"/>
      <c r="Q62" s="381" t="s">
        <v>1854</v>
      </c>
      <c r="R62" s="355">
        <v>15</v>
      </c>
      <c r="S62" s="380"/>
      <c r="T62" s="355"/>
      <c r="U62" s="414">
        <f t="shared" si="0"/>
        <v>15</v>
      </c>
      <c r="V62" s="380"/>
      <c r="W62" s="355"/>
      <c r="X62" s="380"/>
      <c r="Y62" s="355"/>
      <c r="Z62" s="380"/>
      <c r="AA62" s="355"/>
      <c r="AB62" s="380"/>
      <c r="AC62" s="355"/>
      <c r="AD62" s="380"/>
      <c r="AE62" s="355"/>
      <c r="AF62" s="414">
        <f t="shared" si="1"/>
        <v>0</v>
      </c>
      <c r="AG62" s="380"/>
      <c r="AH62" s="355"/>
      <c r="AI62" s="380"/>
      <c r="AJ62" s="355"/>
      <c r="AK62" s="380"/>
      <c r="AL62" s="355"/>
      <c r="AM62" s="380"/>
      <c r="AN62" s="355"/>
      <c r="AO62" s="380"/>
      <c r="AP62" s="355"/>
      <c r="AQ62" s="414">
        <f t="shared" si="2"/>
        <v>0</v>
      </c>
      <c r="AR62" s="380"/>
      <c r="AS62" s="355"/>
      <c r="AT62" s="380"/>
      <c r="AU62" s="355"/>
      <c r="AV62" s="380"/>
      <c r="AW62" s="355"/>
      <c r="AX62" s="380"/>
      <c r="AY62" s="355"/>
      <c r="AZ62" s="380"/>
      <c r="BA62" s="355"/>
      <c r="BB62" s="380"/>
      <c r="BC62" s="355"/>
      <c r="BD62" s="414">
        <f t="shared" si="3"/>
        <v>0</v>
      </c>
      <c r="BE62" s="380"/>
      <c r="BF62" s="355"/>
      <c r="BG62" s="380"/>
      <c r="BH62" s="355"/>
      <c r="BI62" s="380"/>
      <c r="BJ62" s="355"/>
      <c r="BK62" s="380"/>
      <c r="BL62" s="355"/>
      <c r="BM62" s="380"/>
      <c r="BN62" s="355"/>
      <c r="BO62" s="380"/>
      <c r="BP62" s="355"/>
      <c r="BQ62" s="414">
        <f t="shared" si="4"/>
        <v>0</v>
      </c>
      <c r="BR62" s="380"/>
      <c r="BS62" s="355"/>
      <c r="BT62" s="380"/>
      <c r="BU62" s="355"/>
      <c r="BV62" s="380"/>
      <c r="BW62" s="355"/>
      <c r="BX62" s="380"/>
      <c r="BY62" s="355"/>
      <c r="BZ62" s="380"/>
      <c r="CA62" s="355"/>
      <c r="CB62" s="380"/>
      <c r="CC62" s="355"/>
      <c r="CD62" s="414">
        <f t="shared" si="5"/>
        <v>0</v>
      </c>
      <c r="CE62" s="380"/>
      <c r="CF62" s="355"/>
      <c r="CG62" s="380"/>
      <c r="CH62" s="355"/>
      <c r="CI62" s="380"/>
      <c r="CJ62" s="355"/>
      <c r="CK62" s="380"/>
      <c r="CL62" s="355"/>
      <c r="CM62" s="380"/>
      <c r="CN62" s="355"/>
      <c r="CO62" s="380"/>
      <c r="CP62" s="355"/>
      <c r="CQ62" s="414">
        <f t="shared" si="6"/>
        <v>0</v>
      </c>
      <c r="CR62" s="380"/>
      <c r="CS62" s="355"/>
      <c r="CT62" s="380"/>
      <c r="CU62" s="355"/>
      <c r="CV62" s="380"/>
      <c r="CW62" s="355"/>
      <c r="CX62" s="380"/>
      <c r="CY62" s="355"/>
      <c r="CZ62" s="414">
        <f t="shared" si="7"/>
        <v>0</v>
      </c>
      <c r="DA62" s="380"/>
      <c r="DB62" s="355"/>
      <c r="DC62" s="414">
        <f t="shared" si="8"/>
        <v>0</v>
      </c>
      <c r="DD62" s="356">
        <f>+$U$62+$AF$62+$AQ$62+$BD$62+$BQ$62+$CD$62+$CQ$62+$CZ$62+$DC$62</f>
        <v>15</v>
      </c>
    </row>
    <row r="63" spans="1:108" ht="17.45" customHeight="1">
      <c r="A63" s="357"/>
      <c r="B63" s="357"/>
      <c r="C63" s="357"/>
      <c r="D63" s="357"/>
      <c r="E63" s="357"/>
      <c r="F63" s="357"/>
      <c r="G63" s="379" t="s">
        <v>1127</v>
      </c>
      <c r="H63" s="347" t="s">
        <v>1128</v>
      </c>
      <c r="I63" s="381" t="s">
        <v>1851</v>
      </c>
      <c r="J63" s="355">
        <v>36</v>
      </c>
      <c r="K63" s="381" t="s">
        <v>1849</v>
      </c>
      <c r="L63" s="355">
        <v>92</v>
      </c>
      <c r="M63" s="381" t="s">
        <v>1849</v>
      </c>
      <c r="N63" s="355">
        <v>53</v>
      </c>
      <c r="O63" s="381" t="s">
        <v>1849</v>
      </c>
      <c r="P63" s="355">
        <v>79</v>
      </c>
      <c r="Q63" s="381" t="s">
        <v>1855</v>
      </c>
      <c r="R63" s="355">
        <v>21</v>
      </c>
      <c r="S63" s="381" t="s">
        <v>1849</v>
      </c>
      <c r="T63" s="355">
        <v>42</v>
      </c>
      <c r="U63" s="414">
        <f t="shared" ref="U63" si="81">SUM(J63:T63)</f>
        <v>323</v>
      </c>
      <c r="V63" s="380"/>
      <c r="W63" s="355"/>
      <c r="X63" s="380"/>
      <c r="Y63" s="355"/>
      <c r="Z63" s="380"/>
      <c r="AA63" s="355"/>
      <c r="AB63" s="380"/>
      <c r="AC63" s="355"/>
      <c r="AD63" s="380"/>
      <c r="AE63" s="355"/>
      <c r="AF63" s="414">
        <f t="shared" ref="AF63" si="82">SUM(W63:AE63)</f>
        <v>0</v>
      </c>
      <c r="AG63" s="380"/>
      <c r="AH63" s="355"/>
      <c r="AI63" s="380"/>
      <c r="AJ63" s="355"/>
      <c r="AK63" s="380"/>
      <c r="AL63" s="355"/>
      <c r="AM63" s="380"/>
      <c r="AN63" s="355"/>
      <c r="AO63" s="380"/>
      <c r="AP63" s="355"/>
      <c r="AQ63" s="414">
        <f t="shared" ref="AQ63" si="83">SUM(AH63:AP63)</f>
        <v>0</v>
      </c>
      <c r="AR63" s="380"/>
      <c r="AS63" s="355"/>
      <c r="AT63" s="380"/>
      <c r="AU63" s="355"/>
      <c r="AV63" s="380"/>
      <c r="AW63" s="355"/>
      <c r="AX63" s="380"/>
      <c r="AY63" s="355"/>
      <c r="AZ63" s="380"/>
      <c r="BA63" s="355"/>
      <c r="BB63" s="380"/>
      <c r="BC63" s="355"/>
      <c r="BD63" s="414">
        <f t="shared" ref="BD63" si="84">SUM(AS63:BC63)</f>
        <v>0</v>
      </c>
      <c r="BE63" s="380"/>
      <c r="BF63" s="355"/>
      <c r="BG63" s="380"/>
      <c r="BH63" s="355"/>
      <c r="BI63" s="380"/>
      <c r="BJ63" s="355"/>
      <c r="BK63" s="380"/>
      <c r="BL63" s="355"/>
      <c r="BM63" s="380"/>
      <c r="BN63" s="355"/>
      <c r="BO63" s="380"/>
      <c r="BP63" s="355"/>
      <c r="BQ63" s="414">
        <f t="shared" ref="BQ63" si="85">SUM(BF63:BP63)</f>
        <v>0</v>
      </c>
      <c r="BR63" s="380"/>
      <c r="BS63" s="355"/>
      <c r="BT63" s="380"/>
      <c r="BU63" s="355"/>
      <c r="BV63" s="380"/>
      <c r="BW63" s="355"/>
      <c r="BX63" s="380"/>
      <c r="BY63" s="355"/>
      <c r="BZ63" s="380"/>
      <c r="CA63" s="355"/>
      <c r="CB63" s="380"/>
      <c r="CC63" s="355"/>
      <c r="CD63" s="414">
        <f t="shared" ref="CD63" si="86">SUM(BS63:CC63)</f>
        <v>0</v>
      </c>
      <c r="CE63" s="380"/>
      <c r="CF63" s="355"/>
      <c r="CG63" s="380"/>
      <c r="CH63" s="355"/>
      <c r="CI63" s="380"/>
      <c r="CJ63" s="355"/>
      <c r="CK63" s="380"/>
      <c r="CL63" s="355"/>
      <c r="CM63" s="380"/>
      <c r="CN63" s="355"/>
      <c r="CO63" s="380"/>
      <c r="CP63" s="355"/>
      <c r="CQ63" s="414">
        <f t="shared" ref="CQ63" si="87">SUM(CF63:CP63)</f>
        <v>0</v>
      </c>
      <c r="CR63" s="380"/>
      <c r="CS63" s="355"/>
      <c r="CT63" s="380"/>
      <c r="CU63" s="355"/>
      <c r="CV63" s="380"/>
      <c r="CW63" s="355"/>
      <c r="CX63" s="380"/>
      <c r="CY63" s="355"/>
      <c r="CZ63" s="414">
        <f t="shared" ref="CZ63" si="88">SUM(CS63:CY63)</f>
        <v>0</v>
      </c>
      <c r="DA63" s="380"/>
      <c r="DB63" s="355"/>
      <c r="DC63" s="414">
        <f t="shared" si="8"/>
        <v>0</v>
      </c>
      <c r="DD63" s="356">
        <f>+$U$63+$AF$63+$AQ$63+$BD$63+$BQ$63+$CD$63+$CQ$63+$CZ$63+$DC$63</f>
        <v>323</v>
      </c>
    </row>
    <row r="64" spans="1:108" ht="17.45" customHeight="1">
      <c r="A64" s="357"/>
      <c r="B64" s="357"/>
      <c r="C64" s="357"/>
      <c r="D64" s="357"/>
      <c r="E64" s="357"/>
      <c r="F64" s="357"/>
      <c r="G64" s="379" t="s">
        <v>1127</v>
      </c>
      <c r="H64" s="347" t="s">
        <v>1128</v>
      </c>
      <c r="I64" s="380"/>
      <c r="J64" s="355"/>
      <c r="K64" s="381" t="s">
        <v>1855</v>
      </c>
      <c r="L64" s="355">
        <v>36</v>
      </c>
      <c r="M64" s="381" t="s">
        <v>1855</v>
      </c>
      <c r="N64" s="355">
        <v>36</v>
      </c>
      <c r="O64" s="380"/>
      <c r="P64" s="355"/>
      <c r="Q64" s="380"/>
      <c r="R64" s="355"/>
      <c r="S64" s="380"/>
      <c r="T64" s="355"/>
      <c r="U64" s="414">
        <f t="shared" si="0"/>
        <v>72</v>
      </c>
      <c r="V64" s="380"/>
      <c r="W64" s="355"/>
      <c r="X64" s="380"/>
      <c r="Y64" s="355"/>
      <c r="Z64" s="380"/>
      <c r="AA64" s="355"/>
      <c r="AB64" s="380"/>
      <c r="AC64" s="355"/>
      <c r="AD64" s="380"/>
      <c r="AE64" s="355"/>
      <c r="AF64" s="414">
        <f t="shared" si="1"/>
        <v>0</v>
      </c>
      <c r="AG64" s="380"/>
      <c r="AH64" s="355"/>
      <c r="AI64" s="380"/>
      <c r="AJ64" s="355"/>
      <c r="AK64" s="380"/>
      <c r="AL64" s="355"/>
      <c r="AM64" s="380"/>
      <c r="AN64" s="355"/>
      <c r="AO64" s="380"/>
      <c r="AP64" s="355"/>
      <c r="AQ64" s="414">
        <f t="shared" si="2"/>
        <v>0</v>
      </c>
      <c r="AR64" s="380"/>
      <c r="AS64" s="355"/>
      <c r="AT64" s="380"/>
      <c r="AU64" s="355"/>
      <c r="AV64" s="380"/>
      <c r="AW64" s="355"/>
      <c r="AX64" s="380"/>
      <c r="AY64" s="355"/>
      <c r="AZ64" s="380"/>
      <c r="BA64" s="355"/>
      <c r="BB64" s="380"/>
      <c r="BC64" s="355"/>
      <c r="BD64" s="414">
        <f t="shared" si="3"/>
        <v>0</v>
      </c>
      <c r="BE64" s="380"/>
      <c r="BF64" s="355"/>
      <c r="BG64" s="380"/>
      <c r="BH64" s="355"/>
      <c r="BI64" s="380"/>
      <c r="BJ64" s="355"/>
      <c r="BK64" s="380"/>
      <c r="BL64" s="355"/>
      <c r="BM64" s="380"/>
      <c r="BN64" s="355"/>
      <c r="BO64" s="380"/>
      <c r="BP64" s="355"/>
      <c r="BQ64" s="414">
        <f t="shared" si="4"/>
        <v>0</v>
      </c>
      <c r="BR64" s="380"/>
      <c r="BS64" s="355"/>
      <c r="BT64" s="380"/>
      <c r="BU64" s="355"/>
      <c r="BV64" s="380"/>
      <c r="BW64" s="355"/>
      <c r="BX64" s="380"/>
      <c r="BY64" s="355"/>
      <c r="BZ64" s="380"/>
      <c r="CA64" s="355"/>
      <c r="CB64" s="380"/>
      <c r="CC64" s="355"/>
      <c r="CD64" s="414">
        <f t="shared" si="5"/>
        <v>0</v>
      </c>
      <c r="CE64" s="380"/>
      <c r="CF64" s="355"/>
      <c r="CG64" s="380"/>
      <c r="CH64" s="355"/>
      <c r="CI64" s="380"/>
      <c r="CJ64" s="355"/>
      <c r="CK64" s="380"/>
      <c r="CL64" s="355"/>
      <c r="CM64" s="380"/>
      <c r="CN64" s="355"/>
      <c r="CO64" s="380"/>
      <c r="CP64" s="355"/>
      <c r="CQ64" s="414">
        <f t="shared" si="6"/>
        <v>0</v>
      </c>
      <c r="CR64" s="380"/>
      <c r="CS64" s="355"/>
      <c r="CT64" s="380"/>
      <c r="CU64" s="355"/>
      <c r="CV64" s="380"/>
      <c r="CW64" s="355"/>
      <c r="CX64" s="380"/>
      <c r="CY64" s="355"/>
      <c r="CZ64" s="414">
        <f t="shared" si="7"/>
        <v>0</v>
      </c>
      <c r="DA64" s="380"/>
      <c r="DB64" s="355"/>
      <c r="DC64" s="414">
        <f t="shared" si="8"/>
        <v>0</v>
      </c>
      <c r="DD64" s="356">
        <f>+$U$64+$AF$64+$AQ$64+$BD$64+$BQ$64+$CD$64+$CQ$64+$CZ$64+$DC$64</f>
        <v>72</v>
      </c>
    </row>
    <row r="65" spans="1:108" ht="17.45" customHeight="1">
      <c r="A65" s="357"/>
      <c r="B65" s="357"/>
      <c r="C65" s="357"/>
      <c r="D65" s="357"/>
      <c r="E65" s="357"/>
      <c r="F65" s="357"/>
      <c r="G65" s="379" t="s">
        <v>1133</v>
      </c>
      <c r="H65" s="347" t="s">
        <v>1134</v>
      </c>
      <c r="I65" s="381" t="s">
        <v>1849</v>
      </c>
      <c r="J65" s="355">
        <v>84</v>
      </c>
      <c r="K65" s="381" t="s">
        <v>1850</v>
      </c>
      <c r="L65" s="355">
        <v>15</v>
      </c>
      <c r="M65" s="381" t="s">
        <v>1850</v>
      </c>
      <c r="N65" s="355">
        <v>54</v>
      </c>
      <c r="O65" s="381" t="s">
        <v>1850</v>
      </c>
      <c r="P65" s="355">
        <v>14</v>
      </c>
      <c r="Q65" s="380"/>
      <c r="R65" s="355"/>
      <c r="S65" s="381" t="s">
        <v>1850</v>
      </c>
      <c r="T65" s="355">
        <v>55</v>
      </c>
      <c r="U65" s="414">
        <f t="shared" ref="U65" si="89">SUM(J65:T65)</f>
        <v>222</v>
      </c>
      <c r="V65" s="380"/>
      <c r="W65" s="355"/>
      <c r="X65" s="380"/>
      <c r="Y65" s="355"/>
      <c r="Z65" s="380"/>
      <c r="AA65" s="355"/>
      <c r="AB65" s="380"/>
      <c r="AC65" s="355"/>
      <c r="AD65" s="380"/>
      <c r="AE65" s="355"/>
      <c r="AF65" s="414">
        <f t="shared" ref="AF65" si="90">SUM(W65:AE65)</f>
        <v>0</v>
      </c>
      <c r="AG65" s="380"/>
      <c r="AH65" s="355"/>
      <c r="AI65" s="380"/>
      <c r="AJ65" s="355"/>
      <c r="AK65" s="380"/>
      <c r="AL65" s="355"/>
      <c r="AM65" s="380"/>
      <c r="AN65" s="355"/>
      <c r="AO65" s="380"/>
      <c r="AP65" s="355"/>
      <c r="AQ65" s="414">
        <f t="shared" ref="AQ65" si="91">SUM(AH65:AP65)</f>
        <v>0</v>
      </c>
      <c r="AR65" s="380"/>
      <c r="AS65" s="355"/>
      <c r="AT65" s="380"/>
      <c r="AU65" s="355"/>
      <c r="AV65" s="380"/>
      <c r="AW65" s="355"/>
      <c r="AX65" s="380"/>
      <c r="AY65" s="355"/>
      <c r="AZ65" s="380"/>
      <c r="BA65" s="355"/>
      <c r="BB65" s="380"/>
      <c r="BC65" s="355"/>
      <c r="BD65" s="414">
        <f t="shared" ref="BD65" si="92">SUM(AS65:BC65)</f>
        <v>0</v>
      </c>
      <c r="BE65" s="380"/>
      <c r="BF65" s="355"/>
      <c r="BG65" s="380"/>
      <c r="BH65" s="355"/>
      <c r="BI65" s="380"/>
      <c r="BJ65" s="355"/>
      <c r="BK65" s="380"/>
      <c r="BL65" s="355"/>
      <c r="BM65" s="380"/>
      <c r="BN65" s="355"/>
      <c r="BO65" s="380"/>
      <c r="BP65" s="355"/>
      <c r="BQ65" s="414">
        <f t="shared" ref="BQ65" si="93">SUM(BF65:BP65)</f>
        <v>0</v>
      </c>
      <c r="BR65" s="380"/>
      <c r="BS65" s="355"/>
      <c r="BT65" s="380"/>
      <c r="BU65" s="355"/>
      <c r="BV65" s="380"/>
      <c r="BW65" s="355"/>
      <c r="BX65" s="380"/>
      <c r="BY65" s="355"/>
      <c r="BZ65" s="380"/>
      <c r="CA65" s="355"/>
      <c r="CB65" s="380"/>
      <c r="CC65" s="355"/>
      <c r="CD65" s="414">
        <f t="shared" ref="CD65" si="94">SUM(BS65:CC65)</f>
        <v>0</v>
      </c>
      <c r="CE65" s="380"/>
      <c r="CF65" s="355"/>
      <c r="CG65" s="380"/>
      <c r="CH65" s="355"/>
      <c r="CI65" s="380"/>
      <c r="CJ65" s="355"/>
      <c r="CK65" s="380"/>
      <c r="CL65" s="355"/>
      <c r="CM65" s="380"/>
      <c r="CN65" s="355"/>
      <c r="CO65" s="380"/>
      <c r="CP65" s="355"/>
      <c r="CQ65" s="414">
        <f t="shared" ref="CQ65" si="95">SUM(CF65:CP65)</f>
        <v>0</v>
      </c>
      <c r="CR65" s="380"/>
      <c r="CS65" s="355"/>
      <c r="CT65" s="380"/>
      <c r="CU65" s="355"/>
      <c r="CV65" s="380"/>
      <c r="CW65" s="355"/>
      <c r="CX65" s="380"/>
      <c r="CY65" s="355"/>
      <c r="CZ65" s="414">
        <f t="shared" ref="CZ65" si="96">SUM(CS65:CY65)</f>
        <v>0</v>
      </c>
      <c r="DA65" s="380"/>
      <c r="DB65" s="355"/>
      <c r="DC65" s="414">
        <f t="shared" si="8"/>
        <v>0</v>
      </c>
      <c r="DD65" s="356">
        <f>+$U$65+$AF$65+$AQ$65+$BD$65+$BQ$65+$CD$65+$CQ$65+$CZ$65+$DC$65</f>
        <v>222</v>
      </c>
    </row>
    <row r="66" spans="1:108" ht="17.45" customHeight="1">
      <c r="A66" s="357"/>
      <c r="B66" s="357"/>
      <c r="C66" s="357"/>
      <c r="D66" s="357"/>
      <c r="E66" s="357"/>
      <c r="F66" s="357"/>
      <c r="G66" s="379" t="s">
        <v>1133</v>
      </c>
      <c r="H66" s="347" t="s">
        <v>1134</v>
      </c>
      <c r="I66" s="380"/>
      <c r="J66" s="355"/>
      <c r="K66" s="380"/>
      <c r="L66" s="355"/>
      <c r="M66" s="380"/>
      <c r="N66" s="355"/>
      <c r="O66" s="380"/>
      <c r="P66" s="355"/>
      <c r="Q66" s="380"/>
      <c r="R66" s="355"/>
      <c r="S66" s="380"/>
      <c r="T66" s="355"/>
      <c r="U66" s="414">
        <f t="shared" si="0"/>
        <v>0</v>
      </c>
      <c r="V66" s="380"/>
      <c r="W66" s="355"/>
      <c r="X66" s="380"/>
      <c r="Y66" s="355"/>
      <c r="Z66" s="380"/>
      <c r="AA66" s="355"/>
      <c r="AB66" s="380"/>
      <c r="AC66" s="355"/>
      <c r="AD66" s="380"/>
      <c r="AE66" s="355"/>
      <c r="AF66" s="414">
        <f t="shared" si="1"/>
        <v>0</v>
      </c>
      <c r="AG66" s="380"/>
      <c r="AH66" s="355"/>
      <c r="AI66" s="380"/>
      <c r="AJ66" s="355"/>
      <c r="AK66" s="380"/>
      <c r="AL66" s="355"/>
      <c r="AM66" s="380"/>
      <c r="AN66" s="355"/>
      <c r="AO66" s="380"/>
      <c r="AP66" s="355"/>
      <c r="AQ66" s="414">
        <f t="shared" si="2"/>
        <v>0</v>
      </c>
      <c r="AR66" s="380"/>
      <c r="AS66" s="355"/>
      <c r="AT66" s="380"/>
      <c r="AU66" s="355"/>
      <c r="AV66" s="380"/>
      <c r="AW66" s="355"/>
      <c r="AX66" s="380"/>
      <c r="AY66" s="355"/>
      <c r="AZ66" s="380"/>
      <c r="BA66" s="355"/>
      <c r="BB66" s="380"/>
      <c r="BC66" s="355"/>
      <c r="BD66" s="414">
        <f t="shared" si="3"/>
        <v>0</v>
      </c>
      <c r="BE66" s="380"/>
      <c r="BF66" s="355"/>
      <c r="BG66" s="380"/>
      <c r="BH66" s="355"/>
      <c r="BI66" s="380"/>
      <c r="BJ66" s="355"/>
      <c r="BK66" s="380"/>
      <c r="BL66" s="355"/>
      <c r="BM66" s="380"/>
      <c r="BN66" s="355"/>
      <c r="BO66" s="380"/>
      <c r="BP66" s="355"/>
      <c r="BQ66" s="414">
        <f t="shared" si="4"/>
        <v>0</v>
      </c>
      <c r="BR66" s="380"/>
      <c r="BS66" s="355"/>
      <c r="BT66" s="380"/>
      <c r="BU66" s="355"/>
      <c r="BV66" s="380"/>
      <c r="BW66" s="355"/>
      <c r="BX66" s="380"/>
      <c r="BY66" s="355"/>
      <c r="BZ66" s="380"/>
      <c r="CA66" s="355"/>
      <c r="CB66" s="380"/>
      <c r="CC66" s="355"/>
      <c r="CD66" s="414">
        <f t="shared" si="5"/>
        <v>0</v>
      </c>
      <c r="CE66" s="380"/>
      <c r="CF66" s="355"/>
      <c r="CG66" s="380"/>
      <c r="CH66" s="355"/>
      <c r="CI66" s="380"/>
      <c r="CJ66" s="355"/>
      <c r="CK66" s="380"/>
      <c r="CL66" s="355"/>
      <c r="CM66" s="380"/>
      <c r="CN66" s="355"/>
      <c r="CO66" s="380"/>
      <c r="CP66" s="355"/>
      <c r="CQ66" s="414">
        <f t="shared" si="6"/>
        <v>0</v>
      </c>
      <c r="CR66" s="380"/>
      <c r="CS66" s="355"/>
      <c r="CT66" s="380"/>
      <c r="CU66" s="355"/>
      <c r="CV66" s="380"/>
      <c r="CW66" s="355"/>
      <c r="CX66" s="380"/>
      <c r="CY66" s="355"/>
      <c r="CZ66" s="414">
        <f t="shared" si="7"/>
        <v>0</v>
      </c>
      <c r="DA66" s="380"/>
      <c r="DB66" s="355"/>
      <c r="DC66" s="414">
        <f t="shared" si="8"/>
        <v>0</v>
      </c>
      <c r="DD66" s="356">
        <f>+$U$66+$AF$66+$AQ$66+$BD$66+$BQ$66+$CD$66+$CQ$66+$CZ$66+$DC$66</f>
        <v>0</v>
      </c>
    </row>
    <row r="67" spans="1:108" ht="17.45" customHeight="1">
      <c r="A67" s="357"/>
      <c r="B67" s="357"/>
      <c r="C67" s="357"/>
      <c r="D67" s="357"/>
      <c r="E67" s="357"/>
      <c r="F67" s="357"/>
      <c r="G67" s="347" t="s">
        <v>1135</v>
      </c>
      <c r="H67" s="347" t="s">
        <v>1136</v>
      </c>
      <c r="I67" s="380"/>
      <c r="J67" s="355"/>
      <c r="K67" s="380"/>
      <c r="L67" s="355"/>
      <c r="M67" s="380"/>
      <c r="N67" s="355"/>
      <c r="O67" s="380"/>
      <c r="P67" s="355"/>
      <c r="Q67" s="380"/>
      <c r="R67" s="355"/>
      <c r="S67" s="380"/>
      <c r="T67" s="355"/>
      <c r="U67" s="414">
        <f t="shared" si="0"/>
        <v>0</v>
      </c>
      <c r="V67" s="380"/>
      <c r="W67" s="355"/>
      <c r="X67" s="380"/>
      <c r="Y67" s="355"/>
      <c r="Z67" s="380"/>
      <c r="AA67" s="355"/>
      <c r="AB67" s="380"/>
      <c r="AC67" s="355"/>
      <c r="AD67" s="380"/>
      <c r="AE67" s="355"/>
      <c r="AF67" s="414">
        <f t="shared" si="1"/>
        <v>0</v>
      </c>
      <c r="AG67" s="380"/>
      <c r="AH67" s="355"/>
      <c r="AI67" s="380"/>
      <c r="AJ67" s="355"/>
      <c r="AK67" s="380"/>
      <c r="AL67" s="355"/>
      <c r="AM67" s="380"/>
      <c r="AN67" s="355"/>
      <c r="AO67" s="380"/>
      <c r="AP67" s="355"/>
      <c r="AQ67" s="414">
        <f t="shared" si="2"/>
        <v>0</v>
      </c>
      <c r="AR67" s="380"/>
      <c r="AS67" s="355"/>
      <c r="AT67" s="380"/>
      <c r="AU67" s="355"/>
      <c r="AV67" s="380"/>
      <c r="AW67" s="355"/>
      <c r="AX67" s="380"/>
      <c r="AY67" s="355"/>
      <c r="AZ67" s="380"/>
      <c r="BA67" s="355"/>
      <c r="BB67" s="380"/>
      <c r="BC67" s="355"/>
      <c r="BD67" s="414">
        <f t="shared" si="3"/>
        <v>0</v>
      </c>
      <c r="BE67" s="380"/>
      <c r="BF67" s="355"/>
      <c r="BG67" s="380"/>
      <c r="BH67" s="355"/>
      <c r="BI67" s="380"/>
      <c r="BJ67" s="355"/>
      <c r="BK67" s="380"/>
      <c r="BL67" s="355"/>
      <c r="BM67" s="380"/>
      <c r="BN67" s="355"/>
      <c r="BO67" s="380"/>
      <c r="BP67" s="355"/>
      <c r="BQ67" s="414">
        <f t="shared" si="4"/>
        <v>0</v>
      </c>
      <c r="BR67" s="380"/>
      <c r="BS67" s="355"/>
      <c r="BT67" s="380"/>
      <c r="BU67" s="355"/>
      <c r="BV67" s="380"/>
      <c r="BW67" s="355"/>
      <c r="BX67" s="380"/>
      <c r="BY67" s="355"/>
      <c r="BZ67" s="380"/>
      <c r="CA67" s="355"/>
      <c r="CB67" s="380"/>
      <c r="CC67" s="355"/>
      <c r="CD67" s="414">
        <f t="shared" si="5"/>
        <v>0</v>
      </c>
      <c r="CE67" s="380"/>
      <c r="CF67" s="355"/>
      <c r="CG67" s="380"/>
      <c r="CH67" s="355"/>
      <c r="CI67" s="380"/>
      <c r="CJ67" s="355"/>
      <c r="CK67" s="380"/>
      <c r="CL67" s="355"/>
      <c r="CM67" s="380"/>
      <c r="CN67" s="355"/>
      <c r="CO67" s="380"/>
      <c r="CP67" s="355"/>
      <c r="CQ67" s="414">
        <f t="shared" si="6"/>
        <v>0</v>
      </c>
      <c r="CR67" s="380"/>
      <c r="CS67" s="355"/>
      <c r="CT67" s="380"/>
      <c r="CU67" s="355"/>
      <c r="CV67" s="380"/>
      <c r="CW67" s="355"/>
      <c r="CX67" s="380"/>
      <c r="CY67" s="355"/>
      <c r="CZ67" s="414">
        <f t="shared" si="7"/>
        <v>0</v>
      </c>
      <c r="DA67" s="380"/>
      <c r="DB67" s="355"/>
      <c r="DC67" s="414">
        <f t="shared" si="8"/>
        <v>0</v>
      </c>
      <c r="DD67" s="356">
        <f>+$U$67+$AF$67+$AQ$67+$BD$67+$BQ$67+$CD$67+$CQ$67+$CZ$67+$DC$67</f>
        <v>0</v>
      </c>
    </row>
    <row r="68" spans="1:108" ht="17.45" customHeight="1">
      <c r="A68" s="357"/>
      <c r="B68" s="357"/>
      <c r="C68" s="357"/>
      <c r="D68" s="357"/>
      <c r="E68" s="357"/>
      <c r="F68" s="357"/>
      <c r="G68" s="347" t="s">
        <v>1188</v>
      </c>
      <c r="H68" s="347" t="s">
        <v>1210</v>
      </c>
      <c r="I68" s="380"/>
      <c r="J68" s="355"/>
      <c r="K68" s="380"/>
      <c r="L68" s="355"/>
      <c r="M68" s="380"/>
      <c r="N68" s="355"/>
      <c r="O68" s="380"/>
      <c r="P68" s="355"/>
      <c r="Q68" s="380"/>
      <c r="R68" s="355"/>
      <c r="S68" s="380"/>
      <c r="T68" s="355"/>
      <c r="U68" s="414">
        <f t="shared" si="0"/>
        <v>0</v>
      </c>
      <c r="V68" s="380"/>
      <c r="W68" s="355"/>
      <c r="X68" s="380"/>
      <c r="Y68" s="355"/>
      <c r="Z68" s="380"/>
      <c r="AA68" s="355"/>
      <c r="AB68" s="380"/>
      <c r="AC68" s="355"/>
      <c r="AD68" s="380"/>
      <c r="AE68" s="355"/>
      <c r="AF68" s="414">
        <f t="shared" si="1"/>
        <v>0</v>
      </c>
      <c r="AG68" s="380"/>
      <c r="AH68" s="355"/>
      <c r="AI68" s="380"/>
      <c r="AJ68" s="355"/>
      <c r="AK68" s="380"/>
      <c r="AL68" s="355"/>
      <c r="AM68" s="380"/>
      <c r="AN68" s="355"/>
      <c r="AO68" s="380"/>
      <c r="AP68" s="355"/>
      <c r="AQ68" s="414">
        <f t="shared" si="2"/>
        <v>0</v>
      </c>
      <c r="AR68" s="380"/>
      <c r="AS68" s="355"/>
      <c r="AT68" s="380"/>
      <c r="AU68" s="355"/>
      <c r="AV68" s="380"/>
      <c r="AW68" s="355"/>
      <c r="AX68" s="380"/>
      <c r="AY68" s="355"/>
      <c r="AZ68" s="380"/>
      <c r="BA68" s="355"/>
      <c r="BB68" s="380"/>
      <c r="BC68" s="355"/>
      <c r="BD68" s="414">
        <f t="shared" si="3"/>
        <v>0</v>
      </c>
      <c r="BE68" s="380"/>
      <c r="BF68" s="355"/>
      <c r="BG68" s="380"/>
      <c r="BH68" s="355"/>
      <c r="BI68" s="380"/>
      <c r="BJ68" s="355"/>
      <c r="BK68" s="380"/>
      <c r="BL68" s="355"/>
      <c r="BM68" s="380"/>
      <c r="BN68" s="355"/>
      <c r="BO68" s="380"/>
      <c r="BP68" s="355"/>
      <c r="BQ68" s="414">
        <f t="shared" si="4"/>
        <v>0</v>
      </c>
      <c r="BR68" s="380"/>
      <c r="BS68" s="355"/>
      <c r="BT68" s="380"/>
      <c r="BU68" s="355"/>
      <c r="BV68" s="380"/>
      <c r="BW68" s="355"/>
      <c r="BX68" s="380"/>
      <c r="BY68" s="355"/>
      <c r="BZ68" s="380"/>
      <c r="CA68" s="355"/>
      <c r="CB68" s="380"/>
      <c r="CC68" s="355"/>
      <c r="CD68" s="414">
        <f t="shared" si="5"/>
        <v>0</v>
      </c>
      <c r="CE68" s="380"/>
      <c r="CF68" s="355"/>
      <c r="CG68" s="380"/>
      <c r="CH68" s="355"/>
      <c r="CI68" s="380"/>
      <c r="CJ68" s="355"/>
      <c r="CK68" s="380"/>
      <c r="CL68" s="355"/>
      <c r="CM68" s="380"/>
      <c r="CN68" s="355"/>
      <c r="CO68" s="380"/>
      <c r="CP68" s="355"/>
      <c r="CQ68" s="414">
        <f t="shared" si="6"/>
        <v>0</v>
      </c>
      <c r="CR68" s="380"/>
      <c r="CS68" s="355"/>
      <c r="CT68" s="380"/>
      <c r="CU68" s="355"/>
      <c r="CV68" s="380"/>
      <c r="CW68" s="355"/>
      <c r="CX68" s="380"/>
      <c r="CY68" s="355"/>
      <c r="CZ68" s="414">
        <f t="shared" si="7"/>
        <v>0</v>
      </c>
      <c r="DA68" s="380"/>
      <c r="DB68" s="355"/>
      <c r="DC68" s="414">
        <f t="shared" si="8"/>
        <v>0</v>
      </c>
      <c r="DD68" s="356">
        <f>+$U$68+$AF$68+$AQ$68+$BD$68+$BQ$68+$CD$68+$CQ$68+$CZ$68+$DC$68</f>
        <v>0</v>
      </c>
    </row>
    <row r="69" spans="1:108" ht="17.45" customHeight="1">
      <c r="A69" s="357"/>
      <c r="B69" s="357"/>
      <c r="C69" s="357"/>
      <c r="D69" s="357"/>
      <c r="E69" s="357"/>
      <c r="F69" s="357"/>
      <c r="G69" s="347" t="s">
        <v>1190</v>
      </c>
      <c r="H69" s="347" t="s">
        <v>1212</v>
      </c>
      <c r="I69" s="380"/>
      <c r="J69" s="355"/>
      <c r="K69" s="380"/>
      <c r="L69" s="355"/>
      <c r="M69" s="380"/>
      <c r="N69" s="355"/>
      <c r="O69" s="380"/>
      <c r="P69" s="355"/>
      <c r="Q69" s="380"/>
      <c r="R69" s="355"/>
      <c r="S69" s="380"/>
      <c r="T69" s="355"/>
      <c r="U69" s="414">
        <f t="shared" si="0"/>
        <v>0</v>
      </c>
      <c r="V69" s="380"/>
      <c r="W69" s="355"/>
      <c r="X69" s="380"/>
      <c r="Y69" s="355"/>
      <c r="Z69" s="380"/>
      <c r="AA69" s="355"/>
      <c r="AB69" s="380"/>
      <c r="AC69" s="355"/>
      <c r="AD69" s="380"/>
      <c r="AE69" s="355"/>
      <c r="AF69" s="414">
        <f t="shared" si="1"/>
        <v>0</v>
      </c>
      <c r="AG69" s="380"/>
      <c r="AH69" s="355"/>
      <c r="AI69" s="380"/>
      <c r="AJ69" s="355"/>
      <c r="AK69" s="380"/>
      <c r="AL69" s="355"/>
      <c r="AM69" s="380"/>
      <c r="AN69" s="355"/>
      <c r="AO69" s="380"/>
      <c r="AP69" s="355"/>
      <c r="AQ69" s="414">
        <f t="shared" si="2"/>
        <v>0</v>
      </c>
      <c r="AR69" s="380"/>
      <c r="AS69" s="355"/>
      <c r="AT69" s="380"/>
      <c r="AU69" s="355"/>
      <c r="AV69" s="380"/>
      <c r="AW69" s="355"/>
      <c r="AX69" s="380"/>
      <c r="AY69" s="355"/>
      <c r="AZ69" s="380"/>
      <c r="BA69" s="355"/>
      <c r="BB69" s="380"/>
      <c r="BC69" s="355"/>
      <c r="BD69" s="414">
        <f t="shared" si="3"/>
        <v>0</v>
      </c>
      <c r="BE69" s="380"/>
      <c r="BF69" s="355"/>
      <c r="BG69" s="380"/>
      <c r="BH69" s="355"/>
      <c r="BI69" s="380"/>
      <c r="BJ69" s="355"/>
      <c r="BK69" s="380"/>
      <c r="BL69" s="355"/>
      <c r="BM69" s="380"/>
      <c r="BN69" s="355"/>
      <c r="BO69" s="380"/>
      <c r="BP69" s="355"/>
      <c r="BQ69" s="414">
        <f t="shared" si="4"/>
        <v>0</v>
      </c>
      <c r="BR69" s="380"/>
      <c r="BS69" s="355"/>
      <c r="BT69" s="380"/>
      <c r="BU69" s="355"/>
      <c r="BV69" s="380"/>
      <c r="BW69" s="355"/>
      <c r="BX69" s="380"/>
      <c r="BY69" s="355"/>
      <c r="BZ69" s="380"/>
      <c r="CA69" s="355"/>
      <c r="CB69" s="380"/>
      <c r="CC69" s="355"/>
      <c r="CD69" s="414">
        <f t="shared" si="5"/>
        <v>0</v>
      </c>
      <c r="CE69" s="380"/>
      <c r="CF69" s="355"/>
      <c r="CG69" s="380"/>
      <c r="CH69" s="355"/>
      <c r="CI69" s="380"/>
      <c r="CJ69" s="355"/>
      <c r="CK69" s="380"/>
      <c r="CL69" s="355"/>
      <c r="CM69" s="380"/>
      <c r="CN69" s="355"/>
      <c r="CO69" s="380"/>
      <c r="CP69" s="355"/>
      <c r="CQ69" s="414">
        <f t="shared" si="6"/>
        <v>0</v>
      </c>
      <c r="CR69" s="380"/>
      <c r="CS69" s="355"/>
      <c r="CT69" s="380"/>
      <c r="CU69" s="355"/>
      <c r="CV69" s="380"/>
      <c r="CW69" s="355"/>
      <c r="CX69" s="380"/>
      <c r="CY69" s="355"/>
      <c r="CZ69" s="414">
        <f t="shared" si="7"/>
        <v>0</v>
      </c>
      <c r="DA69" s="380"/>
      <c r="DB69" s="355"/>
      <c r="DC69" s="414">
        <f t="shared" si="8"/>
        <v>0</v>
      </c>
      <c r="DD69" s="356">
        <f>+$U$69+$AF$69+$AQ$69+$BD$69+$BQ$69+$CD$69+$CQ$69+$CZ$69+$DC$69</f>
        <v>0</v>
      </c>
    </row>
    <row r="70" spans="1:108" ht="17.45" customHeight="1">
      <c r="A70" s="357"/>
      <c r="B70" s="357"/>
      <c r="C70" s="357"/>
      <c r="D70" s="357"/>
      <c r="E70" s="357"/>
      <c r="F70" s="357" t="s">
        <v>37</v>
      </c>
      <c r="G70" s="347" t="s">
        <v>1184</v>
      </c>
      <c r="H70" s="347" t="s">
        <v>1206</v>
      </c>
      <c r="I70" s="380"/>
      <c r="J70" s="355"/>
      <c r="K70" s="380"/>
      <c r="L70" s="355"/>
      <c r="M70" s="380"/>
      <c r="N70" s="355"/>
      <c r="O70" s="380"/>
      <c r="P70" s="355"/>
      <c r="Q70" s="380"/>
      <c r="R70" s="355"/>
      <c r="S70" s="380"/>
      <c r="T70" s="355"/>
      <c r="U70" s="414">
        <f t="shared" si="0"/>
        <v>0</v>
      </c>
      <c r="V70" s="380"/>
      <c r="W70" s="355"/>
      <c r="X70" s="380"/>
      <c r="Y70" s="355"/>
      <c r="Z70" s="380"/>
      <c r="AA70" s="355"/>
      <c r="AB70" s="380"/>
      <c r="AC70" s="355"/>
      <c r="AD70" s="380"/>
      <c r="AE70" s="355"/>
      <c r="AF70" s="414">
        <f t="shared" si="1"/>
        <v>0</v>
      </c>
      <c r="AG70" s="380"/>
      <c r="AH70" s="355"/>
      <c r="AI70" s="380"/>
      <c r="AJ70" s="355"/>
      <c r="AK70" s="380"/>
      <c r="AL70" s="355"/>
      <c r="AM70" s="380"/>
      <c r="AN70" s="355"/>
      <c r="AO70" s="380"/>
      <c r="AP70" s="355"/>
      <c r="AQ70" s="414">
        <f t="shared" si="2"/>
        <v>0</v>
      </c>
      <c r="AR70" s="380"/>
      <c r="AS70" s="355"/>
      <c r="AT70" s="380"/>
      <c r="AU70" s="355"/>
      <c r="AV70" s="380"/>
      <c r="AW70" s="355"/>
      <c r="AX70" s="380"/>
      <c r="AY70" s="355"/>
      <c r="AZ70" s="380"/>
      <c r="BA70" s="355"/>
      <c r="BB70" s="380"/>
      <c r="BC70" s="355"/>
      <c r="BD70" s="414">
        <f t="shared" si="3"/>
        <v>0</v>
      </c>
      <c r="BE70" s="380"/>
      <c r="BF70" s="355"/>
      <c r="BG70" s="380"/>
      <c r="BH70" s="355"/>
      <c r="BI70" s="380"/>
      <c r="BJ70" s="355"/>
      <c r="BK70" s="380"/>
      <c r="BL70" s="355"/>
      <c r="BM70" s="380"/>
      <c r="BN70" s="355"/>
      <c r="BO70" s="380"/>
      <c r="BP70" s="355"/>
      <c r="BQ70" s="414">
        <f t="shared" si="4"/>
        <v>0</v>
      </c>
      <c r="BR70" s="380"/>
      <c r="BS70" s="355"/>
      <c r="BT70" s="380"/>
      <c r="BU70" s="355"/>
      <c r="BV70" s="380"/>
      <c r="BW70" s="355"/>
      <c r="BX70" s="380"/>
      <c r="BY70" s="355"/>
      <c r="BZ70" s="380"/>
      <c r="CA70" s="355"/>
      <c r="CB70" s="380"/>
      <c r="CC70" s="355"/>
      <c r="CD70" s="414">
        <f t="shared" si="5"/>
        <v>0</v>
      </c>
      <c r="CE70" s="380"/>
      <c r="CF70" s="355"/>
      <c r="CG70" s="380"/>
      <c r="CH70" s="355"/>
      <c r="CI70" s="380"/>
      <c r="CJ70" s="355"/>
      <c r="CK70" s="380"/>
      <c r="CL70" s="355"/>
      <c r="CM70" s="380"/>
      <c r="CN70" s="355"/>
      <c r="CO70" s="380"/>
      <c r="CP70" s="355"/>
      <c r="CQ70" s="414">
        <f t="shared" si="6"/>
        <v>0</v>
      </c>
      <c r="CR70" s="380"/>
      <c r="CS70" s="355"/>
      <c r="CT70" s="380"/>
      <c r="CU70" s="355"/>
      <c r="CV70" s="380"/>
      <c r="CW70" s="355"/>
      <c r="CX70" s="380"/>
      <c r="CY70" s="355"/>
      <c r="CZ70" s="414">
        <f t="shared" si="7"/>
        <v>0</v>
      </c>
      <c r="DA70" s="380"/>
      <c r="DB70" s="355"/>
      <c r="DC70" s="414">
        <f t="shared" si="8"/>
        <v>0</v>
      </c>
      <c r="DD70" s="356">
        <f>+$U$70+$AF$70+$AQ$70+$BD$70+$BQ$70+$CD$70+$CQ$70+$CZ$70+$DC$70</f>
        <v>0</v>
      </c>
    </row>
    <row r="71" spans="1:108" ht="17.45" customHeight="1">
      <c r="A71" s="357"/>
      <c r="B71" s="357"/>
      <c r="C71" s="357"/>
      <c r="D71" s="357"/>
      <c r="E71" s="357" t="s">
        <v>36</v>
      </c>
      <c r="F71" s="357"/>
      <c r="G71" s="347" t="s">
        <v>1137</v>
      </c>
      <c r="H71" s="347" t="s">
        <v>1138</v>
      </c>
      <c r="I71" s="380"/>
      <c r="J71" s="355"/>
      <c r="K71" s="380"/>
      <c r="L71" s="355"/>
      <c r="M71" s="380"/>
      <c r="N71" s="355"/>
      <c r="O71" s="380"/>
      <c r="P71" s="355"/>
      <c r="Q71" s="380"/>
      <c r="R71" s="355"/>
      <c r="S71" s="380"/>
      <c r="T71" s="355"/>
      <c r="U71" s="414">
        <f t="shared" si="0"/>
        <v>0</v>
      </c>
      <c r="V71" s="380"/>
      <c r="W71" s="355"/>
      <c r="X71" s="380"/>
      <c r="Y71" s="355"/>
      <c r="Z71" s="380"/>
      <c r="AA71" s="355"/>
      <c r="AB71" s="380"/>
      <c r="AC71" s="355"/>
      <c r="AD71" s="380"/>
      <c r="AE71" s="355"/>
      <c r="AF71" s="414">
        <f t="shared" si="1"/>
        <v>0</v>
      </c>
      <c r="AG71" s="380"/>
      <c r="AH71" s="355"/>
      <c r="AI71" s="380"/>
      <c r="AJ71" s="355"/>
      <c r="AK71" s="380"/>
      <c r="AL71" s="355"/>
      <c r="AM71" s="380"/>
      <c r="AN71" s="355"/>
      <c r="AO71" s="380"/>
      <c r="AP71" s="355"/>
      <c r="AQ71" s="414">
        <f t="shared" si="2"/>
        <v>0</v>
      </c>
      <c r="AR71" s="380"/>
      <c r="AS71" s="355"/>
      <c r="AT71" s="380"/>
      <c r="AU71" s="355"/>
      <c r="AV71" s="380"/>
      <c r="AW71" s="355"/>
      <c r="AX71" s="380"/>
      <c r="AY71" s="355"/>
      <c r="AZ71" s="380"/>
      <c r="BA71" s="355"/>
      <c r="BB71" s="380"/>
      <c r="BC71" s="355"/>
      <c r="BD71" s="414">
        <f t="shared" si="3"/>
        <v>0</v>
      </c>
      <c r="BE71" s="380"/>
      <c r="BF71" s="355"/>
      <c r="BG71" s="380"/>
      <c r="BH71" s="355"/>
      <c r="BI71" s="380"/>
      <c r="BJ71" s="355"/>
      <c r="BK71" s="380"/>
      <c r="BL71" s="355"/>
      <c r="BM71" s="380"/>
      <c r="BN71" s="355"/>
      <c r="BO71" s="380"/>
      <c r="BP71" s="355"/>
      <c r="BQ71" s="414">
        <f t="shared" si="4"/>
        <v>0</v>
      </c>
      <c r="BR71" s="380"/>
      <c r="BS71" s="355"/>
      <c r="BT71" s="380"/>
      <c r="BU71" s="355"/>
      <c r="BV71" s="380"/>
      <c r="BW71" s="355"/>
      <c r="BX71" s="380"/>
      <c r="BY71" s="355"/>
      <c r="BZ71" s="380"/>
      <c r="CA71" s="355"/>
      <c r="CB71" s="380"/>
      <c r="CC71" s="355"/>
      <c r="CD71" s="414">
        <f t="shared" si="5"/>
        <v>0</v>
      </c>
      <c r="CE71" s="380"/>
      <c r="CF71" s="355"/>
      <c r="CG71" s="380"/>
      <c r="CH71" s="355"/>
      <c r="CI71" s="380"/>
      <c r="CJ71" s="355"/>
      <c r="CK71" s="380"/>
      <c r="CL71" s="355"/>
      <c r="CM71" s="380"/>
      <c r="CN71" s="355"/>
      <c r="CO71" s="380"/>
      <c r="CP71" s="355"/>
      <c r="CQ71" s="414">
        <f t="shared" si="6"/>
        <v>0</v>
      </c>
      <c r="CR71" s="380"/>
      <c r="CS71" s="355"/>
      <c r="CT71" s="380"/>
      <c r="CU71" s="355"/>
      <c r="CV71" s="380"/>
      <c r="CW71" s="355"/>
      <c r="CX71" s="380"/>
      <c r="CY71" s="355"/>
      <c r="CZ71" s="414">
        <f t="shared" si="7"/>
        <v>0</v>
      </c>
      <c r="DA71" s="380"/>
      <c r="DB71" s="355"/>
      <c r="DC71" s="414">
        <f t="shared" si="8"/>
        <v>0</v>
      </c>
      <c r="DD71" s="356">
        <f>+$U$71+$AF$71+$AQ$71+$BD$71+$BQ$71+$CD$71+$CQ$71+$CZ$71+$DC$71</f>
        <v>0</v>
      </c>
    </row>
    <row r="72" spans="1:108" ht="17.45" customHeight="1">
      <c r="A72" s="357"/>
      <c r="B72" s="357"/>
      <c r="C72" s="357"/>
      <c r="D72" s="357"/>
      <c r="E72" s="357"/>
      <c r="F72" s="357"/>
      <c r="G72" s="379" t="s">
        <v>1153</v>
      </c>
      <c r="H72" s="347" t="s">
        <v>1154</v>
      </c>
      <c r="I72" s="381" t="s">
        <v>1850</v>
      </c>
      <c r="J72" s="355">
        <v>50</v>
      </c>
      <c r="K72" s="381" t="s">
        <v>1853</v>
      </c>
      <c r="L72" s="355">
        <v>50</v>
      </c>
      <c r="M72" s="381" t="s">
        <v>1853</v>
      </c>
      <c r="N72" s="355">
        <v>31</v>
      </c>
      <c r="O72" s="381" t="s">
        <v>1853</v>
      </c>
      <c r="P72" s="355">
        <v>30</v>
      </c>
      <c r="Q72" s="381" t="s">
        <v>1850</v>
      </c>
      <c r="R72" s="355">
        <v>30</v>
      </c>
      <c r="S72" s="381" t="s">
        <v>1853</v>
      </c>
      <c r="T72" s="355">
        <v>30</v>
      </c>
      <c r="U72" s="414">
        <f t="shared" ref="U72" si="97">SUM(J72:T72)</f>
        <v>221</v>
      </c>
      <c r="V72" s="380"/>
      <c r="W72" s="355"/>
      <c r="X72" s="380"/>
      <c r="Y72" s="355"/>
      <c r="Z72" s="380"/>
      <c r="AA72" s="355"/>
      <c r="AB72" s="380"/>
      <c r="AC72" s="355"/>
      <c r="AD72" s="380"/>
      <c r="AE72" s="355"/>
      <c r="AF72" s="414">
        <f t="shared" ref="AF72" si="98">SUM(W72:AE72)</f>
        <v>0</v>
      </c>
      <c r="AG72" s="380"/>
      <c r="AH72" s="355"/>
      <c r="AI72" s="380"/>
      <c r="AJ72" s="355"/>
      <c r="AK72" s="380"/>
      <c r="AL72" s="355"/>
      <c r="AM72" s="380"/>
      <c r="AN72" s="355"/>
      <c r="AO72" s="380"/>
      <c r="AP72" s="355"/>
      <c r="AQ72" s="414">
        <f t="shared" ref="AQ72" si="99">SUM(AH72:AP72)</f>
        <v>0</v>
      </c>
      <c r="AR72" s="380"/>
      <c r="AS72" s="355"/>
      <c r="AT72" s="380"/>
      <c r="AU72" s="355"/>
      <c r="AV72" s="380"/>
      <c r="AW72" s="355"/>
      <c r="AX72" s="380"/>
      <c r="AY72" s="355"/>
      <c r="AZ72" s="380"/>
      <c r="BA72" s="355"/>
      <c r="BB72" s="380"/>
      <c r="BC72" s="355"/>
      <c r="BD72" s="414">
        <f t="shared" ref="BD72" si="100">SUM(AS72:BC72)</f>
        <v>0</v>
      </c>
      <c r="BE72" s="380"/>
      <c r="BF72" s="355"/>
      <c r="BG72" s="380"/>
      <c r="BH72" s="355"/>
      <c r="BI72" s="380"/>
      <c r="BJ72" s="355"/>
      <c r="BK72" s="380"/>
      <c r="BL72" s="355"/>
      <c r="BM72" s="380"/>
      <c r="BN72" s="355"/>
      <c r="BO72" s="380"/>
      <c r="BP72" s="355"/>
      <c r="BQ72" s="414">
        <f t="shared" ref="BQ72" si="101">SUM(BF72:BP72)</f>
        <v>0</v>
      </c>
      <c r="BR72" s="380"/>
      <c r="BS72" s="355"/>
      <c r="BT72" s="380"/>
      <c r="BU72" s="355"/>
      <c r="BV72" s="380"/>
      <c r="BW72" s="355"/>
      <c r="BX72" s="380"/>
      <c r="BY72" s="355"/>
      <c r="BZ72" s="380"/>
      <c r="CA72" s="355"/>
      <c r="CB72" s="380"/>
      <c r="CC72" s="355"/>
      <c r="CD72" s="414">
        <f t="shared" ref="CD72" si="102">SUM(BS72:CC72)</f>
        <v>0</v>
      </c>
      <c r="CE72" s="380"/>
      <c r="CF72" s="355"/>
      <c r="CG72" s="380"/>
      <c r="CH72" s="355"/>
      <c r="CI72" s="380"/>
      <c r="CJ72" s="355"/>
      <c r="CK72" s="380"/>
      <c r="CL72" s="355"/>
      <c r="CM72" s="380"/>
      <c r="CN72" s="355"/>
      <c r="CO72" s="380"/>
      <c r="CP72" s="355"/>
      <c r="CQ72" s="414">
        <f t="shared" ref="CQ72" si="103">SUM(CF72:CP72)</f>
        <v>0</v>
      </c>
      <c r="CR72" s="380"/>
      <c r="CS72" s="355"/>
      <c r="CT72" s="380"/>
      <c r="CU72" s="355"/>
      <c r="CV72" s="380"/>
      <c r="CW72" s="355"/>
      <c r="CX72" s="380"/>
      <c r="CY72" s="355"/>
      <c r="CZ72" s="414">
        <f t="shared" ref="CZ72" si="104">SUM(CS72:CY72)</f>
        <v>0</v>
      </c>
      <c r="DA72" s="380"/>
      <c r="DB72" s="355"/>
      <c r="DC72" s="414">
        <f t="shared" si="8"/>
        <v>0</v>
      </c>
      <c r="DD72" s="356">
        <f>+$U$72+$AF$72+$AQ$72+$BD$72+$BQ$72+$CD$72+$CQ$72+$CZ$72+$DC$72</f>
        <v>221</v>
      </c>
    </row>
    <row r="73" spans="1:108" ht="17.45" customHeight="1">
      <c r="A73" s="357"/>
      <c r="B73" s="357"/>
      <c r="C73" s="357"/>
      <c r="D73" s="357"/>
      <c r="E73" s="357"/>
      <c r="F73" s="357"/>
      <c r="G73" s="379" t="s">
        <v>1153</v>
      </c>
      <c r="H73" s="347" t="s">
        <v>1154</v>
      </c>
      <c r="I73" s="380"/>
      <c r="J73" s="355"/>
      <c r="K73" s="380"/>
      <c r="L73" s="355"/>
      <c r="M73" s="380"/>
      <c r="N73" s="355"/>
      <c r="O73" s="380"/>
      <c r="P73" s="355"/>
      <c r="Q73" s="380"/>
      <c r="R73" s="355"/>
      <c r="S73" s="380"/>
      <c r="T73" s="355"/>
      <c r="U73" s="414">
        <f t="shared" si="0"/>
        <v>0</v>
      </c>
      <c r="V73" s="380"/>
      <c r="W73" s="355"/>
      <c r="X73" s="380"/>
      <c r="Y73" s="355"/>
      <c r="Z73" s="380"/>
      <c r="AA73" s="355"/>
      <c r="AB73" s="380"/>
      <c r="AC73" s="355"/>
      <c r="AD73" s="380"/>
      <c r="AE73" s="355"/>
      <c r="AF73" s="414">
        <f t="shared" si="1"/>
        <v>0</v>
      </c>
      <c r="AG73" s="380"/>
      <c r="AH73" s="355"/>
      <c r="AI73" s="380"/>
      <c r="AJ73" s="355"/>
      <c r="AK73" s="380"/>
      <c r="AL73" s="355"/>
      <c r="AM73" s="380"/>
      <c r="AN73" s="355"/>
      <c r="AO73" s="380"/>
      <c r="AP73" s="355"/>
      <c r="AQ73" s="414">
        <f t="shared" si="2"/>
        <v>0</v>
      </c>
      <c r="AR73" s="380"/>
      <c r="AS73" s="355"/>
      <c r="AT73" s="380"/>
      <c r="AU73" s="355"/>
      <c r="AV73" s="380"/>
      <c r="AW73" s="355"/>
      <c r="AX73" s="380"/>
      <c r="AY73" s="355"/>
      <c r="AZ73" s="380"/>
      <c r="BA73" s="355"/>
      <c r="BB73" s="380"/>
      <c r="BC73" s="355"/>
      <c r="BD73" s="414">
        <f t="shared" si="3"/>
        <v>0</v>
      </c>
      <c r="BE73" s="380"/>
      <c r="BF73" s="355"/>
      <c r="BG73" s="380"/>
      <c r="BH73" s="355"/>
      <c r="BI73" s="380"/>
      <c r="BJ73" s="355"/>
      <c r="BK73" s="380"/>
      <c r="BL73" s="355"/>
      <c r="BM73" s="380"/>
      <c r="BN73" s="355"/>
      <c r="BO73" s="380"/>
      <c r="BP73" s="355"/>
      <c r="BQ73" s="414">
        <f t="shared" si="4"/>
        <v>0</v>
      </c>
      <c r="BR73" s="380"/>
      <c r="BS73" s="355"/>
      <c r="BT73" s="380"/>
      <c r="BU73" s="355"/>
      <c r="BV73" s="380"/>
      <c r="BW73" s="355"/>
      <c r="BX73" s="380"/>
      <c r="BY73" s="355"/>
      <c r="BZ73" s="380"/>
      <c r="CA73" s="355"/>
      <c r="CB73" s="380"/>
      <c r="CC73" s="355"/>
      <c r="CD73" s="414">
        <f t="shared" si="5"/>
        <v>0</v>
      </c>
      <c r="CE73" s="380"/>
      <c r="CF73" s="355"/>
      <c r="CG73" s="380"/>
      <c r="CH73" s="355"/>
      <c r="CI73" s="380"/>
      <c r="CJ73" s="355"/>
      <c r="CK73" s="380"/>
      <c r="CL73" s="355"/>
      <c r="CM73" s="380"/>
      <c r="CN73" s="355"/>
      <c r="CO73" s="380"/>
      <c r="CP73" s="355"/>
      <c r="CQ73" s="414">
        <f t="shared" si="6"/>
        <v>0</v>
      </c>
      <c r="CR73" s="380"/>
      <c r="CS73" s="355"/>
      <c r="CT73" s="380"/>
      <c r="CU73" s="355"/>
      <c r="CV73" s="380"/>
      <c r="CW73" s="355"/>
      <c r="CX73" s="380"/>
      <c r="CY73" s="355"/>
      <c r="CZ73" s="414">
        <f t="shared" si="7"/>
        <v>0</v>
      </c>
      <c r="DA73" s="380"/>
      <c r="DB73" s="355"/>
      <c r="DC73" s="414">
        <f t="shared" si="8"/>
        <v>0</v>
      </c>
      <c r="DD73" s="356">
        <f>+$U$73+$AF$73+$AQ$73+$BD$73+$BQ$73+$CD$73+$CQ$73+$CZ$73+$DC$73</f>
        <v>0</v>
      </c>
    </row>
    <row r="74" spans="1:108" ht="17.45" customHeight="1">
      <c r="A74" s="357"/>
      <c r="B74" s="357"/>
      <c r="C74" s="358"/>
      <c r="D74" s="358"/>
      <c r="E74" s="358"/>
      <c r="F74" s="358"/>
      <c r="G74" s="379" t="s">
        <v>1235</v>
      </c>
      <c r="H74" s="347" t="s">
        <v>1799</v>
      </c>
      <c r="I74" s="381" t="s">
        <v>1852</v>
      </c>
      <c r="J74" s="355">
        <v>15</v>
      </c>
      <c r="K74" s="381" t="s">
        <v>1854</v>
      </c>
      <c r="L74" s="355">
        <v>15</v>
      </c>
      <c r="M74" s="381" t="s">
        <v>1854</v>
      </c>
      <c r="N74" s="355">
        <v>15</v>
      </c>
      <c r="O74" s="381" t="s">
        <v>1854</v>
      </c>
      <c r="P74" s="355">
        <v>15</v>
      </c>
      <c r="Q74" s="381" t="s">
        <v>1851</v>
      </c>
      <c r="R74" s="355">
        <v>15</v>
      </c>
      <c r="S74" s="380"/>
      <c r="T74" s="355"/>
      <c r="U74" s="414">
        <f t="shared" ref="U74" si="105">SUM(J74:T74)</f>
        <v>75</v>
      </c>
      <c r="V74" s="380"/>
      <c r="W74" s="355"/>
      <c r="X74" s="380"/>
      <c r="Y74" s="355"/>
      <c r="Z74" s="380"/>
      <c r="AA74" s="355"/>
      <c r="AB74" s="380"/>
      <c r="AC74" s="355"/>
      <c r="AD74" s="380"/>
      <c r="AE74" s="355"/>
      <c r="AF74" s="414">
        <f t="shared" ref="AF74" si="106">SUM(W74:AE74)</f>
        <v>0</v>
      </c>
      <c r="AG74" s="380"/>
      <c r="AH74" s="355"/>
      <c r="AI74" s="380"/>
      <c r="AJ74" s="355"/>
      <c r="AK74" s="380"/>
      <c r="AL74" s="355"/>
      <c r="AM74" s="380"/>
      <c r="AN74" s="355"/>
      <c r="AO74" s="380"/>
      <c r="AP74" s="355"/>
      <c r="AQ74" s="414">
        <f t="shared" ref="AQ74" si="107">SUM(AH74:AP74)</f>
        <v>0</v>
      </c>
      <c r="AR74" s="380"/>
      <c r="AS74" s="355"/>
      <c r="AT74" s="380"/>
      <c r="AU74" s="355"/>
      <c r="AV74" s="380"/>
      <c r="AW74" s="355"/>
      <c r="AX74" s="380"/>
      <c r="AY74" s="355"/>
      <c r="AZ74" s="380"/>
      <c r="BA74" s="355"/>
      <c r="BB74" s="380"/>
      <c r="BC74" s="355"/>
      <c r="BD74" s="414">
        <f t="shared" ref="BD74" si="108">SUM(AS74:BC74)</f>
        <v>0</v>
      </c>
      <c r="BE74" s="380"/>
      <c r="BF74" s="355"/>
      <c r="BG74" s="380"/>
      <c r="BH74" s="355"/>
      <c r="BI74" s="380"/>
      <c r="BJ74" s="355"/>
      <c r="BK74" s="380"/>
      <c r="BL74" s="355"/>
      <c r="BM74" s="380"/>
      <c r="BN74" s="355"/>
      <c r="BO74" s="380"/>
      <c r="BP74" s="355"/>
      <c r="BQ74" s="414">
        <f t="shared" ref="BQ74" si="109">SUM(BF74:BP74)</f>
        <v>0</v>
      </c>
      <c r="BR74" s="380"/>
      <c r="BS74" s="355"/>
      <c r="BT74" s="380"/>
      <c r="BU74" s="355"/>
      <c r="BV74" s="380"/>
      <c r="BW74" s="355"/>
      <c r="BX74" s="380"/>
      <c r="BY74" s="355"/>
      <c r="BZ74" s="380"/>
      <c r="CA74" s="355"/>
      <c r="CB74" s="380"/>
      <c r="CC74" s="355"/>
      <c r="CD74" s="414">
        <f t="shared" ref="CD74" si="110">SUM(BS74:CC74)</f>
        <v>0</v>
      </c>
      <c r="CE74" s="380"/>
      <c r="CF74" s="355"/>
      <c r="CG74" s="380"/>
      <c r="CH74" s="355"/>
      <c r="CI74" s="380"/>
      <c r="CJ74" s="355"/>
      <c r="CK74" s="380"/>
      <c r="CL74" s="355"/>
      <c r="CM74" s="380"/>
      <c r="CN74" s="355"/>
      <c r="CO74" s="380"/>
      <c r="CP74" s="355"/>
      <c r="CQ74" s="414">
        <f t="shared" ref="CQ74" si="111">SUM(CF74:CP74)</f>
        <v>0</v>
      </c>
      <c r="CR74" s="380"/>
      <c r="CS74" s="355"/>
      <c r="CT74" s="380"/>
      <c r="CU74" s="355"/>
      <c r="CV74" s="380"/>
      <c r="CW74" s="355"/>
      <c r="CX74" s="380"/>
      <c r="CY74" s="355"/>
      <c r="CZ74" s="414">
        <f t="shared" ref="CZ74" si="112">SUM(CS74:CY74)</f>
        <v>0</v>
      </c>
      <c r="DA74" s="380"/>
      <c r="DB74" s="355"/>
      <c r="DC74" s="414">
        <f t="shared" si="8"/>
        <v>0</v>
      </c>
      <c r="DD74" s="356">
        <f>+$U$74+$AF$74+$AQ$74+$BD$74+$BQ$74+$CD$74+$CQ$74+$CZ$74+$DC$74</f>
        <v>75</v>
      </c>
    </row>
    <row r="75" spans="1:108" ht="17.45" customHeight="1">
      <c r="A75" s="357"/>
      <c r="B75" s="357"/>
      <c r="C75" s="357"/>
      <c r="D75" s="357"/>
      <c r="E75" s="357"/>
      <c r="F75" s="357"/>
      <c r="G75" s="419" t="s">
        <v>1235</v>
      </c>
      <c r="H75" s="354" t="s">
        <v>1799</v>
      </c>
      <c r="I75" s="390"/>
      <c r="J75" s="391"/>
      <c r="K75" s="390"/>
      <c r="L75" s="391"/>
      <c r="M75" s="390"/>
      <c r="N75" s="391"/>
      <c r="O75" s="390"/>
      <c r="P75" s="391"/>
      <c r="Q75" s="390"/>
      <c r="R75" s="391"/>
      <c r="S75" s="390"/>
      <c r="T75" s="391"/>
      <c r="U75" s="416">
        <f t="shared" si="0"/>
        <v>0</v>
      </c>
      <c r="V75" s="390"/>
      <c r="W75" s="391"/>
      <c r="X75" s="390"/>
      <c r="Y75" s="391"/>
      <c r="Z75" s="390"/>
      <c r="AA75" s="391"/>
      <c r="AB75" s="390"/>
      <c r="AC75" s="391"/>
      <c r="AD75" s="390"/>
      <c r="AE75" s="391"/>
      <c r="AF75" s="416">
        <f t="shared" si="1"/>
        <v>0</v>
      </c>
      <c r="AG75" s="390"/>
      <c r="AH75" s="391"/>
      <c r="AI75" s="390"/>
      <c r="AJ75" s="391"/>
      <c r="AK75" s="390"/>
      <c r="AL75" s="391"/>
      <c r="AM75" s="390"/>
      <c r="AN75" s="391"/>
      <c r="AO75" s="390"/>
      <c r="AP75" s="391"/>
      <c r="AQ75" s="416">
        <f t="shared" si="2"/>
        <v>0</v>
      </c>
      <c r="AR75" s="390"/>
      <c r="AS75" s="391"/>
      <c r="AT75" s="390"/>
      <c r="AU75" s="391"/>
      <c r="AV75" s="390"/>
      <c r="AW75" s="391"/>
      <c r="AX75" s="390"/>
      <c r="AY75" s="391"/>
      <c r="AZ75" s="390"/>
      <c r="BA75" s="391"/>
      <c r="BB75" s="390"/>
      <c r="BC75" s="391"/>
      <c r="BD75" s="416">
        <f t="shared" si="3"/>
        <v>0</v>
      </c>
      <c r="BE75" s="390"/>
      <c r="BF75" s="391"/>
      <c r="BG75" s="390"/>
      <c r="BH75" s="391"/>
      <c r="BI75" s="390"/>
      <c r="BJ75" s="391"/>
      <c r="BK75" s="390"/>
      <c r="BL75" s="391"/>
      <c r="BM75" s="390"/>
      <c r="BN75" s="391"/>
      <c r="BO75" s="390"/>
      <c r="BP75" s="391"/>
      <c r="BQ75" s="416">
        <f t="shared" si="4"/>
        <v>0</v>
      </c>
      <c r="BR75" s="390"/>
      <c r="BS75" s="391"/>
      <c r="BT75" s="390"/>
      <c r="BU75" s="391"/>
      <c r="BV75" s="390"/>
      <c r="BW75" s="391"/>
      <c r="BX75" s="390"/>
      <c r="BY75" s="391"/>
      <c r="BZ75" s="390"/>
      <c r="CA75" s="391"/>
      <c r="CB75" s="390"/>
      <c r="CC75" s="391"/>
      <c r="CD75" s="416">
        <f t="shared" si="5"/>
        <v>0</v>
      </c>
      <c r="CE75" s="390"/>
      <c r="CF75" s="391"/>
      <c r="CG75" s="390"/>
      <c r="CH75" s="391"/>
      <c r="CI75" s="390"/>
      <c r="CJ75" s="391"/>
      <c r="CK75" s="390"/>
      <c r="CL75" s="391"/>
      <c r="CM75" s="390"/>
      <c r="CN75" s="391"/>
      <c r="CO75" s="390"/>
      <c r="CP75" s="391"/>
      <c r="CQ75" s="416">
        <f t="shared" si="6"/>
        <v>0</v>
      </c>
      <c r="CR75" s="390"/>
      <c r="CS75" s="391"/>
      <c r="CT75" s="390"/>
      <c r="CU75" s="391"/>
      <c r="CV75" s="390"/>
      <c r="CW75" s="391"/>
      <c r="CX75" s="390"/>
      <c r="CY75" s="391"/>
      <c r="CZ75" s="416">
        <f t="shared" si="7"/>
        <v>0</v>
      </c>
      <c r="DA75" s="390"/>
      <c r="DB75" s="391"/>
      <c r="DC75" s="416">
        <f t="shared" si="8"/>
        <v>0</v>
      </c>
      <c r="DD75" s="393">
        <f>+$U$75+$AF$75+$AQ$75+$BD$75+$BQ$75+$CD$75+$CQ$75+$CZ$75+$DC$75</f>
        <v>0</v>
      </c>
    </row>
    <row r="76" spans="1:108" ht="17.45" customHeight="1">
      <c r="A76" s="357"/>
      <c r="B76" s="336"/>
      <c r="C76" s="385" t="s">
        <v>1832</v>
      </c>
      <c r="D76" s="386"/>
      <c r="E76" s="386"/>
      <c r="F76" s="386"/>
      <c r="G76" s="386"/>
      <c r="H76" s="387"/>
      <c r="I76" s="387"/>
      <c r="J76" s="388">
        <f>+$J$75+$J$74+$J$73+$J$72+$J$71+$J$70+$J$69+$J$68+$J$67+$J$66+$J$65+$J$64+$J$63+$J$62+$J$61+$J$60+$J$59+$J$58+$J$57+$J$56+$J$55+$J$54+$J$53+$J$52</f>
        <v>256</v>
      </c>
      <c r="K76" s="387"/>
      <c r="L76" s="388">
        <f>+$L$75+$L$74+$L$73+$L$72+$L$71+$L$70+$L$69+$L$68+$L$67+$L$66+$L$65+$L$64+$L$63+$L$62+$L$61+$L$60+$L$59+$L$58+$L$57+$L$56+$L$55+$L$54+$L$53+$L$52</f>
        <v>336</v>
      </c>
      <c r="M76" s="387"/>
      <c r="N76" s="388">
        <f>+$N$75+$N$74+$N$73+$N$72+$N$71+$N$70+$N$69+$N$68+$N$67+$N$66+$N$65+$N$64+$N$63+$N$62+$N$61+$N$60+$N$59+$N$58+$N$57+$N$56+$N$55+$N$54+$N$53+$N$52</f>
        <v>336</v>
      </c>
      <c r="O76" s="387"/>
      <c r="P76" s="388">
        <f>+$P$75+$P$74+$P$73+$P$72+$P$71+$P$70+$P$69+$P$68+$P$67+$P$66+$P$65+$P$64+$P$63+$P$62+$P$61+$P$60+$P$59+$P$58+$P$57+$P$56+$P$55+$P$54+$P$53+$P$52</f>
        <v>320</v>
      </c>
      <c r="Q76" s="387"/>
      <c r="R76" s="388">
        <f>+$R$75+$R$74+$R$73+$R$72+$R$71+$R$70+$R$69+$R$68+$R$67+$R$66+$R$65+$R$64+$R$63+$R$62+$R$61+$R$60+$R$59+$R$58+$R$57+$R$56+$R$55+$R$54+$R$53+$R$52</f>
        <v>260</v>
      </c>
      <c r="S76" s="387"/>
      <c r="T76" s="388">
        <f>+$T$75+$T$74+$T$73+$T$72+$T$71+$T$70+$T$69+$T$68+$T$67+$T$66+$T$65+$T$64+$T$63+$T$62+$T$61+$T$60+$T$59+$T$58+$T$57+$T$56+$T$55+$T$54+$T$53+$T$52</f>
        <v>240</v>
      </c>
      <c r="U76" s="414">
        <f t="shared" si="0"/>
        <v>1748</v>
      </c>
      <c r="V76" s="387"/>
      <c r="W76" s="388">
        <f>+$W$75+$W$74+$W$73+$W$72+$W$71+$W$70+$W$69+$W$68+$W$67+$W$66+$W$65+$W$64+$W$63+$W$62+$W$61+$W$60+$W$59+$W$58+$W$57+$W$56+$W$55+$W$54+$W$53+$W$52</f>
        <v>0</v>
      </c>
      <c r="X76" s="387"/>
      <c r="Y76" s="388">
        <f>+$Y$75+$Y$74+$Y$73+$Y$72+$Y$71+$Y$70+$Y$69+$Y$68+$Y$67+$Y$66+$Y$65+$Y$64+$Y$63+$Y$62+$Y$61+$Y$60+$Y$59+$Y$58+$Y$57+$Y$56+$Y$55+$Y$54+$Y$53+$Y$52</f>
        <v>0</v>
      </c>
      <c r="Z76" s="387"/>
      <c r="AA76" s="388">
        <f>+$AA$75+$AA$74+$AA$73+$AA$72+$AA$71+$AA$70+$AA$69+$AA$68+$AA$67+$AA$66+$AA$65+$AA$64+$AA$63+$AA$62+$AA$61+$AA$60+$AA$59+$AA$58+$AA$57+$AA$56+$AA$55+$AA$54+$AA$53+$AA$52</f>
        <v>0</v>
      </c>
      <c r="AB76" s="387"/>
      <c r="AC76" s="388">
        <f>+$AC$75+$AC$74+$AC$73+$AC$72+$AC$71+$AC$70+$AC$69+$AC$68+$AC$67+$AC$66+$AC$65+$AC$64+$AC$63+$AC$62+$AC$61+$AC$60+$AC$59+$AC$58+$AC$57+$AC$56+$AC$55+$AC$54+$AC$53+$AC$52</f>
        <v>0</v>
      </c>
      <c r="AD76" s="387"/>
      <c r="AE76" s="388">
        <f>+$AE$75+$AE$74+$AE$73+$AE$72+$AE$71+$AE$70+$AE$69+$AE$68+$AE$67+$AE$66+$AE$65+$AE$64+$AE$63+$AE$62+$AE$61+$AE$60+$AE$59+$AE$58+$AE$57+$AE$56+$AE$55+$AE$54+$AE$53+$AE$52</f>
        <v>0</v>
      </c>
      <c r="AF76" s="414">
        <f t="shared" si="1"/>
        <v>0</v>
      </c>
      <c r="AG76" s="387"/>
      <c r="AH76" s="388">
        <f>+$AH$75+$AH$74+$AH$73+$AH$72+$AH$71+$AH$70+$AH$69+$AH$68+$AH$67+$AH$66+$AH$65+$AH$64+$AH$63+$AH$62+$AH$61+$AH$60+$AH$59+$AH$58+$AH$57+$AH$56+$AH$55+$AH$54+$AH$53+$AH$52</f>
        <v>0</v>
      </c>
      <c r="AI76" s="387"/>
      <c r="AJ76" s="388">
        <f>+$AJ$75+$AJ$74+$AJ$73+$AJ$72+$AJ$71+$AJ$70+$AJ$69+$AJ$68+$AJ$67+$AJ$66+$AJ$65+$AJ$64+$AJ$63+$AJ$62+$AJ$61+$AJ$60+$AJ$59+$AJ$58+$AJ$57+$AJ$56+$AJ$55+$AJ$54+$AJ$53+$AJ$52</f>
        <v>0</v>
      </c>
      <c r="AK76" s="387"/>
      <c r="AL76" s="388">
        <f>+$AL$75+$AL$74+$AL$73+$AL$72+$AL$71+$AL$70+$AL$69+$AL$68+$AL$67+$AL$66+$AL$65+$AL$64+$AL$63+$AL$62+$AL$61+$AL$60+$AL$59+$AL$58+$AL$57+$AL$56+$AL$55+$AL$54+$AL$53+$AL$52</f>
        <v>0</v>
      </c>
      <c r="AM76" s="387"/>
      <c r="AN76" s="388">
        <f>+$AN$75+$AN$74+$AN$73+$AN$72+$AN$71+$AN$70+$AN$69+$AN$68+$AN$67+$AN$66+$AN$65+$AN$64+$AN$63+$AN$62+$AN$61+$AN$60+$AN$59+$AN$58+$AN$57+$AN$56+$AN$55+$AN$54+$AN$53+$AN$52</f>
        <v>0</v>
      </c>
      <c r="AO76" s="387"/>
      <c r="AP76" s="388">
        <f>+$AP$75+$AP$74+$AP$73+$AP$72+$AP$71+$AP$70+$AP$69+$AP$68+$AP$67+$AP$66+$AP$65+$AP$64+$AP$63+$AP$62+$AP$61+$AP$60+$AP$59+$AP$58+$AP$57+$AP$56+$AP$55+$AP$54+$AP$53+$AP$52</f>
        <v>0</v>
      </c>
      <c r="AQ76" s="414">
        <f t="shared" si="2"/>
        <v>0</v>
      </c>
      <c r="AR76" s="387"/>
      <c r="AS76" s="388">
        <f>+$AS$75+$AS$74+$AS$73+$AS$72+$AS$71+$AS$70+$AS$69+$AS$68+$AS$67+$AS$66+$AS$65+$AS$64+$AS$63+$AS$62+$AS$61+$AS$60+$AS$59+$AS$58+$AS$57+$AS$56+$AS$55+$AS$54+$AS$53+$AS$52</f>
        <v>0</v>
      </c>
      <c r="AT76" s="387"/>
      <c r="AU76" s="388">
        <f>+$AU$75+$AU$74+$AU$73+$AU$72+$AU$71+$AU$70+$AU$69+$AU$68+$AU$67+$AU$66+$AU$65+$AU$64+$AU$63+$AU$62+$AU$61+$AU$60+$AU$59+$AU$58+$AU$57+$AU$56+$AU$55+$AU$54+$AU$53+$AU$52</f>
        <v>0</v>
      </c>
      <c r="AV76" s="387"/>
      <c r="AW76" s="388">
        <f>+$AW$75+$AW$74+$AW$73+$AW$72+$AW$71+$AW$70+$AW$69+$AW$68+$AW$67+$AW$66+$AW$65+$AW$64+$AW$63+$AW$62+$AW$61+$AW$60+$AW$59+$AW$58+$AW$57+$AW$56+$AW$55+$AW$54+$AW$53+$AW$52</f>
        <v>0</v>
      </c>
      <c r="AX76" s="387"/>
      <c r="AY76" s="388">
        <f>+$AY$75+$AY$74+$AY$73+$AY$72+$AY$71+$AY$70+$AY$69+$AY$68+$AY$67+$AY$66+$AY$65+$AY$64+$AY$63+$AY$62+$AY$61+$AY$60+$AY$59+$AY$58+$AY$57+$AY$56+$AY$55+$AY$54+$AY$53+$AY$52</f>
        <v>0</v>
      </c>
      <c r="AZ76" s="387"/>
      <c r="BA76" s="388">
        <f>+$BA$75+$BA$74+$BA$73+$BA$72+$BA$71+$BA$70+$BA$69+$BA$68+$BA$67+$BA$66+$BA$65+$BA$64+$BA$63+$BA$62+$BA$61+$BA$60+$BA$59+$BA$58+$BA$57+$BA$56+$BA$55+$BA$54+$BA$53+$BA$52</f>
        <v>0</v>
      </c>
      <c r="BB76" s="387"/>
      <c r="BC76" s="388">
        <f>+$BC$75+$BC$74+$BC$73+$BC$72+$BC$71+$BC$70+$BC$69+$BC$68+$BC$67+$BC$66+$BC$65+$BC$64+$BC$63+$BC$62+$BC$61+$BC$60+$BC$59+$BC$58+$BC$57+$BC$56+$BC$55+$BC$54+$BC$53+$BC$52</f>
        <v>0</v>
      </c>
      <c r="BD76" s="414">
        <f t="shared" si="3"/>
        <v>0</v>
      </c>
      <c r="BE76" s="387"/>
      <c r="BF76" s="388">
        <f>+$BF$75+$BF$74+$BF$73+$BF$72+$BF$71+$BF$70+$BF$69+$BF$68+$BF$67+$BF$66+$BF$65+$BF$64+$BF$63+$BF$62+$BF$61+$BF$60+$BF$59+$BF$58+$BF$57+$BF$56+$BF$55+$BF$54+$BF$53+$BF$52</f>
        <v>0</v>
      </c>
      <c r="BG76" s="387"/>
      <c r="BH76" s="388">
        <f>+$BH$75+$BH$74+$BH$73+$BH$72+$BH$71+$BH$70+$BH$69+$BH$68+$BH$67+$BH$66+$BH$65+$BH$64+$BH$63+$BH$62+$BH$61+$BH$60+$BH$59+$BH$58+$BH$57+$BH$56+$BH$55+$BH$54+$BH$53+$BH$52</f>
        <v>0</v>
      </c>
      <c r="BI76" s="387"/>
      <c r="BJ76" s="388">
        <f>+$BJ$75+$BJ$74+$BJ$73+$BJ$72+$BJ$71+$BJ$70+$BJ$69+$BJ$68+$BJ$67+$BJ$66+$BJ$65+$BJ$64+$BJ$63+$BJ$62+$BJ$61+$BJ$60+$BJ$59+$BJ$58+$BJ$57+$BJ$56+$BJ$55+$BJ$54+$BJ$53+$BJ$52</f>
        <v>0</v>
      </c>
      <c r="BK76" s="387"/>
      <c r="BL76" s="388">
        <f>+$BL$75+$BL$74+$BL$73+$BL$72+$BL$71+$BL$70+$BL$69+$BL$68+$BL$67+$BL$66+$BL$65+$BL$64+$BL$63+$BL$62+$BL$61+$BL$60+$BL$59+$BL$58+$BL$57+$BL$56+$BL$55+$BL$54+$BL$53+$BL$52</f>
        <v>0</v>
      </c>
      <c r="BM76" s="387"/>
      <c r="BN76" s="388">
        <f>+$BN$75+$BN$74+$BN$73+$BN$72+$BN$71+$BN$70+$BN$69+$BN$68+$BN$67+$BN$66+$BN$65+$BN$64+$BN$63+$BN$62+$BN$61+$BN$60+$BN$59+$BN$58+$BN$57+$BN$56+$BN$55+$BN$54+$BN$53+$BN$52</f>
        <v>0</v>
      </c>
      <c r="BO76" s="387"/>
      <c r="BP76" s="388">
        <f>+$BP$75+$BP$74+$BP$73+$BP$72+$BP$71+$BP$70+$BP$69+$BP$68+$BP$67+$BP$66+$BP$65+$BP$64+$BP$63+$BP$62+$BP$61+$BP$60+$BP$59+$BP$58+$BP$57+$BP$56+$BP$55+$BP$54+$BP$53+$BP$52</f>
        <v>0</v>
      </c>
      <c r="BQ76" s="414">
        <f t="shared" si="4"/>
        <v>0</v>
      </c>
      <c r="BR76" s="387"/>
      <c r="BS76" s="388">
        <f>+$BS$75+$BS$74+$BS$73+$BS$72+$BS$71+$BS$70+$BS$69+$BS$68+$BS$67+$BS$66+$BS$65+$BS$64+$BS$63+$BS$62+$BS$61+$BS$60+$BS$59+$BS$58+$BS$57+$BS$56+$BS$55+$BS$54+$BS$53+$BS$52</f>
        <v>0</v>
      </c>
      <c r="BT76" s="387"/>
      <c r="BU76" s="388">
        <f>+$BU$75+$BU$74+$BU$73+$BU$72+$BU$71+$BU$70+$BU$69+$BU$68+$BU$67+$BU$66+$BU$65+$BU$64+$BU$63+$BU$62+$BU$61+$BU$60+$BU$59+$BU$58+$BU$57+$BU$56+$BU$55+$BU$54+$BU$53+$BU$52</f>
        <v>0</v>
      </c>
      <c r="BV76" s="387"/>
      <c r="BW76" s="388">
        <f>+$BW$75+$BW$74+$BW$73+$BW$72+$BW$71+$BW$70+$BW$69+$BW$68+$BW$67+$BW$66+$BW$65+$BW$64+$BW$63+$BW$62+$BW$61+$BW$60+$BW$59+$BW$58+$BW$57+$BW$56+$BW$55+$BW$54+$BW$53+$BW$52</f>
        <v>0</v>
      </c>
      <c r="BX76" s="387"/>
      <c r="BY76" s="388">
        <f>+$BY$75+$BY$74+$BY$73+$BY$72+$BY$71+$BY$70+$BY$69+$BY$68+$BY$67+$BY$66+$BY$65+$BY$64+$BY$63+$BY$62+$BY$61+$BY$60+$BY$59+$BY$58+$BY$57+$BY$56+$BY$55+$BY$54+$BY$53+$BY$52</f>
        <v>0</v>
      </c>
      <c r="BZ76" s="387"/>
      <c r="CA76" s="388">
        <f>+$CA$75+$CA$74+$CA$73+$CA$72+$CA$71+$CA$70+$CA$69+$CA$68+$CA$67+$CA$66+$CA$65+$CA$64+$CA$63+$CA$62+$CA$61+$CA$60+$CA$59+$CA$58+$CA$57+$CA$56+$CA$55+$CA$54+$CA$53+$CA$52</f>
        <v>0</v>
      </c>
      <c r="CB76" s="387"/>
      <c r="CC76" s="388">
        <f>+$CC$75+$CC$74+$CC$73+$CC$72+$CC$71+$CC$70+$CC$69+$CC$68+$CC$67+$CC$66+$CC$65+$CC$64+$CC$63+$CC$62+$CC$61+$CC$60+$CC$59+$CC$58+$CC$57+$CC$56+$CC$55+$CC$54+$CC$53+$CC$52</f>
        <v>0</v>
      </c>
      <c r="CD76" s="414">
        <f t="shared" si="5"/>
        <v>0</v>
      </c>
      <c r="CE76" s="387"/>
      <c r="CF76" s="388">
        <f>+$CF$75+$CF$74+$CF$73+$CF$72+$CF$71+$CF$70+$CF$69+$CF$68+$CF$67+$CF$66+$CF$65+$CF$64+$CF$63+$CF$62+$CF$61+$CF$60+$CF$59+$CF$58+$CF$57+$CF$56+$CF$55+$CF$54+$CF$53+$CF$52</f>
        <v>0</v>
      </c>
      <c r="CG76" s="387"/>
      <c r="CH76" s="388">
        <f>+$CH$75+$CH$74+$CH$73+$CH$72+$CH$71+$CH$70+$CH$69+$CH$68+$CH$67+$CH$66+$CH$65+$CH$64+$CH$63+$CH$62+$CH$61+$CH$60+$CH$59+$CH$58+$CH$57+$CH$56+$CH$55+$CH$54+$CH$53+$CH$52</f>
        <v>0</v>
      </c>
      <c r="CI76" s="387"/>
      <c r="CJ76" s="388">
        <f>+$CJ$75+$CJ$74+$CJ$73+$CJ$72+$CJ$71+$CJ$70+$CJ$69+$CJ$68+$CJ$67+$CJ$66+$CJ$65+$CJ$64+$CJ$63+$CJ$62+$CJ$61+$CJ$60+$CJ$59+$CJ$58+$CJ$57+$CJ$56+$CJ$55+$CJ$54+$CJ$53+$CJ$52</f>
        <v>0</v>
      </c>
      <c r="CK76" s="387"/>
      <c r="CL76" s="388">
        <f>+$CL$75+$CL$74+$CL$73+$CL$72+$CL$71+$CL$70+$CL$69+$CL$68+$CL$67+$CL$66+$CL$65+$CL$64+$CL$63+$CL$62+$CL$61+$CL$60+$CL$59+$CL$58+$CL$57+$CL$56+$CL$55+$CL$54+$CL$53+$CL$52</f>
        <v>0</v>
      </c>
      <c r="CM76" s="387"/>
      <c r="CN76" s="388">
        <f>+$CN$75+$CN$74+$CN$73+$CN$72+$CN$71+$CN$70+$CN$69+$CN$68+$CN$67+$CN$66+$CN$65+$CN$64+$CN$63+$CN$62+$CN$61+$CN$60+$CN$59+$CN$58+$CN$57+$CN$56+$CN$55+$CN$54+$CN$53+$CN$52</f>
        <v>0</v>
      </c>
      <c r="CO76" s="387"/>
      <c r="CP76" s="388">
        <f>+$CP$75+$CP$74+$CP$73+$CP$72+$CP$71+$CP$70+$CP$69+$CP$68+$CP$67+$CP$66+$CP$65+$CP$64+$CP$63+$CP$62+$CP$61+$CP$60+$CP$59+$CP$58+$CP$57+$CP$56+$CP$55+$CP$54+$CP$53+$CP$52</f>
        <v>0</v>
      </c>
      <c r="CQ76" s="414">
        <f t="shared" si="6"/>
        <v>0</v>
      </c>
      <c r="CR76" s="387"/>
      <c r="CS76" s="388">
        <f>+$CS$75+$CS$74+$CS$73+$CS$72+$CS$71+$CS$70+$CS$69+$CS$68+$CS$67+$CS$66+$CS$65+$CS$64+$CS$63+$CS$62+$CS$61+$CS$60+$CS$59+$CS$58+$CS$57+$CS$56+$CS$55+$CS$54+$CS$53+$CS$52</f>
        <v>0</v>
      </c>
      <c r="CT76" s="387"/>
      <c r="CU76" s="388">
        <f>+$CU$75+$CU$74+$CU$73+$CU$72+$CU$71+$CU$70+$CU$69+$CU$68+$CU$67+$CU$66+$CU$65+$CU$64+$CU$63+$CU$62+$CU$61+$CU$60+$CU$59+$CU$58+$CU$57+$CU$56+$CU$55+$CU$54+$CU$53+$CU$52</f>
        <v>0</v>
      </c>
      <c r="CV76" s="387"/>
      <c r="CW76" s="388">
        <f>+$CW$75+$CW$74+$CW$73+$CW$72+$CW$71+$CW$70+$CW$69+$CW$68+$CW$67+$CW$66+$CW$65+$CW$64+$CW$63+$CW$62+$CW$61+$CW$60+$CW$59+$CW$58+$CW$57+$CW$56+$CW$55+$CW$54+$CW$53+$CW$52</f>
        <v>0</v>
      </c>
      <c r="CX76" s="387"/>
      <c r="CY76" s="388">
        <f>+$CY$75+$CY$74+$CY$73+$CY$72+$CY$71+$CY$70+$CY$69+$CY$68+$CY$67+$CY$66+$CY$65+$CY$64+$CY$63+$CY$62+$CY$61+$CY$60+$CY$59+$CY$58+$CY$57+$CY$56+$CY$55+$CY$54+$CY$53+$CY$52</f>
        <v>0</v>
      </c>
      <c r="CZ76" s="414">
        <f t="shared" si="7"/>
        <v>0</v>
      </c>
      <c r="DA76" s="387"/>
      <c r="DB76" s="388">
        <f>+$DB$75+$DB$74+$DB$73+$DB$72+$DB$71+$DB$70+$DB$69+$DB$68+$DB$67+$DB$66+$DB$65+$DB$64+$DB$63+$DB$62+$DB$61+$DB$60+$DB$59+$DB$58+$DB$57+$DB$56+$DB$55+$DB$54+$DB$53+$DB$52</f>
        <v>0</v>
      </c>
      <c r="DC76" s="414">
        <f t="shared" si="8"/>
        <v>0</v>
      </c>
      <c r="DD76" s="389">
        <f>+$U$76+$AF$76+$AQ$76+$BD$76+$BQ$76+$CD$76+$CQ$76+$CZ$76+$DC$76</f>
        <v>1748</v>
      </c>
    </row>
    <row r="77" spans="1:108" ht="17.45" customHeight="1">
      <c r="A77" s="357"/>
      <c r="B77" s="357"/>
      <c r="C77" s="357" t="s">
        <v>1236</v>
      </c>
      <c r="D77" s="357"/>
      <c r="E77" s="357"/>
      <c r="F77" s="357" t="s">
        <v>37</v>
      </c>
      <c r="G77" s="402" t="s">
        <v>1110</v>
      </c>
      <c r="H77" s="358" t="s">
        <v>1111</v>
      </c>
      <c r="I77" s="396"/>
      <c r="J77" s="395"/>
      <c r="K77" s="394" t="s">
        <v>1852</v>
      </c>
      <c r="L77" s="395">
        <v>24</v>
      </c>
      <c r="M77" s="396"/>
      <c r="N77" s="395"/>
      <c r="O77" s="396"/>
      <c r="P77" s="395"/>
      <c r="Q77" s="396"/>
      <c r="R77" s="395"/>
      <c r="S77" s="396"/>
      <c r="T77" s="395"/>
      <c r="U77" s="417">
        <f t="shared" ref="U77" si="113">SUM(J77:T77)</f>
        <v>24</v>
      </c>
      <c r="V77" s="396"/>
      <c r="W77" s="395"/>
      <c r="X77" s="396"/>
      <c r="Y77" s="395"/>
      <c r="Z77" s="396"/>
      <c r="AA77" s="395"/>
      <c r="AB77" s="396"/>
      <c r="AC77" s="395"/>
      <c r="AD77" s="396"/>
      <c r="AE77" s="395"/>
      <c r="AF77" s="417">
        <f t="shared" ref="AF77" si="114">SUM(W77:AE77)</f>
        <v>0</v>
      </c>
      <c r="AG77" s="396"/>
      <c r="AH77" s="395"/>
      <c r="AI77" s="396"/>
      <c r="AJ77" s="395"/>
      <c r="AK77" s="396"/>
      <c r="AL77" s="395"/>
      <c r="AM77" s="396"/>
      <c r="AN77" s="395"/>
      <c r="AO77" s="396"/>
      <c r="AP77" s="395"/>
      <c r="AQ77" s="417">
        <f t="shared" ref="AQ77" si="115">SUM(AH77:AP77)</f>
        <v>0</v>
      </c>
      <c r="AR77" s="396"/>
      <c r="AS77" s="395"/>
      <c r="AT77" s="396"/>
      <c r="AU77" s="395"/>
      <c r="AV77" s="396"/>
      <c r="AW77" s="395"/>
      <c r="AX77" s="396"/>
      <c r="AY77" s="395"/>
      <c r="AZ77" s="396"/>
      <c r="BA77" s="395"/>
      <c r="BB77" s="396"/>
      <c r="BC77" s="395"/>
      <c r="BD77" s="417">
        <f t="shared" ref="BD77" si="116">SUM(AS77:BC77)</f>
        <v>0</v>
      </c>
      <c r="BE77" s="396"/>
      <c r="BF77" s="395"/>
      <c r="BG77" s="396"/>
      <c r="BH77" s="395"/>
      <c r="BI77" s="396"/>
      <c r="BJ77" s="395"/>
      <c r="BK77" s="396"/>
      <c r="BL77" s="395"/>
      <c r="BM77" s="396"/>
      <c r="BN77" s="395"/>
      <c r="BO77" s="396"/>
      <c r="BP77" s="395"/>
      <c r="BQ77" s="417">
        <f t="shared" ref="BQ77" si="117">SUM(BF77:BP77)</f>
        <v>0</v>
      </c>
      <c r="BR77" s="396"/>
      <c r="BS77" s="395"/>
      <c r="BT77" s="396"/>
      <c r="BU77" s="395"/>
      <c r="BV77" s="396"/>
      <c r="BW77" s="395"/>
      <c r="BX77" s="396"/>
      <c r="BY77" s="395"/>
      <c r="BZ77" s="396"/>
      <c r="CA77" s="395"/>
      <c r="CB77" s="396"/>
      <c r="CC77" s="395"/>
      <c r="CD77" s="417">
        <f t="shared" ref="CD77" si="118">SUM(BS77:CC77)</f>
        <v>0</v>
      </c>
      <c r="CE77" s="396"/>
      <c r="CF77" s="395"/>
      <c r="CG77" s="396"/>
      <c r="CH77" s="395"/>
      <c r="CI77" s="396"/>
      <c r="CJ77" s="395"/>
      <c r="CK77" s="396"/>
      <c r="CL77" s="395"/>
      <c r="CM77" s="396"/>
      <c r="CN77" s="395"/>
      <c r="CO77" s="396"/>
      <c r="CP77" s="395"/>
      <c r="CQ77" s="417">
        <f t="shared" ref="CQ77" si="119">SUM(CF77:CP77)</f>
        <v>0</v>
      </c>
      <c r="CR77" s="396"/>
      <c r="CS77" s="395"/>
      <c r="CT77" s="396"/>
      <c r="CU77" s="395"/>
      <c r="CV77" s="396"/>
      <c r="CW77" s="395"/>
      <c r="CX77" s="396"/>
      <c r="CY77" s="395"/>
      <c r="CZ77" s="417">
        <f t="shared" ref="CZ77" si="120">SUM(CS77:CY77)</f>
        <v>0</v>
      </c>
      <c r="DA77" s="396"/>
      <c r="DB77" s="395"/>
      <c r="DC77" s="417">
        <f t="shared" si="8"/>
        <v>0</v>
      </c>
      <c r="DD77" s="397">
        <f>+$U$77+$AF$77+$AQ$77+$BD$77+$BQ$77+$CD$77+$CQ$77+$CZ$77+$DC$77</f>
        <v>24</v>
      </c>
    </row>
    <row r="78" spans="1:108" ht="17.45" customHeight="1">
      <c r="A78" s="357"/>
      <c r="B78" s="357"/>
      <c r="C78" s="354"/>
      <c r="D78" s="354"/>
      <c r="E78" s="354"/>
      <c r="F78" s="354" t="s">
        <v>37</v>
      </c>
      <c r="G78" s="379" t="s">
        <v>1110</v>
      </c>
      <c r="H78" s="347" t="s">
        <v>1111</v>
      </c>
      <c r="I78" s="380"/>
      <c r="J78" s="355"/>
      <c r="K78" s="380"/>
      <c r="L78" s="355"/>
      <c r="M78" s="380"/>
      <c r="N78" s="355"/>
      <c r="O78" s="380"/>
      <c r="P78" s="355"/>
      <c r="Q78" s="380"/>
      <c r="R78" s="355"/>
      <c r="S78" s="380"/>
      <c r="T78" s="355"/>
      <c r="U78" s="414">
        <f t="shared" si="0"/>
        <v>0</v>
      </c>
      <c r="V78" s="380"/>
      <c r="W78" s="355"/>
      <c r="X78" s="380"/>
      <c r="Y78" s="355"/>
      <c r="Z78" s="380"/>
      <c r="AA78" s="355"/>
      <c r="AB78" s="380"/>
      <c r="AC78" s="355"/>
      <c r="AD78" s="380"/>
      <c r="AE78" s="355"/>
      <c r="AF78" s="414">
        <f t="shared" si="1"/>
        <v>0</v>
      </c>
      <c r="AG78" s="380"/>
      <c r="AH78" s="355"/>
      <c r="AI78" s="380"/>
      <c r="AJ78" s="355"/>
      <c r="AK78" s="380"/>
      <c r="AL78" s="355"/>
      <c r="AM78" s="380"/>
      <c r="AN78" s="355"/>
      <c r="AO78" s="380"/>
      <c r="AP78" s="355"/>
      <c r="AQ78" s="414">
        <f t="shared" si="2"/>
        <v>0</v>
      </c>
      <c r="AR78" s="380"/>
      <c r="AS78" s="355"/>
      <c r="AT78" s="380"/>
      <c r="AU78" s="355"/>
      <c r="AV78" s="380"/>
      <c r="AW78" s="355"/>
      <c r="AX78" s="380"/>
      <c r="AY78" s="355"/>
      <c r="AZ78" s="380"/>
      <c r="BA78" s="355"/>
      <c r="BB78" s="380"/>
      <c r="BC78" s="355"/>
      <c r="BD78" s="414">
        <f t="shared" si="3"/>
        <v>0</v>
      </c>
      <c r="BE78" s="380"/>
      <c r="BF78" s="355"/>
      <c r="BG78" s="380"/>
      <c r="BH78" s="355"/>
      <c r="BI78" s="380"/>
      <c r="BJ78" s="355"/>
      <c r="BK78" s="380"/>
      <c r="BL78" s="355"/>
      <c r="BM78" s="380"/>
      <c r="BN78" s="355"/>
      <c r="BO78" s="380"/>
      <c r="BP78" s="355"/>
      <c r="BQ78" s="414">
        <f t="shared" si="4"/>
        <v>0</v>
      </c>
      <c r="BR78" s="380"/>
      <c r="BS78" s="355"/>
      <c r="BT78" s="380"/>
      <c r="BU78" s="355"/>
      <c r="BV78" s="380"/>
      <c r="BW78" s="355"/>
      <c r="BX78" s="380"/>
      <c r="BY78" s="355"/>
      <c r="BZ78" s="380"/>
      <c r="CA78" s="355"/>
      <c r="CB78" s="380"/>
      <c r="CC78" s="355"/>
      <c r="CD78" s="414">
        <f t="shared" si="5"/>
        <v>0</v>
      </c>
      <c r="CE78" s="380"/>
      <c r="CF78" s="355"/>
      <c r="CG78" s="380"/>
      <c r="CH78" s="355"/>
      <c r="CI78" s="380"/>
      <c r="CJ78" s="355"/>
      <c r="CK78" s="380"/>
      <c r="CL78" s="355"/>
      <c r="CM78" s="380"/>
      <c r="CN78" s="355"/>
      <c r="CO78" s="380"/>
      <c r="CP78" s="355"/>
      <c r="CQ78" s="414">
        <f t="shared" si="6"/>
        <v>0</v>
      </c>
      <c r="CR78" s="380"/>
      <c r="CS78" s="355"/>
      <c r="CT78" s="380"/>
      <c r="CU78" s="355"/>
      <c r="CV78" s="380"/>
      <c r="CW78" s="355"/>
      <c r="CX78" s="380"/>
      <c r="CY78" s="355"/>
      <c r="CZ78" s="414">
        <f t="shared" si="7"/>
        <v>0</v>
      </c>
      <c r="DA78" s="380"/>
      <c r="DB78" s="355"/>
      <c r="DC78" s="414">
        <f t="shared" si="8"/>
        <v>0</v>
      </c>
      <c r="DD78" s="356">
        <f>+$U$78+$AF$78+$AQ$78+$BD$78+$BQ$78+$CD$78+$CQ$78+$CZ$78+$DC$78</f>
        <v>0</v>
      </c>
    </row>
    <row r="79" spans="1:108" ht="17.45" customHeight="1">
      <c r="A79" s="357"/>
      <c r="B79" s="357"/>
      <c r="C79" s="357"/>
      <c r="D79" s="357"/>
      <c r="E79" s="357" t="s">
        <v>36</v>
      </c>
      <c r="F79" s="357"/>
      <c r="G79" s="347" t="s">
        <v>1155</v>
      </c>
      <c r="H79" s="347" t="s">
        <v>1156</v>
      </c>
      <c r="I79" s="380"/>
      <c r="J79" s="355"/>
      <c r="K79" s="380"/>
      <c r="L79" s="355"/>
      <c r="M79" s="380"/>
      <c r="N79" s="355"/>
      <c r="O79" s="380"/>
      <c r="P79" s="355"/>
      <c r="Q79" s="380"/>
      <c r="R79" s="355"/>
      <c r="S79" s="380"/>
      <c r="T79" s="355"/>
      <c r="U79" s="414">
        <f t="shared" si="0"/>
        <v>0</v>
      </c>
      <c r="V79" s="380"/>
      <c r="W79" s="355"/>
      <c r="X79" s="380"/>
      <c r="Y79" s="355"/>
      <c r="Z79" s="380"/>
      <c r="AA79" s="355"/>
      <c r="AB79" s="380"/>
      <c r="AC79" s="355"/>
      <c r="AD79" s="380"/>
      <c r="AE79" s="355"/>
      <c r="AF79" s="414">
        <f t="shared" si="1"/>
        <v>0</v>
      </c>
      <c r="AG79" s="380"/>
      <c r="AH79" s="355"/>
      <c r="AI79" s="380"/>
      <c r="AJ79" s="355"/>
      <c r="AK79" s="380"/>
      <c r="AL79" s="355"/>
      <c r="AM79" s="380"/>
      <c r="AN79" s="355"/>
      <c r="AO79" s="380"/>
      <c r="AP79" s="355"/>
      <c r="AQ79" s="414">
        <f t="shared" si="2"/>
        <v>0</v>
      </c>
      <c r="AR79" s="380"/>
      <c r="AS79" s="355"/>
      <c r="AT79" s="380"/>
      <c r="AU79" s="355"/>
      <c r="AV79" s="380"/>
      <c r="AW79" s="355"/>
      <c r="AX79" s="380"/>
      <c r="AY79" s="355"/>
      <c r="AZ79" s="380"/>
      <c r="BA79" s="355"/>
      <c r="BB79" s="380"/>
      <c r="BC79" s="355"/>
      <c r="BD79" s="414">
        <f t="shared" si="3"/>
        <v>0</v>
      </c>
      <c r="BE79" s="380"/>
      <c r="BF79" s="355"/>
      <c r="BG79" s="380"/>
      <c r="BH79" s="355"/>
      <c r="BI79" s="380"/>
      <c r="BJ79" s="355"/>
      <c r="BK79" s="380"/>
      <c r="BL79" s="355"/>
      <c r="BM79" s="380"/>
      <c r="BN79" s="355"/>
      <c r="BO79" s="380"/>
      <c r="BP79" s="355"/>
      <c r="BQ79" s="414">
        <f t="shared" si="4"/>
        <v>0</v>
      </c>
      <c r="BR79" s="380"/>
      <c r="BS79" s="355"/>
      <c r="BT79" s="380"/>
      <c r="BU79" s="355"/>
      <c r="BV79" s="380"/>
      <c r="BW79" s="355"/>
      <c r="BX79" s="380"/>
      <c r="BY79" s="355"/>
      <c r="BZ79" s="380"/>
      <c r="CA79" s="355"/>
      <c r="CB79" s="380"/>
      <c r="CC79" s="355"/>
      <c r="CD79" s="414">
        <f t="shared" si="5"/>
        <v>0</v>
      </c>
      <c r="CE79" s="380"/>
      <c r="CF79" s="355"/>
      <c r="CG79" s="380"/>
      <c r="CH79" s="355"/>
      <c r="CI79" s="380"/>
      <c r="CJ79" s="355"/>
      <c r="CK79" s="380"/>
      <c r="CL79" s="355"/>
      <c r="CM79" s="380"/>
      <c r="CN79" s="355"/>
      <c r="CO79" s="380"/>
      <c r="CP79" s="355"/>
      <c r="CQ79" s="414">
        <f t="shared" si="6"/>
        <v>0</v>
      </c>
      <c r="CR79" s="380"/>
      <c r="CS79" s="355"/>
      <c r="CT79" s="380"/>
      <c r="CU79" s="355"/>
      <c r="CV79" s="380"/>
      <c r="CW79" s="355"/>
      <c r="CX79" s="380"/>
      <c r="CY79" s="355"/>
      <c r="CZ79" s="414">
        <f t="shared" si="7"/>
        <v>0</v>
      </c>
      <c r="DA79" s="380"/>
      <c r="DB79" s="355"/>
      <c r="DC79" s="414">
        <f t="shared" si="8"/>
        <v>0</v>
      </c>
      <c r="DD79" s="356">
        <f>+$U$79+$AF$79+$AQ$79+$BD$79+$BQ$79+$CD$79+$CQ$79+$CZ$79+$DC$79</f>
        <v>0</v>
      </c>
    </row>
    <row r="80" spans="1:108" ht="17.45" customHeight="1">
      <c r="A80" s="357"/>
      <c r="B80" s="357"/>
      <c r="C80" s="357"/>
      <c r="D80" s="357"/>
      <c r="E80" s="357"/>
      <c r="F80" s="357"/>
      <c r="G80" s="379" t="s">
        <v>1119</v>
      </c>
      <c r="H80" s="347" t="s">
        <v>1120</v>
      </c>
      <c r="I80" s="380"/>
      <c r="J80" s="355"/>
      <c r="K80" s="380"/>
      <c r="L80" s="355"/>
      <c r="M80" s="380"/>
      <c r="N80" s="355"/>
      <c r="O80" s="380"/>
      <c r="P80" s="355"/>
      <c r="Q80" s="381" t="s">
        <v>1852</v>
      </c>
      <c r="R80" s="355">
        <v>53</v>
      </c>
      <c r="S80" s="381" t="s">
        <v>1849</v>
      </c>
      <c r="T80" s="355">
        <v>29</v>
      </c>
      <c r="U80" s="414">
        <f t="shared" ref="U80" si="121">SUM(J80:T80)</f>
        <v>82</v>
      </c>
      <c r="V80" s="380"/>
      <c r="W80" s="355"/>
      <c r="X80" s="380"/>
      <c r="Y80" s="355"/>
      <c r="Z80" s="380"/>
      <c r="AA80" s="355"/>
      <c r="AB80" s="380"/>
      <c r="AC80" s="355"/>
      <c r="AD80" s="380"/>
      <c r="AE80" s="355"/>
      <c r="AF80" s="414">
        <f t="shared" ref="AF80" si="122">SUM(W80:AE80)</f>
        <v>0</v>
      </c>
      <c r="AG80" s="380"/>
      <c r="AH80" s="355"/>
      <c r="AI80" s="380"/>
      <c r="AJ80" s="355"/>
      <c r="AK80" s="380"/>
      <c r="AL80" s="355"/>
      <c r="AM80" s="380"/>
      <c r="AN80" s="355"/>
      <c r="AO80" s="380"/>
      <c r="AP80" s="355"/>
      <c r="AQ80" s="414">
        <f t="shared" ref="AQ80" si="123">SUM(AH80:AP80)</f>
        <v>0</v>
      </c>
      <c r="AR80" s="380"/>
      <c r="AS80" s="355"/>
      <c r="AT80" s="380"/>
      <c r="AU80" s="355"/>
      <c r="AV80" s="380"/>
      <c r="AW80" s="355"/>
      <c r="AX80" s="380"/>
      <c r="AY80" s="355"/>
      <c r="AZ80" s="380"/>
      <c r="BA80" s="355"/>
      <c r="BB80" s="380"/>
      <c r="BC80" s="355"/>
      <c r="BD80" s="414">
        <f t="shared" ref="BD80" si="124">SUM(AS80:BC80)</f>
        <v>0</v>
      </c>
      <c r="BE80" s="380"/>
      <c r="BF80" s="355"/>
      <c r="BG80" s="380"/>
      <c r="BH80" s="355"/>
      <c r="BI80" s="380"/>
      <c r="BJ80" s="355"/>
      <c r="BK80" s="380"/>
      <c r="BL80" s="355"/>
      <c r="BM80" s="380"/>
      <c r="BN80" s="355"/>
      <c r="BO80" s="380"/>
      <c r="BP80" s="355"/>
      <c r="BQ80" s="414">
        <f t="shared" ref="BQ80" si="125">SUM(BF80:BP80)</f>
        <v>0</v>
      </c>
      <c r="BR80" s="380"/>
      <c r="BS80" s="355"/>
      <c r="BT80" s="380"/>
      <c r="BU80" s="355"/>
      <c r="BV80" s="380"/>
      <c r="BW80" s="355"/>
      <c r="BX80" s="380"/>
      <c r="BY80" s="355"/>
      <c r="BZ80" s="380"/>
      <c r="CA80" s="355"/>
      <c r="CB80" s="380"/>
      <c r="CC80" s="355"/>
      <c r="CD80" s="414">
        <f t="shared" ref="CD80" si="126">SUM(BS80:CC80)</f>
        <v>0</v>
      </c>
      <c r="CE80" s="380"/>
      <c r="CF80" s="355"/>
      <c r="CG80" s="380"/>
      <c r="CH80" s="355"/>
      <c r="CI80" s="380"/>
      <c r="CJ80" s="355"/>
      <c r="CK80" s="380"/>
      <c r="CL80" s="355"/>
      <c r="CM80" s="380"/>
      <c r="CN80" s="355"/>
      <c r="CO80" s="380"/>
      <c r="CP80" s="355"/>
      <c r="CQ80" s="414">
        <f t="shared" ref="CQ80" si="127">SUM(CF80:CP80)</f>
        <v>0</v>
      </c>
      <c r="CR80" s="380"/>
      <c r="CS80" s="355"/>
      <c r="CT80" s="380"/>
      <c r="CU80" s="355"/>
      <c r="CV80" s="380"/>
      <c r="CW80" s="355"/>
      <c r="CX80" s="380"/>
      <c r="CY80" s="355"/>
      <c r="CZ80" s="414">
        <f t="shared" ref="CZ80" si="128">SUM(CS80:CY80)</f>
        <v>0</v>
      </c>
      <c r="DA80" s="380"/>
      <c r="DB80" s="355"/>
      <c r="DC80" s="414">
        <f t="shared" si="8"/>
        <v>0</v>
      </c>
      <c r="DD80" s="356">
        <f>+$U$80+$AF$80+$AQ$80+$BD$80+$BQ$80+$CD$80+$CQ$80+$CZ$80+$DC$80</f>
        <v>82</v>
      </c>
    </row>
    <row r="81" spans="1:108" ht="17.45" customHeight="1">
      <c r="A81" s="357"/>
      <c r="B81" s="357"/>
      <c r="C81" s="357"/>
      <c r="D81" s="357"/>
      <c r="E81" s="357"/>
      <c r="F81" s="357"/>
      <c r="G81" s="379" t="s">
        <v>1119</v>
      </c>
      <c r="H81" s="347" t="s">
        <v>1120</v>
      </c>
      <c r="I81" s="380"/>
      <c r="J81" s="355"/>
      <c r="K81" s="380"/>
      <c r="L81" s="355"/>
      <c r="M81" s="380"/>
      <c r="N81" s="355"/>
      <c r="O81" s="380"/>
      <c r="P81" s="355"/>
      <c r="Q81" s="380"/>
      <c r="R81" s="355"/>
      <c r="S81" s="380"/>
      <c r="T81" s="355"/>
      <c r="U81" s="414">
        <f t="shared" si="0"/>
        <v>0</v>
      </c>
      <c r="V81" s="380"/>
      <c r="W81" s="355"/>
      <c r="X81" s="380"/>
      <c r="Y81" s="355"/>
      <c r="Z81" s="380"/>
      <c r="AA81" s="355"/>
      <c r="AB81" s="380"/>
      <c r="AC81" s="355"/>
      <c r="AD81" s="380"/>
      <c r="AE81" s="355"/>
      <c r="AF81" s="414">
        <f t="shared" si="1"/>
        <v>0</v>
      </c>
      <c r="AG81" s="380"/>
      <c r="AH81" s="355"/>
      <c r="AI81" s="380"/>
      <c r="AJ81" s="355"/>
      <c r="AK81" s="380"/>
      <c r="AL81" s="355"/>
      <c r="AM81" s="380"/>
      <c r="AN81" s="355"/>
      <c r="AO81" s="380"/>
      <c r="AP81" s="355"/>
      <c r="AQ81" s="414">
        <f t="shared" si="2"/>
        <v>0</v>
      </c>
      <c r="AR81" s="380"/>
      <c r="AS81" s="355"/>
      <c r="AT81" s="380"/>
      <c r="AU81" s="355"/>
      <c r="AV81" s="380"/>
      <c r="AW81" s="355"/>
      <c r="AX81" s="380"/>
      <c r="AY81" s="355"/>
      <c r="AZ81" s="380"/>
      <c r="BA81" s="355"/>
      <c r="BB81" s="380"/>
      <c r="BC81" s="355"/>
      <c r="BD81" s="414">
        <f t="shared" si="3"/>
        <v>0</v>
      </c>
      <c r="BE81" s="380"/>
      <c r="BF81" s="355"/>
      <c r="BG81" s="380"/>
      <c r="BH81" s="355"/>
      <c r="BI81" s="380"/>
      <c r="BJ81" s="355"/>
      <c r="BK81" s="380"/>
      <c r="BL81" s="355"/>
      <c r="BM81" s="380"/>
      <c r="BN81" s="355"/>
      <c r="BO81" s="380"/>
      <c r="BP81" s="355"/>
      <c r="BQ81" s="414">
        <f t="shared" si="4"/>
        <v>0</v>
      </c>
      <c r="BR81" s="380"/>
      <c r="BS81" s="355"/>
      <c r="BT81" s="380"/>
      <c r="BU81" s="355"/>
      <c r="BV81" s="380"/>
      <c r="BW81" s="355"/>
      <c r="BX81" s="380"/>
      <c r="BY81" s="355"/>
      <c r="BZ81" s="380"/>
      <c r="CA81" s="355"/>
      <c r="CB81" s="380"/>
      <c r="CC81" s="355"/>
      <c r="CD81" s="414">
        <f t="shared" si="5"/>
        <v>0</v>
      </c>
      <c r="CE81" s="380"/>
      <c r="CF81" s="355"/>
      <c r="CG81" s="380"/>
      <c r="CH81" s="355"/>
      <c r="CI81" s="380"/>
      <c r="CJ81" s="355"/>
      <c r="CK81" s="380"/>
      <c r="CL81" s="355"/>
      <c r="CM81" s="380"/>
      <c r="CN81" s="355"/>
      <c r="CO81" s="380"/>
      <c r="CP81" s="355"/>
      <c r="CQ81" s="414">
        <f t="shared" si="6"/>
        <v>0</v>
      </c>
      <c r="CR81" s="380"/>
      <c r="CS81" s="355"/>
      <c r="CT81" s="380"/>
      <c r="CU81" s="355"/>
      <c r="CV81" s="380"/>
      <c r="CW81" s="355"/>
      <c r="CX81" s="380"/>
      <c r="CY81" s="355"/>
      <c r="CZ81" s="414">
        <f t="shared" si="7"/>
        <v>0</v>
      </c>
      <c r="DA81" s="380"/>
      <c r="DB81" s="355"/>
      <c r="DC81" s="414">
        <f t="shared" si="8"/>
        <v>0</v>
      </c>
      <c r="DD81" s="356">
        <f>+$U$81+$AF$81+$AQ$81+$BD$81+$BQ$81+$CD$81+$CQ$81+$CZ$81+$DC$81</f>
        <v>0</v>
      </c>
    </row>
    <row r="82" spans="1:108" ht="17.45" customHeight="1">
      <c r="A82" s="357"/>
      <c r="B82" s="357"/>
      <c r="C82" s="357"/>
      <c r="D82" s="357"/>
      <c r="E82" s="357"/>
      <c r="F82" s="357"/>
      <c r="G82" s="347" t="s">
        <v>1121</v>
      </c>
      <c r="H82" s="347" t="s">
        <v>1122</v>
      </c>
      <c r="I82" s="380"/>
      <c r="J82" s="355"/>
      <c r="K82" s="380"/>
      <c r="L82" s="355"/>
      <c r="M82" s="381" t="s">
        <v>1852</v>
      </c>
      <c r="N82" s="355">
        <v>40</v>
      </c>
      <c r="O82" s="381" t="s">
        <v>1851</v>
      </c>
      <c r="P82" s="355">
        <v>44</v>
      </c>
      <c r="Q82" s="380"/>
      <c r="R82" s="355"/>
      <c r="S82" s="380"/>
      <c r="T82" s="355"/>
      <c r="U82" s="414">
        <f t="shared" si="0"/>
        <v>84</v>
      </c>
      <c r="V82" s="380"/>
      <c r="W82" s="355"/>
      <c r="X82" s="380"/>
      <c r="Y82" s="355"/>
      <c r="Z82" s="380"/>
      <c r="AA82" s="355"/>
      <c r="AB82" s="380"/>
      <c r="AC82" s="355"/>
      <c r="AD82" s="380"/>
      <c r="AE82" s="355"/>
      <c r="AF82" s="414">
        <f t="shared" si="1"/>
        <v>0</v>
      </c>
      <c r="AG82" s="380"/>
      <c r="AH82" s="355"/>
      <c r="AI82" s="380"/>
      <c r="AJ82" s="355"/>
      <c r="AK82" s="380"/>
      <c r="AL82" s="355"/>
      <c r="AM82" s="380"/>
      <c r="AN82" s="355"/>
      <c r="AO82" s="380"/>
      <c r="AP82" s="355"/>
      <c r="AQ82" s="414">
        <f t="shared" si="2"/>
        <v>0</v>
      </c>
      <c r="AR82" s="380"/>
      <c r="AS82" s="355"/>
      <c r="AT82" s="380"/>
      <c r="AU82" s="355"/>
      <c r="AV82" s="380"/>
      <c r="AW82" s="355"/>
      <c r="AX82" s="380"/>
      <c r="AY82" s="355"/>
      <c r="AZ82" s="380"/>
      <c r="BA82" s="355"/>
      <c r="BB82" s="380"/>
      <c r="BC82" s="355"/>
      <c r="BD82" s="414">
        <f t="shared" si="3"/>
        <v>0</v>
      </c>
      <c r="BE82" s="380"/>
      <c r="BF82" s="355"/>
      <c r="BG82" s="380"/>
      <c r="BH82" s="355"/>
      <c r="BI82" s="380"/>
      <c r="BJ82" s="355"/>
      <c r="BK82" s="380"/>
      <c r="BL82" s="355"/>
      <c r="BM82" s="380"/>
      <c r="BN82" s="355"/>
      <c r="BO82" s="380"/>
      <c r="BP82" s="355"/>
      <c r="BQ82" s="414">
        <f t="shared" si="4"/>
        <v>0</v>
      </c>
      <c r="BR82" s="380"/>
      <c r="BS82" s="355"/>
      <c r="BT82" s="380"/>
      <c r="BU82" s="355"/>
      <c r="BV82" s="380"/>
      <c r="BW82" s="355"/>
      <c r="BX82" s="380"/>
      <c r="BY82" s="355"/>
      <c r="BZ82" s="380"/>
      <c r="CA82" s="355"/>
      <c r="CB82" s="380"/>
      <c r="CC82" s="355"/>
      <c r="CD82" s="414">
        <f t="shared" si="5"/>
        <v>0</v>
      </c>
      <c r="CE82" s="380"/>
      <c r="CF82" s="355"/>
      <c r="CG82" s="380"/>
      <c r="CH82" s="355"/>
      <c r="CI82" s="380"/>
      <c r="CJ82" s="355"/>
      <c r="CK82" s="380"/>
      <c r="CL82" s="355"/>
      <c r="CM82" s="380"/>
      <c r="CN82" s="355"/>
      <c r="CO82" s="380"/>
      <c r="CP82" s="355"/>
      <c r="CQ82" s="414">
        <f t="shared" si="6"/>
        <v>0</v>
      </c>
      <c r="CR82" s="380"/>
      <c r="CS82" s="355"/>
      <c r="CT82" s="380"/>
      <c r="CU82" s="355"/>
      <c r="CV82" s="380"/>
      <c r="CW82" s="355"/>
      <c r="CX82" s="380"/>
      <c r="CY82" s="355"/>
      <c r="CZ82" s="414">
        <f t="shared" si="7"/>
        <v>0</v>
      </c>
      <c r="DA82" s="380"/>
      <c r="DB82" s="355"/>
      <c r="DC82" s="414">
        <f t="shared" si="8"/>
        <v>0</v>
      </c>
      <c r="DD82" s="356">
        <f>+$U$82+$AF$82+$AQ$82+$BD$82+$BQ$82+$CD$82+$CQ$82+$CZ$82+$DC$82</f>
        <v>84</v>
      </c>
    </row>
    <row r="83" spans="1:108" ht="17.45" customHeight="1">
      <c r="A83" s="357"/>
      <c r="B83" s="357"/>
      <c r="C83" s="357"/>
      <c r="D83" s="357"/>
      <c r="E83" s="357"/>
      <c r="F83" s="357"/>
      <c r="G83" s="347" t="s">
        <v>1179</v>
      </c>
      <c r="H83" s="347" t="s">
        <v>1201</v>
      </c>
      <c r="I83" s="381" t="s">
        <v>1851</v>
      </c>
      <c r="J83" s="355">
        <v>9</v>
      </c>
      <c r="K83" s="380"/>
      <c r="L83" s="355"/>
      <c r="M83" s="380"/>
      <c r="N83" s="355"/>
      <c r="O83" s="380"/>
      <c r="P83" s="355"/>
      <c r="Q83" s="380"/>
      <c r="R83" s="355"/>
      <c r="S83" s="380"/>
      <c r="T83" s="355"/>
      <c r="U83" s="414">
        <f t="shared" si="0"/>
        <v>9</v>
      </c>
      <c r="V83" s="380"/>
      <c r="W83" s="355"/>
      <c r="X83" s="380"/>
      <c r="Y83" s="355"/>
      <c r="Z83" s="380"/>
      <c r="AA83" s="355"/>
      <c r="AB83" s="380"/>
      <c r="AC83" s="355"/>
      <c r="AD83" s="380"/>
      <c r="AE83" s="355"/>
      <c r="AF83" s="414">
        <f t="shared" si="1"/>
        <v>0</v>
      </c>
      <c r="AG83" s="380"/>
      <c r="AH83" s="355"/>
      <c r="AI83" s="380"/>
      <c r="AJ83" s="355"/>
      <c r="AK83" s="380"/>
      <c r="AL83" s="355"/>
      <c r="AM83" s="380"/>
      <c r="AN83" s="355"/>
      <c r="AO83" s="380"/>
      <c r="AP83" s="355"/>
      <c r="AQ83" s="414">
        <f t="shared" si="2"/>
        <v>0</v>
      </c>
      <c r="AR83" s="380"/>
      <c r="AS83" s="355"/>
      <c r="AT83" s="380"/>
      <c r="AU83" s="355"/>
      <c r="AV83" s="380"/>
      <c r="AW83" s="355"/>
      <c r="AX83" s="380"/>
      <c r="AY83" s="355"/>
      <c r="AZ83" s="380"/>
      <c r="BA83" s="355"/>
      <c r="BB83" s="380"/>
      <c r="BC83" s="355"/>
      <c r="BD83" s="414">
        <f t="shared" si="3"/>
        <v>0</v>
      </c>
      <c r="BE83" s="380"/>
      <c r="BF83" s="355"/>
      <c r="BG83" s="380"/>
      <c r="BH83" s="355"/>
      <c r="BI83" s="380"/>
      <c r="BJ83" s="355"/>
      <c r="BK83" s="380"/>
      <c r="BL83" s="355"/>
      <c r="BM83" s="380"/>
      <c r="BN83" s="355"/>
      <c r="BO83" s="380"/>
      <c r="BP83" s="355"/>
      <c r="BQ83" s="414">
        <f t="shared" si="4"/>
        <v>0</v>
      </c>
      <c r="BR83" s="380"/>
      <c r="BS83" s="355"/>
      <c r="BT83" s="380"/>
      <c r="BU83" s="355"/>
      <c r="BV83" s="380"/>
      <c r="BW83" s="355"/>
      <c r="BX83" s="380"/>
      <c r="BY83" s="355"/>
      <c r="BZ83" s="380"/>
      <c r="CA83" s="355"/>
      <c r="CB83" s="380"/>
      <c r="CC83" s="355"/>
      <c r="CD83" s="414">
        <f t="shared" si="5"/>
        <v>0</v>
      </c>
      <c r="CE83" s="380"/>
      <c r="CF83" s="355"/>
      <c r="CG83" s="380"/>
      <c r="CH83" s="355"/>
      <c r="CI83" s="380"/>
      <c r="CJ83" s="355"/>
      <c r="CK83" s="380"/>
      <c r="CL83" s="355"/>
      <c r="CM83" s="380"/>
      <c r="CN83" s="355"/>
      <c r="CO83" s="380"/>
      <c r="CP83" s="355"/>
      <c r="CQ83" s="414">
        <f t="shared" si="6"/>
        <v>0</v>
      </c>
      <c r="CR83" s="380"/>
      <c r="CS83" s="355"/>
      <c r="CT83" s="380"/>
      <c r="CU83" s="355"/>
      <c r="CV83" s="380"/>
      <c r="CW83" s="355"/>
      <c r="CX83" s="380"/>
      <c r="CY83" s="355"/>
      <c r="CZ83" s="414">
        <f t="shared" si="7"/>
        <v>0</v>
      </c>
      <c r="DA83" s="380"/>
      <c r="DB83" s="355"/>
      <c r="DC83" s="414">
        <f t="shared" si="8"/>
        <v>0</v>
      </c>
      <c r="DD83" s="356">
        <f>+$U$83+$AF$83+$AQ$83+$BD$83+$BQ$83+$CD$83+$CQ$83+$CZ$83+$DC$83</f>
        <v>9</v>
      </c>
    </row>
    <row r="84" spans="1:108" ht="17.45" customHeight="1">
      <c r="A84" s="357"/>
      <c r="B84" s="357"/>
      <c r="C84" s="357"/>
      <c r="D84" s="357"/>
      <c r="E84" s="357"/>
      <c r="F84" s="357" t="s">
        <v>37</v>
      </c>
      <c r="G84" s="347" t="s">
        <v>1187</v>
      </c>
      <c r="H84" s="347" t="s">
        <v>1209</v>
      </c>
      <c r="I84" s="380"/>
      <c r="J84" s="355"/>
      <c r="K84" s="380"/>
      <c r="L84" s="355"/>
      <c r="M84" s="380"/>
      <c r="N84" s="355"/>
      <c r="O84" s="380"/>
      <c r="P84" s="355"/>
      <c r="Q84" s="380"/>
      <c r="R84" s="355"/>
      <c r="S84" s="380"/>
      <c r="T84" s="355"/>
      <c r="U84" s="414">
        <f t="shared" si="0"/>
        <v>0</v>
      </c>
      <c r="V84" s="380"/>
      <c r="W84" s="355"/>
      <c r="X84" s="380"/>
      <c r="Y84" s="355"/>
      <c r="Z84" s="380"/>
      <c r="AA84" s="355"/>
      <c r="AB84" s="380"/>
      <c r="AC84" s="355"/>
      <c r="AD84" s="380"/>
      <c r="AE84" s="355"/>
      <c r="AF84" s="414">
        <f t="shared" si="1"/>
        <v>0</v>
      </c>
      <c r="AG84" s="380"/>
      <c r="AH84" s="355"/>
      <c r="AI84" s="380"/>
      <c r="AJ84" s="355"/>
      <c r="AK84" s="380"/>
      <c r="AL84" s="355"/>
      <c r="AM84" s="380"/>
      <c r="AN84" s="355"/>
      <c r="AO84" s="380"/>
      <c r="AP84" s="355"/>
      <c r="AQ84" s="414">
        <f t="shared" si="2"/>
        <v>0</v>
      </c>
      <c r="AR84" s="380"/>
      <c r="AS84" s="355"/>
      <c r="AT84" s="380"/>
      <c r="AU84" s="355"/>
      <c r="AV84" s="380"/>
      <c r="AW84" s="355"/>
      <c r="AX84" s="380"/>
      <c r="AY84" s="355"/>
      <c r="AZ84" s="380"/>
      <c r="BA84" s="355"/>
      <c r="BB84" s="380"/>
      <c r="BC84" s="355"/>
      <c r="BD84" s="414">
        <f t="shared" si="3"/>
        <v>0</v>
      </c>
      <c r="BE84" s="380"/>
      <c r="BF84" s="355"/>
      <c r="BG84" s="380"/>
      <c r="BH84" s="355"/>
      <c r="BI84" s="380"/>
      <c r="BJ84" s="355"/>
      <c r="BK84" s="380"/>
      <c r="BL84" s="355"/>
      <c r="BM84" s="380"/>
      <c r="BN84" s="355"/>
      <c r="BO84" s="380"/>
      <c r="BP84" s="355"/>
      <c r="BQ84" s="414">
        <f t="shared" si="4"/>
        <v>0</v>
      </c>
      <c r="BR84" s="380"/>
      <c r="BS84" s="355"/>
      <c r="BT84" s="380"/>
      <c r="BU84" s="355"/>
      <c r="BV84" s="380"/>
      <c r="BW84" s="355"/>
      <c r="BX84" s="380"/>
      <c r="BY84" s="355"/>
      <c r="BZ84" s="380"/>
      <c r="CA84" s="355"/>
      <c r="CB84" s="380"/>
      <c r="CC84" s="355"/>
      <c r="CD84" s="414">
        <f t="shared" si="5"/>
        <v>0</v>
      </c>
      <c r="CE84" s="380"/>
      <c r="CF84" s="355"/>
      <c r="CG84" s="380"/>
      <c r="CH84" s="355"/>
      <c r="CI84" s="380"/>
      <c r="CJ84" s="355"/>
      <c r="CK84" s="380"/>
      <c r="CL84" s="355"/>
      <c r="CM84" s="380"/>
      <c r="CN84" s="355"/>
      <c r="CO84" s="380"/>
      <c r="CP84" s="355"/>
      <c r="CQ84" s="414">
        <f t="shared" si="6"/>
        <v>0</v>
      </c>
      <c r="CR84" s="380"/>
      <c r="CS84" s="355"/>
      <c r="CT84" s="380"/>
      <c r="CU84" s="355"/>
      <c r="CV84" s="380"/>
      <c r="CW84" s="355"/>
      <c r="CX84" s="380"/>
      <c r="CY84" s="355"/>
      <c r="CZ84" s="414">
        <f t="shared" si="7"/>
        <v>0</v>
      </c>
      <c r="DA84" s="380"/>
      <c r="DB84" s="355"/>
      <c r="DC84" s="414">
        <f t="shared" si="8"/>
        <v>0</v>
      </c>
      <c r="DD84" s="356">
        <f>+$U$84+$AF$84+$AQ$84+$BD$84+$BQ$84+$CD$84+$CQ$84+$CZ$84+$DC$84</f>
        <v>0</v>
      </c>
    </row>
    <row r="85" spans="1:108" ht="17.45" customHeight="1">
      <c r="A85" s="357"/>
      <c r="B85" s="357"/>
      <c r="C85" s="357"/>
      <c r="D85" s="357"/>
      <c r="E85" s="357" t="s">
        <v>36</v>
      </c>
      <c r="F85" s="357"/>
      <c r="G85" s="347" t="s">
        <v>1123</v>
      </c>
      <c r="H85" s="347" t="s">
        <v>1124</v>
      </c>
      <c r="I85" s="380"/>
      <c r="J85" s="355"/>
      <c r="K85" s="380"/>
      <c r="L85" s="355"/>
      <c r="M85" s="380"/>
      <c r="N85" s="355"/>
      <c r="O85" s="380"/>
      <c r="P85" s="355"/>
      <c r="Q85" s="380"/>
      <c r="R85" s="355"/>
      <c r="S85" s="380"/>
      <c r="T85" s="355"/>
      <c r="U85" s="414">
        <f t="shared" si="0"/>
        <v>0</v>
      </c>
      <c r="V85" s="380"/>
      <c r="W85" s="355"/>
      <c r="X85" s="380"/>
      <c r="Y85" s="355"/>
      <c r="Z85" s="380"/>
      <c r="AA85" s="355"/>
      <c r="AB85" s="380"/>
      <c r="AC85" s="355"/>
      <c r="AD85" s="380"/>
      <c r="AE85" s="355"/>
      <c r="AF85" s="414">
        <f t="shared" si="1"/>
        <v>0</v>
      </c>
      <c r="AG85" s="380"/>
      <c r="AH85" s="355"/>
      <c r="AI85" s="380"/>
      <c r="AJ85" s="355"/>
      <c r="AK85" s="380"/>
      <c r="AL85" s="355"/>
      <c r="AM85" s="380"/>
      <c r="AN85" s="355"/>
      <c r="AO85" s="380"/>
      <c r="AP85" s="355"/>
      <c r="AQ85" s="414">
        <f t="shared" si="2"/>
        <v>0</v>
      </c>
      <c r="AR85" s="380"/>
      <c r="AS85" s="355"/>
      <c r="AT85" s="380"/>
      <c r="AU85" s="355"/>
      <c r="AV85" s="380"/>
      <c r="AW85" s="355"/>
      <c r="AX85" s="380"/>
      <c r="AY85" s="355"/>
      <c r="AZ85" s="380"/>
      <c r="BA85" s="355"/>
      <c r="BB85" s="380"/>
      <c r="BC85" s="355"/>
      <c r="BD85" s="414">
        <f t="shared" si="3"/>
        <v>0</v>
      </c>
      <c r="BE85" s="380"/>
      <c r="BF85" s="355"/>
      <c r="BG85" s="380"/>
      <c r="BH85" s="355"/>
      <c r="BI85" s="380"/>
      <c r="BJ85" s="355"/>
      <c r="BK85" s="380"/>
      <c r="BL85" s="355"/>
      <c r="BM85" s="380"/>
      <c r="BN85" s="355"/>
      <c r="BO85" s="380"/>
      <c r="BP85" s="355"/>
      <c r="BQ85" s="414">
        <f t="shared" si="4"/>
        <v>0</v>
      </c>
      <c r="BR85" s="380"/>
      <c r="BS85" s="355"/>
      <c r="BT85" s="380"/>
      <c r="BU85" s="355"/>
      <c r="BV85" s="380"/>
      <c r="BW85" s="355"/>
      <c r="BX85" s="380"/>
      <c r="BY85" s="355"/>
      <c r="BZ85" s="380"/>
      <c r="CA85" s="355"/>
      <c r="CB85" s="380"/>
      <c r="CC85" s="355"/>
      <c r="CD85" s="414">
        <f t="shared" si="5"/>
        <v>0</v>
      </c>
      <c r="CE85" s="380"/>
      <c r="CF85" s="355"/>
      <c r="CG85" s="380"/>
      <c r="CH85" s="355"/>
      <c r="CI85" s="380"/>
      <c r="CJ85" s="355"/>
      <c r="CK85" s="380"/>
      <c r="CL85" s="355"/>
      <c r="CM85" s="380"/>
      <c r="CN85" s="355"/>
      <c r="CO85" s="380"/>
      <c r="CP85" s="355"/>
      <c r="CQ85" s="414">
        <f t="shared" si="6"/>
        <v>0</v>
      </c>
      <c r="CR85" s="380"/>
      <c r="CS85" s="355"/>
      <c r="CT85" s="380"/>
      <c r="CU85" s="355"/>
      <c r="CV85" s="380"/>
      <c r="CW85" s="355"/>
      <c r="CX85" s="380"/>
      <c r="CY85" s="355"/>
      <c r="CZ85" s="414">
        <f t="shared" si="7"/>
        <v>0</v>
      </c>
      <c r="DA85" s="380"/>
      <c r="DB85" s="355"/>
      <c r="DC85" s="414">
        <f t="shared" si="8"/>
        <v>0</v>
      </c>
      <c r="DD85" s="356">
        <f>+$U$85+$AF$85+$AQ$85+$BD$85+$BQ$85+$CD$85+$CQ$85+$CZ$85+$DC$85</f>
        <v>0</v>
      </c>
    </row>
    <row r="86" spans="1:108" ht="17.45" customHeight="1">
      <c r="A86" s="357"/>
      <c r="B86" s="357"/>
      <c r="C86" s="357"/>
      <c r="D86" s="357"/>
      <c r="E86" s="357" t="s">
        <v>36</v>
      </c>
      <c r="F86" s="357"/>
      <c r="G86" s="347" t="s">
        <v>1157</v>
      </c>
      <c r="H86" s="347" t="s">
        <v>1158</v>
      </c>
      <c r="I86" s="380"/>
      <c r="J86" s="355"/>
      <c r="K86" s="380"/>
      <c r="L86" s="355"/>
      <c r="M86" s="380"/>
      <c r="N86" s="355"/>
      <c r="O86" s="380"/>
      <c r="P86" s="355"/>
      <c r="Q86" s="380"/>
      <c r="R86" s="355"/>
      <c r="S86" s="380"/>
      <c r="T86" s="355"/>
      <c r="U86" s="414">
        <f t="shared" si="0"/>
        <v>0</v>
      </c>
      <c r="V86" s="380"/>
      <c r="W86" s="355"/>
      <c r="X86" s="380"/>
      <c r="Y86" s="355"/>
      <c r="Z86" s="380"/>
      <c r="AA86" s="355"/>
      <c r="AB86" s="380"/>
      <c r="AC86" s="355"/>
      <c r="AD86" s="380"/>
      <c r="AE86" s="355"/>
      <c r="AF86" s="414">
        <f t="shared" si="1"/>
        <v>0</v>
      </c>
      <c r="AG86" s="380"/>
      <c r="AH86" s="355"/>
      <c r="AI86" s="380"/>
      <c r="AJ86" s="355"/>
      <c r="AK86" s="380"/>
      <c r="AL86" s="355"/>
      <c r="AM86" s="380"/>
      <c r="AN86" s="355"/>
      <c r="AO86" s="380"/>
      <c r="AP86" s="355"/>
      <c r="AQ86" s="414">
        <f t="shared" si="2"/>
        <v>0</v>
      </c>
      <c r="AR86" s="380"/>
      <c r="AS86" s="355"/>
      <c r="AT86" s="380"/>
      <c r="AU86" s="355"/>
      <c r="AV86" s="380"/>
      <c r="AW86" s="355"/>
      <c r="AX86" s="380"/>
      <c r="AY86" s="355"/>
      <c r="AZ86" s="380"/>
      <c r="BA86" s="355"/>
      <c r="BB86" s="380"/>
      <c r="BC86" s="355"/>
      <c r="BD86" s="414">
        <f t="shared" si="3"/>
        <v>0</v>
      </c>
      <c r="BE86" s="380"/>
      <c r="BF86" s="355"/>
      <c r="BG86" s="380"/>
      <c r="BH86" s="355"/>
      <c r="BI86" s="380"/>
      <c r="BJ86" s="355"/>
      <c r="BK86" s="380"/>
      <c r="BL86" s="355"/>
      <c r="BM86" s="380"/>
      <c r="BN86" s="355"/>
      <c r="BO86" s="380"/>
      <c r="BP86" s="355"/>
      <c r="BQ86" s="414">
        <f t="shared" si="4"/>
        <v>0</v>
      </c>
      <c r="BR86" s="380"/>
      <c r="BS86" s="355"/>
      <c r="BT86" s="380"/>
      <c r="BU86" s="355"/>
      <c r="BV86" s="380"/>
      <c r="BW86" s="355"/>
      <c r="BX86" s="380"/>
      <c r="BY86" s="355"/>
      <c r="BZ86" s="380"/>
      <c r="CA86" s="355"/>
      <c r="CB86" s="380"/>
      <c r="CC86" s="355"/>
      <c r="CD86" s="414">
        <f t="shared" si="5"/>
        <v>0</v>
      </c>
      <c r="CE86" s="380"/>
      <c r="CF86" s="355"/>
      <c r="CG86" s="380"/>
      <c r="CH86" s="355"/>
      <c r="CI86" s="380"/>
      <c r="CJ86" s="355"/>
      <c r="CK86" s="380"/>
      <c r="CL86" s="355"/>
      <c r="CM86" s="380"/>
      <c r="CN86" s="355"/>
      <c r="CO86" s="380"/>
      <c r="CP86" s="355"/>
      <c r="CQ86" s="414">
        <f t="shared" si="6"/>
        <v>0</v>
      </c>
      <c r="CR86" s="380"/>
      <c r="CS86" s="355"/>
      <c r="CT86" s="380"/>
      <c r="CU86" s="355"/>
      <c r="CV86" s="380"/>
      <c r="CW86" s="355"/>
      <c r="CX86" s="380"/>
      <c r="CY86" s="355"/>
      <c r="CZ86" s="414">
        <f t="shared" si="7"/>
        <v>0</v>
      </c>
      <c r="DA86" s="380"/>
      <c r="DB86" s="355"/>
      <c r="DC86" s="414">
        <f t="shared" si="8"/>
        <v>0</v>
      </c>
      <c r="DD86" s="356">
        <f>+$U$86+$AF$86+$AQ$86+$BD$86+$BQ$86+$CD$86+$CQ$86+$CZ$86+$DC$86</f>
        <v>0</v>
      </c>
    </row>
    <row r="87" spans="1:108" ht="17.45" customHeight="1">
      <c r="A87" s="357"/>
      <c r="B87" s="357"/>
      <c r="C87" s="357"/>
      <c r="D87" s="357"/>
      <c r="E87" s="357" t="s">
        <v>36</v>
      </c>
      <c r="F87" s="357"/>
      <c r="G87" s="347" t="s">
        <v>1125</v>
      </c>
      <c r="H87" s="347" t="s">
        <v>1126</v>
      </c>
      <c r="I87" s="380"/>
      <c r="J87" s="355"/>
      <c r="K87" s="380"/>
      <c r="L87" s="355"/>
      <c r="M87" s="380"/>
      <c r="N87" s="355"/>
      <c r="O87" s="380"/>
      <c r="P87" s="355"/>
      <c r="Q87" s="380"/>
      <c r="R87" s="355"/>
      <c r="S87" s="380"/>
      <c r="T87" s="355"/>
      <c r="U87" s="414">
        <f t="shared" si="0"/>
        <v>0</v>
      </c>
      <c r="V87" s="380"/>
      <c r="W87" s="355"/>
      <c r="X87" s="380"/>
      <c r="Y87" s="355"/>
      <c r="Z87" s="380"/>
      <c r="AA87" s="355"/>
      <c r="AB87" s="380"/>
      <c r="AC87" s="355"/>
      <c r="AD87" s="380"/>
      <c r="AE87" s="355"/>
      <c r="AF87" s="414">
        <f t="shared" si="1"/>
        <v>0</v>
      </c>
      <c r="AG87" s="380"/>
      <c r="AH87" s="355"/>
      <c r="AI87" s="380"/>
      <c r="AJ87" s="355"/>
      <c r="AK87" s="380"/>
      <c r="AL87" s="355"/>
      <c r="AM87" s="380"/>
      <c r="AN87" s="355"/>
      <c r="AO87" s="380"/>
      <c r="AP87" s="355"/>
      <c r="AQ87" s="414">
        <f t="shared" si="2"/>
        <v>0</v>
      </c>
      <c r="AR87" s="380"/>
      <c r="AS87" s="355"/>
      <c r="AT87" s="380"/>
      <c r="AU87" s="355"/>
      <c r="AV87" s="380"/>
      <c r="AW87" s="355"/>
      <c r="AX87" s="380"/>
      <c r="AY87" s="355"/>
      <c r="AZ87" s="380"/>
      <c r="BA87" s="355"/>
      <c r="BB87" s="380"/>
      <c r="BC87" s="355"/>
      <c r="BD87" s="414">
        <f t="shared" si="3"/>
        <v>0</v>
      </c>
      <c r="BE87" s="380"/>
      <c r="BF87" s="355"/>
      <c r="BG87" s="380"/>
      <c r="BH87" s="355"/>
      <c r="BI87" s="380"/>
      <c r="BJ87" s="355"/>
      <c r="BK87" s="380"/>
      <c r="BL87" s="355"/>
      <c r="BM87" s="380"/>
      <c r="BN87" s="355"/>
      <c r="BO87" s="380"/>
      <c r="BP87" s="355"/>
      <c r="BQ87" s="414">
        <f t="shared" si="4"/>
        <v>0</v>
      </c>
      <c r="BR87" s="380"/>
      <c r="BS87" s="355"/>
      <c r="BT87" s="380"/>
      <c r="BU87" s="355"/>
      <c r="BV87" s="380"/>
      <c r="BW87" s="355"/>
      <c r="BX87" s="380"/>
      <c r="BY87" s="355"/>
      <c r="BZ87" s="380"/>
      <c r="CA87" s="355"/>
      <c r="CB87" s="380"/>
      <c r="CC87" s="355"/>
      <c r="CD87" s="414">
        <f t="shared" si="5"/>
        <v>0</v>
      </c>
      <c r="CE87" s="380"/>
      <c r="CF87" s="355"/>
      <c r="CG87" s="380"/>
      <c r="CH87" s="355"/>
      <c r="CI87" s="380"/>
      <c r="CJ87" s="355"/>
      <c r="CK87" s="380"/>
      <c r="CL87" s="355"/>
      <c r="CM87" s="380"/>
      <c r="CN87" s="355"/>
      <c r="CO87" s="380"/>
      <c r="CP87" s="355"/>
      <c r="CQ87" s="414">
        <f t="shared" si="6"/>
        <v>0</v>
      </c>
      <c r="CR87" s="380"/>
      <c r="CS87" s="355"/>
      <c r="CT87" s="380"/>
      <c r="CU87" s="355"/>
      <c r="CV87" s="380"/>
      <c r="CW87" s="355"/>
      <c r="CX87" s="380"/>
      <c r="CY87" s="355"/>
      <c r="CZ87" s="414">
        <f t="shared" si="7"/>
        <v>0</v>
      </c>
      <c r="DA87" s="380"/>
      <c r="DB87" s="355"/>
      <c r="DC87" s="414">
        <f t="shared" si="8"/>
        <v>0</v>
      </c>
      <c r="DD87" s="356">
        <f>+$U$87+$AF$87+$AQ$87+$BD$87+$BQ$87+$CD$87+$CQ$87+$CZ$87+$DC$87</f>
        <v>0</v>
      </c>
    </row>
    <row r="88" spans="1:108" ht="17.45" customHeight="1">
      <c r="A88" s="357"/>
      <c r="B88" s="357"/>
      <c r="C88" s="357"/>
      <c r="D88" s="357"/>
      <c r="E88" s="357"/>
      <c r="F88" s="357"/>
      <c r="G88" s="379" t="s">
        <v>1127</v>
      </c>
      <c r="H88" s="347" t="s">
        <v>1128</v>
      </c>
      <c r="I88" s="381" t="s">
        <v>1849</v>
      </c>
      <c r="J88" s="355">
        <v>3</v>
      </c>
      <c r="K88" s="381" t="s">
        <v>1851</v>
      </c>
      <c r="L88" s="355">
        <v>29</v>
      </c>
      <c r="M88" s="381" t="s">
        <v>1849</v>
      </c>
      <c r="N88" s="355">
        <v>96</v>
      </c>
      <c r="O88" s="380"/>
      <c r="P88" s="355"/>
      <c r="Q88" s="380"/>
      <c r="R88" s="355"/>
      <c r="S88" s="381" t="s">
        <v>1850</v>
      </c>
      <c r="T88" s="355">
        <v>14</v>
      </c>
      <c r="U88" s="414">
        <f t="shared" ref="U88" si="129">SUM(J88:T88)</f>
        <v>142</v>
      </c>
      <c r="V88" s="380"/>
      <c r="W88" s="355"/>
      <c r="X88" s="380"/>
      <c r="Y88" s="355"/>
      <c r="Z88" s="380"/>
      <c r="AA88" s="355"/>
      <c r="AB88" s="380"/>
      <c r="AC88" s="355"/>
      <c r="AD88" s="380"/>
      <c r="AE88" s="355"/>
      <c r="AF88" s="414">
        <f t="shared" ref="AF88" si="130">SUM(W88:AE88)</f>
        <v>0</v>
      </c>
      <c r="AG88" s="380"/>
      <c r="AH88" s="355"/>
      <c r="AI88" s="380"/>
      <c r="AJ88" s="355"/>
      <c r="AK88" s="380"/>
      <c r="AL88" s="355"/>
      <c r="AM88" s="380"/>
      <c r="AN88" s="355"/>
      <c r="AO88" s="380"/>
      <c r="AP88" s="355"/>
      <c r="AQ88" s="414">
        <f t="shared" ref="AQ88" si="131">SUM(AH88:AP88)</f>
        <v>0</v>
      </c>
      <c r="AR88" s="380"/>
      <c r="AS88" s="355"/>
      <c r="AT88" s="380"/>
      <c r="AU88" s="355"/>
      <c r="AV88" s="380"/>
      <c r="AW88" s="355"/>
      <c r="AX88" s="380"/>
      <c r="AY88" s="355"/>
      <c r="AZ88" s="380"/>
      <c r="BA88" s="355"/>
      <c r="BB88" s="380"/>
      <c r="BC88" s="355"/>
      <c r="BD88" s="414">
        <f t="shared" ref="BD88" si="132">SUM(AS88:BC88)</f>
        <v>0</v>
      </c>
      <c r="BE88" s="380"/>
      <c r="BF88" s="355"/>
      <c r="BG88" s="380"/>
      <c r="BH88" s="355"/>
      <c r="BI88" s="380"/>
      <c r="BJ88" s="355"/>
      <c r="BK88" s="380"/>
      <c r="BL88" s="355"/>
      <c r="BM88" s="380"/>
      <c r="BN88" s="355"/>
      <c r="BO88" s="380"/>
      <c r="BP88" s="355"/>
      <c r="BQ88" s="414">
        <f t="shared" ref="BQ88" si="133">SUM(BF88:BP88)</f>
        <v>0</v>
      </c>
      <c r="BR88" s="380"/>
      <c r="BS88" s="355"/>
      <c r="BT88" s="380"/>
      <c r="BU88" s="355"/>
      <c r="BV88" s="380"/>
      <c r="BW88" s="355"/>
      <c r="BX88" s="380"/>
      <c r="BY88" s="355"/>
      <c r="BZ88" s="380"/>
      <c r="CA88" s="355"/>
      <c r="CB88" s="380"/>
      <c r="CC88" s="355"/>
      <c r="CD88" s="414">
        <f t="shared" ref="CD88" si="134">SUM(BS88:CC88)</f>
        <v>0</v>
      </c>
      <c r="CE88" s="380"/>
      <c r="CF88" s="355"/>
      <c r="CG88" s="380"/>
      <c r="CH88" s="355"/>
      <c r="CI88" s="380"/>
      <c r="CJ88" s="355"/>
      <c r="CK88" s="380"/>
      <c r="CL88" s="355"/>
      <c r="CM88" s="380"/>
      <c r="CN88" s="355"/>
      <c r="CO88" s="380"/>
      <c r="CP88" s="355"/>
      <c r="CQ88" s="414">
        <f t="shared" ref="CQ88" si="135">SUM(CF88:CP88)</f>
        <v>0</v>
      </c>
      <c r="CR88" s="380"/>
      <c r="CS88" s="355"/>
      <c r="CT88" s="380"/>
      <c r="CU88" s="355"/>
      <c r="CV88" s="380"/>
      <c r="CW88" s="355"/>
      <c r="CX88" s="380"/>
      <c r="CY88" s="355"/>
      <c r="CZ88" s="414">
        <f t="shared" ref="CZ88" si="136">SUM(CS88:CY88)</f>
        <v>0</v>
      </c>
      <c r="DA88" s="380"/>
      <c r="DB88" s="355"/>
      <c r="DC88" s="414">
        <f t="shared" ref="DC88:DC106" si="137">SUM(DB88:DB88)</f>
        <v>0</v>
      </c>
      <c r="DD88" s="356">
        <f>+$U$88+$AF$88+$AQ$88+$BD$88+$BQ$88+$CD$88+$CQ$88+$CZ$88+$DC$88</f>
        <v>142</v>
      </c>
    </row>
    <row r="89" spans="1:108" ht="17.45" customHeight="1">
      <c r="A89" s="357"/>
      <c r="B89" s="357"/>
      <c r="C89" s="357"/>
      <c r="D89" s="357"/>
      <c r="E89" s="357"/>
      <c r="F89" s="357"/>
      <c r="G89" s="379" t="s">
        <v>1127</v>
      </c>
      <c r="H89" s="347" t="s">
        <v>1128</v>
      </c>
      <c r="I89" s="381" t="s">
        <v>1854</v>
      </c>
      <c r="J89" s="355">
        <v>11</v>
      </c>
      <c r="K89" s="380"/>
      <c r="L89" s="355"/>
      <c r="M89" s="380"/>
      <c r="N89" s="355"/>
      <c r="O89" s="380"/>
      <c r="P89" s="355"/>
      <c r="Q89" s="380"/>
      <c r="R89" s="355"/>
      <c r="S89" s="380"/>
      <c r="T89" s="355"/>
      <c r="U89" s="414">
        <f t="shared" ref="U89:U106" si="138">SUM(J89:T89)</f>
        <v>11</v>
      </c>
      <c r="V89" s="380"/>
      <c r="W89" s="355"/>
      <c r="X89" s="380"/>
      <c r="Y89" s="355"/>
      <c r="Z89" s="380"/>
      <c r="AA89" s="355"/>
      <c r="AB89" s="380"/>
      <c r="AC89" s="355"/>
      <c r="AD89" s="380"/>
      <c r="AE89" s="355"/>
      <c r="AF89" s="414">
        <f t="shared" ref="AF89:AF106" si="139">SUM(W89:AE89)</f>
        <v>0</v>
      </c>
      <c r="AG89" s="380"/>
      <c r="AH89" s="355"/>
      <c r="AI89" s="380"/>
      <c r="AJ89" s="355"/>
      <c r="AK89" s="380"/>
      <c r="AL89" s="355"/>
      <c r="AM89" s="380"/>
      <c r="AN89" s="355"/>
      <c r="AO89" s="380"/>
      <c r="AP89" s="355"/>
      <c r="AQ89" s="414">
        <f t="shared" ref="AQ89:AQ106" si="140">SUM(AH89:AP89)</f>
        <v>0</v>
      </c>
      <c r="AR89" s="380"/>
      <c r="AS89" s="355"/>
      <c r="AT89" s="380"/>
      <c r="AU89" s="355"/>
      <c r="AV89" s="380"/>
      <c r="AW89" s="355"/>
      <c r="AX89" s="380"/>
      <c r="AY89" s="355"/>
      <c r="AZ89" s="380"/>
      <c r="BA89" s="355"/>
      <c r="BB89" s="380"/>
      <c r="BC89" s="355"/>
      <c r="BD89" s="414">
        <f t="shared" ref="BD89:BD106" si="141">SUM(AS89:BC89)</f>
        <v>0</v>
      </c>
      <c r="BE89" s="380"/>
      <c r="BF89" s="355"/>
      <c r="BG89" s="380"/>
      <c r="BH89" s="355"/>
      <c r="BI89" s="380"/>
      <c r="BJ89" s="355"/>
      <c r="BK89" s="380"/>
      <c r="BL89" s="355"/>
      <c r="BM89" s="380"/>
      <c r="BN89" s="355"/>
      <c r="BO89" s="380"/>
      <c r="BP89" s="355"/>
      <c r="BQ89" s="414">
        <f t="shared" ref="BQ89:BQ106" si="142">SUM(BF89:BP89)</f>
        <v>0</v>
      </c>
      <c r="BR89" s="380"/>
      <c r="BS89" s="355"/>
      <c r="BT89" s="380"/>
      <c r="BU89" s="355"/>
      <c r="BV89" s="380"/>
      <c r="BW89" s="355"/>
      <c r="BX89" s="380"/>
      <c r="BY89" s="355"/>
      <c r="BZ89" s="380"/>
      <c r="CA89" s="355"/>
      <c r="CB89" s="380"/>
      <c r="CC89" s="355"/>
      <c r="CD89" s="414">
        <f t="shared" ref="CD89:CD106" si="143">SUM(BS89:CC89)</f>
        <v>0</v>
      </c>
      <c r="CE89" s="380"/>
      <c r="CF89" s="355"/>
      <c r="CG89" s="380"/>
      <c r="CH89" s="355"/>
      <c r="CI89" s="380"/>
      <c r="CJ89" s="355"/>
      <c r="CK89" s="380"/>
      <c r="CL89" s="355"/>
      <c r="CM89" s="380"/>
      <c r="CN89" s="355"/>
      <c r="CO89" s="380"/>
      <c r="CP89" s="355"/>
      <c r="CQ89" s="414">
        <f t="shared" ref="CQ89:CQ106" si="144">SUM(CF89:CP89)</f>
        <v>0</v>
      </c>
      <c r="CR89" s="380"/>
      <c r="CS89" s="355"/>
      <c r="CT89" s="380"/>
      <c r="CU89" s="355"/>
      <c r="CV89" s="380"/>
      <c r="CW89" s="355"/>
      <c r="CX89" s="380"/>
      <c r="CY89" s="355"/>
      <c r="CZ89" s="414">
        <f t="shared" ref="CZ89:CZ106" si="145">SUM(CS89:CY89)</f>
        <v>0</v>
      </c>
      <c r="DA89" s="380"/>
      <c r="DB89" s="355"/>
      <c r="DC89" s="414">
        <f t="shared" si="137"/>
        <v>0</v>
      </c>
      <c r="DD89" s="356">
        <f>+$U$89+$AF$89+$AQ$89+$BD$89+$BQ$89+$CD$89+$CQ$89+$CZ$89+$DC$89</f>
        <v>11</v>
      </c>
    </row>
    <row r="90" spans="1:108" ht="17.45" customHeight="1">
      <c r="A90" s="357"/>
      <c r="B90" s="357"/>
      <c r="C90" s="357"/>
      <c r="D90" s="357"/>
      <c r="E90" s="357"/>
      <c r="F90" s="357"/>
      <c r="G90" s="379" t="s">
        <v>1129</v>
      </c>
      <c r="H90" s="347" t="s">
        <v>1130</v>
      </c>
      <c r="I90" s="380"/>
      <c r="J90" s="355"/>
      <c r="K90" s="380"/>
      <c r="L90" s="355"/>
      <c r="M90" s="381" t="s">
        <v>1851</v>
      </c>
      <c r="N90" s="355">
        <v>13</v>
      </c>
      <c r="O90" s="381" t="s">
        <v>1849</v>
      </c>
      <c r="P90" s="355">
        <v>37</v>
      </c>
      <c r="Q90" s="381" t="s">
        <v>1849</v>
      </c>
      <c r="R90" s="355">
        <v>10</v>
      </c>
      <c r="S90" s="380"/>
      <c r="T90" s="355"/>
      <c r="U90" s="414">
        <f t="shared" ref="U90" si="146">SUM(J90:T90)</f>
        <v>60</v>
      </c>
      <c r="V90" s="380"/>
      <c r="W90" s="355"/>
      <c r="X90" s="380"/>
      <c r="Y90" s="355"/>
      <c r="Z90" s="380"/>
      <c r="AA90" s="355"/>
      <c r="AB90" s="380"/>
      <c r="AC90" s="355"/>
      <c r="AD90" s="380"/>
      <c r="AE90" s="355"/>
      <c r="AF90" s="414">
        <f t="shared" ref="AF90" si="147">SUM(W90:AE90)</f>
        <v>0</v>
      </c>
      <c r="AG90" s="380"/>
      <c r="AH90" s="355"/>
      <c r="AI90" s="380"/>
      <c r="AJ90" s="355"/>
      <c r="AK90" s="380"/>
      <c r="AL90" s="355"/>
      <c r="AM90" s="380"/>
      <c r="AN90" s="355"/>
      <c r="AO90" s="380"/>
      <c r="AP90" s="355"/>
      <c r="AQ90" s="414">
        <f t="shared" ref="AQ90" si="148">SUM(AH90:AP90)</f>
        <v>0</v>
      </c>
      <c r="AR90" s="380"/>
      <c r="AS90" s="355"/>
      <c r="AT90" s="380"/>
      <c r="AU90" s="355"/>
      <c r="AV90" s="380"/>
      <c r="AW90" s="355"/>
      <c r="AX90" s="380"/>
      <c r="AY90" s="355"/>
      <c r="AZ90" s="380"/>
      <c r="BA90" s="355"/>
      <c r="BB90" s="380"/>
      <c r="BC90" s="355"/>
      <c r="BD90" s="414">
        <f t="shared" ref="BD90" si="149">SUM(AS90:BC90)</f>
        <v>0</v>
      </c>
      <c r="BE90" s="380"/>
      <c r="BF90" s="355"/>
      <c r="BG90" s="380"/>
      <c r="BH90" s="355"/>
      <c r="BI90" s="380"/>
      <c r="BJ90" s="355"/>
      <c r="BK90" s="380"/>
      <c r="BL90" s="355"/>
      <c r="BM90" s="380"/>
      <c r="BN90" s="355"/>
      <c r="BO90" s="380"/>
      <c r="BP90" s="355"/>
      <c r="BQ90" s="414">
        <f t="shared" ref="BQ90" si="150">SUM(BF90:BP90)</f>
        <v>0</v>
      </c>
      <c r="BR90" s="380"/>
      <c r="BS90" s="355"/>
      <c r="BT90" s="380"/>
      <c r="BU90" s="355"/>
      <c r="BV90" s="380"/>
      <c r="BW90" s="355"/>
      <c r="BX90" s="380"/>
      <c r="BY90" s="355"/>
      <c r="BZ90" s="380"/>
      <c r="CA90" s="355"/>
      <c r="CB90" s="380"/>
      <c r="CC90" s="355"/>
      <c r="CD90" s="414">
        <f t="shared" ref="CD90" si="151">SUM(BS90:CC90)</f>
        <v>0</v>
      </c>
      <c r="CE90" s="380"/>
      <c r="CF90" s="355"/>
      <c r="CG90" s="380"/>
      <c r="CH90" s="355"/>
      <c r="CI90" s="380"/>
      <c r="CJ90" s="355"/>
      <c r="CK90" s="380"/>
      <c r="CL90" s="355"/>
      <c r="CM90" s="380"/>
      <c r="CN90" s="355"/>
      <c r="CO90" s="380"/>
      <c r="CP90" s="355"/>
      <c r="CQ90" s="414">
        <f t="shared" ref="CQ90" si="152">SUM(CF90:CP90)</f>
        <v>0</v>
      </c>
      <c r="CR90" s="380"/>
      <c r="CS90" s="355"/>
      <c r="CT90" s="380"/>
      <c r="CU90" s="355"/>
      <c r="CV90" s="380"/>
      <c r="CW90" s="355"/>
      <c r="CX90" s="380"/>
      <c r="CY90" s="355"/>
      <c r="CZ90" s="414">
        <f t="shared" ref="CZ90" si="153">SUM(CS90:CY90)</f>
        <v>0</v>
      </c>
      <c r="DA90" s="380"/>
      <c r="DB90" s="355"/>
      <c r="DC90" s="414">
        <f t="shared" si="137"/>
        <v>0</v>
      </c>
      <c r="DD90" s="356">
        <f>+$U$90+$AF$90+$AQ$90+$BD$90+$BQ$90+$CD$90+$CQ$90+$CZ$90+$DC$90</f>
        <v>60</v>
      </c>
    </row>
    <row r="91" spans="1:108" ht="17.45" customHeight="1">
      <c r="A91" s="357"/>
      <c r="B91" s="357"/>
      <c r="C91" s="357"/>
      <c r="D91" s="357"/>
      <c r="E91" s="357"/>
      <c r="F91" s="357"/>
      <c r="G91" s="379" t="s">
        <v>1129</v>
      </c>
      <c r="H91" s="347" t="s">
        <v>1130</v>
      </c>
      <c r="I91" s="380"/>
      <c r="J91" s="355"/>
      <c r="K91" s="380"/>
      <c r="L91" s="355"/>
      <c r="M91" s="380"/>
      <c r="N91" s="355"/>
      <c r="O91" s="381" t="s">
        <v>1854</v>
      </c>
      <c r="P91" s="355">
        <v>9</v>
      </c>
      <c r="Q91" s="380"/>
      <c r="R91" s="355"/>
      <c r="S91" s="380"/>
      <c r="T91" s="355"/>
      <c r="U91" s="414">
        <f t="shared" si="138"/>
        <v>9</v>
      </c>
      <c r="V91" s="380"/>
      <c r="W91" s="355"/>
      <c r="X91" s="380"/>
      <c r="Y91" s="355"/>
      <c r="Z91" s="380"/>
      <c r="AA91" s="355"/>
      <c r="AB91" s="380"/>
      <c r="AC91" s="355"/>
      <c r="AD91" s="380"/>
      <c r="AE91" s="355"/>
      <c r="AF91" s="414">
        <f t="shared" si="139"/>
        <v>0</v>
      </c>
      <c r="AG91" s="380"/>
      <c r="AH91" s="355"/>
      <c r="AI91" s="380"/>
      <c r="AJ91" s="355"/>
      <c r="AK91" s="380"/>
      <c r="AL91" s="355"/>
      <c r="AM91" s="380"/>
      <c r="AN91" s="355"/>
      <c r="AO91" s="380"/>
      <c r="AP91" s="355"/>
      <c r="AQ91" s="414">
        <f t="shared" si="140"/>
        <v>0</v>
      </c>
      <c r="AR91" s="380"/>
      <c r="AS91" s="355"/>
      <c r="AT91" s="380"/>
      <c r="AU91" s="355"/>
      <c r="AV91" s="380"/>
      <c r="AW91" s="355"/>
      <c r="AX91" s="380"/>
      <c r="AY91" s="355"/>
      <c r="AZ91" s="380"/>
      <c r="BA91" s="355"/>
      <c r="BB91" s="380"/>
      <c r="BC91" s="355"/>
      <c r="BD91" s="414">
        <f t="shared" si="141"/>
        <v>0</v>
      </c>
      <c r="BE91" s="380"/>
      <c r="BF91" s="355"/>
      <c r="BG91" s="380"/>
      <c r="BH91" s="355"/>
      <c r="BI91" s="380"/>
      <c r="BJ91" s="355"/>
      <c r="BK91" s="380"/>
      <c r="BL91" s="355"/>
      <c r="BM91" s="380"/>
      <c r="BN91" s="355"/>
      <c r="BO91" s="380"/>
      <c r="BP91" s="355"/>
      <c r="BQ91" s="414">
        <f t="shared" si="142"/>
        <v>0</v>
      </c>
      <c r="BR91" s="380"/>
      <c r="BS91" s="355"/>
      <c r="BT91" s="380"/>
      <c r="BU91" s="355"/>
      <c r="BV91" s="380"/>
      <c r="BW91" s="355"/>
      <c r="BX91" s="380"/>
      <c r="BY91" s="355"/>
      <c r="BZ91" s="380"/>
      <c r="CA91" s="355"/>
      <c r="CB91" s="380"/>
      <c r="CC91" s="355"/>
      <c r="CD91" s="414">
        <f t="shared" si="143"/>
        <v>0</v>
      </c>
      <c r="CE91" s="380"/>
      <c r="CF91" s="355"/>
      <c r="CG91" s="380"/>
      <c r="CH91" s="355"/>
      <c r="CI91" s="380"/>
      <c r="CJ91" s="355"/>
      <c r="CK91" s="380"/>
      <c r="CL91" s="355"/>
      <c r="CM91" s="380"/>
      <c r="CN91" s="355"/>
      <c r="CO91" s="380"/>
      <c r="CP91" s="355"/>
      <c r="CQ91" s="414">
        <f t="shared" si="144"/>
        <v>0</v>
      </c>
      <c r="CR91" s="380"/>
      <c r="CS91" s="355"/>
      <c r="CT91" s="380"/>
      <c r="CU91" s="355"/>
      <c r="CV91" s="380"/>
      <c r="CW91" s="355"/>
      <c r="CX91" s="380"/>
      <c r="CY91" s="355"/>
      <c r="CZ91" s="414">
        <f t="shared" si="145"/>
        <v>0</v>
      </c>
      <c r="DA91" s="380"/>
      <c r="DB91" s="355"/>
      <c r="DC91" s="414">
        <f t="shared" si="137"/>
        <v>0</v>
      </c>
      <c r="DD91" s="356">
        <f>+$U$91+$AF$91+$AQ$91+$BD$91+$BQ$91+$CD$91+$CQ$91+$CZ$91+$DC$91</f>
        <v>9</v>
      </c>
    </row>
    <row r="92" spans="1:108" ht="17.45" customHeight="1">
      <c r="A92" s="357"/>
      <c r="B92" s="357"/>
      <c r="C92" s="357"/>
      <c r="D92" s="357"/>
      <c r="E92" s="357"/>
      <c r="F92" s="357"/>
      <c r="G92" s="347" t="s">
        <v>1182</v>
      </c>
      <c r="H92" s="347" t="s">
        <v>1204</v>
      </c>
      <c r="I92" s="380"/>
      <c r="J92" s="355"/>
      <c r="K92" s="380"/>
      <c r="L92" s="355"/>
      <c r="M92" s="380"/>
      <c r="N92" s="355"/>
      <c r="O92" s="380"/>
      <c r="P92" s="355"/>
      <c r="Q92" s="380"/>
      <c r="R92" s="355"/>
      <c r="S92" s="380"/>
      <c r="T92" s="355"/>
      <c r="U92" s="414">
        <f t="shared" si="138"/>
        <v>0</v>
      </c>
      <c r="V92" s="380"/>
      <c r="W92" s="355"/>
      <c r="X92" s="380"/>
      <c r="Y92" s="355"/>
      <c r="Z92" s="380"/>
      <c r="AA92" s="355"/>
      <c r="AB92" s="380"/>
      <c r="AC92" s="355"/>
      <c r="AD92" s="380"/>
      <c r="AE92" s="355"/>
      <c r="AF92" s="414">
        <f t="shared" si="139"/>
        <v>0</v>
      </c>
      <c r="AG92" s="380"/>
      <c r="AH92" s="355"/>
      <c r="AI92" s="380"/>
      <c r="AJ92" s="355"/>
      <c r="AK92" s="380"/>
      <c r="AL92" s="355"/>
      <c r="AM92" s="380"/>
      <c r="AN92" s="355"/>
      <c r="AO92" s="380"/>
      <c r="AP92" s="355"/>
      <c r="AQ92" s="414">
        <f t="shared" si="140"/>
        <v>0</v>
      </c>
      <c r="AR92" s="380"/>
      <c r="AS92" s="355"/>
      <c r="AT92" s="380"/>
      <c r="AU92" s="355"/>
      <c r="AV92" s="380"/>
      <c r="AW92" s="355"/>
      <c r="AX92" s="380"/>
      <c r="AY92" s="355"/>
      <c r="AZ92" s="380"/>
      <c r="BA92" s="355"/>
      <c r="BB92" s="380"/>
      <c r="BC92" s="355"/>
      <c r="BD92" s="414">
        <f t="shared" si="141"/>
        <v>0</v>
      </c>
      <c r="BE92" s="380"/>
      <c r="BF92" s="355"/>
      <c r="BG92" s="380"/>
      <c r="BH92" s="355"/>
      <c r="BI92" s="380"/>
      <c r="BJ92" s="355"/>
      <c r="BK92" s="380"/>
      <c r="BL92" s="355"/>
      <c r="BM92" s="380"/>
      <c r="BN92" s="355"/>
      <c r="BO92" s="380"/>
      <c r="BP92" s="355"/>
      <c r="BQ92" s="414">
        <f t="shared" si="142"/>
        <v>0</v>
      </c>
      <c r="BR92" s="380"/>
      <c r="BS92" s="355"/>
      <c r="BT92" s="380"/>
      <c r="BU92" s="355"/>
      <c r="BV92" s="380"/>
      <c r="BW92" s="355"/>
      <c r="BX92" s="380"/>
      <c r="BY92" s="355"/>
      <c r="BZ92" s="380"/>
      <c r="CA92" s="355"/>
      <c r="CB92" s="380"/>
      <c r="CC92" s="355"/>
      <c r="CD92" s="414">
        <f t="shared" si="143"/>
        <v>0</v>
      </c>
      <c r="CE92" s="380"/>
      <c r="CF92" s="355"/>
      <c r="CG92" s="380"/>
      <c r="CH92" s="355"/>
      <c r="CI92" s="380"/>
      <c r="CJ92" s="355"/>
      <c r="CK92" s="380"/>
      <c r="CL92" s="355"/>
      <c r="CM92" s="380"/>
      <c r="CN92" s="355"/>
      <c r="CO92" s="380"/>
      <c r="CP92" s="355"/>
      <c r="CQ92" s="414">
        <f t="shared" si="144"/>
        <v>0</v>
      </c>
      <c r="CR92" s="380"/>
      <c r="CS92" s="355"/>
      <c r="CT92" s="380"/>
      <c r="CU92" s="355"/>
      <c r="CV92" s="380"/>
      <c r="CW92" s="355"/>
      <c r="CX92" s="380"/>
      <c r="CY92" s="355"/>
      <c r="CZ92" s="414">
        <f t="shared" si="145"/>
        <v>0</v>
      </c>
      <c r="DA92" s="380"/>
      <c r="DB92" s="355"/>
      <c r="DC92" s="414">
        <f t="shared" si="137"/>
        <v>0</v>
      </c>
      <c r="DD92" s="356">
        <f>+$U$92+$AF$92+$AQ$92+$BD$92+$BQ$92+$CD$92+$CQ$92+$CZ$92+$DC$92</f>
        <v>0</v>
      </c>
    </row>
    <row r="93" spans="1:108" ht="17.45" customHeight="1">
      <c r="A93" s="357"/>
      <c r="B93" s="357"/>
      <c r="C93" s="357"/>
      <c r="D93" s="357"/>
      <c r="E93" s="357"/>
      <c r="F93" s="357" t="s">
        <v>37</v>
      </c>
      <c r="G93" s="379" t="s">
        <v>1180</v>
      </c>
      <c r="H93" s="347" t="s">
        <v>1202</v>
      </c>
      <c r="I93" s="381" t="s">
        <v>1850</v>
      </c>
      <c r="J93" s="355">
        <v>80</v>
      </c>
      <c r="K93" s="381" t="s">
        <v>1849</v>
      </c>
      <c r="L93" s="355">
        <v>47</v>
      </c>
      <c r="M93" s="381" t="s">
        <v>1850</v>
      </c>
      <c r="N93" s="355">
        <v>80</v>
      </c>
      <c r="O93" s="381" t="s">
        <v>1850</v>
      </c>
      <c r="P93" s="355">
        <v>63</v>
      </c>
      <c r="Q93" s="380"/>
      <c r="R93" s="355"/>
      <c r="S93" s="380"/>
      <c r="T93" s="355"/>
      <c r="U93" s="414">
        <f t="shared" ref="U93" si="154">SUM(J93:T93)</f>
        <v>270</v>
      </c>
      <c r="V93" s="380"/>
      <c r="W93" s="355"/>
      <c r="X93" s="380"/>
      <c r="Y93" s="355"/>
      <c r="Z93" s="380"/>
      <c r="AA93" s="355"/>
      <c r="AB93" s="380"/>
      <c r="AC93" s="355"/>
      <c r="AD93" s="380"/>
      <c r="AE93" s="355"/>
      <c r="AF93" s="414">
        <f t="shared" ref="AF93" si="155">SUM(W93:AE93)</f>
        <v>0</v>
      </c>
      <c r="AG93" s="380"/>
      <c r="AH93" s="355"/>
      <c r="AI93" s="380"/>
      <c r="AJ93" s="355"/>
      <c r="AK93" s="380"/>
      <c r="AL93" s="355"/>
      <c r="AM93" s="380"/>
      <c r="AN93" s="355"/>
      <c r="AO93" s="380"/>
      <c r="AP93" s="355"/>
      <c r="AQ93" s="414">
        <f t="shared" ref="AQ93" si="156">SUM(AH93:AP93)</f>
        <v>0</v>
      </c>
      <c r="AR93" s="380"/>
      <c r="AS93" s="355"/>
      <c r="AT93" s="380"/>
      <c r="AU93" s="355"/>
      <c r="AV93" s="380"/>
      <c r="AW93" s="355"/>
      <c r="AX93" s="380"/>
      <c r="AY93" s="355"/>
      <c r="AZ93" s="380"/>
      <c r="BA93" s="355"/>
      <c r="BB93" s="380"/>
      <c r="BC93" s="355"/>
      <c r="BD93" s="414">
        <f t="shared" ref="BD93" si="157">SUM(AS93:BC93)</f>
        <v>0</v>
      </c>
      <c r="BE93" s="380"/>
      <c r="BF93" s="355"/>
      <c r="BG93" s="380"/>
      <c r="BH93" s="355"/>
      <c r="BI93" s="380"/>
      <c r="BJ93" s="355"/>
      <c r="BK93" s="380"/>
      <c r="BL93" s="355"/>
      <c r="BM93" s="380"/>
      <c r="BN93" s="355"/>
      <c r="BO93" s="380"/>
      <c r="BP93" s="355"/>
      <c r="BQ93" s="414">
        <f t="shared" ref="BQ93" si="158">SUM(BF93:BP93)</f>
        <v>0</v>
      </c>
      <c r="BR93" s="380"/>
      <c r="BS93" s="355"/>
      <c r="BT93" s="380"/>
      <c r="BU93" s="355"/>
      <c r="BV93" s="380"/>
      <c r="BW93" s="355"/>
      <c r="BX93" s="380"/>
      <c r="BY93" s="355"/>
      <c r="BZ93" s="380"/>
      <c r="CA93" s="355"/>
      <c r="CB93" s="380"/>
      <c r="CC93" s="355"/>
      <c r="CD93" s="414">
        <f t="shared" ref="CD93" si="159">SUM(BS93:CC93)</f>
        <v>0</v>
      </c>
      <c r="CE93" s="380"/>
      <c r="CF93" s="355"/>
      <c r="CG93" s="380"/>
      <c r="CH93" s="355"/>
      <c r="CI93" s="380"/>
      <c r="CJ93" s="355"/>
      <c r="CK93" s="380"/>
      <c r="CL93" s="355"/>
      <c r="CM93" s="380"/>
      <c r="CN93" s="355"/>
      <c r="CO93" s="380"/>
      <c r="CP93" s="355"/>
      <c r="CQ93" s="414">
        <f t="shared" ref="CQ93" si="160">SUM(CF93:CP93)</f>
        <v>0</v>
      </c>
      <c r="CR93" s="380"/>
      <c r="CS93" s="355"/>
      <c r="CT93" s="380"/>
      <c r="CU93" s="355"/>
      <c r="CV93" s="380"/>
      <c r="CW93" s="355"/>
      <c r="CX93" s="380"/>
      <c r="CY93" s="355"/>
      <c r="CZ93" s="414">
        <f t="shared" ref="CZ93" si="161">SUM(CS93:CY93)</f>
        <v>0</v>
      </c>
      <c r="DA93" s="380"/>
      <c r="DB93" s="355"/>
      <c r="DC93" s="414">
        <f t="shared" si="137"/>
        <v>0</v>
      </c>
      <c r="DD93" s="356">
        <f>+$U$93+$AF$93+$AQ$93+$BD$93+$BQ$93+$CD$93+$CQ$93+$CZ$93+$DC$93</f>
        <v>270</v>
      </c>
    </row>
    <row r="94" spans="1:108" ht="17.45" customHeight="1">
      <c r="A94" s="357"/>
      <c r="B94" s="357"/>
      <c r="C94" s="357"/>
      <c r="D94" s="357"/>
      <c r="E94" s="357"/>
      <c r="F94" s="357" t="s">
        <v>37</v>
      </c>
      <c r="G94" s="379" t="s">
        <v>1180</v>
      </c>
      <c r="H94" s="347" t="s">
        <v>1202</v>
      </c>
      <c r="I94" s="381" t="s">
        <v>1855</v>
      </c>
      <c r="J94" s="355">
        <v>33</v>
      </c>
      <c r="K94" s="380"/>
      <c r="L94" s="355"/>
      <c r="M94" s="380"/>
      <c r="N94" s="355"/>
      <c r="O94" s="380"/>
      <c r="P94" s="355"/>
      <c r="Q94" s="380"/>
      <c r="R94" s="355"/>
      <c r="S94" s="380"/>
      <c r="T94" s="355"/>
      <c r="U94" s="414">
        <f t="shared" si="138"/>
        <v>33</v>
      </c>
      <c r="V94" s="380"/>
      <c r="W94" s="355"/>
      <c r="X94" s="380"/>
      <c r="Y94" s="355"/>
      <c r="Z94" s="380"/>
      <c r="AA94" s="355"/>
      <c r="AB94" s="380"/>
      <c r="AC94" s="355"/>
      <c r="AD94" s="380"/>
      <c r="AE94" s="355"/>
      <c r="AF94" s="414">
        <f t="shared" si="139"/>
        <v>0</v>
      </c>
      <c r="AG94" s="380"/>
      <c r="AH94" s="355"/>
      <c r="AI94" s="380"/>
      <c r="AJ94" s="355"/>
      <c r="AK94" s="380"/>
      <c r="AL94" s="355"/>
      <c r="AM94" s="380"/>
      <c r="AN94" s="355"/>
      <c r="AO94" s="380"/>
      <c r="AP94" s="355"/>
      <c r="AQ94" s="414">
        <f t="shared" si="140"/>
        <v>0</v>
      </c>
      <c r="AR94" s="380"/>
      <c r="AS94" s="355"/>
      <c r="AT94" s="380"/>
      <c r="AU94" s="355"/>
      <c r="AV94" s="380"/>
      <c r="AW94" s="355"/>
      <c r="AX94" s="380"/>
      <c r="AY94" s="355"/>
      <c r="AZ94" s="380"/>
      <c r="BA94" s="355"/>
      <c r="BB94" s="380"/>
      <c r="BC94" s="355"/>
      <c r="BD94" s="414">
        <f t="shared" si="141"/>
        <v>0</v>
      </c>
      <c r="BE94" s="380"/>
      <c r="BF94" s="355"/>
      <c r="BG94" s="380"/>
      <c r="BH94" s="355"/>
      <c r="BI94" s="380"/>
      <c r="BJ94" s="355"/>
      <c r="BK94" s="380"/>
      <c r="BL94" s="355"/>
      <c r="BM94" s="380"/>
      <c r="BN94" s="355"/>
      <c r="BO94" s="380"/>
      <c r="BP94" s="355"/>
      <c r="BQ94" s="414">
        <f t="shared" si="142"/>
        <v>0</v>
      </c>
      <c r="BR94" s="380"/>
      <c r="BS94" s="355"/>
      <c r="BT94" s="380"/>
      <c r="BU94" s="355"/>
      <c r="BV94" s="380"/>
      <c r="BW94" s="355"/>
      <c r="BX94" s="380"/>
      <c r="BY94" s="355"/>
      <c r="BZ94" s="380"/>
      <c r="CA94" s="355"/>
      <c r="CB94" s="380"/>
      <c r="CC94" s="355"/>
      <c r="CD94" s="414">
        <f t="shared" si="143"/>
        <v>0</v>
      </c>
      <c r="CE94" s="380"/>
      <c r="CF94" s="355"/>
      <c r="CG94" s="380"/>
      <c r="CH94" s="355"/>
      <c r="CI94" s="380"/>
      <c r="CJ94" s="355"/>
      <c r="CK94" s="380"/>
      <c r="CL94" s="355"/>
      <c r="CM94" s="380"/>
      <c r="CN94" s="355"/>
      <c r="CO94" s="380"/>
      <c r="CP94" s="355"/>
      <c r="CQ94" s="414">
        <f t="shared" si="144"/>
        <v>0</v>
      </c>
      <c r="CR94" s="380"/>
      <c r="CS94" s="355"/>
      <c r="CT94" s="380"/>
      <c r="CU94" s="355"/>
      <c r="CV94" s="380"/>
      <c r="CW94" s="355"/>
      <c r="CX94" s="380"/>
      <c r="CY94" s="355"/>
      <c r="CZ94" s="414">
        <f t="shared" si="145"/>
        <v>0</v>
      </c>
      <c r="DA94" s="380"/>
      <c r="DB94" s="355"/>
      <c r="DC94" s="414">
        <f t="shared" si="137"/>
        <v>0</v>
      </c>
      <c r="DD94" s="356">
        <f>+$U$94+$AF$94+$AQ$94+$BD$94+$BQ$94+$CD$94+$CQ$94+$CZ$94+$DC$94</f>
        <v>33</v>
      </c>
    </row>
    <row r="95" spans="1:108" ht="17.45" customHeight="1">
      <c r="A95" s="357"/>
      <c r="B95" s="357"/>
      <c r="C95" s="357"/>
      <c r="D95" s="357"/>
      <c r="E95" s="357"/>
      <c r="F95" s="357" t="s">
        <v>37</v>
      </c>
      <c r="G95" s="347" t="s">
        <v>1131</v>
      </c>
      <c r="H95" s="347" t="s">
        <v>1132</v>
      </c>
      <c r="I95" s="381" t="s">
        <v>1853</v>
      </c>
      <c r="J95" s="355">
        <v>87</v>
      </c>
      <c r="K95" s="381" t="s">
        <v>1850</v>
      </c>
      <c r="L95" s="355">
        <v>131</v>
      </c>
      <c r="M95" s="381" t="s">
        <v>1853</v>
      </c>
      <c r="N95" s="355">
        <v>107</v>
      </c>
      <c r="O95" s="381" t="s">
        <v>1853</v>
      </c>
      <c r="P95" s="355">
        <v>111</v>
      </c>
      <c r="Q95" s="381" t="s">
        <v>1850</v>
      </c>
      <c r="R95" s="355">
        <v>171</v>
      </c>
      <c r="S95" s="381" t="s">
        <v>1853</v>
      </c>
      <c r="T95" s="355">
        <v>170</v>
      </c>
      <c r="U95" s="414">
        <f t="shared" si="138"/>
        <v>777</v>
      </c>
      <c r="V95" s="380"/>
      <c r="W95" s="355"/>
      <c r="X95" s="380"/>
      <c r="Y95" s="355"/>
      <c r="Z95" s="380"/>
      <c r="AA95" s="355"/>
      <c r="AB95" s="380"/>
      <c r="AC95" s="355"/>
      <c r="AD95" s="380"/>
      <c r="AE95" s="355"/>
      <c r="AF95" s="414">
        <f t="shared" si="139"/>
        <v>0</v>
      </c>
      <c r="AG95" s="380"/>
      <c r="AH95" s="355"/>
      <c r="AI95" s="380"/>
      <c r="AJ95" s="355"/>
      <c r="AK95" s="380"/>
      <c r="AL95" s="355"/>
      <c r="AM95" s="380"/>
      <c r="AN95" s="355"/>
      <c r="AO95" s="380"/>
      <c r="AP95" s="355"/>
      <c r="AQ95" s="414">
        <f t="shared" si="140"/>
        <v>0</v>
      </c>
      <c r="AR95" s="380"/>
      <c r="AS95" s="355"/>
      <c r="AT95" s="380"/>
      <c r="AU95" s="355"/>
      <c r="AV95" s="380"/>
      <c r="AW95" s="355"/>
      <c r="AX95" s="380"/>
      <c r="AY95" s="355"/>
      <c r="AZ95" s="380"/>
      <c r="BA95" s="355"/>
      <c r="BB95" s="380"/>
      <c r="BC95" s="355"/>
      <c r="BD95" s="414">
        <f t="shared" si="141"/>
        <v>0</v>
      </c>
      <c r="BE95" s="380"/>
      <c r="BF95" s="355"/>
      <c r="BG95" s="380"/>
      <c r="BH95" s="355"/>
      <c r="BI95" s="380"/>
      <c r="BJ95" s="355"/>
      <c r="BK95" s="380"/>
      <c r="BL95" s="355"/>
      <c r="BM95" s="380"/>
      <c r="BN95" s="355"/>
      <c r="BO95" s="380"/>
      <c r="BP95" s="355"/>
      <c r="BQ95" s="414">
        <f t="shared" si="142"/>
        <v>0</v>
      </c>
      <c r="BR95" s="380"/>
      <c r="BS95" s="355"/>
      <c r="BT95" s="380"/>
      <c r="BU95" s="355"/>
      <c r="BV95" s="380"/>
      <c r="BW95" s="355"/>
      <c r="BX95" s="380"/>
      <c r="BY95" s="355"/>
      <c r="BZ95" s="380"/>
      <c r="CA95" s="355"/>
      <c r="CB95" s="380"/>
      <c r="CC95" s="355"/>
      <c r="CD95" s="414">
        <f t="shared" si="143"/>
        <v>0</v>
      </c>
      <c r="CE95" s="380"/>
      <c r="CF95" s="355"/>
      <c r="CG95" s="380"/>
      <c r="CH95" s="355"/>
      <c r="CI95" s="380"/>
      <c r="CJ95" s="355"/>
      <c r="CK95" s="380"/>
      <c r="CL95" s="355"/>
      <c r="CM95" s="380"/>
      <c r="CN95" s="355"/>
      <c r="CO95" s="380"/>
      <c r="CP95" s="355"/>
      <c r="CQ95" s="414">
        <f t="shared" si="144"/>
        <v>0</v>
      </c>
      <c r="CR95" s="380"/>
      <c r="CS95" s="355"/>
      <c r="CT95" s="380"/>
      <c r="CU95" s="355"/>
      <c r="CV95" s="380"/>
      <c r="CW95" s="355"/>
      <c r="CX95" s="380"/>
      <c r="CY95" s="355"/>
      <c r="CZ95" s="414">
        <f t="shared" si="145"/>
        <v>0</v>
      </c>
      <c r="DA95" s="380"/>
      <c r="DB95" s="355"/>
      <c r="DC95" s="414">
        <f t="shared" si="137"/>
        <v>0</v>
      </c>
      <c r="DD95" s="356">
        <f>+$U$95+$AF$95+$AQ$95+$BD$95+$BQ$95+$CD$95+$CQ$95+$CZ$95+$DC$95</f>
        <v>777</v>
      </c>
    </row>
    <row r="96" spans="1:108" ht="17.45" customHeight="1">
      <c r="A96" s="357"/>
      <c r="B96" s="357"/>
      <c r="C96" s="357"/>
      <c r="D96" s="357"/>
      <c r="E96" s="357"/>
      <c r="F96" s="357"/>
      <c r="G96" s="347" t="s">
        <v>1133</v>
      </c>
      <c r="H96" s="347" t="s">
        <v>1134</v>
      </c>
      <c r="I96" s="380"/>
      <c r="J96" s="355"/>
      <c r="K96" s="381" t="s">
        <v>1853</v>
      </c>
      <c r="L96" s="355">
        <v>105</v>
      </c>
      <c r="M96" s="380"/>
      <c r="N96" s="355"/>
      <c r="O96" s="380"/>
      <c r="P96" s="355"/>
      <c r="Q96" s="380"/>
      <c r="R96" s="355"/>
      <c r="S96" s="380"/>
      <c r="T96" s="355"/>
      <c r="U96" s="414">
        <f t="shared" si="138"/>
        <v>105</v>
      </c>
      <c r="V96" s="380"/>
      <c r="W96" s="355"/>
      <c r="X96" s="380"/>
      <c r="Y96" s="355"/>
      <c r="Z96" s="380"/>
      <c r="AA96" s="355"/>
      <c r="AB96" s="380"/>
      <c r="AC96" s="355"/>
      <c r="AD96" s="380"/>
      <c r="AE96" s="355"/>
      <c r="AF96" s="414">
        <f t="shared" si="139"/>
        <v>0</v>
      </c>
      <c r="AG96" s="380"/>
      <c r="AH96" s="355"/>
      <c r="AI96" s="380"/>
      <c r="AJ96" s="355"/>
      <c r="AK96" s="380"/>
      <c r="AL96" s="355"/>
      <c r="AM96" s="380"/>
      <c r="AN96" s="355"/>
      <c r="AO96" s="380"/>
      <c r="AP96" s="355"/>
      <c r="AQ96" s="414">
        <f t="shared" si="140"/>
        <v>0</v>
      </c>
      <c r="AR96" s="380"/>
      <c r="AS96" s="355"/>
      <c r="AT96" s="380"/>
      <c r="AU96" s="355"/>
      <c r="AV96" s="380"/>
      <c r="AW96" s="355"/>
      <c r="AX96" s="380"/>
      <c r="AY96" s="355"/>
      <c r="AZ96" s="380"/>
      <c r="BA96" s="355"/>
      <c r="BB96" s="380"/>
      <c r="BC96" s="355"/>
      <c r="BD96" s="414">
        <f t="shared" si="141"/>
        <v>0</v>
      </c>
      <c r="BE96" s="380"/>
      <c r="BF96" s="355"/>
      <c r="BG96" s="380"/>
      <c r="BH96" s="355"/>
      <c r="BI96" s="380"/>
      <c r="BJ96" s="355"/>
      <c r="BK96" s="380"/>
      <c r="BL96" s="355"/>
      <c r="BM96" s="380"/>
      <c r="BN96" s="355"/>
      <c r="BO96" s="380"/>
      <c r="BP96" s="355"/>
      <c r="BQ96" s="414">
        <f t="shared" si="142"/>
        <v>0</v>
      </c>
      <c r="BR96" s="380"/>
      <c r="BS96" s="355"/>
      <c r="BT96" s="380"/>
      <c r="BU96" s="355"/>
      <c r="BV96" s="380"/>
      <c r="BW96" s="355"/>
      <c r="BX96" s="380"/>
      <c r="BY96" s="355"/>
      <c r="BZ96" s="380"/>
      <c r="CA96" s="355"/>
      <c r="CB96" s="380"/>
      <c r="CC96" s="355"/>
      <c r="CD96" s="414">
        <f t="shared" si="143"/>
        <v>0</v>
      </c>
      <c r="CE96" s="380"/>
      <c r="CF96" s="355"/>
      <c r="CG96" s="380"/>
      <c r="CH96" s="355"/>
      <c r="CI96" s="380"/>
      <c r="CJ96" s="355"/>
      <c r="CK96" s="380"/>
      <c r="CL96" s="355"/>
      <c r="CM96" s="380"/>
      <c r="CN96" s="355"/>
      <c r="CO96" s="380"/>
      <c r="CP96" s="355"/>
      <c r="CQ96" s="414">
        <f t="shared" si="144"/>
        <v>0</v>
      </c>
      <c r="CR96" s="380"/>
      <c r="CS96" s="355"/>
      <c r="CT96" s="380"/>
      <c r="CU96" s="355"/>
      <c r="CV96" s="380"/>
      <c r="CW96" s="355"/>
      <c r="CX96" s="380"/>
      <c r="CY96" s="355"/>
      <c r="CZ96" s="414">
        <f t="shared" si="145"/>
        <v>0</v>
      </c>
      <c r="DA96" s="380"/>
      <c r="DB96" s="355"/>
      <c r="DC96" s="414">
        <f t="shared" si="137"/>
        <v>0</v>
      </c>
      <c r="DD96" s="356">
        <f>+$U$96+$AF$96+$AQ$96+$BD$96+$BQ$96+$CD$96+$CQ$96+$CZ$96+$DC$96</f>
        <v>105</v>
      </c>
    </row>
    <row r="97" spans="1:108" ht="17.45" customHeight="1">
      <c r="A97" s="357"/>
      <c r="B97" s="357"/>
      <c r="C97" s="357"/>
      <c r="D97" s="357"/>
      <c r="E97" s="357"/>
      <c r="F97" s="357"/>
      <c r="G97" s="347" t="s">
        <v>1135</v>
      </c>
      <c r="H97" s="347" t="s">
        <v>1136</v>
      </c>
      <c r="I97" s="380"/>
      <c r="J97" s="355"/>
      <c r="K97" s="380"/>
      <c r="L97" s="355"/>
      <c r="M97" s="380"/>
      <c r="N97" s="355"/>
      <c r="O97" s="381" t="s">
        <v>1852</v>
      </c>
      <c r="P97" s="355">
        <v>56</v>
      </c>
      <c r="Q97" s="381" t="s">
        <v>1853</v>
      </c>
      <c r="R97" s="355">
        <v>26</v>
      </c>
      <c r="S97" s="381" t="s">
        <v>1852</v>
      </c>
      <c r="T97" s="355">
        <v>27</v>
      </c>
      <c r="U97" s="414">
        <f t="shared" si="138"/>
        <v>109</v>
      </c>
      <c r="V97" s="380"/>
      <c r="W97" s="355"/>
      <c r="X97" s="380"/>
      <c r="Y97" s="355"/>
      <c r="Z97" s="380"/>
      <c r="AA97" s="355"/>
      <c r="AB97" s="380"/>
      <c r="AC97" s="355"/>
      <c r="AD97" s="380"/>
      <c r="AE97" s="355"/>
      <c r="AF97" s="414">
        <f t="shared" si="139"/>
        <v>0</v>
      </c>
      <c r="AG97" s="380"/>
      <c r="AH97" s="355"/>
      <c r="AI97" s="380"/>
      <c r="AJ97" s="355"/>
      <c r="AK97" s="380"/>
      <c r="AL97" s="355"/>
      <c r="AM97" s="380"/>
      <c r="AN97" s="355"/>
      <c r="AO97" s="380"/>
      <c r="AP97" s="355"/>
      <c r="AQ97" s="414">
        <f t="shared" si="140"/>
        <v>0</v>
      </c>
      <c r="AR97" s="380"/>
      <c r="AS97" s="355"/>
      <c r="AT97" s="380"/>
      <c r="AU97" s="355"/>
      <c r="AV97" s="380"/>
      <c r="AW97" s="355"/>
      <c r="AX97" s="380"/>
      <c r="AY97" s="355"/>
      <c r="AZ97" s="380"/>
      <c r="BA97" s="355"/>
      <c r="BB97" s="380"/>
      <c r="BC97" s="355"/>
      <c r="BD97" s="414">
        <f t="shared" si="141"/>
        <v>0</v>
      </c>
      <c r="BE97" s="380"/>
      <c r="BF97" s="355"/>
      <c r="BG97" s="380"/>
      <c r="BH97" s="355"/>
      <c r="BI97" s="380"/>
      <c r="BJ97" s="355"/>
      <c r="BK97" s="380"/>
      <c r="BL97" s="355"/>
      <c r="BM97" s="380"/>
      <c r="BN97" s="355"/>
      <c r="BO97" s="380"/>
      <c r="BP97" s="355"/>
      <c r="BQ97" s="414">
        <f t="shared" si="142"/>
        <v>0</v>
      </c>
      <c r="BR97" s="380"/>
      <c r="BS97" s="355"/>
      <c r="BT97" s="380"/>
      <c r="BU97" s="355"/>
      <c r="BV97" s="380"/>
      <c r="BW97" s="355"/>
      <c r="BX97" s="380"/>
      <c r="BY97" s="355"/>
      <c r="BZ97" s="380"/>
      <c r="CA97" s="355"/>
      <c r="CB97" s="380"/>
      <c r="CC97" s="355"/>
      <c r="CD97" s="414">
        <f t="shared" si="143"/>
        <v>0</v>
      </c>
      <c r="CE97" s="380"/>
      <c r="CF97" s="355"/>
      <c r="CG97" s="380"/>
      <c r="CH97" s="355"/>
      <c r="CI97" s="380"/>
      <c r="CJ97" s="355"/>
      <c r="CK97" s="380"/>
      <c r="CL97" s="355"/>
      <c r="CM97" s="380"/>
      <c r="CN97" s="355"/>
      <c r="CO97" s="380"/>
      <c r="CP97" s="355"/>
      <c r="CQ97" s="414">
        <f t="shared" si="144"/>
        <v>0</v>
      </c>
      <c r="CR97" s="380"/>
      <c r="CS97" s="355"/>
      <c r="CT97" s="380"/>
      <c r="CU97" s="355"/>
      <c r="CV97" s="380"/>
      <c r="CW97" s="355"/>
      <c r="CX97" s="380"/>
      <c r="CY97" s="355"/>
      <c r="CZ97" s="414">
        <f t="shared" si="145"/>
        <v>0</v>
      </c>
      <c r="DA97" s="380"/>
      <c r="DB97" s="355"/>
      <c r="DC97" s="414">
        <f t="shared" si="137"/>
        <v>0</v>
      </c>
      <c r="DD97" s="356">
        <f>+$U$97+$AF$97+$AQ$97+$BD$97+$BQ$97+$CD$97+$CQ$97+$CZ$97+$DC$97</f>
        <v>109</v>
      </c>
    </row>
    <row r="98" spans="1:108" ht="17.45" customHeight="1">
      <c r="A98" s="357"/>
      <c r="B98" s="357"/>
      <c r="C98" s="357"/>
      <c r="D98" s="357"/>
      <c r="E98" s="357"/>
      <c r="F98" s="357"/>
      <c r="G98" s="347" t="s">
        <v>1190</v>
      </c>
      <c r="H98" s="347" t="s">
        <v>1212</v>
      </c>
      <c r="I98" s="380"/>
      <c r="J98" s="355"/>
      <c r="K98" s="380"/>
      <c r="L98" s="355"/>
      <c r="M98" s="380"/>
      <c r="N98" s="355"/>
      <c r="O98" s="380"/>
      <c r="P98" s="355"/>
      <c r="Q98" s="380"/>
      <c r="R98" s="355"/>
      <c r="S98" s="380"/>
      <c r="T98" s="355"/>
      <c r="U98" s="414">
        <f t="shared" si="138"/>
        <v>0</v>
      </c>
      <c r="V98" s="380"/>
      <c r="W98" s="355"/>
      <c r="X98" s="380"/>
      <c r="Y98" s="355"/>
      <c r="Z98" s="380"/>
      <c r="AA98" s="355"/>
      <c r="AB98" s="380"/>
      <c r="AC98" s="355"/>
      <c r="AD98" s="380"/>
      <c r="AE98" s="355"/>
      <c r="AF98" s="414">
        <f t="shared" si="139"/>
        <v>0</v>
      </c>
      <c r="AG98" s="380"/>
      <c r="AH98" s="355"/>
      <c r="AI98" s="380"/>
      <c r="AJ98" s="355"/>
      <c r="AK98" s="380"/>
      <c r="AL98" s="355"/>
      <c r="AM98" s="380"/>
      <c r="AN98" s="355"/>
      <c r="AO98" s="380"/>
      <c r="AP98" s="355"/>
      <c r="AQ98" s="414">
        <f t="shared" si="140"/>
        <v>0</v>
      </c>
      <c r="AR98" s="380"/>
      <c r="AS98" s="355"/>
      <c r="AT98" s="380"/>
      <c r="AU98" s="355"/>
      <c r="AV98" s="380"/>
      <c r="AW98" s="355"/>
      <c r="AX98" s="380"/>
      <c r="AY98" s="355"/>
      <c r="AZ98" s="380"/>
      <c r="BA98" s="355"/>
      <c r="BB98" s="380"/>
      <c r="BC98" s="355"/>
      <c r="BD98" s="414">
        <f t="shared" si="141"/>
        <v>0</v>
      </c>
      <c r="BE98" s="380"/>
      <c r="BF98" s="355"/>
      <c r="BG98" s="380"/>
      <c r="BH98" s="355"/>
      <c r="BI98" s="380"/>
      <c r="BJ98" s="355"/>
      <c r="BK98" s="380"/>
      <c r="BL98" s="355"/>
      <c r="BM98" s="380"/>
      <c r="BN98" s="355"/>
      <c r="BO98" s="380"/>
      <c r="BP98" s="355"/>
      <c r="BQ98" s="414">
        <f t="shared" si="142"/>
        <v>0</v>
      </c>
      <c r="BR98" s="380"/>
      <c r="BS98" s="355"/>
      <c r="BT98" s="380"/>
      <c r="BU98" s="355"/>
      <c r="BV98" s="380"/>
      <c r="BW98" s="355"/>
      <c r="BX98" s="380"/>
      <c r="BY98" s="355"/>
      <c r="BZ98" s="380"/>
      <c r="CA98" s="355"/>
      <c r="CB98" s="380"/>
      <c r="CC98" s="355"/>
      <c r="CD98" s="414">
        <f t="shared" si="143"/>
        <v>0</v>
      </c>
      <c r="CE98" s="380"/>
      <c r="CF98" s="355"/>
      <c r="CG98" s="380"/>
      <c r="CH98" s="355"/>
      <c r="CI98" s="380"/>
      <c r="CJ98" s="355"/>
      <c r="CK98" s="380"/>
      <c r="CL98" s="355"/>
      <c r="CM98" s="380"/>
      <c r="CN98" s="355"/>
      <c r="CO98" s="380"/>
      <c r="CP98" s="355"/>
      <c r="CQ98" s="414">
        <f t="shared" si="144"/>
        <v>0</v>
      </c>
      <c r="CR98" s="380"/>
      <c r="CS98" s="355"/>
      <c r="CT98" s="380"/>
      <c r="CU98" s="355"/>
      <c r="CV98" s="380"/>
      <c r="CW98" s="355"/>
      <c r="CX98" s="380"/>
      <c r="CY98" s="355"/>
      <c r="CZ98" s="414">
        <f t="shared" si="145"/>
        <v>0</v>
      </c>
      <c r="DA98" s="380"/>
      <c r="DB98" s="355"/>
      <c r="DC98" s="414">
        <f t="shared" si="137"/>
        <v>0</v>
      </c>
      <c r="DD98" s="356">
        <f>+$U$98+$AF$98+$AQ$98+$BD$98+$BQ$98+$CD$98+$CQ$98+$CZ$98+$DC$98</f>
        <v>0</v>
      </c>
    </row>
    <row r="99" spans="1:108" ht="17.45" customHeight="1">
      <c r="A99" s="357"/>
      <c r="B99" s="357"/>
      <c r="C99" s="357"/>
      <c r="D99" s="357"/>
      <c r="E99" s="357"/>
      <c r="F99" s="357" t="s">
        <v>37</v>
      </c>
      <c r="G99" s="347" t="s">
        <v>1184</v>
      </c>
      <c r="H99" s="347" t="s">
        <v>1206</v>
      </c>
      <c r="I99" s="381" t="s">
        <v>1852</v>
      </c>
      <c r="J99" s="355">
        <v>33</v>
      </c>
      <c r="K99" s="380"/>
      <c r="L99" s="355"/>
      <c r="M99" s="380"/>
      <c r="N99" s="355"/>
      <c r="O99" s="380"/>
      <c r="P99" s="355"/>
      <c r="Q99" s="380"/>
      <c r="R99" s="355"/>
      <c r="S99" s="380"/>
      <c r="T99" s="355"/>
      <c r="U99" s="414">
        <f t="shared" si="138"/>
        <v>33</v>
      </c>
      <c r="V99" s="380"/>
      <c r="W99" s="355"/>
      <c r="X99" s="380"/>
      <c r="Y99" s="355"/>
      <c r="Z99" s="380"/>
      <c r="AA99" s="355"/>
      <c r="AB99" s="380"/>
      <c r="AC99" s="355"/>
      <c r="AD99" s="380"/>
      <c r="AE99" s="355"/>
      <c r="AF99" s="414">
        <f t="shared" si="139"/>
        <v>0</v>
      </c>
      <c r="AG99" s="380"/>
      <c r="AH99" s="355"/>
      <c r="AI99" s="380"/>
      <c r="AJ99" s="355"/>
      <c r="AK99" s="380"/>
      <c r="AL99" s="355"/>
      <c r="AM99" s="380"/>
      <c r="AN99" s="355"/>
      <c r="AO99" s="380"/>
      <c r="AP99" s="355"/>
      <c r="AQ99" s="414">
        <f t="shared" si="140"/>
        <v>0</v>
      </c>
      <c r="AR99" s="380"/>
      <c r="AS99" s="355"/>
      <c r="AT99" s="380"/>
      <c r="AU99" s="355"/>
      <c r="AV99" s="380"/>
      <c r="AW99" s="355"/>
      <c r="AX99" s="380"/>
      <c r="AY99" s="355"/>
      <c r="AZ99" s="380"/>
      <c r="BA99" s="355"/>
      <c r="BB99" s="380"/>
      <c r="BC99" s="355"/>
      <c r="BD99" s="414">
        <f t="shared" si="141"/>
        <v>0</v>
      </c>
      <c r="BE99" s="380"/>
      <c r="BF99" s="355"/>
      <c r="BG99" s="380"/>
      <c r="BH99" s="355"/>
      <c r="BI99" s="380"/>
      <c r="BJ99" s="355"/>
      <c r="BK99" s="380"/>
      <c r="BL99" s="355"/>
      <c r="BM99" s="380"/>
      <c r="BN99" s="355"/>
      <c r="BO99" s="380"/>
      <c r="BP99" s="355"/>
      <c r="BQ99" s="414">
        <f t="shared" si="142"/>
        <v>0</v>
      </c>
      <c r="BR99" s="380"/>
      <c r="BS99" s="355"/>
      <c r="BT99" s="380"/>
      <c r="BU99" s="355"/>
      <c r="BV99" s="380"/>
      <c r="BW99" s="355"/>
      <c r="BX99" s="380"/>
      <c r="BY99" s="355"/>
      <c r="BZ99" s="380"/>
      <c r="CA99" s="355"/>
      <c r="CB99" s="380"/>
      <c r="CC99" s="355"/>
      <c r="CD99" s="414">
        <f t="shared" si="143"/>
        <v>0</v>
      </c>
      <c r="CE99" s="380"/>
      <c r="CF99" s="355"/>
      <c r="CG99" s="380"/>
      <c r="CH99" s="355"/>
      <c r="CI99" s="380"/>
      <c r="CJ99" s="355"/>
      <c r="CK99" s="380"/>
      <c r="CL99" s="355"/>
      <c r="CM99" s="380"/>
      <c r="CN99" s="355"/>
      <c r="CO99" s="380"/>
      <c r="CP99" s="355"/>
      <c r="CQ99" s="414">
        <f t="shared" si="144"/>
        <v>0</v>
      </c>
      <c r="CR99" s="380"/>
      <c r="CS99" s="355"/>
      <c r="CT99" s="380"/>
      <c r="CU99" s="355"/>
      <c r="CV99" s="380"/>
      <c r="CW99" s="355"/>
      <c r="CX99" s="380"/>
      <c r="CY99" s="355"/>
      <c r="CZ99" s="414">
        <f t="shared" si="145"/>
        <v>0</v>
      </c>
      <c r="DA99" s="380"/>
      <c r="DB99" s="355"/>
      <c r="DC99" s="414">
        <f t="shared" si="137"/>
        <v>0</v>
      </c>
      <c r="DD99" s="356">
        <f>+$U$99+$AF$99+$AQ$99+$BD$99+$BQ$99+$CD$99+$CQ$99+$CZ$99+$DC$99</f>
        <v>33</v>
      </c>
    </row>
    <row r="100" spans="1:108" ht="17.45" customHeight="1">
      <c r="A100" s="357"/>
      <c r="B100" s="357"/>
      <c r="C100" s="357"/>
      <c r="D100" s="357"/>
      <c r="E100" s="357"/>
      <c r="F100" s="357"/>
      <c r="G100" s="354" t="s">
        <v>1181</v>
      </c>
      <c r="H100" s="354" t="s">
        <v>1203</v>
      </c>
      <c r="I100" s="390"/>
      <c r="J100" s="391"/>
      <c r="K100" s="390"/>
      <c r="L100" s="391"/>
      <c r="M100" s="390"/>
      <c r="N100" s="391"/>
      <c r="O100" s="390"/>
      <c r="P100" s="391"/>
      <c r="Q100" s="390"/>
      <c r="R100" s="391"/>
      <c r="S100" s="390"/>
      <c r="T100" s="391"/>
      <c r="U100" s="416">
        <f t="shared" si="138"/>
        <v>0</v>
      </c>
      <c r="V100" s="390"/>
      <c r="W100" s="391"/>
      <c r="X100" s="390"/>
      <c r="Y100" s="391"/>
      <c r="Z100" s="390"/>
      <c r="AA100" s="391"/>
      <c r="AB100" s="390"/>
      <c r="AC100" s="391"/>
      <c r="AD100" s="390"/>
      <c r="AE100" s="391"/>
      <c r="AF100" s="416">
        <f t="shared" si="139"/>
        <v>0</v>
      </c>
      <c r="AG100" s="390"/>
      <c r="AH100" s="391"/>
      <c r="AI100" s="390"/>
      <c r="AJ100" s="391"/>
      <c r="AK100" s="390"/>
      <c r="AL100" s="391"/>
      <c r="AM100" s="390"/>
      <c r="AN100" s="391"/>
      <c r="AO100" s="390"/>
      <c r="AP100" s="391"/>
      <c r="AQ100" s="416">
        <f t="shared" si="140"/>
        <v>0</v>
      </c>
      <c r="AR100" s="390"/>
      <c r="AS100" s="391"/>
      <c r="AT100" s="390"/>
      <c r="AU100" s="391"/>
      <c r="AV100" s="390"/>
      <c r="AW100" s="391"/>
      <c r="AX100" s="390"/>
      <c r="AY100" s="391"/>
      <c r="AZ100" s="390"/>
      <c r="BA100" s="391"/>
      <c r="BB100" s="390"/>
      <c r="BC100" s="391"/>
      <c r="BD100" s="416">
        <f t="shared" si="141"/>
        <v>0</v>
      </c>
      <c r="BE100" s="390"/>
      <c r="BF100" s="391"/>
      <c r="BG100" s="390"/>
      <c r="BH100" s="391"/>
      <c r="BI100" s="390"/>
      <c r="BJ100" s="391"/>
      <c r="BK100" s="390"/>
      <c r="BL100" s="391"/>
      <c r="BM100" s="390"/>
      <c r="BN100" s="391"/>
      <c r="BO100" s="390"/>
      <c r="BP100" s="391"/>
      <c r="BQ100" s="416">
        <f t="shared" si="142"/>
        <v>0</v>
      </c>
      <c r="BR100" s="390"/>
      <c r="BS100" s="391"/>
      <c r="BT100" s="390"/>
      <c r="BU100" s="391"/>
      <c r="BV100" s="390"/>
      <c r="BW100" s="391"/>
      <c r="BX100" s="390"/>
      <c r="BY100" s="391"/>
      <c r="BZ100" s="390"/>
      <c r="CA100" s="391"/>
      <c r="CB100" s="390"/>
      <c r="CC100" s="391"/>
      <c r="CD100" s="416">
        <f t="shared" si="143"/>
        <v>0</v>
      </c>
      <c r="CE100" s="390"/>
      <c r="CF100" s="391"/>
      <c r="CG100" s="390"/>
      <c r="CH100" s="391"/>
      <c r="CI100" s="390"/>
      <c r="CJ100" s="391"/>
      <c r="CK100" s="390"/>
      <c r="CL100" s="391"/>
      <c r="CM100" s="390"/>
      <c r="CN100" s="391"/>
      <c r="CO100" s="390"/>
      <c r="CP100" s="391"/>
      <c r="CQ100" s="416">
        <f t="shared" si="144"/>
        <v>0</v>
      </c>
      <c r="CR100" s="390"/>
      <c r="CS100" s="391"/>
      <c r="CT100" s="390"/>
      <c r="CU100" s="391"/>
      <c r="CV100" s="390"/>
      <c r="CW100" s="391"/>
      <c r="CX100" s="390"/>
      <c r="CY100" s="391"/>
      <c r="CZ100" s="416">
        <f t="shared" si="145"/>
        <v>0</v>
      </c>
      <c r="DA100" s="390"/>
      <c r="DB100" s="391"/>
      <c r="DC100" s="416">
        <f t="shared" si="137"/>
        <v>0</v>
      </c>
      <c r="DD100" s="393">
        <f>+$U$100+$AF$100+$AQ$100+$BD$100+$BQ$100+$CD$100+$CQ$100+$CZ$100+$DC$100</f>
        <v>0</v>
      </c>
    </row>
    <row r="101" spans="1:108" ht="17.45" customHeight="1">
      <c r="A101" s="357"/>
      <c r="B101" s="339"/>
      <c r="C101" s="385" t="s">
        <v>1833</v>
      </c>
      <c r="D101" s="386"/>
      <c r="E101" s="386"/>
      <c r="F101" s="386"/>
      <c r="G101" s="386"/>
      <c r="H101" s="387"/>
      <c r="I101" s="387"/>
      <c r="J101" s="388">
        <f>+$J$100+$J$99+$J$98+$J$97+$J$96+$J$95+$J$94+$J$93+$J$92+$J$91+$J$90+$J$89+$J$88+$J$87+$J$86+$J$85+$J$84+$J$83+$J$82+$J$81+$J$80+$J$79+$J$78+$J$77</f>
        <v>256</v>
      </c>
      <c r="K101" s="387"/>
      <c r="L101" s="388">
        <f>+$L$100+$L$99+$L$98+$L$97+$L$96+$L$95+$L$94+$L$93+$L$92+$L$91+$L$90+$L$89+$L$88+$L$87+$L$86+$L$85+$L$84+$L$83+$L$82+$L$81+$L$80+$L$79+$L$78+$L$77</f>
        <v>336</v>
      </c>
      <c r="M101" s="387"/>
      <c r="N101" s="388">
        <f>+$N$100+$N$99+$N$98+$N$97+$N$96+$N$95+$N$94+$N$93+$N$92+$N$91+$N$90+$N$89+$N$88+$N$87+$N$86+$N$85+$N$84+$N$83+$N$82+$N$81+$N$80+$N$79+$N$78+$N$77</f>
        <v>336</v>
      </c>
      <c r="O101" s="387"/>
      <c r="P101" s="388">
        <f>+$P$100+$P$99+$P$98+$P$97+$P$96+$P$95+$P$94+$P$93+$P$92+$P$91+$P$90+$P$89+$P$88+$P$87+$P$86+$P$85+$P$84+$P$83+$P$82+$P$81+$P$80+$P$79+$P$78+$P$77</f>
        <v>320</v>
      </c>
      <c r="Q101" s="387"/>
      <c r="R101" s="388">
        <f>+$R$100+$R$99+$R$98+$R$97+$R$96+$R$95+$R$94+$R$93+$R$92+$R$91+$R$90+$R$89+$R$88+$R$87+$R$86+$R$85+$R$84+$R$83+$R$82+$R$81+$R$80+$R$79+$R$78+$R$77</f>
        <v>260</v>
      </c>
      <c r="S101" s="387"/>
      <c r="T101" s="388">
        <f>+$T$100+$T$99+$T$98+$T$97+$T$96+$T$95+$T$94+$T$93+$T$92+$T$91+$T$90+$T$89+$T$88+$T$87+$T$86+$T$85+$T$84+$T$83+$T$82+$T$81+$T$80+$T$79+$T$78+$T$77</f>
        <v>240</v>
      </c>
      <c r="U101" s="414">
        <f t="shared" si="138"/>
        <v>1748</v>
      </c>
      <c r="V101" s="387"/>
      <c r="W101" s="388">
        <f>+$W$100+$W$99+$W$98+$W$97+$W$96+$W$95+$W$94+$W$93+$W$92+$W$91+$W$90+$W$89+$W$88+$W$87+$W$86+$W$85+$W$84+$W$83+$W$82+$W$81+$W$80+$W$79+$W$78+$W$77</f>
        <v>0</v>
      </c>
      <c r="X101" s="387"/>
      <c r="Y101" s="388">
        <f>+$Y$100+$Y$99+$Y$98+$Y$97+$Y$96+$Y$95+$Y$94+$Y$93+$Y$92+$Y$91+$Y$90+$Y$89+$Y$88+$Y$87+$Y$86+$Y$85+$Y$84+$Y$83+$Y$82+$Y$81+$Y$80+$Y$79+$Y$78+$Y$77</f>
        <v>0</v>
      </c>
      <c r="Z101" s="387"/>
      <c r="AA101" s="388">
        <f>+$AA$100+$AA$99+$AA$98+$AA$97+$AA$96+$AA$95+$AA$94+$AA$93+$AA$92+$AA$91+$AA$90+$AA$89+$AA$88+$AA$87+$AA$86+$AA$85+$AA$84+$AA$83+$AA$82+$AA$81+$AA$80+$AA$79+$AA$78+$AA$77</f>
        <v>0</v>
      </c>
      <c r="AB101" s="387"/>
      <c r="AC101" s="388">
        <f>+$AC$100+$AC$99+$AC$98+$AC$97+$AC$96+$AC$95+$AC$94+$AC$93+$AC$92+$AC$91+$AC$90+$AC$89+$AC$88+$AC$87+$AC$86+$AC$85+$AC$84+$AC$83+$AC$82+$AC$81+$AC$80+$AC$79+$AC$78+$AC$77</f>
        <v>0</v>
      </c>
      <c r="AD101" s="387"/>
      <c r="AE101" s="388">
        <f>+$AE$100+$AE$99+$AE$98+$AE$97+$AE$96+$AE$95+$AE$94+$AE$93+$AE$92+$AE$91+$AE$90+$AE$89+$AE$88+$AE$87+$AE$86+$AE$85+$AE$84+$AE$83+$AE$82+$AE$81+$AE$80+$AE$79+$AE$78+$AE$77</f>
        <v>0</v>
      </c>
      <c r="AF101" s="414">
        <f t="shared" si="139"/>
        <v>0</v>
      </c>
      <c r="AG101" s="387"/>
      <c r="AH101" s="388">
        <f>+$AH$100+$AH$99+$AH$98+$AH$97+$AH$96+$AH$95+$AH$94+$AH$93+$AH$92+$AH$91+$AH$90+$AH$89+$AH$88+$AH$87+$AH$86+$AH$85+$AH$84+$AH$83+$AH$82+$AH$81+$AH$80+$AH$79+$AH$78+$AH$77</f>
        <v>0</v>
      </c>
      <c r="AI101" s="387"/>
      <c r="AJ101" s="388">
        <f>+$AJ$100+$AJ$99+$AJ$98+$AJ$97+$AJ$96+$AJ$95+$AJ$94+$AJ$93+$AJ$92+$AJ$91+$AJ$90+$AJ$89+$AJ$88+$AJ$87+$AJ$86+$AJ$85+$AJ$84+$AJ$83+$AJ$82+$AJ$81+$AJ$80+$AJ$79+$AJ$78+$AJ$77</f>
        <v>0</v>
      </c>
      <c r="AK101" s="387"/>
      <c r="AL101" s="388">
        <f>+$AL$100+$AL$99+$AL$98+$AL$97+$AL$96+$AL$95+$AL$94+$AL$93+$AL$92+$AL$91+$AL$90+$AL$89+$AL$88+$AL$87+$AL$86+$AL$85+$AL$84+$AL$83+$AL$82+$AL$81+$AL$80+$AL$79+$AL$78+$AL$77</f>
        <v>0</v>
      </c>
      <c r="AM101" s="387"/>
      <c r="AN101" s="388">
        <f>+$AN$100+$AN$99+$AN$98+$AN$97+$AN$96+$AN$95+$AN$94+$AN$93+$AN$92+$AN$91+$AN$90+$AN$89+$AN$88+$AN$87+$AN$86+$AN$85+$AN$84+$AN$83+$AN$82+$AN$81+$AN$80+$AN$79+$AN$78+$AN$77</f>
        <v>0</v>
      </c>
      <c r="AO101" s="387"/>
      <c r="AP101" s="388">
        <f>+$AP$100+$AP$99+$AP$98+$AP$97+$AP$96+$AP$95+$AP$94+$AP$93+$AP$92+$AP$91+$AP$90+$AP$89+$AP$88+$AP$87+$AP$86+$AP$85+$AP$84+$AP$83+$AP$82+$AP$81+$AP$80+$AP$79+$AP$78+$AP$77</f>
        <v>0</v>
      </c>
      <c r="AQ101" s="414">
        <f t="shared" si="140"/>
        <v>0</v>
      </c>
      <c r="AR101" s="387"/>
      <c r="AS101" s="388">
        <f>+$AS$100+$AS$99+$AS$98+$AS$97+$AS$96+$AS$95+$AS$94+$AS$93+$AS$92+$AS$91+$AS$90+$AS$89+$AS$88+$AS$87+$AS$86+$AS$85+$AS$84+$AS$83+$AS$82+$AS$81+$AS$80+$AS$79+$AS$78+$AS$77</f>
        <v>0</v>
      </c>
      <c r="AT101" s="387"/>
      <c r="AU101" s="388">
        <f>+$AU$100+$AU$99+$AU$98+$AU$97+$AU$96+$AU$95+$AU$94+$AU$93+$AU$92+$AU$91+$AU$90+$AU$89+$AU$88+$AU$87+$AU$86+$AU$85+$AU$84+$AU$83+$AU$82+$AU$81+$AU$80+$AU$79+$AU$78+$AU$77</f>
        <v>0</v>
      </c>
      <c r="AV101" s="387"/>
      <c r="AW101" s="388">
        <f>+$AW$100+$AW$99+$AW$98+$AW$97+$AW$96+$AW$95+$AW$94+$AW$93+$AW$92+$AW$91+$AW$90+$AW$89+$AW$88+$AW$87+$AW$86+$AW$85+$AW$84+$AW$83+$AW$82+$AW$81+$AW$80+$AW$79+$AW$78+$AW$77</f>
        <v>0</v>
      </c>
      <c r="AX101" s="387"/>
      <c r="AY101" s="388">
        <f>+$AY$100+$AY$99+$AY$98+$AY$97+$AY$96+$AY$95+$AY$94+$AY$93+$AY$92+$AY$91+$AY$90+$AY$89+$AY$88+$AY$87+$AY$86+$AY$85+$AY$84+$AY$83+$AY$82+$AY$81+$AY$80+$AY$79+$AY$78+$AY$77</f>
        <v>0</v>
      </c>
      <c r="AZ101" s="387"/>
      <c r="BA101" s="388">
        <f>+$BA$100+$BA$99+$BA$98+$BA$97+$BA$96+$BA$95+$BA$94+$BA$93+$BA$92+$BA$91+$BA$90+$BA$89+$BA$88+$BA$87+$BA$86+$BA$85+$BA$84+$BA$83+$BA$82+$BA$81+$BA$80+$BA$79+$BA$78+$BA$77</f>
        <v>0</v>
      </c>
      <c r="BB101" s="387"/>
      <c r="BC101" s="388">
        <f>+$BC$100+$BC$99+$BC$98+$BC$97+$BC$96+$BC$95+$BC$94+$BC$93+$BC$92+$BC$91+$BC$90+$BC$89+$BC$88+$BC$87+$BC$86+$BC$85+$BC$84+$BC$83+$BC$82+$BC$81+$BC$80+$BC$79+$BC$78+$BC$77</f>
        <v>0</v>
      </c>
      <c r="BD101" s="414">
        <f t="shared" si="141"/>
        <v>0</v>
      </c>
      <c r="BE101" s="387"/>
      <c r="BF101" s="388">
        <f>+$BF$100+$BF$99+$BF$98+$BF$97+$BF$96+$BF$95+$BF$94+$BF$93+$BF$92+$BF$91+$BF$90+$BF$89+$BF$88+$BF$87+$BF$86+$BF$85+$BF$84+$BF$83+$BF$82+$BF$81+$BF$80+$BF$79+$BF$78+$BF$77</f>
        <v>0</v>
      </c>
      <c r="BG101" s="387"/>
      <c r="BH101" s="388">
        <f>+$BH$100+$BH$99+$BH$98+$BH$97+$BH$96+$BH$95+$BH$94+$BH$93+$BH$92+$BH$91+$BH$90+$BH$89+$BH$88+$BH$87+$BH$86+$BH$85+$BH$84+$BH$83+$BH$82+$BH$81+$BH$80+$BH$79+$BH$78+$BH$77</f>
        <v>0</v>
      </c>
      <c r="BI101" s="387"/>
      <c r="BJ101" s="388">
        <f>+$BJ$100+$BJ$99+$BJ$98+$BJ$97+$BJ$96+$BJ$95+$BJ$94+$BJ$93+$BJ$92+$BJ$91+$BJ$90+$BJ$89+$BJ$88+$BJ$87+$BJ$86+$BJ$85+$BJ$84+$BJ$83+$BJ$82+$BJ$81+$BJ$80+$BJ$79+$BJ$78+$BJ$77</f>
        <v>0</v>
      </c>
      <c r="BK101" s="387"/>
      <c r="BL101" s="388">
        <f>+$BL$100+$BL$99+$BL$98+$BL$97+$BL$96+$BL$95+$BL$94+$BL$93+$BL$92+$BL$91+$BL$90+$BL$89+$BL$88+$BL$87+$BL$86+$BL$85+$BL$84+$BL$83+$BL$82+$BL$81+$BL$80+$BL$79+$BL$78+$BL$77</f>
        <v>0</v>
      </c>
      <c r="BM101" s="387"/>
      <c r="BN101" s="388">
        <f>+$BN$100+$BN$99+$BN$98+$BN$97+$BN$96+$BN$95+$BN$94+$BN$93+$BN$92+$BN$91+$BN$90+$BN$89+$BN$88+$BN$87+$BN$86+$BN$85+$BN$84+$BN$83+$BN$82+$BN$81+$BN$80+$BN$79+$BN$78+$BN$77</f>
        <v>0</v>
      </c>
      <c r="BO101" s="387"/>
      <c r="BP101" s="388">
        <f>+$BP$100+$BP$99+$BP$98+$BP$97+$BP$96+$BP$95+$BP$94+$BP$93+$BP$92+$BP$91+$BP$90+$BP$89+$BP$88+$BP$87+$BP$86+$BP$85+$BP$84+$BP$83+$BP$82+$BP$81+$BP$80+$BP$79+$BP$78+$BP$77</f>
        <v>0</v>
      </c>
      <c r="BQ101" s="414">
        <f t="shared" si="142"/>
        <v>0</v>
      </c>
      <c r="BR101" s="387"/>
      <c r="BS101" s="388">
        <f>+$BS$100+$BS$99+$BS$98+$BS$97+$BS$96+$BS$95+$BS$94+$BS$93+$BS$92+$BS$91+$BS$90+$BS$89+$BS$88+$BS$87+$BS$86+$BS$85+$BS$84+$BS$83+$BS$82+$BS$81+$BS$80+$BS$79+$BS$78+$BS$77</f>
        <v>0</v>
      </c>
      <c r="BT101" s="387"/>
      <c r="BU101" s="388">
        <f>+$BU$100+$BU$99+$BU$98+$BU$97+$BU$96+$BU$95+$BU$94+$BU$93+$BU$92+$BU$91+$BU$90+$BU$89+$BU$88+$BU$87+$BU$86+$BU$85+$BU$84+$BU$83+$BU$82+$BU$81+$BU$80+$BU$79+$BU$78+$BU$77</f>
        <v>0</v>
      </c>
      <c r="BV101" s="387"/>
      <c r="BW101" s="388">
        <f>+$BW$100+$BW$99+$BW$98+$BW$97+$BW$96+$BW$95+$BW$94+$BW$93+$BW$92+$BW$91+$BW$90+$BW$89+$BW$88+$BW$87+$BW$86+$BW$85+$BW$84+$BW$83+$BW$82+$BW$81+$BW$80+$BW$79+$BW$78+$BW$77</f>
        <v>0</v>
      </c>
      <c r="BX101" s="387"/>
      <c r="BY101" s="388">
        <f>+$BY$100+$BY$99+$BY$98+$BY$97+$BY$96+$BY$95+$BY$94+$BY$93+$BY$92+$BY$91+$BY$90+$BY$89+$BY$88+$BY$87+$BY$86+$BY$85+$BY$84+$BY$83+$BY$82+$BY$81+$BY$80+$BY$79+$BY$78+$BY$77</f>
        <v>0</v>
      </c>
      <c r="BZ101" s="387"/>
      <c r="CA101" s="388">
        <f>+$CA$100+$CA$99+$CA$98+$CA$97+$CA$96+$CA$95+$CA$94+$CA$93+$CA$92+$CA$91+$CA$90+$CA$89+$CA$88+$CA$87+$CA$86+$CA$85+$CA$84+$CA$83+$CA$82+$CA$81+$CA$80+$CA$79+$CA$78+$CA$77</f>
        <v>0</v>
      </c>
      <c r="CB101" s="387"/>
      <c r="CC101" s="388">
        <f>+$CC$100+$CC$99+$CC$98+$CC$97+$CC$96+$CC$95+$CC$94+$CC$93+$CC$92+$CC$91+$CC$90+$CC$89+$CC$88+$CC$87+$CC$86+$CC$85+$CC$84+$CC$83+$CC$82+$CC$81+$CC$80+$CC$79+$CC$78+$CC$77</f>
        <v>0</v>
      </c>
      <c r="CD101" s="414">
        <f t="shared" si="143"/>
        <v>0</v>
      </c>
      <c r="CE101" s="387"/>
      <c r="CF101" s="388">
        <f>+$CF$100+$CF$99+$CF$98+$CF$97+$CF$96+$CF$95+$CF$94+$CF$93+$CF$92+$CF$91+$CF$90+$CF$89+$CF$88+$CF$87+$CF$86+$CF$85+$CF$84+$CF$83+$CF$82+$CF$81+$CF$80+$CF$79+$CF$78+$CF$77</f>
        <v>0</v>
      </c>
      <c r="CG101" s="387"/>
      <c r="CH101" s="388">
        <f>+$CH$100+$CH$99+$CH$98+$CH$97+$CH$96+$CH$95+$CH$94+$CH$93+$CH$92+$CH$91+$CH$90+$CH$89+$CH$88+$CH$87+$CH$86+$CH$85+$CH$84+$CH$83+$CH$82+$CH$81+$CH$80+$CH$79+$CH$78+$CH$77</f>
        <v>0</v>
      </c>
      <c r="CI101" s="387"/>
      <c r="CJ101" s="388">
        <f>+$CJ$100+$CJ$99+$CJ$98+$CJ$97+$CJ$96+$CJ$95+$CJ$94+$CJ$93+$CJ$92+$CJ$91+$CJ$90+$CJ$89+$CJ$88+$CJ$87+$CJ$86+$CJ$85+$CJ$84+$CJ$83+$CJ$82+$CJ$81+$CJ$80+$CJ$79+$CJ$78+$CJ$77</f>
        <v>0</v>
      </c>
      <c r="CK101" s="387"/>
      <c r="CL101" s="388">
        <f>+$CL$100+$CL$99+$CL$98+$CL$97+$CL$96+$CL$95+$CL$94+$CL$93+$CL$92+$CL$91+$CL$90+$CL$89+$CL$88+$CL$87+$CL$86+$CL$85+$CL$84+$CL$83+$CL$82+$CL$81+$CL$80+$CL$79+$CL$78+$CL$77</f>
        <v>0</v>
      </c>
      <c r="CM101" s="387"/>
      <c r="CN101" s="388">
        <f>+$CN$100+$CN$99+$CN$98+$CN$97+$CN$96+$CN$95+$CN$94+$CN$93+$CN$92+$CN$91+$CN$90+$CN$89+$CN$88+$CN$87+$CN$86+$CN$85+$CN$84+$CN$83+$CN$82+$CN$81+$CN$80+$CN$79+$CN$78+$CN$77</f>
        <v>0</v>
      </c>
      <c r="CO101" s="387"/>
      <c r="CP101" s="388">
        <f>+$CP$100+$CP$99+$CP$98+$CP$97+$CP$96+$CP$95+$CP$94+$CP$93+$CP$92+$CP$91+$CP$90+$CP$89+$CP$88+$CP$87+$CP$86+$CP$85+$CP$84+$CP$83+$CP$82+$CP$81+$CP$80+$CP$79+$CP$78+$CP$77</f>
        <v>0</v>
      </c>
      <c r="CQ101" s="414">
        <f t="shared" si="144"/>
        <v>0</v>
      </c>
      <c r="CR101" s="387"/>
      <c r="CS101" s="388">
        <f>+$CS$100+$CS$99+$CS$98+$CS$97+$CS$96+$CS$95+$CS$94+$CS$93+$CS$92+$CS$91+$CS$90+$CS$89+$CS$88+$CS$87+$CS$86+$CS$85+$CS$84+$CS$83+$CS$82+$CS$81+$CS$80+$CS$79+$CS$78+$CS$77</f>
        <v>0</v>
      </c>
      <c r="CT101" s="387"/>
      <c r="CU101" s="388">
        <f>+$CU$100+$CU$99+$CU$98+$CU$97+$CU$96+$CU$95+$CU$94+$CU$93+$CU$92+$CU$91+$CU$90+$CU$89+$CU$88+$CU$87+$CU$86+$CU$85+$CU$84+$CU$83+$CU$82+$CU$81+$CU$80+$CU$79+$CU$78+$CU$77</f>
        <v>0</v>
      </c>
      <c r="CV101" s="387"/>
      <c r="CW101" s="388">
        <f>+$CW$100+$CW$99+$CW$98+$CW$97+$CW$96+$CW$95+$CW$94+$CW$93+$CW$92+$CW$91+$CW$90+$CW$89+$CW$88+$CW$87+$CW$86+$CW$85+$CW$84+$CW$83+$CW$82+$CW$81+$CW$80+$CW$79+$CW$78+$CW$77</f>
        <v>0</v>
      </c>
      <c r="CX101" s="387"/>
      <c r="CY101" s="388">
        <f>+$CY$100+$CY$99+$CY$98+$CY$97+$CY$96+$CY$95+$CY$94+$CY$93+$CY$92+$CY$91+$CY$90+$CY$89+$CY$88+$CY$87+$CY$86+$CY$85+$CY$84+$CY$83+$CY$82+$CY$81+$CY$80+$CY$79+$CY$78+$CY$77</f>
        <v>0</v>
      </c>
      <c r="CZ101" s="414">
        <f t="shared" si="145"/>
        <v>0</v>
      </c>
      <c r="DA101" s="387"/>
      <c r="DB101" s="388">
        <f>+$DB$100+$DB$99+$DB$98+$DB$97+$DB$96+$DB$95+$DB$94+$DB$93+$DB$92+$DB$91+$DB$90+$DB$89+$DB$88+$DB$87+$DB$86+$DB$85+$DB$84+$DB$83+$DB$82+$DB$81+$DB$80+$DB$79+$DB$78+$DB$77</f>
        <v>0</v>
      </c>
      <c r="DC101" s="414">
        <f t="shared" si="137"/>
        <v>0</v>
      </c>
      <c r="DD101" s="389">
        <f>+$U$101+$AF$101+$AQ$101+$BD$101+$BQ$101+$CD$101+$CQ$101+$CZ$101+$DC$101</f>
        <v>1748</v>
      </c>
    </row>
    <row r="102" spans="1:108" ht="17.45" customHeight="1">
      <c r="A102" s="357"/>
      <c r="B102" s="354" t="s">
        <v>1800</v>
      </c>
      <c r="C102" s="357" t="s">
        <v>1237</v>
      </c>
      <c r="D102" s="357"/>
      <c r="E102" s="357"/>
      <c r="F102" s="357"/>
      <c r="G102" s="358" t="s">
        <v>1238</v>
      </c>
      <c r="H102" s="358" t="s">
        <v>1801</v>
      </c>
      <c r="I102" s="394" t="s">
        <v>1849</v>
      </c>
      <c r="J102" s="395">
        <v>864</v>
      </c>
      <c r="K102" s="394" t="s">
        <v>1849</v>
      </c>
      <c r="L102" s="395">
        <v>864</v>
      </c>
      <c r="M102" s="394" t="s">
        <v>1849</v>
      </c>
      <c r="N102" s="395">
        <v>288</v>
      </c>
      <c r="O102" s="396"/>
      <c r="P102" s="395"/>
      <c r="Q102" s="396"/>
      <c r="R102" s="395"/>
      <c r="S102" s="394" t="s">
        <v>1850</v>
      </c>
      <c r="T102" s="395">
        <v>612</v>
      </c>
      <c r="U102" s="417">
        <f t="shared" si="138"/>
        <v>2628</v>
      </c>
      <c r="V102" s="396"/>
      <c r="W102" s="395"/>
      <c r="X102" s="396"/>
      <c r="Y102" s="395"/>
      <c r="Z102" s="396"/>
      <c r="AA102" s="395"/>
      <c r="AB102" s="396"/>
      <c r="AC102" s="395"/>
      <c r="AD102" s="396"/>
      <c r="AE102" s="395"/>
      <c r="AF102" s="417">
        <f t="shared" si="139"/>
        <v>0</v>
      </c>
      <c r="AG102" s="396"/>
      <c r="AH102" s="395"/>
      <c r="AI102" s="396"/>
      <c r="AJ102" s="395"/>
      <c r="AK102" s="396"/>
      <c r="AL102" s="395"/>
      <c r="AM102" s="396"/>
      <c r="AN102" s="395"/>
      <c r="AO102" s="396"/>
      <c r="AP102" s="395"/>
      <c r="AQ102" s="417">
        <f t="shared" si="140"/>
        <v>0</v>
      </c>
      <c r="AR102" s="396"/>
      <c r="AS102" s="395"/>
      <c r="AT102" s="396"/>
      <c r="AU102" s="395"/>
      <c r="AV102" s="396"/>
      <c r="AW102" s="395"/>
      <c r="AX102" s="396"/>
      <c r="AY102" s="395"/>
      <c r="AZ102" s="396"/>
      <c r="BA102" s="395"/>
      <c r="BB102" s="396"/>
      <c r="BC102" s="395"/>
      <c r="BD102" s="417">
        <f t="shared" si="141"/>
        <v>0</v>
      </c>
      <c r="BE102" s="396"/>
      <c r="BF102" s="395"/>
      <c r="BG102" s="396"/>
      <c r="BH102" s="395"/>
      <c r="BI102" s="396"/>
      <c r="BJ102" s="395"/>
      <c r="BK102" s="396"/>
      <c r="BL102" s="395"/>
      <c r="BM102" s="396"/>
      <c r="BN102" s="395"/>
      <c r="BO102" s="396"/>
      <c r="BP102" s="395"/>
      <c r="BQ102" s="417">
        <f t="shared" si="142"/>
        <v>0</v>
      </c>
      <c r="BR102" s="396"/>
      <c r="BS102" s="395"/>
      <c r="BT102" s="396"/>
      <c r="BU102" s="395"/>
      <c r="BV102" s="396"/>
      <c r="BW102" s="395"/>
      <c r="BX102" s="396"/>
      <c r="BY102" s="395"/>
      <c r="BZ102" s="396"/>
      <c r="CA102" s="395"/>
      <c r="CB102" s="396"/>
      <c r="CC102" s="395"/>
      <c r="CD102" s="417">
        <f t="shared" si="143"/>
        <v>0</v>
      </c>
      <c r="CE102" s="396"/>
      <c r="CF102" s="395"/>
      <c r="CG102" s="396"/>
      <c r="CH102" s="395"/>
      <c r="CI102" s="396"/>
      <c r="CJ102" s="395"/>
      <c r="CK102" s="396"/>
      <c r="CL102" s="395"/>
      <c r="CM102" s="396"/>
      <c r="CN102" s="395"/>
      <c r="CO102" s="396"/>
      <c r="CP102" s="395"/>
      <c r="CQ102" s="417">
        <f t="shared" si="144"/>
        <v>0</v>
      </c>
      <c r="CR102" s="396"/>
      <c r="CS102" s="395"/>
      <c r="CT102" s="396"/>
      <c r="CU102" s="395"/>
      <c r="CV102" s="396"/>
      <c r="CW102" s="395"/>
      <c r="CX102" s="396"/>
      <c r="CY102" s="395"/>
      <c r="CZ102" s="417">
        <f t="shared" si="145"/>
        <v>0</v>
      </c>
      <c r="DA102" s="396"/>
      <c r="DB102" s="395"/>
      <c r="DC102" s="417">
        <f t="shared" si="137"/>
        <v>0</v>
      </c>
      <c r="DD102" s="397">
        <f>+$U$102+$AF$102+$AQ$102+$BD$102+$BQ$102+$CD$102+$CQ$102+$CZ$102+$DC$102</f>
        <v>2628</v>
      </c>
    </row>
    <row r="103" spans="1:108" ht="17.45" customHeight="1">
      <c r="A103" s="357"/>
      <c r="B103" s="357"/>
      <c r="C103" s="357"/>
      <c r="D103" s="357"/>
      <c r="E103" s="357"/>
      <c r="F103" s="357"/>
      <c r="G103" s="347" t="s">
        <v>1239</v>
      </c>
      <c r="H103" s="347" t="s">
        <v>1802</v>
      </c>
      <c r="I103" s="380"/>
      <c r="J103" s="355"/>
      <c r="K103" s="380"/>
      <c r="L103" s="355"/>
      <c r="M103" s="381" t="s">
        <v>1853</v>
      </c>
      <c r="N103" s="355">
        <v>72</v>
      </c>
      <c r="O103" s="381" t="s">
        <v>1849</v>
      </c>
      <c r="P103" s="355">
        <v>864</v>
      </c>
      <c r="Q103" s="381" t="s">
        <v>1849</v>
      </c>
      <c r="R103" s="355">
        <v>864</v>
      </c>
      <c r="S103" s="381" t="s">
        <v>1849</v>
      </c>
      <c r="T103" s="355">
        <v>144</v>
      </c>
      <c r="U103" s="414">
        <f t="shared" si="138"/>
        <v>1944</v>
      </c>
      <c r="V103" s="380"/>
      <c r="W103" s="355"/>
      <c r="X103" s="380"/>
      <c r="Y103" s="355"/>
      <c r="Z103" s="380"/>
      <c r="AA103" s="355"/>
      <c r="AB103" s="380"/>
      <c r="AC103" s="355"/>
      <c r="AD103" s="380"/>
      <c r="AE103" s="355"/>
      <c r="AF103" s="414">
        <f t="shared" si="139"/>
        <v>0</v>
      </c>
      <c r="AG103" s="380"/>
      <c r="AH103" s="355"/>
      <c r="AI103" s="380"/>
      <c r="AJ103" s="355"/>
      <c r="AK103" s="380"/>
      <c r="AL103" s="355"/>
      <c r="AM103" s="380"/>
      <c r="AN103" s="355"/>
      <c r="AO103" s="380"/>
      <c r="AP103" s="355"/>
      <c r="AQ103" s="414">
        <f t="shared" si="140"/>
        <v>0</v>
      </c>
      <c r="AR103" s="380"/>
      <c r="AS103" s="355"/>
      <c r="AT103" s="380"/>
      <c r="AU103" s="355"/>
      <c r="AV103" s="380"/>
      <c r="AW103" s="355"/>
      <c r="AX103" s="380"/>
      <c r="AY103" s="355"/>
      <c r="AZ103" s="380"/>
      <c r="BA103" s="355"/>
      <c r="BB103" s="380"/>
      <c r="BC103" s="355"/>
      <c r="BD103" s="414">
        <f t="shared" si="141"/>
        <v>0</v>
      </c>
      <c r="BE103" s="380"/>
      <c r="BF103" s="355"/>
      <c r="BG103" s="380"/>
      <c r="BH103" s="355"/>
      <c r="BI103" s="380"/>
      <c r="BJ103" s="355"/>
      <c r="BK103" s="380"/>
      <c r="BL103" s="355"/>
      <c r="BM103" s="380"/>
      <c r="BN103" s="355"/>
      <c r="BO103" s="380"/>
      <c r="BP103" s="355"/>
      <c r="BQ103" s="414">
        <f t="shared" si="142"/>
        <v>0</v>
      </c>
      <c r="BR103" s="380"/>
      <c r="BS103" s="355"/>
      <c r="BT103" s="380"/>
      <c r="BU103" s="355"/>
      <c r="BV103" s="380"/>
      <c r="BW103" s="355"/>
      <c r="BX103" s="380"/>
      <c r="BY103" s="355"/>
      <c r="BZ103" s="380"/>
      <c r="CA103" s="355"/>
      <c r="CB103" s="380"/>
      <c r="CC103" s="355"/>
      <c r="CD103" s="414">
        <f t="shared" si="143"/>
        <v>0</v>
      </c>
      <c r="CE103" s="380"/>
      <c r="CF103" s="355"/>
      <c r="CG103" s="380"/>
      <c r="CH103" s="355"/>
      <c r="CI103" s="380"/>
      <c r="CJ103" s="355"/>
      <c r="CK103" s="380"/>
      <c r="CL103" s="355"/>
      <c r="CM103" s="380"/>
      <c r="CN103" s="355"/>
      <c r="CO103" s="380"/>
      <c r="CP103" s="355"/>
      <c r="CQ103" s="414">
        <f t="shared" si="144"/>
        <v>0</v>
      </c>
      <c r="CR103" s="380"/>
      <c r="CS103" s="355"/>
      <c r="CT103" s="380"/>
      <c r="CU103" s="355"/>
      <c r="CV103" s="380"/>
      <c r="CW103" s="355"/>
      <c r="CX103" s="380"/>
      <c r="CY103" s="355"/>
      <c r="CZ103" s="414">
        <f t="shared" si="145"/>
        <v>0</v>
      </c>
      <c r="DA103" s="380"/>
      <c r="DB103" s="355"/>
      <c r="DC103" s="414">
        <f t="shared" si="137"/>
        <v>0</v>
      </c>
      <c r="DD103" s="356">
        <f>+$U$103+$AF$103+$AQ$103+$BD$103+$BQ$103+$CD$103+$CQ$103+$CZ$103+$DC$103</f>
        <v>1944</v>
      </c>
    </row>
    <row r="104" spans="1:108" ht="17.45" customHeight="1">
      <c r="A104" s="357"/>
      <c r="B104" s="357"/>
      <c r="C104" s="357"/>
      <c r="D104" s="357"/>
      <c r="E104" s="357"/>
      <c r="F104" s="357"/>
      <c r="G104" s="354" t="s">
        <v>1240</v>
      </c>
      <c r="H104" s="354" t="s">
        <v>1803</v>
      </c>
      <c r="I104" s="390"/>
      <c r="J104" s="391"/>
      <c r="K104" s="390"/>
      <c r="L104" s="391"/>
      <c r="M104" s="392" t="s">
        <v>1850</v>
      </c>
      <c r="N104" s="391">
        <v>504</v>
      </c>
      <c r="O104" s="390"/>
      <c r="P104" s="391"/>
      <c r="Q104" s="390"/>
      <c r="R104" s="391"/>
      <c r="S104" s="390"/>
      <c r="T104" s="391"/>
      <c r="U104" s="416">
        <f t="shared" si="138"/>
        <v>504</v>
      </c>
      <c r="V104" s="390"/>
      <c r="W104" s="391"/>
      <c r="X104" s="390"/>
      <c r="Y104" s="391"/>
      <c r="Z104" s="390"/>
      <c r="AA104" s="391"/>
      <c r="AB104" s="390"/>
      <c r="AC104" s="391"/>
      <c r="AD104" s="390"/>
      <c r="AE104" s="391"/>
      <c r="AF104" s="416">
        <f t="shared" si="139"/>
        <v>0</v>
      </c>
      <c r="AG104" s="390"/>
      <c r="AH104" s="391"/>
      <c r="AI104" s="390"/>
      <c r="AJ104" s="391"/>
      <c r="AK104" s="390"/>
      <c r="AL104" s="391"/>
      <c r="AM104" s="390"/>
      <c r="AN104" s="391"/>
      <c r="AO104" s="390"/>
      <c r="AP104" s="391"/>
      <c r="AQ104" s="416">
        <f t="shared" si="140"/>
        <v>0</v>
      </c>
      <c r="AR104" s="390"/>
      <c r="AS104" s="391"/>
      <c r="AT104" s="390"/>
      <c r="AU104" s="391"/>
      <c r="AV104" s="390"/>
      <c r="AW104" s="391"/>
      <c r="AX104" s="390"/>
      <c r="AY104" s="391"/>
      <c r="AZ104" s="390"/>
      <c r="BA104" s="391"/>
      <c r="BB104" s="390"/>
      <c r="BC104" s="391"/>
      <c r="BD104" s="416">
        <f t="shared" si="141"/>
        <v>0</v>
      </c>
      <c r="BE104" s="390"/>
      <c r="BF104" s="391"/>
      <c r="BG104" s="390"/>
      <c r="BH104" s="391"/>
      <c r="BI104" s="390"/>
      <c r="BJ104" s="391"/>
      <c r="BK104" s="390"/>
      <c r="BL104" s="391"/>
      <c r="BM104" s="390"/>
      <c r="BN104" s="391"/>
      <c r="BO104" s="390"/>
      <c r="BP104" s="391"/>
      <c r="BQ104" s="416">
        <f t="shared" si="142"/>
        <v>0</v>
      </c>
      <c r="BR104" s="390"/>
      <c r="BS104" s="391"/>
      <c r="BT104" s="390"/>
      <c r="BU104" s="391"/>
      <c r="BV104" s="390"/>
      <c r="BW104" s="391"/>
      <c r="BX104" s="390"/>
      <c r="BY104" s="391"/>
      <c r="BZ104" s="390"/>
      <c r="CA104" s="391"/>
      <c r="CB104" s="390"/>
      <c r="CC104" s="391"/>
      <c r="CD104" s="416">
        <f t="shared" si="143"/>
        <v>0</v>
      </c>
      <c r="CE104" s="390"/>
      <c r="CF104" s="391"/>
      <c r="CG104" s="390"/>
      <c r="CH104" s="391"/>
      <c r="CI104" s="390"/>
      <c r="CJ104" s="391"/>
      <c r="CK104" s="390"/>
      <c r="CL104" s="391"/>
      <c r="CM104" s="390"/>
      <c r="CN104" s="391"/>
      <c r="CO104" s="390"/>
      <c r="CP104" s="391"/>
      <c r="CQ104" s="416">
        <f t="shared" si="144"/>
        <v>0</v>
      </c>
      <c r="CR104" s="390"/>
      <c r="CS104" s="391"/>
      <c r="CT104" s="390"/>
      <c r="CU104" s="391"/>
      <c r="CV104" s="390"/>
      <c r="CW104" s="391"/>
      <c r="CX104" s="390"/>
      <c r="CY104" s="391"/>
      <c r="CZ104" s="416">
        <f t="shared" si="145"/>
        <v>0</v>
      </c>
      <c r="DA104" s="390"/>
      <c r="DB104" s="391"/>
      <c r="DC104" s="416">
        <f t="shared" si="137"/>
        <v>0</v>
      </c>
      <c r="DD104" s="393">
        <f>+$U$104+$AF$104+$AQ$104+$BD$104+$BQ$104+$CD$104+$CQ$104+$CZ$104+$DC$104</f>
        <v>504</v>
      </c>
    </row>
    <row r="105" spans="1:108" ht="17.45" customHeight="1">
      <c r="A105" s="357"/>
      <c r="B105" s="336"/>
      <c r="C105" s="403" t="s">
        <v>1834</v>
      </c>
      <c r="D105" s="404"/>
      <c r="E105" s="404"/>
      <c r="F105" s="404"/>
      <c r="G105" s="404"/>
      <c r="H105" s="405"/>
      <c r="I105" s="405"/>
      <c r="J105" s="412">
        <f>+$J$104+$J$103+$J$102</f>
        <v>864</v>
      </c>
      <c r="K105" s="405"/>
      <c r="L105" s="412">
        <f>+$L$104+$L$103+$L$102</f>
        <v>864</v>
      </c>
      <c r="M105" s="405"/>
      <c r="N105" s="412">
        <f>+$N$104+$N$103+$N$102</f>
        <v>864</v>
      </c>
      <c r="O105" s="405"/>
      <c r="P105" s="412">
        <f>+$P$104+$P$103+$P$102</f>
        <v>864</v>
      </c>
      <c r="Q105" s="405"/>
      <c r="R105" s="412">
        <f>+$R$104+$R$103+$R$102</f>
        <v>864</v>
      </c>
      <c r="S105" s="405"/>
      <c r="T105" s="412">
        <f>+$T$104+$T$103+$T$102</f>
        <v>756</v>
      </c>
      <c r="U105" s="416">
        <f t="shared" si="138"/>
        <v>5076</v>
      </c>
      <c r="V105" s="405"/>
      <c r="W105" s="412">
        <f>+$W$104+$W$103+$W$102</f>
        <v>0</v>
      </c>
      <c r="X105" s="405"/>
      <c r="Y105" s="412">
        <f>+$Y$104+$Y$103+$Y$102</f>
        <v>0</v>
      </c>
      <c r="Z105" s="405"/>
      <c r="AA105" s="412">
        <f>+$AA$104+$AA$103+$AA$102</f>
        <v>0</v>
      </c>
      <c r="AB105" s="405"/>
      <c r="AC105" s="412">
        <f>+$AC$104+$AC$103+$AC$102</f>
        <v>0</v>
      </c>
      <c r="AD105" s="405"/>
      <c r="AE105" s="412">
        <f>+$AE$104+$AE$103+$AE$102</f>
        <v>0</v>
      </c>
      <c r="AF105" s="416">
        <f t="shared" si="139"/>
        <v>0</v>
      </c>
      <c r="AG105" s="405"/>
      <c r="AH105" s="412">
        <f>+$AH$104+$AH$103+$AH$102</f>
        <v>0</v>
      </c>
      <c r="AI105" s="405"/>
      <c r="AJ105" s="412">
        <f>+$AJ$104+$AJ$103+$AJ$102</f>
        <v>0</v>
      </c>
      <c r="AK105" s="405"/>
      <c r="AL105" s="412">
        <f>+$AL$104+$AL$103+$AL$102</f>
        <v>0</v>
      </c>
      <c r="AM105" s="405"/>
      <c r="AN105" s="412">
        <f>+$AN$104+$AN$103+$AN$102</f>
        <v>0</v>
      </c>
      <c r="AO105" s="405"/>
      <c r="AP105" s="412">
        <f>+$AP$104+$AP$103+$AP$102</f>
        <v>0</v>
      </c>
      <c r="AQ105" s="416">
        <f t="shared" si="140"/>
        <v>0</v>
      </c>
      <c r="AR105" s="405"/>
      <c r="AS105" s="412">
        <f>+$AS$104+$AS$103+$AS$102</f>
        <v>0</v>
      </c>
      <c r="AT105" s="405"/>
      <c r="AU105" s="412">
        <f>+$AU$104+$AU$103+$AU$102</f>
        <v>0</v>
      </c>
      <c r="AV105" s="405"/>
      <c r="AW105" s="412">
        <f>+$AW$104+$AW$103+$AW$102</f>
        <v>0</v>
      </c>
      <c r="AX105" s="405"/>
      <c r="AY105" s="412">
        <f>+$AY$104+$AY$103+$AY$102</f>
        <v>0</v>
      </c>
      <c r="AZ105" s="405"/>
      <c r="BA105" s="412">
        <f>+$BA$104+$BA$103+$BA$102</f>
        <v>0</v>
      </c>
      <c r="BB105" s="405"/>
      <c r="BC105" s="412">
        <f>+$BC$104+$BC$103+$BC$102</f>
        <v>0</v>
      </c>
      <c r="BD105" s="416">
        <f t="shared" si="141"/>
        <v>0</v>
      </c>
      <c r="BE105" s="405"/>
      <c r="BF105" s="412">
        <f>+$BF$104+$BF$103+$BF$102</f>
        <v>0</v>
      </c>
      <c r="BG105" s="405"/>
      <c r="BH105" s="412">
        <f>+$BH$104+$BH$103+$BH$102</f>
        <v>0</v>
      </c>
      <c r="BI105" s="405"/>
      <c r="BJ105" s="412">
        <f>+$BJ$104+$BJ$103+$BJ$102</f>
        <v>0</v>
      </c>
      <c r="BK105" s="405"/>
      <c r="BL105" s="412">
        <f>+$BL$104+$BL$103+$BL$102</f>
        <v>0</v>
      </c>
      <c r="BM105" s="405"/>
      <c r="BN105" s="412">
        <f>+$BN$104+$BN$103+$BN$102</f>
        <v>0</v>
      </c>
      <c r="BO105" s="405"/>
      <c r="BP105" s="412">
        <f>+$BP$104+$BP$103+$BP$102</f>
        <v>0</v>
      </c>
      <c r="BQ105" s="416">
        <f t="shared" si="142"/>
        <v>0</v>
      </c>
      <c r="BR105" s="405"/>
      <c r="BS105" s="412">
        <f>+$BS$104+$BS$103+$BS$102</f>
        <v>0</v>
      </c>
      <c r="BT105" s="405"/>
      <c r="BU105" s="412">
        <f>+$BU$104+$BU$103+$BU$102</f>
        <v>0</v>
      </c>
      <c r="BV105" s="405"/>
      <c r="BW105" s="412">
        <f>+$BW$104+$BW$103+$BW$102</f>
        <v>0</v>
      </c>
      <c r="BX105" s="405"/>
      <c r="BY105" s="412">
        <f>+$BY$104+$BY$103+$BY$102</f>
        <v>0</v>
      </c>
      <c r="BZ105" s="405"/>
      <c r="CA105" s="412">
        <f>+$CA$104+$CA$103+$CA$102</f>
        <v>0</v>
      </c>
      <c r="CB105" s="405"/>
      <c r="CC105" s="412">
        <f>+$CC$104+$CC$103+$CC$102</f>
        <v>0</v>
      </c>
      <c r="CD105" s="416">
        <f t="shared" si="143"/>
        <v>0</v>
      </c>
      <c r="CE105" s="405"/>
      <c r="CF105" s="412">
        <f>+$CF$104+$CF$103+$CF$102</f>
        <v>0</v>
      </c>
      <c r="CG105" s="405"/>
      <c r="CH105" s="412">
        <f>+$CH$104+$CH$103+$CH$102</f>
        <v>0</v>
      </c>
      <c r="CI105" s="405"/>
      <c r="CJ105" s="412">
        <f>+$CJ$104+$CJ$103+$CJ$102</f>
        <v>0</v>
      </c>
      <c r="CK105" s="405"/>
      <c r="CL105" s="412">
        <f>+$CL$104+$CL$103+$CL$102</f>
        <v>0</v>
      </c>
      <c r="CM105" s="405"/>
      <c r="CN105" s="412">
        <f>+$CN$104+$CN$103+$CN$102</f>
        <v>0</v>
      </c>
      <c r="CO105" s="405"/>
      <c r="CP105" s="412">
        <f>+$CP$104+$CP$103+$CP$102</f>
        <v>0</v>
      </c>
      <c r="CQ105" s="416">
        <f t="shared" si="144"/>
        <v>0</v>
      </c>
      <c r="CR105" s="405"/>
      <c r="CS105" s="412">
        <f>+$CS$104+$CS$103+$CS$102</f>
        <v>0</v>
      </c>
      <c r="CT105" s="405"/>
      <c r="CU105" s="412">
        <f>+$CU$104+$CU$103+$CU$102</f>
        <v>0</v>
      </c>
      <c r="CV105" s="405"/>
      <c r="CW105" s="412">
        <f>+$CW$104+$CW$103+$CW$102</f>
        <v>0</v>
      </c>
      <c r="CX105" s="405"/>
      <c r="CY105" s="412">
        <f>+$CY$104+$CY$103+$CY$102</f>
        <v>0</v>
      </c>
      <c r="CZ105" s="416">
        <f t="shared" si="145"/>
        <v>0</v>
      </c>
      <c r="DA105" s="405"/>
      <c r="DB105" s="412">
        <f>+$DB$104+$DB$103+$DB$102</f>
        <v>0</v>
      </c>
      <c r="DC105" s="416">
        <f t="shared" si="137"/>
        <v>0</v>
      </c>
      <c r="DD105" s="413">
        <f>+$U$105+$AF$105+$AQ$105+$BD$105+$BQ$105+$CD$105+$CQ$105+$CZ$105+$DC$105</f>
        <v>5076</v>
      </c>
    </row>
    <row r="106" spans="1:108" ht="17.45" customHeight="1">
      <c r="A106" s="406" t="s">
        <v>1835</v>
      </c>
      <c r="B106" s="407"/>
      <c r="C106" s="407"/>
      <c r="D106" s="407"/>
      <c r="E106" s="407"/>
      <c r="F106" s="407"/>
      <c r="G106" s="407"/>
      <c r="H106" s="408"/>
      <c r="I106" s="408"/>
      <c r="J106" s="409">
        <f>+$J$105+$J$101+$J$76+$J$51+$J$27+$J$25+$J$23+$J$20</f>
        <v>2427</v>
      </c>
      <c r="K106" s="408"/>
      <c r="L106" s="410">
        <f>+$L$105+$L$101+$L$76+$L$51+$L$27+$L$25+$L$23+$L$20</f>
        <v>2607</v>
      </c>
      <c r="M106" s="408"/>
      <c r="N106" s="410">
        <f>+$N$105+$N$101+$N$76+$N$51+$N$27+$N$25+$N$23+$N$20</f>
        <v>2665</v>
      </c>
      <c r="O106" s="408"/>
      <c r="P106" s="410">
        <f>+$P$105+$P$101+$P$76+$P$51+$P$27+$P$25+$P$23+$P$20</f>
        <v>2559</v>
      </c>
      <c r="Q106" s="408"/>
      <c r="R106" s="410">
        <f>+$R$105+$R$101+$R$76+$R$51+$R$27+$R$25+$R$23+$R$20</f>
        <v>2374</v>
      </c>
      <c r="S106" s="408"/>
      <c r="T106" s="410">
        <f>+$T$105+$T$101+$T$76+$T$51+$T$27+$T$25+$T$23+$T$20</f>
        <v>1476</v>
      </c>
      <c r="U106" s="414">
        <f t="shared" si="138"/>
        <v>14108</v>
      </c>
      <c r="V106" s="408"/>
      <c r="W106" s="410">
        <f>+$W$105+$W$101+$W$76+$W$51+$W$27+$W$25+$W$23+$W$20</f>
        <v>0</v>
      </c>
      <c r="X106" s="408"/>
      <c r="Y106" s="410">
        <f>+$Y$105+$Y$101+$Y$76+$Y$51+$Y$27+$Y$25+$Y$23+$Y$20</f>
        <v>0</v>
      </c>
      <c r="Z106" s="408"/>
      <c r="AA106" s="410">
        <f>+$AA$105+$AA$101+$AA$76+$AA$51+$AA$27+$AA$25+$AA$23+$AA$20</f>
        <v>0</v>
      </c>
      <c r="AB106" s="408"/>
      <c r="AC106" s="410">
        <f>+$AC$105+$AC$101+$AC$76+$AC$51+$AC$27+$AC$25+$AC$23+$AC$20</f>
        <v>0</v>
      </c>
      <c r="AD106" s="408"/>
      <c r="AE106" s="410">
        <f>+$AE$105+$AE$101+$AE$76+$AE$51+$AE$27+$AE$25+$AE$23+$AE$20</f>
        <v>0</v>
      </c>
      <c r="AF106" s="414">
        <f t="shared" si="139"/>
        <v>0</v>
      </c>
      <c r="AG106" s="408"/>
      <c r="AH106" s="410">
        <f>+$AH$105+$AH$101+$AH$76+$AH$51+$AH$27+$AH$25+$AH$23+$AH$20</f>
        <v>0</v>
      </c>
      <c r="AI106" s="408"/>
      <c r="AJ106" s="410">
        <f>+$AJ$105+$AJ$101+$AJ$76+$AJ$51+$AJ$27+$AJ$25+$AJ$23+$AJ$20</f>
        <v>0</v>
      </c>
      <c r="AK106" s="408"/>
      <c r="AL106" s="410">
        <f>+$AL$105+$AL$101+$AL$76+$AL$51+$AL$27+$AL$25+$AL$23+$AL$20</f>
        <v>0</v>
      </c>
      <c r="AM106" s="408"/>
      <c r="AN106" s="410">
        <f>+$AN$105+$AN$101+$AN$76+$AN$51+$AN$27+$AN$25+$AN$23+$AN$20</f>
        <v>0</v>
      </c>
      <c r="AO106" s="408"/>
      <c r="AP106" s="410">
        <f>+$AP$105+$AP$101+$AP$76+$AP$51+$AP$27+$AP$25+$AP$23+$AP$20</f>
        <v>0</v>
      </c>
      <c r="AQ106" s="414">
        <f t="shared" si="140"/>
        <v>0</v>
      </c>
      <c r="AR106" s="408"/>
      <c r="AS106" s="410">
        <f>+$AS$105+$AS$101+$AS$76+$AS$51+$AS$27+$AS$25+$AS$23+$AS$20</f>
        <v>0</v>
      </c>
      <c r="AT106" s="408"/>
      <c r="AU106" s="410">
        <f>+$AU$105+$AU$101+$AU$76+$AU$51+$AU$27+$AU$25+$AU$23+$AU$20</f>
        <v>0</v>
      </c>
      <c r="AV106" s="408"/>
      <c r="AW106" s="410">
        <f>+$AW$105+$AW$101+$AW$76+$AW$51+$AW$27+$AW$25+$AW$23+$AW$20</f>
        <v>0</v>
      </c>
      <c r="AX106" s="408"/>
      <c r="AY106" s="410">
        <f>+$AY$105+$AY$101+$AY$76+$AY$51+$AY$27+$AY$25+$AY$23+$AY$20</f>
        <v>0</v>
      </c>
      <c r="AZ106" s="408"/>
      <c r="BA106" s="410">
        <f>+$BA$105+$BA$101+$BA$76+$BA$51+$BA$27+$BA$25+$BA$23+$BA$20</f>
        <v>0</v>
      </c>
      <c r="BB106" s="408"/>
      <c r="BC106" s="410">
        <f>+$BC$105+$BC$101+$BC$76+$BC$51+$BC$27+$BC$25+$BC$23+$BC$20</f>
        <v>0</v>
      </c>
      <c r="BD106" s="414">
        <f t="shared" si="141"/>
        <v>0</v>
      </c>
      <c r="BE106" s="408"/>
      <c r="BF106" s="410">
        <f>+$BF$105+$BF$101+$BF$76+$BF$51+$BF$27+$BF$25+$BF$23+$BF$20</f>
        <v>0</v>
      </c>
      <c r="BG106" s="408"/>
      <c r="BH106" s="410">
        <f>+$BH$105+$BH$101+$BH$76+$BH$51+$BH$27+$BH$25+$BH$23+$BH$20</f>
        <v>0</v>
      </c>
      <c r="BI106" s="408"/>
      <c r="BJ106" s="410">
        <f>+$BJ$105+$BJ$101+$BJ$76+$BJ$51+$BJ$27+$BJ$25+$BJ$23+$BJ$20</f>
        <v>0</v>
      </c>
      <c r="BK106" s="408"/>
      <c r="BL106" s="410">
        <f>+$BL$105+$BL$101+$BL$76+$BL$51+$BL$27+$BL$25+$BL$23+$BL$20</f>
        <v>0</v>
      </c>
      <c r="BM106" s="408"/>
      <c r="BN106" s="410">
        <f>+$BN$105+$BN$101+$BN$76+$BN$51+$BN$27+$BN$25+$BN$23+$BN$20</f>
        <v>0</v>
      </c>
      <c r="BO106" s="408"/>
      <c r="BP106" s="410">
        <f>+$BP$105+$BP$101+$BP$76+$BP$51+$BP$27+$BP$25+$BP$23+$BP$20</f>
        <v>0</v>
      </c>
      <c r="BQ106" s="414">
        <f t="shared" si="142"/>
        <v>0</v>
      </c>
      <c r="BR106" s="408"/>
      <c r="BS106" s="410">
        <f>+$BS$105+$BS$101+$BS$76+$BS$51+$BS$27+$BS$25+$BS$23+$BS$20</f>
        <v>0</v>
      </c>
      <c r="BT106" s="408"/>
      <c r="BU106" s="410">
        <f>+$BU$105+$BU$101+$BU$76+$BU$51+$BU$27+$BU$25+$BU$23+$BU$20</f>
        <v>0</v>
      </c>
      <c r="BV106" s="408"/>
      <c r="BW106" s="410">
        <f>+$BW$105+$BW$101+$BW$76+$BW$51+$BW$27+$BW$25+$BW$23+$BW$20</f>
        <v>0</v>
      </c>
      <c r="BX106" s="408"/>
      <c r="BY106" s="410">
        <f>+$BY$105+$BY$101+$BY$76+$BY$51+$BY$27+$BY$25+$BY$23+$BY$20</f>
        <v>0</v>
      </c>
      <c r="BZ106" s="408"/>
      <c r="CA106" s="410">
        <f>+$CA$105+$CA$101+$CA$76+$CA$51+$CA$27+$CA$25+$CA$23+$CA$20</f>
        <v>0</v>
      </c>
      <c r="CB106" s="408"/>
      <c r="CC106" s="410">
        <f>+$CC$105+$CC$101+$CC$76+$CC$51+$CC$27+$CC$25+$CC$23+$CC$20</f>
        <v>0</v>
      </c>
      <c r="CD106" s="414">
        <f t="shared" si="143"/>
        <v>0</v>
      </c>
      <c r="CE106" s="408"/>
      <c r="CF106" s="410">
        <f>+$CF$105+$CF$101+$CF$76+$CF$51+$CF$27+$CF$25+$CF$23+$CF$20</f>
        <v>0</v>
      </c>
      <c r="CG106" s="408"/>
      <c r="CH106" s="410">
        <f>+$CH$105+$CH$101+$CH$76+$CH$51+$CH$27+$CH$25+$CH$23+$CH$20</f>
        <v>0</v>
      </c>
      <c r="CI106" s="408"/>
      <c r="CJ106" s="410">
        <f>+$CJ$105+$CJ$101+$CJ$76+$CJ$51+$CJ$27+$CJ$25+$CJ$23+$CJ$20</f>
        <v>0</v>
      </c>
      <c r="CK106" s="408"/>
      <c r="CL106" s="410">
        <f>+$CL$105+$CL$101+$CL$76+$CL$51+$CL$27+$CL$25+$CL$23+$CL$20</f>
        <v>0</v>
      </c>
      <c r="CM106" s="408"/>
      <c r="CN106" s="410">
        <f>+$CN$105+$CN$101+$CN$76+$CN$51+$CN$27+$CN$25+$CN$23+$CN$20</f>
        <v>0</v>
      </c>
      <c r="CO106" s="408"/>
      <c r="CP106" s="410">
        <f>+$CP$105+$CP$101+$CP$76+$CP$51+$CP$27+$CP$25+$CP$23+$CP$20</f>
        <v>0</v>
      </c>
      <c r="CQ106" s="414">
        <f t="shared" si="144"/>
        <v>0</v>
      </c>
      <c r="CR106" s="408"/>
      <c r="CS106" s="410">
        <f>+$CS$105+$CS$101+$CS$76+$CS$51+$CS$27+$CS$25+$CS$23+$CS$20</f>
        <v>0</v>
      </c>
      <c r="CT106" s="408"/>
      <c r="CU106" s="410">
        <f>+$CU$105+$CU$101+$CU$76+$CU$51+$CU$27+$CU$25+$CU$23+$CU$20</f>
        <v>0</v>
      </c>
      <c r="CV106" s="408"/>
      <c r="CW106" s="410">
        <f>+$CW$105+$CW$101+$CW$76+$CW$51+$CW$27+$CW$25+$CW$23+$CW$20</f>
        <v>0</v>
      </c>
      <c r="CX106" s="408"/>
      <c r="CY106" s="410">
        <f>+$CY$105+$CY$101+$CY$76+$CY$51+$CY$27+$CY$25+$CY$23+$CY$20</f>
        <v>0</v>
      </c>
      <c r="CZ106" s="414">
        <f t="shared" si="145"/>
        <v>0</v>
      </c>
      <c r="DA106" s="408"/>
      <c r="DB106" s="410">
        <f>+$DB$105+$DB$101+$DB$76+$DB$51+$DB$27+$DB$25+$DB$23+$DB$20</f>
        <v>0</v>
      </c>
      <c r="DC106" s="414">
        <f t="shared" si="137"/>
        <v>0</v>
      </c>
      <c r="DD106" s="411">
        <f>+$U$106+$AF$106+$AQ$106+$BD$106+$BQ$106+$CD$106+$CQ$106+$CZ$106+$DC$106</f>
        <v>14108</v>
      </c>
    </row>
    <row r="109" spans="1:108" ht="18.75">
      <c r="A109" s="372" t="s">
        <v>1836</v>
      </c>
      <c r="J109" s="2" t="s">
        <v>1814</v>
      </c>
      <c r="L109" s="2" t="s">
        <v>1815</v>
      </c>
      <c r="N109" s="2" t="s">
        <v>1815</v>
      </c>
      <c r="P109" s="2" t="s">
        <v>1815</v>
      </c>
      <c r="R109" s="2" t="s">
        <v>1815</v>
      </c>
      <c r="T109" s="2" t="s">
        <v>1815</v>
      </c>
      <c r="W109" s="2" t="s">
        <v>1815</v>
      </c>
      <c r="Y109" s="2" t="s">
        <v>1816</v>
      </c>
      <c r="AA109" s="2" t="s">
        <v>1815</v>
      </c>
      <c r="AC109" s="2" t="s">
        <v>1815</v>
      </c>
      <c r="AE109" s="2" t="s">
        <v>1815</v>
      </c>
      <c r="AH109" s="2" t="s">
        <v>1815</v>
      </c>
      <c r="AJ109" s="2" t="s">
        <v>1815</v>
      </c>
      <c r="AL109" s="2" t="s">
        <v>1815</v>
      </c>
      <c r="AN109" s="2" t="s">
        <v>1815</v>
      </c>
      <c r="AP109" s="2" t="s">
        <v>1815</v>
      </c>
      <c r="AS109" s="2" t="s">
        <v>1815</v>
      </c>
      <c r="AU109" s="2" t="s">
        <v>1815</v>
      </c>
      <c r="AW109" s="2" t="s">
        <v>1815</v>
      </c>
      <c r="AY109" s="2" t="s">
        <v>1815</v>
      </c>
      <c r="BA109" s="2" t="s">
        <v>1815</v>
      </c>
      <c r="BC109" s="2" t="s">
        <v>1815</v>
      </c>
      <c r="BF109" s="2" t="s">
        <v>1815</v>
      </c>
      <c r="BH109" s="2" t="s">
        <v>1815</v>
      </c>
      <c r="BJ109" s="2" t="s">
        <v>1815</v>
      </c>
      <c r="BL109" s="2" t="s">
        <v>1815</v>
      </c>
      <c r="BN109" s="2" t="s">
        <v>1815</v>
      </c>
      <c r="BP109" s="2" t="s">
        <v>1815</v>
      </c>
      <c r="BS109" s="2" t="s">
        <v>1815</v>
      </c>
      <c r="BU109" s="2" t="s">
        <v>1815</v>
      </c>
      <c r="BW109" s="2" t="s">
        <v>1815</v>
      </c>
      <c r="BY109" s="2" t="s">
        <v>1817</v>
      </c>
      <c r="CA109" s="2" t="s">
        <v>1815</v>
      </c>
      <c r="CC109" s="2" t="s">
        <v>1815</v>
      </c>
      <c r="CF109" s="2" t="s">
        <v>1815</v>
      </c>
      <c r="CH109" s="2" t="s">
        <v>1815</v>
      </c>
      <c r="CJ109" s="2" t="s">
        <v>1815</v>
      </c>
      <c r="CL109" s="2" t="s">
        <v>1815</v>
      </c>
      <c r="CN109" s="2" t="s">
        <v>1815</v>
      </c>
      <c r="CP109" s="2" t="s">
        <v>1815</v>
      </c>
      <c r="CS109" s="2" t="s">
        <v>1815</v>
      </c>
      <c r="CU109" s="2" t="s">
        <v>1815</v>
      </c>
      <c r="CW109" s="2" t="s">
        <v>1815</v>
      </c>
      <c r="CY109" s="2" t="s">
        <v>1815</v>
      </c>
      <c r="DB109" s="2" t="s">
        <v>1815</v>
      </c>
    </row>
    <row r="110" spans="1:108">
      <c r="A110" s="343"/>
      <c r="B110" s="344"/>
      <c r="C110" s="344"/>
      <c r="D110" s="344"/>
      <c r="E110" s="344"/>
      <c r="F110" s="344"/>
      <c r="G110" s="344"/>
      <c r="H110" s="345"/>
      <c r="I110" s="374" t="s">
        <v>1818</v>
      </c>
      <c r="J110" s="373"/>
      <c r="K110" s="374" t="s">
        <v>1819</v>
      </c>
      <c r="L110" s="373"/>
      <c r="M110" s="374" t="s">
        <v>1820</v>
      </c>
      <c r="N110" s="373"/>
      <c r="O110" s="374" t="s">
        <v>1821</v>
      </c>
      <c r="P110" s="373"/>
      <c r="Q110" s="374" t="s">
        <v>1822</v>
      </c>
      <c r="R110" s="373"/>
      <c r="S110" s="374" t="s">
        <v>1823</v>
      </c>
      <c r="T110" s="373"/>
      <c r="U110" s="414" t="s">
        <v>1824</v>
      </c>
      <c r="V110" s="374" t="s">
        <v>1818</v>
      </c>
      <c r="W110" s="373"/>
      <c r="X110" s="374" t="s">
        <v>1819</v>
      </c>
      <c r="Y110" s="373"/>
      <c r="Z110" s="374" t="s">
        <v>1820</v>
      </c>
      <c r="AA110" s="373"/>
      <c r="AB110" s="374" t="s">
        <v>1821</v>
      </c>
      <c r="AC110" s="373"/>
      <c r="AD110" s="374" t="s">
        <v>1822</v>
      </c>
      <c r="AE110" s="373"/>
      <c r="AF110" s="414" t="s">
        <v>1824</v>
      </c>
      <c r="AG110" s="374" t="s">
        <v>1819</v>
      </c>
      <c r="AH110" s="373"/>
      <c r="AI110" s="374" t="s">
        <v>1820</v>
      </c>
      <c r="AJ110" s="373"/>
      <c r="AK110" s="374" t="s">
        <v>1821</v>
      </c>
      <c r="AL110" s="373"/>
      <c r="AM110" s="374" t="s">
        <v>1822</v>
      </c>
      <c r="AN110" s="373"/>
      <c r="AO110" s="374" t="s">
        <v>1823</v>
      </c>
      <c r="AP110" s="373"/>
      <c r="AQ110" s="414" t="s">
        <v>1824</v>
      </c>
      <c r="AR110" s="374" t="s">
        <v>1818</v>
      </c>
      <c r="AS110" s="373"/>
      <c r="AT110" s="374" t="s">
        <v>1819</v>
      </c>
      <c r="AU110" s="373"/>
      <c r="AV110" s="374" t="s">
        <v>1820</v>
      </c>
      <c r="AW110" s="373"/>
      <c r="AX110" s="374" t="s">
        <v>1821</v>
      </c>
      <c r="AY110" s="373"/>
      <c r="AZ110" s="374" t="s">
        <v>1822</v>
      </c>
      <c r="BA110" s="373"/>
      <c r="BB110" s="374" t="s">
        <v>1823</v>
      </c>
      <c r="BC110" s="373"/>
      <c r="BD110" s="414" t="s">
        <v>1824</v>
      </c>
      <c r="BE110" s="374" t="s">
        <v>1818</v>
      </c>
      <c r="BF110" s="373"/>
      <c r="BG110" s="374" t="s">
        <v>1819</v>
      </c>
      <c r="BH110" s="373"/>
      <c r="BI110" s="374" t="s">
        <v>1820</v>
      </c>
      <c r="BJ110" s="373"/>
      <c r="BK110" s="374" t="s">
        <v>1821</v>
      </c>
      <c r="BL110" s="373"/>
      <c r="BM110" s="374" t="s">
        <v>1822</v>
      </c>
      <c r="BN110" s="373"/>
      <c r="BO110" s="374" t="s">
        <v>1823</v>
      </c>
      <c r="BP110" s="373"/>
      <c r="BQ110" s="414" t="s">
        <v>1824</v>
      </c>
      <c r="BR110" s="374" t="s">
        <v>1818</v>
      </c>
      <c r="BS110" s="373"/>
      <c r="BT110" s="374" t="s">
        <v>1819</v>
      </c>
      <c r="BU110" s="373"/>
      <c r="BV110" s="374" t="s">
        <v>1820</v>
      </c>
      <c r="BW110" s="373"/>
      <c r="BX110" s="374" t="s">
        <v>1821</v>
      </c>
      <c r="BY110" s="373"/>
      <c r="BZ110" s="374" t="s">
        <v>1822</v>
      </c>
      <c r="CA110" s="373"/>
      <c r="CB110" s="374" t="s">
        <v>1823</v>
      </c>
      <c r="CC110" s="373"/>
      <c r="CD110" s="414" t="s">
        <v>1824</v>
      </c>
      <c r="CE110" s="374" t="s">
        <v>1818</v>
      </c>
      <c r="CF110" s="373"/>
      <c r="CG110" s="374" t="s">
        <v>1819</v>
      </c>
      <c r="CH110" s="373"/>
      <c r="CI110" s="374" t="s">
        <v>1820</v>
      </c>
      <c r="CJ110" s="373"/>
      <c r="CK110" s="374" t="s">
        <v>1821</v>
      </c>
      <c r="CL110" s="373"/>
      <c r="CM110" s="374" t="s">
        <v>1822</v>
      </c>
      <c r="CN110" s="373"/>
      <c r="CO110" s="374" t="s">
        <v>1823</v>
      </c>
      <c r="CP110" s="373"/>
      <c r="CQ110" s="414" t="s">
        <v>1824</v>
      </c>
      <c r="CR110" s="374" t="s">
        <v>1820</v>
      </c>
      <c r="CS110" s="373"/>
      <c r="CT110" s="374" t="s">
        <v>1821</v>
      </c>
      <c r="CU110" s="373"/>
      <c r="CV110" s="374" t="s">
        <v>1822</v>
      </c>
      <c r="CW110" s="373"/>
      <c r="CX110" s="374" t="s">
        <v>1823</v>
      </c>
      <c r="CY110" s="373"/>
      <c r="CZ110" s="414" t="s">
        <v>1824</v>
      </c>
      <c r="DA110" s="374" t="s">
        <v>1818</v>
      </c>
      <c r="DB110" s="373"/>
      <c r="DC110" s="414" t="s">
        <v>1824</v>
      </c>
      <c r="DD110" s="349"/>
    </row>
    <row r="111" spans="1:108">
      <c r="A111" s="350" t="s">
        <v>1777</v>
      </c>
      <c r="B111" s="350" t="s">
        <v>1778</v>
      </c>
      <c r="C111" s="350" t="s">
        <v>0</v>
      </c>
      <c r="D111" s="384" t="s">
        <v>1859</v>
      </c>
      <c r="E111" s="384" t="s">
        <v>36</v>
      </c>
      <c r="F111" s="384" t="s">
        <v>37</v>
      </c>
      <c r="G111" s="350" t="s">
        <v>1</v>
      </c>
      <c r="H111" s="350" t="s">
        <v>1779</v>
      </c>
      <c r="I111" s="375">
        <v>44067</v>
      </c>
      <c r="J111" s="376"/>
      <c r="K111" s="375">
        <v>44068</v>
      </c>
      <c r="L111" s="376"/>
      <c r="M111" s="375">
        <v>44069</v>
      </c>
      <c r="N111" s="376"/>
      <c r="O111" s="375">
        <v>44070</v>
      </c>
      <c r="P111" s="376"/>
      <c r="Q111" s="375">
        <v>44071</v>
      </c>
      <c r="R111" s="376"/>
      <c r="S111" s="375">
        <v>44072</v>
      </c>
      <c r="T111" s="376"/>
      <c r="U111" s="415" t="s">
        <v>1825</v>
      </c>
      <c r="V111" s="375">
        <v>44074</v>
      </c>
      <c r="W111" s="376"/>
      <c r="X111" s="375">
        <v>44075</v>
      </c>
      <c r="Y111" s="376"/>
      <c r="Z111" s="375">
        <v>44076</v>
      </c>
      <c r="AA111" s="376"/>
      <c r="AB111" s="375">
        <v>44077</v>
      </c>
      <c r="AC111" s="376"/>
      <c r="AD111" s="375">
        <v>44078</v>
      </c>
      <c r="AE111" s="376"/>
      <c r="AF111" s="415" t="s">
        <v>1825</v>
      </c>
      <c r="AG111" s="375">
        <v>44082</v>
      </c>
      <c r="AH111" s="376"/>
      <c r="AI111" s="375">
        <v>44083</v>
      </c>
      <c r="AJ111" s="376"/>
      <c r="AK111" s="375">
        <v>44084</v>
      </c>
      <c r="AL111" s="376"/>
      <c r="AM111" s="375">
        <v>44085</v>
      </c>
      <c r="AN111" s="376"/>
      <c r="AO111" s="375">
        <v>44086</v>
      </c>
      <c r="AP111" s="376"/>
      <c r="AQ111" s="415" t="s">
        <v>1825</v>
      </c>
      <c r="AR111" s="375">
        <v>44088</v>
      </c>
      <c r="AS111" s="376"/>
      <c r="AT111" s="375">
        <v>44089</v>
      </c>
      <c r="AU111" s="376"/>
      <c r="AV111" s="375">
        <v>44090</v>
      </c>
      <c r="AW111" s="376"/>
      <c r="AX111" s="375">
        <v>44091</v>
      </c>
      <c r="AY111" s="376"/>
      <c r="AZ111" s="375">
        <v>44092</v>
      </c>
      <c r="BA111" s="376"/>
      <c r="BB111" s="375">
        <v>44093</v>
      </c>
      <c r="BC111" s="376"/>
      <c r="BD111" s="415" t="s">
        <v>1825</v>
      </c>
      <c r="BE111" s="375">
        <v>44095</v>
      </c>
      <c r="BF111" s="376"/>
      <c r="BG111" s="375">
        <v>44096</v>
      </c>
      <c r="BH111" s="376"/>
      <c r="BI111" s="375">
        <v>44097</v>
      </c>
      <c r="BJ111" s="376"/>
      <c r="BK111" s="375">
        <v>44098</v>
      </c>
      <c r="BL111" s="376"/>
      <c r="BM111" s="375">
        <v>44099</v>
      </c>
      <c r="BN111" s="376"/>
      <c r="BO111" s="375">
        <v>44100</v>
      </c>
      <c r="BP111" s="376"/>
      <c r="BQ111" s="415" t="s">
        <v>1825</v>
      </c>
      <c r="BR111" s="375">
        <v>44102</v>
      </c>
      <c r="BS111" s="376"/>
      <c r="BT111" s="375">
        <v>44103</v>
      </c>
      <c r="BU111" s="376"/>
      <c r="BV111" s="375">
        <v>44104</v>
      </c>
      <c r="BW111" s="376"/>
      <c r="BX111" s="375">
        <v>44105</v>
      </c>
      <c r="BY111" s="376"/>
      <c r="BZ111" s="375">
        <v>44106</v>
      </c>
      <c r="CA111" s="376"/>
      <c r="CB111" s="375">
        <v>44107</v>
      </c>
      <c r="CC111" s="376"/>
      <c r="CD111" s="415" t="s">
        <v>1825</v>
      </c>
      <c r="CE111" s="375">
        <v>44109</v>
      </c>
      <c r="CF111" s="376"/>
      <c r="CG111" s="375">
        <v>44110</v>
      </c>
      <c r="CH111" s="376"/>
      <c r="CI111" s="375">
        <v>44111</v>
      </c>
      <c r="CJ111" s="376"/>
      <c r="CK111" s="375">
        <v>44112</v>
      </c>
      <c r="CL111" s="376"/>
      <c r="CM111" s="375">
        <v>44113</v>
      </c>
      <c r="CN111" s="376"/>
      <c r="CO111" s="375">
        <v>44114</v>
      </c>
      <c r="CP111" s="376"/>
      <c r="CQ111" s="415" t="s">
        <v>1825</v>
      </c>
      <c r="CR111" s="375">
        <v>44118</v>
      </c>
      <c r="CS111" s="376"/>
      <c r="CT111" s="375">
        <v>44119</v>
      </c>
      <c r="CU111" s="376"/>
      <c r="CV111" s="375">
        <v>44120</v>
      </c>
      <c r="CW111" s="376"/>
      <c r="CX111" s="375">
        <v>44121</v>
      </c>
      <c r="CY111" s="376"/>
      <c r="CZ111" s="415" t="s">
        <v>1825</v>
      </c>
      <c r="DA111" s="375">
        <v>44123</v>
      </c>
      <c r="DB111" s="376"/>
      <c r="DC111" s="415" t="s">
        <v>1825</v>
      </c>
      <c r="DD111" s="349" t="s">
        <v>1826</v>
      </c>
    </row>
    <row r="112" spans="1:108" ht="17.45" customHeight="1">
      <c r="A112" s="354" t="s">
        <v>1218</v>
      </c>
      <c r="B112" s="354" t="s">
        <v>1780</v>
      </c>
      <c r="C112" s="354" t="s">
        <v>1219</v>
      </c>
      <c r="D112" s="354"/>
      <c r="E112" s="354"/>
      <c r="F112" s="354"/>
      <c r="G112" s="347" t="s">
        <v>1220</v>
      </c>
      <c r="H112" s="347" t="s">
        <v>1781</v>
      </c>
      <c r="I112" s="347"/>
      <c r="J112" s="355">
        <v>360</v>
      </c>
      <c r="K112" s="347"/>
      <c r="L112" s="355">
        <v>192</v>
      </c>
      <c r="M112" s="347"/>
      <c r="N112" s="355"/>
      <c r="O112" s="347"/>
      <c r="P112" s="355"/>
      <c r="Q112" s="347"/>
      <c r="R112" s="355"/>
      <c r="S112" s="347"/>
      <c r="T112" s="355"/>
      <c r="U112" s="414">
        <f t="shared" ref="U112:U175" si="162">SUM(J112:T112)</f>
        <v>552</v>
      </c>
      <c r="V112" s="347"/>
      <c r="W112" s="355">
        <v>350</v>
      </c>
      <c r="X112" s="347"/>
      <c r="Y112" s="355">
        <v>350</v>
      </c>
      <c r="Z112" s="347"/>
      <c r="AA112" s="355">
        <v>53</v>
      </c>
      <c r="AB112" s="347"/>
      <c r="AC112" s="355"/>
      <c r="AD112" s="347"/>
      <c r="AE112" s="355"/>
      <c r="AF112" s="414">
        <f t="shared" ref="AF112:AF175" si="163">SUM(W112:AE112)</f>
        <v>753</v>
      </c>
      <c r="AG112" s="347"/>
      <c r="AH112" s="355">
        <v>290</v>
      </c>
      <c r="AI112" s="347"/>
      <c r="AJ112" s="355">
        <v>298</v>
      </c>
      <c r="AK112" s="347"/>
      <c r="AL112" s="355"/>
      <c r="AM112" s="347"/>
      <c r="AN112" s="355"/>
      <c r="AO112" s="347"/>
      <c r="AP112" s="355"/>
      <c r="AQ112" s="414">
        <f t="shared" ref="AQ112:AQ175" si="164">SUM(AH112:AP112)</f>
        <v>588</v>
      </c>
      <c r="AR112" s="347"/>
      <c r="AS112" s="355">
        <v>198</v>
      </c>
      <c r="AT112" s="347"/>
      <c r="AU112" s="355"/>
      <c r="AV112" s="347"/>
      <c r="AW112" s="355"/>
      <c r="AX112" s="347"/>
      <c r="AY112" s="355"/>
      <c r="AZ112" s="347"/>
      <c r="BA112" s="355"/>
      <c r="BB112" s="347"/>
      <c r="BC112" s="355"/>
      <c r="BD112" s="414">
        <f t="shared" ref="BD112:BD175" si="165">SUM(AS112:BC112)</f>
        <v>198</v>
      </c>
      <c r="BE112" s="347"/>
      <c r="BF112" s="355">
        <v>340</v>
      </c>
      <c r="BG112" s="347"/>
      <c r="BH112" s="355">
        <v>294</v>
      </c>
      <c r="BI112" s="347"/>
      <c r="BJ112" s="355"/>
      <c r="BK112" s="347"/>
      <c r="BL112" s="355"/>
      <c r="BM112" s="347"/>
      <c r="BN112" s="355"/>
      <c r="BO112" s="347"/>
      <c r="BP112" s="355"/>
      <c r="BQ112" s="414">
        <f t="shared" ref="BQ112:BQ175" si="166">SUM(BF112:BP112)</f>
        <v>634</v>
      </c>
      <c r="BR112" s="347"/>
      <c r="BS112" s="355">
        <v>374</v>
      </c>
      <c r="BT112" s="347"/>
      <c r="BU112" s="355">
        <v>374</v>
      </c>
      <c r="BV112" s="347"/>
      <c r="BW112" s="355">
        <v>157</v>
      </c>
      <c r="BX112" s="347"/>
      <c r="BY112" s="355"/>
      <c r="BZ112" s="347"/>
      <c r="CA112" s="355"/>
      <c r="CB112" s="347"/>
      <c r="CC112" s="355"/>
      <c r="CD112" s="414">
        <f t="shared" ref="CD112:CD175" si="167">SUM(BS112:CC112)</f>
        <v>905</v>
      </c>
      <c r="CE112" s="347"/>
      <c r="CF112" s="355">
        <v>340</v>
      </c>
      <c r="CG112" s="347"/>
      <c r="CH112" s="355">
        <v>340</v>
      </c>
      <c r="CI112" s="347"/>
      <c r="CJ112" s="355">
        <v>340</v>
      </c>
      <c r="CK112" s="347"/>
      <c r="CL112" s="355">
        <v>54</v>
      </c>
      <c r="CM112" s="347"/>
      <c r="CN112" s="355"/>
      <c r="CO112" s="347"/>
      <c r="CP112" s="355"/>
      <c r="CQ112" s="414">
        <f t="shared" ref="CQ112:CQ175" si="168">SUM(CF112:CP112)</f>
        <v>1074</v>
      </c>
      <c r="CR112" s="347"/>
      <c r="CS112" s="355">
        <v>340</v>
      </c>
      <c r="CT112" s="347"/>
      <c r="CU112" s="355">
        <v>121</v>
      </c>
      <c r="CV112" s="347"/>
      <c r="CW112" s="355"/>
      <c r="CX112" s="347"/>
      <c r="CY112" s="355"/>
      <c r="CZ112" s="414">
        <f t="shared" ref="CZ112:CZ175" si="169">SUM(CS112:CY112)</f>
        <v>461</v>
      </c>
      <c r="DA112" s="347"/>
      <c r="DB112" s="355">
        <v>255</v>
      </c>
      <c r="DC112" s="414">
        <f t="shared" ref="DC112:DC175" si="170">SUM(DB112:DB112)</f>
        <v>255</v>
      </c>
      <c r="DD112" s="356">
        <f>+$U$112+$AF$112+$AQ$112+$BD$112+$BQ$112+$CD$112+$CQ$112+$CZ$112+$DC$112</f>
        <v>5420</v>
      </c>
    </row>
    <row r="113" spans="1:108" ht="17.45" customHeight="1">
      <c r="A113" s="357"/>
      <c r="B113" s="357"/>
      <c r="C113" s="357"/>
      <c r="D113" s="357"/>
      <c r="E113" s="357"/>
      <c r="F113" s="357"/>
      <c r="G113" s="347" t="s">
        <v>1221</v>
      </c>
      <c r="H113" s="347" t="s">
        <v>1782</v>
      </c>
      <c r="I113" s="347"/>
      <c r="J113" s="355"/>
      <c r="K113" s="347"/>
      <c r="L113" s="355">
        <v>99</v>
      </c>
      <c r="M113" s="347"/>
      <c r="N113" s="355"/>
      <c r="O113" s="347"/>
      <c r="P113" s="355"/>
      <c r="Q113" s="347"/>
      <c r="R113" s="355"/>
      <c r="S113" s="347"/>
      <c r="T113" s="355"/>
      <c r="U113" s="414">
        <f t="shared" si="162"/>
        <v>99</v>
      </c>
      <c r="V113" s="347"/>
      <c r="W113" s="355"/>
      <c r="X113" s="347"/>
      <c r="Y113" s="355"/>
      <c r="Z113" s="347"/>
      <c r="AA113" s="355">
        <v>150</v>
      </c>
      <c r="AB113" s="347"/>
      <c r="AC113" s="355"/>
      <c r="AD113" s="347"/>
      <c r="AE113" s="355"/>
      <c r="AF113" s="414">
        <f t="shared" si="163"/>
        <v>150</v>
      </c>
      <c r="AG113" s="347"/>
      <c r="AH113" s="355"/>
      <c r="AI113" s="347"/>
      <c r="AJ113" s="355"/>
      <c r="AK113" s="347"/>
      <c r="AL113" s="355"/>
      <c r="AM113" s="347"/>
      <c r="AN113" s="355"/>
      <c r="AO113" s="347"/>
      <c r="AP113" s="355"/>
      <c r="AQ113" s="414">
        <f t="shared" si="164"/>
        <v>0</v>
      </c>
      <c r="AR113" s="347"/>
      <c r="AS113" s="355">
        <v>72</v>
      </c>
      <c r="AT113" s="347"/>
      <c r="AU113" s="355"/>
      <c r="AV113" s="347"/>
      <c r="AW113" s="355"/>
      <c r="AX113" s="347"/>
      <c r="AY113" s="355"/>
      <c r="AZ113" s="347"/>
      <c r="BA113" s="355"/>
      <c r="BB113" s="347"/>
      <c r="BC113" s="355"/>
      <c r="BD113" s="414">
        <f t="shared" si="165"/>
        <v>72</v>
      </c>
      <c r="BE113" s="347"/>
      <c r="BF113" s="355"/>
      <c r="BG113" s="347"/>
      <c r="BH113" s="355">
        <v>46</v>
      </c>
      <c r="BI113" s="347"/>
      <c r="BJ113" s="355">
        <v>145</v>
      </c>
      <c r="BK113" s="347"/>
      <c r="BL113" s="355"/>
      <c r="BM113" s="347"/>
      <c r="BN113" s="355"/>
      <c r="BO113" s="347"/>
      <c r="BP113" s="355"/>
      <c r="BQ113" s="414">
        <f t="shared" si="166"/>
        <v>191</v>
      </c>
      <c r="BR113" s="347"/>
      <c r="BS113" s="355"/>
      <c r="BT113" s="347"/>
      <c r="BU113" s="355"/>
      <c r="BV113" s="347"/>
      <c r="BW113" s="355">
        <v>150</v>
      </c>
      <c r="BX113" s="347"/>
      <c r="BY113" s="355"/>
      <c r="BZ113" s="347"/>
      <c r="CA113" s="355"/>
      <c r="CB113" s="347"/>
      <c r="CC113" s="355"/>
      <c r="CD113" s="414">
        <f t="shared" si="167"/>
        <v>150</v>
      </c>
      <c r="CE113" s="347"/>
      <c r="CF113" s="355"/>
      <c r="CG113" s="347"/>
      <c r="CH113" s="355"/>
      <c r="CI113" s="347"/>
      <c r="CJ113" s="355"/>
      <c r="CK113" s="347"/>
      <c r="CL113" s="355"/>
      <c r="CM113" s="347"/>
      <c r="CN113" s="355"/>
      <c r="CO113" s="347"/>
      <c r="CP113" s="355"/>
      <c r="CQ113" s="414">
        <f t="shared" si="168"/>
        <v>0</v>
      </c>
      <c r="CR113" s="347"/>
      <c r="CS113" s="355"/>
      <c r="CT113" s="347"/>
      <c r="CU113" s="355"/>
      <c r="CV113" s="347"/>
      <c r="CW113" s="355"/>
      <c r="CX113" s="347"/>
      <c r="CY113" s="355"/>
      <c r="CZ113" s="414">
        <f t="shared" si="169"/>
        <v>0</v>
      </c>
      <c r="DA113" s="347"/>
      <c r="DB113" s="355"/>
      <c r="DC113" s="414">
        <f t="shared" si="170"/>
        <v>0</v>
      </c>
      <c r="DD113" s="356">
        <f>+$U$113+$AF$113+$AQ$113+$BD$113+$BQ$113+$CD$113+$CQ$113+$CZ$113+$DC$113</f>
        <v>662</v>
      </c>
    </row>
    <row r="114" spans="1:108" ht="17.45" customHeight="1">
      <c r="A114" s="357"/>
      <c r="B114" s="357"/>
      <c r="C114" s="357"/>
      <c r="D114" s="357"/>
      <c r="E114" s="357"/>
      <c r="F114" s="357"/>
      <c r="G114" s="347" t="s">
        <v>1223</v>
      </c>
      <c r="H114" s="347" t="s">
        <v>1783</v>
      </c>
      <c r="I114" s="347"/>
      <c r="J114" s="355"/>
      <c r="K114" s="347"/>
      <c r="L114" s="355">
        <v>28</v>
      </c>
      <c r="M114" s="347"/>
      <c r="N114" s="355"/>
      <c r="O114" s="347"/>
      <c r="P114" s="355"/>
      <c r="Q114" s="347"/>
      <c r="R114" s="355"/>
      <c r="S114" s="347"/>
      <c r="T114" s="355"/>
      <c r="U114" s="414">
        <f t="shared" si="162"/>
        <v>28</v>
      </c>
      <c r="V114" s="347"/>
      <c r="W114" s="355"/>
      <c r="X114" s="347"/>
      <c r="Y114" s="355"/>
      <c r="Z114" s="347"/>
      <c r="AA114" s="355"/>
      <c r="AB114" s="347"/>
      <c r="AC114" s="355"/>
      <c r="AD114" s="347"/>
      <c r="AE114" s="355"/>
      <c r="AF114" s="414">
        <f t="shared" si="163"/>
        <v>0</v>
      </c>
      <c r="AG114" s="347"/>
      <c r="AH114" s="355"/>
      <c r="AI114" s="347"/>
      <c r="AJ114" s="355">
        <v>3</v>
      </c>
      <c r="AK114" s="347"/>
      <c r="AL114" s="355"/>
      <c r="AM114" s="347"/>
      <c r="AN114" s="355"/>
      <c r="AO114" s="347"/>
      <c r="AP114" s="355"/>
      <c r="AQ114" s="414">
        <f t="shared" si="164"/>
        <v>3</v>
      </c>
      <c r="AR114" s="347"/>
      <c r="AS114" s="355">
        <v>4</v>
      </c>
      <c r="AT114" s="347"/>
      <c r="AU114" s="355"/>
      <c r="AV114" s="347"/>
      <c r="AW114" s="355"/>
      <c r="AX114" s="347"/>
      <c r="AY114" s="355"/>
      <c r="AZ114" s="347"/>
      <c r="BA114" s="355"/>
      <c r="BB114" s="347"/>
      <c r="BC114" s="355"/>
      <c r="BD114" s="414">
        <f t="shared" si="165"/>
        <v>4</v>
      </c>
      <c r="BE114" s="347"/>
      <c r="BF114" s="355"/>
      <c r="BG114" s="347"/>
      <c r="BH114" s="355"/>
      <c r="BI114" s="347"/>
      <c r="BJ114" s="355">
        <v>5</v>
      </c>
      <c r="BK114" s="347"/>
      <c r="BL114" s="355"/>
      <c r="BM114" s="347"/>
      <c r="BN114" s="355"/>
      <c r="BO114" s="347"/>
      <c r="BP114" s="355"/>
      <c r="BQ114" s="414">
        <f t="shared" si="166"/>
        <v>5</v>
      </c>
      <c r="BR114" s="347"/>
      <c r="BS114" s="355"/>
      <c r="BT114" s="347"/>
      <c r="BU114" s="355"/>
      <c r="BV114" s="347"/>
      <c r="BW114" s="355">
        <v>3</v>
      </c>
      <c r="BX114" s="347"/>
      <c r="BY114" s="355"/>
      <c r="BZ114" s="347"/>
      <c r="CA114" s="355"/>
      <c r="CB114" s="347"/>
      <c r="CC114" s="355"/>
      <c r="CD114" s="414">
        <f t="shared" si="167"/>
        <v>3</v>
      </c>
      <c r="CE114" s="347"/>
      <c r="CF114" s="355"/>
      <c r="CG114" s="347"/>
      <c r="CH114" s="355"/>
      <c r="CI114" s="347"/>
      <c r="CJ114" s="355"/>
      <c r="CK114" s="347"/>
      <c r="CL114" s="355">
        <v>4</v>
      </c>
      <c r="CM114" s="347"/>
      <c r="CN114" s="355"/>
      <c r="CO114" s="347"/>
      <c r="CP114" s="355"/>
      <c r="CQ114" s="414">
        <f t="shared" si="168"/>
        <v>4</v>
      </c>
      <c r="CR114" s="347"/>
      <c r="CS114" s="355"/>
      <c r="CT114" s="347"/>
      <c r="CU114" s="355">
        <v>4</v>
      </c>
      <c r="CV114" s="347"/>
      <c r="CW114" s="355"/>
      <c r="CX114" s="347"/>
      <c r="CY114" s="355"/>
      <c r="CZ114" s="414">
        <f t="shared" si="169"/>
        <v>4</v>
      </c>
      <c r="DA114" s="347"/>
      <c r="DB114" s="355"/>
      <c r="DC114" s="414">
        <f t="shared" si="170"/>
        <v>0</v>
      </c>
      <c r="DD114" s="356">
        <f>+$U$114+$AF$114+$AQ$114+$BD$114+$BQ$114+$CD$114+$CQ$114+$CZ$114+$DC$114</f>
        <v>51</v>
      </c>
    </row>
    <row r="115" spans="1:108" ht="17.45" customHeight="1">
      <c r="A115" s="357"/>
      <c r="B115" s="357"/>
      <c r="C115" s="357"/>
      <c r="D115" s="357"/>
      <c r="E115" s="357"/>
      <c r="F115" s="357"/>
      <c r="G115" s="347" t="s">
        <v>1224</v>
      </c>
      <c r="H115" s="347" t="s">
        <v>1784</v>
      </c>
      <c r="I115" s="347"/>
      <c r="J115" s="355"/>
      <c r="K115" s="347"/>
      <c r="L115" s="355">
        <v>1</v>
      </c>
      <c r="M115" s="347"/>
      <c r="N115" s="355"/>
      <c r="O115" s="347"/>
      <c r="P115" s="355"/>
      <c r="Q115" s="347"/>
      <c r="R115" s="355"/>
      <c r="S115" s="347"/>
      <c r="T115" s="355"/>
      <c r="U115" s="414">
        <f t="shared" si="162"/>
        <v>1</v>
      </c>
      <c r="V115" s="347"/>
      <c r="W115" s="355"/>
      <c r="X115" s="347"/>
      <c r="Y115" s="355"/>
      <c r="Z115" s="347"/>
      <c r="AA115" s="355"/>
      <c r="AB115" s="347"/>
      <c r="AC115" s="355"/>
      <c r="AD115" s="347"/>
      <c r="AE115" s="355"/>
      <c r="AF115" s="414">
        <f t="shared" si="163"/>
        <v>0</v>
      </c>
      <c r="AG115" s="347"/>
      <c r="AH115" s="355"/>
      <c r="AI115" s="347"/>
      <c r="AJ115" s="355"/>
      <c r="AK115" s="347"/>
      <c r="AL115" s="355"/>
      <c r="AM115" s="347"/>
      <c r="AN115" s="355"/>
      <c r="AO115" s="347"/>
      <c r="AP115" s="355"/>
      <c r="AQ115" s="414">
        <f t="shared" si="164"/>
        <v>0</v>
      </c>
      <c r="AR115" s="347"/>
      <c r="AS115" s="355">
        <v>12</v>
      </c>
      <c r="AT115" s="347"/>
      <c r="AU115" s="355"/>
      <c r="AV115" s="347"/>
      <c r="AW115" s="355"/>
      <c r="AX115" s="347"/>
      <c r="AY115" s="355"/>
      <c r="AZ115" s="347"/>
      <c r="BA115" s="355"/>
      <c r="BB115" s="347"/>
      <c r="BC115" s="355"/>
      <c r="BD115" s="414">
        <f t="shared" si="165"/>
        <v>12</v>
      </c>
      <c r="BE115" s="347"/>
      <c r="BF115" s="355"/>
      <c r="BG115" s="347"/>
      <c r="BH115" s="355"/>
      <c r="BI115" s="347"/>
      <c r="BJ115" s="355">
        <v>3</v>
      </c>
      <c r="BK115" s="347"/>
      <c r="BL115" s="355"/>
      <c r="BM115" s="347"/>
      <c r="BN115" s="355"/>
      <c r="BO115" s="347"/>
      <c r="BP115" s="355"/>
      <c r="BQ115" s="414">
        <f t="shared" si="166"/>
        <v>3</v>
      </c>
      <c r="BR115" s="347"/>
      <c r="BS115" s="355"/>
      <c r="BT115" s="347"/>
      <c r="BU115" s="355"/>
      <c r="BV115" s="347"/>
      <c r="BW115" s="355"/>
      <c r="BX115" s="347"/>
      <c r="BY115" s="355"/>
      <c r="BZ115" s="347"/>
      <c r="CA115" s="355"/>
      <c r="CB115" s="347"/>
      <c r="CC115" s="355"/>
      <c r="CD115" s="414">
        <f t="shared" si="167"/>
        <v>0</v>
      </c>
      <c r="CE115" s="347"/>
      <c r="CF115" s="355"/>
      <c r="CG115" s="347"/>
      <c r="CH115" s="355"/>
      <c r="CI115" s="347"/>
      <c r="CJ115" s="355"/>
      <c r="CK115" s="347"/>
      <c r="CL115" s="355"/>
      <c r="CM115" s="347"/>
      <c r="CN115" s="355"/>
      <c r="CO115" s="347"/>
      <c r="CP115" s="355"/>
      <c r="CQ115" s="414">
        <f t="shared" si="168"/>
        <v>0</v>
      </c>
      <c r="CR115" s="347"/>
      <c r="CS115" s="355"/>
      <c r="CT115" s="347"/>
      <c r="CU115" s="355"/>
      <c r="CV115" s="347"/>
      <c r="CW115" s="355"/>
      <c r="CX115" s="347"/>
      <c r="CY115" s="355"/>
      <c r="CZ115" s="414">
        <f t="shared" si="169"/>
        <v>0</v>
      </c>
      <c r="DA115" s="347"/>
      <c r="DB115" s="355"/>
      <c r="DC115" s="414">
        <f t="shared" si="170"/>
        <v>0</v>
      </c>
      <c r="DD115" s="356">
        <f>+$U$115+$AF$115+$AQ$115+$BD$115+$BQ$115+$CD$115+$CQ$115+$CZ$115+$DC$115</f>
        <v>16</v>
      </c>
    </row>
    <row r="116" spans="1:108" ht="17.45" customHeight="1">
      <c r="A116" s="357"/>
      <c r="B116" s="357"/>
      <c r="C116" s="357"/>
      <c r="D116" s="357"/>
      <c r="E116" s="357"/>
      <c r="F116" s="357"/>
      <c r="G116" s="347" t="s">
        <v>1116</v>
      </c>
      <c r="H116" s="347" t="s">
        <v>1785</v>
      </c>
      <c r="I116" s="347"/>
      <c r="J116" s="355"/>
      <c r="K116" s="347"/>
      <c r="L116" s="355"/>
      <c r="M116" s="347"/>
      <c r="N116" s="355"/>
      <c r="O116" s="347"/>
      <c r="P116" s="355"/>
      <c r="Q116" s="347"/>
      <c r="R116" s="355"/>
      <c r="S116" s="347"/>
      <c r="T116" s="355"/>
      <c r="U116" s="414">
        <f t="shared" si="162"/>
        <v>0</v>
      </c>
      <c r="V116" s="347"/>
      <c r="W116" s="355"/>
      <c r="X116" s="347"/>
      <c r="Y116" s="355"/>
      <c r="Z116" s="347"/>
      <c r="AA116" s="355"/>
      <c r="AB116" s="347"/>
      <c r="AC116" s="355"/>
      <c r="AD116" s="347"/>
      <c r="AE116" s="355"/>
      <c r="AF116" s="414">
        <f t="shared" si="163"/>
        <v>0</v>
      </c>
      <c r="AG116" s="347"/>
      <c r="AH116" s="355"/>
      <c r="AI116" s="347"/>
      <c r="AJ116" s="355"/>
      <c r="AK116" s="347"/>
      <c r="AL116" s="355"/>
      <c r="AM116" s="347"/>
      <c r="AN116" s="355"/>
      <c r="AO116" s="347"/>
      <c r="AP116" s="355"/>
      <c r="AQ116" s="414">
        <f t="shared" si="164"/>
        <v>0</v>
      </c>
      <c r="AR116" s="347"/>
      <c r="AS116" s="355">
        <v>54</v>
      </c>
      <c r="AT116" s="347"/>
      <c r="AU116" s="355">
        <v>25</v>
      </c>
      <c r="AV116" s="347"/>
      <c r="AW116" s="355"/>
      <c r="AX116" s="347"/>
      <c r="AY116" s="355"/>
      <c r="AZ116" s="347"/>
      <c r="BA116" s="355"/>
      <c r="BB116" s="347"/>
      <c r="BC116" s="355"/>
      <c r="BD116" s="414">
        <f t="shared" si="165"/>
        <v>79</v>
      </c>
      <c r="BE116" s="347"/>
      <c r="BF116" s="355"/>
      <c r="BG116" s="347"/>
      <c r="BH116" s="355"/>
      <c r="BI116" s="347"/>
      <c r="BJ116" s="355">
        <v>27</v>
      </c>
      <c r="BK116" s="347"/>
      <c r="BL116" s="355"/>
      <c r="BM116" s="347"/>
      <c r="BN116" s="355"/>
      <c r="BO116" s="347"/>
      <c r="BP116" s="355"/>
      <c r="BQ116" s="414">
        <f t="shared" si="166"/>
        <v>27</v>
      </c>
      <c r="BR116" s="347"/>
      <c r="BS116" s="355"/>
      <c r="BT116" s="347"/>
      <c r="BU116" s="355"/>
      <c r="BV116" s="347"/>
      <c r="BW116" s="355">
        <v>12</v>
      </c>
      <c r="BX116" s="347"/>
      <c r="BY116" s="355"/>
      <c r="BZ116" s="347"/>
      <c r="CA116" s="355"/>
      <c r="CB116" s="347"/>
      <c r="CC116" s="355"/>
      <c r="CD116" s="414">
        <f t="shared" si="167"/>
        <v>12</v>
      </c>
      <c r="CE116" s="347"/>
      <c r="CF116" s="355"/>
      <c r="CG116" s="347"/>
      <c r="CH116" s="355"/>
      <c r="CI116" s="347"/>
      <c r="CJ116" s="355"/>
      <c r="CK116" s="347"/>
      <c r="CL116" s="355">
        <v>11</v>
      </c>
      <c r="CM116" s="347"/>
      <c r="CN116" s="355"/>
      <c r="CO116" s="347"/>
      <c r="CP116" s="355"/>
      <c r="CQ116" s="414">
        <f t="shared" si="168"/>
        <v>11</v>
      </c>
      <c r="CR116" s="347"/>
      <c r="CS116" s="355"/>
      <c r="CT116" s="347"/>
      <c r="CU116" s="355">
        <v>21</v>
      </c>
      <c r="CV116" s="347"/>
      <c r="CW116" s="355"/>
      <c r="CX116" s="347"/>
      <c r="CY116" s="355"/>
      <c r="CZ116" s="414">
        <f t="shared" si="169"/>
        <v>21</v>
      </c>
      <c r="DA116" s="347"/>
      <c r="DB116" s="355"/>
      <c r="DC116" s="414">
        <f t="shared" si="170"/>
        <v>0</v>
      </c>
      <c r="DD116" s="356">
        <f>+$U$116+$AF$116+$AQ$116+$BD$116+$BQ$116+$CD$116+$CQ$116+$CZ$116+$DC$116</f>
        <v>150</v>
      </c>
    </row>
    <row r="117" spans="1:108" ht="17.45" customHeight="1">
      <c r="A117" s="357"/>
      <c r="B117" s="357"/>
      <c r="C117" s="357"/>
      <c r="D117" s="357"/>
      <c r="E117" s="357"/>
      <c r="F117" s="357"/>
      <c r="G117" s="347" t="s">
        <v>1214</v>
      </c>
      <c r="H117" s="347" t="s">
        <v>1786</v>
      </c>
      <c r="I117" s="347"/>
      <c r="J117" s="355"/>
      <c r="K117" s="347"/>
      <c r="L117" s="355">
        <v>6</v>
      </c>
      <c r="M117" s="347"/>
      <c r="N117" s="355"/>
      <c r="O117" s="347"/>
      <c r="P117" s="355"/>
      <c r="Q117" s="347"/>
      <c r="R117" s="355"/>
      <c r="S117" s="347"/>
      <c r="T117" s="355"/>
      <c r="U117" s="414">
        <f t="shared" si="162"/>
        <v>6</v>
      </c>
      <c r="V117" s="347"/>
      <c r="W117" s="355"/>
      <c r="X117" s="347"/>
      <c r="Y117" s="355"/>
      <c r="Z117" s="347"/>
      <c r="AA117" s="355">
        <v>1</v>
      </c>
      <c r="AB117" s="347"/>
      <c r="AC117" s="355"/>
      <c r="AD117" s="347"/>
      <c r="AE117" s="355"/>
      <c r="AF117" s="414">
        <f t="shared" si="163"/>
        <v>1</v>
      </c>
      <c r="AG117" s="347"/>
      <c r="AH117" s="355"/>
      <c r="AI117" s="347"/>
      <c r="AJ117" s="355">
        <v>1</v>
      </c>
      <c r="AK117" s="347"/>
      <c r="AL117" s="355"/>
      <c r="AM117" s="347"/>
      <c r="AN117" s="355"/>
      <c r="AO117" s="347"/>
      <c r="AP117" s="355"/>
      <c r="AQ117" s="414">
        <f t="shared" si="164"/>
        <v>1</v>
      </c>
      <c r="AR117" s="347"/>
      <c r="AS117" s="355"/>
      <c r="AT117" s="347"/>
      <c r="AU117" s="355"/>
      <c r="AV117" s="347"/>
      <c r="AW117" s="355"/>
      <c r="AX117" s="347"/>
      <c r="AY117" s="355"/>
      <c r="AZ117" s="347"/>
      <c r="BA117" s="355"/>
      <c r="BB117" s="347"/>
      <c r="BC117" s="355"/>
      <c r="BD117" s="414">
        <f t="shared" si="165"/>
        <v>0</v>
      </c>
      <c r="BE117" s="347"/>
      <c r="BF117" s="355"/>
      <c r="BG117" s="347"/>
      <c r="BH117" s="355"/>
      <c r="BI117" s="347"/>
      <c r="BJ117" s="355"/>
      <c r="BK117" s="347"/>
      <c r="BL117" s="355"/>
      <c r="BM117" s="347"/>
      <c r="BN117" s="355"/>
      <c r="BO117" s="347"/>
      <c r="BP117" s="355"/>
      <c r="BQ117" s="414">
        <f t="shared" si="166"/>
        <v>0</v>
      </c>
      <c r="BR117" s="347"/>
      <c r="BS117" s="355"/>
      <c r="BT117" s="347"/>
      <c r="BU117" s="355"/>
      <c r="BV117" s="347"/>
      <c r="BW117" s="355"/>
      <c r="BX117" s="347"/>
      <c r="BY117" s="355"/>
      <c r="BZ117" s="347"/>
      <c r="CA117" s="355"/>
      <c r="CB117" s="347"/>
      <c r="CC117" s="355"/>
      <c r="CD117" s="414">
        <f t="shared" si="167"/>
        <v>0</v>
      </c>
      <c r="CE117" s="347"/>
      <c r="CF117" s="355"/>
      <c r="CG117" s="347"/>
      <c r="CH117" s="355"/>
      <c r="CI117" s="347"/>
      <c r="CJ117" s="355"/>
      <c r="CK117" s="347"/>
      <c r="CL117" s="355"/>
      <c r="CM117" s="347"/>
      <c r="CN117" s="355"/>
      <c r="CO117" s="347"/>
      <c r="CP117" s="355"/>
      <c r="CQ117" s="414">
        <f t="shared" si="168"/>
        <v>0</v>
      </c>
      <c r="CR117" s="347"/>
      <c r="CS117" s="355"/>
      <c r="CT117" s="347"/>
      <c r="CU117" s="355"/>
      <c r="CV117" s="347"/>
      <c r="CW117" s="355"/>
      <c r="CX117" s="347"/>
      <c r="CY117" s="355"/>
      <c r="CZ117" s="414">
        <f t="shared" si="169"/>
        <v>0</v>
      </c>
      <c r="DA117" s="347"/>
      <c r="DB117" s="355"/>
      <c r="DC117" s="414">
        <f t="shared" si="170"/>
        <v>0</v>
      </c>
      <c r="DD117" s="356">
        <f>+$U$117+$AF$117+$AQ$117+$BD$117+$BQ$117+$CD$117+$CQ$117+$CZ$117+$DC$117</f>
        <v>8</v>
      </c>
    </row>
    <row r="118" spans="1:108" ht="17.45" customHeight="1">
      <c r="A118" s="357"/>
      <c r="B118" s="357"/>
      <c r="C118" s="357"/>
      <c r="D118" s="357"/>
      <c r="E118" s="357"/>
      <c r="F118" s="357"/>
      <c r="G118" s="347" t="s">
        <v>1074</v>
      </c>
      <c r="H118" s="347" t="s">
        <v>1075</v>
      </c>
      <c r="I118" s="347"/>
      <c r="J118" s="355"/>
      <c r="K118" s="347"/>
      <c r="L118" s="355">
        <v>34</v>
      </c>
      <c r="M118" s="347"/>
      <c r="N118" s="355">
        <v>360</v>
      </c>
      <c r="O118" s="347"/>
      <c r="P118" s="355">
        <v>127</v>
      </c>
      <c r="Q118" s="347"/>
      <c r="R118" s="355"/>
      <c r="S118" s="347"/>
      <c r="T118" s="355"/>
      <c r="U118" s="414">
        <f t="shared" si="162"/>
        <v>521</v>
      </c>
      <c r="V118" s="347"/>
      <c r="W118" s="355"/>
      <c r="X118" s="347"/>
      <c r="Y118" s="355"/>
      <c r="Z118" s="347"/>
      <c r="AA118" s="355">
        <v>146</v>
      </c>
      <c r="AB118" s="347"/>
      <c r="AC118" s="355">
        <v>294</v>
      </c>
      <c r="AD118" s="347"/>
      <c r="AE118" s="355"/>
      <c r="AF118" s="414">
        <f t="shared" si="163"/>
        <v>440</v>
      </c>
      <c r="AG118" s="347"/>
      <c r="AH118" s="355"/>
      <c r="AI118" s="347"/>
      <c r="AJ118" s="355">
        <v>8</v>
      </c>
      <c r="AK118" s="347"/>
      <c r="AL118" s="355">
        <v>400</v>
      </c>
      <c r="AM118" s="347"/>
      <c r="AN118" s="355">
        <v>245</v>
      </c>
      <c r="AO118" s="347"/>
      <c r="AP118" s="355"/>
      <c r="AQ118" s="414">
        <f t="shared" si="164"/>
        <v>653</v>
      </c>
      <c r="AR118" s="347"/>
      <c r="AS118" s="355"/>
      <c r="AT118" s="347"/>
      <c r="AU118" s="355">
        <v>315</v>
      </c>
      <c r="AV118" s="347"/>
      <c r="AW118" s="355">
        <v>234</v>
      </c>
      <c r="AX118" s="347"/>
      <c r="AY118" s="355"/>
      <c r="AZ118" s="347"/>
      <c r="BA118" s="355"/>
      <c r="BB118" s="347"/>
      <c r="BC118" s="355"/>
      <c r="BD118" s="414">
        <f t="shared" si="165"/>
        <v>549</v>
      </c>
      <c r="BE118" s="347"/>
      <c r="BF118" s="355"/>
      <c r="BG118" s="347"/>
      <c r="BH118" s="355"/>
      <c r="BI118" s="347"/>
      <c r="BJ118" s="355">
        <v>160</v>
      </c>
      <c r="BK118" s="347"/>
      <c r="BL118" s="355">
        <v>340</v>
      </c>
      <c r="BM118" s="347"/>
      <c r="BN118" s="355">
        <v>82</v>
      </c>
      <c r="BO118" s="347"/>
      <c r="BP118" s="355"/>
      <c r="BQ118" s="414">
        <f t="shared" si="166"/>
        <v>582</v>
      </c>
      <c r="BR118" s="347"/>
      <c r="BS118" s="355"/>
      <c r="BT118" s="347"/>
      <c r="BU118" s="355"/>
      <c r="BV118" s="347"/>
      <c r="BW118" s="355">
        <v>52</v>
      </c>
      <c r="BX118" s="347"/>
      <c r="BY118" s="355">
        <v>250</v>
      </c>
      <c r="BZ118" s="347"/>
      <c r="CA118" s="355"/>
      <c r="CB118" s="347"/>
      <c r="CC118" s="355"/>
      <c r="CD118" s="414">
        <f t="shared" si="167"/>
        <v>302</v>
      </c>
      <c r="CE118" s="347"/>
      <c r="CF118" s="355"/>
      <c r="CG118" s="347"/>
      <c r="CH118" s="355"/>
      <c r="CI118" s="347"/>
      <c r="CJ118" s="355"/>
      <c r="CK118" s="347"/>
      <c r="CL118" s="355">
        <v>271</v>
      </c>
      <c r="CM118" s="347"/>
      <c r="CN118" s="355">
        <v>254</v>
      </c>
      <c r="CO118" s="347"/>
      <c r="CP118" s="355"/>
      <c r="CQ118" s="414">
        <f t="shared" si="168"/>
        <v>525</v>
      </c>
      <c r="CR118" s="347"/>
      <c r="CS118" s="355"/>
      <c r="CT118" s="347"/>
      <c r="CU118" s="355">
        <v>194</v>
      </c>
      <c r="CV118" s="347"/>
      <c r="CW118" s="355">
        <v>240</v>
      </c>
      <c r="CX118" s="347"/>
      <c r="CY118" s="355"/>
      <c r="CZ118" s="414">
        <f t="shared" si="169"/>
        <v>434</v>
      </c>
      <c r="DA118" s="347"/>
      <c r="DB118" s="355"/>
      <c r="DC118" s="414">
        <f t="shared" si="170"/>
        <v>0</v>
      </c>
      <c r="DD118" s="356">
        <f>+$U$118+$AF$118+$AQ$118+$BD$118+$BQ$118+$CD$118+$CQ$118+$CZ$118+$DC$118</f>
        <v>4006</v>
      </c>
    </row>
    <row r="119" spans="1:108" ht="17.45" customHeight="1">
      <c r="A119" s="357"/>
      <c r="B119" s="357"/>
      <c r="C119" s="357"/>
      <c r="D119" s="357"/>
      <c r="E119" s="357"/>
      <c r="F119" s="357"/>
      <c r="G119" s="347" t="s">
        <v>1076</v>
      </c>
      <c r="H119" s="347" t="s">
        <v>1077</v>
      </c>
      <c r="I119" s="347"/>
      <c r="J119" s="355"/>
      <c r="K119" s="347"/>
      <c r="L119" s="355"/>
      <c r="M119" s="347"/>
      <c r="N119" s="355"/>
      <c r="O119" s="347"/>
      <c r="P119" s="355">
        <v>233</v>
      </c>
      <c r="Q119" s="347"/>
      <c r="R119" s="355">
        <v>74</v>
      </c>
      <c r="S119" s="347"/>
      <c r="T119" s="355"/>
      <c r="U119" s="414">
        <f t="shared" si="162"/>
        <v>307</v>
      </c>
      <c r="V119" s="347"/>
      <c r="W119" s="355"/>
      <c r="X119" s="347"/>
      <c r="Y119" s="355"/>
      <c r="Z119" s="347"/>
      <c r="AA119" s="355"/>
      <c r="AB119" s="347"/>
      <c r="AC119" s="355">
        <v>56</v>
      </c>
      <c r="AD119" s="347"/>
      <c r="AE119" s="355">
        <v>500</v>
      </c>
      <c r="AF119" s="414">
        <f t="shared" si="163"/>
        <v>556</v>
      </c>
      <c r="AG119" s="347"/>
      <c r="AH119" s="355">
        <v>12</v>
      </c>
      <c r="AI119" s="347"/>
      <c r="AJ119" s="355"/>
      <c r="AK119" s="347"/>
      <c r="AL119" s="355"/>
      <c r="AM119" s="347"/>
      <c r="AN119" s="355">
        <v>155</v>
      </c>
      <c r="AO119" s="347"/>
      <c r="AP119" s="355">
        <v>131</v>
      </c>
      <c r="AQ119" s="414">
        <f t="shared" si="164"/>
        <v>298</v>
      </c>
      <c r="AR119" s="347"/>
      <c r="AS119" s="355"/>
      <c r="AT119" s="347"/>
      <c r="AU119" s="355"/>
      <c r="AV119" s="347"/>
      <c r="AW119" s="355">
        <v>106</v>
      </c>
      <c r="AX119" s="347"/>
      <c r="AY119" s="355">
        <v>340</v>
      </c>
      <c r="AZ119" s="347"/>
      <c r="BA119" s="355">
        <v>340</v>
      </c>
      <c r="BB119" s="347"/>
      <c r="BC119" s="355">
        <v>253</v>
      </c>
      <c r="BD119" s="414">
        <f t="shared" si="165"/>
        <v>1039</v>
      </c>
      <c r="BE119" s="347"/>
      <c r="BF119" s="355"/>
      <c r="BG119" s="347"/>
      <c r="BH119" s="355"/>
      <c r="BI119" s="347"/>
      <c r="BJ119" s="355"/>
      <c r="BK119" s="347"/>
      <c r="BL119" s="355"/>
      <c r="BM119" s="347"/>
      <c r="BN119" s="355">
        <v>182</v>
      </c>
      <c r="BO119" s="347"/>
      <c r="BP119" s="355"/>
      <c r="BQ119" s="414">
        <f t="shared" si="166"/>
        <v>182</v>
      </c>
      <c r="BR119" s="347"/>
      <c r="BS119" s="355"/>
      <c r="BT119" s="347"/>
      <c r="BU119" s="355"/>
      <c r="BV119" s="347"/>
      <c r="BW119" s="355"/>
      <c r="BX119" s="347"/>
      <c r="BY119" s="355">
        <v>124</v>
      </c>
      <c r="BZ119" s="347"/>
      <c r="CA119" s="355">
        <v>168</v>
      </c>
      <c r="CB119" s="347"/>
      <c r="CC119" s="355"/>
      <c r="CD119" s="414">
        <f t="shared" si="167"/>
        <v>292</v>
      </c>
      <c r="CE119" s="347"/>
      <c r="CF119" s="355"/>
      <c r="CG119" s="347"/>
      <c r="CH119" s="355"/>
      <c r="CI119" s="347"/>
      <c r="CJ119" s="355"/>
      <c r="CK119" s="347"/>
      <c r="CL119" s="355"/>
      <c r="CM119" s="347"/>
      <c r="CN119" s="355">
        <v>86</v>
      </c>
      <c r="CO119" s="347"/>
      <c r="CP119" s="355">
        <v>177</v>
      </c>
      <c r="CQ119" s="414">
        <f t="shared" si="168"/>
        <v>263</v>
      </c>
      <c r="CR119" s="347"/>
      <c r="CS119" s="355"/>
      <c r="CT119" s="347"/>
      <c r="CU119" s="355"/>
      <c r="CV119" s="347"/>
      <c r="CW119" s="355">
        <v>100</v>
      </c>
      <c r="CX119" s="347"/>
      <c r="CY119" s="355">
        <v>220</v>
      </c>
      <c r="CZ119" s="414">
        <f t="shared" si="169"/>
        <v>320</v>
      </c>
      <c r="DA119" s="347"/>
      <c r="DB119" s="355"/>
      <c r="DC119" s="414">
        <f t="shared" si="170"/>
        <v>0</v>
      </c>
      <c r="DD119" s="356">
        <f>+$U$119+$AF$119+$AQ$119+$BD$119+$BQ$119+$CD$119+$CQ$119+$CZ$119+$DC$119</f>
        <v>3257</v>
      </c>
    </row>
    <row r="120" spans="1:108" ht="17.45" customHeight="1">
      <c r="A120" s="357"/>
      <c r="B120" s="357"/>
      <c r="C120" s="357"/>
      <c r="D120" s="357"/>
      <c r="E120" s="357"/>
      <c r="F120" s="357"/>
      <c r="G120" s="347" t="s">
        <v>1078</v>
      </c>
      <c r="H120" s="347" t="s">
        <v>1079</v>
      </c>
      <c r="I120" s="347"/>
      <c r="J120" s="355"/>
      <c r="K120" s="347"/>
      <c r="L120" s="355"/>
      <c r="M120" s="347"/>
      <c r="N120" s="355"/>
      <c r="O120" s="347"/>
      <c r="P120" s="355"/>
      <c r="Q120" s="347"/>
      <c r="R120" s="355">
        <v>259</v>
      </c>
      <c r="S120" s="347"/>
      <c r="T120" s="355"/>
      <c r="U120" s="414">
        <f t="shared" si="162"/>
        <v>259</v>
      </c>
      <c r="V120" s="347"/>
      <c r="W120" s="355"/>
      <c r="X120" s="347"/>
      <c r="Y120" s="355"/>
      <c r="Z120" s="347"/>
      <c r="AA120" s="355"/>
      <c r="AB120" s="347"/>
      <c r="AC120" s="355"/>
      <c r="AD120" s="347"/>
      <c r="AE120" s="355"/>
      <c r="AF120" s="414">
        <f t="shared" si="163"/>
        <v>0</v>
      </c>
      <c r="AG120" s="347"/>
      <c r="AH120" s="355">
        <v>98</v>
      </c>
      <c r="AI120" s="347"/>
      <c r="AJ120" s="355">
        <v>85</v>
      </c>
      <c r="AK120" s="347"/>
      <c r="AL120" s="355"/>
      <c r="AM120" s="347"/>
      <c r="AN120" s="355"/>
      <c r="AO120" s="347"/>
      <c r="AP120" s="355">
        <v>210</v>
      </c>
      <c r="AQ120" s="414">
        <f t="shared" si="164"/>
        <v>393</v>
      </c>
      <c r="AR120" s="347"/>
      <c r="AS120" s="355"/>
      <c r="AT120" s="347"/>
      <c r="AU120" s="355"/>
      <c r="AV120" s="347"/>
      <c r="AW120" s="355"/>
      <c r="AX120" s="347"/>
      <c r="AY120" s="355"/>
      <c r="AZ120" s="347"/>
      <c r="BA120" s="355"/>
      <c r="BB120" s="347"/>
      <c r="BC120" s="355">
        <v>82</v>
      </c>
      <c r="BD120" s="414">
        <f t="shared" si="165"/>
        <v>82</v>
      </c>
      <c r="BE120" s="347"/>
      <c r="BF120" s="355"/>
      <c r="BG120" s="347"/>
      <c r="BH120" s="355"/>
      <c r="BI120" s="347"/>
      <c r="BJ120" s="355"/>
      <c r="BK120" s="347"/>
      <c r="BL120" s="355"/>
      <c r="BM120" s="347"/>
      <c r="BN120" s="355">
        <v>74</v>
      </c>
      <c r="BO120" s="347"/>
      <c r="BP120" s="355"/>
      <c r="BQ120" s="414">
        <f t="shared" si="166"/>
        <v>74</v>
      </c>
      <c r="BR120" s="347"/>
      <c r="BS120" s="355"/>
      <c r="BT120" s="347"/>
      <c r="BU120" s="355"/>
      <c r="BV120" s="347"/>
      <c r="BW120" s="355"/>
      <c r="BX120" s="347"/>
      <c r="BY120" s="355"/>
      <c r="BZ120" s="347"/>
      <c r="CA120" s="355">
        <v>191</v>
      </c>
      <c r="CB120" s="347"/>
      <c r="CC120" s="355"/>
      <c r="CD120" s="414">
        <f t="shared" si="167"/>
        <v>191</v>
      </c>
      <c r="CE120" s="347"/>
      <c r="CF120" s="355"/>
      <c r="CG120" s="347"/>
      <c r="CH120" s="355"/>
      <c r="CI120" s="347"/>
      <c r="CJ120" s="355"/>
      <c r="CK120" s="347"/>
      <c r="CL120" s="355"/>
      <c r="CM120" s="347"/>
      <c r="CN120" s="355"/>
      <c r="CO120" s="347"/>
      <c r="CP120" s="355">
        <v>152</v>
      </c>
      <c r="CQ120" s="414">
        <f t="shared" si="168"/>
        <v>152</v>
      </c>
      <c r="CR120" s="347"/>
      <c r="CS120" s="355"/>
      <c r="CT120" s="347"/>
      <c r="CU120" s="355"/>
      <c r="CV120" s="347"/>
      <c r="CW120" s="355"/>
      <c r="CX120" s="347"/>
      <c r="CY120" s="355">
        <v>114</v>
      </c>
      <c r="CZ120" s="414">
        <f t="shared" si="169"/>
        <v>114</v>
      </c>
      <c r="DA120" s="347"/>
      <c r="DB120" s="355"/>
      <c r="DC120" s="414">
        <f t="shared" si="170"/>
        <v>0</v>
      </c>
      <c r="DD120" s="356">
        <f>+$U$120+$AF$120+$AQ$120+$BD$120+$BQ$120+$CD$120+$CQ$120+$CZ$120+$DC$120</f>
        <v>1265</v>
      </c>
    </row>
    <row r="121" spans="1:108" ht="17.45" customHeight="1">
      <c r="A121" s="357"/>
      <c r="B121" s="357"/>
      <c r="C121" s="357"/>
      <c r="D121" s="357"/>
      <c r="E121" s="357"/>
      <c r="F121" s="357"/>
      <c r="G121" s="347" t="s">
        <v>1225</v>
      </c>
      <c r="H121" s="347" t="s">
        <v>1787</v>
      </c>
      <c r="I121" s="347"/>
      <c r="J121" s="355"/>
      <c r="K121" s="347"/>
      <c r="L121" s="355"/>
      <c r="M121" s="347"/>
      <c r="N121" s="355"/>
      <c r="O121" s="347"/>
      <c r="P121" s="355"/>
      <c r="Q121" s="347"/>
      <c r="R121" s="355">
        <v>17</v>
      </c>
      <c r="S121" s="347"/>
      <c r="T121" s="355"/>
      <c r="U121" s="414">
        <f t="shared" si="162"/>
        <v>17</v>
      </c>
      <c r="V121" s="347"/>
      <c r="W121" s="355"/>
      <c r="X121" s="347"/>
      <c r="Y121" s="355"/>
      <c r="Z121" s="347"/>
      <c r="AA121" s="355"/>
      <c r="AB121" s="347"/>
      <c r="AC121" s="355"/>
      <c r="AD121" s="347"/>
      <c r="AE121" s="355"/>
      <c r="AF121" s="414">
        <f t="shared" si="163"/>
        <v>0</v>
      </c>
      <c r="AG121" s="347"/>
      <c r="AH121" s="355"/>
      <c r="AI121" s="347"/>
      <c r="AJ121" s="355"/>
      <c r="AK121" s="347"/>
      <c r="AL121" s="355"/>
      <c r="AM121" s="347"/>
      <c r="AN121" s="355"/>
      <c r="AO121" s="347"/>
      <c r="AP121" s="355">
        <v>6</v>
      </c>
      <c r="AQ121" s="414">
        <f t="shared" si="164"/>
        <v>6</v>
      </c>
      <c r="AR121" s="347"/>
      <c r="AS121" s="355"/>
      <c r="AT121" s="347"/>
      <c r="AU121" s="355"/>
      <c r="AV121" s="347"/>
      <c r="AW121" s="355"/>
      <c r="AX121" s="347"/>
      <c r="AY121" s="355"/>
      <c r="AZ121" s="347"/>
      <c r="BA121" s="355"/>
      <c r="BB121" s="347"/>
      <c r="BC121" s="355"/>
      <c r="BD121" s="414">
        <f t="shared" si="165"/>
        <v>0</v>
      </c>
      <c r="BE121" s="347"/>
      <c r="BF121" s="355"/>
      <c r="BG121" s="347"/>
      <c r="BH121" s="355"/>
      <c r="BI121" s="347"/>
      <c r="BJ121" s="355"/>
      <c r="BK121" s="347"/>
      <c r="BL121" s="355"/>
      <c r="BM121" s="347"/>
      <c r="BN121" s="355">
        <v>1</v>
      </c>
      <c r="BO121" s="347"/>
      <c r="BP121" s="355"/>
      <c r="BQ121" s="414">
        <f t="shared" si="166"/>
        <v>1</v>
      </c>
      <c r="BR121" s="347"/>
      <c r="BS121" s="355"/>
      <c r="BT121" s="347"/>
      <c r="BU121" s="355"/>
      <c r="BV121" s="347"/>
      <c r="BW121" s="355"/>
      <c r="BX121" s="347"/>
      <c r="BY121" s="355"/>
      <c r="BZ121" s="347"/>
      <c r="CA121" s="355">
        <v>9</v>
      </c>
      <c r="CB121" s="347"/>
      <c r="CC121" s="355"/>
      <c r="CD121" s="414">
        <f t="shared" si="167"/>
        <v>9</v>
      </c>
      <c r="CE121" s="347"/>
      <c r="CF121" s="355"/>
      <c r="CG121" s="347"/>
      <c r="CH121" s="355"/>
      <c r="CI121" s="347"/>
      <c r="CJ121" s="355"/>
      <c r="CK121" s="347"/>
      <c r="CL121" s="355"/>
      <c r="CM121" s="347"/>
      <c r="CN121" s="355"/>
      <c r="CO121" s="347"/>
      <c r="CP121" s="355">
        <v>7</v>
      </c>
      <c r="CQ121" s="414">
        <f t="shared" si="168"/>
        <v>7</v>
      </c>
      <c r="CR121" s="347"/>
      <c r="CS121" s="355"/>
      <c r="CT121" s="347"/>
      <c r="CU121" s="355"/>
      <c r="CV121" s="347"/>
      <c r="CW121" s="355"/>
      <c r="CX121" s="347"/>
      <c r="CY121" s="355">
        <v>3</v>
      </c>
      <c r="CZ121" s="414">
        <f t="shared" si="169"/>
        <v>3</v>
      </c>
      <c r="DA121" s="347"/>
      <c r="DB121" s="355"/>
      <c r="DC121" s="414">
        <f t="shared" si="170"/>
        <v>0</v>
      </c>
      <c r="DD121" s="356">
        <f>+$U$121+$AF$121+$AQ$121+$BD$121+$BQ$121+$CD$121+$CQ$121+$CZ$121+$DC$121</f>
        <v>43</v>
      </c>
    </row>
    <row r="122" spans="1:108" ht="17.45" customHeight="1">
      <c r="A122" s="357"/>
      <c r="B122" s="357"/>
      <c r="C122" s="357"/>
      <c r="D122" s="357"/>
      <c r="E122" s="357"/>
      <c r="F122" s="357"/>
      <c r="G122" s="354" t="s">
        <v>1226</v>
      </c>
      <c r="H122" s="354" t="s">
        <v>1788</v>
      </c>
      <c r="I122" s="354"/>
      <c r="J122" s="391"/>
      <c r="K122" s="354"/>
      <c r="L122" s="391"/>
      <c r="M122" s="354"/>
      <c r="N122" s="391"/>
      <c r="O122" s="354"/>
      <c r="P122" s="391"/>
      <c r="Q122" s="354"/>
      <c r="R122" s="391">
        <v>10</v>
      </c>
      <c r="S122" s="354"/>
      <c r="T122" s="391"/>
      <c r="U122" s="416">
        <f t="shared" si="162"/>
        <v>10</v>
      </c>
      <c r="V122" s="354"/>
      <c r="W122" s="391"/>
      <c r="X122" s="354"/>
      <c r="Y122" s="391"/>
      <c r="Z122" s="354"/>
      <c r="AA122" s="391"/>
      <c r="AB122" s="354"/>
      <c r="AC122" s="391"/>
      <c r="AD122" s="354"/>
      <c r="AE122" s="391"/>
      <c r="AF122" s="416">
        <f t="shared" si="163"/>
        <v>0</v>
      </c>
      <c r="AG122" s="354"/>
      <c r="AH122" s="391"/>
      <c r="AI122" s="354"/>
      <c r="AJ122" s="391">
        <v>5</v>
      </c>
      <c r="AK122" s="354"/>
      <c r="AL122" s="391"/>
      <c r="AM122" s="354"/>
      <c r="AN122" s="391"/>
      <c r="AO122" s="354"/>
      <c r="AP122" s="391">
        <v>3</v>
      </c>
      <c r="AQ122" s="416">
        <f t="shared" si="164"/>
        <v>8</v>
      </c>
      <c r="AR122" s="354"/>
      <c r="AS122" s="391"/>
      <c r="AT122" s="354"/>
      <c r="AU122" s="391"/>
      <c r="AV122" s="354"/>
      <c r="AW122" s="391"/>
      <c r="AX122" s="354"/>
      <c r="AY122" s="391"/>
      <c r="AZ122" s="354"/>
      <c r="BA122" s="391"/>
      <c r="BB122" s="354"/>
      <c r="BC122" s="391">
        <v>5</v>
      </c>
      <c r="BD122" s="416">
        <f t="shared" si="165"/>
        <v>5</v>
      </c>
      <c r="BE122" s="354"/>
      <c r="BF122" s="391"/>
      <c r="BG122" s="354"/>
      <c r="BH122" s="391"/>
      <c r="BI122" s="354"/>
      <c r="BJ122" s="391"/>
      <c r="BK122" s="354"/>
      <c r="BL122" s="391"/>
      <c r="BM122" s="354"/>
      <c r="BN122" s="391">
        <v>1</v>
      </c>
      <c r="BO122" s="354"/>
      <c r="BP122" s="391"/>
      <c r="BQ122" s="416">
        <f t="shared" si="166"/>
        <v>1</v>
      </c>
      <c r="BR122" s="354"/>
      <c r="BS122" s="391"/>
      <c r="BT122" s="354"/>
      <c r="BU122" s="391"/>
      <c r="BV122" s="354"/>
      <c r="BW122" s="391"/>
      <c r="BX122" s="354"/>
      <c r="BY122" s="391"/>
      <c r="BZ122" s="354"/>
      <c r="CA122" s="391">
        <v>6</v>
      </c>
      <c r="CB122" s="354"/>
      <c r="CC122" s="391"/>
      <c r="CD122" s="416">
        <f t="shared" si="167"/>
        <v>6</v>
      </c>
      <c r="CE122" s="354"/>
      <c r="CF122" s="391"/>
      <c r="CG122" s="354"/>
      <c r="CH122" s="391"/>
      <c r="CI122" s="354"/>
      <c r="CJ122" s="391"/>
      <c r="CK122" s="354"/>
      <c r="CL122" s="391"/>
      <c r="CM122" s="354"/>
      <c r="CN122" s="391"/>
      <c r="CO122" s="354"/>
      <c r="CP122" s="391">
        <v>4</v>
      </c>
      <c r="CQ122" s="416">
        <f t="shared" si="168"/>
        <v>4</v>
      </c>
      <c r="CR122" s="354"/>
      <c r="CS122" s="391"/>
      <c r="CT122" s="354"/>
      <c r="CU122" s="391"/>
      <c r="CV122" s="354"/>
      <c r="CW122" s="391"/>
      <c r="CX122" s="354"/>
      <c r="CY122" s="391">
        <v>3</v>
      </c>
      <c r="CZ122" s="416">
        <f t="shared" si="169"/>
        <v>3</v>
      </c>
      <c r="DA122" s="354"/>
      <c r="DB122" s="391"/>
      <c r="DC122" s="416">
        <f t="shared" si="170"/>
        <v>0</v>
      </c>
      <c r="DD122" s="393">
        <f>+$U$122+$AF$122+$AQ$122+$BD$122+$BQ$122+$CD$122+$CQ$122+$CZ$122+$DC$122</f>
        <v>37</v>
      </c>
    </row>
    <row r="123" spans="1:108" ht="17.45" customHeight="1">
      <c r="A123" s="357"/>
      <c r="B123" s="339"/>
      <c r="C123" s="385" t="s">
        <v>1827</v>
      </c>
      <c r="D123" s="386"/>
      <c r="E123" s="386"/>
      <c r="F123" s="386"/>
      <c r="G123" s="386"/>
      <c r="H123" s="387"/>
      <c r="I123" s="387"/>
      <c r="J123" s="388">
        <f>+$J$122+$J$121+$J$120+$J$119+$J$118+$J$117+$J$116+$J$115+$J$114+$J$113+$J$112</f>
        <v>360</v>
      </c>
      <c r="K123" s="387"/>
      <c r="L123" s="388">
        <f>+$L$122+$L$121+$L$120+$L$119+$L$118+$L$117+$L$116+$L$115+$L$114+$L$113+$L$112</f>
        <v>360</v>
      </c>
      <c r="M123" s="387"/>
      <c r="N123" s="388">
        <f>+$N$122+$N$121+$N$120+$N$119+$N$118+$N$117+$N$116+$N$115+$N$114+$N$113+$N$112</f>
        <v>360</v>
      </c>
      <c r="O123" s="387"/>
      <c r="P123" s="388">
        <f>+$P$122+$P$121+$P$120+$P$119+$P$118+$P$117+$P$116+$P$115+$P$114+$P$113+$P$112</f>
        <v>360</v>
      </c>
      <c r="Q123" s="387"/>
      <c r="R123" s="388">
        <f>+$R$122+$R$121+$R$120+$R$119+$R$118+$R$117+$R$116+$R$115+$R$114+$R$113+$R$112</f>
        <v>360</v>
      </c>
      <c r="S123" s="387"/>
      <c r="T123" s="388">
        <f>+$T$122+$T$121+$T$120+$T$119+$T$118+$T$117+$T$116+$T$115+$T$114+$T$113+$T$112</f>
        <v>0</v>
      </c>
      <c r="U123" s="414">
        <f t="shared" si="162"/>
        <v>1800</v>
      </c>
      <c r="V123" s="387"/>
      <c r="W123" s="388">
        <f>+$W$122+$W$121+$W$120+$W$119+$W$118+$W$117+$W$116+$W$115+$W$114+$W$113+$W$112</f>
        <v>350</v>
      </c>
      <c r="X123" s="387"/>
      <c r="Y123" s="388">
        <f>+$Y$122+$Y$121+$Y$120+$Y$119+$Y$118+$Y$117+$Y$116+$Y$115+$Y$114+$Y$113+$Y$112</f>
        <v>350</v>
      </c>
      <c r="Z123" s="387"/>
      <c r="AA123" s="388">
        <f>+$AA$122+$AA$121+$AA$120+$AA$119+$AA$118+$AA$117+$AA$116+$AA$115+$AA$114+$AA$113+$AA$112</f>
        <v>350</v>
      </c>
      <c r="AB123" s="387"/>
      <c r="AC123" s="388">
        <f>+$AC$122+$AC$121+$AC$120+$AC$119+$AC$118+$AC$117+$AC$116+$AC$115+$AC$114+$AC$113+$AC$112</f>
        <v>350</v>
      </c>
      <c r="AD123" s="387"/>
      <c r="AE123" s="388">
        <f>+$AE$122+$AE$121+$AE$120+$AE$119+$AE$118+$AE$117+$AE$116+$AE$115+$AE$114+$AE$113+$AE$112</f>
        <v>500</v>
      </c>
      <c r="AF123" s="414">
        <f t="shared" si="163"/>
        <v>1900</v>
      </c>
      <c r="AG123" s="387"/>
      <c r="AH123" s="388">
        <f>+$AH$122+$AH$121+$AH$120+$AH$119+$AH$118+$AH$117+$AH$116+$AH$115+$AH$114+$AH$113+$AH$112</f>
        <v>400</v>
      </c>
      <c r="AI123" s="387"/>
      <c r="AJ123" s="388">
        <f>+$AJ$122+$AJ$121+$AJ$120+$AJ$119+$AJ$118+$AJ$117+$AJ$116+$AJ$115+$AJ$114+$AJ$113+$AJ$112</f>
        <v>400</v>
      </c>
      <c r="AK123" s="387"/>
      <c r="AL123" s="388">
        <f>+$AL$122+$AL$121+$AL$120+$AL$119+$AL$118+$AL$117+$AL$116+$AL$115+$AL$114+$AL$113+$AL$112</f>
        <v>400</v>
      </c>
      <c r="AM123" s="387"/>
      <c r="AN123" s="388">
        <f>+$AN$122+$AN$121+$AN$120+$AN$119+$AN$118+$AN$117+$AN$116+$AN$115+$AN$114+$AN$113+$AN$112</f>
        <v>400</v>
      </c>
      <c r="AO123" s="387"/>
      <c r="AP123" s="388">
        <f>+$AP$122+$AP$121+$AP$120+$AP$119+$AP$118+$AP$117+$AP$116+$AP$115+$AP$114+$AP$113+$AP$112</f>
        <v>350</v>
      </c>
      <c r="AQ123" s="414">
        <f t="shared" si="164"/>
        <v>1950</v>
      </c>
      <c r="AR123" s="387"/>
      <c r="AS123" s="388">
        <f>+$AS$122+$AS$121+$AS$120+$AS$119+$AS$118+$AS$117+$AS$116+$AS$115+$AS$114+$AS$113+$AS$112</f>
        <v>340</v>
      </c>
      <c r="AT123" s="387"/>
      <c r="AU123" s="388">
        <f>+$AU$122+$AU$121+$AU$120+$AU$119+$AU$118+$AU$117+$AU$116+$AU$115+$AU$114+$AU$113+$AU$112</f>
        <v>340</v>
      </c>
      <c r="AV123" s="387"/>
      <c r="AW123" s="388">
        <f>+$AW$122+$AW$121+$AW$120+$AW$119+$AW$118+$AW$117+$AW$116+$AW$115+$AW$114+$AW$113+$AW$112</f>
        <v>340</v>
      </c>
      <c r="AX123" s="387"/>
      <c r="AY123" s="388">
        <f>+$AY$122+$AY$121+$AY$120+$AY$119+$AY$118+$AY$117+$AY$116+$AY$115+$AY$114+$AY$113+$AY$112</f>
        <v>340</v>
      </c>
      <c r="AZ123" s="387"/>
      <c r="BA123" s="388">
        <f>+$BA$122+$BA$121+$BA$120+$BA$119+$BA$118+$BA$117+$BA$116+$BA$115+$BA$114+$BA$113+$BA$112</f>
        <v>340</v>
      </c>
      <c r="BB123" s="387"/>
      <c r="BC123" s="388">
        <f>+$BC$122+$BC$121+$BC$120+$BC$119+$BC$118+$BC$117+$BC$116+$BC$115+$BC$114+$BC$113+$BC$112</f>
        <v>340</v>
      </c>
      <c r="BD123" s="414">
        <f t="shared" si="165"/>
        <v>2040</v>
      </c>
      <c r="BE123" s="387"/>
      <c r="BF123" s="388">
        <f>+$BF$122+$BF$121+$BF$120+$BF$119+$BF$118+$BF$117+$BF$116+$BF$115+$BF$114+$BF$113+$BF$112</f>
        <v>340</v>
      </c>
      <c r="BG123" s="387"/>
      <c r="BH123" s="388">
        <f>+$BH$122+$BH$121+$BH$120+$BH$119+$BH$118+$BH$117+$BH$116+$BH$115+$BH$114+$BH$113+$BH$112</f>
        <v>340</v>
      </c>
      <c r="BI123" s="387"/>
      <c r="BJ123" s="388">
        <f>+$BJ$122+$BJ$121+$BJ$120+$BJ$119+$BJ$118+$BJ$117+$BJ$116+$BJ$115+$BJ$114+$BJ$113+$BJ$112</f>
        <v>340</v>
      </c>
      <c r="BK123" s="387"/>
      <c r="BL123" s="388">
        <f>+$BL$122+$BL$121+$BL$120+$BL$119+$BL$118+$BL$117+$BL$116+$BL$115+$BL$114+$BL$113+$BL$112</f>
        <v>340</v>
      </c>
      <c r="BM123" s="387"/>
      <c r="BN123" s="388">
        <f>+$BN$122+$BN$121+$BN$120+$BN$119+$BN$118+$BN$117+$BN$116+$BN$115+$BN$114+$BN$113+$BN$112</f>
        <v>340</v>
      </c>
      <c r="BO123" s="387"/>
      <c r="BP123" s="388">
        <f>+$BP$122+$BP$121+$BP$120+$BP$119+$BP$118+$BP$117+$BP$116+$BP$115+$BP$114+$BP$113+$BP$112</f>
        <v>0</v>
      </c>
      <c r="BQ123" s="414">
        <f t="shared" si="166"/>
        <v>1700</v>
      </c>
      <c r="BR123" s="387"/>
      <c r="BS123" s="388">
        <f>+$BS$122+$BS$121+$BS$120+$BS$119+$BS$118+$BS$117+$BS$116+$BS$115+$BS$114+$BS$113+$BS$112</f>
        <v>374</v>
      </c>
      <c r="BT123" s="387"/>
      <c r="BU123" s="388">
        <f>+$BU$122+$BU$121+$BU$120+$BU$119+$BU$118+$BU$117+$BU$116+$BU$115+$BU$114+$BU$113+$BU$112</f>
        <v>374</v>
      </c>
      <c r="BV123" s="387"/>
      <c r="BW123" s="388">
        <f>+$BW$122+$BW$121+$BW$120+$BW$119+$BW$118+$BW$117+$BW$116+$BW$115+$BW$114+$BW$113+$BW$112</f>
        <v>374</v>
      </c>
      <c r="BX123" s="387"/>
      <c r="BY123" s="388">
        <f>+$BY$122+$BY$121+$BY$120+$BY$119+$BY$118+$BY$117+$BY$116+$BY$115+$BY$114+$BY$113+$BY$112</f>
        <v>374</v>
      </c>
      <c r="BZ123" s="387"/>
      <c r="CA123" s="388">
        <f>+$CA$122+$CA$121+$CA$120+$CA$119+$CA$118+$CA$117+$CA$116+$CA$115+$CA$114+$CA$113+$CA$112</f>
        <v>374</v>
      </c>
      <c r="CB123" s="387"/>
      <c r="CC123" s="388">
        <f>+$CC$122+$CC$121+$CC$120+$CC$119+$CC$118+$CC$117+$CC$116+$CC$115+$CC$114+$CC$113+$CC$112</f>
        <v>0</v>
      </c>
      <c r="CD123" s="414">
        <f t="shared" si="167"/>
        <v>1870</v>
      </c>
      <c r="CE123" s="387"/>
      <c r="CF123" s="388">
        <f>+$CF$122+$CF$121+$CF$120+$CF$119+$CF$118+$CF$117+$CF$116+$CF$115+$CF$114+$CF$113+$CF$112</f>
        <v>340</v>
      </c>
      <c r="CG123" s="387"/>
      <c r="CH123" s="388">
        <f>+$CH$122+$CH$121+$CH$120+$CH$119+$CH$118+$CH$117+$CH$116+$CH$115+$CH$114+$CH$113+$CH$112</f>
        <v>340</v>
      </c>
      <c r="CI123" s="387"/>
      <c r="CJ123" s="388">
        <f>+$CJ$122+$CJ$121+$CJ$120+$CJ$119+$CJ$118+$CJ$117+$CJ$116+$CJ$115+$CJ$114+$CJ$113+$CJ$112</f>
        <v>340</v>
      </c>
      <c r="CK123" s="387"/>
      <c r="CL123" s="388">
        <f>+$CL$122+$CL$121+$CL$120+$CL$119+$CL$118+$CL$117+$CL$116+$CL$115+$CL$114+$CL$113+$CL$112</f>
        <v>340</v>
      </c>
      <c r="CM123" s="387"/>
      <c r="CN123" s="388">
        <f>+$CN$122+$CN$121+$CN$120+$CN$119+$CN$118+$CN$117+$CN$116+$CN$115+$CN$114+$CN$113+$CN$112</f>
        <v>340</v>
      </c>
      <c r="CO123" s="387"/>
      <c r="CP123" s="388">
        <f>+$CP$122+$CP$121+$CP$120+$CP$119+$CP$118+$CP$117+$CP$116+$CP$115+$CP$114+$CP$113+$CP$112</f>
        <v>340</v>
      </c>
      <c r="CQ123" s="414">
        <f t="shared" si="168"/>
        <v>2040</v>
      </c>
      <c r="CR123" s="387"/>
      <c r="CS123" s="388">
        <f>+$CS$122+$CS$121+$CS$120+$CS$119+$CS$118+$CS$117+$CS$116+$CS$115+$CS$114+$CS$113+$CS$112</f>
        <v>340</v>
      </c>
      <c r="CT123" s="387"/>
      <c r="CU123" s="388">
        <f>+$CU$122+$CU$121+$CU$120+$CU$119+$CU$118+$CU$117+$CU$116+$CU$115+$CU$114+$CU$113+$CU$112</f>
        <v>340</v>
      </c>
      <c r="CV123" s="387"/>
      <c r="CW123" s="388">
        <f>+$CW$122+$CW$121+$CW$120+$CW$119+$CW$118+$CW$117+$CW$116+$CW$115+$CW$114+$CW$113+$CW$112</f>
        <v>340</v>
      </c>
      <c r="CX123" s="387"/>
      <c r="CY123" s="388">
        <f>+$CY$122+$CY$121+$CY$120+$CY$119+$CY$118+$CY$117+$CY$116+$CY$115+$CY$114+$CY$113+$CY$112</f>
        <v>340</v>
      </c>
      <c r="CZ123" s="414">
        <f t="shared" si="169"/>
        <v>1360</v>
      </c>
      <c r="DA123" s="387"/>
      <c r="DB123" s="388">
        <f>+$DB$122+$DB$121+$DB$120+$DB$119+$DB$118+$DB$117+$DB$116+$DB$115+$DB$114+$DB$113+$DB$112</f>
        <v>255</v>
      </c>
      <c r="DC123" s="414">
        <f t="shared" si="170"/>
        <v>255</v>
      </c>
      <c r="DD123" s="389">
        <f>+$U$123+$AF$123+$AQ$123+$BD$123+$BQ$123+$CD$123+$CQ$123+$CZ$123+$DC$123</f>
        <v>14915</v>
      </c>
    </row>
    <row r="124" spans="1:108" ht="17.45" customHeight="1">
      <c r="A124" s="357"/>
      <c r="B124" s="354" t="s">
        <v>1789</v>
      </c>
      <c r="C124" s="357" t="s">
        <v>1228</v>
      </c>
      <c r="D124" s="357"/>
      <c r="E124" s="357"/>
      <c r="F124" s="357"/>
      <c r="G124" s="358" t="s">
        <v>1229</v>
      </c>
      <c r="H124" s="358" t="s">
        <v>1790</v>
      </c>
      <c r="I124" s="358"/>
      <c r="J124" s="395">
        <v>4</v>
      </c>
      <c r="K124" s="358"/>
      <c r="L124" s="395"/>
      <c r="M124" s="358"/>
      <c r="N124" s="395"/>
      <c r="O124" s="358"/>
      <c r="P124" s="395"/>
      <c r="Q124" s="358"/>
      <c r="R124" s="395"/>
      <c r="S124" s="358"/>
      <c r="T124" s="395"/>
      <c r="U124" s="417">
        <f t="shared" si="162"/>
        <v>4</v>
      </c>
      <c r="V124" s="358"/>
      <c r="W124" s="395">
        <v>8</v>
      </c>
      <c r="X124" s="358"/>
      <c r="Y124" s="395"/>
      <c r="Z124" s="358"/>
      <c r="AA124" s="395"/>
      <c r="AB124" s="358"/>
      <c r="AC124" s="395"/>
      <c r="AD124" s="358"/>
      <c r="AE124" s="395"/>
      <c r="AF124" s="417">
        <f t="shared" si="163"/>
        <v>8</v>
      </c>
      <c r="AG124" s="358"/>
      <c r="AH124" s="395">
        <v>5</v>
      </c>
      <c r="AI124" s="358"/>
      <c r="AJ124" s="395"/>
      <c r="AK124" s="358"/>
      <c r="AL124" s="395"/>
      <c r="AM124" s="358"/>
      <c r="AN124" s="395"/>
      <c r="AO124" s="358"/>
      <c r="AP124" s="395"/>
      <c r="AQ124" s="417">
        <f t="shared" si="164"/>
        <v>5</v>
      </c>
      <c r="AR124" s="358"/>
      <c r="AS124" s="395">
        <v>3</v>
      </c>
      <c r="AT124" s="358"/>
      <c r="AU124" s="395"/>
      <c r="AV124" s="358"/>
      <c r="AW124" s="395"/>
      <c r="AX124" s="358"/>
      <c r="AY124" s="395"/>
      <c r="AZ124" s="358"/>
      <c r="BA124" s="395"/>
      <c r="BB124" s="358"/>
      <c r="BC124" s="395"/>
      <c r="BD124" s="417">
        <f t="shared" si="165"/>
        <v>3</v>
      </c>
      <c r="BE124" s="358"/>
      <c r="BF124" s="395">
        <v>1</v>
      </c>
      <c r="BG124" s="358"/>
      <c r="BH124" s="395"/>
      <c r="BI124" s="358"/>
      <c r="BJ124" s="395"/>
      <c r="BK124" s="358"/>
      <c r="BL124" s="395"/>
      <c r="BM124" s="358"/>
      <c r="BN124" s="395"/>
      <c r="BO124" s="358"/>
      <c r="BP124" s="395"/>
      <c r="BQ124" s="417">
        <f t="shared" si="166"/>
        <v>1</v>
      </c>
      <c r="BR124" s="358"/>
      <c r="BS124" s="395">
        <v>1</v>
      </c>
      <c r="BT124" s="358"/>
      <c r="BU124" s="395"/>
      <c r="BV124" s="358"/>
      <c r="BW124" s="395"/>
      <c r="BX124" s="358"/>
      <c r="BY124" s="395"/>
      <c r="BZ124" s="358"/>
      <c r="CA124" s="395"/>
      <c r="CB124" s="358"/>
      <c r="CC124" s="395"/>
      <c r="CD124" s="417">
        <f t="shared" si="167"/>
        <v>1</v>
      </c>
      <c r="CE124" s="358"/>
      <c r="CF124" s="395">
        <v>19</v>
      </c>
      <c r="CG124" s="358"/>
      <c r="CH124" s="395"/>
      <c r="CI124" s="358"/>
      <c r="CJ124" s="395"/>
      <c r="CK124" s="358"/>
      <c r="CL124" s="395"/>
      <c r="CM124" s="358"/>
      <c r="CN124" s="395"/>
      <c r="CO124" s="358"/>
      <c r="CP124" s="395"/>
      <c r="CQ124" s="417">
        <f t="shared" si="168"/>
        <v>19</v>
      </c>
      <c r="CR124" s="358"/>
      <c r="CS124" s="395">
        <v>20</v>
      </c>
      <c r="CT124" s="358"/>
      <c r="CU124" s="395"/>
      <c r="CV124" s="358"/>
      <c r="CW124" s="395"/>
      <c r="CX124" s="358"/>
      <c r="CY124" s="395"/>
      <c r="CZ124" s="417">
        <f t="shared" si="169"/>
        <v>20</v>
      </c>
      <c r="DA124" s="358"/>
      <c r="DB124" s="395"/>
      <c r="DC124" s="417">
        <f t="shared" si="170"/>
        <v>0</v>
      </c>
      <c r="DD124" s="397">
        <f>+$U$124+$AF$124+$AQ$124+$BD$124+$BQ$124+$CD$124+$CQ$124+$CZ$124+$DC$124</f>
        <v>61</v>
      </c>
    </row>
    <row r="125" spans="1:108" ht="17.45" customHeight="1">
      <c r="A125" s="357"/>
      <c r="B125" s="357"/>
      <c r="C125" s="357"/>
      <c r="D125" s="357"/>
      <c r="E125" s="357"/>
      <c r="F125" s="357"/>
      <c r="G125" s="354" t="s">
        <v>1230</v>
      </c>
      <c r="H125" s="354" t="s">
        <v>1791</v>
      </c>
      <c r="I125" s="354"/>
      <c r="J125" s="391">
        <v>415</v>
      </c>
      <c r="K125" s="354"/>
      <c r="L125" s="391">
        <v>359</v>
      </c>
      <c r="M125" s="354"/>
      <c r="N125" s="391">
        <v>417</v>
      </c>
      <c r="O125" s="354"/>
      <c r="P125" s="391">
        <v>359</v>
      </c>
      <c r="Q125" s="354"/>
      <c r="R125" s="391">
        <v>354</v>
      </c>
      <c r="S125" s="354"/>
      <c r="T125" s="391"/>
      <c r="U125" s="416">
        <f t="shared" si="162"/>
        <v>1904</v>
      </c>
      <c r="V125" s="354"/>
      <c r="W125" s="391">
        <v>452</v>
      </c>
      <c r="X125" s="354"/>
      <c r="Y125" s="391">
        <v>450</v>
      </c>
      <c r="Z125" s="354"/>
      <c r="AA125" s="391">
        <v>449</v>
      </c>
      <c r="AB125" s="354"/>
      <c r="AC125" s="391">
        <v>380</v>
      </c>
      <c r="AD125" s="354"/>
      <c r="AE125" s="391">
        <v>560</v>
      </c>
      <c r="AF125" s="416">
        <f t="shared" si="163"/>
        <v>2291</v>
      </c>
      <c r="AG125" s="354"/>
      <c r="AH125" s="391">
        <v>709</v>
      </c>
      <c r="AI125" s="354"/>
      <c r="AJ125" s="391">
        <v>714</v>
      </c>
      <c r="AK125" s="354"/>
      <c r="AL125" s="391">
        <v>680</v>
      </c>
      <c r="AM125" s="354"/>
      <c r="AN125" s="391">
        <v>544</v>
      </c>
      <c r="AO125" s="354"/>
      <c r="AP125" s="391">
        <v>680</v>
      </c>
      <c r="AQ125" s="416">
        <f t="shared" si="164"/>
        <v>3327</v>
      </c>
      <c r="AR125" s="354"/>
      <c r="AS125" s="391">
        <v>489</v>
      </c>
      <c r="AT125" s="354"/>
      <c r="AU125" s="391">
        <v>675</v>
      </c>
      <c r="AV125" s="354"/>
      <c r="AW125" s="391">
        <v>683</v>
      </c>
      <c r="AX125" s="354"/>
      <c r="AY125" s="391">
        <v>500</v>
      </c>
      <c r="AZ125" s="354"/>
      <c r="BA125" s="391">
        <v>400</v>
      </c>
      <c r="BB125" s="354"/>
      <c r="BC125" s="391">
        <v>280</v>
      </c>
      <c r="BD125" s="416">
        <f t="shared" si="165"/>
        <v>3027</v>
      </c>
      <c r="BE125" s="354"/>
      <c r="BF125" s="391">
        <v>339</v>
      </c>
      <c r="BG125" s="354"/>
      <c r="BH125" s="391">
        <v>340</v>
      </c>
      <c r="BI125" s="354"/>
      <c r="BJ125" s="391">
        <v>340</v>
      </c>
      <c r="BK125" s="354"/>
      <c r="BL125" s="391">
        <v>340</v>
      </c>
      <c r="BM125" s="354"/>
      <c r="BN125" s="391">
        <v>327</v>
      </c>
      <c r="BO125" s="354"/>
      <c r="BP125" s="391">
        <v>604</v>
      </c>
      <c r="BQ125" s="416">
        <f t="shared" si="166"/>
        <v>2290</v>
      </c>
      <c r="BR125" s="354"/>
      <c r="BS125" s="391">
        <v>713</v>
      </c>
      <c r="BT125" s="354"/>
      <c r="BU125" s="391">
        <v>684</v>
      </c>
      <c r="BV125" s="354"/>
      <c r="BW125" s="391">
        <v>544</v>
      </c>
      <c r="BX125" s="354"/>
      <c r="BY125" s="391">
        <v>544</v>
      </c>
      <c r="BZ125" s="354"/>
      <c r="CA125" s="391">
        <v>544</v>
      </c>
      <c r="CB125" s="354"/>
      <c r="CC125" s="391">
        <v>214</v>
      </c>
      <c r="CD125" s="416">
        <f t="shared" si="167"/>
        <v>3243</v>
      </c>
      <c r="CE125" s="354"/>
      <c r="CF125" s="391">
        <v>564</v>
      </c>
      <c r="CG125" s="354"/>
      <c r="CH125" s="391">
        <v>583</v>
      </c>
      <c r="CI125" s="354"/>
      <c r="CJ125" s="391">
        <v>583</v>
      </c>
      <c r="CK125" s="354"/>
      <c r="CL125" s="391">
        <v>583</v>
      </c>
      <c r="CM125" s="354"/>
      <c r="CN125" s="391">
        <v>583</v>
      </c>
      <c r="CO125" s="354"/>
      <c r="CP125" s="391">
        <v>583</v>
      </c>
      <c r="CQ125" s="416">
        <f t="shared" si="168"/>
        <v>3479</v>
      </c>
      <c r="CR125" s="354"/>
      <c r="CS125" s="391">
        <v>573</v>
      </c>
      <c r="CT125" s="354"/>
      <c r="CU125" s="391">
        <v>593</v>
      </c>
      <c r="CV125" s="354"/>
      <c r="CW125" s="391">
        <v>593</v>
      </c>
      <c r="CX125" s="354"/>
      <c r="CY125" s="391">
        <v>592</v>
      </c>
      <c r="CZ125" s="416">
        <f t="shared" si="169"/>
        <v>2351</v>
      </c>
      <c r="DA125" s="354"/>
      <c r="DB125" s="391">
        <v>333</v>
      </c>
      <c r="DC125" s="416">
        <f t="shared" si="170"/>
        <v>333</v>
      </c>
      <c r="DD125" s="393">
        <f>+$U$125+$AF$125+$AQ$125+$BD$125+$BQ$125+$CD$125+$CQ$125+$CZ$125+$DC$125</f>
        <v>22245</v>
      </c>
    </row>
    <row r="126" spans="1:108" ht="17.45" customHeight="1">
      <c r="A126" s="357"/>
      <c r="B126" s="339"/>
      <c r="C126" s="385" t="s">
        <v>1828</v>
      </c>
      <c r="D126" s="386"/>
      <c r="E126" s="386"/>
      <c r="F126" s="386"/>
      <c r="G126" s="386"/>
      <c r="H126" s="387"/>
      <c r="I126" s="387"/>
      <c r="J126" s="388">
        <f>+$J$125+$J$124</f>
        <v>419</v>
      </c>
      <c r="K126" s="387"/>
      <c r="L126" s="388">
        <f>+$L$125+$L$124</f>
        <v>359</v>
      </c>
      <c r="M126" s="387"/>
      <c r="N126" s="388">
        <f>+$N$125+$N$124</f>
        <v>417</v>
      </c>
      <c r="O126" s="387"/>
      <c r="P126" s="388">
        <f>+$P$125+$P$124</f>
        <v>359</v>
      </c>
      <c r="Q126" s="387"/>
      <c r="R126" s="388">
        <f>+$R$125+$R$124</f>
        <v>354</v>
      </c>
      <c r="S126" s="387"/>
      <c r="T126" s="388">
        <f>+$T$125+$T$124</f>
        <v>0</v>
      </c>
      <c r="U126" s="414">
        <f t="shared" si="162"/>
        <v>1908</v>
      </c>
      <c r="V126" s="387"/>
      <c r="W126" s="388">
        <f>+$W$125+$W$124</f>
        <v>460</v>
      </c>
      <c r="X126" s="387"/>
      <c r="Y126" s="388">
        <f>+$Y$125+$Y$124</f>
        <v>450</v>
      </c>
      <c r="Z126" s="387"/>
      <c r="AA126" s="388">
        <f>+$AA$125+$AA$124</f>
        <v>449</v>
      </c>
      <c r="AB126" s="387"/>
      <c r="AC126" s="388">
        <f>+$AC$125+$AC$124</f>
        <v>380</v>
      </c>
      <c r="AD126" s="387"/>
      <c r="AE126" s="388">
        <f>+$AE$125+$AE$124</f>
        <v>560</v>
      </c>
      <c r="AF126" s="414">
        <f t="shared" si="163"/>
        <v>2299</v>
      </c>
      <c r="AG126" s="387"/>
      <c r="AH126" s="388">
        <f>+$AH$125+$AH$124</f>
        <v>714</v>
      </c>
      <c r="AI126" s="387"/>
      <c r="AJ126" s="388">
        <f>+$AJ$125+$AJ$124</f>
        <v>714</v>
      </c>
      <c r="AK126" s="387"/>
      <c r="AL126" s="388">
        <f>+$AL$125+$AL$124</f>
        <v>680</v>
      </c>
      <c r="AM126" s="387"/>
      <c r="AN126" s="388">
        <f>+$AN$125+$AN$124</f>
        <v>544</v>
      </c>
      <c r="AO126" s="387"/>
      <c r="AP126" s="388">
        <f>+$AP$125+$AP$124</f>
        <v>680</v>
      </c>
      <c r="AQ126" s="414">
        <f t="shared" si="164"/>
        <v>3332</v>
      </c>
      <c r="AR126" s="387"/>
      <c r="AS126" s="388">
        <f>+$AS$125+$AS$124</f>
        <v>492</v>
      </c>
      <c r="AT126" s="387"/>
      <c r="AU126" s="388">
        <f>+$AU$125+$AU$124</f>
        <v>675</v>
      </c>
      <c r="AV126" s="387"/>
      <c r="AW126" s="388">
        <f>+$AW$125+$AW$124</f>
        <v>683</v>
      </c>
      <c r="AX126" s="387"/>
      <c r="AY126" s="388">
        <f>+$AY$125+$AY$124</f>
        <v>500</v>
      </c>
      <c r="AZ126" s="387"/>
      <c r="BA126" s="388">
        <f>+$BA$125+$BA$124</f>
        <v>400</v>
      </c>
      <c r="BB126" s="387"/>
      <c r="BC126" s="388">
        <f>+$BC$125+$BC$124</f>
        <v>280</v>
      </c>
      <c r="BD126" s="414">
        <f t="shared" si="165"/>
        <v>3030</v>
      </c>
      <c r="BE126" s="387"/>
      <c r="BF126" s="388">
        <f>+$BF$125+$BF$124</f>
        <v>340</v>
      </c>
      <c r="BG126" s="387"/>
      <c r="BH126" s="388">
        <f>+$BH$125+$BH$124</f>
        <v>340</v>
      </c>
      <c r="BI126" s="387"/>
      <c r="BJ126" s="388">
        <f>+$BJ$125+$BJ$124</f>
        <v>340</v>
      </c>
      <c r="BK126" s="387"/>
      <c r="BL126" s="388">
        <f>+$BL$125+$BL$124</f>
        <v>340</v>
      </c>
      <c r="BM126" s="387"/>
      <c r="BN126" s="388">
        <f>+$BN$125+$BN$124</f>
        <v>327</v>
      </c>
      <c r="BO126" s="387"/>
      <c r="BP126" s="388">
        <f>+$BP$125+$BP$124</f>
        <v>604</v>
      </c>
      <c r="BQ126" s="414">
        <f t="shared" si="166"/>
        <v>2291</v>
      </c>
      <c r="BR126" s="387"/>
      <c r="BS126" s="388">
        <f>+$BS$125+$BS$124</f>
        <v>714</v>
      </c>
      <c r="BT126" s="387"/>
      <c r="BU126" s="388">
        <f>+$BU$125+$BU$124</f>
        <v>684</v>
      </c>
      <c r="BV126" s="387"/>
      <c r="BW126" s="388">
        <f>+$BW$125+$BW$124</f>
        <v>544</v>
      </c>
      <c r="BX126" s="387"/>
      <c r="BY126" s="388">
        <f>+$BY$125+$BY$124</f>
        <v>544</v>
      </c>
      <c r="BZ126" s="387"/>
      <c r="CA126" s="388">
        <f>+$CA$125+$CA$124</f>
        <v>544</v>
      </c>
      <c r="CB126" s="387"/>
      <c r="CC126" s="388">
        <f>+$CC$125+$CC$124</f>
        <v>214</v>
      </c>
      <c r="CD126" s="414">
        <f t="shared" si="167"/>
        <v>3244</v>
      </c>
      <c r="CE126" s="387"/>
      <c r="CF126" s="388">
        <f>+$CF$125+$CF$124</f>
        <v>583</v>
      </c>
      <c r="CG126" s="387"/>
      <c r="CH126" s="388">
        <f>+$CH$125+$CH$124</f>
        <v>583</v>
      </c>
      <c r="CI126" s="387"/>
      <c r="CJ126" s="388">
        <f>+$CJ$125+$CJ$124</f>
        <v>583</v>
      </c>
      <c r="CK126" s="387"/>
      <c r="CL126" s="388">
        <f>+$CL$125+$CL$124</f>
        <v>583</v>
      </c>
      <c r="CM126" s="387"/>
      <c r="CN126" s="388">
        <f>+$CN$125+$CN$124</f>
        <v>583</v>
      </c>
      <c r="CO126" s="387"/>
      <c r="CP126" s="388">
        <f>+$CP$125+$CP$124</f>
        <v>583</v>
      </c>
      <c r="CQ126" s="414">
        <f t="shared" si="168"/>
        <v>3498</v>
      </c>
      <c r="CR126" s="387"/>
      <c r="CS126" s="388">
        <f>+$CS$125+$CS$124</f>
        <v>593</v>
      </c>
      <c r="CT126" s="387"/>
      <c r="CU126" s="388">
        <f>+$CU$125+$CU$124</f>
        <v>593</v>
      </c>
      <c r="CV126" s="387"/>
      <c r="CW126" s="388">
        <f>+$CW$125+$CW$124</f>
        <v>593</v>
      </c>
      <c r="CX126" s="387"/>
      <c r="CY126" s="388">
        <f>+$CY$125+$CY$124</f>
        <v>592</v>
      </c>
      <c r="CZ126" s="414">
        <f t="shared" si="169"/>
        <v>2371</v>
      </c>
      <c r="DA126" s="387"/>
      <c r="DB126" s="388">
        <f>+$DB$125+$DB$124</f>
        <v>333</v>
      </c>
      <c r="DC126" s="414">
        <f t="shared" si="170"/>
        <v>333</v>
      </c>
      <c r="DD126" s="389">
        <f>+$U$126+$AF$126+$AQ$126+$BD$126+$BQ$126+$CD$126+$CQ$126+$CZ$126+$DC$126</f>
        <v>22306</v>
      </c>
    </row>
    <row r="127" spans="1:108" ht="17.45" customHeight="1">
      <c r="A127" s="357"/>
      <c r="B127" s="354" t="s">
        <v>1792</v>
      </c>
      <c r="C127" s="357" t="s">
        <v>1231</v>
      </c>
      <c r="D127" s="357"/>
      <c r="E127" s="357"/>
      <c r="F127" s="357"/>
      <c r="G127" s="357" t="s">
        <v>1232</v>
      </c>
      <c r="H127" s="357" t="s">
        <v>1793</v>
      </c>
      <c r="I127" s="357"/>
      <c r="J127" s="399">
        <v>16</v>
      </c>
      <c r="K127" s="357"/>
      <c r="L127" s="399">
        <v>16</v>
      </c>
      <c r="M127" s="357"/>
      <c r="N127" s="399">
        <v>16</v>
      </c>
      <c r="O127" s="357"/>
      <c r="P127" s="399">
        <v>16</v>
      </c>
      <c r="Q127" s="357"/>
      <c r="R127" s="399">
        <v>16</v>
      </c>
      <c r="S127" s="357"/>
      <c r="T127" s="399"/>
      <c r="U127" s="418">
        <f t="shared" si="162"/>
        <v>80</v>
      </c>
      <c r="V127" s="357"/>
      <c r="W127" s="399">
        <v>14</v>
      </c>
      <c r="X127" s="357"/>
      <c r="Y127" s="399">
        <v>14</v>
      </c>
      <c r="Z127" s="357"/>
      <c r="AA127" s="399">
        <v>14</v>
      </c>
      <c r="AB127" s="357"/>
      <c r="AC127" s="399">
        <v>14</v>
      </c>
      <c r="AD127" s="357"/>
      <c r="AE127" s="399">
        <v>14</v>
      </c>
      <c r="AF127" s="418">
        <f t="shared" si="163"/>
        <v>70</v>
      </c>
      <c r="AG127" s="357"/>
      <c r="AH127" s="399">
        <v>18</v>
      </c>
      <c r="AI127" s="357"/>
      <c r="AJ127" s="399">
        <v>18</v>
      </c>
      <c r="AK127" s="357"/>
      <c r="AL127" s="399">
        <v>18</v>
      </c>
      <c r="AM127" s="357"/>
      <c r="AN127" s="399">
        <v>18</v>
      </c>
      <c r="AO127" s="357"/>
      <c r="AP127" s="399">
        <v>18</v>
      </c>
      <c r="AQ127" s="418">
        <f t="shared" si="164"/>
        <v>90</v>
      </c>
      <c r="AR127" s="357"/>
      <c r="AS127" s="399">
        <v>17</v>
      </c>
      <c r="AT127" s="357"/>
      <c r="AU127" s="399">
        <v>16</v>
      </c>
      <c r="AV127" s="357"/>
      <c r="AW127" s="399">
        <v>16</v>
      </c>
      <c r="AX127" s="357"/>
      <c r="AY127" s="399">
        <v>16</v>
      </c>
      <c r="AZ127" s="357"/>
      <c r="BA127" s="399">
        <v>16</v>
      </c>
      <c r="BB127" s="357"/>
      <c r="BC127" s="399">
        <v>16</v>
      </c>
      <c r="BD127" s="418">
        <f t="shared" si="165"/>
        <v>97</v>
      </c>
      <c r="BE127" s="357"/>
      <c r="BF127" s="399">
        <v>4</v>
      </c>
      <c r="BG127" s="357"/>
      <c r="BH127" s="399">
        <v>3</v>
      </c>
      <c r="BI127" s="357"/>
      <c r="BJ127" s="399">
        <v>3</v>
      </c>
      <c r="BK127" s="357"/>
      <c r="BL127" s="399">
        <v>3</v>
      </c>
      <c r="BM127" s="357"/>
      <c r="BN127" s="399">
        <v>3</v>
      </c>
      <c r="BO127" s="357"/>
      <c r="BP127" s="399"/>
      <c r="BQ127" s="418">
        <f t="shared" si="166"/>
        <v>16</v>
      </c>
      <c r="BR127" s="357"/>
      <c r="BS127" s="399">
        <v>16</v>
      </c>
      <c r="BT127" s="357"/>
      <c r="BU127" s="399">
        <v>16</v>
      </c>
      <c r="BV127" s="357"/>
      <c r="BW127" s="399">
        <v>16</v>
      </c>
      <c r="BX127" s="357"/>
      <c r="BY127" s="399">
        <v>16</v>
      </c>
      <c r="BZ127" s="357"/>
      <c r="CA127" s="399">
        <v>15</v>
      </c>
      <c r="CB127" s="357"/>
      <c r="CC127" s="399">
        <v>15</v>
      </c>
      <c r="CD127" s="418">
        <f t="shared" si="167"/>
        <v>94</v>
      </c>
      <c r="CE127" s="357"/>
      <c r="CF127" s="399">
        <v>11</v>
      </c>
      <c r="CG127" s="357"/>
      <c r="CH127" s="399">
        <v>10</v>
      </c>
      <c r="CI127" s="357"/>
      <c r="CJ127" s="399">
        <v>10</v>
      </c>
      <c r="CK127" s="357"/>
      <c r="CL127" s="399">
        <v>10</v>
      </c>
      <c r="CM127" s="357"/>
      <c r="CN127" s="399">
        <v>10</v>
      </c>
      <c r="CO127" s="357"/>
      <c r="CP127" s="399">
        <v>10</v>
      </c>
      <c r="CQ127" s="418">
        <f t="shared" si="168"/>
        <v>61</v>
      </c>
      <c r="CR127" s="357"/>
      <c r="CS127" s="399">
        <v>12</v>
      </c>
      <c r="CT127" s="357"/>
      <c r="CU127" s="399">
        <v>11</v>
      </c>
      <c r="CV127" s="357"/>
      <c r="CW127" s="399">
        <v>11</v>
      </c>
      <c r="CX127" s="357"/>
      <c r="CY127" s="399">
        <v>11</v>
      </c>
      <c r="CZ127" s="418">
        <f t="shared" si="169"/>
        <v>45</v>
      </c>
      <c r="DA127" s="357"/>
      <c r="DB127" s="399">
        <v>6</v>
      </c>
      <c r="DC127" s="418">
        <f t="shared" si="170"/>
        <v>6</v>
      </c>
      <c r="DD127" s="401">
        <f>+$U$127+$AF$127+$AQ$127+$BD$127+$BQ$127+$CD$127+$CQ$127+$CZ$127+$DC$127</f>
        <v>559</v>
      </c>
    </row>
    <row r="128" spans="1:108" ht="17.45" customHeight="1">
      <c r="A128" s="357"/>
      <c r="B128" s="339"/>
      <c r="C128" s="385" t="s">
        <v>1829</v>
      </c>
      <c r="D128" s="386"/>
      <c r="E128" s="386"/>
      <c r="F128" s="386"/>
      <c r="G128" s="386"/>
      <c r="H128" s="387"/>
      <c r="I128" s="387"/>
      <c r="J128" s="388">
        <f>+$J$127</f>
        <v>16</v>
      </c>
      <c r="K128" s="387"/>
      <c r="L128" s="388">
        <f>+$L$127</f>
        <v>16</v>
      </c>
      <c r="M128" s="387"/>
      <c r="N128" s="388">
        <f>+$N$127</f>
        <v>16</v>
      </c>
      <c r="O128" s="387"/>
      <c r="P128" s="388">
        <f>+$P$127</f>
        <v>16</v>
      </c>
      <c r="Q128" s="387"/>
      <c r="R128" s="388">
        <f>+$R$127</f>
        <v>16</v>
      </c>
      <c r="S128" s="387"/>
      <c r="T128" s="388">
        <f>+$T$127</f>
        <v>0</v>
      </c>
      <c r="U128" s="414">
        <f t="shared" si="162"/>
        <v>80</v>
      </c>
      <c r="V128" s="387"/>
      <c r="W128" s="388">
        <f>+$W$127</f>
        <v>14</v>
      </c>
      <c r="X128" s="387"/>
      <c r="Y128" s="388">
        <f>+$Y$127</f>
        <v>14</v>
      </c>
      <c r="Z128" s="387"/>
      <c r="AA128" s="388">
        <f>+$AA$127</f>
        <v>14</v>
      </c>
      <c r="AB128" s="387"/>
      <c r="AC128" s="388">
        <f>+$AC$127</f>
        <v>14</v>
      </c>
      <c r="AD128" s="387"/>
      <c r="AE128" s="388">
        <f>+$AE$127</f>
        <v>14</v>
      </c>
      <c r="AF128" s="414">
        <f t="shared" si="163"/>
        <v>70</v>
      </c>
      <c r="AG128" s="387"/>
      <c r="AH128" s="388">
        <f>+$AH$127</f>
        <v>18</v>
      </c>
      <c r="AI128" s="387"/>
      <c r="AJ128" s="388">
        <f>+$AJ$127</f>
        <v>18</v>
      </c>
      <c r="AK128" s="387"/>
      <c r="AL128" s="388">
        <f>+$AL$127</f>
        <v>18</v>
      </c>
      <c r="AM128" s="387"/>
      <c r="AN128" s="388">
        <f>+$AN$127</f>
        <v>18</v>
      </c>
      <c r="AO128" s="387"/>
      <c r="AP128" s="388">
        <f>+$AP$127</f>
        <v>18</v>
      </c>
      <c r="AQ128" s="414">
        <f t="shared" si="164"/>
        <v>90</v>
      </c>
      <c r="AR128" s="387"/>
      <c r="AS128" s="388">
        <f>+$AS$127</f>
        <v>17</v>
      </c>
      <c r="AT128" s="387"/>
      <c r="AU128" s="388">
        <f>+$AU$127</f>
        <v>16</v>
      </c>
      <c r="AV128" s="387"/>
      <c r="AW128" s="388">
        <f>+$AW$127</f>
        <v>16</v>
      </c>
      <c r="AX128" s="387"/>
      <c r="AY128" s="388">
        <f>+$AY$127</f>
        <v>16</v>
      </c>
      <c r="AZ128" s="387"/>
      <c r="BA128" s="388">
        <f>+$BA$127</f>
        <v>16</v>
      </c>
      <c r="BB128" s="387"/>
      <c r="BC128" s="388">
        <f>+$BC$127</f>
        <v>16</v>
      </c>
      <c r="BD128" s="414">
        <f t="shared" si="165"/>
        <v>97</v>
      </c>
      <c r="BE128" s="387"/>
      <c r="BF128" s="388">
        <f>+$BF$127</f>
        <v>4</v>
      </c>
      <c r="BG128" s="387"/>
      <c r="BH128" s="388">
        <f>+$BH$127</f>
        <v>3</v>
      </c>
      <c r="BI128" s="387"/>
      <c r="BJ128" s="388">
        <f>+$BJ$127</f>
        <v>3</v>
      </c>
      <c r="BK128" s="387"/>
      <c r="BL128" s="388">
        <f>+$BL$127</f>
        <v>3</v>
      </c>
      <c r="BM128" s="387"/>
      <c r="BN128" s="388">
        <f>+$BN$127</f>
        <v>3</v>
      </c>
      <c r="BO128" s="387"/>
      <c r="BP128" s="388">
        <f>+$BP$127</f>
        <v>0</v>
      </c>
      <c r="BQ128" s="414">
        <f t="shared" si="166"/>
        <v>16</v>
      </c>
      <c r="BR128" s="387"/>
      <c r="BS128" s="388">
        <f>+$BS$127</f>
        <v>16</v>
      </c>
      <c r="BT128" s="387"/>
      <c r="BU128" s="388">
        <f>+$BU$127</f>
        <v>16</v>
      </c>
      <c r="BV128" s="387"/>
      <c r="BW128" s="388">
        <f>+$BW$127</f>
        <v>16</v>
      </c>
      <c r="BX128" s="387"/>
      <c r="BY128" s="388">
        <f>+$BY$127</f>
        <v>16</v>
      </c>
      <c r="BZ128" s="387"/>
      <c r="CA128" s="388">
        <f>+$CA$127</f>
        <v>15</v>
      </c>
      <c r="CB128" s="387"/>
      <c r="CC128" s="388">
        <f>+$CC$127</f>
        <v>15</v>
      </c>
      <c r="CD128" s="414">
        <f t="shared" si="167"/>
        <v>94</v>
      </c>
      <c r="CE128" s="387"/>
      <c r="CF128" s="388">
        <f>+$CF$127</f>
        <v>11</v>
      </c>
      <c r="CG128" s="387"/>
      <c r="CH128" s="388">
        <f>+$CH$127</f>
        <v>10</v>
      </c>
      <c r="CI128" s="387"/>
      <c r="CJ128" s="388">
        <f>+$CJ$127</f>
        <v>10</v>
      </c>
      <c r="CK128" s="387"/>
      <c r="CL128" s="388">
        <f>+$CL$127</f>
        <v>10</v>
      </c>
      <c r="CM128" s="387"/>
      <c r="CN128" s="388">
        <f>+$CN$127</f>
        <v>10</v>
      </c>
      <c r="CO128" s="387"/>
      <c r="CP128" s="388">
        <f>+$CP$127</f>
        <v>10</v>
      </c>
      <c r="CQ128" s="414">
        <f t="shared" si="168"/>
        <v>61</v>
      </c>
      <c r="CR128" s="387"/>
      <c r="CS128" s="388">
        <f>+$CS$127</f>
        <v>12</v>
      </c>
      <c r="CT128" s="387"/>
      <c r="CU128" s="388">
        <f>+$CU$127</f>
        <v>11</v>
      </c>
      <c r="CV128" s="387"/>
      <c r="CW128" s="388">
        <f>+$CW$127</f>
        <v>11</v>
      </c>
      <c r="CX128" s="387"/>
      <c r="CY128" s="388">
        <f>+$CY$127</f>
        <v>11</v>
      </c>
      <c r="CZ128" s="414">
        <f t="shared" si="169"/>
        <v>45</v>
      </c>
      <c r="DA128" s="387"/>
      <c r="DB128" s="388">
        <f>+$DB$127</f>
        <v>6</v>
      </c>
      <c r="DC128" s="414">
        <f t="shared" si="170"/>
        <v>6</v>
      </c>
      <c r="DD128" s="389">
        <f>+$U$128+$AF$128+$AQ$128+$BD$128+$BQ$128+$CD$128+$CQ$128+$CZ$128+$DC$128</f>
        <v>559</v>
      </c>
    </row>
    <row r="129" spans="1:108" ht="17.45" customHeight="1">
      <c r="A129" s="357"/>
      <c r="B129" s="354" t="s">
        <v>1794</v>
      </c>
      <c r="C129" s="357" t="s">
        <v>1795</v>
      </c>
      <c r="D129" s="357"/>
      <c r="E129" s="357"/>
      <c r="F129" s="357"/>
      <c r="G129" s="357" t="s">
        <v>1796</v>
      </c>
      <c r="H129" s="357" t="s">
        <v>1797</v>
      </c>
      <c r="I129" s="357"/>
      <c r="J129" s="399"/>
      <c r="K129" s="357"/>
      <c r="L129" s="399"/>
      <c r="M129" s="357"/>
      <c r="N129" s="399"/>
      <c r="O129" s="357"/>
      <c r="P129" s="399"/>
      <c r="Q129" s="357"/>
      <c r="R129" s="399"/>
      <c r="S129" s="357"/>
      <c r="T129" s="399"/>
      <c r="U129" s="418">
        <f t="shared" si="162"/>
        <v>0</v>
      </c>
      <c r="V129" s="357"/>
      <c r="W129" s="399"/>
      <c r="X129" s="357"/>
      <c r="Y129" s="399"/>
      <c r="Z129" s="357"/>
      <c r="AA129" s="399"/>
      <c r="AB129" s="357"/>
      <c r="AC129" s="399"/>
      <c r="AD129" s="357"/>
      <c r="AE129" s="399"/>
      <c r="AF129" s="418">
        <f t="shared" si="163"/>
        <v>0</v>
      </c>
      <c r="AG129" s="357"/>
      <c r="AH129" s="399"/>
      <c r="AI129" s="357"/>
      <c r="AJ129" s="399"/>
      <c r="AK129" s="357"/>
      <c r="AL129" s="399"/>
      <c r="AM129" s="357"/>
      <c r="AN129" s="399"/>
      <c r="AO129" s="357"/>
      <c r="AP129" s="399"/>
      <c r="AQ129" s="418">
        <f t="shared" si="164"/>
        <v>0</v>
      </c>
      <c r="AR129" s="357"/>
      <c r="AS129" s="399">
        <v>1</v>
      </c>
      <c r="AT129" s="357"/>
      <c r="AU129" s="399"/>
      <c r="AV129" s="357"/>
      <c r="AW129" s="399"/>
      <c r="AX129" s="357"/>
      <c r="AY129" s="399"/>
      <c r="AZ129" s="357"/>
      <c r="BA129" s="399"/>
      <c r="BB129" s="357"/>
      <c r="BC129" s="399"/>
      <c r="BD129" s="418">
        <f t="shared" si="165"/>
        <v>1</v>
      </c>
      <c r="BE129" s="357"/>
      <c r="BF129" s="399"/>
      <c r="BG129" s="357"/>
      <c r="BH129" s="399"/>
      <c r="BI129" s="357"/>
      <c r="BJ129" s="399"/>
      <c r="BK129" s="357"/>
      <c r="BL129" s="399"/>
      <c r="BM129" s="357"/>
      <c r="BN129" s="399"/>
      <c r="BO129" s="357"/>
      <c r="BP129" s="399"/>
      <c r="BQ129" s="418">
        <f t="shared" si="166"/>
        <v>0</v>
      </c>
      <c r="BR129" s="357"/>
      <c r="BS129" s="399"/>
      <c r="BT129" s="357"/>
      <c r="BU129" s="399"/>
      <c r="BV129" s="357"/>
      <c r="BW129" s="399"/>
      <c r="BX129" s="357"/>
      <c r="BY129" s="399"/>
      <c r="BZ129" s="357"/>
      <c r="CA129" s="399"/>
      <c r="CB129" s="357"/>
      <c r="CC129" s="399"/>
      <c r="CD129" s="418">
        <f t="shared" si="167"/>
        <v>0</v>
      </c>
      <c r="CE129" s="357"/>
      <c r="CF129" s="399"/>
      <c r="CG129" s="357"/>
      <c r="CH129" s="399"/>
      <c r="CI129" s="357"/>
      <c r="CJ129" s="399"/>
      <c r="CK129" s="357"/>
      <c r="CL129" s="399"/>
      <c r="CM129" s="357"/>
      <c r="CN129" s="399"/>
      <c r="CO129" s="357"/>
      <c r="CP129" s="399"/>
      <c r="CQ129" s="418">
        <f t="shared" si="168"/>
        <v>0</v>
      </c>
      <c r="CR129" s="357"/>
      <c r="CS129" s="399"/>
      <c r="CT129" s="357"/>
      <c r="CU129" s="399"/>
      <c r="CV129" s="357"/>
      <c r="CW129" s="399"/>
      <c r="CX129" s="357"/>
      <c r="CY129" s="399"/>
      <c r="CZ129" s="418">
        <f t="shared" si="169"/>
        <v>0</v>
      </c>
      <c r="DA129" s="357"/>
      <c r="DB129" s="399"/>
      <c r="DC129" s="418">
        <f t="shared" si="170"/>
        <v>0</v>
      </c>
      <c r="DD129" s="401">
        <f>+$U$129+$AF$129+$AQ$129+$BD$129+$BQ$129+$CD$129+$CQ$129+$CZ$129+$DC$129</f>
        <v>1</v>
      </c>
    </row>
    <row r="130" spans="1:108" ht="17.45" customHeight="1">
      <c r="A130" s="357"/>
      <c r="B130" s="339"/>
      <c r="C130" s="385" t="s">
        <v>1830</v>
      </c>
      <c r="D130" s="386"/>
      <c r="E130" s="386"/>
      <c r="F130" s="386"/>
      <c r="G130" s="386"/>
      <c r="H130" s="387"/>
      <c r="I130" s="387"/>
      <c r="J130" s="388">
        <f>+$J$129</f>
        <v>0</v>
      </c>
      <c r="K130" s="387"/>
      <c r="L130" s="388">
        <f>+$L$129</f>
        <v>0</v>
      </c>
      <c r="M130" s="387"/>
      <c r="N130" s="388">
        <f>+$N$129</f>
        <v>0</v>
      </c>
      <c r="O130" s="387"/>
      <c r="P130" s="388">
        <f>+$P$129</f>
        <v>0</v>
      </c>
      <c r="Q130" s="387"/>
      <c r="R130" s="388">
        <f>+$R$129</f>
        <v>0</v>
      </c>
      <c r="S130" s="387"/>
      <c r="T130" s="388">
        <f>+$T$129</f>
        <v>0</v>
      </c>
      <c r="U130" s="414">
        <f t="shared" si="162"/>
        <v>0</v>
      </c>
      <c r="V130" s="387"/>
      <c r="W130" s="388">
        <f>+$W$129</f>
        <v>0</v>
      </c>
      <c r="X130" s="387"/>
      <c r="Y130" s="388">
        <f>+$Y$129</f>
        <v>0</v>
      </c>
      <c r="Z130" s="387"/>
      <c r="AA130" s="388">
        <f>+$AA$129</f>
        <v>0</v>
      </c>
      <c r="AB130" s="387"/>
      <c r="AC130" s="388">
        <f>+$AC$129</f>
        <v>0</v>
      </c>
      <c r="AD130" s="387"/>
      <c r="AE130" s="388">
        <f>+$AE$129</f>
        <v>0</v>
      </c>
      <c r="AF130" s="414">
        <f t="shared" si="163"/>
        <v>0</v>
      </c>
      <c r="AG130" s="387"/>
      <c r="AH130" s="388">
        <f>+$AH$129</f>
        <v>0</v>
      </c>
      <c r="AI130" s="387"/>
      <c r="AJ130" s="388">
        <f>+$AJ$129</f>
        <v>0</v>
      </c>
      <c r="AK130" s="387"/>
      <c r="AL130" s="388">
        <f>+$AL$129</f>
        <v>0</v>
      </c>
      <c r="AM130" s="387"/>
      <c r="AN130" s="388">
        <f>+$AN$129</f>
        <v>0</v>
      </c>
      <c r="AO130" s="387"/>
      <c r="AP130" s="388">
        <f>+$AP$129</f>
        <v>0</v>
      </c>
      <c r="AQ130" s="414">
        <f t="shared" si="164"/>
        <v>0</v>
      </c>
      <c r="AR130" s="387"/>
      <c r="AS130" s="388">
        <f>+$AS$129</f>
        <v>1</v>
      </c>
      <c r="AT130" s="387"/>
      <c r="AU130" s="388">
        <f>+$AU$129</f>
        <v>0</v>
      </c>
      <c r="AV130" s="387"/>
      <c r="AW130" s="388">
        <f>+$AW$129</f>
        <v>0</v>
      </c>
      <c r="AX130" s="387"/>
      <c r="AY130" s="388">
        <f>+$AY$129</f>
        <v>0</v>
      </c>
      <c r="AZ130" s="387"/>
      <c r="BA130" s="388">
        <f>+$BA$129</f>
        <v>0</v>
      </c>
      <c r="BB130" s="387"/>
      <c r="BC130" s="388">
        <f>+$BC$129</f>
        <v>0</v>
      </c>
      <c r="BD130" s="414">
        <f t="shared" si="165"/>
        <v>1</v>
      </c>
      <c r="BE130" s="387"/>
      <c r="BF130" s="388">
        <f>+$BF$129</f>
        <v>0</v>
      </c>
      <c r="BG130" s="387"/>
      <c r="BH130" s="388">
        <f>+$BH$129</f>
        <v>0</v>
      </c>
      <c r="BI130" s="387"/>
      <c r="BJ130" s="388">
        <f>+$BJ$129</f>
        <v>0</v>
      </c>
      <c r="BK130" s="387"/>
      <c r="BL130" s="388">
        <f>+$BL$129</f>
        <v>0</v>
      </c>
      <c r="BM130" s="387"/>
      <c r="BN130" s="388">
        <f>+$BN$129</f>
        <v>0</v>
      </c>
      <c r="BO130" s="387"/>
      <c r="BP130" s="388">
        <f>+$BP$129</f>
        <v>0</v>
      </c>
      <c r="BQ130" s="414">
        <f t="shared" si="166"/>
        <v>0</v>
      </c>
      <c r="BR130" s="387"/>
      <c r="BS130" s="388">
        <f>+$BS$129</f>
        <v>0</v>
      </c>
      <c r="BT130" s="387"/>
      <c r="BU130" s="388">
        <f>+$BU$129</f>
        <v>0</v>
      </c>
      <c r="BV130" s="387"/>
      <c r="BW130" s="388">
        <f>+$BW$129</f>
        <v>0</v>
      </c>
      <c r="BX130" s="387"/>
      <c r="BY130" s="388">
        <f>+$BY$129</f>
        <v>0</v>
      </c>
      <c r="BZ130" s="387"/>
      <c r="CA130" s="388">
        <f>+$CA$129</f>
        <v>0</v>
      </c>
      <c r="CB130" s="387"/>
      <c r="CC130" s="388">
        <f>+$CC$129</f>
        <v>0</v>
      </c>
      <c r="CD130" s="414">
        <f t="shared" si="167"/>
        <v>0</v>
      </c>
      <c r="CE130" s="387"/>
      <c r="CF130" s="388">
        <f>+$CF$129</f>
        <v>0</v>
      </c>
      <c r="CG130" s="387"/>
      <c r="CH130" s="388">
        <f>+$CH$129</f>
        <v>0</v>
      </c>
      <c r="CI130" s="387"/>
      <c r="CJ130" s="388">
        <f>+$CJ$129</f>
        <v>0</v>
      </c>
      <c r="CK130" s="387"/>
      <c r="CL130" s="388">
        <f>+$CL$129</f>
        <v>0</v>
      </c>
      <c r="CM130" s="387"/>
      <c r="CN130" s="388">
        <f>+$CN$129</f>
        <v>0</v>
      </c>
      <c r="CO130" s="387"/>
      <c r="CP130" s="388">
        <f>+$CP$129</f>
        <v>0</v>
      </c>
      <c r="CQ130" s="414">
        <f t="shared" si="168"/>
        <v>0</v>
      </c>
      <c r="CR130" s="387"/>
      <c r="CS130" s="388">
        <f>+$CS$129</f>
        <v>0</v>
      </c>
      <c r="CT130" s="387"/>
      <c r="CU130" s="388">
        <f>+$CU$129</f>
        <v>0</v>
      </c>
      <c r="CV130" s="387"/>
      <c r="CW130" s="388">
        <f>+$CW$129</f>
        <v>0</v>
      </c>
      <c r="CX130" s="387"/>
      <c r="CY130" s="388">
        <f>+$CY$129</f>
        <v>0</v>
      </c>
      <c r="CZ130" s="414">
        <f t="shared" si="169"/>
        <v>0</v>
      </c>
      <c r="DA130" s="387"/>
      <c r="DB130" s="388">
        <f>+$DB$129</f>
        <v>0</v>
      </c>
      <c r="DC130" s="414">
        <f t="shared" si="170"/>
        <v>0</v>
      </c>
      <c r="DD130" s="389">
        <f>+$U$130+$AF$130+$AQ$130+$BD$130+$BQ$130+$CD$130+$CQ$130+$CZ$130+$DC$130</f>
        <v>1</v>
      </c>
    </row>
    <row r="131" spans="1:108" ht="17.45" customHeight="1">
      <c r="A131" s="357"/>
      <c r="B131" s="354" t="s">
        <v>1798</v>
      </c>
      <c r="C131" s="357" t="s">
        <v>1233</v>
      </c>
      <c r="D131" s="357"/>
      <c r="E131" s="357" t="s">
        <v>36</v>
      </c>
      <c r="F131" s="357"/>
      <c r="G131" s="358" t="s">
        <v>1155</v>
      </c>
      <c r="H131" s="358" t="s">
        <v>1156</v>
      </c>
      <c r="I131" s="358"/>
      <c r="J131" s="395"/>
      <c r="K131" s="358"/>
      <c r="L131" s="395">
        <v>65</v>
      </c>
      <c r="M131" s="358"/>
      <c r="N131" s="395">
        <v>63</v>
      </c>
      <c r="O131" s="358"/>
      <c r="P131" s="395"/>
      <c r="Q131" s="358"/>
      <c r="R131" s="395"/>
      <c r="S131" s="358"/>
      <c r="T131" s="395"/>
      <c r="U131" s="417">
        <f t="shared" si="162"/>
        <v>128</v>
      </c>
      <c r="V131" s="358"/>
      <c r="W131" s="395">
        <v>106</v>
      </c>
      <c r="X131" s="358"/>
      <c r="Y131" s="395">
        <v>62</v>
      </c>
      <c r="Z131" s="358"/>
      <c r="AA131" s="395">
        <v>30</v>
      </c>
      <c r="AB131" s="358"/>
      <c r="AC131" s="395"/>
      <c r="AD131" s="358"/>
      <c r="AE131" s="395"/>
      <c r="AF131" s="417">
        <f t="shared" si="163"/>
        <v>198</v>
      </c>
      <c r="AG131" s="358"/>
      <c r="AH131" s="395"/>
      <c r="AI131" s="358"/>
      <c r="AJ131" s="395">
        <v>21</v>
      </c>
      <c r="AK131" s="358"/>
      <c r="AL131" s="395">
        <v>92</v>
      </c>
      <c r="AM131" s="358"/>
      <c r="AN131" s="395"/>
      <c r="AO131" s="358"/>
      <c r="AP131" s="395"/>
      <c r="AQ131" s="417">
        <f t="shared" si="164"/>
        <v>113</v>
      </c>
      <c r="AR131" s="358"/>
      <c r="AS131" s="395">
        <v>57</v>
      </c>
      <c r="AT131" s="358"/>
      <c r="AU131" s="395">
        <v>86</v>
      </c>
      <c r="AV131" s="358"/>
      <c r="AW131" s="395"/>
      <c r="AX131" s="358"/>
      <c r="AY131" s="395"/>
      <c r="AZ131" s="358"/>
      <c r="BA131" s="395"/>
      <c r="BB131" s="358"/>
      <c r="BC131" s="395"/>
      <c r="BD131" s="417">
        <f t="shared" si="165"/>
        <v>143</v>
      </c>
      <c r="BE131" s="358"/>
      <c r="BF131" s="395">
        <v>32</v>
      </c>
      <c r="BG131" s="358"/>
      <c r="BH131" s="395">
        <v>177</v>
      </c>
      <c r="BI131" s="358"/>
      <c r="BJ131" s="395"/>
      <c r="BK131" s="358"/>
      <c r="BL131" s="395"/>
      <c r="BM131" s="358"/>
      <c r="BN131" s="395"/>
      <c r="BO131" s="358"/>
      <c r="BP131" s="395"/>
      <c r="BQ131" s="417">
        <f t="shared" si="166"/>
        <v>209</v>
      </c>
      <c r="BR131" s="358"/>
      <c r="BS131" s="395"/>
      <c r="BT131" s="358"/>
      <c r="BU131" s="395">
        <v>180</v>
      </c>
      <c r="BV131" s="358"/>
      <c r="BW131" s="395"/>
      <c r="BX131" s="358"/>
      <c r="BY131" s="395"/>
      <c r="BZ131" s="358"/>
      <c r="CA131" s="395"/>
      <c r="CB131" s="358"/>
      <c r="CC131" s="395"/>
      <c r="CD131" s="417">
        <f t="shared" si="167"/>
        <v>180</v>
      </c>
      <c r="CE131" s="358"/>
      <c r="CF131" s="395"/>
      <c r="CG131" s="358"/>
      <c r="CH131" s="395"/>
      <c r="CI131" s="358"/>
      <c r="CJ131" s="395"/>
      <c r="CK131" s="358"/>
      <c r="CL131" s="395"/>
      <c r="CM131" s="358"/>
      <c r="CN131" s="395"/>
      <c r="CO131" s="358"/>
      <c r="CP131" s="395"/>
      <c r="CQ131" s="417">
        <f t="shared" si="168"/>
        <v>0</v>
      </c>
      <c r="CR131" s="358"/>
      <c r="CS131" s="395"/>
      <c r="CT131" s="358"/>
      <c r="CU131" s="395"/>
      <c r="CV131" s="358"/>
      <c r="CW131" s="395"/>
      <c r="CX131" s="358"/>
      <c r="CY131" s="395"/>
      <c r="CZ131" s="417">
        <f t="shared" si="169"/>
        <v>0</v>
      </c>
      <c r="DA131" s="358"/>
      <c r="DB131" s="395"/>
      <c r="DC131" s="417">
        <f t="shared" si="170"/>
        <v>0</v>
      </c>
      <c r="DD131" s="397">
        <f>+$U$131+$AF$131+$AQ$131+$BD$131+$BQ$131+$CD$131+$CQ$131+$CZ$131+$DC$131</f>
        <v>971</v>
      </c>
    </row>
    <row r="132" spans="1:108" ht="17.45" customHeight="1">
      <c r="A132" s="357"/>
      <c r="B132" s="357"/>
      <c r="C132" s="357"/>
      <c r="D132" s="357"/>
      <c r="E132" s="357"/>
      <c r="F132" s="357"/>
      <c r="G132" s="347" t="s">
        <v>1119</v>
      </c>
      <c r="H132" s="347" t="s">
        <v>1120</v>
      </c>
      <c r="I132" s="347"/>
      <c r="J132" s="355">
        <v>55</v>
      </c>
      <c r="K132" s="347"/>
      <c r="L132" s="355">
        <v>135</v>
      </c>
      <c r="M132" s="347"/>
      <c r="N132" s="355">
        <v>134</v>
      </c>
      <c r="O132" s="347"/>
      <c r="P132" s="355">
        <v>149</v>
      </c>
      <c r="Q132" s="347"/>
      <c r="R132" s="355"/>
      <c r="S132" s="347"/>
      <c r="T132" s="355"/>
      <c r="U132" s="414">
        <f t="shared" si="162"/>
        <v>473</v>
      </c>
      <c r="V132" s="347"/>
      <c r="W132" s="355">
        <v>30</v>
      </c>
      <c r="X132" s="347"/>
      <c r="Y132" s="355">
        <v>82</v>
      </c>
      <c r="Z132" s="347"/>
      <c r="AA132" s="355">
        <v>47</v>
      </c>
      <c r="AB132" s="347"/>
      <c r="AC132" s="355"/>
      <c r="AD132" s="347"/>
      <c r="AE132" s="355">
        <v>82</v>
      </c>
      <c r="AF132" s="414">
        <f t="shared" si="163"/>
        <v>241</v>
      </c>
      <c r="AG132" s="347"/>
      <c r="AH132" s="355"/>
      <c r="AI132" s="347"/>
      <c r="AJ132" s="355"/>
      <c r="AK132" s="347"/>
      <c r="AL132" s="355">
        <v>14</v>
      </c>
      <c r="AM132" s="347"/>
      <c r="AN132" s="355">
        <v>1</v>
      </c>
      <c r="AO132" s="347"/>
      <c r="AP132" s="355">
        <v>105</v>
      </c>
      <c r="AQ132" s="414">
        <f t="shared" si="164"/>
        <v>120</v>
      </c>
      <c r="AR132" s="347"/>
      <c r="AS132" s="355"/>
      <c r="AT132" s="347"/>
      <c r="AU132" s="355"/>
      <c r="AV132" s="347"/>
      <c r="AW132" s="355"/>
      <c r="AX132" s="347"/>
      <c r="AY132" s="355"/>
      <c r="AZ132" s="347"/>
      <c r="BA132" s="355"/>
      <c r="BB132" s="347"/>
      <c r="BC132" s="355"/>
      <c r="BD132" s="414">
        <f t="shared" si="165"/>
        <v>0</v>
      </c>
      <c r="BE132" s="347"/>
      <c r="BF132" s="355"/>
      <c r="BG132" s="347"/>
      <c r="BH132" s="355"/>
      <c r="BI132" s="347"/>
      <c r="BJ132" s="355">
        <v>85</v>
      </c>
      <c r="BK132" s="347"/>
      <c r="BL132" s="355"/>
      <c r="BM132" s="347"/>
      <c r="BN132" s="355"/>
      <c r="BO132" s="347"/>
      <c r="BP132" s="355"/>
      <c r="BQ132" s="414">
        <f t="shared" si="166"/>
        <v>85</v>
      </c>
      <c r="BR132" s="347"/>
      <c r="BS132" s="355"/>
      <c r="BT132" s="347"/>
      <c r="BU132" s="355">
        <v>50</v>
      </c>
      <c r="BV132" s="347"/>
      <c r="BW132" s="355">
        <v>11</v>
      </c>
      <c r="BX132" s="347"/>
      <c r="BY132" s="355">
        <v>80</v>
      </c>
      <c r="BZ132" s="347"/>
      <c r="CA132" s="355">
        <v>60</v>
      </c>
      <c r="CB132" s="347"/>
      <c r="CC132" s="355">
        <v>38</v>
      </c>
      <c r="CD132" s="414">
        <f t="shared" si="167"/>
        <v>239</v>
      </c>
      <c r="CE132" s="347"/>
      <c r="CF132" s="355"/>
      <c r="CG132" s="347"/>
      <c r="CH132" s="355"/>
      <c r="CI132" s="347"/>
      <c r="CJ132" s="355"/>
      <c r="CK132" s="347"/>
      <c r="CL132" s="355"/>
      <c r="CM132" s="347"/>
      <c r="CN132" s="355"/>
      <c r="CO132" s="347"/>
      <c r="CP132" s="355"/>
      <c r="CQ132" s="414">
        <f t="shared" si="168"/>
        <v>0</v>
      </c>
      <c r="CR132" s="347"/>
      <c r="CS132" s="355"/>
      <c r="CT132" s="347"/>
      <c r="CU132" s="355"/>
      <c r="CV132" s="347"/>
      <c r="CW132" s="355"/>
      <c r="CX132" s="347"/>
      <c r="CY132" s="355"/>
      <c r="CZ132" s="414">
        <f t="shared" si="169"/>
        <v>0</v>
      </c>
      <c r="DA132" s="347"/>
      <c r="DB132" s="355"/>
      <c r="DC132" s="414">
        <f t="shared" si="170"/>
        <v>0</v>
      </c>
      <c r="DD132" s="356">
        <f>+$U$132+$AF$132+$AQ$132+$BD$132+$BQ$132+$CD$132+$CQ$132+$CZ$132+$DC$132</f>
        <v>1158</v>
      </c>
    </row>
    <row r="133" spans="1:108" ht="17.45" customHeight="1">
      <c r="A133" s="357"/>
      <c r="B133" s="357"/>
      <c r="C133" s="357"/>
      <c r="D133" s="357"/>
      <c r="E133" s="357"/>
      <c r="F133" s="357"/>
      <c r="G133" s="347" t="s">
        <v>1121</v>
      </c>
      <c r="H133" s="347" t="s">
        <v>1122</v>
      </c>
      <c r="I133" s="347"/>
      <c r="J133" s="355"/>
      <c r="K133" s="347"/>
      <c r="L133" s="355"/>
      <c r="M133" s="347"/>
      <c r="N133" s="355"/>
      <c r="O133" s="347"/>
      <c r="P133" s="355"/>
      <c r="Q133" s="347"/>
      <c r="R133" s="355"/>
      <c r="S133" s="347"/>
      <c r="T133" s="355"/>
      <c r="U133" s="414">
        <f t="shared" si="162"/>
        <v>0</v>
      </c>
      <c r="V133" s="347"/>
      <c r="W133" s="355"/>
      <c r="X133" s="347"/>
      <c r="Y133" s="355"/>
      <c r="Z133" s="347"/>
      <c r="AA133" s="355"/>
      <c r="AB133" s="347"/>
      <c r="AC133" s="355"/>
      <c r="AD133" s="347"/>
      <c r="AE133" s="355"/>
      <c r="AF133" s="414">
        <f t="shared" si="163"/>
        <v>0</v>
      </c>
      <c r="AG133" s="347"/>
      <c r="AH133" s="355"/>
      <c r="AI133" s="347"/>
      <c r="AJ133" s="355"/>
      <c r="AK133" s="347"/>
      <c r="AL133" s="355"/>
      <c r="AM133" s="347"/>
      <c r="AN133" s="355"/>
      <c r="AO133" s="347"/>
      <c r="AP133" s="355"/>
      <c r="AQ133" s="414">
        <f t="shared" si="164"/>
        <v>0</v>
      </c>
      <c r="AR133" s="347"/>
      <c r="AS133" s="355"/>
      <c r="AT133" s="347"/>
      <c r="AU133" s="355"/>
      <c r="AV133" s="347"/>
      <c r="AW133" s="355"/>
      <c r="AX133" s="347"/>
      <c r="AY133" s="355"/>
      <c r="AZ133" s="347"/>
      <c r="BA133" s="355"/>
      <c r="BB133" s="347"/>
      <c r="BC133" s="355"/>
      <c r="BD133" s="414">
        <f t="shared" si="165"/>
        <v>0</v>
      </c>
      <c r="BE133" s="347"/>
      <c r="BF133" s="355"/>
      <c r="BG133" s="347"/>
      <c r="BH133" s="355"/>
      <c r="BI133" s="347"/>
      <c r="BJ133" s="355"/>
      <c r="BK133" s="347"/>
      <c r="BL133" s="355"/>
      <c r="BM133" s="347"/>
      <c r="BN133" s="355">
        <v>16</v>
      </c>
      <c r="BO133" s="347"/>
      <c r="BP133" s="355"/>
      <c r="BQ133" s="414">
        <f t="shared" si="166"/>
        <v>16</v>
      </c>
      <c r="BR133" s="347"/>
      <c r="BS133" s="355"/>
      <c r="BT133" s="347"/>
      <c r="BU133" s="355"/>
      <c r="BV133" s="347"/>
      <c r="BW133" s="355"/>
      <c r="BX133" s="347"/>
      <c r="BY133" s="355"/>
      <c r="BZ133" s="347"/>
      <c r="CA133" s="355"/>
      <c r="CB133" s="347"/>
      <c r="CC133" s="355"/>
      <c r="CD133" s="414">
        <f t="shared" si="167"/>
        <v>0</v>
      </c>
      <c r="CE133" s="347"/>
      <c r="CF133" s="355"/>
      <c r="CG133" s="347"/>
      <c r="CH133" s="355"/>
      <c r="CI133" s="347"/>
      <c r="CJ133" s="355"/>
      <c r="CK133" s="347"/>
      <c r="CL133" s="355"/>
      <c r="CM133" s="347"/>
      <c r="CN133" s="355"/>
      <c r="CO133" s="347"/>
      <c r="CP133" s="355"/>
      <c r="CQ133" s="414">
        <f t="shared" si="168"/>
        <v>0</v>
      </c>
      <c r="CR133" s="347"/>
      <c r="CS133" s="355"/>
      <c r="CT133" s="347"/>
      <c r="CU133" s="355"/>
      <c r="CV133" s="347"/>
      <c r="CW133" s="355"/>
      <c r="CX133" s="347"/>
      <c r="CY133" s="355"/>
      <c r="CZ133" s="414">
        <f t="shared" si="169"/>
        <v>0</v>
      </c>
      <c r="DA133" s="347"/>
      <c r="DB133" s="355"/>
      <c r="DC133" s="414">
        <f t="shared" si="170"/>
        <v>0</v>
      </c>
      <c r="DD133" s="356">
        <f>+$U$133+$AF$133+$AQ$133+$BD$133+$BQ$133+$CD$133+$CQ$133+$CZ$133+$DC$133</f>
        <v>16</v>
      </c>
    </row>
    <row r="134" spans="1:108" ht="17.45" customHeight="1">
      <c r="A134" s="357"/>
      <c r="B134" s="357"/>
      <c r="C134" s="357"/>
      <c r="D134" s="357"/>
      <c r="E134" s="357" t="s">
        <v>36</v>
      </c>
      <c r="F134" s="357"/>
      <c r="G134" s="347" t="s">
        <v>1123</v>
      </c>
      <c r="H134" s="347" t="s">
        <v>1124</v>
      </c>
      <c r="I134" s="347"/>
      <c r="J134" s="355">
        <v>114</v>
      </c>
      <c r="K134" s="347"/>
      <c r="L134" s="355">
        <v>19</v>
      </c>
      <c r="M134" s="347"/>
      <c r="N134" s="355"/>
      <c r="O134" s="347"/>
      <c r="P134" s="355"/>
      <c r="Q134" s="347"/>
      <c r="R134" s="355"/>
      <c r="S134" s="347"/>
      <c r="T134" s="355"/>
      <c r="U134" s="414">
        <f t="shared" si="162"/>
        <v>133</v>
      </c>
      <c r="V134" s="347"/>
      <c r="W134" s="355">
        <v>40</v>
      </c>
      <c r="X134" s="347"/>
      <c r="Y134" s="355">
        <v>84</v>
      </c>
      <c r="Z134" s="347"/>
      <c r="AA134" s="355"/>
      <c r="AB134" s="347"/>
      <c r="AC134" s="355"/>
      <c r="AD134" s="347"/>
      <c r="AE134" s="355"/>
      <c r="AF134" s="414">
        <f t="shared" si="163"/>
        <v>124</v>
      </c>
      <c r="AG134" s="347"/>
      <c r="AH134" s="355">
        <v>50</v>
      </c>
      <c r="AI134" s="347"/>
      <c r="AJ134" s="355">
        <v>56</v>
      </c>
      <c r="AK134" s="347"/>
      <c r="AL134" s="355"/>
      <c r="AM134" s="347"/>
      <c r="AN134" s="355"/>
      <c r="AO134" s="347"/>
      <c r="AP134" s="355"/>
      <c r="AQ134" s="414">
        <f t="shared" si="164"/>
        <v>106</v>
      </c>
      <c r="AR134" s="347"/>
      <c r="AS134" s="355">
        <v>112</v>
      </c>
      <c r="AT134" s="347"/>
      <c r="AU134" s="355"/>
      <c r="AV134" s="347"/>
      <c r="AW134" s="355"/>
      <c r="AX134" s="347"/>
      <c r="AY134" s="355"/>
      <c r="AZ134" s="347"/>
      <c r="BA134" s="355"/>
      <c r="BB134" s="347"/>
      <c r="BC134" s="355"/>
      <c r="BD134" s="414">
        <f t="shared" si="165"/>
        <v>112</v>
      </c>
      <c r="BE134" s="347"/>
      <c r="BF134" s="355">
        <v>126</v>
      </c>
      <c r="BG134" s="347"/>
      <c r="BH134" s="355"/>
      <c r="BI134" s="347"/>
      <c r="BJ134" s="355"/>
      <c r="BK134" s="347"/>
      <c r="BL134" s="355"/>
      <c r="BM134" s="347"/>
      <c r="BN134" s="355"/>
      <c r="BO134" s="347"/>
      <c r="BP134" s="355"/>
      <c r="BQ134" s="414">
        <f t="shared" si="166"/>
        <v>126</v>
      </c>
      <c r="BR134" s="347"/>
      <c r="BS134" s="355">
        <v>74</v>
      </c>
      <c r="BT134" s="347"/>
      <c r="BU134" s="355"/>
      <c r="BV134" s="347"/>
      <c r="BW134" s="355"/>
      <c r="BX134" s="347"/>
      <c r="BY134" s="355"/>
      <c r="BZ134" s="347"/>
      <c r="CA134" s="355"/>
      <c r="CB134" s="347"/>
      <c r="CC134" s="355"/>
      <c r="CD134" s="414">
        <f t="shared" si="167"/>
        <v>74</v>
      </c>
      <c r="CE134" s="347"/>
      <c r="CF134" s="355"/>
      <c r="CG134" s="347"/>
      <c r="CH134" s="355"/>
      <c r="CI134" s="347"/>
      <c r="CJ134" s="355"/>
      <c r="CK134" s="347"/>
      <c r="CL134" s="355"/>
      <c r="CM134" s="347"/>
      <c r="CN134" s="355"/>
      <c r="CO134" s="347"/>
      <c r="CP134" s="355"/>
      <c r="CQ134" s="414">
        <f t="shared" si="168"/>
        <v>0</v>
      </c>
      <c r="CR134" s="347"/>
      <c r="CS134" s="355"/>
      <c r="CT134" s="347"/>
      <c r="CU134" s="355"/>
      <c r="CV134" s="347"/>
      <c r="CW134" s="355"/>
      <c r="CX134" s="347"/>
      <c r="CY134" s="355"/>
      <c r="CZ134" s="414">
        <f t="shared" si="169"/>
        <v>0</v>
      </c>
      <c r="DA134" s="347"/>
      <c r="DB134" s="355"/>
      <c r="DC134" s="414">
        <f t="shared" si="170"/>
        <v>0</v>
      </c>
      <c r="DD134" s="356">
        <f>+$U$134+$AF$134+$AQ$134+$BD$134+$BQ$134+$CD$134+$CQ$134+$CZ$134+$DC$134</f>
        <v>675</v>
      </c>
    </row>
    <row r="135" spans="1:108" ht="17.45" customHeight="1">
      <c r="A135" s="357"/>
      <c r="B135" s="357"/>
      <c r="C135" s="357"/>
      <c r="D135" s="357"/>
      <c r="E135" s="357" t="s">
        <v>36</v>
      </c>
      <c r="F135" s="357"/>
      <c r="G135" s="347" t="s">
        <v>1217</v>
      </c>
      <c r="H135" s="347" t="s">
        <v>1111</v>
      </c>
      <c r="I135" s="347"/>
      <c r="J135" s="355"/>
      <c r="K135" s="347"/>
      <c r="L135" s="355"/>
      <c r="M135" s="347"/>
      <c r="N135" s="355">
        <v>60</v>
      </c>
      <c r="O135" s="347"/>
      <c r="P135" s="355"/>
      <c r="Q135" s="347"/>
      <c r="R135" s="355">
        <v>127</v>
      </c>
      <c r="S135" s="347"/>
      <c r="T135" s="355">
        <v>170</v>
      </c>
      <c r="U135" s="414">
        <f t="shared" si="162"/>
        <v>357</v>
      </c>
      <c r="V135" s="347"/>
      <c r="W135" s="355"/>
      <c r="X135" s="347"/>
      <c r="Y135" s="355"/>
      <c r="Z135" s="347"/>
      <c r="AA135" s="355">
        <v>80</v>
      </c>
      <c r="AB135" s="347"/>
      <c r="AC135" s="355">
        <v>45</v>
      </c>
      <c r="AD135" s="347"/>
      <c r="AE135" s="355"/>
      <c r="AF135" s="414">
        <f t="shared" si="163"/>
        <v>125</v>
      </c>
      <c r="AG135" s="347"/>
      <c r="AH135" s="355">
        <v>122</v>
      </c>
      <c r="AI135" s="347"/>
      <c r="AJ135" s="355"/>
      <c r="AK135" s="347"/>
      <c r="AL135" s="355"/>
      <c r="AM135" s="347"/>
      <c r="AN135" s="355">
        <v>95</v>
      </c>
      <c r="AO135" s="347"/>
      <c r="AP135" s="355">
        <v>107</v>
      </c>
      <c r="AQ135" s="414">
        <f t="shared" si="164"/>
        <v>324</v>
      </c>
      <c r="AR135" s="347"/>
      <c r="AS135" s="355"/>
      <c r="AT135" s="347"/>
      <c r="AU135" s="355">
        <v>96</v>
      </c>
      <c r="AV135" s="347"/>
      <c r="AW135" s="355">
        <v>100</v>
      </c>
      <c r="AX135" s="347"/>
      <c r="AY135" s="355">
        <v>122</v>
      </c>
      <c r="AZ135" s="347"/>
      <c r="BA135" s="355">
        <v>237</v>
      </c>
      <c r="BB135" s="347"/>
      <c r="BC135" s="355">
        <v>237</v>
      </c>
      <c r="BD135" s="414">
        <f t="shared" si="165"/>
        <v>792</v>
      </c>
      <c r="BE135" s="347"/>
      <c r="BF135" s="355"/>
      <c r="BG135" s="347"/>
      <c r="BH135" s="355"/>
      <c r="BI135" s="347"/>
      <c r="BJ135" s="355">
        <v>100</v>
      </c>
      <c r="BK135" s="347"/>
      <c r="BL135" s="355">
        <v>100</v>
      </c>
      <c r="BM135" s="347"/>
      <c r="BN135" s="355">
        <v>147</v>
      </c>
      <c r="BO135" s="347"/>
      <c r="BP135" s="355">
        <v>162</v>
      </c>
      <c r="BQ135" s="414">
        <f t="shared" si="166"/>
        <v>509</v>
      </c>
      <c r="BR135" s="347"/>
      <c r="BS135" s="355"/>
      <c r="BT135" s="347"/>
      <c r="BU135" s="355">
        <v>9</v>
      </c>
      <c r="BV135" s="347"/>
      <c r="BW135" s="355"/>
      <c r="BX135" s="347"/>
      <c r="BY135" s="355">
        <v>183</v>
      </c>
      <c r="BZ135" s="347"/>
      <c r="CA135" s="355">
        <v>189</v>
      </c>
      <c r="CB135" s="347"/>
      <c r="CC135" s="355">
        <v>67</v>
      </c>
      <c r="CD135" s="414">
        <f t="shared" si="167"/>
        <v>448</v>
      </c>
      <c r="CE135" s="347"/>
      <c r="CF135" s="355">
        <v>252</v>
      </c>
      <c r="CG135" s="347"/>
      <c r="CH135" s="355">
        <v>267</v>
      </c>
      <c r="CI135" s="347"/>
      <c r="CJ135" s="355"/>
      <c r="CK135" s="347"/>
      <c r="CL135" s="355"/>
      <c r="CM135" s="347"/>
      <c r="CN135" s="355"/>
      <c r="CO135" s="347"/>
      <c r="CP135" s="355"/>
      <c r="CQ135" s="414">
        <f t="shared" si="168"/>
        <v>519</v>
      </c>
      <c r="CR135" s="347"/>
      <c r="CS135" s="355">
        <v>254</v>
      </c>
      <c r="CT135" s="347"/>
      <c r="CU135" s="355"/>
      <c r="CV135" s="347"/>
      <c r="CW135" s="355"/>
      <c r="CX135" s="347"/>
      <c r="CY135" s="355"/>
      <c r="CZ135" s="414">
        <f t="shared" si="169"/>
        <v>254</v>
      </c>
      <c r="DA135" s="347"/>
      <c r="DB135" s="355">
        <v>192</v>
      </c>
      <c r="DC135" s="414">
        <f t="shared" si="170"/>
        <v>192</v>
      </c>
      <c r="DD135" s="356">
        <f>+$U$135+$AF$135+$AQ$135+$BD$135+$BQ$135+$CD$135+$CQ$135+$CZ$135+$DC$135</f>
        <v>3520</v>
      </c>
    </row>
    <row r="136" spans="1:108" ht="17.45" customHeight="1">
      <c r="A136" s="357"/>
      <c r="B136" s="357"/>
      <c r="C136" s="357"/>
      <c r="D136" s="357"/>
      <c r="E136" s="357" t="s">
        <v>36</v>
      </c>
      <c r="F136" s="357"/>
      <c r="G136" s="347" t="s">
        <v>1157</v>
      </c>
      <c r="H136" s="347" t="s">
        <v>1158</v>
      </c>
      <c r="I136" s="347"/>
      <c r="J136" s="355"/>
      <c r="K136" s="347"/>
      <c r="L136" s="355"/>
      <c r="M136" s="347"/>
      <c r="N136" s="355">
        <v>48</v>
      </c>
      <c r="O136" s="347"/>
      <c r="P136" s="355">
        <v>171</v>
      </c>
      <c r="Q136" s="347"/>
      <c r="R136" s="355">
        <v>44</v>
      </c>
      <c r="S136" s="347"/>
      <c r="T136" s="355"/>
      <c r="U136" s="414">
        <f t="shared" si="162"/>
        <v>263</v>
      </c>
      <c r="V136" s="347"/>
      <c r="W136" s="355"/>
      <c r="X136" s="347"/>
      <c r="Y136" s="355"/>
      <c r="Z136" s="347"/>
      <c r="AA136" s="355">
        <v>36</v>
      </c>
      <c r="AB136" s="347"/>
      <c r="AC136" s="355">
        <v>101</v>
      </c>
      <c r="AD136" s="347"/>
      <c r="AE136" s="355">
        <v>146</v>
      </c>
      <c r="AF136" s="414">
        <f t="shared" si="163"/>
        <v>283</v>
      </c>
      <c r="AG136" s="347"/>
      <c r="AH136" s="355"/>
      <c r="AI136" s="347"/>
      <c r="AJ136" s="355">
        <v>95</v>
      </c>
      <c r="AK136" s="347"/>
      <c r="AL136" s="355">
        <v>80</v>
      </c>
      <c r="AM136" s="347"/>
      <c r="AN136" s="355">
        <v>76</v>
      </c>
      <c r="AO136" s="347"/>
      <c r="AP136" s="355">
        <v>64</v>
      </c>
      <c r="AQ136" s="414">
        <f t="shared" si="164"/>
        <v>315</v>
      </c>
      <c r="AR136" s="347"/>
      <c r="AS136" s="355"/>
      <c r="AT136" s="347"/>
      <c r="AU136" s="355">
        <v>56</v>
      </c>
      <c r="AV136" s="347"/>
      <c r="AW136" s="355">
        <v>138</v>
      </c>
      <c r="AX136" s="347"/>
      <c r="AY136" s="355">
        <v>116</v>
      </c>
      <c r="AZ136" s="347"/>
      <c r="BA136" s="355"/>
      <c r="BB136" s="347"/>
      <c r="BC136" s="355"/>
      <c r="BD136" s="414">
        <f t="shared" si="165"/>
        <v>310</v>
      </c>
      <c r="BE136" s="347"/>
      <c r="BF136" s="355"/>
      <c r="BG136" s="347"/>
      <c r="BH136" s="355">
        <v>27</v>
      </c>
      <c r="BI136" s="347"/>
      <c r="BJ136" s="355">
        <v>104</v>
      </c>
      <c r="BK136" s="347"/>
      <c r="BL136" s="355">
        <v>104</v>
      </c>
      <c r="BM136" s="347"/>
      <c r="BN136" s="355">
        <v>97</v>
      </c>
      <c r="BO136" s="347"/>
      <c r="BP136" s="355"/>
      <c r="BQ136" s="414">
        <f t="shared" si="166"/>
        <v>332</v>
      </c>
      <c r="BR136" s="347"/>
      <c r="BS136" s="355">
        <v>74</v>
      </c>
      <c r="BT136" s="347"/>
      <c r="BU136" s="355"/>
      <c r="BV136" s="347"/>
      <c r="BW136" s="355">
        <v>189</v>
      </c>
      <c r="BX136" s="347"/>
      <c r="BY136" s="355">
        <v>6</v>
      </c>
      <c r="BZ136" s="347"/>
      <c r="CA136" s="355"/>
      <c r="CB136" s="347"/>
      <c r="CC136" s="355"/>
      <c r="CD136" s="414">
        <f t="shared" si="167"/>
        <v>269</v>
      </c>
      <c r="CE136" s="347"/>
      <c r="CF136" s="355"/>
      <c r="CG136" s="347"/>
      <c r="CH136" s="355"/>
      <c r="CI136" s="347"/>
      <c r="CJ136" s="355"/>
      <c r="CK136" s="347"/>
      <c r="CL136" s="355"/>
      <c r="CM136" s="347"/>
      <c r="CN136" s="355"/>
      <c r="CO136" s="347"/>
      <c r="CP136" s="355"/>
      <c r="CQ136" s="414">
        <f t="shared" si="168"/>
        <v>0</v>
      </c>
      <c r="CR136" s="347"/>
      <c r="CS136" s="355"/>
      <c r="CT136" s="347"/>
      <c r="CU136" s="355"/>
      <c r="CV136" s="347"/>
      <c r="CW136" s="355"/>
      <c r="CX136" s="347"/>
      <c r="CY136" s="355"/>
      <c r="CZ136" s="414">
        <f t="shared" si="169"/>
        <v>0</v>
      </c>
      <c r="DA136" s="347"/>
      <c r="DB136" s="355"/>
      <c r="DC136" s="414">
        <f t="shared" si="170"/>
        <v>0</v>
      </c>
      <c r="DD136" s="356">
        <f>+$U$136+$AF$136+$AQ$136+$BD$136+$BQ$136+$CD$136+$CQ$136+$CZ$136+$DC$136</f>
        <v>1772</v>
      </c>
    </row>
    <row r="137" spans="1:108" ht="17.45" customHeight="1">
      <c r="A137" s="357"/>
      <c r="B137" s="357"/>
      <c r="C137" s="357"/>
      <c r="D137" s="357"/>
      <c r="E137" s="357"/>
      <c r="F137" s="357"/>
      <c r="G137" s="347" t="s">
        <v>1127</v>
      </c>
      <c r="H137" s="347" t="s">
        <v>1128</v>
      </c>
      <c r="I137" s="347"/>
      <c r="J137" s="355"/>
      <c r="K137" s="347"/>
      <c r="L137" s="355"/>
      <c r="M137" s="347"/>
      <c r="N137" s="355"/>
      <c r="O137" s="347"/>
      <c r="P137" s="355"/>
      <c r="Q137" s="347"/>
      <c r="R137" s="355"/>
      <c r="S137" s="347"/>
      <c r="T137" s="355"/>
      <c r="U137" s="414">
        <f t="shared" si="162"/>
        <v>0</v>
      </c>
      <c r="V137" s="347"/>
      <c r="W137" s="355"/>
      <c r="X137" s="347"/>
      <c r="Y137" s="355"/>
      <c r="Z137" s="347"/>
      <c r="AA137" s="355"/>
      <c r="AB137" s="347"/>
      <c r="AC137" s="355"/>
      <c r="AD137" s="347"/>
      <c r="AE137" s="355"/>
      <c r="AF137" s="414">
        <f t="shared" si="163"/>
        <v>0</v>
      </c>
      <c r="AG137" s="347"/>
      <c r="AH137" s="355">
        <v>137</v>
      </c>
      <c r="AI137" s="347"/>
      <c r="AJ137" s="355">
        <v>74</v>
      </c>
      <c r="AK137" s="347"/>
      <c r="AL137" s="355">
        <v>60</v>
      </c>
      <c r="AM137" s="347"/>
      <c r="AN137" s="355">
        <v>60</v>
      </c>
      <c r="AO137" s="347"/>
      <c r="AP137" s="355">
        <v>60</v>
      </c>
      <c r="AQ137" s="414">
        <f t="shared" si="164"/>
        <v>391</v>
      </c>
      <c r="AR137" s="347"/>
      <c r="AS137" s="355"/>
      <c r="AT137" s="347"/>
      <c r="AU137" s="355"/>
      <c r="AV137" s="347"/>
      <c r="AW137" s="355"/>
      <c r="AX137" s="347"/>
      <c r="AY137" s="355"/>
      <c r="AZ137" s="347"/>
      <c r="BA137" s="355"/>
      <c r="BB137" s="347"/>
      <c r="BC137" s="355"/>
      <c r="BD137" s="414">
        <f t="shared" si="165"/>
        <v>0</v>
      </c>
      <c r="BE137" s="347"/>
      <c r="BF137" s="355">
        <v>85</v>
      </c>
      <c r="BG137" s="347"/>
      <c r="BH137" s="355">
        <v>40</v>
      </c>
      <c r="BI137" s="347"/>
      <c r="BJ137" s="355">
        <v>47</v>
      </c>
      <c r="BK137" s="347"/>
      <c r="BL137" s="355">
        <v>31</v>
      </c>
      <c r="BM137" s="347"/>
      <c r="BN137" s="355"/>
      <c r="BO137" s="347"/>
      <c r="BP137" s="355">
        <v>120</v>
      </c>
      <c r="BQ137" s="414">
        <f t="shared" si="166"/>
        <v>323</v>
      </c>
      <c r="BR137" s="347"/>
      <c r="BS137" s="355">
        <v>143</v>
      </c>
      <c r="BT137" s="347"/>
      <c r="BU137" s="355">
        <v>32</v>
      </c>
      <c r="BV137" s="347"/>
      <c r="BW137" s="355">
        <v>34</v>
      </c>
      <c r="BX137" s="347"/>
      <c r="BY137" s="355">
        <v>59</v>
      </c>
      <c r="BZ137" s="347"/>
      <c r="CA137" s="355">
        <v>11</v>
      </c>
      <c r="CB137" s="347"/>
      <c r="CC137" s="355">
        <v>5</v>
      </c>
      <c r="CD137" s="414">
        <f t="shared" si="167"/>
        <v>284</v>
      </c>
      <c r="CE137" s="347"/>
      <c r="CF137" s="355"/>
      <c r="CG137" s="347"/>
      <c r="CH137" s="355">
        <v>69</v>
      </c>
      <c r="CI137" s="347"/>
      <c r="CJ137" s="355">
        <v>151</v>
      </c>
      <c r="CK137" s="347"/>
      <c r="CL137" s="355"/>
      <c r="CM137" s="347"/>
      <c r="CN137" s="355"/>
      <c r="CO137" s="347"/>
      <c r="CP137" s="355"/>
      <c r="CQ137" s="414">
        <f t="shared" si="168"/>
        <v>220</v>
      </c>
      <c r="CR137" s="347"/>
      <c r="CS137" s="355">
        <v>66</v>
      </c>
      <c r="CT137" s="347"/>
      <c r="CU137" s="355">
        <v>183</v>
      </c>
      <c r="CV137" s="347"/>
      <c r="CW137" s="355"/>
      <c r="CX137" s="347"/>
      <c r="CY137" s="355"/>
      <c r="CZ137" s="414">
        <f t="shared" si="169"/>
        <v>249</v>
      </c>
      <c r="DA137" s="347"/>
      <c r="DB137" s="355"/>
      <c r="DC137" s="414">
        <f t="shared" si="170"/>
        <v>0</v>
      </c>
      <c r="DD137" s="356">
        <f>+$U$137+$AF$137+$AQ$137+$BD$137+$BQ$137+$CD$137+$CQ$137+$CZ$137+$DC$137</f>
        <v>1467</v>
      </c>
    </row>
    <row r="138" spans="1:108" ht="17.45" customHeight="1">
      <c r="A138" s="357"/>
      <c r="B138" s="357"/>
      <c r="C138" s="357"/>
      <c r="D138" s="357"/>
      <c r="E138" s="357"/>
      <c r="F138" s="357"/>
      <c r="G138" s="347" t="s">
        <v>1129</v>
      </c>
      <c r="H138" s="347" t="s">
        <v>1130</v>
      </c>
      <c r="I138" s="347"/>
      <c r="J138" s="355"/>
      <c r="K138" s="347"/>
      <c r="L138" s="355"/>
      <c r="M138" s="347"/>
      <c r="N138" s="355"/>
      <c r="O138" s="347"/>
      <c r="P138" s="355"/>
      <c r="Q138" s="347"/>
      <c r="R138" s="355"/>
      <c r="S138" s="347"/>
      <c r="T138" s="355"/>
      <c r="U138" s="414">
        <f t="shared" si="162"/>
        <v>0</v>
      </c>
      <c r="V138" s="347"/>
      <c r="W138" s="355"/>
      <c r="X138" s="347"/>
      <c r="Y138" s="355"/>
      <c r="Z138" s="347"/>
      <c r="AA138" s="355"/>
      <c r="AB138" s="347"/>
      <c r="AC138" s="355">
        <v>47</v>
      </c>
      <c r="AD138" s="347"/>
      <c r="AE138" s="355"/>
      <c r="AF138" s="414">
        <f t="shared" si="163"/>
        <v>47</v>
      </c>
      <c r="AG138" s="347"/>
      <c r="AH138" s="355"/>
      <c r="AI138" s="347"/>
      <c r="AJ138" s="355">
        <v>30</v>
      </c>
      <c r="AK138" s="347"/>
      <c r="AL138" s="355">
        <v>7</v>
      </c>
      <c r="AM138" s="347"/>
      <c r="AN138" s="355"/>
      <c r="AO138" s="347"/>
      <c r="AP138" s="355"/>
      <c r="AQ138" s="414">
        <f t="shared" si="164"/>
        <v>37</v>
      </c>
      <c r="AR138" s="347"/>
      <c r="AS138" s="355"/>
      <c r="AT138" s="347"/>
      <c r="AU138" s="355"/>
      <c r="AV138" s="347"/>
      <c r="AW138" s="355"/>
      <c r="AX138" s="347"/>
      <c r="AY138" s="355"/>
      <c r="AZ138" s="347"/>
      <c r="BA138" s="355"/>
      <c r="BB138" s="347"/>
      <c r="BC138" s="355"/>
      <c r="BD138" s="414">
        <f t="shared" si="165"/>
        <v>0</v>
      </c>
      <c r="BE138" s="347"/>
      <c r="BF138" s="355"/>
      <c r="BG138" s="347"/>
      <c r="BH138" s="355"/>
      <c r="BI138" s="347"/>
      <c r="BJ138" s="355"/>
      <c r="BK138" s="347"/>
      <c r="BL138" s="355"/>
      <c r="BM138" s="347"/>
      <c r="BN138" s="355"/>
      <c r="BO138" s="347"/>
      <c r="BP138" s="355">
        <v>38</v>
      </c>
      <c r="BQ138" s="414">
        <f t="shared" si="166"/>
        <v>38</v>
      </c>
      <c r="BR138" s="347"/>
      <c r="BS138" s="355"/>
      <c r="BT138" s="347"/>
      <c r="BU138" s="355"/>
      <c r="BV138" s="347"/>
      <c r="BW138" s="355">
        <v>26</v>
      </c>
      <c r="BX138" s="347"/>
      <c r="BY138" s="355"/>
      <c r="BZ138" s="347"/>
      <c r="CA138" s="355"/>
      <c r="CB138" s="347"/>
      <c r="CC138" s="355"/>
      <c r="CD138" s="414">
        <f t="shared" si="167"/>
        <v>26</v>
      </c>
      <c r="CE138" s="347"/>
      <c r="CF138" s="355"/>
      <c r="CG138" s="347"/>
      <c r="CH138" s="355"/>
      <c r="CI138" s="347"/>
      <c r="CJ138" s="355">
        <v>47</v>
      </c>
      <c r="CK138" s="347"/>
      <c r="CL138" s="355"/>
      <c r="CM138" s="347"/>
      <c r="CN138" s="355"/>
      <c r="CO138" s="347"/>
      <c r="CP138" s="355"/>
      <c r="CQ138" s="414">
        <f t="shared" si="168"/>
        <v>47</v>
      </c>
      <c r="CR138" s="347"/>
      <c r="CS138" s="355"/>
      <c r="CT138" s="347"/>
      <c r="CU138" s="355">
        <v>36</v>
      </c>
      <c r="CV138" s="347"/>
      <c r="CW138" s="355"/>
      <c r="CX138" s="347"/>
      <c r="CY138" s="355"/>
      <c r="CZ138" s="414">
        <f t="shared" si="169"/>
        <v>36</v>
      </c>
      <c r="DA138" s="347"/>
      <c r="DB138" s="355"/>
      <c r="DC138" s="414">
        <f t="shared" si="170"/>
        <v>0</v>
      </c>
      <c r="DD138" s="356">
        <f>+$U$138+$AF$138+$AQ$138+$BD$138+$BQ$138+$CD$138+$CQ$138+$CZ$138+$DC$138</f>
        <v>231</v>
      </c>
    </row>
    <row r="139" spans="1:108" ht="17.45" customHeight="1">
      <c r="A139" s="357"/>
      <c r="B139" s="357"/>
      <c r="C139" s="357"/>
      <c r="D139" s="357"/>
      <c r="E139" s="357"/>
      <c r="F139" s="357"/>
      <c r="G139" s="347" t="s">
        <v>1182</v>
      </c>
      <c r="H139" s="347" t="s">
        <v>1204</v>
      </c>
      <c r="I139" s="347"/>
      <c r="J139" s="355"/>
      <c r="K139" s="347"/>
      <c r="L139" s="355"/>
      <c r="M139" s="347"/>
      <c r="N139" s="355"/>
      <c r="O139" s="347"/>
      <c r="P139" s="355"/>
      <c r="Q139" s="347"/>
      <c r="R139" s="355"/>
      <c r="S139" s="347"/>
      <c r="T139" s="355"/>
      <c r="U139" s="414">
        <f t="shared" si="162"/>
        <v>0</v>
      </c>
      <c r="V139" s="347"/>
      <c r="W139" s="355"/>
      <c r="X139" s="347"/>
      <c r="Y139" s="355"/>
      <c r="Z139" s="347"/>
      <c r="AA139" s="355"/>
      <c r="AB139" s="347"/>
      <c r="AC139" s="355"/>
      <c r="AD139" s="347"/>
      <c r="AE139" s="355"/>
      <c r="AF139" s="414">
        <f t="shared" si="163"/>
        <v>0</v>
      </c>
      <c r="AG139" s="347"/>
      <c r="AH139" s="355"/>
      <c r="AI139" s="347"/>
      <c r="AJ139" s="355"/>
      <c r="AK139" s="347"/>
      <c r="AL139" s="355">
        <v>49</v>
      </c>
      <c r="AM139" s="347"/>
      <c r="AN139" s="355"/>
      <c r="AO139" s="347"/>
      <c r="AP139" s="355"/>
      <c r="AQ139" s="414">
        <f t="shared" si="164"/>
        <v>49</v>
      </c>
      <c r="AR139" s="347"/>
      <c r="AS139" s="355"/>
      <c r="AT139" s="347"/>
      <c r="AU139" s="355"/>
      <c r="AV139" s="347"/>
      <c r="AW139" s="355"/>
      <c r="AX139" s="347"/>
      <c r="AY139" s="355"/>
      <c r="AZ139" s="347"/>
      <c r="BA139" s="355"/>
      <c r="BB139" s="347"/>
      <c r="BC139" s="355"/>
      <c r="BD139" s="414">
        <f t="shared" si="165"/>
        <v>0</v>
      </c>
      <c r="BE139" s="347"/>
      <c r="BF139" s="355">
        <v>27</v>
      </c>
      <c r="BG139" s="347"/>
      <c r="BH139" s="355">
        <v>5</v>
      </c>
      <c r="BI139" s="347"/>
      <c r="BJ139" s="355"/>
      <c r="BK139" s="347"/>
      <c r="BL139" s="355"/>
      <c r="BM139" s="347"/>
      <c r="BN139" s="355"/>
      <c r="BO139" s="347"/>
      <c r="BP139" s="355"/>
      <c r="BQ139" s="414">
        <f t="shared" si="166"/>
        <v>32</v>
      </c>
      <c r="BR139" s="347"/>
      <c r="BS139" s="355"/>
      <c r="BT139" s="347"/>
      <c r="BU139" s="355">
        <v>61</v>
      </c>
      <c r="BV139" s="347"/>
      <c r="BW139" s="355"/>
      <c r="BX139" s="347"/>
      <c r="BY139" s="355"/>
      <c r="BZ139" s="347"/>
      <c r="CA139" s="355"/>
      <c r="CB139" s="347"/>
      <c r="CC139" s="355"/>
      <c r="CD139" s="414">
        <f t="shared" si="167"/>
        <v>61</v>
      </c>
      <c r="CE139" s="347"/>
      <c r="CF139" s="355"/>
      <c r="CG139" s="347"/>
      <c r="CH139" s="355"/>
      <c r="CI139" s="347"/>
      <c r="CJ139" s="355">
        <v>96</v>
      </c>
      <c r="CK139" s="347"/>
      <c r="CL139" s="355"/>
      <c r="CM139" s="347"/>
      <c r="CN139" s="355"/>
      <c r="CO139" s="347"/>
      <c r="CP139" s="355"/>
      <c r="CQ139" s="414">
        <f t="shared" si="168"/>
        <v>96</v>
      </c>
      <c r="CR139" s="347"/>
      <c r="CS139" s="355"/>
      <c r="CT139" s="347"/>
      <c r="CU139" s="355">
        <v>20</v>
      </c>
      <c r="CV139" s="347"/>
      <c r="CW139" s="355"/>
      <c r="CX139" s="347"/>
      <c r="CY139" s="355"/>
      <c r="CZ139" s="414">
        <f t="shared" si="169"/>
        <v>20</v>
      </c>
      <c r="DA139" s="347"/>
      <c r="DB139" s="355"/>
      <c r="DC139" s="414">
        <f t="shared" si="170"/>
        <v>0</v>
      </c>
      <c r="DD139" s="356">
        <f>+$U$139+$AF$139+$AQ$139+$BD$139+$BQ$139+$CD$139+$CQ$139+$CZ$139+$DC$139</f>
        <v>258</v>
      </c>
    </row>
    <row r="140" spans="1:108" ht="17.45" customHeight="1">
      <c r="A140" s="357"/>
      <c r="B140" s="357"/>
      <c r="C140" s="357"/>
      <c r="D140" s="357"/>
      <c r="E140" s="357"/>
      <c r="F140" s="357" t="s">
        <v>37</v>
      </c>
      <c r="G140" s="347" t="s">
        <v>1180</v>
      </c>
      <c r="H140" s="347" t="s">
        <v>1202</v>
      </c>
      <c r="I140" s="347"/>
      <c r="J140" s="355"/>
      <c r="K140" s="347"/>
      <c r="L140" s="355"/>
      <c r="M140" s="347"/>
      <c r="N140" s="355"/>
      <c r="O140" s="347"/>
      <c r="P140" s="355"/>
      <c r="Q140" s="347"/>
      <c r="R140" s="355"/>
      <c r="S140" s="347"/>
      <c r="T140" s="355"/>
      <c r="U140" s="414">
        <f t="shared" si="162"/>
        <v>0</v>
      </c>
      <c r="V140" s="347"/>
      <c r="W140" s="355"/>
      <c r="X140" s="347"/>
      <c r="Y140" s="355">
        <v>14</v>
      </c>
      <c r="Z140" s="347"/>
      <c r="AA140" s="355"/>
      <c r="AB140" s="347"/>
      <c r="AC140" s="355"/>
      <c r="AD140" s="347"/>
      <c r="AE140" s="355"/>
      <c r="AF140" s="414">
        <f t="shared" si="163"/>
        <v>14</v>
      </c>
      <c r="AG140" s="347"/>
      <c r="AH140" s="355"/>
      <c r="AI140" s="347"/>
      <c r="AJ140" s="355"/>
      <c r="AK140" s="347"/>
      <c r="AL140" s="355"/>
      <c r="AM140" s="347"/>
      <c r="AN140" s="355"/>
      <c r="AO140" s="347"/>
      <c r="AP140" s="355"/>
      <c r="AQ140" s="414">
        <f t="shared" si="164"/>
        <v>0</v>
      </c>
      <c r="AR140" s="347"/>
      <c r="AS140" s="355"/>
      <c r="AT140" s="347"/>
      <c r="AU140" s="355"/>
      <c r="AV140" s="347"/>
      <c r="AW140" s="355"/>
      <c r="AX140" s="347"/>
      <c r="AY140" s="355"/>
      <c r="AZ140" s="347"/>
      <c r="BA140" s="355"/>
      <c r="BB140" s="347"/>
      <c r="BC140" s="355"/>
      <c r="BD140" s="414">
        <f t="shared" si="165"/>
        <v>0</v>
      </c>
      <c r="BE140" s="347"/>
      <c r="BF140" s="355"/>
      <c r="BG140" s="347"/>
      <c r="BH140" s="355"/>
      <c r="BI140" s="347"/>
      <c r="BJ140" s="355"/>
      <c r="BK140" s="347"/>
      <c r="BL140" s="355"/>
      <c r="BM140" s="347"/>
      <c r="BN140" s="355"/>
      <c r="BO140" s="347"/>
      <c r="BP140" s="355"/>
      <c r="BQ140" s="414">
        <f t="shared" si="166"/>
        <v>0</v>
      </c>
      <c r="BR140" s="347"/>
      <c r="BS140" s="355"/>
      <c r="BT140" s="347"/>
      <c r="BU140" s="355"/>
      <c r="BV140" s="347"/>
      <c r="BW140" s="355"/>
      <c r="BX140" s="347"/>
      <c r="BY140" s="355"/>
      <c r="BZ140" s="347"/>
      <c r="CA140" s="355"/>
      <c r="CB140" s="347"/>
      <c r="CC140" s="355"/>
      <c r="CD140" s="414">
        <f t="shared" si="167"/>
        <v>0</v>
      </c>
      <c r="CE140" s="347"/>
      <c r="CF140" s="355"/>
      <c r="CG140" s="347"/>
      <c r="CH140" s="355"/>
      <c r="CI140" s="347"/>
      <c r="CJ140" s="355">
        <v>19</v>
      </c>
      <c r="CK140" s="347"/>
      <c r="CL140" s="355"/>
      <c r="CM140" s="347"/>
      <c r="CN140" s="355"/>
      <c r="CO140" s="347"/>
      <c r="CP140" s="355"/>
      <c r="CQ140" s="414">
        <f t="shared" si="168"/>
        <v>19</v>
      </c>
      <c r="CR140" s="347"/>
      <c r="CS140" s="355"/>
      <c r="CT140" s="347"/>
      <c r="CU140" s="355">
        <v>81</v>
      </c>
      <c r="CV140" s="347"/>
      <c r="CW140" s="355">
        <v>41</v>
      </c>
      <c r="CX140" s="347"/>
      <c r="CY140" s="355"/>
      <c r="CZ140" s="414">
        <f t="shared" si="169"/>
        <v>122</v>
      </c>
      <c r="DA140" s="347"/>
      <c r="DB140" s="355"/>
      <c r="DC140" s="414">
        <f t="shared" si="170"/>
        <v>0</v>
      </c>
      <c r="DD140" s="356">
        <f>+$U$140+$AF$140+$AQ$140+$BD$140+$BQ$140+$CD$140+$CQ$140+$CZ$140+$DC$140</f>
        <v>155</v>
      </c>
    </row>
    <row r="141" spans="1:108" ht="17.45" customHeight="1">
      <c r="A141" s="357"/>
      <c r="B141" s="357"/>
      <c r="C141" s="357"/>
      <c r="D141" s="357"/>
      <c r="E141" s="357"/>
      <c r="F141" s="357"/>
      <c r="G141" s="347" t="s">
        <v>1183</v>
      </c>
      <c r="H141" s="347" t="s">
        <v>1205</v>
      </c>
      <c r="I141" s="347"/>
      <c r="J141" s="355"/>
      <c r="K141" s="347"/>
      <c r="L141" s="355"/>
      <c r="M141" s="347"/>
      <c r="N141" s="355">
        <v>1</v>
      </c>
      <c r="O141" s="347"/>
      <c r="P141" s="355"/>
      <c r="Q141" s="347"/>
      <c r="R141" s="355"/>
      <c r="S141" s="347"/>
      <c r="T141" s="355"/>
      <c r="U141" s="414">
        <f t="shared" si="162"/>
        <v>1</v>
      </c>
      <c r="V141" s="347"/>
      <c r="W141" s="355"/>
      <c r="X141" s="347"/>
      <c r="Y141" s="355"/>
      <c r="Z141" s="347"/>
      <c r="AA141" s="355">
        <v>1</v>
      </c>
      <c r="AB141" s="347"/>
      <c r="AC141" s="355"/>
      <c r="AD141" s="347"/>
      <c r="AE141" s="355"/>
      <c r="AF141" s="414">
        <f t="shared" si="163"/>
        <v>1</v>
      </c>
      <c r="AG141" s="347"/>
      <c r="AH141" s="355"/>
      <c r="AI141" s="347"/>
      <c r="AJ141" s="355"/>
      <c r="AK141" s="347"/>
      <c r="AL141" s="355"/>
      <c r="AM141" s="347"/>
      <c r="AN141" s="355"/>
      <c r="AO141" s="347"/>
      <c r="AP141" s="355"/>
      <c r="AQ141" s="414">
        <f t="shared" si="164"/>
        <v>0</v>
      </c>
      <c r="AR141" s="347"/>
      <c r="AS141" s="355"/>
      <c r="AT141" s="347"/>
      <c r="AU141" s="355"/>
      <c r="AV141" s="347"/>
      <c r="AW141" s="355"/>
      <c r="AX141" s="347"/>
      <c r="AY141" s="355"/>
      <c r="AZ141" s="347"/>
      <c r="BA141" s="355"/>
      <c r="BB141" s="347"/>
      <c r="BC141" s="355"/>
      <c r="BD141" s="414">
        <f t="shared" si="165"/>
        <v>0</v>
      </c>
      <c r="BE141" s="347"/>
      <c r="BF141" s="355"/>
      <c r="BG141" s="347"/>
      <c r="BH141" s="355"/>
      <c r="BI141" s="347"/>
      <c r="BJ141" s="355"/>
      <c r="BK141" s="347"/>
      <c r="BL141" s="355"/>
      <c r="BM141" s="347"/>
      <c r="BN141" s="355"/>
      <c r="BO141" s="347"/>
      <c r="BP141" s="355"/>
      <c r="BQ141" s="414">
        <f t="shared" si="166"/>
        <v>0</v>
      </c>
      <c r="BR141" s="347"/>
      <c r="BS141" s="355"/>
      <c r="BT141" s="347"/>
      <c r="BU141" s="355">
        <v>1</v>
      </c>
      <c r="BV141" s="347"/>
      <c r="BW141" s="355"/>
      <c r="BX141" s="347"/>
      <c r="BY141" s="355"/>
      <c r="BZ141" s="347"/>
      <c r="CA141" s="355"/>
      <c r="CB141" s="347"/>
      <c r="CC141" s="355"/>
      <c r="CD141" s="414">
        <f t="shared" si="167"/>
        <v>1</v>
      </c>
      <c r="CE141" s="347"/>
      <c r="CF141" s="355"/>
      <c r="CG141" s="347"/>
      <c r="CH141" s="355"/>
      <c r="CI141" s="347"/>
      <c r="CJ141" s="355"/>
      <c r="CK141" s="347"/>
      <c r="CL141" s="355"/>
      <c r="CM141" s="347"/>
      <c r="CN141" s="355"/>
      <c r="CO141" s="347"/>
      <c r="CP141" s="355"/>
      <c r="CQ141" s="414">
        <f t="shared" si="168"/>
        <v>0</v>
      </c>
      <c r="CR141" s="347"/>
      <c r="CS141" s="355"/>
      <c r="CT141" s="347"/>
      <c r="CU141" s="355"/>
      <c r="CV141" s="347"/>
      <c r="CW141" s="355">
        <v>1</v>
      </c>
      <c r="CX141" s="347"/>
      <c r="CY141" s="355"/>
      <c r="CZ141" s="414">
        <f t="shared" si="169"/>
        <v>1</v>
      </c>
      <c r="DA141" s="347"/>
      <c r="DB141" s="355"/>
      <c r="DC141" s="414">
        <f t="shared" si="170"/>
        <v>0</v>
      </c>
      <c r="DD141" s="356">
        <f>+$U$141+$AF$141+$AQ$141+$BD$141+$BQ$141+$CD$141+$CQ$141+$CZ$141+$DC$141</f>
        <v>4</v>
      </c>
    </row>
    <row r="142" spans="1:108" ht="17.45" customHeight="1">
      <c r="A142" s="357"/>
      <c r="B142" s="357"/>
      <c r="C142" s="357"/>
      <c r="D142" s="357"/>
      <c r="E142" s="357"/>
      <c r="F142" s="357" t="s">
        <v>37</v>
      </c>
      <c r="G142" s="347" t="s">
        <v>1131</v>
      </c>
      <c r="H142" s="347" t="s">
        <v>1132</v>
      </c>
      <c r="I142" s="347"/>
      <c r="J142" s="355">
        <v>30</v>
      </c>
      <c r="K142" s="347"/>
      <c r="L142" s="355">
        <v>30</v>
      </c>
      <c r="M142" s="347"/>
      <c r="N142" s="355">
        <v>30</v>
      </c>
      <c r="O142" s="347"/>
      <c r="P142" s="355"/>
      <c r="Q142" s="347"/>
      <c r="R142" s="355">
        <v>89</v>
      </c>
      <c r="S142" s="347"/>
      <c r="T142" s="355">
        <v>150</v>
      </c>
      <c r="U142" s="414">
        <f t="shared" si="162"/>
        <v>329</v>
      </c>
      <c r="V142" s="347"/>
      <c r="W142" s="355"/>
      <c r="X142" s="347"/>
      <c r="Y142" s="355">
        <v>6</v>
      </c>
      <c r="Z142" s="347"/>
      <c r="AA142" s="355">
        <v>62</v>
      </c>
      <c r="AB142" s="347"/>
      <c r="AC142" s="355">
        <v>120</v>
      </c>
      <c r="AD142" s="347"/>
      <c r="AE142" s="355">
        <v>92</v>
      </c>
      <c r="AF142" s="414">
        <f t="shared" si="163"/>
        <v>280</v>
      </c>
      <c r="AG142" s="347"/>
      <c r="AH142" s="355"/>
      <c r="AI142" s="347"/>
      <c r="AJ142" s="355"/>
      <c r="AK142" s="347"/>
      <c r="AL142" s="355"/>
      <c r="AM142" s="347"/>
      <c r="AN142" s="355"/>
      <c r="AO142" s="347"/>
      <c r="AP142" s="355"/>
      <c r="AQ142" s="414">
        <f t="shared" si="164"/>
        <v>0</v>
      </c>
      <c r="AR142" s="347"/>
      <c r="AS142" s="355"/>
      <c r="AT142" s="347"/>
      <c r="AU142" s="355"/>
      <c r="AV142" s="347"/>
      <c r="AW142" s="355"/>
      <c r="AX142" s="347"/>
      <c r="AY142" s="355"/>
      <c r="AZ142" s="347"/>
      <c r="BA142" s="355"/>
      <c r="BB142" s="347"/>
      <c r="BC142" s="355"/>
      <c r="BD142" s="414">
        <f t="shared" si="165"/>
        <v>0</v>
      </c>
      <c r="BE142" s="347"/>
      <c r="BF142" s="355"/>
      <c r="BG142" s="347"/>
      <c r="BH142" s="355"/>
      <c r="BI142" s="347"/>
      <c r="BJ142" s="355"/>
      <c r="BK142" s="347"/>
      <c r="BL142" s="355"/>
      <c r="BM142" s="347"/>
      <c r="BN142" s="355"/>
      <c r="BO142" s="347"/>
      <c r="BP142" s="355"/>
      <c r="BQ142" s="414">
        <f t="shared" si="166"/>
        <v>0</v>
      </c>
      <c r="BR142" s="347"/>
      <c r="BS142" s="355"/>
      <c r="BT142" s="347"/>
      <c r="BU142" s="355"/>
      <c r="BV142" s="347"/>
      <c r="BW142" s="355"/>
      <c r="BX142" s="347"/>
      <c r="BY142" s="355"/>
      <c r="BZ142" s="347"/>
      <c r="CA142" s="355"/>
      <c r="CB142" s="347"/>
      <c r="CC142" s="355"/>
      <c r="CD142" s="414">
        <f t="shared" si="167"/>
        <v>0</v>
      </c>
      <c r="CE142" s="347"/>
      <c r="CF142" s="355"/>
      <c r="CG142" s="347"/>
      <c r="CH142" s="355"/>
      <c r="CI142" s="347"/>
      <c r="CJ142" s="355">
        <v>23</v>
      </c>
      <c r="CK142" s="347"/>
      <c r="CL142" s="355">
        <v>336</v>
      </c>
      <c r="CM142" s="347"/>
      <c r="CN142" s="355">
        <v>336</v>
      </c>
      <c r="CO142" s="347"/>
      <c r="CP142" s="355">
        <v>142</v>
      </c>
      <c r="CQ142" s="414">
        <f t="shared" si="168"/>
        <v>837</v>
      </c>
      <c r="CR142" s="347"/>
      <c r="CS142" s="355"/>
      <c r="CT142" s="347"/>
      <c r="CU142" s="355"/>
      <c r="CV142" s="347"/>
      <c r="CW142" s="355">
        <v>278</v>
      </c>
      <c r="CX142" s="347"/>
      <c r="CY142" s="355">
        <v>140</v>
      </c>
      <c r="CZ142" s="414">
        <f t="shared" si="169"/>
        <v>418</v>
      </c>
      <c r="DA142" s="347"/>
      <c r="DB142" s="355"/>
      <c r="DC142" s="414">
        <f t="shared" si="170"/>
        <v>0</v>
      </c>
      <c r="DD142" s="356">
        <f>+$U$142+$AF$142+$AQ$142+$BD$142+$BQ$142+$CD$142+$CQ$142+$CZ$142+$DC$142</f>
        <v>1864</v>
      </c>
    </row>
    <row r="143" spans="1:108" ht="17.45" customHeight="1">
      <c r="A143" s="357"/>
      <c r="B143" s="357"/>
      <c r="C143" s="357"/>
      <c r="D143" s="357"/>
      <c r="E143" s="357"/>
      <c r="F143" s="357"/>
      <c r="G143" s="347" t="s">
        <v>1133</v>
      </c>
      <c r="H143" s="347" t="s">
        <v>1134</v>
      </c>
      <c r="I143" s="347"/>
      <c r="J143" s="355"/>
      <c r="K143" s="347"/>
      <c r="L143" s="355"/>
      <c r="M143" s="347"/>
      <c r="N143" s="355"/>
      <c r="O143" s="347"/>
      <c r="P143" s="355"/>
      <c r="Q143" s="347"/>
      <c r="R143" s="355"/>
      <c r="S143" s="347"/>
      <c r="T143" s="355"/>
      <c r="U143" s="414">
        <f t="shared" si="162"/>
        <v>0</v>
      </c>
      <c r="V143" s="347"/>
      <c r="W143" s="355">
        <v>80</v>
      </c>
      <c r="X143" s="347"/>
      <c r="Y143" s="355">
        <v>80</v>
      </c>
      <c r="Z143" s="347"/>
      <c r="AA143" s="355">
        <v>80</v>
      </c>
      <c r="AB143" s="347"/>
      <c r="AC143" s="355">
        <v>7</v>
      </c>
      <c r="AD143" s="347"/>
      <c r="AE143" s="355"/>
      <c r="AF143" s="414">
        <f t="shared" si="163"/>
        <v>247</v>
      </c>
      <c r="AG143" s="347"/>
      <c r="AH143" s="355"/>
      <c r="AI143" s="347"/>
      <c r="AJ143" s="355">
        <v>60</v>
      </c>
      <c r="AK143" s="347"/>
      <c r="AL143" s="355">
        <v>34</v>
      </c>
      <c r="AM143" s="347"/>
      <c r="AN143" s="355">
        <v>28</v>
      </c>
      <c r="AO143" s="347"/>
      <c r="AP143" s="355"/>
      <c r="AQ143" s="414">
        <f t="shared" si="164"/>
        <v>122</v>
      </c>
      <c r="AR143" s="347"/>
      <c r="AS143" s="355">
        <v>4</v>
      </c>
      <c r="AT143" s="347"/>
      <c r="AU143" s="355"/>
      <c r="AV143" s="347"/>
      <c r="AW143" s="355"/>
      <c r="AX143" s="347"/>
      <c r="AY143" s="355">
        <v>92</v>
      </c>
      <c r="AZ143" s="347"/>
      <c r="BA143" s="355">
        <v>99</v>
      </c>
      <c r="BB143" s="347"/>
      <c r="BC143" s="355">
        <v>17</v>
      </c>
      <c r="BD143" s="414">
        <f t="shared" si="165"/>
        <v>212</v>
      </c>
      <c r="BE143" s="347"/>
      <c r="BF143" s="355"/>
      <c r="BG143" s="347"/>
      <c r="BH143" s="355">
        <v>85</v>
      </c>
      <c r="BI143" s="347"/>
      <c r="BJ143" s="355"/>
      <c r="BK143" s="347"/>
      <c r="BL143" s="355">
        <v>85</v>
      </c>
      <c r="BM143" s="347"/>
      <c r="BN143" s="355"/>
      <c r="BO143" s="347"/>
      <c r="BP143" s="355"/>
      <c r="BQ143" s="414">
        <f t="shared" si="166"/>
        <v>170</v>
      </c>
      <c r="BR143" s="347"/>
      <c r="BS143" s="355"/>
      <c r="BT143" s="347"/>
      <c r="BU143" s="355"/>
      <c r="BV143" s="347"/>
      <c r="BW143" s="355"/>
      <c r="BX143" s="347"/>
      <c r="BY143" s="355"/>
      <c r="BZ143" s="347"/>
      <c r="CA143" s="355"/>
      <c r="CB143" s="347"/>
      <c r="CC143" s="355">
        <v>20</v>
      </c>
      <c r="CD143" s="414">
        <f t="shared" si="167"/>
        <v>20</v>
      </c>
      <c r="CE143" s="347"/>
      <c r="CF143" s="355"/>
      <c r="CG143" s="347"/>
      <c r="CH143" s="355"/>
      <c r="CI143" s="347"/>
      <c r="CJ143" s="355"/>
      <c r="CK143" s="347"/>
      <c r="CL143" s="355"/>
      <c r="CM143" s="347"/>
      <c r="CN143" s="355"/>
      <c r="CO143" s="347"/>
      <c r="CP143" s="355">
        <v>118</v>
      </c>
      <c r="CQ143" s="414">
        <f t="shared" si="168"/>
        <v>118</v>
      </c>
      <c r="CR143" s="347"/>
      <c r="CS143" s="355"/>
      <c r="CT143" s="347"/>
      <c r="CU143" s="355"/>
      <c r="CV143" s="347"/>
      <c r="CW143" s="355"/>
      <c r="CX143" s="347"/>
      <c r="CY143" s="355">
        <v>120</v>
      </c>
      <c r="CZ143" s="414">
        <f t="shared" si="169"/>
        <v>120</v>
      </c>
      <c r="DA143" s="347"/>
      <c r="DB143" s="355"/>
      <c r="DC143" s="414">
        <f t="shared" si="170"/>
        <v>0</v>
      </c>
      <c r="DD143" s="356">
        <f>+$U$143+$AF$143+$AQ$143+$BD$143+$BQ$143+$CD$143+$CQ$143+$CZ$143+$DC$143</f>
        <v>1009</v>
      </c>
    </row>
    <row r="144" spans="1:108" ht="17.45" customHeight="1">
      <c r="A144" s="357"/>
      <c r="B144" s="357"/>
      <c r="C144" s="357"/>
      <c r="D144" s="357"/>
      <c r="E144" s="357"/>
      <c r="F144" s="357"/>
      <c r="G144" s="347" t="s">
        <v>1135</v>
      </c>
      <c r="H144" s="347" t="s">
        <v>1136</v>
      </c>
      <c r="I144" s="347"/>
      <c r="J144" s="355"/>
      <c r="K144" s="347"/>
      <c r="L144" s="355"/>
      <c r="M144" s="347"/>
      <c r="N144" s="355"/>
      <c r="O144" s="347"/>
      <c r="P144" s="355"/>
      <c r="Q144" s="347"/>
      <c r="R144" s="355"/>
      <c r="S144" s="347"/>
      <c r="T144" s="355"/>
      <c r="U144" s="414">
        <f t="shared" si="162"/>
        <v>0</v>
      </c>
      <c r="V144" s="347"/>
      <c r="W144" s="355"/>
      <c r="X144" s="347"/>
      <c r="Y144" s="355"/>
      <c r="Z144" s="347"/>
      <c r="AA144" s="355"/>
      <c r="AB144" s="347"/>
      <c r="AC144" s="355"/>
      <c r="AD144" s="347"/>
      <c r="AE144" s="355"/>
      <c r="AF144" s="414">
        <f t="shared" si="163"/>
        <v>0</v>
      </c>
      <c r="AG144" s="347"/>
      <c r="AH144" s="355"/>
      <c r="AI144" s="347"/>
      <c r="AJ144" s="355"/>
      <c r="AK144" s="347"/>
      <c r="AL144" s="355"/>
      <c r="AM144" s="347"/>
      <c r="AN144" s="355"/>
      <c r="AO144" s="347"/>
      <c r="AP144" s="355"/>
      <c r="AQ144" s="414">
        <f t="shared" si="164"/>
        <v>0</v>
      </c>
      <c r="AR144" s="347"/>
      <c r="AS144" s="355"/>
      <c r="AT144" s="347"/>
      <c r="AU144" s="355"/>
      <c r="AV144" s="347"/>
      <c r="AW144" s="355">
        <v>98</v>
      </c>
      <c r="AX144" s="347"/>
      <c r="AY144" s="355">
        <v>6</v>
      </c>
      <c r="AZ144" s="347"/>
      <c r="BA144" s="355"/>
      <c r="BB144" s="347"/>
      <c r="BC144" s="355"/>
      <c r="BD144" s="414">
        <f t="shared" si="165"/>
        <v>104</v>
      </c>
      <c r="BE144" s="347"/>
      <c r="BF144" s="355"/>
      <c r="BG144" s="347"/>
      <c r="BH144" s="355"/>
      <c r="BI144" s="347"/>
      <c r="BJ144" s="355"/>
      <c r="BK144" s="347"/>
      <c r="BL144" s="355"/>
      <c r="BM144" s="347"/>
      <c r="BN144" s="355"/>
      <c r="BO144" s="347"/>
      <c r="BP144" s="355"/>
      <c r="BQ144" s="414">
        <f t="shared" si="166"/>
        <v>0</v>
      </c>
      <c r="BR144" s="347"/>
      <c r="BS144" s="355"/>
      <c r="BT144" s="347"/>
      <c r="BU144" s="355"/>
      <c r="BV144" s="347"/>
      <c r="BW144" s="355"/>
      <c r="BX144" s="347"/>
      <c r="BY144" s="355"/>
      <c r="BZ144" s="347"/>
      <c r="CA144" s="355"/>
      <c r="CB144" s="347"/>
      <c r="CC144" s="355"/>
      <c r="CD144" s="414">
        <f t="shared" si="167"/>
        <v>0</v>
      </c>
      <c r="CE144" s="347"/>
      <c r="CF144" s="355"/>
      <c r="CG144" s="347"/>
      <c r="CH144" s="355"/>
      <c r="CI144" s="347"/>
      <c r="CJ144" s="355"/>
      <c r="CK144" s="347"/>
      <c r="CL144" s="355"/>
      <c r="CM144" s="347"/>
      <c r="CN144" s="355"/>
      <c r="CO144" s="347"/>
      <c r="CP144" s="355"/>
      <c r="CQ144" s="414">
        <f t="shared" si="168"/>
        <v>0</v>
      </c>
      <c r="CR144" s="347"/>
      <c r="CS144" s="355"/>
      <c r="CT144" s="347"/>
      <c r="CU144" s="355"/>
      <c r="CV144" s="347"/>
      <c r="CW144" s="355"/>
      <c r="CX144" s="347"/>
      <c r="CY144" s="355"/>
      <c r="CZ144" s="414">
        <f t="shared" si="169"/>
        <v>0</v>
      </c>
      <c r="DA144" s="347"/>
      <c r="DB144" s="355"/>
      <c r="DC144" s="414">
        <f t="shared" si="170"/>
        <v>0</v>
      </c>
      <c r="DD144" s="356">
        <f>+$U$144+$AF$144+$AQ$144+$BD$144+$BQ$144+$CD$144+$CQ$144+$CZ$144+$DC$144</f>
        <v>104</v>
      </c>
    </row>
    <row r="145" spans="1:108" ht="17.45" customHeight="1">
      <c r="A145" s="357"/>
      <c r="B145" s="357"/>
      <c r="C145" s="357"/>
      <c r="D145" s="357"/>
      <c r="E145" s="357"/>
      <c r="F145" s="357"/>
      <c r="G145" s="347" t="s">
        <v>1190</v>
      </c>
      <c r="H145" s="347" t="s">
        <v>1212</v>
      </c>
      <c r="I145" s="347"/>
      <c r="J145" s="355"/>
      <c r="K145" s="347"/>
      <c r="L145" s="355"/>
      <c r="M145" s="347"/>
      <c r="N145" s="355"/>
      <c r="O145" s="347"/>
      <c r="P145" s="355"/>
      <c r="Q145" s="347"/>
      <c r="R145" s="355"/>
      <c r="S145" s="347"/>
      <c r="T145" s="355"/>
      <c r="U145" s="414">
        <f t="shared" si="162"/>
        <v>0</v>
      </c>
      <c r="V145" s="347"/>
      <c r="W145" s="355"/>
      <c r="X145" s="347"/>
      <c r="Y145" s="355"/>
      <c r="Z145" s="347"/>
      <c r="AA145" s="355"/>
      <c r="AB145" s="347"/>
      <c r="AC145" s="355"/>
      <c r="AD145" s="347"/>
      <c r="AE145" s="355"/>
      <c r="AF145" s="414">
        <f t="shared" si="163"/>
        <v>0</v>
      </c>
      <c r="AG145" s="347"/>
      <c r="AH145" s="355"/>
      <c r="AI145" s="347"/>
      <c r="AJ145" s="355"/>
      <c r="AK145" s="347"/>
      <c r="AL145" s="355"/>
      <c r="AM145" s="347"/>
      <c r="AN145" s="355"/>
      <c r="AO145" s="347"/>
      <c r="AP145" s="355"/>
      <c r="AQ145" s="414">
        <f t="shared" si="164"/>
        <v>0</v>
      </c>
      <c r="AR145" s="347"/>
      <c r="AS145" s="355">
        <v>14</v>
      </c>
      <c r="AT145" s="347"/>
      <c r="AU145" s="355">
        <v>94</v>
      </c>
      <c r="AV145" s="347"/>
      <c r="AW145" s="355"/>
      <c r="AX145" s="347"/>
      <c r="AY145" s="355"/>
      <c r="AZ145" s="347"/>
      <c r="BA145" s="355"/>
      <c r="BB145" s="347"/>
      <c r="BC145" s="355"/>
      <c r="BD145" s="414">
        <f t="shared" si="165"/>
        <v>108</v>
      </c>
      <c r="BE145" s="347"/>
      <c r="BF145" s="355"/>
      <c r="BG145" s="347"/>
      <c r="BH145" s="355"/>
      <c r="BI145" s="347"/>
      <c r="BJ145" s="355"/>
      <c r="BK145" s="347"/>
      <c r="BL145" s="355"/>
      <c r="BM145" s="347"/>
      <c r="BN145" s="355"/>
      <c r="BO145" s="347"/>
      <c r="BP145" s="355"/>
      <c r="BQ145" s="414">
        <f t="shared" si="166"/>
        <v>0</v>
      </c>
      <c r="BR145" s="347"/>
      <c r="BS145" s="355"/>
      <c r="BT145" s="347"/>
      <c r="BU145" s="355"/>
      <c r="BV145" s="347"/>
      <c r="BW145" s="355"/>
      <c r="BX145" s="347"/>
      <c r="BY145" s="355"/>
      <c r="BZ145" s="347"/>
      <c r="CA145" s="355"/>
      <c r="CB145" s="347"/>
      <c r="CC145" s="355"/>
      <c r="CD145" s="414">
        <f t="shared" si="167"/>
        <v>0</v>
      </c>
      <c r="CE145" s="347"/>
      <c r="CF145" s="355"/>
      <c r="CG145" s="347"/>
      <c r="CH145" s="355"/>
      <c r="CI145" s="347"/>
      <c r="CJ145" s="355"/>
      <c r="CK145" s="347"/>
      <c r="CL145" s="355"/>
      <c r="CM145" s="347"/>
      <c r="CN145" s="355"/>
      <c r="CO145" s="347"/>
      <c r="CP145" s="355"/>
      <c r="CQ145" s="414">
        <f t="shared" si="168"/>
        <v>0</v>
      </c>
      <c r="CR145" s="347"/>
      <c r="CS145" s="355"/>
      <c r="CT145" s="347"/>
      <c r="CU145" s="355"/>
      <c r="CV145" s="347"/>
      <c r="CW145" s="355"/>
      <c r="CX145" s="347"/>
      <c r="CY145" s="355"/>
      <c r="CZ145" s="414">
        <f t="shared" si="169"/>
        <v>0</v>
      </c>
      <c r="DA145" s="347"/>
      <c r="DB145" s="355"/>
      <c r="DC145" s="414">
        <f t="shared" si="170"/>
        <v>0</v>
      </c>
      <c r="DD145" s="356">
        <f>+$U$145+$AF$145+$AQ$145+$BD$145+$BQ$145+$CD$145+$CQ$145+$CZ$145+$DC$145</f>
        <v>108</v>
      </c>
    </row>
    <row r="146" spans="1:108" ht="17.45" customHeight="1">
      <c r="A146" s="357"/>
      <c r="B146" s="357"/>
      <c r="C146" s="357"/>
      <c r="D146" s="357"/>
      <c r="E146" s="357" t="s">
        <v>36</v>
      </c>
      <c r="F146" s="357"/>
      <c r="G146" s="347" t="s">
        <v>1137</v>
      </c>
      <c r="H146" s="347" t="s">
        <v>1138</v>
      </c>
      <c r="I146" s="347"/>
      <c r="J146" s="355">
        <v>57</v>
      </c>
      <c r="K146" s="347"/>
      <c r="L146" s="355">
        <v>87</v>
      </c>
      <c r="M146" s="347"/>
      <c r="N146" s="355"/>
      <c r="O146" s="347"/>
      <c r="P146" s="355"/>
      <c r="Q146" s="347"/>
      <c r="R146" s="355"/>
      <c r="S146" s="347"/>
      <c r="T146" s="355"/>
      <c r="U146" s="414">
        <f t="shared" si="162"/>
        <v>144</v>
      </c>
      <c r="V146" s="347"/>
      <c r="W146" s="355"/>
      <c r="X146" s="347"/>
      <c r="Y146" s="355"/>
      <c r="Z146" s="347"/>
      <c r="AA146" s="355"/>
      <c r="AB146" s="347"/>
      <c r="AC146" s="355"/>
      <c r="AD146" s="347"/>
      <c r="AE146" s="355"/>
      <c r="AF146" s="414">
        <f t="shared" si="163"/>
        <v>0</v>
      </c>
      <c r="AG146" s="347"/>
      <c r="AH146" s="355"/>
      <c r="AI146" s="347"/>
      <c r="AJ146" s="355"/>
      <c r="AK146" s="347"/>
      <c r="AL146" s="355"/>
      <c r="AM146" s="347"/>
      <c r="AN146" s="355"/>
      <c r="AO146" s="347"/>
      <c r="AP146" s="355"/>
      <c r="AQ146" s="414">
        <f t="shared" si="164"/>
        <v>0</v>
      </c>
      <c r="AR146" s="347"/>
      <c r="AS146" s="355">
        <v>69</v>
      </c>
      <c r="AT146" s="347"/>
      <c r="AU146" s="355"/>
      <c r="AV146" s="347"/>
      <c r="AW146" s="355"/>
      <c r="AX146" s="347"/>
      <c r="AY146" s="355"/>
      <c r="AZ146" s="347"/>
      <c r="BA146" s="355"/>
      <c r="BB146" s="347"/>
      <c r="BC146" s="355"/>
      <c r="BD146" s="414">
        <f t="shared" si="165"/>
        <v>69</v>
      </c>
      <c r="BE146" s="347"/>
      <c r="BF146" s="355">
        <v>46</v>
      </c>
      <c r="BG146" s="347"/>
      <c r="BH146" s="355"/>
      <c r="BI146" s="347"/>
      <c r="BJ146" s="355"/>
      <c r="BK146" s="347"/>
      <c r="BL146" s="355"/>
      <c r="BM146" s="347"/>
      <c r="BN146" s="355"/>
      <c r="BO146" s="347"/>
      <c r="BP146" s="355"/>
      <c r="BQ146" s="414">
        <f t="shared" si="166"/>
        <v>46</v>
      </c>
      <c r="BR146" s="347"/>
      <c r="BS146" s="355">
        <v>41</v>
      </c>
      <c r="BT146" s="347"/>
      <c r="BU146" s="355"/>
      <c r="BV146" s="347"/>
      <c r="BW146" s="355"/>
      <c r="BX146" s="347"/>
      <c r="BY146" s="355"/>
      <c r="BZ146" s="347"/>
      <c r="CA146" s="355"/>
      <c r="CB146" s="347"/>
      <c r="CC146" s="355"/>
      <c r="CD146" s="414">
        <f t="shared" si="167"/>
        <v>41</v>
      </c>
      <c r="CE146" s="347"/>
      <c r="CF146" s="355"/>
      <c r="CG146" s="347"/>
      <c r="CH146" s="355"/>
      <c r="CI146" s="347"/>
      <c r="CJ146" s="355"/>
      <c r="CK146" s="347"/>
      <c r="CL146" s="355"/>
      <c r="CM146" s="347"/>
      <c r="CN146" s="355"/>
      <c r="CO146" s="347"/>
      <c r="CP146" s="355"/>
      <c r="CQ146" s="414">
        <f t="shared" si="168"/>
        <v>0</v>
      </c>
      <c r="CR146" s="347"/>
      <c r="CS146" s="355"/>
      <c r="CT146" s="347"/>
      <c r="CU146" s="355"/>
      <c r="CV146" s="347"/>
      <c r="CW146" s="355"/>
      <c r="CX146" s="347"/>
      <c r="CY146" s="355"/>
      <c r="CZ146" s="414">
        <f t="shared" si="169"/>
        <v>0</v>
      </c>
      <c r="DA146" s="347"/>
      <c r="DB146" s="355"/>
      <c r="DC146" s="414">
        <f t="shared" si="170"/>
        <v>0</v>
      </c>
      <c r="DD146" s="356">
        <f>+$U$146+$AF$146+$AQ$146+$BD$146+$BQ$146+$CD$146+$CQ$146+$CZ$146+$DC$146</f>
        <v>300</v>
      </c>
    </row>
    <row r="147" spans="1:108" ht="17.45" customHeight="1">
      <c r="A147" s="357"/>
      <c r="B147" s="357"/>
      <c r="C147" s="357"/>
      <c r="D147" s="357"/>
      <c r="E147" s="357"/>
      <c r="F147" s="357"/>
      <c r="G147" s="354" t="s">
        <v>1139</v>
      </c>
      <c r="H147" s="354" t="s">
        <v>1140</v>
      </c>
      <c r="I147" s="354"/>
      <c r="J147" s="391"/>
      <c r="K147" s="354"/>
      <c r="L147" s="391"/>
      <c r="M147" s="354"/>
      <c r="N147" s="391"/>
      <c r="O147" s="354"/>
      <c r="P147" s="391"/>
      <c r="Q147" s="354"/>
      <c r="R147" s="391"/>
      <c r="S147" s="354"/>
      <c r="T147" s="391"/>
      <c r="U147" s="416">
        <f t="shared" si="162"/>
        <v>0</v>
      </c>
      <c r="V147" s="354"/>
      <c r="W147" s="391"/>
      <c r="X147" s="354"/>
      <c r="Y147" s="391"/>
      <c r="Z147" s="354"/>
      <c r="AA147" s="391"/>
      <c r="AB147" s="354"/>
      <c r="AC147" s="391"/>
      <c r="AD147" s="354"/>
      <c r="AE147" s="391"/>
      <c r="AF147" s="416">
        <f t="shared" si="163"/>
        <v>0</v>
      </c>
      <c r="AG147" s="354"/>
      <c r="AH147" s="391">
        <v>7</v>
      </c>
      <c r="AI147" s="354"/>
      <c r="AJ147" s="391"/>
      <c r="AK147" s="354"/>
      <c r="AL147" s="391"/>
      <c r="AM147" s="354"/>
      <c r="AN147" s="391"/>
      <c r="AO147" s="354"/>
      <c r="AP147" s="391"/>
      <c r="AQ147" s="416">
        <f t="shared" si="164"/>
        <v>7</v>
      </c>
      <c r="AR147" s="354"/>
      <c r="AS147" s="391"/>
      <c r="AT147" s="354"/>
      <c r="AU147" s="391">
        <v>4</v>
      </c>
      <c r="AV147" s="354"/>
      <c r="AW147" s="391"/>
      <c r="AX147" s="354"/>
      <c r="AY147" s="391"/>
      <c r="AZ147" s="354"/>
      <c r="BA147" s="391"/>
      <c r="BB147" s="354"/>
      <c r="BC147" s="391"/>
      <c r="BD147" s="416">
        <f t="shared" si="165"/>
        <v>4</v>
      </c>
      <c r="BE147" s="354"/>
      <c r="BF147" s="391"/>
      <c r="BG147" s="354"/>
      <c r="BH147" s="391">
        <v>2</v>
      </c>
      <c r="BI147" s="354"/>
      <c r="BJ147" s="391"/>
      <c r="BK147" s="354"/>
      <c r="BL147" s="391"/>
      <c r="BM147" s="354"/>
      <c r="BN147" s="391"/>
      <c r="BO147" s="354"/>
      <c r="BP147" s="391"/>
      <c r="BQ147" s="416">
        <f t="shared" si="166"/>
        <v>2</v>
      </c>
      <c r="BR147" s="354"/>
      <c r="BS147" s="391"/>
      <c r="BT147" s="354"/>
      <c r="BU147" s="391">
        <v>3</v>
      </c>
      <c r="BV147" s="354"/>
      <c r="BW147" s="391"/>
      <c r="BX147" s="354"/>
      <c r="BY147" s="391"/>
      <c r="BZ147" s="354"/>
      <c r="CA147" s="391"/>
      <c r="CB147" s="354"/>
      <c r="CC147" s="391"/>
      <c r="CD147" s="416">
        <f t="shared" si="167"/>
        <v>3</v>
      </c>
      <c r="CE147" s="354"/>
      <c r="CF147" s="391"/>
      <c r="CG147" s="354"/>
      <c r="CH147" s="391"/>
      <c r="CI147" s="354"/>
      <c r="CJ147" s="391">
        <v>3</v>
      </c>
      <c r="CK147" s="354"/>
      <c r="CL147" s="391"/>
      <c r="CM147" s="354"/>
      <c r="CN147" s="391"/>
      <c r="CO147" s="354"/>
      <c r="CP147" s="391"/>
      <c r="CQ147" s="416">
        <f t="shared" si="168"/>
        <v>3</v>
      </c>
      <c r="CR147" s="354"/>
      <c r="CS147" s="391"/>
      <c r="CT147" s="354"/>
      <c r="CU147" s="391">
        <v>2</v>
      </c>
      <c r="CV147" s="354"/>
      <c r="CW147" s="391"/>
      <c r="CX147" s="354"/>
      <c r="CY147" s="391"/>
      <c r="CZ147" s="416">
        <f t="shared" si="169"/>
        <v>2</v>
      </c>
      <c r="DA147" s="354"/>
      <c r="DB147" s="391"/>
      <c r="DC147" s="416">
        <f t="shared" si="170"/>
        <v>0</v>
      </c>
      <c r="DD147" s="393">
        <f>+$U$147+$AF$147+$AQ$147+$BD$147+$BQ$147+$CD$147+$CQ$147+$CZ$147+$DC$147</f>
        <v>21</v>
      </c>
    </row>
    <row r="148" spans="1:108" ht="17.45" customHeight="1">
      <c r="A148" s="357"/>
      <c r="B148" s="336"/>
      <c r="C148" s="385" t="s">
        <v>1831</v>
      </c>
      <c r="D148" s="386"/>
      <c r="E148" s="386"/>
      <c r="F148" s="386"/>
      <c r="G148" s="386"/>
      <c r="H148" s="387"/>
      <c r="I148" s="387"/>
      <c r="J148" s="388">
        <f>+$J$147+$J$146+$J$145+$J$144+$J$143+$J$142+$J$141+$J$140+$J$139+$J$138+$J$137+$J$136+$J$135+$J$134+$J$133+$J$132+$J$131</f>
        <v>256</v>
      </c>
      <c r="K148" s="387"/>
      <c r="L148" s="388">
        <f>+$L$147+$L$146+$L$145+$L$144+$L$143+$L$142+$L$141+$L$140+$L$139+$L$138+$L$137+$L$136+$L$135+$L$134+$L$133+$L$132+$L$131</f>
        <v>336</v>
      </c>
      <c r="M148" s="387"/>
      <c r="N148" s="388">
        <f>+$N$147+$N$146+$N$145+$N$144+$N$143+$N$142+$N$141+$N$140+$N$139+$N$138+$N$137+$N$136+$N$135+$N$134+$N$133+$N$132+$N$131</f>
        <v>336</v>
      </c>
      <c r="O148" s="387"/>
      <c r="P148" s="388">
        <f>+$P$147+$P$146+$P$145+$P$144+$P$143+$P$142+$P$141+$P$140+$P$139+$P$138+$P$137+$P$136+$P$135+$P$134+$P$133+$P$132+$P$131</f>
        <v>320</v>
      </c>
      <c r="Q148" s="387"/>
      <c r="R148" s="388">
        <f>+$R$147+$R$146+$R$145+$R$144+$R$143+$R$142+$R$141+$R$140+$R$139+$R$138+$R$137+$R$136+$R$135+$R$134+$R$133+$R$132+$R$131</f>
        <v>260</v>
      </c>
      <c r="S148" s="387"/>
      <c r="T148" s="388">
        <f>+$T$147+$T$146+$T$145+$T$144+$T$143+$T$142+$T$141+$T$140+$T$139+$T$138+$T$137+$T$136+$T$135+$T$134+$T$133+$T$132+$T$131</f>
        <v>320</v>
      </c>
      <c r="U148" s="414">
        <f t="shared" si="162"/>
        <v>1828</v>
      </c>
      <c r="V148" s="387"/>
      <c r="W148" s="388">
        <f>+$W$147+$W$146+$W$145+$W$144+$W$143+$W$142+$W$141+$W$140+$W$139+$W$138+$W$137+$W$136+$W$135+$W$134+$W$133+$W$132+$W$131</f>
        <v>256</v>
      </c>
      <c r="X148" s="387"/>
      <c r="Y148" s="388">
        <f>+$Y$147+$Y$146+$Y$145+$Y$144+$Y$143+$Y$142+$Y$141+$Y$140+$Y$139+$Y$138+$Y$137+$Y$136+$Y$135+$Y$134+$Y$133+$Y$132+$Y$131</f>
        <v>328</v>
      </c>
      <c r="Z148" s="387"/>
      <c r="AA148" s="388">
        <f>+$AA$147+$AA$146+$AA$145+$AA$144+$AA$143+$AA$142+$AA$141+$AA$140+$AA$139+$AA$138+$AA$137+$AA$136+$AA$135+$AA$134+$AA$133+$AA$132+$AA$131</f>
        <v>336</v>
      </c>
      <c r="AB148" s="387"/>
      <c r="AC148" s="388">
        <f>+$AC$147+$AC$146+$AC$145+$AC$144+$AC$143+$AC$142+$AC$141+$AC$140+$AC$139+$AC$138+$AC$137+$AC$136+$AC$135+$AC$134+$AC$133+$AC$132+$AC$131</f>
        <v>320</v>
      </c>
      <c r="AD148" s="387"/>
      <c r="AE148" s="388">
        <f>+$AE$147+$AE$146+$AE$145+$AE$144+$AE$143+$AE$142+$AE$141+$AE$140+$AE$139+$AE$138+$AE$137+$AE$136+$AE$135+$AE$134+$AE$133+$AE$132+$AE$131</f>
        <v>320</v>
      </c>
      <c r="AF148" s="414">
        <f t="shared" si="163"/>
        <v>1560</v>
      </c>
      <c r="AG148" s="387"/>
      <c r="AH148" s="388">
        <f>+$AH$147+$AH$146+$AH$145+$AH$144+$AH$143+$AH$142+$AH$141+$AH$140+$AH$139+$AH$138+$AH$137+$AH$136+$AH$135+$AH$134+$AH$133+$AH$132+$AH$131</f>
        <v>316</v>
      </c>
      <c r="AI148" s="387"/>
      <c r="AJ148" s="388">
        <f>+$AJ$147+$AJ$146+$AJ$145+$AJ$144+$AJ$143+$AJ$142+$AJ$141+$AJ$140+$AJ$139+$AJ$138+$AJ$137+$AJ$136+$AJ$135+$AJ$134+$AJ$133+$AJ$132+$AJ$131</f>
        <v>336</v>
      </c>
      <c r="AK148" s="387"/>
      <c r="AL148" s="388">
        <f>+$AL$147+$AL$146+$AL$145+$AL$144+$AL$143+$AL$142+$AL$141+$AL$140+$AL$139+$AL$138+$AL$137+$AL$136+$AL$135+$AL$134+$AL$133+$AL$132+$AL$131</f>
        <v>336</v>
      </c>
      <c r="AM148" s="387"/>
      <c r="AN148" s="388">
        <f>+$AN$147+$AN$146+$AN$145+$AN$144+$AN$143+$AN$142+$AN$141+$AN$140+$AN$139+$AN$138+$AN$137+$AN$136+$AN$135+$AN$134+$AN$133+$AN$132+$AN$131</f>
        <v>260</v>
      </c>
      <c r="AO148" s="387"/>
      <c r="AP148" s="388">
        <f>+$AP$147+$AP$146+$AP$145+$AP$144+$AP$143+$AP$142+$AP$141+$AP$140+$AP$139+$AP$138+$AP$137+$AP$136+$AP$135+$AP$134+$AP$133+$AP$132+$AP$131</f>
        <v>336</v>
      </c>
      <c r="AQ148" s="414">
        <f t="shared" si="164"/>
        <v>1584</v>
      </c>
      <c r="AR148" s="387"/>
      <c r="AS148" s="388">
        <f>+$AS$147+$AS$146+$AS$145+$AS$144+$AS$143+$AS$142+$AS$141+$AS$140+$AS$139+$AS$138+$AS$137+$AS$136+$AS$135+$AS$134+$AS$133+$AS$132+$AS$131</f>
        <v>256</v>
      </c>
      <c r="AT148" s="387"/>
      <c r="AU148" s="388">
        <f>+$AU$147+$AU$146+$AU$145+$AU$144+$AU$143+$AU$142+$AU$141+$AU$140+$AU$139+$AU$138+$AU$137+$AU$136+$AU$135+$AU$134+$AU$133+$AU$132+$AU$131</f>
        <v>336</v>
      </c>
      <c r="AV148" s="387"/>
      <c r="AW148" s="388">
        <f>+$AW$147+$AW$146+$AW$145+$AW$144+$AW$143+$AW$142+$AW$141+$AW$140+$AW$139+$AW$138+$AW$137+$AW$136+$AW$135+$AW$134+$AW$133+$AW$132+$AW$131</f>
        <v>336</v>
      </c>
      <c r="AX148" s="387"/>
      <c r="AY148" s="388">
        <f>+$AY$147+$AY$146+$AY$145+$AY$144+$AY$143+$AY$142+$AY$141+$AY$140+$AY$139+$AY$138+$AY$137+$AY$136+$AY$135+$AY$134+$AY$133+$AY$132+$AY$131</f>
        <v>336</v>
      </c>
      <c r="AZ148" s="387"/>
      <c r="BA148" s="388">
        <f>+$BA$147+$BA$146+$BA$145+$BA$144+$BA$143+$BA$142+$BA$141+$BA$140+$BA$139+$BA$138+$BA$137+$BA$136+$BA$135+$BA$134+$BA$133+$BA$132+$BA$131</f>
        <v>336</v>
      </c>
      <c r="BB148" s="387"/>
      <c r="BC148" s="388">
        <f>+$BC$147+$BC$146+$BC$145+$BC$144+$BC$143+$BC$142+$BC$141+$BC$140+$BC$139+$BC$138+$BC$137+$BC$136+$BC$135+$BC$134+$BC$133+$BC$132+$BC$131</f>
        <v>254</v>
      </c>
      <c r="BD148" s="414">
        <f t="shared" si="165"/>
        <v>1854</v>
      </c>
      <c r="BE148" s="387"/>
      <c r="BF148" s="388">
        <f>+$BF$147+$BF$146+$BF$145+$BF$144+$BF$143+$BF$142+$BF$141+$BF$140+$BF$139+$BF$138+$BF$137+$BF$136+$BF$135+$BF$134+$BF$133+$BF$132+$BF$131</f>
        <v>316</v>
      </c>
      <c r="BG148" s="387"/>
      <c r="BH148" s="388">
        <f>+$BH$147+$BH$146+$BH$145+$BH$144+$BH$143+$BH$142+$BH$141+$BH$140+$BH$139+$BH$138+$BH$137+$BH$136+$BH$135+$BH$134+$BH$133+$BH$132+$BH$131</f>
        <v>336</v>
      </c>
      <c r="BI148" s="387"/>
      <c r="BJ148" s="388">
        <f>+$BJ$147+$BJ$146+$BJ$145+$BJ$144+$BJ$143+$BJ$142+$BJ$141+$BJ$140+$BJ$139+$BJ$138+$BJ$137+$BJ$136+$BJ$135+$BJ$134+$BJ$133+$BJ$132+$BJ$131</f>
        <v>336</v>
      </c>
      <c r="BK148" s="387"/>
      <c r="BL148" s="388">
        <f>+$BL$147+$BL$146+$BL$145+$BL$144+$BL$143+$BL$142+$BL$141+$BL$140+$BL$139+$BL$138+$BL$137+$BL$136+$BL$135+$BL$134+$BL$133+$BL$132+$BL$131</f>
        <v>320</v>
      </c>
      <c r="BM148" s="387"/>
      <c r="BN148" s="388">
        <f>+$BN$147+$BN$146+$BN$145+$BN$144+$BN$143+$BN$142+$BN$141+$BN$140+$BN$139+$BN$138+$BN$137+$BN$136+$BN$135+$BN$134+$BN$133+$BN$132+$BN$131</f>
        <v>260</v>
      </c>
      <c r="BO148" s="387"/>
      <c r="BP148" s="388">
        <f>+$BP$147+$BP$146+$BP$145+$BP$144+$BP$143+$BP$142+$BP$141+$BP$140+$BP$139+$BP$138+$BP$137+$BP$136+$BP$135+$BP$134+$BP$133+$BP$132+$BP$131</f>
        <v>320</v>
      </c>
      <c r="BQ148" s="414">
        <f t="shared" si="166"/>
        <v>1888</v>
      </c>
      <c r="BR148" s="387"/>
      <c r="BS148" s="388">
        <f>+$BS$147+$BS$146+$BS$145+$BS$144+$BS$143+$BS$142+$BS$141+$BS$140+$BS$139+$BS$138+$BS$137+$BS$136+$BS$135+$BS$134+$BS$133+$BS$132+$BS$131</f>
        <v>332</v>
      </c>
      <c r="BT148" s="387"/>
      <c r="BU148" s="388">
        <f>+$BU$147+$BU$146+$BU$145+$BU$144+$BU$143+$BU$142+$BU$141+$BU$140+$BU$139+$BU$138+$BU$137+$BU$136+$BU$135+$BU$134+$BU$133+$BU$132+$BU$131</f>
        <v>336</v>
      </c>
      <c r="BV148" s="387"/>
      <c r="BW148" s="388">
        <f>+$BW$147+$BW$146+$BW$145+$BW$144+$BW$143+$BW$142+$BW$141+$BW$140+$BW$139+$BW$138+$BW$137+$BW$136+$BW$135+$BW$134+$BW$133+$BW$132+$BW$131</f>
        <v>260</v>
      </c>
      <c r="BX148" s="387"/>
      <c r="BY148" s="388">
        <f>+$BY$147+$BY$146+$BY$145+$BY$144+$BY$143+$BY$142+$BY$141+$BY$140+$BY$139+$BY$138+$BY$137+$BY$136+$BY$135+$BY$134+$BY$133+$BY$132+$BY$131</f>
        <v>328</v>
      </c>
      <c r="BZ148" s="387"/>
      <c r="CA148" s="388">
        <f>+$CA$147+$CA$146+$CA$145+$CA$144+$CA$143+$CA$142+$CA$141+$CA$140+$CA$139+$CA$138+$CA$137+$CA$136+$CA$135+$CA$134+$CA$133+$CA$132+$CA$131</f>
        <v>260</v>
      </c>
      <c r="CB148" s="387"/>
      <c r="CC148" s="388">
        <f>+$CC$147+$CC$146+$CC$145+$CC$144+$CC$143+$CC$142+$CC$141+$CC$140+$CC$139+$CC$138+$CC$137+$CC$136+$CC$135+$CC$134+$CC$133+$CC$132+$CC$131</f>
        <v>130</v>
      </c>
      <c r="CD148" s="414">
        <f t="shared" si="167"/>
        <v>1646</v>
      </c>
      <c r="CE148" s="387"/>
      <c r="CF148" s="388">
        <f>+$CF$147+$CF$146+$CF$145+$CF$144+$CF$143+$CF$142+$CF$141+$CF$140+$CF$139+$CF$138+$CF$137+$CF$136+$CF$135+$CF$134+$CF$133+$CF$132+$CF$131</f>
        <v>252</v>
      </c>
      <c r="CG148" s="387"/>
      <c r="CH148" s="388">
        <f>+$CH$147+$CH$146+$CH$145+$CH$144+$CH$143+$CH$142+$CH$141+$CH$140+$CH$139+$CH$138+$CH$137+$CH$136+$CH$135+$CH$134+$CH$133+$CH$132+$CH$131</f>
        <v>336</v>
      </c>
      <c r="CI148" s="387"/>
      <c r="CJ148" s="388">
        <f>+$CJ$147+$CJ$146+$CJ$145+$CJ$144+$CJ$143+$CJ$142+$CJ$141+$CJ$140+$CJ$139+$CJ$138+$CJ$137+$CJ$136+$CJ$135+$CJ$134+$CJ$133+$CJ$132+$CJ$131</f>
        <v>339</v>
      </c>
      <c r="CK148" s="387"/>
      <c r="CL148" s="388">
        <f>+$CL$147+$CL$146+$CL$145+$CL$144+$CL$143+$CL$142+$CL$141+$CL$140+$CL$139+$CL$138+$CL$137+$CL$136+$CL$135+$CL$134+$CL$133+$CL$132+$CL$131</f>
        <v>336</v>
      </c>
      <c r="CM148" s="387"/>
      <c r="CN148" s="388">
        <f>+$CN$147+$CN$146+$CN$145+$CN$144+$CN$143+$CN$142+$CN$141+$CN$140+$CN$139+$CN$138+$CN$137+$CN$136+$CN$135+$CN$134+$CN$133+$CN$132+$CN$131</f>
        <v>336</v>
      </c>
      <c r="CO148" s="387"/>
      <c r="CP148" s="388">
        <f>+$CP$147+$CP$146+$CP$145+$CP$144+$CP$143+$CP$142+$CP$141+$CP$140+$CP$139+$CP$138+$CP$137+$CP$136+$CP$135+$CP$134+$CP$133+$CP$132+$CP$131</f>
        <v>260</v>
      </c>
      <c r="CQ148" s="414">
        <f t="shared" si="168"/>
        <v>1859</v>
      </c>
      <c r="CR148" s="387"/>
      <c r="CS148" s="388">
        <f>+$CS$147+$CS$146+$CS$145+$CS$144+$CS$143+$CS$142+$CS$141+$CS$140+$CS$139+$CS$138+$CS$137+$CS$136+$CS$135+$CS$134+$CS$133+$CS$132+$CS$131</f>
        <v>320</v>
      </c>
      <c r="CT148" s="387"/>
      <c r="CU148" s="388">
        <f>+$CU$147+$CU$146+$CU$145+$CU$144+$CU$143+$CU$142+$CU$141+$CU$140+$CU$139+$CU$138+$CU$137+$CU$136+$CU$135+$CU$134+$CU$133+$CU$132+$CU$131</f>
        <v>322</v>
      </c>
      <c r="CV148" s="387"/>
      <c r="CW148" s="388">
        <f>+$CW$147+$CW$146+$CW$145+$CW$144+$CW$143+$CW$142+$CW$141+$CW$140+$CW$139+$CW$138+$CW$137+$CW$136+$CW$135+$CW$134+$CW$133+$CW$132+$CW$131</f>
        <v>320</v>
      </c>
      <c r="CX148" s="387"/>
      <c r="CY148" s="388">
        <f>+$CY$147+$CY$146+$CY$145+$CY$144+$CY$143+$CY$142+$CY$141+$CY$140+$CY$139+$CY$138+$CY$137+$CY$136+$CY$135+$CY$134+$CY$133+$CY$132+$CY$131</f>
        <v>260</v>
      </c>
      <c r="CZ148" s="414">
        <f t="shared" si="169"/>
        <v>1222</v>
      </c>
      <c r="DA148" s="387"/>
      <c r="DB148" s="388">
        <f>+$DB$147+$DB$146+$DB$145+$DB$144+$DB$143+$DB$142+$DB$141+$DB$140+$DB$139+$DB$138+$DB$137+$DB$136+$DB$135+$DB$134+$DB$133+$DB$132+$DB$131</f>
        <v>192</v>
      </c>
      <c r="DC148" s="414">
        <f t="shared" si="170"/>
        <v>192</v>
      </c>
      <c r="DD148" s="389">
        <f>+$U$148+$AF$148+$AQ$148+$BD$148+$BQ$148+$CD$148+$CQ$148+$CZ$148+$DC$148</f>
        <v>13633</v>
      </c>
    </row>
    <row r="149" spans="1:108" ht="17.45" customHeight="1">
      <c r="A149" s="357"/>
      <c r="B149" s="357"/>
      <c r="C149" s="357" t="s">
        <v>1234</v>
      </c>
      <c r="D149" s="357"/>
      <c r="E149" s="357"/>
      <c r="F149" s="357"/>
      <c r="G149" s="358" t="s">
        <v>1215</v>
      </c>
      <c r="H149" s="358" t="s">
        <v>1213</v>
      </c>
      <c r="I149" s="358"/>
      <c r="J149" s="395"/>
      <c r="K149" s="358"/>
      <c r="L149" s="395"/>
      <c r="M149" s="358"/>
      <c r="N149" s="395"/>
      <c r="O149" s="358"/>
      <c r="P149" s="395"/>
      <c r="Q149" s="358"/>
      <c r="R149" s="395"/>
      <c r="S149" s="358"/>
      <c r="T149" s="395"/>
      <c r="U149" s="417">
        <f t="shared" si="162"/>
        <v>0</v>
      </c>
      <c r="V149" s="358"/>
      <c r="W149" s="395"/>
      <c r="X149" s="358"/>
      <c r="Y149" s="395"/>
      <c r="Z149" s="358"/>
      <c r="AA149" s="395"/>
      <c r="AB149" s="358"/>
      <c r="AC149" s="395"/>
      <c r="AD149" s="358"/>
      <c r="AE149" s="395"/>
      <c r="AF149" s="417">
        <f t="shared" si="163"/>
        <v>0</v>
      </c>
      <c r="AG149" s="358"/>
      <c r="AH149" s="395"/>
      <c r="AI149" s="358"/>
      <c r="AJ149" s="395"/>
      <c r="AK149" s="358"/>
      <c r="AL149" s="395">
        <v>8</v>
      </c>
      <c r="AM149" s="358"/>
      <c r="AN149" s="395"/>
      <c r="AO149" s="358"/>
      <c r="AP149" s="395"/>
      <c r="AQ149" s="417">
        <f t="shared" si="164"/>
        <v>8</v>
      </c>
      <c r="AR149" s="358"/>
      <c r="AS149" s="395"/>
      <c r="AT149" s="358"/>
      <c r="AU149" s="395"/>
      <c r="AV149" s="358"/>
      <c r="AW149" s="395">
        <v>12</v>
      </c>
      <c r="AX149" s="358"/>
      <c r="AY149" s="395"/>
      <c r="AZ149" s="358"/>
      <c r="BA149" s="395"/>
      <c r="BB149" s="358"/>
      <c r="BC149" s="395"/>
      <c r="BD149" s="417">
        <f t="shared" si="165"/>
        <v>12</v>
      </c>
      <c r="BE149" s="358"/>
      <c r="BF149" s="395">
        <v>8</v>
      </c>
      <c r="BG149" s="358"/>
      <c r="BH149" s="395"/>
      <c r="BI149" s="358"/>
      <c r="BJ149" s="395"/>
      <c r="BK149" s="358"/>
      <c r="BL149" s="395"/>
      <c r="BM149" s="358"/>
      <c r="BN149" s="395"/>
      <c r="BO149" s="358"/>
      <c r="BP149" s="395"/>
      <c r="BQ149" s="417">
        <f t="shared" si="166"/>
        <v>8</v>
      </c>
      <c r="BR149" s="358"/>
      <c r="BS149" s="395"/>
      <c r="BT149" s="358"/>
      <c r="BU149" s="395"/>
      <c r="BV149" s="358"/>
      <c r="BW149" s="395">
        <v>8</v>
      </c>
      <c r="BX149" s="358"/>
      <c r="BY149" s="395"/>
      <c r="BZ149" s="358"/>
      <c r="CA149" s="395"/>
      <c r="CB149" s="358"/>
      <c r="CC149" s="395"/>
      <c r="CD149" s="417">
        <f t="shared" si="167"/>
        <v>8</v>
      </c>
      <c r="CE149" s="358"/>
      <c r="CF149" s="395">
        <v>15</v>
      </c>
      <c r="CG149" s="358"/>
      <c r="CH149" s="395"/>
      <c r="CI149" s="358"/>
      <c r="CJ149" s="395"/>
      <c r="CK149" s="358"/>
      <c r="CL149" s="395"/>
      <c r="CM149" s="358"/>
      <c r="CN149" s="395"/>
      <c r="CO149" s="358"/>
      <c r="CP149" s="395"/>
      <c r="CQ149" s="417">
        <f t="shared" si="168"/>
        <v>15</v>
      </c>
      <c r="CR149" s="358"/>
      <c r="CS149" s="395">
        <v>15</v>
      </c>
      <c r="CT149" s="358"/>
      <c r="CU149" s="395"/>
      <c r="CV149" s="358"/>
      <c r="CW149" s="395"/>
      <c r="CX149" s="358"/>
      <c r="CY149" s="395"/>
      <c r="CZ149" s="417">
        <f t="shared" si="169"/>
        <v>15</v>
      </c>
      <c r="DA149" s="358"/>
      <c r="DB149" s="395">
        <v>10</v>
      </c>
      <c r="DC149" s="417">
        <f t="shared" si="170"/>
        <v>10</v>
      </c>
      <c r="DD149" s="397">
        <f>+$U$149+$AF$149+$AQ$149+$BD$149+$BQ$149+$CD$149+$CQ$149+$CZ$149+$DC$149</f>
        <v>76</v>
      </c>
    </row>
    <row r="150" spans="1:108" ht="17.45" customHeight="1">
      <c r="A150" s="357"/>
      <c r="B150" s="357"/>
      <c r="C150" s="357"/>
      <c r="D150" s="357"/>
      <c r="E150" s="357"/>
      <c r="F150" s="357"/>
      <c r="G150" s="347" t="s">
        <v>1141</v>
      </c>
      <c r="H150" s="347" t="s">
        <v>1142</v>
      </c>
      <c r="I150" s="347"/>
      <c r="J150" s="355"/>
      <c r="K150" s="347"/>
      <c r="L150" s="355"/>
      <c r="M150" s="347"/>
      <c r="N150" s="355"/>
      <c r="O150" s="347"/>
      <c r="P150" s="355"/>
      <c r="Q150" s="347"/>
      <c r="R150" s="355"/>
      <c r="S150" s="347"/>
      <c r="T150" s="355"/>
      <c r="U150" s="414">
        <f t="shared" si="162"/>
        <v>0</v>
      </c>
      <c r="V150" s="347"/>
      <c r="W150" s="355"/>
      <c r="X150" s="347"/>
      <c r="Y150" s="355"/>
      <c r="Z150" s="347"/>
      <c r="AA150" s="355"/>
      <c r="AB150" s="347"/>
      <c r="AC150" s="355"/>
      <c r="AD150" s="347"/>
      <c r="AE150" s="355"/>
      <c r="AF150" s="414">
        <f t="shared" si="163"/>
        <v>0</v>
      </c>
      <c r="AG150" s="347"/>
      <c r="AH150" s="355"/>
      <c r="AI150" s="347"/>
      <c r="AJ150" s="355"/>
      <c r="AK150" s="347"/>
      <c r="AL150" s="355"/>
      <c r="AM150" s="347"/>
      <c r="AN150" s="355"/>
      <c r="AO150" s="347"/>
      <c r="AP150" s="355"/>
      <c r="AQ150" s="414">
        <f t="shared" si="164"/>
        <v>0</v>
      </c>
      <c r="AR150" s="347"/>
      <c r="AS150" s="355"/>
      <c r="AT150" s="347"/>
      <c r="AU150" s="355"/>
      <c r="AV150" s="347"/>
      <c r="AW150" s="355"/>
      <c r="AX150" s="347"/>
      <c r="AY150" s="355"/>
      <c r="AZ150" s="347"/>
      <c r="BA150" s="355"/>
      <c r="BB150" s="347"/>
      <c r="BC150" s="355"/>
      <c r="BD150" s="414">
        <f t="shared" si="165"/>
        <v>0</v>
      </c>
      <c r="BE150" s="347"/>
      <c r="BF150" s="355"/>
      <c r="BG150" s="347"/>
      <c r="BH150" s="355"/>
      <c r="BI150" s="347"/>
      <c r="BJ150" s="355"/>
      <c r="BK150" s="347"/>
      <c r="BL150" s="355"/>
      <c r="BM150" s="347"/>
      <c r="BN150" s="355"/>
      <c r="BO150" s="347"/>
      <c r="BP150" s="355"/>
      <c r="BQ150" s="414">
        <f t="shared" si="166"/>
        <v>0</v>
      </c>
      <c r="BR150" s="347"/>
      <c r="BS150" s="355"/>
      <c r="BT150" s="347"/>
      <c r="BU150" s="355"/>
      <c r="BV150" s="347"/>
      <c r="BW150" s="355"/>
      <c r="BX150" s="347"/>
      <c r="BY150" s="355"/>
      <c r="BZ150" s="347"/>
      <c r="CA150" s="355"/>
      <c r="CB150" s="347"/>
      <c r="CC150" s="355"/>
      <c r="CD150" s="414">
        <f t="shared" si="167"/>
        <v>0</v>
      </c>
      <c r="CE150" s="347"/>
      <c r="CF150" s="355"/>
      <c r="CG150" s="347"/>
      <c r="CH150" s="355"/>
      <c r="CI150" s="347"/>
      <c r="CJ150" s="355"/>
      <c r="CK150" s="347"/>
      <c r="CL150" s="355"/>
      <c r="CM150" s="347"/>
      <c r="CN150" s="355"/>
      <c r="CO150" s="347"/>
      <c r="CP150" s="355"/>
      <c r="CQ150" s="414">
        <f t="shared" si="168"/>
        <v>0</v>
      </c>
      <c r="CR150" s="347"/>
      <c r="CS150" s="355">
        <v>150</v>
      </c>
      <c r="CT150" s="347"/>
      <c r="CU150" s="355"/>
      <c r="CV150" s="347"/>
      <c r="CW150" s="355"/>
      <c r="CX150" s="347"/>
      <c r="CY150" s="355"/>
      <c r="CZ150" s="414">
        <f t="shared" si="169"/>
        <v>150</v>
      </c>
      <c r="DA150" s="347"/>
      <c r="DB150" s="355">
        <v>150</v>
      </c>
      <c r="DC150" s="414">
        <f t="shared" si="170"/>
        <v>150</v>
      </c>
      <c r="DD150" s="356">
        <f>+$U$150+$AF$150+$AQ$150+$BD$150+$BQ$150+$CD$150+$CQ$150+$CZ$150+$DC$150</f>
        <v>300</v>
      </c>
    </row>
    <row r="151" spans="1:108" ht="17.45" customHeight="1">
      <c r="A151" s="357"/>
      <c r="B151" s="357"/>
      <c r="C151" s="357"/>
      <c r="D151" s="357"/>
      <c r="E151" s="357"/>
      <c r="F151" s="357" t="s">
        <v>37</v>
      </c>
      <c r="G151" s="347" t="s">
        <v>1112</v>
      </c>
      <c r="H151" s="347" t="s">
        <v>1113</v>
      </c>
      <c r="I151" s="347"/>
      <c r="J151" s="355"/>
      <c r="K151" s="347"/>
      <c r="L151" s="355"/>
      <c r="M151" s="347"/>
      <c r="N151" s="355"/>
      <c r="O151" s="347"/>
      <c r="P151" s="355"/>
      <c r="Q151" s="347"/>
      <c r="R151" s="355"/>
      <c r="S151" s="347"/>
      <c r="T151" s="355"/>
      <c r="U151" s="414">
        <f t="shared" si="162"/>
        <v>0</v>
      </c>
      <c r="V151" s="347"/>
      <c r="W151" s="355"/>
      <c r="X151" s="347"/>
      <c r="Y151" s="355"/>
      <c r="Z151" s="347"/>
      <c r="AA151" s="355"/>
      <c r="AB151" s="347"/>
      <c r="AC151" s="355"/>
      <c r="AD151" s="347"/>
      <c r="AE151" s="355"/>
      <c r="AF151" s="414">
        <f t="shared" si="163"/>
        <v>0</v>
      </c>
      <c r="AG151" s="347"/>
      <c r="AH151" s="355"/>
      <c r="AI151" s="347"/>
      <c r="AJ151" s="355"/>
      <c r="AK151" s="347"/>
      <c r="AL151" s="355"/>
      <c r="AM151" s="347"/>
      <c r="AN151" s="355"/>
      <c r="AO151" s="347"/>
      <c r="AP151" s="355"/>
      <c r="AQ151" s="414">
        <f t="shared" si="164"/>
        <v>0</v>
      </c>
      <c r="AR151" s="347"/>
      <c r="AS151" s="355"/>
      <c r="AT151" s="347"/>
      <c r="AU151" s="355">
        <v>31</v>
      </c>
      <c r="AV151" s="347"/>
      <c r="AW151" s="355"/>
      <c r="AX151" s="347"/>
      <c r="AY151" s="355"/>
      <c r="AZ151" s="347"/>
      <c r="BA151" s="355"/>
      <c r="BB151" s="347"/>
      <c r="BC151" s="355"/>
      <c r="BD151" s="414">
        <f t="shared" si="165"/>
        <v>31</v>
      </c>
      <c r="BE151" s="347"/>
      <c r="BF151" s="355">
        <v>12</v>
      </c>
      <c r="BG151" s="347"/>
      <c r="BH151" s="355"/>
      <c r="BI151" s="347"/>
      <c r="BJ151" s="355"/>
      <c r="BK151" s="347"/>
      <c r="BL151" s="355"/>
      <c r="BM151" s="347"/>
      <c r="BN151" s="355"/>
      <c r="BO151" s="347"/>
      <c r="BP151" s="355"/>
      <c r="BQ151" s="414">
        <f t="shared" si="166"/>
        <v>12</v>
      </c>
      <c r="BR151" s="347"/>
      <c r="BS151" s="355"/>
      <c r="BT151" s="347"/>
      <c r="BU151" s="355">
        <v>14</v>
      </c>
      <c r="BV151" s="347"/>
      <c r="BW151" s="355"/>
      <c r="BX151" s="347"/>
      <c r="BY151" s="355"/>
      <c r="BZ151" s="347"/>
      <c r="CA151" s="355"/>
      <c r="CB151" s="347"/>
      <c r="CC151" s="355"/>
      <c r="CD151" s="414">
        <f t="shared" si="167"/>
        <v>14</v>
      </c>
      <c r="CE151" s="347"/>
      <c r="CF151" s="355">
        <v>22</v>
      </c>
      <c r="CG151" s="347"/>
      <c r="CH151" s="355"/>
      <c r="CI151" s="347"/>
      <c r="CJ151" s="355"/>
      <c r="CK151" s="347"/>
      <c r="CL151" s="355"/>
      <c r="CM151" s="347"/>
      <c r="CN151" s="355"/>
      <c r="CO151" s="347"/>
      <c r="CP151" s="355"/>
      <c r="CQ151" s="414">
        <f t="shared" si="168"/>
        <v>22</v>
      </c>
      <c r="CR151" s="347"/>
      <c r="CS151" s="355">
        <v>14</v>
      </c>
      <c r="CT151" s="347"/>
      <c r="CU151" s="355"/>
      <c r="CV151" s="347"/>
      <c r="CW151" s="355"/>
      <c r="CX151" s="347"/>
      <c r="CY151" s="355"/>
      <c r="CZ151" s="414">
        <f t="shared" si="169"/>
        <v>14</v>
      </c>
      <c r="DA151" s="347"/>
      <c r="DB151" s="355">
        <v>11</v>
      </c>
      <c r="DC151" s="414">
        <f t="shared" si="170"/>
        <v>11</v>
      </c>
      <c r="DD151" s="356">
        <f>+$U$151+$AF$151+$AQ$151+$BD$151+$BQ$151+$CD$151+$CQ$151+$CZ$151+$DC$151</f>
        <v>104</v>
      </c>
    </row>
    <row r="152" spans="1:108" ht="17.45" customHeight="1">
      <c r="A152" s="357"/>
      <c r="B152" s="357"/>
      <c r="C152" s="357"/>
      <c r="D152" s="357"/>
      <c r="E152" s="357"/>
      <c r="F152" s="357" t="s">
        <v>37</v>
      </c>
      <c r="G152" s="347" t="s">
        <v>1147</v>
      </c>
      <c r="H152" s="347" t="s">
        <v>1148</v>
      </c>
      <c r="I152" s="347"/>
      <c r="J152" s="355"/>
      <c r="K152" s="347"/>
      <c r="L152" s="355"/>
      <c r="M152" s="347"/>
      <c r="N152" s="355"/>
      <c r="O152" s="347"/>
      <c r="P152" s="355"/>
      <c r="Q152" s="347"/>
      <c r="R152" s="355"/>
      <c r="S152" s="347"/>
      <c r="T152" s="355"/>
      <c r="U152" s="414">
        <f t="shared" si="162"/>
        <v>0</v>
      </c>
      <c r="V152" s="347"/>
      <c r="W152" s="355"/>
      <c r="X152" s="347"/>
      <c r="Y152" s="355"/>
      <c r="Z152" s="347"/>
      <c r="AA152" s="355"/>
      <c r="AB152" s="347"/>
      <c r="AC152" s="355"/>
      <c r="AD152" s="347"/>
      <c r="AE152" s="355"/>
      <c r="AF152" s="414">
        <f t="shared" si="163"/>
        <v>0</v>
      </c>
      <c r="AG152" s="347"/>
      <c r="AH152" s="355"/>
      <c r="AI152" s="347"/>
      <c r="AJ152" s="355"/>
      <c r="AK152" s="347"/>
      <c r="AL152" s="355"/>
      <c r="AM152" s="347"/>
      <c r="AN152" s="355"/>
      <c r="AO152" s="347"/>
      <c r="AP152" s="355"/>
      <c r="AQ152" s="414">
        <f t="shared" si="164"/>
        <v>0</v>
      </c>
      <c r="AR152" s="347"/>
      <c r="AS152" s="355"/>
      <c r="AT152" s="347"/>
      <c r="AU152" s="355"/>
      <c r="AV152" s="347"/>
      <c r="AW152" s="355"/>
      <c r="AX152" s="347"/>
      <c r="AY152" s="355"/>
      <c r="AZ152" s="347"/>
      <c r="BA152" s="355"/>
      <c r="BB152" s="347"/>
      <c r="BC152" s="355"/>
      <c r="BD152" s="414">
        <f t="shared" si="165"/>
        <v>0</v>
      </c>
      <c r="BE152" s="347"/>
      <c r="BF152" s="355"/>
      <c r="BG152" s="347"/>
      <c r="BH152" s="355"/>
      <c r="BI152" s="347"/>
      <c r="BJ152" s="355"/>
      <c r="BK152" s="347"/>
      <c r="BL152" s="355"/>
      <c r="BM152" s="347"/>
      <c r="BN152" s="355"/>
      <c r="BO152" s="347"/>
      <c r="BP152" s="355"/>
      <c r="BQ152" s="414">
        <f t="shared" si="166"/>
        <v>0</v>
      </c>
      <c r="BR152" s="347"/>
      <c r="BS152" s="355"/>
      <c r="BT152" s="347"/>
      <c r="BU152" s="355">
        <v>1</v>
      </c>
      <c r="BV152" s="347"/>
      <c r="BW152" s="355"/>
      <c r="BX152" s="347"/>
      <c r="BY152" s="355"/>
      <c r="BZ152" s="347"/>
      <c r="CA152" s="355"/>
      <c r="CB152" s="347"/>
      <c r="CC152" s="355"/>
      <c r="CD152" s="414">
        <f t="shared" si="167"/>
        <v>1</v>
      </c>
      <c r="CE152" s="347"/>
      <c r="CF152" s="355">
        <v>4</v>
      </c>
      <c r="CG152" s="347"/>
      <c r="CH152" s="355"/>
      <c r="CI152" s="347"/>
      <c r="CJ152" s="355"/>
      <c r="CK152" s="347"/>
      <c r="CL152" s="355"/>
      <c r="CM152" s="347"/>
      <c r="CN152" s="355"/>
      <c r="CO152" s="347"/>
      <c r="CP152" s="355"/>
      <c r="CQ152" s="414">
        <f t="shared" si="168"/>
        <v>4</v>
      </c>
      <c r="CR152" s="347"/>
      <c r="CS152" s="355">
        <v>4</v>
      </c>
      <c r="CT152" s="347"/>
      <c r="CU152" s="355"/>
      <c r="CV152" s="347"/>
      <c r="CW152" s="355"/>
      <c r="CX152" s="347"/>
      <c r="CY152" s="355"/>
      <c r="CZ152" s="414">
        <f t="shared" si="169"/>
        <v>4</v>
      </c>
      <c r="DA152" s="347"/>
      <c r="DB152" s="355">
        <v>3</v>
      </c>
      <c r="DC152" s="414">
        <f t="shared" si="170"/>
        <v>3</v>
      </c>
      <c r="DD152" s="356">
        <f>+$U$152+$AF$152+$AQ$152+$BD$152+$BQ$152+$CD$152+$CQ$152+$CZ$152+$DC$152</f>
        <v>12</v>
      </c>
    </row>
    <row r="153" spans="1:108" ht="17.45" customHeight="1">
      <c r="A153" s="357"/>
      <c r="B153" s="357"/>
      <c r="C153" s="357"/>
      <c r="D153" s="357"/>
      <c r="E153" s="357"/>
      <c r="F153" s="357" t="s">
        <v>37</v>
      </c>
      <c r="G153" s="347" t="s">
        <v>1114</v>
      </c>
      <c r="H153" s="347" t="s">
        <v>1115</v>
      </c>
      <c r="I153" s="347"/>
      <c r="J153" s="355">
        <v>71</v>
      </c>
      <c r="K153" s="347"/>
      <c r="L153" s="355">
        <v>89</v>
      </c>
      <c r="M153" s="347"/>
      <c r="N153" s="355">
        <v>80</v>
      </c>
      <c r="O153" s="347"/>
      <c r="P153" s="355">
        <v>66</v>
      </c>
      <c r="Q153" s="347"/>
      <c r="R153" s="355"/>
      <c r="S153" s="347"/>
      <c r="T153" s="355"/>
      <c r="U153" s="414">
        <f t="shared" si="162"/>
        <v>306</v>
      </c>
      <c r="V153" s="347"/>
      <c r="W153" s="355">
        <v>32</v>
      </c>
      <c r="X153" s="347"/>
      <c r="Y153" s="355">
        <v>100</v>
      </c>
      <c r="Z153" s="347"/>
      <c r="AA153" s="355">
        <v>124</v>
      </c>
      <c r="AB153" s="347"/>
      <c r="AC153" s="355">
        <v>111</v>
      </c>
      <c r="AD153" s="347"/>
      <c r="AE153" s="355">
        <v>71</v>
      </c>
      <c r="AF153" s="414">
        <f t="shared" si="163"/>
        <v>438</v>
      </c>
      <c r="AG153" s="347"/>
      <c r="AH153" s="355">
        <v>90</v>
      </c>
      <c r="AI153" s="347"/>
      <c r="AJ153" s="355"/>
      <c r="AK153" s="347"/>
      <c r="AL153" s="355"/>
      <c r="AM153" s="347"/>
      <c r="AN153" s="355"/>
      <c r="AO153" s="347"/>
      <c r="AP153" s="355"/>
      <c r="AQ153" s="414">
        <f t="shared" si="164"/>
        <v>90</v>
      </c>
      <c r="AR153" s="347"/>
      <c r="AS153" s="355">
        <v>80</v>
      </c>
      <c r="AT153" s="347"/>
      <c r="AU153" s="355">
        <v>88</v>
      </c>
      <c r="AV153" s="347"/>
      <c r="AW153" s="355"/>
      <c r="AX153" s="347"/>
      <c r="AY153" s="355"/>
      <c r="AZ153" s="347"/>
      <c r="BA153" s="355"/>
      <c r="BB153" s="347"/>
      <c r="BC153" s="355"/>
      <c r="BD153" s="414">
        <f t="shared" si="165"/>
        <v>168</v>
      </c>
      <c r="BE153" s="347"/>
      <c r="BF153" s="355">
        <v>50</v>
      </c>
      <c r="BG153" s="347"/>
      <c r="BH153" s="355">
        <v>90</v>
      </c>
      <c r="BI153" s="347"/>
      <c r="BJ153" s="355">
        <v>5</v>
      </c>
      <c r="BK153" s="347"/>
      <c r="BL153" s="355"/>
      <c r="BM153" s="347"/>
      <c r="BN153" s="355"/>
      <c r="BO153" s="347"/>
      <c r="BP153" s="355">
        <v>71</v>
      </c>
      <c r="BQ153" s="414">
        <f t="shared" si="166"/>
        <v>216</v>
      </c>
      <c r="BR153" s="347"/>
      <c r="BS153" s="355">
        <v>48</v>
      </c>
      <c r="BT153" s="347"/>
      <c r="BU153" s="355">
        <v>46</v>
      </c>
      <c r="BV153" s="347"/>
      <c r="BW153" s="355">
        <v>50</v>
      </c>
      <c r="BX153" s="347"/>
      <c r="BY153" s="355">
        <v>30</v>
      </c>
      <c r="BZ153" s="347"/>
      <c r="CA153" s="355"/>
      <c r="CB153" s="347"/>
      <c r="CC153" s="355"/>
      <c r="CD153" s="414">
        <f t="shared" si="167"/>
        <v>174</v>
      </c>
      <c r="CE153" s="347"/>
      <c r="CF153" s="355">
        <v>201</v>
      </c>
      <c r="CG153" s="347"/>
      <c r="CH153" s="355"/>
      <c r="CI153" s="347"/>
      <c r="CJ153" s="355"/>
      <c r="CK153" s="347"/>
      <c r="CL153" s="355"/>
      <c r="CM153" s="347"/>
      <c r="CN153" s="355"/>
      <c r="CO153" s="347"/>
      <c r="CP153" s="355"/>
      <c r="CQ153" s="414">
        <f t="shared" si="168"/>
        <v>201</v>
      </c>
      <c r="CR153" s="347"/>
      <c r="CS153" s="355">
        <v>73</v>
      </c>
      <c r="CT153" s="347"/>
      <c r="CU153" s="355">
        <v>101</v>
      </c>
      <c r="CV153" s="347"/>
      <c r="CW153" s="355"/>
      <c r="CX153" s="347"/>
      <c r="CY153" s="355"/>
      <c r="CZ153" s="414">
        <f t="shared" si="169"/>
        <v>174</v>
      </c>
      <c r="DA153" s="347"/>
      <c r="DB153" s="355">
        <v>18</v>
      </c>
      <c r="DC153" s="414">
        <f t="shared" si="170"/>
        <v>18</v>
      </c>
      <c r="DD153" s="356">
        <f>+$U$153+$AF$153+$AQ$153+$BD$153+$BQ$153+$CD$153+$CQ$153+$CZ$153+$DC$153</f>
        <v>1785</v>
      </c>
    </row>
    <row r="154" spans="1:108" ht="17.45" customHeight="1">
      <c r="A154" s="357"/>
      <c r="B154" s="357"/>
      <c r="C154" s="357"/>
      <c r="D154" s="357"/>
      <c r="E154" s="357"/>
      <c r="F154" s="357"/>
      <c r="G154" s="347" t="s">
        <v>1149</v>
      </c>
      <c r="H154" s="347" t="s">
        <v>1150</v>
      </c>
      <c r="I154" s="347"/>
      <c r="J154" s="355"/>
      <c r="K154" s="347"/>
      <c r="L154" s="355">
        <v>39</v>
      </c>
      <c r="M154" s="347"/>
      <c r="N154" s="355">
        <v>67</v>
      </c>
      <c r="O154" s="347"/>
      <c r="P154" s="355"/>
      <c r="Q154" s="347"/>
      <c r="R154" s="355">
        <v>35</v>
      </c>
      <c r="S154" s="347"/>
      <c r="T154" s="355">
        <v>142</v>
      </c>
      <c r="U154" s="414">
        <f t="shared" si="162"/>
        <v>283</v>
      </c>
      <c r="V154" s="347"/>
      <c r="W154" s="355"/>
      <c r="X154" s="347"/>
      <c r="Y154" s="355">
        <v>15</v>
      </c>
      <c r="Z154" s="347"/>
      <c r="AA154" s="355">
        <v>36</v>
      </c>
      <c r="AB154" s="347"/>
      <c r="AC154" s="355">
        <v>47</v>
      </c>
      <c r="AD154" s="347"/>
      <c r="AE154" s="355">
        <v>91</v>
      </c>
      <c r="AF154" s="414">
        <f t="shared" si="163"/>
        <v>189</v>
      </c>
      <c r="AG154" s="347"/>
      <c r="AH154" s="355">
        <v>40</v>
      </c>
      <c r="AI154" s="347"/>
      <c r="AJ154" s="355">
        <v>121</v>
      </c>
      <c r="AK154" s="347"/>
      <c r="AL154" s="355">
        <v>113</v>
      </c>
      <c r="AM154" s="347"/>
      <c r="AN154" s="355">
        <v>45</v>
      </c>
      <c r="AO154" s="347"/>
      <c r="AP154" s="355">
        <v>124</v>
      </c>
      <c r="AQ154" s="414">
        <f t="shared" si="164"/>
        <v>443</v>
      </c>
      <c r="AR154" s="347"/>
      <c r="AS154" s="355"/>
      <c r="AT154" s="347"/>
      <c r="AU154" s="355">
        <v>37</v>
      </c>
      <c r="AV154" s="347"/>
      <c r="AW154" s="355">
        <v>134</v>
      </c>
      <c r="AX154" s="347"/>
      <c r="AY154" s="355">
        <v>82</v>
      </c>
      <c r="AZ154" s="347"/>
      <c r="BA154" s="355">
        <v>161</v>
      </c>
      <c r="BB154" s="347"/>
      <c r="BC154" s="355"/>
      <c r="BD154" s="414">
        <f t="shared" si="165"/>
        <v>414</v>
      </c>
      <c r="BE154" s="347"/>
      <c r="BF154" s="355"/>
      <c r="BG154" s="347"/>
      <c r="BH154" s="355"/>
      <c r="BI154" s="347"/>
      <c r="BJ154" s="355">
        <v>86</v>
      </c>
      <c r="BK154" s="347"/>
      <c r="BL154" s="355">
        <v>100</v>
      </c>
      <c r="BM154" s="347"/>
      <c r="BN154" s="355">
        <v>75</v>
      </c>
      <c r="BO154" s="347"/>
      <c r="BP154" s="355">
        <v>50</v>
      </c>
      <c r="BQ154" s="414">
        <f t="shared" si="166"/>
        <v>311</v>
      </c>
      <c r="BR154" s="347"/>
      <c r="BS154" s="355">
        <v>80</v>
      </c>
      <c r="BT154" s="347"/>
      <c r="BU154" s="355">
        <v>80</v>
      </c>
      <c r="BV154" s="347"/>
      <c r="BW154" s="355">
        <v>7</v>
      </c>
      <c r="BX154" s="347"/>
      <c r="BY154" s="355">
        <v>103</v>
      </c>
      <c r="BZ154" s="347"/>
      <c r="CA154" s="355">
        <v>69</v>
      </c>
      <c r="CB154" s="347"/>
      <c r="CC154" s="355">
        <v>84</v>
      </c>
      <c r="CD154" s="414">
        <f t="shared" si="167"/>
        <v>423</v>
      </c>
      <c r="CE154" s="347"/>
      <c r="CF154" s="355">
        <v>10</v>
      </c>
      <c r="CG154" s="347"/>
      <c r="CH154" s="355">
        <v>336</v>
      </c>
      <c r="CI154" s="347"/>
      <c r="CJ154" s="355">
        <v>56</v>
      </c>
      <c r="CK154" s="347"/>
      <c r="CL154" s="355"/>
      <c r="CM154" s="347"/>
      <c r="CN154" s="355"/>
      <c r="CO154" s="347"/>
      <c r="CP154" s="355"/>
      <c r="CQ154" s="414">
        <f t="shared" si="168"/>
        <v>402</v>
      </c>
      <c r="CR154" s="347"/>
      <c r="CS154" s="355"/>
      <c r="CT154" s="347"/>
      <c r="CU154" s="355">
        <v>184</v>
      </c>
      <c r="CV154" s="347"/>
      <c r="CW154" s="355"/>
      <c r="CX154" s="347"/>
      <c r="CY154" s="355"/>
      <c r="CZ154" s="414">
        <f t="shared" si="169"/>
        <v>184</v>
      </c>
      <c r="DA154" s="347"/>
      <c r="DB154" s="355"/>
      <c r="DC154" s="414">
        <f t="shared" si="170"/>
        <v>0</v>
      </c>
      <c r="DD154" s="356">
        <f>+$U$154+$AF$154+$AQ$154+$BD$154+$BQ$154+$CD$154+$CQ$154+$CZ$154+$DC$154</f>
        <v>2649</v>
      </c>
    </row>
    <row r="155" spans="1:108" ht="17.45" customHeight="1">
      <c r="A155" s="357"/>
      <c r="B155" s="357"/>
      <c r="C155" s="357"/>
      <c r="D155" s="357"/>
      <c r="E155" s="357"/>
      <c r="F155" s="357" t="s">
        <v>37</v>
      </c>
      <c r="G155" s="347" t="s">
        <v>1151</v>
      </c>
      <c r="H155" s="347" t="s">
        <v>1152</v>
      </c>
      <c r="I155" s="347"/>
      <c r="J155" s="355"/>
      <c r="K155" s="347"/>
      <c r="L155" s="355"/>
      <c r="M155" s="347"/>
      <c r="N155" s="355"/>
      <c r="O155" s="347"/>
      <c r="P155" s="355">
        <v>80</v>
      </c>
      <c r="Q155" s="347"/>
      <c r="R155" s="355">
        <v>60</v>
      </c>
      <c r="S155" s="347"/>
      <c r="T155" s="355"/>
      <c r="U155" s="414">
        <f t="shared" si="162"/>
        <v>140</v>
      </c>
      <c r="V155" s="347"/>
      <c r="W155" s="355">
        <v>50</v>
      </c>
      <c r="X155" s="347"/>
      <c r="Y155" s="355">
        <v>50</v>
      </c>
      <c r="Z155" s="347"/>
      <c r="AA155" s="355"/>
      <c r="AB155" s="347"/>
      <c r="AC155" s="355"/>
      <c r="AD155" s="347"/>
      <c r="AE155" s="355"/>
      <c r="AF155" s="414">
        <f t="shared" si="163"/>
        <v>100</v>
      </c>
      <c r="AG155" s="347"/>
      <c r="AH155" s="355"/>
      <c r="AI155" s="347"/>
      <c r="AJ155" s="355"/>
      <c r="AK155" s="347"/>
      <c r="AL155" s="355"/>
      <c r="AM155" s="347"/>
      <c r="AN155" s="355"/>
      <c r="AO155" s="347"/>
      <c r="AP155" s="355"/>
      <c r="AQ155" s="414">
        <f t="shared" si="164"/>
        <v>0</v>
      </c>
      <c r="AR155" s="347"/>
      <c r="AS155" s="355"/>
      <c r="AT155" s="347"/>
      <c r="AU155" s="355"/>
      <c r="AV155" s="347"/>
      <c r="AW155" s="355">
        <v>12</v>
      </c>
      <c r="AX155" s="347"/>
      <c r="AY155" s="355">
        <v>79</v>
      </c>
      <c r="AZ155" s="347"/>
      <c r="BA155" s="355"/>
      <c r="BB155" s="347"/>
      <c r="BC155" s="355">
        <v>81</v>
      </c>
      <c r="BD155" s="414">
        <f t="shared" si="165"/>
        <v>172</v>
      </c>
      <c r="BE155" s="347"/>
      <c r="BF155" s="355">
        <v>50</v>
      </c>
      <c r="BG155" s="347"/>
      <c r="BH155" s="355">
        <v>50</v>
      </c>
      <c r="BI155" s="347"/>
      <c r="BJ155" s="355">
        <v>50</v>
      </c>
      <c r="BK155" s="347"/>
      <c r="BL155" s="355">
        <v>25</v>
      </c>
      <c r="BM155" s="347"/>
      <c r="BN155" s="355"/>
      <c r="BO155" s="347"/>
      <c r="BP155" s="355"/>
      <c r="BQ155" s="414">
        <f t="shared" si="166"/>
        <v>175</v>
      </c>
      <c r="BR155" s="347"/>
      <c r="BS155" s="355">
        <v>9</v>
      </c>
      <c r="BT155" s="347"/>
      <c r="BU155" s="355"/>
      <c r="BV155" s="347"/>
      <c r="BW155" s="355"/>
      <c r="BX155" s="347"/>
      <c r="BY155" s="355"/>
      <c r="BZ155" s="347"/>
      <c r="CA155" s="355"/>
      <c r="CB155" s="347"/>
      <c r="CC155" s="355"/>
      <c r="CD155" s="414">
        <f t="shared" si="167"/>
        <v>9</v>
      </c>
      <c r="CE155" s="347"/>
      <c r="CF155" s="355"/>
      <c r="CG155" s="347"/>
      <c r="CH155" s="355"/>
      <c r="CI155" s="347"/>
      <c r="CJ155" s="355"/>
      <c r="CK155" s="347"/>
      <c r="CL155" s="355"/>
      <c r="CM155" s="347"/>
      <c r="CN155" s="355"/>
      <c r="CO155" s="347"/>
      <c r="CP155" s="355"/>
      <c r="CQ155" s="414">
        <f t="shared" si="168"/>
        <v>0</v>
      </c>
      <c r="CR155" s="347"/>
      <c r="CS155" s="355"/>
      <c r="CT155" s="347"/>
      <c r="CU155" s="355">
        <v>35</v>
      </c>
      <c r="CV155" s="347"/>
      <c r="CW155" s="355">
        <v>16</v>
      </c>
      <c r="CX155" s="347"/>
      <c r="CY155" s="355"/>
      <c r="CZ155" s="414">
        <f t="shared" si="169"/>
        <v>51</v>
      </c>
      <c r="DA155" s="347"/>
      <c r="DB155" s="355"/>
      <c r="DC155" s="414">
        <f t="shared" si="170"/>
        <v>0</v>
      </c>
      <c r="DD155" s="356">
        <f>+$U$155+$AF$155+$AQ$155+$BD$155+$BQ$155+$CD$155+$CQ$155+$CZ$155+$DC$155</f>
        <v>647</v>
      </c>
    </row>
    <row r="156" spans="1:108" ht="17.45" customHeight="1">
      <c r="A156" s="357"/>
      <c r="B156" s="357"/>
      <c r="C156" s="357"/>
      <c r="D156" s="357"/>
      <c r="E156" s="357"/>
      <c r="F156" s="357"/>
      <c r="G156" s="347" t="s">
        <v>1119</v>
      </c>
      <c r="H156" s="347" t="s">
        <v>1120</v>
      </c>
      <c r="I156" s="347"/>
      <c r="J156" s="355"/>
      <c r="K156" s="347"/>
      <c r="L156" s="355"/>
      <c r="M156" s="347"/>
      <c r="N156" s="355"/>
      <c r="O156" s="347"/>
      <c r="P156" s="355"/>
      <c r="Q156" s="347"/>
      <c r="R156" s="355">
        <v>120</v>
      </c>
      <c r="S156" s="347"/>
      <c r="T156" s="355">
        <v>15</v>
      </c>
      <c r="U156" s="414">
        <f t="shared" si="162"/>
        <v>135</v>
      </c>
      <c r="V156" s="347"/>
      <c r="W156" s="355"/>
      <c r="X156" s="347"/>
      <c r="Y156" s="355"/>
      <c r="Z156" s="347"/>
      <c r="AA156" s="355">
        <v>13</v>
      </c>
      <c r="AB156" s="347"/>
      <c r="AC156" s="355"/>
      <c r="AD156" s="347"/>
      <c r="AE156" s="355"/>
      <c r="AF156" s="414">
        <f t="shared" si="163"/>
        <v>13</v>
      </c>
      <c r="AG156" s="347"/>
      <c r="AH156" s="355">
        <v>46</v>
      </c>
      <c r="AI156" s="347"/>
      <c r="AJ156" s="355">
        <v>60</v>
      </c>
      <c r="AK156" s="347"/>
      <c r="AL156" s="355">
        <v>11</v>
      </c>
      <c r="AM156" s="347"/>
      <c r="AN156" s="355"/>
      <c r="AO156" s="347"/>
      <c r="AP156" s="355"/>
      <c r="AQ156" s="414">
        <f t="shared" si="164"/>
        <v>117</v>
      </c>
      <c r="AR156" s="347"/>
      <c r="AS156" s="355"/>
      <c r="AT156" s="347"/>
      <c r="AU156" s="355"/>
      <c r="AV156" s="347"/>
      <c r="AW156" s="355"/>
      <c r="AX156" s="347"/>
      <c r="AY156" s="355"/>
      <c r="AZ156" s="347"/>
      <c r="BA156" s="355"/>
      <c r="BB156" s="347"/>
      <c r="BC156" s="355"/>
      <c r="BD156" s="414">
        <f t="shared" si="165"/>
        <v>0</v>
      </c>
      <c r="BE156" s="347"/>
      <c r="BF156" s="355">
        <v>65</v>
      </c>
      <c r="BG156" s="347"/>
      <c r="BH156" s="355">
        <v>112</v>
      </c>
      <c r="BI156" s="347"/>
      <c r="BJ156" s="355"/>
      <c r="BK156" s="347"/>
      <c r="BL156" s="355"/>
      <c r="BM156" s="347"/>
      <c r="BN156" s="355">
        <v>120</v>
      </c>
      <c r="BO156" s="347"/>
      <c r="BP156" s="355">
        <v>130</v>
      </c>
      <c r="BQ156" s="414">
        <f t="shared" si="166"/>
        <v>427</v>
      </c>
      <c r="BR156" s="347"/>
      <c r="BS156" s="355"/>
      <c r="BT156" s="347"/>
      <c r="BU156" s="355"/>
      <c r="BV156" s="347"/>
      <c r="BW156" s="355"/>
      <c r="BX156" s="347"/>
      <c r="BY156" s="355"/>
      <c r="BZ156" s="347"/>
      <c r="CA156" s="355"/>
      <c r="CB156" s="347"/>
      <c r="CC156" s="355"/>
      <c r="CD156" s="414">
        <f t="shared" si="167"/>
        <v>0</v>
      </c>
      <c r="CE156" s="347"/>
      <c r="CF156" s="355"/>
      <c r="CG156" s="347"/>
      <c r="CH156" s="355"/>
      <c r="CI156" s="347"/>
      <c r="CJ156" s="355"/>
      <c r="CK156" s="347"/>
      <c r="CL156" s="355"/>
      <c r="CM156" s="347"/>
      <c r="CN156" s="355"/>
      <c r="CO156" s="347"/>
      <c r="CP156" s="355"/>
      <c r="CQ156" s="414">
        <f t="shared" si="168"/>
        <v>0</v>
      </c>
      <c r="CR156" s="347"/>
      <c r="CS156" s="355"/>
      <c r="CT156" s="347"/>
      <c r="CU156" s="355"/>
      <c r="CV156" s="347"/>
      <c r="CW156" s="355"/>
      <c r="CX156" s="347"/>
      <c r="CY156" s="355"/>
      <c r="CZ156" s="414">
        <f t="shared" si="169"/>
        <v>0</v>
      </c>
      <c r="DA156" s="347"/>
      <c r="DB156" s="355"/>
      <c r="DC156" s="414">
        <f t="shared" si="170"/>
        <v>0</v>
      </c>
      <c r="DD156" s="356">
        <f>+$U$156+$AF$156+$AQ$156+$BD$156+$BQ$156+$CD$156+$CQ$156+$CZ$156+$DC$156</f>
        <v>692</v>
      </c>
    </row>
    <row r="157" spans="1:108" ht="17.45" customHeight="1">
      <c r="A157" s="357"/>
      <c r="B157" s="357"/>
      <c r="C157" s="357"/>
      <c r="D157" s="357"/>
      <c r="E157" s="357"/>
      <c r="F157" s="357"/>
      <c r="G157" s="347" t="s">
        <v>1127</v>
      </c>
      <c r="H157" s="347" t="s">
        <v>1128</v>
      </c>
      <c r="I157" s="347"/>
      <c r="J157" s="355"/>
      <c r="K157" s="347"/>
      <c r="L157" s="355">
        <v>128</v>
      </c>
      <c r="M157" s="347"/>
      <c r="N157" s="355">
        <v>89</v>
      </c>
      <c r="O157" s="347"/>
      <c r="P157" s="355">
        <v>115</v>
      </c>
      <c r="Q157" s="347"/>
      <c r="R157" s="355"/>
      <c r="S157" s="347"/>
      <c r="T157" s="355">
        <v>63</v>
      </c>
      <c r="U157" s="414">
        <f t="shared" si="162"/>
        <v>395</v>
      </c>
      <c r="V157" s="347"/>
      <c r="W157" s="355"/>
      <c r="X157" s="347"/>
      <c r="Y157" s="355">
        <v>42</v>
      </c>
      <c r="Z157" s="347"/>
      <c r="AA157" s="355">
        <v>108</v>
      </c>
      <c r="AB157" s="347"/>
      <c r="AC157" s="355">
        <v>108</v>
      </c>
      <c r="AD157" s="347"/>
      <c r="AE157" s="355">
        <v>108</v>
      </c>
      <c r="AF157" s="414">
        <f t="shared" si="163"/>
        <v>366</v>
      </c>
      <c r="AG157" s="347"/>
      <c r="AH157" s="355"/>
      <c r="AI157" s="347"/>
      <c r="AJ157" s="355"/>
      <c r="AK157" s="347"/>
      <c r="AL157" s="355">
        <v>33</v>
      </c>
      <c r="AM157" s="347"/>
      <c r="AN157" s="355">
        <v>60</v>
      </c>
      <c r="AO157" s="347"/>
      <c r="AP157" s="355">
        <v>60</v>
      </c>
      <c r="AQ157" s="414">
        <f t="shared" si="164"/>
        <v>153</v>
      </c>
      <c r="AR157" s="347"/>
      <c r="AS157" s="355">
        <v>37</v>
      </c>
      <c r="AT157" s="347"/>
      <c r="AU157" s="355">
        <v>77</v>
      </c>
      <c r="AV157" s="347"/>
      <c r="AW157" s="355">
        <v>123</v>
      </c>
      <c r="AX157" s="347"/>
      <c r="AY157" s="355">
        <v>39</v>
      </c>
      <c r="AZ157" s="347"/>
      <c r="BA157" s="355">
        <v>82</v>
      </c>
      <c r="BB157" s="347"/>
      <c r="BC157" s="355">
        <v>120</v>
      </c>
      <c r="BD157" s="414">
        <f t="shared" si="165"/>
        <v>478</v>
      </c>
      <c r="BE157" s="347"/>
      <c r="BF157" s="355">
        <v>66</v>
      </c>
      <c r="BG157" s="347"/>
      <c r="BH157" s="355">
        <v>21</v>
      </c>
      <c r="BI157" s="347"/>
      <c r="BJ157" s="355">
        <v>130</v>
      </c>
      <c r="BK157" s="347"/>
      <c r="BL157" s="355">
        <v>10</v>
      </c>
      <c r="BM157" s="347"/>
      <c r="BN157" s="355"/>
      <c r="BO157" s="347"/>
      <c r="BP157" s="355"/>
      <c r="BQ157" s="414">
        <f t="shared" si="166"/>
        <v>227</v>
      </c>
      <c r="BR157" s="347"/>
      <c r="BS157" s="355">
        <v>118</v>
      </c>
      <c r="BT157" s="347"/>
      <c r="BU157" s="355">
        <v>3</v>
      </c>
      <c r="BV157" s="347"/>
      <c r="BW157" s="355"/>
      <c r="BX157" s="347"/>
      <c r="BY157" s="355">
        <v>50</v>
      </c>
      <c r="BZ157" s="347"/>
      <c r="CA157" s="355">
        <v>120</v>
      </c>
      <c r="CB157" s="347"/>
      <c r="CC157" s="355">
        <v>18</v>
      </c>
      <c r="CD157" s="414">
        <f t="shared" si="167"/>
        <v>309</v>
      </c>
      <c r="CE157" s="347"/>
      <c r="CF157" s="355"/>
      <c r="CG157" s="347"/>
      <c r="CH157" s="355"/>
      <c r="CI157" s="347"/>
      <c r="CJ157" s="355"/>
      <c r="CK157" s="347"/>
      <c r="CL157" s="355"/>
      <c r="CM157" s="347"/>
      <c r="CN157" s="355"/>
      <c r="CO157" s="347"/>
      <c r="CP157" s="355"/>
      <c r="CQ157" s="414">
        <f t="shared" si="168"/>
        <v>0</v>
      </c>
      <c r="CR157" s="347"/>
      <c r="CS157" s="355"/>
      <c r="CT157" s="347"/>
      <c r="CU157" s="355"/>
      <c r="CV157" s="347"/>
      <c r="CW157" s="355"/>
      <c r="CX157" s="347"/>
      <c r="CY157" s="355"/>
      <c r="CZ157" s="414">
        <f t="shared" si="169"/>
        <v>0</v>
      </c>
      <c r="DA157" s="347"/>
      <c r="DB157" s="355"/>
      <c r="DC157" s="414">
        <f t="shared" si="170"/>
        <v>0</v>
      </c>
      <c r="DD157" s="356">
        <f>+$U$157+$AF$157+$AQ$157+$BD$157+$BQ$157+$CD$157+$CQ$157+$CZ$157+$DC$157</f>
        <v>1928</v>
      </c>
    </row>
    <row r="158" spans="1:108" ht="17.45" customHeight="1">
      <c r="A158" s="357"/>
      <c r="B158" s="357"/>
      <c r="C158" s="357"/>
      <c r="D158" s="357"/>
      <c r="E158" s="357"/>
      <c r="F158" s="357"/>
      <c r="G158" s="347" t="s">
        <v>1133</v>
      </c>
      <c r="H158" s="347" t="s">
        <v>1134</v>
      </c>
      <c r="I158" s="347"/>
      <c r="J158" s="355">
        <v>120</v>
      </c>
      <c r="K158" s="347"/>
      <c r="L158" s="355">
        <v>15</v>
      </c>
      <c r="M158" s="347"/>
      <c r="N158" s="355">
        <v>54</v>
      </c>
      <c r="O158" s="347"/>
      <c r="P158" s="355">
        <v>14</v>
      </c>
      <c r="Q158" s="347"/>
      <c r="R158" s="355"/>
      <c r="S158" s="347"/>
      <c r="T158" s="355">
        <v>55</v>
      </c>
      <c r="U158" s="414">
        <f t="shared" si="162"/>
        <v>258</v>
      </c>
      <c r="V158" s="347"/>
      <c r="W158" s="355">
        <v>108</v>
      </c>
      <c r="X158" s="347"/>
      <c r="Y158" s="355">
        <v>66</v>
      </c>
      <c r="Z158" s="347"/>
      <c r="AA158" s="355"/>
      <c r="AB158" s="347"/>
      <c r="AC158" s="355"/>
      <c r="AD158" s="347"/>
      <c r="AE158" s="355"/>
      <c r="AF158" s="414">
        <f t="shared" si="163"/>
        <v>174</v>
      </c>
      <c r="AG158" s="347"/>
      <c r="AH158" s="355">
        <v>34</v>
      </c>
      <c r="AI158" s="347"/>
      <c r="AJ158" s="355">
        <v>60</v>
      </c>
      <c r="AK158" s="347"/>
      <c r="AL158" s="355">
        <v>76</v>
      </c>
      <c r="AM158" s="347"/>
      <c r="AN158" s="355">
        <v>60</v>
      </c>
      <c r="AO158" s="347"/>
      <c r="AP158" s="355">
        <v>60</v>
      </c>
      <c r="AQ158" s="414">
        <f t="shared" si="164"/>
        <v>290</v>
      </c>
      <c r="AR158" s="347"/>
      <c r="AS158" s="355">
        <v>83</v>
      </c>
      <c r="AT158" s="347"/>
      <c r="AU158" s="355">
        <v>50</v>
      </c>
      <c r="AV158" s="347"/>
      <c r="AW158" s="355"/>
      <c r="AX158" s="347"/>
      <c r="AY158" s="355">
        <v>84</v>
      </c>
      <c r="AZ158" s="347"/>
      <c r="BA158" s="355">
        <v>41</v>
      </c>
      <c r="BB158" s="347"/>
      <c r="BC158" s="355"/>
      <c r="BD158" s="414">
        <f t="shared" si="165"/>
        <v>258</v>
      </c>
      <c r="BE158" s="347"/>
      <c r="BF158" s="355"/>
      <c r="BG158" s="347"/>
      <c r="BH158" s="355"/>
      <c r="BI158" s="347"/>
      <c r="BJ158" s="355"/>
      <c r="BK158" s="347"/>
      <c r="BL158" s="355">
        <v>120</v>
      </c>
      <c r="BM158" s="347"/>
      <c r="BN158" s="355"/>
      <c r="BO158" s="347"/>
      <c r="BP158" s="355"/>
      <c r="BQ158" s="414">
        <f t="shared" si="166"/>
        <v>120</v>
      </c>
      <c r="BR158" s="347"/>
      <c r="BS158" s="355">
        <v>2</v>
      </c>
      <c r="BT158" s="347"/>
      <c r="BU158" s="355">
        <v>120</v>
      </c>
      <c r="BV158" s="347"/>
      <c r="BW158" s="355">
        <v>120</v>
      </c>
      <c r="BX158" s="347"/>
      <c r="BY158" s="355">
        <v>70</v>
      </c>
      <c r="BZ158" s="347"/>
      <c r="CA158" s="355"/>
      <c r="CB158" s="347"/>
      <c r="CC158" s="355"/>
      <c r="CD158" s="414">
        <f t="shared" si="167"/>
        <v>312</v>
      </c>
      <c r="CE158" s="347"/>
      <c r="CF158" s="355"/>
      <c r="CG158" s="347"/>
      <c r="CH158" s="355"/>
      <c r="CI158" s="347"/>
      <c r="CJ158" s="355">
        <v>280</v>
      </c>
      <c r="CK158" s="347"/>
      <c r="CL158" s="355">
        <v>5</v>
      </c>
      <c r="CM158" s="347"/>
      <c r="CN158" s="355"/>
      <c r="CO158" s="347"/>
      <c r="CP158" s="355"/>
      <c r="CQ158" s="414">
        <f t="shared" si="168"/>
        <v>285</v>
      </c>
      <c r="CR158" s="347"/>
      <c r="CS158" s="355"/>
      <c r="CT158" s="347"/>
      <c r="CU158" s="355"/>
      <c r="CV158" s="347"/>
      <c r="CW158" s="355">
        <v>205</v>
      </c>
      <c r="CX158" s="347"/>
      <c r="CY158" s="355"/>
      <c r="CZ158" s="414">
        <f t="shared" si="169"/>
        <v>205</v>
      </c>
      <c r="DA158" s="347"/>
      <c r="DB158" s="355"/>
      <c r="DC158" s="414">
        <f t="shared" si="170"/>
        <v>0</v>
      </c>
      <c r="DD158" s="356">
        <f>+$U$158+$AF$158+$AQ$158+$BD$158+$BQ$158+$CD$158+$CQ$158+$CZ$158+$DC$158</f>
        <v>1902</v>
      </c>
    </row>
    <row r="159" spans="1:108" ht="17.45" customHeight="1">
      <c r="A159" s="357"/>
      <c r="B159" s="357"/>
      <c r="C159" s="357"/>
      <c r="D159" s="357"/>
      <c r="E159" s="357"/>
      <c r="F159" s="357"/>
      <c r="G159" s="347" t="s">
        <v>1135</v>
      </c>
      <c r="H159" s="347" t="s">
        <v>1136</v>
      </c>
      <c r="I159" s="347"/>
      <c r="J159" s="355"/>
      <c r="K159" s="347"/>
      <c r="L159" s="355"/>
      <c r="M159" s="347"/>
      <c r="N159" s="355"/>
      <c r="O159" s="347"/>
      <c r="P159" s="355"/>
      <c r="Q159" s="347"/>
      <c r="R159" s="355"/>
      <c r="S159" s="347"/>
      <c r="T159" s="355"/>
      <c r="U159" s="414">
        <f t="shared" si="162"/>
        <v>0</v>
      </c>
      <c r="V159" s="347"/>
      <c r="W159" s="355"/>
      <c r="X159" s="347"/>
      <c r="Y159" s="355"/>
      <c r="Z159" s="347"/>
      <c r="AA159" s="355"/>
      <c r="AB159" s="347"/>
      <c r="AC159" s="355"/>
      <c r="AD159" s="347"/>
      <c r="AE159" s="355"/>
      <c r="AF159" s="414">
        <f t="shared" si="163"/>
        <v>0</v>
      </c>
      <c r="AG159" s="347"/>
      <c r="AH159" s="355"/>
      <c r="AI159" s="347"/>
      <c r="AJ159" s="355"/>
      <c r="AK159" s="347"/>
      <c r="AL159" s="355"/>
      <c r="AM159" s="347"/>
      <c r="AN159" s="355"/>
      <c r="AO159" s="347"/>
      <c r="AP159" s="355"/>
      <c r="AQ159" s="414">
        <f t="shared" si="164"/>
        <v>0</v>
      </c>
      <c r="AR159" s="347"/>
      <c r="AS159" s="355"/>
      <c r="AT159" s="347"/>
      <c r="AU159" s="355"/>
      <c r="AV159" s="347"/>
      <c r="AW159" s="355"/>
      <c r="AX159" s="347"/>
      <c r="AY159" s="355"/>
      <c r="AZ159" s="347"/>
      <c r="BA159" s="355"/>
      <c r="BB159" s="347"/>
      <c r="BC159" s="355"/>
      <c r="BD159" s="414">
        <f t="shared" si="165"/>
        <v>0</v>
      </c>
      <c r="BE159" s="347"/>
      <c r="BF159" s="355"/>
      <c r="BG159" s="347"/>
      <c r="BH159" s="355"/>
      <c r="BI159" s="347"/>
      <c r="BJ159" s="355"/>
      <c r="BK159" s="347"/>
      <c r="BL159" s="355"/>
      <c r="BM159" s="347"/>
      <c r="BN159" s="355"/>
      <c r="BO159" s="347"/>
      <c r="BP159" s="355"/>
      <c r="BQ159" s="414">
        <f t="shared" si="166"/>
        <v>0</v>
      </c>
      <c r="BR159" s="347"/>
      <c r="BS159" s="355"/>
      <c r="BT159" s="347"/>
      <c r="BU159" s="355"/>
      <c r="BV159" s="347"/>
      <c r="BW159" s="355"/>
      <c r="BX159" s="347"/>
      <c r="BY159" s="355"/>
      <c r="BZ159" s="347"/>
      <c r="CA159" s="355"/>
      <c r="CB159" s="347"/>
      <c r="CC159" s="355"/>
      <c r="CD159" s="414">
        <f t="shared" si="167"/>
        <v>0</v>
      </c>
      <c r="CE159" s="347"/>
      <c r="CF159" s="355"/>
      <c r="CG159" s="347"/>
      <c r="CH159" s="355"/>
      <c r="CI159" s="347"/>
      <c r="CJ159" s="355"/>
      <c r="CK159" s="347"/>
      <c r="CL159" s="355">
        <v>123</v>
      </c>
      <c r="CM159" s="347"/>
      <c r="CN159" s="355"/>
      <c r="CO159" s="347"/>
      <c r="CP159" s="355"/>
      <c r="CQ159" s="414">
        <f t="shared" si="168"/>
        <v>123</v>
      </c>
      <c r="CR159" s="347"/>
      <c r="CS159" s="355"/>
      <c r="CT159" s="347"/>
      <c r="CU159" s="355"/>
      <c r="CV159" s="347"/>
      <c r="CW159" s="355">
        <v>90</v>
      </c>
      <c r="CX159" s="347"/>
      <c r="CY159" s="355"/>
      <c r="CZ159" s="414">
        <f t="shared" si="169"/>
        <v>90</v>
      </c>
      <c r="DA159" s="347"/>
      <c r="DB159" s="355"/>
      <c r="DC159" s="414">
        <f t="shared" si="170"/>
        <v>0</v>
      </c>
      <c r="DD159" s="356">
        <f>+$U$159+$AF$159+$AQ$159+$BD$159+$BQ$159+$CD$159+$CQ$159+$CZ$159+$DC$159</f>
        <v>213</v>
      </c>
    </row>
    <row r="160" spans="1:108" ht="17.45" customHeight="1">
      <c r="A160" s="357"/>
      <c r="B160" s="357"/>
      <c r="C160" s="357"/>
      <c r="D160" s="357"/>
      <c r="E160" s="357"/>
      <c r="F160" s="357"/>
      <c r="G160" s="347" t="s">
        <v>1188</v>
      </c>
      <c r="H160" s="347" t="s">
        <v>1210</v>
      </c>
      <c r="I160" s="347"/>
      <c r="J160" s="355"/>
      <c r="K160" s="347"/>
      <c r="L160" s="355"/>
      <c r="M160" s="347"/>
      <c r="N160" s="355"/>
      <c r="O160" s="347"/>
      <c r="P160" s="355"/>
      <c r="Q160" s="347"/>
      <c r="R160" s="355"/>
      <c r="S160" s="347"/>
      <c r="T160" s="355"/>
      <c r="U160" s="414">
        <f t="shared" si="162"/>
        <v>0</v>
      </c>
      <c r="V160" s="347"/>
      <c r="W160" s="355"/>
      <c r="X160" s="347"/>
      <c r="Y160" s="355"/>
      <c r="Z160" s="347"/>
      <c r="AA160" s="355"/>
      <c r="AB160" s="347"/>
      <c r="AC160" s="355"/>
      <c r="AD160" s="347"/>
      <c r="AE160" s="355"/>
      <c r="AF160" s="414">
        <f t="shared" si="163"/>
        <v>0</v>
      </c>
      <c r="AG160" s="347"/>
      <c r="AH160" s="355"/>
      <c r="AI160" s="347"/>
      <c r="AJ160" s="355"/>
      <c r="AK160" s="347"/>
      <c r="AL160" s="355"/>
      <c r="AM160" s="347"/>
      <c r="AN160" s="355"/>
      <c r="AO160" s="347"/>
      <c r="AP160" s="355"/>
      <c r="AQ160" s="414">
        <f t="shared" si="164"/>
        <v>0</v>
      </c>
      <c r="AR160" s="347"/>
      <c r="AS160" s="355"/>
      <c r="AT160" s="347"/>
      <c r="AU160" s="355"/>
      <c r="AV160" s="347"/>
      <c r="AW160" s="355"/>
      <c r="AX160" s="347"/>
      <c r="AY160" s="355"/>
      <c r="AZ160" s="347"/>
      <c r="BA160" s="355"/>
      <c r="BB160" s="347"/>
      <c r="BC160" s="355"/>
      <c r="BD160" s="414">
        <f t="shared" si="165"/>
        <v>0</v>
      </c>
      <c r="BE160" s="347"/>
      <c r="BF160" s="355"/>
      <c r="BG160" s="347"/>
      <c r="BH160" s="355"/>
      <c r="BI160" s="347"/>
      <c r="BJ160" s="355"/>
      <c r="BK160" s="347"/>
      <c r="BL160" s="355"/>
      <c r="BM160" s="347"/>
      <c r="BN160" s="355"/>
      <c r="BO160" s="347"/>
      <c r="BP160" s="355"/>
      <c r="BQ160" s="414">
        <f t="shared" si="166"/>
        <v>0</v>
      </c>
      <c r="BR160" s="347"/>
      <c r="BS160" s="355"/>
      <c r="BT160" s="347"/>
      <c r="BU160" s="355"/>
      <c r="BV160" s="347"/>
      <c r="BW160" s="355"/>
      <c r="BX160" s="347"/>
      <c r="BY160" s="355"/>
      <c r="BZ160" s="347"/>
      <c r="CA160" s="355"/>
      <c r="CB160" s="347"/>
      <c r="CC160" s="355"/>
      <c r="CD160" s="414">
        <f t="shared" si="167"/>
        <v>0</v>
      </c>
      <c r="CE160" s="347"/>
      <c r="CF160" s="355"/>
      <c r="CG160" s="347"/>
      <c r="CH160" s="355"/>
      <c r="CI160" s="347"/>
      <c r="CJ160" s="355"/>
      <c r="CK160" s="347"/>
      <c r="CL160" s="355">
        <v>5</v>
      </c>
      <c r="CM160" s="347"/>
      <c r="CN160" s="355"/>
      <c r="CO160" s="347"/>
      <c r="CP160" s="355"/>
      <c r="CQ160" s="414">
        <f t="shared" si="168"/>
        <v>5</v>
      </c>
      <c r="CR160" s="347"/>
      <c r="CS160" s="355"/>
      <c r="CT160" s="347"/>
      <c r="CU160" s="355"/>
      <c r="CV160" s="347"/>
      <c r="CW160" s="355">
        <v>9</v>
      </c>
      <c r="CX160" s="347"/>
      <c r="CY160" s="355">
        <v>102</v>
      </c>
      <c r="CZ160" s="414">
        <f t="shared" si="169"/>
        <v>111</v>
      </c>
      <c r="DA160" s="347"/>
      <c r="DB160" s="355"/>
      <c r="DC160" s="414">
        <f t="shared" si="170"/>
        <v>0</v>
      </c>
      <c r="DD160" s="356">
        <f>+$U$160+$AF$160+$AQ$160+$BD$160+$BQ$160+$CD$160+$CQ$160+$CZ$160+$DC$160</f>
        <v>116</v>
      </c>
    </row>
    <row r="161" spans="1:108" ht="17.45" customHeight="1">
      <c r="A161" s="357"/>
      <c r="B161" s="357"/>
      <c r="C161" s="357"/>
      <c r="D161" s="357"/>
      <c r="E161" s="357"/>
      <c r="F161" s="357"/>
      <c r="G161" s="347" t="s">
        <v>1190</v>
      </c>
      <c r="H161" s="347" t="s">
        <v>1212</v>
      </c>
      <c r="I161" s="347"/>
      <c r="J161" s="355"/>
      <c r="K161" s="347"/>
      <c r="L161" s="355"/>
      <c r="M161" s="347"/>
      <c r="N161" s="355"/>
      <c r="O161" s="347"/>
      <c r="P161" s="355"/>
      <c r="Q161" s="347"/>
      <c r="R161" s="355"/>
      <c r="S161" s="347"/>
      <c r="T161" s="355"/>
      <c r="U161" s="414">
        <f t="shared" si="162"/>
        <v>0</v>
      </c>
      <c r="V161" s="347"/>
      <c r="W161" s="355"/>
      <c r="X161" s="347"/>
      <c r="Y161" s="355"/>
      <c r="Z161" s="347"/>
      <c r="AA161" s="355"/>
      <c r="AB161" s="347"/>
      <c r="AC161" s="355"/>
      <c r="AD161" s="347"/>
      <c r="AE161" s="355"/>
      <c r="AF161" s="414">
        <f t="shared" si="163"/>
        <v>0</v>
      </c>
      <c r="AG161" s="347"/>
      <c r="AH161" s="355"/>
      <c r="AI161" s="347"/>
      <c r="AJ161" s="355"/>
      <c r="AK161" s="347"/>
      <c r="AL161" s="355"/>
      <c r="AM161" s="347"/>
      <c r="AN161" s="355"/>
      <c r="AO161" s="347"/>
      <c r="AP161" s="355"/>
      <c r="AQ161" s="414">
        <f t="shared" si="164"/>
        <v>0</v>
      </c>
      <c r="AR161" s="347"/>
      <c r="AS161" s="355"/>
      <c r="AT161" s="347"/>
      <c r="AU161" s="355"/>
      <c r="AV161" s="347"/>
      <c r="AW161" s="355"/>
      <c r="AX161" s="347"/>
      <c r="AY161" s="355"/>
      <c r="AZ161" s="347"/>
      <c r="BA161" s="355"/>
      <c r="BB161" s="347"/>
      <c r="BC161" s="355"/>
      <c r="BD161" s="414">
        <f t="shared" si="165"/>
        <v>0</v>
      </c>
      <c r="BE161" s="347"/>
      <c r="BF161" s="355"/>
      <c r="BG161" s="347"/>
      <c r="BH161" s="355"/>
      <c r="BI161" s="347"/>
      <c r="BJ161" s="355"/>
      <c r="BK161" s="347"/>
      <c r="BL161" s="355"/>
      <c r="BM161" s="347"/>
      <c r="BN161" s="355"/>
      <c r="BO161" s="347"/>
      <c r="BP161" s="355"/>
      <c r="BQ161" s="414">
        <f t="shared" si="166"/>
        <v>0</v>
      </c>
      <c r="BR161" s="347"/>
      <c r="BS161" s="355"/>
      <c r="BT161" s="347"/>
      <c r="BU161" s="355"/>
      <c r="BV161" s="347"/>
      <c r="BW161" s="355"/>
      <c r="BX161" s="347"/>
      <c r="BY161" s="355"/>
      <c r="BZ161" s="347"/>
      <c r="CA161" s="355"/>
      <c r="CB161" s="347"/>
      <c r="CC161" s="355"/>
      <c r="CD161" s="414">
        <f t="shared" si="167"/>
        <v>0</v>
      </c>
      <c r="CE161" s="347"/>
      <c r="CF161" s="355"/>
      <c r="CG161" s="347"/>
      <c r="CH161" s="355"/>
      <c r="CI161" s="347"/>
      <c r="CJ161" s="355"/>
      <c r="CK161" s="347"/>
      <c r="CL161" s="355">
        <v>203</v>
      </c>
      <c r="CM161" s="347"/>
      <c r="CN161" s="355">
        <v>46</v>
      </c>
      <c r="CO161" s="347"/>
      <c r="CP161" s="355"/>
      <c r="CQ161" s="414">
        <f t="shared" si="168"/>
        <v>249</v>
      </c>
      <c r="CR161" s="347"/>
      <c r="CS161" s="355"/>
      <c r="CT161" s="347"/>
      <c r="CU161" s="355"/>
      <c r="CV161" s="347"/>
      <c r="CW161" s="355"/>
      <c r="CX161" s="347"/>
      <c r="CY161" s="355">
        <v>52</v>
      </c>
      <c r="CZ161" s="414">
        <f t="shared" si="169"/>
        <v>52</v>
      </c>
      <c r="DA161" s="347"/>
      <c r="DB161" s="355"/>
      <c r="DC161" s="414">
        <f t="shared" si="170"/>
        <v>0</v>
      </c>
      <c r="DD161" s="356">
        <f>+$U$161+$AF$161+$AQ$161+$BD$161+$BQ$161+$CD$161+$CQ$161+$CZ$161+$DC$161</f>
        <v>301</v>
      </c>
    </row>
    <row r="162" spans="1:108" ht="17.45" customHeight="1">
      <c r="A162" s="357"/>
      <c r="B162" s="357"/>
      <c r="C162" s="357"/>
      <c r="D162" s="357"/>
      <c r="E162" s="357"/>
      <c r="F162" s="357" t="s">
        <v>37</v>
      </c>
      <c r="G162" s="347" t="s">
        <v>1184</v>
      </c>
      <c r="H162" s="347" t="s">
        <v>1206</v>
      </c>
      <c r="I162" s="347"/>
      <c r="J162" s="355"/>
      <c r="K162" s="347"/>
      <c r="L162" s="355"/>
      <c r="M162" s="347"/>
      <c r="N162" s="355"/>
      <c r="O162" s="347"/>
      <c r="P162" s="355"/>
      <c r="Q162" s="347"/>
      <c r="R162" s="355"/>
      <c r="S162" s="347"/>
      <c r="T162" s="355"/>
      <c r="U162" s="414">
        <f t="shared" si="162"/>
        <v>0</v>
      </c>
      <c r="V162" s="347"/>
      <c r="W162" s="355"/>
      <c r="X162" s="347"/>
      <c r="Y162" s="355"/>
      <c r="Z162" s="347"/>
      <c r="AA162" s="355"/>
      <c r="AB162" s="347"/>
      <c r="AC162" s="355"/>
      <c r="AD162" s="347"/>
      <c r="AE162" s="355"/>
      <c r="AF162" s="414">
        <f t="shared" si="163"/>
        <v>0</v>
      </c>
      <c r="AG162" s="347"/>
      <c r="AH162" s="355"/>
      <c r="AI162" s="347"/>
      <c r="AJ162" s="355"/>
      <c r="AK162" s="347"/>
      <c r="AL162" s="355"/>
      <c r="AM162" s="347"/>
      <c r="AN162" s="355"/>
      <c r="AO162" s="347"/>
      <c r="AP162" s="355"/>
      <c r="AQ162" s="414">
        <f t="shared" si="164"/>
        <v>0</v>
      </c>
      <c r="AR162" s="347"/>
      <c r="AS162" s="355"/>
      <c r="AT162" s="347"/>
      <c r="AU162" s="355"/>
      <c r="AV162" s="347"/>
      <c r="AW162" s="355"/>
      <c r="AX162" s="347"/>
      <c r="AY162" s="355"/>
      <c r="AZ162" s="347"/>
      <c r="BA162" s="355"/>
      <c r="BB162" s="347"/>
      <c r="BC162" s="355"/>
      <c r="BD162" s="414">
        <f t="shared" si="165"/>
        <v>0</v>
      </c>
      <c r="BE162" s="347"/>
      <c r="BF162" s="355"/>
      <c r="BG162" s="347"/>
      <c r="BH162" s="355"/>
      <c r="BI162" s="347"/>
      <c r="BJ162" s="355"/>
      <c r="BK162" s="347"/>
      <c r="BL162" s="355"/>
      <c r="BM162" s="347"/>
      <c r="BN162" s="355"/>
      <c r="BO162" s="347"/>
      <c r="BP162" s="355"/>
      <c r="BQ162" s="414">
        <f t="shared" si="166"/>
        <v>0</v>
      </c>
      <c r="BR162" s="347"/>
      <c r="BS162" s="355"/>
      <c r="BT162" s="347"/>
      <c r="BU162" s="355"/>
      <c r="BV162" s="347"/>
      <c r="BW162" s="355"/>
      <c r="BX162" s="347"/>
      <c r="BY162" s="355"/>
      <c r="BZ162" s="347"/>
      <c r="CA162" s="355"/>
      <c r="CB162" s="347"/>
      <c r="CC162" s="355"/>
      <c r="CD162" s="414">
        <f t="shared" si="167"/>
        <v>0</v>
      </c>
      <c r="CE162" s="347"/>
      <c r="CF162" s="355"/>
      <c r="CG162" s="347"/>
      <c r="CH162" s="355"/>
      <c r="CI162" s="347"/>
      <c r="CJ162" s="355"/>
      <c r="CK162" s="347"/>
      <c r="CL162" s="355"/>
      <c r="CM162" s="347"/>
      <c r="CN162" s="355">
        <v>9</v>
      </c>
      <c r="CO162" s="347"/>
      <c r="CP162" s="355"/>
      <c r="CQ162" s="414">
        <f t="shared" si="168"/>
        <v>9</v>
      </c>
      <c r="CR162" s="347"/>
      <c r="CS162" s="355"/>
      <c r="CT162" s="347"/>
      <c r="CU162" s="355"/>
      <c r="CV162" s="347"/>
      <c r="CW162" s="355"/>
      <c r="CX162" s="347"/>
      <c r="CY162" s="355">
        <v>33</v>
      </c>
      <c r="CZ162" s="414">
        <f t="shared" si="169"/>
        <v>33</v>
      </c>
      <c r="DA162" s="347"/>
      <c r="DB162" s="355"/>
      <c r="DC162" s="414">
        <f t="shared" si="170"/>
        <v>0</v>
      </c>
      <c r="DD162" s="356">
        <f>+$U$162+$AF$162+$AQ$162+$BD$162+$BQ$162+$CD$162+$CQ$162+$CZ$162+$DC$162</f>
        <v>42</v>
      </c>
    </row>
    <row r="163" spans="1:108" ht="17.45" customHeight="1">
      <c r="A163" s="357"/>
      <c r="B163" s="357"/>
      <c r="C163" s="357"/>
      <c r="D163" s="357"/>
      <c r="E163" s="357" t="s">
        <v>36</v>
      </c>
      <c r="F163" s="357"/>
      <c r="G163" s="347" t="s">
        <v>1137</v>
      </c>
      <c r="H163" s="347" t="s">
        <v>1138</v>
      </c>
      <c r="I163" s="347"/>
      <c r="J163" s="355"/>
      <c r="K163" s="347"/>
      <c r="L163" s="355"/>
      <c r="M163" s="347"/>
      <c r="N163" s="355"/>
      <c r="O163" s="347"/>
      <c r="P163" s="355"/>
      <c r="Q163" s="347"/>
      <c r="R163" s="355"/>
      <c r="S163" s="347"/>
      <c r="T163" s="355"/>
      <c r="U163" s="414">
        <f t="shared" si="162"/>
        <v>0</v>
      </c>
      <c r="V163" s="347"/>
      <c r="W163" s="355"/>
      <c r="X163" s="347"/>
      <c r="Y163" s="355"/>
      <c r="Z163" s="347"/>
      <c r="AA163" s="355"/>
      <c r="AB163" s="347"/>
      <c r="AC163" s="355"/>
      <c r="AD163" s="347"/>
      <c r="AE163" s="355"/>
      <c r="AF163" s="414">
        <f t="shared" si="163"/>
        <v>0</v>
      </c>
      <c r="AG163" s="347"/>
      <c r="AH163" s="355"/>
      <c r="AI163" s="347"/>
      <c r="AJ163" s="355"/>
      <c r="AK163" s="347"/>
      <c r="AL163" s="355"/>
      <c r="AM163" s="347"/>
      <c r="AN163" s="355"/>
      <c r="AO163" s="347"/>
      <c r="AP163" s="355"/>
      <c r="AQ163" s="414">
        <f t="shared" si="164"/>
        <v>0</v>
      </c>
      <c r="AR163" s="347"/>
      <c r="AS163" s="355"/>
      <c r="AT163" s="347"/>
      <c r="AU163" s="355"/>
      <c r="AV163" s="347"/>
      <c r="AW163" s="355"/>
      <c r="AX163" s="347"/>
      <c r="AY163" s="355"/>
      <c r="AZ163" s="347"/>
      <c r="BA163" s="355"/>
      <c r="BB163" s="347"/>
      <c r="BC163" s="355"/>
      <c r="BD163" s="414">
        <f t="shared" si="165"/>
        <v>0</v>
      </c>
      <c r="BE163" s="347"/>
      <c r="BF163" s="355"/>
      <c r="BG163" s="347"/>
      <c r="BH163" s="355"/>
      <c r="BI163" s="347"/>
      <c r="BJ163" s="355"/>
      <c r="BK163" s="347"/>
      <c r="BL163" s="355"/>
      <c r="BM163" s="347"/>
      <c r="BN163" s="355"/>
      <c r="BO163" s="347"/>
      <c r="BP163" s="355"/>
      <c r="BQ163" s="414">
        <f t="shared" si="166"/>
        <v>0</v>
      </c>
      <c r="BR163" s="347"/>
      <c r="BS163" s="355"/>
      <c r="BT163" s="347"/>
      <c r="BU163" s="355"/>
      <c r="BV163" s="347"/>
      <c r="BW163" s="355"/>
      <c r="BX163" s="347"/>
      <c r="BY163" s="355"/>
      <c r="BZ163" s="347"/>
      <c r="CA163" s="355"/>
      <c r="CB163" s="347"/>
      <c r="CC163" s="355"/>
      <c r="CD163" s="414">
        <f t="shared" si="167"/>
        <v>0</v>
      </c>
      <c r="CE163" s="347"/>
      <c r="CF163" s="355"/>
      <c r="CG163" s="347"/>
      <c r="CH163" s="355"/>
      <c r="CI163" s="347"/>
      <c r="CJ163" s="355"/>
      <c r="CK163" s="347"/>
      <c r="CL163" s="355"/>
      <c r="CM163" s="347"/>
      <c r="CN163" s="355">
        <v>54</v>
      </c>
      <c r="CO163" s="347"/>
      <c r="CP163" s="355"/>
      <c r="CQ163" s="414">
        <f t="shared" si="168"/>
        <v>54</v>
      </c>
      <c r="CR163" s="347"/>
      <c r="CS163" s="355"/>
      <c r="CT163" s="347"/>
      <c r="CU163" s="355"/>
      <c r="CV163" s="347"/>
      <c r="CW163" s="355"/>
      <c r="CX163" s="347"/>
      <c r="CY163" s="355">
        <v>26</v>
      </c>
      <c r="CZ163" s="414">
        <f t="shared" si="169"/>
        <v>26</v>
      </c>
      <c r="DA163" s="347"/>
      <c r="DB163" s="355"/>
      <c r="DC163" s="414">
        <f t="shared" si="170"/>
        <v>0</v>
      </c>
      <c r="DD163" s="356">
        <f>+$U$163+$AF$163+$AQ$163+$BD$163+$BQ$163+$CD$163+$CQ$163+$CZ$163+$DC$163</f>
        <v>80</v>
      </c>
    </row>
    <row r="164" spans="1:108" ht="17.45" customHeight="1">
      <c r="A164" s="357"/>
      <c r="B164" s="357"/>
      <c r="C164" s="357"/>
      <c r="D164" s="357"/>
      <c r="E164" s="357"/>
      <c r="F164" s="357"/>
      <c r="G164" s="347" t="s">
        <v>1153</v>
      </c>
      <c r="H164" s="347" t="s">
        <v>1154</v>
      </c>
      <c r="I164" s="347"/>
      <c r="J164" s="355">
        <v>50</v>
      </c>
      <c r="K164" s="347"/>
      <c r="L164" s="355">
        <v>50</v>
      </c>
      <c r="M164" s="347"/>
      <c r="N164" s="355">
        <v>31</v>
      </c>
      <c r="O164" s="347"/>
      <c r="P164" s="355">
        <v>30</v>
      </c>
      <c r="Q164" s="347"/>
      <c r="R164" s="355">
        <v>30</v>
      </c>
      <c r="S164" s="347"/>
      <c r="T164" s="355">
        <v>30</v>
      </c>
      <c r="U164" s="414">
        <f t="shared" si="162"/>
        <v>221</v>
      </c>
      <c r="V164" s="347"/>
      <c r="W164" s="355">
        <v>41</v>
      </c>
      <c r="X164" s="347"/>
      <c r="Y164" s="355">
        <v>30</v>
      </c>
      <c r="Z164" s="347"/>
      <c r="AA164" s="355">
        <v>30</v>
      </c>
      <c r="AB164" s="347"/>
      <c r="AC164" s="355">
        <v>30</v>
      </c>
      <c r="AD164" s="347"/>
      <c r="AE164" s="355">
        <v>30</v>
      </c>
      <c r="AF164" s="414">
        <f t="shared" si="163"/>
        <v>161</v>
      </c>
      <c r="AG164" s="347"/>
      <c r="AH164" s="355">
        <v>91</v>
      </c>
      <c r="AI164" s="347"/>
      <c r="AJ164" s="355">
        <v>80</v>
      </c>
      <c r="AK164" s="347"/>
      <c r="AL164" s="355">
        <v>80</v>
      </c>
      <c r="AM164" s="347"/>
      <c r="AN164" s="355">
        <v>80</v>
      </c>
      <c r="AO164" s="347"/>
      <c r="AP164" s="355">
        <v>80</v>
      </c>
      <c r="AQ164" s="414">
        <f t="shared" si="164"/>
        <v>411</v>
      </c>
      <c r="AR164" s="347"/>
      <c r="AS164" s="355">
        <v>41</v>
      </c>
      <c r="AT164" s="347"/>
      <c r="AU164" s="355">
        <v>43</v>
      </c>
      <c r="AV164" s="347"/>
      <c r="AW164" s="355">
        <v>43</v>
      </c>
      <c r="AX164" s="347"/>
      <c r="AY164" s="355">
        <v>40</v>
      </c>
      <c r="AZ164" s="347"/>
      <c r="BA164" s="355">
        <v>40</v>
      </c>
      <c r="BB164" s="347"/>
      <c r="BC164" s="355">
        <v>40</v>
      </c>
      <c r="BD164" s="414">
        <f t="shared" si="165"/>
        <v>247</v>
      </c>
      <c r="BE164" s="347"/>
      <c r="BF164" s="355">
        <v>50</v>
      </c>
      <c r="BG164" s="347"/>
      <c r="BH164" s="355">
        <v>50</v>
      </c>
      <c r="BI164" s="347"/>
      <c r="BJ164" s="355">
        <v>50</v>
      </c>
      <c r="BK164" s="347"/>
      <c r="BL164" s="355">
        <v>50</v>
      </c>
      <c r="BM164" s="347"/>
      <c r="BN164" s="355">
        <v>50</v>
      </c>
      <c r="BO164" s="347"/>
      <c r="BP164" s="355">
        <v>58</v>
      </c>
      <c r="BQ164" s="414">
        <f t="shared" si="166"/>
        <v>308</v>
      </c>
      <c r="BR164" s="347"/>
      <c r="BS164" s="355">
        <v>60</v>
      </c>
      <c r="BT164" s="347"/>
      <c r="BU164" s="355">
        <v>60</v>
      </c>
      <c r="BV164" s="347"/>
      <c r="BW164" s="355">
        <v>60</v>
      </c>
      <c r="BX164" s="347"/>
      <c r="BY164" s="355">
        <v>60</v>
      </c>
      <c r="BZ164" s="347"/>
      <c r="CA164" s="355">
        <v>60</v>
      </c>
      <c r="CB164" s="347"/>
      <c r="CC164" s="355">
        <v>28</v>
      </c>
      <c r="CD164" s="414">
        <f t="shared" si="167"/>
        <v>328</v>
      </c>
      <c r="CE164" s="347"/>
      <c r="CF164" s="355"/>
      <c r="CG164" s="347"/>
      <c r="CH164" s="355"/>
      <c r="CI164" s="347"/>
      <c r="CJ164" s="355">
        <v>9</v>
      </c>
      <c r="CK164" s="347"/>
      <c r="CL164" s="355"/>
      <c r="CM164" s="347"/>
      <c r="CN164" s="355">
        <v>227</v>
      </c>
      <c r="CO164" s="347"/>
      <c r="CP164" s="355">
        <v>260</v>
      </c>
      <c r="CQ164" s="414">
        <f t="shared" si="168"/>
        <v>496</v>
      </c>
      <c r="CR164" s="347"/>
      <c r="CS164" s="355"/>
      <c r="CT164" s="347"/>
      <c r="CU164" s="355">
        <v>121</v>
      </c>
      <c r="CV164" s="347"/>
      <c r="CW164" s="355"/>
      <c r="CX164" s="347"/>
      <c r="CY164" s="355">
        <v>47</v>
      </c>
      <c r="CZ164" s="414">
        <f t="shared" si="169"/>
        <v>168</v>
      </c>
      <c r="DA164" s="347"/>
      <c r="DB164" s="355"/>
      <c r="DC164" s="414">
        <f t="shared" si="170"/>
        <v>0</v>
      </c>
      <c r="DD164" s="356">
        <f>+$U$164+$AF$164+$AQ$164+$BD$164+$BQ$164+$CD$164+$CQ$164+$CZ$164+$DC$164</f>
        <v>2340</v>
      </c>
    </row>
    <row r="165" spans="1:108" ht="17.45" customHeight="1">
      <c r="A165" s="357"/>
      <c r="B165" s="357"/>
      <c r="C165" s="357"/>
      <c r="D165" s="357"/>
      <c r="E165" s="357"/>
      <c r="F165" s="357"/>
      <c r="G165" s="354" t="s">
        <v>1235</v>
      </c>
      <c r="H165" s="354" t="s">
        <v>1799</v>
      </c>
      <c r="I165" s="354"/>
      <c r="J165" s="391">
        <v>15</v>
      </c>
      <c r="K165" s="354"/>
      <c r="L165" s="391">
        <v>15</v>
      </c>
      <c r="M165" s="354"/>
      <c r="N165" s="391">
        <v>15</v>
      </c>
      <c r="O165" s="354"/>
      <c r="P165" s="391">
        <v>15</v>
      </c>
      <c r="Q165" s="354"/>
      <c r="R165" s="391">
        <v>15</v>
      </c>
      <c r="S165" s="354"/>
      <c r="T165" s="391">
        <v>15</v>
      </c>
      <c r="U165" s="416">
        <f t="shared" si="162"/>
        <v>90</v>
      </c>
      <c r="V165" s="354"/>
      <c r="W165" s="391">
        <v>25</v>
      </c>
      <c r="X165" s="354"/>
      <c r="Y165" s="391">
        <v>25</v>
      </c>
      <c r="Z165" s="354"/>
      <c r="AA165" s="391">
        <v>25</v>
      </c>
      <c r="AB165" s="354"/>
      <c r="AC165" s="391">
        <v>24</v>
      </c>
      <c r="AD165" s="354"/>
      <c r="AE165" s="391">
        <v>20</v>
      </c>
      <c r="AF165" s="416">
        <f t="shared" si="163"/>
        <v>119</v>
      </c>
      <c r="AG165" s="354"/>
      <c r="AH165" s="391">
        <v>15</v>
      </c>
      <c r="AI165" s="354"/>
      <c r="AJ165" s="391">
        <v>15</v>
      </c>
      <c r="AK165" s="354"/>
      <c r="AL165" s="391">
        <v>15</v>
      </c>
      <c r="AM165" s="354"/>
      <c r="AN165" s="391">
        <v>15</v>
      </c>
      <c r="AO165" s="354"/>
      <c r="AP165" s="391">
        <v>12</v>
      </c>
      <c r="AQ165" s="416">
        <f t="shared" si="164"/>
        <v>72</v>
      </c>
      <c r="AR165" s="354"/>
      <c r="AS165" s="391">
        <v>15</v>
      </c>
      <c r="AT165" s="354"/>
      <c r="AU165" s="391">
        <v>10</v>
      </c>
      <c r="AV165" s="354"/>
      <c r="AW165" s="391">
        <v>12</v>
      </c>
      <c r="AX165" s="354"/>
      <c r="AY165" s="391">
        <v>12</v>
      </c>
      <c r="AZ165" s="354"/>
      <c r="BA165" s="391">
        <v>12</v>
      </c>
      <c r="BB165" s="354"/>
      <c r="BC165" s="391">
        <v>11</v>
      </c>
      <c r="BD165" s="416">
        <f t="shared" si="165"/>
        <v>72</v>
      </c>
      <c r="BE165" s="354"/>
      <c r="BF165" s="391">
        <v>15</v>
      </c>
      <c r="BG165" s="354"/>
      <c r="BH165" s="391">
        <v>13</v>
      </c>
      <c r="BI165" s="354"/>
      <c r="BJ165" s="391">
        <v>15</v>
      </c>
      <c r="BK165" s="354"/>
      <c r="BL165" s="391">
        <v>15</v>
      </c>
      <c r="BM165" s="354"/>
      <c r="BN165" s="391">
        <v>15</v>
      </c>
      <c r="BO165" s="354"/>
      <c r="BP165" s="391">
        <v>11</v>
      </c>
      <c r="BQ165" s="416">
        <f t="shared" si="166"/>
        <v>84</v>
      </c>
      <c r="BR165" s="354"/>
      <c r="BS165" s="391">
        <v>15</v>
      </c>
      <c r="BT165" s="354"/>
      <c r="BU165" s="391">
        <v>12</v>
      </c>
      <c r="BV165" s="354"/>
      <c r="BW165" s="391">
        <v>15</v>
      </c>
      <c r="BX165" s="354"/>
      <c r="BY165" s="391">
        <v>15</v>
      </c>
      <c r="BZ165" s="354"/>
      <c r="CA165" s="391">
        <v>11</v>
      </c>
      <c r="CB165" s="354"/>
      <c r="CC165" s="391"/>
      <c r="CD165" s="416">
        <f t="shared" si="167"/>
        <v>68</v>
      </c>
      <c r="CE165" s="354"/>
      <c r="CF165" s="391"/>
      <c r="CG165" s="354"/>
      <c r="CH165" s="391"/>
      <c r="CI165" s="354"/>
      <c r="CJ165" s="391"/>
      <c r="CK165" s="354"/>
      <c r="CL165" s="391"/>
      <c r="CM165" s="354"/>
      <c r="CN165" s="391"/>
      <c r="CO165" s="354"/>
      <c r="CP165" s="391"/>
      <c r="CQ165" s="416">
        <f t="shared" si="168"/>
        <v>0</v>
      </c>
      <c r="CR165" s="354"/>
      <c r="CS165" s="391"/>
      <c r="CT165" s="354"/>
      <c r="CU165" s="391">
        <v>89</v>
      </c>
      <c r="CV165" s="354"/>
      <c r="CW165" s="391"/>
      <c r="CX165" s="354"/>
      <c r="CY165" s="391"/>
      <c r="CZ165" s="416">
        <f t="shared" si="169"/>
        <v>89</v>
      </c>
      <c r="DA165" s="354"/>
      <c r="DB165" s="391"/>
      <c r="DC165" s="416">
        <f t="shared" si="170"/>
        <v>0</v>
      </c>
      <c r="DD165" s="393">
        <f>+$U$165+$AF$165+$AQ$165+$BD$165+$BQ$165+$CD$165+$CQ$165+$CZ$165+$DC$165</f>
        <v>594</v>
      </c>
    </row>
    <row r="166" spans="1:108" ht="17.45" customHeight="1">
      <c r="A166" s="357"/>
      <c r="B166" s="336"/>
      <c r="C166" s="385" t="s">
        <v>1832</v>
      </c>
      <c r="D166" s="386"/>
      <c r="E166" s="386"/>
      <c r="F166" s="386"/>
      <c r="G166" s="386"/>
      <c r="H166" s="387"/>
      <c r="I166" s="387"/>
      <c r="J166" s="388">
        <f>+$J$165+$J$164+$J$163+$J$162+$J$161+$J$160+$J$159+$J$158+$J$157+$J$156+$J$155+$J$154+$J$153+$J$152+$J$151+$J$150+$J$149</f>
        <v>256</v>
      </c>
      <c r="K166" s="387"/>
      <c r="L166" s="388">
        <f>+$L$165+$L$164+$L$163+$L$162+$L$161+$L$160+$L$159+$L$158+$L$157+$L$156+$L$155+$L$154+$L$153+$L$152+$L$151+$L$150+$L$149</f>
        <v>336</v>
      </c>
      <c r="M166" s="387"/>
      <c r="N166" s="388">
        <f>+$N$165+$N$164+$N$163+$N$162+$N$161+$N$160+$N$159+$N$158+$N$157+$N$156+$N$155+$N$154+$N$153+$N$152+$N$151+$N$150+$N$149</f>
        <v>336</v>
      </c>
      <c r="O166" s="387"/>
      <c r="P166" s="388">
        <f>+$P$165+$P$164+$P$163+$P$162+$P$161+$P$160+$P$159+$P$158+$P$157+$P$156+$P$155+$P$154+$P$153+$P$152+$P$151+$P$150+$P$149</f>
        <v>320</v>
      </c>
      <c r="Q166" s="387"/>
      <c r="R166" s="388">
        <f>+$R$165+$R$164+$R$163+$R$162+$R$161+$R$160+$R$159+$R$158+$R$157+$R$156+$R$155+$R$154+$R$153+$R$152+$R$151+$R$150+$R$149</f>
        <v>260</v>
      </c>
      <c r="S166" s="387"/>
      <c r="T166" s="388">
        <f>+$T$165+$T$164+$T$163+$T$162+$T$161+$T$160+$T$159+$T$158+$T$157+$T$156+$T$155+$T$154+$T$153+$T$152+$T$151+$T$150+$T$149</f>
        <v>320</v>
      </c>
      <c r="U166" s="414">
        <f t="shared" si="162"/>
        <v>1828</v>
      </c>
      <c r="V166" s="387"/>
      <c r="W166" s="388">
        <f>+$W$165+$W$164+$W$163+$W$162+$W$161+$W$160+$W$159+$W$158+$W$157+$W$156+$W$155+$W$154+$W$153+$W$152+$W$151+$W$150+$W$149</f>
        <v>256</v>
      </c>
      <c r="X166" s="387"/>
      <c r="Y166" s="388">
        <f>+$Y$165+$Y$164+$Y$163+$Y$162+$Y$161+$Y$160+$Y$159+$Y$158+$Y$157+$Y$156+$Y$155+$Y$154+$Y$153+$Y$152+$Y$151+$Y$150+$Y$149</f>
        <v>328</v>
      </c>
      <c r="Z166" s="387"/>
      <c r="AA166" s="388">
        <f>+$AA$165+$AA$164+$AA$163+$AA$162+$AA$161+$AA$160+$AA$159+$AA$158+$AA$157+$AA$156+$AA$155+$AA$154+$AA$153+$AA$152+$AA$151+$AA$150+$AA$149</f>
        <v>336</v>
      </c>
      <c r="AB166" s="387"/>
      <c r="AC166" s="388">
        <f>+$AC$165+$AC$164+$AC$163+$AC$162+$AC$161+$AC$160+$AC$159+$AC$158+$AC$157+$AC$156+$AC$155+$AC$154+$AC$153+$AC$152+$AC$151+$AC$150+$AC$149</f>
        <v>320</v>
      </c>
      <c r="AD166" s="387"/>
      <c r="AE166" s="388">
        <f>+$AE$165+$AE$164+$AE$163+$AE$162+$AE$161+$AE$160+$AE$159+$AE$158+$AE$157+$AE$156+$AE$155+$AE$154+$AE$153+$AE$152+$AE$151+$AE$150+$AE$149</f>
        <v>320</v>
      </c>
      <c r="AF166" s="414">
        <f t="shared" si="163"/>
        <v>1560</v>
      </c>
      <c r="AG166" s="387"/>
      <c r="AH166" s="388">
        <f>+$AH$165+$AH$164+$AH$163+$AH$162+$AH$161+$AH$160+$AH$159+$AH$158+$AH$157+$AH$156+$AH$155+$AH$154+$AH$153+$AH$152+$AH$151+$AH$150+$AH$149</f>
        <v>316</v>
      </c>
      <c r="AI166" s="387"/>
      <c r="AJ166" s="388">
        <f>+$AJ$165+$AJ$164+$AJ$163+$AJ$162+$AJ$161+$AJ$160+$AJ$159+$AJ$158+$AJ$157+$AJ$156+$AJ$155+$AJ$154+$AJ$153+$AJ$152+$AJ$151+$AJ$150+$AJ$149</f>
        <v>336</v>
      </c>
      <c r="AK166" s="387"/>
      <c r="AL166" s="388">
        <f>+$AL$165+$AL$164+$AL$163+$AL$162+$AL$161+$AL$160+$AL$159+$AL$158+$AL$157+$AL$156+$AL$155+$AL$154+$AL$153+$AL$152+$AL$151+$AL$150+$AL$149</f>
        <v>336</v>
      </c>
      <c r="AM166" s="387"/>
      <c r="AN166" s="388">
        <f>+$AN$165+$AN$164+$AN$163+$AN$162+$AN$161+$AN$160+$AN$159+$AN$158+$AN$157+$AN$156+$AN$155+$AN$154+$AN$153+$AN$152+$AN$151+$AN$150+$AN$149</f>
        <v>260</v>
      </c>
      <c r="AO166" s="387"/>
      <c r="AP166" s="388">
        <f>+$AP$165+$AP$164+$AP$163+$AP$162+$AP$161+$AP$160+$AP$159+$AP$158+$AP$157+$AP$156+$AP$155+$AP$154+$AP$153+$AP$152+$AP$151+$AP$150+$AP$149</f>
        <v>336</v>
      </c>
      <c r="AQ166" s="414">
        <f t="shared" si="164"/>
        <v>1584</v>
      </c>
      <c r="AR166" s="387"/>
      <c r="AS166" s="388">
        <f>+$AS$165+$AS$164+$AS$163+$AS$162+$AS$161+$AS$160+$AS$159+$AS$158+$AS$157+$AS$156+$AS$155+$AS$154+$AS$153+$AS$152+$AS$151+$AS$150+$AS$149</f>
        <v>256</v>
      </c>
      <c r="AT166" s="387"/>
      <c r="AU166" s="388">
        <f>+$AU$165+$AU$164+$AU$163+$AU$162+$AU$161+$AU$160+$AU$159+$AU$158+$AU$157+$AU$156+$AU$155+$AU$154+$AU$153+$AU$152+$AU$151+$AU$150+$AU$149</f>
        <v>336</v>
      </c>
      <c r="AV166" s="387"/>
      <c r="AW166" s="388">
        <f>+$AW$165+$AW$164+$AW$163+$AW$162+$AW$161+$AW$160+$AW$159+$AW$158+$AW$157+$AW$156+$AW$155+$AW$154+$AW$153+$AW$152+$AW$151+$AW$150+$AW$149</f>
        <v>336</v>
      </c>
      <c r="AX166" s="387"/>
      <c r="AY166" s="388">
        <f>+$AY$165+$AY$164+$AY$163+$AY$162+$AY$161+$AY$160+$AY$159+$AY$158+$AY$157+$AY$156+$AY$155+$AY$154+$AY$153+$AY$152+$AY$151+$AY$150+$AY$149</f>
        <v>336</v>
      </c>
      <c r="AZ166" s="387"/>
      <c r="BA166" s="388">
        <f>+$BA$165+$BA$164+$BA$163+$BA$162+$BA$161+$BA$160+$BA$159+$BA$158+$BA$157+$BA$156+$BA$155+$BA$154+$BA$153+$BA$152+$BA$151+$BA$150+$BA$149</f>
        <v>336</v>
      </c>
      <c r="BB166" s="387"/>
      <c r="BC166" s="388">
        <f>+$BC$165+$BC$164+$BC$163+$BC$162+$BC$161+$BC$160+$BC$159+$BC$158+$BC$157+$BC$156+$BC$155+$BC$154+$BC$153+$BC$152+$BC$151+$BC$150+$BC$149</f>
        <v>252</v>
      </c>
      <c r="BD166" s="414">
        <f t="shared" si="165"/>
        <v>1852</v>
      </c>
      <c r="BE166" s="387"/>
      <c r="BF166" s="388">
        <f>+$BF$165+$BF$164+$BF$163+$BF$162+$BF$161+$BF$160+$BF$159+$BF$158+$BF$157+$BF$156+$BF$155+$BF$154+$BF$153+$BF$152+$BF$151+$BF$150+$BF$149</f>
        <v>316</v>
      </c>
      <c r="BG166" s="387"/>
      <c r="BH166" s="388">
        <f>+$BH$165+$BH$164+$BH$163+$BH$162+$BH$161+$BH$160+$BH$159+$BH$158+$BH$157+$BH$156+$BH$155+$BH$154+$BH$153+$BH$152+$BH$151+$BH$150+$BH$149</f>
        <v>336</v>
      </c>
      <c r="BI166" s="387"/>
      <c r="BJ166" s="388">
        <f>+$BJ$165+$BJ$164+$BJ$163+$BJ$162+$BJ$161+$BJ$160+$BJ$159+$BJ$158+$BJ$157+$BJ$156+$BJ$155+$BJ$154+$BJ$153+$BJ$152+$BJ$151+$BJ$150+$BJ$149</f>
        <v>336</v>
      </c>
      <c r="BK166" s="387"/>
      <c r="BL166" s="388">
        <f>+$BL$165+$BL$164+$BL$163+$BL$162+$BL$161+$BL$160+$BL$159+$BL$158+$BL$157+$BL$156+$BL$155+$BL$154+$BL$153+$BL$152+$BL$151+$BL$150+$BL$149</f>
        <v>320</v>
      </c>
      <c r="BM166" s="387"/>
      <c r="BN166" s="388">
        <f>+$BN$165+$BN$164+$BN$163+$BN$162+$BN$161+$BN$160+$BN$159+$BN$158+$BN$157+$BN$156+$BN$155+$BN$154+$BN$153+$BN$152+$BN$151+$BN$150+$BN$149</f>
        <v>260</v>
      </c>
      <c r="BO166" s="387"/>
      <c r="BP166" s="388">
        <f>+$BP$165+$BP$164+$BP$163+$BP$162+$BP$161+$BP$160+$BP$159+$BP$158+$BP$157+$BP$156+$BP$155+$BP$154+$BP$153+$BP$152+$BP$151+$BP$150+$BP$149</f>
        <v>320</v>
      </c>
      <c r="BQ166" s="414">
        <f t="shared" si="166"/>
        <v>1888</v>
      </c>
      <c r="BR166" s="387"/>
      <c r="BS166" s="388">
        <f>+$BS$165+$BS$164+$BS$163+$BS$162+$BS$161+$BS$160+$BS$159+$BS$158+$BS$157+$BS$156+$BS$155+$BS$154+$BS$153+$BS$152+$BS$151+$BS$150+$BS$149</f>
        <v>332</v>
      </c>
      <c r="BT166" s="387"/>
      <c r="BU166" s="388">
        <f>+$BU$165+$BU$164+$BU$163+$BU$162+$BU$161+$BU$160+$BU$159+$BU$158+$BU$157+$BU$156+$BU$155+$BU$154+$BU$153+$BU$152+$BU$151+$BU$150+$BU$149</f>
        <v>336</v>
      </c>
      <c r="BV166" s="387"/>
      <c r="BW166" s="388">
        <f>+$BW$165+$BW$164+$BW$163+$BW$162+$BW$161+$BW$160+$BW$159+$BW$158+$BW$157+$BW$156+$BW$155+$BW$154+$BW$153+$BW$152+$BW$151+$BW$150+$BW$149</f>
        <v>260</v>
      </c>
      <c r="BX166" s="387"/>
      <c r="BY166" s="388">
        <f>+$BY$165+$BY$164+$BY$163+$BY$162+$BY$161+$BY$160+$BY$159+$BY$158+$BY$157+$BY$156+$BY$155+$BY$154+$BY$153+$BY$152+$BY$151+$BY$150+$BY$149</f>
        <v>328</v>
      </c>
      <c r="BZ166" s="387"/>
      <c r="CA166" s="388">
        <f>+$CA$165+$CA$164+$CA$163+$CA$162+$CA$161+$CA$160+$CA$159+$CA$158+$CA$157+$CA$156+$CA$155+$CA$154+$CA$153+$CA$152+$CA$151+$CA$150+$CA$149</f>
        <v>260</v>
      </c>
      <c r="CB166" s="387"/>
      <c r="CC166" s="388">
        <f>+$CC$165+$CC$164+$CC$163+$CC$162+$CC$161+$CC$160+$CC$159+$CC$158+$CC$157+$CC$156+$CC$155+$CC$154+$CC$153+$CC$152+$CC$151+$CC$150+$CC$149</f>
        <v>130</v>
      </c>
      <c r="CD166" s="414">
        <f t="shared" si="167"/>
        <v>1646</v>
      </c>
      <c r="CE166" s="387"/>
      <c r="CF166" s="388">
        <f>+$CF$165+$CF$164+$CF$163+$CF$162+$CF$161+$CF$160+$CF$159+$CF$158+$CF$157+$CF$156+$CF$155+$CF$154+$CF$153+$CF$152+$CF$151+$CF$150+$CF$149</f>
        <v>252</v>
      </c>
      <c r="CG166" s="387"/>
      <c r="CH166" s="388">
        <f>+$CH$165+$CH$164+$CH$163+$CH$162+$CH$161+$CH$160+$CH$159+$CH$158+$CH$157+$CH$156+$CH$155+$CH$154+$CH$153+$CH$152+$CH$151+$CH$150+$CH$149</f>
        <v>336</v>
      </c>
      <c r="CI166" s="387"/>
      <c r="CJ166" s="388">
        <f>+$CJ$165+$CJ$164+$CJ$163+$CJ$162+$CJ$161+$CJ$160+$CJ$159+$CJ$158+$CJ$157+$CJ$156+$CJ$155+$CJ$154+$CJ$153+$CJ$152+$CJ$151+$CJ$150+$CJ$149</f>
        <v>345</v>
      </c>
      <c r="CK166" s="387"/>
      <c r="CL166" s="388">
        <f>+$CL$165+$CL$164+$CL$163+$CL$162+$CL$161+$CL$160+$CL$159+$CL$158+$CL$157+$CL$156+$CL$155+$CL$154+$CL$153+$CL$152+$CL$151+$CL$150+$CL$149</f>
        <v>336</v>
      </c>
      <c r="CM166" s="387"/>
      <c r="CN166" s="388">
        <f>+$CN$165+$CN$164+$CN$163+$CN$162+$CN$161+$CN$160+$CN$159+$CN$158+$CN$157+$CN$156+$CN$155+$CN$154+$CN$153+$CN$152+$CN$151+$CN$150+$CN$149</f>
        <v>336</v>
      </c>
      <c r="CO166" s="387"/>
      <c r="CP166" s="388">
        <f>+$CP$165+$CP$164+$CP$163+$CP$162+$CP$161+$CP$160+$CP$159+$CP$158+$CP$157+$CP$156+$CP$155+$CP$154+$CP$153+$CP$152+$CP$151+$CP$150+$CP$149</f>
        <v>260</v>
      </c>
      <c r="CQ166" s="414">
        <f t="shared" si="168"/>
        <v>1865</v>
      </c>
      <c r="CR166" s="387"/>
      <c r="CS166" s="388">
        <f>+$CS$165+$CS$164+$CS$163+$CS$162+$CS$161+$CS$160+$CS$159+$CS$158+$CS$157+$CS$156+$CS$155+$CS$154+$CS$153+$CS$152+$CS$151+$CS$150+$CS$149</f>
        <v>256</v>
      </c>
      <c r="CT166" s="387"/>
      <c r="CU166" s="388">
        <f>+$CU$165+$CU$164+$CU$163+$CU$162+$CU$161+$CU$160+$CU$159+$CU$158+$CU$157+$CU$156+$CU$155+$CU$154+$CU$153+$CU$152+$CU$151+$CU$150+$CU$149</f>
        <v>530</v>
      </c>
      <c r="CV166" s="387"/>
      <c r="CW166" s="388">
        <f>+$CW$165+$CW$164+$CW$163+$CW$162+$CW$161+$CW$160+$CW$159+$CW$158+$CW$157+$CW$156+$CW$155+$CW$154+$CW$153+$CW$152+$CW$151+$CW$150+$CW$149</f>
        <v>320</v>
      </c>
      <c r="CX166" s="387"/>
      <c r="CY166" s="388">
        <f>+$CY$165+$CY$164+$CY$163+$CY$162+$CY$161+$CY$160+$CY$159+$CY$158+$CY$157+$CY$156+$CY$155+$CY$154+$CY$153+$CY$152+$CY$151+$CY$150+$CY$149</f>
        <v>260</v>
      </c>
      <c r="CZ166" s="414">
        <f t="shared" si="169"/>
        <v>1366</v>
      </c>
      <c r="DA166" s="387"/>
      <c r="DB166" s="388">
        <f>+$DB$165+$DB$164+$DB$163+$DB$162+$DB$161+$DB$160+$DB$159+$DB$158+$DB$157+$DB$156+$DB$155+$DB$154+$DB$153+$DB$152+$DB$151+$DB$150+$DB$149</f>
        <v>192</v>
      </c>
      <c r="DC166" s="414">
        <f t="shared" si="170"/>
        <v>192</v>
      </c>
      <c r="DD166" s="389">
        <f>+$U$166+$AF$166+$AQ$166+$BD$166+$BQ$166+$CD$166+$CQ$166+$CZ$166+$DC$166</f>
        <v>13781</v>
      </c>
    </row>
    <row r="167" spans="1:108" ht="17.45" customHeight="1">
      <c r="A167" s="357"/>
      <c r="B167" s="357"/>
      <c r="C167" s="357" t="s">
        <v>1236</v>
      </c>
      <c r="D167" s="357"/>
      <c r="E167" s="357"/>
      <c r="F167" s="357" t="s">
        <v>37</v>
      </c>
      <c r="G167" s="358" t="s">
        <v>1110</v>
      </c>
      <c r="H167" s="358" t="s">
        <v>1111</v>
      </c>
      <c r="I167" s="358"/>
      <c r="J167" s="395"/>
      <c r="K167" s="358"/>
      <c r="L167" s="395"/>
      <c r="M167" s="358"/>
      <c r="N167" s="395">
        <v>24</v>
      </c>
      <c r="O167" s="358"/>
      <c r="P167" s="395"/>
      <c r="Q167" s="358"/>
      <c r="R167" s="395"/>
      <c r="S167" s="358"/>
      <c r="T167" s="395"/>
      <c r="U167" s="417">
        <f t="shared" si="162"/>
        <v>24</v>
      </c>
      <c r="V167" s="358"/>
      <c r="W167" s="395"/>
      <c r="X167" s="358"/>
      <c r="Y167" s="395"/>
      <c r="Z167" s="358"/>
      <c r="AA167" s="395"/>
      <c r="AB167" s="358"/>
      <c r="AC167" s="395"/>
      <c r="AD167" s="358"/>
      <c r="AE167" s="395"/>
      <c r="AF167" s="417">
        <f t="shared" si="163"/>
        <v>0</v>
      </c>
      <c r="AG167" s="358"/>
      <c r="AH167" s="395"/>
      <c r="AI167" s="358"/>
      <c r="AJ167" s="395"/>
      <c r="AK167" s="358"/>
      <c r="AL167" s="395"/>
      <c r="AM167" s="358"/>
      <c r="AN167" s="395"/>
      <c r="AO167" s="358"/>
      <c r="AP167" s="395"/>
      <c r="AQ167" s="417">
        <f t="shared" si="164"/>
        <v>0</v>
      </c>
      <c r="AR167" s="358"/>
      <c r="AS167" s="395"/>
      <c r="AT167" s="358"/>
      <c r="AU167" s="395"/>
      <c r="AV167" s="358"/>
      <c r="AW167" s="395"/>
      <c r="AX167" s="358"/>
      <c r="AY167" s="395"/>
      <c r="AZ167" s="358"/>
      <c r="BA167" s="395"/>
      <c r="BB167" s="358"/>
      <c r="BC167" s="395"/>
      <c r="BD167" s="417">
        <f t="shared" si="165"/>
        <v>0</v>
      </c>
      <c r="BE167" s="358"/>
      <c r="BF167" s="395"/>
      <c r="BG167" s="358"/>
      <c r="BH167" s="395"/>
      <c r="BI167" s="358"/>
      <c r="BJ167" s="395"/>
      <c r="BK167" s="358"/>
      <c r="BL167" s="395"/>
      <c r="BM167" s="358"/>
      <c r="BN167" s="395"/>
      <c r="BO167" s="358"/>
      <c r="BP167" s="395"/>
      <c r="BQ167" s="417">
        <f t="shared" si="166"/>
        <v>0</v>
      </c>
      <c r="BR167" s="358"/>
      <c r="BS167" s="395"/>
      <c r="BT167" s="358"/>
      <c r="BU167" s="395"/>
      <c r="BV167" s="358"/>
      <c r="BW167" s="395"/>
      <c r="BX167" s="358"/>
      <c r="BY167" s="395"/>
      <c r="BZ167" s="358"/>
      <c r="CA167" s="395"/>
      <c r="CB167" s="358"/>
      <c r="CC167" s="395"/>
      <c r="CD167" s="417">
        <f t="shared" si="167"/>
        <v>0</v>
      </c>
      <c r="CE167" s="358"/>
      <c r="CF167" s="395"/>
      <c r="CG167" s="358"/>
      <c r="CH167" s="395"/>
      <c r="CI167" s="358"/>
      <c r="CJ167" s="395"/>
      <c r="CK167" s="358"/>
      <c r="CL167" s="395"/>
      <c r="CM167" s="358"/>
      <c r="CN167" s="395"/>
      <c r="CO167" s="358"/>
      <c r="CP167" s="395"/>
      <c r="CQ167" s="417">
        <f t="shared" si="168"/>
        <v>0</v>
      </c>
      <c r="CR167" s="358"/>
      <c r="CS167" s="395"/>
      <c r="CT167" s="358"/>
      <c r="CU167" s="395"/>
      <c r="CV167" s="358"/>
      <c r="CW167" s="395"/>
      <c r="CX167" s="358"/>
      <c r="CY167" s="395"/>
      <c r="CZ167" s="417">
        <f t="shared" si="169"/>
        <v>0</v>
      </c>
      <c r="DA167" s="358"/>
      <c r="DB167" s="395"/>
      <c r="DC167" s="417">
        <f t="shared" si="170"/>
        <v>0</v>
      </c>
      <c r="DD167" s="397">
        <f>+$U$167+$AF$167+$AQ$167+$BD$167+$BQ$167+$CD$167+$CQ$167+$CZ$167+$DC$167</f>
        <v>24</v>
      </c>
    </row>
    <row r="168" spans="1:108" ht="17.45" customHeight="1">
      <c r="A168" s="357"/>
      <c r="B168" s="357"/>
      <c r="C168" s="357"/>
      <c r="D168" s="357"/>
      <c r="E168" s="357" t="s">
        <v>36</v>
      </c>
      <c r="F168" s="357"/>
      <c r="G168" s="347" t="s">
        <v>1155</v>
      </c>
      <c r="H168" s="347" t="s">
        <v>1156</v>
      </c>
      <c r="I168" s="347"/>
      <c r="J168" s="355"/>
      <c r="K168" s="347"/>
      <c r="L168" s="355"/>
      <c r="M168" s="347"/>
      <c r="N168" s="355"/>
      <c r="O168" s="347"/>
      <c r="P168" s="355"/>
      <c r="Q168" s="347"/>
      <c r="R168" s="355"/>
      <c r="S168" s="347"/>
      <c r="T168" s="355"/>
      <c r="U168" s="414">
        <f t="shared" si="162"/>
        <v>0</v>
      </c>
      <c r="V168" s="347"/>
      <c r="W168" s="355"/>
      <c r="X168" s="347"/>
      <c r="Y168" s="355"/>
      <c r="Z168" s="347"/>
      <c r="AA168" s="355"/>
      <c r="AB168" s="347"/>
      <c r="AC168" s="355"/>
      <c r="AD168" s="347"/>
      <c r="AE168" s="355"/>
      <c r="AF168" s="414">
        <f t="shared" si="163"/>
        <v>0</v>
      </c>
      <c r="AG168" s="347"/>
      <c r="AH168" s="355"/>
      <c r="AI168" s="347"/>
      <c r="AJ168" s="355"/>
      <c r="AK168" s="347"/>
      <c r="AL168" s="355"/>
      <c r="AM168" s="347"/>
      <c r="AN168" s="355"/>
      <c r="AO168" s="347"/>
      <c r="AP168" s="355"/>
      <c r="AQ168" s="414">
        <f t="shared" si="164"/>
        <v>0</v>
      </c>
      <c r="AR168" s="347"/>
      <c r="AS168" s="355"/>
      <c r="AT168" s="347"/>
      <c r="AU168" s="355"/>
      <c r="AV168" s="347"/>
      <c r="AW168" s="355"/>
      <c r="AX168" s="347"/>
      <c r="AY168" s="355"/>
      <c r="AZ168" s="347"/>
      <c r="BA168" s="355"/>
      <c r="BB168" s="347"/>
      <c r="BC168" s="355"/>
      <c r="BD168" s="414">
        <f t="shared" si="165"/>
        <v>0</v>
      </c>
      <c r="BE168" s="347"/>
      <c r="BF168" s="355"/>
      <c r="BG168" s="347"/>
      <c r="BH168" s="355"/>
      <c r="BI168" s="347"/>
      <c r="BJ168" s="355"/>
      <c r="BK168" s="347"/>
      <c r="BL168" s="355"/>
      <c r="BM168" s="347"/>
      <c r="BN168" s="355"/>
      <c r="BO168" s="347"/>
      <c r="BP168" s="355"/>
      <c r="BQ168" s="414">
        <f t="shared" si="166"/>
        <v>0</v>
      </c>
      <c r="BR168" s="347"/>
      <c r="BS168" s="355"/>
      <c r="BT168" s="347"/>
      <c r="BU168" s="355"/>
      <c r="BV168" s="347"/>
      <c r="BW168" s="355"/>
      <c r="BX168" s="347"/>
      <c r="BY168" s="355"/>
      <c r="BZ168" s="347"/>
      <c r="CA168" s="355"/>
      <c r="CB168" s="347"/>
      <c r="CC168" s="355"/>
      <c r="CD168" s="414">
        <f t="shared" si="167"/>
        <v>0</v>
      </c>
      <c r="CE168" s="347"/>
      <c r="CF168" s="355">
        <v>252</v>
      </c>
      <c r="CG168" s="347"/>
      <c r="CH168" s="355">
        <v>25</v>
      </c>
      <c r="CI168" s="347"/>
      <c r="CJ168" s="355"/>
      <c r="CK168" s="347"/>
      <c r="CL168" s="355"/>
      <c r="CM168" s="347"/>
      <c r="CN168" s="355"/>
      <c r="CO168" s="347"/>
      <c r="CP168" s="355"/>
      <c r="CQ168" s="414">
        <f t="shared" si="168"/>
        <v>277</v>
      </c>
      <c r="CR168" s="347"/>
      <c r="CS168" s="355">
        <v>168</v>
      </c>
      <c r="CT168" s="347"/>
      <c r="CU168" s="355"/>
      <c r="CV168" s="347"/>
      <c r="CW168" s="355"/>
      <c r="CX168" s="347"/>
      <c r="CY168" s="355"/>
      <c r="CZ168" s="414">
        <f t="shared" si="169"/>
        <v>168</v>
      </c>
      <c r="DA168" s="347"/>
      <c r="DB168" s="355">
        <v>186</v>
      </c>
      <c r="DC168" s="414">
        <f t="shared" si="170"/>
        <v>186</v>
      </c>
      <c r="DD168" s="356">
        <f>+$U$168+$AF$168+$AQ$168+$BD$168+$BQ$168+$CD$168+$CQ$168+$CZ$168+$DC$168</f>
        <v>631</v>
      </c>
    </row>
    <row r="169" spans="1:108" ht="17.45" customHeight="1">
      <c r="A169" s="357"/>
      <c r="B169" s="357"/>
      <c r="C169" s="357"/>
      <c r="D169" s="357"/>
      <c r="E169" s="357"/>
      <c r="F169" s="357"/>
      <c r="G169" s="347" t="s">
        <v>1119</v>
      </c>
      <c r="H169" s="347" t="s">
        <v>1120</v>
      </c>
      <c r="I169" s="347"/>
      <c r="J169" s="355"/>
      <c r="K169" s="347"/>
      <c r="L169" s="355"/>
      <c r="M169" s="347"/>
      <c r="N169" s="355"/>
      <c r="O169" s="347"/>
      <c r="P169" s="355"/>
      <c r="Q169" s="347"/>
      <c r="R169" s="355"/>
      <c r="S169" s="347"/>
      <c r="T169" s="355">
        <v>82</v>
      </c>
      <c r="U169" s="414">
        <f t="shared" si="162"/>
        <v>82</v>
      </c>
      <c r="V169" s="347"/>
      <c r="W169" s="355"/>
      <c r="X169" s="347"/>
      <c r="Y169" s="355"/>
      <c r="Z169" s="347"/>
      <c r="AA169" s="355">
        <v>78</v>
      </c>
      <c r="AB169" s="347"/>
      <c r="AC169" s="355">
        <v>100</v>
      </c>
      <c r="AD169" s="347"/>
      <c r="AE169" s="355">
        <v>58</v>
      </c>
      <c r="AF169" s="414">
        <f t="shared" si="163"/>
        <v>236</v>
      </c>
      <c r="AG169" s="347"/>
      <c r="AH169" s="355">
        <v>84</v>
      </c>
      <c r="AI169" s="347"/>
      <c r="AJ169" s="355">
        <v>63</v>
      </c>
      <c r="AK169" s="347"/>
      <c r="AL169" s="355">
        <v>107</v>
      </c>
      <c r="AM169" s="347"/>
      <c r="AN169" s="355">
        <v>58</v>
      </c>
      <c r="AO169" s="347"/>
      <c r="AP169" s="355">
        <v>60</v>
      </c>
      <c r="AQ169" s="414">
        <f t="shared" si="164"/>
        <v>372</v>
      </c>
      <c r="AR169" s="347"/>
      <c r="AS169" s="355">
        <v>42</v>
      </c>
      <c r="AT169" s="347"/>
      <c r="AU169" s="355">
        <v>50</v>
      </c>
      <c r="AV169" s="347"/>
      <c r="AW169" s="355">
        <v>3</v>
      </c>
      <c r="AX169" s="347"/>
      <c r="AY169" s="355">
        <v>17</v>
      </c>
      <c r="AZ169" s="347"/>
      <c r="BA169" s="355">
        <v>91</v>
      </c>
      <c r="BB169" s="347"/>
      <c r="BC169" s="355">
        <v>90</v>
      </c>
      <c r="BD169" s="414">
        <f t="shared" si="165"/>
        <v>293</v>
      </c>
      <c r="BE169" s="347"/>
      <c r="BF169" s="355">
        <v>166</v>
      </c>
      <c r="BG169" s="347"/>
      <c r="BH169" s="355">
        <v>77</v>
      </c>
      <c r="BI169" s="347"/>
      <c r="BJ169" s="355">
        <v>80</v>
      </c>
      <c r="BK169" s="347"/>
      <c r="BL169" s="355"/>
      <c r="BM169" s="347"/>
      <c r="BN169" s="355"/>
      <c r="BO169" s="347"/>
      <c r="BP169" s="355"/>
      <c r="BQ169" s="414">
        <f t="shared" si="166"/>
        <v>323</v>
      </c>
      <c r="BR169" s="347"/>
      <c r="BS169" s="355">
        <v>100</v>
      </c>
      <c r="BT169" s="347"/>
      <c r="BU169" s="355">
        <v>67</v>
      </c>
      <c r="BV169" s="347"/>
      <c r="BW169" s="355">
        <v>60</v>
      </c>
      <c r="BX169" s="347"/>
      <c r="BY169" s="355">
        <v>135</v>
      </c>
      <c r="BZ169" s="347"/>
      <c r="CA169" s="355">
        <v>120</v>
      </c>
      <c r="CB169" s="347"/>
      <c r="CC169" s="355"/>
      <c r="CD169" s="414">
        <f t="shared" si="167"/>
        <v>482</v>
      </c>
      <c r="CE169" s="347"/>
      <c r="CF169" s="355"/>
      <c r="CG169" s="347"/>
      <c r="CH169" s="355">
        <v>311</v>
      </c>
      <c r="CI169" s="347"/>
      <c r="CJ169" s="355">
        <v>277</v>
      </c>
      <c r="CK169" s="347"/>
      <c r="CL169" s="355"/>
      <c r="CM169" s="347"/>
      <c r="CN169" s="355"/>
      <c r="CO169" s="347"/>
      <c r="CP169" s="355"/>
      <c r="CQ169" s="414">
        <f t="shared" si="168"/>
        <v>588</v>
      </c>
      <c r="CR169" s="347"/>
      <c r="CS169" s="355">
        <v>88</v>
      </c>
      <c r="CT169" s="347"/>
      <c r="CU169" s="355">
        <v>320</v>
      </c>
      <c r="CV169" s="347"/>
      <c r="CW169" s="355">
        <v>17</v>
      </c>
      <c r="CX169" s="347"/>
      <c r="CY169" s="355"/>
      <c r="CZ169" s="414">
        <f t="shared" si="169"/>
        <v>425</v>
      </c>
      <c r="DA169" s="347"/>
      <c r="DB169" s="355">
        <v>6</v>
      </c>
      <c r="DC169" s="414">
        <f t="shared" si="170"/>
        <v>6</v>
      </c>
      <c r="DD169" s="356">
        <f>+$U$169+$AF$169+$AQ$169+$BD$169+$BQ$169+$CD$169+$CQ$169+$CZ$169+$DC$169</f>
        <v>2807</v>
      </c>
    </row>
    <row r="170" spans="1:108" ht="17.45" customHeight="1">
      <c r="A170" s="357"/>
      <c r="B170" s="357"/>
      <c r="C170" s="357"/>
      <c r="D170" s="357"/>
      <c r="E170" s="357"/>
      <c r="F170" s="357"/>
      <c r="G170" s="347" t="s">
        <v>1121</v>
      </c>
      <c r="H170" s="347" t="s">
        <v>1122</v>
      </c>
      <c r="I170" s="347"/>
      <c r="J170" s="355"/>
      <c r="K170" s="347"/>
      <c r="L170" s="355"/>
      <c r="M170" s="347"/>
      <c r="N170" s="355"/>
      <c r="O170" s="347"/>
      <c r="P170" s="355">
        <v>40</v>
      </c>
      <c r="Q170" s="347"/>
      <c r="R170" s="355">
        <v>44</v>
      </c>
      <c r="S170" s="347"/>
      <c r="T170" s="355"/>
      <c r="U170" s="414">
        <f t="shared" si="162"/>
        <v>84</v>
      </c>
      <c r="V170" s="347"/>
      <c r="W170" s="355"/>
      <c r="X170" s="347"/>
      <c r="Y170" s="355"/>
      <c r="Z170" s="347"/>
      <c r="AA170" s="355">
        <v>73</v>
      </c>
      <c r="AB170" s="347"/>
      <c r="AC170" s="355"/>
      <c r="AD170" s="347"/>
      <c r="AE170" s="355"/>
      <c r="AF170" s="414">
        <f t="shared" si="163"/>
        <v>73</v>
      </c>
      <c r="AG170" s="347"/>
      <c r="AH170" s="355"/>
      <c r="AI170" s="347"/>
      <c r="AJ170" s="355"/>
      <c r="AK170" s="347"/>
      <c r="AL170" s="355">
        <v>58</v>
      </c>
      <c r="AM170" s="347"/>
      <c r="AN170" s="355"/>
      <c r="AO170" s="347"/>
      <c r="AP170" s="355"/>
      <c r="AQ170" s="414">
        <f t="shared" si="164"/>
        <v>58</v>
      </c>
      <c r="AR170" s="347"/>
      <c r="AS170" s="355"/>
      <c r="AT170" s="347"/>
      <c r="AU170" s="355">
        <v>41</v>
      </c>
      <c r="AV170" s="347"/>
      <c r="AW170" s="355"/>
      <c r="AX170" s="347"/>
      <c r="AY170" s="355"/>
      <c r="AZ170" s="347"/>
      <c r="BA170" s="355"/>
      <c r="BB170" s="347"/>
      <c r="BC170" s="355"/>
      <c r="BD170" s="414">
        <f t="shared" si="165"/>
        <v>41</v>
      </c>
      <c r="BE170" s="347"/>
      <c r="BF170" s="355"/>
      <c r="BG170" s="347"/>
      <c r="BH170" s="355"/>
      <c r="BI170" s="347"/>
      <c r="BJ170" s="355"/>
      <c r="BK170" s="347"/>
      <c r="BL170" s="355"/>
      <c r="BM170" s="347"/>
      <c r="BN170" s="355"/>
      <c r="BO170" s="347"/>
      <c r="BP170" s="355">
        <v>24</v>
      </c>
      <c r="BQ170" s="414">
        <f t="shared" si="166"/>
        <v>24</v>
      </c>
      <c r="BR170" s="347"/>
      <c r="BS170" s="355"/>
      <c r="BT170" s="347"/>
      <c r="BU170" s="355"/>
      <c r="BV170" s="347"/>
      <c r="BW170" s="355">
        <v>28</v>
      </c>
      <c r="BX170" s="347"/>
      <c r="BY170" s="355"/>
      <c r="BZ170" s="347"/>
      <c r="CA170" s="355"/>
      <c r="CB170" s="347"/>
      <c r="CC170" s="355"/>
      <c r="CD170" s="414">
        <f t="shared" si="167"/>
        <v>28</v>
      </c>
      <c r="CE170" s="347"/>
      <c r="CF170" s="355"/>
      <c r="CG170" s="347"/>
      <c r="CH170" s="355"/>
      <c r="CI170" s="347"/>
      <c r="CJ170" s="355">
        <v>51</v>
      </c>
      <c r="CK170" s="347"/>
      <c r="CL170" s="355"/>
      <c r="CM170" s="347"/>
      <c r="CN170" s="355"/>
      <c r="CO170" s="347"/>
      <c r="CP170" s="355"/>
      <c r="CQ170" s="414">
        <f t="shared" si="168"/>
        <v>51</v>
      </c>
      <c r="CR170" s="347"/>
      <c r="CS170" s="355"/>
      <c r="CT170" s="347"/>
      <c r="CU170" s="355"/>
      <c r="CV170" s="347"/>
      <c r="CW170" s="355">
        <v>38</v>
      </c>
      <c r="CX170" s="347"/>
      <c r="CY170" s="355"/>
      <c r="CZ170" s="414">
        <f t="shared" si="169"/>
        <v>38</v>
      </c>
      <c r="DA170" s="347"/>
      <c r="DB170" s="355"/>
      <c r="DC170" s="414">
        <f t="shared" si="170"/>
        <v>0</v>
      </c>
      <c r="DD170" s="356">
        <f>+$U$170+$AF$170+$AQ$170+$BD$170+$BQ$170+$CD$170+$CQ$170+$CZ$170+$DC$170</f>
        <v>397</v>
      </c>
    </row>
    <row r="171" spans="1:108" ht="17.45" customHeight="1">
      <c r="A171" s="357"/>
      <c r="B171" s="357"/>
      <c r="C171" s="357"/>
      <c r="D171" s="357"/>
      <c r="E171" s="357"/>
      <c r="F171" s="357"/>
      <c r="G171" s="347" t="s">
        <v>1179</v>
      </c>
      <c r="H171" s="347" t="s">
        <v>1201</v>
      </c>
      <c r="I171" s="347"/>
      <c r="J171" s="355"/>
      <c r="K171" s="347"/>
      <c r="L171" s="355">
        <v>9</v>
      </c>
      <c r="M171" s="347"/>
      <c r="N171" s="355"/>
      <c r="O171" s="347"/>
      <c r="P171" s="355"/>
      <c r="Q171" s="347"/>
      <c r="R171" s="355"/>
      <c r="S171" s="347"/>
      <c r="T171" s="355"/>
      <c r="U171" s="414">
        <f t="shared" si="162"/>
        <v>9</v>
      </c>
      <c r="V171" s="347"/>
      <c r="W171" s="355"/>
      <c r="X171" s="347"/>
      <c r="Y171" s="355"/>
      <c r="Z171" s="347"/>
      <c r="AA171" s="355"/>
      <c r="AB171" s="347"/>
      <c r="AC171" s="355"/>
      <c r="AD171" s="347"/>
      <c r="AE171" s="355"/>
      <c r="AF171" s="414">
        <f t="shared" si="163"/>
        <v>0</v>
      </c>
      <c r="AG171" s="347"/>
      <c r="AH171" s="355"/>
      <c r="AI171" s="347"/>
      <c r="AJ171" s="355"/>
      <c r="AK171" s="347"/>
      <c r="AL171" s="355">
        <v>47</v>
      </c>
      <c r="AM171" s="347"/>
      <c r="AN171" s="355"/>
      <c r="AO171" s="347"/>
      <c r="AP171" s="355"/>
      <c r="AQ171" s="414">
        <f t="shared" si="164"/>
        <v>47</v>
      </c>
      <c r="AR171" s="347"/>
      <c r="AS171" s="355"/>
      <c r="AT171" s="347"/>
      <c r="AU171" s="355">
        <v>60</v>
      </c>
      <c r="AV171" s="347"/>
      <c r="AW171" s="355">
        <v>50</v>
      </c>
      <c r="AX171" s="347"/>
      <c r="AY171" s="355"/>
      <c r="AZ171" s="347"/>
      <c r="BA171" s="355"/>
      <c r="BB171" s="347"/>
      <c r="BC171" s="355"/>
      <c r="BD171" s="414">
        <f t="shared" si="165"/>
        <v>110</v>
      </c>
      <c r="BE171" s="347"/>
      <c r="BF171" s="355"/>
      <c r="BG171" s="347"/>
      <c r="BH171" s="355">
        <v>24</v>
      </c>
      <c r="BI171" s="347"/>
      <c r="BJ171" s="355"/>
      <c r="BK171" s="347"/>
      <c r="BL171" s="355"/>
      <c r="BM171" s="347"/>
      <c r="BN171" s="355"/>
      <c r="BO171" s="347"/>
      <c r="BP171" s="355"/>
      <c r="BQ171" s="414">
        <f t="shared" si="166"/>
        <v>24</v>
      </c>
      <c r="BR171" s="347"/>
      <c r="BS171" s="355"/>
      <c r="BT171" s="347"/>
      <c r="BU171" s="355">
        <v>42</v>
      </c>
      <c r="BV171" s="347"/>
      <c r="BW171" s="355"/>
      <c r="BX171" s="347"/>
      <c r="BY171" s="355"/>
      <c r="BZ171" s="347"/>
      <c r="CA171" s="355"/>
      <c r="CB171" s="347"/>
      <c r="CC171" s="355"/>
      <c r="CD171" s="414">
        <f t="shared" si="167"/>
        <v>42</v>
      </c>
      <c r="CE171" s="347"/>
      <c r="CF171" s="355"/>
      <c r="CG171" s="347"/>
      <c r="CH171" s="355"/>
      <c r="CI171" s="347"/>
      <c r="CJ171" s="355">
        <v>8</v>
      </c>
      <c r="CK171" s="347"/>
      <c r="CL171" s="355">
        <v>56</v>
      </c>
      <c r="CM171" s="347"/>
      <c r="CN171" s="355"/>
      <c r="CO171" s="347"/>
      <c r="CP171" s="355"/>
      <c r="CQ171" s="414">
        <f t="shared" si="168"/>
        <v>64</v>
      </c>
      <c r="CR171" s="347"/>
      <c r="CS171" s="355"/>
      <c r="CT171" s="347"/>
      <c r="CU171" s="355"/>
      <c r="CV171" s="347"/>
      <c r="CW171" s="355">
        <v>14</v>
      </c>
      <c r="CX171" s="347"/>
      <c r="CY171" s="355"/>
      <c r="CZ171" s="414">
        <f t="shared" si="169"/>
        <v>14</v>
      </c>
      <c r="DA171" s="347"/>
      <c r="DB171" s="355"/>
      <c r="DC171" s="414">
        <f t="shared" si="170"/>
        <v>0</v>
      </c>
      <c r="DD171" s="356">
        <f>+$U$171+$AF$171+$AQ$171+$BD$171+$BQ$171+$CD$171+$CQ$171+$CZ$171+$DC$171</f>
        <v>310</v>
      </c>
    </row>
    <row r="172" spans="1:108" ht="17.45" customHeight="1">
      <c r="A172" s="357"/>
      <c r="B172" s="357"/>
      <c r="C172" s="357"/>
      <c r="D172" s="357"/>
      <c r="E172" s="357"/>
      <c r="F172" s="357" t="s">
        <v>37</v>
      </c>
      <c r="G172" s="347" t="s">
        <v>1187</v>
      </c>
      <c r="H172" s="347" t="s">
        <v>1209</v>
      </c>
      <c r="I172" s="347"/>
      <c r="J172" s="355">
        <v>11</v>
      </c>
      <c r="K172" s="347"/>
      <c r="L172" s="355"/>
      <c r="M172" s="347"/>
      <c r="N172" s="355"/>
      <c r="O172" s="347"/>
      <c r="P172" s="355"/>
      <c r="Q172" s="347"/>
      <c r="R172" s="355"/>
      <c r="S172" s="347"/>
      <c r="T172" s="355"/>
      <c r="U172" s="414">
        <f t="shared" si="162"/>
        <v>11</v>
      </c>
      <c r="V172" s="347"/>
      <c r="W172" s="355">
        <v>56</v>
      </c>
      <c r="X172" s="347"/>
      <c r="Y172" s="355"/>
      <c r="Z172" s="347"/>
      <c r="AA172" s="355"/>
      <c r="AB172" s="347"/>
      <c r="AC172" s="355"/>
      <c r="AD172" s="347"/>
      <c r="AE172" s="355"/>
      <c r="AF172" s="414">
        <f t="shared" si="163"/>
        <v>56</v>
      </c>
      <c r="AG172" s="347"/>
      <c r="AH172" s="355">
        <v>9</v>
      </c>
      <c r="AI172" s="347"/>
      <c r="AJ172" s="355"/>
      <c r="AK172" s="347"/>
      <c r="AL172" s="355"/>
      <c r="AM172" s="347"/>
      <c r="AN172" s="355"/>
      <c r="AO172" s="347"/>
      <c r="AP172" s="355"/>
      <c r="AQ172" s="414">
        <f t="shared" si="164"/>
        <v>9</v>
      </c>
      <c r="AR172" s="347"/>
      <c r="AS172" s="355"/>
      <c r="AT172" s="347"/>
      <c r="AU172" s="355">
        <v>37</v>
      </c>
      <c r="AV172" s="347"/>
      <c r="AW172" s="355"/>
      <c r="AX172" s="347"/>
      <c r="AY172" s="355"/>
      <c r="AZ172" s="347"/>
      <c r="BA172" s="355"/>
      <c r="BB172" s="347"/>
      <c r="BC172" s="355"/>
      <c r="BD172" s="414">
        <f t="shared" si="165"/>
        <v>37</v>
      </c>
      <c r="BE172" s="347"/>
      <c r="BF172" s="355"/>
      <c r="BG172" s="347"/>
      <c r="BH172" s="355">
        <v>28</v>
      </c>
      <c r="BI172" s="347"/>
      <c r="BJ172" s="355">
        <v>52</v>
      </c>
      <c r="BK172" s="347"/>
      <c r="BL172" s="355"/>
      <c r="BM172" s="347"/>
      <c r="BN172" s="355"/>
      <c r="BO172" s="347"/>
      <c r="BP172" s="355"/>
      <c r="BQ172" s="414">
        <f t="shared" si="166"/>
        <v>80</v>
      </c>
      <c r="BR172" s="347"/>
      <c r="BS172" s="355">
        <v>5</v>
      </c>
      <c r="BT172" s="347"/>
      <c r="BU172" s="355"/>
      <c r="BV172" s="347"/>
      <c r="BW172" s="355"/>
      <c r="BX172" s="347"/>
      <c r="BY172" s="355"/>
      <c r="BZ172" s="347"/>
      <c r="CA172" s="355"/>
      <c r="CB172" s="347"/>
      <c r="CC172" s="355"/>
      <c r="CD172" s="414">
        <f t="shared" si="167"/>
        <v>5</v>
      </c>
      <c r="CE172" s="347"/>
      <c r="CF172" s="355"/>
      <c r="CG172" s="347"/>
      <c r="CH172" s="355"/>
      <c r="CI172" s="347"/>
      <c r="CJ172" s="355"/>
      <c r="CK172" s="347"/>
      <c r="CL172" s="355">
        <v>21</v>
      </c>
      <c r="CM172" s="347"/>
      <c r="CN172" s="355"/>
      <c r="CO172" s="347"/>
      <c r="CP172" s="355"/>
      <c r="CQ172" s="414">
        <f t="shared" si="168"/>
        <v>21</v>
      </c>
      <c r="CR172" s="347"/>
      <c r="CS172" s="355"/>
      <c r="CT172" s="347"/>
      <c r="CU172" s="355"/>
      <c r="CV172" s="347"/>
      <c r="CW172" s="355">
        <v>20</v>
      </c>
      <c r="CX172" s="347"/>
      <c r="CY172" s="355"/>
      <c r="CZ172" s="414">
        <f t="shared" si="169"/>
        <v>20</v>
      </c>
      <c r="DA172" s="347"/>
      <c r="DB172" s="355"/>
      <c r="DC172" s="414">
        <f t="shared" si="170"/>
        <v>0</v>
      </c>
      <c r="DD172" s="356">
        <f>+$U$172+$AF$172+$AQ$172+$BD$172+$BQ$172+$CD$172+$CQ$172+$CZ$172+$DC$172</f>
        <v>239</v>
      </c>
    </row>
    <row r="173" spans="1:108" ht="17.45" customHeight="1">
      <c r="A173" s="357"/>
      <c r="B173" s="357"/>
      <c r="C173" s="357"/>
      <c r="D173" s="357"/>
      <c r="E173" s="357" t="s">
        <v>36</v>
      </c>
      <c r="F173" s="357"/>
      <c r="G173" s="347" t="s">
        <v>1123</v>
      </c>
      <c r="H173" s="347" t="s">
        <v>1124</v>
      </c>
      <c r="I173" s="347"/>
      <c r="J173" s="355"/>
      <c r="K173" s="347"/>
      <c r="L173" s="355"/>
      <c r="M173" s="347"/>
      <c r="N173" s="355"/>
      <c r="O173" s="347"/>
      <c r="P173" s="355"/>
      <c r="Q173" s="347"/>
      <c r="R173" s="355"/>
      <c r="S173" s="347"/>
      <c r="T173" s="355"/>
      <c r="U173" s="414">
        <f t="shared" si="162"/>
        <v>0</v>
      </c>
      <c r="V173" s="347"/>
      <c r="W173" s="355"/>
      <c r="X173" s="347"/>
      <c r="Y173" s="355"/>
      <c r="Z173" s="347"/>
      <c r="AA173" s="355"/>
      <c r="AB173" s="347"/>
      <c r="AC173" s="355"/>
      <c r="AD173" s="347"/>
      <c r="AE173" s="355"/>
      <c r="AF173" s="414">
        <f t="shared" si="163"/>
        <v>0</v>
      </c>
      <c r="AG173" s="347"/>
      <c r="AH173" s="355"/>
      <c r="AI173" s="347"/>
      <c r="AJ173" s="355"/>
      <c r="AK173" s="347"/>
      <c r="AL173" s="355"/>
      <c r="AM173" s="347"/>
      <c r="AN173" s="355"/>
      <c r="AO173" s="347"/>
      <c r="AP173" s="355"/>
      <c r="AQ173" s="414">
        <f t="shared" si="164"/>
        <v>0</v>
      </c>
      <c r="AR173" s="347"/>
      <c r="AS173" s="355"/>
      <c r="AT173" s="347"/>
      <c r="AU173" s="355"/>
      <c r="AV173" s="347"/>
      <c r="AW173" s="355"/>
      <c r="AX173" s="347"/>
      <c r="AY173" s="355"/>
      <c r="AZ173" s="347"/>
      <c r="BA173" s="355"/>
      <c r="BB173" s="347"/>
      <c r="BC173" s="355"/>
      <c r="BD173" s="414">
        <f t="shared" si="165"/>
        <v>0</v>
      </c>
      <c r="BE173" s="347"/>
      <c r="BF173" s="355"/>
      <c r="BG173" s="347"/>
      <c r="BH173" s="355"/>
      <c r="BI173" s="347"/>
      <c r="BJ173" s="355"/>
      <c r="BK173" s="347"/>
      <c r="BL173" s="355"/>
      <c r="BM173" s="347"/>
      <c r="BN173" s="355"/>
      <c r="BO173" s="347"/>
      <c r="BP173" s="355"/>
      <c r="BQ173" s="414">
        <f t="shared" si="166"/>
        <v>0</v>
      </c>
      <c r="BR173" s="347"/>
      <c r="BS173" s="355"/>
      <c r="BT173" s="347"/>
      <c r="BU173" s="355"/>
      <c r="BV173" s="347"/>
      <c r="BW173" s="355"/>
      <c r="BX173" s="347"/>
      <c r="BY173" s="355"/>
      <c r="BZ173" s="347"/>
      <c r="CA173" s="355"/>
      <c r="CB173" s="347"/>
      <c r="CC173" s="355"/>
      <c r="CD173" s="414">
        <f t="shared" si="167"/>
        <v>0</v>
      </c>
      <c r="CE173" s="347"/>
      <c r="CF173" s="355"/>
      <c r="CG173" s="347"/>
      <c r="CH173" s="355"/>
      <c r="CI173" s="347"/>
      <c r="CJ173" s="355"/>
      <c r="CK173" s="347"/>
      <c r="CL173" s="355">
        <v>97</v>
      </c>
      <c r="CM173" s="347"/>
      <c r="CN173" s="355"/>
      <c r="CO173" s="347"/>
      <c r="CP173" s="355"/>
      <c r="CQ173" s="414">
        <f t="shared" si="168"/>
        <v>97</v>
      </c>
      <c r="CR173" s="347"/>
      <c r="CS173" s="355"/>
      <c r="CT173" s="347"/>
      <c r="CU173" s="355"/>
      <c r="CV173" s="347"/>
      <c r="CW173" s="355">
        <v>49</v>
      </c>
      <c r="CX173" s="347"/>
      <c r="CY173" s="355"/>
      <c r="CZ173" s="414">
        <f t="shared" si="169"/>
        <v>49</v>
      </c>
      <c r="DA173" s="347"/>
      <c r="DB173" s="355"/>
      <c r="DC173" s="414">
        <f t="shared" si="170"/>
        <v>0</v>
      </c>
      <c r="DD173" s="356">
        <f>+$U$173+$AF$173+$AQ$173+$BD$173+$BQ$173+$CD$173+$CQ$173+$CZ$173+$DC$173</f>
        <v>146</v>
      </c>
    </row>
    <row r="174" spans="1:108" ht="17.45" customHeight="1">
      <c r="A174" s="357"/>
      <c r="B174" s="357"/>
      <c r="C174" s="357"/>
      <c r="D174" s="357"/>
      <c r="E174" s="357" t="s">
        <v>36</v>
      </c>
      <c r="F174" s="357"/>
      <c r="G174" s="347" t="s">
        <v>1157</v>
      </c>
      <c r="H174" s="347" t="s">
        <v>1158</v>
      </c>
      <c r="I174" s="347"/>
      <c r="J174" s="355"/>
      <c r="K174" s="347"/>
      <c r="L174" s="355"/>
      <c r="M174" s="347"/>
      <c r="N174" s="355"/>
      <c r="O174" s="347"/>
      <c r="P174" s="355"/>
      <c r="Q174" s="347"/>
      <c r="R174" s="355"/>
      <c r="S174" s="347"/>
      <c r="T174" s="355"/>
      <c r="U174" s="414">
        <f t="shared" si="162"/>
        <v>0</v>
      </c>
      <c r="V174" s="347"/>
      <c r="W174" s="355"/>
      <c r="X174" s="347"/>
      <c r="Y174" s="355"/>
      <c r="Z174" s="347"/>
      <c r="AA174" s="355"/>
      <c r="AB174" s="347"/>
      <c r="AC174" s="355"/>
      <c r="AD174" s="347"/>
      <c r="AE174" s="355"/>
      <c r="AF174" s="414">
        <f t="shared" si="163"/>
        <v>0</v>
      </c>
      <c r="AG174" s="347"/>
      <c r="AH174" s="355"/>
      <c r="AI174" s="347"/>
      <c r="AJ174" s="355"/>
      <c r="AK174" s="347"/>
      <c r="AL174" s="355"/>
      <c r="AM174" s="347"/>
      <c r="AN174" s="355"/>
      <c r="AO174" s="347"/>
      <c r="AP174" s="355"/>
      <c r="AQ174" s="414">
        <f t="shared" si="164"/>
        <v>0</v>
      </c>
      <c r="AR174" s="347"/>
      <c r="AS174" s="355"/>
      <c r="AT174" s="347"/>
      <c r="AU174" s="355"/>
      <c r="AV174" s="347"/>
      <c r="AW174" s="355"/>
      <c r="AX174" s="347"/>
      <c r="AY174" s="355"/>
      <c r="AZ174" s="347"/>
      <c r="BA174" s="355"/>
      <c r="BB174" s="347"/>
      <c r="BC174" s="355"/>
      <c r="BD174" s="414">
        <f t="shared" si="165"/>
        <v>0</v>
      </c>
      <c r="BE174" s="347"/>
      <c r="BF174" s="355"/>
      <c r="BG174" s="347"/>
      <c r="BH174" s="355"/>
      <c r="BI174" s="347"/>
      <c r="BJ174" s="355"/>
      <c r="BK174" s="347"/>
      <c r="BL174" s="355"/>
      <c r="BM174" s="347"/>
      <c r="BN174" s="355"/>
      <c r="BO174" s="347"/>
      <c r="BP174" s="355"/>
      <c r="BQ174" s="414">
        <f t="shared" si="166"/>
        <v>0</v>
      </c>
      <c r="BR174" s="347"/>
      <c r="BS174" s="355"/>
      <c r="BT174" s="347"/>
      <c r="BU174" s="355"/>
      <c r="BV174" s="347"/>
      <c r="BW174" s="355"/>
      <c r="BX174" s="347"/>
      <c r="BY174" s="355"/>
      <c r="BZ174" s="347"/>
      <c r="CA174" s="355"/>
      <c r="CB174" s="347"/>
      <c r="CC174" s="355"/>
      <c r="CD174" s="414">
        <f t="shared" si="167"/>
        <v>0</v>
      </c>
      <c r="CE174" s="347"/>
      <c r="CF174" s="355"/>
      <c r="CG174" s="347"/>
      <c r="CH174" s="355"/>
      <c r="CI174" s="347"/>
      <c r="CJ174" s="355"/>
      <c r="CK174" s="347"/>
      <c r="CL174" s="355">
        <v>162</v>
      </c>
      <c r="CM174" s="347"/>
      <c r="CN174" s="355">
        <v>247</v>
      </c>
      <c r="CO174" s="347"/>
      <c r="CP174" s="355"/>
      <c r="CQ174" s="414">
        <f t="shared" si="168"/>
        <v>409</v>
      </c>
      <c r="CR174" s="347"/>
      <c r="CS174" s="355"/>
      <c r="CT174" s="347"/>
      <c r="CU174" s="355"/>
      <c r="CV174" s="347"/>
      <c r="CW174" s="355">
        <v>182</v>
      </c>
      <c r="CX174" s="347"/>
      <c r="CY174" s="355">
        <v>60</v>
      </c>
      <c r="CZ174" s="414">
        <f t="shared" si="169"/>
        <v>242</v>
      </c>
      <c r="DA174" s="347"/>
      <c r="DB174" s="355"/>
      <c r="DC174" s="414">
        <f t="shared" si="170"/>
        <v>0</v>
      </c>
      <c r="DD174" s="356">
        <f>+$U$174+$AF$174+$AQ$174+$BD$174+$BQ$174+$CD$174+$CQ$174+$CZ$174+$DC$174</f>
        <v>651</v>
      </c>
    </row>
    <row r="175" spans="1:108" ht="17.45" customHeight="1">
      <c r="A175" s="357"/>
      <c r="B175" s="357"/>
      <c r="C175" s="357"/>
      <c r="D175" s="357"/>
      <c r="E175" s="357" t="s">
        <v>36</v>
      </c>
      <c r="F175" s="357"/>
      <c r="G175" s="347" t="s">
        <v>1125</v>
      </c>
      <c r="H175" s="347" t="s">
        <v>1126</v>
      </c>
      <c r="I175" s="347"/>
      <c r="J175" s="355"/>
      <c r="K175" s="347"/>
      <c r="L175" s="355"/>
      <c r="M175" s="347"/>
      <c r="N175" s="355"/>
      <c r="O175" s="347"/>
      <c r="P175" s="355"/>
      <c r="Q175" s="347"/>
      <c r="R175" s="355"/>
      <c r="S175" s="347"/>
      <c r="T175" s="355"/>
      <c r="U175" s="414">
        <f t="shared" si="162"/>
        <v>0</v>
      </c>
      <c r="V175" s="347"/>
      <c r="W175" s="355"/>
      <c r="X175" s="347"/>
      <c r="Y175" s="355"/>
      <c r="Z175" s="347"/>
      <c r="AA175" s="355"/>
      <c r="AB175" s="347"/>
      <c r="AC175" s="355"/>
      <c r="AD175" s="347"/>
      <c r="AE175" s="355"/>
      <c r="AF175" s="414">
        <f t="shared" si="163"/>
        <v>0</v>
      </c>
      <c r="AG175" s="347"/>
      <c r="AH175" s="355"/>
      <c r="AI175" s="347"/>
      <c r="AJ175" s="355"/>
      <c r="AK175" s="347"/>
      <c r="AL175" s="355"/>
      <c r="AM175" s="347"/>
      <c r="AN175" s="355"/>
      <c r="AO175" s="347"/>
      <c r="AP175" s="355"/>
      <c r="AQ175" s="414">
        <f t="shared" si="164"/>
        <v>0</v>
      </c>
      <c r="AR175" s="347"/>
      <c r="AS175" s="355"/>
      <c r="AT175" s="347"/>
      <c r="AU175" s="355"/>
      <c r="AV175" s="347"/>
      <c r="AW175" s="355"/>
      <c r="AX175" s="347"/>
      <c r="AY175" s="355"/>
      <c r="AZ175" s="347"/>
      <c r="BA175" s="355"/>
      <c r="BB175" s="347"/>
      <c r="BC175" s="355"/>
      <c r="BD175" s="414">
        <f t="shared" si="165"/>
        <v>0</v>
      </c>
      <c r="BE175" s="347"/>
      <c r="BF175" s="355"/>
      <c r="BG175" s="347"/>
      <c r="BH175" s="355"/>
      <c r="BI175" s="347"/>
      <c r="BJ175" s="355"/>
      <c r="BK175" s="347"/>
      <c r="BL175" s="355"/>
      <c r="BM175" s="347"/>
      <c r="BN175" s="355"/>
      <c r="BO175" s="347"/>
      <c r="BP175" s="355"/>
      <c r="BQ175" s="414">
        <f t="shared" si="166"/>
        <v>0</v>
      </c>
      <c r="BR175" s="347"/>
      <c r="BS175" s="355"/>
      <c r="BT175" s="347"/>
      <c r="BU175" s="355"/>
      <c r="BV175" s="347"/>
      <c r="BW175" s="355"/>
      <c r="BX175" s="347"/>
      <c r="BY175" s="355"/>
      <c r="BZ175" s="347"/>
      <c r="CA175" s="355"/>
      <c r="CB175" s="347"/>
      <c r="CC175" s="355"/>
      <c r="CD175" s="414">
        <f t="shared" si="167"/>
        <v>0</v>
      </c>
      <c r="CE175" s="347"/>
      <c r="CF175" s="355"/>
      <c r="CG175" s="347"/>
      <c r="CH175" s="355"/>
      <c r="CI175" s="347"/>
      <c r="CJ175" s="355"/>
      <c r="CK175" s="347"/>
      <c r="CL175" s="355"/>
      <c r="CM175" s="347"/>
      <c r="CN175" s="355">
        <v>1</v>
      </c>
      <c r="CO175" s="347"/>
      <c r="CP175" s="355"/>
      <c r="CQ175" s="414">
        <f t="shared" si="168"/>
        <v>1</v>
      </c>
      <c r="CR175" s="347"/>
      <c r="CS175" s="355"/>
      <c r="CT175" s="347"/>
      <c r="CU175" s="355"/>
      <c r="CV175" s="347"/>
      <c r="CW175" s="355"/>
      <c r="CX175" s="347"/>
      <c r="CY175" s="355"/>
      <c r="CZ175" s="414">
        <f t="shared" si="169"/>
        <v>0</v>
      </c>
      <c r="DA175" s="347"/>
      <c r="DB175" s="355"/>
      <c r="DC175" s="414">
        <f t="shared" si="170"/>
        <v>0</v>
      </c>
      <c r="DD175" s="356">
        <f>+$U$175+$AF$175+$AQ$175+$BD$175+$BQ$175+$CD$175+$CQ$175+$CZ$175+$DC$175</f>
        <v>1</v>
      </c>
    </row>
    <row r="176" spans="1:108" ht="17.45" customHeight="1">
      <c r="A176" s="357"/>
      <c r="B176" s="357"/>
      <c r="C176" s="357"/>
      <c r="D176" s="357"/>
      <c r="E176" s="357"/>
      <c r="F176" s="357"/>
      <c r="G176" s="347" t="s">
        <v>1127</v>
      </c>
      <c r="H176" s="347" t="s">
        <v>1128</v>
      </c>
      <c r="I176" s="347"/>
      <c r="J176" s="355">
        <v>45</v>
      </c>
      <c r="K176" s="347"/>
      <c r="L176" s="355">
        <v>11</v>
      </c>
      <c r="M176" s="347"/>
      <c r="N176" s="355">
        <v>125</v>
      </c>
      <c r="O176" s="347"/>
      <c r="P176" s="355"/>
      <c r="Q176" s="347"/>
      <c r="R176" s="355"/>
      <c r="S176" s="347"/>
      <c r="T176" s="355">
        <v>14</v>
      </c>
      <c r="U176" s="414">
        <f t="shared" ref="U176:U191" si="171">SUM(J176:T176)</f>
        <v>195</v>
      </c>
      <c r="V176" s="347"/>
      <c r="W176" s="355">
        <v>28</v>
      </c>
      <c r="X176" s="347"/>
      <c r="Y176" s="355">
        <v>164</v>
      </c>
      <c r="Z176" s="347"/>
      <c r="AA176" s="355"/>
      <c r="AB176" s="347"/>
      <c r="AC176" s="355"/>
      <c r="AD176" s="347"/>
      <c r="AE176" s="355"/>
      <c r="AF176" s="414">
        <f t="shared" ref="AF176:AF191" si="172">SUM(W176:AE176)</f>
        <v>192</v>
      </c>
      <c r="AG176" s="347"/>
      <c r="AH176" s="355"/>
      <c r="AI176" s="347"/>
      <c r="AJ176" s="355"/>
      <c r="AK176" s="347"/>
      <c r="AL176" s="355">
        <v>13</v>
      </c>
      <c r="AM176" s="347"/>
      <c r="AN176" s="355">
        <v>91</v>
      </c>
      <c r="AO176" s="347"/>
      <c r="AP176" s="355">
        <v>165</v>
      </c>
      <c r="AQ176" s="414">
        <f t="shared" ref="AQ176:AQ191" si="173">SUM(AH176:AP176)</f>
        <v>269</v>
      </c>
      <c r="AR176" s="347"/>
      <c r="AS176" s="355">
        <v>69</v>
      </c>
      <c r="AT176" s="347"/>
      <c r="AU176" s="355">
        <v>35</v>
      </c>
      <c r="AV176" s="347"/>
      <c r="AW176" s="355"/>
      <c r="AX176" s="347"/>
      <c r="AY176" s="355">
        <v>78</v>
      </c>
      <c r="AZ176" s="347"/>
      <c r="BA176" s="355"/>
      <c r="BB176" s="347"/>
      <c r="BC176" s="355"/>
      <c r="BD176" s="414">
        <f t="shared" ref="BD176:BD191" si="174">SUM(AS176:BC176)</f>
        <v>182</v>
      </c>
      <c r="BE176" s="347"/>
      <c r="BF176" s="355">
        <v>65</v>
      </c>
      <c r="BG176" s="347"/>
      <c r="BH176" s="355"/>
      <c r="BI176" s="347"/>
      <c r="BJ176" s="355"/>
      <c r="BK176" s="347"/>
      <c r="BL176" s="355"/>
      <c r="BM176" s="347"/>
      <c r="BN176" s="355"/>
      <c r="BO176" s="347"/>
      <c r="BP176" s="355">
        <v>3</v>
      </c>
      <c r="BQ176" s="414">
        <f t="shared" ref="BQ176:BQ191" si="175">SUM(BF176:BP176)</f>
        <v>68</v>
      </c>
      <c r="BR176" s="347"/>
      <c r="BS176" s="355"/>
      <c r="BT176" s="347"/>
      <c r="BU176" s="355"/>
      <c r="BV176" s="347"/>
      <c r="BW176" s="355">
        <v>86</v>
      </c>
      <c r="BX176" s="347"/>
      <c r="BY176" s="355"/>
      <c r="BZ176" s="347"/>
      <c r="CA176" s="355"/>
      <c r="CB176" s="347"/>
      <c r="CC176" s="355"/>
      <c r="CD176" s="414">
        <f t="shared" ref="CD176:CD191" si="176">SUM(BS176:CC176)</f>
        <v>86</v>
      </c>
      <c r="CE176" s="347"/>
      <c r="CF176" s="355"/>
      <c r="CG176" s="347"/>
      <c r="CH176" s="355"/>
      <c r="CI176" s="347"/>
      <c r="CJ176" s="355"/>
      <c r="CK176" s="347"/>
      <c r="CL176" s="355"/>
      <c r="CM176" s="347"/>
      <c r="CN176" s="355">
        <v>88</v>
      </c>
      <c r="CO176" s="347"/>
      <c r="CP176" s="355">
        <v>260</v>
      </c>
      <c r="CQ176" s="414">
        <f t="shared" ref="CQ176:CQ191" si="177">SUM(CF176:CP176)</f>
        <v>348</v>
      </c>
      <c r="CR176" s="347"/>
      <c r="CS176" s="355"/>
      <c r="CT176" s="347"/>
      <c r="CU176" s="355"/>
      <c r="CV176" s="347"/>
      <c r="CW176" s="355"/>
      <c r="CX176" s="347"/>
      <c r="CY176" s="355">
        <v>200</v>
      </c>
      <c r="CZ176" s="414">
        <f t="shared" ref="CZ176:CZ191" si="178">SUM(CS176:CY176)</f>
        <v>200</v>
      </c>
      <c r="DA176" s="347"/>
      <c r="DB176" s="355"/>
      <c r="DC176" s="414">
        <f t="shared" ref="DC176:DC191" si="179">SUM(DB176:DB176)</f>
        <v>0</v>
      </c>
      <c r="DD176" s="356">
        <f>+$U$176+$AF$176+$AQ$176+$BD$176+$BQ$176+$CD$176+$CQ$176+$CZ$176+$DC$176</f>
        <v>1540</v>
      </c>
    </row>
    <row r="177" spans="1:108" ht="17.45" customHeight="1">
      <c r="A177" s="357"/>
      <c r="B177" s="357"/>
      <c r="C177" s="357"/>
      <c r="D177" s="357"/>
      <c r="E177" s="357"/>
      <c r="F177" s="357"/>
      <c r="G177" s="347" t="s">
        <v>1129</v>
      </c>
      <c r="H177" s="347" t="s">
        <v>1130</v>
      </c>
      <c r="I177" s="347"/>
      <c r="J177" s="355"/>
      <c r="K177" s="347"/>
      <c r="L177" s="355"/>
      <c r="M177" s="347"/>
      <c r="N177" s="355"/>
      <c r="O177" s="347"/>
      <c r="P177" s="355">
        <v>50</v>
      </c>
      <c r="Q177" s="347"/>
      <c r="R177" s="355">
        <v>19</v>
      </c>
      <c r="S177" s="347"/>
      <c r="T177" s="355"/>
      <c r="U177" s="414">
        <f t="shared" si="171"/>
        <v>69</v>
      </c>
      <c r="V177" s="347"/>
      <c r="W177" s="355"/>
      <c r="X177" s="347"/>
      <c r="Y177" s="355"/>
      <c r="Z177" s="347"/>
      <c r="AA177" s="355"/>
      <c r="AB177" s="347"/>
      <c r="AC177" s="355"/>
      <c r="AD177" s="347"/>
      <c r="AE177" s="355"/>
      <c r="AF177" s="414">
        <f t="shared" si="172"/>
        <v>0</v>
      </c>
      <c r="AG177" s="347"/>
      <c r="AH177" s="355"/>
      <c r="AI177" s="347"/>
      <c r="AJ177" s="355"/>
      <c r="AK177" s="347"/>
      <c r="AL177" s="355"/>
      <c r="AM177" s="347"/>
      <c r="AN177" s="355"/>
      <c r="AO177" s="347"/>
      <c r="AP177" s="355"/>
      <c r="AQ177" s="414">
        <f t="shared" si="173"/>
        <v>0</v>
      </c>
      <c r="AR177" s="347"/>
      <c r="AS177" s="355"/>
      <c r="AT177" s="347"/>
      <c r="AU177" s="355"/>
      <c r="AV177" s="347"/>
      <c r="AW177" s="355"/>
      <c r="AX177" s="347"/>
      <c r="AY177" s="355">
        <v>22</v>
      </c>
      <c r="AZ177" s="347"/>
      <c r="BA177" s="355"/>
      <c r="BB177" s="347"/>
      <c r="BC177" s="355"/>
      <c r="BD177" s="414">
        <f t="shared" si="174"/>
        <v>22</v>
      </c>
      <c r="BE177" s="347"/>
      <c r="BF177" s="355"/>
      <c r="BG177" s="347"/>
      <c r="BH177" s="355"/>
      <c r="BI177" s="347"/>
      <c r="BJ177" s="355"/>
      <c r="BK177" s="347"/>
      <c r="BL177" s="355"/>
      <c r="BM177" s="347"/>
      <c r="BN177" s="355"/>
      <c r="BO177" s="347"/>
      <c r="BP177" s="355"/>
      <c r="BQ177" s="414">
        <f t="shared" si="175"/>
        <v>0</v>
      </c>
      <c r="BR177" s="347"/>
      <c r="BS177" s="355"/>
      <c r="BT177" s="347"/>
      <c r="BU177" s="355"/>
      <c r="BV177" s="347"/>
      <c r="BW177" s="355"/>
      <c r="BX177" s="347"/>
      <c r="BY177" s="355"/>
      <c r="BZ177" s="347"/>
      <c r="CA177" s="355"/>
      <c r="CB177" s="347"/>
      <c r="CC177" s="355"/>
      <c r="CD177" s="414">
        <f t="shared" si="176"/>
        <v>0</v>
      </c>
      <c r="CE177" s="347"/>
      <c r="CF177" s="355"/>
      <c r="CG177" s="347"/>
      <c r="CH177" s="355"/>
      <c r="CI177" s="347"/>
      <c r="CJ177" s="355"/>
      <c r="CK177" s="347"/>
      <c r="CL177" s="355"/>
      <c r="CM177" s="347"/>
      <c r="CN177" s="355"/>
      <c r="CO177" s="347"/>
      <c r="CP177" s="355"/>
      <c r="CQ177" s="414">
        <f t="shared" si="177"/>
        <v>0</v>
      </c>
      <c r="CR177" s="347"/>
      <c r="CS177" s="355"/>
      <c r="CT177" s="347"/>
      <c r="CU177" s="355"/>
      <c r="CV177" s="347"/>
      <c r="CW177" s="355"/>
      <c r="CX177" s="347"/>
      <c r="CY177" s="355"/>
      <c r="CZ177" s="414">
        <f t="shared" si="178"/>
        <v>0</v>
      </c>
      <c r="DA177" s="347"/>
      <c r="DB177" s="355"/>
      <c r="DC177" s="414">
        <f t="shared" si="179"/>
        <v>0</v>
      </c>
      <c r="DD177" s="356">
        <f>+$U$177+$AF$177+$AQ$177+$BD$177+$BQ$177+$CD$177+$CQ$177+$CZ$177+$DC$177</f>
        <v>91</v>
      </c>
    </row>
    <row r="178" spans="1:108" ht="17.45" customHeight="1">
      <c r="A178" s="357"/>
      <c r="B178" s="357"/>
      <c r="C178" s="357"/>
      <c r="D178" s="357"/>
      <c r="E178" s="357"/>
      <c r="F178" s="357"/>
      <c r="G178" s="347" t="s">
        <v>1182</v>
      </c>
      <c r="H178" s="347" t="s">
        <v>1204</v>
      </c>
      <c r="I178" s="347"/>
      <c r="J178" s="355"/>
      <c r="K178" s="347"/>
      <c r="L178" s="355"/>
      <c r="M178" s="347"/>
      <c r="N178" s="355"/>
      <c r="O178" s="347"/>
      <c r="P178" s="355"/>
      <c r="Q178" s="347"/>
      <c r="R178" s="355"/>
      <c r="S178" s="347"/>
      <c r="T178" s="355"/>
      <c r="U178" s="414">
        <f t="shared" si="171"/>
        <v>0</v>
      </c>
      <c r="V178" s="347"/>
      <c r="W178" s="355"/>
      <c r="X178" s="347"/>
      <c r="Y178" s="355"/>
      <c r="Z178" s="347"/>
      <c r="AA178" s="355"/>
      <c r="AB178" s="347"/>
      <c r="AC178" s="355"/>
      <c r="AD178" s="347"/>
      <c r="AE178" s="355"/>
      <c r="AF178" s="414">
        <f t="shared" si="172"/>
        <v>0</v>
      </c>
      <c r="AG178" s="347"/>
      <c r="AH178" s="355"/>
      <c r="AI178" s="347"/>
      <c r="AJ178" s="355"/>
      <c r="AK178" s="347"/>
      <c r="AL178" s="355"/>
      <c r="AM178" s="347"/>
      <c r="AN178" s="355"/>
      <c r="AO178" s="347"/>
      <c r="AP178" s="355"/>
      <c r="AQ178" s="414">
        <f t="shared" si="173"/>
        <v>0</v>
      </c>
      <c r="AR178" s="347"/>
      <c r="AS178" s="355"/>
      <c r="AT178" s="347"/>
      <c r="AU178" s="355"/>
      <c r="AV178" s="347"/>
      <c r="AW178" s="355">
        <v>50</v>
      </c>
      <c r="AX178" s="347"/>
      <c r="AY178" s="355">
        <v>54</v>
      </c>
      <c r="AZ178" s="347"/>
      <c r="BA178" s="355"/>
      <c r="BB178" s="347"/>
      <c r="BC178" s="355"/>
      <c r="BD178" s="414">
        <f t="shared" si="174"/>
        <v>104</v>
      </c>
      <c r="BE178" s="347"/>
      <c r="BF178" s="355"/>
      <c r="BG178" s="347"/>
      <c r="BH178" s="355"/>
      <c r="BI178" s="347"/>
      <c r="BJ178" s="355"/>
      <c r="BK178" s="347"/>
      <c r="BL178" s="355"/>
      <c r="BM178" s="347"/>
      <c r="BN178" s="355"/>
      <c r="BO178" s="347"/>
      <c r="BP178" s="355"/>
      <c r="BQ178" s="414">
        <f t="shared" si="175"/>
        <v>0</v>
      </c>
      <c r="BR178" s="347"/>
      <c r="BS178" s="355"/>
      <c r="BT178" s="347"/>
      <c r="BU178" s="355"/>
      <c r="BV178" s="347"/>
      <c r="BW178" s="355"/>
      <c r="BX178" s="347"/>
      <c r="BY178" s="355"/>
      <c r="BZ178" s="347"/>
      <c r="CA178" s="355"/>
      <c r="CB178" s="347"/>
      <c r="CC178" s="355"/>
      <c r="CD178" s="414">
        <f t="shared" si="176"/>
        <v>0</v>
      </c>
      <c r="CE178" s="347"/>
      <c r="CF178" s="355"/>
      <c r="CG178" s="347"/>
      <c r="CH178" s="355"/>
      <c r="CI178" s="347"/>
      <c r="CJ178" s="355"/>
      <c r="CK178" s="347"/>
      <c r="CL178" s="355"/>
      <c r="CM178" s="347"/>
      <c r="CN178" s="355"/>
      <c r="CO178" s="347"/>
      <c r="CP178" s="355"/>
      <c r="CQ178" s="414">
        <f t="shared" si="177"/>
        <v>0</v>
      </c>
      <c r="CR178" s="347"/>
      <c r="CS178" s="355"/>
      <c r="CT178" s="347"/>
      <c r="CU178" s="355"/>
      <c r="CV178" s="347"/>
      <c r="CW178" s="355"/>
      <c r="CX178" s="347"/>
      <c r="CY178" s="355"/>
      <c r="CZ178" s="414">
        <f t="shared" si="178"/>
        <v>0</v>
      </c>
      <c r="DA178" s="347"/>
      <c r="DB178" s="355"/>
      <c r="DC178" s="414">
        <f t="shared" si="179"/>
        <v>0</v>
      </c>
      <c r="DD178" s="356">
        <f>+$U$178+$AF$178+$AQ$178+$BD$178+$BQ$178+$CD$178+$CQ$178+$CZ$178+$DC$178</f>
        <v>104</v>
      </c>
    </row>
    <row r="179" spans="1:108" ht="17.45" customHeight="1">
      <c r="A179" s="357"/>
      <c r="B179" s="357"/>
      <c r="C179" s="357"/>
      <c r="D179" s="357"/>
      <c r="E179" s="357"/>
      <c r="F179" s="357" t="s">
        <v>37</v>
      </c>
      <c r="G179" s="347" t="s">
        <v>1180</v>
      </c>
      <c r="H179" s="347" t="s">
        <v>1202</v>
      </c>
      <c r="I179" s="347"/>
      <c r="J179" s="355">
        <v>80</v>
      </c>
      <c r="K179" s="347"/>
      <c r="L179" s="355">
        <v>80</v>
      </c>
      <c r="M179" s="347"/>
      <c r="N179" s="355">
        <v>80</v>
      </c>
      <c r="O179" s="347"/>
      <c r="P179" s="355">
        <v>63</v>
      </c>
      <c r="Q179" s="347"/>
      <c r="R179" s="355"/>
      <c r="S179" s="347"/>
      <c r="T179" s="355"/>
      <c r="U179" s="414">
        <f t="shared" si="171"/>
        <v>303</v>
      </c>
      <c r="V179" s="347"/>
      <c r="W179" s="355">
        <v>86</v>
      </c>
      <c r="X179" s="347"/>
      <c r="Y179" s="355">
        <v>164</v>
      </c>
      <c r="Z179" s="347"/>
      <c r="AA179" s="355">
        <v>86</v>
      </c>
      <c r="AB179" s="347"/>
      <c r="AC179" s="355"/>
      <c r="AD179" s="347"/>
      <c r="AE179" s="355"/>
      <c r="AF179" s="414">
        <f t="shared" si="172"/>
        <v>336</v>
      </c>
      <c r="AG179" s="347"/>
      <c r="AH179" s="355"/>
      <c r="AI179" s="347"/>
      <c r="AJ179" s="355"/>
      <c r="AK179" s="347"/>
      <c r="AL179" s="355"/>
      <c r="AM179" s="347"/>
      <c r="AN179" s="355"/>
      <c r="AO179" s="347"/>
      <c r="AP179" s="355"/>
      <c r="AQ179" s="414">
        <f t="shared" si="173"/>
        <v>0</v>
      </c>
      <c r="AR179" s="347"/>
      <c r="AS179" s="355"/>
      <c r="AT179" s="347"/>
      <c r="AU179" s="355"/>
      <c r="AV179" s="347"/>
      <c r="AW179" s="355"/>
      <c r="AX179" s="347"/>
      <c r="AY179" s="355"/>
      <c r="AZ179" s="347"/>
      <c r="BA179" s="355"/>
      <c r="BB179" s="347"/>
      <c r="BC179" s="355"/>
      <c r="BD179" s="414">
        <f t="shared" si="174"/>
        <v>0</v>
      </c>
      <c r="BE179" s="347"/>
      <c r="BF179" s="355">
        <v>85</v>
      </c>
      <c r="BG179" s="347"/>
      <c r="BH179" s="355">
        <v>85</v>
      </c>
      <c r="BI179" s="347"/>
      <c r="BJ179" s="355">
        <v>85</v>
      </c>
      <c r="BK179" s="347"/>
      <c r="BL179" s="355">
        <v>85</v>
      </c>
      <c r="BM179" s="347"/>
      <c r="BN179" s="355">
        <v>118</v>
      </c>
      <c r="BO179" s="347"/>
      <c r="BP179" s="355">
        <v>42</v>
      </c>
      <c r="BQ179" s="414">
        <f t="shared" si="175"/>
        <v>500</v>
      </c>
      <c r="BR179" s="347"/>
      <c r="BS179" s="355"/>
      <c r="BT179" s="347"/>
      <c r="BU179" s="355"/>
      <c r="BV179" s="347"/>
      <c r="BW179" s="355">
        <v>11</v>
      </c>
      <c r="BX179" s="347"/>
      <c r="BY179" s="355"/>
      <c r="BZ179" s="347"/>
      <c r="CA179" s="355"/>
      <c r="CB179" s="347"/>
      <c r="CC179" s="355"/>
      <c r="CD179" s="414">
        <f t="shared" si="176"/>
        <v>11</v>
      </c>
      <c r="CE179" s="347"/>
      <c r="CF179" s="355"/>
      <c r="CG179" s="347"/>
      <c r="CH179" s="355"/>
      <c r="CI179" s="347"/>
      <c r="CJ179" s="355"/>
      <c r="CK179" s="347"/>
      <c r="CL179" s="355"/>
      <c r="CM179" s="347"/>
      <c r="CN179" s="355"/>
      <c r="CO179" s="347"/>
      <c r="CP179" s="355"/>
      <c r="CQ179" s="414">
        <f t="shared" si="177"/>
        <v>0</v>
      </c>
      <c r="CR179" s="347"/>
      <c r="CS179" s="355"/>
      <c r="CT179" s="347"/>
      <c r="CU179" s="355"/>
      <c r="CV179" s="347"/>
      <c r="CW179" s="355"/>
      <c r="CX179" s="347"/>
      <c r="CY179" s="355"/>
      <c r="CZ179" s="414">
        <f t="shared" si="178"/>
        <v>0</v>
      </c>
      <c r="DA179" s="347"/>
      <c r="DB179" s="355"/>
      <c r="DC179" s="414">
        <f t="shared" si="179"/>
        <v>0</v>
      </c>
      <c r="DD179" s="356">
        <f>+$U$179+$AF$179+$AQ$179+$BD$179+$BQ$179+$CD$179+$CQ$179+$CZ$179+$DC$179</f>
        <v>1150</v>
      </c>
    </row>
    <row r="180" spans="1:108" ht="17.45" customHeight="1">
      <c r="A180" s="357"/>
      <c r="B180" s="357"/>
      <c r="C180" s="357"/>
      <c r="D180" s="357"/>
      <c r="E180" s="357"/>
      <c r="F180" s="357" t="s">
        <v>37</v>
      </c>
      <c r="G180" s="347" t="s">
        <v>1131</v>
      </c>
      <c r="H180" s="347" t="s">
        <v>1132</v>
      </c>
      <c r="I180" s="347"/>
      <c r="J180" s="355">
        <v>87</v>
      </c>
      <c r="K180" s="347"/>
      <c r="L180" s="355">
        <v>131</v>
      </c>
      <c r="M180" s="347"/>
      <c r="N180" s="355">
        <v>107</v>
      </c>
      <c r="O180" s="347"/>
      <c r="P180" s="355">
        <v>111</v>
      </c>
      <c r="Q180" s="347"/>
      <c r="R180" s="355">
        <v>171</v>
      </c>
      <c r="S180" s="347"/>
      <c r="T180" s="355">
        <v>170</v>
      </c>
      <c r="U180" s="414">
        <f t="shared" si="171"/>
        <v>777</v>
      </c>
      <c r="V180" s="347"/>
      <c r="W180" s="355"/>
      <c r="X180" s="347"/>
      <c r="Y180" s="355"/>
      <c r="Z180" s="347"/>
      <c r="AA180" s="355"/>
      <c r="AB180" s="347"/>
      <c r="AC180" s="355">
        <v>102</v>
      </c>
      <c r="AD180" s="347"/>
      <c r="AE180" s="355">
        <v>170</v>
      </c>
      <c r="AF180" s="414">
        <f t="shared" si="172"/>
        <v>272</v>
      </c>
      <c r="AG180" s="347"/>
      <c r="AH180" s="355">
        <v>103</v>
      </c>
      <c r="AI180" s="347"/>
      <c r="AJ180" s="355">
        <v>111</v>
      </c>
      <c r="AK180" s="347"/>
      <c r="AL180" s="355">
        <v>111</v>
      </c>
      <c r="AM180" s="347"/>
      <c r="AN180" s="355">
        <v>111</v>
      </c>
      <c r="AO180" s="347"/>
      <c r="AP180" s="355">
        <v>111</v>
      </c>
      <c r="AQ180" s="414">
        <f t="shared" si="173"/>
        <v>547</v>
      </c>
      <c r="AR180" s="347"/>
      <c r="AS180" s="355">
        <v>145</v>
      </c>
      <c r="AT180" s="347"/>
      <c r="AU180" s="355">
        <v>109</v>
      </c>
      <c r="AV180" s="347"/>
      <c r="AW180" s="355">
        <v>233</v>
      </c>
      <c r="AX180" s="347"/>
      <c r="AY180" s="355">
        <v>165</v>
      </c>
      <c r="AZ180" s="347"/>
      <c r="BA180" s="355">
        <v>245</v>
      </c>
      <c r="BB180" s="347"/>
      <c r="BC180" s="355">
        <v>164</v>
      </c>
      <c r="BD180" s="414">
        <f t="shared" si="174"/>
        <v>1061</v>
      </c>
      <c r="BE180" s="347"/>
      <c r="BF180" s="355"/>
      <c r="BG180" s="347"/>
      <c r="BH180" s="355"/>
      <c r="BI180" s="347"/>
      <c r="BJ180" s="355"/>
      <c r="BK180" s="347"/>
      <c r="BL180" s="355">
        <v>100</v>
      </c>
      <c r="BM180" s="347"/>
      <c r="BN180" s="355">
        <v>129</v>
      </c>
      <c r="BO180" s="347"/>
      <c r="BP180" s="355">
        <v>183</v>
      </c>
      <c r="BQ180" s="414">
        <f t="shared" si="175"/>
        <v>412</v>
      </c>
      <c r="BR180" s="347"/>
      <c r="BS180" s="355">
        <v>67</v>
      </c>
      <c r="BT180" s="347"/>
      <c r="BU180" s="355">
        <v>71</v>
      </c>
      <c r="BV180" s="347"/>
      <c r="BW180" s="355">
        <v>75</v>
      </c>
      <c r="BX180" s="347"/>
      <c r="BY180" s="355">
        <v>112</v>
      </c>
      <c r="BZ180" s="347"/>
      <c r="CA180" s="355">
        <v>140</v>
      </c>
      <c r="CB180" s="347"/>
      <c r="CC180" s="355">
        <v>130</v>
      </c>
      <c r="CD180" s="414">
        <f t="shared" si="176"/>
        <v>595</v>
      </c>
      <c r="CE180" s="347"/>
      <c r="CF180" s="355"/>
      <c r="CG180" s="347"/>
      <c r="CH180" s="355"/>
      <c r="CI180" s="347"/>
      <c r="CJ180" s="355"/>
      <c r="CK180" s="347"/>
      <c r="CL180" s="355"/>
      <c r="CM180" s="347"/>
      <c r="CN180" s="355"/>
      <c r="CO180" s="347"/>
      <c r="CP180" s="355"/>
      <c r="CQ180" s="414">
        <f t="shared" si="177"/>
        <v>0</v>
      </c>
      <c r="CR180" s="347"/>
      <c r="CS180" s="355"/>
      <c r="CT180" s="347"/>
      <c r="CU180" s="355"/>
      <c r="CV180" s="347"/>
      <c r="CW180" s="355"/>
      <c r="CX180" s="347"/>
      <c r="CY180" s="355"/>
      <c r="CZ180" s="414">
        <f t="shared" si="178"/>
        <v>0</v>
      </c>
      <c r="DA180" s="347"/>
      <c r="DB180" s="355"/>
      <c r="DC180" s="414">
        <f t="shared" si="179"/>
        <v>0</v>
      </c>
      <c r="DD180" s="356">
        <f>+$U$180+$AF$180+$AQ$180+$BD$180+$BQ$180+$CD$180+$CQ$180+$CZ$180+$DC$180</f>
        <v>3664</v>
      </c>
    </row>
    <row r="181" spans="1:108" ht="17.45" customHeight="1">
      <c r="A181" s="357"/>
      <c r="B181" s="357"/>
      <c r="C181" s="357"/>
      <c r="D181" s="357"/>
      <c r="E181" s="357"/>
      <c r="F181" s="357"/>
      <c r="G181" s="347" t="s">
        <v>1133</v>
      </c>
      <c r="H181" s="347" t="s">
        <v>1134</v>
      </c>
      <c r="I181" s="347"/>
      <c r="J181" s="355"/>
      <c r="K181" s="347"/>
      <c r="L181" s="355">
        <v>105</v>
      </c>
      <c r="M181" s="347"/>
      <c r="N181" s="355"/>
      <c r="O181" s="347"/>
      <c r="P181" s="355"/>
      <c r="Q181" s="347"/>
      <c r="R181" s="355"/>
      <c r="S181" s="347"/>
      <c r="T181" s="355"/>
      <c r="U181" s="414">
        <f t="shared" si="171"/>
        <v>105</v>
      </c>
      <c r="V181" s="347"/>
      <c r="W181" s="355"/>
      <c r="X181" s="347"/>
      <c r="Y181" s="355"/>
      <c r="Z181" s="347"/>
      <c r="AA181" s="355"/>
      <c r="AB181" s="347"/>
      <c r="AC181" s="355"/>
      <c r="AD181" s="347"/>
      <c r="AE181" s="355">
        <v>92</v>
      </c>
      <c r="AF181" s="414">
        <f t="shared" si="172"/>
        <v>92</v>
      </c>
      <c r="AG181" s="347"/>
      <c r="AH181" s="355">
        <v>32</v>
      </c>
      <c r="AI181" s="347"/>
      <c r="AJ181" s="355">
        <v>120</v>
      </c>
      <c r="AK181" s="347"/>
      <c r="AL181" s="355"/>
      <c r="AM181" s="347"/>
      <c r="AN181" s="355"/>
      <c r="AO181" s="347"/>
      <c r="AP181" s="355"/>
      <c r="AQ181" s="414">
        <f t="shared" si="173"/>
        <v>152</v>
      </c>
      <c r="AR181" s="347"/>
      <c r="AS181" s="355"/>
      <c r="AT181" s="347"/>
      <c r="AU181" s="355"/>
      <c r="AV181" s="347"/>
      <c r="AW181" s="355"/>
      <c r="AX181" s="347"/>
      <c r="AY181" s="355"/>
      <c r="AZ181" s="347"/>
      <c r="BA181" s="355"/>
      <c r="BB181" s="347"/>
      <c r="BC181" s="355"/>
      <c r="BD181" s="414">
        <f t="shared" si="174"/>
        <v>0</v>
      </c>
      <c r="BE181" s="347"/>
      <c r="BF181" s="355"/>
      <c r="BG181" s="347"/>
      <c r="BH181" s="355">
        <v>46</v>
      </c>
      <c r="BI181" s="347"/>
      <c r="BJ181" s="355"/>
      <c r="BK181" s="347"/>
      <c r="BL181" s="355">
        <v>35</v>
      </c>
      <c r="BM181" s="347"/>
      <c r="BN181" s="355"/>
      <c r="BO181" s="347"/>
      <c r="BP181" s="355"/>
      <c r="BQ181" s="414">
        <f t="shared" si="175"/>
        <v>81</v>
      </c>
      <c r="BR181" s="347"/>
      <c r="BS181" s="355">
        <v>55</v>
      </c>
      <c r="BT181" s="347"/>
      <c r="BU181" s="355">
        <v>93</v>
      </c>
      <c r="BV181" s="347"/>
      <c r="BW181" s="355"/>
      <c r="BX181" s="347"/>
      <c r="BY181" s="355"/>
      <c r="BZ181" s="347"/>
      <c r="CA181" s="355"/>
      <c r="CB181" s="347"/>
      <c r="CC181" s="355"/>
      <c r="CD181" s="414">
        <f t="shared" si="176"/>
        <v>148</v>
      </c>
      <c r="CE181" s="347"/>
      <c r="CF181" s="355"/>
      <c r="CG181" s="347"/>
      <c r="CH181" s="355"/>
      <c r="CI181" s="347"/>
      <c r="CJ181" s="355"/>
      <c r="CK181" s="347"/>
      <c r="CL181" s="355"/>
      <c r="CM181" s="347"/>
      <c r="CN181" s="355"/>
      <c r="CO181" s="347"/>
      <c r="CP181" s="355"/>
      <c r="CQ181" s="414">
        <f t="shared" si="177"/>
        <v>0</v>
      </c>
      <c r="CR181" s="347"/>
      <c r="CS181" s="355"/>
      <c r="CT181" s="347"/>
      <c r="CU181" s="355"/>
      <c r="CV181" s="347"/>
      <c r="CW181" s="355"/>
      <c r="CX181" s="347"/>
      <c r="CY181" s="355"/>
      <c r="CZ181" s="414">
        <f t="shared" si="178"/>
        <v>0</v>
      </c>
      <c r="DA181" s="347"/>
      <c r="DB181" s="355"/>
      <c r="DC181" s="414">
        <f t="shared" si="179"/>
        <v>0</v>
      </c>
      <c r="DD181" s="356">
        <f>+$U$181+$AF$181+$AQ$181+$BD$181+$BQ$181+$CD$181+$CQ$181+$CZ$181+$DC$181</f>
        <v>578</v>
      </c>
    </row>
    <row r="182" spans="1:108" ht="17.45" customHeight="1">
      <c r="A182" s="357"/>
      <c r="B182" s="357"/>
      <c r="C182" s="357"/>
      <c r="D182" s="357"/>
      <c r="E182" s="357"/>
      <c r="F182" s="357"/>
      <c r="G182" s="347" t="s">
        <v>1135</v>
      </c>
      <c r="H182" s="347" t="s">
        <v>1136</v>
      </c>
      <c r="I182" s="347"/>
      <c r="J182" s="355"/>
      <c r="K182" s="347"/>
      <c r="L182" s="355"/>
      <c r="M182" s="347"/>
      <c r="N182" s="355"/>
      <c r="O182" s="347"/>
      <c r="P182" s="355">
        <v>56</v>
      </c>
      <c r="Q182" s="347"/>
      <c r="R182" s="355">
        <v>26</v>
      </c>
      <c r="S182" s="347"/>
      <c r="T182" s="355">
        <v>54</v>
      </c>
      <c r="U182" s="414">
        <f t="shared" si="171"/>
        <v>136</v>
      </c>
      <c r="V182" s="347"/>
      <c r="W182" s="355"/>
      <c r="X182" s="347"/>
      <c r="Y182" s="355"/>
      <c r="Z182" s="347"/>
      <c r="AA182" s="355"/>
      <c r="AB182" s="347"/>
      <c r="AC182" s="355">
        <v>118</v>
      </c>
      <c r="AD182" s="347"/>
      <c r="AE182" s="355"/>
      <c r="AF182" s="414">
        <f t="shared" si="172"/>
        <v>118</v>
      </c>
      <c r="AG182" s="347"/>
      <c r="AH182" s="355">
        <v>88</v>
      </c>
      <c r="AI182" s="347"/>
      <c r="AJ182" s="355"/>
      <c r="AK182" s="347"/>
      <c r="AL182" s="355"/>
      <c r="AM182" s="347"/>
      <c r="AN182" s="355"/>
      <c r="AO182" s="347"/>
      <c r="AP182" s="355"/>
      <c r="AQ182" s="414">
        <f t="shared" si="173"/>
        <v>88</v>
      </c>
      <c r="AR182" s="347"/>
      <c r="AS182" s="355"/>
      <c r="AT182" s="347"/>
      <c r="AU182" s="355"/>
      <c r="AV182" s="347"/>
      <c r="AW182" s="355"/>
      <c r="AX182" s="347"/>
      <c r="AY182" s="355"/>
      <c r="AZ182" s="347"/>
      <c r="BA182" s="355"/>
      <c r="BB182" s="347"/>
      <c r="BC182" s="355"/>
      <c r="BD182" s="414">
        <f t="shared" si="174"/>
        <v>0</v>
      </c>
      <c r="BE182" s="347"/>
      <c r="BF182" s="355"/>
      <c r="BG182" s="347"/>
      <c r="BH182" s="355"/>
      <c r="BI182" s="347"/>
      <c r="BJ182" s="355">
        <v>43</v>
      </c>
      <c r="BK182" s="347"/>
      <c r="BL182" s="355">
        <v>47</v>
      </c>
      <c r="BM182" s="347"/>
      <c r="BN182" s="355"/>
      <c r="BO182" s="347"/>
      <c r="BP182" s="355">
        <v>27</v>
      </c>
      <c r="BQ182" s="414">
        <f t="shared" si="175"/>
        <v>117</v>
      </c>
      <c r="BR182" s="347"/>
      <c r="BS182" s="355"/>
      <c r="BT182" s="347"/>
      <c r="BU182" s="355"/>
      <c r="BV182" s="347"/>
      <c r="BW182" s="355"/>
      <c r="BX182" s="347"/>
      <c r="BY182" s="355">
        <v>81</v>
      </c>
      <c r="BZ182" s="347"/>
      <c r="CA182" s="355"/>
      <c r="CB182" s="347"/>
      <c r="CC182" s="355"/>
      <c r="CD182" s="414">
        <f t="shared" si="176"/>
        <v>81</v>
      </c>
      <c r="CE182" s="347"/>
      <c r="CF182" s="355"/>
      <c r="CG182" s="347"/>
      <c r="CH182" s="355"/>
      <c r="CI182" s="347"/>
      <c r="CJ182" s="355"/>
      <c r="CK182" s="347"/>
      <c r="CL182" s="355"/>
      <c r="CM182" s="347"/>
      <c r="CN182" s="355"/>
      <c r="CO182" s="347"/>
      <c r="CP182" s="355"/>
      <c r="CQ182" s="414">
        <f t="shared" si="177"/>
        <v>0</v>
      </c>
      <c r="CR182" s="347"/>
      <c r="CS182" s="355"/>
      <c r="CT182" s="347"/>
      <c r="CU182" s="355"/>
      <c r="CV182" s="347"/>
      <c r="CW182" s="355"/>
      <c r="CX182" s="347"/>
      <c r="CY182" s="355"/>
      <c r="CZ182" s="414">
        <f t="shared" si="178"/>
        <v>0</v>
      </c>
      <c r="DA182" s="347"/>
      <c r="DB182" s="355"/>
      <c r="DC182" s="414">
        <f t="shared" si="179"/>
        <v>0</v>
      </c>
      <c r="DD182" s="356">
        <f>+$U$182+$AF$182+$AQ$182+$BD$182+$BQ$182+$CD$182+$CQ$182+$CZ$182+$DC$182</f>
        <v>540</v>
      </c>
    </row>
    <row r="183" spans="1:108" ht="17.45" customHeight="1">
      <c r="A183" s="357"/>
      <c r="B183" s="357"/>
      <c r="C183" s="357"/>
      <c r="D183" s="357"/>
      <c r="E183" s="357"/>
      <c r="F183" s="357"/>
      <c r="G183" s="347" t="s">
        <v>1190</v>
      </c>
      <c r="H183" s="347" t="s">
        <v>1212</v>
      </c>
      <c r="I183" s="347"/>
      <c r="J183" s="355"/>
      <c r="K183" s="347"/>
      <c r="L183" s="355"/>
      <c r="M183" s="347"/>
      <c r="N183" s="355"/>
      <c r="O183" s="347"/>
      <c r="P183" s="355"/>
      <c r="Q183" s="347"/>
      <c r="R183" s="355"/>
      <c r="S183" s="347"/>
      <c r="T183" s="355"/>
      <c r="U183" s="414">
        <f t="shared" si="171"/>
        <v>0</v>
      </c>
      <c r="V183" s="347"/>
      <c r="W183" s="355"/>
      <c r="X183" s="347"/>
      <c r="Y183" s="355"/>
      <c r="Z183" s="347"/>
      <c r="AA183" s="355"/>
      <c r="AB183" s="347"/>
      <c r="AC183" s="355"/>
      <c r="AD183" s="347"/>
      <c r="AE183" s="355"/>
      <c r="AF183" s="414">
        <f t="shared" si="172"/>
        <v>0</v>
      </c>
      <c r="AG183" s="347"/>
      <c r="AH183" s="355"/>
      <c r="AI183" s="347"/>
      <c r="AJ183" s="355">
        <v>42</v>
      </c>
      <c r="AK183" s="347"/>
      <c r="AL183" s="355"/>
      <c r="AM183" s="347"/>
      <c r="AN183" s="355"/>
      <c r="AO183" s="347"/>
      <c r="AP183" s="355"/>
      <c r="AQ183" s="414">
        <f t="shared" si="173"/>
        <v>42</v>
      </c>
      <c r="AR183" s="347"/>
      <c r="AS183" s="355"/>
      <c r="AT183" s="347"/>
      <c r="AU183" s="355">
        <v>4</v>
      </c>
      <c r="AV183" s="347"/>
      <c r="AW183" s="355"/>
      <c r="AX183" s="347"/>
      <c r="AY183" s="355"/>
      <c r="AZ183" s="347"/>
      <c r="BA183" s="355"/>
      <c r="BB183" s="347"/>
      <c r="BC183" s="355"/>
      <c r="BD183" s="414">
        <f t="shared" si="174"/>
        <v>4</v>
      </c>
      <c r="BE183" s="347"/>
      <c r="BF183" s="355"/>
      <c r="BG183" s="347"/>
      <c r="BH183" s="355">
        <v>76</v>
      </c>
      <c r="BI183" s="347"/>
      <c r="BJ183" s="355"/>
      <c r="BK183" s="347"/>
      <c r="BL183" s="355"/>
      <c r="BM183" s="347"/>
      <c r="BN183" s="355"/>
      <c r="BO183" s="347"/>
      <c r="BP183" s="355"/>
      <c r="BQ183" s="414">
        <f t="shared" si="175"/>
        <v>76</v>
      </c>
      <c r="BR183" s="347"/>
      <c r="BS183" s="355">
        <v>100</v>
      </c>
      <c r="BT183" s="347"/>
      <c r="BU183" s="355">
        <v>63</v>
      </c>
      <c r="BV183" s="347"/>
      <c r="BW183" s="355"/>
      <c r="BX183" s="347"/>
      <c r="BY183" s="355"/>
      <c r="BZ183" s="347"/>
      <c r="CA183" s="355"/>
      <c r="CB183" s="347"/>
      <c r="CC183" s="355"/>
      <c r="CD183" s="414">
        <f t="shared" si="176"/>
        <v>163</v>
      </c>
      <c r="CE183" s="347"/>
      <c r="CF183" s="355"/>
      <c r="CG183" s="347"/>
      <c r="CH183" s="355"/>
      <c r="CI183" s="347"/>
      <c r="CJ183" s="355"/>
      <c r="CK183" s="347"/>
      <c r="CL183" s="355"/>
      <c r="CM183" s="347"/>
      <c r="CN183" s="355"/>
      <c r="CO183" s="347"/>
      <c r="CP183" s="355"/>
      <c r="CQ183" s="414">
        <f t="shared" si="177"/>
        <v>0</v>
      </c>
      <c r="CR183" s="347"/>
      <c r="CS183" s="355"/>
      <c r="CT183" s="347"/>
      <c r="CU183" s="355"/>
      <c r="CV183" s="347"/>
      <c r="CW183" s="355"/>
      <c r="CX183" s="347"/>
      <c r="CY183" s="355"/>
      <c r="CZ183" s="414">
        <f t="shared" si="178"/>
        <v>0</v>
      </c>
      <c r="DA183" s="347"/>
      <c r="DB183" s="355"/>
      <c r="DC183" s="414">
        <f t="shared" si="179"/>
        <v>0</v>
      </c>
      <c r="DD183" s="356">
        <f>+$U$183+$AF$183+$AQ$183+$BD$183+$BQ$183+$CD$183+$CQ$183+$CZ$183+$DC$183</f>
        <v>285</v>
      </c>
    </row>
    <row r="184" spans="1:108" ht="17.45" customHeight="1">
      <c r="A184" s="357"/>
      <c r="B184" s="357"/>
      <c r="C184" s="357"/>
      <c r="D184" s="357"/>
      <c r="E184" s="357"/>
      <c r="F184" s="357" t="s">
        <v>37</v>
      </c>
      <c r="G184" s="347" t="s">
        <v>1184</v>
      </c>
      <c r="H184" s="347" t="s">
        <v>1206</v>
      </c>
      <c r="I184" s="347"/>
      <c r="J184" s="355">
        <v>33</v>
      </c>
      <c r="K184" s="347"/>
      <c r="L184" s="355"/>
      <c r="M184" s="347"/>
      <c r="N184" s="355"/>
      <c r="O184" s="347"/>
      <c r="P184" s="355"/>
      <c r="Q184" s="347"/>
      <c r="R184" s="355"/>
      <c r="S184" s="347"/>
      <c r="T184" s="355"/>
      <c r="U184" s="414">
        <f t="shared" si="171"/>
        <v>33</v>
      </c>
      <c r="V184" s="347"/>
      <c r="W184" s="355">
        <v>86</v>
      </c>
      <c r="X184" s="347"/>
      <c r="Y184" s="355"/>
      <c r="Z184" s="347"/>
      <c r="AA184" s="355">
        <v>86</v>
      </c>
      <c r="AB184" s="347"/>
      <c r="AC184" s="355"/>
      <c r="AD184" s="347"/>
      <c r="AE184" s="355"/>
      <c r="AF184" s="414">
        <f t="shared" si="172"/>
        <v>172</v>
      </c>
      <c r="AG184" s="347"/>
      <c r="AH184" s="355"/>
      <c r="AI184" s="347"/>
      <c r="AJ184" s="355"/>
      <c r="AK184" s="347"/>
      <c r="AL184" s="355"/>
      <c r="AM184" s="347"/>
      <c r="AN184" s="355"/>
      <c r="AO184" s="347"/>
      <c r="AP184" s="355"/>
      <c r="AQ184" s="414">
        <f t="shared" si="173"/>
        <v>0</v>
      </c>
      <c r="AR184" s="347"/>
      <c r="AS184" s="355"/>
      <c r="AT184" s="347"/>
      <c r="AU184" s="355"/>
      <c r="AV184" s="347"/>
      <c r="AW184" s="355"/>
      <c r="AX184" s="347"/>
      <c r="AY184" s="355"/>
      <c r="AZ184" s="347"/>
      <c r="BA184" s="355"/>
      <c r="BB184" s="347"/>
      <c r="BC184" s="355"/>
      <c r="BD184" s="414">
        <f t="shared" si="174"/>
        <v>0</v>
      </c>
      <c r="BE184" s="347"/>
      <c r="BF184" s="355"/>
      <c r="BG184" s="347"/>
      <c r="BH184" s="355"/>
      <c r="BI184" s="347"/>
      <c r="BJ184" s="355">
        <v>76</v>
      </c>
      <c r="BK184" s="347"/>
      <c r="BL184" s="355">
        <v>53</v>
      </c>
      <c r="BM184" s="347"/>
      <c r="BN184" s="355">
        <v>13</v>
      </c>
      <c r="BO184" s="347"/>
      <c r="BP184" s="355">
        <v>41</v>
      </c>
      <c r="BQ184" s="414">
        <f t="shared" si="175"/>
        <v>183</v>
      </c>
      <c r="BR184" s="347"/>
      <c r="BS184" s="355">
        <v>5</v>
      </c>
      <c r="BT184" s="347"/>
      <c r="BU184" s="355"/>
      <c r="BV184" s="347"/>
      <c r="BW184" s="355"/>
      <c r="BX184" s="347"/>
      <c r="BY184" s="355"/>
      <c r="BZ184" s="347"/>
      <c r="CA184" s="355"/>
      <c r="CB184" s="347"/>
      <c r="CC184" s="355"/>
      <c r="CD184" s="414">
        <f t="shared" si="176"/>
        <v>5</v>
      </c>
      <c r="CE184" s="347"/>
      <c r="CF184" s="355"/>
      <c r="CG184" s="347"/>
      <c r="CH184" s="355"/>
      <c r="CI184" s="347"/>
      <c r="CJ184" s="355"/>
      <c r="CK184" s="347"/>
      <c r="CL184" s="355"/>
      <c r="CM184" s="347"/>
      <c r="CN184" s="355"/>
      <c r="CO184" s="347"/>
      <c r="CP184" s="355"/>
      <c r="CQ184" s="414">
        <f t="shared" si="177"/>
        <v>0</v>
      </c>
      <c r="CR184" s="347"/>
      <c r="CS184" s="355"/>
      <c r="CT184" s="347"/>
      <c r="CU184" s="355"/>
      <c r="CV184" s="347"/>
      <c r="CW184" s="355"/>
      <c r="CX184" s="347"/>
      <c r="CY184" s="355"/>
      <c r="CZ184" s="414">
        <f t="shared" si="178"/>
        <v>0</v>
      </c>
      <c r="DA184" s="347"/>
      <c r="DB184" s="355"/>
      <c r="DC184" s="414">
        <f t="shared" si="179"/>
        <v>0</v>
      </c>
      <c r="DD184" s="356">
        <f>+$U$184+$AF$184+$AQ$184+$BD$184+$BQ$184+$CD$184+$CQ$184+$CZ$184+$DC$184</f>
        <v>393</v>
      </c>
    </row>
    <row r="185" spans="1:108" ht="17.45" customHeight="1">
      <c r="A185" s="357"/>
      <c r="B185" s="357"/>
      <c r="C185" s="357"/>
      <c r="D185" s="357"/>
      <c r="E185" s="357"/>
      <c r="F185" s="357"/>
      <c r="G185" s="354" t="s">
        <v>1181</v>
      </c>
      <c r="H185" s="354" t="s">
        <v>1203</v>
      </c>
      <c r="I185" s="354"/>
      <c r="J185" s="391"/>
      <c r="K185" s="354"/>
      <c r="L185" s="391"/>
      <c r="M185" s="354"/>
      <c r="N185" s="391"/>
      <c r="O185" s="354"/>
      <c r="P185" s="391"/>
      <c r="Q185" s="354"/>
      <c r="R185" s="391"/>
      <c r="S185" s="354"/>
      <c r="T185" s="391"/>
      <c r="U185" s="416">
        <f t="shared" si="171"/>
        <v>0</v>
      </c>
      <c r="V185" s="354"/>
      <c r="W185" s="391"/>
      <c r="X185" s="354"/>
      <c r="Y185" s="391"/>
      <c r="Z185" s="354"/>
      <c r="AA185" s="391">
        <v>13</v>
      </c>
      <c r="AB185" s="354"/>
      <c r="AC185" s="391"/>
      <c r="AD185" s="354"/>
      <c r="AE185" s="391"/>
      <c r="AF185" s="416">
        <f t="shared" si="172"/>
        <v>13</v>
      </c>
      <c r="AG185" s="354"/>
      <c r="AH185" s="391"/>
      <c r="AI185" s="354"/>
      <c r="AJ185" s="391"/>
      <c r="AK185" s="354"/>
      <c r="AL185" s="391"/>
      <c r="AM185" s="354"/>
      <c r="AN185" s="391"/>
      <c r="AO185" s="354"/>
      <c r="AP185" s="391"/>
      <c r="AQ185" s="416">
        <f t="shared" si="173"/>
        <v>0</v>
      </c>
      <c r="AR185" s="354"/>
      <c r="AS185" s="391"/>
      <c r="AT185" s="354"/>
      <c r="AU185" s="391"/>
      <c r="AV185" s="354"/>
      <c r="AW185" s="391"/>
      <c r="AX185" s="354"/>
      <c r="AY185" s="391"/>
      <c r="AZ185" s="354"/>
      <c r="BA185" s="391"/>
      <c r="BB185" s="354"/>
      <c r="BC185" s="391"/>
      <c r="BD185" s="416">
        <f t="shared" si="174"/>
        <v>0</v>
      </c>
      <c r="BE185" s="354"/>
      <c r="BF185" s="391"/>
      <c r="BG185" s="354"/>
      <c r="BH185" s="391"/>
      <c r="BI185" s="354"/>
      <c r="BJ185" s="391"/>
      <c r="BK185" s="354"/>
      <c r="BL185" s="391"/>
      <c r="BM185" s="354"/>
      <c r="BN185" s="391"/>
      <c r="BO185" s="354"/>
      <c r="BP185" s="391"/>
      <c r="BQ185" s="416">
        <f t="shared" si="175"/>
        <v>0</v>
      </c>
      <c r="BR185" s="354"/>
      <c r="BS185" s="391"/>
      <c r="BT185" s="354"/>
      <c r="BU185" s="391"/>
      <c r="BV185" s="354"/>
      <c r="BW185" s="391"/>
      <c r="BX185" s="354"/>
      <c r="BY185" s="391"/>
      <c r="BZ185" s="354"/>
      <c r="CA185" s="391"/>
      <c r="CB185" s="354"/>
      <c r="CC185" s="391"/>
      <c r="CD185" s="416">
        <f t="shared" si="176"/>
        <v>0</v>
      </c>
      <c r="CE185" s="354"/>
      <c r="CF185" s="391"/>
      <c r="CG185" s="354"/>
      <c r="CH185" s="391"/>
      <c r="CI185" s="354"/>
      <c r="CJ185" s="391"/>
      <c r="CK185" s="354"/>
      <c r="CL185" s="391"/>
      <c r="CM185" s="354"/>
      <c r="CN185" s="391"/>
      <c r="CO185" s="354"/>
      <c r="CP185" s="391"/>
      <c r="CQ185" s="416">
        <f t="shared" si="177"/>
        <v>0</v>
      </c>
      <c r="CR185" s="354"/>
      <c r="CS185" s="391"/>
      <c r="CT185" s="354"/>
      <c r="CU185" s="391"/>
      <c r="CV185" s="354"/>
      <c r="CW185" s="391"/>
      <c r="CX185" s="354"/>
      <c r="CY185" s="391"/>
      <c r="CZ185" s="416">
        <f t="shared" si="178"/>
        <v>0</v>
      </c>
      <c r="DA185" s="354"/>
      <c r="DB185" s="391"/>
      <c r="DC185" s="416">
        <f t="shared" si="179"/>
        <v>0</v>
      </c>
      <c r="DD185" s="393">
        <f>+$U$185+$AF$185+$AQ$185+$BD$185+$BQ$185+$CD$185+$CQ$185+$CZ$185+$DC$185</f>
        <v>13</v>
      </c>
    </row>
    <row r="186" spans="1:108" ht="17.45" customHeight="1">
      <c r="A186" s="357"/>
      <c r="B186" s="339"/>
      <c r="C186" s="385" t="s">
        <v>1833</v>
      </c>
      <c r="D186" s="386"/>
      <c r="E186" s="386"/>
      <c r="F186" s="386"/>
      <c r="G186" s="386"/>
      <c r="H186" s="387"/>
      <c r="I186" s="387"/>
      <c r="J186" s="388">
        <f>+$J$185+$J$184+$J$183+$J$182+$J$181+$J$180+$J$179+$J$178+$J$177+$J$176+$J$175+$J$174+$J$173+$J$172+$J$171+$J$170+$J$169+$J$168+$J$167</f>
        <v>256</v>
      </c>
      <c r="K186" s="387"/>
      <c r="L186" s="388">
        <f>+$L$185+$L$184+$L$183+$L$182+$L$181+$L$180+$L$179+$L$178+$L$177+$L$176+$L$175+$L$174+$L$173+$L$172+$L$171+$L$170+$L$169+$L$168+$L$167</f>
        <v>336</v>
      </c>
      <c r="M186" s="387"/>
      <c r="N186" s="388">
        <f>+$N$185+$N$184+$N$183+$N$182+$N$181+$N$180+$N$179+$N$178+$N$177+$N$176+$N$175+$N$174+$N$173+$N$172+$N$171+$N$170+$N$169+$N$168+$N$167</f>
        <v>336</v>
      </c>
      <c r="O186" s="387"/>
      <c r="P186" s="388">
        <f>+$P$185+$P$184+$P$183+$P$182+$P$181+$P$180+$P$179+$P$178+$P$177+$P$176+$P$175+$P$174+$P$173+$P$172+$P$171+$P$170+$P$169+$P$168+$P$167</f>
        <v>320</v>
      </c>
      <c r="Q186" s="387"/>
      <c r="R186" s="388">
        <f>+$R$185+$R$184+$R$183+$R$182+$R$181+$R$180+$R$179+$R$178+$R$177+$R$176+$R$175+$R$174+$R$173+$R$172+$R$171+$R$170+$R$169+$R$168+$R$167</f>
        <v>260</v>
      </c>
      <c r="S186" s="387"/>
      <c r="T186" s="388">
        <f>+$T$185+$T$184+$T$183+$T$182+$T$181+$T$180+$T$179+$T$178+$T$177+$T$176+$T$175+$T$174+$T$173+$T$172+$T$171+$T$170+$T$169+$T$168+$T$167</f>
        <v>320</v>
      </c>
      <c r="U186" s="414">
        <f t="shared" si="171"/>
        <v>1828</v>
      </c>
      <c r="V186" s="387"/>
      <c r="W186" s="388">
        <f>+$W$185+$W$184+$W$183+$W$182+$W$181+$W$180+$W$179+$W$178+$W$177+$W$176+$W$175+$W$174+$W$173+$W$172+$W$171+$W$170+$W$169+$W$168+$W$167</f>
        <v>256</v>
      </c>
      <c r="X186" s="387"/>
      <c r="Y186" s="388">
        <f>+$Y$185+$Y$184+$Y$183+$Y$182+$Y$181+$Y$180+$Y$179+$Y$178+$Y$177+$Y$176+$Y$175+$Y$174+$Y$173+$Y$172+$Y$171+$Y$170+$Y$169+$Y$168+$Y$167</f>
        <v>328</v>
      </c>
      <c r="Z186" s="387"/>
      <c r="AA186" s="388">
        <f>+$AA$185+$AA$184+$AA$183+$AA$182+$AA$181+$AA$180+$AA$179+$AA$178+$AA$177+$AA$176+$AA$175+$AA$174+$AA$173+$AA$172+$AA$171+$AA$170+$AA$169+$AA$168+$AA$167</f>
        <v>336</v>
      </c>
      <c r="AB186" s="387"/>
      <c r="AC186" s="388">
        <f>+$AC$185+$AC$184+$AC$183+$AC$182+$AC$181+$AC$180+$AC$179+$AC$178+$AC$177+$AC$176+$AC$175+$AC$174+$AC$173+$AC$172+$AC$171+$AC$170+$AC$169+$AC$168+$AC$167</f>
        <v>320</v>
      </c>
      <c r="AD186" s="387"/>
      <c r="AE186" s="388">
        <f>+$AE$185+$AE$184+$AE$183+$AE$182+$AE$181+$AE$180+$AE$179+$AE$178+$AE$177+$AE$176+$AE$175+$AE$174+$AE$173+$AE$172+$AE$171+$AE$170+$AE$169+$AE$168+$AE$167</f>
        <v>320</v>
      </c>
      <c r="AF186" s="414">
        <f t="shared" si="172"/>
        <v>1560</v>
      </c>
      <c r="AG186" s="387"/>
      <c r="AH186" s="388">
        <f>+$AH$185+$AH$184+$AH$183+$AH$182+$AH$181+$AH$180+$AH$179+$AH$178+$AH$177+$AH$176+$AH$175+$AH$174+$AH$173+$AH$172+$AH$171+$AH$170+$AH$169+$AH$168+$AH$167</f>
        <v>316</v>
      </c>
      <c r="AI186" s="387"/>
      <c r="AJ186" s="388">
        <f>+$AJ$185+$AJ$184+$AJ$183+$AJ$182+$AJ$181+$AJ$180+$AJ$179+$AJ$178+$AJ$177+$AJ$176+$AJ$175+$AJ$174+$AJ$173+$AJ$172+$AJ$171+$AJ$170+$AJ$169+$AJ$168+$AJ$167</f>
        <v>336</v>
      </c>
      <c r="AK186" s="387"/>
      <c r="AL186" s="388">
        <f>+$AL$185+$AL$184+$AL$183+$AL$182+$AL$181+$AL$180+$AL$179+$AL$178+$AL$177+$AL$176+$AL$175+$AL$174+$AL$173+$AL$172+$AL$171+$AL$170+$AL$169+$AL$168+$AL$167</f>
        <v>336</v>
      </c>
      <c r="AM186" s="387"/>
      <c r="AN186" s="388">
        <f>+$AN$185+$AN$184+$AN$183+$AN$182+$AN$181+$AN$180+$AN$179+$AN$178+$AN$177+$AN$176+$AN$175+$AN$174+$AN$173+$AN$172+$AN$171+$AN$170+$AN$169+$AN$168+$AN$167</f>
        <v>260</v>
      </c>
      <c r="AO186" s="387"/>
      <c r="AP186" s="388">
        <f>+$AP$185+$AP$184+$AP$183+$AP$182+$AP$181+$AP$180+$AP$179+$AP$178+$AP$177+$AP$176+$AP$175+$AP$174+$AP$173+$AP$172+$AP$171+$AP$170+$AP$169+$AP$168+$AP$167</f>
        <v>336</v>
      </c>
      <c r="AQ186" s="414">
        <f t="shared" si="173"/>
        <v>1584</v>
      </c>
      <c r="AR186" s="387"/>
      <c r="AS186" s="388">
        <f>+$AS$185+$AS$184+$AS$183+$AS$182+$AS$181+$AS$180+$AS$179+$AS$178+$AS$177+$AS$176+$AS$175+$AS$174+$AS$173+$AS$172+$AS$171+$AS$170+$AS$169+$AS$168+$AS$167</f>
        <v>256</v>
      </c>
      <c r="AT186" s="387"/>
      <c r="AU186" s="388">
        <f>+$AU$185+$AU$184+$AU$183+$AU$182+$AU$181+$AU$180+$AU$179+$AU$178+$AU$177+$AU$176+$AU$175+$AU$174+$AU$173+$AU$172+$AU$171+$AU$170+$AU$169+$AU$168+$AU$167</f>
        <v>336</v>
      </c>
      <c r="AV186" s="387"/>
      <c r="AW186" s="388">
        <f>+$AW$185+$AW$184+$AW$183+$AW$182+$AW$181+$AW$180+$AW$179+$AW$178+$AW$177+$AW$176+$AW$175+$AW$174+$AW$173+$AW$172+$AW$171+$AW$170+$AW$169+$AW$168+$AW$167</f>
        <v>336</v>
      </c>
      <c r="AX186" s="387"/>
      <c r="AY186" s="388">
        <f>+$AY$185+$AY$184+$AY$183+$AY$182+$AY$181+$AY$180+$AY$179+$AY$178+$AY$177+$AY$176+$AY$175+$AY$174+$AY$173+$AY$172+$AY$171+$AY$170+$AY$169+$AY$168+$AY$167</f>
        <v>336</v>
      </c>
      <c r="AZ186" s="387"/>
      <c r="BA186" s="388">
        <f>+$BA$185+$BA$184+$BA$183+$BA$182+$BA$181+$BA$180+$BA$179+$BA$178+$BA$177+$BA$176+$BA$175+$BA$174+$BA$173+$BA$172+$BA$171+$BA$170+$BA$169+$BA$168+$BA$167</f>
        <v>336</v>
      </c>
      <c r="BB186" s="387"/>
      <c r="BC186" s="388">
        <f>+$BC$185+$BC$184+$BC$183+$BC$182+$BC$181+$BC$180+$BC$179+$BC$178+$BC$177+$BC$176+$BC$175+$BC$174+$BC$173+$BC$172+$BC$171+$BC$170+$BC$169+$BC$168+$BC$167</f>
        <v>254</v>
      </c>
      <c r="BD186" s="414">
        <f t="shared" si="174"/>
        <v>1854</v>
      </c>
      <c r="BE186" s="387"/>
      <c r="BF186" s="388">
        <f>+$BF$185+$BF$184+$BF$183+$BF$182+$BF$181+$BF$180+$BF$179+$BF$178+$BF$177+$BF$176+$BF$175+$BF$174+$BF$173+$BF$172+$BF$171+$BF$170+$BF$169+$BF$168+$BF$167</f>
        <v>316</v>
      </c>
      <c r="BG186" s="387"/>
      <c r="BH186" s="388">
        <f>+$BH$185+$BH$184+$BH$183+$BH$182+$BH$181+$BH$180+$BH$179+$BH$178+$BH$177+$BH$176+$BH$175+$BH$174+$BH$173+$BH$172+$BH$171+$BH$170+$BH$169+$BH$168+$BH$167</f>
        <v>336</v>
      </c>
      <c r="BI186" s="387"/>
      <c r="BJ186" s="388">
        <f>+$BJ$185+$BJ$184+$BJ$183+$BJ$182+$BJ$181+$BJ$180+$BJ$179+$BJ$178+$BJ$177+$BJ$176+$BJ$175+$BJ$174+$BJ$173+$BJ$172+$BJ$171+$BJ$170+$BJ$169+$BJ$168+$BJ$167</f>
        <v>336</v>
      </c>
      <c r="BK186" s="387"/>
      <c r="BL186" s="388">
        <f>+$BL$185+$BL$184+$BL$183+$BL$182+$BL$181+$BL$180+$BL$179+$BL$178+$BL$177+$BL$176+$BL$175+$BL$174+$BL$173+$BL$172+$BL$171+$BL$170+$BL$169+$BL$168+$BL$167</f>
        <v>320</v>
      </c>
      <c r="BM186" s="387"/>
      <c r="BN186" s="388">
        <f>+$BN$185+$BN$184+$BN$183+$BN$182+$BN$181+$BN$180+$BN$179+$BN$178+$BN$177+$BN$176+$BN$175+$BN$174+$BN$173+$BN$172+$BN$171+$BN$170+$BN$169+$BN$168+$BN$167</f>
        <v>260</v>
      </c>
      <c r="BO186" s="387"/>
      <c r="BP186" s="388">
        <f>+$BP$185+$BP$184+$BP$183+$BP$182+$BP$181+$BP$180+$BP$179+$BP$178+$BP$177+$BP$176+$BP$175+$BP$174+$BP$173+$BP$172+$BP$171+$BP$170+$BP$169+$BP$168+$BP$167</f>
        <v>320</v>
      </c>
      <c r="BQ186" s="414">
        <f t="shared" si="175"/>
        <v>1888</v>
      </c>
      <c r="BR186" s="387"/>
      <c r="BS186" s="388">
        <f>+$BS$185+$BS$184+$BS$183+$BS$182+$BS$181+$BS$180+$BS$179+$BS$178+$BS$177+$BS$176+$BS$175+$BS$174+$BS$173+$BS$172+$BS$171+$BS$170+$BS$169+$BS$168+$BS$167</f>
        <v>332</v>
      </c>
      <c r="BT186" s="387"/>
      <c r="BU186" s="388">
        <f>+$BU$185+$BU$184+$BU$183+$BU$182+$BU$181+$BU$180+$BU$179+$BU$178+$BU$177+$BU$176+$BU$175+$BU$174+$BU$173+$BU$172+$BU$171+$BU$170+$BU$169+$BU$168+$BU$167</f>
        <v>336</v>
      </c>
      <c r="BV186" s="387"/>
      <c r="BW186" s="388">
        <f>+$BW$185+$BW$184+$BW$183+$BW$182+$BW$181+$BW$180+$BW$179+$BW$178+$BW$177+$BW$176+$BW$175+$BW$174+$BW$173+$BW$172+$BW$171+$BW$170+$BW$169+$BW$168+$BW$167</f>
        <v>260</v>
      </c>
      <c r="BX186" s="387"/>
      <c r="BY186" s="388">
        <f>+$BY$185+$BY$184+$BY$183+$BY$182+$BY$181+$BY$180+$BY$179+$BY$178+$BY$177+$BY$176+$BY$175+$BY$174+$BY$173+$BY$172+$BY$171+$BY$170+$BY$169+$BY$168+$BY$167</f>
        <v>328</v>
      </c>
      <c r="BZ186" s="387"/>
      <c r="CA186" s="388">
        <f>+$CA$185+$CA$184+$CA$183+$CA$182+$CA$181+$CA$180+$CA$179+$CA$178+$CA$177+$CA$176+$CA$175+$CA$174+$CA$173+$CA$172+$CA$171+$CA$170+$CA$169+$CA$168+$CA$167</f>
        <v>260</v>
      </c>
      <c r="CB186" s="387"/>
      <c r="CC186" s="388">
        <f>+$CC$185+$CC$184+$CC$183+$CC$182+$CC$181+$CC$180+$CC$179+$CC$178+$CC$177+$CC$176+$CC$175+$CC$174+$CC$173+$CC$172+$CC$171+$CC$170+$CC$169+$CC$168+$CC$167</f>
        <v>130</v>
      </c>
      <c r="CD186" s="414">
        <f t="shared" si="176"/>
        <v>1646</v>
      </c>
      <c r="CE186" s="387"/>
      <c r="CF186" s="388">
        <f>+$CF$185+$CF$184+$CF$183+$CF$182+$CF$181+$CF$180+$CF$179+$CF$178+$CF$177+$CF$176+$CF$175+$CF$174+$CF$173+$CF$172+$CF$171+$CF$170+$CF$169+$CF$168+$CF$167</f>
        <v>252</v>
      </c>
      <c r="CG186" s="387"/>
      <c r="CH186" s="388">
        <f>+$CH$185+$CH$184+$CH$183+$CH$182+$CH$181+$CH$180+$CH$179+$CH$178+$CH$177+$CH$176+$CH$175+$CH$174+$CH$173+$CH$172+$CH$171+$CH$170+$CH$169+$CH$168+$CH$167</f>
        <v>336</v>
      </c>
      <c r="CI186" s="387"/>
      <c r="CJ186" s="388">
        <f>+$CJ$185+$CJ$184+$CJ$183+$CJ$182+$CJ$181+$CJ$180+$CJ$179+$CJ$178+$CJ$177+$CJ$176+$CJ$175+$CJ$174+$CJ$173+$CJ$172+$CJ$171+$CJ$170+$CJ$169+$CJ$168+$CJ$167</f>
        <v>336</v>
      </c>
      <c r="CK186" s="387"/>
      <c r="CL186" s="388">
        <f>+$CL$185+$CL$184+$CL$183+$CL$182+$CL$181+$CL$180+$CL$179+$CL$178+$CL$177+$CL$176+$CL$175+$CL$174+$CL$173+$CL$172+$CL$171+$CL$170+$CL$169+$CL$168+$CL$167</f>
        <v>336</v>
      </c>
      <c r="CM186" s="387"/>
      <c r="CN186" s="388">
        <f>+$CN$185+$CN$184+$CN$183+$CN$182+$CN$181+$CN$180+$CN$179+$CN$178+$CN$177+$CN$176+$CN$175+$CN$174+$CN$173+$CN$172+$CN$171+$CN$170+$CN$169+$CN$168+$CN$167</f>
        <v>336</v>
      </c>
      <c r="CO186" s="387"/>
      <c r="CP186" s="388">
        <f>+$CP$185+$CP$184+$CP$183+$CP$182+$CP$181+$CP$180+$CP$179+$CP$178+$CP$177+$CP$176+$CP$175+$CP$174+$CP$173+$CP$172+$CP$171+$CP$170+$CP$169+$CP$168+$CP$167</f>
        <v>260</v>
      </c>
      <c r="CQ186" s="414">
        <f t="shared" si="177"/>
        <v>1856</v>
      </c>
      <c r="CR186" s="387"/>
      <c r="CS186" s="388">
        <f>+$CS$185+$CS$184+$CS$183+$CS$182+$CS$181+$CS$180+$CS$179+$CS$178+$CS$177+$CS$176+$CS$175+$CS$174+$CS$173+$CS$172+$CS$171+$CS$170+$CS$169+$CS$168+$CS$167</f>
        <v>256</v>
      </c>
      <c r="CT186" s="387"/>
      <c r="CU186" s="388">
        <f>+$CU$185+$CU$184+$CU$183+$CU$182+$CU$181+$CU$180+$CU$179+$CU$178+$CU$177+$CU$176+$CU$175+$CU$174+$CU$173+$CU$172+$CU$171+$CU$170+$CU$169+$CU$168+$CU$167</f>
        <v>320</v>
      </c>
      <c r="CV186" s="387"/>
      <c r="CW186" s="388">
        <f>+$CW$185+$CW$184+$CW$183+$CW$182+$CW$181+$CW$180+$CW$179+$CW$178+$CW$177+$CW$176+$CW$175+$CW$174+$CW$173+$CW$172+$CW$171+$CW$170+$CW$169+$CW$168+$CW$167</f>
        <v>320</v>
      </c>
      <c r="CX186" s="387"/>
      <c r="CY186" s="388">
        <f>+$CY$185+$CY$184+$CY$183+$CY$182+$CY$181+$CY$180+$CY$179+$CY$178+$CY$177+$CY$176+$CY$175+$CY$174+$CY$173+$CY$172+$CY$171+$CY$170+$CY$169+$CY$168+$CY$167</f>
        <v>260</v>
      </c>
      <c r="CZ186" s="414">
        <f t="shared" si="178"/>
        <v>1156</v>
      </c>
      <c r="DA186" s="387"/>
      <c r="DB186" s="388">
        <f>+$DB$185+$DB$184+$DB$183+$DB$182+$DB$181+$DB$180+$DB$179+$DB$178+$DB$177+$DB$176+$DB$175+$DB$174+$DB$173+$DB$172+$DB$171+$DB$170+$DB$169+$DB$168+$DB$167</f>
        <v>192</v>
      </c>
      <c r="DC186" s="414">
        <f t="shared" si="179"/>
        <v>192</v>
      </c>
      <c r="DD186" s="389">
        <f>+$U$186+$AF$186+$AQ$186+$BD$186+$BQ$186+$CD$186+$CQ$186+$CZ$186+$DC$186</f>
        <v>13564</v>
      </c>
    </row>
    <row r="187" spans="1:108" ht="17.45" customHeight="1">
      <c r="A187" s="357"/>
      <c r="B187" s="354" t="s">
        <v>1800</v>
      </c>
      <c r="C187" s="357" t="s">
        <v>1237</v>
      </c>
      <c r="D187" s="357"/>
      <c r="E187" s="357"/>
      <c r="F187" s="357"/>
      <c r="G187" s="358" t="s">
        <v>1238</v>
      </c>
      <c r="H187" s="358" t="s">
        <v>1801</v>
      </c>
      <c r="I187" s="358"/>
      <c r="J187" s="395">
        <v>864</v>
      </c>
      <c r="K187" s="358"/>
      <c r="L187" s="395">
        <v>864</v>
      </c>
      <c r="M187" s="358"/>
      <c r="N187" s="395">
        <v>288</v>
      </c>
      <c r="O187" s="358"/>
      <c r="P187" s="395"/>
      <c r="Q187" s="358"/>
      <c r="R187" s="395"/>
      <c r="S187" s="358"/>
      <c r="T187" s="395">
        <v>864</v>
      </c>
      <c r="U187" s="417">
        <f t="shared" si="171"/>
        <v>2880</v>
      </c>
      <c r="V187" s="358"/>
      <c r="W187" s="395">
        <v>864</v>
      </c>
      <c r="X187" s="358"/>
      <c r="Y187" s="395">
        <v>1080</v>
      </c>
      <c r="Z187" s="358"/>
      <c r="AA187" s="395">
        <v>1080</v>
      </c>
      <c r="AB187" s="358"/>
      <c r="AC187" s="395">
        <v>864</v>
      </c>
      <c r="AD187" s="358"/>
      <c r="AE187" s="395">
        <v>72</v>
      </c>
      <c r="AF187" s="417">
        <f t="shared" si="172"/>
        <v>3960</v>
      </c>
      <c r="AG187" s="358"/>
      <c r="AH187" s="395">
        <v>1080</v>
      </c>
      <c r="AI187" s="358"/>
      <c r="AJ187" s="395">
        <v>1080</v>
      </c>
      <c r="AK187" s="358"/>
      <c r="AL187" s="395">
        <v>72</v>
      </c>
      <c r="AM187" s="358"/>
      <c r="AN187" s="395"/>
      <c r="AO187" s="358"/>
      <c r="AP187" s="395">
        <v>1080</v>
      </c>
      <c r="AQ187" s="417">
        <f t="shared" si="173"/>
        <v>3312</v>
      </c>
      <c r="AR187" s="358"/>
      <c r="AS187" s="395">
        <v>864</v>
      </c>
      <c r="AT187" s="358"/>
      <c r="AU187" s="395">
        <v>1080</v>
      </c>
      <c r="AV187" s="358"/>
      <c r="AW187" s="395">
        <v>1008</v>
      </c>
      <c r="AX187" s="358"/>
      <c r="AY187" s="395"/>
      <c r="AZ187" s="358"/>
      <c r="BA187" s="395"/>
      <c r="BB187" s="358"/>
      <c r="BC187" s="395"/>
      <c r="BD187" s="417">
        <f t="shared" si="174"/>
        <v>2952</v>
      </c>
      <c r="BE187" s="358"/>
      <c r="BF187" s="395">
        <v>1152</v>
      </c>
      <c r="BG187" s="358"/>
      <c r="BH187" s="395">
        <v>1368</v>
      </c>
      <c r="BI187" s="358"/>
      <c r="BJ187" s="395">
        <v>576</v>
      </c>
      <c r="BK187" s="358"/>
      <c r="BL187" s="395"/>
      <c r="BM187" s="358"/>
      <c r="BN187" s="395"/>
      <c r="BO187" s="358"/>
      <c r="BP187" s="395"/>
      <c r="BQ187" s="417">
        <f t="shared" si="175"/>
        <v>3096</v>
      </c>
      <c r="BR187" s="358"/>
      <c r="BS187" s="395"/>
      <c r="BT187" s="358"/>
      <c r="BU187" s="395"/>
      <c r="BV187" s="358"/>
      <c r="BW187" s="395"/>
      <c r="BX187" s="358"/>
      <c r="BY187" s="395"/>
      <c r="BZ187" s="358"/>
      <c r="CA187" s="395"/>
      <c r="CB187" s="358"/>
      <c r="CC187" s="395"/>
      <c r="CD187" s="417">
        <f t="shared" si="176"/>
        <v>0</v>
      </c>
      <c r="CE187" s="358"/>
      <c r="CF187" s="395">
        <v>1152</v>
      </c>
      <c r="CG187" s="358"/>
      <c r="CH187" s="395">
        <v>1368</v>
      </c>
      <c r="CI187" s="358"/>
      <c r="CJ187" s="395">
        <v>1368</v>
      </c>
      <c r="CK187" s="358"/>
      <c r="CL187" s="395">
        <v>288</v>
      </c>
      <c r="CM187" s="358"/>
      <c r="CN187" s="395"/>
      <c r="CO187" s="358"/>
      <c r="CP187" s="395"/>
      <c r="CQ187" s="417">
        <f t="shared" si="177"/>
        <v>4176</v>
      </c>
      <c r="CR187" s="358"/>
      <c r="CS187" s="395">
        <v>1152</v>
      </c>
      <c r="CT187" s="358"/>
      <c r="CU187" s="395">
        <v>1368</v>
      </c>
      <c r="CV187" s="358"/>
      <c r="CW187" s="395">
        <v>792</v>
      </c>
      <c r="CX187" s="358"/>
      <c r="CY187" s="395"/>
      <c r="CZ187" s="417">
        <f t="shared" si="178"/>
        <v>3312</v>
      </c>
      <c r="DA187" s="358"/>
      <c r="DB187" s="395">
        <v>864</v>
      </c>
      <c r="DC187" s="417">
        <f t="shared" si="179"/>
        <v>864</v>
      </c>
      <c r="DD187" s="397">
        <f>+$U$187+$AF$187+$AQ$187+$BD$187+$BQ$187+$CD$187+$CQ$187+$CZ$187+$DC$187</f>
        <v>24552</v>
      </c>
    </row>
    <row r="188" spans="1:108" ht="17.45" customHeight="1">
      <c r="A188" s="357"/>
      <c r="B188" s="357"/>
      <c r="C188" s="357"/>
      <c r="D188" s="357"/>
      <c r="E188" s="357"/>
      <c r="F188" s="357"/>
      <c r="G188" s="347" t="s">
        <v>1239</v>
      </c>
      <c r="H188" s="347" t="s">
        <v>1802</v>
      </c>
      <c r="I188" s="347"/>
      <c r="J188" s="355"/>
      <c r="K188" s="347"/>
      <c r="L188" s="355"/>
      <c r="M188" s="347"/>
      <c r="N188" s="355">
        <v>72</v>
      </c>
      <c r="O188" s="347"/>
      <c r="P188" s="355">
        <v>864</v>
      </c>
      <c r="Q188" s="347"/>
      <c r="R188" s="355">
        <v>864</v>
      </c>
      <c r="S188" s="347"/>
      <c r="T188" s="355">
        <v>144</v>
      </c>
      <c r="U188" s="414">
        <f t="shared" si="171"/>
        <v>1944</v>
      </c>
      <c r="V188" s="347"/>
      <c r="W188" s="355"/>
      <c r="X188" s="347"/>
      <c r="Y188" s="355"/>
      <c r="Z188" s="347"/>
      <c r="AA188" s="355"/>
      <c r="AB188" s="347"/>
      <c r="AC188" s="355"/>
      <c r="AD188" s="347"/>
      <c r="AE188" s="355">
        <v>792</v>
      </c>
      <c r="AF188" s="414">
        <f t="shared" si="172"/>
        <v>792</v>
      </c>
      <c r="AG188" s="347"/>
      <c r="AH188" s="355"/>
      <c r="AI188" s="347"/>
      <c r="AJ188" s="355"/>
      <c r="AK188" s="347"/>
      <c r="AL188" s="355">
        <v>720</v>
      </c>
      <c r="AM188" s="347"/>
      <c r="AN188" s="355">
        <v>864</v>
      </c>
      <c r="AO188" s="347"/>
      <c r="AP188" s="355"/>
      <c r="AQ188" s="414">
        <f t="shared" si="173"/>
        <v>1584</v>
      </c>
      <c r="AR188" s="347"/>
      <c r="AS188" s="355"/>
      <c r="AT188" s="347"/>
      <c r="AU188" s="355"/>
      <c r="AV188" s="347"/>
      <c r="AW188" s="355"/>
      <c r="AX188" s="347"/>
      <c r="AY188" s="355">
        <v>360</v>
      </c>
      <c r="AZ188" s="347"/>
      <c r="BA188" s="355">
        <v>864</v>
      </c>
      <c r="BB188" s="347"/>
      <c r="BC188" s="355">
        <v>864</v>
      </c>
      <c r="BD188" s="414">
        <f t="shared" si="174"/>
        <v>2088</v>
      </c>
      <c r="BE188" s="347"/>
      <c r="BF188" s="355"/>
      <c r="BG188" s="347"/>
      <c r="BH188" s="355"/>
      <c r="BI188" s="347"/>
      <c r="BJ188" s="355">
        <v>792</v>
      </c>
      <c r="BK188" s="347"/>
      <c r="BL188" s="355">
        <v>1368</v>
      </c>
      <c r="BM188" s="347"/>
      <c r="BN188" s="355">
        <v>1152</v>
      </c>
      <c r="BO188" s="347"/>
      <c r="BP188" s="355">
        <v>648</v>
      </c>
      <c r="BQ188" s="414">
        <f t="shared" si="175"/>
        <v>3960</v>
      </c>
      <c r="BR188" s="347"/>
      <c r="BS188" s="355">
        <v>1152</v>
      </c>
      <c r="BT188" s="347"/>
      <c r="BU188" s="355">
        <v>1368</v>
      </c>
      <c r="BV188" s="347"/>
      <c r="BW188" s="355">
        <v>1152</v>
      </c>
      <c r="BX188" s="347"/>
      <c r="BY188" s="355">
        <v>1368</v>
      </c>
      <c r="BZ188" s="347"/>
      <c r="CA188" s="355">
        <v>1368</v>
      </c>
      <c r="CB188" s="347"/>
      <c r="CC188" s="355">
        <v>576</v>
      </c>
      <c r="CD188" s="414">
        <f t="shared" si="176"/>
        <v>6984</v>
      </c>
      <c r="CE188" s="347"/>
      <c r="CF188" s="355"/>
      <c r="CG188" s="347"/>
      <c r="CH188" s="355"/>
      <c r="CI188" s="347"/>
      <c r="CJ188" s="355"/>
      <c r="CK188" s="347"/>
      <c r="CL188" s="355">
        <v>864</v>
      </c>
      <c r="CM188" s="347"/>
      <c r="CN188" s="355">
        <v>1152</v>
      </c>
      <c r="CO188" s="347"/>
      <c r="CP188" s="355">
        <v>1152</v>
      </c>
      <c r="CQ188" s="414">
        <f t="shared" si="177"/>
        <v>3168</v>
      </c>
      <c r="CR188" s="347"/>
      <c r="CS188" s="355"/>
      <c r="CT188" s="347"/>
      <c r="CU188" s="355"/>
      <c r="CV188" s="347"/>
      <c r="CW188" s="355">
        <v>216</v>
      </c>
      <c r="CX188" s="347"/>
      <c r="CY188" s="355">
        <v>1152</v>
      </c>
      <c r="CZ188" s="414">
        <f t="shared" si="178"/>
        <v>1368</v>
      </c>
      <c r="DA188" s="347"/>
      <c r="DB188" s="355"/>
      <c r="DC188" s="414">
        <f t="shared" si="179"/>
        <v>0</v>
      </c>
      <c r="DD188" s="356">
        <f>+$U$188+$AF$188+$AQ$188+$BD$188+$BQ$188+$CD$188+$CQ$188+$CZ$188+$DC$188</f>
        <v>21888</v>
      </c>
    </row>
    <row r="189" spans="1:108" ht="17.45" customHeight="1">
      <c r="A189" s="357"/>
      <c r="B189" s="357"/>
      <c r="C189" s="357"/>
      <c r="D189" s="357"/>
      <c r="E189" s="357"/>
      <c r="F189" s="357"/>
      <c r="G189" s="354" t="s">
        <v>1240</v>
      </c>
      <c r="H189" s="354" t="s">
        <v>1803</v>
      </c>
      <c r="I189" s="354"/>
      <c r="J189" s="391"/>
      <c r="K189" s="354"/>
      <c r="L189" s="391"/>
      <c r="M189" s="354"/>
      <c r="N189" s="391">
        <v>504</v>
      </c>
      <c r="O189" s="354"/>
      <c r="P189" s="391"/>
      <c r="Q189" s="354"/>
      <c r="R189" s="391"/>
      <c r="S189" s="354"/>
      <c r="T189" s="391"/>
      <c r="U189" s="416">
        <f t="shared" si="171"/>
        <v>504</v>
      </c>
      <c r="V189" s="354"/>
      <c r="W189" s="391"/>
      <c r="X189" s="354"/>
      <c r="Y189" s="391"/>
      <c r="Z189" s="354"/>
      <c r="AA189" s="391"/>
      <c r="AB189" s="354"/>
      <c r="AC189" s="391"/>
      <c r="AD189" s="354"/>
      <c r="AE189" s="391"/>
      <c r="AF189" s="416">
        <f t="shared" si="172"/>
        <v>0</v>
      </c>
      <c r="AG189" s="354"/>
      <c r="AH189" s="391"/>
      <c r="AI189" s="354"/>
      <c r="AJ189" s="391"/>
      <c r="AK189" s="354"/>
      <c r="AL189" s="391">
        <v>72</v>
      </c>
      <c r="AM189" s="354"/>
      <c r="AN189" s="391"/>
      <c r="AO189" s="354"/>
      <c r="AP189" s="391"/>
      <c r="AQ189" s="416">
        <f t="shared" si="173"/>
        <v>72</v>
      </c>
      <c r="AR189" s="354"/>
      <c r="AS189" s="391"/>
      <c r="AT189" s="354"/>
      <c r="AU189" s="391"/>
      <c r="AV189" s="354"/>
      <c r="AW189" s="391">
        <v>72</v>
      </c>
      <c r="AX189" s="354"/>
      <c r="AY189" s="391">
        <v>504</v>
      </c>
      <c r="AZ189" s="354"/>
      <c r="BA189" s="391"/>
      <c r="BB189" s="354"/>
      <c r="BC189" s="391"/>
      <c r="BD189" s="416">
        <f t="shared" si="174"/>
        <v>576</v>
      </c>
      <c r="BE189" s="354"/>
      <c r="BF189" s="391"/>
      <c r="BG189" s="354"/>
      <c r="BH189" s="391"/>
      <c r="BI189" s="354"/>
      <c r="BJ189" s="391"/>
      <c r="BK189" s="354"/>
      <c r="BL189" s="391"/>
      <c r="BM189" s="354"/>
      <c r="BN189" s="391"/>
      <c r="BO189" s="354"/>
      <c r="BP189" s="391"/>
      <c r="BQ189" s="416">
        <f t="shared" si="175"/>
        <v>0</v>
      </c>
      <c r="BR189" s="354"/>
      <c r="BS189" s="391"/>
      <c r="BT189" s="354"/>
      <c r="BU189" s="391"/>
      <c r="BV189" s="354"/>
      <c r="BW189" s="391"/>
      <c r="BX189" s="354"/>
      <c r="BY189" s="391"/>
      <c r="BZ189" s="354"/>
      <c r="CA189" s="391"/>
      <c r="CB189" s="354"/>
      <c r="CC189" s="391"/>
      <c r="CD189" s="416">
        <f t="shared" si="176"/>
        <v>0</v>
      </c>
      <c r="CE189" s="354"/>
      <c r="CF189" s="391"/>
      <c r="CG189" s="354"/>
      <c r="CH189" s="391"/>
      <c r="CI189" s="354"/>
      <c r="CJ189" s="391"/>
      <c r="CK189" s="354"/>
      <c r="CL189" s="391">
        <v>216</v>
      </c>
      <c r="CM189" s="354"/>
      <c r="CN189" s="391"/>
      <c r="CO189" s="354"/>
      <c r="CP189" s="391"/>
      <c r="CQ189" s="416">
        <f t="shared" si="177"/>
        <v>216</v>
      </c>
      <c r="CR189" s="354"/>
      <c r="CS189" s="391"/>
      <c r="CT189" s="354"/>
      <c r="CU189" s="391"/>
      <c r="CV189" s="354"/>
      <c r="CW189" s="391">
        <v>360</v>
      </c>
      <c r="CX189" s="354"/>
      <c r="CY189" s="391"/>
      <c r="CZ189" s="416">
        <f t="shared" si="178"/>
        <v>360</v>
      </c>
      <c r="DA189" s="354"/>
      <c r="DB189" s="391"/>
      <c r="DC189" s="416">
        <f t="shared" si="179"/>
        <v>0</v>
      </c>
      <c r="DD189" s="393">
        <f>+$U$189+$AF$189+$AQ$189+$BD$189+$BQ$189+$CD$189+$CQ$189+$CZ$189+$DC$189</f>
        <v>1728</v>
      </c>
    </row>
    <row r="190" spans="1:108" ht="17.45" customHeight="1">
      <c r="A190" s="357"/>
      <c r="B190" s="336"/>
      <c r="C190" s="403" t="s">
        <v>1834</v>
      </c>
      <c r="D190" s="404"/>
      <c r="E190" s="404"/>
      <c r="F190" s="404"/>
      <c r="G190" s="404"/>
      <c r="H190" s="405"/>
      <c r="I190" s="405"/>
      <c r="J190" s="412">
        <f>+$J$189+$J$188+$J$187</f>
        <v>864</v>
      </c>
      <c r="K190" s="405"/>
      <c r="L190" s="412">
        <f>+$L$189+$L$188+$L$187</f>
        <v>864</v>
      </c>
      <c r="M190" s="405"/>
      <c r="N190" s="412">
        <f>+$N$189+$N$188+$N$187</f>
        <v>864</v>
      </c>
      <c r="O190" s="405"/>
      <c r="P190" s="412">
        <f>+$P$189+$P$188+$P$187</f>
        <v>864</v>
      </c>
      <c r="Q190" s="405"/>
      <c r="R190" s="412">
        <f>+$R$189+$R$188+$R$187</f>
        <v>864</v>
      </c>
      <c r="S190" s="405"/>
      <c r="T190" s="412">
        <f>+$T$189+$T$188+$T$187</f>
        <v>1008</v>
      </c>
      <c r="U190" s="416">
        <f t="shared" si="171"/>
        <v>5328</v>
      </c>
      <c r="V190" s="405"/>
      <c r="W190" s="412">
        <f>+$W$189+$W$188+$W$187</f>
        <v>864</v>
      </c>
      <c r="X190" s="405"/>
      <c r="Y190" s="412">
        <f>+$Y$189+$Y$188+$Y$187</f>
        <v>1080</v>
      </c>
      <c r="Z190" s="405"/>
      <c r="AA190" s="412">
        <f>+$AA$189+$AA$188+$AA$187</f>
        <v>1080</v>
      </c>
      <c r="AB190" s="405"/>
      <c r="AC190" s="412">
        <f>+$AC$189+$AC$188+$AC$187</f>
        <v>864</v>
      </c>
      <c r="AD190" s="405"/>
      <c r="AE190" s="412">
        <f>+$AE$189+$AE$188+$AE$187</f>
        <v>864</v>
      </c>
      <c r="AF190" s="416">
        <f t="shared" si="172"/>
        <v>4752</v>
      </c>
      <c r="AG190" s="405"/>
      <c r="AH190" s="412">
        <f>+$AH$189+$AH$188+$AH$187</f>
        <v>1080</v>
      </c>
      <c r="AI190" s="405"/>
      <c r="AJ190" s="412">
        <f>+$AJ$189+$AJ$188+$AJ$187</f>
        <v>1080</v>
      </c>
      <c r="AK190" s="405"/>
      <c r="AL190" s="412">
        <f>+$AL$189+$AL$188+$AL$187</f>
        <v>864</v>
      </c>
      <c r="AM190" s="405"/>
      <c r="AN190" s="412">
        <f>+$AN$189+$AN$188+$AN$187</f>
        <v>864</v>
      </c>
      <c r="AO190" s="405"/>
      <c r="AP190" s="412">
        <f>+$AP$189+$AP$188+$AP$187</f>
        <v>1080</v>
      </c>
      <c r="AQ190" s="416">
        <f t="shared" si="173"/>
        <v>4968</v>
      </c>
      <c r="AR190" s="405"/>
      <c r="AS190" s="412">
        <f>+$AS$189+$AS$188+$AS$187</f>
        <v>864</v>
      </c>
      <c r="AT190" s="405"/>
      <c r="AU190" s="412">
        <f>+$AU$189+$AU$188+$AU$187</f>
        <v>1080</v>
      </c>
      <c r="AV190" s="405"/>
      <c r="AW190" s="412">
        <f>+$AW$189+$AW$188+$AW$187</f>
        <v>1080</v>
      </c>
      <c r="AX190" s="405"/>
      <c r="AY190" s="412">
        <f>+$AY$189+$AY$188+$AY$187</f>
        <v>864</v>
      </c>
      <c r="AZ190" s="405"/>
      <c r="BA190" s="412">
        <f>+$BA$189+$BA$188+$BA$187</f>
        <v>864</v>
      </c>
      <c r="BB190" s="405"/>
      <c r="BC190" s="412">
        <f>+$BC$189+$BC$188+$BC$187</f>
        <v>864</v>
      </c>
      <c r="BD190" s="416">
        <f t="shared" si="174"/>
        <v>5616</v>
      </c>
      <c r="BE190" s="405"/>
      <c r="BF190" s="412">
        <f>+$BF$189+$BF$188+$BF$187</f>
        <v>1152</v>
      </c>
      <c r="BG190" s="405"/>
      <c r="BH190" s="412">
        <f>+$BH$189+$BH$188+$BH$187</f>
        <v>1368</v>
      </c>
      <c r="BI190" s="405"/>
      <c r="BJ190" s="412">
        <f>+$BJ$189+$BJ$188+$BJ$187</f>
        <v>1368</v>
      </c>
      <c r="BK190" s="405"/>
      <c r="BL190" s="412">
        <f>+$BL$189+$BL$188+$BL$187</f>
        <v>1368</v>
      </c>
      <c r="BM190" s="405"/>
      <c r="BN190" s="412">
        <f>+$BN$189+$BN$188+$BN$187</f>
        <v>1152</v>
      </c>
      <c r="BO190" s="405"/>
      <c r="BP190" s="412">
        <f>+$BP$189+$BP$188+$BP$187</f>
        <v>648</v>
      </c>
      <c r="BQ190" s="416">
        <f t="shared" si="175"/>
        <v>7056</v>
      </c>
      <c r="BR190" s="405"/>
      <c r="BS190" s="412">
        <f>+$BS$189+$BS$188+$BS$187</f>
        <v>1152</v>
      </c>
      <c r="BT190" s="405"/>
      <c r="BU190" s="412">
        <f>+$BU$189+$BU$188+$BU$187</f>
        <v>1368</v>
      </c>
      <c r="BV190" s="405"/>
      <c r="BW190" s="412">
        <f>+$BW$189+$BW$188+$BW$187</f>
        <v>1152</v>
      </c>
      <c r="BX190" s="405"/>
      <c r="BY190" s="412">
        <f>+$BY$189+$BY$188+$BY$187</f>
        <v>1368</v>
      </c>
      <c r="BZ190" s="405"/>
      <c r="CA190" s="412">
        <f>+$CA$189+$CA$188+$CA$187</f>
        <v>1368</v>
      </c>
      <c r="CB190" s="405"/>
      <c r="CC190" s="412">
        <f>+$CC$189+$CC$188+$CC$187</f>
        <v>576</v>
      </c>
      <c r="CD190" s="416">
        <f t="shared" si="176"/>
        <v>6984</v>
      </c>
      <c r="CE190" s="405"/>
      <c r="CF190" s="412">
        <f>+$CF$189+$CF$188+$CF$187</f>
        <v>1152</v>
      </c>
      <c r="CG190" s="405"/>
      <c r="CH190" s="412">
        <f>+$CH$189+$CH$188+$CH$187</f>
        <v>1368</v>
      </c>
      <c r="CI190" s="405"/>
      <c r="CJ190" s="412">
        <f>+$CJ$189+$CJ$188+$CJ$187</f>
        <v>1368</v>
      </c>
      <c r="CK190" s="405"/>
      <c r="CL190" s="412">
        <f>+$CL$189+$CL$188+$CL$187</f>
        <v>1368</v>
      </c>
      <c r="CM190" s="405"/>
      <c r="CN190" s="412">
        <f>+$CN$189+$CN$188+$CN$187</f>
        <v>1152</v>
      </c>
      <c r="CO190" s="405"/>
      <c r="CP190" s="412">
        <f>+$CP$189+$CP$188+$CP$187</f>
        <v>1152</v>
      </c>
      <c r="CQ190" s="416">
        <f t="shared" si="177"/>
        <v>7560</v>
      </c>
      <c r="CR190" s="405"/>
      <c r="CS190" s="412">
        <f>+$CS$189+$CS$188+$CS$187</f>
        <v>1152</v>
      </c>
      <c r="CT190" s="405"/>
      <c r="CU190" s="412">
        <f>+$CU$189+$CU$188+$CU$187</f>
        <v>1368</v>
      </c>
      <c r="CV190" s="405"/>
      <c r="CW190" s="412">
        <f>+$CW$189+$CW$188+$CW$187</f>
        <v>1368</v>
      </c>
      <c r="CX190" s="405"/>
      <c r="CY190" s="412">
        <f>+$CY$189+$CY$188+$CY$187</f>
        <v>1152</v>
      </c>
      <c r="CZ190" s="416">
        <f t="shared" si="178"/>
        <v>5040</v>
      </c>
      <c r="DA190" s="405"/>
      <c r="DB190" s="412">
        <f>+$DB$189+$DB$188+$DB$187</f>
        <v>864</v>
      </c>
      <c r="DC190" s="416">
        <f t="shared" si="179"/>
        <v>864</v>
      </c>
      <c r="DD190" s="413">
        <f>+$U$190+$AF$190+$AQ$190+$BD$190+$BQ$190+$CD$190+$CQ$190+$CZ$190+$DC$190</f>
        <v>48168</v>
      </c>
    </row>
    <row r="191" spans="1:108" ht="17.45" customHeight="1">
      <c r="A191" s="406" t="s">
        <v>1835</v>
      </c>
      <c r="B191" s="407"/>
      <c r="C191" s="407"/>
      <c r="D191" s="407"/>
      <c r="E191" s="407"/>
      <c r="F191" s="407"/>
      <c r="G191" s="407"/>
      <c r="H191" s="408"/>
      <c r="I191" s="408"/>
      <c r="J191" s="409">
        <f>+$J$190+$J$186+$J$166+$J$148+$J$130+$J$128+$J$126+$J$123</f>
        <v>2427</v>
      </c>
      <c r="K191" s="408"/>
      <c r="L191" s="410">
        <f>+$L$190+$L$186+$L$166+$L$148+$L$130+$L$128+$L$126+$L$123</f>
        <v>2607</v>
      </c>
      <c r="M191" s="408"/>
      <c r="N191" s="410">
        <f>+$N$190+$N$186+$N$166+$N$148+$N$130+$N$128+$N$126+$N$123</f>
        <v>2665</v>
      </c>
      <c r="O191" s="408"/>
      <c r="P191" s="410">
        <f>+$P$190+$P$186+$P$166+$P$148+$P$130+$P$128+$P$126+$P$123</f>
        <v>2559</v>
      </c>
      <c r="Q191" s="408"/>
      <c r="R191" s="410">
        <f>+$R$190+$R$186+$R$166+$R$148+$R$130+$R$128+$R$126+$R$123</f>
        <v>2374</v>
      </c>
      <c r="S191" s="408"/>
      <c r="T191" s="410">
        <f>+$T$190+$T$186+$T$166+$T$148+$T$130+$T$128+$T$126+$T$123</f>
        <v>1968</v>
      </c>
      <c r="U191" s="414">
        <f t="shared" si="171"/>
        <v>14600</v>
      </c>
      <c r="V191" s="408"/>
      <c r="W191" s="410">
        <f>+$W$190+$W$186+$W$166+$W$148+$W$130+$W$128+$W$126+$W$123</f>
        <v>2456</v>
      </c>
      <c r="X191" s="408"/>
      <c r="Y191" s="410">
        <f>+$Y$190+$Y$186+$Y$166+$Y$148+$Y$130+$Y$128+$Y$126+$Y$123</f>
        <v>2878</v>
      </c>
      <c r="Z191" s="408"/>
      <c r="AA191" s="410">
        <f>+$AA$190+$AA$186+$AA$166+$AA$148+$AA$130+$AA$128+$AA$126+$AA$123</f>
        <v>2901</v>
      </c>
      <c r="AB191" s="408"/>
      <c r="AC191" s="410">
        <f>+$AC$190+$AC$186+$AC$166+$AC$148+$AC$130+$AC$128+$AC$126+$AC$123</f>
        <v>2568</v>
      </c>
      <c r="AD191" s="408"/>
      <c r="AE191" s="410">
        <f>+$AE$190+$AE$186+$AE$166+$AE$148+$AE$130+$AE$128+$AE$126+$AE$123</f>
        <v>2898</v>
      </c>
      <c r="AF191" s="414">
        <f t="shared" si="172"/>
        <v>13701</v>
      </c>
      <c r="AG191" s="408"/>
      <c r="AH191" s="410">
        <f>+$AH$190+$AH$186+$AH$166+$AH$148+$AH$130+$AH$128+$AH$126+$AH$123</f>
        <v>3160</v>
      </c>
      <c r="AI191" s="408"/>
      <c r="AJ191" s="410">
        <f>+$AJ$190+$AJ$186+$AJ$166+$AJ$148+$AJ$130+$AJ$128+$AJ$126+$AJ$123</f>
        <v>3220</v>
      </c>
      <c r="AK191" s="408"/>
      <c r="AL191" s="410">
        <f>+$AL$190+$AL$186+$AL$166+$AL$148+$AL$130+$AL$128+$AL$126+$AL$123</f>
        <v>2970</v>
      </c>
      <c r="AM191" s="408"/>
      <c r="AN191" s="410">
        <f>+$AN$190+$AN$186+$AN$166+$AN$148+$AN$130+$AN$128+$AN$126+$AN$123</f>
        <v>2606</v>
      </c>
      <c r="AO191" s="408"/>
      <c r="AP191" s="410">
        <f>+$AP$190+$AP$186+$AP$166+$AP$148+$AP$130+$AP$128+$AP$126+$AP$123</f>
        <v>3136</v>
      </c>
      <c r="AQ191" s="414">
        <f t="shared" si="173"/>
        <v>15092</v>
      </c>
      <c r="AR191" s="408"/>
      <c r="AS191" s="410">
        <f>+$AS$190+$AS$186+$AS$166+$AS$148+$AS$130+$AS$128+$AS$126+$AS$123</f>
        <v>2482</v>
      </c>
      <c r="AT191" s="408"/>
      <c r="AU191" s="410">
        <f>+$AU$190+$AU$186+$AU$166+$AU$148+$AU$130+$AU$128+$AU$126+$AU$123</f>
        <v>3119</v>
      </c>
      <c r="AV191" s="408"/>
      <c r="AW191" s="410">
        <f>+$AW$190+$AW$186+$AW$166+$AW$148+$AW$130+$AW$128+$AW$126+$AW$123</f>
        <v>3127</v>
      </c>
      <c r="AX191" s="408"/>
      <c r="AY191" s="410">
        <f>+$AY$190+$AY$186+$AY$166+$AY$148+$AY$130+$AY$128+$AY$126+$AY$123</f>
        <v>2728</v>
      </c>
      <c r="AZ191" s="408"/>
      <c r="BA191" s="410">
        <f>+$BA$190+$BA$186+$BA$166+$BA$148+$BA$130+$BA$128+$BA$126+$BA$123</f>
        <v>2628</v>
      </c>
      <c r="BB191" s="408"/>
      <c r="BC191" s="410">
        <f>+$BC$190+$BC$186+$BC$166+$BC$148+$BC$130+$BC$128+$BC$126+$BC$123</f>
        <v>2260</v>
      </c>
      <c r="BD191" s="414">
        <f t="shared" si="174"/>
        <v>16344</v>
      </c>
      <c r="BE191" s="408"/>
      <c r="BF191" s="410">
        <f>+$BF$190+$BF$186+$BF$166+$BF$148+$BF$130+$BF$128+$BF$126+$BF$123</f>
        <v>2784</v>
      </c>
      <c r="BG191" s="408"/>
      <c r="BH191" s="410">
        <f>+$BH$190+$BH$186+$BH$166+$BH$148+$BH$130+$BH$128+$BH$126+$BH$123</f>
        <v>3059</v>
      </c>
      <c r="BI191" s="408"/>
      <c r="BJ191" s="410">
        <f>+$BJ$190+$BJ$186+$BJ$166+$BJ$148+$BJ$130+$BJ$128+$BJ$126+$BJ$123</f>
        <v>3059</v>
      </c>
      <c r="BK191" s="408"/>
      <c r="BL191" s="410">
        <f>+$BL$190+$BL$186+$BL$166+$BL$148+$BL$130+$BL$128+$BL$126+$BL$123</f>
        <v>3011</v>
      </c>
      <c r="BM191" s="408"/>
      <c r="BN191" s="410">
        <f>+$BN$190+$BN$186+$BN$166+$BN$148+$BN$130+$BN$128+$BN$126+$BN$123</f>
        <v>2602</v>
      </c>
      <c r="BO191" s="408"/>
      <c r="BP191" s="410">
        <f>+$BP$190+$BP$186+$BP$166+$BP$148+$BP$130+$BP$128+$BP$126+$BP$123</f>
        <v>2212</v>
      </c>
      <c r="BQ191" s="414">
        <f t="shared" si="175"/>
        <v>16727</v>
      </c>
      <c r="BR191" s="408"/>
      <c r="BS191" s="410">
        <f>+$BS$190+$BS$186+$BS$166+$BS$148+$BS$130+$BS$128+$BS$126+$BS$123</f>
        <v>3252</v>
      </c>
      <c r="BT191" s="408"/>
      <c r="BU191" s="410">
        <f>+$BU$190+$BU$186+$BU$166+$BU$148+$BU$130+$BU$128+$BU$126+$BU$123</f>
        <v>3450</v>
      </c>
      <c r="BV191" s="408"/>
      <c r="BW191" s="410">
        <f>+$BW$190+$BW$186+$BW$166+$BW$148+$BW$130+$BW$128+$BW$126+$BW$123</f>
        <v>2866</v>
      </c>
      <c r="BX191" s="408"/>
      <c r="BY191" s="410">
        <f>+$BY$190+$BY$186+$BY$166+$BY$148+$BY$130+$BY$128+$BY$126+$BY$123</f>
        <v>3286</v>
      </c>
      <c r="BZ191" s="408"/>
      <c r="CA191" s="410">
        <f>+$CA$190+$CA$186+$CA$166+$CA$148+$CA$130+$CA$128+$CA$126+$CA$123</f>
        <v>3081</v>
      </c>
      <c r="CB191" s="408"/>
      <c r="CC191" s="410">
        <f>+$CC$190+$CC$186+$CC$166+$CC$148+$CC$130+$CC$128+$CC$126+$CC$123</f>
        <v>1195</v>
      </c>
      <c r="CD191" s="414">
        <f t="shared" si="176"/>
        <v>17130</v>
      </c>
      <c r="CE191" s="408"/>
      <c r="CF191" s="410">
        <f>+$CF$190+$CF$186+$CF$166+$CF$148+$CF$130+$CF$128+$CF$126+$CF$123</f>
        <v>2842</v>
      </c>
      <c r="CG191" s="408"/>
      <c r="CH191" s="410">
        <f>+$CH$190+$CH$186+$CH$166+$CH$148+$CH$130+$CH$128+$CH$126+$CH$123</f>
        <v>3309</v>
      </c>
      <c r="CI191" s="408"/>
      <c r="CJ191" s="410">
        <f>+$CJ$190+$CJ$186+$CJ$166+$CJ$148+$CJ$130+$CJ$128+$CJ$126+$CJ$123</f>
        <v>3321</v>
      </c>
      <c r="CK191" s="408"/>
      <c r="CL191" s="410">
        <f>+$CL$190+$CL$186+$CL$166+$CL$148+$CL$130+$CL$128+$CL$126+$CL$123</f>
        <v>3309</v>
      </c>
      <c r="CM191" s="408"/>
      <c r="CN191" s="410">
        <f>+$CN$190+$CN$186+$CN$166+$CN$148+$CN$130+$CN$128+$CN$126+$CN$123</f>
        <v>3093</v>
      </c>
      <c r="CO191" s="408"/>
      <c r="CP191" s="410">
        <f>+$CP$190+$CP$186+$CP$166+$CP$148+$CP$130+$CP$128+$CP$126+$CP$123</f>
        <v>2865</v>
      </c>
      <c r="CQ191" s="414">
        <f t="shared" si="177"/>
        <v>18739</v>
      </c>
      <c r="CR191" s="408"/>
      <c r="CS191" s="410">
        <f>+$CS$190+$CS$186+$CS$166+$CS$148+$CS$130+$CS$128+$CS$126+$CS$123</f>
        <v>2929</v>
      </c>
      <c r="CT191" s="408"/>
      <c r="CU191" s="410">
        <f>+$CU$190+$CU$186+$CU$166+$CU$148+$CU$130+$CU$128+$CU$126+$CU$123</f>
        <v>3484</v>
      </c>
      <c r="CV191" s="408"/>
      <c r="CW191" s="410">
        <f>+$CW$190+$CW$186+$CW$166+$CW$148+$CW$130+$CW$128+$CW$126+$CW$123</f>
        <v>3272</v>
      </c>
      <c r="CX191" s="408"/>
      <c r="CY191" s="410">
        <f>+$CY$190+$CY$186+$CY$166+$CY$148+$CY$130+$CY$128+$CY$126+$CY$123</f>
        <v>2875</v>
      </c>
      <c r="CZ191" s="414">
        <f t="shared" si="178"/>
        <v>12560</v>
      </c>
      <c r="DA191" s="408"/>
      <c r="DB191" s="410">
        <f>+$DB$190+$DB$186+$DB$166+$DB$148+$DB$130+$DB$128+$DB$126+$DB$123</f>
        <v>2034</v>
      </c>
      <c r="DC191" s="414">
        <f t="shared" si="179"/>
        <v>2034</v>
      </c>
      <c r="DD191" s="411">
        <f>+$U$191+$AF$191+$AQ$191+$BD$191+$BQ$191+$CD$191+$CQ$191+$CZ$191+$DC$191</f>
        <v>126927</v>
      </c>
    </row>
  </sheetData>
  <mergeCells count="186">
    <mergeCell ref="CY1:DC1"/>
    <mergeCell ref="CY2:DC4"/>
    <mergeCell ref="CV110:CW110"/>
    <mergeCell ref="CV111:CW111"/>
    <mergeCell ref="CX7:CY7"/>
    <mergeCell ref="CX8:CY8"/>
    <mergeCell ref="CX110:CY110"/>
    <mergeCell ref="CX111:CY111"/>
    <mergeCell ref="CM110:CN110"/>
    <mergeCell ref="CM111:CN111"/>
    <mergeCell ref="CO7:CP7"/>
    <mergeCell ref="CO8:CP8"/>
    <mergeCell ref="CO110:CP110"/>
    <mergeCell ref="CO111:CP111"/>
    <mergeCell ref="CE110:CF110"/>
    <mergeCell ref="CE111:CF111"/>
    <mergeCell ref="CG7:CH7"/>
    <mergeCell ref="CG8:CH8"/>
    <mergeCell ref="CG110:CH110"/>
    <mergeCell ref="CG111:CH111"/>
    <mergeCell ref="BV110:BW110"/>
    <mergeCell ref="BV111:BW111"/>
    <mergeCell ref="BX7:BY7"/>
    <mergeCell ref="BX8:BY8"/>
    <mergeCell ref="BX110:BY110"/>
    <mergeCell ref="BX111:BY111"/>
    <mergeCell ref="BM110:BN110"/>
    <mergeCell ref="BM111:BN111"/>
    <mergeCell ref="BO7:BP7"/>
    <mergeCell ref="BO8:BP8"/>
    <mergeCell ref="BO110:BP110"/>
    <mergeCell ref="BO111:BP111"/>
    <mergeCell ref="BE110:BF110"/>
    <mergeCell ref="BE111:BF111"/>
    <mergeCell ref="BG7:BH7"/>
    <mergeCell ref="BG8:BH8"/>
    <mergeCell ref="BG110:BH110"/>
    <mergeCell ref="BG111:BH111"/>
    <mergeCell ref="AV110:AW110"/>
    <mergeCell ref="AV111:AW111"/>
    <mergeCell ref="AX7:AY7"/>
    <mergeCell ref="AX8:AY8"/>
    <mergeCell ref="AX110:AY110"/>
    <mergeCell ref="AX111:AY111"/>
    <mergeCell ref="AO110:AP110"/>
    <mergeCell ref="AO111:AP111"/>
    <mergeCell ref="AR110:AS110"/>
    <mergeCell ref="AR111:AS111"/>
    <mergeCell ref="AT7:AU7"/>
    <mergeCell ref="AT8:AU8"/>
    <mergeCell ref="AT110:AU110"/>
    <mergeCell ref="AT111:AU111"/>
    <mergeCell ref="AI8:AJ8"/>
    <mergeCell ref="AI110:AJ110"/>
    <mergeCell ref="AI111:AJ111"/>
    <mergeCell ref="AK7:AL7"/>
    <mergeCell ref="AK8:AL8"/>
    <mergeCell ref="AK110:AL110"/>
    <mergeCell ref="AK111:AL111"/>
    <mergeCell ref="Z110:AA110"/>
    <mergeCell ref="Z111:AA111"/>
    <mergeCell ref="AB7:AC7"/>
    <mergeCell ref="AB8:AC8"/>
    <mergeCell ref="AB110:AC110"/>
    <mergeCell ref="AB111:AC111"/>
    <mergeCell ref="Q111:R111"/>
    <mergeCell ref="S7:T7"/>
    <mergeCell ref="S8:T8"/>
    <mergeCell ref="S110:T110"/>
    <mergeCell ref="S111:T111"/>
    <mergeCell ref="V110:W110"/>
    <mergeCell ref="V111:W111"/>
    <mergeCell ref="M110:N110"/>
    <mergeCell ref="M111:N111"/>
    <mergeCell ref="O7:P7"/>
    <mergeCell ref="O8:P8"/>
    <mergeCell ref="O110:P110"/>
    <mergeCell ref="O111:P111"/>
    <mergeCell ref="I7:J7"/>
    <mergeCell ref="I8:J8"/>
    <mergeCell ref="I110:J110"/>
    <mergeCell ref="I111:J111"/>
    <mergeCell ref="K7:L7"/>
    <mergeCell ref="K8:L8"/>
    <mergeCell ref="K110:L110"/>
    <mergeCell ref="K111:L111"/>
    <mergeCell ref="CR110:CS110"/>
    <mergeCell ref="CR111:CS111"/>
    <mergeCell ref="DA7:DB7"/>
    <mergeCell ref="DA8:DB8"/>
    <mergeCell ref="DA110:DB110"/>
    <mergeCell ref="DA111:DB111"/>
    <mergeCell ref="CT7:CU7"/>
    <mergeCell ref="CT8:CU8"/>
    <mergeCell ref="CT110:CU110"/>
    <mergeCell ref="CT111:CU111"/>
    <mergeCell ref="CR7:CS7"/>
    <mergeCell ref="CR8:CS8"/>
    <mergeCell ref="CK7:CL7"/>
    <mergeCell ref="CK8:CL8"/>
    <mergeCell ref="CK110:CL110"/>
    <mergeCell ref="CK111:CL111"/>
    <mergeCell ref="CI7:CJ7"/>
    <mergeCell ref="CI8:CJ8"/>
    <mergeCell ref="CI110:CJ110"/>
    <mergeCell ref="CI111:CJ111"/>
    <mergeCell ref="CE7:CF7"/>
    <mergeCell ref="CE8:CF8"/>
    <mergeCell ref="CB7:CC7"/>
    <mergeCell ref="CB8:CC8"/>
    <mergeCell ref="CB110:CC110"/>
    <mergeCell ref="CB111:CC111"/>
    <mergeCell ref="BZ7:CA7"/>
    <mergeCell ref="BZ8:CA8"/>
    <mergeCell ref="BZ110:CA110"/>
    <mergeCell ref="BZ111:CA111"/>
    <mergeCell ref="BT7:BU7"/>
    <mergeCell ref="BT8:BU8"/>
    <mergeCell ref="BT110:BU110"/>
    <mergeCell ref="BT111:BU111"/>
    <mergeCell ref="BR7:BS7"/>
    <mergeCell ref="BR8:BS8"/>
    <mergeCell ref="BR110:BS110"/>
    <mergeCell ref="BR111:BS111"/>
    <mergeCell ref="BK7:BL7"/>
    <mergeCell ref="BK8:BL8"/>
    <mergeCell ref="BK110:BL110"/>
    <mergeCell ref="BK111:BL111"/>
    <mergeCell ref="BI7:BJ7"/>
    <mergeCell ref="BI8:BJ8"/>
    <mergeCell ref="BI110:BJ110"/>
    <mergeCell ref="BI111:BJ111"/>
    <mergeCell ref="BE7:BF7"/>
    <mergeCell ref="BE8:BF8"/>
    <mergeCell ref="BB7:BC7"/>
    <mergeCell ref="BB8:BC8"/>
    <mergeCell ref="BB110:BC110"/>
    <mergeCell ref="BB111:BC111"/>
    <mergeCell ref="AZ7:BA7"/>
    <mergeCell ref="AZ8:BA8"/>
    <mergeCell ref="AZ110:BA110"/>
    <mergeCell ref="AZ111:BA111"/>
    <mergeCell ref="AV7:AW7"/>
    <mergeCell ref="AV8:AW8"/>
    <mergeCell ref="AM7:AN7"/>
    <mergeCell ref="AM8:AN8"/>
    <mergeCell ref="AM110:AN110"/>
    <mergeCell ref="AM111:AN111"/>
    <mergeCell ref="AG110:AH110"/>
    <mergeCell ref="AG111:AH111"/>
    <mergeCell ref="AD7:AE7"/>
    <mergeCell ref="AD8:AE8"/>
    <mergeCell ref="AD110:AE110"/>
    <mergeCell ref="AD111:AE111"/>
    <mergeCell ref="X7:Y7"/>
    <mergeCell ref="X8:Y8"/>
    <mergeCell ref="X110:Y110"/>
    <mergeCell ref="X111:Y111"/>
    <mergeCell ref="V7:W7"/>
    <mergeCell ref="V8:W8"/>
    <mergeCell ref="Q7:R7"/>
    <mergeCell ref="Q8:R8"/>
    <mergeCell ref="Q110:R110"/>
    <mergeCell ref="M7:N7"/>
    <mergeCell ref="M8:N8"/>
    <mergeCell ref="CM8:CN8"/>
    <mergeCell ref="CV8:CW8"/>
    <mergeCell ref="BM8:BN8"/>
    <mergeCell ref="BV8:BW8"/>
    <mergeCell ref="AR8:AS8"/>
    <mergeCell ref="AO8:AP8"/>
    <mergeCell ref="AG8:AH8"/>
    <mergeCell ref="Z8:AA8"/>
    <mergeCell ref="CM7:CN7"/>
    <mergeCell ref="CV7:CW7"/>
    <mergeCell ref="BM7:BN7"/>
    <mergeCell ref="BV7:BW7"/>
    <mergeCell ref="AR7:AS7"/>
    <mergeCell ref="AO7:AP7"/>
    <mergeCell ref="AG7:AH7"/>
    <mergeCell ref="Z7:AA7"/>
    <mergeCell ref="AI7:AJ7"/>
    <mergeCell ref="CO1:CS1"/>
    <mergeCell ref="CO2:CS4"/>
    <mergeCell ref="CT1:CX1"/>
    <mergeCell ref="CT2:CX4"/>
  </mergeCells>
  <pageMargins left="0.25" right="0" top="0.5" bottom="0" header="0" footer="0"/>
  <pageSetup paperSize="8" scale="35" orientation="portrait" r:id="rId1"/>
  <headerFooter>
    <oddHeader xml:space="preserve">&amp;R&amp;"-,Bold"&amp;22&amp;KFF0000R2 CONFIDENTIAL&amp;"-,Regular"&amp;11&amp;K01+000
20200810
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55"/>
  <sheetViews>
    <sheetView workbookViewId="0">
      <selection activeCell="L17" sqref="L17"/>
    </sheetView>
  </sheetViews>
  <sheetFormatPr defaultRowHeight="15"/>
  <sheetData>
    <row r="1" spans="1:7">
      <c r="A1" s="310" t="s">
        <v>1644</v>
      </c>
      <c r="B1" s="311" t="s">
        <v>1645</v>
      </c>
      <c r="C1" s="312" t="s">
        <v>1637</v>
      </c>
      <c r="D1" s="312" t="s">
        <v>1216</v>
      </c>
      <c r="E1" s="312" t="s">
        <v>37</v>
      </c>
      <c r="F1" s="312" t="s">
        <v>413</v>
      </c>
      <c r="G1" s="312" t="s">
        <v>54</v>
      </c>
    </row>
    <row r="2" spans="1:7">
      <c r="A2" s="313" t="s">
        <v>1218</v>
      </c>
      <c r="B2" s="314" t="s">
        <v>1155</v>
      </c>
      <c r="C2" s="315" t="s">
        <v>1639</v>
      </c>
      <c r="D2" s="316" t="s">
        <v>1638</v>
      </c>
      <c r="E2" s="315"/>
      <c r="F2" s="315" t="s">
        <v>1643</v>
      </c>
      <c r="G2" s="315"/>
    </row>
    <row r="3" spans="1:7">
      <c r="A3" s="313" t="s">
        <v>1218</v>
      </c>
      <c r="B3" s="317" t="s">
        <v>1117</v>
      </c>
      <c r="C3" s="315" t="s">
        <v>1639</v>
      </c>
      <c r="D3" s="316" t="s">
        <v>1638</v>
      </c>
      <c r="E3" s="315"/>
      <c r="F3" s="315" t="s">
        <v>1643</v>
      </c>
      <c r="G3" s="315"/>
    </row>
    <row r="4" spans="1:7">
      <c r="A4" s="313" t="s">
        <v>1218</v>
      </c>
      <c r="B4" s="317" t="s">
        <v>1119</v>
      </c>
      <c r="C4" s="315" t="s">
        <v>1639</v>
      </c>
      <c r="D4" s="315"/>
      <c r="E4" s="315"/>
      <c r="F4" s="315" t="s">
        <v>1643</v>
      </c>
      <c r="G4" s="315"/>
    </row>
    <row r="5" spans="1:7">
      <c r="A5" s="313" t="s">
        <v>1218</v>
      </c>
      <c r="B5" s="317" t="s">
        <v>1121</v>
      </c>
      <c r="C5" s="315" t="s">
        <v>1639</v>
      </c>
      <c r="D5" s="315"/>
      <c r="E5" s="315"/>
      <c r="F5" s="315" t="s">
        <v>1643</v>
      </c>
      <c r="G5" s="315"/>
    </row>
    <row r="6" spans="1:7">
      <c r="A6" s="313" t="s">
        <v>1218</v>
      </c>
      <c r="B6" s="317" t="s">
        <v>1189</v>
      </c>
      <c r="C6" s="315" t="s">
        <v>1639</v>
      </c>
      <c r="D6" s="315"/>
      <c r="E6" s="315"/>
      <c r="F6" s="315" t="s">
        <v>1643</v>
      </c>
      <c r="G6" s="315"/>
    </row>
    <row r="7" spans="1:7">
      <c r="A7" s="313" t="s">
        <v>1218</v>
      </c>
      <c r="B7" s="317" t="s">
        <v>1179</v>
      </c>
      <c r="C7" s="315" t="s">
        <v>1639</v>
      </c>
      <c r="D7" s="315"/>
      <c r="E7" s="315"/>
      <c r="F7" s="315" t="s">
        <v>1643</v>
      </c>
      <c r="G7" s="315"/>
    </row>
    <row r="8" spans="1:7">
      <c r="A8" s="313" t="s">
        <v>1218</v>
      </c>
      <c r="B8" s="317" t="s">
        <v>1187</v>
      </c>
      <c r="C8" s="315" t="s">
        <v>1639</v>
      </c>
      <c r="D8" s="315"/>
      <c r="E8" s="316" t="s">
        <v>1638</v>
      </c>
      <c r="F8" s="315" t="s">
        <v>1643</v>
      </c>
      <c r="G8" s="315"/>
    </row>
    <row r="9" spans="1:7">
      <c r="A9" s="313" t="s">
        <v>1218</v>
      </c>
      <c r="B9" s="317" t="s">
        <v>1185</v>
      </c>
      <c r="C9" s="315" t="s">
        <v>1639</v>
      </c>
      <c r="D9" s="315"/>
      <c r="E9" s="315"/>
      <c r="F9" s="315" t="s">
        <v>1643</v>
      </c>
      <c r="G9" s="315"/>
    </row>
    <row r="10" spans="1:7">
      <c r="A10" s="313" t="s">
        <v>1218</v>
      </c>
      <c r="B10" s="317" t="s">
        <v>1123</v>
      </c>
      <c r="C10" s="315" t="s">
        <v>1639</v>
      </c>
      <c r="D10" s="316" t="s">
        <v>1638</v>
      </c>
      <c r="E10" s="315"/>
      <c r="F10" s="315" t="s">
        <v>1643</v>
      </c>
      <c r="G10" s="315"/>
    </row>
    <row r="11" spans="1:7">
      <c r="A11" s="313" t="s">
        <v>1218</v>
      </c>
      <c r="B11" s="317" t="s">
        <v>1217</v>
      </c>
      <c r="C11" s="315" t="s">
        <v>1639</v>
      </c>
      <c r="D11" s="316" t="s">
        <v>1638</v>
      </c>
      <c r="E11" s="315"/>
      <c r="F11" s="315" t="s">
        <v>1643</v>
      </c>
      <c r="G11" s="315"/>
    </row>
    <row r="12" spans="1:7">
      <c r="A12" s="313" t="s">
        <v>1218</v>
      </c>
      <c r="B12" s="317" t="s">
        <v>1157</v>
      </c>
      <c r="C12" s="315" t="s">
        <v>1639</v>
      </c>
      <c r="D12" s="316" t="s">
        <v>1638</v>
      </c>
      <c r="E12" s="315"/>
      <c r="F12" s="315" t="s">
        <v>1643</v>
      </c>
      <c r="G12" s="315"/>
    </row>
    <row r="13" spans="1:7">
      <c r="A13" s="313" t="s">
        <v>1218</v>
      </c>
      <c r="B13" s="317" t="s">
        <v>1125</v>
      </c>
      <c r="C13" s="315" t="s">
        <v>1639</v>
      </c>
      <c r="D13" s="316" t="s">
        <v>1638</v>
      </c>
      <c r="E13" s="315"/>
      <c r="F13" s="315" t="s">
        <v>1643</v>
      </c>
      <c r="G13" s="315"/>
    </row>
    <row r="14" spans="1:7">
      <c r="A14" s="313" t="s">
        <v>1218</v>
      </c>
      <c r="B14" s="317" t="s">
        <v>1127</v>
      </c>
      <c r="C14" s="315" t="s">
        <v>1639</v>
      </c>
      <c r="D14" s="315"/>
      <c r="E14" s="315"/>
      <c r="F14" s="315" t="s">
        <v>1643</v>
      </c>
      <c r="G14" s="315"/>
    </row>
    <row r="15" spans="1:7">
      <c r="A15" s="313" t="s">
        <v>1218</v>
      </c>
      <c r="B15" s="317" t="s">
        <v>1129</v>
      </c>
      <c r="C15" s="315" t="s">
        <v>1639</v>
      </c>
      <c r="D15" s="315"/>
      <c r="E15" s="315"/>
      <c r="F15" s="315" t="s">
        <v>1643</v>
      </c>
      <c r="G15" s="315"/>
    </row>
    <row r="16" spans="1:7">
      <c r="A16" s="313" t="s">
        <v>1218</v>
      </c>
      <c r="B16" s="317" t="s">
        <v>1186</v>
      </c>
      <c r="C16" s="315" t="s">
        <v>1639</v>
      </c>
      <c r="D16" s="315"/>
      <c r="E16" s="315"/>
      <c r="F16" s="315" t="s">
        <v>1643</v>
      </c>
      <c r="G16" s="315"/>
    </row>
    <row r="17" spans="1:7">
      <c r="A17" s="313" t="s">
        <v>1218</v>
      </c>
      <c r="B17" s="317" t="s">
        <v>1182</v>
      </c>
      <c r="C17" s="315" t="s">
        <v>1639</v>
      </c>
      <c r="D17" s="315"/>
      <c r="E17" s="315"/>
      <c r="F17" s="315" t="s">
        <v>1643</v>
      </c>
      <c r="G17" s="315"/>
    </row>
    <row r="18" spans="1:7">
      <c r="A18" s="313" t="s">
        <v>1218</v>
      </c>
      <c r="B18" s="317" t="s">
        <v>1180</v>
      </c>
      <c r="C18" s="315" t="s">
        <v>1639</v>
      </c>
      <c r="D18" s="315"/>
      <c r="E18" s="316" t="s">
        <v>1638</v>
      </c>
      <c r="F18" s="315" t="s">
        <v>1643</v>
      </c>
      <c r="G18" s="315"/>
    </row>
    <row r="19" spans="1:7">
      <c r="A19" s="313" t="s">
        <v>1218</v>
      </c>
      <c r="B19" s="317" t="s">
        <v>1183</v>
      </c>
      <c r="C19" s="315" t="s">
        <v>1639</v>
      </c>
      <c r="D19" s="315"/>
      <c r="E19" s="315"/>
      <c r="F19" s="315" t="s">
        <v>1643</v>
      </c>
      <c r="G19" s="315"/>
    </row>
    <row r="20" spans="1:7">
      <c r="A20" s="313" t="s">
        <v>1218</v>
      </c>
      <c r="B20" s="317" t="s">
        <v>1131</v>
      </c>
      <c r="C20" s="315" t="s">
        <v>1639</v>
      </c>
      <c r="D20" s="315"/>
      <c r="E20" s="315"/>
      <c r="F20" s="315" t="s">
        <v>1643</v>
      </c>
      <c r="G20" s="316" t="s">
        <v>1638</v>
      </c>
    </row>
    <row r="21" spans="1:7">
      <c r="A21" s="313" t="s">
        <v>1218</v>
      </c>
      <c r="B21" s="317" t="s">
        <v>1133</v>
      </c>
      <c r="C21" s="315" t="s">
        <v>1639</v>
      </c>
      <c r="D21" s="315"/>
      <c r="E21" s="315"/>
      <c r="F21" s="315" t="s">
        <v>1643</v>
      </c>
      <c r="G21" s="315"/>
    </row>
    <row r="22" spans="1:7">
      <c r="A22" s="313" t="s">
        <v>1218</v>
      </c>
      <c r="B22" s="317" t="s">
        <v>1135</v>
      </c>
      <c r="C22" s="315" t="s">
        <v>1639</v>
      </c>
      <c r="D22" s="315"/>
      <c r="E22" s="315"/>
      <c r="F22" s="315" t="s">
        <v>1643</v>
      </c>
      <c r="G22" s="315"/>
    </row>
    <row r="23" spans="1:7">
      <c r="A23" s="313" t="s">
        <v>1218</v>
      </c>
      <c r="B23" s="317" t="s">
        <v>1188</v>
      </c>
      <c r="C23" s="315" t="s">
        <v>1639</v>
      </c>
      <c r="D23" s="315"/>
      <c r="E23" s="315"/>
      <c r="F23" s="315" t="s">
        <v>1643</v>
      </c>
      <c r="G23" s="315"/>
    </row>
    <row r="24" spans="1:7">
      <c r="A24" s="313" t="s">
        <v>1218</v>
      </c>
      <c r="B24" s="317" t="s">
        <v>1190</v>
      </c>
      <c r="C24" s="315" t="s">
        <v>1639</v>
      </c>
      <c r="D24" s="315"/>
      <c r="E24" s="315"/>
      <c r="F24" s="315" t="s">
        <v>1643</v>
      </c>
      <c r="G24" s="315"/>
    </row>
    <row r="25" spans="1:7">
      <c r="A25" s="313" t="s">
        <v>1218</v>
      </c>
      <c r="B25" s="317" t="s">
        <v>1184</v>
      </c>
      <c r="C25" s="315" t="s">
        <v>1639</v>
      </c>
      <c r="D25" s="315"/>
      <c r="E25" s="316" t="s">
        <v>1638</v>
      </c>
      <c r="F25" s="315" t="s">
        <v>1643</v>
      </c>
      <c r="G25" s="315"/>
    </row>
    <row r="26" spans="1:7">
      <c r="A26" s="313" t="s">
        <v>1218</v>
      </c>
      <c r="B26" s="317" t="s">
        <v>1181</v>
      </c>
      <c r="C26" s="315" t="s">
        <v>1639</v>
      </c>
      <c r="D26" s="315"/>
      <c r="E26" s="315"/>
      <c r="F26" s="315" t="s">
        <v>1643</v>
      </c>
      <c r="G26" s="315"/>
    </row>
    <row r="27" spans="1:7">
      <c r="A27" s="313" t="s">
        <v>1218</v>
      </c>
      <c r="B27" s="317" t="s">
        <v>1137</v>
      </c>
      <c r="C27" s="315" t="s">
        <v>1639</v>
      </c>
      <c r="D27" s="316" t="s">
        <v>1638</v>
      </c>
      <c r="E27" s="315"/>
      <c r="F27" s="315" t="s">
        <v>1643</v>
      </c>
      <c r="G27" s="315"/>
    </row>
    <row r="28" spans="1:7">
      <c r="A28" s="313" t="s">
        <v>1218</v>
      </c>
      <c r="B28" s="317" t="s">
        <v>1215</v>
      </c>
      <c r="C28" s="315" t="s">
        <v>1640</v>
      </c>
      <c r="D28" s="315"/>
      <c r="E28" s="315"/>
      <c r="F28" s="315" t="s">
        <v>1643</v>
      </c>
      <c r="G28" s="315"/>
    </row>
    <row r="29" spans="1:7">
      <c r="A29" s="313" t="s">
        <v>1218</v>
      </c>
      <c r="B29" s="317" t="s">
        <v>1141</v>
      </c>
      <c r="C29" s="315" t="s">
        <v>1640</v>
      </c>
      <c r="D29" s="315"/>
      <c r="E29" s="315"/>
      <c r="F29" s="315" t="s">
        <v>1643</v>
      </c>
      <c r="G29" s="315"/>
    </row>
    <row r="30" spans="1:7">
      <c r="A30" s="313" t="s">
        <v>1218</v>
      </c>
      <c r="B30" s="317" t="s">
        <v>1143</v>
      </c>
      <c r="C30" s="315" t="s">
        <v>1640</v>
      </c>
      <c r="D30" s="315"/>
      <c r="E30" s="315"/>
      <c r="F30" s="315" t="s">
        <v>1643</v>
      </c>
      <c r="G30" s="315"/>
    </row>
    <row r="31" spans="1:7">
      <c r="A31" s="313" t="s">
        <v>1218</v>
      </c>
      <c r="B31" s="317" t="s">
        <v>1145</v>
      </c>
      <c r="C31" s="315" t="s">
        <v>1640</v>
      </c>
      <c r="D31" s="315"/>
      <c r="E31" s="315"/>
      <c r="F31" s="315" t="s">
        <v>1643</v>
      </c>
      <c r="G31" s="315"/>
    </row>
    <row r="32" spans="1:7">
      <c r="A32" s="313" t="s">
        <v>1218</v>
      </c>
      <c r="B32" s="317" t="s">
        <v>1112</v>
      </c>
      <c r="C32" s="315" t="s">
        <v>1640</v>
      </c>
      <c r="D32" s="315"/>
      <c r="E32" s="316" t="s">
        <v>1638</v>
      </c>
      <c r="F32" s="315" t="s">
        <v>1643</v>
      </c>
      <c r="G32" s="315"/>
    </row>
    <row r="33" spans="1:7">
      <c r="A33" s="313" t="s">
        <v>1218</v>
      </c>
      <c r="B33" s="317" t="s">
        <v>1147</v>
      </c>
      <c r="C33" s="315" t="s">
        <v>1640</v>
      </c>
      <c r="D33" s="315"/>
      <c r="E33" s="315"/>
      <c r="F33" s="315" t="s">
        <v>1643</v>
      </c>
      <c r="G33" s="315"/>
    </row>
    <row r="34" spans="1:7">
      <c r="A34" s="313" t="s">
        <v>1218</v>
      </c>
      <c r="B34" s="317" t="s">
        <v>1114</v>
      </c>
      <c r="C34" s="315" t="s">
        <v>1640</v>
      </c>
      <c r="D34" s="315"/>
      <c r="E34" s="316" t="s">
        <v>1638</v>
      </c>
      <c r="F34" s="315" t="s">
        <v>1643</v>
      </c>
      <c r="G34" s="315"/>
    </row>
    <row r="35" spans="1:7">
      <c r="A35" s="313" t="s">
        <v>1218</v>
      </c>
      <c r="B35" s="317" t="s">
        <v>1149</v>
      </c>
      <c r="C35" s="315" t="s">
        <v>1640</v>
      </c>
      <c r="D35" s="315"/>
      <c r="E35" s="315"/>
      <c r="F35" s="315" t="s">
        <v>1643</v>
      </c>
      <c r="G35" s="315"/>
    </row>
    <row r="36" spans="1:7">
      <c r="A36" s="313" t="s">
        <v>1218</v>
      </c>
      <c r="B36" s="314" t="s">
        <v>1151</v>
      </c>
      <c r="C36" s="315" t="s">
        <v>1640</v>
      </c>
      <c r="D36" s="315"/>
      <c r="E36" s="316" t="s">
        <v>1638</v>
      </c>
      <c r="F36" s="315" t="s">
        <v>1643</v>
      </c>
      <c r="G36" s="315"/>
    </row>
    <row r="37" spans="1:7">
      <c r="A37" s="313" t="s">
        <v>1218</v>
      </c>
      <c r="B37" s="314" t="s">
        <v>1153</v>
      </c>
      <c r="C37" s="315" t="s">
        <v>1641</v>
      </c>
      <c r="D37" s="315"/>
      <c r="E37" s="315"/>
      <c r="F37" s="315" t="s">
        <v>1643</v>
      </c>
      <c r="G37" s="315"/>
    </row>
    <row r="38" spans="1:7">
      <c r="A38" s="313" t="s">
        <v>1218</v>
      </c>
      <c r="B38" s="314" t="s">
        <v>1139</v>
      </c>
      <c r="C38" s="315" t="s">
        <v>218</v>
      </c>
      <c r="D38" s="316" t="s">
        <v>1638</v>
      </c>
      <c r="E38" s="315"/>
      <c r="F38" s="315"/>
      <c r="G38" s="315"/>
    </row>
    <row r="39" spans="1:7">
      <c r="A39" s="313" t="s">
        <v>1218</v>
      </c>
      <c r="B39" s="317" t="s">
        <v>1235</v>
      </c>
      <c r="C39" s="315" t="s">
        <v>218</v>
      </c>
      <c r="D39" s="315"/>
      <c r="E39" s="315"/>
      <c r="F39" s="315" t="s">
        <v>1643</v>
      </c>
      <c r="G39" s="315"/>
    </row>
    <row r="40" spans="1:7">
      <c r="A40" s="318" t="s">
        <v>1646</v>
      </c>
      <c r="B40" s="311" t="s">
        <v>1645</v>
      </c>
      <c r="C40" s="312" t="s">
        <v>1637</v>
      </c>
      <c r="D40" s="312" t="s">
        <v>1216</v>
      </c>
      <c r="E40" s="312" t="s">
        <v>37</v>
      </c>
      <c r="F40" s="312" t="s">
        <v>413</v>
      </c>
      <c r="G40" s="312" t="s">
        <v>54</v>
      </c>
    </row>
    <row r="41" spans="1:7">
      <c r="A41" s="313" t="s">
        <v>1646</v>
      </c>
      <c r="B41" s="317" t="s">
        <v>1647</v>
      </c>
      <c r="C41" s="315" t="s">
        <v>1648</v>
      </c>
      <c r="D41" s="315"/>
      <c r="E41" s="315"/>
      <c r="F41" s="315"/>
      <c r="G41" s="316" t="s">
        <v>1638</v>
      </c>
    </row>
    <row r="42" spans="1:7">
      <c r="A42" s="313" t="s">
        <v>1646</v>
      </c>
      <c r="B42" s="317" t="s">
        <v>1649</v>
      </c>
      <c r="C42" s="315" t="s">
        <v>1648</v>
      </c>
      <c r="D42" s="315"/>
      <c r="E42" s="315"/>
      <c r="F42" s="315"/>
      <c r="G42" s="315"/>
    </row>
    <row r="43" spans="1:7">
      <c r="A43" s="313" t="s">
        <v>1646</v>
      </c>
      <c r="B43" s="317" t="s">
        <v>1650</v>
      </c>
      <c r="C43" s="315" t="s">
        <v>1648</v>
      </c>
      <c r="D43" s="315"/>
      <c r="E43" s="315"/>
      <c r="F43" s="315"/>
      <c r="G43" s="315"/>
    </row>
    <row r="44" spans="1:7">
      <c r="A44" s="313" t="s">
        <v>1646</v>
      </c>
      <c r="B44" s="317" t="s">
        <v>1651</v>
      </c>
      <c r="C44" s="315" t="s">
        <v>1648</v>
      </c>
      <c r="D44" s="315"/>
      <c r="E44" s="315"/>
      <c r="F44" s="315"/>
      <c r="G44" s="315"/>
    </row>
    <row r="45" spans="1:7">
      <c r="A45" s="313" t="s">
        <v>1646</v>
      </c>
      <c r="B45" s="317" t="s">
        <v>1652</v>
      </c>
      <c r="C45" s="315" t="s">
        <v>1648</v>
      </c>
      <c r="D45" s="315"/>
      <c r="E45" s="315"/>
      <c r="F45" s="315"/>
      <c r="G45" s="315"/>
    </row>
    <row r="46" spans="1:7">
      <c r="A46" s="313" t="s">
        <v>1646</v>
      </c>
      <c r="B46" s="317" t="s">
        <v>1653</v>
      </c>
      <c r="C46" s="315" t="s">
        <v>1648</v>
      </c>
      <c r="D46" s="315"/>
      <c r="E46" s="315"/>
      <c r="F46" s="315"/>
      <c r="G46" s="315"/>
    </row>
    <row r="47" spans="1:7">
      <c r="A47" s="313" t="s">
        <v>1646</v>
      </c>
      <c r="B47" s="317" t="s">
        <v>1654</v>
      </c>
      <c r="C47" s="315" t="s">
        <v>1648</v>
      </c>
      <c r="D47" s="315"/>
      <c r="E47" s="315"/>
      <c r="F47" s="315"/>
      <c r="G47" s="315"/>
    </row>
    <row r="48" spans="1:7">
      <c r="A48" s="313" t="s">
        <v>1646</v>
      </c>
      <c r="B48" s="317" t="s">
        <v>1655</v>
      </c>
      <c r="C48" s="315" t="s">
        <v>1648</v>
      </c>
      <c r="D48" s="315"/>
      <c r="E48" s="315"/>
      <c r="F48" s="315"/>
      <c r="G48" s="315"/>
    </row>
    <row r="49" spans="1:7">
      <c r="A49" s="313" t="s">
        <v>1646</v>
      </c>
      <c r="B49" s="317" t="s">
        <v>1656</v>
      </c>
      <c r="C49" s="315" t="s">
        <v>1648</v>
      </c>
      <c r="D49" s="315"/>
      <c r="E49" s="315"/>
      <c r="F49" s="315"/>
      <c r="G49" s="315"/>
    </row>
    <row r="50" spans="1:7">
      <c r="A50" s="313" t="s">
        <v>1646</v>
      </c>
      <c r="B50" s="317" t="s">
        <v>1657</v>
      </c>
      <c r="C50" s="315" t="s">
        <v>1648</v>
      </c>
      <c r="D50" s="315"/>
      <c r="E50" s="315"/>
      <c r="F50" s="315"/>
      <c r="G50" s="315"/>
    </row>
    <row r="51" spans="1:7">
      <c r="A51" s="313" t="s">
        <v>1646</v>
      </c>
      <c r="B51" s="317" t="s">
        <v>1658</v>
      </c>
      <c r="C51" s="315" t="s">
        <v>1648</v>
      </c>
      <c r="D51" s="315"/>
      <c r="E51" s="315"/>
      <c r="F51" s="315"/>
      <c r="G51" s="315"/>
    </row>
    <row r="52" spans="1:7">
      <c r="A52" s="313" t="s">
        <v>1646</v>
      </c>
      <c r="B52" s="317" t="s">
        <v>1659</v>
      </c>
      <c r="C52" s="315" t="s">
        <v>1648</v>
      </c>
      <c r="D52" s="315"/>
      <c r="E52" s="315"/>
      <c r="F52" s="315"/>
      <c r="G52" s="315"/>
    </row>
    <row r="53" spans="1:7">
      <c r="A53" s="313" t="s">
        <v>1646</v>
      </c>
      <c r="B53" s="317" t="s">
        <v>1660</v>
      </c>
      <c r="C53" s="315" t="s">
        <v>1648</v>
      </c>
      <c r="D53" s="315"/>
      <c r="E53" s="315"/>
      <c r="F53" s="315"/>
      <c r="G53" s="315"/>
    </row>
    <row r="54" spans="1:7">
      <c r="A54" s="313" t="s">
        <v>1646</v>
      </c>
      <c r="B54" s="317" t="s">
        <v>1661</v>
      </c>
      <c r="C54" s="315" t="s">
        <v>1648</v>
      </c>
      <c r="D54" s="315"/>
      <c r="E54" s="315"/>
      <c r="F54" s="315"/>
      <c r="G54" s="315"/>
    </row>
    <row r="55" spans="1:7">
      <c r="A55" s="313" t="s">
        <v>1646</v>
      </c>
      <c r="B55" s="317" t="s">
        <v>1662</v>
      </c>
      <c r="C55" s="315" t="s">
        <v>1663</v>
      </c>
      <c r="D55" s="315"/>
      <c r="E55" s="315"/>
      <c r="F55" s="315"/>
      <c r="G55" s="315"/>
    </row>
    <row r="56" spans="1:7">
      <c r="A56" s="313" t="s">
        <v>1646</v>
      </c>
      <c r="B56" s="317" t="s">
        <v>1664</v>
      </c>
      <c r="C56" s="315" t="s">
        <v>1663</v>
      </c>
      <c r="D56" s="315"/>
      <c r="E56" s="316" t="s">
        <v>1638</v>
      </c>
      <c r="F56" s="316"/>
      <c r="G56" s="315"/>
    </row>
    <row r="57" spans="1:7">
      <c r="A57" s="313" t="s">
        <v>1646</v>
      </c>
      <c r="B57" s="317" t="s">
        <v>1665</v>
      </c>
      <c r="C57" s="315" t="s">
        <v>1663</v>
      </c>
      <c r="D57" s="315"/>
      <c r="E57" s="316" t="s">
        <v>1638</v>
      </c>
      <c r="F57" s="316"/>
      <c r="G57" s="315"/>
    </row>
    <row r="58" spans="1:7">
      <c r="A58" s="313" t="s">
        <v>1646</v>
      </c>
      <c r="B58" s="317" t="s">
        <v>1666</v>
      </c>
      <c r="C58" s="315" t="s">
        <v>1663</v>
      </c>
      <c r="D58" s="315"/>
      <c r="E58" s="316" t="s">
        <v>1638</v>
      </c>
      <c r="F58" s="316"/>
      <c r="G58" s="315"/>
    </row>
    <row r="59" spans="1:7">
      <c r="A59" s="313" t="s">
        <v>1646</v>
      </c>
      <c r="B59" s="317" t="s">
        <v>1667</v>
      </c>
      <c r="C59" s="315" t="s">
        <v>1663</v>
      </c>
      <c r="D59" s="315"/>
      <c r="E59" s="315"/>
      <c r="F59" s="315"/>
      <c r="G59" s="315"/>
    </row>
    <row r="60" spans="1:7">
      <c r="A60" s="313" t="s">
        <v>1646</v>
      </c>
      <c r="B60" s="317" t="s">
        <v>1668</v>
      </c>
      <c r="C60" s="315" t="s">
        <v>1663</v>
      </c>
      <c r="D60" s="315"/>
      <c r="E60" s="315"/>
      <c r="F60" s="315"/>
      <c r="G60" s="315"/>
    </row>
    <row r="61" spans="1:7">
      <c r="A61" s="313" t="s">
        <v>1646</v>
      </c>
      <c r="B61" s="317" t="s">
        <v>1669</v>
      </c>
      <c r="C61" s="315" t="s">
        <v>1663</v>
      </c>
      <c r="D61" s="315"/>
      <c r="E61" s="316" t="s">
        <v>1638</v>
      </c>
      <c r="F61" s="316"/>
      <c r="G61" s="315"/>
    </row>
    <row r="62" spans="1:7">
      <c r="A62" s="313" t="s">
        <v>1646</v>
      </c>
      <c r="B62" s="317" t="s">
        <v>1670</v>
      </c>
      <c r="C62" s="315" t="s">
        <v>1663</v>
      </c>
      <c r="D62" s="315"/>
      <c r="E62" s="315"/>
      <c r="F62" s="315"/>
      <c r="G62" s="315"/>
    </row>
    <row r="63" spans="1:7">
      <c r="A63" s="313" t="s">
        <v>1646</v>
      </c>
      <c r="B63" s="317" t="s">
        <v>1671</v>
      </c>
      <c r="C63" s="315" t="s">
        <v>1672</v>
      </c>
      <c r="D63" s="316" t="s">
        <v>1638</v>
      </c>
      <c r="E63" s="315"/>
      <c r="F63" s="315" t="s">
        <v>1643</v>
      </c>
      <c r="G63" s="315"/>
    </row>
    <row r="64" spans="1:7">
      <c r="A64" s="313" t="s">
        <v>1646</v>
      </c>
      <c r="B64" s="317" t="s">
        <v>1673</v>
      </c>
      <c r="C64" s="315" t="s">
        <v>1672</v>
      </c>
      <c r="D64" s="315"/>
      <c r="E64" s="315"/>
      <c r="F64" s="315" t="s">
        <v>1643</v>
      </c>
      <c r="G64" s="315"/>
    </row>
    <row r="65" spans="1:7">
      <c r="A65" s="313" t="s">
        <v>1646</v>
      </c>
      <c r="B65" s="317" t="s">
        <v>1674</v>
      </c>
      <c r="C65" s="315" t="s">
        <v>1672</v>
      </c>
      <c r="D65" s="315"/>
      <c r="E65" s="315"/>
      <c r="F65" s="315" t="s">
        <v>1643</v>
      </c>
      <c r="G65" s="315"/>
    </row>
    <row r="66" spans="1:7">
      <c r="A66" s="313" t="s">
        <v>1646</v>
      </c>
      <c r="B66" s="317" t="s">
        <v>1675</v>
      </c>
      <c r="C66" s="315" t="s">
        <v>1672</v>
      </c>
      <c r="D66" s="315"/>
      <c r="E66" s="315"/>
      <c r="F66" s="315" t="s">
        <v>1643</v>
      </c>
      <c r="G66" s="315"/>
    </row>
    <row r="67" spans="1:7">
      <c r="A67" s="313" t="s">
        <v>1646</v>
      </c>
      <c r="B67" s="317" t="s">
        <v>1676</v>
      </c>
      <c r="C67" s="315" t="s">
        <v>1672</v>
      </c>
      <c r="D67" s="315"/>
      <c r="E67" s="315"/>
      <c r="F67" s="315" t="s">
        <v>1643</v>
      </c>
      <c r="G67" s="315"/>
    </row>
    <row r="68" spans="1:7">
      <c r="A68" s="313" t="s">
        <v>1646</v>
      </c>
      <c r="B68" s="317" t="s">
        <v>1677</v>
      </c>
      <c r="C68" s="315" t="s">
        <v>1672</v>
      </c>
      <c r="D68" s="315"/>
      <c r="E68" s="315"/>
      <c r="F68" s="315" t="s">
        <v>1643</v>
      </c>
      <c r="G68" s="315"/>
    </row>
    <row r="69" spans="1:7">
      <c r="A69" s="313" t="s">
        <v>1646</v>
      </c>
      <c r="B69" s="317" t="s">
        <v>1678</v>
      </c>
      <c r="C69" s="315" t="s">
        <v>1672</v>
      </c>
      <c r="D69" s="315"/>
      <c r="E69" s="315"/>
      <c r="F69" s="315" t="s">
        <v>1643</v>
      </c>
      <c r="G69" s="315"/>
    </row>
    <row r="70" spans="1:7">
      <c r="A70" s="313" t="s">
        <v>1646</v>
      </c>
      <c r="B70" s="317" t="s">
        <v>1679</v>
      </c>
      <c r="C70" s="315" t="s">
        <v>1672</v>
      </c>
      <c r="D70" s="315"/>
      <c r="E70" s="315"/>
      <c r="F70" s="315" t="s">
        <v>1643</v>
      </c>
      <c r="G70" s="315"/>
    </row>
    <row r="71" spans="1:7">
      <c r="A71" s="313" t="s">
        <v>1646</v>
      </c>
      <c r="B71" s="317" t="s">
        <v>1680</v>
      </c>
      <c r="C71" s="315" t="s">
        <v>1672</v>
      </c>
      <c r="D71" s="316" t="s">
        <v>1638</v>
      </c>
      <c r="E71" s="315"/>
      <c r="F71" s="315" t="s">
        <v>1643</v>
      </c>
      <c r="G71" s="316" t="s">
        <v>1638</v>
      </c>
    </row>
    <row r="72" spans="1:7">
      <c r="A72" s="313" t="s">
        <v>1646</v>
      </c>
      <c r="B72" s="317" t="s">
        <v>1681</v>
      </c>
      <c r="C72" s="315" t="s">
        <v>1672</v>
      </c>
      <c r="D72" s="316" t="s">
        <v>1638</v>
      </c>
      <c r="E72" s="315"/>
      <c r="F72" s="315" t="s">
        <v>1643</v>
      </c>
      <c r="G72" s="315"/>
    </row>
    <row r="73" spans="1:7">
      <c r="A73" s="313" t="s">
        <v>1646</v>
      </c>
      <c r="B73" s="317" t="s">
        <v>1682</v>
      </c>
      <c r="C73" s="315" t="s">
        <v>1672</v>
      </c>
      <c r="D73" s="315"/>
      <c r="E73" s="315"/>
      <c r="F73" s="315" t="s">
        <v>1643</v>
      </c>
      <c r="G73" s="315"/>
    </row>
    <row r="74" spans="1:7">
      <c r="A74" s="313" t="s">
        <v>1646</v>
      </c>
      <c r="B74" s="317" t="s">
        <v>1683</v>
      </c>
      <c r="C74" s="315" t="s">
        <v>1672</v>
      </c>
      <c r="D74" s="315"/>
      <c r="E74" s="315"/>
      <c r="F74" s="315" t="s">
        <v>1643</v>
      </c>
      <c r="G74" s="315"/>
    </row>
    <row r="75" spans="1:7">
      <c r="A75" s="313" t="s">
        <v>1646</v>
      </c>
      <c r="B75" s="317" t="s">
        <v>1684</v>
      </c>
      <c r="C75" s="315" t="s">
        <v>1672</v>
      </c>
      <c r="D75" s="315"/>
      <c r="E75" s="315"/>
      <c r="F75" s="315" t="s">
        <v>1643</v>
      </c>
      <c r="G75" s="315"/>
    </row>
    <row r="76" spans="1:7">
      <c r="A76" s="313" t="s">
        <v>1646</v>
      </c>
      <c r="B76" s="317" t="s">
        <v>1685</v>
      </c>
      <c r="C76" s="315" t="s">
        <v>1672</v>
      </c>
      <c r="D76" s="315"/>
      <c r="E76" s="315"/>
      <c r="F76" s="315" t="s">
        <v>1643</v>
      </c>
      <c r="G76" s="315"/>
    </row>
    <row r="77" spans="1:7">
      <c r="A77" s="313" t="s">
        <v>1646</v>
      </c>
      <c r="B77" s="317" t="s">
        <v>1686</v>
      </c>
      <c r="C77" s="315" t="s">
        <v>1672</v>
      </c>
      <c r="D77" s="315"/>
      <c r="E77" s="315"/>
      <c r="F77" s="315" t="s">
        <v>1643</v>
      </c>
      <c r="G77" s="315"/>
    </row>
    <row r="78" spans="1:7">
      <c r="A78" s="313" t="s">
        <v>1646</v>
      </c>
      <c r="B78" s="317" t="s">
        <v>1687</v>
      </c>
      <c r="C78" s="315" t="s">
        <v>1672</v>
      </c>
      <c r="D78" s="315"/>
      <c r="E78" s="315"/>
      <c r="F78" s="315" t="s">
        <v>1643</v>
      </c>
      <c r="G78" s="315"/>
    </row>
    <row r="79" spans="1:7">
      <c r="A79" s="313" t="s">
        <v>1646</v>
      </c>
      <c r="B79" s="317" t="s">
        <v>1688</v>
      </c>
      <c r="C79" s="315" t="s">
        <v>1672</v>
      </c>
      <c r="D79" s="315"/>
      <c r="E79" s="315"/>
      <c r="F79" s="315" t="s">
        <v>1643</v>
      </c>
      <c r="G79" s="315"/>
    </row>
    <row r="80" spans="1:7">
      <c r="A80" s="313" t="s">
        <v>1646</v>
      </c>
      <c r="B80" s="317" t="s">
        <v>1689</v>
      </c>
      <c r="C80" s="315" t="s">
        <v>1672</v>
      </c>
      <c r="D80" s="316" t="s">
        <v>1638</v>
      </c>
      <c r="E80" s="315"/>
      <c r="F80" s="315" t="s">
        <v>1643</v>
      </c>
      <c r="G80" s="316" t="s">
        <v>1638</v>
      </c>
    </row>
    <row r="81" spans="1:7">
      <c r="A81" s="313" t="s">
        <v>1646</v>
      </c>
      <c r="B81" s="317" t="s">
        <v>1690</v>
      </c>
      <c r="C81" s="315" t="s">
        <v>1672</v>
      </c>
      <c r="D81" s="315"/>
      <c r="E81" s="315"/>
      <c r="F81" s="315" t="s">
        <v>1643</v>
      </c>
      <c r="G81" s="315"/>
    </row>
    <row r="82" spans="1:7">
      <c r="A82" s="313" t="s">
        <v>1646</v>
      </c>
      <c r="B82" s="317" t="s">
        <v>1691</v>
      </c>
      <c r="C82" s="315" t="s">
        <v>1672</v>
      </c>
      <c r="D82" s="315"/>
      <c r="E82" s="315"/>
      <c r="F82" s="315" t="s">
        <v>1643</v>
      </c>
      <c r="G82" s="315"/>
    </row>
    <row r="83" spans="1:7">
      <c r="A83" s="313" t="s">
        <v>1646</v>
      </c>
      <c r="B83" s="317" t="s">
        <v>1692</v>
      </c>
      <c r="C83" s="315" t="s">
        <v>1672</v>
      </c>
      <c r="D83" s="315"/>
      <c r="E83" s="315"/>
      <c r="F83" s="315" t="s">
        <v>1643</v>
      </c>
      <c r="G83" s="315"/>
    </row>
    <row r="84" spans="1:7">
      <c r="A84" s="313" t="s">
        <v>1646</v>
      </c>
      <c r="B84" s="317" t="s">
        <v>1693</v>
      </c>
      <c r="C84" s="315" t="s">
        <v>1672</v>
      </c>
      <c r="D84" s="315"/>
      <c r="E84" s="315"/>
      <c r="F84" s="315" t="s">
        <v>1643</v>
      </c>
      <c r="G84" s="315"/>
    </row>
    <row r="85" spans="1:7">
      <c r="A85" s="313" t="s">
        <v>1646</v>
      </c>
      <c r="B85" s="317" t="s">
        <v>1694</v>
      </c>
      <c r="C85" s="315" t="s">
        <v>1672</v>
      </c>
      <c r="D85" s="315"/>
      <c r="E85" s="315"/>
      <c r="F85" s="315" t="s">
        <v>1643</v>
      </c>
      <c r="G85" s="315"/>
    </row>
    <row r="86" spans="1:7">
      <c r="A86" s="313" t="s">
        <v>1646</v>
      </c>
      <c r="B86" s="317" t="s">
        <v>1695</v>
      </c>
      <c r="C86" s="315" t="s">
        <v>1672</v>
      </c>
      <c r="D86" s="315"/>
      <c r="E86" s="315"/>
      <c r="F86" s="315" t="s">
        <v>1643</v>
      </c>
      <c r="G86" s="315"/>
    </row>
    <row r="87" spans="1:7">
      <c r="A87" s="313" t="s">
        <v>1646</v>
      </c>
      <c r="B87" s="317" t="s">
        <v>1696</v>
      </c>
      <c r="C87" s="315" t="s">
        <v>1672</v>
      </c>
      <c r="D87" s="315"/>
      <c r="E87" s="315"/>
      <c r="F87" s="315" t="s">
        <v>1643</v>
      </c>
      <c r="G87" s="315"/>
    </row>
    <row r="88" spans="1:7">
      <c r="A88" s="313" t="s">
        <v>1646</v>
      </c>
      <c r="B88" s="317" t="s">
        <v>1697</v>
      </c>
      <c r="C88" s="315" t="s">
        <v>1672</v>
      </c>
      <c r="D88" s="315"/>
      <c r="E88" s="315"/>
      <c r="F88" s="315" t="s">
        <v>1643</v>
      </c>
      <c r="G88" s="315"/>
    </row>
    <row r="89" spans="1:7">
      <c r="A89" s="313" t="s">
        <v>1646</v>
      </c>
      <c r="B89" s="317" t="s">
        <v>1698</v>
      </c>
      <c r="C89" s="315" t="s">
        <v>1672</v>
      </c>
      <c r="D89" s="315"/>
      <c r="E89" s="316" t="s">
        <v>1638</v>
      </c>
      <c r="F89" s="315" t="s">
        <v>1643</v>
      </c>
      <c r="G89" s="316" t="s">
        <v>1638</v>
      </c>
    </row>
    <row r="90" spans="1:7">
      <c r="A90" s="313" t="s">
        <v>1646</v>
      </c>
      <c r="B90" s="317" t="s">
        <v>1699</v>
      </c>
      <c r="C90" s="315" t="s">
        <v>1672</v>
      </c>
      <c r="D90" s="315"/>
      <c r="E90" s="315"/>
      <c r="F90" s="315" t="s">
        <v>1643</v>
      </c>
      <c r="G90" s="315"/>
    </row>
    <row r="91" spans="1:7">
      <c r="A91" s="313" t="s">
        <v>1646</v>
      </c>
      <c r="B91" s="317" t="s">
        <v>1700</v>
      </c>
      <c r="C91" s="315" t="s">
        <v>1672</v>
      </c>
      <c r="D91" s="315"/>
      <c r="E91" s="315"/>
      <c r="F91" s="315" t="s">
        <v>1643</v>
      </c>
      <c r="G91" s="315"/>
    </row>
    <row r="92" spans="1:7">
      <c r="A92" s="313" t="s">
        <v>1646</v>
      </c>
      <c r="B92" s="317" t="s">
        <v>1701</v>
      </c>
      <c r="C92" s="315" t="s">
        <v>1672</v>
      </c>
      <c r="D92" s="315"/>
      <c r="E92" s="315"/>
      <c r="F92" s="315" t="s">
        <v>1643</v>
      </c>
      <c r="G92" s="315"/>
    </row>
    <row r="93" spans="1:7">
      <c r="A93" s="313" t="s">
        <v>1646</v>
      </c>
      <c r="B93" s="317" t="s">
        <v>1702</v>
      </c>
      <c r="C93" s="315" t="s">
        <v>1672</v>
      </c>
      <c r="D93" s="315"/>
      <c r="E93" s="315"/>
      <c r="F93" s="315" t="s">
        <v>1643</v>
      </c>
      <c r="G93" s="315"/>
    </row>
    <row r="94" spans="1:7">
      <c r="A94" s="313" t="s">
        <v>1646</v>
      </c>
      <c r="B94" s="317" t="s">
        <v>1703</v>
      </c>
      <c r="C94" s="315" t="s">
        <v>1672</v>
      </c>
      <c r="D94" s="315"/>
      <c r="E94" s="315"/>
      <c r="F94" s="315" t="s">
        <v>1643</v>
      </c>
      <c r="G94" s="315"/>
    </row>
    <row r="95" spans="1:7">
      <c r="A95" s="313" t="s">
        <v>1646</v>
      </c>
      <c r="B95" s="317" t="s">
        <v>1704</v>
      </c>
      <c r="C95" s="315" t="s">
        <v>1672</v>
      </c>
      <c r="D95" s="315"/>
      <c r="E95" s="315"/>
      <c r="F95" s="315" t="s">
        <v>1643</v>
      </c>
      <c r="G95" s="315"/>
    </row>
    <row r="96" spans="1:7">
      <c r="A96" s="313" t="s">
        <v>1646</v>
      </c>
      <c r="B96" s="317" t="s">
        <v>1705</v>
      </c>
      <c r="C96" s="315" t="s">
        <v>1672</v>
      </c>
      <c r="D96" s="315"/>
      <c r="E96" s="315"/>
      <c r="F96" s="315" t="s">
        <v>1643</v>
      </c>
      <c r="G96" s="315"/>
    </row>
    <row r="97" spans="1:7">
      <c r="A97" s="313" t="s">
        <v>1646</v>
      </c>
      <c r="B97" s="317" t="s">
        <v>1706</v>
      </c>
      <c r="C97" s="315" t="s">
        <v>1672</v>
      </c>
      <c r="D97" s="315"/>
      <c r="E97" s="315"/>
      <c r="F97" s="315" t="s">
        <v>1643</v>
      </c>
      <c r="G97" s="315"/>
    </row>
    <row r="98" spans="1:7">
      <c r="A98" s="313" t="s">
        <v>1646</v>
      </c>
      <c r="B98" s="317" t="s">
        <v>1707</v>
      </c>
      <c r="C98" s="315" t="s">
        <v>218</v>
      </c>
      <c r="D98" s="315"/>
      <c r="E98" s="316" t="s">
        <v>1638</v>
      </c>
      <c r="F98" s="315" t="s">
        <v>1643</v>
      </c>
      <c r="G98" s="315"/>
    </row>
    <row r="99" spans="1:7">
      <c r="A99" s="318" t="s">
        <v>1708</v>
      </c>
      <c r="B99" s="311" t="s">
        <v>1645</v>
      </c>
      <c r="C99" s="312" t="s">
        <v>1637</v>
      </c>
      <c r="D99" s="312" t="s">
        <v>1216</v>
      </c>
      <c r="E99" s="312" t="s">
        <v>37</v>
      </c>
      <c r="F99" s="312" t="s">
        <v>413</v>
      </c>
      <c r="G99" s="312" t="s">
        <v>54</v>
      </c>
    </row>
    <row r="100" spans="1:7">
      <c r="A100" s="313" t="s">
        <v>1708</v>
      </c>
      <c r="B100" s="317" t="s">
        <v>1709</v>
      </c>
      <c r="C100" s="315" t="s">
        <v>1710</v>
      </c>
      <c r="D100" s="316" t="s">
        <v>1638</v>
      </c>
      <c r="E100" s="315"/>
      <c r="F100" s="315"/>
      <c r="G100" s="315"/>
    </row>
    <row r="101" spans="1:7">
      <c r="A101" s="313" t="s">
        <v>1708</v>
      </c>
      <c r="B101" s="317" t="s">
        <v>1711</v>
      </c>
      <c r="C101" s="315" t="s">
        <v>1710</v>
      </c>
      <c r="D101" s="316" t="s">
        <v>1638</v>
      </c>
      <c r="E101" s="315"/>
      <c r="F101" s="315"/>
      <c r="G101" s="315"/>
    </row>
    <row r="102" spans="1:7">
      <c r="A102" s="313" t="s">
        <v>1708</v>
      </c>
      <c r="B102" s="317" t="s">
        <v>1712</v>
      </c>
      <c r="C102" s="315" t="s">
        <v>1710</v>
      </c>
      <c r="D102" s="316" t="s">
        <v>1638</v>
      </c>
      <c r="E102" s="315"/>
      <c r="F102" s="315"/>
      <c r="G102" s="315"/>
    </row>
    <row r="103" spans="1:7">
      <c r="A103" s="313" t="s">
        <v>1708</v>
      </c>
      <c r="B103" s="317" t="s">
        <v>1713</v>
      </c>
      <c r="C103" s="315" t="s">
        <v>1710</v>
      </c>
      <c r="D103" s="316" t="s">
        <v>1638</v>
      </c>
      <c r="E103" s="315"/>
      <c r="F103" s="315"/>
      <c r="G103" s="315"/>
    </row>
    <row r="104" spans="1:7">
      <c r="A104" s="313" t="s">
        <v>1708</v>
      </c>
      <c r="B104" s="317" t="s">
        <v>1714</v>
      </c>
      <c r="C104" s="315" t="s">
        <v>1710</v>
      </c>
      <c r="D104" s="316" t="s">
        <v>1638</v>
      </c>
      <c r="E104" s="315"/>
      <c r="F104" s="315"/>
      <c r="G104" s="315"/>
    </row>
    <row r="105" spans="1:7">
      <c r="A105" s="313" t="s">
        <v>1708</v>
      </c>
      <c r="B105" s="317" t="s">
        <v>1715</v>
      </c>
      <c r="C105" s="315" t="s">
        <v>1710</v>
      </c>
      <c r="D105" s="316" t="s">
        <v>1638</v>
      </c>
      <c r="E105" s="315"/>
      <c r="F105" s="315"/>
      <c r="G105" s="315"/>
    </row>
    <row r="106" spans="1:7">
      <c r="A106" s="313" t="s">
        <v>1708</v>
      </c>
      <c r="B106" s="317" t="s">
        <v>1716</v>
      </c>
      <c r="C106" s="315" t="s">
        <v>1710</v>
      </c>
      <c r="D106" s="316" t="s">
        <v>1638</v>
      </c>
      <c r="E106" s="315"/>
      <c r="F106" s="315"/>
      <c r="G106" s="315"/>
    </row>
    <row r="107" spans="1:7">
      <c r="A107" s="313" t="s">
        <v>1708</v>
      </c>
      <c r="B107" s="317" t="s">
        <v>1717</v>
      </c>
      <c r="C107" s="315" t="s">
        <v>1710</v>
      </c>
      <c r="D107" s="316" t="s">
        <v>1638</v>
      </c>
      <c r="E107" s="315"/>
      <c r="F107" s="315"/>
      <c r="G107" s="315"/>
    </row>
    <row r="108" spans="1:7">
      <c r="A108" s="313" t="s">
        <v>1708</v>
      </c>
      <c r="B108" s="317" t="s">
        <v>1718</v>
      </c>
      <c r="C108" s="315" t="s">
        <v>1710</v>
      </c>
      <c r="D108" s="316" t="s">
        <v>1638</v>
      </c>
      <c r="E108" s="315"/>
      <c r="F108" s="315"/>
      <c r="G108" s="315"/>
    </row>
    <row r="109" spans="1:7">
      <c r="A109" s="313" t="s">
        <v>1708</v>
      </c>
      <c r="B109" s="317" t="s">
        <v>1719</v>
      </c>
      <c r="C109" s="315" t="s">
        <v>1710</v>
      </c>
      <c r="D109" s="316" t="s">
        <v>1638</v>
      </c>
      <c r="E109" s="315"/>
      <c r="F109" s="315"/>
      <c r="G109" s="315"/>
    </row>
    <row r="110" spans="1:7">
      <c r="A110" s="313" t="s">
        <v>1708</v>
      </c>
      <c r="B110" s="317" t="s">
        <v>1720</v>
      </c>
      <c r="C110" s="315" t="s">
        <v>1710</v>
      </c>
      <c r="D110" s="316" t="s">
        <v>1638</v>
      </c>
      <c r="E110" s="315"/>
      <c r="F110" s="315"/>
      <c r="G110" s="315"/>
    </row>
    <row r="111" spans="1:7">
      <c r="A111" s="313" t="s">
        <v>1708</v>
      </c>
      <c r="B111" s="317" t="s">
        <v>1721</v>
      </c>
      <c r="C111" s="315" t="s">
        <v>1710</v>
      </c>
      <c r="D111" s="316" t="s">
        <v>1638</v>
      </c>
      <c r="E111" s="315"/>
      <c r="F111" s="315"/>
      <c r="G111" s="315"/>
    </row>
    <row r="112" spans="1:7">
      <c r="A112" s="313" t="s">
        <v>1708</v>
      </c>
      <c r="B112" s="317" t="s">
        <v>1722</v>
      </c>
      <c r="C112" s="315" t="s">
        <v>1710</v>
      </c>
      <c r="D112" s="316" t="s">
        <v>1638</v>
      </c>
      <c r="E112" s="315"/>
      <c r="F112" s="315"/>
      <c r="G112" s="315"/>
    </row>
    <row r="113" spans="1:7">
      <c r="A113" s="313" t="s">
        <v>1708</v>
      </c>
      <c r="B113" s="317" t="s">
        <v>1723</v>
      </c>
      <c r="C113" s="315" t="s">
        <v>1710</v>
      </c>
      <c r="D113" s="316" t="s">
        <v>1638</v>
      </c>
      <c r="E113" s="315"/>
      <c r="F113" s="315"/>
      <c r="G113" s="315"/>
    </row>
    <row r="114" spans="1:7">
      <c r="A114" s="313" t="s">
        <v>1708</v>
      </c>
      <c r="B114" s="317" t="s">
        <v>1724</v>
      </c>
      <c r="C114" s="315" t="s">
        <v>1710</v>
      </c>
      <c r="D114" s="316" t="s">
        <v>1638</v>
      </c>
      <c r="E114" s="315"/>
      <c r="F114" s="315"/>
      <c r="G114" s="315"/>
    </row>
    <row r="115" spans="1:7">
      <c r="A115" s="318" t="s">
        <v>1725</v>
      </c>
      <c r="B115" s="311" t="s">
        <v>1645</v>
      </c>
      <c r="C115" s="312" t="s">
        <v>1637</v>
      </c>
      <c r="D115" s="312" t="s">
        <v>1216</v>
      </c>
      <c r="E115" s="312" t="s">
        <v>37</v>
      </c>
      <c r="F115" s="312" t="s">
        <v>413</v>
      </c>
      <c r="G115" s="312" t="s">
        <v>54</v>
      </c>
    </row>
    <row r="116" spans="1:7">
      <c r="A116" s="313" t="s">
        <v>1725</v>
      </c>
      <c r="B116" s="317" t="s">
        <v>1726</v>
      </c>
      <c r="C116" s="315" t="s">
        <v>1727</v>
      </c>
      <c r="D116" s="316" t="s">
        <v>1638</v>
      </c>
      <c r="E116" s="315"/>
      <c r="F116" s="315"/>
      <c r="G116" s="315"/>
    </row>
    <row r="117" spans="1:7">
      <c r="A117" s="313" t="s">
        <v>1725</v>
      </c>
      <c r="B117" s="317" t="s">
        <v>1728</v>
      </c>
      <c r="C117" s="315" t="s">
        <v>1727</v>
      </c>
      <c r="D117" s="316" t="s">
        <v>1638</v>
      </c>
      <c r="E117" s="315"/>
      <c r="F117" s="315"/>
      <c r="G117" s="315"/>
    </row>
    <row r="118" spans="1:7">
      <c r="A118" s="313" t="s">
        <v>1725</v>
      </c>
      <c r="B118" s="317" t="s">
        <v>1729</v>
      </c>
      <c r="C118" s="315" t="s">
        <v>1727</v>
      </c>
      <c r="D118" s="316" t="s">
        <v>1638</v>
      </c>
      <c r="E118" s="315"/>
      <c r="F118" s="315"/>
      <c r="G118" s="315"/>
    </row>
    <row r="119" spans="1:7">
      <c r="A119" s="313" t="s">
        <v>1725</v>
      </c>
      <c r="B119" s="317" t="s">
        <v>1730</v>
      </c>
      <c r="C119" s="315" t="s">
        <v>1727</v>
      </c>
      <c r="D119" s="316" t="s">
        <v>1638</v>
      </c>
      <c r="E119" s="315"/>
      <c r="F119" s="315"/>
      <c r="G119" s="315"/>
    </row>
    <row r="120" spans="1:7">
      <c r="A120" s="313" t="s">
        <v>1725</v>
      </c>
      <c r="B120" s="317" t="s">
        <v>1731</v>
      </c>
      <c r="C120" s="315" t="s">
        <v>1727</v>
      </c>
      <c r="D120" s="316" t="s">
        <v>1638</v>
      </c>
      <c r="E120" s="315"/>
      <c r="F120" s="315"/>
      <c r="G120" s="315"/>
    </row>
    <row r="121" spans="1:7">
      <c r="A121" s="313" t="s">
        <v>1725</v>
      </c>
      <c r="B121" s="317" t="s">
        <v>1732</v>
      </c>
      <c r="C121" s="315" t="s">
        <v>1727</v>
      </c>
      <c r="D121" s="316" t="s">
        <v>1638</v>
      </c>
      <c r="E121" s="315"/>
      <c r="F121" s="315"/>
      <c r="G121" s="315"/>
    </row>
    <row r="122" spans="1:7">
      <c r="A122" s="313" t="s">
        <v>1725</v>
      </c>
      <c r="B122" s="317" t="s">
        <v>1733</v>
      </c>
      <c r="C122" s="315" t="s">
        <v>1727</v>
      </c>
      <c r="D122" s="316" t="s">
        <v>1638</v>
      </c>
      <c r="E122" s="315"/>
      <c r="F122" s="315"/>
      <c r="G122" s="315"/>
    </row>
    <row r="123" spans="1:7">
      <c r="A123" s="313" t="s">
        <v>1725</v>
      </c>
      <c r="B123" s="317" t="s">
        <v>1734</v>
      </c>
      <c r="C123" s="315" t="s">
        <v>1727</v>
      </c>
      <c r="D123" s="316" t="s">
        <v>1638</v>
      </c>
      <c r="E123" s="315"/>
      <c r="F123" s="315"/>
      <c r="G123" s="315"/>
    </row>
    <row r="124" spans="1:7">
      <c r="A124" s="313" t="s">
        <v>1725</v>
      </c>
      <c r="B124" s="317" t="s">
        <v>1735</v>
      </c>
      <c r="C124" s="315" t="s">
        <v>1727</v>
      </c>
      <c r="D124" s="316" t="s">
        <v>1638</v>
      </c>
      <c r="E124" s="315"/>
      <c r="F124" s="315"/>
      <c r="G124" s="315"/>
    </row>
    <row r="125" spans="1:7">
      <c r="A125" s="313" t="s">
        <v>1725</v>
      </c>
      <c r="B125" s="317" t="s">
        <v>1736</v>
      </c>
      <c r="C125" s="315" t="s">
        <v>1727</v>
      </c>
      <c r="D125" s="316" t="s">
        <v>1638</v>
      </c>
      <c r="E125" s="315"/>
      <c r="F125" s="315"/>
      <c r="G125" s="315"/>
    </row>
    <row r="126" spans="1:7">
      <c r="A126" s="313" t="s">
        <v>1725</v>
      </c>
      <c r="B126" s="317" t="s">
        <v>1737</v>
      </c>
      <c r="C126" s="315" t="s">
        <v>1727</v>
      </c>
      <c r="D126" s="316" t="s">
        <v>1638</v>
      </c>
      <c r="E126" s="315"/>
      <c r="F126" s="315"/>
      <c r="G126" s="315"/>
    </row>
    <row r="127" spans="1:7">
      <c r="A127" s="313" t="s">
        <v>1725</v>
      </c>
      <c r="B127" s="317" t="s">
        <v>1738</v>
      </c>
      <c r="C127" s="315" t="s">
        <v>1727</v>
      </c>
      <c r="D127" s="316" t="s">
        <v>1638</v>
      </c>
      <c r="E127" s="315"/>
      <c r="F127" s="315"/>
      <c r="G127" s="315"/>
    </row>
    <row r="128" spans="1:7">
      <c r="A128" s="313" t="s">
        <v>1725</v>
      </c>
      <c r="B128" s="317" t="s">
        <v>1739</v>
      </c>
      <c r="C128" s="315" t="s">
        <v>1727</v>
      </c>
      <c r="D128" s="316" t="s">
        <v>1638</v>
      </c>
      <c r="E128" s="315"/>
      <c r="F128" s="315"/>
      <c r="G128" s="315"/>
    </row>
    <row r="129" spans="1:7">
      <c r="A129" s="313" t="s">
        <v>1725</v>
      </c>
      <c r="B129" s="317" t="s">
        <v>1740</v>
      </c>
      <c r="C129" s="315" t="s">
        <v>1727</v>
      </c>
      <c r="D129" s="316" t="s">
        <v>1638</v>
      </c>
      <c r="E129" s="315"/>
      <c r="F129" s="315"/>
      <c r="G129" s="315"/>
    </row>
    <row r="130" spans="1:7">
      <c r="A130" s="313" t="s">
        <v>1725</v>
      </c>
      <c r="B130" s="317" t="s">
        <v>1741</v>
      </c>
      <c r="C130" s="315" t="s">
        <v>1727</v>
      </c>
      <c r="D130" s="316" t="s">
        <v>1638</v>
      </c>
      <c r="E130" s="315"/>
      <c r="F130" s="315"/>
      <c r="G130" s="315"/>
    </row>
    <row r="131" spans="1:7">
      <c r="A131" s="313" t="s">
        <v>1725</v>
      </c>
      <c r="B131" s="317" t="s">
        <v>1742</v>
      </c>
      <c r="C131" s="315" t="s">
        <v>1727</v>
      </c>
      <c r="D131" s="316" t="s">
        <v>1638</v>
      </c>
      <c r="E131" s="315"/>
      <c r="F131" s="315"/>
      <c r="G131" s="315"/>
    </row>
    <row r="132" spans="1:7">
      <c r="A132" s="313" t="s">
        <v>1725</v>
      </c>
      <c r="B132" s="317" t="s">
        <v>1743</v>
      </c>
      <c r="C132" s="315" t="s">
        <v>1727</v>
      </c>
      <c r="D132" s="316" t="s">
        <v>1638</v>
      </c>
      <c r="E132" s="315"/>
      <c r="F132" s="315"/>
      <c r="G132" s="315"/>
    </row>
    <row r="133" spans="1:7">
      <c r="A133" s="313" t="s">
        <v>1725</v>
      </c>
      <c r="B133" s="317" t="s">
        <v>1744</v>
      </c>
      <c r="C133" s="315" t="s">
        <v>1727</v>
      </c>
      <c r="D133" s="316" t="s">
        <v>1638</v>
      </c>
      <c r="E133" s="315"/>
      <c r="F133" s="315"/>
      <c r="G133" s="315"/>
    </row>
    <row r="134" spans="1:7">
      <c r="A134" s="313" t="s">
        <v>1725</v>
      </c>
      <c r="B134" s="317" t="s">
        <v>1745</v>
      </c>
      <c r="C134" s="315" t="s">
        <v>1727</v>
      </c>
      <c r="D134" s="316" t="s">
        <v>1638</v>
      </c>
      <c r="E134" s="315"/>
      <c r="F134" s="315"/>
      <c r="G134" s="315"/>
    </row>
    <row r="135" spans="1:7">
      <c r="A135" s="313" t="s">
        <v>1725</v>
      </c>
      <c r="B135" s="317" t="s">
        <v>1746</v>
      </c>
      <c r="C135" s="315" t="s">
        <v>1727</v>
      </c>
      <c r="D135" s="316" t="s">
        <v>1638</v>
      </c>
      <c r="E135" s="315"/>
      <c r="F135" s="315"/>
      <c r="G135" s="315"/>
    </row>
    <row r="136" spans="1:7">
      <c r="A136" s="313" t="s">
        <v>1725</v>
      </c>
      <c r="B136" s="317" t="s">
        <v>1747</v>
      </c>
      <c r="C136" s="315" t="s">
        <v>1727</v>
      </c>
      <c r="D136" s="316" t="s">
        <v>1638</v>
      </c>
      <c r="E136" s="315"/>
      <c r="F136" s="315"/>
      <c r="G136" s="315"/>
    </row>
    <row r="137" spans="1:7">
      <c r="A137" s="313" t="s">
        <v>1725</v>
      </c>
      <c r="B137" s="317" t="s">
        <v>1748</v>
      </c>
      <c r="C137" s="315" t="s">
        <v>1727</v>
      </c>
      <c r="D137" s="316" t="s">
        <v>1638</v>
      </c>
      <c r="E137" s="315"/>
      <c r="F137" s="315"/>
      <c r="G137" s="315"/>
    </row>
    <row r="138" spans="1:7">
      <c r="A138" s="313" t="s">
        <v>1725</v>
      </c>
      <c r="B138" s="317" t="s">
        <v>1749</v>
      </c>
      <c r="C138" s="315" t="s">
        <v>1727</v>
      </c>
      <c r="D138" s="316" t="s">
        <v>1638</v>
      </c>
      <c r="E138" s="315"/>
      <c r="F138" s="315"/>
      <c r="G138" s="315"/>
    </row>
    <row r="139" spans="1:7">
      <c r="A139" s="313" t="s">
        <v>1725</v>
      </c>
      <c r="B139" s="317" t="s">
        <v>1750</v>
      </c>
      <c r="C139" s="315" t="s">
        <v>1727</v>
      </c>
      <c r="D139" s="316" t="s">
        <v>1638</v>
      </c>
      <c r="E139" s="315"/>
      <c r="F139" s="315"/>
      <c r="G139" s="315"/>
    </row>
    <row r="140" spans="1:7">
      <c r="A140" s="313" t="s">
        <v>1725</v>
      </c>
      <c r="B140" s="317" t="s">
        <v>1751</v>
      </c>
      <c r="C140" s="315" t="s">
        <v>1727</v>
      </c>
      <c r="D140" s="316" t="s">
        <v>1638</v>
      </c>
      <c r="E140" s="315"/>
      <c r="F140" s="315"/>
      <c r="G140" s="315"/>
    </row>
    <row r="141" spans="1:7">
      <c r="A141" s="313" t="s">
        <v>1725</v>
      </c>
      <c r="B141" s="317" t="s">
        <v>1752</v>
      </c>
      <c r="C141" s="315" t="s">
        <v>1727</v>
      </c>
      <c r="D141" s="316" t="s">
        <v>1638</v>
      </c>
      <c r="E141" s="315"/>
      <c r="F141" s="315"/>
      <c r="G141" s="315"/>
    </row>
    <row r="142" spans="1:7">
      <c r="A142" s="313" t="s">
        <v>1725</v>
      </c>
      <c r="B142" s="317" t="s">
        <v>1753</v>
      </c>
      <c r="C142" s="315" t="s">
        <v>1727</v>
      </c>
      <c r="D142" s="316" t="s">
        <v>1638</v>
      </c>
      <c r="E142" s="315"/>
      <c r="F142" s="315"/>
      <c r="G142" s="315"/>
    </row>
    <row r="143" spans="1:7">
      <c r="A143" s="313" t="s">
        <v>1725</v>
      </c>
      <c r="B143" s="317" t="s">
        <v>1754</v>
      </c>
      <c r="C143" s="315" t="s">
        <v>1727</v>
      </c>
      <c r="D143" s="316" t="s">
        <v>1638</v>
      </c>
      <c r="E143" s="315"/>
      <c r="F143" s="315"/>
      <c r="G143" s="315"/>
    </row>
    <row r="144" spans="1:7">
      <c r="A144" s="313" t="s">
        <v>1725</v>
      </c>
      <c r="B144" s="317" t="s">
        <v>1755</v>
      </c>
      <c r="C144" s="315" t="s">
        <v>1727</v>
      </c>
      <c r="D144" s="316" t="s">
        <v>1638</v>
      </c>
      <c r="E144" s="315"/>
      <c r="F144" s="315"/>
      <c r="G144" s="315"/>
    </row>
    <row r="145" spans="1:7">
      <c r="A145" s="313" t="s">
        <v>1725</v>
      </c>
      <c r="B145" s="317" t="s">
        <v>1756</v>
      </c>
      <c r="C145" s="315" t="s">
        <v>1727</v>
      </c>
      <c r="D145" s="316" t="s">
        <v>1638</v>
      </c>
      <c r="E145" s="315"/>
      <c r="F145" s="315"/>
      <c r="G145" s="315"/>
    </row>
    <row r="146" spans="1:7">
      <c r="A146" s="313" t="s">
        <v>1725</v>
      </c>
      <c r="B146" s="317" t="s">
        <v>1757</v>
      </c>
      <c r="C146" s="315" t="s">
        <v>1727</v>
      </c>
      <c r="D146" s="316" t="s">
        <v>1638</v>
      </c>
      <c r="E146" s="315"/>
      <c r="F146" s="315"/>
      <c r="G146" s="315"/>
    </row>
    <row r="147" spans="1:7">
      <c r="A147" s="313" t="s">
        <v>1725</v>
      </c>
      <c r="B147" s="317" t="s">
        <v>1758</v>
      </c>
      <c r="C147" s="315" t="s">
        <v>1727</v>
      </c>
      <c r="D147" s="316" t="s">
        <v>1638</v>
      </c>
      <c r="E147" s="315"/>
      <c r="F147" s="315"/>
      <c r="G147" s="315"/>
    </row>
    <row r="148" spans="1:7">
      <c r="A148" s="313" t="s">
        <v>1725</v>
      </c>
      <c r="B148" s="317" t="s">
        <v>1759</v>
      </c>
      <c r="C148" s="315" t="s">
        <v>1727</v>
      </c>
      <c r="D148" s="316" t="s">
        <v>1638</v>
      </c>
      <c r="E148" s="315"/>
      <c r="F148" s="315"/>
      <c r="G148" s="315"/>
    </row>
    <row r="149" spans="1:7">
      <c r="A149" s="313" t="s">
        <v>1725</v>
      </c>
      <c r="B149" s="317" t="s">
        <v>1760</v>
      </c>
      <c r="C149" s="315" t="s">
        <v>1727</v>
      </c>
      <c r="D149" s="316" t="s">
        <v>1638</v>
      </c>
      <c r="E149" s="315"/>
      <c r="F149" s="315"/>
      <c r="G149" s="315"/>
    </row>
    <row r="150" spans="1:7">
      <c r="A150" s="313" t="s">
        <v>1725</v>
      </c>
      <c r="B150" s="317" t="s">
        <v>1761</v>
      </c>
      <c r="C150" s="315" t="s">
        <v>1727</v>
      </c>
      <c r="D150" s="316" t="s">
        <v>1638</v>
      </c>
      <c r="E150" s="315"/>
      <c r="F150" s="315"/>
      <c r="G150" s="315"/>
    </row>
    <row r="151" spans="1:7">
      <c r="A151" s="313" t="s">
        <v>1725</v>
      </c>
      <c r="B151" s="317" t="s">
        <v>1762</v>
      </c>
      <c r="C151" s="315" t="s">
        <v>1727</v>
      </c>
      <c r="D151" s="316" t="s">
        <v>1638</v>
      </c>
      <c r="E151" s="315"/>
      <c r="F151" s="315"/>
      <c r="G151" s="315"/>
    </row>
    <row r="152" spans="1:7">
      <c r="A152" s="313" t="s">
        <v>1725</v>
      </c>
      <c r="B152" s="317" t="s">
        <v>1763</v>
      </c>
      <c r="C152" s="315" t="s">
        <v>1764</v>
      </c>
      <c r="D152" s="316" t="s">
        <v>1638</v>
      </c>
      <c r="E152" s="315"/>
      <c r="F152" s="315"/>
      <c r="G152" s="315"/>
    </row>
    <row r="153" spans="1:7">
      <c r="A153" s="313" t="s">
        <v>1725</v>
      </c>
      <c r="B153" s="317" t="s">
        <v>1765</v>
      </c>
      <c r="C153" s="315" t="s">
        <v>1764</v>
      </c>
      <c r="D153" s="316" t="s">
        <v>1638</v>
      </c>
      <c r="E153" s="315"/>
      <c r="F153" s="315"/>
      <c r="G153" s="315"/>
    </row>
    <row r="154" spans="1:7">
      <c r="A154" s="313" t="s">
        <v>1725</v>
      </c>
      <c r="B154" s="317" t="s">
        <v>1766</v>
      </c>
      <c r="C154" s="315" t="s">
        <v>1764</v>
      </c>
      <c r="D154" s="316" t="s">
        <v>1638</v>
      </c>
      <c r="E154" s="315"/>
      <c r="F154" s="315"/>
      <c r="G154" s="315"/>
    </row>
    <row r="155" spans="1:7">
      <c r="A155" s="313" t="s">
        <v>1725</v>
      </c>
      <c r="B155" s="317" t="s">
        <v>1767</v>
      </c>
      <c r="C155" s="315" t="s">
        <v>1764</v>
      </c>
      <c r="D155" s="316" t="s">
        <v>1638</v>
      </c>
      <c r="E155" s="315"/>
      <c r="F155" s="315"/>
      <c r="G155" s="315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6"/>
  <sheetViews>
    <sheetView workbookViewId="0">
      <selection activeCell="M28" sqref="M28"/>
    </sheetView>
  </sheetViews>
  <sheetFormatPr defaultRowHeight="15"/>
  <sheetData>
    <row r="1" spans="1:6">
      <c r="A1" s="319" t="s">
        <v>1637</v>
      </c>
      <c r="B1" s="319" t="s">
        <v>1768</v>
      </c>
      <c r="C1" s="319" t="s">
        <v>1769</v>
      </c>
      <c r="D1" s="319" t="s">
        <v>1770</v>
      </c>
      <c r="E1" s="319" t="s">
        <v>1771</v>
      </c>
      <c r="F1" s="320" t="s">
        <v>1642</v>
      </c>
    </row>
    <row r="2" spans="1:6">
      <c r="A2" s="321" t="s">
        <v>1218</v>
      </c>
      <c r="B2" s="321">
        <v>130</v>
      </c>
      <c r="C2" s="321">
        <v>2</v>
      </c>
      <c r="D2" s="321">
        <v>3</v>
      </c>
      <c r="E2" s="321">
        <f>B2*C2*D2</f>
        <v>780</v>
      </c>
      <c r="F2" s="321" t="s">
        <v>1772</v>
      </c>
    </row>
    <row r="3" spans="1:6">
      <c r="A3" s="321" t="s">
        <v>1646</v>
      </c>
      <c r="B3" s="321">
        <v>160</v>
      </c>
      <c r="C3" s="321">
        <v>2</v>
      </c>
      <c r="D3" s="321">
        <v>1</v>
      </c>
      <c r="E3" s="321">
        <f>B3*C3*D3</f>
        <v>320</v>
      </c>
      <c r="F3" s="321" t="s">
        <v>1773</v>
      </c>
    </row>
    <row r="4" spans="1:6">
      <c r="A4" s="321" t="s">
        <v>1708</v>
      </c>
      <c r="B4" s="321">
        <f>150+60</f>
        <v>210</v>
      </c>
      <c r="C4" s="321">
        <v>2</v>
      </c>
      <c r="D4" s="321">
        <v>1</v>
      </c>
      <c r="E4" s="321">
        <f t="shared" ref="E4:E6" si="0">B4*C4*D4</f>
        <v>420</v>
      </c>
      <c r="F4" s="321" t="s">
        <v>1774</v>
      </c>
    </row>
    <row r="5" spans="1:6">
      <c r="A5" s="325" t="s">
        <v>1725</v>
      </c>
      <c r="B5" s="321">
        <v>120</v>
      </c>
      <c r="C5" s="321">
        <v>2</v>
      </c>
      <c r="D5" s="321">
        <v>2</v>
      </c>
      <c r="E5" s="321">
        <f t="shared" si="0"/>
        <v>480</v>
      </c>
      <c r="F5" s="321" t="s">
        <v>1775</v>
      </c>
    </row>
    <row r="6" spans="1:6">
      <c r="A6" s="326"/>
      <c r="B6" s="321">
        <v>60</v>
      </c>
      <c r="C6" s="321">
        <v>2</v>
      </c>
      <c r="D6" s="321">
        <v>1</v>
      </c>
      <c r="E6" s="321">
        <f t="shared" si="0"/>
        <v>120</v>
      </c>
      <c r="F6" s="321" t="s">
        <v>1776</v>
      </c>
    </row>
  </sheetData>
  <mergeCells count="1">
    <mergeCell ref="A5:A6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_temp"/>
  <dimension ref="A1:N1959"/>
  <sheetViews>
    <sheetView zoomScale="85" zoomScaleNormal="85" workbookViewId="0">
      <pane ySplit="1" topLeftCell="A2" activePane="bottomLeft" state="frozen"/>
      <selection pane="bottomLeft" sqref="A1:G1048576"/>
    </sheetView>
  </sheetViews>
  <sheetFormatPr defaultRowHeight="15"/>
  <cols>
    <col min="1" max="1" width="11.85546875" bestFit="1" customWidth="1"/>
    <col min="2" max="2" width="9.85546875" bestFit="1" customWidth="1"/>
    <col min="3" max="3" width="14.28515625" bestFit="1" customWidth="1"/>
    <col min="4" max="4" width="9.7109375" bestFit="1" customWidth="1"/>
    <col min="5" max="5" width="8.85546875" bestFit="1" customWidth="1"/>
    <col min="6" max="7" width="25.5703125" style="6" bestFit="1" customWidth="1"/>
    <col min="13" max="13" width="17.85546875" bestFit="1" customWidth="1"/>
    <col min="14" max="14" width="11.7109375" bestFit="1" customWidth="1"/>
  </cols>
  <sheetData>
    <row r="1" spans="1:14">
      <c r="A1" s="3" t="s">
        <v>0</v>
      </c>
      <c r="B1" s="3" t="s">
        <v>2</v>
      </c>
      <c r="C1" s="3" t="s">
        <v>1</v>
      </c>
      <c r="D1" s="3" t="s">
        <v>3</v>
      </c>
      <c r="E1" s="3" t="s">
        <v>4</v>
      </c>
      <c r="F1" t="s">
        <v>26</v>
      </c>
      <c r="G1" t="s">
        <v>29</v>
      </c>
      <c r="H1" s="283">
        <f>MAX(B2:B604)</f>
        <v>44072</v>
      </c>
      <c r="I1" s="283">
        <f>MIN(B2:B604)</f>
        <v>44032</v>
      </c>
      <c r="M1" s="3" t="s">
        <v>30</v>
      </c>
      <c r="N1" t="s">
        <v>31</v>
      </c>
    </row>
    <row r="2" spans="1:14">
      <c r="A2" t="s">
        <v>1233</v>
      </c>
      <c r="B2" s="283">
        <v>44032</v>
      </c>
      <c r="C2" t="s">
        <v>1123</v>
      </c>
      <c r="D2">
        <v>2</v>
      </c>
      <c r="E2">
        <v>53</v>
      </c>
      <c r="F2" t="s">
        <v>1872</v>
      </c>
      <c r="G2" t="s">
        <v>1872</v>
      </c>
      <c r="M2" s="4" t="s">
        <v>1620</v>
      </c>
      <c r="N2" s="5">
        <v>2</v>
      </c>
    </row>
    <row r="3" spans="1:14">
      <c r="A3" t="s">
        <v>1233</v>
      </c>
      <c r="B3" s="283">
        <v>44032</v>
      </c>
      <c r="C3" t="s">
        <v>1180</v>
      </c>
      <c r="D3">
        <v>1</v>
      </c>
      <c r="E3">
        <v>76</v>
      </c>
      <c r="F3" t="s">
        <v>1873</v>
      </c>
      <c r="G3" t="s">
        <v>1873</v>
      </c>
      <c r="M3" s="4" t="s">
        <v>2020</v>
      </c>
      <c r="N3" s="5">
        <v>2</v>
      </c>
    </row>
    <row r="4" spans="1:14">
      <c r="A4" t="s">
        <v>1234</v>
      </c>
      <c r="B4" s="283">
        <v>44032</v>
      </c>
      <c r="C4" t="s">
        <v>1149</v>
      </c>
      <c r="D4">
        <v>1</v>
      </c>
      <c r="E4">
        <v>7</v>
      </c>
      <c r="F4" t="s">
        <v>1902</v>
      </c>
      <c r="G4" t="s">
        <v>1902</v>
      </c>
      <c r="M4" s="4" t="s">
        <v>1845</v>
      </c>
      <c r="N4" s="5">
        <v>2</v>
      </c>
    </row>
    <row r="5" spans="1:14">
      <c r="A5" t="s">
        <v>1234</v>
      </c>
      <c r="B5" s="283">
        <v>44032</v>
      </c>
      <c r="C5" t="s">
        <v>1149</v>
      </c>
      <c r="D5">
        <v>4</v>
      </c>
      <c r="E5">
        <v>51</v>
      </c>
      <c r="F5" t="s">
        <v>1902</v>
      </c>
      <c r="G5" t="s">
        <v>1902</v>
      </c>
      <c r="M5" s="4" t="s">
        <v>1620</v>
      </c>
      <c r="N5" s="5">
        <v>2</v>
      </c>
    </row>
    <row r="6" spans="1:14">
      <c r="A6" t="s">
        <v>1234</v>
      </c>
      <c r="B6" s="283">
        <v>44032</v>
      </c>
      <c r="C6" t="s">
        <v>1153</v>
      </c>
      <c r="D6">
        <v>2</v>
      </c>
      <c r="E6">
        <v>50</v>
      </c>
      <c r="F6" t="s">
        <v>1903</v>
      </c>
      <c r="G6" t="s">
        <v>1903</v>
      </c>
      <c r="M6" s="4" t="s">
        <v>1622</v>
      </c>
      <c r="N6" s="5">
        <v>2</v>
      </c>
    </row>
    <row r="7" spans="1:14">
      <c r="A7" t="s">
        <v>1234</v>
      </c>
      <c r="B7" s="283">
        <v>44032</v>
      </c>
      <c r="C7" t="s">
        <v>1235</v>
      </c>
      <c r="D7">
        <v>3</v>
      </c>
      <c r="E7">
        <v>20</v>
      </c>
      <c r="F7" t="s">
        <v>1904</v>
      </c>
      <c r="G7" t="s">
        <v>1904</v>
      </c>
      <c r="M7" s="4" t="s">
        <v>1623</v>
      </c>
      <c r="N7" s="5">
        <v>2</v>
      </c>
    </row>
    <row r="8" spans="1:14">
      <c r="A8" t="s">
        <v>1236</v>
      </c>
      <c r="B8" s="283">
        <v>44032</v>
      </c>
      <c r="C8" t="s">
        <v>1110</v>
      </c>
      <c r="D8">
        <v>1</v>
      </c>
      <c r="E8">
        <v>46</v>
      </c>
      <c r="F8" t="s">
        <v>1940</v>
      </c>
      <c r="G8" t="s">
        <v>1940</v>
      </c>
      <c r="M8" s="4" t="s">
        <v>1621</v>
      </c>
      <c r="N8" s="5">
        <v>2</v>
      </c>
    </row>
    <row r="9" spans="1:14">
      <c r="A9" t="s">
        <v>1236</v>
      </c>
      <c r="B9" s="283">
        <v>44032</v>
      </c>
      <c r="C9" t="s">
        <v>1110</v>
      </c>
      <c r="D9">
        <v>4</v>
      </c>
      <c r="E9">
        <v>53</v>
      </c>
      <c r="F9" t="s">
        <v>1940</v>
      </c>
      <c r="G9" t="s">
        <v>1940</v>
      </c>
      <c r="M9" s="4" t="s">
        <v>1620</v>
      </c>
      <c r="N9" s="5">
        <v>2</v>
      </c>
    </row>
    <row r="10" spans="1:14">
      <c r="A10" t="s">
        <v>1236</v>
      </c>
      <c r="B10" s="283">
        <v>44032</v>
      </c>
      <c r="C10" t="s">
        <v>1121</v>
      </c>
      <c r="D10">
        <v>2</v>
      </c>
      <c r="E10">
        <v>12</v>
      </c>
      <c r="F10" t="s">
        <v>1941</v>
      </c>
      <c r="G10" t="s">
        <v>1941</v>
      </c>
      <c r="M10" s="4" t="s">
        <v>1622</v>
      </c>
      <c r="N10" s="5">
        <v>2</v>
      </c>
    </row>
    <row r="11" spans="1:14">
      <c r="A11" t="s">
        <v>1236</v>
      </c>
      <c r="B11" s="283">
        <v>44032</v>
      </c>
      <c r="C11" t="s">
        <v>1182</v>
      </c>
      <c r="D11">
        <v>3</v>
      </c>
      <c r="E11">
        <v>18</v>
      </c>
      <c r="F11" t="s">
        <v>1942</v>
      </c>
      <c r="G11" t="s">
        <v>1942</v>
      </c>
      <c r="M11" s="4" t="s">
        <v>1623</v>
      </c>
      <c r="N11" s="5">
        <v>2</v>
      </c>
    </row>
    <row r="12" spans="1:14">
      <c r="A12" t="s">
        <v>1219</v>
      </c>
      <c r="B12" s="283">
        <v>44032</v>
      </c>
      <c r="C12" t="s">
        <v>1220</v>
      </c>
      <c r="D12">
        <v>1</v>
      </c>
      <c r="E12">
        <v>12</v>
      </c>
      <c r="F12" t="s">
        <v>1967</v>
      </c>
      <c r="G12" t="s">
        <v>1967</v>
      </c>
      <c r="M12" s="4" t="s">
        <v>1624</v>
      </c>
      <c r="N12" s="5">
        <v>2</v>
      </c>
    </row>
    <row r="13" spans="1:14">
      <c r="A13" t="s">
        <v>1219</v>
      </c>
      <c r="B13" s="283">
        <v>44032</v>
      </c>
      <c r="C13" t="s">
        <v>1221</v>
      </c>
      <c r="D13">
        <v>2</v>
      </c>
      <c r="E13">
        <v>7</v>
      </c>
      <c r="F13" t="s">
        <v>1968</v>
      </c>
      <c r="G13" t="s">
        <v>1968</v>
      </c>
      <c r="M13" s="4" t="s">
        <v>1846</v>
      </c>
      <c r="N13" s="5">
        <v>2</v>
      </c>
    </row>
    <row r="14" spans="1:14">
      <c r="A14" t="s">
        <v>1219</v>
      </c>
      <c r="B14" s="283">
        <v>44032</v>
      </c>
      <c r="C14" t="s">
        <v>1223</v>
      </c>
      <c r="D14">
        <v>3</v>
      </c>
      <c r="E14">
        <v>4</v>
      </c>
      <c r="F14" t="s">
        <v>1969</v>
      </c>
      <c r="G14" t="s">
        <v>1969</v>
      </c>
      <c r="M14" s="4" t="s">
        <v>1847</v>
      </c>
      <c r="N14" s="5">
        <v>2</v>
      </c>
    </row>
    <row r="15" spans="1:14">
      <c r="A15" t="s">
        <v>1219</v>
      </c>
      <c r="B15" s="283">
        <v>44032</v>
      </c>
      <c r="C15" t="s">
        <v>1214</v>
      </c>
      <c r="D15">
        <v>4</v>
      </c>
      <c r="E15">
        <v>3</v>
      </c>
      <c r="F15" t="s">
        <v>1970</v>
      </c>
      <c r="G15" t="s">
        <v>1970</v>
      </c>
      <c r="M15" s="4" t="s">
        <v>1846</v>
      </c>
      <c r="N15" s="5">
        <v>2</v>
      </c>
    </row>
    <row r="16" spans="1:14">
      <c r="A16" t="s">
        <v>1219</v>
      </c>
      <c r="B16" s="283">
        <v>44032</v>
      </c>
      <c r="C16" t="s">
        <v>1074</v>
      </c>
      <c r="D16">
        <v>5</v>
      </c>
      <c r="E16">
        <v>74</v>
      </c>
      <c r="F16" t="s">
        <v>1971</v>
      </c>
      <c r="G16" t="s">
        <v>1971</v>
      </c>
      <c r="M16" s="4" t="s">
        <v>1847</v>
      </c>
      <c r="N16" s="5">
        <v>2</v>
      </c>
    </row>
    <row r="17" spans="1:14">
      <c r="A17" t="s">
        <v>1228</v>
      </c>
      <c r="B17" s="283">
        <v>44032</v>
      </c>
      <c r="C17" t="s">
        <v>1229</v>
      </c>
      <c r="D17">
        <v>2</v>
      </c>
      <c r="E17">
        <v>35</v>
      </c>
      <c r="F17" t="s">
        <v>1987</v>
      </c>
      <c r="G17" t="s">
        <v>1987</v>
      </c>
      <c r="M17" s="4" t="s">
        <v>1625</v>
      </c>
      <c r="N17" s="5">
        <v>2</v>
      </c>
    </row>
    <row r="18" spans="1:14">
      <c r="A18" t="s">
        <v>1228</v>
      </c>
      <c r="B18" s="283">
        <v>44032</v>
      </c>
      <c r="C18" t="s">
        <v>1230</v>
      </c>
      <c r="D18">
        <v>1</v>
      </c>
      <c r="E18">
        <v>135</v>
      </c>
      <c r="F18" t="s">
        <v>1988</v>
      </c>
      <c r="G18" t="s">
        <v>1988</v>
      </c>
      <c r="M18" s="4" t="s">
        <v>1626</v>
      </c>
      <c r="N18" s="5">
        <v>2</v>
      </c>
    </row>
    <row r="19" spans="1:14">
      <c r="A19" t="s">
        <v>1231</v>
      </c>
      <c r="B19" s="283">
        <v>44032</v>
      </c>
      <c r="C19" t="s">
        <v>1232</v>
      </c>
      <c r="D19">
        <v>1</v>
      </c>
      <c r="E19">
        <v>2</v>
      </c>
      <c r="F19" t="s">
        <v>1998</v>
      </c>
      <c r="G19" t="s">
        <v>1998</v>
      </c>
      <c r="M19" s="4" t="s">
        <v>1627</v>
      </c>
      <c r="N19" s="5">
        <v>2</v>
      </c>
    </row>
    <row r="20" spans="1:14">
      <c r="A20" t="s">
        <v>1237</v>
      </c>
      <c r="B20" s="283">
        <v>44032</v>
      </c>
      <c r="C20" t="s">
        <v>1238</v>
      </c>
      <c r="D20">
        <v>1</v>
      </c>
      <c r="E20">
        <v>864</v>
      </c>
      <c r="F20" t="s">
        <v>2007</v>
      </c>
      <c r="G20" t="s">
        <v>2007</v>
      </c>
      <c r="M20" s="4" t="s">
        <v>1629</v>
      </c>
      <c r="N20" s="5">
        <v>2</v>
      </c>
    </row>
    <row r="21" spans="1:14">
      <c r="A21" t="s">
        <v>1233</v>
      </c>
      <c r="B21" s="283">
        <v>44033</v>
      </c>
      <c r="C21" t="s">
        <v>1123</v>
      </c>
      <c r="D21">
        <v>1</v>
      </c>
      <c r="E21">
        <v>2</v>
      </c>
      <c r="F21" t="s">
        <v>1874</v>
      </c>
      <c r="G21" t="s">
        <v>1874</v>
      </c>
      <c r="M21" s="4" t="s">
        <v>1628</v>
      </c>
      <c r="N21" s="5">
        <v>2</v>
      </c>
    </row>
    <row r="22" spans="1:14">
      <c r="A22" t="s">
        <v>1233</v>
      </c>
      <c r="B22" s="283">
        <v>44033</v>
      </c>
      <c r="C22" t="s">
        <v>1123</v>
      </c>
      <c r="D22">
        <v>3</v>
      </c>
      <c r="E22">
        <v>13</v>
      </c>
      <c r="F22" t="s">
        <v>1874</v>
      </c>
      <c r="G22" t="s">
        <v>1874</v>
      </c>
      <c r="M22" s="4" t="s">
        <v>1629</v>
      </c>
      <c r="N22" s="5">
        <v>2</v>
      </c>
    </row>
    <row r="23" spans="1:14">
      <c r="A23" t="s">
        <v>1233</v>
      </c>
      <c r="B23" s="283">
        <v>44033</v>
      </c>
      <c r="C23" t="s">
        <v>1180</v>
      </c>
      <c r="D23">
        <v>2</v>
      </c>
      <c r="E23">
        <v>73</v>
      </c>
      <c r="F23" t="s">
        <v>1875</v>
      </c>
      <c r="G23" t="s">
        <v>1875</v>
      </c>
      <c r="M23" s="4" t="s">
        <v>1627</v>
      </c>
      <c r="N23" s="5">
        <v>2</v>
      </c>
    </row>
    <row r="24" spans="1:14">
      <c r="A24" t="s">
        <v>1233</v>
      </c>
      <c r="B24" s="283">
        <v>44033</v>
      </c>
      <c r="C24" t="s">
        <v>1190</v>
      </c>
      <c r="D24">
        <v>4</v>
      </c>
      <c r="E24">
        <v>40</v>
      </c>
      <c r="F24" t="s">
        <v>1876</v>
      </c>
      <c r="G24" t="s">
        <v>1876</v>
      </c>
      <c r="M24" s="4" t="s">
        <v>1632</v>
      </c>
      <c r="N24" s="5">
        <v>2</v>
      </c>
    </row>
    <row r="25" spans="1:14">
      <c r="A25" t="s">
        <v>1234</v>
      </c>
      <c r="B25" s="283">
        <v>44033</v>
      </c>
      <c r="C25" t="s">
        <v>1149</v>
      </c>
      <c r="D25">
        <v>1</v>
      </c>
      <c r="E25">
        <v>39</v>
      </c>
      <c r="F25" t="s">
        <v>1905</v>
      </c>
      <c r="G25" t="s">
        <v>1905</v>
      </c>
      <c r="M25" s="4" t="s">
        <v>1848</v>
      </c>
      <c r="N25" s="5">
        <v>2</v>
      </c>
    </row>
    <row r="26" spans="1:14">
      <c r="A26" t="s">
        <v>1234</v>
      </c>
      <c r="B26" s="283">
        <v>44033</v>
      </c>
      <c r="C26" t="s">
        <v>1149</v>
      </c>
      <c r="D26">
        <v>4</v>
      </c>
      <c r="E26">
        <v>51</v>
      </c>
      <c r="F26" t="s">
        <v>1905</v>
      </c>
      <c r="G26" t="s">
        <v>1905</v>
      </c>
      <c r="M26" s="4" t="s">
        <v>1632</v>
      </c>
      <c r="N26" s="5">
        <v>2</v>
      </c>
    </row>
    <row r="27" spans="1:14">
      <c r="A27" t="s">
        <v>1234</v>
      </c>
      <c r="B27" s="283">
        <v>44033</v>
      </c>
      <c r="C27" t="s">
        <v>1153</v>
      </c>
      <c r="D27">
        <v>2</v>
      </c>
      <c r="E27">
        <v>50</v>
      </c>
      <c r="F27" t="s">
        <v>1906</v>
      </c>
      <c r="G27" t="s">
        <v>1906</v>
      </c>
      <c r="M27" s="4" t="s">
        <v>1630</v>
      </c>
      <c r="N27" s="5">
        <v>2</v>
      </c>
    </row>
    <row r="28" spans="1:14">
      <c r="A28" t="s">
        <v>1234</v>
      </c>
      <c r="B28" s="283">
        <v>44033</v>
      </c>
      <c r="C28" t="s">
        <v>1235</v>
      </c>
      <c r="D28">
        <v>3</v>
      </c>
      <c r="E28">
        <v>20</v>
      </c>
      <c r="F28" t="s">
        <v>1907</v>
      </c>
      <c r="G28" t="s">
        <v>1907</v>
      </c>
      <c r="M28" s="4" t="s">
        <v>1631</v>
      </c>
      <c r="N28" s="5">
        <v>2</v>
      </c>
    </row>
    <row r="29" spans="1:14">
      <c r="A29" t="s">
        <v>1236</v>
      </c>
      <c r="B29" s="283">
        <v>44033</v>
      </c>
      <c r="C29" t="s">
        <v>1110</v>
      </c>
      <c r="D29">
        <v>1</v>
      </c>
      <c r="E29">
        <v>28</v>
      </c>
      <c r="F29" t="s">
        <v>1943</v>
      </c>
      <c r="G29" t="s">
        <v>1943</v>
      </c>
      <c r="M29" s="4" t="s">
        <v>1630</v>
      </c>
      <c r="N29" s="5">
        <v>2</v>
      </c>
    </row>
    <row r="30" spans="1:14">
      <c r="A30" t="s">
        <v>1236</v>
      </c>
      <c r="B30" s="283">
        <v>44033</v>
      </c>
      <c r="C30" t="s">
        <v>1110</v>
      </c>
      <c r="D30">
        <v>5</v>
      </c>
      <c r="E30">
        <v>39</v>
      </c>
      <c r="F30" t="s">
        <v>1943</v>
      </c>
      <c r="G30" t="s">
        <v>1943</v>
      </c>
      <c r="M30" s="4" t="s">
        <v>1631</v>
      </c>
      <c r="N30" s="5">
        <v>2</v>
      </c>
    </row>
    <row r="31" spans="1:14">
      <c r="A31" t="s">
        <v>1236</v>
      </c>
      <c r="B31" s="283">
        <v>44033</v>
      </c>
      <c r="C31" t="s">
        <v>1179</v>
      </c>
      <c r="D31">
        <v>2</v>
      </c>
      <c r="E31">
        <v>10</v>
      </c>
      <c r="F31" t="s">
        <v>1944</v>
      </c>
      <c r="G31" t="s">
        <v>1944</v>
      </c>
      <c r="M31" s="4" t="s">
        <v>1630</v>
      </c>
      <c r="N31" s="5">
        <v>2</v>
      </c>
    </row>
    <row r="32" spans="1:14">
      <c r="A32" t="s">
        <v>1236</v>
      </c>
      <c r="B32" s="283">
        <v>44033</v>
      </c>
      <c r="C32" t="s">
        <v>1187</v>
      </c>
      <c r="D32">
        <v>3</v>
      </c>
      <c r="E32">
        <v>17</v>
      </c>
      <c r="F32" t="s">
        <v>1945</v>
      </c>
      <c r="G32" t="s">
        <v>1945</v>
      </c>
      <c r="M32" s="4" t="s">
        <v>1632</v>
      </c>
      <c r="N32" s="5">
        <v>2</v>
      </c>
    </row>
    <row r="33" spans="1:14">
      <c r="A33" t="s">
        <v>1236</v>
      </c>
      <c r="B33" s="283">
        <v>44033</v>
      </c>
      <c r="C33" t="s">
        <v>1180</v>
      </c>
      <c r="D33">
        <v>4</v>
      </c>
      <c r="E33">
        <v>22</v>
      </c>
      <c r="F33" t="s">
        <v>1946</v>
      </c>
      <c r="G33" t="s">
        <v>1946</v>
      </c>
      <c r="M33" s="4" t="s">
        <v>1630</v>
      </c>
      <c r="N33" s="5">
        <v>2</v>
      </c>
    </row>
    <row r="34" spans="1:14">
      <c r="A34" t="s">
        <v>1236</v>
      </c>
      <c r="B34" s="283">
        <v>44033</v>
      </c>
      <c r="C34" t="s">
        <v>1180</v>
      </c>
      <c r="D34">
        <v>6</v>
      </c>
      <c r="E34">
        <v>14</v>
      </c>
      <c r="F34" t="s">
        <v>1946</v>
      </c>
      <c r="G34" t="s">
        <v>1946</v>
      </c>
      <c r="M34" s="4" t="s">
        <v>1631</v>
      </c>
      <c r="N34" s="5">
        <v>2</v>
      </c>
    </row>
    <row r="35" spans="1:14">
      <c r="A35" t="s">
        <v>1219</v>
      </c>
      <c r="B35" s="283">
        <v>44033</v>
      </c>
      <c r="C35" t="s">
        <v>1074</v>
      </c>
      <c r="D35">
        <v>1</v>
      </c>
      <c r="E35">
        <v>100</v>
      </c>
      <c r="F35" t="s">
        <v>1972</v>
      </c>
      <c r="G35" t="s">
        <v>1972</v>
      </c>
      <c r="M35" s="4" t="s">
        <v>1848</v>
      </c>
      <c r="N35" s="5">
        <v>2</v>
      </c>
    </row>
    <row r="36" spans="1:14">
      <c r="A36" t="s">
        <v>1228</v>
      </c>
      <c r="B36" s="283">
        <v>44033</v>
      </c>
      <c r="C36" t="s">
        <v>1230</v>
      </c>
      <c r="D36">
        <v>1</v>
      </c>
      <c r="E36">
        <v>157</v>
      </c>
      <c r="F36" t="s">
        <v>1989</v>
      </c>
      <c r="G36" t="s">
        <v>1989</v>
      </c>
      <c r="M36" s="4" t="s">
        <v>1633</v>
      </c>
      <c r="N36" s="5">
        <v>2</v>
      </c>
    </row>
    <row r="37" spans="1:14">
      <c r="A37" t="s">
        <v>1231</v>
      </c>
      <c r="B37" s="283">
        <v>44033</v>
      </c>
      <c r="C37" t="s">
        <v>1232</v>
      </c>
      <c r="D37">
        <v>1</v>
      </c>
      <c r="E37">
        <v>2</v>
      </c>
      <c r="F37" t="s">
        <v>1999</v>
      </c>
      <c r="G37" t="s">
        <v>1999</v>
      </c>
      <c r="M37" s="4" t="s">
        <v>1107</v>
      </c>
      <c r="N37" s="5">
        <v>603</v>
      </c>
    </row>
    <row r="38" spans="1:14">
      <c r="A38" t="s">
        <v>1237</v>
      </c>
      <c r="B38" s="283">
        <v>44033</v>
      </c>
      <c r="C38" t="s">
        <v>1238</v>
      </c>
      <c r="D38">
        <v>1</v>
      </c>
      <c r="E38">
        <v>1080</v>
      </c>
      <c r="F38" t="s">
        <v>2008</v>
      </c>
      <c r="G38" t="s">
        <v>2008</v>
      </c>
    </row>
    <row r="39" spans="1:14">
      <c r="A39" t="s">
        <v>1233</v>
      </c>
      <c r="B39" s="283">
        <v>44034</v>
      </c>
      <c r="C39" t="s">
        <v>1155</v>
      </c>
      <c r="D39">
        <v>3</v>
      </c>
      <c r="E39">
        <v>27</v>
      </c>
      <c r="F39" t="s">
        <v>1877</v>
      </c>
      <c r="G39" t="s">
        <v>1877</v>
      </c>
    </row>
    <row r="40" spans="1:14">
      <c r="A40" t="s">
        <v>1233</v>
      </c>
      <c r="B40" s="283">
        <v>44034</v>
      </c>
      <c r="C40" t="s">
        <v>1217</v>
      </c>
      <c r="D40">
        <v>4</v>
      </c>
      <c r="E40">
        <v>1</v>
      </c>
      <c r="F40" t="s">
        <v>1878</v>
      </c>
      <c r="G40" t="s">
        <v>1878</v>
      </c>
    </row>
    <row r="41" spans="1:14">
      <c r="A41" t="s">
        <v>1233</v>
      </c>
      <c r="B41" s="283">
        <v>44034</v>
      </c>
      <c r="C41" t="s">
        <v>1190</v>
      </c>
      <c r="D41">
        <v>1</v>
      </c>
      <c r="E41">
        <v>13</v>
      </c>
      <c r="F41" t="s">
        <v>1879</v>
      </c>
      <c r="G41" t="s">
        <v>1879</v>
      </c>
    </row>
    <row r="42" spans="1:14">
      <c r="A42" t="s">
        <v>1233</v>
      </c>
      <c r="B42" s="283">
        <v>44034</v>
      </c>
      <c r="C42" t="s">
        <v>1184</v>
      </c>
      <c r="D42">
        <v>2</v>
      </c>
      <c r="E42">
        <v>64</v>
      </c>
      <c r="F42" t="s">
        <v>1880</v>
      </c>
      <c r="G42" t="s">
        <v>1880</v>
      </c>
    </row>
    <row r="43" spans="1:14">
      <c r="A43" t="s">
        <v>1233</v>
      </c>
      <c r="B43" s="283">
        <v>44034</v>
      </c>
      <c r="C43" t="s">
        <v>1184</v>
      </c>
      <c r="D43">
        <v>5</v>
      </c>
      <c r="E43">
        <v>25</v>
      </c>
      <c r="F43" t="s">
        <v>1880</v>
      </c>
      <c r="G43" t="s">
        <v>1880</v>
      </c>
    </row>
    <row r="44" spans="1:14">
      <c r="A44" t="s">
        <v>1234</v>
      </c>
      <c r="B44" s="283">
        <v>44034</v>
      </c>
      <c r="C44" t="s">
        <v>1149</v>
      </c>
      <c r="D44">
        <v>1</v>
      </c>
      <c r="E44">
        <v>39</v>
      </c>
      <c r="F44" t="s">
        <v>1908</v>
      </c>
      <c r="G44" t="s">
        <v>1908</v>
      </c>
    </row>
    <row r="45" spans="1:14">
      <c r="A45" t="s">
        <v>1234</v>
      </c>
      <c r="B45" s="283">
        <v>44034</v>
      </c>
      <c r="C45" t="s">
        <v>1149</v>
      </c>
      <c r="D45">
        <v>4</v>
      </c>
      <c r="E45">
        <v>35</v>
      </c>
      <c r="F45" t="s">
        <v>1908</v>
      </c>
      <c r="G45" t="s">
        <v>1908</v>
      </c>
    </row>
    <row r="46" spans="1:14">
      <c r="A46" t="s">
        <v>1234</v>
      </c>
      <c r="B46" s="283">
        <v>44034</v>
      </c>
      <c r="C46" t="s">
        <v>1151</v>
      </c>
      <c r="D46">
        <v>5</v>
      </c>
      <c r="E46">
        <v>16</v>
      </c>
      <c r="F46" t="s">
        <v>1909</v>
      </c>
      <c r="G46" t="s">
        <v>1909</v>
      </c>
    </row>
    <row r="47" spans="1:14">
      <c r="A47" t="s">
        <v>1234</v>
      </c>
      <c r="B47" s="283">
        <v>44034</v>
      </c>
      <c r="C47" t="s">
        <v>1153</v>
      </c>
      <c r="D47">
        <v>3</v>
      </c>
      <c r="E47">
        <v>50</v>
      </c>
      <c r="F47" t="s">
        <v>1910</v>
      </c>
      <c r="G47" t="s">
        <v>1910</v>
      </c>
    </row>
    <row r="48" spans="1:14">
      <c r="A48" t="s">
        <v>1234</v>
      </c>
      <c r="B48" s="283">
        <v>44034</v>
      </c>
      <c r="C48" t="s">
        <v>1235</v>
      </c>
      <c r="D48">
        <v>2</v>
      </c>
      <c r="E48">
        <v>20</v>
      </c>
      <c r="F48" t="s">
        <v>1911</v>
      </c>
      <c r="G48" t="s">
        <v>1911</v>
      </c>
    </row>
    <row r="49" spans="1:7">
      <c r="A49" t="s">
        <v>1236</v>
      </c>
      <c r="B49" s="283">
        <v>44034</v>
      </c>
      <c r="C49" t="s">
        <v>1121</v>
      </c>
      <c r="D49">
        <v>2</v>
      </c>
      <c r="E49">
        <v>20</v>
      </c>
      <c r="F49" t="s">
        <v>1947</v>
      </c>
      <c r="G49" t="s">
        <v>1947</v>
      </c>
    </row>
    <row r="50" spans="1:7">
      <c r="A50" t="s">
        <v>1236</v>
      </c>
      <c r="B50" s="283">
        <v>44034</v>
      </c>
      <c r="C50" t="s">
        <v>1187</v>
      </c>
      <c r="D50">
        <v>3</v>
      </c>
      <c r="E50">
        <v>12</v>
      </c>
      <c r="F50" t="s">
        <v>1948</v>
      </c>
      <c r="G50" t="s">
        <v>1948</v>
      </c>
    </row>
    <row r="51" spans="1:7">
      <c r="A51" t="s">
        <v>1236</v>
      </c>
      <c r="B51" s="283">
        <v>44034</v>
      </c>
      <c r="C51" t="s">
        <v>1180</v>
      </c>
      <c r="D51">
        <v>1</v>
      </c>
      <c r="E51">
        <v>77</v>
      </c>
      <c r="F51" t="s">
        <v>1949</v>
      </c>
      <c r="G51" t="s">
        <v>1949</v>
      </c>
    </row>
    <row r="52" spans="1:7">
      <c r="A52" t="s">
        <v>1236</v>
      </c>
      <c r="B52" s="283">
        <v>44034</v>
      </c>
      <c r="C52" t="s">
        <v>1180</v>
      </c>
      <c r="D52">
        <v>4</v>
      </c>
      <c r="E52">
        <v>21</v>
      </c>
      <c r="F52" t="s">
        <v>1949</v>
      </c>
      <c r="G52" t="s">
        <v>1949</v>
      </c>
    </row>
    <row r="53" spans="1:7">
      <c r="A53" t="s">
        <v>1219</v>
      </c>
      <c r="B53" s="283">
        <v>44034</v>
      </c>
      <c r="C53" t="s">
        <v>1074</v>
      </c>
      <c r="D53">
        <v>1</v>
      </c>
      <c r="E53">
        <v>99</v>
      </c>
      <c r="F53" t="s">
        <v>1973</v>
      </c>
      <c r="G53" t="s">
        <v>1973</v>
      </c>
    </row>
    <row r="54" spans="1:7">
      <c r="A54" t="s">
        <v>1219</v>
      </c>
      <c r="B54" s="283">
        <v>44034</v>
      </c>
      <c r="C54" t="s">
        <v>1078</v>
      </c>
      <c r="D54">
        <v>2</v>
      </c>
      <c r="E54">
        <v>1</v>
      </c>
      <c r="F54" t="s">
        <v>1974</v>
      </c>
      <c r="G54" t="s">
        <v>1974</v>
      </c>
    </row>
    <row r="55" spans="1:7">
      <c r="A55" t="s">
        <v>1228</v>
      </c>
      <c r="B55" s="283">
        <v>44034</v>
      </c>
      <c r="C55" t="s">
        <v>1230</v>
      </c>
      <c r="D55">
        <v>1</v>
      </c>
      <c r="E55">
        <v>144</v>
      </c>
      <c r="F55" t="s">
        <v>1990</v>
      </c>
      <c r="G55" t="s">
        <v>1990</v>
      </c>
    </row>
    <row r="56" spans="1:7">
      <c r="A56" t="s">
        <v>1231</v>
      </c>
      <c r="B56" s="283">
        <v>44034</v>
      </c>
      <c r="C56" t="s">
        <v>1232</v>
      </c>
      <c r="D56">
        <v>1</v>
      </c>
      <c r="E56">
        <v>2</v>
      </c>
      <c r="F56" t="s">
        <v>2000</v>
      </c>
      <c r="G56" t="s">
        <v>2000</v>
      </c>
    </row>
    <row r="57" spans="1:7">
      <c r="A57" t="s">
        <v>1237</v>
      </c>
      <c r="B57" s="283">
        <v>44034</v>
      </c>
      <c r="C57" t="s">
        <v>1238</v>
      </c>
      <c r="D57">
        <v>1</v>
      </c>
      <c r="E57">
        <v>1080</v>
      </c>
      <c r="F57" t="s">
        <v>2009</v>
      </c>
      <c r="G57" t="s">
        <v>2009</v>
      </c>
    </row>
    <row r="58" spans="1:7">
      <c r="A58" t="s">
        <v>1233</v>
      </c>
      <c r="B58" s="283">
        <v>44035</v>
      </c>
      <c r="C58" t="s">
        <v>1155</v>
      </c>
      <c r="D58">
        <v>3</v>
      </c>
      <c r="E58">
        <v>34</v>
      </c>
      <c r="F58" t="s">
        <v>1881</v>
      </c>
      <c r="G58" t="s">
        <v>1881</v>
      </c>
    </row>
    <row r="59" spans="1:7">
      <c r="A59" t="s">
        <v>1233</v>
      </c>
      <c r="B59" s="283">
        <v>44035</v>
      </c>
      <c r="C59" t="s">
        <v>1131</v>
      </c>
      <c r="D59">
        <v>4</v>
      </c>
      <c r="E59">
        <v>6</v>
      </c>
      <c r="F59" t="s">
        <v>1882</v>
      </c>
      <c r="G59" t="s">
        <v>1882</v>
      </c>
    </row>
    <row r="60" spans="1:7">
      <c r="A60" t="s">
        <v>1233</v>
      </c>
      <c r="B60" s="283">
        <v>44035</v>
      </c>
      <c r="C60" t="s">
        <v>1184</v>
      </c>
      <c r="D60">
        <v>1</v>
      </c>
      <c r="E60">
        <v>71</v>
      </c>
      <c r="F60" t="s">
        <v>1883</v>
      </c>
      <c r="G60" t="s">
        <v>1883</v>
      </c>
    </row>
    <row r="61" spans="1:7">
      <c r="A61" t="s">
        <v>1233</v>
      </c>
      <c r="B61" s="283">
        <v>44035</v>
      </c>
      <c r="C61" t="s">
        <v>1184</v>
      </c>
      <c r="D61">
        <v>5</v>
      </c>
      <c r="E61">
        <v>13</v>
      </c>
      <c r="F61" t="s">
        <v>1883</v>
      </c>
      <c r="G61" t="s">
        <v>1883</v>
      </c>
    </row>
    <row r="62" spans="1:7">
      <c r="A62" t="s">
        <v>1233</v>
      </c>
      <c r="B62" s="283">
        <v>44035</v>
      </c>
      <c r="C62" t="s">
        <v>1137</v>
      </c>
      <c r="D62">
        <v>2</v>
      </c>
      <c r="E62">
        <v>7</v>
      </c>
      <c r="F62" t="s">
        <v>1884</v>
      </c>
      <c r="G62" t="s">
        <v>1884</v>
      </c>
    </row>
    <row r="63" spans="1:7">
      <c r="A63" t="s">
        <v>1234</v>
      </c>
      <c r="B63" s="283">
        <v>44035</v>
      </c>
      <c r="C63" t="s">
        <v>1112</v>
      </c>
      <c r="D63">
        <v>4</v>
      </c>
      <c r="E63">
        <v>7</v>
      </c>
      <c r="F63" t="s">
        <v>1912</v>
      </c>
      <c r="G63" t="s">
        <v>1912</v>
      </c>
    </row>
    <row r="64" spans="1:7">
      <c r="A64" t="s">
        <v>1234</v>
      </c>
      <c r="B64" s="283">
        <v>44035</v>
      </c>
      <c r="C64" t="s">
        <v>1151</v>
      </c>
      <c r="D64">
        <v>1</v>
      </c>
      <c r="E64">
        <v>9</v>
      </c>
      <c r="F64" t="s">
        <v>1913</v>
      </c>
      <c r="G64" t="s">
        <v>1913</v>
      </c>
    </row>
    <row r="65" spans="1:7">
      <c r="A65" t="s">
        <v>1234</v>
      </c>
      <c r="B65" s="283">
        <v>44035</v>
      </c>
      <c r="C65" t="s">
        <v>1151</v>
      </c>
      <c r="D65">
        <v>5</v>
      </c>
      <c r="E65">
        <v>44</v>
      </c>
      <c r="F65" t="s">
        <v>1913</v>
      </c>
      <c r="G65" t="s">
        <v>1913</v>
      </c>
    </row>
    <row r="66" spans="1:7">
      <c r="A66" t="s">
        <v>1234</v>
      </c>
      <c r="B66" s="283">
        <v>44035</v>
      </c>
      <c r="C66" t="s">
        <v>1153</v>
      </c>
      <c r="D66">
        <v>3</v>
      </c>
      <c r="E66">
        <v>50</v>
      </c>
      <c r="F66" t="s">
        <v>1914</v>
      </c>
      <c r="G66" t="s">
        <v>1914</v>
      </c>
    </row>
    <row r="67" spans="1:7">
      <c r="A67" t="s">
        <v>1234</v>
      </c>
      <c r="B67" s="283">
        <v>44035</v>
      </c>
      <c r="C67" t="s">
        <v>1235</v>
      </c>
      <c r="D67">
        <v>2</v>
      </c>
      <c r="E67">
        <v>20</v>
      </c>
      <c r="F67" t="s">
        <v>1915</v>
      </c>
      <c r="G67" t="s">
        <v>1915</v>
      </c>
    </row>
    <row r="68" spans="1:7">
      <c r="A68" t="s">
        <v>1236</v>
      </c>
      <c r="B68" s="283">
        <v>44035</v>
      </c>
      <c r="C68" t="s">
        <v>1121</v>
      </c>
      <c r="D68">
        <v>3</v>
      </c>
      <c r="E68">
        <v>2</v>
      </c>
      <c r="F68" t="s">
        <v>1950</v>
      </c>
      <c r="G68" t="s">
        <v>1950</v>
      </c>
    </row>
    <row r="69" spans="1:7">
      <c r="A69" t="s">
        <v>1236</v>
      </c>
      <c r="B69" s="283">
        <v>44035</v>
      </c>
      <c r="C69" t="s">
        <v>1129</v>
      </c>
      <c r="D69">
        <v>4</v>
      </c>
      <c r="E69">
        <v>37</v>
      </c>
      <c r="F69" t="s">
        <v>1951</v>
      </c>
      <c r="G69" t="s">
        <v>1951</v>
      </c>
    </row>
    <row r="70" spans="1:7">
      <c r="A70" t="s">
        <v>1236</v>
      </c>
      <c r="B70" s="283">
        <v>44035</v>
      </c>
      <c r="C70" t="s">
        <v>1180</v>
      </c>
      <c r="D70">
        <v>1</v>
      </c>
      <c r="E70">
        <v>27</v>
      </c>
      <c r="F70" t="s">
        <v>1952</v>
      </c>
      <c r="G70" t="s">
        <v>1952</v>
      </c>
    </row>
    <row r="71" spans="1:7">
      <c r="A71" t="s">
        <v>1236</v>
      </c>
      <c r="B71" s="283">
        <v>44035</v>
      </c>
      <c r="C71" t="s">
        <v>1180</v>
      </c>
      <c r="D71">
        <v>5</v>
      </c>
      <c r="E71">
        <v>14</v>
      </c>
      <c r="F71" t="s">
        <v>1952</v>
      </c>
      <c r="G71" t="s">
        <v>1952</v>
      </c>
    </row>
    <row r="72" spans="1:7">
      <c r="A72" t="s">
        <v>1236</v>
      </c>
      <c r="B72" s="283">
        <v>44035</v>
      </c>
      <c r="C72" t="s">
        <v>1135</v>
      </c>
      <c r="D72">
        <v>2</v>
      </c>
      <c r="E72">
        <v>50</v>
      </c>
      <c r="F72" t="s">
        <v>1953</v>
      </c>
      <c r="G72" t="s">
        <v>1953</v>
      </c>
    </row>
    <row r="73" spans="1:7">
      <c r="A73" t="s">
        <v>1219</v>
      </c>
      <c r="B73" s="283">
        <v>44035</v>
      </c>
      <c r="C73" t="s">
        <v>1078</v>
      </c>
      <c r="D73">
        <v>1</v>
      </c>
      <c r="E73">
        <v>57</v>
      </c>
      <c r="F73" t="s">
        <v>1975</v>
      </c>
      <c r="G73" t="s">
        <v>1975</v>
      </c>
    </row>
    <row r="74" spans="1:7">
      <c r="A74" t="s">
        <v>1219</v>
      </c>
      <c r="B74" s="283">
        <v>44035</v>
      </c>
      <c r="C74" t="s">
        <v>1225</v>
      </c>
      <c r="D74">
        <v>2</v>
      </c>
      <c r="E74">
        <v>7</v>
      </c>
      <c r="F74" t="s">
        <v>1976</v>
      </c>
      <c r="G74" t="s">
        <v>1976</v>
      </c>
    </row>
    <row r="75" spans="1:7">
      <c r="A75" t="s">
        <v>1219</v>
      </c>
      <c r="B75" s="283">
        <v>44035</v>
      </c>
      <c r="C75" t="s">
        <v>1227</v>
      </c>
      <c r="D75">
        <v>3</v>
      </c>
      <c r="E75">
        <v>36</v>
      </c>
      <c r="F75" t="s">
        <v>1977</v>
      </c>
      <c r="G75" t="s">
        <v>1977</v>
      </c>
    </row>
    <row r="76" spans="1:7">
      <c r="A76" t="s">
        <v>1228</v>
      </c>
      <c r="B76" s="283">
        <v>44035</v>
      </c>
      <c r="C76" t="s">
        <v>1230</v>
      </c>
      <c r="D76">
        <v>1</v>
      </c>
      <c r="E76">
        <v>170</v>
      </c>
      <c r="F76" t="s">
        <v>1991</v>
      </c>
      <c r="G76" t="s">
        <v>1991</v>
      </c>
    </row>
    <row r="77" spans="1:7">
      <c r="A77" t="s">
        <v>1231</v>
      </c>
      <c r="B77" s="283">
        <v>44035</v>
      </c>
      <c r="C77" t="s">
        <v>1232</v>
      </c>
      <c r="D77">
        <v>1</v>
      </c>
      <c r="E77">
        <v>2</v>
      </c>
      <c r="F77" t="s">
        <v>2001</v>
      </c>
      <c r="G77" t="s">
        <v>2001</v>
      </c>
    </row>
    <row r="78" spans="1:7">
      <c r="A78" t="s">
        <v>1237</v>
      </c>
      <c r="B78" s="283">
        <v>44035</v>
      </c>
      <c r="C78" t="s">
        <v>1238</v>
      </c>
      <c r="D78">
        <v>1</v>
      </c>
      <c r="E78">
        <v>576</v>
      </c>
      <c r="F78" t="s">
        <v>2010</v>
      </c>
      <c r="G78" t="s">
        <v>2010</v>
      </c>
    </row>
    <row r="79" spans="1:7">
      <c r="A79" t="s">
        <v>1237</v>
      </c>
      <c r="B79" s="283">
        <v>44035</v>
      </c>
      <c r="C79" t="s">
        <v>1239</v>
      </c>
      <c r="D79">
        <v>3</v>
      </c>
      <c r="E79">
        <v>360</v>
      </c>
      <c r="F79" t="s">
        <v>2011</v>
      </c>
      <c r="G79" t="s">
        <v>2011</v>
      </c>
    </row>
    <row r="80" spans="1:7">
      <c r="A80" t="s">
        <v>1237</v>
      </c>
      <c r="B80" s="283">
        <v>44035</v>
      </c>
      <c r="C80" t="s">
        <v>1240</v>
      </c>
      <c r="D80">
        <v>2</v>
      </c>
      <c r="E80">
        <v>144</v>
      </c>
      <c r="F80" t="s">
        <v>2012</v>
      </c>
      <c r="G80" t="s">
        <v>2012</v>
      </c>
    </row>
    <row r="81" spans="1:7">
      <c r="A81" t="s">
        <v>1233</v>
      </c>
      <c r="B81" s="283">
        <v>44036</v>
      </c>
      <c r="C81" t="s">
        <v>1155</v>
      </c>
      <c r="D81">
        <v>2</v>
      </c>
      <c r="E81">
        <v>34</v>
      </c>
      <c r="F81" t="s">
        <v>1885</v>
      </c>
      <c r="G81" t="s">
        <v>1885</v>
      </c>
    </row>
    <row r="82" spans="1:7">
      <c r="A82" t="s">
        <v>1233</v>
      </c>
      <c r="B82" s="283">
        <v>44036</v>
      </c>
      <c r="C82" t="s">
        <v>1131</v>
      </c>
      <c r="D82">
        <v>3</v>
      </c>
      <c r="E82">
        <v>19</v>
      </c>
      <c r="F82" t="s">
        <v>1886</v>
      </c>
      <c r="G82" t="s">
        <v>1886</v>
      </c>
    </row>
    <row r="83" spans="1:7">
      <c r="A83" t="s">
        <v>1233</v>
      </c>
      <c r="B83" s="283">
        <v>44036</v>
      </c>
      <c r="C83" t="s">
        <v>1184</v>
      </c>
      <c r="D83">
        <v>1</v>
      </c>
      <c r="E83">
        <v>77</v>
      </c>
      <c r="F83" t="s">
        <v>1887</v>
      </c>
      <c r="G83" t="s">
        <v>1887</v>
      </c>
    </row>
    <row r="84" spans="1:7">
      <c r="A84" t="s">
        <v>1234</v>
      </c>
      <c r="B84" s="283">
        <v>44036</v>
      </c>
      <c r="C84" t="s">
        <v>1215</v>
      </c>
      <c r="D84">
        <v>4</v>
      </c>
      <c r="E84">
        <v>11</v>
      </c>
      <c r="F84" t="s">
        <v>1916</v>
      </c>
      <c r="G84" t="s">
        <v>1916</v>
      </c>
    </row>
    <row r="85" spans="1:7">
      <c r="A85" t="s">
        <v>1234</v>
      </c>
      <c r="B85" s="283">
        <v>44036</v>
      </c>
      <c r="C85" t="s">
        <v>1149</v>
      </c>
      <c r="D85">
        <v>5</v>
      </c>
      <c r="E85">
        <v>31</v>
      </c>
      <c r="F85" t="s">
        <v>1917</v>
      </c>
      <c r="G85" t="s">
        <v>1917</v>
      </c>
    </row>
    <row r="86" spans="1:7">
      <c r="A86" t="s">
        <v>1234</v>
      </c>
      <c r="B86" s="283">
        <v>44036</v>
      </c>
      <c r="C86" t="s">
        <v>1151</v>
      </c>
      <c r="D86">
        <v>1</v>
      </c>
      <c r="E86">
        <v>8</v>
      </c>
      <c r="F86" t="s">
        <v>1918</v>
      </c>
      <c r="G86" t="s">
        <v>1918</v>
      </c>
    </row>
    <row r="87" spans="1:7">
      <c r="A87" t="s">
        <v>1234</v>
      </c>
      <c r="B87" s="283">
        <v>44036</v>
      </c>
      <c r="C87" t="s">
        <v>1151</v>
      </c>
      <c r="D87">
        <v>6</v>
      </c>
      <c r="E87">
        <v>9</v>
      </c>
      <c r="F87" t="s">
        <v>1918</v>
      </c>
      <c r="G87" t="s">
        <v>1918</v>
      </c>
    </row>
    <row r="88" spans="1:7">
      <c r="A88" t="s">
        <v>1234</v>
      </c>
      <c r="B88" s="283">
        <v>44036</v>
      </c>
      <c r="C88" t="s">
        <v>1153</v>
      </c>
      <c r="D88">
        <v>3</v>
      </c>
      <c r="E88">
        <v>51</v>
      </c>
      <c r="F88" t="s">
        <v>1919</v>
      </c>
      <c r="G88" t="s">
        <v>1919</v>
      </c>
    </row>
    <row r="89" spans="1:7">
      <c r="A89" t="s">
        <v>1234</v>
      </c>
      <c r="B89" s="283">
        <v>44036</v>
      </c>
      <c r="C89" t="s">
        <v>1235</v>
      </c>
      <c r="D89">
        <v>2</v>
      </c>
      <c r="E89">
        <v>20</v>
      </c>
      <c r="F89" t="s">
        <v>1920</v>
      </c>
      <c r="G89" t="s">
        <v>1920</v>
      </c>
    </row>
    <row r="90" spans="1:7">
      <c r="A90" t="s">
        <v>1236</v>
      </c>
      <c r="B90" s="283">
        <v>44036</v>
      </c>
      <c r="C90" t="s">
        <v>1110</v>
      </c>
      <c r="D90">
        <v>3</v>
      </c>
      <c r="E90">
        <v>53</v>
      </c>
      <c r="F90" t="s">
        <v>1954</v>
      </c>
      <c r="G90" t="s">
        <v>1954</v>
      </c>
    </row>
    <row r="91" spans="1:7">
      <c r="A91" t="s">
        <v>1236</v>
      </c>
      <c r="B91" s="283">
        <v>44036</v>
      </c>
      <c r="C91" t="s">
        <v>1180</v>
      </c>
      <c r="D91">
        <v>1</v>
      </c>
      <c r="E91">
        <v>36</v>
      </c>
      <c r="F91" t="s">
        <v>1955</v>
      </c>
      <c r="G91" t="s">
        <v>1955</v>
      </c>
    </row>
    <row r="92" spans="1:7">
      <c r="A92" t="s">
        <v>1236</v>
      </c>
      <c r="B92" s="283">
        <v>44036</v>
      </c>
      <c r="C92" t="s">
        <v>1135</v>
      </c>
      <c r="D92">
        <v>2</v>
      </c>
      <c r="E92">
        <v>41</v>
      </c>
      <c r="F92" t="s">
        <v>1956</v>
      </c>
      <c r="G92" t="s">
        <v>1956</v>
      </c>
    </row>
    <row r="93" spans="1:7">
      <c r="A93" t="s">
        <v>1219</v>
      </c>
      <c r="B93" s="283">
        <v>44036</v>
      </c>
      <c r="C93" t="s">
        <v>1227</v>
      </c>
      <c r="D93">
        <v>1</v>
      </c>
      <c r="E93">
        <v>100</v>
      </c>
      <c r="F93" t="s">
        <v>1978</v>
      </c>
      <c r="G93" t="s">
        <v>1978</v>
      </c>
    </row>
    <row r="94" spans="1:7">
      <c r="A94" t="s">
        <v>1228</v>
      </c>
      <c r="B94" s="283">
        <v>44036</v>
      </c>
      <c r="C94" t="s">
        <v>1230</v>
      </c>
      <c r="D94">
        <v>1</v>
      </c>
      <c r="E94">
        <v>157</v>
      </c>
      <c r="F94" t="s">
        <v>1992</v>
      </c>
      <c r="G94" t="s">
        <v>1992</v>
      </c>
    </row>
    <row r="95" spans="1:7">
      <c r="A95" t="s">
        <v>1231</v>
      </c>
      <c r="B95" s="283">
        <v>44036</v>
      </c>
      <c r="C95" t="s">
        <v>1232</v>
      </c>
      <c r="D95">
        <v>1</v>
      </c>
      <c r="E95">
        <v>2</v>
      </c>
      <c r="F95" t="s">
        <v>2002</v>
      </c>
      <c r="G95" t="s">
        <v>2002</v>
      </c>
    </row>
    <row r="96" spans="1:7">
      <c r="A96" t="s">
        <v>1237</v>
      </c>
      <c r="B96" s="283">
        <v>44036</v>
      </c>
      <c r="C96" t="s">
        <v>1239</v>
      </c>
      <c r="D96">
        <v>1</v>
      </c>
      <c r="E96">
        <v>1080</v>
      </c>
      <c r="F96" t="s">
        <v>2013</v>
      </c>
      <c r="G96" t="s">
        <v>2013</v>
      </c>
    </row>
    <row r="97" spans="1:7">
      <c r="A97" t="s">
        <v>1233</v>
      </c>
      <c r="B97" s="283">
        <v>44037</v>
      </c>
      <c r="C97" t="s">
        <v>1119</v>
      </c>
      <c r="D97">
        <v>2</v>
      </c>
      <c r="E97">
        <v>53</v>
      </c>
      <c r="F97" t="s">
        <v>1888</v>
      </c>
      <c r="G97" t="s">
        <v>1888</v>
      </c>
    </row>
    <row r="98" spans="1:7">
      <c r="A98" t="s">
        <v>1233</v>
      </c>
      <c r="B98" s="283">
        <v>44037</v>
      </c>
      <c r="C98" t="s">
        <v>1131</v>
      </c>
      <c r="D98">
        <v>1</v>
      </c>
      <c r="E98">
        <v>77</v>
      </c>
      <c r="F98" t="s">
        <v>1889</v>
      </c>
      <c r="G98" t="s">
        <v>1889</v>
      </c>
    </row>
    <row r="99" spans="1:7">
      <c r="A99" t="s">
        <v>1234</v>
      </c>
      <c r="B99" s="283">
        <v>44037</v>
      </c>
      <c r="C99" t="s">
        <v>1114</v>
      </c>
      <c r="D99">
        <v>4</v>
      </c>
      <c r="E99">
        <v>16</v>
      </c>
      <c r="F99" t="s">
        <v>1921</v>
      </c>
      <c r="G99" t="s">
        <v>1921</v>
      </c>
    </row>
    <row r="100" spans="1:7">
      <c r="A100" t="s">
        <v>1234</v>
      </c>
      <c r="B100" s="283">
        <v>44037</v>
      </c>
      <c r="C100" t="s">
        <v>1149</v>
      </c>
      <c r="D100">
        <v>5</v>
      </c>
      <c r="E100">
        <v>35</v>
      </c>
      <c r="F100" t="s">
        <v>1922</v>
      </c>
      <c r="G100" t="s">
        <v>1922</v>
      </c>
    </row>
    <row r="101" spans="1:7">
      <c r="A101" t="s">
        <v>1234</v>
      </c>
      <c r="B101" s="283">
        <v>44037</v>
      </c>
      <c r="C101" t="s">
        <v>1151</v>
      </c>
      <c r="D101">
        <v>1</v>
      </c>
      <c r="E101">
        <v>18</v>
      </c>
      <c r="F101" t="s">
        <v>1923</v>
      </c>
      <c r="G101" t="s">
        <v>1923</v>
      </c>
    </row>
    <row r="102" spans="1:7">
      <c r="A102" t="s">
        <v>1234</v>
      </c>
      <c r="B102" s="283">
        <v>44037</v>
      </c>
      <c r="C102" t="s">
        <v>1153</v>
      </c>
      <c r="D102">
        <v>3</v>
      </c>
      <c r="E102">
        <v>49</v>
      </c>
      <c r="F102" t="s">
        <v>1924</v>
      </c>
      <c r="G102" t="s">
        <v>1924</v>
      </c>
    </row>
    <row r="103" spans="1:7">
      <c r="A103" t="s">
        <v>1234</v>
      </c>
      <c r="B103" s="283">
        <v>44037</v>
      </c>
      <c r="C103" t="s">
        <v>1235</v>
      </c>
      <c r="D103">
        <v>2</v>
      </c>
      <c r="E103">
        <v>12</v>
      </c>
      <c r="F103" t="s">
        <v>1925</v>
      </c>
      <c r="G103" t="s">
        <v>1925</v>
      </c>
    </row>
    <row r="104" spans="1:7">
      <c r="A104" t="s">
        <v>1236</v>
      </c>
      <c r="B104" s="283">
        <v>44037</v>
      </c>
      <c r="C104" t="s">
        <v>1110</v>
      </c>
      <c r="D104">
        <v>1</v>
      </c>
      <c r="E104">
        <v>28</v>
      </c>
      <c r="F104" t="s">
        <v>1957</v>
      </c>
      <c r="G104" t="s">
        <v>1957</v>
      </c>
    </row>
    <row r="105" spans="1:7">
      <c r="A105" t="s">
        <v>1236</v>
      </c>
      <c r="B105" s="283">
        <v>44037</v>
      </c>
      <c r="C105" t="s">
        <v>1110</v>
      </c>
      <c r="D105">
        <v>5</v>
      </c>
      <c r="E105">
        <v>1</v>
      </c>
      <c r="F105" t="s">
        <v>1957</v>
      </c>
      <c r="G105" t="s">
        <v>1957</v>
      </c>
    </row>
    <row r="106" spans="1:7">
      <c r="A106" t="s">
        <v>1236</v>
      </c>
      <c r="B106" s="283">
        <v>44037</v>
      </c>
      <c r="C106" t="s">
        <v>1119</v>
      </c>
      <c r="D106">
        <v>6</v>
      </c>
      <c r="E106">
        <v>52</v>
      </c>
      <c r="F106" t="s">
        <v>1958</v>
      </c>
      <c r="G106" t="s">
        <v>1958</v>
      </c>
    </row>
    <row r="107" spans="1:7">
      <c r="A107" t="s">
        <v>1236</v>
      </c>
      <c r="B107" s="283">
        <v>44037</v>
      </c>
      <c r="C107" t="s">
        <v>1121</v>
      </c>
      <c r="D107">
        <v>2</v>
      </c>
      <c r="E107">
        <v>9</v>
      </c>
      <c r="F107" t="s">
        <v>1959</v>
      </c>
      <c r="G107" t="s">
        <v>1959</v>
      </c>
    </row>
    <row r="108" spans="1:7">
      <c r="A108" t="s">
        <v>1236</v>
      </c>
      <c r="B108" s="283">
        <v>44037</v>
      </c>
      <c r="C108" t="s">
        <v>1187</v>
      </c>
      <c r="D108">
        <v>3</v>
      </c>
      <c r="E108">
        <v>20</v>
      </c>
      <c r="F108" t="s">
        <v>1960</v>
      </c>
      <c r="G108" t="s">
        <v>1960</v>
      </c>
    </row>
    <row r="109" spans="1:7">
      <c r="A109" t="s">
        <v>1236</v>
      </c>
      <c r="B109" s="283">
        <v>44037</v>
      </c>
      <c r="C109" t="s">
        <v>1180</v>
      </c>
      <c r="D109">
        <v>4</v>
      </c>
      <c r="E109">
        <v>20</v>
      </c>
      <c r="F109" t="s">
        <v>1961</v>
      </c>
      <c r="G109" t="s">
        <v>1961</v>
      </c>
    </row>
    <row r="110" spans="1:7">
      <c r="A110" t="s">
        <v>1219</v>
      </c>
      <c r="B110" s="283">
        <v>44037</v>
      </c>
      <c r="C110" t="s">
        <v>1227</v>
      </c>
      <c r="D110">
        <v>1</v>
      </c>
      <c r="E110">
        <v>100</v>
      </c>
      <c r="F110" t="s">
        <v>1979</v>
      </c>
      <c r="G110" t="s">
        <v>1979</v>
      </c>
    </row>
    <row r="111" spans="1:7">
      <c r="A111" t="s">
        <v>1228</v>
      </c>
      <c r="B111" s="283">
        <v>44037</v>
      </c>
      <c r="C111" t="s">
        <v>1230</v>
      </c>
      <c r="D111">
        <v>1</v>
      </c>
      <c r="E111">
        <v>119</v>
      </c>
      <c r="F111" t="s">
        <v>1993</v>
      </c>
      <c r="G111" t="s">
        <v>1993</v>
      </c>
    </row>
    <row r="112" spans="1:7">
      <c r="A112" t="s">
        <v>1231</v>
      </c>
      <c r="B112" s="283">
        <v>44037</v>
      </c>
      <c r="C112" t="s">
        <v>1232</v>
      </c>
      <c r="D112">
        <v>1</v>
      </c>
      <c r="E112">
        <v>2</v>
      </c>
      <c r="F112" t="s">
        <v>2003</v>
      </c>
      <c r="G112" t="s">
        <v>2003</v>
      </c>
    </row>
    <row r="113" spans="1:7">
      <c r="A113" t="s">
        <v>1237</v>
      </c>
      <c r="B113" s="283">
        <v>44037</v>
      </c>
      <c r="C113" t="s">
        <v>1239</v>
      </c>
      <c r="D113">
        <v>1</v>
      </c>
      <c r="E113">
        <v>864</v>
      </c>
      <c r="F113" t="s">
        <v>2014</v>
      </c>
      <c r="G113" t="s">
        <v>2014</v>
      </c>
    </row>
    <row r="114" spans="1:7">
      <c r="A114" t="s">
        <v>1233</v>
      </c>
      <c r="B114" s="283">
        <v>44041</v>
      </c>
      <c r="C114" t="s">
        <v>1119</v>
      </c>
      <c r="D114">
        <v>1</v>
      </c>
      <c r="E114">
        <v>89</v>
      </c>
      <c r="F114" t="s">
        <v>1890</v>
      </c>
      <c r="G114" t="s">
        <v>1890</v>
      </c>
    </row>
    <row r="115" spans="1:7">
      <c r="A115" t="s">
        <v>1233</v>
      </c>
      <c r="B115" s="283">
        <v>44041</v>
      </c>
      <c r="C115" t="s">
        <v>1119</v>
      </c>
      <c r="D115">
        <v>3</v>
      </c>
      <c r="E115">
        <v>53</v>
      </c>
      <c r="F115" t="s">
        <v>1890</v>
      </c>
      <c r="G115" t="s">
        <v>1890</v>
      </c>
    </row>
    <row r="116" spans="1:7">
      <c r="A116" t="s">
        <v>1233</v>
      </c>
      <c r="B116" s="283">
        <v>44041</v>
      </c>
      <c r="C116" t="s">
        <v>1137</v>
      </c>
      <c r="D116">
        <v>2</v>
      </c>
      <c r="E116">
        <v>15</v>
      </c>
      <c r="F116" t="s">
        <v>1891</v>
      </c>
      <c r="G116" t="s">
        <v>1891</v>
      </c>
    </row>
    <row r="117" spans="1:7">
      <c r="A117" t="s">
        <v>1234</v>
      </c>
      <c r="B117" s="283">
        <v>44041</v>
      </c>
      <c r="C117" t="s">
        <v>1114</v>
      </c>
      <c r="D117">
        <v>5</v>
      </c>
      <c r="E117">
        <v>15</v>
      </c>
      <c r="F117" t="s">
        <v>1926</v>
      </c>
      <c r="G117" t="s">
        <v>1926</v>
      </c>
    </row>
    <row r="118" spans="1:7">
      <c r="A118" t="s">
        <v>1234</v>
      </c>
      <c r="B118" s="283">
        <v>44041</v>
      </c>
      <c r="C118" t="s">
        <v>1149</v>
      </c>
      <c r="D118">
        <v>1</v>
      </c>
      <c r="E118">
        <v>10</v>
      </c>
      <c r="F118" t="s">
        <v>1927</v>
      </c>
      <c r="G118" t="s">
        <v>1927</v>
      </c>
    </row>
    <row r="119" spans="1:7">
      <c r="A119" t="s">
        <v>1234</v>
      </c>
      <c r="B119" s="283">
        <v>44041</v>
      </c>
      <c r="C119" t="s">
        <v>1149</v>
      </c>
      <c r="D119">
        <v>6</v>
      </c>
      <c r="E119">
        <v>25</v>
      </c>
      <c r="F119" t="s">
        <v>1927</v>
      </c>
      <c r="G119" t="s">
        <v>1927</v>
      </c>
    </row>
    <row r="120" spans="1:7">
      <c r="A120" t="s">
        <v>1234</v>
      </c>
      <c r="B120" s="283">
        <v>44041</v>
      </c>
      <c r="C120" t="s">
        <v>1151</v>
      </c>
      <c r="D120">
        <v>2</v>
      </c>
      <c r="E120">
        <v>57</v>
      </c>
      <c r="F120" t="s">
        <v>1928</v>
      </c>
      <c r="G120" t="s">
        <v>1928</v>
      </c>
    </row>
    <row r="121" spans="1:7">
      <c r="A121" t="s">
        <v>1234</v>
      </c>
      <c r="B121" s="283">
        <v>44041</v>
      </c>
      <c r="C121" t="s">
        <v>1151</v>
      </c>
      <c r="D121">
        <v>7</v>
      </c>
      <c r="E121">
        <v>11</v>
      </c>
      <c r="F121" t="s">
        <v>1928</v>
      </c>
      <c r="G121" t="s">
        <v>1928</v>
      </c>
    </row>
    <row r="122" spans="1:7">
      <c r="A122" t="s">
        <v>1234</v>
      </c>
      <c r="B122" s="283">
        <v>44041</v>
      </c>
      <c r="C122" t="s">
        <v>1153</v>
      </c>
      <c r="D122">
        <v>4</v>
      </c>
      <c r="E122">
        <v>25</v>
      </c>
      <c r="F122" t="s">
        <v>1929</v>
      </c>
      <c r="G122" t="s">
        <v>1929</v>
      </c>
    </row>
    <row r="123" spans="1:7">
      <c r="A123" t="s">
        <v>1234</v>
      </c>
      <c r="B123" s="283">
        <v>44041</v>
      </c>
      <c r="C123" t="s">
        <v>1235</v>
      </c>
      <c r="D123">
        <v>3</v>
      </c>
      <c r="E123">
        <v>15</v>
      </c>
      <c r="F123" t="s">
        <v>1930</v>
      </c>
      <c r="G123" t="s">
        <v>1930</v>
      </c>
    </row>
    <row r="124" spans="1:7">
      <c r="A124" t="s">
        <v>1236</v>
      </c>
      <c r="B124" s="283">
        <v>44041</v>
      </c>
      <c r="C124" t="s">
        <v>1119</v>
      </c>
      <c r="D124">
        <v>1</v>
      </c>
      <c r="E124">
        <v>57</v>
      </c>
      <c r="F124" t="s">
        <v>1962</v>
      </c>
      <c r="G124" t="s">
        <v>1962</v>
      </c>
    </row>
    <row r="125" spans="1:7">
      <c r="A125" t="s">
        <v>1236</v>
      </c>
      <c r="B125" s="283">
        <v>44041</v>
      </c>
      <c r="C125" t="s">
        <v>1119</v>
      </c>
      <c r="D125">
        <v>3</v>
      </c>
      <c r="E125">
        <v>5</v>
      </c>
      <c r="F125" t="s">
        <v>1962</v>
      </c>
      <c r="G125" t="s">
        <v>1962</v>
      </c>
    </row>
    <row r="126" spans="1:7">
      <c r="A126" t="s">
        <v>1236</v>
      </c>
      <c r="B126" s="283">
        <v>44041</v>
      </c>
      <c r="C126" t="s">
        <v>1127</v>
      </c>
      <c r="D126">
        <v>2</v>
      </c>
      <c r="E126">
        <v>48</v>
      </c>
      <c r="F126" t="s">
        <v>1963</v>
      </c>
      <c r="G126" t="s">
        <v>1963</v>
      </c>
    </row>
    <row r="127" spans="1:7">
      <c r="A127" t="s">
        <v>1236</v>
      </c>
      <c r="B127" s="283">
        <v>44041</v>
      </c>
      <c r="C127" t="s">
        <v>1127</v>
      </c>
      <c r="D127">
        <v>4</v>
      </c>
      <c r="E127">
        <v>48</v>
      </c>
      <c r="F127" t="s">
        <v>1963</v>
      </c>
      <c r="G127" t="s">
        <v>1963</v>
      </c>
    </row>
    <row r="128" spans="1:7">
      <c r="A128" t="s">
        <v>1219</v>
      </c>
      <c r="B128" s="283">
        <v>44041</v>
      </c>
      <c r="C128" t="s">
        <v>1221</v>
      </c>
      <c r="D128">
        <v>1</v>
      </c>
      <c r="E128">
        <v>100</v>
      </c>
      <c r="F128" t="s">
        <v>1980</v>
      </c>
      <c r="G128" t="s">
        <v>1980</v>
      </c>
    </row>
    <row r="129" spans="1:7">
      <c r="A129" t="s">
        <v>1228</v>
      </c>
      <c r="B129" s="283">
        <v>44041</v>
      </c>
      <c r="C129" t="s">
        <v>1229</v>
      </c>
      <c r="D129">
        <v>2</v>
      </c>
      <c r="E129">
        <v>83</v>
      </c>
      <c r="F129" t="s">
        <v>1994</v>
      </c>
      <c r="G129" t="s">
        <v>1994</v>
      </c>
    </row>
    <row r="130" spans="1:7">
      <c r="A130" t="s">
        <v>1228</v>
      </c>
      <c r="B130" s="283">
        <v>44041</v>
      </c>
      <c r="C130" t="s">
        <v>1230</v>
      </c>
      <c r="D130">
        <v>1</v>
      </c>
      <c r="E130">
        <v>180</v>
      </c>
      <c r="F130" t="s">
        <v>1995</v>
      </c>
      <c r="G130" t="s">
        <v>1995</v>
      </c>
    </row>
    <row r="131" spans="1:7">
      <c r="A131" t="s">
        <v>1231</v>
      </c>
      <c r="B131" s="283">
        <v>44041</v>
      </c>
      <c r="C131" t="s">
        <v>1232</v>
      </c>
      <c r="D131">
        <v>1</v>
      </c>
      <c r="E131">
        <v>5</v>
      </c>
      <c r="F131" t="s">
        <v>2004</v>
      </c>
      <c r="G131" t="s">
        <v>2004</v>
      </c>
    </row>
    <row r="132" spans="1:7">
      <c r="A132" t="s">
        <v>1237</v>
      </c>
      <c r="B132" s="283">
        <v>44041</v>
      </c>
      <c r="C132" t="s">
        <v>1238</v>
      </c>
      <c r="D132">
        <v>1</v>
      </c>
      <c r="E132">
        <v>1008</v>
      </c>
      <c r="F132" t="s">
        <v>2015</v>
      </c>
      <c r="G132" t="s">
        <v>2015</v>
      </c>
    </row>
    <row r="133" spans="1:7">
      <c r="A133" t="s">
        <v>1237</v>
      </c>
      <c r="B133" s="283">
        <v>44041</v>
      </c>
      <c r="C133" t="s">
        <v>1240</v>
      </c>
      <c r="D133">
        <v>2</v>
      </c>
      <c r="E133">
        <v>72</v>
      </c>
      <c r="F133" t="s">
        <v>2016</v>
      </c>
      <c r="G133" t="s">
        <v>2016</v>
      </c>
    </row>
    <row r="134" spans="1:7">
      <c r="A134" t="s">
        <v>1233</v>
      </c>
      <c r="B134" s="283">
        <v>44042</v>
      </c>
      <c r="C134" t="s">
        <v>1119</v>
      </c>
      <c r="D134">
        <v>1</v>
      </c>
      <c r="E134">
        <v>57</v>
      </c>
      <c r="F134" t="s">
        <v>1892</v>
      </c>
      <c r="G134" t="s">
        <v>1892</v>
      </c>
    </row>
    <row r="135" spans="1:7">
      <c r="A135" t="s">
        <v>1233</v>
      </c>
      <c r="B135" s="283">
        <v>44042</v>
      </c>
      <c r="C135" t="s">
        <v>1119</v>
      </c>
      <c r="D135">
        <v>5</v>
      </c>
      <c r="E135">
        <v>53</v>
      </c>
      <c r="F135" t="s">
        <v>1892</v>
      </c>
      <c r="G135" t="s">
        <v>1892</v>
      </c>
    </row>
    <row r="136" spans="1:7">
      <c r="A136" t="s">
        <v>1233</v>
      </c>
      <c r="B136" s="283">
        <v>44042</v>
      </c>
      <c r="C136" t="s">
        <v>1135</v>
      </c>
      <c r="D136">
        <v>2</v>
      </c>
      <c r="E136">
        <v>27</v>
      </c>
      <c r="F136" t="s">
        <v>1893</v>
      </c>
      <c r="G136" t="s">
        <v>1893</v>
      </c>
    </row>
    <row r="137" spans="1:7">
      <c r="A137" t="s">
        <v>1233</v>
      </c>
      <c r="B137" s="283">
        <v>44042</v>
      </c>
      <c r="C137" t="s">
        <v>1181</v>
      </c>
      <c r="D137">
        <v>3</v>
      </c>
      <c r="E137">
        <v>8</v>
      </c>
      <c r="F137" t="s">
        <v>1894</v>
      </c>
      <c r="G137" t="s">
        <v>1894</v>
      </c>
    </row>
    <row r="138" spans="1:7">
      <c r="A138" t="s">
        <v>1233</v>
      </c>
      <c r="B138" s="283">
        <v>44042</v>
      </c>
      <c r="C138" t="s">
        <v>1137</v>
      </c>
      <c r="D138">
        <v>4</v>
      </c>
      <c r="E138">
        <v>15</v>
      </c>
      <c r="F138" t="s">
        <v>1895</v>
      </c>
      <c r="G138" t="s">
        <v>1895</v>
      </c>
    </row>
    <row r="139" spans="1:7">
      <c r="A139" t="s">
        <v>1234</v>
      </c>
      <c r="B139" s="283">
        <v>44042</v>
      </c>
      <c r="C139" t="s">
        <v>1114</v>
      </c>
      <c r="D139">
        <v>4</v>
      </c>
      <c r="E139">
        <v>11</v>
      </c>
      <c r="F139" t="s">
        <v>1931</v>
      </c>
      <c r="G139" t="s">
        <v>1931</v>
      </c>
    </row>
    <row r="140" spans="1:7">
      <c r="A140" t="s">
        <v>1234</v>
      </c>
      <c r="B140" s="283">
        <v>44042</v>
      </c>
      <c r="C140" t="s">
        <v>1151</v>
      </c>
      <c r="D140">
        <v>1</v>
      </c>
      <c r="E140">
        <v>32</v>
      </c>
      <c r="F140" t="s">
        <v>1932</v>
      </c>
      <c r="G140" t="s">
        <v>1932</v>
      </c>
    </row>
    <row r="141" spans="1:7">
      <c r="A141" t="s">
        <v>1234</v>
      </c>
      <c r="B141" s="283">
        <v>44042</v>
      </c>
      <c r="C141" t="s">
        <v>1151</v>
      </c>
      <c r="D141">
        <v>5</v>
      </c>
      <c r="E141">
        <v>40</v>
      </c>
      <c r="F141" t="s">
        <v>1932</v>
      </c>
      <c r="G141" t="s">
        <v>1932</v>
      </c>
    </row>
    <row r="142" spans="1:7">
      <c r="A142" t="s">
        <v>1234</v>
      </c>
      <c r="B142" s="283">
        <v>44042</v>
      </c>
      <c r="C142" t="s">
        <v>1153</v>
      </c>
      <c r="D142">
        <v>3</v>
      </c>
      <c r="E142">
        <v>62</v>
      </c>
      <c r="F142" t="s">
        <v>1933</v>
      </c>
      <c r="G142" t="s">
        <v>1933</v>
      </c>
    </row>
    <row r="143" spans="1:7">
      <c r="A143" t="s">
        <v>1234</v>
      </c>
      <c r="B143" s="283">
        <v>44042</v>
      </c>
      <c r="C143" t="s">
        <v>1235</v>
      </c>
      <c r="D143">
        <v>2</v>
      </c>
      <c r="E143">
        <v>15</v>
      </c>
      <c r="F143" t="s">
        <v>1934</v>
      </c>
      <c r="G143" t="s">
        <v>1934</v>
      </c>
    </row>
    <row r="144" spans="1:7">
      <c r="A144" t="s">
        <v>1236</v>
      </c>
      <c r="B144" s="283">
        <v>44042</v>
      </c>
      <c r="C144" t="s">
        <v>1127</v>
      </c>
      <c r="D144">
        <v>1</v>
      </c>
      <c r="E144">
        <v>160</v>
      </c>
      <c r="F144" t="s">
        <v>1964</v>
      </c>
      <c r="G144" t="s">
        <v>1964</v>
      </c>
    </row>
    <row r="145" spans="1:7">
      <c r="A145" t="s">
        <v>1219</v>
      </c>
      <c r="B145" s="283">
        <v>44042</v>
      </c>
      <c r="C145" t="s">
        <v>1221</v>
      </c>
      <c r="D145">
        <v>1</v>
      </c>
      <c r="E145">
        <v>50</v>
      </c>
      <c r="F145" t="s">
        <v>1981</v>
      </c>
      <c r="G145" t="s">
        <v>1981</v>
      </c>
    </row>
    <row r="146" spans="1:7">
      <c r="A146" t="s">
        <v>1219</v>
      </c>
      <c r="B146" s="283">
        <v>44042</v>
      </c>
      <c r="C146" t="s">
        <v>1214</v>
      </c>
      <c r="D146">
        <v>2</v>
      </c>
      <c r="E146">
        <v>5</v>
      </c>
      <c r="F146" t="s">
        <v>1982</v>
      </c>
      <c r="G146" t="s">
        <v>1982</v>
      </c>
    </row>
    <row r="147" spans="1:7">
      <c r="A147" t="s">
        <v>1219</v>
      </c>
      <c r="B147" s="283">
        <v>44042</v>
      </c>
      <c r="C147" t="s">
        <v>1078</v>
      </c>
      <c r="D147">
        <v>3</v>
      </c>
      <c r="E147">
        <v>45</v>
      </c>
      <c r="F147" t="s">
        <v>1983</v>
      </c>
      <c r="G147" t="s">
        <v>1983</v>
      </c>
    </row>
    <row r="148" spans="1:7">
      <c r="A148" t="s">
        <v>1228</v>
      </c>
      <c r="B148" s="283">
        <v>44042</v>
      </c>
      <c r="C148" t="s">
        <v>1230</v>
      </c>
      <c r="D148">
        <v>1</v>
      </c>
      <c r="E148">
        <v>270</v>
      </c>
      <c r="F148" t="s">
        <v>1996</v>
      </c>
      <c r="G148" t="s">
        <v>1996</v>
      </c>
    </row>
    <row r="149" spans="1:7">
      <c r="A149" t="s">
        <v>1231</v>
      </c>
      <c r="B149" s="283">
        <v>44042</v>
      </c>
      <c r="C149" t="s">
        <v>1232</v>
      </c>
      <c r="D149">
        <v>1</v>
      </c>
      <c r="E149">
        <v>4</v>
      </c>
      <c r="F149" t="s">
        <v>2005</v>
      </c>
      <c r="G149" t="s">
        <v>2005</v>
      </c>
    </row>
    <row r="150" spans="1:7">
      <c r="A150" t="s">
        <v>1237</v>
      </c>
      <c r="B150" s="283">
        <v>44042</v>
      </c>
      <c r="C150" t="s">
        <v>1239</v>
      </c>
      <c r="D150">
        <v>2</v>
      </c>
      <c r="E150">
        <v>720</v>
      </c>
      <c r="F150" t="s">
        <v>2017</v>
      </c>
      <c r="G150" t="s">
        <v>2017</v>
      </c>
    </row>
    <row r="151" spans="1:7">
      <c r="A151" t="s">
        <v>1237</v>
      </c>
      <c r="B151" s="283">
        <v>44042</v>
      </c>
      <c r="C151" t="s">
        <v>1240</v>
      </c>
      <c r="D151">
        <v>1</v>
      </c>
      <c r="E151">
        <v>360</v>
      </c>
      <c r="F151" t="s">
        <v>2018</v>
      </c>
      <c r="G151" t="s">
        <v>2018</v>
      </c>
    </row>
    <row r="152" spans="1:7">
      <c r="A152" t="s">
        <v>1233</v>
      </c>
      <c r="B152" s="283">
        <v>44043</v>
      </c>
      <c r="C152" t="s">
        <v>1119</v>
      </c>
      <c r="D152">
        <v>1</v>
      </c>
      <c r="E152">
        <v>30</v>
      </c>
      <c r="F152" t="s">
        <v>1896</v>
      </c>
      <c r="G152" t="s">
        <v>1896</v>
      </c>
    </row>
    <row r="153" spans="1:7">
      <c r="A153" t="s">
        <v>1233</v>
      </c>
      <c r="B153" s="283">
        <v>44043</v>
      </c>
      <c r="C153" t="s">
        <v>1121</v>
      </c>
      <c r="D153">
        <v>2</v>
      </c>
      <c r="E153">
        <v>10</v>
      </c>
      <c r="F153" t="s">
        <v>1897</v>
      </c>
      <c r="G153" t="s">
        <v>1897</v>
      </c>
    </row>
    <row r="154" spans="1:7">
      <c r="A154" t="s">
        <v>1233</v>
      </c>
      <c r="B154" s="283">
        <v>44043</v>
      </c>
      <c r="C154" t="s">
        <v>1123</v>
      </c>
      <c r="D154">
        <v>3</v>
      </c>
      <c r="E154">
        <v>5</v>
      </c>
      <c r="F154" t="s">
        <v>1898</v>
      </c>
      <c r="G154" t="s">
        <v>1898</v>
      </c>
    </row>
    <row r="155" spans="1:7">
      <c r="A155" t="s">
        <v>1233</v>
      </c>
      <c r="B155" s="283">
        <v>44043</v>
      </c>
      <c r="C155" t="s">
        <v>1123</v>
      </c>
      <c r="D155">
        <v>6</v>
      </c>
      <c r="E155">
        <v>13</v>
      </c>
      <c r="F155" t="s">
        <v>1898</v>
      </c>
      <c r="G155" t="s">
        <v>1898</v>
      </c>
    </row>
    <row r="156" spans="1:7">
      <c r="A156" t="s">
        <v>1233</v>
      </c>
      <c r="B156" s="283">
        <v>44043</v>
      </c>
      <c r="C156" t="s">
        <v>1127</v>
      </c>
      <c r="D156">
        <v>7</v>
      </c>
      <c r="E156">
        <v>40</v>
      </c>
      <c r="F156" t="s">
        <v>1899</v>
      </c>
      <c r="G156" t="s">
        <v>1899</v>
      </c>
    </row>
    <row r="157" spans="1:7">
      <c r="A157" t="s">
        <v>1233</v>
      </c>
      <c r="B157" s="283">
        <v>44043</v>
      </c>
      <c r="C157" t="s">
        <v>1129</v>
      </c>
      <c r="D157">
        <v>4</v>
      </c>
      <c r="E157">
        <v>23</v>
      </c>
      <c r="F157" t="s">
        <v>1900</v>
      </c>
      <c r="G157" t="s">
        <v>1900</v>
      </c>
    </row>
    <row r="158" spans="1:7">
      <c r="A158" t="s">
        <v>1233</v>
      </c>
      <c r="B158" s="283">
        <v>44043</v>
      </c>
      <c r="C158" t="s">
        <v>1137</v>
      </c>
      <c r="D158">
        <v>5</v>
      </c>
      <c r="E158">
        <v>9</v>
      </c>
      <c r="F158" t="s">
        <v>1901</v>
      </c>
      <c r="G158" t="s">
        <v>1901</v>
      </c>
    </row>
    <row r="159" spans="1:7">
      <c r="A159" t="s">
        <v>1234</v>
      </c>
      <c r="B159" s="283">
        <v>44043</v>
      </c>
      <c r="C159" t="s">
        <v>1114</v>
      </c>
      <c r="D159">
        <v>4</v>
      </c>
      <c r="E159">
        <v>45</v>
      </c>
      <c r="F159" t="s">
        <v>1935</v>
      </c>
      <c r="G159" t="s">
        <v>1935</v>
      </c>
    </row>
    <row r="160" spans="1:7">
      <c r="A160" t="s">
        <v>1234</v>
      </c>
      <c r="B160" s="283">
        <v>44043</v>
      </c>
      <c r="C160" t="s">
        <v>1149</v>
      </c>
      <c r="D160">
        <v>5</v>
      </c>
      <c r="E160">
        <v>6</v>
      </c>
      <c r="F160" t="s">
        <v>1936</v>
      </c>
      <c r="G160" t="s">
        <v>1936</v>
      </c>
    </row>
    <row r="161" spans="1:7">
      <c r="A161" t="s">
        <v>1234</v>
      </c>
      <c r="B161" s="283">
        <v>44043</v>
      </c>
      <c r="C161" t="s">
        <v>1151</v>
      </c>
      <c r="D161">
        <v>1</v>
      </c>
      <c r="E161">
        <v>40</v>
      </c>
      <c r="F161" t="s">
        <v>1937</v>
      </c>
      <c r="G161" t="s">
        <v>1937</v>
      </c>
    </row>
    <row r="162" spans="1:7">
      <c r="A162" t="s">
        <v>1234</v>
      </c>
      <c r="B162" s="283">
        <v>44043</v>
      </c>
      <c r="C162" t="s">
        <v>1153</v>
      </c>
      <c r="D162">
        <v>3</v>
      </c>
      <c r="E162">
        <v>24</v>
      </c>
      <c r="F162" t="s">
        <v>1938</v>
      </c>
      <c r="G162" t="s">
        <v>1938</v>
      </c>
    </row>
    <row r="163" spans="1:7">
      <c r="A163" t="s">
        <v>1234</v>
      </c>
      <c r="B163" s="283">
        <v>44043</v>
      </c>
      <c r="C163" t="s">
        <v>1235</v>
      </c>
      <c r="D163">
        <v>2</v>
      </c>
      <c r="E163">
        <v>15</v>
      </c>
      <c r="F163" t="s">
        <v>1939</v>
      </c>
      <c r="G163" t="s">
        <v>1939</v>
      </c>
    </row>
    <row r="164" spans="1:7">
      <c r="A164" t="s">
        <v>1236</v>
      </c>
      <c r="B164" s="283">
        <v>44043</v>
      </c>
      <c r="C164" t="s">
        <v>1121</v>
      </c>
      <c r="D164">
        <v>2</v>
      </c>
      <c r="E164">
        <v>53</v>
      </c>
      <c r="F164" t="s">
        <v>1965</v>
      </c>
      <c r="G164" t="s">
        <v>1965</v>
      </c>
    </row>
    <row r="165" spans="1:7">
      <c r="A165" t="s">
        <v>1236</v>
      </c>
      <c r="B165" s="283">
        <v>44043</v>
      </c>
      <c r="C165" t="s">
        <v>1127</v>
      </c>
      <c r="D165">
        <v>1</v>
      </c>
      <c r="E165">
        <v>77</v>
      </c>
      <c r="F165" t="s">
        <v>1966</v>
      </c>
      <c r="G165" t="s">
        <v>1966</v>
      </c>
    </row>
    <row r="166" spans="1:7">
      <c r="A166" t="s">
        <v>1219</v>
      </c>
      <c r="B166" s="283">
        <v>44043</v>
      </c>
      <c r="C166" t="s">
        <v>1078</v>
      </c>
      <c r="D166">
        <v>1</v>
      </c>
      <c r="E166">
        <v>87</v>
      </c>
      <c r="F166" t="s">
        <v>1984</v>
      </c>
      <c r="G166" t="s">
        <v>1984</v>
      </c>
    </row>
    <row r="167" spans="1:7">
      <c r="A167" t="s">
        <v>1219</v>
      </c>
      <c r="B167" s="283">
        <v>44043</v>
      </c>
      <c r="C167" t="s">
        <v>1225</v>
      </c>
      <c r="D167">
        <v>2</v>
      </c>
      <c r="E167">
        <v>12</v>
      </c>
      <c r="F167" t="s">
        <v>1985</v>
      </c>
      <c r="G167" t="s">
        <v>1985</v>
      </c>
    </row>
    <row r="168" spans="1:7">
      <c r="A168" t="s">
        <v>1219</v>
      </c>
      <c r="B168" s="283">
        <v>44043</v>
      </c>
      <c r="C168" t="s">
        <v>1226</v>
      </c>
      <c r="D168">
        <v>3</v>
      </c>
      <c r="E168">
        <v>1</v>
      </c>
      <c r="F168" t="s">
        <v>1986</v>
      </c>
      <c r="G168" t="s">
        <v>1986</v>
      </c>
    </row>
    <row r="169" spans="1:7">
      <c r="A169" t="s">
        <v>1228</v>
      </c>
      <c r="B169" s="283">
        <v>44043</v>
      </c>
      <c r="C169" t="s">
        <v>1230</v>
      </c>
      <c r="D169">
        <v>1</v>
      </c>
      <c r="E169">
        <v>277</v>
      </c>
      <c r="F169" t="s">
        <v>1997</v>
      </c>
      <c r="G169" t="s">
        <v>1997</v>
      </c>
    </row>
    <row r="170" spans="1:7">
      <c r="A170" t="s">
        <v>1231</v>
      </c>
      <c r="B170" s="283">
        <v>44043</v>
      </c>
      <c r="C170" t="s">
        <v>1232</v>
      </c>
      <c r="D170">
        <v>1</v>
      </c>
      <c r="E170">
        <v>4</v>
      </c>
      <c r="F170" t="s">
        <v>2006</v>
      </c>
      <c r="G170" t="s">
        <v>2006</v>
      </c>
    </row>
    <row r="171" spans="1:7">
      <c r="A171" t="s">
        <v>1237</v>
      </c>
      <c r="B171" s="283">
        <v>44043</v>
      </c>
      <c r="C171" t="s">
        <v>1239</v>
      </c>
      <c r="D171">
        <v>1</v>
      </c>
      <c r="E171">
        <v>864</v>
      </c>
      <c r="F171" t="s">
        <v>2019</v>
      </c>
      <c r="G171" t="s">
        <v>2019</v>
      </c>
    </row>
    <row r="172" spans="1:7">
      <c r="A172" t="s">
        <v>1233</v>
      </c>
      <c r="B172" s="283">
        <v>44046</v>
      </c>
      <c r="C172" t="s">
        <v>1123</v>
      </c>
      <c r="D172">
        <v>5</v>
      </c>
      <c r="E172">
        <v>50</v>
      </c>
      <c r="F172" t="s">
        <v>1241</v>
      </c>
      <c r="G172" t="s">
        <v>1241</v>
      </c>
    </row>
    <row r="173" spans="1:7">
      <c r="A173" t="s">
        <v>1233</v>
      </c>
      <c r="B173" s="283">
        <v>44046</v>
      </c>
      <c r="C173" t="s">
        <v>1127</v>
      </c>
      <c r="D173">
        <v>1</v>
      </c>
      <c r="E173">
        <v>76</v>
      </c>
      <c r="F173" t="s">
        <v>1242</v>
      </c>
      <c r="G173" t="s">
        <v>1242</v>
      </c>
    </row>
    <row r="174" spans="1:7">
      <c r="A174" t="s">
        <v>1233</v>
      </c>
      <c r="B174" s="283">
        <v>44046</v>
      </c>
      <c r="C174" t="s">
        <v>1133</v>
      </c>
      <c r="D174">
        <v>2</v>
      </c>
      <c r="E174">
        <v>22</v>
      </c>
      <c r="F174" t="s">
        <v>1243</v>
      </c>
      <c r="G174" t="s">
        <v>1243</v>
      </c>
    </row>
    <row r="175" spans="1:7">
      <c r="A175" t="s">
        <v>1233</v>
      </c>
      <c r="B175" s="283">
        <v>44046</v>
      </c>
      <c r="C175" t="s">
        <v>1137</v>
      </c>
      <c r="D175">
        <v>3</v>
      </c>
      <c r="E175">
        <v>60</v>
      </c>
      <c r="F175" t="s">
        <v>1244</v>
      </c>
      <c r="G175" t="s">
        <v>1244</v>
      </c>
    </row>
    <row r="176" spans="1:7">
      <c r="A176" t="s">
        <v>1233</v>
      </c>
      <c r="B176" s="283">
        <v>44046</v>
      </c>
      <c r="C176" t="s">
        <v>1139</v>
      </c>
      <c r="D176">
        <v>4</v>
      </c>
      <c r="E176">
        <v>3</v>
      </c>
      <c r="F176" t="s">
        <v>1245</v>
      </c>
      <c r="G176" t="s">
        <v>1245</v>
      </c>
    </row>
    <row r="177" spans="1:7">
      <c r="A177" t="s">
        <v>1234</v>
      </c>
      <c r="B177" s="283">
        <v>44046</v>
      </c>
      <c r="C177" t="s">
        <v>1149</v>
      </c>
      <c r="D177">
        <v>1</v>
      </c>
      <c r="E177">
        <v>107</v>
      </c>
      <c r="F177" t="s">
        <v>1332</v>
      </c>
      <c r="G177" t="s">
        <v>1332</v>
      </c>
    </row>
    <row r="178" spans="1:7">
      <c r="A178" t="s">
        <v>1234</v>
      </c>
      <c r="B178" s="283">
        <v>44046</v>
      </c>
      <c r="C178" t="s">
        <v>1153</v>
      </c>
      <c r="D178">
        <v>3</v>
      </c>
      <c r="E178">
        <v>38</v>
      </c>
      <c r="F178" t="s">
        <v>1333</v>
      </c>
      <c r="G178" t="s">
        <v>1333</v>
      </c>
    </row>
    <row r="179" spans="1:7">
      <c r="A179" t="s">
        <v>1234</v>
      </c>
      <c r="B179" s="283">
        <v>44046</v>
      </c>
      <c r="C179" t="s">
        <v>1153</v>
      </c>
      <c r="D179">
        <v>5</v>
      </c>
      <c r="E179">
        <v>39</v>
      </c>
      <c r="F179" t="s">
        <v>1333</v>
      </c>
      <c r="G179" t="s">
        <v>1333</v>
      </c>
    </row>
    <row r="180" spans="1:7">
      <c r="A180" t="s">
        <v>1234</v>
      </c>
      <c r="B180" s="283">
        <v>44046</v>
      </c>
      <c r="C180" t="s">
        <v>1235</v>
      </c>
      <c r="D180">
        <v>2</v>
      </c>
      <c r="E180">
        <v>15</v>
      </c>
      <c r="F180" t="s">
        <v>1334</v>
      </c>
      <c r="G180" t="s">
        <v>1334</v>
      </c>
    </row>
    <row r="181" spans="1:7">
      <c r="A181" t="s">
        <v>1234</v>
      </c>
      <c r="B181" s="283">
        <v>44046</v>
      </c>
      <c r="C181" t="s">
        <v>1235</v>
      </c>
      <c r="D181">
        <v>4</v>
      </c>
      <c r="E181">
        <v>12</v>
      </c>
      <c r="F181" t="s">
        <v>1334</v>
      </c>
      <c r="G181" t="s">
        <v>1334</v>
      </c>
    </row>
    <row r="182" spans="1:7">
      <c r="A182" t="s">
        <v>1236</v>
      </c>
      <c r="B182" s="283">
        <v>44046</v>
      </c>
      <c r="C182" t="s">
        <v>1119</v>
      </c>
      <c r="D182">
        <v>4</v>
      </c>
      <c r="E182">
        <v>53</v>
      </c>
      <c r="F182" t="s">
        <v>1426</v>
      </c>
      <c r="G182" t="s">
        <v>1426</v>
      </c>
    </row>
    <row r="183" spans="1:7">
      <c r="A183" t="s">
        <v>1236</v>
      </c>
      <c r="B183" s="283">
        <v>44046</v>
      </c>
      <c r="C183" t="s">
        <v>1121</v>
      </c>
      <c r="D183">
        <v>1</v>
      </c>
      <c r="E183">
        <v>8</v>
      </c>
      <c r="F183" t="s">
        <v>1427</v>
      </c>
      <c r="G183" t="s">
        <v>1427</v>
      </c>
    </row>
    <row r="184" spans="1:7">
      <c r="A184" t="s">
        <v>1236</v>
      </c>
      <c r="B184" s="283">
        <v>44046</v>
      </c>
      <c r="C184" t="s">
        <v>1127</v>
      </c>
      <c r="D184">
        <v>2</v>
      </c>
      <c r="E184">
        <v>100</v>
      </c>
      <c r="F184" t="s">
        <v>1428</v>
      </c>
      <c r="G184" t="s">
        <v>1428</v>
      </c>
    </row>
    <row r="185" spans="1:7">
      <c r="A185" t="s">
        <v>1236</v>
      </c>
      <c r="B185" s="283">
        <v>44046</v>
      </c>
      <c r="C185" t="s">
        <v>1133</v>
      </c>
      <c r="D185">
        <v>3</v>
      </c>
      <c r="E185">
        <v>50</v>
      </c>
      <c r="F185" t="s">
        <v>1429</v>
      </c>
      <c r="G185" t="s">
        <v>1429</v>
      </c>
    </row>
    <row r="186" spans="1:7">
      <c r="A186" t="s">
        <v>1219</v>
      </c>
      <c r="B186" s="283">
        <v>44046</v>
      </c>
      <c r="C186" t="s">
        <v>1220</v>
      </c>
      <c r="D186">
        <v>1</v>
      </c>
      <c r="E186">
        <v>360</v>
      </c>
      <c r="F186" t="s">
        <v>1504</v>
      </c>
      <c r="G186" t="s">
        <v>1504</v>
      </c>
    </row>
    <row r="187" spans="1:7">
      <c r="A187" t="s">
        <v>1228</v>
      </c>
      <c r="B187" s="283">
        <v>44046</v>
      </c>
      <c r="C187" t="s">
        <v>1229</v>
      </c>
      <c r="D187">
        <v>2</v>
      </c>
      <c r="E187">
        <v>33</v>
      </c>
      <c r="F187" t="s">
        <v>1552</v>
      </c>
      <c r="G187" t="s">
        <v>1552</v>
      </c>
    </row>
    <row r="188" spans="1:7">
      <c r="A188" t="s">
        <v>1228</v>
      </c>
      <c r="B188" s="283">
        <v>44046</v>
      </c>
      <c r="C188" t="s">
        <v>1230</v>
      </c>
      <c r="D188">
        <v>1</v>
      </c>
      <c r="E188">
        <v>165</v>
      </c>
      <c r="F188" t="s">
        <v>1553</v>
      </c>
      <c r="G188" t="s">
        <v>1553</v>
      </c>
    </row>
    <row r="189" spans="1:7">
      <c r="A189" t="s">
        <v>1231</v>
      </c>
      <c r="B189" s="283">
        <v>44046</v>
      </c>
      <c r="C189" t="s">
        <v>1232</v>
      </c>
      <c r="D189">
        <v>1</v>
      </c>
      <c r="E189">
        <v>7</v>
      </c>
      <c r="F189" t="s">
        <v>1575</v>
      </c>
      <c r="G189" t="s">
        <v>1575</v>
      </c>
    </row>
    <row r="190" spans="1:7">
      <c r="A190" t="s">
        <v>1237</v>
      </c>
      <c r="B190" s="283">
        <v>44046</v>
      </c>
      <c r="C190" t="s">
        <v>1238</v>
      </c>
      <c r="D190">
        <v>1</v>
      </c>
      <c r="E190">
        <v>864</v>
      </c>
      <c r="F190" t="s">
        <v>1594</v>
      </c>
      <c r="G190" t="s">
        <v>1594</v>
      </c>
    </row>
    <row r="191" spans="1:7">
      <c r="A191" t="s">
        <v>1233</v>
      </c>
      <c r="B191" s="283">
        <v>44047</v>
      </c>
      <c r="C191" t="s">
        <v>1123</v>
      </c>
      <c r="D191">
        <v>1</v>
      </c>
      <c r="E191">
        <v>68</v>
      </c>
      <c r="F191" t="s">
        <v>1246</v>
      </c>
      <c r="G191" t="s">
        <v>1246</v>
      </c>
    </row>
    <row r="192" spans="1:7">
      <c r="A192" t="s">
        <v>1233</v>
      </c>
      <c r="B192" s="283">
        <v>44047</v>
      </c>
      <c r="C192" t="s">
        <v>1123</v>
      </c>
      <c r="D192">
        <v>5</v>
      </c>
      <c r="E192">
        <v>53</v>
      </c>
      <c r="F192" t="s">
        <v>1246</v>
      </c>
      <c r="G192" t="s">
        <v>1246</v>
      </c>
    </row>
    <row r="193" spans="1:7">
      <c r="A193" t="s">
        <v>1233</v>
      </c>
      <c r="B193" s="283">
        <v>44047</v>
      </c>
      <c r="C193" t="s">
        <v>1127</v>
      </c>
      <c r="D193">
        <v>3</v>
      </c>
      <c r="E193">
        <v>61</v>
      </c>
      <c r="F193" t="s">
        <v>1247</v>
      </c>
      <c r="G193" t="s">
        <v>1247</v>
      </c>
    </row>
    <row r="194" spans="1:7">
      <c r="A194" t="s">
        <v>1233</v>
      </c>
      <c r="B194" s="283">
        <v>44047</v>
      </c>
      <c r="C194" t="s">
        <v>1133</v>
      </c>
      <c r="D194">
        <v>4</v>
      </c>
      <c r="E194">
        <v>74</v>
      </c>
      <c r="F194" t="s">
        <v>1248</v>
      </c>
      <c r="G194" t="s">
        <v>1248</v>
      </c>
    </row>
    <row r="195" spans="1:7">
      <c r="A195" t="s">
        <v>1233</v>
      </c>
      <c r="B195" s="283">
        <v>44047</v>
      </c>
      <c r="C195" t="s">
        <v>1137</v>
      </c>
      <c r="D195">
        <v>2</v>
      </c>
      <c r="E195">
        <v>34</v>
      </c>
      <c r="F195" t="s">
        <v>1249</v>
      </c>
      <c r="G195" t="s">
        <v>1249</v>
      </c>
    </row>
    <row r="196" spans="1:7">
      <c r="A196" t="s">
        <v>1234</v>
      </c>
      <c r="B196" s="283">
        <v>44047</v>
      </c>
      <c r="C196" t="s">
        <v>1149</v>
      </c>
      <c r="D196">
        <v>2</v>
      </c>
      <c r="E196">
        <v>188</v>
      </c>
      <c r="F196" t="s">
        <v>1335</v>
      </c>
      <c r="G196" t="s">
        <v>1335</v>
      </c>
    </row>
    <row r="197" spans="1:7">
      <c r="A197" t="s">
        <v>1234</v>
      </c>
      <c r="B197" s="283">
        <v>44047</v>
      </c>
      <c r="C197" t="s">
        <v>1119</v>
      </c>
      <c r="D197">
        <v>4</v>
      </c>
      <c r="E197">
        <v>36</v>
      </c>
      <c r="F197" t="s">
        <v>1336</v>
      </c>
      <c r="G197" t="s">
        <v>1336</v>
      </c>
    </row>
    <row r="198" spans="1:7">
      <c r="A198" t="s">
        <v>1234</v>
      </c>
      <c r="B198" s="283">
        <v>44047</v>
      </c>
      <c r="C198" t="s">
        <v>1153</v>
      </c>
      <c r="D198">
        <v>1</v>
      </c>
      <c r="E198">
        <v>51</v>
      </c>
      <c r="F198" t="s">
        <v>1337</v>
      </c>
      <c r="G198" t="s">
        <v>1337</v>
      </c>
    </row>
    <row r="199" spans="1:7">
      <c r="A199" t="s">
        <v>1234</v>
      </c>
      <c r="B199" s="283">
        <v>44047</v>
      </c>
      <c r="C199" t="s">
        <v>1235</v>
      </c>
      <c r="D199">
        <v>3</v>
      </c>
      <c r="E199">
        <v>15</v>
      </c>
      <c r="F199" t="s">
        <v>1338</v>
      </c>
      <c r="G199" t="s">
        <v>1338</v>
      </c>
    </row>
    <row r="200" spans="1:7">
      <c r="A200" t="s">
        <v>1236</v>
      </c>
      <c r="B200" s="283">
        <v>44047</v>
      </c>
      <c r="C200" t="s">
        <v>1119</v>
      </c>
      <c r="D200">
        <v>1</v>
      </c>
      <c r="E200">
        <v>91</v>
      </c>
      <c r="F200" t="s">
        <v>1430</v>
      </c>
      <c r="G200" t="s">
        <v>1430</v>
      </c>
    </row>
    <row r="201" spans="1:7">
      <c r="A201" t="s">
        <v>1236</v>
      </c>
      <c r="B201" s="283">
        <v>44047</v>
      </c>
      <c r="C201" t="s">
        <v>1119</v>
      </c>
      <c r="D201">
        <v>4</v>
      </c>
      <c r="E201">
        <v>52</v>
      </c>
      <c r="F201" t="s">
        <v>1430</v>
      </c>
      <c r="G201" t="s">
        <v>1430</v>
      </c>
    </row>
    <row r="202" spans="1:7">
      <c r="A202" t="s">
        <v>1236</v>
      </c>
      <c r="B202" s="283">
        <v>44047</v>
      </c>
      <c r="C202" t="s">
        <v>1179</v>
      </c>
      <c r="D202">
        <v>5</v>
      </c>
      <c r="E202">
        <v>1</v>
      </c>
      <c r="F202" t="s">
        <v>1431</v>
      </c>
      <c r="G202" t="s">
        <v>1431</v>
      </c>
    </row>
    <row r="203" spans="1:7">
      <c r="A203" t="s">
        <v>1236</v>
      </c>
      <c r="B203" s="283">
        <v>44047</v>
      </c>
      <c r="C203" t="s">
        <v>1127</v>
      </c>
      <c r="D203">
        <v>2</v>
      </c>
      <c r="E203">
        <v>100</v>
      </c>
      <c r="F203" t="s">
        <v>1432</v>
      </c>
      <c r="G203" t="s">
        <v>1432</v>
      </c>
    </row>
    <row r="204" spans="1:7">
      <c r="A204" t="s">
        <v>1236</v>
      </c>
      <c r="B204" s="283">
        <v>44047</v>
      </c>
      <c r="C204" t="s">
        <v>1133</v>
      </c>
      <c r="D204">
        <v>3</v>
      </c>
      <c r="E204">
        <v>46</v>
      </c>
      <c r="F204" t="s">
        <v>1433</v>
      </c>
      <c r="G204" t="s">
        <v>1433</v>
      </c>
    </row>
    <row r="205" spans="1:7">
      <c r="A205" t="s">
        <v>1219</v>
      </c>
      <c r="B205" s="283">
        <v>44047</v>
      </c>
      <c r="C205" t="s">
        <v>1220</v>
      </c>
      <c r="D205">
        <v>1</v>
      </c>
      <c r="E205">
        <v>360</v>
      </c>
      <c r="F205" t="s">
        <v>1505</v>
      </c>
      <c r="G205" t="s">
        <v>1505</v>
      </c>
    </row>
    <row r="206" spans="1:7">
      <c r="A206" t="s">
        <v>1228</v>
      </c>
      <c r="B206" s="283">
        <v>44047</v>
      </c>
      <c r="C206" t="s">
        <v>1230</v>
      </c>
      <c r="D206">
        <v>1</v>
      </c>
      <c r="E206">
        <v>608</v>
      </c>
      <c r="F206" t="s">
        <v>1554</v>
      </c>
      <c r="G206" t="s">
        <v>1554</v>
      </c>
    </row>
    <row r="207" spans="1:7">
      <c r="A207" t="s">
        <v>1231</v>
      </c>
      <c r="B207" s="283">
        <v>44047</v>
      </c>
      <c r="C207" t="s">
        <v>1232</v>
      </c>
      <c r="D207">
        <v>1</v>
      </c>
      <c r="E207">
        <v>7</v>
      </c>
      <c r="F207" t="s">
        <v>1576</v>
      </c>
      <c r="G207" t="s">
        <v>1576</v>
      </c>
    </row>
    <row r="208" spans="1:7">
      <c r="A208" t="s">
        <v>1237</v>
      </c>
      <c r="B208" s="283">
        <v>44047</v>
      </c>
      <c r="C208" t="s">
        <v>1238</v>
      </c>
      <c r="D208">
        <v>1</v>
      </c>
      <c r="E208">
        <v>1080</v>
      </c>
      <c r="F208" t="s">
        <v>1595</v>
      </c>
      <c r="G208" t="s">
        <v>1595</v>
      </c>
    </row>
    <row r="209" spans="1:7">
      <c r="A209" t="s">
        <v>1233</v>
      </c>
      <c r="B209" s="283">
        <v>44048</v>
      </c>
      <c r="C209" t="s">
        <v>1155</v>
      </c>
      <c r="D209">
        <v>9</v>
      </c>
      <c r="E209">
        <v>53</v>
      </c>
      <c r="F209" t="s">
        <v>1250</v>
      </c>
      <c r="G209" t="s">
        <v>1250</v>
      </c>
    </row>
    <row r="210" spans="1:7">
      <c r="A210" t="s">
        <v>1233</v>
      </c>
      <c r="B210" s="283">
        <v>44048</v>
      </c>
      <c r="C210" t="s">
        <v>1119</v>
      </c>
      <c r="D210">
        <v>4</v>
      </c>
      <c r="E210">
        <v>43</v>
      </c>
      <c r="F210" t="s">
        <v>1251</v>
      </c>
      <c r="G210" t="s">
        <v>1251</v>
      </c>
    </row>
    <row r="211" spans="1:7">
      <c r="A211" t="s">
        <v>1233</v>
      </c>
      <c r="B211" s="283">
        <v>44048</v>
      </c>
      <c r="C211" t="s">
        <v>1123</v>
      </c>
      <c r="D211">
        <v>1</v>
      </c>
      <c r="E211">
        <v>12</v>
      </c>
      <c r="F211" t="s">
        <v>1252</v>
      </c>
      <c r="G211" t="s">
        <v>1252</v>
      </c>
    </row>
    <row r="212" spans="1:7">
      <c r="A212" t="s">
        <v>1233</v>
      </c>
      <c r="B212" s="283">
        <v>44048</v>
      </c>
      <c r="C212" t="s">
        <v>1127</v>
      </c>
      <c r="D212">
        <v>5</v>
      </c>
      <c r="E212">
        <v>60</v>
      </c>
      <c r="F212" t="s">
        <v>1253</v>
      </c>
      <c r="G212" t="s">
        <v>1253</v>
      </c>
    </row>
    <row r="213" spans="1:7">
      <c r="A213" t="s">
        <v>1233</v>
      </c>
      <c r="B213" s="283">
        <v>44048</v>
      </c>
      <c r="C213" t="s">
        <v>1129</v>
      </c>
      <c r="D213">
        <v>6</v>
      </c>
      <c r="E213">
        <v>17</v>
      </c>
      <c r="F213" t="s">
        <v>1254</v>
      </c>
      <c r="G213" t="s">
        <v>1254</v>
      </c>
    </row>
    <row r="214" spans="1:7">
      <c r="A214" t="s">
        <v>1233</v>
      </c>
      <c r="B214" s="283">
        <v>44048</v>
      </c>
      <c r="C214" t="s">
        <v>1182</v>
      </c>
      <c r="D214">
        <v>7</v>
      </c>
      <c r="E214">
        <v>42</v>
      </c>
      <c r="F214" t="s">
        <v>1255</v>
      </c>
      <c r="G214" t="s">
        <v>1255</v>
      </c>
    </row>
    <row r="215" spans="1:7">
      <c r="A215" t="s">
        <v>1233</v>
      </c>
      <c r="B215" s="283">
        <v>44048</v>
      </c>
      <c r="C215" t="s">
        <v>1180</v>
      </c>
      <c r="D215">
        <v>3</v>
      </c>
      <c r="E215">
        <v>15</v>
      </c>
      <c r="F215" t="s">
        <v>1256</v>
      </c>
      <c r="G215" t="s">
        <v>1256</v>
      </c>
    </row>
    <row r="216" spans="1:7">
      <c r="A216" t="s">
        <v>1233</v>
      </c>
      <c r="B216" s="283">
        <v>44048</v>
      </c>
      <c r="C216" t="s">
        <v>1133</v>
      </c>
      <c r="D216">
        <v>8</v>
      </c>
      <c r="E216">
        <v>6</v>
      </c>
      <c r="F216" t="s">
        <v>1257</v>
      </c>
      <c r="G216" t="s">
        <v>1257</v>
      </c>
    </row>
    <row r="217" spans="1:7">
      <c r="A217" t="s">
        <v>1233</v>
      </c>
      <c r="B217" s="283">
        <v>44048</v>
      </c>
      <c r="C217" t="s">
        <v>1137</v>
      </c>
      <c r="D217">
        <v>2</v>
      </c>
      <c r="E217">
        <v>42</v>
      </c>
      <c r="F217" t="s">
        <v>1258</v>
      </c>
      <c r="G217" t="s">
        <v>1258</v>
      </c>
    </row>
    <row r="218" spans="1:7">
      <c r="A218" t="s">
        <v>1234</v>
      </c>
      <c r="B218" s="283">
        <v>44048</v>
      </c>
      <c r="C218" t="s">
        <v>1149</v>
      </c>
      <c r="D218">
        <v>3</v>
      </c>
      <c r="E218">
        <v>66</v>
      </c>
      <c r="F218" t="s">
        <v>1339</v>
      </c>
      <c r="G218" t="s">
        <v>1339</v>
      </c>
    </row>
    <row r="219" spans="1:7">
      <c r="A219" t="s">
        <v>1234</v>
      </c>
      <c r="B219" s="283">
        <v>44048</v>
      </c>
      <c r="C219" t="s">
        <v>1119</v>
      </c>
      <c r="D219">
        <v>1</v>
      </c>
      <c r="E219">
        <v>47</v>
      </c>
      <c r="F219" t="s">
        <v>1340</v>
      </c>
      <c r="G219" t="s">
        <v>1340</v>
      </c>
    </row>
    <row r="220" spans="1:7">
      <c r="A220" t="s">
        <v>1234</v>
      </c>
      <c r="B220" s="283">
        <v>44048</v>
      </c>
      <c r="C220" t="s">
        <v>1119</v>
      </c>
      <c r="D220">
        <v>5</v>
      </c>
      <c r="E220">
        <v>36</v>
      </c>
      <c r="F220" t="s">
        <v>1340</v>
      </c>
      <c r="G220" t="s">
        <v>1340</v>
      </c>
    </row>
    <row r="221" spans="1:7">
      <c r="A221" t="s">
        <v>1234</v>
      </c>
      <c r="B221" s="283">
        <v>44048</v>
      </c>
      <c r="C221" t="s">
        <v>1153</v>
      </c>
      <c r="D221">
        <v>2</v>
      </c>
      <c r="E221">
        <v>90</v>
      </c>
      <c r="F221" t="s">
        <v>1341</v>
      </c>
      <c r="G221" t="s">
        <v>1341</v>
      </c>
    </row>
    <row r="222" spans="1:7">
      <c r="A222" t="s">
        <v>1234</v>
      </c>
      <c r="B222" s="283">
        <v>44048</v>
      </c>
      <c r="C222" t="s">
        <v>1235</v>
      </c>
      <c r="D222">
        <v>4</v>
      </c>
      <c r="E222">
        <v>15</v>
      </c>
      <c r="F222" t="s">
        <v>1342</v>
      </c>
      <c r="G222" t="s">
        <v>1342</v>
      </c>
    </row>
    <row r="223" spans="1:7">
      <c r="A223" t="s">
        <v>1236</v>
      </c>
      <c r="B223" s="283">
        <v>44048</v>
      </c>
      <c r="C223" t="s">
        <v>1119</v>
      </c>
      <c r="D223">
        <v>4</v>
      </c>
      <c r="E223">
        <v>53</v>
      </c>
      <c r="F223" t="s">
        <v>1434</v>
      </c>
      <c r="G223" t="s">
        <v>1434</v>
      </c>
    </row>
    <row r="224" spans="1:7">
      <c r="A224" t="s">
        <v>1236</v>
      </c>
      <c r="B224" s="283">
        <v>44048</v>
      </c>
      <c r="C224" t="s">
        <v>1179</v>
      </c>
      <c r="D224">
        <v>1</v>
      </c>
      <c r="E224">
        <v>38</v>
      </c>
      <c r="F224" t="s">
        <v>1435</v>
      </c>
      <c r="G224" t="s">
        <v>1435</v>
      </c>
    </row>
    <row r="225" spans="1:7">
      <c r="A225" t="s">
        <v>1236</v>
      </c>
      <c r="B225" s="283">
        <v>44048</v>
      </c>
      <c r="C225" t="s">
        <v>1127</v>
      </c>
      <c r="D225">
        <v>2</v>
      </c>
      <c r="E225">
        <v>100</v>
      </c>
      <c r="F225" t="s">
        <v>1436</v>
      </c>
      <c r="G225" t="s">
        <v>1436</v>
      </c>
    </row>
    <row r="226" spans="1:7">
      <c r="A226" t="s">
        <v>1236</v>
      </c>
      <c r="B226" s="283">
        <v>44048</v>
      </c>
      <c r="C226" t="s">
        <v>1190</v>
      </c>
      <c r="D226">
        <v>3</v>
      </c>
      <c r="E226">
        <v>99</v>
      </c>
      <c r="F226" t="s">
        <v>1437</v>
      </c>
      <c r="G226" t="s">
        <v>1437</v>
      </c>
    </row>
    <row r="227" spans="1:7">
      <c r="A227" t="s">
        <v>1219</v>
      </c>
      <c r="B227" s="283">
        <v>44048</v>
      </c>
      <c r="C227" t="s">
        <v>1220</v>
      </c>
      <c r="D227">
        <v>1</v>
      </c>
      <c r="E227">
        <v>360</v>
      </c>
      <c r="F227" t="s">
        <v>1506</v>
      </c>
      <c r="G227" t="s">
        <v>1506</v>
      </c>
    </row>
    <row r="228" spans="1:7">
      <c r="A228" t="s">
        <v>1228</v>
      </c>
      <c r="B228" s="283">
        <v>44048</v>
      </c>
      <c r="C228" t="s">
        <v>1230</v>
      </c>
      <c r="D228">
        <v>1</v>
      </c>
      <c r="E228">
        <v>564</v>
      </c>
      <c r="F228" t="s">
        <v>1555</v>
      </c>
      <c r="G228" t="s">
        <v>1555</v>
      </c>
    </row>
    <row r="229" spans="1:7">
      <c r="A229" t="s">
        <v>1231</v>
      </c>
      <c r="B229" s="283">
        <v>44048</v>
      </c>
      <c r="C229" t="s">
        <v>1232</v>
      </c>
      <c r="D229">
        <v>1</v>
      </c>
      <c r="E229">
        <v>7</v>
      </c>
      <c r="F229" t="s">
        <v>1577</v>
      </c>
      <c r="G229" t="s">
        <v>1577</v>
      </c>
    </row>
    <row r="230" spans="1:7">
      <c r="A230" t="s">
        <v>1237</v>
      </c>
      <c r="B230" s="283">
        <v>44048</v>
      </c>
      <c r="C230" t="s">
        <v>1238</v>
      </c>
      <c r="D230">
        <v>1</v>
      </c>
      <c r="E230">
        <v>1080</v>
      </c>
      <c r="F230" t="s">
        <v>1596</v>
      </c>
      <c r="G230" t="s">
        <v>1596</v>
      </c>
    </row>
    <row r="231" spans="1:7">
      <c r="A231" t="s">
        <v>1233</v>
      </c>
      <c r="B231" s="283">
        <v>44049</v>
      </c>
      <c r="C231" t="s">
        <v>1155</v>
      </c>
      <c r="D231">
        <v>1</v>
      </c>
      <c r="E231">
        <v>4</v>
      </c>
      <c r="F231" t="s">
        <v>1259</v>
      </c>
      <c r="G231" t="s">
        <v>1259</v>
      </c>
    </row>
    <row r="232" spans="1:7">
      <c r="A232" t="s">
        <v>1233</v>
      </c>
      <c r="B232" s="283">
        <v>44049</v>
      </c>
      <c r="C232" t="s">
        <v>1155</v>
      </c>
      <c r="D232">
        <v>8</v>
      </c>
      <c r="E232">
        <v>36</v>
      </c>
      <c r="F232" t="s">
        <v>1259</v>
      </c>
      <c r="G232" t="s">
        <v>1259</v>
      </c>
    </row>
    <row r="233" spans="1:7">
      <c r="A233" t="s">
        <v>1233</v>
      </c>
      <c r="B233" s="283">
        <v>44049</v>
      </c>
      <c r="C233" t="s">
        <v>1119</v>
      </c>
      <c r="D233">
        <v>5</v>
      </c>
      <c r="E233">
        <v>15</v>
      </c>
      <c r="F233" t="s">
        <v>1260</v>
      </c>
      <c r="G233" t="s">
        <v>1260</v>
      </c>
    </row>
    <row r="234" spans="1:7">
      <c r="A234" t="s">
        <v>1233</v>
      </c>
      <c r="B234" s="283">
        <v>44049</v>
      </c>
      <c r="C234" t="s">
        <v>1123</v>
      </c>
      <c r="D234">
        <v>2</v>
      </c>
      <c r="E234">
        <v>43</v>
      </c>
      <c r="F234" t="s">
        <v>1261</v>
      </c>
      <c r="G234" t="s">
        <v>1261</v>
      </c>
    </row>
    <row r="235" spans="1:7">
      <c r="A235" t="s">
        <v>1233</v>
      </c>
      <c r="B235" s="283">
        <v>44049</v>
      </c>
      <c r="C235" t="s">
        <v>1157</v>
      </c>
      <c r="D235">
        <v>3</v>
      </c>
      <c r="E235">
        <v>18</v>
      </c>
      <c r="F235" t="s">
        <v>1262</v>
      </c>
      <c r="G235" t="s">
        <v>1262</v>
      </c>
    </row>
    <row r="236" spans="1:7">
      <c r="A236" t="s">
        <v>1233</v>
      </c>
      <c r="B236" s="283">
        <v>44049</v>
      </c>
      <c r="C236" t="s">
        <v>1157</v>
      </c>
      <c r="D236">
        <v>9</v>
      </c>
      <c r="E236">
        <v>17</v>
      </c>
      <c r="F236" t="s">
        <v>1262</v>
      </c>
      <c r="G236" t="s">
        <v>1262</v>
      </c>
    </row>
    <row r="237" spans="1:7">
      <c r="A237" t="s">
        <v>1233</v>
      </c>
      <c r="B237" s="283">
        <v>44049</v>
      </c>
      <c r="C237" t="s">
        <v>1127</v>
      </c>
      <c r="D237">
        <v>6</v>
      </c>
      <c r="E237">
        <v>57</v>
      </c>
      <c r="F237" t="s">
        <v>1263</v>
      </c>
      <c r="G237" t="s">
        <v>1263</v>
      </c>
    </row>
    <row r="238" spans="1:7">
      <c r="A238" t="s">
        <v>1233</v>
      </c>
      <c r="B238" s="283">
        <v>44049</v>
      </c>
      <c r="C238" t="s">
        <v>1180</v>
      </c>
      <c r="D238">
        <v>4</v>
      </c>
      <c r="E238">
        <v>53</v>
      </c>
      <c r="F238" t="s">
        <v>1264</v>
      </c>
      <c r="G238" t="s">
        <v>1264</v>
      </c>
    </row>
    <row r="239" spans="1:7">
      <c r="A239" t="s">
        <v>1233</v>
      </c>
      <c r="B239" s="283">
        <v>44049</v>
      </c>
      <c r="C239" t="s">
        <v>1133</v>
      </c>
      <c r="D239">
        <v>7</v>
      </c>
      <c r="E239">
        <v>47</v>
      </c>
      <c r="F239" t="s">
        <v>1265</v>
      </c>
      <c r="G239" t="s">
        <v>1265</v>
      </c>
    </row>
    <row r="240" spans="1:7">
      <c r="A240" t="s">
        <v>1234</v>
      </c>
      <c r="B240" s="283">
        <v>44049</v>
      </c>
      <c r="C240" t="s">
        <v>1114</v>
      </c>
      <c r="D240">
        <v>4</v>
      </c>
      <c r="E240">
        <v>26</v>
      </c>
      <c r="F240" t="s">
        <v>1343</v>
      </c>
      <c r="G240" t="s">
        <v>1343</v>
      </c>
    </row>
    <row r="241" spans="1:7">
      <c r="A241" t="s">
        <v>1234</v>
      </c>
      <c r="B241" s="283">
        <v>44049</v>
      </c>
      <c r="C241" t="s">
        <v>1149</v>
      </c>
      <c r="D241">
        <v>3</v>
      </c>
      <c r="E241">
        <v>39</v>
      </c>
      <c r="F241" t="s">
        <v>1344</v>
      </c>
      <c r="G241" t="s">
        <v>1344</v>
      </c>
    </row>
    <row r="242" spans="1:7">
      <c r="A242" t="s">
        <v>1234</v>
      </c>
      <c r="B242" s="283">
        <v>44049</v>
      </c>
      <c r="C242" t="s">
        <v>1119</v>
      </c>
      <c r="D242">
        <v>1</v>
      </c>
      <c r="E242">
        <v>84</v>
      </c>
      <c r="F242" t="s">
        <v>1345</v>
      </c>
      <c r="G242" t="s">
        <v>1345</v>
      </c>
    </row>
    <row r="243" spans="1:7">
      <c r="A243" t="s">
        <v>1234</v>
      </c>
      <c r="B243" s="283">
        <v>44049</v>
      </c>
      <c r="C243" t="s">
        <v>1119</v>
      </c>
      <c r="D243">
        <v>6</v>
      </c>
      <c r="E243">
        <v>36</v>
      </c>
      <c r="F243" t="s">
        <v>1345</v>
      </c>
      <c r="G243" t="s">
        <v>1345</v>
      </c>
    </row>
    <row r="244" spans="1:7">
      <c r="A244" t="s">
        <v>1234</v>
      </c>
      <c r="B244" s="283">
        <v>44049</v>
      </c>
      <c r="C244" t="s">
        <v>1153</v>
      </c>
      <c r="D244">
        <v>2</v>
      </c>
      <c r="E244">
        <v>90</v>
      </c>
      <c r="F244" t="s">
        <v>1346</v>
      </c>
      <c r="G244" t="s">
        <v>1346</v>
      </c>
    </row>
    <row r="245" spans="1:7">
      <c r="A245" t="s">
        <v>1234</v>
      </c>
      <c r="B245" s="283">
        <v>44049</v>
      </c>
      <c r="C245" t="s">
        <v>1235</v>
      </c>
      <c r="D245">
        <v>5</v>
      </c>
      <c r="E245">
        <v>15</v>
      </c>
      <c r="F245" t="s">
        <v>1347</v>
      </c>
      <c r="G245" t="s">
        <v>1347</v>
      </c>
    </row>
    <row r="246" spans="1:7">
      <c r="A246" t="s">
        <v>1236</v>
      </c>
      <c r="B246" s="283">
        <v>44049</v>
      </c>
      <c r="C246" t="s">
        <v>1119</v>
      </c>
      <c r="D246">
        <v>1</v>
      </c>
      <c r="E246">
        <v>24</v>
      </c>
      <c r="F246" t="s">
        <v>1438</v>
      </c>
      <c r="G246" t="s">
        <v>1438</v>
      </c>
    </row>
    <row r="247" spans="1:7">
      <c r="A247" t="s">
        <v>1236</v>
      </c>
      <c r="B247" s="283">
        <v>44049</v>
      </c>
      <c r="C247" t="s">
        <v>1119</v>
      </c>
      <c r="D247">
        <v>4</v>
      </c>
      <c r="E247">
        <v>53</v>
      </c>
      <c r="F247" t="s">
        <v>1438</v>
      </c>
      <c r="G247" t="s">
        <v>1438</v>
      </c>
    </row>
    <row r="248" spans="1:7">
      <c r="A248" t="s">
        <v>1236</v>
      </c>
      <c r="B248" s="283">
        <v>44049</v>
      </c>
      <c r="C248" t="s">
        <v>1127</v>
      </c>
      <c r="D248">
        <v>2</v>
      </c>
      <c r="E248">
        <v>100</v>
      </c>
      <c r="F248" t="s">
        <v>1439</v>
      </c>
      <c r="G248" t="s">
        <v>1439</v>
      </c>
    </row>
    <row r="249" spans="1:7">
      <c r="A249" t="s">
        <v>1236</v>
      </c>
      <c r="B249" s="283">
        <v>44049</v>
      </c>
      <c r="C249" t="s">
        <v>1135</v>
      </c>
      <c r="D249">
        <v>3</v>
      </c>
      <c r="E249">
        <v>113</v>
      </c>
      <c r="F249" t="s">
        <v>1440</v>
      </c>
      <c r="G249" t="s">
        <v>1440</v>
      </c>
    </row>
    <row r="250" spans="1:7">
      <c r="A250" t="s">
        <v>1219</v>
      </c>
      <c r="B250" s="283">
        <v>44049</v>
      </c>
      <c r="C250" t="s">
        <v>1220</v>
      </c>
      <c r="D250">
        <v>1</v>
      </c>
      <c r="E250">
        <v>163</v>
      </c>
      <c r="F250" t="s">
        <v>1507</v>
      </c>
      <c r="G250" t="s">
        <v>1507</v>
      </c>
    </row>
    <row r="251" spans="1:7">
      <c r="A251" t="s">
        <v>1219</v>
      </c>
      <c r="B251" s="283">
        <v>44049</v>
      </c>
      <c r="C251" t="s">
        <v>1224</v>
      </c>
      <c r="D251">
        <v>2</v>
      </c>
      <c r="E251">
        <v>3</v>
      </c>
      <c r="F251" t="s">
        <v>1508</v>
      </c>
      <c r="G251" t="s">
        <v>1508</v>
      </c>
    </row>
    <row r="252" spans="1:7">
      <c r="A252" t="s">
        <v>1219</v>
      </c>
      <c r="B252" s="283">
        <v>44049</v>
      </c>
      <c r="C252" t="s">
        <v>1214</v>
      </c>
      <c r="D252">
        <v>3</v>
      </c>
      <c r="E252">
        <v>11</v>
      </c>
      <c r="F252" t="s">
        <v>1509</v>
      </c>
      <c r="G252" t="s">
        <v>1509</v>
      </c>
    </row>
    <row r="253" spans="1:7">
      <c r="A253" t="s">
        <v>1219</v>
      </c>
      <c r="B253" s="283">
        <v>44049</v>
      </c>
      <c r="C253" t="s">
        <v>1074</v>
      </c>
      <c r="D253">
        <v>4</v>
      </c>
      <c r="E253">
        <v>24</v>
      </c>
      <c r="F253" t="s">
        <v>1510</v>
      </c>
      <c r="G253" t="s">
        <v>1510</v>
      </c>
    </row>
    <row r="254" spans="1:7">
      <c r="A254" t="s">
        <v>1219</v>
      </c>
      <c r="B254" s="283">
        <v>44049</v>
      </c>
      <c r="C254" t="s">
        <v>1076</v>
      </c>
      <c r="D254">
        <v>5</v>
      </c>
      <c r="E254">
        <v>70</v>
      </c>
      <c r="F254" t="s">
        <v>1511</v>
      </c>
      <c r="G254" t="s">
        <v>1511</v>
      </c>
    </row>
    <row r="255" spans="1:7">
      <c r="A255" t="s">
        <v>1219</v>
      </c>
      <c r="B255" s="283">
        <v>44049</v>
      </c>
      <c r="C255" t="s">
        <v>1078</v>
      </c>
      <c r="D255">
        <v>6</v>
      </c>
      <c r="E255">
        <v>89</v>
      </c>
      <c r="F255" t="s">
        <v>1512</v>
      </c>
      <c r="G255" t="s">
        <v>1512</v>
      </c>
    </row>
    <row r="256" spans="1:7">
      <c r="A256" t="s">
        <v>1228</v>
      </c>
      <c r="B256" s="283">
        <v>44049</v>
      </c>
      <c r="C256" t="s">
        <v>1230</v>
      </c>
      <c r="D256">
        <v>1</v>
      </c>
      <c r="E256">
        <v>567</v>
      </c>
      <c r="F256" t="s">
        <v>1556</v>
      </c>
      <c r="G256" t="s">
        <v>1556</v>
      </c>
    </row>
    <row r="257" spans="1:7">
      <c r="A257" t="s">
        <v>1231</v>
      </c>
      <c r="B257" s="283">
        <v>44049</v>
      </c>
      <c r="C257" t="s">
        <v>1232</v>
      </c>
      <c r="D257">
        <v>1</v>
      </c>
      <c r="E257">
        <v>7</v>
      </c>
      <c r="F257" t="s">
        <v>1578</v>
      </c>
      <c r="G257" t="s">
        <v>1578</v>
      </c>
    </row>
    <row r="258" spans="1:7">
      <c r="A258" t="s">
        <v>1237</v>
      </c>
      <c r="B258" s="283">
        <v>44049</v>
      </c>
      <c r="C258" t="s">
        <v>1238</v>
      </c>
      <c r="D258">
        <v>1</v>
      </c>
      <c r="E258">
        <v>72</v>
      </c>
      <c r="F258" t="s">
        <v>1597</v>
      </c>
      <c r="G258" t="s">
        <v>1597</v>
      </c>
    </row>
    <row r="259" spans="1:7">
      <c r="A259" t="s">
        <v>1237</v>
      </c>
      <c r="B259" s="283">
        <v>44049</v>
      </c>
      <c r="C259" t="s">
        <v>1239</v>
      </c>
      <c r="D259">
        <v>3</v>
      </c>
      <c r="E259">
        <v>504</v>
      </c>
      <c r="F259" t="s">
        <v>1598</v>
      </c>
      <c r="G259" t="s">
        <v>1598</v>
      </c>
    </row>
    <row r="260" spans="1:7">
      <c r="A260" t="s">
        <v>1237</v>
      </c>
      <c r="B260" s="283">
        <v>44049</v>
      </c>
      <c r="C260" t="s">
        <v>1240</v>
      </c>
      <c r="D260">
        <v>2</v>
      </c>
      <c r="E260">
        <v>504</v>
      </c>
      <c r="F260" t="s">
        <v>1599</v>
      </c>
      <c r="G260" t="s">
        <v>1599</v>
      </c>
    </row>
    <row r="261" spans="1:7">
      <c r="A261" t="s">
        <v>1233</v>
      </c>
      <c r="B261" s="283">
        <v>44050</v>
      </c>
      <c r="C261" t="s">
        <v>1155</v>
      </c>
      <c r="D261">
        <v>4</v>
      </c>
      <c r="E261">
        <v>53</v>
      </c>
      <c r="F261" t="s">
        <v>1266</v>
      </c>
      <c r="G261" t="s">
        <v>1266</v>
      </c>
    </row>
    <row r="262" spans="1:7">
      <c r="A262" t="s">
        <v>1233</v>
      </c>
      <c r="B262" s="283">
        <v>44050</v>
      </c>
      <c r="C262" t="s">
        <v>1119</v>
      </c>
      <c r="D262">
        <v>2</v>
      </c>
      <c r="E262">
        <v>49</v>
      </c>
      <c r="F262" t="s">
        <v>1267</v>
      </c>
      <c r="G262" t="s">
        <v>1267</v>
      </c>
    </row>
    <row r="263" spans="1:7">
      <c r="A263" t="s">
        <v>1233</v>
      </c>
      <c r="B263" s="283">
        <v>44050</v>
      </c>
      <c r="C263" t="s">
        <v>1157</v>
      </c>
      <c r="D263">
        <v>1</v>
      </c>
      <c r="E263">
        <v>37</v>
      </c>
      <c r="F263" t="s">
        <v>1268</v>
      </c>
      <c r="G263" t="s">
        <v>1268</v>
      </c>
    </row>
    <row r="264" spans="1:7">
      <c r="A264" t="s">
        <v>1233</v>
      </c>
      <c r="B264" s="283">
        <v>44050</v>
      </c>
      <c r="C264" t="s">
        <v>1127</v>
      </c>
      <c r="D264">
        <v>3</v>
      </c>
      <c r="E264">
        <v>95</v>
      </c>
      <c r="F264" t="s">
        <v>1269</v>
      </c>
      <c r="G264" t="s">
        <v>1269</v>
      </c>
    </row>
    <row r="265" spans="1:7">
      <c r="A265" t="s">
        <v>1234</v>
      </c>
      <c r="B265" s="283">
        <v>44050</v>
      </c>
      <c r="C265" t="s">
        <v>1114</v>
      </c>
      <c r="D265">
        <v>3</v>
      </c>
      <c r="E265">
        <v>9</v>
      </c>
      <c r="F265" t="s">
        <v>1348</v>
      </c>
      <c r="G265" t="s">
        <v>1348</v>
      </c>
    </row>
    <row r="266" spans="1:7">
      <c r="A266" t="s">
        <v>1234</v>
      </c>
      <c r="B266" s="283">
        <v>44050</v>
      </c>
      <c r="C266" t="s">
        <v>1119</v>
      </c>
      <c r="D266">
        <v>1</v>
      </c>
      <c r="E266">
        <v>84</v>
      </c>
      <c r="F266" t="s">
        <v>1349</v>
      </c>
      <c r="G266" t="s">
        <v>1349</v>
      </c>
    </row>
    <row r="267" spans="1:7">
      <c r="A267" t="s">
        <v>1234</v>
      </c>
      <c r="B267" s="283">
        <v>44050</v>
      </c>
      <c r="C267" t="s">
        <v>1119</v>
      </c>
      <c r="D267">
        <v>5</v>
      </c>
      <c r="E267">
        <v>37</v>
      </c>
      <c r="F267" t="s">
        <v>1349</v>
      </c>
      <c r="G267" t="s">
        <v>1349</v>
      </c>
    </row>
    <row r="268" spans="1:7">
      <c r="A268" t="s">
        <v>1234</v>
      </c>
      <c r="B268" s="283">
        <v>44050</v>
      </c>
      <c r="C268" t="s">
        <v>1153</v>
      </c>
      <c r="D268">
        <v>2</v>
      </c>
      <c r="E268">
        <v>90</v>
      </c>
      <c r="F268" t="s">
        <v>1350</v>
      </c>
      <c r="G268" t="s">
        <v>1350</v>
      </c>
    </row>
    <row r="269" spans="1:7">
      <c r="A269" t="s">
        <v>1234</v>
      </c>
      <c r="B269" s="283">
        <v>44050</v>
      </c>
      <c r="C269" t="s">
        <v>1235</v>
      </c>
      <c r="D269">
        <v>4</v>
      </c>
      <c r="E269">
        <v>14</v>
      </c>
      <c r="F269" t="s">
        <v>1351</v>
      </c>
      <c r="G269" t="s">
        <v>1351</v>
      </c>
    </row>
    <row r="270" spans="1:7">
      <c r="A270" t="s">
        <v>1236</v>
      </c>
      <c r="B270" s="283">
        <v>44050</v>
      </c>
      <c r="C270" t="s">
        <v>1119</v>
      </c>
      <c r="D270">
        <v>1</v>
      </c>
      <c r="E270">
        <v>81</v>
      </c>
      <c r="F270" t="s">
        <v>1441</v>
      </c>
      <c r="G270" t="s">
        <v>1441</v>
      </c>
    </row>
    <row r="271" spans="1:7">
      <c r="A271" t="s">
        <v>1236</v>
      </c>
      <c r="B271" s="283">
        <v>44050</v>
      </c>
      <c r="C271" t="s">
        <v>1119</v>
      </c>
      <c r="D271">
        <v>3</v>
      </c>
      <c r="E271">
        <v>26</v>
      </c>
      <c r="F271" t="s">
        <v>1441</v>
      </c>
      <c r="G271" t="s">
        <v>1441</v>
      </c>
    </row>
    <row r="272" spans="1:7">
      <c r="A272" t="s">
        <v>1236</v>
      </c>
      <c r="B272" s="283">
        <v>44050</v>
      </c>
      <c r="C272" t="s">
        <v>1127</v>
      </c>
      <c r="D272">
        <v>2</v>
      </c>
      <c r="E272">
        <v>100</v>
      </c>
      <c r="F272" t="s">
        <v>1442</v>
      </c>
      <c r="G272" t="s">
        <v>1442</v>
      </c>
    </row>
    <row r="273" spans="1:7">
      <c r="A273" t="s">
        <v>1236</v>
      </c>
      <c r="B273" s="283">
        <v>44050</v>
      </c>
      <c r="C273" t="s">
        <v>1127</v>
      </c>
      <c r="D273">
        <v>4</v>
      </c>
      <c r="E273">
        <v>27</v>
      </c>
      <c r="F273" t="s">
        <v>1442</v>
      </c>
      <c r="G273" t="s">
        <v>1442</v>
      </c>
    </row>
    <row r="274" spans="1:7">
      <c r="A274" t="s">
        <v>1219</v>
      </c>
      <c r="B274" s="283">
        <v>44050</v>
      </c>
      <c r="C274" t="s">
        <v>1078</v>
      </c>
      <c r="D274">
        <v>1</v>
      </c>
      <c r="E274">
        <v>65</v>
      </c>
      <c r="F274" t="s">
        <v>1513</v>
      </c>
      <c r="G274" t="s">
        <v>1513</v>
      </c>
    </row>
    <row r="275" spans="1:7">
      <c r="A275" t="s">
        <v>1219</v>
      </c>
      <c r="B275" s="283">
        <v>44050</v>
      </c>
      <c r="C275" t="s">
        <v>1227</v>
      </c>
      <c r="D275">
        <v>2</v>
      </c>
      <c r="E275">
        <v>295</v>
      </c>
      <c r="F275" t="s">
        <v>1514</v>
      </c>
      <c r="G275" t="s">
        <v>1514</v>
      </c>
    </row>
    <row r="276" spans="1:7">
      <c r="A276" t="s">
        <v>1228</v>
      </c>
      <c r="B276" s="283">
        <v>44050</v>
      </c>
      <c r="C276" t="s">
        <v>1230</v>
      </c>
      <c r="D276">
        <v>1</v>
      </c>
      <c r="E276">
        <v>488</v>
      </c>
      <c r="F276" t="s">
        <v>1557</v>
      </c>
      <c r="G276" t="s">
        <v>1557</v>
      </c>
    </row>
    <row r="277" spans="1:7">
      <c r="A277" t="s">
        <v>1231</v>
      </c>
      <c r="B277" s="283">
        <v>44050</v>
      </c>
      <c r="C277" t="s">
        <v>1232</v>
      </c>
      <c r="D277">
        <v>1</v>
      </c>
      <c r="E277">
        <v>7</v>
      </c>
      <c r="F277" t="s">
        <v>1579</v>
      </c>
      <c r="G277" t="s">
        <v>1579</v>
      </c>
    </row>
    <row r="278" spans="1:7">
      <c r="A278" t="s">
        <v>1237</v>
      </c>
      <c r="B278" s="283">
        <v>44050</v>
      </c>
      <c r="C278" t="s">
        <v>1239</v>
      </c>
      <c r="D278">
        <v>1</v>
      </c>
      <c r="E278">
        <v>864</v>
      </c>
      <c r="F278" t="s">
        <v>1600</v>
      </c>
      <c r="G278" t="s">
        <v>1600</v>
      </c>
    </row>
    <row r="279" spans="1:7">
      <c r="A279" t="s">
        <v>1233</v>
      </c>
      <c r="B279" s="283">
        <v>44051</v>
      </c>
      <c r="C279" t="s">
        <v>1155</v>
      </c>
      <c r="D279">
        <v>1</v>
      </c>
      <c r="E279">
        <v>25</v>
      </c>
      <c r="F279" t="s">
        <v>1270</v>
      </c>
      <c r="G279" t="s">
        <v>1270</v>
      </c>
    </row>
    <row r="280" spans="1:7">
      <c r="A280" t="s">
        <v>1233</v>
      </c>
      <c r="B280" s="283">
        <v>44051</v>
      </c>
      <c r="C280" t="s">
        <v>1119</v>
      </c>
      <c r="D280">
        <v>3</v>
      </c>
      <c r="E280">
        <v>55</v>
      </c>
      <c r="F280" t="s">
        <v>1271</v>
      </c>
      <c r="G280" t="s">
        <v>1271</v>
      </c>
    </row>
    <row r="281" spans="1:7">
      <c r="A281" t="s">
        <v>1233</v>
      </c>
      <c r="B281" s="283">
        <v>44051</v>
      </c>
      <c r="C281" t="s">
        <v>1157</v>
      </c>
      <c r="D281">
        <v>2</v>
      </c>
      <c r="E281">
        <v>16</v>
      </c>
      <c r="F281" t="s">
        <v>1272</v>
      </c>
      <c r="G281" t="s">
        <v>1272</v>
      </c>
    </row>
    <row r="282" spans="1:7">
      <c r="A282" t="s">
        <v>1233</v>
      </c>
      <c r="B282" s="283">
        <v>44051</v>
      </c>
      <c r="C282" t="s">
        <v>1127</v>
      </c>
      <c r="D282">
        <v>4</v>
      </c>
      <c r="E282">
        <v>85</v>
      </c>
      <c r="F282" t="s">
        <v>1273</v>
      </c>
      <c r="G282" t="s">
        <v>1273</v>
      </c>
    </row>
    <row r="283" spans="1:7">
      <c r="A283" t="s">
        <v>1233</v>
      </c>
      <c r="B283" s="283">
        <v>44051</v>
      </c>
      <c r="C283" t="s">
        <v>1127</v>
      </c>
      <c r="D283">
        <v>7</v>
      </c>
      <c r="E283">
        <v>30</v>
      </c>
      <c r="F283" t="s">
        <v>1273</v>
      </c>
      <c r="G283" t="s">
        <v>1273</v>
      </c>
    </row>
    <row r="284" spans="1:7">
      <c r="A284" t="s">
        <v>1233</v>
      </c>
      <c r="B284" s="283">
        <v>44051</v>
      </c>
      <c r="C284" t="s">
        <v>1131</v>
      </c>
      <c r="D284">
        <v>6</v>
      </c>
      <c r="E284">
        <v>16</v>
      </c>
      <c r="F284" t="s">
        <v>1274</v>
      </c>
      <c r="G284" t="s">
        <v>1274</v>
      </c>
    </row>
    <row r="285" spans="1:7">
      <c r="A285" t="s">
        <v>1233</v>
      </c>
      <c r="B285" s="283">
        <v>44051</v>
      </c>
      <c r="C285" t="s">
        <v>1139</v>
      </c>
      <c r="D285">
        <v>5</v>
      </c>
      <c r="E285">
        <v>7</v>
      </c>
      <c r="F285" t="s">
        <v>1275</v>
      </c>
      <c r="G285" t="s">
        <v>1275</v>
      </c>
    </row>
    <row r="286" spans="1:7">
      <c r="A286" t="s">
        <v>1234</v>
      </c>
      <c r="B286" s="283">
        <v>44051</v>
      </c>
      <c r="C286" t="s">
        <v>1114</v>
      </c>
      <c r="D286">
        <v>3</v>
      </c>
      <c r="E286">
        <v>10</v>
      </c>
      <c r="F286" t="s">
        <v>1352</v>
      </c>
      <c r="G286" t="s">
        <v>1352</v>
      </c>
    </row>
    <row r="287" spans="1:7">
      <c r="A287" t="s">
        <v>1234</v>
      </c>
      <c r="B287" s="283">
        <v>44051</v>
      </c>
      <c r="C287" t="s">
        <v>1119</v>
      </c>
      <c r="D287">
        <v>1</v>
      </c>
      <c r="E287">
        <v>83</v>
      </c>
      <c r="F287" t="s">
        <v>1353</v>
      </c>
      <c r="G287" t="s">
        <v>1353</v>
      </c>
    </row>
    <row r="288" spans="1:7">
      <c r="A288" t="s">
        <v>1234</v>
      </c>
      <c r="B288" s="283">
        <v>44051</v>
      </c>
      <c r="C288" t="s">
        <v>1133</v>
      </c>
      <c r="D288">
        <v>5</v>
      </c>
      <c r="E288">
        <v>28</v>
      </c>
      <c r="F288" t="s">
        <v>1354</v>
      </c>
      <c r="G288" t="s">
        <v>1354</v>
      </c>
    </row>
    <row r="289" spans="1:7">
      <c r="A289" t="s">
        <v>1234</v>
      </c>
      <c r="B289" s="283">
        <v>44051</v>
      </c>
      <c r="C289" t="s">
        <v>1153</v>
      </c>
      <c r="D289">
        <v>2</v>
      </c>
      <c r="E289">
        <v>90</v>
      </c>
      <c r="F289" t="s">
        <v>1355</v>
      </c>
      <c r="G289" t="s">
        <v>1355</v>
      </c>
    </row>
    <row r="290" spans="1:7">
      <c r="A290" t="s">
        <v>1234</v>
      </c>
      <c r="B290" s="283">
        <v>44051</v>
      </c>
      <c r="C290" t="s">
        <v>1235</v>
      </c>
      <c r="D290">
        <v>4</v>
      </c>
      <c r="E290">
        <v>23</v>
      </c>
      <c r="F290" t="s">
        <v>1356</v>
      </c>
      <c r="G290" t="s">
        <v>1356</v>
      </c>
    </row>
    <row r="291" spans="1:7">
      <c r="A291" t="s">
        <v>1236</v>
      </c>
      <c r="B291" s="283">
        <v>44051</v>
      </c>
      <c r="C291" t="s">
        <v>1110</v>
      </c>
      <c r="D291">
        <v>3</v>
      </c>
      <c r="E291">
        <v>2</v>
      </c>
      <c r="F291" t="s">
        <v>1443</v>
      </c>
      <c r="G291" t="s">
        <v>1443</v>
      </c>
    </row>
    <row r="292" spans="1:7">
      <c r="A292" t="s">
        <v>1236</v>
      </c>
      <c r="B292" s="283">
        <v>44051</v>
      </c>
      <c r="C292" t="s">
        <v>1119</v>
      </c>
      <c r="D292">
        <v>4</v>
      </c>
      <c r="E292">
        <v>51</v>
      </c>
      <c r="F292" t="s">
        <v>1444</v>
      </c>
      <c r="G292" t="s">
        <v>1444</v>
      </c>
    </row>
    <row r="293" spans="1:7">
      <c r="A293" t="s">
        <v>1236</v>
      </c>
      <c r="B293" s="283">
        <v>44051</v>
      </c>
      <c r="C293" t="s">
        <v>1127</v>
      </c>
      <c r="D293">
        <v>1</v>
      </c>
      <c r="E293">
        <v>73</v>
      </c>
      <c r="F293" t="s">
        <v>1445</v>
      </c>
      <c r="G293" t="s">
        <v>1445</v>
      </c>
    </row>
    <row r="294" spans="1:7">
      <c r="A294" t="s">
        <v>1236</v>
      </c>
      <c r="B294" s="283">
        <v>44051</v>
      </c>
      <c r="C294" t="s">
        <v>1133</v>
      </c>
      <c r="D294">
        <v>2</v>
      </c>
      <c r="E294">
        <v>108</v>
      </c>
      <c r="F294" t="s">
        <v>1446</v>
      </c>
      <c r="G294" t="s">
        <v>1446</v>
      </c>
    </row>
    <row r="295" spans="1:7">
      <c r="A295" t="s">
        <v>1219</v>
      </c>
      <c r="B295" s="283">
        <v>44051</v>
      </c>
      <c r="C295" t="s">
        <v>1227</v>
      </c>
      <c r="D295">
        <v>1</v>
      </c>
      <c r="E295">
        <v>360</v>
      </c>
      <c r="F295" t="s">
        <v>1515</v>
      </c>
      <c r="G295" t="s">
        <v>1515</v>
      </c>
    </row>
    <row r="296" spans="1:7">
      <c r="A296" t="s">
        <v>1228</v>
      </c>
      <c r="B296" s="283">
        <v>44051</v>
      </c>
      <c r="C296" t="s">
        <v>1230</v>
      </c>
      <c r="D296">
        <v>1</v>
      </c>
      <c r="E296">
        <v>488</v>
      </c>
      <c r="F296" t="s">
        <v>1558</v>
      </c>
      <c r="G296" t="s">
        <v>1558</v>
      </c>
    </row>
    <row r="297" spans="1:7">
      <c r="A297" t="s">
        <v>1231</v>
      </c>
      <c r="B297" s="283">
        <v>44051</v>
      </c>
      <c r="C297" t="s">
        <v>1232</v>
      </c>
      <c r="D297">
        <v>1</v>
      </c>
      <c r="E297">
        <v>7</v>
      </c>
      <c r="F297" t="s">
        <v>1580</v>
      </c>
      <c r="G297" t="s">
        <v>1580</v>
      </c>
    </row>
    <row r="298" spans="1:7">
      <c r="A298" t="s">
        <v>1237</v>
      </c>
      <c r="B298" s="283">
        <v>44051</v>
      </c>
      <c r="C298" t="s">
        <v>1239</v>
      </c>
      <c r="D298">
        <v>1</v>
      </c>
      <c r="E298">
        <v>864</v>
      </c>
      <c r="F298" t="s">
        <v>1601</v>
      </c>
      <c r="G298" t="s">
        <v>1601</v>
      </c>
    </row>
    <row r="299" spans="1:7">
      <c r="A299" t="s">
        <v>1233</v>
      </c>
      <c r="B299" s="283">
        <v>44053</v>
      </c>
      <c r="C299" t="s">
        <v>1119</v>
      </c>
      <c r="D299">
        <v>6</v>
      </c>
      <c r="E299">
        <v>35</v>
      </c>
      <c r="F299" t="s">
        <v>1276</v>
      </c>
      <c r="G299" t="s">
        <v>1276</v>
      </c>
    </row>
    <row r="300" spans="1:7">
      <c r="A300" t="s">
        <v>1233</v>
      </c>
      <c r="B300" s="283">
        <v>44053</v>
      </c>
      <c r="C300" t="s">
        <v>1127</v>
      </c>
      <c r="D300">
        <v>1</v>
      </c>
      <c r="E300">
        <v>132</v>
      </c>
      <c r="F300" t="s">
        <v>1277</v>
      </c>
      <c r="G300" t="s">
        <v>1277</v>
      </c>
    </row>
    <row r="301" spans="1:7">
      <c r="A301" t="s">
        <v>1233</v>
      </c>
      <c r="B301" s="283">
        <v>44053</v>
      </c>
      <c r="C301" t="s">
        <v>1129</v>
      </c>
      <c r="D301">
        <v>2</v>
      </c>
      <c r="E301">
        <v>5</v>
      </c>
      <c r="F301" t="s">
        <v>1278</v>
      </c>
      <c r="G301" t="s">
        <v>1278</v>
      </c>
    </row>
    <row r="302" spans="1:7">
      <c r="A302" t="s">
        <v>1233</v>
      </c>
      <c r="B302" s="283">
        <v>44053</v>
      </c>
      <c r="C302" t="s">
        <v>1182</v>
      </c>
      <c r="D302">
        <v>3</v>
      </c>
      <c r="E302">
        <v>14</v>
      </c>
      <c r="F302" t="s">
        <v>1279</v>
      </c>
      <c r="G302" t="s">
        <v>1279</v>
      </c>
    </row>
    <row r="303" spans="1:7">
      <c r="A303" t="s">
        <v>1233</v>
      </c>
      <c r="B303" s="283">
        <v>44053</v>
      </c>
      <c r="C303" t="s">
        <v>1131</v>
      </c>
      <c r="D303">
        <v>5</v>
      </c>
      <c r="E303">
        <v>18</v>
      </c>
      <c r="F303" t="s">
        <v>1280</v>
      </c>
      <c r="G303" t="s">
        <v>1280</v>
      </c>
    </row>
    <row r="304" spans="1:7">
      <c r="A304" t="s">
        <v>1233</v>
      </c>
      <c r="B304" s="283">
        <v>44053</v>
      </c>
      <c r="C304" t="s">
        <v>1133</v>
      </c>
      <c r="D304">
        <v>4</v>
      </c>
      <c r="E304">
        <v>100</v>
      </c>
      <c r="F304" t="s">
        <v>1281</v>
      </c>
      <c r="G304" t="s">
        <v>1281</v>
      </c>
    </row>
    <row r="305" spans="1:7">
      <c r="A305" t="s">
        <v>1234</v>
      </c>
      <c r="B305" s="283">
        <v>44053</v>
      </c>
      <c r="C305" t="s">
        <v>1114</v>
      </c>
      <c r="D305">
        <v>4</v>
      </c>
      <c r="E305">
        <v>20</v>
      </c>
      <c r="F305" t="s">
        <v>1357</v>
      </c>
      <c r="G305" t="s">
        <v>1357</v>
      </c>
    </row>
    <row r="306" spans="1:7">
      <c r="A306" t="s">
        <v>1234</v>
      </c>
      <c r="B306" s="283">
        <v>44053</v>
      </c>
      <c r="C306" t="s">
        <v>1149</v>
      </c>
      <c r="D306">
        <v>3</v>
      </c>
      <c r="E306">
        <v>100</v>
      </c>
      <c r="F306" t="s">
        <v>1358</v>
      </c>
      <c r="G306" t="s">
        <v>1358</v>
      </c>
    </row>
    <row r="307" spans="1:7">
      <c r="A307" t="s">
        <v>1234</v>
      </c>
      <c r="B307" s="283">
        <v>44053</v>
      </c>
      <c r="C307" t="s">
        <v>1127</v>
      </c>
      <c r="D307">
        <v>6</v>
      </c>
      <c r="E307">
        <v>29</v>
      </c>
      <c r="F307" t="s">
        <v>1359</v>
      </c>
      <c r="G307" t="s">
        <v>1359</v>
      </c>
    </row>
    <row r="308" spans="1:7">
      <c r="A308" t="s">
        <v>1234</v>
      </c>
      <c r="B308" s="283">
        <v>44053</v>
      </c>
      <c r="C308" t="s">
        <v>1133</v>
      </c>
      <c r="D308">
        <v>1</v>
      </c>
      <c r="E308">
        <v>58</v>
      </c>
      <c r="F308" t="s">
        <v>1360</v>
      </c>
      <c r="G308" t="s">
        <v>1360</v>
      </c>
    </row>
    <row r="309" spans="1:7">
      <c r="A309" t="s">
        <v>1234</v>
      </c>
      <c r="B309" s="283">
        <v>44053</v>
      </c>
      <c r="C309" t="s">
        <v>1153</v>
      </c>
      <c r="D309">
        <v>2</v>
      </c>
      <c r="E309">
        <v>75</v>
      </c>
      <c r="F309" t="s">
        <v>1361</v>
      </c>
      <c r="G309" t="s">
        <v>1361</v>
      </c>
    </row>
    <row r="310" spans="1:7">
      <c r="A310" t="s">
        <v>1234</v>
      </c>
      <c r="B310" s="283">
        <v>44053</v>
      </c>
      <c r="C310" t="s">
        <v>1235</v>
      </c>
      <c r="D310">
        <v>5</v>
      </c>
      <c r="E310">
        <v>22</v>
      </c>
      <c r="F310" t="s">
        <v>1362</v>
      </c>
      <c r="G310" t="s">
        <v>1362</v>
      </c>
    </row>
    <row r="311" spans="1:7">
      <c r="A311" t="s">
        <v>1236</v>
      </c>
      <c r="B311" s="283">
        <v>44053</v>
      </c>
      <c r="C311" t="s">
        <v>1110</v>
      </c>
      <c r="D311">
        <v>6</v>
      </c>
      <c r="E311">
        <v>3</v>
      </c>
      <c r="F311" t="s">
        <v>1447</v>
      </c>
      <c r="G311" t="s">
        <v>1447</v>
      </c>
    </row>
    <row r="312" spans="1:7">
      <c r="A312" t="s">
        <v>1236</v>
      </c>
      <c r="B312" s="283">
        <v>44053</v>
      </c>
      <c r="C312" t="s">
        <v>1119</v>
      </c>
      <c r="D312">
        <v>1</v>
      </c>
      <c r="E312">
        <v>149</v>
      </c>
      <c r="F312" t="s">
        <v>1448</v>
      </c>
      <c r="G312" t="s">
        <v>1448</v>
      </c>
    </row>
    <row r="313" spans="1:7">
      <c r="A313" t="s">
        <v>1236</v>
      </c>
      <c r="B313" s="283">
        <v>44053</v>
      </c>
      <c r="C313" t="s">
        <v>1119</v>
      </c>
      <c r="D313">
        <v>7</v>
      </c>
      <c r="E313">
        <v>50</v>
      </c>
      <c r="F313" t="s">
        <v>1448</v>
      </c>
      <c r="G313" t="s">
        <v>1448</v>
      </c>
    </row>
    <row r="314" spans="1:7">
      <c r="A314" t="s">
        <v>1236</v>
      </c>
      <c r="B314" s="283">
        <v>44053</v>
      </c>
      <c r="C314" t="s">
        <v>1121</v>
      </c>
      <c r="D314">
        <v>2</v>
      </c>
      <c r="E314">
        <v>44</v>
      </c>
      <c r="F314" t="s">
        <v>1449</v>
      </c>
      <c r="G314" t="s">
        <v>1449</v>
      </c>
    </row>
    <row r="315" spans="1:7">
      <c r="A315" t="s">
        <v>1236</v>
      </c>
      <c r="B315" s="283">
        <v>44053</v>
      </c>
      <c r="C315" t="s">
        <v>1179</v>
      </c>
      <c r="D315">
        <v>3</v>
      </c>
      <c r="E315">
        <v>13</v>
      </c>
      <c r="F315" t="s">
        <v>1450</v>
      </c>
      <c r="G315" t="s">
        <v>1450</v>
      </c>
    </row>
    <row r="316" spans="1:7">
      <c r="A316" t="s">
        <v>1236</v>
      </c>
      <c r="B316" s="283">
        <v>44053</v>
      </c>
      <c r="C316" t="s">
        <v>1127</v>
      </c>
      <c r="D316">
        <v>4</v>
      </c>
      <c r="E316">
        <v>11</v>
      </c>
      <c r="F316" t="s">
        <v>1451</v>
      </c>
      <c r="G316" t="s">
        <v>1451</v>
      </c>
    </row>
    <row r="317" spans="1:7">
      <c r="A317" t="s">
        <v>1236</v>
      </c>
      <c r="B317" s="283">
        <v>44053</v>
      </c>
      <c r="C317" t="s">
        <v>1135</v>
      </c>
      <c r="D317">
        <v>5</v>
      </c>
      <c r="E317">
        <v>34</v>
      </c>
      <c r="F317" t="s">
        <v>1452</v>
      </c>
      <c r="G317" t="s">
        <v>1452</v>
      </c>
    </row>
    <row r="318" spans="1:7">
      <c r="A318" t="s">
        <v>1219</v>
      </c>
      <c r="B318" s="283">
        <v>44053</v>
      </c>
      <c r="C318" t="s">
        <v>1220</v>
      </c>
      <c r="D318">
        <v>1</v>
      </c>
      <c r="E318">
        <v>213</v>
      </c>
      <c r="F318" t="s">
        <v>1516</v>
      </c>
      <c r="G318" t="s">
        <v>1516</v>
      </c>
    </row>
    <row r="319" spans="1:7">
      <c r="A319" t="s">
        <v>1219</v>
      </c>
      <c r="B319" s="283">
        <v>44053</v>
      </c>
      <c r="C319" t="s">
        <v>1222</v>
      </c>
      <c r="D319">
        <v>2</v>
      </c>
      <c r="E319">
        <v>1</v>
      </c>
      <c r="F319" t="s">
        <v>1517</v>
      </c>
      <c r="G319" t="s">
        <v>1517</v>
      </c>
    </row>
    <row r="320" spans="1:7">
      <c r="A320" t="s">
        <v>1219</v>
      </c>
      <c r="B320" s="283">
        <v>44053</v>
      </c>
      <c r="C320" t="s">
        <v>1224</v>
      </c>
      <c r="D320">
        <v>3</v>
      </c>
      <c r="E320">
        <v>1</v>
      </c>
      <c r="F320" t="s">
        <v>1518</v>
      </c>
      <c r="G320" t="s">
        <v>1518</v>
      </c>
    </row>
    <row r="321" spans="1:7">
      <c r="A321" t="s">
        <v>1219</v>
      </c>
      <c r="B321" s="283">
        <v>44053</v>
      </c>
      <c r="C321" t="s">
        <v>1074</v>
      </c>
      <c r="D321">
        <v>4</v>
      </c>
      <c r="E321">
        <v>106</v>
      </c>
      <c r="F321" t="s">
        <v>1519</v>
      </c>
      <c r="G321" t="s">
        <v>1519</v>
      </c>
    </row>
    <row r="322" spans="1:7">
      <c r="A322" t="s">
        <v>1219</v>
      </c>
      <c r="B322" s="283">
        <v>44053</v>
      </c>
      <c r="C322" t="s">
        <v>1076</v>
      </c>
      <c r="D322">
        <v>5</v>
      </c>
      <c r="E322">
        <v>39</v>
      </c>
      <c r="F322" t="s">
        <v>1520</v>
      </c>
      <c r="G322" t="s">
        <v>1520</v>
      </c>
    </row>
    <row r="323" spans="1:7">
      <c r="A323" t="s">
        <v>1228</v>
      </c>
      <c r="B323" s="283">
        <v>44053</v>
      </c>
      <c r="C323" t="s">
        <v>1229</v>
      </c>
      <c r="D323">
        <v>2</v>
      </c>
      <c r="E323">
        <v>141</v>
      </c>
      <c r="F323" t="s">
        <v>1559</v>
      </c>
      <c r="G323" t="s">
        <v>1559</v>
      </c>
    </row>
    <row r="324" spans="1:7">
      <c r="A324" t="s">
        <v>1228</v>
      </c>
      <c r="B324" s="283">
        <v>44053</v>
      </c>
      <c r="C324" t="s">
        <v>1230</v>
      </c>
      <c r="D324">
        <v>1</v>
      </c>
      <c r="E324">
        <v>503</v>
      </c>
      <c r="F324" t="s">
        <v>1560</v>
      </c>
      <c r="G324" t="s">
        <v>1560</v>
      </c>
    </row>
    <row r="325" spans="1:7">
      <c r="A325" t="s">
        <v>1231</v>
      </c>
      <c r="B325" s="283">
        <v>44053</v>
      </c>
      <c r="C325" t="s">
        <v>1232</v>
      </c>
      <c r="D325">
        <v>1</v>
      </c>
      <c r="E325">
        <v>10</v>
      </c>
      <c r="F325" t="s">
        <v>1581</v>
      </c>
      <c r="G325" t="s">
        <v>1581</v>
      </c>
    </row>
    <row r="326" spans="1:7">
      <c r="A326" t="s">
        <v>1237</v>
      </c>
      <c r="B326" s="283">
        <v>44053</v>
      </c>
      <c r="C326" t="s">
        <v>1239</v>
      </c>
      <c r="D326">
        <v>1</v>
      </c>
      <c r="E326">
        <v>432</v>
      </c>
      <c r="F326" t="s">
        <v>1602</v>
      </c>
      <c r="G326" t="s">
        <v>1602</v>
      </c>
    </row>
    <row r="327" spans="1:7">
      <c r="A327" t="s">
        <v>1237</v>
      </c>
      <c r="B327" s="283">
        <v>44053</v>
      </c>
      <c r="C327" t="s">
        <v>1240</v>
      </c>
      <c r="D327">
        <v>2</v>
      </c>
      <c r="E327">
        <v>432</v>
      </c>
      <c r="F327" t="s">
        <v>1603</v>
      </c>
      <c r="G327" t="s">
        <v>1603</v>
      </c>
    </row>
    <row r="328" spans="1:7">
      <c r="A328" t="s">
        <v>1233</v>
      </c>
      <c r="B328" s="283">
        <v>44054</v>
      </c>
      <c r="C328" t="s">
        <v>1119</v>
      </c>
      <c r="D328">
        <v>1</v>
      </c>
      <c r="E328">
        <v>7</v>
      </c>
      <c r="F328" t="s">
        <v>1282</v>
      </c>
      <c r="G328" t="s">
        <v>1282</v>
      </c>
    </row>
    <row r="329" spans="1:7">
      <c r="A329" t="s">
        <v>1233</v>
      </c>
      <c r="B329" s="283">
        <v>44054</v>
      </c>
      <c r="C329" t="s">
        <v>1123</v>
      </c>
      <c r="D329">
        <v>3</v>
      </c>
      <c r="E329">
        <v>53</v>
      </c>
      <c r="F329" t="s">
        <v>1283</v>
      </c>
      <c r="G329" t="s">
        <v>1283</v>
      </c>
    </row>
    <row r="330" spans="1:7">
      <c r="A330" t="s">
        <v>1233</v>
      </c>
      <c r="B330" s="283">
        <v>44054</v>
      </c>
      <c r="C330" t="s">
        <v>1127</v>
      </c>
      <c r="D330">
        <v>2</v>
      </c>
      <c r="E330">
        <v>186</v>
      </c>
      <c r="F330" t="s">
        <v>1284</v>
      </c>
      <c r="G330" t="s">
        <v>1284</v>
      </c>
    </row>
    <row r="331" spans="1:7">
      <c r="A331" t="s">
        <v>1234</v>
      </c>
      <c r="B331" s="283">
        <v>44054</v>
      </c>
      <c r="C331" t="s">
        <v>1114</v>
      </c>
      <c r="D331">
        <v>4</v>
      </c>
      <c r="E331">
        <v>16</v>
      </c>
      <c r="F331" t="s">
        <v>1363</v>
      </c>
      <c r="G331" t="s">
        <v>1363</v>
      </c>
    </row>
    <row r="332" spans="1:7">
      <c r="A332" t="s">
        <v>1234</v>
      </c>
      <c r="B332" s="283">
        <v>44054</v>
      </c>
      <c r="C332" t="s">
        <v>1149</v>
      </c>
      <c r="D332">
        <v>3</v>
      </c>
      <c r="E332">
        <v>55</v>
      </c>
      <c r="F332" t="s">
        <v>1364</v>
      </c>
      <c r="G332" t="s">
        <v>1364</v>
      </c>
    </row>
    <row r="333" spans="1:7">
      <c r="A333" t="s">
        <v>1234</v>
      </c>
      <c r="B333" s="283">
        <v>44054</v>
      </c>
      <c r="C333" t="s">
        <v>1127</v>
      </c>
      <c r="D333">
        <v>1</v>
      </c>
      <c r="E333">
        <v>50</v>
      </c>
      <c r="F333" t="s">
        <v>1365</v>
      </c>
      <c r="G333" t="s">
        <v>1365</v>
      </c>
    </row>
    <row r="334" spans="1:7">
      <c r="A334" t="s">
        <v>1234</v>
      </c>
      <c r="B334" s="283">
        <v>44054</v>
      </c>
      <c r="C334" t="s">
        <v>1127</v>
      </c>
      <c r="D334">
        <v>6</v>
      </c>
      <c r="E334">
        <v>1</v>
      </c>
      <c r="F334" t="s">
        <v>1365</v>
      </c>
      <c r="G334" t="s">
        <v>1365</v>
      </c>
    </row>
    <row r="335" spans="1:7">
      <c r="A335" t="s">
        <v>1234</v>
      </c>
      <c r="B335" s="283">
        <v>44054</v>
      </c>
      <c r="C335" t="s">
        <v>1133</v>
      </c>
      <c r="D335">
        <v>7</v>
      </c>
      <c r="E335">
        <v>35</v>
      </c>
      <c r="F335" t="s">
        <v>1866</v>
      </c>
      <c r="G335" t="s">
        <v>1866</v>
      </c>
    </row>
    <row r="336" spans="1:7">
      <c r="A336" t="s">
        <v>1234</v>
      </c>
      <c r="B336" s="283">
        <v>44054</v>
      </c>
      <c r="C336" t="s">
        <v>1153</v>
      </c>
      <c r="D336">
        <v>2</v>
      </c>
      <c r="E336">
        <v>74</v>
      </c>
      <c r="F336" t="s">
        <v>1366</v>
      </c>
      <c r="G336" t="s">
        <v>1366</v>
      </c>
    </row>
    <row r="337" spans="1:7">
      <c r="A337" t="s">
        <v>1234</v>
      </c>
      <c r="B337" s="283">
        <v>44054</v>
      </c>
      <c r="C337" t="s">
        <v>1235</v>
      </c>
      <c r="D337">
        <v>5</v>
      </c>
      <c r="E337">
        <v>15</v>
      </c>
      <c r="F337" t="s">
        <v>1367</v>
      </c>
      <c r="G337" t="s">
        <v>1367</v>
      </c>
    </row>
    <row r="338" spans="1:7">
      <c r="A338" t="s">
        <v>1236</v>
      </c>
      <c r="B338" s="283">
        <v>44054</v>
      </c>
      <c r="C338" t="s">
        <v>1119</v>
      </c>
      <c r="D338">
        <v>1</v>
      </c>
      <c r="E338">
        <v>128</v>
      </c>
      <c r="F338" t="s">
        <v>1453</v>
      </c>
      <c r="G338" t="s">
        <v>1453</v>
      </c>
    </row>
    <row r="339" spans="1:7">
      <c r="A339" t="s">
        <v>1236</v>
      </c>
      <c r="B339" s="283">
        <v>44054</v>
      </c>
      <c r="C339" t="s">
        <v>1119</v>
      </c>
      <c r="D339">
        <v>3</v>
      </c>
      <c r="E339">
        <v>53</v>
      </c>
      <c r="F339" t="s">
        <v>1453</v>
      </c>
      <c r="G339" t="s">
        <v>1453</v>
      </c>
    </row>
    <row r="340" spans="1:7">
      <c r="A340" t="s">
        <v>1236</v>
      </c>
      <c r="B340" s="283">
        <v>44054</v>
      </c>
      <c r="C340" t="s">
        <v>1127</v>
      </c>
      <c r="D340">
        <v>2</v>
      </c>
      <c r="E340">
        <v>65</v>
      </c>
      <c r="F340" t="s">
        <v>1454</v>
      </c>
      <c r="G340" t="s">
        <v>1454</v>
      </c>
    </row>
    <row r="341" spans="1:7">
      <c r="A341" t="s">
        <v>1219</v>
      </c>
      <c r="B341" s="283">
        <v>44054</v>
      </c>
      <c r="C341" t="s">
        <v>1076</v>
      </c>
      <c r="D341">
        <v>1</v>
      </c>
      <c r="E341">
        <v>152</v>
      </c>
      <c r="F341" t="s">
        <v>1521</v>
      </c>
      <c r="G341" t="s">
        <v>1521</v>
      </c>
    </row>
    <row r="342" spans="1:7">
      <c r="A342" t="s">
        <v>1219</v>
      </c>
      <c r="B342" s="283">
        <v>44054</v>
      </c>
      <c r="C342" t="s">
        <v>1078</v>
      </c>
      <c r="D342">
        <v>2</v>
      </c>
      <c r="E342">
        <v>174</v>
      </c>
      <c r="F342" t="s">
        <v>1522</v>
      </c>
      <c r="G342" t="s">
        <v>1522</v>
      </c>
    </row>
    <row r="343" spans="1:7">
      <c r="A343" t="s">
        <v>1219</v>
      </c>
      <c r="B343" s="283">
        <v>44054</v>
      </c>
      <c r="C343" t="s">
        <v>1226</v>
      </c>
      <c r="D343">
        <v>3</v>
      </c>
      <c r="E343">
        <v>3</v>
      </c>
      <c r="F343" t="s">
        <v>1523</v>
      </c>
      <c r="G343" t="s">
        <v>1523</v>
      </c>
    </row>
    <row r="344" spans="1:7">
      <c r="A344" t="s">
        <v>1219</v>
      </c>
      <c r="B344" s="283">
        <v>44054</v>
      </c>
      <c r="C344" t="s">
        <v>1227</v>
      </c>
      <c r="D344">
        <v>4</v>
      </c>
      <c r="E344">
        <v>31</v>
      </c>
      <c r="F344" t="s">
        <v>1524</v>
      </c>
      <c r="G344" t="s">
        <v>1524</v>
      </c>
    </row>
    <row r="345" spans="1:7">
      <c r="A345" t="s">
        <v>1228</v>
      </c>
      <c r="B345" s="283">
        <v>44054</v>
      </c>
      <c r="C345" t="s">
        <v>1230</v>
      </c>
      <c r="D345">
        <v>1</v>
      </c>
      <c r="E345">
        <v>526</v>
      </c>
      <c r="F345" t="s">
        <v>1561</v>
      </c>
      <c r="G345" t="s">
        <v>1561</v>
      </c>
    </row>
    <row r="346" spans="1:7">
      <c r="A346" t="s">
        <v>1231</v>
      </c>
      <c r="B346" s="283">
        <v>44054</v>
      </c>
      <c r="C346" t="s">
        <v>1232</v>
      </c>
      <c r="D346">
        <v>1</v>
      </c>
      <c r="E346">
        <v>10</v>
      </c>
      <c r="F346" t="s">
        <v>1582</v>
      </c>
      <c r="G346" t="s">
        <v>1582</v>
      </c>
    </row>
    <row r="347" spans="1:7">
      <c r="A347" t="s">
        <v>1237</v>
      </c>
      <c r="B347" s="283">
        <v>44054</v>
      </c>
      <c r="C347" t="s">
        <v>1239</v>
      </c>
      <c r="D347">
        <v>1</v>
      </c>
      <c r="E347">
        <v>864</v>
      </c>
      <c r="F347" t="s">
        <v>1604</v>
      </c>
      <c r="G347" t="s">
        <v>1604</v>
      </c>
    </row>
    <row r="348" spans="1:7">
      <c r="A348" t="s">
        <v>1233</v>
      </c>
      <c r="B348" s="283">
        <v>44060</v>
      </c>
      <c r="C348" t="s">
        <v>1123</v>
      </c>
      <c r="D348">
        <v>1</v>
      </c>
      <c r="E348">
        <v>14</v>
      </c>
      <c r="F348" t="s">
        <v>1285</v>
      </c>
      <c r="G348" t="s">
        <v>1285</v>
      </c>
    </row>
    <row r="349" spans="1:7">
      <c r="A349" t="s">
        <v>1233</v>
      </c>
      <c r="B349" s="283">
        <v>44060</v>
      </c>
      <c r="C349" t="s">
        <v>1123</v>
      </c>
      <c r="D349">
        <v>5</v>
      </c>
      <c r="E349">
        <v>51</v>
      </c>
      <c r="F349" t="s">
        <v>1285</v>
      </c>
      <c r="G349" t="s">
        <v>1285</v>
      </c>
    </row>
    <row r="350" spans="1:7">
      <c r="A350" t="s">
        <v>1233</v>
      </c>
      <c r="B350" s="283">
        <v>44060</v>
      </c>
      <c r="C350" t="s">
        <v>1127</v>
      </c>
      <c r="D350">
        <v>3</v>
      </c>
      <c r="E350">
        <v>134</v>
      </c>
      <c r="F350" t="s">
        <v>1286</v>
      </c>
      <c r="G350" t="s">
        <v>1286</v>
      </c>
    </row>
    <row r="351" spans="1:7">
      <c r="A351" t="s">
        <v>1233</v>
      </c>
      <c r="B351" s="283">
        <v>44060</v>
      </c>
      <c r="C351" t="s">
        <v>1137</v>
      </c>
      <c r="D351">
        <v>2</v>
      </c>
      <c r="E351">
        <v>57</v>
      </c>
      <c r="F351" t="s">
        <v>1287</v>
      </c>
      <c r="G351" t="s">
        <v>1287</v>
      </c>
    </row>
    <row r="352" spans="1:7">
      <c r="A352" t="s">
        <v>1233</v>
      </c>
      <c r="B352" s="283">
        <v>44060</v>
      </c>
      <c r="C352" t="s">
        <v>1139</v>
      </c>
      <c r="D352">
        <v>4</v>
      </c>
      <c r="E352">
        <v>2</v>
      </c>
      <c r="F352" t="s">
        <v>1288</v>
      </c>
      <c r="G352" t="s">
        <v>1288</v>
      </c>
    </row>
    <row r="353" spans="1:7">
      <c r="A353" t="s">
        <v>1234</v>
      </c>
      <c r="B353" s="283">
        <v>44060</v>
      </c>
      <c r="C353" t="s">
        <v>1114</v>
      </c>
      <c r="D353">
        <v>3</v>
      </c>
      <c r="E353">
        <v>70</v>
      </c>
      <c r="F353" t="s">
        <v>1368</v>
      </c>
      <c r="G353" t="s">
        <v>1368</v>
      </c>
    </row>
    <row r="354" spans="1:7">
      <c r="A354" t="s">
        <v>1234</v>
      </c>
      <c r="B354" s="283">
        <v>44060</v>
      </c>
      <c r="C354" t="s">
        <v>1133</v>
      </c>
      <c r="D354">
        <v>1</v>
      </c>
      <c r="E354">
        <v>73</v>
      </c>
      <c r="F354" t="s">
        <v>1369</v>
      </c>
      <c r="G354" t="s">
        <v>1369</v>
      </c>
    </row>
    <row r="355" spans="1:7">
      <c r="A355" t="s">
        <v>1234</v>
      </c>
      <c r="B355" s="283">
        <v>44060</v>
      </c>
      <c r="C355" t="s">
        <v>1133</v>
      </c>
      <c r="D355">
        <v>5</v>
      </c>
      <c r="E355">
        <v>36</v>
      </c>
      <c r="F355" t="s">
        <v>1369</v>
      </c>
      <c r="G355" t="s">
        <v>1369</v>
      </c>
    </row>
    <row r="356" spans="1:7">
      <c r="A356" t="s">
        <v>1234</v>
      </c>
      <c r="B356" s="283">
        <v>44060</v>
      </c>
      <c r="C356" t="s">
        <v>1153</v>
      </c>
      <c r="D356">
        <v>2</v>
      </c>
      <c r="E356">
        <v>64</v>
      </c>
      <c r="F356" t="s">
        <v>1370</v>
      </c>
      <c r="G356" t="s">
        <v>1370</v>
      </c>
    </row>
    <row r="357" spans="1:7">
      <c r="A357" t="s">
        <v>1234</v>
      </c>
      <c r="B357" s="283">
        <v>44060</v>
      </c>
      <c r="C357" t="s">
        <v>1235</v>
      </c>
      <c r="D357">
        <v>4</v>
      </c>
      <c r="E357">
        <v>15</v>
      </c>
      <c r="F357" t="s">
        <v>1371</v>
      </c>
      <c r="G357" t="s">
        <v>1371</v>
      </c>
    </row>
    <row r="358" spans="1:7">
      <c r="A358" t="s">
        <v>1236</v>
      </c>
      <c r="B358" s="283">
        <v>44060</v>
      </c>
      <c r="C358" t="s">
        <v>1110</v>
      </c>
      <c r="D358">
        <v>3</v>
      </c>
      <c r="E358">
        <v>13</v>
      </c>
      <c r="F358" t="s">
        <v>1455</v>
      </c>
      <c r="G358" t="s">
        <v>1455</v>
      </c>
    </row>
    <row r="359" spans="1:7">
      <c r="A359" t="s">
        <v>1236</v>
      </c>
      <c r="B359" s="283">
        <v>44060</v>
      </c>
      <c r="C359" t="s">
        <v>1119</v>
      </c>
      <c r="D359">
        <v>1</v>
      </c>
      <c r="E359">
        <v>56</v>
      </c>
      <c r="F359" t="s">
        <v>1456</v>
      </c>
      <c r="G359" t="s">
        <v>1456</v>
      </c>
    </row>
    <row r="360" spans="1:7">
      <c r="A360" t="s">
        <v>1236</v>
      </c>
      <c r="B360" s="283">
        <v>44060</v>
      </c>
      <c r="C360" t="s">
        <v>1119</v>
      </c>
      <c r="D360">
        <v>4</v>
      </c>
      <c r="E360">
        <v>40</v>
      </c>
      <c r="F360" t="s">
        <v>1456</v>
      </c>
      <c r="G360" t="s">
        <v>1456</v>
      </c>
    </row>
    <row r="361" spans="1:7">
      <c r="A361" t="s">
        <v>1236</v>
      </c>
      <c r="B361" s="283">
        <v>44060</v>
      </c>
      <c r="C361" t="s">
        <v>1133</v>
      </c>
      <c r="D361">
        <v>2</v>
      </c>
      <c r="E361">
        <v>149</v>
      </c>
      <c r="F361" t="s">
        <v>1871</v>
      </c>
      <c r="G361" t="s">
        <v>1871</v>
      </c>
    </row>
    <row r="362" spans="1:7">
      <c r="A362" t="s">
        <v>1219</v>
      </c>
      <c r="B362" s="283">
        <v>44060</v>
      </c>
      <c r="C362" t="s">
        <v>1220</v>
      </c>
      <c r="D362">
        <v>1</v>
      </c>
      <c r="E362">
        <v>360</v>
      </c>
      <c r="F362" t="s">
        <v>1525</v>
      </c>
      <c r="G362" t="s">
        <v>1525</v>
      </c>
    </row>
    <row r="363" spans="1:7">
      <c r="A363" t="s">
        <v>1228</v>
      </c>
      <c r="B363" s="283">
        <v>44060</v>
      </c>
      <c r="C363" t="s">
        <v>1229</v>
      </c>
      <c r="D363">
        <v>2</v>
      </c>
      <c r="E363">
        <v>12</v>
      </c>
      <c r="F363" t="s">
        <v>1562</v>
      </c>
      <c r="G363" t="s">
        <v>1562</v>
      </c>
    </row>
    <row r="364" spans="1:7">
      <c r="A364" t="s">
        <v>1228</v>
      </c>
      <c r="B364" s="283">
        <v>44060</v>
      </c>
      <c r="C364" t="s">
        <v>1230</v>
      </c>
      <c r="D364">
        <v>1</v>
      </c>
      <c r="E364">
        <v>532</v>
      </c>
      <c r="F364" t="s">
        <v>1563</v>
      </c>
      <c r="G364" t="s">
        <v>1563</v>
      </c>
    </row>
    <row r="365" spans="1:7">
      <c r="A365" t="s">
        <v>1231</v>
      </c>
      <c r="B365" s="283">
        <v>44060</v>
      </c>
      <c r="C365" t="s">
        <v>1232</v>
      </c>
      <c r="D365">
        <v>1</v>
      </c>
      <c r="E365">
        <v>8</v>
      </c>
      <c r="F365" t="s">
        <v>1583</v>
      </c>
      <c r="G365" t="s">
        <v>1583</v>
      </c>
    </row>
    <row r="366" spans="1:7">
      <c r="A366" t="s">
        <v>1237</v>
      </c>
      <c r="B366" s="283">
        <v>44060</v>
      </c>
      <c r="C366" t="s">
        <v>1238</v>
      </c>
      <c r="D366">
        <v>1</v>
      </c>
      <c r="E366">
        <v>864</v>
      </c>
      <c r="F366" t="s">
        <v>1605</v>
      </c>
      <c r="G366" t="s">
        <v>1605</v>
      </c>
    </row>
    <row r="367" spans="1:7">
      <c r="A367" t="s">
        <v>1233</v>
      </c>
      <c r="B367" s="283">
        <v>44061</v>
      </c>
      <c r="C367" t="s">
        <v>1155</v>
      </c>
      <c r="D367">
        <v>4</v>
      </c>
      <c r="E367">
        <v>53</v>
      </c>
      <c r="F367" t="s">
        <v>1289</v>
      </c>
      <c r="G367" t="s">
        <v>1289</v>
      </c>
    </row>
    <row r="368" spans="1:7">
      <c r="A368" t="s">
        <v>1233</v>
      </c>
      <c r="B368" s="283">
        <v>44061</v>
      </c>
      <c r="C368" t="s">
        <v>1123</v>
      </c>
      <c r="D368">
        <v>1</v>
      </c>
      <c r="E368">
        <v>73</v>
      </c>
      <c r="F368" t="s">
        <v>1290</v>
      </c>
      <c r="G368" t="s">
        <v>1290</v>
      </c>
    </row>
    <row r="369" spans="1:7">
      <c r="A369" t="s">
        <v>1233</v>
      </c>
      <c r="B369" s="283">
        <v>44061</v>
      </c>
      <c r="C369" t="s">
        <v>1127</v>
      </c>
      <c r="D369">
        <v>2</v>
      </c>
      <c r="E369">
        <v>193</v>
      </c>
      <c r="F369" t="s">
        <v>1291</v>
      </c>
      <c r="G369" t="s">
        <v>1291</v>
      </c>
    </row>
    <row r="370" spans="1:7">
      <c r="A370" t="s">
        <v>1233</v>
      </c>
      <c r="B370" s="283">
        <v>44061</v>
      </c>
      <c r="C370" t="s">
        <v>1183</v>
      </c>
      <c r="D370">
        <v>3</v>
      </c>
      <c r="E370">
        <v>1</v>
      </c>
      <c r="F370" t="s">
        <v>1292</v>
      </c>
      <c r="G370" t="s">
        <v>1292</v>
      </c>
    </row>
    <row r="371" spans="1:7">
      <c r="A371" t="s">
        <v>1234</v>
      </c>
      <c r="B371" s="283">
        <v>44061</v>
      </c>
      <c r="C371" t="s">
        <v>1114</v>
      </c>
      <c r="D371">
        <v>4</v>
      </c>
      <c r="E371">
        <v>72</v>
      </c>
      <c r="F371" t="s">
        <v>1372</v>
      </c>
      <c r="G371" t="s">
        <v>1372</v>
      </c>
    </row>
    <row r="372" spans="1:7">
      <c r="A372" t="s">
        <v>1234</v>
      </c>
      <c r="B372" s="283">
        <v>44061</v>
      </c>
      <c r="C372" t="s">
        <v>1149</v>
      </c>
      <c r="D372">
        <v>3</v>
      </c>
      <c r="E372">
        <v>34</v>
      </c>
      <c r="F372" t="s">
        <v>1373</v>
      </c>
      <c r="G372" t="s">
        <v>1373</v>
      </c>
    </row>
    <row r="373" spans="1:7">
      <c r="A373" t="s">
        <v>1234</v>
      </c>
      <c r="B373" s="283">
        <v>44061</v>
      </c>
      <c r="C373" t="s">
        <v>1151</v>
      </c>
      <c r="D373">
        <v>5</v>
      </c>
      <c r="E373">
        <v>20</v>
      </c>
      <c r="F373" t="s">
        <v>1374</v>
      </c>
      <c r="G373" t="s">
        <v>1374</v>
      </c>
    </row>
    <row r="374" spans="1:7">
      <c r="A374" t="s">
        <v>1234</v>
      </c>
      <c r="B374" s="283">
        <v>44061</v>
      </c>
      <c r="C374" t="s">
        <v>1133</v>
      </c>
      <c r="D374">
        <v>1</v>
      </c>
      <c r="E374">
        <v>73</v>
      </c>
      <c r="F374" t="s">
        <v>1375</v>
      </c>
      <c r="G374" t="s">
        <v>1375</v>
      </c>
    </row>
    <row r="375" spans="1:7">
      <c r="A375" t="s">
        <v>1234</v>
      </c>
      <c r="B375" s="283">
        <v>44061</v>
      </c>
      <c r="C375" t="s">
        <v>1133</v>
      </c>
      <c r="D375">
        <v>7</v>
      </c>
      <c r="E375">
        <v>36</v>
      </c>
      <c r="F375" t="s">
        <v>1375</v>
      </c>
      <c r="G375" t="s">
        <v>1375</v>
      </c>
    </row>
    <row r="376" spans="1:7">
      <c r="A376" t="s">
        <v>1234</v>
      </c>
      <c r="B376" s="283">
        <v>44061</v>
      </c>
      <c r="C376" t="s">
        <v>1153</v>
      </c>
      <c r="D376">
        <v>2</v>
      </c>
      <c r="E376">
        <v>70</v>
      </c>
      <c r="F376" t="s">
        <v>1376</v>
      </c>
      <c r="G376" t="s">
        <v>1376</v>
      </c>
    </row>
    <row r="377" spans="1:7">
      <c r="A377" t="s">
        <v>1234</v>
      </c>
      <c r="B377" s="283">
        <v>44061</v>
      </c>
      <c r="C377" t="s">
        <v>1235</v>
      </c>
      <c r="D377">
        <v>6</v>
      </c>
      <c r="E377">
        <v>15</v>
      </c>
      <c r="F377" t="s">
        <v>1377</v>
      </c>
      <c r="G377" t="s">
        <v>1377</v>
      </c>
    </row>
    <row r="378" spans="1:7">
      <c r="A378" t="s">
        <v>1236</v>
      </c>
      <c r="B378" s="283">
        <v>44061</v>
      </c>
      <c r="C378" t="s">
        <v>1110</v>
      </c>
      <c r="D378">
        <v>4</v>
      </c>
      <c r="E378">
        <v>53</v>
      </c>
      <c r="F378" t="s">
        <v>1457</v>
      </c>
      <c r="G378" t="s">
        <v>1457</v>
      </c>
    </row>
    <row r="379" spans="1:7">
      <c r="A379" t="s">
        <v>1236</v>
      </c>
      <c r="B379" s="283">
        <v>44061</v>
      </c>
      <c r="C379" t="s">
        <v>1119</v>
      </c>
      <c r="D379">
        <v>1</v>
      </c>
      <c r="E379">
        <v>160</v>
      </c>
      <c r="F379" t="s">
        <v>1458</v>
      </c>
      <c r="G379" t="s">
        <v>1458</v>
      </c>
    </row>
    <row r="380" spans="1:7">
      <c r="A380" t="s">
        <v>1236</v>
      </c>
      <c r="B380" s="283">
        <v>44061</v>
      </c>
      <c r="C380" t="s">
        <v>1135</v>
      </c>
      <c r="D380">
        <v>2</v>
      </c>
      <c r="E380">
        <v>7</v>
      </c>
      <c r="F380" t="s">
        <v>1459</v>
      </c>
      <c r="G380" t="s">
        <v>1459</v>
      </c>
    </row>
    <row r="381" spans="1:7">
      <c r="A381" t="s">
        <v>1236</v>
      </c>
      <c r="B381" s="283">
        <v>44061</v>
      </c>
      <c r="C381" t="s">
        <v>1190</v>
      </c>
      <c r="D381">
        <v>3</v>
      </c>
      <c r="E381">
        <v>100</v>
      </c>
      <c r="F381" t="s">
        <v>1460</v>
      </c>
      <c r="G381" t="s">
        <v>1460</v>
      </c>
    </row>
    <row r="382" spans="1:7">
      <c r="A382" t="s">
        <v>1219</v>
      </c>
      <c r="B382" s="283">
        <v>44061</v>
      </c>
      <c r="C382" t="s">
        <v>1220</v>
      </c>
      <c r="D382">
        <v>1</v>
      </c>
      <c r="E382">
        <v>360</v>
      </c>
      <c r="F382" t="s">
        <v>1526</v>
      </c>
      <c r="G382" t="s">
        <v>1526</v>
      </c>
    </row>
    <row r="383" spans="1:7">
      <c r="A383" t="s">
        <v>1228</v>
      </c>
      <c r="B383" s="283">
        <v>44061</v>
      </c>
      <c r="C383" t="s">
        <v>1230</v>
      </c>
      <c r="D383">
        <v>1</v>
      </c>
      <c r="E383">
        <v>680</v>
      </c>
      <c r="F383" t="s">
        <v>1564</v>
      </c>
      <c r="G383" t="s">
        <v>1564</v>
      </c>
    </row>
    <row r="384" spans="1:7">
      <c r="A384" t="s">
        <v>1231</v>
      </c>
      <c r="B384" s="283">
        <v>44061</v>
      </c>
      <c r="C384" t="s">
        <v>1232</v>
      </c>
      <c r="D384">
        <v>1</v>
      </c>
      <c r="E384">
        <v>8</v>
      </c>
      <c r="F384" t="s">
        <v>1584</v>
      </c>
      <c r="G384" t="s">
        <v>1584</v>
      </c>
    </row>
    <row r="385" spans="1:7">
      <c r="A385" t="s">
        <v>1237</v>
      </c>
      <c r="B385" s="283">
        <v>44061</v>
      </c>
      <c r="C385" t="s">
        <v>1238</v>
      </c>
      <c r="D385">
        <v>1</v>
      </c>
      <c r="E385">
        <v>864</v>
      </c>
      <c r="F385" t="s">
        <v>1606</v>
      </c>
      <c r="G385" t="s">
        <v>1606</v>
      </c>
    </row>
    <row r="386" spans="1:7">
      <c r="A386" t="s">
        <v>1233</v>
      </c>
      <c r="B386" s="283">
        <v>44062</v>
      </c>
      <c r="C386" t="s">
        <v>1155</v>
      </c>
      <c r="D386">
        <v>1</v>
      </c>
      <c r="E386">
        <v>59</v>
      </c>
      <c r="F386" t="s">
        <v>1293</v>
      </c>
      <c r="G386" t="s">
        <v>1293</v>
      </c>
    </row>
    <row r="387" spans="1:7">
      <c r="A387" t="s">
        <v>1233</v>
      </c>
      <c r="B387" s="283">
        <v>44062</v>
      </c>
      <c r="C387" t="s">
        <v>1155</v>
      </c>
      <c r="D387">
        <v>7</v>
      </c>
      <c r="E387">
        <v>18</v>
      </c>
      <c r="F387" t="s">
        <v>1293</v>
      </c>
      <c r="G387" t="s">
        <v>1293</v>
      </c>
    </row>
    <row r="388" spans="1:7">
      <c r="A388" t="s">
        <v>1233</v>
      </c>
      <c r="B388" s="283">
        <v>44062</v>
      </c>
      <c r="C388" t="s">
        <v>1119</v>
      </c>
      <c r="D388">
        <v>4</v>
      </c>
      <c r="E388">
        <v>61</v>
      </c>
      <c r="F388" t="s">
        <v>1862</v>
      </c>
      <c r="G388" t="s">
        <v>1862</v>
      </c>
    </row>
    <row r="389" spans="1:7">
      <c r="A389" t="s">
        <v>1233</v>
      </c>
      <c r="B389" s="283">
        <v>44062</v>
      </c>
      <c r="C389" t="s">
        <v>1123</v>
      </c>
      <c r="D389">
        <v>2</v>
      </c>
      <c r="E389">
        <v>12</v>
      </c>
      <c r="F389" t="s">
        <v>1294</v>
      </c>
      <c r="G389" t="s">
        <v>1294</v>
      </c>
    </row>
    <row r="390" spans="1:7">
      <c r="A390" t="s">
        <v>1233</v>
      </c>
      <c r="B390" s="283">
        <v>44062</v>
      </c>
      <c r="C390" t="s">
        <v>1217</v>
      </c>
      <c r="D390">
        <v>8</v>
      </c>
      <c r="E390">
        <v>35</v>
      </c>
      <c r="F390" t="s">
        <v>1295</v>
      </c>
      <c r="G390" t="s">
        <v>1295</v>
      </c>
    </row>
    <row r="391" spans="1:7">
      <c r="A391" t="s">
        <v>1233</v>
      </c>
      <c r="B391" s="283">
        <v>44062</v>
      </c>
      <c r="C391" t="s">
        <v>1182</v>
      </c>
      <c r="D391">
        <v>5</v>
      </c>
      <c r="E391">
        <v>63</v>
      </c>
      <c r="F391" t="s">
        <v>1296</v>
      </c>
      <c r="G391" t="s">
        <v>1296</v>
      </c>
    </row>
    <row r="392" spans="1:7">
      <c r="A392" t="s">
        <v>1233</v>
      </c>
      <c r="B392" s="283">
        <v>44062</v>
      </c>
      <c r="C392" t="s">
        <v>1131</v>
      </c>
      <c r="D392">
        <v>3</v>
      </c>
      <c r="E392">
        <v>7</v>
      </c>
      <c r="F392" t="s">
        <v>1297</v>
      </c>
      <c r="G392" t="s">
        <v>1297</v>
      </c>
    </row>
    <row r="393" spans="1:7">
      <c r="A393" t="s">
        <v>1233</v>
      </c>
      <c r="B393" s="283">
        <v>44062</v>
      </c>
      <c r="C393" t="s">
        <v>1133</v>
      </c>
      <c r="D393">
        <v>6</v>
      </c>
      <c r="E393">
        <v>65</v>
      </c>
      <c r="F393" t="s">
        <v>1863</v>
      </c>
      <c r="G393" t="s">
        <v>1863</v>
      </c>
    </row>
    <row r="394" spans="1:7">
      <c r="A394" t="s">
        <v>1234</v>
      </c>
      <c r="B394" s="283">
        <v>44062</v>
      </c>
      <c r="C394" t="s">
        <v>1114</v>
      </c>
      <c r="D394">
        <v>4</v>
      </c>
      <c r="E394">
        <v>36</v>
      </c>
      <c r="F394" t="s">
        <v>1378</v>
      </c>
      <c r="G394" t="s">
        <v>1378</v>
      </c>
    </row>
    <row r="395" spans="1:7">
      <c r="A395" t="s">
        <v>1234</v>
      </c>
      <c r="B395" s="283">
        <v>44062</v>
      </c>
      <c r="C395" t="s">
        <v>1149</v>
      </c>
      <c r="D395">
        <v>3</v>
      </c>
      <c r="E395">
        <v>91</v>
      </c>
      <c r="F395" t="s">
        <v>1379</v>
      </c>
      <c r="G395" t="s">
        <v>1379</v>
      </c>
    </row>
    <row r="396" spans="1:7">
      <c r="A396" t="s">
        <v>1234</v>
      </c>
      <c r="B396" s="283">
        <v>44062</v>
      </c>
      <c r="C396" t="s">
        <v>1127</v>
      </c>
      <c r="D396">
        <v>6</v>
      </c>
      <c r="E396">
        <v>36</v>
      </c>
      <c r="F396" t="s">
        <v>1867</v>
      </c>
      <c r="G396" t="s">
        <v>1867</v>
      </c>
    </row>
    <row r="397" spans="1:7">
      <c r="A397" t="s">
        <v>1234</v>
      </c>
      <c r="B397" s="283">
        <v>44062</v>
      </c>
      <c r="C397" t="s">
        <v>1133</v>
      </c>
      <c r="D397">
        <v>1</v>
      </c>
      <c r="E397">
        <v>72</v>
      </c>
      <c r="F397" t="s">
        <v>1380</v>
      </c>
      <c r="G397" t="s">
        <v>1380</v>
      </c>
    </row>
    <row r="398" spans="1:7">
      <c r="A398" t="s">
        <v>1234</v>
      </c>
      <c r="B398" s="283">
        <v>44062</v>
      </c>
      <c r="C398" t="s">
        <v>1153</v>
      </c>
      <c r="D398">
        <v>2</v>
      </c>
      <c r="E398">
        <v>70</v>
      </c>
      <c r="F398" t="s">
        <v>1381</v>
      </c>
      <c r="G398" t="s">
        <v>1381</v>
      </c>
    </row>
    <row r="399" spans="1:7">
      <c r="A399" t="s">
        <v>1234</v>
      </c>
      <c r="B399" s="283">
        <v>44062</v>
      </c>
      <c r="C399" t="s">
        <v>1235</v>
      </c>
      <c r="D399">
        <v>5</v>
      </c>
      <c r="E399">
        <v>15</v>
      </c>
      <c r="F399" t="s">
        <v>1382</v>
      </c>
      <c r="G399" t="s">
        <v>1382</v>
      </c>
    </row>
    <row r="400" spans="1:7">
      <c r="A400" t="s">
        <v>1236</v>
      </c>
      <c r="B400" s="283">
        <v>44062</v>
      </c>
      <c r="C400" t="s">
        <v>1110</v>
      </c>
      <c r="D400">
        <v>1</v>
      </c>
      <c r="E400">
        <v>18</v>
      </c>
      <c r="F400" t="s">
        <v>1461</v>
      </c>
      <c r="G400" t="s">
        <v>1461</v>
      </c>
    </row>
    <row r="401" spans="1:7">
      <c r="A401" t="s">
        <v>1236</v>
      </c>
      <c r="B401" s="283">
        <v>44062</v>
      </c>
      <c r="C401" t="s">
        <v>1110</v>
      </c>
      <c r="D401">
        <v>7</v>
      </c>
      <c r="E401">
        <v>53</v>
      </c>
      <c r="F401" t="s">
        <v>1461</v>
      </c>
      <c r="G401" t="s">
        <v>1461</v>
      </c>
    </row>
    <row r="402" spans="1:7">
      <c r="A402" t="s">
        <v>1236</v>
      </c>
      <c r="B402" s="283">
        <v>44062</v>
      </c>
      <c r="C402" t="s">
        <v>1179</v>
      </c>
      <c r="D402">
        <v>2</v>
      </c>
      <c r="E402">
        <v>40</v>
      </c>
      <c r="F402" t="s">
        <v>1462</v>
      </c>
      <c r="G402" t="s">
        <v>1462</v>
      </c>
    </row>
    <row r="403" spans="1:7">
      <c r="A403" t="s">
        <v>1236</v>
      </c>
      <c r="B403" s="283">
        <v>44062</v>
      </c>
      <c r="C403" t="s">
        <v>1187</v>
      </c>
      <c r="D403">
        <v>3</v>
      </c>
      <c r="E403">
        <v>27</v>
      </c>
      <c r="F403" t="s">
        <v>1463</v>
      </c>
      <c r="G403" t="s">
        <v>1463</v>
      </c>
    </row>
    <row r="404" spans="1:7">
      <c r="A404" t="s">
        <v>1236</v>
      </c>
      <c r="B404" s="283">
        <v>44062</v>
      </c>
      <c r="C404" t="s">
        <v>1127</v>
      </c>
      <c r="D404">
        <v>4</v>
      </c>
      <c r="E404">
        <v>135</v>
      </c>
      <c r="F404" t="s">
        <v>1464</v>
      </c>
      <c r="G404" t="s">
        <v>1464</v>
      </c>
    </row>
    <row r="405" spans="1:7">
      <c r="A405" t="s">
        <v>1236</v>
      </c>
      <c r="B405" s="283">
        <v>44062</v>
      </c>
      <c r="C405" t="s">
        <v>1190</v>
      </c>
      <c r="D405">
        <v>5</v>
      </c>
      <c r="E405">
        <v>35</v>
      </c>
      <c r="F405" t="s">
        <v>1465</v>
      </c>
      <c r="G405" t="s">
        <v>1465</v>
      </c>
    </row>
    <row r="406" spans="1:7">
      <c r="A406" t="s">
        <v>1236</v>
      </c>
      <c r="B406" s="283">
        <v>44062</v>
      </c>
      <c r="C406" t="s">
        <v>1181</v>
      </c>
      <c r="D406">
        <v>6</v>
      </c>
      <c r="E406">
        <v>12</v>
      </c>
      <c r="F406" t="s">
        <v>1466</v>
      </c>
      <c r="G406" t="s">
        <v>1466</v>
      </c>
    </row>
    <row r="407" spans="1:7">
      <c r="A407" t="s">
        <v>1219</v>
      </c>
      <c r="B407" s="283">
        <v>44062</v>
      </c>
      <c r="C407" t="s">
        <v>1220</v>
      </c>
      <c r="D407">
        <v>1</v>
      </c>
      <c r="E407">
        <v>188</v>
      </c>
      <c r="F407" t="s">
        <v>1527</v>
      </c>
      <c r="G407" t="s">
        <v>1527</v>
      </c>
    </row>
    <row r="408" spans="1:7">
      <c r="A408" t="s">
        <v>1219</v>
      </c>
      <c r="B408" s="283">
        <v>44062</v>
      </c>
      <c r="C408" t="s">
        <v>1223</v>
      </c>
      <c r="D408">
        <v>2</v>
      </c>
      <c r="E408">
        <v>2</v>
      </c>
      <c r="F408" t="s">
        <v>1528</v>
      </c>
      <c r="G408" t="s">
        <v>1528</v>
      </c>
    </row>
    <row r="409" spans="1:7">
      <c r="A409" t="s">
        <v>1219</v>
      </c>
      <c r="B409" s="283">
        <v>44062</v>
      </c>
      <c r="C409" t="s">
        <v>1224</v>
      </c>
      <c r="D409">
        <v>3</v>
      </c>
      <c r="E409">
        <v>1</v>
      </c>
      <c r="F409" t="s">
        <v>1529</v>
      </c>
      <c r="G409" t="s">
        <v>1529</v>
      </c>
    </row>
    <row r="410" spans="1:7">
      <c r="A410" t="s">
        <v>1219</v>
      </c>
      <c r="B410" s="283">
        <v>44062</v>
      </c>
      <c r="C410" t="s">
        <v>1074</v>
      </c>
      <c r="D410">
        <v>4</v>
      </c>
      <c r="E410">
        <v>169</v>
      </c>
      <c r="F410" t="s">
        <v>1530</v>
      </c>
      <c r="G410" t="s">
        <v>1530</v>
      </c>
    </row>
    <row r="411" spans="1:7">
      <c r="A411" t="s">
        <v>1228</v>
      </c>
      <c r="B411" s="283">
        <v>44062</v>
      </c>
      <c r="C411" t="s">
        <v>1230</v>
      </c>
      <c r="D411">
        <v>1</v>
      </c>
      <c r="E411">
        <v>674</v>
      </c>
      <c r="F411" t="s">
        <v>1565</v>
      </c>
      <c r="G411" t="s">
        <v>1565</v>
      </c>
    </row>
    <row r="412" spans="1:7">
      <c r="A412" t="s">
        <v>1231</v>
      </c>
      <c r="B412" s="283">
        <v>44062</v>
      </c>
      <c r="C412" t="s">
        <v>1232</v>
      </c>
      <c r="D412">
        <v>1</v>
      </c>
      <c r="E412">
        <v>8</v>
      </c>
      <c r="F412" t="s">
        <v>1585</v>
      </c>
      <c r="G412" t="s">
        <v>1585</v>
      </c>
    </row>
    <row r="413" spans="1:7">
      <c r="A413" t="s">
        <v>1237</v>
      </c>
      <c r="B413" s="283">
        <v>44062</v>
      </c>
      <c r="C413" t="s">
        <v>1238</v>
      </c>
      <c r="D413">
        <v>1</v>
      </c>
      <c r="E413">
        <v>360</v>
      </c>
      <c r="F413" t="s">
        <v>1607</v>
      </c>
      <c r="G413" t="s">
        <v>1607</v>
      </c>
    </row>
    <row r="414" spans="1:7">
      <c r="A414" t="s">
        <v>1237</v>
      </c>
      <c r="B414" s="283">
        <v>44062</v>
      </c>
      <c r="C414" t="s">
        <v>1240</v>
      </c>
      <c r="D414">
        <v>2</v>
      </c>
      <c r="E414">
        <v>504</v>
      </c>
      <c r="F414" t="s">
        <v>1608</v>
      </c>
      <c r="G414" t="s">
        <v>1608</v>
      </c>
    </row>
    <row r="415" spans="1:7">
      <c r="A415" t="s">
        <v>1233</v>
      </c>
      <c r="B415" s="283">
        <v>44063</v>
      </c>
      <c r="C415" t="s">
        <v>1155</v>
      </c>
      <c r="D415">
        <v>5</v>
      </c>
      <c r="E415">
        <v>53</v>
      </c>
      <c r="F415" t="s">
        <v>1298</v>
      </c>
      <c r="G415" t="s">
        <v>1298</v>
      </c>
    </row>
    <row r="416" spans="1:7">
      <c r="A416" t="s">
        <v>1233</v>
      </c>
      <c r="B416" s="283">
        <v>44063</v>
      </c>
      <c r="C416" t="s">
        <v>1119</v>
      </c>
      <c r="D416">
        <v>3</v>
      </c>
      <c r="E416">
        <v>138</v>
      </c>
      <c r="F416" t="s">
        <v>1864</v>
      </c>
      <c r="G416" t="s">
        <v>1864</v>
      </c>
    </row>
    <row r="417" spans="1:7">
      <c r="A417" t="s">
        <v>1233</v>
      </c>
      <c r="B417" s="283">
        <v>44063</v>
      </c>
      <c r="C417" t="s">
        <v>1217</v>
      </c>
      <c r="D417">
        <v>1</v>
      </c>
      <c r="E417">
        <v>3</v>
      </c>
      <c r="F417" t="s">
        <v>1865</v>
      </c>
      <c r="G417" t="s">
        <v>1865</v>
      </c>
    </row>
    <row r="418" spans="1:7">
      <c r="A418" t="s">
        <v>1233</v>
      </c>
      <c r="B418" s="283">
        <v>44063</v>
      </c>
      <c r="C418" t="s">
        <v>1157</v>
      </c>
      <c r="D418">
        <v>2</v>
      </c>
      <c r="E418">
        <v>67</v>
      </c>
      <c r="F418" t="s">
        <v>1299</v>
      </c>
      <c r="G418" t="s">
        <v>1299</v>
      </c>
    </row>
    <row r="419" spans="1:7">
      <c r="A419" t="s">
        <v>1233</v>
      </c>
      <c r="B419" s="283">
        <v>44063</v>
      </c>
      <c r="C419" t="s">
        <v>1127</v>
      </c>
      <c r="D419">
        <v>4</v>
      </c>
      <c r="E419">
        <v>59</v>
      </c>
      <c r="F419" t="s">
        <v>1300</v>
      </c>
      <c r="G419" t="s">
        <v>1300</v>
      </c>
    </row>
    <row r="420" spans="1:7">
      <c r="A420" t="s">
        <v>1234</v>
      </c>
      <c r="B420" s="283">
        <v>44063</v>
      </c>
      <c r="C420" t="s">
        <v>1112</v>
      </c>
      <c r="D420">
        <v>5</v>
      </c>
      <c r="E420">
        <v>22</v>
      </c>
      <c r="F420" t="s">
        <v>1383</v>
      </c>
      <c r="G420" t="s">
        <v>1383</v>
      </c>
    </row>
    <row r="421" spans="1:7">
      <c r="A421" t="s">
        <v>1234</v>
      </c>
      <c r="B421" s="283">
        <v>44063</v>
      </c>
      <c r="C421" t="s">
        <v>1149</v>
      </c>
      <c r="D421">
        <v>4</v>
      </c>
      <c r="E421">
        <v>105</v>
      </c>
      <c r="F421" t="s">
        <v>1384</v>
      </c>
      <c r="G421" t="s">
        <v>1384</v>
      </c>
    </row>
    <row r="422" spans="1:7">
      <c r="A422" t="s">
        <v>1234</v>
      </c>
      <c r="B422" s="283">
        <v>44063</v>
      </c>
      <c r="C422" t="s">
        <v>1127</v>
      </c>
      <c r="D422">
        <v>1</v>
      </c>
      <c r="E422">
        <v>5</v>
      </c>
      <c r="F422" t="s">
        <v>1868</v>
      </c>
      <c r="G422" t="s">
        <v>1868</v>
      </c>
    </row>
    <row r="423" spans="1:7">
      <c r="A423" t="s">
        <v>1234</v>
      </c>
      <c r="B423" s="283">
        <v>44063</v>
      </c>
      <c r="C423" t="s">
        <v>1127</v>
      </c>
      <c r="D423">
        <v>7</v>
      </c>
      <c r="E423">
        <v>36</v>
      </c>
      <c r="F423" t="s">
        <v>1868</v>
      </c>
      <c r="G423" t="s">
        <v>1868</v>
      </c>
    </row>
    <row r="424" spans="1:7">
      <c r="A424" t="s">
        <v>1234</v>
      </c>
      <c r="B424" s="283">
        <v>44063</v>
      </c>
      <c r="C424" t="s">
        <v>1133</v>
      </c>
      <c r="D424">
        <v>2</v>
      </c>
      <c r="E424">
        <v>67</v>
      </c>
      <c r="F424" t="s">
        <v>1385</v>
      </c>
      <c r="G424" t="s">
        <v>1385</v>
      </c>
    </row>
    <row r="425" spans="1:7">
      <c r="A425" t="s">
        <v>1234</v>
      </c>
      <c r="B425" s="283">
        <v>44063</v>
      </c>
      <c r="C425" t="s">
        <v>1153</v>
      </c>
      <c r="D425">
        <v>3</v>
      </c>
      <c r="E425">
        <v>70</v>
      </c>
      <c r="F425" t="s">
        <v>1386</v>
      </c>
      <c r="G425" t="s">
        <v>1386</v>
      </c>
    </row>
    <row r="426" spans="1:7">
      <c r="A426" t="s">
        <v>1234</v>
      </c>
      <c r="B426" s="283">
        <v>44063</v>
      </c>
      <c r="C426" t="s">
        <v>1235</v>
      </c>
      <c r="D426">
        <v>6</v>
      </c>
      <c r="E426">
        <v>15</v>
      </c>
      <c r="F426" t="s">
        <v>1387</v>
      </c>
      <c r="G426" t="s">
        <v>1387</v>
      </c>
    </row>
    <row r="427" spans="1:7">
      <c r="A427" t="s">
        <v>1236</v>
      </c>
      <c r="B427" s="283">
        <v>44063</v>
      </c>
      <c r="C427" t="s">
        <v>1110</v>
      </c>
      <c r="D427">
        <v>1</v>
      </c>
      <c r="E427">
        <v>30</v>
      </c>
      <c r="F427" t="s">
        <v>1467</v>
      </c>
      <c r="G427" t="s">
        <v>1467</v>
      </c>
    </row>
    <row r="428" spans="1:7">
      <c r="A428" t="s">
        <v>1236</v>
      </c>
      <c r="B428" s="283">
        <v>44063</v>
      </c>
      <c r="C428" t="s">
        <v>1110</v>
      </c>
      <c r="D428">
        <v>5</v>
      </c>
      <c r="E428">
        <v>8</v>
      </c>
      <c r="F428" t="s">
        <v>1467</v>
      </c>
      <c r="G428" t="s">
        <v>1467</v>
      </c>
    </row>
    <row r="429" spans="1:7">
      <c r="A429" t="s">
        <v>1236</v>
      </c>
      <c r="B429" s="283">
        <v>44063</v>
      </c>
      <c r="C429" t="s">
        <v>1119</v>
      </c>
      <c r="D429">
        <v>2</v>
      </c>
      <c r="E429">
        <v>166</v>
      </c>
      <c r="F429" t="s">
        <v>1468</v>
      </c>
      <c r="G429" t="s">
        <v>1468</v>
      </c>
    </row>
    <row r="430" spans="1:7">
      <c r="A430" t="s">
        <v>1236</v>
      </c>
      <c r="B430" s="283">
        <v>44063</v>
      </c>
      <c r="C430" t="s">
        <v>1119</v>
      </c>
      <c r="D430">
        <v>6</v>
      </c>
      <c r="E430">
        <v>45</v>
      </c>
      <c r="F430" t="s">
        <v>1468</v>
      </c>
      <c r="G430" t="s">
        <v>1468</v>
      </c>
    </row>
    <row r="431" spans="1:7">
      <c r="A431" t="s">
        <v>1236</v>
      </c>
      <c r="B431" s="283">
        <v>44063</v>
      </c>
      <c r="C431" t="s">
        <v>1121</v>
      </c>
      <c r="D431">
        <v>3</v>
      </c>
      <c r="E431">
        <v>4</v>
      </c>
      <c r="F431" t="s">
        <v>1469</v>
      </c>
      <c r="G431" t="s">
        <v>1469</v>
      </c>
    </row>
    <row r="432" spans="1:7">
      <c r="A432" t="s">
        <v>1236</v>
      </c>
      <c r="B432" s="283">
        <v>44063</v>
      </c>
      <c r="C432" t="s">
        <v>1127</v>
      </c>
      <c r="D432">
        <v>4</v>
      </c>
      <c r="E432">
        <v>67</v>
      </c>
      <c r="F432" t="s">
        <v>1470</v>
      </c>
      <c r="G432" t="s">
        <v>1470</v>
      </c>
    </row>
    <row r="433" spans="1:7">
      <c r="A433" t="s">
        <v>1219</v>
      </c>
      <c r="B433" s="283">
        <v>44063</v>
      </c>
      <c r="C433" t="s">
        <v>1074</v>
      </c>
      <c r="D433">
        <v>1</v>
      </c>
      <c r="E433">
        <v>210</v>
      </c>
      <c r="F433" t="s">
        <v>1531</v>
      </c>
      <c r="G433" t="s">
        <v>1531</v>
      </c>
    </row>
    <row r="434" spans="1:7">
      <c r="A434" t="s">
        <v>1219</v>
      </c>
      <c r="B434" s="283">
        <v>44063</v>
      </c>
      <c r="C434" t="s">
        <v>1076</v>
      </c>
      <c r="D434">
        <v>2</v>
      </c>
      <c r="E434">
        <v>150</v>
      </c>
      <c r="F434" t="s">
        <v>1532</v>
      </c>
      <c r="G434" t="s">
        <v>1532</v>
      </c>
    </row>
    <row r="435" spans="1:7">
      <c r="A435" t="s">
        <v>1228</v>
      </c>
      <c r="B435" s="283">
        <v>44063</v>
      </c>
      <c r="C435" t="s">
        <v>1230</v>
      </c>
      <c r="D435">
        <v>1</v>
      </c>
      <c r="E435">
        <v>660</v>
      </c>
      <c r="F435" t="s">
        <v>1566</v>
      </c>
      <c r="G435" t="s">
        <v>1566</v>
      </c>
    </row>
    <row r="436" spans="1:7">
      <c r="A436" t="s">
        <v>1231</v>
      </c>
      <c r="B436" s="283">
        <v>44063</v>
      </c>
      <c r="C436" t="s">
        <v>1232</v>
      </c>
      <c r="D436">
        <v>1</v>
      </c>
      <c r="E436">
        <v>8</v>
      </c>
      <c r="F436" t="s">
        <v>1586</v>
      </c>
      <c r="G436" t="s">
        <v>1586</v>
      </c>
    </row>
    <row r="437" spans="1:7">
      <c r="A437" t="s">
        <v>1237</v>
      </c>
      <c r="B437" s="283">
        <v>44063</v>
      </c>
      <c r="C437" t="s">
        <v>1239</v>
      </c>
      <c r="D437">
        <v>2</v>
      </c>
      <c r="E437">
        <v>720</v>
      </c>
      <c r="F437" t="s">
        <v>1609</v>
      </c>
      <c r="G437" t="s">
        <v>1609</v>
      </c>
    </row>
    <row r="438" spans="1:7">
      <c r="A438" t="s">
        <v>1237</v>
      </c>
      <c r="B438" s="283">
        <v>44063</v>
      </c>
      <c r="C438" t="s">
        <v>1240</v>
      </c>
      <c r="D438">
        <v>1</v>
      </c>
      <c r="E438">
        <v>144</v>
      </c>
      <c r="F438" t="s">
        <v>1610</v>
      </c>
      <c r="G438" t="s">
        <v>1610</v>
      </c>
    </row>
    <row r="439" spans="1:7">
      <c r="A439" t="s">
        <v>1233</v>
      </c>
      <c r="B439" s="283">
        <v>44064</v>
      </c>
      <c r="C439" t="s">
        <v>1155</v>
      </c>
      <c r="D439">
        <v>1</v>
      </c>
      <c r="E439">
        <v>27</v>
      </c>
      <c r="F439" t="s">
        <v>1301</v>
      </c>
      <c r="G439" t="s">
        <v>1301</v>
      </c>
    </row>
    <row r="440" spans="1:7">
      <c r="A440" t="s">
        <v>1233</v>
      </c>
      <c r="B440" s="283">
        <v>44064</v>
      </c>
      <c r="C440" t="s">
        <v>1155</v>
      </c>
      <c r="D440">
        <v>5</v>
      </c>
      <c r="E440">
        <v>53</v>
      </c>
      <c r="F440" t="s">
        <v>1301</v>
      </c>
      <c r="G440" t="s">
        <v>1301</v>
      </c>
    </row>
    <row r="441" spans="1:7">
      <c r="A441" t="s">
        <v>1233</v>
      </c>
      <c r="B441" s="283">
        <v>44064</v>
      </c>
      <c r="C441" t="s">
        <v>1157</v>
      </c>
      <c r="D441">
        <v>2</v>
      </c>
      <c r="E441">
        <v>43</v>
      </c>
      <c r="F441" t="s">
        <v>1302</v>
      </c>
      <c r="G441" t="s">
        <v>1302</v>
      </c>
    </row>
    <row r="442" spans="1:7">
      <c r="A442" t="s">
        <v>1233</v>
      </c>
      <c r="B442" s="283">
        <v>44064</v>
      </c>
      <c r="C442" t="s">
        <v>1127</v>
      </c>
      <c r="D442">
        <v>4</v>
      </c>
      <c r="E442">
        <v>100</v>
      </c>
      <c r="F442" t="s">
        <v>1303</v>
      </c>
      <c r="G442" t="s">
        <v>1303</v>
      </c>
    </row>
    <row r="443" spans="1:7">
      <c r="A443" t="s">
        <v>1233</v>
      </c>
      <c r="B443" s="283">
        <v>44064</v>
      </c>
      <c r="C443" t="s">
        <v>1180</v>
      </c>
      <c r="D443">
        <v>3</v>
      </c>
      <c r="E443">
        <v>97</v>
      </c>
      <c r="F443" t="s">
        <v>1304</v>
      </c>
      <c r="G443" t="s">
        <v>1304</v>
      </c>
    </row>
    <row r="444" spans="1:7">
      <c r="A444" t="s">
        <v>1234</v>
      </c>
      <c r="B444" s="283">
        <v>44064</v>
      </c>
      <c r="C444" t="s">
        <v>1149</v>
      </c>
      <c r="D444">
        <v>3</v>
      </c>
      <c r="E444">
        <v>127</v>
      </c>
      <c r="F444" t="s">
        <v>1388</v>
      </c>
      <c r="G444" t="s">
        <v>1388</v>
      </c>
    </row>
    <row r="445" spans="1:7">
      <c r="A445" t="s">
        <v>1234</v>
      </c>
      <c r="B445" s="283">
        <v>44064</v>
      </c>
      <c r="C445" t="s">
        <v>1127</v>
      </c>
      <c r="D445">
        <v>1</v>
      </c>
      <c r="E445">
        <v>72</v>
      </c>
      <c r="F445" t="s">
        <v>1869</v>
      </c>
      <c r="G445" t="s">
        <v>1869</v>
      </c>
    </row>
    <row r="446" spans="1:7">
      <c r="A446" t="s">
        <v>1234</v>
      </c>
      <c r="B446" s="283">
        <v>44064</v>
      </c>
      <c r="C446" t="s">
        <v>1127</v>
      </c>
      <c r="D446">
        <v>5</v>
      </c>
      <c r="E446">
        <v>45</v>
      </c>
      <c r="F446" t="s">
        <v>1869</v>
      </c>
      <c r="G446" t="s">
        <v>1869</v>
      </c>
    </row>
    <row r="447" spans="1:7">
      <c r="A447" t="s">
        <v>1234</v>
      </c>
      <c r="B447" s="283">
        <v>44064</v>
      </c>
      <c r="C447" t="s">
        <v>1153</v>
      </c>
      <c r="D447">
        <v>2</v>
      </c>
      <c r="E447">
        <v>70</v>
      </c>
      <c r="F447" t="s">
        <v>1389</v>
      </c>
      <c r="G447" t="s">
        <v>1389</v>
      </c>
    </row>
    <row r="448" spans="1:7">
      <c r="A448" t="s">
        <v>1234</v>
      </c>
      <c r="B448" s="283">
        <v>44064</v>
      </c>
      <c r="C448" t="s">
        <v>1235</v>
      </c>
      <c r="D448">
        <v>4</v>
      </c>
      <c r="E448">
        <v>6</v>
      </c>
      <c r="F448" t="s">
        <v>1390</v>
      </c>
      <c r="G448" t="s">
        <v>1390</v>
      </c>
    </row>
    <row r="449" spans="1:7">
      <c r="A449" t="s">
        <v>1236</v>
      </c>
      <c r="B449" s="283">
        <v>44064</v>
      </c>
      <c r="C449" t="s">
        <v>1110</v>
      </c>
      <c r="D449">
        <v>2</v>
      </c>
      <c r="E449">
        <v>53</v>
      </c>
      <c r="F449" t="s">
        <v>1471</v>
      </c>
      <c r="G449" t="s">
        <v>1471</v>
      </c>
    </row>
    <row r="450" spans="1:7">
      <c r="A450" t="s">
        <v>1236</v>
      </c>
      <c r="B450" s="283">
        <v>44064</v>
      </c>
      <c r="C450" t="s">
        <v>1119</v>
      </c>
      <c r="D450">
        <v>1</v>
      </c>
      <c r="E450">
        <v>267</v>
      </c>
      <c r="F450" t="s">
        <v>1472</v>
      </c>
      <c r="G450" t="s">
        <v>1472</v>
      </c>
    </row>
    <row r="451" spans="1:7">
      <c r="A451" t="s">
        <v>1219</v>
      </c>
      <c r="B451" s="283">
        <v>44064</v>
      </c>
      <c r="C451" t="s">
        <v>1076</v>
      </c>
      <c r="D451">
        <v>1</v>
      </c>
      <c r="E451">
        <v>144</v>
      </c>
      <c r="F451" t="s">
        <v>1533</v>
      </c>
      <c r="G451" t="s">
        <v>1533</v>
      </c>
    </row>
    <row r="452" spans="1:7">
      <c r="A452" t="s">
        <v>1219</v>
      </c>
      <c r="B452" s="283">
        <v>44064</v>
      </c>
      <c r="C452" t="s">
        <v>1078</v>
      </c>
      <c r="D452">
        <v>2</v>
      </c>
      <c r="E452">
        <v>185</v>
      </c>
      <c r="F452" t="s">
        <v>1534</v>
      </c>
      <c r="G452" t="s">
        <v>1534</v>
      </c>
    </row>
    <row r="453" spans="1:7">
      <c r="A453" t="s">
        <v>1219</v>
      </c>
      <c r="B453" s="283">
        <v>44064</v>
      </c>
      <c r="C453" t="s">
        <v>1226</v>
      </c>
      <c r="D453">
        <v>3</v>
      </c>
      <c r="E453">
        <v>2</v>
      </c>
      <c r="F453" t="s">
        <v>1535</v>
      </c>
      <c r="G453" t="s">
        <v>1535</v>
      </c>
    </row>
    <row r="454" spans="1:7">
      <c r="A454" t="s">
        <v>1219</v>
      </c>
      <c r="B454" s="283">
        <v>44064</v>
      </c>
      <c r="C454" t="s">
        <v>1227</v>
      </c>
      <c r="D454">
        <v>4</v>
      </c>
      <c r="E454">
        <v>29</v>
      </c>
      <c r="F454" t="s">
        <v>1536</v>
      </c>
      <c r="G454" t="s">
        <v>1536</v>
      </c>
    </row>
    <row r="455" spans="1:7">
      <c r="A455" t="s">
        <v>1228</v>
      </c>
      <c r="B455" s="283">
        <v>44064</v>
      </c>
      <c r="C455" t="s">
        <v>1230</v>
      </c>
      <c r="D455">
        <v>1</v>
      </c>
      <c r="E455">
        <v>544</v>
      </c>
      <c r="F455" t="s">
        <v>1567</v>
      </c>
      <c r="G455" t="s">
        <v>1567</v>
      </c>
    </row>
    <row r="456" spans="1:7">
      <c r="A456" t="s">
        <v>1231</v>
      </c>
      <c r="B456" s="283">
        <v>44064</v>
      </c>
      <c r="C456" t="s">
        <v>1232</v>
      </c>
      <c r="D456">
        <v>1</v>
      </c>
      <c r="E456">
        <v>7</v>
      </c>
      <c r="F456" t="s">
        <v>1587</v>
      </c>
      <c r="G456" t="s">
        <v>1587</v>
      </c>
    </row>
    <row r="457" spans="1:7">
      <c r="A457" t="s">
        <v>1237</v>
      </c>
      <c r="B457" s="283">
        <v>44064</v>
      </c>
      <c r="C457" t="s">
        <v>1239</v>
      </c>
      <c r="D457">
        <v>1</v>
      </c>
      <c r="E457">
        <v>864</v>
      </c>
      <c r="F457" t="s">
        <v>1611</v>
      </c>
      <c r="G457" t="s">
        <v>1611</v>
      </c>
    </row>
    <row r="458" spans="1:7">
      <c r="A458" t="s">
        <v>1233</v>
      </c>
      <c r="B458" s="283">
        <v>44065</v>
      </c>
      <c r="C458" t="s">
        <v>1123</v>
      </c>
      <c r="D458">
        <v>3</v>
      </c>
      <c r="E458">
        <v>53</v>
      </c>
      <c r="F458" t="s">
        <v>1305</v>
      </c>
      <c r="G458" t="s">
        <v>1305</v>
      </c>
    </row>
    <row r="459" spans="1:7">
      <c r="A459" t="s">
        <v>1233</v>
      </c>
      <c r="B459" s="283">
        <v>44065</v>
      </c>
      <c r="C459" t="s">
        <v>1157</v>
      </c>
      <c r="D459">
        <v>1</v>
      </c>
      <c r="E459">
        <v>70</v>
      </c>
      <c r="F459" t="s">
        <v>1306</v>
      </c>
      <c r="G459" t="s">
        <v>1306</v>
      </c>
    </row>
    <row r="460" spans="1:7">
      <c r="A460" t="s">
        <v>1233</v>
      </c>
      <c r="B460" s="283">
        <v>44065</v>
      </c>
      <c r="C460" t="s">
        <v>1127</v>
      </c>
      <c r="D460">
        <v>2</v>
      </c>
      <c r="E460">
        <v>137</v>
      </c>
      <c r="F460" t="s">
        <v>1307</v>
      </c>
      <c r="G460" t="s">
        <v>1307</v>
      </c>
    </row>
    <row r="461" spans="1:7">
      <c r="A461" t="s">
        <v>1234</v>
      </c>
      <c r="B461" s="283">
        <v>44065</v>
      </c>
      <c r="C461" t="s">
        <v>1149</v>
      </c>
      <c r="D461">
        <v>3</v>
      </c>
      <c r="E461">
        <v>82</v>
      </c>
      <c r="F461" t="s">
        <v>1391</v>
      </c>
      <c r="G461" t="s">
        <v>1391</v>
      </c>
    </row>
    <row r="462" spans="1:7">
      <c r="A462" t="s">
        <v>1234</v>
      </c>
      <c r="B462" s="283">
        <v>44065</v>
      </c>
      <c r="C462" t="s">
        <v>1127</v>
      </c>
      <c r="D462">
        <v>1</v>
      </c>
      <c r="E462">
        <v>63</v>
      </c>
      <c r="F462" t="s">
        <v>1870</v>
      </c>
      <c r="G462" t="s">
        <v>1870</v>
      </c>
    </row>
    <row r="463" spans="1:7">
      <c r="A463" t="s">
        <v>1234</v>
      </c>
      <c r="B463" s="283">
        <v>44065</v>
      </c>
      <c r="C463" t="s">
        <v>1133</v>
      </c>
      <c r="D463">
        <v>5</v>
      </c>
      <c r="E463">
        <v>36</v>
      </c>
      <c r="F463" t="s">
        <v>1392</v>
      </c>
      <c r="G463" t="s">
        <v>1392</v>
      </c>
    </row>
    <row r="464" spans="1:7">
      <c r="A464" t="s">
        <v>1234</v>
      </c>
      <c r="B464" s="283">
        <v>44065</v>
      </c>
      <c r="C464" t="s">
        <v>1153</v>
      </c>
      <c r="D464">
        <v>2</v>
      </c>
      <c r="E464">
        <v>64</v>
      </c>
      <c r="F464" t="s">
        <v>1393</v>
      </c>
      <c r="G464" t="s">
        <v>1393</v>
      </c>
    </row>
    <row r="465" spans="1:7">
      <c r="A465" t="s">
        <v>1234</v>
      </c>
      <c r="B465" s="283">
        <v>44065</v>
      </c>
      <c r="C465" t="s">
        <v>1235</v>
      </c>
      <c r="D465">
        <v>4</v>
      </c>
      <c r="E465">
        <v>15</v>
      </c>
      <c r="F465" t="s">
        <v>1394</v>
      </c>
      <c r="G465" t="s">
        <v>1394</v>
      </c>
    </row>
    <row r="466" spans="1:7">
      <c r="A466" t="s">
        <v>1236</v>
      </c>
      <c r="B466" s="283">
        <v>44065</v>
      </c>
      <c r="C466" t="s">
        <v>1110</v>
      </c>
      <c r="D466">
        <v>1</v>
      </c>
      <c r="E466">
        <v>52</v>
      </c>
      <c r="F466" t="s">
        <v>1473</v>
      </c>
      <c r="G466" t="s">
        <v>1473</v>
      </c>
    </row>
    <row r="467" spans="1:7">
      <c r="A467" t="s">
        <v>1236</v>
      </c>
      <c r="B467" s="283">
        <v>44065</v>
      </c>
      <c r="C467" t="s">
        <v>1119</v>
      </c>
      <c r="D467">
        <v>2</v>
      </c>
      <c r="E467">
        <v>155</v>
      </c>
      <c r="F467" t="s">
        <v>1474</v>
      </c>
      <c r="G467" t="s">
        <v>1474</v>
      </c>
    </row>
    <row r="468" spans="1:7">
      <c r="A468" t="s">
        <v>1236</v>
      </c>
      <c r="B468" s="283">
        <v>44065</v>
      </c>
      <c r="C468" t="s">
        <v>1187</v>
      </c>
      <c r="D468">
        <v>3</v>
      </c>
      <c r="E468">
        <v>11</v>
      </c>
      <c r="F468" t="s">
        <v>1475</v>
      </c>
      <c r="G468" t="s">
        <v>1475</v>
      </c>
    </row>
    <row r="469" spans="1:7">
      <c r="A469" t="s">
        <v>1236</v>
      </c>
      <c r="B469" s="283">
        <v>44065</v>
      </c>
      <c r="C469" t="s">
        <v>1127</v>
      </c>
      <c r="D469">
        <v>4</v>
      </c>
      <c r="E469">
        <v>42</v>
      </c>
      <c r="F469" t="s">
        <v>1476</v>
      </c>
      <c r="G469" t="s">
        <v>1476</v>
      </c>
    </row>
    <row r="470" spans="1:7">
      <c r="A470" t="s">
        <v>1219</v>
      </c>
      <c r="B470" s="283">
        <v>44065</v>
      </c>
      <c r="C470" t="s">
        <v>1227</v>
      </c>
      <c r="D470">
        <v>1</v>
      </c>
      <c r="E470">
        <v>360</v>
      </c>
      <c r="F470" t="s">
        <v>1537</v>
      </c>
      <c r="G470" t="s">
        <v>1537</v>
      </c>
    </row>
    <row r="471" spans="1:7">
      <c r="A471" t="s">
        <v>1228</v>
      </c>
      <c r="B471" s="283">
        <v>44065</v>
      </c>
      <c r="C471" t="s">
        <v>1230</v>
      </c>
      <c r="D471">
        <v>1</v>
      </c>
      <c r="E471">
        <v>544</v>
      </c>
      <c r="F471" t="s">
        <v>1568</v>
      </c>
      <c r="G471" t="s">
        <v>1568</v>
      </c>
    </row>
    <row r="472" spans="1:7">
      <c r="A472" t="s">
        <v>1231</v>
      </c>
      <c r="B472" s="283">
        <v>44065</v>
      </c>
      <c r="C472" t="s">
        <v>1232</v>
      </c>
      <c r="D472">
        <v>1</v>
      </c>
      <c r="E472">
        <v>7</v>
      </c>
      <c r="F472" t="s">
        <v>1588</v>
      </c>
      <c r="G472" t="s">
        <v>1588</v>
      </c>
    </row>
    <row r="473" spans="1:7">
      <c r="A473" t="s">
        <v>1237</v>
      </c>
      <c r="B473" s="283">
        <v>44065</v>
      </c>
      <c r="C473" t="s">
        <v>1239</v>
      </c>
      <c r="D473">
        <v>1</v>
      </c>
      <c r="E473">
        <v>864</v>
      </c>
      <c r="F473" t="s">
        <v>1612</v>
      </c>
      <c r="G473" t="s">
        <v>1612</v>
      </c>
    </row>
    <row r="474" spans="1:7">
      <c r="A474" t="s">
        <v>1233</v>
      </c>
      <c r="B474" s="283">
        <v>44067</v>
      </c>
      <c r="C474" t="s">
        <v>1155</v>
      </c>
      <c r="D474" t="s">
        <v>1634</v>
      </c>
      <c r="E474">
        <v>53</v>
      </c>
      <c r="F474" t="s">
        <v>1308</v>
      </c>
      <c r="G474" t="s">
        <v>1308</v>
      </c>
    </row>
    <row r="475" spans="1:7">
      <c r="A475" t="s">
        <v>1233</v>
      </c>
      <c r="B475" s="283">
        <v>44067</v>
      </c>
      <c r="C475" t="s">
        <v>1119</v>
      </c>
      <c r="D475" t="s">
        <v>1109</v>
      </c>
      <c r="E475">
        <v>55</v>
      </c>
      <c r="F475" t="s">
        <v>1309</v>
      </c>
      <c r="G475" t="s">
        <v>1309</v>
      </c>
    </row>
    <row r="476" spans="1:7">
      <c r="A476" t="s">
        <v>1233</v>
      </c>
      <c r="B476" s="283">
        <v>44067</v>
      </c>
      <c r="C476" t="s">
        <v>1123</v>
      </c>
      <c r="D476" t="s">
        <v>1043</v>
      </c>
      <c r="E476">
        <v>61</v>
      </c>
      <c r="F476" t="s">
        <v>1310</v>
      </c>
      <c r="G476" t="s">
        <v>1310</v>
      </c>
    </row>
    <row r="477" spans="1:7">
      <c r="A477" t="s">
        <v>1233</v>
      </c>
      <c r="B477" s="283">
        <v>44067</v>
      </c>
      <c r="C477" t="s">
        <v>1131</v>
      </c>
      <c r="D477" t="s">
        <v>1108</v>
      </c>
      <c r="E477">
        <v>30</v>
      </c>
      <c r="F477" t="s">
        <v>1311</v>
      </c>
      <c r="G477" t="s">
        <v>1311</v>
      </c>
    </row>
    <row r="478" spans="1:7">
      <c r="A478" t="s">
        <v>1233</v>
      </c>
      <c r="B478" s="283">
        <v>44067</v>
      </c>
      <c r="C478" t="s">
        <v>1137</v>
      </c>
      <c r="D478" t="s">
        <v>1042</v>
      </c>
      <c r="E478">
        <v>57</v>
      </c>
      <c r="F478" t="s">
        <v>1312</v>
      </c>
      <c r="G478" t="s">
        <v>1312</v>
      </c>
    </row>
    <row r="479" spans="1:7">
      <c r="A479" t="s">
        <v>1234</v>
      </c>
      <c r="B479" s="283">
        <v>44067</v>
      </c>
      <c r="C479" t="s">
        <v>1114</v>
      </c>
      <c r="D479" t="s">
        <v>1108</v>
      </c>
      <c r="E479">
        <v>71</v>
      </c>
      <c r="F479" t="s">
        <v>1395</v>
      </c>
      <c r="G479" t="s">
        <v>1395</v>
      </c>
    </row>
    <row r="480" spans="1:7">
      <c r="A480" t="s">
        <v>1234</v>
      </c>
      <c r="B480" s="283">
        <v>44067</v>
      </c>
      <c r="C480" t="s">
        <v>1127</v>
      </c>
      <c r="D480" t="s">
        <v>1634</v>
      </c>
      <c r="E480">
        <v>36</v>
      </c>
      <c r="F480" t="s">
        <v>1396</v>
      </c>
      <c r="G480" t="s">
        <v>1396</v>
      </c>
    </row>
    <row r="481" spans="1:7">
      <c r="A481" t="s">
        <v>1234</v>
      </c>
      <c r="B481" s="283">
        <v>44067</v>
      </c>
      <c r="C481" t="s">
        <v>1133</v>
      </c>
      <c r="D481" t="s">
        <v>1043</v>
      </c>
      <c r="E481">
        <v>84</v>
      </c>
      <c r="F481" t="s">
        <v>1397</v>
      </c>
      <c r="G481" t="s">
        <v>1397</v>
      </c>
    </row>
    <row r="482" spans="1:7">
      <c r="A482" t="s">
        <v>1234</v>
      </c>
      <c r="B482" s="283">
        <v>44067</v>
      </c>
      <c r="C482" t="s">
        <v>1153</v>
      </c>
      <c r="D482" t="s">
        <v>1042</v>
      </c>
      <c r="E482">
        <v>50</v>
      </c>
      <c r="F482" t="s">
        <v>1398</v>
      </c>
      <c r="G482" t="s">
        <v>1398</v>
      </c>
    </row>
    <row r="483" spans="1:7">
      <c r="A483" t="s">
        <v>1234</v>
      </c>
      <c r="B483" s="283">
        <v>44067</v>
      </c>
      <c r="C483" t="s">
        <v>1235</v>
      </c>
      <c r="D483" t="s">
        <v>1109</v>
      </c>
      <c r="E483">
        <v>15</v>
      </c>
      <c r="F483" t="s">
        <v>1399</v>
      </c>
      <c r="G483" t="s">
        <v>1399</v>
      </c>
    </row>
    <row r="484" spans="1:7">
      <c r="A484" t="s">
        <v>1236</v>
      </c>
      <c r="B484" s="283">
        <v>44067</v>
      </c>
      <c r="C484" t="s">
        <v>1179</v>
      </c>
      <c r="D484" t="s">
        <v>1634</v>
      </c>
      <c r="E484">
        <v>9</v>
      </c>
      <c r="F484" t="s">
        <v>1477</v>
      </c>
      <c r="G484" t="s">
        <v>1477</v>
      </c>
    </row>
    <row r="485" spans="1:7">
      <c r="A485" t="s">
        <v>1236</v>
      </c>
      <c r="B485" s="283">
        <v>44067</v>
      </c>
      <c r="C485" t="s">
        <v>1127</v>
      </c>
      <c r="D485" t="s">
        <v>1043</v>
      </c>
      <c r="E485">
        <v>3</v>
      </c>
      <c r="F485" t="s">
        <v>1478</v>
      </c>
      <c r="G485" t="s">
        <v>1478</v>
      </c>
    </row>
    <row r="486" spans="1:7">
      <c r="A486" t="s">
        <v>1236</v>
      </c>
      <c r="B486" s="283">
        <v>44067</v>
      </c>
      <c r="C486" t="s">
        <v>1127</v>
      </c>
      <c r="D486" t="s">
        <v>1635</v>
      </c>
      <c r="E486">
        <v>11</v>
      </c>
      <c r="F486" t="s">
        <v>1478</v>
      </c>
      <c r="G486" t="s">
        <v>1478</v>
      </c>
    </row>
    <row r="487" spans="1:7">
      <c r="A487" t="s">
        <v>1236</v>
      </c>
      <c r="B487" s="283">
        <v>44067</v>
      </c>
      <c r="C487" t="s">
        <v>1180</v>
      </c>
      <c r="D487" t="s">
        <v>1042</v>
      </c>
      <c r="E487">
        <v>80</v>
      </c>
      <c r="F487" t="s">
        <v>1479</v>
      </c>
      <c r="G487" t="s">
        <v>1479</v>
      </c>
    </row>
    <row r="488" spans="1:7">
      <c r="A488" t="s">
        <v>1236</v>
      </c>
      <c r="B488" s="283">
        <v>44067</v>
      </c>
      <c r="C488" t="s">
        <v>1180</v>
      </c>
      <c r="D488" t="s">
        <v>1636</v>
      </c>
      <c r="E488">
        <v>33</v>
      </c>
      <c r="F488" t="s">
        <v>1479</v>
      </c>
      <c r="G488" t="s">
        <v>1479</v>
      </c>
    </row>
    <row r="489" spans="1:7">
      <c r="A489" t="s">
        <v>1236</v>
      </c>
      <c r="B489" s="283">
        <v>44067</v>
      </c>
      <c r="C489" t="s">
        <v>1131</v>
      </c>
      <c r="D489" t="s">
        <v>1108</v>
      </c>
      <c r="E489">
        <v>87</v>
      </c>
      <c r="F489" t="s">
        <v>1480</v>
      </c>
      <c r="G489" t="s">
        <v>1480</v>
      </c>
    </row>
    <row r="490" spans="1:7">
      <c r="A490" t="s">
        <v>1236</v>
      </c>
      <c r="B490" s="283">
        <v>44067</v>
      </c>
      <c r="C490" t="s">
        <v>1184</v>
      </c>
      <c r="D490" t="s">
        <v>1109</v>
      </c>
      <c r="E490">
        <v>33</v>
      </c>
      <c r="F490" t="s">
        <v>1481</v>
      </c>
      <c r="G490" t="s">
        <v>1481</v>
      </c>
    </row>
    <row r="491" spans="1:7">
      <c r="A491" t="s">
        <v>1219</v>
      </c>
      <c r="B491" s="283">
        <v>44067</v>
      </c>
      <c r="C491" t="s">
        <v>1220</v>
      </c>
      <c r="D491" t="s">
        <v>1043</v>
      </c>
      <c r="E491">
        <v>360</v>
      </c>
      <c r="F491" t="s">
        <v>1538</v>
      </c>
      <c r="G491" t="s">
        <v>1538</v>
      </c>
    </row>
    <row r="492" spans="1:7">
      <c r="A492" t="s">
        <v>1228</v>
      </c>
      <c r="B492" s="283">
        <v>44067</v>
      </c>
      <c r="C492" t="s">
        <v>1229</v>
      </c>
      <c r="D492" t="s">
        <v>1042</v>
      </c>
      <c r="E492">
        <v>4</v>
      </c>
      <c r="F492" t="s">
        <v>1569</v>
      </c>
      <c r="G492" t="s">
        <v>1569</v>
      </c>
    </row>
    <row r="493" spans="1:7">
      <c r="A493" t="s">
        <v>1228</v>
      </c>
      <c r="B493" s="283">
        <v>44067</v>
      </c>
      <c r="C493" t="s">
        <v>1230</v>
      </c>
      <c r="D493" t="s">
        <v>1043</v>
      </c>
      <c r="E493">
        <v>415</v>
      </c>
      <c r="F493" t="s">
        <v>1570</v>
      </c>
      <c r="G493" t="s">
        <v>1570</v>
      </c>
    </row>
    <row r="494" spans="1:7">
      <c r="A494" t="s">
        <v>1231</v>
      </c>
      <c r="B494" s="283">
        <v>44067</v>
      </c>
      <c r="C494" t="s">
        <v>1232</v>
      </c>
      <c r="D494" t="s">
        <v>1043</v>
      </c>
      <c r="E494">
        <v>16</v>
      </c>
      <c r="F494" t="s">
        <v>1589</v>
      </c>
      <c r="G494" t="s">
        <v>1589</v>
      </c>
    </row>
    <row r="495" spans="1:7">
      <c r="A495" t="s">
        <v>1237</v>
      </c>
      <c r="B495" s="283">
        <v>44067</v>
      </c>
      <c r="C495" t="s">
        <v>1238</v>
      </c>
      <c r="D495" t="s">
        <v>1043</v>
      </c>
      <c r="E495">
        <v>864</v>
      </c>
      <c r="F495" t="s">
        <v>1613</v>
      </c>
      <c r="G495" t="s">
        <v>1613</v>
      </c>
    </row>
    <row r="496" spans="1:7">
      <c r="A496" t="s">
        <v>1233</v>
      </c>
      <c r="B496" s="283">
        <v>44068</v>
      </c>
      <c r="C496" t="s">
        <v>1155</v>
      </c>
      <c r="D496" t="s">
        <v>1043</v>
      </c>
      <c r="E496">
        <v>12</v>
      </c>
      <c r="F496" t="s">
        <v>1313</v>
      </c>
      <c r="G496" t="s">
        <v>1313</v>
      </c>
    </row>
    <row r="497" spans="1:7">
      <c r="A497" t="s">
        <v>1233</v>
      </c>
      <c r="B497" s="283">
        <v>44068</v>
      </c>
      <c r="C497" t="s">
        <v>1155</v>
      </c>
      <c r="D497" t="s">
        <v>1635</v>
      </c>
      <c r="E497">
        <v>53</v>
      </c>
      <c r="F497" t="s">
        <v>1313</v>
      </c>
      <c r="G497" t="s">
        <v>1313</v>
      </c>
    </row>
    <row r="498" spans="1:7">
      <c r="A498" t="s">
        <v>1233</v>
      </c>
      <c r="B498" s="283">
        <v>44068</v>
      </c>
      <c r="C498" t="s">
        <v>1119</v>
      </c>
      <c r="D498" t="s">
        <v>1634</v>
      </c>
      <c r="E498">
        <v>135</v>
      </c>
      <c r="F498" t="s">
        <v>1314</v>
      </c>
      <c r="G498" t="s">
        <v>1314</v>
      </c>
    </row>
    <row r="499" spans="1:7">
      <c r="A499" t="s">
        <v>1233</v>
      </c>
      <c r="B499" s="283">
        <v>44068</v>
      </c>
      <c r="C499" t="s">
        <v>1123</v>
      </c>
      <c r="D499" t="s">
        <v>1042</v>
      </c>
      <c r="E499">
        <v>19</v>
      </c>
      <c r="F499" t="s">
        <v>1315</v>
      </c>
      <c r="G499" t="s">
        <v>1315</v>
      </c>
    </row>
    <row r="500" spans="1:7">
      <c r="A500" t="s">
        <v>1233</v>
      </c>
      <c r="B500" s="283">
        <v>44068</v>
      </c>
      <c r="C500" t="s">
        <v>1131</v>
      </c>
      <c r="D500" t="s">
        <v>1109</v>
      </c>
      <c r="E500">
        <v>30</v>
      </c>
      <c r="F500" t="s">
        <v>1316</v>
      </c>
      <c r="G500" t="s">
        <v>1316</v>
      </c>
    </row>
    <row r="501" spans="1:7">
      <c r="A501" t="s">
        <v>1233</v>
      </c>
      <c r="B501" s="283">
        <v>44068</v>
      </c>
      <c r="C501" t="s">
        <v>1137</v>
      </c>
      <c r="D501" t="s">
        <v>1108</v>
      </c>
      <c r="E501">
        <v>87</v>
      </c>
      <c r="F501" t="s">
        <v>1317</v>
      </c>
      <c r="G501" t="s">
        <v>1317</v>
      </c>
    </row>
    <row r="502" spans="1:7">
      <c r="A502" t="s">
        <v>1234</v>
      </c>
      <c r="B502" s="283">
        <v>44068</v>
      </c>
      <c r="C502" t="s">
        <v>1114</v>
      </c>
      <c r="D502" t="s">
        <v>1634</v>
      </c>
      <c r="E502">
        <v>89</v>
      </c>
      <c r="F502" t="s">
        <v>1400</v>
      </c>
      <c r="G502" t="s">
        <v>1400</v>
      </c>
    </row>
    <row r="503" spans="1:7">
      <c r="A503" t="s">
        <v>1234</v>
      </c>
      <c r="B503" s="283">
        <v>44068</v>
      </c>
      <c r="C503" t="s">
        <v>1149</v>
      </c>
      <c r="D503" t="s">
        <v>1109</v>
      </c>
      <c r="E503">
        <v>39</v>
      </c>
      <c r="F503" t="s">
        <v>1401</v>
      </c>
      <c r="G503" t="s">
        <v>1401</v>
      </c>
    </row>
    <row r="504" spans="1:7">
      <c r="A504" t="s">
        <v>1234</v>
      </c>
      <c r="B504" s="283">
        <v>44068</v>
      </c>
      <c r="C504" t="s">
        <v>1127</v>
      </c>
      <c r="D504" t="s">
        <v>1043</v>
      </c>
      <c r="E504">
        <v>92</v>
      </c>
      <c r="F504" t="s">
        <v>1402</v>
      </c>
      <c r="G504" t="s">
        <v>1402</v>
      </c>
    </row>
    <row r="505" spans="1:7">
      <c r="A505" t="s">
        <v>1234</v>
      </c>
      <c r="B505" s="283">
        <v>44068</v>
      </c>
      <c r="C505" t="s">
        <v>1127</v>
      </c>
      <c r="D505" t="s">
        <v>1636</v>
      </c>
      <c r="E505">
        <v>36</v>
      </c>
      <c r="F505" t="s">
        <v>1402</v>
      </c>
      <c r="G505" t="s">
        <v>1402</v>
      </c>
    </row>
    <row r="506" spans="1:7">
      <c r="A506" t="s">
        <v>1234</v>
      </c>
      <c r="B506" s="283">
        <v>44068</v>
      </c>
      <c r="C506" t="s">
        <v>1133</v>
      </c>
      <c r="D506" t="s">
        <v>1042</v>
      </c>
      <c r="E506">
        <v>15</v>
      </c>
      <c r="F506" t="s">
        <v>1403</v>
      </c>
      <c r="G506" t="s">
        <v>1403</v>
      </c>
    </row>
    <row r="507" spans="1:7">
      <c r="A507" t="s">
        <v>1234</v>
      </c>
      <c r="B507" s="283">
        <v>44068</v>
      </c>
      <c r="C507" t="s">
        <v>1153</v>
      </c>
      <c r="D507" t="s">
        <v>1108</v>
      </c>
      <c r="E507">
        <v>50</v>
      </c>
      <c r="F507" t="s">
        <v>1404</v>
      </c>
      <c r="G507" t="s">
        <v>1404</v>
      </c>
    </row>
    <row r="508" spans="1:7">
      <c r="A508" t="s">
        <v>1234</v>
      </c>
      <c r="B508" s="283">
        <v>44068</v>
      </c>
      <c r="C508" t="s">
        <v>1235</v>
      </c>
      <c r="D508" t="s">
        <v>1635</v>
      </c>
      <c r="E508">
        <v>15</v>
      </c>
      <c r="F508" t="s">
        <v>1405</v>
      </c>
      <c r="G508" t="s">
        <v>1405</v>
      </c>
    </row>
    <row r="509" spans="1:7">
      <c r="A509" t="s">
        <v>1236</v>
      </c>
      <c r="B509" s="283">
        <v>44068</v>
      </c>
      <c r="C509" t="s">
        <v>1110</v>
      </c>
      <c r="D509" t="s">
        <v>1109</v>
      </c>
      <c r="E509">
        <v>24</v>
      </c>
      <c r="F509" t="s">
        <v>1482</v>
      </c>
      <c r="G509" t="s">
        <v>1482</v>
      </c>
    </row>
    <row r="510" spans="1:7">
      <c r="A510" t="s">
        <v>1236</v>
      </c>
      <c r="B510" s="283">
        <v>44068</v>
      </c>
      <c r="C510" t="s">
        <v>1127</v>
      </c>
      <c r="D510" t="s">
        <v>1634</v>
      </c>
      <c r="E510">
        <v>29</v>
      </c>
      <c r="F510" t="s">
        <v>1483</v>
      </c>
      <c r="G510" t="s">
        <v>1483</v>
      </c>
    </row>
    <row r="511" spans="1:7">
      <c r="A511" t="s">
        <v>1236</v>
      </c>
      <c r="B511" s="283">
        <v>44068</v>
      </c>
      <c r="C511" t="s">
        <v>1180</v>
      </c>
      <c r="D511" t="s">
        <v>1043</v>
      </c>
      <c r="E511">
        <v>47</v>
      </c>
      <c r="F511" t="s">
        <v>1484</v>
      </c>
      <c r="G511" t="s">
        <v>1484</v>
      </c>
    </row>
    <row r="512" spans="1:7">
      <c r="A512" t="s">
        <v>1236</v>
      </c>
      <c r="B512" s="283">
        <v>44068</v>
      </c>
      <c r="C512" t="s">
        <v>1131</v>
      </c>
      <c r="D512" t="s">
        <v>1042</v>
      </c>
      <c r="E512">
        <v>131</v>
      </c>
      <c r="F512" t="s">
        <v>1485</v>
      </c>
      <c r="G512" t="s">
        <v>1485</v>
      </c>
    </row>
    <row r="513" spans="1:7">
      <c r="A513" t="s">
        <v>1236</v>
      </c>
      <c r="B513" s="283">
        <v>44068</v>
      </c>
      <c r="C513" t="s">
        <v>1133</v>
      </c>
      <c r="D513" t="s">
        <v>1108</v>
      </c>
      <c r="E513">
        <v>105</v>
      </c>
      <c r="F513" t="s">
        <v>1842</v>
      </c>
      <c r="G513" t="s">
        <v>1842</v>
      </c>
    </row>
    <row r="514" spans="1:7">
      <c r="A514" t="s">
        <v>1219</v>
      </c>
      <c r="B514" s="283">
        <v>44068</v>
      </c>
      <c r="C514" t="s">
        <v>1220</v>
      </c>
      <c r="D514" t="s">
        <v>1043</v>
      </c>
      <c r="E514">
        <v>192</v>
      </c>
      <c r="F514" t="s">
        <v>1539</v>
      </c>
      <c r="G514" t="s">
        <v>1539</v>
      </c>
    </row>
    <row r="515" spans="1:7">
      <c r="A515" t="s">
        <v>1219</v>
      </c>
      <c r="B515" s="283">
        <v>44068</v>
      </c>
      <c r="C515" t="s">
        <v>1221</v>
      </c>
      <c r="D515" t="s">
        <v>1042</v>
      </c>
      <c r="E515">
        <v>99</v>
      </c>
      <c r="F515" t="s">
        <v>1540</v>
      </c>
      <c r="G515" t="s">
        <v>1540</v>
      </c>
    </row>
    <row r="516" spans="1:7">
      <c r="A516" t="s">
        <v>1219</v>
      </c>
      <c r="B516" s="283">
        <v>44068</v>
      </c>
      <c r="C516" t="s">
        <v>1223</v>
      </c>
      <c r="D516" t="s">
        <v>1108</v>
      </c>
      <c r="E516">
        <v>28</v>
      </c>
      <c r="F516" t="s">
        <v>1541</v>
      </c>
      <c r="G516" t="s">
        <v>1541</v>
      </c>
    </row>
    <row r="517" spans="1:7">
      <c r="A517" t="s">
        <v>1219</v>
      </c>
      <c r="B517" s="283">
        <v>44068</v>
      </c>
      <c r="C517" t="s">
        <v>1224</v>
      </c>
      <c r="D517" t="s">
        <v>1109</v>
      </c>
      <c r="E517">
        <v>1</v>
      </c>
      <c r="F517" t="s">
        <v>1542</v>
      </c>
      <c r="G517" t="s">
        <v>1542</v>
      </c>
    </row>
    <row r="518" spans="1:7">
      <c r="A518" t="s">
        <v>1219</v>
      </c>
      <c r="B518" s="283">
        <v>44068</v>
      </c>
      <c r="C518" t="s">
        <v>1214</v>
      </c>
      <c r="D518" t="s">
        <v>1634</v>
      </c>
      <c r="E518">
        <v>6</v>
      </c>
      <c r="F518" t="s">
        <v>1543</v>
      </c>
      <c r="G518" t="s">
        <v>1543</v>
      </c>
    </row>
    <row r="519" spans="1:7">
      <c r="A519" t="s">
        <v>1219</v>
      </c>
      <c r="B519" s="283">
        <v>44068</v>
      </c>
      <c r="C519" t="s">
        <v>1074</v>
      </c>
      <c r="D519" t="s">
        <v>1635</v>
      </c>
      <c r="E519">
        <v>34</v>
      </c>
      <c r="F519" t="s">
        <v>1544</v>
      </c>
      <c r="G519" t="s">
        <v>1544</v>
      </c>
    </row>
    <row r="520" spans="1:7">
      <c r="A520" t="s">
        <v>1228</v>
      </c>
      <c r="B520" s="283">
        <v>44068</v>
      </c>
      <c r="C520" t="s">
        <v>1230</v>
      </c>
      <c r="D520" t="s">
        <v>1043</v>
      </c>
      <c r="E520">
        <v>359</v>
      </c>
      <c r="F520" t="s">
        <v>1571</v>
      </c>
      <c r="G520" t="s">
        <v>1571</v>
      </c>
    </row>
    <row r="521" spans="1:7">
      <c r="A521" t="s">
        <v>1231</v>
      </c>
      <c r="B521" s="283">
        <v>44068</v>
      </c>
      <c r="C521" t="s">
        <v>1232</v>
      </c>
      <c r="D521" t="s">
        <v>1043</v>
      </c>
      <c r="E521">
        <v>16</v>
      </c>
      <c r="F521" t="s">
        <v>1590</v>
      </c>
      <c r="G521" t="s">
        <v>1590</v>
      </c>
    </row>
    <row r="522" spans="1:7">
      <c r="A522" t="s">
        <v>1237</v>
      </c>
      <c r="B522" s="283">
        <v>44068</v>
      </c>
      <c r="C522" t="s">
        <v>1238</v>
      </c>
      <c r="D522" t="s">
        <v>1043</v>
      </c>
      <c r="E522">
        <v>864</v>
      </c>
      <c r="F522" t="s">
        <v>1614</v>
      </c>
      <c r="G522" t="s">
        <v>1614</v>
      </c>
    </row>
    <row r="523" spans="1:7">
      <c r="A523" t="s">
        <v>1233</v>
      </c>
      <c r="B523" s="283">
        <v>44069</v>
      </c>
      <c r="C523" t="s">
        <v>1155</v>
      </c>
      <c r="D523" t="s">
        <v>1043</v>
      </c>
      <c r="E523">
        <v>10</v>
      </c>
      <c r="F523" t="s">
        <v>1318</v>
      </c>
      <c r="G523" t="s">
        <v>1318</v>
      </c>
    </row>
    <row r="524" spans="1:7">
      <c r="A524" t="s">
        <v>1233</v>
      </c>
      <c r="B524" s="283">
        <v>44069</v>
      </c>
      <c r="C524" t="s">
        <v>1119</v>
      </c>
      <c r="D524" t="s">
        <v>1634</v>
      </c>
      <c r="E524">
        <v>134</v>
      </c>
      <c r="F524" t="s">
        <v>1319</v>
      </c>
      <c r="G524" t="s">
        <v>1319</v>
      </c>
    </row>
    <row r="525" spans="1:7">
      <c r="A525" t="s">
        <v>1233</v>
      </c>
      <c r="B525" s="283">
        <v>44069</v>
      </c>
      <c r="C525" t="s">
        <v>1217</v>
      </c>
      <c r="D525" t="s">
        <v>1042</v>
      </c>
      <c r="E525">
        <v>60</v>
      </c>
      <c r="F525" t="s">
        <v>1320</v>
      </c>
      <c r="G525" t="s">
        <v>1320</v>
      </c>
    </row>
    <row r="526" spans="1:7">
      <c r="A526" t="s">
        <v>1233</v>
      </c>
      <c r="B526" s="283">
        <v>44069</v>
      </c>
      <c r="C526" t="s">
        <v>1157</v>
      </c>
      <c r="D526" t="s">
        <v>1108</v>
      </c>
      <c r="E526">
        <v>48</v>
      </c>
      <c r="F526" t="s">
        <v>1321</v>
      </c>
      <c r="G526" t="s">
        <v>1321</v>
      </c>
    </row>
    <row r="527" spans="1:7">
      <c r="A527" t="s">
        <v>1233</v>
      </c>
      <c r="B527" s="283">
        <v>44069</v>
      </c>
      <c r="C527" t="s">
        <v>1157</v>
      </c>
      <c r="D527" t="s">
        <v>1636</v>
      </c>
      <c r="E527">
        <v>53</v>
      </c>
      <c r="F527" t="s">
        <v>1321</v>
      </c>
      <c r="G527" t="s">
        <v>1321</v>
      </c>
    </row>
    <row r="528" spans="1:7">
      <c r="A528" t="s">
        <v>1233</v>
      </c>
      <c r="B528" s="283">
        <v>44069</v>
      </c>
      <c r="C528" t="s">
        <v>1183</v>
      </c>
      <c r="D528" t="s">
        <v>1635</v>
      </c>
      <c r="E528">
        <v>1</v>
      </c>
      <c r="F528" t="s">
        <v>1322</v>
      </c>
      <c r="G528" t="s">
        <v>1322</v>
      </c>
    </row>
    <row r="529" spans="1:7">
      <c r="A529" t="s">
        <v>1233</v>
      </c>
      <c r="B529" s="283">
        <v>44069</v>
      </c>
      <c r="C529" t="s">
        <v>1131</v>
      </c>
      <c r="D529" t="s">
        <v>1109</v>
      </c>
      <c r="E529">
        <v>30</v>
      </c>
      <c r="F529" t="s">
        <v>1323</v>
      </c>
      <c r="G529" t="s">
        <v>1323</v>
      </c>
    </row>
    <row r="530" spans="1:7">
      <c r="A530" t="s">
        <v>1234</v>
      </c>
      <c r="B530" s="283">
        <v>44069</v>
      </c>
      <c r="C530" t="s">
        <v>1114</v>
      </c>
      <c r="D530" t="s">
        <v>1634</v>
      </c>
      <c r="E530">
        <v>80</v>
      </c>
      <c r="F530" t="s">
        <v>1406</v>
      </c>
      <c r="G530" t="s">
        <v>1406</v>
      </c>
    </row>
    <row r="531" spans="1:7">
      <c r="A531" t="s">
        <v>1234</v>
      </c>
      <c r="B531" s="283">
        <v>44069</v>
      </c>
      <c r="C531" t="s">
        <v>1149</v>
      </c>
      <c r="D531" t="s">
        <v>1109</v>
      </c>
      <c r="E531">
        <v>67</v>
      </c>
      <c r="F531" t="s">
        <v>1407</v>
      </c>
      <c r="G531" t="s">
        <v>1407</v>
      </c>
    </row>
    <row r="532" spans="1:7">
      <c r="A532" t="s">
        <v>1234</v>
      </c>
      <c r="B532" s="283">
        <v>44069</v>
      </c>
      <c r="C532" t="s">
        <v>1127</v>
      </c>
      <c r="D532" t="s">
        <v>1043</v>
      </c>
      <c r="E532">
        <v>53</v>
      </c>
      <c r="F532" t="s">
        <v>1408</v>
      </c>
      <c r="G532" t="s">
        <v>1408</v>
      </c>
    </row>
    <row r="533" spans="1:7">
      <c r="A533" t="s">
        <v>1234</v>
      </c>
      <c r="B533" s="283">
        <v>44069</v>
      </c>
      <c r="C533" t="s">
        <v>1127</v>
      </c>
      <c r="D533" t="s">
        <v>1636</v>
      </c>
      <c r="E533">
        <v>36</v>
      </c>
      <c r="F533" t="s">
        <v>1408</v>
      </c>
      <c r="G533" t="s">
        <v>1408</v>
      </c>
    </row>
    <row r="534" spans="1:7">
      <c r="A534" t="s">
        <v>1234</v>
      </c>
      <c r="B534" s="283">
        <v>44069</v>
      </c>
      <c r="C534" t="s">
        <v>1133</v>
      </c>
      <c r="D534" t="s">
        <v>1042</v>
      </c>
      <c r="E534">
        <v>54</v>
      </c>
      <c r="F534" t="s">
        <v>1409</v>
      </c>
      <c r="G534" t="s">
        <v>1409</v>
      </c>
    </row>
    <row r="535" spans="1:7">
      <c r="A535" t="s">
        <v>1234</v>
      </c>
      <c r="B535" s="283">
        <v>44069</v>
      </c>
      <c r="C535" t="s">
        <v>1153</v>
      </c>
      <c r="D535" t="s">
        <v>1108</v>
      </c>
      <c r="E535">
        <v>31</v>
      </c>
      <c r="F535" t="s">
        <v>1410</v>
      </c>
      <c r="G535" t="s">
        <v>1410</v>
      </c>
    </row>
    <row r="536" spans="1:7">
      <c r="A536" t="s">
        <v>1234</v>
      </c>
      <c r="B536" s="283">
        <v>44069</v>
      </c>
      <c r="C536" t="s">
        <v>1235</v>
      </c>
      <c r="D536" t="s">
        <v>1635</v>
      </c>
      <c r="E536">
        <v>15</v>
      </c>
      <c r="F536" t="s">
        <v>1411</v>
      </c>
      <c r="G536" t="s">
        <v>1411</v>
      </c>
    </row>
    <row r="537" spans="1:7">
      <c r="A537" t="s">
        <v>1236</v>
      </c>
      <c r="B537" s="283">
        <v>44069</v>
      </c>
      <c r="C537" t="s">
        <v>1121</v>
      </c>
      <c r="D537" t="s">
        <v>1109</v>
      </c>
      <c r="E537">
        <v>40</v>
      </c>
      <c r="F537" t="s">
        <v>1486</v>
      </c>
      <c r="G537" t="s">
        <v>1486</v>
      </c>
    </row>
    <row r="538" spans="1:7">
      <c r="A538" t="s">
        <v>1236</v>
      </c>
      <c r="B538" s="283">
        <v>44069</v>
      </c>
      <c r="C538" t="s">
        <v>1127</v>
      </c>
      <c r="D538" t="s">
        <v>1043</v>
      </c>
      <c r="E538">
        <v>96</v>
      </c>
      <c r="F538" t="s">
        <v>1487</v>
      </c>
      <c r="G538" t="s">
        <v>1487</v>
      </c>
    </row>
    <row r="539" spans="1:7">
      <c r="A539" t="s">
        <v>1236</v>
      </c>
      <c r="B539" s="283">
        <v>44069</v>
      </c>
      <c r="C539" t="s">
        <v>1129</v>
      </c>
      <c r="D539" t="s">
        <v>1634</v>
      </c>
      <c r="E539">
        <v>13</v>
      </c>
      <c r="F539" t="s">
        <v>1488</v>
      </c>
      <c r="G539" t="s">
        <v>1488</v>
      </c>
    </row>
    <row r="540" spans="1:7">
      <c r="A540" t="s">
        <v>1236</v>
      </c>
      <c r="B540" s="283">
        <v>44069</v>
      </c>
      <c r="C540" t="s">
        <v>1180</v>
      </c>
      <c r="D540" t="s">
        <v>1042</v>
      </c>
      <c r="E540">
        <v>80</v>
      </c>
      <c r="F540" t="s">
        <v>1489</v>
      </c>
      <c r="G540" t="s">
        <v>1489</v>
      </c>
    </row>
    <row r="541" spans="1:7">
      <c r="A541" t="s">
        <v>1236</v>
      </c>
      <c r="B541" s="283">
        <v>44069</v>
      </c>
      <c r="C541" t="s">
        <v>1131</v>
      </c>
      <c r="D541" t="s">
        <v>1108</v>
      </c>
      <c r="E541">
        <v>107</v>
      </c>
      <c r="F541" t="s">
        <v>1490</v>
      </c>
      <c r="G541" t="s">
        <v>1490</v>
      </c>
    </row>
    <row r="542" spans="1:7">
      <c r="A542" t="s">
        <v>1219</v>
      </c>
      <c r="B542" s="283">
        <v>44069</v>
      </c>
      <c r="C542" t="s">
        <v>1074</v>
      </c>
      <c r="D542" t="s">
        <v>1043</v>
      </c>
      <c r="E542">
        <v>360</v>
      </c>
      <c r="F542" t="s">
        <v>1545</v>
      </c>
      <c r="G542" t="s">
        <v>1545</v>
      </c>
    </row>
    <row r="543" spans="1:7">
      <c r="A543" t="s">
        <v>1228</v>
      </c>
      <c r="B543" s="283">
        <v>44069</v>
      </c>
      <c r="C543" t="s">
        <v>1230</v>
      </c>
      <c r="D543" t="s">
        <v>1043</v>
      </c>
      <c r="E543">
        <v>417</v>
      </c>
      <c r="F543" t="s">
        <v>1572</v>
      </c>
      <c r="G543" t="s">
        <v>1572</v>
      </c>
    </row>
    <row r="544" spans="1:7">
      <c r="A544" t="s">
        <v>1231</v>
      </c>
      <c r="B544" s="283">
        <v>44069</v>
      </c>
      <c r="C544" t="s">
        <v>1232</v>
      </c>
      <c r="D544" t="s">
        <v>1043</v>
      </c>
      <c r="E544">
        <v>16</v>
      </c>
      <c r="F544" t="s">
        <v>1591</v>
      </c>
      <c r="G544" t="s">
        <v>1591</v>
      </c>
    </row>
    <row r="545" spans="1:7">
      <c r="A545" t="s">
        <v>1237</v>
      </c>
      <c r="B545" s="283">
        <v>44069</v>
      </c>
      <c r="C545" t="s">
        <v>1238</v>
      </c>
      <c r="D545" t="s">
        <v>1043</v>
      </c>
      <c r="E545">
        <v>288</v>
      </c>
      <c r="F545" t="s">
        <v>1615</v>
      </c>
      <c r="G545" t="s">
        <v>1615</v>
      </c>
    </row>
    <row r="546" spans="1:7">
      <c r="A546" t="s">
        <v>1237</v>
      </c>
      <c r="B546" s="283">
        <v>44069</v>
      </c>
      <c r="C546" t="s">
        <v>1239</v>
      </c>
      <c r="D546" t="s">
        <v>1108</v>
      </c>
      <c r="E546">
        <v>72</v>
      </c>
      <c r="F546" t="s">
        <v>1616</v>
      </c>
      <c r="G546" t="s">
        <v>1616</v>
      </c>
    </row>
    <row r="547" spans="1:7">
      <c r="A547" t="s">
        <v>1237</v>
      </c>
      <c r="B547" s="283">
        <v>44069</v>
      </c>
      <c r="C547" t="s">
        <v>1240</v>
      </c>
      <c r="D547" t="s">
        <v>1042</v>
      </c>
      <c r="E547">
        <v>504</v>
      </c>
      <c r="F547" t="s">
        <v>1617</v>
      </c>
      <c r="G547" t="s">
        <v>1617</v>
      </c>
    </row>
    <row r="548" spans="1:7">
      <c r="A548" t="s">
        <v>1233</v>
      </c>
      <c r="B548" s="283">
        <v>44070</v>
      </c>
      <c r="C548" t="s">
        <v>1119</v>
      </c>
      <c r="D548" t="s">
        <v>1042</v>
      </c>
      <c r="E548">
        <v>149</v>
      </c>
      <c r="F548" t="s">
        <v>1324</v>
      </c>
      <c r="G548" t="s">
        <v>1324</v>
      </c>
    </row>
    <row r="549" spans="1:7">
      <c r="A549" t="s">
        <v>1233</v>
      </c>
      <c r="B549" s="283">
        <v>44070</v>
      </c>
      <c r="C549" t="s">
        <v>1217</v>
      </c>
      <c r="D549" t="s">
        <v>1108</v>
      </c>
      <c r="E549">
        <v>53</v>
      </c>
      <c r="F549" t="s">
        <v>1325</v>
      </c>
      <c r="G549" t="s">
        <v>1325</v>
      </c>
    </row>
    <row r="550" spans="1:7">
      <c r="A550" t="s">
        <v>1233</v>
      </c>
      <c r="B550" s="283">
        <v>44070</v>
      </c>
      <c r="C550" t="s">
        <v>1157</v>
      </c>
      <c r="D550" t="s">
        <v>1043</v>
      </c>
      <c r="E550">
        <v>118</v>
      </c>
      <c r="F550" t="s">
        <v>1326</v>
      </c>
      <c r="G550" t="s">
        <v>1326</v>
      </c>
    </row>
    <row r="551" spans="1:7">
      <c r="A551" t="s">
        <v>1234</v>
      </c>
      <c r="B551" s="283">
        <v>44070</v>
      </c>
      <c r="C551" t="s">
        <v>1114</v>
      </c>
      <c r="D551" t="s">
        <v>1109</v>
      </c>
      <c r="E551">
        <v>66</v>
      </c>
      <c r="F551" t="s">
        <v>1412</v>
      </c>
      <c r="G551" t="s">
        <v>1412</v>
      </c>
    </row>
    <row r="552" spans="1:7">
      <c r="A552" t="s">
        <v>1234</v>
      </c>
      <c r="B552" s="283">
        <v>44070</v>
      </c>
      <c r="C552" t="s">
        <v>1151</v>
      </c>
      <c r="D552" t="s">
        <v>1634</v>
      </c>
      <c r="E552">
        <v>80</v>
      </c>
      <c r="F552" t="s">
        <v>1413</v>
      </c>
      <c r="G552" t="s">
        <v>1413</v>
      </c>
    </row>
    <row r="553" spans="1:7">
      <c r="A553" t="s">
        <v>1234</v>
      </c>
      <c r="B553" s="283">
        <v>44070</v>
      </c>
      <c r="C553" t="s">
        <v>1119</v>
      </c>
      <c r="D553" t="s">
        <v>1636</v>
      </c>
      <c r="E553">
        <v>36</v>
      </c>
      <c r="F553" t="s">
        <v>1839</v>
      </c>
      <c r="G553" t="s">
        <v>1839</v>
      </c>
    </row>
    <row r="554" spans="1:7">
      <c r="A554" t="s">
        <v>1234</v>
      </c>
      <c r="B554" s="283">
        <v>44070</v>
      </c>
      <c r="C554" t="s">
        <v>1127</v>
      </c>
      <c r="D554" t="s">
        <v>1043</v>
      </c>
      <c r="E554">
        <v>79</v>
      </c>
      <c r="F554" t="s">
        <v>1840</v>
      </c>
      <c r="G554" t="s">
        <v>1840</v>
      </c>
    </row>
    <row r="555" spans="1:7">
      <c r="A555" t="s">
        <v>1234</v>
      </c>
      <c r="B555" s="283">
        <v>44070</v>
      </c>
      <c r="C555" t="s">
        <v>1133</v>
      </c>
      <c r="D555" t="s">
        <v>1042</v>
      </c>
      <c r="E555">
        <v>14</v>
      </c>
      <c r="F555" t="s">
        <v>1414</v>
      </c>
      <c r="G555" t="s">
        <v>1414</v>
      </c>
    </row>
    <row r="556" spans="1:7">
      <c r="A556" t="s">
        <v>1234</v>
      </c>
      <c r="B556" s="283">
        <v>44070</v>
      </c>
      <c r="C556" t="s">
        <v>1153</v>
      </c>
      <c r="D556" t="s">
        <v>1108</v>
      </c>
      <c r="E556">
        <v>30</v>
      </c>
      <c r="F556" t="s">
        <v>1415</v>
      </c>
      <c r="G556" t="s">
        <v>1415</v>
      </c>
    </row>
    <row r="557" spans="1:7">
      <c r="A557" t="s">
        <v>1234</v>
      </c>
      <c r="B557" s="283">
        <v>44070</v>
      </c>
      <c r="C557" t="s">
        <v>1235</v>
      </c>
      <c r="D557" t="s">
        <v>1635</v>
      </c>
      <c r="E557">
        <v>15</v>
      </c>
      <c r="F557" t="s">
        <v>1416</v>
      </c>
      <c r="G557" t="s">
        <v>1416</v>
      </c>
    </row>
    <row r="558" spans="1:7">
      <c r="A558" t="s">
        <v>1236</v>
      </c>
      <c r="B558" s="283">
        <v>44070</v>
      </c>
      <c r="C558" t="s">
        <v>1121</v>
      </c>
      <c r="D558" t="s">
        <v>1634</v>
      </c>
      <c r="E558">
        <v>44</v>
      </c>
      <c r="F558" t="s">
        <v>1491</v>
      </c>
      <c r="G558" t="s">
        <v>1491</v>
      </c>
    </row>
    <row r="559" spans="1:7">
      <c r="A559" t="s">
        <v>1236</v>
      </c>
      <c r="B559" s="283">
        <v>44070</v>
      </c>
      <c r="C559" t="s">
        <v>1129</v>
      </c>
      <c r="D559" t="s">
        <v>1043</v>
      </c>
      <c r="E559">
        <v>37</v>
      </c>
      <c r="F559" t="s">
        <v>1492</v>
      </c>
      <c r="G559" t="s">
        <v>1492</v>
      </c>
    </row>
    <row r="560" spans="1:7">
      <c r="A560" t="s">
        <v>1236</v>
      </c>
      <c r="B560" s="283">
        <v>44070</v>
      </c>
      <c r="C560" t="s">
        <v>1129</v>
      </c>
      <c r="D560" t="s">
        <v>1635</v>
      </c>
      <c r="E560">
        <v>9</v>
      </c>
      <c r="F560" t="s">
        <v>1492</v>
      </c>
      <c r="G560" t="s">
        <v>1492</v>
      </c>
    </row>
    <row r="561" spans="1:7">
      <c r="A561" t="s">
        <v>1236</v>
      </c>
      <c r="B561" s="283">
        <v>44070</v>
      </c>
      <c r="C561" t="s">
        <v>1180</v>
      </c>
      <c r="D561" t="s">
        <v>1042</v>
      </c>
      <c r="E561">
        <v>63</v>
      </c>
      <c r="F561" t="s">
        <v>1493</v>
      </c>
      <c r="G561" t="s">
        <v>1493</v>
      </c>
    </row>
    <row r="562" spans="1:7">
      <c r="A562" t="s">
        <v>1236</v>
      </c>
      <c r="B562" s="283">
        <v>44070</v>
      </c>
      <c r="C562" t="s">
        <v>1131</v>
      </c>
      <c r="D562" t="s">
        <v>1108</v>
      </c>
      <c r="E562">
        <v>111</v>
      </c>
      <c r="F562" t="s">
        <v>1494</v>
      </c>
      <c r="G562" t="s">
        <v>1494</v>
      </c>
    </row>
    <row r="563" spans="1:7">
      <c r="A563" t="s">
        <v>1236</v>
      </c>
      <c r="B563" s="283">
        <v>44070</v>
      </c>
      <c r="C563" t="s">
        <v>1135</v>
      </c>
      <c r="D563" t="s">
        <v>1109</v>
      </c>
      <c r="E563">
        <v>56</v>
      </c>
      <c r="F563" t="s">
        <v>1495</v>
      </c>
      <c r="G563" t="s">
        <v>1495</v>
      </c>
    </row>
    <row r="564" spans="1:7">
      <c r="A564" t="s">
        <v>1219</v>
      </c>
      <c r="B564" s="283">
        <v>44070</v>
      </c>
      <c r="C564" t="s">
        <v>1074</v>
      </c>
      <c r="D564" t="s">
        <v>1043</v>
      </c>
      <c r="E564">
        <v>127</v>
      </c>
      <c r="F564" t="s">
        <v>1546</v>
      </c>
      <c r="G564" t="s">
        <v>1546</v>
      </c>
    </row>
    <row r="565" spans="1:7">
      <c r="A565" t="s">
        <v>1219</v>
      </c>
      <c r="B565" s="283">
        <v>44070</v>
      </c>
      <c r="C565" t="s">
        <v>1076</v>
      </c>
      <c r="D565" t="s">
        <v>1042</v>
      </c>
      <c r="E565">
        <v>233</v>
      </c>
      <c r="F565" t="s">
        <v>1547</v>
      </c>
      <c r="G565" t="s">
        <v>1547</v>
      </c>
    </row>
    <row r="566" spans="1:7">
      <c r="A566" t="s">
        <v>1228</v>
      </c>
      <c r="B566" s="283">
        <v>44070</v>
      </c>
      <c r="C566" t="s">
        <v>1230</v>
      </c>
      <c r="D566" t="s">
        <v>1043</v>
      </c>
      <c r="E566">
        <v>359</v>
      </c>
      <c r="F566" t="s">
        <v>1573</v>
      </c>
      <c r="G566" t="s">
        <v>1573</v>
      </c>
    </row>
    <row r="567" spans="1:7">
      <c r="A567" t="s">
        <v>1231</v>
      </c>
      <c r="B567" s="283">
        <v>44070</v>
      </c>
      <c r="C567" t="s">
        <v>1232</v>
      </c>
      <c r="D567" t="s">
        <v>1043</v>
      </c>
      <c r="E567">
        <v>16</v>
      </c>
      <c r="F567" t="s">
        <v>1592</v>
      </c>
      <c r="G567" t="s">
        <v>1592</v>
      </c>
    </row>
    <row r="568" spans="1:7">
      <c r="A568" t="s">
        <v>1237</v>
      </c>
      <c r="B568" s="283">
        <v>44070</v>
      </c>
      <c r="C568" t="s">
        <v>1239</v>
      </c>
      <c r="D568" t="s">
        <v>1043</v>
      </c>
      <c r="E568">
        <v>864</v>
      </c>
      <c r="F568" t="s">
        <v>1618</v>
      </c>
      <c r="G568" t="s">
        <v>1618</v>
      </c>
    </row>
    <row r="569" spans="1:7">
      <c r="A569" t="s">
        <v>1233</v>
      </c>
      <c r="B569" s="283">
        <v>44071</v>
      </c>
      <c r="C569" t="s">
        <v>1217</v>
      </c>
      <c r="D569" t="s">
        <v>1043</v>
      </c>
      <c r="E569">
        <v>74</v>
      </c>
      <c r="F569" t="s">
        <v>1327</v>
      </c>
      <c r="G569" t="s">
        <v>1327</v>
      </c>
    </row>
    <row r="570" spans="1:7">
      <c r="A570" t="s">
        <v>1233</v>
      </c>
      <c r="B570" s="283">
        <v>44071</v>
      </c>
      <c r="C570" t="s">
        <v>1217</v>
      </c>
      <c r="D570" t="s">
        <v>1109</v>
      </c>
      <c r="E570">
        <v>53</v>
      </c>
      <c r="F570" t="s">
        <v>1327</v>
      </c>
      <c r="G570" t="s">
        <v>1327</v>
      </c>
    </row>
    <row r="571" spans="1:7">
      <c r="A571" t="s">
        <v>1233</v>
      </c>
      <c r="B571" s="283">
        <v>44071</v>
      </c>
      <c r="C571" t="s">
        <v>1157</v>
      </c>
      <c r="D571" t="s">
        <v>1042</v>
      </c>
      <c r="E571">
        <v>44</v>
      </c>
      <c r="F571" t="s">
        <v>1328</v>
      </c>
      <c r="G571" t="s">
        <v>1328</v>
      </c>
    </row>
    <row r="572" spans="1:7">
      <c r="A572" t="s">
        <v>1233</v>
      </c>
      <c r="B572" s="283">
        <v>44071</v>
      </c>
      <c r="C572" t="s">
        <v>1131</v>
      </c>
      <c r="D572" t="s">
        <v>1108</v>
      </c>
      <c r="E572">
        <v>89</v>
      </c>
      <c r="F572" t="s">
        <v>1329</v>
      </c>
      <c r="G572" t="s">
        <v>1329</v>
      </c>
    </row>
    <row r="573" spans="1:7">
      <c r="A573" t="s">
        <v>1234</v>
      </c>
      <c r="B573" s="283">
        <v>44071</v>
      </c>
      <c r="C573" t="s">
        <v>1149</v>
      </c>
      <c r="D573" t="s">
        <v>1108</v>
      </c>
      <c r="E573">
        <v>35</v>
      </c>
      <c r="F573" t="s">
        <v>1417</v>
      </c>
      <c r="G573" t="s">
        <v>1417</v>
      </c>
    </row>
    <row r="574" spans="1:7">
      <c r="A574" t="s">
        <v>1234</v>
      </c>
      <c r="B574" s="283">
        <v>44071</v>
      </c>
      <c r="C574" t="s">
        <v>1151</v>
      </c>
      <c r="D574" t="s">
        <v>1109</v>
      </c>
      <c r="E574">
        <v>60</v>
      </c>
      <c r="F574" t="s">
        <v>1418</v>
      </c>
      <c r="G574" t="s">
        <v>1418</v>
      </c>
    </row>
    <row r="575" spans="1:7">
      <c r="A575" t="s">
        <v>1234</v>
      </c>
      <c r="B575" s="283">
        <v>44071</v>
      </c>
      <c r="C575" t="s">
        <v>1119</v>
      </c>
      <c r="D575" t="s">
        <v>1043</v>
      </c>
      <c r="E575">
        <v>84</v>
      </c>
      <c r="F575" t="s">
        <v>1841</v>
      </c>
      <c r="G575" t="s">
        <v>1841</v>
      </c>
    </row>
    <row r="576" spans="1:7">
      <c r="A576" t="s">
        <v>1234</v>
      </c>
      <c r="B576" s="283">
        <v>44071</v>
      </c>
      <c r="C576" t="s">
        <v>1119</v>
      </c>
      <c r="D576" t="s">
        <v>1635</v>
      </c>
      <c r="E576">
        <v>15</v>
      </c>
      <c r="F576" t="s">
        <v>1841</v>
      </c>
      <c r="G576" t="s">
        <v>1841</v>
      </c>
    </row>
    <row r="577" spans="1:7">
      <c r="A577" t="s">
        <v>1234</v>
      </c>
      <c r="B577" s="283">
        <v>44071</v>
      </c>
      <c r="C577" t="s">
        <v>1127</v>
      </c>
      <c r="D577" t="s">
        <v>1636</v>
      </c>
      <c r="E577">
        <v>21</v>
      </c>
      <c r="F577" t="s">
        <v>1419</v>
      </c>
      <c r="G577" t="s">
        <v>1419</v>
      </c>
    </row>
    <row r="578" spans="1:7">
      <c r="A578" t="s">
        <v>1234</v>
      </c>
      <c r="B578" s="283">
        <v>44071</v>
      </c>
      <c r="C578" t="s">
        <v>1153</v>
      </c>
      <c r="D578" t="s">
        <v>1042</v>
      </c>
      <c r="E578">
        <v>30</v>
      </c>
      <c r="F578" t="s">
        <v>1420</v>
      </c>
      <c r="G578" t="s">
        <v>1420</v>
      </c>
    </row>
    <row r="579" spans="1:7">
      <c r="A579" t="s">
        <v>1234</v>
      </c>
      <c r="B579" s="283">
        <v>44071</v>
      </c>
      <c r="C579" t="s">
        <v>1235</v>
      </c>
      <c r="D579" t="s">
        <v>1634</v>
      </c>
      <c r="E579">
        <v>15</v>
      </c>
      <c r="F579" t="s">
        <v>1421</v>
      </c>
      <c r="G579" t="s">
        <v>1421</v>
      </c>
    </row>
    <row r="580" spans="1:7">
      <c r="A580" t="s">
        <v>1236</v>
      </c>
      <c r="B580" s="283">
        <v>44071</v>
      </c>
      <c r="C580" t="s">
        <v>1119</v>
      </c>
      <c r="D580" t="s">
        <v>1109</v>
      </c>
      <c r="E580">
        <v>53</v>
      </c>
      <c r="F580" t="s">
        <v>1496</v>
      </c>
      <c r="G580" t="s">
        <v>1496</v>
      </c>
    </row>
    <row r="581" spans="1:7">
      <c r="A581" t="s">
        <v>1236</v>
      </c>
      <c r="B581" s="283">
        <v>44071</v>
      </c>
      <c r="C581" t="s">
        <v>1129</v>
      </c>
      <c r="D581" t="s">
        <v>1043</v>
      </c>
      <c r="E581">
        <v>10</v>
      </c>
      <c r="F581" t="s">
        <v>1497</v>
      </c>
      <c r="G581" t="s">
        <v>1497</v>
      </c>
    </row>
    <row r="582" spans="1:7">
      <c r="A582" t="s">
        <v>1236</v>
      </c>
      <c r="B582" s="283">
        <v>44071</v>
      </c>
      <c r="C582" t="s">
        <v>1131</v>
      </c>
      <c r="D582" t="s">
        <v>1042</v>
      </c>
      <c r="E582">
        <v>171</v>
      </c>
      <c r="F582" t="s">
        <v>1498</v>
      </c>
      <c r="G582" t="s">
        <v>1498</v>
      </c>
    </row>
    <row r="583" spans="1:7">
      <c r="A583" t="s">
        <v>1236</v>
      </c>
      <c r="B583" s="283">
        <v>44071</v>
      </c>
      <c r="C583" t="s">
        <v>1135</v>
      </c>
      <c r="D583" t="s">
        <v>1108</v>
      </c>
      <c r="E583">
        <v>26</v>
      </c>
      <c r="F583" t="s">
        <v>1499</v>
      </c>
      <c r="G583" t="s">
        <v>1499</v>
      </c>
    </row>
    <row r="584" spans="1:7">
      <c r="A584" t="s">
        <v>1219</v>
      </c>
      <c r="B584" s="283">
        <v>44071</v>
      </c>
      <c r="C584" t="s">
        <v>1076</v>
      </c>
      <c r="D584" t="s">
        <v>1043</v>
      </c>
      <c r="E584">
        <v>74</v>
      </c>
      <c r="F584" t="s">
        <v>1548</v>
      </c>
      <c r="G584" t="s">
        <v>1548</v>
      </c>
    </row>
    <row r="585" spans="1:7">
      <c r="A585" t="s">
        <v>1219</v>
      </c>
      <c r="B585" s="283">
        <v>44071</v>
      </c>
      <c r="C585" t="s">
        <v>1078</v>
      </c>
      <c r="D585" t="s">
        <v>1042</v>
      </c>
      <c r="E585">
        <v>259</v>
      </c>
      <c r="F585" t="s">
        <v>1549</v>
      </c>
      <c r="G585" t="s">
        <v>1549</v>
      </c>
    </row>
    <row r="586" spans="1:7">
      <c r="A586" t="s">
        <v>1219</v>
      </c>
      <c r="B586" s="283">
        <v>44071</v>
      </c>
      <c r="C586" t="s">
        <v>1225</v>
      </c>
      <c r="D586" t="s">
        <v>1108</v>
      </c>
      <c r="E586">
        <v>17</v>
      </c>
      <c r="F586" t="s">
        <v>1550</v>
      </c>
      <c r="G586" t="s">
        <v>1550</v>
      </c>
    </row>
    <row r="587" spans="1:7">
      <c r="A587" t="s">
        <v>1219</v>
      </c>
      <c r="B587" s="283">
        <v>44071</v>
      </c>
      <c r="C587" t="s">
        <v>1226</v>
      </c>
      <c r="D587" t="s">
        <v>1109</v>
      </c>
      <c r="E587">
        <v>10</v>
      </c>
      <c r="F587" t="s">
        <v>1551</v>
      </c>
      <c r="G587" t="s">
        <v>1551</v>
      </c>
    </row>
    <row r="588" spans="1:7">
      <c r="A588" t="s">
        <v>1228</v>
      </c>
      <c r="B588" s="283">
        <v>44071</v>
      </c>
      <c r="C588" t="s">
        <v>1230</v>
      </c>
      <c r="D588" t="s">
        <v>1043</v>
      </c>
      <c r="E588">
        <v>354</v>
      </c>
      <c r="F588" t="s">
        <v>1574</v>
      </c>
      <c r="G588" t="s">
        <v>1574</v>
      </c>
    </row>
    <row r="589" spans="1:7">
      <c r="A589" t="s">
        <v>1231</v>
      </c>
      <c r="B589" s="283">
        <v>44071</v>
      </c>
      <c r="C589" t="s">
        <v>1232</v>
      </c>
      <c r="D589" t="s">
        <v>1043</v>
      </c>
      <c r="E589">
        <v>16</v>
      </c>
      <c r="F589" t="s">
        <v>1593</v>
      </c>
      <c r="G589" t="s">
        <v>1593</v>
      </c>
    </row>
    <row r="590" spans="1:7">
      <c r="A590" t="s">
        <v>1237</v>
      </c>
      <c r="B590" s="283">
        <v>44071</v>
      </c>
      <c r="C590" t="s">
        <v>1239</v>
      </c>
      <c r="D590" t="s">
        <v>1043</v>
      </c>
      <c r="E590">
        <v>864</v>
      </c>
      <c r="F590" t="s">
        <v>1619</v>
      </c>
      <c r="G590" t="s">
        <v>1619</v>
      </c>
    </row>
    <row r="591" spans="1:7">
      <c r="A591" t="s">
        <v>1233</v>
      </c>
      <c r="B591" s="283">
        <v>44072</v>
      </c>
      <c r="C591" t="s">
        <v>1217</v>
      </c>
      <c r="D591" t="s">
        <v>1043</v>
      </c>
      <c r="E591">
        <v>117</v>
      </c>
      <c r="F591" t="s">
        <v>1330</v>
      </c>
      <c r="G591" t="s">
        <v>1330</v>
      </c>
    </row>
    <row r="592" spans="1:7">
      <c r="A592" t="s">
        <v>1233</v>
      </c>
      <c r="B592" s="283">
        <v>44072</v>
      </c>
      <c r="C592" t="s">
        <v>1131</v>
      </c>
      <c r="D592" t="s">
        <v>1042</v>
      </c>
      <c r="E592">
        <v>123</v>
      </c>
      <c r="F592" t="s">
        <v>1331</v>
      </c>
      <c r="G592" t="s">
        <v>1331</v>
      </c>
    </row>
    <row r="593" spans="1:7">
      <c r="A593" t="s">
        <v>1234</v>
      </c>
      <c r="B593" s="283">
        <v>44072</v>
      </c>
      <c r="C593" t="s">
        <v>1149</v>
      </c>
      <c r="D593" t="s">
        <v>1109</v>
      </c>
      <c r="E593">
        <v>113</v>
      </c>
      <c r="F593" t="s">
        <v>1422</v>
      </c>
      <c r="G593" t="s">
        <v>1422</v>
      </c>
    </row>
    <row r="594" spans="1:7">
      <c r="A594" t="s">
        <v>1234</v>
      </c>
      <c r="B594" s="283">
        <v>44072</v>
      </c>
      <c r="C594" t="s">
        <v>1127</v>
      </c>
      <c r="D594" t="s">
        <v>1043</v>
      </c>
      <c r="E594">
        <v>42</v>
      </c>
      <c r="F594" t="s">
        <v>1423</v>
      </c>
      <c r="G594" t="s">
        <v>1423</v>
      </c>
    </row>
    <row r="595" spans="1:7">
      <c r="A595" t="s">
        <v>1234</v>
      </c>
      <c r="B595" s="283">
        <v>44072</v>
      </c>
      <c r="C595" t="s">
        <v>1133</v>
      </c>
      <c r="D595" t="s">
        <v>1042</v>
      </c>
      <c r="E595">
        <v>55</v>
      </c>
      <c r="F595" t="s">
        <v>1424</v>
      </c>
      <c r="G595" t="s">
        <v>1424</v>
      </c>
    </row>
    <row r="596" spans="1:7">
      <c r="A596" t="s">
        <v>1234</v>
      </c>
      <c r="B596" s="283">
        <v>44072</v>
      </c>
      <c r="C596" t="s">
        <v>1153</v>
      </c>
      <c r="D596" t="s">
        <v>1108</v>
      </c>
      <c r="E596">
        <v>30</v>
      </c>
      <c r="F596" t="s">
        <v>1425</v>
      </c>
      <c r="G596" t="s">
        <v>1425</v>
      </c>
    </row>
    <row r="597" spans="1:7">
      <c r="A597" t="s">
        <v>1236</v>
      </c>
      <c r="B597" s="283">
        <v>44072</v>
      </c>
      <c r="C597" t="s">
        <v>1119</v>
      </c>
      <c r="D597" t="s">
        <v>1043</v>
      </c>
      <c r="E597">
        <v>29</v>
      </c>
      <c r="F597" t="s">
        <v>1500</v>
      </c>
      <c r="G597" t="s">
        <v>1500</v>
      </c>
    </row>
    <row r="598" spans="1:7">
      <c r="A598" t="s">
        <v>1236</v>
      </c>
      <c r="B598" s="283">
        <v>44072</v>
      </c>
      <c r="C598" t="s">
        <v>1127</v>
      </c>
      <c r="D598" t="s">
        <v>1042</v>
      </c>
      <c r="E598">
        <v>14</v>
      </c>
      <c r="F598" t="s">
        <v>1501</v>
      </c>
      <c r="G598" t="s">
        <v>1501</v>
      </c>
    </row>
    <row r="599" spans="1:7">
      <c r="A599" t="s">
        <v>1236</v>
      </c>
      <c r="B599" s="283">
        <v>44072</v>
      </c>
      <c r="C599" t="s">
        <v>1131</v>
      </c>
      <c r="D599" t="s">
        <v>1108</v>
      </c>
      <c r="E599">
        <v>170</v>
      </c>
      <c r="F599" t="s">
        <v>1502</v>
      </c>
      <c r="G599" t="s">
        <v>1502</v>
      </c>
    </row>
    <row r="600" spans="1:7">
      <c r="A600" t="s">
        <v>1236</v>
      </c>
      <c r="B600" s="283">
        <v>44072</v>
      </c>
      <c r="C600" t="s">
        <v>1135</v>
      </c>
      <c r="D600" t="s">
        <v>1109</v>
      </c>
      <c r="E600">
        <v>27</v>
      </c>
      <c r="F600" t="s">
        <v>1503</v>
      </c>
      <c r="G600" t="s">
        <v>1503</v>
      </c>
    </row>
    <row r="601" spans="1:7">
      <c r="A601" t="s">
        <v>1237</v>
      </c>
      <c r="B601" s="283">
        <v>44072</v>
      </c>
      <c r="C601" t="s">
        <v>1238</v>
      </c>
      <c r="D601" t="s">
        <v>1042</v>
      </c>
      <c r="E601">
        <v>612</v>
      </c>
      <c r="F601" t="s">
        <v>1843</v>
      </c>
      <c r="G601" t="s">
        <v>1843</v>
      </c>
    </row>
    <row r="602" spans="1:7">
      <c r="A602" t="s">
        <v>1237</v>
      </c>
      <c r="B602" s="283">
        <v>44072</v>
      </c>
      <c r="C602" t="s">
        <v>1239</v>
      </c>
      <c r="D602" t="s">
        <v>1043</v>
      </c>
      <c r="E602">
        <v>144</v>
      </c>
      <c r="F602" t="s">
        <v>1844</v>
      </c>
      <c r="G602" t="s">
        <v>1844</v>
      </c>
    </row>
    <row r="603" spans="1:7">
      <c r="A603" t="s">
        <v>8</v>
      </c>
      <c r="B603" t="s">
        <v>8</v>
      </c>
      <c r="C603" t="s">
        <v>8</v>
      </c>
      <c r="D603" t="s">
        <v>8</v>
      </c>
      <c r="E603" t="s">
        <v>8</v>
      </c>
      <c r="F603" t="s">
        <v>27</v>
      </c>
      <c r="G603" t="s">
        <v>27</v>
      </c>
    </row>
    <row r="604" spans="1:7">
      <c r="A604" t="s">
        <v>25</v>
      </c>
      <c r="B604" t="s">
        <v>8</v>
      </c>
      <c r="C604" t="s">
        <v>8</v>
      </c>
      <c r="F604" t="s">
        <v>28</v>
      </c>
      <c r="G604" t="s">
        <v>28</v>
      </c>
    </row>
    <row r="605" spans="1:7">
      <c r="F605"/>
      <c r="G605"/>
    </row>
    <row r="606" spans="1:7">
      <c r="F606"/>
      <c r="G606"/>
    </row>
    <row r="607" spans="1:7">
      <c r="F607"/>
      <c r="G607"/>
    </row>
    <row r="608" spans="1:7">
      <c r="F608"/>
      <c r="G608"/>
    </row>
    <row r="609" spans="6:7">
      <c r="F609"/>
      <c r="G609"/>
    </row>
    <row r="610" spans="6:7">
      <c r="F610"/>
      <c r="G610"/>
    </row>
    <row r="611" spans="6:7">
      <c r="F611"/>
      <c r="G611"/>
    </row>
    <row r="612" spans="6:7">
      <c r="F612"/>
      <c r="G612"/>
    </row>
    <row r="613" spans="6:7">
      <c r="F613"/>
      <c r="G613"/>
    </row>
    <row r="614" spans="6:7">
      <c r="F614"/>
      <c r="G614"/>
    </row>
    <row r="615" spans="6:7">
      <c r="F615"/>
      <c r="G615"/>
    </row>
    <row r="616" spans="6:7">
      <c r="F616"/>
      <c r="G616"/>
    </row>
    <row r="617" spans="6:7">
      <c r="F617"/>
      <c r="G617"/>
    </row>
    <row r="618" spans="6:7">
      <c r="F618"/>
      <c r="G618"/>
    </row>
    <row r="619" spans="6:7">
      <c r="F619"/>
      <c r="G619"/>
    </row>
    <row r="620" spans="6:7">
      <c r="F620"/>
      <c r="G620"/>
    </row>
    <row r="621" spans="6:7">
      <c r="F621"/>
      <c r="G621"/>
    </row>
    <row r="622" spans="6:7">
      <c r="F622"/>
      <c r="G622"/>
    </row>
    <row r="623" spans="6:7">
      <c r="F623"/>
      <c r="G623"/>
    </row>
    <row r="624" spans="6:7">
      <c r="F624"/>
      <c r="G624"/>
    </row>
    <row r="625" spans="6:7">
      <c r="F625"/>
      <c r="G625"/>
    </row>
    <row r="626" spans="6:7">
      <c r="F626"/>
      <c r="G626"/>
    </row>
    <row r="627" spans="6:7">
      <c r="F627"/>
      <c r="G627"/>
    </row>
    <row r="628" spans="6:7">
      <c r="F628"/>
      <c r="G628"/>
    </row>
    <row r="629" spans="6:7">
      <c r="F629"/>
      <c r="G629"/>
    </row>
    <row r="630" spans="6:7">
      <c r="F630"/>
      <c r="G630"/>
    </row>
    <row r="631" spans="6:7">
      <c r="F631"/>
      <c r="G631"/>
    </row>
    <row r="632" spans="6:7">
      <c r="F632"/>
      <c r="G632"/>
    </row>
    <row r="633" spans="6:7">
      <c r="F633"/>
      <c r="G633"/>
    </row>
    <row r="634" spans="6:7">
      <c r="F634"/>
      <c r="G634"/>
    </row>
    <row r="635" spans="6:7">
      <c r="F635"/>
      <c r="G635"/>
    </row>
    <row r="636" spans="6:7">
      <c r="F636"/>
      <c r="G636"/>
    </row>
    <row r="637" spans="6:7">
      <c r="F637"/>
      <c r="G637"/>
    </row>
    <row r="638" spans="6:7">
      <c r="F638"/>
      <c r="G638"/>
    </row>
    <row r="639" spans="6:7">
      <c r="F639"/>
      <c r="G639"/>
    </row>
    <row r="640" spans="6:7">
      <c r="F640"/>
      <c r="G640"/>
    </row>
    <row r="641" spans="6:7">
      <c r="F641"/>
      <c r="G641"/>
    </row>
    <row r="642" spans="6:7">
      <c r="F642"/>
      <c r="G642"/>
    </row>
    <row r="643" spans="6:7">
      <c r="F643"/>
      <c r="G643"/>
    </row>
    <row r="644" spans="6:7">
      <c r="F644"/>
      <c r="G644"/>
    </row>
    <row r="645" spans="6:7">
      <c r="F645"/>
      <c r="G645"/>
    </row>
    <row r="646" spans="6:7">
      <c r="F646"/>
      <c r="G646"/>
    </row>
    <row r="647" spans="6:7">
      <c r="F647"/>
      <c r="G647"/>
    </row>
    <row r="648" spans="6:7">
      <c r="F648"/>
      <c r="G648"/>
    </row>
    <row r="649" spans="6:7">
      <c r="F649"/>
      <c r="G649"/>
    </row>
    <row r="650" spans="6:7">
      <c r="F650"/>
      <c r="G650"/>
    </row>
    <row r="651" spans="6:7">
      <c r="F651"/>
      <c r="G651"/>
    </row>
    <row r="652" spans="6:7">
      <c r="F652"/>
      <c r="G652"/>
    </row>
    <row r="653" spans="6:7">
      <c r="F653"/>
      <c r="G653"/>
    </row>
    <row r="654" spans="6:7">
      <c r="F654"/>
      <c r="G654"/>
    </row>
    <row r="655" spans="6:7">
      <c r="F655"/>
      <c r="G655"/>
    </row>
    <row r="656" spans="6:7">
      <c r="F656"/>
      <c r="G656"/>
    </row>
    <row r="657" spans="6:7">
      <c r="F657"/>
      <c r="G657"/>
    </row>
    <row r="658" spans="6:7">
      <c r="F658"/>
      <c r="G658"/>
    </row>
    <row r="659" spans="6:7">
      <c r="F659"/>
      <c r="G659"/>
    </row>
    <row r="660" spans="6:7">
      <c r="F660"/>
      <c r="G660"/>
    </row>
    <row r="661" spans="6:7">
      <c r="F661"/>
      <c r="G661"/>
    </row>
    <row r="662" spans="6:7">
      <c r="F662"/>
      <c r="G662"/>
    </row>
    <row r="663" spans="6:7">
      <c r="F663"/>
      <c r="G663"/>
    </row>
    <row r="664" spans="6:7">
      <c r="F664"/>
      <c r="G664"/>
    </row>
    <row r="665" spans="6:7">
      <c r="F665"/>
      <c r="G665"/>
    </row>
    <row r="666" spans="6:7">
      <c r="F666"/>
      <c r="G666"/>
    </row>
    <row r="667" spans="6:7">
      <c r="F667"/>
      <c r="G667"/>
    </row>
    <row r="668" spans="6:7">
      <c r="F668"/>
      <c r="G668"/>
    </row>
    <row r="669" spans="6:7">
      <c r="F669"/>
      <c r="G669"/>
    </row>
    <row r="670" spans="6:7">
      <c r="F670"/>
      <c r="G670"/>
    </row>
    <row r="671" spans="6:7">
      <c r="F671"/>
      <c r="G671"/>
    </row>
    <row r="672" spans="6:7">
      <c r="F672"/>
      <c r="G672"/>
    </row>
    <row r="673" spans="6:7">
      <c r="F673"/>
      <c r="G673"/>
    </row>
    <row r="674" spans="6:7">
      <c r="F674"/>
      <c r="G674"/>
    </row>
    <row r="675" spans="6:7">
      <c r="F675"/>
      <c r="G675"/>
    </row>
    <row r="676" spans="6:7">
      <c r="F676"/>
      <c r="G676"/>
    </row>
    <row r="677" spans="6:7">
      <c r="F677"/>
      <c r="G677"/>
    </row>
    <row r="678" spans="6:7">
      <c r="F678"/>
      <c r="G678"/>
    </row>
    <row r="679" spans="6:7">
      <c r="F679"/>
      <c r="G679"/>
    </row>
    <row r="680" spans="6:7">
      <c r="F680"/>
      <c r="G680"/>
    </row>
    <row r="681" spans="6:7">
      <c r="F681"/>
      <c r="G681"/>
    </row>
    <row r="682" spans="6:7">
      <c r="F682"/>
      <c r="G682"/>
    </row>
    <row r="683" spans="6:7">
      <c r="F683"/>
      <c r="G683"/>
    </row>
    <row r="684" spans="6:7">
      <c r="F684"/>
      <c r="G684"/>
    </row>
    <row r="685" spans="6:7">
      <c r="F685"/>
      <c r="G685"/>
    </row>
    <row r="686" spans="6:7">
      <c r="F686"/>
      <c r="G686"/>
    </row>
    <row r="687" spans="6:7">
      <c r="F687"/>
      <c r="G687"/>
    </row>
    <row r="688" spans="6:7">
      <c r="F688"/>
      <c r="G688"/>
    </row>
    <row r="689" spans="6:7">
      <c r="F689"/>
      <c r="G689"/>
    </row>
    <row r="690" spans="6:7">
      <c r="F690"/>
      <c r="G690"/>
    </row>
    <row r="691" spans="6:7">
      <c r="F691"/>
      <c r="G691"/>
    </row>
    <row r="692" spans="6:7">
      <c r="F692"/>
      <c r="G692"/>
    </row>
    <row r="693" spans="6:7">
      <c r="F693"/>
      <c r="G693"/>
    </row>
    <row r="694" spans="6:7">
      <c r="F694"/>
      <c r="G694"/>
    </row>
    <row r="695" spans="6:7">
      <c r="F695"/>
      <c r="G695"/>
    </row>
    <row r="696" spans="6:7">
      <c r="F696"/>
      <c r="G696"/>
    </row>
    <row r="697" spans="6:7">
      <c r="F697"/>
      <c r="G697"/>
    </row>
    <row r="698" spans="6:7">
      <c r="F698"/>
      <c r="G698"/>
    </row>
    <row r="699" spans="6:7">
      <c r="F699"/>
      <c r="G699"/>
    </row>
    <row r="700" spans="6:7">
      <c r="F700"/>
      <c r="G700"/>
    </row>
    <row r="701" spans="6:7">
      <c r="F701"/>
      <c r="G701"/>
    </row>
    <row r="702" spans="6:7">
      <c r="F702"/>
      <c r="G702"/>
    </row>
    <row r="703" spans="6:7">
      <c r="F703"/>
      <c r="G703"/>
    </row>
    <row r="704" spans="6:7">
      <c r="F704"/>
      <c r="G704"/>
    </row>
    <row r="705" spans="6:7">
      <c r="F705"/>
      <c r="G705"/>
    </row>
    <row r="706" spans="6:7">
      <c r="F706"/>
      <c r="G706"/>
    </row>
    <row r="707" spans="6:7">
      <c r="F707"/>
      <c r="G707"/>
    </row>
    <row r="708" spans="6:7">
      <c r="F708"/>
      <c r="G708"/>
    </row>
    <row r="709" spans="6:7">
      <c r="F709"/>
      <c r="G709"/>
    </row>
    <row r="710" spans="6:7">
      <c r="F710"/>
      <c r="G710"/>
    </row>
    <row r="711" spans="6:7">
      <c r="F711"/>
      <c r="G711"/>
    </row>
    <row r="712" spans="6:7">
      <c r="F712"/>
      <c r="G712"/>
    </row>
    <row r="713" spans="6:7">
      <c r="F713"/>
      <c r="G713"/>
    </row>
    <row r="714" spans="6:7">
      <c r="F714"/>
      <c r="G714"/>
    </row>
    <row r="715" spans="6:7">
      <c r="F715"/>
      <c r="G715"/>
    </row>
    <row r="716" spans="6:7">
      <c r="F716"/>
      <c r="G716"/>
    </row>
    <row r="717" spans="6:7">
      <c r="F717"/>
      <c r="G717"/>
    </row>
    <row r="718" spans="6:7">
      <c r="F718"/>
      <c r="G718"/>
    </row>
    <row r="719" spans="6:7">
      <c r="F719"/>
      <c r="G719"/>
    </row>
    <row r="720" spans="6:7">
      <c r="F720"/>
      <c r="G720"/>
    </row>
    <row r="721" spans="6:7">
      <c r="F721"/>
      <c r="G721"/>
    </row>
    <row r="722" spans="6:7">
      <c r="F722"/>
      <c r="G722"/>
    </row>
    <row r="723" spans="6:7">
      <c r="F723"/>
      <c r="G723"/>
    </row>
    <row r="724" spans="6:7">
      <c r="F724"/>
      <c r="G724"/>
    </row>
    <row r="725" spans="6:7">
      <c r="F725"/>
      <c r="G725"/>
    </row>
    <row r="726" spans="6:7">
      <c r="F726"/>
      <c r="G726"/>
    </row>
    <row r="727" spans="6:7">
      <c r="F727"/>
      <c r="G727"/>
    </row>
    <row r="728" spans="6:7">
      <c r="F728"/>
      <c r="G728"/>
    </row>
    <row r="729" spans="6:7">
      <c r="F729"/>
      <c r="G729"/>
    </row>
    <row r="730" spans="6:7">
      <c r="F730"/>
      <c r="G730"/>
    </row>
    <row r="731" spans="6:7">
      <c r="F731"/>
      <c r="G731"/>
    </row>
    <row r="732" spans="6:7">
      <c r="F732"/>
      <c r="G732"/>
    </row>
    <row r="733" spans="6:7">
      <c r="F733"/>
      <c r="G733"/>
    </row>
    <row r="734" spans="6:7">
      <c r="F734"/>
      <c r="G734"/>
    </row>
    <row r="735" spans="6:7">
      <c r="F735"/>
      <c r="G735"/>
    </row>
    <row r="736" spans="6:7">
      <c r="F736"/>
      <c r="G736"/>
    </row>
    <row r="737" spans="6:7">
      <c r="F737"/>
      <c r="G737"/>
    </row>
    <row r="738" spans="6:7">
      <c r="F738"/>
      <c r="G738"/>
    </row>
    <row r="739" spans="6:7">
      <c r="F739"/>
      <c r="G739"/>
    </row>
    <row r="740" spans="6:7">
      <c r="F740"/>
      <c r="G740"/>
    </row>
    <row r="741" spans="6:7">
      <c r="F741"/>
      <c r="G741"/>
    </row>
    <row r="742" spans="6:7">
      <c r="F742"/>
      <c r="G742"/>
    </row>
    <row r="743" spans="6:7">
      <c r="F743"/>
      <c r="G743"/>
    </row>
    <row r="744" spans="6:7">
      <c r="F744"/>
      <c r="G744"/>
    </row>
    <row r="745" spans="6:7">
      <c r="F745"/>
      <c r="G745"/>
    </row>
    <row r="746" spans="6:7">
      <c r="F746"/>
      <c r="G746"/>
    </row>
    <row r="747" spans="6:7">
      <c r="F747"/>
      <c r="G747"/>
    </row>
    <row r="748" spans="6:7">
      <c r="F748"/>
      <c r="G748"/>
    </row>
    <row r="749" spans="6:7">
      <c r="F749"/>
      <c r="G749"/>
    </row>
    <row r="750" spans="6:7">
      <c r="F750"/>
      <c r="G750"/>
    </row>
    <row r="751" spans="6:7">
      <c r="F751"/>
      <c r="G751"/>
    </row>
    <row r="752" spans="6:7">
      <c r="F752"/>
      <c r="G752"/>
    </row>
    <row r="753" spans="6:7">
      <c r="F753"/>
      <c r="G753"/>
    </row>
    <row r="754" spans="6:7">
      <c r="F754"/>
      <c r="G754"/>
    </row>
    <row r="755" spans="6:7">
      <c r="F755"/>
      <c r="G755"/>
    </row>
    <row r="756" spans="6:7">
      <c r="F756"/>
      <c r="G756"/>
    </row>
    <row r="757" spans="6:7">
      <c r="F757"/>
      <c r="G757"/>
    </row>
    <row r="758" spans="6:7">
      <c r="F758"/>
      <c r="G758"/>
    </row>
    <row r="759" spans="6:7">
      <c r="F759"/>
      <c r="G759"/>
    </row>
    <row r="760" spans="6:7">
      <c r="F760"/>
      <c r="G760"/>
    </row>
    <row r="761" spans="6:7">
      <c r="F761"/>
      <c r="G761"/>
    </row>
    <row r="762" spans="6:7">
      <c r="F762"/>
      <c r="G762"/>
    </row>
    <row r="763" spans="6:7">
      <c r="F763"/>
      <c r="G763"/>
    </row>
    <row r="764" spans="6:7">
      <c r="F764"/>
      <c r="G764"/>
    </row>
    <row r="765" spans="6:7">
      <c r="F765"/>
      <c r="G765"/>
    </row>
    <row r="766" spans="6:7">
      <c r="F766"/>
      <c r="G766"/>
    </row>
    <row r="767" spans="6:7">
      <c r="F767"/>
      <c r="G767"/>
    </row>
    <row r="768" spans="6:7">
      <c r="F768"/>
      <c r="G768"/>
    </row>
    <row r="769" spans="6:7">
      <c r="F769"/>
      <c r="G769"/>
    </row>
    <row r="770" spans="6:7">
      <c r="F770"/>
      <c r="G770"/>
    </row>
    <row r="771" spans="6:7">
      <c r="F771"/>
      <c r="G771"/>
    </row>
    <row r="772" spans="6:7">
      <c r="F772"/>
      <c r="G772"/>
    </row>
    <row r="773" spans="6:7">
      <c r="F773"/>
      <c r="G773"/>
    </row>
    <row r="774" spans="6:7">
      <c r="F774"/>
      <c r="G774"/>
    </row>
    <row r="775" spans="6:7">
      <c r="F775"/>
      <c r="G775"/>
    </row>
    <row r="776" spans="6:7">
      <c r="F776"/>
      <c r="G776"/>
    </row>
    <row r="777" spans="6:7">
      <c r="F777"/>
      <c r="G777"/>
    </row>
    <row r="778" spans="6:7">
      <c r="F778"/>
      <c r="G778"/>
    </row>
    <row r="779" spans="6:7">
      <c r="F779"/>
      <c r="G779"/>
    </row>
    <row r="780" spans="6:7">
      <c r="F780"/>
      <c r="G780"/>
    </row>
    <row r="781" spans="6:7">
      <c r="F781"/>
      <c r="G781"/>
    </row>
    <row r="782" spans="6:7">
      <c r="F782"/>
      <c r="G782"/>
    </row>
    <row r="783" spans="6:7">
      <c r="F783"/>
      <c r="G783"/>
    </row>
    <row r="784" spans="6:7">
      <c r="F784"/>
      <c r="G784"/>
    </row>
    <row r="785" spans="6:7">
      <c r="F785"/>
      <c r="G785"/>
    </row>
    <row r="786" spans="6:7">
      <c r="F786"/>
      <c r="G786"/>
    </row>
    <row r="787" spans="6:7">
      <c r="F787"/>
      <c r="G787"/>
    </row>
    <row r="788" spans="6:7">
      <c r="F788"/>
      <c r="G788"/>
    </row>
    <row r="789" spans="6:7">
      <c r="F789"/>
      <c r="G789"/>
    </row>
    <row r="790" spans="6:7">
      <c r="F790"/>
      <c r="G790"/>
    </row>
    <row r="791" spans="6:7">
      <c r="F791"/>
      <c r="G791"/>
    </row>
    <row r="792" spans="6:7">
      <c r="F792"/>
      <c r="G792"/>
    </row>
    <row r="793" spans="6:7">
      <c r="F793"/>
      <c r="G793"/>
    </row>
    <row r="794" spans="6:7">
      <c r="F794"/>
      <c r="G794"/>
    </row>
    <row r="795" spans="6:7">
      <c r="F795"/>
      <c r="G795"/>
    </row>
    <row r="796" spans="6:7">
      <c r="F796"/>
      <c r="G796"/>
    </row>
    <row r="797" spans="6:7">
      <c r="F797"/>
      <c r="G797"/>
    </row>
    <row r="798" spans="6:7">
      <c r="F798"/>
      <c r="G798"/>
    </row>
    <row r="799" spans="6:7">
      <c r="F799"/>
      <c r="G799"/>
    </row>
    <row r="800" spans="6:7">
      <c r="F800"/>
      <c r="G800"/>
    </row>
    <row r="801" spans="6:7">
      <c r="F801"/>
      <c r="G801"/>
    </row>
    <row r="802" spans="6:7">
      <c r="F802"/>
      <c r="G802"/>
    </row>
    <row r="803" spans="6:7">
      <c r="F803"/>
      <c r="G803"/>
    </row>
    <row r="804" spans="6:7">
      <c r="F804"/>
      <c r="G804"/>
    </row>
    <row r="805" spans="6:7">
      <c r="F805"/>
      <c r="G805"/>
    </row>
    <row r="806" spans="6:7">
      <c r="F806"/>
      <c r="G806"/>
    </row>
    <row r="807" spans="6:7">
      <c r="F807"/>
      <c r="G807"/>
    </row>
    <row r="808" spans="6:7">
      <c r="F808"/>
      <c r="G808"/>
    </row>
    <row r="809" spans="6:7">
      <c r="F809"/>
      <c r="G809"/>
    </row>
    <row r="810" spans="6:7">
      <c r="F810"/>
      <c r="G810"/>
    </row>
    <row r="811" spans="6:7">
      <c r="F811"/>
      <c r="G811"/>
    </row>
    <row r="812" spans="6:7">
      <c r="F812"/>
      <c r="G812"/>
    </row>
    <row r="813" spans="6:7">
      <c r="F813"/>
      <c r="G813"/>
    </row>
    <row r="814" spans="6:7">
      <c r="F814"/>
      <c r="G814"/>
    </row>
    <row r="815" spans="6:7">
      <c r="F815"/>
      <c r="G815"/>
    </row>
    <row r="816" spans="6:7">
      <c r="F816"/>
      <c r="G816"/>
    </row>
    <row r="817" spans="6:7">
      <c r="F817"/>
      <c r="G817"/>
    </row>
    <row r="818" spans="6:7">
      <c r="F818"/>
      <c r="G818"/>
    </row>
    <row r="819" spans="6:7">
      <c r="F819"/>
      <c r="G819"/>
    </row>
    <row r="820" spans="6:7">
      <c r="F820"/>
      <c r="G820"/>
    </row>
    <row r="821" spans="6:7">
      <c r="F821"/>
      <c r="G821"/>
    </row>
    <row r="822" spans="6:7">
      <c r="F822"/>
      <c r="G822"/>
    </row>
    <row r="823" spans="6:7">
      <c r="F823"/>
      <c r="G823"/>
    </row>
    <row r="824" spans="6:7">
      <c r="F824"/>
      <c r="G824"/>
    </row>
    <row r="825" spans="6:7">
      <c r="F825"/>
      <c r="G825"/>
    </row>
    <row r="826" spans="6:7">
      <c r="F826"/>
      <c r="G826"/>
    </row>
    <row r="827" spans="6:7">
      <c r="F827"/>
      <c r="G827"/>
    </row>
    <row r="828" spans="6:7">
      <c r="F828"/>
      <c r="G828"/>
    </row>
    <row r="829" spans="6:7">
      <c r="F829"/>
      <c r="G829"/>
    </row>
    <row r="830" spans="6:7">
      <c r="F830"/>
      <c r="G830"/>
    </row>
    <row r="831" spans="6:7">
      <c r="F831"/>
      <c r="G831"/>
    </row>
    <row r="832" spans="6:7">
      <c r="F832"/>
      <c r="G832"/>
    </row>
    <row r="833" spans="6:7">
      <c r="F833"/>
      <c r="G833"/>
    </row>
    <row r="834" spans="6:7">
      <c r="F834"/>
      <c r="G834"/>
    </row>
    <row r="835" spans="6:7">
      <c r="F835"/>
      <c r="G835"/>
    </row>
    <row r="836" spans="6:7">
      <c r="F836"/>
      <c r="G836"/>
    </row>
    <row r="837" spans="6:7">
      <c r="F837"/>
      <c r="G837"/>
    </row>
    <row r="838" spans="6:7">
      <c r="F838"/>
      <c r="G838"/>
    </row>
    <row r="839" spans="6:7">
      <c r="F839"/>
      <c r="G839"/>
    </row>
    <row r="840" spans="6:7">
      <c r="F840"/>
      <c r="G840"/>
    </row>
    <row r="841" spans="6:7">
      <c r="F841"/>
      <c r="G841"/>
    </row>
    <row r="842" spans="6:7">
      <c r="F842"/>
      <c r="G842"/>
    </row>
    <row r="843" spans="6:7">
      <c r="F843"/>
      <c r="G843"/>
    </row>
    <row r="844" spans="6:7">
      <c r="F844"/>
      <c r="G844"/>
    </row>
    <row r="845" spans="6:7">
      <c r="F845"/>
      <c r="G845"/>
    </row>
    <row r="846" spans="6:7">
      <c r="F846"/>
      <c r="G846"/>
    </row>
    <row r="847" spans="6:7">
      <c r="F847"/>
      <c r="G847"/>
    </row>
    <row r="848" spans="6:7">
      <c r="F848"/>
      <c r="G848"/>
    </row>
    <row r="849" spans="6:7">
      <c r="F849"/>
      <c r="G849"/>
    </row>
    <row r="850" spans="6:7">
      <c r="F850"/>
      <c r="G850"/>
    </row>
    <row r="851" spans="6:7">
      <c r="F851"/>
      <c r="G851"/>
    </row>
    <row r="852" spans="6:7">
      <c r="F852"/>
      <c r="G852"/>
    </row>
    <row r="853" spans="6:7">
      <c r="F853"/>
      <c r="G853"/>
    </row>
    <row r="854" spans="6:7">
      <c r="F854"/>
      <c r="G854"/>
    </row>
    <row r="855" spans="6:7">
      <c r="F855"/>
      <c r="G855"/>
    </row>
    <row r="856" spans="6:7">
      <c r="F856"/>
      <c r="G856"/>
    </row>
    <row r="857" spans="6:7">
      <c r="F857"/>
      <c r="G857"/>
    </row>
    <row r="858" spans="6:7">
      <c r="F858"/>
      <c r="G858"/>
    </row>
    <row r="859" spans="6:7">
      <c r="F859"/>
      <c r="G859"/>
    </row>
    <row r="860" spans="6:7">
      <c r="F860"/>
      <c r="G860"/>
    </row>
    <row r="861" spans="6:7">
      <c r="F861"/>
      <c r="G861"/>
    </row>
    <row r="862" spans="6:7">
      <c r="F862"/>
      <c r="G862"/>
    </row>
    <row r="863" spans="6:7">
      <c r="F863"/>
      <c r="G863"/>
    </row>
    <row r="864" spans="6:7">
      <c r="F864"/>
      <c r="G864"/>
    </row>
    <row r="865" spans="6:7">
      <c r="F865"/>
      <c r="G865"/>
    </row>
    <row r="866" spans="6:7">
      <c r="F866"/>
      <c r="G866"/>
    </row>
    <row r="867" spans="6:7">
      <c r="F867"/>
      <c r="G867"/>
    </row>
    <row r="868" spans="6:7">
      <c r="F868"/>
      <c r="G868"/>
    </row>
    <row r="869" spans="6:7">
      <c r="F869"/>
      <c r="G869"/>
    </row>
    <row r="870" spans="6:7">
      <c r="F870"/>
      <c r="G870"/>
    </row>
    <row r="871" spans="6:7">
      <c r="F871"/>
      <c r="G871"/>
    </row>
    <row r="872" spans="6:7">
      <c r="F872"/>
      <c r="G872"/>
    </row>
    <row r="873" spans="6:7">
      <c r="F873"/>
      <c r="G873"/>
    </row>
    <row r="874" spans="6:7">
      <c r="F874"/>
      <c r="G874"/>
    </row>
    <row r="875" spans="6:7">
      <c r="F875"/>
      <c r="G875"/>
    </row>
    <row r="876" spans="6:7">
      <c r="F876"/>
      <c r="G876"/>
    </row>
    <row r="877" spans="6:7">
      <c r="F877"/>
      <c r="G877"/>
    </row>
    <row r="878" spans="6:7">
      <c r="F878"/>
      <c r="G878"/>
    </row>
    <row r="879" spans="6:7">
      <c r="F879"/>
      <c r="G879"/>
    </row>
    <row r="880" spans="6:7">
      <c r="F880"/>
      <c r="G880"/>
    </row>
    <row r="881" spans="6:7">
      <c r="F881"/>
      <c r="G881"/>
    </row>
    <row r="882" spans="6:7">
      <c r="F882"/>
      <c r="G882"/>
    </row>
    <row r="883" spans="6:7">
      <c r="F883"/>
      <c r="G883"/>
    </row>
    <row r="884" spans="6:7">
      <c r="F884"/>
      <c r="G884"/>
    </row>
    <row r="885" spans="6:7">
      <c r="F885"/>
      <c r="G885"/>
    </row>
    <row r="886" spans="6:7">
      <c r="F886"/>
      <c r="G886"/>
    </row>
    <row r="887" spans="6:7">
      <c r="F887"/>
      <c r="G887"/>
    </row>
    <row r="888" spans="6:7">
      <c r="F888"/>
      <c r="G888"/>
    </row>
    <row r="889" spans="6:7">
      <c r="F889"/>
      <c r="G889"/>
    </row>
    <row r="890" spans="6:7">
      <c r="F890"/>
      <c r="G890"/>
    </row>
    <row r="891" spans="6:7">
      <c r="F891"/>
      <c r="G891"/>
    </row>
    <row r="892" spans="6:7">
      <c r="F892"/>
      <c r="G892"/>
    </row>
    <row r="893" spans="6:7">
      <c r="F893"/>
      <c r="G893"/>
    </row>
    <row r="894" spans="6:7">
      <c r="F894"/>
      <c r="G894"/>
    </row>
    <row r="895" spans="6:7">
      <c r="F895"/>
      <c r="G895"/>
    </row>
    <row r="896" spans="6:7">
      <c r="F896"/>
      <c r="G896"/>
    </row>
    <row r="897" spans="6:7">
      <c r="F897"/>
      <c r="G897"/>
    </row>
    <row r="898" spans="6:7">
      <c r="F898"/>
      <c r="G898"/>
    </row>
    <row r="899" spans="6:7">
      <c r="F899"/>
      <c r="G899"/>
    </row>
    <row r="900" spans="6:7">
      <c r="F900"/>
      <c r="G900"/>
    </row>
    <row r="901" spans="6:7">
      <c r="F901"/>
      <c r="G901"/>
    </row>
    <row r="902" spans="6:7">
      <c r="F902"/>
      <c r="G902"/>
    </row>
    <row r="903" spans="6:7">
      <c r="F903"/>
      <c r="G903"/>
    </row>
    <row r="904" spans="6:7">
      <c r="F904"/>
      <c r="G904"/>
    </row>
    <row r="905" spans="6:7">
      <c r="F905"/>
      <c r="G905"/>
    </row>
    <row r="906" spans="6:7">
      <c r="F906"/>
      <c r="G906"/>
    </row>
    <row r="907" spans="6:7">
      <c r="F907"/>
      <c r="G907"/>
    </row>
    <row r="908" spans="6:7">
      <c r="F908"/>
      <c r="G908"/>
    </row>
    <row r="909" spans="6:7">
      <c r="F909"/>
      <c r="G909"/>
    </row>
    <row r="910" spans="6:7">
      <c r="F910"/>
      <c r="G910"/>
    </row>
    <row r="911" spans="6:7">
      <c r="F911"/>
      <c r="G911"/>
    </row>
    <row r="912" spans="6:7">
      <c r="F912"/>
      <c r="G912"/>
    </row>
    <row r="913" spans="6:7">
      <c r="F913"/>
      <c r="G913"/>
    </row>
    <row r="914" spans="6:7">
      <c r="F914"/>
      <c r="G914"/>
    </row>
    <row r="915" spans="6:7">
      <c r="F915"/>
      <c r="G915"/>
    </row>
    <row r="916" spans="6:7">
      <c r="F916"/>
      <c r="G916"/>
    </row>
    <row r="917" spans="6:7">
      <c r="F917"/>
      <c r="G917"/>
    </row>
    <row r="918" spans="6:7">
      <c r="F918"/>
      <c r="G918"/>
    </row>
    <row r="919" spans="6:7">
      <c r="F919"/>
      <c r="G919"/>
    </row>
    <row r="920" spans="6:7">
      <c r="F920"/>
      <c r="G920"/>
    </row>
    <row r="921" spans="6:7">
      <c r="F921"/>
      <c r="G921"/>
    </row>
    <row r="922" spans="6:7">
      <c r="F922"/>
      <c r="G922"/>
    </row>
    <row r="923" spans="6:7">
      <c r="F923"/>
      <c r="G923"/>
    </row>
    <row r="924" spans="6:7">
      <c r="F924"/>
      <c r="G924"/>
    </row>
    <row r="925" spans="6:7">
      <c r="F925"/>
      <c r="G925"/>
    </row>
    <row r="926" spans="6:7">
      <c r="F926"/>
      <c r="G926"/>
    </row>
    <row r="927" spans="6:7">
      <c r="F927"/>
      <c r="G927"/>
    </row>
    <row r="928" spans="6:7">
      <c r="F928"/>
      <c r="G928"/>
    </row>
    <row r="929" spans="6:7">
      <c r="F929"/>
      <c r="G929"/>
    </row>
    <row r="930" spans="6:7">
      <c r="F930"/>
      <c r="G930"/>
    </row>
    <row r="931" spans="6:7">
      <c r="F931"/>
      <c r="G931"/>
    </row>
    <row r="932" spans="6:7">
      <c r="F932"/>
      <c r="G932"/>
    </row>
    <row r="933" spans="6:7">
      <c r="F933"/>
      <c r="G933"/>
    </row>
    <row r="934" spans="6:7">
      <c r="F934"/>
      <c r="G934"/>
    </row>
    <row r="935" spans="6:7">
      <c r="F935"/>
      <c r="G935"/>
    </row>
    <row r="936" spans="6:7">
      <c r="F936"/>
      <c r="G936"/>
    </row>
    <row r="937" spans="6:7">
      <c r="F937"/>
      <c r="G937"/>
    </row>
    <row r="938" spans="6:7">
      <c r="F938"/>
      <c r="G938"/>
    </row>
    <row r="939" spans="6:7">
      <c r="F939"/>
      <c r="G939"/>
    </row>
    <row r="940" spans="6:7">
      <c r="F940"/>
      <c r="G940"/>
    </row>
    <row r="941" spans="6:7">
      <c r="F941"/>
      <c r="G941"/>
    </row>
    <row r="942" spans="6:7">
      <c r="F942"/>
      <c r="G942"/>
    </row>
    <row r="943" spans="6:7">
      <c r="F943"/>
      <c r="G943"/>
    </row>
    <row r="944" spans="6:7">
      <c r="F944"/>
      <c r="G944"/>
    </row>
    <row r="945" spans="6:7">
      <c r="F945"/>
      <c r="G945"/>
    </row>
    <row r="946" spans="6:7">
      <c r="F946"/>
      <c r="G946"/>
    </row>
    <row r="947" spans="6:7">
      <c r="F947"/>
      <c r="G947"/>
    </row>
    <row r="948" spans="6:7">
      <c r="F948"/>
      <c r="G948"/>
    </row>
    <row r="949" spans="6:7">
      <c r="F949"/>
      <c r="G949"/>
    </row>
    <row r="950" spans="6:7">
      <c r="F950"/>
      <c r="G950"/>
    </row>
    <row r="951" spans="6:7">
      <c r="F951"/>
      <c r="G951"/>
    </row>
    <row r="952" spans="6:7">
      <c r="F952"/>
      <c r="G952"/>
    </row>
    <row r="953" spans="6:7">
      <c r="F953"/>
      <c r="G953"/>
    </row>
    <row r="954" spans="6:7">
      <c r="F954"/>
      <c r="G954"/>
    </row>
    <row r="955" spans="6:7">
      <c r="F955"/>
      <c r="G955"/>
    </row>
    <row r="956" spans="6:7">
      <c r="F956"/>
      <c r="G956"/>
    </row>
    <row r="957" spans="6:7">
      <c r="F957"/>
      <c r="G957"/>
    </row>
    <row r="958" spans="6:7">
      <c r="F958"/>
      <c r="G958"/>
    </row>
    <row r="959" spans="6:7">
      <c r="F959"/>
      <c r="G959"/>
    </row>
    <row r="960" spans="6:7">
      <c r="F960"/>
      <c r="G960"/>
    </row>
    <row r="961" spans="6:7">
      <c r="F961"/>
      <c r="G961"/>
    </row>
    <row r="962" spans="6:7">
      <c r="F962"/>
      <c r="G962"/>
    </row>
    <row r="963" spans="6:7">
      <c r="F963"/>
      <c r="G963"/>
    </row>
    <row r="964" spans="6:7">
      <c r="F964"/>
      <c r="G964"/>
    </row>
    <row r="965" spans="6:7">
      <c r="F965"/>
      <c r="G965"/>
    </row>
    <row r="966" spans="6:7">
      <c r="F966"/>
      <c r="G966"/>
    </row>
    <row r="967" spans="6:7">
      <c r="F967"/>
      <c r="G967"/>
    </row>
    <row r="968" spans="6:7">
      <c r="F968"/>
      <c r="G968"/>
    </row>
    <row r="969" spans="6:7">
      <c r="F969"/>
      <c r="G969"/>
    </row>
    <row r="970" spans="6:7">
      <c r="F970"/>
      <c r="G970"/>
    </row>
    <row r="971" spans="6:7">
      <c r="F971"/>
      <c r="G971"/>
    </row>
    <row r="972" spans="6:7">
      <c r="F972"/>
      <c r="G972"/>
    </row>
    <row r="973" spans="6:7">
      <c r="F973"/>
      <c r="G973"/>
    </row>
    <row r="974" spans="6:7">
      <c r="F974"/>
      <c r="G974"/>
    </row>
    <row r="975" spans="6:7">
      <c r="F975"/>
      <c r="G975"/>
    </row>
    <row r="976" spans="6:7">
      <c r="F976"/>
      <c r="G976"/>
    </row>
    <row r="977" spans="6:7">
      <c r="F977"/>
      <c r="G977"/>
    </row>
    <row r="978" spans="6:7">
      <c r="F978"/>
      <c r="G978"/>
    </row>
    <row r="979" spans="6:7">
      <c r="F979"/>
      <c r="G979"/>
    </row>
    <row r="980" spans="6:7">
      <c r="F980"/>
      <c r="G980"/>
    </row>
    <row r="981" spans="6:7">
      <c r="F981"/>
      <c r="G981"/>
    </row>
    <row r="982" spans="6:7">
      <c r="F982"/>
      <c r="G982"/>
    </row>
    <row r="983" spans="6:7">
      <c r="F983"/>
      <c r="G983"/>
    </row>
    <row r="984" spans="6:7">
      <c r="F984"/>
      <c r="G984"/>
    </row>
    <row r="985" spans="6:7">
      <c r="F985"/>
      <c r="G985"/>
    </row>
    <row r="986" spans="6:7">
      <c r="F986"/>
      <c r="G986"/>
    </row>
    <row r="987" spans="6:7">
      <c r="F987"/>
      <c r="G987"/>
    </row>
    <row r="988" spans="6:7">
      <c r="F988"/>
      <c r="G988"/>
    </row>
    <row r="989" spans="6:7">
      <c r="F989"/>
      <c r="G989"/>
    </row>
    <row r="990" spans="6:7">
      <c r="F990"/>
      <c r="G990"/>
    </row>
    <row r="991" spans="6:7">
      <c r="F991"/>
      <c r="G991"/>
    </row>
    <row r="992" spans="6:7">
      <c r="F992"/>
      <c r="G992"/>
    </row>
    <row r="993" spans="6:7">
      <c r="F993"/>
      <c r="G993"/>
    </row>
    <row r="994" spans="6:7">
      <c r="F994"/>
      <c r="G994"/>
    </row>
    <row r="995" spans="6:7">
      <c r="F995"/>
      <c r="G995"/>
    </row>
    <row r="996" spans="6:7">
      <c r="F996"/>
      <c r="G996"/>
    </row>
    <row r="997" spans="6:7">
      <c r="F997"/>
      <c r="G997"/>
    </row>
    <row r="998" spans="6:7">
      <c r="F998"/>
      <c r="G998"/>
    </row>
    <row r="999" spans="6:7">
      <c r="F999"/>
      <c r="G999"/>
    </row>
    <row r="1000" spans="6:7">
      <c r="F1000"/>
      <c r="G1000"/>
    </row>
    <row r="1001" spans="6:7">
      <c r="F1001"/>
      <c r="G1001"/>
    </row>
    <row r="1002" spans="6:7">
      <c r="F1002"/>
      <c r="G1002"/>
    </row>
    <row r="1003" spans="6:7">
      <c r="F1003"/>
      <c r="G1003"/>
    </row>
    <row r="1004" spans="6:7">
      <c r="F1004"/>
      <c r="G1004"/>
    </row>
    <row r="1005" spans="6:7">
      <c r="F1005"/>
      <c r="G1005"/>
    </row>
    <row r="1006" spans="6:7">
      <c r="F1006"/>
      <c r="G1006"/>
    </row>
    <row r="1007" spans="6:7">
      <c r="F1007"/>
      <c r="G1007"/>
    </row>
    <row r="1008" spans="6:7">
      <c r="F1008"/>
      <c r="G1008"/>
    </row>
    <row r="1009" spans="6:7">
      <c r="F1009"/>
      <c r="G1009"/>
    </row>
    <row r="1010" spans="6:7">
      <c r="F1010"/>
      <c r="G1010"/>
    </row>
    <row r="1011" spans="6:7">
      <c r="F1011"/>
      <c r="G1011"/>
    </row>
    <row r="1012" spans="6:7">
      <c r="F1012"/>
      <c r="G1012"/>
    </row>
    <row r="1013" spans="6:7">
      <c r="F1013"/>
      <c r="G1013"/>
    </row>
    <row r="1014" spans="6:7">
      <c r="F1014"/>
      <c r="G1014"/>
    </row>
    <row r="1015" spans="6:7">
      <c r="F1015"/>
      <c r="G1015"/>
    </row>
    <row r="1016" spans="6:7">
      <c r="F1016"/>
      <c r="G1016"/>
    </row>
    <row r="1017" spans="6:7">
      <c r="F1017"/>
      <c r="G1017"/>
    </row>
    <row r="1018" spans="6:7">
      <c r="F1018"/>
      <c r="G1018"/>
    </row>
    <row r="1019" spans="6:7">
      <c r="F1019"/>
      <c r="G1019"/>
    </row>
    <row r="1020" spans="6:7">
      <c r="F1020"/>
      <c r="G1020"/>
    </row>
    <row r="1021" spans="6:7">
      <c r="F1021"/>
      <c r="G1021"/>
    </row>
    <row r="1022" spans="6:7">
      <c r="F1022"/>
      <c r="G1022"/>
    </row>
    <row r="1023" spans="6:7">
      <c r="F1023"/>
      <c r="G1023"/>
    </row>
    <row r="1024" spans="6:7">
      <c r="F1024"/>
      <c r="G1024"/>
    </row>
    <row r="1025" spans="6:7">
      <c r="F1025"/>
      <c r="G1025"/>
    </row>
    <row r="1026" spans="6:7">
      <c r="F1026"/>
      <c r="G1026"/>
    </row>
    <row r="1027" spans="6:7">
      <c r="F1027"/>
      <c r="G1027"/>
    </row>
    <row r="1028" spans="6:7">
      <c r="F1028"/>
      <c r="G1028"/>
    </row>
    <row r="1029" spans="6:7">
      <c r="F1029"/>
      <c r="G1029"/>
    </row>
    <row r="1030" spans="6:7">
      <c r="F1030"/>
      <c r="G1030"/>
    </row>
    <row r="1031" spans="6:7">
      <c r="F1031"/>
      <c r="G1031"/>
    </row>
    <row r="1032" spans="6:7">
      <c r="F1032"/>
      <c r="G1032"/>
    </row>
    <row r="1033" spans="6:7">
      <c r="F1033"/>
      <c r="G1033"/>
    </row>
    <row r="1034" spans="6:7">
      <c r="F1034"/>
      <c r="G1034"/>
    </row>
    <row r="1035" spans="6:7">
      <c r="F1035"/>
      <c r="G1035"/>
    </row>
    <row r="1036" spans="6:7">
      <c r="F1036"/>
      <c r="G1036"/>
    </row>
    <row r="1037" spans="6:7">
      <c r="F1037"/>
      <c r="G1037"/>
    </row>
    <row r="1038" spans="6:7">
      <c r="F1038"/>
      <c r="G1038"/>
    </row>
    <row r="1039" spans="6:7">
      <c r="F1039"/>
      <c r="G1039"/>
    </row>
    <row r="1040" spans="6:7">
      <c r="F1040"/>
      <c r="G1040"/>
    </row>
    <row r="1041" spans="6:7">
      <c r="F1041"/>
      <c r="G1041"/>
    </row>
    <row r="1042" spans="6:7">
      <c r="F1042"/>
      <c r="G1042"/>
    </row>
    <row r="1043" spans="6:7">
      <c r="F1043"/>
      <c r="G1043"/>
    </row>
    <row r="1044" spans="6:7">
      <c r="F1044"/>
      <c r="G1044"/>
    </row>
    <row r="1045" spans="6:7">
      <c r="F1045"/>
      <c r="G1045"/>
    </row>
    <row r="1046" spans="6:7">
      <c r="F1046"/>
      <c r="G1046"/>
    </row>
    <row r="1047" spans="6:7">
      <c r="F1047"/>
      <c r="G1047"/>
    </row>
    <row r="1048" spans="6:7">
      <c r="F1048"/>
      <c r="G1048"/>
    </row>
    <row r="1049" spans="6:7">
      <c r="F1049"/>
      <c r="G1049"/>
    </row>
    <row r="1050" spans="6:7">
      <c r="F1050"/>
      <c r="G1050"/>
    </row>
    <row r="1051" spans="6:7">
      <c r="F1051"/>
      <c r="G1051"/>
    </row>
    <row r="1052" spans="6:7">
      <c r="F1052"/>
      <c r="G1052"/>
    </row>
    <row r="1053" spans="6:7">
      <c r="F1053"/>
      <c r="G1053"/>
    </row>
    <row r="1054" spans="6:7">
      <c r="F1054"/>
      <c r="G1054"/>
    </row>
    <row r="1055" spans="6:7">
      <c r="F1055"/>
      <c r="G1055"/>
    </row>
    <row r="1056" spans="6:7">
      <c r="F1056"/>
      <c r="G1056"/>
    </row>
    <row r="1057" spans="6:7">
      <c r="F1057"/>
      <c r="G1057"/>
    </row>
    <row r="1058" spans="6:7">
      <c r="F1058"/>
      <c r="G1058"/>
    </row>
    <row r="1059" spans="6:7">
      <c r="F1059"/>
      <c r="G1059"/>
    </row>
    <row r="1060" spans="6:7">
      <c r="F1060"/>
      <c r="G1060"/>
    </row>
    <row r="1061" spans="6:7">
      <c r="F1061"/>
      <c r="G1061"/>
    </row>
    <row r="1062" spans="6:7">
      <c r="F1062"/>
      <c r="G1062"/>
    </row>
    <row r="1063" spans="6:7">
      <c r="F1063"/>
      <c r="G1063"/>
    </row>
    <row r="1064" spans="6:7">
      <c r="F1064"/>
      <c r="G1064"/>
    </row>
    <row r="1065" spans="6:7">
      <c r="F1065"/>
      <c r="G1065"/>
    </row>
    <row r="1066" spans="6:7">
      <c r="F1066"/>
      <c r="G1066"/>
    </row>
    <row r="1067" spans="6:7">
      <c r="F1067"/>
      <c r="G1067"/>
    </row>
    <row r="1068" spans="6:7">
      <c r="F1068"/>
      <c r="G1068"/>
    </row>
    <row r="1069" spans="6:7">
      <c r="F1069"/>
      <c r="G1069"/>
    </row>
    <row r="1070" spans="6:7">
      <c r="F1070"/>
      <c r="G1070"/>
    </row>
    <row r="1071" spans="6:7">
      <c r="F1071"/>
      <c r="G1071"/>
    </row>
    <row r="1072" spans="6:7">
      <c r="F1072"/>
      <c r="G1072"/>
    </row>
    <row r="1073" spans="6:7">
      <c r="F1073"/>
      <c r="G1073"/>
    </row>
    <row r="1074" spans="6:7">
      <c r="F1074"/>
      <c r="G1074"/>
    </row>
    <row r="1075" spans="6:7">
      <c r="F1075"/>
      <c r="G1075"/>
    </row>
    <row r="1076" spans="6:7">
      <c r="F1076"/>
      <c r="G1076"/>
    </row>
    <row r="1077" spans="6:7">
      <c r="F1077"/>
      <c r="G1077"/>
    </row>
    <row r="1078" spans="6:7">
      <c r="F1078"/>
      <c r="G1078"/>
    </row>
    <row r="1079" spans="6:7">
      <c r="F1079"/>
      <c r="G1079"/>
    </row>
    <row r="1080" spans="6:7">
      <c r="F1080"/>
      <c r="G1080"/>
    </row>
    <row r="1081" spans="6:7">
      <c r="F1081"/>
      <c r="G1081"/>
    </row>
    <row r="1082" spans="6:7">
      <c r="F1082"/>
      <c r="G1082"/>
    </row>
    <row r="1083" spans="6:7">
      <c r="F1083"/>
      <c r="G1083"/>
    </row>
    <row r="1084" spans="6:7">
      <c r="F1084"/>
      <c r="G1084"/>
    </row>
    <row r="1085" spans="6:7">
      <c r="F1085"/>
      <c r="G1085"/>
    </row>
    <row r="1086" spans="6:7">
      <c r="F1086"/>
      <c r="G1086"/>
    </row>
    <row r="1087" spans="6:7">
      <c r="F1087"/>
      <c r="G1087"/>
    </row>
    <row r="1088" spans="6:7">
      <c r="F1088"/>
      <c r="G1088"/>
    </row>
    <row r="1089" spans="6:7">
      <c r="F1089"/>
      <c r="G1089"/>
    </row>
    <row r="1090" spans="6:7">
      <c r="F1090"/>
      <c r="G1090"/>
    </row>
    <row r="1091" spans="6:7">
      <c r="F1091"/>
      <c r="G1091"/>
    </row>
    <row r="1092" spans="6:7">
      <c r="F1092"/>
      <c r="G1092"/>
    </row>
    <row r="1093" spans="6:7">
      <c r="F1093"/>
      <c r="G1093"/>
    </row>
    <row r="1094" spans="6:7">
      <c r="F1094"/>
      <c r="G1094"/>
    </row>
    <row r="1095" spans="6:7">
      <c r="F1095"/>
      <c r="G1095"/>
    </row>
    <row r="1096" spans="6:7">
      <c r="F1096"/>
      <c r="G1096"/>
    </row>
    <row r="1097" spans="6:7">
      <c r="F1097"/>
      <c r="G1097"/>
    </row>
    <row r="1098" spans="6:7">
      <c r="F1098"/>
      <c r="G1098"/>
    </row>
    <row r="1099" spans="6:7">
      <c r="F1099"/>
      <c r="G1099"/>
    </row>
    <row r="1100" spans="6:7">
      <c r="F1100"/>
      <c r="G1100"/>
    </row>
    <row r="1101" spans="6:7">
      <c r="F1101"/>
      <c r="G1101"/>
    </row>
    <row r="1102" spans="6:7">
      <c r="F1102"/>
      <c r="G1102"/>
    </row>
    <row r="1103" spans="6:7">
      <c r="F1103"/>
      <c r="G1103"/>
    </row>
    <row r="1104" spans="6:7">
      <c r="F1104"/>
      <c r="G1104"/>
    </row>
    <row r="1105" spans="6:7">
      <c r="F1105"/>
      <c r="G1105"/>
    </row>
    <row r="1106" spans="6:7">
      <c r="F1106"/>
      <c r="G1106"/>
    </row>
    <row r="1107" spans="6:7">
      <c r="F1107"/>
      <c r="G1107"/>
    </row>
    <row r="1108" spans="6:7">
      <c r="F1108"/>
      <c r="G1108"/>
    </row>
    <row r="1109" spans="6:7">
      <c r="F1109"/>
      <c r="G1109"/>
    </row>
    <row r="1110" spans="6:7">
      <c r="F1110"/>
      <c r="G1110"/>
    </row>
    <row r="1111" spans="6:7">
      <c r="F1111"/>
      <c r="G1111"/>
    </row>
    <row r="1112" spans="6:7">
      <c r="F1112"/>
      <c r="G1112"/>
    </row>
    <row r="1113" spans="6:7">
      <c r="F1113"/>
      <c r="G1113"/>
    </row>
    <row r="1114" spans="6:7">
      <c r="F1114"/>
      <c r="G1114"/>
    </row>
    <row r="1115" spans="6:7">
      <c r="F1115"/>
      <c r="G1115"/>
    </row>
    <row r="1116" spans="6:7">
      <c r="F1116"/>
      <c r="G1116"/>
    </row>
    <row r="1117" spans="6:7">
      <c r="F1117"/>
      <c r="G1117"/>
    </row>
    <row r="1118" spans="6:7">
      <c r="F1118"/>
      <c r="G1118"/>
    </row>
    <row r="1119" spans="6:7">
      <c r="F1119"/>
      <c r="G1119"/>
    </row>
    <row r="1120" spans="6:7">
      <c r="F1120"/>
      <c r="G1120"/>
    </row>
    <row r="1121" spans="6:7">
      <c r="F1121"/>
      <c r="G1121"/>
    </row>
    <row r="1122" spans="6:7">
      <c r="F1122"/>
      <c r="G1122"/>
    </row>
    <row r="1123" spans="6:7">
      <c r="F1123"/>
      <c r="G1123"/>
    </row>
    <row r="1124" spans="6:7">
      <c r="F1124"/>
      <c r="G1124"/>
    </row>
    <row r="1125" spans="6:7">
      <c r="F1125"/>
      <c r="G1125"/>
    </row>
    <row r="1126" spans="6:7">
      <c r="F1126"/>
      <c r="G1126"/>
    </row>
    <row r="1127" spans="6:7">
      <c r="F1127"/>
      <c r="G1127"/>
    </row>
    <row r="1128" spans="6:7">
      <c r="F1128"/>
      <c r="G1128"/>
    </row>
    <row r="1129" spans="6:7">
      <c r="F1129"/>
      <c r="G1129"/>
    </row>
    <row r="1130" spans="6:7">
      <c r="F1130"/>
      <c r="G1130"/>
    </row>
    <row r="1131" spans="6:7">
      <c r="F1131"/>
      <c r="G1131"/>
    </row>
    <row r="1132" spans="6:7">
      <c r="F1132"/>
      <c r="G1132"/>
    </row>
    <row r="1133" spans="6:7">
      <c r="F1133"/>
      <c r="G1133"/>
    </row>
    <row r="1134" spans="6:7">
      <c r="F1134"/>
      <c r="G1134"/>
    </row>
    <row r="1135" spans="6:7">
      <c r="F1135"/>
      <c r="G1135"/>
    </row>
    <row r="1136" spans="6:7">
      <c r="F1136"/>
      <c r="G1136"/>
    </row>
    <row r="1137" spans="6:7">
      <c r="F1137"/>
      <c r="G1137"/>
    </row>
    <row r="1138" spans="6:7">
      <c r="F1138"/>
      <c r="G1138"/>
    </row>
    <row r="1139" spans="6:7">
      <c r="F1139"/>
      <c r="G1139"/>
    </row>
    <row r="1140" spans="6:7">
      <c r="F1140"/>
      <c r="G1140"/>
    </row>
    <row r="1141" spans="6:7">
      <c r="F1141"/>
      <c r="G1141"/>
    </row>
    <row r="1142" spans="6:7">
      <c r="F1142"/>
      <c r="G1142"/>
    </row>
    <row r="1143" spans="6:7">
      <c r="F1143"/>
      <c r="G1143"/>
    </row>
    <row r="1144" spans="6:7">
      <c r="F1144"/>
      <c r="G1144"/>
    </row>
    <row r="1145" spans="6:7">
      <c r="F1145"/>
      <c r="G1145"/>
    </row>
    <row r="1146" spans="6:7">
      <c r="F1146"/>
      <c r="G1146"/>
    </row>
    <row r="1147" spans="6:7">
      <c r="F1147"/>
      <c r="G1147"/>
    </row>
    <row r="1148" spans="6:7">
      <c r="F1148"/>
      <c r="G1148"/>
    </row>
    <row r="1149" spans="6:7">
      <c r="F1149"/>
      <c r="G1149"/>
    </row>
    <row r="1150" spans="6:7">
      <c r="F1150"/>
      <c r="G1150"/>
    </row>
    <row r="1151" spans="6:7">
      <c r="F1151"/>
      <c r="G1151"/>
    </row>
    <row r="1152" spans="6:7">
      <c r="F1152"/>
      <c r="G1152"/>
    </row>
    <row r="1153" spans="6:7">
      <c r="F1153"/>
      <c r="G1153"/>
    </row>
    <row r="1154" spans="6:7">
      <c r="F1154"/>
      <c r="G1154"/>
    </row>
    <row r="1155" spans="6:7">
      <c r="F1155"/>
      <c r="G1155"/>
    </row>
    <row r="1156" spans="6:7">
      <c r="F1156"/>
      <c r="G1156"/>
    </row>
    <row r="1157" spans="6:7">
      <c r="F1157"/>
      <c r="G1157"/>
    </row>
    <row r="1158" spans="6:7">
      <c r="F1158"/>
      <c r="G1158"/>
    </row>
    <row r="1159" spans="6:7">
      <c r="F1159"/>
      <c r="G1159"/>
    </row>
    <row r="1160" spans="6:7">
      <c r="F1160"/>
      <c r="G1160"/>
    </row>
    <row r="1161" spans="6:7">
      <c r="F1161"/>
      <c r="G1161"/>
    </row>
    <row r="1162" spans="6:7">
      <c r="F1162"/>
      <c r="G1162"/>
    </row>
    <row r="1163" spans="6:7">
      <c r="F1163"/>
      <c r="G1163"/>
    </row>
    <row r="1164" spans="6:7">
      <c r="F1164"/>
      <c r="G1164"/>
    </row>
    <row r="1165" spans="6:7">
      <c r="F1165"/>
      <c r="G1165"/>
    </row>
    <row r="1166" spans="6:7">
      <c r="F1166"/>
      <c r="G1166"/>
    </row>
    <row r="1167" spans="6:7">
      <c r="F1167"/>
      <c r="G1167"/>
    </row>
    <row r="1168" spans="6:7">
      <c r="F1168"/>
      <c r="G1168"/>
    </row>
    <row r="1169" spans="6:7">
      <c r="F1169"/>
      <c r="G1169"/>
    </row>
    <row r="1170" spans="6:7">
      <c r="F1170"/>
      <c r="G1170"/>
    </row>
    <row r="1171" spans="6:7">
      <c r="F1171"/>
      <c r="G1171"/>
    </row>
    <row r="1172" spans="6:7">
      <c r="F1172"/>
      <c r="G1172"/>
    </row>
    <row r="1173" spans="6:7">
      <c r="F1173"/>
      <c r="G1173"/>
    </row>
    <row r="1174" spans="6:7">
      <c r="F1174"/>
      <c r="G1174"/>
    </row>
    <row r="1175" spans="6:7">
      <c r="F1175"/>
      <c r="G1175"/>
    </row>
    <row r="1176" spans="6:7">
      <c r="F1176"/>
      <c r="G1176"/>
    </row>
    <row r="1177" spans="6:7">
      <c r="F1177"/>
      <c r="G1177"/>
    </row>
    <row r="1178" spans="6:7">
      <c r="F1178"/>
      <c r="G1178"/>
    </row>
    <row r="1179" spans="6:7">
      <c r="F1179"/>
      <c r="G1179"/>
    </row>
    <row r="1180" spans="6:7">
      <c r="F1180"/>
      <c r="G1180"/>
    </row>
    <row r="1181" spans="6:7">
      <c r="F1181"/>
      <c r="G1181"/>
    </row>
    <row r="1182" spans="6:7">
      <c r="F1182"/>
      <c r="G1182"/>
    </row>
    <row r="1183" spans="6:7">
      <c r="F1183"/>
      <c r="G1183"/>
    </row>
    <row r="1184" spans="6:7">
      <c r="F1184"/>
      <c r="G1184"/>
    </row>
    <row r="1185" spans="6:7">
      <c r="F1185"/>
      <c r="G1185"/>
    </row>
    <row r="1186" spans="6:7">
      <c r="F1186"/>
      <c r="G1186"/>
    </row>
    <row r="1187" spans="6:7">
      <c r="F1187"/>
      <c r="G1187"/>
    </row>
    <row r="1188" spans="6:7">
      <c r="F1188"/>
      <c r="G1188"/>
    </row>
    <row r="1189" spans="6:7">
      <c r="F1189"/>
      <c r="G1189"/>
    </row>
    <row r="1190" spans="6:7">
      <c r="F1190"/>
      <c r="G1190"/>
    </row>
    <row r="1191" spans="6:7">
      <c r="F1191"/>
      <c r="G1191"/>
    </row>
    <row r="1192" spans="6:7">
      <c r="F1192"/>
      <c r="G1192"/>
    </row>
    <row r="1193" spans="6:7">
      <c r="F1193"/>
      <c r="G1193"/>
    </row>
    <row r="1194" spans="6:7">
      <c r="F1194"/>
      <c r="G1194"/>
    </row>
    <row r="1195" spans="6:7">
      <c r="F1195"/>
      <c r="G1195"/>
    </row>
    <row r="1196" spans="6:7">
      <c r="F1196"/>
      <c r="G1196"/>
    </row>
    <row r="1197" spans="6:7">
      <c r="F1197"/>
      <c r="G1197"/>
    </row>
    <row r="1198" spans="6:7">
      <c r="F1198"/>
      <c r="G1198"/>
    </row>
    <row r="1199" spans="6:7">
      <c r="F1199"/>
      <c r="G1199"/>
    </row>
    <row r="1200" spans="6:7">
      <c r="F1200"/>
      <c r="G1200"/>
    </row>
    <row r="1201" spans="6:7">
      <c r="F1201"/>
      <c r="G1201"/>
    </row>
    <row r="1202" spans="6:7">
      <c r="F1202"/>
      <c r="G1202"/>
    </row>
    <row r="1203" spans="6:7">
      <c r="F1203"/>
      <c r="G1203"/>
    </row>
    <row r="1204" spans="6:7">
      <c r="F1204"/>
      <c r="G1204"/>
    </row>
    <row r="1205" spans="6:7">
      <c r="F1205"/>
      <c r="G1205"/>
    </row>
    <row r="1206" spans="6:7">
      <c r="F1206"/>
      <c r="G1206"/>
    </row>
    <row r="1207" spans="6:7">
      <c r="F1207"/>
      <c r="G1207"/>
    </row>
    <row r="1208" spans="6:7">
      <c r="F1208"/>
      <c r="G1208"/>
    </row>
    <row r="1209" spans="6:7">
      <c r="F1209"/>
      <c r="G1209"/>
    </row>
    <row r="1210" spans="6:7">
      <c r="F1210"/>
      <c r="G1210"/>
    </row>
    <row r="1211" spans="6:7">
      <c r="F1211"/>
      <c r="G1211"/>
    </row>
    <row r="1212" spans="6:7">
      <c r="F1212"/>
      <c r="G1212"/>
    </row>
    <row r="1213" spans="6:7">
      <c r="F1213"/>
      <c r="G1213"/>
    </row>
    <row r="1214" spans="6:7">
      <c r="F1214"/>
      <c r="G1214"/>
    </row>
    <row r="1215" spans="6:7">
      <c r="F1215"/>
      <c r="G1215"/>
    </row>
    <row r="1216" spans="6:7">
      <c r="F1216"/>
      <c r="G1216"/>
    </row>
    <row r="1217" spans="6:7">
      <c r="F1217"/>
      <c r="G1217"/>
    </row>
    <row r="1218" spans="6:7">
      <c r="F1218"/>
      <c r="G1218"/>
    </row>
    <row r="1219" spans="6:7">
      <c r="F1219"/>
      <c r="G1219"/>
    </row>
    <row r="1220" spans="6:7">
      <c r="F1220"/>
      <c r="G1220"/>
    </row>
    <row r="1221" spans="6:7">
      <c r="F1221"/>
      <c r="G1221"/>
    </row>
    <row r="1222" spans="6:7">
      <c r="F1222"/>
      <c r="G1222"/>
    </row>
    <row r="1223" spans="6:7">
      <c r="F1223"/>
      <c r="G1223"/>
    </row>
    <row r="1224" spans="6:7">
      <c r="F1224"/>
      <c r="G1224"/>
    </row>
    <row r="1225" spans="6:7">
      <c r="F1225"/>
      <c r="G1225"/>
    </row>
    <row r="1226" spans="6:7">
      <c r="F1226"/>
      <c r="G1226"/>
    </row>
    <row r="1227" spans="6:7">
      <c r="F1227"/>
      <c r="G1227"/>
    </row>
    <row r="1228" spans="6:7">
      <c r="F1228"/>
      <c r="G1228"/>
    </row>
    <row r="1229" spans="6:7">
      <c r="F1229"/>
      <c r="G1229"/>
    </row>
    <row r="1230" spans="6:7">
      <c r="F1230"/>
      <c r="G1230"/>
    </row>
    <row r="1231" spans="6:7">
      <c r="F1231"/>
      <c r="G1231"/>
    </row>
    <row r="1232" spans="6:7">
      <c r="F1232"/>
      <c r="G1232"/>
    </row>
    <row r="1233" spans="6:7">
      <c r="F1233"/>
      <c r="G1233"/>
    </row>
    <row r="1234" spans="6:7">
      <c r="F1234"/>
      <c r="G1234"/>
    </row>
    <row r="1235" spans="6:7">
      <c r="F1235"/>
      <c r="G1235"/>
    </row>
    <row r="1236" spans="6:7">
      <c r="F1236"/>
      <c r="G1236"/>
    </row>
    <row r="1237" spans="6:7">
      <c r="F1237"/>
      <c r="G1237"/>
    </row>
    <row r="1238" spans="6:7">
      <c r="F1238"/>
      <c r="G1238"/>
    </row>
    <row r="1239" spans="6:7">
      <c r="F1239"/>
      <c r="G1239"/>
    </row>
    <row r="1240" spans="6:7">
      <c r="F1240"/>
      <c r="G1240"/>
    </row>
    <row r="1241" spans="6:7">
      <c r="F1241"/>
      <c r="G1241"/>
    </row>
    <row r="1242" spans="6:7">
      <c r="F1242"/>
      <c r="G1242"/>
    </row>
    <row r="1243" spans="6:7">
      <c r="F1243"/>
      <c r="G1243"/>
    </row>
    <row r="1244" spans="6:7">
      <c r="F1244"/>
      <c r="G1244"/>
    </row>
    <row r="1245" spans="6:7">
      <c r="F1245"/>
      <c r="G1245"/>
    </row>
    <row r="1246" spans="6:7">
      <c r="F1246"/>
      <c r="G1246"/>
    </row>
    <row r="1247" spans="6:7">
      <c r="F1247"/>
      <c r="G1247"/>
    </row>
    <row r="1248" spans="6:7">
      <c r="F1248"/>
      <c r="G1248"/>
    </row>
    <row r="1249" spans="6:7">
      <c r="F1249"/>
      <c r="G1249"/>
    </row>
    <row r="1250" spans="6:7">
      <c r="F1250"/>
      <c r="G1250"/>
    </row>
    <row r="1251" spans="6:7">
      <c r="F1251"/>
      <c r="G1251"/>
    </row>
    <row r="1252" spans="6:7">
      <c r="F1252"/>
      <c r="G1252"/>
    </row>
    <row r="1253" spans="6:7">
      <c r="F1253"/>
      <c r="G1253"/>
    </row>
    <row r="1254" spans="6:7">
      <c r="F1254"/>
      <c r="G1254"/>
    </row>
    <row r="1255" spans="6:7">
      <c r="F1255"/>
      <c r="G1255"/>
    </row>
    <row r="1256" spans="6:7">
      <c r="F1256"/>
      <c r="G1256"/>
    </row>
    <row r="1257" spans="6:7">
      <c r="F1257"/>
      <c r="G1257"/>
    </row>
    <row r="1258" spans="6:7">
      <c r="F1258"/>
      <c r="G1258"/>
    </row>
    <row r="1259" spans="6:7">
      <c r="F1259"/>
      <c r="G1259"/>
    </row>
    <row r="1260" spans="6:7">
      <c r="F1260"/>
      <c r="G1260"/>
    </row>
    <row r="1261" spans="6:7">
      <c r="F1261"/>
      <c r="G1261"/>
    </row>
    <row r="1262" spans="6:7">
      <c r="F1262"/>
      <c r="G1262"/>
    </row>
    <row r="1263" spans="6:7">
      <c r="F1263"/>
      <c r="G1263"/>
    </row>
    <row r="1264" spans="6:7">
      <c r="F1264"/>
      <c r="G1264"/>
    </row>
    <row r="1265" spans="6:7">
      <c r="F1265"/>
      <c r="G1265"/>
    </row>
    <row r="1266" spans="6:7">
      <c r="F1266"/>
      <c r="G1266"/>
    </row>
    <row r="1267" spans="6:7">
      <c r="F1267"/>
      <c r="G1267"/>
    </row>
    <row r="1268" spans="6:7">
      <c r="F1268"/>
      <c r="G1268"/>
    </row>
    <row r="1269" spans="6:7">
      <c r="F1269"/>
      <c r="G1269"/>
    </row>
    <row r="1270" spans="6:7">
      <c r="F1270"/>
      <c r="G1270"/>
    </row>
    <row r="1271" spans="6:7">
      <c r="F1271"/>
      <c r="G1271"/>
    </row>
    <row r="1272" spans="6:7">
      <c r="F1272"/>
      <c r="G1272"/>
    </row>
    <row r="1273" spans="6:7">
      <c r="F1273"/>
      <c r="G1273"/>
    </row>
    <row r="1274" spans="6:7">
      <c r="F1274"/>
      <c r="G1274"/>
    </row>
    <row r="1275" spans="6:7">
      <c r="F1275"/>
      <c r="G1275"/>
    </row>
    <row r="1276" spans="6:7">
      <c r="F1276"/>
      <c r="G1276"/>
    </row>
    <row r="1277" spans="6:7">
      <c r="F1277"/>
      <c r="G1277"/>
    </row>
    <row r="1278" spans="6:7">
      <c r="F1278"/>
      <c r="G1278"/>
    </row>
    <row r="1279" spans="6:7">
      <c r="F1279"/>
      <c r="G1279"/>
    </row>
    <row r="1280" spans="6:7">
      <c r="F1280"/>
      <c r="G1280"/>
    </row>
    <row r="1281" spans="6:7">
      <c r="F1281"/>
      <c r="G1281"/>
    </row>
    <row r="1282" spans="6:7">
      <c r="F1282"/>
      <c r="G1282"/>
    </row>
    <row r="1283" spans="6:7">
      <c r="F1283"/>
      <c r="G1283"/>
    </row>
    <row r="1284" spans="6:7">
      <c r="F1284"/>
      <c r="G1284"/>
    </row>
    <row r="1285" spans="6:7">
      <c r="F1285"/>
      <c r="G1285"/>
    </row>
    <row r="1286" spans="6:7">
      <c r="F1286"/>
      <c r="G1286"/>
    </row>
    <row r="1287" spans="6:7">
      <c r="F1287"/>
      <c r="G1287"/>
    </row>
    <row r="1288" spans="6:7">
      <c r="F1288"/>
      <c r="G1288"/>
    </row>
    <row r="1289" spans="6:7">
      <c r="F1289"/>
      <c r="G1289"/>
    </row>
    <row r="1290" spans="6:7">
      <c r="F1290"/>
      <c r="G1290"/>
    </row>
    <row r="1291" spans="6:7">
      <c r="F1291"/>
      <c r="G1291"/>
    </row>
    <row r="1292" spans="6:7">
      <c r="F1292"/>
      <c r="G1292"/>
    </row>
    <row r="1293" spans="6:7">
      <c r="F1293"/>
      <c r="G1293"/>
    </row>
    <row r="1294" spans="6:7">
      <c r="F1294"/>
      <c r="G1294"/>
    </row>
    <row r="1295" spans="6:7">
      <c r="F1295"/>
      <c r="G1295"/>
    </row>
    <row r="1296" spans="6:7">
      <c r="F1296"/>
      <c r="G1296"/>
    </row>
    <row r="1297" spans="6:7">
      <c r="F1297"/>
      <c r="G1297"/>
    </row>
    <row r="1298" spans="6:7">
      <c r="F1298"/>
      <c r="G1298"/>
    </row>
    <row r="1299" spans="6:7">
      <c r="F1299"/>
      <c r="G1299"/>
    </row>
    <row r="1300" spans="6:7">
      <c r="F1300"/>
      <c r="G1300"/>
    </row>
    <row r="1301" spans="6:7">
      <c r="F1301"/>
      <c r="G1301"/>
    </row>
    <row r="1302" spans="6:7">
      <c r="F1302"/>
      <c r="G1302"/>
    </row>
    <row r="1303" spans="6:7">
      <c r="F1303"/>
      <c r="G1303"/>
    </row>
    <row r="1304" spans="6:7">
      <c r="F1304"/>
      <c r="G1304"/>
    </row>
    <row r="1305" spans="6:7">
      <c r="F1305"/>
      <c r="G1305"/>
    </row>
    <row r="1306" spans="6:7">
      <c r="F1306"/>
      <c r="G1306"/>
    </row>
    <row r="1307" spans="6:7">
      <c r="F1307"/>
      <c r="G1307"/>
    </row>
    <row r="1308" spans="6:7">
      <c r="F1308"/>
      <c r="G1308"/>
    </row>
    <row r="1309" spans="6:7">
      <c r="F1309"/>
      <c r="G1309"/>
    </row>
    <row r="1310" spans="6:7">
      <c r="F1310"/>
      <c r="G1310"/>
    </row>
    <row r="1311" spans="6:7">
      <c r="F1311"/>
      <c r="G1311"/>
    </row>
    <row r="1312" spans="6:7">
      <c r="F1312"/>
      <c r="G1312"/>
    </row>
    <row r="1313" spans="6:7">
      <c r="F1313"/>
      <c r="G1313"/>
    </row>
    <row r="1314" spans="6:7">
      <c r="F1314"/>
      <c r="G1314"/>
    </row>
    <row r="1315" spans="6:7">
      <c r="F1315"/>
      <c r="G1315"/>
    </row>
    <row r="1316" spans="6:7">
      <c r="F1316"/>
      <c r="G1316"/>
    </row>
    <row r="1317" spans="6:7">
      <c r="F1317"/>
      <c r="G1317"/>
    </row>
    <row r="1318" spans="6:7">
      <c r="F1318"/>
      <c r="G1318"/>
    </row>
    <row r="1319" spans="6:7">
      <c r="F1319"/>
      <c r="G1319"/>
    </row>
    <row r="1320" spans="6:7">
      <c r="F1320"/>
      <c r="G1320"/>
    </row>
    <row r="1321" spans="6:7">
      <c r="F1321"/>
      <c r="G1321"/>
    </row>
    <row r="1322" spans="6:7">
      <c r="F1322"/>
      <c r="G1322"/>
    </row>
    <row r="1323" spans="6:7">
      <c r="F1323"/>
      <c r="G1323"/>
    </row>
    <row r="1324" spans="6:7">
      <c r="F1324"/>
      <c r="G1324"/>
    </row>
    <row r="1325" spans="6:7">
      <c r="F1325"/>
      <c r="G1325"/>
    </row>
    <row r="1326" spans="6:7">
      <c r="F1326"/>
      <c r="G1326"/>
    </row>
    <row r="1327" spans="6:7">
      <c r="F1327"/>
      <c r="G1327"/>
    </row>
    <row r="1328" spans="6:7">
      <c r="F1328"/>
      <c r="G1328"/>
    </row>
    <row r="1329" spans="6:7">
      <c r="F1329"/>
      <c r="G1329"/>
    </row>
    <row r="1330" spans="6:7">
      <c r="F1330"/>
      <c r="G1330"/>
    </row>
    <row r="1331" spans="6:7">
      <c r="F1331"/>
      <c r="G1331"/>
    </row>
    <row r="1332" spans="6:7">
      <c r="F1332"/>
      <c r="G1332"/>
    </row>
    <row r="1333" spans="6:7">
      <c r="F1333"/>
      <c r="G1333"/>
    </row>
    <row r="1334" spans="6:7">
      <c r="F1334"/>
      <c r="G1334"/>
    </row>
    <row r="1335" spans="6:7">
      <c r="F1335"/>
      <c r="G1335"/>
    </row>
    <row r="1336" spans="6:7">
      <c r="F1336"/>
      <c r="G1336"/>
    </row>
    <row r="1337" spans="6:7">
      <c r="F1337"/>
      <c r="G1337"/>
    </row>
    <row r="1338" spans="6:7">
      <c r="F1338"/>
      <c r="G1338"/>
    </row>
    <row r="1339" spans="6:7">
      <c r="F1339"/>
      <c r="G1339"/>
    </row>
    <row r="1340" spans="6:7">
      <c r="F1340"/>
      <c r="G1340"/>
    </row>
    <row r="1341" spans="6:7">
      <c r="F1341"/>
      <c r="G1341"/>
    </row>
    <row r="1342" spans="6:7">
      <c r="F1342"/>
      <c r="G1342"/>
    </row>
    <row r="1343" spans="6:7">
      <c r="F1343"/>
      <c r="G1343"/>
    </row>
    <row r="1344" spans="6:7">
      <c r="F1344"/>
      <c r="G1344"/>
    </row>
    <row r="1345" spans="6:7">
      <c r="F1345"/>
      <c r="G1345"/>
    </row>
    <row r="1346" spans="6:7">
      <c r="F1346"/>
      <c r="G1346"/>
    </row>
    <row r="1347" spans="6:7">
      <c r="F1347"/>
      <c r="G1347"/>
    </row>
    <row r="1348" spans="6:7">
      <c r="F1348"/>
      <c r="G1348"/>
    </row>
    <row r="1349" spans="6:7">
      <c r="F1349"/>
      <c r="G1349"/>
    </row>
    <row r="1350" spans="6:7">
      <c r="F1350"/>
      <c r="G1350"/>
    </row>
    <row r="1351" spans="6:7">
      <c r="F1351"/>
      <c r="G1351"/>
    </row>
    <row r="1352" spans="6:7">
      <c r="F1352"/>
      <c r="G1352"/>
    </row>
    <row r="1353" spans="6:7">
      <c r="F1353"/>
      <c r="G1353"/>
    </row>
    <row r="1354" spans="6:7">
      <c r="F1354"/>
      <c r="G1354"/>
    </row>
    <row r="1355" spans="6:7">
      <c r="F1355"/>
      <c r="G1355"/>
    </row>
    <row r="1356" spans="6:7">
      <c r="F1356"/>
      <c r="G1356"/>
    </row>
    <row r="1357" spans="6:7">
      <c r="F1357"/>
      <c r="G1357"/>
    </row>
    <row r="1358" spans="6:7">
      <c r="F1358"/>
      <c r="G1358"/>
    </row>
    <row r="1359" spans="6:7">
      <c r="F1359"/>
      <c r="G1359"/>
    </row>
    <row r="1360" spans="6:7">
      <c r="F1360"/>
      <c r="G1360"/>
    </row>
    <row r="1361" spans="6:7">
      <c r="F1361"/>
      <c r="G1361"/>
    </row>
    <row r="1362" spans="6:7">
      <c r="F1362"/>
      <c r="G1362"/>
    </row>
    <row r="1363" spans="6:7">
      <c r="F1363"/>
      <c r="G1363"/>
    </row>
    <row r="1364" spans="6:7">
      <c r="F1364"/>
      <c r="G1364"/>
    </row>
    <row r="1365" spans="6:7">
      <c r="F1365"/>
      <c r="G1365"/>
    </row>
    <row r="1366" spans="6:7">
      <c r="F1366"/>
      <c r="G1366"/>
    </row>
    <row r="1367" spans="6:7">
      <c r="F1367"/>
      <c r="G1367"/>
    </row>
    <row r="1368" spans="6:7">
      <c r="F1368"/>
      <c r="G1368"/>
    </row>
    <row r="1369" spans="6:7">
      <c r="F1369"/>
      <c r="G1369"/>
    </row>
    <row r="1370" spans="6:7">
      <c r="F1370"/>
      <c r="G1370"/>
    </row>
    <row r="1371" spans="6:7">
      <c r="F1371"/>
      <c r="G1371"/>
    </row>
    <row r="1372" spans="6:7">
      <c r="F1372"/>
      <c r="G1372"/>
    </row>
    <row r="1373" spans="6:7">
      <c r="F1373"/>
      <c r="G1373"/>
    </row>
    <row r="1374" spans="6:7">
      <c r="F1374"/>
      <c r="G1374"/>
    </row>
    <row r="1375" spans="6:7">
      <c r="F1375"/>
      <c r="G1375"/>
    </row>
    <row r="1376" spans="6:7">
      <c r="F1376"/>
      <c r="G1376"/>
    </row>
    <row r="1377" spans="6:7">
      <c r="F1377"/>
      <c r="G1377"/>
    </row>
    <row r="1378" spans="6:7">
      <c r="F1378"/>
      <c r="G1378"/>
    </row>
    <row r="1379" spans="6:7">
      <c r="F1379"/>
      <c r="G1379"/>
    </row>
    <row r="1380" spans="6:7">
      <c r="F1380"/>
      <c r="G1380"/>
    </row>
    <row r="1381" spans="6:7">
      <c r="F1381"/>
      <c r="G1381"/>
    </row>
    <row r="1382" spans="6:7">
      <c r="F1382"/>
      <c r="G1382"/>
    </row>
    <row r="1383" spans="6:7">
      <c r="F1383"/>
      <c r="G1383"/>
    </row>
    <row r="1384" spans="6:7">
      <c r="F1384"/>
      <c r="G1384"/>
    </row>
    <row r="1385" spans="6:7">
      <c r="F1385"/>
      <c r="G1385"/>
    </row>
    <row r="1386" spans="6:7">
      <c r="F1386"/>
      <c r="G1386"/>
    </row>
    <row r="1387" spans="6:7">
      <c r="F1387"/>
      <c r="G1387"/>
    </row>
    <row r="1388" spans="6:7">
      <c r="F1388"/>
      <c r="G1388"/>
    </row>
    <row r="1389" spans="6:7">
      <c r="F1389"/>
      <c r="G1389"/>
    </row>
    <row r="1390" spans="6:7">
      <c r="F1390"/>
      <c r="G1390"/>
    </row>
    <row r="1391" spans="6:7">
      <c r="F1391"/>
      <c r="G1391"/>
    </row>
    <row r="1392" spans="6:7">
      <c r="F1392"/>
      <c r="G1392"/>
    </row>
    <row r="1393" spans="6:7">
      <c r="F1393"/>
      <c r="G1393"/>
    </row>
    <row r="1394" spans="6:7">
      <c r="F1394"/>
      <c r="G1394"/>
    </row>
    <row r="1395" spans="6:7">
      <c r="F1395"/>
      <c r="G1395"/>
    </row>
    <row r="1396" spans="6:7">
      <c r="F1396"/>
      <c r="G1396"/>
    </row>
    <row r="1397" spans="6:7">
      <c r="F1397"/>
      <c r="G1397"/>
    </row>
    <row r="1398" spans="6:7">
      <c r="F1398"/>
      <c r="G1398"/>
    </row>
    <row r="1399" spans="6:7">
      <c r="F1399"/>
      <c r="G1399"/>
    </row>
    <row r="1400" spans="6:7">
      <c r="F1400"/>
      <c r="G1400"/>
    </row>
    <row r="1401" spans="6:7">
      <c r="F1401"/>
      <c r="G1401"/>
    </row>
    <row r="1402" spans="6:7">
      <c r="F1402"/>
      <c r="G1402"/>
    </row>
    <row r="1403" spans="6:7">
      <c r="F1403"/>
      <c r="G1403"/>
    </row>
    <row r="1404" spans="6:7">
      <c r="F1404"/>
      <c r="G1404"/>
    </row>
    <row r="1405" spans="6:7">
      <c r="F1405"/>
      <c r="G1405"/>
    </row>
    <row r="1406" spans="6:7">
      <c r="F1406"/>
      <c r="G1406"/>
    </row>
    <row r="1407" spans="6:7">
      <c r="F1407"/>
      <c r="G1407"/>
    </row>
    <row r="1408" spans="6:7">
      <c r="F1408"/>
      <c r="G1408"/>
    </row>
    <row r="1409" spans="6:7">
      <c r="F1409"/>
      <c r="G1409"/>
    </row>
    <row r="1410" spans="6:7">
      <c r="F1410"/>
      <c r="G1410"/>
    </row>
    <row r="1411" spans="6:7">
      <c r="F1411"/>
      <c r="G1411"/>
    </row>
    <row r="1412" spans="6:7">
      <c r="F1412"/>
      <c r="G1412"/>
    </row>
    <row r="1413" spans="6:7">
      <c r="F1413"/>
      <c r="G1413"/>
    </row>
    <row r="1414" spans="6:7">
      <c r="F1414"/>
      <c r="G1414"/>
    </row>
    <row r="1415" spans="6:7">
      <c r="F1415"/>
      <c r="G1415"/>
    </row>
    <row r="1416" spans="6:7">
      <c r="F1416"/>
      <c r="G1416"/>
    </row>
    <row r="1417" spans="6:7">
      <c r="F1417"/>
      <c r="G1417"/>
    </row>
    <row r="1418" spans="6:7">
      <c r="F1418"/>
      <c r="G1418"/>
    </row>
    <row r="1419" spans="6:7">
      <c r="F1419"/>
      <c r="G1419"/>
    </row>
    <row r="1420" spans="6:7">
      <c r="F1420"/>
      <c r="G1420"/>
    </row>
    <row r="1421" spans="6:7">
      <c r="F1421"/>
      <c r="G1421"/>
    </row>
    <row r="1422" spans="6:7">
      <c r="F1422"/>
      <c r="G1422"/>
    </row>
    <row r="1423" spans="6:7">
      <c r="F1423"/>
      <c r="G1423"/>
    </row>
    <row r="1424" spans="6:7">
      <c r="F1424"/>
      <c r="G1424"/>
    </row>
    <row r="1425" spans="6:7">
      <c r="F1425"/>
      <c r="G1425"/>
    </row>
    <row r="1426" spans="6:7">
      <c r="F1426"/>
      <c r="G1426"/>
    </row>
    <row r="1427" spans="6:7">
      <c r="F1427"/>
      <c r="G1427"/>
    </row>
    <row r="1428" spans="6:7">
      <c r="F1428"/>
      <c r="G1428"/>
    </row>
    <row r="1429" spans="6:7">
      <c r="F1429"/>
      <c r="G1429"/>
    </row>
    <row r="1430" spans="6:7">
      <c r="F1430"/>
      <c r="G1430"/>
    </row>
    <row r="1431" spans="6:7">
      <c r="F1431"/>
      <c r="G1431"/>
    </row>
    <row r="1432" spans="6:7">
      <c r="F1432"/>
      <c r="G1432"/>
    </row>
    <row r="1433" spans="6:7">
      <c r="F1433"/>
      <c r="G1433"/>
    </row>
    <row r="1434" spans="6:7">
      <c r="F1434"/>
      <c r="G1434"/>
    </row>
    <row r="1435" spans="6:7">
      <c r="F1435"/>
      <c r="G1435"/>
    </row>
    <row r="1436" spans="6:7">
      <c r="F1436"/>
      <c r="G1436"/>
    </row>
    <row r="1437" spans="6:7">
      <c r="F1437"/>
      <c r="G1437"/>
    </row>
    <row r="1438" spans="6:7">
      <c r="F1438"/>
      <c r="G1438"/>
    </row>
    <row r="1439" spans="6:7">
      <c r="F1439"/>
      <c r="G1439"/>
    </row>
    <row r="1440" spans="6:7">
      <c r="F1440"/>
      <c r="G1440"/>
    </row>
    <row r="1441" spans="6:7">
      <c r="F1441"/>
      <c r="G1441"/>
    </row>
    <row r="1442" spans="6:7">
      <c r="F1442"/>
      <c r="G1442"/>
    </row>
    <row r="1443" spans="6:7">
      <c r="F1443"/>
      <c r="G1443"/>
    </row>
    <row r="1444" spans="6:7">
      <c r="F1444"/>
      <c r="G1444"/>
    </row>
    <row r="1445" spans="6:7">
      <c r="F1445"/>
      <c r="G1445"/>
    </row>
    <row r="1446" spans="6:7">
      <c r="F1446"/>
      <c r="G1446"/>
    </row>
    <row r="1447" spans="6:7">
      <c r="F1447"/>
      <c r="G1447"/>
    </row>
    <row r="1448" spans="6:7">
      <c r="F1448"/>
      <c r="G1448"/>
    </row>
    <row r="1449" spans="6:7">
      <c r="F1449"/>
      <c r="G1449"/>
    </row>
    <row r="1450" spans="6:7">
      <c r="F1450"/>
      <c r="G1450"/>
    </row>
    <row r="1451" spans="6:7">
      <c r="F1451"/>
      <c r="G1451"/>
    </row>
    <row r="1452" spans="6:7">
      <c r="F1452"/>
      <c r="G1452"/>
    </row>
    <row r="1453" spans="6:7">
      <c r="F1453"/>
      <c r="G1453"/>
    </row>
    <row r="1454" spans="6:7">
      <c r="F1454"/>
      <c r="G1454"/>
    </row>
    <row r="1455" spans="6:7">
      <c r="F1455"/>
      <c r="G1455"/>
    </row>
    <row r="1456" spans="6:7">
      <c r="F1456"/>
      <c r="G1456"/>
    </row>
    <row r="1457" spans="6:7">
      <c r="F1457"/>
      <c r="G1457"/>
    </row>
    <row r="1458" spans="6:7">
      <c r="F1458"/>
      <c r="G1458"/>
    </row>
    <row r="1459" spans="6:7">
      <c r="F1459"/>
      <c r="G1459"/>
    </row>
    <row r="1460" spans="6:7">
      <c r="F1460"/>
      <c r="G1460"/>
    </row>
    <row r="1461" spans="6:7">
      <c r="F1461"/>
      <c r="G1461"/>
    </row>
    <row r="1462" spans="6:7">
      <c r="F1462"/>
      <c r="G1462"/>
    </row>
    <row r="1463" spans="6:7">
      <c r="F1463"/>
      <c r="G1463"/>
    </row>
    <row r="1464" spans="6:7">
      <c r="F1464"/>
      <c r="G1464"/>
    </row>
    <row r="1465" spans="6:7">
      <c r="F1465"/>
      <c r="G1465"/>
    </row>
    <row r="1466" spans="6:7">
      <c r="F1466"/>
      <c r="G1466"/>
    </row>
    <row r="1467" spans="6:7">
      <c r="F1467"/>
      <c r="G1467"/>
    </row>
    <row r="1468" spans="6:7">
      <c r="F1468"/>
      <c r="G1468"/>
    </row>
    <row r="1469" spans="6:7">
      <c r="F1469"/>
      <c r="G1469"/>
    </row>
    <row r="1470" spans="6:7">
      <c r="F1470"/>
      <c r="G1470"/>
    </row>
    <row r="1471" spans="6:7">
      <c r="F1471"/>
      <c r="G1471"/>
    </row>
    <row r="1472" spans="6:7">
      <c r="F1472"/>
      <c r="G1472"/>
    </row>
    <row r="1473" spans="6:7">
      <c r="F1473"/>
      <c r="G1473"/>
    </row>
    <row r="1474" spans="6:7">
      <c r="F1474"/>
      <c r="G1474"/>
    </row>
    <row r="1475" spans="6:7">
      <c r="F1475"/>
      <c r="G1475"/>
    </row>
    <row r="1476" spans="6:7">
      <c r="F1476"/>
      <c r="G1476"/>
    </row>
    <row r="1477" spans="6:7">
      <c r="F1477"/>
      <c r="G1477"/>
    </row>
    <row r="1478" spans="6:7">
      <c r="F1478"/>
      <c r="G1478"/>
    </row>
    <row r="1479" spans="6:7">
      <c r="F1479"/>
      <c r="G1479"/>
    </row>
    <row r="1480" spans="6:7">
      <c r="F1480"/>
      <c r="G1480"/>
    </row>
    <row r="1481" spans="6:7">
      <c r="F1481"/>
      <c r="G1481"/>
    </row>
    <row r="1482" spans="6:7">
      <c r="F1482"/>
      <c r="G1482"/>
    </row>
    <row r="1483" spans="6:7">
      <c r="F1483"/>
      <c r="G1483"/>
    </row>
    <row r="1484" spans="6:7">
      <c r="F1484"/>
      <c r="G1484"/>
    </row>
    <row r="1485" spans="6:7">
      <c r="F1485"/>
      <c r="G1485"/>
    </row>
    <row r="1486" spans="6:7">
      <c r="F1486"/>
      <c r="G1486"/>
    </row>
    <row r="1487" spans="6:7">
      <c r="F1487"/>
      <c r="G1487"/>
    </row>
    <row r="1488" spans="6:7">
      <c r="F1488"/>
      <c r="G1488"/>
    </row>
    <row r="1489" spans="6:7">
      <c r="F1489"/>
      <c r="G1489"/>
    </row>
    <row r="1490" spans="6:7">
      <c r="F1490"/>
      <c r="G1490"/>
    </row>
    <row r="1491" spans="6:7">
      <c r="F1491"/>
      <c r="G1491"/>
    </row>
    <row r="1492" spans="6:7">
      <c r="F1492"/>
      <c r="G1492"/>
    </row>
    <row r="1493" spans="6:7">
      <c r="F1493"/>
      <c r="G1493"/>
    </row>
    <row r="1494" spans="6:7">
      <c r="F1494"/>
      <c r="G1494"/>
    </row>
    <row r="1495" spans="6:7">
      <c r="F1495"/>
      <c r="G1495"/>
    </row>
    <row r="1496" spans="6:7">
      <c r="F1496"/>
      <c r="G1496"/>
    </row>
    <row r="1497" spans="6:7">
      <c r="F1497"/>
      <c r="G1497"/>
    </row>
    <row r="1498" spans="6:7">
      <c r="F1498"/>
      <c r="G1498"/>
    </row>
    <row r="1499" spans="6:7">
      <c r="F1499"/>
      <c r="G1499"/>
    </row>
    <row r="1500" spans="6:7">
      <c r="F1500"/>
      <c r="G1500"/>
    </row>
    <row r="1501" spans="6:7">
      <c r="F1501"/>
      <c r="G1501"/>
    </row>
    <row r="1502" spans="6:7">
      <c r="F1502"/>
      <c r="G1502"/>
    </row>
    <row r="1503" spans="6:7">
      <c r="F1503"/>
      <c r="G1503"/>
    </row>
    <row r="1504" spans="6:7">
      <c r="F1504"/>
      <c r="G1504"/>
    </row>
    <row r="1505" spans="6:7">
      <c r="F1505"/>
      <c r="G1505"/>
    </row>
    <row r="1506" spans="6:7">
      <c r="F1506"/>
      <c r="G1506"/>
    </row>
    <row r="1507" spans="6:7">
      <c r="F1507"/>
      <c r="G1507"/>
    </row>
    <row r="1508" spans="6:7">
      <c r="F1508"/>
      <c r="G1508"/>
    </row>
    <row r="1509" spans="6:7">
      <c r="F1509"/>
      <c r="G1509"/>
    </row>
    <row r="1510" spans="6:7">
      <c r="F1510"/>
      <c r="G1510"/>
    </row>
    <row r="1511" spans="6:7">
      <c r="F1511"/>
      <c r="G1511"/>
    </row>
    <row r="1512" spans="6:7">
      <c r="F1512"/>
      <c r="G1512"/>
    </row>
    <row r="1513" spans="6:7">
      <c r="F1513"/>
      <c r="G1513"/>
    </row>
    <row r="1514" spans="6:7">
      <c r="F1514"/>
      <c r="G1514"/>
    </row>
    <row r="1515" spans="6:7">
      <c r="F1515"/>
      <c r="G1515"/>
    </row>
    <row r="1516" spans="6:7">
      <c r="F1516"/>
      <c r="G1516"/>
    </row>
    <row r="1517" spans="6:7">
      <c r="F1517"/>
      <c r="G1517"/>
    </row>
    <row r="1518" spans="6:7">
      <c r="F1518"/>
      <c r="G1518"/>
    </row>
    <row r="1519" spans="6:7">
      <c r="F1519"/>
      <c r="G1519"/>
    </row>
    <row r="1520" spans="6:7">
      <c r="F1520"/>
      <c r="G1520"/>
    </row>
    <row r="1521" spans="6:7">
      <c r="F1521"/>
      <c r="G1521"/>
    </row>
    <row r="1522" spans="6:7">
      <c r="F1522"/>
      <c r="G1522"/>
    </row>
    <row r="1523" spans="6:7">
      <c r="F1523"/>
      <c r="G1523"/>
    </row>
    <row r="1524" spans="6:7">
      <c r="F1524"/>
      <c r="G1524"/>
    </row>
    <row r="1525" spans="6:7">
      <c r="F1525"/>
      <c r="G1525"/>
    </row>
    <row r="1526" spans="6:7">
      <c r="F1526"/>
      <c r="G1526"/>
    </row>
    <row r="1527" spans="6:7">
      <c r="F1527"/>
      <c r="G1527"/>
    </row>
    <row r="1528" spans="6:7">
      <c r="F1528"/>
      <c r="G1528"/>
    </row>
    <row r="1529" spans="6:7">
      <c r="F1529"/>
      <c r="G1529"/>
    </row>
    <row r="1530" spans="6:7">
      <c r="F1530"/>
      <c r="G1530"/>
    </row>
    <row r="1531" spans="6:7">
      <c r="F1531"/>
      <c r="G1531"/>
    </row>
    <row r="1532" spans="6:7">
      <c r="F1532"/>
      <c r="G1532"/>
    </row>
    <row r="1533" spans="6:7">
      <c r="F1533"/>
      <c r="G1533"/>
    </row>
    <row r="1534" spans="6:7">
      <c r="F1534"/>
      <c r="G1534"/>
    </row>
    <row r="1535" spans="6:7">
      <c r="F1535"/>
      <c r="G1535"/>
    </row>
    <row r="1536" spans="6:7">
      <c r="F1536"/>
      <c r="G1536"/>
    </row>
    <row r="1537" spans="6:7">
      <c r="F1537"/>
      <c r="G1537"/>
    </row>
    <row r="1538" spans="6:7">
      <c r="F1538"/>
      <c r="G1538"/>
    </row>
    <row r="1539" spans="6:7">
      <c r="F1539"/>
      <c r="G1539"/>
    </row>
    <row r="1540" spans="6:7">
      <c r="F1540"/>
      <c r="G1540"/>
    </row>
    <row r="1541" spans="6:7">
      <c r="F1541"/>
      <c r="G1541"/>
    </row>
    <row r="1542" spans="6:7">
      <c r="F1542"/>
      <c r="G1542"/>
    </row>
    <row r="1543" spans="6:7">
      <c r="F1543"/>
      <c r="G1543"/>
    </row>
    <row r="1544" spans="6:7">
      <c r="F1544"/>
      <c r="G1544"/>
    </row>
    <row r="1545" spans="6:7">
      <c r="F1545"/>
      <c r="G1545"/>
    </row>
    <row r="1546" spans="6:7">
      <c r="F1546"/>
      <c r="G1546"/>
    </row>
    <row r="1547" spans="6:7">
      <c r="F1547"/>
      <c r="G1547"/>
    </row>
    <row r="1548" spans="6:7">
      <c r="F1548"/>
      <c r="G1548"/>
    </row>
    <row r="1549" spans="6:7">
      <c r="F1549"/>
      <c r="G1549"/>
    </row>
    <row r="1550" spans="6:7">
      <c r="F1550"/>
      <c r="G1550"/>
    </row>
    <row r="1551" spans="6:7">
      <c r="F1551"/>
      <c r="G1551"/>
    </row>
    <row r="1552" spans="6:7">
      <c r="F1552"/>
      <c r="G1552"/>
    </row>
    <row r="1553" spans="6:7">
      <c r="F1553"/>
      <c r="G1553"/>
    </row>
    <row r="1554" spans="6:7">
      <c r="F1554"/>
      <c r="G1554"/>
    </row>
    <row r="1555" spans="6:7">
      <c r="F1555"/>
      <c r="G1555"/>
    </row>
    <row r="1556" spans="6:7">
      <c r="F1556"/>
      <c r="G1556"/>
    </row>
    <row r="1557" spans="6:7">
      <c r="F1557"/>
      <c r="G1557"/>
    </row>
    <row r="1558" spans="6:7">
      <c r="F1558"/>
      <c r="G1558"/>
    </row>
    <row r="1559" spans="6:7">
      <c r="F1559"/>
      <c r="G1559"/>
    </row>
    <row r="1560" spans="6:7">
      <c r="F1560"/>
      <c r="G1560"/>
    </row>
    <row r="1561" spans="6:7">
      <c r="F1561"/>
      <c r="G1561"/>
    </row>
    <row r="1562" spans="6:7">
      <c r="F1562"/>
      <c r="G1562"/>
    </row>
    <row r="1563" spans="6:7">
      <c r="F1563"/>
      <c r="G1563"/>
    </row>
    <row r="1564" spans="6:7">
      <c r="F1564"/>
      <c r="G1564"/>
    </row>
    <row r="1565" spans="6:7">
      <c r="F1565"/>
      <c r="G1565"/>
    </row>
    <row r="1566" spans="6:7">
      <c r="F1566"/>
      <c r="G1566"/>
    </row>
    <row r="1567" spans="6:7">
      <c r="F1567"/>
      <c r="G1567"/>
    </row>
    <row r="1568" spans="6:7">
      <c r="F1568"/>
      <c r="G1568"/>
    </row>
    <row r="1569" spans="6:7">
      <c r="F1569"/>
      <c r="G1569"/>
    </row>
    <row r="1570" spans="6:7">
      <c r="F1570"/>
      <c r="G1570"/>
    </row>
    <row r="1571" spans="6:7">
      <c r="F1571"/>
      <c r="G1571"/>
    </row>
    <row r="1572" spans="6:7">
      <c r="F1572"/>
      <c r="G1572"/>
    </row>
    <row r="1573" spans="6:7">
      <c r="F1573"/>
      <c r="G1573"/>
    </row>
    <row r="1574" spans="6:7">
      <c r="F1574"/>
      <c r="G1574"/>
    </row>
    <row r="1575" spans="6:7">
      <c r="F1575"/>
      <c r="G1575"/>
    </row>
    <row r="1576" spans="6:7">
      <c r="F1576"/>
      <c r="G1576"/>
    </row>
    <row r="1577" spans="6:7">
      <c r="F1577"/>
      <c r="G1577"/>
    </row>
    <row r="1578" spans="6:7">
      <c r="F1578"/>
      <c r="G1578"/>
    </row>
    <row r="1579" spans="6:7">
      <c r="F1579"/>
      <c r="G1579"/>
    </row>
    <row r="1580" spans="6:7">
      <c r="F1580"/>
      <c r="G1580"/>
    </row>
    <row r="1581" spans="6:7">
      <c r="F1581"/>
      <c r="G1581"/>
    </row>
    <row r="1582" spans="6:7">
      <c r="F1582"/>
      <c r="G1582"/>
    </row>
    <row r="1583" spans="6:7">
      <c r="F1583"/>
      <c r="G1583"/>
    </row>
    <row r="1584" spans="6:7">
      <c r="F1584"/>
      <c r="G1584"/>
    </row>
    <row r="1585" spans="6:7">
      <c r="F1585"/>
      <c r="G1585"/>
    </row>
    <row r="1586" spans="6:7">
      <c r="F1586"/>
      <c r="G1586"/>
    </row>
    <row r="1587" spans="6:7">
      <c r="F1587"/>
      <c r="G1587"/>
    </row>
    <row r="1588" spans="6:7">
      <c r="F1588"/>
      <c r="G1588"/>
    </row>
    <row r="1589" spans="6:7">
      <c r="F1589"/>
      <c r="G1589"/>
    </row>
    <row r="1590" spans="6:7">
      <c r="F1590"/>
      <c r="G1590"/>
    </row>
    <row r="1591" spans="6:7">
      <c r="F1591"/>
      <c r="G1591"/>
    </row>
    <row r="1592" spans="6:7">
      <c r="F1592"/>
      <c r="G1592"/>
    </row>
    <row r="1593" spans="6:7">
      <c r="F1593"/>
      <c r="G1593"/>
    </row>
    <row r="1594" spans="6:7">
      <c r="F1594"/>
      <c r="G1594"/>
    </row>
    <row r="1595" spans="6:7">
      <c r="F1595"/>
      <c r="G1595"/>
    </row>
    <row r="1596" spans="6:7">
      <c r="F1596"/>
      <c r="G1596"/>
    </row>
    <row r="1597" spans="6:7">
      <c r="F1597"/>
      <c r="G1597"/>
    </row>
    <row r="1598" spans="6:7">
      <c r="F1598"/>
      <c r="G1598"/>
    </row>
    <row r="1599" spans="6:7">
      <c r="F1599"/>
      <c r="G1599"/>
    </row>
    <row r="1600" spans="6:7">
      <c r="F1600"/>
      <c r="G1600"/>
    </row>
    <row r="1601" spans="6:7">
      <c r="F1601"/>
      <c r="G1601"/>
    </row>
    <row r="1602" spans="6:7">
      <c r="F1602"/>
      <c r="G1602"/>
    </row>
    <row r="1603" spans="6:7">
      <c r="F1603"/>
      <c r="G1603"/>
    </row>
    <row r="1604" spans="6:7">
      <c r="F1604"/>
      <c r="G1604"/>
    </row>
    <row r="1605" spans="6:7">
      <c r="F1605"/>
      <c r="G1605"/>
    </row>
    <row r="1606" spans="6:7">
      <c r="F1606"/>
      <c r="G1606"/>
    </row>
    <row r="1607" spans="6:7">
      <c r="F1607"/>
      <c r="G1607"/>
    </row>
    <row r="1608" spans="6:7">
      <c r="F1608"/>
      <c r="G1608"/>
    </row>
    <row r="1609" spans="6:7">
      <c r="F1609"/>
      <c r="G1609"/>
    </row>
    <row r="1610" spans="6:7">
      <c r="F1610"/>
      <c r="G1610"/>
    </row>
    <row r="1611" spans="6:7">
      <c r="F1611"/>
      <c r="G1611"/>
    </row>
    <row r="1612" spans="6:7">
      <c r="F1612"/>
      <c r="G1612"/>
    </row>
    <row r="1613" spans="6:7">
      <c r="F1613"/>
      <c r="G1613"/>
    </row>
    <row r="1614" spans="6:7">
      <c r="F1614"/>
      <c r="G1614"/>
    </row>
    <row r="1615" spans="6:7">
      <c r="F1615"/>
      <c r="G1615"/>
    </row>
    <row r="1616" spans="6:7">
      <c r="F1616"/>
      <c r="G1616"/>
    </row>
    <row r="1617" spans="6:7">
      <c r="F1617"/>
      <c r="G1617"/>
    </row>
    <row r="1618" spans="6:7">
      <c r="F1618"/>
      <c r="G1618"/>
    </row>
    <row r="1619" spans="6:7">
      <c r="F1619"/>
      <c r="G1619"/>
    </row>
    <row r="1620" spans="6:7">
      <c r="F1620"/>
      <c r="G1620"/>
    </row>
    <row r="1621" spans="6:7">
      <c r="F1621"/>
      <c r="G1621"/>
    </row>
    <row r="1622" spans="6:7">
      <c r="F1622"/>
      <c r="G1622"/>
    </row>
    <row r="1623" spans="6:7">
      <c r="F1623"/>
      <c r="G1623"/>
    </row>
    <row r="1624" spans="6:7">
      <c r="F1624"/>
      <c r="G1624"/>
    </row>
    <row r="1625" spans="6:7">
      <c r="F1625"/>
      <c r="G1625"/>
    </row>
    <row r="1626" spans="6:7">
      <c r="F1626"/>
      <c r="G1626"/>
    </row>
    <row r="1627" spans="6:7">
      <c r="F1627"/>
      <c r="G1627"/>
    </row>
    <row r="1628" spans="6:7">
      <c r="F1628"/>
      <c r="G1628"/>
    </row>
    <row r="1629" spans="6:7">
      <c r="F1629"/>
      <c r="G1629"/>
    </row>
    <row r="1630" spans="6:7">
      <c r="F1630"/>
      <c r="G1630"/>
    </row>
    <row r="1631" spans="6:7">
      <c r="F1631"/>
      <c r="G1631"/>
    </row>
    <row r="1632" spans="6:7">
      <c r="F1632"/>
      <c r="G1632"/>
    </row>
    <row r="1633" spans="6:7">
      <c r="F1633"/>
      <c r="G1633"/>
    </row>
    <row r="1634" spans="6:7">
      <c r="F1634"/>
      <c r="G1634"/>
    </row>
    <row r="1635" spans="6:7">
      <c r="F1635"/>
      <c r="G1635"/>
    </row>
    <row r="1636" spans="6:7">
      <c r="F1636"/>
      <c r="G1636"/>
    </row>
    <row r="1637" spans="6:7">
      <c r="F1637"/>
      <c r="G1637"/>
    </row>
    <row r="1638" spans="6:7">
      <c r="F1638"/>
      <c r="G1638"/>
    </row>
    <row r="1639" spans="6:7">
      <c r="F1639"/>
      <c r="G1639"/>
    </row>
    <row r="1640" spans="6:7">
      <c r="F1640"/>
      <c r="G1640"/>
    </row>
    <row r="1641" spans="6:7">
      <c r="F1641"/>
      <c r="G1641"/>
    </row>
    <row r="1642" spans="6:7">
      <c r="F1642"/>
      <c r="G1642"/>
    </row>
    <row r="1643" spans="6:7">
      <c r="F1643"/>
      <c r="G1643"/>
    </row>
    <row r="1644" spans="6:7">
      <c r="F1644"/>
      <c r="G1644"/>
    </row>
    <row r="1645" spans="6:7">
      <c r="F1645"/>
      <c r="G1645"/>
    </row>
    <row r="1646" spans="6:7">
      <c r="F1646"/>
      <c r="G1646"/>
    </row>
    <row r="1647" spans="6:7">
      <c r="F1647"/>
      <c r="G1647"/>
    </row>
    <row r="1648" spans="6:7">
      <c r="F1648"/>
      <c r="G1648"/>
    </row>
    <row r="1649" spans="6:7">
      <c r="F1649"/>
      <c r="G1649"/>
    </row>
    <row r="1650" spans="6:7">
      <c r="F1650"/>
      <c r="G1650"/>
    </row>
    <row r="1651" spans="6:7">
      <c r="F1651"/>
      <c r="G1651"/>
    </row>
    <row r="1652" spans="6:7">
      <c r="F1652"/>
      <c r="G1652"/>
    </row>
    <row r="1653" spans="6:7">
      <c r="F1653"/>
      <c r="G1653"/>
    </row>
    <row r="1654" spans="6:7">
      <c r="F1654"/>
      <c r="G1654"/>
    </row>
    <row r="1655" spans="6:7">
      <c r="F1655"/>
      <c r="G1655"/>
    </row>
    <row r="1656" spans="6:7">
      <c r="F1656"/>
      <c r="G1656"/>
    </row>
    <row r="1657" spans="6:7">
      <c r="F1657"/>
      <c r="G1657"/>
    </row>
    <row r="1658" spans="6:7">
      <c r="F1658"/>
      <c r="G1658"/>
    </row>
    <row r="1659" spans="6:7">
      <c r="F1659"/>
      <c r="G1659"/>
    </row>
    <row r="1660" spans="6:7">
      <c r="F1660"/>
      <c r="G1660"/>
    </row>
    <row r="1661" spans="6:7">
      <c r="F1661"/>
      <c r="G1661"/>
    </row>
    <row r="1662" spans="6:7">
      <c r="F1662"/>
      <c r="G1662"/>
    </row>
    <row r="1663" spans="6:7">
      <c r="F1663"/>
      <c r="G1663"/>
    </row>
    <row r="1664" spans="6:7">
      <c r="F1664"/>
      <c r="G1664"/>
    </row>
    <row r="1665" spans="6:7">
      <c r="F1665"/>
      <c r="G1665"/>
    </row>
    <row r="1666" spans="6:7">
      <c r="F1666"/>
      <c r="G1666"/>
    </row>
    <row r="1667" spans="6:7">
      <c r="F1667"/>
      <c r="G1667"/>
    </row>
    <row r="1668" spans="6:7">
      <c r="F1668"/>
      <c r="G1668"/>
    </row>
    <row r="1669" spans="6:7">
      <c r="F1669"/>
      <c r="G1669"/>
    </row>
    <row r="1670" spans="6:7">
      <c r="F1670"/>
      <c r="G1670"/>
    </row>
    <row r="1671" spans="6:7">
      <c r="F1671"/>
      <c r="G1671"/>
    </row>
    <row r="1672" spans="6:7">
      <c r="F1672"/>
      <c r="G1672"/>
    </row>
    <row r="1673" spans="6:7">
      <c r="F1673"/>
      <c r="G1673"/>
    </row>
    <row r="1674" spans="6:7">
      <c r="F1674"/>
      <c r="G1674"/>
    </row>
    <row r="1675" spans="6:7">
      <c r="F1675"/>
      <c r="G1675"/>
    </row>
    <row r="1676" spans="6:7">
      <c r="F1676"/>
      <c r="G1676"/>
    </row>
    <row r="1677" spans="6:7">
      <c r="F1677"/>
      <c r="G1677"/>
    </row>
    <row r="1678" spans="6:7">
      <c r="F1678"/>
      <c r="G1678"/>
    </row>
    <row r="1679" spans="6:7">
      <c r="F1679"/>
      <c r="G1679"/>
    </row>
    <row r="1680" spans="6:7">
      <c r="F1680"/>
      <c r="G1680"/>
    </row>
    <row r="1681" spans="6:7">
      <c r="F1681"/>
      <c r="G1681"/>
    </row>
    <row r="1682" spans="6:7">
      <c r="F1682"/>
      <c r="G1682"/>
    </row>
    <row r="1683" spans="6:7">
      <c r="F1683"/>
      <c r="G1683"/>
    </row>
    <row r="1684" spans="6:7">
      <c r="F1684"/>
      <c r="G1684"/>
    </row>
    <row r="1685" spans="6:7">
      <c r="F1685"/>
      <c r="G1685"/>
    </row>
    <row r="1686" spans="6:7">
      <c r="F1686"/>
      <c r="G1686"/>
    </row>
    <row r="1687" spans="6:7">
      <c r="F1687"/>
      <c r="G1687"/>
    </row>
    <row r="1688" spans="6:7">
      <c r="F1688"/>
      <c r="G1688"/>
    </row>
    <row r="1689" spans="6:7">
      <c r="F1689"/>
      <c r="G1689"/>
    </row>
    <row r="1690" spans="6:7">
      <c r="F1690"/>
      <c r="G1690"/>
    </row>
    <row r="1691" spans="6:7">
      <c r="F1691"/>
      <c r="G1691"/>
    </row>
    <row r="1692" spans="6:7">
      <c r="F1692"/>
      <c r="G1692"/>
    </row>
    <row r="1693" spans="6:7">
      <c r="F1693"/>
      <c r="G1693"/>
    </row>
    <row r="1694" spans="6:7">
      <c r="F1694"/>
      <c r="G1694"/>
    </row>
    <row r="1695" spans="6:7">
      <c r="F1695"/>
      <c r="G1695"/>
    </row>
    <row r="1696" spans="6:7">
      <c r="F1696"/>
      <c r="G1696"/>
    </row>
    <row r="1697" spans="6:7">
      <c r="F1697"/>
      <c r="G1697"/>
    </row>
    <row r="1698" spans="6:7">
      <c r="F1698"/>
      <c r="G1698"/>
    </row>
    <row r="1699" spans="6:7">
      <c r="F1699"/>
      <c r="G1699"/>
    </row>
    <row r="1700" spans="6:7">
      <c r="F1700"/>
      <c r="G1700"/>
    </row>
    <row r="1701" spans="6:7">
      <c r="F1701"/>
      <c r="G1701"/>
    </row>
    <row r="1702" spans="6:7">
      <c r="F1702"/>
      <c r="G1702"/>
    </row>
    <row r="1703" spans="6:7">
      <c r="F1703"/>
      <c r="G1703"/>
    </row>
    <row r="1704" spans="6:7">
      <c r="F1704"/>
      <c r="G1704"/>
    </row>
    <row r="1705" spans="6:7">
      <c r="F1705"/>
      <c r="G1705"/>
    </row>
    <row r="1706" spans="6:7">
      <c r="F1706"/>
      <c r="G1706"/>
    </row>
    <row r="1707" spans="6:7">
      <c r="F1707"/>
      <c r="G1707"/>
    </row>
    <row r="1708" spans="6:7">
      <c r="F1708"/>
      <c r="G1708"/>
    </row>
    <row r="1709" spans="6:7">
      <c r="F1709"/>
      <c r="G1709"/>
    </row>
    <row r="1710" spans="6:7">
      <c r="F1710"/>
      <c r="G1710"/>
    </row>
    <row r="1711" spans="6:7">
      <c r="F1711"/>
      <c r="G1711"/>
    </row>
    <row r="1712" spans="6:7">
      <c r="F1712"/>
      <c r="G1712"/>
    </row>
    <row r="1713" spans="6:7">
      <c r="F1713"/>
      <c r="G1713"/>
    </row>
    <row r="1714" spans="6:7">
      <c r="F1714"/>
      <c r="G1714"/>
    </row>
    <row r="1715" spans="6:7">
      <c r="F1715"/>
      <c r="G1715"/>
    </row>
    <row r="1716" spans="6:7">
      <c r="F1716"/>
      <c r="G1716"/>
    </row>
    <row r="1717" spans="6:7">
      <c r="F1717"/>
      <c r="G1717"/>
    </row>
    <row r="1718" spans="6:7">
      <c r="F1718"/>
      <c r="G1718"/>
    </row>
    <row r="1719" spans="6:7">
      <c r="F1719"/>
      <c r="G1719"/>
    </row>
    <row r="1720" spans="6:7">
      <c r="F1720"/>
      <c r="G1720"/>
    </row>
    <row r="1721" spans="6:7">
      <c r="F1721"/>
      <c r="G1721"/>
    </row>
    <row r="1722" spans="6:7">
      <c r="F1722"/>
      <c r="G1722"/>
    </row>
    <row r="1723" spans="6:7">
      <c r="F1723"/>
      <c r="G1723"/>
    </row>
    <row r="1724" spans="6:7">
      <c r="F1724"/>
      <c r="G1724"/>
    </row>
    <row r="1725" spans="6:7">
      <c r="F1725"/>
      <c r="G1725"/>
    </row>
    <row r="1726" spans="6:7">
      <c r="F1726"/>
      <c r="G1726"/>
    </row>
    <row r="1727" spans="6:7">
      <c r="F1727"/>
      <c r="G1727"/>
    </row>
    <row r="1728" spans="6:7">
      <c r="F1728"/>
      <c r="G1728"/>
    </row>
    <row r="1729" spans="6:7">
      <c r="F1729"/>
      <c r="G1729"/>
    </row>
    <row r="1730" spans="6:7">
      <c r="F1730"/>
      <c r="G1730"/>
    </row>
    <row r="1731" spans="6:7">
      <c r="F1731"/>
      <c r="G1731"/>
    </row>
    <row r="1732" spans="6:7">
      <c r="F1732"/>
      <c r="G1732"/>
    </row>
    <row r="1733" spans="6:7">
      <c r="F1733"/>
      <c r="G1733"/>
    </row>
    <row r="1734" spans="6:7">
      <c r="F1734"/>
      <c r="G1734"/>
    </row>
    <row r="1735" spans="6:7">
      <c r="F1735"/>
      <c r="G1735"/>
    </row>
    <row r="1736" spans="6:7">
      <c r="F1736"/>
      <c r="G1736"/>
    </row>
    <row r="1737" spans="6:7">
      <c r="F1737"/>
      <c r="G1737"/>
    </row>
    <row r="1738" spans="6:7">
      <c r="F1738"/>
      <c r="G1738"/>
    </row>
    <row r="1739" spans="6:7">
      <c r="F1739"/>
      <c r="G1739"/>
    </row>
    <row r="1740" spans="6:7">
      <c r="F1740"/>
      <c r="G1740"/>
    </row>
    <row r="1741" spans="6:7">
      <c r="F1741"/>
      <c r="G1741"/>
    </row>
    <row r="1742" spans="6:7">
      <c r="F1742"/>
      <c r="G1742"/>
    </row>
    <row r="1743" spans="6:7">
      <c r="F1743"/>
      <c r="G1743"/>
    </row>
    <row r="1744" spans="6:7">
      <c r="F1744"/>
      <c r="G1744"/>
    </row>
    <row r="1745" spans="6:7">
      <c r="F1745"/>
      <c r="G1745"/>
    </row>
    <row r="1746" spans="6:7">
      <c r="F1746"/>
      <c r="G1746"/>
    </row>
    <row r="1747" spans="6:7">
      <c r="F1747"/>
      <c r="G1747"/>
    </row>
    <row r="1748" spans="6:7">
      <c r="F1748"/>
      <c r="G1748"/>
    </row>
    <row r="1749" spans="6:7">
      <c r="F1749"/>
      <c r="G1749"/>
    </row>
    <row r="1750" spans="6:7">
      <c r="F1750"/>
      <c r="G1750"/>
    </row>
    <row r="1751" spans="6:7">
      <c r="F1751"/>
      <c r="G1751"/>
    </row>
    <row r="1752" spans="6:7">
      <c r="F1752"/>
      <c r="G1752"/>
    </row>
    <row r="1753" spans="6:7">
      <c r="F1753"/>
      <c r="G1753"/>
    </row>
    <row r="1754" spans="6:7">
      <c r="F1754"/>
      <c r="G1754"/>
    </row>
    <row r="1755" spans="6:7">
      <c r="F1755"/>
      <c r="G1755"/>
    </row>
    <row r="1756" spans="6:7">
      <c r="F1756"/>
      <c r="G1756"/>
    </row>
    <row r="1757" spans="6:7">
      <c r="F1757"/>
      <c r="G1757"/>
    </row>
    <row r="1758" spans="6:7">
      <c r="F1758"/>
      <c r="G1758"/>
    </row>
    <row r="1759" spans="6:7">
      <c r="F1759"/>
      <c r="G1759"/>
    </row>
    <row r="1760" spans="6:7">
      <c r="F1760"/>
      <c r="G1760"/>
    </row>
    <row r="1761" spans="6:7">
      <c r="F1761"/>
      <c r="G1761"/>
    </row>
    <row r="1762" spans="6:7">
      <c r="F1762"/>
      <c r="G1762"/>
    </row>
    <row r="1763" spans="6:7">
      <c r="F1763"/>
      <c r="G1763"/>
    </row>
    <row r="1764" spans="6:7">
      <c r="F1764"/>
      <c r="G1764"/>
    </row>
    <row r="1765" spans="6:7">
      <c r="F1765"/>
      <c r="G1765"/>
    </row>
    <row r="1766" spans="6:7">
      <c r="F1766"/>
      <c r="G1766"/>
    </row>
    <row r="1767" spans="6:7">
      <c r="F1767"/>
      <c r="G1767"/>
    </row>
    <row r="1768" spans="6:7">
      <c r="F1768"/>
      <c r="G1768"/>
    </row>
    <row r="1769" spans="6:7">
      <c r="F1769"/>
      <c r="G1769"/>
    </row>
    <row r="1770" spans="6:7">
      <c r="F1770"/>
      <c r="G1770"/>
    </row>
    <row r="1771" spans="6:7">
      <c r="F1771"/>
      <c r="G1771"/>
    </row>
    <row r="1772" spans="6:7">
      <c r="F1772"/>
      <c r="G1772"/>
    </row>
    <row r="1773" spans="6:7">
      <c r="F1773"/>
      <c r="G1773"/>
    </row>
    <row r="1774" spans="6:7">
      <c r="F1774"/>
      <c r="G1774"/>
    </row>
    <row r="1775" spans="6:7">
      <c r="F1775"/>
      <c r="G1775"/>
    </row>
    <row r="1776" spans="6:7">
      <c r="F1776"/>
      <c r="G1776"/>
    </row>
    <row r="1777" spans="6:7">
      <c r="F1777"/>
      <c r="G1777"/>
    </row>
    <row r="1778" spans="6:7">
      <c r="F1778"/>
      <c r="G1778"/>
    </row>
    <row r="1779" spans="6:7">
      <c r="F1779"/>
      <c r="G1779"/>
    </row>
    <row r="1780" spans="6:7">
      <c r="F1780"/>
      <c r="G1780"/>
    </row>
    <row r="1781" spans="6:7">
      <c r="F1781"/>
      <c r="G1781"/>
    </row>
    <row r="1782" spans="6:7">
      <c r="F1782"/>
      <c r="G1782"/>
    </row>
    <row r="1783" spans="6:7">
      <c r="F1783"/>
      <c r="G1783"/>
    </row>
    <row r="1784" spans="6:7">
      <c r="F1784"/>
      <c r="G1784"/>
    </row>
    <row r="1785" spans="6:7">
      <c r="F1785"/>
      <c r="G1785"/>
    </row>
    <row r="1786" spans="6:7">
      <c r="F1786"/>
      <c r="G1786"/>
    </row>
    <row r="1787" spans="6:7">
      <c r="F1787"/>
      <c r="G1787"/>
    </row>
    <row r="1788" spans="6:7">
      <c r="F1788"/>
      <c r="G1788"/>
    </row>
    <row r="1789" spans="6:7">
      <c r="F1789"/>
      <c r="G1789"/>
    </row>
    <row r="1790" spans="6:7">
      <c r="F1790"/>
      <c r="G1790"/>
    </row>
    <row r="1791" spans="6:7">
      <c r="F1791"/>
      <c r="G1791"/>
    </row>
    <row r="1792" spans="6:7">
      <c r="F1792"/>
      <c r="G1792"/>
    </row>
    <row r="1793" spans="6:7">
      <c r="F1793"/>
      <c r="G1793"/>
    </row>
    <row r="1794" spans="6:7">
      <c r="F1794"/>
      <c r="G1794"/>
    </row>
    <row r="1795" spans="6:7">
      <c r="F1795"/>
      <c r="G1795"/>
    </row>
    <row r="1796" spans="6:7">
      <c r="F1796"/>
      <c r="G1796"/>
    </row>
    <row r="1797" spans="6:7">
      <c r="F1797"/>
      <c r="G1797"/>
    </row>
    <row r="1798" spans="6:7">
      <c r="F1798"/>
      <c r="G1798"/>
    </row>
    <row r="1799" spans="6:7">
      <c r="F1799"/>
      <c r="G1799"/>
    </row>
    <row r="1800" spans="6:7">
      <c r="F1800"/>
      <c r="G1800"/>
    </row>
    <row r="1801" spans="6:7">
      <c r="F1801"/>
      <c r="G1801"/>
    </row>
    <row r="1802" spans="6:7">
      <c r="F1802"/>
      <c r="G1802"/>
    </row>
    <row r="1803" spans="6:7">
      <c r="F1803"/>
      <c r="G1803"/>
    </row>
    <row r="1804" spans="6:7">
      <c r="F1804"/>
      <c r="G1804"/>
    </row>
    <row r="1805" spans="6:7">
      <c r="F1805"/>
      <c r="G1805"/>
    </row>
    <row r="1806" spans="6:7">
      <c r="F1806"/>
      <c r="G1806"/>
    </row>
    <row r="1807" spans="6:7">
      <c r="F1807"/>
      <c r="G1807"/>
    </row>
    <row r="1808" spans="6:7">
      <c r="F1808"/>
      <c r="G1808"/>
    </row>
    <row r="1809" spans="6:7">
      <c r="F1809"/>
      <c r="G1809"/>
    </row>
    <row r="1810" spans="6:7">
      <c r="F1810"/>
      <c r="G1810"/>
    </row>
    <row r="1811" spans="6:7">
      <c r="F1811"/>
      <c r="G1811"/>
    </row>
    <row r="1812" spans="6:7">
      <c r="F1812"/>
      <c r="G1812"/>
    </row>
    <row r="1813" spans="6:7">
      <c r="F1813"/>
      <c r="G1813"/>
    </row>
    <row r="1814" spans="6:7">
      <c r="F1814"/>
      <c r="G1814"/>
    </row>
    <row r="1815" spans="6:7">
      <c r="F1815"/>
      <c r="G1815"/>
    </row>
    <row r="1816" spans="6:7">
      <c r="F1816"/>
      <c r="G1816"/>
    </row>
    <row r="1817" spans="6:7">
      <c r="F1817"/>
      <c r="G1817"/>
    </row>
    <row r="1818" spans="6:7">
      <c r="F1818"/>
      <c r="G1818"/>
    </row>
    <row r="1819" spans="6:7">
      <c r="F1819"/>
      <c r="G1819"/>
    </row>
    <row r="1820" spans="6:7">
      <c r="F1820"/>
      <c r="G1820"/>
    </row>
    <row r="1821" spans="6:7">
      <c r="F1821"/>
      <c r="G1821"/>
    </row>
    <row r="1822" spans="6:7">
      <c r="F1822"/>
      <c r="G1822"/>
    </row>
    <row r="1823" spans="6:7">
      <c r="F1823"/>
      <c r="G1823"/>
    </row>
    <row r="1824" spans="6:7">
      <c r="F1824"/>
      <c r="G1824"/>
    </row>
    <row r="1825" spans="6:7">
      <c r="F1825"/>
      <c r="G1825"/>
    </row>
    <row r="1826" spans="6:7">
      <c r="F1826"/>
      <c r="G1826"/>
    </row>
    <row r="1827" spans="6:7">
      <c r="F1827"/>
      <c r="G1827"/>
    </row>
    <row r="1828" spans="6:7">
      <c r="F1828"/>
      <c r="G1828"/>
    </row>
    <row r="1829" spans="6:7">
      <c r="F1829"/>
      <c r="G1829"/>
    </row>
    <row r="1830" spans="6:7">
      <c r="F1830"/>
      <c r="G1830"/>
    </row>
    <row r="1831" spans="6:7">
      <c r="F1831"/>
      <c r="G1831"/>
    </row>
    <row r="1832" spans="6:7">
      <c r="F1832"/>
      <c r="G1832"/>
    </row>
    <row r="1833" spans="6:7">
      <c r="F1833"/>
      <c r="G1833"/>
    </row>
    <row r="1834" spans="6:7">
      <c r="F1834"/>
      <c r="G1834"/>
    </row>
    <row r="1835" spans="6:7">
      <c r="F1835"/>
      <c r="G1835"/>
    </row>
    <row r="1836" spans="6:7">
      <c r="F1836"/>
      <c r="G1836"/>
    </row>
    <row r="1837" spans="6:7">
      <c r="F1837"/>
      <c r="G1837"/>
    </row>
    <row r="1838" spans="6:7">
      <c r="F1838"/>
      <c r="G1838"/>
    </row>
    <row r="1839" spans="6:7">
      <c r="F1839"/>
      <c r="G1839"/>
    </row>
    <row r="1840" spans="6:7">
      <c r="F1840"/>
      <c r="G1840"/>
    </row>
    <row r="1841" spans="6:7">
      <c r="F1841"/>
      <c r="G1841"/>
    </row>
    <row r="1842" spans="6:7">
      <c r="F1842"/>
      <c r="G1842"/>
    </row>
    <row r="1843" spans="6:7">
      <c r="F1843"/>
      <c r="G1843"/>
    </row>
    <row r="1844" spans="6:7">
      <c r="F1844"/>
      <c r="G1844"/>
    </row>
    <row r="1845" spans="6:7">
      <c r="F1845"/>
      <c r="G1845"/>
    </row>
    <row r="1846" spans="6:7">
      <c r="F1846"/>
      <c r="G1846"/>
    </row>
    <row r="1847" spans="6:7">
      <c r="F1847"/>
      <c r="G1847"/>
    </row>
    <row r="1848" spans="6:7">
      <c r="F1848"/>
      <c r="G1848"/>
    </row>
    <row r="1849" spans="6:7">
      <c r="F1849"/>
      <c r="G1849"/>
    </row>
    <row r="1850" spans="6:7">
      <c r="F1850"/>
      <c r="G1850"/>
    </row>
    <row r="1851" spans="6:7">
      <c r="F1851"/>
      <c r="G1851"/>
    </row>
    <row r="1852" spans="6:7">
      <c r="F1852"/>
      <c r="G1852"/>
    </row>
    <row r="1853" spans="6:7">
      <c r="F1853"/>
      <c r="G1853"/>
    </row>
    <row r="1854" spans="6:7">
      <c r="F1854"/>
      <c r="G1854"/>
    </row>
    <row r="1855" spans="6:7">
      <c r="F1855"/>
      <c r="G1855"/>
    </row>
    <row r="1856" spans="6:7">
      <c r="F1856"/>
      <c r="G1856"/>
    </row>
    <row r="1857" spans="6:7">
      <c r="F1857"/>
      <c r="G1857"/>
    </row>
    <row r="1858" spans="6:7">
      <c r="F1858"/>
      <c r="G1858"/>
    </row>
    <row r="1859" spans="6:7">
      <c r="F1859"/>
      <c r="G1859"/>
    </row>
    <row r="1860" spans="6:7">
      <c r="F1860"/>
      <c r="G1860"/>
    </row>
    <row r="1861" spans="6:7">
      <c r="F1861"/>
      <c r="G1861"/>
    </row>
    <row r="1862" spans="6:7">
      <c r="F1862"/>
      <c r="G1862"/>
    </row>
    <row r="1863" spans="6:7">
      <c r="F1863"/>
      <c r="G1863"/>
    </row>
    <row r="1864" spans="6:7">
      <c r="F1864"/>
      <c r="G1864"/>
    </row>
    <row r="1865" spans="6:7">
      <c r="F1865"/>
      <c r="G1865"/>
    </row>
    <row r="1866" spans="6:7">
      <c r="F1866"/>
      <c r="G1866"/>
    </row>
    <row r="1867" spans="6:7">
      <c r="F1867"/>
      <c r="G1867"/>
    </row>
    <row r="1868" spans="6:7">
      <c r="F1868"/>
      <c r="G1868"/>
    </row>
    <row r="1869" spans="6:7">
      <c r="F1869"/>
      <c r="G1869"/>
    </row>
    <row r="1870" spans="6:7">
      <c r="F1870"/>
      <c r="G1870"/>
    </row>
    <row r="1871" spans="6:7">
      <c r="F1871"/>
      <c r="G1871"/>
    </row>
    <row r="1872" spans="6:7">
      <c r="F1872"/>
      <c r="G1872"/>
    </row>
    <row r="1873" spans="6:7">
      <c r="F1873"/>
      <c r="G1873"/>
    </row>
    <row r="1874" spans="6:7">
      <c r="F1874"/>
      <c r="G1874"/>
    </row>
    <row r="1875" spans="6:7">
      <c r="F1875"/>
      <c r="G1875"/>
    </row>
    <row r="1876" spans="6:7">
      <c r="F1876"/>
      <c r="G1876"/>
    </row>
    <row r="1877" spans="6:7">
      <c r="F1877"/>
      <c r="G1877"/>
    </row>
    <row r="1878" spans="6:7">
      <c r="F1878"/>
      <c r="G1878"/>
    </row>
    <row r="1879" spans="6:7">
      <c r="F1879"/>
      <c r="G1879"/>
    </row>
    <row r="1880" spans="6:7">
      <c r="F1880"/>
      <c r="G1880"/>
    </row>
    <row r="1881" spans="6:7">
      <c r="F1881"/>
      <c r="G1881"/>
    </row>
    <row r="1882" spans="6:7">
      <c r="F1882"/>
      <c r="G1882"/>
    </row>
    <row r="1883" spans="6:7">
      <c r="F1883"/>
      <c r="G1883"/>
    </row>
    <row r="1884" spans="6:7">
      <c r="F1884"/>
      <c r="G1884"/>
    </row>
    <row r="1885" spans="6:7">
      <c r="F1885"/>
      <c r="G1885"/>
    </row>
    <row r="1886" spans="6:7">
      <c r="F1886"/>
      <c r="G1886"/>
    </row>
    <row r="1887" spans="6:7">
      <c r="F1887"/>
      <c r="G1887"/>
    </row>
    <row r="1888" spans="6:7">
      <c r="F1888"/>
      <c r="G1888"/>
    </row>
    <row r="1889" spans="6:7">
      <c r="F1889"/>
      <c r="G1889"/>
    </row>
    <row r="1890" spans="6:7">
      <c r="F1890"/>
      <c r="G1890"/>
    </row>
    <row r="1891" spans="6:7">
      <c r="F1891"/>
      <c r="G1891"/>
    </row>
    <row r="1892" spans="6:7">
      <c r="F1892"/>
      <c r="G1892"/>
    </row>
    <row r="1893" spans="6:7">
      <c r="F1893"/>
      <c r="G1893"/>
    </row>
    <row r="1894" spans="6:7">
      <c r="F1894"/>
      <c r="G1894"/>
    </row>
    <row r="1895" spans="6:7">
      <c r="F1895"/>
      <c r="G1895"/>
    </row>
    <row r="1896" spans="6:7">
      <c r="F1896"/>
      <c r="G1896"/>
    </row>
    <row r="1897" spans="6:7">
      <c r="F1897"/>
      <c r="G1897"/>
    </row>
    <row r="1898" spans="6:7">
      <c r="F1898"/>
      <c r="G1898"/>
    </row>
    <row r="1899" spans="6:7">
      <c r="F1899"/>
      <c r="G1899"/>
    </row>
    <row r="1900" spans="6:7">
      <c r="F1900"/>
      <c r="G1900"/>
    </row>
    <row r="1901" spans="6:7">
      <c r="F1901"/>
      <c r="G1901"/>
    </row>
    <row r="1902" spans="6:7">
      <c r="F1902"/>
      <c r="G1902"/>
    </row>
    <row r="1903" spans="6:7">
      <c r="F1903"/>
      <c r="G1903"/>
    </row>
    <row r="1904" spans="6:7">
      <c r="F1904"/>
      <c r="G1904"/>
    </row>
    <row r="1905" spans="6:7">
      <c r="F1905"/>
      <c r="G1905"/>
    </row>
    <row r="1906" spans="6:7">
      <c r="F1906"/>
      <c r="G1906"/>
    </row>
    <row r="1907" spans="6:7">
      <c r="F1907"/>
      <c r="G1907"/>
    </row>
    <row r="1908" spans="6:7">
      <c r="F1908"/>
      <c r="G1908"/>
    </row>
    <row r="1909" spans="6:7">
      <c r="F1909"/>
      <c r="G1909"/>
    </row>
    <row r="1910" spans="6:7">
      <c r="F1910"/>
      <c r="G1910"/>
    </row>
    <row r="1911" spans="6:7">
      <c r="F1911"/>
      <c r="G1911"/>
    </row>
    <row r="1912" spans="6:7">
      <c r="F1912"/>
      <c r="G1912"/>
    </row>
    <row r="1913" spans="6:7">
      <c r="F1913"/>
      <c r="G1913"/>
    </row>
    <row r="1914" spans="6:7">
      <c r="F1914"/>
      <c r="G1914"/>
    </row>
    <row r="1915" spans="6:7">
      <c r="F1915"/>
      <c r="G1915"/>
    </row>
    <row r="1916" spans="6:7">
      <c r="F1916"/>
      <c r="G1916"/>
    </row>
    <row r="1917" spans="6:7">
      <c r="F1917"/>
      <c r="G1917"/>
    </row>
    <row r="1918" spans="6:7">
      <c r="F1918"/>
      <c r="G1918"/>
    </row>
    <row r="1919" spans="6:7">
      <c r="F1919"/>
      <c r="G1919"/>
    </row>
    <row r="1920" spans="6:7">
      <c r="F1920"/>
      <c r="G1920"/>
    </row>
    <row r="1921" spans="6:7">
      <c r="F1921"/>
      <c r="G1921"/>
    </row>
    <row r="1922" spans="6:7">
      <c r="F1922"/>
      <c r="G1922"/>
    </row>
    <row r="1923" spans="6:7">
      <c r="F1923"/>
      <c r="G1923"/>
    </row>
    <row r="1924" spans="6:7">
      <c r="F1924"/>
      <c r="G1924"/>
    </row>
    <row r="1925" spans="6:7">
      <c r="F1925"/>
      <c r="G1925"/>
    </row>
    <row r="1926" spans="6:7">
      <c r="F1926"/>
      <c r="G1926"/>
    </row>
    <row r="1927" spans="6:7">
      <c r="F1927"/>
      <c r="G1927"/>
    </row>
    <row r="1928" spans="6:7">
      <c r="F1928"/>
      <c r="G1928"/>
    </row>
    <row r="1929" spans="6:7">
      <c r="F1929"/>
      <c r="G1929"/>
    </row>
    <row r="1930" spans="6:7">
      <c r="F1930"/>
      <c r="G1930"/>
    </row>
    <row r="1931" spans="6:7">
      <c r="F1931"/>
      <c r="G1931"/>
    </row>
    <row r="1932" spans="6:7">
      <c r="F1932"/>
      <c r="G1932"/>
    </row>
    <row r="1933" spans="6:7">
      <c r="F1933"/>
      <c r="G1933"/>
    </row>
    <row r="1934" spans="6:7">
      <c r="F1934"/>
      <c r="G1934"/>
    </row>
    <row r="1935" spans="6:7">
      <c r="F1935"/>
      <c r="G1935"/>
    </row>
    <row r="1936" spans="6:7">
      <c r="F1936"/>
      <c r="G1936"/>
    </row>
    <row r="1937" spans="6:7">
      <c r="F1937"/>
      <c r="G1937"/>
    </row>
    <row r="1938" spans="6:7">
      <c r="F1938"/>
      <c r="G1938"/>
    </row>
    <row r="1939" spans="6:7">
      <c r="F1939"/>
      <c r="G1939"/>
    </row>
    <row r="1940" spans="6:7">
      <c r="F1940"/>
      <c r="G1940"/>
    </row>
    <row r="1941" spans="6:7">
      <c r="F1941"/>
      <c r="G1941"/>
    </row>
    <row r="1942" spans="6:7">
      <c r="F1942"/>
      <c r="G1942"/>
    </row>
    <row r="1943" spans="6:7">
      <c r="F1943"/>
      <c r="G1943"/>
    </row>
    <row r="1944" spans="6:7">
      <c r="F1944"/>
      <c r="G1944"/>
    </row>
    <row r="1945" spans="6:7">
      <c r="F1945"/>
      <c r="G1945"/>
    </row>
    <row r="1946" spans="6:7">
      <c r="F1946"/>
      <c r="G1946"/>
    </row>
    <row r="1947" spans="6:7">
      <c r="F1947"/>
      <c r="G1947"/>
    </row>
    <row r="1948" spans="6:7">
      <c r="F1948"/>
      <c r="G1948"/>
    </row>
    <row r="1949" spans="6:7">
      <c r="F1949"/>
      <c r="G1949"/>
    </row>
    <row r="1950" spans="6:7">
      <c r="F1950"/>
      <c r="G1950"/>
    </row>
    <row r="1951" spans="6:7">
      <c r="F1951"/>
      <c r="G1951"/>
    </row>
    <row r="1952" spans="6:7">
      <c r="F1952"/>
      <c r="G1952"/>
    </row>
    <row r="1953" spans="6:7">
      <c r="F1953"/>
      <c r="G1953"/>
    </row>
    <row r="1954" spans="6:7">
      <c r="F1954"/>
      <c r="G1954"/>
    </row>
    <row r="1955" spans="6:7">
      <c r="F1955"/>
      <c r="G1955"/>
    </row>
    <row r="1956" spans="6:7">
      <c r="F1956"/>
      <c r="G1956"/>
    </row>
    <row r="1957" spans="6:7">
      <c r="F1957"/>
      <c r="G1957"/>
    </row>
    <row r="1958" spans="6:7">
      <c r="F1958"/>
      <c r="G1958"/>
    </row>
    <row r="1959" spans="6:7">
      <c r="F1959"/>
      <c r="G1959"/>
    </row>
  </sheetData>
  <autoFilter ref="A1:G3073">
    <sortState ref="A2:G3073">
      <sortCondition ref="B1"/>
    </sortState>
  </autoFilter>
  <phoneticPr fontId="6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_db_d">
    <tabColor theme="0"/>
  </sheetPr>
  <dimension ref="A1:J90"/>
  <sheetViews>
    <sheetView zoomScaleNormal="100" workbookViewId="0">
      <pane ySplit="7" topLeftCell="A8" activePane="bottomLeft" state="frozen"/>
      <selection pane="bottomLeft" activeCell="N13" sqref="N13"/>
    </sheetView>
  </sheetViews>
  <sheetFormatPr defaultRowHeight="12.75"/>
  <cols>
    <col min="1" max="1" width="14" style="14" bestFit="1" customWidth="1"/>
    <col min="2" max="2" width="25" style="14" bestFit="1" customWidth="1"/>
    <col min="3" max="3" width="5.42578125" style="14" bestFit="1" customWidth="1"/>
    <col min="4" max="4" width="11.140625" style="14" bestFit="1" customWidth="1"/>
    <col min="5" max="6" width="7.85546875" style="14" bestFit="1" customWidth="1"/>
    <col min="7" max="8" width="10" style="14" bestFit="1" customWidth="1"/>
    <col min="9" max="9" width="9.140625" style="14"/>
    <col min="10" max="10" width="12" style="14" bestFit="1" customWidth="1"/>
    <col min="11" max="16384" width="9.140625" style="14"/>
  </cols>
  <sheetData>
    <row r="1" spans="1:10">
      <c r="F1" s="15" t="s">
        <v>7</v>
      </c>
      <c r="G1" s="15" t="s">
        <v>6</v>
      </c>
      <c r="H1" s="15" t="s">
        <v>6</v>
      </c>
    </row>
    <row r="2" spans="1:10">
      <c r="F2" s="16" t="s">
        <v>455</v>
      </c>
      <c r="G2" s="17" t="s">
        <v>456</v>
      </c>
      <c r="H2" s="17" t="s">
        <v>456</v>
      </c>
    </row>
    <row r="3" spans="1:10">
      <c r="F3" s="16" t="s">
        <v>457</v>
      </c>
      <c r="G3" s="16" t="s">
        <v>458</v>
      </c>
      <c r="H3" s="16" t="s">
        <v>458</v>
      </c>
    </row>
    <row r="4" spans="1:10">
      <c r="I4" s="14" t="s">
        <v>459</v>
      </c>
      <c r="J4" s="15" t="s">
        <v>460</v>
      </c>
    </row>
    <row r="5" spans="1:10" ht="45.75" customHeight="1" thickBot="1">
      <c r="A5" s="18">
        <v>1</v>
      </c>
      <c r="B5" s="18">
        <v>2</v>
      </c>
      <c r="C5" s="18">
        <v>3</v>
      </c>
      <c r="D5" s="18">
        <v>4</v>
      </c>
      <c r="E5" s="18">
        <v>5</v>
      </c>
      <c r="F5" s="18">
        <v>6</v>
      </c>
      <c r="G5" s="18">
        <v>7</v>
      </c>
      <c r="H5" s="18">
        <v>8</v>
      </c>
      <c r="I5" s="18">
        <v>9</v>
      </c>
      <c r="J5" s="18">
        <v>10</v>
      </c>
    </row>
    <row r="6" spans="1:10">
      <c r="A6" s="330" t="s">
        <v>32</v>
      </c>
      <c r="B6" s="330" t="s">
        <v>33</v>
      </c>
      <c r="C6" s="330" t="s">
        <v>34</v>
      </c>
      <c r="D6" s="330" t="s">
        <v>5</v>
      </c>
      <c r="E6" s="330" t="s">
        <v>35</v>
      </c>
      <c r="F6" s="327" t="s">
        <v>461</v>
      </c>
      <c r="G6" s="328"/>
      <c r="H6" s="328"/>
      <c r="I6" s="328"/>
      <c r="J6" s="329"/>
    </row>
    <row r="7" spans="1:10" ht="13.5" thickBot="1">
      <c r="A7" s="331"/>
      <c r="B7" s="331"/>
      <c r="C7" s="331"/>
      <c r="D7" s="331"/>
      <c r="E7" s="331"/>
      <c r="F7" s="125" t="s">
        <v>7</v>
      </c>
      <c r="G7" s="19" t="s">
        <v>413</v>
      </c>
      <c r="H7" s="19" t="s">
        <v>462</v>
      </c>
      <c r="I7" s="20" t="s">
        <v>463</v>
      </c>
      <c r="J7" s="21" t="s">
        <v>464</v>
      </c>
    </row>
    <row r="8" spans="1:10">
      <c r="A8" s="22" t="s">
        <v>430</v>
      </c>
      <c r="B8" s="23" t="s">
        <v>437</v>
      </c>
      <c r="C8" s="24" t="s">
        <v>465</v>
      </c>
      <c r="D8" s="24" t="s">
        <v>44</v>
      </c>
      <c r="E8" s="24">
        <v>120</v>
      </c>
      <c r="F8" s="24"/>
      <c r="G8" s="25"/>
      <c r="H8" s="25"/>
      <c r="I8" s="26" t="s">
        <v>466</v>
      </c>
      <c r="J8" s="27" t="s">
        <v>466</v>
      </c>
    </row>
    <row r="9" spans="1:10">
      <c r="A9" s="28" t="s">
        <v>431</v>
      </c>
      <c r="B9" s="29" t="s">
        <v>467</v>
      </c>
      <c r="C9" s="30" t="s">
        <v>465</v>
      </c>
      <c r="D9" s="30" t="s">
        <v>468</v>
      </c>
      <c r="E9" s="30">
        <v>230</v>
      </c>
      <c r="F9" s="30"/>
      <c r="G9" s="31"/>
      <c r="H9" s="31"/>
      <c r="I9" s="32" t="s">
        <v>466</v>
      </c>
      <c r="J9" s="33"/>
    </row>
    <row r="10" spans="1:10">
      <c r="A10" s="28" t="s">
        <v>432</v>
      </c>
      <c r="B10" s="29" t="s">
        <v>433</v>
      </c>
      <c r="C10" s="30" t="s">
        <v>469</v>
      </c>
      <c r="D10" s="30" t="s">
        <v>470</v>
      </c>
      <c r="E10" s="30">
        <v>230</v>
      </c>
      <c r="F10" s="30"/>
      <c r="G10" s="30"/>
      <c r="H10" s="30" t="s">
        <v>466</v>
      </c>
      <c r="I10" s="32"/>
      <c r="J10" s="33"/>
    </row>
    <row r="11" spans="1:10">
      <c r="A11" s="29" t="s">
        <v>471</v>
      </c>
      <c r="B11" s="29" t="s">
        <v>472</v>
      </c>
      <c r="C11" s="30" t="s">
        <v>465</v>
      </c>
      <c r="D11" s="30" t="s">
        <v>473</v>
      </c>
      <c r="E11" s="30">
        <v>230</v>
      </c>
      <c r="F11" s="30" t="s">
        <v>466</v>
      </c>
      <c r="G11" s="30" t="s">
        <v>466</v>
      </c>
      <c r="H11" s="31"/>
      <c r="I11" s="32"/>
      <c r="J11" s="33" t="s">
        <v>466</v>
      </c>
    </row>
    <row r="12" spans="1:10">
      <c r="A12" s="34" t="s">
        <v>434</v>
      </c>
      <c r="B12" s="34" t="s">
        <v>435</v>
      </c>
      <c r="C12" s="35" t="s">
        <v>469</v>
      </c>
      <c r="D12" s="35" t="s">
        <v>41</v>
      </c>
      <c r="E12" s="35">
        <v>220</v>
      </c>
      <c r="F12" s="35" t="s">
        <v>466</v>
      </c>
      <c r="G12" s="35" t="s">
        <v>466</v>
      </c>
      <c r="H12" s="36"/>
      <c r="I12" s="37"/>
      <c r="J12" s="38" t="s">
        <v>466</v>
      </c>
    </row>
    <row r="13" spans="1:10">
      <c r="A13" s="29" t="s">
        <v>474</v>
      </c>
      <c r="B13" s="29" t="s">
        <v>475</v>
      </c>
      <c r="C13" s="30" t="s">
        <v>465</v>
      </c>
      <c r="D13" s="30" t="s">
        <v>45</v>
      </c>
      <c r="E13" s="30">
        <v>220</v>
      </c>
      <c r="F13" s="30" t="s">
        <v>466</v>
      </c>
      <c r="G13" s="30" t="s">
        <v>466</v>
      </c>
      <c r="H13" s="31"/>
      <c r="I13" s="32"/>
      <c r="J13" s="33"/>
    </row>
    <row r="14" spans="1:10">
      <c r="A14" s="28" t="s">
        <v>476</v>
      </c>
      <c r="B14" s="29" t="s">
        <v>477</v>
      </c>
      <c r="C14" s="30" t="s">
        <v>465</v>
      </c>
      <c r="D14" s="30" t="s">
        <v>47</v>
      </c>
      <c r="E14" s="24">
        <v>120</v>
      </c>
      <c r="F14" s="30"/>
      <c r="G14" s="30"/>
      <c r="H14" s="30" t="s">
        <v>466</v>
      </c>
      <c r="I14" s="32"/>
      <c r="J14" s="33"/>
    </row>
    <row r="15" spans="1:10">
      <c r="A15" s="29" t="s">
        <v>478</v>
      </c>
      <c r="B15" s="29" t="s">
        <v>479</v>
      </c>
      <c r="C15" s="30" t="s">
        <v>465</v>
      </c>
      <c r="D15" s="30" t="s">
        <v>45</v>
      </c>
      <c r="E15" s="30">
        <v>220</v>
      </c>
      <c r="F15" s="30" t="s">
        <v>466</v>
      </c>
      <c r="G15" s="30" t="s">
        <v>466</v>
      </c>
      <c r="H15" s="31"/>
      <c r="I15" s="32"/>
      <c r="J15" s="33"/>
    </row>
    <row r="16" spans="1:10">
      <c r="A16" s="39" t="s">
        <v>480</v>
      </c>
      <c r="B16" s="29" t="s">
        <v>481</v>
      </c>
      <c r="C16" s="40" t="s">
        <v>465</v>
      </c>
      <c r="D16" s="30" t="s">
        <v>47</v>
      </c>
      <c r="E16" s="30">
        <v>120</v>
      </c>
      <c r="F16" s="30" t="s">
        <v>466</v>
      </c>
      <c r="G16" s="30" t="s">
        <v>466</v>
      </c>
      <c r="H16" s="31"/>
      <c r="I16" s="32"/>
      <c r="J16" s="33"/>
    </row>
    <row r="17" spans="1:10">
      <c r="A17" s="41" t="s">
        <v>482</v>
      </c>
      <c r="B17" s="42" t="s">
        <v>483</v>
      </c>
      <c r="C17" s="43" t="s">
        <v>469</v>
      </c>
      <c r="D17" s="43" t="s">
        <v>41</v>
      </c>
      <c r="E17" s="30">
        <v>220</v>
      </c>
      <c r="F17" s="43"/>
      <c r="G17" s="43"/>
      <c r="H17" s="30" t="s">
        <v>466</v>
      </c>
      <c r="I17" s="44"/>
      <c r="J17" s="45" t="s">
        <v>466</v>
      </c>
    </row>
    <row r="18" spans="1:10">
      <c r="A18" s="41" t="s">
        <v>484</v>
      </c>
      <c r="B18" s="42" t="s">
        <v>485</v>
      </c>
      <c r="C18" s="43" t="s">
        <v>469</v>
      </c>
      <c r="D18" s="43" t="s">
        <v>43</v>
      </c>
      <c r="E18" s="30">
        <v>230</v>
      </c>
      <c r="F18" s="43"/>
      <c r="G18" s="43"/>
      <c r="H18" s="30" t="s">
        <v>466</v>
      </c>
      <c r="I18" s="44"/>
      <c r="J18" s="45"/>
    </row>
    <row r="19" spans="1:10">
      <c r="A19" s="41" t="s">
        <v>436</v>
      </c>
      <c r="B19" s="42" t="s">
        <v>437</v>
      </c>
      <c r="C19" s="43" t="s">
        <v>465</v>
      </c>
      <c r="D19" s="43" t="s">
        <v>44</v>
      </c>
      <c r="E19" s="24">
        <v>120</v>
      </c>
      <c r="F19" s="43"/>
      <c r="G19" s="46"/>
      <c r="H19" s="25"/>
      <c r="I19" s="44" t="s">
        <v>466</v>
      </c>
      <c r="J19" s="45" t="s">
        <v>466</v>
      </c>
    </row>
    <row r="20" spans="1:10">
      <c r="A20" s="41" t="s">
        <v>486</v>
      </c>
      <c r="B20" s="42" t="s">
        <v>467</v>
      </c>
      <c r="C20" s="43" t="s">
        <v>469</v>
      </c>
      <c r="D20" s="43" t="s">
        <v>470</v>
      </c>
      <c r="E20" s="30">
        <v>230</v>
      </c>
      <c r="F20" s="43"/>
      <c r="G20" s="43"/>
      <c r="H20" s="30" t="s">
        <v>466</v>
      </c>
      <c r="I20" s="44"/>
      <c r="J20" s="45"/>
    </row>
    <row r="21" spans="1:10">
      <c r="A21" s="47" t="s">
        <v>438</v>
      </c>
      <c r="B21" s="42" t="s">
        <v>439</v>
      </c>
      <c r="C21" s="43" t="s">
        <v>469</v>
      </c>
      <c r="D21" s="43" t="s">
        <v>41</v>
      </c>
      <c r="E21" s="30">
        <v>220</v>
      </c>
      <c r="F21" s="43" t="s">
        <v>466</v>
      </c>
      <c r="G21" s="43" t="s">
        <v>466</v>
      </c>
      <c r="H21" s="31"/>
      <c r="I21" s="44"/>
      <c r="J21" s="45" t="s">
        <v>466</v>
      </c>
    </row>
    <row r="22" spans="1:10">
      <c r="A22" s="42" t="s">
        <v>487</v>
      </c>
      <c r="B22" s="42" t="s">
        <v>488</v>
      </c>
      <c r="C22" s="43" t="s">
        <v>465</v>
      </c>
      <c r="D22" s="43" t="s">
        <v>45</v>
      </c>
      <c r="E22" s="30">
        <v>220</v>
      </c>
      <c r="F22" s="43" t="s">
        <v>466</v>
      </c>
      <c r="G22" s="43" t="s">
        <v>466</v>
      </c>
      <c r="H22" s="31"/>
      <c r="I22" s="44"/>
      <c r="J22" s="45"/>
    </row>
    <row r="23" spans="1:10">
      <c r="A23" s="42" t="s">
        <v>489</v>
      </c>
      <c r="B23" s="42" t="s">
        <v>490</v>
      </c>
      <c r="C23" s="43" t="s">
        <v>465</v>
      </c>
      <c r="D23" s="43" t="s">
        <v>47</v>
      </c>
      <c r="E23" s="24">
        <v>120</v>
      </c>
      <c r="F23" s="43" t="s">
        <v>466</v>
      </c>
      <c r="G23" s="43" t="s">
        <v>466</v>
      </c>
      <c r="H23" s="25"/>
      <c r="I23" s="44"/>
      <c r="J23" s="45"/>
    </row>
    <row r="24" spans="1:10">
      <c r="A24" s="42" t="s">
        <v>440</v>
      </c>
      <c r="B24" s="42" t="s">
        <v>441</v>
      </c>
      <c r="C24" s="43" t="s">
        <v>465</v>
      </c>
      <c r="D24" s="43" t="s">
        <v>468</v>
      </c>
      <c r="E24" s="30">
        <v>230</v>
      </c>
      <c r="F24" s="43" t="s">
        <v>466</v>
      </c>
      <c r="G24" s="43" t="s">
        <v>466</v>
      </c>
      <c r="H24" s="31"/>
      <c r="I24" s="44"/>
      <c r="J24" s="45" t="s">
        <v>466</v>
      </c>
    </row>
    <row r="25" spans="1:10">
      <c r="A25" s="42" t="s">
        <v>491</v>
      </c>
      <c r="B25" s="42" t="s">
        <v>492</v>
      </c>
      <c r="C25" s="43" t="s">
        <v>465</v>
      </c>
      <c r="D25" s="43" t="s">
        <v>45</v>
      </c>
      <c r="E25" s="43">
        <v>220</v>
      </c>
      <c r="F25" s="43" t="s">
        <v>466</v>
      </c>
      <c r="G25" s="43" t="s">
        <v>466</v>
      </c>
      <c r="H25" s="48"/>
      <c r="I25" s="44"/>
      <c r="J25" s="45"/>
    </row>
    <row r="26" spans="1:10">
      <c r="A26" s="41" t="s">
        <v>493</v>
      </c>
      <c r="B26" s="42" t="s">
        <v>494</v>
      </c>
      <c r="C26" s="43" t="s">
        <v>469</v>
      </c>
      <c r="D26" s="43" t="s">
        <v>43</v>
      </c>
      <c r="E26" s="30">
        <v>230</v>
      </c>
      <c r="F26" s="43"/>
      <c r="G26" s="43"/>
      <c r="H26" s="30" t="s">
        <v>466</v>
      </c>
      <c r="I26" s="44"/>
      <c r="J26" s="45"/>
    </row>
    <row r="27" spans="1:10">
      <c r="A27" s="49" t="s">
        <v>495</v>
      </c>
      <c r="B27" s="42" t="s">
        <v>496</v>
      </c>
      <c r="C27" s="43" t="s">
        <v>497</v>
      </c>
      <c r="D27" s="43" t="s">
        <v>44</v>
      </c>
      <c r="E27" s="30">
        <v>120</v>
      </c>
      <c r="F27" s="43" t="s">
        <v>466</v>
      </c>
      <c r="G27" s="43"/>
      <c r="H27" s="30"/>
      <c r="I27" s="44"/>
      <c r="J27" s="45" t="s">
        <v>466</v>
      </c>
    </row>
    <row r="28" spans="1:10">
      <c r="A28" s="49" t="s">
        <v>498</v>
      </c>
      <c r="B28" s="42" t="s">
        <v>499</v>
      </c>
      <c r="C28" s="43" t="s">
        <v>497</v>
      </c>
      <c r="D28" s="43" t="s">
        <v>44</v>
      </c>
      <c r="E28" s="30">
        <v>120</v>
      </c>
      <c r="F28" s="43" t="s">
        <v>466</v>
      </c>
      <c r="G28" s="43"/>
      <c r="H28" s="30"/>
      <c r="I28" s="44"/>
      <c r="J28" s="45" t="s">
        <v>466</v>
      </c>
    </row>
    <row r="29" spans="1:10">
      <c r="A29" s="41" t="s">
        <v>500</v>
      </c>
      <c r="B29" s="42" t="s">
        <v>501</v>
      </c>
      <c r="C29" s="43" t="s">
        <v>497</v>
      </c>
      <c r="D29" s="43" t="s">
        <v>470</v>
      </c>
      <c r="E29" s="30">
        <v>230</v>
      </c>
      <c r="F29" s="43"/>
      <c r="G29" s="43"/>
      <c r="H29" s="30" t="s">
        <v>466</v>
      </c>
      <c r="I29" s="44"/>
      <c r="J29" s="45"/>
    </row>
    <row r="30" spans="1:10">
      <c r="A30" s="42" t="s">
        <v>502</v>
      </c>
      <c r="B30" s="42" t="s">
        <v>503</v>
      </c>
      <c r="C30" s="43" t="s">
        <v>497</v>
      </c>
      <c r="D30" s="43" t="s">
        <v>473</v>
      </c>
      <c r="E30" s="30">
        <v>230</v>
      </c>
      <c r="F30" s="43" t="s">
        <v>466</v>
      </c>
      <c r="G30" s="48"/>
      <c r="H30" s="31"/>
      <c r="I30" s="44"/>
      <c r="J30" s="45" t="s">
        <v>466</v>
      </c>
    </row>
    <row r="31" spans="1:10">
      <c r="A31" s="42" t="s">
        <v>442</v>
      </c>
      <c r="B31" s="42" t="s">
        <v>443</v>
      </c>
      <c r="C31" s="43" t="s">
        <v>497</v>
      </c>
      <c r="D31" s="43" t="s">
        <v>41</v>
      </c>
      <c r="E31" s="30">
        <v>220</v>
      </c>
      <c r="F31" s="43" t="s">
        <v>466</v>
      </c>
      <c r="G31" s="48"/>
      <c r="H31" s="31"/>
      <c r="I31" s="44"/>
      <c r="J31" s="45" t="s">
        <v>466</v>
      </c>
    </row>
    <row r="32" spans="1:10">
      <c r="A32" s="42" t="s">
        <v>504</v>
      </c>
      <c r="B32" s="42" t="s">
        <v>505</v>
      </c>
      <c r="C32" s="43" t="s">
        <v>497</v>
      </c>
      <c r="D32" s="43" t="s">
        <v>45</v>
      </c>
      <c r="E32" s="30">
        <v>220</v>
      </c>
      <c r="F32" s="43" t="s">
        <v>466</v>
      </c>
      <c r="G32" s="48"/>
      <c r="H32" s="31"/>
      <c r="I32" s="44"/>
      <c r="J32" s="45" t="s">
        <v>466</v>
      </c>
    </row>
    <row r="33" spans="1:10">
      <c r="A33" s="42" t="s">
        <v>506</v>
      </c>
      <c r="B33" s="42" t="s">
        <v>507</v>
      </c>
      <c r="C33" s="43" t="s">
        <v>497</v>
      </c>
      <c r="D33" s="43" t="s">
        <v>47</v>
      </c>
      <c r="E33" s="24">
        <v>120</v>
      </c>
      <c r="F33" s="43" t="s">
        <v>466</v>
      </c>
      <c r="G33" s="46"/>
      <c r="H33" s="25"/>
      <c r="I33" s="44"/>
      <c r="J33" s="45" t="s">
        <v>466</v>
      </c>
    </row>
    <row r="34" spans="1:10">
      <c r="A34" s="42" t="s">
        <v>508</v>
      </c>
      <c r="B34" s="42" t="s">
        <v>509</v>
      </c>
      <c r="C34" s="43" t="s">
        <v>497</v>
      </c>
      <c r="D34" s="43" t="s">
        <v>45</v>
      </c>
      <c r="E34" s="30">
        <v>220</v>
      </c>
      <c r="F34" s="43" t="s">
        <v>466</v>
      </c>
      <c r="G34" s="48"/>
      <c r="H34" s="31"/>
      <c r="I34" s="44"/>
      <c r="J34" s="45" t="s">
        <v>466</v>
      </c>
    </row>
    <row r="35" spans="1:10">
      <c r="A35" s="42" t="s">
        <v>510</v>
      </c>
      <c r="B35" s="42" t="s">
        <v>511</v>
      </c>
      <c r="C35" s="43" t="s">
        <v>497</v>
      </c>
      <c r="D35" s="43" t="s">
        <v>43</v>
      </c>
      <c r="E35" s="30">
        <v>230</v>
      </c>
      <c r="F35" s="43"/>
      <c r="G35" s="43"/>
      <c r="H35" s="30"/>
      <c r="I35" s="44"/>
      <c r="J35" s="45"/>
    </row>
    <row r="36" spans="1:10">
      <c r="A36" s="49" t="s">
        <v>512</v>
      </c>
      <c r="B36" s="42" t="s">
        <v>513</v>
      </c>
      <c r="C36" s="43" t="s">
        <v>497</v>
      </c>
      <c r="D36" s="43" t="s">
        <v>44</v>
      </c>
      <c r="E36" s="30">
        <v>120</v>
      </c>
      <c r="F36" s="43" t="s">
        <v>466</v>
      </c>
      <c r="G36" s="43"/>
      <c r="H36" s="30"/>
      <c r="I36" s="44"/>
      <c r="J36" s="45" t="s">
        <v>466</v>
      </c>
    </row>
    <row r="37" spans="1:10">
      <c r="A37" s="49" t="s">
        <v>514</v>
      </c>
      <c r="B37" s="42" t="s">
        <v>515</v>
      </c>
      <c r="C37" s="43" t="s">
        <v>497</v>
      </c>
      <c r="D37" s="43" t="s">
        <v>44</v>
      </c>
      <c r="E37" s="30">
        <v>120</v>
      </c>
      <c r="F37" s="43" t="s">
        <v>466</v>
      </c>
      <c r="G37" s="43"/>
      <c r="H37" s="30"/>
      <c r="I37" s="44"/>
      <c r="J37" s="45" t="s">
        <v>466</v>
      </c>
    </row>
    <row r="38" spans="1:10">
      <c r="A38" s="42" t="s">
        <v>444</v>
      </c>
      <c r="B38" s="42" t="s">
        <v>445</v>
      </c>
      <c r="C38" s="43" t="s">
        <v>497</v>
      </c>
      <c r="D38" s="43" t="s">
        <v>468</v>
      </c>
      <c r="E38" s="30">
        <v>230</v>
      </c>
      <c r="F38" s="43" t="s">
        <v>466</v>
      </c>
      <c r="G38" s="48"/>
      <c r="H38" s="31"/>
      <c r="I38" s="44"/>
      <c r="J38" s="45" t="s">
        <v>466</v>
      </c>
    </row>
    <row r="39" spans="1:10">
      <c r="A39" s="41" t="s">
        <v>516</v>
      </c>
      <c r="B39" s="42" t="s">
        <v>517</v>
      </c>
      <c r="C39" s="43" t="s">
        <v>497</v>
      </c>
      <c r="D39" s="43" t="s">
        <v>470</v>
      </c>
      <c r="E39" s="30">
        <v>230</v>
      </c>
      <c r="F39" s="43"/>
      <c r="G39" s="43"/>
      <c r="H39" s="30" t="s">
        <v>466</v>
      </c>
      <c r="I39" s="44"/>
      <c r="J39" s="45"/>
    </row>
    <row r="40" spans="1:10">
      <c r="A40" s="42" t="s">
        <v>518</v>
      </c>
      <c r="B40" s="42" t="s">
        <v>519</v>
      </c>
      <c r="C40" s="43" t="s">
        <v>497</v>
      </c>
      <c r="D40" s="43" t="s">
        <v>473</v>
      </c>
      <c r="E40" s="30">
        <v>230</v>
      </c>
      <c r="F40" s="43" t="s">
        <v>466</v>
      </c>
      <c r="G40" s="48"/>
      <c r="H40" s="31"/>
      <c r="I40" s="44"/>
      <c r="J40" s="45" t="s">
        <v>466</v>
      </c>
    </row>
    <row r="41" spans="1:10">
      <c r="A41" s="42" t="s">
        <v>520</v>
      </c>
      <c r="B41" s="42" t="s">
        <v>521</v>
      </c>
      <c r="C41" s="43" t="s">
        <v>497</v>
      </c>
      <c r="D41" s="43" t="s">
        <v>41</v>
      </c>
      <c r="E41" s="43">
        <v>220</v>
      </c>
      <c r="F41" s="43" t="s">
        <v>466</v>
      </c>
      <c r="G41" s="48"/>
      <c r="H41" s="48"/>
      <c r="I41" s="44"/>
      <c r="J41" s="45" t="s">
        <v>466</v>
      </c>
    </row>
    <row r="42" spans="1:10">
      <c r="A42" s="42" t="s">
        <v>522</v>
      </c>
      <c r="B42" s="42" t="s">
        <v>523</v>
      </c>
      <c r="C42" s="43" t="s">
        <v>497</v>
      </c>
      <c r="D42" s="43" t="s">
        <v>45</v>
      </c>
      <c r="E42" s="43">
        <v>220</v>
      </c>
      <c r="F42" s="43" t="s">
        <v>466</v>
      </c>
      <c r="G42" s="48"/>
      <c r="H42" s="48"/>
      <c r="I42" s="44"/>
      <c r="J42" s="45" t="s">
        <v>466</v>
      </c>
    </row>
    <row r="43" spans="1:10">
      <c r="A43" s="42" t="s">
        <v>524</v>
      </c>
      <c r="B43" s="42" t="s">
        <v>525</v>
      </c>
      <c r="C43" s="43" t="s">
        <v>497</v>
      </c>
      <c r="D43" s="43" t="s">
        <v>47</v>
      </c>
      <c r="E43" s="24">
        <v>120</v>
      </c>
      <c r="F43" s="43" t="s">
        <v>466</v>
      </c>
      <c r="G43" s="46"/>
      <c r="H43" s="25"/>
      <c r="I43" s="44"/>
      <c r="J43" s="45" t="s">
        <v>466</v>
      </c>
    </row>
    <row r="44" spans="1:10">
      <c r="A44" s="42" t="s">
        <v>526</v>
      </c>
      <c r="B44" s="42" t="s">
        <v>527</v>
      </c>
      <c r="C44" s="43" t="s">
        <v>497</v>
      </c>
      <c r="D44" s="43" t="s">
        <v>45</v>
      </c>
      <c r="E44" s="43">
        <v>220</v>
      </c>
      <c r="F44" s="43" t="s">
        <v>466</v>
      </c>
      <c r="G44" s="48"/>
      <c r="H44" s="48"/>
      <c r="I44" s="44"/>
      <c r="J44" s="45"/>
    </row>
    <row r="45" spans="1:10">
      <c r="A45" s="41" t="s">
        <v>528</v>
      </c>
      <c r="B45" s="42" t="s">
        <v>529</v>
      </c>
      <c r="C45" s="43" t="s">
        <v>497</v>
      </c>
      <c r="D45" s="43" t="s">
        <v>43</v>
      </c>
      <c r="E45" s="43">
        <v>230</v>
      </c>
      <c r="F45" s="43"/>
      <c r="G45" s="43"/>
      <c r="H45" s="30" t="s">
        <v>466</v>
      </c>
      <c r="I45" s="44"/>
      <c r="J45" s="45"/>
    </row>
    <row r="46" spans="1:10">
      <c r="A46" s="41" t="s">
        <v>530</v>
      </c>
      <c r="B46" s="42" t="s">
        <v>531</v>
      </c>
      <c r="C46" s="43" t="s">
        <v>469</v>
      </c>
      <c r="D46" s="43" t="s">
        <v>44</v>
      </c>
      <c r="E46" s="24">
        <v>120</v>
      </c>
      <c r="F46" s="43"/>
      <c r="G46" s="46"/>
      <c r="H46" s="25"/>
      <c r="I46" s="44" t="s">
        <v>466</v>
      </c>
      <c r="J46" s="45" t="s">
        <v>466</v>
      </c>
    </row>
    <row r="47" spans="1:10">
      <c r="A47" s="41" t="s">
        <v>446</v>
      </c>
      <c r="B47" s="42" t="s">
        <v>447</v>
      </c>
      <c r="C47" s="43" t="s">
        <v>469</v>
      </c>
      <c r="D47" s="43" t="s">
        <v>468</v>
      </c>
      <c r="E47" s="30">
        <v>230</v>
      </c>
      <c r="F47" s="43"/>
      <c r="G47" s="43"/>
      <c r="H47" s="30" t="s">
        <v>466</v>
      </c>
      <c r="I47" s="44"/>
      <c r="J47" s="45"/>
    </row>
    <row r="48" spans="1:10">
      <c r="A48" s="41" t="s">
        <v>448</v>
      </c>
      <c r="B48" s="42" t="s">
        <v>449</v>
      </c>
      <c r="C48" s="43" t="s">
        <v>469</v>
      </c>
      <c r="D48" s="43" t="s">
        <v>470</v>
      </c>
      <c r="E48" s="30">
        <v>230</v>
      </c>
      <c r="F48" s="43"/>
      <c r="G48" s="43"/>
      <c r="H48" s="30" t="s">
        <v>466</v>
      </c>
      <c r="I48" s="44"/>
      <c r="J48" s="45"/>
    </row>
    <row r="49" spans="1:10">
      <c r="A49" s="42" t="s">
        <v>532</v>
      </c>
      <c r="B49" s="42" t="s">
        <v>532</v>
      </c>
      <c r="C49" s="43" t="s">
        <v>469</v>
      </c>
      <c r="D49" s="43" t="s">
        <v>473</v>
      </c>
      <c r="E49" s="30">
        <v>230</v>
      </c>
      <c r="F49" s="43" t="s">
        <v>466</v>
      </c>
      <c r="G49" s="43" t="s">
        <v>466</v>
      </c>
      <c r="H49" s="31"/>
      <c r="I49" s="44"/>
      <c r="J49" s="45" t="s">
        <v>466</v>
      </c>
    </row>
    <row r="50" spans="1:10">
      <c r="A50" s="42" t="s">
        <v>450</v>
      </c>
      <c r="B50" s="42" t="s">
        <v>451</v>
      </c>
      <c r="C50" s="43" t="s">
        <v>469</v>
      </c>
      <c r="D50" s="43" t="s">
        <v>41</v>
      </c>
      <c r="E50" s="30">
        <v>230</v>
      </c>
      <c r="F50" s="43" t="s">
        <v>466</v>
      </c>
      <c r="G50" s="43" t="s">
        <v>466</v>
      </c>
      <c r="H50" s="31"/>
      <c r="I50" s="44"/>
      <c r="J50" s="45" t="s">
        <v>466</v>
      </c>
    </row>
    <row r="51" spans="1:10">
      <c r="A51" s="42" t="s">
        <v>533</v>
      </c>
      <c r="B51" s="42" t="s">
        <v>534</v>
      </c>
      <c r="C51" s="43" t="s">
        <v>469</v>
      </c>
      <c r="D51" s="43" t="s">
        <v>45</v>
      </c>
      <c r="E51" s="43">
        <v>220</v>
      </c>
      <c r="F51" s="43" t="s">
        <v>466</v>
      </c>
      <c r="G51" s="43" t="s">
        <v>466</v>
      </c>
      <c r="H51" s="48"/>
      <c r="I51" s="44"/>
      <c r="J51" s="45"/>
    </row>
    <row r="52" spans="1:10">
      <c r="A52" s="42" t="s">
        <v>535</v>
      </c>
      <c r="B52" s="42" t="s">
        <v>536</v>
      </c>
      <c r="C52" s="43" t="s">
        <v>469</v>
      </c>
      <c r="D52" s="43" t="s">
        <v>45</v>
      </c>
      <c r="E52" s="43">
        <v>220</v>
      </c>
      <c r="F52" s="43" t="s">
        <v>466</v>
      </c>
      <c r="G52" s="43" t="s">
        <v>466</v>
      </c>
      <c r="H52" s="48"/>
      <c r="I52" s="44"/>
      <c r="J52" s="45"/>
    </row>
    <row r="53" spans="1:10">
      <c r="A53" s="41" t="s">
        <v>537</v>
      </c>
      <c r="B53" s="42" t="s">
        <v>538</v>
      </c>
      <c r="C53" s="43" t="s">
        <v>469</v>
      </c>
      <c r="D53" s="43" t="s">
        <v>47</v>
      </c>
      <c r="E53" s="43">
        <v>120</v>
      </c>
      <c r="F53" s="43"/>
      <c r="G53" s="43"/>
      <c r="H53" s="30" t="s">
        <v>466</v>
      </c>
      <c r="I53" s="44"/>
      <c r="J53" s="45"/>
    </row>
    <row r="54" spans="1:10">
      <c r="A54" s="50" t="s">
        <v>539</v>
      </c>
      <c r="B54" s="51" t="s">
        <v>540</v>
      </c>
      <c r="C54" s="52" t="s">
        <v>469</v>
      </c>
      <c r="D54" s="52" t="s">
        <v>43</v>
      </c>
      <c r="E54" s="52">
        <v>230</v>
      </c>
      <c r="F54" s="52"/>
      <c r="G54" s="52"/>
      <c r="H54" s="30" t="s">
        <v>466</v>
      </c>
      <c r="I54" s="53"/>
      <c r="J54" s="54"/>
    </row>
    <row r="55" spans="1:10" ht="25.5">
      <c r="A55" s="55" t="s">
        <v>452</v>
      </c>
      <c r="B55" s="56" t="s">
        <v>541</v>
      </c>
      <c r="C55" s="57" t="s">
        <v>497</v>
      </c>
      <c r="D55" s="57" t="s">
        <v>41</v>
      </c>
      <c r="E55" s="57">
        <v>230</v>
      </c>
      <c r="F55" s="57" t="s">
        <v>466</v>
      </c>
      <c r="G55" s="58"/>
      <c r="H55" s="58"/>
      <c r="I55" s="59"/>
      <c r="J55" s="45" t="s">
        <v>466</v>
      </c>
    </row>
    <row r="56" spans="1:10" ht="25.5">
      <c r="A56" s="42" t="s">
        <v>453</v>
      </c>
      <c r="B56" s="60" t="s">
        <v>542</v>
      </c>
      <c r="C56" s="43" t="s">
        <v>469</v>
      </c>
      <c r="D56" s="43" t="s">
        <v>41</v>
      </c>
      <c r="E56" s="43">
        <v>230</v>
      </c>
      <c r="F56" s="43" t="s">
        <v>466</v>
      </c>
      <c r="G56" s="43" t="s">
        <v>466</v>
      </c>
      <c r="H56" s="48"/>
      <c r="I56" s="44"/>
      <c r="J56" s="45" t="s">
        <v>466</v>
      </c>
    </row>
    <row r="57" spans="1:10" ht="25.5">
      <c r="A57" s="42" t="s">
        <v>454</v>
      </c>
      <c r="B57" s="60" t="s">
        <v>543</v>
      </c>
      <c r="C57" s="43" t="s">
        <v>469</v>
      </c>
      <c r="D57" s="43" t="s">
        <v>41</v>
      </c>
      <c r="E57" s="43">
        <v>230</v>
      </c>
      <c r="F57" s="43" t="s">
        <v>466</v>
      </c>
      <c r="G57" s="43" t="s">
        <v>466</v>
      </c>
      <c r="H57" s="48"/>
      <c r="I57" s="44"/>
      <c r="J57" s="45" t="s">
        <v>466</v>
      </c>
    </row>
    <row r="58" spans="1:10" ht="25.5">
      <c r="A58" s="42" t="s">
        <v>544</v>
      </c>
      <c r="B58" s="60" t="s">
        <v>545</v>
      </c>
      <c r="C58" s="43" t="s">
        <v>469</v>
      </c>
      <c r="D58" s="43" t="s">
        <v>41</v>
      </c>
      <c r="E58" s="43">
        <v>230</v>
      </c>
      <c r="F58" s="43" t="s">
        <v>466</v>
      </c>
      <c r="G58" s="43" t="s">
        <v>466</v>
      </c>
      <c r="H58" s="48"/>
      <c r="I58" s="44"/>
      <c r="J58" s="45" t="s">
        <v>466</v>
      </c>
    </row>
    <row r="59" spans="1:10" ht="25.5">
      <c r="A59" s="42" t="s">
        <v>546</v>
      </c>
      <c r="B59" s="60" t="s">
        <v>547</v>
      </c>
      <c r="C59" s="43" t="s">
        <v>465</v>
      </c>
      <c r="D59" s="43" t="s">
        <v>44</v>
      </c>
      <c r="E59" s="43">
        <v>120</v>
      </c>
      <c r="F59" s="43" t="s">
        <v>466</v>
      </c>
      <c r="G59" s="43" t="s">
        <v>466</v>
      </c>
      <c r="H59" s="48"/>
      <c r="I59" s="44"/>
      <c r="J59" s="45" t="s">
        <v>466</v>
      </c>
    </row>
    <row r="60" spans="1:10" ht="26.25" thickBot="1">
      <c r="A60" s="61" t="s">
        <v>548</v>
      </c>
      <c r="B60" s="62" t="s">
        <v>549</v>
      </c>
      <c r="C60" s="63" t="s">
        <v>465</v>
      </c>
      <c r="D60" s="63" t="s">
        <v>44</v>
      </c>
      <c r="E60" s="63">
        <v>120</v>
      </c>
      <c r="F60" s="63" t="s">
        <v>466</v>
      </c>
      <c r="G60" s="63" t="s">
        <v>466</v>
      </c>
      <c r="H60" s="64"/>
      <c r="I60" s="65"/>
      <c r="J60" s="54" t="s">
        <v>466</v>
      </c>
    </row>
    <row r="61" spans="1:10" ht="25.5">
      <c r="A61" s="41" t="s">
        <v>550</v>
      </c>
      <c r="B61" s="60" t="s">
        <v>551</v>
      </c>
      <c r="C61" s="30" t="s">
        <v>469</v>
      </c>
      <c r="D61" s="30" t="s">
        <v>470</v>
      </c>
      <c r="E61" s="30">
        <v>230</v>
      </c>
      <c r="F61" s="30"/>
      <c r="G61" s="30"/>
      <c r="H61" s="30" t="s">
        <v>466</v>
      </c>
      <c r="I61" s="32"/>
      <c r="J61" s="66"/>
    </row>
    <row r="62" spans="1:10" ht="25.5">
      <c r="A62" s="51" t="s">
        <v>552</v>
      </c>
      <c r="B62" s="60" t="s">
        <v>553</v>
      </c>
      <c r="C62" s="43" t="s">
        <v>497</v>
      </c>
      <c r="D62" s="43" t="s">
        <v>468</v>
      </c>
      <c r="E62" s="30">
        <v>230</v>
      </c>
      <c r="F62" s="43" t="s">
        <v>466</v>
      </c>
      <c r="G62" s="48"/>
      <c r="H62" s="31"/>
      <c r="I62" s="44"/>
      <c r="J62" s="45" t="s">
        <v>466</v>
      </c>
    </row>
    <row r="63" spans="1:10" ht="25.5">
      <c r="A63" s="51" t="s">
        <v>554</v>
      </c>
      <c r="B63" s="67" t="s">
        <v>555</v>
      </c>
      <c r="C63" s="52" t="s">
        <v>497</v>
      </c>
      <c r="D63" s="52" t="s">
        <v>47</v>
      </c>
      <c r="E63" s="35">
        <v>120</v>
      </c>
      <c r="F63" s="52" t="s">
        <v>466</v>
      </c>
      <c r="G63" s="68"/>
      <c r="H63" s="36"/>
      <c r="I63" s="53"/>
      <c r="J63" s="54" t="s">
        <v>466</v>
      </c>
    </row>
    <row r="64" spans="1:10" ht="26.25" thickBot="1">
      <c r="A64" s="69" t="s">
        <v>556</v>
      </c>
      <c r="B64" s="70" t="s">
        <v>557</v>
      </c>
      <c r="C64" s="71" t="s">
        <v>497</v>
      </c>
      <c r="D64" s="71" t="s">
        <v>470</v>
      </c>
      <c r="E64" s="72">
        <v>230</v>
      </c>
      <c r="F64" s="71"/>
      <c r="G64" s="71"/>
      <c r="H64" s="72" t="s">
        <v>466</v>
      </c>
      <c r="I64" s="73"/>
      <c r="J64" s="74"/>
    </row>
    <row r="65" spans="1:10" ht="25.5">
      <c r="A65" s="75" t="s">
        <v>558</v>
      </c>
      <c r="B65" s="76" t="s">
        <v>559</v>
      </c>
      <c r="C65" s="77" t="s">
        <v>469</v>
      </c>
      <c r="D65" s="77" t="s">
        <v>468</v>
      </c>
      <c r="E65" s="78">
        <v>230</v>
      </c>
      <c r="F65" s="77"/>
      <c r="G65" s="77"/>
      <c r="H65" s="78" t="s">
        <v>466</v>
      </c>
      <c r="I65" s="77"/>
      <c r="J65" s="77"/>
    </row>
    <row r="66" spans="1:10" ht="25.5">
      <c r="A66" s="79" t="s">
        <v>560</v>
      </c>
      <c r="B66" s="80" t="s">
        <v>561</v>
      </c>
      <c r="C66" s="35" t="s">
        <v>465</v>
      </c>
      <c r="D66" s="35" t="s">
        <v>468</v>
      </c>
      <c r="E66" s="35">
        <v>230</v>
      </c>
      <c r="F66" s="35"/>
      <c r="G66" s="35"/>
      <c r="H66" s="35"/>
      <c r="I66" s="35" t="s">
        <v>466</v>
      </c>
      <c r="J66" s="35"/>
    </row>
    <row r="67" spans="1:10" ht="13.5" thickBot="1">
      <c r="A67" s="81" t="s">
        <v>562</v>
      </c>
      <c r="B67" s="82" t="s">
        <v>563</v>
      </c>
      <c r="C67" s="71" t="s">
        <v>469</v>
      </c>
      <c r="D67" s="71" t="s">
        <v>470</v>
      </c>
      <c r="E67" s="72">
        <v>230</v>
      </c>
      <c r="F67" s="71"/>
      <c r="G67" s="71"/>
      <c r="H67" s="72" t="s">
        <v>466</v>
      </c>
      <c r="I67" s="73"/>
      <c r="J67" s="74"/>
    </row>
    <row r="68" spans="1:10">
      <c r="A68" s="83" t="s">
        <v>414</v>
      </c>
      <c r="B68" s="84" t="s">
        <v>415</v>
      </c>
      <c r="C68" s="85" t="s">
        <v>564</v>
      </c>
      <c r="D68" s="85" t="s">
        <v>470</v>
      </c>
      <c r="E68" s="85">
        <v>230</v>
      </c>
      <c r="F68" s="85"/>
      <c r="G68" s="85"/>
      <c r="H68" s="85" t="s">
        <v>466</v>
      </c>
      <c r="I68" s="85"/>
      <c r="J68" s="85"/>
    </row>
    <row r="69" spans="1:10">
      <c r="A69" s="86" t="s">
        <v>565</v>
      </c>
      <c r="B69" s="87" t="s">
        <v>566</v>
      </c>
      <c r="C69" s="88" t="s">
        <v>564</v>
      </c>
      <c r="D69" s="88" t="s">
        <v>45</v>
      </c>
      <c r="E69" s="88">
        <v>220</v>
      </c>
      <c r="F69" s="30" t="s">
        <v>466</v>
      </c>
      <c r="G69" s="30"/>
      <c r="H69" s="30"/>
      <c r="I69" s="30"/>
      <c r="J69" s="30"/>
    </row>
    <row r="70" spans="1:10">
      <c r="A70" s="86" t="s">
        <v>567</v>
      </c>
      <c r="B70" s="89" t="s">
        <v>568</v>
      </c>
      <c r="C70" s="88" t="s">
        <v>564</v>
      </c>
      <c r="D70" s="88" t="s">
        <v>45</v>
      </c>
      <c r="E70" s="88">
        <v>220</v>
      </c>
      <c r="F70" s="30" t="s">
        <v>466</v>
      </c>
      <c r="G70" s="30"/>
      <c r="H70" s="30"/>
      <c r="I70" s="30"/>
      <c r="J70" s="30"/>
    </row>
    <row r="71" spans="1:10">
      <c r="A71" s="90" t="s">
        <v>418</v>
      </c>
      <c r="B71" s="91" t="s">
        <v>419</v>
      </c>
      <c r="C71" s="30" t="s">
        <v>564</v>
      </c>
      <c r="D71" s="30" t="s">
        <v>47</v>
      </c>
      <c r="E71" s="30">
        <v>120</v>
      </c>
      <c r="F71" s="30"/>
      <c r="G71" s="30"/>
      <c r="H71" s="30" t="s">
        <v>466</v>
      </c>
      <c r="I71" s="30"/>
      <c r="J71" s="30"/>
    </row>
    <row r="72" spans="1:10">
      <c r="A72" s="90" t="s">
        <v>420</v>
      </c>
      <c r="B72" s="92" t="s">
        <v>421</v>
      </c>
      <c r="C72" s="30" t="s">
        <v>564</v>
      </c>
      <c r="D72" s="85" t="s">
        <v>470</v>
      </c>
      <c r="E72" s="30">
        <v>230</v>
      </c>
      <c r="F72" s="30"/>
      <c r="G72" s="30"/>
      <c r="H72" s="30" t="s">
        <v>466</v>
      </c>
      <c r="I72" s="30"/>
      <c r="J72" s="30"/>
    </row>
    <row r="73" spans="1:10">
      <c r="A73" s="86" t="s">
        <v>569</v>
      </c>
      <c r="B73" s="89" t="s">
        <v>570</v>
      </c>
      <c r="C73" s="88" t="s">
        <v>571</v>
      </c>
      <c r="D73" s="88" t="s">
        <v>45</v>
      </c>
      <c r="E73" s="88">
        <v>220</v>
      </c>
      <c r="F73" s="30" t="s">
        <v>466</v>
      </c>
      <c r="G73" s="30"/>
      <c r="H73" s="30"/>
      <c r="I73" s="30"/>
      <c r="J73" s="30"/>
    </row>
    <row r="74" spans="1:10">
      <c r="A74" s="86" t="s">
        <v>572</v>
      </c>
      <c r="B74" s="89" t="s">
        <v>573</v>
      </c>
      <c r="C74" s="88" t="s">
        <v>571</v>
      </c>
      <c r="D74" s="88" t="s">
        <v>45</v>
      </c>
      <c r="E74" s="88">
        <v>220</v>
      </c>
      <c r="F74" s="30" t="s">
        <v>466</v>
      </c>
      <c r="G74" s="30"/>
      <c r="H74" s="30"/>
      <c r="I74" s="30"/>
      <c r="J74" s="30"/>
    </row>
    <row r="75" spans="1:10">
      <c r="A75" s="90" t="s">
        <v>424</v>
      </c>
      <c r="B75" s="91" t="s">
        <v>425</v>
      </c>
      <c r="C75" s="30" t="s">
        <v>571</v>
      </c>
      <c r="D75" s="30" t="s">
        <v>47</v>
      </c>
      <c r="E75" s="30">
        <v>120</v>
      </c>
      <c r="F75" s="30"/>
      <c r="G75" s="30"/>
      <c r="H75" s="30" t="s">
        <v>466</v>
      </c>
      <c r="I75" s="30"/>
      <c r="J75" s="30"/>
    </row>
    <row r="76" spans="1:10">
      <c r="A76" s="90" t="s">
        <v>426</v>
      </c>
      <c r="B76" s="92" t="s">
        <v>427</v>
      </c>
      <c r="C76" s="30" t="s">
        <v>564</v>
      </c>
      <c r="D76" s="30" t="s">
        <v>470</v>
      </c>
      <c r="E76" s="30">
        <v>230</v>
      </c>
      <c r="F76" s="30"/>
      <c r="G76" s="30"/>
      <c r="H76" s="30" t="s">
        <v>466</v>
      </c>
      <c r="I76" s="30"/>
      <c r="J76" s="30"/>
    </row>
    <row r="77" spans="1:10">
      <c r="A77" s="86" t="s">
        <v>574</v>
      </c>
      <c r="B77" s="89" t="s">
        <v>575</v>
      </c>
      <c r="C77" s="88" t="s">
        <v>571</v>
      </c>
      <c r="D77" s="88" t="s">
        <v>45</v>
      </c>
      <c r="E77" s="88">
        <v>220</v>
      </c>
      <c r="F77" s="30" t="s">
        <v>466</v>
      </c>
      <c r="G77" s="30"/>
      <c r="H77" s="30"/>
      <c r="I77" s="30"/>
      <c r="J77" s="30"/>
    </row>
    <row r="78" spans="1:10">
      <c r="A78" s="86" t="s">
        <v>576</v>
      </c>
      <c r="B78" s="89" t="s">
        <v>577</v>
      </c>
      <c r="C78" s="88" t="s">
        <v>571</v>
      </c>
      <c r="D78" s="88" t="s">
        <v>45</v>
      </c>
      <c r="E78" s="88">
        <v>220</v>
      </c>
      <c r="F78" s="30" t="s">
        <v>466</v>
      </c>
      <c r="G78" s="30"/>
      <c r="H78" s="30"/>
      <c r="I78" s="30"/>
      <c r="J78" s="30"/>
    </row>
    <row r="79" spans="1:10">
      <c r="A79" s="90" t="s">
        <v>578</v>
      </c>
      <c r="B79" s="92" t="s">
        <v>579</v>
      </c>
      <c r="C79" s="30" t="s">
        <v>571</v>
      </c>
      <c r="D79" s="30" t="s">
        <v>47</v>
      </c>
      <c r="E79" s="30">
        <v>120</v>
      </c>
      <c r="F79" s="30" t="s">
        <v>466</v>
      </c>
      <c r="G79" s="30"/>
      <c r="H79" s="30"/>
      <c r="I79" s="30"/>
      <c r="J79" s="30"/>
    </row>
    <row r="80" spans="1:10">
      <c r="A80" s="90" t="s">
        <v>428</v>
      </c>
      <c r="B80" s="93" t="s">
        <v>429</v>
      </c>
      <c r="C80" s="30" t="s">
        <v>580</v>
      </c>
      <c r="D80" s="30" t="s">
        <v>470</v>
      </c>
      <c r="E80" s="30">
        <v>230</v>
      </c>
      <c r="F80" s="30"/>
      <c r="G80" s="30"/>
      <c r="H80" s="30" t="s">
        <v>466</v>
      </c>
      <c r="I80" s="30"/>
      <c r="J80" s="30"/>
    </row>
    <row r="81" spans="1:10">
      <c r="A81" s="86" t="s">
        <v>581</v>
      </c>
      <c r="B81" s="89" t="s">
        <v>582</v>
      </c>
      <c r="C81" s="88" t="s">
        <v>580</v>
      </c>
      <c r="D81" s="88" t="s">
        <v>45</v>
      </c>
      <c r="E81" s="88">
        <v>220</v>
      </c>
      <c r="F81" s="30" t="s">
        <v>466</v>
      </c>
      <c r="G81" s="30"/>
      <c r="H81" s="30"/>
      <c r="I81" s="30"/>
      <c r="J81" s="30" t="s">
        <v>466</v>
      </c>
    </row>
    <row r="82" spans="1:10">
      <c r="A82" s="86" t="s">
        <v>583</v>
      </c>
      <c r="B82" s="87" t="s">
        <v>584</v>
      </c>
      <c r="C82" s="88" t="s">
        <v>580</v>
      </c>
      <c r="D82" s="88" t="s">
        <v>45</v>
      </c>
      <c r="E82" s="88">
        <v>220</v>
      </c>
      <c r="F82" s="30" t="s">
        <v>466</v>
      </c>
      <c r="G82" s="30"/>
      <c r="H82" s="30"/>
      <c r="I82" s="30"/>
      <c r="J82" s="30" t="s">
        <v>466</v>
      </c>
    </row>
    <row r="83" spans="1:10">
      <c r="A83" s="90" t="s">
        <v>585</v>
      </c>
      <c r="B83" s="93" t="s">
        <v>586</v>
      </c>
      <c r="C83" s="30" t="s">
        <v>580</v>
      </c>
      <c r="D83" s="30" t="s">
        <v>470</v>
      </c>
      <c r="E83" s="30">
        <v>230</v>
      </c>
      <c r="F83" s="30"/>
      <c r="G83" s="30"/>
      <c r="H83" s="30" t="s">
        <v>466</v>
      </c>
      <c r="I83" s="30"/>
      <c r="J83" s="30"/>
    </row>
    <row r="84" spans="1:10">
      <c r="A84" s="86" t="s">
        <v>587</v>
      </c>
      <c r="B84" s="87" t="s">
        <v>588</v>
      </c>
      <c r="C84" s="88" t="s">
        <v>580</v>
      </c>
      <c r="D84" s="88" t="s">
        <v>45</v>
      </c>
      <c r="E84" s="88">
        <v>220</v>
      </c>
      <c r="F84" s="30" t="s">
        <v>466</v>
      </c>
      <c r="G84" s="30"/>
      <c r="H84" s="30"/>
      <c r="I84" s="30"/>
      <c r="J84" s="30" t="s">
        <v>466</v>
      </c>
    </row>
    <row r="85" spans="1:10">
      <c r="A85" s="94" t="s">
        <v>589</v>
      </c>
      <c r="B85" s="95" t="s">
        <v>590</v>
      </c>
      <c r="C85" s="96" t="s">
        <v>580</v>
      </c>
      <c r="D85" s="96" t="s">
        <v>45</v>
      </c>
      <c r="E85" s="96">
        <v>220</v>
      </c>
      <c r="F85" s="35" t="s">
        <v>466</v>
      </c>
      <c r="G85" s="35"/>
      <c r="H85" s="35"/>
      <c r="I85" s="35"/>
      <c r="J85" s="35" t="s">
        <v>466</v>
      </c>
    </row>
    <row r="86" spans="1:10">
      <c r="A86" s="97" t="s">
        <v>416</v>
      </c>
      <c r="B86" s="98" t="s">
        <v>417</v>
      </c>
      <c r="C86" s="99" t="s">
        <v>564</v>
      </c>
      <c r="D86" s="99" t="s">
        <v>43</v>
      </c>
      <c r="E86" s="100">
        <v>230</v>
      </c>
      <c r="F86" s="99"/>
      <c r="G86" s="99"/>
      <c r="H86" s="35" t="s">
        <v>466</v>
      </c>
      <c r="I86" s="99"/>
      <c r="J86" s="99"/>
    </row>
    <row r="87" spans="1:10">
      <c r="A87" s="97" t="s">
        <v>422</v>
      </c>
      <c r="B87" s="98" t="s">
        <v>423</v>
      </c>
      <c r="C87" s="99" t="s">
        <v>564</v>
      </c>
      <c r="D87" s="99" t="s">
        <v>43</v>
      </c>
      <c r="E87" s="100">
        <v>230</v>
      </c>
      <c r="F87" s="99"/>
      <c r="G87" s="99"/>
      <c r="H87" s="35" t="s">
        <v>466</v>
      </c>
      <c r="I87" s="99"/>
      <c r="J87" s="99"/>
    </row>
    <row r="88" spans="1:10">
      <c r="A88" s="97" t="s">
        <v>591</v>
      </c>
      <c r="B88" s="98" t="s">
        <v>592</v>
      </c>
      <c r="C88" s="99" t="s">
        <v>564</v>
      </c>
      <c r="D88" s="99" t="s">
        <v>43</v>
      </c>
      <c r="E88" s="100">
        <v>230</v>
      </c>
      <c r="F88" s="99"/>
      <c r="G88" s="99"/>
      <c r="H88" s="35" t="s">
        <v>466</v>
      </c>
      <c r="I88" s="99"/>
      <c r="J88" s="99"/>
    </row>
    <row r="89" spans="1:10">
      <c r="A89" s="97" t="s">
        <v>593</v>
      </c>
      <c r="B89" s="98" t="s">
        <v>594</v>
      </c>
      <c r="C89" s="99" t="s">
        <v>580</v>
      </c>
      <c r="D89" s="99" t="s">
        <v>43</v>
      </c>
      <c r="E89" s="100">
        <v>230</v>
      </c>
      <c r="F89" s="99"/>
      <c r="G89" s="99"/>
      <c r="H89" s="35" t="s">
        <v>466</v>
      </c>
      <c r="I89" s="99"/>
      <c r="J89" s="99"/>
    </row>
    <row r="90" spans="1:10" ht="13.5" thickBot="1">
      <c r="A90" s="101" t="s">
        <v>595</v>
      </c>
      <c r="B90" s="101" t="s">
        <v>596</v>
      </c>
      <c r="C90" s="102" t="s">
        <v>580</v>
      </c>
      <c r="D90" s="102" t="s">
        <v>43</v>
      </c>
      <c r="E90" s="103">
        <v>230</v>
      </c>
      <c r="F90" s="101"/>
      <c r="G90" s="101"/>
      <c r="H90" s="72" t="s">
        <v>466</v>
      </c>
      <c r="I90" s="101"/>
      <c r="J90" s="101"/>
    </row>
  </sheetData>
  <mergeCells count="6">
    <mergeCell ref="F6:J6"/>
    <mergeCell ref="A6:A7"/>
    <mergeCell ref="B6:B7"/>
    <mergeCell ref="C6:C7"/>
    <mergeCell ref="D6:D7"/>
    <mergeCell ref="E6:E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P_CLOSE_PDB">
          <controlPr defaultSize="0" autoLine="0" r:id="rId4">
            <anchor moveWithCells="1">
              <from>
                <xdr:col>1</xdr:col>
                <xdr:colOff>85725</xdr:colOff>
                <xdr:row>0</xdr:row>
                <xdr:rowOff>76200</xdr:rowOff>
              </from>
              <to>
                <xdr:col>1</xdr:col>
                <xdr:colOff>971550</xdr:colOff>
                <xdr:row>4</xdr:row>
                <xdr:rowOff>314325</xdr:rowOff>
              </to>
            </anchor>
          </controlPr>
        </control>
      </mc:Choice>
      <mc:Fallback>
        <control shapeId="10241" r:id="rId3" name="P_CLOSE_PDB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_db_a"/>
  <dimension ref="A1"/>
  <sheetViews>
    <sheetView zoomScale="70" zoomScaleNormal="70" workbookViewId="0">
      <selection activeCell="D5" sqref="D5"/>
    </sheetView>
  </sheetViews>
  <sheetFormatPr defaultRowHeight="15"/>
  <cols>
    <col min="2" max="2" width="17.28515625" customWidth="1"/>
  </cols>
  <sheetData>
    <row r="1" ht="83.25" customHeight="1"/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3" r:id="rId3" name="P_CLOSE_PDB">
          <controlPr defaultSize="0" autoLine="0" r:id="rId4">
            <anchor moveWithCells="1">
              <from>
                <xdr:col>1</xdr:col>
                <xdr:colOff>95250</xdr:colOff>
                <xdr:row>0</xdr:row>
                <xdr:rowOff>76200</xdr:rowOff>
              </from>
              <to>
                <xdr:col>1</xdr:col>
                <xdr:colOff>990600</xdr:colOff>
                <xdr:row>0</xdr:row>
                <xdr:rowOff>971550</xdr:rowOff>
              </to>
            </anchor>
          </controlPr>
        </control>
      </mc:Choice>
      <mc:Fallback>
        <control shapeId="18433" r:id="rId3" name="P_CLOSE_PDB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</vt:lpstr>
      <vt:lpstr>1.DailyPlan</vt:lpstr>
      <vt:lpstr>2.TimelyPlan</vt:lpstr>
      <vt:lpstr>DB_(T599)(55B1)</vt:lpstr>
      <vt:lpstr>DB_(T709)(55C1)</vt:lpstr>
      <vt:lpstr>3.Result</vt:lpstr>
      <vt:lpstr>CONDITION ONLY COPIER</vt:lpstr>
      <vt:lpstr>CAP OT</vt:lpstr>
      <vt:lpstr>Temp</vt:lpstr>
      <vt:lpstr>DB_(T463)(55D1)</vt:lpstr>
      <vt:lpstr>DB_(T469)(55A1)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Kanda(23577)</dc:creator>
  <cp:lastModifiedBy>Wanwipa Kringklap</cp:lastModifiedBy>
  <cp:lastPrinted>2020-08-10T07:11:57Z</cp:lastPrinted>
  <dcterms:created xsi:type="dcterms:W3CDTF">2015-04-21T04:40:39Z</dcterms:created>
  <dcterms:modified xsi:type="dcterms:W3CDTF">2020-09-02T03:19:14Z</dcterms:modified>
</cp:coreProperties>
</file>