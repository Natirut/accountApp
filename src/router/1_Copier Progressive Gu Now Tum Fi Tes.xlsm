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014749\Desktop\"/>
    </mc:Choice>
  </mc:AlternateContent>
  <bookViews>
    <workbookView xWindow="480" yWindow="1140" windowWidth="18195" windowHeight="11310" tabRatio="698" firstSheet="1" activeTab="1"/>
  </bookViews>
  <sheets>
    <sheet name="Home" sheetId="113" r:id="rId1"/>
    <sheet name="T599" sheetId="105" r:id="rId2"/>
    <sheet name="T463" sheetId="90" state="hidden" r:id="rId3"/>
    <sheet name="Time" sheetId="118" r:id="rId4"/>
    <sheet name="T599D" sheetId="119" r:id="rId5"/>
    <sheet name="T709_Cell_1" sheetId="106" r:id="rId6"/>
    <sheet name="T709_Cell_2" sheetId="107" r:id="rId7"/>
    <sheet name="T709_Cell_3" sheetId="108" r:id="rId8"/>
    <sheet name="MASTER PRODUCT T599" sheetId="111" r:id="rId9"/>
    <sheet name="MASTER PRODUCT T709" sheetId="112" r:id="rId10"/>
    <sheet name="T599Pivot" sheetId="114" r:id="rId11"/>
    <sheet name="T709_Cell_1Pivot" sheetId="115" r:id="rId12"/>
    <sheet name="T709_Cell_2Pivot" sheetId="116" r:id="rId13"/>
    <sheet name="T709_Cell_3Pivot" sheetId="117" r:id="rId14"/>
  </sheets>
  <externalReferences>
    <externalReference r:id="rId15"/>
    <externalReference r:id="rId16"/>
    <externalReference r:id="rId17"/>
    <externalReference r:id="rId18"/>
  </externalReferences>
  <definedNames>
    <definedName name="_DATE" localSheetId="2">'T463'!$A$5</definedName>
    <definedName name="_DATE" localSheetId="1">'T599'!$C$5</definedName>
    <definedName name="_DATE" localSheetId="6">T709_Cell_2!$C$5</definedName>
    <definedName name="_DATE" localSheetId="7">T709_Cell_3!$C$5</definedName>
    <definedName name="_DATE">#REF!</definedName>
    <definedName name="_DBNAME" localSheetId="2">'T463'!#REF!</definedName>
    <definedName name="_DBNAME" localSheetId="1">'T599'!#REF!</definedName>
    <definedName name="_DBNAME" localSheetId="6">T709_Cell_2!#REF!</definedName>
    <definedName name="_DBNAME" localSheetId="7">T709_Cell_3!#REF!</definedName>
    <definedName name="_DBNAME">#REF!</definedName>
    <definedName name="_DBPATH" localSheetId="2">'T463'!#REF!</definedName>
    <definedName name="_DBPATH" localSheetId="1">'T599'!#REF!</definedName>
    <definedName name="_DBPATH" localSheetId="6">T709_Cell_2!#REF!</definedName>
    <definedName name="_DBPATH" localSheetId="7">T709_Cell_3!#REF!</definedName>
    <definedName name="_DBPATH">#REF!</definedName>
    <definedName name="_xlnm._FilterDatabase" localSheetId="2" hidden="1">'T463'!$A$6:$W$104</definedName>
    <definedName name="_xlnm._FilterDatabase" localSheetId="1" hidden="1">'T599'!$C$6:$AA$418</definedName>
    <definedName name="_xlnm._FilterDatabase" localSheetId="5" hidden="1">T709_Cell_1!$C$6:$AD$175</definedName>
    <definedName name="_xlnm._FilterDatabase" localSheetId="6" hidden="1">T709_Cell_2!$C$6:$AD$162</definedName>
    <definedName name="_xlnm._FilterDatabase" localSheetId="7" hidden="1">T709_Cell_3!$C$6:$AD$246</definedName>
    <definedName name="_MERCURY" localSheetId="2">'T463'!$C$5</definedName>
    <definedName name="_MERCURY" localSheetId="1">'T599'!$E$5</definedName>
    <definedName name="_MERCURY" localSheetId="6">T709_Cell_2!$E$5</definedName>
    <definedName name="_MERCURY" localSheetId="7">T709_Cell_3!$E$5</definedName>
    <definedName name="_MERCURY">#REF!</definedName>
    <definedName name="_NAME" localSheetId="2">'T463'!$D$5</definedName>
    <definedName name="_NAME" localSheetId="1">'T599'!$F$5</definedName>
    <definedName name="_NAME" localSheetId="6">T709_Cell_2!$F$5</definedName>
    <definedName name="_NAME" localSheetId="7">T709_Cell_3!$F$5</definedName>
    <definedName name="_NAME">#REF!</definedName>
    <definedName name="_OUTPUT" localSheetId="2">'T463'!$O$5</definedName>
    <definedName name="_OUTPUT" localSheetId="1">'T599'!$S$5</definedName>
    <definedName name="_OUTPUT" localSheetId="6">T709_Cell_2!$V$5</definedName>
    <definedName name="_OUTPUT" localSheetId="7">T709_Cell_3!$V$5</definedName>
    <definedName name="_OUTPUT">#REF!</definedName>
    <definedName name="_PRIORITY" localSheetId="2">'T463'!$B$5</definedName>
    <definedName name="_PRIORITY" localSheetId="1">'T599'!$D$5</definedName>
    <definedName name="_PRIORITY" localSheetId="6">T709_Cell_2!$D$5</definedName>
    <definedName name="_PRIORITY" localSheetId="7">T709_Cell_3!$D$5</definedName>
    <definedName name="_PRIORITY">#REF!</definedName>
    <definedName name="_QTY" localSheetId="2">'T463'!$E$5</definedName>
    <definedName name="_QTY" localSheetId="1">'T599'!$G$5</definedName>
    <definedName name="_QTY" localSheetId="6">T709_Cell_2!$G$5</definedName>
    <definedName name="_QTY" localSheetId="7">T709_Cell_3!$G$5</definedName>
    <definedName name="_QTY">#REF!</definedName>
    <definedName name="_xlnm.Print_Area" localSheetId="2">'T463'!$A$1:$P$38</definedName>
    <definedName name="_xlnm.Print_Area" localSheetId="1">'T599'!$C$1:$T$368</definedName>
    <definedName name="_xlnm.Print_Area" localSheetId="5">T709_Cell_1!$C$1:$W$145</definedName>
    <definedName name="_xlnm.Print_Area" localSheetId="6">T709_Cell_2!$C$1:$W$158</definedName>
    <definedName name="_xlnm.Print_Area" localSheetId="7">T709_Cell_3!$C$1:$W$187</definedName>
    <definedName name="_xlnm.Print_Titles" localSheetId="2">'T463'!$5:$6</definedName>
    <definedName name="_xlnm.Print_Titles" localSheetId="1">'T599'!$5:$6</definedName>
    <definedName name="_xlnm.Print_Titles" localSheetId="5">T709_Cell_1!$5:$6</definedName>
    <definedName name="_xlnm.Print_Titles" localSheetId="6">T709_Cell_2!$5:$6</definedName>
    <definedName name="_xlnm.Print_Titles" localSheetId="7">T709_Cell_3!$5:$6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  <pivotCaches>
    <pivotCache cacheId="0" r:id="rId19"/>
    <pivotCache cacheId="1" r:id="rId20"/>
    <pivotCache cacheId="2" r:id="rId21"/>
    <pivotCache cacheId="3" r:id="rId22"/>
    <pivotCache cacheId="4" r:id="rId23"/>
    <pivotCache cacheId="5" r:id="rId24"/>
    <pivotCache cacheId="6" r:id="rId25"/>
    <pivotCache cacheId="7" r:id="rId26"/>
  </pivotCaches>
</workbook>
</file>

<file path=xl/calcChain.xml><?xml version="1.0" encoding="utf-8"?>
<calcChain xmlns="http://schemas.openxmlformats.org/spreadsheetml/2006/main">
  <c r="AB12" i="105" l="1"/>
  <c r="AB8" i="105"/>
  <c r="AB9" i="105" s="1"/>
  <c r="AB10" i="105" s="1"/>
  <c r="AB11" i="105" s="1"/>
  <c r="AB7" i="105"/>
  <c r="AB13" i="105" l="1"/>
  <c r="AB15" i="105" s="1"/>
  <c r="AB16" i="105" s="1"/>
  <c r="AB17" i="105" s="1"/>
  <c r="AB18" i="105" s="1"/>
  <c r="AB19" i="105" s="1"/>
  <c r="AB20" i="105" s="1"/>
  <c r="AB14" i="105"/>
  <c r="AB21" i="105" l="1"/>
  <c r="AB23" i="105" s="1"/>
  <c r="AB24" i="105" s="1"/>
  <c r="AB25" i="105" s="1"/>
  <c r="AB26" i="105" s="1"/>
  <c r="AB27" i="105" s="1"/>
  <c r="AB28" i="105" s="1"/>
  <c r="AB29" i="105" s="1"/>
  <c r="AB30" i="105" s="1"/>
  <c r="AB31" i="105" s="1"/>
  <c r="AB22" i="105"/>
  <c r="AB33" i="105" l="1"/>
  <c r="AB32" i="105"/>
  <c r="AB34" i="105" s="1"/>
  <c r="AB35" i="105" s="1"/>
  <c r="AB36" i="105" s="1"/>
  <c r="AB37" i="105" s="1"/>
  <c r="AB38" i="105" s="1"/>
  <c r="AB39" i="105" s="1"/>
  <c r="AB40" i="105" s="1"/>
  <c r="AB41" i="105" s="1"/>
  <c r="AB43" i="105" l="1"/>
  <c r="AB42" i="105"/>
  <c r="AB44" i="105" s="1"/>
  <c r="AB45" i="105" s="1"/>
  <c r="AB47" i="105" l="1"/>
  <c r="AB46" i="105"/>
  <c r="AB48" i="105" s="1"/>
  <c r="AB49" i="105" s="1"/>
  <c r="AB50" i="105" s="1"/>
  <c r="AB51" i="105" s="1"/>
  <c r="AB52" i="105" s="1"/>
  <c r="AB53" i="105" s="1"/>
  <c r="AB54" i="105" s="1"/>
  <c r="AB55" i="105" s="1"/>
  <c r="AB56" i="105" s="1"/>
  <c r="AB57" i="105" l="1"/>
  <c r="AB59" i="105" s="1"/>
  <c r="AB60" i="105" s="1"/>
  <c r="AB61" i="105" s="1"/>
  <c r="AB58" i="105"/>
  <c r="AB63" i="105" l="1"/>
  <c r="AB62" i="105"/>
  <c r="AB64" i="105" s="1"/>
  <c r="AB65" i="105" s="1"/>
  <c r="AB66" i="105" s="1"/>
  <c r="AB67" i="105" s="1"/>
  <c r="AB68" i="105" s="1"/>
  <c r="AB69" i="105" l="1"/>
  <c r="AB71" i="105" s="1"/>
  <c r="AB72" i="105" s="1"/>
  <c r="AB73" i="105" s="1"/>
  <c r="AB74" i="105" s="1"/>
  <c r="AB70" i="105"/>
  <c r="AB75" i="105" l="1"/>
  <c r="AB77" i="105" s="1"/>
  <c r="AB78" i="105" s="1"/>
  <c r="AB79" i="105" s="1"/>
  <c r="AB80" i="105" s="1"/>
  <c r="AB81" i="105" s="1"/>
  <c r="AB82" i="105" s="1"/>
  <c r="AB76" i="105"/>
  <c r="AB83" i="105" l="1"/>
  <c r="AB85" i="105" s="1"/>
  <c r="AB84" i="105"/>
  <c r="AB87" i="105" l="1"/>
  <c r="AB86" i="105"/>
  <c r="AB88" i="105" s="1"/>
  <c r="AB89" i="105" s="1"/>
  <c r="AB90" i="105" s="1"/>
  <c r="AB91" i="105" s="1"/>
  <c r="AB92" i="105" s="1"/>
  <c r="AB93" i="105" s="1"/>
  <c r="AB94" i="105" s="1"/>
  <c r="AB95" i="105" s="1"/>
  <c r="AB96" i="105" s="1"/>
  <c r="AB98" i="105" l="1"/>
  <c r="AB97" i="105"/>
  <c r="AB99" i="105" s="1"/>
  <c r="AB100" i="105" s="1"/>
  <c r="AB101" i="105" l="1"/>
  <c r="AB103" i="105" s="1"/>
  <c r="AB104" i="105" s="1"/>
  <c r="AB102" i="105"/>
  <c r="AB105" i="105" l="1"/>
  <c r="AB107" i="105" s="1"/>
  <c r="AB109" i="105" s="1"/>
  <c r="AB110" i="105" s="1"/>
  <c r="AB111" i="105" s="1"/>
  <c r="AB112" i="105" s="1"/>
  <c r="AB113" i="105" s="1"/>
  <c r="AB114" i="105" s="1"/>
  <c r="AB115" i="105" s="1"/>
  <c r="AB116" i="105" s="1"/>
  <c r="AB117" i="105" s="1"/>
  <c r="AB118" i="105" s="1"/>
  <c r="AB119" i="105" s="1"/>
  <c r="AB120" i="105" s="1"/>
  <c r="AB106" i="105"/>
  <c r="AB108" i="105" s="1"/>
  <c r="AB122" i="105" l="1"/>
  <c r="AB121" i="105"/>
  <c r="AB123" i="105" s="1"/>
  <c r="AB124" i="105" s="1"/>
  <c r="AB125" i="105" l="1"/>
  <c r="AB127" i="105" s="1"/>
  <c r="AB128" i="105" s="1"/>
  <c r="AB129" i="105" s="1"/>
  <c r="AB130" i="105" s="1"/>
  <c r="AB131" i="105" s="1"/>
  <c r="AB132" i="105" s="1"/>
  <c r="AB133" i="105" s="1"/>
  <c r="AB126" i="105"/>
  <c r="AB135" i="105" l="1"/>
  <c r="AB134" i="105"/>
  <c r="AB136" i="105" s="1"/>
  <c r="AB137" i="105" s="1"/>
  <c r="AB138" i="105" s="1"/>
  <c r="AB140" i="105" l="1"/>
  <c r="AB139" i="105"/>
  <c r="AB141" i="105" s="1"/>
  <c r="AB142" i="105" s="1"/>
  <c r="AB143" i="105" s="1"/>
  <c r="AB144" i="105" s="1"/>
  <c r="AB145" i="105" s="1"/>
  <c r="AB146" i="105" s="1"/>
  <c r="AB147" i="105" s="1"/>
  <c r="AB149" i="105" l="1"/>
  <c r="AB148" i="105"/>
  <c r="AB150" i="105" s="1"/>
  <c r="AB152" i="105" l="1"/>
  <c r="AB151" i="105"/>
  <c r="AB153" i="105" s="1"/>
  <c r="AB154" i="105" s="1"/>
  <c r="AB155" i="105" s="1"/>
  <c r="AB156" i="105" s="1"/>
  <c r="AB157" i="105" s="1"/>
  <c r="AB158" i="105" s="1"/>
  <c r="AB159" i="105" l="1"/>
  <c r="AB161" i="105" s="1"/>
  <c r="AB163" i="105" s="1"/>
  <c r="AB164" i="105" s="1"/>
  <c r="AB165" i="105" s="1"/>
  <c r="AB166" i="105" s="1"/>
  <c r="AB167" i="105" s="1"/>
  <c r="AB168" i="105" s="1"/>
  <c r="AB160" i="105"/>
  <c r="AB162" i="105" s="1"/>
  <c r="AB170" i="105" l="1"/>
  <c r="AB172" i="105" s="1"/>
  <c r="AB169" i="105"/>
  <c r="AB171" i="105" s="1"/>
  <c r="AB173" i="105" s="1"/>
  <c r="AB174" i="105" s="1"/>
  <c r="AB175" i="105" s="1"/>
  <c r="AB176" i="105" s="1"/>
  <c r="AB177" i="105" s="1"/>
  <c r="AB179" i="105" l="1"/>
  <c r="AB181" i="105" s="1"/>
  <c r="AB178" i="105"/>
  <c r="AB180" i="105" s="1"/>
  <c r="AB182" i="105" s="1"/>
  <c r="AB183" i="105" s="1"/>
  <c r="AB184" i="105" s="1"/>
  <c r="AB185" i="105" s="1"/>
  <c r="AB186" i="105" s="1"/>
  <c r="AB187" i="105" s="1"/>
  <c r="AB188" i="105" s="1"/>
  <c r="AB189" i="105" s="1"/>
  <c r="AB190" i="105" s="1"/>
  <c r="AB191" i="105" s="1"/>
  <c r="AB192" i="105" s="1"/>
  <c r="AB193" i="105" s="1"/>
  <c r="AB194" i="105" s="1"/>
  <c r="AB195" i="105" l="1"/>
  <c r="AB197" i="105" s="1"/>
  <c r="AB198" i="105" s="1"/>
  <c r="AB199" i="105" s="1"/>
  <c r="AB200" i="105" s="1"/>
  <c r="AB201" i="105" s="1"/>
  <c r="AB202" i="105" s="1"/>
  <c r="AB203" i="105" s="1"/>
  <c r="AB204" i="105" s="1"/>
  <c r="AB196" i="105"/>
  <c r="AB206" i="105" l="1"/>
  <c r="AB205" i="105"/>
  <c r="AB207" i="105" s="1"/>
  <c r="AB209" i="105" l="1"/>
  <c r="AB208" i="105"/>
  <c r="AB210" i="105" s="1"/>
  <c r="AB211" i="105" s="1"/>
  <c r="AB212" i="105" s="1"/>
  <c r="AB213" i="105" s="1"/>
  <c r="AB214" i="105" s="1"/>
  <c r="AB215" i="105" s="1"/>
  <c r="AB216" i="105" s="1"/>
  <c r="AB217" i="105" s="1"/>
  <c r="AB218" i="105" s="1"/>
  <c r="AB219" i="105" s="1"/>
  <c r="AB221" i="105" l="1"/>
  <c r="AB220" i="105"/>
  <c r="AB222" i="105" s="1"/>
  <c r="AB223" i="105" s="1"/>
  <c r="AB225" i="105" l="1"/>
  <c r="AB224" i="105"/>
  <c r="AB226" i="105" s="1"/>
  <c r="AB227" i="105" s="1"/>
  <c r="AB228" i="105" s="1"/>
  <c r="AB229" i="105" s="1"/>
  <c r="AB230" i="105" s="1"/>
  <c r="AB231" i="105" l="1"/>
  <c r="AB233" i="105" s="1"/>
  <c r="AB234" i="105" s="1"/>
  <c r="AB235" i="105" s="1"/>
  <c r="AB232" i="105"/>
  <c r="AB237" i="105" l="1"/>
  <c r="AB236" i="105"/>
  <c r="AB238" i="105" s="1"/>
  <c r="AB239" i="105" s="1"/>
  <c r="AB240" i="105" s="1"/>
  <c r="AB241" i="105" s="1"/>
  <c r="AB243" i="105" l="1"/>
  <c r="AB242" i="105"/>
  <c r="AB244" i="105" s="1"/>
  <c r="AB245" i="105" s="1"/>
  <c r="AB247" i="105" l="1"/>
  <c r="AB246" i="105"/>
  <c r="AB248" i="105" s="1"/>
  <c r="AB249" i="105" s="1"/>
  <c r="AB250" i="105" s="1"/>
  <c r="AB251" i="105" s="1"/>
  <c r="AB252" i="105" s="1"/>
  <c r="AB253" i="105" s="1"/>
  <c r="AB254" i="105" s="1"/>
  <c r="AB255" i="105" s="1"/>
  <c r="AB256" i="105" s="1"/>
  <c r="AB257" i="105" s="1"/>
  <c r="AB258" i="105" s="1"/>
  <c r="AB259" i="105" s="1"/>
  <c r="AB260" i="105" s="1"/>
  <c r="AB261" i="105" s="1"/>
  <c r="AB262" i="105" s="1"/>
  <c r="AB263" i="105" s="1"/>
  <c r="AB264" i="105" s="1"/>
  <c r="AB265" i="105" s="1"/>
  <c r="AB266" i="105" s="1"/>
  <c r="AB267" i="105" s="1"/>
  <c r="AB268" i="105" s="1"/>
  <c r="AB269" i="105" s="1"/>
  <c r="AB270" i="105" s="1"/>
  <c r="AB271" i="105" s="1"/>
  <c r="AB272" i="105" s="1"/>
  <c r="AB273" i="105" s="1"/>
  <c r="AB274" i="105" s="1"/>
  <c r="AB275" i="105" s="1"/>
  <c r="AB276" i="105" s="1"/>
  <c r="AB277" i="105" s="1"/>
  <c r="AB278" i="105" s="1"/>
  <c r="AB279" i="105" s="1"/>
  <c r="AB280" i="105" s="1"/>
  <c r="AB281" i="105" s="1"/>
  <c r="AB282" i="105" s="1"/>
  <c r="AB283" i="105" s="1"/>
  <c r="AB284" i="105" s="1"/>
  <c r="AB285" i="105" s="1"/>
  <c r="AB286" i="105" s="1"/>
  <c r="AB287" i="105" s="1"/>
  <c r="AB288" i="105" s="1"/>
  <c r="AB289" i="105" s="1"/>
  <c r="AB290" i="105" s="1"/>
  <c r="AB291" i="105" s="1"/>
  <c r="AB292" i="105" s="1"/>
  <c r="AB293" i="105" s="1"/>
  <c r="AB294" i="105" s="1"/>
  <c r="AB295" i="105" s="1"/>
  <c r="AB296" i="105" s="1"/>
  <c r="AB297" i="105" s="1"/>
  <c r="AB298" i="105" s="1"/>
  <c r="AB299" i="105" s="1"/>
  <c r="AB300" i="105" s="1"/>
  <c r="AB301" i="105" s="1"/>
  <c r="AB302" i="105" s="1"/>
  <c r="AB303" i="105" s="1"/>
  <c r="AB304" i="105" s="1"/>
  <c r="AB305" i="105" s="1"/>
  <c r="AB306" i="105" s="1"/>
  <c r="AB307" i="105" s="1"/>
  <c r="AB308" i="105" s="1"/>
  <c r="AB309" i="105" s="1"/>
  <c r="AB310" i="105" s="1"/>
  <c r="AB311" i="105" s="1"/>
  <c r="AB312" i="105" s="1"/>
  <c r="AB313" i="105" s="1"/>
  <c r="AB314" i="105" s="1"/>
  <c r="AB315" i="105" s="1"/>
  <c r="AB316" i="105" s="1"/>
  <c r="AB317" i="105" s="1"/>
  <c r="AB318" i="105" s="1"/>
  <c r="AB319" i="105" s="1"/>
  <c r="AB320" i="105" s="1"/>
  <c r="AB321" i="105" s="1"/>
  <c r="AB322" i="105" s="1"/>
  <c r="AB323" i="105" s="1"/>
  <c r="AB324" i="105" s="1"/>
  <c r="AB325" i="105" s="1"/>
  <c r="AB326" i="105" s="1"/>
  <c r="AB327" i="105" s="1"/>
  <c r="AB328" i="105" s="1"/>
  <c r="AB329" i="105" s="1"/>
  <c r="AB330" i="105" s="1"/>
  <c r="AB331" i="105" s="1"/>
  <c r="AB332" i="105" s="1"/>
  <c r="AB333" i="105" s="1"/>
  <c r="AB334" i="105" s="1"/>
  <c r="AB335" i="105" s="1"/>
  <c r="AB336" i="105" s="1"/>
  <c r="AB337" i="105" s="1"/>
  <c r="AB338" i="105" s="1"/>
  <c r="AB339" i="105" s="1"/>
  <c r="AB340" i="105" s="1"/>
  <c r="AB341" i="105" s="1"/>
  <c r="AB342" i="105" s="1"/>
  <c r="AB343" i="105" s="1"/>
  <c r="AB344" i="105" s="1"/>
  <c r="AB345" i="105" s="1"/>
  <c r="AB346" i="105" s="1"/>
  <c r="AB347" i="105" s="1"/>
  <c r="AB348" i="105" s="1"/>
  <c r="AB349" i="105" s="1"/>
  <c r="AB350" i="105" s="1"/>
  <c r="AB351" i="105" s="1"/>
  <c r="AB352" i="105" s="1"/>
  <c r="AB353" i="105" s="1"/>
  <c r="AB354" i="105" s="1"/>
  <c r="AB355" i="105" s="1"/>
  <c r="AB356" i="105" s="1"/>
  <c r="AB357" i="105" s="1"/>
  <c r="D52" i="112" l="1"/>
  <c r="C48" i="112"/>
  <c r="D48" i="112" s="1"/>
  <c r="E48" i="112" s="1"/>
  <c r="C47" i="112"/>
  <c r="C46" i="112"/>
  <c r="C50" i="112" s="1"/>
  <c r="C45" i="112"/>
  <c r="D45" i="112" s="1"/>
  <c r="AE44" i="112"/>
  <c r="AD44" i="112"/>
  <c r="AB44" i="112"/>
  <c r="Z44" i="112"/>
  <c r="Y44" i="112"/>
  <c r="X44" i="112"/>
  <c r="W44" i="112"/>
  <c r="T44" i="112"/>
  <c r="S44" i="112"/>
  <c r="R44" i="112"/>
  <c r="Q44" i="112"/>
  <c r="P44" i="112"/>
  <c r="O44" i="112"/>
  <c r="N44" i="112"/>
  <c r="M44" i="112"/>
  <c r="L44" i="112"/>
  <c r="K44" i="112"/>
  <c r="J44" i="112"/>
  <c r="I44" i="112"/>
  <c r="H44" i="112"/>
  <c r="G44" i="112"/>
  <c r="F44" i="112"/>
  <c r="E44" i="112"/>
  <c r="D44" i="112"/>
  <c r="C44" i="112"/>
  <c r="AK43" i="112"/>
  <c r="AG43" i="112"/>
  <c r="AF43" i="112"/>
  <c r="AG42" i="112"/>
  <c r="AF42" i="112"/>
  <c r="AC42" i="112"/>
  <c r="AC43" i="112" s="1"/>
  <c r="AA42" i="112"/>
  <c r="AA43" i="112" s="1"/>
  <c r="V42" i="112"/>
  <c r="V43" i="112" s="1"/>
  <c r="U42" i="112"/>
  <c r="AA41" i="112"/>
  <c r="V41" i="112"/>
  <c r="AG40" i="112"/>
  <c r="AF40" i="112"/>
  <c r="AF41" i="112" s="1"/>
  <c r="AF44" i="112" s="1"/>
  <c r="AC40" i="112"/>
  <c r="AA40" i="112"/>
  <c r="V40" i="112"/>
  <c r="U40" i="112"/>
  <c r="AC39" i="112"/>
  <c r="U39" i="112"/>
  <c r="AK38" i="112"/>
  <c r="AG38" i="112"/>
  <c r="AG39" i="112" s="1"/>
  <c r="AF38" i="112"/>
  <c r="AF39" i="112" s="1"/>
  <c r="AC38" i="112"/>
  <c r="AA38" i="112"/>
  <c r="AA39" i="112" s="1"/>
  <c r="V38" i="112"/>
  <c r="V39" i="112" s="1"/>
  <c r="AJ39" i="112" s="1"/>
  <c r="U38" i="112"/>
  <c r="C36" i="112"/>
  <c r="D36" i="112" s="1"/>
  <c r="E36" i="112" s="1"/>
  <c r="F36" i="112" s="1"/>
  <c r="G36" i="112" s="1"/>
  <c r="H36" i="112" s="1"/>
  <c r="I36" i="112" s="1"/>
  <c r="J36" i="112" s="1"/>
  <c r="K36" i="112" s="1"/>
  <c r="L36" i="112" s="1"/>
  <c r="M36" i="112" s="1"/>
  <c r="N36" i="112" s="1"/>
  <c r="O36" i="112" s="1"/>
  <c r="P36" i="112" s="1"/>
  <c r="Q36" i="112" s="1"/>
  <c r="R36" i="112" s="1"/>
  <c r="S36" i="112" s="1"/>
  <c r="T36" i="112" s="1"/>
  <c r="U36" i="112" s="1"/>
  <c r="V36" i="112" s="1"/>
  <c r="W36" i="112" s="1"/>
  <c r="X36" i="112" s="1"/>
  <c r="Y36" i="112" s="1"/>
  <c r="Z36" i="112" s="1"/>
  <c r="AA36" i="112" s="1"/>
  <c r="AB36" i="112" s="1"/>
  <c r="AC36" i="112" s="1"/>
  <c r="AD36" i="112" s="1"/>
  <c r="AE36" i="112" s="1"/>
  <c r="AF36" i="112" s="1"/>
  <c r="AG36" i="112" s="1"/>
  <c r="AG35" i="112"/>
  <c r="AF35" i="112"/>
  <c r="AE35" i="112"/>
  <c r="AD35" i="112"/>
  <c r="AC35" i="112"/>
  <c r="AB35" i="112"/>
  <c r="AA35" i="112"/>
  <c r="Z35" i="112"/>
  <c r="Y35" i="112"/>
  <c r="X35" i="112"/>
  <c r="W35" i="112"/>
  <c r="V35" i="112"/>
  <c r="U35" i="112"/>
  <c r="T35" i="112"/>
  <c r="S35" i="112"/>
  <c r="R35" i="112"/>
  <c r="Q35" i="112"/>
  <c r="P35" i="112"/>
  <c r="O35" i="112"/>
  <c r="N35" i="112"/>
  <c r="M35" i="112"/>
  <c r="L35" i="112"/>
  <c r="K35" i="112"/>
  <c r="J35" i="112"/>
  <c r="I35" i="112"/>
  <c r="H35" i="112"/>
  <c r="G35" i="112"/>
  <c r="F35" i="112"/>
  <c r="E35" i="112"/>
  <c r="D35" i="112"/>
  <c r="C35" i="112"/>
  <c r="AJ34" i="112"/>
  <c r="AJ33" i="112"/>
  <c r="AJ35" i="112" s="1"/>
  <c r="AJ32" i="112"/>
  <c r="AJ31" i="112"/>
  <c r="AK39" i="112" l="1"/>
  <c r="E52" i="112"/>
  <c r="F48" i="112"/>
  <c r="V44" i="112"/>
  <c r="D47" i="112"/>
  <c r="C51" i="112"/>
  <c r="AA44" i="112"/>
  <c r="U43" i="112"/>
  <c r="AJ43" i="112" s="1"/>
  <c r="AK42" i="112"/>
  <c r="AJ42" i="112"/>
  <c r="E45" i="112"/>
  <c r="D49" i="112"/>
  <c r="D53" i="112" s="1"/>
  <c r="AC41" i="112"/>
  <c r="AC44" i="112" s="1"/>
  <c r="U44" i="112"/>
  <c r="U41" i="112"/>
  <c r="AJ40" i="112"/>
  <c r="AG41" i="112"/>
  <c r="AG44" i="112" s="1"/>
  <c r="AK40" i="112"/>
  <c r="D46" i="112"/>
  <c r="C52" i="112"/>
  <c r="AJ38" i="112"/>
  <c r="C49" i="112"/>
  <c r="C53" i="112" s="1"/>
  <c r="C30" i="111"/>
  <c r="C31" i="111" s="1"/>
  <c r="C29" i="111"/>
  <c r="AG28" i="111"/>
  <c r="AF28" i="111"/>
  <c r="AE28" i="111"/>
  <c r="AD28" i="111"/>
  <c r="AC28" i="111"/>
  <c r="AB28" i="111"/>
  <c r="AA28" i="111"/>
  <c r="Z28" i="111"/>
  <c r="Y28" i="111"/>
  <c r="X28" i="111"/>
  <c r="W28" i="111"/>
  <c r="V28" i="111"/>
  <c r="U28" i="111"/>
  <c r="T28" i="111"/>
  <c r="S28" i="111"/>
  <c r="R28" i="111"/>
  <c r="Q28" i="111"/>
  <c r="P28" i="111"/>
  <c r="O28" i="111"/>
  <c r="N28" i="111"/>
  <c r="M28" i="111"/>
  <c r="L28" i="111"/>
  <c r="K28" i="111"/>
  <c r="J28" i="111"/>
  <c r="I28" i="111"/>
  <c r="H28" i="111"/>
  <c r="G28" i="111"/>
  <c r="F28" i="111"/>
  <c r="E28" i="111"/>
  <c r="C28" i="111"/>
  <c r="AJ27" i="111"/>
  <c r="AJ26" i="111"/>
  <c r="AJ25" i="111"/>
  <c r="D25" i="111"/>
  <c r="AJ24" i="111"/>
  <c r="D24" i="111"/>
  <c r="D28" i="111" s="1"/>
  <c r="AK23" i="111"/>
  <c r="AG23" i="111"/>
  <c r="AF23" i="111"/>
  <c r="AE23" i="111"/>
  <c r="AD23" i="111"/>
  <c r="AC23" i="111"/>
  <c r="AB23" i="111"/>
  <c r="AA23" i="111"/>
  <c r="Z23" i="111"/>
  <c r="Y23" i="111"/>
  <c r="X23" i="111"/>
  <c r="W23" i="111"/>
  <c r="V23" i="111"/>
  <c r="U23" i="111"/>
  <c r="T23" i="111"/>
  <c r="S23" i="111"/>
  <c r="R23" i="111"/>
  <c r="Q23" i="111"/>
  <c r="P23" i="111"/>
  <c r="O23" i="111"/>
  <c r="M23" i="111"/>
  <c r="L23" i="111"/>
  <c r="K23" i="111"/>
  <c r="J23" i="111"/>
  <c r="I23" i="111"/>
  <c r="H23" i="111"/>
  <c r="G23" i="111"/>
  <c r="F23" i="111"/>
  <c r="E23" i="111"/>
  <c r="D23" i="111"/>
  <c r="C23" i="111"/>
  <c r="AK22" i="111"/>
  <c r="Y22" i="111"/>
  <c r="Z22" i="111" s="1"/>
  <c r="AA22" i="111" s="1"/>
  <c r="AB22" i="111" s="1"/>
  <c r="AC22" i="111" s="1"/>
  <c r="AD22" i="111" s="1"/>
  <c r="AE22" i="111" s="1"/>
  <c r="AF22" i="111" s="1"/>
  <c r="AG22" i="111" s="1"/>
  <c r="X22" i="111"/>
  <c r="C22" i="111"/>
  <c r="D22" i="111" s="1"/>
  <c r="E22" i="111" s="1"/>
  <c r="F22" i="111" s="1"/>
  <c r="G22" i="111" s="1"/>
  <c r="H22" i="111" s="1"/>
  <c r="I22" i="111" s="1"/>
  <c r="J22" i="111" s="1"/>
  <c r="K22" i="111" s="1"/>
  <c r="L22" i="111" s="1"/>
  <c r="M22" i="111" s="1"/>
  <c r="N22" i="111" s="1"/>
  <c r="O22" i="111" s="1"/>
  <c r="P22" i="111" s="1"/>
  <c r="Q22" i="111" s="1"/>
  <c r="R22" i="111" s="1"/>
  <c r="S22" i="111" s="1"/>
  <c r="T22" i="111" s="1"/>
  <c r="U22" i="111" s="1"/>
  <c r="V22" i="111" s="1"/>
  <c r="AK21" i="111"/>
  <c r="AJ21" i="111"/>
  <c r="AJ41" i="112" l="1"/>
  <c r="AJ44" i="112" s="1"/>
  <c r="AK41" i="112"/>
  <c r="F45" i="112"/>
  <c r="E49" i="112"/>
  <c r="E53" i="112" s="1"/>
  <c r="E47" i="112"/>
  <c r="D51" i="112"/>
  <c r="E46" i="112"/>
  <c r="D50" i="112"/>
  <c r="F52" i="112"/>
  <c r="G48" i="112"/>
  <c r="AP28" i="111"/>
  <c r="D29" i="111"/>
  <c r="E29" i="111" s="1"/>
  <c r="F29" i="111" s="1"/>
  <c r="G29" i="111" s="1"/>
  <c r="H29" i="111" s="1"/>
  <c r="I29" i="111" s="1"/>
  <c r="J29" i="111" s="1"/>
  <c r="K29" i="111" s="1"/>
  <c r="L29" i="111" s="1"/>
  <c r="M29" i="111" s="1"/>
  <c r="N29" i="111" s="1"/>
  <c r="O29" i="111" s="1"/>
  <c r="P29" i="111" s="1"/>
  <c r="Q29" i="111" s="1"/>
  <c r="R29" i="111" s="1"/>
  <c r="S29" i="111" s="1"/>
  <c r="T29" i="111" s="1"/>
  <c r="U29" i="111" s="1"/>
  <c r="V29" i="111" s="1"/>
  <c r="W29" i="111" s="1"/>
  <c r="X29" i="111" s="1"/>
  <c r="Y29" i="111" s="1"/>
  <c r="Z29" i="111" s="1"/>
  <c r="AA29" i="111" s="1"/>
  <c r="AB29" i="111" s="1"/>
  <c r="AC29" i="111" s="1"/>
  <c r="AD29" i="111" s="1"/>
  <c r="AE29" i="111" s="1"/>
  <c r="AF29" i="111" s="1"/>
  <c r="AG29" i="111" s="1"/>
  <c r="AK24" i="111"/>
  <c r="AJ28" i="111"/>
  <c r="D30" i="111"/>
  <c r="F46" i="112" l="1"/>
  <c r="E50" i="112"/>
  <c r="F47" i="112"/>
  <c r="E51" i="112"/>
  <c r="G52" i="112"/>
  <c r="H48" i="112"/>
  <c r="G45" i="112"/>
  <c r="F49" i="112"/>
  <c r="F53" i="112" s="1"/>
  <c r="D31" i="111"/>
  <c r="E30" i="111"/>
  <c r="F51" i="112" l="1"/>
  <c r="G47" i="112"/>
  <c r="G49" i="112"/>
  <c r="G53" i="112" s="1"/>
  <c r="H45" i="112"/>
  <c r="F50" i="112"/>
  <c r="G46" i="112"/>
  <c r="I48" i="112"/>
  <c r="H52" i="112"/>
  <c r="E31" i="111"/>
  <c r="F30" i="111"/>
  <c r="G50" i="112" l="1"/>
  <c r="H46" i="112"/>
  <c r="J48" i="112"/>
  <c r="I52" i="112"/>
  <c r="H49" i="112"/>
  <c r="H53" i="112" s="1"/>
  <c r="I45" i="112"/>
  <c r="G51" i="112"/>
  <c r="H47" i="112"/>
  <c r="F31" i="111"/>
  <c r="G30" i="111"/>
  <c r="H51" i="112" l="1"/>
  <c r="I47" i="112"/>
  <c r="H50" i="112"/>
  <c r="I46" i="112"/>
  <c r="I49" i="112"/>
  <c r="I53" i="112" s="1"/>
  <c r="J45" i="112"/>
  <c r="K48" i="112"/>
  <c r="J52" i="112"/>
  <c r="G31" i="111"/>
  <c r="H30" i="111"/>
  <c r="J46" i="112" l="1"/>
  <c r="I50" i="112"/>
  <c r="K52" i="112"/>
  <c r="L48" i="112"/>
  <c r="J49" i="112"/>
  <c r="J53" i="112" s="1"/>
  <c r="K45" i="112"/>
  <c r="J47" i="112"/>
  <c r="I51" i="112"/>
  <c r="H31" i="111"/>
  <c r="I30" i="111"/>
  <c r="L45" i="112" l="1"/>
  <c r="K49" i="112"/>
  <c r="K53" i="112" s="1"/>
  <c r="L52" i="112"/>
  <c r="M48" i="112"/>
  <c r="K47" i="112"/>
  <c r="J51" i="112"/>
  <c r="K46" i="112"/>
  <c r="J50" i="112"/>
  <c r="I31" i="111"/>
  <c r="J30" i="111"/>
  <c r="K51" i="112" l="1"/>
  <c r="L47" i="112"/>
  <c r="M52" i="112"/>
  <c r="N48" i="112"/>
  <c r="L46" i="112"/>
  <c r="K50" i="112"/>
  <c r="M45" i="112"/>
  <c r="L49" i="112"/>
  <c r="L53" i="112" s="1"/>
  <c r="J31" i="111"/>
  <c r="K30" i="111"/>
  <c r="M46" i="112" l="1"/>
  <c r="L50" i="112"/>
  <c r="N52" i="112"/>
  <c r="O48" i="112"/>
  <c r="L51" i="112"/>
  <c r="M47" i="112"/>
  <c r="N45" i="112"/>
  <c r="M49" i="112"/>
  <c r="M53" i="112" s="1"/>
  <c r="K31" i="111"/>
  <c r="L30" i="111"/>
  <c r="M51" i="112" l="1"/>
  <c r="N47" i="112"/>
  <c r="P48" i="112"/>
  <c r="O52" i="112"/>
  <c r="N49" i="112"/>
  <c r="N53" i="112" s="1"/>
  <c r="O45" i="112"/>
  <c r="M50" i="112"/>
  <c r="N46" i="112"/>
  <c r="L31" i="111"/>
  <c r="M30" i="111"/>
  <c r="O49" i="112" l="1"/>
  <c r="O53" i="112" s="1"/>
  <c r="P45" i="112"/>
  <c r="P52" i="112"/>
  <c r="Q48" i="112"/>
  <c r="N50" i="112"/>
  <c r="O46" i="112"/>
  <c r="O47" i="112"/>
  <c r="N51" i="112"/>
  <c r="M31" i="111"/>
  <c r="N30" i="111"/>
  <c r="O50" i="112" l="1"/>
  <c r="P46" i="112"/>
  <c r="Q52" i="112"/>
  <c r="R48" i="112"/>
  <c r="Q45" i="112"/>
  <c r="P49" i="112"/>
  <c r="P53" i="112" s="1"/>
  <c r="P47" i="112"/>
  <c r="O51" i="112"/>
  <c r="N31" i="111"/>
  <c r="O30" i="111"/>
  <c r="R45" i="112" l="1"/>
  <c r="Q49" i="112"/>
  <c r="Q53" i="112" s="1"/>
  <c r="R52" i="112"/>
  <c r="S48" i="112"/>
  <c r="Q46" i="112"/>
  <c r="P50" i="112"/>
  <c r="Q47" i="112"/>
  <c r="P51" i="112"/>
  <c r="O31" i="111"/>
  <c r="P30" i="111"/>
  <c r="R46" i="112" l="1"/>
  <c r="Q50" i="112"/>
  <c r="T48" i="112"/>
  <c r="S52" i="112"/>
  <c r="Q51" i="112"/>
  <c r="R47" i="112"/>
  <c r="S45" i="112"/>
  <c r="R49" i="112"/>
  <c r="R53" i="112" s="1"/>
  <c r="P31" i="111"/>
  <c r="Q30" i="111"/>
  <c r="R51" i="112" l="1"/>
  <c r="S47" i="112"/>
  <c r="U48" i="112"/>
  <c r="T52" i="112"/>
  <c r="S49" i="112"/>
  <c r="S53" i="112" s="1"/>
  <c r="T45" i="112"/>
  <c r="S46" i="112"/>
  <c r="R50" i="112"/>
  <c r="Q31" i="111"/>
  <c r="R30" i="111"/>
  <c r="T49" i="112" l="1"/>
  <c r="T53" i="112" s="1"/>
  <c r="U45" i="112"/>
  <c r="S51" i="112"/>
  <c r="T47" i="112"/>
  <c r="V48" i="112"/>
  <c r="U52" i="112"/>
  <c r="S50" i="112"/>
  <c r="T46" i="112"/>
  <c r="R31" i="111"/>
  <c r="S30" i="111"/>
  <c r="V52" i="112" l="1"/>
  <c r="W48" i="112"/>
  <c r="U49" i="112"/>
  <c r="U53" i="112" s="1"/>
  <c r="V45" i="112"/>
  <c r="T51" i="112"/>
  <c r="U47" i="112"/>
  <c r="T50" i="112"/>
  <c r="U46" i="112"/>
  <c r="T30" i="111"/>
  <c r="S31" i="111"/>
  <c r="W52" i="112" l="1"/>
  <c r="X48" i="112"/>
  <c r="V47" i="112"/>
  <c r="U51" i="112"/>
  <c r="V49" i="112"/>
  <c r="V53" i="112" s="1"/>
  <c r="W45" i="112"/>
  <c r="V46" i="112"/>
  <c r="U50" i="112"/>
  <c r="U30" i="111"/>
  <c r="T31" i="111"/>
  <c r="X45" i="112" l="1"/>
  <c r="W49" i="112"/>
  <c r="W53" i="112" s="1"/>
  <c r="X52" i="112"/>
  <c r="Y48" i="112"/>
  <c r="W47" i="112"/>
  <c r="V51" i="112"/>
  <c r="W46" i="112"/>
  <c r="V50" i="112"/>
  <c r="U31" i="111"/>
  <c r="V30" i="111"/>
  <c r="X47" i="112" l="1"/>
  <c r="W51" i="112"/>
  <c r="Y52" i="112"/>
  <c r="Z48" i="112"/>
  <c r="X46" i="112"/>
  <c r="W50" i="112"/>
  <c r="Y45" i="112"/>
  <c r="X49" i="112"/>
  <c r="X53" i="112" s="1"/>
  <c r="V31" i="111"/>
  <c r="W30" i="111"/>
  <c r="Y46" i="112" l="1"/>
  <c r="X50" i="112"/>
  <c r="AA48" i="112"/>
  <c r="Z52" i="112"/>
  <c r="Z45" i="112"/>
  <c r="Y49" i="112"/>
  <c r="Y53" i="112" s="1"/>
  <c r="X51" i="112"/>
  <c r="Y47" i="112"/>
  <c r="W31" i="111"/>
  <c r="X30" i="111"/>
  <c r="Z49" i="112" l="1"/>
  <c r="Z53" i="112" s="1"/>
  <c r="AA45" i="112"/>
  <c r="AB48" i="112"/>
  <c r="AA52" i="112"/>
  <c r="Y51" i="112"/>
  <c r="Z47" i="112"/>
  <c r="Y50" i="112"/>
  <c r="Z46" i="112"/>
  <c r="X31" i="111"/>
  <c r="Y30" i="111"/>
  <c r="AA47" i="112" l="1"/>
  <c r="Z51" i="112"/>
  <c r="AA49" i="112"/>
  <c r="AA53" i="112" s="1"/>
  <c r="AB45" i="112"/>
  <c r="AC48" i="112"/>
  <c r="AB52" i="112"/>
  <c r="Z50" i="112"/>
  <c r="AA46" i="112"/>
  <c r="Z30" i="111"/>
  <c r="Y31" i="111"/>
  <c r="AC52" i="112" l="1"/>
  <c r="AD48" i="112"/>
  <c r="AB49" i="112"/>
  <c r="AB53" i="112" s="1"/>
  <c r="AC45" i="112"/>
  <c r="AA50" i="112"/>
  <c r="AB46" i="112"/>
  <c r="AB47" i="112"/>
  <c r="AA51" i="112"/>
  <c r="AA30" i="111"/>
  <c r="Z31" i="111"/>
  <c r="AD52" i="112" l="1"/>
  <c r="AE48" i="112"/>
  <c r="AC46" i="112"/>
  <c r="AB50" i="112"/>
  <c r="AD45" i="112"/>
  <c r="AC49" i="112"/>
  <c r="AC53" i="112" s="1"/>
  <c r="AC47" i="112"/>
  <c r="AB51" i="112"/>
  <c r="AA31" i="111"/>
  <c r="AB30" i="111"/>
  <c r="AE45" i="112" l="1"/>
  <c r="AD49" i="112"/>
  <c r="AD53" i="112" s="1"/>
  <c r="AD46" i="112"/>
  <c r="AC50" i="112"/>
  <c r="AE52" i="112"/>
  <c r="AF48" i="112"/>
  <c r="AD47" i="112"/>
  <c r="AC51" i="112"/>
  <c r="AB31" i="111"/>
  <c r="AC30" i="111"/>
  <c r="AG48" i="112" l="1"/>
  <c r="AG52" i="112" s="1"/>
  <c r="AF52" i="112"/>
  <c r="AE46" i="112"/>
  <c r="AD50" i="112"/>
  <c r="AD51" i="112"/>
  <c r="AE47" i="112"/>
  <c r="AF45" i="112"/>
  <c r="AE49" i="112"/>
  <c r="AE53" i="112" s="1"/>
  <c r="AC31" i="111"/>
  <c r="AD30" i="111"/>
  <c r="AE50" i="112" l="1"/>
  <c r="AF46" i="112"/>
  <c r="AE51" i="112"/>
  <c r="AF47" i="112"/>
  <c r="AF49" i="112"/>
  <c r="AF53" i="112" s="1"/>
  <c r="AG45" i="112"/>
  <c r="AG49" i="112" s="1"/>
  <c r="AG53" i="112" s="1"/>
  <c r="AD31" i="111"/>
  <c r="AE30" i="111"/>
  <c r="AF51" i="112" l="1"/>
  <c r="AG47" i="112"/>
  <c r="AG51" i="112" s="1"/>
  <c r="AF50" i="112"/>
  <c r="AG46" i="112"/>
  <c r="AG50" i="112" s="1"/>
  <c r="AE31" i="111"/>
  <c r="AF30" i="111"/>
  <c r="AF31" i="111" l="1"/>
  <c r="AG30" i="111"/>
  <c r="AG31" i="111" s="1"/>
  <c r="C13" i="111" l="1"/>
  <c r="C14" i="111" s="1"/>
  <c r="C12" i="111"/>
  <c r="D12" i="111" s="1"/>
  <c r="E12" i="111" s="1"/>
  <c r="F12" i="111" s="1"/>
  <c r="G12" i="111" s="1"/>
  <c r="H12" i="111" s="1"/>
  <c r="I12" i="111" s="1"/>
  <c r="J12" i="111" s="1"/>
  <c r="K12" i="111" s="1"/>
  <c r="L12" i="111" s="1"/>
  <c r="M12" i="111" s="1"/>
  <c r="N12" i="111" s="1"/>
  <c r="O12" i="111" s="1"/>
  <c r="P12" i="111" s="1"/>
  <c r="Q12" i="111" s="1"/>
  <c r="R12" i="111" s="1"/>
  <c r="S12" i="111" s="1"/>
  <c r="T12" i="111" s="1"/>
  <c r="AG11" i="111"/>
  <c r="AF11" i="111"/>
  <c r="AD11" i="111"/>
  <c r="Z11" i="111"/>
  <c r="Y11" i="111"/>
  <c r="T11" i="111"/>
  <c r="S11" i="111"/>
  <c r="R11" i="111"/>
  <c r="Q11" i="111"/>
  <c r="P11" i="111"/>
  <c r="O11" i="111"/>
  <c r="N11" i="111"/>
  <c r="M11" i="111"/>
  <c r="L11" i="111"/>
  <c r="K11" i="111"/>
  <c r="J11" i="111"/>
  <c r="I11" i="111"/>
  <c r="H11" i="111"/>
  <c r="G11" i="111"/>
  <c r="F11" i="111"/>
  <c r="E11" i="111"/>
  <c r="D11" i="111"/>
  <c r="C11" i="111"/>
  <c r="AJ10" i="111"/>
  <c r="AJ9" i="111"/>
  <c r="AJ8" i="111"/>
  <c r="AE8" i="111"/>
  <c r="AC8" i="111"/>
  <c r="AB8" i="111"/>
  <c r="AA8" i="111"/>
  <c r="AE7" i="111"/>
  <c r="AE11" i="111" s="1"/>
  <c r="AC7" i="111"/>
  <c r="AC11" i="111" s="1"/>
  <c r="AB7" i="111"/>
  <c r="AB11" i="111" s="1"/>
  <c r="AA7" i="111"/>
  <c r="AA11" i="111" s="1"/>
  <c r="W7" i="111"/>
  <c r="W11" i="111" s="1"/>
  <c r="V7" i="111"/>
  <c r="V11" i="111" s="1"/>
  <c r="AG6" i="111"/>
  <c r="AF6" i="111"/>
  <c r="AE6" i="111"/>
  <c r="AD6" i="111"/>
  <c r="AC6" i="111"/>
  <c r="AB6" i="111"/>
  <c r="AA6" i="111"/>
  <c r="Z6" i="111"/>
  <c r="Y6" i="111"/>
  <c r="X6" i="111"/>
  <c r="X7" i="111" s="1"/>
  <c r="X11" i="111" s="1"/>
  <c r="W6" i="111"/>
  <c r="V6" i="111"/>
  <c r="U6" i="111"/>
  <c r="U7" i="111" s="1"/>
  <c r="T6" i="111"/>
  <c r="S6" i="111"/>
  <c r="R6" i="111"/>
  <c r="Q6" i="111"/>
  <c r="P6" i="111"/>
  <c r="O6" i="111"/>
  <c r="N6" i="111"/>
  <c r="M6" i="111"/>
  <c r="L6" i="111"/>
  <c r="K6" i="111"/>
  <c r="J6" i="111"/>
  <c r="I6" i="111"/>
  <c r="H6" i="111"/>
  <c r="G6" i="111"/>
  <c r="F6" i="111"/>
  <c r="E6" i="111"/>
  <c r="D6" i="111"/>
  <c r="C6" i="111"/>
  <c r="AK5" i="111"/>
  <c r="X5" i="111"/>
  <c r="Y5" i="111" s="1"/>
  <c r="Z5" i="111" s="1"/>
  <c r="AA5" i="111" s="1"/>
  <c r="AB5" i="111" s="1"/>
  <c r="AC5" i="111" s="1"/>
  <c r="AD5" i="111" s="1"/>
  <c r="AE5" i="111" s="1"/>
  <c r="AF5" i="111" s="1"/>
  <c r="AG5" i="111" s="1"/>
  <c r="D5" i="111"/>
  <c r="E5" i="111" s="1"/>
  <c r="F5" i="111" s="1"/>
  <c r="G5" i="111" s="1"/>
  <c r="H5" i="111" s="1"/>
  <c r="I5" i="111" s="1"/>
  <c r="J5" i="111" s="1"/>
  <c r="K5" i="111" s="1"/>
  <c r="L5" i="111" s="1"/>
  <c r="M5" i="111" s="1"/>
  <c r="N5" i="111" s="1"/>
  <c r="O5" i="111" s="1"/>
  <c r="P5" i="111" s="1"/>
  <c r="Q5" i="111" s="1"/>
  <c r="R5" i="111" s="1"/>
  <c r="S5" i="111" s="1"/>
  <c r="T5" i="111" s="1"/>
  <c r="U5" i="111" s="1"/>
  <c r="V5" i="111" s="1"/>
  <c r="C5" i="111"/>
  <c r="AJ4" i="111"/>
  <c r="C24" i="112"/>
  <c r="E23" i="112"/>
  <c r="C20" i="112"/>
  <c r="D20" i="112" s="1"/>
  <c r="E20" i="112" s="1"/>
  <c r="E24" i="112" s="1"/>
  <c r="C19" i="112"/>
  <c r="D19" i="112" s="1"/>
  <c r="E19" i="112" s="1"/>
  <c r="F19" i="112" s="1"/>
  <c r="F23" i="112" s="1"/>
  <c r="C18" i="112"/>
  <c r="C22" i="112" s="1"/>
  <c r="C17" i="112"/>
  <c r="C21" i="112" s="1"/>
  <c r="C25" i="112" s="1"/>
  <c r="AG16" i="112"/>
  <c r="AF16" i="112"/>
  <c r="Z16" i="112"/>
  <c r="Y16" i="112"/>
  <c r="X16" i="112"/>
  <c r="W16" i="112"/>
  <c r="V16" i="112"/>
  <c r="U16" i="112"/>
  <c r="T16" i="112"/>
  <c r="S16" i="112"/>
  <c r="R16" i="112"/>
  <c r="Q16" i="112"/>
  <c r="P16" i="112"/>
  <c r="O16" i="112"/>
  <c r="N16" i="112"/>
  <c r="M16" i="112"/>
  <c r="L16" i="112"/>
  <c r="K16" i="112"/>
  <c r="J16" i="112"/>
  <c r="I16" i="112"/>
  <c r="H16" i="112"/>
  <c r="G16" i="112"/>
  <c r="F16" i="112"/>
  <c r="E16" i="112"/>
  <c r="D16" i="112"/>
  <c r="C16" i="112"/>
  <c r="AD15" i="112"/>
  <c r="AC15" i="112"/>
  <c r="AB15" i="112"/>
  <c r="AA15" i="112"/>
  <c r="AE14" i="112"/>
  <c r="AE15" i="112" s="1"/>
  <c r="AD14" i="112"/>
  <c r="AC14" i="112"/>
  <c r="AB14" i="112"/>
  <c r="AA14" i="112"/>
  <c r="AB13" i="112"/>
  <c r="AA13" i="112"/>
  <c r="AE12" i="112"/>
  <c r="AD12" i="112"/>
  <c r="AD13" i="112" s="1"/>
  <c r="AC12" i="112"/>
  <c r="AC13" i="112" s="1"/>
  <c r="AB12" i="112"/>
  <c r="AA12" i="112"/>
  <c r="AE11" i="112"/>
  <c r="AD11" i="112"/>
  <c r="AE10" i="112"/>
  <c r="AD10" i="112"/>
  <c r="AD16" i="112" s="1"/>
  <c r="AC10" i="112"/>
  <c r="AC11" i="112" s="1"/>
  <c r="AB10" i="112"/>
  <c r="AB11" i="112" s="1"/>
  <c r="AA10" i="112"/>
  <c r="AA11" i="112" s="1"/>
  <c r="AG7" i="112"/>
  <c r="AF7" i="112"/>
  <c r="AE7" i="112"/>
  <c r="AD7" i="112"/>
  <c r="AC7" i="112"/>
  <c r="AB7" i="112"/>
  <c r="AA7" i="112"/>
  <c r="Z7" i="112"/>
  <c r="Y7" i="112"/>
  <c r="X7" i="112"/>
  <c r="W7" i="112"/>
  <c r="V7" i="112"/>
  <c r="U7" i="112"/>
  <c r="S7" i="112"/>
  <c r="R7" i="112"/>
  <c r="Q7" i="112"/>
  <c r="P7" i="112"/>
  <c r="O7" i="112"/>
  <c r="N7" i="112"/>
  <c r="M7" i="112"/>
  <c r="L7" i="112"/>
  <c r="K7" i="112"/>
  <c r="J7" i="112"/>
  <c r="I7" i="112"/>
  <c r="H7" i="112"/>
  <c r="G7" i="112"/>
  <c r="F7" i="112"/>
  <c r="E7" i="112"/>
  <c r="D7" i="112"/>
  <c r="C7" i="112"/>
  <c r="C8" i="112" s="1"/>
  <c r="D8" i="112" s="1"/>
  <c r="E8" i="112" s="1"/>
  <c r="F8" i="112" s="1"/>
  <c r="G8" i="112" s="1"/>
  <c r="H8" i="112" s="1"/>
  <c r="I8" i="112" s="1"/>
  <c r="J8" i="112" s="1"/>
  <c r="K8" i="112" s="1"/>
  <c r="L8" i="112" s="1"/>
  <c r="M8" i="112" s="1"/>
  <c r="N8" i="112" s="1"/>
  <c r="O8" i="112" s="1"/>
  <c r="P8" i="112" s="1"/>
  <c r="Q8" i="112" s="1"/>
  <c r="R8" i="112" s="1"/>
  <c r="S8" i="112" s="1"/>
  <c r="T5" i="112"/>
  <c r="T4" i="112"/>
  <c r="T7" i="112" s="1"/>
  <c r="U12" i="111" l="1"/>
  <c r="V12" i="111" s="1"/>
  <c r="W12" i="111" s="1"/>
  <c r="X12" i="111" s="1"/>
  <c r="Y12" i="111" s="1"/>
  <c r="Z12" i="111" s="1"/>
  <c r="AA12" i="111" s="1"/>
  <c r="AB12" i="111" s="1"/>
  <c r="AC12" i="111" s="1"/>
  <c r="AD12" i="111" s="1"/>
  <c r="AE12" i="111" s="1"/>
  <c r="AF12" i="111" s="1"/>
  <c r="AG12" i="111" s="1"/>
  <c r="AP11" i="111"/>
  <c r="U11" i="111"/>
  <c r="AJ7" i="111"/>
  <c r="AK4" i="111"/>
  <c r="AK6" i="111" s="1"/>
  <c r="AJ11" i="111"/>
  <c r="D13" i="111"/>
  <c r="T8" i="112"/>
  <c r="U8" i="112" s="1"/>
  <c r="V8" i="112" s="1"/>
  <c r="W8" i="112" s="1"/>
  <c r="X8" i="112" s="1"/>
  <c r="Y8" i="112" s="1"/>
  <c r="Z8" i="112" s="1"/>
  <c r="AA8" i="112" s="1"/>
  <c r="AB8" i="112" s="1"/>
  <c r="AC8" i="112" s="1"/>
  <c r="AD8" i="112" s="1"/>
  <c r="AE8" i="112" s="1"/>
  <c r="AF8" i="112" s="1"/>
  <c r="AG8" i="112" s="1"/>
  <c r="AB16" i="112"/>
  <c r="D17" i="112"/>
  <c r="F20" i="112"/>
  <c r="AA16" i="112"/>
  <c r="AC16" i="112"/>
  <c r="AE13" i="112"/>
  <c r="AE16" i="112" s="1"/>
  <c r="G19" i="112"/>
  <c r="D24" i="112"/>
  <c r="C23" i="112"/>
  <c r="D18" i="112"/>
  <c r="D23" i="112"/>
  <c r="D14" i="111" l="1"/>
  <c r="E13" i="111"/>
  <c r="G23" i="112"/>
  <c r="H19" i="112"/>
  <c r="E18" i="112"/>
  <c r="D22" i="112"/>
  <c r="F24" i="112"/>
  <c r="G20" i="112"/>
  <c r="D21" i="112"/>
  <c r="D25" i="112" s="1"/>
  <c r="E17" i="112"/>
  <c r="E14" i="111" l="1"/>
  <c r="F13" i="111"/>
  <c r="G24" i="112"/>
  <c r="H20" i="112"/>
  <c r="H23" i="112"/>
  <c r="I19" i="112"/>
  <c r="F18" i="112"/>
  <c r="E22" i="112"/>
  <c r="F17" i="112"/>
  <c r="E21" i="112"/>
  <c r="E25" i="112" s="1"/>
  <c r="F14" i="111" l="1"/>
  <c r="G13" i="111"/>
  <c r="J19" i="112"/>
  <c r="I23" i="112"/>
  <c r="I20" i="112"/>
  <c r="H24" i="112"/>
  <c r="G17" i="112"/>
  <c r="F21" i="112"/>
  <c r="F25" i="112" s="1"/>
  <c r="G18" i="112"/>
  <c r="F22" i="112"/>
  <c r="G14" i="111" l="1"/>
  <c r="H13" i="111"/>
  <c r="J20" i="112"/>
  <c r="I24" i="112"/>
  <c r="G22" i="112"/>
  <c r="H18" i="112"/>
  <c r="K19" i="112"/>
  <c r="J23" i="112"/>
  <c r="H17" i="112"/>
  <c r="G21" i="112"/>
  <c r="G25" i="112" s="1"/>
  <c r="H14" i="111" l="1"/>
  <c r="I13" i="111"/>
  <c r="H22" i="112"/>
  <c r="I18" i="112"/>
  <c r="H21" i="112"/>
  <c r="H25" i="112" s="1"/>
  <c r="I17" i="112"/>
  <c r="K20" i="112"/>
  <c r="J24" i="112"/>
  <c r="L19" i="112"/>
  <c r="K23" i="112"/>
  <c r="I14" i="111" l="1"/>
  <c r="J13" i="111"/>
  <c r="I21" i="112"/>
  <c r="I25" i="112" s="1"/>
  <c r="J17" i="112"/>
  <c r="I22" i="112"/>
  <c r="J18" i="112"/>
  <c r="L23" i="112"/>
  <c r="M19" i="112"/>
  <c r="K24" i="112"/>
  <c r="L20" i="112"/>
  <c r="J14" i="111" l="1"/>
  <c r="K13" i="111"/>
  <c r="L24" i="112"/>
  <c r="M20" i="112"/>
  <c r="J21" i="112"/>
  <c r="J25" i="112" s="1"/>
  <c r="K17" i="112"/>
  <c r="M23" i="112"/>
  <c r="N19" i="112"/>
  <c r="K18" i="112"/>
  <c r="J22" i="112"/>
  <c r="K14" i="111" l="1"/>
  <c r="L13" i="111"/>
  <c r="M24" i="112"/>
  <c r="N20" i="112"/>
  <c r="L18" i="112"/>
  <c r="K22" i="112"/>
  <c r="N23" i="112"/>
  <c r="O19" i="112"/>
  <c r="L17" i="112"/>
  <c r="K21" i="112"/>
  <c r="K25" i="112" s="1"/>
  <c r="L14" i="111" l="1"/>
  <c r="M13" i="111"/>
  <c r="M17" i="112"/>
  <c r="L21" i="112"/>
  <c r="L25" i="112" s="1"/>
  <c r="P19" i="112"/>
  <c r="O23" i="112"/>
  <c r="M18" i="112"/>
  <c r="L22" i="112"/>
  <c r="O20" i="112"/>
  <c r="N24" i="112"/>
  <c r="M14" i="111" l="1"/>
  <c r="N13" i="111"/>
  <c r="P20" i="112"/>
  <c r="O24" i="112"/>
  <c r="N17" i="112"/>
  <c r="M21" i="112"/>
  <c r="M25" i="112" s="1"/>
  <c r="M22" i="112"/>
  <c r="N18" i="112"/>
  <c r="Q19" i="112"/>
  <c r="P23" i="112"/>
  <c r="N14" i="111" l="1"/>
  <c r="O13" i="111"/>
  <c r="N21" i="112"/>
  <c r="N25" i="112" s="1"/>
  <c r="O17" i="112"/>
  <c r="R19" i="112"/>
  <c r="Q23" i="112"/>
  <c r="Q20" i="112"/>
  <c r="P24" i="112"/>
  <c r="N22" i="112"/>
  <c r="O18" i="112"/>
  <c r="O14" i="111" l="1"/>
  <c r="P13" i="111"/>
  <c r="R23" i="112"/>
  <c r="S19" i="112"/>
  <c r="O21" i="112"/>
  <c r="O25" i="112" s="1"/>
  <c r="P17" i="112"/>
  <c r="Q24" i="112"/>
  <c r="R20" i="112"/>
  <c r="O22" i="112"/>
  <c r="P18" i="112"/>
  <c r="Q13" i="111" l="1"/>
  <c r="P14" i="111"/>
  <c r="R24" i="112"/>
  <c r="S20" i="112"/>
  <c r="S23" i="112"/>
  <c r="T19" i="112"/>
  <c r="P21" i="112"/>
  <c r="P25" i="112" s="1"/>
  <c r="Q17" i="112"/>
  <c r="Q18" i="112"/>
  <c r="P22" i="112"/>
  <c r="Q14" i="111" l="1"/>
  <c r="R13" i="111"/>
  <c r="S24" i="112"/>
  <c r="T20" i="112"/>
  <c r="R17" i="112"/>
  <c r="Q21" i="112"/>
  <c r="Q25" i="112" s="1"/>
  <c r="T23" i="112"/>
  <c r="U19" i="112"/>
  <c r="R18" i="112"/>
  <c r="Q22" i="112"/>
  <c r="R14" i="111" l="1"/>
  <c r="S13" i="111"/>
  <c r="V19" i="112"/>
  <c r="U23" i="112"/>
  <c r="U20" i="112"/>
  <c r="T24" i="112"/>
  <c r="S17" i="112"/>
  <c r="R21" i="112"/>
  <c r="R25" i="112" s="1"/>
  <c r="S18" i="112"/>
  <c r="R22" i="112"/>
  <c r="S14" i="111" l="1"/>
  <c r="T13" i="111"/>
  <c r="T17" i="112"/>
  <c r="S21" i="112"/>
  <c r="S25" i="112" s="1"/>
  <c r="V20" i="112"/>
  <c r="U24" i="112"/>
  <c r="S22" i="112"/>
  <c r="T18" i="112"/>
  <c r="W19" i="112"/>
  <c r="V23" i="112"/>
  <c r="T14" i="111" l="1"/>
  <c r="U13" i="111"/>
  <c r="T22" i="112"/>
  <c r="U18" i="112"/>
  <c r="W20" i="112"/>
  <c r="V24" i="112"/>
  <c r="X19" i="112"/>
  <c r="W23" i="112"/>
  <c r="T21" i="112"/>
  <c r="T25" i="112" s="1"/>
  <c r="U17" i="112"/>
  <c r="U14" i="111" l="1"/>
  <c r="V13" i="111"/>
  <c r="X23" i="112"/>
  <c r="Y19" i="112"/>
  <c r="W24" i="112"/>
  <c r="X20" i="112"/>
  <c r="U21" i="112"/>
  <c r="U25" i="112" s="1"/>
  <c r="V17" i="112"/>
  <c r="U22" i="112"/>
  <c r="V18" i="112"/>
  <c r="V14" i="111" l="1"/>
  <c r="W13" i="111"/>
  <c r="V21" i="112"/>
  <c r="V25" i="112" s="1"/>
  <c r="W17" i="112"/>
  <c r="X24" i="112"/>
  <c r="Y20" i="112"/>
  <c r="W18" i="112"/>
  <c r="V22" i="112"/>
  <c r="Y23" i="112"/>
  <c r="Z19" i="112"/>
  <c r="W14" i="111" l="1"/>
  <c r="X13" i="111"/>
  <c r="X18" i="112"/>
  <c r="W22" i="112"/>
  <c r="Y24" i="112"/>
  <c r="Z20" i="112"/>
  <c r="Z23" i="112"/>
  <c r="AA19" i="112"/>
  <c r="X17" i="112"/>
  <c r="W21" i="112"/>
  <c r="W25" i="112" s="1"/>
  <c r="X14" i="111" l="1"/>
  <c r="Y13" i="111"/>
  <c r="AB19" i="112"/>
  <c r="AA23" i="112"/>
  <c r="AA20" i="112"/>
  <c r="Z24" i="112"/>
  <c r="Y17" i="112"/>
  <c r="X21" i="112"/>
  <c r="X25" i="112" s="1"/>
  <c r="Y18" i="112"/>
  <c r="X22" i="112"/>
  <c r="Z13" i="111" l="1"/>
  <c r="Y14" i="111"/>
  <c r="Z17" i="112"/>
  <c r="Y21" i="112"/>
  <c r="Y25" i="112" s="1"/>
  <c r="AB20" i="112"/>
  <c r="AA24" i="112"/>
  <c r="Y22" i="112"/>
  <c r="Z18" i="112"/>
  <c r="AC19" i="112"/>
  <c r="AB23" i="112"/>
  <c r="Z14" i="111" l="1"/>
  <c r="AA13" i="111"/>
  <c r="AC20" i="112"/>
  <c r="AB24" i="112"/>
  <c r="Z22" i="112"/>
  <c r="AA18" i="112"/>
  <c r="AD19" i="112"/>
  <c r="AC23" i="112"/>
  <c r="Z21" i="112"/>
  <c r="Z25" i="112" s="1"/>
  <c r="AA17" i="112"/>
  <c r="AA14" i="111" l="1"/>
  <c r="AB13" i="111"/>
  <c r="AD23" i="112"/>
  <c r="AE19" i="112"/>
  <c r="AA22" i="112"/>
  <c r="AB18" i="112"/>
  <c r="AA21" i="112"/>
  <c r="AA25" i="112" s="1"/>
  <c r="AB17" i="112"/>
  <c r="AC24" i="112"/>
  <c r="AD20" i="112"/>
  <c r="AB14" i="111" l="1"/>
  <c r="AC13" i="111"/>
  <c r="AB21" i="112"/>
  <c r="AB25" i="112" s="1"/>
  <c r="AC17" i="112"/>
  <c r="AC18" i="112"/>
  <c r="AB22" i="112"/>
  <c r="AD24" i="112"/>
  <c r="AE20" i="112"/>
  <c r="AE23" i="112"/>
  <c r="AF19" i="112"/>
  <c r="AC14" i="111" l="1"/>
  <c r="AD13" i="111"/>
  <c r="AD18" i="112"/>
  <c r="AC22" i="112"/>
  <c r="AE24" i="112"/>
  <c r="AF20" i="112"/>
  <c r="AF23" i="112"/>
  <c r="AG19" i="112"/>
  <c r="AG23" i="112" s="1"/>
  <c r="AD17" i="112"/>
  <c r="AC21" i="112"/>
  <c r="AC25" i="112" s="1"/>
  <c r="AD14" i="111" l="1"/>
  <c r="AE13" i="111"/>
  <c r="AG20" i="112"/>
  <c r="AG24" i="112" s="1"/>
  <c r="AF24" i="112"/>
  <c r="AE17" i="112"/>
  <c r="AD21" i="112"/>
  <c r="AD25" i="112" s="1"/>
  <c r="AE18" i="112"/>
  <c r="AD22" i="112"/>
  <c r="AE14" i="111" l="1"/>
  <c r="AF13" i="111"/>
  <c r="AE22" i="112"/>
  <c r="AF18" i="112"/>
  <c r="AF17" i="112"/>
  <c r="AE21" i="112"/>
  <c r="AE25" i="112" s="1"/>
  <c r="AF14" i="111" l="1"/>
  <c r="AG13" i="111"/>
  <c r="AG14" i="111" s="1"/>
  <c r="AF21" i="112"/>
  <c r="AF25" i="112" s="1"/>
  <c r="AG17" i="112"/>
  <c r="AG21" i="112" s="1"/>
  <c r="AG25" i="112" s="1"/>
  <c r="AF22" i="112"/>
  <c r="AG18" i="112"/>
  <c r="AG22" i="112" s="1"/>
  <c r="Y7" i="108" l="1"/>
  <c r="Y8" i="108" s="1"/>
  <c r="C4" i="108"/>
  <c r="Y7" i="107"/>
  <c r="Y8" i="107" s="1"/>
  <c r="Y9" i="107" s="1"/>
  <c r="Y10" i="107" s="1"/>
  <c r="C4" i="107"/>
  <c r="Y7" i="106"/>
  <c r="Y8" i="106" s="1"/>
  <c r="Y9" i="106" s="1"/>
  <c r="Y9" i="108" l="1"/>
  <c r="Y11" i="108" s="1"/>
  <c r="Y12" i="108" s="1"/>
  <c r="Y10" i="108"/>
  <c r="Y11" i="107"/>
  <c r="Y13" i="107" s="1"/>
  <c r="Y12" i="107"/>
  <c r="Y10" i="106"/>
  <c r="Y12" i="106" s="1"/>
  <c r="Y13" i="106" s="1"/>
  <c r="Y11" i="106"/>
  <c r="Y13" i="108" l="1"/>
  <c r="Y15" i="108" s="1"/>
  <c r="Y16" i="108" s="1"/>
  <c r="Y17" i="108" s="1"/>
  <c r="Y14" i="108"/>
  <c r="Y14" i="107"/>
  <c r="Y16" i="107" s="1"/>
  <c r="Y17" i="107" s="1"/>
  <c r="Y15" i="107"/>
  <c r="Y14" i="106"/>
  <c r="Y16" i="106" s="1"/>
  <c r="Y15" i="106"/>
  <c r="R9" i="90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  <c r="Y18" i="108" l="1"/>
  <c r="Y20" i="108" s="1"/>
  <c r="Y21" i="108" s="1"/>
  <c r="Y22" i="108" s="1"/>
  <c r="Y19" i="108"/>
  <c r="Y18" i="107"/>
  <c r="Y20" i="107" s="1"/>
  <c r="Y22" i="107" s="1"/>
  <c r="Y23" i="107" s="1"/>
  <c r="Y19" i="107"/>
  <c r="Y21" i="107" s="1"/>
  <c r="Y17" i="106"/>
  <c r="Y19" i="106" s="1"/>
  <c r="Y20" i="106" s="1"/>
  <c r="Y21" i="106" s="1"/>
  <c r="Y18" i="106"/>
  <c r="Y23" i="108" l="1"/>
  <c r="Y25" i="108" s="1"/>
  <c r="Y24" i="108"/>
  <c r="Y24" i="107"/>
  <c r="Y26" i="107" s="1"/>
  <c r="Y25" i="107"/>
  <c r="Y22" i="106"/>
  <c r="Y24" i="106" s="1"/>
  <c r="Y26" i="106" s="1"/>
  <c r="Y28" i="106" s="1"/>
  <c r="Y23" i="106"/>
  <c r="Y25" i="106" s="1"/>
  <c r="Y27" i="106" s="1"/>
  <c r="Y26" i="108" l="1"/>
  <c r="Y28" i="108" s="1"/>
  <c r="Y29" i="108" s="1"/>
  <c r="Y27" i="108"/>
  <c r="Y27" i="107"/>
  <c r="Y29" i="107" s="1"/>
  <c r="Y28" i="107"/>
  <c r="Y29" i="106"/>
  <c r="Y31" i="106" s="1"/>
  <c r="Y30" i="106"/>
  <c r="Y30" i="108" l="1"/>
  <c r="Y32" i="108" s="1"/>
  <c r="Y31" i="108"/>
  <c r="Y30" i="107"/>
  <c r="Y32" i="107" s="1"/>
  <c r="Y34" i="107" s="1"/>
  <c r="Y31" i="107"/>
  <c r="Y33" i="107" s="1"/>
  <c r="Y32" i="106"/>
  <c r="Y34" i="106" s="1"/>
  <c r="Y35" i="106" s="1"/>
  <c r="Y33" i="106"/>
  <c r="Y33" i="108" l="1"/>
  <c r="Y35" i="108" s="1"/>
  <c r="Y36" i="108" s="1"/>
  <c r="Y34" i="108"/>
  <c r="Y35" i="107"/>
  <c r="Y37" i="107" s="1"/>
  <c r="Y38" i="107" s="1"/>
  <c r="Y36" i="107"/>
  <c r="Y36" i="106"/>
  <c r="Y38" i="106" s="1"/>
  <c r="Y39" i="106" s="1"/>
  <c r="Y40" i="106" s="1"/>
  <c r="Y37" i="106"/>
  <c r="Y37" i="108" l="1"/>
  <c r="Y39" i="108" s="1"/>
  <c r="Y41" i="108" s="1"/>
  <c r="Y42" i="108" s="1"/>
  <c r="Y43" i="108" s="1"/>
  <c r="Y38" i="108"/>
  <c r="Y40" i="108" s="1"/>
  <c r="Y39" i="107"/>
  <c r="Y41" i="107" s="1"/>
  <c r="Y42" i="107" s="1"/>
  <c r="Y43" i="107" s="1"/>
  <c r="Y40" i="107"/>
  <c r="Y41" i="106"/>
  <c r="Y43" i="106" s="1"/>
  <c r="Y42" i="106"/>
  <c r="Y44" i="108" l="1"/>
  <c r="Y46" i="108" s="1"/>
  <c r="Y47" i="108" s="1"/>
  <c r="Y45" i="108"/>
  <c r="Y44" i="107"/>
  <c r="Y46" i="107" s="1"/>
  <c r="Y45" i="107"/>
  <c r="Y44" i="106"/>
  <c r="Y46" i="106" s="1"/>
  <c r="Y47" i="106" s="1"/>
  <c r="Y45" i="106"/>
  <c r="Y48" i="108" l="1"/>
  <c r="Y50" i="108" s="1"/>
  <c r="Y51" i="108" s="1"/>
  <c r="Y52" i="108" s="1"/>
  <c r="Y49" i="108"/>
  <c r="Y47" i="107"/>
  <c r="Y49" i="107" s="1"/>
  <c r="Y50" i="107" s="1"/>
  <c r="Y51" i="107" s="1"/>
  <c r="Y48" i="107"/>
  <c r="Y48" i="106"/>
  <c r="Y50" i="106" s="1"/>
  <c r="Y49" i="106"/>
  <c r="Y53" i="108" l="1"/>
  <c r="Y55" i="108" s="1"/>
  <c r="Y56" i="108" s="1"/>
  <c r="Y54" i="108"/>
  <c r="Y52" i="107"/>
  <c r="Y54" i="107" s="1"/>
  <c r="Y55" i="107" s="1"/>
  <c r="Y53" i="107"/>
  <c r="Y51" i="106"/>
  <c r="Y53" i="106" s="1"/>
  <c r="Y52" i="106"/>
  <c r="Y57" i="108" l="1"/>
  <c r="Y59" i="108" s="1"/>
  <c r="Y60" i="108" s="1"/>
  <c r="Y61" i="108" s="1"/>
  <c r="Y58" i="108"/>
  <c r="Y56" i="107"/>
  <c r="Y58" i="107" s="1"/>
  <c r="Y57" i="107"/>
  <c r="Y54" i="106"/>
  <c r="Y56" i="106" s="1"/>
  <c r="Y57" i="106" s="1"/>
  <c r="Y58" i="106" s="1"/>
  <c r="Y55" i="106"/>
  <c r="Y62" i="108" l="1"/>
  <c r="Y64" i="108" s="1"/>
  <c r="Y65" i="108" s="1"/>
  <c r="Y63" i="108"/>
  <c r="Y59" i="107"/>
  <c r="Y61" i="107" s="1"/>
  <c r="Y63" i="107" s="1"/>
  <c r="Y60" i="107"/>
  <c r="Y62" i="107" s="1"/>
  <c r="Y59" i="106"/>
  <c r="Y61" i="106" s="1"/>
  <c r="Y60" i="106"/>
  <c r="Y66" i="108" l="1"/>
  <c r="Y68" i="108" s="1"/>
  <c r="Y69" i="108" s="1"/>
  <c r="Y70" i="108" s="1"/>
  <c r="Y67" i="108"/>
  <c r="Y64" i="107"/>
  <c r="Y66" i="107" s="1"/>
  <c r="Y65" i="107"/>
  <c r="Y62" i="106"/>
  <c r="Y64" i="106" s="1"/>
  <c r="Y65" i="106" s="1"/>
  <c r="Y63" i="106"/>
  <c r="Y71" i="108" l="1"/>
  <c r="Y73" i="108" s="1"/>
  <c r="Y72" i="108"/>
  <c r="Y67" i="107"/>
  <c r="Y69" i="107" s="1"/>
  <c r="Y68" i="107"/>
  <c r="Y66" i="106"/>
  <c r="Y68" i="106" s="1"/>
  <c r="Y67" i="106"/>
  <c r="Y74" i="108" l="1"/>
  <c r="Y76" i="108" s="1"/>
  <c r="Y77" i="108" s="1"/>
  <c r="Y78" i="108" s="1"/>
  <c r="Y79" i="108" s="1"/>
  <c r="Y75" i="108"/>
  <c r="Y70" i="107"/>
  <c r="Y72" i="107" s="1"/>
  <c r="Y74" i="107" s="1"/>
  <c r="Y75" i="107" s="1"/>
  <c r="Y71" i="107"/>
  <c r="Y73" i="107" s="1"/>
  <c r="Y69" i="106"/>
  <c r="Y71" i="106" s="1"/>
  <c r="Y72" i="106" s="1"/>
  <c r="Y70" i="106"/>
  <c r="Y80" i="108" l="1"/>
  <c r="Y82" i="108" s="1"/>
  <c r="Y83" i="108" s="1"/>
  <c r="Y84" i="108" s="1"/>
  <c r="Y81" i="108"/>
  <c r="Y76" i="107"/>
  <c r="Y78" i="107" s="1"/>
  <c r="Y77" i="107"/>
  <c r="Y73" i="106"/>
  <c r="Y75" i="106" s="1"/>
  <c r="Y74" i="106"/>
  <c r="Y85" i="108" l="1"/>
  <c r="Y87" i="108" s="1"/>
  <c r="Y88" i="108" s="1"/>
  <c r="Y86" i="108"/>
  <c r="Y79" i="107"/>
  <c r="Y81" i="107" s="1"/>
  <c r="Y82" i="107" s="1"/>
  <c r="Y83" i="107" s="1"/>
  <c r="Y84" i="107" s="1"/>
  <c r="Y80" i="107"/>
  <c r="Y76" i="106"/>
  <c r="Y78" i="106" s="1"/>
  <c r="Y79" i="106" s="1"/>
  <c r="Y77" i="106"/>
  <c r="Y89" i="108" l="1"/>
  <c r="Y91" i="108" s="1"/>
  <c r="Y90" i="108"/>
  <c r="Y85" i="107"/>
  <c r="Y87" i="107" s="1"/>
  <c r="Y86" i="107"/>
  <c r="Y80" i="106"/>
  <c r="Y82" i="106" s="1"/>
  <c r="Y81" i="106"/>
  <c r="Y92" i="108" l="1"/>
  <c r="Y94" i="108" s="1"/>
  <c r="Y95" i="108" s="1"/>
  <c r="Y96" i="108" s="1"/>
  <c r="Y97" i="108" s="1"/>
  <c r="Y93" i="108"/>
  <c r="Y88" i="107"/>
  <c r="Y90" i="107" s="1"/>
  <c r="Y91" i="107" s="1"/>
  <c r="Y92" i="107" s="1"/>
  <c r="Y89" i="107"/>
  <c r="Y83" i="106"/>
  <c r="Y85" i="106" s="1"/>
  <c r="Y84" i="106"/>
  <c r="Y98" i="108" l="1"/>
  <c r="Y100" i="108" s="1"/>
  <c r="Y101" i="108" s="1"/>
  <c r="Y102" i="108" s="1"/>
  <c r="Y103" i="108" s="1"/>
  <c r="Y99" i="108"/>
  <c r="Y93" i="107"/>
  <c r="Y95" i="107" s="1"/>
  <c r="Y96" i="107" s="1"/>
  <c r="Y97" i="107" s="1"/>
  <c r="Y94" i="107"/>
  <c r="Y86" i="106"/>
  <c r="Y88" i="106" s="1"/>
  <c r="Y90" i="106" s="1"/>
  <c r="Y91" i="106" s="1"/>
  <c r="Y87" i="106"/>
  <c r="Y89" i="106" s="1"/>
  <c r="Y104" i="108" l="1"/>
  <c r="Y106" i="108" s="1"/>
  <c r="Y107" i="108" s="1"/>
  <c r="Y108" i="108" s="1"/>
  <c r="Y105" i="108"/>
  <c r="Y98" i="107"/>
  <c r="Y100" i="107" s="1"/>
  <c r="Y101" i="107" s="1"/>
  <c r="Y99" i="107"/>
  <c r="Y92" i="106"/>
  <c r="Y94" i="106" s="1"/>
  <c r="Y93" i="106"/>
  <c r="Y109" i="108" l="1"/>
  <c r="Y111" i="108" s="1"/>
  <c r="Y112" i="108" s="1"/>
  <c r="Y113" i="108" s="1"/>
  <c r="Y110" i="108"/>
  <c r="Y102" i="107"/>
  <c r="Y104" i="107" s="1"/>
  <c r="Y105" i="107" s="1"/>
  <c r="Y103" i="107"/>
  <c r="Y95" i="106"/>
  <c r="Y97" i="106" s="1"/>
  <c r="Y96" i="106"/>
  <c r="Y114" i="108" l="1"/>
  <c r="Y116" i="108" s="1"/>
  <c r="Y117" i="108" s="1"/>
  <c r="Y118" i="108" s="1"/>
  <c r="Y115" i="108"/>
  <c r="Y106" i="107"/>
  <c r="Y108" i="107" s="1"/>
  <c r="Y107" i="107"/>
  <c r="Y98" i="106"/>
  <c r="Y100" i="106" s="1"/>
  <c r="Y99" i="106"/>
  <c r="Y119" i="108" l="1"/>
  <c r="Y121" i="108" s="1"/>
  <c r="Y122" i="108" s="1"/>
  <c r="Y120" i="108"/>
  <c r="Y109" i="107"/>
  <c r="Y111" i="107" s="1"/>
  <c r="Y110" i="107"/>
  <c r="Y101" i="106"/>
  <c r="Y103" i="106" s="1"/>
  <c r="Y102" i="106"/>
  <c r="Y123" i="108" l="1"/>
  <c r="Y125" i="108" s="1"/>
  <c r="Y126" i="108" s="1"/>
  <c r="Y127" i="108" s="1"/>
  <c r="Y124" i="108"/>
  <c r="Y112" i="107"/>
  <c r="Y114" i="107" s="1"/>
  <c r="Y113" i="107"/>
  <c r="Y104" i="106"/>
  <c r="Y106" i="106" s="1"/>
  <c r="Y105" i="106"/>
  <c r="Y128" i="108" l="1"/>
  <c r="Y130" i="108" s="1"/>
  <c r="Y131" i="108" s="1"/>
  <c r="Y129" i="108"/>
  <c r="Y115" i="107"/>
  <c r="Y117" i="107" s="1"/>
  <c r="Y118" i="107" s="1"/>
  <c r="Y116" i="107"/>
  <c r="Y107" i="106"/>
  <c r="Y109" i="106" s="1"/>
  <c r="Y108" i="106"/>
  <c r="Y132" i="108" l="1"/>
  <c r="Y134" i="108" s="1"/>
  <c r="Y135" i="108" s="1"/>
  <c r="Y136" i="108" s="1"/>
  <c r="Y133" i="108"/>
  <c r="Y119" i="107"/>
  <c r="Y121" i="107" s="1"/>
  <c r="Y120" i="107"/>
  <c r="Y110" i="106"/>
  <c r="Y112" i="106" s="1"/>
  <c r="Y113" i="106" s="1"/>
  <c r="Y114" i="106" s="1"/>
  <c r="Y111" i="106"/>
  <c r="Y137" i="108" l="1"/>
  <c r="Y139" i="108" s="1"/>
  <c r="Y140" i="108" s="1"/>
  <c r="Y138" i="108"/>
  <c r="Y122" i="107"/>
  <c r="Y124" i="107" s="1"/>
  <c r="Y125" i="107" s="1"/>
  <c r="Y126" i="107" s="1"/>
  <c r="Y123" i="107"/>
  <c r="Y115" i="106"/>
  <c r="Y117" i="106" s="1"/>
  <c r="Y118" i="106" s="1"/>
  <c r="Y119" i="106" s="1"/>
  <c r="Y120" i="106" s="1"/>
  <c r="Y121" i="106" s="1"/>
  <c r="Y116" i="106"/>
  <c r="Y141" i="108" l="1"/>
  <c r="Y143" i="108" s="1"/>
  <c r="Y144" i="108" s="1"/>
  <c r="Y145" i="108" s="1"/>
  <c r="Y142" i="108"/>
  <c r="Y127" i="107"/>
  <c r="Y129" i="107" s="1"/>
  <c r="Y128" i="107"/>
  <c r="Y122" i="106"/>
  <c r="Y124" i="106" s="1"/>
  <c r="Y125" i="106" s="1"/>
  <c r="Y126" i="106" s="1"/>
  <c r="Y127" i="106" s="1"/>
  <c r="Y123" i="106"/>
  <c r="Y146" i="108" l="1"/>
  <c r="Y148" i="108" s="1"/>
  <c r="Y149" i="108" s="1"/>
  <c r="Y150" i="108" s="1"/>
  <c r="Y147" i="108"/>
  <c r="Y130" i="107"/>
  <c r="Y132" i="107" s="1"/>
  <c r="Y133" i="107" s="1"/>
  <c r="Y134" i="107" s="1"/>
  <c r="Y131" i="107"/>
  <c r="Y128" i="106"/>
  <c r="Y130" i="106" s="1"/>
  <c r="Y129" i="106"/>
  <c r="Y151" i="108" l="1"/>
  <c r="Y153" i="108" s="1"/>
  <c r="Y154" i="108" s="1"/>
  <c r="Y152" i="108"/>
  <c r="Y135" i="107"/>
  <c r="Y137" i="107" s="1"/>
  <c r="Y136" i="107"/>
  <c r="Y131" i="106"/>
  <c r="Y133" i="106" s="1"/>
  <c r="Y134" i="106" s="1"/>
  <c r="Y137" i="106" s="1"/>
  <c r="Y132" i="106"/>
  <c r="Y155" i="108" l="1"/>
  <c r="Y157" i="108" s="1"/>
  <c r="Y158" i="108" s="1"/>
  <c r="Y156" i="108"/>
  <c r="Y138" i="107"/>
  <c r="Y140" i="107" s="1"/>
  <c r="Y141" i="107" s="1"/>
  <c r="Y142" i="107" s="1"/>
  <c r="Y139" i="107"/>
  <c r="Y135" i="106"/>
  <c r="Y138" i="106" s="1"/>
  <c r="Y136" i="106"/>
  <c r="Y159" i="108" l="1"/>
  <c r="Y161" i="108" s="1"/>
  <c r="Y162" i="108" s="1"/>
  <c r="Y160" i="108"/>
  <c r="Y143" i="107"/>
  <c r="Y145" i="107" s="1"/>
  <c r="Y147" i="107" s="1"/>
  <c r="Y148" i="107" s="1"/>
  <c r="Y144" i="107"/>
  <c r="Y146" i="107" s="1"/>
  <c r="Y139" i="106"/>
  <c r="Y141" i="106" s="1"/>
  <c r="Y140" i="106"/>
  <c r="Y142" i="106" l="1"/>
  <c r="Y144" i="106" s="1"/>
  <c r="Y145" i="106" s="1"/>
  <c r="Y146" i="106" s="1"/>
  <c r="Y147" i="106" s="1"/>
  <c r="Y148" i="106" s="1"/>
  <c r="Y143" i="106"/>
  <c r="Y163" i="108"/>
  <c r="Y165" i="108" s="1"/>
  <c r="Y167" i="108" s="1"/>
  <c r="Y168" i="108" s="1"/>
  <c r="Y169" i="108" s="1"/>
  <c r="Y170" i="108" s="1"/>
  <c r="Y164" i="108"/>
  <c r="Y166" i="108" s="1"/>
  <c r="Y149" i="107"/>
  <c r="Y151" i="107" s="1"/>
  <c r="Y152" i="107" s="1"/>
  <c r="Y153" i="107" s="1"/>
  <c r="Y150" i="107"/>
  <c r="Y154" i="107" l="1"/>
  <c r="Y156" i="107" s="1"/>
  <c r="Y157" i="107" s="1"/>
  <c r="Y158" i="107" s="1"/>
  <c r="Y159" i="107" s="1"/>
  <c r="Y160" i="107" s="1"/>
  <c r="Y161" i="107" s="1"/>
  <c r="Y162" i="107" s="1"/>
  <c r="Y163" i="107" s="1"/>
  <c r="Y164" i="107" s="1"/>
  <c r="Y165" i="107" s="1"/>
  <c r="Y166" i="107" s="1"/>
  <c r="Y167" i="107" s="1"/>
  <c r="Y168" i="107" s="1"/>
  <c r="Y155" i="107"/>
  <c r="Y171" i="108"/>
  <c r="Y173" i="108" s="1"/>
  <c r="Y172" i="108"/>
  <c r="Y174" i="108" l="1"/>
  <c r="Y176" i="108" s="1"/>
  <c r="Y175" i="108"/>
  <c r="Y177" i="108" l="1"/>
  <c r="Y179" i="108" s="1"/>
  <c r="Y180" i="108" s="1"/>
  <c r="Y181" i="108" s="1"/>
  <c r="Y178" i="108"/>
  <c r="Y182" i="108" l="1"/>
  <c r="Y184" i="108" s="1"/>
  <c r="Y185" i="108" s="1"/>
  <c r="Y186" i="108" s="1"/>
  <c r="Y187" i="108" s="1"/>
  <c r="Y188" i="108" s="1"/>
  <c r="Y189" i="108" s="1"/>
  <c r="Y190" i="108" s="1"/>
  <c r="Y191" i="108" s="1"/>
  <c r="Y192" i="108" s="1"/>
  <c r="Y193" i="108" s="1"/>
  <c r="Y194" i="108" s="1"/>
  <c r="Y195" i="108" s="1"/>
  <c r="Y196" i="108" s="1"/>
  <c r="Y197" i="108" s="1"/>
  <c r="Y198" i="108" s="1"/>
  <c r="Y199" i="108" s="1"/>
  <c r="Y200" i="108" s="1"/>
  <c r="Y201" i="108" s="1"/>
  <c r="Y202" i="108" s="1"/>
  <c r="Y203" i="108" s="1"/>
  <c r="Y204" i="108" s="1"/>
  <c r="Y205" i="108" s="1"/>
  <c r="Y206" i="108" s="1"/>
  <c r="Y207" i="108" s="1"/>
  <c r="Y208" i="108" s="1"/>
  <c r="Y209" i="108" s="1"/>
  <c r="Y210" i="108" s="1"/>
  <c r="Y211" i="108" s="1"/>
  <c r="Y212" i="108" s="1"/>
  <c r="Y213" i="108" s="1"/>
  <c r="Y214" i="108" s="1"/>
  <c r="Y215" i="108" s="1"/>
  <c r="Y216" i="108" s="1"/>
  <c r="Y217" i="108" s="1"/>
  <c r="Y218" i="108" s="1"/>
  <c r="Y219" i="108" s="1"/>
  <c r="Y220" i="108" s="1"/>
  <c r="Y221" i="108" s="1"/>
  <c r="Y222" i="108" s="1"/>
  <c r="Y223" i="108" s="1"/>
  <c r="Y224" i="108" s="1"/>
  <c r="Y225" i="108" s="1"/>
  <c r="Y226" i="108" s="1"/>
  <c r="Y227" i="108" s="1"/>
  <c r="Y228" i="108" s="1"/>
  <c r="Y229" i="108" s="1"/>
  <c r="Y230" i="108" s="1"/>
  <c r="Y231" i="108" s="1"/>
  <c r="Y232" i="108" s="1"/>
  <c r="Y233" i="108" s="1"/>
  <c r="Y234" i="108" s="1"/>
  <c r="Y235" i="108" s="1"/>
  <c r="Y236" i="108" s="1"/>
  <c r="Y237" i="108" s="1"/>
  <c r="Y238" i="108" s="1"/>
  <c r="Y239" i="108" s="1"/>
  <c r="Y240" i="108" s="1"/>
  <c r="Y241" i="108" s="1"/>
  <c r="Y242" i="108" s="1"/>
  <c r="Y243" i="108" s="1"/>
  <c r="Y244" i="108" s="1"/>
  <c r="Y245" i="108" s="1"/>
  <c r="Y246" i="108" s="1"/>
  <c r="Y183" i="108"/>
</calcChain>
</file>

<file path=xl/comments1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comments3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37 MC</t>
        </r>
      </text>
    </comment>
  </commentList>
</comments>
</file>

<file path=xl/comments4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46 MC</t>
        </r>
      </text>
    </comment>
  </commentList>
</comments>
</file>

<file path=xl/comments5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14 MC</t>
        </r>
      </text>
    </comment>
  </commentList>
</comments>
</file>

<file path=xl/comments6.xml><?xml version="1.0" encoding="utf-8"?>
<comments xmlns="http://schemas.openxmlformats.org/spreadsheetml/2006/main">
  <authors>
    <author>Wanaporn Autri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 xml:space="preserve">Wanaporn Autri:
</t>
        </r>
        <r>
          <rPr>
            <b/>
            <sz val="10"/>
            <color indexed="81"/>
            <rFont val="Tahoma"/>
            <family val="2"/>
          </rPr>
          <t>Night Shift Start Progressive 90%, 95%
Cut Review 45 min / shift</t>
        </r>
      </text>
    </comment>
  </commentList>
</comments>
</file>

<file path=xl/comments7.xml><?xml version="1.0" encoding="utf-8"?>
<comments xmlns="http://schemas.openxmlformats.org/spreadsheetml/2006/main">
  <authors>
    <author>GALE-APINYA K ❤</author>
  </authors>
  <commentList>
    <comment ref="E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90%
Cut review 45 min</t>
        </r>
      </text>
    </comment>
    <comment ref="I1" authorId="0" shapeId="0">
      <text>
        <r>
          <rPr>
            <b/>
            <sz val="11"/>
            <color indexed="81"/>
            <rFont val="Tahoma"/>
            <family val="2"/>
          </rPr>
          <t>PAD req.Add OT recovery because Machine main drive NG</t>
        </r>
      </text>
    </comment>
    <comment ref="L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95%</t>
        </r>
      </text>
    </comment>
    <comment ref="T1" authorId="0" shapeId="0">
      <text>
        <r>
          <rPr>
            <b/>
            <sz val="12"/>
            <color indexed="81"/>
            <rFont val="Tahoma"/>
            <family val="2"/>
          </rPr>
          <t>Req.PAD balance plan</t>
        </r>
      </text>
    </comment>
  </commentList>
</comments>
</file>

<file path=xl/sharedStrings.xml><?xml version="1.0" encoding="utf-8"?>
<sst xmlns="http://schemas.openxmlformats.org/spreadsheetml/2006/main" count="7697" uniqueCount="912">
  <si>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</si>
  <si>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</si>
  <si>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</si>
  <si>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</si>
  <si>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</si>
  <si>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</si>
  <si>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</si>
  <si>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</si>
  <si>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</si>
  <si>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</si>
  <si>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</si>
  <si>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</si>
  <si>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</si>
  <si>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</si>
  <si>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</si>
  <si>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</si>
  <si>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</si>
  <si>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</si>
  <si>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</si>
  <si>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</si>
  <si>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</si>
  <si>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US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</si>
  <si>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</si>
  <si>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</si>
  <si>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</si>
  <si>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</si>
  <si>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</si>
  <si>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</si>
  <si>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</si>
  <si>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</si>
  <si>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</si>
  <si>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</si>
  <si>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T709</t>
  </si>
  <si>
    <t>JP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</si>
  <si>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</si>
  <si>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</si>
  <si>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</si>
  <si>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</si>
  <si>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</si>
  <si>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</si>
  <si>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</si>
  <si>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</si>
  <si>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</si>
  <si>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</si>
  <si>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</si>
  <si>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</si>
  <si>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</si>
  <si>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</si>
  <si>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</si>
  <si>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</si>
  <si>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</si>
  <si>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</si>
  <si>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</si>
  <si>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</si>
  <si>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</si>
  <si>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</si>
  <si>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</si>
  <si>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</si>
  <si>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</si>
  <si>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</si>
  <si>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</si>
  <si>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</si>
  <si>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</si>
  <si>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</si>
  <si>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</si>
  <si>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</si>
  <si>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</si>
  <si>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</si>
  <si>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UV</t>
  </si>
  <si>
    <t>JLM</t>
  </si>
  <si>
    <t>M5</t>
  </si>
  <si>
    <t>3856C005AA</t>
  </si>
  <si>
    <t>3856C006AA</t>
  </si>
  <si>
    <t>3858C006AA</t>
  </si>
  <si>
    <t>3857C005AA</t>
  </si>
  <si>
    <t>iR-ADV C3730i EUR 230V</t>
  </si>
  <si>
    <t>iR-ADV C3730i 230V</t>
  </si>
  <si>
    <t>iR-ADV C3720i 230V</t>
  </si>
  <si>
    <t>iR-ADV C3725i EUR 230V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</si>
  <si>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</si>
  <si>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</si>
  <si>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</si>
  <si>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</si>
  <si>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</si>
  <si>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</si>
  <si>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</si>
  <si>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3809C005AA</t>
  </si>
  <si>
    <t>3860C008AA</t>
  </si>
  <si>
    <t>IR C3120L CN 220V</t>
  </si>
  <si>
    <t>W</t>
  </si>
  <si>
    <t>4053C002AA</t>
  </si>
  <si>
    <t>4054C003AA</t>
  </si>
  <si>
    <t>4055C002AA</t>
  </si>
  <si>
    <t>4056C002AA</t>
  </si>
  <si>
    <t>3857C002AA</t>
  </si>
  <si>
    <t>iR-ADV C3725i 120V</t>
  </si>
  <si>
    <t>3856C002AA</t>
  </si>
  <si>
    <t>iR-ADV C3730i 120V</t>
  </si>
  <si>
    <t>GOV (T599P)</t>
  </si>
  <si>
    <t>IR2520 230V EU</t>
  </si>
  <si>
    <t>iR2520W 230V</t>
  </si>
  <si>
    <t>iR2520W 230V IND</t>
  </si>
  <si>
    <t>3808C006AA</t>
  </si>
  <si>
    <t>3808C005AA</t>
  </si>
  <si>
    <t>Zusho</t>
  </si>
  <si>
    <t>FM1-Z342-000</t>
  </si>
  <si>
    <t>3857C008AA</t>
  </si>
  <si>
    <t>IR-ADV C3725 CN 220V</t>
  </si>
  <si>
    <t>3858C009AA</t>
  </si>
  <si>
    <t>IR-ADV C3720 KR 220V</t>
  </si>
  <si>
    <t>3856C008AA</t>
  </si>
  <si>
    <t>IR-ADV C3730 CN 220V</t>
  </si>
  <si>
    <t>3856C001AA</t>
  </si>
  <si>
    <t>iR-ADV C3730F 100V</t>
  </si>
  <si>
    <t>3858C001AA</t>
  </si>
  <si>
    <t>iR-ADV C3720F 100V</t>
  </si>
  <si>
    <t>3653C008AA</t>
  </si>
  <si>
    <t>IR C3125 CN 220V</t>
  </si>
  <si>
    <t>4055C010AA</t>
  </si>
  <si>
    <t>3808C007AA</t>
  </si>
  <si>
    <t>4056C001AA</t>
  </si>
  <si>
    <t>FM2-B125-000</t>
  </si>
  <si>
    <t>UNIT_WHB_CN20_OEM</t>
  </si>
  <si>
    <t>FM1-Y420-000</t>
  </si>
  <si>
    <t>OEM (T597)</t>
  </si>
  <si>
    <t>GOV (W)</t>
  </si>
  <si>
    <t>3809C002AA</t>
  </si>
  <si>
    <t>4053C010AA</t>
  </si>
  <si>
    <t>4055C001AA</t>
  </si>
  <si>
    <t>3810C005AA</t>
  </si>
  <si>
    <t>3858C010AA</t>
  </si>
  <si>
    <t>IR-ADV C3720I TW 120V</t>
  </si>
  <si>
    <t>3858C008AA</t>
  </si>
  <si>
    <t>IR-ADV C3720 CN 220V</t>
  </si>
  <si>
    <t>3857C009AA</t>
  </si>
  <si>
    <t>iR-ADV C3725 KR 220V</t>
  </si>
  <si>
    <t>3809C007AA</t>
  </si>
  <si>
    <t>3857C006AA</t>
  </si>
  <si>
    <t>iR-ADV C3725i 230V</t>
  </si>
  <si>
    <t>3653C009AA</t>
  </si>
  <si>
    <t>IR C3125 KR 220V</t>
  </si>
  <si>
    <t>4056C010AA</t>
  </si>
  <si>
    <t>3856C009AA</t>
  </si>
  <si>
    <t>iR-ADV C3730 KR 220V</t>
  </si>
  <si>
    <t>3856C012AA</t>
  </si>
  <si>
    <t>iR-ADV C3730i AU 230V</t>
  </si>
  <si>
    <t>AU</t>
  </si>
  <si>
    <t xml:space="preserve">iR2630 </t>
  </si>
  <si>
    <t>IR-ADV 4751I 120V (F17-7337-000)</t>
  </si>
  <si>
    <t>iR-ADV 4751 CN 220V</t>
  </si>
  <si>
    <t>iR-ADV 4735 CN 220V</t>
  </si>
  <si>
    <t>IR-ADV 4745I EU 230V (F17-7395-000)</t>
  </si>
  <si>
    <t>IR-ADV 4735I EU 230V (F17-7393-000)</t>
  </si>
  <si>
    <t>iR2630i</t>
  </si>
  <si>
    <t>iR2635i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</si>
  <si>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</si>
  <si>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</si>
  <si>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</si>
  <si>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</si>
  <si>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</si>
  <si>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</si>
  <si>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 xml:space="preserve">iR2635 </t>
  </si>
  <si>
    <t>UNFINISHED_UNIT_T599P(35)_120_USA_GOV</t>
  </si>
  <si>
    <t>IR-ADV 4751I 230V (F17-7347)</t>
  </si>
  <si>
    <t>iR-ADV 4725 CN 220V</t>
  </si>
  <si>
    <t>IR-ADV 4735I 230V (F17-7343-000)</t>
  </si>
  <si>
    <t>IR-ADV 4725I 230V (F17-7341-000)</t>
  </si>
  <si>
    <t>IR-ADV 4735F 100V (F17-7314-000)</t>
  </si>
  <si>
    <t>IR-ADV 4725F 100V (F17-7312-000)</t>
  </si>
  <si>
    <t>UNFINISHED_UNIT_T599P(25)_120_USA_GOV</t>
  </si>
  <si>
    <t>4054C010AA</t>
  </si>
  <si>
    <t>iR-ADV 4745 CN 220V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</si>
  <si>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</si>
  <si>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</si>
  <si>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</si>
  <si>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</si>
  <si>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</si>
  <si>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</si>
  <si>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</si>
  <si>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</si>
  <si>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</si>
  <si>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</si>
  <si>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</si>
  <si>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</si>
  <si>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</si>
  <si>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</si>
  <si>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</si>
  <si>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</si>
  <si>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</si>
  <si>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3810C007AA</t>
  </si>
  <si>
    <t>3858C012AA</t>
  </si>
  <si>
    <t>IR-ADV C3720I AU 230V</t>
  </si>
  <si>
    <t>3652C006AA</t>
  </si>
  <si>
    <t>IR C3120 230V</t>
  </si>
  <si>
    <t>3653C003AA</t>
  </si>
  <si>
    <t>IR C3125I LTN 120V</t>
  </si>
  <si>
    <t>3858C005AA</t>
  </si>
  <si>
    <t>iR-ADV C3720i EUR 230V</t>
  </si>
  <si>
    <t>3856C019AA</t>
  </si>
  <si>
    <t>iR-ADV C3730F 100V (F17-6018-000)</t>
  </si>
  <si>
    <t>3653C005AA</t>
  </si>
  <si>
    <t>IR C3125I EUR 230V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</si>
  <si>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</si>
  <si>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</si>
  <si>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</si>
  <si>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</si>
  <si>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</si>
  <si>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</si>
  <si>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</si>
  <si>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</si>
  <si>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</si>
  <si>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</si>
  <si>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FM1-W620-000</t>
  </si>
  <si>
    <t>UNIT_JHB_US30G</t>
  </si>
  <si>
    <t>GOV (J)</t>
  </si>
  <si>
    <t>3808C008AA</t>
  </si>
  <si>
    <t>iR2625</t>
  </si>
  <si>
    <t>3809C008AA</t>
  </si>
  <si>
    <t>iR2630</t>
  </si>
  <si>
    <t>4055C009AA</t>
  </si>
  <si>
    <t>iR-ADV 4735i TW 120V</t>
  </si>
  <si>
    <t>4053C005AA</t>
  </si>
  <si>
    <t>IR-ADV 4751I EU 230V (F17-7397-000)</t>
  </si>
  <si>
    <t>13</t>
  </si>
  <si>
    <t>14</t>
  </si>
  <si>
    <t>15</t>
  </si>
  <si>
    <t>16</t>
  </si>
  <si>
    <t>4054C006AA</t>
  </si>
  <si>
    <t>IR-ADV 4745I 230V (F17-7345-000)</t>
  </si>
  <si>
    <t>25J02985 - 25J02994</t>
  </si>
  <si>
    <t>24X02705 - 24X02722</t>
  </si>
  <si>
    <t>25J02995 - 25J03039</t>
  </si>
  <si>
    <t>26E00830 - 26E00831</t>
  </si>
  <si>
    <t>25J03040 - 25J03084</t>
  </si>
  <si>
    <t>25G00698 - 25G00715</t>
  </si>
  <si>
    <t>26E00832 - 26E00872</t>
  </si>
  <si>
    <t>2VM01614 - 2VM01614</t>
  </si>
  <si>
    <t>25J03085 - 25J03129</t>
  </si>
  <si>
    <t>2VF04789 - 2VF04819</t>
  </si>
  <si>
    <t>26G00643 - 26G00669</t>
  </si>
  <si>
    <t>26B00702 - 26B00704</t>
  </si>
  <si>
    <t>3811C004AA</t>
  </si>
  <si>
    <t>2UU01415 - 2UU01415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</si>
  <si>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</si>
  <si>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</si>
  <si>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</si>
  <si>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</si>
  <si>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</si>
  <si>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</si>
  <si>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</si>
  <si>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</si>
  <si>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</si>
  <si>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</si>
  <si>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</si>
  <si>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</si>
  <si>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</si>
  <si>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</si>
  <si>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</si>
  <si>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2UP03400 - 2UP03452</t>
  </si>
  <si>
    <t>2UP03453 - 2UP03470</t>
  </si>
  <si>
    <t>22N00887 - 22N00926</t>
  </si>
  <si>
    <t>22K00760 - 22K00786</t>
  </si>
  <si>
    <t>22Q02098 - 22Q02132</t>
  </si>
  <si>
    <t>22J00545 - 22J00556</t>
  </si>
  <si>
    <t>2UP03471 - 2UP03523</t>
  </si>
  <si>
    <t>2UP03524 - 2UP03553</t>
  </si>
  <si>
    <t>22U01223 - 22U01226</t>
  </si>
  <si>
    <t>2UP03554 - 2UP03561</t>
  </si>
  <si>
    <t>2UP03562 - 2UP03614</t>
  </si>
  <si>
    <t>2UP03615 - 2UP03666</t>
  </si>
  <si>
    <t>2UP03667 - 2UP03690</t>
  </si>
  <si>
    <t>3857C010AA</t>
  </si>
  <si>
    <t>IR-ADV C3725I TW 120V</t>
  </si>
  <si>
    <t>2UR03883 - 2UR03935</t>
  </si>
  <si>
    <t>2UR03936 - 2UR03962</t>
  </si>
  <si>
    <t>27V02809 - 27V02820</t>
  </si>
  <si>
    <t>2UA04367 - 2UA04398</t>
  </si>
  <si>
    <t>2UQ04307 - 2UQ04313</t>
  </si>
  <si>
    <t>22P00984 - 22P01046</t>
  </si>
  <si>
    <t>33G00501 - 33G00538</t>
  </si>
  <si>
    <t>2UA04399 - 2UA04413</t>
  </si>
  <si>
    <t>2UA04414 - 2UA04483</t>
  </si>
  <si>
    <t>2UR03963 - 2UR04015</t>
  </si>
  <si>
    <t>2UR04016 - 2UR04042</t>
  </si>
  <si>
    <t>2UA04484 - 2UA04526</t>
  </si>
  <si>
    <t>22L02588 - 22L02684</t>
  </si>
  <si>
    <t>2UR04043 - 2UR04095</t>
  </si>
  <si>
    <t>2UA04527 - 2UA04596</t>
  </si>
  <si>
    <t>YFA07479 - YFA07548</t>
  </si>
  <si>
    <t>YEF06808 - YEF06898</t>
  </si>
  <si>
    <t>YEJ05047 - YEJ05082</t>
  </si>
  <si>
    <t>YHL01789 - YHL01803</t>
  </si>
  <si>
    <t>YFA07549 - YFA07618</t>
  </si>
  <si>
    <t>YEF06899 - YEF07003</t>
  </si>
  <si>
    <t>YEG00749 - YEG00770</t>
  </si>
  <si>
    <t>YHL01804 - YHL01818</t>
  </si>
  <si>
    <t>YFA07619 - YFA07688</t>
  </si>
  <si>
    <t>YEF07004 - YEF07130</t>
  </si>
  <si>
    <t>YHL01819 - YHL01824</t>
  </si>
  <si>
    <t>YFA07689 - YFA07752</t>
  </si>
  <si>
    <t>YEF07131 - YEF07212</t>
  </si>
  <si>
    <t>25S01001 - 25S01063</t>
  </si>
  <si>
    <t>25H00808 - 25H00824</t>
  </si>
  <si>
    <t>2VP05956 - 2VP05988</t>
  </si>
  <si>
    <t>25S01064 - 25S01067</t>
  </si>
  <si>
    <t>25S01068 - 25S01128</t>
  </si>
  <si>
    <t>2VP05989 - 2VP06021</t>
  </si>
  <si>
    <t>24V00688 - 24V00691</t>
  </si>
  <si>
    <t>24V00692 - 24V00695</t>
  </si>
  <si>
    <t>26H02594 - 26H02618</t>
  </si>
  <si>
    <t>22D10530 - 22D10695</t>
  </si>
  <si>
    <t>22D10696 - 22D10740</t>
  </si>
  <si>
    <t>22D10741 - 22D11007</t>
  </si>
  <si>
    <t>22D11008 - 22D11162</t>
  </si>
  <si>
    <t>22K00787 - 22K00797</t>
  </si>
  <si>
    <t>22E15246 - 22E15248</t>
  </si>
  <si>
    <t>22L02685 - 22L02764</t>
  </si>
  <si>
    <t>2UQ04314 - 2UQ04400</t>
  </si>
  <si>
    <t>22M01532 - 22M01564</t>
  </si>
  <si>
    <t>22N00927 - 22N00935</t>
  </si>
  <si>
    <t>2UQ04431 - 2UQ04561</t>
  </si>
  <si>
    <t>22L02845 - 22L02924</t>
  </si>
  <si>
    <t>2UQ04592 - 2UQ04698</t>
  </si>
  <si>
    <t>22U01227 - 22U01266</t>
  </si>
  <si>
    <t>22V01253 - 22V01265</t>
  </si>
  <si>
    <t>22V01266 - 22V01302</t>
  </si>
  <si>
    <t>22L02925 - 22L02987</t>
  </si>
  <si>
    <t>2UQ04729 - 2UQ04839</t>
  </si>
  <si>
    <t>22W02388 - 22W02443</t>
  </si>
  <si>
    <t>22U01267 - 22U01310</t>
  </si>
  <si>
    <t>22V01303 - 22V01311</t>
  </si>
  <si>
    <t>22V01312 - 22V01321</t>
  </si>
  <si>
    <t>2UQ04840 - 2UQ05010</t>
  </si>
  <si>
    <t>22W02444 - 22W02469</t>
  </si>
  <si>
    <t>2UQ05100 - 2UQ05269</t>
  </si>
  <si>
    <t>22W02470 - 22W02523</t>
  </si>
  <si>
    <t>22K00798 - 22K00850</t>
  </si>
  <si>
    <t>22K00851 - 22K00853</t>
  </si>
  <si>
    <t>22L02988 - 22L03073</t>
  </si>
  <si>
    <t>22M01565 - 22M01650</t>
  </si>
  <si>
    <t>22L03074 - 22L03237</t>
  </si>
  <si>
    <t>22U01311 - 22U01383</t>
  </si>
  <si>
    <t>22L03252 - 22L03337</t>
  </si>
  <si>
    <t>22M01651 - 22M01736</t>
  </si>
  <si>
    <t>2UQ05488 - 2UQ05589</t>
  </si>
  <si>
    <t>22W02524 - 22W02641</t>
  </si>
  <si>
    <t>2UQ05710 - 2UQ05879</t>
  </si>
  <si>
    <t>2UQ05972 - 2UQ06099</t>
  </si>
  <si>
    <t>22K00854 - 22K00862</t>
  </si>
  <si>
    <t>2UQ06215 - 2UQ06257</t>
  </si>
  <si>
    <t>22W02642 - 22W02729</t>
  </si>
  <si>
    <t>2UQ06318 - 2UQ06368</t>
  </si>
  <si>
    <t>22Q02133 - 22Q02174</t>
  </si>
  <si>
    <t>22U01384 - 22U01441</t>
  </si>
  <si>
    <t>22N00936 - 22N00982</t>
  </si>
  <si>
    <t>2UQ06429 - 2UQ06479</t>
  </si>
  <si>
    <t>2UQ06540 - 2UQ06590</t>
  </si>
  <si>
    <t>2UQ06651 - 2UQ06754</t>
  </si>
  <si>
    <t>27V02821 - 27V02873</t>
  </si>
  <si>
    <t>27V02874 - 27V02934</t>
  </si>
  <si>
    <t>27W01347 - 27W01403</t>
  </si>
  <si>
    <t>2UQ04401 - 2UQ04430</t>
  </si>
  <si>
    <t>22D11163 - 22D11217</t>
  </si>
  <si>
    <t>2UR04096 - 2UR04148</t>
  </si>
  <si>
    <t>2UR04149 - 2UR04160</t>
  </si>
  <si>
    <t>27V02935 - 27V02953</t>
  </si>
  <si>
    <t>27W01404 - 27W01490</t>
  </si>
  <si>
    <t>2UQ04562 - 2UQ04591</t>
  </si>
  <si>
    <t>22D11218 - 22D11352</t>
  </si>
  <si>
    <t>2UR04161 - 2UR04213</t>
  </si>
  <si>
    <t>2UR04214 - 2UR04223</t>
  </si>
  <si>
    <t>33G00539 - 33G00598</t>
  </si>
  <si>
    <t>2UA04597 - 2UA04644</t>
  </si>
  <si>
    <t>2UQ04699 - 2UQ04728</t>
  </si>
  <si>
    <t>22D11353 - 22D11486</t>
  </si>
  <si>
    <t>22H00502 - 22H00502</t>
  </si>
  <si>
    <t>2UA04645 - 2UA04697</t>
  </si>
  <si>
    <t>2UA04698 - 2UA04815</t>
  </si>
  <si>
    <t>22D11487 - 22D11635</t>
  </si>
  <si>
    <t>33G00599 - 33G00651</t>
  </si>
  <si>
    <t>33G00652 - 33G00725</t>
  </si>
  <si>
    <t>2UA04816 - 2UA04859</t>
  </si>
  <si>
    <t>2UQ05011 - 2UQ05099</t>
  </si>
  <si>
    <t>33G00726 - 33G00778</t>
  </si>
  <si>
    <t>33G00779 - 33G00895</t>
  </si>
  <si>
    <t>2UQ05270 - 2UQ05419</t>
  </si>
  <si>
    <t>2UR04224 - 2UR04276</t>
  </si>
  <si>
    <t>2UR04277 - 2UR04329</t>
  </si>
  <si>
    <t>27V02954 - 27V02993</t>
  </si>
  <si>
    <t>2UR04330 - 2UR04382</t>
  </si>
  <si>
    <t>2UR04383 - 2UR04391</t>
  </si>
  <si>
    <t>27V02994 - 27V03077</t>
  </si>
  <si>
    <t>22L03238 - 22L03251</t>
  </si>
  <si>
    <t>2UQ05420 - 2UQ05425</t>
  </si>
  <si>
    <t>2UR04392 - 2UR04418</t>
  </si>
  <si>
    <t>33G00896 - 33G00921</t>
  </si>
  <si>
    <t>33G00922 - 33G00975</t>
  </si>
  <si>
    <t>2UA04860 - 2UA04898</t>
  </si>
  <si>
    <t>2UQ05426 - 2UQ05487</t>
  </si>
  <si>
    <t>22H00503 - 22H00503</t>
  </si>
  <si>
    <t>33G00976 - 33G01020</t>
  </si>
  <si>
    <t>2UA04899 - 2UA04906</t>
  </si>
  <si>
    <t>2UA04907 - 2UA04999</t>
  </si>
  <si>
    <t>2UQ05590 - 2UQ05709</t>
  </si>
  <si>
    <t>22V01322 - 22V01368</t>
  </si>
  <si>
    <t>2UA05000 - 2UA05052</t>
  </si>
  <si>
    <t>2UA05053 - 2UA05145</t>
  </si>
  <si>
    <t>2UQ05880 - 2UQ05971</t>
  </si>
  <si>
    <t>33G01021 - 33G01073</t>
  </si>
  <si>
    <t>33G01074 - 33G01165</t>
  </si>
  <si>
    <t>2UQ06100 - 2UQ06214</t>
  </si>
  <si>
    <t>2UR04419 - 2UR04469</t>
  </si>
  <si>
    <t>27V03078 - 27V03079</t>
  </si>
  <si>
    <t>27V03080 - 27V03183</t>
  </si>
  <si>
    <t>2UQ06258 - 2UQ06317</t>
  </si>
  <si>
    <t>2US00622 - 2US00628</t>
  </si>
  <si>
    <t>2UR04470 - 2UR04515</t>
  </si>
  <si>
    <t>2UR04516 - 2UR04577</t>
  </si>
  <si>
    <t>2UA05146 - 2UA05194</t>
  </si>
  <si>
    <t>2UQ06369 - 2UQ06428</t>
  </si>
  <si>
    <t>33G01166 - 33G01218</t>
  </si>
  <si>
    <t>33G01219 - 33G01241</t>
  </si>
  <si>
    <t>2UA05195 - 2UA05274</t>
  </si>
  <si>
    <t>2UQ06480 - 2UQ06539</t>
  </si>
  <si>
    <t>22V01369 - 22V01405</t>
  </si>
  <si>
    <t>22P01047 - 22P01095</t>
  </si>
  <si>
    <t>33G01242 - 33G01294</t>
  </si>
  <si>
    <t>33G01295 - 33G01321</t>
  </si>
  <si>
    <t>2UA05275 - 2UA05350</t>
  </si>
  <si>
    <t>2UQ06591 - 2UQ06650</t>
  </si>
  <si>
    <t>33G01322 - 33G01374</t>
  </si>
  <si>
    <t>33G01375 - 33G01413</t>
  </si>
  <si>
    <t>2UA05351 - 2UA05414</t>
  </si>
  <si>
    <t>2UQ06755 - 2UQ06761</t>
  </si>
  <si>
    <t>33G01414 - 33G01466</t>
  </si>
  <si>
    <t>2UR04578 - 2UR04630</t>
  </si>
  <si>
    <t>YHL01825 - YHL01839</t>
  </si>
  <si>
    <t>22F09875 - 22F09910</t>
  </si>
  <si>
    <t>22F09911 - 22F09994</t>
  </si>
  <si>
    <t>YFA07753 - YFA07802</t>
  </si>
  <si>
    <t>YEJ05083 - YEJ05153</t>
  </si>
  <si>
    <t>YHL01840 - YHL01854</t>
  </si>
  <si>
    <t>YFA07803 - YFA07852</t>
  </si>
  <si>
    <t>YEF07213 - YEF07251</t>
  </si>
  <si>
    <t>YEJ05154 - YEJ05242</t>
  </si>
  <si>
    <t>YHL01855 - YHL01869</t>
  </si>
  <si>
    <t>YFA07853 - YFA07883</t>
  </si>
  <si>
    <t>YEF07252 - YEF07318</t>
  </si>
  <si>
    <t>YEJ05243 - YEJ05322</t>
  </si>
  <si>
    <t>YHL01870 - YHL01884</t>
  </si>
  <si>
    <t>YFA07884 - YFA07913</t>
  </si>
  <si>
    <t>YEJ05323 - YEJ05388</t>
  </si>
  <si>
    <t>YEE01317 - YEE01396</t>
  </si>
  <si>
    <t>YHL01885 - YHL01899</t>
  </si>
  <si>
    <t>YFA07914 - YFA07943</t>
  </si>
  <si>
    <t>YEF07319 - YEF07353</t>
  </si>
  <si>
    <t>YEE01397 - YEE01456</t>
  </si>
  <si>
    <t>YHL01900 - YHL01914</t>
  </si>
  <si>
    <t>YHL01915 - YHL01924</t>
  </si>
  <si>
    <t>YFA07944 - YFA07973</t>
  </si>
  <si>
    <t>YEF07354 - YEF07495</t>
  </si>
  <si>
    <t>YHL01925 - YHL01939</t>
  </si>
  <si>
    <t>YHL01940 - YHL01949</t>
  </si>
  <si>
    <t>YFA07974 - YFA08014</t>
  </si>
  <si>
    <t>YEJ05389 - YEJ05420</t>
  </si>
  <si>
    <t>YEE01457 - YEE01506</t>
  </si>
  <si>
    <t>YHL01950 - YHL01964</t>
  </si>
  <si>
    <t>YHL01965 - YHL01974</t>
  </si>
  <si>
    <t>YFA08015 - YFA08044</t>
  </si>
  <si>
    <t>YEF07496 - YEF07510</t>
  </si>
  <si>
    <t>YEJ05421 - YEJ05520</t>
  </si>
  <si>
    <t>YEE01507 - YEE01556</t>
  </si>
  <si>
    <t>YHL01975 - YHL01989</t>
  </si>
  <si>
    <t>YHL01990 - YHL01999</t>
  </si>
  <si>
    <t>YFA08045 - YFA08074</t>
  </si>
  <si>
    <t>YEF07511 - YEF07546</t>
  </si>
  <si>
    <t>YEJ05521 - YEJ05644</t>
  </si>
  <si>
    <t>22J00557 - 22J00569</t>
  </si>
  <si>
    <t>YHL02000 - YHL02013</t>
  </si>
  <si>
    <t>YHL02014 - YHL02023</t>
  </si>
  <si>
    <t>YFA08075 - YFA08104</t>
  </si>
  <si>
    <t>YEF07547 - YEF07593</t>
  </si>
  <si>
    <t>YEJ05645 - YEJ05755</t>
  </si>
  <si>
    <t>YHL02024 - YHL02033</t>
  </si>
  <si>
    <t>YHL02034 - YHL02043</t>
  </si>
  <si>
    <t>YFA08105 - YFA08134</t>
  </si>
  <si>
    <t>YEF07594 - YEF07684</t>
  </si>
  <si>
    <t>YEJ05756 - YEJ05826</t>
  </si>
  <si>
    <t>YHL02044 - YHL02053</t>
  </si>
  <si>
    <t>YFA08135 - YFA08164</t>
  </si>
  <si>
    <t>YEF07685 - YEF07696</t>
  </si>
  <si>
    <t>YEJ05827 - YEJ05916</t>
  </si>
  <si>
    <t>YHL02054 - YHL02068</t>
  </si>
  <si>
    <t>YFA08165 - YFA08255</t>
  </si>
  <si>
    <t>YEF07697 - YEF07740</t>
  </si>
  <si>
    <t>YHL02069 - YHL02083</t>
  </si>
  <si>
    <t>YFA08256 - YFA08335</t>
  </si>
  <si>
    <t>YEF07741 - YEF07861</t>
  </si>
  <si>
    <t>YHL02084 - YHL02098</t>
  </si>
  <si>
    <t>YFA08336 - YFA08415</t>
  </si>
  <si>
    <t>YEF07862 - YEF07974</t>
  </si>
  <si>
    <t>YEA00679 - YEA00686</t>
  </si>
  <si>
    <t>YHL02099 - YHL02113</t>
  </si>
  <si>
    <t>YFA08416 - YFA08495</t>
  </si>
  <si>
    <t>YEF07975 - YEF08079</t>
  </si>
  <si>
    <t>YHL02114 - YHL02125</t>
  </si>
  <si>
    <t>YFA08496 - YFA08575</t>
  </si>
  <si>
    <t>YEF08080 - YEF08127</t>
  </si>
  <si>
    <t>YEA00687 - YEA00698</t>
  </si>
  <si>
    <t>YEG00771 - YEG00781</t>
  </si>
  <si>
    <t>YEJ05917 - YEJ05944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</si>
  <si>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[06-Aug-2020]</t>
    </r>
  </si>
  <si>
    <t>T599 Daily Input/Output Plan_ COPIER_ 20200727W  REV.00</t>
  </si>
  <si>
    <t>3HG00851 - 3HG00865</t>
  </si>
  <si>
    <t>3HG00866 - 3HG00880</t>
  </si>
  <si>
    <t>3HG00881 - 3HG00893</t>
  </si>
  <si>
    <t>25Y01929 - 25Y01934</t>
  </si>
  <si>
    <t>25Y01935 - 25Y01942</t>
  </si>
  <si>
    <t>3HG00894 - 3HG00896</t>
  </si>
  <si>
    <t>2VK00944 - 2VK00966</t>
  </si>
  <si>
    <t>2VF04820 - 2VF04845</t>
  </si>
  <si>
    <t>2VF04846 - 2VF04851</t>
  </si>
  <si>
    <t>24Y00606 - 24Y00606</t>
  </si>
  <si>
    <t>26J00550 - 26J00552</t>
  </si>
  <si>
    <t>25B00714 - 25B00756</t>
  </si>
  <si>
    <t>25M01547 - 25M01590</t>
  </si>
  <si>
    <t>26E00873 - 26E00891</t>
  </si>
  <si>
    <t>24X02723 - 24X02812</t>
  </si>
  <si>
    <t>2VM01615 - 2VM01617</t>
  </si>
  <si>
    <t>2VK00967 - 2VK00987</t>
  </si>
  <si>
    <t>2VA00703 - 2VA00705</t>
  </si>
  <si>
    <t>3808C009AA</t>
  </si>
  <si>
    <t>2VR00520 - 2VR00520</t>
  </si>
  <si>
    <t>2VD00618 - 2VD00618</t>
  </si>
  <si>
    <t>2VC01754 - 2VC01776</t>
  </si>
  <si>
    <t>2VC01777 - 2VC01778</t>
  </si>
  <si>
    <t>24Y00607 - 24Y00608</t>
  </si>
  <si>
    <t>25K00595 - 25K00599</t>
  </si>
  <si>
    <t>25M01591 - 25M01604</t>
  </si>
  <si>
    <t>25V03310 - 25V03398</t>
  </si>
  <si>
    <t>26A00875 - 26A00919</t>
  </si>
  <si>
    <t>25S01129 - 25S01161</t>
  </si>
  <si>
    <t>26E00892 - 26E00925</t>
  </si>
  <si>
    <t>24X02813 - 24X02896</t>
  </si>
  <si>
    <t>3HG00897 - 3HG00903</t>
  </si>
  <si>
    <t>2VM01618 - 2VM01651</t>
  </si>
  <si>
    <t>2VC01779 - 2VC01789</t>
  </si>
  <si>
    <t>2VC01790 - 2VC01798</t>
  </si>
  <si>
    <t>25C00915 - 25C00941</t>
  </si>
  <si>
    <t>25N00772 - 25N00819</t>
  </si>
  <si>
    <t>25V03399 - 25V03416</t>
  </si>
  <si>
    <t>4055C008AA</t>
  </si>
  <si>
    <t>iR-ADV 4735 KR 220V (F17-7373-000)</t>
  </si>
  <si>
    <t>25R00740 - 25R00746</t>
  </si>
  <si>
    <t>25S01162 - 25S01228</t>
  </si>
  <si>
    <t>26M00917 - 26M00957</t>
  </si>
  <si>
    <t>24X02897 - 24X02951</t>
  </si>
  <si>
    <t>25H00825 - 25H00826</t>
  </si>
  <si>
    <t>25J03130 - 25J03163</t>
  </si>
  <si>
    <t>3HG00904 - 3HG00909</t>
  </si>
  <si>
    <t>2VM01652 - 2VM01697</t>
  </si>
  <si>
    <t>2VM01698 - 2VM01705</t>
  </si>
  <si>
    <t>25V03417 - 25V03546</t>
  </si>
  <si>
    <t>26B00705 - 26B00717</t>
  </si>
  <si>
    <t>25S01229 - 25S01295</t>
  </si>
  <si>
    <t>25J03164 - 25J03253</t>
  </si>
  <si>
    <t>3HG00910 - 3HG00913</t>
  </si>
  <si>
    <t>FM1-W722-000</t>
  </si>
  <si>
    <t xml:space="preserve">UNFINISHED_UNIT_T597(25)_220_CHN_GOV </t>
  </si>
  <si>
    <t>GOV (T597)</t>
  </si>
  <si>
    <t>2VQ00542 - 2VQ00552</t>
  </si>
  <si>
    <t>2VB00787 - 2VB00823</t>
  </si>
  <si>
    <t>2VB00824 - 2VB00830</t>
  </si>
  <si>
    <t>2VJ01138 - 2VJ01141</t>
  </si>
  <si>
    <t>2VC01799 - 2VC01804</t>
  </si>
  <si>
    <t>FM1-Z346-000</t>
  </si>
  <si>
    <t>UNFINISHED_UNIT_T599P(51)_220_CHN_GOV</t>
  </si>
  <si>
    <t>24W00504 - 24W00504</t>
  </si>
  <si>
    <t>FM1-Z347-000</t>
  </si>
  <si>
    <t>UNFINISHED_UNIT_T599P(35)_220_CHN_GOV</t>
  </si>
  <si>
    <t>25T00506 - 25T00506</t>
  </si>
  <si>
    <t>25V03547 - 25V03554</t>
  </si>
  <si>
    <t>25Y01943 - 25Y01995</t>
  </si>
  <si>
    <t>25S01296 - 25S01361</t>
  </si>
  <si>
    <t>25J03254 - 25J03343</t>
  </si>
  <si>
    <t>2VC01805 - 2VC01856</t>
  </si>
  <si>
    <t>2VC01857 - 2VC01858</t>
  </si>
  <si>
    <t>25Y01996 - 25Y02041</t>
  </si>
  <si>
    <t>26H02619 - 26H02788</t>
  </si>
  <si>
    <t>25J03344 - 25J03389</t>
  </si>
  <si>
    <t>25U00661 - 25U00704</t>
  </si>
  <si>
    <t>3808C004AA</t>
  </si>
  <si>
    <t>2VL01912 - 2VL01919</t>
  </si>
  <si>
    <t>2VK00988 - 2VK00997</t>
  </si>
  <si>
    <t>2VR00521 - 2VR00521</t>
  </si>
  <si>
    <t>2VD00619 - 2VD00623</t>
  </si>
  <si>
    <t>2VF04852 - 2VF04879</t>
  </si>
  <si>
    <t>2VF04880 - 2VF04892</t>
  </si>
  <si>
    <t>25W00602 - 25W00604</t>
  </si>
  <si>
    <t>26J00553 - 26J00554</t>
  </si>
  <si>
    <t>25T00507 - 25T00507</t>
  </si>
  <si>
    <t>FM1-Z348-000</t>
  </si>
  <si>
    <t>UNFINISHED_UNIT_T599P(25)_220_CHN_GOV</t>
  </si>
  <si>
    <t>26F00508 - 26F00508</t>
  </si>
  <si>
    <t>25B00757 - 25B00783</t>
  </si>
  <si>
    <t>25M01605 - 25M01703</t>
  </si>
  <si>
    <t>25V03555 - 25V03564</t>
  </si>
  <si>
    <t>24X02952 - 24X03006</t>
  </si>
  <si>
    <t>25H00827 - 25H00843</t>
  </si>
  <si>
    <t>25U00705 - 25U00724</t>
  </si>
  <si>
    <t>3HG00914 - 3HG00916</t>
  </si>
  <si>
    <t>2VM01706 - 2VM01733</t>
  </si>
  <si>
    <t>2VF04893 - 2VF04913</t>
  </si>
  <si>
    <t>2VF04914 - 2VF04929</t>
  </si>
  <si>
    <t>24Y00609 - 24Y00612</t>
  </si>
  <si>
    <t>25K00600 - 25K00602</t>
  </si>
  <si>
    <t>25N00820 - 25N00847</t>
  </si>
  <si>
    <t>25V03565 - 25V03637</t>
  </si>
  <si>
    <t>26M00958 - 26M00992</t>
  </si>
  <si>
    <t>24X03007 - 24X03091</t>
  </si>
  <si>
    <t>3HG00917 - 3HG00922</t>
  </si>
  <si>
    <t>2VQ00553 - 2VQ00553</t>
  </si>
  <si>
    <t>2VM01734 - 2VM01769</t>
  </si>
  <si>
    <t>2VG01028 - 2VG01028</t>
  </si>
  <si>
    <t>2VA00706 - 2VA00709</t>
  </si>
  <si>
    <t>2VF04930 - 2VF04933</t>
  </si>
  <si>
    <t>2VF04934 - 2VF04953</t>
  </si>
  <si>
    <t>25C00942 - 25C00958</t>
  </si>
  <si>
    <t>25V03638 - 25V03782</t>
  </si>
  <si>
    <t>26A00920 - 26A00973</t>
  </si>
  <si>
    <t>24X03092 - 24X03152</t>
  </si>
  <si>
    <t>25J03390 - 25J03420</t>
  </si>
  <si>
    <t>3HG00923 - 3HG00929</t>
  </si>
  <si>
    <t>2VF04954 - 2VF04998</t>
  </si>
  <si>
    <t>2VF04999 - 2VF05017</t>
  </si>
  <si>
    <t>2VJ01142 - 2VJ01142</t>
  </si>
  <si>
    <t>25V03783 - 25V03854</t>
  </si>
  <si>
    <t>25Y02042 - 25Y02174</t>
  </si>
  <si>
    <t>25R00747 - 25R00755</t>
  </si>
  <si>
    <t>26B00718 - 26B00719</t>
  </si>
  <si>
    <t>25J03421 - 25J03512</t>
  </si>
  <si>
    <t>3HG00930 - 3HG00936</t>
  </si>
  <si>
    <t>2VF05018 - 2VF05062</t>
  </si>
  <si>
    <t>2VF05063 - 2VF05082</t>
  </si>
  <si>
    <t>26B00720 - 26B00731</t>
  </si>
  <si>
    <t>26H02789 - 26H02987</t>
  </si>
  <si>
    <t>4056C005AA</t>
  </si>
  <si>
    <t>IR-ADV 4725I EU 230V (F17-7391-000)</t>
  </si>
  <si>
    <t>26L05890 - 26L05894</t>
  </si>
  <si>
    <t>25J03513 - 25J03604</t>
  </si>
  <si>
    <t>3HG00937 - 3HG00943</t>
  </si>
  <si>
    <t>2VF05083 - 2VF05127</t>
  </si>
  <si>
    <t>2VC01859 - 2VC01878</t>
  </si>
  <si>
    <t>26L05895 - 26L06034</t>
  </si>
  <si>
    <t>25J03605 - 25J03696</t>
  </si>
  <si>
    <t>2VP06022 - 2VP06073</t>
  </si>
  <si>
    <t>2VP06074 - 2VP06134</t>
  </si>
  <si>
    <t>3810C008AA</t>
  </si>
  <si>
    <t>2UY01096 - 2UY01099</t>
  </si>
  <si>
    <t>2VD00624 - 2VD00627</t>
  </si>
  <si>
    <t>2VF05128 - 2VF05166</t>
  </si>
  <si>
    <t>25W00605 - 25W00607</t>
  </si>
  <si>
    <t>26J00555 - 26J00556</t>
  </si>
  <si>
    <t>24W00505 - 24W00505</t>
  </si>
  <si>
    <t>25T00508 - 25T00508</t>
  </si>
  <si>
    <t>25B00784 - 25B00796</t>
  </si>
  <si>
    <t>25M01704 - 25M01754</t>
  </si>
  <si>
    <t>25V03855 - 25V03953</t>
  </si>
  <si>
    <t>25Y02175 - 25Y02199</t>
  </si>
  <si>
    <t>24X03153 - 24X03173</t>
  </si>
  <si>
    <t>25H00844 - 25H00854</t>
  </si>
  <si>
    <t>25U00725 - 25U00733</t>
  </si>
  <si>
    <t>2VN02299 - 2VN02350</t>
  </si>
  <si>
    <t>2VN02351 - 2VN02358</t>
  </si>
  <si>
    <t>2VP06135 - 2VP06234</t>
  </si>
  <si>
    <t>24Y00613 - 24Y00616</t>
  </si>
  <si>
    <t>25K00603 - 25K00606</t>
  </si>
  <si>
    <t>25Y02200 - 25Y02215</t>
  </si>
  <si>
    <t>25S01362 - 25S01514</t>
  </si>
  <si>
    <t>26H02988 - 26H03018</t>
  </si>
  <si>
    <t>24X03174 - 24X03205</t>
  </si>
  <si>
    <t>3HG00944 - 3HG00950</t>
  </si>
  <si>
    <t>2VQ00554 - 2VQ00554</t>
  </si>
  <si>
    <t>2VM01770 - 2VM01808</t>
  </si>
  <si>
    <t>2VP06235 - 2VP06239</t>
  </si>
  <si>
    <t>2VP06240 - 2VP06340</t>
  </si>
  <si>
    <t>2VG01029 - 2VG01040</t>
  </si>
  <si>
    <t>2VA00710 - 2VA00712</t>
  </si>
  <si>
    <t>26F00509 - 26F00509</t>
  </si>
  <si>
    <t>25C00959 - 25C00968</t>
  </si>
  <si>
    <t>25N00848 - 25N00856</t>
  </si>
  <si>
    <t>26A00974 - 26A01004</t>
  </si>
  <si>
    <t>25S01515 - 25S01629</t>
  </si>
  <si>
    <t>26M00993 - 26M01018</t>
  </si>
  <si>
    <t>24X03206 - 24X03222</t>
  </si>
  <si>
    <t>25J03697 - 25J03719</t>
  </si>
  <si>
    <t>3HG00951 - 3HG00957</t>
  </si>
  <si>
    <t>2VP06341 - 2VP06352</t>
  </si>
  <si>
    <t>2VB00831 - 2VB00863</t>
  </si>
  <si>
    <t>2VB00864 - 2VB00881</t>
  </si>
  <si>
    <t>2VJ01143 - 2VJ01239</t>
  </si>
  <si>
    <t>24V00696 - 24V00714</t>
  </si>
  <si>
    <t>25G00716 - 25G00734</t>
  </si>
  <si>
    <t>25S01630 - 25S01648</t>
  </si>
  <si>
    <t>26E00926 - 26E01061</t>
  </si>
  <si>
    <t>25J03720 - 25J03759</t>
  </si>
  <si>
    <t>3HG00958 - 3HG00963</t>
  </si>
  <si>
    <t>2VL01920 - 2VL01960</t>
  </si>
  <si>
    <t>2VF05167 - 2VF05171</t>
  </si>
  <si>
    <t>2VF05172 - 2VF05285</t>
  </si>
  <si>
    <t>26H03019 - 26H03058</t>
  </si>
  <si>
    <t>26L06035 - 26L06108</t>
  </si>
  <si>
    <t>25J03760 - 25J03799</t>
  </si>
  <si>
    <t>2VL01961 - 2VL02012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</si>
  <si>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1 </t>
    </r>
    <r>
      <rPr>
        <b/>
        <sz val="20"/>
        <color rgb="FFFF0000"/>
        <rFont val="Calibri"/>
        <family val="2"/>
        <scheme val="minor"/>
      </rPr>
      <t>[11-Aug-2020]</t>
    </r>
  </si>
  <si>
    <t>T709 Daily Input/Output Plan COPIER 20200727W_REV.1</t>
  </si>
  <si>
    <t>22E14185 - 22E14319</t>
  </si>
  <si>
    <t>22E14482 - 22E14548</t>
  </si>
  <si>
    <t>22E15004 - 22E15045</t>
  </si>
  <si>
    <t>22E15249 - 22E15259</t>
  </si>
  <si>
    <t>22L02765 - 22L02797</t>
  </si>
  <si>
    <t>22L02798 - 22L02844</t>
  </si>
  <si>
    <t>22F09995 - 22F10099</t>
  </si>
  <si>
    <t>22E15296 - 22E15324</t>
  </si>
  <si>
    <t>22E15453 - 22E15548</t>
  </si>
  <si>
    <t>22D11672 - 22D11724</t>
  </si>
  <si>
    <t>22D11824 - 22D11852</t>
  </si>
  <si>
    <t>22E15750 - 22E15763</t>
  </si>
  <si>
    <t>22E15794 - 22E15821</t>
  </si>
  <si>
    <t>22E15822 - 22E15874</t>
  </si>
  <si>
    <t>22E15901 - 22E16011</t>
  </si>
  <si>
    <t>22D11883 - 22D11935</t>
  </si>
  <si>
    <t>22D12018 - 22D12055</t>
  </si>
  <si>
    <t>22D12056 - 22D12108</t>
  </si>
  <si>
    <t>22D12156 - 22D12202</t>
  </si>
  <si>
    <t>22D12203 - 22D12255</t>
  </si>
  <si>
    <t>22D12256 - 22D12302</t>
  </si>
  <si>
    <t>22F10659 - 22F10708</t>
  </si>
  <si>
    <t>22D12303 - 22D12355</t>
  </si>
  <si>
    <t>22D12438 - 22D12484</t>
  </si>
  <si>
    <t>22F10709 - 22F10740</t>
  </si>
  <si>
    <t>22E16383 - 22E16426</t>
  </si>
  <si>
    <t>22E16504 - 22E16575</t>
  </si>
  <si>
    <t>22D12521 - 22D12573</t>
  </si>
  <si>
    <t>22D12620 - 22D12629</t>
  </si>
  <si>
    <t>22F10801 - 22F10980</t>
  </si>
  <si>
    <t>22D12630 - 22D12682</t>
  </si>
  <si>
    <t>22D12743 - 22D12796</t>
  </si>
  <si>
    <t>22E16727 - 22E16799</t>
  </si>
  <si>
    <t>22D12797 - 22D12838</t>
  </si>
  <si>
    <t>22E16800 - 22E16810</t>
  </si>
  <si>
    <t>22E16811 - 22E17026</t>
  </si>
  <si>
    <t>22D12899 - 22D12951</t>
  </si>
  <si>
    <t>22D13091 - 22D13097</t>
  </si>
  <si>
    <t>22E17027 - 22E17175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</si>
  <si>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2 [11-Aug-2020]</t>
    </r>
  </si>
  <si>
    <t>22E14320 - 22E14445</t>
  </si>
  <si>
    <t>22E14549 - 22E14745</t>
  </si>
  <si>
    <t>22E14787 - 22E14886</t>
  </si>
  <si>
    <t>22E15046 - 22E15182</t>
  </si>
  <si>
    <t>22D11853 - 22D11882</t>
  </si>
  <si>
    <t>22F10264 - 22F10343</t>
  </si>
  <si>
    <t>22D11936 - 22D12017</t>
  </si>
  <si>
    <t>22F10426 - 22F10505</t>
  </si>
  <si>
    <t>22D12109 - 22D12155</t>
  </si>
  <si>
    <t>22F10572 - 22F10651</t>
  </si>
  <si>
    <t>22F10652 - 22F10658</t>
  </si>
  <si>
    <t>22D12356 - 22D12437</t>
  </si>
  <si>
    <t>22E16576 - 22E16614</t>
  </si>
  <si>
    <t>22E16615 - 22E16726</t>
  </si>
  <si>
    <t>22F11041 - 22F11074</t>
  </si>
  <si>
    <t>22D12952 - 22D13027</t>
  </si>
  <si>
    <t>22F11135 - 22F11162</t>
  </si>
  <si>
    <t>22D13098 - 22D13141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</si>
  <si>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3 [11-Aug-2020]</t>
    </r>
  </si>
  <si>
    <t>22F09700 - 22F09735</t>
  </si>
  <si>
    <t>22F09736 - 22F09807</t>
  </si>
  <si>
    <t>22E14446 - 22E14481</t>
  </si>
  <si>
    <t>22E14746 - 22E14750</t>
  </si>
  <si>
    <t>22F09808 - 22F09874</t>
  </si>
  <si>
    <t>22E14751 - 22E14786</t>
  </si>
  <si>
    <t>22E14887 - 22E14958</t>
  </si>
  <si>
    <t>22E14959 - 22E15003</t>
  </si>
  <si>
    <t>22E15183 - 22E15245</t>
  </si>
  <si>
    <t>22E15260 - 22E15295</t>
  </si>
  <si>
    <t>22E15325 - 22E15416</t>
  </si>
  <si>
    <t>22F10100 - 22F10114</t>
  </si>
  <si>
    <t>22E15417 - 22E15452</t>
  </si>
  <si>
    <t>22E15549 - 22E15601</t>
  </si>
  <si>
    <t>22F10115 - 22F10168</t>
  </si>
  <si>
    <t>22E15602 - 22E15637</t>
  </si>
  <si>
    <t>22E15638 - 22E15728</t>
  </si>
  <si>
    <t>22F10169 - 22F10170</t>
  </si>
  <si>
    <t>22D11636 - 22D11671</t>
  </si>
  <si>
    <t>22D11725 - 22D11808</t>
  </si>
  <si>
    <t>22D11809 - 22D11823</t>
  </si>
  <si>
    <t>22E15729 - 22E15749</t>
  </si>
  <si>
    <t>22E15764 - 22E15793</t>
  </si>
  <si>
    <t>22F10171 - 22F10237</t>
  </si>
  <si>
    <t>22F10238 - 22F10263</t>
  </si>
  <si>
    <t>22F10344 - 22F10425</t>
  </si>
  <si>
    <t>22E15875 - 22E15900</t>
  </si>
  <si>
    <t>22E16012 - 22E16027</t>
  </si>
  <si>
    <t>22F10506 - 22F10571</t>
  </si>
  <si>
    <t>22E16028 - 22E16053</t>
  </si>
  <si>
    <t>22E16054 - 22E16135</t>
  </si>
  <si>
    <t>22E16136 - 22E16162</t>
  </si>
  <si>
    <t>22E16163 - 22E16243</t>
  </si>
  <si>
    <t>22E16244 - 22E16274</t>
  </si>
  <si>
    <t>22E16275 - 22E16351</t>
  </si>
  <si>
    <t>22E16352 - 22E16382</t>
  </si>
  <si>
    <t>22E16427 - 22E16503</t>
  </si>
  <si>
    <t>22D12485 - 22D12520</t>
  </si>
  <si>
    <t>22D12574 - 22D12583</t>
  </si>
  <si>
    <t>22F10741 - 22F10800</t>
  </si>
  <si>
    <t>22D12584 - 22D12619</t>
  </si>
  <si>
    <t>22D12683 - 22D12706</t>
  </si>
  <si>
    <t>22F10981 - 22F11040</t>
  </si>
  <si>
    <t>22D12707 - 22D12742</t>
  </si>
  <si>
    <t>22D12839 - 22D12862</t>
  </si>
  <si>
    <t>22F11075 - 22F11134</t>
  </si>
  <si>
    <t>22D12863 - 22D12898</t>
  </si>
  <si>
    <t>22D13028 - 22D13051</t>
  </si>
  <si>
    <t>22F11163 - 22F11222</t>
  </si>
  <si>
    <t>22D13052 - 22D13090</t>
  </si>
  <si>
    <t>22D13142 - 22D13162</t>
  </si>
  <si>
    <t>22F11223 - 22F11282</t>
  </si>
  <si>
    <t>Aug'20</t>
  </si>
  <si>
    <t>Sat</t>
  </si>
  <si>
    <t>Sun</t>
  </si>
  <si>
    <t>Mon</t>
  </si>
  <si>
    <t>Tue</t>
  </si>
  <si>
    <t>Wed</t>
  </si>
  <si>
    <t>Thu</t>
  </si>
  <si>
    <t>Fri</t>
  </si>
  <si>
    <t>OT</t>
  </si>
  <si>
    <t>Plan</t>
  </si>
  <si>
    <t>Cell 1</t>
  </si>
  <si>
    <t>Cell 2</t>
  </si>
  <si>
    <t xml:space="preserve">Cell 3 </t>
  </si>
  <si>
    <t>Total</t>
  </si>
  <si>
    <t>Accum.</t>
  </si>
  <si>
    <t xml:space="preserve">Flow line </t>
  </si>
  <si>
    <t>130/130/130</t>
  </si>
  <si>
    <t>130/130/129</t>
  </si>
  <si>
    <t>Actual</t>
  </si>
  <si>
    <t>Day      Cell 1</t>
  </si>
  <si>
    <t>Night   Cell 1</t>
  </si>
  <si>
    <t>Day      Cell 2</t>
  </si>
  <si>
    <t>Night   Cell 2</t>
  </si>
  <si>
    <t>Day      Cell 3</t>
  </si>
  <si>
    <t>Night   Cell 3</t>
  </si>
  <si>
    <t>Total Actual</t>
  </si>
  <si>
    <t>Actual Daily</t>
  </si>
  <si>
    <t>Accum. Actual</t>
  </si>
  <si>
    <t>Diff.</t>
  </si>
  <si>
    <t>Cell 3</t>
  </si>
  <si>
    <t>Diff (Hr.)</t>
  </si>
  <si>
    <t>26-25</t>
  </si>
  <si>
    <t>PS Plan</t>
  </si>
  <si>
    <t>Plan :</t>
  </si>
  <si>
    <t>Act Cum.</t>
  </si>
  <si>
    <t>Flow line cell 1</t>
  </si>
  <si>
    <t>Day     Cell 1</t>
  </si>
  <si>
    <t>Act.D1 :</t>
  </si>
  <si>
    <t>Night  Cell 1</t>
  </si>
  <si>
    <t>Act.N1 :</t>
  </si>
  <si>
    <t>Day     Cell 2</t>
  </si>
  <si>
    <t>Act.D2 :</t>
  </si>
  <si>
    <t>Night  Cell 2</t>
  </si>
  <si>
    <t>Act.N2 :</t>
  </si>
  <si>
    <t>Total :</t>
  </si>
  <si>
    <t>②Accum.</t>
  </si>
  <si>
    <t>Sep'20</t>
  </si>
  <si>
    <t>Total OT</t>
  </si>
  <si>
    <t>hr./Shift</t>
  </si>
  <si>
    <t>Plan1:</t>
  </si>
  <si>
    <t>Plan2:</t>
  </si>
  <si>
    <t>Plan3:</t>
  </si>
  <si>
    <t>Total Plan</t>
  </si>
  <si>
    <t>Act D1:</t>
  </si>
  <si>
    <t>Act N1:</t>
  </si>
  <si>
    <t>Act D2:</t>
  </si>
  <si>
    <t>Act N2:</t>
  </si>
  <si>
    <t>Act D3:</t>
  </si>
  <si>
    <t>Act N3:</t>
  </si>
  <si>
    <t>Total Act.</t>
  </si>
  <si>
    <t>day</t>
  </si>
  <si>
    <t>shift</t>
  </si>
  <si>
    <t>D</t>
  </si>
  <si>
    <t>N</t>
  </si>
  <si>
    <t>Column Labels</t>
  </si>
  <si>
    <t>(blank)</t>
  </si>
  <si>
    <t>Grand Total</t>
  </si>
  <si>
    <t>Row Labels</t>
  </si>
  <si>
    <t>Count of Qty.</t>
  </si>
  <si>
    <t>color</t>
  </si>
  <si>
    <t>model</t>
  </si>
  <si>
    <t>break</t>
  </si>
  <si>
    <t>time_start</t>
  </si>
  <si>
    <t>time_end</t>
  </si>
  <si>
    <t>Red</t>
  </si>
  <si>
    <t>Day</t>
  </si>
  <si>
    <t>red</t>
  </si>
  <si>
    <t>Night</t>
  </si>
  <si>
    <t>Green</t>
  </si>
  <si>
    <t>T599</t>
  </si>
  <si>
    <t>Blue</t>
  </si>
  <si>
    <t>T773</t>
  </si>
  <si>
    <t>Start Main</t>
  </si>
  <si>
    <t>Time</t>
  </si>
  <si>
    <t>End 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</si>
</sst>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0.0"/>
    <numFmt numFmtId="169" formatCode="?;[Red]\(#,##0\)"/>
    <numFmt numFmtId="170" formatCode="_(* #,##0_);_(* \(#,##0\);_(* &quot;-&quot;??_);_(@_)"/>
    <numFmt numFmtId="171" formatCode="0_);[Red]\(0\)"/>
    <numFmt numFmtId="172" formatCode="0.0_);[Red]\(0.0\)"/>
    <numFmt numFmtId="173" formatCode="?.0;[Red]\(0.0\)"/>
    <numFmt numFmtId="174" formatCode="?;[Red]\(0\)"/>
    <numFmt numFmtId="175" formatCode="h:mm;@"/>
  </numFmts>
  <fonts count="1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sz val="17"/>
      <color theme="1"/>
      <name val="Webdings"/>
      <family val="1"/>
      <charset val="2"/>
    </font>
    <font>
      <b/>
      <sz val="24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7"/>
      <name val="Cambria"/>
      <family val="1"/>
      <scheme val="major"/>
    </font>
    <font>
      <sz val="17"/>
      <color theme="1"/>
      <name val="Cambria"/>
      <family val="1"/>
      <scheme val="major"/>
    </font>
    <font>
      <b/>
      <u/>
      <sz val="20"/>
      <color rgb="FFFF000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ambria"/>
      <family val="1"/>
      <scheme val="major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sz val="17"/>
      <name val="Wingdings 2"/>
      <family val="1"/>
      <charset val="2"/>
    </font>
    <font>
      <b/>
      <sz val="22"/>
      <color rgb="FFFF0000"/>
      <name val="Calibri"/>
      <family val="2"/>
      <scheme val="minor"/>
    </font>
    <font>
      <sz val="16"/>
      <name val="Webdings"/>
      <family val="1"/>
      <charset val="2"/>
    </font>
    <font>
      <sz val="17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name val="Cambria"/>
      <family val="1"/>
      <scheme val="maj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0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u/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2"/>
      <color rgb="FF0000FF"/>
      <name val="Calibri"/>
      <family val="3"/>
      <charset val="128"/>
      <scheme val="minor"/>
    </font>
    <font>
      <sz val="14"/>
      <color rgb="FF0000FF"/>
      <name val="Calibri"/>
      <family val="3"/>
      <charset val="128"/>
      <scheme val="minor"/>
    </font>
    <font>
      <b/>
      <sz val="14"/>
      <color rgb="FF0000FF"/>
      <name val="Calibri"/>
      <family val="2"/>
      <scheme val="minor"/>
    </font>
    <font>
      <sz val="12"/>
      <name val="Calibri"/>
      <family val="3"/>
      <charset val="128"/>
      <scheme val="minor"/>
    </font>
    <font>
      <sz val="14"/>
      <name val="Calibri"/>
      <family val="3"/>
      <charset val="128"/>
      <scheme val="minor"/>
    </font>
    <font>
      <b/>
      <sz val="14"/>
      <name val="Calibri"/>
      <family val="3"/>
      <charset val="128"/>
      <scheme val="minor"/>
    </font>
    <font>
      <b/>
      <sz val="12"/>
      <name val="Calibri"/>
      <family val="3"/>
      <charset val="128"/>
      <scheme val="minor"/>
    </font>
    <font>
      <sz val="12"/>
      <color theme="0" tint="-0.499984740745262"/>
      <name val="Calibri"/>
      <family val="3"/>
      <charset val="128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/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/>
      <top style="medium">
        <color rgb="FFFF0000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rgb="FFFF0000"/>
      </left>
      <right/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hair">
        <color auto="1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9132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6" fillId="0" borderId="0">
      <alignment horizontal="center"/>
    </xf>
    <xf numFmtId="43" fontId="1" fillId="0" borderId="0" applyFont="0" applyFill="0" applyBorder="0" applyAlignment="0" applyProtection="0"/>
    <xf numFmtId="0" fontId="1" fillId="0" borderId="0"/>
  </cellStyleXfs>
  <cellXfs count="566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8" fillId="0" borderId="13" xfId="0" applyNumberFormat="1" applyFont="1" applyFill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14" fontId="5" fillId="33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65" fontId="53" fillId="0" borderId="13" xfId="0" applyNumberFormat="1" applyFont="1" applyFill="1" applyBorder="1" applyAlignment="1">
      <alignment horizontal="center" vertical="center"/>
    </xf>
    <xf numFmtId="165" fontId="54" fillId="0" borderId="13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vertical="center" wrapText="1"/>
    </xf>
    <xf numFmtId="165" fontId="49" fillId="0" borderId="13" xfId="0" applyNumberFormat="1" applyFont="1" applyBorder="1" applyAlignment="1">
      <alignment horizontal="center" vertical="center"/>
    </xf>
    <xf numFmtId="0" fontId="49" fillId="33" borderId="0" xfId="0" applyFont="1" applyFill="1" applyAlignment="1">
      <alignment horizontal="center" vertical="center"/>
    </xf>
    <xf numFmtId="0" fontId="49" fillId="33" borderId="0" xfId="0" applyFont="1" applyFill="1" applyAlignment="1">
      <alignment horizontal="center" vertical="center" wrapText="1"/>
    </xf>
    <xf numFmtId="0" fontId="49" fillId="33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14" fontId="5" fillId="33" borderId="0" xfId="0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5" fillId="0" borderId="13" xfId="0" applyFont="1" applyBorder="1" applyAlignment="1">
      <alignment horizontal="center" vertical="center"/>
    </xf>
    <xf numFmtId="0" fontId="57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5" fillId="0" borderId="14" xfId="0" applyFont="1" applyBorder="1" applyAlignment="1">
      <alignment horizontal="center" vertical="center"/>
    </xf>
    <xf numFmtId="0" fontId="57" fillId="0" borderId="14" xfId="0" applyFont="1" applyBorder="1" applyAlignment="1">
      <alignment horizontal="center" vertical="center"/>
    </xf>
    <xf numFmtId="0" fontId="6" fillId="34" borderId="28" xfId="0" applyFont="1" applyFill="1" applyBorder="1" applyAlignment="1">
      <alignment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4" borderId="31" xfId="0" applyFont="1" applyFill="1" applyBorder="1" applyAlignment="1">
      <alignment horizontal="center" vertical="center" wrapText="1"/>
    </xf>
    <xf numFmtId="0" fontId="7" fillId="34" borderId="32" xfId="0" applyFont="1" applyFill="1" applyBorder="1" applyAlignment="1">
      <alignment horizontal="center" vertical="center" wrapText="1"/>
    </xf>
    <xf numFmtId="0" fontId="54" fillId="0" borderId="13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1" fontId="2" fillId="0" borderId="13" xfId="0" applyNumberFormat="1" applyFont="1" applyBorder="1" applyAlignment="1">
      <alignment horizontal="center" vertical="center"/>
    </xf>
    <xf numFmtId="0" fontId="66" fillId="0" borderId="13" xfId="0" applyFont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0" fontId="66" fillId="0" borderId="14" xfId="0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48" fillId="0" borderId="13" xfId="0" applyFont="1" applyFill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Fill="1" applyBorder="1" applyAlignment="1">
      <alignment horizontal="left" vertical="center"/>
    </xf>
    <xf numFmtId="0" fontId="10" fillId="0" borderId="13" xfId="0" applyNumberFormat="1" applyFont="1" applyFill="1" applyBorder="1" applyAlignment="1">
      <alignment vertical="center"/>
    </xf>
    <xf numFmtId="0" fontId="10" fillId="0" borderId="13" xfId="0" applyNumberFormat="1" applyFont="1" applyFill="1" applyBorder="1" applyAlignment="1">
      <alignment horizontal="center" vertical="center"/>
    </xf>
    <xf numFmtId="165" fontId="63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left" vertical="center"/>
    </xf>
    <xf numFmtId="11" fontId="10" fillId="33" borderId="13" xfId="0" applyNumberFormat="1" applyFont="1" applyFill="1" applyBorder="1" applyAlignment="1">
      <alignment horizontal="center" vertical="center"/>
    </xf>
    <xf numFmtId="0" fontId="67" fillId="0" borderId="13" xfId="0" applyFont="1" applyBorder="1" applyAlignment="1">
      <alignment horizontal="center" vertical="center"/>
    </xf>
    <xf numFmtId="0" fontId="68" fillId="33" borderId="0" xfId="0" applyFont="1" applyFill="1" applyAlignment="1">
      <alignment horizontal="center" vertical="center"/>
    </xf>
    <xf numFmtId="0" fontId="69" fillId="33" borderId="0" xfId="0" applyFont="1" applyFill="1" applyBorder="1" applyAlignment="1">
      <alignment horizontal="center" vertical="center"/>
    </xf>
    <xf numFmtId="0" fontId="70" fillId="34" borderId="31" xfId="0" applyFont="1" applyFill="1" applyBorder="1" applyAlignment="1">
      <alignment horizontal="center" vertical="center" wrapText="1"/>
    </xf>
    <xf numFmtId="2" fontId="49" fillId="0" borderId="13" xfId="0" applyNumberFormat="1" applyFont="1" applyBorder="1" applyAlignment="1">
      <alignment horizontal="center" vertical="center"/>
    </xf>
    <xf numFmtId="0" fontId="49" fillId="0" borderId="13" xfId="0" applyNumberFormat="1" applyFont="1" applyBorder="1" applyAlignment="1">
      <alignment horizontal="left" vertical="center"/>
    </xf>
    <xf numFmtId="0" fontId="49" fillId="0" borderId="13" xfId="0" applyNumberFormat="1" applyFont="1" applyBorder="1" applyAlignment="1">
      <alignment vertical="center"/>
    </xf>
    <xf numFmtId="0" fontId="49" fillId="0" borderId="13" xfId="0" applyNumberFormat="1" applyFont="1" applyBorder="1" applyAlignment="1">
      <alignment horizontal="center" vertical="center"/>
    </xf>
    <xf numFmtId="0" fontId="2" fillId="0" borderId="13" xfId="0" applyNumberFormat="1" applyFont="1" applyBorder="1" applyAlignment="1">
      <alignment horizontal="left" vertical="center"/>
    </xf>
    <xf numFmtId="0" fontId="2" fillId="0" borderId="13" xfId="0" applyNumberFormat="1" applyFont="1" applyBorder="1" applyAlignment="1">
      <alignment vertical="center"/>
    </xf>
    <xf numFmtId="0" fontId="2" fillId="0" borderId="13" xfId="0" applyNumberFormat="1" applyFont="1" applyBorder="1" applyAlignment="1">
      <alignment horizontal="center" vertical="center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4" fontId="12" fillId="0" borderId="13" xfId="0" applyNumberFormat="1" applyFont="1" applyFill="1" applyBorder="1" applyAlignment="1">
      <alignment horizontal="center" vertical="center"/>
    </xf>
    <xf numFmtId="14" fontId="13" fillId="0" borderId="13" xfId="0" applyNumberFormat="1" applyFont="1" applyFill="1" applyBorder="1" applyAlignment="1">
      <alignment horizontal="center" vertical="center"/>
    </xf>
    <xf numFmtId="14" fontId="13" fillId="0" borderId="14" xfId="0" applyNumberFormat="1" applyFont="1" applyFill="1" applyBorder="1" applyAlignment="1">
      <alignment horizontal="center" vertical="center"/>
    </xf>
    <xf numFmtId="165" fontId="71" fillId="0" borderId="13" xfId="0" applyNumberFormat="1" applyFont="1" applyFill="1" applyBorder="1" applyAlignment="1">
      <alignment horizontal="center" vertical="center"/>
    </xf>
    <xf numFmtId="0" fontId="71" fillId="0" borderId="13" xfId="0" applyFont="1" applyBorder="1" applyAlignment="1">
      <alignment horizontal="center" vertical="center"/>
    </xf>
    <xf numFmtId="0" fontId="72" fillId="0" borderId="13" xfId="0" applyFont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7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11" fontId="10" fillId="0" borderId="13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left" vertical="center"/>
    </xf>
    <xf numFmtId="0" fontId="10" fillId="0" borderId="13" xfId="0" applyNumberFormat="1" applyFont="1" applyBorder="1" applyAlignment="1">
      <alignment vertical="center"/>
    </xf>
    <xf numFmtId="0" fontId="10" fillId="0" borderId="13" xfId="0" applyNumberFormat="1" applyFont="1" applyBorder="1" applyAlignment="1">
      <alignment horizontal="center" vertical="center"/>
    </xf>
    <xf numFmtId="0" fontId="75" fillId="0" borderId="13" xfId="0" applyFont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2" fontId="76" fillId="0" borderId="13" xfId="0" applyNumberFormat="1" applyFont="1" applyFill="1" applyBorder="1" applyAlignment="1">
      <alignment horizontal="center" vertical="center"/>
    </xf>
    <xf numFmtId="0" fontId="76" fillId="0" borderId="13" xfId="0" applyNumberFormat="1" applyFont="1" applyFill="1" applyBorder="1" applyAlignment="1">
      <alignment horizontal="left" vertical="center"/>
    </xf>
    <xf numFmtId="0" fontId="76" fillId="0" borderId="13" xfId="0" applyNumberFormat="1" applyFont="1" applyFill="1" applyBorder="1" applyAlignment="1">
      <alignment vertical="center"/>
    </xf>
    <xf numFmtId="0" fontId="76" fillId="0" borderId="13" xfId="0" applyNumberFormat="1" applyFont="1" applyFill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77" fillId="33" borderId="0" xfId="0" applyFont="1" applyFill="1" applyBorder="1" applyAlignment="1">
      <alignment horizontal="left" vertical="center"/>
    </xf>
    <xf numFmtId="14" fontId="77" fillId="33" borderId="0" xfId="0" applyNumberFormat="1" applyFont="1" applyFill="1" applyBorder="1" applyAlignment="1">
      <alignment vertical="center"/>
    </xf>
    <xf numFmtId="0" fontId="7" fillId="33" borderId="0" xfId="0" applyFont="1" applyFill="1" applyBorder="1" applyAlignment="1">
      <alignment horizontal="left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78" fillId="0" borderId="0" xfId="0" applyFont="1" applyFill="1" applyAlignment="1">
      <alignment horizontal="left" vertical="center"/>
    </xf>
    <xf numFmtId="0" fontId="79" fillId="0" borderId="0" xfId="0" applyFont="1" applyFill="1" applyBorder="1" applyAlignment="1">
      <alignment horizontal="left" vertical="center"/>
    </xf>
    <xf numFmtId="0" fontId="80" fillId="0" borderId="13" xfId="0" applyFont="1" applyBorder="1" applyAlignment="1">
      <alignment horizontal="center" vertical="center"/>
    </xf>
    <xf numFmtId="165" fontId="81" fillId="0" borderId="13" xfId="0" applyNumberFormat="1" applyFont="1" applyFill="1" applyBorder="1" applyAlignment="1">
      <alignment horizontal="center" vertical="center"/>
    </xf>
    <xf numFmtId="0" fontId="81" fillId="0" borderId="13" xfId="0" applyFont="1" applyBorder="1" applyAlignment="1">
      <alignment horizontal="center" vertical="center"/>
    </xf>
    <xf numFmtId="0" fontId="82" fillId="0" borderId="13" xfId="0" applyFont="1" applyBorder="1" applyAlignment="1">
      <alignment horizontal="center" vertical="center"/>
    </xf>
    <xf numFmtId="11" fontId="49" fillId="0" borderId="13" xfId="0" applyNumberFormat="1" applyFont="1" applyBorder="1" applyAlignment="1">
      <alignment horizontal="center" vertical="center"/>
    </xf>
    <xf numFmtId="49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left" vertical="center"/>
    </xf>
    <xf numFmtId="0" fontId="2" fillId="0" borderId="35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82" fillId="0" borderId="35" xfId="0" applyFont="1" applyBorder="1" applyAlignment="1">
      <alignment horizontal="center" vertical="center"/>
    </xf>
    <xf numFmtId="0" fontId="72" fillId="0" borderId="35" xfId="0" applyFont="1" applyBorder="1" applyAlignment="1">
      <alignment horizontal="center" vertical="center"/>
    </xf>
    <xf numFmtId="0" fontId="50" fillId="0" borderId="35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0" fontId="82" fillId="0" borderId="14" xfId="0" applyFont="1" applyBorder="1" applyAlignment="1">
      <alignment horizontal="center" vertical="center"/>
    </xf>
    <xf numFmtId="0" fontId="72" fillId="0" borderId="14" xfId="0" applyFont="1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164" fontId="84" fillId="0" borderId="13" xfId="0" applyNumberFormat="1" applyFont="1" applyFill="1" applyBorder="1" applyAlignment="1">
      <alignment horizontal="center" vertical="center"/>
    </xf>
    <xf numFmtId="164" fontId="10" fillId="33" borderId="13" xfId="0" applyNumberFormat="1" applyFont="1" applyFill="1" applyBorder="1" applyAlignment="1">
      <alignment horizontal="center" vertical="center"/>
    </xf>
    <xf numFmtId="164" fontId="84" fillId="33" borderId="13" xfId="0" applyNumberFormat="1" applyFont="1" applyFill="1" applyBorder="1" applyAlignment="1">
      <alignment horizontal="center" vertical="center"/>
    </xf>
    <xf numFmtId="164" fontId="85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85" fillId="0" borderId="35" xfId="0" applyNumberFormat="1" applyFont="1" applyFill="1" applyBorder="1" applyAlignment="1">
      <alignment horizontal="center" vertical="center"/>
    </xf>
    <xf numFmtId="164" fontId="85" fillId="0" borderId="14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 wrapText="1"/>
    </xf>
    <xf numFmtId="14" fontId="11" fillId="0" borderId="13" xfId="0" applyNumberFormat="1" applyFont="1" applyFill="1" applyBorder="1" applyAlignment="1">
      <alignment horizontal="center" vertical="center"/>
    </xf>
    <xf numFmtId="0" fontId="6" fillId="34" borderId="33" xfId="0" applyFont="1" applyFill="1" applyBorder="1" applyAlignment="1">
      <alignment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vertical="center" wrapText="1"/>
    </xf>
    <xf numFmtId="0" fontId="87" fillId="44" borderId="14" xfId="0" applyFont="1" applyFill="1" applyBorder="1" applyAlignment="1">
      <alignment horizontal="center" vertical="center"/>
    </xf>
    <xf numFmtId="0" fontId="87" fillId="0" borderId="14" xfId="0" applyFont="1" applyFill="1" applyBorder="1" applyAlignment="1">
      <alignment horizontal="center" vertical="center"/>
    </xf>
    <xf numFmtId="170" fontId="88" fillId="44" borderId="10" xfId="49130" applyNumberFormat="1" applyFont="1" applyFill="1" applyBorder="1" applyAlignment="1">
      <alignment horizontal="center" vertical="center"/>
    </xf>
    <xf numFmtId="170" fontId="88" fillId="0" borderId="10" xfId="49130" applyNumberFormat="1" applyFont="1" applyFill="1" applyBorder="1" applyAlignment="1">
      <alignment horizontal="center" vertical="center"/>
    </xf>
    <xf numFmtId="49" fontId="88" fillId="44" borderId="24" xfId="0" applyNumberFormat="1" applyFont="1" applyFill="1" applyBorder="1" applyAlignment="1">
      <alignment horizontal="center" vertical="center" shrinkToFit="1"/>
    </xf>
    <xf numFmtId="49" fontId="88" fillId="0" borderId="24" xfId="0" applyNumberFormat="1" applyFont="1" applyFill="1" applyBorder="1" applyAlignment="1">
      <alignment horizontal="center" vertical="center" shrinkToFit="1"/>
    </xf>
    <xf numFmtId="0" fontId="0" fillId="44" borderId="33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vertical="center"/>
    </xf>
    <xf numFmtId="169" fontId="94" fillId="0" borderId="0" xfId="0" applyNumberFormat="1" applyFont="1" applyFill="1" applyAlignment="1">
      <alignment vertical="center"/>
    </xf>
    <xf numFmtId="169" fontId="95" fillId="0" borderId="0" xfId="0" applyNumberFormat="1" applyFont="1" applyFill="1" applyAlignment="1">
      <alignment vertical="center"/>
    </xf>
    <xf numFmtId="168" fontId="96" fillId="44" borderId="38" xfId="0" applyNumberFormat="1" applyFont="1" applyFill="1" applyBorder="1" applyAlignment="1">
      <alignment horizontal="center" vertical="center"/>
    </xf>
    <xf numFmtId="168" fontId="88" fillId="44" borderId="38" xfId="0" applyNumberFormat="1" applyFont="1" applyFill="1" applyBorder="1" applyAlignment="1">
      <alignment horizontal="center" vertical="center"/>
    </xf>
    <xf numFmtId="168" fontId="96" fillId="0" borderId="38" xfId="0" applyNumberFormat="1" applyFont="1" applyFill="1" applyBorder="1" applyAlignment="1">
      <alignment horizontal="center" vertical="center"/>
    </xf>
    <xf numFmtId="168" fontId="96" fillId="45" borderId="38" xfId="0" applyNumberFormat="1" applyFont="1" applyFill="1" applyBorder="1" applyAlignment="1">
      <alignment horizontal="center" vertical="center"/>
    </xf>
    <xf numFmtId="168" fontId="88" fillId="0" borderId="38" xfId="0" applyNumberFormat="1" applyFont="1" applyFill="1" applyBorder="1" applyAlignment="1">
      <alignment horizontal="center" vertical="center"/>
    </xf>
    <xf numFmtId="168" fontId="88" fillId="45" borderId="38" xfId="0" applyNumberFormat="1" applyFont="1" applyFill="1" applyBorder="1" applyAlignment="1">
      <alignment horizontal="center" vertical="center"/>
    </xf>
    <xf numFmtId="169" fontId="96" fillId="44" borderId="24" xfId="0" applyNumberFormat="1" applyFont="1" applyFill="1" applyBorder="1" applyAlignment="1">
      <alignment horizontal="center" vertical="center"/>
    </xf>
    <xf numFmtId="169" fontId="96" fillId="0" borderId="24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horizontal="left" vertical="center"/>
    </xf>
    <xf numFmtId="169" fontId="96" fillId="44" borderId="35" xfId="0" applyNumberFormat="1" applyFont="1" applyFill="1" applyBorder="1" applyAlignment="1">
      <alignment horizontal="center" vertical="center"/>
    </xf>
    <xf numFmtId="169" fontId="96" fillId="0" borderId="35" xfId="0" applyNumberFormat="1" applyFont="1" applyFill="1" applyBorder="1" applyAlignment="1">
      <alignment horizontal="center" vertical="center"/>
    </xf>
    <xf numFmtId="169" fontId="96" fillId="44" borderId="33" xfId="0" applyNumberFormat="1" applyFont="1" applyFill="1" applyBorder="1" applyAlignment="1">
      <alignment horizontal="center" vertical="center"/>
    </xf>
    <xf numFmtId="169" fontId="96" fillId="0" borderId="33" xfId="0" applyNumberFormat="1" applyFont="1" applyFill="1" applyBorder="1" applyAlignment="1">
      <alignment horizontal="center" vertical="center"/>
    </xf>
    <xf numFmtId="0" fontId="60" fillId="0" borderId="79" xfId="0" applyFont="1" applyFill="1" applyBorder="1" applyAlignment="1">
      <alignment horizontal="left" vertical="center"/>
    </xf>
    <xf numFmtId="0" fontId="59" fillId="0" borderId="79" xfId="0" applyFont="1" applyFill="1" applyBorder="1" applyAlignment="1">
      <alignment horizontal="left" vertical="center"/>
    </xf>
    <xf numFmtId="169" fontId="97" fillId="44" borderId="28" xfId="0" applyNumberFormat="1" applyFont="1" applyFill="1" applyBorder="1" applyAlignment="1">
      <alignment horizontal="center" vertical="center"/>
    </xf>
    <xf numFmtId="169" fontId="98" fillId="44" borderId="28" xfId="0" applyNumberFormat="1" applyFont="1" applyFill="1" applyBorder="1" applyAlignment="1">
      <alignment horizontal="center" vertical="center"/>
    </xf>
    <xf numFmtId="169" fontId="97" fillId="0" borderId="28" xfId="0" applyNumberFormat="1" applyFont="1" applyFill="1" applyBorder="1" applyAlignment="1">
      <alignment horizontal="center" vertical="center"/>
    </xf>
    <xf numFmtId="169" fontId="97" fillId="0" borderId="34" xfId="0" applyNumberFormat="1" applyFont="1" applyFill="1" applyBorder="1" applyAlignment="1">
      <alignment horizontal="center" vertical="center"/>
    </xf>
    <xf numFmtId="169" fontId="97" fillId="0" borderId="33" xfId="0" applyNumberFormat="1" applyFont="1" applyFill="1" applyBorder="1" applyAlignment="1">
      <alignment horizontal="center" vertical="center"/>
    </xf>
    <xf numFmtId="169" fontId="99" fillId="0" borderId="0" xfId="0" applyNumberFormat="1" applyFont="1" applyFill="1" applyAlignment="1">
      <alignment vertical="center"/>
    </xf>
    <xf numFmtId="0" fontId="60" fillId="0" borderId="80" xfId="0" applyFont="1" applyFill="1" applyBorder="1" applyAlignment="1">
      <alignment horizontal="left" vertical="center"/>
    </xf>
    <xf numFmtId="0" fontId="59" fillId="0" borderId="80" xfId="0" applyFont="1" applyFill="1" applyBorder="1" applyAlignment="1">
      <alignment horizontal="left" vertical="center"/>
    </xf>
    <xf numFmtId="169" fontId="97" fillId="44" borderId="13" xfId="0" applyNumberFormat="1" applyFont="1" applyFill="1" applyBorder="1" applyAlignment="1">
      <alignment horizontal="center" vertical="center"/>
    </xf>
    <xf numFmtId="169" fontId="98" fillId="44" borderId="13" xfId="0" applyNumberFormat="1" applyFont="1" applyFill="1" applyBorder="1" applyAlignment="1">
      <alignment horizontal="center" vertical="center"/>
    </xf>
    <xf numFmtId="169" fontId="97" fillId="43" borderId="13" xfId="0" applyNumberFormat="1" applyFont="1" applyFill="1" applyBorder="1" applyAlignment="1">
      <alignment horizontal="center" vertical="center"/>
    </xf>
    <xf numFmtId="169" fontId="97" fillId="0" borderId="13" xfId="0" applyNumberFormat="1" applyFont="1" applyFill="1" applyBorder="1" applyAlignment="1">
      <alignment horizontal="center" vertical="center"/>
    </xf>
    <xf numFmtId="169" fontId="97" fillId="0" borderId="21" xfId="0" applyNumberFormat="1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left" vertical="center"/>
    </xf>
    <xf numFmtId="0" fontId="59" fillId="0" borderId="81" xfId="0" applyFont="1" applyFill="1" applyBorder="1" applyAlignment="1">
      <alignment horizontal="left" vertical="center"/>
    </xf>
    <xf numFmtId="169" fontId="97" fillId="44" borderId="14" xfId="0" applyNumberFormat="1" applyFont="1" applyFill="1" applyBorder="1" applyAlignment="1">
      <alignment horizontal="center" vertical="center"/>
    </xf>
    <xf numFmtId="169" fontId="98" fillId="44" borderId="14" xfId="0" applyNumberFormat="1" applyFont="1" applyFill="1" applyBorder="1" applyAlignment="1">
      <alignment horizontal="center" vertical="center"/>
    </xf>
    <xf numFmtId="169" fontId="97" fillId="0" borderId="14" xfId="0" applyNumberFormat="1" applyFont="1" applyFill="1" applyBorder="1" applyAlignment="1">
      <alignment horizontal="center" vertical="center"/>
    </xf>
    <xf numFmtId="169" fontId="97" fillId="44" borderId="66" xfId="0" applyNumberFormat="1" applyFont="1" applyFill="1" applyBorder="1" applyAlignment="1">
      <alignment horizontal="center" vertical="center"/>
    </xf>
    <xf numFmtId="169" fontId="98" fillId="44" borderId="66" xfId="0" applyNumberFormat="1" applyFont="1" applyFill="1" applyBorder="1" applyAlignment="1">
      <alignment horizontal="center" vertical="center"/>
    </xf>
    <xf numFmtId="169" fontId="97" fillId="0" borderId="66" xfId="0" applyNumberFormat="1" applyFont="1" applyFill="1" applyBorder="1" applyAlignment="1">
      <alignment horizontal="center" vertical="center"/>
    </xf>
    <xf numFmtId="169" fontId="96" fillId="44" borderId="85" xfId="0" applyNumberFormat="1" applyFont="1" applyFill="1" applyBorder="1" applyAlignment="1">
      <alignment horizontal="center" vertical="center"/>
    </xf>
    <xf numFmtId="169" fontId="96" fillId="0" borderId="85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Border="1" applyAlignment="1">
      <alignment vertical="center"/>
    </xf>
    <xf numFmtId="169" fontId="96" fillId="44" borderId="87" xfId="0" applyNumberFormat="1" applyFont="1" applyFill="1" applyBorder="1" applyAlignment="1">
      <alignment horizontal="center" vertical="center"/>
    </xf>
    <xf numFmtId="169" fontId="96" fillId="0" borderId="87" xfId="0" applyNumberFormat="1" applyFont="1" applyFill="1" applyBorder="1" applyAlignment="1">
      <alignment horizontal="center" vertical="center"/>
    </xf>
    <xf numFmtId="172" fontId="86" fillId="44" borderId="88" xfId="0" applyNumberFormat="1" applyFont="1" applyFill="1" applyBorder="1" applyAlignment="1">
      <alignment horizontal="center" vertical="center"/>
    </xf>
    <xf numFmtId="172" fontId="86" fillId="0" borderId="88" xfId="0" applyNumberFormat="1" applyFont="1" applyFill="1" applyBorder="1" applyAlignment="1">
      <alignment horizontal="center" vertical="center"/>
    </xf>
    <xf numFmtId="0" fontId="88" fillId="44" borderId="33" xfId="0" applyFont="1" applyFill="1" applyBorder="1" applyAlignment="1">
      <alignment horizontal="center" vertical="center"/>
    </xf>
    <xf numFmtId="0" fontId="88" fillId="0" borderId="33" xfId="0" applyFont="1" applyFill="1" applyBorder="1" applyAlignment="1">
      <alignment horizontal="center" vertical="center"/>
    </xf>
    <xf numFmtId="0" fontId="88" fillId="0" borderId="0" xfId="0" applyFont="1"/>
    <xf numFmtId="0" fontId="96" fillId="44" borderId="14" xfId="0" applyFont="1" applyFill="1" applyBorder="1" applyAlignment="1">
      <alignment horizontal="center" vertical="center"/>
    </xf>
    <xf numFmtId="0" fontId="96" fillId="0" borderId="14" xfId="0" applyFont="1" applyFill="1" applyBorder="1" applyAlignment="1">
      <alignment horizontal="center" vertical="center"/>
    </xf>
    <xf numFmtId="0" fontId="47" fillId="0" borderId="12" xfId="0" applyNumberFormat="1" applyFont="1" applyFill="1" applyBorder="1" applyAlignment="1">
      <alignment horizontal="left" vertical="center"/>
    </xf>
    <xf numFmtId="0" fontId="47" fillId="0" borderId="20" xfId="0" applyNumberFormat="1" applyFont="1" applyFill="1" applyBorder="1" applyAlignment="1">
      <alignment horizontal="left" vertical="center"/>
    </xf>
    <xf numFmtId="168" fontId="88" fillId="46" borderId="38" xfId="0" applyNumberFormat="1" applyFont="1" applyFill="1" applyBorder="1" applyAlignment="1">
      <alignment horizontal="center" vertical="center"/>
    </xf>
    <xf numFmtId="0" fontId="47" fillId="0" borderId="39" xfId="0" applyNumberFormat="1" applyFont="1" applyFill="1" applyBorder="1" applyAlignment="1">
      <alignment horizontal="left" vertical="center"/>
    </xf>
    <xf numFmtId="1" fontId="96" fillId="44" borderId="28" xfId="0" applyNumberFormat="1" applyFont="1" applyFill="1" applyBorder="1" applyAlignment="1">
      <alignment horizontal="center" vertical="center"/>
    </xf>
    <xf numFmtId="1" fontId="88" fillId="44" borderId="28" xfId="0" applyNumberFormat="1" applyFont="1" applyFill="1" applyBorder="1" applyAlignment="1">
      <alignment horizontal="center" vertical="center"/>
    </xf>
    <xf numFmtId="1" fontId="88" fillId="0" borderId="28" xfId="0" applyNumberFormat="1" applyFont="1" applyFill="1" applyBorder="1" applyAlignment="1">
      <alignment horizontal="center" vertical="center"/>
    </xf>
    <xf numFmtId="0" fontId="47" fillId="0" borderId="41" xfId="0" applyNumberFormat="1" applyFont="1" applyFill="1" applyBorder="1" applyAlignment="1">
      <alignment horizontal="left" vertical="center"/>
    </xf>
    <xf numFmtId="1" fontId="96" fillId="44" borderId="13" xfId="0" applyNumberFormat="1" applyFont="1" applyFill="1" applyBorder="1" applyAlignment="1">
      <alignment horizontal="center" vertical="center"/>
    </xf>
    <xf numFmtId="1" fontId="88" fillId="44" borderId="13" xfId="0" applyNumberFormat="1" applyFont="1" applyFill="1" applyBorder="1" applyAlignment="1">
      <alignment horizontal="center" vertical="center"/>
    </xf>
    <xf numFmtId="1" fontId="88" fillId="0" borderId="13" xfId="0" applyNumberFormat="1" applyFont="1" applyFill="1" applyBorder="1" applyAlignment="1">
      <alignment horizontal="center" vertical="center"/>
    </xf>
    <xf numFmtId="169" fontId="47" fillId="0" borderId="42" xfId="0" applyNumberFormat="1" applyFont="1" applyFill="1" applyBorder="1" applyAlignment="1">
      <alignment vertical="center"/>
    </xf>
    <xf numFmtId="169" fontId="96" fillId="44" borderId="14" xfId="0" applyNumberFormat="1" applyFont="1" applyFill="1" applyBorder="1" applyAlignment="1">
      <alignment horizontal="center" vertical="center"/>
    </xf>
    <xf numFmtId="169" fontId="96" fillId="0" borderId="14" xfId="0" applyNumberFormat="1" applyFont="1" applyFill="1" applyBorder="1" applyAlignment="1">
      <alignment horizontal="center" vertical="center"/>
    </xf>
    <xf numFmtId="0" fontId="47" fillId="0" borderId="43" xfId="49130" applyNumberFormat="1" applyFont="1" applyFill="1" applyBorder="1" applyAlignment="1">
      <alignment vertical="center"/>
    </xf>
    <xf numFmtId="169" fontId="47" fillId="0" borderId="22" xfId="0" applyNumberFormat="1" applyFont="1" applyFill="1" applyBorder="1" applyAlignment="1">
      <alignment horizontal="left" vertical="center"/>
    </xf>
    <xf numFmtId="169" fontId="47" fillId="0" borderId="23" xfId="0" applyNumberFormat="1" applyFont="1" applyFill="1" applyBorder="1" applyAlignment="1">
      <alignment horizontal="left" vertical="center"/>
    </xf>
    <xf numFmtId="169" fontId="47" fillId="0" borderId="45" xfId="0" applyNumberFormat="1" applyFont="1" applyFill="1" applyBorder="1" applyAlignment="1">
      <alignment vertical="center"/>
    </xf>
    <xf numFmtId="169" fontId="97" fillId="44" borderId="33" xfId="0" applyNumberFormat="1" applyFont="1" applyFill="1" applyBorder="1" applyAlignment="1">
      <alignment horizontal="center" vertical="center"/>
    </xf>
    <xf numFmtId="169" fontId="98" fillId="44" borderId="33" xfId="0" applyNumberFormat="1" applyFont="1" applyFill="1" applyBorder="1" applyAlignment="1">
      <alignment horizontal="center" vertical="center"/>
    </xf>
    <xf numFmtId="169" fontId="47" fillId="0" borderId="20" xfId="0" applyNumberFormat="1" applyFont="1" applyFill="1" applyBorder="1" applyAlignment="1">
      <alignment vertical="center"/>
    </xf>
    <xf numFmtId="169" fontId="97" fillId="44" borderId="10" xfId="0" applyNumberFormat="1" applyFont="1" applyFill="1" applyBorder="1" applyAlignment="1">
      <alignment horizontal="center" vertical="center"/>
    </xf>
    <xf numFmtId="169" fontId="98" fillId="44" borderId="10" xfId="0" applyNumberFormat="1" applyFont="1" applyFill="1" applyBorder="1" applyAlignment="1">
      <alignment horizontal="center" vertical="center"/>
    </xf>
    <xf numFmtId="169" fontId="97" fillId="0" borderId="10" xfId="0" applyNumberFormat="1" applyFont="1" applyFill="1" applyBorder="1" applyAlignment="1">
      <alignment horizontal="center" vertical="center"/>
    </xf>
    <xf numFmtId="169" fontId="102" fillId="0" borderId="48" xfId="0" applyNumberFormat="1" applyFont="1" applyFill="1" applyBorder="1" applyAlignment="1">
      <alignment vertical="center"/>
    </xf>
    <xf numFmtId="169" fontId="97" fillId="44" borderId="21" xfId="0" applyNumberFormat="1" applyFont="1" applyFill="1" applyBorder="1" applyAlignment="1">
      <alignment horizontal="center" vertical="center"/>
    </xf>
    <xf numFmtId="169" fontId="98" fillId="44" borderId="21" xfId="0" applyNumberFormat="1" applyFont="1" applyFill="1" applyBorder="1" applyAlignment="1">
      <alignment horizontal="center" vertical="center"/>
    </xf>
    <xf numFmtId="0" fontId="47" fillId="0" borderId="49" xfId="49130" applyNumberFormat="1" applyFont="1" applyFill="1" applyBorder="1" applyAlignment="1">
      <alignment horizontal="left" vertical="center"/>
    </xf>
    <xf numFmtId="0" fontId="88" fillId="44" borderId="35" xfId="49130" applyNumberFormat="1" applyFont="1" applyFill="1" applyBorder="1" applyAlignment="1">
      <alignment horizontal="center" vertical="center"/>
    </xf>
    <xf numFmtId="0" fontId="88" fillId="44" borderId="50" xfId="49130" applyNumberFormat="1" applyFont="1" applyFill="1" applyBorder="1" applyAlignment="1">
      <alignment horizontal="center" vertical="center"/>
    </xf>
    <xf numFmtId="0" fontId="88" fillId="0" borderId="35" xfId="49130" applyNumberFormat="1" applyFont="1" applyFill="1" applyBorder="1" applyAlignment="1">
      <alignment horizontal="center" vertical="center"/>
    </xf>
    <xf numFmtId="0" fontId="96" fillId="0" borderId="35" xfId="49130" applyNumberFormat="1" applyFont="1" applyFill="1" applyBorder="1" applyAlignment="1">
      <alignment horizontal="center" vertical="center"/>
    </xf>
    <xf numFmtId="0" fontId="96" fillId="0" borderId="51" xfId="49130" applyNumberFormat="1" applyFont="1" applyFill="1" applyBorder="1" applyAlignment="1">
      <alignment horizontal="center" vertical="center"/>
    </xf>
    <xf numFmtId="0" fontId="96" fillId="44" borderId="51" xfId="49130" applyNumberFormat="1" applyFont="1" applyFill="1" applyBorder="1" applyAlignment="1">
      <alignment horizontal="center" vertical="center"/>
    </xf>
    <xf numFmtId="0" fontId="96" fillId="0" borderId="52" xfId="49130" applyNumberFormat="1" applyFont="1" applyFill="1" applyBorder="1" applyAlignment="1">
      <alignment horizontal="center" vertical="center"/>
    </xf>
    <xf numFmtId="0" fontId="47" fillId="0" borderId="54" xfId="49130" applyNumberFormat="1" applyFont="1" applyFill="1" applyBorder="1" applyAlignment="1">
      <alignment horizontal="left" vertical="center"/>
    </xf>
    <xf numFmtId="38" fontId="88" fillId="44" borderId="55" xfId="49130" applyNumberFormat="1" applyFont="1" applyFill="1" applyBorder="1" applyAlignment="1">
      <alignment horizontal="center" vertical="center"/>
    </xf>
    <xf numFmtId="38" fontId="88" fillId="44" borderId="56" xfId="49130" applyNumberFormat="1" applyFont="1" applyFill="1" applyBorder="1" applyAlignment="1">
      <alignment horizontal="center" vertical="center"/>
    </xf>
    <xf numFmtId="38" fontId="88" fillId="0" borderId="55" xfId="49130" applyNumberFormat="1" applyFont="1" applyFill="1" applyBorder="1" applyAlignment="1">
      <alignment horizontal="center" vertical="center"/>
    </xf>
    <xf numFmtId="38" fontId="96" fillId="0" borderId="55" xfId="49130" applyNumberFormat="1" applyFont="1" applyFill="1" applyBorder="1" applyAlignment="1">
      <alignment horizontal="center" vertical="center"/>
    </xf>
    <xf numFmtId="38" fontId="96" fillId="0" borderId="57" xfId="49130" applyNumberFormat="1" applyFont="1" applyFill="1" applyBorder="1" applyAlignment="1">
      <alignment horizontal="center" vertical="center"/>
    </xf>
    <xf numFmtId="38" fontId="96" fillId="44" borderId="57" xfId="49130" applyNumberFormat="1" applyFont="1" applyFill="1" applyBorder="1" applyAlignment="1">
      <alignment horizontal="center" vertical="center"/>
    </xf>
    <xf numFmtId="38" fontId="96" fillId="0" borderId="58" xfId="49130" applyNumberFormat="1" applyFont="1" applyFill="1" applyBorder="1" applyAlignment="1">
      <alignment horizontal="center" vertical="center"/>
    </xf>
    <xf numFmtId="0" fontId="47" fillId="0" borderId="42" xfId="49130" applyNumberFormat="1" applyFont="1" applyFill="1" applyBorder="1" applyAlignment="1">
      <alignment horizontal="left" vertical="center"/>
    </xf>
    <xf numFmtId="38" fontId="88" fillId="44" borderId="34" xfId="49130" applyNumberFormat="1" applyFont="1" applyFill="1" applyBorder="1" applyAlignment="1">
      <alignment horizontal="center" vertical="center"/>
    </xf>
    <xf numFmtId="38" fontId="88" fillId="44" borderId="60" xfId="49130" applyNumberFormat="1" applyFont="1" applyFill="1" applyBorder="1" applyAlignment="1">
      <alignment horizontal="center" vertical="center"/>
    </xf>
    <xf numFmtId="38" fontId="88" fillId="0" borderId="34" xfId="49130" applyNumberFormat="1" applyFont="1" applyFill="1" applyBorder="1" applyAlignment="1">
      <alignment horizontal="center" vertical="center"/>
    </xf>
    <xf numFmtId="38" fontId="96" fillId="0" borderId="34" xfId="49130" applyNumberFormat="1" applyFont="1" applyFill="1" applyBorder="1" applyAlignment="1">
      <alignment horizontal="center" vertical="center"/>
    </xf>
    <xf numFmtId="38" fontId="96" fillId="0" borderId="61" xfId="49130" applyNumberFormat="1" applyFont="1" applyFill="1" applyBorder="1" applyAlignment="1">
      <alignment horizontal="center" vertical="center"/>
    </xf>
    <xf numFmtId="38" fontId="96" fillId="44" borderId="61" xfId="49130" applyNumberFormat="1" applyFont="1" applyFill="1" applyBorder="1" applyAlignment="1">
      <alignment horizontal="center" vertical="center"/>
    </xf>
    <xf numFmtId="38" fontId="96" fillId="0" borderId="62" xfId="49130" applyNumberFormat="1" applyFont="1" applyFill="1" applyBorder="1" applyAlignment="1">
      <alignment horizontal="center" vertical="center"/>
    </xf>
    <xf numFmtId="38" fontId="88" fillId="44" borderId="35" xfId="49130" applyNumberFormat="1" applyFont="1" applyFill="1" applyBorder="1" applyAlignment="1">
      <alignment horizontal="center" vertical="center"/>
    </xf>
    <xf numFmtId="38" fontId="88" fillId="44" borderId="50" xfId="49130" applyNumberFormat="1" applyFont="1" applyFill="1" applyBorder="1" applyAlignment="1">
      <alignment horizontal="center" vertical="center"/>
    </xf>
    <xf numFmtId="38" fontId="88" fillId="0" borderId="35" xfId="49130" applyNumberFormat="1" applyFont="1" applyFill="1" applyBorder="1" applyAlignment="1">
      <alignment horizontal="center" vertical="center"/>
    </xf>
    <xf numFmtId="38" fontId="96" fillId="0" borderId="35" xfId="49130" applyNumberFormat="1" applyFont="1" applyFill="1" applyBorder="1" applyAlignment="1">
      <alignment horizontal="center" vertical="center"/>
    </xf>
    <xf numFmtId="38" fontId="96" fillId="0" borderId="51" xfId="49130" applyNumberFormat="1" applyFont="1" applyFill="1" applyBorder="1" applyAlignment="1">
      <alignment horizontal="center" vertical="center"/>
    </xf>
    <xf numFmtId="38" fontId="96" fillId="44" borderId="51" xfId="49130" applyNumberFormat="1" applyFont="1" applyFill="1" applyBorder="1" applyAlignment="1">
      <alignment horizontal="center" vertical="center"/>
    </xf>
    <xf numFmtId="38" fontId="96" fillId="0" borderId="63" xfId="49130" applyNumberFormat="1" applyFont="1" applyFill="1" applyBorder="1" applyAlignment="1">
      <alignment horizontal="center" vertical="center"/>
    </xf>
    <xf numFmtId="169" fontId="60" fillId="0" borderId="65" xfId="0" applyNumberFormat="1" applyFont="1" applyFill="1" applyBorder="1" applyAlignment="1">
      <alignment vertical="center"/>
    </xf>
    <xf numFmtId="171" fontId="60" fillId="44" borderId="66" xfId="49130" applyNumberFormat="1" applyFont="1" applyFill="1" applyBorder="1" applyAlignment="1">
      <alignment horizontal="center" vertical="center"/>
    </xf>
    <xf numFmtId="171" fontId="60" fillId="0" borderId="66" xfId="49130" applyNumberFormat="1" applyFont="1" applyFill="1" applyBorder="1" applyAlignment="1">
      <alignment horizontal="center" vertical="center"/>
    </xf>
    <xf numFmtId="171" fontId="60" fillId="0" borderId="67" xfId="49130" applyNumberFormat="1" applyFont="1" applyFill="1" applyBorder="1" applyAlignment="1">
      <alignment horizontal="center" vertical="center"/>
    </xf>
    <xf numFmtId="171" fontId="60" fillId="44" borderId="67" xfId="49130" applyNumberFormat="1" applyFont="1" applyFill="1" applyBorder="1" applyAlignment="1">
      <alignment horizontal="center" vertical="center"/>
    </xf>
    <xf numFmtId="171" fontId="60" fillId="0" borderId="68" xfId="49130" applyNumberFormat="1" applyFont="1" applyFill="1" applyBorder="1" applyAlignment="1">
      <alignment horizontal="center" vertical="center"/>
    </xf>
    <xf numFmtId="172" fontId="60" fillId="44" borderId="70" xfId="49130" applyNumberFormat="1" applyFont="1" applyFill="1" applyBorder="1" applyAlignment="1">
      <alignment horizontal="center" vertical="center"/>
    </xf>
    <xf numFmtId="172" fontId="60" fillId="0" borderId="70" xfId="49130" applyNumberFormat="1" applyFont="1" applyFill="1" applyBorder="1" applyAlignment="1">
      <alignment horizontal="center" vertical="center"/>
    </xf>
    <xf numFmtId="172" fontId="60" fillId="44" borderId="71" xfId="49130" applyNumberFormat="1" applyFont="1" applyFill="1" applyBorder="1" applyAlignment="1">
      <alignment horizontal="center" vertical="center"/>
    </xf>
    <xf numFmtId="172" fontId="60" fillId="0" borderId="71" xfId="49130" applyNumberFormat="1" applyFont="1" applyFill="1" applyBorder="1" applyAlignment="1">
      <alignment horizontal="center" vertical="center"/>
    </xf>
    <xf numFmtId="172" fontId="60" fillId="44" borderId="72" xfId="49130" applyNumberFormat="1" applyFont="1" applyFill="1" applyBorder="1" applyAlignment="1">
      <alignment horizontal="center" vertical="center"/>
    </xf>
    <xf numFmtId="172" fontId="60" fillId="0" borderId="72" xfId="49130" applyNumberFormat="1" applyFont="1" applyFill="1" applyBorder="1" applyAlignment="1">
      <alignment horizontal="center" vertical="center"/>
    </xf>
    <xf numFmtId="169" fontId="60" fillId="0" borderId="73" xfId="0" applyNumberFormat="1" applyFont="1" applyFill="1" applyBorder="1" applyAlignment="1">
      <alignment vertical="center"/>
    </xf>
    <xf numFmtId="172" fontId="98" fillId="44" borderId="24" xfId="0" applyNumberFormat="1" applyFont="1" applyFill="1" applyBorder="1" applyAlignment="1">
      <alignment horizontal="center" vertical="center"/>
    </xf>
    <xf numFmtId="172" fontId="98" fillId="0" borderId="24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0" fontId="0" fillId="47" borderId="33" xfId="0" applyFill="1" applyBorder="1" applyAlignment="1">
      <alignment horizontal="center" vertical="center"/>
    </xf>
    <xf numFmtId="0" fontId="87" fillId="47" borderId="14" xfId="0" applyFont="1" applyFill="1" applyBorder="1" applyAlignment="1">
      <alignment horizontal="center" vertical="center"/>
    </xf>
    <xf numFmtId="168" fontId="96" fillId="46" borderId="38" xfId="0" applyNumberFormat="1" applyFont="1" applyFill="1" applyBorder="1" applyAlignment="1">
      <alignment horizontal="center" vertical="center"/>
    </xf>
    <xf numFmtId="168" fontId="88" fillId="47" borderId="38" xfId="0" applyNumberFormat="1" applyFont="1" applyFill="1" applyBorder="1" applyAlignment="1">
      <alignment horizontal="center" vertical="center"/>
    </xf>
    <xf numFmtId="169" fontId="96" fillId="47" borderId="24" xfId="0" applyNumberFormat="1" applyFont="1" applyFill="1" applyBorder="1" applyAlignment="1">
      <alignment horizontal="center" vertical="center"/>
    </xf>
    <xf numFmtId="169" fontId="96" fillId="47" borderId="35" xfId="0" applyNumberFormat="1" applyFont="1" applyFill="1" applyBorder="1" applyAlignment="1">
      <alignment horizontal="center" vertical="center"/>
    </xf>
    <xf numFmtId="169" fontId="96" fillId="47" borderId="33" xfId="0" applyNumberFormat="1" applyFont="1" applyFill="1" applyBorder="1" applyAlignment="1">
      <alignment horizontal="center" vertical="center"/>
    </xf>
    <xf numFmtId="169" fontId="97" fillId="47" borderId="28" xfId="0" applyNumberFormat="1" applyFont="1" applyFill="1" applyBorder="1" applyAlignment="1">
      <alignment horizontal="center" vertical="center"/>
    </xf>
    <xf numFmtId="169" fontId="97" fillId="47" borderId="13" xfId="0" applyNumberFormat="1" applyFont="1" applyFill="1" applyBorder="1" applyAlignment="1">
      <alignment horizontal="center" vertical="center"/>
    </xf>
    <xf numFmtId="169" fontId="97" fillId="47" borderId="14" xfId="0" applyNumberFormat="1" applyFont="1" applyFill="1" applyBorder="1" applyAlignment="1">
      <alignment horizontal="center" vertical="center"/>
    </xf>
    <xf numFmtId="169" fontId="97" fillId="47" borderId="66" xfId="0" applyNumberFormat="1" applyFont="1" applyFill="1" applyBorder="1" applyAlignment="1">
      <alignment horizontal="center" vertical="center"/>
    </xf>
    <xf numFmtId="169" fontId="96" fillId="47" borderId="85" xfId="0" applyNumberFormat="1" applyFont="1" applyFill="1" applyBorder="1" applyAlignment="1">
      <alignment horizontal="center" vertical="center"/>
    </xf>
    <xf numFmtId="169" fontId="96" fillId="47" borderId="87" xfId="0" applyNumberFormat="1" applyFont="1" applyFill="1" applyBorder="1" applyAlignment="1">
      <alignment horizontal="center" vertical="center"/>
    </xf>
    <xf numFmtId="172" fontId="86" fillId="47" borderId="88" xfId="0" applyNumberFormat="1" applyFont="1" applyFill="1" applyBorder="1" applyAlignment="1">
      <alignment horizontal="center" vertical="center"/>
    </xf>
    <xf numFmtId="0" fontId="46" fillId="0" borderId="12" xfId="0" applyNumberFormat="1" applyFont="1" applyFill="1" applyBorder="1" applyAlignment="1">
      <alignment horizontal="left" vertical="center"/>
    </xf>
    <xf numFmtId="0" fontId="46" fillId="0" borderId="20" xfId="0" applyNumberFormat="1" applyFont="1" applyFill="1" applyBorder="1" applyAlignment="1">
      <alignment horizontal="left" vertical="center"/>
    </xf>
    <xf numFmtId="168" fontId="103" fillId="45" borderId="38" xfId="0" applyNumberFormat="1" applyFont="1" applyFill="1" applyBorder="1" applyAlignment="1">
      <alignment horizontal="center" vertical="center"/>
    </xf>
    <xf numFmtId="168" fontId="103" fillId="46" borderId="38" xfId="0" applyNumberFormat="1" applyFont="1" applyFill="1" applyBorder="1" applyAlignment="1">
      <alignment horizontal="center" vertical="center"/>
    </xf>
    <xf numFmtId="168" fontId="103" fillId="44" borderId="38" xfId="0" applyNumberFormat="1" applyFont="1" applyFill="1" applyBorder="1" applyAlignment="1">
      <alignment horizontal="center" vertical="center"/>
    </xf>
    <xf numFmtId="168" fontId="103" fillId="0" borderId="38" xfId="0" applyNumberFormat="1" applyFont="1" applyFill="1" applyBorder="1" applyAlignment="1">
      <alignment horizontal="center" vertical="center"/>
    </xf>
    <xf numFmtId="169" fontId="104" fillId="0" borderId="0" xfId="0" applyNumberFormat="1" applyFont="1" applyFill="1" applyAlignment="1">
      <alignment vertical="center"/>
    </xf>
    <xf numFmtId="173" fontId="105" fillId="0" borderId="0" xfId="0" applyNumberFormat="1" applyFont="1" applyFill="1" applyAlignment="1">
      <alignment vertical="center"/>
    </xf>
    <xf numFmtId="169" fontId="105" fillId="0" borderId="0" xfId="0" applyNumberFormat="1" applyFont="1" applyFill="1" applyAlignment="1">
      <alignment horizontal="left" vertical="center"/>
    </xf>
    <xf numFmtId="169" fontId="0" fillId="0" borderId="0" xfId="0" applyNumberFormat="1" applyFill="1" applyAlignment="1">
      <alignment vertical="center"/>
    </xf>
    <xf numFmtId="0" fontId="46" fillId="0" borderId="39" xfId="0" applyNumberFormat="1" applyFont="1" applyFill="1" applyBorder="1" applyAlignment="1">
      <alignment horizontal="left" vertical="center"/>
    </xf>
    <xf numFmtId="1" fontId="106" fillId="0" borderId="28" xfId="0" applyNumberFormat="1" applyFont="1" applyFill="1" applyBorder="1" applyAlignment="1">
      <alignment horizontal="center" vertical="center"/>
    </xf>
    <xf numFmtId="1" fontId="103" fillId="0" borderId="28" xfId="0" applyNumberFormat="1" applyFont="1" applyFill="1" applyBorder="1" applyAlignment="1">
      <alignment horizontal="center" vertical="center"/>
    </xf>
    <xf numFmtId="1" fontId="103" fillId="44" borderId="28" xfId="0" applyNumberFormat="1" applyFont="1" applyFill="1" applyBorder="1" applyAlignment="1">
      <alignment horizontal="center" vertical="center"/>
    </xf>
    <xf numFmtId="1" fontId="106" fillId="44" borderId="28" xfId="0" applyNumberFormat="1" applyFont="1" applyFill="1" applyBorder="1" applyAlignment="1">
      <alignment horizontal="center" vertical="center"/>
    </xf>
    <xf numFmtId="174" fontId="107" fillId="0" borderId="0" xfId="0" applyNumberFormat="1" applyFont="1" applyFill="1" applyAlignment="1">
      <alignment vertical="center"/>
    </xf>
    <xf numFmtId="169" fontId="108" fillId="0" borderId="0" xfId="0" applyNumberFormat="1" applyFont="1" applyFill="1" applyAlignment="1">
      <alignment horizontal="left" vertical="center"/>
    </xf>
    <xf numFmtId="169" fontId="104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0" fontId="46" fillId="0" borderId="41" xfId="0" applyNumberFormat="1" applyFont="1" applyFill="1" applyBorder="1" applyAlignment="1">
      <alignment horizontal="left" vertical="center"/>
    </xf>
    <xf numFmtId="1" fontId="106" fillId="0" borderId="13" xfId="0" applyNumberFormat="1" applyFont="1" applyFill="1" applyBorder="1" applyAlignment="1">
      <alignment horizontal="center" vertical="center"/>
    </xf>
    <xf numFmtId="1" fontId="103" fillId="0" borderId="13" xfId="0" applyNumberFormat="1" applyFont="1" applyFill="1" applyBorder="1" applyAlignment="1">
      <alignment horizontal="center" vertical="center"/>
    </xf>
    <xf numFmtId="1" fontId="103" fillId="44" borderId="13" xfId="0" applyNumberFormat="1" applyFont="1" applyFill="1" applyBorder="1" applyAlignment="1">
      <alignment horizontal="center" vertical="center"/>
    </xf>
    <xf numFmtId="1" fontId="106" fillId="44" borderId="13" xfId="0" applyNumberFormat="1" applyFont="1" applyFill="1" applyBorder="1" applyAlignment="1">
      <alignment horizontal="center" vertical="center"/>
    </xf>
    <xf numFmtId="169" fontId="46" fillId="0" borderId="42" xfId="0" applyNumberFormat="1" applyFont="1" applyFill="1" applyBorder="1" applyAlignment="1">
      <alignment vertical="center"/>
    </xf>
    <xf numFmtId="169" fontId="106" fillId="0" borderId="14" xfId="0" applyNumberFormat="1" applyFont="1" applyFill="1" applyBorder="1" applyAlignment="1">
      <alignment horizontal="center" vertical="center"/>
    </xf>
    <xf numFmtId="169" fontId="106" fillId="44" borderId="14" xfId="0" applyNumberFormat="1" applyFont="1" applyFill="1" applyBorder="1" applyAlignment="1">
      <alignment horizontal="center" vertical="center"/>
    </xf>
    <xf numFmtId="174" fontId="109" fillId="0" borderId="0" xfId="0" applyNumberFormat="1" applyFont="1" applyFill="1" applyAlignment="1">
      <alignment vertical="center"/>
    </xf>
    <xf numFmtId="0" fontId="46" fillId="0" borderId="43" xfId="49130" applyNumberFormat="1" applyFont="1" applyFill="1" applyBorder="1" applyAlignment="1">
      <alignment vertical="center"/>
    </xf>
    <xf numFmtId="170" fontId="103" fillId="0" borderId="0" xfId="49130" applyNumberFormat="1" applyFont="1" applyFill="1" applyAlignment="1">
      <alignment vertical="center"/>
    </xf>
    <xf numFmtId="174" fontId="107" fillId="0" borderId="0" xfId="49130" applyNumberFormat="1" applyFont="1" applyFill="1" applyAlignment="1">
      <alignment vertical="center"/>
    </xf>
    <xf numFmtId="170" fontId="108" fillId="0" borderId="0" xfId="49130" applyNumberFormat="1" applyFont="1" applyFill="1" applyAlignment="1">
      <alignment horizontal="left" vertical="center"/>
    </xf>
    <xf numFmtId="169" fontId="46" fillId="0" borderId="22" xfId="0" applyNumberFormat="1" applyFont="1" applyFill="1" applyBorder="1" applyAlignment="1">
      <alignment horizontal="left" vertical="center"/>
    </xf>
    <xf numFmtId="169" fontId="46" fillId="0" borderId="23" xfId="0" applyNumberFormat="1" applyFont="1" applyFill="1" applyBorder="1" applyAlignment="1">
      <alignment horizontal="left" vertical="center"/>
    </xf>
    <xf numFmtId="169" fontId="46" fillId="0" borderId="45" xfId="0" applyNumberFormat="1" applyFont="1" applyFill="1" applyBorder="1" applyAlignment="1">
      <alignment vertical="center"/>
    </xf>
    <xf numFmtId="169" fontId="110" fillId="0" borderId="33" xfId="0" applyNumberFormat="1" applyFont="1" applyFill="1" applyBorder="1" applyAlignment="1">
      <alignment horizontal="center" vertical="center"/>
    </xf>
    <xf numFmtId="169" fontId="110" fillId="44" borderId="33" xfId="0" applyNumberFormat="1" applyFont="1" applyFill="1" applyBorder="1" applyAlignment="1">
      <alignment horizontal="center" vertical="center"/>
    </xf>
    <xf numFmtId="169" fontId="111" fillId="0" borderId="0" xfId="0" applyNumberFormat="1" applyFont="1" applyFill="1" applyAlignment="1">
      <alignment vertical="center"/>
    </xf>
    <xf numFmtId="174" fontId="112" fillId="0" borderId="0" xfId="0" applyNumberFormat="1" applyFont="1" applyFill="1" applyAlignment="1">
      <alignment vertical="center"/>
    </xf>
    <xf numFmtId="169" fontId="88" fillId="0" borderId="0" xfId="0" applyNumberFormat="1" applyFont="1" applyFill="1" applyAlignment="1">
      <alignment horizontal="left" vertical="center"/>
    </xf>
    <xf numFmtId="169" fontId="46" fillId="0" borderId="20" xfId="0" applyNumberFormat="1" applyFont="1" applyFill="1" applyBorder="1" applyAlignment="1">
      <alignment vertical="center"/>
    </xf>
    <xf numFmtId="169" fontId="110" fillId="0" borderId="10" xfId="0" applyNumberFormat="1" applyFont="1" applyFill="1" applyBorder="1" applyAlignment="1">
      <alignment horizontal="center" vertical="center"/>
    </xf>
    <xf numFmtId="169" fontId="110" fillId="44" borderId="10" xfId="0" applyNumberFormat="1" applyFont="1" applyFill="1" applyBorder="1" applyAlignment="1">
      <alignment horizontal="center" vertical="center"/>
    </xf>
    <xf numFmtId="169" fontId="113" fillId="0" borderId="48" xfId="0" applyNumberFormat="1" applyFont="1" applyFill="1" applyBorder="1" applyAlignment="1">
      <alignment vertical="center"/>
    </xf>
    <xf numFmtId="169" fontId="110" fillId="0" borderId="21" xfId="0" applyNumberFormat="1" applyFont="1" applyFill="1" applyBorder="1" applyAlignment="1">
      <alignment horizontal="center" vertical="center"/>
    </xf>
    <xf numFmtId="169" fontId="110" fillId="44" borderId="21" xfId="0" applyNumberFormat="1" applyFont="1" applyFill="1" applyBorder="1" applyAlignment="1">
      <alignment horizontal="center" vertical="center"/>
    </xf>
    <xf numFmtId="0" fontId="46" fillId="0" borderId="49" xfId="49130" applyNumberFormat="1" applyFont="1" applyFill="1" applyBorder="1" applyAlignment="1">
      <alignment horizontal="left" vertical="center"/>
    </xf>
    <xf numFmtId="0" fontId="103" fillId="0" borderId="35" xfId="49130" applyNumberFormat="1" applyFont="1" applyFill="1" applyBorder="1" applyAlignment="1">
      <alignment horizontal="center" vertical="center"/>
    </xf>
    <xf numFmtId="0" fontId="103" fillId="44" borderId="35" xfId="49130" applyNumberFormat="1" applyFont="1" applyFill="1" applyBorder="1" applyAlignment="1">
      <alignment horizontal="center" vertical="center"/>
    </xf>
    <xf numFmtId="0" fontId="103" fillId="44" borderId="50" xfId="49130" applyNumberFormat="1" applyFont="1" applyFill="1" applyBorder="1" applyAlignment="1">
      <alignment horizontal="center" vertical="center"/>
    </xf>
    <xf numFmtId="0" fontId="106" fillId="0" borderId="35" xfId="49130" applyNumberFormat="1" applyFont="1" applyFill="1" applyBorder="1" applyAlignment="1">
      <alignment horizontal="center" vertical="center"/>
    </xf>
    <xf numFmtId="0" fontId="106" fillId="0" borderId="51" xfId="49130" applyNumberFormat="1" applyFont="1" applyFill="1" applyBorder="1" applyAlignment="1">
      <alignment horizontal="center" vertical="center"/>
    </xf>
    <xf numFmtId="0" fontId="106" fillId="44" borderId="52" xfId="49130" applyNumberFormat="1" applyFont="1" applyFill="1" applyBorder="1" applyAlignment="1">
      <alignment horizontal="center" vertical="center"/>
    </xf>
    <xf numFmtId="170" fontId="88" fillId="0" borderId="0" xfId="49130" applyNumberFormat="1" applyFont="1" applyFill="1" applyAlignment="1">
      <alignment vertical="center"/>
    </xf>
    <xf numFmtId="174" fontId="107" fillId="0" borderId="89" xfId="49130" applyNumberFormat="1" applyFont="1" applyFill="1" applyBorder="1" applyAlignment="1">
      <alignment vertical="center"/>
    </xf>
    <xf numFmtId="170" fontId="47" fillId="0" borderId="0" xfId="49130" applyNumberFormat="1" applyFont="1" applyFill="1" applyAlignment="1">
      <alignment horizontal="left" vertical="center"/>
    </xf>
    <xf numFmtId="0" fontId="46" fillId="0" borderId="54" xfId="49130" applyNumberFormat="1" applyFont="1" applyFill="1" applyBorder="1" applyAlignment="1">
      <alignment horizontal="left" vertical="center"/>
    </xf>
    <xf numFmtId="38" fontId="103" fillId="0" borderId="55" xfId="49130" applyNumberFormat="1" applyFont="1" applyFill="1" applyBorder="1" applyAlignment="1">
      <alignment horizontal="center" vertical="center"/>
    </xf>
    <xf numFmtId="38" fontId="103" fillId="44" borderId="55" xfId="49130" applyNumberFormat="1" applyFont="1" applyFill="1" applyBorder="1" applyAlignment="1">
      <alignment horizontal="center" vertical="center"/>
    </xf>
    <xf numFmtId="38" fontId="103" fillId="44" borderId="56" xfId="49130" applyNumberFormat="1" applyFont="1" applyFill="1" applyBorder="1" applyAlignment="1">
      <alignment horizontal="center" vertical="center"/>
    </xf>
    <xf numFmtId="38" fontId="106" fillId="0" borderId="55" xfId="49130" applyNumberFormat="1" applyFont="1" applyFill="1" applyBorder="1" applyAlignment="1">
      <alignment horizontal="center" vertical="center"/>
    </xf>
    <xf numFmtId="38" fontId="106" fillId="0" borderId="57" xfId="49130" applyNumberFormat="1" applyFont="1" applyFill="1" applyBorder="1" applyAlignment="1">
      <alignment horizontal="center" vertical="center"/>
    </xf>
    <xf numFmtId="38" fontId="106" fillId="44" borderId="58" xfId="49130" applyNumberFormat="1" applyFont="1" applyFill="1" applyBorder="1" applyAlignment="1">
      <alignment horizontal="center" vertical="center"/>
    </xf>
    <xf numFmtId="174" fontId="107" fillId="0" borderId="0" xfId="49130" applyNumberFormat="1" applyFont="1" applyFill="1" applyBorder="1" applyAlignment="1">
      <alignment vertical="center"/>
    </xf>
    <xf numFmtId="0" fontId="46" fillId="0" borderId="42" xfId="49130" applyNumberFormat="1" applyFont="1" applyFill="1" applyBorder="1" applyAlignment="1">
      <alignment horizontal="left" vertical="center"/>
    </xf>
    <xf numFmtId="38" fontId="103" fillId="0" borderId="34" xfId="49130" applyNumberFormat="1" applyFont="1" applyFill="1" applyBorder="1" applyAlignment="1">
      <alignment horizontal="center" vertical="center"/>
    </xf>
    <xf numFmtId="38" fontId="103" fillId="44" borderId="34" xfId="49130" applyNumberFormat="1" applyFont="1" applyFill="1" applyBorder="1" applyAlignment="1">
      <alignment horizontal="center" vertical="center"/>
    </xf>
    <xf numFmtId="38" fontId="103" fillId="44" borderId="60" xfId="49130" applyNumberFormat="1" applyFont="1" applyFill="1" applyBorder="1" applyAlignment="1">
      <alignment horizontal="center" vertical="center"/>
    </xf>
    <xf numFmtId="38" fontId="106" fillId="0" borderId="34" xfId="49130" applyNumberFormat="1" applyFont="1" applyFill="1" applyBorder="1" applyAlignment="1">
      <alignment horizontal="center" vertical="center"/>
    </xf>
    <xf numFmtId="38" fontId="106" fillId="0" borderId="61" xfId="49130" applyNumberFormat="1" applyFont="1" applyFill="1" applyBorder="1" applyAlignment="1">
      <alignment horizontal="center" vertical="center"/>
    </xf>
    <xf numFmtId="38" fontId="106" fillId="44" borderId="62" xfId="49130" applyNumberFormat="1" applyFont="1" applyFill="1" applyBorder="1" applyAlignment="1">
      <alignment horizontal="center" vertical="center"/>
    </xf>
    <xf numFmtId="38" fontId="103" fillId="0" borderId="35" xfId="49130" applyNumberFormat="1" applyFont="1" applyFill="1" applyBorder="1" applyAlignment="1">
      <alignment horizontal="center" vertical="center"/>
    </xf>
    <xf numFmtId="38" fontId="103" fillId="44" borderId="35" xfId="49130" applyNumberFormat="1" applyFont="1" applyFill="1" applyBorder="1" applyAlignment="1">
      <alignment horizontal="center" vertical="center"/>
    </xf>
    <xf numFmtId="38" fontId="103" fillId="44" borderId="50" xfId="49130" applyNumberFormat="1" applyFont="1" applyFill="1" applyBorder="1" applyAlignment="1">
      <alignment horizontal="center" vertical="center"/>
    </xf>
    <xf numFmtId="38" fontId="106" fillId="0" borderId="35" xfId="49130" applyNumberFormat="1" applyFont="1" applyFill="1" applyBorder="1" applyAlignment="1">
      <alignment horizontal="center" vertical="center"/>
    </xf>
    <xf numFmtId="38" fontId="106" fillId="0" borderId="51" xfId="49130" applyNumberFormat="1" applyFont="1" applyFill="1" applyBorder="1" applyAlignment="1">
      <alignment horizontal="center" vertical="center"/>
    </xf>
    <xf numFmtId="38" fontId="106" fillId="44" borderId="63" xfId="49130" applyNumberFormat="1" applyFont="1" applyFill="1" applyBorder="1" applyAlignment="1">
      <alignment horizontal="center" vertical="center"/>
    </xf>
    <xf numFmtId="169" fontId="59" fillId="0" borderId="65" xfId="0" applyNumberFormat="1" applyFont="1" applyFill="1" applyBorder="1" applyAlignment="1">
      <alignment vertical="center"/>
    </xf>
    <xf numFmtId="171" fontId="59" fillId="0" borderId="66" xfId="49130" applyNumberFormat="1" applyFont="1" applyFill="1" applyBorder="1" applyAlignment="1">
      <alignment horizontal="center" vertical="center"/>
    </xf>
    <xf numFmtId="171" fontId="59" fillId="44" borderId="66" xfId="49130" applyNumberFormat="1" applyFont="1" applyFill="1" applyBorder="1" applyAlignment="1">
      <alignment horizontal="center" vertical="center"/>
    </xf>
    <xf numFmtId="171" fontId="59" fillId="0" borderId="67" xfId="49130" applyNumberFormat="1" applyFont="1" applyFill="1" applyBorder="1" applyAlignment="1">
      <alignment horizontal="center" vertical="center"/>
    </xf>
    <xf numFmtId="171" fontId="59" fillId="44" borderId="68" xfId="49130" applyNumberFormat="1" applyFont="1" applyFill="1" applyBorder="1" applyAlignment="1">
      <alignment horizontal="center" vertical="center"/>
    </xf>
    <xf numFmtId="171" fontId="114" fillId="0" borderId="0" xfId="49130" applyNumberFormat="1" applyFont="1" applyFill="1" applyBorder="1" applyAlignment="1">
      <alignment vertical="center"/>
    </xf>
    <xf numFmtId="174" fontId="115" fillId="0" borderId="0" xfId="49130" applyNumberFormat="1" applyFont="1" applyFill="1" applyBorder="1" applyAlignment="1">
      <alignment vertical="center"/>
    </xf>
    <xf numFmtId="171" fontId="116" fillId="0" borderId="0" xfId="49130" applyNumberFormat="1" applyFont="1" applyFill="1" applyBorder="1" applyAlignment="1">
      <alignment horizontal="left" vertical="center"/>
    </xf>
    <xf numFmtId="172" fontId="117" fillId="0" borderId="70" xfId="49130" applyNumberFormat="1" applyFont="1" applyFill="1" applyBorder="1" applyAlignment="1">
      <alignment horizontal="center" vertical="center"/>
    </xf>
    <xf numFmtId="172" fontId="117" fillId="44" borderId="70" xfId="49130" applyNumberFormat="1" applyFont="1" applyFill="1" applyBorder="1" applyAlignment="1">
      <alignment horizontal="center" vertical="center"/>
    </xf>
    <xf numFmtId="172" fontId="117" fillId="0" borderId="71" xfId="49130" applyNumberFormat="1" applyFont="1" applyFill="1" applyBorder="1" applyAlignment="1">
      <alignment horizontal="center" vertical="center"/>
    </xf>
    <xf numFmtId="172" fontId="117" fillId="44" borderId="71" xfId="49130" applyNumberFormat="1" applyFont="1" applyFill="1" applyBorder="1" applyAlignment="1">
      <alignment horizontal="center" vertical="center"/>
    </xf>
    <xf numFmtId="172" fontId="117" fillId="0" borderId="72" xfId="49130" applyNumberFormat="1" applyFont="1" applyFill="1" applyBorder="1" applyAlignment="1">
      <alignment horizontal="center" vertical="center"/>
    </xf>
    <xf numFmtId="172" fontId="117" fillId="44" borderId="72" xfId="49130" applyNumberFormat="1" applyFont="1" applyFill="1" applyBorder="1" applyAlignment="1">
      <alignment horizontal="center" vertical="center"/>
    </xf>
    <xf numFmtId="169" fontId="59" fillId="0" borderId="73" xfId="0" applyNumberFormat="1" applyFont="1" applyFill="1" applyBorder="1" applyAlignment="1">
      <alignment vertical="center"/>
    </xf>
    <xf numFmtId="172" fontId="118" fillId="0" borderId="24" xfId="0" applyNumberFormat="1" applyFont="1" applyFill="1" applyBorder="1" applyAlignment="1">
      <alignment horizontal="center" vertical="center"/>
    </xf>
    <xf numFmtId="172" fontId="118" fillId="44" borderId="24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46" borderId="0" xfId="0" applyFill="1"/>
    <xf numFmtId="175" fontId="0" fillId="46" borderId="0" xfId="0" applyNumberFormat="1" applyFill="1"/>
    <xf numFmtId="0" fontId="119" fillId="0" borderId="0" xfId="0" applyFont="1"/>
    <xf numFmtId="0" fontId="120" fillId="0" borderId="0" xfId="0" applyFont="1"/>
    <xf numFmtId="175" fontId="0" fillId="0" borderId="0" xfId="0" applyNumberFormat="1"/>
    <xf numFmtId="0" fontId="121" fillId="0" borderId="0" xfId="0" applyFont="1"/>
    <xf numFmtId="0" fontId="122" fillId="0" borderId="0" xfId="0" applyFont="1"/>
    <xf numFmtId="20" fontId="0" fillId="0" borderId="0" xfId="0" applyNumberFormat="1"/>
    <xf numFmtId="0" fontId="2" fillId="0" borderId="0" xfId="0" applyFont="1" applyAlignment="1">
      <alignment vertical="center"/>
    </xf>
    <xf numFmtId="175" fontId="2" fillId="33" borderId="0" xfId="0" applyNumberFormat="1" applyFont="1" applyFill="1" applyAlignment="1">
      <alignment horizontal="center" vertical="center"/>
    </xf>
    <xf numFmtId="175" fontId="5" fillId="33" borderId="0" xfId="0" applyNumberFormat="1" applyFont="1" applyFill="1" applyBorder="1" applyAlignment="1">
      <alignment horizontal="center" vertical="center"/>
    </xf>
    <xf numFmtId="175" fontId="5" fillId="33" borderId="0" xfId="0" applyNumberFormat="1" applyFont="1" applyFill="1" applyBorder="1" applyAlignment="1">
      <alignment horizontal="left" vertical="center"/>
    </xf>
    <xf numFmtId="175" fontId="6" fillId="33" borderId="0" xfId="0" applyNumberFormat="1" applyFont="1" applyFill="1" applyBorder="1" applyAlignment="1">
      <alignment horizontal="center" vertical="center"/>
    </xf>
    <xf numFmtId="175" fontId="7" fillId="34" borderId="28" xfId="0" applyNumberFormat="1" applyFont="1" applyFill="1" applyBorder="1" applyAlignment="1">
      <alignment horizontal="center" vertical="center" wrapText="1"/>
    </xf>
    <xf numFmtId="175" fontId="7" fillId="34" borderId="10" xfId="0" applyNumberFormat="1" applyFont="1" applyFill="1" applyBorder="1" applyAlignment="1">
      <alignment horizontal="center" vertical="center" wrapText="1"/>
    </xf>
    <xf numFmtId="175" fontId="3" fillId="0" borderId="13" xfId="0" applyNumberFormat="1" applyFont="1" applyFill="1" applyBorder="1" applyAlignment="1">
      <alignment horizontal="center" vertical="center"/>
    </xf>
    <xf numFmtId="175" fontId="3" fillId="0" borderId="13" xfId="0" applyNumberFormat="1" applyFont="1" applyBorder="1" applyAlignment="1">
      <alignment horizontal="center" vertical="center"/>
    </xf>
    <xf numFmtId="175" fontId="2" fillId="0" borderId="13" xfId="0" applyNumberFormat="1" applyFont="1" applyBorder="1" applyAlignment="1">
      <alignment horizontal="center" vertical="center"/>
    </xf>
    <xf numFmtId="175" fontId="2" fillId="0" borderId="35" xfId="0" applyNumberFormat="1" applyFont="1" applyBorder="1" applyAlignment="1">
      <alignment horizontal="center" vertical="center"/>
    </xf>
    <xf numFmtId="175" fontId="2" fillId="0" borderId="14" xfId="0" applyNumberFormat="1" applyFont="1" applyBorder="1" applyAlignment="1">
      <alignment horizontal="center" vertical="center"/>
    </xf>
    <xf numFmtId="175" fontId="2" fillId="0" borderId="0" xfId="0" applyNumberFormat="1" applyFont="1" applyAlignment="1">
      <alignment horizontal="center" vertical="center"/>
    </xf>
    <xf numFmtId="0" fontId="7" fillId="34" borderId="28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0" fontId="7" fillId="3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77" xfId="0" applyFont="1" applyBorder="1" applyAlignment="1">
      <alignment vertical="center"/>
    </xf>
    <xf numFmtId="49" fontId="7" fillId="34" borderId="28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59" fillId="34" borderId="28" xfId="0" applyFont="1" applyFill="1" applyBorder="1" applyAlignment="1">
      <alignment horizontal="center" vertical="center" wrapText="1"/>
    </xf>
    <xf numFmtId="0" fontId="59" fillId="34" borderId="10" xfId="0" applyFont="1" applyFill="1" applyBorder="1" applyAlignment="1">
      <alignment horizontal="center" vertical="center" wrapText="1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60" fillId="34" borderId="28" xfId="0" applyFont="1" applyFill="1" applyBorder="1" applyAlignment="1">
      <alignment horizontal="center" vertical="center" wrapText="1"/>
    </xf>
    <xf numFmtId="0" fontId="60" fillId="34" borderId="10" xfId="0" applyFont="1" applyFill="1" applyBorder="1" applyAlignment="1">
      <alignment horizontal="center" vertical="center" wrapText="1"/>
    </xf>
    <xf numFmtId="0" fontId="61" fillId="34" borderId="26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" fillId="34" borderId="28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22" xfId="0" applyFont="1" applyFill="1" applyBorder="1" applyAlignment="1">
      <alignment horizontal="center" vertical="center"/>
    </xf>
    <xf numFmtId="0" fontId="6" fillId="34" borderId="25" xfId="0" applyFont="1" applyFill="1" applyBorder="1" applyAlignment="1">
      <alignment horizontal="center" vertical="center"/>
    </xf>
    <xf numFmtId="0" fontId="6" fillId="34" borderId="23" xfId="0" applyFont="1" applyFill="1" applyBorder="1" applyAlignment="1">
      <alignment horizontal="center" vertical="center"/>
    </xf>
    <xf numFmtId="0" fontId="52" fillId="34" borderId="10" xfId="0" applyFont="1" applyFill="1" applyBorder="1" applyAlignment="1">
      <alignment horizontal="center" vertical="center" wrapText="1"/>
    </xf>
    <xf numFmtId="0" fontId="6" fillId="34" borderId="26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46" fillId="34" borderId="28" xfId="0" applyFont="1" applyFill="1" applyBorder="1" applyAlignment="1">
      <alignment horizontal="center" vertical="center" wrapText="1"/>
    </xf>
    <xf numFmtId="0" fontId="46" fillId="34" borderId="10" xfId="0" applyFont="1" applyFill="1" applyBorder="1" applyAlignment="1">
      <alignment horizontal="center" vertical="center" wrapText="1"/>
    </xf>
    <xf numFmtId="0" fontId="6" fillId="34" borderId="24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center" vertical="center" wrapText="1"/>
    </xf>
    <xf numFmtId="0" fontId="6" fillId="34" borderId="20" xfId="0" applyFont="1" applyFill="1" applyBorder="1" applyAlignment="1">
      <alignment horizontal="center" vertical="center" wrapText="1"/>
    </xf>
    <xf numFmtId="0" fontId="7" fillId="34" borderId="28" xfId="0" applyNumberFormat="1" applyFont="1" applyFill="1" applyBorder="1" applyAlignment="1">
      <alignment horizontal="center" vertical="center" wrapText="1"/>
    </xf>
    <xf numFmtId="0" fontId="7" fillId="34" borderId="10" xfId="0" applyNumberFormat="1" applyFont="1" applyFill="1" applyBorder="1" applyAlignment="1">
      <alignment horizontal="center" vertical="center" wrapText="1"/>
    </xf>
    <xf numFmtId="0" fontId="6" fillId="34" borderId="28" xfId="0" applyNumberFormat="1" applyFont="1" applyFill="1" applyBorder="1" applyAlignment="1">
      <alignment horizontal="center" vertical="center" wrapText="1"/>
    </xf>
    <xf numFmtId="0" fontId="6" fillId="34" borderId="10" xfId="0" applyNumberFormat="1" applyFont="1" applyFill="1" applyBorder="1" applyAlignment="1">
      <alignment horizontal="center" vertical="center" wrapText="1"/>
    </xf>
    <xf numFmtId="0" fontId="47" fillId="34" borderId="28" xfId="0" applyFont="1" applyFill="1" applyBorder="1" applyAlignment="1">
      <alignment horizontal="center" vertical="center" wrapText="1"/>
    </xf>
    <xf numFmtId="0" fontId="47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46" fillId="34" borderId="33" xfId="0" applyFont="1" applyFill="1" applyBorder="1" applyAlignment="1">
      <alignment horizontal="center" vertical="center" wrapText="1"/>
    </xf>
    <xf numFmtId="0" fontId="46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33" xfId="0" applyNumberFormat="1" applyFont="1" applyFill="1" applyBorder="1" applyAlignment="1">
      <alignment horizontal="center" vertical="center" wrapText="1"/>
    </xf>
    <xf numFmtId="0" fontId="6" fillId="34" borderId="13" xfId="0" applyNumberFormat="1" applyFont="1" applyFill="1" applyBorder="1" applyAlignment="1">
      <alignment horizontal="center" vertical="center" wrapText="1"/>
    </xf>
    <xf numFmtId="0" fontId="47" fillId="34" borderId="33" xfId="0" applyFont="1" applyFill="1" applyBorder="1" applyAlignment="1">
      <alignment horizontal="center" vertical="center" wrapText="1"/>
    </xf>
    <xf numFmtId="0" fontId="47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/>
    </xf>
    <xf numFmtId="0" fontId="6" fillId="34" borderId="13" xfId="0" applyFont="1" applyFill="1" applyBorder="1" applyAlignment="1">
      <alignment horizontal="center" vertical="center"/>
    </xf>
    <xf numFmtId="169" fontId="60" fillId="0" borderId="67" xfId="0" applyNumberFormat="1" applyFont="1" applyFill="1" applyBorder="1" applyAlignment="1">
      <alignment horizontal="left" vertical="center"/>
    </xf>
    <xf numFmtId="169" fontId="60" fillId="0" borderId="82" xfId="0" applyNumberFormat="1" applyFont="1" applyFill="1" applyBorder="1" applyAlignment="1">
      <alignment horizontal="left" vertical="center"/>
    </xf>
    <xf numFmtId="169" fontId="60" fillId="0" borderId="83" xfId="0" applyNumberFormat="1" applyFont="1" applyFill="1" applyBorder="1" applyAlignment="1">
      <alignment horizontal="center" vertical="center"/>
    </xf>
    <xf numFmtId="169" fontId="60" fillId="0" borderId="84" xfId="0" applyNumberFormat="1" applyFont="1" applyFill="1" applyBorder="1" applyAlignment="1">
      <alignment horizontal="center" vertical="center"/>
    </xf>
    <xf numFmtId="169" fontId="60" fillId="0" borderId="86" xfId="0" applyNumberFormat="1" applyFont="1" applyFill="1" applyBorder="1" applyAlignment="1">
      <alignment horizontal="left" vertical="center"/>
    </xf>
    <xf numFmtId="169" fontId="60" fillId="0" borderId="84" xfId="0" applyNumberFormat="1" applyFont="1" applyFill="1" applyBorder="1" applyAlignment="1">
      <alignment horizontal="left" vertical="center"/>
    </xf>
    <xf numFmtId="172" fontId="100" fillId="0" borderId="12" xfId="0" applyNumberFormat="1" applyFont="1" applyFill="1" applyBorder="1" applyAlignment="1">
      <alignment horizontal="left" vertical="center"/>
    </xf>
    <xf numFmtId="172" fontId="100" fillId="0" borderId="20" xfId="0" applyNumberFormat="1" applyFont="1" applyFill="1" applyBorder="1" applyAlignment="1">
      <alignment horizontal="left" vertical="center"/>
    </xf>
    <xf numFmtId="0" fontId="59" fillId="0" borderId="24" xfId="49131" applyFont="1" applyFill="1" applyBorder="1" applyAlignment="1">
      <alignment horizontal="center" vertical="center"/>
    </xf>
    <xf numFmtId="0" fontId="59" fillId="0" borderId="74" xfId="49131" applyFont="1" applyFill="1" applyBorder="1" applyAlignment="1">
      <alignment horizontal="center" vertical="center"/>
    </xf>
    <xf numFmtId="0" fontId="60" fillId="0" borderId="75" xfId="0" applyNumberFormat="1" applyFont="1" applyFill="1" applyBorder="1" applyAlignment="1">
      <alignment horizontal="left" vertical="center"/>
    </xf>
    <xf numFmtId="0" fontId="60" fillId="0" borderId="76" xfId="0" applyNumberFormat="1" applyFont="1" applyFill="1" applyBorder="1" applyAlignment="1">
      <alignment horizontal="left" vertical="center"/>
    </xf>
    <xf numFmtId="169" fontId="60" fillId="0" borderId="22" xfId="0" applyNumberFormat="1" applyFont="1" applyFill="1" applyBorder="1" applyAlignment="1">
      <alignment horizontal="left" vertical="center"/>
    </xf>
    <xf numFmtId="169" fontId="60" fillId="0" borderId="23" xfId="0" applyNumberFormat="1" applyFont="1" applyFill="1" applyBorder="1" applyAlignment="1">
      <alignment horizontal="left" vertical="center"/>
    </xf>
    <xf numFmtId="169" fontId="60" fillId="0" borderId="40" xfId="0" applyNumberFormat="1" applyFont="1" applyFill="1" applyBorder="1" applyAlignment="1">
      <alignment horizontal="left" vertical="center"/>
    </xf>
    <xf numFmtId="169" fontId="60" fillId="0" borderId="77" xfId="0" applyNumberFormat="1" applyFont="1" applyFill="1" applyBorder="1" applyAlignment="1">
      <alignment horizontal="left" vertical="center"/>
    </xf>
    <xf numFmtId="0" fontId="46" fillId="0" borderId="78" xfId="0" applyFont="1" applyFill="1" applyBorder="1" applyAlignment="1">
      <alignment horizontal="left" vertical="center" wrapText="1"/>
    </xf>
    <xf numFmtId="0" fontId="46" fillId="0" borderId="45" xfId="0" applyFont="1" applyFill="1" applyBorder="1" applyAlignment="1">
      <alignment horizontal="left" vertical="center" wrapText="1"/>
    </xf>
    <xf numFmtId="0" fontId="59" fillId="0" borderId="24" xfId="0" applyFont="1" applyFill="1" applyBorder="1" applyAlignment="1">
      <alignment horizontal="center" vertical="center"/>
    </xf>
    <xf numFmtId="0" fontId="59" fillId="0" borderId="74" xfId="0" applyFont="1" applyFill="1" applyBorder="1" applyAlignment="1">
      <alignment horizontal="center" vertical="center"/>
    </xf>
    <xf numFmtId="169" fontId="60" fillId="0" borderId="69" xfId="0" applyNumberFormat="1" applyFont="1" applyFill="1" applyBorder="1" applyAlignment="1">
      <alignment horizontal="center" vertical="center"/>
    </xf>
    <xf numFmtId="169" fontId="60" fillId="0" borderId="46" xfId="0" applyNumberFormat="1" applyFont="1" applyFill="1" applyBorder="1" applyAlignment="1">
      <alignment horizontal="center" vertical="center"/>
    </xf>
    <xf numFmtId="169" fontId="60" fillId="0" borderId="47" xfId="0" applyNumberFormat="1" applyFont="1" applyFill="1" applyBorder="1" applyAlignment="1">
      <alignment horizontal="center" vertical="center"/>
    </xf>
    <xf numFmtId="0" fontId="60" fillId="0" borderId="26" xfId="0" applyFont="1" applyFill="1" applyBorder="1" applyAlignment="1">
      <alignment horizontal="center" vertical="center"/>
    </xf>
    <xf numFmtId="0" fontId="60" fillId="0" borderId="27" xfId="0" applyFont="1" applyFill="1" applyBorder="1" applyAlignment="1">
      <alignment horizontal="center" vertical="center"/>
    </xf>
    <xf numFmtId="0" fontId="60" fillId="0" borderId="36" xfId="0" applyFont="1" applyFill="1" applyBorder="1" applyAlignment="1">
      <alignment horizontal="center" vertical="center"/>
    </xf>
    <xf numFmtId="0" fontId="60" fillId="0" borderId="37" xfId="0" applyFont="1" applyFill="1" applyBorder="1" applyAlignment="1">
      <alignment horizontal="center" vertical="center"/>
    </xf>
    <xf numFmtId="169" fontId="47" fillId="0" borderId="26" xfId="0" applyNumberFormat="1" applyFont="1" applyFill="1" applyBorder="1" applyAlignment="1">
      <alignment horizontal="center" vertical="center"/>
    </xf>
    <xf numFmtId="169" fontId="47" fillId="0" borderId="40" xfId="0" applyNumberFormat="1" applyFont="1" applyFill="1" applyBorder="1" applyAlignment="1">
      <alignment horizontal="center" vertical="center"/>
    </xf>
    <xf numFmtId="169" fontId="47" fillId="0" borderId="12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center" vertical="center"/>
    </xf>
    <xf numFmtId="169" fontId="47" fillId="0" borderId="46" xfId="0" applyNumberFormat="1" applyFont="1" applyFill="1" applyBorder="1" applyAlignment="1">
      <alignment horizontal="center" vertical="center"/>
    </xf>
    <xf numFmtId="169" fontId="47" fillId="0" borderId="47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left" vertical="center"/>
    </xf>
    <xf numFmtId="169" fontId="47" fillId="0" borderId="46" xfId="0" applyNumberFormat="1" applyFont="1" applyFill="1" applyBorder="1" applyAlignment="1">
      <alignment horizontal="left" vertical="center"/>
    </xf>
    <xf numFmtId="169" fontId="60" fillId="0" borderId="53" xfId="0" applyNumberFormat="1" applyFont="1" applyFill="1" applyBorder="1" applyAlignment="1">
      <alignment horizontal="center" vertical="center"/>
    </xf>
    <xf numFmtId="169" fontId="60" fillId="0" borderId="59" xfId="0" applyNumberFormat="1" applyFont="1" applyFill="1" applyBorder="1" applyAlignment="1">
      <alignment horizontal="center" vertical="center"/>
    </xf>
    <xf numFmtId="169" fontId="60" fillId="0" borderId="64" xfId="0" applyNumberFormat="1" applyFont="1" applyFill="1" applyBorder="1" applyAlignment="1">
      <alignment horizontal="center" vertical="center"/>
    </xf>
    <xf numFmtId="169" fontId="59" fillId="0" borderId="69" xfId="0" applyNumberFormat="1" applyFont="1" applyFill="1" applyBorder="1" applyAlignment="1">
      <alignment horizontal="center" vertical="center"/>
    </xf>
    <xf numFmtId="169" fontId="59" fillId="0" borderId="46" xfId="0" applyNumberFormat="1" applyFont="1" applyFill="1" applyBorder="1" applyAlignment="1">
      <alignment horizontal="center" vertical="center"/>
    </xf>
    <xf numFmtId="169" fontId="59" fillId="0" borderId="47" xfId="0" applyNumberFormat="1" applyFont="1" applyFill="1" applyBorder="1" applyAlignment="1">
      <alignment horizontal="center" vertical="center"/>
    </xf>
    <xf numFmtId="0" fontId="59" fillId="0" borderId="26" xfId="0" applyFont="1" applyFill="1" applyBorder="1" applyAlignment="1">
      <alignment horizontal="center" vertical="center"/>
    </xf>
    <xf numFmtId="0" fontId="59" fillId="0" borderId="27" xfId="0" applyFont="1" applyFill="1" applyBorder="1" applyAlignment="1">
      <alignment horizontal="center" vertical="center"/>
    </xf>
    <xf numFmtId="0" fontId="59" fillId="0" borderId="36" xfId="0" applyFont="1" applyFill="1" applyBorder="1" applyAlignment="1">
      <alignment horizontal="center" vertical="center"/>
    </xf>
    <xf numFmtId="0" fontId="59" fillId="0" borderId="37" xfId="0" applyFont="1" applyFill="1" applyBorder="1" applyAlignment="1">
      <alignment horizontal="center" vertical="center"/>
    </xf>
    <xf numFmtId="169" fontId="46" fillId="0" borderId="26" xfId="0" applyNumberFormat="1" applyFont="1" applyFill="1" applyBorder="1" applyAlignment="1">
      <alignment horizontal="center" vertical="center"/>
    </xf>
    <xf numFmtId="169" fontId="46" fillId="0" borderId="40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center" vertical="center"/>
    </xf>
    <xf numFmtId="169" fontId="46" fillId="0" borderId="46" xfId="0" applyNumberFormat="1" applyFont="1" applyFill="1" applyBorder="1" applyAlignment="1">
      <alignment horizontal="center" vertical="center"/>
    </xf>
    <xf numFmtId="169" fontId="46" fillId="0" borderId="47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left" vertical="center"/>
    </xf>
    <xf numFmtId="169" fontId="46" fillId="0" borderId="46" xfId="0" applyNumberFormat="1" applyFont="1" applyFill="1" applyBorder="1" applyAlignment="1">
      <alignment horizontal="left" vertical="center"/>
    </xf>
    <xf numFmtId="169" fontId="59" fillId="0" borderId="53" xfId="0" applyNumberFormat="1" applyFont="1" applyFill="1" applyBorder="1" applyAlignment="1">
      <alignment horizontal="center" vertical="center"/>
    </xf>
    <xf numFmtId="169" fontId="59" fillId="0" borderId="59" xfId="0" applyNumberFormat="1" applyFont="1" applyFill="1" applyBorder="1" applyAlignment="1">
      <alignment horizontal="center" vertical="center"/>
    </xf>
    <xf numFmtId="169" fontId="59" fillId="0" borderId="64" xfId="0" applyNumberFormat="1" applyFont="1" applyFill="1" applyBorder="1" applyAlignment="1">
      <alignment horizontal="center" vertical="center"/>
    </xf>
  </cellXfs>
  <cellStyles count="49132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" xfId="49130" builtinId="3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1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461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A94117"/>
      <color rgb="FF8D4033"/>
      <color rgb="FF36D6A4"/>
      <color rgb="FF1CF0B8"/>
      <color rgb="FFBB5B51"/>
      <color rgb="FF606DAC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openxmlformats.org/officeDocument/2006/relationships/pivotCacheDefinition" Target="pivotCache/pivotCacheDefinition8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pivotCacheDefinition" Target="pivotCache/pivotCacheDefinition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11</xdr:row>
      <xdr:rowOff>47625</xdr:rowOff>
    </xdr:from>
    <xdr:to>
      <xdr:col>13</xdr:col>
      <xdr:colOff>390525</xdr:colOff>
      <xdr:row>25</xdr:row>
      <xdr:rowOff>85725</xdr:rowOff>
    </xdr:to>
    <xdr:sp macro="" textlink="">
      <xdr:nvSpPr>
        <xdr:cNvPr id="2" name="Rectangle 1"/>
        <xdr:cNvSpPr/>
      </xdr:nvSpPr>
      <xdr:spPr>
        <a:xfrm>
          <a:off x="2257425" y="2143125"/>
          <a:ext cx="6057900" cy="2705100"/>
        </a:xfrm>
        <a:prstGeom prst="rect">
          <a:avLst/>
        </a:prstGeom>
        <a:solidFill>
          <a:srgbClr val="606D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38101</xdr:rowOff>
    </xdr:from>
    <xdr:to>
      <xdr:col>12</xdr:col>
      <xdr:colOff>57150</xdr:colOff>
      <xdr:row>16</xdr:row>
      <xdr:rowOff>57151</xdr:rowOff>
    </xdr:to>
    <xdr:sp macro="" textlink="">
      <xdr:nvSpPr>
        <xdr:cNvPr id="4" name="TextBox 3"/>
        <xdr:cNvSpPr txBox="1"/>
      </xdr:nvSpPr>
      <xdr:spPr>
        <a:xfrm>
          <a:off x="3695700" y="2324101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400" b="1">
              <a:solidFill>
                <a:schemeClr val="bg1"/>
              </a:solidFill>
            </a:rPr>
            <a:t>Forecast Plan</a:t>
          </a:r>
        </a:p>
      </xdr:txBody>
    </xdr:sp>
    <xdr:clientData/>
  </xdr:twoCellAnchor>
  <xdr:twoCellAnchor>
    <xdr:from>
      <xdr:col>6</xdr:col>
      <xdr:colOff>457200</xdr:colOff>
      <xdr:row>16</xdr:row>
      <xdr:rowOff>66675</xdr:rowOff>
    </xdr:from>
    <xdr:to>
      <xdr:col>10</xdr:col>
      <xdr:colOff>371475</xdr:colOff>
      <xdr:row>20</xdr:row>
      <xdr:rowOff>47625</xdr:rowOff>
    </xdr:to>
    <xdr:sp macro="[0]!addcolumn" textlink="">
      <xdr:nvSpPr>
        <xdr:cNvPr id="5" name="Rounded Rectangle 4"/>
        <xdr:cNvSpPr/>
      </xdr:nvSpPr>
      <xdr:spPr>
        <a:xfrm>
          <a:off x="4114800" y="3114675"/>
          <a:ext cx="2352675" cy="742950"/>
        </a:xfrm>
        <a:prstGeom prst="roundRect">
          <a:avLst/>
        </a:prstGeom>
        <a:solidFill>
          <a:srgbClr val="BB5B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6</xdr:col>
      <xdr:colOff>219075</xdr:colOff>
      <xdr:row>20</xdr:row>
      <xdr:rowOff>123826</xdr:rowOff>
    </xdr:from>
    <xdr:to>
      <xdr:col>12</xdr:col>
      <xdr:colOff>238125</xdr:colOff>
      <xdr:row>24</xdr:row>
      <xdr:rowOff>142876</xdr:rowOff>
    </xdr:to>
    <xdr:sp macro="" textlink="">
      <xdr:nvSpPr>
        <xdr:cNvPr id="7" name="TextBox 6"/>
        <xdr:cNvSpPr txBox="1"/>
      </xdr:nvSpPr>
      <xdr:spPr>
        <a:xfrm>
          <a:off x="3876675" y="3933826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Assembly </a:t>
          </a:r>
          <a:r>
            <a:rPr lang="en-US" sz="1600" b="1">
              <a:solidFill>
                <a:srgbClr val="A94117"/>
              </a:solidFill>
            </a:rPr>
            <a:t>Administration</a:t>
          </a:r>
          <a:r>
            <a:rPr lang="en-US" sz="1600" b="1">
              <a:solidFill>
                <a:schemeClr val="bg1"/>
              </a:solidFill>
            </a:rPr>
            <a:t> Dept.</a:t>
          </a:r>
        </a:p>
      </xdr:txBody>
    </xdr:sp>
    <xdr:clientData/>
  </xdr:twoCellAnchor>
  <xdr:twoCellAnchor>
    <xdr:from>
      <xdr:col>7</xdr:col>
      <xdr:colOff>19050</xdr:colOff>
      <xdr:row>22</xdr:row>
      <xdr:rowOff>95250</xdr:rowOff>
    </xdr:from>
    <xdr:to>
      <xdr:col>10</xdr:col>
      <xdr:colOff>95250</xdr:colOff>
      <xdr:row>22</xdr:row>
      <xdr:rowOff>161925</xdr:rowOff>
    </xdr:to>
    <xdr:sp macro="" textlink="">
      <xdr:nvSpPr>
        <xdr:cNvPr id="8" name="Rectangle 7"/>
        <xdr:cNvSpPr/>
      </xdr:nvSpPr>
      <xdr:spPr>
        <a:xfrm>
          <a:off x="4286250" y="4286250"/>
          <a:ext cx="1905000" cy="66675"/>
        </a:xfrm>
        <a:prstGeom prst="rect">
          <a:avLst/>
        </a:prstGeom>
        <a:solidFill>
          <a:srgbClr val="36D6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1152525</xdr:colOff>
          <xdr:row>9</xdr:row>
          <xdr:rowOff>76200</xdr:rowOff>
        </xdr:from>
        <xdr:to>
          <xdr:col>25</xdr:col>
          <xdr:colOff>152400</xdr:colOff>
          <xdr:row>10</xdr:row>
          <xdr:rowOff>266700</xdr:rowOff>
        </xdr:to>
        <xdr:sp macro="" textlink="">
          <xdr:nvSpPr>
            <xdr:cNvPr id="1354756" name="Button 4" hidden="1">
              <a:extLst>
                <a:ext uri="{63B3BB69-23CF-44E3-9099-C40C66FF867C}">
                  <a14:compatExt spid="_x0000_s135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1171575</xdr:colOff>
          <xdr:row>10</xdr:row>
          <xdr:rowOff>419100</xdr:rowOff>
        </xdr:from>
        <xdr:to>
          <xdr:col>25</xdr:col>
          <xdr:colOff>247650</xdr:colOff>
          <xdr:row>12</xdr:row>
          <xdr:rowOff>161925</xdr:rowOff>
        </xdr:to>
        <xdr:sp macro="" textlink="">
          <xdr:nvSpPr>
            <xdr:cNvPr id="1354757" name="Button 5" hidden="1">
              <a:extLst>
                <a:ext uri="{63B3BB69-23CF-44E3-9099-C40C66FF867C}">
                  <a14:compatExt spid="_x0000_s135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1152525</xdr:colOff>
          <xdr:row>12</xdr:row>
          <xdr:rowOff>238125</xdr:rowOff>
        </xdr:from>
        <xdr:to>
          <xdr:col>25</xdr:col>
          <xdr:colOff>247650</xdr:colOff>
          <xdr:row>14</xdr:row>
          <xdr:rowOff>104775</xdr:rowOff>
        </xdr:to>
        <xdr:sp macro="" textlink="">
          <xdr:nvSpPr>
            <xdr:cNvPr id="1354758" name="Button 6" hidden="1">
              <a:extLst>
                <a:ext uri="{63B3BB69-23CF-44E3-9099-C40C66FF867C}">
                  <a14:compatExt spid="_x0000_s135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1095375</xdr:colOff>
          <xdr:row>14</xdr:row>
          <xdr:rowOff>447675</xdr:rowOff>
        </xdr:from>
        <xdr:to>
          <xdr:col>25</xdr:col>
          <xdr:colOff>247650</xdr:colOff>
          <xdr:row>16</xdr:row>
          <xdr:rowOff>200025</xdr:rowOff>
        </xdr:to>
        <xdr:sp macro="" textlink="">
          <xdr:nvSpPr>
            <xdr:cNvPr id="1354759" name="Button 7" hidden="1">
              <a:extLst>
                <a:ext uri="{63B3BB69-23CF-44E3-9099-C40C66FF867C}">
                  <a14:compatExt spid="_x0000_s135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152308</xdr:colOff>
          <xdr:row>0</xdr:row>
          <xdr:rowOff>0</xdr:rowOff>
        </xdr:from>
        <xdr:to>
          <xdr:col>17</xdr:col>
          <xdr:colOff>403911</xdr:colOff>
          <xdr:row>2</xdr:row>
          <xdr:rowOff>593066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$X$2:$AA$4" spid="_x0000_s13550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1744053" y="0"/>
              <a:ext cx="4403066" cy="145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449293</xdr:colOff>
      <xdr:row>0</xdr:row>
      <xdr:rowOff>161745</xdr:rowOff>
    </xdr:from>
    <xdr:to>
      <xdr:col>5</xdr:col>
      <xdr:colOff>1419764</xdr:colOff>
      <xdr:row>1</xdr:row>
      <xdr:rowOff>215660</xdr:rowOff>
    </xdr:to>
    <xdr:sp macro="[0]!addcolumn" textlink="">
      <xdr:nvSpPr>
        <xdr:cNvPr id="2" name="Rectangle 1"/>
        <xdr:cNvSpPr/>
      </xdr:nvSpPr>
      <xdr:spPr>
        <a:xfrm>
          <a:off x="5265708" y="161745"/>
          <a:ext cx="970471" cy="5391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8</xdr:row>
          <xdr:rowOff>0</xdr:rowOff>
        </xdr:from>
        <xdr:to>
          <xdr:col>27</xdr:col>
          <xdr:colOff>390525</xdr:colOff>
          <xdr:row>8</xdr:row>
          <xdr:rowOff>0</xdr:rowOff>
        </xdr:to>
        <xdr:sp macro="" textlink="">
          <xdr:nvSpPr>
            <xdr:cNvPr id="1354870" name="Button 118" hidden="1">
              <a:extLst>
                <a:ext uri="{63B3BB69-23CF-44E3-9099-C40C66FF867C}">
                  <a14:compatExt spid="_x0000_s1354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8</xdr:row>
          <xdr:rowOff>0</xdr:rowOff>
        </xdr:from>
        <xdr:to>
          <xdr:col>27</xdr:col>
          <xdr:colOff>409575</xdr:colOff>
          <xdr:row>8</xdr:row>
          <xdr:rowOff>0</xdr:rowOff>
        </xdr:to>
        <xdr:sp macro="" textlink="">
          <xdr:nvSpPr>
            <xdr:cNvPr id="1354871" name="Button 119" hidden="1">
              <a:extLst>
                <a:ext uri="{63B3BB69-23CF-44E3-9099-C40C66FF867C}">
                  <a14:compatExt spid="_x0000_s135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8</xdr:row>
          <xdr:rowOff>0</xdr:rowOff>
        </xdr:from>
        <xdr:to>
          <xdr:col>27</xdr:col>
          <xdr:colOff>390525</xdr:colOff>
          <xdr:row>8</xdr:row>
          <xdr:rowOff>0</xdr:rowOff>
        </xdr:to>
        <xdr:sp macro="" textlink="">
          <xdr:nvSpPr>
            <xdr:cNvPr id="1354872" name="Button 120" hidden="1">
              <a:extLst>
                <a:ext uri="{63B3BB69-23CF-44E3-9099-C40C66FF867C}">
                  <a14:compatExt spid="_x0000_s135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23</xdr:col>
          <xdr:colOff>403913</xdr:colOff>
          <xdr:row>2</xdr:row>
          <xdr:rowOff>593066</xdr:rowOff>
        </xdr:to>
        <xdr:pic>
          <xdr:nvPicPr>
            <xdr:cNvPr id="11" name="Picture 10"/>
            <xdr:cNvPicPr>
              <a:picLocks noChangeAspect="1" noChangeArrowheads="1"/>
              <a:extLst>
                <a:ext uri="{84589F7E-364E-4C9E-8A38-B11213B215E9}">
                  <a14:cameraTool cellRange="$AA$2:$AD$4" spid="_x0000_s135506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316108" y="0"/>
              <a:ext cx="5246298" cy="14503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449293</xdr:colOff>
      <xdr:row>0</xdr:row>
      <xdr:rowOff>161745</xdr:rowOff>
    </xdr:from>
    <xdr:to>
      <xdr:col>5</xdr:col>
      <xdr:colOff>1419764</xdr:colOff>
      <xdr:row>1</xdr:row>
      <xdr:rowOff>215660</xdr:rowOff>
    </xdr:to>
    <xdr:sp macro="[0]!addcolumn" textlink="">
      <xdr:nvSpPr>
        <xdr:cNvPr id="12" name="Rectangle 11"/>
        <xdr:cNvSpPr/>
      </xdr:nvSpPr>
      <xdr:spPr>
        <a:xfrm>
          <a:off x="5268943" y="161745"/>
          <a:ext cx="970471" cy="5301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8</xdr:row>
          <xdr:rowOff>0</xdr:rowOff>
        </xdr:from>
        <xdr:to>
          <xdr:col>30</xdr:col>
          <xdr:colOff>390525</xdr:colOff>
          <xdr:row>8</xdr:row>
          <xdr:rowOff>0</xdr:rowOff>
        </xdr:to>
        <xdr:sp macro="" textlink="">
          <xdr:nvSpPr>
            <xdr:cNvPr id="1354899" name="Button 147" hidden="1">
              <a:extLst>
                <a:ext uri="{63B3BB69-23CF-44E3-9099-C40C66FF867C}">
                  <a14:compatExt spid="_x0000_s1354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8</xdr:row>
          <xdr:rowOff>0</xdr:rowOff>
        </xdr:from>
        <xdr:to>
          <xdr:col>30</xdr:col>
          <xdr:colOff>409575</xdr:colOff>
          <xdr:row>8</xdr:row>
          <xdr:rowOff>0</xdr:rowOff>
        </xdr:to>
        <xdr:sp macro="" textlink="">
          <xdr:nvSpPr>
            <xdr:cNvPr id="1354900" name="Button 148" hidden="1">
              <a:extLst>
                <a:ext uri="{63B3BB69-23CF-44E3-9099-C40C66FF867C}">
                  <a14:compatExt spid="_x0000_s135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8</xdr:row>
          <xdr:rowOff>0</xdr:rowOff>
        </xdr:from>
        <xdr:to>
          <xdr:col>30</xdr:col>
          <xdr:colOff>390525</xdr:colOff>
          <xdr:row>8</xdr:row>
          <xdr:rowOff>0</xdr:rowOff>
        </xdr:to>
        <xdr:sp macro="" textlink="">
          <xdr:nvSpPr>
            <xdr:cNvPr id="1354901" name="Button 149" hidden="1">
              <a:extLst>
                <a:ext uri="{63B3BB69-23CF-44E3-9099-C40C66FF867C}">
                  <a14:compatExt spid="_x0000_s135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961035</xdr:colOff>
          <xdr:row>2</xdr:row>
          <xdr:rowOff>593066</xdr:rowOff>
        </xdr:to>
        <xdr:pic>
          <xdr:nvPicPr>
            <xdr:cNvPr id="16" name="Picture 15"/>
            <xdr:cNvPicPr>
              <a:picLocks noChangeAspect="1" noChangeArrowheads="1"/>
              <a:extLst>
                <a:ext uri="{84589F7E-364E-4C9E-8A38-B11213B215E9}">
                  <a14:cameraTool cellRange="$AD$2:$AG$4" spid="_x0000_s135506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316108" y="0"/>
              <a:ext cx="5246298" cy="14503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449293</xdr:colOff>
      <xdr:row>0</xdr:row>
      <xdr:rowOff>161745</xdr:rowOff>
    </xdr:from>
    <xdr:to>
      <xdr:col>5</xdr:col>
      <xdr:colOff>1419764</xdr:colOff>
      <xdr:row>1</xdr:row>
      <xdr:rowOff>215660</xdr:rowOff>
    </xdr:to>
    <xdr:sp macro="[0]!addcolumn" textlink="">
      <xdr:nvSpPr>
        <xdr:cNvPr id="17" name="Rectangle 16"/>
        <xdr:cNvSpPr/>
      </xdr:nvSpPr>
      <xdr:spPr>
        <a:xfrm>
          <a:off x="5268943" y="161745"/>
          <a:ext cx="970471" cy="5301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152308</xdr:colOff>
          <xdr:row>0</xdr:row>
          <xdr:rowOff>0</xdr:rowOff>
        </xdr:from>
        <xdr:to>
          <xdr:col>17</xdr:col>
          <xdr:colOff>403911</xdr:colOff>
          <xdr:row>2</xdr:row>
          <xdr:rowOff>593066</xdr:rowOff>
        </xdr:to>
        <xdr:pic>
          <xdr:nvPicPr>
            <xdr:cNvPr id="18" name="Picture 17"/>
            <xdr:cNvPicPr>
              <a:picLocks noChangeAspect="1" noChangeArrowheads="1"/>
              <a:extLst>
                <a:ext uri="{84589F7E-364E-4C9E-8A38-B11213B215E9}">
                  <a14:cameraTool cellRange="$X$2:$AA$4" spid="_x0000_s135506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1734708" y="0"/>
              <a:ext cx="4385453" cy="14503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449293</xdr:colOff>
      <xdr:row>0</xdr:row>
      <xdr:rowOff>161745</xdr:rowOff>
    </xdr:from>
    <xdr:to>
      <xdr:col>5</xdr:col>
      <xdr:colOff>1419764</xdr:colOff>
      <xdr:row>1</xdr:row>
      <xdr:rowOff>215660</xdr:rowOff>
    </xdr:to>
    <xdr:sp macro="[4]!addcolumn" textlink="">
      <xdr:nvSpPr>
        <xdr:cNvPr id="19" name="Rectangle 18"/>
        <xdr:cNvSpPr/>
      </xdr:nvSpPr>
      <xdr:spPr>
        <a:xfrm>
          <a:off x="5268943" y="161745"/>
          <a:ext cx="970471" cy="5301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55059" name="Button 307" hidden="1">
              <a:extLst>
                <a:ext uri="{63B3BB69-23CF-44E3-9099-C40C66FF867C}">
                  <a14:compatExt spid="_x0000_s135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55060" name="Button 308" hidden="1">
              <a:extLst>
                <a:ext uri="{63B3BB69-23CF-44E3-9099-C40C66FF867C}">
                  <a14:compatExt spid="_x0000_s135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55061" name="Button 309" hidden="1">
              <a:extLst>
                <a:ext uri="{63B3BB69-23CF-44E3-9099-C40C66FF867C}">
                  <a14:compatExt spid="_x0000_s1355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116365</xdr:colOff>
          <xdr:row>2</xdr:row>
          <xdr:rowOff>593066</xdr:rowOff>
        </xdr:to>
        <xdr:pic>
          <xdr:nvPicPr>
            <xdr:cNvPr id="23" name="Picture 22"/>
            <xdr:cNvPicPr>
              <a:picLocks noChangeAspect="1" noChangeArrowheads="1"/>
              <a:extLst>
                <a:ext uri="{84589F7E-364E-4C9E-8A38-B11213B215E9}">
                  <a14:cameraTool cellRange="$AA$2:$AD$4" spid="_x0000_s135507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4224148" y="0"/>
              <a:ext cx="3306792" cy="145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449293</xdr:colOff>
      <xdr:row>0</xdr:row>
      <xdr:rowOff>161745</xdr:rowOff>
    </xdr:from>
    <xdr:to>
      <xdr:col>5</xdr:col>
      <xdr:colOff>1419764</xdr:colOff>
      <xdr:row>1</xdr:row>
      <xdr:rowOff>215660</xdr:rowOff>
    </xdr:to>
    <xdr:sp macro="[4]!addcolumn" textlink="">
      <xdr:nvSpPr>
        <xdr:cNvPr id="24" name="Rectangle 23"/>
        <xdr:cNvSpPr/>
      </xdr:nvSpPr>
      <xdr:spPr>
        <a:xfrm>
          <a:off x="5268943" y="161745"/>
          <a:ext cx="970471" cy="5301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1355062" name="Button 310" hidden="1">
              <a:extLst>
                <a:ext uri="{63B3BB69-23CF-44E3-9099-C40C66FF867C}">
                  <a14:compatExt spid="_x0000_s1355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6</xdr:row>
          <xdr:rowOff>0</xdr:rowOff>
        </xdr:from>
        <xdr:to>
          <xdr:col>30</xdr:col>
          <xdr:colOff>409575</xdr:colOff>
          <xdr:row>6</xdr:row>
          <xdr:rowOff>0</xdr:rowOff>
        </xdr:to>
        <xdr:sp macro="" textlink="">
          <xdr:nvSpPr>
            <xdr:cNvPr id="1355063" name="Button 311" hidden="1">
              <a:extLst>
                <a:ext uri="{63B3BB69-23CF-44E3-9099-C40C66FF867C}">
                  <a14:compatExt spid="_x0000_s1355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1355064" name="Button 312" hidden="1">
              <a:extLst>
                <a:ext uri="{63B3BB69-23CF-44E3-9099-C40C66FF867C}">
                  <a14:compatExt spid="_x0000_s1355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961035</xdr:colOff>
          <xdr:row>2</xdr:row>
          <xdr:rowOff>593066</xdr:rowOff>
        </xdr:to>
        <xdr:pic>
          <xdr:nvPicPr>
            <xdr:cNvPr id="28" name="Picture 27"/>
            <xdr:cNvPicPr>
              <a:picLocks noChangeAspect="1" noChangeArrowheads="1"/>
              <a:extLst>
                <a:ext uri="{84589F7E-364E-4C9E-8A38-B11213B215E9}">
                  <a14:cameraTool cellRange="$AD$2:$AG$4" spid="_x0000_s1355071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5316108" y="0"/>
              <a:ext cx="5228327" cy="14503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449293</xdr:colOff>
      <xdr:row>0</xdr:row>
      <xdr:rowOff>161745</xdr:rowOff>
    </xdr:from>
    <xdr:to>
      <xdr:col>5</xdr:col>
      <xdr:colOff>1419764</xdr:colOff>
      <xdr:row>1</xdr:row>
      <xdr:rowOff>215660</xdr:rowOff>
    </xdr:to>
    <xdr:sp macro="[0]!addcolumn" textlink="">
      <xdr:nvSpPr>
        <xdr:cNvPr id="29" name="Rectangle 28"/>
        <xdr:cNvSpPr/>
      </xdr:nvSpPr>
      <xdr:spPr>
        <a:xfrm>
          <a:off x="5268943" y="161745"/>
          <a:ext cx="970471" cy="5301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1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1" name="Button 1" hidden="1">
              <a:extLst>
                <a:ext uri="{63B3BB69-23CF-44E3-9099-C40C66FF867C}">
                  <a14:compatExt spid="_x0000_s136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1922" name="Button 2" hidden="1">
              <a:extLst>
                <a:ext uri="{63B3BB69-23CF-44E3-9099-C40C66FF867C}">
                  <a14:compatExt spid="_x0000_s136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3" name="Button 3" hidden="1">
              <a:extLst>
                <a:ext uri="{63B3BB69-23CF-44E3-9099-C40C66FF867C}">
                  <a14:compatExt spid="_x0000_s136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1924" name="Button 4" hidden="1">
              <a:extLst>
                <a:ext uri="{63B3BB69-23CF-44E3-9099-C40C66FF867C}">
                  <a14:compatExt spid="_x0000_s136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1925" name="Button 5" hidden="1">
              <a:extLst>
                <a:ext uri="{63B3BB69-23CF-44E3-9099-C40C66FF867C}">
                  <a14:compatExt spid="_x0000_s136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1926" name="Button 6" hidden="1">
              <a:extLst>
                <a:ext uri="{63B3BB69-23CF-44E3-9099-C40C66FF867C}">
                  <a14:compatExt spid="_x0000_s136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1927" name="Button 7" hidden="1">
              <a:extLst>
                <a:ext uri="{63B3BB69-23CF-44E3-9099-C40C66FF867C}">
                  <a14:compatExt spid="_x0000_s136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1928" name="Button 8" hidden="1">
              <a:extLst>
                <a:ext uri="{63B3BB69-23CF-44E3-9099-C40C66FF867C}">
                  <a14:compatExt spid="_x0000_s136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190954</xdr:colOff>
          <xdr:row>0</xdr:row>
          <xdr:rowOff>0</xdr:rowOff>
        </xdr:from>
        <xdr:to>
          <xdr:col>23</xdr:col>
          <xdr:colOff>4053</xdr:colOff>
          <xdr:row>3</xdr:row>
          <xdr:rowOff>359433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20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30199" y="0"/>
              <a:ext cx="7397155" cy="16354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5" name="Button 1" hidden="1">
              <a:extLst>
                <a:ext uri="{63B3BB69-23CF-44E3-9099-C40C66FF867C}">
                  <a14:compatExt spid="_x0000_s136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2946" name="Button 2" hidden="1">
              <a:extLst>
                <a:ext uri="{63B3BB69-23CF-44E3-9099-C40C66FF867C}">
                  <a14:compatExt spid="_x0000_s136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7" name="Button 3" hidden="1">
              <a:extLst>
                <a:ext uri="{63B3BB69-23CF-44E3-9099-C40C66FF867C}">
                  <a14:compatExt spid="_x0000_s136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2948" name="Button 4" hidden="1">
              <a:extLst>
                <a:ext uri="{63B3BB69-23CF-44E3-9099-C40C66FF867C}">
                  <a14:compatExt spid="_x0000_s136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2949" name="Button 5" hidden="1">
              <a:extLst>
                <a:ext uri="{63B3BB69-23CF-44E3-9099-C40C66FF867C}">
                  <a14:compatExt spid="_x0000_s136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2950" name="Button 6" hidden="1">
              <a:extLst>
                <a:ext uri="{63B3BB69-23CF-44E3-9099-C40C66FF867C}">
                  <a14:compatExt spid="_x0000_s136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2951" name="Button 7" hidden="1">
              <a:extLst>
                <a:ext uri="{63B3BB69-23CF-44E3-9099-C40C66FF867C}">
                  <a14:compatExt spid="_x0000_s136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2952" name="Button 8" hidden="1">
              <a:extLst>
                <a:ext uri="{63B3BB69-23CF-44E3-9099-C40C66FF867C}">
                  <a14:compatExt spid="_x0000_s136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17595</xdr:colOff>
          <xdr:row>0</xdr:row>
          <xdr:rowOff>0</xdr:rowOff>
        </xdr:from>
        <xdr:to>
          <xdr:col>22</xdr:col>
          <xdr:colOff>388644</xdr:colOff>
          <xdr:row>4</xdr:row>
          <xdr:rowOff>17972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30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56840" y="0"/>
              <a:ext cx="7559728" cy="16713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1" name="Rectangle 10"/>
        <xdr:cNvSpPr/>
      </xdr:nvSpPr>
      <xdr:spPr>
        <a:xfrm>
          <a:off x="1066800" y="13638721"/>
          <a:ext cx="6343650" cy="2001329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69" name="Button 1" hidden="1">
              <a:extLst>
                <a:ext uri="{63B3BB69-23CF-44E3-9099-C40C66FF867C}">
                  <a14:compatExt spid="_x0000_s136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3970" name="Button 2" hidden="1">
              <a:extLst>
                <a:ext uri="{63B3BB69-23CF-44E3-9099-C40C66FF867C}">
                  <a14:compatExt spid="_x0000_s136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71" name="Button 3" hidden="1">
              <a:extLst>
                <a:ext uri="{63B3BB69-23CF-44E3-9099-C40C66FF867C}">
                  <a14:compatExt spid="_x0000_s136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3972" name="Button 4" hidden="1">
              <a:extLst>
                <a:ext uri="{63B3BB69-23CF-44E3-9099-C40C66FF867C}">
                  <a14:compatExt spid="_x0000_s136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219075</xdr:rowOff>
        </xdr:from>
        <xdr:to>
          <xdr:col>26</xdr:col>
          <xdr:colOff>1190625</xdr:colOff>
          <xdr:row>9</xdr:row>
          <xdr:rowOff>409575</xdr:rowOff>
        </xdr:to>
        <xdr:sp macro="" textlink="">
          <xdr:nvSpPr>
            <xdr:cNvPr id="1363973" name="Button 5" hidden="1">
              <a:extLst>
                <a:ext uri="{63B3BB69-23CF-44E3-9099-C40C66FF867C}">
                  <a14:compatExt spid="_x0000_s136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85725</xdr:rowOff>
        </xdr:from>
        <xdr:to>
          <xdr:col>26</xdr:col>
          <xdr:colOff>1219200</xdr:colOff>
          <xdr:row>11</xdr:row>
          <xdr:rowOff>304800</xdr:rowOff>
        </xdr:to>
        <xdr:sp macro="" textlink="">
          <xdr:nvSpPr>
            <xdr:cNvPr id="1363974" name="Button 6" hidden="1">
              <a:extLst>
                <a:ext uri="{63B3BB69-23CF-44E3-9099-C40C66FF867C}">
                  <a14:compatExt spid="_x0000_s136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381000</xdr:rowOff>
        </xdr:from>
        <xdr:to>
          <xdr:col>26</xdr:col>
          <xdr:colOff>1219200</xdr:colOff>
          <xdr:row>14</xdr:row>
          <xdr:rowOff>285750</xdr:rowOff>
        </xdr:to>
        <xdr:sp macro="" textlink="">
          <xdr:nvSpPr>
            <xdr:cNvPr id="1363975" name="Button 7" hidden="1">
              <a:extLst>
                <a:ext uri="{63B3BB69-23CF-44E3-9099-C40C66FF867C}">
                  <a14:compatExt spid="_x0000_s136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447675</xdr:rowOff>
        </xdr:from>
        <xdr:to>
          <xdr:col>26</xdr:col>
          <xdr:colOff>1219200</xdr:colOff>
          <xdr:row>16</xdr:row>
          <xdr:rowOff>304800</xdr:rowOff>
        </xdr:to>
        <xdr:sp macro="" textlink="">
          <xdr:nvSpPr>
            <xdr:cNvPr id="1363976" name="Button 8" hidden="1">
              <a:extLst>
                <a:ext uri="{63B3BB69-23CF-44E3-9099-C40C66FF867C}">
                  <a14:compatExt spid="_x0000_s136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109669</xdr:colOff>
          <xdr:row>0</xdr:row>
          <xdr:rowOff>0</xdr:rowOff>
        </xdr:from>
        <xdr:to>
          <xdr:col>23</xdr:col>
          <xdr:colOff>4052</xdr:colOff>
          <xdr:row>4</xdr:row>
          <xdr:rowOff>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41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748914" y="0"/>
              <a:ext cx="7478439" cy="16533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_Copier%20Progressive%20kon%20Chang%20D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tfile01\dept\5505\08_PA_ST\2020\03.%20Assembly%20Plan\03.%20Data%20change%20plan\Template%20Copier\New%20version\T463%20Assembly%20Plan%20Template_v0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tfile01\dept\5505\08_PA_ST\2020\03.%20Assembly%20Plan\03.%20Data%20change%20plan\Assembly%20Plan%20Copier\03.%20T709\43.%20T709%20Assembly%20Plan%2020200727W_Rev.0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1_Copier%20Progressive%20Gu%20No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T599"/>
      <sheetName val="T463"/>
      <sheetName val="Time"/>
      <sheetName val="T709_Cell_1"/>
      <sheetName val="T709_Cell_2"/>
      <sheetName val="T709_Cell_3"/>
      <sheetName val="MASTER PRODUCT T599"/>
      <sheetName val="MASTER PRODUCT T709"/>
      <sheetName val="T599Pivot"/>
      <sheetName val="T709_Cell_1Pivot"/>
      <sheetName val="T709_Cell_2Pivot"/>
      <sheetName val="T709_Cell_3Pivot"/>
      <sheetName val="1_Copier Progressive kon Chang "/>
    </sheetNames>
    <definedNames>
      <definedName name="ClearData"/>
      <definedName name="Get_PAD_DATA"/>
      <definedName name="MakeBodyN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463_Data"/>
      <sheetName val="T463"/>
      <sheetName val="Column Mapping"/>
      <sheetName val="Last BodyNo."/>
      <sheetName val="Temp"/>
      <sheetName val="Sheet1"/>
      <sheetName val="Sheet2"/>
      <sheetName val="T463 Assembly Plan Template_v04"/>
    </sheetNames>
    <definedNames>
      <definedName name="ClearBodyNo"/>
      <definedName name="ClearData"/>
      <definedName name="Get_PAD_DATA"/>
      <definedName name="MakeBodyN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709_Data"/>
      <sheetName val="T709 Cell 1"/>
      <sheetName val="T709 Cell 2"/>
      <sheetName val="T709 Cell 3"/>
      <sheetName val="Column Mapping"/>
      <sheetName val="Last BodyNo."/>
      <sheetName val="Temp"/>
      <sheetName val="Sheet1"/>
      <sheetName val="43"/>
    </sheetNames>
    <definedNames>
      <definedName name="ClearBodyNo"/>
      <definedName name="ClearData"/>
      <definedName name="Get_PAD_DATA"/>
      <definedName name="MakeBodyN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T599"/>
      <sheetName val="T463"/>
      <sheetName val="Time"/>
      <sheetName val="T599D"/>
      <sheetName val="T709_Cell_1"/>
      <sheetName val="T709_Cell_2"/>
      <sheetName val="T709_Cell_3"/>
      <sheetName val="MASTER PRODUCT T599"/>
      <sheetName val="MASTER PRODUCT T709"/>
      <sheetName val="T599Pivot"/>
      <sheetName val="T709_Cell_1Pivot"/>
      <sheetName val="T709_Cell_2Pivot"/>
      <sheetName val="T709_Cell_3Pivot"/>
    </sheetNames>
    <definedNames>
      <definedName name="addcolum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atirut Daungpak" refreshedDate="44071.596446527779" createdVersion="6" refreshedVersion="6" minRefreshableVersion="3" recordCount="239">
  <cacheSource type="worksheet">
    <worksheetSource ref="A5:G255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atirut Daungpak" refreshedDate="44071.596475115737" createdVersion="6" refreshedVersion="6" minRefreshableVersion="3" recordCount="235">
  <cacheSource type="worksheet">
    <worksheetSource ref="A5:G251" sheet="T599"/>
  </cacheSource>
  <cacheFields count="7">
    <cacheField name="day" numFmtId="0">
      <sharedItems containsString="0" containsBlank="1" containsNumber="1" containsInteger="1" minValue="1" maxValue="31" count="21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1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Natirut Daungpak" refreshedDate="44071.596504166664" createdVersion="6" refreshedVersion="6" minRefreshableVersion="3" recordCount="243">
  <cacheSource type="worksheet">
    <worksheetSource ref="A5:G259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Natirut Daungpak" refreshedDate="44071.596534374999" createdVersion="6" refreshedVersion="6" minRefreshableVersion="3" recordCount="140">
  <cacheSource type="worksheet">
    <worksheetSource ref="A5:G145" sheet="T709_Cell_1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3" maxValue="1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Natirut Daungpak" refreshedDate="44071.596565162035" createdVersion="6" refreshedVersion="6" minRefreshableVersion="3" recordCount="149">
  <cacheSource type="worksheet">
    <worksheetSource ref="A5:G154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Natirut Daungpak" refreshedDate="44071.5965931713" createdVersion="6" refreshedVersion="6" minRefreshableVersion="3" recordCount="153">
  <cacheSource type="worksheet">
    <worksheetSource ref="A5:G158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Natirut Daungpak" refreshedDate="44071.596623495374" createdVersion="6" refreshedVersion="6" minRefreshableVersion="3" recordCount="177">
  <cacheSource type="worksheet">
    <worksheetSource ref="A5:G182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Natirut Daungpak" refreshedDate="44071.596652430555" createdVersion="6" refreshedVersion="6" minRefreshableVersion="3" recordCount="182">
  <cacheSource type="worksheet">
    <worksheetSource ref="A5:G187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9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5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3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  <r>
    <x v="21"/>
    <x v="1"/>
    <d v="2020-09-11T00:00:00"/>
    <s v="2"/>
    <s v="4056C002AA"/>
    <s v="IR-ADV 4725I 120V (F17-7331-000)"/>
    <n v="40"/>
  </r>
  <r>
    <x v="21"/>
    <x v="1"/>
    <d v="2020-09-11T00:00:00"/>
    <s v="3"/>
    <s v="4056C005AA"/>
    <s v="IR-ADV 4725I EU 230V (F17-7391-000)"/>
    <n v="74"/>
  </r>
  <r>
    <x v="21"/>
    <x v="1"/>
    <d v="2020-09-11T00:00:00"/>
    <s v="4"/>
    <s v="4054C003AA"/>
    <s v="IR-ADV 4745I 120V (F17-7335-000)"/>
    <n v="27"/>
  </r>
  <r>
    <x v="21"/>
    <x v="2"/>
    <d v="2020-09-11T00:00:00"/>
    <s v="4"/>
    <s v="4054C003AA"/>
    <s v="IR-ADV 4745I 120V (F17-7335-000)"/>
    <n v="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40">
  <r>
    <x v="0"/>
    <x v="0"/>
    <m/>
    <m/>
    <m/>
    <m/>
    <m/>
  </r>
  <r>
    <x v="1"/>
    <x v="1"/>
    <d v="2020-08-18T00:00:00"/>
    <s v="4"/>
    <s v="3856C001AA"/>
    <s v="iR-ADV C3730F 100V"/>
    <n v="37"/>
  </r>
  <r>
    <x v="1"/>
    <x v="1"/>
    <d v="2020-08-19T00:00:00"/>
    <s v="1"/>
    <s v="3856C001AA"/>
    <s v="iR-ADV C3730F 100V"/>
    <n v="18"/>
  </r>
  <r>
    <x v="1"/>
    <x v="1"/>
    <d v="2020-08-19T00:00:00"/>
    <s v="2"/>
    <s v="3856C008AA"/>
    <s v="IR-ADV C3730 CN 220V"/>
    <n v="40"/>
  </r>
  <r>
    <x v="1"/>
    <x v="1"/>
    <d v="2020-08-19T00:00:00"/>
    <s v="3"/>
    <s v="3856C009AA"/>
    <s v="iR-ADV C3730 KR 220V"/>
    <n v="27"/>
  </r>
  <r>
    <x v="1"/>
    <x v="1"/>
    <d v="2020-08-19T00:00:00"/>
    <s v="4"/>
    <s v="3857C005AA"/>
    <s v="iR-ADV C3725i EUR 230V"/>
    <n v="38"/>
  </r>
  <r>
    <x v="1"/>
    <x v="2"/>
    <d v="2020-08-19T00:00:00"/>
    <s v="4"/>
    <s v="3857C005AA"/>
    <s v="iR-ADV C3725i EUR 230V"/>
    <n v="97"/>
  </r>
  <r>
    <x v="1"/>
    <x v="2"/>
    <d v="2020-08-19T00:00:00"/>
    <s v="5"/>
    <s v="3858C008AA"/>
    <s v="IR-ADV C3720 CN 220V"/>
    <n v="35"/>
  </r>
  <r>
    <x v="1"/>
    <x v="2"/>
    <d v="2020-08-19T00:00:00"/>
    <s v="6"/>
    <s v="3858C010AA"/>
    <s v="IR-ADV C3720I TW 120V"/>
    <n v="12"/>
  </r>
  <r>
    <x v="1"/>
    <x v="2"/>
    <d v="2020-08-19T00:00:00"/>
    <s v="7"/>
    <s v="3856C001AA"/>
    <s v="iR-ADV C3730F 100V"/>
    <n v="16"/>
  </r>
  <r>
    <x v="2"/>
    <x v="1"/>
    <d v="2020-08-19T00:00:00"/>
    <s v="7"/>
    <s v="3856C001AA"/>
    <s v="iR-ADV C3730F 100V"/>
    <n v="37"/>
  </r>
  <r>
    <x v="2"/>
    <x v="1"/>
    <d v="2020-08-20T00:00:00"/>
    <s v="1"/>
    <s v="3856C001AA"/>
    <s v="iR-ADV C3730F 100V"/>
    <n v="30"/>
  </r>
  <r>
    <x v="2"/>
    <x v="1"/>
    <d v="2020-08-20T00:00:00"/>
    <s v="2"/>
    <s v="3856C005AA"/>
    <s v="iR-ADV C3730i EUR 230V"/>
    <n v="101"/>
  </r>
  <r>
    <x v="2"/>
    <x v="2"/>
    <d v="2020-08-20T00:00:00"/>
    <s v="2"/>
    <s v="3856C005AA"/>
    <s v="iR-ADV C3730i EUR 230V"/>
    <n v="65"/>
  </r>
  <r>
    <x v="2"/>
    <x v="2"/>
    <d v="2020-08-20T00:00:00"/>
    <s v="3"/>
    <s v="3856C006AA"/>
    <s v="iR-ADV C3730i 230V"/>
    <n v="4"/>
  </r>
  <r>
    <x v="2"/>
    <x v="2"/>
    <d v="2020-08-20T00:00:00"/>
    <s v="4"/>
    <s v="3857C005AA"/>
    <s v="iR-ADV C3725i EUR 230V"/>
    <n v="67"/>
  </r>
  <r>
    <x v="2"/>
    <x v="2"/>
    <d v="2020-08-20T00:00:00"/>
    <s v="5"/>
    <s v="3856C001AA"/>
    <s v="iR-ADV C3730F 100V"/>
    <n v="8"/>
  </r>
  <r>
    <x v="2"/>
    <x v="2"/>
    <d v="2020-08-20T00:00:00"/>
    <s v="6"/>
    <s v="3856C005AA"/>
    <s v="iR-ADV C3730i EUR 230V"/>
    <n v="24"/>
  </r>
  <r>
    <x v="3"/>
    <x v="1"/>
    <d v="2020-08-20T00:00:00"/>
    <s v="6"/>
    <s v="3856C005AA"/>
    <s v="iR-ADV C3730i EUR 230V"/>
    <n v="21"/>
  </r>
  <r>
    <x v="3"/>
    <x v="1"/>
    <d v="2020-08-21T00:00:00"/>
    <s v="1"/>
    <s v="3856C005AA"/>
    <s v="iR-ADV C3730i EUR 230V"/>
    <n v="139"/>
  </r>
  <r>
    <x v="3"/>
    <x v="2"/>
    <d v="2020-08-21T00:00:00"/>
    <s v="1"/>
    <s v="3856C005AA"/>
    <s v="iR-ADV C3730i EUR 230V"/>
    <n v="128"/>
  </r>
  <r>
    <x v="3"/>
    <x v="2"/>
    <d v="2020-08-21T00:00:00"/>
    <s v="2"/>
    <s v="3856C001AA"/>
    <s v="iR-ADV C3730F 100V"/>
    <n v="32"/>
  </r>
  <r>
    <x v="4"/>
    <x v="1"/>
    <d v="2020-08-21T00:00:00"/>
    <s v="2"/>
    <s v="3856C001AA"/>
    <s v="iR-ADV C3730F 100V"/>
    <n v="21"/>
  </r>
  <r>
    <x v="4"/>
    <x v="1"/>
    <d v="2020-08-22T00:00:00"/>
    <s v="1"/>
    <s v="3856C001AA"/>
    <s v="iR-ADV C3730F 100V"/>
    <n v="52"/>
  </r>
  <r>
    <x v="4"/>
    <x v="1"/>
    <d v="2020-08-22T00:00:00"/>
    <s v="2"/>
    <s v="3856C005AA"/>
    <s v="iR-ADV C3730i EUR 230V"/>
    <n v="57"/>
  </r>
  <r>
    <x v="4"/>
    <x v="2"/>
    <d v="2020-08-22T00:00:00"/>
    <s v="2"/>
    <s v="3856C005AA"/>
    <s v="iR-ADV C3730i EUR 230V"/>
    <n v="98"/>
  </r>
  <r>
    <x v="4"/>
    <x v="2"/>
    <d v="2020-08-22T00:00:00"/>
    <s v="3"/>
    <s v="3856C009AA"/>
    <s v="iR-ADV C3730 KR 220V"/>
    <n v="11"/>
  </r>
  <r>
    <x v="4"/>
    <x v="2"/>
    <d v="2020-08-22T00:00:00"/>
    <s v="4"/>
    <s v="3857C005AA"/>
    <s v="iR-ADV C3725i EUR 230V"/>
    <n v="21"/>
  </r>
  <r>
    <x v="5"/>
    <x v="1"/>
    <d v="2020-08-22T00:00:00"/>
    <s v="4"/>
    <s v="3857C005AA"/>
    <s v="iR-ADV C3725i EUR 230V"/>
    <n v="21"/>
  </r>
  <r>
    <x v="5"/>
    <x v="1"/>
    <d v="2020-08-24T00:00:00"/>
    <s v="1"/>
    <s v="3857C005AA"/>
    <s v="iR-ADV C3725i EUR 230V"/>
    <n v="3"/>
  </r>
  <r>
    <x v="5"/>
    <x v="1"/>
    <d v="2020-08-24T00:00:00"/>
    <s v="2"/>
    <s v="3857C009AA"/>
    <s v="iR-ADV C3725 KR 220V"/>
    <n v="80"/>
  </r>
  <r>
    <x v="5"/>
    <x v="1"/>
    <d v="2020-08-24T00:00:00"/>
    <s v="3"/>
    <s v="3858C001AA"/>
    <s v="iR-ADV C3720F 100V"/>
    <n v="24"/>
  </r>
  <r>
    <x v="5"/>
    <x v="2"/>
    <d v="2020-08-24T00:00:00"/>
    <s v="3"/>
    <s v="3858C001AA"/>
    <s v="iR-ADV C3720F 100V"/>
    <n v="63"/>
  </r>
  <r>
    <x v="5"/>
    <x v="2"/>
    <d v="2020-08-24T00:00:00"/>
    <s v="4"/>
    <s v="3858C009AA"/>
    <s v="IR-ADV C3720 KR 220V"/>
    <n v="33"/>
  </r>
  <r>
    <x v="5"/>
    <x v="2"/>
    <d v="2020-08-24T00:00:00"/>
    <s v="5"/>
    <s v="3856C008AA"/>
    <s v="IR-ADV C3730 CN 220V"/>
    <n v="9"/>
  </r>
  <r>
    <x v="5"/>
    <x v="2"/>
    <d v="2020-08-24T00:00:00"/>
    <s v="6"/>
    <s v="3857C005AA"/>
    <s v="iR-ADV C3725i EUR 230V"/>
    <n v="11"/>
  </r>
  <r>
    <x v="5"/>
    <x v="2"/>
    <d v="2020-08-24T00:00:00"/>
    <s v="7"/>
    <s v="3857C009AA"/>
    <s v="iR-ADV C3725 KR 220V"/>
    <n v="12"/>
  </r>
  <r>
    <x v="6"/>
    <x v="1"/>
    <d v="2020-08-24T00:00:00"/>
    <s v="7"/>
    <s v="3857C009AA"/>
    <s v="iR-ADV C3725 KR 220V"/>
    <n v="21"/>
  </r>
  <r>
    <x v="6"/>
    <x v="1"/>
    <d v="2020-08-25T00:00:00"/>
    <s v="1"/>
    <s v="3857C009AA"/>
    <s v="iR-ADV C3725 KR 220V"/>
    <n v="47"/>
  </r>
  <r>
    <x v="6"/>
    <x v="1"/>
    <d v="2020-08-25T00:00:00"/>
    <s v="2"/>
    <s v="3858C001AA"/>
    <s v="iR-ADV C3720F 100V"/>
    <n v="100"/>
  </r>
  <r>
    <x v="6"/>
    <x v="2"/>
    <d v="2020-08-25T00:00:00"/>
    <s v="2"/>
    <s v="3858C001AA"/>
    <s v="iR-ADV C3720F 100V"/>
    <n v="31"/>
  </r>
  <r>
    <x v="6"/>
    <x v="2"/>
    <d v="2020-08-25T00:00:00"/>
    <s v="3"/>
    <s v="3858C005AA"/>
    <s v="iR-ADV C3720i EUR 230V"/>
    <n v="105"/>
  </r>
  <r>
    <x v="6"/>
    <x v="2"/>
    <d v="2020-08-25T00:00:00"/>
    <s v="4"/>
    <s v="3856C001AA"/>
    <s v="iR-ADV C3730F 100V"/>
    <n v="24"/>
  </r>
  <r>
    <x v="6"/>
    <x v="2"/>
    <d v="2020-08-25T00:00:00"/>
    <s v="5"/>
    <s v="3857C005AA"/>
    <s v="iR-ADV C3725i EUR 230V"/>
    <n v="8"/>
  </r>
  <r>
    <x v="7"/>
    <x v="1"/>
    <d v="2020-08-25T00:00:00"/>
    <s v="5"/>
    <s v="3857C005AA"/>
    <s v="iR-ADV C3725i EUR 230V"/>
    <n v="21"/>
  </r>
  <r>
    <x v="7"/>
    <x v="1"/>
    <d v="2020-08-26T00:00:00"/>
    <s v="1"/>
    <s v="3857C005AA"/>
    <s v="iR-ADV C3725i EUR 230V"/>
    <n v="96"/>
  </r>
  <r>
    <x v="7"/>
    <x v="1"/>
    <d v="2020-08-26T00:00:00"/>
    <s v="2"/>
    <s v="3857C009AA"/>
    <s v="iR-ADV C3725 KR 220V"/>
    <n v="51"/>
  </r>
  <r>
    <x v="7"/>
    <x v="2"/>
    <d v="2020-08-26T00:00:00"/>
    <s v="2"/>
    <s v="3857C009AA"/>
    <s v="iR-ADV C3725 KR 220V"/>
    <n v="29"/>
  </r>
  <r>
    <x v="7"/>
    <x v="2"/>
    <d v="2020-08-26T00:00:00"/>
    <s v="3"/>
    <s v="3858C001AA"/>
    <s v="iR-ADV C3720F 100V"/>
    <n v="107"/>
  </r>
  <r>
    <x v="7"/>
    <x v="2"/>
    <d v="2020-08-26T00:00:00"/>
    <s v="4"/>
    <s v="3856C006AA"/>
    <s v="iR-ADV C3730i 230V"/>
    <n v="32"/>
  </r>
  <r>
    <x v="8"/>
    <x v="1"/>
    <d v="2020-08-26T00:00:00"/>
    <s v="4"/>
    <s v="3856C006AA"/>
    <s v="iR-ADV C3730i 230V"/>
    <n v="8"/>
  </r>
  <r>
    <x v="8"/>
    <x v="1"/>
    <d v="2020-08-26T00:00:00"/>
    <s v="5"/>
    <s v="3857C006AA"/>
    <s v="iR-ADV C3725i 230V"/>
    <n v="13"/>
  </r>
  <r>
    <x v="8"/>
    <x v="1"/>
    <d v="2020-08-27T00:00:00"/>
    <s v="1"/>
    <s v="3857C006AA"/>
    <s v="iR-ADV C3725i 230V"/>
    <n v="37"/>
  </r>
  <r>
    <x v="8"/>
    <x v="1"/>
    <d v="2020-08-27T00:00:00"/>
    <s v="2"/>
    <s v="3857C009AA"/>
    <s v="iR-ADV C3725 KR 220V"/>
    <n v="63"/>
  </r>
  <r>
    <x v="8"/>
    <x v="1"/>
    <d v="2020-08-27T00:00:00"/>
    <s v="3"/>
    <s v="3858C001AA"/>
    <s v="iR-ADV C3720F 100V"/>
    <n v="39"/>
  </r>
  <r>
    <x v="8"/>
    <x v="2"/>
    <d v="2020-08-27T00:00:00"/>
    <s v="3"/>
    <s v="3858C001AA"/>
    <s v="iR-ADV C3720F 100V"/>
    <n v="72"/>
  </r>
  <r>
    <x v="8"/>
    <x v="2"/>
    <d v="2020-08-27T00:00:00"/>
    <s v="4"/>
    <s v="3858C006AA"/>
    <s v="iR-ADV C3720i 230V"/>
    <n v="56"/>
  </r>
  <r>
    <x v="8"/>
    <x v="2"/>
    <d v="2020-08-27T00:00:00"/>
    <s v="5"/>
    <s v="3856C006AA"/>
    <s v="iR-ADV C3730i 230V"/>
    <n v="32"/>
  </r>
  <r>
    <x v="9"/>
    <x v="1"/>
    <d v="2020-08-27T00:00:00"/>
    <s v="5"/>
    <s v="3856C006AA"/>
    <s v="iR-ADV C3730i 230V"/>
    <n v="12"/>
  </r>
  <r>
    <x v="9"/>
    <x v="1"/>
    <d v="2020-08-27T00:00:00"/>
    <s v="6"/>
    <s v="3857C006AA"/>
    <s v="iR-ADV C3725i 230V"/>
    <n v="9"/>
  </r>
  <r>
    <x v="9"/>
    <x v="1"/>
    <d v="2020-08-28T00:00:00"/>
    <s v="1"/>
    <s v="3857C006AA"/>
    <s v="iR-ADV C3725i 230V"/>
    <n v="10"/>
  </r>
  <r>
    <x v="9"/>
    <x v="1"/>
    <d v="2020-08-28T00:00:00"/>
    <s v="2"/>
    <s v="3858C001AA"/>
    <s v="iR-ADV C3720F 100V"/>
    <n v="99"/>
  </r>
  <r>
    <x v="9"/>
    <x v="2"/>
    <d v="2020-08-28T00:00:00"/>
    <s v="2"/>
    <s v="3858C001AA"/>
    <s v="iR-ADV C3720F 100V"/>
    <n v="72"/>
  </r>
  <r>
    <x v="9"/>
    <x v="2"/>
    <d v="2020-08-28T00:00:00"/>
    <s v="3"/>
    <s v="3858C006AA"/>
    <s v="iR-ADV C3720i 230V"/>
    <n v="26"/>
  </r>
  <r>
    <x v="9"/>
    <x v="2"/>
    <d v="2020-08-28T00:00:00"/>
    <s v="4"/>
    <s v="3856C005AA"/>
    <s v="iR-ADV C3730i EUR 230V"/>
    <n v="32"/>
  </r>
  <r>
    <x v="10"/>
    <x v="1"/>
    <d v="2020-08-28T00:00:00"/>
    <s v="4"/>
    <s v="3856C005AA"/>
    <s v="iR-ADV C3730i EUR 230V"/>
    <n v="21"/>
  </r>
  <r>
    <x v="10"/>
    <x v="1"/>
    <d v="2020-08-29T00:00:00"/>
    <s v="1"/>
    <s v="3856C005AA"/>
    <s v="iR-ADV C3730i EUR 230V"/>
    <n v="29"/>
  </r>
  <r>
    <x v="10"/>
    <x v="1"/>
    <d v="2020-08-29T00:00:00"/>
    <s v="2"/>
    <s v="3857C005AA"/>
    <s v="iR-ADV C3725i EUR 230V"/>
    <n v="14"/>
  </r>
  <r>
    <x v="10"/>
    <x v="1"/>
    <d v="2020-08-29T00:00:00"/>
    <s v="3"/>
    <s v="3858C001AA"/>
    <s v="iR-ADV C3720F 100V"/>
    <n v="96"/>
  </r>
  <r>
    <x v="10"/>
    <x v="2"/>
    <d v="2020-08-29T00:00:00"/>
    <s v="3"/>
    <s v="3858C001AA"/>
    <s v="iR-ADV C3720F 100V"/>
    <n v="74"/>
  </r>
  <r>
    <x v="10"/>
    <x v="2"/>
    <d v="2020-08-29T00:00:00"/>
    <s v="4"/>
    <s v="3858C006AA"/>
    <s v="iR-ADV C3720i 230V"/>
    <n v="54"/>
  </r>
  <r>
    <x v="10"/>
    <x v="2"/>
    <d v="2020-08-29T00:00:00"/>
    <s v="5"/>
    <s v="3856C009AA"/>
    <s v="iR-ADV C3730 KR 220V"/>
    <n v="32"/>
  </r>
  <r>
    <x v="11"/>
    <x v="1"/>
    <d v="2020-08-29T00:00:00"/>
    <s v="5"/>
    <s v="3856C009AA"/>
    <s v="iR-ADV C3730 KR 220V"/>
    <n v="21"/>
  </r>
  <r>
    <x v="11"/>
    <x v="1"/>
    <d v="2020-08-31T00:00:00"/>
    <s v="1"/>
    <s v="3856C009AA"/>
    <s v="iR-ADV C3730 KR 220V"/>
    <n v="3"/>
  </r>
  <r>
    <x v="11"/>
    <x v="1"/>
    <d v="2020-08-31T00:00:00"/>
    <s v="2"/>
    <s v="3857C005AA"/>
    <s v="iR-ADV C3725i EUR 230V"/>
    <n v="28"/>
  </r>
  <r>
    <x v="11"/>
    <x v="1"/>
    <d v="2020-08-31T00:00:00"/>
    <s v="3"/>
    <s v="3857C009AA"/>
    <s v="iR-ADV C3725 KR 220V"/>
    <n v="76"/>
  </r>
  <r>
    <x v="11"/>
    <x v="2"/>
    <d v="2020-08-31T00:00:00"/>
    <s v="3"/>
    <s v="3857C009AA"/>
    <s v="iR-ADV C3725 KR 220V"/>
    <n v="10"/>
  </r>
  <r>
    <x v="11"/>
    <x v="2"/>
    <d v="2020-08-31T00:00:00"/>
    <s v="4"/>
    <s v="3858C009AA"/>
    <s v="IR-ADV C3720 KR 220V"/>
    <n v="86"/>
  </r>
  <r>
    <x v="11"/>
    <x v="2"/>
    <d v="2020-08-31T00:00:00"/>
    <s v="5"/>
    <s v="3857C005AA"/>
    <s v="iR-ADV C3725i EUR 230V"/>
    <n v="32"/>
  </r>
  <r>
    <x v="12"/>
    <x v="1"/>
    <d v="2020-08-31T00:00:00"/>
    <s v="5"/>
    <s v="3857C005AA"/>
    <s v="iR-ADV C3725i EUR 230V"/>
    <n v="21"/>
  </r>
  <r>
    <x v="12"/>
    <x v="1"/>
    <d v="2020-09-01T00:00:00"/>
    <s v="1"/>
    <s v="3857C005AA"/>
    <s v="iR-ADV C3725i EUR 230V"/>
    <n v="111"/>
  </r>
  <r>
    <x v="12"/>
    <x v="1"/>
    <d v="2020-09-01T00:00:00"/>
    <s v="2"/>
    <s v="3857C009AA"/>
    <s v="iR-ADV C3725 KR 220V"/>
    <n v="32"/>
  </r>
  <r>
    <x v="12"/>
    <x v="2"/>
    <d v="2020-09-01T00:00:00"/>
    <s v="2"/>
    <s v="3857C009AA"/>
    <s v="iR-ADV C3725 KR 220V"/>
    <n v="132"/>
  </r>
  <r>
    <x v="12"/>
    <x v="2"/>
    <d v="2020-09-01T00:00:00"/>
    <s v="3"/>
    <s v="3856C005AA"/>
    <s v="iR-ADV C3730i EUR 230V"/>
    <n v="32"/>
  </r>
  <r>
    <x v="13"/>
    <x v="1"/>
    <d v="2020-09-01T00:00:00"/>
    <s v="3"/>
    <s v="3856C005AA"/>
    <s v="iR-ADV C3730i EUR 230V"/>
    <n v="21"/>
  </r>
  <r>
    <x v="13"/>
    <x v="1"/>
    <d v="2020-09-02T00:00:00"/>
    <s v="1"/>
    <s v="3856C005AA"/>
    <s v="iR-ADV C3730i EUR 230V"/>
    <n v="38"/>
  </r>
  <r>
    <x v="13"/>
    <x v="1"/>
    <d v="2020-09-02T00:00:00"/>
    <s v="2"/>
    <s v="3856C006AA"/>
    <s v="iR-ADV C3730i 230V"/>
    <n v="73"/>
  </r>
  <r>
    <x v="13"/>
    <x v="1"/>
    <d v="2020-09-02T00:00:00"/>
    <s v="3"/>
    <s v="3857C009AA"/>
    <s v="iR-ADV C3725 KR 220V"/>
    <n v="36"/>
  </r>
  <r>
    <x v="13"/>
    <x v="2"/>
    <d v="2020-09-02T00:00:00"/>
    <s v="3"/>
    <s v="3857C009AA"/>
    <s v="iR-ADV C3725 KR 220V"/>
    <n v="50"/>
  </r>
  <r>
    <x v="13"/>
    <x v="2"/>
    <d v="2020-09-02T00:00:00"/>
    <s v="4"/>
    <s v="3858C009AA"/>
    <s v="IR-ADV C3720 KR 220V"/>
    <n v="86"/>
  </r>
  <r>
    <x v="13"/>
    <x v="2"/>
    <d v="2020-09-02T00:00:00"/>
    <s v="5"/>
    <s v="3856C005AA"/>
    <s v="iR-ADV C3730i EUR 230V"/>
    <n v="32"/>
  </r>
  <r>
    <x v="14"/>
    <x v="1"/>
    <d v="2020-09-02T00:00:00"/>
    <s v="5"/>
    <s v="3856C005AA"/>
    <s v="iR-ADV C3730i EUR 230V"/>
    <n v="21"/>
  </r>
  <r>
    <x v="14"/>
    <x v="1"/>
    <d v="2020-09-03T00:00:00"/>
    <s v="1"/>
    <s v="3856C005AA"/>
    <s v="iR-ADV C3730i EUR 230V"/>
    <n v="47"/>
  </r>
  <r>
    <x v="14"/>
    <x v="1"/>
    <d v="2020-09-03T00:00:00"/>
    <s v="2"/>
    <s v="3858C001AA"/>
    <s v="iR-ADV C3720F 100V"/>
    <n v="92"/>
  </r>
  <r>
    <x v="14"/>
    <x v="2"/>
    <d v="2020-09-03T00:00:00"/>
    <s v="2"/>
    <s v="3858C001AA"/>
    <s v="iR-ADV C3720F 100V"/>
    <n v="10"/>
  </r>
  <r>
    <x v="14"/>
    <x v="2"/>
    <d v="2020-09-03T00:00:00"/>
    <s v="3"/>
    <s v="3858C006AA"/>
    <s v="iR-ADV C3720i 230V"/>
    <n v="118"/>
  </r>
  <r>
    <x v="14"/>
    <x v="2"/>
    <d v="2020-09-03T00:00:00"/>
    <s v="4"/>
    <s v="3856C005AA"/>
    <s v="iR-ADV C3730i EUR 230V"/>
    <n v="32"/>
  </r>
  <r>
    <x v="15"/>
    <x v="1"/>
    <d v="2020-09-03T00:00:00"/>
    <s v="4"/>
    <s v="3856C005AA"/>
    <s v="iR-ADV C3730i EUR 230V"/>
    <n v="21"/>
  </r>
  <r>
    <x v="15"/>
    <x v="1"/>
    <d v="2020-09-04T00:00:00"/>
    <s v="1"/>
    <s v="3856C005AA"/>
    <s v="iR-ADV C3730i EUR 230V"/>
    <n v="47"/>
  </r>
  <r>
    <x v="15"/>
    <x v="1"/>
    <d v="2020-09-04T00:00:00"/>
    <s v="2"/>
    <s v="3858C001AA"/>
    <s v="iR-ADV C3720F 100V"/>
    <n v="92"/>
  </r>
  <r>
    <x v="15"/>
    <x v="2"/>
    <d v="2020-09-04T00:00:00"/>
    <s v="2"/>
    <s v="3858C001AA"/>
    <s v="iR-ADV C3720F 100V"/>
    <n v="78"/>
  </r>
  <r>
    <x v="15"/>
    <x v="2"/>
    <d v="2020-09-04T00:00:00"/>
    <s v="3"/>
    <s v="3858C005AA"/>
    <s v="iR-ADV C3720i EUR 230V"/>
    <n v="50"/>
  </r>
  <r>
    <x v="15"/>
    <x v="2"/>
    <d v="2020-09-04T00:00:00"/>
    <s v="4"/>
    <s v="3856C005AA"/>
    <s v="iR-ADV C3730i EUR 230V"/>
    <n v="32"/>
  </r>
  <r>
    <x v="16"/>
    <x v="1"/>
    <d v="2020-09-04T00:00:00"/>
    <s v="4"/>
    <s v="3856C005AA"/>
    <s v="iR-ADV C3730i EUR 230V"/>
    <n v="21"/>
  </r>
  <r>
    <x v="16"/>
    <x v="1"/>
    <d v="2020-09-05T00:00:00"/>
    <s v="1"/>
    <s v="3856C005AA"/>
    <s v="iR-ADV C3730i EUR 230V"/>
    <n v="47"/>
  </r>
  <r>
    <x v="16"/>
    <x v="1"/>
    <d v="2020-09-05T00:00:00"/>
    <s v="2"/>
    <s v="3858C001AA"/>
    <s v="iR-ADV C3720F 100V"/>
    <n v="90"/>
  </r>
  <r>
    <x v="16"/>
    <x v="2"/>
    <d v="2020-09-05T00:00:00"/>
    <s v="2"/>
    <s v="3858C001AA"/>
    <s v="iR-ADV C3720F 100V"/>
    <n v="38"/>
  </r>
  <r>
    <x v="16"/>
    <x v="2"/>
    <d v="2020-09-05T00:00:00"/>
    <s v="3"/>
    <s v="3858C005AA"/>
    <s v="iR-ADV C3720i EUR 230V"/>
    <n v="32"/>
  </r>
  <r>
    <x v="16"/>
    <x v="2"/>
    <d v="2020-09-05T00:00:00"/>
    <s v="4"/>
    <s v="3856C009AA"/>
    <s v="iR-ADV C3730 KR 220V"/>
    <n v="9"/>
  </r>
  <r>
    <x v="16"/>
    <x v="2"/>
    <d v="2020-09-05T00:00:00"/>
    <s v="5"/>
    <s v="3857C005AA"/>
    <s v="iR-ADV C3725i EUR 230V"/>
    <n v="44"/>
  </r>
  <r>
    <x v="16"/>
    <x v="2"/>
    <d v="2020-09-07T00:00:00"/>
    <s v="1"/>
    <s v="3857C005AA"/>
    <s v="iR-ADV C3725i EUR 230V"/>
    <n v="35"/>
  </r>
  <r>
    <x v="17"/>
    <x v="1"/>
    <d v="2020-09-07T00:00:00"/>
    <s v="1"/>
    <s v="3857C005AA"/>
    <s v="iR-ADV C3725i EUR 230V"/>
    <n v="37"/>
  </r>
  <r>
    <x v="17"/>
    <x v="1"/>
    <d v="2020-09-07T00:00:00"/>
    <s v="2"/>
    <s v="3858C001AA"/>
    <s v="iR-ADV C3720F 100V"/>
    <n v="43"/>
  </r>
  <r>
    <x v="17"/>
    <x v="1"/>
    <d v="2020-09-07T00:00:00"/>
    <s v="3"/>
    <s v="3858C006AA"/>
    <s v="iR-ADV C3720i 230V"/>
    <n v="88"/>
  </r>
  <r>
    <x v="17"/>
    <x v="2"/>
    <d v="2020-09-07T00:00:00"/>
    <s v="4"/>
    <s v="3856C005AA"/>
    <s v="iR-ADV C3730i EUR 230V"/>
    <n v="53"/>
  </r>
  <r>
    <x v="17"/>
    <x v="2"/>
    <d v="2020-09-08T00:00:00"/>
    <s v="1"/>
    <s v="3856C005AA"/>
    <s v="iR-ADV C3730i EUR 230V"/>
    <n v="10"/>
  </r>
  <r>
    <x v="17"/>
    <x v="2"/>
    <d v="2020-09-08T00:00:00"/>
    <s v="2"/>
    <s v="3858C001AA"/>
    <s v="iR-ADV C3720F 100V"/>
    <n v="51"/>
  </r>
  <r>
    <x v="17"/>
    <x v="2"/>
    <d v="2020-09-08T00:00:00"/>
    <s v="3"/>
    <s v="3858C005AA"/>
    <s v="iR-ADV C3720i EUR 230V"/>
    <n v="54"/>
  </r>
  <r>
    <x v="18"/>
    <x v="1"/>
    <d v="2020-09-08T00:00:00"/>
    <s v="3"/>
    <s v="3858C005AA"/>
    <s v="iR-ADV C3720i EUR 230V"/>
    <n v="126"/>
  </r>
  <r>
    <x v="18"/>
    <x v="1"/>
    <d v="2020-09-08T00:00:00"/>
    <s v="4"/>
    <s v="3858C008AA"/>
    <s v="IR-ADV C3720 CN 220V"/>
    <n v="42"/>
  </r>
  <r>
    <x v="18"/>
    <x v="2"/>
    <d v="2020-09-08T00:00:00"/>
    <s v="5"/>
    <s v="3856C005AA"/>
    <s v="iR-ADV C3730i EUR 230V"/>
    <n v="53"/>
  </r>
  <r>
    <x v="18"/>
    <x v="2"/>
    <d v="2020-09-09T00:00:00"/>
    <s v="1"/>
    <s v="3856C005AA"/>
    <s v="iR-ADV C3730i EUR 230V"/>
    <n v="54"/>
  </r>
  <r>
    <x v="18"/>
    <x v="2"/>
    <d v="2020-09-09T00:00:00"/>
    <s v="2"/>
    <s v="3856C006AA"/>
    <s v="iR-ADV C3730i 230V"/>
    <n v="58"/>
  </r>
  <r>
    <x v="18"/>
    <x v="2"/>
    <d v="2020-09-09T00:00:00"/>
    <s v="3"/>
    <s v="3856C008AA"/>
    <s v="IR-ADV C3730 CN 220V"/>
    <n v="3"/>
  </r>
  <r>
    <x v="19"/>
    <x v="1"/>
    <d v="2020-09-09T00:00:00"/>
    <s v="3"/>
    <s v="3856C008AA"/>
    <s v="IR-ADV C3730 CN 220V"/>
    <n v="44"/>
  </r>
  <r>
    <x v="19"/>
    <x v="1"/>
    <d v="2020-09-09T00:00:00"/>
    <s v="4"/>
    <s v="3857C005AA"/>
    <s v="iR-ADV C3725i EUR 230V"/>
    <n v="73"/>
  </r>
  <r>
    <x v="19"/>
    <x v="1"/>
    <d v="2020-09-09T00:00:00"/>
    <s v="5"/>
    <s v="3858C001AA"/>
    <s v="iR-ADV C3720F 100V"/>
    <n v="13"/>
  </r>
  <r>
    <x v="19"/>
    <x v="2"/>
    <d v="2020-09-09T00:00:00"/>
    <s v="5"/>
    <s v="3858C001AA"/>
    <s v="iR-ADV C3720F 100V"/>
    <n v="38"/>
  </r>
  <r>
    <x v="19"/>
    <x v="2"/>
    <d v="2020-09-09T00:00:00"/>
    <s v="6"/>
    <s v="3856C005AA"/>
    <s v="iR-ADV C3730i EUR 230V"/>
    <n v="42"/>
  </r>
  <r>
    <x v="19"/>
    <x v="2"/>
    <d v="2020-09-09T00:00:00"/>
    <s v="7"/>
    <s v="3857C005AA"/>
    <s v="iR-ADV C3725i EUR 230V"/>
    <n v="11"/>
  </r>
  <r>
    <x v="19"/>
    <x v="2"/>
    <d v="2020-09-10T00:00:00"/>
    <s v="1"/>
    <s v="3857C005AA"/>
    <s v="iR-ADV C3725i EUR 230V"/>
    <n v="39"/>
  </r>
  <r>
    <x v="20"/>
    <x v="1"/>
    <d v="2020-09-10T00:00:00"/>
    <s v="1"/>
    <s v="3857C005AA"/>
    <s v="iR-ADV C3725i EUR 230V"/>
    <n v="128"/>
  </r>
  <r>
    <x v="20"/>
    <x v="2"/>
    <d v="2020-09-10T00:00:00"/>
    <s v="1"/>
    <s v="3857C005AA"/>
    <s v="iR-ADV C3725i EUR 230V"/>
    <n v="49"/>
  </r>
  <r>
    <x v="20"/>
    <x v="2"/>
    <d v="2020-09-10T00:00:00"/>
    <s v="2"/>
    <s v="3858C001AA"/>
    <s v="iR-ADV C3720F 100V"/>
    <n v="51"/>
  </r>
  <r>
    <x v="20"/>
    <x v="2"/>
    <d v="2020-09-10T00:00:00"/>
    <s v="3"/>
    <s v="3856C005AA"/>
    <s v="iR-ADV C3730i EUR 230V"/>
    <n v="28"/>
  </r>
  <r>
    <x v="21"/>
    <x v="1"/>
    <d v="2020-09-10T00:00:00"/>
    <s v="3"/>
    <s v="3856C005AA"/>
    <s v="iR-ADV C3730i EUR 230V"/>
    <n v="25"/>
  </r>
  <r>
    <x v="21"/>
    <x v="1"/>
    <d v="2020-09-11T00:00:00"/>
    <s v="1"/>
    <s v="3856C005AA"/>
    <s v="iR-ADV C3730i EUR 230V"/>
    <n v="7"/>
  </r>
  <r>
    <x v="21"/>
    <x v="1"/>
    <d v="2020-09-11T00:00:00"/>
    <s v="2"/>
    <s v="3857C005AA"/>
    <s v="iR-ADV C3725i EUR 230V"/>
    <n v="136"/>
  </r>
  <r>
    <x v="21"/>
    <x v="2"/>
    <d v="2020-09-11T00:00:00"/>
    <s v="2"/>
    <s v="3857C005AA"/>
    <s v="iR-ADV C3725i EUR 230V"/>
    <n v="13"/>
  </r>
  <r>
    <x v="21"/>
    <x v="2"/>
    <d v="2020-09-11T00:00:00"/>
    <s v="3"/>
    <s v="3858C001AA"/>
    <s v="iR-ADV C3720F 100V"/>
    <n v="10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49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53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  <r>
    <x v="21"/>
    <x v="1"/>
    <d v="2020-09-11T00:00:00"/>
    <s v="4"/>
    <s v="3856C005AA"/>
    <s v="iR-ADV C3730i EUR 230V"/>
    <n v="24"/>
  </r>
  <r>
    <x v="21"/>
    <x v="2"/>
    <d v="2020-09-11T00:00:00"/>
    <s v="4"/>
    <s v="3856C005AA"/>
    <s v="iR-ADV C3730i EUR 230V"/>
    <n v="20"/>
  </r>
  <r>
    <x v="21"/>
    <x v="2"/>
    <d v="2020-09-11T00:00:00"/>
    <s v="5"/>
    <s v="3856C019AA"/>
    <s v="iR-ADV C3730F 100V (F17-6018-000)"/>
    <n v="53"/>
  </r>
  <r>
    <x v="21"/>
    <x v="2"/>
    <d v="2020-09-11T00:00:00"/>
    <s v="6"/>
    <s v="3856C002AA"/>
    <s v="iR-ADV C3730i 120V"/>
    <n v="5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77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82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  <r>
    <x v="21"/>
    <x v="1"/>
    <d v="2020-09-11T00:00:00"/>
    <s v="4"/>
    <s v="3653C008AA"/>
    <s v="IR C3125 CN 220V"/>
    <n v="5"/>
  </r>
  <r>
    <x v="21"/>
    <x v="2"/>
    <d v="2020-09-11T00:00:00"/>
    <s v="4"/>
    <s v="3653C008AA"/>
    <s v="IR C3125 CN 220V"/>
    <n v="43"/>
  </r>
  <r>
    <x v="21"/>
    <x v="2"/>
    <d v="2020-09-11T00:00:00"/>
    <s v="5"/>
    <s v="3652C006AA"/>
    <s v="IR C3120 230V"/>
    <n v="12"/>
  </r>
  <r>
    <x v="21"/>
    <x v="2"/>
    <d v="2020-09-11T00:00:00"/>
    <s v="6"/>
    <s v="3653C003AA"/>
    <s v="IR C3125I LTN 120V"/>
    <n v="11"/>
  </r>
  <r>
    <x v="21"/>
    <x v="2"/>
    <d v="2020-09-11T00:00:00"/>
    <s v="7"/>
    <s v="3653C005AA"/>
    <s v="IR C3125I EUR 230V"/>
    <n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PivotTableO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W17" firstHeaderRow="1" firstDataRow="2" firstDataCol="1"/>
  <pivotFields count="7">
    <pivotField axis="axisCol" showAll="0">
      <items count="22">
        <item x="12"/>
        <item x="13"/>
        <item x="14"/>
        <item x="15"/>
        <item x="16"/>
        <item x="17"/>
        <item x="18"/>
        <item x="19"/>
        <item x="20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M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Q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1:X26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O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O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Q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M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O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K8" sqref="K8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409"/>
  <sheetViews>
    <sheetView showGridLines="0" tabSelected="1" view="pageBreakPreview" zoomScale="53" zoomScaleNormal="100" zoomScaleSheetLayoutView="53" workbookViewId="0">
      <pane xSplit="7" ySplit="6" topLeftCell="H7" activePane="bottomRight" state="frozen"/>
      <selection activeCell="E70" sqref="E70"/>
      <selection pane="topRight" activeCell="E70" sqref="E70"/>
      <selection pane="bottomLeft" activeCell="E70" sqref="E70"/>
      <selection pane="bottomRight" activeCell="E1" sqref="E1"/>
    </sheetView>
  </sheetViews>
  <sheetFormatPr defaultRowHeight="20.25" customHeight="1"/>
  <cols>
    <col min="1" max="2" width="9.140625" style="449"/>
    <col min="3" max="3" width="23.28515625" style="1" customWidth="1"/>
    <col min="4" max="4" width="8.42578125" style="70" customWidth="1"/>
    <col min="5" max="5" width="22.28515625" style="36" customWidth="1"/>
    <col min="6" max="6" width="55.42578125" style="449" customWidth="1"/>
    <col min="7" max="7" width="10" style="35" customWidth="1"/>
    <col min="8" max="8" width="14.7109375" style="461" bestFit="1" customWidth="1"/>
    <col min="9" max="9" width="8" style="461" bestFit="1" customWidth="1"/>
    <col min="10" max="10" width="13.28515625" style="461" bestFit="1" customWidth="1"/>
    <col min="11" max="11" width="17.140625" style="35" bestFit="1" customWidth="1"/>
    <col min="12" max="13" width="10" style="35" customWidth="1"/>
    <col min="14" max="14" width="8.28515625" style="181" customWidth="1"/>
    <col min="15" max="15" width="8.28515625" style="35" hidden="1" customWidth="1"/>
    <col min="16" max="24" width="8.28515625" style="183" customWidth="1"/>
    <col min="25" max="25" width="39.140625" style="60" customWidth="1"/>
    <col min="26" max="26" width="8.7109375" style="35" customWidth="1"/>
    <col min="27" max="27" width="9.85546875" style="449" customWidth="1"/>
    <col min="28" max="29" width="10" style="449" customWidth="1"/>
    <col min="30" max="30" width="19.7109375" style="449" customWidth="1"/>
    <col min="31" max="31" width="19.7109375" style="6" customWidth="1"/>
    <col min="32" max="35" width="20" style="449" customWidth="1"/>
    <col min="36" max="16384" width="9.140625" style="449"/>
  </cols>
  <sheetData>
    <row r="1" spans="1:33" s="449" customFormat="1" ht="37.5" customHeight="1">
      <c r="C1" s="1"/>
      <c r="D1" s="67"/>
      <c r="E1" s="3"/>
      <c r="F1" s="4"/>
      <c r="G1" s="2"/>
      <c r="H1" s="450"/>
      <c r="I1" s="450"/>
      <c r="J1" s="450"/>
      <c r="K1" s="2"/>
      <c r="L1" s="2"/>
      <c r="M1" s="2"/>
      <c r="N1" s="2"/>
      <c r="O1" s="2"/>
      <c r="P1" s="120"/>
      <c r="Q1" s="2"/>
      <c r="R1" s="2"/>
      <c r="S1" s="2"/>
      <c r="T1" s="2"/>
      <c r="U1" s="2"/>
      <c r="V1" s="2"/>
      <c r="W1" s="2"/>
      <c r="X1" s="2"/>
      <c r="Y1" s="56"/>
      <c r="Z1" s="2"/>
      <c r="AE1" s="6"/>
    </row>
    <row r="2" spans="1:33" s="449" customFormat="1" ht="30" customHeight="1">
      <c r="C2" s="163" t="s">
        <v>22</v>
      </c>
      <c r="D2" s="68"/>
      <c r="E2" s="7"/>
      <c r="F2" s="7"/>
      <c r="G2" s="8"/>
      <c r="H2" s="451"/>
      <c r="I2" s="451"/>
      <c r="J2" s="451"/>
      <c r="K2" s="9"/>
      <c r="L2" s="2"/>
      <c r="M2" s="9"/>
      <c r="N2" s="9"/>
      <c r="O2" s="9"/>
      <c r="P2" s="121"/>
      <c r="Q2" s="9"/>
      <c r="R2" s="9"/>
      <c r="S2" s="9"/>
      <c r="T2" s="9"/>
      <c r="U2" s="9"/>
      <c r="V2" s="9"/>
      <c r="W2" s="9"/>
      <c r="X2" s="2"/>
      <c r="Y2" s="57"/>
      <c r="Z2" s="2"/>
      <c r="AD2" s="74" t="s">
        <v>0</v>
      </c>
      <c r="AE2" s="75" t="s">
        <v>1</v>
      </c>
      <c r="AF2" s="74" t="s">
        <v>2</v>
      </c>
      <c r="AG2" s="74" t="s">
        <v>3</v>
      </c>
    </row>
    <row r="3" spans="1:33" s="449" customFormat="1" ht="54.75" customHeight="1">
      <c r="C3" s="164" t="s">
        <v>511</v>
      </c>
      <c r="D3" s="68"/>
      <c r="E3" s="7"/>
      <c r="F3" s="7"/>
      <c r="G3" s="7"/>
      <c r="H3" s="452"/>
      <c r="I3" s="452"/>
      <c r="J3" s="452"/>
      <c r="K3" s="12"/>
      <c r="L3" s="13"/>
      <c r="M3" s="9"/>
      <c r="N3" s="9"/>
      <c r="O3" s="9"/>
      <c r="P3" s="121"/>
      <c r="Q3" s="9"/>
      <c r="R3" s="9"/>
      <c r="S3" s="9"/>
      <c r="T3" s="9"/>
      <c r="U3" s="9"/>
      <c r="V3" s="9"/>
      <c r="W3" s="9"/>
      <c r="X3" s="13"/>
      <c r="Y3" s="58"/>
      <c r="Z3" s="13"/>
      <c r="AD3" s="469"/>
      <c r="AE3" s="470"/>
      <c r="AF3" s="469"/>
      <c r="AG3" s="85"/>
    </row>
    <row r="4" spans="1:33" s="449" customFormat="1" ht="30" customHeight="1">
      <c r="C4" s="15" t="s">
        <v>512</v>
      </c>
      <c r="D4" s="69"/>
      <c r="E4" s="16"/>
      <c r="F4" s="16"/>
      <c r="G4" s="9"/>
      <c r="H4" s="453"/>
      <c r="I4" s="453"/>
      <c r="J4" s="453"/>
      <c r="K4" s="9"/>
      <c r="L4" s="13"/>
      <c r="M4" s="9"/>
      <c r="N4" s="9"/>
      <c r="O4" s="9"/>
      <c r="P4" s="121"/>
      <c r="Q4" s="9"/>
      <c r="R4" s="9"/>
      <c r="S4" s="9"/>
      <c r="T4" s="9"/>
      <c r="U4" s="9"/>
      <c r="V4" s="9"/>
      <c r="W4" s="9"/>
      <c r="X4" s="13"/>
      <c r="Y4" s="59"/>
      <c r="Z4" s="13"/>
      <c r="AD4" s="469"/>
      <c r="AE4" s="470"/>
      <c r="AF4" s="469"/>
      <c r="AG4" s="17"/>
    </row>
    <row r="5" spans="1:33" s="449" customFormat="1" ht="36" customHeight="1" thickBot="1">
      <c r="A5" s="465" t="s">
        <v>887</v>
      </c>
      <c r="B5" s="466" t="s">
        <v>888</v>
      </c>
      <c r="C5" s="462" t="s">
        <v>4</v>
      </c>
      <c r="D5" s="467" t="s">
        <v>5</v>
      </c>
      <c r="E5" s="462" t="s">
        <v>6</v>
      </c>
      <c r="F5" s="462" t="s">
        <v>7</v>
      </c>
      <c r="G5" s="462" t="s">
        <v>8</v>
      </c>
      <c r="H5" s="454" t="s">
        <v>909</v>
      </c>
      <c r="I5" s="454" t="s">
        <v>910</v>
      </c>
      <c r="J5" s="454" t="s">
        <v>911</v>
      </c>
      <c r="K5" s="462" t="s">
        <v>9</v>
      </c>
      <c r="L5" s="462" t="s">
        <v>10</v>
      </c>
      <c r="M5" s="462" t="s">
        <v>11</v>
      </c>
      <c r="N5" s="471" t="s">
        <v>12</v>
      </c>
      <c r="O5" s="471" t="s">
        <v>50</v>
      </c>
      <c r="P5" s="473" t="s">
        <v>14</v>
      </c>
      <c r="Q5" s="474"/>
      <c r="R5" s="474"/>
      <c r="S5" s="474"/>
      <c r="T5" s="474"/>
      <c r="U5" s="464" t="s">
        <v>23</v>
      </c>
      <c r="V5" s="464" t="s">
        <v>27</v>
      </c>
      <c r="W5" s="464" t="s">
        <v>24</v>
      </c>
      <c r="X5" s="475" t="s">
        <v>25</v>
      </c>
      <c r="Y5" s="477" t="s">
        <v>15</v>
      </c>
      <c r="Z5" s="475" t="s">
        <v>16</v>
      </c>
      <c r="AE5" s="6"/>
    </row>
    <row r="6" spans="1:33" s="449" customFormat="1" ht="33.75" customHeight="1">
      <c r="A6" s="465"/>
      <c r="B6" s="466"/>
      <c r="C6" s="463"/>
      <c r="D6" s="468"/>
      <c r="E6" s="463"/>
      <c r="F6" s="463"/>
      <c r="G6" s="463"/>
      <c r="H6" s="455"/>
      <c r="I6" s="455"/>
      <c r="J6" s="455"/>
      <c r="K6" s="463"/>
      <c r="L6" s="463"/>
      <c r="M6" s="463"/>
      <c r="N6" s="472"/>
      <c r="O6" s="472"/>
      <c r="P6" s="122" t="s">
        <v>47</v>
      </c>
      <c r="Q6" s="86" t="s">
        <v>51</v>
      </c>
      <c r="R6" s="86" t="s">
        <v>52</v>
      </c>
      <c r="S6" s="86" t="s">
        <v>26</v>
      </c>
      <c r="T6" s="87" t="s">
        <v>48</v>
      </c>
      <c r="U6" s="464"/>
      <c r="V6" s="464"/>
      <c r="W6" s="464"/>
      <c r="X6" s="476"/>
      <c r="Y6" s="478"/>
      <c r="Z6" s="476"/>
      <c r="AB6" s="6"/>
      <c r="AC6" s="6"/>
      <c r="AE6" s="6"/>
    </row>
    <row r="7" spans="1:33" s="43" customFormat="1" ht="39" customHeight="1">
      <c r="A7" s="43">
        <v>19</v>
      </c>
      <c r="B7" s="43" t="s">
        <v>889</v>
      </c>
      <c r="C7" s="185">
        <v>44062</v>
      </c>
      <c r="D7" s="141" t="s">
        <v>54</v>
      </c>
      <c r="E7" s="142" t="s">
        <v>118</v>
      </c>
      <c r="F7" s="21" t="s">
        <v>150</v>
      </c>
      <c r="G7" s="138">
        <v>42</v>
      </c>
      <c r="H7" s="456"/>
      <c r="I7" s="456"/>
      <c r="J7" s="456"/>
      <c r="K7" s="138" t="s">
        <v>79</v>
      </c>
      <c r="L7" s="138" t="s">
        <v>18</v>
      </c>
      <c r="M7" s="138">
        <v>220</v>
      </c>
      <c r="N7" s="166"/>
      <c r="O7" s="139"/>
      <c r="P7" s="135"/>
      <c r="Q7" s="44"/>
      <c r="R7" s="44"/>
      <c r="S7" s="44"/>
      <c r="T7" s="44"/>
      <c r="U7" s="22" t="s">
        <v>70</v>
      </c>
      <c r="V7" s="44" t="s">
        <v>29</v>
      </c>
      <c r="W7" s="44" t="s">
        <v>29</v>
      </c>
      <c r="X7" s="44"/>
      <c r="Y7" s="19" t="s">
        <v>301</v>
      </c>
      <c r="Z7" s="140"/>
      <c r="AA7" s="38"/>
      <c r="AB7" s="39" t="e">
        <f>IF(E7=#REF!,#REF!,#REF!+1)</f>
        <v>#REF!</v>
      </c>
      <c r="AC7" s="39"/>
      <c r="AD7" s="1"/>
      <c r="AE7" s="40"/>
      <c r="AF7" s="41"/>
      <c r="AG7" s="42"/>
    </row>
    <row r="8" spans="1:33" s="43" customFormat="1" ht="39.4" customHeight="1">
      <c r="A8" s="43">
        <v>19</v>
      </c>
      <c r="B8" s="43" t="s">
        <v>889</v>
      </c>
      <c r="C8" s="186">
        <v>44062</v>
      </c>
      <c r="D8" s="141" t="s">
        <v>55</v>
      </c>
      <c r="E8" s="142" t="s">
        <v>90</v>
      </c>
      <c r="F8" s="21" t="s">
        <v>148</v>
      </c>
      <c r="G8" s="138">
        <v>18</v>
      </c>
      <c r="H8" s="456"/>
      <c r="I8" s="456"/>
      <c r="J8" s="456"/>
      <c r="K8" s="138" t="s">
        <v>79</v>
      </c>
      <c r="L8" s="138" t="s">
        <v>31</v>
      </c>
      <c r="M8" s="138">
        <v>120</v>
      </c>
      <c r="N8" s="166"/>
      <c r="O8" s="139"/>
      <c r="P8" s="135"/>
      <c r="Q8" s="44"/>
      <c r="R8" s="44"/>
      <c r="S8" s="44"/>
      <c r="T8" s="44" t="s">
        <v>29</v>
      </c>
      <c r="U8" s="22" t="s">
        <v>70</v>
      </c>
      <c r="V8" s="44"/>
      <c r="W8" s="44"/>
      <c r="X8" s="44"/>
      <c r="Y8" s="19" t="s">
        <v>230</v>
      </c>
      <c r="Z8" s="140"/>
      <c r="AA8" s="38"/>
      <c r="AB8" s="39" t="e">
        <f>IF(E8=#REF!,#REF!,#REF!+1)</f>
        <v>#REF!</v>
      </c>
      <c r="AC8" s="39"/>
      <c r="AD8" s="1"/>
      <c r="AE8" s="40"/>
      <c r="AF8" s="41"/>
      <c r="AG8" s="42"/>
    </row>
    <row r="9" spans="1:33" s="43" customFormat="1" ht="39.4" customHeight="1">
      <c r="A9" s="43">
        <v>19</v>
      </c>
      <c r="B9" s="43" t="s">
        <v>889</v>
      </c>
      <c r="C9" s="186">
        <v>44062</v>
      </c>
      <c r="D9" s="141" t="s">
        <v>56</v>
      </c>
      <c r="E9" s="142" t="s">
        <v>186</v>
      </c>
      <c r="F9" s="21" t="s">
        <v>187</v>
      </c>
      <c r="G9" s="138">
        <v>17</v>
      </c>
      <c r="H9" s="456"/>
      <c r="I9" s="456"/>
      <c r="J9" s="456"/>
      <c r="K9" s="138" t="s">
        <v>79</v>
      </c>
      <c r="L9" s="138" t="s">
        <v>49</v>
      </c>
      <c r="M9" s="138">
        <v>100</v>
      </c>
      <c r="N9" s="166"/>
      <c r="O9" s="139"/>
      <c r="P9" s="135"/>
      <c r="Q9" s="44"/>
      <c r="R9" s="44"/>
      <c r="S9" s="44"/>
      <c r="T9" s="44" t="s">
        <v>29</v>
      </c>
      <c r="U9" s="22" t="s">
        <v>70</v>
      </c>
      <c r="V9" s="44"/>
      <c r="W9" s="44" t="s">
        <v>29</v>
      </c>
      <c r="X9" s="44" t="s">
        <v>29</v>
      </c>
      <c r="Y9" s="93" t="s">
        <v>302</v>
      </c>
      <c r="Z9" s="140"/>
      <c r="AA9" s="38"/>
      <c r="AB9" s="39" t="e">
        <f>IF(E9=E8,AB8,AB8+1)</f>
        <v>#REF!</v>
      </c>
      <c r="AC9" s="39"/>
      <c r="AD9" s="1"/>
      <c r="AE9" s="40"/>
      <c r="AF9" s="41"/>
      <c r="AG9" s="42"/>
    </row>
    <row r="10" spans="1:33" s="43" customFormat="1" ht="39.4" customHeight="1">
      <c r="A10" s="43">
        <v>19</v>
      </c>
      <c r="B10" s="43" t="s">
        <v>889</v>
      </c>
      <c r="C10" s="184">
        <v>44062</v>
      </c>
      <c r="D10" s="141" t="s">
        <v>57</v>
      </c>
      <c r="E10" s="142" t="s">
        <v>91</v>
      </c>
      <c r="F10" s="21" t="s">
        <v>160</v>
      </c>
      <c r="G10" s="138">
        <v>10</v>
      </c>
      <c r="H10" s="456"/>
      <c r="I10" s="456"/>
      <c r="J10" s="456"/>
      <c r="K10" s="138" t="s">
        <v>79</v>
      </c>
      <c r="L10" s="138" t="s">
        <v>31</v>
      </c>
      <c r="M10" s="138">
        <v>120</v>
      </c>
      <c r="N10" s="166"/>
      <c r="O10" s="139"/>
      <c r="P10" s="135"/>
      <c r="Q10" s="44"/>
      <c r="R10" s="44"/>
      <c r="S10" s="44"/>
      <c r="T10" s="44" t="s">
        <v>29</v>
      </c>
      <c r="U10" s="22" t="s">
        <v>70</v>
      </c>
      <c r="V10" s="44"/>
      <c r="W10" s="44"/>
      <c r="X10" s="44"/>
      <c r="Y10" s="19" t="s">
        <v>229</v>
      </c>
      <c r="Z10" s="140"/>
      <c r="AA10" s="38"/>
      <c r="AB10" s="39" t="e">
        <f>IF(E10=E9,AB9,AB9+1)</f>
        <v>#REF!</v>
      </c>
      <c r="AC10" s="39"/>
      <c r="AD10" s="1"/>
      <c r="AE10" s="40"/>
      <c r="AF10" s="41"/>
      <c r="AG10" s="42"/>
    </row>
    <row r="11" spans="1:33" s="43" customFormat="1" ht="39.4" customHeight="1">
      <c r="A11" s="43">
        <v>19</v>
      </c>
      <c r="B11" s="43" t="s">
        <v>889</v>
      </c>
      <c r="C11" s="184">
        <v>44062</v>
      </c>
      <c r="D11" s="141" t="s">
        <v>58</v>
      </c>
      <c r="E11" s="142" t="s">
        <v>123</v>
      </c>
      <c r="F11" s="21" t="s">
        <v>158</v>
      </c>
      <c r="G11" s="138">
        <v>15</v>
      </c>
      <c r="H11" s="456"/>
      <c r="I11" s="456"/>
      <c r="J11" s="456"/>
      <c r="K11" s="138" t="s">
        <v>124</v>
      </c>
      <c r="L11" s="138" t="s">
        <v>18</v>
      </c>
      <c r="M11" s="138">
        <v>220</v>
      </c>
      <c r="N11" s="166"/>
      <c r="O11" s="139"/>
      <c r="P11" s="135"/>
      <c r="Q11" s="44"/>
      <c r="R11" s="44" t="s">
        <v>29</v>
      </c>
      <c r="S11" s="44"/>
      <c r="T11" s="44"/>
      <c r="U11" s="44" t="s">
        <v>29</v>
      </c>
      <c r="V11" s="44"/>
      <c r="W11" s="44" t="s">
        <v>29</v>
      </c>
      <c r="X11" s="44"/>
      <c r="Y11" s="19" t="s">
        <v>513</v>
      </c>
      <c r="Z11" s="140"/>
      <c r="AA11" s="38"/>
      <c r="AB11" s="39" t="e">
        <f>IF(E11=E10,AB10,AB10+1)</f>
        <v>#REF!</v>
      </c>
      <c r="AC11" s="39"/>
      <c r="AD11" s="1"/>
      <c r="AE11" s="40"/>
      <c r="AF11" s="41"/>
      <c r="AG11" s="42"/>
    </row>
    <row r="12" spans="1:33" s="43" customFormat="1" ht="39.4" customHeight="1">
      <c r="A12" s="43">
        <v>19</v>
      </c>
      <c r="B12" s="43" t="s">
        <v>889</v>
      </c>
      <c r="C12" s="184">
        <v>44062</v>
      </c>
      <c r="D12" s="141" t="s">
        <v>59</v>
      </c>
      <c r="E12" s="142" t="s">
        <v>119</v>
      </c>
      <c r="F12" s="21" t="s">
        <v>155</v>
      </c>
      <c r="G12" s="138">
        <v>33</v>
      </c>
      <c r="H12" s="456"/>
      <c r="I12" s="456"/>
      <c r="J12" s="456"/>
      <c r="K12" s="138" t="s">
        <v>67</v>
      </c>
      <c r="L12" s="138" t="s">
        <v>18</v>
      </c>
      <c r="M12" s="138">
        <v>220</v>
      </c>
      <c r="N12" s="166"/>
      <c r="O12" s="139"/>
      <c r="P12" s="135" t="s">
        <v>47</v>
      </c>
      <c r="Q12" s="44"/>
      <c r="R12" s="44"/>
      <c r="S12" s="44"/>
      <c r="T12" s="44"/>
      <c r="U12" s="44" t="s">
        <v>29</v>
      </c>
      <c r="V12" s="44"/>
      <c r="W12" s="44" t="s">
        <v>29</v>
      </c>
      <c r="X12" s="44"/>
      <c r="Y12" s="19" t="s">
        <v>303</v>
      </c>
      <c r="Z12" s="140"/>
      <c r="AA12" s="38"/>
      <c r="AB12" s="39" t="e">
        <f>IF(E12=E11,AB11,AB11+1)</f>
        <v>#REF!</v>
      </c>
      <c r="AC12" s="39"/>
      <c r="AD12" s="1"/>
      <c r="AE12" s="40"/>
      <c r="AF12" s="41"/>
      <c r="AG12" s="42"/>
    </row>
    <row r="13" spans="1:33" s="43" customFormat="1" ht="39.4" customHeight="1">
      <c r="A13" s="43">
        <v>19</v>
      </c>
      <c r="B13" s="43" t="s">
        <v>889</v>
      </c>
      <c r="C13" s="184">
        <v>44062</v>
      </c>
      <c r="D13" s="141" t="s">
        <v>60</v>
      </c>
      <c r="E13" s="142" t="s">
        <v>118</v>
      </c>
      <c r="F13" s="21" t="s">
        <v>150</v>
      </c>
      <c r="G13" s="138">
        <v>4</v>
      </c>
      <c r="H13" s="456"/>
      <c r="I13" s="456"/>
      <c r="J13" s="456"/>
      <c r="K13" s="138" t="s">
        <v>79</v>
      </c>
      <c r="L13" s="138" t="s">
        <v>18</v>
      </c>
      <c r="M13" s="138">
        <v>220</v>
      </c>
      <c r="N13" s="166"/>
      <c r="O13" s="139"/>
      <c r="P13" s="135"/>
      <c r="Q13" s="44"/>
      <c r="R13" s="44"/>
      <c r="S13" s="44"/>
      <c r="T13" s="44"/>
      <c r="U13" s="22" t="s">
        <v>70</v>
      </c>
      <c r="V13" s="44" t="s">
        <v>29</v>
      </c>
      <c r="W13" s="44" t="s">
        <v>29</v>
      </c>
      <c r="X13" s="44"/>
      <c r="Y13" s="19" t="s">
        <v>304</v>
      </c>
      <c r="Z13" s="140"/>
      <c r="AA13" s="38"/>
      <c r="AB13" s="39" t="e">
        <f>IF(E13=E12,AB12,AB12+1)</f>
        <v>#REF!</v>
      </c>
      <c r="AC13" s="39"/>
      <c r="AD13" s="1"/>
      <c r="AE13" s="40"/>
      <c r="AF13" s="41"/>
      <c r="AG13" s="42"/>
    </row>
    <row r="14" spans="1:33" s="43" customFormat="1" ht="39.4" customHeight="1">
      <c r="A14" s="43">
        <v>19</v>
      </c>
      <c r="B14" s="43" t="s">
        <v>889</v>
      </c>
      <c r="C14" s="116">
        <v>44063</v>
      </c>
      <c r="D14" s="141" t="s">
        <v>54</v>
      </c>
      <c r="E14" s="142" t="s">
        <v>118</v>
      </c>
      <c r="F14" s="21" t="s">
        <v>150</v>
      </c>
      <c r="G14" s="138">
        <v>21</v>
      </c>
      <c r="H14" s="456"/>
      <c r="I14" s="456"/>
      <c r="J14" s="456"/>
      <c r="K14" s="138" t="s">
        <v>79</v>
      </c>
      <c r="L14" s="138" t="s">
        <v>18</v>
      </c>
      <c r="M14" s="138">
        <v>220</v>
      </c>
      <c r="N14" s="166"/>
      <c r="O14" s="139"/>
      <c r="P14" s="135"/>
      <c r="Q14" s="44"/>
      <c r="R14" s="44"/>
      <c r="S14" s="44"/>
      <c r="T14" s="44"/>
      <c r="U14" s="22" t="s">
        <v>70</v>
      </c>
      <c r="V14" s="44" t="s">
        <v>29</v>
      </c>
      <c r="W14" s="44" t="s">
        <v>29</v>
      </c>
      <c r="X14" s="44"/>
      <c r="Y14" s="19" t="s">
        <v>305</v>
      </c>
      <c r="Z14" s="140"/>
      <c r="AA14" s="38"/>
      <c r="AB14" s="39" t="e">
        <f>IF(E14=E12,AB12,AB12+1)</f>
        <v>#REF!</v>
      </c>
      <c r="AC14" s="39"/>
      <c r="AD14" s="1"/>
      <c r="AE14" s="40"/>
      <c r="AF14" s="41"/>
      <c r="AG14" s="42"/>
    </row>
    <row r="15" spans="1:33" s="43" customFormat="1" ht="39.4" customHeight="1">
      <c r="A15" s="43">
        <v>20</v>
      </c>
      <c r="B15" s="43" t="s">
        <v>889</v>
      </c>
      <c r="C15" s="116">
        <v>44063</v>
      </c>
      <c r="D15" s="141" t="s">
        <v>54</v>
      </c>
      <c r="E15" s="142" t="s">
        <v>118</v>
      </c>
      <c r="F15" s="21" t="s">
        <v>150</v>
      </c>
      <c r="G15" s="138">
        <v>40</v>
      </c>
      <c r="H15" s="456"/>
      <c r="I15" s="456"/>
      <c r="J15" s="456"/>
      <c r="K15" s="138" t="s">
        <v>79</v>
      </c>
      <c r="L15" s="138" t="s">
        <v>18</v>
      </c>
      <c r="M15" s="138">
        <v>220</v>
      </c>
      <c r="N15" s="166"/>
      <c r="O15" s="139"/>
      <c r="P15" s="135"/>
      <c r="Q15" s="44"/>
      <c r="R15" s="44"/>
      <c r="S15" s="44"/>
      <c r="T15" s="44"/>
      <c r="U15" s="22" t="s">
        <v>70</v>
      </c>
      <c r="V15" s="44" t="s">
        <v>29</v>
      </c>
      <c r="W15" s="44" t="s">
        <v>29</v>
      </c>
      <c r="X15" s="44"/>
      <c r="Y15" s="19" t="s">
        <v>305</v>
      </c>
      <c r="Z15" s="140"/>
      <c r="AA15" s="38"/>
      <c r="AB15" s="39" t="e">
        <f>IF(E15=E13,AB13,AB13+1)</f>
        <v>#REF!</v>
      </c>
      <c r="AC15" s="39"/>
      <c r="AD15" s="1"/>
      <c r="AE15" s="40"/>
      <c r="AF15" s="41"/>
      <c r="AG15" s="42"/>
    </row>
    <row r="16" spans="1:33" s="449" customFormat="1" ht="39.4" customHeight="1">
      <c r="A16" s="449">
        <v>20</v>
      </c>
      <c r="B16" s="449" t="s">
        <v>889</v>
      </c>
      <c r="C16" s="184">
        <v>44063</v>
      </c>
      <c r="D16" s="102" t="s">
        <v>55</v>
      </c>
      <c r="E16" s="103" t="s">
        <v>141</v>
      </c>
      <c r="F16" s="23" t="s">
        <v>164</v>
      </c>
      <c r="G16" s="104">
        <v>2</v>
      </c>
      <c r="H16" s="457"/>
      <c r="I16" s="457"/>
      <c r="J16" s="457"/>
      <c r="K16" s="104" t="s">
        <v>79</v>
      </c>
      <c r="L16" s="104" t="s">
        <v>18</v>
      </c>
      <c r="M16" s="104">
        <v>220</v>
      </c>
      <c r="N16" s="167"/>
      <c r="O16" s="89"/>
      <c r="P16" s="136"/>
      <c r="Q16" s="89"/>
      <c r="R16" s="89"/>
      <c r="S16" s="89"/>
      <c r="T16" s="89"/>
      <c r="U16" s="90" t="s">
        <v>70</v>
      </c>
      <c r="V16" s="89" t="s">
        <v>29</v>
      </c>
      <c r="W16" s="89" t="s">
        <v>29</v>
      </c>
      <c r="X16" s="89"/>
      <c r="Y16" s="143" t="s">
        <v>232</v>
      </c>
      <c r="Z16" s="104"/>
      <c r="AA16" s="38"/>
      <c r="AB16" s="39" t="e">
        <f t="shared" ref="AB16:AB21" si="0">IF(E16=E15,AB15,AB15+1)</f>
        <v>#REF!</v>
      </c>
      <c r="AE16" s="6"/>
    </row>
    <row r="17" spans="1:31" s="449" customFormat="1" ht="39.4" customHeight="1">
      <c r="A17" s="449">
        <v>20</v>
      </c>
      <c r="B17" s="449" t="s">
        <v>889</v>
      </c>
      <c r="C17" s="184">
        <v>44063</v>
      </c>
      <c r="D17" s="102" t="s">
        <v>56</v>
      </c>
      <c r="E17" s="103" t="s">
        <v>91</v>
      </c>
      <c r="F17" s="23" t="s">
        <v>160</v>
      </c>
      <c r="G17" s="104">
        <v>45</v>
      </c>
      <c r="H17" s="457"/>
      <c r="I17" s="457"/>
      <c r="J17" s="457"/>
      <c r="K17" s="104" t="s">
        <v>79</v>
      </c>
      <c r="L17" s="104" t="s">
        <v>31</v>
      </c>
      <c r="M17" s="104">
        <v>120</v>
      </c>
      <c r="N17" s="167"/>
      <c r="O17" s="89"/>
      <c r="P17" s="136"/>
      <c r="Q17" s="89"/>
      <c r="R17" s="89"/>
      <c r="S17" s="89"/>
      <c r="T17" s="89" t="s">
        <v>29</v>
      </c>
      <c r="U17" s="90" t="s">
        <v>70</v>
      </c>
      <c r="V17" s="89"/>
      <c r="W17" s="89"/>
      <c r="X17" s="89"/>
      <c r="Y17" s="90" t="s">
        <v>231</v>
      </c>
      <c r="Z17" s="104"/>
      <c r="AA17" s="38"/>
      <c r="AB17" s="39" t="e">
        <f t="shared" si="0"/>
        <v>#REF!</v>
      </c>
      <c r="AE17" s="6"/>
    </row>
    <row r="18" spans="1:31" s="449" customFormat="1" ht="39.4" customHeight="1">
      <c r="A18" s="449">
        <v>20</v>
      </c>
      <c r="B18" s="449" t="s">
        <v>889</v>
      </c>
      <c r="C18" s="184">
        <v>44063</v>
      </c>
      <c r="D18" s="102" t="s">
        <v>57</v>
      </c>
      <c r="E18" s="103" t="s">
        <v>123</v>
      </c>
      <c r="F18" s="23" t="s">
        <v>158</v>
      </c>
      <c r="G18" s="104">
        <v>15</v>
      </c>
      <c r="H18" s="457"/>
      <c r="I18" s="457"/>
      <c r="J18" s="457"/>
      <c r="K18" s="104" t="s">
        <v>124</v>
      </c>
      <c r="L18" s="104" t="s">
        <v>18</v>
      </c>
      <c r="M18" s="104">
        <v>220</v>
      </c>
      <c r="N18" s="167"/>
      <c r="O18" s="89"/>
      <c r="P18" s="136"/>
      <c r="Q18" s="89"/>
      <c r="R18" s="89" t="s">
        <v>29</v>
      </c>
      <c r="S18" s="89"/>
      <c r="T18" s="89"/>
      <c r="U18" s="89" t="s">
        <v>29</v>
      </c>
      <c r="V18" s="89"/>
      <c r="W18" s="89" t="s">
        <v>29</v>
      </c>
      <c r="X18" s="89"/>
      <c r="Y18" s="90" t="s">
        <v>514</v>
      </c>
      <c r="Z18" s="104"/>
      <c r="AA18" s="38"/>
      <c r="AB18" s="39" t="e">
        <f t="shared" si="0"/>
        <v>#REF!</v>
      </c>
      <c r="AE18" s="6"/>
    </row>
    <row r="19" spans="1:31" s="449" customFormat="1" ht="39.4" customHeight="1">
      <c r="A19" s="449">
        <v>20</v>
      </c>
      <c r="B19" s="449" t="s">
        <v>889</v>
      </c>
      <c r="C19" s="184">
        <v>44063</v>
      </c>
      <c r="D19" s="102" t="s">
        <v>58</v>
      </c>
      <c r="E19" s="103" t="s">
        <v>119</v>
      </c>
      <c r="F19" s="23" t="s">
        <v>155</v>
      </c>
      <c r="G19" s="104">
        <v>33</v>
      </c>
      <c r="H19" s="457"/>
      <c r="I19" s="457"/>
      <c r="J19" s="457"/>
      <c r="K19" s="104" t="s">
        <v>67</v>
      </c>
      <c r="L19" s="104" t="s">
        <v>18</v>
      </c>
      <c r="M19" s="104">
        <v>220</v>
      </c>
      <c r="N19" s="167"/>
      <c r="O19" s="89"/>
      <c r="P19" s="136" t="s">
        <v>47</v>
      </c>
      <c r="Q19" s="89"/>
      <c r="R19" s="89"/>
      <c r="S19" s="89"/>
      <c r="T19" s="89"/>
      <c r="U19" s="89" t="s">
        <v>29</v>
      </c>
      <c r="V19" s="89"/>
      <c r="W19" s="89" t="s">
        <v>29</v>
      </c>
      <c r="X19" s="89"/>
      <c r="Y19" s="90" t="s">
        <v>306</v>
      </c>
      <c r="Z19" s="104"/>
      <c r="AA19" s="38"/>
      <c r="AB19" s="39" t="e">
        <f t="shared" si="0"/>
        <v>#REF!</v>
      </c>
      <c r="AE19" s="6"/>
    </row>
    <row r="20" spans="1:31" s="449" customFormat="1" ht="39.4" customHeight="1">
      <c r="A20" s="449">
        <v>20</v>
      </c>
      <c r="B20" s="449" t="s">
        <v>889</v>
      </c>
      <c r="C20" s="184">
        <v>44063</v>
      </c>
      <c r="D20" s="102" t="s">
        <v>59</v>
      </c>
      <c r="E20" s="103" t="s">
        <v>127</v>
      </c>
      <c r="F20" s="23" t="s">
        <v>149</v>
      </c>
      <c r="G20" s="104">
        <v>4</v>
      </c>
      <c r="H20" s="457"/>
      <c r="I20" s="457"/>
      <c r="J20" s="457"/>
      <c r="K20" s="104" t="s">
        <v>79</v>
      </c>
      <c r="L20" s="104" t="s">
        <v>18</v>
      </c>
      <c r="M20" s="104">
        <v>220</v>
      </c>
      <c r="N20" s="167"/>
      <c r="O20" s="89"/>
      <c r="P20" s="136"/>
      <c r="Q20" s="89"/>
      <c r="R20" s="89"/>
      <c r="S20" s="89"/>
      <c r="T20" s="89"/>
      <c r="U20" s="90" t="s">
        <v>70</v>
      </c>
      <c r="V20" s="89" t="s">
        <v>29</v>
      </c>
      <c r="W20" s="89" t="s">
        <v>29</v>
      </c>
      <c r="X20" s="89"/>
      <c r="Y20" s="90" t="s">
        <v>307</v>
      </c>
      <c r="Z20" s="104"/>
      <c r="AA20" s="38"/>
      <c r="AB20" s="39" t="e">
        <f t="shared" si="0"/>
        <v>#REF!</v>
      </c>
      <c r="AE20" s="6"/>
    </row>
    <row r="21" spans="1:31" s="449" customFormat="1" ht="39.4" customHeight="1">
      <c r="A21" s="449">
        <v>20</v>
      </c>
      <c r="B21" s="449" t="s">
        <v>889</v>
      </c>
      <c r="C21" s="116">
        <v>44064</v>
      </c>
      <c r="D21" s="102" t="s">
        <v>54</v>
      </c>
      <c r="E21" s="103" t="s">
        <v>127</v>
      </c>
      <c r="F21" s="23" t="s">
        <v>149</v>
      </c>
      <c r="G21" s="104">
        <v>4</v>
      </c>
      <c r="H21" s="457"/>
      <c r="I21" s="457"/>
      <c r="J21" s="457"/>
      <c r="K21" s="104" t="s">
        <v>79</v>
      </c>
      <c r="L21" s="104" t="s">
        <v>18</v>
      </c>
      <c r="M21" s="104">
        <v>220</v>
      </c>
      <c r="N21" s="167"/>
      <c r="O21" s="89"/>
      <c r="P21" s="136"/>
      <c r="Q21" s="89"/>
      <c r="R21" s="89"/>
      <c r="S21" s="89"/>
      <c r="T21" s="89"/>
      <c r="U21" s="90" t="s">
        <v>70</v>
      </c>
      <c r="V21" s="89" t="s">
        <v>29</v>
      </c>
      <c r="W21" s="89" t="s">
        <v>29</v>
      </c>
      <c r="X21" s="89"/>
      <c r="Y21" s="90" t="s">
        <v>308</v>
      </c>
      <c r="Z21" s="104"/>
      <c r="AA21" s="38"/>
      <c r="AB21" s="39" t="e">
        <f t="shared" si="0"/>
        <v>#REF!</v>
      </c>
      <c r="AE21" s="6"/>
    </row>
    <row r="22" spans="1:31" s="449" customFormat="1" ht="39.4" customHeight="1">
      <c r="A22" s="449">
        <v>20</v>
      </c>
      <c r="B22" s="449" t="s">
        <v>889</v>
      </c>
      <c r="C22" s="184">
        <v>44064</v>
      </c>
      <c r="D22" s="102" t="s">
        <v>55</v>
      </c>
      <c r="E22" s="103" t="s">
        <v>170</v>
      </c>
      <c r="F22" s="23" t="s">
        <v>171</v>
      </c>
      <c r="G22" s="104">
        <v>17</v>
      </c>
      <c r="H22" s="457"/>
      <c r="I22" s="457"/>
      <c r="J22" s="457"/>
      <c r="K22" s="104" t="s">
        <v>79</v>
      </c>
      <c r="L22" s="104" t="s">
        <v>18</v>
      </c>
      <c r="M22" s="104">
        <v>220</v>
      </c>
      <c r="N22" s="167"/>
      <c r="O22" s="89"/>
      <c r="P22" s="136"/>
      <c r="Q22" s="89"/>
      <c r="R22" s="89"/>
      <c r="S22" s="89"/>
      <c r="T22" s="89"/>
      <c r="U22" s="90" t="s">
        <v>70</v>
      </c>
      <c r="V22" s="89" t="s">
        <v>29</v>
      </c>
      <c r="W22" s="89" t="s">
        <v>29</v>
      </c>
      <c r="X22" s="89"/>
      <c r="Y22" s="90" t="s">
        <v>234</v>
      </c>
      <c r="Z22" s="104"/>
      <c r="AA22" s="38"/>
      <c r="AB22" s="39" t="e">
        <f>IF(E22=E20,AB20,AB20+1)</f>
        <v>#REF!</v>
      </c>
      <c r="AE22" s="6"/>
    </row>
    <row r="23" spans="1:31" s="449" customFormat="1" ht="39.4" customHeight="1">
      <c r="A23" s="449">
        <v>21</v>
      </c>
      <c r="B23" s="449" t="s">
        <v>889</v>
      </c>
      <c r="C23" s="184">
        <v>44064</v>
      </c>
      <c r="D23" s="102" t="s">
        <v>55</v>
      </c>
      <c r="E23" s="103" t="s">
        <v>170</v>
      </c>
      <c r="F23" s="23" t="s">
        <v>171</v>
      </c>
      <c r="G23" s="104">
        <v>1</v>
      </c>
      <c r="H23" s="457"/>
      <c r="I23" s="457"/>
      <c r="J23" s="457"/>
      <c r="K23" s="104" t="s">
        <v>79</v>
      </c>
      <c r="L23" s="104" t="s">
        <v>18</v>
      </c>
      <c r="M23" s="104">
        <v>220</v>
      </c>
      <c r="N23" s="167"/>
      <c r="O23" s="89"/>
      <c r="P23" s="136"/>
      <c r="Q23" s="89"/>
      <c r="R23" s="89"/>
      <c r="S23" s="89"/>
      <c r="T23" s="89"/>
      <c r="U23" s="90" t="s">
        <v>70</v>
      </c>
      <c r="V23" s="89" t="s">
        <v>29</v>
      </c>
      <c r="W23" s="89" t="s">
        <v>29</v>
      </c>
      <c r="X23" s="89"/>
      <c r="Y23" s="90" t="s">
        <v>234</v>
      </c>
      <c r="Z23" s="104"/>
      <c r="AA23" s="38"/>
      <c r="AB23" s="39" t="e">
        <f>IF(E23=E21,AB21,AB21+1)</f>
        <v>#REF!</v>
      </c>
      <c r="AE23" s="6"/>
    </row>
    <row r="24" spans="1:31" s="449" customFormat="1" ht="39.4" customHeight="1">
      <c r="A24" s="449">
        <v>21</v>
      </c>
      <c r="B24" s="449" t="s">
        <v>889</v>
      </c>
      <c r="C24" s="184">
        <v>44064</v>
      </c>
      <c r="D24" s="102" t="s">
        <v>56</v>
      </c>
      <c r="E24" s="103" t="s">
        <v>141</v>
      </c>
      <c r="F24" s="23" t="s">
        <v>164</v>
      </c>
      <c r="G24" s="104">
        <v>41</v>
      </c>
      <c r="H24" s="457"/>
      <c r="I24" s="457"/>
      <c r="J24" s="457"/>
      <c r="K24" s="104" t="s">
        <v>79</v>
      </c>
      <c r="L24" s="104" t="s">
        <v>18</v>
      </c>
      <c r="M24" s="104">
        <v>220</v>
      </c>
      <c r="N24" s="167"/>
      <c r="O24" s="89"/>
      <c r="P24" s="136"/>
      <c r="Q24" s="89"/>
      <c r="R24" s="89"/>
      <c r="S24" s="89"/>
      <c r="T24" s="89"/>
      <c r="U24" s="90" t="s">
        <v>70</v>
      </c>
      <c r="V24" s="89" t="s">
        <v>29</v>
      </c>
      <c r="W24" s="89" t="s">
        <v>29</v>
      </c>
      <c r="X24" s="89"/>
      <c r="Y24" s="143" t="s">
        <v>235</v>
      </c>
      <c r="Z24" s="104"/>
      <c r="AA24" s="38"/>
      <c r="AB24" s="39" t="e">
        <f t="shared" ref="AB24:AB32" si="1">IF(E24=E23,AB23,AB23+1)</f>
        <v>#REF!</v>
      </c>
      <c r="AE24" s="6"/>
    </row>
    <row r="25" spans="1:31" s="449" customFormat="1" ht="39.4" customHeight="1">
      <c r="A25" s="449">
        <v>21</v>
      </c>
      <c r="B25" s="449" t="s">
        <v>889</v>
      </c>
      <c r="C25" s="184">
        <v>44064</v>
      </c>
      <c r="D25" s="102" t="s">
        <v>57</v>
      </c>
      <c r="E25" s="103" t="s">
        <v>91</v>
      </c>
      <c r="F25" s="23" t="s">
        <v>160</v>
      </c>
      <c r="G25" s="104">
        <v>45</v>
      </c>
      <c r="H25" s="457"/>
      <c r="I25" s="457"/>
      <c r="J25" s="457"/>
      <c r="K25" s="104" t="s">
        <v>79</v>
      </c>
      <c r="L25" s="104" t="s">
        <v>31</v>
      </c>
      <c r="M25" s="104">
        <v>120</v>
      </c>
      <c r="N25" s="167"/>
      <c r="O25" s="89"/>
      <c r="P25" s="136"/>
      <c r="Q25" s="89"/>
      <c r="R25" s="89"/>
      <c r="S25" s="89"/>
      <c r="T25" s="89" t="s">
        <v>29</v>
      </c>
      <c r="U25" s="90" t="s">
        <v>70</v>
      </c>
      <c r="V25" s="89"/>
      <c r="W25" s="89"/>
      <c r="X25" s="89"/>
      <c r="Y25" s="90" t="s">
        <v>233</v>
      </c>
      <c r="Z25" s="104"/>
      <c r="AA25" s="38"/>
      <c r="AB25" s="39" t="e">
        <f t="shared" si="1"/>
        <v>#REF!</v>
      </c>
      <c r="AE25" s="6"/>
    </row>
    <row r="26" spans="1:31" s="449" customFormat="1" ht="39.4" customHeight="1">
      <c r="A26" s="449">
        <v>21</v>
      </c>
      <c r="B26" s="449" t="s">
        <v>889</v>
      </c>
      <c r="C26" s="184">
        <v>44064</v>
      </c>
      <c r="D26" s="102" t="s">
        <v>58</v>
      </c>
      <c r="E26" s="103" t="s">
        <v>123</v>
      </c>
      <c r="F26" s="23" t="s">
        <v>158</v>
      </c>
      <c r="G26" s="104">
        <v>13</v>
      </c>
      <c r="H26" s="457"/>
      <c r="I26" s="457"/>
      <c r="J26" s="457"/>
      <c r="K26" s="104" t="s">
        <v>124</v>
      </c>
      <c r="L26" s="104" t="s">
        <v>18</v>
      </c>
      <c r="M26" s="104">
        <v>220</v>
      </c>
      <c r="N26" s="167"/>
      <c r="O26" s="89"/>
      <c r="P26" s="136"/>
      <c r="Q26" s="89"/>
      <c r="R26" s="89" t="s">
        <v>29</v>
      </c>
      <c r="S26" s="89"/>
      <c r="T26" s="89"/>
      <c r="U26" s="89" t="s">
        <v>29</v>
      </c>
      <c r="V26" s="89"/>
      <c r="W26" s="89" t="s">
        <v>29</v>
      </c>
      <c r="X26" s="89"/>
      <c r="Y26" s="90" t="s">
        <v>515</v>
      </c>
      <c r="Z26" s="104"/>
      <c r="AA26" s="38"/>
      <c r="AB26" s="39" t="e">
        <f t="shared" si="1"/>
        <v>#REF!</v>
      </c>
      <c r="AE26" s="6"/>
    </row>
    <row r="27" spans="1:31" s="449" customFormat="1" ht="39.4" customHeight="1">
      <c r="A27" s="449">
        <v>21</v>
      </c>
      <c r="B27" s="449" t="s">
        <v>889</v>
      </c>
      <c r="C27" s="184">
        <v>44064</v>
      </c>
      <c r="D27" s="102" t="s">
        <v>59</v>
      </c>
      <c r="E27" s="103" t="s">
        <v>103</v>
      </c>
      <c r="F27" s="23" t="s">
        <v>156</v>
      </c>
      <c r="G27" s="104">
        <v>1</v>
      </c>
      <c r="H27" s="457"/>
      <c r="I27" s="457"/>
      <c r="J27" s="457"/>
      <c r="K27" s="104" t="s">
        <v>67</v>
      </c>
      <c r="L27" s="104" t="s">
        <v>30</v>
      </c>
      <c r="M27" s="104">
        <v>230</v>
      </c>
      <c r="N27" s="167"/>
      <c r="O27" s="89"/>
      <c r="P27" s="136"/>
      <c r="Q27" s="89"/>
      <c r="R27" s="89"/>
      <c r="S27" s="89"/>
      <c r="T27" s="89"/>
      <c r="U27" s="89"/>
      <c r="V27" s="89" t="s">
        <v>29</v>
      </c>
      <c r="W27" s="89"/>
      <c r="X27" s="89"/>
      <c r="Y27" s="90" t="s">
        <v>236</v>
      </c>
      <c r="Z27" s="104"/>
      <c r="AA27" s="38"/>
      <c r="AB27" s="39" t="e">
        <f t="shared" si="1"/>
        <v>#REF!</v>
      </c>
      <c r="AE27" s="6"/>
    </row>
    <row r="28" spans="1:31" s="449" customFormat="1" ht="39.4" customHeight="1">
      <c r="A28" s="449">
        <v>21</v>
      </c>
      <c r="B28" s="449" t="s">
        <v>889</v>
      </c>
      <c r="C28" s="184">
        <v>44064</v>
      </c>
      <c r="D28" s="102" t="s">
        <v>60</v>
      </c>
      <c r="E28" s="103" t="s">
        <v>241</v>
      </c>
      <c r="F28" s="23" t="s">
        <v>172</v>
      </c>
      <c r="G28" s="104">
        <v>1</v>
      </c>
      <c r="H28" s="457"/>
      <c r="I28" s="457"/>
      <c r="J28" s="457"/>
      <c r="K28" s="104" t="s">
        <v>53</v>
      </c>
      <c r="L28" s="104" t="s">
        <v>41</v>
      </c>
      <c r="M28" s="104">
        <v>230</v>
      </c>
      <c r="N28" s="167"/>
      <c r="O28" s="89"/>
      <c r="P28" s="136"/>
      <c r="Q28" s="89"/>
      <c r="R28" s="89" t="s">
        <v>29</v>
      </c>
      <c r="S28" s="89"/>
      <c r="T28" s="89"/>
      <c r="U28" s="89" t="s">
        <v>29</v>
      </c>
      <c r="V28" s="89"/>
      <c r="W28" s="89"/>
      <c r="X28" s="89"/>
      <c r="Y28" s="90" t="s">
        <v>242</v>
      </c>
      <c r="Z28" s="104"/>
      <c r="AA28" s="38"/>
      <c r="AB28" s="39" t="e">
        <f t="shared" si="1"/>
        <v>#REF!</v>
      </c>
      <c r="AE28" s="6"/>
    </row>
    <row r="29" spans="1:31" s="449" customFormat="1" ht="39.4" customHeight="1">
      <c r="A29" s="449">
        <v>21</v>
      </c>
      <c r="B29" s="449" t="s">
        <v>889</v>
      </c>
      <c r="C29" s="184">
        <v>44064</v>
      </c>
      <c r="D29" s="102" t="s">
        <v>61</v>
      </c>
      <c r="E29" s="103" t="s">
        <v>188</v>
      </c>
      <c r="F29" s="23" t="s">
        <v>153</v>
      </c>
      <c r="G29" s="104">
        <v>31</v>
      </c>
      <c r="H29" s="457"/>
      <c r="I29" s="457"/>
      <c r="J29" s="457"/>
      <c r="K29" s="104" t="s">
        <v>67</v>
      </c>
      <c r="L29" s="104" t="s">
        <v>41</v>
      </c>
      <c r="M29" s="104">
        <v>230</v>
      </c>
      <c r="N29" s="167"/>
      <c r="O29" s="89"/>
      <c r="P29" s="136" t="s">
        <v>47</v>
      </c>
      <c r="Q29" s="89"/>
      <c r="R29" s="89"/>
      <c r="S29" s="89"/>
      <c r="T29" s="89"/>
      <c r="U29" s="89" t="s">
        <v>29</v>
      </c>
      <c r="V29" s="89"/>
      <c r="W29" s="89"/>
      <c r="X29" s="89"/>
      <c r="Y29" s="90" t="s">
        <v>238</v>
      </c>
      <c r="Z29" s="104"/>
      <c r="AA29" s="38"/>
      <c r="AB29" s="39" t="e">
        <f t="shared" si="1"/>
        <v>#REF!</v>
      </c>
      <c r="AE29" s="6"/>
    </row>
    <row r="30" spans="1:31" s="449" customFormat="1" ht="39.4" customHeight="1">
      <c r="A30" s="449">
        <v>21</v>
      </c>
      <c r="B30" s="449" t="s">
        <v>889</v>
      </c>
      <c r="C30" s="184">
        <v>44064</v>
      </c>
      <c r="D30" s="102" t="s">
        <v>63</v>
      </c>
      <c r="E30" s="103" t="s">
        <v>84</v>
      </c>
      <c r="F30" s="23" t="s">
        <v>152</v>
      </c>
      <c r="G30" s="104">
        <v>6</v>
      </c>
      <c r="H30" s="457"/>
      <c r="I30" s="457"/>
      <c r="J30" s="457"/>
      <c r="K30" s="104" t="s">
        <v>79</v>
      </c>
      <c r="L30" s="104" t="s">
        <v>28</v>
      </c>
      <c r="M30" s="104">
        <v>230</v>
      </c>
      <c r="N30" s="167"/>
      <c r="O30" s="89"/>
      <c r="P30" s="136"/>
      <c r="Q30" s="89"/>
      <c r="R30" s="89"/>
      <c r="S30" s="89"/>
      <c r="T30" s="89"/>
      <c r="U30" s="90" t="s">
        <v>70</v>
      </c>
      <c r="V30" s="89" t="s">
        <v>29</v>
      </c>
      <c r="W30" s="89"/>
      <c r="X30" s="89"/>
      <c r="Y30" s="90" t="s">
        <v>516</v>
      </c>
      <c r="Z30" s="104"/>
      <c r="AA30" s="38"/>
      <c r="AB30" s="39" t="e">
        <f t="shared" si="1"/>
        <v>#REF!</v>
      </c>
      <c r="AE30" s="6"/>
    </row>
    <row r="31" spans="1:31" s="449" customFormat="1" ht="39.4" customHeight="1">
      <c r="A31" s="449">
        <v>21</v>
      </c>
      <c r="B31" s="449" t="s">
        <v>889</v>
      </c>
      <c r="C31" s="116">
        <v>44065</v>
      </c>
      <c r="D31" s="102" t="s">
        <v>54</v>
      </c>
      <c r="E31" s="103" t="s">
        <v>84</v>
      </c>
      <c r="F31" s="23" t="s">
        <v>152</v>
      </c>
      <c r="G31" s="104">
        <v>8</v>
      </c>
      <c r="H31" s="457"/>
      <c r="I31" s="457"/>
      <c r="J31" s="457"/>
      <c r="K31" s="104" t="s">
        <v>79</v>
      </c>
      <c r="L31" s="104" t="s">
        <v>28</v>
      </c>
      <c r="M31" s="104">
        <v>230</v>
      </c>
      <c r="N31" s="167"/>
      <c r="O31" s="89"/>
      <c r="P31" s="136"/>
      <c r="Q31" s="89"/>
      <c r="R31" s="89"/>
      <c r="S31" s="89"/>
      <c r="T31" s="89"/>
      <c r="U31" s="90" t="s">
        <v>70</v>
      </c>
      <c r="V31" s="89" t="s">
        <v>29</v>
      </c>
      <c r="W31" s="89"/>
      <c r="X31" s="89"/>
      <c r="Y31" s="90" t="s">
        <v>517</v>
      </c>
      <c r="Z31" s="104"/>
      <c r="AA31" s="38"/>
      <c r="AB31" s="39" t="e">
        <f t="shared" si="1"/>
        <v>#REF!</v>
      </c>
      <c r="AE31" s="6"/>
    </row>
    <row r="32" spans="1:31" s="449" customFormat="1" ht="39.4" customHeight="1">
      <c r="A32" s="449">
        <v>21</v>
      </c>
      <c r="B32" s="449" t="s">
        <v>889</v>
      </c>
      <c r="C32" s="184">
        <v>44065</v>
      </c>
      <c r="D32" s="102" t="s">
        <v>55</v>
      </c>
      <c r="E32" s="103" t="s">
        <v>219</v>
      </c>
      <c r="F32" s="23" t="s">
        <v>220</v>
      </c>
      <c r="G32" s="104">
        <v>3</v>
      </c>
      <c r="H32" s="457"/>
      <c r="I32" s="457"/>
      <c r="J32" s="457"/>
      <c r="K32" s="104" t="s">
        <v>79</v>
      </c>
      <c r="L32" s="104" t="s">
        <v>46</v>
      </c>
      <c r="M32" s="104">
        <v>120</v>
      </c>
      <c r="N32" s="167"/>
      <c r="O32" s="89"/>
      <c r="P32" s="136"/>
      <c r="Q32" s="89"/>
      <c r="R32" s="89"/>
      <c r="S32" s="89"/>
      <c r="T32" s="89"/>
      <c r="U32" s="90" t="s">
        <v>70</v>
      </c>
      <c r="V32" s="89" t="s">
        <v>29</v>
      </c>
      <c r="W32" s="89" t="s">
        <v>29</v>
      </c>
      <c r="X32" s="89"/>
      <c r="Y32" s="90" t="s">
        <v>240</v>
      </c>
      <c r="Z32" s="104"/>
      <c r="AA32" s="38"/>
      <c r="AB32" s="39" t="e">
        <f t="shared" si="1"/>
        <v>#REF!</v>
      </c>
      <c r="AE32" s="6"/>
    </row>
    <row r="33" spans="1:31" s="449" customFormat="1" ht="39.4" customHeight="1">
      <c r="A33" s="449">
        <v>21</v>
      </c>
      <c r="B33" s="449" t="s">
        <v>889</v>
      </c>
      <c r="C33" s="184">
        <v>44065</v>
      </c>
      <c r="D33" s="102" t="s">
        <v>56</v>
      </c>
      <c r="E33" s="103" t="s">
        <v>93</v>
      </c>
      <c r="F33" s="23" t="s">
        <v>157</v>
      </c>
      <c r="G33" s="104">
        <v>10</v>
      </c>
      <c r="H33" s="457"/>
      <c r="I33" s="457"/>
      <c r="J33" s="457"/>
      <c r="K33" s="104" t="s">
        <v>79</v>
      </c>
      <c r="L33" s="104" t="s">
        <v>31</v>
      </c>
      <c r="M33" s="104">
        <v>120</v>
      </c>
      <c r="N33" s="167"/>
      <c r="O33" s="89"/>
      <c r="P33" s="136"/>
      <c r="Q33" s="89"/>
      <c r="R33" s="89"/>
      <c r="S33" s="89"/>
      <c r="T33" s="89"/>
      <c r="U33" s="90" t="s">
        <v>70</v>
      </c>
      <c r="V33" s="89" t="s">
        <v>29</v>
      </c>
      <c r="W33" s="89"/>
      <c r="X33" s="89"/>
      <c r="Y33" s="90" t="s">
        <v>309</v>
      </c>
      <c r="Z33" s="104"/>
      <c r="AA33" s="38"/>
      <c r="AB33" s="39" t="e">
        <f>IF(E33=E31,AB31,AB31+1)</f>
        <v>#REF!</v>
      </c>
      <c r="AE33" s="6"/>
    </row>
    <row r="34" spans="1:31" s="449" customFormat="1" ht="39.4" customHeight="1">
      <c r="A34" s="449">
        <v>22</v>
      </c>
      <c r="B34" s="449" t="s">
        <v>889</v>
      </c>
      <c r="C34" s="184">
        <v>44065</v>
      </c>
      <c r="D34" s="102" t="s">
        <v>56</v>
      </c>
      <c r="E34" s="103" t="s">
        <v>93</v>
      </c>
      <c r="F34" s="23" t="s">
        <v>157</v>
      </c>
      <c r="G34" s="104">
        <v>15</v>
      </c>
      <c r="H34" s="457"/>
      <c r="I34" s="457"/>
      <c r="J34" s="457"/>
      <c r="K34" s="104" t="s">
        <v>79</v>
      </c>
      <c r="L34" s="104" t="s">
        <v>31</v>
      </c>
      <c r="M34" s="104">
        <v>120</v>
      </c>
      <c r="N34" s="167"/>
      <c r="O34" s="89"/>
      <c r="P34" s="136"/>
      <c r="Q34" s="89"/>
      <c r="R34" s="89"/>
      <c r="S34" s="89"/>
      <c r="T34" s="89"/>
      <c r="U34" s="90" t="s">
        <v>70</v>
      </c>
      <c r="V34" s="89" t="s">
        <v>29</v>
      </c>
      <c r="W34" s="89"/>
      <c r="X34" s="89"/>
      <c r="Y34" s="90" t="s">
        <v>309</v>
      </c>
      <c r="Z34" s="104"/>
      <c r="AA34" s="38"/>
      <c r="AB34" s="39" t="e">
        <f>IF(E34=E32,AB32,AB32+1)</f>
        <v>#REF!</v>
      </c>
      <c r="AE34" s="6"/>
    </row>
    <row r="35" spans="1:31" s="449" customFormat="1" ht="39.4" customHeight="1">
      <c r="A35" s="449">
        <v>22</v>
      </c>
      <c r="B35" s="449" t="s">
        <v>889</v>
      </c>
      <c r="C35" s="184">
        <v>44065</v>
      </c>
      <c r="D35" s="102" t="s">
        <v>57</v>
      </c>
      <c r="E35" s="103" t="s">
        <v>120</v>
      </c>
      <c r="F35" s="23" t="s">
        <v>168</v>
      </c>
      <c r="G35" s="104">
        <v>27</v>
      </c>
      <c r="H35" s="457"/>
      <c r="I35" s="457"/>
      <c r="J35" s="457"/>
      <c r="K35" s="104" t="s">
        <v>79</v>
      </c>
      <c r="L35" s="104" t="s">
        <v>49</v>
      </c>
      <c r="M35" s="104">
        <v>100</v>
      </c>
      <c r="N35" s="167"/>
      <c r="O35" s="89"/>
      <c r="P35" s="136"/>
      <c r="Q35" s="89"/>
      <c r="R35" s="89" t="s">
        <v>29</v>
      </c>
      <c r="S35" s="89"/>
      <c r="T35" s="89"/>
      <c r="U35" s="90" t="s">
        <v>70</v>
      </c>
      <c r="V35" s="89"/>
      <c r="W35" s="89" t="s">
        <v>29</v>
      </c>
      <c r="X35" s="89" t="s">
        <v>29</v>
      </c>
      <c r="Y35" s="90" t="s">
        <v>239</v>
      </c>
      <c r="Z35" s="104"/>
      <c r="AA35" s="38"/>
      <c r="AB35" s="39" t="e">
        <f t="shared" ref="AB35:AB42" si="2">IF(E35=E34,AB34,AB34+1)</f>
        <v>#REF!</v>
      </c>
      <c r="AE35" s="6"/>
    </row>
    <row r="36" spans="1:31" s="449" customFormat="1" ht="39.4" customHeight="1">
      <c r="A36" s="449">
        <v>22</v>
      </c>
      <c r="B36" s="449" t="s">
        <v>889</v>
      </c>
      <c r="C36" s="184">
        <v>44065</v>
      </c>
      <c r="D36" s="102" t="s">
        <v>58</v>
      </c>
      <c r="E36" s="103" t="s">
        <v>91</v>
      </c>
      <c r="F36" s="23" t="s">
        <v>160</v>
      </c>
      <c r="G36" s="104">
        <v>45</v>
      </c>
      <c r="H36" s="457"/>
      <c r="I36" s="457"/>
      <c r="J36" s="457"/>
      <c r="K36" s="104" t="s">
        <v>79</v>
      </c>
      <c r="L36" s="104" t="s">
        <v>31</v>
      </c>
      <c r="M36" s="104">
        <v>120</v>
      </c>
      <c r="N36" s="167"/>
      <c r="O36" s="89"/>
      <c r="P36" s="136"/>
      <c r="Q36" s="89"/>
      <c r="R36" s="89"/>
      <c r="S36" s="89"/>
      <c r="T36" s="89" t="s">
        <v>29</v>
      </c>
      <c r="U36" s="90" t="s">
        <v>70</v>
      </c>
      <c r="V36" s="89"/>
      <c r="W36" s="89"/>
      <c r="X36" s="89"/>
      <c r="Y36" s="90" t="s">
        <v>237</v>
      </c>
      <c r="Z36" s="104"/>
      <c r="AA36" s="38"/>
      <c r="AB36" s="39" t="e">
        <f t="shared" si="2"/>
        <v>#REF!</v>
      </c>
      <c r="AE36" s="6"/>
    </row>
    <row r="37" spans="1:31" s="449" customFormat="1" ht="39.4" customHeight="1">
      <c r="A37" s="449">
        <v>22</v>
      </c>
      <c r="B37" s="449" t="s">
        <v>889</v>
      </c>
      <c r="C37" s="184">
        <v>44065</v>
      </c>
      <c r="D37" s="102" t="s">
        <v>59</v>
      </c>
      <c r="E37" s="103" t="s">
        <v>123</v>
      </c>
      <c r="F37" s="23" t="s">
        <v>158</v>
      </c>
      <c r="G37" s="104">
        <v>3</v>
      </c>
      <c r="H37" s="457"/>
      <c r="I37" s="457"/>
      <c r="J37" s="457"/>
      <c r="K37" s="104" t="s">
        <v>124</v>
      </c>
      <c r="L37" s="104" t="s">
        <v>18</v>
      </c>
      <c r="M37" s="104">
        <v>220</v>
      </c>
      <c r="N37" s="167"/>
      <c r="O37" s="89"/>
      <c r="P37" s="136"/>
      <c r="Q37" s="89"/>
      <c r="R37" s="89" t="s">
        <v>29</v>
      </c>
      <c r="S37" s="89"/>
      <c r="T37" s="89"/>
      <c r="U37" s="89" t="s">
        <v>29</v>
      </c>
      <c r="V37" s="89"/>
      <c r="W37" s="89" t="s">
        <v>29</v>
      </c>
      <c r="X37" s="89"/>
      <c r="Y37" s="90" t="s">
        <v>518</v>
      </c>
      <c r="Z37" s="104"/>
      <c r="AA37" s="38"/>
      <c r="AB37" s="39" t="e">
        <f t="shared" si="2"/>
        <v>#REF!</v>
      </c>
      <c r="AE37" s="6"/>
    </row>
    <row r="38" spans="1:31" s="449" customFormat="1" ht="39.4" customHeight="1">
      <c r="A38" s="449">
        <v>22</v>
      </c>
      <c r="B38" s="449" t="s">
        <v>889</v>
      </c>
      <c r="C38" s="184">
        <v>44065</v>
      </c>
      <c r="D38" s="102" t="s">
        <v>60</v>
      </c>
      <c r="E38" s="103" t="s">
        <v>215</v>
      </c>
      <c r="F38" s="23" t="s">
        <v>216</v>
      </c>
      <c r="G38" s="104">
        <v>23</v>
      </c>
      <c r="H38" s="457"/>
      <c r="I38" s="457"/>
      <c r="J38" s="457"/>
      <c r="K38" s="104" t="s">
        <v>67</v>
      </c>
      <c r="L38" s="104" t="s">
        <v>19</v>
      </c>
      <c r="M38" s="104">
        <v>220</v>
      </c>
      <c r="N38" s="167"/>
      <c r="O38" s="89"/>
      <c r="P38" s="136" t="s">
        <v>47</v>
      </c>
      <c r="Q38" s="89"/>
      <c r="R38" s="89"/>
      <c r="S38" s="89"/>
      <c r="T38" s="89"/>
      <c r="U38" s="89" t="s">
        <v>29</v>
      </c>
      <c r="V38" s="89"/>
      <c r="W38" s="89"/>
      <c r="X38" s="89"/>
      <c r="Y38" s="90" t="s">
        <v>519</v>
      </c>
      <c r="Z38" s="104"/>
      <c r="AA38" s="38"/>
      <c r="AB38" s="39" t="e">
        <f t="shared" si="2"/>
        <v>#REF!</v>
      </c>
      <c r="AE38" s="6"/>
    </row>
    <row r="39" spans="1:31" s="449" customFormat="1" ht="39.4" customHeight="1">
      <c r="A39" s="449">
        <v>22</v>
      </c>
      <c r="B39" s="449" t="s">
        <v>889</v>
      </c>
      <c r="C39" s="184">
        <v>44065</v>
      </c>
      <c r="D39" s="102" t="s">
        <v>61</v>
      </c>
      <c r="E39" s="103" t="s">
        <v>188</v>
      </c>
      <c r="F39" s="23" t="s">
        <v>153</v>
      </c>
      <c r="G39" s="104">
        <v>26</v>
      </c>
      <c r="H39" s="457"/>
      <c r="I39" s="457"/>
      <c r="J39" s="457"/>
      <c r="K39" s="104" t="s">
        <v>67</v>
      </c>
      <c r="L39" s="104" t="s">
        <v>41</v>
      </c>
      <c r="M39" s="104">
        <v>230</v>
      </c>
      <c r="N39" s="167"/>
      <c r="O39" s="89"/>
      <c r="P39" s="136" t="s">
        <v>47</v>
      </c>
      <c r="Q39" s="89"/>
      <c r="R39" s="89"/>
      <c r="S39" s="89"/>
      <c r="T39" s="89"/>
      <c r="U39" s="89" t="s">
        <v>29</v>
      </c>
      <c r="V39" s="89"/>
      <c r="W39" s="89"/>
      <c r="X39" s="89"/>
      <c r="Y39" s="90" t="s">
        <v>520</v>
      </c>
      <c r="Z39" s="104"/>
      <c r="AA39" s="38"/>
      <c r="AB39" s="39" t="e">
        <f t="shared" si="2"/>
        <v>#REF!</v>
      </c>
      <c r="AE39" s="6"/>
    </row>
    <row r="40" spans="1:31" s="449" customFormat="1" ht="39.4" customHeight="1">
      <c r="A40" s="449">
        <v>22</v>
      </c>
      <c r="B40" s="449" t="s">
        <v>889</v>
      </c>
      <c r="C40" s="116">
        <v>44067</v>
      </c>
      <c r="D40" s="102" t="s">
        <v>54</v>
      </c>
      <c r="E40" s="103" t="s">
        <v>188</v>
      </c>
      <c r="F40" s="23" t="s">
        <v>153</v>
      </c>
      <c r="G40" s="104">
        <v>6</v>
      </c>
      <c r="H40" s="457"/>
      <c r="I40" s="457"/>
      <c r="J40" s="457"/>
      <c r="K40" s="104" t="s">
        <v>67</v>
      </c>
      <c r="L40" s="104" t="s">
        <v>41</v>
      </c>
      <c r="M40" s="104">
        <v>230</v>
      </c>
      <c r="N40" s="167"/>
      <c r="O40" s="89"/>
      <c r="P40" s="136" t="s">
        <v>47</v>
      </c>
      <c r="Q40" s="89"/>
      <c r="R40" s="89"/>
      <c r="S40" s="89"/>
      <c r="T40" s="89"/>
      <c r="U40" s="89" t="s">
        <v>29</v>
      </c>
      <c r="V40" s="89"/>
      <c r="W40" s="89"/>
      <c r="X40" s="89"/>
      <c r="Y40" s="90" t="s">
        <v>521</v>
      </c>
      <c r="Z40" s="104"/>
      <c r="AA40" s="38"/>
      <c r="AB40" s="39" t="e">
        <f t="shared" si="2"/>
        <v>#REF!</v>
      </c>
      <c r="AE40" s="6"/>
    </row>
    <row r="41" spans="1:31" s="449" customFormat="1" ht="39.4" customHeight="1">
      <c r="A41" s="449">
        <v>22</v>
      </c>
      <c r="B41" s="449" t="s">
        <v>889</v>
      </c>
      <c r="C41" s="184">
        <v>44067</v>
      </c>
      <c r="D41" s="102" t="s">
        <v>55</v>
      </c>
      <c r="E41" s="103" t="s">
        <v>182</v>
      </c>
      <c r="F41" s="23" t="s">
        <v>183</v>
      </c>
      <c r="G41" s="104">
        <v>1</v>
      </c>
      <c r="H41" s="457"/>
      <c r="I41" s="457"/>
      <c r="J41" s="457"/>
      <c r="K41" s="104" t="s">
        <v>98</v>
      </c>
      <c r="L41" s="104" t="s">
        <v>31</v>
      </c>
      <c r="M41" s="104">
        <v>120</v>
      </c>
      <c r="N41" s="167"/>
      <c r="O41" s="89"/>
      <c r="P41" s="136"/>
      <c r="Q41" s="89"/>
      <c r="R41" s="89"/>
      <c r="S41" s="89"/>
      <c r="T41" s="89" t="s">
        <v>29</v>
      </c>
      <c r="U41" s="90" t="s">
        <v>70</v>
      </c>
      <c r="V41" s="89"/>
      <c r="W41" s="89"/>
      <c r="X41" s="89"/>
      <c r="Y41" s="90" t="s">
        <v>522</v>
      </c>
      <c r="Z41" s="104"/>
      <c r="AA41" s="38"/>
      <c r="AB41" s="39" t="e">
        <f t="shared" si="2"/>
        <v>#REF!</v>
      </c>
      <c r="AE41" s="6"/>
    </row>
    <row r="42" spans="1:31" s="449" customFormat="1" ht="39.4" customHeight="1">
      <c r="A42" s="449">
        <v>22</v>
      </c>
      <c r="B42" s="449" t="s">
        <v>889</v>
      </c>
      <c r="C42" s="184">
        <v>44067</v>
      </c>
      <c r="D42" s="102" t="s">
        <v>56</v>
      </c>
      <c r="E42" s="103" t="s">
        <v>85</v>
      </c>
      <c r="F42" s="23" t="s">
        <v>169</v>
      </c>
      <c r="G42" s="104">
        <v>3</v>
      </c>
      <c r="H42" s="457"/>
      <c r="I42" s="457"/>
      <c r="J42" s="457"/>
      <c r="K42" s="104" t="s">
        <v>98</v>
      </c>
      <c r="L42" s="104" t="s">
        <v>31</v>
      </c>
      <c r="M42" s="104">
        <v>120</v>
      </c>
      <c r="N42" s="167"/>
      <c r="O42" s="89"/>
      <c r="P42" s="136"/>
      <c r="Q42" s="89"/>
      <c r="R42" s="89"/>
      <c r="S42" s="89"/>
      <c r="T42" s="89"/>
      <c r="U42" s="90" t="s">
        <v>70</v>
      </c>
      <c r="V42" s="89" t="s">
        <v>29</v>
      </c>
      <c r="W42" s="89"/>
      <c r="X42" s="89"/>
      <c r="Y42" s="90" t="s">
        <v>523</v>
      </c>
      <c r="Z42" s="104"/>
      <c r="AA42" s="38"/>
      <c r="AB42" s="39" t="e">
        <f t="shared" si="2"/>
        <v>#REF!</v>
      </c>
      <c r="AE42" s="6"/>
    </row>
    <row r="43" spans="1:31" s="449" customFormat="1" ht="39.4" customHeight="1">
      <c r="A43" s="449">
        <v>22</v>
      </c>
      <c r="B43" s="449" t="s">
        <v>889</v>
      </c>
      <c r="C43" s="184">
        <v>44067</v>
      </c>
      <c r="D43" s="102" t="s">
        <v>57</v>
      </c>
      <c r="E43" s="103" t="s">
        <v>221</v>
      </c>
      <c r="F43" s="23" t="s">
        <v>222</v>
      </c>
      <c r="G43" s="104">
        <v>11</v>
      </c>
      <c r="H43" s="457"/>
      <c r="I43" s="457"/>
      <c r="J43" s="457"/>
      <c r="K43" s="104" t="s">
        <v>79</v>
      </c>
      <c r="L43" s="104" t="s">
        <v>28</v>
      </c>
      <c r="M43" s="104">
        <v>230</v>
      </c>
      <c r="N43" s="167"/>
      <c r="O43" s="89"/>
      <c r="P43" s="136"/>
      <c r="Q43" s="89"/>
      <c r="R43" s="89"/>
      <c r="S43" s="89"/>
      <c r="T43" s="89"/>
      <c r="U43" s="90" t="s">
        <v>70</v>
      </c>
      <c r="V43" s="89" t="s">
        <v>29</v>
      </c>
      <c r="W43" s="89"/>
      <c r="X43" s="89"/>
      <c r="Y43" s="90" t="s">
        <v>524</v>
      </c>
      <c r="Z43" s="104"/>
      <c r="AA43" s="38"/>
      <c r="AB43" s="39" t="e">
        <f>IF(E43=E41,AB41,AB41+1)</f>
        <v>#REF!</v>
      </c>
      <c r="AE43" s="6"/>
    </row>
    <row r="44" spans="1:31" s="449" customFormat="1" ht="39.4" customHeight="1">
      <c r="A44" s="449">
        <v>24</v>
      </c>
      <c r="B44" s="449" t="s">
        <v>889</v>
      </c>
      <c r="C44" s="184">
        <v>44067</v>
      </c>
      <c r="D44" s="102" t="s">
        <v>57</v>
      </c>
      <c r="E44" s="103" t="s">
        <v>221</v>
      </c>
      <c r="F44" s="23" t="s">
        <v>222</v>
      </c>
      <c r="G44" s="104">
        <v>32</v>
      </c>
      <c r="H44" s="457"/>
      <c r="I44" s="457"/>
      <c r="J44" s="457"/>
      <c r="K44" s="104" t="s">
        <v>79</v>
      </c>
      <c r="L44" s="104" t="s">
        <v>28</v>
      </c>
      <c r="M44" s="104">
        <v>230</v>
      </c>
      <c r="N44" s="167"/>
      <c r="O44" s="89"/>
      <c r="P44" s="136"/>
      <c r="Q44" s="89"/>
      <c r="R44" s="89"/>
      <c r="S44" s="89"/>
      <c r="T44" s="89"/>
      <c r="U44" s="90" t="s">
        <v>70</v>
      </c>
      <c r="V44" s="89" t="s">
        <v>29</v>
      </c>
      <c r="W44" s="89"/>
      <c r="X44" s="89"/>
      <c r="Y44" s="90" t="s">
        <v>524</v>
      </c>
      <c r="Z44" s="104"/>
      <c r="AA44" s="38"/>
      <c r="AB44" s="39" t="e">
        <f>IF(E44=E42,AB42,AB42+1)</f>
        <v>#REF!</v>
      </c>
      <c r="AE44" s="6"/>
    </row>
    <row r="45" spans="1:31" s="449" customFormat="1" ht="39.4" customHeight="1">
      <c r="A45" s="449">
        <v>24</v>
      </c>
      <c r="B45" s="449" t="s">
        <v>889</v>
      </c>
      <c r="C45" s="184">
        <v>44067</v>
      </c>
      <c r="D45" s="102" t="s">
        <v>58</v>
      </c>
      <c r="E45" s="103" t="s">
        <v>81</v>
      </c>
      <c r="F45" s="23" t="s">
        <v>151</v>
      </c>
      <c r="G45" s="104">
        <v>44</v>
      </c>
      <c r="H45" s="457"/>
      <c r="I45" s="457"/>
      <c r="J45" s="457"/>
      <c r="K45" s="104" t="s">
        <v>79</v>
      </c>
      <c r="L45" s="104" t="s">
        <v>28</v>
      </c>
      <c r="M45" s="104">
        <v>230</v>
      </c>
      <c r="N45" s="167"/>
      <c r="O45" s="89"/>
      <c r="P45" s="136"/>
      <c r="Q45" s="89"/>
      <c r="R45" s="89"/>
      <c r="S45" s="89"/>
      <c r="T45" s="89"/>
      <c r="U45" s="90" t="s">
        <v>70</v>
      </c>
      <c r="V45" s="89" t="s">
        <v>29</v>
      </c>
      <c r="W45" s="89"/>
      <c r="X45" s="89"/>
      <c r="Y45" s="90" t="s">
        <v>525</v>
      </c>
      <c r="Z45" s="104"/>
      <c r="AA45" s="38"/>
      <c r="AB45" s="39" t="e">
        <f>IF(E45=E44,AB44,AB44+1)</f>
        <v>#REF!</v>
      </c>
      <c r="AE45" s="6"/>
    </row>
    <row r="46" spans="1:31" s="449" customFormat="1" ht="39.4" customHeight="1">
      <c r="A46" s="449">
        <v>24</v>
      </c>
      <c r="B46" s="449" t="s">
        <v>889</v>
      </c>
      <c r="C46" s="184">
        <v>44067</v>
      </c>
      <c r="D46" s="102" t="s">
        <v>59</v>
      </c>
      <c r="E46" s="103" t="s">
        <v>141</v>
      </c>
      <c r="F46" s="23" t="s">
        <v>164</v>
      </c>
      <c r="G46" s="104">
        <v>19</v>
      </c>
      <c r="H46" s="457"/>
      <c r="I46" s="457"/>
      <c r="J46" s="457"/>
      <c r="K46" s="104" t="s">
        <v>79</v>
      </c>
      <c r="L46" s="104" t="s">
        <v>18</v>
      </c>
      <c r="M46" s="104">
        <v>220</v>
      </c>
      <c r="N46" s="167"/>
      <c r="O46" s="89"/>
      <c r="P46" s="136"/>
      <c r="Q46" s="89"/>
      <c r="R46" s="89"/>
      <c r="S46" s="89"/>
      <c r="T46" s="89"/>
      <c r="U46" s="90" t="s">
        <v>70</v>
      </c>
      <c r="V46" s="89" t="s">
        <v>29</v>
      </c>
      <c r="W46" s="89" t="s">
        <v>29</v>
      </c>
      <c r="X46" s="89"/>
      <c r="Y46" s="143" t="s">
        <v>526</v>
      </c>
      <c r="Z46" s="104"/>
      <c r="AA46" s="38"/>
      <c r="AB46" s="39" t="e">
        <f>IF(E46=E45,AB45,AB45+1)</f>
        <v>#REF!</v>
      </c>
      <c r="AE46" s="6"/>
    </row>
    <row r="47" spans="1:31" s="449" customFormat="1" ht="39.4" customHeight="1">
      <c r="A47" s="449">
        <v>24</v>
      </c>
      <c r="B47" s="449" t="s">
        <v>889</v>
      </c>
      <c r="C47" s="184">
        <v>44067</v>
      </c>
      <c r="D47" s="102" t="s">
        <v>60</v>
      </c>
      <c r="E47" s="103" t="s">
        <v>90</v>
      </c>
      <c r="F47" s="23" t="s">
        <v>148</v>
      </c>
      <c r="G47" s="104">
        <v>34</v>
      </c>
      <c r="H47" s="457"/>
      <c r="I47" s="457"/>
      <c r="J47" s="457"/>
      <c r="K47" s="104" t="s">
        <v>79</v>
      </c>
      <c r="L47" s="104" t="s">
        <v>31</v>
      </c>
      <c r="M47" s="104">
        <v>120</v>
      </c>
      <c r="N47" s="167"/>
      <c r="O47" s="89"/>
      <c r="P47" s="136"/>
      <c r="Q47" s="89"/>
      <c r="R47" s="89"/>
      <c r="S47" s="89"/>
      <c r="T47" s="89" t="s">
        <v>29</v>
      </c>
      <c r="U47" s="90" t="s">
        <v>70</v>
      </c>
      <c r="V47" s="89"/>
      <c r="W47" s="89"/>
      <c r="X47" s="89"/>
      <c r="Y47" s="90" t="s">
        <v>527</v>
      </c>
      <c r="Z47" s="104"/>
      <c r="AA47" s="38"/>
      <c r="AB47" s="39" t="e">
        <f>IF(E47=E45,AB45,AB45+1)</f>
        <v>#REF!</v>
      </c>
      <c r="AE47" s="6"/>
    </row>
    <row r="48" spans="1:31" s="449" customFormat="1" ht="39.4" customHeight="1">
      <c r="A48" s="449">
        <v>24</v>
      </c>
      <c r="B48" s="449" t="s">
        <v>890</v>
      </c>
      <c r="C48" s="184">
        <v>44067</v>
      </c>
      <c r="D48" s="102" t="s">
        <v>60</v>
      </c>
      <c r="E48" s="103" t="s">
        <v>90</v>
      </c>
      <c r="F48" s="23" t="s">
        <v>148</v>
      </c>
      <c r="G48" s="104">
        <v>56</v>
      </c>
      <c r="H48" s="457"/>
      <c r="I48" s="457"/>
      <c r="J48" s="457"/>
      <c r="K48" s="104" t="s">
        <v>79</v>
      </c>
      <c r="L48" s="104" t="s">
        <v>31</v>
      </c>
      <c r="M48" s="104">
        <v>120</v>
      </c>
      <c r="N48" s="167"/>
      <c r="O48" s="89"/>
      <c r="P48" s="136"/>
      <c r="Q48" s="89"/>
      <c r="R48" s="89"/>
      <c r="S48" s="89"/>
      <c r="T48" s="89" t="s">
        <v>29</v>
      </c>
      <c r="U48" s="90" t="s">
        <v>70</v>
      </c>
      <c r="V48" s="89"/>
      <c r="W48" s="89"/>
      <c r="X48" s="89"/>
      <c r="Y48" s="90" t="s">
        <v>527</v>
      </c>
      <c r="Z48" s="104"/>
      <c r="AA48" s="38"/>
      <c r="AB48" s="39" t="e">
        <f>IF(E48=E46,AB46,AB46+1)</f>
        <v>#REF!</v>
      </c>
      <c r="AE48" s="6"/>
    </row>
    <row r="49" spans="1:31" s="449" customFormat="1" ht="39.4" customHeight="1">
      <c r="A49" s="449">
        <v>24</v>
      </c>
      <c r="B49" s="449" t="s">
        <v>890</v>
      </c>
      <c r="C49" s="184">
        <v>44067</v>
      </c>
      <c r="D49" s="102" t="s">
        <v>61</v>
      </c>
      <c r="E49" s="103" t="s">
        <v>103</v>
      </c>
      <c r="F49" s="23" t="s">
        <v>156</v>
      </c>
      <c r="G49" s="104">
        <v>3</v>
      </c>
      <c r="H49" s="457"/>
      <c r="I49" s="457"/>
      <c r="J49" s="457"/>
      <c r="K49" s="104" t="s">
        <v>67</v>
      </c>
      <c r="L49" s="104" t="s">
        <v>30</v>
      </c>
      <c r="M49" s="104">
        <v>230</v>
      </c>
      <c r="N49" s="167"/>
      <c r="O49" s="89"/>
      <c r="P49" s="136"/>
      <c r="Q49" s="89"/>
      <c r="R49" s="89"/>
      <c r="S49" s="89"/>
      <c r="T49" s="89"/>
      <c r="U49" s="89"/>
      <c r="V49" s="89" t="s">
        <v>29</v>
      </c>
      <c r="W49" s="89"/>
      <c r="X49" s="89"/>
      <c r="Y49" s="90" t="s">
        <v>528</v>
      </c>
      <c r="Z49" s="104"/>
      <c r="AA49" s="38"/>
      <c r="AB49" s="39" t="e">
        <f t="shared" ref="AB49:AB57" si="3">IF(E49=E48,AB48,AB48+1)</f>
        <v>#REF!</v>
      </c>
      <c r="AE49" s="6"/>
    </row>
    <row r="50" spans="1:31" s="449" customFormat="1" ht="39.4" customHeight="1">
      <c r="A50" s="449">
        <v>24</v>
      </c>
      <c r="B50" s="449" t="s">
        <v>890</v>
      </c>
      <c r="C50" s="184">
        <v>44067</v>
      </c>
      <c r="D50" s="102" t="s">
        <v>63</v>
      </c>
      <c r="E50" s="103" t="s">
        <v>215</v>
      </c>
      <c r="F50" s="23" t="s">
        <v>216</v>
      </c>
      <c r="G50" s="104">
        <v>21</v>
      </c>
      <c r="H50" s="457"/>
      <c r="I50" s="457"/>
      <c r="J50" s="457"/>
      <c r="K50" s="104" t="s">
        <v>67</v>
      </c>
      <c r="L50" s="104" t="s">
        <v>19</v>
      </c>
      <c r="M50" s="104">
        <v>220</v>
      </c>
      <c r="N50" s="167"/>
      <c r="O50" s="89"/>
      <c r="P50" s="136" t="s">
        <v>47</v>
      </c>
      <c r="Q50" s="89"/>
      <c r="R50" s="89"/>
      <c r="S50" s="89"/>
      <c r="T50" s="89"/>
      <c r="U50" s="89" t="s">
        <v>29</v>
      </c>
      <c r="V50" s="89"/>
      <c r="W50" s="89"/>
      <c r="X50" s="89"/>
      <c r="Y50" s="90" t="s">
        <v>529</v>
      </c>
      <c r="Z50" s="104"/>
      <c r="AA50" s="38"/>
      <c r="AB50" s="39" t="e">
        <f t="shared" si="3"/>
        <v>#REF!</v>
      </c>
      <c r="AE50" s="6"/>
    </row>
    <row r="51" spans="1:31" s="449" customFormat="1" ht="39.4" customHeight="1">
      <c r="A51" s="449">
        <v>24</v>
      </c>
      <c r="B51" s="449" t="s">
        <v>890</v>
      </c>
      <c r="C51" s="184">
        <v>44067</v>
      </c>
      <c r="D51" s="102" t="s">
        <v>62</v>
      </c>
      <c r="E51" s="103" t="s">
        <v>129</v>
      </c>
      <c r="F51" s="23" t="s">
        <v>154</v>
      </c>
      <c r="G51" s="104">
        <v>3</v>
      </c>
      <c r="H51" s="457"/>
      <c r="I51" s="457"/>
      <c r="J51" s="457"/>
      <c r="K51" s="104" t="s">
        <v>53</v>
      </c>
      <c r="L51" s="104" t="s">
        <v>30</v>
      </c>
      <c r="M51" s="104">
        <v>230</v>
      </c>
      <c r="N51" s="167"/>
      <c r="O51" s="89"/>
      <c r="P51" s="136"/>
      <c r="Q51" s="89"/>
      <c r="R51" s="89"/>
      <c r="S51" s="89"/>
      <c r="T51" s="89"/>
      <c r="U51" s="89"/>
      <c r="V51" s="89" t="s">
        <v>29</v>
      </c>
      <c r="W51" s="89" t="s">
        <v>29</v>
      </c>
      <c r="X51" s="89"/>
      <c r="Y51" s="90" t="s">
        <v>530</v>
      </c>
      <c r="Z51" s="104"/>
      <c r="AA51" s="38"/>
      <c r="AB51" s="39" t="e">
        <f t="shared" si="3"/>
        <v>#REF!</v>
      </c>
      <c r="AE51" s="6"/>
    </row>
    <row r="52" spans="1:31" s="449" customFormat="1" ht="39.4" customHeight="1">
      <c r="A52" s="449">
        <v>24</v>
      </c>
      <c r="B52" s="449" t="s">
        <v>890</v>
      </c>
      <c r="C52" s="184">
        <v>44067</v>
      </c>
      <c r="D52" s="102" t="s">
        <v>65</v>
      </c>
      <c r="E52" s="103" t="s">
        <v>531</v>
      </c>
      <c r="F52" s="23" t="s">
        <v>156</v>
      </c>
      <c r="G52" s="104">
        <v>1</v>
      </c>
      <c r="H52" s="457"/>
      <c r="I52" s="457"/>
      <c r="J52" s="457"/>
      <c r="K52" s="104" t="s">
        <v>67</v>
      </c>
      <c r="L52" s="104" t="s">
        <v>46</v>
      </c>
      <c r="M52" s="104">
        <v>120</v>
      </c>
      <c r="N52" s="167"/>
      <c r="O52" s="89"/>
      <c r="P52" s="136" t="s">
        <v>47</v>
      </c>
      <c r="Q52" s="89"/>
      <c r="R52" s="89"/>
      <c r="S52" s="89"/>
      <c r="T52" s="89"/>
      <c r="U52" s="89" t="s">
        <v>29</v>
      </c>
      <c r="V52" s="89"/>
      <c r="W52" s="89"/>
      <c r="X52" s="89"/>
      <c r="Y52" s="90" t="s">
        <v>532</v>
      </c>
      <c r="Z52" s="104"/>
      <c r="AA52" s="38"/>
      <c r="AB52" s="39" t="e">
        <f t="shared" si="3"/>
        <v>#REF!</v>
      </c>
      <c r="AE52" s="6"/>
    </row>
    <row r="53" spans="1:31" s="449" customFormat="1" ht="39.4" customHeight="1">
      <c r="A53" s="449">
        <v>24</v>
      </c>
      <c r="B53" s="449" t="s">
        <v>890</v>
      </c>
      <c r="C53" s="184">
        <v>44067</v>
      </c>
      <c r="D53" s="102" t="s">
        <v>66</v>
      </c>
      <c r="E53" s="103" t="s">
        <v>126</v>
      </c>
      <c r="F53" s="23" t="s">
        <v>147</v>
      </c>
      <c r="G53" s="104">
        <v>1</v>
      </c>
      <c r="H53" s="457"/>
      <c r="I53" s="457"/>
      <c r="J53" s="457"/>
      <c r="K53" s="104" t="s">
        <v>67</v>
      </c>
      <c r="L53" s="104" t="s">
        <v>34</v>
      </c>
      <c r="M53" s="104">
        <v>120</v>
      </c>
      <c r="N53" s="167"/>
      <c r="O53" s="89"/>
      <c r="P53" s="136" t="s">
        <v>47</v>
      </c>
      <c r="Q53" s="89"/>
      <c r="R53" s="89"/>
      <c r="S53" s="89"/>
      <c r="T53" s="89"/>
      <c r="U53" s="89" t="s">
        <v>29</v>
      </c>
      <c r="V53" s="89"/>
      <c r="W53" s="89"/>
      <c r="X53" s="89"/>
      <c r="Y53" s="90" t="s">
        <v>533</v>
      </c>
      <c r="Z53" s="104"/>
      <c r="AA53" s="38"/>
      <c r="AB53" s="39" t="e">
        <f t="shared" si="3"/>
        <v>#REF!</v>
      </c>
      <c r="AE53" s="6"/>
    </row>
    <row r="54" spans="1:31" s="449" customFormat="1" ht="39.4" customHeight="1">
      <c r="A54" s="449">
        <v>24</v>
      </c>
      <c r="B54" s="449" t="s">
        <v>890</v>
      </c>
      <c r="C54" s="184">
        <v>44067</v>
      </c>
      <c r="D54" s="102" t="s">
        <v>223</v>
      </c>
      <c r="E54" s="103" t="s">
        <v>217</v>
      </c>
      <c r="F54" s="23" t="s">
        <v>218</v>
      </c>
      <c r="G54" s="104">
        <v>23</v>
      </c>
      <c r="H54" s="457"/>
      <c r="I54" s="457"/>
      <c r="J54" s="457"/>
      <c r="K54" s="104" t="s">
        <v>67</v>
      </c>
      <c r="L54" s="104" t="s">
        <v>19</v>
      </c>
      <c r="M54" s="104">
        <v>220</v>
      </c>
      <c r="N54" s="167"/>
      <c r="O54" s="89"/>
      <c r="P54" s="136" t="s">
        <v>47</v>
      </c>
      <c r="Q54" s="89"/>
      <c r="R54" s="89"/>
      <c r="S54" s="89"/>
      <c r="T54" s="89"/>
      <c r="U54" s="89" t="s">
        <v>29</v>
      </c>
      <c r="V54" s="89"/>
      <c r="W54" s="89"/>
      <c r="X54" s="89"/>
      <c r="Y54" s="90" t="s">
        <v>534</v>
      </c>
      <c r="Z54" s="104"/>
      <c r="AA54" s="38"/>
      <c r="AB54" s="39" t="e">
        <f t="shared" si="3"/>
        <v>#REF!</v>
      </c>
      <c r="AE54" s="6"/>
    </row>
    <row r="55" spans="1:31" s="449" customFormat="1" ht="39.4" customHeight="1">
      <c r="A55" s="449">
        <v>24</v>
      </c>
      <c r="B55" s="449" t="s">
        <v>890</v>
      </c>
      <c r="C55" s="116">
        <v>44068</v>
      </c>
      <c r="D55" s="102" t="s">
        <v>54</v>
      </c>
      <c r="E55" s="103" t="s">
        <v>217</v>
      </c>
      <c r="F55" s="23" t="s">
        <v>218</v>
      </c>
      <c r="G55" s="104">
        <v>2</v>
      </c>
      <c r="H55" s="457"/>
      <c r="I55" s="457"/>
      <c r="J55" s="457"/>
      <c r="K55" s="104" t="s">
        <v>67</v>
      </c>
      <c r="L55" s="104" t="s">
        <v>19</v>
      </c>
      <c r="M55" s="104">
        <v>220</v>
      </c>
      <c r="N55" s="167"/>
      <c r="O55" s="89"/>
      <c r="P55" s="136" t="s">
        <v>47</v>
      </c>
      <c r="Q55" s="89"/>
      <c r="R55" s="89"/>
      <c r="S55" s="89"/>
      <c r="T55" s="89"/>
      <c r="U55" s="89" t="s">
        <v>29</v>
      </c>
      <c r="V55" s="89"/>
      <c r="W55" s="89"/>
      <c r="X55" s="89"/>
      <c r="Y55" s="90" t="s">
        <v>535</v>
      </c>
      <c r="Z55" s="104"/>
      <c r="AA55" s="38"/>
      <c r="AB55" s="39" t="e">
        <f t="shared" si="3"/>
        <v>#REF!</v>
      </c>
      <c r="AE55" s="6"/>
    </row>
    <row r="56" spans="1:31" s="449" customFormat="1" ht="39.4" customHeight="1">
      <c r="A56" s="449">
        <v>24</v>
      </c>
      <c r="B56" s="449" t="s">
        <v>890</v>
      </c>
      <c r="C56" s="184">
        <v>44068</v>
      </c>
      <c r="D56" s="102" t="s">
        <v>55</v>
      </c>
      <c r="E56" s="103" t="s">
        <v>182</v>
      </c>
      <c r="F56" s="23" t="s">
        <v>183</v>
      </c>
      <c r="G56" s="104">
        <v>2</v>
      </c>
      <c r="H56" s="457"/>
      <c r="I56" s="457"/>
      <c r="J56" s="457"/>
      <c r="K56" s="104" t="s">
        <v>98</v>
      </c>
      <c r="L56" s="104" t="s">
        <v>31</v>
      </c>
      <c r="M56" s="104">
        <v>120</v>
      </c>
      <c r="N56" s="167"/>
      <c r="O56" s="89"/>
      <c r="P56" s="136"/>
      <c r="Q56" s="89"/>
      <c r="R56" s="89"/>
      <c r="S56" s="89"/>
      <c r="T56" s="89" t="s">
        <v>29</v>
      </c>
      <c r="U56" s="90" t="s">
        <v>70</v>
      </c>
      <c r="V56" s="89"/>
      <c r="W56" s="89"/>
      <c r="X56" s="89"/>
      <c r="Y56" s="90" t="s">
        <v>536</v>
      </c>
      <c r="Z56" s="104"/>
      <c r="AA56" s="38"/>
      <c r="AB56" s="39" t="e">
        <f t="shared" si="3"/>
        <v>#REF!</v>
      </c>
      <c r="AE56" s="6"/>
    </row>
    <row r="57" spans="1:31" s="449" customFormat="1" ht="39.4" customHeight="1">
      <c r="A57" s="449">
        <v>24</v>
      </c>
      <c r="B57" s="449" t="s">
        <v>890</v>
      </c>
      <c r="C57" s="184">
        <v>44068</v>
      </c>
      <c r="D57" s="102" t="s">
        <v>56</v>
      </c>
      <c r="E57" s="103" t="s">
        <v>184</v>
      </c>
      <c r="F57" s="23" t="s">
        <v>185</v>
      </c>
      <c r="G57" s="104">
        <v>5</v>
      </c>
      <c r="H57" s="457"/>
      <c r="I57" s="457"/>
      <c r="J57" s="457"/>
      <c r="K57" s="104" t="s">
        <v>98</v>
      </c>
      <c r="L57" s="104" t="s">
        <v>31</v>
      </c>
      <c r="M57" s="104">
        <v>120</v>
      </c>
      <c r="N57" s="167"/>
      <c r="O57" s="89"/>
      <c r="P57" s="136"/>
      <c r="Q57" s="89"/>
      <c r="R57" s="89"/>
      <c r="S57" s="89"/>
      <c r="T57" s="89" t="s">
        <v>29</v>
      </c>
      <c r="U57" s="90" t="s">
        <v>70</v>
      </c>
      <c r="V57" s="89"/>
      <c r="W57" s="89"/>
      <c r="X57" s="89"/>
      <c r="Y57" s="90" t="s">
        <v>537</v>
      </c>
      <c r="Z57" s="104"/>
      <c r="AA57" s="38"/>
      <c r="AB57" s="39" t="e">
        <f t="shared" si="3"/>
        <v>#REF!</v>
      </c>
      <c r="AE57" s="6"/>
    </row>
    <row r="58" spans="1:31" s="449" customFormat="1" ht="39.4" customHeight="1">
      <c r="A58" s="449">
        <v>24</v>
      </c>
      <c r="B58" s="449" t="s">
        <v>890</v>
      </c>
      <c r="C58" s="184">
        <v>44068</v>
      </c>
      <c r="D58" s="102" t="s">
        <v>57</v>
      </c>
      <c r="E58" s="103" t="s">
        <v>81</v>
      </c>
      <c r="F58" s="23" t="s">
        <v>151</v>
      </c>
      <c r="G58" s="104">
        <v>12</v>
      </c>
      <c r="H58" s="457"/>
      <c r="I58" s="457"/>
      <c r="J58" s="457"/>
      <c r="K58" s="104" t="s">
        <v>79</v>
      </c>
      <c r="L58" s="104" t="s">
        <v>28</v>
      </c>
      <c r="M58" s="104">
        <v>230</v>
      </c>
      <c r="N58" s="167"/>
      <c r="O58" s="89"/>
      <c r="P58" s="136"/>
      <c r="Q58" s="89"/>
      <c r="R58" s="89"/>
      <c r="S58" s="89"/>
      <c r="T58" s="89"/>
      <c r="U58" s="90" t="s">
        <v>70</v>
      </c>
      <c r="V58" s="89" t="s">
        <v>29</v>
      </c>
      <c r="W58" s="89"/>
      <c r="X58" s="89"/>
      <c r="Y58" s="90" t="s">
        <v>538</v>
      </c>
      <c r="Z58" s="104"/>
      <c r="AA58" s="38"/>
      <c r="AB58" s="39" t="e">
        <f>IF(E58=E56,AB56,AB56+1)</f>
        <v>#REF!</v>
      </c>
      <c r="AE58" s="6"/>
    </row>
    <row r="59" spans="1:31" s="449" customFormat="1" ht="39.4" customHeight="1">
      <c r="A59" s="449">
        <v>25</v>
      </c>
      <c r="B59" s="449" t="s">
        <v>889</v>
      </c>
      <c r="C59" s="184">
        <v>44068</v>
      </c>
      <c r="D59" s="102" t="s">
        <v>57</v>
      </c>
      <c r="E59" s="103" t="s">
        <v>81</v>
      </c>
      <c r="F59" s="23" t="s">
        <v>151</v>
      </c>
      <c r="G59" s="104">
        <v>2</v>
      </c>
      <c r="H59" s="457"/>
      <c r="I59" s="457"/>
      <c r="J59" s="457"/>
      <c r="K59" s="104" t="s">
        <v>79</v>
      </c>
      <c r="L59" s="104" t="s">
        <v>28</v>
      </c>
      <c r="M59" s="104">
        <v>230</v>
      </c>
      <c r="N59" s="167"/>
      <c r="O59" s="89"/>
      <c r="P59" s="136"/>
      <c r="Q59" s="89"/>
      <c r="R59" s="89"/>
      <c r="S59" s="89"/>
      <c r="T59" s="89"/>
      <c r="U59" s="90" t="s">
        <v>70</v>
      </c>
      <c r="V59" s="89" t="s">
        <v>29</v>
      </c>
      <c r="W59" s="89"/>
      <c r="X59" s="89"/>
      <c r="Y59" s="90" t="s">
        <v>538</v>
      </c>
      <c r="Z59" s="104"/>
      <c r="AA59" s="38"/>
      <c r="AB59" s="39" t="e">
        <f>IF(E59=E57,AB57,AB57+1)</f>
        <v>#REF!</v>
      </c>
      <c r="AE59" s="6"/>
    </row>
    <row r="60" spans="1:31" s="449" customFormat="1" ht="39.4" customHeight="1">
      <c r="A60" s="449">
        <v>25</v>
      </c>
      <c r="B60" s="449" t="s">
        <v>889</v>
      </c>
      <c r="C60" s="184">
        <v>44068</v>
      </c>
      <c r="D60" s="102" t="s">
        <v>58</v>
      </c>
      <c r="E60" s="103" t="s">
        <v>92</v>
      </c>
      <c r="F60" s="23" t="s">
        <v>159</v>
      </c>
      <c r="G60" s="104">
        <v>89</v>
      </c>
      <c r="H60" s="457"/>
      <c r="I60" s="457"/>
      <c r="J60" s="457"/>
      <c r="K60" s="104" t="s">
        <v>79</v>
      </c>
      <c r="L60" s="104" t="s">
        <v>31</v>
      </c>
      <c r="M60" s="104">
        <v>120</v>
      </c>
      <c r="N60" s="167"/>
      <c r="O60" s="89"/>
      <c r="P60" s="136"/>
      <c r="Q60" s="89"/>
      <c r="R60" s="89"/>
      <c r="S60" s="89"/>
      <c r="T60" s="89"/>
      <c r="U60" s="90" t="s">
        <v>70</v>
      </c>
      <c r="V60" s="89" t="s">
        <v>29</v>
      </c>
      <c r="W60" s="89"/>
      <c r="X60" s="89"/>
      <c r="Y60" s="90" t="s">
        <v>539</v>
      </c>
      <c r="Z60" s="90"/>
      <c r="AA60" s="38"/>
      <c r="AB60" s="39" t="e">
        <f>IF(E60=E59,AB59,AB59+1)</f>
        <v>#REF!</v>
      </c>
      <c r="AE60" s="6"/>
    </row>
    <row r="61" spans="1:31" s="449" customFormat="1" ht="39.4" customHeight="1">
      <c r="A61" s="449">
        <v>25</v>
      </c>
      <c r="B61" s="449" t="s">
        <v>889</v>
      </c>
      <c r="C61" s="184">
        <v>44068</v>
      </c>
      <c r="D61" s="102" t="s">
        <v>59</v>
      </c>
      <c r="E61" s="103" t="s">
        <v>82</v>
      </c>
      <c r="F61" s="23" t="s">
        <v>165</v>
      </c>
      <c r="G61" s="104">
        <v>45</v>
      </c>
      <c r="H61" s="457"/>
      <c r="I61" s="457"/>
      <c r="J61" s="457"/>
      <c r="K61" s="104" t="s">
        <v>79</v>
      </c>
      <c r="L61" s="104" t="s">
        <v>30</v>
      </c>
      <c r="M61" s="104">
        <v>230</v>
      </c>
      <c r="N61" s="167"/>
      <c r="O61" s="89"/>
      <c r="P61" s="136"/>
      <c r="Q61" s="89"/>
      <c r="R61" s="89"/>
      <c r="S61" s="89"/>
      <c r="T61" s="89"/>
      <c r="U61" s="90" t="s">
        <v>70</v>
      </c>
      <c r="V61" s="89" t="s">
        <v>29</v>
      </c>
      <c r="W61" s="89" t="s">
        <v>29</v>
      </c>
      <c r="X61" s="89"/>
      <c r="Y61" s="90" t="s">
        <v>540</v>
      </c>
      <c r="Z61" s="90"/>
      <c r="AA61" s="38"/>
      <c r="AB61" s="39" t="e">
        <f>IF(E61=E60,AB60,AB60+1)</f>
        <v>#REF!</v>
      </c>
      <c r="AE61" s="6"/>
    </row>
    <row r="62" spans="1:31" s="449" customFormat="1" ht="39.4" customHeight="1">
      <c r="A62" s="449">
        <v>25</v>
      </c>
      <c r="B62" s="449" t="s">
        <v>889</v>
      </c>
      <c r="C62" s="184">
        <v>44068</v>
      </c>
      <c r="D62" s="102" t="s">
        <v>60</v>
      </c>
      <c r="E62" s="103" t="s">
        <v>118</v>
      </c>
      <c r="F62" s="23" t="s">
        <v>150</v>
      </c>
      <c r="G62" s="104">
        <v>33</v>
      </c>
      <c r="H62" s="457"/>
      <c r="I62" s="457"/>
      <c r="J62" s="457"/>
      <c r="K62" s="104" t="s">
        <v>79</v>
      </c>
      <c r="L62" s="104" t="s">
        <v>18</v>
      </c>
      <c r="M62" s="104">
        <v>220</v>
      </c>
      <c r="N62" s="167"/>
      <c r="O62" s="89"/>
      <c r="P62" s="136"/>
      <c r="Q62" s="89"/>
      <c r="R62" s="89"/>
      <c r="S62" s="89"/>
      <c r="T62" s="89"/>
      <c r="U62" s="90" t="s">
        <v>70</v>
      </c>
      <c r="V62" s="89" t="s">
        <v>29</v>
      </c>
      <c r="W62" s="89" t="s">
        <v>29</v>
      </c>
      <c r="X62" s="89"/>
      <c r="Y62" s="90" t="s">
        <v>541</v>
      </c>
      <c r="Z62" s="90"/>
      <c r="AA62" s="38"/>
      <c r="AB62" s="39" t="e">
        <f>IF(E62=E61,AB61,AB61+1)</f>
        <v>#REF!</v>
      </c>
      <c r="AE62" s="6"/>
    </row>
    <row r="63" spans="1:31" s="449" customFormat="1" ht="39.4" customHeight="1">
      <c r="A63" s="449">
        <v>25</v>
      </c>
      <c r="B63" s="449" t="s">
        <v>889</v>
      </c>
      <c r="C63" s="184">
        <v>44068</v>
      </c>
      <c r="D63" s="102" t="s">
        <v>61</v>
      </c>
      <c r="E63" s="103" t="s">
        <v>141</v>
      </c>
      <c r="F63" s="23" t="s">
        <v>164</v>
      </c>
      <c r="G63" s="104">
        <v>11</v>
      </c>
      <c r="H63" s="457"/>
      <c r="I63" s="457"/>
      <c r="J63" s="457"/>
      <c r="K63" s="104" t="s">
        <v>79</v>
      </c>
      <c r="L63" s="104" t="s">
        <v>18</v>
      </c>
      <c r="M63" s="104">
        <v>220</v>
      </c>
      <c r="N63" s="167"/>
      <c r="O63" s="89"/>
      <c r="P63" s="136"/>
      <c r="Q63" s="89"/>
      <c r="R63" s="89"/>
      <c r="S63" s="89"/>
      <c r="T63" s="89"/>
      <c r="U63" s="90" t="s">
        <v>70</v>
      </c>
      <c r="V63" s="89" t="s">
        <v>29</v>
      </c>
      <c r="W63" s="89" t="s">
        <v>29</v>
      </c>
      <c r="X63" s="89"/>
      <c r="Y63" s="143" t="s">
        <v>542</v>
      </c>
      <c r="Z63" s="90"/>
      <c r="AA63" s="38"/>
      <c r="AB63" s="39" t="e">
        <f>IF(E63=E61,AB61,AB61+1)</f>
        <v>#REF!</v>
      </c>
      <c r="AE63" s="6"/>
    </row>
    <row r="64" spans="1:31" s="449" customFormat="1" ht="39.4" customHeight="1">
      <c r="A64" s="449">
        <v>25</v>
      </c>
      <c r="B64" s="449" t="s">
        <v>890</v>
      </c>
      <c r="C64" s="184">
        <v>44068</v>
      </c>
      <c r="D64" s="102" t="s">
        <v>61</v>
      </c>
      <c r="E64" s="103" t="s">
        <v>141</v>
      </c>
      <c r="F64" s="23" t="s">
        <v>164</v>
      </c>
      <c r="G64" s="104">
        <v>23</v>
      </c>
      <c r="H64" s="457"/>
      <c r="I64" s="457"/>
      <c r="J64" s="457"/>
      <c r="K64" s="104" t="s">
        <v>79</v>
      </c>
      <c r="L64" s="104" t="s">
        <v>18</v>
      </c>
      <c r="M64" s="104">
        <v>220</v>
      </c>
      <c r="N64" s="167"/>
      <c r="O64" s="89"/>
      <c r="P64" s="136"/>
      <c r="Q64" s="89"/>
      <c r="R64" s="89"/>
      <c r="S64" s="89"/>
      <c r="T64" s="89"/>
      <c r="U64" s="90" t="s">
        <v>70</v>
      </c>
      <c r="V64" s="89" t="s">
        <v>29</v>
      </c>
      <c r="W64" s="89" t="s">
        <v>29</v>
      </c>
      <c r="X64" s="89"/>
      <c r="Y64" s="143" t="s">
        <v>542</v>
      </c>
      <c r="Z64" s="90"/>
      <c r="AA64" s="38"/>
      <c r="AB64" s="39" t="e">
        <f>IF(E64=E62,AB62,AB62+1)</f>
        <v>#REF!</v>
      </c>
      <c r="AE64" s="6"/>
    </row>
    <row r="65" spans="1:31" s="449" customFormat="1" ht="39.4" customHeight="1">
      <c r="A65" s="449">
        <v>25</v>
      </c>
      <c r="B65" s="449" t="s">
        <v>890</v>
      </c>
      <c r="C65" s="184">
        <v>44068</v>
      </c>
      <c r="D65" s="102" t="s">
        <v>63</v>
      </c>
      <c r="E65" s="103" t="s">
        <v>90</v>
      </c>
      <c r="F65" s="23" t="s">
        <v>148</v>
      </c>
      <c r="G65" s="104">
        <v>84</v>
      </c>
      <c r="H65" s="457"/>
      <c r="I65" s="457"/>
      <c r="J65" s="457"/>
      <c r="K65" s="104" t="s">
        <v>79</v>
      </c>
      <c r="L65" s="104" t="s">
        <v>31</v>
      </c>
      <c r="M65" s="104">
        <v>120</v>
      </c>
      <c r="N65" s="167"/>
      <c r="O65" s="89"/>
      <c r="P65" s="136"/>
      <c r="Q65" s="89"/>
      <c r="R65" s="89"/>
      <c r="S65" s="89"/>
      <c r="T65" s="89" t="s">
        <v>29</v>
      </c>
      <c r="U65" s="90" t="s">
        <v>70</v>
      </c>
      <c r="V65" s="89"/>
      <c r="W65" s="89"/>
      <c r="X65" s="89"/>
      <c r="Y65" s="90" t="s">
        <v>543</v>
      </c>
      <c r="Z65" s="90"/>
      <c r="AA65" s="38"/>
      <c r="AB65" s="39" t="e">
        <f>IF(E65=E64,AB64,AB64+1)</f>
        <v>#REF!</v>
      </c>
      <c r="AE65" s="6"/>
    </row>
    <row r="66" spans="1:31" s="449" customFormat="1" ht="39.4" customHeight="1">
      <c r="A66" s="449">
        <v>25</v>
      </c>
      <c r="B66" s="449" t="s">
        <v>890</v>
      </c>
      <c r="C66" s="184">
        <v>44068</v>
      </c>
      <c r="D66" s="102" t="s">
        <v>62</v>
      </c>
      <c r="E66" s="103" t="s">
        <v>123</v>
      </c>
      <c r="F66" s="23" t="s">
        <v>158</v>
      </c>
      <c r="G66" s="104">
        <v>7</v>
      </c>
      <c r="H66" s="457"/>
      <c r="I66" s="457"/>
      <c r="J66" s="457"/>
      <c r="K66" s="104" t="s">
        <v>124</v>
      </c>
      <c r="L66" s="104" t="s">
        <v>18</v>
      </c>
      <c r="M66" s="104">
        <v>220</v>
      </c>
      <c r="N66" s="167"/>
      <c r="O66" s="89"/>
      <c r="P66" s="136"/>
      <c r="Q66" s="89"/>
      <c r="R66" s="89" t="s">
        <v>29</v>
      </c>
      <c r="S66" s="89"/>
      <c r="T66" s="89"/>
      <c r="U66" s="89" t="s">
        <v>29</v>
      </c>
      <c r="V66" s="89"/>
      <c r="W66" s="89" t="s">
        <v>29</v>
      </c>
      <c r="X66" s="89"/>
      <c r="Y66" s="90" t="s">
        <v>544</v>
      </c>
      <c r="Z66" s="90"/>
      <c r="AA66" s="38"/>
      <c r="AB66" s="39" t="e">
        <f>IF(E66=E65,AB65,AB65+1)</f>
        <v>#REF!</v>
      </c>
      <c r="AE66" s="6"/>
    </row>
    <row r="67" spans="1:31" s="449" customFormat="1" ht="39.4" customHeight="1">
      <c r="A67" s="449">
        <v>25</v>
      </c>
      <c r="B67" s="449" t="s">
        <v>890</v>
      </c>
      <c r="C67" s="184">
        <v>44068</v>
      </c>
      <c r="D67" s="102" t="s">
        <v>65</v>
      </c>
      <c r="E67" s="103" t="s">
        <v>103</v>
      </c>
      <c r="F67" s="23" t="s">
        <v>156</v>
      </c>
      <c r="G67" s="104">
        <v>34</v>
      </c>
      <c r="H67" s="457"/>
      <c r="I67" s="457"/>
      <c r="J67" s="457"/>
      <c r="K67" s="104" t="s">
        <v>67</v>
      </c>
      <c r="L67" s="104" t="s">
        <v>30</v>
      </c>
      <c r="M67" s="104">
        <v>230</v>
      </c>
      <c r="N67" s="167"/>
      <c r="O67" s="89"/>
      <c r="P67" s="136"/>
      <c r="Q67" s="89"/>
      <c r="R67" s="89"/>
      <c r="S67" s="89"/>
      <c r="T67" s="89"/>
      <c r="U67" s="89"/>
      <c r="V67" s="89" t="s">
        <v>29</v>
      </c>
      <c r="W67" s="89"/>
      <c r="X67" s="89"/>
      <c r="Y67" s="90" t="s">
        <v>545</v>
      </c>
      <c r="Z67" s="90"/>
      <c r="AA67" s="38"/>
      <c r="AB67" s="39" t="e">
        <f>IF(E67=E66,AB66,AB66+1)</f>
        <v>#REF!</v>
      </c>
      <c r="AE67" s="6"/>
    </row>
    <row r="68" spans="1:31" s="449" customFormat="1" ht="39.4" customHeight="1">
      <c r="A68" s="449">
        <v>25</v>
      </c>
      <c r="B68" s="449" t="s">
        <v>890</v>
      </c>
      <c r="C68" s="184">
        <v>44068</v>
      </c>
      <c r="D68" s="102" t="s">
        <v>66</v>
      </c>
      <c r="E68" s="103" t="s">
        <v>217</v>
      </c>
      <c r="F68" s="23" t="s">
        <v>218</v>
      </c>
      <c r="G68" s="104">
        <v>11</v>
      </c>
      <c r="H68" s="457"/>
      <c r="I68" s="457"/>
      <c r="J68" s="457"/>
      <c r="K68" s="104" t="s">
        <v>67</v>
      </c>
      <c r="L68" s="104" t="s">
        <v>19</v>
      </c>
      <c r="M68" s="104">
        <v>220</v>
      </c>
      <c r="N68" s="167"/>
      <c r="O68" s="89"/>
      <c r="P68" s="136" t="s">
        <v>47</v>
      </c>
      <c r="Q68" s="89"/>
      <c r="R68" s="89"/>
      <c r="S68" s="89"/>
      <c r="T68" s="89"/>
      <c r="U68" s="89" t="s">
        <v>29</v>
      </c>
      <c r="V68" s="89"/>
      <c r="W68" s="89"/>
      <c r="X68" s="89"/>
      <c r="Y68" s="90" t="s">
        <v>546</v>
      </c>
      <c r="Z68" s="90"/>
      <c r="AA68" s="38"/>
      <c r="AB68" s="39" t="e">
        <f>IF(E68=E67,AB67,AB67+1)</f>
        <v>#REF!</v>
      </c>
      <c r="AE68" s="6"/>
    </row>
    <row r="69" spans="1:31" s="449" customFormat="1" ht="39.4" customHeight="1">
      <c r="A69" s="449">
        <v>25</v>
      </c>
      <c r="B69" s="449" t="s">
        <v>890</v>
      </c>
      <c r="C69" s="116">
        <v>44069</v>
      </c>
      <c r="D69" s="102" t="s">
        <v>54</v>
      </c>
      <c r="E69" s="103" t="s">
        <v>217</v>
      </c>
      <c r="F69" s="23" t="s">
        <v>218</v>
      </c>
      <c r="G69" s="104">
        <v>9</v>
      </c>
      <c r="H69" s="457"/>
      <c r="I69" s="457"/>
      <c r="J69" s="457"/>
      <c r="K69" s="104" t="s">
        <v>67</v>
      </c>
      <c r="L69" s="104" t="s">
        <v>19</v>
      </c>
      <c r="M69" s="104">
        <v>220</v>
      </c>
      <c r="N69" s="167"/>
      <c r="O69" s="89"/>
      <c r="P69" s="136" t="s">
        <v>47</v>
      </c>
      <c r="Q69" s="89"/>
      <c r="R69" s="89"/>
      <c r="S69" s="89"/>
      <c r="T69" s="89"/>
      <c r="U69" s="89" t="s">
        <v>29</v>
      </c>
      <c r="V69" s="89"/>
      <c r="W69" s="89"/>
      <c r="X69" s="89"/>
      <c r="Y69" s="90" t="s">
        <v>547</v>
      </c>
      <c r="Z69" s="90"/>
      <c r="AA69" s="38"/>
      <c r="AB69" s="39" t="e">
        <f>IF(E69=E68,AB68,AB68+1)</f>
        <v>#REF!</v>
      </c>
      <c r="AE69" s="6"/>
    </row>
    <row r="70" spans="1:31" s="449" customFormat="1" ht="39.4" customHeight="1">
      <c r="A70" s="449">
        <v>25</v>
      </c>
      <c r="B70" s="449" t="s">
        <v>890</v>
      </c>
      <c r="C70" s="184">
        <v>44069</v>
      </c>
      <c r="D70" s="102" t="s">
        <v>55</v>
      </c>
      <c r="E70" s="103" t="s">
        <v>80</v>
      </c>
      <c r="F70" s="23" t="s">
        <v>163</v>
      </c>
      <c r="G70" s="104">
        <v>12</v>
      </c>
      <c r="H70" s="457"/>
      <c r="I70" s="457"/>
      <c r="J70" s="457"/>
      <c r="K70" s="104" t="s">
        <v>79</v>
      </c>
      <c r="L70" s="104" t="s">
        <v>30</v>
      </c>
      <c r="M70" s="104">
        <v>230</v>
      </c>
      <c r="N70" s="167"/>
      <c r="O70" s="89"/>
      <c r="P70" s="136"/>
      <c r="Q70" s="89"/>
      <c r="R70" s="89"/>
      <c r="S70" s="89"/>
      <c r="T70" s="89"/>
      <c r="U70" s="90" t="s">
        <v>70</v>
      </c>
      <c r="V70" s="89" t="s">
        <v>29</v>
      </c>
      <c r="W70" s="89" t="s">
        <v>29</v>
      </c>
      <c r="X70" s="89"/>
      <c r="Y70" s="90" t="s">
        <v>548</v>
      </c>
      <c r="Z70" s="90"/>
      <c r="AA70" s="38"/>
      <c r="AB70" s="39" t="e">
        <f>IF(E70=E68,AB68,AB68+1)</f>
        <v>#REF!</v>
      </c>
      <c r="AE70" s="6"/>
    </row>
    <row r="71" spans="1:31" s="449" customFormat="1" ht="39.4" customHeight="1">
      <c r="A71" s="449">
        <v>26</v>
      </c>
      <c r="B71" s="449" t="s">
        <v>889</v>
      </c>
      <c r="C71" s="184">
        <v>44069</v>
      </c>
      <c r="D71" s="102" t="s">
        <v>55</v>
      </c>
      <c r="E71" s="103" t="s">
        <v>80</v>
      </c>
      <c r="F71" s="23" t="s">
        <v>163</v>
      </c>
      <c r="G71" s="104">
        <v>15</v>
      </c>
      <c r="H71" s="457"/>
      <c r="I71" s="457"/>
      <c r="J71" s="457"/>
      <c r="K71" s="104" t="s">
        <v>79</v>
      </c>
      <c r="L71" s="104" t="s">
        <v>30</v>
      </c>
      <c r="M71" s="104">
        <v>230</v>
      </c>
      <c r="N71" s="167"/>
      <c r="O71" s="89"/>
      <c r="P71" s="136"/>
      <c r="Q71" s="89"/>
      <c r="R71" s="89"/>
      <c r="S71" s="89"/>
      <c r="T71" s="89"/>
      <c r="U71" s="90" t="s">
        <v>70</v>
      </c>
      <c r="V71" s="89" t="s">
        <v>29</v>
      </c>
      <c r="W71" s="89" t="s">
        <v>29</v>
      </c>
      <c r="X71" s="89"/>
      <c r="Y71" s="90" t="s">
        <v>548</v>
      </c>
      <c r="Z71" s="90"/>
      <c r="AA71" s="38"/>
      <c r="AB71" s="39" t="e">
        <f>IF(E71=E69,AB69,AB69+1)</f>
        <v>#REF!</v>
      </c>
      <c r="AE71" s="6"/>
    </row>
    <row r="72" spans="1:31" s="449" customFormat="1" ht="39.4" customHeight="1">
      <c r="A72" s="449">
        <v>26</v>
      </c>
      <c r="B72" s="449" t="s">
        <v>889</v>
      </c>
      <c r="C72" s="184">
        <v>44069</v>
      </c>
      <c r="D72" s="102" t="s">
        <v>56</v>
      </c>
      <c r="E72" s="103" t="s">
        <v>227</v>
      </c>
      <c r="F72" s="23" t="s">
        <v>228</v>
      </c>
      <c r="G72" s="104">
        <v>48</v>
      </c>
      <c r="H72" s="457"/>
      <c r="I72" s="457"/>
      <c r="J72" s="457"/>
      <c r="K72" s="104" t="s">
        <v>79</v>
      </c>
      <c r="L72" s="104" t="s">
        <v>30</v>
      </c>
      <c r="M72" s="104">
        <v>230</v>
      </c>
      <c r="N72" s="167"/>
      <c r="O72" s="89"/>
      <c r="P72" s="136"/>
      <c r="Q72" s="89"/>
      <c r="R72" s="89"/>
      <c r="S72" s="89"/>
      <c r="T72" s="89"/>
      <c r="U72" s="90" t="s">
        <v>70</v>
      </c>
      <c r="V72" s="89" t="s">
        <v>29</v>
      </c>
      <c r="W72" s="89" t="s">
        <v>29</v>
      </c>
      <c r="X72" s="89"/>
      <c r="Y72" s="90" t="s">
        <v>549</v>
      </c>
      <c r="Z72" s="90"/>
      <c r="AA72" s="38"/>
      <c r="AB72" s="39" t="e">
        <f>IF(E72=E71,AB71,AB71+1)</f>
        <v>#REF!</v>
      </c>
      <c r="AE72" s="6"/>
    </row>
    <row r="73" spans="1:31" s="449" customFormat="1" ht="39.4" customHeight="1">
      <c r="A73" s="449">
        <v>26</v>
      </c>
      <c r="B73" s="449" t="s">
        <v>889</v>
      </c>
      <c r="C73" s="184">
        <v>44069</v>
      </c>
      <c r="D73" s="102" t="s">
        <v>57</v>
      </c>
      <c r="E73" s="103" t="s">
        <v>92</v>
      </c>
      <c r="F73" s="23" t="s">
        <v>159</v>
      </c>
      <c r="G73" s="104">
        <v>18</v>
      </c>
      <c r="H73" s="457"/>
      <c r="I73" s="457"/>
      <c r="J73" s="457"/>
      <c r="K73" s="104" t="s">
        <v>79</v>
      </c>
      <c r="L73" s="104" t="s">
        <v>31</v>
      </c>
      <c r="M73" s="104">
        <v>120</v>
      </c>
      <c r="N73" s="167"/>
      <c r="O73" s="89"/>
      <c r="P73" s="136"/>
      <c r="Q73" s="89"/>
      <c r="R73" s="89"/>
      <c r="S73" s="89"/>
      <c r="T73" s="89"/>
      <c r="U73" s="90" t="s">
        <v>70</v>
      </c>
      <c r="V73" s="89" t="s">
        <v>29</v>
      </c>
      <c r="W73" s="89"/>
      <c r="X73" s="89"/>
      <c r="Y73" s="90" t="s">
        <v>550</v>
      </c>
      <c r="Z73" s="90"/>
      <c r="AA73" s="38"/>
      <c r="AB73" s="39" t="e">
        <f>IF(E73=E72,AB72,AB72+1)</f>
        <v>#REF!</v>
      </c>
      <c r="AE73" s="6"/>
    </row>
    <row r="74" spans="1:31" s="449" customFormat="1" ht="39.4" customHeight="1">
      <c r="A74" s="449">
        <v>26</v>
      </c>
      <c r="B74" s="449" t="s">
        <v>889</v>
      </c>
      <c r="C74" s="184">
        <v>44069</v>
      </c>
      <c r="D74" s="102" t="s">
        <v>58</v>
      </c>
      <c r="E74" s="103" t="s">
        <v>551</v>
      </c>
      <c r="F74" s="23" t="s">
        <v>552</v>
      </c>
      <c r="G74" s="104">
        <v>7</v>
      </c>
      <c r="H74" s="457"/>
      <c r="I74" s="457"/>
      <c r="J74" s="457"/>
      <c r="K74" s="104" t="s">
        <v>79</v>
      </c>
      <c r="L74" s="104" t="s">
        <v>19</v>
      </c>
      <c r="M74" s="104">
        <v>230</v>
      </c>
      <c r="N74" s="167"/>
      <c r="O74" s="89"/>
      <c r="P74" s="136"/>
      <c r="Q74" s="89"/>
      <c r="R74" s="89"/>
      <c r="S74" s="89"/>
      <c r="T74" s="89"/>
      <c r="U74" s="90" t="s">
        <v>70</v>
      </c>
      <c r="V74" s="89" t="s">
        <v>29</v>
      </c>
      <c r="W74" s="89" t="s">
        <v>29</v>
      </c>
      <c r="X74" s="89"/>
      <c r="Y74" s="90" t="s">
        <v>553</v>
      </c>
      <c r="Z74" s="90"/>
      <c r="AA74" s="38"/>
      <c r="AB74" s="39" t="e">
        <f>IF(E74=E73,AB73,AB73+1)</f>
        <v>#REF!</v>
      </c>
      <c r="AE74" s="6"/>
    </row>
    <row r="75" spans="1:31" s="449" customFormat="1" ht="39.4" customHeight="1">
      <c r="A75" s="449">
        <v>26</v>
      </c>
      <c r="B75" s="449" t="s">
        <v>889</v>
      </c>
      <c r="C75" s="184">
        <v>44069</v>
      </c>
      <c r="D75" s="102" t="s">
        <v>59</v>
      </c>
      <c r="E75" s="103" t="s">
        <v>118</v>
      </c>
      <c r="F75" s="23" t="s">
        <v>150</v>
      </c>
      <c r="G75" s="104">
        <v>67</v>
      </c>
      <c r="H75" s="457"/>
      <c r="I75" s="457"/>
      <c r="J75" s="457"/>
      <c r="K75" s="104" t="s">
        <v>79</v>
      </c>
      <c r="L75" s="104" t="s">
        <v>18</v>
      </c>
      <c r="M75" s="104">
        <v>220</v>
      </c>
      <c r="N75" s="167"/>
      <c r="O75" s="89"/>
      <c r="P75" s="136"/>
      <c r="Q75" s="89"/>
      <c r="R75" s="89"/>
      <c r="S75" s="89"/>
      <c r="T75" s="89"/>
      <c r="U75" s="90" t="s">
        <v>70</v>
      </c>
      <c r="V75" s="89" t="s">
        <v>29</v>
      </c>
      <c r="W75" s="89" t="s">
        <v>29</v>
      </c>
      <c r="X75" s="89"/>
      <c r="Y75" s="90" t="s">
        <v>554</v>
      </c>
      <c r="Z75" s="90"/>
      <c r="AA75" s="38"/>
      <c r="AB75" s="39" t="e">
        <f>IF(E75=E74,AB74,AB74+1)</f>
        <v>#REF!</v>
      </c>
      <c r="AE75" s="6"/>
    </row>
    <row r="76" spans="1:31" s="449" customFormat="1" ht="39.4" customHeight="1">
      <c r="A76" s="449">
        <v>26</v>
      </c>
      <c r="B76" s="449" t="s">
        <v>889</v>
      </c>
      <c r="C76" s="184">
        <v>44069</v>
      </c>
      <c r="D76" s="102" t="s">
        <v>60</v>
      </c>
      <c r="E76" s="103" t="s">
        <v>83</v>
      </c>
      <c r="F76" s="23" t="s">
        <v>166</v>
      </c>
      <c r="G76" s="104">
        <v>25</v>
      </c>
      <c r="H76" s="457"/>
      <c r="I76" s="457"/>
      <c r="J76" s="457"/>
      <c r="K76" s="104" t="s">
        <v>79</v>
      </c>
      <c r="L76" s="104" t="s">
        <v>30</v>
      </c>
      <c r="M76" s="104">
        <v>230</v>
      </c>
      <c r="N76" s="167"/>
      <c r="O76" s="89"/>
      <c r="P76" s="136"/>
      <c r="Q76" s="89"/>
      <c r="R76" s="89"/>
      <c r="S76" s="89"/>
      <c r="T76" s="89"/>
      <c r="U76" s="90" t="s">
        <v>70</v>
      </c>
      <c r="V76" s="89" t="s">
        <v>29</v>
      </c>
      <c r="W76" s="89"/>
      <c r="X76" s="89"/>
      <c r="Y76" s="90" t="s">
        <v>555</v>
      </c>
      <c r="Z76" s="90"/>
      <c r="AA76" s="38"/>
      <c r="AB76" s="39" t="e">
        <f>IF(E76=E74,AB74,AB74+1)</f>
        <v>#REF!</v>
      </c>
      <c r="AE76" s="6"/>
    </row>
    <row r="77" spans="1:31" s="449" customFormat="1" ht="39.4" customHeight="1">
      <c r="A77" s="449">
        <v>26</v>
      </c>
      <c r="B77" s="449" t="s">
        <v>890</v>
      </c>
      <c r="C77" s="184">
        <v>44069</v>
      </c>
      <c r="D77" s="102" t="s">
        <v>60</v>
      </c>
      <c r="E77" s="103" t="s">
        <v>83</v>
      </c>
      <c r="F77" s="23" t="s">
        <v>166</v>
      </c>
      <c r="G77" s="104">
        <v>16</v>
      </c>
      <c r="H77" s="457"/>
      <c r="I77" s="457"/>
      <c r="J77" s="457"/>
      <c r="K77" s="104" t="s">
        <v>79</v>
      </c>
      <c r="L77" s="104" t="s">
        <v>30</v>
      </c>
      <c r="M77" s="104">
        <v>230</v>
      </c>
      <c r="N77" s="167"/>
      <c r="O77" s="89"/>
      <c r="P77" s="136"/>
      <c r="Q77" s="89"/>
      <c r="R77" s="89"/>
      <c r="S77" s="89"/>
      <c r="T77" s="89"/>
      <c r="U77" s="90" t="s">
        <v>70</v>
      </c>
      <c r="V77" s="89" t="s">
        <v>29</v>
      </c>
      <c r="W77" s="89"/>
      <c r="X77" s="89"/>
      <c r="Y77" s="90" t="s">
        <v>555</v>
      </c>
      <c r="Z77" s="90"/>
      <c r="AA77" s="38"/>
      <c r="AB77" s="39" t="e">
        <f>IF(E77=E75,AB75,AB75+1)</f>
        <v>#REF!</v>
      </c>
      <c r="AE77" s="6"/>
    </row>
    <row r="78" spans="1:31" s="449" customFormat="1" ht="39.4" customHeight="1">
      <c r="A78" s="449">
        <v>26</v>
      </c>
      <c r="B78" s="449" t="s">
        <v>890</v>
      </c>
      <c r="C78" s="184">
        <v>44069</v>
      </c>
      <c r="D78" s="102" t="s">
        <v>61</v>
      </c>
      <c r="E78" s="103" t="s">
        <v>90</v>
      </c>
      <c r="F78" s="23" t="s">
        <v>148</v>
      </c>
      <c r="G78" s="104">
        <v>55</v>
      </c>
      <c r="H78" s="457"/>
      <c r="I78" s="457"/>
      <c r="J78" s="457"/>
      <c r="K78" s="104" t="s">
        <v>79</v>
      </c>
      <c r="L78" s="104" t="s">
        <v>31</v>
      </c>
      <c r="M78" s="104">
        <v>120</v>
      </c>
      <c r="N78" s="167"/>
      <c r="O78" s="89"/>
      <c r="P78" s="136"/>
      <c r="Q78" s="89"/>
      <c r="R78" s="89"/>
      <c r="S78" s="89"/>
      <c r="T78" s="89" t="s">
        <v>29</v>
      </c>
      <c r="U78" s="90" t="s">
        <v>70</v>
      </c>
      <c r="V78" s="89"/>
      <c r="W78" s="89"/>
      <c r="X78" s="89"/>
      <c r="Y78" s="90" t="s">
        <v>556</v>
      </c>
      <c r="Z78" s="90"/>
      <c r="AA78" s="38"/>
      <c r="AB78" s="39" t="e">
        <f t="shared" ref="AB78:AB83" si="4">IF(E78=E77,AB77,AB77+1)</f>
        <v>#REF!</v>
      </c>
      <c r="AE78" s="6"/>
    </row>
    <row r="79" spans="1:31" s="449" customFormat="1" ht="39.4" customHeight="1">
      <c r="A79" s="449">
        <v>26</v>
      </c>
      <c r="B79" s="449" t="s">
        <v>890</v>
      </c>
      <c r="C79" s="184">
        <v>44069</v>
      </c>
      <c r="D79" s="102" t="s">
        <v>63</v>
      </c>
      <c r="E79" s="103" t="s">
        <v>186</v>
      </c>
      <c r="F79" s="23" t="s">
        <v>187</v>
      </c>
      <c r="G79" s="104">
        <v>2</v>
      </c>
      <c r="H79" s="457"/>
      <c r="I79" s="457"/>
      <c r="J79" s="457"/>
      <c r="K79" s="104" t="s">
        <v>79</v>
      </c>
      <c r="L79" s="104" t="s">
        <v>49</v>
      </c>
      <c r="M79" s="104">
        <v>100</v>
      </c>
      <c r="N79" s="167"/>
      <c r="O79" s="89"/>
      <c r="P79" s="136"/>
      <c r="Q79" s="89"/>
      <c r="R79" s="89"/>
      <c r="S79" s="89"/>
      <c r="T79" s="89" t="s">
        <v>29</v>
      </c>
      <c r="U79" s="90" t="s">
        <v>70</v>
      </c>
      <c r="V79" s="89"/>
      <c r="W79" s="89" t="s">
        <v>29</v>
      </c>
      <c r="X79" s="89" t="s">
        <v>29</v>
      </c>
      <c r="Y79" s="90" t="s">
        <v>557</v>
      </c>
      <c r="Z79" s="90"/>
      <c r="AA79" s="38"/>
      <c r="AB79" s="39" t="e">
        <f t="shared" si="4"/>
        <v>#REF!</v>
      </c>
      <c r="AE79" s="6"/>
    </row>
    <row r="80" spans="1:31" s="449" customFormat="1" ht="39.4" customHeight="1">
      <c r="A80" s="449">
        <v>26</v>
      </c>
      <c r="B80" s="449" t="s">
        <v>890</v>
      </c>
      <c r="C80" s="184">
        <v>44069</v>
      </c>
      <c r="D80" s="102" t="s">
        <v>62</v>
      </c>
      <c r="E80" s="103" t="s">
        <v>91</v>
      </c>
      <c r="F80" s="23" t="s">
        <v>160</v>
      </c>
      <c r="G80" s="104">
        <v>34</v>
      </c>
      <c r="H80" s="457"/>
      <c r="I80" s="457"/>
      <c r="J80" s="457"/>
      <c r="K80" s="104" t="s">
        <v>79</v>
      </c>
      <c r="L80" s="104" t="s">
        <v>31</v>
      </c>
      <c r="M80" s="104">
        <v>120</v>
      </c>
      <c r="N80" s="167"/>
      <c r="O80" s="89"/>
      <c r="P80" s="136"/>
      <c r="Q80" s="89"/>
      <c r="R80" s="89"/>
      <c r="S80" s="89"/>
      <c r="T80" s="89" t="s">
        <v>29</v>
      </c>
      <c r="U80" s="90" t="s">
        <v>70</v>
      </c>
      <c r="V80" s="89"/>
      <c r="W80" s="89"/>
      <c r="X80" s="89"/>
      <c r="Y80" s="90" t="s">
        <v>558</v>
      </c>
      <c r="Z80" s="90"/>
      <c r="AA80" s="38"/>
      <c r="AB80" s="39" t="e">
        <f t="shared" si="4"/>
        <v>#REF!</v>
      </c>
      <c r="AE80" s="6"/>
    </row>
    <row r="81" spans="1:31" s="449" customFormat="1" ht="39.4" customHeight="1">
      <c r="A81" s="449">
        <v>26</v>
      </c>
      <c r="B81" s="449" t="s">
        <v>890</v>
      </c>
      <c r="C81" s="184">
        <v>44069</v>
      </c>
      <c r="D81" s="102" t="s">
        <v>65</v>
      </c>
      <c r="E81" s="103" t="s">
        <v>123</v>
      </c>
      <c r="F81" s="23" t="s">
        <v>158</v>
      </c>
      <c r="G81" s="104">
        <v>6</v>
      </c>
      <c r="H81" s="457"/>
      <c r="I81" s="457"/>
      <c r="J81" s="457"/>
      <c r="K81" s="104" t="s">
        <v>124</v>
      </c>
      <c r="L81" s="104" t="s">
        <v>18</v>
      </c>
      <c r="M81" s="104">
        <v>220</v>
      </c>
      <c r="N81" s="167"/>
      <c r="O81" s="89"/>
      <c r="P81" s="136"/>
      <c r="Q81" s="89"/>
      <c r="R81" s="89" t="s">
        <v>29</v>
      </c>
      <c r="S81" s="89"/>
      <c r="T81" s="89"/>
      <c r="U81" s="89" t="s">
        <v>29</v>
      </c>
      <c r="V81" s="89"/>
      <c r="W81" s="89" t="s">
        <v>29</v>
      </c>
      <c r="X81" s="89"/>
      <c r="Y81" s="90" t="s">
        <v>559</v>
      </c>
      <c r="Z81" s="90"/>
      <c r="AA81" s="38"/>
      <c r="AB81" s="39" t="e">
        <f t="shared" si="4"/>
        <v>#REF!</v>
      </c>
      <c r="AE81" s="6"/>
    </row>
    <row r="82" spans="1:31" s="449" customFormat="1" ht="39.4" customHeight="1">
      <c r="A82" s="449">
        <v>26</v>
      </c>
      <c r="B82" s="449" t="s">
        <v>890</v>
      </c>
      <c r="C82" s="184">
        <v>44069</v>
      </c>
      <c r="D82" s="102" t="s">
        <v>66</v>
      </c>
      <c r="E82" s="103" t="s">
        <v>103</v>
      </c>
      <c r="F82" s="23" t="s">
        <v>156</v>
      </c>
      <c r="G82" s="104">
        <v>46</v>
      </c>
      <c r="H82" s="457"/>
      <c r="I82" s="457"/>
      <c r="J82" s="457"/>
      <c r="K82" s="104" t="s">
        <v>67</v>
      </c>
      <c r="L82" s="104" t="s">
        <v>30</v>
      </c>
      <c r="M82" s="104">
        <v>230</v>
      </c>
      <c r="N82" s="167"/>
      <c r="O82" s="89"/>
      <c r="P82" s="136"/>
      <c r="Q82" s="89"/>
      <c r="R82" s="89"/>
      <c r="S82" s="89"/>
      <c r="T82" s="89"/>
      <c r="U82" s="89"/>
      <c r="V82" s="89" t="s">
        <v>29</v>
      </c>
      <c r="W82" s="89"/>
      <c r="X82" s="89"/>
      <c r="Y82" s="90" t="s">
        <v>560</v>
      </c>
      <c r="Z82" s="90"/>
      <c r="AA82" s="38"/>
      <c r="AB82" s="39" t="e">
        <f t="shared" si="4"/>
        <v>#REF!</v>
      </c>
      <c r="AE82" s="6"/>
    </row>
    <row r="83" spans="1:31" s="449" customFormat="1" ht="39.4" customHeight="1">
      <c r="A83" s="449">
        <v>26</v>
      </c>
      <c r="B83" s="449" t="s">
        <v>890</v>
      </c>
      <c r="C83" s="116">
        <v>44070</v>
      </c>
      <c r="D83" s="102" t="s">
        <v>54</v>
      </c>
      <c r="E83" s="103" t="s">
        <v>103</v>
      </c>
      <c r="F83" s="23" t="s">
        <v>156</v>
      </c>
      <c r="G83" s="104">
        <v>8</v>
      </c>
      <c r="H83" s="457"/>
      <c r="I83" s="457"/>
      <c r="J83" s="457"/>
      <c r="K83" s="104" t="s">
        <v>67</v>
      </c>
      <c r="L83" s="104" t="s">
        <v>30</v>
      </c>
      <c r="M83" s="104">
        <v>230</v>
      </c>
      <c r="N83" s="167"/>
      <c r="O83" s="89"/>
      <c r="P83" s="136"/>
      <c r="Q83" s="89"/>
      <c r="R83" s="89"/>
      <c r="S83" s="89"/>
      <c r="T83" s="89"/>
      <c r="U83" s="89"/>
      <c r="V83" s="89" t="s">
        <v>29</v>
      </c>
      <c r="W83" s="89"/>
      <c r="X83" s="89"/>
      <c r="Y83" s="90" t="s">
        <v>561</v>
      </c>
      <c r="Z83" s="90"/>
      <c r="AA83" s="38"/>
      <c r="AB83" s="39" t="e">
        <f t="shared" si="4"/>
        <v>#REF!</v>
      </c>
      <c r="AE83" s="6"/>
    </row>
    <row r="84" spans="1:31" s="449" customFormat="1" ht="39.4" customHeight="1">
      <c r="A84" s="449">
        <v>26</v>
      </c>
      <c r="B84" s="449" t="s">
        <v>890</v>
      </c>
      <c r="C84" s="184">
        <v>44070</v>
      </c>
      <c r="D84" s="102" t="s">
        <v>55</v>
      </c>
      <c r="E84" s="103" t="s">
        <v>92</v>
      </c>
      <c r="F84" s="23" t="s">
        <v>159</v>
      </c>
      <c r="G84" s="104">
        <v>13</v>
      </c>
      <c r="H84" s="457"/>
      <c r="I84" s="457"/>
      <c r="J84" s="457"/>
      <c r="K84" s="104" t="s">
        <v>79</v>
      </c>
      <c r="L84" s="104" t="s">
        <v>31</v>
      </c>
      <c r="M84" s="104">
        <v>120</v>
      </c>
      <c r="N84" s="167"/>
      <c r="O84" s="89"/>
      <c r="P84" s="136"/>
      <c r="Q84" s="89"/>
      <c r="R84" s="89"/>
      <c r="S84" s="89"/>
      <c r="T84" s="89"/>
      <c r="U84" s="90" t="s">
        <v>70</v>
      </c>
      <c r="V84" s="89" t="s">
        <v>29</v>
      </c>
      <c r="W84" s="89"/>
      <c r="X84" s="89"/>
      <c r="Y84" s="90" t="s">
        <v>562</v>
      </c>
      <c r="Z84" s="90"/>
      <c r="AA84" s="38"/>
      <c r="AB84" s="39" t="e">
        <f>IF(E84=E82,AB82,AB82+1)</f>
        <v>#REF!</v>
      </c>
      <c r="AE84" s="6"/>
    </row>
    <row r="85" spans="1:31" s="449" customFormat="1" ht="39.4" customHeight="1">
      <c r="A85" s="449">
        <v>27</v>
      </c>
      <c r="B85" s="449" t="s">
        <v>889</v>
      </c>
      <c r="C85" s="184">
        <v>44070</v>
      </c>
      <c r="D85" s="102" t="s">
        <v>55</v>
      </c>
      <c r="E85" s="103" t="s">
        <v>92</v>
      </c>
      <c r="F85" s="23" t="s">
        <v>159</v>
      </c>
      <c r="G85" s="104">
        <v>117</v>
      </c>
      <c r="H85" s="457"/>
      <c r="I85" s="457"/>
      <c r="J85" s="457"/>
      <c r="K85" s="104" t="s">
        <v>79</v>
      </c>
      <c r="L85" s="104" t="s">
        <v>31</v>
      </c>
      <c r="M85" s="104">
        <v>120</v>
      </c>
      <c r="N85" s="167"/>
      <c r="O85" s="89"/>
      <c r="P85" s="136"/>
      <c r="Q85" s="89"/>
      <c r="R85" s="89"/>
      <c r="S85" s="89"/>
      <c r="T85" s="89"/>
      <c r="U85" s="90" t="s">
        <v>70</v>
      </c>
      <c r="V85" s="89" t="s">
        <v>29</v>
      </c>
      <c r="W85" s="89"/>
      <c r="X85" s="89"/>
      <c r="Y85" s="90" t="s">
        <v>562</v>
      </c>
      <c r="Z85" s="90"/>
      <c r="AA85" s="38"/>
      <c r="AB85" s="39" t="e">
        <f>IF(E85=E83,AB83,AB83+1)</f>
        <v>#REF!</v>
      </c>
      <c r="AE85" s="6"/>
    </row>
    <row r="86" spans="1:31" s="449" customFormat="1" ht="39.4" customHeight="1">
      <c r="A86" s="449">
        <v>27</v>
      </c>
      <c r="B86" s="449" t="s">
        <v>889</v>
      </c>
      <c r="C86" s="184">
        <v>44070</v>
      </c>
      <c r="D86" s="102" t="s">
        <v>56</v>
      </c>
      <c r="E86" s="103" t="s">
        <v>219</v>
      </c>
      <c r="F86" s="23" t="s">
        <v>220</v>
      </c>
      <c r="G86" s="104">
        <v>13</v>
      </c>
      <c r="H86" s="457"/>
      <c r="I86" s="457"/>
      <c r="J86" s="457"/>
      <c r="K86" s="104" t="s">
        <v>79</v>
      </c>
      <c r="L86" s="104" t="s">
        <v>46</v>
      </c>
      <c r="M86" s="104">
        <v>120</v>
      </c>
      <c r="N86" s="167"/>
      <c r="O86" s="89"/>
      <c r="P86" s="136"/>
      <c r="Q86" s="89"/>
      <c r="R86" s="89"/>
      <c r="S86" s="89"/>
      <c r="T86" s="89"/>
      <c r="U86" s="90" t="s">
        <v>70</v>
      </c>
      <c r="V86" s="89" t="s">
        <v>29</v>
      </c>
      <c r="W86" s="89" t="s">
        <v>29</v>
      </c>
      <c r="X86" s="89"/>
      <c r="Y86" s="90" t="s">
        <v>563</v>
      </c>
      <c r="Z86" s="90"/>
      <c r="AA86" s="38"/>
      <c r="AB86" s="39" t="e">
        <f>IF(E86=E85,AB85,AB85+1)</f>
        <v>#REF!</v>
      </c>
      <c r="AE86" s="6"/>
    </row>
    <row r="87" spans="1:31" s="449" customFormat="1" ht="39.4" customHeight="1">
      <c r="A87" s="449">
        <v>27</v>
      </c>
      <c r="B87" s="449" t="s">
        <v>889</v>
      </c>
      <c r="C87" s="184">
        <v>44070</v>
      </c>
      <c r="D87" s="102" t="s">
        <v>57</v>
      </c>
      <c r="E87" s="103" t="s">
        <v>118</v>
      </c>
      <c r="F87" s="23" t="s">
        <v>150</v>
      </c>
      <c r="G87" s="104">
        <v>50</v>
      </c>
      <c r="H87" s="457"/>
      <c r="I87" s="457"/>
      <c r="J87" s="457"/>
      <c r="K87" s="104" t="s">
        <v>79</v>
      </c>
      <c r="L87" s="104" t="s">
        <v>18</v>
      </c>
      <c r="M87" s="104">
        <v>220</v>
      </c>
      <c r="N87" s="167"/>
      <c r="O87" s="89"/>
      <c r="P87" s="136"/>
      <c r="Q87" s="89"/>
      <c r="R87" s="89"/>
      <c r="S87" s="89"/>
      <c r="T87" s="89"/>
      <c r="U87" s="90" t="s">
        <v>70</v>
      </c>
      <c r="V87" s="89" t="s">
        <v>29</v>
      </c>
      <c r="W87" s="89" t="s">
        <v>29</v>
      </c>
      <c r="X87" s="89"/>
      <c r="Y87" s="90" t="s">
        <v>564</v>
      </c>
      <c r="Z87" s="90"/>
      <c r="AA87" s="38"/>
      <c r="AB87" s="39" t="e">
        <f>IF(E87=E85,AB85,AB85+1)</f>
        <v>#REF!</v>
      </c>
      <c r="AE87" s="6"/>
    </row>
    <row r="88" spans="1:31" s="449" customFormat="1" ht="39.4" customHeight="1">
      <c r="A88" s="449">
        <v>27</v>
      </c>
      <c r="B88" s="449" t="s">
        <v>890</v>
      </c>
      <c r="C88" s="184">
        <v>44070</v>
      </c>
      <c r="D88" s="102" t="s">
        <v>57</v>
      </c>
      <c r="E88" s="103" t="s">
        <v>118</v>
      </c>
      <c r="F88" s="23" t="s">
        <v>150</v>
      </c>
      <c r="G88" s="104">
        <v>17</v>
      </c>
      <c r="H88" s="457"/>
      <c r="I88" s="457"/>
      <c r="J88" s="457"/>
      <c r="K88" s="104" t="s">
        <v>79</v>
      </c>
      <c r="L88" s="104" t="s">
        <v>18</v>
      </c>
      <c r="M88" s="104">
        <v>220</v>
      </c>
      <c r="N88" s="167"/>
      <c r="O88" s="89"/>
      <c r="P88" s="136"/>
      <c r="Q88" s="89"/>
      <c r="R88" s="89"/>
      <c r="S88" s="89"/>
      <c r="T88" s="89"/>
      <c r="U88" s="90" t="s">
        <v>70</v>
      </c>
      <c r="V88" s="89" t="s">
        <v>29</v>
      </c>
      <c r="W88" s="89" t="s">
        <v>29</v>
      </c>
      <c r="X88" s="89"/>
      <c r="Y88" s="90" t="s">
        <v>564</v>
      </c>
      <c r="Z88" s="90"/>
      <c r="AA88" s="38"/>
      <c r="AB88" s="39" t="e">
        <f>IF(E88=E86,AB86,AB86+1)</f>
        <v>#REF!</v>
      </c>
      <c r="AE88" s="6"/>
    </row>
    <row r="89" spans="1:31" s="449" customFormat="1" ht="39.4" customHeight="1">
      <c r="A89" s="449">
        <v>27</v>
      </c>
      <c r="B89" s="449" t="s">
        <v>890</v>
      </c>
      <c r="C89" s="184">
        <v>44070</v>
      </c>
      <c r="D89" s="102" t="s">
        <v>58</v>
      </c>
      <c r="E89" s="103" t="s">
        <v>91</v>
      </c>
      <c r="F89" s="23" t="s">
        <v>160</v>
      </c>
      <c r="G89" s="104">
        <v>90</v>
      </c>
      <c r="H89" s="457"/>
      <c r="I89" s="457"/>
      <c r="J89" s="457"/>
      <c r="K89" s="104" t="s">
        <v>79</v>
      </c>
      <c r="L89" s="104" t="s">
        <v>31</v>
      </c>
      <c r="M89" s="104">
        <v>120</v>
      </c>
      <c r="N89" s="167"/>
      <c r="O89" s="89"/>
      <c r="P89" s="136"/>
      <c r="Q89" s="89"/>
      <c r="R89" s="89"/>
      <c r="S89" s="89"/>
      <c r="T89" s="89" t="s">
        <v>29</v>
      </c>
      <c r="U89" s="90" t="s">
        <v>70</v>
      </c>
      <c r="V89" s="89"/>
      <c r="W89" s="89"/>
      <c r="X89" s="89"/>
      <c r="Y89" s="90" t="s">
        <v>565</v>
      </c>
      <c r="Z89" s="90"/>
      <c r="AA89" s="38"/>
      <c r="AB89" s="39" t="e">
        <f t="shared" ref="AB89:AB97" si="5">IF(E89=E88,AB88,AB88+1)</f>
        <v>#REF!</v>
      </c>
      <c r="AE89" s="6"/>
    </row>
    <row r="90" spans="1:31" s="449" customFormat="1" ht="39.4" customHeight="1">
      <c r="A90" s="449">
        <v>27</v>
      </c>
      <c r="B90" s="449" t="s">
        <v>890</v>
      </c>
      <c r="C90" s="184">
        <v>44070</v>
      </c>
      <c r="D90" s="102" t="s">
        <v>59</v>
      </c>
      <c r="E90" s="103" t="s">
        <v>123</v>
      </c>
      <c r="F90" s="23" t="s">
        <v>158</v>
      </c>
      <c r="G90" s="104">
        <v>4</v>
      </c>
      <c r="H90" s="457"/>
      <c r="I90" s="457"/>
      <c r="J90" s="457"/>
      <c r="K90" s="104" t="s">
        <v>124</v>
      </c>
      <c r="L90" s="104" t="s">
        <v>18</v>
      </c>
      <c r="M90" s="104">
        <v>220</v>
      </c>
      <c r="N90" s="167"/>
      <c r="O90" s="89"/>
      <c r="P90" s="136"/>
      <c r="Q90" s="89"/>
      <c r="R90" s="89" t="s">
        <v>29</v>
      </c>
      <c r="S90" s="89"/>
      <c r="T90" s="89"/>
      <c r="U90" s="89" t="s">
        <v>29</v>
      </c>
      <c r="V90" s="89"/>
      <c r="W90" s="89" t="s">
        <v>29</v>
      </c>
      <c r="X90" s="89"/>
      <c r="Y90" s="90" t="s">
        <v>566</v>
      </c>
      <c r="Z90" s="90"/>
      <c r="AA90" s="38"/>
      <c r="AB90" s="39" t="e">
        <f t="shared" si="5"/>
        <v>#REF!</v>
      </c>
      <c r="AE90" s="6"/>
    </row>
    <row r="91" spans="1:31" s="449" customFormat="1" ht="39.4" customHeight="1">
      <c r="A91" s="449">
        <v>27</v>
      </c>
      <c r="B91" s="449" t="s">
        <v>890</v>
      </c>
      <c r="C91" s="184">
        <v>44070</v>
      </c>
      <c r="D91" s="102" t="s">
        <v>60</v>
      </c>
      <c r="E91" s="103" t="s">
        <v>567</v>
      </c>
      <c r="F91" s="23" t="s">
        <v>568</v>
      </c>
      <c r="G91" s="104">
        <v>11</v>
      </c>
      <c r="H91" s="457"/>
      <c r="I91" s="457"/>
      <c r="J91" s="457"/>
      <c r="K91" s="104" t="s">
        <v>569</v>
      </c>
      <c r="L91" s="104" t="s">
        <v>18</v>
      </c>
      <c r="M91" s="104">
        <v>220</v>
      </c>
      <c r="N91" s="167"/>
      <c r="O91" s="89"/>
      <c r="P91" s="136"/>
      <c r="Q91" s="89"/>
      <c r="R91" s="89"/>
      <c r="S91" s="89"/>
      <c r="T91" s="89"/>
      <c r="U91" s="89"/>
      <c r="V91" s="89" t="s">
        <v>29</v>
      </c>
      <c r="W91" s="89" t="s">
        <v>29</v>
      </c>
      <c r="X91" s="89"/>
      <c r="Y91" s="90" t="s">
        <v>570</v>
      </c>
      <c r="Z91" s="90"/>
      <c r="AA91" s="38"/>
      <c r="AB91" s="39" t="e">
        <f t="shared" si="5"/>
        <v>#REF!</v>
      </c>
      <c r="AE91" s="6"/>
    </row>
    <row r="92" spans="1:31" s="449" customFormat="1" ht="39.4" customHeight="1">
      <c r="A92" s="449">
        <v>27</v>
      </c>
      <c r="B92" s="449" t="s">
        <v>890</v>
      </c>
      <c r="C92" s="184">
        <v>44070</v>
      </c>
      <c r="D92" s="102" t="s">
        <v>61</v>
      </c>
      <c r="E92" s="103" t="s">
        <v>189</v>
      </c>
      <c r="F92" s="23" t="s">
        <v>161</v>
      </c>
      <c r="G92" s="104">
        <v>37</v>
      </c>
      <c r="H92" s="457"/>
      <c r="I92" s="457"/>
      <c r="J92" s="457"/>
      <c r="K92" s="104" t="s">
        <v>53</v>
      </c>
      <c r="L92" s="104" t="s">
        <v>18</v>
      </c>
      <c r="M92" s="104">
        <v>220</v>
      </c>
      <c r="N92" s="167"/>
      <c r="O92" s="89"/>
      <c r="P92" s="136"/>
      <c r="Q92" s="89"/>
      <c r="R92" s="89" t="s">
        <v>29</v>
      </c>
      <c r="S92" s="89"/>
      <c r="T92" s="89"/>
      <c r="U92" s="89" t="s">
        <v>29</v>
      </c>
      <c r="V92" s="89"/>
      <c r="W92" s="89" t="s">
        <v>29</v>
      </c>
      <c r="X92" s="89"/>
      <c r="Y92" s="90" t="s">
        <v>571</v>
      </c>
      <c r="Z92" s="90"/>
      <c r="AA92" s="38"/>
      <c r="AB92" s="39" t="e">
        <f t="shared" si="5"/>
        <v>#REF!</v>
      </c>
      <c r="AE92" s="6"/>
    </row>
    <row r="93" spans="1:31" s="449" customFormat="1" ht="39.4" customHeight="1">
      <c r="A93" s="449">
        <v>27</v>
      </c>
      <c r="B93" s="449" t="s">
        <v>890</v>
      </c>
      <c r="C93" s="116">
        <v>44071</v>
      </c>
      <c r="D93" s="102" t="s">
        <v>54</v>
      </c>
      <c r="E93" s="103" t="s">
        <v>189</v>
      </c>
      <c r="F93" s="23" t="s">
        <v>161</v>
      </c>
      <c r="G93" s="104">
        <v>7</v>
      </c>
      <c r="H93" s="457"/>
      <c r="I93" s="457"/>
      <c r="J93" s="457"/>
      <c r="K93" s="104" t="s">
        <v>53</v>
      </c>
      <c r="L93" s="104" t="s">
        <v>18</v>
      </c>
      <c r="M93" s="104">
        <v>220</v>
      </c>
      <c r="N93" s="167"/>
      <c r="O93" s="89"/>
      <c r="P93" s="136"/>
      <c r="Q93" s="89"/>
      <c r="R93" s="89" t="s">
        <v>29</v>
      </c>
      <c r="S93" s="89"/>
      <c r="T93" s="89"/>
      <c r="U93" s="89" t="s">
        <v>29</v>
      </c>
      <c r="V93" s="89"/>
      <c r="W93" s="89" t="s">
        <v>29</v>
      </c>
      <c r="X93" s="89"/>
      <c r="Y93" s="90" t="s">
        <v>572</v>
      </c>
      <c r="Z93" s="90"/>
      <c r="AA93" s="38"/>
      <c r="AB93" s="39" t="e">
        <f t="shared" si="5"/>
        <v>#REF!</v>
      </c>
      <c r="AE93" s="6"/>
    </row>
    <row r="94" spans="1:31" s="449" customFormat="1" ht="39.4" customHeight="1">
      <c r="A94" s="449">
        <v>27</v>
      </c>
      <c r="B94" s="449" t="s">
        <v>890</v>
      </c>
      <c r="C94" s="184">
        <v>44071</v>
      </c>
      <c r="D94" s="102" t="s">
        <v>55</v>
      </c>
      <c r="E94" s="103" t="s">
        <v>136</v>
      </c>
      <c r="F94" s="23" t="s">
        <v>147</v>
      </c>
      <c r="G94" s="104">
        <v>4</v>
      </c>
      <c r="H94" s="457"/>
      <c r="I94" s="457"/>
      <c r="J94" s="457"/>
      <c r="K94" s="104" t="s">
        <v>67</v>
      </c>
      <c r="L94" s="104" t="s">
        <v>18</v>
      </c>
      <c r="M94" s="104">
        <v>220</v>
      </c>
      <c r="N94" s="167"/>
      <c r="O94" s="89"/>
      <c r="P94" s="136" t="s">
        <v>47</v>
      </c>
      <c r="Q94" s="89"/>
      <c r="R94" s="89"/>
      <c r="S94" s="89"/>
      <c r="T94" s="89"/>
      <c r="U94" s="89" t="s">
        <v>29</v>
      </c>
      <c r="V94" s="89"/>
      <c r="W94" s="89" t="s">
        <v>29</v>
      </c>
      <c r="X94" s="89"/>
      <c r="Y94" s="90" t="s">
        <v>573</v>
      </c>
      <c r="Z94" s="90"/>
      <c r="AA94" s="38"/>
      <c r="AB94" s="39" t="e">
        <f t="shared" si="5"/>
        <v>#REF!</v>
      </c>
      <c r="AE94" s="6"/>
    </row>
    <row r="95" spans="1:31" s="449" customFormat="1" ht="39.4" customHeight="1">
      <c r="A95" s="449">
        <v>27</v>
      </c>
      <c r="B95" s="449" t="s">
        <v>890</v>
      </c>
      <c r="C95" s="184">
        <v>44071</v>
      </c>
      <c r="D95" s="102" t="s">
        <v>56</v>
      </c>
      <c r="E95" s="103" t="s">
        <v>217</v>
      </c>
      <c r="F95" s="23" t="s">
        <v>218</v>
      </c>
      <c r="G95" s="104">
        <v>6</v>
      </c>
      <c r="H95" s="457"/>
      <c r="I95" s="457"/>
      <c r="J95" s="457"/>
      <c r="K95" s="104" t="s">
        <v>67</v>
      </c>
      <c r="L95" s="104" t="s">
        <v>19</v>
      </c>
      <c r="M95" s="104">
        <v>220</v>
      </c>
      <c r="N95" s="167"/>
      <c r="O95" s="89"/>
      <c r="P95" s="136" t="s">
        <v>47</v>
      </c>
      <c r="Q95" s="89"/>
      <c r="R95" s="89"/>
      <c r="S95" s="89"/>
      <c r="T95" s="89"/>
      <c r="U95" s="89" t="s">
        <v>29</v>
      </c>
      <c r="V95" s="89"/>
      <c r="W95" s="89"/>
      <c r="X95" s="89"/>
      <c r="Y95" s="90" t="s">
        <v>574</v>
      </c>
      <c r="Z95" s="90"/>
      <c r="AA95" s="38"/>
      <c r="AB95" s="39" t="e">
        <f t="shared" si="5"/>
        <v>#REF!</v>
      </c>
      <c r="AE95" s="6"/>
    </row>
    <row r="96" spans="1:31" s="449" customFormat="1" ht="39.4" customHeight="1">
      <c r="A96" s="449">
        <v>27</v>
      </c>
      <c r="B96" s="449" t="s">
        <v>890</v>
      </c>
      <c r="C96" s="184">
        <v>44071</v>
      </c>
      <c r="D96" s="102" t="s">
        <v>57</v>
      </c>
      <c r="E96" s="103" t="s">
        <v>575</v>
      </c>
      <c r="F96" s="23" t="s">
        <v>576</v>
      </c>
      <c r="G96" s="104">
        <v>1</v>
      </c>
      <c r="H96" s="457"/>
      <c r="I96" s="457"/>
      <c r="J96" s="457"/>
      <c r="K96" s="104" t="s">
        <v>98</v>
      </c>
      <c r="L96" s="104" t="s">
        <v>18</v>
      </c>
      <c r="M96" s="104">
        <v>220</v>
      </c>
      <c r="N96" s="167"/>
      <c r="O96" s="89"/>
      <c r="P96" s="136"/>
      <c r="Q96" s="89"/>
      <c r="R96" s="89"/>
      <c r="S96" s="89"/>
      <c r="T96" s="89"/>
      <c r="U96" s="90" t="s">
        <v>70</v>
      </c>
      <c r="V96" s="89" t="s">
        <v>29</v>
      </c>
      <c r="W96" s="89" t="s">
        <v>29</v>
      </c>
      <c r="X96" s="89"/>
      <c r="Y96" s="90" t="s">
        <v>577</v>
      </c>
      <c r="Z96" s="90"/>
      <c r="AA96" s="38"/>
      <c r="AB96" s="39" t="e">
        <f t="shared" si="5"/>
        <v>#REF!</v>
      </c>
      <c r="AE96" s="6"/>
    </row>
    <row r="97" spans="1:31" s="449" customFormat="1" ht="39.4" customHeight="1">
      <c r="A97" s="449">
        <v>27</v>
      </c>
      <c r="B97" s="449" t="s">
        <v>890</v>
      </c>
      <c r="C97" s="184">
        <v>44071</v>
      </c>
      <c r="D97" s="102" t="s">
        <v>58</v>
      </c>
      <c r="E97" s="103" t="s">
        <v>578</v>
      </c>
      <c r="F97" s="23" t="s">
        <v>579</v>
      </c>
      <c r="G97" s="104">
        <v>1</v>
      </c>
      <c r="H97" s="457"/>
      <c r="I97" s="457"/>
      <c r="J97" s="457"/>
      <c r="K97" s="104" t="s">
        <v>98</v>
      </c>
      <c r="L97" s="104" t="s">
        <v>18</v>
      </c>
      <c r="M97" s="104">
        <v>220</v>
      </c>
      <c r="N97" s="167"/>
      <c r="O97" s="89"/>
      <c r="P97" s="136"/>
      <c r="Q97" s="89"/>
      <c r="R97" s="89"/>
      <c r="S97" s="89"/>
      <c r="T97" s="89"/>
      <c r="U97" s="90" t="s">
        <v>70</v>
      </c>
      <c r="V97" s="89" t="s">
        <v>29</v>
      </c>
      <c r="W97" s="89" t="s">
        <v>29</v>
      </c>
      <c r="X97" s="89"/>
      <c r="Y97" s="90" t="s">
        <v>580</v>
      </c>
      <c r="Z97" s="90"/>
      <c r="AA97" s="38"/>
      <c r="AB97" s="39" t="e">
        <f t="shared" si="5"/>
        <v>#REF!</v>
      </c>
      <c r="AE97" s="6"/>
    </row>
    <row r="98" spans="1:31" s="449" customFormat="1" ht="39.4" customHeight="1">
      <c r="A98" s="449">
        <v>27</v>
      </c>
      <c r="B98" s="449" t="s">
        <v>890</v>
      </c>
      <c r="C98" s="184">
        <v>44071</v>
      </c>
      <c r="D98" s="102" t="s">
        <v>59</v>
      </c>
      <c r="E98" s="103" t="s">
        <v>92</v>
      </c>
      <c r="F98" s="23" t="s">
        <v>159</v>
      </c>
      <c r="G98" s="104">
        <v>2</v>
      </c>
      <c r="H98" s="457"/>
      <c r="I98" s="457"/>
      <c r="J98" s="457"/>
      <c r="K98" s="104" t="s">
        <v>79</v>
      </c>
      <c r="L98" s="104" t="s">
        <v>31</v>
      </c>
      <c r="M98" s="104">
        <v>120</v>
      </c>
      <c r="N98" s="167"/>
      <c r="O98" s="89"/>
      <c r="P98" s="136"/>
      <c r="Q98" s="89"/>
      <c r="R98" s="89"/>
      <c r="S98" s="89"/>
      <c r="T98" s="89"/>
      <c r="U98" s="90" t="s">
        <v>70</v>
      </c>
      <c r="V98" s="89" t="s">
        <v>29</v>
      </c>
      <c r="W98" s="89"/>
      <c r="X98" s="89"/>
      <c r="Y98" s="90" t="s">
        <v>581</v>
      </c>
      <c r="Z98" s="90"/>
      <c r="AA98" s="38"/>
      <c r="AB98" s="39" t="e">
        <f>IF(E98=E96,AB96,AB96+1)</f>
        <v>#REF!</v>
      </c>
      <c r="AE98" s="6"/>
    </row>
    <row r="99" spans="1:31" s="449" customFormat="1" ht="39.4" customHeight="1">
      <c r="A99" s="449">
        <v>28</v>
      </c>
      <c r="B99" s="449" t="s">
        <v>889</v>
      </c>
      <c r="C99" s="184">
        <v>44071</v>
      </c>
      <c r="D99" s="102" t="s">
        <v>59</v>
      </c>
      <c r="E99" s="103" t="s">
        <v>92</v>
      </c>
      <c r="F99" s="23" t="s">
        <v>159</v>
      </c>
      <c r="G99" s="104">
        <v>6</v>
      </c>
      <c r="H99" s="457"/>
      <c r="I99" s="457"/>
      <c r="J99" s="457"/>
      <c r="K99" s="104" t="s">
        <v>79</v>
      </c>
      <c r="L99" s="104" t="s">
        <v>31</v>
      </c>
      <c r="M99" s="104">
        <v>120</v>
      </c>
      <c r="N99" s="167"/>
      <c r="O99" s="89"/>
      <c r="P99" s="136"/>
      <c r="Q99" s="89"/>
      <c r="R99" s="89"/>
      <c r="S99" s="89"/>
      <c r="T99" s="89"/>
      <c r="U99" s="90" t="s">
        <v>70</v>
      </c>
      <c r="V99" s="89" t="s">
        <v>29</v>
      </c>
      <c r="W99" s="89"/>
      <c r="X99" s="89"/>
      <c r="Y99" s="90" t="s">
        <v>581</v>
      </c>
      <c r="Z99" s="90"/>
      <c r="AA99" s="38"/>
      <c r="AB99" s="39" t="e">
        <f>IF(E99=E97,AB97,AB97+1)</f>
        <v>#REF!</v>
      </c>
      <c r="AE99" s="6"/>
    </row>
    <row r="100" spans="1:31" s="449" customFormat="1" ht="39.4" customHeight="1">
      <c r="A100" s="449">
        <v>28</v>
      </c>
      <c r="B100" s="449" t="s">
        <v>889</v>
      </c>
      <c r="C100" s="184">
        <v>44071</v>
      </c>
      <c r="D100" s="102" t="s">
        <v>60</v>
      </c>
      <c r="E100" s="103" t="s">
        <v>84</v>
      </c>
      <c r="F100" s="23" t="s">
        <v>152</v>
      </c>
      <c r="G100" s="104">
        <v>53</v>
      </c>
      <c r="H100" s="457"/>
      <c r="I100" s="457"/>
      <c r="J100" s="457"/>
      <c r="K100" s="104" t="s">
        <v>79</v>
      </c>
      <c r="L100" s="104" t="s">
        <v>28</v>
      </c>
      <c r="M100" s="104">
        <v>230</v>
      </c>
      <c r="N100" s="167"/>
      <c r="O100" s="89"/>
      <c r="P100" s="136"/>
      <c r="Q100" s="89"/>
      <c r="R100" s="89"/>
      <c r="S100" s="89"/>
      <c r="T100" s="89"/>
      <c r="U100" s="90" t="s">
        <v>70</v>
      </c>
      <c r="V100" s="89" t="s">
        <v>29</v>
      </c>
      <c r="W100" s="89"/>
      <c r="X100" s="89"/>
      <c r="Y100" s="90" t="s">
        <v>582</v>
      </c>
      <c r="Z100" s="90"/>
      <c r="AA100" s="38"/>
      <c r="AB100" s="39" t="e">
        <f>IF(E100=E99,AB99,AB99+1)</f>
        <v>#REF!</v>
      </c>
      <c r="AE100" s="6"/>
    </row>
    <row r="101" spans="1:31" s="449" customFormat="1" ht="39.4" customHeight="1">
      <c r="A101" s="449">
        <v>28</v>
      </c>
      <c r="B101" s="449" t="s">
        <v>889</v>
      </c>
      <c r="C101" s="184">
        <v>44071</v>
      </c>
      <c r="D101" s="102" t="s">
        <v>61</v>
      </c>
      <c r="E101" s="103" t="s">
        <v>118</v>
      </c>
      <c r="F101" s="23" t="s">
        <v>150</v>
      </c>
      <c r="G101" s="104">
        <v>66</v>
      </c>
      <c r="H101" s="457"/>
      <c r="I101" s="457"/>
      <c r="J101" s="457"/>
      <c r="K101" s="104" t="s">
        <v>79</v>
      </c>
      <c r="L101" s="104" t="s">
        <v>18</v>
      </c>
      <c r="M101" s="104">
        <v>220</v>
      </c>
      <c r="N101" s="167"/>
      <c r="O101" s="89"/>
      <c r="P101" s="136"/>
      <c r="Q101" s="89"/>
      <c r="R101" s="89"/>
      <c r="S101" s="89"/>
      <c r="T101" s="89"/>
      <c r="U101" s="90" t="s">
        <v>70</v>
      </c>
      <c r="V101" s="89" t="s">
        <v>29</v>
      </c>
      <c r="W101" s="89" t="s">
        <v>29</v>
      </c>
      <c r="X101" s="89"/>
      <c r="Y101" s="90" t="s">
        <v>583</v>
      </c>
      <c r="Z101" s="90"/>
      <c r="AA101" s="38"/>
      <c r="AB101" s="39" t="e">
        <f>IF(E101=E100,AB100,AB100+1)</f>
        <v>#REF!</v>
      </c>
      <c r="AE101" s="6"/>
    </row>
    <row r="102" spans="1:31" s="449" customFormat="1" ht="39.4" customHeight="1">
      <c r="A102" s="449">
        <v>28</v>
      </c>
      <c r="B102" s="449" t="s">
        <v>889</v>
      </c>
      <c r="C102" s="184">
        <v>44071</v>
      </c>
      <c r="D102" s="102" t="s">
        <v>63</v>
      </c>
      <c r="E102" s="103" t="s">
        <v>91</v>
      </c>
      <c r="F102" s="23" t="s">
        <v>160</v>
      </c>
      <c r="G102" s="104">
        <v>19</v>
      </c>
      <c r="H102" s="457"/>
      <c r="I102" s="457"/>
      <c r="J102" s="457"/>
      <c r="K102" s="104" t="s">
        <v>79</v>
      </c>
      <c r="L102" s="104" t="s">
        <v>31</v>
      </c>
      <c r="M102" s="104">
        <v>120</v>
      </c>
      <c r="N102" s="167"/>
      <c r="O102" s="89"/>
      <c r="P102" s="136"/>
      <c r="Q102" s="89"/>
      <c r="R102" s="89"/>
      <c r="S102" s="89"/>
      <c r="T102" s="89" t="s">
        <v>29</v>
      </c>
      <c r="U102" s="90" t="s">
        <v>70</v>
      </c>
      <c r="V102" s="89"/>
      <c r="W102" s="89"/>
      <c r="X102" s="89"/>
      <c r="Y102" s="90" t="s">
        <v>584</v>
      </c>
      <c r="Z102" s="90"/>
      <c r="AA102" s="38"/>
      <c r="AB102" s="39" t="e">
        <f>IF(E102=E100,AB100,AB100+1)</f>
        <v>#REF!</v>
      </c>
      <c r="AE102" s="6"/>
    </row>
    <row r="103" spans="1:31" s="449" customFormat="1" ht="39.4" customHeight="1">
      <c r="A103" s="449">
        <v>28</v>
      </c>
      <c r="B103" s="449" t="s">
        <v>890</v>
      </c>
      <c r="C103" s="184">
        <v>44071</v>
      </c>
      <c r="D103" s="102" t="s">
        <v>63</v>
      </c>
      <c r="E103" s="103" t="s">
        <v>91</v>
      </c>
      <c r="F103" s="23" t="s">
        <v>160</v>
      </c>
      <c r="G103" s="104">
        <v>71</v>
      </c>
      <c r="H103" s="457"/>
      <c r="I103" s="457"/>
      <c r="J103" s="457"/>
      <c r="K103" s="104" t="s">
        <v>79</v>
      </c>
      <c r="L103" s="104" t="s">
        <v>31</v>
      </c>
      <c r="M103" s="104">
        <v>120</v>
      </c>
      <c r="N103" s="167"/>
      <c r="O103" s="89"/>
      <c r="P103" s="136"/>
      <c r="Q103" s="89"/>
      <c r="R103" s="89"/>
      <c r="S103" s="89"/>
      <c r="T103" s="89" t="s">
        <v>29</v>
      </c>
      <c r="U103" s="90" t="s">
        <v>70</v>
      </c>
      <c r="V103" s="89"/>
      <c r="W103" s="89"/>
      <c r="X103" s="89"/>
      <c r="Y103" s="90" t="s">
        <v>584</v>
      </c>
      <c r="Z103" s="90"/>
      <c r="AA103" s="38"/>
      <c r="AB103" s="39" t="e">
        <f>IF(E103=E101,AB101,AB101+1)</f>
        <v>#REF!</v>
      </c>
      <c r="AE103" s="6"/>
    </row>
    <row r="104" spans="1:31" s="449" customFormat="1" ht="39.4" customHeight="1">
      <c r="A104" s="449">
        <v>28</v>
      </c>
      <c r="B104" s="449" t="s">
        <v>890</v>
      </c>
      <c r="C104" s="184">
        <v>44071</v>
      </c>
      <c r="D104" s="102" t="s">
        <v>62</v>
      </c>
      <c r="E104" s="103" t="s">
        <v>217</v>
      </c>
      <c r="F104" s="23" t="s">
        <v>218</v>
      </c>
      <c r="G104" s="104">
        <v>52</v>
      </c>
      <c r="H104" s="457"/>
      <c r="I104" s="457"/>
      <c r="J104" s="457"/>
      <c r="K104" s="104" t="s">
        <v>67</v>
      </c>
      <c r="L104" s="104" t="s">
        <v>19</v>
      </c>
      <c r="M104" s="104">
        <v>220</v>
      </c>
      <c r="N104" s="167"/>
      <c r="O104" s="89"/>
      <c r="P104" s="136" t="s">
        <v>47</v>
      </c>
      <c r="Q104" s="89"/>
      <c r="R104" s="89"/>
      <c r="S104" s="89"/>
      <c r="T104" s="89"/>
      <c r="U104" s="89" t="s">
        <v>29</v>
      </c>
      <c r="V104" s="89"/>
      <c r="W104" s="89"/>
      <c r="X104" s="89"/>
      <c r="Y104" s="90" t="s">
        <v>585</v>
      </c>
      <c r="Z104" s="90"/>
      <c r="AA104" s="38"/>
      <c r="AB104" s="39" t="e">
        <f>IF(E104=E103,AB103,AB103+1)</f>
        <v>#REF!</v>
      </c>
      <c r="AE104" s="6"/>
    </row>
    <row r="105" spans="1:31" s="449" customFormat="1" ht="39.4" customHeight="1">
      <c r="A105" s="449">
        <v>28</v>
      </c>
      <c r="B105" s="449" t="s">
        <v>890</v>
      </c>
      <c r="C105" s="116">
        <v>44072</v>
      </c>
      <c r="D105" s="102" t="s">
        <v>54</v>
      </c>
      <c r="E105" s="103" t="s">
        <v>217</v>
      </c>
      <c r="F105" s="23" t="s">
        <v>218</v>
      </c>
      <c r="G105" s="104">
        <v>2</v>
      </c>
      <c r="H105" s="457"/>
      <c r="I105" s="457"/>
      <c r="J105" s="457"/>
      <c r="K105" s="104" t="s">
        <v>67</v>
      </c>
      <c r="L105" s="104" t="s">
        <v>19</v>
      </c>
      <c r="M105" s="104">
        <v>220</v>
      </c>
      <c r="N105" s="167"/>
      <c r="O105" s="89"/>
      <c r="P105" s="136" t="s">
        <v>47</v>
      </c>
      <c r="Q105" s="89"/>
      <c r="R105" s="89"/>
      <c r="S105" s="89"/>
      <c r="T105" s="89"/>
      <c r="U105" s="89" t="s">
        <v>29</v>
      </c>
      <c r="V105" s="89"/>
      <c r="W105" s="89"/>
      <c r="X105" s="89"/>
      <c r="Y105" s="90" t="s">
        <v>586</v>
      </c>
      <c r="Z105" s="90"/>
      <c r="AA105" s="38"/>
      <c r="AB105" s="39" t="e">
        <f>IF(E105=E104,AB104,AB104+1)</f>
        <v>#REF!</v>
      </c>
      <c r="AE105" s="6"/>
    </row>
    <row r="106" spans="1:31" s="449" customFormat="1" ht="39.4" customHeight="1">
      <c r="A106" s="449">
        <v>28</v>
      </c>
      <c r="B106" s="449" t="s">
        <v>890</v>
      </c>
      <c r="C106" s="184">
        <v>44072</v>
      </c>
      <c r="D106" s="102" t="s">
        <v>55</v>
      </c>
      <c r="E106" s="103" t="s">
        <v>84</v>
      </c>
      <c r="F106" s="23" t="s">
        <v>152</v>
      </c>
      <c r="G106" s="104">
        <v>19</v>
      </c>
      <c r="H106" s="457"/>
      <c r="I106" s="457"/>
      <c r="J106" s="457"/>
      <c r="K106" s="104" t="s">
        <v>79</v>
      </c>
      <c r="L106" s="104" t="s">
        <v>28</v>
      </c>
      <c r="M106" s="104">
        <v>230</v>
      </c>
      <c r="N106" s="167"/>
      <c r="O106" s="89"/>
      <c r="P106" s="136"/>
      <c r="Q106" s="89"/>
      <c r="R106" s="89"/>
      <c r="S106" s="89"/>
      <c r="T106" s="89"/>
      <c r="U106" s="90" t="s">
        <v>70</v>
      </c>
      <c r="V106" s="89" t="s">
        <v>29</v>
      </c>
      <c r="W106" s="89"/>
      <c r="X106" s="89"/>
      <c r="Y106" s="90" t="s">
        <v>587</v>
      </c>
      <c r="Z106" s="90"/>
      <c r="AA106" s="38"/>
      <c r="AB106" s="39" t="e">
        <f>IF(E106=E104,AB104,AB104+1)</f>
        <v>#REF!</v>
      </c>
      <c r="AE106" s="6"/>
    </row>
    <row r="107" spans="1:31" s="449" customFormat="1" ht="39.4" customHeight="1">
      <c r="A107" s="449">
        <v>29</v>
      </c>
      <c r="B107" s="449" t="s">
        <v>889</v>
      </c>
      <c r="C107" s="184">
        <v>44072</v>
      </c>
      <c r="D107" s="102" t="s">
        <v>55</v>
      </c>
      <c r="E107" s="103" t="s">
        <v>84</v>
      </c>
      <c r="F107" s="23" t="s">
        <v>152</v>
      </c>
      <c r="G107" s="104">
        <v>27</v>
      </c>
      <c r="H107" s="457"/>
      <c r="I107" s="457"/>
      <c r="J107" s="457"/>
      <c r="K107" s="104" t="s">
        <v>79</v>
      </c>
      <c r="L107" s="104" t="s">
        <v>28</v>
      </c>
      <c r="M107" s="104">
        <v>230</v>
      </c>
      <c r="N107" s="167"/>
      <c r="O107" s="89"/>
      <c r="P107" s="136"/>
      <c r="Q107" s="89"/>
      <c r="R107" s="89"/>
      <c r="S107" s="89"/>
      <c r="T107" s="89"/>
      <c r="U107" s="90" t="s">
        <v>70</v>
      </c>
      <c r="V107" s="89" t="s">
        <v>29</v>
      </c>
      <c r="W107" s="89"/>
      <c r="X107" s="89"/>
      <c r="Y107" s="90" t="s">
        <v>587</v>
      </c>
      <c r="Z107" s="90"/>
      <c r="AA107" s="38"/>
      <c r="AB107" s="39" t="e">
        <f>IF(E107=E105,AB105,AB105+1)</f>
        <v>#REF!</v>
      </c>
      <c r="AE107" s="6"/>
    </row>
    <row r="108" spans="1:31" s="449" customFormat="1" ht="39.4" customHeight="1">
      <c r="A108" s="449">
        <v>29</v>
      </c>
      <c r="B108" s="449" t="s">
        <v>889</v>
      </c>
      <c r="C108" s="184">
        <v>44072</v>
      </c>
      <c r="D108" s="102" t="s">
        <v>56</v>
      </c>
      <c r="E108" s="103" t="s">
        <v>93</v>
      </c>
      <c r="F108" s="23" t="s">
        <v>157</v>
      </c>
      <c r="G108" s="104">
        <v>153</v>
      </c>
      <c r="H108" s="457"/>
      <c r="I108" s="457"/>
      <c r="J108" s="457"/>
      <c r="K108" s="104" t="s">
        <v>79</v>
      </c>
      <c r="L108" s="104" t="s">
        <v>31</v>
      </c>
      <c r="M108" s="104">
        <v>120</v>
      </c>
      <c r="N108" s="167"/>
      <c r="O108" s="90"/>
      <c r="P108" s="136"/>
      <c r="Q108" s="89"/>
      <c r="R108" s="89"/>
      <c r="S108" s="89"/>
      <c r="T108" s="89"/>
      <c r="U108" s="90" t="s">
        <v>70</v>
      </c>
      <c r="V108" s="89" t="s">
        <v>29</v>
      </c>
      <c r="W108" s="89"/>
      <c r="X108" s="89"/>
      <c r="Y108" s="90" t="s">
        <v>588</v>
      </c>
      <c r="Z108" s="90"/>
      <c r="AA108" s="38"/>
      <c r="AB108" s="39" t="e">
        <f>IF(E108=E106,AB106,AB106+1)</f>
        <v>#REF!</v>
      </c>
      <c r="AE108" s="6"/>
    </row>
    <row r="109" spans="1:31" s="449" customFormat="1" ht="39.4" customHeight="1">
      <c r="A109" s="449">
        <v>29</v>
      </c>
      <c r="B109" s="449" t="s">
        <v>890</v>
      </c>
      <c r="C109" s="184">
        <v>44072</v>
      </c>
      <c r="D109" s="102" t="s">
        <v>56</v>
      </c>
      <c r="E109" s="103" t="s">
        <v>93</v>
      </c>
      <c r="F109" s="23" t="s">
        <v>157</v>
      </c>
      <c r="G109" s="104">
        <v>17</v>
      </c>
      <c r="H109" s="457"/>
      <c r="I109" s="457"/>
      <c r="J109" s="457"/>
      <c r="K109" s="104" t="s">
        <v>79</v>
      </c>
      <c r="L109" s="104" t="s">
        <v>31</v>
      </c>
      <c r="M109" s="104">
        <v>120</v>
      </c>
      <c r="N109" s="167"/>
      <c r="O109" s="90"/>
      <c r="P109" s="136"/>
      <c r="Q109" s="89"/>
      <c r="R109" s="89"/>
      <c r="S109" s="89"/>
      <c r="T109" s="89"/>
      <c r="U109" s="90" t="s">
        <v>70</v>
      </c>
      <c r="V109" s="89" t="s">
        <v>29</v>
      </c>
      <c r="W109" s="89"/>
      <c r="X109" s="89"/>
      <c r="Y109" s="90" t="s">
        <v>588</v>
      </c>
      <c r="Z109" s="90"/>
      <c r="AA109" s="38"/>
      <c r="AB109" s="39" t="e">
        <f>IF(E109=E107,AB107,AB107+1)</f>
        <v>#REF!</v>
      </c>
      <c r="AE109" s="6"/>
    </row>
    <row r="110" spans="1:31" s="449" customFormat="1" ht="39.4" customHeight="1">
      <c r="A110" s="449">
        <v>29</v>
      </c>
      <c r="B110" s="449" t="s">
        <v>890</v>
      </c>
      <c r="C110" s="184">
        <v>44072</v>
      </c>
      <c r="D110" s="102" t="s">
        <v>57</v>
      </c>
      <c r="E110" s="103" t="s">
        <v>91</v>
      </c>
      <c r="F110" s="23" t="s">
        <v>160</v>
      </c>
      <c r="G110" s="104">
        <v>46</v>
      </c>
      <c r="H110" s="457"/>
      <c r="I110" s="457"/>
      <c r="J110" s="457"/>
      <c r="K110" s="104" t="s">
        <v>79</v>
      </c>
      <c r="L110" s="104" t="s">
        <v>31</v>
      </c>
      <c r="M110" s="104">
        <v>120</v>
      </c>
      <c r="N110" s="167"/>
      <c r="O110" s="90"/>
      <c r="P110" s="136"/>
      <c r="Q110" s="89"/>
      <c r="R110" s="89"/>
      <c r="S110" s="89"/>
      <c r="T110" s="89" t="s">
        <v>29</v>
      </c>
      <c r="U110" s="90" t="s">
        <v>70</v>
      </c>
      <c r="V110" s="89"/>
      <c r="W110" s="89"/>
      <c r="X110" s="89"/>
      <c r="Y110" s="90" t="s">
        <v>589</v>
      </c>
      <c r="Z110" s="90"/>
      <c r="AA110" s="38"/>
      <c r="AB110" s="39" t="e">
        <f t="shared" ref="AB110:AB121" si="6">IF(E110=E109,AB109,AB109+1)</f>
        <v>#REF!</v>
      </c>
      <c r="AE110" s="6"/>
    </row>
    <row r="111" spans="1:31" s="449" customFormat="1" ht="39.4" customHeight="1">
      <c r="A111" s="449">
        <v>29</v>
      </c>
      <c r="B111" s="449" t="s">
        <v>890</v>
      </c>
      <c r="C111" s="184">
        <v>44072</v>
      </c>
      <c r="D111" s="102" t="s">
        <v>58</v>
      </c>
      <c r="E111" s="103" t="s">
        <v>128</v>
      </c>
      <c r="F111" s="23" t="s">
        <v>167</v>
      </c>
      <c r="G111" s="104">
        <v>44</v>
      </c>
      <c r="H111" s="457"/>
      <c r="I111" s="457"/>
      <c r="J111" s="457"/>
      <c r="K111" s="104" t="s">
        <v>79</v>
      </c>
      <c r="L111" s="104" t="s">
        <v>49</v>
      </c>
      <c r="M111" s="104">
        <v>100</v>
      </c>
      <c r="N111" s="167"/>
      <c r="O111" s="90"/>
      <c r="P111" s="136"/>
      <c r="Q111" s="89"/>
      <c r="R111" s="89"/>
      <c r="S111" s="89"/>
      <c r="T111" s="89" t="s">
        <v>29</v>
      </c>
      <c r="U111" s="90" t="s">
        <v>70</v>
      </c>
      <c r="V111" s="89"/>
      <c r="W111" s="89" t="s">
        <v>29</v>
      </c>
      <c r="X111" s="89" t="s">
        <v>29</v>
      </c>
      <c r="Y111" s="90" t="s">
        <v>590</v>
      </c>
      <c r="Z111" s="90"/>
      <c r="AA111" s="38"/>
      <c r="AB111" s="39" t="e">
        <f t="shared" si="6"/>
        <v>#REF!</v>
      </c>
      <c r="AE111" s="6"/>
    </row>
    <row r="112" spans="1:31" s="449" customFormat="1" ht="39.4" customHeight="1">
      <c r="A112" s="449">
        <v>29</v>
      </c>
      <c r="B112" s="449" t="s">
        <v>890</v>
      </c>
      <c r="C112" s="184">
        <v>44072</v>
      </c>
      <c r="D112" s="102" t="s">
        <v>59</v>
      </c>
      <c r="E112" s="103" t="s">
        <v>591</v>
      </c>
      <c r="F112" s="23" t="s">
        <v>156</v>
      </c>
      <c r="G112" s="104">
        <v>8</v>
      </c>
      <c r="H112" s="457"/>
      <c r="I112" s="457"/>
      <c r="J112" s="457"/>
      <c r="K112" s="104" t="s">
        <v>67</v>
      </c>
      <c r="L112" s="104" t="s">
        <v>41</v>
      </c>
      <c r="M112" s="104">
        <v>230</v>
      </c>
      <c r="N112" s="167"/>
      <c r="O112" s="90"/>
      <c r="P112" s="136"/>
      <c r="Q112" s="89"/>
      <c r="R112" s="89"/>
      <c r="S112" s="89"/>
      <c r="T112" s="89"/>
      <c r="U112" s="89"/>
      <c r="V112" s="89" t="s">
        <v>29</v>
      </c>
      <c r="W112" s="89"/>
      <c r="X112" s="89"/>
      <c r="Y112" s="90" t="s">
        <v>592</v>
      </c>
      <c r="Z112" s="90"/>
      <c r="AA112" s="38"/>
      <c r="AB112" s="39" t="e">
        <f t="shared" si="6"/>
        <v>#REF!</v>
      </c>
      <c r="AE112" s="6"/>
    </row>
    <row r="113" spans="1:31" s="449" customFormat="1" ht="39.4" customHeight="1">
      <c r="A113" s="449">
        <v>29</v>
      </c>
      <c r="B113" s="449" t="s">
        <v>890</v>
      </c>
      <c r="C113" s="184">
        <v>44072</v>
      </c>
      <c r="D113" s="102" t="s">
        <v>60</v>
      </c>
      <c r="E113" s="103" t="s">
        <v>215</v>
      </c>
      <c r="F113" s="23" t="s">
        <v>216</v>
      </c>
      <c r="G113" s="104">
        <v>10</v>
      </c>
      <c r="H113" s="457"/>
      <c r="I113" s="457"/>
      <c r="J113" s="457"/>
      <c r="K113" s="104" t="s">
        <v>67</v>
      </c>
      <c r="L113" s="104" t="s">
        <v>19</v>
      </c>
      <c r="M113" s="104">
        <v>220</v>
      </c>
      <c r="N113" s="167"/>
      <c r="O113" s="90"/>
      <c r="P113" s="136" t="s">
        <v>47</v>
      </c>
      <c r="Q113" s="89"/>
      <c r="R113" s="89"/>
      <c r="S113" s="89"/>
      <c r="T113" s="89"/>
      <c r="U113" s="89" t="s">
        <v>29</v>
      </c>
      <c r="V113" s="89"/>
      <c r="W113" s="89"/>
      <c r="X113" s="89"/>
      <c r="Y113" s="90" t="s">
        <v>593</v>
      </c>
      <c r="Z113" s="90"/>
      <c r="AA113" s="38"/>
      <c r="AB113" s="39" t="e">
        <f t="shared" si="6"/>
        <v>#REF!</v>
      </c>
      <c r="AE113" s="6"/>
    </row>
    <row r="114" spans="1:31" s="449" customFormat="1" ht="39.4" customHeight="1">
      <c r="A114" s="449">
        <v>29</v>
      </c>
      <c r="B114" s="449" t="s">
        <v>890</v>
      </c>
      <c r="C114" s="184">
        <v>44072</v>
      </c>
      <c r="D114" s="102" t="s">
        <v>61</v>
      </c>
      <c r="E114" s="103" t="s">
        <v>531</v>
      </c>
      <c r="F114" s="23" t="s">
        <v>156</v>
      </c>
      <c r="G114" s="104">
        <v>1</v>
      </c>
      <c r="H114" s="457"/>
      <c r="I114" s="457"/>
      <c r="J114" s="457"/>
      <c r="K114" s="104" t="s">
        <v>67</v>
      </c>
      <c r="L114" s="104" t="s">
        <v>46</v>
      </c>
      <c r="M114" s="104">
        <v>120</v>
      </c>
      <c r="N114" s="167"/>
      <c r="O114" s="90"/>
      <c r="P114" s="136" t="s">
        <v>47</v>
      </c>
      <c r="Q114" s="89"/>
      <c r="R114" s="89"/>
      <c r="S114" s="89"/>
      <c r="T114" s="89"/>
      <c r="U114" s="89" t="s">
        <v>29</v>
      </c>
      <c r="V114" s="89"/>
      <c r="W114" s="89"/>
      <c r="X114" s="89"/>
      <c r="Y114" s="90" t="s">
        <v>594</v>
      </c>
      <c r="Z114" s="90"/>
      <c r="AA114" s="38"/>
      <c r="AB114" s="39" t="e">
        <f t="shared" si="6"/>
        <v>#REF!</v>
      </c>
      <c r="AE114" s="6"/>
    </row>
    <row r="115" spans="1:31" s="449" customFormat="1" ht="39.4" customHeight="1">
      <c r="A115" s="449">
        <v>29</v>
      </c>
      <c r="B115" s="449" t="s">
        <v>890</v>
      </c>
      <c r="C115" s="184">
        <v>44072</v>
      </c>
      <c r="D115" s="102" t="s">
        <v>63</v>
      </c>
      <c r="E115" s="103" t="s">
        <v>126</v>
      </c>
      <c r="F115" s="23" t="s">
        <v>147</v>
      </c>
      <c r="G115" s="104">
        <v>5</v>
      </c>
      <c r="H115" s="457"/>
      <c r="I115" s="457"/>
      <c r="J115" s="457"/>
      <c r="K115" s="104" t="s">
        <v>67</v>
      </c>
      <c r="L115" s="104" t="s">
        <v>34</v>
      </c>
      <c r="M115" s="104">
        <v>120</v>
      </c>
      <c r="N115" s="167"/>
      <c r="O115" s="90"/>
      <c r="P115" s="136" t="s">
        <v>47</v>
      </c>
      <c r="Q115" s="89"/>
      <c r="R115" s="89"/>
      <c r="S115" s="89"/>
      <c r="T115" s="89"/>
      <c r="U115" s="89" t="s">
        <v>29</v>
      </c>
      <c r="V115" s="89"/>
      <c r="W115" s="89"/>
      <c r="X115" s="89"/>
      <c r="Y115" s="90" t="s">
        <v>595</v>
      </c>
      <c r="Z115" s="90"/>
      <c r="AA115" s="38"/>
      <c r="AB115" s="39" t="e">
        <f t="shared" si="6"/>
        <v>#REF!</v>
      </c>
      <c r="AE115" s="6"/>
    </row>
    <row r="116" spans="1:31" s="449" customFormat="1" ht="39.4" customHeight="1">
      <c r="A116" s="449">
        <v>29</v>
      </c>
      <c r="B116" s="449" t="s">
        <v>890</v>
      </c>
      <c r="C116" s="184">
        <v>44072</v>
      </c>
      <c r="D116" s="102" t="s">
        <v>62</v>
      </c>
      <c r="E116" s="103" t="s">
        <v>188</v>
      </c>
      <c r="F116" s="23" t="s">
        <v>153</v>
      </c>
      <c r="G116" s="104">
        <v>28</v>
      </c>
      <c r="H116" s="457"/>
      <c r="I116" s="457"/>
      <c r="J116" s="457"/>
      <c r="K116" s="104" t="s">
        <v>67</v>
      </c>
      <c r="L116" s="104" t="s">
        <v>41</v>
      </c>
      <c r="M116" s="104">
        <v>230</v>
      </c>
      <c r="N116" s="167"/>
      <c r="O116" s="90"/>
      <c r="P116" s="136" t="s">
        <v>47</v>
      </c>
      <c r="Q116" s="89"/>
      <c r="R116" s="89"/>
      <c r="S116" s="89"/>
      <c r="T116" s="89"/>
      <c r="U116" s="89" t="s">
        <v>29</v>
      </c>
      <c r="V116" s="89"/>
      <c r="W116" s="89"/>
      <c r="X116" s="89"/>
      <c r="Y116" s="90" t="s">
        <v>596</v>
      </c>
      <c r="Z116" s="90"/>
      <c r="AA116" s="38"/>
      <c r="AB116" s="39" t="e">
        <f t="shared" si="6"/>
        <v>#REF!</v>
      </c>
      <c r="AE116" s="6"/>
    </row>
    <row r="117" spans="1:31" s="449" customFormat="1" ht="39.4" customHeight="1">
      <c r="A117" s="449">
        <v>29</v>
      </c>
      <c r="B117" s="449" t="s">
        <v>890</v>
      </c>
      <c r="C117" s="116">
        <v>44074</v>
      </c>
      <c r="D117" s="102" t="s">
        <v>54</v>
      </c>
      <c r="E117" s="103" t="s">
        <v>188</v>
      </c>
      <c r="F117" s="23" t="s">
        <v>153</v>
      </c>
      <c r="G117" s="104">
        <v>13</v>
      </c>
      <c r="H117" s="457"/>
      <c r="I117" s="457"/>
      <c r="J117" s="457"/>
      <c r="K117" s="104" t="s">
        <v>67</v>
      </c>
      <c r="L117" s="104" t="s">
        <v>41</v>
      </c>
      <c r="M117" s="104">
        <v>230</v>
      </c>
      <c r="N117" s="167"/>
      <c r="O117" s="90"/>
      <c r="P117" s="136" t="s">
        <v>47</v>
      </c>
      <c r="Q117" s="89"/>
      <c r="R117" s="89"/>
      <c r="S117" s="89"/>
      <c r="T117" s="89"/>
      <c r="U117" s="89" t="s">
        <v>29</v>
      </c>
      <c r="V117" s="89"/>
      <c r="W117" s="89"/>
      <c r="X117" s="89"/>
      <c r="Y117" s="90" t="s">
        <v>597</v>
      </c>
      <c r="Z117" s="90"/>
      <c r="AA117" s="38"/>
      <c r="AB117" s="39" t="e">
        <f t="shared" si="6"/>
        <v>#REF!</v>
      </c>
      <c r="AE117" s="6"/>
    </row>
    <row r="118" spans="1:31" s="449" customFormat="1" ht="39.4" customHeight="1">
      <c r="A118" s="449">
        <v>29</v>
      </c>
      <c r="B118" s="449" t="s">
        <v>890</v>
      </c>
      <c r="C118" s="184">
        <v>44074</v>
      </c>
      <c r="D118" s="102" t="s">
        <v>55</v>
      </c>
      <c r="E118" s="103" t="s">
        <v>105</v>
      </c>
      <c r="F118" s="23" t="s">
        <v>162</v>
      </c>
      <c r="G118" s="104">
        <v>3</v>
      </c>
      <c r="H118" s="457"/>
      <c r="I118" s="457"/>
      <c r="J118" s="457"/>
      <c r="K118" s="104" t="s">
        <v>98</v>
      </c>
      <c r="L118" s="104" t="s">
        <v>31</v>
      </c>
      <c r="M118" s="104">
        <v>120</v>
      </c>
      <c r="N118" s="167"/>
      <c r="O118" s="90"/>
      <c r="P118" s="136"/>
      <c r="Q118" s="89"/>
      <c r="R118" s="89"/>
      <c r="S118" s="89"/>
      <c r="T118" s="89"/>
      <c r="U118" s="90" t="s">
        <v>70</v>
      </c>
      <c r="V118" s="89" t="s">
        <v>29</v>
      </c>
      <c r="W118" s="89"/>
      <c r="X118" s="89"/>
      <c r="Y118" s="90" t="s">
        <v>598</v>
      </c>
      <c r="Z118" s="90"/>
      <c r="AA118" s="38"/>
      <c r="AB118" s="39" t="e">
        <f t="shared" si="6"/>
        <v>#REF!</v>
      </c>
      <c r="AE118" s="6"/>
    </row>
    <row r="119" spans="1:31" s="449" customFormat="1" ht="39.4" customHeight="1">
      <c r="A119" s="449">
        <v>29</v>
      </c>
      <c r="B119" s="449" t="s">
        <v>890</v>
      </c>
      <c r="C119" s="184">
        <v>44074</v>
      </c>
      <c r="D119" s="102" t="s">
        <v>56</v>
      </c>
      <c r="E119" s="103" t="s">
        <v>85</v>
      </c>
      <c r="F119" s="23" t="s">
        <v>169</v>
      </c>
      <c r="G119" s="104">
        <v>2</v>
      </c>
      <c r="H119" s="457"/>
      <c r="I119" s="457"/>
      <c r="J119" s="457"/>
      <c r="K119" s="104" t="s">
        <v>98</v>
      </c>
      <c r="L119" s="104" t="s">
        <v>31</v>
      </c>
      <c r="M119" s="104">
        <v>120</v>
      </c>
      <c r="N119" s="167"/>
      <c r="O119" s="90"/>
      <c r="P119" s="136"/>
      <c r="Q119" s="89"/>
      <c r="R119" s="89"/>
      <c r="S119" s="89"/>
      <c r="T119" s="89"/>
      <c r="U119" s="90" t="s">
        <v>70</v>
      </c>
      <c r="V119" s="89" t="s">
        <v>29</v>
      </c>
      <c r="W119" s="89"/>
      <c r="X119" s="89"/>
      <c r="Y119" s="90" t="s">
        <v>599</v>
      </c>
      <c r="Z119" s="90"/>
      <c r="AA119" s="38"/>
      <c r="AB119" s="39" t="e">
        <f t="shared" si="6"/>
        <v>#REF!</v>
      </c>
      <c r="AE119" s="6"/>
    </row>
    <row r="120" spans="1:31" s="449" customFormat="1" ht="39.4" customHeight="1">
      <c r="A120" s="449">
        <v>29</v>
      </c>
      <c r="B120" s="449" t="s">
        <v>890</v>
      </c>
      <c r="C120" s="184">
        <v>44074</v>
      </c>
      <c r="D120" s="102" t="s">
        <v>57</v>
      </c>
      <c r="E120" s="103" t="s">
        <v>578</v>
      </c>
      <c r="F120" s="23" t="s">
        <v>579</v>
      </c>
      <c r="G120" s="104">
        <v>1</v>
      </c>
      <c r="H120" s="457"/>
      <c r="I120" s="457"/>
      <c r="J120" s="457"/>
      <c r="K120" s="104" t="s">
        <v>98</v>
      </c>
      <c r="L120" s="104" t="s">
        <v>18</v>
      </c>
      <c r="M120" s="104">
        <v>220</v>
      </c>
      <c r="N120" s="167"/>
      <c r="O120" s="90"/>
      <c r="P120" s="136"/>
      <c r="Q120" s="89"/>
      <c r="R120" s="89"/>
      <c r="S120" s="89"/>
      <c r="T120" s="89"/>
      <c r="U120" s="90" t="s">
        <v>70</v>
      </c>
      <c r="V120" s="89" t="s">
        <v>29</v>
      </c>
      <c r="W120" s="89" t="s">
        <v>29</v>
      </c>
      <c r="X120" s="89"/>
      <c r="Y120" s="90" t="s">
        <v>600</v>
      </c>
      <c r="Z120" s="90"/>
      <c r="AA120" s="38"/>
      <c r="AB120" s="39" t="e">
        <f t="shared" si="6"/>
        <v>#REF!</v>
      </c>
      <c r="AE120" s="6"/>
    </row>
    <row r="121" spans="1:31" s="449" customFormat="1" ht="39.4" customHeight="1">
      <c r="A121" s="449">
        <v>29</v>
      </c>
      <c r="B121" s="449" t="s">
        <v>890</v>
      </c>
      <c r="C121" s="184">
        <v>44074</v>
      </c>
      <c r="D121" s="102" t="s">
        <v>58</v>
      </c>
      <c r="E121" s="103" t="s">
        <v>601</v>
      </c>
      <c r="F121" s="23" t="s">
        <v>602</v>
      </c>
      <c r="G121" s="104">
        <v>1</v>
      </c>
      <c r="H121" s="457"/>
      <c r="I121" s="457"/>
      <c r="J121" s="457"/>
      <c r="K121" s="104" t="s">
        <v>98</v>
      </c>
      <c r="L121" s="104" t="s">
        <v>18</v>
      </c>
      <c r="M121" s="104">
        <v>220</v>
      </c>
      <c r="N121" s="167"/>
      <c r="O121" s="90"/>
      <c r="P121" s="136"/>
      <c r="Q121" s="89"/>
      <c r="R121" s="89"/>
      <c r="S121" s="89"/>
      <c r="T121" s="89"/>
      <c r="U121" s="90" t="s">
        <v>70</v>
      </c>
      <c r="V121" s="89" t="s">
        <v>29</v>
      </c>
      <c r="W121" s="89" t="s">
        <v>29</v>
      </c>
      <c r="X121" s="89"/>
      <c r="Y121" s="90" t="s">
        <v>603</v>
      </c>
      <c r="Z121" s="90"/>
      <c r="AA121" s="38"/>
      <c r="AB121" s="39" t="e">
        <f t="shared" si="6"/>
        <v>#REF!</v>
      </c>
      <c r="AE121" s="6"/>
    </row>
    <row r="122" spans="1:31" s="449" customFormat="1" ht="39.4" customHeight="1">
      <c r="A122" s="449">
        <v>29</v>
      </c>
      <c r="B122" s="449" t="s">
        <v>890</v>
      </c>
      <c r="C122" s="184">
        <v>44074</v>
      </c>
      <c r="D122" s="102" t="s">
        <v>59</v>
      </c>
      <c r="E122" s="103" t="s">
        <v>221</v>
      </c>
      <c r="F122" s="23" t="s">
        <v>222</v>
      </c>
      <c r="G122" s="104">
        <v>1</v>
      </c>
      <c r="H122" s="457"/>
      <c r="I122" s="457"/>
      <c r="J122" s="457"/>
      <c r="K122" s="104" t="s">
        <v>79</v>
      </c>
      <c r="L122" s="104" t="s">
        <v>28</v>
      </c>
      <c r="M122" s="104">
        <v>230</v>
      </c>
      <c r="N122" s="167"/>
      <c r="O122" s="90"/>
      <c r="P122" s="136"/>
      <c r="Q122" s="89"/>
      <c r="R122" s="89"/>
      <c r="S122" s="89"/>
      <c r="T122" s="89"/>
      <c r="U122" s="90" t="s">
        <v>70</v>
      </c>
      <c r="V122" s="89" t="s">
        <v>29</v>
      </c>
      <c r="W122" s="89"/>
      <c r="X122" s="89"/>
      <c r="Y122" s="90" t="s">
        <v>604</v>
      </c>
      <c r="Z122" s="90"/>
      <c r="AA122" s="38"/>
      <c r="AB122" s="39" t="e">
        <f>IF(E122=E120,AB120,AB120+1)</f>
        <v>#REF!</v>
      </c>
      <c r="AE122" s="6"/>
    </row>
    <row r="123" spans="1:31" s="449" customFormat="1" ht="39.4" customHeight="1">
      <c r="A123" s="449">
        <v>31</v>
      </c>
      <c r="B123" s="449" t="s">
        <v>889</v>
      </c>
      <c r="C123" s="184">
        <v>44074</v>
      </c>
      <c r="D123" s="102" t="s">
        <v>59</v>
      </c>
      <c r="E123" s="103" t="s">
        <v>221</v>
      </c>
      <c r="F123" s="23" t="s">
        <v>222</v>
      </c>
      <c r="G123" s="104">
        <v>26</v>
      </c>
      <c r="H123" s="457"/>
      <c r="I123" s="457"/>
      <c r="J123" s="457"/>
      <c r="K123" s="104" t="s">
        <v>79</v>
      </c>
      <c r="L123" s="104" t="s">
        <v>28</v>
      </c>
      <c r="M123" s="104">
        <v>230</v>
      </c>
      <c r="N123" s="167"/>
      <c r="O123" s="90"/>
      <c r="P123" s="136"/>
      <c r="Q123" s="89"/>
      <c r="R123" s="89"/>
      <c r="S123" s="89"/>
      <c r="T123" s="89"/>
      <c r="U123" s="90" t="s">
        <v>70</v>
      </c>
      <c r="V123" s="89" t="s">
        <v>29</v>
      </c>
      <c r="W123" s="89"/>
      <c r="X123" s="89"/>
      <c r="Y123" s="90" t="s">
        <v>604</v>
      </c>
      <c r="Z123" s="90"/>
      <c r="AA123" s="38"/>
      <c r="AB123" s="39" t="e">
        <f>IF(E123=E121,AB121,AB121+1)</f>
        <v>#REF!</v>
      </c>
      <c r="AE123" s="6"/>
    </row>
    <row r="124" spans="1:31" s="449" customFormat="1" ht="39.4" customHeight="1">
      <c r="A124" s="449">
        <v>31</v>
      </c>
      <c r="B124" s="449" t="s">
        <v>889</v>
      </c>
      <c r="C124" s="184">
        <v>44074</v>
      </c>
      <c r="D124" s="102" t="s">
        <v>60</v>
      </c>
      <c r="E124" s="103" t="s">
        <v>81</v>
      </c>
      <c r="F124" s="23" t="s">
        <v>151</v>
      </c>
      <c r="G124" s="104">
        <v>99</v>
      </c>
      <c r="H124" s="457"/>
      <c r="I124" s="457"/>
      <c r="J124" s="457"/>
      <c r="K124" s="104" t="s">
        <v>79</v>
      </c>
      <c r="L124" s="104" t="s">
        <v>28</v>
      </c>
      <c r="M124" s="104">
        <v>230</v>
      </c>
      <c r="N124" s="167"/>
      <c r="O124" s="90"/>
      <c r="P124" s="136"/>
      <c r="Q124" s="89"/>
      <c r="R124" s="89"/>
      <c r="S124" s="89"/>
      <c r="T124" s="89"/>
      <c r="U124" s="90" t="s">
        <v>70</v>
      </c>
      <c r="V124" s="89" t="s">
        <v>29</v>
      </c>
      <c r="W124" s="89"/>
      <c r="X124" s="89"/>
      <c r="Y124" s="90" t="s">
        <v>605</v>
      </c>
      <c r="Z124" s="90"/>
      <c r="AA124" s="38"/>
      <c r="AB124" s="39" t="e">
        <f>IF(E124=E123,AB123,AB123+1)</f>
        <v>#REF!</v>
      </c>
      <c r="AE124" s="6"/>
    </row>
    <row r="125" spans="1:31" s="449" customFormat="1" ht="39.4" customHeight="1">
      <c r="A125" s="449">
        <v>31</v>
      </c>
      <c r="B125" s="449" t="s">
        <v>889</v>
      </c>
      <c r="C125" s="184">
        <v>44074</v>
      </c>
      <c r="D125" s="102" t="s">
        <v>61</v>
      </c>
      <c r="E125" s="103" t="s">
        <v>92</v>
      </c>
      <c r="F125" s="23" t="s">
        <v>159</v>
      </c>
      <c r="G125" s="104">
        <v>10</v>
      </c>
      <c r="H125" s="457"/>
      <c r="I125" s="457"/>
      <c r="J125" s="457"/>
      <c r="K125" s="104" t="s">
        <v>79</v>
      </c>
      <c r="L125" s="104" t="s">
        <v>31</v>
      </c>
      <c r="M125" s="104">
        <v>120</v>
      </c>
      <c r="N125" s="167"/>
      <c r="O125" s="90"/>
      <c r="P125" s="136"/>
      <c r="Q125" s="89"/>
      <c r="R125" s="89"/>
      <c r="S125" s="89"/>
      <c r="T125" s="89"/>
      <c r="U125" s="90" t="s">
        <v>70</v>
      </c>
      <c r="V125" s="89" t="s">
        <v>29</v>
      </c>
      <c r="W125" s="89"/>
      <c r="X125" s="89"/>
      <c r="Y125" s="90" t="s">
        <v>606</v>
      </c>
      <c r="Z125" s="90"/>
      <c r="AA125" s="38"/>
      <c r="AB125" s="39" t="e">
        <f>IF(E125=E124,AB124,AB124+1)</f>
        <v>#REF!</v>
      </c>
      <c r="AE125" s="6"/>
    </row>
    <row r="126" spans="1:31" s="449" customFormat="1" ht="39.4" customHeight="1">
      <c r="A126" s="449">
        <v>31</v>
      </c>
      <c r="B126" s="449" t="s">
        <v>889</v>
      </c>
      <c r="C126" s="184">
        <v>44074</v>
      </c>
      <c r="D126" s="102" t="s">
        <v>63</v>
      </c>
      <c r="E126" s="103" t="s">
        <v>90</v>
      </c>
      <c r="F126" s="23" t="s">
        <v>148</v>
      </c>
      <c r="G126" s="104">
        <v>15</v>
      </c>
      <c r="H126" s="457"/>
      <c r="I126" s="457"/>
      <c r="J126" s="457"/>
      <c r="K126" s="104" t="s">
        <v>79</v>
      </c>
      <c r="L126" s="104" t="s">
        <v>31</v>
      </c>
      <c r="M126" s="104">
        <v>120</v>
      </c>
      <c r="N126" s="167"/>
      <c r="O126" s="90"/>
      <c r="P126" s="136"/>
      <c r="Q126" s="89"/>
      <c r="R126" s="89"/>
      <c r="S126" s="89"/>
      <c r="T126" s="89" t="s">
        <v>29</v>
      </c>
      <c r="U126" s="90" t="s">
        <v>70</v>
      </c>
      <c r="V126" s="89"/>
      <c r="W126" s="89"/>
      <c r="X126" s="89"/>
      <c r="Y126" s="90" t="s">
        <v>607</v>
      </c>
      <c r="Z126" s="90"/>
      <c r="AA126" s="38"/>
      <c r="AB126" s="39" t="e">
        <f>IF(E126=E124,AB124,AB124+1)</f>
        <v>#REF!</v>
      </c>
      <c r="AE126" s="6"/>
    </row>
    <row r="127" spans="1:31" s="449" customFormat="1" ht="39.4" customHeight="1">
      <c r="A127" s="449">
        <v>31</v>
      </c>
      <c r="B127" s="449" t="s">
        <v>890</v>
      </c>
      <c r="C127" s="184">
        <v>44074</v>
      </c>
      <c r="D127" s="102" t="s">
        <v>63</v>
      </c>
      <c r="E127" s="103" t="s">
        <v>90</v>
      </c>
      <c r="F127" s="23" t="s">
        <v>148</v>
      </c>
      <c r="G127" s="104">
        <v>40</v>
      </c>
      <c r="H127" s="457"/>
      <c r="I127" s="457"/>
      <c r="J127" s="457"/>
      <c r="K127" s="104" t="s">
        <v>79</v>
      </c>
      <c r="L127" s="104" t="s">
        <v>31</v>
      </c>
      <c r="M127" s="104">
        <v>120</v>
      </c>
      <c r="N127" s="167"/>
      <c r="O127" s="90"/>
      <c r="P127" s="136"/>
      <c r="Q127" s="89"/>
      <c r="R127" s="89"/>
      <c r="S127" s="89"/>
      <c r="T127" s="89" t="s">
        <v>29</v>
      </c>
      <c r="U127" s="90" t="s">
        <v>70</v>
      </c>
      <c r="V127" s="89"/>
      <c r="W127" s="89"/>
      <c r="X127" s="89"/>
      <c r="Y127" s="90" t="s">
        <v>607</v>
      </c>
      <c r="Z127" s="90"/>
      <c r="AA127" s="38"/>
      <c r="AB127" s="39" t="e">
        <f>IF(E127=E125,AB125,AB125+1)</f>
        <v>#REF!</v>
      </c>
      <c r="AE127" s="6"/>
    </row>
    <row r="128" spans="1:31" s="449" customFormat="1" ht="39.4" customHeight="1">
      <c r="A128" s="449">
        <v>31</v>
      </c>
      <c r="B128" s="449" t="s">
        <v>890</v>
      </c>
      <c r="C128" s="184">
        <v>44074</v>
      </c>
      <c r="D128" s="102" t="s">
        <v>62</v>
      </c>
      <c r="E128" s="103" t="s">
        <v>186</v>
      </c>
      <c r="F128" s="23" t="s">
        <v>187</v>
      </c>
      <c r="G128" s="104">
        <v>17</v>
      </c>
      <c r="H128" s="457"/>
      <c r="I128" s="457"/>
      <c r="J128" s="457"/>
      <c r="K128" s="104" t="s">
        <v>79</v>
      </c>
      <c r="L128" s="104" t="s">
        <v>49</v>
      </c>
      <c r="M128" s="104">
        <v>100</v>
      </c>
      <c r="N128" s="167"/>
      <c r="O128" s="90"/>
      <c r="P128" s="136"/>
      <c r="Q128" s="89"/>
      <c r="R128" s="89"/>
      <c r="S128" s="89"/>
      <c r="T128" s="89" t="s">
        <v>29</v>
      </c>
      <c r="U128" s="90" t="s">
        <v>70</v>
      </c>
      <c r="V128" s="89"/>
      <c r="W128" s="89" t="s">
        <v>29</v>
      </c>
      <c r="X128" s="89" t="s">
        <v>29</v>
      </c>
      <c r="Y128" s="90" t="s">
        <v>608</v>
      </c>
      <c r="Z128" s="90"/>
      <c r="AA128" s="38"/>
      <c r="AB128" s="39" t="e">
        <f t="shared" ref="AB128:AB134" si="7">IF(E128=E127,AB127,AB127+1)</f>
        <v>#REF!</v>
      </c>
      <c r="AE128" s="6"/>
    </row>
    <row r="129" spans="1:31" s="449" customFormat="1" ht="39.4" customHeight="1">
      <c r="A129" s="449">
        <v>31</v>
      </c>
      <c r="B129" s="449" t="s">
        <v>890</v>
      </c>
      <c r="C129" s="184">
        <v>44074</v>
      </c>
      <c r="D129" s="102" t="s">
        <v>65</v>
      </c>
      <c r="E129" s="103" t="s">
        <v>128</v>
      </c>
      <c r="F129" s="23" t="s">
        <v>167</v>
      </c>
      <c r="G129" s="104">
        <v>20</v>
      </c>
      <c r="H129" s="457"/>
      <c r="I129" s="457"/>
      <c r="J129" s="457"/>
      <c r="K129" s="104" t="s">
        <v>79</v>
      </c>
      <c r="L129" s="104" t="s">
        <v>49</v>
      </c>
      <c r="M129" s="104">
        <v>100</v>
      </c>
      <c r="N129" s="167"/>
      <c r="O129" s="90"/>
      <c r="P129" s="136"/>
      <c r="Q129" s="89"/>
      <c r="R129" s="89"/>
      <c r="S129" s="89"/>
      <c r="T129" s="89" t="s">
        <v>29</v>
      </c>
      <c r="U129" s="90" t="s">
        <v>70</v>
      </c>
      <c r="V129" s="89"/>
      <c r="W129" s="89" t="s">
        <v>29</v>
      </c>
      <c r="X129" s="89" t="s">
        <v>29</v>
      </c>
      <c r="Y129" s="90" t="s">
        <v>609</v>
      </c>
      <c r="Z129" s="90"/>
      <c r="AA129" s="38"/>
      <c r="AB129" s="39" t="e">
        <f t="shared" si="7"/>
        <v>#REF!</v>
      </c>
      <c r="AE129" s="6"/>
    </row>
    <row r="130" spans="1:31" s="449" customFormat="1" ht="39.4" customHeight="1">
      <c r="A130" s="449">
        <v>31</v>
      </c>
      <c r="B130" s="449" t="s">
        <v>890</v>
      </c>
      <c r="C130" s="184">
        <v>44074</v>
      </c>
      <c r="D130" s="102" t="s">
        <v>66</v>
      </c>
      <c r="E130" s="103" t="s">
        <v>123</v>
      </c>
      <c r="F130" s="23" t="s">
        <v>158</v>
      </c>
      <c r="G130" s="104">
        <v>3</v>
      </c>
      <c r="H130" s="457"/>
      <c r="I130" s="457"/>
      <c r="J130" s="457"/>
      <c r="K130" s="104" t="s">
        <v>124</v>
      </c>
      <c r="L130" s="104" t="s">
        <v>18</v>
      </c>
      <c r="M130" s="104">
        <v>220</v>
      </c>
      <c r="N130" s="167"/>
      <c r="O130" s="90"/>
      <c r="P130" s="136"/>
      <c r="Q130" s="89"/>
      <c r="R130" s="89" t="s">
        <v>29</v>
      </c>
      <c r="S130" s="89"/>
      <c r="T130" s="89"/>
      <c r="U130" s="89" t="s">
        <v>29</v>
      </c>
      <c r="V130" s="89"/>
      <c r="W130" s="89" t="s">
        <v>29</v>
      </c>
      <c r="X130" s="89"/>
      <c r="Y130" s="90" t="s">
        <v>610</v>
      </c>
      <c r="Z130" s="90"/>
      <c r="AA130" s="38"/>
      <c r="AB130" s="39" t="e">
        <f t="shared" si="7"/>
        <v>#REF!</v>
      </c>
      <c r="AE130" s="6"/>
    </row>
    <row r="131" spans="1:31" s="449" customFormat="1" ht="39.4" customHeight="1">
      <c r="A131" s="449">
        <v>31</v>
      </c>
      <c r="B131" s="449" t="s">
        <v>890</v>
      </c>
      <c r="C131" s="184">
        <v>44074</v>
      </c>
      <c r="D131" s="102" t="s">
        <v>223</v>
      </c>
      <c r="E131" s="103" t="s">
        <v>103</v>
      </c>
      <c r="F131" s="23" t="s">
        <v>156</v>
      </c>
      <c r="G131" s="104">
        <v>28</v>
      </c>
      <c r="H131" s="457"/>
      <c r="I131" s="457"/>
      <c r="J131" s="457"/>
      <c r="K131" s="104" t="s">
        <v>67</v>
      </c>
      <c r="L131" s="104" t="s">
        <v>30</v>
      </c>
      <c r="M131" s="104">
        <v>230</v>
      </c>
      <c r="N131" s="167"/>
      <c r="O131" s="90"/>
      <c r="P131" s="136"/>
      <c r="Q131" s="89"/>
      <c r="R131" s="89"/>
      <c r="S131" s="89"/>
      <c r="T131" s="89"/>
      <c r="U131" s="89"/>
      <c r="V131" s="89" t="s">
        <v>29</v>
      </c>
      <c r="W131" s="89"/>
      <c r="X131" s="89"/>
      <c r="Y131" s="90" t="s">
        <v>611</v>
      </c>
      <c r="Z131" s="90"/>
      <c r="AA131" s="38"/>
      <c r="AB131" s="39" t="e">
        <f t="shared" si="7"/>
        <v>#REF!</v>
      </c>
      <c r="AE131" s="6"/>
    </row>
    <row r="132" spans="1:31" s="449" customFormat="1" ht="39.4" customHeight="1">
      <c r="A132" s="449">
        <v>31</v>
      </c>
      <c r="B132" s="449" t="s">
        <v>890</v>
      </c>
      <c r="C132" s="184">
        <v>44074</v>
      </c>
      <c r="D132" s="102" t="s">
        <v>224</v>
      </c>
      <c r="E132" s="103" t="s">
        <v>188</v>
      </c>
      <c r="F132" s="23" t="s">
        <v>153</v>
      </c>
      <c r="G132" s="104">
        <v>21</v>
      </c>
      <c r="H132" s="457"/>
      <c r="I132" s="457"/>
      <c r="J132" s="457"/>
      <c r="K132" s="104" t="s">
        <v>67</v>
      </c>
      <c r="L132" s="104" t="s">
        <v>41</v>
      </c>
      <c r="M132" s="104">
        <v>230</v>
      </c>
      <c r="N132" s="167"/>
      <c r="O132" s="90"/>
      <c r="P132" s="136" t="s">
        <v>47</v>
      </c>
      <c r="Q132" s="89"/>
      <c r="R132" s="89"/>
      <c r="S132" s="89"/>
      <c r="T132" s="89"/>
      <c r="U132" s="89" t="s">
        <v>29</v>
      </c>
      <c r="V132" s="89"/>
      <c r="W132" s="89"/>
      <c r="X132" s="89"/>
      <c r="Y132" s="90" t="s">
        <v>612</v>
      </c>
      <c r="Z132" s="90"/>
      <c r="AA132" s="38"/>
      <c r="AB132" s="39" t="e">
        <f t="shared" si="7"/>
        <v>#REF!</v>
      </c>
      <c r="AE132" s="6"/>
    </row>
    <row r="133" spans="1:31" s="449" customFormat="1" ht="39.4" customHeight="1">
      <c r="A133" s="449">
        <v>31</v>
      </c>
      <c r="B133" s="449" t="s">
        <v>890</v>
      </c>
      <c r="C133" s="116">
        <v>44075</v>
      </c>
      <c r="D133" s="102" t="s">
        <v>54</v>
      </c>
      <c r="E133" s="103" t="s">
        <v>188</v>
      </c>
      <c r="F133" s="23" t="s">
        <v>153</v>
      </c>
      <c r="G133" s="104">
        <v>16</v>
      </c>
      <c r="H133" s="457"/>
      <c r="I133" s="457"/>
      <c r="J133" s="457"/>
      <c r="K133" s="104" t="s">
        <v>67</v>
      </c>
      <c r="L133" s="104" t="s">
        <v>41</v>
      </c>
      <c r="M133" s="104">
        <v>230</v>
      </c>
      <c r="N133" s="167"/>
      <c r="O133" s="90"/>
      <c r="P133" s="136" t="s">
        <v>47</v>
      </c>
      <c r="Q133" s="89"/>
      <c r="R133" s="89"/>
      <c r="S133" s="89"/>
      <c r="T133" s="89"/>
      <c r="U133" s="89" t="s">
        <v>29</v>
      </c>
      <c r="V133" s="89"/>
      <c r="W133" s="89"/>
      <c r="X133" s="89"/>
      <c r="Y133" s="90" t="s">
        <v>613</v>
      </c>
      <c r="Z133" s="90"/>
      <c r="AA133" s="38"/>
      <c r="AB133" s="39" t="e">
        <f t="shared" si="7"/>
        <v>#REF!</v>
      </c>
      <c r="AE133" s="6"/>
    </row>
    <row r="134" spans="1:31" s="449" customFormat="1" ht="39.4" customHeight="1">
      <c r="A134" s="449">
        <v>31</v>
      </c>
      <c r="B134" s="449" t="s">
        <v>890</v>
      </c>
      <c r="C134" s="184">
        <v>44075</v>
      </c>
      <c r="D134" s="102" t="s">
        <v>55</v>
      </c>
      <c r="E134" s="103" t="s">
        <v>182</v>
      </c>
      <c r="F134" s="23" t="s">
        <v>183</v>
      </c>
      <c r="G134" s="104">
        <v>4</v>
      </c>
      <c r="H134" s="457"/>
      <c r="I134" s="457"/>
      <c r="J134" s="457"/>
      <c r="K134" s="104" t="s">
        <v>98</v>
      </c>
      <c r="L134" s="104" t="s">
        <v>31</v>
      </c>
      <c r="M134" s="104">
        <v>120</v>
      </c>
      <c r="N134" s="167"/>
      <c r="O134" s="90"/>
      <c r="P134" s="136"/>
      <c r="Q134" s="89"/>
      <c r="R134" s="89"/>
      <c r="S134" s="89"/>
      <c r="T134" s="89" t="s">
        <v>29</v>
      </c>
      <c r="U134" s="90" t="s">
        <v>70</v>
      </c>
      <c r="V134" s="89"/>
      <c r="W134" s="89"/>
      <c r="X134" s="89"/>
      <c r="Y134" s="90" t="s">
        <v>614</v>
      </c>
      <c r="Z134" s="90"/>
      <c r="AA134" s="38"/>
      <c r="AB134" s="39" t="e">
        <f t="shared" si="7"/>
        <v>#REF!</v>
      </c>
      <c r="AE134" s="6"/>
    </row>
    <row r="135" spans="1:31" s="449" customFormat="1" ht="39.4" customHeight="1">
      <c r="A135" s="449">
        <v>31</v>
      </c>
      <c r="B135" s="449" t="s">
        <v>890</v>
      </c>
      <c r="C135" s="184">
        <v>44075</v>
      </c>
      <c r="D135" s="102" t="s">
        <v>56</v>
      </c>
      <c r="E135" s="103" t="s">
        <v>184</v>
      </c>
      <c r="F135" s="23" t="s">
        <v>185</v>
      </c>
      <c r="G135" s="104">
        <v>1</v>
      </c>
      <c r="H135" s="457"/>
      <c r="I135" s="457"/>
      <c r="J135" s="457"/>
      <c r="K135" s="104" t="s">
        <v>98</v>
      </c>
      <c r="L135" s="104" t="s">
        <v>31</v>
      </c>
      <c r="M135" s="104">
        <v>120</v>
      </c>
      <c r="N135" s="167"/>
      <c r="O135" s="90"/>
      <c r="P135" s="136"/>
      <c r="Q135" s="89"/>
      <c r="R135" s="89"/>
      <c r="S135" s="89"/>
      <c r="T135" s="89" t="s">
        <v>29</v>
      </c>
      <c r="U135" s="90" t="s">
        <v>70</v>
      </c>
      <c r="V135" s="89"/>
      <c r="W135" s="89"/>
      <c r="X135" s="89"/>
      <c r="Y135" s="90" t="s">
        <v>615</v>
      </c>
      <c r="Z135" s="90"/>
      <c r="AA135" s="38"/>
      <c r="AB135" s="39" t="e">
        <f>IF(E135=E133,AB133,AB133+1)</f>
        <v>#REF!</v>
      </c>
      <c r="AE135" s="6"/>
    </row>
    <row r="136" spans="1:31" s="449" customFormat="1" ht="39.4" customHeight="1">
      <c r="A136" s="449">
        <v>1</v>
      </c>
      <c r="B136" s="449" t="s">
        <v>889</v>
      </c>
      <c r="C136" s="184">
        <v>44075</v>
      </c>
      <c r="D136" s="102" t="s">
        <v>56</v>
      </c>
      <c r="E136" s="103" t="s">
        <v>184</v>
      </c>
      <c r="F136" s="23" t="s">
        <v>185</v>
      </c>
      <c r="G136" s="104">
        <v>2</v>
      </c>
      <c r="H136" s="457"/>
      <c r="I136" s="457"/>
      <c r="J136" s="457"/>
      <c r="K136" s="104" t="s">
        <v>98</v>
      </c>
      <c r="L136" s="104" t="s">
        <v>31</v>
      </c>
      <c r="M136" s="104">
        <v>120</v>
      </c>
      <c r="N136" s="167"/>
      <c r="O136" s="90"/>
      <c r="P136" s="136"/>
      <c r="Q136" s="89"/>
      <c r="R136" s="89"/>
      <c r="S136" s="89"/>
      <c r="T136" s="89" t="s">
        <v>29</v>
      </c>
      <c r="U136" s="90" t="s">
        <v>70</v>
      </c>
      <c r="V136" s="89"/>
      <c r="W136" s="89"/>
      <c r="X136" s="89"/>
      <c r="Y136" s="90" t="s">
        <v>615</v>
      </c>
      <c r="Z136" s="90"/>
      <c r="AA136" s="38"/>
      <c r="AB136" s="39" t="e">
        <f>IF(E136=E134,AB134,AB134+1)</f>
        <v>#REF!</v>
      </c>
      <c r="AE136" s="6"/>
    </row>
    <row r="137" spans="1:31" s="449" customFormat="1" ht="39.4" customHeight="1">
      <c r="A137" s="449">
        <v>1</v>
      </c>
      <c r="B137" s="449" t="s">
        <v>889</v>
      </c>
      <c r="C137" s="184">
        <v>44075</v>
      </c>
      <c r="D137" s="102" t="s">
        <v>57</v>
      </c>
      <c r="E137" s="103" t="s">
        <v>227</v>
      </c>
      <c r="F137" s="23" t="s">
        <v>228</v>
      </c>
      <c r="G137" s="104">
        <v>28</v>
      </c>
      <c r="H137" s="457"/>
      <c r="I137" s="457"/>
      <c r="J137" s="457"/>
      <c r="K137" s="104" t="s">
        <v>79</v>
      </c>
      <c r="L137" s="104" t="s">
        <v>30</v>
      </c>
      <c r="M137" s="104">
        <v>230</v>
      </c>
      <c r="N137" s="167"/>
      <c r="O137" s="90"/>
      <c r="P137" s="136"/>
      <c r="Q137" s="89"/>
      <c r="R137" s="89"/>
      <c r="S137" s="89"/>
      <c r="T137" s="89"/>
      <c r="U137" s="90" t="s">
        <v>70</v>
      </c>
      <c r="V137" s="89" t="s">
        <v>29</v>
      </c>
      <c r="W137" s="89" t="s">
        <v>29</v>
      </c>
      <c r="X137" s="89"/>
      <c r="Y137" s="90" t="s">
        <v>616</v>
      </c>
      <c r="Z137" s="45"/>
      <c r="AA137" s="38"/>
      <c r="AB137" s="39" t="e">
        <f>IF(E137=E136,AB136,AB136+1)</f>
        <v>#REF!</v>
      </c>
      <c r="AE137" s="6"/>
    </row>
    <row r="138" spans="1:31" s="449" customFormat="1" ht="39.4" customHeight="1">
      <c r="A138" s="449">
        <v>1</v>
      </c>
      <c r="B138" s="449" t="s">
        <v>889</v>
      </c>
      <c r="C138" s="184">
        <v>44075</v>
      </c>
      <c r="D138" s="102" t="s">
        <v>58</v>
      </c>
      <c r="E138" s="103" t="s">
        <v>92</v>
      </c>
      <c r="F138" s="23" t="s">
        <v>159</v>
      </c>
      <c r="G138" s="104">
        <v>73</v>
      </c>
      <c r="H138" s="457"/>
      <c r="I138" s="457"/>
      <c r="J138" s="457"/>
      <c r="K138" s="104" t="s">
        <v>79</v>
      </c>
      <c r="L138" s="104" t="s">
        <v>31</v>
      </c>
      <c r="M138" s="104">
        <v>120</v>
      </c>
      <c r="N138" s="167"/>
      <c r="O138" s="90"/>
      <c r="P138" s="136"/>
      <c r="Q138" s="89"/>
      <c r="R138" s="89"/>
      <c r="S138" s="89"/>
      <c r="T138" s="89"/>
      <c r="U138" s="90" t="s">
        <v>70</v>
      </c>
      <c r="V138" s="89" t="s">
        <v>29</v>
      </c>
      <c r="W138" s="89"/>
      <c r="X138" s="89"/>
      <c r="Y138" s="90" t="s">
        <v>617</v>
      </c>
      <c r="Z138" s="45"/>
      <c r="AA138" s="38"/>
      <c r="AB138" s="39" t="e">
        <f>IF(E138=E137,AB137,AB137+1)</f>
        <v>#REF!</v>
      </c>
      <c r="AE138" s="6"/>
    </row>
    <row r="139" spans="1:31" s="449" customFormat="1" ht="39.4" customHeight="1">
      <c r="A139" s="449">
        <v>1</v>
      </c>
      <c r="B139" s="449" t="s">
        <v>889</v>
      </c>
      <c r="C139" s="184">
        <v>44075</v>
      </c>
      <c r="D139" s="102" t="s">
        <v>59</v>
      </c>
      <c r="E139" s="103" t="s">
        <v>83</v>
      </c>
      <c r="F139" s="23" t="s">
        <v>166</v>
      </c>
      <c r="G139" s="104">
        <v>35</v>
      </c>
      <c r="H139" s="457"/>
      <c r="I139" s="457"/>
      <c r="J139" s="457"/>
      <c r="K139" s="104" t="s">
        <v>79</v>
      </c>
      <c r="L139" s="104" t="s">
        <v>30</v>
      </c>
      <c r="M139" s="104">
        <v>230</v>
      </c>
      <c r="N139" s="167"/>
      <c r="O139" s="90"/>
      <c r="P139" s="136"/>
      <c r="Q139" s="89"/>
      <c r="R139" s="89"/>
      <c r="S139" s="89"/>
      <c r="T139" s="89"/>
      <c r="U139" s="90" t="s">
        <v>70</v>
      </c>
      <c r="V139" s="89" t="s">
        <v>29</v>
      </c>
      <c r="W139" s="89"/>
      <c r="X139" s="89"/>
      <c r="Y139" s="90" t="s">
        <v>618</v>
      </c>
      <c r="Z139" s="45"/>
      <c r="AA139" s="38"/>
      <c r="AB139" s="39" t="e">
        <f>IF(E139=E138,AB138,AB138+1)</f>
        <v>#REF!</v>
      </c>
      <c r="AE139" s="6"/>
    </row>
    <row r="140" spans="1:31" s="449" customFormat="1" ht="39.4" customHeight="1">
      <c r="A140" s="449">
        <v>1</v>
      </c>
      <c r="B140" s="449" t="s">
        <v>889</v>
      </c>
      <c r="C140" s="184">
        <v>44075</v>
      </c>
      <c r="D140" s="102" t="s">
        <v>60</v>
      </c>
      <c r="E140" s="103" t="s">
        <v>90</v>
      </c>
      <c r="F140" s="23" t="s">
        <v>148</v>
      </c>
      <c r="G140" s="104">
        <v>10</v>
      </c>
      <c r="H140" s="457"/>
      <c r="I140" s="457"/>
      <c r="J140" s="457"/>
      <c r="K140" s="104" t="s">
        <v>79</v>
      </c>
      <c r="L140" s="104" t="s">
        <v>31</v>
      </c>
      <c r="M140" s="104">
        <v>120</v>
      </c>
      <c r="N140" s="167"/>
      <c r="O140" s="90"/>
      <c r="P140" s="136"/>
      <c r="Q140" s="89"/>
      <c r="R140" s="89"/>
      <c r="S140" s="89"/>
      <c r="T140" s="89" t="s">
        <v>29</v>
      </c>
      <c r="U140" s="90" t="s">
        <v>70</v>
      </c>
      <c r="V140" s="89"/>
      <c r="W140" s="89"/>
      <c r="X140" s="89"/>
      <c r="Y140" s="90" t="s">
        <v>619</v>
      </c>
      <c r="Z140" s="45"/>
      <c r="AA140" s="38"/>
      <c r="AB140" s="39" t="e">
        <f>IF(E140=E138,AB138,AB138+1)</f>
        <v>#REF!</v>
      </c>
      <c r="AE140" s="6"/>
    </row>
    <row r="141" spans="1:31" s="449" customFormat="1" ht="39.4" customHeight="1">
      <c r="A141" s="449">
        <v>1</v>
      </c>
      <c r="B141" s="449" t="s">
        <v>890</v>
      </c>
      <c r="C141" s="184">
        <v>44075</v>
      </c>
      <c r="D141" s="102" t="s">
        <v>60</v>
      </c>
      <c r="E141" s="103" t="s">
        <v>90</v>
      </c>
      <c r="F141" s="23" t="s">
        <v>148</v>
      </c>
      <c r="G141" s="104">
        <v>75</v>
      </c>
      <c r="H141" s="457"/>
      <c r="I141" s="457"/>
      <c r="J141" s="457"/>
      <c r="K141" s="104" t="s">
        <v>79</v>
      </c>
      <c r="L141" s="104" t="s">
        <v>31</v>
      </c>
      <c r="M141" s="104">
        <v>120</v>
      </c>
      <c r="N141" s="167"/>
      <c r="O141" s="90"/>
      <c r="P141" s="136"/>
      <c r="Q141" s="89"/>
      <c r="R141" s="89"/>
      <c r="S141" s="89"/>
      <c r="T141" s="89" t="s">
        <v>29</v>
      </c>
      <c r="U141" s="90" t="s">
        <v>70</v>
      </c>
      <c r="V141" s="89"/>
      <c r="W141" s="89"/>
      <c r="X141" s="89"/>
      <c r="Y141" s="90" t="s">
        <v>619</v>
      </c>
      <c r="Z141" s="45"/>
      <c r="AA141" s="38"/>
      <c r="AB141" s="39" t="e">
        <f>IF(E141=E139,AB139,AB139+1)</f>
        <v>#REF!</v>
      </c>
      <c r="AE141" s="6"/>
    </row>
    <row r="142" spans="1:31" s="449" customFormat="1" ht="39.4" customHeight="1">
      <c r="A142" s="449">
        <v>1</v>
      </c>
      <c r="B142" s="449" t="s">
        <v>890</v>
      </c>
      <c r="C142" s="184">
        <v>44075</v>
      </c>
      <c r="D142" s="102" t="s">
        <v>61</v>
      </c>
      <c r="E142" s="103" t="s">
        <v>123</v>
      </c>
      <c r="F142" s="23" t="s">
        <v>158</v>
      </c>
      <c r="G142" s="104">
        <v>6</v>
      </c>
      <c r="H142" s="457"/>
      <c r="I142" s="457"/>
      <c r="J142" s="457"/>
      <c r="K142" s="104" t="s">
        <v>124</v>
      </c>
      <c r="L142" s="104" t="s">
        <v>18</v>
      </c>
      <c r="M142" s="104">
        <v>220</v>
      </c>
      <c r="N142" s="167"/>
      <c r="O142" s="90"/>
      <c r="P142" s="136"/>
      <c r="Q142" s="89"/>
      <c r="R142" s="89" t="s">
        <v>29</v>
      </c>
      <c r="S142" s="89"/>
      <c r="T142" s="89"/>
      <c r="U142" s="89" t="s">
        <v>29</v>
      </c>
      <c r="V142" s="89"/>
      <c r="W142" s="89" t="s">
        <v>29</v>
      </c>
      <c r="X142" s="89"/>
      <c r="Y142" s="90" t="s">
        <v>620</v>
      </c>
      <c r="Z142" s="45"/>
      <c r="AA142" s="38"/>
      <c r="AB142" s="39" t="e">
        <f t="shared" ref="AB142:AB148" si="8">IF(E142=E141,AB141,AB141+1)</f>
        <v>#REF!</v>
      </c>
      <c r="AE142" s="6"/>
    </row>
    <row r="143" spans="1:31" s="449" customFormat="1" ht="39.4" customHeight="1">
      <c r="A143" s="449">
        <v>1</v>
      </c>
      <c r="B143" s="449" t="s">
        <v>890</v>
      </c>
      <c r="C143" s="184">
        <v>44075</v>
      </c>
      <c r="D143" s="102" t="s">
        <v>63</v>
      </c>
      <c r="E143" s="103" t="s">
        <v>567</v>
      </c>
      <c r="F143" s="23" t="s">
        <v>568</v>
      </c>
      <c r="G143" s="104">
        <v>1</v>
      </c>
      <c r="H143" s="457"/>
      <c r="I143" s="457"/>
      <c r="J143" s="457"/>
      <c r="K143" s="104" t="s">
        <v>569</v>
      </c>
      <c r="L143" s="104" t="s">
        <v>18</v>
      </c>
      <c r="M143" s="104">
        <v>220</v>
      </c>
      <c r="N143" s="167"/>
      <c r="O143" s="90"/>
      <c r="P143" s="136"/>
      <c r="Q143" s="89"/>
      <c r="R143" s="89"/>
      <c r="S143" s="89"/>
      <c r="T143" s="89"/>
      <c r="U143" s="89"/>
      <c r="V143" s="89" t="s">
        <v>29</v>
      </c>
      <c r="W143" s="89" t="s">
        <v>29</v>
      </c>
      <c r="X143" s="89"/>
      <c r="Y143" s="90" t="s">
        <v>621</v>
      </c>
      <c r="Z143" s="45"/>
      <c r="AA143" s="38"/>
      <c r="AB143" s="39" t="e">
        <f t="shared" si="8"/>
        <v>#REF!</v>
      </c>
      <c r="AE143" s="6"/>
    </row>
    <row r="144" spans="1:31" s="449" customFormat="1" ht="39.4" customHeight="1">
      <c r="A144" s="449">
        <v>1</v>
      </c>
      <c r="B144" s="449" t="s">
        <v>890</v>
      </c>
      <c r="C144" s="184">
        <v>44075</v>
      </c>
      <c r="D144" s="102" t="s">
        <v>62</v>
      </c>
      <c r="E144" s="103" t="s">
        <v>103</v>
      </c>
      <c r="F144" s="23" t="s">
        <v>156</v>
      </c>
      <c r="G144" s="104">
        <v>36</v>
      </c>
      <c r="H144" s="457"/>
      <c r="I144" s="457"/>
      <c r="J144" s="457"/>
      <c r="K144" s="104" t="s">
        <v>67</v>
      </c>
      <c r="L144" s="104" t="s">
        <v>30</v>
      </c>
      <c r="M144" s="104">
        <v>230</v>
      </c>
      <c r="N144" s="167"/>
      <c r="O144" s="90"/>
      <c r="P144" s="136"/>
      <c r="Q144" s="89"/>
      <c r="R144" s="89"/>
      <c r="S144" s="89"/>
      <c r="T144" s="89"/>
      <c r="U144" s="89"/>
      <c r="V144" s="89" t="s">
        <v>29</v>
      </c>
      <c r="W144" s="89"/>
      <c r="X144" s="89"/>
      <c r="Y144" s="90" t="s">
        <v>622</v>
      </c>
      <c r="Z144" s="45"/>
      <c r="AA144" s="38"/>
      <c r="AB144" s="39" t="e">
        <f t="shared" si="8"/>
        <v>#REF!</v>
      </c>
      <c r="AE144" s="6"/>
    </row>
    <row r="145" spans="1:31" s="449" customFormat="1" ht="39.4" customHeight="1">
      <c r="A145" s="449">
        <v>1</v>
      </c>
      <c r="B145" s="449" t="s">
        <v>890</v>
      </c>
      <c r="C145" s="184">
        <v>44075</v>
      </c>
      <c r="D145" s="102" t="s">
        <v>65</v>
      </c>
      <c r="E145" s="103" t="s">
        <v>86</v>
      </c>
      <c r="F145" s="23" t="s">
        <v>153</v>
      </c>
      <c r="G145" s="104">
        <v>1</v>
      </c>
      <c r="H145" s="457"/>
      <c r="I145" s="457"/>
      <c r="J145" s="457"/>
      <c r="K145" s="104" t="s">
        <v>67</v>
      </c>
      <c r="L145" s="104" t="s">
        <v>30</v>
      </c>
      <c r="M145" s="104">
        <v>230</v>
      </c>
      <c r="N145" s="167"/>
      <c r="O145" s="90"/>
      <c r="P145" s="136"/>
      <c r="Q145" s="89"/>
      <c r="R145" s="89"/>
      <c r="S145" s="89"/>
      <c r="T145" s="89"/>
      <c r="U145" s="89"/>
      <c r="V145" s="89" t="s">
        <v>29</v>
      </c>
      <c r="W145" s="89"/>
      <c r="X145" s="89"/>
      <c r="Y145" s="90" t="s">
        <v>623</v>
      </c>
      <c r="Z145" s="45"/>
      <c r="AA145" s="38"/>
      <c r="AB145" s="39" t="e">
        <f t="shared" si="8"/>
        <v>#REF!</v>
      </c>
      <c r="AE145" s="6"/>
    </row>
    <row r="146" spans="1:31" s="449" customFormat="1" ht="39.4" customHeight="1">
      <c r="A146" s="449">
        <v>1</v>
      </c>
      <c r="B146" s="449" t="s">
        <v>890</v>
      </c>
      <c r="C146" s="184">
        <v>44075</v>
      </c>
      <c r="D146" s="102" t="s">
        <v>66</v>
      </c>
      <c r="E146" s="103" t="s">
        <v>129</v>
      </c>
      <c r="F146" s="23" t="s">
        <v>154</v>
      </c>
      <c r="G146" s="104">
        <v>4</v>
      </c>
      <c r="H146" s="457"/>
      <c r="I146" s="457"/>
      <c r="J146" s="457"/>
      <c r="K146" s="104" t="s">
        <v>53</v>
      </c>
      <c r="L146" s="104" t="s">
        <v>30</v>
      </c>
      <c r="M146" s="104">
        <v>230</v>
      </c>
      <c r="N146" s="167"/>
      <c r="O146" s="90"/>
      <c r="P146" s="136"/>
      <c r="Q146" s="89"/>
      <c r="R146" s="89"/>
      <c r="S146" s="89"/>
      <c r="T146" s="89"/>
      <c r="U146" s="89"/>
      <c r="V146" s="89" t="s">
        <v>29</v>
      </c>
      <c r="W146" s="89" t="s">
        <v>29</v>
      </c>
      <c r="X146" s="89"/>
      <c r="Y146" s="90" t="s">
        <v>624</v>
      </c>
      <c r="Z146" s="45"/>
      <c r="AA146" s="38"/>
      <c r="AB146" s="39" t="e">
        <f t="shared" si="8"/>
        <v>#REF!</v>
      </c>
      <c r="AE146" s="6"/>
    </row>
    <row r="147" spans="1:31" s="449" customFormat="1" ht="39.4" customHeight="1">
      <c r="A147" s="449">
        <v>1</v>
      </c>
      <c r="B147" s="449" t="s">
        <v>890</v>
      </c>
      <c r="C147" s="184">
        <v>44075</v>
      </c>
      <c r="D147" s="102" t="s">
        <v>223</v>
      </c>
      <c r="E147" s="103" t="s">
        <v>188</v>
      </c>
      <c r="F147" s="23" t="s">
        <v>153</v>
      </c>
      <c r="G147" s="104">
        <v>4</v>
      </c>
      <c r="H147" s="457"/>
      <c r="I147" s="457"/>
      <c r="J147" s="457"/>
      <c r="K147" s="104" t="s">
        <v>67</v>
      </c>
      <c r="L147" s="104" t="s">
        <v>41</v>
      </c>
      <c r="M147" s="104">
        <v>230</v>
      </c>
      <c r="N147" s="167"/>
      <c r="O147" s="90"/>
      <c r="P147" s="136" t="s">
        <v>47</v>
      </c>
      <c r="Q147" s="89"/>
      <c r="R147" s="89"/>
      <c r="S147" s="89"/>
      <c r="T147" s="89"/>
      <c r="U147" s="89" t="s">
        <v>29</v>
      </c>
      <c r="V147" s="89"/>
      <c r="W147" s="89"/>
      <c r="X147" s="89"/>
      <c r="Y147" s="90" t="s">
        <v>625</v>
      </c>
      <c r="Z147" s="45"/>
      <c r="AA147" s="38"/>
      <c r="AB147" s="39" t="e">
        <f t="shared" si="8"/>
        <v>#REF!</v>
      </c>
      <c r="AE147" s="6"/>
    </row>
    <row r="148" spans="1:31" s="449" customFormat="1" ht="39.4" customHeight="1">
      <c r="A148" s="449">
        <v>1</v>
      </c>
      <c r="B148" s="449" t="s">
        <v>890</v>
      </c>
      <c r="C148" s="116">
        <v>44076</v>
      </c>
      <c r="D148" s="102" t="s">
        <v>54</v>
      </c>
      <c r="E148" s="103" t="s">
        <v>188</v>
      </c>
      <c r="F148" s="23" t="s">
        <v>153</v>
      </c>
      <c r="G148" s="104">
        <v>20</v>
      </c>
      <c r="H148" s="457"/>
      <c r="I148" s="457"/>
      <c r="J148" s="457"/>
      <c r="K148" s="104" t="s">
        <v>67</v>
      </c>
      <c r="L148" s="104" t="s">
        <v>41</v>
      </c>
      <c r="M148" s="104">
        <v>230</v>
      </c>
      <c r="N148" s="167"/>
      <c r="O148" s="90"/>
      <c r="P148" s="136" t="s">
        <v>47</v>
      </c>
      <c r="Q148" s="89"/>
      <c r="R148" s="89"/>
      <c r="S148" s="89"/>
      <c r="T148" s="89"/>
      <c r="U148" s="89" t="s">
        <v>29</v>
      </c>
      <c r="V148" s="89"/>
      <c r="W148" s="89"/>
      <c r="X148" s="89"/>
      <c r="Y148" s="90" t="s">
        <v>626</v>
      </c>
      <c r="Z148" s="45"/>
      <c r="AA148" s="38"/>
      <c r="AB148" s="39" t="e">
        <f t="shared" si="8"/>
        <v>#REF!</v>
      </c>
      <c r="AE148" s="6"/>
    </row>
    <row r="149" spans="1:31" s="449" customFormat="1" ht="39.4" customHeight="1">
      <c r="A149" s="449">
        <v>1</v>
      </c>
      <c r="B149" s="449" t="s">
        <v>890</v>
      </c>
      <c r="C149" s="184">
        <v>44076</v>
      </c>
      <c r="D149" s="102" t="s">
        <v>55</v>
      </c>
      <c r="E149" s="103" t="s">
        <v>80</v>
      </c>
      <c r="F149" s="23" t="s">
        <v>163</v>
      </c>
      <c r="G149" s="104">
        <v>1</v>
      </c>
      <c r="H149" s="457"/>
      <c r="I149" s="457"/>
      <c r="J149" s="457"/>
      <c r="K149" s="104" t="s">
        <v>79</v>
      </c>
      <c r="L149" s="104" t="s">
        <v>30</v>
      </c>
      <c r="M149" s="104">
        <v>230</v>
      </c>
      <c r="N149" s="167"/>
      <c r="O149" s="90"/>
      <c r="P149" s="136"/>
      <c r="Q149" s="89"/>
      <c r="R149" s="89"/>
      <c r="S149" s="89"/>
      <c r="T149" s="89"/>
      <c r="U149" s="90" t="s">
        <v>70</v>
      </c>
      <c r="V149" s="89" t="s">
        <v>29</v>
      </c>
      <c r="W149" s="89" t="s">
        <v>29</v>
      </c>
      <c r="X149" s="89"/>
      <c r="Y149" s="90" t="s">
        <v>627</v>
      </c>
      <c r="Z149" s="45"/>
      <c r="AA149" s="38"/>
      <c r="AB149" s="39" t="e">
        <f>IF(E149=E147,AB147,AB147+1)</f>
        <v>#REF!</v>
      </c>
      <c r="AE149" s="6"/>
    </row>
    <row r="150" spans="1:31" s="449" customFormat="1" ht="39.4" customHeight="1">
      <c r="A150" s="449">
        <v>2</v>
      </c>
      <c r="B150" s="449" t="s">
        <v>889</v>
      </c>
      <c r="C150" s="184">
        <v>44076</v>
      </c>
      <c r="D150" s="102" t="s">
        <v>55</v>
      </c>
      <c r="E150" s="103" t="s">
        <v>80</v>
      </c>
      <c r="F150" s="23" t="s">
        <v>163</v>
      </c>
      <c r="G150" s="104">
        <v>16</v>
      </c>
      <c r="H150" s="457"/>
      <c r="I150" s="457"/>
      <c r="J150" s="457"/>
      <c r="K150" s="104" t="s">
        <v>79</v>
      </c>
      <c r="L150" s="104" t="s">
        <v>30</v>
      </c>
      <c r="M150" s="104">
        <v>230</v>
      </c>
      <c r="N150" s="167"/>
      <c r="O150" s="90"/>
      <c r="P150" s="136"/>
      <c r="Q150" s="89"/>
      <c r="R150" s="89"/>
      <c r="S150" s="89"/>
      <c r="T150" s="89"/>
      <c r="U150" s="90" t="s">
        <v>70</v>
      </c>
      <c r="V150" s="89" t="s">
        <v>29</v>
      </c>
      <c r="W150" s="89" t="s">
        <v>29</v>
      </c>
      <c r="X150" s="89"/>
      <c r="Y150" s="90" t="s">
        <v>627</v>
      </c>
      <c r="Z150" s="45"/>
      <c r="AA150" s="38"/>
      <c r="AB150" s="39" t="e">
        <f>IF(E150=E148,AB148,AB148+1)</f>
        <v>#REF!</v>
      </c>
      <c r="AE150" s="6"/>
    </row>
    <row r="151" spans="1:31" s="449" customFormat="1" ht="39.4" customHeight="1">
      <c r="A151" s="449">
        <v>2</v>
      </c>
      <c r="B151" s="449" t="s">
        <v>889</v>
      </c>
      <c r="C151" s="184">
        <v>44076</v>
      </c>
      <c r="D151" s="102" t="s">
        <v>56</v>
      </c>
      <c r="E151" s="103" t="s">
        <v>92</v>
      </c>
      <c r="F151" s="23" t="s">
        <v>159</v>
      </c>
      <c r="G151" s="104">
        <v>145</v>
      </c>
      <c r="H151" s="457"/>
      <c r="I151" s="457"/>
      <c r="J151" s="457"/>
      <c r="K151" s="104" t="s">
        <v>79</v>
      </c>
      <c r="L151" s="104" t="s">
        <v>31</v>
      </c>
      <c r="M151" s="104">
        <v>120</v>
      </c>
      <c r="N151" s="167"/>
      <c r="O151" s="90"/>
      <c r="P151" s="136"/>
      <c r="Q151" s="89"/>
      <c r="R151" s="89"/>
      <c r="S151" s="89"/>
      <c r="T151" s="89"/>
      <c r="U151" s="90" t="s">
        <v>70</v>
      </c>
      <c r="V151" s="89" t="s">
        <v>29</v>
      </c>
      <c r="W151" s="89"/>
      <c r="X151" s="89"/>
      <c r="Y151" s="90" t="s">
        <v>628</v>
      </c>
      <c r="Z151" s="45"/>
      <c r="AA151" s="38"/>
      <c r="AB151" s="39" t="e">
        <f>IF(E151=E150,AB150,AB150+1)</f>
        <v>#REF!</v>
      </c>
      <c r="AE151" s="6"/>
    </row>
    <row r="152" spans="1:31" s="449" customFormat="1" ht="39.4" customHeight="1">
      <c r="A152" s="449">
        <v>2</v>
      </c>
      <c r="B152" s="449" t="s">
        <v>889</v>
      </c>
      <c r="C152" s="184">
        <v>44076</v>
      </c>
      <c r="D152" s="102" t="s">
        <v>57</v>
      </c>
      <c r="E152" s="103" t="s">
        <v>82</v>
      </c>
      <c r="F152" s="23" t="s">
        <v>165</v>
      </c>
      <c r="G152" s="104">
        <v>29</v>
      </c>
      <c r="H152" s="457"/>
      <c r="I152" s="457"/>
      <c r="J152" s="457"/>
      <c r="K152" s="104" t="s">
        <v>79</v>
      </c>
      <c r="L152" s="104" t="s">
        <v>30</v>
      </c>
      <c r="M152" s="104">
        <v>230</v>
      </c>
      <c r="N152" s="167"/>
      <c r="O152" s="90"/>
      <c r="P152" s="136"/>
      <c r="Q152" s="89"/>
      <c r="R152" s="89"/>
      <c r="S152" s="89"/>
      <c r="T152" s="89"/>
      <c r="U152" s="90" t="s">
        <v>70</v>
      </c>
      <c r="V152" s="89" t="s">
        <v>29</v>
      </c>
      <c r="W152" s="89" t="s">
        <v>29</v>
      </c>
      <c r="X152" s="89"/>
      <c r="Y152" s="90" t="s">
        <v>629</v>
      </c>
      <c r="Z152" s="45"/>
      <c r="AA152" s="38"/>
      <c r="AB152" s="39" t="e">
        <f>IF(E152=E150,AB150,AB150+1)</f>
        <v>#REF!</v>
      </c>
      <c r="AE152" s="6"/>
    </row>
    <row r="153" spans="1:31" s="449" customFormat="1" ht="39.4" customHeight="1">
      <c r="A153" s="449">
        <v>2</v>
      </c>
      <c r="B153" s="449" t="s">
        <v>890</v>
      </c>
      <c r="C153" s="184">
        <v>44076</v>
      </c>
      <c r="D153" s="102" t="s">
        <v>57</v>
      </c>
      <c r="E153" s="103" t="s">
        <v>82</v>
      </c>
      <c r="F153" s="23" t="s">
        <v>165</v>
      </c>
      <c r="G153" s="104">
        <v>25</v>
      </c>
      <c r="H153" s="457"/>
      <c r="I153" s="457"/>
      <c r="J153" s="457"/>
      <c r="K153" s="104" t="s">
        <v>79</v>
      </c>
      <c r="L153" s="104" t="s">
        <v>30</v>
      </c>
      <c r="M153" s="104">
        <v>230</v>
      </c>
      <c r="N153" s="167"/>
      <c r="O153" s="90"/>
      <c r="P153" s="136"/>
      <c r="Q153" s="89"/>
      <c r="R153" s="89"/>
      <c r="S153" s="89"/>
      <c r="T153" s="89"/>
      <c r="U153" s="90" t="s">
        <v>70</v>
      </c>
      <c r="V153" s="89" t="s">
        <v>29</v>
      </c>
      <c r="W153" s="89" t="s">
        <v>29</v>
      </c>
      <c r="X153" s="89"/>
      <c r="Y153" s="90" t="s">
        <v>629</v>
      </c>
      <c r="Z153" s="45"/>
      <c r="AA153" s="38"/>
      <c r="AB153" s="39" t="e">
        <f>IF(E153=E151,AB151,AB151+1)</f>
        <v>#REF!</v>
      </c>
      <c r="AE153" s="6"/>
    </row>
    <row r="154" spans="1:31" s="449" customFormat="1" ht="39.4" customHeight="1">
      <c r="A154" s="449">
        <v>2</v>
      </c>
      <c r="B154" s="449" t="s">
        <v>890</v>
      </c>
      <c r="C154" s="184">
        <v>44076</v>
      </c>
      <c r="D154" s="102" t="s">
        <v>58</v>
      </c>
      <c r="E154" s="103" t="s">
        <v>90</v>
      </c>
      <c r="F154" s="23" t="s">
        <v>148</v>
      </c>
      <c r="G154" s="104">
        <v>61</v>
      </c>
      <c r="H154" s="457"/>
      <c r="I154" s="457"/>
      <c r="J154" s="457"/>
      <c r="K154" s="104" t="s">
        <v>79</v>
      </c>
      <c r="L154" s="104" t="s">
        <v>31</v>
      </c>
      <c r="M154" s="104">
        <v>120</v>
      </c>
      <c r="N154" s="167"/>
      <c r="O154" s="90"/>
      <c r="P154" s="136"/>
      <c r="Q154" s="89"/>
      <c r="R154" s="89"/>
      <c r="S154" s="89"/>
      <c r="T154" s="89" t="s">
        <v>29</v>
      </c>
      <c r="U154" s="90" t="s">
        <v>70</v>
      </c>
      <c r="V154" s="89"/>
      <c r="W154" s="89"/>
      <c r="X154" s="89"/>
      <c r="Y154" s="90" t="s">
        <v>630</v>
      </c>
      <c r="Z154" s="45"/>
      <c r="AA154" s="38"/>
      <c r="AB154" s="39" t="e">
        <f t="shared" ref="AB154:AB159" si="9">IF(E154=E153,AB153,AB153+1)</f>
        <v>#REF!</v>
      </c>
      <c r="AE154" s="6"/>
    </row>
    <row r="155" spans="1:31" s="449" customFormat="1" ht="39.4" customHeight="1">
      <c r="A155" s="449">
        <v>2</v>
      </c>
      <c r="B155" s="449" t="s">
        <v>890</v>
      </c>
      <c r="C155" s="184">
        <v>44076</v>
      </c>
      <c r="D155" s="102" t="s">
        <v>59</v>
      </c>
      <c r="E155" s="103" t="s">
        <v>91</v>
      </c>
      <c r="F155" s="23" t="s">
        <v>160</v>
      </c>
      <c r="G155" s="104">
        <v>31</v>
      </c>
      <c r="H155" s="457"/>
      <c r="I155" s="457"/>
      <c r="J155" s="457"/>
      <c r="K155" s="104" t="s">
        <v>79</v>
      </c>
      <c r="L155" s="104" t="s">
        <v>31</v>
      </c>
      <c r="M155" s="104">
        <v>120</v>
      </c>
      <c r="N155" s="167"/>
      <c r="O155" s="90"/>
      <c r="P155" s="136"/>
      <c r="Q155" s="89"/>
      <c r="R155" s="89"/>
      <c r="S155" s="89"/>
      <c r="T155" s="89" t="s">
        <v>29</v>
      </c>
      <c r="U155" s="90" t="s">
        <v>70</v>
      </c>
      <c r="V155" s="89"/>
      <c r="W155" s="89"/>
      <c r="X155" s="89"/>
      <c r="Y155" s="90" t="s">
        <v>631</v>
      </c>
      <c r="Z155" s="45"/>
      <c r="AA155" s="38"/>
      <c r="AB155" s="39" t="e">
        <f t="shared" si="9"/>
        <v>#REF!</v>
      </c>
      <c r="AE155" s="6"/>
    </row>
    <row r="156" spans="1:31" s="449" customFormat="1" ht="39.4" customHeight="1">
      <c r="A156" s="449">
        <v>2</v>
      </c>
      <c r="B156" s="449" t="s">
        <v>890</v>
      </c>
      <c r="C156" s="184">
        <v>44076</v>
      </c>
      <c r="D156" s="102" t="s">
        <v>60</v>
      </c>
      <c r="E156" s="103" t="s">
        <v>123</v>
      </c>
      <c r="F156" s="23" t="s">
        <v>158</v>
      </c>
      <c r="G156" s="104">
        <v>7</v>
      </c>
      <c r="H156" s="457"/>
      <c r="I156" s="457"/>
      <c r="J156" s="457"/>
      <c r="K156" s="104" t="s">
        <v>124</v>
      </c>
      <c r="L156" s="104" t="s">
        <v>18</v>
      </c>
      <c r="M156" s="104">
        <v>220</v>
      </c>
      <c r="N156" s="167"/>
      <c r="O156" s="90"/>
      <c r="P156" s="136"/>
      <c r="Q156" s="89"/>
      <c r="R156" s="89" t="s">
        <v>29</v>
      </c>
      <c r="S156" s="89"/>
      <c r="T156" s="89"/>
      <c r="U156" s="89" t="s">
        <v>29</v>
      </c>
      <c r="V156" s="89"/>
      <c r="W156" s="89" t="s">
        <v>29</v>
      </c>
      <c r="X156" s="89"/>
      <c r="Y156" s="90" t="s">
        <v>632</v>
      </c>
      <c r="Z156" s="45"/>
      <c r="AA156" s="38"/>
      <c r="AB156" s="39" t="e">
        <f t="shared" si="9"/>
        <v>#REF!</v>
      </c>
      <c r="AE156" s="6"/>
    </row>
    <row r="157" spans="1:31" s="449" customFormat="1" ht="39.4" customHeight="1">
      <c r="A157" s="449">
        <v>2</v>
      </c>
      <c r="B157" s="449" t="s">
        <v>890</v>
      </c>
      <c r="C157" s="184">
        <v>44076</v>
      </c>
      <c r="D157" s="102" t="s">
        <v>61</v>
      </c>
      <c r="E157" s="103" t="s">
        <v>188</v>
      </c>
      <c r="F157" s="23" t="s">
        <v>153</v>
      </c>
      <c r="G157" s="104">
        <v>45</v>
      </c>
      <c r="H157" s="457"/>
      <c r="I157" s="457"/>
      <c r="J157" s="457"/>
      <c r="K157" s="104" t="s">
        <v>67</v>
      </c>
      <c r="L157" s="104" t="s">
        <v>41</v>
      </c>
      <c r="M157" s="104">
        <v>230</v>
      </c>
      <c r="N157" s="167"/>
      <c r="O157" s="90"/>
      <c r="P157" s="136" t="s">
        <v>47</v>
      </c>
      <c r="Q157" s="89"/>
      <c r="R157" s="89"/>
      <c r="S157" s="89"/>
      <c r="T157" s="89"/>
      <c r="U157" s="89" t="s">
        <v>29</v>
      </c>
      <c r="V157" s="89"/>
      <c r="W157" s="89"/>
      <c r="X157" s="89"/>
      <c r="Y157" s="90" t="s">
        <v>633</v>
      </c>
      <c r="Z157" s="45"/>
      <c r="AA157" s="38"/>
      <c r="AB157" s="39" t="e">
        <f t="shared" si="9"/>
        <v>#REF!</v>
      </c>
      <c r="AE157" s="6"/>
    </row>
    <row r="158" spans="1:31" s="449" customFormat="1" ht="39.4" customHeight="1">
      <c r="A158" s="449">
        <v>2</v>
      </c>
      <c r="B158" s="449" t="s">
        <v>890</v>
      </c>
      <c r="C158" s="116">
        <v>44077</v>
      </c>
      <c r="D158" s="102" t="s">
        <v>54</v>
      </c>
      <c r="E158" s="103" t="s">
        <v>188</v>
      </c>
      <c r="F158" s="23" t="s">
        <v>153</v>
      </c>
      <c r="G158" s="104">
        <v>19</v>
      </c>
      <c r="H158" s="457"/>
      <c r="I158" s="457"/>
      <c r="J158" s="457"/>
      <c r="K158" s="104" t="s">
        <v>67</v>
      </c>
      <c r="L158" s="104" t="s">
        <v>41</v>
      </c>
      <c r="M158" s="104">
        <v>230</v>
      </c>
      <c r="N158" s="167"/>
      <c r="O158" s="90"/>
      <c r="P158" s="136" t="s">
        <v>47</v>
      </c>
      <c r="Q158" s="89"/>
      <c r="R158" s="89"/>
      <c r="S158" s="89"/>
      <c r="T158" s="89"/>
      <c r="U158" s="89" t="s">
        <v>29</v>
      </c>
      <c r="V158" s="89"/>
      <c r="W158" s="89"/>
      <c r="X158" s="89"/>
      <c r="Y158" s="90" t="s">
        <v>634</v>
      </c>
      <c r="Z158" s="45"/>
      <c r="AA158" s="38"/>
      <c r="AB158" s="39" t="e">
        <f t="shared" si="9"/>
        <v>#REF!</v>
      </c>
      <c r="AE158" s="6"/>
    </row>
    <row r="159" spans="1:31" s="449" customFormat="1" ht="39.4" customHeight="1">
      <c r="A159" s="449">
        <v>2</v>
      </c>
      <c r="B159" s="449" t="s">
        <v>890</v>
      </c>
      <c r="C159" s="184">
        <v>44077</v>
      </c>
      <c r="D159" s="102" t="s">
        <v>55</v>
      </c>
      <c r="E159" s="103" t="s">
        <v>136</v>
      </c>
      <c r="F159" s="23" t="s">
        <v>147</v>
      </c>
      <c r="G159" s="104">
        <v>1</v>
      </c>
      <c r="H159" s="457"/>
      <c r="I159" s="457"/>
      <c r="J159" s="457"/>
      <c r="K159" s="104" t="s">
        <v>67</v>
      </c>
      <c r="L159" s="104" t="s">
        <v>18</v>
      </c>
      <c r="M159" s="104">
        <v>220</v>
      </c>
      <c r="N159" s="167"/>
      <c r="O159" s="90"/>
      <c r="P159" s="136" t="s">
        <v>47</v>
      </c>
      <c r="Q159" s="89"/>
      <c r="R159" s="89"/>
      <c r="S159" s="89"/>
      <c r="T159" s="89"/>
      <c r="U159" s="89" t="s">
        <v>29</v>
      </c>
      <c r="V159" s="89"/>
      <c r="W159" s="89" t="s">
        <v>29</v>
      </c>
      <c r="X159" s="89"/>
      <c r="Y159" s="90" t="s">
        <v>635</v>
      </c>
      <c r="Z159" s="45"/>
      <c r="AA159" s="38"/>
      <c r="AB159" s="39" t="e">
        <f t="shared" si="9"/>
        <v>#REF!</v>
      </c>
      <c r="AE159" s="6"/>
    </row>
    <row r="160" spans="1:31" s="449" customFormat="1" ht="39.4" customHeight="1">
      <c r="A160" s="449">
        <v>2</v>
      </c>
      <c r="B160" s="449" t="s">
        <v>890</v>
      </c>
      <c r="C160" s="184">
        <v>44077</v>
      </c>
      <c r="D160" s="102" t="s">
        <v>56</v>
      </c>
      <c r="E160" s="103" t="s">
        <v>92</v>
      </c>
      <c r="F160" s="23" t="s">
        <v>159</v>
      </c>
      <c r="G160" s="104">
        <v>1</v>
      </c>
      <c r="H160" s="457"/>
      <c r="I160" s="457"/>
      <c r="J160" s="457"/>
      <c r="K160" s="104" t="s">
        <v>79</v>
      </c>
      <c r="L160" s="104" t="s">
        <v>31</v>
      </c>
      <c r="M160" s="104">
        <v>120</v>
      </c>
      <c r="N160" s="167"/>
      <c r="O160" s="90"/>
      <c r="P160" s="136"/>
      <c r="Q160" s="89"/>
      <c r="R160" s="89"/>
      <c r="S160" s="89"/>
      <c r="T160" s="89"/>
      <c r="U160" s="90" t="s">
        <v>70</v>
      </c>
      <c r="V160" s="89" t="s">
        <v>29</v>
      </c>
      <c r="W160" s="89"/>
      <c r="X160" s="89"/>
      <c r="Y160" s="90" t="s">
        <v>636</v>
      </c>
      <c r="Z160" s="45"/>
      <c r="AA160" s="38"/>
      <c r="AB160" s="39" t="e">
        <f>IF(E160=E158,AB158,AB158+1)</f>
        <v>#REF!</v>
      </c>
      <c r="AE160" s="6"/>
    </row>
    <row r="161" spans="1:31" s="449" customFormat="1" ht="39.4" customHeight="1">
      <c r="A161" s="449">
        <v>3</v>
      </c>
      <c r="B161" s="449" t="s">
        <v>889</v>
      </c>
      <c r="C161" s="184">
        <v>44077</v>
      </c>
      <c r="D161" s="102" t="s">
        <v>56</v>
      </c>
      <c r="E161" s="103" t="s">
        <v>92</v>
      </c>
      <c r="F161" s="23" t="s">
        <v>159</v>
      </c>
      <c r="G161" s="104">
        <v>71</v>
      </c>
      <c r="H161" s="457"/>
      <c r="I161" s="457"/>
      <c r="J161" s="457"/>
      <c r="K161" s="104" t="s">
        <v>79</v>
      </c>
      <c r="L161" s="104" t="s">
        <v>31</v>
      </c>
      <c r="M161" s="104">
        <v>120</v>
      </c>
      <c r="N161" s="167"/>
      <c r="O161" s="90"/>
      <c r="P161" s="136"/>
      <c r="Q161" s="89"/>
      <c r="R161" s="89"/>
      <c r="S161" s="89"/>
      <c r="T161" s="89"/>
      <c r="U161" s="90" t="s">
        <v>70</v>
      </c>
      <c r="V161" s="89" t="s">
        <v>29</v>
      </c>
      <c r="W161" s="89"/>
      <c r="X161" s="89"/>
      <c r="Y161" s="90" t="s">
        <v>636</v>
      </c>
      <c r="Z161" s="45"/>
      <c r="AA161" s="38"/>
      <c r="AB161" s="39" t="e">
        <f>IF(E161=E159,AB159,AB159+1)</f>
        <v>#REF!</v>
      </c>
      <c r="AE161" s="6"/>
    </row>
    <row r="162" spans="1:31" s="449" customFormat="1" ht="39.4" customHeight="1">
      <c r="A162" s="449">
        <v>3</v>
      </c>
      <c r="B162" s="449" t="s">
        <v>889</v>
      </c>
      <c r="C162" s="184">
        <v>44077</v>
      </c>
      <c r="D162" s="102" t="s">
        <v>57</v>
      </c>
      <c r="E162" s="103" t="s">
        <v>84</v>
      </c>
      <c r="F162" s="23" t="s">
        <v>152</v>
      </c>
      <c r="G162" s="104">
        <v>119</v>
      </c>
      <c r="H162" s="457"/>
      <c r="I162" s="457"/>
      <c r="J162" s="457"/>
      <c r="K162" s="104" t="s">
        <v>79</v>
      </c>
      <c r="L162" s="104" t="s">
        <v>28</v>
      </c>
      <c r="M162" s="104">
        <v>230</v>
      </c>
      <c r="N162" s="167"/>
      <c r="O162" s="90"/>
      <c r="P162" s="136"/>
      <c r="Q162" s="89"/>
      <c r="R162" s="89"/>
      <c r="S162" s="89"/>
      <c r="T162" s="89"/>
      <c r="U162" s="90" t="s">
        <v>70</v>
      </c>
      <c r="V162" s="89" t="s">
        <v>29</v>
      </c>
      <c r="W162" s="89"/>
      <c r="X162" s="89"/>
      <c r="Y162" s="90" t="s">
        <v>637</v>
      </c>
      <c r="Z162" s="45"/>
      <c r="AA162" s="38"/>
      <c r="AB162" s="39" t="e">
        <f>IF(E162=E160,AB160,AB160+1)</f>
        <v>#REF!</v>
      </c>
      <c r="AE162" s="6"/>
    </row>
    <row r="163" spans="1:31" s="449" customFormat="1" ht="39.4" customHeight="1">
      <c r="A163" s="449">
        <v>3</v>
      </c>
      <c r="B163" s="449" t="s">
        <v>890</v>
      </c>
      <c r="C163" s="184">
        <v>44077</v>
      </c>
      <c r="D163" s="102" t="s">
        <v>57</v>
      </c>
      <c r="E163" s="103" t="s">
        <v>84</v>
      </c>
      <c r="F163" s="23" t="s">
        <v>152</v>
      </c>
      <c r="G163" s="104">
        <v>14</v>
      </c>
      <c r="H163" s="457"/>
      <c r="I163" s="457"/>
      <c r="J163" s="457"/>
      <c r="K163" s="104" t="s">
        <v>79</v>
      </c>
      <c r="L163" s="104" t="s">
        <v>28</v>
      </c>
      <c r="M163" s="104">
        <v>230</v>
      </c>
      <c r="N163" s="167"/>
      <c r="O163" s="90"/>
      <c r="P163" s="136"/>
      <c r="Q163" s="89"/>
      <c r="R163" s="89"/>
      <c r="S163" s="89"/>
      <c r="T163" s="89"/>
      <c r="U163" s="90" t="s">
        <v>70</v>
      </c>
      <c r="V163" s="89" t="s">
        <v>29</v>
      </c>
      <c r="W163" s="89"/>
      <c r="X163" s="89"/>
      <c r="Y163" s="90" t="s">
        <v>637</v>
      </c>
      <c r="Z163" s="45"/>
      <c r="AA163" s="38"/>
      <c r="AB163" s="39" t="e">
        <f>IF(E163=E161,AB161,AB161+1)</f>
        <v>#REF!</v>
      </c>
      <c r="AE163" s="6"/>
    </row>
    <row r="164" spans="1:31" s="449" customFormat="1" ht="39.4" customHeight="1">
      <c r="A164" s="449">
        <v>3</v>
      </c>
      <c r="B164" s="449" t="s">
        <v>890</v>
      </c>
      <c r="C164" s="184">
        <v>44077</v>
      </c>
      <c r="D164" s="102" t="s">
        <v>58</v>
      </c>
      <c r="E164" s="103" t="s">
        <v>551</v>
      </c>
      <c r="F164" s="23" t="s">
        <v>552</v>
      </c>
      <c r="G164" s="104">
        <v>9</v>
      </c>
      <c r="H164" s="457"/>
      <c r="I164" s="457"/>
      <c r="J164" s="457"/>
      <c r="K164" s="104" t="s">
        <v>79</v>
      </c>
      <c r="L164" s="104" t="s">
        <v>19</v>
      </c>
      <c r="M164" s="104">
        <v>230</v>
      </c>
      <c r="N164" s="167"/>
      <c r="O164" s="90"/>
      <c r="P164" s="136"/>
      <c r="Q164" s="89"/>
      <c r="R164" s="89"/>
      <c r="S164" s="89"/>
      <c r="T164" s="89"/>
      <c r="U164" s="90" t="s">
        <v>70</v>
      </c>
      <c r="V164" s="89" t="s">
        <v>29</v>
      </c>
      <c r="W164" s="89" t="s">
        <v>29</v>
      </c>
      <c r="X164" s="89"/>
      <c r="Y164" s="90" t="s">
        <v>638</v>
      </c>
      <c r="Z164" s="45"/>
      <c r="AA164" s="38"/>
      <c r="AB164" s="39" t="e">
        <f t="shared" ref="AB164:AB169" si="10">IF(E164=E163,AB163,AB163+1)</f>
        <v>#REF!</v>
      </c>
      <c r="AE164" s="6"/>
    </row>
    <row r="165" spans="1:31" s="449" customFormat="1" ht="39.4" customHeight="1">
      <c r="A165" s="449">
        <v>3</v>
      </c>
      <c r="B165" s="449" t="s">
        <v>890</v>
      </c>
      <c r="C165" s="187">
        <v>44077</v>
      </c>
      <c r="D165" s="102" t="s">
        <v>59</v>
      </c>
      <c r="E165" s="103" t="s">
        <v>219</v>
      </c>
      <c r="F165" s="23" t="s">
        <v>220</v>
      </c>
      <c r="G165" s="104">
        <v>2</v>
      </c>
      <c r="H165" s="457"/>
      <c r="I165" s="457"/>
      <c r="J165" s="457"/>
      <c r="K165" s="104" t="s">
        <v>79</v>
      </c>
      <c r="L165" s="104" t="s">
        <v>46</v>
      </c>
      <c r="M165" s="104">
        <v>120</v>
      </c>
      <c r="N165" s="167"/>
      <c r="O165" s="104"/>
      <c r="P165" s="136"/>
      <c r="Q165" s="89"/>
      <c r="R165" s="89"/>
      <c r="S165" s="89"/>
      <c r="T165" s="89"/>
      <c r="U165" s="90" t="s">
        <v>70</v>
      </c>
      <c r="V165" s="89" t="s">
        <v>29</v>
      </c>
      <c r="W165" s="89" t="s">
        <v>29</v>
      </c>
      <c r="X165" s="89"/>
      <c r="Y165" s="90" t="s">
        <v>639</v>
      </c>
      <c r="Z165" s="45"/>
      <c r="AA165" s="38"/>
      <c r="AB165" s="39" t="e">
        <f t="shared" si="10"/>
        <v>#REF!</v>
      </c>
      <c r="AE165" s="6"/>
    </row>
    <row r="166" spans="1:31" s="449" customFormat="1" ht="39.4" customHeight="1">
      <c r="A166" s="449">
        <v>3</v>
      </c>
      <c r="B166" s="449" t="s">
        <v>890</v>
      </c>
      <c r="C166" s="187">
        <v>44077</v>
      </c>
      <c r="D166" s="102" t="s">
        <v>60</v>
      </c>
      <c r="E166" s="103" t="s">
        <v>91</v>
      </c>
      <c r="F166" s="23" t="s">
        <v>160</v>
      </c>
      <c r="G166" s="104">
        <v>92</v>
      </c>
      <c r="H166" s="457"/>
      <c r="I166" s="457"/>
      <c r="J166" s="457"/>
      <c r="K166" s="104" t="s">
        <v>79</v>
      </c>
      <c r="L166" s="104" t="s">
        <v>31</v>
      </c>
      <c r="M166" s="104">
        <v>120</v>
      </c>
      <c r="N166" s="167"/>
      <c r="O166" s="104"/>
      <c r="P166" s="136"/>
      <c r="Q166" s="89"/>
      <c r="R166" s="89"/>
      <c r="S166" s="89"/>
      <c r="T166" s="89" t="s">
        <v>29</v>
      </c>
      <c r="U166" s="90" t="s">
        <v>70</v>
      </c>
      <c r="V166" s="89"/>
      <c r="W166" s="89"/>
      <c r="X166" s="89"/>
      <c r="Y166" s="90" t="s">
        <v>640</v>
      </c>
      <c r="Z166" s="45"/>
      <c r="AA166" s="38"/>
      <c r="AB166" s="39" t="e">
        <f t="shared" si="10"/>
        <v>#REF!</v>
      </c>
      <c r="AE166" s="6"/>
    </row>
    <row r="167" spans="1:31" s="449" customFormat="1" ht="39.4" customHeight="1">
      <c r="A167" s="449">
        <v>3</v>
      </c>
      <c r="B167" s="449" t="s">
        <v>890</v>
      </c>
      <c r="C167" s="187">
        <v>44077</v>
      </c>
      <c r="D167" s="102" t="s">
        <v>61</v>
      </c>
      <c r="E167" s="103" t="s">
        <v>123</v>
      </c>
      <c r="F167" s="23" t="s">
        <v>158</v>
      </c>
      <c r="G167" s="104">
        <v>7</v>
      </c>
      <c r="H167" s="457"/>
      <c r="I167" s="457"/>
      <c r="J167" s="457"/>
      <c r="K167" s="104" t="s">
        <v>124</v>
      </c>
      <c r="L167" s="104" t="s">
        <v>18</v>
      </c>
      <c r="M167" s="104">
        <v>220</v>
      </c>
      <c r="N167" s="167"/>
      <c r="O167" s="104"/>
      <c r="P167" s="136"/>
      <c r="Q167" s="89"/>
      <c r="R167" s="89" t="s">
        <v>29</v>
      </c>
      <c r="S167" s="89"/>
      <c r="T167" s="89"/>
      <c r="U167" s="89" t="s">
        <v>29</v>
      </c>
      <c r="V167" s="89"/>
      <c r="W167" s="89" t="s">
        <v>29</v>
      </c>
      <c r="X167" s="89"/>
      <c r="Y167" s="90" t="s">
        <v>641</v>
      </c>
      <c r="Z167" s="45"/>
      <c r="AA167" s="38"/>
      <c r="AB167" s="39" t="e">
        <f t="shared" si="10"/>
        <v>#REF!</v>
      </c>
      <c r="AE167" s="6"/>
    </row>
    <row r="168" spans="1:31" s="449" customFormat="1" ht="39.4" customHeight="1">
      <c r="A168" s="449">
        <v>3</v>
      </c>
      <c r="B168" s="449" t="s">
        <v>890</v>
      </c>
      <c r="C168" s="187">
        <v>44077</v>
      </c>
      <c r="D168" s="102" t="s">
        <v>63</v>
      </c>
      <c r="E168" s="103" t="s">
        <v>188</v>
      </c>
      <c r="F168" s="23" t="s">
        <v>153</v>
      </c>
      <c r="G168" s="104">
        <v>45</v>
      </c>
      <c r="H168" s="457"/>
      <c r="I168" s="457"/>
      <c r="J168" s="457"/>
      <c r="K168" s="104" t="s">
        <v>67</v>
      </c>
      <c r="L168" s="104" t="s">
        <v>41</v>
      </c>
      <c r="M168" s="104">
        <v>230</v>
      </c>
      <c r="N168" s="167"/>
      <c r="O168" s="104"/>
      <c r="P168" s="136" t="s">
        <v>47</v>
      </c>
      <c r="Q168" s="89"/>
      <c r="R168" s="89"/>
      <c r="S168" s="89"/>
      <c r="T168" s="89"/>
      <c r="U168" s="89" t="s">
        <v>29</v>
      </c>
      <c r="V168" s="89"/>
      <c r="W168" s="89"/>
      <c r="X168" s="89"/>
      <c r="Y168" s="90" t="s">
        <v>642</v>
      </c>
      <c r="Z168" s="45"/>
      <c r="AA168" s="38"/>
      <c r="AB168" s="39" t="e">
        <f t="shared" si="10"/>
        <v>#REF!</v>
      </c>
      <c r="AE168" s="6"/>
    </row>
    <row r="169" spans="1:31" s="449" customFormat="1" ht="39.4" customHeight="1">
      <c r="A169" s="449">
        <v>3</v>
      </c>
      <c r="B169" s="449" t="s">
        <v>890</v>
      </c>
      <c r="C169" s="188">
        <v>44078</v>
      </c>
      <c r="D169" s="102" t="s">
        <v>54</v>
      </c>
      <c r="E169" s="103" t="s">
        <v>188</v>
      </c>
      <c r="F169" s="23" t="s">
        <v>153</v>
      </c>
      <c r="G169" s="104">
        <v>20</v>
      </c>
      <c r="H169" s="457"/>
      <c r="I169" s="457"/>
      <c r="J169" s="457"/>
      <c r="K169" s="104" t="s">
        <v>67</v>
      </c>
      <c r="L169" s="104" t="s">
        <v>41</v>
      </c>
      <c r="M169" s="104">
        <v>230</v>
      </c>
      <c r="N169" s="167"/>
      <c r="O169" s="104"/>
      <c r="P169" s="136" t="s">
        <v>47</v>
      </c>
      <c r="Q169" s="89"/>
      <c r="R169" s="89"/>
      <c r="S169" s="89"/>
      <c r="T169" s="89"/>
      <c r="U169" s="89" t="s">
        <v>29</v>
      </c>
      <c r="V169" s="89"/>
      <c r="W169" s="89"/>
      <c r="X169" s="89"/>
      <c r="Y169" s="90" t="s">
        <v>643</v>
      </c>
      <c r="Z169" s="45"/>
      <c r="AA169" s="38"/>
      <c r="AB169" s="39" t="e">
        <f t="shared" si="10"/>
        <v>#REF!</v>
      </c>
      <c r="AE169" s="6"/>
    </row>
    <row r="170" spans="1:31" s="449" customFormat="1" ht="39.4" customHeight="1">
      <c r="A170" s="449">
        <v>3</v>
      </c>
      <c r="B170" s="449" t="s">
        <v>890</v>
      </c>
      <c r="C170" s="187">
        <v>44078</v>
      </c>
      <c r="D170" s="102" t="s">
        <v>55</v>
      </c>
      <c r="E170" s="103" t="s">
        <v>219</v>
      </c>
      <c r="F170" s="23" t="s">
        <v>220</v>
      </c>
      <c r="G170" s="104">
        <v>1</v>
      </c>
      <c r="H170" s="457"/>
      <c r="I170" s="457"/>
      <c r="J170" s="457"/>
      <c r="K170" s="104" t="s">
        <v>79</v>
      </c>
      <c r="L170" s="104" t="s">
        <v>46</v>
      </c>
      <c r="M170" s="104">
        <v>120</v>
      </c>
      <c r="N170" s="167"/>
      <c r="O170" s="104"/>
      <c r="P170" s="136"/>
      <c r="Q170" s="89"/>
      <c r="R170" s="89"/>
      <c r="S170" s="89"/>
      <c r="T170" s="89"/>
      <c r="U170" s="90" t="s">
        <v>70</v>
      </c>
      <c r="V170" s="89" t="s">
        <v>29</v>
      </c>
      <c r="W170" s="89" t="s">
        <v>29</v>
      </c>
      <c r="X170" s="89"/>
      <c r="Y170" s="90" t="s">
        <v>644</v>
      </c>
      <c r="Z170" s="45"/>
      <c r="AA170" s="38"/>
      <c r="AB170" s="39" t="e">
        <f>IF(E170=E168,AB168,AB168+1)</f>
        <v>#REF!</v>
      </c>
      <c r="AE170" s="6"/>
    </row>
    <row r="171" spans="1:31" s="449" customFormat="1" ht="39.4" customHeight="1">
      <c r="A171" s="449">
        <v>4</v>
      </c>
      <c r="B171" s="449" t="s">
        <v>889</v>
      </c>
      <c r="C171" s="187">
        <v>44078</v>
      </c>
      <c r="D171" s="102" t="s">
        <v>55</v>
      </c>
      <c r="E171" s="103" t="s">
        <v>219</v>
      </c>
      <c r="F171" s="23" t="s">
        <v>220</v>
      </c>
      <c r="G171" s="104">
        <v>11</v>
      </c>
      <c r="H171" s="457"/>
      <c r="I171" s="457"/>
      <c r="J171" s="457"/>
      <c r="K171" s="104" t="s">
        <v>79</v>
      </c>
      <c r="L171" s="104" t="s">
        <v>46</v>
      </c>
      <c r="M171" s="104">
        <v>120</v>
      </c>
      <c r="N171" s="167"/>
      <c r="O171" s="104"/>
      <c r="P171" s="136"/>
      <c r="Q171" s="89"/>
      <c r="R171" s="89"/>
      <c r="S171" s="89"/>
      <c r="T171" s="89"/>
      <c r="U171" s="90" t="s">
        <v>70</v>
      </c>
      <c r="V171" s="89" t="s">
        <v>29</v>
      </c>
      <c r="W171" s="89" t="s">
        <v>29</v>
      </c>
      <c r="X171" s="89"/>
      <c r="Y171" s="90" t="s">
        <v>644</v>
      </c>
      <c r="Z171" s="45"/>
      <c r="AA171" s="38"/>
      <c r="AB171" s="39" t="e">
        <f>IF(E171=E169,AB169,AB169+1)</f>
        <v>#REF!</v>
      </c>
      <c r="AE171" s="6"/>
    </row>
    <row r="172" spans="1:31" s="449" customFormat="1" ht="39.4" customHeight="1">
      <c r="A172" s="449">
        <v>4</v>
      </c>
      <c r="B172" s="449" t="s">
        <v>889</v>
      </c>
      <c r="C172" s="187">
        <v>44078</v>
      </c>
      <c r="D172" s="102" t="s">
        <v>56</v>
      </c>
      <c r="E172" s="103" t="s">
        <v>93</v>
      </c>
      <c r="F172" s="23" t="s">
        <v>157</v>
      </c>
      <c r="G172" s="104">
        <v>179</v>
      </c>
      <c r="H172" s="457"/>
      <c r="I172" s="457"/>
      <c r="J172" s="457"/>
      <c r="K172" s="104" t="s">
        <v>79</v>
      </c>
      <c r="L172" s="104" t="s">
        <v>31</v>
      </c>
      <c r="M172" s="104">
        <v>120</v>
      </c>
      <c r="N172" s="167"/>
      <c r="O172" s="104"/>
      <c r="P172" s="136"/>
      <c r="Q172" s="89"/>
      <c r="R172" s="89"/>
      <c r="S172" s="89"/>
      <c r="T172" s="89"/>
      <c r="U172" s="90" t="s">
        <v>70</v>
      </c>
      <c r="V172" s="89" t="s">
        <v>29</v>
      </c>
      <c r="W172" s="89"/>
      <c r="X172" s="89"/>
      <c r="Y172" s="90" t="s">
        <v>645</v>
      </c>
      <c r="Z172" s="45"/>
      <c r="AA172" s="38"/>
      <c r="AB172" s="39" t="e">
        <f>IF(E172=E170,AB170,AB170+1)</f>
        <v>#REF!</v>
      </c>
      <c r="AE172" s="6"/>
    </row>
    <row r="173" spans="1:31" s="449" customFormat="1" ht="39.4" customHeight="1">
      <c r="A173" s="449">
        <v>4</v>
      </c>
      <c r="B173" s="449" t="s">
        <v>890</v>
      </c>
      <c r="C173" s="187">
        <v>44078</v>
      </c>
      <c r="D173" s="102" t="s">
        <v>56</v>
      </c>
      <c r="E173" s="103" t="s">
        <v>93</v>
      </c>
      <c r="F173" s="23" t="s">
        <v>157</v>
      </c>
      <c r="G173" s="104">
        <v>20</v>
      </c>
      <c r="H173" s="457"/>
      <c r="I173" s="457"/>
      <c r="J173" s="457"/>
      <c r="K173" s="104" t="s">
        <v>79</v>
      </c>
      <c r="L173" s="104" t="s">
        <v>31</v>
      </c>
      <c r="M173" s="104">
        <v>120</v>
      </c>
      <c r="N173" s="167"/>
      <c r="O173" s="104"/>
      <c r="P173" s="136"/>
      <c r="Q173" s="89"/>
      <c r="R173" s="89"/>
      <c r="S173" s="89"/>
      <c r="T173" s="89"/>
      <c r="U173" s="90" t="s">
        <v>70</v>
      </c>
      <c r="V173" s="89" t="s">
        <v>29</v>
      </c>
      <c r="W173" s="89"/>
      <c r="X173" s="89"/>
      <c r="Y173" s="90" t="s">
        <v>645</v>
      </c>
      <c r="Z173" s="45"/>
      <c r="AA173" s="38"/>
      <c r="AB173" s="39" t="e">
        <f>IF(E173=E171,AB171,AB171+1)</f>
        <v>#REF!</v>
      </c>
      <c r="AE173" s="6"/>
    </row>
    <row r="174" spans="1:31" s="449" customFormat="1" ht="39.4" customHeight="1">
      <c r="A174" s="449">
        <v>4</v>
      </c>
      <c r="B174" s="449" t="s">
        <v>890</v>
      </c>
      <c r="C174" s="187">
        <v>44078</v>
      </c>
      <c r="D174" s="102" t="s">
        <v>57</v>
      </c>
      <c r="E174" s="103" t="s">
        <v>646</v>
      </c>
      <c r="F174" s="23" t="s">
        <v>647</v>
      </c>
      <c r="G174" s="104">
        <v>5</v>
      </c>
      <c r="H174" s="457"/>
      <c r="I174" s="457"/>
      <c r="J174" s="457"/>
      <c r="K174" s="104" t="s">
        <v>79</v>
      </c>
      <c r="L174" s="104" t="s">
        <v>28</v>
      </c>
      <c r="M174" s="104">
        <v>230</v>
      </c>
      <c r="N174" s="167"/>
      <c r="O174" s="104"/>
      <c r="P174" s="136"/>
      <c r="Q174" s="89"/>
      <c r="R174" s="89"/>
      <c r="S174" s="89"/>
      <c r="T174" s="89"/>
      <c r="U174" s="90" t="s">
        <v>70</v>
      </c>
      <c r="V174" s="89" t="s">
        <v>29</v>
      </c>
      <c r="W174" s="89"/>
      <c r="X174" s="89"/>
      <c r="Y174" s="90" t="s">
        <v>648</v>
      </c>
      <c r="Z174" s="45"/>
      <c r="AA174" s="38"/>
      <c r="AB174" s="39" t="e">
        <f>IF(E174=E173,AB173,AB173+1)</f>
        <v>#REF!</v>
      </c>
      <c r="AE174" s="6"/>
    </row>
    <row r="175" spans="1:31" s="449" customFormat="1" ht="39.4" customHeight="1">
      <c r="A175" s="449">
        <v>4</v>
      </c>
      <c r="B175" s="449" t="s">
        <v>890</v>
      </c>
      <c r="C175" s="187">
        <v>44078</v>
      </c>
      <c r="D175" s="102" t="s">
        <v>58</v>
      </c>
      <c r="E175" s="103" t="s">
        <v>91</v>
      </c>
      <c r="F175" s="23" t="s">
        <v>160</v>
      </c>
      <c r="G175" s="104">
        <v>92</v>
      </c>
      <c r="H175" s="457"/>
      <c r="I175" s="457"/>
      <c r="J175" s="457"/>
      <c r="K175" s="104" t="s">
        <v>79</v>
      </c>
      <c r="L175" s="104" t="s">
        <v>31</v>
      </c>
      <c r="M175" s="104">
        <v>120</v>
      </c>
      <c r="N175" s="167"/>
      <c r="O175" s="104"/>
      <c r="P175" s="136"/>
      <c r="Q175" s="89"/>
      <c r="R175" s="89"/>
      <c r="S175" s="89"/>
      <c r="T175" s="89" t="s">
        <v>29</v>
      </c>
      <c r="U175" s="90" t="s">
        <v>70</v>
      </c>
      <c r="V175" s="89"/>
      <c r="W175" s="89"/>
      <c r="X175" s="89"/>
      <c r="Y175" s="90" t="s">
        <v>649</v>
      </c>
      <c r="Z175" s="45"/>
      <c r="AA175" s="38"/>
      <c r="AB175" s="39" t="e">
        <f>IF(E175=E174,AB174,AB174+1)</f>
        <v>#REF!</v>
      </c>
      <c r="AE175" s="6"/>
    </row>
    <row r="176" spans="1:31" s="449" customFormat="1" ht="39.4" customHeight="1">
      <c r="A176" s="449">
        <v>4</v>
      </c>
      <c r="B176" s="449" t="s">
        <v>890</v>
      </c>
      <c r="C176" s="187">
        <v>44078</v>
      </c>
      <c r="D176" s="102" t="s">
        <v>59</v>
      </c>
      <c r="E176" s="103" t="s">
        <v>123</v>
      </c>
      <c r="F176" s="23" t="s">
        <v>158</v>
      </c>
      <c r="G176" s="104">
        <v>7</v>
      </c>
      <c r="H176" s="457"/>
      <c r="I176" s="457"/>
      <c r="J176" s="457"/>
      <c r="K176" s="104" t="s">
        <v>124</v>
      </c>
      <c r="L176" s="104" t="s">
        <v>18</v>
      </c>
      <c r="M176" s="104">
        <v>220</v>
      </c>
      <c r="N176" s="167"/>
      <c r="O176" s="104"/>
      <c r="P176" s="136"/>
      <c r="Q176" s="89"/>
      <c r="R176" s="89" t="s">
        <v>29</v>
      </c>
      <c r="S176" s="89"/>
      <c r="T176" s="89"/>
      <c r="U176" s="89" t="s">
        <v>29</v>
      </c>
      <c r="V176" s="89"/>
      <c r="W176" s="89" t="s">
        <v>29</v>
      </c>
      <c r="X176" s="89"/>
      <c r="Y176" s="90" t="s">
        <v>650</v>
      </c>
      <c r="Z176" s="45"/>
      <c r="AA176" s="38"/>
      <c r="AB176" s="39" t="e">
        <f>IF(E176=E175,AB175,AB175+1)</f>
        <v>#REF!</v>
      </c>
      <c r="AE176" s="6"/>
    </row>
    <row r="177" spans="1:31" s="449" customFormat="1" ht="39.4" customHeight="1">
      <c r="A177" s="449">
        <v>4</v>
      </c>
      <c r="B177" s="449" t="s">
        <v>890</v>
      </c>
      <c r="C177" s="187">
        <v>44078</v>
      </c>
      <c r="D177" s="102" t="s">
        <v>60</v>
      </c>
      <c r="E177" s="103" t="s">
        <v>188</v>
      </c>
      <c r="F177" s="23" t="s">
        <v>153</v>
      </c>
      <c r="G177" s="104">
        <v>45</v>
      </c>
      <c r="H177" s="457"/>
      <c r="I177" s="457"/>
      <c r="J177" s="457"/>
      <c r="K177" s="104" t="s">
        <v>67</v>
      </c>
      <c r="L177" s="104" t="s">
        <v>41</v>
      </c>
      <c r="M177" s="104">
        <v>230</v>
      </c>
      <c r="N177" s="167"/>
      <c r="O177" s="104"/>
      <c r="P177" s="136" t="s">
        <v>47</v>
      </c>
      <c r="Q177" s="89"/>
      <c r="R177" s="89"/>
      <c r="S177" s="89"/>
      <c r="T177" s="89"/>
      <c r="U177" s="89" t="s">
        <v>29</v>
      </c>
      <c r="V177" s="89"/>
      <c r="W177" s="89"/>
      <c r="X177" s="89"/>
      <c r="Y177" s="90" t="s">
        <v>651</v>
      </c>
      <c r="Z177" s="45"/>
      <c r="AA177" s="38"/>
      <c r="AB177" s="39" t="e">
        <f>IF(E177=E176,AB176,AB176+1)</f>
        <v>#REF!</v>
      </c>
      <c r="AE177" s="6"/>
    </row>
    <row r="178" spans="1:31" s="449" customFormat="1" ht="39.4" customHeight="1">
      <c r="A178" s="449">
        <v>4</v>
      </c>
      <c r="B178" s="449" t="s">
        <v>890</v>
      </c>
      <c r="C178" s="188">
        <v>44079</v>
      </c>
      <c r="D178" s="102" t="s">
        <v>54</v>
      </c>
      <c r="E178" s="103" t="s">
        <v>217</v>
      </c>
      <c r="F178" s="23" t="s">
        <v>218</v>
      </c>
      <c r="G178" s="104">
        <v>20</v>
      </c>
      <c r="H178" s="457"/>
      <c r="I178" s="457"/>
      <c r="J178" s="457"/>
      <c r="K178" s="104" t="s">
        <v>67</v>
      </c>
      <c r="L178" s="104" t="s">
        <v>19</v>
      </c>
      <c r="M178" s="104">
        <v>220</v>
      </c>
      <c r="N178" s="167"/>
      <c r="O178" s="104"/>
      <c r="P178" s="136" t="s">
        <v>47</v>
      </c>
      <c r="Q178" s="89"/>
      <c r="R178" s="89"/>
      <c r="S178" s="89"/>
      <c r="T178" s="89"/>
      <c r="U178" s="89" t="s">
        <v>29</v>
      </c>
      <c r="V178" s="89"/>
      <c r="W178" s="89"/>
      <c r="X178" s="89"/>
      <c r="Y178" s="90" t="s">
        <v>652</v>
      </c>
      <c r="Z178" s="45"/>
      <c r="AA178" s="38"/>
      <c r="AB178" s="39" t="e">
        <f>IF(E178=E177,AB177,AB177+1)</f>
        <v>#REF!</v>
      </c>
      <c r="AE178" s="6"/>
    </row>
    <row r="179" spans="1:31" s="449" customFormat="1" ht="39.4" customHeight="1">
      <c r="A179" s="449">
        <v>4</v>
      </c>
      <c r="B179" s="449" t="s">
        <v>890</v>
      </c>
      <c r="C179" s="187">
        <v>44079</v>
      </c>
      <c r="D179" s="102" t="s">
        <v>55</v>
      </c>
      <c r="E179" s="103" t="s">
        <v>646</v>
      </c>
      <c r="F179" s="23" t="s">
        <v>647</v>
      </c>
      <c r="G179" s="104">
        <v>1</v>
      </c>
      <c r="H179" s="457"/>
      <c r="I179" s="457"/>
      <c r="J179" s="457"/>
      <c r="K179" s="104" t="s">
        <v>79</v>
      </c>
      <c r="L179" s="104" t="s">
        <v>28</v>
      </c>
      <c r="M179" s="104">
        <v>230</v>
      </c>
      <c r="N179" s="167"/>
      <c r="O179" s="104"/>
      <c r="P179" s="136"/>
      <c r="Q179" s="89"/>
      <c r="R179" s="89"/>
      <c r="S179" s="89"/>
      <c r="T179" s="89"/>
      <c r="U179" s="90" t="s">
        <v>70</v>
      </c>
      <c r="V179" s="89" t="s">
        <v>29</v>
      </c>
      <c r="W179" s="89"/>
      <c r="X179" s="89"/>
      <c r="Y179" s="90" t="s">
        <v>653</v>
      </c>
      <c r="Z179" s="45"/>
      <c r="AA179" s="38"/>
      <c r="AB179" s="39" t="e">
        <f>IF(E179=E177,AB177,AB177+1)</f>
        <v>#REF!</v>
      </c>
      <c r="AE179" s="6"/>
    </row>
    <row r="180" spans="1:31" s="449" customFormat="1" ht="39.4" customHeight="1">
      <c r="A180" s="449">
        <v>8</v>
      </c>
      <c r="B180" s="449" t="s">
        <v>889</v>
      </c>
      <c r="C180" s="187">
        <v>44079</v>
      </c>
      <c r="D180" s="102" t="s">
        <v>55</v>
      </c>
      <c r="E180" s="103" t="s">
        <v>646</v>
      </c>
      <c r="F180" s="23" t="s">
        <v>647</v>
      </c>
      <c r="G180" s="104">
        <v>139</v>
      </c>
      <c r="H180" s="457"/>
      <c r="I180" s="457"/>
      <c r="J180" s="457"/>
      <c r="K180" s="104" t="s">
        <v>79</v>
      </c>
      <c r="L180" s="104" t="s">
        <v>28</v>
      </c>
      <c r="M180" s="104">
        <v>230</v>
      </c>
      <c r="N180" s="167"/>
      <c r="O180" s="104"/>
      <c r="P180" s="136"/>
      <c r="Q180" s="89"/>
      <c r="R180" s="89"/>
      <c r="S180" s="89"/>
      <c r="T180" s="89"/>
      <c r="U180" s="90" t="s">
        <v>70</v>
      </c>
      <c r="V180" s="89" t="s">
        <v>29</v>
      </c>
      <c r="W180" s="89"/>
      <c r="X180" s="89"/>
      <c r="Y180" s="90" t="s">
        <v>653</v>
      </c>
      <c r="Z180" s="45"/>
      <c r="AA180" s="38"/>
      <c r="AB180" s="39" t="e">
        <f>IF(E180=E178,AB178,AB178+1)</f>
        <v>#REF!</v>
      </c>
      <c r="AE180" s="6"/>
    </row>
    <row r="181" spans="1:31" s="449" customFormat="1" ht="39.4" customHeight="1">
      <c r="A181" s="449">
        <v>8</v>
      </c>
      <c r="B181" s="449" t="s">
        <v>889</v>
      </c>
      <c r="C181" s="187">
        <v>44079</v>
      </c>
      <c r="D181" s="102" t="s">
        <v>56</v>
      </c>
      <c r="E181" s="103" t="s">
        <v>91</v>
      </c>
      <c r="F181" s="23" t="s">
        <v>160</v>
      </c>
      <c r="G181" s="104">
        <v>59</v>
      </c>
      <c r="H181" s="457"/>
      <c r="I181" s="457"/>
      <c r="J181" s="457"/>
      <c r="K181" s="104" t="s">
        <v>79</v>
      </c>
      <c r="L181" s="104" t="s">
        <v>31</v>
      </c>
      <c r="M181" s="104">
        <v>120</v>
      </c>
      <c r="N181" s="167"/>
      <c r="O181" s="104"/>
      <c r="P181" s="136"/>
      <c r="Q181" s="89"/>
      <c r="R181" s="89"/>
      <c r="S181" s="89"/>
      <c r="T181" s="89" t="s">
        <v>29</v>
      </c>
      <c r="U181" s="90" t="s">
        <v>70</v>
      </c>
      <c r="V181" s="89"/>
      <c r="W181" s="89"/>
      <c r="X181" s="89"/>
      <c r="Y181" s="90" t="s">
        <v>654</v>
      </c>
      <c r="Z181" s="45"/>
      <c r="AA181" s="38"/>
      <c r="AB181" s="39" t="e">
        <f>IF(E181=E179,AB179,AB179+1)</f>
        <v>#REF!</v>
      </c>
      <c r="AE181" s="6"/>
    </row>
    <row r="182" spans="1:31" s="449" customFormat="1" ht="39.4" customHeight="1">
      <c r="A182" s="449">
        <v>8</v>
      </c>
      <c r="B182" s="449" t="s">
        <v>890</v>
      </c>
      <c r="C182" s="187">
        <v>44079</v>
      </c>
      <c r="D182" s="102" t="s">
        <v>56</v>
      </c>
      <c r="E182" s="103" t="s">
        <v>91</v>
      </c>
      <c r="F182" s="23" t="s">
        <v>160</v>
      </c>
      <c r="G182" s="104">
        <v>33</v>
      </c>
      <c r="H182" s="457"/>
      <c r="I182" s="457"/>
      <c r="J182" s="457"/>
      <c r="K182" s="104" t="s">
        <v>79</v>
      </c>
      <c r="L182" s="104" t="s">
        <v>31</v>
      </c>
      <c r="M182" s="104">
        <v>120</v>
      </c>
      <c r="N182" s="167"/>
      <c r="O182" s="104"/>
      <c r="P182" s="136"/>
      <c r="Q182" s="89"/>
      <c r="R182" s="89"/>
      <c r="S182" s="89"/>
      <c r="T182" s="89" t="s">
        <v>29</v>
      </c>
      <c r="U182" s="90" t="s">
        <v>70</v>
      </c>
      <c r="V182" s="89"/>
      <c r="W182" s="89"/>
      <c r="X182" s="89"/>
      <c r="Y182" s="90" t="s">
        <v>654</v>
      </c>
      <c r="Z182" s="45"/>
      <c r="AA182" s="38"/>
      <c r="AB182" s="39" t="e">
        <f>IF(E182=E180,AB180,AB180+1)</f>
        <v>#REF!</v>
      </c>
      <c r="AE182" s="6"/>
    </row>
    <row r="183" spans="1:31" s="449" customFormat="1" ht="39.4" customHeight="1">
      <c r="A183" s="449">
        <v>8</v>
      </c>
      <c r="B183" s="449" t="s">
        <v>890</v>
      </c>
      <c r="C183" s="187">
        <v>44079</v>
      </c>
      <c r="D183" s="102" t="s">
        <v>57</v>
      </c>
      <c r="E183" s="103" t="s">
        <v>119</v>
      </c>
      <c r="F183" s="23" t="s">
        <v>155</v>
      </c>
      <c r="G183" s="104">
        <v>52</v>
      </c>
      <c r="H183" s="457"/>
      <c r="I183" s="457"/>
      <c r="J183" s="457"/>
      <c r="K183" s="104" t="s">
        <v>67</v>
      </c>
      <c r="L183" s="104" t="s">
        <v>18</v>
      </c>
      <c r="M183" s="104">
        <v>220</v>
      </c>
      <c r="N183" s="167"/>
      <c r="O183" s="104"/>
      <c r="P183" s="136" t="s">
        <v>47</v>
      </c>
      <c r="Q183" s="89"/>
      <c r="R183" s="89"/>
      <c r="S183" s="89"/>
      <c r="T183" s="89"/>
      <c r="U183" s="89" t="s">
        <v>29</v>
      </c>
      <c r="V183" s="89"/>
      <c r="W183" s="89" t="s">
        <v>29</v>
      </c>
      <c r="X183" s="89"/>
      <c r="Y183" s="90" t="s">
        <v>655</v>
      </c>
      <c r="Z183" s="45"/>
      <c r="AA183" s="38"/>
      <c r="AB183" s="39" t="e">
        <f t="shared" ref="AB183:AB195" si="11">IF(E183=E182,AB182,AB182+1)</f>
        <v>#REF!</v>
      </c>
      <c r="AE183" s="6"/>
    </row>
    <row r="184" spans="1:31" s="449" customFormat="1" ht="39.4" customHeight="1">
      <c r="A184" s="449">
        <v>8</v>
      </c>
      <c r="B184" s="449" t="s">
        <v>890</v>
      </c>
      <c r="C184" s="188">
        <v>44081</v>
      </c>
      <c r="D184" s="102" t="s">
        <v>54</v>
      </c>
      <c r="E184" s="103" t="s">
        <v>119</v>
      </c>
      <c r="F184" s="23" t="s">
        <v>155</v>
      </c>
      <c r="G184" s="104">
        <v>61</v>
      </c>
      <c r="H184" s="457"/>
      <c r="I184" s="457"/>
      <c r="J184" s="457"/>
      <c r="K184" s="104" t="s">
        <v>67</v>
      </c>
      <c r="L184" s="104" t="s">
        <v>18</v>
      </c>
      <c r="M184" s="104">
        <v>220</v>
      </c>
      <c r="N184" s="167"/>
      <c r="O184" s="104"/>
      <c r="P184" s="136" t="s">
        <v>47</v>
      </c>
      <c r="Q184" s="89"/>
      <c r="R184" s="89"/>
      <c r="S184" s="89"/>
      <c r="T184" s="89"/>
      <c r="U184" s="89" t="s">
        <v>29</v>
      </c>
      <c r="V184" s="89"/>
      <c r="W184" s="89" t="s">
        <v>29</v>
      </c>
      <c r="X184" s="89"/>
      <c r="Y184" s="90" t="s">
        <v>656</v>
      </c>
      <c r="Z184" s="45"/>
      <c r="AA184" s="38"/>
      <c r="AB184" s="39" t="e">
        <f t="shared" si="11"/>
        <v>#REF!</v>
      </c>
      <c r="AE184" s="6"/>
    </row>
    <row r="185" spans="1:31" s="449" customFormat="1" ht="39.4" customHeight="1">
      <c r="A185" s="449">
        <v>8</v>
      </c>
      <c r="B185" s="449" t="s">
        <v>890</v>
      </c>
      <c r="C185" s="187">
        <v>44081</v>
      </c>
      <c r="D185" s="102" t="s">
        <v>55</v>
      </c>
      <c r="E185" s="103" t="s">
        <v>657</v>
      </c>
      <c r="F185" s="23" t="s">
        <v>161</v>
      </c>
      <c r="G185" s="104">
        <v>4</v>
      </c>
      <c r="H185" s="457"/>
      <c r="I185" s="457"/>
      <c r="J185" s="457"/>
      <c r="K185" s="104" t="s">
        <v>53</v>
      </c>
      <c r="L185" s="104" t="s">
        <v>19</v>
      </c>
      <c r="M185" s="104">
        <v>220</v>
      </c>
      <c r="N185" s="167"/>
      <c r="O185" s="104"/>
      <c r="P185" s="136"/>
      <c r="Q185" s="89"/>
      <c r="R185" s="89" t="s">
        <v>29</v>
      </c>
      <c r="S185" s="89"/>
      <c r="T185" s="89"/>
      <c r="U185" s="89" t="s">
        <v>29</v>
      </c>
      <c r="V185" s="89"/>
      <c r="W185" s="89" t="s">
        <v>29</v>
      </c>
      <c r="X185" s="89"/>
      <c r="Y185" s="90" t="s">
        <v>658</v>
      </c>
      <c r="Z185" s="45"/>
      <c r="AA185" s="38"/>
      <c r="AB185" s="39" t="e">
        <f t="shared" si="11"/>
        <v>#REF!</v>
      </c>
      <c r="AE185" s="6"/>
    </row>
    <row r="186" spans="1:31" s="449" customFormat="1" ht="39.4" customHeight="1">
      <c r="A186" s="449">
        <v>8</v>
      </c>
      <c r="B186" s="449" t="s">
        <v>890</v>
      </c>
      <c r="C186" s="187">
        <v>44081</v>
      </c>
      <c r="D186" s="102" t="s">
        <v>56</v>
      </c>
      <c r="E186" s="103" t="s">
        <v>126</v>
      </c>
      <c r="F186" s="23" t="s">
        <v>147</v>
      </c>
      <c r="G186" s="104">
        <v>4</v>
      </c>
      <c r="H186" s="457"/>
      <c r="I186" s="457"/>
      <c r="J186" s="457"/>
      <c r="K186" s="104" t="s">
        <v>67</v>
      </c>
      <c r="L186" s="104" t="s">
        <v>34</v>
      </c>
      <c r="M186" s="104">
        <v>120</v>
      </c>
      <c r="N186" s="167"/>
      <c r="O186" s="104"/>
      <c r="P186" s="136" t="s">
        <v>47</v>
      </c>
      <c r="Q186" s="89"/>
      <c r="R186" s="89"/>
      <c r="S186" s="89"/>
      <c r="T186" s="89"/>
      <c r="U186" s="89" t="s">
        <v>29</v>
      </c>
      <c r="V186" s="89"/>
      <c r="W186" s="89"/>
      <c r="X186" s="89"/>
      <c r="Y186" s="90" t="s">
        <v>659</v>
      </c>
      <c r="Z186" s="45"/>
      <c r="AA186" s="38"/>
      <c r="AB186" s="39" t="e">
        <f t="shared" si="11"/>
        <v>#REF!</v>
      </c>
      <c r="AE186" s="6"/>
    </row>
    <row r="187" spans="1:31" s="449" customFormat="1" ht="39.4" customHeight="1">
      <c r="A187" s="449">
        <v>8</v>
      </c>
      <c r="B187" s="449" t="s">
        <v>890</v>
      </c>
      <c r="C187" s="187">
        <v>44081</v>
      </c>
      <c r="D187" s="102" t="s">
        <v>57</v>
      </c>
      <c r="E187" s="103" t="s">
        <v>188</v>
      </c>
      <c r="F187" s="23" t="s">
        <v>153</v>
      </c>
      <c r="G187" s="104">
        <v>39</v>
      </c>
      <c r="H187" s="457"/>
      <c r="I187" s="457"/>
      <c r="J187" s="457"/>
      <c r="K187" s="104" t="s">
        <v>67</v>
      </c>
      <c r="L187" s="104" t="s">
        <v>41</v>
      </c>
      <c r="M187" s="104">
        <v>230</v>
      </c>
      <c r="N187" s="167"/>
      <c r="O187" s="104"/>
      <c r="P187" s="136" t="s">
        <v>47</v>
      </c>
      <c r="Q187" s="89"/>
      <c r="R187" s="89"/>
      <c r="S187" s="89"/>
      <c r="T187" s="89"/>
      <c r="U187" s="89" t="s">
        <v>29</v>
      </c>
      <c r="V187" s="89"/>
      <c r="W187" s="89"/>
      <c r="X187" s="89"/>
      <c r="Y187" s="90" t="s">
        <v>660</v>
      </c>
      <c r="Z187" s="45"/>
      <c r="AA187" s="38"/>
      <c r="AB187" s="39" t="e">
        <f t="shared" si="11"/>
        <v>#REF!</v>
      </c>
      <c r="AE187" s="6"/>
    </row>
    <row r="188" spans="1:31" s="449" customFormat="1" ht="39.4" customHeight="1">
      <c r="A188" s="449">
        <v>8</v>
      </c>
      <c r="B188" s="449" t="s">
        <v>890</v>
      </c>
      <c r="C188" s="187">
        <v>44081</v>
      </c>
      <c r="D188" s="102" t="s">
        <v>58</v>
      </c>
      <c r="E188" s="103" t="s">
        <v>105</v>
      </c>
      <c r="F188" s="23" t="s">
        <v>162</v>
      </c>
      <c r="G188" s="104">
        <v>3</v>
      </c>
      <c r="H188" s="457"/>
      <c r="I188" s="457"/>
      <c r="J188" s="457"/>
      <c r="K188" s="104" t="s">
        <v>98</v>
      </c>
      <c r="L188" s="104" t="s">
        <v>31</v>
      </c>
      <c r="M188" s="104">
        <v>120</v>
      </c>
      <c r="N188" s="167"/>
      <c r="O188" s="104"/>
      <c r="P188" s="136"/>
      <c r="Q188" s="89"/>
      <c r="R188" s="89"/>
      <c r="S188" s="89"/>
      <c r="T188" s="89"/>
      <c r="U188" s="90" t="s">
        <v>70</v>
      </c>
      <c r="V188" s="89" t="s">
        <v>29</v>
      </c>
      <c r="W188" s="89"/>
      <c r="X188" s="89"/>
      <c r="Y188" s="90" t="s">
        <v>661</v>
      </c>
      <c r="Z188" s="45"/>
      <c r="AA188" s="38"/>
      <c r="AB188" s="39" t="e">
        <f t="shared" si="11"/>
        <v>#REF!</v>
      </c>
      <c r="AE188" s="6"/>
    </row>
    <row r="189" spans="1:31" s="449" customFormat="1" ht="39.4" customHeight="1">
      <c r="A189" s="449">
        <v>8</v>
      </c>
      <c r="B189" s="449" t="s">
        <v>890</v>
      </c>
      <c r="C189" s="187">
        <v>44081</v>
      </c>
      <c r="D189" s="102" t="s">
        <v>59</v>
      </c>
      <c r="E189" s="103" t="s">
        <v>85</v>
      </c>
      <c r="F189" s="23" t="s">
        <v>169</v>
      </c>
      <c r="G189" s="104">
        <v>2</v>
      </c>
      <c r="H189" s="457"/>
      <c r="I189" s="457"/>
      <c r="J189" s="457"/>
      <c r="K189" s="104" t="s">
        <v>98</v>
      </c>
      <c r="L189" s="104" t="s">
        <v>31</v>
      </c>
      <c r="M189" s="104">
        <v>120</v>
      </c>
      <c r="N189" s="167"/>
      <c r="O189" s="104"/>
      <c r="P189" s="136"/>
      <c r="Q189" s="89"/>
      <c r="R189" s="89"/>
      <c r="S189" s="89"/>
      <c r="T189" s="89"/>
      <c r="U189" s="90" t="s">
        <v>70</v>
      </c>
      <c r="V189" s="89" t="s">
        <v>29</v>
      </c>
      <c r="W189" s="89"/>
      <c r="X189" s="89"/>
      <c r="Y189" s="90" t="s">
        <v>662</v>
      </c>
      <c r="Z189" s="45"/>
      <c r="AA189" s="38"/>
      <c r="AB189" s="39" t="e">
        <f t="shared" si="11"/>
        <v>#REF!</v>
      </c>
      <c r="AE189" s="6"/>
    </row>
    <row r="190" spans="1:31" s="449" customFormat="1" ht="39.4" customHeight="1">
      <c r="A190" s="449">
        <v>9</v>
      </c>
      <c r="B190" s="449" t="s">
        <v>889</v>
      </c>
      <c r="C190" s="187">
        <v>44081</v>
      </c>
      <c r="D190" s="102" t="s">
        <v>60</v>
      </c>
      <c r="E190" s="103" t="s">
        <v>575</v>
      </c>
      <c r="F190" s="23" t="s">
        <v>576</v>
      </c>
      <c r="G190" s="104">
        <v>1</v>
      </c>
      <c r="H190" s="457"/>
      <c r="I190" s="457"/>
      <c r="J190" s="457"/>
      <c r="K190" s="104" t="s">
        <v>98</v>
      </c>
      <c r="L190" s="104" t="s">
        <v>18</v>
      </c>
      <c r="M190" s="104">
        <v>220</v>
      </c>
      <c r="N190" s="167"/>
      <c r="O190" s="104"/>
      <c r="P190" s="136"/>
      <c r="Q190" s="89"/>
      <c r="R190" s="89"/>
      <c r="S190" s="89"/>
      <c r="T190" s="89"/>
      <c r="U190" s="90" t="s">
        <v>70</v>
      </c>
      <c r="V190" s="89" t="s">
        <v>29</v>
      </c>
      <c r="W190" s="89" t="s">
        <v>29</v>
      </c>
      <c r="X190" s="89"/>
      <c r="Y190" s="90" t="s">
        <v>663</v>
      </c>
      <c r="Z190" s="45"/>
      <c r="AA190" s="38"/>
      <c r="AB190" s="39" t="e">
        <f t="shared" si="11"/>
        <v>#REF!</v>
      </c>
      <c r="AE190" s="6"/>
    </row>
    <row r="191" spans="1:31" s="449" customFormat="1" ht="39.4" customHeight="1">
      <c r="A191" s="449">
        <v>9</v>
      </c>
      <c r="B191" s="449" t="s">
        <v>889</v>
      </c>
      <c r="C191" s="187">
        <v>44081</v>
      </c>
      <c r="D191" s="102" t="s">
        <v>61</v>
      </c>
      <c r="E191" s="103" t="s">
        <v>578</v>
      </c>
      <c r="F191" s="23" t="s">
        <v>579</v>
      </c>
      <c r="G191" s="104">
        <v>1</v>
      </c>
      <c r="H191" s="457"/>
      <c r="I191" s="457"/>
      <c r="J191" s="457"/>
      <c r="K191" s="104" t="s">
        <v>98</v>
      </c>
      <c r="L191" s="104" t="s">
        <v>18</v>
      </c>
      <c r="M191" s="104">
        <v>220</v>
      </c>
      <c r="N191" s="167"/>
      <c r="O191" s="104"/>
      <c r="P191" s="136"/>
      <c r="Q191" s="89"/>
      <c r="R191" s="89"/>
      <c r="S191" s="89"/>
      <c r="T191" s="89"/>
      <c r="U191" s="90" t="s">
        <v>70</v>
      </c>
      <c r="V191" s="89" t="s">
        <v>29</v>
      </c>
      <c r="W191" s="89" t="s">
        <v>29</v>
      </c>
      <c r="X191" s="89"/>
      <c r="Y191" s="90" t="s">
        <v>664</v>
      </c>
      <c r="Z191" s="45"/>
      <c r="AA191" s="38"/>
      <c r="AB191" s="39" t="e">
        <f t="shared" si="11"/>
        <v>#REF!</v>
      </c>
      <c r="AE191" s="6"/>
    </row>
    <row r="192" spans="1:31" s="449" customFormat="1" ht="39.4" customHeight="1">
      <c r="A192" s="449">
        <v>9</v>
      </c>
      <c r="B192" s="449" t="s">
        <v>889</v>
      </c>
      <c r="C192" s="187">
        <v>44081</v>
      </c>
      <c r="D192" s="102" t="s">
        <v>63</v>
      </c>
      <c r="E192" s="103" t="s">
        <v>221</v>
      </c>
      <c r="F192" s="23" t="s">
        <v>222</v>
      </c>
      <c r="G192" s="104">
        <v>13</v>
      </c>
      <c r="H192" s="457"/>
      <c r="I192" s="457"/>
      <c r="J192" s="457"/>
      <c r="K192" s="104" t="s">
        <v>79</v>
      </c>
      <c r="L192" s="104" t="s">
        <v>28</v>
      </c>
      <c r="M192" s="104">
        <v>230</v>
      </c>
      <c r="N192" s="167"/>
      <c r="O192" s="104"/>
      <c r="P192" s="136"/>
      <c r="Q192" s="89"/>
      <c r="R192" s="89"/>
      <c r="S192" s="89"/>
      <c r="T192" s="89"/>
      <c r="U192" s="90" t="s">
        <v>70</v>
      </c>
      <c r="V192" s="89" t="s">
        <v>29</v>
      </c>
      <c r="W192" s="89"/>
      <c r="X192" s="89"/>
      <c r="Y192" s="90" t="s">
        <v>665</v>
      </c>
      <c r="Z192" s="45"/>
      <c r="AA192" s="38"/>
      <c r="AB192" s="39" t="e">
        <f t="shared" si="11"/>
        <v>#REF!</v>
      </c>
      <c r="AE192" s="6"/>
    </row>
    <row r="193" spans="1:31" s="449" customFormat="1" ht="39.4" customHeight="1">
      <c r="A193" s="449">
        <v>9</v>
      </c>
      <c r="B193" s="449" t="s">
        <v>889</v>
      </c>
      <c r="C193" s="187">
        <v>44081</v>
      </c>
      <c r="D193" s="102" t="s">
        <v>62</v>
      </c>
      <c r="E193" s="103" t="s">
        <v>81</v>
      </c>
      <c r="F193" s="23" t="s">
        <v>151</v>
      </c>
      <c r="G193" s="104">
        <v>51</v>
      </c>
      <c r="H193" s="457"/>
      <c r="I193" s="457"/>
      <c r="J193" s="457"/>
      <c r="K193" s="104" t="s">
        <v>79</v>
      </c>
      <c r="L193" s="104" t="s">
        <v>28</v>
      </c>
      <c r="M193" s="104">
        <v>230</v>
      </c>
      <c r="N193" s="167"/>
      <c r="O193" s="104"/>
      <c r="P193" s="136"/>
      <c r="Q193" s="89"/>
      <c r="R193" s="89"/>
      <c r="S193" s="89"/>
      <c r="T193" s="89"/>
      <c r="U193" s="90" t="s">
        <v>70</v>
      </c>
      <c r="V193" s="89" t="s">
        <v>29</v>
      </c>
      <c r="W193" s="89"/>
      <c r="X193" s="89"/>
      <c r="Y193" s="90" t="s">
        <v>666</v>
      </c>
      <c r="Z193" s="45"/>
      <c r="AA193" s="38"/>
      <c r="AB193" s="39" t="e">
        <f t="shared" si="11"/>
        <v>#REF!</v>
      </c>
      <c r="AE193" s="6"/>
    </row>
    <row r="194" spans="1:31" s="449" customFormat="1" ht="39.4" customHeight="1">
      <c r="A194" s="449">
        <v>9</v>
      </c>
      <c r="B194" s="449" t="s">
        <v>889</v>
      </c>
      <c r="C194" s="187">
        <v>44081</v>
      </c>
      <c r="D194" s="102" t="s">
        <v>65</v>
      </c>
      <c r="E194" s="103" t="s">
        <v>92</v>
      </c>
      <c r="F194" s="23" t="s">
        <v>159</v>
      </c>
      <c r="G194" s="104">
        <v>99</v>
      </c>
      <c r="H194" s="457"/>
      <c r="I194" s="457"/>
      <c r="J194" s="457"/>
      <c r="K194" s="104" t="s">
        <v>79</v>
      </c>
      <c r="L194" s="104" t="s">
        <v>31</v>
      </c>
      <c r="M194" s="104">
        <v>120</v>
      </c>
      <c r="N194" s="167"/>
      <c r="O194" s="104"/>
      <c r="P194" s="136"/>
      <c r="Q194" s="89"/>
      <c r="R194" s="89"/>
      <c r="S194" s="89"/>
      <c r="T194" s="89"/>
      <c r="U194" s="90" t="s">
        <v>70</v>
      </c>
      <c r="V194" s="89" t="s">
        <v>29</v>
      </c>
      <c r="W194" s="89"/>
      <c r="X194" s="89"/>
      <c r="Y194" s="90" t="s">
        <v>667</v>
      </c>
      <c r="Z194" s="45"/>
      <c r="AA194" s="38"/>
      <c r="AB194" s="39" t="e">
        <f t="shared" si="11"/>
        <v>#REF!</v>
      </c>
      <c r="AE194" s="6"/>
    </row>
    <row r="195" spans="1:31" s="449" customFormat="1" ht="39.4" customHeight="1">
      <c r="A195" s="449">
        <v>9</v>
      </c>
      <c r="B195" s="449" t="s">
        <v>889</v>
      </c>
      <c r="C195" s="187">
        <v>44081</v>
      </c>
      <c r="D195" s="102" t="s">
        <v>66</v>
      </c>
      <c r="E195" s="103" t="s">
        <v>84</v>
      </c>
      <c r="F195" s="23" t="s">
        <v>152</v>
      </c>
      <c r="G195" s="104">
        <v>25</v>
      </c>
      <c r="H195" s="457"/>
      <c r="I195" s="457"/>
      <c r="J195" s="457"/>
      <c r="K195" s="104" t="s">
        <v>79</v>
      </c>
      <c r="L195" s="104" t="s">
        <v>28</v>
      </c>
      <c r="M195" s="104">
        <v>230</v>
      </c>
      <c r="N195" s="167"/>
      <c r="O195" s="104"/>
      <c r="P195" s="136"/>
      <c r="Q195" s="89"/>
      <c r="R195" s="89"/>
      <c r="S195" s="89"/>
      <c r="T195" s="89"/>
      <c r="U195" s="90" t="s">
        <v>70</v>
      </c>
      <c r="V195" s="89" t="s">
        <v>29</v>
      </c>
      <c r="W195" s="89"/>
      <c r="X195" s="89"/>
      <c r="Y195" s="90" t="s">
        <v>668</v>
      </c>
      <c r="Z195" s="45"/>
      <c r="AA195" s="38"/>
      <c r="AB195" s="39" t="e">
        <f t="shared" si="11"/>
        <v>#REF!</v>
      </c>
      <c r="AE195" s="6"/>
    </row>
    <row r="196" spans="1:31" s="449" customFormat="1" ht="39.4" customHeight="1">
      <c r="A196" s="449">
        <v>9</v>
      </c>
      <c r="B196" s="449" t="s">
        <v>889</v>
      </c>
      <c r="C196" s="187">
        <v>44081</v>
      </c>
      <c r="D196" s="102" t="s">
        <v>223</v>
      </c>
      <c r="E196" s="103" t="s">
        <v>90</v>
      </c>
      <c r="F196" s="23" t="s">
        <v>148</v>
      </c>
      <c r="G196" s="104">
        <v>20</v>
      </c>
      <c r="H196" s="457"/>
      <c r="I196" s="457"/>
      <c r="J196" s="457"/>
      <c r="K196" s="104" t="s">
        <v>79</v>
      </c>
      <c r="L196" s="104" t="s">
        <v>31</v>
      </c>
      <c r="M196" s="104">
        <v>120</v>
      </c>
      <c r="N196" s="167"/>
      <c r="O196" s="104"/>
      <c r="P196" s="136"/>
      <c r="Q196" s="89"/>
      <c r="R196" s="89"/>
      <c r="S196" s="89"/>
      <c r="T196" s="89" t="s">
        <v>29</v>
      </c>
      <c r="U196" s="90" t="s">
        <v>70</v>
      </c>
      <c r="V196" s="89"/>
      <c r="W196" s="89"/>
      <c r="X196" s="89"/>
      <c r="Y196" s="90" t="s">
        <v>669</v>
      </c>
      <c r="Z196" s="45"/>
      <c r="AA196" s="38"/>
      <c r="AB196" s="39" t="e">
        <f>IF(E196=E194,AB194,AB194+1)</f>
        <v>#REF!</v>
      </c>
      <c r="AE196" s="6"/>
    </row>
    <row r="197" spans="1:31" s="449" customFormat="1" ht="39.4" customHeight="1">
      <c r="A197" s="449">
        <v>9</v>
      </c>
      <c r="B197" s="449" t="s">
        <v>890</v>
      </c>
      <c r="C197" s="187">
        <v>44081</v>
      </c>
      <c r="D197" s="102" t="s">
        <v>223</v>
      </c>
      <c r="E197" s="103" t="s">
        <v>90</v>
      </c>
      <c r="F197" s="23" t="s">
        <v>148</v>
      </c>
      <c r="G197" s="104">
        <v>1</v>
      </c>
      <c r="H197" s="457"/>
      <c r="I197" s="457"/>
      <c r="J197" s="457"/>
      <c r="K197" s="104" t="s">
        <v>79</v>
      </c>
      <c r="L197" s="104" t="s">
        <v>31</v>
      </c>
      <c r="M197" s="104">
        <v>120</v>
      </c>
      <c r="N197" s="167"/>
      <c r="O197" s="104"/>
      <c r="P197" s="136"/>
      <c r="Q197" s="89"/>
      <c r="R197" s="89"/>
      <c r="S197" s="89"/>
      <c r="T197" s="89" t="s">
        <v>29</v>
      </c>
      <c r="U197" s="90" t="s">
        <v>70</v>
      </c>
      <c r="V197" s="89"/>
      <c r="W197" s="89"/>
      <c r="X197" s="89"/>
      <c r="Y197" s="90" t="s">
        <v>669</v>
      </c>
      <c r="Z197" s="45"/>
      <c r="AA197" s="38"/>
      <c r="AB197" s="39" t="e">
        <f>IF(E197=E195,AB195,AB195+1)</f>
        <v>#REF!</v>
      </c>
      <c r="AE197" s="6"/>
    </row>
    <row r="198" spans="1:31" s="449" customFormat="1" ht="39.4" customHeight="1">
      <c r="A198" s="449">
        <v>9</v>
      </c>
      <c r="B198" s="449" t="s">
        <v>890</v>
      </c>
      <c r="C198" s="187">
        <v>44081</v>
      </c>
      <c r="D198" s="102" t="s">
        <v>224</v>
      </c>
      <c r="E198" s="103" t="s">
        <v>186</v>
      </c>
      <c r="F198" s="23" t="s">
        <v>187</v>
      </c>
      <c r="G198" s="104">
        <v>11</v>
      </c>
      <c r="H198" s="457"/>
      <c r="I198" s="457"/>
      <c r="J198" s="457"/>
      <c r="K198" s="104" t="s">
        <v>79</v>
      </c>
      <c r="L198" s="104" t="s">
        <v>49</v>
      </c>
      <c r="M198" s="104">
        <v>100</v>
      </c>
      <c r="N198" s="167"/>
      <c r="O198" s="104"/>
      <c r="P198" s="136"/>
      <c r="Q198" s="89"/>
      <c r="R198" s="89"/>
      <c r="S198" s="89"/>
      <c r="T198" s="89" t="s">
        <v>29</v>
      </c>
      <c r="U198" s="90" t="s">
        <v>70</v>
      </c>
      <c r="V198" s="89"/>
      <c r="W198" s="89" t="s">
        <v>29</v>
      </c>
      <c r="X198" s="89" t="s">
        <v>29</v>
      </c>
      <c r="Y198" s="90" t="s">
        <v>670</v>
      </c>
      <c r="Z198" s="45"/>
      <c r="AA198" s="38"/>
      <c r="AB198" s="39" t="e">
        <f t="shared" ref="AB198:AB205" si="12">IF(E198=E197,AB197,AB197+1)</f>
        <v>#REF!</v>
      </c>
      <c r="AE198" s="6"/>
    </row>
    <row r="199" spans="1:31" s="449" customFormat="1" ht="39.4" customHeight="1">
      <c r="A199" s="449">
        <v>9</v>
      </c>
      <c r="B199" s="449" t="s">
        <v>890</v>
      </c>
      <c r="C199" s="187">
        <v>44081</v>
      </c>
      <c r="D199" s="102" t="s">
        <v>225</v>
      </c>
      <c r="E199" s="103" t="s">
        <v>128</v>
      </c>
      <c r="F199" s="23" t="s">
        <v>167</v>
      </c>
      <c r="G199" s="104">
        <v>9</v>
      </c>
      <c r="H199" s="457"/>
      <c r="I199" s="457"/>
      <c r="J199" s="457"/>
      <c r="K199" s="104" t="s">
        <v>79</v>
      </c>
      <c r="L199" s="104" t="s">
        <v>49</v>
      </c>
      <c r="M199" s="104">
        <v>100</v>
      </c>
      <c r="N199" s="167"/>
      <c r="O199" s="104"/>
      <c r="P199" s="136"/>
      <c r="Q199" s="89"/>
      <c r="R199" s="89"/>
      <c r="S199" s="89"/>
      <c r="T199" s="89" t="s">
        <v>29</v>
      </c>
      <c r="U199" s="90" t="s">
        <v>70</v>
      </c>
      <c r="V199" s="89"/>
      <c r="W199" s="89" t="s">
        <v>29</v>
      </c>
      <c r="X199" s="89" t="s">
        <v>29</v>
      </c>
      <c r="Y199" s="90" t="s">
        <v>671</v>
      </c>
      <c r="Z199" s="45"/>
      <c r="AA199" s="38"/>
      <c r="AB199" s="39" t="e">
        <f t="shared" si="12"/>
        <v>#REF!</v>
      </c>
      <c r="AE199" s="6"/>
    </row>
    <row r="200" spans="1:31" s="449" customFormat="1" ht="39.4" customHeight="1">
      <c r="A200" s="449">
        <v>9</v>
      </c>
      <c r="B200" s="449" t="s">
        <v>890</v>
      </c>
      <c r="C200" s="187">
        <v>44081</v>
      </c>
      <c r="D200" s="102" t="s">
        <v>226</v>
      </c>
      <c r="E200" s="103" t="s">
        <v>102</v>
      </c>
      <c r="F200" s="23" t="s">
        <v>155</v>
      </c>
      <c r="G200" s="104">
        <v>52</v>
      </c>
      <c r="H200" s="457"/>
      <c r="I200" s="457"/>
      <c r="J200" s="457"/>
      <c r="K200" s="104" t="s">
        <v>67</v>
      </c>
      <c r="L200" s="104" t="s">
        <v>20</v>
      </c>
      <c r="M200" s="104">
        <v>230</v>
      </c>
      <c r="N200" s="167"/>
      <c r="O200" s="104"/>
      <c r="P200" s="136"/>
      <c r="Q200" s="89"/>
      <c r="R200" s="89"/>
      <c r="S200" s="89"/>
      <c r="T200" s="89"/>
      <c r="U200" s="89"/>
      <c r="V200" s="89" t="s">
        <v>29</v>
      </c>
      <c r="W200" s="89"/>
      <c r="X200" s="89"/>
      <c r="Y200" s="90" t="s">
        <v>672</v>
      </c>
      <c r="Z200" s="45"/>
      <c r="AA200" s="38"/>
      <c r="AB200" s="39" t="e">
        <f t="shared" si="12"/>
        <v>#REF!</v>
      </c>
      <c r="AE200" s="6"/>
    </row>
    <row r="201" spans="1:31" s="449" customFormat="1" ht="39.4" customHeight="1">
      <c r="A201" s="449">
        <v>9</v>
      </c>
      <c r="B201" s="449" t="s">
        <v>890</v>
      </c>
      <c r="C201" s="188">
        <v>44082</v>
      </c>
      <c r="D201" s="102" t="s">
        <v>54</v>
      </c>
      <c r="E201" s="103" t="s">
        <v>102</v>
      </c>
      <c r="F201" s="23" t="s">
        <v>155</v>
      </c>
      <c r="G201" s="104">
        <v>8</v>
      </c>
      <c r="H201" s="457"/>
      <c r="I201" s="457"/>
      <c r="J201" s="457"/>
      <c r="K201" s="104" t="s">
        <v>67</v>
      </c>
      <c r="L201" s="104" t="s">
        <v>20</v>
      </c>
      <c r="M201" s="104">
        <v>230</v>
      </c>
      <c r="N201" s="167"/>
      <c r="O201" s="104"/>
      <c r="P201" s="136"/>
      <c r="Q201" s="89"/>
      <c r="R201" s="89"/>
      <c r="S201" s="89"/>
      <c r="T201" s="89"/>
      <c r="U201" s="89"/>
      <c r="V201" s="89" t="s">
        <v>29</v>
      </c>
      <c r="W201" s="89"/>
      <c r="X201" s="89"/>
      <c r="Y201" s="90" t="s">
        <v>673</v>
      </c>
      <c r="Z201" s="45"/>
      <c r="AA201" s="38"/>
      <c r="AB201" s="39" t="e">
        <f t="shared" si="12"/>
        <v>#REF!</v>
      </c>
      <c r="AE201" s="6"/>
    </row>
    <row r="202" spans="1:31" s="449" customFormat="1" ht="39.4" customHeight="1">
      <c r="A202" s="449">
        <v>9</v>
      </c>
      <c r="B202" s="449" t="s">
        <v>890</v>
      </c>
      <c r="C202" s="187">
        <v>44082</v>
      </c>
      <c r="D202" s="102" t="s">
        <v>55</v>
      </c>
      <c r="E202" s="103" t="s">
        <v>119</v>
      </c>
      <c r="F202" s="23" t="s">
        <v>155</v>
      </c>
      <c r="G202" s="104">
        <v>100</v>
      </c>
      <c r="H202" s="457"/>
      <c r="I202" s="457"/>
      <c r="J202" s="457"/>
      <c r="K202" s="104" t="s">
        <v>67</v>
      </c>
      <c r="L202" s="104" t="s">
        <v>18</v>
      </c>
      <c r="M202" s="104">
        <v>220</v>
      </c>
      <c r="N202" s="167"/>
      <c r="O202" s="104"/>
      <c r="P202" s="136" t="s">
        <v>47</v>
      </c>
      <c r="Q202" s="89"/>
      <c r="R202" s="89"/>
      <c r="S202" s="89"/>
      <c r="T202" s="89"/>
      <c r="U202" s="89" t="s">
        <v>29</v>
      </c>
      <c r="V202" s="89"/>
      <c r="W202" s="89" t="s">
        <v>29</v>
      </c>
      <c r="X202" s="89"/>
      <c r="Y202" s="90" t="s">
        <v>674</v>
      </c>
      <c r="Z202" s="45"/>
      <c r="AA202" s="38"/>
      <c r="AB202" s="39" t="e">
        <f t="shared" si="12"/>
        <v>#REF!</v>
      </c>
      <c r="AE202" s="6"/>
    </row>
    <row r="203" spans="1:31" s="449" customFormat="1" ht="39.4" customHeight="1">
      <c r="A203" s="449">
        <v>9</v>
      </c>
      <c r="B203" s="449" t="s">
        <v>890</v>
      </c>
      <c r="C203" s="187">
        <v>44082</v>
      </c>
      <c r="D203" s="102" t="s">
        <v>56</v>
      </c>
      <c r="E203" s="103" t="s">
        <v>182</v>
      </c>
      <c r="F203" s="23" t="s">
        <v>183</v>
      </c>
      <c r="G203" s="104">
        <v>4</v>
      </c>
      <c r="H203" s="457"/>
      <c r="I203" s="457"/>
      <c r="J203" s="457"/>
      <c r="K203" s="104" t="s">
        <v>98</v>
      </c>
      <c r="L203" s="104" t="s">
        <v>31</v>
      </c>
      <c r="M203" s="104">
        <v>120</v>
      </c>
      <c r="N203" s="167"/>
      <c r="O203" s="104"/>
      <c r="P203" s="136"/>
      <c r="Q203" s="89"/>
      <c r="R203" s="89"/>
      <c r="S203" s="89"/>
      <c r="T203" s="89" t="s">
        <v>29</v>
      </c>
      <c r="U203" s="90" t="s">
        <v>70</v>
      </c>
      <c r="V203" s="89"/>
      <c r="W203" s="89"/>
      <c r="X203" s="89"/>
      <c r="Y203" s="90" t="s">
        <v>675</v>
      </c>
      <c r="Z203" s="45"/>
      <c r="AA203" s="38"/>
      <c r="AB203" s="39" t="e">
        <f t="shared" si="12"/>
        <v>#REF!</v>
      </c>
      <c r="AE203" s="6"/>
    </row>
    <row r="204" spans="1:31" s="449" customFormat="1" ht="39.4" customHeight="1">
      <c r="A204" s="449">
        <v>9</v>
      </c>
      <c r="B204" s="449" t="s">
        <v>890</v>
      </c>
      <c r="C204" s="187">
        <v>44082</v>
      </c>
      <c r="D204" s="102" t="s">
        <v>57</v>
      </c>
      <c r="E204" s="103" t="s">
        <v>184</v>
      </c>
      <c r="F204" s="23" t="s">
        <v>185</v>
      </c>
      <c r="G204" s="104">
        <v>4</v>
      </c>
      <c r="H204" s="457"/>
      <c r="I204" s="457"/>
      <c r="J204" s="457"/>
      <c r="K204" s="104" t="s">
        <v>98</v>
      </c>
      <c r="L204" s="104" t="s">
        <v>31</v>
      </c>
      <c r="M204" s="104">
        <v>120</v>
      </c>
      <c r="N204" s="167"/>
      <c r="O204" s="104"/>
      <c r="P204" s="136"/>
      <c r="Q204" s="89"/>
      <c r="R204" s="89"/>
      <c r="S204" s="89"/>
      <c r="T204" s="89" t="s">
        <v>29</v>
      </c>
      <c r="U204" s="90" t="s">
        <v>70</v>
      </c>
      <c r="V204" s="89"/>
      <c r="W204" s="89"/>
      <c r="X204" s="89"/>
      <c r="Y204" s="90" t="s">
        <v>676</v>
      </c>
      <c r="Z204" s="45"/>
      <c r="AA204" s="38"/>
      <c r="AB204" s="39" t="e">
        <f t="shared" si="12"/>
        <v>#REF!</v>
      </c>
      <c r="AE204" s="6"/>
    </row>
    <row r="205" spans="1:31" s="449" customFormat="1" ht="39.4" customHeight="1">
      <c r="A205" s="449">
        <v>9</v>
      </c>
      <c r="B205" s="449" t="s">
        <v>890</v>
      </c>
      <c r="C205" s="187">
        <v>44082</v>
      </c>
      <c r="D205" s="102" t="s">
        <v>58</v>
      </c>
      <c r="E205" s="103" t="s">
        <v>84</v>
      </c>
      <c r="F205" s="23" t="s">
        <v>152</v>
      </c>
      <c r="G205" s="104">
        <v>16</v>
      </c>
      <c r="H205" s="457"/>
      <c r="I205" s="457"/>
      <c r="J205" s="457"/>
      <c r="K205" s="104" t="s">
        <v>79</v>
      </c>
      <c r="L205" s="104" t="s">
        <v>28</v>
      </c>
      <c r="M205" s="104">
        <v>230</v>
      </c>
      <c r="N205" s="167"/>
      <c r="O205" s="104"/>
      <c r="P205" s="136"/>
      <c r="Q205" s="89"/>
      <c r="R205" s="89"/>
      <c r="S205" s="89"/>
      <c r="T205" s="89"/>
      <c r="U205" s="90" t="s">
        <v>70</v>
      </c>
      <c r="V205" s="89" t="s">
        <v>29</v>
      </c>
      <c r="W205" s="89"/>
      <c r="X205" s="89"/>
      <c r="Y205" s="90" t="s">
        <v>677</v>
      </c>
      <c r="Z205" s="45"/>
      <c r="AA205" s="38"/>
      <c r="AB205" s="39" t="e">
        <f t="shared" si="12"/>
        <v>#REF!</v>
      </c>
      <c r="AE205" s="6"/>
    </row>
    <row r="206" spans="1:31" s="449" customFormat="1" ht="39.4" customHeight="1">
      <c r="A206" s="449">
        <v>9</v>
      </c>
      <c r="B206" s="449" t="s">
        <v>890</v>
      </c>
      <c r="C206" s="187">
        <v>44082</v>
      </c>
      <c r="D206" s="102" t="s">
        <v>59</v>
      </c>
      <c r="E206" s="103" t="s">
        <v>118</v>
      </c>
      <c r="F206" s="23" t="s">
        <v>150</v>
      </c>
      <c r="G206" s="104">
        <v>5</v>
      </c>
      <c r="H206" s="457"/>
      <c r="I206" s="457"/>
      <c r="J206" s="457"/>
      <c r="K206" s="104" t="s">
        <v>79</v>
      </c>
      <c r="L206" s="104" t="s">
        <v>18</v>
      </c>
      <c r="M206" s="104">
        <v>220</v>
      </c>
      <c r="N206" s="167"/>
      <c r="O206" s="104"/>
      <c r="P206" s="136"/>
      <c r="Q206" s="89"/>
      <c r="R206" s="89"/>
      <c r="S206" s="89"/>
      <c r="T206" s="89"/>
      <c r="U206" s="90" t="s">
        <v>70</v>
      </c>
      <c r="V206" s="89" t="s">
        <v>29</v>
      </c>
      <c r="W206" s="89" t="s">
        <v>29</v>
      </c>
      <c r="X206" s="89"/>
      <c r="Y206" s="90" t="s">
        <v>678</v>
      </c>
      <c r="Z206" s="45"/>
      <c r="AA206" s="38"/>
      <c r="AB206" s="39" t="e">
        <f>IF(E206=E204,AB204,AB204+1)</f>
        <v>#REF!</v>
      </c>
      <c r="AE206" s="6"/>
    </row>
    <row r="207" spans="1:31" s="449" customFormat="1" ht="39.4" customHeight="1">
      <c r="A207" s="449">
        <v>10</v>
      </c>
      <c r="B207" s="449" t="s">
        <v>889</v>
      </c>
      <c r="C207" s="187">
        <v>44082</v>
      </c>
      <c r="D207" s="102" t="s">
        <v>59</v>
      </c>
      <c r="E207" s="103" t="s">
        <v>118</v>
      </c>
      <c r="F207" s="23" t="s">
        <v>150</v>
      </c>
      <c r="G207" s="104">
        <v>148</v>
      </c>
      <c r="H207" s="457"/>
      <c r="I207" s="457"/>
      <c r="J207" s="457"/>
      <c r="K207" s="104" t="s">
        <v>79</v>
      </c>
      <c r="L207" s="104" t="s">
        <v>18</v>
      </c>
      <c r="M207" s="104">
        <v>220</v>
      </c>
      <c r="N207" s="167"/>
      <c r="O207" s="104"/>
      <c r="P207" s="136"/>
      <c r="Q207" s="89"/>
      <c r="R207" s="89"/>
      <c r="S207" s="89"/>
      <c r="T207" s="89"/>
      <c r="U207" s="90" t="s">
        <v>70</v>
      </c>
      <c r="V207" s="89" t="s">
        <v>29</v>
      </c>
      <c r="W207" s="89" t="s">
        <v>29</v>
      </c>
      <c r="X207" s="89"/>
      <c r="Y207" s="90" t="s">
        <v>678</v>
      </c>
      <c r="Z207" s="45"/>
      <c r="AA207" s="38"/>
      <c r="AB207" s="39" t="e">
        <f>IF(E207=E205,AB205,AB205+1)</f>
        <v>#REF!</v>
      </c>
      <c r="AE207" s="6"/>
    </row>
    <row r="208" spans="1:31" s="449" customFormat="1" ht="39.4" customHeight="1">
      <c r="A208" s="449">
        <v>10</v>
      </c>
      <c r="B208" s="449" t="s">
        <v>889</v>
      </c>
      <c r="C208" s="187">
        <v>44082</v>
      </c>
      <c r="D208" s="102" t="s">
        <v>60</v>
      </c>
      <c r="E208" s="103" t="s">
        <v>93</v>
      </c>
      <c r="F208" s="23" t="s">
        <v>157</v>
      </c>
      <c r="G208" s="104">
        <v>31</v>
      </c>
      <c r="H208" s="457"/>
      <c r="I208" s="457"/>
      <c r="J208" s="457"/>
      <c r="K208" s="104" t="s">
        <v>79</v>
      </c>
      <c r="L208" s="104" t="s">
        <v>31</v>
      </c>
      <c r="M208" s="104">
        <v>120</v>
      </c>
      <c r="N208" s="167"/>
      <c r="O208" s="104"/>
      <c r="P208" s="136"/>
      <c r="Q208" s="89"/>
      <c r="R208" s="89"/>
      <c r="S208" s="89"/>
      <c r="T208" s="89"/>
      <c r="U208" s="90" t="s">
        <v>70</v>
      </c>
      <c r="V208" s="89" t="s">
        <v>29</v>
      </c>
      <c r="W208" s="89"/>
      <c r="X208" s="89"/>
      <c r="Y208" s="90" t="s">
        <v>679</v>
      </c>
      <c r="Z208" s="45"/>
      <c r="AA208" s="38"/>
      <c r="AB208" s="39" t="e">
        <f>IF(E208=E207,AB207,AB207+1)</f>
        <v>#REF!</v>
      </c>
      <c r="AE208" s="6"/>
    </row>
    <row r="209" spans="1:31" s="449" customFormat="1" ht="39.4" customHeight="1">
      <c r="A209" s="449">
        <v>10</v>
      </c>
      <c r="B209" s="449" t="s">
        <v>889</v>
      </c>
      <c r="C209" s="187">
        <v>44082</v>
      </c>
      <c r="D209" s="102" t="s">
        <v>61</v>
      </c>
      <c r="E209" s="103" t="s">
        <v>90</v>
      </c>
      <c r="F209" s="23" t="s">
        <v>148</v>
      </c>
      <c r="G209" s="104">
        <v>31</v>
      </c>
      <c r="H209" s="457"/>
      <c r="I209" s="457"/>
      <c r="J209" s="457"/>
      <c r="K209" s="104" t="s">
        <v>79</v>
      </c>
      <c r="L209" s="104" t="s">
        <v>31</v>
      </c>
      <c r="M209" s="104">
        <v>120</v>
      </c>
      <c r="N209" s="167"/>
      <c r="O209" s="104"/>
      <c r="P209" s="136"/>
      <c r="Q209" s="89"/>
      <c r="R209" s="89"/>
      <c r="S209" s="89"/>
      <c r="T209" s="89" t="s">
        <v>29</v>
      </c>
      <c r="U209" s="90" t="s">
        <v>70</v>
      </c>
      <c r="V209" s="89"/>
      <c r="W209" s="89"/>
      <c r="X209" s="89"/>
      <c r="Y209" s="90" t="s">
        <v>680</v>
      </c>
      <c r="Z209" s="45"/>
      <c r="AA209" s="38"/>
      <c r="AB209" s="39" t="e">
        <f>IF(E209=E207,AB207,AB207+1)</f>
        <v>#REF!</v>
      </c>
      <c r="AE209" s="6"/>
    </row>
    <row r="210" spans="1:31" s="449" customFormat="1" ht="39.4" customHeight="1">
      <c r="A210" s="449">
        <v>10</v>
      </c>
      <c r="B210" s="449" t="s">
        <v>890</v>
      </c>
      <c r="C210" s="187">
        <v>44082</v>
      </c>
      <c r="D210" s="102" t="s">
        <v>61</v>
      </c>
      <c r="E210" s="103" t="s">
        <v>90</v>
      </c>
      <c r="F210" s="23" t="s">
        <v>148</v>
      </c>
      <c r="G210" s="104">
        <v>1</v>
      </c>
      <c r="H210" s="457"/>
      <c r="I210" s="457"/>
      <c r="J210" s="457"/>
      <c r="K210" s="104" t="s">
        <v>79</v>
      </c>
      <c r="L210" s="104" t="s">
        <v>31</v>
      </c>
      <c r="M210" s="104">
        <v>120</v>
      </c>
      <c r="N210" s="167"/>
      <c r="O210" s="104"/>
      <c r="P210" s="136"/>
      <c r="Q210" s="89"/>
      <c r="R210" s="89"/>
      <c r="S210" s="89"/>
      <c r="T210" s="89" t="s">
        <v>29</v>
      </c>
      <c r="U210" s="90" t="s">
        <v>70</v>
      </c>
      <c r="V210" s="89"/>
      <c r="W210" s="89"/>
      <c r="X210" s="89"/>
      <c r="Y210" s="90" t="s">
        <v>680</v>
      </c>
      <c r="Z210" s="45"/>
      <c r="AA210" s="38"/>
      <c r="AB210" s="39" t="e">
        <f>IF(E210=E208,AB208,AB208+1)</f>
        <v>#REF!</v>
      </c>
      <c r="AE210" s="6"/>
    </row>
    <row r="211" spans="1:31" s="449" customFormat="1" ht="39.4" customHeight="1">
      <c r="A211" s="449">
        <v>10</v>
      </c>
      <c r="B211" s="449" t="s">
        <v>890</v>
      </c>
      <c r="C211" s="187">
        <v>44082</v>
      </c>
      <c r="D211" s="102" t="s">
        <v>63</v>
      </c>
      <c r="E211" s="103" t="s">
        <v>123</v>
      </c>
      <c r="F211" s="23" t="s">
        <v>158</v>
      </c>
      <c r="G211" s="104">
        <v>7</v>
      </c>
      <c r="H211" s="457"/>
      <c r="I211" s="457"/>
      <c r="J211" s="457"/>
      <c r="K211" s="104" t="s">
        <v>124</v>
      </c>
      <c r="L211" s="104" t="s">
        <v>18</v>
      </c>
      <c r="M211" s="104">
        <v>220</v>
      </c>
      <c r="N211" s="167"/>
      <c r="O211" s="104"/>
      <c r="P211" s="136"/>
      <c r="Q211" s="89"/>
      <c r="R211" s="89" t="s">
        <v>29</v>
      </c>
      <c r="S211" s="89"/>
      <c r="T211" s="89"/>
      <c r="U211" s="89" t="s">
        <v>29</v>
      </c>
      <c r="V211" s="89"/>
      <c r="W211" s="89" t="s">
        <v>29</v>
      </c>
      <c r="X211" s="89"/>
      <c r="Y211" s="90" t="s">
        <v>681</v>
      </c>
      <c r="Z211" s="45"/>
      <c r="AA211" s="38"/>
      <c r="AB211" s="39" t="e">
        <f t="shared" ref="AB211:AB220" si="13">IF(E211=E210,AB210,AB210+1)</f>
        <v>#REF!</v>
      </c>
      <c r="AE211" s="6"/>
    </row>
    <row r="212" spans="1:31" s="449" customFormat="1" ht="39.4" customHeight="1">
      <c r="A212" s="449">
        <v>10</v>
      </c>
      <c r="B212" s="449" t="s">
        <v>890</v>
      </c>
      <c r="C212" s="187">
        <v>44082</v>
      </c>
      <c r="D212" s="102" t="s">
        <v>62</v>
      </c>
      <c r="E212" s="103" t="s">
        <v>567</v>
      </c>
      <c r="F212" s="23" t="s">
        <v>568</v>
      </c>
      <c r="G212" s="104">
        <v>1</v>
      </c>
      <c r="H212" s="457"/>
      <c r="I212" s="457"/>
      <c r="J212" s="457"/>
      <c r="K212" s="104" t="s">
        <v>569</v>
      </c>
      <c r="L212" s="104" t="s">
        <v>18</v>
      </c>
      <c r="M212" s="104">
        <v>220</v>
      </c>
      <c r="N212" s="167"/>
      <c r="O212" s="104"/>
      <c r="P212" s="136"/>
      <c r="Q212" s="89"/>
      <c r="R212" s="89"/>
      <c r="S212" s="89"/>
      <c r="T212" s="89"/>
      <c r="U212" s="89"/>
      <c r="V212" s="89" t="s">
        <v>29</v>
      </c>
      <c r="W212" s="89" t="s">
        <v>29</v>
      </c>
      <c r="X212" s="89"/>
      <c r="Y212" s="90" t="s">
        <v>682</v>
      </c>
      <c r="Z212" s="45"/>
      <c r="AA212" s="38"/>
      <c r="AB212" s="39" t="e">
        <f t="shared" si="13"/>
        <v>#REF!</v>
      </c>
      <c r="AE212" s="6"/>
    </row>
    <row r="213" spans="1:31" s="449" customFormat="1" ht="39.4" customHeight="1">
      <c r="A213" s="449">
        <v>10</v>
      </c>
      <c r="B213" s="449" t="s">
        <v>890</v>
      </c>
      <c r="C213" s="187">
        <v>44082</v>
      </c>
      <c r="D213" s="102" t="s">
        <v>65</v>
      </c>
      <c r="E213" s="103" t="s">
        <v>103</v>
      </c>
      <c r="F213" s="23" t="s">
        <v>156</v>
      </c>
      <c r="G213" s="104">
        <v>39</v>
      </c>
      <c r="H213" s="457"/>
      <c r="I213" s="457"/>
      <c r="J213" s="457"/>
      <c r="K213" s="104" t="s">
        <v>67</v>
      </c>
      <c r="L213" s="104" t="s">
        <v>30</v>
      </c>
      <c r="M213" s="104">
        <v>230</v>
      </c>
      <c r="N213" s="167"/>
      <c r="O213" s="104"/>
      <c r="P213" s="136"/>
      <c r="Q213" s="89"/>
      <c r="R213" s="89"/>
      <c r="S213" s="89"/>
      <c r="T213" s="89"/>
      <c r="U213" s="89"/>
      <c r="V213" s="89" t="s">
        <v>29</v>
      </c>
      <c r="W213" s="89"/>
      <c r="X213" s="89"/>
      <c r="Y213" s="90" t="s">
        <v>683</v>
      </c>
      <c r="Z213" s="45"/>
      <c r="AA213" s="38"/>
      <c r="AB213" s="39" t="e">
        <f t="shared" si="13"/>
        <v>#REF!</v>
      </c>
      <c r="AE213" s="6"/>
    </row>
    <row r="214" spans="1:31" s="449" customFormat="1" ht="39.4" customHeight="1">
      <c r="A214" s="449">
        <v>10</v>
      </c>
      <c r="B214" s="449" t="s">
        <v>890</v>
      </c>
      <c r="C214" s="187">
        <v>44082</v>
      </c>
      <c r="D214" s="102" t="s">
        <v>66</v>
      </c>
      <c r="E214" s="103" t="s">
        <v>119</v>
      </c>
      <c r="F214" s="23" t="s">
        <v>155</v>
      </c>
      <c r="G214" s="104">
        <v>5</v>
      </c>
      <c r="H214" s="457"/>
      <c r="I214" s="457"/>
      <c r="J214" s="457"/>
      <c r="K214" s="104" t="s">
        <v>67</v>
      </c>
      <c r="L214" s="104" t="s">
        <v>18</v>
      </c>
      <c r="M214" s="104">
        <v>220</v>
      </c>
      <c r="N214" s="167"/>
      <c r="O214" s="104"/>
      <c r="P214" s="136" t="s">
        <v>47</v>
      </c>
      <c r="Q214" s="89"/>
      <c r="R214" s="89"/>
      <c r="S214" s="89"/>
      <c r="T214" s="89"/>
      <c r="U214" s="89" t="s">
        <v>29</v>
      </c>
      <c r="V214" s="89"/>
      <c r="W214" s="89" t="s">
        <v>29</v>
      </c>
      <c r="X214" s="89"/>
      <c r="Y214" s="90" t="s">
        <v>684</v>
      </c>
      <c r="Z214" s="45"/>
      <c r="AA214" s="38"/>
      <c r="AB214" s="39" t="e">
        <f t="shared" si="13"/>
        <v>#REF!</v>
      </c>
      <c r="AE214" s="6"/>
    </row>
    <row r="215" spans="1:31" s="449" customFormat="1" ht="39.4" customHeight="1">
      <c r="A215" s="449">
        <v>10</v>
      </c>
      <c r="B215" s="449" t="s">
        <v>890</v>
      </c>
      <c r="C215" s="188">
        <v>44083</v>
      </c>
      <c r="D215" s="102" t="s">
        <v>54</v>
      </c>
      <c r="E215" s="103" t="s">
        <v>119</v>
      </c>
      <c r="F215" s="23" t="s">
        <v>155</v>
      </c>
      <c r="G215" s="104">
        <v>101</v>
      </c>
      <c r="H215" s="457"/>
      <c r="I215" s="457"/>
      <c r="J215" s="457"/>
      <c r="K215" s="104" t="s">
        <v>67</v>
      </c>
      <c r="L215" s="104" t="s">
        <v>18</v>
      </c>
      <c r="M215" s="104">
        <v>220</v>
      </c>
      <c r="N215" s="167"/>
      <c r="O215" s="104"/>
      <c r="P215" s="136" t="s">
        <v>47</v>
      </c>
      <c r="Q215" s="89"/>
      <c r="R215" s="89"/>
      <c r="S215" s="89"/>
      <c r="T215" s="89"/>
      <c r="U215" s="89" t="s">
        <v>29</v>
      </c>
      <c r="V215" s="89"/>
      <c r="W215" s="89" t="s">
        <v>29</v>
      </c>
      <c r="X215" s="89"/>
      <c r="Y215" s="90" t="s">
        <v>685</v>
      </c>
      <c r="Z215" s="45"/>
      <c r="AA215" s="38"/>
      <c r="AB215" s="39" t="e">
        <f t="shared" si="13"/>
        <v>#REF!</v>
      </c>
      <c r="AE215" s="6"/>
    </row>
    <row r="216" spans="1:31" s="449" customFormat="1" ht="39.4" customHeight="1">
      <c r="A216" s="449">
        <v>10</v>
      </c>
      <c r="B216" s="449" t="s">
        <v>890</v>
      </c>
      <c r="C216" s="187">
        <v>44083</v>
      </c>
      <c r="D216" s="102" t="s">
        <v>55</v>
      </c>
      <c r="E216" s="103" t="s">
        <v>86</v>
      </c>
      <c r="F216" s="23" t="s">
        <v>153</v>
      </c>
      <c r="G216" s="104">
        <v>12</v>
      </c>
      <c r="H216" s="457"/>
      <c r="I216" s="457"/>
      <c r="J216" s="457"/>
      <c r="K216" s="104" t="s">
        <v>67</v>
      </c>
      <c r="L216" s="104" t="s">
        <v>30</v>
      </c>
      <c r="M216" s="104">
        <v>230</v>
      </c>
      <c r="N216" s="167"/>
      <c r="O216" s="104"/>
      <c r="P216" s="136"/>
      <c r="Q216" s="89"/>
      <c r="R216" s="89"/>
      <c r="S216" s="89"/>
      <c r="T216" s="89"/>
      <c r="U216" s="89"/>
      <c r="V216" s="89" t="s">
        <v>29</v>
      </c>
      <c r="W216" s="89"/>
      <c r="X216" s="89"/>
      <c r="Y216" s="90" t="s">
        <v>686</v>
      </c>
      <c r="Z216" s="45"/>
      <c r="AA216" s="38"/>
      <c r="AB216" s="39" t="e">
        <f t="shared" si="13"/>
        <v>#REF!</v>
      </c>
      <c r="AE216" s="6"/>
    </row>
    <row r="217" spans="1:31" s="449" customFormat="1" ht="39.4" customHeight="1">
      <c r="A217" s="449">
        <v>10</v>
      </c>
      <c r="B217" s="449" t="s">
        <v>890</v>
      </c>
      <c r="C217" s="187">
        <v>44083</v>
      </c>
      <c r="D217" s="102" t="s">
        <v>56</v>
      </c>
      <c r="E217" s="103" t="s">
        <v>129</v>
      </c>
      <c r="F217" s="23" t="s">
        <v>154</v>
      </c>
      <c r="G217" s="104">
        <v>3</v>
      </c>
      <c r="H217" s="457"/>
      <c r="I217" s="457"/>
      <c r="J217" s="457"/>
      <c r="K217" s="104" t="s">
        <v>53</v>
      </c>
      <c r="L217" s="104" t="s">
        <v>30</v>
      </c>
      <c r="M217" s="104">
        <v>230</v>
      </c>
      <c r="N217" s="167"/>
      <c r="O217" s="104"/>
      <c r="P217" s="136"/>
      <c r="Q217" s="89"/>
      <c r="R217" s="89"/>
      <c r="S217" s="89"/>
      <c r="T217" s="89"/>
      <c r="U217" s="89"/>
      <c r="V217" s="89" t="s">
        <v>29</v>
      </c>
      <c r="W217" s="89" t="s">
        <v>29</v>
      </c>
      <c r="X217" s="89"/>
      <c r="Y217" s="90" t="s">
        <v>687</v>
      </c>
      <c r="Z217" s="45"/>
      <c r="AA217" s="38"/>
      <c r="AB217" s="39" t="e">
        <f t="shared" si="13"/>
        <v>#REF!</v>
      </c>
      <c r="AE217" s="6"/>
    </row>
    <row r="218" spans="1:31" s="449" customFormat="1" ht="39.4" customHeight="1">
      <c r="A218" s="449">
        <v>10</v>
      </c>
      <c r="B218" s="449" t="s">
        <v>890</v>
      </c>
      <c r="C218" s="187">
        <v>44083</v>
      </c>
      <c r="D218" s="102" t="s">
        <v>57</v>
      </c>
      <c r="E218" s="103" t="s">
        <v>601</v>
      </c>
      <c r="F218" s="23" t="s">
        <v>602</v>
      </c>
      <c r="G218" s="104">
        <v>1</v>
      </c>
      <c r="H218" s="457"/>
      <c r="I218" s="457"/>
      <c r="J218" s="457"/>
      <c r="K218" s="104" t="s">
        <v>98</v>
      </c>
      <c r="L218" s="104" t="s">
        <v>18</v>
      </c>
      <c r="M218" s="104">
        <v>220</v>
      </c>
      <c r="N218" s="167"/>
      <c r="O218" s="104"/>
      <c r="P218" s="136"/>
      <c r="Q218" s="89"/>
      <c r="R218" s="89"/>
      <c r="S218" s="89"/>
      <c r="T218" s="89"/>
      <c r="U218" s="90" t="s">
        <v>70</v>
      </c>
      <c r="V218" s="89" t="s">
        <v>29</v>
      </c>
      <c r="W218" s="89" t="s">
        <v>29</v>
      </c>
      <c r="X218" s="89"/>
      <c r="Y218" s="90" t="s">
        <v>688</v>
      </c>
      <c r="Z218" s="45"/>
      <c r="AA218" s="38"/>
      <c r="AB218" s="39" t="e">
        <f t="shared" si="13"/>
        <v>#REF!</v>
      </c>
      <c r="AE218" s="6"/>
    </row>
    <row r="219" spans="1:31" s="449" customFormat="1" ht="39.4" customHeight="1">
      <c r="A219" s="449">
        <v>10</v>
      </c>
      <c r="B219" s="449" t="s">
        <v>890</v>
      </c>
      <c r="C219" s="187">
        <v>44083</v>
      </c>
      <c r="D219" s="102" t="s">
        <v>58</v>
      </c>
      <c r="E219" s="103" t="s">
        <v>80</v>
      </c>
      <c r="F219" s="23" t="s">
        <v>163</v>
      </c>
      <c r="G219" s="104">
        <v>10</v>
      </c>
      <c r="H219" s="457"/>
      <c r="I219" s="457"/>
      <c r="J219" s="457"/>
      <c r="K219" s="104" t="s">
        <v>79</v>
      </c>
      <c r="L219" s="104" t="s">
        <v>30</v>
      </c>
      <c r="M219" s="104">
        <v>230</v>
      </c>
      <c r="N219" s="167"/>
      <c r="O219" s="104"/>
      <c r="P219" s="136"/>
      <c r="Q219" s="89"/>
      <c r="R219" s="89"/>
      <c r="S219" s="89"/>
      <c r="T219" s="89"/>
      <c r="U219" s="90" t="s">
        <v>70</v>
      </c>
      <c r="V219" s="89" t="s">
        <v>29</v>
      </c>
      <c r="W219" s="89" t="s">
        <v>29</v>
      </c>
      <c r="X219" s="89"/>
      <c r="Y219" s="90" t="s">
        <v>689</v>
      </c>
      <c r="Z219" s="45"/>
      <c r="AA219" s="38"/>
      <c r="AB219" s="39" t="e">
        <f t="shared" si="13"/>
        <v>#REF!</v>
      </c>
      <c r="AE219" s="6"/>
    </row>
    <row r="220" spans="1:31" s="449" customFormat="1" ht="39.4" customHeight="1">
      <c r="A220" s="449">
        <v>10</v>
      </c>
      <c r="B220" s="449" t="s">
        <v>890</v>
      </c>
      <c r="C220" s="187">
        <v>44083</v>
      </c>
      <c r="D220" s="102" t="s">
        <v>59</v>
      </c>
      <c r="E220" s="103" t="s">
        <v>227</v>
      </c>
      <c r="F220" s="23" t="s">
        <v>228</v>
      </c>
      <c r="G220" s="104">
        <v>9</v>
      </c>
      <c r="H220" s="457"/>
      <c r="I220" s="457"/>
      <c r="J220" s="457"/>
      <c r="K220" s="104" t="s">
        <v>79</v>
      </c>
      <c r="L220" s="104" t="s">
        <v>30</v>
      </c>
      <c r="M220" s="104">
        <v>230</v>
      </c>
      <c r="N220" s="167"/>
      <c r="O220" s="104"/>
      <c r="P220" s="136"/>
      <c r="Q220" s="89"/>
      <c r="R220" s="89"/>
      <c r="S220" s="89"/>
      <c r="T220" s="89"/>
      <c r="U220" s="90" t="s">
        <v>70</v>
      </c>
      <c r="V220" s="89" t="s">
        <v>29</v>
      </c>
      <c r="W220" s="89" t="s">
        <v>29</v>
      </c>
      <c r="X220" s="89"/>
      <c r="Y220" s="90" t="s">
        <v>690</v>
      </c>
      <c r="Z220" s="45"/>
      <c r="AA220" s="38"/>
      <c r="AB220" s="39" t="e">
        <f t="shared" si="13"/>
        <v>#REF!</v>
      </c>
      <c r="AE220" s="6"/>
    </row>
    <row r="221" spans="1:31" s="449" customFormat="1" ht="39.4" customHeight="1">
      <c r="A221" s="449">
        <v>10</v>
      </c>
      <c r="B221" s="449" t="s">
        <v>890</v>
      </c>
      <c r="C221" s="187">
        <v>44083</v>
      </c>
      <c r="D221" s="102" t="s">
        <v>60</v>
      </c>
      <c r="E221" s="103" t="s">
        <v>82</v>
      </c>
      <c r="F221" s="23" t="s">
        <v>165</v>
      </c>
      <c r="G221" s="104">
        <v>21</v>
      </c>
      <c r="H221" s="457"/>
      <c r="I221" s="457"/>
      <c r="J221" s="457"/>
      <c r="K221" s="104" t="s">
        <v>79</v>
      </c>
      <c r="L221" s="104" t="s">
        <v>30</v>
      </c>
      <c r="M221" s="104">
        <v>230</v>
      </c>
      <c r="N221" s="167"/>
      <c r="O221" s="104"/>
      <c r="P221" s="136"/>
      <c r="Q221" s="89"/>
      <c r="R221" s="89"/>
      <c r="S221" s="89"/>
      <c r="T221" s="89"/>
      <c r="U221" s="90" t="s">
        <v>70</v>
      </c>
      <c r="V221" s="89" t="s">
        <v>29</v>
      </c>
      <c r="W221" s="89" t="s">
        <v>29</v>
      </c>
      <c r="X221" s="89"/>
      <c r="Y221" s="90" t="s">
        <v>691</v>
      </c>
      <c r="Z221" s="45"/>
      <c r="AA221" s="38"/>
      <c r="AB221" s="39" t="e">
        <f>IF(E221=E219,AB219,AB219+1)</f>
        <v>#REF!</v>
      </c>
      <c r="AE221" s="6"/>
    </row>
    <row r="222" spans="1:31" s="449" customFormat="1" ht="39.4" customHeight="1">
      <c r="A222" s="449">
        <v>11</v>
      </c>
      <c r="B222" s="449" t="s">
        <v>889</v>
      </c>
      <c r="C222" s="187">
        <v>44083</v>
      </c>
      <c r="D222" s="102" t="s">
        <v>60</v>
      </c>
      <c r="E222" s="103" t="s">
        <v>82</v>
      </c>
      <c r="F222" s="23" t="s">
        <v>165</v>
      </c>
      <c r="G222" s="104">
        <v>10</v>
      </c>
      <c r="H222" s="457"/>
      <c r="I222" s="457"/>
      <c r="J222" s="457"/>
      <c r="K222" s="104" t="s">
        <v>79</v>
      </c>
      <c r="L222" s="104" t="s">
        <v>30</v>
      </c>
      <c r="M222" s="104">
        <v>230</v>
      </c>
      <c r="N222" s="167"/>
      <c r="O222" s="104"/>
      <c r="P222" s="136"/>
      <c r="Q222" s="89"/>
      <c r="R222" s="89"/>
      <c r="S222" s="89"/>
      <c r="T222" s="89"/>
      <c r="U222" s="90" t="s">
        <v>70</v>
      </c>
      <c r="V222" s="89" t="s">
        <v>29</v>
      </c>
      <c r="W222" s="89" t="s">
        <v>29</v>
      </c>
      <c r="X222" s="89"/>
      <c r="Y222" s="90" t="s">
        <v>691</v>
      </c>
      <c r="Z222" s="45"/>
      <c r="AA222" s="38"/>
      <c r="AB222" s="39" t="e">
        <f>IF(E222=E220,AB220,AB220+1)</f>
        <v>#REF!</v>
      </c>
      <c r="AE222" s="6"/>
    </row>
    <row r="223" spans="1:31" s="449" customFormat="1" ht="39.4" customHeight="1">
      <c r="A223" s="449">
        <v>11</v>
      </c>
      <c r="B223" s="449" t="s">
        <v>889</v>
      </c>
      <c r="C223" s="187">
        <v>44083</v>
      </c>
      <c r="D223" s="105" t="s">
        <v>61</v>
      </c>
      <c r="E223" s="30" t="s">
        <v>118</v>
      </c>
      <c r="F223" s="31" t="s">
        <v>150</v>
      </c>
      <c r="G223" s="29">
        <v>115</v>
      </c>
      <c r="H223" s="458"/>
      <c r="I223" s="458"/>
      <c r="J223" s="458"/>
      <c r="K223" s="29" t="s">
        <v>79</v>
      </c>
      <c r="L223" s="29" t="s">
        <v>18</v>
      </c>
      <c r="M223" s="29">
        <v>220</v>
      </c>
      <c r="N223" s="168"/>
      <c r="O223" s="29"/>
      <c r="P223" s="137"/>
      <c r="Q223" s="46"/>
      <c r="R223" s="46"/>
      <c r="S223" s="46"/>
      <c r="T223" s="46"/>
      <c r="U223" s="45" t="s">
        <v>70</v>
      </c>
      <c r="V223" s="46" t="s">
        <v>29</v>
      </c>
      <c r="W223" s="46" t="s">
        <v>29</v>
      </c>
      <c r="X223" s="46"/>
      <c r="Y223" s="45" t="s">
        <v>692</v>
      </c>
      <c r="Z223" s="45"/>
      <c r="AA223" s="38"/>
      <c r="AB223" s="39" t="e">
        <f>IF(E223=E222,AB222,AB222+1)</f>
        <v>#REF!</v>
      </c>
      <c r="AE223" s="6"/>
    </row>
    <row r="224" spans="1:31" s="449" customFormat="1" ht="39.4" customHeight="1">
      <c r="A224" s="449">
        <v>11</v>
      </c>
      <c r="B224" s="449" t="s">
        <v>889</v>
      </c>
      <c r="C224" s="187">
        <v>44083</v>
      </c>
      <c r="D224" s="105" t="s">
        <v>63</v>
      </c>
      <c r="E224" s="30" t="s">
        <v>83</v>
      </c>
      <c r="F224" s="31" t="s">
        <v>166</v>
      </c>
      <c r="G224" s="29">
        <v>26</v>
      </c>
      <c r="H224" s="458"/>
      <c r="I224" s="458"/>
      <c r="J224" s="458"/>
      <c r="K224" s="29" t="s">
        <v>79</v>
      </c>
      <c r="L224" s="29" t="s">
        <v>30</v>
      </c>
      <c r="M224" s="29">
        <v>230</v>
      </c>
      <c r="N224" s="168"/>
      <c r="O224" s="29"/>
      <c r="P224" s="137"/>
      <c r="Q224" s="46"/>
      <c r="R224" s="46"/>
      <c r="S224" s="46"/>
      <c r="T224" s="46"/>
      <c r="U224" s="45" t="s">
        <v>70</v>
      </c>
      <c r="V224" s="46" t="s">
        <v>29</v>
      </c>
      <c r="W224" s="46"/>
      <c r="X224" s="46"/>
      <c r="Y224" s="45" t="s">
        <v>693</v>
      </c>
      <c r="Z224" s="45"/>
      <c r="AA224" s="38"/>
      <c r="AB224" s="39" t="e">
        <f>IF(E224=E223,AB223,AB223+1)</f>
        <v>#REF!</v>
      </c>
      <c r="AE224" s="6"/>
    </row>
    <row r="225" spans="1:31" s="449" customFormat="1" ht="39.4" customHeight="1">
      <c r="A225" s="449">
        <v>11</v>
      </c>
      <c r="B225" s="449" t="s">
        <v>889</v>
      </c>
      <c r="C225" s="187">
        <v>44083</v>
      </c>
      <c r="D225" s="105" t="s">
        <v>62</v>
      </c>
      <c r="E225" s="30" t="s">
        <v>90</v>
      </c>
      <c r="F225" s="31" t="s">
        <v>148</v>
      </c>
      <c r="G225" s="29">
        <v>9</v>
      </c>
      <c r="H225" s="458"/>
      <c r="I225" s="458"/>
      <c r="J225" s="458"/>
      <c r="K225" s="29" t="s">
        <v>79</v>
      </c>
      <c r="L225" s="29" t="s">
        <v>31</v>
      </c>
      <c r="M225" s="29">
        <v>120</v>
      </c>
      <c r="N225" s="168"/>
      <c r="O225" s="29"/>
      <c r="P225" s="137"/>
      <c r="Q225" s="46"/>
      <c r="R225" s="46"/>
      <c r="S225" s="46"/>
      <c r="T225" s="46" t="s">
        <v>29</v>
      </c>
      <c r="U225" s="45" t="s">
        <v>70</v>
      </c>
      <c r="V225" s="46"/>
      <c r="W225" s="46"/>
      <c r="X225" s="46"/>
      <c r="Y225" s="45" t="s">
        <v>694</v>
      </c>
      <c r="Z225" s="45"/>
      <c r="AA225" s="38"/>
      <c r="AB225" s="39" t="e">
        <f>IF(E225=E223,AB223,AB223+1)</f>
        <v>#REF!</v>
      </c>
      <c r="AE225" s="6"/>
    </row>
    <row r="226" spans="1:31" s="449" customFormat="1" ht="39.4" customHeight="1">
      <c r="A226" s="449">
        <v>11</v>
      </c>
      <c r="B226" s="449" t="s">
        <v>890</v>
      </c>
      <c r="C226" s="187">
        <v>44083</v>
      </c>
      <c r="D226" s="105" t="s">
        <v>62</v>
      </c>
      <c r="E226" s="30" t="s">
        <v>90</v>
      </c>
      <c r="F226" s="31" t="s">
        <v>148</v>
      </c>
      <c r="G226" s="29">
        <v>8</v>
      </c>
      <c r="H226" s="458"/>
      <c r="I226" s="458"/>
      <c r="J226" s="458"/>
      <c r="K226" s="29" t="s">
        <v>79</v>
      </c>
      <c r="L226" s="29" t="s">
        <v>31</v>
      </c>
      <c r="M226" s="29">
        <v>120</v>
      </c>
      <c r="N226" s="168"/>
      <c r="O226" s="29"/>
      <c r="P226" s="137"/>
      <c r="Q226" s="46"/>
      <c r="R226" s="46"/>
      <c r="S226" s="46"/>
      <c r="T226" s="46" t="s">
        <v>29</v>
      </c>
      <c r="U226" s="45" t="s">
        <v>70</v>
      </c>
      <c r="V226" s="46"/>
      <c r="W226" s="46"/>
      <c r="X226" s="46"/>
      <c r="Y226" s="45" t="s">
        <v>694</v>
      </c>
      <c r="Z226" s="45"/>
      <c r="AA226" s="38"/>
      <c r="AB226" s="39" t="e">
        <f>IF(E226=E224,AB224,AB224+1)</f>
        <v>#REF!</v>
      </c>
      <c r="AE226" s="6"/>
    </row>
    <row r="227" spans="1:31" s="449" customFormat="1" ht="39.4" customHeight="1">
      <c r="A227" s="449">
        <v>11</v>
      </c>
      <c r="B227" s="449" t="s">
        <v>890</v>
      </c>
      <c r="C227" s="187">
        <v>44083</v>
      </c>
      <c r="D227" s="105" t="s">
        <v>65</v>
      </c>
      <c r="E227" s="30" t="s">
        <v>91</v>
      </c>
      <c r="F227" s="31" t="s">
        <v>160</v>
      </c>
      <c r="G227" s="29">
        <v>23</v>
      </c>
      <c r="H227" s="458"/>
      <c r="I227" s="458"/>
      <c r="J227" s="458"/>
      <c r="K227" s="29" t="s">
        <v>79</v>
      </c>
      <c r="L227" s="29" t="s">
        <v>31</v>
      </c>
      <c r="M227" s="29">
        <v>120</v>
      </c>
      <c r="N227" s="168"/>
      <c r="O227" s="29"/>
      <c r="P227" s="137"/>
      <c r="Q227" s="46"/>
      <c r="R227" s="46"/>
      <c r="S227" s="46"/>
      <c r="T227" s="46" t="s">
        <v>29</v>
      </c>
      <c r="U227" s="45" t="s">
        <v>70</v>
      </c>
      <c r="V227" s="46"/>
      <c r="W227" s="46"/>
      <c r="X227" s="46"/>
      <c r="Y227" s="45" t="s">
        <v>695</v>
      </c>
      <c r="Z227" s="45"/>
      <c r="AA227" s="38"/>
      <c r="AB227" s="39" t="e">
        <f>IF(E227=E226,AB226,AB226+1)</f>
        <v>#REF!</v>
      </c>
      <c r="AE227" s="6"/>
    </row>
    <row r="228" spans="1:31" s="449" customFormat="1" ht="39.4" customHeight="1">
      <c r="A228" s="449">
        <v>11</v>
      </c>
      <c r="B228" s="449" t="s">
        <v>890</v>
      </c>
      <c r="C228" s="187">
        <v>44083</v>
      </c>
      <c r="D228" s="105" t="s">
        <v>66</v>
      </c>
      <c r="E228" s="30" t="s">
        <v>123</v>
      </c>
      <c r="F228" s="31" t="s">
        <v>158</v>
      </c>
      <c r="G228" s="29">
        <v>7</v>
      </c>
      <c r="H228" s="458"/>
      <c r="I228" s="458"/>
      <c r="J228" s="458"/>
      <c r="K228" s="29" t="s">
        <v>124</v>
      </c>
      <c r="L228" s="29" t="s">
        <v>18</v>
      </c>
      <c r="M228" s="29">
        <v>220</v>
      </c>
      <c r="N228" s="168"/>
      <c r="O228" s="29"/>
      <c r="P228" s="137"/>
      <c r="Q228" s="46"/>
      <c r="R228" s="46" t="s">
        <v>29</v>
      </c>
      <c r="S228" s="46"/>
      <c r="T228" s="46"/>
      <c r="U228" s="46" t="s">
        <v>29</v>
      </c>
      <c r="V228" s="46"/>
      <c r="W228" s="46" t="s">
        <v>29</v>
      </c>
      <c r="X228" s="46"/>
      <c r="Y228" s="45" t="s">
        <v>696</v>
      </c>
      <c r="Z228" s="45"/>
      <c r="AA228" s="38"/>
      <c r="AB228" s="39" t="e">
        <f>IF(E228=E227,AB227,AB227+1)</f>
        <v>#REF!</v>
      </c>
      <c r="AE228" s="6"/>
    </row>
    <row r="229" spans="1:31" s="449" customFormat="1" ht="39.4" customHeight="1">
      <c r="A229" s="449">
        <v>11</v>
      </c>
      <c r="B229" s="449" t="s">
        <v>890</v>
      </c>
      <c r="C229" s="187">
        <v>44083</v>
      </c>
      <c r="D229" s="105" t="s">
        <v>223</v>
      </c>
      <c r="E229" s="30" t="s">
        <v>119</v>
      </c>
      <c r="F229" s="31" t="s">
        <v>155</v>
      </c>
      <c r="G229" s="29">
        <v>12</v>
      </c>
      <c r="H229" s="458"/>
      <c r="I229" s="458"/>
      <c r="J229" s="458"/>
      <c r="K229" s="29" t="s">
        <v>67</v>
      </c>
      <c r="L229" s="29" t="s">
        <v>18</v>
      </c>
      <c r="M229" s="29">
        <v>220</v>
      </c>
      <c r="N229" s="168"/>
      <c r="O229" s="29"/>
      <c r="P229" s="137" t="s">
        <v>47</v>
      </c>
      <c r="Q229" s="46"/>
      <c r="R229" s="46"/>
      <c r="S229" s="46"/>
      <c r="T229" s="46"/>
      <c r="U229" s="46" t="s">
        <v>29</v>
      </c>
      <c r="V229" s="46"/>
      <c r="W229" s="46" t="s">
        <v>29</v>
      </c>
      <c r="X229" s="46"/>
      <c r="Y229" s="45" t="s">
        <v>697</v>
      </c>
      <c r="Z229" s="29"/>
      <c r="AA229" s="38"/>
      <c r="AB229" s="39" t="e">
        <f>IF(E229=E228,AB228,AB228+1)</f>
        <v>#REF!</v>
      </c>
      <c r="AE229" s="6"/>
    </row>
    <row r="230" spans="1:31" s="449" customFormat="1" ht="39.4" customHeight="1">
      <c r="A230" s="449">
        <v>11</v>
      </c>
      <c r="B230" s="449" t="s">
        <v>890</v>
      </c>
      <c r="C230" s="187">
        <v>44083</v>
      </c>
      <c r="D230" s="105" t="s">
        <v>224</v>
      </c>
      <c r="E230" s="30" t="s">
        <v>189</v>
      </c>
      <c r="F230" s="31" t="s">
        <v>161</v>
      </c>
      <c r="G230" s="29">
        <v>33</v>
      </c>
      <c r="H230" s="458"/>
      <c r="I230" s="458"/>
      <c r="J230" s="458"/>
      <c r="K230" s="29" t="s">
        <v>53</v>
      </c>
      <c r="L230" s="29" t="s">
        <v>18</v>
      </c>
      <c r="M230" s="29">
        <v>220</v>
      </c>
      <c r="N230" s="168"/>
      <c r="O230" s="29"/>
      <c r="P230" s="137"/>
      <c r="Q230" s="46"/>
      <c r="R230" s="46" t="s">
        <v>29</v>
      </c>
      <c r="S230" s="46"/>
      <c r="T230" s="46"/>
      <c r="U230" s="46" t="s">
        <v>29</v>
      </c>
      <c r="V230" s="46"/>
      <c r="W230" s="46" t="s">
        <v>29</v>
      </c>
      <c r="X230" s="46"/>
      <c r="Y230" s="45" t="s">
        <v>698</v>
      </c>
      <c r="Z230" s="29"/>
      <c r="AA230" s="38"/>
      <c r="AB230" s="39" t="e">
        <f>IF(E230=E229,AB229,AB229+1)</f>
        <v>#REF!</v>
      </c>
      <c r="AE230" s="6"/>
    </row>
    <row r="231" spans="1:31" s="449" customFormat="1" ht="39.4" customHeight="1">
      <c r="A231" s="449">
        <v>11</v>
      </c>
      <c r="B231" s="449" t="s">
        <v>890</v>
      </c>
      <c r="C231" s="188">
        <v>44084</v>
      </c>
      <c r="D231" s="105" t="s">
        <v>54</v>
      </c>
      <c r="E231" s="30" t="s">
        <v>189</v>
      </c>
      <c r="F231" s="31" t="s">
        <v>161</v>
      </c>
      <c r="G231" s="29">
        <v>18</v>
      </c>
      <c r="H231" s="458"/>
      <c r="I231" s="458"/>
      <c r="J231" s="458"/>
      <c r="K231" s="29" t="s">
        <v>53</v>
      </c>
      <c r="L231" s="29" t="s">
        <v>18</v>
      </c>
      <c r="M231" s="29">
        <v>220</v>
      </c>
      <c r="N231" s="168"/>
      <c r="O231" s="29"/>
      <c r="P231" s="137"/>
      <c r="Q231" s="46"/>
      <c r="R231" s="46" t="s">
        <v>29</v>
      </c>
      <c r="S231" s="46"/>
      <c r="T231" s="46"/>
      <c r="U231" s="46" t="s">
        <v>29</v>
      </c>
      <c r="V231" s="46"/>
      <c r="W231" s="46" t="s">
        <v>29</v>
      </c>
      <c r="X231" s="46"/>
      <c r="Y231" s="45" t="s">
        <v>699</v>
      </c>
      <c r="Z231" s="29"/>
      <c r="AA231" s="38"/>
      <c r="AB231" s="39" t="e">
        <f>IF(E231=E230,AB230,AB230+1)</f>
        <v>#REF!</v>
      </c>
      <c r="AE231" s="6"/>
    </row>
    <row r="232" spans="1:31" s="449" customFormat="1" ht="39.4" customHeight="1">
      <c r="A232" s="449">
        <v>11</v>
      </c>
      <c r="B232" s="449" t="s">
        <v>890</v>
      </c>
      <c r="C232" s="187">
        <v>44084</v>
      </c>
      <c r="D232" s="105" t="s">
        <v>55</v>
      </c>
      <c r="E232" s="30" t="s">
        <v>136</v>
      </c>
      <c r="F232" s="31" t="s">
        <v>147</v>
      </c>
      <c r="G232" s="29">
        <v>59</v>
      </c>
      <c r="H232" s="458"/>
      <c r="I232" s="458"/>
      <c r="J232" s="458"/>
      <c r="K232" s="29" t="s">
        <v>67</v>
      </c>
      <c r="L232" s="29" t="s">
        <v>18</v>
      </c>
      <c r="M232" s="29">
        <v>220</v>
      </c>
      <c r="N232" s="168"/>
      <c r="O232" s="29"/>
      <c r="P232" s="137" t="s">
        <v>47</v>
      </c>
      <c r="Q232" s="46"/>
      <c r="R232" s="46"/>
      <c r="S232" s="46"/>
      <c r="T232" s="46"/>
      <c r="U232" s="46" t="s">
        <v>29</v>
      </c>
      <c r="V232" s="46"/>
      <c r="W232" s="46" t="s">
        <v>29</v>
      </c>
      <c r="X232" s="46"/>
      <c r="Y232" s="45" t="s">
        <v>700</v>
      </c>
      <c r="Z232" s="29"/>
      <c r="AA232" s="38"/>
      <c r="AB232" s="39" t="e">
        <f>IF(E232=E230,AB230,AB230+1)</f>
        <v>#REF!</v>
      </c>
      <c r="AE232" s="6"/>
    </row>
    <row r="233" spans="1:31" s="449" customFormat="1" ht="39.4" customHeight="1">
      <c r="A233" s="449">
        <v>12</v>
      </c>
      <c r="B233" s="449" t="s">
        <v>889</v>
      </c>
      <c r="C233" s="187">
        <v>44084</v>
      </c>
      <c r="D233" s="105" t="s">
        <v>55</v>
      </c>
      <c r="E233" s="30" t="s">
        <v>136</v>
      </c>
      <c r="F233" s="31" t="s">
        <v>147</v>
      </c>
      <c r="G233" s="29">
        <v>38</v>
      </c>
      <c r="H233" s="458"/>
      <c r="I233" s="458"/>
      <c r="J233" s="458"/>
      <c r="K233" s="29" t="s">
        <v>67</v>
      </c>
      <c r="L233" s="29" t="s">
        <v>18</v>
      </c>
      <c r="M233" s="29">
        <v>220</v>
      </c>
      <c r="N233" s="168"/>
      <c r="O233" s="29"/>
      <c r="P233" s="137" t="s">
        <v>47</v>
      </c>
      <c r="Q233" s="46"/>
      <c r="R233" s="46"/>
      <c r="S233" s="46"/>
      <c r="T233" s="46"/>
      <c r="U233" s="46" t="s">
        <v>29</v>
      </c>
      <c r="V233" s="46"/>
      <c r="W233" s="46" t="s">
        <v>29</v>
      </c>
      <c r="X233" s="46"/>
      <c r="Y233" s="45" t="s">
        <v>700</v>
      </c>
      <c r="Z233" s="29"/>
      <c r="AA233" s="38"/>
      <c r="AB233" s="39" t="e">
        <f>IF(E233=E231,AB231,AB231+1)</f>
        <v>#REF!</v>
      </c>
      <c r="AE233" s="6"/>
    </row>
    <row r="234" spans="1:31" s="449" customFormat="1" ht="39.4" customHeight="1">
      <c r="A234" s="449">
        <v>12</v>
      </c>
      <c r="B234" s="449" t="s">
        <v>889</v>
      </c>
      <c r="C234" s="187">
        <v>44084</v>
      </c>
      <c r="D234" s="105" t="s">
        <v>56</v>
      </c>
      <c r="E234" s="30" t="s">
        <v>127</v>
      </c>
      <c r="F234" s="31" t="s">
        <v>149</v>
      </c>
      <c r="G234" s="29">
        <v>19</v>
      </c>
      <c r="H234" s="458"/>
      <c r="I234" s="458"/>
      <c r="J234" s="458"/>
      <c r="K234" s="29" t="s">
        <v>79</v>
      </c>
      <c r="L234" s="29" t="s">
        <v>18</v>
      </c>
      <c r="M234" s="29">
        <v>220</v>
      </c>
      <c r="N234" s="168"/>
      <c r="O234" s="29"/>
      <c r="P234" s="137"/>
      <c r="Q234" s="46"/>
      <c r="R234" s="46"/>
      <c r="S234" s="46"/>
      <c r="T234" s="46"/>
      <c r="U234" s="45" t="s">
        <v>70</v>
      </c>
      <c r="V234" s="46" t="s">
        <v>29</v>
      </c>
      <c r="W234" s="46" t="s">
        <v>29</v>
      </c>
      <c r="X234" s="46"/>
      <c r="Y234" s="45" t="s">
        <v>701</v>
      </c>
      <c r="Z234" s="29"/>
      <c r="AA234" s="38"/>
      <c r="AB234" s="39" t="e">
        <f>IF(E234=E233,AB233,AB233+1)</f>
        <v>#REF!</v>
      </c>
      <c r="AE234" s="6"/>
    </row>
    <row r="235" spans="1:31" s="449" customFormat="1" ht="39.4" customHeight="1">
      <c r="A235" s="449">
        <v>12</v>
      </c>
      <c r="B235" s="449" t="s">
        <v>889</v>
      </c>
      <c r="C235" s="187">
        <v>44084</v>
      </c>
      <c r="D235" s="105" t="s">
        <v>57</v>
      </c>
      <c r="E235" s="30" t="s">
        <v>170</v>
      </c>
      <c r="F235" s="31" t="s">
        <v>171</v>
      </c>
      <c r="G235" s="29">
        <v>19</v>
      </c>
      <c r="H235" s="458"/>
      <c r="I235" s="458"/>
      <c r="J235" s="458"/>
      <c r="K235" s="29" t="s">
        <v>79</v>
      </c>
      <c r="L235" s="29" t="s">
        <v>18</v>
      </c>
      <c r="M235" s="29">
        <v>220</v>
      </c>
      <c r="N235" s="168"/>
      <c r="O235" s="29"/>
      <c r="P235" s="137"/>
      <c r="Q235" s="46"/>
      <c r="R235" s="46"/>
      <c r="S235" s="46"/>
      <c r="T235" s="46"/>
      <c r="U235" s="45" t="s">
        <v>70</v>
      </c>
      <c r="V235" s="46" t="s">
        <v>29</v>
      </c>
      <c r="W235" s="46" t="s">
        <v>29</v>
      </c>
      <c r="X235" s="46"/>
      <c r="Y235" s="45" t="s">
        <v>702</v>
      </c>
      <c r="Z235" s="29"/>
      <c r="AA235" s="38"/>
      <c r="AB235" s="39" t="e">
        <f>IF(E235=E234,AB234,AB234+1)</f>
        <v>#REF!</v>
      </c>
      <c r="AE235" s="6"/>
    </row>
    <row r="236" spans="1:31" s="449" customFormat="1" ht="39.4" customHeight="1">
      <c r="A236" s="449">
        <v>12</v>
      </c>
      <c r="B236" s="449" t="s">
        <v>889</v>
      </c>
      <c r="C236" s="187">
        <v>44084</v>
      </c>
      <c r="D236" s="105" t="s">
        <v>58</v>
      </c>
      <c r="E236" s="30" t="s">
        <v>118</v>
      </c>
      <c r="F236" s="31" t="s">
        <v>150</v>
      </c>
      <c r="G236" s="29">
        <v>19</v>
      </c>
      <c r="H236" s="458"/>
      <c r="I236" s="458"/>
      <c r="J236" s="458"/>
      <c r="K236" s="29" t="s">
        <v>79</v>
      </c>
      <c r="L236" s="29" t="s">
        <v>18</v>
      </c>
      <c r="M236" s="29">
        <v>220</v>
      </c>
      <c r="N236" s="168"/>
      <c r="O236" s="29"/>
      <c r="P236" s="137"/>
      <c r="Q236" s="46"/>
      <c r="R236" s="46"/>
      <c r="S236" s="46"/>
      <c r="T236" s="46"/>
      <c r="U236" s="45" t="s">
        <v>70</v>
      </c>
      <c r="V236" s="46" t="s">
        <v>29</v>
      </c>
      <c r="W236" s="46" t="s">
        <v>29</v>
      </c>
      <c r="X236" s="46"/>
      <c r="Y236" s="45" t="s">
        <v>703</v>
      </c>
      <c r="Z236" s="29"/>
      <c r="AA236" s="38"/>
      <c r="AB236" s="39" t="e">
        <f>IF(E236=E235,AB235,AB235+1)</f>
        <v>#REF!</v>
      </c>
      <c r="AE236" s="6"/>
    </row>
    <row r="237" spans="1:31" s="449" customFormat="1" ht="39.4" customHeight="1">
      <c r="A237" s="449">
        <v>12</v>
      </c>
      <c r="B237" s="449" t="s">
        <v>889</v>
      </c>
      <c r="C237" s="187">
        <v>44084</v>
      </c>
      <c r="D237" s="105" t="s">
        <v>59</v>
      </c>
      <c r="E237" s="30" t="s">
        <v>141</v>
      </c>
      <c r="F237" s="31" t="s">
        <v>164</v>
      </c>
      <c r="G237" s="29">
        <v>115</v>
      </c>
      <c r="H237" s="458"/>
      <c r="I237" s="458"/>
      <c r="J237" s="458"/>
      <c r="K237" s="29" t="s">
        <v>79</v>
      </c>
      <c r="L237" s="29" t="s">
        <v>18</v>
      </c>
      <c r="M237" s="29">
        <v>220</v>
      </c>
      <c r="N237" s="168"/>
      <c r="O237" s="29"/>
      <c r="P237" s="137"/>
      <c r="Q237" s="46"/>
      <c r="R237" s="46"/>
      <c r="S237" s="46"/>
      <c r="T237" s="46"/>
      <c r="U237" s="45" t="s">
        <v>70</v>
      </c>
      <c r="V237" s="46" t="s">
        <v>29</v>
      </c>
      <c r="W237" s="46" t="s">
        <v>29</v>
      </c>
      <c r="X237" s="46"/>
      <c r="Y237" s="169" t="s">
        <v>704</v>
      </c>
      <c r="Z237" s="29"/>
      <c r="AA237" s="38"/>
      <c r="AB237" s="39" t="e">
        <f>IF(E237=E235,AB235,AB235+1)</f>
        <v>#REF!</v>
      </c>
      <c r="AE237" s="6"/>
    </row>
    <row r="238" spans="1:31" s="449" customFormat="1" ht="39.4" customHeight="1">
      <c r="A238" s="449">
        <v>12</v>
      </c>
      <c r="B238" s="449" t="s">
        <v>890</v>
      </c>
      <c r="C238" s="187">
        <v>44084</v>
      </c>
      <c r="D238" s="105" t="s">
        <v>59</v>
      </c>
      <c r="E238" s="30" t="s">
        <v>141</v>
      </c>
      <c r="F238" s="31" t="s">
        <v>164</v>
      </c>
      <c r="G238" s="29">
        <v>21</v>
      </c>
      <c r="H238" s="458"/>
      <c r="I238" s="458"/>
      <c r="J238" s="458"/>
      <c r="K238" s="29" t="s">
        <v>79</v>
      </c>
      <c r="L238" s="29" t="s">
        <v>18</v>
      </c>
      <c r="M238" s="29">
        <v>220</v>
      </c>
      <c r="N238" s="168"/>
      <c r="O238" s="29"/>
      <c r="P238" s="137"/>
      <c r="Q238" s="46"/>
      <c r="R238" s="46"/>
      <c r="S238" s="46"/>
      <c r="T238" s="46"/>
      <c r="U238" s="45" t="s">
        <v>70</v>
      </c>
      <c r="V238" s="46" t="s">
        <v>29</v>
      </c>
      <c r="W238" s="46" t="s">
        <v>29</v>
      </c>
      <c r="X238" s="46"/>
      <c r="Y238" s="169" t="s">
        <v>704</v>
      </c>
      <c r="Z238" s="29"/>
      <c r="AA238" s="38"/>
      <c r="AB238" s="39" t="e">
        <f>IF(E238=E236,AB236,AB236+1)</f>
        <v>#REF!</v>
      </c>
      <c r="AE238" s="6"/>
    </row>
    <row r="239" spans="1:31" s="449" customFormat="1" ht="39.4" customHeight="1">
      <c r="A239" s="449">
        <v>12</v>
      </c>
      <c r="B239" s="449" t="s">
        <v>890</v>
      </c>
      <c r="C239" s="189">
        <v>44084</v>
      </c>
      <c r="D239" s="170" t="s">
        <v>60</v>
      </c>
      <c r="E239" s="171" t="s">
        <v>91</v>
      </c>
      <c r="F239" s="172" t="s">
        <v>160</v>
      </c>
      <c r="G239" s="173">
        <v>40</v>
      </c>
      <c r="H239" s="459"/>
      <c r="I239" s="459"/>
      <c r="J239" s="459"/>
      <c r="K239" s="173" t="s">
        <v>79</v>
      </c>
      <c r="L239" s="173" t="s">
        <v>31</v>
      </c>
      <c r="M239" s="173">
        <v>120</v>
      </c>
      <c r="N239" s="174"/>
      <c r="O239" s="173"/>
      <c r="P239" s="175"/>
      <c r="Q239" s="176"/>
      <c r="R239" s="176"/>
      <c r="S239" s="176"/>
      <c r="T239" s="176" t="s">
        <v>29</v>
      </c>
      <c r="U239" s="177" t="s">
        <v>70</v>
      </c>
      <c r="V239" s="176"/>
      <c r="W239" s="176"/>
      <c r="X239" s="176"/>
      <c r="Y239" s="177" t="s">
        <v>705</v>
      </c>
      <c r="Z239" s="173"/>
      <c r="AA239" s="38"/>
      <c r="AB239" s="39" t="e">
        <f>IF(E239=E238,AB238,AB238+1)</f>
        <v>#REF!</v>
      </c>
      <c r="AE239" s="6"/>
    </row>
    <row r="240" spans="1:31" s="449" customFormat="1" ht="39.4" customHeight="1">
      <c r="A240" s="449">
        <v>12</v>
      </c>
      <c r="B240" s="449" t="s">
        <v>890</v>
      </c>
      <c r="C240" s="187">
        <v>44084</v>
      </c>
      <c r="D240" s="105" t="s">
        <v>61</v>
      </c>
      <c r="E240" s="30" t="s">
        <v>123</v>
      </c>
      <c r="F240" s="31" t="s">
        <v>158</v>
      </c>
      <c r="G240" s="29">
        <v>6</v>
      </c>
      <c r="H240" s="458"/>
      <c r="I240" s="458"/>
      <c r="J240" s="458"/>
      <c r="K240" s="29" t="s">
        <v>124</v>
      </c>
      <c r="L240" s="29" t="s">
        <v>18</v>
      </c>
      <c r="M240" s="29">
        <v>220</v>
      </c>
      <c r="N240" s="168"/>
      <c r="O240" s="29"/>
      <c r="P240" s="137"/>
      <c r="Q240" s="46"/>
      <c r="R240" s="46" t="s">
        <v>29</v>
      </c>
      <c r="S240" s="46"/>
      <c r="T240" s="46"/>
      <c r="U240" s="46" t="s">
        <v>29</v>
      </c>
      <c r="V240" s="46"/>
      <c r="W240" s="46" t="s">
        <v>29</v>
      </c>
      <c r="X240" s="46"/>
      <c r="Y240" s="45" t="s">
        <v>706</v>
      </c>
      <c r="Z240" s="29"/>
      <c r="AA240" s="38"/>
      <c r="AB240" s="39" t="e">
        <f>IF(E240=E239,AB239,AB239+1)</f>
        <v>#REF!</v>
      </c>
      <c r="AE240" s="6"/>
    </row>
    <row r="241" spans="1:31" s="449" customFormat="1" ht="39.4" customHeight="1">
      <c r="A241" s="449">
        <v>12</v>
      </c>
      <c r="B241" s="449" t="s">
        <v>890</v>
      </c>
      <c r="C241" s="187">
        <v>44084</v>
      </c>
      <c r="D241" s="105" t="s">
        <v>63</v>
      </c>
      <c r="E241" s="30" t="s">
        <v>591</v>
      </c>
      <c r="F241" s="31" t="s">
        <v>156</v>
      </c>
      <c r="G241" s="29">
        <v>41</v>
      </c>
      <c r="H241" s="458"/>
      <c r="I241" s="458"/>
      <c r="J241" s="458"/>
      <c r="K241" s="29" t="s">
        <v>67</v>
      </c>
      <c r="L241" s="29" t="s">
        <v>41</v>
      </c>
      <c r="M241" s="29">
        <v>230</v>
      </c>
      <c r="N241" s="168"/>
      <c r="O241" s="29"/>
      <c r="P241" s="137"/>
      <c r="Q241" s="46"/>
      <c r="R241" s="46"/>
      <c r="S241" s="46"/>
      <c r="T241" s="46"/>
      <c r="U241" s="46"/>
      <c r="V241" s="46" t="s">
        <v>29</v>
      </c>
      <c r="W241" s="46"/>
      <c r="X241" s="46"/>
      <c r="Y241" s="45" t="s">
        <v>707</v>
      </c>
      <c r="Z241" s="29"/>
      <c r="AA241" s="38"/>
      <c r="AB241" s="39" t="e">
        <f>IF(E241=E240,AB240,AB240+1)</f>
        <v>#REF!</v>
      </c>
      <c r="AE241" s="6"/>
    </row>
    <row r="242" spans="1:31" s="449" customFormat="1" ht="39.4" customHeight="1">
      <c r="A242" s="449">
        <v>12</v>
      </c>
      <c r="B242" s="449" t="s">
        <v>890</v>
      </c>
      <c r="C242" s="187">
        <v>44084</v>
      </c>
      <c r="D242" s="105" t="s">
        <v>62</v>
      </c>
      <c r="E242" s="30" t="s">
        <v>188</v>
      </c>
      <c r="F242" s="31" t="s">
        <v>153</v>
      </c>
      <c r="G242" s="29">
        <v>5</v>
      </c>
      <c r="H242" s="458"/>
      <c r="I242" s="458"/>
      <c r="J242" s="458"/>
      <c r="K242" s="29" t="s">
        <v>67</v>
      </c>
      <c r="L242" s="29" t="s">
        <v>41</v>
      </c>
      <c r="M242" s="29">
        <v>230</v>
      </c>
      <c r="N242" s="168"/>
      <c r="O242" s="29"/>
      <c r="P242" s="137" t="s">
        <v>47</v>
      </c>
      <c r="Q242" s="46"/>
      <c r="R242" s="46"/>
      <c r="S242" s="46"/>
      <c r="T242" s="46"/>
      <c r="U242" s="46" t="s">
        <v>29</v>
      </c>
      <c r="V242" s="46"/>
      <c r="W242" s="46"/>
      <c r="X242" s="46"/>
      <c r="Y242" s="45" t="s">
        <v>708</v>
      </c>
      <c r="Z242" s="29"/>
      <c r="AA242" s="38"/>
      <c r="AB242" s="39" t="e">
        <f>IF(E242=E241,AB241,AB241+1)</f>
        <v>#REF!</v>
      </c>
      <c r="AE242" s="6"/>
    </row>
    <row r="243" spans="1:31" s="449" customFormat="1" ht="39.4" customHeight="1">
      <c r="A243" s="449">
        <v>12</v>
      </c>
      <c r="B243" s="449" t="s">
        <v>890</v>
      </c>
      <c r="C243" s="188">
        <v>44085</v>
      </c>
      <c r="D243" s="105" t="s">
        <v>54</v>
      </c>
      <c r="E243" s="30" t="s">
        <v>188</v>
      </c>
      <c r="F243" s="31" t="s">
        <v>153</v>
      </c>
      <c r="G243" s="29">
        <v>97</v>
      </c>
      <c r="H243" s="458"/>
      <c r="I243" s="458"/>
      <c r="J243" s="458"/>
      <c r="K243" s="29" t="s">
        <v>67</v>
      </c>
      <c r="L243" s="29" t="s">
        <v>41</v>
      </c>
      <c r="M243" s="29">
        <v>230</v>
      </c>
      <c r="N243" s="168"/>
      <c r="O243" s="29"/>
      <c r="P243" s="137" t="s">
        <v>47</v>
      </c>
      <c r="Q243" s="46"/>
      <c r="R243" s="46"/>
      <c r="S243" s="46"/>
      <c r="T243" s="46"/>
      <c r="U243" s="46" t="s">
        <v>29</v>
      </c>
      <c r="V243" s="46"/>
      <c r="W243" s="46"/>
      <c r="X243" s="46"/>
      <c r="Y243" s="45" t="s">
        <v>709</v>
      </c>
      <c r="Z243" s="29"/>
      <c r="AA243" s="38"/>
      <c r="AB243" s="39" t="e">
        <f>IF(E243=E241,AB241,AB241+1)</f>
        <v>#REF!</v>
      </c>
      <c r="AE243" s="6"/>
    </row>
    <row r="244" spans="1:31" s="449" customFormat="1" ht="39.4" customHeight="1">
      <c r="A244" s="449">
        <v>14</v>
      </c>
      <c r="B244" s="449" t="s">
        <v>889</v>
      </c>
      <c r="C244" s="188">
        <v>44085</v>
      </c>
      <c r="D244" s="105" t="s">
        <v>54</v>
      </c>
      <c r="E244" s="30" t="s">
        <v>188</v>
      </c>
      <c r="F244" s="31" t="s">
        <v>153</v>
      </c>
      <c r="G244" s="29">
        <v>17</v>
      </c>
      <c r="H244" s="458"/>
      <c r="I244" s="458"/>
      <c r="J244" s="458"/>
      <c r="K244" s="29" t="s">
        <v>67</v>
      </c>
      <c r="L244" s="29" t="s">
        <v>41</v>
      </c>
      <c r="M244" s="29">
        <v>230</v>
      </c>
      <c r="N244" s="168"/>
      <c r="O244" s="29"/>
      <c r="P244" s="137" t="s">
        <v>47</v>
      </c>
      <c r="Q244" s="46"/>
      <c r="R244" s="46"/>
      <c r="S244" s="46"/>
      <c r="T244" s="46"/>
      <c r="U244" s="46" t="s">
        <v>29</v>
      </c>
      <c r="V244" s="46"/>
      <c r="W244" s="46"/>
      <c r="X244" s="46"/>
      <c r="Y244" s="45" t="s">
        <v>709</v>
      </c>
      <c r="Z244" s="29"/>
      <c r="AA244" s="38"/>
      <c r="AB244" s="39" t="e">
        <f>IF(E244=E242,AB242,AB242+1)</f>
        <v>#REF!</v>
      </c>
      <c r="AE244" s="6"/>
    </row>
    <row r="245" spans="1:31" s="449" customFormat="1" ht="39.4" customHeight="1">
      <c r="A245" s="449">
        <v>14</v>
      </c>
      <c r="B245" s="449" t="s">
        <v>889</v>
      </c>
      <c r="C245" s="187">
        <v>44085</v>
      </c>
      <c r="D245" s="105" t="s">
        <v>55</v>
      </c>
      <c r="E245" s="30" t="s">
        <v>93</v>
      </c>
      <c r="F245" s="31" t="s">
        <v>157</v>
      </c>
      <c r="G245" s="29">
        <v>40</v>
      </c>
      <c r="H245" s="458"/>
      <c r="I245" s="458"/>
      <c r="J245" s="458"/>
      <c r="K245" s="29" t="s">
        <v>79</v>
      </c>
      <c r="L245" s="29" t="s">
        <v>31</v>
      </c>
      <c r="M245" s="29">
        <v>120</v>
      </c>
      <c r="N245" s="168"/>
      <c r="O245" s="29"/>
      <c r="P245" s="137"/>
      <c r="Q245" s="46"/>
      <c r="R245" s="46"/>
      <c r="S245" s="46"/>
      <c r="T245" s="46"/>
      <c r="U245" s="45" t="s">
        <v>70</v>
      </c>
      <c r="V245" s="46" t="s">
        <v>29</v>
      </c>
      <c r="W245" s="46"/>
      <c r="X245" s="46"/>
      <c r="Y245" s="45" t="s">
        <v>710</v>
      </c>
      <c r="Z245" s="29"/>
      <c r="AA245" s="38"/>
      <c r="AB245" s="39" t="e">
        <f>IF(E245=E244,AB244,AB244+1)</f>
        <v>#REF!</v>
      </c>
      <c r="AE245" s="6"/>
    </row>
    <row r="246" spans="1:31" s="449" customFormat="1" ht="39.4" customHeight="1">
      <c r="A246" s="449">
        <v>14</v>
      </c>
      <c r="B246" s="449" t="s">
        <v>889</v>
      </c>
      <c r="C246" s="187">
        <v>44085</v>
      </c>
      <c r="D246" s="105" t="s">
        <v>56</v>
      </c>
      <c r="E246" s="30" t="s">
        <v>646</v>
      </c>
      <c r="F246" s="31" t="s">
        <v>647</v>
      </c>
      <c r="G246" s="29">
        <v>74</v>
      </c>
      <c r="H246" s="458"/>
      <c r="I246" s="458"/>
      <c r="J246" s="458"/>
      <c r="K246" s="29" t="s">
        <v>79</v>
      </c>
      <c r="L246" s="29" t="s">
        <v>28</v>
      </c>
      <c r="M246" s="29">
        <v>230</v>
      </c>
      <c r="N246" s="168"/>
      <c r="O246" s="29"/>
      <c r="P246" s="137"/>
      <c r="Q246" s="46"/>
      <c r="R246" s="46"/>
      <c r="S246" s="46"/>
      <c r="T246" s="46"/>
      <c r="U246" s="45" t="s">
        <v>70</v>
      </c>
      <c r="V246" s="46" t="s">
        <v>29</v>
      </c>
      <c r="W246" s="46"/>
      <c r="X246" s="46"/>
      <c r="Y246" s="45" t="s">
        <v>711</v>
      </c>
      <c r="Z246" s="29"/>
      <c r="AA246" s="38"/>
      <c r="AB246" s="39" t="e">
        <f>IF(E246=E245,AB245,AB245+1)</f>
        <v>#REF!</v>
      </c>
      <c r="AE246" s="6"/>
    </row>
    <row r="247" spans="1:31" s="449" customFormat="1" ht="39.4" customHeight="1">
      <c r="A247" s="449">
        <v>14</v>
      </c>
      <c r="B247" s="449" t="s">
        <v>889</v>
      </c>
      <c r="C247" s="187">
        <v>44085</v>
      </c>
      <c r="D247" s="105" t="s">
        <v>57</v>
      </c>
      <c r="E247" s="30" t="s">
        <v>91</v>
      </c>
      <c r="F247" s="31" t="s">
        <v>160</v>
      </c>
      <c r="G247" s="29">
        <v>27</v>
      </c>
      <c r="H247" s="458"/>
      <c r="I247" s="458"/>
      <c r="J247" s="458"/>
      <c r="K247" s="29" t="s">
        <v>79</v>
      </c>
      <c r="L247" s="29" t="s">
        <v>31</v>
      </c>
      <c r="M247" s="29">
        <v>120</v>
      </c>
      <c r="N247" s="168"/>
      <c r="O247" s="29"/>
      <c r="P247" s="137"/>
      <c r="Q247" s="46"/>
      <c r="R247" s="46"/>
      <c r="S247" s="46"/>
      <c r="T247" s="46" t="s">
        <v>29</v>
      </c>
      <c r="U247" s="45" t="s">
        <v>70</v>
      </c>
      <c r="V247" s="46"/>
      <c r="W247" s="46"/>
      <c r="X247" s="46"/>
      <c r="Y247" s="45" t="s">
        <v>712</v>
      </c>
      <c r="Z247" s="29"/>
      <c r="AA247" s="38"/>
      <c r="AB247" s="39" t="e">
        <f>IF(E247=E245,AB245,AB245+1)</f>
        <v>#REF!</v>
      </c>
      <c r="AE247" s="6"/>
    </row>
    <row r="248" spans="1:31" s="449" customFormat="1" ht="39.4" customHeight="1">
      <c r="A248" s="449">
        <v>14</v>
      </c>
      <c r="B248" s="449" t="s">
        <v>890</v>
      </c>
      <c r="C248" s="187">
        <v>44085</v>
      </c>
      <c r="D248" s="105" t="s">
        <v>57</v>
      </c>
      <c r="E248" s="30" t="s">
        <v>91</v>
      </c>
      <c r="F248" s="31" t="s">
        <v>160</v>
      </c>
      <c r="G248" s="29">
        <v>13</v>
      </c>
      <c r="H248" s="458"/>
      <c r="I248" s="458"/>
      <c r="J248" s="458"/>
      <c r="K248" s="29" t="s">
        <v>79</v>
      </c>
      <c r="L248" s="29" t="s">
        <v>31</v>
      </c>
      <c r="M248" s="29">
        <v>120</v>
      </c>
      <c r="N248" s="168"/>
      <c r="O248" s="29"/>
      <c r="P248" s="137"/>
      <c r="Q248" s="46"/>
      <c r="R248" s="46"/>
      <c r="S248" s="46"/>
      <c r="T248" s="46" t="s">
        <v>29</v>
      </c>
      <c r="U248" s="45" t="s">
        <v>70</v>
      </c>
      <c r="V248" s="46"/>
      <c r="W248" s="46"/>
      <c r="X248" s="46"/>
      <c r="Y248" s="45" t="s">
        <v>712</v>
      </c>
      <c r="Z248" s="29"/>
      <c r="AA248" s="38"/>
      <c r="AB248" s="39" t="e">
        <f>IF(E248=E246,AB246,AB246+1)</f>
        <v>#REF!</v>
      </c>
      <c r="AE248" s="6"/>
    </row>
    <row r="249" spans="1:31" s="449" customFormat="1" ht="39.4" customHeight="1">
      <c r="A249" s="449">
        <v>14</v>
      </c>
      <c r="B249" s="449" t="s">
        <v>890</v>
      </c>
      <c r="C249" s="190">
        <v>44085</v>
      </c>
      <c r="D249" s="106" t="s">
        <v>58</v>
      </c>
      <c r="E249" s="34" t="s">
        <v>591</v>
      </c>
      <c r="F249" s="32" t="s">
        <v>156</v>
      </c>
      <c r="G249" s="33">
        <v>52</v>
      </c>
      <c r="H249" s="460"/>
      <c r="I249" s="460"/>
      <c r="J249" s="460"/>
      <c r="K249" s="33" t="s">
        <v>67</v>
      </c>
      <c r="L249" s="33" t="s">
        <v>41</v>
      </c>
      <c r="M249" s="33">
        <v>230</v>
      </c>
      <c r="N249" s="178"/>
      <c r="O249" s="33"/>
      <c r="P249" s="179"/>
      <c r="Q249" s="180"/>
      <c r="R249" s="180"/>
      <c r="S249" s="180"/>
      <c r="T249" s="180"/>
      <c r="U249" s="180"/>
      <c r="V249" s="180" t="s">
        <v>29</v>
      </c>
      <c r="W249" s="180"/>
      <c r="X249" s="180"/>
      <c r="Y249" s="92" t="s">
        <v>713</v>
      </c>
      <c r="Z249" s="33"/>
      <c r="AA249" s="38"/>
      <c r="AB249" s="39" t="e">
        <f t="shared" ref="AB249:AB312" si="14">IF(E249=E248,AB248,AB248+1)</f>
        <v>#REF!</v>
      </c>
      <c r="AE249" s="6"/>
    </row>
    <row r="250" spans="1:31" s="449" customFormat="1" ht="39.950000000000003" customHeight="1">
      <c r="C250" s="130"/>
      <c r="D250" s="70"/>
      <c r="E250" s="36"/>
      <c r="G250" s="35"/>
      <c r="H250" s="461"/>
      <c r="I250" s="461"/>
      <c r="J250" s="461"/>
      <c r="K250" s="35"/>
      <c r="L250" s="35"/>
      <c r="M250" s="35"/>
      <c r="N250" s="181"/>
      <c r="O250" s="35"/>
      <c r="P250" s="182"/>
      <c r="Q250" s="183"/>
      <c r="R250" s="183"/>
      <c r="S250" s="183"/>
      <c r="T250" s="183"/>
      <c r="U250" s="183"/>
      <c r="V250" s="183"/>
      <c r="W250" s="183"/>
      <c r="X250" s="183"/>
      <c r="Y250" s="60"/>
      <c r="Z250" s="35"/>
      <c r="AA250" s="38"/>
      <c r="AB250" s="39" t="e">
        <f t="shared" si="14"/>
        <v>#REF!</v>
      </c>
      <c r="AE250" s="6"/>
    </row>
    <row r="251" spans="1:31" s="449" customFormat="1" ht="39.950000000000003" customHeight="1">
      <c r="C251" s="130"/>
      <c r="D251" s="70"/>
      <c r="E251" s="36"/>
      <c r="G251" s="35"/>
      <c r="H251" s="461"/>
      <c r="I251" s="461"/>
      <c r="J251" s="461"/>
      <c r="K251" s="35"/>
      <c r="L251" s="35"/>
      <c r="M251" s="35"/>
      <c r="N251" s="181"/>
      <c r="O251" s="35"/>
      <c r="P251" s="183"/>
      <c r="Q251" s="183"/>
      <c r="R251" s="183"/>
      <c r="S251" s="183"/>
      <c r="T251" s="183"/>
      <c r="U251" s="183"/>
      <c r="V251" s="183"/>
      <c r="W251" s="183"/>
      <c r="X251" s="183"/>
      <c r="Y251" s="60"/>
      <c r="Z251" s="35"/>
      <c r="AA251" s="38"/>
      <c r="AB251" s="39" t="e">
        <f t="shared" si="14"/>
        <v>#REF!</v>
      </c>
      <c r="AE251" s="6"/>
    </row>
    <row r="252" spans="1:31" s="449" customFormat="1" ht="39.950000000000003" customHeight="1">
      <c r="C252" s="130"/>
      <c r="D252" s="70"/>
      <c r="E252" s="36"/>
      <c r="G252" s="35"/>
      <c r="H252" s="461"/>
      <c r="I252" s="461"/>
      <c r="J252" s="461"/>
      <c r="K252" s="35"/>
      <c r="L252" s="35"/>
      <c r="M252" s="35"/>
      <c r="N252" s="181"/>
      <c r="O252" s="35"/>
      <c r="P252" s="183"/>
      <c r="Q252" s="183"/>
      <c r="R252" s="183"/>
      <c r="S252" s="183"/>
      <c r="T252" s="183"/>
      <c r="U252" s="183"/>
      <c r="V252" s="183"/>
      <c r="W252" s="183"/>
      <c r="X252" s="183"/>
      <c r="Y252" s="60"/>
      <c r="Z252" s="35"/>
      <c r="AA252" s="38"/>
      <c r="AB252" s="39" t="e">
        <f t="shared" si="14"/>
        <v>#REF!</v>
      </c>
      <c r="AE252" s="6"/>
    </row>
    <row r="253" spans="1:31" s="449" customFormat="1" ht="39.950000000000003" customHeight="1">
      <c r="C253" s="130"/>
      <c r="D253" s="70"/>
      <c r="E253" s="36"/>
      <c r="G253" s="35"/>
      <c r="H253" s="461"/>
      <c r="I253" s="461"/>
      <c r="J253" s="461"/>
      <c r="K253" s="35"/>
      <c r="L253" s="35"/>
      <c r="M253" s="35"/>
      <c r="N253" s="181"/>
      <c r="O253" s="35"/>
      <c r="P253" s="183"/>
      <c r="Q253" s="183"/>
      <c r="R253" s="183"/>
      <c r="S253" s="183"/>
      <c r="T253" s="183"/>
      <c r="U253" s="183"/>
      <c r="V253" s="183"/>
      <c r="W253" s="183"/>
      <c r="X253" s="183"/>
      <c r="Y253" s="60"/>
      <c r="Z253" s="35"/>
      <c r="AA253" s="38"/>
      <c r="AB253" s="39" t="e">
        <f t="shared" si="14"/>
        <v>#REF!</v>
      </c>
      <c r="AE253" s="6"/>
    </row>
    <row r="254" spans="1:31" s="449" customFormat="1" ht="39.950000000000003" customHeight="1">
      <c r="C254" s="130"/>
      <c r="D254" s="70"/>
      <c r="E254" s="36"/>
      <c r="G254" s="35"/>
      <c r="H254" s="461"/>
      <c r="I254" s="461"/>
      <c r="J254" s="461"/>
      <c r="K254" s="35"/>
      <c r="L254" s="35"/>
      <c r="M254" s="35"/>
      <c r="N254" s="181"/>
      <c r="O254" s="35"/>
      <c r="P254" s="183"/>
      <c r="Q254" s="183"/>
      <c r="R254" s="183"/>
      <c r="S254" s="183"/>
      <c r="T254" s="183"/>
      <c r="U254" s="183"/>
      <c r="V254" s="183"/>
      <c r="W254" s="183"/>
      <c r="X254" s="183"/>
      <c r="Y254" s="60"/>
      <c r="Z254" s="35"/>
      <c r="AA254" s="38"/>
      <c r="AB254" s="39" t="e">
        <f t="shared" si="14"/>
        <v>#REF!</v>
      </c>
      <c r="AE254" s="6"/>
    </row>
    <row r="255" spans="1:31" s="449" customFormat="1" ht="39.950000000000003" customHeight="1">
      <c r="C255" s="130"/>
      <c r="D255" s="70"/>
      <c r="E255" s="36"/>
      <c r="G255" s="35"/>
      <c r="H255" s="461"/>
      <c r="I255" s="461"/>
      <c r="J255" s="461"/>
      <c r="K255" s="35"/>
      <c r="L255" s="35"/>
      <c r="M255" s="35"/>
      <c r="N255" s="181"/>
      <c r="O255" s="35"/>
      <c r="P255" s="183"/>
      <c r="Q255" s="183"/>
      <c r="R255" s="183"/>
      <c r="S255" s="183"/>
      <c r="T255" s="183"/>
      <c r="U255" s="183"/>
      <c r="V255" s="183"/>
      <c r="W255" s="183"/>
      <c r="X255" s="183"/>
      <c r="Y255" s="60"/>
      <c r="Z255" s="35"/>
      <c r="AA255" s="38"/>
      <c r="AB255" s="39" t="e">
        <f t="shared" si="14"/>
        <v>#REF!</v>
      </c>
      <c r="AE255" s="6"/>
    </row>
    <row r="256" spans="1:31" s="449" customFormat="1" ht="39.950000000000003" customHeight="1">
      <c r="C256" s="130"/>
      <c r="D256" s="70"/>
      <c r="E256" s="36"/>
      <c r="G256" s="35"/>
      <c r="H256" s="461"/>
      <c r="I256" s="461"/>
      <c r="J256" s="461"/>
      <c r="K256" s="35"/>
      <c r="L256" s="35"/>
      <c r="M256" s="35"/>
      <c r="N256" s="181"/>
      <c r="O256" s="35"/>
      <c r="P256" s="183"/>
      <c r="Q256" s="183"/>
      <c r="R256" s="183"/>
      <c r="S256" s="183"/>
      <c r="T256" s="183"/>
      <c r="U256" s="183"/>
      <c r="V256" s="183"/>
      <c r="W256" s="183"/>
      <c r="X256" s="183"/>
      <c r="Y256" s="60"/>
      <c r="Z256" s="35"/>
      <c r="AA256" s="38"/>
      <c r="AB256" s="39" t="e">
        <f t="shared" si="14"/>
        <v>#REF!</v>
      </c>
      <c r="AE256" s="6"/>
    </row>
    <row r="257" spans="3:31" s="449" customFormat="1" ht="39.950000000000003" customHeight="1">
      <c r="C257" s="131"/>
      <c r="D257" s="70"/>
      <c r="E257" s="36"/>
      <c r="G257" s="35"/>
      <c r="H257" s="461"/>
      <c r="I257" s="461"/>
      <c r="J257" s="461"/>
      <c r="K257" s="35"/>
      <c r="L257" s="35"/>
      <c r="M257" s="35"/>
      <c r="N257" s="181"/>
      <c r="O257" s="35"/>
      <c r="P257" s="183"/>
      <c r="Q257" s="183"/>
      <c r="R257" s="183"/>
      <c r="S257" s="183"/>
      <c r="T257" s="183"/>
      <c r="U257" s="183"/>
      <c r="V257" s="183"/>
      <c r="W257" s="183"/>
      <c r="X257" s="183"/>
      <c r="Y257" s="60"/>
      <c r="Z257" s="35"/>
      <c r="AA257" s="38"/>
      <c r="AB257" s="39" t="e">
        <f t="shared" si="14"/>
        <v>#REF!</v>
      </c>
      <c r="AE257" s="6"/>
    </row>
    <row r="258" spans="3:31" s="449" customFormat="1" ht="39.950000000000003" customHeight="1">
      <c r="C258" s="130"/>
      <c r="D258" s="70"/>
      <c r="E258" s="36"/>
      <c r="G258" s="35"/>
      <c r="H258" s="461"/>
      <c r="I258" s="461"/>
      <c r="J258" s="461"/>
      <c r="K258" s="35"/>
      <c r="L258" s="35"/>
      <c r="M258" s="35"/>
      <c r="N258" s="181"/>
      <c r="O258" s="35"/>
      <c r="P258" s="183"/>
      <c r="Q258" s="183"/>
      <c r="R258" s="183"/>
      <c r="S258" s="183"/>
      <c r="T258" s="183"/>
      <c r="U258" s="183"/>
      <c r="V258" s="183"/>
      <c r="W258" s="183"/>
      <c r="X258" s="183"/>
      <c r="Y258" s="60"/>
      <c r="Z258" s="35"/>
      <c r="AA258" s="38"/>
      <c r="AB258" s="39" t="e">
        <f t="shared" si="14"/>
        <v>#REF!</v>
      </c>
      <c r="AE258" s="6"/>
    </row>
    <row r="259" spans="3:31" s="449" customFormat="1" ht="39.950000000000003" customHeight="1">
      <c r="C259" s="130"/>
      <c r="D259" s="70"/>
      <c r="E259" s="36"/>
      <c r="G259" s="35"/>
      <c r="H259" s="461"/>
      <c r="I259" s="461"/>
      <c r="J259" s="461"/>
      <c r="K259" s="35"/>
      <c r="L259" s="35"/>
      <c r="M259" s="35"/>
      <c r="N259" s="181"/>
      <c r="O259" s="35"/>
      <c r="P259" s="183"/>
      <c r="Q259" s="183"/>
      <c r="R259" s="183"/>
      <c r="S259" s="183"/>
      <c r="T259" s="183"/>
      <c r="U259" s="183"/>
      <c r="V259" s="183"/>
      <c r="W259" s="183"/>
      <c r="X259" s="183"/>
      <c r="Y259" s="60"/>
      <c r="Z259" s="35"/>
      <c r="AA259" s="38"/>
      <c r="AB259" s="39" t="e">
        <f t="shared" si="14"/>
        <v>#REF!</v>
      </c>
      <c r="AE259" s="6"/>
    </row>
    <row r="260" spans="3:31" s="449" customFormat="1" ht="39.950000000000003" customHeight="1">
      <c r="C260" s="130"/>
      <c r="D260" s="70"/>
      <c r="E260" s="36"/>
      <c r="G260" s="35"/>
      <c r="H260" s="461"/>
      <c r="I260" s="461"/>
      <c r="J260" s="461"/>
      <c r="K260" s="35"/>
      <c r="L260" s="35"/>
      <c r="M260" s="35"/>
      <c r="N260" s="181"/>
      <c r="O260" s="35"/>
      <c r="P260" s="183"/>
      <c r="Q260" s="183"/>
      <c r="R260" s="183"/>
      <c r="S260" s="183"/>
      <c r="T260" s="183"/>
      <c r="U260" s="183"/>
      <c r="V260" s="183"/>
      <c r="W260" s="183"/>
      <c r="X260" s="183"/>
      <c r="Y260" s="60"/>
      <c r="Z260" s="35"/>
      <c r="AA260" s="38"/>
      <c r="AB260" s="39" t="e">
        <f t="shared" si="14"/>
        <v>#REF!</v>
      </c>
      <c r="AE260" s="6"/>
    </row>
    <row r="261" spans="3:31" s="449" customFormat="1" ht="39.950000000000003" customHeight="1">
      <c r="C261" s="130"/>
      <c r="D261" s="70"/>
      <c r="E261" s="36"/>
      <c r="G261" s="35"/>
      <c r="H261" s="461"/>
      <c r="I261" s="461"/>
      <c r="J261" s="461"/>
      <c r="K261" s="35"/>
      <c r="L261" s="35"/>
      <c r="M261" s="35"/>
      <c r="N261" s="181"/>
      <c r="O261" s="35"/>
      <c r="P261" s="183"/>
      <c r="Q261" s="183"/>
      <c r="R261" s="183"/>
      <c r="S261" s="183"/>
      <c r="T261" s="183"/>
      <c r="U261" s="183"/>
      <c r="V261" s="183"/>
      <c r="W261" s="183"/>
      <c r="X261" s="183"/>
      <c r="Y261" s="60"/>
      <c r="Z261" s="35"/>
      <c r="AA261" s="38"/>
      <c r="AB261" s="39" t="e">
        <f t="shared" si="14"/>
        <v>#REF!</v>
      </c>
      <c r="AE261" s="6"/>
    </row>
    <row r="262" spans="3:31" s="449" customFormat="1" ht="39.950000000000003" customHeight="1">
      <c r="C262" s="130"/>
      <c r="D262" s="70"/>
      <c r="E262" s="36"/>
      <c r="G262" s="35"/>
      <c r="H262" s="461"/>
      <c r="I262" s="461"/>
      <c r="J262" s="461"/>
      <c r="K262" s="35"/>
      <c r="L262" s="35"/>
      <c r="M262" s="35"/>
      <c r="N262" s="181"/>
      <c r="O262" s="35"/>
      <c r="P262" s="183"/>
      <c r="Q262" s="183"/>
      <c r="R262" s="183"/>
      <c r="S262" s="183"/>
      <c r="T262" s="183"/>
      <c r="U262" s="183"/>
      <c r="V262" s="183"/>
      <c r="W262" s="183"/>
      <c r="X262" s="183"/>
      <c r="Y262" s="60"/>
      <c r="Z262" s="35"/>
      <c r="AA262" s="38"/>
      <c r="AB262" s="39" t="e">
        <f t="shared" si="14"/>
        <v>#REF!</v>
      </c>
      <c r="AE262" s="6"/>
    </row>
    <row r="263" spans="3:31" s="449" customFormat="1" ht="39.950000000000003" customHeight="1">
      <c r="C263" s="130"/>
      <c r="D263" s="70"/>
      <c r="E263" s="36"/>
      <c r="G263" s="35"/>
      <c r="H263" s="461"/>
      <c r="I263" s="461"/>
      <c r="J263" s="461"/>
      <c r="K263" s="35"/>
      <c r="L263" s="35"/>
      <c r="M263" s="35"/>
      <c r="N263" s="181"/>
      <c r="O263" s="35"/>
      <c r="P263" s="183"/>
      <c r="Q263" s="183"/>
      <c r="R263" s="183"/>
      <c r="S263" s="183"/>
      <c r="T263" s="183"/>
      <c r="U263" s="183"/>
      <c r="V263" s="183"/>
      <c r="W263" s="183"/>
      <c r="X263" s="183"/>
      <c r="Y263" s="60"/>
      <c r="Z263" s="35"/>
      <c r="AA263" s="38"/>
      <c r="AB263" s="39" t="e">
        <f t="shared" si="14"/>
        <v>#REF!</v>
      </c>
      <c r="AE263" s="6"/>
    </row>
    <row r="264" spans="3:31" s="449" customFormat="1" ht="39.950000000000003" customHeight="1">
      <c r="C264" s="130"/>
      <c r="D264" s="70"/>
      <c r="E264" s="36"/>
      <c r="G264" s="35"/>
      <c r="H264" s="461"/>
      <c r="I264" s="461"/>
      <c r="J264" s="461"/>
      <c r="K264" s="35"/>
      <c r="L264" s="35"/>
      <c r="M264" s="35"/>
      <c r="N264" s="181"/>
      <c r="O264" s="35"/>
      <c r="P264" s="183"/>
      <c r="Q264" s="183"/>
      <c r="R264" s="183"/>
      <c r="S264" s="183"/>
      <c r="T264" s="183"/>
      <c r="U264" s="183"/>
      <c r="V264" s="183"/>
      <c r="W264" s="183"/>
      <c r="X264" s="183"/>
      <c r="Y264" s="60"/>
      <c r="Z264" s="35"/>
      <c r="AA264" s="38"/>
      <c r="AB264" s="39" t="e">
        <f t="shared" si="14"/>
        <v>#REF!</v>
      </c>
      <c r="AE264" s="6"/>
    </row>
    <row r="265" spans="3:31" s="449" customFormat="1" ht="39.950000000000003" customHeight="1">
      <c r="C265" s="130"/>
      <c r="D265" s="70"/>
      <c r="E265" s="36"/>
      <c r="G265" s="35"/>
      <c r="H265" s="461"/>
      <c r="I265" s="461"/>
      <c r="J265" s="461"/>
      <c r="K265" s="35"/>
      <c r="L265" s="35"/>
      <c r="M265" s="35"/>
      <c r="N265" s="181"/>
      <c r="O265" s="35"/>
      <c r="P265" s="183"/>
      <c r="Q265" s="183"/>
      <c r="R265" s="183"/>
      <c r="S265" s="183"/>
      <c r="T265" s="183"/>
      <c r="U265" s="183"/>
      <c r="V265" s="183"/>
      <c r="W265" s="183"/>
      <c r="X265" s="183"/>
      <c r="Y265" s="60"/>
      <c r="Z265" s="35"/>
      <c r="AA265" s="38"/>
      <c r="AB265" s="39" t="e">
        <f t="shared" si="14"/>
        <v>#REF!</v>
      </c>
      <c r="AE265" s="6"/>
    </row>
    <row r="266" spans="3:31" s="449" customFormat="1" ht="39.950000000000003" customHeight="1">
      <c r="C266" s="130"/>
      <c r="D266" s="70"/>
      <c r="E266" s="36"/>
      <c r="G266" s="35"/>
      <c r="H266" s="461"/>
      <c r="I266" s="461"/>
      <c r="J266" s="461"/>
      <c r="K266" s="35"/>
      <c r="L266" s="35"/>
      <c r="M266" s="35"/>
      <c r="N266" s="181"/>
      <c r="O266" s="35"/>
      <c r="P266" s="183"/>
      <c r="Q266" s="183"/>
      <c r="R266" s="183"/>
      <c r="S266" s="183"/>
      <c r="T266" s="183"/>
      <c r="U266" s="183"/>
      <c r="V266" s="183"/>
      <c r="W266" s="183"/>
      <c r="X266" s="183"/>
      <c r="Y266" s="60"/>
      <c r="Z266" s="35"/>
      <c r="AA266" s="38"/>
      <c r="AB266" s="39" t="e">
        <f t="shared" si="14"/>
        <v>#REF!</v>
      </c>
      <c r="AE266" s="6"/>
    </row>
    <row r="267" spans="3:31" s="449" customFormat="1" ht="39.950000000000003" customHeight="1">
      <c r="C267" s="130"/>
      <c r="D267" s="70"/>
      <c r="E267" s="36"/>
      <c r="G267" s="35"/>
      <c r="H267" s="461"/>
      <c r="I267" s="461"/>
      <c r="J267" s="461"/>
      <c r="K267" s="35"/>
      <c r="L267" s="35"/>
      <c r="M267" s="35"/>
      <c r="N267" s="181"/>
      <c r="O267" s="35"/>
      <c r="P267" s="183"/>
      <c r="Q267" s="183"/>
      <c r="R267" s="183"/>
      <c r="S267" s="183"/>
      <c r="T267" s="183"/>
      <c r="U267" s="183"/>
      <c r="V267" s="183"/>
      <c r="W267" s="183"/>
      <c r="X267" s="183"/>
      <c r="Y267" s="60"/>
      <c r="Z267" s="35"/>
      <c r="AA267" s="38"/>
      <c r="AB267" s="39" t="e">
        <f t="shared" si="14"/>
        <v>#REF!</v>
      </c>
      <c r="AE267" s="6"/>
    </row>
    <row r="268" spans="3:31" s="449" customFormat="1" ht="39.950000000000003" customHeight="1">
      <c r="C268" s="130"/>
      <c r="D268" s="70"/>
      <c r="E268" s="36"/>
      <c r="G268" s="35"/>
      <c r="H268" s="461"/>
      <c r="I268" s="461"/>
      <c r="J268" s="461"/>
      <c r="K268" s="35"/>
      <c r="L268" s="35"/>
      <c r="M268" s="35"/>
      <c r="N268" s="181"/>
      <c r="O268" s="35"/>
      <c r="P268" s="183"/>
      <c r="Q268" s="183"/>
      <c r="R268" s="183"/>
      <c r="S268" s="183"/>
      <c r="T268" s="183"/>
      <c r="U268" s="183"/>
      <c r="V268" s="183"/>
      <c r="W268" s="183"/>
      <c r="X268" s="183"/>
      <c r="Y268" s="60"/>
      <c r="Z268" s="35"/>
      <c r="AA268" s="38"/>
      <c r="AB268" s="39" t="e">
        <f t="shared" si="14"/>
        <v>#REF!</v>
      </c>
      <c r="AE268" s="6"/>
    </row>
    <row r="269" spans="3:31" s="449" customFormat="1" ht="39.950000000000003" customHeight="1">
      <c r="C269" s="130"/>
      <c r="D269" s="70"/>
      <c r="E269" s="36"/>
      <c r="G269" s="35"/>
      <c r="H269" s="461"/>
      <c r="I269" s="461"/>
      <c r="J269" s="461"/>
      <c r="K269" s="35"/>
      <c r="L269" s="35"/>
      <c r="M269" s="35"/>
      <c r="N269" s="181"/>
      <c r="O269" s="35"/>
      <c r="P269" s="183"/>
      <c r="Q269" s="183"/>
      <c r="R269" s="183"/>
      <c r="S269" s="183"/>
      <c r="T269" s="183"/>
      <c r="U269" s="183"/>
      <c r="V269" s="183"/>
      <c r="W269" s="183"/>
      <c r="X269" s="183"/>
      <c r="Y269" s="60"/>
      <c r="Z269" s="35"/>
      <c r="AA269" s="38"/>
      <c r="AB269" s="39" t="e">
        <f t="shared" si="14"/>
        <v>#REF!</v>
      </c>
      <c r="AE269" s="6"/>
    </row>
    <row r="270" spans="3:31" s="449" customFormat="1" ht="39.950000000000003" customHeight="1">
      <c r="C270" s="130"/>
      <c r="D270" s="70"/>
      <c r="E270" s="36"/>
      <c r="G270" s="35"/>
      <c r="H270" s="461"/>
      <c r="I270" s="461"/>
      <c r="J270" s="461"/>
      <c r="K270" s="35"/>
      <c r="L270" s="35"/>
      <c r="M270" s="35"/>
      <c r="N270" s="181"/>
      <c r="O270" s="35"/>
      <c r="P270" s="183"/>
      <c r="Q270" s="183"/>
      <c r="R270" s="183"/>
      <c r="S270" s="183"/>
      <c r="T270" s="183"/>
      <c r="U270" s="183"/>
      <c r="V270" s="183"/>
      <c r="W270" s="183"/>
      <c r="X270" s="183"/>
      <c r="Y270" s="60"/>
      <c r="Z270" s="35"/>
      <c r="AA270" s="38"/>
      <c r="AB270" s="39" t="e">
        <f t="shared" si="14"/>
        <v>#REF!</v>
      </c>
      <c r="AE270" s="6"/>
    </row>
    <row r="271" spans="3:31" s="449" customFormat="1" ht="39.950000000000003" customHeight="1">
      <c r="C271" s="130"/>
      <c r="D271" s="70"/>
      <c r="E271" s="36"/>
      <c r="G271" s="35"/>
      <c r="H271" s="461"/>
      <c r="I271" s="461"/>
      <c r="J271" s="461"/>
      <c r="K271" s="35"/>
      <c r="L271" s="35"/>
      <c r="M271" s="35"/>
      <c r="N271" s="181"/>
      <c r="O271" s="35"/>
      <c r="P271" s="183"/>
      <c r="Q271" s="183"/>
      <c r="R271" s="183"/>
      <c r="S271" s="183"/>
      <c r="T271" s="183"/>
      <c r="U271" s="183"/>
      <c r="V271" s="183"/>
      <c r="W271" s="183"/>
      <c r="X271" s="183"/>
      <c r="Y271" s="60"/>
      <c r="Z271" s="35"/>
      <c r="AA271" s="38"/>
      <c r="AB271" s="39" t="e">
        <f t="shared" si="14"/>
        <v>#REF!</v>
      </c>
      <c r="AE271" s="6"/>
    </row>
    <row r="272" spans="3:31" s="449" customFormat="1" ht="39.950000000000003" customHeight="1">
      <c r="C272" s="131"/>
      <c r="D272" s="70"/>
      <c r="E272" s="36"/>
      <c r="G272" s="35"/>
      <c r="H272" s="461"/>
      <c r="I272" s="461"/>
      <c r="J272" s="461"/>
      <c r="K272" s="35"/>
      <c r="L272" s="35"/>
      <c r="M272" s="35"/>
      <c r="N272" s="181"/>
      <c r="O272" s="35"/>
      <c r="P272" s="183"/>
      <c r="Q272" s="183"/>
      <c r="R272" s="183"/>
      <c r="S272" s="183"/>
      <c r="T272" s="183"/>
      <c r="U272" s="183"/>
      <c r="V272" s="183"/>
      <c r="W272" s="183"/>
      <c r="X272" s="183"/>
      <c r="Y272" s="60"/>
      <c r="Z272" s="35"/>
      <c r="AA272" s="38"/>
      <c r="AB272" s="39" t="e">
        <f t="shared" si="14"/>
        <v>#REF!</v>
      </c>
      <c r="AE272" s="6"/>
    </row>
    <row r="273" spans="3:31" s="449" customFormat="1" ht="39.950000000000003" customHeight="1">
      <c r="C273" s="130"/>
      <c r="D273" s="70"/>
      <c r="E273" s="36"/>
      <c r="G273" s="35"/>
      <c r="H273" s="461"/>
      <c r="I273" s="461"/>
      <c r="J273" s="461"/>
      <c r="K273" s="35"/>
      <c r="L273" s="35"/>
      <c r="M273" s="35"/>
      <c r="N273" s="181"/>
      <c r="O273" s="35"/>
      <c r="P273" s="183"/>
      <c r="Q273" s="183"/>
      <c r="R273" s="183"/>
      <c r="S273" s="183"/>
      <c r="T273" s="183"/>
      <c r="U273" s="183"/>
      <c r="V273" s="183"/>
      <c r="W273" s="183"/>
      <c r="X273" s="183"/>
      <c r="Y273" s="60"/>
      <c r="Z273" s="35"/>
      <c r="AA273" s="38"/>
      <c r="AB273" s="39" t="e">
        <f t="shared" si="14"/>
        <v>#REF!</v>
      </c>
      <c r="AE273" s="6"/>
    </row>
    <row r="274" spans="3:31" s="449" customFormat="1" ht="39.950000000000003" customHeight="1">
      <c r="C274" s="130"/>
      <c r="D274" s="70"/>
      <c r="E274" s="36"/>
      <c r="G274" s="35"/>
      <c r="H274" s="461"/>
      <c r="I274" s="461"/>
      <c r="J274" s="461"/>
      <c r="K274" s="35"/>
      <c r="L274" s="35"/>
      <c r="M274" s="35"/>
      <c r="N274" s="181"/>
      <c r="O274" s="35"/>
      <c r="P274" s="183"/>
      <c r="Q274" s="183"/>
      <c r="R274" s="183"/>
      <c r="S274" s="183"/>
      <c r="T274" s="183"/>
      <c r="U274" s="183"/>
      <c r="V274" s="183"/>
      <c r="W274" s="183"/>
      <c r="X274" s="183"/>
      <c r="Y274" s="60"/>
      <c r="Z274" s="35"/>
      <c r="AA274" s="38"/>
      <c r="AB274" s="39" t="e">
        <f t="shared" si="14"/>
        <v>#REF!</v>
      </c>
      <c r="AE274" s="6"/>
    </row>
    <row r="275" spans="3:31" s="449" customFormat="1" ht="39.950000000000003" customHeight="1">
      <c r="C275" s="130"/>
      <c r="D275" s="70"/>
      <c r="E275" s="36"/>
      <c r="G275" s="35"/>
      <c r="H275" s="461"/>
      <c r="I275" s="461"/>
      <c r="J275" s="461"/>
      <c r="K275" s="35"/>
      <c r="L275" s="35"/>
      <c r="M275" s="35"/>
      <c r="N275" s="181"/>
      <c r="O275" s="35"/>
      <c r="P275" s="183"/>
      <c r="Q275" s="183"/>
      <c r="R275" s="183"/>
      <c r="S275" s="183"/>
      <c r="T275" s="183"/>
      <c r="U275" s="183"/>
      <c r="V275" s="183"/>
      <c r="W275" s="183"/>
      <c r="X275" s="183"/>
      <c r="Y275" s="60"/>
      <c r="Z275" s="35"/>
      <c r="AA275" s="38"/>
      <c r="AB275" s="39" t="e">
        <f t="shared" si="14"/>
        <v>#REF!</v>
      </c>
      <c r="AE275" s="6"/>
    </row>
    <row r="276" spans="3:31" s="449" customFormat="1" ht="39.950000000000003" customHeight="1">
      <c r="C276" s="130"/>
      <c r="D276" s="70"/>
      <c r="E276" s="36"/>
      <c r="G276" s="35"/>
      <c r="H276" s="461"/>
      <c r="I276" s="461"/>
      <c r="J276" s="461"/>
      <c r="K276" s="35"/>
      <c r="L276" s="35"/>
      <c r="M276" s="35"/>
      <c r="N276" s="181"/>
      <c r="O276" s="35"/>
      <c r="P276" s="183"/>
      <c r="Q276" s="183"/>
      <c r="R276" s="183"/>
      <c r="S276" s="183"/>
      <c r="T276" s="183"/>
      <c r="U276" s="183"/>
      <c r="V276" s="183"/>
      <c r="W276" s="183"/>
      <c r="X276" s="183"/>
      <c r="Y276" s="60"/>
      <c r="Z276" s="35"/>
      <c r="AA276" s="38"/>
      <c r="AB276" s="39" t="e">
        <f t="shared" si="14"/>
        <v>#REF!</v>
      </c>
      <c r="AE276" s="6"/>
    </row>
    <row r="277" spans="3:31" s="449" customFormat="1" ht="39.950000000000003" customHeight="1">
      <c r="C277" s="130"/>
      <c r="D277" s="70"/>
      <c r="E277" s="36"/>
      <c r="G277" s="35"/>
      <c r="H277" s="461"/>
      <c r="I277" s="461"/>
      <c r="J277" s="461"/>
      <c r="K277" s="35"/>
      <c r="L277" s="35"/>
      <c r="M277" s="35"/>
      <c r="N277" s="181"/>
      <c r="O277" s="35"/>
      <c r="P277" s="183"/>
      <c r="Q277" s="183"/>
      <c r="R277" s="183"/>
      <c r="S277" s="183"/>
      <c r="T277" s="183"/>
      <c r="U277" s="183"/>
      <c r="V277" s="183"/>
      <c r="W277" s="183"/>
      <c r="X277" s="183"/>
      <c r="Y277" s="60"/>
      <c r="Z277" s="35"/>
      <c r="AA277" s="38"/>
      <c r="AB277" s="39" t="e">
        <f t="shared" si="14"/>
        <v>#REF!</v>
      </c>
      <c r="AE277" s="6"/>
    </row>
    <row r="278" spans="3:31" s="449" customFormat="1" ht="39.950000000000003" customHeight="1">
      <c r="C278" s="130"/>
      <c r="D278" s="70"/>
      <c r="E278" s="36"/>
      <c r="G278" s="35"/>
      <c r="H278" s="461"/>
      <c r="I278" s="461"/>
      <c r="J278" s="461"/>
      <c r="K278" s="35"/>
      <c r="L278" s="35"/>
      <c r="M278" s="35"/>
      <c r="N278" s="181"/>
      <c r="O278" s="35"/>
      <c r="P278" s="183"/>
      <c r="Q278" s="183"/>
      <c r="R278" s="183"/>
      <c r="S278" s="183"/>
      <c r="T278" s="183"/>
      <c r="U278" s="183"/>
      <c r="V278" s="183"/>
      <c r="W278" s="183"/>
      <c r="X278" s="183"/>
      <c r="Y278" s="60"/>
      <c r="Z278" s="35"/>
      <c r="AA278" s="38"/>
      <c r="AB278" s="39" t="e">
        <f t="shared" si="14"/>
        <v>#REF!</v>
      </c>
      <c r="AE278" s="6"/>
    </row>
    <row r="279" spans="3:31" s="449" customFormat="1" ht="39.950000000000003" customHeight="1">
      <c r="C279" s="130"/>
      <c r="D279" s="70"/>
      <c r="E279" s="36"/>
      <c r="G279" s="35"/>
      <c r="H279" s="461"/>
      <c r="I279" s="461"/>
      <c r="J279" s="461"/>
      <c r="K279" s="35"/>
      <c r="L279" s="35"/>
      <c r="M279" s="35"/>
      <c r="N279" s="181"/>
      <c r="O279" s="35"/>
      <c r="P279" s="183"/>
      <c r="Q279" s="183"/>
      <c r="R279" s="183"/>
      <c r="S279" s="183"/>
      <c r="T279" s="183"/>
      <c r="U279" s="183"/>
      <c r="V279" s="183"/>
      <c r="W279" s="183"/>
      <c r="X279" s="183"/>
      <c r="Y279" s="60"/>
      <c r="Z279" s="35"/>
      <c r="AA279" s="38"/>
      <c r="AB279" s="39" t="e">
        <f t="shared" si="14"/>
        <v>#REF!</v>
      </c>
      <c r="AE279" s="6"/>
    </row>
    <row r="280" spans="3:31" s="449" customFormat="1" ht="39.950000000000003" customHeight="1">
      <c r="C280" s="130"/>
      <c r="D280" s="70"/>
      <c r="E280" s="36"/>
      <c r="G280" s="35"/>
      <c r="H280" s="461"/>
      <c r="I280" s="461"/>
      <c r="J280" s="461"/>
      <c r="K280" s="35"/>
      <c r="L280" s="35"/>
      <c r="M280" s="35"/>
      <c r="N280" s="181"/>
      <c r="O280" s="35"/>
      <c r="P280" s="183"/>
      <c r="Q280" s="183"/>
      <c r="R280" s="183"/>
      <c r="S280" s="183"/>
      <c r="T280" s="183"/>
      <c r="U280" s="183"/>
      <c r="V280" s="183"/>
      <c r="W280" s="183"/>
      <c r="X280" s="183"/>
      <c r="Y280" s="60"/>
      <c r="Z280" s="35"/>
      <c r="AA280" s="38"/>
      <c r="AB280" s="39" t="e">
        <f t="shared" si="14"/>
        <v>#REF!</v>
      </c>
      <c r="AE280" s="6"/>
    </row>
    <row r="281" spans="3:31" s="449" customFormat="1" ht="39.950000000000003" customHeight="1">
      <c r="C281" s="130"/>
      <c r="D281" s="70"/>
      <c r="E281" s="36"/>
      <c r="G281" s="35"/>
      <c r="H281" s="461"/>
      <c r="I281" s="461"/>
      <c r="J281" s="461"/>
      <c r="K281" s="35"/>
      <c r="L281" s="35"/>
      <c r="M281" s="35"/>
      <c r="N281" s="181"/>
      <c r="O281" s="35"/>
      <c r="P281" s="183"/>
      <c r="Q281" s="183"/>
      <c r="R281" s="183"/>
      <c r="S281" s="183"/>
      <c r="T281" s="183"/>
      <c r="U281" s="183"/>
      <c r="V281" s="183"/>
      <c r="W281" s="183"/>
      <c r="X281" s="183"/>
      <c r="Y281" s="60"/>
      <c r="Z281" s="35"/>
      <c r="AA281" s="38"/>
      <c r="AB281" s="39" t="e">
        <f t="shared" si="14"/>
        <v>#REF!</v>
      </c>
      <c r="AE281" s="6"/>
    </row>
    <row r="282" spans="3:31" s="449" customFormat="1" ht="39.950000000000003" customHeight="1">
      <c r="C282" s="130"/>
      <c r="D282" s="70"/>
      <c r="E282" s="36"/>
      <c r="G282" s="35"/>
      <c r="H282" s="461"/>
      <c r="I282" s="461"/>
      <c r="J282" s="461"/>
      <c r="K282" s="35"/>
      <c r="L282" s="35"/>
      <c r="M282" s="35"/>
      <c r="N282" s="181"/>
      <c r="O282" s="35"/>
      <c r="P282" s="183"/>
      <c r="Q282" s="183"/>
      <c r="R282" s="183"/>
      <c r="S282" s="183"/>
      <c r="T282" s="183"/>
      <c r="U282" s="183"/>
      <c r="V282" s="183"/>
      <c r="W282" s="183"/>
      <c r="X282" s="183"/>
      <c r="Y282" s="60"/>
      <c r="Z282" s="35"/>
      <c r="AA282" s="38"/>
      <c r="AB282" s="39" t="e">
        <f t="shared" si="14"/>
        <v>#REF!</v>
      </c>
      <c r="AE282" s="6"/>
    </row>
    <row r="283" spans="3:31" s="449" customFormat="1" ht="39.950000000000003" customHeight="1">
      <c r="C283" s="130"/>
      <c r="D283" s="70"/>
      <c r="E283" s="36"/>
      <c r="G283" s="35"/>
      <c r="H283" s="461"/>
      <c r="I283" s="461"/>
      <c r="J283" s="461"/>
      <c r="K283" s="35"/>
      <c r="L283" s="35"/>
      <c r="M283" s="35"/>
      <c r="N283" s="181"/>
      <c r="O283" s="35"/>
      <c r="P283" s="183"/>
      <c r="Q283" s="183"/>
      <c r="R283" s="183"/>
      <c r="S283" s="183"/>
      <c r="T283" s="183"/>
      <c r="U283" s="183"/>
      <c r="V283" s="183"/>
      <c r="W283" s="183"/>
      <c r="X283" s="183"/>
      <c r="Y283" s="60"/>
      <c r="Z283" s="35"/>
      <c r="AA283" s="38"/>
      <c r="AB283" s="39" t="e">
        <f t="shared" si="14"/>
        <v>#REF!</v>
      </c>
      <c r="AE283" s="6"/>
    </row>
    <row r="284" spans="3:31" s="449" customFormat="1" ht="39.950000000000003" customHeight="1">
      <c r="C284" s="130"/>
      <c r="D284" s="70"/>
      <c r="E284" s="36"/>
      <c r="G284" s="35"/>
      <c r="H284" s="461"/>
      <c r="I284" s="461"/>
      <c r="J284" s="461"/>
      <c r="K284" s="35"/>
      <c r="L284" s="35"/>
      <c r="M284" s="35"/>
      <c r="N284" s="181"/>
      <c r="O284" s="35"/>
      <c r="P284" s="183"/>
      <c r="Q284" s="183"/>
      <c r="R284" s="183"/>
      <c r="S284" s="183"/>
      <c r="T284" s="183"/>
      <c r="U284" s="183"/>
      <c r="V284" s="183"/>
      <c r="W284" s="183"/>
      <c r="X284" s="183"/>
      <c r="Y284" s="60"/>
      <c r="Z284" s="35"/>
      <c r="AA284" s="38"/>
      <c r="AB284" s="39" t="e">
        <f t="shared" si="14"/>
        <v>#REF!</v>
      </c>
      <c r="AE284" s="6"/>
    </row>
    <row r="285" spans="3:31" s="449" customFormat="1" ht="39.950000000000003" customHeight="1">
      <c r="C285" s="131"/>
      <c r="D285" s="70"/>
      <c r="E285" s="36"/>
      <c r="G285" s="35"/>
      <c r="H285" s="461"/>
      <c r="I285" s="461"/>
      <c r="J285" s="461"/>
      <c r="K285" s="35"/>
      <c r="L285" s="35"/>
      <c r="M285" s="35"/>
      <c r="N285" s="181"/>
      <c r="O285" s="35"/>
      <c r="P285" s="183"/>
      <c r="Q285" s="183"/>
      <c r="R285" s="183"/>
      <c r="S285" s="183"/>
      <c r="T285" s="183"/>
      <c r="U285" s="183"/>
      <c r="V285" s="183"/>
      <c r="W285" s="183"/>
      <c r="X285" s="183"/>
      <c r="Y285" s="60"/>
      <c r="Z285" s="35"/>
      <c r="AA285" s="38"/>
      <c r="AB285" s="39" t="e">
        <f t="shared" si="14"/>
        <v>#REF!</v>
      </c>
      <c r="AE285" s="6"/>
    </row>
    <row r="286" spans="3:31" s="449" customFormat="1" ht="39.950000000000003" customHeight="1">
      <c r="C286" s="130"/>
      <c r="D286" s="70"/>
      <c r="E286" s="36"/>
      <c r="G286" s="35"/>
      <c r="H286" s="461"/>
      <c r="I286" s="461"/>
      <c r="J286" s="461"/>
      <c r="K286" s="35"/>
      <c r="L286" s="35"/>
      <c r="M286" s="35"/>
      <c r="N286" s="181"/>
      <c r="O286" s="35"/>
      <c r="P286" s="183"/>
      <c r="Q286" s="183"/>
      <c r="R286" s="183"/>
      <c r="S286" s="183"/>
      <c r="T286" s="183"/>
      <c r="U286" s="183"/>
      <c r="V286" s="183"/>
      <c r="W286" s="183"/>
      <c r="X286" s="183"/>
      <c r="Y286" s="60"/>
      <c r="Z286" s="35"/>
      <c r="AA286" s="38"/>
      <c r="AB286" s="39" t="e">
        <f t="shared" si="14"/>
        <v>#REF!</v>
      </c>
      <c r="AE286" s="6"/>
    </row>
    <row r="287" spans="3:31" s="449" customFormat="1" ht="39.950000000000003" customHeight="1">
      <c r="C287" s="130"/>
      <c r="D287" s="70"/>
      <c r="E287" s="36"/>
      <c r="G287" s="35"/>
      <c r="H287" s="461"/>
      <c r="I287" s="461"/>
      <c r="J287" s="461"/>
      <c r="K287" s="35"/>
      <c r="L287" s="35"/>
      <c r="M287" s="35"/>
      <c r="N287" s="181"/>
      <c r="O287" s="35"/>
      <c r="P287" s="183"/>
      <c r="Q287" s="183"/>
      <c r="R287" s="183"/>
      <c r="S287" s="183"/>
      <c r="T287" s="183"/>
      <c r="U287" s="183"/>
      <c r="V287" s="183"/>
      <c r="W287" s="183"/>
      <c r="X287" s="183"/>
      <c r="Y287" s="60"/>
      <c r="Z287" s="35"/>
      <c r="AA287" s="38"/>
      <c r="AB287" s="39" t="e">
        <f t="shared" si="14"/>
        <v>#REF!</v>
      </c>
      <c r="AE287" s="6"/>
    </row>
    <row r="288" spans="3:31" s="449" customFormat="1" ht="39.950000000000003" customHeight="1">
      <c r="C288" s="130"/>
      <c r="D288" s="70"/>
      <c r="E288" s="36"/>
      <c r="G288" s="35"/>
      <c r="H288" s="461"/>
      <c r="I288" s="461"/>
      <c r="J288" s="461"/>
      <c r="K288" s="35"/>
      <c r="L288" s="35"/>
      <c r="M288" s="35"/>
      <c r="N288" s="181"/>
      <c r="O288" s="35"/>
      <c r="P288" s="183"/>
      <c r="Q288" s="183"/>
      <c r="R288" s="183"/>
      <c r="S288" s="183"/>
      <c r="T288" s="183"/>
      <c r="U288" s="183"/>
      <c r="V288" s="183"/>
      <c r="W288" s="183"/>
      <c r="X288" s="183"/>
      <c r="Y288" s="60"/>
      <c r="Z288" s="35"/>
      <c r="AA288" s="38"/>
      <c r="AB288" s="39" t="e">
        <f t="shared" si="14"/>
        <v>#REF!</v>
      </c>
      <c r="AE288" s="6"/>
    </row>
    <row r="289" spans="3:31" s="449" customFormat="1" ht="39.950000000000003" customHeight="1">
      <c r="C289" s="130"/>
      <c r="D289" s="70"/>
      <c r="E289" s="36"/>
      <c r="G289" s="35"/>
      <c r="H289" s="461"/>
      <c r="I289" s="461"/>
      <c r="J289" s="461"/>
      <c r="K289" s="35"/>
      <c r="L289" s="35"/>
      <c r="M289" s="35"/>
      <c r="N289" s="181"/>
      <c r="O289" s="35"/>
      <c r="P289" s="183"/>
      <c r="Q289" s="183"/>
      <c r="R289" s="183"/>
      <c r="S289" s="183"/>
      <c r="T289" s="183"/>
      <c r="U289" s="183"/>
      <c r="V289" s="183"/>
      <c r="W289" s="183"/>
      <c r="X289" s="183"/>
      <c r="Y289" s="60"/>
      <c r="Z289" s="35"/>
      <c r="AA289" s="38"/>
      <c r="AB289" s="39" t="e">
        <f t="shared" si="14"/>
        <v>#REF!</v>
      </c>
      <c r="AE289" s="6"/>
    </row>
    <row r="290" spans="3:31" s="449" customFormat="1" ht="39.950000000000003" customHeight="1">
      <c r="C290" s="130"/>
      <c r="D290" s="70"/>
      <c r="E290" s="36"/>
      <c r="G290" s="35"/>
      <c r="H290" s="461"/>
      <c r="I290" s="461"/>
      <c r="J290" s="461"/>
      <c r="K290" s="35"/>
      <c r="L290" s="35"/>
      <c r="M290" s="35"/>
      <c r="N290" s="181"/>
      <c r="O290" s="35"/>
      <c r="P290" s="183"/>
      <c r="Q290" s="183"/>
      <c r="R290" s="183"/>
      <c r="S290" s="183"/>
      <c r="T290" s="183"/>
      <c r="U290" s="183"/>
      <c r="V290" s="183"/>
      <c r="W290" s="183"/>
      <c r="X290" s="183"/>
      <c r="Y290" s="60"/>
      <c r="Z290" s="35"/>
      <c r="AA290" s="38"/>
      <c r="AB290" s="39" t="e">
        <f t="shared" si="14"/>
        <v>#REF!</v>
      </c>
      <c r="AE290" s="6"/>
    </row>
    <row r="291" spans="3:31" s="449" customFormat="1" ht="39.950000000000003" customHeight="1">
      <c r="C291" s="130"/>
      <c r="D291" s="70"/>
      <c r="E291" s="36"/>
      <c r="G291" s="35"/>
      <c r="H291" s="461"/>
      <c r="I291" s="461"/>
      <c r="J291" s="461"/>
      <c r="K291" s="35"/>
      <c r="L291" s="35"/>
      <c r="M291" s="35"/>
      <c r="N291" s="181"/>
      <c r="O291" s="35"/>
      <c r="P291" s="183"/>
      <c r="Q291" s="183"/>
      <c r="R291" s="183"/>
      <c r="S291" s="183"/>
      <c r="T291" s="183"/>
      <c r="U291" s="183"/>
      <c r="V291" s="183"/>
      <c r="W291" s="183"/>
      <c r="X291" s="183"/>
      <c r="Y291" s="60"/>
      <c r="Z291" s="35"/>
      <c r="AA291" s="38"/>
      <c r="AB291" s="39" t="e">
        <f t="shared" si="14"/>
        <v>#REF!</v>
      </c>
      <c r="AE291" s="6"/>
    </row>
    <row r="292" spans="3:31" s="449" customFormat="1" ht="39.950000000000003" customHeight="1">
      <c r="C292" s="130"/>
      <c r="D292" s="70"/>
      <c r="E292" s="36"/>
      <c r="G292" s="35"/>
      <c r="H292" s="461"/>
      <c r="I292" s="461"/>
      <c r="J292" s="461"/>
      <c r="K292" s="35"/>
      <c r="L292" s="35"/>
      <c r="M292" s="35"/>
      <c r="N292" s="181"/>
      <c r="O292" s="35"/>
      <c r="P292" s="183"/>
      <c r="Q292" s="183"/>
      <c r="R292" s="183"/>
      <c r="S292" s="183"/>
      <c r="T292" s="183"/>
      <c r="U292" s="183"/>
      <c r="V292" s="183"/>
      <c r="W292" s="183"/>
      <c r="X292" s="183"/>
      <c r="Y292" s="60"/>
      <c r="Z292" s="35"/>
      <c r="AA292" s="38"/>
      <c r="AB292" s="39" t="e">
        <f t="shared" si="14"/>
        <v>#REF!</v>
      </c>
      <c r="AE292" s="6"/>
    </row>
    <row r="293" spans="3:31" s="449" customFormat="1" ht="39.950000000000003" customHeight="1">
      <c r="C293" s="130"/>
      <c r="D293" s="70"/>
      <c r="E293" s="36"/>
      <c r="G293" s="35"/>
      <c r="H293" s="461"/>
      <c r="I293" s="461"/>
      <c r="J293" s="461"/>
      <c r="K293" s="35"/>
      <c r="L293" s="35"/>
      <c r="M293" s="35"/>
      <c r="N293" s="181"/>
      <c r="O293" s="35"/>
      <c r="P293" s="183"/>
      <c r="Q293" s="183"/>
      <c r="R293" s="183"/>
      <c r="S293" s="183"/>
      <c r="T293" s="183"/>
      <c r="U293" s="183"/>
      <c r="V293" s="183"/>
      <c r="W293" s="183"/>
      <c r="X293" s="183"/>
      <c r="Y293" s="60"/>
      <c r="Z293" s="35"/>
      <c r="AA293" s="38"/>
      <c r="AB293" s="39" t="e">
        <f t="shared" si="14"/>
        <v>#REF!</v>
      </c>
      <c r="AE293" s="6"/>
    </row>
    <row r="294" spans="3:31" s="449" customFormat="1" ht="39.950000000000003" customHeight="1">
      <c r="C294" s="130"/>
      <c r="D294" s="70"/>
      <c r="E294" s="36"/>
      <c r="G294" s="35"/>
      <c r="H294" s="461"/>
      <c r="I294" s="461"/>
      <c r="J294" s="461"/>
      <c r="K294" s="35"/>
      <c r="L294" s="35"/>
      <c r="M294" s="35"/>
      <c r="N294" s="181"/>
      <c r="O294" s="35"/>
      <c r="P294" s="183"/>
      <c r="Q294" s="183"/>
      <c r="R294" s="183"/>
      <c r="S294" s="183"/>
      <c r="T294" s="183"/>
      <c r="U294" s="183"/>
      <c r="V294" s="183"/>
      <c r="W294" s="183"/>
      <c r="X294" s="183"/>
      <c r="Y294" s="60"/>
      <c r="Z294" s="35"/>
      <c r="AA294" s="38"/>
      <c r="AB294" s="39" t="e">
        <f t="shared" si="14"/>
        <v>#REF!</v>
      </c>
      <c r="AE294" s="6"/>
    </row>
    <row r="295" spans="3:31" s="449" customFormat="1" ht="39.950000000000003" customHeight="1">
      <c r="C295" s="130"/>
      <c r="D295" s="70"/>
      <c r="E295" s="36"/>
      <c r="G295" s="35"/>
      <c r="H295" s="461"/>
      <c r="I295" s="461"/>
      <c r="J295" s="461"/>
      <c r="K295" s="35"/>
      <c r="L295" s="35"/>
      <c r="M295" s="35"/>
      <c r="N295" s="181"/>
      <c r="O295" s="35"/>
      <c r="P295" s="183"/>
      <c r="Q295" s="183"/>
      <c r="R295" s="183"/>
      <c r="S295" s="183"/>
      <c r="T295" s="183"/>
      <c r="U295" s="183"/>
      <c r="V295" s="183"/>
      <c r="W295" s="183"/>
      <c r="X295" s="183"/>
      <c r="Y295" s="60"/>
      <c r="Z295" s="35"/>
      <c r="AA295" s="38"/>
      <c r="AB295" s="39" t="e">
        <f t="shared" si="14"/>
        <v>#REF!</v>
      </c>
      <c r="AE295" s="6"/>
    </row>
    <row r="296" spans="3:31" s="449" customFormat="1" ht="39.950000000000003" customHeight="1">
      <c r="C296" s="130"/>
      <c r="D296" s="70"/>
      <c r="E296" s="36"/>
      <c r="G296" s="35"/>
      <c r="H296" s="461"/>
      <c r="I296" s="461"/>
      <c r="J296" s="461"/>
      <c r="K296" s="35"/>
      <c r="L296" s="35"/>
      <c r="M296" s="35"/>
      <c r="N296" s="181"/>
      <c r="O296" s="35"/>
      <c r="P296" s="183"/>
      <c r="Q296" s="183"/>
      <c r="R296" s="183"/>
      <c r="S296" s="183"/>
      <c r="T296" s="183"/>
      <c r="U296" s="183"/>
      <c r="V296" s="183"/>
      <c r="W296" s="183"/>
      <c r="X296" s="183"/>
      <c r="Y296" s="60"/>
      <c r="Z296" s="35"/>
      <c r="AA296" s="38"/>
      <c r="AB296" s="39" t="e">
        <f t="shared" si="14"/>
        <v>#REF!</v>
      </c>
      <c r="AE296" s="6"/>
    </row>
    <row r="297" spans="3:31" s="449" customFormat="1" ht="39.950000000000003" customHeight="1">
      <c r="C297" s="130"/>
      <c r="D297" s="70"/>
      <c r="E297" s="36"/>
      <c r="G297" s="35"/>
      <c r="H297" s="461"/>
      <c r="I297" s="461"/>
      <c r="J297" s="461"/>
      <c r="K297" s="35"/>
      <c r="L297" s="35"/>
      <c r="M297" s="35"/>
      <c r="N297" s="181"/>
      <c r="O297" s="35"/>
      <c r="P297" s="183"/>
      <c r="Q297" s="183"/>
      <c r="R297" s="183"/>
      <c r="S297" s="183"/>
      <c r="T297" s="183"/>
      <c r="U297" s="183"/>
      <c r="V297" s="183"/>
      <c r="W297" s="183"/>
      <c r="X297" s="183"/>
      <c r="Y297" s="60"/>
      <c r="Z297" s="35"/>
      <c r="AA297" s="38"/>
      <c r="AB297" s="39" t="e">
        <f t="shared" si="14"/>
        <v>#REF!</v>
      </c>
      <c r="AE297" s="6"/>
    </row>
    <row r="298" spans="3:31" s="449" customFormat="1" ht="39.950000000000003" customHeight="1">
      <c r="C298" s="130"/>
      <c r="D298" s="70"/>
      <c r="E298" s="36"/>
      <c r="G298" s="35"/>
      <c r="H298" s="461"/>
      <c r="I298" s="461"/>
      <c r="J298" s="461"/>
      <c r="K298" s="35"/>
      <c r="L298" s="35"/>
      <c r="M298" s="35"/>
      <c r="N298" s="181"/>
      <c r="O298" s="35"/>
      <c r="P298" s="183"/>
      <c r="Q298" s="183"/>
      <c r="R298" s="183"/>
      <c r="S298" s="183"/>
      <c r="T298" s="183"/>
      <c r="U298" s="183"/>
      <c r="V298" s="183"/>
      <c r="W298" s="183"/>
      <c r="X298" s="183"/>
      <c r="Y298" s="60"/>
      <c r="Z298" s="35"/>
      <c r="AA298" s="38"/>
      <c r="AB298" s="39" t="e">
        <f t="shared" si="14"/>
        <v>#REF!</v>
      </c>
      <c r="AE298" s="6"/>
    </row>
    <row r="299" spans="3:31" s="449" customFormat="1" ht="39.950000000000003" customHeight="1">
      <c r="C299" s="131"/>
      <c r="D299" s="70"/>
      <c r="E299" s="36"/>
      <c r="G299" s="35"/>
      <c r="H299" s="461"/>
      <c r="I299" s="461"/>
      <c r="J299" s="461"/>
      <c r="K299" s="35"/>
      <c r="L299" s="35"/>
      <c r="M299" s="35"/>
      <c r="N299" s="181"/>
      <c r="O299" s="35"/>
      <c r="P299" s="183"/>
      <c r="Q299" s="183"/>
      <c r="R299" s="183"/>
      <c r="S299" s="183"/>
      <c r="T299" s="183"/>
      <c r="U299" s="183"/>
      <c r="V299" s="183"/>
      <c r="W299" s="183"/>
      <c r="X299" s="183"/>
      <c r="Y299" s="60"/>
      <c r="Z299" s="35"/>
      <c r="AA299" s="38"/>
      <c r="AB299" s="39" t="e">
        <f t="shared" si="14"/>
        <v>#REF!</v>
      </c>
      <c r="AE299" s="6"/>
    </row>
    <row r="300" spans="3:31" s="449" customFormat="1" ht="39.950000000000003" customHeight="1">
      <c r="C300" s="130"/>
      <c r="D300" s="70"/>
      <c r="E300" s="36"/>
      <c r="G300" s="35"/>
      <c r="H300" s="461"/>
      <c r="I300" s="461"/>
      <c r="J300" s="461"/>
      <c r="K300" s="35"/>
      <c r="L300" s="35"/>
      <c r="M300" s="35"/>
      <c r="N300" s="181"/>
      <c r="O300" s="35"/>
      <c r="P300" s="183"/>
      <c r="Q300" s="183"/>
      <c r="R300" s="183"/>
      <c r="S300" s="183"/>
      <c r="T300" s="183"/>
      <c r="U300" s="183"/>
      <c r="V300" s="183"/>
      <c r="W300" s="183"/>
      <c r="X300" s="183"/>
      <c r="Y300" s="60"/>
      <c r="Z300" s="35"/>
      <c r="AA300" s="38"/>
      <c r="AB300" s="39" t="e">
        <f t="shared" si="14"/>
        <v>#REF!</v>
      </c>
      <c r="AE300" s="6"/>
    </row>
    <row r="301" spans="3:31" s="449" customFormat="1" ht="39.950000000000003" customHeight="1">
      <c r="C301" s="130"/>
      <c r="D301" s="70"/>
      <c r="E301" s="36"/>
      <c r="G301" s="35"/>
      <c r="H301" s="461"/>
      <c r="I301" s="461"/>
      <c r="J301" s="461"/>
      <c r="K301" s="35"/>
      <c r="L301" s="35"/>
      <c r="M301" s="35"/>
      <c r="N301" s="181"/>
      <c r="O301" s="35"/>
      <c r="P301" s="183"/>
      <c r="Q301" s="183"/>
      <c r="R301" s="183"/>
      <c r="S301" s="183"/>
      <c r="T301" s="183"/>
      <c r="U301" s="183"/>
      <c r="V301" s="183"/>
      <c r="W301" s="183"/>
      <c r="X301" s="183"/>
      <c r="Y301" s="60"/>
      <c r="Z301" s="35"/>
      <c r="AA301" s="38"/>
      <c r="AB301" s="39" t="e">
        <f t="shared" si="14"/>
        <v>#REF!</v>
      </c>
      <c r="AE301" s="6"/>
    </row>
    <row r="302" spans="3:31" s="449" customFormat="1" ht="39.950000000000003" customHeight="1">
      <c r="C302" s="130"/>
      <c r="D302" s="70"/>
      <c r="E302" s="36"/>
      <c r="G302" s="35"/>
      <c r="H302" s="461"/>
      <c r="I302" s="461"/>
      <c r="J302" s="461"/>
      <c r="K302" s="35"/>
      <c r="L302" s="35"/>
      <c r="M302" s="35"/>
      <c r="N302" s="181"/>
      <c r="O302" s="35"/>
      <c r="P302" s="183"/>
      <c r="Q302" s="183"/>
      <c r="R302" s="183"/>
      <c r="S302" s="183"/>
      <c r="T302" s="183"/>
      <c r="U302" s="183"/>
      <c r="V302" s="183"/>
      <c r="W302" s="183"/>
      <c r="X302" s="183"/>
      <c r="Y302" s="60"/>
      <c r="Z302" s="35"/>
      <c r="AA302" s="38"/>
      <c r="AB302" s="39" t="e">
        <f t="shared" si="14"/>
        <v>#REF!</v>
      </c>
      <c r="AE302" s="6"/>
    </row>
    <row r="303" spans="3:31" s="449" customFormat="1" ht="39.950000000000003" customHeight="1">
      <c r="C303" s="130"/>
      <c r="D303" s="70"/>
      <c r="E303" s="36"/>
      <c r="G303" s="35"/>
      <c r="H303" s="461"/>
      <c r="I303" s="461"/>
      <c r="J303" s="461"/>
      <c r="K303" s="35"/>
      <c r="L303" s="35"/>
      <c r="M303" s="35"/>
      <c r="N303" s="181"/>
      <c r="O303" s="35"/>
      <c r="P303" s="183"/>
      <c r="Q303" s="183"/>
      <c r="R303" s="183"/>
      <c r="S303" s="183"/>
      <c r="T303" s="183"/>
      <c r="U303" s="183"/>
      <c r="V303" s="183"/>
      <c r="W303" s="183"/>
      <c r="X303" s="183"/>
      <c r="Y303" s="60"/>
      <c r="Z303" s="35"/>
      <c r="AA303" s="38"/>
      <c r="AB303" s="39" t="e">
        <f t="shared" si="14"/>
        <v>#REF!</v>
      </c>
      <c r="AE303" s="6"/>
    </row>
    <row r="304" spans="3:31" s="449" customFormat="1" ht="39.950000000000003" customHeight="1">
      <c r="C304" s="130"/>
      <c r="D304" s="70"/>
      <c r="E304" s="36"/>
      <c r="G304" s="35"/>
      <c r="H304" s="461"/>
      <c r="I304" s="461"/>
      <c r="J304" s="461"/>
      <c r="K304" s="35"/>
      <c r="L304" s="35"/>
      <c r="M304" s="35"/>
      <c r="N304" s="181"/>
      <c r="O304" s="35"/>
      <c r="P304" s="183"/>
      <c r="Q304" s="183"/>
      <c r="R304" s="183"/>
      <c r="S304" s="183"/>
      <c r="T304" s="183"/>
      <c r="U304" s="183"/>
      <c r="V304" s="183"/>
      <c r="W304" s="183"/>
      <c r="X304" s="183"/>
      <c r="Y304" s="60"/>
      <c r="Z304" s="35"/>
      <c r="AA304" s="38"/>
      <c r="AB304" s="39" t="e">
        <f t="shared" si="14"/>
        <v>#REF!</v>
      </c>
      <c r="AE304" s="6"/>
    </row>
    <row r="305" spans="3:31" s="449" customFormat="1" ht="39.950000000000003" customHeight="1">
      <c r="C305" s="130"/>
      <c r="D305" s="70"/>
      <c r="E305" s="36"/>
      <c r="G305" s="35"/>
      <c r="H305" s="461"/>
      <c r="I305" s="461"/>
      <c r="J305" s="461"/>
      <c r="K305" s="35"/>
      <c r="L305" s="35"/>
      <c r="M305" s="35"/>
      <c r="N305" s="181"/>
      <c r="O305" s="35"/>
      <c r="P305" s="183"/>
      <c r="Q305" s="183"/>
      <c r="R305" s="183"/>
      <c r="S305" s="183"/>
      <c r="T305" s="183"/>
      <c r="U305" s="183"/>
      <c r="V305" s="183"/>
      <c r="W305" s="183"/>
      <c r="X305" s="183"/>
      <c r="Y305" s="60"/>
      <c r="Z305" s="35"/>
      <c r="AA305" s="38"/>
      <c r="AB305" s="39" t="e">
        <f t="shared" si="14"/>
        <v>#REF!</v>
      </c>
      <c r="AE305" s="6"/>
    </row>
    <row r="306" spans="3:31" s="449" customFormat="1" ht="39.950000000000003" customHeight="1">
      <c r="C306" s="130"/>
      <c r="D306" s="70"/>
      <c r="E306" s="36"/>
      <c r="G306" s="35"/>
      <c r="H306" s="461"/>
      <c r="I306" s="461"/>
      <c r="J306" s="461"/>
      <c r="K306" s="35"/>
      <c r="L306" s="35"/>
      <c r="M306" s="35"/>
      <c r="N306" s="181"/>
      <c r="O306" s="35"/>
      <c r="P306" s="183"/>
      <c r="Q306" s="183"/>
      <c r="R306" s="183"/>
      <c r="S306" s="183"/>
      <c r="T306" s="183"/>
      <c r="U306" s="183"/>
      <c r="V306" s="183"/>
      <c r="W306" s="183"/>
      <c r="X306" s="183"/>
      <c r="Y306" s="60"/>
      <c r="Z306" s="35"/>
      <c r="AA306" s="38"/>
      <c r="AB306" s="39" t="e">
        <f t="shared" si="14"/>
        <v>#REF!</v>
      </c>
      <c r="AE306" s="6"/>
    </row>
    <row r="307" spans="3:31" s="449" customFormat="1" ht="39.950000000000003" customHeight="1">
      <c r="C307" s="131"/>
      <c r="D307" s="70"/>
      <c r="E307" s="36"/>
      <c r="G307" s="35"/>
      <c r="H307" s="461"/>
      <c r="I307" s="461"/>
      <c r="J307" s="461"/>
      <c r="K307" s="35"/>
      <c r="L307" s="35"/>
      <c r="M307" s="35"/>
      <c r="N307" s="181"/>
      <c r="O307" s="35"/>
      <c r="P307" s="183"/>
      <c r="Q307" s="183"/>
      <c r="R307" s="183"/>
      <c r="S307" s="183"/>
      <c r="T307" s="183"/>
      <c r="U307" s="183"/>
      <c r="V307" s="183"/>
      <c r="W307" s="183"/>
      <c r="X307" s="183"/>
      <c r="Y307" s="60"/>
      <c r="Z307" s="35"/>
      <c r="AA307" s="38"/>
      <c r="AB307" s="39" t="e">
        <f t="shared" si="14"/>
        <v>#REF!</v>
      </c>
      <c r="AE307" s="6"/>
    </row>
    <row r="308" spans="3:31" s="449" customFormat="1" ht="39.950000000000003" customHeight="1">
      <c r="C308" s="130"/>
      <c r="D308" s="70"/>
      <c r="E308" s="36"/>
      <c r="G308" s="35"/>
      <c r="H308" s="461"/>
      <c r="I308" s="461"/>
      <c r="J308" s="461"/>
      <c r="K308" s="35"/>
      <c r="L308" s="35"/>
      <c r="M308" s="35"/>
      <c r="N308" s="181"/>
      <c r="O308" s="35"/>
      <c r="P308" s="183"/>
      <c r="Q308" s="183"/>
      <c r="R308" s="183"/>
      <c r="S308" s="183"/>
      <c r="T308" s="183"/>
      <c r="U308" s="183"/>
      <c r="V308" s="183"/>
      <c r="W308" s="183"/>
      <c r="X308" s="183"/>
      <c r="Y308" s="60"/>
      <c r="Z308" s="35"/>
      <c r="AA308" s="38"/>
      <c r="AB308" s="39" t="e">
        <f t="shared" si="14"/>
        <v>#REF!</v>
      </c>
      <c r="AE308" s="6"/>
    </row>
    <row r="309" spans="3:31" s="449" customFormat="1" ht="39.950000000000003" customHeight="1">
      <c r="C309" s="130"/>
      <c r="D309" s="70"/>
      <c r="E309" s="36"/>
      <c r="G309" s="35"/>
      <c r="H309" s="461"/>
      <c r="I309" s="461"/>
      <c r="J309" s="461"/>
      <c r="K309" s="35"/>
      <c r="L309" s="35"/>
      <c r="M309" s="35"/>
      <c r="N309" s="181"/>
      <c r="O309" s="35"/>
      <c r="P309" s="183"/>
      <c r="Q309" s="183"/>
      <c r="R309" s="183"/>
      <c r="S309" s="183"/>
      <c r="T309" s="183"/>
      <c r="U309" s="183"/>
      <c r="V309" s="183"/>
      <c r="W309" s="183"/>
      <c r="X309" s="183"/>
      <c r="Y309" s="60"/>
      <c r="Z309" s="35"/>
      <c r="AA309" s="38"/>
      <c r="AB309" s="39" t="e">
        <f t="shared" si="14"/>
        <v>#REF!</v>
      </c>
      <c r="AE309" s="6"/>
    </row>
    <row r="310" spans="3:31" s="449" customFormat="1" ht="39.950000000000003" customHeight="1">
      <c r="C310" s="130"/>
      <c r="D310" s="70"/>
      <c r="E310" s="36"/>
      <c r="G310" s="35"/>
      <c r="H310" s="461"/>
      <c r="I310" s="461"/>
      <c r="J310" s="461"/>
      <c r="K310" s="35"/>
      <c r="L310" s="35"/>
      <c r="M310" s="35"/>
      <c r="N310" s="181"/>
      <c r="O310" s="35"/>
      <c r="P310" s="183"/>
      <c r="Q310" s="183"/>
      <c r="R310" s="183"/>
      <c r="S310" s="183"/>
      <c r="T310" s="183"/>
      <c r="U310" s="183"/>
      <c r="V310" s="183"/>
      <c r="W310" s="183"/>
      <c r="X310" s="183"/>
      <c r="Y310" s="60"/>
      <c r="Z310" s="35"/>
      <c r="AA310" s="38"/>
      <c r="AB310" s="39" t="e">
        <f t="shared" si="14"/>
        <v>#REF!</v>
      </c>
      <c r="AE310" s="6"/>
    </row>
    <row r="311" spans="3:31" s="449" customFormat="1" ht="39.950000000000003" customHeight="1">
      <c r="C311" s="130"/>
      <c r="D311" s="70"/>
      <c r="E311" s="36"/>
      <c r="G311" s="35"/>
      <c r="H311" s="461"/>
      <c r="I311" s="461"/>
      <c r="J311" s="461"/>
      <c r="K311" s="35"/>
      <c r="L311" s="35"/>
      <c r="M311" s="35"/>
      <c r="N311" s="181"/>
      <c r="O311" s="35"/>
      <c r="P311" s="183"/>
      <c r="Q311" s="183"/>
      <c r="R311" s="183"/>
      <c r="S311" s="183"/>
      <c r="T311" s="183"/>
      <c r="U311" s="183"/>
      <c r="V311" s="183"/>
      <c r="W311" s="183"/>
      <c r="X311" s="183"/>
      <c r="Y311" s="60"/>
      <c r="Z311" s="35"/>
      <c r="AA311" s="38"/>
      <c r="AB311" s="39" t="e">
        <f t="shared" si="14"/>
        <v>#REF!</v>
      </c>
      <c r="AE311" s="6"/>
    </row>
    <row r="312" spans="3:31" s="449" customFormat="1" ht="39.950000000000003" customHeight="1">
      <c r="C312" s="130"/>
      <c r="D312" s="70"/>
      <c r="E312" s="36"/>
      <c r="G312" s="35"/>
      <c r="H312" s="461"/>
      <c r="I312" s="461"/>
      <c r="J312" s="461"/>
      <c r="K312" s="35"/>
      <c r="L312" s="35"/>
      <c r="M312" s="35"/>
      <c r="N312" s="181"/>
      <c r="O312" s="35"/>
      <c r="P312" s="183"/>
      <c r="Q312" s="183"/>
      <c r="R312" s="183"/>
      <c r="S312" s="183"/>
      <c r="T312" s="183"/>
      <c r="U312" s="183"/>
      <c r="V312" s="183"/>
      <c r="W312" s="183"/>
      <c r="X312" s="183"/>
      <c r="Y312" s="60"/>
      <c r="Z312" s="35"/>
      <c r="AA312" s="38"/>
      <c r="AB312" s="39" t="e">
        <f t="shared" si="14"/>
        <v>#REF!</v>
      </c>
      <c r="AE312" s="6"/>
    </row>
    <row r="313" spans="3:31" s="449" customFormat="1" ht="39.950000000000003" customHeight="1">
      <c r="C313" s="130"/>
      <c r="D313" s="70"/>
      <c r="E313" s="36"/>
      <c r="G313" s="35"/>
      <c r="H313" s="461"/>
      <c r="I313" s="461"/>
      <c r="J313" s="461"/>
      <c r="K313" s="35"/>
      <c r="L313" s="35"/>
      <c r="M313" s="35"/>
      <c r="N313" s="181"/>
      <c r="O313" s="35"/>
      <c r="P313" s="183"/>
      <c r="Q313" s="183"/>
      <c r="R313" s="183"/>
      <c r="S313" s="183"/>
      <c r="T313" s="183"/>
      <c r="U313" s="183"/>
      <c r="V313" s="183"/>
      <c r="W313" s="183"/>
      <c r="X313" s="183"/>
      <c r="Y313" s="60"/>
      <c r="Z313" s="35"/>
      <c r="AA313" s="38"/>
      <c r="AB313" s="39" t="e">
        <f t="shared" ref="AB313:AB357" si="15">IF(E313=E312,AB312,AB312+1)</f>
        <v>#REF!</v>
      </c>
      <c r="AE313" s="6"/>
    </row>
    <row r="314" spans="3:31" s="449" customFormat="1" ht="39.950000000000003" customHeight="1">
      <c r="C314" s="130"/>
      <c r="D314" s="70"/>
      <c r="E314" s="36"/>
      <c r="G314" s="35"/>
      <c r="H314" s="461"/>
      <c r="I314" s="461"/>
      <c r="J314" s="461"/>
      <c r="K314" s="35"/>
      <c r="L314" s="35"/>
      <c r="M314" s="35"/>
      <c r="N314" s="181"/>
      <c r="O314" s="35"/>
      <c r="P314" s="183"/>
      <c r="Q314" s="183"/>
      <c r="R314" s="183"/>
      <c r="S314" s="183"/>
      <c r="T314" s="183"/>
      <c r="U314" s="183"/>
      <c r="V314" s="183"/>
      <c r="W314" s="183"/>
      <c r="X314" s="183"/>
      <c r="Y314" s="60"/>
      <c r="Z314" s="35"/>
      <c r="AA314" s="38"/>
      <c r="AB314" s="39" t="e">
        <f t="shared" si="15"/>
        <v>#REF!</v>
      </c>
      <c r="AE314" s="6"/>
    </row>
    <row r="315" spans="3:31" s="449" customFormat="1" ht="39.950000000000003" customHeight="1">
      <c r="C315" s="130"/>
      <c r="D315" s="70"/>
      <c r="E315" s="36"/>
      <c r="G315" s="35"/>
      <c r="H315" s="461"/>
      <c r="I315" s="461"/>
      <c r="J315" s="461"/>
      <c r="K315" s="35"/>
      <c r="L315" s="35"/>
      <c r="M315" s="35"/>
      <c r="N315" s="181"/>
      <c r="O315" s="35"/>
      <c r="P315" s="183"/>
      <c r="Q315" s="183"/>
      <c r="R315" s="183"/>
      <c r="S315" s="183"/>
      <c r="T315" s="183"/>
      <c r="U315" s="183"/>
      <c r="V315" s="183"/>
      <c r="W315" s="183"/>
      <c r="X315" s="183"/>
      <c r="Y315" s="60"/>
      <c r="Z315" s="35"/>
      <c r="AA315" s="38"/>
      <c r="AB315" s="39" t="e">
        <f t="shared" si="15"/>
        <v>#REF!</v>
      </c>
      <c r="AE315" s="6"/>
    </row>
    <row r="316" spans="3:31" s="449" customFormat="1" ht="39.950000000000003" customHeight="1">
      <c r="C316" s="130"/>
      <c r="D316" s="70"/>
      <c r="E316" s="36"/>
      <c r="G316" s="35"/>
      <c r="H316" s="461"/>
      <c r="I316" s="461"/>
      <c r="J316" s="461"/>
      <c r="K316" s="35"/>
      <c r="L316" s="35"/>
      <c r="M316" s="35"/>
      <c r="N316" s="181"/>
      <c r="O316" s="35"/>
      <c r="P316" s="183"/>
      <c r="Q316" s="183"/>
      <c r="R316" s="183"/>
      <c r="S316" s="183"/>
      <c r="T316" s="183"/>
      <c r="U316" s="183"/>
      <c r="V316" s="183"/>
      <c r="W316" s="183"/>
      <c r="X316" s="183"/>
      <c r="Y316" s="60"/>
      <c r="Z316" s="35"/>
      <c r="AA316" s="38"/>
      <c r="AB316" s="39" t="e">
        <f t="shared" si="15"/>
        <v>#REF!</v>
      </c>
      <c r="AE316" s="6"/>
    </row>
    <row r="317" spans="3:31" s="449" customFormat="1" ht="39.950000000000003" customHeight="1">
      <c r="C317" s="130"/>
      <c r="D317" s="70"/>
      <c r="E317" s="36"/>
      <c r="G317" s="35"/>
      <c r="H317" s="461"/>
      <c r="I317" s="461"/>
      <c r="J317" s="461"/>
      <c r="K317" s="35"/>
      <c r="L317" s="35"/>
      <c r="M317" s="35"/>
      <c r="N317" s="181"/>
      <c r="O317" s="35"/>
      <c r="P317" s="183"/>
      <c r="Q317" s="183"/>
      <c r="R317" s="183"/>
      <c r="S317" s="183"/>
      <c r="T317" s="183"/>
      <c r="U317" s="183"/>
      <c r="V317" s="183"/>
      <c r="W317" s="183"/>
      <c r="X317" s="183"/>
      <c r="Y317" s="60"/>
      <c r="Z317" s="35"/>
      <c r="AA317" s="38"/>
      <c r="AB317" s="39" t="e">
        <f t="shared" si="15"/>
        <v>#REF!</v>
      </c>
      <c r="AE317" s="6"/>
    </row>
    <row r="318" spans="3:31" s="449" customFormat="1" ht="39.950000000000003" customHeight="1">
      <c r="C318" s="130"/>
      <c r="D318" s="70"/>
      <c r="E318" s="36"/>
      <c r="G318" s="35"/>
      <c r="H318" s="461"/>
      <c r="I318" s="461"/>
      <c r="J318" s="461"/>
      <c r="K318" s="35"/>
      <c r="L318" s="35"/>
      <c r="M318" s="35"/>
      <c r="N318" s="181"/>
      <c r="O318" s="35"/>
      <c r="P318" s="183"/>
      <c r="Q318" s="183"/>
      <c r="R318" s="183"/>
      <c r="S318" s="183"/>
      <c r="T318" s="183"/>
      <c r="U318" s="183"/>
      <c r="V318" s="183"/>
      <c r="W318" s="183"/>
      <c r="X318" s="183"/>
      <c r="Y318" s="60"/>
      <c r="Z318" s="35"/>
      <c r="AA318" s="38"/>
      <c r="AB318" s="39" t="e">
        <f t="shared" si="15"/>
        <v>#REF!</v>
      </c>
      <c r="AE318" s="6"/>
    </row>
    <row r="319" spans="3:31" s="449" customFormat="1" ht="39.950000000000003" customHeight="1">
      <c r="C319" s="131"/>
      <c r="D319" s="70"/>
      <c r="E319" s="36"/>
      <c r="G319" s="35"/>
      <c r="H319" s="461"/>
      <c r="I319" s="461"/>
      <c r="J319" s="461"/>
      <c r="K319" s="35"/>
      <c r="L319" s="35"/>
      <c r="M319" s="35"/>
      <c r="N319" s="181"/>
      <c r="O319" s="35"/>
      <c r="P319" s="183"/>
      <c r="Q319" s="183"/>
      <c r="R319" s="183"/>
      <c r="S319" s="183"/>
      <c r="T319" s="183"/>
      <c r="U319" s="183"/>
      <c r="V319" s="183"/>
      <c r="W319" s="183"/>
      <c r="X319" s="183"/>
      <c r="Y319" s="60"/>
      <c r="Z319" s="35"/>
      <c r="AA319" s="38"/>
      <c r="AB319" s="39" t="e">
        <f t="shared" si="15"/>
        <v>#REF!</v>
      </c>
      <c r="AE319" s="6"/>
    </row>
    <row r="320" spans="3:31" s="449" customFormat="1" ht="39.950000000000003" customHeight="1">
      <c r="C320" s="130"/>
      <c r="D320" s="70"/>
      <c r="E320" s="36"/>
      <c r="G320" s="35"/>
      <c r="H320" s="461"/>
      <c r="I320" s="461"/>
      <c r="J320" s="461"/>
      <c r="K320" s="35"/>
      <c r="L320" s="35"/>
      <c r="M320" s="35"/>
      <c r="N320" s="181"/>
      <c r="O320" s="35"/>
      <c r="P320" s="183"/>
      <c r="Q320" s="183"/>
      <c r="R320" s="183"/>
      <c r="S320" s="183"/>
      <c r="T320" s="183"/>
      <c r="U320" s="183"/>
      <c r="V320" s="183"/>
      <c r="W320" s="183"/>
      <c r="X320" s="183"/>
      <c r="Y320" s="60"/>
      <c r="Z320" s="35"/>
      <c r="AA320" s="38"/>
      <c r="AB320" s="39" t="e">
        <f t="shared" si="15"/>
        <v>#REF!</v>
      </c>
      <c r="AE320" s="6"/>
    </row>
    <row r="321" spans="3:31" s="449" customFormat="1" ht="39.950000000000003" customHeight="1">
      <c r="C321" s="130"/>
      <c r="D321" s="70"/>
      <c r="E321" s="36"/>
      <c r="G321" s="35"/>
      <c r="H321" s="461"/>
      <c r="I321" s="461"/>
      <c r="J321" s="461"/>
      <c r="K321" s="35"/>
      <c r="L321" s="35"/>
      <c r="M321" s="35"/>
      <c r="N321" s="181"/>
      <c r="O321" s="35"/>
      <c r="P321" s="183"/>
      <c r="Q321" s="183"/>
      <c r="R321" s="183"/>
      <c r="S321" s="183"/>
      <c r="T321" s="183"/>
      <c r="U321" s="183"/>
      <c r="V321" s="183"/>
      <c r="W321" s="183"/>
      <c r="X321" s="183"/>
      <c r="Y321" s="60"/>
      <c r="Z321" s="35"/>
      <c r="AA321" s="38"/>
      <c r="AB321" s="39" t="e">
        <f t="shared" si="15"/>
        <v>#REF!</v>
      </c>
      <c r="AE321" s="6"/>
    </row>
    <row r="322" spans="3:31" s="449" customFormat="1" ht="39.950000000000003" customHeight="1">
      <c r="C322" s="130"/>
      <c r="D322" s="70"/>
      <c r="E322" s="36"/>
      <c r="G322" s="35"/>
      <c r="H322" s="461"/>
      <c r="I322" s="461"/>
      <c r="J322" s="461"/>
      <c r="K322" s="35"/>
      <c r="L322" s="35"/>
      <c r="M322" s="35"/>
      <c r="N322" s="181"/>
      <c r="O322" s="35"/>
      <c r="P322" s="183"/>
      <c r="Q322" s="183"/>
      <c r="R322" s="183"/>
      <c r="S322" s="183"/>
      <c r="T322" s="183"/>
      <c r="U322" s="183"/>
      <c r="V322" s="183"/>
      <c r="W322" s="183"/>
      <c r="X322" s="183"/>
      <c r="Y322" s="60"/>
      <c r="Z322" s="35"/>
      <c r="AA322" s="38"/>
      <c r="AB322" s="39" t="e">
        <f t="shared" si="15"/>
        <v>#REF!</v>
      </c>
      <c r="AE322" s="6"/>
    </row>
    <row r="323" spans="3:31" s="449" customFormat="1" ht="39.950000000000003" customHeight="1">
      <c r="C323" s="130"/>
      <c r="D323" s="70"/>
      <c r="E323" s="36"/>
      <c r="G323" s="35"/>
      <c r="H323" s="461"/>
      <c r="I323" s="461"/>
      <c r="J323" s="461"/>
      <c r="K323" s="35"/>
      <c r="L323" s="35"/>
      <c r="M323" s="35"/>
      <c r="N323" s="181"/>
      <c r="O323" s="35"/>
      <c r="P323" s="183"/>
      <c r="Q323" s="183"/>
      <c r="R323" s="183"/>
      <c r="S323" s="183"/>
      <c r="T323" s="183"/>
      <c r="U323" s="183"/>
      <c r="V323" s="183"/>
      <c r="W323" s="183"/>
      <c r="X323" s="183"/>
      <c r="Y323" s="60"/>
      <c r="Z323" s="35"/>
      <c r="AA323" s="38"/>
      <c r="AB323" s="39" t="e">
        <f t="shared" si="15"/>
        <v>#REF!</v>
      </c>
      <c r="AE323" s="6"/>
    </row>
    <row r="324" spans="3:31" s="449" customFormat="1" ht="39.950000000000003" customHeight="1">
      <c r="C324" s="130"/>
      <c r="D324" s="70"/>
      <c r="E324" s="36"/>
      <c r="G324" s="35"/>
      <c r="H324" s="461"/>
      <c r="I324" s="461"/>
      <c r="J324" s="461"/>
      <c r="K324" s="35"/>
      <c r="L324" s="35"/>
      <c r="M324" s="35"/>
      <c r="N324" s="181"/>
      <c r="O324" s="35"/>
      <c r="P324" s="183"/>
      <c r="Q324" s="183"/>
      <c r="R324" s="183"/>
      <c r="S324" s="183"/>
      <c r="T324" s="183"/>
      <c r="U324" s="183"/>
      <c r="V324" s="183"/>
      <c r="W324" s="183"/>
      <c r="X324" s="183"/>
      <c r="Y324" s="60"/>
      <c r="Z324" s="35"/>
      <c r="AA324" s="38"/>
      <c r="AB324" s="39" t="e">
        <f t="shared" si="15"/>
        <v>#REF!</v>
      </c>
      <c r="AE324" s="6"/>
    </row>
    <row r="325" spans="3:31" s="449" customFormat="1" ht="39.950000000000003" customHeight="1">
      <c r="C325" s="130"/>
      <c r="D325" s="70"/>
      <c r="E325" s="36"/>
      <c r="G325" s="35"/>
      <c r="H325" s="461"/>
      <c r="I325" s="461"/>
      <c r="J325" s="461"/>
      <c r="K325" s="35"/>
      <c r="L325" s="35"/>
      <c r="M325" s="35"/>
      <c r="N325" s="181"/>
      <c r="O325" s="35"/>
      <c r="P325" s="183"/>
      <c r="Q325" s="183"/>
      <c r="R325" s="183"/>
      <c r="S325" s="183"/>
      <c r="T325" s="183"/>
      <c r="U325" s="183"/>
      <c r="V325" s="183"/>
      <c r="W325" s="183"/>
      <c r="X325" s="183"/>
      <c r="Y325" s="60"/>
      <c r="Z325" s="35"/>
      <c r="AA325" s="38"/>
      <c r="AB325" s="39" t="e">
        <f t="shared" si="15"/>
        <v>#REF!</v>
      </c>
      <c r="AE325" s="6"/>
    </row>
    <row r="326" spans="3:31" s="449" customFormat="1" ht="39.950000000000003" customHeight="1">
      <c r="C326" s="130"/>
      <c r="D326" s="70"/>
      <c r="E326" s="36"/>
      <c r="G326" s="35"/>
      <c r="H326" s="461"/>
      <c r="I326" s="461"/>
      <c r="J326" s="461"/>
      <c r="K326" s="35"/>
      <c r="L326" s="35"/>
      <c r="M326" s="35"/>
      <c r="N326" s="181"/>
      <c r="O326" s="35"/>
      <c r="P326" s="183"/>
      <c r="Q326" s="183"/>
      <c r="R326" s="183"/>
      <c r="S326" s="183"/>
      <c r="T326" s="183"/>
      <c r="U326" s="183"/>
      <c r="V326" s="183"/>
      <c r="W326" s="183"/>
      <c r="X326" s="183"/>
      <c r="Y326" s="60"/>
      <c r="Z326" s="35"/>
      <c r="AA326" s="38"/>
      <c r="AB326" s="39" t="e">
        <f t="shared" si="15"/>
        <v>#REF!</v>
      </c>
      <c r="AE326" s="6"/>
    </row>
    <row r="327" spans="3:31" s="449" customFormat="1" ht="39.950000000000003" customHeight="1">
      <c r="C327" s="130"/>
      <c r="D327" s="70"/>
      <c r="E327" s="36"/>
      <c r="G327" s="35"/>
      <c r="H327" s="461"/>
      <c r="I327" s="461"/>
      <c r="J327" s="461"/>
      <c r="K327" s="35"/>
      <c r="L327" s="35"/>
      <c r="M327" s="35"/>
      <c r="N327" s="181"/>
      <c r="O327" s="35"/>
      <c r="P327" s="183"/>
      <c r="Q327" s="183"/>
      <c r="R327" s="183"/>
      <c r="S327" s="183"/>
      <c r="T327" s="183"/>
      <c r="U327" s="183"/>
      <c r="V327" s="183"/>
      <c r="W327" s="183"/>
      <c r="X327" s="183"/>
      <c r="Y327" s="60"/>
      <c r="Z327" s="35"/>
      <c r="AA327" s="38"/>
      <c r="AB327" s="39" t="e">
        <f t="shared" si="15"/>
        <v>#REF!</v>
      </c>
      <c r="AE327" s="6"/>
    </row>
    <row r="328" spans="3:31" s="449" customFormat="1" ht="39.950000000000003" customHeight="1">
      <c r="C328" s="130"/>
      <c r="D328" s="70"/>
      <c r="E328" s="36"/>
      <c r="G328" s="35"/>
      <c r="H328" s="461"/>
      <c r="I328" s="461"/>
      <c r="J328" s="461"/>
      <c r="K328" s="35"/>
      <c r="L328" s="35"/>
      <c r="M328" s="35"/>
      <c r="N328" s="181"/>
      <c r="O328" s="35"/>
      <c r="P328" s="183"/>
      <c r="Q328" s="183"/>
      <c r="R328" s="183"/>
      <c r="S328" s="183"/>
      <c r="T328" s="183"/>
      <c r="U328" s="183"/>
      <c r="V328" s="183"/>
      <c r="W328" s="183"/>
      <c r="X328" s="183"/>
      <c r="Y328" s="60"/>
      <c r="Z328" s="35"/>
      <c r="AA328" s="38"/>
      <c r="AB328" s="39" t="e">
        <f t="shared" si="15"/>
        <v>#REF!</v>
      </c>
      <c r="AE328" s="6"/>
    </row>
    <row r="329" spans="3:31" s="449" customFormat="1" ht="39.950000000000003" customHeight="1">
      <c r="C329" s="130"/>
      <c r="D329" s="70"/>
      <c r="E329" s="36"/>
      <c r="G329" s="35"/>
      <c r="H329" s="461"/>
      <c r="I329" s="461"/>
      <c r="J329" s="461"/>
      <c r="K329" s="35"/>
      <c r="L329" s="35"/>
      <c r="M329" s="35"/>
      <c r="N329" s="181"/>
      <c r="O329" s="35"/>
      <c r="P329" s="183"/>
      <c r="Q329" s="183"/>
      <c r="R329" s="183"/>
      <c r="S329" s="183"/>
      <c r="T329" s="183"/>
      <c r="U329" s="183"/>
      <c r="V329" s="183"/>
      <c r="W329" s="183"/>
      <c r="X329" s="183"/>
      <c r="Y329" s="60"/>
      <c r="Z329" s="35"/>
      <c r="AA329" s="38"/>
      <c r="AB329" s="39" t="e">
        <f t="shared" si="15"/>
        <v>#REF!</v>
      </c>
      <c r="AE329" s="6"/>
    </row>
    <row r="330" spans="3:31" s="449" customFormat="1" ht="39.950000000000003" customHeight="1">
      <c r="C330" s="130"/>
      <c r="D330" s="70"/>
      <c r="E330" s="36"/>
      <c r="G330" s="35"/>
      <c r="H330" s="461"/>
      <c r="I330" s="461"/>
      <c r="J330" s="461"/>
      <c r="K330" s="35"/>
      <c r="L330" s="35"/>
      <c r="M330" s="35"/>
      <c r="N330" s="181"/>
      <c r="O330" s="35"/>
      <c r="P330" s="183"/>
      <c r="Q330" s="183"/>
      <c r="R330" s="183"/>
      <c r="S330" s="183"/>
      <c r="T330" s="183"/>
      <c r="U330" s="183"/>
      <c r="V330" s="183"/>
      <c r="W330" s="183"/>
      <c r="X330" s="183"/>
      <c r="Y330" s="60"/>
      <c r="Z330" s="35"/>
      <c r="AA330" s="38"/>
      <c r="AB330" s="39" t="e">
        <f t="shared" si="15"/>
        <v>#REF!</v>
      </c>
      <c r="AE330" s="6"/>
    </row>
    <row r="331" spans="3:31" s="449" customFormat="1" ht="39.950000000000003" customHeight="1">
      <c r="C331" s="130"/>
      <c r="D331" s="70"/>
      <c r="E331" s="36"/>
      <c r="G331" s="35"/>
      <c r="H331" s="461"/>
      <c r="I331" s="461"/>
      <c r="J331" s="461"/>
      <c r="K331" s="35"/>
      <c r="L331" s="35"/>
      <c r="M331" s="35"/>
      <c r="N331" s="181"/>
      <c r="O331" s="35"/>
      <c r="P331" s="183"/>
      <c r="Q331" s="183"/>
      <c r="R331" s="183"/>
      <c r="S331" s="183"/>
      <c r="T331" s="183"/>
      <c r="U331" s="183"/>
      <c r="V331" s="183"/>
      <c r="W331" s="183"/>
      <c r="X331" s="183"/>
      <c r="Y331" s="60"/>
      <c r="Z331" s="35"/>
      <c r="AA331" s="38"/>
      <c r="AB331" s="39" t="e">
        <f t="shared" si="15"/>
        <v>#REF!</v>
      </c>
      <c r="AE331" s="6"/>
    </row>
    <row r="332" spans="3:31" s="449" customFormat="1" ht="39.950000000000003" customHeight="1">
      <c r="C332" s="130"/>
      <c r="D332" s="70"/>
      <c r="E332" s="36"/>
      <c r="G332" s="35"/>
      <c r="H332" s="461"/>
      <c r="I332" s="461"/>
      <c r="J332" s="461"/>
      <c r="K332" s="35"/>
      <c r="L332" s="35"/>
      <c r="M332" s="35"/>
      <c r="N332" s="181"/>
      <c r="O332" s="35"/>
      <c r="P332" s="183"/>
      <c r="Q332" s="183"/>
      <c r="R332" s="183"/>
      <c r="S332" s="183"/>
      <c r="T332" s="183"/>
      <c r="U332" s="183"/>
      <c r="V332" s="183"/>
      <c r="W332" s="183"/>
      <c r="X332" s="183"/>
      <c r="Y332" s="60"/>
      <c r="Z332" s="35"/>
      <c r="AA332" s="38"/>
      <c r="AB332" s="39" t="e">
        <f t="shared" si="15"/>
        <v>#REF!</v>
      </c>
      <c r="AE332" s="6"/>
    </row>
    <row r="333" spans="3:31" s="449" customFormat="1" ht="39.950000000000003" customHeight="1">
      <c r="C333" s="131"/>
      <c r="D333" s="70"/>
      <c r="E333" s="36"/>
      <c r="G333" s="35"/>
      <c r="H333" s="461"/>
      <c r="I333" s="461"/>
      <c r="J333" s="461"/>
      <c r="K333" s="35"/>
      <c r="L333" s="35"/>
      <c r="M333" s="35"/>
      <c r="N333" s="181"/>
      <c r="O333" s="35"/>
      <c r="P333" s="183"/>
      <c r="Q333" s="183"/>
      <c r="R333" s="183"/>
      <c r="S333" s="183"/>
      <c r="T333" s="183"/>
      <c r="U333" s="183"/>
      <c r="V333" s="183"/>
      <c r="W333" s="183"/>
      <c r="X333" s="183"/>
      <c r="Y333" s="60"/>
      <c r="Z333" s="35"/>
      <c r="AA333" s="38"/>
      <c r="AB333" s="39" t="e">
        <f t="shared" si="15"/>
        <v>#REF!</v>
      </c>
      <c r="AE333" s="6"/>
    </row>
    <row r="334" spans="3:31" s="449" customFormat="1" ht="39.950000000000003" customHeight="1">
      <c r="C334" s="130"/>
      <c r="D334" s="70"/>
      <c r="E334" s="36"/>
      <c r="G334" s="35"/>
      <c r="H334" s="461"/>
      <c r="I334" s="461"/>
      <c r="J334" s="461"/>
      <c r="K334" s="35"/>
      <c r="L334" s="35"/>
      <c r="M334" s="35"/>
      <c r="N334" s="181"/>
      <c r="O334" s="35"/>
      <c r="P334" s="183"/>
      <c r="Q334" s="183"/>
      <c r="R334" s="183"/>
      <c r="S334" s="183"/>
      <c r="T334" s="183"/>
      <c r="U334" s="183"/>
      <c r="V334" s="183"/>
      <c r="W334" s="183"/>
      <c r="X334" s="183"/>
      <c r="Y334" s="60"/>
      <c r="Z334" s="35"/>
      <c r="AA334" s="38"/>
      <c r="AB334" s="39" t="e">
        <f t="shared" si="15"/>
        <v>#REF!</v>
      </c>
      <c r="AE334" s="6"/>
    </row>
    <row r="335" spans="3:31" s="449" customFormat="1" ht="39.950000000000003" customHeight="1">
      <c r="C335" s="130"/>
      <c r="D335" s="70"/>
      <c r="E335" s="36"/>
      <c r="G335" s="35"/>
      <c r="H335" s="461"/>
      <c r="I335" s="461"/>
      <c r="J335" s="461"/>
      <c r="K335" s="35"/>
      <c r="L335" s="35"/>
      <c r="M335" s="35"/>
      <c r="N335" s="181"/>
      <c r="O335" s="35"/>
      <c r="P335" s="183"/>
      <c r="Q335" s="183"/>
      <c r="R335" s="183"/>
      <c r="S335" s="183"/>
      <c r="T335" s="183"/>
      <c r="U335" s="183"/>
      <c r="V335" s="183"/>
      <c r="W335" s="183"/>
      <c r="X335" s="183"/>
      <c r="Y335" s="60"/>
      <c r="Z335" s="35"/>
      <c r="AA335" s="38"/>
      <c r="AB335" s="39" t="e">
        <f t="shared" si="15"/>
        <v>#REF!</v>
      </c>
      <c r="AE335" s="6"/>
    </row>
    <row r="336" spans="3:31" s="449" customFormat="1" ht="39.950000000000003" customHeight="1">
      <c r="C336" s="130"/>
      <c r="D336" s="70"/>
      <c r="E336" s="36"/>
      <c r="G336" s="35"/>
      <c r="H336" s="461"/>
      <c r="I336" s="461"/>
      <c r="J336" s="461"/>
      <c r="K336" s="35"/>
      <c r="L336" s="35"/>
      <c r="M336" s="35"/>
      <c r="N336" s="181"/>
      <c r="O336" s="35"/>
      <c r="P336" s="183"/>
      <c r="Q336" s="183"/>
      <c r="R336" s="183"/>
      <c r="S336" s="183"/>
      <c r="T336" s="183"/>
      <c r="U336" s="183"/>
      <c r="V336" s="183"/>
      <c r="W336" s="183"/>
      <c r="X336" s="183"/>
      <c r="Y336" s="60"/>
      <c r="Z336" s="35"/>
      <c r="AA336" s="38"/>
      <c r="AB336" s="39" t="e">
        <f t="shared" si="15"/>
        <v>#REF!</v>
      </c>
      <c r="AE336" s="6"/>
    </row>
    <row r="337" spans="3:31" s="449" customFormat="1" ht="39.950000000000003" customHeight="1">
      <c r="C337" s="130"/>
      <c r="D337" s="70"/>
      <c r="E337" s="36"/>
      <c r="G337" s="35"/>
      <c r="H337" s="461"/>
      <c r="I337" s="461"/>
      <c r="J337" s="461"/>
      <c r="K337" s="35"/>
      <c r="L337" s="35"/>
      <c r="M337" s="35"/>
      <c r="N337" s="181"/>
      <c r="O337" s="35"/>
      <c r="P337" s="183"/>
      <c r="Q337" s="183"/>
      <c r="R337" s="183"/>
      <c r="S337" s="183"/>
      <c r="T337" s="183"/>
      <c r="U337" s="183"/>
      <c r="V337" s="183"/>
      <c r="W337" s="183"/>
      <c r="X337" s="183"/>
      <c r="Y337" s="60"/>
      <c r="Z337" s="35"/>
      <c r="AA337" s="38"/>
      <c r="AB337" s="39" t="e">
        <f t="shared" si="15"/>
        <v>#REF!</v>
      </c>
      <c r="AE337" s="6"/>
    </row>
    <row r="338" spans="3:31" s="449" customFormat="1" ht="39.950000000000003" customHeight="1">
      <c r="C338" s="130"/>
      <c r="D338" s="70"/>
      <c r="E338" s="36"/>
      <c r="G338" s="35"/>
      <c r="H338" s="461"/>
      <c r="I338" s="461"/>
      <c r="J338" s="461"/>
      <c r="K338" s="35"/>
      <c r="L338" s="35"/>
      <c r="M338" s="35"/>
      <c r="N338" s="181"/>
      <c r="O338" s="35"/>
      <c r="P338" s="183"/>
      <c r="Q338" s="183"/>
      <c r="R338" s="183"/>
      <c r="S338" s="183"/>
      <c r="T338" s="183"/>
      <c r="U338" s="183"/>
      <c r="V338" s="183"/>
      <c r="W338" s="183"/>
      <c r="X338" s="183"/>
      <c r="Y338" s="60"/>
      <c r="Z338" s="35"/>
      <c r="AA338" s="38"/>
      <c r="AB338" s="39" t="e">
        <f t="shared" si="15"/>
        <v>#REF!</v>
      </c>
      <c r="AE338" s="6"/>
    </row>
    <row r="339" spans="3:31" s="449" customFormat="1" ht="39.950000000000003" customHeight="1">
      <c r="C339" s="130"/>
      <c r="D339" s="70"/>
      <c r="E339" s="36"/>
      <c r="G339" s="35"/>
      <c r="H339" s="461"/>
      <c r="I339" s="461"/>
      <c r="J339" s="461"/>
      <c r="K339" s="35"/>
      <c r="L339" s="35"/>
      <c r="M339" s="35"/>
      <c r="N339" s="181"/>
      <c r="O339" s="35"/>
      <c r="P339" s="183"/>
      <c r="Q339" s="183"/>
      <c r="R339" s="183"/>
      <c r="S339" s="183"/>
      <c r="T339" s="183"/>
      <c r="U339" s="183"/>
      <c r="V339" s="183"/>
      <c r="W339" s="183"/>
      <c r="X339" s="183"/>
      <c r="Y339" s="60"/>
      <c r="Z339" s="35"/>
      <c r="AA339" s="38"/>
      <c r="AB339" s="39" t="e">
        <f t="shared" si="15"/>
        <v>#REF!</v>
      </c>
      <c r="AE339" s="6"/>
    </row>
    <row r="340" spans="3:31" s="449" customFormat="1" ht="39.950000000000003" customHeight="1">
      <c r="C340" s="130"/>
      <c r="D340" s="70"/>
      <c r="E340" s="36"/>
      <c r="G340" s="35"/>
      <c r="H340" s="461"/>
      <c r="I340" s="461"/>
      <c r="J340" s="461"/>
      <c r="K340" s="35"/>
      <c r="L340" s="35"/>
      <c r="M340" s="35"/>
      <c r="N340" s="181"/>
      <c r="O340" s="35"/>
      <c r="P340" s="183"/>
      <c r="Q340" s="183"/>
      <c r="R340" s="183"/>
      <c r="S340" s="183"/>
      <c r="T340" s="183"/>
      <c r="U340" s="183"/>
      <c r="V340" s="183"/>
      <c r="W340" s="183"/>
      <c r="X340" s="183"/>
      <c r="Y340" s="60"/>
      <c r="Z340" s="35"/>
      <c r="AA340" s="38"/>
      <c r="AB340" s="39" t="e">
        <f t="shared" si="15"/>
        <v>#REF!</v>
      </c>
      <c r="AE340" s="6"/>
    </row>
    <row r="341" spans="3:31" s="449" customFormat="1" ht="39.950000000000003" customHeight="1">
      <c r="C341" s="130"/>
      <c r="D341" s="70"/>
      <c r="E341" s="36"/>
      <c r="G341" s="35"/>
      <c r="H341" s="461"/>
      <c r="I341" s="461"/>
      <c r="J341" s="461"/>
      <c r="K341" s="35"/>
      <c r="L341" s="35"/>
      <c r="M341" s="35"/>
      <c r="N341" s="181"/>
      <c r="O341" s="35"/>
      <c r="P341" s="183"/>
      <c r="Q341" s="183"/>
      <c r="R341" s="183"/>
      <c r="S341" s="183"/>
      <c r="T341" s="183"/>
      <c r="U341" s="183"/>
      <c r="V341" s="183"/>
      <c r="W341" s="183"/>
      <c r="X341" s="183"/>
      <c r="Y341" s="60"/>
      <c r="Z341" s="35"/>
      <c r="AA341" s="38"/>
      <c r="AB341" s="39" t="e">
        <f t="shared" si="15"/>
        <v>#REF!</v>
      </c>
      <c r="AE341" s="6"/>
    </row>
    <row r="342" spans="3:31" s="449" customFormat="1" ht="39.950000000000003" customHeight="1">
      <c r="C342" s="130"/>
      <c r="D342" s="70"/>
      <c r="E342" s="36"/>
      <c r="G342" s="35"/>
      <c r="H342" s="461"/>
      <c r="I342" s="461"/>
      <c r="J342" s="461"/>
      <c r="K342" s="35"/>
      <c r="L342" s="35"/>
      <c r="M342" s="35"/>
      <c r="N342" s="181"/>
      <c r="O342" s="35"/>
      <c r="P342" s="183"/>
      <c r="Q342" s="183"/>
      <c r="R342" s="183"/>
      <c r="S342" s="183"/>
      <c r="T342" s="183"/>
      <c r="U342" s="183"/>
      <c r="V342" s="183"/>
      <c r="W342" s="183"/>
      <c r="X342" s="183"/>
      <c r="Y342" s="60"/>
      <c r="Z342" s="35"/>
      <c r="AA342" s="38"/>
      <c r="AB342" s="39" t="e">
        <f t="shared" si="15"/>
        <v>#REF!</v>
      </c>
      <c r="AE342" s="6"/>
    </row>
    <row r="343" spans="3:31" s="449" customFormat="1" ht="39.950000000000003" customHeight="1">
      <c r="C343" s="130"/>
      <c r="D343" s="70"/>
      <c r="E343" s="36"/>
      <c r="G343" s="35"/>
      <c r="H343" s="461"/>
      <c r="I343" s="461"/>
      <c r="J343" s="461"/>
      <c r="K343" s="35"/>
      <c r="L343" s="35"/>
      <c r="M343" s="35"/>
      <c r="N343" s="181"/>
      <c r="O343" s="35"/>
      <c r="P343" s="183"/>
      <c r="Q343" s="183"/>
      <c r="R343" s="183"/>
      <c r="S343" s="183"/>
      <c r="T343" s="183"/>
      <c r="U343" s="183"/>
      <c r="V343" s="183"/>
      <c r="W343" s="183"/>
      <c r="X343" s="183"/>
      <c r="Y343" s="60"/>
      <c r="Z343" s="35"/>
      <c r="AA343" s="38"/>
      <c r="AB343" s="39" t="e">
        <f t="shared" si="15"/>
        <v>#REF!</v>
      </c>
      <c r="AE343" s="6"/>
    </row>
    <row r="344" spans="3:31" s="449" customFormat="1" ht="39.950000000000003" customHeight="1">
      <c r="C344" s="130"/>
      <c r="D344" s="70"/>
      <c r="E344" s="36"/>
      <c r="G344" s="35"/>
      <c r="H344" s="461"/>
      <c r="I344" s="461"/>
      <c r="J344" s="461"/>
      <c r="K344" s="35"/>
      <c r="L344" s="35"/>
      <c r="M344" s="35"/>
      <c r="N344" s="181"/>
      <c r="O344" s="35"/>
      <c r="P344" s="183"/>
      <c r="Q344" s="183"/>
      <c r="R344" s="183"/>
      <c r="S344" s="183"/>
      <c r="T344" s="183"/>
      <c r="U344" s="183"/>
      <c r="V344" s="183"/>
      <c r="W344" s="183"/>
      <c r="X344" s="183"/>
      <c r="Y344" s="60"/>
      <c r="Z344" s="35"/>
      <c r="AA344" s="38"/>
      <c r="AB344" s="39" t="e">
        <f t="shared" si="15"/>
        <v>#REF!</v>
      </c>
      <c r="AE344" s="6"/>
    </row>
    <row r="345" spans="3:31" s="449" customFormat="1" ht="39.950000000000003" customHeight="1">
      <c r="C345" s="130"/>
      <c r="D345" s="70"/>
      <c r="E345" s="36"/>
      <c r="G345" s="35"/>
      <c r="H345" s="461"/>
      <c r="I345" s="461"/>
      <c r="J345" s="461"/>
      <c r="K345" s="35"/>
      <c r="L345" s="35"/>
      <c r="M345" s="35"/>
      <c r="N345" s="181"/>
      <c r="O345" s="35"/>
      <c r="P345" s="183"/>
      <c r="Q345" s="183"/>
      <c r="R345" s="183"/>
      <c r="S345" s="183"/>
      <c r="T345" s="183"/>
      <c r="U345" s="183"/>
      <c r="V345" s="183"/>
      <c r="W345" s="183"/>
      <c r="X345" s="183"/>
      <c r="Y345" s="60"/>
      <c r="Z345" s="35"/>
      <c r="AA345" s="38"/>
      <c r="AB345" s="39" t="e">
        <f t="shared" si="15"/>
        <v>#REF!</v>
      </c>
      <c r="AE345" s="6"/>
    </row>
    <row r="346" spans="3:31" s="449" customFormat="1" ht="39.950000000000003" customHeight="1">
      <c r="C346" s="130"/>
      <c r="D346" s="70"/>
      <c r="E346" s="36"/>
      <c r="G346" s="35"/>
      <c r="H346" s="461"/>
      <c r="I346" s="461"/>
      <c r="J346" s="461"/>
      <c r="K346" s="35"/>
      <c r="L346" s="35"/>
      <c r="M346" s="35"/>
      <c r="N346" s="181"/>
      <c r="O346" s="35"/>
      <c r="P346" s="183"/>
      <c r="Q346" s="183"/>
      <c r="R346" s="183"/>
      <c r="S346" s="183"/>
      <c r="T346" s="183"/>
      <c r="U346" s="183"/>
      <c r="V346" s="183"/>
      <c r="W346" s="183"/>
      <c r="X346" s="183"/>
      <c r="Y346" s="60"/>
      <c r="Z346" s="35"/>
      <c r="AA346" s="38"/>
      <c r="AB346" s="39" t="e">
        <f t="shared" si="15"/>
        <v>#REF!</v>
      </c>
      <c r="AE346" s="6"/>
    </row>
    <row r="347" spans="3:31" s="449" customFormat="1" ht="39.950000000000003" customHeight="1">
      <c r="C347" s="130"/>
      <c r="D347" s="70"/>
      <c r="E347" s="36"/>
      <c r="G347" s="35"/>
      <c r="H347" s="461"/>
      <c r="I347" s="461"/>
      <c r="J347" s="461"/>
      <c r="K347" s="35"/>
      <c r="L347" s="35"/>
      <c r="M347" s="35"/>
      <c r="N347" s="181"/>
      <c r="O347" s="35"/>
      <c r="P347" s="183"/>
      <c r="Q347" s="183"/>
      <c r="R347" s="183"/>
      <c r="S347" s="183"/>
      <c r="T347" s="183"/>
      <c r="U347" s="183"/>
      <c r="V347" s="183"/>
      <c r="W347" s="183"/>
      <c r="X347" s="183"/>
      <c r="Y347" s="60"/>
      <c r="Z347" s="35"/>
      <c r="AA347" s="38"/>
      <c r="AB347" s="39" t="e">
        <f t="shared" si="15"/>
        <v>#REF!</v>
      </c>
      <c r="AE347" s="6"/>
    </row>
    <row r="348" spans="3:31" s="449" customFormat="1" ht="39.950000000000003" customHeight="1">
      <c r="C348" s="130"/>
      <c r="D348" s="70"/>
      <c r="E348" s="36"/>
      <c r="G348" s="35"/>
      <c r="H348" s="461"/>
      <c r="I348" s="461"/>
      <c r="J348" s="461"/>
      <c r="K348" s="35"/>
      <c r="L348" s="35"/>
      <c r="M348" s="35"/>
      <c r="N348" s="181"/>
      <c r="O348" s="35"/>
      <c r="P348" s="183"/>
      <c r="Q348" s="183"/>
      <c r="R348" s="183"/>
      <c r="S348" s="183"/>
      <c r="T348" s="183"/>
      <c r="U348" s="183"/>
      <c r="V348" s="183"/>
      <c r="W348" s="183"/>
      <c r="X348" s="183"/>
      <c r="Y348" s="60"/>
      <c r="Z348" s="35"/>
      <c r="AA348" s="38"/>
      <c r="AB348" s="39" t="e">
        <f t="shared" si="15"/>
        <v>#REF!</v>
      </c>
      <c r="AE348" s="6"/>
    </row>
    <row r="349" spans="3:31" s="449" customFormat="1" ht="39.950000000000003" customHeight="1">
      <c r="C349" s="131"/>
      <c r="D349" s="70"/>
      <c r="E349" s="36"/>
      <c r="G349" s="35"/>
      <c r="H349" s="461"/>
      <c r="I349" s="461"/>
      <c r="J349" s="461"/>
      <c r="K349" s="35"/>
      <c r="L349" s="35"/>
      <c r="M349" s="35"/>
      <c r="N349" s="181"/>
      <c r="O349" s="35"/>
      <c r="P349" s="183"/>
      <c r="Q349" s="183"/>
      <c r="R349" s="183"/>
      <c r="S349" s="183"/>
      <c r="T349" s="183"/>
      <c r="U349" s="183"/>
      <c r="V349" s="183"/>
      <c r="W349" s="183"/>
      <c r="X349" s="183"/>
      <c r="Y349" s="60"/>
      <c r="Z349" s="35"/>
      <c r="AA349" s="38"/>
      <c r="AB349" s="39" t="e">
        <f t="shared" si="15"/>
        <v>#REF!</v>
      </c>
      <c r="AE349" s="6"/>
    </row>
    <row r="350" spans="3:31" s="449" customFormat="1" ht="39.950000000000003" customHeight="1">
      <c r="C350" s="130"/>
      <c r="D350" s="70"/>
      <c r="E350" s="36"/>
      <c r="G350" s="35"/>
      <c r="H350" s="461"/>
      <c r="I350" s="461"/>
      <c r="J350" s="461"/>
      <c r="K350" s="35"/>
      <c r="L350" s="35"/>
      <c r="M350" s="35"/>
      <c r="N350" s="181"/>
      <c r="O350" s="35"/>
      <c r="P350" s="183"/>
      <c r="Q350" s="183"/>
      <c r="R350" s="183"/>
      <c r="S350" s="183"/>
      <c r="T350" s="183"/>
      <c r="U350" s="183"/>
      <c r="V350" s="183"/>
      <c r="W350" s="183"/>
      <c r="X350" s="183"/>
      <c r="Y350" s="60"/>
      <c r="Z350" s="35"/>
      <c r="AA350" s="38"/>
      <c r="AB350" s="39" t="e">
        <f t="shared" si="15"/>
        <v>#REF!</v>
      </c>
      <c r="AE350" s="6"/>
    </row>
    <row r="351" spans="3:31" s="449" customFormat="1" ht="39.950000000000003" customHeight="1">
      <c r="C351" s="130"/>
      <c r="D351" s="70"/>
      <c r="E351" s="36"/>
      <c r="G351" s="35"/>
      <c r="H351" s="461"/>
      <c r="I351" s="461"/>
      <c r="J351" s="461"/>
      <c r="K351" s="35"/>
      <c r="L351" s="35"/>
      <c r="M351" s="35"/>
      <c r="N351" s="181"/>
      <c r="O351" s="35"/>
      <c r="P351" s="183"/>
      <c r="Q351" s="183"/>
      <c r="R351" s="183"/>
      <c r="S351" s="183"/>
      <c r="T351" s="183"/>
      <c r="U351" s="183"/>
      <c r="V351" s="183"/>
      <c r="W351" s="183"/>
      <c r="X351" s="183"/>
      <c r="Y351" s="60"/>
      <c r="Z351" s="35"/>
      <c r="AA351" s="38"/>
      <c r="AB351" s="39" t="e">
        <f t="shared" si="15"/>
        <v>#REF!</v>
      </c>
      <c r="AE351" s="6"/>
    </row>
    <row r="352" spans="3:31" s="449" customFormat="1" ht="39.950000000000003" customHeight="1">
      <c r="C352" s="130"/>
      <c r="D352" s="70"/>
      <c r="E352" s="36"/>
      <c r="G352" s="35"/>
      <c r="H352" s="461"/>
      <c r="I352" s="461"/>
      <c r="J352" s="461"/>
      <c r="K352" s="35"/>
      <c r="L352" s="35"/>
      <c r="M352" s="35"/>
      <c r="N352" s="181"/>
      <c r="O352" s="35"/>
      <c r="P352" s="183"/>
      <c r="Q352" s="183"/>
      <c r="R352" s="183"/>
      <c r="S352" s="183"/>
      <c r="T352" s="183"/>
      <c r="U352" s="183"/>
      <c r="V352" s="183"/>
      <c r="W352" s="183"/>
      <c r="X352" s="183"/>
      <c r="Y352" s="60"/>
      <c r="Z352" s="35"/>
      <c r="AA352" s="38"/>
      <c r="AB352" s="39" t="e">
        <f t="shared" si="15"/>
        <v>#REF!</v>
      </c>
      <c r="AE352" s="6"/>
    </row>
    <row r="353" spans="3:31" s="449" customFormat="1" ht="39.950000000000003" customHeight="1">
      <c r="C353" s="130"/>
      <c r="D353" s="70"/>
      <c r="E353" s="36"/>
      <c r="G353" s="35"/>
      <c r="H353" s="461"/>
      <c r="I353" s="461"/>
      <c r="J353" s="461"/>
      <c r="K353" s="35"/>
      <c r="L353" s="35"/>
      <c r="M353" s="35"/>
      <c r="N353" s="181"/>
      <c r="O353" s="35"/>
      <c r="P353" s="183"/>
      <c r="Q353" s="183"/>
      <c r="R353" s="183"/>
      <c r="S353" s="183"/>
      <c r="T353" s="183"/>
      <c r="U353" s="183"/>
      <c r="V353" s="183"/>
      <c r="W353" s="183"/>
      <c r="X353" s="183"/>
      <c r="Y353" s="60"/>
      <c r="Z353" s="35"/>
      <c r="AA353" s="38"/>
      <c r="AB353" s="39" t="e">
        <f t="shared" si="15"/>
        <v>#REF!</v>
      </c>
      <c r="AE353" s="6"/>
    </row>
    <row r="354" spans="3:31" s="449" customFormat="1" ht="39.950000000000003" customHeight="1">
      <c r="C354" s="130"/>
      <c r="D354" s="70"/>
      <c r="E354" s="36"/>
      <c r="G354" s="35"/>
      <c r="H354" s="461"/>
      <c r="I354" s="461"/>
      <c r="J354" s="461"/>
      <c r="K354" s="35"/>
      <c r="L354" s="35"/>
      <c r="M354" s="35"/>
      <c r="N354" s="181"/>
      <c r="O354" s="35"/>
      <c r="P354" s="183"/>
      <c r="Q354" s="183"/>
      <c r="R354" s="183"/>
      <c r="S354" s="183"/>
      <c r="T354" s="183"/>
      <c r="U354" s="183"/>
      <c r="V354" s="183"/>
      <c r="W354" s="183"/>
      <c r="X354" s="183"/>
      <c r="Y354" s="60"/>
      <c r="Z354" s="35"/>
      <c r="AA354" s="38"/>
      <c r="AB354" s="39" t="e">
        <f t="shared" si="15"/>
        <v>#REF!</v>
      </c>
      <c r="AE354" s="6"/>
    </row>
    <row r="355" spans="3:31" s="449" customFormat="1" ht="39.950000000000003" customHeight="1">
      <c r="C355" s="130"/>
      <c r="D355" s="70"/>
      <c r="E355" s="36"/>
      <c r="G355" s="35"/>
      <c r="H355" s="461"/>
      <c r="I355" s="461"/>
      <c r="J355" s="461"/>
      <c r="K355" s="35"/>
      <c r="L355" s="35"/>
      <c r="M355" s="35"/>
      <c r="N355" s="181"/>
      <c r="O355" s="35"/>
      <c r="P355" s="183"/>
      <c r="Q355" s="183"/>
      <c r="R355" s="183"/>
      <c r="S355" s="183"/>
      <c r="T355" s="183"/>
      <c r="U355" s="183"/>
      <c r="V355" s="183"/>
      <c r="W355" s="183"/>
      <c r="X355" s="183"/>
      <c r="Y355" s="60"/>
      <c r="Z355" s="35"/>
      <c r="AA355" s="38"/>
      <c r="AB355" s="39" t="e">
        <f t="shared" si="15"/>
        <v>#REF!</v>
      </c>
      <c r="AE355" s="6"/>
    </row>
    <row r="356" spans="3:31" s="449" customFormat="1" ht="39.950000000000003" customHeight="1">
      <c r="C356" s="130"/>
      <c r="D356" s="70"/>
      <c r="E356" s="36"/>
      <c r="G356" s="35"/>
      <c r="H356" s="461"/>
      <c r="I356" s="461"/>
      <c r="J356" s="461"/>
      <c r="K356" s="35"/>
      <c r="L356" s="35"/>
      <c r="M356" s="35"/>
      <c r="N356" s="181"/>
      <c r="O356" s="35"/>
      <c r="P356" s="183"/>
      <c r="Q356" s="183"/>
      <c r="R356" s="183"/>
      <c r="S356" s="183"/>
      <c r="T356" s="183"/>
      <c r="U356" s="183"/>
      <c r="V356" s="183"/>
      <c r="W356" s="183"/>
      <c r="X356" s="183"/>
      <c r="Y356" s="60"/>
      <c r="Z356" s="35"/>
      <c r="AA356" s="38"/>
      <c r="AB356" s="39" t="e">
        <f t="shared" si="15"/>
        <v>#REF!</v>
      </c>
      <c r="AE356" s="6"/>
    </row>
    <row r="357" spans="3:31" s="449" customFormat="1" ht="39.950000000000003" customHeight="1">
      <c r="C357" s="130"/>
      <c r="D357" s="70"/>
      <c r="E357" s="36"/>
      <c r="G357" s="35"/>
      <c r="H357" s="461"/>
      <c r="I357" s="461"/>
      <c r="J357" s="461"/>
      <c r="K357" s="35"/>
      <c r="L357" s="35"/>
      <c r="M357" s="35"/>
      <c r="N357" s="181"/>
      <c r="O357" s="35"/>
      <c r="P357" s="183"/>
      <c r="Q357" s="183"/>
      <c r="R357" s="183"/>
      <c r="S357" s="183"/>
      <c r="T357" s="183"/>
      <c r="U357" s="183"/>
      <c r="V357" s="183"/>
      <c r="W357" s="183"/>
      <c r="X357" s="183"/>
      <c r="Y357" s="60"/>
      <c r="Z357" s="35"/>
      <c r="AA357" s="38"/>
      <c r="AB357" s="39" t="e">
        <f t="shared" si="15"/>
        <v>#REF!</v>
      </c>
      <c r="AE357" s="6"/>
    </row>
    <row r="358" spans="3:31" s="449" customFormat="1" ht="20.25" customHeight="1">
      <c r="C358" s="130"/>
      <c r="D358" s="70"/>
      <c r="E358" s="36"/>
      <c r="G358" s="35"/>
      <c r="H358" s="461"/>
      <c r="I358" s="461"/>
      <c r="J358" s="461"/>
      <c r="K358" s="35"/>
      <c r="L358" s="35"/>
      <c r="M358" s="35"/>
      <c r="N358" s="181"/>
      <c r="O358" s="35"/>
      <c r="P358" s="183"/>
      <c r="Q358" s="183"/>
      <c r="R358" s="183"/>
      <c r="S358" s="183"/>
      <c r="T358" s="183"/>
      <c r="U358" s="183"/>
      <c r="V358" s="183"/>
      <c r="W358" s="183"/>
      <c r="X358" s="183"/>
      <c r="Y358" s="60"/>
      <c r="Z358" s="35"/>
      <c r="AA358" s="38"/>
      <c r="AE358" s="6"/>
    </row>
    <row r="359" spans="3:31" s="449" customFormat="1" ht="20.25" customHeight="1">
      <c r="C359" s="130"/>
      <c r="D359" s="70"/>
      <c r="E359" s="36"/>
      <c r="G359" s="35"/>
      <c r="H359" s="461"/>
      <c r="I359" s="461"/>
      <c r="J359" s="461"/>
      <c r="K359" s="35"/>
      <c r="L359" s="35"/>
      <c r="M359" s="35"/>
      <c r="N359" s="181"/>
      <c r="O359" s="35"/>
      <c r="P359" s="183"/>
      <c r="Q359" s="183"/>
      <c r="R359" s="183"/>
      <c r="S359" s="183"/>
      <c r="T359" s="183"/>
      <c r="U359" s="183"/>
      <c r="V359" s="183"/>
      <c r="W359" s="183"/>
      <c r="X359" s="183"/>
      <c r="Y359" s="60"/>
      <c r="Z359" s="35"/>
      <c r="AA359" s="38"/>
      <c r="AE359" s="6"/>
    </row>
    <row r="360" spans="3:31" s="449" customFormat="1" ht="20.25" customHeight="1">
      <c r="C360" s="130"/>
      <c r="D360" s="70"/>
      <c r="E360" s="36"/>
      <c r="G360" s="35"/>
      <c r="H360" s="461"/>
      <c r="I360" s="461"/>
      <c r="J360" s="461"/>
      <c r="K360" s="35"/>
      <c r="L360" s="35"/>
      <c r="M360" s="35"/>
      <c r="N360" s="181"/>
      <c r="O360" s="35"/>
      <c r="P360" s="183"/>
      <c r="Q360" s="183"/>
      <c r="R360" s="183"/>
      <c r="S360" s="183"/>
      <c r="T360" s="183"/>
      <c r="U360" s="183"/>
      <c r="V360" s="183"/>
      <c r="W360" s="183"/>
      <c r="X360" s="183"/>
      <c r="Y360" s="60"/>
      <c r="Z360" s="35"/>
      <c r="AA360" s="38"/>
      <c r="AE360" s="6"/>
    </row>
    <row r="361" spans="3:31" s="449" customFormat="1" ht="20.25" customHeight="1">
      <c r="C361" s="130"/>
      <c r="D361" s="70"/>
      <c r="E361" s="36"/>
      <c r="G361" s="35"/>
      <c r="H361" s="461"/>
      <c r="I361" s="461"/>
      <c r="J361" s="461"/>
      <c r="K361" s="35"/>
      <c r="L361" s="35"/>
      <c r="M361" s="35"/>
      <c r="N361" s="181"/>
      <c r="O361" s="35"/>
      <c r="P361" s="183"/>
      <c r="Q361" s="183"/>
      <c r="R361" s="183"/>
      <c r="S361" s="183"/>
      <c r="T361" s="183"/>
      <c r="U361" s="183"/>
      <c r="V361" s="183"/>
      <c r="W361" s="183"/>
      <c r="X361" s="183"/>
      <c r="Y361" s="60"/>
      <c r="Z361" s="35"/>
      <c r="AA361" s="38"/>
      <c r="AE361" s="6"/>
    </row>
    <row r="362" spans="3:31" s="449" customFormat="1" ht="20.25" customHeight="1">
      <c r="C362" s="130"/>
      <c r="D362" s="70"/>
      <c r="E362" s="36"/>
      <c r="G362" s="35"/>
      <c r="H362" s="461"/>
      <c r="I362" s="461"/>
      <c r="J362" s="461"/>
      <c r="K362" s="35"/>
      <c r="L362" s="35"/>
      <c r="M362" s="35"/>
      <c r="N362" s="181"/>
      <c r="O362" s="35"/>
      <c r="P362" s="183"/>
      <c r="Q362" s="183"/>
      <c r="R362" s="183"/>
      <c r="S362" s="183"/>
      <c r="T362" s="183"/>
      <c r="U362" s="183"/>
      <c r="V362" s="183"/>
      <c r="W362" s="183"/>
      <c r="X362" s="183"/>
      <c r="Y362" s="60"/>
      <c r="Z362" s="35"/>
      <c r="AA362" s="38"/>
      <c r="AE362" s="6"/>
    </row>
    <row r="363" spans="3:31" s="449" customFormat="1" ht="20.25" customHeight="1">
      <c r="C363" s="130"/>
      <c r="D363" s="70"/>
      <c r="E363" s="36"/>
      <c r="G363" s="35"/>
      <c r="H363" s="461"/>
      <c r="I363" s="461"/>
      <c r="J363" s="461"/>
      <c r="K363" s="35"/>
      <c r="L363" s="35"/>
      <c r="M363" s="35"/>
      <c r="N363" s="181"/>
      <c r="O363" s="35"/>
      <c r="P363" s="183"/>
      <c r="Q363" s="183"/>
      <c r="R363" s="183"/>
      <c r="S363" s="183"/>
      <c r="T363" s="183"/>
      <c r="U363" s="183"/>
      <c r="V363" s="183"/>
      <c r="W363" s="183"/>
      <c r="X363" s="183"/>
      <c r="Y363" s="60"/>
      <c r="Z363" s="35"/>
      <c r="AA363" s="38"/>
      <c r="AE363" s="6"/>
    </row>
    <row r="364" spans="3:31" s="449" customFormat="1" ht="20.25" customHeight="1">
      <c r="C364" s="130"/>
      <c r="D364" s="70"/>
      <c r="E364" s="36"/>
      <c r="G364" s="35"/>
      <c r="H364" s="461"/>
      <c r="I364" s="461"/>
      <c r="J364" s="461"/>
      <c r="K364" s="35"/>
      <c r="L364" s="35"/>
      <c r="M364" s="35"/>
      <c r="N364" s="181"/>
      <c r="O364" s="35"/>
      <c r="P364" s="183"/>
      <c r="Q364" s="183"/>
      <c r="R364" s="183"/>
      <c r="S364" s="183"/>
      <c r="T364" s="183"/>
      <c r="U364" s="183"/>
      <c r="V364" s="183"/>
      <c r="W364" s="183"/>
      <c r="X364" s="183"/>
      <c r="Y364" s="60"/>
      <c r="Z364" s="35"/>
      <c r="AA364" s="38"/>
      <c r="AE364" s="6"/>
    </row>
    <row r="365" spans="3:31" s="449" customFormat="1" ht="20.25" customHeight="1">
      <c r="C365" s="130"/>
      <c r="D365" s="70"/>
      <c r="E365" s="36"/>
      <c r="G365" s="35"/>
      <c r="H365" s="461"/>
      <c r="I365" s="461"/>
      <c r="J365" s="461"/>
      <c r="K365" s="35"/>
      <c r="L365" s="35"/>
      <c r="M365" s="35"/>
      <c r="N365" s="181"/>
      <c r="O365" s="35"/>
      <c r="P365" s="183"/>
      <c r="Q365" s="183"/>
      <c r="R365" s="183"/>
      <c r="S365" s="183"/>
      <c r="T365" s="183"/>
      <c r="U365" s="183"/>
      <c r="V365" s="183"/>
      <c r="W365" s="183"/>
      <c r="X365" s="183"/>
      <c r="Y365" s="60"/>
      <c r="Z365" s="35"/>
      <c r="AA365" s="38"/>
      <c r="AE365" s="6"/>
    </row>
    <row r="366" spans="3:31" s="449" customFormat="1" ht="20.25" customHeight="1">
      <c r="C366" s="130"/>
      <c r="D366" s="70"/>
      <c r="E366" s="36"/>
      <c r="G366" s="35"/>
      <c r="H366" s="461"/>
      <c r="I366" s="461"/>
      <c r="J366" s="461"/>
      <c r="K366" s="35"/>
      <c r="L366" s="35"/>
      <c r="M366" s="35"/>
      <c r="N366" s="181"/>
      <c r="O366" s="35"/>
      <c r="P366" s="183"/>
      <c r="Q366" s="183"/>
      <c r="R366" s="183"/>
      <c r="S366" s="183"/>
      <c r="T366" s="183"/>
      <c r="U366" s="183"/>
      <c r="V366" s="183"/>
      <c r="W366" s="183"/>
      <c r="X366" s="183"/>
      <c r="Y366" s="60"/>
      <c r="Z366" s="35"/>
      <c r="AA366" s="38"/>
      <c r="AE366" s="6"/>
    </row>
    <row r="367" spans="3:31" s="449" customFormat="1" ht="20.25" customHeight="1">
      <c r="C367" s="130"/>
      <c r="D367" s="70"/>
      <c r="E367" s="36"/>
      <c r="G367" s="35"/>
      <c r="H367" s="461"/>
      <c r="I367" s="461"/>
      <c r="J367" s="461"/>
      <c r="K367" s="35"/>
      <c r="L367" s="35"/>
      <c r="M367" s="35"/>
      <c r="N367" s="181"/>
      <c r="O367" s="35"/>
      <c r="P367" s="183"/>
      <c r="Q367" s="183"/>
      <c r="R367" s="183"/>
      <c r="S367" s="183"/>
      <c r="T367" s="183"/>
      <c r="U367" s="183"/>
      <c r="V367" s="183"/>
      <c r="W367" s="183"/>
      <c r="X367" s="183"/>
      <c r="Y367" s="60"/>
      <c r="Z367" s="35"/>
      <c r="AA367" s="38"/>
      <c r="AE367" s="6"/>
    </row>
    <row r="368" spans="3:31" s="449" customFormat="1" ht="20.25" customHeight="1">
      <c r="C368" s="130"/>
      <c r="D368" s="70"/>
      <c r="E368" s="36"/>
      <c r="G368" s="35"/>
      <c r="H368" s="461"/>
      <c r="I368" s="461"/>
      <c r="J368" s="461"/>
      <c r="K368" s="35"/>
      <c r="L368" s="35"/>
      <c r="M368" s="35"/>
      <c r="N368" s="181"/>
      <c r="O368" s="35"/>
      <c r="P368" s="183"/>
      <c r="Q368" s="183"/>
      <c r="R368" s="183"/>
      <c r="S368" s="183"/>
      <c r="T368" s="183"/>
      <c r="U368" s="183"/>
      <c r="V368" s="183"/>
      <c r="W368" s="183"/>
      <c r="X368" s="183"/>
      <c r="Y368" s="60"/>
      <c r="Z368" s="35"/>
      <c r="AA368" s="38"/>
      <c r="AE368" s="6"/>
    </row>
    <row r="369" spans="3:31" s="449" customFormat="1" ht="20.25" customHeight="1">
      <c r="C369" s="130"/>
      <c r="D369" s="70"/>
      <c r="E369" s="36"/>
      <c r="G369" s="35"/>
      <c r="H369" s="461"/>
      <c r="I369" s="461"/>
      <c r="J369" s="461"/>
      <c r="K369" s="35"/>
      <c r="L369" s="35"/>
      <c r="M369" s="35"/>
      <c r="N369" s="181"/>
      <c r="O369" s="35"/>
      <c r="P369" s="183"/>
      <c r="Q369" s="183"/>
      <c r="R369" s="183"/>
      <c r="S369" s="183"/>
      <c r="T369" s="183"/>
      <c r="U369" s="183"/>
      <c r="V369" s="183"/>
      <c r="W369" s="183"/>
      <c r="X369" s="183"/>
      <c r="Y369" s="60"/>
      <c r="Z369" s="35"/>
      <c r="AA369" s="38"/>
      <c r="AE369" s="6"/>
    </row>
    <row r="370" spans="3:31" s="449" customFormat="1" ht="20.25" customHeight="1">
      <c r="C370" s="130"/>
      <c r="D370" s="70"/>
      <c r="E370" s="36"/>
      <c r="G370" s="35"/>
      <c r="H370" s="461"/>
      <c r="I370" s="461"/>
      <c r="J370" s="461"/>
      <c r="K370" s="35"/>
      <c r="L370" s="35"/>
      <c r="M370" s="35"/>
      <c r="N370" s="181"/>
      <c r="O370" s="35"/>
      <c r="P370" s="183"/>
      <c r="Q370" s="183"/>
      <c r="R370" s="183"/>
      <c r="S370" s="183"/>
      <c r="T370" s="183"/>
      <c r="U370" s="183"/>
      <c r="V370" s="183"/>
      <c r="W370" s="183"/>
      <c r="X370" s="183"/>
      <c r="Y370" s="60"/>
      <c r="Z370" s="35"/>
      <c r="AA370" s="38"/>
      <c r="AE370" s="6"/>
    </row>
    <row r="371" spans="3:31" s="449" customFormat="1" ht="20.25" customHeight="1">
      <c r="C371" s="131"/>
      <c r="D371" s="70"/>
      <c r="E371" s="36"/>
      <c r="G371" s="35"/>
      <c r="H371" s="461"/>
      <c r="I371" s="461"/>
      <c r="J371" s="461"/>
      <c r="K371" s="35"/>
      <c r="L371" s="35"/>
      <c r="M371" s="35"/>
      <c r="N371" s="181"/>
      <c r="O371" s="35"/>
      <c r="P371" s="183"/>
      <c r="Q371" s="183"/>
      <c r="R371" s="183"/>
      <c r="S371" s="183"/>
      <c r="T371" s="183"/>
      <c r="U371" s="183"/>
      <c r="V371" s="183"/>
      <c r="W371" s="183"/>
      <c r="X371" s="183"/>
      <c r="Y371" s="60"/>
      <c r="Z371" s="35"/>
      <c r="AA371" s="38"/>
      <c r="AE371" s="6"/>
    </row>
    <row r="372" spans="3:31" s="449" customFormat="1" ht="20.25" customHeight="1">
      <c r="C372" s="130"/>
      <c r="D372" s="70"/>
      <c r="E372" s="36"/>
      <c r="G372" s="35"/>
      <c r="H372" s="461"/>
      <c r="I372" s="461"/>
      <c r="J372" s="461"/>
      <c r="K372" s="35"/>
      <c r="L372" s="35"/>
      <c r="M372" s="35"/>
      <c r="N372" s="181"/>
      <c r="O372" s="35"/>
      <c r="P372" s="183"/>
      <c r="Q372" s="183"/>
      <c r="R372" s="183"/>
      <c r="S372" s="183"/>
      <c r="T372" s="183"/>
      <c r="U372" s="183"/>
      <c r="V372" s="183"/>
      <c r="W372" s="183"/>
      <c r="X372" s="183"/>
      <c r="Y372" s="60"/>
      <c r="Z372" s="35"/>
      <c r="AA372" s="38"/>
      <c r="AE372" s="6"/>
    </row>
    <row r="373" spans="3:31" s="449" customFormat="1" ht="20.25" customHeight="1">
      <c r="C373" s="130"/>
      <c r="D373" s="70"/>
      <c r="E373" s="36"/>
      <c r="G373" s="35"/>
      <c r="H373" s="461"/>
      <c r="I373" s="461"/>
      <c r="J373" s="461"/>
      <c r="K373" s="35"/>
      <c r="L373" s="35"/>
      <c r="M373" s="35"/>
      <c r="N373" s="181"/>
      <c r="O373" s="35"/>
      <c r="P373" s="183"/>
      <c r="Q373" s="183"/>
      <c r="R373" s="183"/>
      <c r="S373" s="183"/>
      <c r="T373" s="183"/>
      <c r="U373" s="183"/>
      <c r="V373" s="183"/>
      <c r="W373" s="183"/>
      <c r="X373" s="183"/>
      <c r="Y373" s="60"/>
      <c r="Z373" s="35"/>
      <c r="AA373" s="38"/>
      <c r="AE373" s="6"/>
    </row>
    <row r="374" spans="3:31" s="449" customFormat="1" ht="20.25" customHeight="1">
      <c r="C374" s="130"/>
      <c r="D374" s="70"/>
      <c r="E374" s="36"/>
      <c r="G374" s="35"/>
      <c r="H374" s="461"/>
      <c r="I374" s="461"/>
      <c r="J374" s="461"/>
      <c r="K374" s="35"/>
      <c r="L374" s="35"/>
      <c r="M374" s="35"/>
      <c r="N374" s="181"/>
      <c r="O374" s="35"/>
      <c r="P374" s="183"/>
      <c r="Q374" s="183"/>
      <c r="R374" s="183"/>
      <c r="S374" s="183"/>
      <c r="T374" s="183"/>
      <c r="U374" s="183"/>
      <c r="V374" s="183"/>
      <c r="W374" s="183"/>
      <c r="X374" s="183"/>
      <c r="Y374" s="60"/>
      <c r="Z374" s="35"/>
      <c r="AA374" s="38"/>
      <c r="AE374" s="6"/>
    </row>
    <row r="375" spans="3:31" s="449" customFormat="1" ht="20.25" customHeight="1">
      <c r="C375" s="130"/>
      <c r="D375" s="70"/>
      <c r="E375" s="36"/>
      <c r="G375" s="35"/>
      <c r="H375" s="461"/>
      <c r="I375" s="461"/>
      <c r="J375" s="461"/>
      <c r="K375" s="35"/>
      <c r="L375" s="35"/>
      <c r="M375" s="35"/>
      <c r="N375" s="181"/>
      <c r="O375" s="35"/>
      <c r="P375" s="183"/>
      <c r="Q375" s="183"/>
      <c r="R375" s="183"/>
      <c r="S375" s="183"/>
      <c r="T375" s="183"/>
      <c r="U375" s="183"/>
      <c r="V375" s="183"/>
      <c r="W375" s="183"/>
      <c r="X375" s="183"/>
      <c r="Y375" s="60"/>
      <c r="Z375" s="35"/>
      <c r="AA375" s="38"/>
      <c r="AE375" s="6"/>
    </row>
    <row r="376" spans="3:31" s="449" customFormat="1" ht="20.25" customHeight="1">
      <c r="C376" s="130"/>
      <c r="D376" s="70"/>
      <c r="E376" s="36"/>
      <c r="G376" s="35"/>
      <c r="H376" s="461"/>
      <c r="I376" s="461"/>
      <c r="J376" s="461"/>
      <c r="K376" s="35"/>
      <c r="L376" s="35"/>
      <c r="M376" s="35"/>
      <c r="N376" s="181"/>
      <c r="O376" s="35"/>
      <c r="P376" s="183"/>
      <c r="Q376" s="183"/>
      <c r="R376" s="183"/>
      <c r="S376" s="183"/>
      <c r="T376" s="183"/>
      <c r="U376" s="183"/>
      <c r="V376" s="183"/>
      <c r="W376" s="183"/>
      <c r="X376" s="183"/>
      <c r="Y376" s="60"/>
      <c r="Z376" s="35"/>
      <c r="AA376" s="38"/>
      <c r="AE376" s="6"/>
    </row>
    <row r="377" spans="3:31" s="449" customFormat="1" ht="20.25" customHeight="1">
      <c r="C377" s="130"/>
      <c r="D377" s="70"/>
      <c r="E377" s="36"/>
      <c r="G377" s="35"/>
      <c r="H377" s="461"/>
      <c r="I377" s="461"/>
      <c r="J377" s="461"/>
      <c r="K377" s="35"/>
      <c r="L377" s="35"/>
      <c r="M377" s="35"/>
      <c r="N377" s="181"/>
      <c r="O377" s="35"/>
      <c r="P377" s="183"/>
      <c r="Q377" s="183"/>
      <c r="R377" s="183"/>
      <c r="S377" s="183"/>
      <c r="T377" s="183"/>
      <c r="U377" s="183"/>
      <c r="V377" s="183"/>
      <c r="W377" s="183"/>
      <c r="X377" s="183"/>
      <c r="Y377" s="60"/>
      <c r="Z377" s="35"/>
      <c r="AA377" s="38"/>
      <c r="AE377" s="6"/>
    </row>
    <row r="378" spans="3:31" s="449" customFormat="1" ht="20.25" customHeight="1">
      <c r="C378" s="130"/>
      <c r="D378" s="70"/>
      <c r="E378" s="36"/>
      <c r="G378" s="35"/>
      <c r="H378" s="461"/>
      <c r="I378" s="461"/>
      <c r="J378" s="461"/>
      <c r="K378" s="35"/>
      <c r="L378" s="35"/>
      <c r="M378" s="35"/>
      <c r="N378" s="181"/>
      <c r="O378" s="35"/>
      <c r="P378" s="183"/>
      <c r="Q378" s="183"/>
      <c r="R378" s="183"/>
      <c r="S378" s="183"/>
      <c r="T378" s="183"/>
      <c r="U378" s="183"/>
      <c r="V378" s="183"/>
      <c r="W378" s="183"/>
      <c r="X378" s="183"/>
      <c r="Y378" s="60"/>
      <c r="Z378" s="35"/>
      <c r="AA378" s="38"/>
      <c r="AE378" s="6"/>
    </row>
    <row r="379" spans="3:31" s="449" customFormat="1" ht="20.25" customHeight="1">
      <c r="C379" s="130"/>
      <c r="D379" s="70"/>
      <c r="E379" s="36"/>
      <c r="G379" s="35"/>
      <c r="H379" s="461"/>
      <c r="I379" s="461"/>
      <c r="J379" s="461"/>
      <c r="K379" s="35"/>
      <c r="L379" s="35"/>
      <c r="M379" s="35"/>
      <c r="N379" s="181"/>
      <c r="O379" s="35"/>
      <c r="P379" s="183"/>
      <c r="Q379" s="183"/>
      <c r="R379" s="183"/>
      <c r="S379" s="183"/>
      <c r="T379" s="183"/>
      <c r="U379" s="183"/>
      <c r="V379" s="183"/>
      <c r="W379" s="183"/>
      <c r="X379" s="183"/>
      <c r="Y379" s="60"/>
      <c r="Z379" s="35"/>
      <c r="AA379" s="38"/>
      <c r="AE379" s="6"/>
    </row>
    <row r="380" spans="3:31" s="449" customFormat="1" ht="20.25" customHeight="1">
      <c r="C380" s="130"/>
      <c r="D380" s="70"/>
      <c r="E380" s="36"/>
      <c r="G380" s="35"/>
      <c r="H380" s="461"/>
      <c r="I380" s="461"/>
      <c r="J380" s="461"/>
      <c r="K380" s="35"/>
      <c r="L380" s="35"/>
      <c r="M380" s="35"/>
      <c r="N380" s="181"/>
      <c r="O380" s="35"/>
      <c r="P380" s="183"/>
      <c r="Q380" s="183"/>
      <c r="R380" s="183"/>
      <c r="S380" s="183"/>
      <c r="T380" s="183"/>
      <c r="U380" s="183"/>
      <c r="V380" s="183"/>
      <c r="W380" s="183"/>
      <c r="X380" s="183"/>
      <c r="Y380" s="60"/>
      <c r="Z380" s="35"/>
      <c r="AA380" s="38"/>
      <c r="AE380" s="6"/>
    </row>
    <row r="381" spans="3:31" s="449" customFormat="1" ht="20.25" customHeight="1">
      <c r="C381" s="130"/>
      <c r="D381" s="70"/>
      <c r="E381" s="36"/>
      <c r="G381" s="35"/>
      <c r="H381" s="461"/>
      <c r="I381" s="461"/>
      <c r="J381" s="461"/>
      <c r="K381" s="35"/>
      <c r="L381" s="35"/>
      <c r="M381" s="35"/>
      <c r="N381" s="181"/>
      <c r="O381" s="35"/>
      <c r="P381" s="183"/>
      <c r="Q381" s="183"/>
      <c r="R381" s="183"/>
      <c r="S381" s="183"/>
      <c r="T381" s="183"/>
      <c r="U381" s="183"/>
      <c r="V381" s="183"/>
      <c r="W381" s="183"/>
      <c r="X381" s="183"/>
      <c r="Y381" s="60"/>
      <c r="Z381" s="35"/>
      <c r="AA381" s="38"/>
      <c r="AE381" s="6"/>
    </row>
    <row r="382" spans="3:31" s="449" customFormat="1" ht="20.25" customHeight="1">
      <c r="C382" s="131"/>
      <c r="D382" s="70"/>
      <c r="E382" s="36"/>
      <c r="G382" s="35"/>
      <c r="H382" s="461"/>
      <c r="I382" s="461"/>
      <c r="J382" s="461"/>
      <c r="K382" s="35"/>
      <c r="L382" s="35"/>
      <c r="M382" s="35"/>
      <c r="N382" s="181"/>
      <c r="O382" s="35"/>
      <c r="P382" s="183"/>
      <c r="Q382" s="183"/>
      <c r="R382" s="183"/>
      <c r="S382" s="183"/>
      <c r="T382" s="183"/>
      <c r="U382" s="183"/>
      <c r="V382" s="183"/>
      <c r="W382" s="183"/>
      <c r="X382" s="183"/>
      <c r="Y382" s="60"/>
      <c r="Z382" s="35"/>
      <c r="AA382" s="38"/>
      <c r="AE382" s="6"/>
    </row>
    <row r="383" spans="3:31" s="449" customFormat="1" ht="20.25" customHeight="1">
      <c r="C383" s="130"/>
      <c r="D383" s="70"/>
      <c r="E383" s="36"/>
      <c r="G383" s="35"/>
      <c r="H383" s="461"/>
      <c r="I383" s="461"/>
      <c r="J383" s="461"/>
      <c r="K383" s="35"/>
      <c r="L383" s="35"/>
      <c r="M383" s="35"/>
      <c r="N383" s="181"/>
      <c r="O383" s="35"/>
      <c r="P383" s="183"/>
      <c r="Q383" s="183"/>
      <c r="R383" s="183"/>
      <c r="S383" s="183"/>
      <c r="T383" s="183"/>
      <c r="U383" s="183"/>
      <c r="V383" s="183"/>
      <c r="W383" s="183"/>
      <c r="X383" s="183"/>
      <c r="Y383" s="60"/>
      <c r="Z383" s="35"/>
      <c r="AA383" s="38"/>
      <c r="AE383" s="6"/>
    </row>
    <row r="384" spans="3:31" s="449" customFormat="1" ht="20.25" customHeight="1">
      <c r="C384" s="130"/>
      <c r="D384" s="70"/>
      <c r="E384" s="36"/>
      <c r="G384" s="35"/>
      <c r="H384" s="461"/>
      <c r="I384" s="461"/>
      <c r="J384" s="461"/>
      <c r="K384" s="35"/>
      <c r="L384" s="35"/>
      <c r="M384" s="35"/>
      <c r="N384" s="181"/>
      <c r="O384" s="35"/>
      <c r="P384" s="183"/>
      <c r="Q384" s="183"/>
      <c r="R384" s="183"/>
      <c r="S384" s="183"/>
      <c r="T384" s="183"/>
      <c r="U384" s="183"/>
      <c r="V384" s="183"/>
      <c r="W384" s="183"/>
      <c r="X384" s="183"/>
      <c r="Y384" s="60"/>
      <c r="Z384" s="35"/>
      <c r="AA384" s="38"/>
      <c r="AE384" s="6"/>
    </row>
    <row r="385" spans="3:31" s="449" customFormat="1" ht="20.25" customHeight="1">
      <c r="C385" s="47"/>
      <c r="D385" s="70"/>
      <c r="E385" s="36"/>
      <c r="G385" s="35"/>
      <c r="H385" s="461"/>
      <c r="I385" s="461"/>
      <c r="J385" s="461"/>
      <c r="K385" s="35"/>
      <c r="L385" s="35"/>
      <c r="M385" s="35"/>
      <c r="N385" s="181"/>
      <c r="O385" s="35"/>
      <c r="P385" s="183"/>
      <c r="Q385" s="183"/>
      <c r="R385" s="183"/>
      <c r="S385" s="183"/>
      <c r="T385" s="183"/>
      <c r="U385" s="183"/>
      <c r="V385" s="183"/>
      <c r="W385" s="183"/>
      <c r="X385" s="183"/>
      <c r="Y385" s="60"/>
      <c r="Z385" s="35"/>
      <c r="AA385" s="38"/>
      <c r="AE385" s="6"/>
    </row>
    <row r="386" spans="3:31" s="449" customFormat="1" ht="20.25" customHeight="1">
      <c r="C386" s="47"/>
      <c r="D386" s="70"/>
      <c r="E386" s="36"/>
      <c r="G386" s="35"/>
      <c r="H386" s="461"/>
      <c r="I386" s="461"/>
      <c r="J386" s="461"/>
      <c r="K386" s="35"/>
      <c r="L386" s="35"/>
      <c r="M386" s="35"/>
      <c r="N386" s="181"/>
      <c r="O386" s="35"/>
      <c r="P386" s="183"/>
      <c r="Q386" s="183"/>
      <c r="R386" s="183"/>
      <c r="S386" s="183"/>
      <c r="T386" s="183"/>
      <c r="U386" s="183"/>
      <c r="V386" s="183"/>
      <c r="W386" s="183"/>
      <c r="X386" s="183"/>
      <c r="Y386" s="60"/>
      <c r="Z386" s="35"/>
      <c r="AA386" s="38"/>
      <c r="AE386" s="6"/>
    </row>
    <row r="387" spans="3:31" s="449" customFormat="1" ht="20.25" customHeight="1">
      <c r="C387" s="47"/>
      <c r="D387" s="70"/>
      <c r="E387" s="36"/>
      <c r="G387" s="35"/>
      <c r="H387" s="461"/>
      <c r="I387" s="461"/>
      <c r="J387" s="461"/>
      <c r="K387" s="35"/>
      <c r="L387" s="35"/>
      <c r="M387" s="35"/>
      <c r="N387" s="181"/>
      <c r="O387" s="35"/>
      <c r="P387" s="183"/>
      <c r="Q387" s="183"/>
      <c r="R387" s="183"/>
      <c r="S387" s="183"/>
      <c r="T387" s="183"/>
      <c r="U387" s="183"/>
      <c r="V387" s="183"/>
      <c r="W387" s="183"/>
      <c r="X387" s="183"/>
      <c r="Y387" s="60"/>
      <c r="Z387" s="35"/>
      <c r="AA387" s="38"/>
      <c r="AE387" s="6"/>
    </row>
    <row r="388" spans="3:31" s="449" customFormat="1" ht="20.25" customHeight="1">
      <c r="C388" s="47"/>
      <c r="D388" s="70"/>
      <c r="E388" s="36"/>
      <c r="G388" s="35"/>
      <c r="H388" s="461"/>
      <c r="I388" s="461"/>
      <c r="J388" s="461"/>
      <c r="K388" s="35"/>
      <c r="L388" s="35"/>
      <c r="M388" s="35"/>
      <c r="N388" s="181"/>
      <c r="O388" s="35"/>
      <c r="P388" s="183"/>
      <c r="Q388" s="183"/>
      <c r="R388" s="183"/>
      <c r="S388" s="183"/>
      <c r="T388" s="183"/>
      <c r="U388" s="183"/>
      <c r="V388" s="183"/>
      <c r="W388" s="183"/>
      <c r="X388" s="183"/>
      <c r="Y388" s="60"/>
      <c r="Z388" s="35"/>
      <c r="AA388" s="38"/>
      <c r="AE388" s="6"/>
    </row>
    <row r="389" spans="3:31" s="449" customFormat="1" ht="20.25" customHeight="1">
      <c r="C389" s="47"/>
      <c r="D389" s="70"/>
      <c r="E389" s="36"/>
      <c r="G389" s="35"/>
      <c r="H389" s="461"/>
      <c r="I389" s="461"/>
      <c r="J389" s="461"/>
      <c r="K389" s="35"/>
      <c r="L389" s="35"/>
      <c r="M389" s="35"/>
      <c r="N389" s="181"/>
      <c r="O389" s="35"/>
      <c r="P389" s="183"/>
      <c r="Q389" s="183"/>
      <c r="R389" s="183"/>
      <c r="S389" s="183"/>
      <c r="T389" s="183"/>
      <c r="U389" s="183"/>
      <c r="V389" s="183"/>
      <c r="W389" s="183"/>
      <c r="X389" s="183"/>
      <c r="Y389" s="60"/>
      <c r="Z389" s="35"/>
      <c r="AA389" s="38"/>
      <c r="AE389" s="6"/>
    </row>
    <row r="390" spans="3:31" s="449" customFormat="1" ht="20.25" customHeight="1">
      <c r="C390" s="47"/>
      <c r="D390" s="70"/>
      <c r="E390" s="36"/>
      <c r="G390" s="35"/>
      <c r="H390" s="461"/>
      <c r="I390" s="461"/>
      <c r="J390" s="461"/>
      <c r="K390" s="35"/>
      <c r="L390" s="35"/>
      <c r="M390" s="35"/>
      <c r="N390" s="181"/>
      <c r="O390" s="35"/>
      <c r="P390" s="183"/>
      <c r="Q390" s="183"/>
      <c r="R390" s="183"/>
      <c r="S390" s="183"/>
      <c r="T390" s="183"/>
      <c r="U390" s="183"/>
      <c r="V390" s="183"/>
      <c r="W390" s="183"/>
      <c r="X390" s="183"/>
      <c r="Y390" s="60"/>
      <c r="Z390" s="35"/>
      <c r="AA390" s="38"/>
      <c r="AE390" s="6"/>
    </row>
    <row r="391" spans="3:31" s="449" customFormat="1" ht="20.25" customHeight="1">
      <c r="C391" s="47"/>
      <c r="D391" s="70"/>
      <c r="E391" s="36"/>
      <c r="G391" s="35"/>
      <c r="H391" s="461"/>
      <c r="I391" s="461"/>
      <c r="J391" s="461"/>
      <c r="K391" s="35"/>
      <c r="L391" s="35"/>
      <c r="M391" s="35"/>
      <c r="N391" s="181"/>
      <c r="O391" s="35"/>
      <c r="P391" s="183"/>
      <c r="Q391" s="183"/>
      <c r="R391" s="183"/>
      <c r="S391" s="183"/>
      <c r="T391" s="183"/>
      <c r="U391" s="183"/>
      <c r="V391" s="183"/>
      <c r="W391" s="183"/>
      <c r="X391" s="183"/>
      <c r="Y391" s="60"/>
      <c r="Z391" s="35"/>
      <c r="AA391" s="38"/>
      <c r="AE391" s="6"/>
    </row>
    <row r="392" spans="3:31" s="449" customFormat="1" ht="20.25" customHeight="1">
      <c r="C392" s="47"/>
      <c r="D392" s="70"/>
      <c r="E392" s="36"/>
      <c r="G392" s="35"/>
      <c r="H392" s="461"/>
      <c r="I392" s="461"/>
      <c r="J392" s="461"/>
      <c r="K392" s="35"/>
      <c r="L392" s="35"/>
      <c r="M392" s="35"/>
      <c r="N392" s="181"/>
      <c r="O392" s="35"/>
      <c r="P392" s="183"/>
      <c r="Q392" s="183"/>
      <c r="R392" s="183"/>
      <c r="S392" s="183"/>
      <c r="T392" s="183"/>
      <c r="U392" s="183"/>
      <c r="V392" s="183"/>
      <c r="W392" s="183"/>
      <c r="X392" s="183"/>
      <c r="Y392" s="60"/>
      <c r="Z392" s="35"/>
      <c r="AA392" s="38"/>
      <c r="AE392" s="6"/>
    </row>
    <row r="393" spans="3:31" s="449" customFormat="1" ht="20.25" customHeight="1">
      <c r="C393" s="47"/>
      <c r="D393" s="70"/>
      <c r="E393" s="36"/>
      <c r="G393" s="35"/>
      <c r="H393" s="461"/>
      <c r="I393" s="461"/>
      <c r="J393" s="461"/>
      <c r="K393" s="35"/>
      <c r="L393" s="35"/>
      <c r="M393" s="35"/>
      <c r="N393" s="181"/>
      <c r="O393" s="35"/>
      <c r="P393" s="183"/>
      <c r="Q393" s="183"/>
      <c r="R393" s="183"/>
      <c r="S393" s="183"/>
      <c r="T393" s="183"/>
      <c r="U393" s="183"/>
      <c r="V393" s="183"/>
      <c r="W393" s="183"/>
      <c r="X393" s="183"/>
      <c r="Y393" s="60"/>
      <c r="Z393" s="35"/>
      <c r="AA393" s="38"/>
      <c r="AE393" s="6"/>
    </row>
    <row r="394" spans="3:31" s="449" customFormat="1" ht="20.25" customHeight="1">
      <c r="C394" s="47"/>
      <c r="D394" s="70"/>
      <c r="E394" s="36"/>
      <c r="G394" s="35"/>
      <c r="H394" s="461"/>
      <c r="I394" s="461"/>
      <c r="J394" s="461"/>
      <c r="K394" s="35"/>
      <c r="L394" s="35"/>
      <c r="M394" s="35"/>
      <c r="N394" s="181"/>
      <c r="O394" s="35"/>
      <c r="P394" s="183"/>
      <c r="Q394" s="183"/>
      <c r="R394" s="183"/>
      <c r="S394" s="183"/>
      <c r="T394" s="183"/>
      <c r="U394" s="183"/>
      <c r="V394" s="183"/>
      <c r="W394" s="183"/>
      <c r="X394" s="183"/>
      <c r="Y394" s="60"/>
      <c r="Z394" s="35"/>
      <c r="AA394" s="38"/>
      <c r="AE394" s="6"/>
    </row>
    <row r="395" spans="3:31" s="449" customFormat="1" ht="20.25" customHeight="1">
      <c r="C395" s="47"/>
      <c r="D395" s="70"/>
      <c r="E395" s="36"/>
      <c r="G395" s="35"/>
      <c r="H395" s="461"/>
      <c r="I395" s="461"/>
      <c r="J395" s="461"/>
      <c r="K395" s="35"/>
      <c r="L395" s="35"/>
      <c r="M395" s="35"/>
      <c r="N395" s="181"/>
      <c r="O395" s="35"/>
      <c r="P395" s="183"/>
      <c r="Q395" s="183"/>
      <c r="R395" s="183"/>
      <c r="S395" s="183"/>
      <c r="T395" s="183"/>
      <c r="U395" s="183"/>
      <c r="V395" s="183"/>
      <c r="W395" s="183"/>
      <c r="X395" s="183"/>
      <c r="Y395" s="60"/>
      <c r="Z395" s="35"/>
      <c r="AA395" s="38"/>
      <c r="AE395" s="6"/>
    </row>
    <row r="396" spans="3:31" s="449" customFormat="1" ht="20.25" customHeight="1">
      <c r="C396" s="47"/>
      <c r="D396" s="70"/>
      <c r="E396" s="36"/>
      <c r="G396" s="35"/>
      <c r="H396" s="461"/>
      <c r="I396" s="461"/>
      <c r="J396" s="461"/>
      <c r="K396" s="35"/>
      <c r="L396" s="35"/>
      <c r="M396" s="35"/>
      <c r="N396" s="181"/>
      <c r="O396" s="35"/>
      <c r="P396" s="183"/>
      <c r="Q396" s="183"/>
      <c r="R396" s="183"/>
      <c r="S396" s="183"/>
      <c r="T396" s="183"/>
      <c r="U396" s="183"/>
      <c r="V396" s="183"/>
      <c r="W396" s="183"/>
      <c r="X396" s="183"/>
      <c r="Y396" s="60"/>
      <c r="Z396" s="35"/>
      <c r="AA396" s="38"/>
      <c r="AE396" s="6"/>
    </row>
    <row r="397" spans="3:31" s="449" customFormat="1" ht="20.25" customHeight="1">
      <c r="C397" s="101"/>
      <c r="D397" s="70"/>
      <c r="E397" s="36"/>
      <c r="G397" s="35"/>
      <c r="H397" s="461"/>
      <c r="I397" s="461"/>
      <c r="J397" s="461"/>
      <c r="K397" s="35"/>
      <c r="L397" s="35"/>
      <c r="M397" s="35"/>
      <c r="N397" s="181"/>
      <c r="O397" s="35"/>
      <c r="P397" s="183"/>
      <c r="Q397" s="183"/>
      <c r="R397" s="183"/>
      <c r="S397" s="183"/>
      <c r="T397" s="183"/>
      <c r="U397" s="183"/>
      <c r="V397" s="183"/>
      <c r="W397" s="183"/>
      <c r="X397" s="183"/>
      <c r="Y397" s="60"/>
      <c r="Z397" s="35"/>
      <c r="AA397" s="38"/>
      <c r="AE397" s="6"/>
    </row>
    <row r="398" spans="3:31" s="449" customFormat="1" ht="20.25" customHeight="1">
      <c r="C398" s="47"/>
      <c r="D398" s="70"/>
      <c r="E398" s="36"/>
      <c r="G398" s="35"/>
      <c r="H398" s="461"/>
      <c r="I398" s="461"/>
      <c r="J398" s="461"/>
      <c r="K398" s="35"/>
      <c r="L398" s="35"/>
      <c r="M398" s="35"/>
      <c r="N398" s="181"/>
      <c r="O398" s="35"/>
      <c r="P398" s="183"/>
      <c r="Q398" s="183"/>
      <c r="R398" s="183"/>
      <c r="S398" s="183"/>
      <c r="T398" s="183"/>
      <c r="U398" s="183"/>
      <c r="V398" s="183"/>
      <c r="W398" s="183"/>
      <c r="X398" s="183"/>
      <c r="Y398" s="60"/>
      <c r="Z398" s="35"/>
      <c r="AA398" s="38"/>
      <c r="AE398" s="6"/>
    </row>
    <row r="399" spans="3:31" s="449" customFormat="1" ht="20.25" customHeight="1">
      <c r="C399" s="47"/>
      <c r="D399" s="70"/>
      <c r="E399" s="36"/>
      <c r="G399" s="35"/>
      <c r="H399" s="461"/>
      <c r="I399" s="461"/>
      <c r="J399" s="461"/>
      <c r="K399" s="35"/>
      <c r="L399" s="35"/>
      <c r="M399" s="35"/>
      <c r="N399" s="181"/>
      <c r="O399" s="35"/>
      <c r="P399" s="183"/>
      <c r="Q399" s="183"/>
      <c r="R399" s="183"/>
      <c r="S399" s="183"/>
      <c r="T399" s="183"/>
      <c r="U399" s="183"/>
      <c r="V399" s="183"/>
      <c r="W399" s="183"/>
      <c r="X399" s="183"/>
      <c r="Y399" s="60"/>
      <c r="Z399" s="35"/>
      <c r="AA399" s="38"/>
      <c r="AE399" s="6"/>
    </row>
    <row r="400" spans="3:31" s="449" customFormat="1" ht="20.25" customHeight="1">
      <c r="C400" s="47"/>
      <c r="D400" s="70"/>
      <c r="E400" s="36"/>
      <c r="G400" s="35"/>
      <c r="H400" s="461"/>
      <c r="I400" s="461"/>
      <c r="J400" s="461"/>
      <c r="K400" s="35"/>
      <c r="L400" s="35"/>
      <c r="M400" s="35"/>
      <c r="N400" s="181"/>
      <c r="O400" s="35"/>
      <c r="P400" s="183"/>
      <c r="Q400" s="183"/>
      <c r="R400" s="183"/>
      <c r="S400" s="183"/>
      <c r="T400" s="183"/>
      <c r="U400" s="183"/>
      <c r="V400" s="183"/>
      <c r="W400" s="183"/>
      <c r="X400" s="183"/>
      <c r="Y400" s="60"/>
      <c r="Z400" s="35"/>
      <c r="AA400" s="38"/>
      <c r="AE400" s="6"/>
    </row>
    <row r="401" spans="3:31" s="449" customFormat="1" ht="20.25" customHeight="1">
      <c r="C401" s="47"/>
      <c r="D401" s="70"/>
      <c r="E401" s="36"/>
      <c r="G401" s="35"/>
      <c r="H401" s="461"/>
      <c r="I401" s="461"/>
      <c r="J401" s="461"/>
      <c r="K401" s="35"/>
      <c r="L401" s="35"/>
      <c r="M401" s="35"/>
      <c r="N401" s="181"/>
      <c r="O401" s="35"/>
      <c r="P401" s="183"/>
      <c r="Q401" s="183"/>
      <c r="R401" s="183"/>
      <c r="S401" s="183"/>
      <c r="T401" s="183"/>
      <c r="U401" s="183"/>
      <c r="V401" s="183"/>
      <c r="W401" s="183"/>
      <c r="X401" s="183"/>
      <c r="Y401" s="60"/>
      <c r="Z401" s="35"/>
      <c r="AA401" s="38"/>
      <c r="AE401" s="6"/>
    </row>
    <row r="402" spans="3:31" s="449" customFormat="1" ht="20.25" customHeight="1">
      <c r="C402" s="47"/>
      <c r="D402" s="70"/>
      <c r="E402" s="36"/>
      <c r="G402" s="35"/>
      <c r="H402" s="461"/>
      <c r="I402" s="461"/>
      <c r="J402" s="461"/>
      <c r="K402" s="35"/>
      <c r="L402" s="35"/>
      <c r="M402" s="35"/>
      <c r="N402" s="181"/>
      <c r="O402" s="35"/>
      <c r="P402" s="183"/>
      <c r="Q402" s="183"/>
      <c r="R402" s="183"/>
      <c r="S402" s="183"/>
      <c r="T402" s="183"/>
      <c r="U402" s="183"/>
      <c r="V402" s="183"/>
      <c r="W402" s="183"/>
      <c r="X402" s="183"/>
      <c r="Y402" s="60"/>
      <c r="Z402" s="35"/>
      <c r="AA402" s="38"/>
      <c r="AE402" s="6"/>
    </row>
    <row r="403" spans="3:31" s="449" customFormat="1" ht="20.25" customHeight="1">
      <c r="C403" s="47"/>
      <c r="D403" s="70"/>
      <c r="E403" s="36"/>
      <c r="G403" s="35"/>
      <c r="H403" s="461"/>
      <c r="I403" s="461"/>
      <c r="J403" s="461"/>
      <c r="K403" s="35"/>
      <c r="L403" s="35"/>
      <c r="M403" s="35"/>
      <c r="N403" s="181"/>
      <c r="O403" s="35"/>
      <c r="P403" s="183"/>
      <c r="Q403" s="183"/>
      <c r="R403" s="183"/>
      <c r="S403" s="183"/>
      <c r="T403" s="183"/>
      <c r="U403" s="183"/>
      <c r="V403" s="183"/>
      <c r="W403" s="183"/>
      <c r="X403" s="183"/>
      <c r="Y403" s="60"/>
      <c r="Z403" s="35"/>
      <c r="AA403" s="38"/>
      <c r="AE403" s="6"/>
    </row>
    <row r="404" spans="3:31" s="449" customFormat="1" ht="20.25" customHeight="1">
      <c r="C404" s="47"/>
      <c r="D404" s="70"/>
      <c r="E404" s="36"/>
      <c r="G404" s="35"/>
      <c r="H404" s="461"/>
      <c r="I404" s="461"/>
      <c r="J404" s="461"/>
      <c r="K404" s="35"/>
      <c r="L404" s="35"/>
      <c r="M404" s="35"/>
      <c r="N404" s="181"/>
      <c r="O404" s="35"/>
      <c r="P404" s="183"/>
      <c r="Q404" s="183"/>
      <c r="R404" s="183"/>
      <c r="S404" s="183"/>
      <c r="T404" s="183"/>
      <c r="U404" s="183"/>
      <c r="V404" s="183"/>
      <c r="W404" s="183"/>
      <c r="X404" s="183"/>
      <c r="Y404" s="60"/>
      <c r="Z404" s="35"/>
      <c r="AA404" s="38"/>
      <c r="AE404" s="6"/>
    </row>
    <row r="405" spans="3:31" s="449" customFormat="1" ht="20.25" customHeight="1">
      <c r="C405" s="47"/>
      <c r="D405" s="70"/>
      <c r="E405" s="36"/>
      <c r="G405" s="35"/>
      <c r="H405" s="461"/>
      <c r="I405" s="461"/>
      <c r="J405" s="461"/>
      <c r="K405" s="35"/>
      <c r="L405" s="35"/>
      <c r="M405" s="35"/>
      <c r="N405" s="181"/>
      <c r="O405" s="35"/>
      <c r="P405" s="183"/>
      <c r="Q405" s="183"/>
      <c r="R405" s="183"/>
      <c r="S405" s="183"/>
      <c r="T405" s="183"/>
      <c r="U405" s="183"/>
      <c r="V405" s="183"/>
      <c r="W405" s="183"/>
      <c r="X405" s="183"/>
      <c r="Y405" s="60"/>
      <c r="Z405" s="35"/>
      <c r="AA405" s="38"/>
      <c r="AE405" s="6"/>
    </row>
    <row r="406" spans="3:31" s="449" customFormat="1" ht="20.25" customHeight="1">
      <c r="C406" s="47"/>
      <c r="D406" s="70"/>
      <c r="E406" s="36"/>
      <c r="G406" s="35"/>
      <c r="H406" s="461"/>
      <c r="I406" s="461"/>
      <c r="J406" s="461"/>
      <c r="K406" s="35"/>
      <c r="L406" s="35"/>
      <c r="M406" s="35"/>
      <c r="N406" s="181"/>
      <c r="O406" s="35"/>
      <c r="P406" s="183"/>
      <c r="Q406" s="183"/>
      <c r="R406" s="183"/>
      <c r="S406" s="183"/>
      <c r="T406" s="183"/>
      <c r="U406" s="183"/>
      <c r="V406" s="183"/>
      <c r="W406" s="183"/>
      <c r="X406" s="183"/>
      <c r="Y406" s="60"/>
      <c r="Z406" s="35"/>
      <c r="AA406" s="38"/>
      <c r="AE406" s="6"/>
    </row>
    <row r="407" spans="3:31" s="449" customFormat="1" ht="20.25" customHeight="1">
      <c r="C407" s="47"/>
      <c r="D407" s="70"/>
      <c r="E407" s="36"/>
      <c r="G407" s="35"/>
      <c r="H407" s="461"/>
      <c r="I407" s="461"/>
      <c r="J407" s="461"/>
      <c r="K407" s="35"/>
      <c r="L407" s="35"/>
      <c r="M407" s="35"/>
      <c r="N407" s="181"/>
      <c r="O407" s="35"/>
      <c r="P407" s="183"/>
      <c r="Q407" s="183"/>
      <c r="R407" s="183"/>
      <c r="S407" s="183"/>
      <c r="T407" s="183"/>
      <c r="U407" s="183"/>
      <c r="V407" s="183"/>
      <c r="W407" s="183"/>
      <c r="X407" s="183"/>
      <c r="Y407" s="60"/>
      <c r="Z407" s="35"/>
      <c r="AA407" s="38"/>
      <c r="AE407" s="6"/>
    </row>
    <row r="408" spans="3:31" s="449" customFormat="1" ht="20.25" customHeight="1">
      <c r="C408" s="1"/>
      <c r="D408" s="70"/>
      <c r="E408" s="36"/>
      <c r="G408" s="35"/>
      <c r="H408" s="461"/>
      <c r="I408" s="461"/>
      <c r="J408" s="461"/>
      <c r="K408" s="35"/>
      <c r="L408" s="35"/>
      <c r="M408" s="35"/>
      <c r="N408" s="181"/>
      <c r="O408" s="35"/>
      <c r="P408" s="183"/>
      <c r="Q408" s="183"/>
      <c r="R408" s="183"/>
      <c r="S408" s="183"/>
      <c r="T408" s="183"/>
      <c r="U408" s="183"/>
      <c r="V408" s="183"/>
      <c r="W408" s="183"/>
      <c r="X408" s="183"/>
      <c r="Y408" s="60"/>
      <c r="Z408" s="35"/>
      <c r="AE408" s="6"/>
    </row>
    <row r="409" spans="3:31" s="449" customFormat="1" ht="20.25" customHeight="1">
      <c r="C409" s="1"/>
      <c r="D409" s="70"/>
      <c r="E409" s="36"/>
      <c r="G409" s="35"/>
      <c r="H409" s="461"/>
      <c r="I409" s="461"/>
      <c r="J409" s="461"/>
      <c r="K409" s="35"/>
      <c r="L409" s="35"/>
      <c r="M409" s="35"/>
      <c r="N409" s="181"/>
      <c r="O409" s="35"/>
      <c r="P409" s="183"/>
      <c r="Q409" s="183"/>
      <c r="R409" s="183"/>
      <c r="S409" s="183"/>
      <c r="T409" s="183"/>
      <c r="U409" s="183"/>
      <c r="V409" s="183"/>
      <c r="W409" s="183"/>
      <c r="X409" s="183"/>
      <c r="Y409" s="60"/>
      <c r="Z409" s="35"/>
      <c r="AE409" s="6"/>
    </row>
  </sheetData>
  <autoFilter ref="C6:AA418"/>
  <mergeCells count="22">
    <mergeCell ref="AD3:AD4"/>
    <mergeCell ref="AE3:AE4"/>
    <mergeCell ref="AF3:AF4"/>
    <mergeCell ref="M5:M6"/>
    <mergeCell ref="N5:N6"/>
    <mergeCell ref="O5:O6"/>
    <mergeCell ref="P5:T5"/>
    <mergeCell ref="X5:X6"/>
    <mergeCell ref="Y5:Y6"/>
    <mergeCell ref="Z5:Z6"/>
    <mergeCell ref="V5:V6"/>
    <mergeCell ref="W5:W6"/>
    <mergeCell ref="A5:A6"/>
    <mergeCell ref="B5:B6"/>
    <mergeCell ref="C5:C6"/>
    <mergeCell ref="D5:D6"/>
    <mergeCell ref="E5:E6"/>
    <mergeCell ref="F5:F6"/>
    <mergeCell ref="G5:G6"/>
    <mergeCell ref="K5:K6"/>
    <mergeCell ref="L5:L6"/>
    <mergeCell ref="U5:U6"/>
  </mergeCells>
  <conditionalFormatting sqref="E15:J21 E23:J32 E34:J42 E44:J46 E48:J57 E59:J62 E64:J69 E71:J75 E77:J83 E85:J86 E88:J97 E99:J101 E103:J105 E107:J107 E109:J121 E123:J125 E127:J134 E136:J139 E141:J148 E150:J151 E153:J159 E161:J161 E163:J169 E171:J171 E173:J178 E180:J180 E182:J195 E197:J205 E207:J208 E210:J220 E222:J224 E226:J231 E233:J236 E238:J242 E244:J246 E8:J13 E248:J1048576">
    <cfRule type="expression" dxfId="39" priority="38">
      <formula>MOD($AB8,2)=0</formula>
    </cfRule>
  </conditionalFormatting>
  <conditionalFormatting sqref="E14:J14">
    <cfRule type="expression" dxfId="38" priority="37">
      <formula>MOD($AB14,2)=0</formula>
    </cfRule>
  </conditionalFormatting>
  <conditionalFormatting sqref="E22:J22">
    <cfRule type="expression" dxfId="37" priority="36">
      <formula>MOD($AB22,2)=0</formula>
    </cfRule>
  </conditionalFormatting>
  <conditionalFormatting sqref="E33:J33">
    <cfRule type="expression" dxfId="36" priority="35">
      <formula>MOD($AB33,2)=0</formula>
    </cfRule>
  </conditionalFormatting>
  <conditionalFormatting sqref="E43:J43">
    <cfRule type="expression" dxfId="35" priority="34">
      <formula>MOD($AB43,2)=0</formula>
    </cfRule>
  </conditionalFormatting>
  <conditionalFormatting sqref="E47:J47">
    <cfRule type="expression" dxfId="34" priority="33">
      <formula>MOD($AB47,2)=0</formula>
    </cfRule>
  </conditionalFormatting>
  <conditionalFormatting sqref="E58:J58">
    <cfRule type="expression" dxfId="33" priority="32">
      <formula>MOD($AB58,2)=0</formula>
    </cfRule>
  </conditionalFormatting>
  <conditionalFormatting sqref="E63:J63">
    <cfRule type="expression" dxfId="32" priority="31">
      <formula>MOD($AB63,2)=0</formula>
    </cfRule>
  </conditionalFormatting>
  <conditionalFormatting sqref="E70:J70">
    <cfRule type="expression" dxfId="31" priority="30">
      <formula>MOD($AB70,2)=0</formula>
    </cfRule>
  </conditionalFormatting>
  <conditionalFormatting sqref="E76:J76">
    <cfRule type="expression" dxfId="30" priority="29">
      <formula>MOD($AB76,2)=0</formula>
    </cfRule>
  </conditionalFormatting>
  <conditionalFormatting sqref="E84:J84">
    <cfRule type="expression" dxfId="29" priority="28">
      <formula>MOD($AB84,2)=0</formula>
    </cfRule>
  </conditionalFormatting>
  <conditionalFormatting sqref="E87:J87">
    <cfRule type="expression" dxfId="28" priority="27">
      <formula>MOD($AB87,2)=0</formula>
    </cfRule>
  </conditionalFormatting>
  <conditionalFormatting sqref="E98:J98">
    <cfRule type="expression" dxfId="27" priority="26">
      <formula>MOD($AB98,2)=0</formula>
    </cfRule>
  </conditionalFormatting>
  <conditionalFormatting sqref="E102:J102">
    <cfRule type="expression" dxfId="26" priority="25">
      <formula>MOD($AB102,2)=0</formula>
    </cfRule>
  </conditionalFormatting>
  <conditionalFormatting sqref="E106:J106">
    <cfRule type="expression" dxfId="25" priority="24">
      <formula>MOD($AB106,2)=0</formula>
    </cfRule>
  </conditionalFormatting>
  <conditionalFormatting sqref="E108:J108">
    <cfRule type="expression" dxfId="24" priority="23">
      <formula>MOD($AB108,2)=0</formula>
    </cfRule>
  </conditionalFormatting>
  <conditionalFormatting sqref="E122:J122">
    <cfRule type="expression" dxfId="23" priority="22">
      <formula>MOD($AB122,2)=0</formula>
    </cfRule>
  </conditionalFormatting>
  <conditionalFormatting sqref="E126:J126">
    <cfRule type="expression" dxfId="22" priority="21">
      <formula>MOD($AB126,2)=0</formula>
    </cfRule>
  </conditionalFormatting>
  <conditionalFormatting sqref="E135:J135">
    <cfRule type="expression" dxfId="21" priority="20">
      <formula>MOD($AB135,2)=0</formula>
    </cfRule>
  </conditionalFormatting>
  <conditionalFormatting sqref="E140:J140">
    <cfRule type="expression" dxfId="20" priority="19">
      <formula>MOD($AB140,2)=0</formula>
    </cfRule>
  </conditionalFormatting>
  <conditionalFormatting sqref="E149:J149">
    <cfRule type="expression" dxfId="19" priority="18">
      <formula>MOD($AB149,2)=0</formula>
    </cfRule>
  </conditionalFormatting>
  <conditionalFormatting sqref="E152:J152">
    <cfRule type="expression" dxfId="18" priority="17">
      <formula>MOD($AB152,2)=0</formula>
    </cfRule>
  </conditionalFormatting>
  <conditionalFormatting sqref="E160:J160">
    <cfRule type="expression" dxfId="17" priority="16">
      <formula>MOD($AB160,2)=0</formula>
    </cfRule>
  </conditionalFormatting>
  <conditionalFormatting sqref="E162:J162">
    <cfRule type="expression" dxfId="16" priority="15">
      <formula>MOD($AB162,2)=0</formula>
    </cfRule>
  </conditionalFormatting>
  <conditionalFormatting sqref="E170:J170">
    <cfRule type="expression" dxfId="15" priority="14">
      <formula>MOD($AB170,2)=0</formula>
    </cfRule>
  </conditionalFormatting>
  <conditionalFormatting sqref="E172:J172">
    <cfRule type="expression" dxfId="14" priority="13">
      <formula>MOD($AB172,2)=0</formula>
    </cfRule>
  </conditionalFormatting>
  <conditionalFormatting sqref="E179:J179">
    <cfRule type="expression" dxfId="13" priority="12">
      <formula>MOD($AB179,2)=0</formula>
    </cfRule>
  </conditionalFormatting>
  <conditionalFormatting sqref="E181:J181">
    <cfRule type="expression" dxfId="12" priority="11">
      <formula>MOD($AB181,2)=0</formula>
    </cfRule>
  </conditionalFormatting>
  <conditionalFormatting sqref="E196:J196">
    <cfRule type="expression" dxfId="11" priority="10">
      <formula>MOD($AB196,2)=0</formula>
    </cfRule>
  </conditionalFormatting>
  <conditionalFormatting sqref="E206:J206">
    <cfRule type="expression" dxfId="10" priority="9">
      <formula>MOD($AB206,2)=0</formula>
    </cfRule>
  </conditionalFormatting>
  <conditionalFormatting sqref="E209:J209">
    <cfRule type="expression" dxfId="9" priority="8">
      <formula>MOD($AB209,2)=0</formula>
    </cfRule>
  </conditionalFormatting>
  <conditionalFormatting sqref="E221:J221">
    <cfRule type="expression" dxfId="8" priority="7">
      <formula>MOD($AB221,2)=0</formula>
    </cfRule>
  </conditionalFormatting>
  <conditionalFormatting sqref="E225:J225">
    <cfRule type="expression" dxfId="7" priority="6">
      <formula>MOD($AB225,2)=0</formula>
    </cfRule>
  </conditionalFormatting>
  <conditionalFormatting sqref="E232:J232">
    <cfRule type="expression" dxfId="6" priority="5">
      <formula>MOD($AB232,2)=0</formula>
    </cfRule>
  </conditionalFormatting>
  <conditionalFormatting sqref="E237:J237">
    <cfRule type="expression" dxfId="5" priority="4">
      <formula>MOD($AB237,2)=0</formula>
    </cfRule>
  </conditionalFormatting>
  <conditionalFormatting sqref="E243:J243">
    <cfRule type="expression" dxfId="4" priority="3">
      <formula>MOD($AB243,2)=0</formula>
    </cfRule>
  </conditionalFormatting>
  <conditionalFormatting sqref="E247:J247">
    <cfRule type="expression" dxfId="3" priority="2">
      <formula>MOD($AB247,2)=0</formula>
    </cfRule>
  </conditionalFormatting>
  <conditionalFormatting sqref="E7:J7">
    <cfRule type="expression" dxfId="2" priority="1">
      <formula>MOD($AB7,2)=0</formula>
    </cfRule>
  </conditionalFormatting>
  <conditionalFormatting sqref="C7:Z1048576">
    <cfRule type="expression" dxfId="1" priority="39">
      <formula>$AA7="OK"</formula>
    </cfRule>
    <cfRule type="expression" dxfId="0" priority="40">
      <formula>OR($D7="1",$D7=1)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rowBreaks count="4" manualBreakCount="4">
    <brk id="50" max="16383" man="1"/>
    <brk id="115" max="16383" man="1"/>
    <brk id="179" max="16383" man="1"/>
    <brk id="24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4756" r:id="rId4" name="Button 4">
              <controlPr defaultSize="0" print="0" autoFill="0" autoPict="0" macro="[0]!Get_PAD_DATA">
                <anchor>
                  <from>
                    <xdr:col>24</xdr:col>
                    <xdr:colOff>1152525</xdr:colOff>
                    <xdr:row>9</xdr:row>
                    <xdr:rowOff>76200</xdr:rowOff>
                  </from>
                  <to>
                    <xdr:col>25</xdr:col>
                    <xdr:colOff>142875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7" r:id="rId5" name="Button 5">
              <controlPr defaultSize="0" print="0" autoFill="0" autoPict="0" macro="[0]!ClearData">
                <anchor>
                  <from>
                    <xdr:col>24</xdr:col>
                    <xdr:colOff>1171575</xdr:colOff>
                    <xdr:row>10</xdr:row>
                    <xdr:rowOff>428625</xdr:rowOff>
                  </from>
                  <to>
                    <xdr:col>25</xdr:col>
                    <xdr:colOff>247650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8" r:id="rId6" name="Button 6">
              <controlPr defaultSize="0" print="0" autoFill="0" autoPict="0" macro="[0]!MakeBodyNo">
                <anchor>
                  <from>
                    <xdr:col>24</xdr:col>
                    <xdr:colOff>1152525</xdr:colOff>
                    <xdr:row>12</xdr:row>
                    <xdr:rowOff>238125</xdr:rowOff>
                  </from>
                  <to>
                    <xdr:col>25</xdr:col>
                    <xdr:colOff>247650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9" r:id="rId7" name="Button 7">
              <controlPr defaultSize="0" print="0" autoFill="0" autoPict="0" macro="[0]!ClearData">
                <anchor>
                  <from>
                    <xdr:col>24</xdr:col>
                    <xdr:colOff>1095375</xdr:colOff>
                    <xdr:row>14</xdr:row>
                    <xdr:rowOff>447675</xdr:rowOff>
                  </from>
                  <to>
                    <xdr:col>25</xdr:col>
                    <xdr:colOff>247650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870" r:id="rId8" name="Button 118">
              <controlPr defaultSize="0" print="0" autoFill="0" autoPict="0" macro="[1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871" r:id="rId9" name="Button 119">
              <controlPr defaultSize="0" print="0" autoFill="0" autoPict="0" macro="[1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872" r:id="rId10" name="Button 120">
              <controlPr defaultSize="0" print="0" autoFill="0" autoPict="0" macro="[1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899" r:id="rId11" name="Button 147">
              <controlPr defaultSize="0" print="0" autoFill="0" autoPict="0" macro="[1]!Get_PAD_DATA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900" r:id="rId12" name="Button 148">
              <controlPr defaultSize="0" print="0" autoFill="0" autoPict="0" macro="[1]!ClearData">
                <anchor moveWithCells="1" sizeWithCells="1">
                  <from>
                    <xdr:col>29</xdr:col>
                    <xdr:colOff>76200</xdr:colOff>
                    <xdr:row>6</xdr:row>
                    <xdr:rowOff>0</xdr:rowOff>
                  </from>
                  <to>
                    <xdr:col>30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901" r:id="rId13" name="Button 149">
              <controlPr defaultSize="0" print="0" autoFill="0" autoPict="0" macro="[1]!MakeBodyNo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059" r:id="rId14" name="Button 307">
              <controlPr defaultSize="0" print="0" autoFill="0" autoPict="0" macro="[1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060" r:id="rId15" name="Button 308">
              <controlPr defaultSize="0" print="0" autoFill="0" autoPict="0" macro="[1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061" r:id="rId16" name="Button 309">
              <controlPr defaultSize="0" print="0" autoFill="0" autoPict="0" macro="[1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062" r:id="rId17" name="Button 310">
              <controlPr defaultSize="0" print="0" autoFill="0" autoPict="0" macro="[1]!Get_PAD_DATA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063" r:id="rId18" name="Button 311">
              <controlPr defaultSize="0" print="0" autoFill="0" autoPict="0" macro="[1]!ClearData">
                <anchor moveWithCells="1" sizeWithCells="1">
                  <from>
                    <xdr:col>29</xdr:col>
                    <xdr:colOff>76200</xdr:colOff>
                    <xdr:row>6</xdr:row>
                    <xdr:rowOff>0</xdr:rowOff>
                  </from>
                  <to>
                    <xdr:col>30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064" r:id="rId19" name="Button 312">
              <controlPr defaultSize="0" print="0" autoFill="0" autoPict="0" macro="[1]!MakeBodyNo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72" t="s">
        <v>35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74" t="s">
        <v>0</v>
      </c>
      <c r="U2" s="75" t="s">
        <v>1</v>
      </c>
      <c r="V2" s="74" t="s">
        <v>2</v>
      </c>
      <c r="W2" s="74" t="s">
        <v>3</v>
      </c>
    </row>
    <row r="3" spans="1:23" ht="32.25" customHeight="1">
      <c r="A3" s="11" t="s">
        <v>243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469"/>
      <c r="U3" s="470"/>
      <c r="V3" s="469"/>
      <c r="W3" s="85"/>
    </row>
    <row r="4" spans="1:23" ht="30" customHeight="1">
      <c r="A4" s="15" t="s">
        <v>244</v>
      </c>
      <c r="B4" s="7"/>
      <c r="C4" s="7"/>
      <c r="D4" s="7"/>
      <c r="E4" s="7"/>
      <c r="F4" s="16"/>
      <c r="G4" s="49"/>
      <c r="H4" s="16"/>
      <c r="I4" s="16"/>
      <c r="J4" s="49"/>
      <c r="K4" s="16"/>
      <c r="L4" s="49"/>
      <c r="M4" s="16"/>
      <c r="N4" s="16"/>
      <c r="O4" s="16"/>
      <c r="P4" s="16"/>
      <c r="T4" s="469"/>
      <c r="U4" s="470"/>
      <c r="V4" s="469"/>
      <c r="W4" s="17"/>
    </row>
    <row r="5" spans="1:23" ht="36" customHeight="1">
      <c r="A5" s="479" t="s">
        <v>4</v>
      </c>
      <c r="B5" s="479" t="s">
        <v>5</v>
      </c>
      <c r="C5" s="479" t="s">
        <v>6</v>
      </c>
      <c r="D5" s="479" t="s">
        <v>7</v>
      </c>
      <c r="E5" s="479" t="s">
        <v>8</v>
      </c>
      <c r="F5" s="479" t="s">
        <v>9</v>
      </c>
      <c r="G5" s="479" t="s">
        <v>10</v>
      </c>
      <c r="H5" s="479" t="s">
        <v>11</v>
      </c>
      <c r="I5" s="479" t="s">
        <v>12</v>
      </c>
      <c r="J5" s="479" t="s">
        <v>13</v>
      </c>
      <c r="K5" s="481" t="s">
        <v>14</v>
      </c>
      <c r="L5" s="482"/>
      <c r="M5" s="483"/>
      <c r="N5" s="479" t="s">
        <v>36</v>
      </c>
      <c r="O5" s="485" t="s">
        <v>15</v>
      </c>
      <c r="P5" s="479" t="s">
        <v>16</v>
      </c>
    </row>
    <row r="6" spans="1:23" ht="33.75" customHeight="1">
      <c r="A6" s="484"/>
      <c r="B6" s="480"/>
      <c r="C6" s="480"/>
      <c r="D6" s="480"/>
      <c r="E6" s="480"/>
      <c r="F6" s="480"/>
      <c r="G6" s="480"/>
      <c r="H6" s="480"/>
      <c r="I6" s="480"/>
      <c r="J6" s="480"/>
      <c r="K6" s="71" t="s">
        <v>14</v>
      </c>
      <c r="L6" s="71" t="s">
        <v>37</v>
      </c>
      <c r="M6" s="71" t="s">
        <v>38</v>
      </c>
      <c r="N6" s="480"/>
      <c r="O6" s="486"/>
      <c r="P6" s="480"/>
      <c r="R6" s="6"/>
      <c r="S6" s="6"/>
    </row>
    <row r="7" spans="1:23" s="50" customFormat="1" ht="39.950000000000003" hidden="1" customHeight="1">
      <c r="A7" s="25">
        <v>44034</v>
      </c>
      <c r="B7" s="19" t="s">
        <v>54</v>
      </c>
      <c r="C7" s="20" t="s">
        <v>39</v>
      </c>
      <c r="D7" s="21" t="s">
        <v>99</v>
      </c>
      <c r="E7" s="22">
        <v>55</v>
      </c>
      <c r="F7" s="19" t="s">
        <v>40</v>
      </c>
      <c r="G7" s="22" t="s">
        <v>41</v>
      </c>
      <c r="H7" s="52">
        <v>230</v>
      </c>
      <c r="I7" s="88"/>
      <c r="J7" s="88"/>
      <c r="K7" s="53"/>
      <c r="L7" s="53" t="s">
        <v>42</v>
      </c>
      <c r="M7" s="53"/>
      <c r="N7" s="53"/>
      <c r="O7" s="19" t="s">
        <v>202</v>
      </c>
      <c r="P7" s="19"/>
      <c r="Q7" s="81" t="s">
        <v>17</v>
      </c>
      <c r="R7" s="23">
        <v>1</v>
      </c>
      <c r="S7" s="23"/>
      <c r="T7" s="24"/>
      <c r="U7" s="61"/>
      <c r="V7" s="62"/>
      <c r="W7" s="63"/>
    </row>
    <row r="8" spans="1:23" s="50" customFormat="1" ht="39.950000000000003" hidden="1" customHeight="1">
      <c r="A8" s="18">
        <v>44034</v>
      </c>
      <c r="B8" s="19" t="s">
        <v>55</v>
      </c>
      <c r="C8" s="20" t="s">
        <v>45</v>
      </c>
      <c r="D8" s="21" t="s">
        <v>100</v>
      </c>
      <c r="E8" s="22">
        <v>8</v>
      </c>
      <c r="F8" s="19" t="s">
        <v>43</v>
      </c>
      <c r="G8" s="22" t="s">
        <v>44</v>
      </c>
      <c r="H8" s="52">
        <v>230</v>
      </c>
      <c r="I8" s="88"/>
      <c r="J8" s="88"/>
      <c r="K8" s="53"/>
      <c r="L8" s="53" t="s">
        <v>42</v>
      </c>
      <c r="M8" s="53"/>
      <c r="N8" s="53"/>
      <c r="O8" s="19" t="s">
        <v>203</v>
      </c>
      <c r="P8" s="19"/>
      <c r="Q8" s="81" t="s">
        <v>17</v>
      </c>
      <c r="R8" s="23">
        <f t="shared" ref="R8:R71" si="0">IF(C8=C7,R7,R7+1)</f>
        <v>2</v>
      </c>
      <c r="S8" s="23"/>
      <c r="T8" s="24"/>
      <c r="U8" s="61"/>
      <c r="V8" s="62"/>
      <c r="W8" s="63"/>
    </row>
    <row r="9" spans="1:23" s="50" customFormat="1" ht="39.950000000000003" hidden="1" customHeight="1">
      <c r="A9" s="18">
        <v>44034</v>
      </c>
      <c r="B9" s="19" t="s">
        <v>56</v>
      </c>
      <c r="C9" s="20" t="s">
        <v>39</v>
      </c>
      <c r="D9" s="21" t="s">
        <v>99</v>
      </c>
      <c r="E9" s="22">
        <v>37</v>
      </c>
      <c r="F9" s="19" t="s">
        <v>40</v>
      </c>
      <c r="G9" s="22" t="s">
        <v>41</v>
      </c>
      <c r="H9" s="52">
        <v>230</v>
      </c>
      <c r="I9" s="88"/>
      <c r="J9" s="88"/>
      <c r="K9" s="53"/>
      <c r="L9" s="53" t="s">
        <v>42</v>
      </c>
      <c r="M9" s="53"/>
      <c r="N9" s="53"/>
      <c r="O9" s="19" t="s">
        <v>204</v>
      </c>
      <c r="P9" s="19"/>
      <c r="Q9" s="81" t="s">
        <v>17</v>
      </c>
      <c r="R9" s="23">
        <f t="shared" si="0"/>
        <v>3</v>
      </c>
      <c r="S9" s="23"/>
      <c r="T9" s="24"/>
      <c r="U9" s="61"/>
      <c r="V9" s="62"/>
      <c r="W9" s="63"/>
    </row>
    <row r="10" spans="1:23" s="50" customFormat="1" ht="39.950000000000003" hidden="1" customHeight="1">
      <c r="A10" s="25">
        <v>44035</v>
      </c>
      <c r="B10" s="19" t="s">
        <v>54</v>
      </c>
      <c r="C10" s="20" t="s">
        <v>39</v>
      </c>
      <c r="D10" s="21" t="s">
        <v>99</v>
      </c>
      <c r="E10" s="22">
        <v>9</v>
      </c>
      <c r="F10" s="19" t="s">
        <v>40</v>
      </c>
      <c r="G10" s="22" t="s">
        <v>41</v>
      </c>
      <c r="H10" s="52">
        <v>230</v>
      </c>
      <c r="I10" s="88"/>
      <c r="J10" s="88"/>
      <c r="K10" s="53"/>
      <c r="L10" s="53" t="s">
        <v>42</v>
      </c>
      <c r="M10" s="53"/>
      <c r="N10" s="53"/>
      <c r="O10" s="19" t="s">
        <v>173</v>
      </c>
      <c r="P10" s="19"/>
      <c r="Q10" s="81" t="s">
        <v>17</v>
      </c>
      <c r="R10" s="23">
        <f t="shared" si="0"/>
        <v>3</v>
      </c>
      <c r="S10" s="23"/>
      <c r="T10" s="24"/>
      <c r="U10" s="61"/>
      <c r="V10" s="62"/>
      <c r="W10" s="63"/>
    </row>
    <row r="11" spans="1:23" s="50" customFormat="1" ht="39.950000000000003" hidden="1" customHeight="1">
      <c r="A11" s="18">
        <v>44035</v>
      </c>
      <c r="B11" s="19" t="s">
        <v>55</v>
      </c>
      <c r="C11" s="20" t="s">
        <v>64</v>
      </c>
      <c r="D11" s="21" t="s">
        <v>101</v>
      </c>
      <c r="E11" s="22">
        <v>34</v>
      </c>
      <c r="F11" s="19" t="s">
        <v>43</v>
      </c>
      <c r="G11" s="22" t="s">
        <v>20</v>
      </c>
      <c r="H11" s="52">
        <v>230</v>
      </c>
      <c r="I11" s="88"/>
      <c r="J11" s="88"/>
      <c r="K11" s="53"/>
      <c r="L11" s="53" t="s">
        <v>42</v>
      </c>
      <c r="M11" s="53"/>
      <c r="N11" s="53"/>
      <c r="O11" s="19" t="s">
        <v>174</v>
      </c>
      <c r="P11" s="19"/>
      <c r="Q11" s="81" t="s">
        <v>17</v>
      </c>
      <c r="R11" s="23">
        <f t="shared" si="0"/>
        <v>4</v>
      </c>
      <c r="S11" s="23"/>
      <c r="T11" s="24"/>
      <c r="U11" s="61"/>
      <c r="V11" s="62"/>
      <c r="W11" s="63"/>
    </row>
    <row r="12" spans="1:23" s="50" customFormat="1" ht="39.950000000000003" hidden="1" customHeight="1">
      <c r="A12" s="18">
        <v>44035</v>
      </c>
      <c r="B12" s="19" t="s">
        <v>56</v>
      </c>
      <c r="C12" s="20" t="s">
        <v>39</v>
      </c>
      <c r="D12" s="21" t="s">
        <v>99</v>
      </c>
      <c r="E12" s="22">
        <v>4</v>
      </c>
      <c r="F12" s="19" t="s">
        <v>40</v>
      </c>
      <c r="G12" s="22" t="s">
        <v>41</v>
      </c>
      <c r="H12" s="52">
        <v>230</v>
      </c>
      <c r="I12" s="88"/>
      <c r="J12" s="88"/>
      <c r="K12" s="53"/>
      <c r="L12" s="53" t="s">
        <v>42</v>
      </c>
      <c r="M12" s="53"/>
      <c r="N12" s="53"/>
      <c r="O12" s="19" t="s">
        <v>175</v>
      </c>
      <c r="P12" s="19"/>
      <c r="Q12" s="81" t="s">
        <v>17</v>
      </c>
      <c r="R12" s="23">
        <f t="shared" si="0"/>
        <v>5</v>
      </c>
      <c r="S12" s="23"/>
      <c r="T12" s="24"/>
      <c r="U12" s="61"/>
      <c r="V12" s="62"/>
      <c r="W12" s="63"/>
    </row>
    <row r="13" spans="1:23" s="50" customFormat="1" ht="39.950000000000003" hidden="1" customHeight="1">
      <c r="A13" s="18">
        <v>44035</v>
      </c>
      <c r="B13" s="19" t="s">
        <v>57</v>
      </c>
      <c r="C13" s="20" t="s">
        <v>64</v>
      </c>
      <c r="D13" s="21" t="s">
        <v>101</v>
      </c>
      <c r="E13" s="22">
        <v>33</v>
      </c>
      <c r="F13" s="19" t="s">
        <v>43</v>
      </c>
      <c r="G13" s="22" t="s">
        <v>20</v>
      </c>
      <c r="H13" s="52">
        <v>230</v>
      </c>
      <c r="I13" s="88"/>
      <c r="J13" s="88"/>
      <c r="K13" s="53"/>
      <c r="L13" s="53" t="s">
        <v>42</v>
      </c>
      <c r="M13" s="53"/>
      <c r="N13" s="53"/>
      <c r="O13" s="19" t="s">
        <v>176</v>
      </c>
      <c r="P13" s="19"/>
      <c r="Q13" s="81" t="s">
        <v>17</v>
      </c>
      <c r="R13" s="23">
        <f t="shared" si="0"/>
        <v>6</v>
      </c>
      <c r="S13" s="23"/>
      <c r="T13" s="24"/>
      <c r="U13" s="61"/>
      <c r="V13" s="62"/>
      <c r="W13" s="63"/>
    </row>
    <row r="14" spans="1:23" s="50" customFormat="1" ht="39.950000000000003" hidden="1" customHeight="1">
      <c r="A14" s="25">
        <v>44036</v>
      </c>
      <c r="B14" s="19" t="s">
        <v>54</v>
      </c>
      <c r="C14" s="20" t="s">
        <v>64</v>
      </c>
      <c r="D14" s="21" t="s">
        <v>101</v>
      </c>
      <c r="E14" s="22">
        <v>43</v>
      </c>
      <c r="F14" s="19" t="s">
        <v>43</v>
      </c>
      <c r="G14" s="22" t="s">
        <v>20</v>
      </c>
      <c r="H14" s="52">
        <v>230</v>
      </c>
      <c r="I14" s="88"/>
      <c r="J14" s="88"/>
      <c r="K14" s="53"/>
      <c r="L14" s="53" t="s">
        <v>42</v>
      </c>
      <c r="M14" s="53"/>
      <c r="N14" s="53"/>
      <c r="O14" s="19" t="s">
        <v>177</v>
      </c>
      <c r="P14" s="19"/>
      <c r="Q14" s="81" t="s">
        <v>17</v>
      </c>
      <c r="R14" s="23">
        <f t="shared" si="0"/>
        <v>6</v>
      </c>
      <c r="S14" s="23"/>
      <c r="T14" s="24"/>
      <c r="U14" s="61"/>
      <c r="V14" s="62"/>
      <c r="W14" s="63"/>
    </row>
    <row r="15" spans="1:23" s="50" customFormat="1" ht="39.950000000000003" hidden="1" customHeight="1">
      <c r="A15" s="18">
        <v>44036</v>
      </c>
      <c r="B15" s="19" t="s">
        <v>55</v>
      </c>
      <c r="C15" s="20" t="s">
        <v>45</v>
      </c>
      <c r="D15" s="21" t="s">
        <v>100</v>
      </c>
      <c r="E15" s="22">
        <v>37</v>
      </c>
      <c r="F15" s="19" t="s">
        <v>43</v>
      </c>
      <c r="G15" s="22" t="s">
        <v>44</v>
      </c>
      <c r="H15" s="52">
        <v>230</v>
      </c>
      <c r="I15" s="88"/>
      <c r="J15" s="88"/>
      <c r="K15" s="53"/>
      <c r="L15" s="53" t="s">
        <v>42</v>
      </c>
      <c r="M15" s="53"/>
      <c r="N15" s="53"/>
      <c r="O15" s="19" t="s">
        <v>178</v>
      </c>
      <c r="P15" s="19"/>
      <c r="Q15" s="81" t="s">
        <v>17</v>
      </c>
      <c r="R15" s="23">
        <f t="shared" si="0"/>
        <v>7</v>
      </c>
      <c r="S15" s="23"/>
      <c r="T15" s="24"/>
      <c r="U15" s="61"/>
      <c r="V15" s="62"/>
      <c r="W15" s="63"/>
    </row>
    <row r="16" spans="1:23" s="50" customFormat="1" ht="39.950000000000003" hidden="1" customHeight="1">
      <c r="A16" s="25">
        <v>44037</v>
      </c>
      <c r="B16" s="19" t="s">
        <v>54</v>
      </c>
      <c r="C16" s="20" t="s">
        <v>45</v>
      </c>
      <c r="D16" s="21" t="s">
        <v>100</v>
      </c>
      <c r="E16" s="22">
        <v>15</v>
      </c>
      <c r="F16" s="19" t="s">
        <v>43</v>
      </c>
      <c r="G16" s="22" t="s">
        <v>44</v>
      </c>
      <c r="H16" s="52">
        <v>230</v>
      </c>
      <c r="I16" s="88"/>
      <c r="J16" s="88"/>
      <c r="K16" s="53"/>
      <c r="L16" s="53" t="s">
        <v>42</v>
      </c>
      <c r="M16" s="53"/>
      <c r="N16" s="53"/>
      <c r="O16" s="19" t="s">
        <v>179</v>
      </c>
      <c r="P16" s="19"/>
      <c r="Q16" s="81" t="s">
        <v>17</v>
      </c>
      <c r="R16" s="23">
        <f t="shared" si="0"/>
        <v>7</v>
      </c>
      <c r="S16" s="23"/>
      <c r="T16" s="24"/>
      <c r="U16" s="61"/>
      <c r="V16" s="62"/>
      <c r="W16" s="63"/>
    </row>
    <row r="17" spans="1:23" s="50" customFormat="1" ht="39.950000000000003" hidden="1" customHeight="1">
      <c r="A17" s="18">
        <v>44037</v>
      </c>
      <c r="B17" s="19" t="s">
        <v>55</v>
      </c>
      <c r="C17" s="20" t="s">
        <v>64</v>
      </c>
      <c r="D17" s="21" t="s">
        <v>101</v>
      </c>
      <c r="E17" s="22">
        <v>28</v>
      </c>
      <c r="F17" s="19" t="s">
        <v>43</v>
      </c>
      <c r="G17" s="22" t="s">
        <v>20</v>
      </c>
      <c r="H17" s="52">
        <v>230</v>
      </c>
      <c r="I17" s="88"/>
      <c r="J17" s="88"/>
      <c r="K17" s="53"/>
      <c r="L17" s="53" t="s">
        <v>42</v>
      </c>
      <c r="M17" s="53"/>
      <c r="N17" s="53"/>
      <c r="O17" s="19" t="s">
        <v>180</v>
      </c>
      <c r="P17" s="19"/>
      <c r="Q17" s="81" t="s">
        <v>17</v>
      </c>
      <c r="R17" s="23">
        <f t="shared" si="0"/>
        <v>8</v>
      </c>
      <c r="S17" s="23"/>
      <c r="T17" s="24"/>
      <c r="U17" s="61"/>
      <c r="V17" s="62"/>
      <c r="W17" s="63"/>
    </row>
    <row r="18" spans="1:23" s="50" customFormat="1" ht="39.950000000000003" hidden="1" customHeight="1">
      <c r="A18" s="18">
        <v>44037</v>
      </c>
      <c r="B18" s="19" t="s">
        <v>56</v>
      </c>
      <c r="C18" s="20" t="s">
        <v>45</v>
      </c>
      <c r="D18" s="21" t="s">
        <v>100</v>
      </c>
      <c r="E18" s="22">
        <v>37</v>
      </c>
      <c r="F18" s="19" t="s">
        <v>43</v>
      </c>
      <c r="G18" s="22" t="s">
        <v>44</v>
      </c>
      <c r="H18" s="52">
        <v>230</v>
      </c>
      <c r="I18" s="88"/>
      <c r="J18" s="88"/>
      <c r="K18" s="53"/>
      <c r="L18" s="53" t="s">
        <v>42</v>
      </c>
      <c r="M18" s="53"/>
      <c r="N18" s="53"/>
      <c r="O18" s="19" t="s">
        <v>181</v>
      </c>
      <c r="P18" s="19"/>
      <c r="Q18" s="81" t="s">
        <v>17</v>
      </c>
      <c r="R18" s="23">
        <f t="shared" si="0"/>
        <v>9</v>
      </c>
      <c r="S18" s="23"/>
      <c r="T18" s="24"/>
      <c r="U18" s="61"/>
      <c r="V18" s="62"/>
      <c r="W18" s="63"/>
    </row>
    <row r="19" spans="1:23" s="50" customFormat="1" ht="39.950000000000003" hidden="1" customHeight="1">
      <c r="A19" s="25">
        <v>44041</v>
      </c>
      <c r="B19" s="19" t="s">
        <v>54</v>
      </c>
      <c r="C19" s="20" t="s">
        <v>45</v>
      </c>
      <c r="D19" s="21" t="s">
        <v>100</v>
      </c>
      <c r="E19" s="22">
        <v>14</v>
      </c>
      <c r="F19" s="19" t="s">
        <v>43</v>
      </c>
      <c r="G19" s="22" t="s">
        <v>44</v>
      </c>
      <c r="H19" s="52">
        <v>230</v>
      </c>
      <c r="I19" s="88"/>
      <c r="J19" s="88"/>
      <c r="K19" s="53"/>
      <c r="L19" s="53" t="s">
        <v>42</v>
      </c>
      <c r="M19" s="53"/>
      <c r="N19" s="53"/>
      <c r="O19" s="19" t="s">
        <v>205</v>
      </c>
      <c r="P19" s="19"/>
      <c r="Q19" s="81" t="s">
        <v>17</v>
      </c>
      <c r="R19" s="23">
        <f t="shared" si="0"/>
        <v>9</v>
      </c>
      <c r="S19" s="23"/>
      <c r="T19" s="24"/>
      <c r="U19" s="61"/>
      <c r="V19" s="62"/>
      <c r="W19" s="63"/>
    </row>
    <row r="20" spans="1:23" s="50" customFormat="1" ht="39.950000000000003" hidden="1" customHeight="1">
      <c r="A20" s="18">
        <v>44041</v>
      </c>
      <c r="B20" s="19" t="s">
        <v>55</v>
      </c>
      <c r="C20" s="20" t="s">
        <v>64</v>
      </c>
      <c r="D20" s="21" t="s">
        <v>101</v>
      </c>
      <c r="E20" s="22">
        <v>28</v>
      </c>
      <c r="F20" s="19" t="s">
        <v>43</v>
      </c>
      <c r="G20" s="22" t="s">
        <v>20</v>
      </c>
      <c r="H20" s="52">
        <v>230</v>
      </c>
      <c r="I20" s="88"/>
      <c r="J20" s="88"/>
      <c r="K20" s="53"/>
      <c r="L20" s="53" t="s">
        <v>42</v>
      </c>
      <c r="M20" s="53"/>
      <c r="N20" s="53"/>
      <c r="O20" s="19" t="s">
        <v>206</v>
      </c>
      <c r="P20" s="19"/>
      <c r="Q20" s="81" t="s">
        <v>17</v>
      </c>
      <c r="R20" s="23">
        <f t="shared" si="0"/>
        <v>10</v>
      </c>
      <c r="S20" s="23"/>
      <c r="T20" s="24"/>
      <c r="U20" s="61"/>
      <c r="V20" s="62"/>
      <c r="W20" s="63"/>
    </row>
    <row r="21" spans="1:23" s="50" customFormat="1" ht="39.950000000000003" hidden="1" customHeight="1">
      <c r="A21" s="18">
        <v>44041</v>
      </c>
      <c r="B21" s="19" t="s">
        <v>56</v>
      </c>
      <c r="C21" s="20" t="s">
        <v>45</v>
      </c>
      <c r="D21" s="21" t="s">
        <v>100</v>
      </c>
      <c r="E21" s="22">
        <v>37</v>
      </c>
      <c r="F21" s="19" t="s">
        <v>43</v>
      </c>
      <c r="G21" s="22" t="s">
        <v>44</v>
      </c>
      <c r="H21" s="52">
        <v>230</v>
      </c>
      <c r="I21" s="88"/>
      <c r="J21" s="88"/>
      <c r="K21" s="53"/>
      <c r="L21" s="53" t="s">
        <v>42</v>
      </c>
      <c r="M21" s="53"/>
      <c r="N21" s="53"/>
      <c r="O21" s="19" t="s">
        <v>207</v>
      </c>
      <c r="P21" s="19"/>
      <c r="Q21" s="81" t="s">
        <v>17</v>
      </c>
      <c r="R21" s="23">
        <f t="shared" si="0"/>
        <v>11</v>
      </c>
      <c r="S21" s="23"/>
      <c r="T21" s="24"/>
      <c r="U21" s="61"/>
      <c r="V21" s="62"/>
      <c r="W21" s="63"/>
    </row>
    <row r="22" spans="1:23" s="50" customFormat="1" ht="39.950000000000003" hidden="1" customHeight="1">
      <c r="A22" s="25">
        <v>44042</v>
      </c>
      <c r="B22" s="19" t="s">
        <v>54</v>
      </c>
      <c r="C22" s="20" t="s">
        <v>45</v>
      </c>
      <c r="D22" s="21" t="s">
        <v>100</v>
      </c>
      <c r="E22" s="22">
        <v>100</v>
      </c>
      <c r="F22" s="19" t="s">
        <v>43</v>
      </c>
      <c r="G22" s="22" t="s">
        <v>44</v>
      </c>
      <c r="H22" s="52">
        <v>230</v>
      </c>
      <c r="I22" s="88"/>
      <c r="J22" s="88"/>
      <c r="K22" s="53"/>
      <c r="L22" s="53" t="s">
        <v>42</v>
      </c>
      <c r="M22" s="53"/>
      <c r="N22" s="53"/>
      <c r="O22" s="19" t="s">
        <v>208</v>
      </c>
      <c r="P22" s="19"/>
      <c r="Q22" s="81" t="s">
        <v>17</v>
      </c>
      <c r="R22" s="23">
        <f t="shared" si="0"/>
        <v>11</v>
      </c>
      <c r="S22" s="23"/>
      <c r="T22" s="24"/>
      <c r="U22" s="61"/>
      <c r="V22" s="62"/>
      <c r="W22" s="63"/>
    </row>
    <row r="23" spans="1:23" s="50" customFormat="1" ht="39.950000000000003" hidden="1" customHeight="1">
      <c r="A23" s="25">
        <v>44043</v>
      </c>
      <c r="B23" s="19" t="s">
        <v>54</v>
      </c>
      <c r="C23" s="20" t="s">
        <v>45</v>
      </c>
      <c r="D23" s="21" t="s">
        <v>100</v>
      </c>
      <c r="E23" s="22">
        <v>80</v>
      </c>
      <c r="F23" s="19" t="s">
        <v>43</v>
      </c>
      <c r="G23" s="22" t="s">
        <v>44</v>
      </c>
      <c r="H23" s="52">
        <v>230</v>
      </c>
      <c r="I23" s="88"/>
      <c r="J23" s="88"/>
      <c r="K23" s="53"/>
      <c r="L23" s="53" t="s">
        <v>42</v>
      </c>
      <c r="M23" s="53"/>
      <c r="N23" s="53"/>
      <c r="O23" s="19" t="s">
        <v>209</v>
      </c>
      <c r="P23" s="19"/>
      <c r="Q23" s="81" t="s">
        <v>17</v>
      </c>
      <c r="R23" s="23">
        <f t="shared" si="0"/>
        <v>11</v>
      </c>
      <c r="S23" s="23"/>
      <c r="T23" s="24"/>
      <c r="U23" s="61"/>
      <c r="V23" s="62"/>
      <c r="W23" s="63"/>
    </row>
    <row r="24" spans="1:23" s="50" customFormat="1" ht="39.950000000000003" hidden="1" customHeight="1">
      <c r="A24" s="25">
        <v>44046</v>
      </c>
      <c r="B24" s="19" t="s">
        <v>54</v>
      </c>
      <c r="C24" s="20" t="s">
        <v>45</v>
      </c>
      <c r="D24" s="21" t="s">
        <v>100</v>
      </c>
      <c r="E24" s="22">
        <v>17</v>
      </c>
      <c r="F24" s="19" t="s">
        <v>43</v>
      </c>
      <c r="G24" s="22" t="s">
        <v>44</v>
      </c>
      <c r="H24" s="52">
        <v>230</v>
      </c>
      <c r="I24" s="88"/>
      <c r="J24" s="88"/>
      <c r="K24" s="53"/>
      <c r="L24" s="53" t="s">
        <v>42</v>
      </c>
      <c r="M24" s="53"/>
      <c r="N24" s="53"/>
      <c r="O24" s="19" t="s">
        <v>245</v>
      </c>
      <c r="P24" s="19"/>
      <c r="Q24" s="81" t="s">
        <v>17</v>
      </c>
      <c r="R24" s="23">
        <f t="shared" si="0"/>
        <v>11</v>
      </c>
      <c r="S24" s="23"/>
      <c r="T24" s="24"/>
      <c r="U24" s="61"/>
      <c r="V24" s="62"/>
      <c r="W24" s="63"/>
    </row>
    <row r="25" spans="1:23" s="50" customFormat="1" ht="39.950000000000003" hidden="1" customHeight="1">
      <c r="A25" s="18">
        <v>44046</v>
      </c>
      <c r="B25" s="19" t="s">
        <v>55</v>
      </c>
      <c r="C25" s="20" t="s">
        <v>64</v>
      </c>
      <c r="D25" s="21" t="s">
        <v>101</v>
      </c>
      <c r="E25" s="22">
        <v>26</v>
      </c>
      <c r="F25" s="19" t="s">
        <v>43</v>
      </c>
      <c r="G25" s="22" t="s">
        <v>20</v>
      </c>
      <c r="H25" s="52">
        <v>230</v>
      </c>
      <c r="I25" s="88"/>
      <c r="J25" s="88"/>
      <c r="K25" s="53"/>
      <c r="L25" s="53" t="s">
        <v>42</v>
      </c>
      <c r="M25" s="53"/>
      <c r="N25" s="53"/>
      <c r="O25" s="19" t="s">
        <v>210</v>
      </c>
      <c r="P25" s="19"/>
      <c r="Q25" s="81" t="s">
        <v>17</v>
      </c>
      <c r="R25" s="23">
        <f t="shared" si="0"/>
        <v>12</v>
      </c>
      <c r="S25" s="23"/>
      <c r="T25" s="24"/>
      <c r="U25" s="61"/>
      <c r="V25" s="62"/>
      <c r="W25" s="63"/>
    </row>
    <row r="26" spans="1:23" s="50" customFormat="1" ht="39.950000000000003" hidden="1" customHeight="1">
      <c r="A26" s="18">
        <v>44046</v>
      </c>
      <c r="B26" s="19" t="s">
        <v>56</v>
      </c>
      <c r="C26" s="20" t="s">
        <v>45</v>
      </c>
      <c r="D26" s="21" t="s">
        <v>100</v>
      </c>
      <c r="E26" s="22">
        <v>11</v>
      </c>
      <c r="F26" s="19" t="s">
        <v>43</v>
      </c>
      <c r="G26" s="22" t="s">
        <v>44</v>
      </c>
      <c r="H26" s="52">
        <v>230</v>
      </c>
      <c r="I26" s="88"/>
      <c r="J26" s="88"/>
      <c r="K26" s="53"/>
      <c r="L26" s="53" t="s">
        <v>42</v>
      </c>
      <c r="M26" s="53"/>
      <c r="N26" s="53"/>
      <c r="O26" s="19" t="s">
        <v>246</v>
      </c>
      <c r="P26" s="19"/>
      <c r="Q26" s="81" t="s">
        <v>17</v>
      </c>
      <c r="R26" s="23">
        <f t="shared" si="0"/>
        <v>13</v>
      </c>
      <c r="S26" s="23"/>
      <c r="T26" s="24"/>
      <c r="U26" s="61"/>
      <c r="V26" s="62"/>
      <c r="W26" s="63"/>
    </row>
    <row r="27" spans="1:23" s="50" customFormat="1" ht="39.950000000000003" hidden="1" customHeight="1">
      <c r="A27" s="18">
        <v>44046</v>
      </c>
      <c r="B27" s="19" t="s">
        <v>57</v>
      </c>
      <c r="C27" s="20" t="s">
        <v>64</v>
      </c>
      <c r="D27" s="21" t="s">
        <v>101</v>
      </c>
      <c r="E27" s="22">
        <v>26</v>
      </c>
      <c r="F27" s="19" t="s">
        <v>43</v>
      </c>
      <c r="G27" s="22" t="s">
        <v>20</v>
      </c>
      <c r="H27" s="52">
        <v>230</v>
      </c>
      <c r="I27" s="88"/>
      <c r="J27" s="88"/>
      <c r="K27" s="53"/>
      <c r="L27" s="53" t="s">
        <v>42</v>
      </c>
      <c r="M27" s="53"/>
      <c r="N27" s="53"/>
      <c r="O27" s="19" t="s">
        <v>247</v>
      </c>
      <c r="P27" s="19"/>
      <c r="Q27" s="81" t="s">
        <v>17</v>
      </c>
      <c r="R27" s="23">
        <f t="shared" si="0"/>
        <v>14</v>
      </c>
      <c r="S27" s="23"/>
      <c r="T27" s="24"/>
      <c r="U27" s="61"/>
      <c r="V27" s="62"/>
      <c r="W27" s="63"/>
    </row>
    <row r="28" spans="1:23" s="50" customFormat="1" ht="39.950000000000003" hidden="1" customHeight="1">
      <c r="A28" s="25">
        <v>44047</v>
      </c>
      <c r="B28" s="19" t="s">
        <v>54</v>
      </c>
      <c r="C28" s="20" t="s">
        <v>64</v>
      </c>
      <c r="D28" s="21" t="s">
        <v>101</v>
      </c>
      <c r="E28" s="22">
        <v>100</v>
      </c>
      <c r="F28" s="19" t="s">
        <v>43</v>
      </c>
      <c r="G28" s="22" t="s">
        <v>20</v>
      </c>
      <c r="H28" s="52">
        <v>230</v>
      </c>
      <c r="I28" s="88"/>
      <c r="J28" s="88"/>
      <c r="K28" s="53"/>
      <c r="L28" s="53" t="s">
        <v>42</v>
      </c>
      <c r="M28" s="53"/>
      <c r="N28" s="53"/>
      <c r="O28" s="19" t="s">
        <v>248</v>
      </c>
      <c r="P28" s="19"/>
      <c r="Q28" s="81" t="s">
        <v>17</v>
      </c>
      <c r="R28" s="23">
        <f t="shared" si="0"/>
        <v>14</v>
      </c>
      <c r="S28" s="23"/>
      <c r="T28" s="24"/>
      <c r="U28" s="61"/>
      <c r="V28" s="62"/>
      <c r="W28" s="63"/>
    </row>
    <row r="29" spans="1:23" s="50" customFormat="1" ht="39.950000000000003" hidden="1" customHeight="1">
      <c r="A29" s="25">
        <v>44048</v>
      </c>
      <c r="B29" s="19" t="s">
        <v>54</v>
      </c>
      <c r="C29" s="20" t="s">
        <v>64</v>
      </c>
      <c r="D29" s="21" t="s">
        <v>101</v>
      </c>
      <c r="E29" s="22">
        <v>100</v>
      </c>
      <c r="F29" s="19" t="s">
        <v>43</v>
      </c>
      <c r="G29" s="22" t="s">
        <v>20</v>
      </c>
      <c r="H29" s="52">
        <v>230</v>
      </c>
      <c r="I29" s="88"/>
      <c r="J29" s="88"/>
      <c r="K29" s="53"/>
      <c r="L29" s="53" t="s">
        <v>42</v>
      </c>
      <c r="M29" s="53"/>
      <c r="N29" s="53"/>
      <c r="O29" s="19" t="s">
        <v>249</v>
      </c>
      <c r="P29" s="19"/>
      <c r="Q29" s="81" t="s">
        <v>17</v>
      </c>
      <c r="R29" s="23">
        <f t="shared" si="0"/>
        <v>14</v>
      </c>
      <c r="S29" s="23"/>
      <c r="T29" s="24"/>
      <c r="U29" s="61"/>
      <c r="V29" s="62"/>
      <c r="W29" s="63"/>
    </row>
    <row r="30" spans="1:23" s="50" customFormat="1" ht="39.950000000000003" hidden="1" customHeight="1">
      <c r="A30" s="25">
        <v>44049</v>
      </c>
      <c r="B30" s="19" t="s">
        <v>54</v>
      </c>
      <c r="C30" s="20" t="s">
        <v>64</v>
      </c>
      <c r="D30" s="21" t="s">
        <v>101</v>
      </c>
      <c r="E30" s="22">
        <v>100</v>
      </c>
      <c r="F30" s="19" t="s">
        <v>43</v>
      </c>
      <c r="G30" s="22" t="s">
        <v>20</v>
      </c>
      <c r="H30" s="52">
        <v>230</v>
      </c>
      <c r="I30" s="88"/>
      <c r="J30" s="88"/>
      <c r="K30" s="53"/>
      <c r="L30" s="53" t="s">
        <v>42</v>
      </c>
      <c r="M30" s="53"/>
      <c r="N30" s="53"/>
      <c r="O30" s="19" t="s">
        <v>250</v>
      </c>
      <c r="P30" s="19"/>
      <c r="Q30" s="81" t="s">
        <v>17</v>
      </c>
      <c r="R30" s="23">
        <f t="shared" si="0"/>
        <v>14</v>
      </c>
      <c r="S30" s="23"/>
      <c r="T30" s="24"/>
      <c r="U30" s="61"/>
      <c r="V30" s="62"/>
      <c r="W30" s="63"/>
    </row>
    <row r="31" spans="1:23" s="50" customFormat="1" ht="39.950000000000003" hidden="1" customHeight="1">
      <c r="A31" s="25">
        <v>44050</v>
      </c>
      <c r="B31" s="19" t="s">
        <v>54</v>
      </c>
      <c r="C31" s="20" t="s">
        <v>64</v>
      </c>
      <c r="D31" s="21" t="s">
        <v>101</v>
      </c>
      <c r="E31" s="22">
        <v>63</v>
      </c>
      <c r="F31" s="19" t="s">
        <v>43</v>
      </c>
      <c r="G31" s="22" t="s">
        <v>20</v>
      </c>
      <c r="H31" s="52">
        <v>230</v>
      </c>
      <c r="I31" s="88"/>
      <c r="J31" s="88"/>
      <c r="K31" s="53"/>
      <c r="L31" s="53" t="s">
        <v>42</v>
      </c>
      <c r="M31" s="53"/>
      <c r="N31" s="53"/>
      <c r="O31" s="19" t="s">
        <v>251</v>
      </c>
      <c r="P31" s="19"/>
      <c r="Q31" s="81" t="s">
        <v>17</v>
      </c>
      <c r="R31" s="23">
        <f t="shared" si="0"/>
        <v>14</v>
      </c>
      <c r="S31" s="23"/>
      <c r="T31" s="24"/>
      <c r="U31" s="61"/>
      <c r="V31" s="62"/>
      <c r="W31" s="63"/>
    </row>
    <row r="32" spans="1:23" s="50" customFormat="1" ht="39.950000000000003" customHeight="1">
      <c r="A32" s="18">
        <v>44050</v>
      </c>
      <c r="B32" s="19" t="s">
        <v>55</v>
      </c>
      <c r="C32" s="20" t="s">
        <v>45</v>
      </c>
      <c r="D32" s="21" t="s">
        <v>100</v>
      </c>
      <c r="E32" s="22">
        <v>37</v>
      </c>
      <c r="F32" s="19" t="s">
        <v>43</v>
      </c>
      <c r="G32" s="22" t="s">
        <v>44</v>
      </c>
      <c r="H32" s="52">
        <v>230</v>
      </c>
      <c r="I32" s="88"/>
      <c r="J32" s="88"/>
      <c r="K32" s="53"/>
      <c r="L32" s="53" t="s">
        <v>42</v>
      </c>
      <c r="M32" s="53"/>
      <c r="N32" s="53"/>
      <c r="O32" s="19" t="s">
        <v>211</v>
      </c>
      <c r="P32" s="19"/>
      <c r="Q32" s="81" t="s">
        <v>17</v>
      </c>
      <c r="R32" s="23">
        <f t="shared" si="0"/>
        <v>15</v>
      </c>
      <c r="S32" s="23"/>
      <c r="T32" s="24"/>
      <c r="U32" s="61"/>
      <c r="V32" s="62"/>
      <c r="W32" s="63"/>
    </row>
    <row r="33" spans="1:23" s="50" customFormat="1" ht="39.950000000000003" customHeight="1">
      <c r="A33" s="25">
        <v>44051</v>
      </c>
      <c r="B33" s="19" t="s">
        <v>54</v>
      </c>
      <c r="C33" s="20" t="s">
        <v>45</v>
      </c>
      <c r="D33" s="21" t="s">
        <v>100</v>
      </c>
      <c r="E33" s="22">
        <v>5</v>
      </c>
      <c r="F33" s="19" t="s">
        <v>43</v>
      </c>
      <c r="G33" s="22" t="s">
        <v>44</v>
      </c>
      <c r="H33" s="52">
        <v>230</v>
      </c>
      <c r="I33" s="88"/>
      <c r="J33" s="88"/>
      <c r="K33" s="53"/>
      <c r="L33" s="53" t="s">
        <v>42</v>
      </c>
      <c r="M33" s="53"/>
      <c r="N33" s="53"/>
      <c r="O33" s="19" t="s">
        <v>252</v>
      </c>
      <c r="P33" s="19"/>
      <c r="Q33" s="81" t="s">
        <v>17</v>
      </c>
      <c r="R33" s="23">
        <f t="shared" si="0"/>
        <v>15</v>
      </c>
      <c r="S33" s="23"/>
      <c r="T33" s="24"/>
      <c r="U33" s="61"/>
      <c r="V33" s="62"/>
      <c r="W33" s="63"/>
    </row>
    <row r="34" spans="1:23" s="50" customFormat="1" ht="39.950000000000003" customHeight="1">
      <c r="A34" s="18">
        <v>44051</v>
      </c>
      <c r="B34" s="19" t="s">
        <v>55</v>
      </c>
      <c r="C34" s="20" t="s">
        <v>64</v>
      </c>
      <c r="D34" s="21" t="s">
        <v>101</v>
      </c>
      <c r="E34" s="22">
        <v>38</v>
      </c>
      <c r="F34" s="19" t="s">
        <v>43</v>
      </c>
      <c r="G34" s="22" t="s">
        <v>20</v>
      </c>
      <c r="H34" s="52">
        <v>230</v>
      </c>
      <c r="I34" s="88"/>
      <c r="J34" s="88"/>
      <c r="K34" s="53"/>
      <c r="L34" s="53" t="s">
        <v>42</v>
      </c>
      <c r="M34" s="53"/>
      <c r="N34" s="53"/>
      <c r="O34" s="19" t="s">
        <v>253</v>
      </c>
      <c r="P34" s="19"/>
      <c r="Q34" s="81" t="s">
        <v>17</v>
      </c>
      <c r="R34" s="23">
        <f t="shared" si="0"/>
        <v>16</v>
      </c>
      <c r="S34" s="23"/>
      <c r="T34" s="24"/>
      <c r="U34" s="61"/>
      <c r="V34" s="62"/>
      <c r="W34" s="63"/>
    </row>
    <row r="35" spans="1:23" s="50" customFormat="1" ht="39.950000000000003" customHeight="1">
      <c r="A35" s="18">
        <v>44051</v>
      </c>
      <c r="B35" s="19" t="s">
        <v>56</v>
      </c>
      <c r="C35" s="20" t="s">
        <v>45</v>
      </c>
      <c r="D35" s="21" t="s">
        <v>100</v>
      </c>
      <c r="E35" s="22">
        <v>37</v>
      </c>
      <c r="F35" s="19" t="s">
        <v>43</v>
      </c>
      <c r="G35" s="22" t="s">
        <v>44</v>
      </c>
      <c r="H35" s="52">
        <v>230</v>
      </c>
      <c r="I35" s="88"/>
      <c r="J35" s="88"/>
      <c r="K35" s="53"/>
      <c r="L35" s="53" t="s">
        <v>42</v>
      </c>
      <c r="M35" s="53"/>
      <c r="N35" s="53"/>
      <c r="O35" s="19" t="s">
        <v>254</v>
      </c>
      <c r="P35" s="19"/>
      <c r="Q35" s="81" t="s">
        <v>17</v>
      </c>
      <c r="R35" s="23">
        <f t="shared" si="0"/>
        <v>17</v>
      </c>
      <c r="S35" s="23"/>
      <c r="T35" s="24"/>
      <c r="U35" s="61"/>
      <c r="V35" s="62"/>
      <c r="W35" s="63"/>
    </row>
    <row r="36" spans="1:23" s="50" customFormat="1" ht="39.950000000000003" customHeight="1">
      <c r="A36" s="25">
        <v>44053</v>
      </c>
      <c r="B36" s="19" t="s">
        <v>54</v>
      </c>
      <c r="C36" s="20" t="s">
        <v>45</v>
      </c>
      <c r="D36" s="21" t="s">
        <v>100</v>
      </c>
      <c r="E36" s="22">
        <v>12</v>
      </c>
      <c r="F36" s="19" t="s">
        <v>43</v>
      </c>
      <c r="G36" s="22" t="s">
        <v>44</v>
      </c>
      <c r="H36" s="52">
        <v>230</v>
      </c>
      <c r="I36" s="88"/>
      <c r="J36" s="88"/>
      <c r="K36" s="53"/>
      <c r="L36" s="53" t="s">
        <v>42</v>
      </c>
      <c r="M36" s="53"/>
      <c r="N36" s="53"/>
      <c r="O36" s="19" t="s">
        <v>255</v>
      </c>
      <c r="P36" s="19"/>
      <c r="Q36" s="81" t="s">
        <v>17</v>
      </c>
      <c r="R36" s="23">
        <f t="shared" si="0"/>
        <v>17</v>
      </c>
      <c r="S36" s="23"/>
      <c r="T36" s="24"/>
      <c r="U36" s="61"/>
      <c r="V36" s="62"/>
      <c r="W36" s="63"/>
    </row>
    <row r="37" spans="1:23" s="50" customFormat="1" ht="39.950000000000003" customHeight="1">
      <c r="A37" s="25">
        <v>44054</v>
      </c>
      <c r="B37" s="19" t="s">
        <v>54</v>
      </c>
      <c r="C37" s="20" t="s">
        <v>45</v>
      </c>
      <c r="D37" s="21" t="s">
        <v>100</v>
      </c>
      <c r="E37" s="22">
        <v>11</v>
      </c>
      <c r="F37" s="19" t="s">
        <v>43</v>
      </c>
      <c r="G37" s="22" t="s">
        <v>44</v>
      </c>
      <c r="H37" s="52">
        <v>230</v>
      </c>
      <c r="I37" s="88"/>
      <c r="J37" s="88"/>
      <c r="K37" s="53"/>
      <c r="L37" s="53" t="s">
        <v>42</v>
      </c>
      <c r="M37" s="53"/>
      <c r="N37" s="53"/>
      <c r="O37" s="19" t="s">
        <v>256</v>
      </c>
      <c r="P37" s="19"/>
      <c r="Q37" s="81" t="s">
        <v>17</v>
      </c>
      <c r="R37" s="23">
        <f t="shared" si="0"/>
        <v>17</v>
      </c>
      <c r="S37" s="23"/>
      <c r="T37" s="24"/>
      <c r="U37" s="61"/>
      <c r="V37" s="62"/>
      <c r="W37" s="63"/>
    </row>
    <row r="38" spans="1:23" s="50" customFormat="1" ht="39.950000000000003" customHeight="1">
      <c r="A38" s="18">
        <v>44054</v>
      </c>
      <c r="B38" s="19" t="s">
        <v>55</v>
      </c>
      <c r="C38" s="20" t="s">
        <v>64</v>
      </c>
      <c r="D38" s="21" t="s">
        <v>101</v>
      </c>
      <c r="E38" s="22">
        <v>32</v>
      </c>
      <c r="F38" s="19" t="s">
        <v>43</v>
      </c>
      <c r="G38" s="22" t="s">
        <v>20</v>
      </c>
      <c r="H38" s="52">
        <v>230</v>
      </c>
      <c r="I38" s="88"/>
      <c r="J38" s="88"/>
      <c r="K38" s="53"/>
      <c r="L38" s="53" t="s">
        <v>42</v>
      </c>
      <c r="M38" s="53"/>
      <c r="N38" s="53"/>
      <c r="O38" s="19" t="s">
        <v>257</v>
      </c>
      <c r="P38" s="19"/>
      <c r="Q38" s="81" t="s">
        <v>17</v>
      </c>
      <c r="R38" s="23">
        <f t="shared" si="0"/>
        <v>18</v>
      </c>
      <c r="S38" s="23"/>
      <c r="T38" s="24"/>
      <c r="U38" s="61"/>
      <c r="V38" s="62"/>
      <c r="W38" s="63"/>
    </row>
    <row r="39" spans="1:23" s="50" customFormat="1" ht="39.950000000000003" customHeight="1">
      <c r="A39" s="18"/>
      <c r="B39" s="19"/>
      <c r="C39" s="20"/>
      <c r="D39" s="21"/>
      <c r="E39" s="22"/>
      <c r="F39" s="19"/>
      <c r="G39" s="22"/>
      <c r="H39" s="52"/>
      <c r="I39" s="88"/>
      <c r="J39" s="88"/>
      <c r="K39" s="53"/>
      <c r="L39" s="53"/>
      <c r="M39" s="53"/>
      <c r="N39" s="53"/>
      <c r="O39" s="19"/>
      <c r="P39" s="19"/>
      <c r="Q39" s="81"/>
      <c r="R39" s="23">
        <f t="shared" si="0"/>
        <v>19</v>
      </c>
      <c r="S39" s="23"/>
      <c r="T39" s="24"/>
      <c r="U39" s="61"/>
      <c r="V39" s="62"/>
      <c r="W39" s="63"/>
    </row>
    <row r="40" spans="1:23" s="50" customFormat="1" ht="39.950000000000003" customHeight="1">
      <c r="A40" s="25"/>
      <c r="B40" s="19"/>
      <c r="C40" s="20"/>
      <c r="D40" s="21"/>
      <c r="E40" s="22"/>
      <c r="F40" s="19"/>
      <c r="G40" s="22"/>
      <c r="H40" s="52"/>
      <c r="I40" s="88"/>
      <c r="J40" s="88"/>
      <c r="K40" s="53"/>
      <c r="L40" s="53"/>
      <c r="M40" s="53"/>
      <c r="N40" s="53"/>
      <c r="O40" s="19"/>
      <c r="P40" s="19"/>
      <c r="Q40" s="81"/>
      <c r="R40" s="23">
        <f t="shared" si="0"/>
        <v>19</v>
      </c>
      <c r="S40" s="23"/>
      <c r="T40" s="24"/>
      <c r="U40" s="61"/>
      <c r="V40" s="62"/>
      <c r="W40" s="63"/>
    </row>
    <row r="41" spans="1:23" s="50" customFormat="1" ht="39.950000000000003" customHeight="1">
      <c r="A41" s="18"/>
      <c r="B41" s="19"/>
      <c r="C41" s="20"/>
      <c r="D41" s="21"/>
      <c r="E41" s="22"/>
      <c r="F41" s="19"/>
      <c r="G41" s="22"/>
      <c r="H41" s="52"/>
      <c r="I41" s="88"/>
      <c r="J41" s="88"/>
      <c r="K41" s="53"/>
      <c r="L41" s="53"/>
      <c r="M41" s="53"/>
      <c r="N41" s="53"/>
      <c r="O41" s="19"/>
      <c r="P41" s="19"/>
      <c r="Q41" s="81"/>
      <c r="R41" s="23">
        <f t="shared" si="0"/>
        <v>19</v>
      </c>
      <c r="S41" s="23"/>
      <c r="T41" s="24"/>
      <c r="U41" s="61"/>
      <c r="V41" s="62"/>
      <c r="W41" s="63"/>
    </row>
    <row r="42" spans="1:23" s="50" customFormat="1" ht="39.950000000000003" customHeight="1">
      <c r="A42" s="25"/>
      <c r="B42" s="19"/>
      <c r="C42" s="20"/>
      <c r="D42" s="21"/>
      <c r="E42" s="22"/>
      <c r="F42" s="19"/>
      <c r="G42" s="22"/>
      <c r="H42" s="52"/>
      <c r="I42" s="88"/>
      <c r="J42" s="88"/>
      <c r="K42" s="53"/>
      <c r="L42" s="53"/>
      <c r="M42" s="53"/>
      <c r="N42" s="53"/>
      <c r="O42" s="19"/>
      <c r="P42" s="19"/>
      <c r="Q42" s="81"/>
      <c r="R42" s="23">
        <f t="shared" si="0"/>
        <v>19</v>
      </c>
      <c r="S42" s="23"/>
      <c r="T42" s="24"/>
      <c r="U42" s="61"/>
      <c r="V42" s="62"/>
      <c r="W42" s="63"/>
    </row>
    <row r="43" spans="1:23" s="50" customFormat="1" ht="39.950000000000003" customHeight="1">
      <c r="A43" s="25"/>
      <c r="B43" s="19"/>
      <c r="C43" s="20"/>
      <c r="D43" s="21"/>
      <c r="E43" s="22"/>
      <c r="F43" s="19"/>
      <c r="G43" s="22"/>
      <c r="H43" s="52"/>
      <c r="I43" s="88"/>
      <c r="J43" s="88"/>
      <c r="K43" s="53"/>
      <c r="L43" s="53"/>
      <c r="M43" s="53"/>
      <c r="N43" s="53"/>
      <c r="O43" s="19"/>
      <c r="P43" s="19"/>
      <c r="Q43" s="81"/>
      <c r="R43" s="23">
        <f t="shared" si="0"/>
        <v>19</v>
      </c>
      <c r="S43" s="23"/>
      <c r="T43" s="24"/>
      <c r="U43" s="61"/>
      <c r="V43" s="62"/>
      <c r="W43" s="63"/>
    </row>
    <row r="44" spans="1:23" s="50" customFormat="1" ht="39.950000000000003" customHeight="1">
      <c r="A44" s="18"/>
      <c r="B44" s="19"/>
      <c r="C44" s="20"/>
      <c r="D44" s="21"/>
      <c r="E44" s="22"/>
      <c r="F44" s="19"/>
      <c r="G44" s="22"/>
      <c r="H44" s="52"/>
      <c r="I44" s="88"/>
      <c r="J44" s="88"/>
      <c r="K44" s="53"/>
      <c r="L44" s="53"/>
      <c r="M44" s="53"/>
      <c r="N44" s="53"/>
      <c r="O44" s="19"/>
      <c r="P44" s="19"/>
      <c r="Q44" s="81"/>
      <c r="R44" s="23">
        <f t="shared" si="0"/>
        <v>19</v>
      </c>
      <c r="S44" s="23"/>
      <c r="T44" s="24"/>
      <c r="U44" s="61"/>
      <c r="V44" s="62"/>
      <c r="W44" s="63"/>
    </row>
    <row r="45" spans="1:23" s="50" customFormat="1" ht="39.950000000000003" customHeight="1">
      <c r="A45" s="18"/>
      <c r="B45" s="19"/>
      <c r="C45" s="20"/>
      <c r="D45" s="21"/>
      <c r="E45" s="22"/>
      <c r="F45" s="19"/>
      <c r="G45" s="22"/>
      <c r="H45" s="52"/>
      <c r="I45" s="88"/>
      <c r="J45" s="88"/>
      <c r="K45" s="53"/>
      <c r="L45" s="53"/>
      <c r="M45" s="53"/>
      <c r="N45" s="53"/>
      <c r="O45" s="19"/>
      <c r="P45" s="19"/>
      <c r="Q45" s="81"/>
      <c r="R45" s="23">
        <f t="shared" si="0"/>
        <v>19</v>
      </c>
      <c r="S45" s="23"/>
      <c r="T45" s="24"/>
      <c r="U45" s="61"/>
      <c r="V45" s="62"/>
      <c r="W45" s="63"/>
    </row>
    <row r="46" spans="1:23" s="50" customFormat="1" ht="39.950000000000003" customHeight="1">
      <c r="A46" s="18"/>
      <c r="B46" s="19"/>
      <c r="C46" s="20"/>
      <c r="D46" s="21"/>
      <c r="E46" s="22"/>
      <c r="F46" s="22"/>
      <c r="G46" s="22"/>
      <c r="H46" s="52"/>
      <c r="I46" s="53"/>
      <c r="J46" s="53"/>
      <c r="K46" s="53"/>
      <c r="L46" s="53"/>
      <c r="M46" s="53"/>
      <c r="N46" s="53"/>
      <c r="O46" s="19"/>
      <c r="P46" s="22"/>
      <c r="Q46" s="81"/>
      <c r="R46" s="23">
        <f t="shared" si="0"/>
        <v>19</v>
      </c>
      <c r="S46" s="23"/>
      <c r="T46" s="24"/>
      <c r="U46" s="61"/>
      <c r="V46" s="62"/>
      <c r="W46" s="63"/>
    </row>
    <row r="47" spans="1:23" s="50" customFormat="1" ht="39.950000000000003" customHeight="1">
      <c r="A47" s="25"/>
      <c r="B47" s="19"/>
      <c r="C47" s="20"/>
      <c r="D47" s="21"/>
      <c r="E47" s="22"/>
      <c r="F47" s="22"/>
      <c r="G47" s="22"/>
      <c r="H47" s="52"/>
      <c r="I47" s="53"/>
      <c r="J47" s="53"/>
      <c r="K47" s="53"/>
      <c r="L47" s="53"/>
      <c r="M47" s="53"/>
      <c r="N47" s="53"/>
      <c r="O47" s="20"/>
      <c r="P47" s="22"/>
      <c r="Q47" s="81"/>
      <c r="R47" s="23">
        <f t="shared" si="0"/>
        <v>19</v>
      </c>
      <c r="S47" s="23"/>
      <c r="T47" s="24"/>
      <c r="U47" s="61"/>
      <c r="V47" s="62"/>
      <c r="W47" s="63"/>
    </row>
    <row r="48" spans="1:23" s="50" customFormat="1" ht="39.950000000000003" customHeight="1">
      <c r="A48" s="18"/>
      <c r="B48" s="19"/>
      <c r="C48" s="20"/>
      <c r="D48" s="21"/>
      <c r="E48" s="22"/>
      <c r="F48" s="22"/>
      <c r="G48" s="22"/>
      <c r="H48" s="52"/>
      <c r="I48" s="53"/>
      <c r="J48" s="53"/>
      <c r="K48" s="53"/>
      <c r="L48" s="53"/>
      <c r="M48" s="53"/>
      <c r="N48" s="53"/>
      <c r="O48" s="19"/>
      <c r="P48" s="22"/>
      <c r="Q48" s="81"/>
      <c r="R48" s="23">
        <f t="shared" si="0"/>
        <v>19</v>
      </c>
      <c r="S48" s="23"/>
      <c r="T48" s="24"/>
      <c r="U48" s="61"/>
      <c r="V48" s="62"/>
      <c r="W48" s="63"/>
    </row>
    <row r="49" spans="1:23" s="50" customFormat="1" ht="39.950000000000003" customHeight="1">
      <c r="A49" s="25"/>
      <c r="B49" s="19"/>
      <c r="C49" s="20"/>
      <c r="D49" s="21"/>
      <c r="E49" s="22"/>
      <c r="F49" s="22"/>
      <c r="G49" s="22"/>
      <c r="H49" s="52"/>
      <c r="I49" s="53"/>
      <c r="J49" s="53"/>
      <c r="K49" s="53"/>
      <c r="L49" s="53"/>
      <c r="M49" s="53"/>
      <c r="N49" s="53"/>
      <c r="O49" s="19"/>
      <c r="P49" s="22"/>
      <c r="Q49" s="81"/>
      <c r="R49" s="23">
        <f t="shared" si="0"/>
        <v>19</v>
      </c>
      <c r="S49" s="23"/>
      <c r="T49" s="24"/>
      <c r="U49" s="61"/>
      <c r="V49" s="62"/>
      <c r="W49" s="63"/>
    </row>
    <row r="50" spans="1:23" s="50" customFormat="1" ht="39.950000000000003" customHeight="1">
      <c r="A50" s="18"/>
      <c r="B50" s="19"/>
      <c r="C50" s="20"/>
      <c r="D50" s="21"/>
      <c r="E50" s="22"/>
      <c r="F50" s="22"/>
      <c r="G50" s="22"/>
      <c r="H50" s="52"/>
      <c r="I50" s="53"/>
      <c r="J50" s="53"/>
      <c r="K50" s="53"/>
      <c r="L50" s="53"/>
      <c r="M50" s="53"/>
      <c r="N50" s="53"/>
      <c r="O50" s="19"/>
      <c r="P50" s="22"/>
      <c r="Q50" s="81"/>
      <c r="R50" s="23">
        <f t="shared" si="0"/>
        <v>19</v>
      </c>
      <c r="S50" s="23"/>
      <c r="T50" s="24"/>
      <c r="U50" s="61"/>
      <c r="V50" s="62"/>
      <c r="W50" s="63"/>
    </row>
    <row r="51" spans="1:23" s="50" customFormat="1" ht="39.950000000000003" customHeight="1">
      <c r="A51" s="18"/>
      <c r="B51" s="19"/>
      <c r="C51" s="20"/>
      <c r="D51" s="21"/>
      <c r="E51" s="22"/>
      <c r="F51" s="22"/>
      <c r="G51" s="22"/>
      <c r="H51" s="52"/>
      <c r="I51" s="53"/>
      <c r="J51" s="53"/>
      <c r="K51" s="53"/>
      <c r="L51" s="53"/>
      <c r="M51" s="53"/>
      <c r="N51" s="53"/>
      <c r="O51" s="19"/>
      <c r="P51" s="22"/>
      <c r="Q51" s="81"/>
      <c r="R51" s="23">
        <f t="shared" si="0"/>
        <v>19</v>
      </c>
      <c r="S51" s="23"/>
      <c r="T51" s="24"/>
      <c r="U51" s="61"/>
      <c r="V51" s="62"/>
      <c r="W51" s="63"/>
    </row>
    <row r="52" spans="1:23" s="50" customFormat="1" ht="30.75" customHeight="1">
      <c r="A52" s="18"/>
      <c r="B52" s="19"/>
      <c r="C52" s="20"/>
      <c r="D52" s="21"/>
      <c r="E52" s="22"/>
      <c r="F52" s="22"/>
      <c r="G52" s="22"/>
      <c r="H52" s="52"/>
      <c r="I52" s="53"/>
      <c r="J52" s="53"/>
      <c r="K52" s="53"/>
      <c r="L52" s="53"/>
      <c r="M52" s="53"/>
      <c r="N52" s="53"/>
      <c r="O52" s="19"/>
      <c r="P52" s="22"/>
      <c r="Q52" s="81"/>
      <c r="R52" s="23">
        <f t="shared" si="0"/>
        <v>19</v>
      </c>
      <c r="S52" s="23"/>
      <c r="T52" s="24"/>
      <c r="U52" s="61"/>
      <c r="V52" s="62"/>
      <c r="W52" s="63"/>
    </row>
    <row r="53" spans="1:23" s="50" customFormat="1" ht="30.75" customHeight="1">
      <c r="A53" s="25"/>
      <c r="B53" s="19"/>
      <c r="C53" s="20"/>
      <c r="D53" s="21"/>
      <c r="E53" s="22"/>
      <c r="F53" s="22"/>
      <c r="G53" s="22"/>
      <c r="H53" s="52"/>
      <c r="I53" s="53"/>
      <c r="J53" s="53"/>
      <c r="K53" s="53"/>
      <c r="L53" s="53"/>
      <c r="M53" s="53"/>
      <c r="N53" s="53"/>
      <c r="O53" s="19"/>
      <c r="P53" s="22"/>
      <c r="Q53" s="81"/>
      <c r="R53" s="23">
        <f t="shared" si="0"/>
        <v>19</v>
      </c>
      <c r="S53" s="23"/>
      <c r="T53" s="24"/>
      <c r="U53" s="61"/>
      <c r="V53" s="62"/>
      <c r="W53" s="63"/>
    </row>
    <row r="54" spans="1:23" s="50" customFormat="1" ht="30.75" customHeight="1">
      <c r="A54" s="18"/>
      <c r="B54" s="19"/>
      <c r="C54" s="20"/>
      <c r="D54" s="21"/>
      <c r="E54" s="22"/>
      <c r="F54" s="22"/>
      <c r="G54" s="22"/>
      <c r="H54" s="52"/>
      <c r="I54" s="53"/>
      <c r="J54" s="53"/>
      <c r="K54" s="53"/>
      <c r="L54" s="53"/>
      <c r="M54" s="53"/>
      <c r="N54" s="53"/>
      <c r="O54" s="19"/>
      <c r="P54" s="22"/>
      <c r="Q54" s="81"/>
      <c r="R54" s="23">
        <f t="shared" si="0"/>
        <v>19</v>
      </c>
      <c r="S54" s="23"/>
      <c r="T54" s="24"/>
      <c r="U54" s="61"/>
      <c r="V54" s="62"/>
      <c r="W54" s="63"/>
    </row>
    <row r="55" spans="1:23" s="50" customFormat="1" ht="30.75" customHeight="1">
      <c r="A55" s="18"/>
      <c r="B55" s="19"/>
      <c r="C55" s="20"/>
      <c r="D55" s="21"/>
      <c r="E55" s="22"/>
      <c r="F55" s="22"/>
      <c r="G55" s="22"/>
      <c r="H55" s="52"/>
      <c r="I55" s="53"/>
      <c r="J55" s="53"/>
      <c r="K55" s="53"/>
      <c r="L55" s="53"/>
      <c r="M55" s="53"/>
      <c r="N55" s="53"/>
      <c r="O55" s="19"/>
      <c r="P55" s="22"/>
      <c r="Q55" s="81"/>
      <c r="R55" s="23">
        <f t="shared" si="0"/>
        <v>19</v>
      </c>
      <c r="S55" s="23"/>
      <c r="T55" s="24"/>
      <c r="U55" s="61"/>
      <c r="V55" s="62"/>
      <c r="W55" s="63"/>
    </row>
    <row r="56" spans="1:23" s="50" customFormat="1" ht="30.75" customHeight="1">
      <c r="A56" s="18"/>
      <c r="B56" s="19"/>
      <c r="C56" s="20"/>
      <c r="D56" s="21"/>
      <c r="E56" s="22"/>
      <c r="F56" s="22"/>
      <c r="G56" s="22"/>
      <c r="H56" s="52"/>
      <c r="I56" s="53"/>
      <c r="J56" s="53"/>
      <c r="K56" s="53"/>
      <c r="L56" s="53"/>
      <c r="M56" s="53"/>
      <c r="N56" s="53"/>
      <c r="O56" s="19"/>
      <c r="P56" s="22"/>
      <c r="Q56" s="81"/>
      <c r="R56" s="23">
        <f t="shared" si="0"/>
        <v>19</v>
      </c>
      <c r="S56" s="23"/>
      <c r="T56" s="24"/>
      <c r="U56" s="61"/>
      <c r="V56" s="62"/>
      <c r="W56" s="63"/>
    </row>
    <row r="57" spans="1:23" s="50" customFormat="1" ht="30.75" customHeight="1">
      <c r="A57" s="25"/>
      <c r="B57" s="19"/>
      <c r="C57" s="20"/>
      <c r="D57" s="21"/>
      <c r="E57" s="22"/>
      <c r="F57" s="22"/>
      <c r="G57" s="22"/>
      <c r="H57" s="52"/>
      <c r="I57" s="53"/>
      <c r="J57" s="53"/>
      <c r="K57" s="53"/>
      <c r="L57" s="53"/>
      <c r="M57" s="53"/>
      <c r="N57" s="53"/>
      <c r="O57" s="19"/>
      <c r="P57" s="22"/>
      <c r="Q57" s="81"/>
      <c r="R57" s="23">
        <f t="shared" si="0"/>
        <v>19</v>
      </c>
      <c r="S57" s="23"/>
      <c r="T57" s="24"/>
      <c r="U57" s="61"/>
      <c r="V57" s="62"/>
      <c r="W57" s="63"/>
    </row>
    <row r="58" spans="1:23" s="50" customFormat="1" ht="30.75" customHeight="1">
      <c r="A58" s="18"/>
      <c r="B58" s="19"/>
      <c r="C58" s="20"/>
      <c r="D58" s="21"/>
      <c r="E58" s="22"/>
      <c r="F58" s="22"/>
      <c r="G58" s="22"/>
      <c r="H58" s="52"/>
      <c r="I58" s="53"/>
      <c r="J58" s="53"/>
      <c r="K58" s="53"/>
      <c r="L58" s="53"/>
      <c r="M58" s="53"/>
      <c r="N58" s="53"/>
      <c r="O58" s="19"/>
      <c r="P58" s="22"/>
      <c r="Q58" s="81"/>
      <c r="R58" s="23">
        <f t="shared" si="0"/>
        <v>19</v>
      </c>
      <c r="S58" s="23"/>
      <c r="T58" s="24"/>
      <c r="U58" s="61"/>
      <c r="V58" s="62"/>
      <c r="W58" s="63"/>
    </row>
    <row r="59" spans="1:23" s="50" customFormat="1" ht="30.75" customHeight="1">
      <c r="A59" s="18"/>
      <c r="B59" s="19"/>
      <c r="C59" s="20"/>
      <c r="D59" s="21"/>
      <c r="E59" s="22"/>
      <c r="F59" s="22"/>
      <c r="G59" s="22"/>
      <c r="H59" s="52"/>
      <c r="I59" s="53"/>
      <c r="J59" s="53"/>
      <c r="K59" s="53"/>
      <c r="L59" s="53"/>
      <c r="M59" s="53"/>
      <c r="N59" s="53"/>
      <c r="O59" s="19"/>
      <c r="P59" s="22"/>
      <c r="Q59" s="81"/>
      <c r="R59" s="23">
        <f t="shared" si="0"/>
        <v>19</v>
      </c>
      <c r="S59" s="23"/>
      <c r="T59" s="24"/>
      <c r="U59" s="61"/>
      <c r="V59" s="62"/>
      <c r="W59" s="63"/>
    </row>
    <row r="60" spans="1:23" s="50" customFormat="1" ht="30.75" customHeight="1">
      <c r="A60" s="18"/>
      <c r="B60" s="19"/>
      <c r="C60" s="20"/>
      <c r="D60" s="21"/>
      <c r="E60" s="22"/>
      <c r="F60" s="22"/>
      <c r="G60" s="22"/>
      <c r="H60" s="52"/>
      <c r="I60" s="53"/>
      <c r="J60" s="53"/>
      <c r="K60" s="53"/>
      <c r="L60" s="53"/>
      <c r="M60" s="53"/>
      <c r="N60" s="53"/>
      <c r="O60" s="19"/>
      <c r="P60" s="22"/>
      <c r="Q60" s="81"/>
      <c r="R60" s="23">
        <f t="shared" si="0"/>
        <v>19</v>
      </c>
      <c r="S60" s="23"/>
      <c r="T60" s="24"/>
      <c r="U60" s="61"/>
      <c r="V60" s="62"/>
      <c r="W60" s="63"/>
    </row>
    <row r="61" spans="1:23" s="50" customFormat="1" ht="30.75" customHeight="1">
      <c r="A61" s="25"/>
      <c r="B61" s="19"/>
      <c r="C61" s="20"/>
      <c r="D61" s="21"/>
      <c r="E61" s="22"/>
      <c r="F61" s="22"/>
      <c r="G61" s="22"/>
      <c r="H61" s="52"/>
      <c r="I61" s="53"/>
      <c r="J61" s="53"/>
      <c r="K61" s="53"/>
      <c r="L61" s="53"/>
      <c r="M61" s="53"/>
      <c r="N61" s="53"/>
      <c r="O61" s="20"/>
      <c r="P61" s="22"/>
      <c r="Q61" s="81"/>
      <c r="R61" s="23">
        <f t="shared" si="0"/>
        <v>19</v>
      </c>
      <c r="S61" s="23"/>
      <c r="T61" s="24"/>
      <c r="U61" s="61"/>
      <c r="V61" s="62"/>
      <c r="W61" s="63"/>
    </row>
    <row r="62" spans="1:23" s="50" customFormat="1" ht="30.75" customHeight="1">
      <c r="A62" s="18"/>
      <c r="B62" s="19"/>
      <c r="C62" s="20"/>
      <c r="D62" s="21"/>
      <c r="E62" s="22"/>
      <c r="F62" s="22"/>
      <c r="G62" s="22"/>
      <c r="H62" s="52"/>
      <c r="I62" s="53"/>
      <c r="J62" s="53"/>
      <c r="K62" s="53"/>
      <c r="L62" s="53"/>
      <c r="M62" s="53"/>
      <c r="N62" s="53"/>
      <c r="O62" s="19"/>
      <c r="P62" s="22"/>
      <c r="Q62" s="81"/>
      <c r="R62" s="23">
        <f t="shared" si="0"/>
        <v>19</v>
      </c>
      <c r="S62" s="23"/>
      <c r="T62" s="24"/>
      <c r="U62" s="61"/>
      <c r="V62" s="62"/>
      <c r="W62" s="63"/>
    </row>
    <row r="63" spans="1:23" s="50" customFormat="1" ht="30.75" customHeight="1">
      <c r="A63" s="18"/>
      <c r="B63" s="19"/>
      <c r="C63" s="20"/>
      <c r="D63" s="21"/>
      <c r="E63" s="22"/>
      <c r="F63" s="22"/>
      <c r="G63" s="22"/>
      <c r="H63" s="52"/>
      <c r="I63" s="53"/>
      <c r="J63" s="53"/>
      <c r="K63" s="53"/>
      <c r="L63" s="53"/>
      <c r="M63" s="53"/>
      <c r="N63" s="53"/>
      <c r="O63" s="19"/>
      <c r="P63" s="22"/>
      <c r="Q63" s="81"/>
      <c r="R63" s="23">
        <f t="shared" si="0"/>
        <v>19</v>
      </c>
      <c r="S63" s="23"/>
      <c r="T63" s="24"/>
      <c r="U63" s="61"/>
      <c r="V63" s="62"/>
      <c r="W63" s="63"/>
    </row>
    <row r="64" spans="1:23" s="50" customFormat="1" ht="30.75" customHeight="1">
      <c r="A64" s="18"/>
      <c r="B64" s="19"/>
      <c r="C64" s="20"/>
      <c r="D64" s="21"/>
      <c r="E64" s="22"/>
      <c r="F64" s="22"/>
      <c r="G64" s="22"/>
      <c r="H64" s="52"/>
      <c r="I64" s="53"/>
      <c r="J64" s="53"/>
      <c r="K64" s="53"/>
      <c r="L64" s="53"/>
      <c r="M64" s="53"/>
      <c r="N64" s="53"/>
      <c r="O64" s="19"/>
      <c r="P64" s="22"/>
      <c r="Q64" s="81"/>
      <c r="R64" s="23">
        <f t="shared" si="0"/>
        <v>19</v>
      </c>
      <c r="S64" s="23"/>
      <c r="T64" s="24"/>
      <c r="U64" s="61"/>
      <c r="V64" s="62"/>
      <c r="W64" s="63"/>
    </row>
    <row r="65" spans="1:23" s="50" customFormat="1" ht="30.75" customHeight="1">
      <c r="A65" s="18"/>
      <c r="B65" s="19"/>
      <c r="C65" s="20"/>
      <c r="D65" s="21"/>
      <c r="E65" s="22"/>
      <c r="F65" s="22"/>
      <c r="G65" s="22"/>
      <c r="H65" s="52"/>
      <c r="I65" s="53"/>
      <c r="J65" s="53"/>
      <c r="K65" s="53"/>
      <c r="L65" s="53"/>
      <c r="M65" s="53"/>
      <c r="N65" s="53"/>
      <c r="O65" s="19"/>
      <c r="P65" s="22"/>
      <c r="Q65" s="81"/>
      <c r="R65" s="23">
        <f t="shared" si="0"/>
        <v>19</v>
      </c>
      <c r="S65" s="23"/>
      <c r="T65" s="24"/>
      <c r="U65" s="61"/>
      <c r="V65" s="62"/>
      <c r="W65" s="63"/>
    </row>
    <row r="66" spans="1:23" s="50" customFormat="1" ht="30.75" customHeight="1">
      <c r="A66" s="18"/>
      <c r="B66" s="19"/>
      <c r="C66" s="20"/>
      <c r="D66" s="21"/>
      <c r="E66" s="22"/>
      <c r="F66" s="22"/>
      <c r="G66" s="22"/>
      <c r="H66" s="52"/>
      <c r="I66" s="53"/>
      <c r="J66" s="53"/>
      <c r="K66" s="53"/>
      <c r="L66" s="53"/>
      <c r="M66" s="53"/>
      <c r="N66" s="53"/>
      <c r="O66" s="19"/>
      <c r="P66" s="22"/>
      <c r="Q66" s="81"/>
      <c r="R66" s="23">
        <f t="shared" si="0"/>
        <v>19</v>
      </c>
      <c r="S66" s="23"/>
      <c r="T66" s="24"/>
      <c r="U66" s="61"/>
      <c r="V66" s="62"/>
      <c r="W66" s="63"/>
    </row>
    <row r="67" spans="1:23" s="50" customFormat="1" ht="30.75" customHeight="1">
      <c r="A67" s="25"/>
      <c r="B67" s="19"/>
      <c r="C67" s="20"/>
      <c r="D67" s="21"/>
      <c r="E67" s="22"/>
      <c r="F67" s="22"/>
      <c r="G67" s="22"/>
      <c r="H67" s="52"/>
      <c r="I67" s="53"/>
      <c r="J67" s="53"/>
      <c r="K67" s="53"/>
      <c r="L67" s="53"/>
      <c r="M67" s="53"/>
      <c r="N67" s="53"/>
      <c r="O67" s="19"/>
      <c r="P67" s="22"/>
      <c r="Q67" s="81"/>
      <c r="R67" s="23">
        <f t="shared" si="0"/>
        <v>19</v>
      </c>
      <c r="S67" s="23"/>
      <c r="T67" s="24"/>
      <c r="U67" s="61"/>
      <c r="V67" s="62"/>
      <c r="W67" s="63"/>
    </row>
    <row r="68" spans="1:23" s="50" customFormat="1" ht="30.75" customHeight="1">
      <c r="A68" s="18"/>
      <c r="B68" s="19"/>
      <c r="C68" s="20"/>
      <c r="D68" s="21"/>
      <c r="E68" s="22"/>
      <c r="F68" s="22"/>
      <c r="G68" s="22"/>
      <c r="H68" s="52"/>
      <c r="I68" s="53"/>
      <c r="J68" s="53"/>
      <c r="K68" s="53"/>
      <c r="L68" s="53"/>
      <c r="M68" s="53"/>
      <c r="N68" s="53"/>
      <c r="O68" s="19"/>
      <c r="P68" s="22"/>
      <c r="Q68" s="81"/>
      <c r="R68" s="23">
        <f t="shared" si="0"/>
        <v>19</v>
      </c>
      <c r="S68" s="23"/>
      <c r="T68" s="24"/>
      <c r="U68" s="61"/>
      <c r="V68" s="62"/>
      <c r="W68" s="63"/>
    </row>
    <row r="69" spans="1:23" s="50" customFormat="1" ht="30.75" customHeight="1">
      <c r="A69" s="18"/>
      <c r="B69" s="19"/>
      <c r="C69" s="20"/>
      <c r="D69" s="21"/>
      <c r="E69" s="22"/>
      <c r="F69" s="22"/>
      <c r="G69" s="22"/>
      <c r="H69" s="52"/>
      <c r="I69" s="53"/>
      <c r="J69" s="53"/>
      <c r="K69" s="53"/>
      <c r="L69" s="53"/>
      <c r="M69" s="53"/>
      <c r="N69" s="53"/>
      <c r="O69" s="20"/>
      <c r="P69" s="22"/>
      <c r="Q69" s="81"/>
      <c r="R69" s="23">
        <f t="shared" si="0"/>
        <v>19</v>
      </c>
      <c r="S69" s="23"/>
      <c r="T69" s="24"/>
      <c r="U69" s="61"/>
      <c r="V69" s="62"/>
      <c r="W69" s="63"/>
    </row>
    <row r="70" spans="1:23" s="50" customFormat="1" ht="30.75" customHeight="1">
      <c r="A70" s="28"/>
      <c r="B70" s="19"/>
      <c r="C70" s="20"/>
      <c r="D70" s="21"/>
      <c r="E70" s="22"/>
      <c r="F70" s="22"/>
      <c r="G70" s="22"/>
      <c r="H70" s="52"/>
      <c r="I70" s="53"/>
      <c r="J70" s="53"/>
      <c r="K70" s="53"/>
      <c r="L70" s="53"/>
      <c r="M70" s="53"/>
      <c r="N70" s="53"/>
      <c r="O70" s="27"/>
      <c r="P70" s="22"/>
      <c r="Q70" s="81"/>
      <c r="R70" s="23">
        <f t="shared" si="0"/>
        <v>19</v>
      </c>
      <c r="S70" s="23"/>
      <c r="T70" s="24"/>
      <c r="U70" s="61"/>
      <c r="V70" s="62"/>
      <c r="W70" s="63"/>
    </row>
    <row r="71" spans="1:23" s="50" customFormat="1" ht="30.75" customHeight="1">
      <c r="A71" s="28"/>
      <c r="B71" s="19"/>
      <c r="C71" s="20"/>
      <c r="D71" s="21"/>
      <c r="E71" s="22"/>
      <c r="F71" s="22"/>
      <c r="G71" s="22"/>
      <c r="H71" s="52"/>
      <c r="I71" s="53"/>
      <c r="J71" s="53"/>
      <c r="K71" s="53"/>
      <c r="L71" s="53"/>
      <c r="M71" s="53"/>
      <c r="N71" s="53"/>
      <c r="O71" s="27"/>
      <c r="P71" s="22"/>
      <c r="Q71" s="81"/>
      <c r="R71" s="23">
        <f t="shared" si="0"/>
        <v>19</v>
      </c>
      <c r="S71" s="23"/>
      <c r="T71" s="24"/>
      <c r="U71" s="61"/>
      <c r="V71" s="62"/>
      <c r="W71" s="63"/>
    </row>
    <row r="72" spans="1:23" s="50" customFormat="1" ht="30.75" customHeight="1">
      <c r="A72" s="28"/>
      <c r="B72" s="19"/>
      <c r="C72" s="20"/>
      <c r="D72" s="21"/>
      <c r="E72" s="22"/>
      <c r="F72" s="22"/>
      <c r="G72" s="22"/>
      <c r="H72" s="52"/>
      <c r="I72" s="53"/>
      <c r="J72" s="53"/>
      <c r="K72" s="53"/>
      <c r="L72" s="53"/>
      <c r="M72" s="53"/>
      <c r="N72" s="53"/>
      <c r="O72" s="27"/>
      <c r="P72" s="22"/>
      <c r="Q72" s="81"/>
      <c r="R72" s="23">
        <f t="shared" ref="R72:R135" si="1">IF(C72=C71,R71,R71+1)</f>
        <v>19</v>
      </c>
      <c r="S72" s="23"/>
      <c r="T72" s="24"/>
      <c r="U72" s="61"/>
      <c r="V72" s="62"/>
      <c r="W72" s="63"/>
    </row>
    <row r="73" spans="1:23" s="50" customFormat="1" ht="30.75" customHeight="1">
      <c r="A73" s="26"/>
      <c r="B73" s="19"/>
      <c r="C73" s="20"/>
      <c r="D73" s="21"/>
      <c r="E73" s="22"/>
      <c r="F73" s="22"/>
      <c r="G73" s="22"/>
      <c r="H73" s="52"/>
      <c r="I73" s="53"/>
      <c r="J73" s="53"/>
      <c r="K73" s="53"/>
      <c r="L73" s="53"/>
      <c r="M73" s="53"/>
      <c r="N73" s="53"/>
      <c r="O73" s="27"/>
      <c r="P73" s="22"/>
      <c r="Q73" s="81"/>
      <c r="R73" s="23">
        <f t="shared" si="1"/>
        <v>19</v>
      </c>
      <c r="S73" s="23"/>
      <c r="T73" s="24"/>
      <c r="U73" s="61"/>
      <c r="V73" s="62"/>
      <c r="W73" s="63"/>
    </row>
    <row r="74" spans="1:23" s="50" customFormat="1" ht="30.75" customHeight="1">
      <c r="A74" s="28"/>
      <c r="B74" s="19"/>
      <c r="C74" s="20"/>
      <c r="D74" s="21"/>
      <c r="E74" s="22"/>
      <c r="F74" s="22"/>
      <c r="G74" s="22"/>
      <c r="H74" s="52"/>
      <c r="I74" s="53"/>
      <c r="J74" s="53"/>
      <c r="K74" s="53"/>
      <c r="L74" s="53"/>
      <c r="M74" s="53"/>
      <c r="N74" s="53"/>
      <c r="O74" s="27"/>
      <c r="P74" s="22"/>
      <c r="Q74" s="81"/>
      <c r="R74" s="23">
        <f t="shared" si="1"/>
        <v>19</v>
      </c>
      <c r="S74" s="23"/>
      <c r="T74" s="24"/>
      <c r="U74" s="61"/>
      <c r="V74" s="62"/>
      <c r="W74" s="63"/>
    </row>
    <row r="75" spans="1:23" s="50" customFormat="1" ht="30.75" customHeight="1">
      <c r="A75" s="28"/>
      <c r="B75" s="19"/>
      <c r="C75" s="20"/>
      <c r="D75" s="21"/>
      <c r="E75" s="22"/>
      <c r="F75" s="22"/>
      <c r="G75" s="22"/>
      <c r="H75" s="52"/>
      <c r="I75" s="53"/>
      <c r="J75" s="53"/>
      <c r="K75" s="53"/>
      <c r="L75" s="53"/>
      <c r="M75" s="53"/>
      <c r="N75" s="53"/>
      <c r="O75" s="27"/>
      <c r="P75" s="22"/>
      <c r="Q75" s="81"/>
      <c r="R75" s="23">
        <f t="shared" si="1"/>
        <v>19</v>
      </c>
      <c r="S75" s="23"/>
      <c r="T75" s="24"/>
      <c r="U75" s="61"/>
      <c r="V75" s="62"/>
      <c r="W75" s="63"/>
    </row>
    <row r="76" spans="1:23" s="50" customFormat="1" ht="30.75" customHeight="1">
      <c r="A76" s="28"/>
      <c r="B76" s="19"/>
      <c r="C76" s="20"/>
      <c r="D76" s="21"/>
      <c r="E76" s="22"/>
      <c r="F76" s="22"/>
      <c r="G76" s="22"/>
      <c r="H76" s="52"/>
      <c r="I76" s="53"/>
      <c r="J76" s="53"/>
      <c r="K76" s="53"/>
      <c r="L76" s="53"/>
      <c r="M76" s="53"/>
      <c r="N76" s="53"/>
      <c r="O76" s="27"/>
      <c r="P76" s="22"/>
      <c r="Q76" s="81"/>
      <c r="R76" s="23">
        <f t="shared" si="1"/>
        <v>19</v>
      </c>
      <c r="S76" s="23"/>
      <c r="T76" s="24"/>
      <c r="U76" s="61"/>
      <c r="V76" s="62"/>
      <c r="W76" s="63"/>
    </row>
    <row r="77" spans="1:23" s="50" customFormat="1" ht="30.75" customHeight="1">
      <c r="A77" s="28"/>
      <c r="B77" s="19"/>
      <c r="C77" s="20"/>
      <c r="D77" s="21"/>
      <c r="E77" s="22"/>
      <c r="F77" s="22"/>
      <c r="G77" s="22"/>
      <c r="H77" s="52"/>
      <c r="I77" s="53"/>
      <c r="J77" s="53"/>
      <c r="K77" s="53"/>
      <c r="L77" s="53"/>
      <c r="M77" s="53"/>
      <c r="N77" s="53"/>
      <c r="O77" s="27"/>
      <c r="P77" s="22"/>
      <c r="Q77" s="81"/>
      <c r="R77" s="23">
        <f t="shared" si="1"/>
        <v>19</v>
      </c>
      <c r="S77" s="23"/>
      <c r="T77" s="24"/>
      <c r="U77" s="61"/>
      <c r="V77" s="62"/>
      <c r="W77" s="63"/>
    </row>
    <row r="78" spans="1:23" s="50" customFormat="1" ht="30.75" customHeight="1">
      <c r="A78" s="28"/>
      <c r="B78" s="19"/>
      <c r="C78" s="20"/>
      <c r="D78" s="21"/>
      <c r="E78" s="22"/>
      <c r="F78" s="22"/>
      <c r="G78" s="22"/>
      <c r="H78" s="52"/>
      <c r="I78" s="53"/>
      <c r="J78" s="53"/>
      <c r="K78" s="53"/>
      <c r="L78" s="53"/>
      <c r="M78" s="53"/>
      <c r="N78" s="53"/>
      <c r="O78" s="27"/>
      <c r="P78" s="22"/>
      <c r="Q78" s="81"/>
      <c r="R78" s="23">
        <f t="shared" si="1"/>
        <v>19</v>
      </c>
      <c r="S78" s="23"/>
      <c r="T78" s="24"/>
      <c r="U78" s="61"/>
      <c r="V78" s="62"/>
      <c r="W78" s="63"/>
    </row>
    <row r="79" spans="1:23" s="50" customFormat="1" ht="30.75" customHeight="1">
      <c r="A79" s="26"/>
      <c r="B79" s="19"/>
      <c r="C79" s="20"/>
      <c r="D79" s="21"/>
      <c r="E79" s="22"/>
      <c r="F79" s="22"/>
      <c r="G79" s="22"/>
      <c r="H79" s="52"/>
      <c r="I79" s="53"/>
      <c r="J79" s="53"/>
      <c r="K79" s="53"/>
      <c r="L79" s="53"/>
      <c r="M79" s="53"/>
      <c r="N79" s="53"/>
      <c r="O79" s="27"/>
      <c r="P79" s="22"/>
      <c r="Q79" s="81"/>
      <c r="R79" s="23">
        <f t="shared" si="1"/>
        <v>19</v>
      </c>
      <c r="S79" s="23"/>
      <c r="T79" s="24"/>
      <c r="U79" s="61"/>
      <c r="V79" s="62"/>
      <c r="W79" s="63"/>
    </row>
    <row r="80" spans="1:23" s="50" customFormat="1" ht="30.75" customHeight="1">
      <c r="A80" s="28"/>
      <c r="B80" s="19"/>
      <c r="C80" s="20"/>
      <c r="D80" s="21"/>
      <c r="E80" s="22"/>
      <c r="F80" s="22"/>
      <c r="G80" s="22"/>
      <c r="H80" s="52"/>
      <c r="I80" s="53"/>
      <c r="J80" s="53"/>
      <c r="K80" s="53"/>
      <c r="L80" s="53"/>
      <c r="M80" s="53"/>
      <c r="N80" s="53"/>
      <c r="O80" s="27"/>
      <c r="P80" s="22"/>
      <c r="Q80" s="81"/>
      <c r="R80" s="23">
        <f t="shared" si="1"/>
        <v>19</v>
      </c>
      <c r="S80" s="23"/>
      <c r="T80" s="24"/>
      <c r="U80" s="61"/>
      <c r="V80" s="62"/>
      <c r="W80" s="63"/>
    </row>
    <row r="81" spans="1:23" s="50" customFormat="1" ht="30.75" customHeight="1">
      <c r="A81" s="28"/>
      <c r="B81" s="19"/>
      <c r="C81" s="20"/>
      <c r="D81" s="21"/>
      <c r="E81" s="22"/>
      <c r="F81" s="22"/>
      <c r="G81" s="22"/>
      <c r="H81" s="52"/>
      <c r="I81" s="53"/>
      <c r="J81" s="53"/>
      <c r="K81" s="53"/>
      <c r="L81" s="53"/>
      <c r="M81" s="53"/>
      <c r="N81" s="53"/>
      <c r="O81" s="27"/>
      <c r="P81" s="22"/>
      <c r="Q81" s="81"/>
      <c r="R81" s="23">
        <f t="shared" si="1"/>
        <v>19</v>
      </c>
      <c r="S81" s="23"/>
      <c r="T81" s="24"/>
      <c r="U81" s="61"/>
      <c r="V81" s="62"/>
      <c r="W81" s="63"/>
    </row>
    <row r="82" spans="1:23" s="50" customFormat="1" ht="30.75" customHeight="1">
      <c r="A82" s="28"/>
      <c r="B82" s="19"/>
      <c r="C82" s="20"/>
      <c r="D82" s="21"/>
      <c r="E82" s="22"/>
      <c r="F82" s="22"/>
      <c r="G82" s="22"/>
      <c r="H82" s="52"/>
      <c r="I82" s="53"/>
      <c r="J82" s="53"/>
      <c r="K82" s="53"/>
      <c r="L82" s="53"/>
      <c r="M82" s="53"/>
      <c r="N82" s="53"/>
      <c r="O82" s="27"/>
      <c r="P82" s="22"/>
      <c r="Q82" s="81"/>
      <c r="R82" s="23">
        <f t="shared" si="1"/>
        <v>19</v>
      </c>
      <c r="S82" s="23"/>
      <c r="T82" s="24"/>
      <c r="U82" s="61"/>
      <c r="V82" s="62"/>
      <c r="W82" s="63"/>
    </row>
    <row r="83" spans="1:23" s="50" customFormat="1" ht="30.75" customHeight="1">
      <c r="A83" s="26"/>
      <c r="B83" s="19"/>
      <c r="C83" s="20"/>
      <c r="D83" s="21"/>
      <c r="E83" s="22"/>
      <c r="F83" s="22"/>
      <c r="G83" s="22"/>
      <c r="H83" s="52"/>
      <c r="I83" s="53"/>
      <c r="J83" s="53"/>
      <c r="K83" s="53"/>
      <c r="L83" s="53"/>
      <c r="M83" s="53"/>
      <c r="N83" s="53"/>
      <c r="O83" s="27"/>
      <c r="P83" s="22"/>
      <c r="Q83" s="81"/>
      <c r="R83" s="23">
        <f t="shared" si="1"/>
        <v>19</v>
      </c>
      <c r="S83" s="23"/>
      <c r="T83" s="24"/>
      <c r="U83" s="61"/>
      <c r="V83" s="62"/>
      <c r="W83" s="63"/>
    </row>
    <row r="84" spans="1:23" s="50" customFormat="1" ht="30.75" customHeight="1">
      <c r="A84" s="28"/>
      <c r="B84" s="19"/>
      <c r="C84" s="20"/>
      <c r="D84" s="21"/>
      <c r="E84" s="22"/>
      <c r="F84" s="22"/>
      <c r="G84" s="22"/>
      <c r="H84" s="52"/>
      <c r="I84" s="53"/>
      <c r="J84" s="53"/>
      <c r="K84" s="53"/>
      <c r="L84" s="53"/>
      <c r="M84" s="53"/>
      <c r="N84" s="53"/>
      <c r="O84" s="27"/>
      <c r="P84" s="22"/>
      <c r="R84" s="23">
        <f t="shared" si="1"/>
        <v>19</v>
      </c>
      <c r="S84" s="23"/>
      <c r="T84" s="24"/>
      <c r="U84" s="61"/>
      <c r="V84" s="62"/>
      <c r="W84" s="63"/>
    </row>
    <row r="85" spans="1:23" s="50" customFormat="1" ht="30.75" customHeight="1">
      <c r="A85" s="28"/>
      <c r="B85" s="19"/>
      <c r="C85" s="20"/>
      <c r="D85" s="21"/>
      <c r="E85" s="22"/>
      <c r="F85" s="22"/>
      <c r="G85" s="22"/>
      <c r="H85" s="52"/>
      <c r="I85" s="53"/>
      <c r="J85" s="53"/>
      <c r="K85" s="53"/>
      <c r="L85" s="53"/>
      <c r="M85" s="53"/>
      <c r="N85" s="53"/>
      <c r="O85" s="27"/>
      <c r="P85" s="22"/>
      <c r="R85" s="23">
        <f t="shared" si="1"/>
        <v>19</v>
      </c>
      <c r="S85" s="23"/>
      <c r="T85" s="24"/>
      <c r="U85" s="61"/>
      <c r="V85" s="62"/>
      <c r="W85" s="63"/>
    </row>
    <row r="86" spans="1:23" s="50" customFormat="1" ht="30.75" customHeight="1">
      <c r="A86" s="28"/>
      <c r="B86" s="19"/>
      <c r="C86" s="20"/>
      <c r="D86" s="21"/>
      <c r="E86" s="22"/>
      <c r="F86" s="22"/>
      <c r="G86" s="22"/>
      <c r="H86" s="52"/>
      <c r="I86" s="53"/>
      <c r="J86" s="53"/>
      <c r="K86" s="53"/>
      <c r="L86" s="53"/>
      <c r="M86" s="53"/>
      <c r="N86" s="53"/>
      <c r="O86" s="27"/>
      <c r="P86" s="22"/>
      <c r="R86" s="23">
        <f t="shared" si="1"/>
        <v>19</v>
      </c>
      <c r="S86" s="23"/>
      <c r="T86" s="24"/>
      <c r="U86" s="61"/>
      <c r="V86" s="62"/>
      <c r="W86" s="63"/>
    </row>
    <row r="87" spans="1:23" s="50" customFormat="1" ht="30.75" customHeight="1">
      <c r="A87" s="28"/>
      <c r="B87" s="19"/>
      <c r="C87" s="20"/>
      <c r="D87" s="21"/>
      <c r="E87" s="22"/>
      <c r="F87" s="22"/>
      <c r="G87" s="22"/>
      <c r="H87" s="52"/>
      <c r="I87" s="53"/>
      <c r="J87" s="53"/>
      <c r="K87" s="53"/>
      <c r="L87" s="53"/>
      <c r="M87" s="53"/>
      <c r="N87" s="53"/>
      <c r="O87" s="27"/>
      <c r="P87" s="22"/>
      <c r="R87" s="23">
        <f t="shared" si="1"/>
        <v>19</v>
      </c>
      <c r="S87" s="23"/>
      <c r="T87" s="24"/>
      <c r="U87" s="61"/>
      <c r="V87" s="62"/>
      <c r="W87" s="63"/>
    </row>
    <row r="88" spans="1:23" s="50" customFormat="1" ht="30.75" customHeight="1">
      <c r="A88" s="26"/>
      <c r="B88" s="19"/>
      <c r="C88" s="20"/>
      <c r="D88" s="21"/>
      <c r="E88" s="22"/>
      <c r="F88" s="22"/>
      <c r="G88" s="22"/>
      <c r="H88" s="52"/>
      <c r="I88" s="53"/>
      <c r="J88" s="53"/>
      <c r="K88" s="53"/>
      <c r="L88" s="53"/>
      <c r="M88" s="53"/>
      <c r="N88" s="53"/>
      <c r="O88" s="27"/>
      <c r="P88" s="22"/>
      <c r="R88" s="23">
        <f t="shared" si="1"/>
        <v>19</v>
      </c>
      <c r="S88" s="23"/>
      <c r="T88" s="24"/>
      <c r="U88" s="61"/>
      <c r="V88" s="62"/>
      <c r="W88" s="63"/>
    </row>
    <row r="89" spans="1:23" s="50" customFormat="1" ht="30.75" customHeight="1">
      <c r="A89" s="28"/>
      <c r="B89" s="19"/>
      <c r="C89" s="20"/>
      <c r="D89" s="21"/>
      <c r="E89" s="22"/>
      <c r="F89" s="22"/>
      <c r="G89" s="22"/>
      <c r="H89" s="52"/>
      <c r="I89" s="53"/>
      <c r="J89" s="53"/>
      <c r="K89" s="53"/>
      <c r="L89" s="53"/>
      <c r="M89" s="53"/>
      <c r="N89" s="53"/>
      <c r="O89" s="27"/>
      <c r="P89" s="22"/>
      <c r="R89" s="23">
        <f t="shared" si="1"/>
        <v>19</v>
      </c>
      <c r="S89" s="23"/>
      <c r="T89" s="24"/>
      <c r="U89" s="61"/>
      <c r="V89" s="62"/>
      <c r="W89" s="63"/>
    </row>
    <row r="90" spans="1:23" s="50" customFormat="1" ht="30.75" customHeight="1">
      <c r="A90" s="28"/>
      <c r="B90" s="19"/>
      <c r="C90" s="20"/>
      <c r="D90" s="21"/>
      <c r="E90" s="22"/>
      <c r="F90" s="22"/>
      <c r="G90" s="22"/>
      <c r="H90" s="52"/>
      <c r="I90" s="53"/>
      <c r="J90" s="53"/>
      <c r="K90" s="53"/>
      <c r="L90" s="53"/>
      <c r="M90" s="53"/>
      <c r="N90" s="53"/>
      <c r="O90" s="27"/>
      <c r="P90" s="22"/>
      <c r="R90" s="23">
        <f t="shared" si="1"/>
        <v>19</v>
      </c>
      <c r="S90" s="23"/>
      <c r="T90" s="24"/>
      <c r="U90" s="61"/>
      <c r="V90" s="62"/>
      <c r="W90" s="63"/>
    </row>
    <row r="91" spans="1:23" s="50" customFormat="1" ht="30.75" customHeight="1">
      <c r="A91" s="28"/>
      <c r="B91" s="19"/>
      <c r="C91" s="20"/>
      <c r="D91" s="21"/>
      <c r="E91" s="22"/>
      <c r="F91" s="22"/>
      <c r="G91" s="22"/>
      <c r="H91" s="52"/>
      <c r="I91" s="53"/>
      <c r="J91" s="53"/>
      <c r="K91" s="53"/>
      <c r="L91" s="53"/>
      <c r="M91" s="53"/>
      <c r="N91" s="53"/>
      <c r="O91" s="27"/>
      <c r="P91" s="22"/>
      <c r="R91" s="23">
        <f t="shared" si="1"/>
        <v>19</v>
      </c>
      <c r="S91" s="23"/>
      <c r="T91" s="24"/>
      <c r="U91" s="61"/>
      <c r="V91" s="62"/>
      <c r="W91" s="63"/>
    </row>
    <row r="92" spans="1:23" s="50" customFormat="1" ht="30.75" customHeight="1">
      <c r="A92" s="28"/>
      <c r="B92" s="19"/>
      <c r="C92" s="20"/>
      <c r="D92" s="21"/>
      <c r="E92" s="22"/>
      <c r="F92" s="22"/>
      <c r="G92" s="22"/>
      <c r="H92" s="52"/>
      <c r="I92" s="53"/>
      <c r="J92" s="53"/>
      <c r="K92" s="53"/>
      <c r="L92" s="53"/>
      <c r="M92" s="53"/>
      <c r="N92" s="53"/>
      <c r="O92" s="27"/>
      <c r="P92" s="22"/>
      <c r="R92" s="23">
        <f t="shared" si="1"/>
        <v>19</v>
      </c>
      <c r="S92" s="23"/>
      <c r="T92" s="24"/>
      <c r="U92" s="61"/>
      <c r="V92" s="62"/>
      <c r="W92" s="63"/>
    </row>
    <row r="93" spans="1:23" s="50" customFormat="1" ht="30.75" customHeight="1">
      <c r="A93" s="28"/>
      <c r="B93" s="19"/>
      <c r="C93" s="20"/>
      <c r="D93" s="21"/>
      <c r="E93" s="22"/>
      <c r="F93" s="22"/>
      <c r="G93" s="22"/>
      <c r="H93" s="52"/>
      <c r="I93" s="53"/>
      <c r="J93" s="53"/>
      <c r="K93" s="53"/>
      <c r="L93" s="53"/>
      <c r="M93" s="53"/>
      <c r="N93" s="53"/>
      <c r="O93" s="27"/>
      <c r="P93" s="22"/>
      <c r="R93" s="23">
        <f t="shared" si="1"/>
        <v>19</v>
      </c>
      <c r="S93" s="23"/>
      <c r="T93" s="24"/>
      <c r="U93" s="61"/>
      <c r="V93" s="62"/>
      <c r="W93" s="63"/>
    </row>
    <row r="94" spans="1:23" s="50" customFormat="1" ht="30.75" customHeight="1">
      <c r="A94" s="28"/>
      <c r="B94" s="19"/>
      <c r="C94" s="20"/>
      <c r="D94" s="21"/>
      <c r="E94" s="22"/>
      <c r="F94" s="22"/>
      <c r="G94" s="22"/>
      <c r="H94" s="52"/>
      <c r="I94" s="53"/>
      <c r="J94" s="53"/>
      <c r="K94" s="53"/>
      <c r="L94" s="53"/>
      <c r="M94" s="53"/>
      <c r="N94" s="53"/>
      <c r="O94" s="27"/>
      <c r="P94" s="22"/>
      <c r="R94" s="23">
        <f t="shared" si="1"/>
        <v>19</v>
      </c>
      <c r="S94" s="23"/>
      <c r="T94" s="24"/>
      <c r="U94" s="61"/>
      <c r="V94" s="62"/>
      <c r="W94" s="63"/>
    </row>
    <row r="95" spans="1:23" s="50" customFormat="1" ht="30.75" customHeight="1">
      <c r="A95" s="28"/>
      <c r="B95" s="19"/>
      <c r="C95" s="20"/>
      <c r="D95" s="21"/>
      <c r="E95" s="22"/>
      <c r="F95" s="22"/>
      <c r="G95" s="22"/>
      <c r="H95" s="52"/>
      <c r="I95" s="53"/>
      <c r="J95" s="53"/>
      <c r="K95" s="53"/>
      <c r="L95" s="53"/>
      <c r="M95" s="53"/>
      <c r="N95" s="53"/>
      <c r="O95" s="27"/>
      <c r="P95" s="22"/>
      <c r="R95" s="23">
        <f t="shared" si="1"/>
        <v>19</v>
      </c>
      <c r="S95" s="23"/>
      <c r="T95" s="24"/>
      <c r="U95" s="61"/>
      <c r="V95" s="62"/>
      <c r="W95" s="63"/>
    </row>
    <row r="96" spans="1:23" s="50" customFormat="1" ht="30.75" customHeight="1">
      <c r="A96" s="28"/>
      <c r="B96" s="19"/>
      <c r="C96" s="20"/>
      <c r="D96" s="21"/>
      <c r="E96" s="22"/>
      <c r="F96" s="22"/>
      <c r="G96" s="22"/>
      <c r="H96" s="52"/>
      <c r="I96" s="53"/>
      <c r="J96" s="53"/>
      <c r="K96" s="53"/>
      <c r="L96" s="53"/>
      <c r="M96" s="53"/>
      <c r="N96" s="53"/>
      <c r="O96" s="27"/>
      <c r="P96" s="22"/>
      <c r="R96" s="23">
        <f t="shared" si="1"/>
        <v>19</v>
      </c>
      <c r="S96" s="23"/>
      <c r="T96" s="24"/>
      <c r="U96" s="61"/>
      <c r="V96" s="62"/>
      <c r="W96" s="63"/>
    </row>
    <row r="97" spans="1:23" s="50" customFormat="1" ht="30.75" customHeight="1">
      <c r="A97" s="28"/>
      <c r="B97" s="19"/>
      <c r="C97" s="20"/>
      <c r="D97" s="21"/>
      <c r="E97" s="22"/>
      <c r="F97" s="22"/>
      <c r="G97" s="22"/>
      <c r="H97" s="52"/>
      <c r="I97" s="53"/>
      <c r="J97" s="53"/>
      <c r="K97" s="53"/>
      <c r="L97" s="53"/>
      <c r="M97" s="53"/>
      <c r="N97" s="53"/>
      <c r="O97" s="27"/>
      <c r="P97" s="22"/>
      <c r="R97" s="23">
        <f t="shared" si="1"/>
        <v>19</v>
      </c>
      <c r="S97" s="23"/>
      <c r="T97" s="24"/>
      <c r="U97" s="61"/>
      <c r="V97" s="62"/>
      <c r="W97" s="63"/>
    </row>
    <row r="98" spans="1:23" s="50" customFormat="1" ht="30.75" customHeight="1">
      <c r="A98" s="26"/>
      <c r="B98" s="19"/>
      <c r="C98" s="20"/>
      <c r="D98" s="21"/>
      <c r="E98" s="22"/>
      <c r="F98" s="22"/>
      <c r="G98" s="22"/>
      <c r="H98" s="52"/>
      <c r="I98" s="53"/>
      <c r="J98" s="53"/>
      <c r="K98" s="53"/>
      <c r="L98" s="53"/>
      <c r="M98" s="53"/>
      <c r="N98" s="53"/>
      <c r="O98" s="27"/>
      <c r="P98" s="22"/>
      <c r="R98" s="23">
        <f t="shared" si="1"/>
        <v>19</v>
      </c>
      <c r="S98" s="23"/>
      <c r="T98" s="24"/>
      <c r="U98" s="61"/>
      <c r="V98" s="62"/>
      <c r="W98" s="63"/>
    </row>
    <row r="99" spans="1:23" s="50" customFormat="1" ht="30.75" customHeight="1">
      <c r="A99" s="28"/>
      <c r="B99" s="19"/>
      <c r="C99" s="20"/>
      <c r="D99" s="21"/>
      <c r="E99" s="22"/>
      <c r="F99" s="22"/>
      <c r="G99" s="22"/>
      <c r="H99" s="52"/>
      <c r="I99" s="53"/>
      <c r="J99" s="53"/>
      <c r="K99" s="53"/>
      <c r="L99" s="53"/>
      <c r="M99" s="53"/>
      <c r="N99" s="53"/>
      <c r="O99" s="27"/>
      <c r="P99" s="22"/>
      <c r="R99" s="23">
        <f t="shared" si="1"/>
        <v>19</v>
      </c>
      <c r="S99" s="23"/>
      <c r="T99" s="24"/>
      <c r="U99" s="61"/>
      <c r="V99" s="62"/>
      <c r="W99" s="63"/>
    </row>
    <row r="100" spans="1:23" s="50" customFormat="1" ht="30.75" customHeight="1">
      <c r="A100" s="28"/>
      <c r="B100" s="19"/>
      <c r="C100" s="20"/>
      <c r="D100" s="21"/>
      <c r="E100" s="22"/>
      <c r="F100" s="22"/>
      <c r="G100" s="22"/>
      <c r="H100" s="52"/>
      <c r="I100" s="53"/>
      <c r="J100" s="53"/>
      <c r="K100" s="53"/>
      <c r="L100" s="53"/>
      <c r="M100" s="53"/>
      <c r="N100" s="53"/>
      <c r="O100" s="27"/>
      <c r="P100" s="22"/>
      <c r="R100" s="23">
        <f t="shared" si="1"/>
        <v>19</v>
      </c>
      <c r="S100" s="23"/>
      <c r="T100" s="24"/>
      <c r="U100" s="61"/>
      <c r="V100" s="62"/>
      <c r="W100" s="63"/>
    </row>
    <row r="101" spans="1:23" s="50" customFormat="1" ht="30.75" customHeight="1">
      <c r="A101" s="28"/>
      <c r="B101" s="19"/>
      <c r="C101" s="20"/>
      <c r="D101" s="21"/>
      <c r="E101" s="22"/>
      <c r="F101" s="22"/>
      <c r="G101" s="22"/>
      <c r="H101" s="52"/>
      <c r="I101" s="53"/>
      <c r="J101" s="53"/>
      <c r="K101" s="53"/>
      <c r="L101" s="53"/>
      <c r="M101" s="53"/>
      <c r="N101" s="53"/>
      <c r="O101" s="27"/>
      <c r="P101" s="22"/>
      <c r="R101" s="23">
        <f t="shared" si="1"/>
        <v>19</v>
      </c>
      <c r="S101" s="23"/>
      <c r="T101" s="24"/>
      <c r="U101" s="61"/>
      <c r="V101" s="62"/>
      <c r="W101" s="63"/>
    </row>
    <row r="102" spans="1:23" s="50" customFormat="1" ht="30.75" customHeight="1">
      <c r="A102" s="28"/>
      <c r="B102" s="19"/>
      <c r="C102" s="20"/>
      <c r="D102" s="21"/>
      <c r="E102" s="22"/>
      <c r="F102" s="22"/>
      <c r="G102" s="22"/>
      <c r="H102" s="52"/>
      <c r="I102" s="53"/>
      <c r="J102" s="53"/>
      <c r="K102" s="53"/>
      <c r="L102" s="53"/>
      <c r="M102" s="53"/>
      <c r="N102" s="53"/>
      <c r="O102" s="27"/>
      <c r="P102" s="22"/>
      <c r="R102" s="23">
        <f t="shared" si="1"/>
        <v>19</v>
      </c>
      <c r="S102" s="23"/>
      <c r="T102" s="24"/>
      <c r="U102" s="61"/>
      <c r="V102" s="62"/>
      <c r="W102" s="63"/>
    </row>
    <row r="103" spans="1:23" s="50" customFormat="1" ht="30.75" customHeight="1">
      <c r="A103" s="28"/>
      <c r="B103" s="19"/>
      <c r="C103" s="20"/>
      <c r="D103" s="21"/>
      <c r="E103" s="22"/>
      <c r="F103" s="22"/>
      <c r="G103" s="22"/>
      <c r="H103" s="52"/>
      <c r="I103" s="53"/>
      <c r="J103" s="53"/>
      <c r="K103" s="53"/>
      <c r="L103" s="53"/>
      <c r="M103" s="53"/>
      <c r="N103" s="53"/>
      <c r="O103" s="27"/>
      <c r="P103" s="22"/>
      <c r="R103" s="23">
        <f t="shared" si="1"/>
        <v>19</v>
      </c>
      <c r="S103" s="23"/>
      <c r="T103" s="24"/>
      <c r="U103" s="61"/>
      <c r="V103" s="62"/>
      <c r="W103" s="63"/>
    </row>
    <row r="104" spans="1:23" s="50" customFormat="1" ht="30.75" customHeight="1">
      <c r="A104" s="28"/>
      <c r="B104" s="19"/>
      <c r="C104" s="20"/>
      <c r="D104" s="21"/>
      <c r="E104" s="22"/>
      <c r="F104" s="22"/>
      <c r="G104" s="22"/>
      <c r="H104" s="52"/>
      <c r="I104" s="53"/>
      <c r="J104" s="53"/>
      <c r="K104" s="53"/>
      <c r="L104" s="53"/>
      <c r="M104" s="53"/>
      <c r="N104" s="53"/>
      <c r="O104" s="27"/>
      <c r="P104" s="22"/>
      <c r="R104" s="23">
        <f t="shared" si="1"/>
        <v>19</v>
      </c>
      <c r="S104" s="23"/>
      <c r="T104" s="24"/>
      <c r="U104" s="61"/>
      <c r="V104" s="62"/>
      <c r="W104" s="63"/>
    </row>
    <row r="105" spans="1:23" s="50" customFormat="1" ht="30.75" customHeight="1">
      <c r="A105" s="28"/>
      <c r="B105" s="19"/>
      <c r="C105" s="20"/>
      <c r="D105" s="21"/>
      <c r="E105" s="22"/>
      <c r="F105" s="22"/>
      <c r="G105" s="22"/>
      <c r="H105" s="52"/>
      <c r="I105" s="53"/>
      <c r="J105" s="53"/>
      <c r="K105" s="53"/>
      <c r="L105" s="53"/>
      <c r="M105" s="53"/>
      <c r="N105" s="53"/>
      <c r="O105" s="27"/>
      <c r="P105" s="22"/>
      <c r="R105" s="23">
        <f t="shared" si="1"/>
        <v>19</v>
      </c>
      <c r="S105" s="23"/>
      <c r="T105" s="24"/>
      <c r="U105" s="61"/>
      <c r="V105" s="62"/>
      <c r="W105" s="63"/>
    </row>
    <row r="106" spans="1:23" s="50" customFormat="1" ht="30.75" customHeight="1">
      <c r="A106" s="26"/>
      <c r="B106" s="19"/>
      <c r="C106" s="20"/>
      <c r="D106" s="21"/>
      <c r="E106" s="22"/>
      <c r="F106" s="22"/>
      <c r="G106" s="22"/>
      <c r="H106" s="52"/>
      <c r="I106" s="53"/>
      <c r="J106" s="53"/>
      <c r="K106" s="53"/>
      <c r="L106" s="53"/>
      <c r="M106" s="53"/>
      <c r="N106" s="53"/>
      <c r="O106" s="27"/>
      <c r="P106" s="22"/>
      <c r="R106" s="23">
        <f t="shared" si="1"/>
        <v>19</v>
      </c>
      <c r="S106" s="23"/>
      <c r="T106" s="24"/>
      <c r="U106" s="61"/>
      <c r="V106" s="62"/>
      <c r="W106" s="63"/>
    </row>
    <row r="107" spans="1:23" s="50" customFormat="1" ht="30.75" customHeight="1">
      <c r="A107" s="18"/>
      <c r="B107" s="19"/>
      <c r="C107" s="20"/>
      <c r="D107" s="21"/>
      <c r="E107" s="22"/>
      <c r="F107" s="22"/>
      <c r="G107" s="22"/>
      <c r="H107" s="52"/>
      <c r="I107" s="53"/>
      <c r="J107" s="53"/>
      <c r="K107" s="53"/>
      <c r="L107" s="53"/>
      <c r="M107" s="53"/>
      <c r="N107" s="53"/>
      <c r="O107" s="27"/>
      <c r="P107" s="22"/>
      <c r="R107" s="23">
        <f t="shared" si="1"/>
        <v>19</v>
      </c>
      <c r="S107" s="23"/>
      <c r="T107" s="24"/>
      <c r="U107" s="61"/>
      <c r="V107" s="62"/>
      <c r="W107" s="63"/>
    </row>
    <row r="108" spans="1:23" s="50" customFormat="1" ht="30.75" customHeight="1">
      <c r="A108" s="18"/>
      <c r="B108" s="19"/>
      <c r="C108" s="20"/>
      <c r="D108" s="21"/>
      <c r="E108" s="22"/>
      <c r="F108" s="22"/>
      <c r="G108" s="22"/>
      <c r="H108" s="52"/>
      <c r="I108" s="53"/>
      <c r="J108" s="53"/>
      <c r="K108" s="53"/>
      <c r="L108" s="53"/>
      <c r="M108" s="53"/>
      <c r="N108" s="53"/>
      <c r="O108" s="19"/>
      <c r="P108" s="22"/>
      <c r="R108" s="23">
        <f t="shared" si="1"/>
        <v>19</v>
      </c>
      <c r="S108" s="23"/>
      <c r="T108" s="24"/>
      <c r="U108" s="61"/>
      <c r="V108" s="62"/>
      <c r="W108" s="63"/>
    </row>
    <row r="109" spans="1:23" s="50" customFormat="1" ht="30.75" customHeight="1">
      <c r="A109" s="18"/>
      <c r="B109" s="19"/>
      <c r="C109" s="20"/>
      <c r="D109" s="21"/>
      <c r="E109" s="22"/>
      <c r="F109" s="22"/>
      <c r="G109" s="22"/>
      <c r="H109" s="52"/>
      <c r="I109" s="53"/>
      <c r="J109" s="53"/>
      <c r="K109" s="53"/>
      <c r="L109" s="53"/>
      <c r="M109" s="53"/>
      <c r="N109" s="53"/>
      <c r="O109" s="19"/>
      <c r="P109" s="22"/>
      <c r="R109" s="23">
        <f t="shared" si="1"/>
        <v>19</v>
      </c>
      <c r="S109" s="23"/>
      <c r="T109" s="24"/>
      <c r="U109" s="61"/>
      <c r="V109" s="62"/>
      <c r="W109" s="63"/>
    </row>
    <row r="110" spans="1:23" s="50" customFormat="1" ht="30.75" customHeight="1">
      <c r="A110" s="25"/>
      <c r="B110" s="19"/>
      <c r="C110" s="20"/>
      <c r="D110" s="21"/>
      <c r="E110" s="22"/>
      <c r="F110" s="22"/>
      <c r="G110" s="22"/>
      <c r="H110" s="52"/>
      <c r="I110" s="53"/>
      <c r="J110" s="53"/>
      <c r="K110" s="53"/>
      <c r="L110" s="53"/>
      <c r="M110" s="53"/>
      <c r="N110" s="53"/>
      <c r="O110" s="19"/>
      <c r="P110" s="22"/>
      <c r="R110" s="23">
        <f t="shared" si="1"/>
        <v>19</v>
      </c>
      <c r="S110" s="23"/>
      <c r="T110" s="24"/>
      <c r="U110" s="61"/>
      <c r="V110" s="62"/>
      <c r="W110" s="63"/>
    </row>
    <row r="111" spans="1:23" s="50" customFormat="1" ht="30.75" customHeight="1">
      <c r="A111" s="18"/>
      <c r="B111" s="19"/>
      <c r="C111" s="20"/>
      <c r="D111" s="21"/>
      <c r="E111" s="22"/>
      <c r="F111" s="22"/>
      <c r="G111" s="22"/>
      <c r="H111" s="52"/>
      <c r="I111" s="53"/>
      <c r="J111" s="53"/>
      <c r="K111" s="53"/>
      <c r="L111" s="53"/>
      <c r="M111" s="53"/>
      <c r="N111" s="53"/>
      <c r="O111" s="19"/>
      <c r="P111" s="22"/>
      <c r="R111" s="23">
        <f t="shared" si="1"/>
        <v>19</v>
      </c>
      <c r="S111" s="23"/>
      <c r="T111" s="24"/>
      <c r="U111" s="61"/>
      <c r="V111" s="62"/>
      <c r="W111" s="63"/>
    </row>
    <row r="112" spans="1:23" s="31" customFormat="1" ht="30.75" customHeight="1">
      <c r="A112" s="76"/>
      <c r="B112" s="29"/>
      <c r="C112" s="30"/>
      <c r="E112" s="29"/>
      <c r="F112" s="29"/>
      <c r="G112" s="29"/>
      <c r="H112" s="77"/>
      <c r="I112" s="78"/>
      <c r="J112" s="78"/>
      <c r="K112" s="78"/>
      <c r="L112" s="78"/>
      <c r="M112" s="78"/>
      <c r="N112" s="78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6"/>
      <c r="B113" s="29"/>
      <c r="C113" s="30"/>
      <c r="E113" s="29"/>
      <c r="F113" s="29"/>
      <c r="G113" s="29"/>
      <c r="H113" s="77"/>
      <c r="I113" s="78"/>
      <c r="J113" s="78"/>
      <c r="K113" s="78"/>
      <c r="L113" s="78"/>
      <c r="M113" s="78"/>
      <c r="N113" s="78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6"/>
      <c r="B114" s="29"/>
      <c r="C114" s="30"/>
      <c r="E114" s="29"/>
      <c r="F114" s="29"/>
      <c r="G114" s="29"/>
      <c r="H114" s="77"/>
      <c r="I114" s="78"/>
      <c r="J114" s="78"/>
      <c r="K114" s="78"/>
      <c r="L114" s="78"/>
      <c r="M114" s="78"/>
      <c r="N114" s="78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6"/>
      <c r="B115" s="29"/>
      <c r="C115" s="30"/>
      <c r="E115" s="29"/>
      <c r="F115" s="29"/>
      <c r="G115" s="29"/>
      <c r="H115" s="77"/>
      <c r="I115" s="78"/>
      <c r="J115" s="78"/>
      <c r="K115" s="78"/>
      <c r="L115" s="78"/>
      <c r="M115" s="78"/>
      <c r="N115" s="78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9"/>
      <c r="B116" s="29"/>
      <c r="C116" s="30"/>
      <c r="E116" s="29"/>
      <c r="F116" s="29"/>
      <c r="G116" s="29"/>
      <c r="H116" s="77"/>
      <c r="I116" s="78"/>
      <c r="J116" s="78"/>
      <c r="K116" s="78"/>
      <c r="L116" s="78"/>
      <c r="M116" s="78"/>
      <c r="N116" s="78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80"/>
      <c r="B117" s="33"/>
      <c r="C117" s="34"/>
      <c r="E117" s="33"/>
      <c r="F117" s="33"/>
      <c r="G117" s="33"/>
      <c r="H117" s="82"/>
      <c r="I117" s="83"/>
      <c r="J117" s="83"/>
      <c r="K117" s="83"/>
      <c r="L117" s="83"/>
      <c r="M117" s="83"/>
      <c r="N117" s="83"/>
      <c r="O117" s="33"/>
      <c r="P117" s="33"/>
      <c r="R117" s="23">
        <f t="shared" si="1"/>
        <v>19</v>
      </c>
      <c r="U117" s="64"/>
    </row>
    <row r="118" spans="1:21" ht="20.25" customHeight="1">
      <c r="A118" s="66"/>
      <c r="R118" s="23">
        <f t="shared" si="1"/>
        <v>19</v>
      </c>
    </row>
    <row r="119" spans="1:21" ht="20.25" customHeight="1">
      <c r="A119" s="66"/>
      <c r="R119" s="23">
        <f t="shared" si="1"/>
        <v>19</v>
      </c>
    </row>
    <row r="120" spans="1:21" ht="20.25" customHeight="1">
      <c r="A120" s="66"/>
      <c r="R120" s="23">
        <f t="shared" si="1"/>
        <v>19</v>
      </c>
    </row>
    <row r="121" spans="1:21" ht="20.25" customHeight="1">
      <c r="A121" s="66"/>
      <c r="R121" s="23">
        <f t="shared" si="1"/>
        <v>19</v>
      </c>
    </row>
    <row r="122" spans="1:21" ht="20.25" customHeight="1">
      <c r="A122" s="65"/>
      <c r="R122" s="23">
        <f t="shared" si="1"/>
        <v>19</v>
      </c>
    </row>
    <row r="123" spans="1:21" ht="20.25" customHeight="1">
      <c r="A123" s="66"/>
      <c r="R123" s="23">
        <f t="shared" si="1"/>
        <v>19</v>
      </c>
    </row>
    <row r="124" spans="1:21" ht="20.25" customHeight="1">
      <c r="A124" s="66"/>
      <c r="R124" s="23">
        <f t="shared" si="1"/>
        <v>19</v>
      </c>
    </row>
    <row r="125" spans="1:21" ht="20.25" customHeight="1">
      <c r="A125" s="66"/>
      <c r="R125" s="23">
        <f t="shared" si="1"/>
        <v>19</v>
      </c>
    </row>
    <row r="126" spans="1:21" ht="20.25" customHeight="1">
      <c r="A126" s="66"/>
      <c r="R126" s="23">
        <f t="shared" si="1"/>
        <v>19</v>
      </c>
    </row>
    <row r="127" spans="1:21" ht="20.25" customHeight="1">
      <c r="A127" s="66"/>
      <c r="R127" s="23">
        <f t="shared" si="1"/>
        <v>19</v>
      </c>
    </row>
    <row r="128" spans="1:21" ht="20.25" customHeight="1">
      <c r="A128" s="66"/>
      <c r="R128" s="23">
        <f t="shared" si="1"/>
        <v>19</v>
      </c>
    </row>
    <row r="129" spans="1:18" ht="20.25" customHeight="1">
      <c r="A129" s="66"/>
      <c r="R129" s="23">
        <f t="shared" si="1"/>
        <v>19</v>
      </c>
    </row>
    <row r="130" spans="1:18" ht="20.25" customHeight="1">
      <c r="A130" s="65"/>
      <c r="R130" s="23">
        <f t="shared" si="1"/>
        <v>19</v>
      </c>
    </row>
    <row r="131" spans="1:18" ht="20.25" customHeight="1">
      <c r="A131" s="66"/>
      <c r="R131" s="23">
        <f t="shared" si="1"/>
        <v>19</v>
      </c>
    </row>
    <row r="132" spans="1:18" ht="20.25" customHeight="1">
      <c r="A132" s="66"/>
      <c r="R132" s="23">
        <f t="shared" si="1"/>
        <v>19</v>
      </c>
    </row>
    <row r="133" spans="1:18" ht="20.25" customHeight="1">
      <c r="A133" s="66"/>
      <c r="R133" s="23">
        <f t="shared" si="1"/>
        <v>19</v>
      </c>
    </row>
    <row r="134" spans="1:18" ht="20.25" customHeight="1">
      <c r="A134" s="66"/>
      <c r="R134" s="23">
        <f t="shared" si="1"/>
        <v>19</v>
      </c>
    </row>
    <row r="135" spans="1:18" ht="20.25" customHeight="1">
      <c r="A135" s="66"/>
      <c r="R135" s="23">
        <f t="shared" si="1"/>
        <v>19</v>
      </c>
    </row>
    <row r="136" spans="1:18" ht="20.25" customHeight="1">
      <c r="A136" s="66"/>
      <c r="R136" s="23">
        <f t="shared" ref="R136:R156" si="2">IF(C136=C135,R135,R135+1)</f>
        <v>19</v>
      </c>
    </row>
    <row r="137" spans="1:18" ht="20.25" customHeight="1">
      <c r="A137" s="65"/>
      <c r="R137" s="23">
        <f t="shared" si="2"/>
        <v>19</v>
      </c>
    </row>
    <row r="138" spans="1:18" ht="20.25" customHeight="1">
      <c r="A138" s="66"/>
      <c r="R138" s="23">
        <f t="shared" si="2"/>
        <v>19</v>
      </c>
    </row>
    <row r="139" spans="1:18" ht="20.25" customHeight="1">
      <c r="A139" s="66"/>
      <c r="R139" s="23">
        <f t="shared" si="2"/>
        <v>19</v>
      </c>
    </row>
    <row r="140" spans="1:18" ht="20.25" customHeight="1">
      <c r="A140" s="66"/>
      <c r="R140" s="23">
        <f t="shared" si="2"/>
        <v>19</v>
      </c>
    </row>
    <row r="141" spans="1:18" ht="20.25" customHeight="1">
      <c r="A141" s="66"/>
      <c r="R141" s="23">
        <f t="shared" si="2"/>
        <v>19</v>
      </c>
    </row>
    <row r="142" spans="1:18" ht="20.25" customHeight="1">
      <c r="A142" s="66"/>
      <c r="R142" s="23">
        <f t="shared" si="2"/>
        <v>19</v>
      </c>
    </row>
    <row r="143" spans="1:18" ht="20.25" customHeight="1">
      <c r="A143" s="66"/>
      <c r="R143" s="23">
        <f t="shared" si="2"/>
        <v>19</v>
      </c>
    </row>
    <row r="144" spans="1:18" ht="20.25" customHeight="1">
      <c r="A144" s="65"/>
      <c r="R144" s="23">
        <f t="shared" si="2"/>
        <v>19</v>
      </c>
    </row>
    <row r="145" spans="1:18" ht="20.25" customHeight="1">
      <c r="A145" s="66"/>
      <c r="R145" s="23">
        <f t="shared" si="2"/>
        <v>19</v>
      </c>
    </row>
    <row r="146" spans="1:18" ht="20.25" customHeight="1">
      <c r="A146" s="66"/>
      <c r="R146" s="23">
        <f t="shared" si="2"/>
        <v>19</v>
      </c>
    </row>
    <row r="147" spans="1:18" ht="20.25" customHeight="1">
      <c r="A147" s="66"/>
      <c r="R147" s="23">
        <f t="shared" si="2"/>
        <v>19</v>
      </c>
    </row>
    <row r="148" spans="1:18" ht="20.25" customHeight="1">
      <c r="A148" s="66"/>
      <c r="R148" s="23">
        <f t="shared" si="2"/>
        <v>19</v>
      </c>
    </row>
    <row r="149" spans="1:18" ht="20.25" customHeight="1">
      <c r="A149" s="66"/>
      <c r="R149" s="23">
        <f t="shared" si="2"/>
        <v>19</v>
      </c>
    </row>
    <row r="150" spans="1:18" ht="20.25" customHeight="1">
      <c r="A150" s="66"/>
      <c r="R150" s="23">
        <f t="shared" si="2"/>
        <v>19</v>
      </c>
    </row>
    <row r="151" spans="1:18" ht="20.25" customHeight="1">
      <c r="A151" s="66"/>
      <c r="R151" s="23">
        <f t="shared" si="2"/>
        <v>19</v>
      </c>
    </row>
    <row r="152" spans="1:18" ht="20.25" customHeight="1">
      <c r="A152" s="66"/>
      <c r="R152" s="23">
        <f t="shared" si="2"/>
        <v>19</v>
      </c>
    </row>
    <row r="153" spans="1:18" ht="20.25" customHeight="1">
      <c r="A153" s="65"/>
      <c r="R153" s="23">
        <f t="shared" si="2"/>
        <v>19</v>
      </c>
    </row>
    <row r="154" spans="1:18" ht="20.25" customHeight="1">
      <c r="A154" s="66"/>
      <c r="R154" s="23">
        <f t="shared" si="2"/>
        <v>19</v>
      </c>
    </row>
    <row r="155" spans="1:18" ht="20.25" customHeight="1">
      <c r="A155" s="66"/>
      <c r="R155" s="23">
        <f t="shared" si="2"/>
        <v>19</v>
      </c>
    </row>
    <row r="156" spans="1:18" ht="20.25" customHeight="1">
      <c r="A156" s="66"/>
      <c r="R156" s="23">
        <f t="shared" si="2"/>
        <v>19</v>
      </c>
    </row>
    <row r="157" spans="1:18" ht="20.25" customHeight="1">
      <c r="A157" s="66"/>
    </row>
    <row r="158" spans="1:18" ht="20.25" customHeight="1">
      <c r="A158" s="66"/>
    </row>
    <row r="159" spans="1:18" ht="20.25" customHeight="1">
      <c r="A159" s="65"/>
    </row>
    <row r="160" spans="1:18" ht="20.25" customHeight="1">
      <c r="A160" s="66"/>
    </row>
    <row r="161" spans="1:1" ht="20.25" customHeight="1">
      <c r="A161" s="66"/>
    </row>
    <row r="162" spans="1:1" ht="20.25" customHeight="1">
      <c r="A162" s="66"/>
    </row>
    <row r="163" spans="1:1" ht="20.25" customHeight="1">
      <c r="A163" s="66"/>
    </row>
    <row r="164" spans="1:1" ht="20.25" customHeight="1">
      <c r="A164" s="65"/>
    </row>
    <row r="165" spans="1:1" ht="20.25" customHeight="1">
      <c r="A165" s="66"/>
    </row>
    <row r="166" spans="1:1" ht="20.25" customHeight="1">
      <c r="A166" s="66"/>
    </row>
    <row r="167" spans="1:1" ht="20.25" customHeight="1">
      <c r="A167" s="66"/>
    </row>
    <row r="168" spans="1:1" ht="20.25" customHeight="1">
      <c r="A168" s="65"/>
    </row>
    <row r="169" spans="1:1" ht="20.25" customHeight="1">
      <c r="A169" s="66"/>
    </row>
    <row r="170" spans="1:1" ht="20.25" customHeight="1">
      <c r="A170" s="66"/>
    </row>
    <row r="171" spans="1:1" ht="20.25" customHeight="1">
      <c r="A171" s="66"/>
    </row>
    <row r="172" spans="1:1" ht="20.25" customHeight="1">
      <c r="A172" s="66"/>
    </row>
    <row r="173" spans="1:1" ht="20.25" customHeight="1">
      <c r="A173" s="66"/>
    </row>
    <row r="174" spans="1:1" ht="20.25" customHeight="1">
      <c r="A174" s="65"/>
    </row>
    <row r="175" spans="1:1" ht="20.25" customHeight="1">
      <c r="A175" s="66"/>
    </row>
    <row r="176" spans="1:1" ht="20.25" customHeight="1">
      <c r="A176" s="66"/>
    </row>
    <row r="177" spans="1:1" ht="20.25" customHeight="1">
      <c r="A177" s="66"/>
    </row>
    <row r="178" spans="1:1" ht="20.25" customHeight="1">
      <c r="A178" s="66"/>
    </row>
    <row r="179" spans="1:1" ht="20.25" customHeight="1">
      <c r="A179" s="66"/>
    </row>
    <row r="180" spans="1:1" ht="20.25" customHeight="1">
      <c r="A180" s="66"/>
    </row>
    <row r="181" spans="1:1" ht="20.25" customHeight="1">
      <c r="A181" s="66"/>
    </row>
    <row r="182" spans="1:1" ht="20.25" customHeight="1">
      <c r="A182" s="66"/>
    </row>
    <row r="183" spans="1:1" ht="20.25" customHeight="1">
      <c r="A183" s="65"/>
    </row>
    <row r="184" spans="1:1" ht="20.25" customHeight="1">
      <c r="A184" s="66"/>
    </row>
    <row r="185" spans="1:1" ht="20.25" customHeight="1">
      <c r="A185" s="66"/>
    </row>
    <row r="186" spans="1:1" ht="20.25" customHeight="1">
      <c r="A186" s="66"/>
    </row>
    <row r="187" spans="1:1" ht="20.25" customHeight="1">
      <c r="A187" s="66"/>
    </row>
    <row r="188" spans="1:1" ht="20.25" customHeight="1">
      <c r="A188" s="66"/>
    </row>
    <row r="189" spans="1:1" ht="20.25" customHeight="1">
      <c r="A189" s="66"/>
    </row>
    <row r="190" spans="1:1" ht="20.25" customHeight="1">
      <c r="A190" s="66"/>
    </row>
    <row r="191" spans="1:1" ht="20.25" customHeight="1">
      <c r="A191" s="66"/>
    </row>
    <row r="192" spans="1:1" ht="20.25" customHeight="1">
      <c r="A192" s="65"/>
    </row>
    <row r="193" spans="1:1" ht="20.25" customHeight="1">
      <c r="A193" s="66"/>
    </row>
    <row r="194" spans="1:1" ht="20.25" customHeight="1">
      <c r="A194" s="66"/>
    </row>
    <row r="195" spans="1:1" ht="20.25" customHeight="1">
      <c r="A195" s="47"/>
    </row>
    <row r="196" spans="1:1" ht="20.25" customHeight="1">
      <c r="A196" s="47"/>
    </row>
    <row r="197" spans="1:1" ht="20.25" customHeight="1">
      <c r="A197" s="47"/>
    </row>
    <row r="198" spans="1:1" ht="20.25" customHeight="1">
      <c r="A198" s="47"/>
    </row>
  </sheetData>
  <autoFilter ref="A6:W104"/>
  <mergeCells count="17">
    <mergeCell ref="T3:T4"/>
    <mergeCell ref="U3:U4"/>
    <mergeCell ref="V3:V4"/>
    <mergeCell ref="A5:A6"/>
    <mergeCell ref="B5:B6"/>
    <mergeCell ref="C5:C6"/>
    <mergeCell ref="D5:D6"/>
    <mergeCell ref="E5:E6"/>
    <mergeCell ref="F5:F6"/>
    <mergeCell ref="G5:G6"/>
    <mergeCell ref="P5:P6"/>
    <mergeCell ref="H5:H6"/>
    <mergeCell ref="I5:I6"/>
    <mergeCell ref="J5:J6"/>
    <mergeCell ref="K5:M5"/>
    <mergeCell ref="N5:N6"/>
    <mergeCell ref="O5:O6"/>
  </mergeCells>
  <conditionalFormatting sqref="C7:E117">
    <cfRule type="expression" dxfId="417" priority="2">
      <formula>MOD($R7,2)=0</formula>
    </cfRule>
  </conditionalFormatting>
  <conditionalFormatting sqref="A7:P117">
    <cfRule type="expression" dxfId="416" priority="1">
      <formula>$Q7="OK"</formula>
    </cfRule>
    <cfRule type="expression" dxfId="415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 macro="[2]!Get_PAD_DATA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 macro="[2]!ClearData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 macro="[2]!MakeBodyNo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 macro="[2]!ClearBodyNo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9"/>
  <sheetViews>
    <sheetView workbookViewId="0">
      <selection activeCell="F6" sqref="F6"/>
    </sheetView>
  </sheetViews>
  <sheetFormatPr defaultRowHeight="15"/>
  <sheetData>
    <row r="1" spans="1:6">
      <c r="A1" s="441" t="s">
        <v>896</v>
      </c>
      <c r="B1" s="441" t="s">
        <v>897</v>
      </c>
      <c r="C1" s="441" t="s">
        <v>898</v>
      </c>
      <c r="D1" s="442" t="s">
        <v>899</v>
      </c>
      <c r="E1" s="442" t="s">
        <v>900</v>
      </c>
    </row>
    <row r="2" spans="1:6">
      <c r="A2" s="446" t="s">
        <v>905</v>
      </c>
      <c r="B2" s="444" t="s">
        <v>906</v>
      </c>
      <c r="C2" t="s">
        <v>902</v>
      </c>
      <c r="D2" s="445">
        <v>0.41666666666666669</v>
      </c>
      <c r="E2" s="445">
        <v>0.42222222222222222</v>
      </c>
      <c r="F2">
        <v>1</v>
      </c>
    </row>
    <row r="3" spans="1:6">
      <c r="A3" s="446" t="s">
        <v>905</v>
      </c>
      <c r="B3" s="444" t="s">
        <v>906</v>
      </c>
      <c r="C3" t="s">
        <v>902</v>
      </c>
      <c r="D3" s="445">
        <v>0.51388888888888895</v>
      </c>
      <c r="E3" s="445">
        <v>0.54513888888888895</v>
      </c>
      <c r="F3">
        <v>1</v>
      </c>
    </row>
    <row r="4" spans="1:6">
      <c r="A4" s="446" t="s">
        <v>905</v>
      </c>
      <c r="B4" s="444" t="s">
        <v>906</v>
      </c>
      <c r="C4" t="s">
        <v>902</v>
      </c>
      <c r="D4" s="445">
        <v>0.625</v>
      </c>
      <c r="E4" s="445">
        <v>0.62986111111111109</v>
      </c>
      <c r="F4">
        <v>1</v>
      </c>
    </row>
    <row r="5" spans="1:6">
      <c r="A5" s="446" t="s">
        <v>905</v>
      </c>
      <c r="B5" s="444" t="s">
        <v>906</v>
      </c>
      <c r="C5" t="s">
        <v>902</v>
      </c>
      <c r="D5" s="445">
        <v>0.72222222222222221</v>
      </c>
      <c r="E5" s="445">
        <v>0.73611111111111116</v>
      </c>
      <c r="F5">
        <v>1</v>
      </c>
    </row>
    <row r="6" spans="1:6">
      <c r="A6" s="446" t="s">
        <v>905</v>
      </c>
      <c r="B6" s="444" t="s">
        <v>906</v>
      </c>
      <c r="C6" t="s">
        <v>904</v>
      </c>
      <c r="D6" s="445">
        <v>0.91666666666666663</v>
      </c>
      <c r="E6" s="445">
        <v>0.92222222222222217</v>
      </c>
    </row>
    <row r="7" spans="1:6">
      <c r="A7" s="446" t="s">
        <v>905</v>
      </c>
      <c r="B7" s="444" t="s">
        <v>906</v>
      </c>
      <c r="C7" t="s">
        <v>904</v>
      </c>
      <c r="D7" s="445">
        <v>1.3888888888888888E-2</v>
      </c>
      <c r="E7" s="445">
        <v>4.5138888888888888E-2</v>
      </c>
    </row>
    <row r="8" spans="1:6">
      <c r="A8" s="446" t="s">
        <v>905</v>
      </c>
      <c r="B8" s="444" t="s">
        <v>906</v>
      </c>
      <c r="C8" t="s">
        <v>904</v>
      </c>
      <c r="D8" s="445">
        <v>0.125</v>
      </c>
      <c r="E8" s="445">
        <v>0.12986111111111112</v>
      </c>
    </row>
    <row r="9" spans="1:6">
      <c r="A9" s="446" t="s">
        <v>905</v>
      </c>
      <c r="B9" s="444" t="s">
        <v>906</v>
      </c>
      <c r="C9" t="s">
        <v>904</v>
      </c>
      <c r="D9" s="445">
        <v>0.22222222222222221</v>
      </c>
      <c r="E9" s="445">
        <v>0.23611111111111113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25"/>
  <sheetViews>
    <sheetView workbookViewId="0">
      <selection sqref="A1:E25"/>
    </sheetView>
  </sheetViews>
  <sheetFormatPr defaultRowHeight="15"/>
  <sheetData>
    <row r="1" spans="1:5">
      <c r="A1" s="441" t="s">
        <v>896</v>
      </c>
      <c r="B1" s="441" t="s">
        <v>897</v>
      </c>
      <c r="C1" s="441" t="s">
        <v>898</v>
      </c>
      <c r="D1" s="442" t="s">
        <v>899</v>
      </c>
      <c r="E1" s="442" t="s">
        <v>900</v>
      </c>
    </row>
    <row r="2" spans="1:5">
      <c r="A2" s="443" t="s">
        <v>901</v>
      </c>
      <c r="B2" s="444" t="s">
        <v>32</v>
      </c>
      <c r="C2" t="s">
        <v>902</v>
      </c>
      <c r="D2" s="445">
        <v>0.4236111111111111</v>
      </c>
      <c r="E2" s="445">
        <v>0.4291666666666667</v>
      </c>
    </row>
    <row r="3" spans="1:5">
      <c r="A3" s="443" t="s">
        <v>903</v>
      </c>
      <c r="B3" s="444" t="s">
        <v>32</v>
      </c>
      <c r="C3" t="s">
        <v>902</v>
      </c>
      <c r="D3" s="445">
        <v>0.4861111111111111</v>
      </c>
      <c r="E3" s="445">
        <v>0.51736111111111105</v>
      </c>
    </row>
    <row r="4" spans="1:5">
      <c r="A4" s="443" t="s">
        <v>903</v>
      </c>
      <c r="B4" s="444" t="s">
        <v>32</v>
      </c>
      <c r="C4" t="s">
        <v>902</v>
      </c>
      <c r="D4" s="445">
        <v>0.63194444444444442</v>
      </c>
      <c r="E4" s="445">
        <v>0.63680555555555551</v>
      </c>
    </row>
    <row r="5" spans="1:5">
      <c r="A5" s="443" t="s">
        <v>903</v>
      </c>
      <c r="B5" s="444" t="s">
        <v>32</v>
      </c>
      <c r="C5" t="s">
        <v>902</v>
      </c>
      <c r="D5" s="445">
        <v>0.70833333333333337</v>
      </c>
      <c r="E5" s="445">
        <v>0.72222222222222221</v>
      </c>
    </row>
    <row r="6" spans="1:5">
      <c r="A6" s="443" t="s">
        <v>903</v>
      </c>
      <c r="B6" s="444" t="s">
        <v>32</v>
      </c>
      <c r="C6" t="s">
        <v>904</v>
      </c>
      <c r="D6" s="445">
        <v>0.92361111111111116</v>
      </c>
      <c r="E6" s="445">
        <v>0.9291666666666667</v>
      </c>
    </row>
    <row r="7" spans="1:5">
      <c r="A7" s="443" t="s">
        <v>903</v>
      </c>
      <c r="B7" s="444" t="s">
        <v>32</v>
      </c>
      <c r="C7" t="s">
        <v>904</v>
      </c>
      <c r="D7" s="445">
        <v>0.98611111111111116</v>
      </c>
      <c r="E7" s="445">
        <v>1.7361111111111112E-2</v>
      </c>
    </row>
    <row r="8" spans="1:5">
      <c r="A8" s="443" t="s">
        <v>903</v>
      </c>
      <c r="B8" s="444" t="s">
        <v>32</v>
      </c>
      <c r="C8" t="s">
        <v>904</v>
      </c>
      <c r="D8" s="445">
        <v>0.13194444444444445</v>
      </c>
      <c r="E8" s="445">
        <v>0.55347222222222225</v>
      </c>
    </row>
    <row r="9" spans="1:5">
      <c r="A9" s="443" t="s">
        <v>903</v>
      </c>
      <c r="B9" s="444" t="s">
        <v>32</v>
      </c>
      <c r="C9" t="s">
        <v>904</v>
      </c>
      <c r="D9" s="445">
        <v>0.20833333333333334</v>
      </c>
      <c r="E9" s="445">
        <v>0.22222222222222221</v>
      </c>
    </row>
    <row r="10" spans="1:5">
      <c r="A10" s="446" t="s">
        <v>905</v>
      </c>
      <c r="B10" s="444" t="s">
        <v>906</v>
      </c>
      <c r="C10" t="s">
        <v>902</v>
      </c>
      <c r="D10" s="445">
        <v>0.41666666666666669</v>
      </c>
      <c r="E10" s="445">
        <v>0.42222222222222222</v>
      </c>
    </row>
    <row r="11" spans="1:5">
      <c r="A11" s="446" t="s">
        <v>905</v>
      </c>
      <c r="B11" s="444" t="s">
        <v>906</v>
      </c>
      <c r="C11" t="s">
        <v>902</v>
      </c>
      <c r="D11" s="445">
        <v>0.51388888888888895</v>
      </c>
      <c r="E11" s="445">
        <v>0.54513888888888895</v>
      </c>
    </row>
    <row r="12" spans="1:5">
      <c r="A12" s="446" t="s">
        <v>905</v>
      </c>
      <c r="B12" s="444" t="s">
        <v>906</v>
      </c>
      <c r="C12" t="s">
        <v>902</v>
      </c>
      <c r="D12" s="445">
        <v>0.625</v>
      </c>
      <c r="E12" s="445">
        <v>0.62986111111111109</v>
      </c>
    </row>
    <row r="13" spans="1:5">
      <c r="A13" s="446" t="s">
        <v>905</v>
      </c>
      <c r="B13" s="444" t="s">
        <v>906</v>
      </c>
      <c r="C13" t="s">
        <v>902</v>
      </c>
      <c r="D13" s="445">
        <v>0.72222222222222221</v>
      </c>
      <c r="E13" s="445">
        <v>0.73611111111111116</v>
      </c>
    </row>
    <row r="14" spans="1:5">
      <c r="A14" s="446" t="s">
        <v>905</v>
      </c>
      <c r="B14" s="444" t="s">
        <v>906</v>
      </c>
      <c r="C14" t="s">
        <v>904</v>
      </c>
      <c r="D14" s="445">
        <v>0.91666666666666663</v>
      </c>
      <c r="E14" s="445">
        <v>0.92222222222222217</v>
      </c>
    </row>
    <row r="15" spans="1:5">
      <c r="A15" s="446" t="s">
        <v>905</v>
      </c>
      <c r="B15" s="444" t="s">
        <v>906</v>
      </c>
      <c r="C15" t="s">
        <v>904</v>
      </c>
      <c r="D15" s="445">
        <v>1.3888888888888888E-2</v>
      </c>
      <c r="E15" s="445">
        <v>4.5138888888888888E-2</v>
      </c>
    </row>
    <row r="16" spans="1:5">
      <c r="A16" s="446" t="s">
        <v>905</v>
      </c>
      <c r="B16" s="444" t="s">
        <v>906</v>
      </c>
      <c r="C16" t="s">
        <v>904</v>
      </c>
      <c r="D16" s="445">
        <v>0.125</v>
      </c>
      <c r="E16" s="445">
        <v>0.12986111111111112</v>
      </c>
    </row>
    <row r="17" spans="1:5">
      <c r="A17" s="446" t="s">
        <v>905</v>
      </c>
      <c r="B17" s="444" t="s">
        <v>906</v>
      </c>
      <c r="C17" t="s">
        <v>904</v>
      </c>
      <c r="D17" s="445">
        <v>0.22222222222222221</v>
      </c>
      <c r="E17" s="445">
        <v>0.23611111111111113</v>
      </c>
    </row>
    <row r="18" spans="1:5">
      <c r="A18" s="447" t="s">
        <v>907</v>
      </c>
      <c r="B18" s="444" t="s">
        <v>908</v>
      </c>
      <c r="C18" t="s">
        <v>902</v>
      </c>
      <c r="D18" s="445">
        <v>0.41666666666666669</v>
      </c>
      <c r="E18" s="445">
        <v>0.42222222222222222</v>
      </c>
    </row>
    <row r="19" spans="1:5">
      <c r="A19" s="447" t="s">
        <v>907</v>
      </c>
      <c r="B19" s="444" t="s">
        <v>908</v>
      </c>
      <c r="C19" t="s">
        <v>902</v>
      </c>
      <c r="D19" s="445">
        <v>0.5</v>
      </c>
      <c r="E19" s="445">
        <v>0.53125</v>
      </c>
    </row>
    <row r="20" spans="1:5">
      <c r="A20" s="447" t="s">
        <v>907</v>
      </c>
      <c r="B20" s="444" t="s">
        <v>908</v>
      </c>
      <c r="C20" t="s">
        <v>902</v>
      </c>
      <c r="D20" s="445">
        <v>0.625</v>
      </c>
      <c r="E20" s="445">
        <v>0.62986111111111109</v>
      </c>
    </row>
    <row r="21" spans="1:5">
      <c r="A21" s="447" t="s">
        <v>907</v>
      </c>
      <c r="B21" s="444" t="s">
        <v>908</v>
      </c>
      <c r="C21" t="s">
        <v>902</v>
      </c>
      <c r="D21" s="445">
        <v>0.70833333333333337</v>
      </c>
      <c r="E21" s="445">
        <v>0.72222222222222221</v>
      </c>
    </row>
    <row r="22" spans="1:5">
      <c r="A22" s="447" t="s">
        <v>907</v>
      </c>
      <c r="B22" s="444" t="s">
        <v>908</v>
      </c>
      <c r="C22" t="s">
        <v>904</v>
      </c>
      <c r="D22" s="448">
        <v>0.91666666666666663</v>
      </c>
      <c r="E22" s="448">
        <v>0.92222222222222217</v>
      </c>
    </row>
    <row r="23" spans="1:5">
      <c r="A23" s="447" t="s">
        <v>907</v>
      </c>
      <c r="B23" s="444" t="s">
        <v>908</v>
      </c>
      <c r="C23" t="s">
        <v>904</v>
      </c>
      <c r="D23" s="448">
        <v>0</v>
      </c>
      <c r="E23" s="448">
        <v>3.125E-2</v>
      </c>
    </row>
    <row r="24" spans="1:5">
      <c r="A24" s="447" t="s">
        <v>907</v>
      </c>
      <c r="B24" s="444" t="s">
        <v>908</v>
      </c>
      <c r="C24" t="s">
        <v>904</v>
      </c>
      <c r="D24" s="448">
        <v>0.125</v>
      </c>
      <c r="E24" s="448">
        <v>0.12986111111111112</v>
      </c>
    </row>
    <row r="25" spans="1:5">
      <c r="A25" s="447" t="s">
        <v>907</v>
      </c>
      <c r="B25" s="444" t="s">
        <v>908</v>
      </c>
      <c r="C25" t="s">
        <v>904</v>
      </c>
      <c r="D25" s="448">
        <v>0.20833333333333334</v>
      </c>
      <c r="E25" s="448">
        <v>0.22222222222222221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AD299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F1" sqref="F1"/>
    </sheetView>
  </sheetViews>
  <sheetFormatPr defaultRowHeight="20.25" customHeight="1"/>
  <cols>
    <col min="1" max="2" width="9.140625" style="5"/>
    <col min="3" max="3" width="16" style="1" customWidth="1"/>
    <col min="4" max="4" width="8.42578125" style="162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156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15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714</v>
      </c>
      <c r="D3" s="15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69"/>
      <c r="AB3" s="470"/>
      <c r="AC3" s="469"/>
      <c r="AD3" s="85"/>
    </row>
    <row r="4" spans="1:30" ht="30" customHeight="1">
      <c r="C4" s="73" t="s">
        <v>715</v>
      </c>
      <c r="D4" s="159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69"/>
      <c r="AB4" s="470"/>
      <c r="AC4" s="469"/>
      <c r="AD4" s="17"/>
    </row>
    <row r="5" spans="1:30" ht="36" customHeight="1">
      <c r="A5" s="465" t="s">
        <v>887</v>
      </c>
      <c r="B5" s="466" t="s">
        <v>888</v>
      </c>
      <c r="C5" s="479" t="s">
        <v>4</v>
      </c>
      <c r="D5" s="492" t="s">
        <v>5</v>
      </c>
      <c r="E5" s="494" t="s">
        <v>6</v>
      </c>
      <c r="F5" s="494" t="s">
        <v>7</v>
      </c>
      <c r="G5" s="494" t="s">
        <v>8</v>
      </c>
      <c r="H5" s="479" t="s">
        <v>9</v>
      </c>
      <c r="I5" s="479" t="s">
        <v>10</v>
      </c>
      <c r="J5" s="479" t="s">
        <v>11</v>
      </c>
      <c r="K5" s="487" t="s">
        <v>12</v>
      </c>
      <c r="L5" s="487" t="s">
        <v>13</v>
      </c>
      <c r="M5" s="489" t="s">
        <v>14</v>
      </c>
      <c r="N5" s="489"/>
      <c r="O5" s="489"/>
      <c r="P5" s="489"/>
      <c r="Q5" s="489"/>
      <c r="R5" s="489" t="s">
        <v>23</v>
      </c>
      <c r="S5" s="490" t="s">
        <v>27</v>
      </c>
      <c r="T5" s="496" t="s">
        <v>24</v>
      </c>
      <c r="U5" s="496" t="s">
        <v>25</v>
      </c>
      <c r="V5" s="498" t="s">
        <v>15</v>
      </c>
      <c r="W5" s="84" t="s">
        <v>16</v>
      </c>
    </row>
    <row r="6" spans="1:30" ht="32.25" customHeight="1">
      <c r="A6" s="465"/>
      <c r="B6" s="466"/>
      <c r="C6" s="480"/>
      <c r="D6" s="493"/>
      <c r="E6" s="495"/>
      <c r="F6" s="495"/>
      <c r="G6" s="495"/>
      <c r="H6" s="480"/>
      <c r="I6" s="480"/>
      <c r="J6" s="480"/>
      <c r="K6" s="488"/>
      <c r="L6" s="488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489"/>
      <c r="S6" s="491"/>
      <c r="T6" s="497"/>
      <c r="U6" s="497"/>
      <c r="V6" s="499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57</v>
      </c>
      <c r="E7" s="112" t="s">
        <v>112</v>
      </c>
      <c r="F7" s="113" t="s">
        <v>113</v>
      </c>
      <c r="G7" s="114">
        <v>37</v>
      </c>
      <c r="H7" s="19" t="s">
        <v>69</v>
      </c>
      <c r="I7" s="22" t="s">
        <v>33</v>
      </c>
      <c r="J7" s="22">
        <v>100</v>
      </c>
      <c r="K7" s="107"/>
      <c r="L7" s="107"/>
      <c r="M7" s="44"/>
      <c r="N7" s="44"/>
      <c r="O7" s="44" t="s">
        <v>29</v>
      </c>
      <c r="P7" s="44"/>
      <c r="Q7" s="44"/>
      <c r="R7" s="115" t="s">
        <v>70</v>
      </c>
      <c r="S7" s="44"/>
      <c r="T7" s="44" t="s">
        <v>29</v>
      </c>
      <c r="U7" s="44" t="s">
        <v>29</v>
      </c>
      <c r="V7" s="19" t="s">
        <v>258</v>
      </c>
      <c r="W7" s="19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112</v>
      </c>
      <c r="F8" s="113" t="s">
        <v>113</v>
      </c>
      <c r="G8" s="114">
        <v>18</v>
      </c>
      <c r="H8" s="19" t="s">
        <v>69</v>
      </c>
      <c r="I8" s="22" t="s">
        <v>33</v>
      </c>
      <c r="J8" s="22">
        <v>100</v>
      </c>
      <c r="K8" s="107"/>
      <c r="L8" s="107"/>
      <c r="M8" s="44"/>
      <c r="N8" s="44"/>
      <c r="O8" s="44" t="s">
        <v>29</v>
      </c>
      <c r="P8" s="44"/>
      <c r="Q8" s="44"/>
      <c r="R8" s="115" t="s">
        <v>70</v>
      </c>
      <c r="S8" s="44"/>
      <c r="T8" s="44" t="s">
        <v>29</v>
      </c>
      <c r="U8" s="44" t="s">
        <v>29</v>
      </c>
      <c r="V8" s="19" t="s">
        <v>259</v>
      </c>
      <c r="W8" s="19"/>
      <c r="X8" s="38"/>
      <c r="Y8" s="39" t="e">
        <f t="shared" ref="Y8:Y66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110</v>
      </c>
      <c r="F9" s="113" t="s">
        <v>111</v>
      </c>
      <c r="G9" s="114">
        <v>40</v>
      </c>
      <c r="H9" s="19" t="s">
        <v>69</v>
      </c>
      <c r="I9" s="22" t="s">
        <v>18</v>
      </c>
      <c r="J9" s="22">
        <v>220</v>
      </c>
      <c r="K9" s="107"/>
      <c r="L9" s="107"/>
      <c r="M9" s="44"/>
      <c r="N9" s="44"/>
      <c r="O9" s="44"/>
      <c r="P9" s="44"/>
      <c r="Q9" s="44"/>
      <c r="R9" s="115" t="s">
        <v>70</v>
      </c>
      <c r="S9" s="44" t="s">
        <v>29</v>
      </c>
      <c r="T9" s="44" t="s">
        <v>29</v>
      </c>
      <c r="U9" s="44"/>
      <c r="V9" s="93" t="s">
        <v>260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142</v>
      </c>
      <c r="F10" s="113" t="s">
        <v>143</v>
      </c>
      <c r="G10" s="114">
        <v>27</v>
      </c>
      <c r="H10" s="19" t="s">
        <v>69</v>
      </c>
      <c r="I10" s="22" t="s">
        <v>19</v>
      </c>
      <c r="J10" s="22">
        <v>220</v>
      </c>
      <c r="K10" s="107"/>
      <c r="L10" s="107"/>
      <c r="M10" s="44"/>
      <c r="N10" s="44"/>
      <c r="O10" s="44" t="s">
        <v>29</v>
      </c>
      <c r="P10" s="44"/>
      <c r="Q10" s="44"/>
      <c r="R10" s="115" t="s">
        <v>70</v>
      </c>
      <c r="S10" s="44"/>
      <c r="T10" s="44" t="s">
        <v>29</v>
      </c>
      <c r="U10" s="44"/>
      <c r="V10" s="93" t="s">
        <v>261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74</v>
      </c>
      <c r="F11" s="113" t="s">
        <v>78</v>
      </c>
      <c r="G11" s="114">
        <v>38</v>
      </c>
      <c r="H11" s="19" t="s">
        <v>69</v>
      </c>
      <c r="I11" s="22" t="s">
        <v>28</v>
      </c>
      <c r="J11" s="22">
        <v>230</v>
      </c>
      <c r="K11" s="107"/>
      <c r="L11" s="107"/>
      <c r="M11" s="44"/>
      <c r="N11" s="44"/>
      <c r="O11" s="44"/>
      <c r="P11" s="44"/>
      <c r="Q11" s="44"/>
      <c r="R11" s="115" t="s">
        <v>70</v>
      </c>
      <c r="S11" s="44" t="s">
        <v>29</v>
      </c>
      <c r="T11" s="44"/>
      <c r="U11" s="44"/>
      <c r="V11" s="93" t="s">
        <v>716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74</v>
      </c>
      <c r="F12" s="113" t="s">
        <v>78</v>
      </c>
      <c r="G12" s="114">
        <v>97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115" t="s">
        <v>70</v>
      </c>
      <c r="S12" s="44" t="s">
        <v>29</v>
      </c>
      <c r="T12" s="44"/>
      <c r="U12" s="44"/>
      <c r="V12" s="93" t="s">
        <v>716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132</v>
      </c>
      <c r="F13" s="113" t="s">
        <v>133</v>
      </c>
      <c r="G13" s="114">
        <v>35</v>
      </c>
      <c r="H13" s="19" t="s">
        <v>69</v>
      </c>
      <c r="I13" s="22" t="s">
        <v>18</v>
      </c>
      <c r="J13" s="22">
        <v>220</v>
      </c>
      <c r="K13" s="107"/>
      <c r="L13" s="107"/>
      <c r="M13" s="44"/>
      <c r="N13" s="44"/>
      <c r="O13" s="44"/>
      <c r="P13" s="44"/>
      <c r="Q13" s="44"/>
      <c r="R13" s="115" t="s">
        <v>70</v>
      </c>
      <c r="S13" s="44" t="s">
        <v>29</v>
      </c>
      <c r="T13" s="44" t="s">
        <v>29</v>
      </c>
      <c r="U13" s="44"/>
      <c r="V13" s="93" t="s">
        <v>262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130</v>
      </c>
      <c r="F14" s="113" t="s">
        <v>131</v>
      </c>
      <c r="G14" s="114">
        <v>12</v>
      </c>
      <c r="H14" s="19" t="s">
        <v>69</v>
      </c>
      <c r="I14" s="22" t="s">
        <v>46</v>
      </c>
      <c r="J14" s="22">
        <v>120</v>
      </c>
      <c r="K14" s="107"/>
      <c r="L14" s="107"/>
      <c r="M14" s="44"/>
      <c r="N14" s="44"/>
      <c r="O14" s="44"/>
      <c r="P14" s="44"/>
      <c r="Q14" s="44"/>
      <c r="R14" s="115" t="s">
        <v>70</v>
      </c>
      <c r="S14" s="44" t="s">
        <v>29</v>
      </c>
      <c r="T14" s="44" t="s">
        <v>29</v>
      </c>
      <c r="U14" s="44"/>
      <c r="V14" s="19" t="s">
        <v>263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112</v>
      </c>
      <c r="F15" s="113" t="s">
        <v>113</v>
      </c>
      <c r="G15" s="114">
        <v>16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 t="s">
        <v>29</v>
      </c>
      <c r="P15" s="44"/>
      <c r="Q15" s="44"/>
      <c r="R15" s="115" t="s">
        <v>70</v>
      </c>
      <c r="S15" s="44"/>
      <c r="T15" s="44" t="s">
        <v>29</v>
      </c>
      <c r="U15" s="44" t="s">
        <v>29</v>
      </c>
      <c r="V15" s="93" t="s">
        <v>264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112</v>
      </c>
      <c r="F16" s="113" t="s">
        <v>113</v>
      </c>
      <c r="G16" s="114">
        <v>37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 t="s">
        <v>29</v>
      </c>
      <c r="P16" s="44"/>
      <c r="Q16" s="44"/>
      <c r="R16" s="115" t="s">
        <v>70</v>
      </c>
      <c r="S16" s="44"/>
      <c r="T16" s="44" t="s">
        <v>29</v>
      </c>
      <c r="U16" s="44" t="s">
        <v>29</v>
      </c>
      <c r="V16" s="93" t="s">
        <v>264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25">
        <v>44063</v>
      </c>
      <c r="D17" s="111" t="s">
        <v>54</v>
      </c>
      <c r="E17" s="112" t="s">
        <v>112</v>
      </c>
      <c r="F17" s="113" t="s">
        <v>113</v>
      </c>
      <c r="G17" s="114">
        <v>30</v>
      </c>
      <c r="H17" s="19" t="s">
        <v>69</v>
      </c>
      <c r="I17" s="22" t="s">
        <v>33</v>
      </c>
      <c r="J17" s="22">
        <v>100</v>
      </c>
      <c r="K17" s="107"/>
      <c r="L17" s="107"/>
      <c r="M17" s="44"/>
      <c r="N17" s="44"/>
      <c r="O17" s="44" t="s">
        <v>29</v>
      </c>
      <c r="P17" s="44"/>
      <c r="Q17" s="44"/>
      <c r="R17" s="115" t="s">
        <v>70</v>
      </c>
      <c r="S17" s="44"/>
      <c r="T17" s="44" t="s">
        <v>29</v>
      </c>
      <c r="U17" s="44" t="s">
        <v>29</v>
      </c>
      <c r="V17" s="93" t="s">
        <v>265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55</v>
      </c>
      <c r="E18" s="112" t="s">
        <v>71</v>
      </c>
      <c r="F18" s="113" t="s">
        <v>75</v>
      </c>
      <c r="G18" s="114">
        <v>101</v>
      </c>
      <c r="H18" s="19" t="s">
        <v>69</v>
      </c>
      <c r="I18" s="22" t="s">
        <v>28</v>
      </c>
      <c r="J18" s="22">
        <v>230</v>
      </c>
      <c r="K18" s="107"/>
      <c r="L18" s="107"/>
      <c r="M18" s="44"/>
      <c r="N18" s="44"/>
      <c r="O18" s="44"/>
      <c r="P18" s="44"/>
      <c r="Q18" s="44"/>
      <c r="R18" s="115" t="s">
        <v>70</v>
      </c>
      <c r="S18" s="44" t="s">
        <v>29</v>
      </c>
      <c r="T18" s="44"/>
      <c r="U18" s="44"/>
      <c r="V18" s="93" t="s">
        <v>310</v>
      </c>
      <c r="W18" s="22"/>
      <c r="X18" s="38"/>
      <c r="Y18" s="39" t="e">
        <f>IF(E18=E16,Y16,Y16+1)</f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890</v>
      </c>
      <c r="C19" s="18">
        <v>44063</v>
      </c>
      <c r="D19" s="111" t="s">
        <v>55</v>
      </c>
      <c r="E19" s="112" t="s">
        <v>71</v>
      </c>
      <c r="F19" s="113" t="s">
        <v>75</v>
      </c>
      <c r="G19" s="114">
        <v>65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115" t="s">
        <v>70</v>
      </c>
      <c r="S19" s="44" t="s">
        <v>29</v>
      </c>
      <c r="T19" s="44"/>
      <c r="U19" s="44"/>
      <c r="V19" s="93" t="s">
        <v>310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56</v>
      </c>
      <c r="E20" s="112" t="s">
        <v>72</v>
      </c>
      <c r="F20" s="113" t="s">
        <v>76</v>
      </c>
      <c r="G20" s="114">
        <v>4</v>
      </c>
      <c r="H20" s="19" t="s">
        <v>69</v>
      </c>
      <c r="I20" s="22" t="s">
        <v>30</v>
      </c>
      <c r="J20" s="22">
        <v>230</v>
      </c>
      <c r="K20" s="107"/>
      <c r="L20" s="107"/>
      <c r="M20" s="44"/>
      <c r="N20" s="44"/>
      <c r="O20" s="44"/>
      <c r="P20" s="44"/>
      <c r="Q20" s="44"/>
      <c r="R20" s="115" t="s">
        <v>70</v>
      </c>
      <c r="S20" s="44" t="s">
        <v>29</v>
      </c>
      <c r="T20" s="44" t="s">
        <v>29</v>
      </c>
      <c r="U20" s="44"/>
      <c r="V20" s="19" t="s">
        <v>266</v>
      </c>
      <c r="W20" s="22"/>
      <c r="X20" s="38"/>
      <c r="Y20" s="39" t="e">
        <f t="shared" si="0"/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57</v>
      </c>
      <c r="E21" s="112" t="s">
        <v>74</v>
      </c>
      <c r="F21" s="113" t="s">
        <v>78</v>
      </c>
      <c r="G21" s="114">
        <v>67</v>
      </c>
      <c r="H21" s="19" t="s">
        <v>69</v>
      </c>
      <c r="I21" s="22" t="s">
        <v>28</v>
      </c>
      <c r="J21" s="22">
        <v>230</v>
      </c>
      <c r="K21" s="107"/>
      <c r="L21" s="107"/>
      <c r="M21" s="44"/>
      <c r="N21" s="44"/>
      <c r="O21" s="44"/>
      <c r="P21" s="44"/>
      <c r="Q21" s="44"/>
      <c r="R21" s="115" t="s">
        <v>70</v>
      </c>
      <c r="S21" s="44" t="s">
        <v>29</v>
      </c>
      <c r="T21" s="44"/>
      <c r="U21" s="44"/>
      <c r="V21" s="93" t="s">
        <v>717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58</v>
      </c>
      <c r="E22" s="112" t="s">
        <v>112</v>
      </c>
      <c r="F22" s="113" t="s">
        <v>113</v>
      </c>
      <c r="G22" s="114">
        <v>8</v>
      </c>
      <c r="H22" s="19" t="s">
        <v>69</v>
      </c>
      <c r="I22" s="22" t="s">
        <v>33</v>
      </c>
      <c r="J22" s="22">
        <v>100</v>
      </c>
      <c r="K22" s="107"/>
      <c r="L22" s="107"/>
      <c r="M22" s="44"/>
      <c r="N22" s="44"/>
      <c r="O22" s="44" t="s">
        <v>29</v>
      </c>
      <c r="P22" s="44"/>
      <c r="Q22" s="44"/>
      <c r="R22" s="115" t="s">
        <v>70</v>
      </c>
      <c r="S22" s="44"/>
      <c r="T22" s="44" t="s">
        <v>29</v>
      </c>
      <c r="U22" s="44" t="s">
        <v>29</v>
      </c>
      <c r="V22" s="19" t="s">
        <v>267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59</v>
      </c>
      <c r="E23" s="112" t="s">
        <v>71</v>
      </c>
      <c r="F23" s="113" t="s">
        <v>75</v>
      </c>
      <c r="G23" s="114">
        <v>24</v>
      </c>
      <c r="H23" s="19" t="s">
        <v>69</v>
      </c>
      <c r="I23" s="22" t="s">
        <v>28</v>
      </c>
      <c r="J23" s="22">
        <v>230</v>
      </c>
      <c r="K23" s="107"/>
      <c r="L23" s="107"/>
      <c r="M23" s="44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9" t="s">
        <v>311</v>
      </c>
      <c r="W23" s="22"/>
      <c r="X23" s="38"/>
      <c r="Y23" s="39" t="e">
        <f t="shared" ref="Y23:Y28" si="1">IF(E23=E21,Y21,Y21+1)</f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44063</v>
      </c>
      <c r="D24" s="111" t="s">
        <v>59</v>
      </c>
      <c r="E24" s="112" t="s">
        <v>71</v>
      </c>
      <c r="F24" s="113" t="s">
        <v>75</v>
      </c>
      <c r="G24" s="114">
        <v>21</v>
      </c>
      <c r="H24" s="19" t="s">
        <v>69</v>
      </c>
      <c r="I24" s="22" t="s">
        <v>28</v>
      </c>
      <c r="J24" s="22">
        <v>230</v>
      </c>
      <c r="K24" s="107"/>
      <c r="L24" s="107"/>
      <c r="M24" s="44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9" t="s">
        <v>311</v>
      </c>
      <c r="W24" s="22"/>
      <c r="X24" s="38"/>
      <c r="Y24" s="39" t="e">
        <f t="shared" si="1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71</v>
      </c>
      <c r="F25" s="113" t="s">
        <v>75</v>
      </c>
      <c r="G25" s="114">
        <v>139</v>
      </c>
      <c r="H25" s="19" t="s">
        <v>69</v>
      </c>
      <c r="I25" s="22" t="s">
        <v>28</v>
      </c>
      <c r="J25" s="22">
        <v>230</v>
      </c>
      <c r="K25" s="107"/>
      <c r="L25" s="107"/>
      <c r="M25" s="44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93" t="s">
        <v>312</v>
      </c>
      <c r="W25" s="22"/>
      <c r="X25" s="38"/>
      <c r="Y25" s="39" t="e">
        <f t="shared" si="1"/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25">
        <v>44064</v>
      </c>
      <c r="D26" s="111" t="s">
        <v>54</v>
      </c>
      <c r="E26" s="112" t="s">
        <v>71</v>
      </c>
      <c r="F26" s="113" t="s">
        <v>75</v>
      </c>
      <c r="G26" s="114">
        <v>128</v>
      </c>
      <c r="H26" s="19" t="s">
        <v>69</v>
      </c>
      <c r="I26" s="22" t="s">
        <v>28</v>
      </c>
      <c r="J26" s="22">
        <v>230</v>
      </c>
      <c r="K26" s="107"/>
      <c r="L26" s="107"/>
      <c r="M26" s="44"/>
      <c r="N26" s="44"/>
      <c r="O26" s="44"/>
      <c r="P26" s="44"/>
      <c r="Q26" s="44"/>
      <c r="R26" s="115" t="s">
        <v>70</v>
      </c>
      <c r="S26" s="44" t="s">
        <v>29</v>
      </c>
      <c r="T26" s="44"/>
      <c r="U26" s="44"/>
      <c r="V26" s="93" t="s">
        <v>312</v>
      </c>
      <c r="W26" s="22"/>
      <c r="X26" s="38"/>
      <c r="Y26" s="39" t="e">
        <f t="shared" si="1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55</v>
      </c>
      <c r="E27" s="112" t="s">
        <v>112</v>
      </c>
      <c r="F27" s="113" t="s">
        <v>113</v>
      </c>
      <c r="G27" s="114">
        <v>32</v>
      </c>
      <c r="H27" s="19" t="s">
        <v>69</v>
      </c>
      <c r="I27" s="22" t="s">
        <v>33</v>
      </c>
      <c r="J27" s="22">
        <v>100</v>
      </c>
      <c r="K27" s="107"/>
      <c r="L27" s="107"/>
      <c r="M27" s="44"/>
      <c r="N27" s="44"/>
      <c r="O27" s="44" t="s">
        <v>29</v>
      </c>
      <c r="P27" s="44"/>
      <c r="Q27" s="44"/>
      <c r="R27" s="115" t="s">
        <v>70</v>
      </c>
      <c r="S27" s="44"/>
      <c r="T27" s="44" t="s">
        <v>29</v>
      </c>
      <c r="U27" s="44" t="s">
        <v>29</v>
      </c>
      <c r="V27" s="93" t="s">
        <v>268</v>
      </c>
      <c r="W27" s="22"/>
      <c r="X27" s="38"/>
      <c r="Y27" s="39" t="e">
        <f t="shared" si="1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22</v>
      </c>
      <c r="B28" s="43" t="s">
        <v>889</v>
      </c>
      <c r="C28" s="18">
        <v>44064</v>
      </c>
      <c r="D28" s="111" t="s">
        <v>55</v>
      </c>
      <c r="E28" s="112" t="s">
        <v>112</v>
      </c>
      <c r="F28" s="113" t="s">
        <v>113</v>
      </c>
      <c r="G28" s="114">
        <v>21</v>
      </c>
      <c r="H28" s="19" t="s">
        <v>69</v>
      </c>
      <c r="I28" s="22" t="s">
        <v>33</v>
      </c>
      <c r="J28" s="22">
        <v>100</v>
      </c>
      <c r="K28" s="107"/>
      <c r="L28" s="107"/>
      <c r="M28" s="44"/>
      <c r="N28" s="44"/>
      <c r="O28" s="44" t="s">
        <v>29</v>
      </c>
      <c r="P28" s="44"/>
      <c r="Q28" s="44"/>
      <c r="R28" s="115" t="s">
        <v>70</v>
      </c>
      <c r="S28" s="44"/>
      <c r="T28" s="44" t="s">
        <v>29</v>
      </c>
      <c r="U28" s="44" t="s">
        <v>29</v>
      </c>
      <c r="V28" s="93" t="s">
        <v>268</v>
      </c>
      <c r="W28" s="22"/>
      <c r="X28" s="38"/>
      <c r="Y28" s="39" t="e">
        <f t="shared" si="1"/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25">
        <v>44065</v>
      </c>
      <c r="D29" s="111" t="s">
        <v>54</v>
      </c>
      <c r="E29" s="112" t="s">
        <v>112</v>
      </c>
      <c r="F29" s="113" t="s">
        <v>113</v>
      </c>
      <c r="G29" s="114">
        <v>52</v>
      </c>
      <c r="H29" s="19" t="s">
        <v>69</v>
      </c>
      <c r="I29" s="22" t="s">
        <v>33</v>
      </c>
      <c r="J29" s="22">
        <v>100</v>
      </c>
      <c r="K29" s="107"/>
      <c r="L29" s="107"/>
      <c r="M29" s="44"/>
      <c r="N29" s="44"/>
      <c r="O29" s="44" t="s">
        <v>29</v>
      </c>
      <c r="P29" s="44"/>
      <c r="Q29" s="44"/>
      <c r="R29" s="115" t="s">
        <v>70</v>
      </c>
      <c r="S29" s="44"/>
      <c r="T29" s="44" t="s">
        <v>29</v>
      </c>
      <c r="U29" s="44" t="s">
        <v>29</v>
      </c>
      <c r="V29" s="19" t="s">
        <v>269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18">
        <v>44065</v>
      </c>
      <c r="D30" s="111" t="s">
        <v>55</v>
      </c>
      <c r="E30" s="112" t="s">
        <v>71</v>
      </c>
      <c r="F30" s="113" t="s">
        <v>75</v>
      </c>
      <c r="G30" s="114">
        <v>57</v>
      </c>
      <c r="H30" s="19" t="s">
        <v>69</v>
      </c>
      <c r="I30" s="22" t="s">
        <v>28</v>
      </c>
      <c r="J30" s="22">
        <v>230</v>
      </c>
      <c r="K30" s="107"/>
      <c r="L30" s="107"/>
      <c r="M30" s="44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93" t="s">
        <v>313</v>
      </c>
      <c r="W30" s="22"/>
      <c r="X30" s="38"/>
      <c r="Y30" s="39" t="e">
        <f>IF(E30=E28,Y28,Y28+1)</f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890</v>
      </c>
      <c r="C31" s="18">
        <v>44065</v>
      </c>
      <c r="D31" s="111" t="s">
        <v>55</v>
      </c>
      <c r="E31" s="112" t="s">
        <v>71</v>
      </c>
      <c r="F31" s="113" t="s">
        <v>75</v>
      </c>
      <c r="G31" s="114">
        <v>98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93" t="s">
        <v>313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56</v>
      </c>
      <c r="E32" s="112" t="s">
        <v>142</v>
      </c>
      <c r="F32" s="113" t="s">
        <v>143</v>
      </c>
      <c r="G32" s="114">
        <v>11</v>
      </c>
      <c r="H32" s="19" t="s">
        <v>69</v>
      </c>
      <c r="I32" s="22" t="s">
        <v>19</v>
      </c>
      <c r="J32" s="22">
        <v>220</v>
      </c>
      <c r="K32" s="107"/>
      <c r="L32" s="107"/>
      <c r="M32" s="44"/>
      <c r="N32" s="44"/>
      <c r="O32" s="44" t="s">
        <v>29</v>
      </c>
      <c r="P32" s="44"/>
      <c r="Q32" s="44"/>
      <c r="R32" s="115" t="s">
        <v>70</v>
      </c>
      <c r="S32" s="44"/>
      <c r="T32" s="44" t="s">
        <v>29</v>
      </c>
      <c r="U32" s="44"/>
      <c r="V32" s="19" t="s">
        <v>314</v>
      </c>
      <c r="W32" s="22"/>
      <c r="X32" s="38"/>
      <c r="Y32" s="39" t="e">
        <f t="shared" si="0"/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18">
        <v>44065</v>
      </c>
      <c r="D33" s="111" t="s">
        <v>57</v>
      </c>
      <c r="E33" s="112" t="s">
        <v>74</v>
      </c>
      <c r="F33" s="113" t="s">
        <v>78</v>
      </c>
      <c r="G33" s="114">
        <v>21</v>
      </c>
      <c r="H33" s="19" t="s">
        <v>69</v>
      </c>
      <c r="I33" s="22" t="s">
        <v>28</v>
      </c>
      <c r="J33" s="22">
        <v>230</v>
      </c>
      <c r="K33" s="107"/>
      <c r="L33" s="107"/>
      <c r="M33" s="44"/>
      <c r="N33" s="44"/>
      <c r="O33" s="44"/>
      <c r="P33" s="44"/>
      <c r="Q33" s="44"/>
      <c r="R33" s="115" t="s">
        <v>70</v>
      </c>
      <c r="S33" s="44" t="s">
        <v>29</v>
      </c>
      <c r="T33" s="44"/>
      <c r="U33" s="44"/>
      <c r="V33" s="93" t="s">
        <v>718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18">
        <v>44065</v>
      </c>
      <c r="D34" s="111" t="s">
        <v>57</v>
      </c>
      <c r="E34" s="112" t="s">
        <v>74</v>
      </c>
      <c r="F34" s="113" t="s">
        <v>78</v>
      </c>
      <c r="G34" s="114">
        <v>21</v>
      </c>
      <c r="H34" s="19" t="s">
        <v>69</v>
      </c>
      <c r="I34" s="22" t="s">
        <v>28</v>
      </c>
      <c r="J34" s="22">
        <v>230</v>
      </c>
      <c r="K34" s="107"/>
      <c r="L34" s="107"/>
      <c r="M34" s="44"/>
      <c r="N34" s="44"/>
      <c r="O34" s="44"/>
      <c r="P34" s="44"/>
      <c r="Q34" s="44"/>
      <c r="R34" s="115" t="s">
        <v>70</v>
      </c>
      <c r="S34" s="44" t="s">
        <v>29</v>
      </c>
      <c r="T34" s="44"/>
      <c r="U34" s="44"/>
      <c r="V34" s="93" t="s">
        <v>718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5">
        <v>44067</v>
      </c>
      <c r="D35" s="111" t="s">
        <v>54</v>
      </c>
      <c r="E35" s="112" t="s">
        <v>74</v>
      </c>
      <c r="F35" s="113" t="s">
        <v>78</v>
      </c>
      <c r="G35" s="114">
        <v>3</v>
      </c>
      <c r="H35" s="19" t="s">
        <v>69</v>
      </c>
      <c r="I35" s="22" t="s">
        <v>28</v>
      </c>
      <c r="J35" s="22">
        <v>230</v>
      </c>
      <c r="K35" s="107"/>
      <c r="L35" s="107"/>
      <c r="M35" s="44"/>
      <c r="N35" s="44"/>
      <c r="O35" s="44"/>
      <c r="P35" s="44"/>
      <c r="Q35" s="44"/>
      <c r="R35" s="115" t="s">
        <v>70</v>
      </c>
      <c r="S35" s="44" t="s">
        <v>29</v>
      </c>
      <c r="T35" s="44"/>
      <c r="U35" s="44"/>
      <c r="V35" s="93" t="s">
        <v>315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18">
        <v>44067</v>
      </c>
      <c r="D36" s="111" t="s">
        <v>55</v>
      </c>
      <c r="E36" s="112" t="s">
        <v>134</v>
      </c>
      <c r="F36" s="113" t="s">
        <v>135</v>
      </c>
      <c r="G36" s="114">
        <v>80</v>
      </c>
      <c r="H36" s="19" t="s">
        <v>69</v>
      </c>
      <c r="I36" s="22" t="s">
        <v>19</v>
      </c>
      <c r="J36" s="22">
        <v>220</v>
      </c>
      <c r="K36" s="107"/>
      <c r="L36" s="107"/>
      <c r="M36" s="44"/>
      <c r="N36" s="44"/>
      <c r="O36" s="44" t="s">
        <v>29</v>
      </c>
      <c r="P36" s="44"/>
      <c r="Q36" s="44"/>
      <c r="R36" s="115" t="s">
        <v>70</v>
      </c>
      <c r="S36" s="44"/>
      <c r="T36" s="44" t="s">
        <v>29</v>
      </c>
      <c r="U36" s="44"/>
      <c r="V36" s="93" t="s">
        <v>316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889</v>
      </c>
      <c r="C37" s="18">
        <v>44067</v>
      </c>
      <c r="D37" s="111" t="s">
        <v>56</v>
      </c>
      <c r="E37" s="112" t="s">
        <v>114</v>
      </c>
      <c r="F37" s="113" t="s">
        <v>115</v>
      </c>
      <c r="G37" s="114">
        <v>24</v>
      </c>
      <c r="H37" s="19" t="s">
        <v>69</v>
      </c>
      <c r="I37" s="22" t="s">
        <v>33</v>
      </c>
      <c r="J37" s="22">
        <v>100</v>
      </c>
      <c r="K37" s="107"/>
      <c r="L37" s="107"/>
      <c r="M37" s="44"/>
      <c r="N37" s="44"/>
      <c r="O37" s="44" t="s">
        <v>29</v>
      </c>
      <c r="P37" s="44"/>
      <c r="Q37" s="44"/>
      <c r="R37" s="115" t="s">
        <v>70</v>
      </c>
      <c r="S37" s="44"/>
      <c r="T37" s="44" t="s">
        <v>29</v>
      </c>
      <c r="U37" s="44" t="s">
        <v>29</v>
      </c>
      <c r="V37" s="93" t="s">
        <v>317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18">
        <v>44067</v>
      </c>
      <c r="D38" s="111" t="s">
        <v>56</v>
      </c>
      <c r="E38" s="112" t="s">
        <v>114</v>
      </c>
      <c r="F38" s="113" t="s">
        <v>115</v>
      </c>
      <c r="G38" s="114">
        <v>63</v>
      </c>
      <c r="H38" s="19" t="s">
        <v>69</v>
      </c>
      <c r="I38" s="22" t="s">
        <v>33</v>
      </c>
      <c r="J38" s="22">
        <v>100</v>
      </c>
      <c r="K38" s="107"/>
      <c r="L38" s="107"/>
      <c r="M38" s="44"/>
      <c r="N38" s="44"/>
      <c r="O38" s="44" t="s">
        <v>29</v>
      </c>
      <c r="P38" s="44"/>
      <c r="Q38" s="44"/>
      <c r="R38" s="115" t="s">
        <v>70</v>
      </c>
      <c r="S38" s="44"/>
      <c r="T38" s="44" t="s">
        <v>29</v>
      </c>
      <c r="U38" s="44" t="s">
        <v>29</v>
      </c>
      <c r="V38" s="93" t="s">
        <v>317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18">
        <v>44067</v>
      </c>
      <c r="D39" s="111" t="s">
        <v>57</v>
      </c>
      <c r="E39" s="112" t="s">
        <v>108</v>
      </c>
      <c r="F39" s="113" t="s">
        <v>109</v>
      </c>
      <c r="G39" s="114">
        <v>33</v>
      </c>
      <c r="H39" s="19" t="s">
        <v>69</v>
      </c>
      <c r="I39" s="22" t="s">
        <v>19</v>
      </c>
      <c r="J39" s="22">
        <v>220</v>
      </c>
      <c r="K39" s="107"/>
      <c r="L39" s="107"/>
      <c r="M39" s="44"/>
      <c r="N39" s="44"/>
      <c r="O39" s="44" t="s">
        <v>29</v>
      </c>
      <c r="P39" s="44"/>
      <c r="Q39" s="44"/>
      <c r="R39" s="115" t="s">
        <v>70</v>
      </c>
      <c r="S39" s="44"/>
      <c r="T39" s="44" t="s">
        <v>29</v>
      </c>
      <c r="U39" s="44"/>
      <c r="V39" s="19" t="s">
        <v>318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18">
        <v>44067</v>
      </c>
      <c r="D40" s="111" t="s">
        <v>58</v>
      </c>
      <c r="E40" s="112" t="s">
        <v>110</v>
      </c>
      <c r="F40" s="113" t="s">
        <v>111</v>
      </c>
      <c r="G40" s="114">
        <v>9</v>
      </c>
      <c r="H40" s="19" t="s">
        <v>69</v>
      </c>
      <c r="I40" s="22" t="s">
        <v>18</v>
      </c>
      <c r="J40" s="22">
        <v>220</v>
      </c>
      <c r="K40" s="107"/>
      <c r="L40" s="107"/>
      <c r="M40" s="44"/>
      <c r="N40" s="44"/>
      <c r="O40" s="44"/>
      <c r="P40" s="44"/>
      <c r="Q40" s="44"/>
      <c r="R40" s="115" t="s">
        <v>70</v>
      </c>
      <c r="S40" s="44" t="s">
        <v>29</v>
      </c>
      <c r="T40" s="44" t="s">
        <v>29</v>
      </c>
      <c r="U40" s="44"/>
      <c r="V40" s="93" t="s">
        <v>319</v>
      </c>
      <c r="W40" s="22"/>
      <c r="X40" s="38"/>
      <c r="Y40" s="39" t="e">
        <f t="shared" si="0"/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18">
        <v>44067</v>
      </c>
      <c r="D41" s="111" t="s">
        <v>59</v>
      </c>
      <c r="E41" s="112" t="s">
        <v>74</v>
      </c>
      <c r="F41" s="113" t="s">
        <v>78</v>
      </c>
      <c r="G41" s="114">
        <v>11</v>
      </c>
      <c r="H41" s="19" t="s">
        <v>69</v>
      </c>
      <c r="I41" s="22" t="s">
        <v>28</v>
      </c>
      <c r="J41" s="22">
        <v>230</v>
      </c>
      <c r="K41" s="107"/>
      <c r="L41" s="107"/>
      <c r="M41" s="44"/>
      <c r="N41" s="44"/>
      <c r="O41" s="44"/>
      <c r="P41" s="44"/>
      <c r="Q41" s="44"/>
      <c r="R41" s="115" t="s">
        <v>70</v>
      </c>
      <c r="S41" s="44" t="s">
        <v>29</v>
      </c>
      <c r="T41" s="44"/>
      <c r="U41" s="44"/>
      <c r="V41" s="117" t="s">
        <v>719</v>
      </c>
      <c r="W41" s="22"/>
      <c r="X41" s="38"/>
      <c r="Y41" s="39" t="e">
        <f t="shared" si="0"/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18">
        <v>44067</v>
      </c>
      <c r="D42" s="111" t="s">
        <v>60</v>
      </c>
      <c r="E42" s="112" t="s">
        <v>134</v>
      </c>
      <c r="F42" s="113" t="s">
        <v>135</v>
      </c>
      <c r="G42" s="114">
        <v>12</v>
      </c>
      <c r="H42" s="19" t="s">
        <v>69</v>
      </c>
      <c r="I42" s="22" t="s">
        <v>19</v>
      </c>
      <c r="J42" s="22">
        <v>220</v>
      </c>
      <c r="K42" s="107"/>
      <c r="L42" s="107"/>
      <c r="M42" s="44"/>
      <c r="N42" s="44"/>
      <c r="O42" s="44" t="s">
        <v>29</v>
      </c>
      <c r="P42" s="44"/>
      <c r="Q42" s="44"/>
      <c r="R42" s="115" t="s">
        <v>70</v>
      </c>
      <c r="S42" s="44"/>
      <c r="T42" s="44" t="s">
        <v>29</v>
      </c>
      <c r="U42" s="44"/>
      <c r="V42" s="118" t="s">
        <v>720</v>
      </c>
      <c r="W42" s="22"/>
      <c r="X42" s="38"/>
      <c r="Y42" s="39" t="e">
        <f>IF(E42=E40,Y40,Y40+1)</f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18">
        <v>44067</v>
      </c>
      <c r="D43" s="111" t="s">
        <v>60</v>
      </c>
      <c r="E43" s="112" t="s">
        <v>134</v>
      </c>
      <c r="F43" s="113" t="s">
        <v>135</v>
      </c>
      <c r="G43" s="114">
        <v>21</v>
      </c>
      <c r="H43" s="19" t="s">
        <v>69</v>
      </c>
      <c r="I43" s="22" t="s">
        <v>19</v>
      </c>
      <c r="J43" s="22">
        <v>220</v>
      </c>
      <c r="K43" s="107"/>
      <c r="L43" s="107"/>
      <c r="M43" s="44"/>
      <c r="N43" s="44"/>
      <c r="O43" s="44" t="s">
        <v>29</v>
      </c>
      <c r="P43" s="44"/>
      <c r="Q43" s="44"/>
      <c r="R43" s="115" t="s">
        <v>70</v>
      </c>
      <c r="S43" s="44"/>
      <c r="T43" s="44" t="s">
        <v>29</v>
      </c>
      <c r="U43" s="44"/>
      <c r="V43" s="118" t="s">
        <v>720</v>
      </c>
      <c r="W43" s="22"/>
      <c r="X43" s="38"/>
      <c r="Y43" s="39" t="e">
        <f>IF(E43=E41,Y41,Y41+1)</f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5">
        <v>44068</v>
      </c>
      <c r="D44" s="111" t="s">
        <v>54</v>
      </c>
      <c r="E44" s="112" t="s">
        <v>134</v>
      </c>
      <c r="F44" s="113" t="s">
        <v>135</v>
      </c>
      <c r="G44" s="114">
        <v>47</v>
      </c>
      <c r="H44" s="19" t="s">
        <v>69</v>
      </c>
      <c r="I44" s="22" t="s">
        <v>19</v>
      </c>
      <c r="J44" s="22">
        <v>220</v>
      </c>
      <c r="K44" s="107"/>
      <c r="L44" s="107"/>
      <c r="M44" s="44"/>
      <c r="N44" s="44"/>
      <c r="O44" s="44" t="s">
        <v>29</v>
      </c>
      <c r="P44" s="44"/>
      <c r="Q44" s="44"/>
      <c r="R44" s="115" t="s">
        <v>70</v>
      </c>
      <c r="S44" s="44"/>
      <c r="T44" s="44" t="s">
        <v>29</v>
      </c>
      <c r="U44" s="44"/>
      <c r="V44" s="118" t="s">
        <v>721</v>
      </c>
      <c r="W44" s="22"/>
      <c r="X44" s="38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18">
        <v>44068</v>
      </c>
      <c r="D45" s="111" t="s">
        <v>55</v>
      </c>
      <c r="E45" s="112" t="s">
        <v>114</v>
      </c>
      <c r="F45" s="113" t="s">
        <v>115</v>
      </c>
      <c r="G45" s="114">
        <v>100</v>
      </c>
      <c r="H45" s="19" t="s">
        <v>69</v>
      </c>
      <c r="I45" s="22" t="s">
        <v>33</v>
      </c>
      <c r="J45" s="22">
        <v>100</v>
      </c>
      <c r="K45" s="107"/>
      <c r="L45" s="107"/>
      <c r="M45" s="44"/>
      <c r="N45" s="44"/>
      <c r="O45" s="44" t="s">
        <v>29</v>
      </c>
      <c r="P45" s="44"/>
      <c r="Q45" s="44"/>
      <c r="R45" s="115" t="s">
        <v>70</v>
      </c>
      <c r="S45" s="44"/>
      <c r="T45" s="44" t="s">
        <v>29</v>
      </c>
      <c r="U45" s="44" t="s">
        <v>29</v>
      </c>
      <c r="V45" s="118" t="s">
        <v>320</v>
      </c>
      <c r="W45" s="22"/>
      <c r="X45" s="38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18">
        <v>44068</v>
      </c>
      <c r="D46" s="111" t="s">
        <v>55</v>
      </c>
      <c r="E46" s="112" t="s">
        <v>114</v>
      </c>
      <c r="F46" s="113" t="s">
        <v>115</v>
      </c>
      <c r="G46" s="114">
        <v>31</v>
      </c>
      <c r="H46" s="19" t="s">
        <v>69</v>
      </c>
      <c r="I46" s="22" t="s">
        <v>33</v>
      </c>
      <c r="J46" s="22">
        <v>100</v>
      </c>
      <c r="K46" s="107"/>
      <c r="L46" s="107"/>
      <c r="M46" s="44"/>
      <c r="N46" s="44"/>
      <c r="O46" s="44" t="s">
        <v>29</v>
      </c>
      <c r="P46" s="44"/>
      <c r="Q46" s="44"/>
      <c r="R46" s="115" t="s">
        <v>70</v>
      </c>
      <c r="S46" s="44"/>
      <c r="T46" s="44" t="s">
        <v>29</v>
      </c>
      <c r="U46" s="44" t="s">
        <v>29</v>
      </c>
      <c r="V46" s="118" t="s">
        <v>320</v>
      </c>
      <c r="W46" s="22"/>
      <c r="X46" s="38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18">
        <v>44068</v>
      </c>
      <c r="D47" s="111" t="s">
        <v>56</v>
      </c>
      <c r="E47" s="112" t="s">
        <v>196</v>
      </c>
      <c r="F47" s="113" t="s">
        <v>197</v>
      </c>
      <c r="G47" s="114">
        <v>105</v>
      </c>
      <c r="H47" s="19" t="s">
        <v>69</v>
      </c>
      <c r="I47" s="22" t="s">
        <v>28</v>
      </c>
      <c r="J47" s="22">
        <v>230</v>
      </c>
      <c r="K47" s="107"/>
      <c r="L47" s="107"/>
      <c r="M47" s="44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118" t="s">
        <v>722</v>
      </c>
      <c r="W47" s="22"/>
      <c r="X47" s="38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18">
        <v>44068</v>
      </c>
      <c r="D48" s="111" t="s">
        <v>57</v>
      </c>
      <c r="E48" s="112" t="s">
        <v>112</v>
      </c>
      <c r="F48" s="113" t="s">
        <v>113</v>
      </c>
      <c r="G48" s="114">
        <v>24</v>
      </c>
      <c r="H48" s="19" t="s">
        <v>69</v>
      </c>
      <c r="I48" s="22" t="s">
        <v>33</v>
      </c>
      <c r="J48" s="22">
        <v>100</v>
      </c>
      <c r="K48" s="107"/>
      <c r="L48" s="107"/>
      <c r="M48" s="44"/>
      <c r="N48" s="44"/>
      <c r="O48" s="44" t="s">
        <v>29</v>
      </c>
      <c r="P48" s="44"/>
      <c r="Q48" s="44"/>
      <c r="R48" s="115" t="s">
        <v>70</v>
      </c>
      <c r="S48" s="44"/>
      <c r="T48" s="44" t="s">
        <v>29</v>
      </c>
      <c r="U48" s="44" t="s">
        <v>29</v>
      </c>
      <c r="V48" s="118" t="s">
        <v>270</v>
      </c>
      <c r="W48" s="22"/>
      <c r="X48" s="38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890</v>
      </c>
      <c r="C49" s="18">
        <v>44068</v>
      </c>
      <c r="D49" s="111" t="s">
        <v>58</v>
      </c>
      <c r="E49" s="112" t="s">
        <v>74</v>
      </c>
      <c r="F49" s="113" t="s">
        <v>78</v>
      </c>
      <c r="G49" s="114">
        <v>8</v>
      </c>
      <c r="H49" s="19" t="s">
        <v>69</v>
      </c>
      <c r="I49" s="22" t="s">
        <v>28</v>
      </c>
      <c r="J49" s="22">
        <v>230</v>
      </c>
      <c r="K49" s="107"/>
      <c r="L49" s="107"/>
      <c r="M49" s="44"/>
      <c r="N49" s="44"/>
      <c r="O49" s="44"/>
      <c r="P49" s="44"/>
      <c r="Q49" s="44"/>
      <c r="R49" s="115" t="s">
        <v>70</v>
      </c>
      <c r="S49" s="44" t="s">
        <v>29</v>
      </c>
      <c r="T49" s="44"/>
      <c r="U49" s="44"/>
      <c r="V49" s="118" t="s">
        <v>723</v>
      </c>
      <c r="W49" s="22"/>
      <c r="X49" s="38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18">
        <v>44068</v>
      </c>
      <c r="D50" s="111" t="s">
        <v>58</v>
      </c>
      <c r="E50" s="112" t="s">
        <v>74</v>
      </c>
      <c r="F50" s="113" t="s">
        <v>78</v>
      </c>
      <c r="G50" s="114">
        <v>21</v>
      </c>
      <c r="H50" s="19" t="s">
        <v>69</v>
      </c>
      <c r="I50" s="22" t="s">
        <v>28</v>
      </c>
      <c r="J50" s="22">
        <v>230</v>
      </c>
      <c r="K50" s="107"/>
      <c r="L50" s="107"/>
      <c r="M50" s="44"/>
      <c r="N50" s="44"/>
      <c r="O50" s="44"/>
      <c r="P50" s="44"/>
      <c r="Q50" s="44"/>
      <c r="R50" s="115" t="s">
        <v>70</v>
      </c>
      <c r="S50" s="44" t="s">
        <v>29</v>
      </c>
      <c r="T50" s="44"/>
      <c r="U50" s="44"/>
      <c r="V50" s="118" t="s">
        <v>723</v>
      </c>
      <c r="W50" s="22"/>
      <c r="X50" s="38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5">
        <v>44069</v>
      </c>
      <c r="D51" s="111" t="s">
        <v>54</v>
      </c>
      <c r="E51" s="112" t="s">
        <v>74</v>
      </c>
      <c r="F51" s="113" t="s">
        <v>78</v>
      </c>
      <c r="G51" s="114">
        <v>96</v>
      </c>
      <c r="H51" s="19" t="s">
        <v>69</v>
      </c>
      <c r="I51" s="22" t="s">
        <v>28</v>
      </c>
      <c r="J51" s="22">
        <v>230</v>
      </c>
      <c r="K51" s="107"/>
      <c r="L51" s="107"/>
      <c r="M51" s="44"/>
      <c r="N51" s="44"/>
      <c r="O51" s="44"/>
      <c r="P51" s="44"/>
      <c r="Q51" s="44"/>
      <c r="R51" s="115" t="s">
        <v>70</v>
      </c>
      <c r="S51" s="44" t="s">
        <v>29</v>
      </c>
      <c r="T51" s="44"/>
      <c r="U51" s="44"/>
      <c r="V51" s="118" t="s">
        <v>724</v>
      </c>
      <c r="W51" s="22"/>
      <c r="X51" s="38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18">
        <v>44069</v>
      </c>
      <c r="D52" s="111" t="s">
        <v>55</v>
      </c>
      <c r="E52" s="112" t="s">
        <v>134</v>
      </c>
      <c r="F52" s="113" t="s">
        <v>135</v>
      </c>
      <c r="G52" s="114">
        <v>51</v>
      </c>
      <c r="H52" s="19" t="s">
        <v>69</v>
      </c>
      <c r="I52" s="22" t="s">
        <v>19</v>
      </c>
      <c r="J52" s="22">
        <v>220</v>
      </c>
      <c r="K52" s="107"/>
      <c r="L52" s="107"/>
      <c r="M52" s="44"/>
      <c r="N52" s="44"/>
      <c r="O52" s="44" t="s">
        <v>29</v>
      </c>
      <c r="P52" s="44"/>
      <c r="Q52" s="44"/>
      <c r="R52" s="115" t="s">
        <v>70</v>
      </c>
      <c r="S52" s="44"/>
      <c r="T52" s="44" t="s">
        <v>29</v>
      </c>
      <c r="U52" s="44"/>
      <c r="V52" s="118" t="s">
        <v>321</v>
      </c>
      <c r="W52" s="22"/>
      <c r="X52" s="38"/>
      <c r="Y52" s="39" t="e">
        <f>IF(E52=E50,Y50,Y50+1)</f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890</v>
      </c>
      <c r="C53" s="18">
        <v>44069</v>
      </c>
      <c r="D53" s="111" t="s">
        <v>55</v>
      </c>
      <c r="E53" s="112" t="s">
        <v>134</v>
      </c>
      <c r="F53" s="113" t="s">
        <v>135</v>
      </c>
      <c r="G53" s="114">
        <v>29</v>
      </c>
      <c r="H53" s="19" t="s">
        <v>69</v>
      </c>
      <c r="I53" s="22" t="s">
        <v>19</v>
      </c>
      <c r="J53" s="22">
        <v>220</v>
      </c>
      <c r="K53" s="107"/>
      <c r="L53" s="107"/>
      <c r="M53" s="44"/>
      <c r="N53" s="44"/>
      <c r="O53" s="44" t="s">
        <v>29</v>
      </c>
      <c r="P53" s="44"/>
      <c r="Q53" s="44"/>
      <c r="R53" s="115" t="s">
        <v>70</v>
      </c>
      <c r="S53" s="44"/>
      <c r="T53" s="44" t="s">
        <v>29</v>
      </c>
      <c r="U53" s="44"/>
      <c r="V53" s="118" t="s">
        <v>321</v>
      </c>
      <c r="W53" s="22"/>
      <c r="X53" s="38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56</v>
      </c>
      <c r="E54" s="112" t="s">
        <v>114</v>
      </c>
      <c r="F54" s="113" t="s">
        <v>115</v>
      </c>
      <c r="G54" s="114">
        <v>107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115" t="s">
        <v>70</v>
      </c>
      <c r="S54" s="44"/>
      <c r="T54" s="44" t="s">
        <v>29</v>
      </c>
      <c r="U54" s="44" t="s">
        <v>29</v>
      </c>
      <c r="V54" s="118" t="s">
        <v>322</v>
      </c>
      <c r="W54" s="22"/>
      <c r="X54" s="38"/>
      <c r="Y54" s="39" t="e">
        <f t="shared" si="0"/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57</v>
      </c>
      <c r="E55" s="112" t="s">
        <v>72</v>
      </c>
      <c r="F55" s="113" t="s">
        <v>76</v>
      </c>
      <c r="G55" s="114">
        <v>32</v>
      </c>
      <c r="H55" s="22" t="s">
        <v>69</v>
      </c>
      <c r="I55" s="22" t="s">
        <v>30</v>
      </c>
      <c r="J55" s="22">
        <v>230</v>
      </c>
      <c r="K55" s="44"/>
      <c r="L55" s="44"/>
      <c r="M55" s="44"/>
      <c r="N55" s="44"/>
      <c r="O55" s="44"/>
      <c r="P55" s="44"/>
      <c r="Q55" s="44"/>
      <c r="R55" s="115" t="s">
        <v>70</v>
      </c>
      <c r="S55" s="44" t="s">
        <v>29</v>
      </c>
      <c r="T55" s="44" t="s">
        <v>29</v>
      </c>
      <c r="U55" s="44"/>
      <c r="V55" s="27" t="s">
        <v>323</v>
      </c>
      <c r="W55" s="22"/>
      <c r="X55" s="38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27</v>
      </c>
      <c r="B56" s="43" t="s">
        <v>889</v>
      </c>
      <c r="C56" s="28">
        <v>44069</v>
      </c>
      <c r="D56" s="111" t="s">
        <v>57</v>
      </c>
      <c r="E56" s="112" t="s">
        <v>72</v>
      </c>
      <c r="F56" s="113" t="s">
        <v>76</v>
      </c>
      <c r="G56" s="114">
        <v>8</v>
      </c>
      <c r="H56" s="22" t="s">
        <v>69</v>
      </c>
      <c r="I56" s="22" t="s">
        <v>30</v>
      </c>
      <c r="J56" s="22">
        <v>230</v>
      </c>
      <c r="K56" s="44"/>
      <c r="L56" s="44"/>
      <c r="M56" s="44"/>
      <c r="N56" s="44"/>
      <c r="O56" s="44"/>
      <c r="P56" s="44"/>
      <c r="Q56" s="44"/>
      <c r="R56" s="115" t="s">
        <v>70</v>
      </c>
      <c r="S56" s="44" t="s">
        <v>29</v>
      </c>
      <c r="T56" s="44" t="s">
        <v>29</v>
      </c>
      <c r="U56" s="44"/>
      <c r="V56" s="27" t="s">
        <v>323</v>
      </c>
      <c r="W56" s="22"/>
      <c r="X56" s="38"/>
      <c r="Y56" s="39" t="e">
        <f>IF(E56=E54,Y54,Y54+1)</f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27</v>
      </c>
      <c r="B57" s="43" t="s">
        <v>889</v>
      </c>
      <c r="C57" s="28">
        <v>44069</v>
      </c>
      <c r="D57" s="111" t="s">
        <v>58</v>
      </c>
      <c r="E57" s="112" t="s">
        <v>137</v>
      </c>
      <c r="F57" s="113" t="s">
        <v>138</v>
      </c>
      <c r="G57" s="114">
        <v>13</v>
      </c>
      <c r="H57" s="22" t="s">
        <v>69</v>
      </c>
      <c r="I57" s="22" t="s">
        <v>30</v>
      </c>
      <c r="J57" s="22">
        <v>230</v>
      </c>
      <c r="K57" s="44"/>
      <c r="L57" s="44"/>
      <c r="M57" s="44"/>
      <c r="N57" s="44"/>
      <c r="O57" s="44"/>
      <c r="P57" s="44"/>
      <c r="Q57" s="44"/>
      <c r="R57" s="115" t="s">
        <v>70</v>
      </c>
      <c r="S57" s="44" t="s">
        <v>29</v>
      </c>
      <c r="T57" s="44" t="s">
        <v>29</v>
      </c>
      <c r="U57" s="44"/>
      <c r="V57" s="118" t="s">
        <v>324</v>
      </c>
      <c r="W57" s="22"/>
      <c r="X57" s="38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6">
        <v>44070</v>
      </c>
      <c r="D58" s="111" t="s">
        <v>54</v>
      </c>
      <c r="E58" s="112" t="s">
        <v>137</v>
      </c>
      <c r="F58" s="113" t="s">
        <v>138</v>
      </c>
      <c r="G58" s="114">
        <v>37</v>
      </c>
      <c r="H58" s="22" t="s">
        <v>69</v>
      </c>
      <c r="I58" s="22" t="s">
        <v>30</v>
      </c>
      <c r="J58" s="22">
        <v>230</v>
      </c>
      <c r="K58" s="44"/>
      <c r="L58" s="44"/>
      <c r="M58" s="44"/>
      <c r="N58" s="44"/>
      <c r="O58" s="44"/>
      <c r="P58" s="44"/>
      <c r="Q58" s="44"/>
      <c r="R58" s="115" t="s">
        <v>70</v>
      </c>
      <c r="S58" s="44" t="s">
        <v>29</v>
      </c>
      <c r="T58" s="44" t="s">
        <v>29</v>
      </c>
      <c r="U58" s="44"/>
      <c r="V58" s="118" t="s">
        <v>325</v>
      </c>
      <c r="W58" s="22"/>
      <c r="X58" s="38"/>
      <c r="Y58" s="39" t="e">
        <f t="shared" si="0"/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8">
        <v>44070</v>
      </c>
      <c r="D59" s="111" t="s">
        <v>55</v>
      </c>
      <c r="E59" s="112" t="s">
        <v>134</v>
      </c>
      <c r="F59" s="113" t="s">
        <v>135</v>
      </c>
      <c r="G59" s="114">
        <v>63</v>
      </c>
      <c r="H59" s="22" t="s">
        <v>69</v>
      </c>
      <c r="I59" s="22" t="s">
        <v>19</v>
      </c>
      <c r="J59" s="22">
        <v>220</v>
      </c>
      <c r="K59" s="44"/>
      <c r="L59" s="44"/>
      <c r="M59" s="44"/>
      <c r="N59" s="44"/>
      <c r="O59" s="44" t="s">
        <v>29</v>
      </c>
      <c r="P59" s="44"/>
      <c r="Q59" s="44"/>
      <c r="R59" s="115" t="s">
        <v>70</v>
      </c>
      <c r="S59" s="44"/>
      <c r="T59" s="44" t="s">
        <v>29</v>
      </c>
      <c r="U59" s="44"/>
      <c r="V59" s="118" t="s">
        <v>326</v>
      </c>
      <c r="W59" s="22"/>
      <c r="X59" s="38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56</v>
      </c>
      <c r="E60" s="112" t="s">
        <v>114</v>
      </c>
      <c r="F60" s="113" t="s">
        <v>115</v>
      </c>
      <c r="G60" s="114">
        <v>39</v>
      </c>
      <c r="H60" s="22" t="s">
        <v>69</v>
      </c>
      <c r="I60" s="22" t="s">
        <v>33</v>
      </c>
      <c r="J60" s="22">
        <v>100</v>
      </c>
      <c r="K60" s="44"/>
      <c r="L60" s="44"/>
      <c r="M60" s="44"/>
      <c r="N60" s="44"/>
      <c r="O60" s="44" t="s">
        <v>29</v>
      </c>
      <c r="P60" s="44"/>
      <c r="Q60" s="44"/>
      <c r="R60" s="115" t="s">
        <v>70</v>
      </c>
      <c r="S60" s="44"/>
      <c r="T60" s="44" t="s">
        <v>29</v>
      </c>
      <c r="U60" s="44" t="s">
        <v>29</v>
      </c>
      <c r="V60" s="118" t="s">
        <v>327</v>
      </c>
      <c r="W60" s="22"/>
      <c r="X60" s="38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56</v>
      </c>
      <c r="E61" s="112" t="s">
        <v>114</v>
      </c>
      <c r="F61" s="113" t="s">
        <v>115</v>
      </c>
      <c r="G61" s="114">
        <v>72</v>
      </c>
      <c r="H61" s="22" t="s">
        <v>69</v>
      </c>
      <c r="I61" s="22" t="s">
        <v>33</v>
      </c>
      <c r="J61" s="22">
        <v>100</v>
      </c>
      <c r="K61" s="44"/>
      <c r="L61" s="44"/>
      <c r="M61" s="44"/>
      <c r="N61" s="44"/>
      <c r="O61" s="44" t="s">
        <v>29</v>
      </c>
      <c r="P61" s="44"/>
      <c r="Q61" s="44"/>
      <c r="R61" s="115" t="s">
        <v>70</v>
      </c>
      <c r="S61" s="44"/>
      <c r="T61" s="44" t="s">
        <v>29</v>
      </c>
      <c r="U61" s="44" t="s">
        <v>29</v>
      </c>
      <c r="V61" s="118" t="s">
        <v>327</v>
      </c>
      <c r="W61" s="22"/>
      <c r="X61" s="38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57</v>
      </c>
      <c r="E62" s="112" t="s">
        <v>73</v>
      </c>
      <c r="F62" s="113" t="s">
        <v>77</v>
      </c>
      <c r="G62" s="114">
        <v>56</v>
      </c>
      <c r="H62" s="22" t="s">
        <v>69</v>
      </c>
      <c r="I62" s="22" t="s">
        <v>30</v>
      </c>
      <c r="J62" s="22">
        <v>230</v>
      </c>
      <c r="K62" s="44"/>
      <c r="L62" s="44"/>
      <c r="M62" s="44"/>
      <c r="N62" s="44"/>
      <c r="O62" s="44"/>
      <c r="P62" s="44"/>
      <c r="Q62" s="44"/>
      <c r="R62" s="115" t="s">
        <v>70</v>
      </c>
      <c r="S62" s="44" t="s">
        <v>29</v>
      </c>
      <c r="T62" s="44" t="s">
        <v>29</v>
      </c>
      <c r="U62" s="44"/>
      <c r="V62" s="118" t="s">
        <v>328</v>
      </c>
      <c r="W62" s="22"/>
      <c r="X62" s="95"/>
      <c r="Y62" s="39" t="e">
        <f t="shared" si="0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27</v>
      </c>
      <c r="B63" s="43" t="s">
        <v>890</v>
      </c>
      <c r="C63" s="28">
        <v>44070</v>
      </c>
      <c r="D63" s="111" t="s">
        <v>58</v>
      </c>
      <c r="E63" s="112" t="s">
        <v>72</v>
      </c>
      <c r="F63" s="113" t="s">
        <v>76</v>
      </c>
      <c r="G63" s="114">
        <v>32</v>
      </c>
      <c r="H63" s="22" t="s">
        <v>69</v>
      </c>
      <c r="I63" s="22" t="s">
        <v>30</v>
      </c>
      <c r="J63" s="22">
        <v>230</v>
      </c>
      <c r="K63" s="44"/>
      <c r="L63" s="44"/>
      <c r="M63" s="44"/>
      <c r="N63" s="44"/>
      <c r="O63" s="44"/>
      <c r="P63" s="44"/>
      <c r="Q63" s="44"/>
      <c r="R63" s="115" t="s">
        <v>70</v>
      </c>
      <c r="S63" s="44" t="s">
        <v>29</v>
      </c>
      <c r="T63" s="44" t="s">
        <v>29</v>
      </c>
      <c r="U63" s="44"/>
      <c r="V63" s="27" t="s">
        <v>329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8">
        <v>44070</v>
      </c>
      <c r="D64" s="111" t="s">
        <v>58</v>
      </c>
      <c r="E64" s="112" t="s">
        <v>72</v>
      </c>
      <c r="F64" s="113" t="s">
        <v>76</v>
      </c>
      <c r="G64" s="114">
        <v>12</v>
      </c>
      <c r="H64" s="22" t="s">
        <v>69</v>
      </c>
      <c r="I64" s="22" t="s">
        <v>30</v>
      </c>
      <c r="J64" s="22">
        <v>230</v>
      </c>
      <c r="K64" s="44"/>
      <c r="L64" s="44"/>
      <c r="M64" s="44"/>
      <c r="N64" s="44"/>
      <c r="O64" s="44"/>
      <c r="P64" s="44"/>
      <c r="Q64" s="44"/>
      <c r="R64" s="115" t="s">
        <v>70</v>
      </c>
      <c r="S64" s="44" t="s">
        <v>29</v>
      </c>
      <c r="T64" s="44" t="s">
        <v>29</v>
      </c>
      <c r="U64" s="44"/>
      <c r="V64" s="27" t="s">
        <v>329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28">
        <v>44070</v>
      </c>
      <c r="D65" s="111" t="s">
        <v>59</v>
      </c>
      <c r="E65" s="112" t="s">
        <v>137</v>
      </c>
      <c r="F65" s="113" t="s">
        <v>138</v>
      </c>
      <c r="G65" s="114">
        <v>9</v>
      </c>
      <c r="H65" s="22" t="s">
        <v>69</v>
      </c>
      <c r="I65" s="22" t="s">
        <v>30</v>
      </c>
      <c r="J65" s="22">
        <v>230</v>
      </c>
      <c r="K65" s="44"/>
      <c r="L65" s="44"/>
      <c r="M65" s="44"/>
      <c r="N65" s="44"/>
      <c r="O65" s="44"/>
      <c r="P65" s="44"/>
      <c r="Q65" s="44"/>
      <c r="R65" s="115" t="s">
        <v>70</v>
      </c>
      <c r="S65" s="44" t="s">
        <v>29</v>
      </c>
      <c r="T65" s="44" t="s">
        <v>29</v>
      </c>
      <c r="U65" s="44"/>
      <c r="V65" s="118" t="s">
        <v>330</v>
      </c>
      <c r="W65" s="22"/>
      <c r="X65" s="95"/>
      <c r="Y65" s="39" t="e">
        <f t="shared" si="0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889</v>
      </c>
      <c r="C66" s="26">
        <v>44071</v>
      </c>
      <c r="D66" s="111" t="s">
        <v>54</v>
      </c>
      <c r="E66" s="112" t="s">
        <v>137</v>
      </c>
      <c r="F66" s="113" t="s">
        <v>138</v>
      </c>
      <c r="G66" s="114">
        <v>10</v>
      </c>
      <c r="H66" s="22" t="s">
        <v>69</v>
      </c>
      <c r="I66" s="22" t="s">
        <v>30</v>
      </c>
      <c r="J66" s="22">
        <v>230</v>
      </c>
      <c r="K66" s="44"/>
      <c r="L66" s="44"/>
      <c r="M66" s="44"/>
      <c r="N66" s="44"/>
      <c r="O66" s="44"/>
      <c r="P66" s="44"/>
      <c r="Q66" s="44"/>
      <c r="R66" s="115" t="s">
        <v>70</v>
      </c>
      <c r="S66" s="44" t="s">
        <v>29</v>
      </c>
      <c r="T66" s="44" t="s">
        <v>29</v>
      </c>
      <c r="U66" s="44"/>
      <c r="V66" s="27" t="s">
        <v>331</v>
      </c>
      <c r="W66" s="22"/>
      <c r="X66" s="95"/>
      <c r="Y66" s="39" t="e">
        <f t="shared" si="0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889</v>
      </c>
      <c r="C67" s="28">
        <v>44071</v>
      </c>
      <c r="D67" s="111" t="s">
        <v>55</v>
      </c>
      <c r="E67" s="112" t="s">
        <v>114</v>
      </c>
      <c r="F67" s="113" t="s">
        <v>115</v>
      </c>
      <c r="G67" s="114">
        <v>99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115" t="s">
        <v>70</v>
      </c>
      <c r="S67" s="44"/>
      <c r="T67" s="44" t="s">
        <v>29</v>
      </c>
      <c r="U67" s="44" t="s">
        <v>29</v>
      </c>
      <c r="V67" s="27" t="s">
        <v>332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28">
        <v>44071</v>
      </c>
      <c r="D68" s="111" t="s">
        <v>55</v>
      </c>
      <c r="E68" s="112" t="s">
        <v>114</v>
      </c>
      <c r="F68" s="113" t="s">
        <v>115</v>
      </c>
      <c r="G68" s="114">
        <v>72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 t="s">
        <v>29</v>
      </c>
      <c r="P68" s="44"/>
      <c r="Q68" s="44"/>
      <c r="R68" s="115" t="s">
        <v>70</v>
      </c>
      <c r="S68" s="44"/>
      <c r="T68" s="44" t="s">
        <v>29</v>
      </c>
      <c r="U68" s="44" t="s">
        <v>29</v>
      </c>
      <c r="V68" s="27" t="s">
        <v>332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28</v>
      </c>
      <c r="B69" s="43" t="s">
        <v>890</v>
      </c>
      <c r="C69" s="28">
        <v>44071</v>
      </c>
      <c r="D69" s="111" t="s">
        <v>56</v>
      </c>
      <c r="E69" s="112" t="s">
        <v>73</v>
      </c>
      <c r="F69" s="113" t="s">
        <v>77</v>
      </c>
      <c r="G69" s="114">
        <v>26</v>
      </c>
      <c r="H69" s="22" t="s">
        <v>69</v>
      </c>
      <c r="I69" s="22" t="s">
        <v>30</v>
      </c>
      <c r="J69" s="22">
        <v>230</v>
      </c>
      <c r="K69" s="44"/>
      <c r="L69" s="44"/>
      <c r="M69" s="44"/>
      <c r="N69" s="44"/>
      <c r="O69" s="44"/>
      <c r="P69" s="44"/>
      <c r="Q69" s="44"/>
      <c r="R69" s="115" t="s">
        <v>70</v>
      </c>
      <c r="S69" s="44" t="s">
        <v>29</v>
      </c>
      <c r="T69" s="44" t="s">
        <v>29</v>
      </c>
      <c r="U69" s="44"/>
      <c r="V69" s="118" t="s">
        <v>333</v>
      </c>
      <c r="W69" s="22"/>
      <c r="X69" s="95"/>
      <c r="Y69" s="39" t="e">
        <f t="shared" ref="Y69:Y148" si="2">IF(E69=E68,Y68,Y68+1)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28</v>
      </c>
      <c r="B70" s="43" t="s">
        <v>890</v>
      </c>
      <c r="C70" s="28">
        <v>44071</v>
      </c>
      <c r="D70" s="111" t="s">
        <v>57</v>
      </c>
      <c r="E70" s="112" t="s">
        <v>71</v>
      </c>
      <c r="F70" s="113" t="s">
        <v>75</v>
      </c>
      <c r="G70" s="114">
        <v>32</v>
      </c>
      <c r="H70" s="22" t="s">
        <v>69</v>
      </c>
      <c r="I70" s="22" t="s">
        <v>28</v>
      </c>
      <c r="J70" s="22">
        <v>230</v>
      </c>
      <c r="K70" s="44"/>
      <c r="L70" s="44"/>
      <c r="M70" s="44"/>
      <c r="N70" s="44"/>
      <c r="O70" s="44"/>
      <c r="P70" s="44"/>
      <c r="Q70" s="44"/>
      <c r="R70" s="115" t="s">
        <v>70</v>
      </c>
      <c r="S70" s="44" t="s">
        <v>29</v>
      </c>
      <c r="T70" s="44"/>
      <c r="U70" s="44"/>
      <c r="V70" s="118" t="s">
        <v>725</v>
      </c>
      <c r="W70" s="22"/>
      <c r="X70" s="95"/>
      <c r="Y70" s="39" t="e">
        <f>IF(E70=E68,Y68,Y68+1)</f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28">
        <v>44071</v>
      </c>
      <c r="D71" s="111" t="s">
        <v>57</v>
      </c>
      <c r="E71" s="112" t="s">
        <v>71</v>
      </c>
      <c r="F71" s="113" t="s">
        <v>75</v>
      </c>
      <c r="G71" s="114">
        <v>21</v>
      </c>
      <c r="H71" s="22" t="s">
        <v>69</v>
      </c>
      <c r="I71" s="22" t="s">
        <v>28</v>
      </c>
      <c r="J71" s="22">
        <v>230</v>
      </c>
      <c r="K71" s="44"/>
      <c r="L71" s="44"/>
      <c r="M71" s="44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725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889</v>
      </c>
      <c r="C72" s="26">
        <v>44072</v>
      </c>
      <c r="D72" s="111" t="s">
        <v>54</v>
      </c>
      <c r="E72" s="112" t="s">
        <v>71</v>
      </c>
      <c r="F72" s="113" t="s">
        <v>75</v>
      </c>
      <c r="G72" s="114">
        <v>29</v>
      </c>
      <c r="H72" s="22" t="s">
        <v>69</v>
      </c>
      <c r="I72" s="22" t="s">
        <v>28</v>
      </c>
      <c r="J72" s="22">
        <v>230</v>
      </c>
      <c r="K72" s="44"/>
      <c r="L72" s="44"/>
      <c r="M72" s="44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18" t="s">
        <v>726</v>
      </c>
      <c r="W72" s="22"/>
      <c r="X72" s="95"/>
      <c r="Y72" s="39" t="e">
        <f t="shared" si="2"/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889</v>
      </c>
      <c r="C73" s="28">
        <v>44072</v>
      </c>
      <c r="D73" s="111" t="s">
        <v>55</v>
      </c>
      <c r="E73" s="112" t="s">
        <v>74</v>
      </c>
      <c r="F73" s="113" t="s">
        <v>78</v>
      </c>
      <c r="G73" s="114">
        <v>14</v>
      </c>
      <c r="H73" s="22" t="s">
        <v>69</v>
      </c>
      <c r="I73" s="22" t="s">
        <v>28</v>
      </c>
      <c r="J73" s="22">
        <v>230</v>
      </c>
      <c r="K73" s="44"/>
      <c r="L73" s="44"/>
      <c r="M73" s="44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18" t="s">
        <v>727</v>
      </c>
      <c r="W73" s="22"/>
      <c r="X73" s="95"/>
      <c r="Y73" s="39" t="e">
        <f t="shared" si="2"/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29</v>
      </c>
      <c r="B74" s="43" t="s">
        <v>889</v>
      </c>
      <c r="C74" s="28">
        <v>44072</v>
      </c>
      <c r="D74" s="111" t="s">
        <v>56</v>
      </c>
      <c r="E74" s="112" t="s">
        <v>114</v>
      </c>
      <c r="F74" s="113" t="s">
        <v>115</v>
      </c>
      <c r="G74" s="114">
        <v>96</v>
      </c>
      <c r="H74" s="22" t="s">
        <v>69</v>
      </c>
      <c r="I74" s="22" t="s">
        <v>33</v>
      </c>
      <c r="J74" s="22">
        <v>100</v>
      </c>
      <c r="K74" s="44"/>
      <c r="L74" s="44"/>
      <c r="M74" s="44"/>
      <c r="N74" s="44"/>
      <c r="O74" s="44" t="s">
        <v>29</v>
      </c>
      <c r="P74" s="44"/>
      <c r="Q74" s="44"/>
      <c r="R74" s="115" t="s">
        <v>70</v>
      </c>
      <c r="S74" s="44"/>
      <c r="T74" s="44" t="s">
        <v>29</v>
      </c>
      <c r="U74" s="44" t="s">
        <v>29</v>
      </c>
      <c r="V74" s="27" t="s">
        <v>334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29</v>
      </c>
      <c r="B75" s="43" t="s">
        <v>890</v>
      </c>
      <c r="C75" s="28">
        <v>44072</v>
      </c>
      <c r="D75" s="111" t="s">
        <v>56</v>
      </c>
      <c r="E75" s="112" t="s">
        <v>114</v>
      </c>
      <c r="F75" s="113" t="s">
        <v>115</v>
      </c>
      <c r="G75" s="114">
        <v>74</v>
      </c>
      <c r="H75" s="22" t="s">
        <v>69</v>
      </c>
      <c r="I75" s="22" t="s">
        <v>33</v>
      </c>
      <c r="J75" s="22">
        <v>100</v>
      </c>
      <c r="K75" s="44"/>
      <c r="L75" s="44"/>
      <c r="M75" s="44"/>
      <c r="N75" s="44"/>
      <c r="O75" s="44" t="s">
        <v>29</v>
      </c>
      <c r="P75" s="44"/>
      <c r="Q75" s="44"/>
      <c r="R75" s="115" t="s">
        <v>70</v>
      </c>
      <c r="S75" s="44"/>
      <c r="T75" s="44" t="s">
        <v>29</v>
      </c>
      <c r="U75" s="44" t="s">
        <v>29</v>
      </c>
      <c r="V75" s="27" t="s">
        <v>334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29</v>
      </c>
      <c r="B76" s="43" t="s">
        <v>890</v>
      </c>
      <c r="C76" s="28">
        <v>44072</v>
      </c>
      <c r="D76" s="111" t="s">
        <v>57</v>
      </c>
      <c r="E76" s="112" t="s">
        <v>73</v>
      </c>
      <c r="F76" s="113" t="s">
        <v>77</v>
      </c>
      <c r="G76" s="114">
        <v>54</v>
      </c>
      <c r="H76" s="22" t="s">
        <v>69</v>
      </c>
      <c r="I76" s="22" t="s">
        <v>30</v>
      </c>
      <c r="J76" s="22">
        <v>230</v>
      </c>
      <c r="K76" s="44"/>
      <c r="L76" s="44"/>
      <c r="M76" s="44"/>
      <c r="N76" s="44"/>
      <c r="O76" s="44"/>
      <c r="P76" s="44"/>
      <c r="Q76" s="44"/>
      <c r="R76" s="115" t="s">
        <v>70</v>
      </c>
      <c r="S76" s="44" t="s">
        <v>29</v>
      </c>
      <c r="T76" s="44" t="s">
        <v>29</v>
      </c>
      <c r="U76" s="44"/>
      <c r="V76" s="27" t="s">
        <v>335</v>
      </c>
      <c r="W76" s="22"/>
      <c r="X76" s="95"/>
      <c r="Y76" s="39" t="e">
        <f t="shared" si="2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29</v>
      </c>
      <c r="B77" s="43" t="s">
        <v>890</v>
      </c>
      <c r="C77" s="28">
        <v>44072</v>
      </c>
      <c r="D77" s="111" t="s">
        <v>58</v>
      </c>
      <c r="E77" s="112" t="s">
        <v>142</v>
      </c>
      <c r="F77" s="113" t="s">
        <v>143</v>
      </c>
      <c r="G77" s="114">
        <v>32</v>
      </c>
      <c r="H77" s="22" t="s">
        <v>69</v>
      </c>
      <c r="I77" s="22" t="s">
        <v>19</v>
      </c>
      <c r="J77" s="22">
        <v>220</v>
      </c>
      <c r="K77" s="44"/>
      <c r="L77" s="44"/>
      <c r="M77" s="44"/>
      <c r="N77" s="44"/>
      <c r="O77" s="44" t="s">
        <v>29</v>
      </c>
      <c r="P77" s="44"/>
      <c r="Q77" s="44"/>
      <c r="R77" s="115" t="s">
        <v>70</v>
      </c>
      <c r="S77" s="44"/>
      <c r="T77" s="44" t="s">
        <v>29</v>
      </c>
      <c r="U77" s="44"/>
      <c r="V77" s="27" t="s">
        <v>336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889</v>
      </c>
      <c r="C78" s="28">
        <v>44072</v>
      </c>
      <c r="D78" s="111" t="s">
        <v>58</v>
      </c>
      <c r="E78" s="112" t="s">
        <v>142</v>
      </c>
      <c r="F78" s="113" t="s">
        <v>143</v>
      </c>
      <c r="G78" s="114">
        <v>21</v>
      </c>
      <c r="H78" s="22" t="s">
        <v>69</v>
      </c>
      <c r="I78" s="22" t="s">
        <v>19</v>
      </c>
      <c r="J78" s="22">
        <v>220</v>
      </c>
      <c r="K78" s="44"/>
      <c r="L78" s="44"/>
      <c r="M78" s="44"/>
      <c r="N78" s="44"/>
      <c r="O78" s="44" t="s">
        <v>29</v>
      </c>
      <c r="P78" s="44"/>
      <c r="Q78" s="44"/>
      <c r="R78" s="115" t="s">
        <v>70</v>
      </c>
      <c r="S78" s="44"/>
      <c r="T78" s="44" t="s">
        <v>29</v>
      </c>
      <c r="U78" s="44"/>
      <c r="V78" s="27" t="s">
        <v>336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889</v>
      </c>
      <c r="C79" s="26">
        <v>44074</v>
      </c>
      <c r="D79" s="111" t="s">
        <v>54</v>
      </c>
      <c r="E79" s="112" t="s">
        <v>142</v>
      </c>
      <c r="F79" s="113" t="s">
        <v>143</v>
      </c>
      <c r="G79" s="114">
        <v>3</v>
      </c>
      <c r="H79" s="22" t="s">
        <v>69</v>
      </c>
      <c r="I79" s="22" t="s">
        <v>19</v>
      </c>
      <c r="J79" s="22">
        <v>220</v>
      </c>
      <c r="K79" s="44"/>
      <c r="L79" s="44"/>
      <c r="M79" s="44"/>
      <c r="N79" s="44"/>
      <c r="O79" s="44" t="s">
        <v>29</v>
      </c>
      <c r="P79" s="44"/>
      <c r="Q79" s="44"/>
      <c r="R79" s="115" t="s">
        <v>70</v>
      </c>
      <c r="S79" s="44"/>
      <c r="T79" s="44" t="s">
        <v>29</v>
      </c>
      <c r="U79" s="44"/>
      <c r="V79" s="118" t="s">
        <v>337</v>
      </c>
      <c r="W79" s="22"/>
      <c r="X79" s="95"/>
      <c r="Y79" s="39" t="e">
        <f t="shared" si="2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889</v>
      </c>
      <c r="C80" s="28">
        <v>44074</v>
      </c>
      <c r="D80" s="111" t="s">
        <v>55</v>
      </c>
      <c r="E80" s="112" t="s">
        <v>74</v>
      </c>
      <c r="F80" s="113" t="s">
        <v>78</v>
      </c>
      <c r="G80" s="114">
        <v>28</v>
      </c>
      <c r="H80" s="22" t="s">
        <v>69</v>
      </c>
      <c r="I80" s="22" t="s">
        <v>28</v>
      </c>
      <c r="J80" s="22">
        <v>230</v>
      </c>
      <c r="K80" s="44"/>
      <c r="L80" s="44"/>
      <c r="M80" s="44"/>
      <c r="N80" s="44"/>
      <c r="O80" s="44"/>
      <c r="P80" s="44"/>
      <c r="Q80" s="44"/>
      <c r="R80" s="115" t="s">
        <v>70</v>
      </c>
      <c r="S80" s="44" t="s">
        <v>29</v>
      </c>
      <c r="T80" s="44"/>
      <c r="U80" s="44"/>
      <c r="V80" s="118" t="s">
        <v>728</v>
      </c>
      <c r="W80" s="22"/>
      <c r="X80" s="95"/>
      <c r="Y80" s="39" t="e">
        <f t="shared" si="2"/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31</v>
      </c>
      <c r="B81" s="43" t="s">
        <v>889</v>
      </c>
      <c r="C81" s="28">
        <v>44074</v>
      </c>
      <c r="D81" s="111" t="s">
        <v>56</v>
      </c>
      <c r="E81" s="112" t="s">
        <v>134</v>
      </c>
      <c r="F81" s="113" t="s">
        <v>135</v>
      </c>
      <c r="G81" s="114">
        <v>76</v>
      </c>
      <c r="H81" s="22" t="s">
        <v>69</v>
      </c>
      <c r="I81" s="22" t="s">
        <v>19</v>
      </c>
      <c r="J81" s="22">
        <v>220</v>
      </c>
      <c r="K81" s="44"/>
      <c r="L81" s="44"/>
      <c r="M81" s="44"/>
      <c r="N81" s="44"/>
      <c r="O81" s="44" t="s">
        <v>29</v>
      </c>
      <c r="P81" s="44"/>
      <c r="Q81" s="44"/>
      <c r="R81" s="115" t="s">
        <v>70</v>
      </c>
      <c r="S81" s="44"/>
      <c r="T81" s="44" t="s">
        <v>29</v>
      </c>
      <c r="U81" s="44"/>
      <c r="V81" s="27" t="s">
        <v>338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s="43" customFormat="1" ht="39.950000000000003" customHeight="1">
      <c r="A82" s="43">
        <v>31</v>
      </c>
      <c r="B82" s="43" t="s">
        <v>890</v>
      </c>
      <c r="C82" s="28">
        <v>44074</v>
      </c>
      <c r="D82" s="111" t="s">
        <v>56</v>
      </c>
      <c r="E82" s="112" t="s">
        <v>134</v>
      </c>
      <c r="F82" s="113" t="s">
        <v>135</v>
      </c>
      <c r="G82" s="114">
        <v>10</v>
      </c>
      <c r="H82" s="22" t="s">
        <v>69</v>
      </c>
      <c r="I82" s="22" t="s">
        <v>19</v>
      </c>
      <c r="J82" s="22">
        <v>220</v>
      </c>
      <c r="K82" s="44"/>
      <c r="L82" s="44"/>
      <c r="M82" s="44"/>
      <c r="N82" s="44"/>
      <c r="O82" s="44" t="s">
        <v>29</v>
      </c>
      <c r="P82" s="44"/>
      <c r="Q82" s="44"/>
      <c r="R82" s="115" t="s">
        <v>70</v>
      </c>
      <c r="S82" s="44"/>
      <c r="T82" s="44" t="s">
        <v>29</v>
      </c>
      <c r="U82" s="44"/>
      <c r="V82" s="27" t="s">
        <v>338</v>
      </c>
      <c r="W82" s="22"/>
      <c r="X82" s="95"/>
      <c r="Y82" s="39" t="e">
        <f>IF(E82=E80,Y80,Y80+1)</f>
        <v>#REF!</v>
      </c>
      <c r="Z82" s="39"/>
      <c r="AA82" s="1"/>
      <c r="AB82" s="40"/>
      <c r="AC82" s="41"/>
      <c r="AD82" s="42"/>
    </row>
    <row r="83" spans="1:30" s="43" customFormat="1" ht="39.950000000000003" customHeight="1">
      <c r="A83" s="43">
        <v>31</v>
      </c>
      <c r="B83" s="43" t="s">
        <v>890</v>
      </c>
      <c r="C83" s="28">
        <v>44074</v>
      </c>
      <c r="D83" s="111" t="s">
        <v>57</v>
      </c>
      <c r="E83" s="112" t="s">
        <v>108</v>
      </c>
      <c r="F83" s="113" t="s">
        <v>109</v>
      </c>
      <c r="G83" s="114">
        <v>86</v>
      </c>
      <c r="H83" s="22" t="s">
        <v>69</v>
      </c>
      <c r="I83" s="22" t="s">
        <v>19</v>
      </c>
      <c r="J83" s="22">
        <v>220</v>
      </c>
      <c r="K83" s="44"/>
      <c r="L83" s="44"/>
      <c r="M83" s="44"/>
      <c r="N83" s="44"/>
      <c r="O83" s="44" t="s">
        <v>29</v>
      </c>
      <c r="P83" s="44"/>
      <c r="Q83" s="44"/>
      <c r="R83" s="115" t="s">
        <v>70</v>
      </c>
      <c r="S83" s="44"/>
      <c r="T83" s="44" t="s">
        <v>29</v>
      </c>
      <c r="U83" s="44"/>
      <c r="V83" s="27" t="s">
        <v>339</v>
      </c>
      <c r="W83" s="22"/>
      <c r="X83" s="95"/>
      <c r="Y83" s="39" t="e">
        <f t="shared" si="2"/>
        <v>#REF!</v>
      </c>
      <c r="Z83" s="39"/>
      <c r="AA83" s="1"/>
      <c r="AB83" s="40"/>
      <c r="AC83" s="41"/>
      <c r="AD83" s="42"/>
    </row>
    <row r="84" spans="1:30" s="43" customFormat="1" ht="39.950000000000003" customHeight="1">
      <c r="A84" s="43">
        <v>31</v>
      </c>
      <c r="B84" s="43" t="s">
        <v>890</v>
      </c>
      <c r="C84" s="28">
        <v>44074</v>
      </c>
      <c r="D84" s="111" t="s">
        <v>58</v>
      </c>
      <c r="E84" s="112" t="s">
        <v>74</v>
      </c>
      <c r="F84" s="113" t="s">
        <v>78</v>
      </c>
      <c r="G84" s="114">
        <v>32</v>
      </c>
      <c r="H84" s="22" t="s">
        <v>69</v>
      </c>
      <c r="I84" s="22" t="s">
        <v>28</v>
      </c>
      <c r="J84" s="22">
        <v>230</v>
      </c>
      <c r="K84" s="44"/>
      <c r="L84" s="44"/>
      <c r="M84" s="44"/>
      <c r="N84" s="44"/>
      <c r="O84" s="44"/>
      <c r="P84" s="44"/>
      <c r="Q84" s="44"/>
      <c r="R84" s="115" t="s">
        <v>70</v>
      </c>
      <c r="S84" s="44" t="s">
        <v>29</v>
      </c>
      <c r="T84" s="44"/>
      <c r="U84" s="44"/>
      <c r="V84" s="118" t="s">
        <v>729</v>
      </c>
      <c r="W84" s="22"/>
      <c r="X84" s="95"/>
      <c r="Y84" s="39" t="e">
        <f>IF(E84=E82,Y82,Y82+1)</f>
        <v>#REF!</v>
      </c>
      <c r="Z84" s="39"/>
      <c r="AA84" s="1"/>
      <c r="AB84" s="40"/>
      <c r="AC84" s="41"/>
      <c r="AD84" s="42"/>
    </row>
    <row r="85" spans="1:30" s="43" customFormat="1" ht="39.950000000000003" customHeight="1">
      <c r="A85" s="43">
        <v>1</v>
      </c>
      <c r="B85" s="43" t="s">
        <v>889</v>
      </c>
      <c r="C85" s="28">
        <v>44074</v>
      </c>
      <c r="D85" s="111" t="s">
        <v>58</v>
      </c>
      <c r="E85" s="112" t="s">
        <v>74</v>
      </c>
      <c r="F85" s="113" t="s">
        <v>78</v>
      </c>
      <c r="G85" s="114">
        <v>21</v>
      </c>
      <c r="H85" s="22" t="s">
        <v>69</v>
      </c>
      <c r="I85" s="22" t="s">
        <v>28</v>
      </c>
      <c r="J85" s="22">
        <v>230</v>
      </c>
      <c r="K85" s="44"/>
      <c r="L85" s="44"/>
      <c r="M85" s="44"/>
      <c r="N85" s="44"/>
      <c r="O85" s="44"/>
      <c r="P85" s="44"/>
      <c r="Q85" s="44"/>
      <c r="R85" s="115" t="s">
        <v>70</v>
      </c>
      <c r="S85" s="44" t="s">
        <v>29</v>
      </c>
      <c r="T85" s="44"/>
      <c r="U85" s="44"/>
      <c r="V85" s="118" t="s">
        <v>729</v>
      </c>
      <c r="W85" s="22"/>
      <c r="X85" s="95"/>
      <c r="Y85" s="39" t="e">
        <f>IF(E85=E83,Y83,Y83+1)</f>
        <v>#REF!</v>
      </c>
      <c r="Z85" s="39"/>
      <c r="AA85" s="1"/>
      <c r="AB85" s="40"/>
      <c r="AC85" s="41"/>
      <c r="AD85" s="42"/>
    </row>
    <row r="86" spans="1:30" s="43" customFormat="1" ht="39.950000000000003" customHeight="1">
      <c r="A86" s="43">
        <v>1</v>
      </c>
      <c r="B86" s="43" t="s">
        <v>889</v>
      </c>
      <c r="C86" s="25">
        <v>44075</v>
      </c>
      <c r="D86" s="111" t="s">
        <v>54</v>
      </c>
      <c r="E86" s="112" t="s">
        <v>74</v>
      </c>
      <c r="F86" s="113" t="s">
        <v>78</v>
      </c>
      <c r="G86" s="114">
        <v>111</v>
      </c>
      <c r="H86" s="22" t="s">
        <v>69</v>
      </c>
      <c r="I86" s="22" t="s">
        <v>28</v>
      </c>
      <c r="J86" s="22">
        <v>230</v>
      </c>
      <c r="K86" s="44"/>
      <c r="L86" s="44"/>
      <c r="M86" s="44"/>
      <c r="N86" s="44"/>
      <c r="O86" s="44"/>
      <c r="P86" s="44"/>
      <c r="Q86" s="44"/>
      <c r="R86" s="115" t="s">
        <v>70</v>
      </c>
      <c r="S86" s="44" t="s">
        <v>29</v>
      </c>
      <c r="T86" s="44"/>
      <c r="U86" s="44"/>
      <c r="V86" s="118" t="s">
        <v>730</v>
      </c>
      <c r="W86" s="22"/>
      <c r="X86" s="95"/>
      <c r="Y86" s="39" t="e">
        <f t="shared" si="2"/>
        <v>#REF!</v>
      </c>
      <c r="Z86" s="39"/>
      <c r="AA86" s="1"/>
      <c r="AB86" s="40"/>
      <c r="AC86" s="41"/>
      <c r="AD86" s="42"/>
    </row>
    <row r="87" spans="1:30" s="43" customFormat="1" ht="39.950000000000003" customHeight="1">
      <c r="A87" s="43">
        <v>1</v>
      </c>
      <c r="B87" s="43" t="s">
        <v>889</v>
      </c>
      <c r="C87" s="18">
        <v>44075</v>
      </c>
      <c r="D87" s="111" t="s">
        <v>55</v>
      </c>
      <c r="E87" s="112" t="s">
        <v>134</v>
      </c>
      <c r="F87" s="113" t="s">
        <v>135</v>
      </c>
      <c r="G87" s="114">
        <v>32</v>
      </c>
      <c r="H87" s="22" t="s">
        <v>69</v>
      </c>
      <c r="I87" s="22" t="s">
        <v>19</v>
      </c>
      <c r="J87" s="22">
        <v>220</v>
      </c>
      <c r="K87" s="44"/>
      <c r="L87" s="44"/>
      <c r="M87" s="44"/>
      <c r="N87" s="44"/>
      <c r="O87" s="44" t="s">
        <v>29</v>
      </c>
      <c r="P87" s="44"/>
      <c r="Q87" s="44"/>
      <c r="R87" s="115" t="s">
        <v>70</v>
      </c>
      <c r="S87" s="44"/>
      <c r="T87" s="44" t="s">
        <v>29</v>
      </c>
      <c r="U87" s="44"/>
      <c r="V87" s="118" t="s">
        <v>340</v>
      </c>
      <c r="W87" s="22"/>
      <c r="X87" s="95"/>
      <c r="Y87" s="39" t="e">
        <f>IF(E87=E85,Y85,Y85+1)</f>
        <v>#REF!</v>
      </c>
      <c r="Z87" s="39"/>
      <c r="AA87" s="1"/>
      <c r="AB87" s="40"/>
      <c r="AC87" s="41"/>
      <c r="AD87" s="42"/>
    </row>
    <row r="88" spans="1:30" s="43" customFormat="1" ht="39.950000000000003" customHeight="1">
      <c r="A88" s="43">
        <v>1</v>
      </c>
      <c r="B88" s="43" t="s">
        <v>890</v>
      </c>
      <c r="C88" s="18">
        <v>44075</v>
      </c>
      <c r="D88" s="111" t="s">
        <v>55</v>
      </c>
      <c r="E88" s="112" t="s">
        <v>134</v>
      </c>
      <c r="F88" s="113" t="s">
        <v>135</v>
      </c>
      <c r="G88" s="114">
        <v>132</v>
      </c>
      <c r="H88" s="22" t="s">
        <v>69</v>
      </c>
      <c r="I88" s="22" t="s">
        <v>19</v>
      </c>
      <c r="J88" s="22">
        <v>220</v>
      </c>
      <c r="K88" s="44"/>
      <c r="L88" s="44"/>
      <c r="M88" s="44"/>
      <c r="N88" s="44"/>
      <c r="O88" s="44" t="s">
        <v>29</v>
      </c>
      <c r="P88" s="44"/>
      <c r="Q88" s="44"/>
      <c r="R88" s="115" t="s">
        <v>70</v>
      </c>
      <c r="S88" s="44"/>
      <c r="T88" s="44" t="s">
        <v>29</v>
      </c>
      <c r="U88" s="44"/>
      <c r="V88" s="118" t="s">
        <v>340</v>
      </c>
      <c r="W88" s="22"/>
      <c r="X88" s="95"/>
      <c r="Y88" s="39" t="e">
        <f>IF(E88=E86,Y86,Y86+1)</f>
        <v>#REF!</v>
      </c>
      <c r="Z88" s="39"/>
      <c r="AA88" s="1"/>
      <c r="AB88" s="40"/>
      <c r="AC88" s="41"/>
      <c r="AD88" s="42"/>
    </row>
    <row r="89" spans="1:30" s="43" customFormat="1" ht="39.950000000000003" customHeight="1">
      <c r="A89" s="43">
        <v>1</v>
      </c>
      <c r="B89" s="43" t="s">
        <v>890</v>
      </c>
      <c r="C89" s="18">
        <v>44075</v>
      </c>
      <c r="D89" s="111" t="s">
        <v>56</v>
      </c>
      <c r="E89" s="112" t="s">
        <v>71</v>
      </c>
      <c r="F89" s="113" t="s">
        <v>75</v>
      </c>
      <c r="G89" s="114">
        <v>32</v>
      </c>
      <c r="H89" s="22" t="s">
        <v>69</v>
      </c>
      <c r="I89" s="22" t="s">
        <v>28</v>
      </c>
      <c r="J89" s="22">
        <v>230</v>
      </c>
      <c r="K89" s="44"/>
      <c r="L89" s="44"/>
      <c r="M89" s="44"/>
      <c r="N89" s="44"/>
      <c r="O89" s="44"/>
      <c r="P89" s="44"/>
      <c r="Q89" s="44"/>
      <c r="R89" s="115" t="s">
        <v>70</v>
      </c>
      <c r="S89" s="44" t="s">
        <v>29</v>
      </c>
      <c r="T89" s="44"/>
      <c r="U89" s="44"/>
      <c r="V89" s="118" t="s">
        <v>731</v>
      </c>
      <c r="W89" s="22"/>
      <c r="X89" s="95"/>
      <c r="Y89" s="39" t="e">
        <f>IF(E89=E87,Y87,Y87+1)</f>
        <v>#REF!</v>
      </c>
      <c r="Z89" s="39"/>
      <c r="AA89" s="1"/>
      <c r="AB89" s="40"/>
      <c r="AC89" s="41"/>
      <c r="AD89" s="42"/>
    </row>
    <row r="90" spans="1:30" s="43" customFormat="1" ht="39.950000000000003" customHeight="1">
      <c r="A90" s="43">
        <v>2</v>
      </c>
      <c r="B90" s="43" t="s">
        <v>889</v>
      </c>
      <c r="C90" s="18">
        <v>44075</v>
      </c>
      <c r="D90" s="111" t="s">
        <v>56</v>
      </c>
      <c r="E90" s="112" t="s">
        <v>71</v>
      </c>
      <c r="F90" s="113" t="s">
        <v>75</v>
      </c>
      <c r="G90" s="114">
        <v>21</v>
      </c>
      <c r="H90" s="22" t="s">
        <v>69</v>
      </c>
      <c r="I90" s="22" t="s">
        <v>28</v>
      </c>
      <c r="J90" s="22">
        <v>230</v>
      </c>
      <c r="K90" s="44"/>
      <c r="L90" s="44"/>
      <c r="M90" s="44"/>
      <c r="N90" s="44"/>
      <c r="O90" s="44"/>
      <c r="P90" s="44"/>
      <c r="Q90" s="44"/>
      <c r="R90" s="115" t="s">
        <v>70</v>
      </c>
      <c r="S90" s="44" t="s">
        <v>29</v>
      </c>
      <c r="T90" s="44"/>
      <c r="U90" s="44"/>
      <c r="V90" s="118" t="s">
        <v>731</v>
      </c>
      <c r="W90" s="22"/>
      <c r="X90" s="95"/>
      <c r="Y90" s="39" t="e">
        <f>IF(E90=E88,Y88,Y88+1)</f>
        <v>#REF!</v>
      </c>
      <c r="Z90" s="39"/>
      <c r="AA90" s="1"/>
      <c r="AB90" s="40"/>
      <c r="AC90" s="41"/>
      <c r="AD90" s="42"/>
    </row>
    <row r="91" spans="1:30" s="43" customFormat="1" ht="39.950000000000003" customHeight="1">
      <c r="A91" s="43">
        <v>2</v>
      </c>
      <c r="B91" s="43" t="s">
        <v>889</v>
      </c>
      <c r="C91" s="25">
        <v>44076</v>
      </c>
      <c r="D91" s="111" t="s">
        <v>54</v>
      </c>
      <c r="E91" s="112" t="s">
        <v>71</v>
      </c>
      <c r="F91" s="113" t="s">
        <v>75</v>
      </c>
      <c r="G91" s="114">
        <v>38</v>
      </c>
      <c r="H91" s="22" t="s">
        <v>69</v>
      </c>
      <c r="I91" s="22" t="s">
        <v>28</v>
      </c>
      <c r="J91" s="22">
        <v>230</v>
      </c>
      <c r="K91" s="44"/>
      <c r="L91" s="44"/>
      <c r="M91" s="44"/>
      <c r="N91" s="44"/>
      <c r="O91" s="44"/>
      <c r="P91" s="44"/>
      <c r="Q91" s="44"/>
      <c r="R91" s="115" t="s">
        <v>70</v>
      </c>
      <c r="S91" s="44" t="s">
        <v>29</v>
      </c>
      <c r="T91" s="44"/>
      <c r="U91" s="44"/>
      <c r="V91" s="118" t="s">
        <v>732</v>
      </c>
      <c r="W91" s="22"/>
      <c r="X91" s="95"/>
      <c r="Y91" s="39" t="e">
        <f t="shared" si="2"/>
        <v>#REF!</v>
      </c>
      <c r="Z91" s="39"/>
      <c r="AA91" s="1"/>
      <c r="AB91" s="40"/>
      <c r="AC91" s="41"/>
      <c r="AD91" s="42"/>
    </row>
    <row r="92" spans="1:30" s="43" customFormat="1" ht="39.950000000000003" customHeight="1">
      <c r="A92" s="43">
        <v>2</v>
      </c>
      <c r="B92" s="43" t="s">
        <v>889</v>
      </c>
      <c r="C92" s="18">
        <v>44076</v>
      </c>
      <c r="D92" s="111" t="s">
        <v>55</v>
      </c>
      <c r="E92" s="112" t="s">
        <v>72</v>
      </c>
      <c r="F92" s="113" t="s">
        <v>76</v>
      </c>
      <c r="G92" s="114">
        <v>73</v>
      </c>
      <c r="H92" s="22" t="s">
        <v>69</v>
      </c>
      <c r="I92" s="22" t="s">
        <v>30</v>
      </c>
      <c r="J92" s="22">
        <v>230</v>
      </c>
      <c r="K92" s="44"/>
      <c r="L92" s="44"/>
      <c r="M92" s="44"/>
      <c r="N92" s="44"/>
      <c r="O92" s="44"/>
      <c r="P92" s="44"/>
      <c r="Q92" s="44"/>
      <c r="R92" s="115" t="s">
        <v>70</v>
      </c>
      <c r="S92" s="44" t="s">
        <v>29</v>
      </c>
      <c r="T92" s="44" t="s">
        <v>29</v>
      </c>
      <c r="U92" s="44"/>
      <c r="V92" s="118" t="s">
        <v>341</v>
      </c>
      <c r="W92" s="22"/>
      <c r="X92" s="95"/>
      <c r="Y92" s="39" t="e">
        <f t="shared" si="2"/>
        <v>#REF!</v>
      </c>
      <c r="Z92" s="39"/>
      <c r="AA92" s="1"/>
      <c r="AB92" s="40"/>
      <c r="AC92" s="41"/>
      <c r="AD92" s="42"/>
    </row>
    <row r="93" spans="1:30" s="43" customFormat="1" ht="39.950000000000003" customHeight="1">
      <c r="A93" s="43">
        <v>2</v>
      </c>
      <c r="B93" s="43" t="s">
        <v>889</v>
      </c>
      <c r="C93" s="18">
        <v>44076</v>
      </c>
      <c r="D93" s="144" t="s">
        <v>56</v>
      </c>
      <c r="E93" s="124" t="s">
        <v>134</v>
      </c>
      <c r="F93" s="125" t="s">
        <v>135</v>
      </c>
      <c r="G93" s="126">
        <v>36</v>
      </c>
      <c r="H93" s="45" t="s">
        <v>69</v>
      </c>
      <c r="I93" s="55" t="s">
        <v>19</v>
      </c>
      <c r="J93" s="55">
        <v>220</v>
      </c>
      <c r="K93" s="46"/>
      <c r="L93" s="46"/>
      <c r="M93" s="44"/>
      <c r="N93" s="44"/>
      <c r="O93" s="44" t="s">
        <v>29</v>
      </c>
      <c r="P93" s="44"/>
      <c r="Q93" s="44"/>
      <c r="R93" s="115" t="s">
        <v>70</v>
      </c>
      <c r="S93" s="44"/>
      <c r="T93" s="44" t="s">
        <v>29</v>
      </c>
      <c r="U93" s="44"/>
      <c r="V93" s="118" t="s">
        <v>342</v>
      </c>
      <c r="W93" s="22"/>
      <c r="X93" s="95"/>
      <c r="Y93" s="39" t="e">
        <f>IF(E93=E91,Y91,Y91+1)</f>
        <v>#REF!</v>
      </c>
      <c r="Z93" s="39"/>
      <c r="AA93" s="1"/>
      <c r="AB93" s="40"/>
      <c r="AC93" s="41"/>
      <c r="AD93" s="42"/>
    </row>
    <row r="94" spans="1:30" s="43" customFormat="1" ht="39.950000000000003" customHeight="1">
      <c r="A94" s="43">
        <v>2</v>
      </c>
      <c r="B94" s="43" t="s">
        <v>890</v>
      </c>
      <c r="C94" s="18">
        <v>44076</v>
      </c>
      <c r="D94" s="144" t="s">
        <v>56</v>
      </c>
      <c r="E94" s="124" t="s">
        <v>134</v>
      </c>
      <c r="F94" s="125" t="s">
        <v>135</v>
      </c>
      <c r="G94" s="126">
        <v>50</v>
      </c>
      <c r="H94" s="45" t="s">
        <v>69</v>
      </c>
      <c r="I94" s="55" t="s">
        <v>19</v>
      </c>
      <c r="J94" s="55">
        <v>220</v>
      </c>
      <c r="K94" s="46"/>
      <c r="L94" s="46"/>
      <c r="M94" s="44"/>
      <c r="N94" s="44"/>
      <c r="O94" s="44" t="s">
        <v>29</v>
      </c>
      <c r="P94" s="44"/>
      <c r="Q94" s="44"/>
      <c r="R94" s="115" t="s">
        <v>70</v>
      </c>
      <c r="S94" s="44"/>
      <c r="T94" s="44" t="s">
        <v>29</v>
      </c>
      <c r="U94" s="44"/>
      <c r="V94" s="118" t="s">
        <v>342</v>
      </c>
      <c r="W94" s="22"/>
      <c r="X94" s="95"/>
      <c r="Y94" s="39" t="e">
        <f>IF(E94=E92,Y92,Y92+1)</f>
        <v>#REF!</v>
      </c>
      <c r="Z94" s="39"/>
      <c r="AA94" s="1"/>
      <c r="AB94" s="40"/>
      <c r="AC94" s="41"/>
      <c r="AD94" s="42"/>
    </row>
    <row r="95" spans="1:30" s="43" customFormat="1" ht="39.950000000000003" customHeight="1">
      <c r="A95" s="43">
        <v>2</v>
      </c>
      <c r="B95" s="43" t="s">
        <v>890</v>
      </c>
      <c r="C95" s="18">
        <v>44076</v>
      </c>
      <c r="D95" s="144" t="s">
        <v>57</v>
      </c>
      <c r="E95" s="124" t="s">
        <v>108</v>
      </c>
      <c r="F95" s="125" t="s">
        <v>109</v>
      </c>
      <c r="G95" s="126">
        <v>86</v>
      </c>
      <c r="H95" s="45" t="s">
        <v>69</v>
      </c>
      <c r="I95" s="55" t="s">
        <v>19</v>
      </c>
      <c r="J95" s="55">
        <v>220</v>
      </c>
      <c r="K95" s="46"/>
      <c r="L95" s="46"/>
      <c r="M95" s="44"/>
      <c r="N95" s="44"/>
      <c r="O95" s="44" t="s">
        <v>29</v>
      </c>
      <c r="P95" s="44"/>
      <c r="Q95" s="44"/>
      <c r="R95" s="115" t="s">
        <v>70</v>
      </c>
      <c r="S95" s="44"/>
      <c r="T95" s="44" t="s">
        <v>29</v>
      </c>
      <c r="U95" s="44"/>
      <c r="V95" s="118" t="s">
        <v>343</v>
      </c>
      <c r="W95" s="22"/>
      <c r="X95" s="95"/>
      <c r="Y95" s="39" t="e">
        <f t="shared" si="2"/>
        <v>#REF!</v>
      </c>
      <c r="Z95" s="39"/>
      <c r="AA95" s="1"/>
      <c r="AB95" s="40"/>
      <c r="AC95" s="41"/>
      <c r="AD95" s="42"/>
    </row>
    <row r="96" spans="1:30" s="43" customFormat="1" ht="39.950000000000003" customHeight="1">
      <c r="A96" s="43">
        <v>2</v>
      </c>
      <c r="B96" s="43" t="s">
        <v>890</v>
      </c>
      <c r="C96" s="18">
        <v>44076</v>
      </c>
      <c r="D96" s="144" t="s">
        <v>58</v>
      </c>
      <c r="E96" s="124" t="s">
        <v>71</v>
      </c>
      <c r="F96" s="125" t="s">
        <v>75</v>
      </c>
      <c r="G96" s="126">
        <v>32</v>
      </c>
      <c r="H96" s="45" t="s">
        <v>69</v>
      </c>
      <c r="I96" s="55" t="s">
        <v>28</v>
      </c>
      <c r="J96" s="55">
        <v>230</v>
      </c>
      <c r="K96" s="46"/>
      <c r="L96" s="46"/>
      <c r="M96" s="44"/>
      <c r="N96" s="44"/>
      <c r="O96" s="44"/>
      <c r="P96" s="44"/>
      <c r="Q96" s="44"/>
      <c r="R96" s="115" t="s">
        <v>70</v>
      </c>
      <c r="S96" s="44" t="s">
        <v>29</v>
      </c>
      <c r="T96" s="44"/>
      <c r="U96" s="44"/>
      <c r="V96" s="19" t="s">
        <v>733</v>
      </c>
      <c r="W96" s="22"/>
      <c r="X96" s="95"/>
      <c r="Y96" s="39" t="e">
        <f>IF(E96=E94,Y94,Y94+1)</f>
        <v>#REF!</v>
      </c>
      <c r="Z96" s="39"/>
      <c r="AA96" s="1"/>
      <c r="AB96" s="40"/>
      <c r="AC96" s="41"/>
      <c r="AD96" s="42"/>
    </row>
    <row r="97" spans="1:30" s="43" customFormat="1" ht="39.950000000000003" customHeight="1">
      <c r="A97" s="43">
        <v>3</v>
      </c>
      <c r="B97" s="43" t="s">
        <v>889</v>
      </c>
      <c r="C97" s="18">
        <v>44076</v>
      </c>
      <c r="D97" s="144" t="s">
        <v>58</v>
      </c>
      <c r="E97" s="124" t="s">
        <v>71</v>
      </c>
      <c r="F97" s="125" t="s">
        <v>75</v>
      </c>
      <c r="G97" s="126">
        <v>21</v>
      </c>
      <c r="H97" s="45" t="s">
        <v>69</v>
      </c>
      <c r="I97" s="55" t="s">
        <v>28</v>
      </c>
      <c r="J97" s="55">
        <v>230</v>
      </c>
      <c r="K97" s="46"/>
      <c r="L97" s="46"/>
      <c r="M97" s="44"/>
      <c r="N97" s="44"/>
      <c r="O97" s="44"/>
      <c r="P97" s="44"/>
      <c r="Q97" s="44"/>
      <c r="R97" s="115" t="s">
        <v>70</v>
      </c>
      <c r="S97" s="44" t="s">
        <v>29</v>
      </c>
      <c r="T97" s="44"/>
      <c r="U97" s="44"/>
      <c r="V97" s="19" t="s">
        <v>733</v>
      </c>
      <c r="W97" s="22"/>
      <c r="X97" s="95"/>
      <c r="Y97" s="39" t="e">
        <f>IF(E97=E95,Y95,Y95+1)</f>
        <v>#REF!</v>
      </c>
      <c r="Z97" s="39"/>
      <c r="AA97" s="1"/>
      <c r="AB97" s="40"/>
      <c r="AC97" s="41"/>
      <c r="AD97" s="42"/>
    </row>
    <row r="98" spans="1:30" s="43" customFormat="1" ht="39.950000000000003" customHeight="1">
      <c r="A98" s="43">
        <v>3</v>
      </c>
      <c r="B98" s="43" t="s">
        <v>889</v>
      </c>
      <c r="C98" s="25">
        <v>44077</v>
      </c>
      <c r="D98" s="144" t="s">
        <v>54</v>
      </c>
      <c r="E98" s="124" t="s">
        <v>71</v>
      </c>
      <c r="F98" s="125" t="s">
        <v>75</v>
      </c>
      <c r="G98" s="126">
        <v>47</v>
      </c>
      <c r="H98" s="45" t="s">
        <v>69</v>
      </c>
      <c r="I98" s="55" t="s">
        <v>28</v>
      </c>
      <c r="J98" s="55">
        <v>230</v>
      </c>
      <c r="K98" s="46"/>
      <c r="L98" s="46"/>
      <c r="M98" s="44"/>
      <c r="N98" s="44"/>
      <c r="O98" s="44"/>
      <c r="P98" s="44"/>
      <c r="Q98" s="44"/>
      <c r="R98" s="115" t="s">
        <v>70</v>
      </c>
      <c r="S98" s="44" t="s">
        <v>29</v>
      </c>
      <c r="T98" s="44"/>
      <c r="U98" s="44"/>
      <c r="V98" s="19" t="s">
        <v>734</v>
      </c>
      <c r="W98" s="22"/>
      <c r="X98" s="95"/>
      <c r="Y98" s="39" t="e">
        <f t="shared" si="2"/>
        <v>#REF!</v>
      </c>
      <c r="Z98" s="39"/>
      <c r="AA98" s="1"/>
      <c r="AB98" s="40"/>
      <c r="AC98" s="41"/>
      <c r="AD98" s="42"/>
    </row>
    <row r="99" spans="1:30" s="43" customFormat="1" ht="39.950000000000003" customHeight="1">
      <c r="A99" s="43">
        <v>3</v>
      </c>
      <c r="B99" s="43" t="s">
        <v>889</v>
      </c>
      <c r="C99" s="18">
        <v>44077</v>
      </c>
      <c r="D99" s="144" t="s">
        <v>55</v>
      </c>
      <c r="E99" s="124" t="s">
        <v>114</v>
      </c>
      <c r="F99" s="125" t="s">
        <v>115</v>
      </c>
      <c r="G99" s="126">
        <v>92</v>
      </c>
      <c r="H99" s="45" t="s">
        <v>69</v>
      </c>
      <c r="I99" s="55" t="s">
        <v>33</v>
      </c>
      <c r="J99" s="55">
        <v>100</v>
      </c>
      <c r="K99" s="46"/>
      <c r="L99" s="46"/>
      <c r="M99" s="44"/>
      <c r="N99" s="44"/>
      <c r="O99" s="44" t="s">
        <v>29</v>
      </c>
      <c r="P99" s="44"/>
      <c r="Q99" s="44"/>
      <c r="R99" s="115" t="s">
        <v>70</v>
      </c>
      <c r="S99" s="44"/>
      <c r="T99" s="44" t="s">
        <v>29</v>
      </c>
      <c r="U99" s="44" t="s">
        <v>29</v>
      </c>
      <c r="V99" s="93" t="s">
        <v>344</v>
      </c>
      <c r="W99" s="22"/>
      <c r="X99" s="95"/>
      <c r="Y99" s="39" t="e">
        <f>IF(E99=E97,Y97,Y97+1)</f>
        <v>#REF!</v>
      </c>
      <c r="Z99" s="39"/>
      <c r="AA99" s="1"/>
      <c r="AB99" s="40"/>
      <c r="AC99" s="41"/>
      <c r="AD99" s="42"/>
    </row>
    <row r="100" spans="1:30" s="43" customFormat="1" ht="39.950000000000003" customHeight="1">
      <c r="A100" s="43">
        <v>3</v>
      </c>
      <c r="B100" s="43" t="s">
        <v>890</v>
      </c>
      <c r="C100" s="18">
        <v>44077</v>
      </c>
      <c r="D100" s="144" t="s">
        <v>55</v>
      </c>
      <c r="E100" s="124" t="s">
        <v>114</v>
      </c>
      <c r="F100" s="125" t="s">
        <v>115</v>
      </c>
      <c r="G100" s="126">
        <v>10</v>
      </c>
      <c r="H100" s="45" t="s">
        <v>69</v>
      </c>
      <c r="I100" s="55" t="s">
        <v>33</v>
      </c>
      <c r="J100" s="55">
        <v>100</v>
      </c>
      <c r="K100" s="46"/>
      <c r="L100" s="46"/>
      <c r="M100" s="44"/>
      <c r="N100" s="44"/>
      <c r="O100" s="44" t="s">
        <v>29</v>
      </c>
      <c r="P100" s="44"/>
      <c r="Q100" s="44"/>
      <c r="R100" s="115" t="s">
        <v>70</v>
      </c>
      <c r="S100" s="44"/>
      <c r="T100" s="44" t="s">
        <v>29</v>
      </c>
      <c r="U100" s="44" t="s">
        <v>29</v>
      </c>
      <c r="V100" s="93" t="s">
        <v>344</v>
      </c>
      <c r="W100" s="22"/>
      <c r="X100" s="95"/>
      <c r="Y100" s="39" t="e">
        <f>IF(E100=E98,Y98,Y98+1)</f>
        <v>#REF!</v>
      </c>
      <c r="Z100" s="39"/>
      <c r="AA100" s="1"/>
      <c r="AB100" s="40"/>
      <c r="AC100" s="41"/>
      <c r="AD100" s="42"/>
    </row>
    <row r="101" spans="1:30" s="43" customFormat="1" ht="39.950000000000003" customHeight="1">
      <c r="A101" s="43">
        <v>3</v>
      </c>
      <c r="B101" s="43" t="s">
        <v>890</v>
      </c>
      <c r="C101" s="18">
        <v>44077</v>
      </c>
      <c r="D101" s="144" t="s">
        <v>56</v>
      </c>
      <c r="E101" s="124" t="s">
        <v>73</v>
      </c>
      <c r="F101" s="125" t="s">
        <v>77</v>
      </c>
      <c r="G101" s="126">
        <v>118</v>
      </c>
      <c r="H101" s="45" t="s">
        <v>69</v>
      </c>
      <c r="I101" s="55" t="s">
        <v>30</v>
      </c>
      <c r="J101" s="55">
        <v>230</v>
      </c>
      <c r="K101" s="46"/>
      <c r="L101" s="46"/>
      <c r="M101" s="44"/>
      <c r="N101" s="44"/>
      <c r="O101" s="44"/>
      <c r="P101" s="44"/>
      <c r="Q101" s="44"/>
      <c r="R101" s="115" t="s">
        <v>70</v>
      </c>
      <c r="S101" s="44" t="s">
        <v>29</v>
      </c>
      <c r="T101" s="44" t="s">
        <v>29</v>
      </c>
      <c r="U101" s="44"/>
      <c r="V101" s="93" t="s">
        <v>345</v>
      </c>
      <c r="W101" s="22"/>
      <c r="X101" s="95"/>
      <c r="Y101" s="39" t="e">
        <f t="shared" si="2"/>
        <v>#REF!</v>
      </c>
      <c r="Z101" s="39"/>
      <c r="AA101" s="1"/>
      <c r="AB101" s="40"/>
      <c r="AC101" s="41"/>
      <c r="AD101" s="42"/>
    </row>
    <row r="102" spans="1:30" ht="39.950000000000003" customHeight="1">
      <c r="A102" s="5">
        <v>3</v>
      </c>
      <c r="B102" s="5" t="s">
        <v>890</v>
      </c>
      <c r="C102" s="18">
        <v>44077</v>
      </c>
      <c r="D102" s="144" t="s">
        <v>57</v>
      </c>
      <c r="E102" s="124" t="s">
        <v>71</v>
      </c>
      <c r="F102" s="125" t="s">
        <v>75</v>
      </c>
      <c r="G102" s="126">
        <v>32</v>
      </c>
      <c r="H102" s="45" t="s">
        <v>69</v>
      </c>
      <c r="I102" s="55" t="s">
        <v>28</v>
      </c>
      <c r="J102" s="55">
        <v>230</v>
      </c>
      <c r="K102" s="46"/>
      <c r="L102" s="46"/>
      <c r="M102" s="46"/>
      <c r="N102" s="46"/>
      <c r="O102" s="46"/>
      <c r="P102" s="46"/>
      <c r="Q102" s="46"/>
      <c r="R102" s="91" t="s">
        <v>70</v>
      </c>
      <c r="S102" s="46" t="s">
        <v>29</v>
      </c>
      <c r="T102" s="46"/>
      <c r="U102" s="46"/>
      <c r="V102" s="24" t="s">
        <v>735</v>
      </c>
      <c r="W102" s="29"/>
      <c r="Y102" s="39" t="e">
        <f>IF(E102=E100,Y100,Y100+1)</f>
        <v>#REF!</v>
      </c>
    </row>
    <row r="103" spans="1:30" ht="39.950000000000003" customHeight="1">
      <c r="A103" s="5">
        <v>4</v>
      </c>
      <c r="B103" s="5" t="s">
        <v>889</v>
      </c>
      <c r="C103" s="18">
        <v>44077</v>
      </c>
      <c r="D103" s="144" t="s">
        <v>57</v>
      </c>
      <c r="E103" s="124" t="s">
        <v>71</v>
      </c>
      <c r="F103" s="125" t="s">
        <v>75</v>
      </c>
      <c r="G103" s="126">
        <v>21</v>
      </c>
      <c r="H103" s="45" t="s">
        <v>69</v>
      </c>
      <c r="I103" s="55" t="s">
        <v>28</v>
      </c>
      <c r="J103" s="55">
        <v>230</v>
      </c>
      <c r="K103" s="46"/>
      <c r="L103" s="46"/>
      <c r="M103" s="46"/>
      <c r="N103" s="46"/>
      <c r="O103" s="46"/>
      <c r="P103" s="46"/>
      <c r="Q103" s="46"/>
      <c r="R103" s="91" t="s">
        <v>70</v>
      </c>
      <c r="S103" s="46" t="s">
        <v>29</v>
      </c>
      <c r="T103" s="46"/>
      <c r="U103" s="46"/>
      <c r="V103" s="24" t="s">
        <v>735</v>
      </c>
      <c r="W103" s="29"/>
      <c r="Y103" s="39" t="e">
        <f>IF(E103=E101,Y101,Y101+1)</f>
        <v>#REF!</v>
      </c>
    </row>
    <row r="104" spans="1:30" ht="39.950000000000003" customHeight="1">
      <c r="A104" s="5">
        <v>4</v>
      </c>
      <c r="B104" s="5" t="s">
        <v>889</v>
      </c>
      <c r="C104" s="25">
        <v>44078</v>
      </c>
      <c r="D104" s="144" t="s">
        <v>54</v>
      </c>
      <c r="E104" s="124" t="s">
        <v>71</v>
      </c>
      <c r="F104" s="125" t="s">
        <v>75</v>
      </c>
      <c r="G104" s="126">
        <v>47</v>
      </c>
      <c r="H104" s="45" t="s">
        <v>69</v>
      </c>
      <c r="I104" s="55" t="s">
        <v>28</v>
      </c>
      <c r="J104" s="55">
        <v>230</v>
      </c>
      <c r="K104" s="46"/>
      <c r="L104" s="46"/>
      <c r="M104" s="46"/>
      <c r="N104" s="46"/>
      <c r="O104" s="46"/>
      <c r="P104" s="46"/>
      <c r="Q104" s="46"/>
      <c r="R104" s="91" t="s">
        <v>70</v>
      </c>
      <c r="S104" s="46" t="s">
        <v>29</v>
      </c>
      <c r="T104" s="46"/>
      <c r="U104" s="46"/>
      <c r="V104" s="96" t="s">
        <v>736</v>
      </c>
      <c r="W104" s="29"/>
      <c r="Y104" s="39" t="e">
        <f t="shared" si="2"/>
        <v>#REF!</v>
      </c>
    </row>
    <row r="105" spans="1:30" ht="39.950000000000003" customHeight="1">
      <c r="A105" s="5">
        <v>4</v>
      </c>
      <c r="B105" s="5" t="s">
        <v>889</v>
      </c>
      <c r="C105" s="18">
        <v>44078</v>
      </c>
      <c r="D105" s="144" t="s">
        <v>55</v>
      </c>
      <c r="E105" s="124" t="s">
        <v>114</v>
      </c>
      <c r="F105" s="125" t="s">
        <v>115</v>
      </c>
      <c r="G105" s="126">
        <v>92</v>
      </c>
      <c r="H105" s="45" t="s">
        <v>69</v>
      </c>
      <c r="I105" s="55" t="s">
        <v>33</v>
      </c>
      <c r="J105" s="55">
        <v>100</v>
      </c>
      <c r="K105" s="46"/>
      <c r="L105" s="46"/>
      <c r="M105" s="29"/>
      <c r="N105" s="97"/>
      <c r="O105" s="97" t="s">
        <v>29</v>
      </c>
      <c r="P105" s="97"/>
      <c r="Q105" s="97"/>
      <c r="R105" s="91" t="s">
        <v>70</v>
      </c>
      <c r="S105" s="97"/>
      <c r="T105" s="97" t="s">
        <v>29</v>
      </c>
      <c r="U105" s="97" t="s">
        <v>29</v>
      </c>
      <c r="V105" s="96" t="s">
        <v>346</v>
      </c>
      <c r="W105" s="29"/>
      <c r="Y105" s="39" t="e">
        <f>IF(E105=E103,Y103,Y103+1)</f>
        <v>#REF!</v>
      </c>
    </row>
    <row r="106" spans="1:30" ht="39.950000000000003" customHeight="1">
      <c r="A106" s="5">
        <v>4</v>
      </c>
      <c r="B106" s="5" t="s">
        <v>890</v>
      </c>
      <c r="C106" s="18">
        <v>44078</v>
      </c>
      <c r="D106" s="144" t="s">
        <v>55</v>
      </c>
      <c r="E106" s="124" t="s">
        <v>114</v>
      </c>
      <c r="F106" s="125" t="s">
        <v>115</v>
      </c>
      <c r="G106" s="126">
        <v>78</v>
      </c>
      <c r="H106" s="45" t="s">
        <v>69</v>
      </c>
      <c r="I106" s="55" t="s">
        <v>33</v>
      </c>
      <c r="J106" s="55">
        <v>100</v>
      </c>
      <c r="K106" s="46"/>
      <c r="L106" s="46"/>
      <c r="M106" s="29"/>
      <c r="N106" s="97"/>
      <c r="O106" s="97" t="s">
        <v>29</v>
      </c>
      <c r="P106" s="97"/>
      <c r="Q106" s="97"/>
      <c r="R106" s="91" t="s">
        <v>70</v>
      </c>
      <c r="S106" s="97"/>
      <c r="T106" s="97" t="s">
        <v>29</v>
      </c>
      <c r="U106" s="97" t="s">
        <v>29</v>
      </c>
      <c r="V106" s="96" t="s">
        <v>346</v>
      </c>
      <c r="W106" s="29"/>
      <c r="Y106" s="39" t="e">
        <f>IF(E106=E104,Y104,Y104+1)</f>
        <v>#REF!</v>
      </c>
    </row>
    <row r="107" spans="1:30" ht="39.950000000000003" customHeight="1">
      <c r="A107" s="5">
        <v>4</v>
      </c>
      <c r="B107" s="5" t="s">
        <v>890</v>
      </c>
      <c r="C107" s="18">
        <v>44078</v>
      </c>
      <c r="D107" s="144" t="s">
        <v>56</v>
      </c>
      <c r="E107" s="124" t="s">
        <v>196</v>
      </c>
      <c r="F107" s="125" t="s">
        <v>197</v>
      </c>
      <c r="G107" s="126">
        <v>50</v>
      </c>
      <c r="H107" s="45" t="s">
        <v>69</v>
      </c>
      <c r="I107" s="55" t="s">
        <v>28</v>
      </c>
      <c r="J107" s="55">
        <v>230</v>
      </c>
      <c r="K107" s="46"/>
      <c r="L107" s="46"/>
      <c r="M107" s="29"/>
      <c r="N107" s="97"/>
      <c r="O107" s="97"/>
      <c r="P107" s="97"/>
      <c r="Q107" s="97"/>
      <c r="R107" s="91" t="s">
        <v>70</v>
      </c>
      <c r="S107" s="97" t="s">
        <v>29</v>
      </c>
      <c r="T107" s="97"/>
      <c r="U107" s="97"/>
      <c r="V107" s="96" t="s">
        <v>737</v>
      </c>
      <c r="W107" s="29"/>
      <c r="Y107" s="39" t="e">
        <f t="shared" si="2"/>
        <v>#REF!</v>
      </c>
    </row>
    <row r="108" spans="1:30" ht="39.950000000000003" customHeight="1">
      <c r="A108" s="5">
        <v>4</v>
      </c>
      <c r="B108" s="5" t="s">
        <v>890</v>
      </c>
      <c r="C108" s="18">
        <v>44078</v>
      </c>
      <c r="D108" s="144" t="s">
        <v>57</v>
      </c>
      <c r="E108" s="124" t="s">
        <v>71</v>
      </c>
      <c r="F108" s="125" t="s">
        <v>75</v>
      </c>
      <c r="G108" s="126">
        <v>32</v>
      </c>
      <c r="H108" s="45" t="s">
        <v>69</v>
      </c>
      <c r="I108" s="55" t="s">
        <v>28</v>
      </c>
      <c r="J108" s="55">
        <v>230</v>
      </c>
      <c r="K108" s="46"/>
      <c r="L108" s="46"/>
      <c r="M108" s="29"/>
      <c r="N108" s="97"/>
      <c r="O108" s="97"/>
      <c r="P108" s="97"/>
      <c r="Q108" s="97"/>
      <c r="R108" s="91" t="s">
        <v>70</v>
      </c>
      <c r="S108" s="97" t="s">
        <v>29</v>
      </c>
      <c r="T108" s="97"/>
      <c r="U108" s="97"/>
      <c r="V108" s="96" t="s">
        <v>738</v>
      </c>
      <c r="W108" s="29"/>
      <c r="Y108" s="39" t="e">
        <f>IF(E108=E106,Y106,Y106+1)</f>
        <v>#REF!</v>
      </c>
    </row>
    <row r="109" spans="1:30" ht="39.950000000000003" customHeight="1">
      <c r="A109" s="5">
        <v>8</v>
      </c>
      <c r="B109" s="5" t="s">
        <v>889</v>
      </c>
      <c r="C109" s="18">
        <v>44078</v>
      </c>
      <c r="D109" s="144" t="s">
        <v>57</v>
      </c>
      <c r="E109" s="124" t="s">
        <v>71</v>
      </c>
      <c r="F109" s="125" t="s">
        <v>75</v>
      </c>
      <c r="G109" s="126">
        <v>21</v>
      </c>
      <c r="H109" s="45" t="s">
        <v>69</v>
      </c>
      <c r="I109" s="55" t="s">
        <v>28</v>
      </c>
      <c r="J109" s="55">
        <v>230</v>
      </c>
      <c r="K109" s="46"/>
      <c r="L109" s="46"/>
      <c r="M109" s="29"/>
      <c r="N109" s="97"/>
      <c r="O109" s="97"/>
      <c r="P109" s="97"/>
      <c r="Q109" s="97"/>
      <c r="R109" s="91" t="s">
        <v>70</v>
      </c>
      <c r="S109" s="97" t="s">
        <v>29</v>
      </c>
      <c r="T109" s="97"/>
      <c r="U109" s="97"/>
      <c r="V109" s="96" t="s">
        <v>738</v>
      </c>
      <c r="W109" s="29"/>
      <c r="Y109" s="39" t="e">
        <f>IF(E109=E107,Y107,Y107+1)</f>
        <v>#REF!</v>
      </c>
    </row>
    <row r="110" spans="1:30" ht="39.950000000000003" customHeight="1">
      <c r="A110" s="5">
        <v>8</v>
      </c>
      <c r="B110" s="5" t="s">
        <v>889</v>
      </c>
      <c r="C110" s="25">
        <v>44079</v>
      </c>
      <c r="D110" s="144" t="s">
        <v>54</v>
      </c>
      <c r="E110" s="124" t="s">
        <v>71</v>
      </c>
      <c r="F110" s="125" t="s">
        <v>75</v>
      </c>
      <c r="G110" s="126">
        <v>47</v>
      </c>
      <c r="H110" s="45" t="s">
        <v>69</v>
      </c>
      <c r="I110" s="55" t="s">
        <v>28</v>
      </c>
      <c r="J110" s="55">
        <v>230</v>
      </c>
      <c r="K110" s="46"/>
      <c r="L110" s="46"/>
      <c r="M110" s="29"/>
      <c r="N110" s="97"/>
      <c r="O110" s="97"/>
      <c r="P110" s="97"/>
      <c r="Q110" s="97"/>
      <c r="R110" s="119" t="s">
        <v>70</v>
      </c>
      <c r="S110" s="97" t="s">
        <v>29</v>
      </c>
      <c r="T110" s="97"/>
      <c r="U110" s="97"/>
      <c r="V110" s="29" t="s">
        <v>739</v>
      </c>
      <c r="W110" s="29"/>
      <c r="Y110" s="39" t="e">
        <f t="shared" si="2"/>
        <v>#REF!</v>
      </c>
    </row>
    <row r="111" spans="1:30" ht="39.950000000000003" customHeight="1">
      <c r="A111" s="5">
        <v>8</v>
      </c>
      <c r="B111" s="5" t="s">
        <v>889</v>
      </c>
      <c r="C111" s="18">
        <v>44079</v>
      </c>
      <c r="D111" s="144" t="s">
        <v>55</v>
      </c>
      <c r="E111" s="124" t="s">
        <v>114</v>
      </c>
      <c r="F111" s="125" t="s">
        <v>115</v>
      </c>
      <c r="G111" s="126">
        <v>90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119" t="s">
        <v>70</v>
      </c>
      <c r="S111" s="97"/>
      <c r="T111" s="97" t="s">
        <v>29</v>
      </c>
      <c r="U111" s="97" t="s">
        <v>29</v>
      </c>
      <c r="V111" s="96" t="s">
        <v>347</v>
      </c>
      <c r="W111" s="29"/>
      <c r="Y111" s="39" t="e">
        <f>IF(E111=E109,Y109,Y109+1)</f>
        <v>#REF!</v>
      </c>
    </row>
    <row r="112" spans="1:30" ht="39.950000000000003" customHeight="1">
      <c r="A112" s="5">
        <v>8</v>
      </c>
      <c r="B112" s="5" t="s">
        <v>890</v>
      </c>
      <c r="C112" s="18">
        <v>44079</v>
      </c>
      <c r="D112" s="144" t="s">
        <v>55</v>
      </c>
      <c r="E112" s="124" t="s">
        <v>114</v>
      </c>
      <c r="F112" s="125" t="s">
        <v>115</v>
      </c>
      <c r="G112" s="126">
        <v>38</v>
      </c>
      <c r="H112" s="45" t="s">
        <v>69</v>
      </c>
      <c r="I112" s="55" t="s">
        <v>33</v>
      </c>
      <c r="J112" s="55">
        <v>100</v>
      </c>
      <c r="K112" s="46"/>
      <c r="L112" s="46"/>
      <c r="M112" s="29"/>
      <c r="N112" s="97"/>
      <c r="O112" s="97" t="s">
        <v>29</v>
      </c>
      <c r="P112" s="97"/>
      <c r="Q112" s="97"/>
      <c r="R112" s="119" t="s">
        <v>70</v>
      </c>
      <c r="S112" s="97"/>
      <c r="T112" s="97" t="s">
        <v>29</v>
      </c>
      <c r="U112" s="97" t="s">
        <v>29</v>
      </c>
      <c r="V112" s="96" t="s">
        <v>347</v>
      </c>
      <c r="W112" s="29"/>
      <c r="Y112" s="39" t="e">
        <f>IF(E112=E110,Y110,Y110+1)</f>
        <v>#REF!</v>
      </c>
    </row>
    <row r="113" spans="1:25" ht="39.950000000000003" customHeight="1">
      <c r="A113" s="5">
        <v>8</v>
      </c>
      <c r="B113" s="5" t="s">
        <v>890</v>
      </c>
      <c r="C113" s="18">
        <v>44079</v>
      </c>
      <c r="D113" s="144" t="s">
        <v>56</v>
      </c>
      <c r="E113" s="124" t="s">
        <v>196</v>
      </c>
      <c r="F113" s="125" t="s">
        <v>197</v>
      </c>
      <c r="G113" s="126">
        <v>32</v>
      </c>
      <c r="H113" s="45" t="s">
        <v>69</v>
      </c>
      <c r="I113" s="55" t="s">
        <v>28</v>
      </c>
      <c r="J113" s="55">
        <v>230</v>
      </c>
      <c r="K113" s="46"/>
      <c r="L113" s="46"/>
      <c r="M113" s="29"/>
      <c r="N113" s="97"/>
      <c r="O113" s="97"/>
      <c r="P113" s="97"/>
      <c r="Q113" s="97"/>
      <c r="R113" s="119" t="s">
        <v>70</v>
      </c>
      <c r="S113" s="97" t="s">
        <v>29</v>
      </c>
      <c r="T113" s="97"/>
      <c r="U113" s="97"/>
      <c r="V113" s="96" t="s">
        <v>740</v>
      </c>
      <c r="W113" s="29"/>
      <c r="Y113" s="39" t="e">
        <f t="shared" si="2"/>
        <v>#REF!</v>
      </c>
    </row>
    <row r="114" spans="1:25" ht="39.950000000000003" customHeight="1">
      <c r="A114" s="5">
        <v>8</v>
      </c>
      <c r="B114" s="5" t="s">
        <v>890</v>
      </c>
      <c r="C114" s="18">
        <v>44079</v>
      </c>
      <c r="D114" s="144" t="s">
        <v>57</v>
      </c>
      <c r="E114" s="124" t="s">
        <v>142</v>
      </c>
      <c r="F114" s="125" t="s">
        <v>143</v>
      </c>
      <c r="G114" s="126">
        <v>9</v>
      </c>
      <c r="H114" s="45" t="s">
        <v>69</v>
      </c>
      <c r="I114" s="55" t="s">
        <v>19</v>
      </c>
      <c r="J114" s="55">
        <v>220</v>
      </c>
      <c r="K114" s="46"/>
      <c r="L114" s="46"/>
      <c r="M114" s="29"/>
      <c r="N114" s="97"/>
      <c r="O114" s="97" t="s">
        <v>29</v>
      </c>
      <c r="P114" s="97"/>
      <c r="Q114" s="97"/>
      <c r="R114" s="91" t="s">
        <v>70</v>
      </c>
      <c r="S114" s="97"/>
      <c r="T114" s="97" t="s">
        <v>29</v>
      </c>
      <c r="U114" s="97"/>
      <c r="V114" s="96" t="s">
        <v>348</v>
      </c>
      <c r="W114" s="29"/>
      <c r="Y114" s="39" t="e">
        <f t="shared" si="2"/>
        <v>#REF!</v>
      </c>
    </row>
    <row r="115" spans="1:25" ht="39.950000000000003" customHeight="1">
      <c r="A115" s="5">
        <v>8</v>
      </c>
      <c r="B115" s="5" t="s">
        <v>890</v>
      </c>
      <c r="C115" s="18">
        <v>44079</v>
      </c>
      <c r="D115" s="144" t="s">
        <v>58</v>
      </c>
      <c r="E115" s="124" t="s">
        <v>74</v>
      </c>
      <c r="F115" s="125" t="s">
        <v>78</v>
      </c>
      <c r="G115" s="126">
        <v>44</v>
      </c>
      <c r="H115" s="45" t="s">
        <v>69</v>
      </c>
      <c r="I115" s="55" t="s">
        <v>28</v>
      </c>
      <c r="J115" s="55">
        <v>230</v>
      </c>
      <c r="K115" s="46"/>
      <c r="L115" s="46"/>
      <c r="M115" s="29"/>
      <c r="N115" s="97"/>
      <c r="O115" s="97"/>
      <c r="P115" s="97"/>
      <c r="Q115" s="97"/>
      <c r="R115" s="91" t="s">
        <v>70</v>
      </c>
      <c r="S115" s="97" t="s">
        <v>29</v>
      </c>
      <c r="T115" s="97"/>
      <c r="U115" s="97"/>
      <c r="V115" s="96" t="s">
        <v>741</v>
      </c>
      <c r="W115" s="29"/>
      <c r="Y115" s="39" t="e">
        <f t="shared" si="2"/>
        <v>#REF!</v>
      </c>
    </row>
    <row r="116" spans="1:25" ht="39.950000000000003" customHeight="1">
      <c r="A116" s="5">
        <v>8</v>
      </c>
      <c r="B116" s="5" t="s">
        <v>890</v>
      </c>
      <c r="C116" s="25">
        <v>44081</v>
      </c>
      <c r="D116" s="144" t="s">
        <v>54</v>
      </c>
      <c r="E116" s="124" t="s">
        <v>74</v>
      </c>
      <c r="F116" s="125" t="s">
        <v>78</v>
      </c>
      <c r="G116" s="126">
        <v>35</v>
      </c>
      <c r="H116" s="45" t="s">
        <v>69</v>
      </c>
      <c r="I116" s="55" t="s">
        <v>28</v>
      </c>
      <c r="J116" s="55">
        <v>230</v>
      </c>
      <c r="K116" s="46"/>
      <c r="L116" s="46"/>
      <c r="M116" s="29"/>
      <c r="N116" s="97"/>
      <c r="O116" s="97"/>
      <c r="P116" s="97"/>
      <c r="Q116" s="97"/>
      <c r="R116" s="119" t="s">
        <v>70</v>
      </c>
      <c r="S116" s="97" t="s">
        <v>29</v>
      </c>
      <c r="T116" s="97"/>
      <c r="U116" s="97"/>
      <c r="V116" s="96" t="s">
        <v>742</v>
      </c>
      <c r="W116" s="29"/>
      <c r="Y116" s="39" t="e">
        <f>IF(E116=E114,Y114,Y114+1)</f>
        <v>#REF!</v>
      </c>
    </row>
    <row r="117" spans="1:25" ht="39.950000000000003" customHeight="1">
      <c r="A117" s="5">
        <v>9</v>
      </c>
      <c r="B117" s="5" t="s">
        <v>889</v>
      </c>
      <c r="C117" s="25">
        <v>44081</v>
      </c>
      <c r="D117" s="144" t="s">
        <v>54</v>
      </c>
      <c r="E117" s="124" t="s">
        <v>74</v>
      </c>
      <c r="F117" s="125" t="s">
        <v>78</v>
      </c>
      <c r="G117" s="126">
        <v>37</v>
      </c>
      <c r="H117" s="45" t="s">
        <v>69</v>
      </c>
      <c r="I117" s="55" t="s">
        <v>28</v>
      </c>
      <c r="J117" s="55">
        <v>230</v>
      </c>
      <c r="K117" s="46"/>
      <c r="L117" s="46"/>
      <c r="M117" s="29"/>
      <c r="N117" s="97"/>
      <c r="O117" s="97"/>
      <c r="P117" s="97"/>
      <c r="Q117" s="97"/>
      <c r="R117" s="119" t="s">
        <v>70</v>
      </c>
      <c r="S117" s="97" t="s">
        <v>29</v>
      </c>
      <c r="T117" s="97"/>
      <c r="U117" s="97"/>
      <c r="V117" s="96" t="s">
        <v>742</v>
      </c>
      <c r="W117" s="29"/>
      <c r="Y117" s="39" t="e">
        <f>IF(E117=E115,Y115,Y115+1)</f>
        <v>#REF!</v>
      </c>
    </row>
    <row r="118" spans="1:25" ht="39.950000000000003" customHeight="1">
      <c r="A118" s="5">
        <v>9</v>
      </c>
      <c r="B118" s="5" t="s">
        <v>889</v>
      </c>
      <c r="C118" s="18">
        <v>44081</v>
      </c>
      <c r="D118" s="144" t="s">
        <v>55</v>
      </c>
      <c r="E118" s="124" t="s">
        <v>114</v>
      </c>
      <c r="F118" s="125" t="s">
        <v>115</v>
      </c>
      <c r="G118" s="126">
        <v>43</v>
      </c>
      <c r="H118" s="45" t="s">
        <v>69</v>
      </c>
      <c r="I118" s="55" t="s">
        <v>33</v>
      </c>
      <c r="J118" s="55">
        <v>100</v>
      </c>
      <c r="K118" s="46"/>
      <c r="L118" s="46"/>
      <c r="M118" s="29"/>
      <c r="N118" s="97"/>
      <c r="O118" s="97" t="s">
        <v>29</v>
      </c>
      <c r="P118" s="97"/>
      <c r="Q118" s="97"/>
      <c r="R118" s="119" t="s">
        <v>70</v>
      </c>
      <c r="S118" s="97"/>
      <c r="T118" s="97" t="s">
        <v>29</v>
      </c>
      <c r="U118" s="97" t="s">
        <v>29</v>
      </c>
      <c r="V118" s="29" t="s">
        <v>349</v>
      </c>
      <c r="W118" s="29"/>
      <c r="Y118" s="39" t="e">
        <f t="shared" si="2"/>
        <v>#REF!</v>
      </c>
    </row>
    <row r="119" spans="1:25" ht="39.950000000000003" customHeight="1">
      <c r="A119" s="5">
        <v>9</v>
      </c>
      <c r="B119" s="5" t="s">
        <v>889</v>
      </c>
      <c r="C119" s="18">
        <v>44081</v>
      </c>
      <c r="D119" s="144" t="s">
        <v>56</v>
      </c>
      <c r="E119" s="124" t="s">
        <v>73</v>
      </c>
      <c r="F119" s="125" t="s">
        <v>77</v>
      </c>
      <c r="G119" s="126">
        <v>88</v>
      </c>
      <c r="H119" s="45" t="s">
        <v>69</v>
      </c>
      <c r="I119" s="55" t="s">
        <v>30</v>
      </c>
      <c r="J119" s="55">
        <v>230</v>
      </c>
      <c r="K119" s="46"/>
      <c r="L119" s="46"/>
      <c r="M119" s="29"/>
      <c r="N119" s="97"/>
      <c r="O119" s="97"/>
      <c r="P119" s="97"/>
      <c r="Q119" s="97"/>
      <c r="R119" s="91" t="s">
        <v>70</v>
      </c>
      <c r="S119" s="97" t="s">
        <v>29</v>
      </c>
      <c r="T119" s="97" t="s">
        <v>29</v>
      </c>
      <c r="U119" s="97"/>
      <c r="V119" s="29" t="s">
        <v>350</v>
      </c>
      <c r="W119" s="29"/>
      <c r="Y119" s="39" t="e">
        <f t="shared" si="2"/>
        <v>#REF!</v>
      </c>
    </row>
    <row r="120" spans="1:25" ht="39.950000000000003" customHeight="1">
      <c r="A120" s="5">
        <v>9</v>
      </c>
      <c r="B120" s="5" t="s">
        <v>890</v>
      </c>
      <c r="C120" s="18">
        <v>44081</v>
      </c>
      <c r="D120" s="144" t="s">
        <v>57</v>
      </c>
      <c r="E120" s="124" t="s">
        <v>71</v>
      </c>
      <c r="F120" s="125" t="s">
        <v>75</v>
      </c>
      <c r="G120" s="126">
        <v>53</v>
      </c>
      <c r="H120" s="45" t="s">
        <v>69</v>
      </c>
      <c r="I120" s="55" t="s">
        <v>28</v>
      </c>
      <c r="J120" s="55">
        <v>230</v>
      </c>
      <c r="K120" s="46"/>
      <c r="L120" s="46"/>
      <c r="M120" s="29"/>
      <c r="N120" s="97"/>
      <c r="O120" s="97"/>
      <c r="P120" s="97"/>
      <c r="Q120" s="97"/>
      <c r="R120" s="91" t="s">
        <v>70</v>
      </c>
      <c r="S120" s="97" t="s">
        <v>29</v>
      </c>
      <c r="T120" s="97"/>
      <c r="U120" s="97"/>
      <c r="V120" s="96" t="s">
        <v>743</v>
      </c>
      <c r="W120" s="29"/>
      <c r="Y120" s="39" t="e">
        <f>IF(E120=E119,Y119,Y119+1)</f>
        <v>#REF!</v>
      </c>
    </row>
    <row r="121" spans="1:25" ht="39.950000000000003" customHeight="1">
      <c r="A121" s="5">
        <v>9</v>
      </c>
      <c r="B121" s="5" t="s">
        <v>890</v>
      </c>
      <c r="C121" s="25">
        <v>44082</v>
      </c>
      <c r="D121" s="144" t="s">
        <v>54</v>
      </c>
      <c r="E121" s="124" t="s">
        <v>71</v>
      </c>
      <c r="F121" s="125" t="s">
        <v>75</v>
      </c>
      <c r="G121" s="126">
        <v>10</v>
      </c>
      <c r="H121" s="45" t="s">
        <v>69</v>
      </c>
      <c r="I121" s="55" t="s">
        <v>28</v>
      </c>
      <c r="J121" s="55">
        <v>230</v>
      </c>
      <c r="K121" s="46"/>
      <c r="L121" s="46"/>
      <c r="M121" s="29"/>
      <c r="N121" s="97"/>
      <c r="O121" s="97"/>
      <c r="P121" s="97"/>
      <c r="Q121" s="97"/>
      <c r="R121" s="91" t="s">
        <v>70</v>
      </c>
      <c r="S121" s="97" t="s">
        <v>29</v>
      </c>
      <c r="T121" s="97"/>
      <c r="U121" s="97"/>
      <c r="V121" s="29" t="s">
        <v>744</v>
      </c>
      <c r="W121" s="29"/>
      <c r="Y121" s="39" t="e">
        <f t="shared" si="2"/>
        <v>#REF!</v>
      </c>
    </row>
    <row r="122" spans="1:25" ht="39.950000000000003" customHeight="1">
      <c r="A122" s="5">
        <v>9</v>
      </c>
      <c r="B122" s="5" t="s">
        <v>890</v>
      </c>
      <c r="C122" s="18">
        <v>44082</v>
      </c>
      <c r="D122" s="144" t="s">
        <v>55</v>
      </c>
      <c r="E122" s="124" t="s">
        <v>114</v>
      </c>
      <c r="F122" s="125" t="s">
        <v>115</v>
      </c>
      <c r="G122" s="126">
        <v>51</v>
      </c>
      <c r="H122" s="45" t="s">
        <v>69</v>
      </c>
      <c r="I122" s="55" t="s">
        <v>33</v>
      </c>
      <c r="J122" s="55">
        <v>100</v>
      </c>
      <c r="K122" s="46"/>
      <c r="L122" s="46"/>
      <c r="M122" s="29"/>
      <c r="N122" s="97"/>
      <c r="O122" s="97" t="s">
        <v>29</v>
      </c>
      <c r="P122" s="97"/>
      <c r="Q122" s="97"/>
      <c r="R122" s="119" t="s">
        <v>70</v>
      </c>
      <c r="S122" s="97"/>
      <c r="T122" s="97" t="s">
        <v>29</v>
      </c>
      <c r="U122" s="97" t="s">
        <v>29</v>
      </c>
      <c r="V122" s="29" t="s">
        <v>351</v>
      </c>
      <c r="W122" s="29"/>
      <c r="Y122" s="39" t="e">
        <f t="shared" si="2"/>
        <v>#REF!</v>
      </c>
    </row>
    <row r="123" spans="1:25" ht="39.950000000000003" customHeight="1">
      <c r="A123" s="5">
        <v>9</v>
      </c>
      <c r="B123" s="5" t="s">
        <v>890</v>
      </c>
      <c r="C123" s="18">
        <v>44082</v>
      </c>
      <c r="D123" s="144" t="s">
        <v>56</v>
      </c>
      <c r="E123" s="124" t="s">
        <v>196</v>
      </c>
      <c r="F123" s="125" t="s">
        <v>197</v>
      </c>
      <c r="G123" s="126">
        <v>54</v>
      </c>
      <c r="H123" s="45" t="s">
        <v>69</v>
      </c>
      <c r="I123" s="55" t="s">
        <v>28</v>
      </c>
      <c r="J123" s="55">
        <v>230</v>
      </c>
      <c r="K123" s="46"/>
      <c r="L123" s="46"/>
      <c r="M123" s="29"/>
      <c r="N123" s="97"/>
      <c r="O123" s="97"/>
      <c r="P123" s="97"/>
      <c r="Q123" s="97"/>
      <c r="R123" s="119" t="s">
        <v>70</v>
      </c>
      <c r="S123" s="97" t="s">
        <v>29</v>
      </c>
      <c r="T123" s="97"/>
      <c r="U123" s="97"/>
      <c r="V123" s="96" t="s">
        <v>745</v>
      </c>
      <c r="W123" s="29"/>
      <c r="Y123" s="39" t="e">
        <f>IF(E123=E121,Y121,Y121+1)</f>
        <v>#REF!</v>
      </c>
    </row>
    <row r="124" spans="1:25" ht="39.950000000000003" customHeight="1">
      <c r="A124" s="5">
        <v>10</v>
      </c>
      <c r="B124" s="5" t="s">
        <v>889</v>
      </c>
      <c r="C124" s="18">
        <v>44082</v>
      </c>
      <c r="D124" s="144" t="s">
        <v>56</v>
      </c>
      <c r="E124" s="124" t="s">
        <v>196</v>
      </c>
      <c r="F124" s="125" t="s">
        <v>197</v>
      </c>
      <c r="G124" s="126">
        <v>126</v>
      </c>
      <c r="H124" s="45" t="s">
        <v>69</v>
      </c>
      <c r="I124" s="55" t="s">
        <v>28</v>
      </c>
      <c r="J124" s="55">
        <v>230</v>
      </c>
      <c r="K124" s="46"/>
      <c r="L124" s="46"/>
      <c r="M124" s="29"/>
      <c r="N124" s="97"/>
      <c r="O124" s="97"/>
      <c r="P124" s="97"/>
      <c r="Q124" s="97"/>
      <c r="R124" s="119" t="s">
        <v>70</v>
      </c>
      <c r="S124" s="97" t="s">
        <v>29</v>
      </c>
      <c r="T124" s="97"/>
      <c r="U124" s="97"/>
      <c r="V124" s="96" t="s">
        <v>745</v>
      </c>
      <c r="W124" s="29"/>
      <c r="Y124" s="39" t="e">
        <f>IF(E124=E122,Y122,Y122+1)</f>
        <v>#REF!</v>
      </c>
    </row>
    <row r="125" spans="1:25" ht="39.950000000000003" customHeight="1">
      <c r="A125" s="5">
        <v>10</v>
      </c>
      <c r="B125" s="5" t="s">
        <v>889</v>
      </c>
      <c r="C125" s="18">
        <v>44082</v>
      </c>
      <c r="D125" s="144" t="s">
        <v>57</v>
      </c>
      <c r="E125" s="124" t="s">
        <v>132</v>
      </c>
      <c r="F125" s="125" t="s">
        <v>133</v>
      </c>
      <c r="G125" s="126">
        <v>42</v>
      </c>
      <c r="H125" s="45" t="s">
        <v>69</v>
      </c>
      <c r="I125" s="55" t="s">
        <v>18</v>
      </c>
      <c r="J125" s="55">
        <v>220</v>
      </c>
      <c r="K125" s="46"/>
      <c r="L125" s="46"/>
      <c r="M125" s="29"/>
      <c r="N125" s="97"/>
      <c r="O125" s="97"/>
      <c r="P125" s="97"/>
      <c r="Q125" s="97"/>
      <c r="R125" s="119" t="s">
        <v>70</v>
      </c>
      <c r="S125" s="97" t="s">
        <v>29</v>
      </c>
      <c r="T125" s="97" t="s">
        <v>29</v>
      </c>
      <c r="U125" s="97"/>
      <c r="V125" s="29" t="s">
        <v>352</v>
      </c>
      <c r="W125" s="29"/>
      <c r="Y125" s="39" t="e">
        <f t="shared" si="2"/>
        <v>#REF!</v>
      </c>
    </row>
    <row r="126" spans="1:25" ht="39.950000000000003" customHeight="1">
      <c r="A126" s="5">
        <v>10</v>
      </c>
      <c r="B126" s="5" t="s">
        <v>890</v>
      </c>
      <c r="C126" s="18">
        <v>44082</v>
      </c>
      <c r="D126" s="144" t="s">
        <v>58</v>
      </c>
      <c r="E126" s="124" t="s">
        <v>71</v>
      </c>
      <c r="F126" s="125" t="s">
        <v>75</v>
      </c>
      <c r="G126" s="126">
        <v>53</v>
      </c>
      <c r="H126" s="45" t="s">
        <v>69</v>
      </c>
      <c r="I126" s="55" t="s">
        <v>28</v>
      </c>
      <c r="J126" s="55">
        <v>230</v>
      </c>
      <c r="K126" s="46"/>
      <c r="L126" s="46"/>
      <c r="M126" s="29"/>
      <c r="N126" s="97"/>
      <c r="O126" s="97"/>
      <c r="P126" s="97"/>
      <c r="Q126" s="97"/>
      <c r="R126" s="119" t="s">
        <v>70</v>
      </c>
      <c r="S126" s="97" t="s">
        <v>29</v>
      </c>
      <c r="T126" s="97"/>
      <c r="U126" s="97"/>
      <c r="V126" s="29" t="s">
        <v>746</v>
      </c>
      <c r="W126" s="29"/>
      <c r="Y126" s="39" t="e">
        <f>IF(E126=E125,Y125,Y125+1)</f>
        <v>#REF!</v>
      </c>
    </row>
    <row r="127" spans="1:25" ht="39.950000000000003" customHeight="1">
      <c r="A127" s="5">
        <v>10</v>
      </c>
      <c r="B127" s="5" t="s">
        <v>890</v>
      </c>
      <c r="C127" s="25">
        <v>44083</v>
      </c>
      <c r="D127" s="144" t="s">
        <v>54</v>
      </c>
      <c r="E127" s="124" t="s">
        <v>71</v>
      </c>
      <c r="F127" s="125" t="s">
        <v>75</v>
      </c>
      <c r="G127" s="126">
        <v>54</v>
      </c>
      <c r="H127" s="45" t="s">
        <v>69</v>
      </c>
      <c r="I127" s="55" t="s">
        <v>28</v>
      </c>
      <c r="J127" s="55">
        <v>230</v>
      </c>
      <c r="K127" s="46"/>
      <c r="L127" s="46"/>
      <c r="M127" s="29"/>
      <c r="N127" s="97"/>
      <c r="O127" s="97"/>
      <c r="P127" s="97"/>
      <c r="Q127" s="97"/>
      <c r="R127" s="119" t="s">
        <v>70</v>
      </c>
      <c r="S127" s="97" t="s">
        <v>29</v>
      </c>
      <c r="T127" s="97"/>
      <c r="U127" s="97"/>
      <c r="V127" s="29" t="s">
        <v>747</v>
      </c>
      <c r="W127" s="29"/>
      <c r="Y127" s="39" t="e">
        <f t="shared" si="2"/>
        <v>#REF!</v>
      </c>
    </row>
    <row r="128" spans="1:25" ht="39.950000000000003" customHeight="1">
      <c r="A128" s="5">
        <v>10</v>
      </c>
      <c r="B128" s="5" t="s">
        <v>890</v>
      </c>
      <c r="C128" s="18">
        <v>44083</v>
      </c>
      <c r="D128" s="144" t="s">
        <v>55</v>
      </c>
      <c r="E128" s="124" t="s">
        <v>72</v>
      </c>
      <c r="F128" s="125" t="s">
        <v>76</v>
      </c>
      <c r="G128" s="126">
        <v>58</v>
      </c>
      <c r="H128" s="45" t="s">
        <v>69</v>
      </c>
      <c r="I128" s="55" t="s">
        <v>30</v>
      </c>
      <c r="J128" s="55">
        <v>230</v>
      </c>
      <c r="K128" s="46"/>
      <c r="L128" s="46"/>
      <c r="M128" s="29"/>
      <c r="N128" s="97"/>
      <c r="O128" s="97"/>
      <c r="P128" s="97"/>
      <c r="Q128" s="97"/>
      <c r="R128" s="119" t="s">
        <v>70</v>
      </c>
      <c r="S128" s="97" t="s">
        <v>29</v>
      </c>
      <c r="T128" s="97" t="s">
        <v>29</v>
      </c>
      <c r="U128" s="97"/>
      <c r="V128" s="29" t="s">
        <v>353</v>
      </c>
      <c r="W128" s="29"/>
      <c r="Y128" s="39" t="e">
        <f t="shared" si="2"/>
        <v>#REF!</v>
      </c>
    </row>
    <row r="129" spans="1:25" ht="39.950000000000003" customHeight="1">
      <c r="A129" s="5">
        <v>10</v>
      </c>
      <c r="B129" s="5" t="s">
        <v>890</v>
      </c>
      <c r="C129" s="18">
        <v>44083</v>
      </c>
      <c r="D129" s="144" t="s">
        <v>56</v>
      </c>
      <c r="E129" s="124" t="s">
        <v>110</v>
      </c>
      <c r="F129" s="125" t="s">
        <v>111</v>
      </c>
      <c r="G129" s="126">
        <v>3</v>
      </c>
      <c r="H129" s="45" t="s">
        <v>69</v>
      </c>
      <c r="I129" s="55" t="s">
        <v>18</v>
      </c>
      <c r="J129" s="55">
        <v>220</v>
      </c>
      <c r="K129" s="46"/>
      <c r="L129" s="46"/>
      <c r="M129" s="29"/>
      <c r="N129" s="97"/>
      <c r="O129" s="97"/>
      <c r="P129" s="97"/>
      <c r="Q129" s="97"/>
      <c r="R129" s="91" t="s">
        <v>70</v>
      </c>
      <c r="S129" s="97" t="s">
        <v>29</v>
      </c>
      <c r="T129" s="97" t="s">
        <v>29</v>
      </c>
      <c r="U129" s="97"/>
      <c r="V129" s="29" t="s">
        <v>354</v>
      </c>
      <c r="W129" s="29"/>
      <c r="Y129" s="39" t="e">
        <f>IF(E129=E127,Y127,Y127+1)</f>
        <v>#REF!</v>
      </c>
    </row>
    <row r="130" spans="1:25" ht="39.950000000000003" customHeight="1">
      <c r="A130" s="5">
        <v>11</v>
      </c>
      <c r="B130" s="5" t="s">
        <v>889</v>
      </c>
      <c r="C130" s="18">
        <v>44083</v>
      </c>
      <c r="D130" s="144" t="s">
        <v>56</v>
      </c>
      <c r="E130" s="124" t="s">
        <v>110</v>
      </c>
      <c r="F130" s="125" t="s">
        <v>111</v>
      </c>
      <c r="G130" s="126">
        <v>44</v>
      </c>
      <c r="H130" s="45" t="s">
        <v>69</v>
      </c>
      <c r="I130" s="55" t="s">
        <v>18</v>
      </c>
      <c r="J130" s="55">
        <v>220</v>
      </c>
      <c r="K130" s="46"/>
      <c r="L130" s="46"/>
      <c r="M130" s="29"/>
      <c r="N130" s="97"/>
      <c r="O130" s="97"/>
      <c r="P130" s="97"/>
      <c r="Q130" s="97"/>
      <c r="R130" s="91" t="s">
        <v>70</v>
      </c>
      <c r="S130" s="97" t="s">
        <v>29</v>
      </c>
      <c r="T130" s="97" t="s">
        <v>29</v>
      </c>
      <c r="U130" s="97"/>
      <c r="V130" s="29" t="s">
        <v>354</v>
      </c>
      <c r="W130" s="29"/>
      <c r="Y130" s="39" t="e">
        <f>IF(E130=E128,Y128,Y128+1)</f>
        <v>#REF!</v>
      </c>
    </row>
    <row r="131" spans="1:25" ht="39.950000000000003" customHeight="1">
      <c r="A131" s="5">
        <v>11</v>
      </c>
      <c r="B131" s="5" t="s">
        <v>889</v>
      </c>
      <c r="C131" s="18">
        <v>44083</v>
      </c>
      <c r="D131" s="144" t="s">
        <v>57</v>
      </c>
      <c r="E131" s="124" t="s">
        <v>74</v>
      </c>
      <c r="F131" s="125" t="s">
        <v>78</v>
      </c>
      <c r="G131" s="126">
        <v>73</v>
      </c>
      <c r="H131" s="45" t="s">
        <v>69</v>
      </c>
      <c r="I131" s="55" t="s">
        <v>28</v>
      </c>
      <c r="J131" s="55">
        <v>230</v>
      </c>
      <c r="K131" s="46"/>
      <c r="L131" s="46"/>
      <c r="M131" s="29"/>
      <c r="N131" s="97"/>
      <c r="O131" s="97"/>
      <c r="P131" s="97"/>
      <c r="Q131" s="97"/>
      <c r="R131" s="119" t="s">
        <v>70</v>
      </c>
      <c r="S131" s="97" t="s">
        <v>29</v>
      </c>
      <c r="T131" s="97"/>
      <c r="U131" s="97"/>
      <c r="V131" s="96" t="s">
        <v>748</v>
      </c>
      <c r="W131" s="29"/>
      <c r="Y131" s="39" t="e">
        <f t="shared" si="2"/>
        <v>#REF!</v>
      </c>
    </row>
    <row r="132" spans="1:25" ht="39.950000000000003" customHeight="1">
      <c r="A132" s="5">
        <v>11</v>
      </c>
      <c r="B132" s="5" t="s">
        <v>889</v>
      </c>
      <c r="C132" s="18">
        <v>44083</v>
      </c>
      <c r="D132" s="144" t="s">
        <v>58</v>
      </c>
      <c r="E132" s="124" t="s">
        <v>114</v>
      </c>
      <c r="F132" s="125" t="s">
        <v>115</v>
      </c>
      <c r="G132" s="126">
        <v>13</v>
      </c>
      <c r="H132" s="45" t="s">
        <v>69</v>
      </c>
      <c r="I132" s="55" t="s">
        <v>33</v>
      </c>
      <c r="J132" s="55">
        <v>100</v>
      </c>
      <c r="K132" s="46"/>
      <c r="L132" s="46"/>
      <c r="M132" s="29"/>
      <c r="N132" s="97"/>
      <c r="O132" s="97" t="s">
        <v>29</v>
      </c>
      <c r="P132" s="97"/>
      <c r="Q132" s="97"/>
      <c r="R132" s="91" t="s">
        <v>70</v>
      </c>
      <c r="S132" s="97"/>
      <c r="T132" s="97" t="s">
        <v>29</v>
      </c>
      <c r="U132" s="97" t="s">
        <v>29</v>
      </c>
      <c r="V132" s="29" t="s">
        <v>355</v>
      </c>
      <c r="W132" s="29"/>
      <c r="Y132" s="39" t="e">
        <f>IF(E132=E130,Y130,Y130+1)</f>
        <v>#REF!</v>
      </c>
    </row>
    <row r="133" spans="1:25" ht="39.950000000000003" customHeight="1">
      <c r="A133" s="5">
        <v>11</v>
      </c>
      <c r="B133" s="5" t="s">
        <v>890</v>
      </c>
      <c r="C133" s="18">
        <v>44083</v>
      </c>
      <c r="D133" s="144" t="s">
        <v>58</v>
      </c>
      <c r="E133" s="124" t="s">
        <v>114</v>
      </c>
      <c r="F133" s="125" t="s">
        <v>115</v>
      </c>
      <c r="G133" s="126">
        <v>38</v>
      </c>
      <c r="H133" s="45" t="s">
        <v>69</v>
      </c>
      <c r="I133" s="55" t="s">
        <v>33</v>
      </c>
      <c r="J133" s="55">
        <v>100</v>
      </c>
      <c r="K133" s="46"/>
      <c r="L133" s="46"/>
      <c r="M133" s="29"/>
      <c r="N133" s="97"/>
      <c r="O133" s="97" t="s">
        <v>29</v>
      </c>
      <c r="P133" s="97"/>
      <c r="Q133" s="97"/>
      <c r="R133" s="91" t="s">
        <v>70</v>
      </c>
      <c r="S133" s="97"/>
      <c r="T133" s="97" t="s">
        <v>29</v>
      </c>
      <c r="U133" s="97" t="s">
        <v>29</v>
      </c>
      <c r="V133" s="29" t="s">
        <v>355</v>
      </c>
      <c r="W133" s="29"/>
      <c r="Y133" s="39" t="e">
        <f>IF(E133=E131,Y131,Y131+1)</f>
        <v>#REF!</v>
      </c>
    </row>
    <row r="134" spans="1:25" ht="39.950000000000003" customHeight="1">
      <c r="A134" s="5">
        <v>11</v>
      </c>
      <c r="B134" s="5" t="s">
        <v>890</v>
      </c>
      <c r="C134" s="18">
        <v>44083</v>
      </c>
      <c r="D134" s="144" t="s">
        <v>59</v>
      </c>
      <c r="E134" s="124" t="s">
        <v>71</v>
      </c>
      <c r="F134" s="125" t="s">
        <v>75</v>
      </c>
      <c r="G134" s="126">
        <v>42</v>
      </c>
      <c r="H134" s="45" t="s">
        <v>69</v>
      </c>
      <c r="I134" s="55" t="s">
        <v>28</v>
      </c>
      <c r="J134" s="55">
        <v>230</v>
      </c>
      <c r="K134" s="46"/>
      <c r="L134" s="46"/>
      <c r="M134" s="29"/>
      <c r="N134" s="97"/>
      <c r="O134" s="97"/>
      <c r="P134" s="97"/>
      <c r="Q134" s="97"/>
      <c r="R134" s="91" t="s">
        <v>70</v>
      </c>
      <c r="S134" s="97" t="s">
        <v>29</v>
      </c>
      <c r="T134" s="97"/>
      <c r="U134" s="97"/>
      <c r="V134" s="96" t="s">
        <v>749</v>
      </c>
      <c r="W134" s="29"/>
      <c r="Y134" s="39" t="e">
        <f t="shared" si="2"/>
        <v>#REF!</v>
      </c>
    </row>
    <row r="135" spans="1:25" ht="39.950000000000003" customHeight="1">
      <c r="A135" s="5">
        <v>11</v>
      </c>
      <c r="B135" s="5" t="s">
        <v>890</v>
      </c>
      <c r="C135" s="18">
        <v>44083</v>
      </c>
      <c r="D135" s="144" t="s">
        <v>60</v>
      </c>
      <c r="E135" s="124" t="s">
        <v>74</v>
      </c>
      <c r="F135" s="125" t="s">
        <v>78</v>
      </c>
      <c r="G135" s="126">
        <v>11</v>
      </c>
      <c r="H135" s="45" t="s">
        <v>69</v>
      </c>
      <c r="I135" s="55" t="s">
        <v>28</v>
      </c>
      <c r="J135" s="55">
        <v>230</v>
      </c>
      <c r="K135" s="46"/>
      <c r="L135" s="46"/>
      <c r="M135" s="29"/>
      <c r="N135" s="97"/>
      <c r="O135" s="97"/>
      <c r="P135" s="97"/>
      <c r="Q135" s="97"/>
      <c r="R135" s="91" t="s">
        <v>70</v>
      </c>
      <c r="S135" s="97" t="s">
        <v>29</v>
      </c>
      <c r="T135" s="97"/>
      <c r="U135" s="97"/>
      <c r="V135" s="96" t="s">
        <v>750</v>
      </c>
      <c r="W135" s="29"/>
      <c r="Y135" s="39" t="e">
        <f t="shared" si="2"/>
        <v>#REF!</v>
      </c>
    </row>
    <row r="136" spans="1:25" ht="39.950000000000003" customHeight="1">
      <c r="A136" s="5">
        <v>11</v>
      </c>
      <c r="B136" s="5" t="s">
        <v>890</v>
      </c>
      <c r="C136" s="25">
        <v>44084</v>
      </c>
      <c r="D136" s="144" t="s">
        <v>54</v>
      </c>
      <c r="E136" s="124" t="s">
        <v>74</v>
      </c>
      <c r="F136" s="125" t="s">
        <v>78</v>
      </c>
      <c r="G136" s="126">
        <v>39</v>
      </c>
      <c r="H136" s="45" t="s">
        <v>69</v>
      </c>
      <c r="I136" s="55" t="s">
        <v>28</v>
      </c>
      <c r="J136" s="55">
        <v>230</v>
      </c>
      <c r="K136" s="46"/>
      <c r="L136" s="46"/>
      <c r="M136" s="29"/>
      <c r="N136" s="97"/>
      <c r="O136" s="97"/>
      <c r="P136" s="97"/>
      <c r="Q136" s="97"/>
      <c r="R136" s="91" t="s">
        <v>70</v>
      </c>
      <c r="S136" s="97" t="s">
        <v>29</v>
      </c>
      <c r="T136" s="97"/>
      <c r="U136" s="97"/>
      <c r="V136" s="96" t="s">
        <v>751</v>
      </c>
      <c r="W136" s="29"/>
      <c r="Y136" s="39" t="e">
        <f>IF(E136=E134,Y134,Y134+1)</f>
        <v>#REF!</v>
      </c>
    </row>
    <row r="137" spans="1:25" ht="39.950000000000003" customHeight="1">
      <c r="A137" s="5">
        <v>14</v>
      </c>
      <c r="B137" s="5" t="s">
        <v>889</v>
      </c>
      <c r="C137" s="25">
        <v>44084</v>
      </c>
      <c r="D137" s="144" t="s">
        <v>54</v>
      </c>
      <c r="E137" s="124" t="s">
        <v>74</v>
      </c>
      <c r="F137" s="125" t="s">
        <v>78</v>
      </c>
      <c r="G137" s="126">
        <v>128</v>
      </c>
      <c r="H137" s="45" t="s">
        <v>69</v>
      </c>
      <c r="I137" s="55" t="s">
        <v>28</v>
      </c>
      <c r="J137" s="55">
        <v>230</v>
      </c>
      <c r="K137" s="46"/>
      <c r="L137" s="46"/>
      <c r="M137" s="29"/>
      <c r="N137" s="97"/>
      <c r="O137" s="97"/>
      <c r="P137" s="97"/>
      <c r="Q137" s="97"/>
      <c r="R137" s="91" t="s">
        <v>70</v>
      </c>
      <c r="S137" s="97" t="s">
        <v>29</v>
      </c>
      <c r="T137" s="97"/>
      <c r="U137" s="97"/>
      <c r="V137" s="96" t="s">
        <v>751</v>
      </c>
      <c r="W137" s="29"/>
      <c r="Y137" s="39" t="e">
        <f>IF(E137=E134,Y134,Y134+1)</f>
        <v>#REF!</v>
      </c>
    </row>
    <row r="138" spans="1:25" ht="39.950000000000003" customHeight="1">
      <c r="A138" s="5">
        <v>14</v>
      </c>
      <c r="B138" s="5" t="s">
        <v>890</v>
      </c>
      <c r="C138" s="25">
        <v>44084</v>
      </c>
      <c r="D138" s="144" t="s">
        <v>54</v>
      </c>
      <c r="E138" s="124" t="s">
        <v>74</v>
      </c>
      <c r="F138" s="125" t="s">
        <v>78</v>
      </c>
      <c r="G138" s="126">
        <v>49</v>
      </c>
      <c r="H138" s="45" t="s">
        <v>69</v>
      </c>
      <c r="I138" s="55" t="s">
        <v>28</v>
      </c>
      <c r="J138" s="55">
        <v>230</v>
      </c>
      <c r="K138" s="46"/>
      <c r="L138" s="46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/>
      <c r="U138" s="97"/>
      <c r="V138" s="96" t="s">
        <v>751</v>
      </c>
      <c r="W138" s="29"/>
      <c r="Y138" s="39" t="e">
        <f>IF(E138=E135,Y135,Y135+1)</f>
        <v>#REF!</v>
      </c>
    </row>
    <row r="139" spans="1:25" ht="39.950000000000003" customHeight="1">
      <c r="A139" s="5">
        <v>14</v>
      </c>
      <c r="B139" s="5" t="s">
        <v>890</v>
      </c>
      <c r="C139" s="18">
        <v>44084</v>
      </c>
      <c r="D139" s="144" t="s">
        <v>55</v>
      </c>
      <c r="E139" s="124" t="s">
        <v>114</v>
      </c>
      <c r="F139" s="125" t="s">
        <v>115</v>
      </c>
      <c r="G139" s="126">
        <v>51</v>
      </c>
      <c r="H139" s="45" t="s">
        <v>69</v>
      </c>
      <c r="I139" s="55" t="s">
        <v>33</v>
      </c>
      <c r="J139" s="55">
        <v>100</v>
      </c>
      <c r="K139" s="46"/>
      <c r="L139" s="46"/>
      <c r="M139" s="29"/>
      <c r="N139" s="97"/>
      <c r="O139" s="97" t="s">
        <v>29</v>
      </c>
      <c r="P139" s="97"/>
      <c r="Q139" s="97"/>
      <c r="R139" s="91" t="s">
        <v>70</v>
      </c>
      <c r="S139" s="97"/>
      <c r="T139" s="97" t="s">
        <v>29</v>
      </c>
      <c r="U139" s="97" t="s">
        <v>29</v>
      </c>
      <c r="V139" s="29" t="s">
        <v>356</v>
      </c>
      <c r="W139" s="29"/>
      <c r="Y139" s="39" t="e">
        <f t="shared" si="2"/>
        <v>#REF!</v>
      </c>
    </row>
    <row r="140" spans="1:25" ht="39.950000000000003" customHeight="1">
      <c r="A140" s="5">
        <v>14</v>
      </c>
      <c r="B140" s="5" t="s">
        <v>890</v>
      </c>
      <c r="C140" s="18">
        <v>44084</v>
      </c>
      <c r="D140" s="144" t="s">
        <v>56</v>
      </c>
      <c r="E140" s="124" t="s">
        <v>71</v>
      </c>
      <c r="F140" s="125" t="s">
        <v>75</v>
      </c>
      <c r="G140" s="126">
        <v>28</v>
      </c>
      <c r="H140" s="45" t="s">
        <v>69</v>
      </c>
      <c r="I140" s="55" t="s">
        <v>28</v>
      </c>
      <c r="J140" s="55">
        <v>230</v>
      </c>
      <c r="K140" s="46"/>
      <c r="L140" s="46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/>
      <c r="U140" s="97"/>
      <c r="V140" s="96" t="s">
        <v>752</v>
      </c>
      <c r="W140" s="29"/>
      <c r="Y140" s="39" t="e">
        <f>IF(E140=E138,Y138,Y138+1)</f>
        <v>#REF!</v>
      </c>
    </row>
    <row r="141" spans="1:25" ht="39.950000000000003" customHeight="1">
      <c r="A141" s="5">
        <v>15</v>
      </c>
      <c r="B141" s="5" t="s">
        <v>889</v>
      </c>
      <c r="C141" s="18">
        <v>44084</v>
      </c>
      <c r="D141" s="144" t="s">
        <v>56</v>
      </c>
      <c r="E141" s="124" t="s">
        <v>71</v>
      </c>
      <c r="F141" s="125" t="s">
        <v>75</v>
      </c>
      <c r="G141" s="126">
        <v>25</v>
      </c>
      <c r="H141" s="45" t="s">
        <v>69</v>
      </c>
      <c r="I141" s="55" t="s">
        <v>28</v>
      </c>
      <c r="J141" s="55">
        <v>230</v>
      </c>
      <c r="K141" s="46"/>
      <c r="L141" s="46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96" t="s">
        <v>752</v>
      </c>
      <c r="W141" s="29"/>
      <c r="Y141" s="39" t="e">
        <f>IF(E141=E139,Y139,Y139+1)</f>
        <v>#REF!</v>
      </c>
    </row>
    <row r="142" spans="1:25" ht="39.950000000000003" customHeight="1">
      <c r="A142" s="5">
        <v>15</v>
      </c>
      <c r="B142" s="5" t="s">
        <v>889</v>
      </c>
      <c r="C142" s="99">
        <v>44085</v>
      </c>
      <c r="D142" s="160" t="s">
        <v>54</v>
      </c>
      <c r="E142" s="127" t="s">
        <v>71</v>
      </c>
      <c r="F142" s="128" t="s">
        <v>75</v>
      </c>
      <c r="G142" s="129">
        <v>7</v>
      </c>
      <c r="H142" s="29" t="s">
        <v>69</v>
      </c>
      <c r="I142" s="109" t="s">
        <v>28</v>
      </c>
      <c r="J142" s="109">
        <v>230</v>
      </c>
      <c r="K142" s="29"/>
      <c r="L142" s="29"/>
      <c r="M142" s="29"/>
      <c r="N142" s="97"/>
      <c r="O142" s="97"/>
      <c r="P142" s="97"/>
      <c r="Q142" s="97"/>
      <c r="R142" s="91" t="s">
        <v>70</v>
      </c>
      <c r="S142" s="97" t="s">
        <v>29</v>
      </c>
      <c r="T142" s="97"/>
      <c r="U142" s="97"/>
      <c r="V142" s="96" t="s">
        <v>753</v>
      </c>
      <c r="W142" s="29"/>
      <c r="Y142" s="39" t="e">
        <f t="shared" si="2"/>
        <v>#REF!</v>
      </c>
    </row>
    <row r="143" spans="1:25" ht="39.950000000000003" customHeight="1">
      <c r="A143" s="5">
        <v>15</v>
      </c>
      <c r="B143" s="5" t="s">
        <v>889</v>
      </c>
      <c r="C143" s="98">
        <v>44085</v>
      </c>
      <c r="D143" s="160" t="s">
        <v>55</v>
      </c>
      <c r="E143" s="127" t="s">
        <v>74</v>
      </c>
      <c r="F143" s="128" t="s">
        <v>78</v>
      </c>
      <c r="G143" s="129">
        <v>136</v>
      </c>
      <c r="H143" s="29" t="s">
        <v>69</v>
      </c>
      <c r="I143" s="109" t="s">
        <v>28</v>
      </c>
      <c r="J143" s="109">
        <v>230</v>
      </c>
      <c r="K143" s="29"/>
      <c r="L143" s="29"/>
      <c r="M143" s="29"/>
      <c r="N143" s="97"/>
      <c r="O143" s="97"/>
      <c r="P143" s="97"/>
      <c r="Q143" s="97"/>
      <c r="R143" s="91" t="s">
        <v>70</v>
      </c>
      <c r="S143" s="97" t="s">
        <v>29</v>
      </c>
      <c r="T143" s="97"/>
      <c r="U143" s="97"/>
      <c r="V143" s="96" t="s">
        <v>754</v>
      </c>
      <c r="W143" s="29"/>
      <c r="Y143" s="39" t="e">
        <f>IF(E143=E141,Y141,Y141+1)</f>
        <v>#REF!</v>
      </c>
    </row>
    <row r="144" spans="1:25" ht="39.950000000000003" customHeight="1">
      <c r="A144" s="5">
        <v>15</v>
      </c>
      <c r="B144" s="5" t="s">
        <v>890</v>
      </c>
      <c r="C144" s="98">
        <v>44085</v>
      </c>
      <c r="D144" s="160" t="s">
        <v>55</v>
      </c>
      <c r="E144" s="127" t="s">
        <v>74</v>
      </c>
      <c r="F144" s="128" t="s">
        <v>78</v>
      </c>
      <c r="G144" s="129">
        <v>13</v>
      </c>
      <c r="H144" s="29" t="s">
        <v>69</v>
      </c>
      <c r="I144" s="109" t="s">
        <v>28</v>
      </c>
      <c r="J144" s="109">
        <v>230</v>
      </c>
      <c r="K144" s="29"/>
      <c r="L144" s="29"/>
      <c r="M144" s="29"/>
      <c r="N144" s="97"/>
      <c r="O144" s="97"/>
      <c r="P144" s="97"/>
      <c r="Q144" s="97"/>
      <c r="R144" s="91" t="s">
        <v>70</v>
      </c>
      <c r="S144" s="97" t="s">
        <v>29</v>
      </c>
      <c r="T144" s="97"/>
      <c r="U144" s="97"/>
      <c r="V144" s="96" t="s">
        <v>754</v>
      </c>
      <c r="W144" s="29"/>
      <c r="Y144" s="39" t="e">
        <f>IF(E144=E142,Y142,Y142+1)</f>
        <v>#REF!</v>
      </c>
    </row>
    <row r="145" spans="1:25" ht="39.950000000000003" customHeight="1">
      <c r="A145" s="5">
        <v>15</v>
      </c>
      <c r="B145" s="5" t="s">
        <v>890</v>
      </c>
      <c r="C145" s="98">
        <v>44085</v>
      </c>
      <c r="D145" s="160" t="s">
        <v>56</v>
      </c>
      <c r="E145" s="127" t="s">
        <v>114</v>
      </c>
      <c r="F145" s="128" t="s">
        <v>115</v>
      </c>
      <c r="G145" s="129">
        <v>104</v>
      </c>
      <c r="H145" s="29" t="s">
        <v>69</v>
      </c>
      <c r="I145" s="109" t="s">
        <v>33</v>
      </c>
      <c r="J145" s="109">
        <v>100</v>
      </c>
      <c r="K145" s="29"/>
      <c r="L145" s="29"/>
      <c r="M145" s="29"/>
      <c r="N145" s="97"/>
      <c r="O145" s="97" t="s">
        <v>29</v>
      </c>
      <c r="P145" s="97"/>
      <c r="Q145" s="97"/>
      <c r="R145" s="91" t="s">
        <v>70</v>
      </c>
      <c r="S145" s="97"/>
      <c r="T145" s="97" t="s">
        <v>29</v>
      </c>
      <c r="U145" s="97" t="s">
        <v>29</v>
      </c>
      <c r="V145" s="29" t="s">
        <v>357</v>
      </c>
      <c r="W145" s="29"/>
      <c r="Y145" s="39" t="e">
        <f t="shared" si="2"/>
        <v>#REF!</v>
      </c>
    </row>
    <row r="146" spans="1:25" ht="39.950000000000003" customHeight="1">
      <c r="C146" s="132"/>
      <c r="D146" s="160"/>
      <c r="E146" s="127"/>
      <c r="F146" s="128"/>
      <c r="G146" s="129"/>
      <c r="H146" s="29"/>
      <c r="I146" s="109"/>
      <c r="J146" s="109"/>
      <c r="K146" s="29"/>
      <c r="L146" s="29"/>
      <c r="M146" s="29"/>
      <c r="N146" s="97"/>
      <c r="O146" s="97"/>
      <c r="P146" s="97"/>
      <c r="Q146" s="97"/>
      <c r="R146" s="97"/>
      <c r="S146" s="97"/>
      <c r="T146" s="97"/>
      <c r="U146" s="97"/>
      <c r="V146" s="29"/>
      <c r="W146" s="29"/>
      <c r="Y146" s="39" t="e">
        <f t="shared" si="2"/>
        <v>#REF!</v>
      </c>
    </row>
    <row r="147" spans="1:25" ht="39.950000000000003" customHeight="1">
      <c r="C147" s="133"/>
      <c r="D147" s="160"/>
      <c r="E147" s="127"/>
      <c r="F147" s="128"/>
      <c r="G147" s="129"/>
      <c r="H147" s="29"/>
      <c r="I147" s="109"/>
      <c r="J147" s="109"/>
      <c r="K147" s="29"/>
      <c r="L147" s="29"/>
      <c r="M147" s="29"/>
      <c r="N147" s="97"/>
      <c r="O147" s="97"/>
      <c r="P147" s="97"/>
      <c r="Q147" s="97"/>
      <c r="R147" s="97"/>
      <c r="S147" s="97"/>
      <c r="T147" s="97"/>
      <c r="U147" s="97"/>
      <c r="V147" s="29"/>
      <c r="W147" s="29"/>
      <c r="Y147" s="39" t="e">
        <f t="shared" si="2"/>
        <v>#REF!</v>
      </c>
    </row>
    <row r="148" spans="1:25" ht="39.950000000000003" customHeight="1">
      <c r="C148" s="133"/>
      <c r="D148" s="160"/>
      <c r="E148" s="127"/>
      <c r="F148" s="128"/>
      <c r="G148" s="129"/>
      <c r="H148" s="29"/>
      <c r="I148" s="109"/>
      <c r="J148" s="109"/>
      <c r="K148" s="29"/>
      <c r="L148" s="29"/>
      <c r="M148" s="29"/>
      <c r="N148" s="97"/>
      <c r="O148" s="97"/>
      <c r="P148" s="97"/>
      <c r="Q148" s="97"/>
      <c r="R148" s="97"/>
      <c r="S148" s="97"/>
      <c r="T148" s="97"/>
      <c r="U148" s="97"/>
      <c r="V148" s="29"/>
      <c r="W148" s="29"/>
      <c r="Y148" s="39" t="e">
        <f t="shared" si="2"/>
        <v>#REF!</v>
      </c>
    </row>
    <row r="149" spans="1:25" ht="39.950000000000003" customHeight="1">
      <c r="C149" s="133"/>
      <c r="D149" s="160"/>
      <c r="E149" s="127"/>
      <c r="F149" s="128"/>
      <c r="G149" s="129"/>
      <c r="H149" s="29"/>
      <c r="I149" s="109"/>
      <c r="J149" s="109"/>
      <c r="K149" s="29"/>
      <c r="L149" s="29"/>
      <c r="M149" s="29"/>
      <c r="N149" s="97"/>
      <c r="O149" s="97"/>
      <c r="P149" s="97"/>
      <c r="Q149" s="97"/>
      <c r="R149" s="97"/>
      <c r="S149" s="97"/>
      <c r="T149" s="97"/>
      <c r="U149" s="97"/>
      <c r="V149" s="29"/>
      <c r="W149" s="29"/>
    </row>
    <row r="150" spans="1:25" ht="39.950000000000003" customHeight="1">
      <c r="C150" s="133"/>
      <c r="D150" s="160"/>
      <c r="E150" s="127"/>
      <c r="F150" s="128"/>
      <c r="G150" s="129"/>
      <c r="H150" s="29"/>
      <c r="I150" s="109"/>
      <c r="J150" s="109"/>
      <c r="K150" s="29"/>
      <c r="L150" s="29"/>
      <c r="M150" s="29"/>
      <c r="N150" s="97"/>
      <c r="O150" s="97"/>
      <c r="P150" s="97"/>
      <c r="Q150" s="97"/>
      <c r="R150" s="91"/>
      <c r="S150" s="97"/>
      <c r="T150" s="97"/>
      <c r="U150" s="97"/>
      <c r="V150" s="96"/>
      <c r="W150" s="29"/>
    </row>
    <row r="151" spans="1:25" ht="39.950000000000003" customHeight="1">
      <c r="C151" s="133"/>
      <c r="D151" s="160"/>
      <c r="E151" s="127"/>
      <c r="F151" s="128"/>
      <c r="G151" s="129"/>
      <c r="H151" s="29"/>
      <c r="I151" s="109"/>
      <c r="J151" s="109"/>
      <c r="K151" s="29"/>
      <c r="L151" s="29"/>
      <c r="M151" s="29"/>
      <c r="N151" s="97"/>
      <c r="O151" s="97"/>
      <c r="P151" s="97"/>
      <c r="Q151" s="97"/>
      <c r="R151" s="91"/>
      <c r="S151" s="97"/>
      <c r="T151" s="97"/>
      <c r="U151" s="97"/>
      <c r="V151" s="29"/>
      <c r="W151" s="29"/>
    </row>
    <row r="152" spans="1:25" ht="39.950000000000003" customHeight="1">
      <c r="C152" s="133"/>
      <c r="D152" s="160"/>
      <c r="E152" s="30"/>
      <c r="F152" s="31"/>
      <c r="G152" s="29"/>
      <c r="H152" s="29"/>
      <c r="I152" s="29"/>
      <c r="J152" s="29"/>
      <c r="K152" s="29"/>
      <c r="L152" s="29"/>
      <c r="M152" s="29"/>
      <c r="N152" s="97"/>
      <c r="O152" s="97"/>
      <c r="P152" s="97"/>
      <c r="Q152" s="97"/>
      <c r="R152" s="97"/>
      <c r="S152" s="97"/>
      <c r="T152" s="97"/>
      <c r="U152" s="97"/>
      <c r="V152" s="29"/>
      <c r="W152" s="29"/>
    </row>
    <row r="153" spans="1:25" ht="39.950000000000003" customHeight="1">
      <c r="C153" s="132"/>
      <c r="D153" s="160"/>
      <c r="E153" s="30"/>
      <c r="F153" s="31"/>
      <c r="G153" s="29"/>
      <c r="H153" s="29"/>
      <c r="I153" s="29"/>
      <c r="J153" s="29"/>
      <c r="K153" s="29"/>
      <c r="L153" s="29"/>
      <c r="M153" s="29"/>
      <c r="N153" s="97"/>
      <c r="O153" s="97"/>
      <c r="P153" s="97"/>
      <c r="Q153" s="97"/>
      <c r="R153" s="97"/>
      <c r="S153" s="97"/>
      <c r="T153" s="97"/>
      <c r="U153" s="97"/>
      <c r="V153" s="29"/>
      <c r="W153" s="29"/>
    </row>
    <row r="154" spans="1:25" ht="39.950000000000003" customHeight="1">
      <c r="C154" s="133"/>
      <c r="D154" s="160"/>
      <c r="E154" s="30"/>
      <c r="F154" s="31"/>
      <c r="G154" s="29"/>
      <c r="H154" s="29"/>
      <c r="I154" s="29"/>
      <c r="J154" s="29"/>
      <c r="K154" s="29"/>
      <c r="L154" s="29"/>
      <c r="M154" s="29"/>
      <c r="N154" s="97"/>
      <c r="O154" s="97"/>
      <c r="P154" s="97"/>
      <c r="Q154" s="97"/>
      <c r="R154" s="97"/>
      <c r="S154" s="97"/>
      <c r="T154" s="97"/>
      <c r="U154" s="97"/>
      <c r="V154" s="29"/>
      <c r="W154" s="29"/>
    </row>
    <row r="155" spans="1:25" ht="39.950000000000003" customHeight="1">
      <c r="C155" s="133"/>
      <c r="D155" s="160"/>
      <c r="E155" s="30"/>
      <c r="F155" s="31"/>
      <c r="G155" s="29"/>
      <c r="H155" s="29"/>
      <c r="I155" s="29"/>
      <c r="J155" s="29"/>
      <c r="K155" s="29"/>
      <c r="L155" s="29"/>
      <c r="M155" s="29"/>
      <c r="N155" s="97"/>
      <c r="O155" s="97"/>
      <c r="P155" s="97"/>
      <c r="Q155" s="97"/>
      <c r="R155" s="97"/>
      <c r="S155" s="97"/>
      <c r="T155" s="97"/>
      <c r="U155" s="97"/>
      <c r="V155" s="29"/>
      <c r="W155" s="29"/>
    </row>
    <row r="156" spans="1:25" ht="39.950000000000003" customHeight="1">
      <c r="C156" s="133"/>
      <c r="D156" s="160"/>
      <c r="E156" s="30"/>
      <c r="F156" s="31"/>
      <c r="G156" s="29"/>
      <c r="H156" s="29"/>
      <c r="I156" s="29"/>
      <c r="J156" s="29"/>
      <c r="K156" s="29"/>
      <c r="L156" s="29"/>
      <c r="M156" s="29"/>
      <c r="N156" s="97"/>
      <c r="O156" s="97"/>
      <c r="P156" s="97"/>
      <c r="Q156" s="97"/>
      <c r="R156" s="97"/>
      <c r="S156" s="97"/>
      <c r="T156" s="97"/>
      <c r="U156" s="97"/>
      <c r="V156" s="29"/>
      <c r="W156" s="29"/>
    </row>
    <row r="157" spans="1:25" ht="39.950000000000003" customHeight="1">
      <c r="C157" s="133"/>
      <c r="D157" s="160"/>
      <c r="E157" s="30"/>
      <c r="F157" s="31"/>
      <c r="G157" s="29"/>
      <c r="H157" s="29"/>
      <c r="I157" s="29"/>
      <c r="J157" s="29"/>
      <c r="K157" s="29"/>
      <c r="L157" s="29"/>
      <c r="M157" s="29"/>
      <c r="N157" s="97"/>
      <c r="O157" s="97"/>
      <c r="P157" s="97"/>
      <c r="Q157" s="97"/>
      <c r="R157" s="91"/>
      <c r="S157" s="97"/>
      <c r="T157" s="97"/>
      <c r="U157" s="97"/>
      <c r="V157" s="96"/>
      <c r="W157" s="29"/>
    </row>
    <row r="158" spans="1:25" ht="39.950000000000003" customHeight="1">
      <c r="C158" s="133"/>
      <c r="D158" s="160"/>
      <c r="E158" s="30"/>
      <c r="F158" s="31"/>
      <c r="G158" s="29"/>
      <c r="H158" s="29"/>
      <c r="I158" s="29"/>
      <c r="J158" s="29"/>
      <c r="K158" s="29"/>
      <c r="L158" s="29"/>
      <c r="M158" s="29"/>
      <c r="N158" s="97"/>
      <c r="O158" s="97"/>
      <c r="P158" s="97"/>
      <c r="Q158" s="97"/>
      <c r="R158" s="97"/>
      <c r="S158" s="97"/>
      <c r="T158" s="97"/>
      <c r="U158" s="97"/>
      <c r="V158" s="29"/>
      <c r="W158" s="29"/>
    </row>
    <row r="159" spans="1:25" ht="39.950000000000003" customHeight="1">
      <c r="C159" s="132"/>
      <c r="D159" s="160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7"/>
      <c r="S159" s="97"/>
      <c r="T159" s="97"/>
      <c r="U159" s="97"/>
      <c r="V159" s="29"/>
      <c r="W159" s="29"/>
    </row>
    <row r="160" spans="1:25" ht="39.950000000000003" customHeight="1">
      <c r="C160" s="133"/>
      <c r="D160" s="160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7"/>
      <c r="S160" s="97"/>
      <c r="T160" s="97"/>
      <c r="U160" s="97"/>
      <c r="V160" s="29"/>
      <c r="W160" s="29"/>
    </row>
    <row r="161" spans="3:23" ht="39.950000000000003" customHeight="1">
      <c r="C161" s="133"/>
      <c r="D161" s="160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7"/>
      <c r="S161" s="97"/>
      <c r="T161" s="97"/>
      <c r="U161" s="97"/>
      <c r="V161" s="29"/>
      <c r="W161" s="29"/>
    </row>
    <row r="162" spans="3:23" ht="39.950000000000003" customHeight="1">
      <c r="C162" s="133"/>
      <c r="D162" s="160"/>
      <c r="E162" s="30"/>
      <c r="F162" s="31"/>
      <c r="G162" s="29"/>
      <c r="H162" s="29"/>
      <c r="I162" s="29"/>
      <c r="J162" s="29"/>
      <c r="K162" s="29"/>
      <c r="L162" s="29"/>
      <c r="M162" s="29"/>
      <c r="N162" s="97"/>
      <c r="O162" s="97"/>
      <c r="P162" s="97"/>
      <c r="Q162" s="97"/>
      <c r="R162" s="97"/>
      <c r="S162" s="97"/>
      <c r="T162" s="97"/>
      <c r="U162" s="97"/>
      <c r="V162" s="29"/>
      <c r="W162" s="29"/>
    </row>
    <row r="163" spans="3:23" ht="39.950000000000003" customHeight="1">
      <c r="C163" s="133"/>
      <c r="D163" s="160"/>
      <c r="E163" s="30"/>
      <c r="F163" s="31"/>
      <c r="G163" s="29"/>
      <c r="H163" s="29"/>
      <c r="I163" s="29"/>
      <c r="J163" s="29"/>
      <c r="K163" s="29"/>
      <c r="L163" s="29"/>
      <c r="M163" s="29"/>
      <c r="N163" s="97"/>
      <c r="O163" s="97"/>
      <c r="P163" s="97"/>
      <c r="Q163" s="97"/>
      <c r="R163" s="97"/>
      <c r="S163" s="97"/>
      <c r="T163" s="97"/>
      <c r="U163" s="97"/>
      <c r="V163" s="29"/>
      <c r="W163" s="29"/>
    </row>
    <row r="164" spans="3:23" ht="39.950000000000003" customHeight="1">
      <c r="C164" s="133"/>
      <c r="D164" s="160"/>
      <c r="E164" s="30"/>
      <c r="F164" s="31"/>
      <c r="G164" s="29"/>
      <c r="H164" s="29"/>
      <c r="I164" s="29"/>
      <c r="J164" s="29"/>
      <c r="K164" s="29"/>
      <c r="L164" s="29"/>
      <c r="M164" s="29"/>
      <c r="N164" s="97"/>
      <c r="O164" s="97"/>
      <c r="P164" s="97"/>
      <c r="Q164" s="97"/>
      <c r="R164" s="91"/>
      <c r="S164" s="97"/>
      <c r="T164" s="97"/>
      <c r="U164" s="97"/>
      <c r="V164" s="96"/>
      <c r="W164" s="29"/>
    </row>
    <row r="165" spans="3:23" ht="39.950000000000003" customHeight="1">
      <c r="C165" s="133"/>
      <c r="D165" s="160"/>
      <c r="E165" s="30"/>
      <c r="F165" s="31"/>
      <c r="G165" s="29"/>
      <c r="H165" s="29"/>
      <c r="I165" s="29"/>
      <c r="J165" s="29"/>
      <c r="K165" s="29"/>
      <c r="L165" s="29"/>
      <c r="M165" s="29"/>
      <c r="N165" s="97"/>
      <c r="O165" s="97"/>
      <c r="P165" s="97"/>
      <c r="Q165" s="97"/>
      <c r="R165" s="97"/>
      <c r="S165" s="97"/>
      <c r="T165" s="97"/>
      <c r="U165" s="97"/>
      <c r="V165" s="29"/>
      <c r="W165" s="29"/>
    </row>
    <row r="166" spans="3:23" ht="39.950000000000003" customHeight="1">
      <c r="C166" s="132"/>
      <c r="D166" s="160"/>
      <c r="E166" s="30"/>
      <c r="F166" s="31"/>
      <c r="G166" s="29"/>
      <c r="H166" s="29"/>
      <c r="I166" s="29"/>
      <c r="J166" s="29"/>
      <c r="K166" s="29"/>
      <c r="L166" s="29"/>
      <c r="M166" s="29"/>
      <c r="N166" s="97"/>
      <c r="O166" s="97"/>
      <c r="P166" s="97"/>
      <c r="Q166" s="97"/>
      <c r="R166" s="97"/>
      <c r="S166" s="97"/>
      <c r="T166" s="97"/>
      <c r="U166" s="97"/>
      <c r="V166" s="29"/>
      <c r="W166" s="29"/>
    </row>
    <row r="167" spans="3:23" ht="39.950000000000003" customHeight="1">
      <c r="C167" s="133"/>
      <c r="D167" s="160"/>
      <c r="E167" s="30"/>
      <c r="F167" s="31"/>
      <c r="G167" s="29"/>
      <c r="H167" s="29"/>
      <c r="I167" s="29"/>
      <c r="J167" s="29"/>
      <c r="K167" s="29"/>
      <c r="L167" s="29"/>
      <c r="M167" s="29"/>
      <c r="N167" s="97"/>
      <c r="O167" s="97"/>
      <c r="P167" s="97"/>
      <c r="Q167" s="97"/>
      <c r="R167" s="91"/>
      <c r="S167" s="97"/>
      <c r="T167" s="97"/>
      <c r="U167" s="97"/>
      <c r="V167" s="96"/>
      <c r="W167" s="29"/>
    </row>
    <row r="168" spans="3:23" ht="39.950000000000003" customHeight="1">
      <c r="C168" s="133"/>
      <c r="D168" s="160"/>
      <c r="E168" s="30"/>
      <c r="F168" s="31"/>
      <c r="G168" s="29"/>
      <c r="H168" s="29"/>
      <c r="I168" s="29"/>
      <c r="J168" s="29"/>
      <c r="K168" s="29"/>
      <c r="L168" s="29"/>
      <c r="M168" s="29"/>
      <c r="N168" s="97"/>
      <c r="O168" s="97"/>
      <c r="P168" s="97"/>
      <c r="Q168" s="97"/>
      <c r="R168" s="91"/>
      <c r="S168" s="97"/>
      <c r="T168" s="97"/>
      <c r="U168" s="97"/>
      <c r="V168" s="29"/>
      <c r="W168" s="29"/>
    </row>
    <row r="169" spans="3:23" ht="39.950000000000003" customHeight="1">
      <c r="C169" s="133"/>
      <c r="D169" s="160"/>
      <c r="E169" s="30"/>
      <c r="F169" s="31"/>
      <c r="G169" s="29"/>
      <c r="H169" s="29"/>
      <c r="I169" s="29"/>
      <c r="J169" s="29"/>
      <c r="K169" s="29"/>
      <c r="L169" s="29"/>
      <c r="M169" s="29"/>
      <c r="N169" s="97"/>
      <c r="O169" s="97"/>
      <c r="P169" s="97"/>
      <c r="Q169" s="97"/>
      <c r="R169" s="97"/>
      <c r="S169" s="97"/>
      <c r="T169" s="97"/>
      <c r="U169" s="97"/>
      <c r="V169" s="29"/>
      <c r="W169" s="29"/>
    </row>
    <row r="170" spans="3:23" ht="39.950000000000003" customHeight="1">
      <c r="C170" s="133"/>
      <c r="D170" s="160"/>
      <c r="E170" s="30"/>
      <c r="F170" s="31"/>
      <c r="G170" s="29"/>
      <c r="H170" s="29"/>
      <c r="I170" s="29"/>
      <c r="J170" s="29"/>
      <c r="K170" s="29"/>
      <c r="L170" s="29"/>
      <c r="M170" s="29"/>
      <c r="N170" s="97"/>
      <c r="O170" s="97"/>
      <c r="P170" s="97"/>
      <c r="Q170" s="97"/>
      <c r="R170" s="97"/>
      <c r="S170" s="97"/>
      <c r="T170" s="97"/>
      <c r="U170" s="97"/>
      <c r="V170" s="29"/>
      <c r="W170" s="29"/>
    </row>
    <row r="171" spans="3:23" ht="39.950000000000003" customHeight="1">
      <c r="C171" s="133"/>
      <c r="D171" s="160"/>
      <c r="E171" s="30"/>
      <c r="F171" s="31"/>
      <c r="G171" s="29"/>
      <c r="H171" s="29"/>
      <c r="I171" s="29"/>
      <c r="J171" s="29"/>
      <c r="K171" s="29"/>
      <c r="L171" s="29"/>
      <c r="M171" s="29"/>
      <c r="N171" s="97"/>
      <c r="O171" s="97"/>
      <c r="P171" s="97"/>
      <c r="Q171" s="97"/>
      <c r="R171" s="91"/>
      <c r="S171" s="97"/>
      <c r="T171" s="97"/>
      <c r="U171" s="97"/>
      <c r="V171" s="96"/>
      <c r="W171" s="29"/>
    </row>
    <row r="172" spans="3:23" ht="39.950000000000003" customHeight="1">
      <c r="C172" s="132"/>
      <c r="D172" s="160"/>
      <c r="E172" s="30"/>
      <c r="F172" s="31"/>
      <c r="G172" s="29"/>
      <c r="H172" s="29"/>
      <c r="I172" s="29"/>
      <c r="J172" s="29"/>
      <c r="K172" s="29"/>
      <c r="L172" s="29"/>
      <c r="M172" s="29"/>
      <c r="N172" s="97"/>
      <c r="O172" s="97"/>
      <c r="P172" s="97"/>
      <c r="Q172" s="97"/>
      <c r="R172" s="91"/>
      <c r="S172" s="97"/>
      <c r="T172" s="97"/>
      <c r="U172" s="97"/>
      <c r="V172" s="96"/>
      <c r="W172" s="29"/>
    </row>
    <row r="173" spans="3:23" ht="39.950000000000003" customHeight="1">
      <c r="C173" s="133"/>
      <c r="D173" s="160"/>
      <c r="E173" s="30"/>
      <c r="F173" s="31"/>
      <c r="G173" s="29"/>
      <c r="H173" s="29"/>
      <c r="I173" s="29"/>
      <c r="J173" s="29"/>
      <c r="K173" s="29"/>
      <c r="L173" s="29"/>
      <c r="M173" s="29"/>
      <c r="N173" s="97"/>
      <c r="O173" s="97"/>
      <c r="P173" s="97"/>
      <c r="Q173" s="97"/>
      <c r="R173" s="91"/>
      <c r="S173" s="97"/>
      <c r="T173" s="97"/>
      <c r="U173" s="97"/>
      <c r="V173" s="29"/>
      <c r="W173" s="29"/>
    </row>
    <row r="174" spans="3:23" ht="39.950000000000003" customHeight="1">
      <c r="C174" s="133"/>
      <c r="D174" s="160"/>
      <c r="E174" s="30"/>
      <c r="F174" s="31"/>
      <c r="G174" s="29"/>
      <c r="H174" s="29"/>
      <c r="I174" s="29"/>
      <c r="J174" s="29"/>
      <c r="K174" s="29"/>
      <c r="L174" s="29"/>
      <c r="M174" s="29"/>
      <c r="N174" s="97"/>
      <c r="O174" s="97"/>
      <c r="P174" s="97"/>
      <c r="Q174" s="97"/>
      <c r="R174" s="91"/>
      <c r="S174" s="97"/>
      <c r="T174" s="97"/>
      <c r="U174" s="97"/>
      <c r="V174" s="29"/>
      <c r="W174" s="29"/>
    </row>
    <row r="175" spans="3:23" ht="39.950000000000003" customHeight="1">
      <c r="C175" s="134"/>
      <c r="D175" s="161"/>
      <c r="E175" s="34"/>
      <c r="F175" s="32"/>
      <c r="G175" s="33"/>
      <c r="H175" s="33"/>
      <c r="I175" s="33"/>
      <c r="J175" s="33"/>
      <c r="K175" s="33"/>
      <c r="L175" s="33"/>
      <c r="M175" s="33"/>
      <c r="N175" s="100"/>
      <c r="O175" s="100"/>
      <c r="P175" s="100"/>
      <c r="Q175" s="100"/>
      <c r="R175" s="100"/>
      <c r="S175" s="100"/>
      <c r="T175" s="100"/>
      <c r="U175" s="100"/>
      <c r="V175" s="33"/>
      <c r="W175" s="33"/>
    </row>
    <row r="176" spans="3:23" ht="20.25" customHeight="1">
      <c r="C176" s="47"/>
    </row>
    <row r="177" spans="3:3" ht="20.25" customHeight="1">
      <c r="C177" s="47"/>
    </row>
    <row r="178" spans="3:3" ht="20.25" customHeight="1">
      <c r="C178" s="101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101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47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101"/>
    </row>
    <row r="191" spans="3:3" ht="20.25" customHeight="1">
      <c r="C191" s="47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101"/>
    </row>
    <row r="195" spans="3:3" ht="20.25" customHeight="1">
      <c r="C195" s="47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101"/>
    </row>
    <row r="200" spans="3:3" ht="20.25" customHeight="1">
      <c r="C200" s="47"/>
    </row>
    <row r="201" spans="3:3" ht="20.25" customHeight="1">
      <c r="C201" s="47"/>
    </row>
    <row r="202" spans="3:3" ht="20.25" customHeight="1">
      <c r="C202" s="101"/>
    </row>
    <row r="203" spans="3:3" ht="20.25" customHeight="1">
      <c r="C203" s="47"/>
    </row>
    <row r="204" spans="3:3" ht="20.25" customHeight="1">
      <c r="C204" s="101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47"/>
    </row>
    <row r="208" spans="3:3" ht="20.25" customHeight="1">
      <c r="C208" s="101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47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101"/>
    </row>
    <row r="215" spans="3:3" ht="20.25" customHeight="1">
      <c r="C215" s="47"/>
    </row>
    <row r="216" spans="3:3" ht="20.25" customHeight="1">
      <c r="C216" s="101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47"/>
    </row>
    <row r="220" spans="3:3" ht="20.25" customHeight="1">
      <c r="C220" s="101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47"/>
    </row>
    <row r="228" spans="3:3" ht="20.25" customHeight="1">
      <c r="C228" s="101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101"/>
    </row>
    <row r="233" spans="3:3" ht="20.25" customHeight="1">
      <c r="C233" s="47"/>
    </row>
    <row r="234" spans="3:3" ht="20.25" customHeight="1">
      <c r="C234" s="47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101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101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47"/>
    </row>
    <row r="246" spans="3:3" ht="20.25" customHeight="1">
      <c r="C246" s="47"/>
    </row>
    <row r="247" spans="3:3" ht="20.25" customHeight="1">
      <c r="C247" s="101"/>
    </row>
    <row r="248" spans="3:3" ht="20.25" customHeight="1">
      <c r="C248" s="47"/>
    </row>
    <row r="249" spans="3:3" ht="20.25" customHeight="1">
      <c r="C249" s="47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47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101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101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101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  <row r="288" spans="3:3" ht="20.25" customHeight="1">
      <c r="C288" s="47"/>
    </row>
    <row r="289" spans="3:3" ht="20.25" customHeight="1">
      <c r="C289" s="47"/>
    </row>
    <row r="290" spans="3:3" ht="20.25" customHeight="1">
      <c r="C290" s="47"/>
    </row>
    <row r="291" spans="3:3" ht="20.25" customHeight="1">
      <c r="C291" s="47"/>
    </row>
    <row r="292" spans="3:3" ht="20.25" customHeight="1">
      <c r="C292" s="101"/>
    </row>
    <row r="293" spans="3:3" ht="20.25" customHeight="1">
      <c r="C293" s="47"/>
    </row>
    <row r="294" spans="3:3" ht="20.25" customHeight="1">
      <c r="C294" s="47"/>
    </row>
    <row r="295" spans="3:3" ht="20.25" customHeight="1">
      <c r="C295" s="47"/>
    </row>
    <row r="296" spans="3:3" ht="20.25" customHeight="1">
      <c r="C296" s="101"/>
    </row>
    <row r="297" spans="3:3" ht="20.25" customHeight="1">
      <c r="C297" s="47"/>
    </row>
    <row r="298" spans="3:3" ht="20.25" customHeight="1">
      <c r="C298" s="47"/>
    </row>
    <row r="299" spans="3:3" ht="20.25" customHeight="1">
      <c r="C299" s="47"/>
    </row>
  </sheetData>
  <autoFilter ref="C6:AD175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10 E12:G14 E16:G17 E19:G22 E24:G24 E26:G26 E28:G29 E31:G32 E34:G36 E38:G41 E43:G44 E46:G48 E50:G51 E53:G54 E56:G59 E61:G62 E64:G66 E68:G69 E71:G73 E75:G76 E78:G80 E82:G83 E85:G86 E88:G88 E90:G92 E94:G95 E97:G98 E100:G101 E103:G104 E106:G107 E109:G110 E112:G115 E117:G122 E124:G128 E130:G131 E133:G135 E138:G139 E141:G142 E144:G145">
    <cfRule type="expression" dxfId="414" priority="125">
      <formula>MOD($Y7,2)=0</formula>
    </cfRule>
  </conditionalFormatting>
  <conditionalFormatting sqref="C7:W10 C12:W14 C16:W17 C19:W22 C24:W24 C26:W26 C28:W29 C31:W32 C34:W36 C38:W41 C43:W44 C46:W48 C50:W51 C53:W54 C56:W59 C61:W62 C64:W66 C68:W69 C71:W73 C75:W76 C78:W80 C82:W83 C85:W86 C88:W88 C90:W92 C94:W95 C97:W98 C100:W101 C103:W104 C106:W107 C109:W110 C112:W115 C117:W122 C124:W128 C130:W131 C133:W135 C138:W139 C141:W142 C144:W145">
    <cfRule type="expression" dxfId="413" priority="124">
      <formula>$X7="OK"</formula>
    </cfRule>
    <cfRule type="expression" dxfId="412" priority="126">
      <formula>OR($D7="1",$D7=1)</formula>
    </cfRule>
  </conditionalFormatting>
  <conditionalFormatting sqref="E11:G11">
    <cfRule type="expression" dxfId="411" priority="122">
      <formula>MOD($Y11,2)=0</formula>
    </cfRule>
  </conditionalFormatting>
  <conditionalFormatting sqref="C11:W11">
    <cfRule type="expression" dxfId="410" priority="121">
      <formula>$X11="OK"</formula>
    </cfRule>
    <cfRule type="expression" dxfId="409" priority="123">
      <formula>OR($D11="1",$D11=1)</formula>
    </cfRule>
  </conditionalFormatting>
  <conditionalFormatting sqref="E15:G15">
    <cfRule type="expression" dxfId="408" priority="119">
      <formula>MOD($Y15,2)=0</formula>
    </cfRule>
  </conditionalFormatting>
  <conditionalFormatting sqref="C15:W15">
    <cfRule type="expression" dxfId="407" priority="118">
      <formula>$X15="OK"</formula>
    </cfRule>
    <cfRule type="expression" dxfId="406" priority="120">
      <formula>OR($D15="1",$D15=1)</formula>
    </cfRule>
  </conditionalFormatting>
  <conditionalFormatting sqref="E18:G18">
    <cfRule type="expression" dxfId="405" priority="116">
      <formula>MOD($Y18,2)=0</formula>
    </cfRule>
  </conditionalFormatting>
  <conditionalFormatting sqref="C18:W18">
    <cfRule type="expression" dxfId="404" priority="115">
      <formula>$X18="OK"</formula>
    </cfRule>
    <cfRule type="expression" dxfId="403" priority="117">
      <formula>OR($D18="1",$D18=1)</formula>
    </cfRule>
  </conditionalFormatting>
  <conditionalFormatting sqref="E23:G23">
    <cfRule type="expression" dxfId="402" priority="113">
      <formula>MOD($Y23,2)=0</formula>
    </cfRule>
  </conditionalFormatting>
  <conditionalFormatting sqref="C23:W23">
    <cfRule type="expression" dxfId="401" priority="112">
      <formula>$X23="OK"</formula>
    </cfRule>
    <cfRule type="expression" dxfId="400" priority="114">
      <formula>OR($D23="1",$D23=1)</formula>
    </cfRule>
  </conditionalFormatting>
  <conditionalFormatting sqref="E25:G25">
    <cfRule type="expression" dxfId="399" priority="110">
      <formula>MOD($Y25,2)=0</formula>
    </cfRule>
  </conditionalFormatting>
  <conditionalFormatting sqref="C25:W25">
    <cfRule type="expression" dxfId="398" priority="109">
      <formula>$X25="OK"</formula>
    </cfRule>
    <cfRule type="expression" dxfId="397" priority="111">
      <formula>OR($D25="1",$D25=1)</formula>
    </cfRule>
  </conditionalFormatting>
  <conditionalFormatting sqref="E27:G27">
    <cfRule type="expression" dxfId="396" priority="107">
      <formula>MOD($Y27,2)=0</formula>
    </cfRule>
  </conditionalFormatting>
  <conditionalFormatting sqref="C27:W27">
    <cfRule type="expression" dxfId="395" priority="106">
      <formula>$X27="OK"</formula>
    </cfRule>
    <cfRule type="expression" dxfId="394" priority="108">
      <formula>OR($D27="1",$D27=1)</formula>
    </cfRule>
  </conditionalFormatting>
  <conditionalFormatting sqref="E30:G30">
    <cfRule type="expression" dxfId="393" priority="104">
      <formula>MOD($Y30,2)=0</formula>
    </cfRule>
  </conditionalFormatting>
  <conditionalFormatting sqref="C30:W30">
    <cfRule type="expression" dxfId="392" priority="103">
      <formula>$X30="OK"</formula>
    </cfRule>
    <cfRule type="expression" dxfId="391" priority="105">
      <formula>OR($D30="1",$D30=1)</formula>
    </cfRule>
  </conditionalFormatting>
  <conditionalFormatting sqref="E33:G33">
    <cfRule type="expression" dxfId="390" priority="101">
      <formula>MOD($Y33,2)=0</formula>
    </cfRule>
  </conditionalFormatting>
  <conditionalFormatting sqref="C33:W33">
    <cfRule type="expression" dxfId="389" priority="100">
      <formula>$X33="OK"</formula>
    </cfRule>
    <cfRule type="expression" dxfId="388" priority="102">
      <formula>OR($D33="1",$D33=1)</formula>
    </cfRule>
  </conditionalFormatting>
  <conditionalFormatting sqref="E37:G37">
    <cfRule type="expression" dxfId="387" priority="98">
      <formula>MOD($Y37,2)=0</formula>
    </cfRule>
  </conditionalFormatting>
  <conditionalFormatting sqref="C37:W37">
    <cfRule type="expression" dxfId="386" priority="97">
      <formula>$X37="OK"</formula>
    </cfRule>
    <cfRule type="expression" dxfId="385" priority="99">
      <formula>OR($D37="1",$D37=1)</formula>
    </cfRule>
  </conditionalFormatting>
  <conditionalFormatting sqref="E42:G42">
    <cfRule type="expression" dxfId="384" priority="95">
      <formula>MOD($Y42,2)=0</formula>
    </cfRule>
  </conditionalFormatting>
  <conditionalFormatting sqref="C42:W42">
    <cfRule type="expression" dxfId="383" priority="94">
      <formula>$X42="OK"</formula>
    </cfRule>
    <cfRule type="expression" dxfId="382" priority="96">
      <formula>OR($D42="1",$D42=1)</formula>
    </cfRule>
  </conditionalFormatting>
  <conditionalFormatting sqref="E45:G45">
    <cfRule type="expression" dxfId="381" priority="92">
      <formula>MOD($Y45,2)=0</formula>
    </cfRule>
  </conditionalFormatting>
  <conditionalFormatting sqref="C45:W45">
    <cfRule type="expression" dxfId="380" priority="91">
      <formula>$X45="OK"</formula>
    </cfRule>
    <cfRule type="expression" dxfId="379" priority="93">
      <formula>OR($D45="1",$D45=1)</formula>
    </cfRule>
  </conditionalFormatting>
  <conditionalFormatting sqref="E49:G49">
    <cfRule type="expression" dxfId="378" priority="89">
      <formula>MOD($Y49,2)=0</formula>
    </cfRule>
  </conditionalFormatting>
  <conditionalFormatting sqref="C49:W49">
    <cfRule type="expression" dxfId="377" priority="88">
      <formula>$X49="OK"</formula>
    </cfRule>
    <cfRule type="expression" dxfId="376" priority="90">
      <formula>OR($D49="1",$D49=1)</formula>
    </cfRule>
  </conditionalFormatting>
  <conditionalFormatting sqref="E52:G52">
    <cfRule type="expression" dxfId="375" priority="86">
      <formula>MOD($Y52,2)=0</formula>
    </cfRule>
  </conditionalFormatting>
  <conditionalFormatting sqref="C52:W52">
    <cfRule type="expression" dxfId="374" priority="85">
      <formula>$X52="OK"</formula>
    </cfRule>
    <cfRule type="expression" dxfId="373" priority="87">
      <formula>OR($D52="1",$D52=1)</formula>
    </cfRule>
  </conditionalFormatting>
  <conditionalFormatting sqref="E55:G55">
    <cfRule type="expression" dxfId="372" priority="83">
      <formula>MOD($Y55,2)=0</formula>
    </cfRule>
  </conditionalFormatting>
  <conditionalFormatting sqref="C55:W55">
    <cfRule type="expression" dxfId="371" priority="82">
      <formula>$X55="OK"</formula>
    </cfRule>
    <cfRule type="expression" dxfId="370" priority="84">
      <formula>OR($D55="1",$D55=1)</formula>
    </cfRule>
  </conditionalFormatting>
  <conditionalFormatting sqref="E60:G60">
    <cfRule type="expression" dxfId="369" priority="80">
      <formula>MOD($Y60,2)=0</formula>
    </cfRule>
  </conditionalFormatting>
  <conditionalFormatting sqref="C60:W60">
    <cfRule type="expression" dxfId="368" priority="79">
      <formula>$X60="OK"</formula>
    </cfRule>
    <cfRule type="expression" dxfId="367" priority="81">
      <formula>OR($D60="1",$D60=1)</formula>
    </cfRule>
  </conditionalFormatting>
  <conditionalFormatting sqref="E63:G63">
    <cfRule type="expression" dxfId="366" priority="77">
      <formula>MOD($Y63,2)=0</formula>
    </cfRule>
  </conditionalFormatting>
  <conditionalFormatting sqref="C63:W63">
    <cfRule type="expression" dxfId="365" priority="76">
      <formula>$X63="OK"</formula>
    </cfRule>
    <cfRule type="expression" dxfId="364" priority="78">
      <formula>OR($D63="1",$D63=1)</formula>
    </cfRule>
  </conditionalFormatting>
  <conditionalFormatting sqref="E67:G67">
    <cfRule type="expression" dxfId="363" priority="74">
      <formula>MOD($Y67,2)=0</formula>
    </cfRule>
  </conditionalFormatting>
  <conditionalFormatting sqref="C67:W67">
    <cfRule type="expression" dxfId="362" priority="73">
      <formula>$X67="OK"</formula>
    </cfRule>
    <cfRule type="expression" dxfId="361" priority="75">
      <formula>OR($D67="1",$D67=1)</formula>
    </cfRule>
  </conditionalFormatting>
  <conditionalFormatting sqref="E70:G70">
    <cfRule type="expression" dxfId="360" priority="71">
      <formula>MOD($Y70,2)=0</formula>
    </cfRule>
  </conditionalFormatting>
  <conditionalFormatting sqref="C70:W70">
    <cfRule type="expression" dxfId="359" priority="70">
      <formula>$X70="OK"</formula>
    </cfRule>
    <cfRule type="expression" dxfId="358" priority="72">
      <formula>OR($D70="1",$D70=1)</formula>
    </cfRule>
  </conditionalFormatting>
  <conditionalFormatting sqref="E74:G74">
    <cfRule type="expression" dxfId="357" priority="68">
      <formula>MOD($Y74,2)=0</formula>
    </cfRule>
  </conditionalFormatting>
  <conditionalFormatting sqref="C74:W74">
    <cfRule type="expression" dxfId="356" priority="67">
      <formula>$X74="OK"</formula>
    </cfRule>
    <cfRule type="expression" dxfId="355" priority="69">
      <formula>OR($D74="1",$D74=1)</formula>
    </cfRule>
  </conditionalFormatting>
  <conditionalFormatting sqref="E77:G77">
    <cfRule type="expression" dxfId="354" priority="65">
      <formula>MOD($Y77,2)=0</formula>
    </cfRule>
  </conditionalFormatting>
  <conditionalFormatting sqref="C77:W77">
    <cfRule type="expression" dxfId="353" priority="64">
      <formula>$X77="OK"</formula>
    </cfRule>
    <cfRule type="expression" dxfId="352" priority="66">
      <formula>OR($D77="1",$D77=1)</formula>
    </cfRule>
  </conditionalFormatting>
  <conditionalFormatting sqref="E81:G81">
    <cfRule type="expression" dxfId="351" priority="62">
      <formula>MOD($Y81,2)=0</formula>
    </cfRule>
  </conditionalFormatting>
  <conditionalFormatting sqref="C81:W81">
    <cfRule type="expression" dxfId="350" priority="61">
      <formula>$X81="OK"</formula>
    </cfRule>
    <cfRule type="expression" dxfId="349" priority="63">
      <formula>OR($D81="1",$D81=1)</formula>
    </cfRule>
  </conditionalFormatting>
  <conditionalFormatting sqref="E84:G84">
    <cfRule type="expression" dxfId="348" priority="59">
      <formula>MOD($Y84,2)=0</formula>
    </cfRule>
  </conditionalFormatting>
  <conditionalFormatting sqref="C84:W84">
    <cfRule type="expression" dxfId="347" priority="58">
      <formula>$X84="OK"</formula>
    </cfRule>
    <cfRule type="expression" dxfId="346" priority="60">
      <formula>OR($D84="1",$D84=1)</formula>
    </cfRule>
  </conditionalFormatting>
  <conditionalFormatting sqref="E87:G87">
    <cfRule type="expression" dxfId="345" priority="56">
      <formula>MOD($Y87,2)=0</formula>
    </cfRule>
  </conditionalFormatting>
  <conditionalFormatting sqref="C87:W87">
    <cfRule type="expression" dxfId="344" priority="55">
      <formula>$X87="OK"</formula>
    </cfRule>
    <cfRule type="expression" dxfId="343" priority="57">
      <formula>OR($D87="1",$D87=1)</formula>
    </cfRule>
  </conditionalFormatting>
  <conditionalFormatting sqref="E89:G89">
    <cfRule type="expression" dxfId="342" priority="53">
      <formula>MOD($Y89,2)=0</formula>
    </cfRule>
  </conditionalFormatting>
  <conditionalFormatting sqref="C89:W89">
    <cfRule type="expression" dxfId="341" priority="52">
      <formula>$X89="OK"</formula>
    </cfRule>
    <cfRule type="expression" dxfId="340" priority="54">
      <formula>OR($D89="1",$D89=1)</formula>
    </cfRule>
  </conditionalFormatting>
  <conditionalFormatting sqref="E93:G93">
    <cfRule type="expression" dxfId="339" priority="50">
      <formula>MOD($Y93,2)=0</formula>
    </cfRule>
  </conditionalFormatting>
  <conditionalFormatting sqref="C93:W93">
    <cfRule type="expression" dxfId="338" priority="49">
      <formula>$X93="OK"</formula>
    </cfRule>
    <cfRule type="expression" dxfId="337" priority="51">
      <formula>OR($D93="1",$D93=1)</formula>
    </cfRule>
  </conditionalFormatting>
  <conditionalFormatting sqref="E96:G96">
    <cfRule type="expression" dxfId="336" priority="47">
      <formula>MOD($Y96,2)=0</formula>
    </cfRule>
  </conditionalFormatting>
  <conditionalFormatting sqref="C96:W96">
    <cfRule type="expression" dxfId="335" priority="46">
      <formula>$X96="OK"</formula>
    </cfRule>
    <cfRule type="expression" dxfId="334" priority="48">
      <formula>OR($D96="1",$D96=1)</formula>
    </cfRule>
  </conditionalFormatting>
  <conditionalFormatting sqref="E99:G99">
    <cfRule type="expression" dxfId="333" priority="44">
      <formula>MOD($Y99,2)=0</formula>
    </cfRule>
  </conditionalFormatting>
  <conditionalFormatting sqref="C99:W99">
    <cfRule type="expression" dxfId="332" priority="43">
      <formula>$X99="OK"</formula>
    </cfRule>
    <cfRule type="expression" dxfId="331" priority="45">
      <formula>OR($D99="1",$D99=1)</formula>
    </cfRule>
  </conditionalFormatting>
  <conditionalFormatting sqref="E102:G102">
    <cfRule type="expression" dxfId="330" priority="41">
      <formula>MOD($Y102,2)=0</formula>
    </cfRule>
  </conditionalFormatting>
  <conditionalFormatting sqref="C102:W102">
    <cfRule type="expression" dxfId="329" priority="40">
      <formula>$X102="OK"</formula>
    </cfRule>
    <cfRule type="expression" dxfId="328" priority="42">
      <formula>OR($D102="1",$D102=1)</formula>
    </cfRule>
  </conditionalFormatting>
  <conditionalFormatting sqref="E105:G105">
    <cfRule type="expression" dxfId="327" priority="38">
      <formula>MOD($Y105,2)=0</formula>
    </cfRule>
  </conditionalFormatting>
  <conditionalFormatting sqref="C105:W105">
    <cfRule type="expression" dxfId="326" priority="37">
      <formula>$X105="OK"</formula>
    </cfRule>
    <cfRule type="expression" dxfId="325" priority="39">
      <formula>OR($D105="1",$D105=1)</formula>
    </cfRule>
  </conditionalFormatting>
  <conditionalFormatting sqref="E108:G108">
    <cfRule type="expression" dxfId="324" priority="35">
      <formula>MOD($Y108,2)=0</formula>
    </cfRule>
  </conditionalFormatting>
  <conditionalFormatting sqref="C108:W108">
    <cfRule type="expression" dxfId="323" priority="34">
      <formula>$X108="OK"</formula>
    </cfRule>
    <cfRule type="expression" dxfId="322" priority="36">
      <formula>OR($D108="1",$D108=1)</formula>
    </cfRule>
  </conditionalFormatting>
  <conditionalFormatting sqref="E111:G111">
    <cfRule type="expression" dxfId="321" priority="32">
      <formula>MOD($Y111,2)=0</formula>
    </cfRule>
  </conditionalFormatting>
  <conditionalFormatting sqref="C111:W111">
    <cfRule type="expression" dxfId="320" priority="31">
      <formula>$X111="OK"</formula>
    </cfRule>
    <cfRule type="expression" dxfId="319" priority="33">
      <formula>OR($D111="1",$D111=1)</formula>
    </cfRule>
  </conditionalFormatting>
  <conditionalFormatting sqref="E116:G116">
    <cfRule type="expression" dxfId="318" priority="29">
      <formula>MOD($Y116,2)=0</formula>
    </cfRule>
  </conditionalFormatting>
  <conditionalFormatting sqref="C116:W116">
    <cfRule type="expression" dxfId="317" priority="28">
      <formula>$X116="OK"</formula>
    </cfRule>
    <cfRule type="expression" dxfId="316" priority="30">
      <formula>OR($D116="1",$D116=1)</formula>
    </cfRule>
  </conditionalFormatting>
  <conditionalFormatting sqref="E123:G123">
    <cfRule type="expression" dxfId="315" priority="23">
      <formula>MOD($Y123,2)=0</formula>
    </cfRule>
  </conditionalFormatting>
  <conditionalFormatting sqref="C123:W123">
    <cfRule type="expression" dxfId="314" priority="22">
      <formula>$X123="OK"</formula>
    </cfRule>
    <cfRule type="expression" dxfId="313" priority="24">
      <formula>OR($D123="1",$D123=1)</formula>
    </cfRule>
  </conditionalFormatting>
  <conditionalFormatting sqref="E129:G129">
    <cfRule type="expression" dxfId="312" priority="17">
      <formula>MOD($Y129,2)=0</formula>
    </cfRule>
  </conditionalFormatting>
  <conditionalFormatting sqref="C129:W129">
    <cfRule type="expression" dxfId="311" priority="16">
      <formula>$X129="OK"</formula>
    </cfRule>
    <cfRule type="expression" dxfId="310" priority="18">
      <formula>OR($D129="1",$D129=1)</formula>
    </cfRule>
  </conditionalFormatting>
  <conditionalFormatting sqref="E132:G132">
    <cfRule type="expression" dxfId="309" priority="14">
      <formula>MOD($Y132,2)=0</formula>
    </cfRule>
  </conditionalFormatting>
  <conditionalFormatting sqref="C132:W132">
    <cfRule type="expression" dxfId="308" priority="13">
      <formula>$X132="OK"</formula>
    </cfRule>
    <cfRule type="expression" dxfId="307" priority="15">
      <formula>OR($D132="1",$D132=1)</formula>
    </cfRule>
  </conditionalFormatting>
  <conditionalFormatting sqref="E136:G136">
    <cfRule type="expression" dxfId="306" priority="11">
      <formula>MOD($Y136,2)=0</formula>
    </cfRule>
  </conditionalFormatting>
  <conditionalFormatting sqref="C136:W136">
    <cfRule type="expression" dxfId="305" priority="10">
      <formula>$X136="OK"</formula>
    </cfRule>
    <cfRule type="expression" dxfId="304" priority="12">
      <formula>OR($D136="1",$D136=1)</formula>
    </cfRule>
  </conditionalFormatting>
  <conditionalFormatting sqref="E137:G137">
    <cfRule type="expression" dxfId="303" priority="8">
      <formula>MOD($Y137,2)=0</formula>
    </cfRule>
  </conditionalFormatting>
  <conditionalFormatting sqref="C137:W137">
    <cfRule type="expression" dxfId="302" priority="7">
      <formula>$X137="OK"</formula>
    </cfRule>
    <cfRule type="expression" dxfId="301" priority="9">
      <formula>OR($D137="1",$D137=1)</formula>
    </cfRule>
  </conditionalFormatting>
  <conditionalFormatting sqref="E140:G140">
    <cfRule type="expression" dxfId="300" priority="5">
      <formula>MOD($Y140,2)=0</formula>
    </cfRule>
  </conditionalFormatting>
  <conditionalFormatting sqref="C140:W140">
    <cfRule type="expression" dxfId="299" priority="4">
      <formula>$X140="OK"</formula>
    </cfRule>
    <cfRule type="expression" dxfId="298" priority="6">
      <formula>OR($D140="1",$D140=1)</formula>
    </cfRule>
  </conditionalFormatting>
  <conditionalFormatting sqref="E143:G143">
    <cfRule type="expression" dxfId="297" priority="2">
      <formula>MOD($Y143,2)=0</formula>
    </cfRule>
  </conditionalFormatting>
  <conditionalFormatting sqref="C143:W143">
    <cfRule type="expression" dxfId="296" priority="1">
      <formula>$X143="OK"</formula>
    </cfRule>
    <cfRule type="expression" dxfId="295" priority="3">
      <formula>OR($D143="1",$D143=1)</formula>
    </cfRule>
  </conditionalFormatting>
  <printOptions horizontalCentered="1"/>
  <pageMargins left="0" right="0" top="0.52" bottom="0" header="0" footer="0"/>
  <pageSetup paperSize="9" scale="34" fitToHeight="2" orientation="portrait" cellComments="asDisplayed" r:id="rId1"/>
  <headerFooter>
    <oddHeader>&amp;CPage &amp;P of &amp;N&amp;R&amp;A</oddHeader>
  </headerFooter>
  <rowBreaks count="2" manualBreakCount="2">
    <brk id="57" min="2" max="22" man="1"/>
    <brk id="137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21" r:id="rId4" name="Button 1">
              <controlPr defaultSize="0" print="0" autoFill="0" autoPict="0" macro="[3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2" r:id="rId5" name="Button 2">
              <controlPr defaultSize="0" print="0" autoFill="0" autoPict="0" macro="[3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3" r:id="rId6" name="Button 3">
              <controlPr defaultSize="0" print="0" autoFill="0" autoPict="0" macro="[3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4" r:id="rId7" name="Button 4">
              <controlPr defaultSize="0" print="0" autoFill="0" autoPict="0" macro="[3]!ClearBodyNo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5" r:id="rId8" name="Button 5">
              <controlPr defaultSize="0" print="0" autoFill="0" autoPict="0" macro="[3]!Get_PAD_DATA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6" r:id="rId9" name="Button 6">
              <controlPr defaultSize="0" print="0" autoFill="0" autoPict="0" macro="[3]!ClearData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7" r:id="rId10" name="Button 7">
              <controlPr defaultSize="0" print="0" autoFill="0" autoPict="0" macro="[3]!MakeBodyNo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8" r:id="rId11" name="Button 8">
              <controlPr defaultSize="0" print="0" autoFill="0" autoPict="0" macro="[3]!ClearBodyNo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AD286"/>
  <sheetViews>
    <sheetView showGridLines="0" view="pageBreakPreview" zoomScale="53" zoomScaleNormal="100" zoomScaleSheetLayoutView="53" workbookViewId="0">
      <pane xSplit="7" ySplit="6" topLeftCell="H145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58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755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69"/>
      <c r="AB3" s="470"/>
      <c r="AC3" s="469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69"/>
      <c r="AB4" s="470"/>
      <c r="AC4" s="469"/>
      <c r="AD4" s="17"/>
    </row>
    <row r="5" spans="1:30" ht="36" customHeight="1">
      <c r="A5" s="465" t="s">
        <v>887</v>
      </c>
      <c r="B5" s="466" t="s">
        <v>888</v>
      </c>
      <c r="C5" s="479" t="s">
        <v>4</v>
      </c>
      <c r="D5" s="494" t="s">
        <v>5</v>
      </c>
      <c r="E5" s="494" t="s">
        <v>6</v>
      </c>
      <c r="F5" s="494" t="s">
        <v>7</v>
      </c>
      <c r="G5" s="494" t="s">
        <v>8</v>
      </c>
      <c r="H5" s="479" t="s">
        <v>9</v>
      </c>
      <c r="I5" s="479" t="s">
        <v>10</v>
      </c>
      <c r="J5" s="479" t="s">
        <v>11</v>
      </c>
      <c r="K5" s="487" t="s">
        <v>12</v>
      </c>
      <c r="L5" s="487" t="s">
        <v>13</v>
      </c>
      <c r="M5" s="489" t="s">
        <v>14</v>
      </c>
      <c r="N5" s="489"/>
      <c r="O5" s="489"/>
      <c r="P5" s="489"/>
      <c r="Q5" s="489"/>
      <c r="R5" s="489" t="s">
        <v>23</v>
      </c>
      <c r="S5" s="490" t="s">
        <v>27</v>
      </c>
      <c r="T5" s="496" t="s">
        <v>24</v>
      </c>
      <c r="U5" s="496" t="s">
        <v>25</v>
      </c>
      <c r="V5" s="498" t="s">
        <v>15</v>
      </c>
      <c r="W5" s="84" t="s">
        <v>16</v>
      </c>
    </row>
    <row r="6" spans="1:30" ht="32.25" customHeight="1">
      <c r="A6" s="465"/>
      <c r="B6" s="466"/>
      <c r="C6" s="480"/>
      <c r="D6" s="495"/>
      <c r="E6" s="495"/>
      <c r="F6" s="495"/>
      <c r="G6" s="495"/>
      <c r="H6" s="480"/>
      <c r="I6" s="480"/>
      <c r="J6" s="480"/>
      <c r="K6" s="488"/>
      <c r="L6" s="488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489"/>
      <c r="S6" s="491"/>
      <c r="T6" s="497"/>
      <c r="U6" s="497"/>
      <c r="V6" s="499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50" t="s">
        <v>58</v>
      </c>
      <c r="E7" s="151" t="s">
        <v>96</v>
      </c>
      <c r="F7" s="152" t="s">
        <v>97</v>
      </c>
      <c r="G7" s="153">
        <v>46</v>
      </c>
      <c r="H7" s="19" t="s">
        <v>69</v>
      </c>
      <c r="I7" s="22" t="s">
        <v>21</v>
      </c>
      <c r="J7" s="22">
        <v>120</v>
      </c>
      <c r="K7" s="107"/>
      <c r="L7" s="107"/>
      <c r="M7" s="44"/>
      <c r="N7" s="44"/>
      <c r="O7" s="44"/>
      <c r="P7" s="44"/>
      <c r="Q7" s="44" t="s">
        <v>29</v>
      </c>
      <c r="R7" s="91" t="s">
        <v>70</v>
      </c>
      <c r="S7" s="44"/>
      <c r="T7" s="44"/>
      <c r="U7" s="44"/>
      <c r="V7" s="93" t="s">
        <v>273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96</v>
      </c>
      <c r="F8" s="113" t="s">
        <v>97</v>
      </c>
      <c r="G8" s="114">
        <v>27</v>
      </c>
      <c r="H8" s="19" t="s">
        <v>69</v>
      </c>
      <c r="I8" s="22" t="s">
        <v>21</v>
      </c>
      <c r="J8" s="22">
        <v>120</v>
      </c>
      <c r="K8" s="107"/>
      <c r="L8" s="107"/>
      <c r="M8" s="44"/>
      <c r="N8" s="44"/>
      <c r="O8" s="44"/>
      <c r="P8" s="44"/>
      <c r="Q8" s="44" t="s">
        <v>29</v>
      </c>
      <c r="R8" s="91" t="s">
        <v>70</v>
      </c>
      <c r="S8" s="44"/>
      <c r="T8" s="44"/>
      <c r="U8" s="44"/>
      <c r="V8" s="93" t="s">
        <v>274</v>
      </c>
      <c r="W8" s="22"/>
      <c r="X8" s="38"/>
      <c r="Y8" s="39" t="e">
        <f t="shared" ref="Y8:Y59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144</v>
      </c>
      <c r="F9" s="113" t="s">
        <v>145</v>
      </c>
      <c r="G9" s="114">
        <v>12</v>
      </c>
      <c r="H9" s="19" t="s">
        <v>69</v>
      </c>
      <c r="I9" s="22" t="s">
        <v>146</v>
      </c>
      <c r="J9" s="22">
        <v>230</v>
      </c>
      <c r="K9" s="107"/>
      <c r="L9" s="107"/>
      <c r="M9" s="44"/>
      <c r="N9" s="44"/>
      <c r="O9" s="44"/>
      <c r="P9" s="44"/>
      <c r="Q9" s="44" t="s">
        <v>29</v>
      </c>
      <c r="R9" s="91" t="s">
        <v>70</v>
      </c>
      <c r="S9" s="44"/>
      <c r="T9" s="44" t="s">
        <v>29</v>
      </c>
      <c r="U9" s="44"/>
      <c r="V9" s="93" t="s">
        <v>275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94</v>
      </c>
      <c r="F10" s="113" t="s">
        <v>95</v>
      </c>
      <c r="G10" s="114">
        <v>32</v>
      </c>
      <c r="H10" s="19" t="s">
        <v>69</v>
      </c>
      <c r="I10" s="22" t="s">
        <v>21</v>
      </c>
      <c r="J10" s="22">
        <v>120</v>
      </c>
      <c r="K10" s="107"/>
      <c r="L10" s="107"/>
      <c r="M10" s="44"/>
      <c r="N10" s="44"/>
      <c r="O10" s="44"/>
      <c r="P10" s="44"/>
      <c r="Q10" s="44" t="s">
        <v>29</v>
      </c>
      <c r="R10" s="91" t="s">
        <v>70</v>
      </c>
      <c r="S10" s="44"/>
      <c r="T10" s="44"/>
      <c r="U10" s="44"/>
      <c r="V10" s="19" t="s">
        <v>276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114</v>
      </c>
      <c r="F11" s="113" t="s">
        <v>115</v>
      </c>
      <c r="G11" s="114">
        <v>7</v>
      </c>
      <c r="H11" s="19" t="s">
        <v>69</v>
      </c>
      <c r="I11" s="22" t="s">
        <v>33</v>
      </c>
      <c r="J11" s="22">
        <v>100</v>
      </c>
      <c r="K11" s="107"/>
      <c r="L11" s="107"/>
      <c r="M11" s="44"/>
      <c r="N11" s="44"/>
      <c r="O11" s="44" t="s">
        <v>29</v>
      </c>
      <c r="P11" s="44"/>
      <c r="Q11" s="44"/>
      <c r="R11" s="91" t="s">
        <v>70</v>
      </c>
      <c r="S11" s="44"/>
      <c r="T11" s="44" t="s">
        <v>29</v>
      </c>
      <c r="U11" s="44" t="s">
        <v>29</v>
      </c>
      <c r="V11" s="19" t="s">
        <v>277</v>
      </c>
      <c r="W11" s="22"/>
      <c r="X11" s="38"/>
      <c r="Y11" s="39" t="e">
        <f t="shared" si="0"/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889</v>
      </c>
      <c r="C12" s="18">
        <v>44062</v>
      </c>
      <c r="D12" s="111" t="s">
        <v>58</v>
      </c>
      <c r="E12" s="112" t="s">
        <v>74</v>
      </c>
      <c r="F12" s="113" t="s">
        <v>78</v>
      </c>
      <c r="G12" s="114">
        <v>36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91" t="s">
        <v>70</v>
      </c>
      <c r="S12" s="44" t="s">
        <v>29</v>
      </c>
      <c r="T12" s="44"/>
      <c r="U12" s="44"/>
      <c r="V12" s="93" t="s">
        <v>756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74</v>
      </c>
      <c r="F13" s="113" t="s">
        <v>78</v>
      </c>
      <c r="G13" s="114">
        <v>90</v>
      </c>
      <c r="H13" s="19" t="s">
        <v>69</v>
      </c>
      <c r="I13" s="22" t="s">
        <v>28</v>
      </c>
      <c r="J13" s="22">
        <v>230</v>
      </c>
      <c r="K13" s="107"/>
      <c r="L13" s="107"/>
      <c r="M13" s="44"/>
      <c r="N13" s="44"/>
      <c r="O13" s="44"/>
      <c r="P13" s="44"/>
      <c r="Q13" s="44"/>
      <c r="R13" s="91" t="s">
        <v>70</v>
      </c>
      <c r="S13" s="44" t="s">
        <v>29</v>
      </c>
      <c r="T13" s="44"/>
      <c r="U13" s="44"/>
      <c r="V13" s="93" t="s">
        <v>756</v>
      </c>
      <c r="W13" s="22"/>
      <c r="X13" s="38"/>
      <c r="Y13" s="39" t="e">
        <f>IF(E13=E11,Y11,Y11+1)</f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106</v>
      </c>
      <c r="F14" s="113" t="s">
        <v>107</v>
      </c>
      <c r="G14" s="114">
        <v>63</v>
      </c>
      <c r="H14" s="19" t="s">
        <v>69</v>
      </c>
      <c r="I14" s="22" t="s">
        <v>18</v>
      </c>
      <c r="J14" s="22">
        <v>220</v>
      </c>
      <c r="K14" s="107"/>
      <c r="L14" s="107"/>
      <c r="M14" s="44"/>
      <c r="N14" s="44"/>
      <c r="O14" s="44"/>
      <c r="P14" s="44"/>
      <c r="Q14" s="44"/>
      <c r="R14" s="91" t="s">
        <v>70</v>
      </c>
      <c r="S14" s="44" t="s">
        <v>29</v>
      </c>
      <c r="T14" s="44" t="s">
        <v>29</v>
      </c>
      <c r="U14" s="44"/>
      <c r="V14" s="93" t="s">
        <v>278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198</v>
      </c>
      <c r="F15" s="113" t="s">
        <v>199</v>
      </c>
      <c r="G15" s="114">
        <v>7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/>
      <c r="P15" s="44"/>
      <c r="Q15" s="44" t="s">
        <v>29</v>
      </c>
      <c r="R15" s="91" t="s">
        <v>70</v>
      </c>
      <c r="S15" s="44"/>
      <c r="T15" s="44" t="s">
        <v>29</v>
      </c>
      <c r="U15" s="44" t="s">
        <v>29</v>
      </c>
      <c r="V15" s="93" t="s">
        <v>279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198</v>
      </c>
      <c r="F16" s="113" t="s">
        <v>199</v>
      </c>
      <c r="G16" s="114">
        <v>31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/>
      <c r="P16" s="44"/>
      <c r="Q16" s="44" t="s">
        <v>29</v>
      </c>
      <c r="R16" s="91" t="s">
        <v>70</v>
      </c>
      <c r="S16" s="44"/>
      <c r="T16" s="44" t="s">
        <v>29</v>
      </c>
      <c r="U16" s="44" t="s">
        <v>29</v>
      </c>
      <c r="V16" s="93" t="s">
        <v>279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44062</v>
      </c>
      <c r="D17" s="111" t="s">
        <v>61</v>
      </c>
      <c r="E17" s="112" t="s">
        <v>94</v>
      </c>
      <c r="F17" s="113" t="s">
        <v>95</v>
      </c>
      <c r="G17" s="114">
        <v>15</v>
      </c>
      <c r="H17" s="19" t="s">
        <v>69</v>
      </c>
      <c r="I17" s="22" t="s">
        <v>21</v>
      </c>
      <c r="J17" s="22">
        <v>120</v>
      </c>
      <c r="K17" s="107"/>
      <c r="L17" s="107"/>
      <c r="M17" s="44"/>
      <c r="N17" s="44"/>
      <c r="O17" s="44"/>
      <c r="P17" s="44"/>
      <c r="Q17" s="44" t="s">
        <v>29</v>
      </c>
      <c r="R17" s="91" t="s">
        <v>70</v>
      </c>
      <c r="S17" s="44"/>
      <c r="T17" s="44"/>
      <c r="U17" s="44"/>
      <c r="V17" s="19" t="s">
        <v>280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25">
        <v>44063</v>
      </c>
      <c r="D18" s="111" t="s">
        <v>54</v>
      </c>
      <c r="E18" s="112" t="s">
        <v>94</v>
      </c>
      <c r="F18" s="113" t="s">
        <v>95</v>
      </c>
      <c r="G18" s="114">
        <v>70</v>
      </c>
      <c r="H18" s="19" t="s">
        <v>69</v>
      </c>
      <c r="I18" s="22" t="s">
        <v>21</v>
      </c>
      <c r="J18" s="22">
        <v>120</v>
      </c>
      <c r="K18" s="107"/>
      <c r="L18" s="107"/>
      <c r="M18" s="44"/>
      <c r="N18" s="44"/>
      <c r="O18" s="44"/>
      <c r="P18" s="44"/>
      <c r="Q18" s="44" t="s">
        <v>29</v>
      </c>
      <c r="R18" s="91" t="s">
        <v>70</v>
      </c>
      <c r="S18" s="44"/>
      <c r="T18" s="44"/>
      <c r="U18" s="44"/>
      <c r="V18" s="93" t="s">
        <v>281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55</v>
      </c>
      <c r="E19" s="112" t="s">
        <v>74</v>
      </c>
      <c r="F19" s="113" t="s">
        <v>78</v>
      </c>
      <c r="G19" s="114">
        <v>52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91" t="s">
        <v>70</v>
      </c>
      <c r="S19" s="44" t="s">
        <v>29</v>
      </c>
      <c r="T19" s="44"/>
      <c r="U19" s="44"/>
      <c r="V19" s="117" t="s">
        <v>757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55</v>
      </c>
      <c r="E20" s="112" t="s">
        <v>74</v>
      </c>
      <c r="F20" s="113" t="s">
        <v>78</v>
      </c>
      <c r="G20" s="114">
        <v>145</v>
      </c>
      <c r="H20" s="19" t="s">
        <v>69</v>
      </c>
      <c r="I20" s="22" t="s">
        <v>28</v>
      </c>
      <c r="J20" s="22">
        <v>230</v>
      </c>
      <c r="K20" s="107"/>
      <c r="L20" s="107"/>
      <c r="M20" s="44"/>
      <c r="N20" s="44"/>
      <c r="O20" s="44"/>
      <c r="P20" s="44"/>
      <c r="Q20" s="44"/>
      <c r="R20" s="91" t="s">
        <v>70</v>
      </c>
      <c r="S20" s="44" t="s">
        <v>29</v>
      </c>
      <c r="T20" s="44"/>
      <c r="U20" s="44"/>
      <c r="V20" s="117" t="s">
        <v>757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56</v>
      </c>
      <c r="E21" s="112" t="s">
        <v>96</v>
      </c>
      <c r="F21" s="113" t="s">
        <v>97</v>
      </c>
      <c r="G21" s="114">
        <v>23</v>
      </c>
      <c r="H21" s="19" t="s">
        <v>69</v>
      </c>
      <c r="I21" s="22" t="s">
        <v>21</v>
      </c>
      <c r="J21" s="22">
        <v>120</v>
      </c>
      <c r="K21" s="107"/>
      <c r="L21" s="107"/>
      <c r="M21" s="44"/>
      <c r="N21" s="44"/>
      <c r="O21" s="44"/>
      <c r="P21" s="44"/>
      <c r="Q21" s="44" t="s">
        <v>29</v>
      </c>
      <c r="R21" s="91" t="s">
        <v>70</v>
      </c>
      <c r="S21" s="44"/>
      <c r="T21" s="44"/>
      <c r="U21" s="44"/>
      <c r="V21" s="118" t="s">
        <v>282</v>
      </c>
      <c r="W21" s="22"/>
      <c r="X21" s="38"/>
      <c r="Y21" s="39" t="e">
        <f>IF(E21=E19,Y19,Y19+1)</f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21</v>
      </c>
      <c r="B22" s="43" t="s">
        <v>889</v>
      </c>
      <c r="C22" s="18">
        <v>44063</v>
      </c>
      <c r="D22" s="111" t="s">
        <v>56</v>
      </c>
      <c r="E22" s="112" t="s">
        <v>96</v>
      </c>
      <c r="F22" s="113" t="s">
        <v>97</v>
      </c>
      <c r="G22" s="114">
        <v>30</v>
      </c>
      <c r="H22" s="19" t="s">
        <v>69</v>
      </c>
      <c r="I22" s="22" t="s">
        <v>21</v>
      </c>
      <c r="J22" s="22">
        <v>120</v>
      </c>
      <c r="K22" s="107"/>
      <c r="L22" s="107"/>
      <c r="M22" s="44"/>
      <c r="N22" s="44"/>
      <c r="O22" s="44"/>
      <c r="P22" s="44"/>
      <c r="Q22" s="44" t="s">
        <v>29</v>
      </c>
      <c r="R22" s="91" t="s">
        <v>70</v>
      </c>
      <c r="S22" s="44"/>
      <c r="T22" s="44"/>
      <c r="U22" s="44"/>
      <c r="V22" s="118" t="s">
        <v>282</v>
      </c>
      <c r="W22" s="22"/>
      <c r="X22" s="38"/>
      <c r="Y22" s="39" t="e">
        <f>IF(E22=E20,Y20,Y20+1)</f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21</v>
      </c>
      <c r="B23" s="43" t="s">
        <v>889</v>
      </c>
      <c r="C23" s="25">
        <v>44064</v>
      </c>
      <c r="D23" s="111" t="s">
        <v>54</v>
      </c>
      <c r="E23" s="112" t="s">
        <v>96</v>
      </c>
      <c r="F23" s="113" t="s">
        <v>97</v>
      </c>
      <c r="G23" s="114">
        <v>27</v>
      </c>
      <c r="H23" s="19" t="s">
        <v>69</v>
      </c>
      <c r="I23" s="22" t="s">
        <v>21</v>
      </c>
      <c r="J23" s="22">
        <v>120</v>
      </c>
      <c r="K23" s="107"/>
      <c r="L23" s="107"/>
      <c r="M23" s="44"/>
      <c r="N23" s="44"/>
      <c r="O23" s="44"/>
      <c r="P23" s="44"/>
      <c r="Q23" s="44" t="s">
        <v>29</v>
      </c>
      <c r="R23" s="91" t="s">
        <v>70</v>
      </c>
      <c r="S23" s="44"/>
      <c r="T23" s="44"/>
      <c r="U23" s="44"/>
      <c r="V23" s="27" t="s">
        <v>283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44064</v>
      </c>
      <c r="D24" s="111" t="s">
        <v>55</v>
      </c>
      <c r="E24" s="112" t="s">
        <v>94</v>
      </c>
      <c r="F24" s="113" t="s">
        <v>95</v>
      </c>
      <c r="G24" s="114">
        <v>43</v>
      </c>
      <c r="H24" s="19" t="s">
        <v>69</v>
      </c>
      <c r="I24" s="22" t="s">
        <v>21</v>
      </c>
      <c r="J24" s="22">
        <v>120</v>
      </c>
      <c r="K24" s="107"/>
      <c r="L24" s="107"/>
      <c r="M24" s="44"/>
      <c r="N24" s="44"/>
      <c r="O24" s="44"/>
      <c r="P24" s="44"/>
      <c r="Q24" s="44" t="s">
        <v>29</v>
      </c>
      <c r="R24" s="91" t="s">
        <v>70</v>
      </c>
      <c r="S24" s="44"/>
      <c r="T24" s="44"/>
      <c r="U24" s="44"/>
      <c r="V24" s="118" t="s">
        <v>284</v>
      </c>
      <c r="W24" s="22"/>
      <c r="X24" s="38"/>
      <c r="Y24" s="39" t="e">
        <f t="shared" si="0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18">
        <v>44064</v>
      </c>
      <c r="D25" s="111" t="s">
        <v>56</v>
      </c>
      <c r="E25" s="112" t="s">
        <v>134</v>
      </c>
      <c r="F25" s="113" t="s">
        <v>135</v>
      </c>
      <c r="G25" s="114">
        <v>60</v>
      </c>
      <c r="H25" s="19" t="s">
        <v>69</v>
      </c>
      <c r="I25" s="22" t="s">
        <v>19</v>
      </c>
      <c r="J25" s="22">
        <v>220</v>
      </c>
      <c r="K25" s="107"/>
      <c r="L25" s="107"/>
      <c r="M25" s="44"/>
      <c r="N25" s="44"/>
      <c r="O25" s="44" t="s">
        <v>29</v>
      </c>
      <c r="P25" s="44"/>
      <c r="Q25" s="44"/>
      <c r="R25" s="91" t="s">
        <v>70</v>
      </c>
      <c r="S25" s="44"/>
      <c r="T25" s="44" t="s">
        <v>29</v>
      </c>
      <c r="U25" s="44"/>
      <c r="V25" s="118" t="s">
        <v>285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18">
        <v>44064</v>
      </c>
      <c r="D26" s="111" t="s">
        <v>56</v>
      </c>
      <c r="E26" s="112" t="s">
        <v>134</v>
      </c>
      <c r="F26" s="113" t="s">
        <v>135</v>
      </c>
      <c r="G26" s="114">
        <v>37</v>
      </c>
      <c r="H26" s="19" t="s">
        <v>69</v>
      </c>
      <c r="I26" s="22" t="s">
        <v>19</v>
      </c>
      <c r="J26" s="22">
        <v>220</v>
      </c>
      <c r="K26" s="107"/>
      <c r="L26" s="107"/>
      <c r="M26" s="44"/>
      <c r="N26" s="44"/>
      <c r="O26" s="44" t="s">
        <v>29</v>
      </c>
      <c r="P26" s="44"/>
      <c r="Q26" s="44"/>
      <c r="R26" s="91" t="s">
        <v>70</v>
      </c>
      <c r="S26" s="44"/>
      <c r="T26" s="44" t="s">
        <v>29</v>
      </c>
      <c r="U26" s="44"/>
      <c r="V26" s="118" t="s">
        <v>285</v>
      </c>
      <c r="W26" s="22"/>
      <c r="X26" s="38"/>
      <c r="Y26" s="39" t="e">
        <f>IF(E26=E24,Y24,Y24+1)</f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57</v>
      </c>
      <c r="E27" s="112" t="s">
        <v>74</v>
      </c>
      <c r="F27" s="113" t="s">
        <v>78</v>
      </c>
      <c r="G27" s="114">
        <v>100</v>
      </c>
      <c r="H27" s="19" t="s">
        <v>69</v>
      </c>
      <c r="I27" s="22" t="s">
        <v>28</v>
      </c>
      <c r="J27" s="22">
        <v>230</v>
      </c>
      <c r="K27" s="107"/>
      <c r="L27" s="107"/>
      <c r="M27" s="44"/>
      <c r="N27" s="44"/>
      <c r="O27" s="44"/>
      <c r="P27" s="44"/>
      <c r="Q27" s="44"/>
      <c r="R27" s="91" t="s">
        <v>70</v>
      </c>
      <c r="S27" s="44" t="s">
        <v>29</v>
      </c>
      <c r="T27" s="44"/>
      <c r="U27" s="44"/>
      <c r="V27" s="118" t="s">
        <v>758</v>
      </c>
      <c r="W27" s="22"/>
      <c r="X27" s="38"/>
      <c r="Y27" s="39" t="e">
        <f t="shared" si="0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58</v>
      </c>
      <c r="E28" s="112" t="s">
        <v>96</v>
      </c>
      <c r="F28" s="113" t="s">
        <v>97</v>
      </c>
      <c r="G28" s="114">
        <v>23</v>
      </c>
      <c r="H28" s="19" t="s">
        <v>69</v>
      </c>
      <c r="I28" s="22" t="s">
        <v>21</v>
      </c>
      <c r="J28" s="22">
        <v>120</v>
      </c>
      <c r="K28" s="107"/>
      <c r="L28" s="107"/>
      <c r="M28" s="44"/>
      <c r="N28" s="44"/>
      <c r="O28" s="44"/>
      <c r="P28" s="44"/>
      <c r="Q28" s="44" t="s">
        <v>29</v>
      </c>
      <c r="R28" s="91" t="s">
        <v>70</v>
      </c>
      <c r="S28" s="44"/>
      <c r="T28" s="44"/>
      <c r="U28" s="44"/>
      <c r="V28" s="27" t="s">
        <v>286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18">
        <v>44064</v>
      </c>
      <c r="D29" s="111" t="s">
        <v>58</v>
      </c>
      <c r="E29" s="112" t="s">
        <v>96</v>
      </c>
      <c r="F29" s="113" t="s">
        <v>97</v>
      </c>
      <c r="G29" s="114">
        <v>30</v>
      </c>
      <c r="H29" s="19" t="s">
        <v>69</v>
      </c>
      <c r="I29" s="22" t="s">
        <v>21</v>
      </c>
      <c r="J29" s="22">
        <v>120</v>
      </c>
      <c r="K29" s="107"/>
      <c r="L29" s="107"/>
      <c r="M29" s="44"/>
      <c r="N29" s="44"/>
      <c r="O29" s="44"/>
      <c r="P29" s="44"/>
      <c r="Q29" s="44" t="s">
        <v>29</v>
      </c>
      <c r="R29" s="91" t="s">
        <v>70</v>
      </c>
      <c r="S29" s="44"/>
      <c r="T29" s="44"/>
      <c r="U29" s="44"/>
      <c r="V29" s="27" t="s">
        <v>286</v>
      </c>
      <c r="W29" s="22"/>
      <c r="X29" s="38"/>
      <c r="Y29" s="39" t="e">
        <f>IF(E29=E27,Y27,Y27+1)</f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25">
        <v>44065</v>
      </c>
      <c r="D30" s="111" t="s">
        <v>54</v>
      </c>
      <c r="E30" s="112" t="s">
        <v>94</v>
      </c>
      <c r="F30" s="113" t="s">
        <v>95</v>
      </c>
      <c r="G30" s="114">
        <v>70</v>
      </c>
      <c r="H30" s="19" t="s">
        <v>69</v>
      </c>
      <c r="I30" s="22" t="s">
        <v>21</v>
      </c>
      <c r="J30" s="22">
        <v>120</v>
      </c>
      <c r="K30" s="107"/>
      <c r="L30" s="107"/>
      <c r="M30" s="44"/>
      <c r="N30" s="44"/>
      <c r="O30" s="44"/>
      <c r="P30" s="44"/>
      <c r="Q30" s="44" t="s">
        <v>29</v>
      </c>
      <c r="R30" s="91" t="s">
        <v>70</v>
      </c>
      <c r="S30" s="44"/>
      <c r="T30" s="44"/>
      <c r="U30" s="44"/>
      <c r="V30" s="27" t="s">
        <v>287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889</v>
      </c>
      <c r="C31" s="18">
        <v>44065</v>
      </c>
      <c r="D31" s="111" t="s">
        <v>55</v>
      </c>
      <c r="E31" s="112" t="s">
        <v>74</v>
      </c>
      <c r="F31" s="113" t="s">
        <v>78</v>
      </c>
      <c r="G31" s="114">
        <v>30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91" t="s">
        <v>70</v>
      </c>
      <c r="S31" s="44" t="s">
        <v>29</v>
      </c>
      <c r="T31" s="44"/>
      <c r="U31" s="44"/>
      <c r="V31" s="118" t="s">
        <v>759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55</v>
      </c>
      <c r="E32" s="112" t="s">
        <v>74</v>
      </c>
      <c r="F32" s="113" t="s">
        <v>78</v>
      </c>
      <c r="G32" s="114">
        <v>107</v>
      </c>
      <c r="H32" s="19" t="s">
        <v>69</v>
      </c>
      <c r="I32" s="22" t="s">
        <v>28</v>
      </c>
      <c r="J32" s="22">
        <v>230</v>
      </c>
      <c r="K32" s="107"/>
      <c r="L32" s="107"/>
      <c r="M32" s="44"/>
      <c r="N32" s="44"/>
      <c r="O32" s="44"/>
      <c r="P32" s="44"/>
      <c r="Q32" s="44"/>
      <c r="R32" s="91" t="s">
        <v>70</v>
      </c>
      <c r="S32" s="44" t="s">
        <v>29</v>
      </c>
      <c r="T32" s="44"/>
      <c r="U32" s="44"/>
      <c r="V32" s="118" t="s">
        <v>759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28">
        <v>44065</v>
      </c>
      <c r="D33" s="111" t="s">
        <v>56</v>
      </c>
      <c r="E33" s="112" t="s">
        <v>144</v>
      </c>
      <c r="F33" s="113" t="s">
        <v>145</v>
      </c>
      <c r="G33" s="114">
        <v>23</v>
      </c>
      <c r="H33" s="22" t="s">
        <v>69</v>
      </c>
      <c r="I33" s="22" t="s">
        <v>146</v>
      </c>
      <c r="J33" s="22">
        <v>230</v>
      </c>
      <c r="K33" s="44"/>
      <c r="L33" s="44"/>
      <c r="M33" s="44"/>
      <c r="N33" s="44"/>
      <c r="O33" s="44"/>
      <c r="P33" s="44"/>
      <c r="Q33" s="44" t="s">
        <v>29</v>
      </c>
      <c r="R33" s="91" t="s">
        <v>70</v>
      </c>
      <c r="S33" s="44"/>
      <c r="T33" s="44" t="s">
        <v>29</v>
      </c>
      <c r="U33" s="44"/>
      <c r="V33" s="118" t="s">
        <v>358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28">
        <v>44065</v>
      </c>
      <c r="D34" s="111" t="s">
        <v>56</v>
      </c>
      <c r="E34" s="112" t="s">
        <v>144</v>
      </c>
      <c r="F34" s="113" t="s">
        <v>145</v>
      </c>
      <c r="G34" s="114">
        <v>30</v>
      </c>
      <c r="H34" s="22" t="s">
        <v>69</v>
      </c>
      <c r="I34" s="22" t="s">
        <v>146</v>
      </c>
      <c r="J34" s="22">
        <v>230</v>
      </c>
      <c r="K34" s="44"/>
      <c r="L34" s="44"/>
      <c r="M34" s="44"/>
      <c r="N34" s="44"/>
      <c r="O34" s="44"/>
      <c r="P34" s="44"/>
      <c r="Q34" s="44" t="s">
        <v>29</v>
      </c>
      <c r="R34" s="91" t="s">
        <v>70</v>
      </c>
      <c r="S34" s="44"/>
      <c r="T34" s="44" t="s">
        <v>29</v>
      </c>
      <c r="U34" s="44"/>
      <c r="V34" s="118" t="s">
        <v>358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6">
        <v>44067</v>
      </c>
      <c r="D35" s="111" t="s">
        <v>54</v>
      </c>
      <c r="E35" s="112" t="s">
        <v>144</v>
      </c>
      <c r="F35" s="113" t="s">
        <v>145</v>
      </c>
      <c r="G35" s="114">
        <v>61</v>
      </c>
      <c r="H35" s="22" t="s">
        <v>69</v>
      </c>
      <c r="I35" s="22" t="s">
        <v>146</v>
      </c>
      <c r="J35" s="22">
        <v>230</v>
      </c>
      <c r="K35" s="44"/>
      <c r="L35" s="44"/>
      <c r="M35" s="44"/>
      <c r="N35" s="44"/>
      <c r="O35" s="44"/>
      <c r="P35" s="44"/>
      <c r="Q35" s="44" t="s">
        <v>29</v>
      </c>
      <c r="R35" s="91" t="s">
        <v>70</v>
      </c>
      <c r="S35" s="44"/>
      <c r="T35" s="44" t="s">
        <v>29</v>
      </c>
      <c r="U35" s="44"/>
      <c r="V35" s="27" t="s">
        <v>359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28">
        <v>44067</v>
      </c>
      <c r="D36" s="111" t="s">
        <v>55</v>
      </c>
      <c r="E36" s="112" t="s">
        <v>190</v>
      </c>
      <c r="F36" s="113" t="s">
        <v>191</v>
      </c>
      <c r="G36" s="114">
        <v>37</v>
      </c>
      <c r="H36" s="22" t="s">
        <v>69</v>
      </c>
      <c r="I36" s="22" t="s">
        <v>146</v>
      </c>
      <c r="J36" s="22">
        <v>230</v>
      </c>
      <c r="K36" s="44"/>
      <c r="L36" s="44"/>
      <c r="M36" s="44"/>
      <c r="N36" s="44"/>
      <c r="O36" s="44"/>
      <c r="P36" s="44"/>
      <c r="Q36" s="44" t="s">
        <v>29</v>
      </c>
      <c r="R36" s="91" t="s">
        <v>70</v>
      </c>
      <c r="S36" s="44"/>
      <c r="T36" s="44" t="s">
        <v>29</v>
      </c>
      <c r="U36" s="44"/>
      <c r="V36" s="118" t="s">
        <v>360</v>
      </c>
      <c r="W36" s="22"/>
      <c r="X36" s="38"/>
      <c r="Y36" s="39" t="e">
        <f>IF(E36=E34,Y34,Y34+1)</f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890</v>
      </c>
      <c r="C37" s="28">
        <v>44067</v>
      </c>
      <c r="D37" s="111" t="s">
        <v>55</v>
      </c>
      <c r="E37" s="112" t="s">
        <v>190</v>
      </c>
      <c r="F37" s="113" t="s">
        <v>191</v>
      </c>
      <c r="G37" s="114">
        <v>20</v>
      </c>
      <c r="H37" s="22" t="s">
        <v>69</v>
      </c>
      <c r="I37" s="22" t="s">
        <v>146</v>
      </c>
      <c r="J37" s="22">
        <v>230</v>
      </c>
      <c r="K37" s="44"/>
      <c r="L37" s="44"/>
      <c r="M37" s="44"/>
      <c r="N37" s="44"/>
      <c r="O37" s="44"/>
      <c r="P37" s="44"/>
      <c r="Q37" s="44" t="s">
        <v>29</v>
      </c>
      <c r="R37" s="91" t="s">
        <v>70</v>
      </c>
      <c r="S37" s="44"/>
      <c r="T37" s="44" t="s">
        <v>29</v>
      </c>
      <c r="U37" s="44"/>
      <c r="V37" s="118" t="s">
        <v>360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28">
        <v>44067</v>
      </c>
      <c r="D38" s="111" t="s">
        <v>56</v>
      </c>
      <c r="E38" s="112" t="s">
        <v>114</v>
      </c>
      <c r="F38" s="113" t="s">
        <v>115</v>
      </c>
      <c r="G38" s="114">
        <v>30</v>
      </c>
      <c r="H38" s="22" t="s">
        <v>69</v>
      </c>
      <c r="I38" s="22" t="s">
        <v>33</v>
      </c>
      <c r="J38" s="22">
        <v>100</v>
      </c>
      <c r="K38" s="44"/>
      <c r="L38" s="44"/>
      <c r="M38" s="44"/>
      <c r="N38" s="44"/>
      <c r="O38" s="44" t="s">
        <v>29</v>
      </c>
      <c r="P38" s="44"/>
      <c r="Q38" s="44"/>
      <c r="R38" s="91" t="s">
        <v>70</v>
      </c>
      <c r="S38" s="44"/>
      <c r="T38" s="44" t="s">
        <v>29</v>
      </c>
      <c r="U38" s="44" t="s">
        <v>29</v>
      </c>
      <c r="V38" s="118" t="s">
        <v>361</v>
      </c>
      <c r="W38" s="22"/>
      <c r="X38" s="38"/>
      <c r="Y38" s="39" t="e">
        <f t="shared" si="0"/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28">
        <v>44067</v>
      </c>
      <c r="D39" s="111" t="s">
        <v>57</v>
      </c>
      <c r="E39" s="112" t="s">
        <v>71</v>
      </c>
      <c r="F39" s="113" t="s">
        <v>75</v>
      </c>
      <c r="G39" s="114">
        <v>55</v>
      </c>
      <c r="H39" s="22" t="s">
        <v>69</v>
      </c>
      <c r="I39" s="22" t="s">
        <v>28</v>
      </c>
      <c r="J39" s="22">
        <v>230</v>
      </c>
      <c r="K39" s="44"/>
      <c r="L39" s="44"/>
      <c r="M39" s="44"/>
      <c r="N39" s="44"/>
      <c r="O39" s="44"/>
      <c r="P39" s="44"/>
      <c r="Q39" s="44"/>
      <c r="R39" s="91" t="s">
        <v>70</v>
      </c>
      <c r="S39" s="44" t="s">
        <v>29</v>
      </c>
      <c r="T39" s="44"/>
      <c r="U39" s="44"/>
      <c r="V39" s="118" t="s">
        <v>362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28">
        <v>44067</v>
      </c>
      <c r="D40" s="111" t="s">
        <v>58</v>
      </c>
      <c r="E40" s="112" t="s">
        <v>96</v>
      </c>
      <c r="F40" s="113" t="s">
        <v>97</v>
      </c>
      <c r="G40" s="114">
        <v>23</v>
      </c>
      <c r="H40" s="22" t="s">
        <v>69</v>
      </c>
      <c r="I40" s="22" t="s">
        <v>21</v>
      </c>
      <c r="J40" s="22">
        <v>120</v>
      </c>
      <c r="K40" s="44"/>
      <c r="L40" s="44"/>
      <c r="M40" s="44"/>
      <c r="N40" s="44"/>
      <c r="O40" s="44"/>
      <c r="P40" s="44"/>
      <c r="Q40" s="44" t="s">
        <v>29</v>
      </c>
      <c r="R40" s="91" t="s">
        <v>70</v>
      </c>
      <c r="S40" s="44"/>
      <c r="T40" s="44"/>
      <c r="U40" s="44"/>
      <c r="V40" s="118" t="s">
        <v>363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25</v>
      </c>
      <c r="B41" s="43" t="s">
        <v>889</v>
      </c>
      <c r="C41" s="28">
        <v>44067</v>
      </c>
      <c r="D41" s="111" t="s">
        <v>58</v>
      </c>
      <c r="E41" s="112" t="s">
        <v>96</v>
      </c>
      <c r="F41" s="113" t="s">
        <v>97</v>
      </c>
      <c r="G41" s="114">
        <v>30</v>
      </c>
      <c r="H41" s="22" t="s">
        <v>69</v>
      </c>
      <c r="I41" s="22" t="s">
        <v>21</v>
      </c>
      <c r="J41" s="22">
        <v>120</v>
      </c>
      <c r="K41" s="44"/>
      <c r="L41" s="44"/>
      <c r="M41" s="44"/>
      <c r="N41" s="44"/>
      <c r="O41" s="44"/>
      <c r="P41" s="44"/>
      <c r="Q41" s="44" t="s">
        <v>29</v>
      </c>
      <c r="R41" s="91" t="s">
        <v>70</v>
      </c>
      <c r="S41" s="44"/>
      <c r="T41" s="44"/>
      <c r="U41" s="44"/>
      <c r="V41" s="118" t="s">
        <v>363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25</v>
      </c>
      <c r="B42" s="43" t="s">
        <v>889</v>
      </c>
      <c r="C42" s="26">
        <v>44068</v>
      </c>
      <c r="D42" s="111" t="s">
        <v>54</v>
      </c>
      <c r="E42" s="112" t="s">
        <v>96</v>
      </c>
      <c r="F42" s="113" t="s">
        <v>97</v>
      </c>
      <c r="G42" s="114">
        <v>12</v>
      </c>
      <c r="H42" s="22" t="s">
        <v>69</v>
      </c>
      <c r="I42" s="22" t="s">
        <v>21</v>
      </c>
      <c r="J42" s="22">
        <v>120</v>
      </c>
      <c r="K42" s="44"/>
      <c r="L42" s="44"/>
      <c r="M42" s="44"/>
      <c r="N42" s="44"/>
      <c r="O42" s="44"/>
      <c r="P42" s="44"/>
      <c r="Q42" s="44" t="s">
        <v>29</v>
      </c>
      <c r="R42" s="91" t="s">
        <v>70</v>
      </c>
      <c r="S42" s="44"/>
      <c r="T42" s="44"/>
      <c r="U42" s="44"/>
      <c r="V42" s="118" t="s">
        <v>364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28">
        <v>44068</v>
      </c>
      <c r="D43" s="111" t="s">
        <v>55</v>
      </c>
      <c r="E43" s="112" t="s">
        <v>144</v>
      </c>
      <c r="F43" s="113" t="s">
        <v>145</v>
      </c>
      <c r="G43" s="114">
        <v>19</v>
      </c>
      <c r="H43" s="22" t="s">
        <v>69</v>
      </c>
      <c r="I43" s="22" t="s">
        <v>146</v>
      </c>
      <c r="J43" s="22">
        <v>230</v>
      </c>
      <c r="K43" s="44"/>
      <c r="L43" s="44"/>
      <c r="M43" s="44"/>
      <c r="N43" s="44"/>
      <c r="O43" s="44"/>
      <c r="P43" s="44"/>
      <c r="Q43" s="44" t="s">
        <v>29</v>
      </c>
      <c r="R43" s="91" t="s">
        <v>70</v>
      </c>
      <c r="S43" s="44"/>
      <c r="T43" s="44" t="s">
        <v>29</v>
      </c>
      <c r="U43" s="44"/>
      <c r="V43" s="27" t="s">
        <v>365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8">
        <v>44068</v>
      </c>
      <c r="D44" s="111" t="s">
        <v>56</v>
      </c>
      <c r="E44" s="112" t="s">
        <v>190</v>
      </c>
      <c r="F44" s="113" t="s">
        <v>191</v>
      </c>
      <c r="G44" s="114">
        <v>87</v>
      </c>
      <c r="H44" s="22" t="s">
        <v>69</v>
      </c>
      <c r="I44" s="22" t="s">
        <v>146</v>
      </c>
      <c r="J44" s="22">
        <v>230</v>
      </c>
      <c r="K44" s="44"/>
      <c r="L44" s="44"/>
      <c r="M44" s="44"/>
      <c r="N44" s="44"/>
      <c r="O44" s="44"/>
      <c r="P44" s="44"/>
      <c r="Q44" s="44" t="s">
        <v>29</v>
      </c>
      <c r="R44" s="91" t="s">
        <v>70</v>
      </c>
      <c r="S44" s="44"/>
      <c r="T44" s="44" t="s">
        <v>29</v>
      </c>
      <c r="U44" s="44"/>
      <c r="V44" s="118" t="s">
        <v>366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28">
        <v>44068</v>
      </c>
      <c r="D45" s="111" t="s">
        <v>57</v>
      </c>
      <c r="E45" s="112" t="s">
        <v>114</v>
      </c>
      <c r="F45" s="113" t="s">
        <v>115</v>
      </c>
      <c r="G45" s="114">
        <v>20</v>
      </c>
      <c r="H45" s="22" t="s">
        <v>69</v>
      </c>
      <c r="I45" s="22" t="s">
        <v>33</v>
      </c>
      <c r="J45" s="22">
        <v>100</v>
      </c>
      <c r="K45" s="44"/>
      <c r="L45" s="44"/>
      <c r="M45" s="44"/>
      <c r="N45" s="44"/>
      <c r="O45" s="44" t="s">
        <v>29</v>
      </c>
      <c r="P45" s="44"/>
      <c r="Q45" s="44"/>
      <c r="R45" s="91" t="s">
        <v>70</v>
      </c>
      <c r="S45" s="44"/>
      <c r="T45" s="44" t="s">
        <v>29</v>
      </c>
      <c r="U45" s="44" t="s">
        <v>29</v>
      </c>
      <c r="V45" s="27" t="s">
        <v>367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28">
        <v>44068</v>
      </c>
      <c r="D46" s="111" t="s">
        <v>57</v>
      </c>
      <c r="E46" s="112" t="s">
        <v>114</v>
      </c>
      <c r="F46" s="113" t="s">
        <v>115</v>
      </c>
      <c r="G46" s="114">
        <v>10</v>
      </c>
      <c r="H46" s="22" t="s">
        <v>69</v>
      </c>
      <c r="I46" s="22" t="s">
        <v>33</v>
      </c>
      <c r="J46" s="22">
        <v>100</v>
      </c>
      <c r="K46" s="44"/>
      <c r="L46" s="44"/>
      <c r="M46" s="44"/>
      <c r="N46" s="44"/>
      <c r="O46" s="44" t="s">
        <v>29</v>
      </c>
      <c r="P46" s="44"/>
      <c r="Q46" s="44"/>
      <c r="R46" s="91" t="s">
        <v>70</v>
      </c>
      <c r="S46" s="44"/>
      <c r="T46" s="44" t="s">
        <v>29</v>
      </c>
      <c r="U46" s="44" t="s">
        <v>29</v>
      </c>
      <c r="V46" s="27" t="s">
        <v>367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28">
        <v>44068</v>
      </c>
      <c r="D47" s="111" t="s">
        <v>58</v>
      </c>
      <c r="E47" s="112" t="s">
        <v>71</v>
      </c>
      <c r="F47" s="113" t="s">
        <v>75</v>
      </c>
      <c r="G47" s="114">
        <v>135</v>
      </c>
      <c r="H47" s="22" t="s">
        <v>69</v>
      </c>
      <c r="I47" s="22" t="s">
        <v>28</v>
      </c>
      <c r="J47" s="22">
        <v>230</v>
      </c>
      <c r="K47" s="44"/>
      <c r="L47" s="44"/>
      <c r="M47" s="44"/>
      <c r="N47" s="44"/>
      <c r="O47" s="44"/>
      <c r="P47" s="44"/>
      <c r="Q47" s="44"/>
      <c r="R47" s="91" t="s">
        <v>70</v>
      </c>
      <c r="S47" s="44" t="s">
        <v>29</v>
      </c>
      <c r="T47" s="44"/>
      <c r="U47" s="44"/>
      <c r="V47" s="27" t="s">
        <v>368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28">
        <v>44068</v>
      </c>
      <c r="D48" s="111" t="s">
        <v>59</v>
      </c>
      <c r="E48" s="112" t="s">
        <v>96</v>
      </c>
      <c r="F48" s="113" t="s">
        <v>97</v>
      </c>
      <c r="G48" s="114">
        <v>23</v>
      </c>
      <c r="H48" s="22" t="s">
        <v>69</v>
      </c>
      <c r="I48" s="22" t="s">
        <v>21</v>
      </c>
      <c r="J48" s="22">
        <v>120</v>
      </c>
      <c r="K48" s="44"/>
      <c r="L48" s="44"/>
      <c r="M48" s="44"/>
      <c r="N48" s="44"/>
      <c r="O48" s="44"/>
      <c r="P48" s="44"/>
      <c r="Q48" s="44" t="s">
        <v>29</v>
      </c>
      <c r="R48" s="91" t="s">
        <v>70</v>
      </c>
      <c r="S48" s="44"/>
      <c r="T48" s="44"/>
      <c r="U48" s="44"/>
      <c r="V48" s="27" t="s">
        <v>369</v>
      </c>
      <c r="W48" s="22"/>
      <c r="X48" s="95"/>
      <c r="Y48" s="39" t="e">
        <f>IF(E48=E46,Y46,Y46+1)</f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26</v>
      </c>
      <c r="B49" s="43" t="s">
        <v>889</v>
      </c>
      <c r="C49" s="28">
        <v>44068</v>
      </c>
      <c r="D49" s="111" t="s">
        <v>59</v>
      </c>
      <c r="E49" s="112" t="s">
        <v>96</v>
      </c>
      <c r="F49" s="113" t="s">
        <v>97</v>
      </c>
      <c r="G49" s="114">
        <v>30</v>
      </c>
      <c r="H49" s="22" t="s">
        <v>69</v>
      </c>
      <c r="I49" s="22" t="s">
        <v>21</v>
      </c>
      <c r="J49" s="22">
        <v>120</v>
      </c>
      <c r="K49" s="44"/>
      <c r="L49" s="44"/>
      <c r="M49" s="44"/>
      <c r="N49" s="44"/>
      <c r="O49" s="44"/>
      <c r="P49" s="44"/>
      <c r="Q49" s="44" t="s">
        <v>29</v>
      </c>
      <c r="R49" s="91" t="s">
        <v>70</v>
      </c>
      <c r="S49" s="44"/>
      <c r="T49" s="44"/>
      <c r="U49" s="44"/>
      <c r="V49" s="27" t="s">
        <v>369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26">
        <v>44069</v>
      </c>
      <c r="D50" s="111" t="s">
        <v>54</v>
      </c>
      <c r="E50" s="112" t="s">
        <v>96</v>
      </c>
      <c r="F50" s="113" t="s">
        <v>97</v>
      </c>
      <c r="G50" s="114">
        <v>10</v>
      </c>
      <c r="H50" s="22" t="s">
        <v>69</v>
      </c>
      <c r="I50" s="22" t="s">
        <v>21</v>
      </c>
      <c r="J50" s="22">
        <v>120</v>
      </c>
      <c r="K50" s="44"/>
      <c r="L50" s="44"/>
      <c r="M50" s="44"/>
      <c r="N50" s="44"/>
      <c r="O50" s="44"/>
      <c r="P50" s="44"/>
      <c r="Q50" s="44" t="s">
        <v>29</v>
      </c>
      <c r="R50" s="91" t="s">
        <v>70</v>
      </c>
      <c r="S50" s="44"/>
      <c r="T50" s="44"/>
      <c r="U50" s="44"/>
      <c r="V50" s="118" t="s">
        <v>370</v>
      </c>
      <c r="W50" s="22"/>
      <c r="X50" s="95"/>
      <c r="Y50" s="39" t="e">
        <f t="shared" si="0"/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8">
        <v>44069</v>
      </c>
      <c r="D51" s="111" t="s">
        <v>55</v>
      </c>
      <c r="E51" s="112" t="s">
        <v>198</v>
      </c>
      <c r="F51" s="113" t="s">
        <v>199</v>
      </c>
      <c r="G51" s="114">
        <v>60</v>
      </c>
      <c r="H51" s="22" t="s">
        <v>69</v>
      </c>
      <c r="I51" s="22" t="s">
        <v>33</v>
      </c>
      <c r="J51" s="22">
        <v>100</v>
      </c>
      <c r="K51" s="44"/>
      <c r="L51" s="44"/>
      <c r="M51" s="44"/>
      <c r="N51" s="44"/>
      <c r="O51" s="44"/>
      <c r="P51" s="44"/>
      <c r="Q51" s="44" t="s">
        <v>29</v>
      </c>
      <c r="R51" s="91" t="s">
        <v>70</v>
      </c>
      <c r="S51" s="44"/>
      <c r="T51" s="44" t="s">
        <v>29</v>
      </c>
      <c r="U51" s="44" t="s">
        <v>29</v>
      </c>
      <c r="V51" s="118" t="s">
        <v>371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28">
        <v>44069</v>
      </c>
      <c r="D52" s="111" t="s">
        <v>56</v>
      </c>
      <c r="E52" s="112" t="s">
        <v>94</v>
      </c>
      <c r="F52" s="113" t="s">
        <v>95</v>
      </c>
      <c r="G52" s="114">
        <v>48</v>
      </c>
      <c r="H52" s="22" t="s">
        <v>69</v>
      </c>
      <c r="I52" s="22" t="s">
        <v>21</v>
      </c>
      <c r="J52" s="22">
        <v>120</v>
      </c>
      <c r="K52" s="44"/>
      <c r="L52" s="44"/>
      <c r="M52" s="44"/>
      <c r="N52" s="44"/>
      <c r="O52" s="44"/>
      <c r="P52" s="44"/>
      <c r="Q52" s="44" t="s">
        <v>29</v>
      </c>
      <c r="R52" s="91" t="s">
        <v>70</v>
      </c>
      <c r="S52" s="44"/>
      <c r="T52" s="44"/>
      <c r="U52" s="44"/>
      <c r="V52" s="27" t="s">
        <v>372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889</v>
      </c>
      <c r="C53" s="28">
        <v>44069</v>
      </c>
      <c r="D53" s="111" t="s">
        <v>57</v>
      </c>
      <c r="E53" s="112" t="s">
        <v>114</v>
      </c>
      <c r="F53" s="113" t="s">
        <v>115</v>
      </c>
      <c r="G53" s="114">
        <v>20</v>
      </c>
      <c r="H53" s="22" t="s">
        <v>69</v>
      </c>
      <c r="I53" s="22" t="s">
        <v>33</v>
      </c>
      <c r="J53" s="22">
        <v>100</v>
      </c>
      <c r="K53" s="44"/>
      <c r="L53" s="44"/>
      <c r="M53" s="44"/>
      <c r="N53" s="44"/>
      <c r="O53" s="44" t="s">
        <v>29</v>
      </c>
      <c r="P53" s="44"/>
      <c r="Q53" s="44"/>
      <c r="R53" s="91" t="s">
        <v>70</v>
      </c>
      <c r="S53" s="44"/>
      <c r="T53" s="44" t="s">
        <v>29</v>
      </c>
      <c r="U53" s="44" t="s">
        <v>29</v>
      </c>
      <c r="V53" s="27" t="s">
        <v>373</v>
      </c>
      <c r="W53" s="22"/>
      <c r="X53" s="95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57</v>
      </c>
      <c r="E54" s="112" t="s">
        <v>114</v>
      </c>
      <c r="F54" s="113" t="s">
        <v>115</v>
      </c>
      <c r="G54" s="114">
        <v>10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91" t="s">
        <v>70</v>
      </c>
      <c r="S54" s="44"/>
      <c r="T54" s="44" t="s">
        <v>29</v>
      </c>
      <c r="U54" s="44" t="s">
        <v>29</v>
      </c>
      <c r="V54" s="27" t="s">
        <v>373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58</v>
      </c>
      <c r="E55" s="112" t="s">
        <v>71</v>
      </c>
      <c r="F55" s="113" t="s">
        <v>75</v>
      </c>
      <c r="G55" s="114">
        <v>134</v>
      </c>
      <c r="H55" s="22" t="s">
        <v>69</v>
      </c>
      <c r="I55" s="22" t="s">
        <v>28</v>
      </c>
      <c r="J55" s="22">
        <v>230</v>
      </c>
      <c r="K55" s="44"/>
      <c r="L55" s="44"/>
      <c r="M55" s="44"/>
      <c r="N55" s="44"/>
      <c r="O55" s="44"/>
      <c r="P55" s="44"/>
      <c r="Q55" s="44"/>
      <c r="R55" s="91" t="s">
        <v>70</v>
      </c>
      <c r="S55" s="44" t="s">
        <v>29</v>
      </c>
      <c r="T55" s="44"/>
      <c r="U55" s="44"/>
      <c r="V55" s="27" t="s">
        <v>374</v>
      </c>
      <c r="W55" s="22"/>
      <c r="X55" s="95"/>
      <c r="Y55" s="39" t="e">
        <f t="shared" si="0"/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890</v>
      </c>
      <c r="C56" s="28">
        <v>44069</v>
      </c>
      <c r="D56" s="111" t="s">
        <v>59</v>
      </c>
      <c r="E56" s="112" t="s">
        <v>271</v>
      </c>
      <c r="F56" s="113" t="s">
        <v>272</v>
      </c>
      <c r="G56" s="114">
        <v>1</v>
      </c>
      <c r="H56" s="22" t="s">
        <v>69</v>
      </c>
      <c r="I56" s="22" t="s">
        <v>46</v>
      </c>
      <c r="J56" s="22">
        <v>120</v>
      </c>
      <c r="K56" s="44"/>
      <c r="L56" s="44"/>
      <c r="M56" s="44"/>
      <c r="N56" s="44"/>
      <c r="O56" s="44"/>
      <c r="P56" s="44"/>
      <c r="Q56" s="44"/>
      <c r="R56" s="91" t="s">
        <v>70</v>
      </c>
      <c r="S56" s="44" t="s">
        <v>29</v>
      </c>
      <c r="T56" s="44" t="s">
        <v>29</v>
      </c>
      <c r="U56" s="44"/>
      <c r="V56" s="27" t="s">
        <v>375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890</v>
      </c>
      <c r="C57" s="28">
        <v>44069</v>
      </c>
      <c r="D57" s="111" t="s">
        <v>60</v>
      </c>
      <c r="E57" s="112" t="s">
        <v>94</v>
      </c>
      <c r="F57" s="113" t="s">
        <v>95</v>
      </c>
      <c r="G57" s="114">
        <v>23</v>
      </c>
      <c r="H57" s="22" t="s">
        <v>69</v>
      </c>
      <c r="I57" s="22" t="s">
        <v>21</v>
      </c>
      <c r="J57" s="22">
        <v>120</v>
      </c>
      <c r="K57" s="44"/>
      <c r="L57" s="44"/>
      <c r="M57" s="44"/>
      <c r="N57" s="44"/>
      <c r="O57" s="44"/>
      <c r="P57" s="44"/>
      <c r="Q57" s="44" t="s">
        <v>29</v>
      </c>
      <c r="R57" s="91" t="s">
        <v>70</v>
      </c>
      <c r="S57" s="44"/>
      <c r="T57" s="44"/>
      <c r="U57" s="44"/>
      <c r="V57" s="118" t="s">
        <v>376</v>
      </c>
      <c r="W57" s="22"/>
      <c r="X57" s="95"/>
      <c r="Y57" s="39" t="e">
        <f>IF(E57=E55,Y55,Y55+1)</f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8">
        <v>44069</v>
      </c>
      <c r="D58" s="111" t="s">
        <v>60</v>
      </c>
      <c r="E58" s="112" t="s">
        <v>94</v>
      </c>
      <c r="F58" s="113" t="s">
        <v>95</v>
      </c>
      <c r="G58" s="114">
        <v>30</v>
      </c>
      <c r="H58" s="22" t="s">
        <v>69</v>
      </c>
      <c r="I58" s="22" t="s">
        <v>21</v>
      </c>
      <c r="J58" s="22">
        <v>120</v>
      </c>
      <c r="K58" s="44"/>
      <c r="L58" s="44"/>
      <c r="M58" s="44"/>
      <c r="N58" s="44"/>
      <c r="O58" s="44"/>
      <c r="P58" s="44"/>
      <c r="Q58" s="44" t="s">
        <v>29</v>
      </c>
      <c r="R58" s="91" t="s">
        <v>70</v>
      </c>
      <c r="S58" s="44"/>
      <c r="T58" s="44"/>
      <c r="U58" s="44"/>
      <c r="V58" s="118" t="s">
        <v>376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6">
        <v>44070</v>
      </c>
      <c r="D59" s="111" t="s">
        <v>54</v>
      </c>
      <c r="E59" s="112" t="s">
        <v>94</v>
      </c>
      <c r="F59" s="113" t="s">
        <v>95</v>
      </c>
      <c r="G59" s="114">
        <v>118</v>
      </c>
      <c r="H59" s="22" t="s">
        <v>69</v>
      </c>
      <c r="I59" s="22" t="s">
        <v>21</v>
      </c>
      <c r="J59" s="22">
        <v>120</v>
      </c>
      <c r="K59" s="44"/>
      <c r="L59" s="44"/>
      <c r="M59" s="44"/>
      <c r="N59" s="44"/>
      <c r="O59" s="44"/>
      <c r="P59" s="44"/>
      <c r="Q59" s="44" t="s">
        <v>29</v>
      </c>
      <c r="R59" s="91" t="s">
        <v>70</v>
      </c>
      <c r="S59" s="44"/>
      <c r="T59" s="44"/>
      <c r="U59" s="44"/>
      <c r="V59" s="118" t="s">
        <v>377</v>
      </c>
      <c r="W59" s="22"/>
      <c r="X59" s="95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55</v>
      </c>
      <c r="E60" s="112" t="s">
        <v>71</v>
      </c>
      <c r="F60" s="113" t="s">
        <v>75</v>
      </c>
      <c r="G60" s="114">
        <v>12</v>
      </c>
      <c r="H60" s="22" t="s">
        <v>69</v>
      </c>
      <c r="I60" s="22" t="s">
        <v>28</v>
      </c>
      <c r="J60" s="22">
        <v>230</v>
      </c>
      <c r="K60" s="44"/>
      <c r="L60" s="44"/>
      <c r="M60" s="44"/>
      <c r="N60" s="44"/>
      <c r="O60" s="44"/>
      <c r="P60" s="44"/>
      <c r="Q60" s="44"/>
      <c r="R60" s="91" t="s">
        <v>70</v>
      </c>
      <c r="S60" s="44" t="s">
        <v>29</v>
      </c>
      <c r="T60" s="44"/>
      <c r="U60" s="44"/>
      <c r="V60" s="27" t="s">
        <v>378</v>
      </c>
      <c r="W60" s="22"/>
      <c r="X60" s="95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55</v>
      </c>
      <c r="E61" s="112" t="s">
        <v>71</v>
      </c>
      <c r="F61" s="113" t="s">
        <v>75</v>
      </c>
      <c r="G61" s="114">
        <v>137</v>
      </c>
      <c r="H61" s="22" t="s">
        <v>69</v>
      </c>
      <c r="I61" s="22" t="s">
        <v>28</v>
      </c>
      <c r="J61" s="22">
        <v>230</v>
      </c>
      <c r="K61" s="44"/>
      <c r="L61" s="44"/>
      <c r="M61" s="44"/>
      <c r="N61" s="44"/>
      <c r="O61" s="44"/>
      <c r="P61" s="44"/>
      <c r="Q61" s="44"/>
      <c r="R61" s="91" t="s">
        <v>70</v>
      </c>
      <c r="S61" s="44" t="s">
        <v>29</v>
      </c>
      <c r="T61" s="44"/>
      <c r="U61" s="44"/>
      <c r="V61" s="27" t="s">
        <v>378</v>
      </c>
      <c r="W61" s="22"/>
      <c r="X61" s="95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56</v>
      </c>
      <c r="E62" s="112" t="s">
        <v>198</v>
      </c>
      <c r="F62" s="113" t="s">
        <v>199</v>
      </c>
      <c r="G62" s="114">
        <v>23</v>
      </c>
      <c r="H62" s="22" t="s">
        <v>69</v>
      </c>
      <c r="I62" s="22" t="s">
        <v>33</v>
      </c>
      <c r="J62" s="22">
        <v>100</v>
      </c>
      <c r="K62" s="44"/>
      <c r="L62" s="44"/>
      <c r="M62" s="44"/>
      <c r="N62" s="44"/>
      <c r="O62" s="44"/>
      <c r="P62" s="44"/>
      <c r="Q62" s="44" t="s">
        <v>29</v>
      </c>
      <c r="R62" s="91" t="s">
        <v>70</v>
      </c>
      <c r="S62" s="44"/>
      <c r="T62" s="44" t="s">
        <v>29</v>
      </c>
      <c r="U62" s="44" t="s">
        <v>29</v>
      </c>
      <c r="V62" s="27" t="s">
        <v>379</v>
      </c>
      <c r="W62" s="22"/>
      <c r="X62" s="95"/>
      <c r="Y62" s="39" t="e">
        <f>IF(E62=E60,Y60,Y60+1)</f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28</v>
      </c>
      <c r="B63" s="43" t="s">
        <v>889</v>
      </c>
      <c r="C63" s="28">
        <v>44070</v>
      </c>
      <c r="D63" s="111" t="s">
        <v>56</v>
      </c>
      <c r="E63" s="112" t="s">
        <v>198</v>
      </c>
      <c r="F63" s="113" t="s">
        <v>199</v>
      </c>
      <c r="G63" s="114">
        <v>30</v>
      </c>
      <c r="H63" s="22" t="s">
        <v>69</v>
      </c>
      <c r="I63" s="22" t="s">
        <v>33</v>
      </c>
      <c r="J63" s="22">
        <v>100</v>
      </c>
      <c r="K63" s="44"/>
      <c r="L63" s="44"/>
      <c r="M63" s="44"/>
      <c r="N63" s="44"/>
      <c r="O63" s="44"/>
      <c r="P63" s="44"/>
      <c r="Q63" s="44" t="s">
        <v>29</v>
      </c>
      <c r="R63" s="91" t="s">
        <v>70</v>
      </c>
      <c r="S63" s="44"/>
      <c r="T63" s="44" t="s">
        <v>29</v>
      </c>
      <c r="U63" s="44" t="s">
        <v>29</v>
      </c>
      <c r="V63" s="27" t="s">
        <v>379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6">
        <v>44071</v>
      </c>
      <c r="D64" s="111" t="s">
        <v>54</v>
      </c>
      <c r="E64" s="112" t="s">
        <v>198</v>
      </c>
      <c r="F64" s="113" t="s">
        <v>199</v>
      </c>
      <c r="G64" s="114">
        <v>74</v>
      </c>
      <c r="H64" s="22" t="s">
        <v>69</v>
      </c>
      <c r="I64" s="22" t="s">
        <v>33</v>
      </c>
      <c r="J64" s="22">
        <v>100</v>
      </c>
      <c r="K64" s="44"/>
      <c r="L64" s="44"/>
      <c r="M64" s="44"/>
      <c r="N64" s="44"/>
      <c r="O64" s="44"/>
      <c r="P64" s="44"/>
      <c r="Q64" s="44" t="s">
        <v>29</v>
      </c>
      <c r="R64" s="91" t="s">
        <v>70</v>
      </c>
      <c r="S64" s="44"/>
      <c r="T64" s="44" t="s">
        <v>29</v>
      </c>
      <c r="U64" s="44" t="s">
        <v>29</v>
      </c>
      <c r="V64" s="118" t="s">
        <v>380</v>
      </c>
      <c r="W64" s="22"/>
      <c r="X64" s="95"/>
      <c r="Y64" s="39" t="e">
        <f t="shared" ref="Y64:Y149" si="1">IF(E64=E63,Y63,Y63+1)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18">
        <v>44071</v>
      </c>
      <c r="D65" s="111" t="s">
        <v>55</v>
      </c>
      <c r="E65" s="112" t="s">
        <v>94</v>
      </c>
      <c r="F65" s="113" t="s">
        <v>95</v>
      </c>
      <c r="G65" s="114">
        <v>26</v>
      </c>
      <c r="H65" s="22" t="s">
        <v>69</v>
      </c>
      <c r="I65" s="22" t="s">
        <v>21</v>
      </c>
      <c r="J65" s="22">
        <v>120</v>
      </c>
      <c r="K65" s="44"/>
      <c r="L65" s="44"/>
      <c r="M65" s="44"/>
      <c r="N65" s="44"/>
      <c r="O65" s="44"/>
      <c r="P65" s="44"/>
      <c r="Q65" s="44" t="s">
        <v>29</v>
      </c>
      <c r="R65" s="91" t="s">
        <v>70</v>
      </c>
      <c r="S65" s="44"/>
      <c r="T65" s="44"/>
      <c r="U65" s="44"/>
      <c r="V65" s="27" t="s">
        <v>381</v>
      </c>
      <c r="W65" s="22"/>
      <c r="X65" s="95"/>
      <c r="Y65" s="39" t="e">
        <f>IF(E65=E63,Y63,Y63+1)</f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890</v>
      </c>
      <c r="C66" s="18">
        <v>44071</v>
      </c>
      <c r="D66" s="111" t="s">
        <v>55</v>
      </c>
      <c r="E66" s="112" t="s">
        <v>94</v>
      </c>
      <c r="F66" s="113" t="s">
        <v>95</v>
      </c>
      <c r="G66" s="114">
        <v>18</v>
      </c>
      <c r="H66" s="22" t="s">
        <v>69</v>
      </c>
      <c r="I66" s="22" t="s">
        <v>21</v>
      </c>
      <c r="J66" s="22">
        <v>120</v>
      </c>
      <c r="K66" s="44"/>
      <c r="L66" s="44"/>
      <c r="M66" s="44"/>
      <c r="N66" s="44"/>
      <c r="O66" s="44"/>
      <c r="P66" s="44"/>
      <c r="Q66" s="44" t="s">
        <v>29</v>
      </c>
      <c r="R66" s="91" t="s">
        <v>70</v>
      </c>
      <c r="S66" s="44"/>
      <c r="T66" s="44"/>
      <c r="U66" s="44"/>
      <c r="V66" s="27" t="s">
        <v>381</v>
      </c>
      <c r="W66" s="22"/>
      <c r="X66" s="95"/>
      <c r="Y66" s="39" t="e">
        <f>IF(E66=E64,Y64,Y64+1)</f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890</v>
      </c>
      <c r="C67" s="18">
        <v>44071</v>
      </c>
      <c r="D67" s="111" t="s">
        <v>56</v>
      </c>
      <c r="E67" s="112" t="s">
        <v>114</v>
      </c>
      <c r="F67" s="113" t="s">
        <v>115</v>
      </c>
      <c r="G67" s="114">
        <v>89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91" t="s">
        <v>70</v>
      </c>
      <c r="S67" s="44"/>
      <c r="T67" s="44" t="s">
        <v>29</v>
      </c>
      <c r="U67" s="44" t="s">
        <v>29</v>
      </c>
      <c r="V67" s="118" t="s">
        <v>382</v>
      </c>
      <c r="W67" s="22"/>
      <c r="X67" s="95"/>
      <c r="Y67" s="39" t="e">
        <f t="shared" si="1"/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18">
        <v>44071</v>
      </c>
      <c r="D68" s="111" t="s">
        <v>57</v>
      </c>
      <c r="E68" s="112" t="s">
        <v>198</v>
      </c>
      <c r="F68" s="113" t="s">
        <v>199</v>
      </c>
      <c r="G68" s="114">
        <v>23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/>
      <c r="P68" s="44"/>
      <c r="Q68" s="44" t="s">
        <v>29</v>
      </c>
      <c r="R68" s="91" t="s">
        <v>70</v>
      </c>
      <c r="S68" s="44"/>
      <c r="T68" s="44" t="s">
        <v>29</v>
      </c>
      <c r="U68" s="44" t="s">
        <v>29</v>
      </c>
      <c r="V68" s="118" t="s">
        <v>383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29</v>
      </c>
      <c r="B69" s="43" t="s">
        <v>889</v>
      </c>
      <c r="C69" s="18">
        <v>44071</v>
      </c>
      <c r="D69" s="111" t="s">
        <v>57</v>
      </c>
      <c r="E69" s="112" t="s">
        <v>198</v>
      </c>
      <c r="F69" s="113" t="s">
        <v>199</v>
      </c>
      <c r="G69" s="114">
        <v>30</v>
      </c>
      <c r="H69" s="22" t="s">
        <v>69</v>
      </c>
      <c r="I69" s="22" t="s">
        <v>33</v>
      </c>
      <c r="J69" s="22">
        <v>100</v>
      </c>
      <c r="K69" s="44"/>
      <c r="L69" s="44"/>
      <c r="M69" s="44"/>
      <c r="N69" s="44"/>
      <c r="O69" s="44"/>
      <c r="P69" s="44"/>
      <c r="Q69" s="44" t="s">
        <v>29</v>
      </c>
      <c r="R69" s="91" t="s">
        <v>70</v>
      </c>
      <c r="S69" s="44"/>
      <c r="T69" s="44" t="s">
        <v>29</v>
      </c>
      <c r="U69" s="44" t="s">
        <v>29</v>
      </c>
      <c r="V69" s="118" t="s">
        <v>383</v>
      </c>
      <c r="W69" s="22"/>
      <c r="X69" s="95"/>
      <c r="Y69" s="39" t="e">
        <f>IF(E69=E67,Y67,Y67+1)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29</v>
      </c>
      <c r="B70" s="43" t="s">
        <v>889</v>
      </c>
      <c r="C70" s="25">
        <v>44072</v>
      </c>
      <c r="D70" s="111" t="s">
        <v>54</v>
      </c>
      <c r="E70" s="112" t="s">
        <v>198</v>
      </c>
      <c r="F70" s="113" t="s">
        <v>199</v>
      </c>
      <c r="G70" s="114">
        <v>117</v>
      </c>
      <c r="H70" s="22" t="s">
        <v>69</v>
      </c>
      <c r="I70" s="22" t="s">
        <v>33</v>
      </c>
      <c r="J70" s="22">
        <v>100</v>
      </c>
      <c r="K70" s="44"/>
      <c r="L70" s="44"/>
      <c r="M70" s="44"/>
      <c r="N70" s="44"/>
      <c r="O70" s="44"/>
      <c r="P70" s="44"/>
      <c r="Q70" s="44" t="s">
        <v>29</v>
      </c>
      <c r="R70" s="91" t="s">
        <v>70</v>
      </c>
      <c r="S70" s="44"/>
      <c r="T70" s="44" t="s">
        <v>29</v>
      </c>
      <c r="U70" s="44" t="s">
        <v>29</v>
      </c>
      <c r="V70" s="118" t="s">
        <v>384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18">
        <v>44072</v>
      </c>
      <c r="D71" s="111" t="s">
        <v>55</v>
      </c>
      <c r="E71" s="112" t="s">
        <v>114</v>
      </c>
      <c r="F71" s="113" t="s">
        <v>115</v>
      </c>
      <c r="G71" s="114">
        <v>13</v>
      </c>
      <c r="H71" s="22" t="s">
        <v>69</v>
      </c>
      <c r="I71" s="22" t="s">
        <v>33</v>
      </c>
      <c r="J71" s="22">
        <v>100</v>
      </c>
      <c r="K71" s="44"/>
      <c r="L71" s="44"/>
      <c r="M71" s="44"/>
      <c r="N71" s="44"/>
      <c r="O71" s="44" t="s">
        <v>29</v>
      </c>
      <c r="P71" s="44"/>
      <c r="Q71" s="44"/>
      <c r="R71" s="91" t="s">
        <v>70</v>
      </c>
      <c r="S71" s="44"/>
      <c r="T71" s="44" t="s">
        <v>29</v>
      </c>
      <c r="U71" s="44" t="s">
        <v>29</v>
      </c>
      <c r="V71" s="118" t="s">
        <v>385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890</v>
      </c>
      <c r="C72" s="18">
        <v>44072</v>
      </c>
      <c r="D72" s="111" t="s">
        <v>55</v>
      </c>
      <c r="E72" s="112" t="s">
        <v>114</v>
      </c>
      <c r="F72" s="113" t="s">
        <v>115</v>
      </c>
      <c r="G72" s="114">
        <v>137</v>
      </c>
      <c r="H72" s="22" t="s">
        <v>69</v>
      </c>
      <c r="I72" s="22" t="s">
        <v>33</v>
      </c>
      <c r="J72" s="22">
        <v>100</v>
      </c>
      <c r="K72" s="44"/>
      <c r="L72" s="44"/>
      <c r="M72" s="44"/>
      <c r="N72" s="44"/>
      <c r="O72" s="44" t="s">
        <v>29</v>
      </c>
      <c r="P72" s="44"/>
      <c r="Q72" s="44"/>
      <c r="R72" s="91" t="s">
        <v>70</v>
      </c>
      <c r="S72" s="44"/>
      <c r="T72" s="44" t="s">
        <v>29</v>
      </c>
      <c r="U72" s="44" t="s">
        <v>29</v>
      </c>
      <c r="V72" s="118" t="s">
        <v>385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890</v>
      </c>
      <c r="C73" s="18">
        <v>44072</v>
      </c>
      <c r="D73" s="144" t="s">
        <v>56</v>
      </c>
      <c r="E73" s="145" t="s">
        <v>96</v>
      </c>
      <c r="F73" s="146" t="s">
        <v>97</v>
      </c>
      <c r="G73" s="147">
        <v>23</v>
      </c>
      <c r="H73" s="90" t="s">
        <v>69</v>
      </c>
      <c r="I73" s="154" t="s">
        <v>21</v>
      </c>
      <c r="J73" s="154">
        <v>120</v>
      </c>
      <c r="K73" s="89"/>
      <c r="L73" s="89"/>
      <c r="M73" s="44"/>
      <c r="N73" s="44"/>
      <c r="O73" s="44"/>
      <c r="P73" s="44"/>
      <c r="Q73" s="44" t="s">
        <v>29</v>
      </c>
      <c r="R73" s="91" t="s">
        <v>70</v>
      </c>
      <c r="S73" s="44"/>
      <c r="T73" s="44"/>
      <c r="U73" s="44"/>
      <c r="V73" s="118" t="s">
        <v>386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31</v>
      </c>
      <c r="B74" s="43" t="s">
        <v>889</v>
      </c>
      <c r="C74" s="18">
        <v>44072</v>
      </c>
      <c r="D74" s="144" t="s">
        <v>56</v>
      </c>
      <c r="E74" s="145" t="s">
        <v>96</v>
      </c>
      <c r="F74" s="146" t="s">
        <v>97</v>
      </c>
      <c r="G74" s="147">
        <v>30</v>
      </c>
      <c r="H74" s="90" t="s">
        <v>69</v>
      </c>
      <c r="I74" s="154" t="s">
        <v>21</v>
      </c>
      <c r="J74" s="154">
        <v>120</v>
      </c>
      <c r="K74" s="89"/>
      <c r="L74" s="89"/>
      <c r="M74" s="44"/>
      <c r="N74" s="44"/>
      <c r="O74" s="44"/>
      <c r="P74" s="44"/>
      <c r="Q74" s="44" t="s">
        <v>29</v>
      </c>
      <c r="R74" s="91" t="s">
        <v>70</v>
      </c>
      <c r="S74" s="44"/>
      <c r="T74" s="44"/>
      <c r="U74" s="44"/>
      <c r="V74" s="118" t="s">
        <v>386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31</v>
      </c>
      <c r="B75" s="43" t="s">
        <v>889</v>
      </c>
      <c r="C75" s="25">
        <v>44074</v>
      </c>
      <c r="D75" s="144" t="s">
        <v>54</v>
      </c>
      <c r="E75" s="145" t="s">
        <v>96</v>
      </c>
      <c r="F75" s="146" t="s">
        <v>97</v>
      </c>
      <c r="G75" s="147">
        <v>53</v>
      </c>
      <c r="H75" s="90" t="s">
        <v>69</v>
      </c>
      <c r="I75" s="154" t="s">
        <v>21</v>
      </c>
      <c r="J75" s="154">
        <v>120</v>
      </c>
      <c r="K75" s="89"/>
      <c r="L75" s="89"/>
      <c r="M75" s="44"/>
      <c r="N75" s="44"/>
      <c r="O75" s="44"/>
      <c r="P75" s="44"/>
      <c r="Q75" s="44" t="s">
        <v>29</v>
      </c>
      <c r="R75" s="91" t="s">
        <v>70</v>
      </c>
      <c r="S75" s="44"/>
      <c r="T75" s="44"/>
      <c r="U75" s="44"/>
      <c r="V75" s="118" t="s">
        <v>387</v>
      </c>
      <c r="W75" s="22"/>
      <c r="X75" s="95"/>
      <c r="Y75" s="39" t="e">
        <f t="shared" si="1"/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31</v>
      </c>
      <c r="B76" s="43" t="s">
        <v>889</v>
      </c>
      <c r="C76" s="18">
        <v>44074</v>
      </c>
      <c r="D76" s="144" t="s">
        <v>55</v>
      </c>
      <c r="E76" s="145" t="s">
        <v>144</v>
      </c>
      <c r="F76" s="146" t="s">
        <v>145</v>
      </c>
      <c r="G76" s="147">
        <v>40</v>
      </c>
      <c r="H76" s="90" t="s">
        <v>69</v>
      </c>
      <c r="I76" s="154" t="s">
        <v>146</v>
      </c>
      <c r="J76" s="154">
        <v>230</v>
      </c>
      <c r="K76" s="89"/>
      <c r="L76" s="89"/>
      <c r="M76" s="44"/>
      <c r="N76" s="44"/>
      <c r="O76" s="44"/>
      <c r="P76" s="44"/>
      <c r="Q76" s="44" t="s">
        <v>29</v>
      </c>
      <c r="R76" s="91" t="s">
        <v>70</v>
      </c>
      <c r="S76" s="44"/>
      <c r="T76" s="44" t="s">
        <v>29</v>
      </c>
      <c r="U76" s="44"/>
      <c r="V76" s="19" t="s">
        <v>388</v>
      </c>
      <c r="W76" s="22"/>
      <c r="X76" s="95"/>
      <c r="Y76" s="39" t="e">
        <f t="shared" si="1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31</v>
      </c>
      <c r="B77" s="43" t="s">
        <v>889</v>
      </c>
      <c r="C77" s="18">
        <v>44074</v>
      </c>
      <c r="D77" s="144" t="s">
        <v>56</v>
      </c>
      <c r="E77" s="145" t="s">
        <v>71</v>
      </c>
      <c r="F77" s="146" t="s">
        <v>75</v>
      </c>
      <c r="G77" s="147">
        <v>5</v>
      </c>
      <c r="H77" s="90" t="s">
        <v>69</v>
      </c>
      <c r="I77" s="154" t="s">
        <v>28</v>
      </c>
      <c r="J77" s="154">
        <v>230</v>
      </c>
      <c r="K77" s="89"/>
      <c r="L77" s="89"/>
      <c r="M77" s="44"/>
      <c r="N77" s="44"/>
      <c r="O77" s="44"/>
      <c r="P77" s="44"/>
      <c r="Q77" s="44"/>
      <c r="R77" s="91" t="s">
        <v>70</v>
      </c>
      <c r="S77" s="44" t="s">
        <v>29</v>
      </c>
      <c r="T77" s="44"/>
      <c r="U77" s="44"/>
      <c r="V77" s="19" t="s">
        <v>760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890</v>
      </c>
      <c r="C78" s="18">
        <v>44074</v>
      </c>
      <c r="D78" s="144" t="s">
        <v>56</v>
      </c>
      <c r="E78" s="145" t="s">
        <v>71</v>
      </c>
      <c r="F78" s="146" t="s">
        <v>75</v>
      </c>
      <c r="G78" s="147">
        <v>25</v>
      </c>
      <c r="H78" s="90" t="s">
        <v>69</v>
      </c>
      <c r="I78" s="154" t="s">
        <v>28</v>
      </c>
      <c r="J78" s="154">
        <v>230</v>
      </c>
      <c r="K78" s="89"/>
      <c r="L78" s="89"/>
      <c r="M78" s="44"/>
      <c r="N78" s="44"/>
      <c r="O78" s="44"/>
      <c r="P78" s="44"/>
      <c r="Q78" s="44"/>
      <c r="R78" s="91" t="s">
        <v>70</v>
      </c>
      <c r="S78" s="44" t="s">
        <v>29</v>
      </c>
      <c r="T78" s="44"/>
      <c r="U78" s="44"/>
      <c r="V78" s="19" t="s">
        <v>760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890</v>
      </c>
      <c r="C79" s="18">
        <v>44074</v>
      </c>
      <c r="D79" s="144" t="s">
        <v>57</v>
      </c>
      <c r="E79" s="145" t="s">
        <v>196</v>
      </c>
      <c r="F79" s="146" t="s">
        <v>197</v>
      </c>
      <c r="G79" s="147">
        <v>80</v>
      </c>
      <c r="H79" s="90" t="s">
        <v>69</v>
      </c>
      <c r="I79" s="154" t="s">
        <v>28</v>
      </c>
      <c r="J79" s="154">
        <v>230</v>
      </c>
      <c r="K79" s="89"/>
      <c r="L79" s="89"/>
      <c r="M79" s="44"/>
      <c r="N79" s="44"/>
      <c r="O79" s="44"/>
      <c r="P79" s="44"/>
      <c r="Q79" s="44"/>
      <c r="R79" s="91" t="s">
        <v>70</v>
      </c>
      <c r="S79" s="44" t="s">
        <v>29</v>
      </c>
      <c r="T79" s="44"/>
      <c r="U79" s="44"/>
      <c r="V79" s="93" t="s">
        <v>761</v>
      </c>
      <c r="W79" s="22"/>
      <c r="X79" s="95"/>
      <c r="Y79" s="39" t="e">
        <f t="shared" si="1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890</v>
      </c>
      <c r="C80" s="18">
        <v>44074</v>
      </c>
      <c r="D80" s="144" t="s">
        <v>58</v>
      </c>
      <c r="E80" s="145" t="s">
        <v>96</v>
      </c>
      <c r="F80" s="146" t="s">
        <v>97</v>
      </c>
      <c r="G80" s="147">
        <v>23</v>
      </c>
      <c r="H80" s="90" t="s">
        <v>69</v>
      </c>
      <c r="I80" s="154" t="s">
        <v>21</v>
      </c>
      <c r="J80" s="154">
        <v>120</v>
      </c>
      <c r="K80" s="89"/>
      <c r="L80" s="89"/>
      <c r="M80" s="44"/>
      <c r="N80" s="44"/>
      <c r="O80" s="44"/>
      <c r="P80" s="44"/>
      <c r="Q80" s="44" t="s">
        <v>29</v>
      </c>
      <c r="R80" s="91" t="s">
        <v>70</v>
      </c>
      <c r="S80" s="44"/>
      <c r="T80" s="44"/>
      <c r="U80" s="44"/>
      <c r="V80" s="93" t="s">
        <v>389</v>
      </c>
      <c r="W80" s="22"/>
      <c r="X80" s="95"/>
      <c r="Y80" s="39" t="e">
        <f>IF(E80=E78,Y78,Y78+1)</f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1</v>
      </c>
      <c r="B81" s="43" t="s">
        <v>889</v>
      </c>
      <c r="C81" s="18">
        <v>44074</v>
      </c>
      <c r="D81" s="144" t="s">
        <v>58</v>
      </c>
      <c r="E81" s="145" t="s">
        <v>96</v>
      </c>
      <c r="F81" s="146" t="s">
        <v>97</v>
      </c>
      <c r="G81" s="147">
        <v>30</v>
      </c>
      <c r="H81" s="90" t="s">
        <v>69</v>
      </c>
      <c r="I81" s="154" t="s">
        <v>21</v>
      </c>
      <c r="J81" s="154">
        <v>120</v>
      </c>
      <c r="K81" s="89"/>
      <c r="L81" s="89"/>
      <c r="M81" s="44"/>
      <c r="N81" s="44"/>
      <c r="O81" s="44"/>
      <c r="P81" s="44"/>
      <c r="Q81" s="44" t="s">
        <v>29</v>
      </c>
      <c r="R81" s="91" t="s">
        <v>70</v>
      </c>
      <c r="S81" s="44"/>
      <c r="T81" s="44"/>
      <c r="U81" s="44"/>
      <c r="V81" s="93" t="s">
        <v>389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ht="39.950000000000003" customHeight="1">
      <c r="A82" s="5">
        <v>1</v>
      </c>
      <c r="B82" s="5" t="s">
        <v>889</v>
      </c>
      <c r="C82" s="25">
        <v>44075</v>
      </c>
      <c r="D82" s="144" t="s">
        <v>54</v>
      </c>
      <c r="E82" s="145" t="s">
        <v>96</v>
      </c>
      <c r="F82" s="146" t="s">
        <v>97</v>
      </c>
      <c r="G82" s="147">
        <v>9</v>
      </c>
      <c r="H82" s="90" t="s">
        <v>69</v>
      </c>
      <c r="I82" s="154" t="s">
        <v>21</v>
      </c>
      <c r="J82" s="154">
        <v>120</v>
      </c>
      <c r="K82" s="89"/>
      <c r="L82" s="89"/>
      <c r="M82" s="89"/>
      <c r="N82" s="89"/>
      <c r="O82" s="89"/>
      <c r="P82" s="89"/>
      <c r="Q82" s="89" t="s">
        <v>29</v>
      </c>
      <c r="R82" s="91" t="s">
        <v>70</v>
      </c>
      <c r="S82" s="89"/>
      <c r="T82" s="89"/>
      <c r="U82" s="89"/>
      <c r="V82" s="61" t="s">
        <v>390</v>
      </c>
      <c r="W82" s="104"/>
      <c r="Y82" s="39" t="e">
        <f t="shared" si="1"/>
        <v>#REF!</v>
      </c>
    </row>
    <row r="83" spans="1:30" ht="39.950000000000003" customHeight="1">
      <c r="A83" s="5">
        <v>1</v>
      </c>
      <c r="B83" s="5" t="s">
        <v>889</v>
      </c>
      <c r="C83" s="18">
        <v>44075</v>
      </c>
      <c r="D83" s="123" t="s">
        <v>55</v>
      </c>
      <c r="E83" s="124" t="s">
        <v>144</v>
      </c>
      <c r="F83" s="125" t="s">
        <v>145</v>
      </c>
      <c r="G83" s="126">
        <v>84</v>
      </c>
      <c r="H83" s="45" t="s">
        <v>69</v>
      </c>
      <c r="I83" s="55" t="s">
        <v>146</v>
      </c>
      <c r="J83" s="55">
        <v>230</v>
      </c>
      <c r="K83" s="46"/>
      <c r="L83" s="46"/>
      <c r="M83" s="46"/>
      <c r="N83" s="46"/>
      <c r="O83" s="46"/>
      <c r="P83" s="46"/>
      <c r="Q83" s="46" t="s">
        <v>29</v>
      </c>
      <c r="R83" s="91" t="s">
        <v>70</v>
      </c>
      <c r="S83" s="46"/>
      <c r="T83" s="46" t="s">
        <v>29</v>
      </c>
      <c r="U83" s="46"/>
      <c r="V83" s="96" t="s">
        <v>391</v>
      </c>
      <c r="W83" s="29"/>
      <c r="Y83" s="39" t="e">
        <f t="shared" si="1"/>
        <v>#REF!</v>
      </c>
    </row>
    <row r="84" spans="1:30" ht="39.950000000000003" customHeight="1">
      <c r="A84" s="5">
        <v>1</v>
      </c>
      <c r="B84" s="5" t="s">
        <v>889</v>
      </c>
      <c r="C84" s="18">
        <v>44075</v>
      </c>
      <c r="D84" s="123" t="s">
        <v>56</v>
      </c>
      <c r="E84" s="124" t="s">
        <v>134</v>
      </c>
      <c r="F84" s="125" t="s">
        <v>135</v>
      </c>
      <c r="G84" s="126">
        <v>14</v>
      </c>
      <c r="H84" s="45" t="s">
        <v>69</v>
      </c>
      <c r="I84" s="55" t="s">
        <v>19</v>
      </c>
      <c r="J84" s="55">
        <v>220</v>
      </c>
      <c r="K84" s="46"/>
      <c r="L84" s="46"/>
      <c r="M84" s="29"/>
      <c r="N84" s="97"/>
      <c r="O84" s="97" t="s">
        <v>29</v>
      </c>
      <c r="P84" s="97"/>
      <c r="Q84" s="97"/>
      <c r="R84" s="91" t="s">
        <v>70</v>
      </c>
      <c r="S84" s="97"/>
      <c r="T84" s="97" t="s">
        <v>29</v>
      </c>
      <c r="U84" s="97"/>
      <c r="V84" s="96" t="s">
        <v>392</v>
      </c>
      <c r="W84" s="29"/>
      <c r="Y84" s="39" t="e">
        <f t="shared" si="1"/>
        <v>#REF!</v>
      </c>
    </row>
    <row r="85" spans="1:30" ht="39.950000000000003" customHeight="1">
      <c r="A85" s="5">
        <v>1</v>
      </c>
      <c r="B85" s="5" t="s">
        <v>889</v>
      </c>
      <c r="C85" s="18">
        <v>44075</v>
      </c>
      <c r="D85" s="123" t="s">
        <v>57</v>
      </c>
      <c r="E85" s="124" t="s">
        <v>114</v>
      </c>
      <c r="F85" s="125" t="s">
        <v>115</v>
      </c>
      <c r="G85" s="126">
        <v>6</v>
      </c>
      <c r="H85" s="45" t="s">
        <v>69</v>
      </c>
      <c r="I85" s="55" t="s">
        <v>33</v>
      </c>
      <c r="J85" s="55">
        <v>100</v>
      </c>
      <c r="K85" s="46"/>
      <c r="L85" s="46"/>
      <c r="M85" s="29"/>
      <c r="N85" s="97"/>
      <c r="O85" s="97" t="s">
        <v>29</v>
      </c>
      <c r="P85" s="97"/>
      <c r="Q85" s="97"/>
      <c r="R85" s="91" t="s">
        <v>70</v>
      </c>
      <c r="S85" s="97"/>
      <c r="T85" s="97" t="s">
        <v>29</v>
      </c>
      <c r="U85" s="97" t="s">
        <v>29</v>
      </c>
      <c r="V85" s="96" t="s">
        <v>393</v>
      </c>
      <c r="W85" s="29"/>
      <c r="Y85" s="39" t="e">
        <f t="shared" si="1"/>
        <v>#REF!</v>
      </c>
    </row>
    <row r="86" spans="1:30" ht="39.950000000000003" customHeight="1">
      <c r="A86" s="5">
        <v>1</v>
      </c>
      <c r="B86" s="5" t="s">
        <v>889</v>
      </c>
      <c r="C86" s="18">
        <v>44075</v>
      </c>
      <c r="D86" s="123" t="s">
        <v>58</v>
      </c>
      <c r="E86" s="124" t="s">
        <v>71</v>
      </c>
      <c r="F86" s="125" t="s">
        <v>75</v>
      </c>
      <c r="G86" s="126">
        <v>21</v>
      </c>
      <c r="H86" s="45" t="s">
        <v>69</v>
      </c>
      <c r="I86" s="55" t="s">
        <v>28</v>
      </c>
      <c r="J86" s="55">
        <v>230</v>
      </c>
      <c r="K86" s="46"/>
      <c r="L86" s="46"/>
      <c r="M86" s="29"/>
      <c r="N86" s="97"/>
      <c r="O86" s="97"/>
      <c r="P86" s="97"/>
      <c r="Q86" s="97"/>
      <c r="R86" s="91" t="s">
        <v>70</v>
      </c>
      <c r="S86" s="97" t="s">
        <v>29</v>
      </c>
      <c r="T86" s="97"/>
      <c r="U86" s="97"/>
      <c r="V86" s="96" t="s">
        <v>762</v>
      </c>
      <c r="W86" s="29"/>
      <c r="Y86" s="39" t="e">
        <f>IF(E86=E84,Y84,Y84+1)</f>
        <v>#REF!</v>
      </c>
    </row>
    <row r="87" spans="1:30" ht="39.950000000000003" customHeight="1">
      <c r="A87" s="5">
        <v>1</v>
      </c>
      <c r="B87" s="5" t="s">
        <v>890</v>
      </c>
      <c r="C87" s="18">
        <v>44075</v>
      </c>
      <c r="D87" s="123" t="s">
        <v>58</v>
      </c>
      <c r="E87" s="124" t="s">
        <v>71</v>
      </c>
      <c r="F87" s="125" t="s">
        <v>75</v>
      </c>
      <c r="G87" s="126">
        <v>61</v>
      </c>
      <c r="H87" s="45" t="s">
        <v>69</v>
      </c>
      <c r="I87" s="55" t="s">
        <v>28</v>
      </c>
      <c r="J87" s="55">
        <v>230</v>
      </c>
      <c r="K87" s="46"/>
      <c r="L87" s="46"/>
      <c r="M87" s="29"/>
      <c r="N87" s="97"/>
      <c r="O87" s="97"/>
      <c r="P87" s="97"/>
      <c r="Q87" s="97"/>
      <c r="R87" s="91" t="s">
        <v>70</v>
      </c>
      <c r="S87" s="97" t="s">
        <v>29</v>
      </c>
      <c r="T87" s="97"/>
      <c r="U87" s="97"/>
      <c r="V87" s="96" t="s">
        <v>762</v>
      </c>
      <c r="W87" s="29"/>
      <c r="Y87" s="39" t="e">
        <f>IF(E87=E85,Y85,Y85+1)</f>
        <v>#REF!</v>
      </c>
    </row>
    <row r="88" spans="1:30" ht="39.950000000000003" customHeight="1">
      <c r="A88" s="5">
        <v>1</v>
      </c>
      <c r="B88" s="5" t="s">
        <v>890</v>
      </c>
      <c r="C88" s="18">
        <v>44075</v>
      </c>
      <c r="D88" s="123" t="s">
        <v>59</v>
      </c>
      <c r="E88" s="124" t="s">
        <v>196</v>
      </c>
      <c r="F88" s="125" t="s">
        <v>197</v>
      </c>
      <c r="G88" s="126">
        <v>80</v>
      </c>
      <c r="H88" s="45" t="s">
        <v>69</v>
      </c>
      <c r="I88" s="55" t="s">
        <v>28</v>
      </c>
      <c r="J88" s="55">
        <v>230</v>
      </c>
      <c r="K88" s="46"/>
      <c r="L88" s="46"/>
      <c r="M88" s="29"/>
      <c r="N88" s="97"/>
      <c r="O88" s="97"/>
      <c r="P88" s="97"/>
      <c r="Q88" s="97"/>
      <c r="R88" s="91" t="s">
        <v>70</v>
      </c>
      <c r="S88" s="97" t="s">
        <v>29</v>
      </c>
      <c r="T88" s="97"/>
      <c r="U88" s="97"/>
      <c r="V88" s="29" t="s">
        <v>763</v>
      </c>
      <c r="W88" s="29"/>
      <c r="Y88" s="39" t="e">
        <f t="shared" si="1"/>
        <v>#REF!</v>
      </c>
    </row>
    <row r="89" spans="1:30" ht="39.950000000000003" customHeight="1">
      <c r="A89" s="5">
        <v>1</v>
      </c>
      <c r="B89" s="5" t="s">
        <v>890</v>
      </c>
      <c r="C89" s="18">
        <v>44075</v>
      </c>
      <c r="D89" s="123" t="s">
        <v>60</v>
      </c>
      <c r="E89" s="124" t="s">
        <v>96</v>
      </c>
      <c r="F89" s="125" t="s">
        <v>97</v>
      </c>
      <c r="G89" s="126">
        <v>23</v>
      </c>
      <c r="H89" s="45" t="s">
        <v>69</v>
      </c>
      <c r="I89" s="55" t="s">
        <v>21</v>
      </c>
      <c r="J89" s="55">
        <v>120</v>
      </c>
      <c r="K89" s="46"/>
      <c r="L89" s="46"/>
      <c r="M89" s="29"/>
      <c r="N89" s="97"/>
      <c r="O89" s="97"/>
      <c r="P89" s="97"/>
      <c r="Q89" s="97" t="s">
        <v>29</v>
      </c>
      <c r="R89" s="91" t="s">
        <v>70</v>
      </c>
      <c r="S89" s="97"/>
      <c r="T89" s="97"/>
      <c r="U89" s="97"/>
      <c r="V89" s="96" t="s">
        <v>394</v>
      </c>
      <c r="W89" s="29"/>
      <c r="Y89" s="39" t="e">
        <f>IF(E89=E87,Y87,Y87+1)</f>
        <v>#REF!</v>
      </c>
    </row>
    <row r="90" spans="1:30" ht="39.950000000000003" customHeight="1">
      <c r="A90" s="5">
        <v>2</v>
      </c>
      <c r="B90" s="5" t="s">
        <v>889</v>
      </c>
      <c r="C90" s="18">
        <v>44075</v>
      </c>
      <c r="D90" s="123" t="s">
        <v>60</v>
      </c>
      <c r="E90" s="124" t="s">
        <v>96</v>
      </c>
      <c r="F90" s="125" t="s">
        <v>97</v>
      </c>
      <c r="G90" s="126">
        <v>4</v>
      </c>
      <c r="H90" s="45" t="s">
        <v>69</v>
      </c>
      <c r="I90" s="55" t="s">
        <v>21</v>
      </c>
      <c r="J90" s="55">
        <v>120</v>
      </c>
      <c r="K90" s="46"/>
      <c r="L90" s="46"/>
      <c r="M90" s="29"/>
      <c r="N90" s="97"/>
      <c r="O90" s="97"/>
      <c r="P90" s="97"/>
      <c r="Q90" s="97" t="s">
        <v>29</v>
      </c>
      <c r="R90" s="91" t="s">
        <v>70</v>
      </c>
      <c r="S90" s="97"/>
      <c r="T90" s="97"/>
      <c r="U90" s="97"/>
      <c r="V90" s="96" t="s">
        <v>394</v>
      </c>
      <c r="W90" s="29"/>
      <c r="Y90" s="39" t="e">
        <f>IF(E90=E88,Y88,Y88+1)</f>
        <v>#REF!</v>
      </c>
    </row>
    <row r="91" spans="1:30" ht="39.950000000000003" customHeight="1">
      <c r="A91" s="5">
        <v>2</v>
      </c>
      <c r="B91" s="5" t="s">
        <v>889</v>
      </c>
      <c r="C91" s="18">
        <v>44075</v>
      </c>
      <c r="D91" s="123" t="s">
        <v>61</v>
      </c>
      <c r="E91" s="124" t="s">
        <v>198</v>
      </c>
      <c r="F91" s="125" t="s">
        <v>199</v>
      </c>
      <c r="G91" s="126">
        <v>26</v>
      </c>
      <c r="H91" s="45" t="s">
        <v>69</v>
      </c>
      <c r="I91" s="55" t="s">
        <v>33</v>
      </c>
      <c r="J91" s="55">
        <v>100</v>
      </c>
      <c r="K91" s="46"/>
      <c r="L91" s="46"/>
      <c r="M91" s="29"/>
      <c r="N91" s="97"/>
      <c r="O91" s="97"/>
      <c r="P91" s="97"/>
      <c r="Q91" s="97" t="s">
        <v>29</v>
      </c>
      <c r="R91" s="91" t="s">
        <v>70</v>
      </c>
      <c r="S91" s="97"/>
      <c r="T91" s="97" t="s">
        <v>29</v>
      </c>
      <c r="U91" s="97" t="s">
        <v>29</v>
      </c>
      <c r="V91" s="96" t="s">
        <v>395</v>
      </c>
      <c r="W91" s="29"/>
      <c r="Y91" s="39" t="e">
        <f t="shared" si="1"/>
        <v>#REF!</v>
      </c>
    </row>
    <row r="92" spans="1:30" ht="39.950000000000003" customHeight="1">
      <c r="A92" s="5">
        <v>2</v>
      </c>
      <c r="B92" s="5" t="s">
        <v>889</v>
      </c>
      <c r="C92" s="25">
        <v>44076</v>
      </c>
      <c r="D92" s="123" t="s">
        <v>54</v>
      </c>
      <c r="E92" s="124" t="s">
        <v>198</v>
      </c>
      <c r="F92" s="125" t="s">
        <v>199</v>
      </c>
      <c r="G92" s="126">
        <v>54</v>
      </c>
      <c r="H92" s="45" t="s">
        <v>69</v>
      </c>
      <c r="I92" s="55" t="s">
        <v>33</v>
      </c>
      <c r="J92" s="55">
        <v>100</v>
      </c>
      <c r="K92" s="46"/>
      <c r="L92" s="46"/>
      <c r="M92" s="29"/>
      <c r="N92" s="97"/>
      <c r="O92" s="97"/>
      <c r="P92" s="97"/>
      <c r="Q92" s="97" t="s">
        <v>29</v>
      </c>
      <c r="R92" s="91" t="s">
        <v>70</v>
      </c>
      <c r="S92" s="97"/>
      <c r="T92" s="97" t="s">
        <v>29</v>
      </c>
      <c r="U92" s="97" t="s">
        <v>29</v>
      </c>
      <c r="V92" s="96" t="s">
        <v>396</v>
      </c>
      <c r="W92" s="29"/>
      <c r="Y92" s="39" t="e">
        <f t="shared" si="1"/>
        <v>#REF!</v>
      </c>
    </row>
    <row r="93" spans="1:30" ht="39.950000000000003" customHeight="1">
      <c r="A93" s="5">
        <v>2</v>
      </c>
      <c r="B93" s="5" t="s">
        <v>889</v>
      </c>
      <c r="C93" s="18">
        <v>44076</v>
      </c>
      <c r="D93" s="123" t="s">
        <v>55</v>
      </c>
      <c r="E93" s="124" t="s">
        <v>94</v>
      </c>
      <c r="F93" s="125" t="s">
        <v>95</v>
      </c>
      <c r="G93" s="126">
        <v>39</v>
      </c>
      <c r="H93" s="45" t="s">
        <v>69</v>
      </c>
      <c r="I93" s="55" t="s">
        <v>21</v>
      </c>
      <c r="J93" s="55">
        <v>120</v>
      </c>
      <c r="K93" s="46"/>
      <c r="L93" s="46"/>
      <c r="M93" s="29"/>
      <c r="N93" s="97"/>
      <c r="O93" s="97"/>
      <c r="P93" s="97"/>
      <c r="Q93" s="97" t="s">
        <v>29</v>
      </c>
      <c r="R93" s="91" t="s">
        <v>70</v>
      </c>
      <c r="S93" s="97"/>
      <c r="T93" s="97"/>
      <c r="U93" s="97"/>
      <c r="V93" s="96" t="s">
        <v>397</v>
      </c>
      <c r="W93" s="29"/>
      <c r="Y93" s="39" t="e">
        <f t="shared" si="1"/>
        <v>#REF!</v>
      </c>
    </row>
    <row r="94" spans="1:30" ht="39.950000000000003" customHeight="1">
      <c r="A94" s="5">
        <v>2</v>
      </c>
      <c r="B94" s="5" t="s">
        <v>889</v>
      </c>
      <c r="C94" s="18">
        <v>44076</v>
      </c>
      <c r="D94" s="123" t="s">
        <v>56</v>
      </c>
      <c r="E94" s="124" t="s">
        <v>114</v>
      </c>
      <c r="F94" s="125" t="s">
        <v>115</v>
      </c>
      <c r="G94" s="126">
        <v>45</v>
      </c>
      <c r="H94" s="45" t="s">
        <v>69</v>
      </c>
      <c r="I94" s="55" t="s">
        <v>33</v>
      </c>
      <c r="J94" s="55">
        <v>100</v>
      </c>
      <c r="K94" s="46"/>
      <c r="L94" s="46"/>
      <c r="M94" s="29"/>
      <c r="N94" s="97"/>
      <c r="O94" s="97" t="s">
        <v>29</v>
      </c>
      <c r="P94" s="97"/>
      <c r="Q94" s="97"/>
      <c r="R94" s="91" t="s">
        <v>70</v>
      </c>
      <c r="S94" s="97"/>
      <c r="T94" s="97" t="s">
        <v>29</v>
      </c>
      <c r="U94" s="97" t="s">
        <v>29</v>
      </c>
      <c r="V94" s="96" t="s">
        <v>398</v>
      </c>
      <c r="W94" s="29"/>
      <c r="Y94" s="39" t="e">
        <f>IF(E94=E92,Y92,Y92+1)</f>
        <v>#REF!</v>
      </c>
    </row>
    <row r="95" spans="1:30" ht="39.950000000000003" customHeight="1">
      <c r="A95" s="5">
        <v>2</v>
      </c>
      <c r="B95" s="5" t="s">
        <v>890</v>
      </c>
      <c r="C95" s="18">
        <v>44076</v>
      </c>
      <c r="D95" s="123" t="s">
        <v>56</v>
      </c>
      <c r="E95" s="124" t="s">
        <v>114</v>
      </c>
      <c r="F95" s="125" t="s">
        <v>115</v>
      </c>
      <c r="G95" s="126">
        <v>17</v>
      </c>
      <c r="H95" s="45" t="s">
        <v>69</v>
      </c>
      <c r="I95" s="55" t="s">
        <v>33</v>
      </c>
      <c r="J95" s="55">
        <v>100</v>
      </c>
      <c r="K95" s="46"/>
      <c r="L95" s="46"/>
      <c r="M95" s="29"/>
      <c r="N95" s="97"/>
      <c r="O95" s="97" t="s">
        <v>29</v>
      </c>
      <c r="P95" s="97"/>
      <c r="Q95" s="97"/>
      <c r="R95" s="91" t="s">
        <v>70</v>
      </c>
      <c r="S95" s="97"/>
      <c r="T95" s="97" t="s">
        <v>29</v>
      </c>
      <c r="U95" s="97" t="s">
        <v>29</v>
      </c>
      <c r="V95" s="96" t="s">
        <v>398</v>
      </c>
      <c r="W95" s="29"/>
      <c r="Y95" s="39" t="e">
        <f>IF(E95=E93,Y93,Y93+1)</f>
        <v>#REF!</v>
      </c>
    </row>
    <row r="96" spans="1:30" ht="39.950000000000003" customHeight="1">
      <c r="A96" s="5">
        <v>2</v>
      </c>
      <c r="B96" s="5" t="s">
        <v>890</v>
      </c>
      <c r="C96" s="18">
        <v>44076</v>
      </c>
      <c r="D96" s="123" t="s">
        <v>57</v>
      </c>
      <c r="E96" s="124" t="s">
        <v>71</v>
      </c>
      <c r="F96" s="125" t="s">
        <v>75</v>
      </c>
      <c r="G96" s="126">
        <v>47</v>
      </c>
      <c r="H96" s="45" t="s">
        <v>69</v>
      </c>
      <c r="I96" s="55" t="s">
        <v>28</v>
      </c>
      <c r="J96" s="55">
        <v>230</v>
      </c>
      <c r="K96" s="46"/>
      <c r="L96" s="46"/>
      <c r="M96" s="29"/>
      <c r="N96" s="97"/>
      <c r="O96" s="97"/>
      <c r="P96" s="97"/>
      <c r="Q96" s="97"/>
      <c r="R96" s="91" t="s">
        <v>70</v>
      </c>
      <c r="S96" s="97" t="s">
        <v>29</v>
      </c>
      <c r="T96" s="97"/>
      <c r="U96" s="97"/>
      <c r="V96" s="29" t="s">
        <v>764</v>
      </c>
      <c r="W96" s="29"/>
      <c r="Y96" s="39" t="e">
        <f t="shared" si="1"/>
        <v>#REF!</v>
      </c>
    </row>
    <row r="97" spans="1:25" ht="39.950000000000003" customHeight="1">
      <c r="A97" s="5">
        <v>2</v>
      </c>
      <c r="B97" s="5" t="s">
        <v>890</v>
      </c>
      <c r="C97" s="18">
        <v>44076</v>
      </c>
      <c r="D97" s="123" t="s">
        <v>58</v>
      </c>
      <c r="E97" s="124" t="s">
        <v>271</v>
      </c>
      <c r="F97" s="125" t="s">
        <v>272</v>
      </c>
      <c r="G97" s="126">
        <v>1</v>
      </c>
      <c r="H97" s="45" t="s">
        <v>69</v>
      </c>
      <c r="I97" s="55" t="s">
        <v>46</v>
      </c>
      <c r="J97" s="55">
        <v>120</v>
      </c>
      <c r="K97" s="46"/>
      <c r="L97" s="46"/>
      <c r="M97" s="29"/>
      <c r="N97" s="97"/>
      <c r="O97" s="97"/>
      <c r="P97" s="97"/>
      <c r="Q97" s="97"/>
      <c r="R97" s="91" t="s">
        <v>70</v>
      </c>
      <c r="S97" s="97" t="s">
        <v>29</v>
      </c>
      <c r="T97" s="97" t="s">
        <v>29</v>
      </c>
      <c r="U97" s="97"/>
      <c r="V97" s="29" t="s">
        <v>399</v>
      </c>
      <c r="W97" s="29"/>
      <c r="Y97" s="39" t="e">
        <f t="shared" si="1"/>
        <v>#REF!</v>
      </c>
    </row>
    <row r="98" spans="1:25" ht="39.950000000000003" customHeight="1">
      <c r="A98" s="5">
        <v>2</v>
      </c>
      <c r="B98" s="5" t="s">
        <v>890</v>
      </c>
      <c r="C98" s="18">
        <v>44076</v>
      </c>
      <c r="D98" s="123" t="s">
        <v>59</v>
      </c>
      <c r="E98" s="124" t="s">
        <v>196</v>
      </c>
      <c r="F98" s="125" t="s">
        <v>197</v>
      </c>
      <c r="G98" s="126">
        <v>80</v>
      </c>
      <c r="H98" s="45" t="s">
        <v>69</v>
      </c>
      <c r="I98" s="55" t="s">
        <v>28</v>
      </c>
      <c r="J98" s="55">
        <v>230</v>
      </c>
      <c r="K98" s="46"/>
      <c r="L98" s="46"/>
      <c r="M98" s="29"/>
      <c r="N98" s="97"/>
      <c r="O98" s="97"/>
      <c r="P98" s="97"/>
      <c r="Q98" s="97"/>
      <c r="R98" s="91" t="s">
        <v>70</v>
      </c>
      <c r="S98" s="97" t="s">
        <v>29</v>
      </c>
      <c r="T98" s="97"/>
      <c r="U98" s="97"/>
      <c r="V98" s="96" t="s">
        <v>765</v>
      </c>
      <c r="W98" s="29"/>
      <c r="Y98" s="39" t="e">
        <f t="shared" si="1"/>
        <v>#REF!</v>
      </c>
    </row>
    <row r="99" spans="1:25" ht="39.950000000000003" customHeight="1">
      <c r="A99" s="5">
        <v>2</v>
      </c>
      <c r="B99" s="5" t="s">
        <v>890</v>
      </c>
      <c r="C99" s="18">
        <v>44076</v>
      </c>
      <c r="D99" s="123" t="s">
        <v>60</v>
      </c>
      <c r="E99" s="124" t="s">
        <v>198</v>
      </c>
      <c r="F99" s="125" t="s">
        <v>199</v>
      </c>
      <c r="G99" s="126">
        <v>23</v>
      </c>
      <c r="H99" s="45" t="s">
        <v>69</v>
      </c>
      <c r="I99" s="55" t="s">
        <v>33</v>
      </c>
      <c r="J99" s="55">
        <v>100</v>
      </c>
      <c r="K99" s="46"/>
      <c r="L99" s="46"/>
      <c r="M99" s="29"/>
      <c r="N99" s="97"/>
      <c r="O99" s="97"/>
      <c r="P99" s="97"/>
      <c r="Q99" s="97" t="s">
        <v>29</v>
      </c>
      <c r="R99" s="91" t="s">
        <v>70</v>
      </c>
      <c r="S99" s="97"/>
      <c r="T99" s="97" t="s">
        <v>29</v>
      </c>
      <c r="U99" s="97" t="s">
        <v>29</v>
      </c>
      <c r="V99" s="29" t="s">
        <v>400</v>
      </c>
      <c r="W99" s="29"/>
      <c r="Y99" s="39" t="e">
        <f>IF(E99=E97,Y97,Y97+1)</f>
        <v>#REF!</v>
      </c>
    </row>
    <row r="100" spans="1:25" ht="39.950000000000003" customHeight="1">
      <c r="A100" s="5">
        <v>3</v>
      </c>
      <c r="B100" s="5" t="s">
        <v>889</v>
      </c>
      <c r="C100" s="18">
        <v>44076</v>
      </c>
      <c r="D100" s="123" t="s">
        <v>60</v>
      </c>
      <c r="E100" s="124" t="s">
        <v>198</v>
      </c>
      <c r="F100" s="125" t="s">
        <v>199</v>
      </c>
      <c r="G100" s="126">
        <v>22</v>
      </c>
      <c r="H100" s="45" t="s">
        <v>69</v>
      </c>
      <c r="I100" s="55" t="s">
        <v>33</v>
      </c>
      <c r="J100" s="55">
        <v>100</v>
      </c>
      <c r="K100" s="46"/>
      <c r="L100" s="46"/>
      <c r="M100" s="29"/>
      <c r="N100" s="97"/>
      <c r="O100" s="97"/>
      <c r="P100" s="97"/>
      <c r="Q100" s="97" t="s">
        <v>29</v>
      </c>
      <c r="R100" s="91" t="s">
        <v>70</v>
      </c>
      <c r="S100" s="97"/>
      <c r="T100" s="97" t="s">
        <v>29</v>
      </c>
      <c r="U100" s="97" t="s">
        <v>29</v>
      </c>
      <c r="V100" s="29" t="s">
        <v>400</v>
      </c>
      <c r="W100" s="29"/>
      <c r="Y100" s="39" t="e">
        <f>IF(E100=E98,Y98,Y98+1)</f>
        <v>#REF!</v>
      </c>
    </row>
    <row r="101" spans="1:25" ht="39.950000000000003" customHeight="1">
      <c r="A101" s="5">
        <v>3</v>
      </c>
      <c r="B101" s="5" t="s">
        <v>889</v>
      </c>
      <c r="C101" s="18">
        <v>44076</v>
      </c>
      <c r="D101" s="123" t="s">
        <v>61</v>
      </c>
      <c r="E101" s="124" t="s">
        <v>94</v>
      </c>
      <c r="F101" s="125" t="s">
        <v>95</v>
      </c>
      <c r="G101" s="126">
        <v>8</v>
      </c>
      <c r="H101" s="45" t="s">
        <v>69</v>
      </c>
      <c r="I101" s="55" t="s">
        <v>21</v>
      </c>
      <c r="J101" s="55">
        <v>120</v>
      </c>
      <c r="K101" s="46"/>
      <c r="L101" s="46"/>
      <c r="M101" s="29"/>
      <c r="N101" s="97"/>
      <c r="O101" s="97"/>
      <c r="P101" s="97"/>
      <c r="Q101" s="97" t="s">
        <v>29</v>
      </c>
      <c r="R101" s="91" t="s">
        <v>70</v>
      </c>
      <c r="S101" s="97"/>
      <c r="T101" s="97"/>
      <c r="U101" s="97"/>
      <c r="V101" s="29" t="s">
        <v>401</v>
      </c>
      <c r="W101" s="29"/>
      <c r="Y101" s="39" t="e">
        <f t="shared" si="1"/>
        <v>#REF!</v>
      </c>
    </row>
    <row r="102" spans="1:25" ht="39.950000000000003" customHeight="1">
      <c r="A102" s="5">
        <v>3</v>
      </c>
      <c r="B102" s="5" t="s">
        <v>889</v>
      </c>
      <c r="C102" s="25">
        <v>44077</v>
      </c>
      <c r="D102" s="123" t="s">
        <v>54</v>
      </c>
      <c r="E102" s="124" t="s">
        <v>94</v>
      </c>
      <c r="F102" s="125" t="s">
        <v>95</v>
      </c>
      <c r="G102" s="126">
        <v>93</v>
      </c>
      <c r="H102" s="45" t="s">
        <v>69</v>
      </c>
      <c r="I102" s="55" t="s">
        <v>21</v>
      </c>
      <c r="J102" s="55">
        <v>120</v>
      </c>
      <c r="K102" s="46"/>
      <c r="L102" s="46"/>
      <c r="M102" s="29"/>
      <c r="N102" s="97"/>
      <c r="O102" s="97"/>
      <c r="P102" s="97"/>
      <c r="Q102" s="97" t="s">
        <v>29</v>
      </c>
      <c r="R102" s="91" t="s">
        <v>70</v>
      </c>
      <c r="S102" s="97"/>
      <c r="T102" s="97"/>
      <c r="U102" s="97"/>
      <c r="V102" s="96" t="s">
        <v>402</v>
      </c>
      <c r="W102" s="29"/>
      <c r="Y102" s="39" t="e">
        <f t="shared" si="1"/>
        <v>#REF!</v>
      </c>
    </row>
    <row r="103" spans="1:25" ht="39.950000000000003" customHeight="1">
      <c r="A103" s="5">
        <v>3</v>
      </c>
      <c r="B103" s="5" t="s">
        <v>889</v>
      </c>
      <c r="C103" s="18">
        <v>44077</v>
      </c>
      <c r="D103" s="123" t="s">
        <v>55</v>
      </c>
      <c r="E103" s="124" t="s">
        <v>114</v>
      </c>
      <c r="F103" s="125" t="s">
        <v>115</v>
      </c>
      <c r="G103" s="126">
        <v>37</v>
      </c>
      <c r="H103" s="45" t="s">
        <v>69</v>
      </c>
      <c r="I103" s="55" t="s">
        <v>33</v>
      </c>
      <c r="J103" s="55">
        <v>100</v>
      </c>
      <c r="K103" s="46"/>
      <c r="L103" s="46"/>
      <c r="M103" s="29"/>
      <c r="N103" s="97"/>
      <c r="O103" s="97" t="s">
        <v>29</v>
      </c>
      <c r="P103" s="97"/>
      <c r="Q103" s="97"/>
      <c r="R103" s="91" t="s">
        <v>70</v>
      </c>
      <c r="S103" s="97"/>
      <c r="T103" s="97" t="s">
        <v>29</v>
      </c>
      <c r="U103" s="97" t="s">
        <v>29</v>
      </c>
      <c r="V103" s="29" t="s">
        <v>403</v>
      </c>
      <c r="W103" s="29"/>
      <c r="Y103" s="39" t="e">
        <f>IF(E103=E101,Y101,Y101+1)</f>
        <v>#REF!</v>
      </c>
    </row>
    <row r="104" spans="1:25" ht="39.950000000000003" customHeight="1">
      <c r="A104" s="5">
        <v>3</v>
      </c>
      <c r="B104" s="5" t="s">
        <v>890</v>
      </c>
      <c r="C104" s="18">
        <v>44077</v>
      </c>
      <c r="D104" s="123" t="s">
        <v>55</v>
      </c>
      <c r="E104" s="124" t="s">
        <v>114</v>
      </c>
      <c r="F104" s="125" t="s">
        <v>115</v>
      </c>
      <c r="G104" s="126">
        <v>83</v>
      </c>
      <c r="H104" s="45" t="s">
        <v>69</v>
      </c>
      <c r="I104" s="55" t="s">
        <v>33</v>
      </c>
      <c r="J104" s="55">
        <v>100</v>
      </c>
      <c r="K104" s="46"/>
      <c r="L104" s="46"/>
      <c r="M104" s="29"/>
      <c r="N104" s="97"/>
      <c r="O104" s="97" t="s">
        <v>29</v>
      </c>
      <c r="P104" s="97"/>
      <c r="Q104" s="97"/>
      <c r="R104" s="91" t="s">
        <v>70</v>
      </c>
      <c r="S104" s="97"/>
      <c r="T104" s="97" t="s">
        <v>29</v>
      </c>
      <c r="U104" s="97" t="s">
        <v>29</v>
      </c>
      <c r="V104" s="29" t="s">
        <v>403</v>
      </c>
      <c r="W104" s="29"/>
      <c r="Y104" s="39" t="e">
        <f>IF(E104=E102,Y102,Y102+1)</f>
        <v>#REF!</v>
      </c>
    </row>
    <row r="105" spans="1:25" ht="39.950000000000003" customHeight="1">
      <c r="A105" s="5">
        <v>3</v>
      </c>
      <c r="B105" s="5" t="s">
        <v>890</v>
      </c>
      <c r="C105" s="18">
        <v>44077</v>
      </c>
      <c r="D105" s="123" t="s">
        <v>56</v>
      </c>
      <c r="E105" s="124" t="s">
        <v>137</v>
      </c>
      <c r="F105" s="125" t="s">
        <v>138</v>
      </c>
      <c r="G105" s="126">
        <v>47</v>
      </c>
      <c r="H105" s="45" t="s">
        <v>69</v>
      </c>
      <c r="I105" s="55" t="s">
        <v>30</v>
      </c>
      <c r="J105" s="55">
        <v>230</v>
      </c>
      <c r="K105" s="46"/>
      <c r="L105" s="46"/>
      <c r="M105" s="29"/>
      <c r="N105" s="97"/>
      <c r="O105" s="97"/>
      <c r="P105" s="97"/>
      <c r="Q105" s="97"/>
      <c r="R105" s="91" t="s">
        <v>70</v>
      </c>
      <c r="S105" s="97" t="s">
        <v>29</v>
      </c>
      <c r="T105" s="97" t="s">
        <v>29</v>
      </c>
      <c r="U105" s="97"/>
      <c r="V105" s="29" t="s">
        <v>404</v>
      </c>
      <c r="W105" s="29"/>
      <c r="Y105" s="39" t="e">
        <f t="shared" si="1"/>
        <v>#REF!</v>
      </c>
    </row>
    <row r="106" spans="1:25" ht="39.950000000000003" customHeight="1">
      <c r="A106" s="5">
        <v>3</v>
      </c>
      <c r="B106" s="5" t="s">
        <v>890</v>
      </c>
      <c r="C106" s="18">
        <v>44077</v>
      </c>
      <c r="D106" s="123" t="s">
        <v>57</v>
      </c>
      <c r="E106" s="124" t="s">
        <v>196</v>
      </c>
      <c r="F106" s="125" t="s">
        <v>197</v>
      </c>
      <c r="G106" s="126">
        <v>7</v>
      </c>
      <c r="H106" s="45" t="s">
        <v>69</v>
      </c>
      <c r="I106" s="55" t="s">
        <v>28</v>
      </c>
      <c r="J106" s="55">
        <v>230</v>
      </c>
      <c r="K106" s="46"/>
      <c r="L106" s="46"/>
      <c r="M106" s="29"/>
      <c r="N106" s="97"/>
      <c r="O106" s="97"/>
      <c r="P106" s="97"/>
      <c r="Q106" s="97"/>
      <c r="R106" s="91" t="s">
        <v>70</v>
      </c>
      <c r="S106" s="97" t="s">
        <v>29</v>
      </c>
      <c r="T106" s="97"/>
      <c r="U106" s="97"/>
      <c r="V106" s="29" t="s">
        <v>766</v>
      </c>
      <c r="W106" s="29"/>
      <c r="Y106" s="39" t="e">
        <f t="shared" si="1"/>
        <v>#REF!</v>
      </c>
    </row>
    <row r="107" spans="1:25" ht="39.950000000000003" customHeight="1">
      <c r="A107" s="5">
        <v>3</v>
      </c>
      <c r="B107" s="5" t="s">
        <v>890</v>
      </c>
      <c r="C107" s="18">
        <v>44077</v>
      </c>
      <c r="D107" s="123" t="s">
        <v>58</v>
      </c>
      <c r="E107" s="124" t="s">
        <v>94</v>
      </c>
      <c r="F107" s="125" t="s">
        <v>95</v>
      </c>
      <c r="G107" s="126">
        <v>23</v>
      </c>
      <c r="H107" s="45" t="s">
        <v>69</v>
      </c>
      <c r="I107" s="55" t="s">
        <v>21</v>
      </c>
      <c r="J107" s="55">
        <v>120</v>
      </c>
      <c r="K107" s="46"/>
      <c r="L107" s="46"/>
      <c r="M107" s="29"/>
      <c r="N107" s="97"/>
      <c r="O107" s="97"/>
      <c r="P107" s="97"/>
      <c r="Q107" s="97" t="s">
        <v>29</v>
      </c>
      <c r="R107" s="91" t="s">
        <v>70</v>
      </c>
      <c r="S107" s="97"/>
      <c r="T107" s="97"/>
      <c r="U107" s="97"/>
      <c r="V107" s="29" t="s">
        <v>405</v>
      </c>
      <c r="W107" s="29"/>
      <c r="Y107" s="39" t="e">
        <f>IF(E107=E105,Y105,Y105+1)</f>
        <v>#REF!</v>
      </c>
    </row>
    <row r="108" spans="1:25" ht="39.950000000000003" customHeight="1">
      <c r="A108" s="5">
        <v>4</v>
      </c>
      <c r="B108" s="5" t="s">
        <v>889</v>
      </c>
      <c r="C108" s="18">
        <v>44077</v>
      </c>
      <c r="D108" s="123" t="s">
        <v>58</v>
      </c>
      <c r="E108" s="124" t="s">
        <v>94</v>
      </c>
      <c r="F108" s="125" t="s">
        <v>95</v>
      </c>
      <c r="G108" s="126">
        <v>30</v>
      </c>
      <c r="H108" s="45" t="s">
        <v>69</v>
      </c>
      <c r="I108" s="55" t="s">
        <v>21</v>
      </c>
      <c r="J108" s="55">
        <v>120</v>
      </c>
      <c r="K108" s="46"/>
      <c r="L108" s="46"/>
      <c r="M108" s="29"/>
      <c r="N108" s="97"/>
      <c r="O108" s="97"/>
      <c r="P108" s="97"/>
      <c r="Q108" s="97" t="s">
        <v>29</v>
      </c>
      <c r="R108" s="91" t="s">
        <v>70</v>
      </c>
      <c r="S108" s="97"/>
      <c r="T108" s="97"/>
      <c r="U108" s="97"/>
      <c r="V108" s="29" t="s">
        <v>405</v>
      </c>
      <c r="W108" s="29"/>
      <c r="Y108" s="39" t="e">
        <f>IF(E108=E106,Y106,Y106+1)</f>
        <v>#REF!</v>
      </c>
    </row>
    <row r="109" spans="1:25" ht="39.950000000000003" customHeight="1">
      <c r="A109" s="5">
        <v>4</v>
      </c>
      <c r="B109" s="5" t="s">
        <v>889</v>
      </c>
      <c r="C109" s="25">
        <v>44078</v>
      </c>
      <c r="D109" s="123" t="s">
        <v>54</v>
      </c>
      <c r="E109" s="124" t="s">
        <v>94</v>
      </c>
      <c r="F109" s="125" t="s">
        <v>95</v>
      </c>
      <c r="G109" s="126">
        <v>93</v>
      </c>
      <c r="H109" s="45" t="s">
        <v>69</v>
      </c>
      <c r="I109" s="55" t="s">
        <v>21</v>
      </c>
      <c r="J109" s="55">
        <v>120</v>
      </c>
      <c r="K109" s="46"/>
      <c r="L109" s="46"/>
      <c r="M109" s="29"/>
      <c r="N109" s="97"/>
      <c r="O109" s="97"/>
      <c r="P109" s="97"/>
      <c r="Q109" s="97" t="s">
        <v>29</v>
      </c>
      <c r="R109" s="91" t="s">
        <v>70</v>
      </c>
      <c r="S109" s="97"/>
      <c r="T109" s="97"/>
      <c r="U109" s="97"/>
      <c r="V109" s="29" t="s">
        <v>406</v>
      </c>
      <c r="W109" s="29"/>
      <c r="Y109" s="39" t="e">
        <f t="shared" si="1"/>
        <v>#REF!</v>
      </c>
    </row>
    <row r="110" spans="1:25" ht="39.950000000000003" customHeight="1">
      <c r="A110" s="5">
        <v>4</v>
      </c>
      <c r="B110" s="5" t="s">
        <v>889</v>
      </c>
      <c r="C110" s="18">
        <v>44078</v>
      </c>
      <c r="D110" s="123" t="s">
        <v>55</v>
      </c>
      <c r="E110" s="124" t="s">
        <v>114</v>
      </c>
      <c r="F110" s="125" t="s">
        <v>115</v>
      </c>
      <c r="G110" s="126">
        <v>37</v>
      </c>
      <c r="H110" s="45" t="s">
        <v>69</v>
      </c>
      <c r="I110" s="55" t="s">
        <v>33</v>
      </c>
      <c r="J110" s="55">
        <v>100</v>
      </c>
      <c r="K110" s="46"/>
      <c r="L110" s="46"/>
      <c r="M110" s="29"/>
      <c r="N110" s="97"/>
      <c r="O110" s="97" t="s">
        <v>29</v>
      </c>
      <c r="P110" s="97"/>
      <c r="Q110" s="97"/>
      <c r="R110" s="91" t="s">
        <v>70</v>
      </c>
      <c r="S110" s="97"/>
      <c r="T110" s="97" t="s">
        <v>29</v>
      </c>
      <c r="U110" s="97" t="s">
        <v>29</v>
      </c>
      <c r="V110" s="29" t="s">
        <v>407</v>
      </c>
      <c r="W110" s="29"/>
      <c r="Y110" s="39" t="e">
        <f>IF(E110=E108,Y108,Y108+1)</f>
        <v>#REF!</v>
      </c>
    </row>
    <row r="111" spans="1:25" ht="39.950000000000003" customHeight="1">
      <c r="A111" s="5">
        <v>4</v>
      </c>
      <c r="B111" s="5" t="s">
        <v>890</v>
      </c>
      <c r="C111" s="18">
        <v>44078</v>
      </c>
      <c r="D111" s="123" t="s">
        <v>55</v>
      </c>
      <c r="E111" s="124" t="s">
        <v>114</v>
      </c>
      <c r="F111" s="125" t="s">
        <v>115</v>
      </c>
      <c r="G111" s="126">
        <v>55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91" t="s">
        <v>70</v>
      </c>
      <c r="S111" s="97"/>
      <c r="T111" s="97" t="s">
        <v>29</v>
      </c>
      <c r="U111" s="97" t="s">
        <v>29</v>
      </c>
      <c r="V111" s="29" t="s">
        <v>407</v>
      </c>
      <c r="W111" s="29"/>
      <c r="Y111" s="39" t="e">
        <f>IF(E111=E109,Y109,Y109+1)</f>
        <v>#REF!</v>
      </c>
    </row>
    <row r="112" spans="1:25" ht="39.950000000000003" customHeight="1">
      <c r="A112" s="5">
        <v>4</v>
      </c>
      <c r="B112" s="5" t="s">
        <v>890</v>
      </c>
      <c r="C112" s="18">
        <v>44078</v>
      </c>
      <c r="D112" s="123" t="s">
        <v>56</v>
      </c>
      <c r="E112" s="124" t="s">
        <v>71</v>
      </c>
      <c r="F112" s="125" t="s">
        <v>75</v>
      </c>
      <c r="G112" s="126">
        <v>82</v>
      </c>
      <c r="H112" s="45" t="s">
        <v>69</v>
      </c>
      <c r="I112" s="55" t="s">
        <v>28</v>
      </c>
      <c r="J112" s="55">
        <v>230</v>
      </c>
      <c r="K112" s="46"/>
      <c r="L112" s="46"/>
      <c r="M112" s="29"/>
      <c r="N112" s="97"/>
      <c r="O112" s="97"/>
      <c r="P112" s="97"/>
      <c r="Q112" s="97"/>
      <c r="R112" s="91" t="s">
        <v>70</v>
      </c>
      <c r="S112" s="97" t="s">
        <v>29</v>
      </c>
      <c r="T112" s="97"/>
      <c r="U112" s="97"/>
      <c r="V112" s="29" t="s">
        <v>767</v>
      </c>
      <c r="W112" s="29"/>
      <c r="Y112" s="39" t="e">
        <f t="shared" si="1"/>
        <v>#REF!</v>
      </c>
    </row>
    <row r="113" spans="1:25" ht="39.950000000000003" customHeight="1">
      <c r="A113" s="5">
        <v>4</v>
      </c>
      <c r="B113" s="5" t="s">
        <v>890</v>
      </c>
      <c r="C113" s="18">
        <v>44078</v>
      </c>
      <c r="D113" s="123" t="s">
        <v>57</v>
      </c>
      <c r="E113" s="124" t="s">
        <v>198</v>
      </c>
      <c r="F113" s="125" t="s">
        <v>199</v>
      </c>
      <c r="G113" s="126">
        <v>23</v>
      </c>
      <c r="H113" s="45" t="s">
        <v>69</v>
      </c>
      <c r="I113" s="55" t="s">
        <v>33</v>
      </c>
      <c r="J113" s="55">
        <v>100</v>
      </c>
      <c r="K113" s="46"/>
      <c r="L113" s="46"/>
      <c r="M113" s="29"/>
      <c r="N113" s="97"/>
      <c r="O113" s="97"/>
      <c r="P113" s="97"/>
      <c r="Q113" s="97" t="s">
        <v>29</v>
      </c>
      <c r="R113" s="91" t="s">
        <v>70</v>
      </c>
      <c r="S113" s="97"/>
      <c r="T113" s="97" t="s">
        <v>29</v>
      </c>
      <c r="U113" s="97" t="s">
        <v>29</v>
      </c>
      <c r="V113" s="96" t="s">
        <v>408</v>
      </c>
      <c r="W113" s="29"/>
      <c r="Y113" s="39" t="e">
        <f>IF(E113=E111,Y111,Y111+1)</f>
        <v>#REF!</v>
      </c>
    </row>
    <row r="114" spans="1:25" ht="39.950000000000003" customHeight="1">
      <c r="A114" s="5">
        <v>8</v>
      </c>
      <c r="B114" s="5" t="s">
        <v>889</v>
      </c>
      <c r="C114" s="18">
        <v>44078</v>
      </c>
      <c r="D114" s="123" t="s">
        <v>57</v>
      </c>
      <c r="E114" s="124" t="s">
        <v>198</v>
      </c>
      <c r="F114" s="125" t="s">
        <v>199</v>
      </c>
      <c r="G114" s="126">
        <v>30</v>
      </c>
      <c r="H114" s="45" t="s">
        <v>69</v>
      </c>
      <c r="I114" s="55" t="s">
        <v>33</v>
      </c>
      <c r="J114" s="55">
        <v>100</v>
      </c>
      <c r="K114" s="46"/>
      <c r="L114" s="46"/>
      <c r="M114" s="29"/>
      <c r="N114" s="97"/>
      <c r="O114" s="97"/>
      <c r="P114" s="97"/>
      <c r="Q114" s="97" t="s">
        <v>29</v>
      </c>
      <c r="R114" s="91" t="s">
        <v>70</v>
      </c>
      <c r="S114" s="97"/>
      <c r="T114" s="97" t="s">
        <v>29</v>
      </c>
      <c r="U114" s="97" t="s">
        <v>29</v>
      </c>
      <c r="V114" s="96" t="s">
        <v>408</v>
      </c>
      <c r="W114" s="29"/>
      <c r="Y114" s="39" t="e">
        <f>IF(E114=E112,Y112,Y112+1)</f>
        <v>#REF!</v>
      </c>
    </row>
    <row r="115" spans="1:25" ht="39.950000000000003" customHeight="1">
      <c r="A115" s="5">
        <v>8</v>
      </c>
      <c r="B115" s="5" t="s">
        <v>889</v>
      </c>
      <c r="C115" s="25">
        <v>44079</v>
      </c>
      <c r="D115" s="123" t="s">
        <v>54</v>
      </c>
      <c r="E115" s="124" t="s">
        <v>198</v>
      </c>
      <c r="F115" s="125" t="s">
        <v>199</v>
      </c>
      <c r="G115" s="126">
        <v>92</v>
      </c>
      <c r="H115" s="45" t="s">
        <v>69</v>
      </c>
      <c r="I115" s="55" t="s">
        <v>33</v>
      </c>
      <c r="J115" s="55">
        <v>100</v>
      </c>
      <c r="K115" s="46"/>
      <c r="L115" s="46"/>
      <c r="M115" s="29"/>
      <c r="N115" s="97"/>
      <c r="O115" s="97"/>
      <c r="P115" s="97"/>
      <c r="Q115" s="97" t="s">
        <v>29</v>
      </c>
      <c r="R115" s="91" t="s">
        <v>70</v>
      </c>
      <c r="S115" s="97"/>
      <c r="T115" s="97" t="s">
        <v>29</v>
      </c>
      <c r="U115" s="97" t="s">
        <v>29</v>
      </c>
      <c r="V115" s="96" t="s">
        <v>409</v>
      </c>
      <c r="W115" s="29"/>
      <c r="Y115" s="39" t="e">
        <f t="shared" si="1"/>
        <v>#REF!</v>
      </c>
    </row>
    <row r="116" spans="1:25" ht="39.950000000000003" customHeight="1">
      <c r="A116" s="5">
        <v>8</v>
      </c>
      <c r="B116" s="5" t="s">
        <v>889</v>
      </c>
      <c r="C116" s="18">
        <v>44079</v>
      </c>
      <c r="D116" s="123" t="s">
        <v>55</v>
      </c>
      <c r="E116" s="124" t="s">
        <v>114</v>
      </c>
      <c r="F116" s="125" t="s">
        <v>115</v>
      </c>
      <c r="G116" s="126">
        <v>36</v>
      </c>
      <c r="H116" s="45" t="s">
        <v>69</v>
      </c>
      <c r="I116" s="55" t="s">
        <v>33</v>
      </c>
      <c r="J116" s="55">
        <v>100</v>
      </c>
      <c r="K116" s="46"/>
      <c r="L116" s="46"/>
      <c r="M116" s="29"/>
      <c r="N116" s="97"/>
      <c r="O116" s="97" t="s">
        <v>29</v>
      </c>
      <c r="P116" s="97"/>
      <c r="Q116" s="97"/>
      <c r="R116" s="91" t="s">
        <v>70</v>
      </c>
      <c r="S116" s="97"/>
      <c r="T116" s="97" t="s">
        <v>29</v>
      </c>
      <c r="U116" s="97" t="s">
        <v>29</v>
      </c>
      <c r="V116" s="29" t="s">
        <v>410</v>
      </c>
      <c r="W116" s="29"/>
      <c r="Y116" s="39" t="e">
        <f>IF(E116=E114,Y114,Y114+1)</f>
        <v>#REF!</v>
      </c>
    </row>
    <row r="117" spans="1:25" ht="39.950000000000003" customHeight="1">
      <c r="A117" s="5">
        <v>8</v>
      </c>
      <c r="B117" s="5" t="s">
        <v>890</v>
      </c>
      <c r="C117" s="18">
        <v>44079</v>
      </c>
      <c r="D117" s="123" t="s">
        <v>55</v>
      </c>
      <c r="E117" s="124" t="s">
        <v>114</v>
      </c>
      <c r="F117" s="125" t="s">
        <v>115</v>
      </c>
      <c r="G117" s="126">
        <v>79</v>
      </c>
      <c r="H117" s="45" t="s">
        <v>69</v>
      </c>
      <c r="I117" s="55" t="s">
        <v>33</v>
      </c>
      <c r="J117" s="55">
        <v>100</v>
      </c>
      <c r="K117" s="46"/>
      <c r="L117" s="46"/>
      <c r="M117" s="29"/>
      <c r="N117" s="97"/>
      <c r="O117" s="97" t="s">
        <v>29</v>
      </c>
      <c r="P117" s="97"/>
      <c r="Q117" s="97"/>
      <c r="R117" s="91" t="s">
        <v>70</v>
      </c>
      <c r="S117" s="97"/>
      <c r="T117" s="97" t="s">
        <v>29</v>
      </c>
      <c r="U117" s="97" t="s">
        <v>29</v>
      </c>
      <c r="V117" s="29" t="s">
        <v>410</v>
      </c>
      <c r="W117" s="29"/>
      <c r="Y117" s="39" t="e">
        <f>IF(E117=E115,Y115,Y115+1)</f>
        <v>#REF!</v>
      </c>
    </row>
    <row r="118" spans="1:25" ht="39.950000000000003" customHeight="1">
      <c r="A118" s="5">
        <v>8</v>
      </c>
      <c r="B118" s="5" t="s">
        <v>890</v>
      </c>
      <c r="C118" s="18">
        <v>44079</v>
      </c>
      <c r="D118" s="123" t="s">
        <v>56</v>
      </c>
      <c r="E118" s="124" t="s">
        <v>96</v>
      </c>
      <c r="F118" s="125" t="s">
        <v>97</v>
      </c>
      <c r="G118" s="126">
        <v>51</v>
      </c>
      <c r="H118" s="45" t="s">
        <v>69</v>
      </c>
      <c r="I118" s="55" t="s">
        <v>21</v>
      </c>
      <c r="J118" s="55">
        <v>120</v>
      </c>
      <c r="K118" s="46"/>
      <c r="L118" s="46"/>
      <c r="M118" s="29"/>
      <c r="N118" s="97"/>
      <c r="O118" s="97"/>
      <c r="P118" s="97"/>
      <c r="Q118" s="97" t="s">
        <v>29</v>
      </c>
      <c r="R118" s="91" t="s">
        <v>70</v>
      </c>
      <c r="S118" s="97"/>
      <c r="T118" s="97"/>
      <c r="U118" s="97"/>
      <c r="V118" s="29" t="s">
        <v>411</v>
      </c>
      <c r="W118" s="29"/>
      <c r="Y118" s="39" t="e">
        <f t="shared" si="1"/>
        <v>#REF!</v>
      </c>
    </row>
    <row r="119" spans="1:25" ht="39.950000000000003" customHeight="1">
      <c r="A119" s="5">
        <v>8</v>
      </c>
      <c r="B119" s="5" t="s">
        <v>890</v>
      </c>
      <c r="C119" s="18">
        <v>44079</v>
      </c>
      <c r="D119" s="123" t="s">
        <v>57</v>
      </c>
      <c r="E119" s="124" t="s">
        <v>144</v>
      </c>
      <c r="F119" s="125" t="s">
        <v>145</v>
      </c>
      <c r="G119" s="126">
        <v>2</v>
      </c>
      <c r="H119" s="45" t="s">
        <v>69</v>
      </c>
      <c r="I119" s="55" t="s">
        <v>146</v>
      </c>
      <c r="J119" s="55">
        <v>230</v>
      </c>
      <c r="K119" s="46"/>
      <c r="L119" s="46"/>
      <c r="M119" s="29"/>
      <c r="N119" s="97"/>
      <c r="O119" s="97"/>
      <c r="P119" s="97"/>
      <c r="Q119" s="97" t="s">
        <v>29</v>
      </c>
      <c r="R119" s="91" t="s">
        <v>70</v>
      </c>
      <c r="S119" s="97"/>
      <c r="T119" s="97" t="s">
        <v>29</v>
      </c>
      <c r="U119" s="97"/>
      <c r="V119" s="96" t="s">
        <v>412</v>
      </c>
      <c r="W119" s="29"/>
      <c r="Y119" s="39" t="e">
        <f t="shared" si="1"/>
        <v>#REF!</v>
      </c>
    </row>
    <row r="120" spans="1:25" ht="39.950000000000003" customHeight="1">
      <c r="A120" s="5">
        <v>8</v>
      </c>
      <c r="B120" s="5" t="s">
        <v>890</v>
      </c>
      <c r="C120" s="99">
        <v>44081</v>
      </c>
      <c r="D120" s="108" t="s">
        <v>54</v>
      </c>
      <c r="E120" s="127" t="s">
        <v>144</v>
      </c>
      <c r="F120" s="128" t="s">
        <v>145</v>
      </c>
      <c r="G120" s="129">
        <v>26</v>
      </c>
      <c r="H120" s="29" t="s">
        <v>69</v>
      </c>
      <c r="I120" s="109" t="s">
        <v>146</v>
      </c>
      <c r="J120" s="109">
        <v>230</v>
      </c>
      <c r="K120" s="29"/>
      <c r="L120" s="29"/>
      <c r="M120" s="29"/>
      <c r="N120" s="97"/>
      <c r="O120" s="97"/>
      <c r="P120" s="97"/>
      <c r="Q120" s="97" t="s">
        <v>29</v>
      </c>
      <c r="R120" s="91" t="s">
        <v>70</v>
      </c>
      <c r="S120" s="97"/>
      <c r="T120" s="97" t="s">
        <v>29</v>
      </c>
      <c r="U120" s="97"/>
      <c r="V120" s="96" t="s">
        <v>413</v>
      </c>
      <c r="W120" s="29"/>
      <c r="Y120" s="39" t="e">
        <f>IF(E120=E118,Y118,Y118+1)</f>
        <v>#REF!</v>
      </c>
    </row>
    <row r="121" spans="1:25" ht="39.950000000000003" customHeight="1">
      <c r="A121" s="5">
        <v>9</v>
      </c>
      <c r="B121" s="5" t="s">
        <v>889</v>
      </c>
      <c r="C121" s="99">
        <v>44081</v>
      </c>
      <c r="D121" s="108" t="s">
        <v>54</v>
      </c>
      <c r="E121" s="127" t="s">
        <v>144</v>
      </c>
      <c r="F121" s="128" t="s">
        <v>145</v>
      </c>
      <c r="G121" s="129">
        <v>78</v>
      </c>
      <c r="H121" s="29" t="s">
        <v>69</v>
      </c>
      <c r="I121" s="109" t="s">
        <v>146</v>
      </c>
      <c r="J121" s="109">
        <v>230</v>
      </c>
      <c r="K121" s="29"/>
      <c r="L121" s="29"/>
      <c r="M121" s="29"/>
      <c r="N121" s="97"/>
      <c r="O121" s="97"/>
      <c r="P121" s="97"/>
      <c r="Q121" s="97" t="s">
        <v>29</v>
      </c>
      <c r="R121" s="91" t="s">
        <v>70</v>
      </c>
      <c r="S121" s="97"/>
      <c r="T121" s="97" t="s">
        <v>29</v>
      </c>
      <c r="U121" s="97"/>
      <c r="V121" s="96" t="s">
        <v>413</v>
      </c>
      <c r="W121" s="29"/>
      <c r="Y121" s="39" t="e">
        <f>IF(E121=E119,Y119,Y119+1)</f>
        <v>#REF!</v>
      </c>
    </row>
    <row r="122" spans="1:25" ht="39.950000000000003" customHeight="1">
      <c r="A122" s="5">
        <v>9</v>
      </c>
      <c r="B122" s="5" t="s">
        <v>889</v>
      </c>
      <c r="C122" s="98">
        <v>44081</v>
      </c>
      <c r="D122" s="108" t="s">
        <v>55</v>
      </c>
      <c r="E122" s="127" t="s">
        <v>114</v>
      </c>
      <c r="F122" s="128" t="s">
        <v>115</v>
      </c>
      <c r="G122" s="129">
        <v>60</v>
      </c>
      <c r="H122" s="29" t="s">
        <v>69</v>
      </c>
      <c r="I122" s="109" t="s">
        <v>33</v>
      </c>
      <c r="J122" s="109">
        <v>100</v>
      </c>
      <c r="K122" s="29"/>
      <c r="L122" s="29"/>
      <c r="M122" s="29"/>
      <c r="N122" s="97"/>
      <c r="O122" s="97" t="s">
        <v>29</v>
      </c>
      <c r="P122" s="97"/>
      <c r="Q122" s="97"/>
      <c r="R122" s="91" t="s">
        <v>70</v>
      </c>
      <c r="S122" s="97"/>
      <c r="T122" s="97" t="s">
        <v>29</v>
      </c>
      <c r="U122" s="97" t="s">
        <v>29</v>
      </c>
      <c r="V122" s="29" t="s">
        <v>414</v>
      </c>
      <c r="W122" s="29"/>
      <c r="Y122" s="39" t="e">
        <f t="shared" si="1"/>
        <v>#REF!</v>
      </c>
    </row>
    <row r="123" spans="1:25" ht="39.950000000000003" customHeight="1">
      <c r="A123" s="5">
        <v>9</v>
      </c>
      <c r="B123" s="5" t="s">
        <v>889</v>
      </c>
      <c r="C123" s="98">
        <v>44081</v>
      </c>
      <c r="D123" s="108" t="s">
        <v>56</v>
      </c>
      <c r="E123" s="127" t="s">
        <v>74</v>
      </c>
      <c r="F123" s="128" t="s">
        <v>78</v>
      </c>
      <c r="G123" s="129">
        <v>30</v>
      </c>
      <c r="H123" s="29" t="s">
        <v>69</v>
      </c>
      <c r="I123" s="109" t="s">
        <v>28</v>
      </c>
      <c r="J123" s="109">
        <v>230</v>
      </c>
      <c r="K123" s="29"/>
      <c r="L123" s="29"/>
      <c r="M123" s="29"/>
      <c r="N123" s="97"/>
      <c r="O123" s="97"/>
      <c r="P123" s="97"/>
      <c r="Q123" s="97"/>
      <c r="R123" s="91" t="s">
        <v>70</v>
      </c>
      <c r="S123" s="97" t="s">
        <v>29</v>
      </c>
      <c r="T123" s="97"/>
      <c r="U123" s="97"/>
      <c r="V123" s="96" t="s">
        <v>768</v>
      </c>
      <c r="W123" s="29"/>
      <c r="Y123" s="39" t="e">
        <f>IF(E123=E121,Y121,Y121+1)</f>
        <v>#REF!</v>
      </c>
    </row>
    <row r="124" spans="1:25" ht="39.950000000000003" customHeight="1">
      <c r="A124" s="5">
        <v>9</v>
      </c>
      <c r="B124" s="5" t="s">
        <v>890</v>
      </c>
      <c r="C124" s="98">
        <v>44081</v>
      </c>
      <c r="D124" s="108" t="s">
        <v>56</v>
      </c>
      <c r="E124" s="127" t="s">
        <v>74</v>
      </c>
      <c r="F124" s="128" t="s">
        <v>78</v>
      </c>
      <c r="G124" s="129">
        <v>9</v>
      </c>
      <c r="H124" s="29" t="s">
        <v>69</v>
      </c>
      <c r="I124" s="109" t="s">
        <v>28</v>
      </c>
      <c r="J124" s="109">
        <v>230</v>
      </c>
      <c r="K124" s="29"/>
      <c r="L124" s="29"/>
      <c r="M124" s="29"/>
      <c r="N124" s="97"/>
      <c r="O124" s="97"/>
      <c r="P124" s="97"/>
      <c r="Q124" s="97"/>
      <c r="R124" s="91" t="s">
        <v>70</v>
      </c>
      <c r="S124" s="97" t="s">
        <v>29</v>
      </c>
      <c r="T124" s="97"/>
      <c r="U124" s="97"/>
      <c r="V124" s="96" t="s">
        <v>768</v>
      </c>
      <c r="W124" s="29"/>
      <c r="Y124" s="39" t="e">
        <f>IF(E124=E122,Y122,Y122+1)</f>
        <v>#REF!</v>
      </c>
    </row>
    <row r="125" spans="1:25" ht="39.950000000000003" customHeight="1">
      <c r="A125" s="5">
        <v>9</v>
      </c>
      <c r="B125" s="5" t="s">
        <v>890</v>
      </c>
      <c r="C125" s="98">
        <v>44081</v>
      </c>
      <c r="D125" s="108" t="s">
        <v>57</v>
      </c>
      <c r="E125" s="127" t="s">
        <v>212</v>
      </c>
      <c r="F125" s="128" t="s">
        <v>213</v>
      </c>
      <c r="G125" s="129">
        <v>7</v>
      </c>
      <c r="H125" s="29" t="s">
        <v>214</v>
      </c>
      <c r="I125" s="109" t="s">
        <v>21</v>
      </c>
      <c r="J125" s="109">
        <v>120</v>
      </c>
      <c r="K125" s="29"/>
      <c r="L125" s="29"/>
      <c r="M125" s="29"/>
      <c r="N125" s="97"/>
      <c r="O125" s="97"/>
      <c r="P125" s="97"/>
      <c r="Q125" s="97" t="s">
        <v>29</v>
      </c>
      <c r="R125" s="91" t="s">
        <v>70</v>
      </c>
      <c r="S125" s="97"/>
      <c r="T125" s="97"/>
      <c r="U125" s="97"/>
      <c r="V125" s="29" t="s">
        <v>415</v>
      </c>
      <c r="W125" s="29"/>
      <c r="Y125" s="39" t="e">
        <f t="shared" si="1"/>
        <v>#REF!</v>
      </c>
    </row>
    <row r="126" spans="1:25" ht="39.950000000000003" customHeight="1">
      <c r="A126" s="5">
        <v>9</v>
      </c>
      <c r="B126" s="5" t="s">
        <v>890</v>
      </c>
      <c r="C126" s="98">
        <v>44081</v>
      </c>
      <c r="D126" s="108" t="s">
        <v>58</v>
      </c>
      <c r="E126" s="127" t="s">
        <v>96</v>
      </c>
      <c r="F126" s="128" t="s">
        <v>97</v>
      </c>
      <c r="G126" s="129">
        <v>46</v>
      </c>
      <c r="H126" s="29" t="s">
        <v>69</v>
      </c>
      <c r="I126" s="109" t="s">
        <v>21</v>
      </c>
      <c r="J126" s="109">
        <v>120</v>
      </c>
      <c r="K126" s="29"/>
      <c r="L126" s="29"/>
      <c r="M126" s="29"/>
      <c r="N126" s="97"/>
      <c r="O126" s="97"/>
      <c r="P126" s="97"/>
      <c r="Q126" s="97" t="s">
        <v>29</v>
      </c>
      <c r="R126" s="91" t="s">
        <v>70</v>
      </c>
      <c r="S126" s="97"/>
      <c r="T126" s="97"/>
      <c r="U126" s="97"/>
      <c r="V126" s="29" t="s">
        <v>416</v>
      </c>
      <c r="W126" s="29"/>
      <c r="Y126" s="39" t="e">
        <f t="shared" si="1"/>
        <v>#REF!</v>
      </c>
    </row>
    <row r="127" spans="1:25" ht="39.950000000000003" customHeight="1">
      <c r="A127" s="5">
        <v>9</v>
      </c>
      <c r="B127" s="5" t="s">
        <v>890</v>
      </c>
      <c r="C127" s="99">
        <v>44082</v>
      </c>
      <c r="D127" s="108" t="s">
        <v>54</v>
      </c>
      <c r="E127" s="127" t="s">
        <v>96</v>
      </c>
      <c r="F127" s="128" t="s">
        <v>97</v>
      </c>
      <c r="G127" s="129">
        <v>62</v>
      </c>
      <c r="H127" s="29" t="s">
        <v>69</v>
      </c>
      <c r="I127" s="109" t="s">
        <v>21</v>
      </c>
      <c r="J127" s="109">
        <v>120</v>
      </c>
      <c r="K127" s="29"/>
      <c r="L127" s="29"/>
      <c r="M127" s="29"/>
      <c r="N127" s="97"/>
      <c r="O127" s="97"/>
      <c r="P127" s="97"/>
      <c r="Q127" s="97" t="s">
        <v>29</v>
      </c>
      <c r="R127" s="91" t="s">
        <v>70</v>
      </c>
      <c r="S127" s="97"/>
      <c r="T127" s="97"/>
      <c r="U127" s="97"/>
      <c r="V127" s="29" t="s">
        <v>417</v>
      </c>
      <c r="W127" s="29"/>
      <c r="Y127" s="39" t="e">
        <f t="shared" si="1"/>
        <v>#REF!</v>
      </c>
    </row>
    <row r="128" spans="1:25" ht="39.950000000000003" customHeight="1">
      <c r="A128" s="5">
        <v>9</v>
      </c>
      <c r="B128" s="5" t="s">
        <v>890</v>
      </c>
      <c r="C128" s="98">
        <v>44082</v>
      </c>
      <c r="D128" s="108" t="s">
        <v>55</v>
      </c>
      <c r="E128" s="127" t="s">
        <v>94</v>
      </c>
      <c r="F128" s="128" t="s">
        <v>95</v>
      </c>
      <c r="G128" s="129">
        <v>44</v>
      </c>
      <c r="H128" s="29" t="s">
        <v>69</v>
      </c>
      <c r="I128" s="109" t="s">
        <v>21</v>
      </c>
      <c r="J128" s="109">
        <v>120</v>
      </c>
      <c r="K128" s="29"/>
      <c r="L128" s="29"/>
      <c r="M128" s="29"/>
      <c r="N128" s="97"/>
      <c r="O128" s="97"/>
      <c r="P128" s="97"/>
      <c r="Q128" s="97" t="s">
        <v>29</v>
      </c>
      <c r="R128" s="91" t="s">
        <v>70</v>
      </c>
      <c r="S128" s="97"/>
      <c r="T128" s="97"/>
      <c r="U128" s="97"/>
      <c r="V128" s="29" t="s">
        <v>418</v>
      </c>
      <c r="W128" s="29"/>
      <c r="Y128" s="39" t="e">
        <f>IF(E128=E126,Y126,Y126+1)</f>
        <v>#REF!</v>
      </c>
    </row>
    <row r="129" spans="1:25" ht="39.950000000000003" customHeight="1">
      <c r="A129" s="5">
        <v>10</v>
      </c>
      <c r="B129" s="5" t="s">
        <v>889</v>
      </c>
      <c r="C129" s="98">
        <v>44082</v>
      </c>
      <c r="D129" s="108" t="s">
        <v>55</v>
      </c>
      <c r="E129" s="127" t="s">
        <v>94</v>
      </c>
      <c r="F129" s="128" t="s">
        <v>95</v>
      </c>
      <c r="G129" s="129">
        <v>5</v>
      </c>
      <c r="H129" s="29" t="s">
        <v>69</v>
      </c>
      <c r="I129" s="109" t="s">
        <v>21</v>
      </c>
      <c r="J129" s="109">
        <v>120</v>
      </c>
      <c r="K129" s="29"/>
      <c r="L129" s="29"/>
      <c r="M129" s="29"/>
      <c r="N129" s="97"/>
      <c r="O129" s="97"/>
      <c r="P129" s="97"/>
      <c r="Q129" s="97" t="s">
        <v>29</v>
      </c>
      <c r="R129" s="91" t="s">
        <v>70</v>
      </c>
      <c r="S129" s="97"/>
      <c r="T129" s="97"/>
      <c r="U129" s="97"/>
      <c r="V129" s="29" t="s">
        <v>418</v>
      </c>
      <c r="W129" s="29"/>
      <c r="Y129" s="39" t="e">
        <f>IF(E129=E127,Y127,Y127+1)</f>
        <v>#REF!</v>
      </c>
    </row>
    <row r="130" spans="1:25" ht="39.950000000000003" customHeight="1">
      <c r="A130" s="5">
        <v>10</v>
      </c>
      <c r="B130" s="5" t="s">
        <v>889</v>
      </c>
      <c r="C130" s="98">
        <v>44082</v>
      </c>
      <c r="D130" s="108" t="s">
        <v>56</v>
      </c>
      <c r="E130" s="127" t="s">
        <v>114</v>
      </c>
      <c r="F130" s="128" t="s">
        <v>115</v>
      </c>
      <c r="G130" s="129">
        <v>60</v>
      </c>
      <c r="H130" s="29" t="s">
        <v>69</v>
      </c>
      <c r="I130" s="109" t="s">
        <v>33</v>
      </c>
      <c r="J130" s="109">
        <v>100</v>
      </c>
      <c r="K130" s="29"/>
      <c r="L130" s="29"/>
      <c r="M130" s="29"/>
      <c r="N130" s="97"/>
      <c r="O130" s="97" t="s">
        <v>29</v>
      </c>
      <c r="P130" s="97"/>
      <c r="Q130" s="97"/>
      <c r="R130" s="91" t="s">
        <v>70</v>
      </c>
      <c r="S130" s="97"/>
      <c r="T130" s="97" t="s">
        <v>29</v>
      </c>
      <c r="U130" s="97" t="s">
        <v>29</v>
      </c>
      <c r="V130" s="96" t="s">
        <v>419</v>
      </c>
      <c r="W130" s="29"/>
      <c r="Y130" s="39" t="e">
        <f t="shared" si="1"/>
        <v>#REF!</v>
      </c>
    </row>
    <row r="131" spans="1:25" ht="39.950000000000003" customHeight="1">
      <c r="A131" s="5">
        <v>10</v>
      </c>
      <c r="B131" s="5" t="s">
        <v>889</v>
      </c>
      <c r="C131" s="98">
        <v>44082</v>
      </c>
      <c r="D131" s="108" t="s">
        <v>57</v>
      </c>
      <c r="E131" s="127" t="s">
        <v>74</v>
      </c>
      <c r="F131" s="128" t="s">
        <v>78</v>
      </c>
      <c r="G131" s="129">
        <v>103</v>
      </c>
      <c r="H131" s="29" t="s">
        <v>69</v>
      </c>
      <c r="I131" s="109" t="s">
        <v>28</v>
      </c>
      <c r="J131" s="109">
        <v>230</v>
      </c>
      <c r="K131" s="29"/>
      <c r="L131" s="29"/>
      <c r="M131" s="29"/>
      <c r="N131" s="97"/>
      <c r="O131" s="97"/>
      <c r="P131" s="97"/>
      <c r="Q131" s="97"/>
      <c r="R131" s="91" t="s">
        <v>70</v>
      </c>
      <c r="S131" s="97" t="s">
        <v>29</v>
      </c>
      <c r="T131" s="97"/>
      <c r="U131" s="97"/>
      <c r="V131" s="96" t="s">
        <v>769</v>
      </c>
      <c r="W131" s="29"/>
      <c r="Y131" s="39" t="e">
        <f>IF(E131=E129,Y129,Y129+1)</f>
        <v>#REF!</v>
      </c>
    </row>
    <row r="132" spans="1:25" ht="39.950000000000003" customHeight="1">
      <c r="A132" s="5">
        <v>10</v>
      </c>
      <c r="B132" s="5" t="s">
        <v>890</v>
      </c>
      <c r="C132" s="98">
        <v>44082</v>
      </c>
      <c r="D132" s="108" t="s">
        <v>57</v>
      </c>
      <c r="E132" s="127" t="s">
        <v>74</v>
      </c>
      <c r="F132" s="128" t="s">
        <v>78</v>
      </c>
      <c r="G132" s="129">
        <v>9</v>
      </c>
      <c r="H132" s="29" t="s">
        <v>69</v>
      </c>
      <c r="I132" s="109" t="s">
        <v>28</v>
      </c>
      <c r="J132" s="109">
        <v>230</v>
      </c>
      <c r="K132" s="29"/>
      <c r="L132" s="29"/>
      <c r="M132" s="29"/>
      <c r="N132" s="97"/>
      <c r="O132" s="97"/>
      <c r="P132" s="97"/>
      <c r="Q132" s="97"/>
      <c r="R132" s="91" t="s">
        <v>70</v>
      </c>
      <c r="S132" s="97" t="s">
        <v>29</v>
      </c>
      <c r="T132" s="97"/>
      <c r="U132" s="97"/>
      <c r="V132" s="96" t="s">
        <v>769</v>
      </c>
      <c r="W132" s="29"/>
      <c r="Y132" s="39" t="e">
        <f>IF(E132=E130,Y130,Y130+1)</f>
        <v>#REF!</v>
      </c>
    </row>
    <row r="133" spans="1:25" ht="39.950000000000003" customHeight="1">
      <c r="A133" s="5">
        <v>10</v>
      </c>
      <c r="B133" s="5" t="s">
        <v>890</v>
      </c>
      <c r="C133" s="98">
        <v>44082</v>
      </c>
      <c r="D133" s="108" t="s">
        <v>58</v>
      </c>
      <c r="E133" s="30" t="s">
        <v>198</v>
      </c>
      <c r="F133" s="31" t="s">
        <v>199</v>
      </c>
      <c r="G133" s="29">
        <v>53</v>
      </c>
      <c r="H133" s="29" t="s">
        <v>69</v>
      </c>
      <c r="I133" s="29" t="s">
        <v>33</v>
      </c>
      <c r="J133" s="29">
        <v>100</v>
      </c>
      <c r="K133" s="29"/>
      <c r="L133" s="29"/>
      <c r="M133" s="29"/>
      <c r="N133" s="97"/>
      <c r="O133" s="97"/>
      <c r="P133" s="97"/>
      <c r="Q133" s="97" t="s">
        <v>29</v>
      </c>
      <c r="R133" s="91" t="s">
        <v>70</v>
      </c>
      <c r="S133" s="97"/>
      <c r="T133" s="97" t="s">
        <v>29</v>
      </c>
      <c r="U133" s="97" t="s">
        <v>29</v>
      </c>
      <c r="V133" s="29" t="s">
        <v>420</v>
      </c>
      <c r="W133" s="29"/>
      <c r="Y133" s="39" t="e">
        <f t="shared" si="1"/>
        <v>#REF!</v>
      </c>
    </row>
    <row r="134" spans="1:25" ht="39.950000000000003" customHeight="1">
      <c r="A134" s="5">
        <v>10</v>
      </c>
      <c r="B134" s="5" t="s">
        <v>890</v>
      </c>
      <c r="C134" s="99">
        <v>44083</v>
      </c>
      <c r="D134" s="108" t="s">
        <v>54</v>
      </c>
      <c r="E134" s="30" t="s">
        <v>198</v>
      </c>
      <c r="F134" s="31" t="s">
        <v>199</v>
      </c>
      <c r="G134" s="29">
        <v>23</v>
      </c>
      <c r="H134" s="29" t="s">
        <v>69</v>
      </c>
      <c r="I134" s="29" t="s">
        <v>33</v>
      </c>
      <c r="J134" s="29">
        <v>100</v>
      </c>
      <c r="K134" s="29"/>
      <c r="L134" s="29"/>
      <c r="M134" s="29"/>
      <c r="N134" s="97"/>
      <c r="O134" s="97"/>
      <c r="P134" s="97"/>
      <c r="Q134" s="97" t="s">
        <v>29</v>
      </c>
      <c r="R134" s="91" t="s">
        <v>70</v>
      </c>
      <c r="S134" s="97"/>
      <c r="T134" s="97" t="s">
        <v>29</v>
      </c>
      <c r="U134" s="97" t="s">
        <v>29</v>
      </c>
      <c r="V134" s="29" t="s">
        <v>421</v>
      </c>
      <c r="W134" s="29"/>
      <c r="Y134" s="39" t="e">
        <f t="shared" si="1"/>
        <v>#REF!</v>
      </c>
    </row>
    <row r="135" spans="1:25" ht="39.950000000000003" customHeight="1">
      <c r="A135" s="5">
        <v>10</v>
      </c>
      <c r="B135" s="5" t="s">
        <v>890</v>
      </c>
      <c r="C135" s="98">
        <v>44083</v>
      </c>
      <c r="D135" s="108" t="s">
        <v>55</v>
      </c>
      <c r="E135" s="30" t="s">
        <v>94</v>
      </c>
      <c r="F135" s="31" t="s">
        <v>95</v>
      </c>
      <c r="G135" s="29">
        <v>80</v>
      </c>
      <c r="H135" s="29" t="s">
        <v>69</v>
      </c>
      <c r="I135" s="29" t="s">
        <v>21</v>
      </c>
      <c r="J135" s="29">
        <v>120</v>
      </c>
      <c r="K135" s="29"/>
      <c r="L135" s="29"/>
      <c r="M135" s="29"/>
      <c r="N135" s="97"/>
      <c r="O135" s="97"/>
      <c r="P135" s="97"/>
      <c r="Q135" s="97" t="s">
        <v>29</v>
      </c>
      <c r="R135" s="91" t="s">
        <v>70</v>
      </c>
      <c r="S135" s="97"/>
      <c r="T135" s="97"/>
      <c r="U135" s="97"/>
      <c r="V135" s="29" t="s">
        <v>422</v>
      </c>
      <c r="W135" s="29"/>
      <c r="Y135" s="39" t="e">
        <f t="shared" si="1"/>
        <v>#REF!</v>
      </c>
    </row>
    <row r="136" spans="1:25" ht="39.950000000000003" customHeight="1">
      <c r="A136" s="5">
        <v>10</v>
      </c>
      <c r="B136" s="5" t="s">
        <v>890</v>
      </c>
      <c r="C136" s="98">
        <v>44083</v>
      </c>
      <c r="D136" s="108" t="s">
        <v>56</v>
      </c>
      <c r="E136" s="30" t="s">
        <v>114</v>
      </c>
      <c r="F136" s="31" t="s">
        <v>115</v>
      </c>
      <c r="G136" s="29">
        <v>3</v>
      </c>
      <c r="H136" s="29" t="s">
        <v>69</v>
      </c>
      <c r="I136" s="29" t="s">
        <v>33</v>
      </c>
      <c r="J136" s="29">
        <v>100</v>
      </c>
      <c r="K136" s="29"/>
      <c r="L136" s="29"/>
      <c r="M136" s="29"/>
      <c r="N136" s="97"/>
      <c r="O136" s="97" t="s">
        <v>29</v>
      </c>
      <c r="P136" s="97"/>
      <c r="Q136" s="97"/>
      <c r="R136" s="91" t="s">
        <v>70</v>
      </c>
      <c r="S136" s="97"/>
      <c r="T136" s="97" t="s">
        <v>29</v>
      </c>
      <c r="U136" s="97" t="s">
        <v>29</v>
      </c>
      <c r="V136" s="29" t="s">
        <v>423</v>
      </c>
      <c r="W136" s="29"/>
      <c r="Y136" s="39" t="e">
        <f>IF(E136=E134,Y134,Y134+1)</f>
        <v>#REF!</v>
      </c>
    </row>
    <row r="137" spans="1:25" ht="39.950000000000003" customHeight="1">
      <c r="A137" s="5">
        <v>11</v>
      </c>
      <c r="B137" s="5" t="s">
        <v>889</v>
      </c>
      <c r="C137" s="98">
        <v>44083</v>
      </c>
      <c r="D137" s="108" t="s">
        <v>56</v>
      </c>
      <c r="E137" s="30" t="s">
        <v>114</v>
      </c>
      <c r="F137" s="31" t="s">
        <v>115</v>
      </c>
      <c r="G137" s="29">
        <v>57</v>
      </c>
      <c r="H137" s="29" t="s">
        <v>69</v>
      </c>
      <c r="I137" s="29" t="s">
        <v>33</v>
      </c>
      <c r="J137" s="29">
        <v>100</v>
      </c>
      <c r="K137" s="29"/>
      <c r="L137" s="29"/>
      <c r="M137" s="29"/>
      <c r="N137" s="97"/>
      <c r="O137" s="97" t="s">
        <v>29</v>
      </c>
      <c r="P137" s="97"/>
      <c r="Q137" s="97"/>
      <c r="R137" s="91" t="s">
        <v>70</v>
      </c>
      <c r="S137" s="97"/>
      <c r="T137" s="97" t="s">
        <v>29</v>
      </c>
      <c r="U137" s="97" t="s">
        <v>29</v>
      </c>
      <c r="V137" s="29" t="s">
        <v>423</v>
      </c>
      <c r="W137" s="29"/>
      <c r="Y137" s="39" t="e">
        <f>IF(E137=E135,Y135,Y135+1)</f>
        <v>#REF!</v>
      </c>
    </row>
    <row r="138" spans="1:25" ht="39.950000000000003" customHeight="1">
      <c r="A138" s="5">
        <v>11</v>
      </c>
      <c r="B138" s="5" t="s">
        <v>889</v>
      </c>
      <c r="C138" s="98">
        <v>44083</v>
      </c>
      <c r="D138" s="108" t="s">
        <v>57</v>
      </c>
      <c r="E138" s="30" t="s">
        <v>137</v>
      </c>
      <c r="F138" s="31" t="s">
        <v>138</v>
      </c>
      <c r="G138" s="29">
        <v>37</v>
      </c>
      <c r="H138" s="29" t="s">
        <v>69</v>
      </c>
      <c r="I138" s="29" t="s">
        <v>30</v>
      </c>
      <c r="J138" s="29">
        <v>230</v>
      </c>
      <c r="K138" s="29"/>
      <c r="L138" s="29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 t="s">
        <v>29</v>
      </c>
      <c r="U138" s="97"/>
      <c r="V138" s="29" t="s">
        <v>424</v>
      </c>
      <c r="W138" s="29"/>
      <c r="Y138" s="39" t="e">
        <f t="shared" si="1"/>
        <v>#REF!</v>
      </c>
    </row>
    <row r="139" spans="1:25" ht="39.950000000000003" customHeight="1">
      <c r="A139" s="5">
        <v>11</v>
      </c>
      <c r="B139" s="5" t="s">
        <v>889</v>
      </c>
      <c r="C139" s="98">
        <v>44083</v>
      </c>
      <c r="D139" s="108" t="s">
        <v>58</v>
      </c>
      <c r="E139" s="30" t="s">
        <v>106</v>
      </c>
      <c r="F139" s="31" t="s">
        <v>107</v>
      </c>
      <c r="G139" s="29">
        <v>36</v>
      </c>
      <c r="H139" s="29" t="s">
        <v>69</v>
      </c>
      <c r="I139" s="29" t="s">
        <v>18</v>
      </c>
      <c r="J139" s="29">
        <v>220</v>
      </c>
      <c r="K139" s="29"/>
      <c r="L139" s="29"/>
      <c r="M139" s="29"/>
      <c r="N139" s="97"/>
      <c r="O139" s="97"/>
      <c r="P139" s="97"/>
      <c r="Q139" s="97"/>
      <c r="R139" s="91" t="s">
        <v>70</v>
      </c>
      <c r="S139" s="97" t="s">
        <v>29</v>
      </c>
      <c r="T139" s="97" t="s">
        <v>29</v>
      </c>
      <c r="U139" s="97"/>
      <c r="V139" s="96" t="s">
        <v>425</v>
      </c>
      <c r="W139" s="29"/>
      <c r="Y139" s="39" t="e">
        <f>IF(E139=E137,Y137,Y137+1)</f>
        <v>#REF!</v>
      </c>
    </row>
    <row r="140" spans="1:25" ht="39.950000000000003" customHeight="1">
      <c r="A140" s="5">
        <v>11</v>
      </c>
      <c r="B140" s="5" t="s">
        <v>890</v>
      </c>
      <c r="C140" s="98">
        <v>44083</v>
      </c>
      <c r="D140" s="108" t="s">
        <v>58</v>
      </c>
      <c r="E140" s="30" t="s">
        <v>106</v>
      </c>
      <c r="F140" s="31" t="s">
        <v>107</v>
      </c>
      <c r="G140" s="29">
        <v>13</v>
      </c>
      <c r="H140" s="29" t="s">
        <v>69</v>
      </c>
      <c r="I140" s="29" t="s">
        <v>18</v>
      </c>
      <c r="J140" s="29">
        <v>220</v>
      </c>
      <c r="K140" s="29"/>
      <c r="L140" s="29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 t="s">
        <v>29</v>
      </c>
      <c r="U140" s="97"/>
      <c r="V140" s="96" t="s">
        <v>425</v>
      </c>
      <c r="W140" s="29"/>
      <c r="Y140" s="39" t="e">
        <f>IF(E140=E138,Y138,Y138+1)</f>
        <v>#REF!</v>
      </c>
    </row>
    <row r="141" spans="1:25" ht="39.950000000000003" customHeight="1">
      <c r="A141" s="5">
        <v>11</v>
      </c>
      <c r="B141" s="5" t="s">
        <v>890</v>
      </c>
      <c r="C141" s="98">
        <v>44083</v>
      </c>
      <c r="D141" s="108" t="s">
        <v>59</v>
      </c>
      <c r="E141" s="30" t="s">
        <v>196</v>
      </c>
      <c r="F141" s="31" t="s">
        <v>197</v>
      </c>
      <c r="G141" s="29">
        <v>34</v>
      </c>
      <c r="H141" s="29" t="s">
        <v>69</v>
      </c>
      <c r="I141" s="29" t="s">
        <v>28</v>
      </c>
      <c r="J141" s="29">
        <v>230</v>
      </c>
      <c r="K141" s="29"/>
      <c r="L141" s="29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29" t="s">
        <v>770</v>
      </c>
      <c r="W141" s="29"/>
      <c r="Y141" s="39" t="e">
        <f t="shared" si="1"/>
        <v>#REF!</v>
      </c>
    </row>
    <row r="142" spans="1:25" ht="39.950000000000003" customHeight="1">
      <c r="A142" s="5">
        <v>11</v>
      </c>
      <c r="B142" s="5" t="s">
        <v>890</v>
      </c>
      <c r="C142" s="98">
        <v>44083</v>
      </c>
      <c r="D142" s="108" t="s">
        <v>60</v>
      </c>
      <c r="E142" s="30" t="s">
        <v>198</v>
      </c>
      <c r="F142" s="31" t="s">
        <v>199</v>
      </c>
      <c r="G142" s="29">
        <v>53</v>
      </c>
      <c r="H142" s="29" t="s">
        <v>69</v>
      </c>
      <c r="I142" s="29" t="s">
        <v>33</v>
      </c>
      <c r="J142" s="29">
        <v>100</v>
      </c>
      <c r="K142" s="29"/>
      <c r="L142" s="29"/>
      <c r="M142" s="29"/>
      <c r="N142" s="97"/>
      <c r="O142" s="97"/>
      <c r="P142" s="97"/>
      <c r="Q142" s="97" t="s">
        <v>29</v>
      </c>
      <c r="R142" s="91" t="s">
        <v>70</v>
      </c>
      <c r="S142" s="97"/>
      <c r="T142" s="97" t="s">
        <v>29</v>
      </c>
      <c r="U142" s="97" t="s">
        <v>29</v>
      </c>
      <c r="V142" s="29" t="s">
        <v>426</v>
      </c>
      <c r="W142" s="29"/>
      <c r="Y142" s="39" t="e">
        <f t="shared" si="1"/>
        <v>#REF!</v>
      </c>
    </row>
    <row r="143" spans="1:25" ht="39.950000000000003" customHeight="1">
      <c r="A143" s="5">
        <v>11</v>
      </c>
      <c r="B143" s="5" t="s">
        <v>890</v>
      </c>
      <c r="C143" s="99">
        <v>44084</v>
      </c>
      <c r="D143" s="108" t="s">
        <v>54</v>
      </c>
      <c r="E143" s="30" t="s">
        <v>198</v>
      </c>
      <c r="F143" s="31" t="s">
        <v>199</v>
      </c>
      <c r="G143" s="29">
        <v>27</v>
      </c>
      <c r="H143" s="29" t="s">
        <v>69</v>
      </c>
      <c r="I143" s="29" t="s">
        <v>33</v>
      </c>
      <c r="J143" s="29">
        <v>100</v>
      </c>
      <c r="K143" s="29"/>
      <c r="L143" s="29"/>
      <c r="M143" s="29"/>
      <c r="N143" s="97"/>
      <c r="O143" s="97"/>
      <c r="P143" s="97"/>
      <c r="Q143" s="97" t="s">
        <v>29</v>
      </c>
      <c r="R143" s="91" t="s">
        <v>70</v>
      </c>
      <c r="S143" s="97"/>
      <c r="T143" s="97" t="s">
        <v>29</v>
      </c>
      <c r="U143" s="97" t="s">
        <v>29</v>
      </c>
      <c r="V143" s="29" t="s">
        <v>427</v>
      </c>
      <c r="W143" s="29"/>
      <c r="Y143" s="39" t="e">
        <f t="shared" si="1"/>
        <v>#REF!</v>
      </c>
    </row>
    <row r="144" spans="1:25" ht="39.950000000000003" customHeight="1">
      <c r="A144" s="5">
        <v>11</v>
      </c>
      <c r="B144" s="5" t="s">
        <v>890</v>
      </c>
      <c r="C144" s="98">
        <v>44084</v>
      </c>
      <c r="D144" s="108" t="s">
        <v>55</v>
      </c>
      <c r="E144" s="30" t="s">
        <v>94</v>
      </c>
      <c r="F144" s="31" t="s">
        <v>95</v>
      </c>
      <c r="G144" s="29">
        <v>3</v>
      </c>
      <c r="H144" s="29" t="s">
        <v>69</v>
      </c>
      <c r="I144" s="29" t="s">
        <v>21</v>
      </c>
      <c r="J144" s="29">
        <v>120</v>
      </c>
      <c r="K144" s="29"/>
      <c r="L144" s="29"/>
      <c r="M144" s="29"/>
      <c r="N144" s="97"/>
      <c r="O144" s="97"/>
      <c r="P144" s="97"/>
      <c r="Q144" s="97" t="s">
        <v>29</v>
      </c>
      <c r="R144" s="91" t="s">
        <v>70</v>
      </c>
      <c r="S144" s="97"/>
      <c r="T144" s="97"/>
      <c r="U144" s="97"/>
      <c r="V144" s="29" t="s">
        <v>428</v>
      </c>
      <c r="W144" s="29"/>
      <c r="Y144" s="39" t="e">
        <f>IF(E144=E142,Y142,Y142+1)</f>
        <v>#REF!</v>
      </c>
    </row>
    <row r="145" spans="1:25" ht="39.950000000000003" customHeight="1">
      <c r="A145" s="5">
        <v>14</v>
      </c>
      <c r="B145" s="5" t="s">
        <v>889</v>
      </c>
      <c r="C145" s="98">
        <v>44084</v>
      </c>
      <c r="D145" s="108" t="s">
        <v>55</v>
      </c>
      <c r="E145" s="30" t="s">
        <v>94</v>
      </c>
      <c r="F145" s="31" t="s">
        <v>95</v>
      </c>
      <c r="G145" s="29">
        <v>73</v>
      </c>
      <c r="H145" s="29" t="s">
        <v>69</v>
      </c>
      <c r="I145" s="29" t="s">
        <v>21</v>
      </c>
      <c r="J145" s="29">
        <v>120</v>
      </c>
      <c r="K145" s="29"/>
      <c r="L145" s="29"/>
      <c r="M145" s="29"/>
      <c r="N145" s="97"/>
      <c r="O145" s="97"/>
      <c r="P145" s="97"/>
      <c r="Q145" s="97" t="s">
        <v>29</v>
      </c>
      <c r="R145" s="91" t="s">
        <v>70</v>
      </c>
      <c r="S145" s="97"/>
      <c r="T145" s="97"/>
      <c r="U145" s="97"/>
      <c r="V145" s="29" t="s">
        <v>428</v>
      </c>
      <c r="W145" s="29"/>
      <c r="Y145" s="39" t="e">
        <f>IF(E145=E143,Y143,Y143+1)</f>
        <v>#REF!</v>
      </c>
    </row>
    <row r="146" spans="1:25" ht="39.950000000000003" customHeight="1">
      <c r="A146" s="5">
        <v>14</v>
      </c>
      <c r="B146" s="5" t="s">
        <v>889</v>
      </c>
      <c r="C146" s="98">
        <v>44084</v>
      </c>
      <c r="D146" s="108" t="s">
        <v>56</v>
      </c>
      <c r="E146" s="30" t="s">
        <v>114</v>
      </c>
      <c r="F146" s="31" t="s">
        <v>115</v>
      </c>
      <c r="G146" s="29">
        <v>55</v>
      </c>
      <c r="H146" s="29" t="s">
        <v>69</v>
      </c>
      <c r="I146" s="29" t="s">
        <v>33</v>
      </c>
      <c r="J146" s="29">
        <v>100</v>
      </c>
      <c r="K146" s="29"/>
      <c r="L146" s="29"/>
      <c r="M146" s="29"/>
      <c r="N146" s="97"/>
      <c r="O146" s="97" t="s">
        <v>29</v>
      </c>
      <c r="P146" s="97"/>
      <c r="Q146" s="97"/>
      <c r="R146" s="91" t="s">
        <v>70</v>
      </c>
      <c r="S146" s="97"/>
      <c r="T146" s="97" t="s">
        <v>29</v>
      </c>
      <c r="U146" s="97" t="s">
        <v>29</v>
      </c>
      <c r="V146" s="29" t="s">
        <v>429</v>
      </c>
      <c r="W146" s="29"/>
      <c r="Y146" s="39" t="e">
        <f>IF(E146=E144,Y144,Y144+1)</f>
        <v>#REF!</v>
      </c>
    </row>
    <row r="147" spans="1:25" ht="39.950000000000003" customHeight="1">
      <c r="A147" s="5">
        <v>14</v>
      </c>
      <c r="B147" s="5" t="s">
        <v>890</v>
      </c>
      <c r="C147" s="98">
        <v>44084</v>
      </c>
      <c r="D147" s="108" t="s">
        <v>56</v>
      </c>
      <c r="E147" s="30" t="s">
        <v>114</v>
      </c>
      <c r="F147" s="31" t="s">
        <v>115</v>
      </c>
      <c r="G147" s="29">
        <v>5</v>
      </c>
      <c r="H147" s="29" t="s">
        <v>69</v>
      </c>
      <c r="I147" s="29" t="s">
        <v>33</v>
      </c>
      <c r="J147" s="29">
        <v>100</v>
      </c>
      <c r="K147" s="29"/>
      <c r="L147" s="29"/>
      <c r="M147" s="29"/>
      <c r="N147" s="97"/>
      <c r="O147" s="97" t="s">
        <v>29</v>
      </c>
      <c r="P147" s="97"/>
      <c r="Q147" s="97"/>
      <c r="R147" s="91" t="s">
        <v>70</v>
      </c>
      <c r="S147" s="97"/>
      <c r="T147" s="97" t="s">
        <v>29</v>
      </c>
      <c r="U147" s="97" t="s">
        <v>29</v>
      </c>
      <c r="V147" s="29" t="s">
        <v>429</v>
      </c>
      <c r="W147" s="29"/>
      <c r="Y147" s="39" t="e">
        <f>IF(E147=E145,Y145,Y145+1)</f>
        <v>#REF!</v>
      </c>
    </row>
    <row r="148" spans="1:25" ht="39.950000000000003" customHeight="1">
      <c r="A148" s="5">
        <v>14</v>
      </c>
      <c r="B148" s="5" t="s">
        <v>890</v>
      </c>
      <c r="C148" s="98">
        <v>44084</v>
      </c>
      <c r="D148" s="108" t="s">
        <v>57</v>
      </c>
      <c r="E148" s="30" t="s">
        <v>71</v>
      </c>
      <c r="F148" s="31" t="s">
        <v>75</v>
      </c>
      <c r="G148" s="29">
        <v>76</v>
      </c>
      <c r="H148" s="29" t="s">
        <v>69</v>
      </c>
      <c r="I148" s="29" t="s">
        <v>28</v>
      </c>
      <c r="J148" s="29">
        <v>230</v>
      </c>
      <c r="K148" s="29"/>
      <c r="L148" s="29"/>
      <c r="M148" s="29"/>
      <c r="N148" s="97"/>
      <c r="O148" s="97"/>
      <c r="P148" s="97"/>
      <c r="Q148" s="97"/>
      <c r="R148" s="91" t="s">
        <v>70</v>
      </c>
      <c r="S148" s="97" t="s">
        <v>29</v>
      </c>
      <c r="T148" s="97"/>
      <c r="U148" s="97"/>
      <c r="V148" s="29" t="s">
        <v>771</v>
      </c>
      <c r="W148" s="29"/>
      <c r="Y148" s="39" t="e">
        <f t="shared" si="1"/>
        <v>#REF!</v>
      </c>
    </row>
    <row r="149" spans="1:25" ht="39.950000000000003" customHeight="1">
      <c r="A149" s="5">
        <v>14</v>
      </c>
      <c r="B149" s="5" t="s">
        <v>890</v>
      </c>
      <c r="C149" s="98">
        <v>44084</v>
      </c>
      <c r="D149" s="108" t="s">
        <v>58</v>
      </c>
      <c r="E149" s="30" t="s">
        <v>196</v>
      </c>
      <c r="F149" s="31" t="s">
        <v>197</v>
      </c>
      <c r="G149" s="29">
        <v>28</v>
      </c>
      <c r="H149" s="29" t="s">
        <v>69</v>
      </c>
      <c r="I149" s="29" t="s">
        <v>28</v>
      </c>
      <c r="J149" s="29">
        <v>230</v>
      </c>
      <c r="K149" s="29"/>
      <c r="L149" s="29"/>
      <c r="M149" s="29"/>
      <c r="N149" s="97"/>
      <c r="O149" s="97"/>
      <c r="P149" s="97"/>
      <c r="Q149" s="97"/>
      <c r="R149" s="91" t="s">
        <v>70</v>
      </c>
      <c r="S149" s="97" t="s">
        <v>29</v>
      </c>
      <c r="T149" s="97"/>
      <c r="U149" s="97"/>
      <c r="V149" s="96" t="s">
        <v>772</v>
      </c>
      <c r="W149" s="29"/>
      <c r="Y149" s="39" t="e">
        <f t="shared" si="1"/>
        <v>#REF!</v>
      </c>
    </row>
    <row r="150" spans="1:25" ht="39.950000000000003" customHeight="1">
      <c r="A150" s="5">
        <v>14</v>
      </c>
      <c r="B150" s="5" t="s">
        <v>890</v>
      </c>
      <c r="C150" s="98">
        <v>44084</v>
      </c>
      <c r="D150" s="108" t="s">
        <v>59</v>
      </c>
      <c r="E150" s="30" t="s">
        <v>198</v>
      </c>
      <c r="F150" s="31" t="s">
        <v>199</v>
      </c>
      <c r="G150" s="29">
        <v>19</v>
      </c>
      <c r="H150" s="29" t="s">
        <v>69</v>
      </c>
      <c r="I150" s="29" t="s">
        <v>33</v>
      </c>
      <c r="J150" s="29">
        <v>100</v>
      </c>
      <c r="K150" s="29"/>
      <c r="L150" s="29"/>
      <c r="M150" s="29"/>
      <c r="N150" s="97"/>
      <c r="O150" s="97"/>
      <c r="P150" s="97"/>
      <c r="Q150" s="97" t="s">
        <v>29</v>
      </c>
      <c r="R150" s="91" t="s">
        <v>70</v>
      </c>
      <c r="S150" s="97"/>
      <c r="T150" s="97" t="s">
        <v>29</v>
      </c>
      <c r="U150" s="97" t="s">
        <v>29</v>
      </c>
      <c r="V150" s="29" t="s">
        <v>430</v>
      </c>
      <c r="W150" s="29"/>
      <c r="Y150" s="39" t="e">
        <f>IF(E150=E148,Y148,Y148+1)</f>
        <v>#REF!</v>
      </c>
    </row>
    <row r="151" spans="1:25" ht="39.950000000000003" customHeight="1">
      <c r="A151" s="5">
        <v>15</v>
      </c>
      <c r="B151" s="5" t="s">
        <v>889</v>
      </c>
      <c r="C151" s="98">
        <v>44084</v>
      </c>
      <c r="D151" s="108" t="s">
        <v>59</v>
      </c>
      <c r="E151" s="30" t="s">
        <v>198</v>
      </c>
      <c r="F151" s="31" t="s">
        <v>199</v>
      </c>
      <c r="G151" s="29">
        <v>34</v>
      </c>
      <c r="H151" s="29" t="s">
        <v>69</v>
      </c>
      <c r="I151" s="29" t="s">
        <v>33</v>
      </c>
      <c r="J151" s="29">
        <v>100</v>
      </c>
      <c r="K151" s="29"/>
      <c r="L151" s="29"/>
      <c r="M151" s="29"/>
      <c r="N151" s="97"/>
      <c r="O151" s="97"/>
      <c r="P151" s="97"/>
      <c r="Q151" s="97" t="s">
        <v>29</v>
      </c>
      <c r="R151" s="91" t="s">
        <v>70</v>
      </c>
      <c r="S151" s="97"/>
      <c r="T151" s="97" t="s">
        <v>29</v>
      </c>
      <c r="U151" s="97" t="s">
        <v>29</v>
      </c>
      <c r="V151" s="29" t="s">
        <v>430</v>
      </c>
      <c r="W151" s="29"/>
      <c r="Y151" s="39" t="e">
        <f>IF(E151=E149,Y149,Y149+1)</f>
        <v>#REF!</v>
      </c>
    </row>
    <row r="152" spans="1:25" ht="39.950000000000003" customHeight="1">
      <c r="A152" s="5">
        <v>15</v>
      </c>
      <c r="B152" s="5" t="s">
        <v>889</v>
      </c>
      <c r="C152" s="99">
        <v>44085</v>
      </c>
      <c r="D152" s="108" t="s">
        <v>54</v>
      </c>
      <c r="E152" s="30" t="s">
        <v>198</v>
      </c>
      <c r="F152" s="31" t="s">
        <v>199</v>
      </c>
      <c r="G152" s="29">
        <v>39</v>
      </c>
      <c r="H152" s="29" t="s">
        <v>69</v>
      </c>
      <c r="I152" s="29" t="s">
        <v>33</v>
      </c>
      <c r="J152" s="29">
        <v>100</v>
      </c>
      <c r="K152" s="29"/>
      <c r="L152" s="29"/>
      <c r="M152" s="29"/>
      <c r="N152" s="97"/>
      <c r="O152" s="97"/>
      <c r="P152" s="97"/>
      <c r="Q152" s="97" t="s">
        <v>29</v>
      </c>
      <c r="R152" s="91" t="s">
        <v>70</v>
      </c>
      <c r="S152" s="97"/>
      <c r="T152" s="97" t="s">
        <v>29</v>
      </c>
      <c r="U152" s="97" t="s">
        <v>29</v>
      </c>
      <c r="V152" s="29" t="s">
        <v>431</v>
      </c>
      <c r="W152" s="29"/>
      <c r="Y152" s="39" t="e">
        <f t="shared" ref="Y152:Y168" si="2">IF(E152=E151,Y151,Y151+1)</f>
        <v>#REF!</v>
      </c>
    </row>
    <row r="153" spans="1:25" ht="39.950000000000003" customHeight="1">
      <c r="A153" s="5">
        <v>15</v>
      </c>
      <c r="B153" s="5" t="s">
        <v>889</v>
      </c>
      <c r="C153" s="98">
        <v>44085</v>
      </c>
      <c r="D153" s="108" t="s">
        <v>55</v>
      </c>
      <c r="E153" s="30" t="s">
        <v>94</v>
      </c>
      <c r="F153" s="31" t="s">
        <v>95</v>
      </c>
      <c r="G153" s="29">
        <v>64</v>
      </c>
      <c r="H153" s="29" t="s">
        <v>69</v>
      </c>
      <c r="I153" s="29" t="s">
        <v>21</v>
      </c>
      <c r="J153" s="29">
        <v>120</v>
      </c>
      <c r="K153" s="29"/>
      <c r="L153" s="29"/>
      <c r="M153" s="29"/>
      <c r="N153" s="97"/>
      <c r="O153" s="97"/>
      <c r="P153" s="97"/>
      <c r="Q153" s="97" t="s">
        <v>29</v>
      </c>
      <c r="R153" s="91" t="s">
        <v>70</v>
      </c>
      <c r="S153" s="97"/>
      <c r="T153" s="97"/>
      <c r="U153" s="97"/>
      <c r="V153" s="96" t="s">
        <v>432</v>
      </c>
      <c r="W153" s="29"/>
      <c r="Y153" s="39" t="e">
        <f t="shared" si="2"/>
        <v>#REF!</v>
      </c>
    </row>
    <row r="154" spans="1:25" ht="39.950000000000003" customHeight="1">
      <c r="A154" s="5">
        <v>15</v>
      </c>
      <c r="B154" s="5" t="s">
        <v>889</v>
      </c>
      <c r="C154" s="98">
        <v>44085</v>
      </c>
      <c r="D154" s="108" t="s">
        <v>56</v>
      </c>
      <c r="E154" s="30" t="s">
        <v>114</v>
      </c>
      <c r="F154" s="31" t="s">
        <v>115</v>
      </c>
      <c r="G154" s="29">
        <v>7</v>
      </c>
      <c r="H154" s="29" t="s">
        <v>69</v>
      </c>
      <c r="I154" s="29" t="s">
        <v>33</v>
      </c>
      <c r="J154" s="29">
        <v>100</v>
      </c>
      <c r="K154" s="29"/>
      <c r="L154" s="29"/>
      <c r="M154" s="29"/>
      <c r="N154" s="97"/>
      <c r="O154" s="97" t="s">
        <v>29</v>
      </c>
      <c r="P154" s="97"/>
      <c r="Q154" s="97"/>
      <c r="R154" s="91" t="s">
        <v>70</v>
      </c>
      <c r="S154" s="97"/>
      <c r="T154" s="97" t="s">
        <v>29</v>
      </c>
      <c r="U154" s="97" t="s">
        <v>29</v>
      </c>
      <c r="V154" s="29" t="s">
        <v>433</v>
      </c>
      <c r="W154" s="29"/>
      <c r="Y154" s="39" t="e">
        <f t="shared" si="2"/>
        <v>#REF!</v>
      </c>
    </row>
    <row r="155" spans="1:25" ht="39.950000000000003" customHeight="1">
      <c r="A155" s="5">
        <v>15</v>
      </c>
      <c r="B155" s="5" t="s">
        <v>889</v>
      </c>
      <c r="C155" s="98">
        <v>44085</v>
      </c>
      <c r="D155" s="108" t="s">
        <v>57</v>
      </c>
      <c r="E155" s="30" t="s">
        <v>71</v>
      </c>
      <c r="F155" s="31" t="s">
        <v>75</v>
      </c>
      <c r="G155" s="29">
        <v>24</v>
      </c>
      <c r="H155" s="29" t="s">
        <v>69</v>
      </c>
      <c r="I155" s="29" t="s">
        <v>28</v>
      </c>
      <c r="J155" s="29">
        <v>230</v>
      </c>
      <c r="K155" s="29"/>
      <c r="L155" s="29"/>
      <c r="M155" s="29"/>
      <c r="N155" s="97"/>
      <c r="O155" s="97"/>
      <c r="P155" s="97"/>
      <c r="Q155" s="97"/>
      <c r="R155" s="91" t="s">
        <v>70</v>
      </c>
      <c r="S155" s="97" t="s">
        <v>29</v>
      </c>
      <c r="T155" s="97"/>
      <c r="U155" s="97"/>
      <c r="V155" s="29" t="s">
        <v>773</v>
      </c>
      <c r="W155" s="29"/>
      <c r="Y155" s="39" t="e">
        <f>IF(E155=E153,Y153,Y153+1)</f>
        <v>#REF!</v>
      </c>
    </row>
    <row r="156" spans="1:25" ht="39.950000000000003" customHeight="1">
      <c r="A156" s="5">
        <v>15</v>
      </c>
      <c r="B156" s="5" t="s">
        <v>890</v>
      </c>
      <c r="C156" s="98">
        <v>44085</v>
      </c>
      <c r="D156" s="108" t="s">
        <v>57</v>
      </c>
      <c r="E156" s="30" t="s">
        <v>71</v>
      </c>
      <c r="F156" s="31" t="s">
        <v>75</v>
      </c>
      <c r="G156" s="29">
        <v>20</v>
      </c>
      <c r="H156" s="29" t="s">
        <v>69</v>
      </c>
      <c r="I156" s="29" t="s">
        <v>28</v>
      </c>
      <c r="J156" s="29">
        <v>230</v>
      </c>
      <c r="K156" s="29"/>
      <c r="L156" s="29"/>
      <c r="M156" s="29"/>
      <c r="N156" s="97"/>
      <c r="O156" s="97"/>
      <c r="P156" s="97"/>
      <c r="Q156" s="97"/>
      <c r="R156" s="91" t="s">
        <v>70</v>
      </c>
      <c r="S156" s="97" t="s">
        <v>29</v>
      </c>
      <c r="T156" s="97"/>
      <c r="U156" s="97"/>
      <c r="V156" s="29" t="s">
        <v>773</v>
      </c>
      <c r="W156" s="29"/>
      <c r="Y156" s="39" t="e">
        <f>IF(E156=E154,Y154,Y154+1)</f>
        <v>#REF!</v>
      </c>
    </row>
    <row r="157" spans="1:25" ht="39.950000000000003" customHeight="1">
      <c r="A157" s="5">
        <v>15</v>
      </c>
      <c r="B157" s="5" t="s">
        <v>890</v>
      </c>
      <c r="C157" s="98">
        <v>44085</v>
      </c>
      <c r="D157" s="108" t="s">
        <v>58</v>
      </c>
      <c r="E157" s="30" t="s">
        <v>198</v>
      </c>
      <c r="F157" s="31" t="s">
        <v>199</v>
      </c>
      <c r="G157" s="29">
        <v>53</v>
      </c>
      <c r="H157" s="29" t="s">
        <v>69</v>
      </c>
      <c r="I157" s="29" t="s">
        <v>33</v>
      </c>
      <c r="J157" s="29">
        <v>100</v>
      </c>
      <c r="K157" s="29"/>
      <c r="L157" s="29"/>
      <c r="M157" s="29"/>
      <c r="N157" s="97"/>
      <c r="O157" s="97"/>
      <c r="P157" s="97"/>
      <c r="Q157" s="97" t="s">
        <v>29</v>
      </c>
      <c r="R157" s="91" t="s">
        <v>70</v>
      </c>
      <c r="S157" s="97"/>
      <c r="T157" s="97" t="s">
        <v>29</v>
      </c>
      <c r="U157" s="97" t="s">
        <v>29</v>
      </c>
      <c r="V157" s="29" t="s">
        <v>434</v>
      </c>
      <c r="W157" s="29"/>
      <c r="Y157" s="39" t="e">
        <f t="shared" si="2"/>
        <v>#REF!</v>
      </c>
    </row>
    <row r="158" spans="1:25" ht="39.950000000000003" customHeight="1">
      <c r="A158" s="5">
        <v>15</v>
      </c>
      <c r="B158" s="5" t="s">
        <v>890</v>
      </c>
      <c r="C158" s="98">
        <v>44085</v>
      </c>
      <c r="D158" s="108" t="s">
        <v>59</v>
      </c>
      <c r="E158" s="30" t="s">
        <v>96</v>
      </c>
      <c r="F158" s="31" t="s">
        <v>97</v>
      </c>
      <c r="G158" s="29">
        <v>53</v>
      </c>
      <c r="H158" s="29" t="s">
        <v>69</v>
      </c>
      <c r="I158" s="29" t="s">
        <v>21</v>
      </c>
      <c r="J158" s="29">
        <v>120</v>
      </c>
      <c r="K158" s="29"/>
      <c r="L158" s="29"/>
      <c r="M158" s="29"/>
      <c r="N158" s="97"/>
      <c r="O158" s="97"/>
      <c r="P158" s="97"/>
      <c r="Q158" s="97" t="s">
        <v>29</v>
      </c>
      <c r="R158" s="91" t="s">
        <v>70</v>
      </c>
      <c r="S158" s="97"/>
      <c r="T158" s="97"/>
      <c r="U158" s="97"/>
      <c r="V158" s="96" t="s">
        <v>435</v>
      </c>
      <c r="W158" s="29"/>
      <c r="Y158" s="39" t="e">
        <f t="shared" si="2"/>
        <v>#REF!</v>
      </c>
    </row>
    <row r="159" spans="1:25" ht="39.950000000000003" customHeight="1">
      <c r="C159" s="132"/>
      <c r="D159" s="108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1"/>
      <c r="S159" s="97"/>
      <c r="T159" s="97"/>
      <c r="U159" s="97"/>
      <c r="V159" s="96"/>
      <c r="W159" s="29"/>
      <c r="Y159" s="39" t="e">
        <f t="shared" si="2"/>
        <v>#REF!</v>
      </c>
    </row>
    <row r="160" spans="1:25" ht="39.950000000000003" customHeight="1">
      <c r="C160" s="133"/>
      <c r="D160" s="108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1"/>
      <c r="S160" s="97"/>
      <c r="T160" s="97"/>
      <c r="U160" s="97"/>
      <c r="V160" s="29"/>
      <c r="W160" s="29"/>
      <c r="Y160" s="39" t="e">
        <f t="shared" si="2"/>
        <v>#REF!</v>
      </c>
    </row>
    <row r="161" spans="3:25" ht="39.950000000000003" customHeight="1">
      <c r="C161" s="133"/>
      <c r="D161" s="108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1"/>
      <c r="S161" s="97"/>
      <c r="T161" s="97"/>
      <c r="U161" s="97"/>
      <c r="V161" s="29"/>
      <c r="W161" s="29"/>
      <c r="Y161" s="39" t="e">
        <f t="shared" si="2"/>
        <v>#REF!</v>
      </c>
    </row>
    <row r="162" spans="3:25" ht="39.950000000000003" customHeight="1">
      <c r="C162" s="134"/>
      <c r="D162" s="110"/>
      <c r="E162" s="34"/>
      <c r="F162" s="32"/>
      <c r="G162" s="33"/>
      <c r="H162" s="33"/>
      <c r="I162" s="33"/>
      <c r="J162" s="33"/>
      <c r="K162" s="33"/>
      <c r="L162" s="33"/>
      <c r="M162" s="33"/>
      <c r="N162" s="100"/>
      <c r="O162" s="100"/>
      <c r="P162" s="100"/>
      <c r="Q162" s="100"/>
      <c r="R162" s="100"/>
      <c r="S162" s="100"/>
      <c r="T162" s="100"/>
      <c r="U162" s="100"/>
      <c r="V162" s="33"/>
      <c r="W162" s="33"/>
      <c r="Y162" s="39" t="e">
        <f t="shared" si="2"/>
        <v>#REF!</v>
      </c>
    </row>
    <row r="163" spans="3:25" ht="20.25" customHeight="1">
      <c r="C163" s="47"/>
      <c r="Y163" s="39" t="e">
        <f t="shared" si="2"/>
        <v>#REF!</v>
      </c>
    </row>
    <row r="164" spans="3:25" ht="20.25" customHeight="1">
      <c r="C164" s="47"/>
      <c r="Y164" s="39" t="e">
        <f t="shared" si="2"/>
        <v>#REF!</v>
      </c>
    </row>
    <row r="165" spans="3:25" ht="20.25" customHeight="1">
      <c r="C165" s="101"/>
      <c r="Y165" s="39" t="e">
        <f t="shared" si="2"/>
        <v>#REF!</v>
      </c>
    </row>
    <row r="166" spans="3:25" ht="20.25" customHeight="1">
      <c r="C166" s="47"/>
      <c r="Y166" s="39" t="e">
        <f t="shared" si="2"/>
        <v>#REF!</v>
      </c>
    </row>
    <row r="167" spans="3:25" ht="20.25" customHeight="1">
      <c r="C167" s="47"/>
      <c r="Y167" s="39" t="e">
        <f t="shared" si="2"/>
        <v>#REF!</v>
      </c>
    </row>
    <row r="168" spans="3:25" ht="20.25" customHeight="1">
      <c r="C168" s="47"/>
      <c r="Y168" s="39" t="e">
        <f t="shared" si="2"/>
        <v>#REF!</v>
      </c>
    </row>
    <row r="169" spans="3:25" ht="20.25" customHeight="1">
      <c r="C169" s="47"/>
    </row>
    <row r="170" spans="3:25" ht="20.25" customHeight="1">
      <c r="C170" s="101"/>
    </row>
    <row r="171" spans="3:25" ht="20.25" customHeight="1">
      <c r="C171" s="47"/>
    </row>
    <row r="172" spans="3:25" ht="20.25" customHeight="1">
      <c r="C172" s="47"/>
    </row>
    <row r="173" spans="3:25" ht="20.25" customHeight="1">
      <c r="C173" s="47"/>
    </row>
    <row r="174" spans="3:25" ht="20.25" customHeight="1">
      <c r="C174" s="47"/>
    </row>
    <row r="175" spans="3:25" ht="20.25" customHeight="1">
      <c r="C175" s="47"/>
    </row>
    <row r="176" spans="3:25" ht="20.25" customHeight="1">
      <c r="C176" s="47"/>
    </row>
    <row r="177" spans="3:3" ht="20.25" customHeight="1">
      <c r="C177" s="101"/>
    </row>
    <row r="178" spans="3:3" ht="20.25" customHeight="1">
      <c r="C178" s="47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101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101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101"/>
    </row>
    <row r="190" spans="3:3" ht="20.25" customHeight="1">
      <c r="C190" s="47"/>
    </row>
    <row r="191" spans="3:3" ht="20.25" customHeight="1">
      <c r="C191" s="101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47"/>
    </row>
    <row r="195" spans="3:3" ht="20.25" customHeight="1">
      <c r="C195" s="101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47"/>
    </row>
    <row r="200" spans="3:3" ht="20.25" customHeight="1">
      <c r="C200" s="47"/>
    </row>
    <row r="201" spans="3:3" ht="20.25" customHeight="1">
      <c r="C201" s="101"/>
    </row>
    <row r="202" spans="3:3" ht="20.25" customHeight="1">
      <c r="C202" s="47"/>
    </row>
    <row r="203" spans="3:3" ht="20.25" customHeight="1">
      <c r="C203" s="101"/>
    </row>
    <row r="204" spans="3:3" ht="20.25" customHeight="1">
      <c r="C204" s="47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101"/>
    </row>
    <row r="208" spans="3:3" ht="20.25" customHeight="1">
      <c r="C208" s="47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101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47"/>
    </row>
    <row r="215" spans="3:3" ht="20.25" customHeight="1">
      <c r="C215" s="101"/>
    </row>
    <row r="216" spans="3:3" ht="20.25" customHeight="1">
      <c r="C216" s="47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101"/>
    </row>
    <row r="220" spans="3:3" ht="20.25" customHeight="1">
      <c r="C220" s="47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101"/>
    </row>
    <row r="228" spans="3:3" ht="20.25" customHeight="1">
      <c r="C228" s="47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47"/>
    </row>
    <row r="233" spans="3:3" ht="20.25" customHeight="1">
      <c r="C233" s="47"/>
    </row>
    <row r="234" spans="3:3" ht="20.25" customHeight="1">
      <c r="C234" s="101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47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47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101"/>
    </row>
    <row r="246" spans="3:3" ht="20.25" customHeight="1">
      <c r="C246" s="47"/>
    </row>
    <row r="247" spans="3:3" ht="20.25" customHeight="1">
      <c r="C247" s="47"/>
    </row>
    <row r="248" spans="3:3" ht="20.25" customHeight="1">
      <c r="C248" s="47"/>
    </row>
    <row r="249" spans="3:3" ht="20.25" customHeight="1">
      <c r="C249" s="101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101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101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101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101"/>
    </row>
    <row r="284" spans="3:3" ht="20.25" customHeight="1">
      <c r="C284" s="47"/>
    </row>
    <row r="285" spans="3:3" ht="20.25" customHeight="1">
      <c r="C285" s="47"/>
    </row>
    <row r="286" spans="3:3" ht="20.25" customHeight="1">
      <c r="C286" s="47"/>
    </row>
  </sheetData>
  <autoFilter ref="C6:AD162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11 E13:G14 E16:G18 E20:G20 E22:G24 E26:G27 E29:G30 E32:G32 E34:G35 E37:G39 E41:G44 E46:G47 E49:G52 E54:G56 E58:G59 E61:G61 E63:G64 E66:G67 E69:G70 E72:G72 E74:G76 E78:G79 E81:G85 E87:G88 E90:G93 E95:G98 E100:G102 E104:G106 E108:G109 E111:G112 E114:G115 E117:G119 E121:G122 E124:G127 E129:G130 E132:G135 E137:G138 E140:G143 E145:G145 E147:G149 E151:G154 E156:G158">
    <cfRule type="expression" dxfId="294" priority="125">
      <formula>MOD($Y7,2)=0</formula>
    </cfRule>
  </conditionalFormatting>
  <conditionalFormatting sqref="C7:W11 C13:W14 C16:W18 C20:W20 C22:W24 C26:W27 C29:W30 C32:W32 C34:W35 C37:W39 C41:W44 C46:W47 C49:W52 C54:W56 C58:W59 C61:W61 C63:W64 C66:W67 C69:W70 C72:W72 C74:W76 C78:W79 C81:W85 C87:W88 C90:W93 C95:W98 C100:W102 C104:W106 C108:W109 C111:W112 C114:W115 C117:W119 C121:W122 C124:W127 C129:W130 C132:W135 C137:W138 C140:W143 C145:W145 C147:W149 C151:W154 C156:W158">
    <cfRule type="expression" dxfId="293" priority="124">
      <formula>$X7="OK"</formula>
    </cfRule>
    <cfRule type="expression" dxfId="292" priority="126">
      <formula>OR($D7="1",$D7=1)</formula>
    </cfRule>
  </conditionalFormatting>
  <conditionalFormatting sqref="E12:G12">
    <cfRule type="expression" dxfId="291" priority="122">
      <formula>MOD($Y12,2)=0</formula>
    </cfRule>
  </conditionalFormatting>
  <conditionalFormatting sqref="C12:W12">
    <cfRule type="expression" dxfId="290" priority="121">
      <formula>$X12="OK"</formula>
    </cfRule>
    <cfRule type="expression" dxfId="289" priority="123">
      <formula>OR($D12="1",$D12=1)</formula>
    </cfRule>
  </conditionalFormatting>
  <conditionalFormatting sqref="E15:G15">
    <cfRule type="expression" dxfId="288" priority="119">
      <formula>MOD($Y15,2)=0</formula>
    </cfRule>
  </conditionalFormatting>
  <conditionalFormatting sqref="C15:W15">
    <cfRule type="expression" dxfId="287" priority="118">
      <formula>$X15="OK"</formula>
    </cfRule>
    <cfRule type="expression" dxfId="286" priority="120">
      <formula>OR($D15="1",$D15=1)</formula>
    </cfRule>
  </conditionalFormatting>
  <conditionalFormatting sqref="E19:G19">
    <cfRule type="expression" dxfId="285" priority="116">
      <formula>MOD($Y19,2)=0</formula>
    </cfRule>
  </conditionalFormatting>
  <conditionalFormatting sqref="C19:W19">
    <cfRule type="expression" dxfId="284" priority="115">
      <formula>$X19="OK"</formula>
    </cfRule>
    <cfRule type="expression" dxfId="283" priority="117">
      <formula>OR($D19="1",$D19=1)</formula>
    </cfRule>
  </conditionalFormatting>
  <conditionalFormatting sqref="E21:G21">
    <cfRule type="expression" dxfId="282" priority="113">
      <formula>MOD($Y21,2)=0</formula>
    </cfRule>
  </conditionalFormatting>
  <conditionalFormatting sqref="C21:W21">
    <cfRule type="expression" dxfId="281" priority="112">
      <formula>$X21="OK"</formula>
    </cfRule>
    <cfRule type="expression" dxfId="280" priority="114">
      <formula>OR($D21="1",$D21=1)</formula>
    </cfRule>
  </conditionalFormatting>
  <conditionalFormatting sqref="E25:G25">
    <cfRule type="expression" dxfId="279" priority="110">
      <formula>MOD($Y25,2)=0</formula>
    </cfRule>
  </conditionalFormatting>
  <conditionalFormatting sqref="C25:W25">
    <cfRule type="expression" dxfId="278" priority="109">
      <formula>$X25="OK"</formula>
    </cfRule>
    <cfRule type="expression" dxfId="277" priority="111">
      <formula>OR($D25="1",$D25=1)</formula>
    </cfRule>
  </conditionalFormatting>
  <conditionalFormatting sqref="E28:G28">
    <cfRule type="expression" dxfId="276" priority="107">
      <formula>MOD($Y28,2)=0</formula>
    </cfRule>
  </conditionalFormatting>
  <conditionalFormatting sqref="C28:W28">
    <cfRule type="expression" dxfId="275" priority="106">
      <formula>$X28="OK"</formula>
    </cfRule>
    <cfRule type="expression" dxfId="274" priority="108">
      <formula>OR($D28="1",$D28=1)</formula>
    </cfRule>
  </conditionalFormatting>
  <conditionalFormatting sqref="E31:G31">
    <cfRule type="expression" dxfId="273" priority="104">
      <formula>MOD($Y31,2)=0</formula>
    </cfRule>
  </conditionalFormatting>
  <conditionalFormatting sqref="C31:W31">
    <cfRule type="expression" dxfId="272" priority="103">
      <formula>$X31="OK"</formula>
    </cfRule>
    <cfRule type="expression" dxfId="271" priority="105">
      <formula>OR($D31="1",$D31=1)</formula>
    </cfRule>
  </conditionalFormatting>
  <conditionalFormatting sqref="E33:G33">
    <cfRule type="expression" dxfId="270" priority="101">
      <formula>MOD($Y33,2)=0</formula>
    </cfRule>
  </conditionalFormatting>
  <conditionalFormatting sqref="C33:W33">
    <cfRule type="expression" dxfId="269" priority="100">
      <formula>$X33="OK"</formula>
    </cfRule>
    <cfRule type="expression" dxfId="268" priority="102">
      <formula>OR($D33="1",$D33=1)</formula>
    </cfRule>
  </conditionalFormatting>
  <conditionalFormatting sqref="E36:G36">
    <cfRule type="expression" dxfId="267" priority="98">
      <formula>MOD($Y36,2)=0</formula>
    </cfRule>
  </conditionalFormatting>
  <conditionalFormatting sqref="C36:W36">
    <cfRule type="expression" dxfId="266" priority="97">
      <formula>$X36="OK"</formula>
    </cfRule>
    <cfRule type="expression" dxfId="265" priority="99">
      <formula>OR($D36="1",$D36=1)</formula>
    </cfRule>
  </conditionalFormatting>
  <conditionalFormatting sqref="E40:G40">
    <cfRule type="expression" dxfId="264" priority="95">
      <formula>MOD($Y40,2)=0</formula>
    </cfRule>
  </conditionalFormatting>
  <conditionalFormatting sqref="C40:W40">
    <cfRule type="expression" dxfId="263" priority="94">
      <formula>$X40="OK"</formula>
    </cfRule>
    <cfRule type="expression" dxfId="262" priority="96">
      <formula>OR($D40="1",$D40=1)</formula>
    </cfRule>
  </conditionalFormatting>
  <conditionalFormatting sqref="E45:G45">
    <cfRule type="expression" dxfId="261" priority="92">
      <formula>MOD($Y45,2)=0</formula>
    </cfRule>
  </conditionalFormatting>
  <conditionalFormatting sqref="C45:W45">
    <cfRule type="expression" dxfId="260" priority="91">
      <formula>$X45="OK"</formula>
    </cfRule>
    <cfRule type="expression" dxfId="259" priority="93">
      <formula>OR($D45="1",$D45=1)</formula>
    </cfRule>
  </conditionalFormatting>
  <conditionalFormatting sqref="E48:G48">
    <cfRule type="expression" dxfId="258" priority="89">
      <formula>MOD($Y48,2)=0</formula>
    </cfRule>
  </conditionalFormatting>
  <conditionalFormatting sqref="C48:W48">
    <cfRule type="expression" dxfId="257" priority="88">
      <formula>$X48="OK"</formula>
    </cfRule>
    <cfRule type="expression" dxfId="256" priority="90">
      <formula>OR($D48="1",$D48=1)</formula>
    </cfRule>
  </conditionalFormatting>
  <conditionalFormatting sqref="E53:G53">
    <cfRule type="expression" dxfId="255" priority="86">
      <formula>MOD($Y53,2)=0</formula>
    </cfRule>
  </conditionalFormatting>
  <conditionalFormatting sqref="C53:W53">
    <cfRule type="expression" dxfId="254" priority="85">
      <formula>$X53="OK"</formula>
    </cfRule>
    <cfRule type="expression" dxfId="253" priority="87">
      <formula>OR($D53="1",$D53=1)</formula>
    </cfRule>
  </conditionalFormatting>
  <conditionalFormatting sqref="E57:G57">
    <cfRule type="expression" dxfId="252" priority="83">
      <formula>MOD($Y57,2)=0</formula>
    </cfRule>
  </conditionalFormatting>
  <conditionalFormatting sqref="C57:W57">
    <cfRule type="expression" dxfId="251" priority="82">
      <formula>$X57="OK"</formula>
    </cfRule>
    <cfRule type="expression" dxfId="250" priority="84">
      <formula>OR($D57="1",$D57=1)</formula>
    </cfRule>
  </conditionalFormatting>
  <conditionalFormatting sqref="E60:G60">
    <cfRule type="expression" dxfId="249" priority="80">
      <formula>MOD($Y60,2)=0</formula>
    </cfRule>
  </conditionalFormatting>
  <conditionalFormatting sqref="C60:W60">
    <cfRule type="expression" dxfId="248" priority="79">
      <formula>$X60="OK"</formula>
    </cfRule>
    <cfRule type="expression" dxfId="247" priority="81">
      <formula>OR($D60="1",$D60=1)</formula>
    </cfRule>
  </conditionalFormatting>
  <conditionalFormatting sqref="E62:G62">
    <cfRule type="expression" dxfId="246" priority="77">
      <formula>MOD($Y62,2)=0</formula>
    </cfRule>
  </conditionalFormatting>
  <conditionalFormatting sqref="C62:W62">
    <cfRule type="expression" dxfId="245" priority="76">
      <formula>$X62="OK"</formula>
    </cfRule>
    <cfRule type="expression" dxfId="244" priority="78">
      <formula>OR($D62="1",$D62=1)</formula>
    </cfRule>
  </conditionalFormatting>
  <conditionalFormatting sqref="E65:G65">
    <cfRule type="expression" dxfId="243" priority="74">
      <formula>MOD($Y65,2)=0</formula>
    </cfRule>
  </conditionalFormatting>
  <conditionalFormatting sqref="C65:W65">
    <cfRule type="expression" dxfId="242" priority="73">
      <formula>$X65="OK"</formula>
    </cfRule>
    <cfRule type="expression" dxfId="241" priority="75">
      <formula>OR($D65="1",$D65=1)</formula>
    </cfRule>
  </conditionalFormatting>
  <conditionalFormatting sqref="E68:G68">
    <cfRule type="expression" dxfId="240" priority="71">
      <formula>MOD($Y68,2)=0</formula>
    </cfRule>
  </conditionalFormatting>
  <conditionalFormatting sqref="C68:W68">
    <cfRule type="expression" dxfId="239" priority="70">
      <formula>$X68="OK"</formula>
    </cfRule>
    <cfRule type="expression" dxfId="238" priority="72">
      <formula>OR($D68="1",$D68=1)</formula>
    </cfRule>
  </conditionalFormatting>
  <conditionalFormatting sqref="E71:G71">
    <cfRule type="expression" dxfId="237" priority="68">
      <formula>MOD($Y71,2)=0</formula>
    </cfRule>
  </conditionalFormatting>
  <conditionalFormatting sqref="C71:W71">
    <cfRule type="expression" dxfId="236" priority="67">
      <formula>$X71="OK"</formula>
    </cfRule>
    <cfRule type="expression" dxfId="235" priority="69">
      <formula>OR($D71="1",$D71=1)</formula>
    </cfRule>
  </conditionalFormatting>
  <conditionalFormatting sqref="E73:G73">
    <cfRule type="expression" dxfId="234" priority="65">
      <formula>MOD($Y73,2)=0</formula>
    </cfRule>
  </conditionalFormatting>
  <conditionalFormatting sqref="C73:W73">
    <cfRule type="expression" dxfId="233" priority="64">
      <formula>$X73="OK"</formula>
    </cfRule>
    <cfRule type="expression" dxfId="232" priority="66">
      <formula>OR($D73="1",$D73=1)</formula>
    </cfRule>
  </conditionalFormatting>
  <conditionalFormatting sqref="E77:G77">
    <cfRule type="expression" dxfId="231" priority="62">
      <formula>MOD($Y77,2)=0</formula>
    </cfRule>
  </conditionalFormatting>
  <conditionalFormatting sqref="C77:W77">
    <cfRule type="expression" dxfId="230" priority="61">
      <formula>$X77="OK"</formula>
    </cfRule>
    <cfRule type="expression" dxfId="229" priority="63">
      <formula>OR($D77="1",$D77=1)</formula>
    </cfRule>
  </conditionalFormatting>
  <conditionalFormatting sqref="E80:G80">
    <cfRule type="expression" dxfId="228" priority="59">
      <formula>MOD($Y80,2)=0</formula>
    </cfRule>
  </conditionalFormatting>
  <conditionalFormatting sqref="C80:W80">
    <cfRule type="expression" dxfId="227" priority="58">
      <formula>$X80="OK"</formula>
    </cfRule>
    <cfRule type="expression" dxfId="226" priority="60">
      <formula>OR($D80="1",$D80=1)</formula>
    </cfRule>
  </conditionalFormatting>
  <conditionalFormatting sqref="E86:G86">
    <cfRule type="expression" dxfId="225" priority="56">
      <formula>MOD($Y86,2)=0</formula>
    </cfRule>
  </conditionalFormatting>
  <conditionalFormatting sqref="C86:W86">
    <cfRule type="expression" dxfId="224" priority="55">
      <formula>$X86="OK"</formula>
    </cfRule>
    <cfRule type="expression" dxfId="223" priority="57">
      <formula>OR($D86="1",$D86=1)</formula>
    </cfRule>
  </conditionalFormatting>
  <conditionalFormatting sqref="E89:G89">
    <cfRule type="expression" dxfId="222" priority="53">
      <formula>MOD($Y89,2)=0</formula>
    </cfRule>
  </conditionalFormatting>
  <conditionalFormatting sqref="C89:W89">
    <cfRule type="expression" dxfId="221" priority="52">
      <formula>$X89="OK"</formula>
    </cfRule>
    <cfRule type="expression" dxfId="220" priority="54">
      <formula>OR($D89="1",$D89=1)</formula>
    </cfRule>
  </conditionalFormatting>
  <conditionalFormatting sqref="E94:G94">
    <cfRule type="expression" dxfId="219" priority="50">
      <formula>MOD($Y94,2)=0</formula>
    </cfRule>
  </conditionalFormatting>
  <conditionalFormatting sqref="C94:W94">
    <cfRule type="expression" dxfId="218" priority="49">
      <formula>$X94="OK"</formula>
    </cfRule>
    <cfRule type="expression" dxfId="217" priority="51">
      <formula>OR($D94="1",$D94=1)</formula>
    </cfRule>
  </conditionalFormatting>
  <conditionalFormatting sqref="E99:G99">
    <cfRule type="expression" dxfId="216" priority="47">
      <formula>MOD($Y99,2)=0</formula>
    </cfRule>
  </conditionalFormatting>
  <conditionalFormatting sqref="C99:W99">
    <cfRule type="expression" dxfId="215" priority="46">
      <formula>$X99="OK"</formula>
    </cfRule>
    <cfRule type="expression" dxfId="214" priority="48">
      <formula>OR($D99="1",$D99=1)</formula>
    </cfRule>
  </conditionalFormatting>
  <conditionalFormatting sqref="E103:G103">
    <cfRule type="expression" dxfId="213" priority="44">
      <formula>MOD($Y103,2)=0</formula>
    </cfRule>
  </conditionalFormatting>
  <conditionalFormatting sqref="C103:W103">
    <cfRule type="expression" dxfId="212" priority="43">
      <formula>$X103="OK"</formula>
    </cfRule>
    <cfRule type="expression" dxfId="211" priority="45">
      <formula>OR($D103="1",$D103=1)</formula>
    </cfRule>
  </conditionalFormatting>
  <conditionalFormatting sqref="E107:G107">
    <cfRule type="expression" dxfId="210" priority="41">
      <formula>MOD($Y107,2)=0</formula>
    </cfRule>
  </conditionalFormatting>
  <conditionalFormatting sqref="C107:W107">
    <cfRule type="expression" dxfId="209" priority="40">
      <formula>$X107="OK"</formula>
    </cfRule>
    <cfRule type="expression" dxfId="208" priority="42">
      <formula>OR($D107="1",$D107=1)</formula>
    </cfRule>
  </conditionalFormatting>
  <conditionalFormatting sqref="E110:G110">
    <cfRule type="expression" dxfId="207" priority="38">
      <formula>MOD($Y110,2)=0</formula>
    </cfRule>
  </conditionalFormatting>
  <conditionalFormatting sqref="C110:W110">
    <cfRule type="expression" dxfId="206" priority="37">
      <formula>$X110="OK"</formula>
    </cfRule>
    <cfRule type="expression" dxfId="205" priority="39">
      <formula>OR($D110="1",$D110=1)</formula>
    </cfRule>
  </conditionalFormatting>
  <conditionalFormatting sqref="E113:G113">
    <cfRule type="expression" dxfId="204" priority="35">
      <formula>MOD($Y113,2)=0</formula>
    </cfRule>
  </conditionalFormatting>
  <conditionalFormatting sqref="C113:W113">
    <cfRule type="expression" dxfId="203" priority="34">
      <formula>$X113="OK"</formula>
    </cfRule>
    <cfRule type="expression" dxfId="202" priority="36">
      <formula>OR($D113="1",$D113=1)</formula>
    </cfRule>
  </conditionalFormatting>
  <conditionalFormatting sqref="E116:G116">
    <cfRule type="expression" dxfId="201" priority="32">
      <formula>MOD($Y116,2)=0</formula>
    </cfRule>
  </conditionalFormatting>
  <conditionalFormatting sqref="C116:W116">
    <cfRule type="expression" dxfId="200" priority="31">
      <formula>$X116="OK"</formula>
    </cfRule>
    <cfRule type="expression" dxfId="199" priority="33">
      <formula>OR($D116="1",$D116=1)</formula>
    </cfRule>
  </conditionalFormatting>
  <conditionalFormatting sqref="E120:G120">
    <cfRule type="expression" dxfId="198" priority="29">
      <formula>MOD($Y120,2)=0</formula>
    </cfRule>
  </conditionalFormatting>
  <conditionalFormatting sqref="C120:W120">
    <cfRule type="expression" dxfId="197" priority="28">
      <formula>$X120="OK"</formula>
    </cfRule>
    <cfRule type="expression" dxfId="196" priority="30">
      <formula>OR($D120="1",$D120=1)</formula>
    </cfRule>
  </conditionalFormatting>
  <conditionalFormatting sqref="E123:G123">
    <cfRule type="expression" dxfId="195" priority="26">
      <formula>MOD($Y123,2)=0</formula>
    </cfRule>
  </conditionalFormatting>
  <conditionalFormatting sqref="C123:W123">
    <cfRule type="expression" dxfId="194" priority="25">
      <formula>$X123="OK"</formula>
    </cfRule>
    <cfRule type="expression" dxfId="193" priority="27">
      <formula>OR($D123="1",$D123=1)</formula>
    </cfRule>
  </conditionalFormatting>
  <conditionalFormatting sqref="E128:G128">
    <cfRule type="expression" dxfId="192" priority="23">
      <formula>MOD($Y128,2)=0</formula>
    </cfRule>
  </conditionalFormatting>
  <conditionalFormatting sqref="C128:W128">
    <cfRule type="expression" dxfId="191" priority="22">
      <formula>$X128="OK"</formula>
    </cfRule>
    <cfRule type="expression" dxfId="190" priority="24">
      <formula>OR($D128="1",$D128=1)</formula>
    </cfRule>
  </conditionalFormatting>
  <conditionalFormatting sqref="E131:G131">
    <cfRule type="expression" dxfId="189" priority="20">
      <formula>MOD($Y131,2)=0</formula>
    </cfRule>
  </conditionalFormatting>
  <conditionalFormatting sqref="C131:W131">
    <cfRule type="expression" dxfId="188" priority="19">
      <formula>$X131="OK"</formula>
    </cfRule>
    <cfRule type="expression" dxfId="187" priority="21">
      <formula>OR($D131="1",$D131=1)</formula>
    </cfRule>
  </conditionalFormatting>
  <conditionalFormatting sqref="E136:G136">
    <cfRule type="expression" dxfId="186" priority="17">
      <formula>MOD($Y136,2)=0</formula>
    </cfRule>
  </conditionalFormatting>
  <conditionalFormatting sqref="C136:W136">
    <cfRule type="expression" dxfId="185" priority="16">
      <formula>$X136="OK"</formula>
    </cfRule>
    <cfRule type="expression" dxfId="184" priority="18">
      <formula>OR($D136="1",$D136=1)</formula>
    </cfRule>
  </conditionalFormatting>
  <conditionalFormatting sqref="E139:G139">
    <cfRule type="expression" dxfId="183" priority="14">
      <formula>MOD($Y139,2)=0</formula>
    </cfRule>
  </conditionalFormatting>
  <conditionalFormatting sqref="C139:W139">
    <cfRule type="expression" dxfId="182" priority="13">
      <formula>$X139="OK"</formula>
    </cfRule>
    <cfRule type="expression" dxfId="181" priority="15">
      <formula>OR($D139="1",$D139=1)</formula>
    </cfRule>
  </conditionalFormatting>
  <conditionalFormatting sqref="E144:G144">
    <cfRule type="expression" dxfId="180" priority="11">
      <formula>MOD($Y144,2)=0</formula>
    </cfRule>
  </conditionalFormatting>
  <conditionalFormatting sqref="C144:W144">
    <cfRule type="expression" dxfId="179" priority="10">
      <formula>$X144="OK"</formula>
    </cfRule>
    <cfRule type="expression" dxfId="178" priority="12">
      <formula>OR($D144="1",$D144=1)</formula>
    </cfRule>
  </conditionalFormatting>
  <conditionalFormatting sqref="E146:G146">
    <cfRule type="expression" dxfId="177" priority="8">
      <formula>MOD($Y146,2)=0</formula>
    </cfRule>
  </conditionalFormatting>
  <conditionalFormatting sqref="C146:W146">
    <cfRule type="expression" dxfId="176" priority="7">
      <formula>$X146="OK"</formula>
    </cfRule>
    <cfRule type="expression" dxfId="175" priority="9">
      <formula>OR($D146="1",$D146=1)</formula>
    </cfRule>
  </conditionalFormatting>
  <conditionalFormatting sqref="E150:G150">
    <cfRule type="expression" dxfId="174" priority="5">
      <formula>MOD($Y150,2)=0</formula>
    </cfRule>
  </conditionalFormatting>
  <conditionalFormatting sqref="C150:W150">
    <cfRule type="expression" dxfId="173" priority="4">
      <formula>$X150="OK"</formula>
    </cfRule>
    <cfRule type="expression" dxfId="172" priority="6">
      <formula>OR($D150="1",$D150=1)</formula>
    </cfRule>
  </conditionalFormatting>
  <conditionalFormatting sqref="E155:G155">
    <cfRule type="expression" dxfId="171" priority="2">
      <formula>MOD($Y155,2)=0</formula>
    </cfRule>
  </conditionalFormatting>
  <conditionalFormatting sqref="C155:W155">
    <cfRule type="expression" dxfId="170" priority="1">
      <formula>$X155="OK"</formula>
    </cfRule>
    <cfRule type="expression" dxfId="169" priority="3">
      <formula>OR($D155="1",$D155=1)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2" manualBreakCount="2">
    <brk id="49" min="2" max="22" man="1"/>
    <brk id="126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945" r:id="rId4" name="Button 1">
              <controlPr defaultSize="0" print="0" autoFill="0" autoPict="0" macro="[3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6" r:id="rId5" name="Button 2">
              <controlPr defaultSize="0" print="0" autoFill="0" autoPict="0" macro="[3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7" r:id="rId6" name="Button 3">
              <controlPr defaultSize="0" print="0" autoFill="0" autoPict="0" macro="[3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8" r:id="rId7" name="Button 4">
              <controlPr defaultSize="0" print="0" autoFill="0" autoPict="0" macro="[3]!ClearBodyNo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9" r:id="rId8" name="Button 5">
              <controlPr defaultSize="0" print="0" autoFill="0" autoPict="0" macro="[3]!Get_PAD_DATA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0" r:id="rId9" name="Button 6">
              <controlPr defaultSize="0" print="0" autoFill="0" autoPict="0" macro="[3]!ClearData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1" r:id="rId10" name="Button 7">
              <controlPr defaultSize="0" print="0" autoFill="0" autoPict="0" macro="[3]!MakeBodyNo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2" r:id="rId11" name="Button 8">
              <controlPr defaultSize="0" print="0" autoFill="0" autoPict="0" macro="[3]!ClearBodyNo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D287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87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774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69"/>
      <c r="AB3" s="470"/>
      <c r="AC3" s="469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69"/>
      <c r="AB4" s="470"/>
      <c r="AC4" s="469"/>
      <c r="AD4" s="17"/>
    </row>
    <row r="5" spans="1:30" ht="36" customHeight="1">
      <c r="A5" s="465" t="s">
        <v>887</v>
      </c>
      <c r="B5" s="466" t="s">
        <v>888</v>
      </c>
      <c r="C5" s="502" t="s">
        <v>4</v>
      </c>
      <c r="D5" s="504" t="s">
        <v>5</v>
      </c>
      <c r="E5" s="504" t="s">
        <v>6</v>
      </c>
      <c r="F5" s="504" t="s">
        <v>7</v>
      </c>
      <c r="G5" s="504" t="s">
        <v>8</v>
      </c>
      <c r="H5" s="502" t="s">
        <v>9</v>
      </c>
      <c r="I5" s="502" t="s">
        <v>10</v>
      </c>
      <c r="J5" s="502" t="s">
        <v>11</v>
      </c>
      <c r="K5" s="500" t="s">
        <v>12</v>
      </c>
      <c r="L5" s="500" t="s">
        <v>13</v>
      </c>
      <c r="M5" s="502" t="s">
        <v>14</v>
      </c>
      <c r="N5" s="502"/>
      <c r="O5" s="502"/>
      <c r="P5" s="502"/>
      <c r="Q5" s="502"/>
      <c r="R5" s="502" t="s">
        <v>23</v>
      </c>
      <c r="S5" s="502" t="s">
        <v>27</v>
      </c>
      <c r="T5" s="506" t="s">
        <v>24</v>
      </c>
      <c r="U5" s="506" t="s">
        <v>25</v>
      </c>
      <c r="V5" s="508" t="s">
        <v>15</v>
      </c>
      <c r="W5" s="193" t="s">
        <v>16</v>
      </c>
    </row>
    <row r="6" spans="1:30" ht="32.25" customHeight="1">
      <c r="A6" s="465"/>
      <c r="B6" s="466"/>
      <c r="C6" s="503"/>
      <c r="D6" s="505"/>
      <c r="E6" s="505"/>
      <c r="F6" s="505"/>
      <c r="G6" s="505"/>
      <c r="H6" s="503"/>
      <c r="I6" s="503"/>
      <c r="J6" s="503"/>
      <c r="K6" s="501"/>
      <c r="L6" s="501"/>
      <c r="M6" s="194" t="s">
        <v>104</v>
      </c>
      <c r="N6" s="194" t="s">
        <v>51</v>
      </c>
      <c r="O6" s="194" t="s">
        <v>52</v>
      </c>
      <c r="P6" s="194" t="s">
        <v>26</v>
      </c>
      <c r="Q6" s="194" t="s">
        <v>48</v>
      </c>
      <c r="R6" s="503"/>
      <c r="S6" s="503"/>
      <c r="T6" s="507"/>
      <c r="U6" s="507"/>
      <c r="V6" s="509"/>
      <c r="W6" s="195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60</v>
      </c>
      <c r="E7" s="112" t="s">
        <v>196</v>
      </c>
      <c r="F7" s="113" t="s">
        <v>197</v>
      </c>
      <c r="G7" s="114">
        <v>14</v>
      </c>
      <c r="H7" s="19" t="s">
        <v>69</v>
      </c>
      <c r="I7" s="22" t="s">
        <v>28</v>
      </c>
      <c r="J7" s="22">
        <v>230</v>
      </c>
      <c r="K7" s="107"/>
      <c r="L7" s="107"/>
      <c r="M7" s="135"/>
      <c r="N7" s="44"/>
      <c r="O7" s="44"/>
      <c r="P7" s="44"/>
      <c r="Q7" s="44"/>
      <c r="R7" s="115" t="s">
        <v>70</v>
      </c>
      <c r="S7" s="44" t="s">
        <v>29</v>
      </c>
      <c r="T7" s="44"/>
      <c r="U7" s="44"/>
      <c r="V7" s="93" t="s">
        <v>775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196</v>
      </c>
      <c r="F8" s="113" t="s">
        <v>197</v>
      </c>
      <c r="G8" s="114">
        <v>72</v>
      </c>
      <c r="H8" s="19" t="s">
        <v>69</v>
      </c>
      <c r="I8" s="22" t="s">
        <v>28</v>
      </c>
      <c r="J8" s="22">
        <v>230</v>
      </c>
      <c r="K8" s="107"/>
      <c r="L8" s="107"/>
      <c r="M8" s="135"/>
      <c r="N8" s="44"/>
      <c r="O8" s="44"/>
      <c r="P8" s="44"/>
      <c r="Q8" s="44"/>
      <c r="R8" s="115" t="s">
        <v>70</v>
      </c>
      <c r="S8" s="44" t="s">
        <v>29</v>
      </c>
      <c r="T8" s="44"/>
      <c r="U8" s="44"/>
      <c r="V8" s="19" t="s">
        <v>776</v>
      </c>
      <c r="W8" s="22"/>
      <c r="X8" s="38"/>
      <c r="Y8" s="39" t="e">
        <f t="shared" ref="Y8:Y57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87</v>
      </c>
      <c r="F9" s="113" t="s">
        <v>88</v>
      </c>
      <c r="G9" s="114">
        <v>70</v>
      </c>
      <c r="H9" s="19" t="s">
        <v>89</v>
      </c>
      <c r="I9" s="22" t="s">
        <v>18</v>
      </c>
      <c r="J9" s="22">
        <v>220</v>
      </c>
      <c r="K9" s="107"/>
      <c r="L9" s="107"/>
      <c r="M9" s="135" t="s">
        <v>47</v>
      </c>
      <c r="N9" s="44"/>
      <c r="O9" s="44"/>
      <c r="P9" s="44"/>
      <c r="Q9" s="44"/>
      <c r="R9" s="44" t="s">
        <v>29</v>
      </c>
      <c r="S9" s="44"/>
      <c r="T9" s="44" t="s">
        <v>29</v>
      </c>
      <c r="U9" s="44"/>
      <c r="V9" s="19" t="s">
        <v>288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116</v>
      </c>
      <c r="F10" s="113" t="s">
        <v>117</v>
      </c>
      <c r="G10" s="114">
        <v>4</v>
      </c>
      <c r="H10" s="19" t="s">
        <v>68</v>
      </c>
      <c r="I10" s="22" t="s">
        <v>18</v>
      </c>
      <c r="J10" s="22">
        <v>220</v>
      </c>
      <c r="K10" s="107"/>
      <c r="L10" s="107"/>
      <c r="M10" s="135"/>
      <c r="N10" s="44"/>
      <c r="O10" s="44"/>
      <c r="P10" s="44"/>
      <c r="Q10" s="44"/>
      <c r="R10" s="44" t="s">
        <v>29</v>
      </c>
      <c r="S10" s="44"/>
      <c r="T10" s="44" t="s">
        <v>29</v>
      </c>
      <c r="U10" s="44"/>
      <c r="V10" s="93" t="s">
        <v>289</v>
      </c>
      <c r="W10" s="22"/>
      <c r="X10" s="38"/>
      <c r="Y10" s="39" t="e">
        <f>IF(E10=E8,Y8,Y8+1)</f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890</v>
      </c>
      <c r="C11" s="18">
        <v>44062</v>
      </c>
      <c r="D11" s="111" t="s">
        <v>56</v>
      </c>
      <c r="E11" s="112" t="s">
        <v>116</v>
      </c>
      <c r="F11" s="113" t="s">
        <v>117</v>
      </c>
      <c r="G11" s="114">
        <v>87</v>
      </c>
      <c r="H11" s="19" t="s">
        <v>68</v>
      </c>
      <c r="I11" s="22" t="s">
        <v>18</v>
      </c>
      <c r="J11" s="22">
        <v>220</v>
      </c>
      <c r="K11" s="107"/>
      <c r="L11" s="107"/>
      <c r="M11" s="135"/>
      <c r="N11" s="44"/>
      <c r="O11" s="44"/>
      <c r="P11" s="44"/>
      <c r="Q11" s="44"/>
      <c r="R11" s="44" t="s">
        <v>29</v>
      </c>
      <c r="S11" s="44"/>
      <c r="T11" s="44" t="s">
        <v>29</v>
      </c>
      <c r="U11" s="44"/>
      <c r="V11" s="93" t="s">
        <v>289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200</v>
      </c>
      <c r="F12" s="113" t="s">
        <v>201</v>
      </c>
      <c r="G12" s="114">
        <v>36</v>
      </c>
      <c r="H12" s="19" t="s">
        <v>68</v>
      </c>
      <c r="I12" s="22" t="s">
        <v>28</v>
      </c>
      <c r="J12" s="22">
        <v>230</v>
      </c>
      <c r="K12" s="107"/>
      <c r="L12" s="107"/>
      <c r="M12" s="135"/>
      <c r="N12" s="44"/>
      <c r="O12" s="44" t="s">
        <v>29</v>
      </c>
      <c r="P12" s="44"/>
      <c r="Q12" s="44"/>
      <c r="R12" s="44" t="s">
        <v>29</v>
      </c>
      <c r="S12" s="44"/>
      <c r="T12" s="44"/>
      <c r="U12" s="44"/>
      <c r="V12" s="19" t="s">
        <v>290</v>
      </c>
      <c r="W12" s="22"/>
      <c r="X12" s="38"/>
      <c r="Y12" s="39" t="e">
        <f t="shared" si="0"/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121</v>
      </c>
      <c r="F13" s="113" t="s">
        <v>122</v>
      </c>
      <c r="G13" s="114">
        <v>15</v>
      </c>
      <c r="H13" s="19" t="s">
        <v>125</v>
      </c>
      <c r="I13" s="22" t="s">
        <v>18</v>
      </c>
      <c r="J13" s="22">
        <v>220</v>
      </c>
      <c r="K13" s="107"/>
      <c r="L13" s="107"/>
      <c r="M13" s="135" t="s">
        <v>47</v>
      </c>
      <c r="N13" s="44"/>
      <c r="O13" s="44"/>
      <c r="P13" s="44"/>
      <c r="Q13" s="44"/>
      <c r="R13" s="44" t="s">
        <v>29</v>
      </c>
      <c r="S13" s="44"/>
      <c r="T13" s="44" t="s">
        <v>29</v>
      </c>
      <c r="U13" s="44"/>
      <c r="V13" s="19" t="s">
        <v>291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74</v>
      </c>
      <c r="F14" s="113" t="s">
        <v>78</v>
      </c>
      <c r="G14" s="114">
        <v>22</v>
      </c>
      <c r="H14" s="19" t="s">
        <v>69</v>
      </c>
      <c r="I14" s="22" t="s">
        <v>28</v>
      </c>
      <c r="J14" s="22">
        <v>230</v>
      </c>
      <c r="K14" s="107"/>
      <c r="L14" s="107"/>
      <c r="M14" s="135"/>
      <c r="N14" s="44"/>
      <c r="O14" s="44"/>
      <c r="P14" s="44"/>
      <c r="Q14" s="44"/>
      <c r="R14" s="115" t="s">
        <v>70</v>
      </c>
      <c r="S14" s="44" t="s">
        <v>29</v>
      </c>
      <c r="T14" s="44"/>
      <c r="U14" s="44"/>
      <c r="V14" s="93" t="s">
        <v>777</v>
      </c>
      <c r="W14" s="22"/>
      <c r="X14" s="38"/>
      <c r="Y14" s="39" t="e">
        <f>IF(E14=E12,Y12,Y12+1)</f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20</v>
      </c>
      <c r="B15" s="43" t="s">
        <v>889</v>
      </c>
      <c r="C15" s="18">
        <v>44062</v>
      </c>
      <c r="D15" s="111" t="s">
        <v>59</v>
      </c>
      <c r="E15" s="112" t="s">
        <v>74</v>
      </c>
      <c r="F15" s="113" t="s">
        <v>78</v>
      </c>
      <c r="G15" s="114">
        <v>14</v>
      </c>
      <c r="H15" s="19" t="s">
        <v>69</v>
      </c>
      <c r="I15" s="22" t="s">
        <v>28</v>
      </c>
      <c r="J15" s="22">
        <v>230</v>
      </c>
      <c r="K15" s="107"/>
      <c r="L15" s="107"/>
      <c r="M15" s="135"/>
      <c r="N15" s="44"/>
      <c r="O15" s="44"/>
      <c r="P15" s="44"/>
      <c r="Q15" s="44"/>
      <c r="R15" s="115" t="s">
        <v>70</v>
      </c>
      <c r="S15" s="44" t="s">
        <v>29</v>
      </c>
      <c r="T15" s="44"/>
      <c r="U15" s="44"/>
      <c r="V15" s="93" t="s">
        <v>777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25">
        <v>44063</v>
      </c>
      <c r="D16" s="111" t="s">
        <v>54</v>
      </c>
      <c r="E16" s="112" t="s">
        <v>74</v>
      </c>
      <c r="F16" s="113" t="s">
        <v>78</v>
      </c>
      <c r="G16" s="114">
        <v>5</v>
      </c>
      <c r="H16" s="19" t="s">
        <v>69</v>
      </c>
      <c r="I16" s="22" t="s">
        <v>28</v>
      </c>
      <c r="J16" s="22">
        <v>230</v>
      </c>
      <c r="K16" s="107"/>
      <c r="L16" s="107"/>
      <c r="M16" s="135"/>
      <c r="N16" s="44"/>
      <c r="O16" s="44"/>
      <c r="P16" s="44"/>
      <c r="Q16" s="44"/>
      <c r="R16" s="115" t="s">
        <v>70</v>
      </c>
      <c r="S16" s="44" t="s">
        <v>29</v>
      </c>
      <c r="T16" s="44"/>
      <c r="U16" s="44"/>
      <c r="V16" s="93" t="s">
        <v>778</v>
      </c>
      <c r="W16" s="22"/>
      <c r="X16" s="38"/>
      <c r="Y16" s="39" t="e">
        <f t="shared" si="0"/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44063</v>
      </c>
      <c r="D17" s="111" t="s">
        <v>55</v>
      </c>
      <c r="E17" s="112" t="s">
        <v>196</v>
      </c>
      <c r="F17" s="113" t="s">
        <v>197</v>
      </c>
      <c r="G17" s="114">
        <v>67</v>
      </c>
      <c r="H17" s="19" t="s">
        <v>69</v>
      </c>
      <c r="I17" s="22" t="s">
        <v>28</v>
      </c>
      <c r="J17" s="22">
        <v>230</v>
      </c>
      <c r="K17" s="107"/>
      <c r="L17" s="107"/>
      <c r="M17" s="135"/>
      <c r="N17" s="44"/>
      <c r="O17" s="44"/>
      <c r="P17" s="44"/>
      <c r="Q17" s="44"/>
      <c r="R17" s="115" t="s">
        <v>70</v>
      </c>
      <c r="S17" s="44" t="s">
        <v>29</v>
      </c>
      <c r="T17" s="44"/>
      <c r="U17" s="44"/>
      <c r="V17" s="93" t="s">
        <v>779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56</v>
      </c>
      <c r="E18" s="112" t="s">
        <v>87</v>
      </c>
      <c r="F18" s="113" t="s">
        <v>88</v>
      </c>
      <c r="G18" s="114">
        <v>70</v>
      </c>
      <c r="H18" s="19" t="s">
        <v>89</v>
      </c>
      <c r="I18" s="22" t="s">
        <v>18</v>
      </c>
      <c r="J18" s="22">
        <v>220</v>
      </c>
      <c r="K18" s="107"/>
      <c r="L18" s="107"/>
      <c r="M18" s="135" t="s">
        <v>47</v>
      </c>
      <c r="N18" s="44"/>
      <c r="O18" s="44"/>
      <c r="P18" s="44"/>
      <c r="Q18" s="44"/>
      <c r="R18" s="44" t="s">
        <v>29</v>
      </c>
      <c r="S18" s="44"/>
      <c r="T18" s="44" t="s">
        <v>29</v>
      </c>
      <c r="U18" s="44"/>
      <c r="V18" s="19" t="s">
        <v>292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57</v>
      </c>
      <c r="E19" s="112" t="s">
        <v>116</v>
      </c>
      <c r="F19" s="113" t="s">
        <v>117</v>
      </c>
      <c r="G19" s="114">
        <v>12</v>
      </c>
      <c r="H19" s="19" t="s">
        <v>68</v>
      </c>
      <c r="I19" s="22" t="s">
        <v>18</v>
      </c>
      <c r="J19" s="22">
        <v>220</v>
      </c>
      <c r="K19" s="107"/>
      <c r="L19" s="107"/>
      <c r="M19" s="135"/>
      <c r="N19" s="44"/>
      <c r="O19" s="44"/>
      <c r="P19" s="44"/>
      <c r="Q19" s="44"/>
      <c r="R19" s="44" t="s">
        <v>29</v>
      </c>
      <c r="S19" s="44"/>
      <c r="T19" s="44" t="s">
        <v>29</v>
      </c>
      <c r="U19" s="44"/>
      <c r="V19" s="19" t="s">
        <v>293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57</v>
      </c>
      <c r="E20" s="112" t="s">
        <v>116</v>
      </c>
      <c r="F20" s="113" t="s">
        <v>117</v>
      </c>
      <c r="G20" s="114">
        <v>93</v>
      </c>
      <c r="H20" s="19" t="s">
        <v>68</v>
      </c>
      <c r="I20" s="22" t="s">
        <v>18</v>
      </c>
      <c r="J20" s="22">
        <v>220</v>
      </c>
      <c r="K20" s="107"/>
      <c r="L20" s="107"/>
      <c r="M20" s="135"/>
      <c r="N20" s="44"/>
      <c r="O20" s="44"/>
      <c r="P20" s="44"/>
      <c r="Q20" s="44"/>
      <c r="R20" s="44" t="s">
        <v>29</v>
      </c>
      <c r="S20" s="44"/>
      <c r="T20" s="44" t="s">
        <v>29</v>
      </c>
      <c r="U20" s="44"/>
      <c r="V20" s="19" t="s">
        <v>293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58</v>
      </c>
      <c r="E21" s="112" t="s">
        <v>194</v>
      </c>
      <c r="F21" s="113" t="s">
        <v>195</v>
      </c>
      <c r="G21" s="114">
        <v>22</v>
      </c>
      <c r="H21" s="19" t="s">
        <v>68</v>
      </c>
      <c r="I21" s="22" t="s">
        <v>34</v>
      </c>
      <c r="J21" s="22">
        <v>120</v>
      </c>
      <c r="K21" s="107"/>
      <c r="L21" s="107"/>
      <c r="M21" s="135"/>
      <c r="N21" s="44"/>
      <c r="O21" s="44" t="s">
        <v>29</v>
      </c>
      <c r="P21" s="44"/>
      <c r="Q21" s="44"/>
      <c r="R21" s="44" t="s">
        <v>29</v>
      </c>
      <c r="S21" s="44"/>
      <c r="T21" s="44"/>
      <c r="U21" s="44"/>
      <c r="V21" s="117" t="s">
        <v>294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59</v>
      </c>
      <c r="E22" s="112" t="s">
        <v>121</v>
      </c>
      <c r="F22" s="113" t="s">
        <v>122</v>
      </c>
      <c r="G22" s="114">
        <v>15</v>
      </c>
      <c r="H22" s="19" t="s">
        <v>125</v>
      </c>
      <c r="I22" s="22" t="s">
        <v>18</v>
      </c>
      <c r="J22" s="22">
        <v>220</v>
      </c>
      <c r="K22" s="107"/>
      <c r="L22" s="107"/>
      <c r="M22" s="135" t="s">
        <v>47</v>
      </c>
      <c r="N22" s="44"/>
      <c r="O22" s="44"/>
      <c r="P22" s="44"/>
      <c r="Q22" s="44"/>
      <c r="R22" s="44" t="s">
        <v>29</v>
      </c>
      <c r="S22" s="44"/>
      <c r="T22" s="44" t="s">
        <v>29</v>
      </c>
      <c r="U22" s="44"/>
      <c r="V22" s="118" t="s">
        <v>295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60</v>
      </c>
      <c r="E23" s="112" t="s">
        <v>74</v>
      </c>
      <c r="F23" s="113" t="s">
        <v>78</v>
      </c>
      <c r="G23" s="114">
        <v>36</v>
      </c>
      <c r="H23" s="19" t="s">
        <v>69</v>
      </c>
      <c r="I23" s="22" t="s">
        <v>28</v>
      </c>
      <c r="J23" s="22">
        <v>230</v>
      </c>
      <c r="K23" s="107"/>
      <c r="L23" s="107"/>
      <c r="M23" s="135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18" t="s">
        <v>780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20</v>
      </c>
      <c r="B24" s="43" t="s">
        <v>890</v>
      </c>
      <c r="C24" s="25">
        <v>44064</v>
      </c>
      <c r="D24" s="111" t="s">
        <v>54</v>
      </c>
      <c r="E24" s="112" t="s">
        <v>74</v>
      </c>
      <c r="F24" s="113" t="s">
        <v>78</v>
      </c>
      <c r="G24" s="114">
        <v>2</v>
      </c>
      <c r="H24" s="19" t="s">
        <v>69</v>
      </c>
      <c r="I24" s="22" t="s">
        <v>28</v>
      </c>
      <c r="J24" s="22">
        <v>230</v>
      </c>
      <c r="K24" s="107"/>
      <c r="L24" s="107"/>
      <c r="M24" s="135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18" t="s">
        <v>781</v>
      </c>
      <c r="W24" s="22"/>
      <c r="X24" s="38"/>
      <c r="Y24" s="39" t="e">
        <f>IF(E24=E22,Y22,Y22+1)</f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74</v>
      </c>
      <c r="F25" s="113" t="s">
        <v>78</v>
      </c>
      <c r="G25" s="114">
        <v>70</v>
      </c>
      <c r="H25" s="19" t="s">
        <v>69</v>
      </c>
      <c r="I25" s="22" t="s">
        <v>28</v>
      </c>
      <c r="J25" s="22">
        <v>230</v>
      </c>
      <c r="K25" s="107"/>
      <c r="L25" s="107"/>
      <c r="M25" s="135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118" t="s">
        <v>781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889</v>
      </c>
      <c r="C26" s="18">
        <v>44064</v>
      </c>
      <c r="D26" s="111" t="s">
        <v>55</v>
      </c>
      <c r="E26" s="112" t="s">
        <v>87</v>
      </c>
      <c r="F26" s="113" t="s">
        <v>88</v>
      </c>
      <c r="G26" s="114">
        <v>70</v>
      </c>
      <c r="H26" s="19" t="s">
        <v>89</v>
      </c>
      <c r="I26" s="22" t="s">
        <v>18</v>
      </c>
      <c r="J26" s="22">
        <v>220</v>
      </c>
      <c r="K26" s="107"/>
      <c r="L26" s="107"/>
      <c r="M26" s="135" t="s">
        <v>47</v>
      </c>
      <c r="N26" s="44"/>
      <c r="O26" s="44"/>
      <c r="P26" s="44"/>
      <c r="Q26" s="44"/>
      <c r="R26" s="44" t="s">
        <v>29</v>
      </c>
      <c r="S26" s="44"/>
      <c r="T26" s="44" t="s">
        <v>29</v>
      </c>
      <c r="U26" s="44"/>
      <c r="V26" s="118" t="s">
        <v>296</v>
      </c>
      <c r="W26" s="22"/>
      <c r="X26" s="38"/>
      <c r="Y26" s="39" t="e">
        <f t="shared" si="0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889</v>
      </c>
      <c r="C27" s="18">
        <v>44064</v>
      </c>
      <c r="D27" s="111" t="s">
        <v>56</v>
      </c>
      <c r="E27" s="112" t="s">
        <v>116</v>
      </c>
      <c r="F27" s="113" t="s">
        <v>117</v>
      </c>
      <c r="G27" s="114">
        <v>20</v>
      </c>
      <c r="H27" s="19" t="s">
        <v>68</v>
      </c>
      <c r="I27" s="22" t="s">
        <v>18</v>
      </c>
      <c r="J27" s="22">
        <v>220</v>
      </c>
      <c r="K27" s="107"/>
      <c r="L27" s="107"/>
      <c r="M27" s="135"/>
      <c r="N27" s="44"/>
      <c r="O27" s="44"/>
      <c r="P27" s="44"/>
      <c r="Q27" s="44"/>
      <c r="R27" s="44" t="s">
        <v>29</v>
      </c>
      <c r="S27" s="44"/>
      <c r="T27" s="44" t="s">
        <v>29</v>
      </c>
      <c r="U27" s="44"/>
      <c r="V27" s="118" t="s">
        <v>297</v>
      </c>
      <c r="W27" s="22"/>
      <c r="X27" s="38"/>
      <c r="Y27" s="39" t="e">
        <f>IF(E27=E25,Y25,Y25+1)</f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56</v>
      </c>
      <c r="E28" s="112" t="s">
        <v>116</v>
      </c>
      <c r="F28" s="113" t="s">
        <v>117</v>
      </c>
      <c r="G28" s="114">
        <v>107</v>
      </c>
      <c r="H28" s="19" t="s">
        <v>68</v>
      </c>
      <c r="I28" s="22" t="s">
        <v>18</v>
      </c>
      <c r="J28" s="22">
        <v>220</v>
      </c>
      <c r="K28" s="107"/>
      <c r="L28" s="107"/>
      <c r="M28" s="135"/>
      <c r="N28" s="44"/>
      <c r="O28" s="44"/>
      <c r="P28" s="44"/>
      <c r="Q28" s="44"/>
      <c r="R28" s="44" t="s">
        <v>29</v>
      </c>
      <c r="S28" s="44"/>
      <c r="T28" s="44" t="s">
        <v>29</v>
      </c>
      <c r="U28" s="44"/>
      <c r="V28" s="118" t="s">
        <v>297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21</v>
      </c>
      <c r="B29" s="43" t="s">
        <v>890</v>
      </c>
      <c r="C29" s="18">
        <v>44064</v>
      </c>
      <c r="D29" s="111" t="s">
        <v>57</v>
      </c>
      <c r="E29" s="112" t="s">
        <v>121</v>
      </c>
      <c r="F29" s="113" t="s">
        <v>122</v>
      </c>
      <c r="G29" s="114">
        <v>6</v>
      </c>
      <c r="H29" s="19" t="s">
        <v>125</v>
      </c>
      <c r="I29" s="22" t="s">
        <v>18</v>
      </c>
      <c r="J29" s="22">
        <v>220</v>
      </c>
      <c r="K29" s="107"/>
      <c r="L29" s="107"/>
      <c r="M29" s="135" t="s">
        <v>47</v>
      </c>
      <c r="N29" s="44"/>
      <c r="O29" s="44"/>
      <c r="P29" s="44"/>
      <c r="Q29" s="44"/>
      <c r="R29" s="44" t="s">
        <v>29</v>
      </c>
      <c r="S29" s="44"/>
      <c r="T29" s="44" t="s">
        <v>29</v>
      </c>
      <c r="U29" s="44"/>
      <c r="V29" s="27" t="s">
        <v>298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21</v>
      </c>
      <c r="B30" s="43" t="s">
        <v>890</v>
      </c>
      <c r="C30" s="18">
        <v>44064</v>
      </c>
      <c r="D30" s="111" t="s">
        <v>58</v>
      </c>
      <c r="E30" s="112" t="s">
        <v>74</v>
      </c>
      <c r="F30" s="113" t="s">
        <v>78</v>
      </c>
      <c r="G30" s="114">
        <v>45</v>
      </c>
      <c r="H30" s="19" t="s">
        <v>69</v>
      </c>
      <c r="I30" s="22" t="s">
        <v>28</v>
      </c>
      <c r="J30" s="22">
        <v>230</v>
      </c>
      <c r="K30" s="107"/>
      <c r="L30" s="107"/>
      <c r="M30" s="135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118" t="s">
        <v>782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21</v>
      </c>
      <c r="B31" s="43" t="s">
        <v>890</v>
      </c>
      <c r="C31" s="25">
        <v>44065</v>
      </c>
      <c r="D31" s="111" t="s">
        <v>54</v>
      </c>
      <c r="E31" s="112" t="s">
        <v>74</v>
      </c>
      <c r="F31" s="113" t="s">
        <v>78</v>
      </c>
      <c r="G31" s="114">
        <v>2</v>
      </c>
      <c r="H31" s="19" t="s">
        <v>69</v>
      </c>
      <c r="I31" s="22" t="s">
        <v>28</v>
      </c>
      <c r="J31" s="22">
        <v>230</v>
      </c>
      <c r="K31" s="107"/>
      <c r="L31" s="107"/>
      <c r="M31" s="135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118" t="s">
        <v>783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889</v>
      </c>
      <c r="C32" s="25">
        <v>44065</v>
      </c>
      <c r="D32" s="111" t="s">
        <v>54</v>
      </c>
      <c r="E32" s="112" t="s">
        <v>74</v>
      </c>
      <c r="F32" s="113" t="s">
        <v>78</v>
      </c>
      <c r="G32" s="114">
        <v>61</v>
      </c>
      <c r="H32" s="19" t="s">
        <v>69</v>
      </c>
      <c r="I32" s="22" t="s">
        <v>28</v>
      </c>
      <c r="J32" s="22">
        <v>230</v>
      </c>
      <c r="K32" s="107"/>
      <c r="L32" s="107"/>
      <c r="M32" s="135"/>
      <c r="N32" s="44"/>
      <c r="O32" s="44"/>
      <c r="P32" s="44"/>
      <c r="Q32" s="44"/>
      <c r="R32" s="115" t="s">
        <v>70</v>
      </c>
      <c r="S32" s="44" t="s">
        <v>29</v>
      </c>
      <c r="T32" s="44"/>
      <c r="U32" s="44"/>
      <c r="V32" s="118" t="s">
        <v>783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889</v>
      </c>
      <c r="C33" s="28">
        <v>44065</v>
      </c>
      <c r="D33" s="111" t="s">
        <v>55</v>
      </c>
      <c r="E33" s="112" t="s">
        <v>87</v>
      </c>
      <c r="F33" s="113" t="s">
        <v>88</v>
      </c>
      <c r="G33" s="114">
        <v>64</v>
      </c>
      <c r="H33" s="22" t="s">
        <v>89</v>
      </c>
      <c r="I33" s="22" t="s">
        <v>18</v>
      </c>
      <c r="J33" s="22">
        <v>220</v>
      </c>
      <c r="K33" s="44"/>
      <c r="L33" s="44"/>
      <c r="M33" s="135" t="s">
        <v>47</v>
      </c>
      <c r="N33" s="44"/>
      <c r="O33" s="44"/>
      <c r="P33" s="44"/>
      <c r="Q33" s="44"/>
      <c r="R33" s="44" t="s">
        <v>29</v>
      </c>
      <c r="S33" s="44"/>
      <c r="T33" s="44" t="s">
        <v>29</v>
      </c>
      <c r="U33" s="44"/>
      <c r="V33" s="118" t="s">
        <v>299</v>
      </c>
      <c r="W33" s="22"/>
      <c r="X33" s="38"/>
      <c r="Y33" s="39" t="e">
        <f t="shared" si="0"/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22</v>
      </c>
      <c r="B34" s="43" t="s">
        <v>889</v>
      </c>
      <c r="C34" s="28">
        <v>44065</v>
      </c>
      <c r="D34" s="111" t="s">
        <v>56</v>
      </c>
      <c r="E34" s="112" t="s">
        <v>116</v>
      </c>
      <c r="F34" s="113" t="s">
        <v>117</v>
      </c>
      <c r="G34" s="114">
        <v>5</v>
      </c>
      <c r="H34" s="22" t="s">
        <v>68</v>
      </c>
      <c r="I34" s="22" t="s">
        <v>18</v>
      </c>
      <c r="J34" s="22">
        <v>220</v>
      </c>
      <c r="K34" s="44"/>
      <c r="L34" s="44"/>
      <c r="M34" s="135"/>
      <c r="N34" s="44"/>
      <c r="O34" s="44"/>
      <c r="P34" s="44"/>
      <c r="Q34" s="44"/>
      <c r="R34" s="44" t="s">
        <v>29</v>
      </c>
      <c r="S34" s="44"/>
      <c r="T34" s="44" t="s">
        <v>29</v>
      </c>
      <c r="U34" s="44"/>
      <c r="V34" s="27" t="s">
        <v>300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22</v>
      </c>
      <c r="B35" s="43" t="s">
        <v>890</v>
      </c>
      <c r="C35" s="28">
        <v>44065</v>
      </c>
      <c r="D35" s="111" t="s">
        <v>56</v>
      </c>
      <c r="E35" s="112" t="s">
        <v>116</v>
      </c>
      <c r="F35" s="113" t="s">
        <v>117</v>
      </c>
      <c r="G35" s="114">
        <v>77</v>
      </c>
      <c r="H35" s="22" t="s">
        <v>68</v>
      </c>
      <c r="I35" s="22" t="s">
        <v>18</v>
      </c>
      <c r="J35" s="22">
        <v>220</v>
      </c>
      <c r="K35" s="44"/>
      <c r="L35" s="44"/>
      <c r="M35" s="135"/>
      <c r="N35" s="44"/>
      <c r="O35" s="44"/>
      <c r="P35" s="44"/>
      <c r="Q35" s="44"/>
      <c r="R35" s="44" t="s">
        <v>29</v>
      </c>
      <c r="S35" s="44"/>
      <c r="T35" s="44" t="s">
        <v>29</v>
      </c>
      <c r="U35" s="44"/>
      <c r="V35" s="27" t="s">
        <v>300</v>
      </c>
      <c r="W35" s="22"/>
      <c r="X35" s="38"/>
      <c r="Y35" s="39" t="e">
        <f>IF(E35=E33,Y33,Y33+1)</f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22</v>
      </c>
      <c r="B36" s="43" t="s">
        <v>890</v>
      </c>
      <c r="C36" s="28">
        <v>44065</v>
      </c>
      <c r="D36" s="111" t="s">
        <v>57</v>
      </c>
      <c r="E36" s="112" t="s">
        <v>121</v>
      </c>
      <c r="F36" s="113" t="s">
        <v>122</v>
      </c>
      <c r="G36" s="114">
        <v>15</v>
      </c>
      <c r="H36" s="22" t="s">
        <v>125</v>
      </c>
      <c r="I36" s="22" t="s">
        <v>18</v>
      </c>
      <c r="J36" s="22">
        <v>220</v>
      </c>
      <c r="K36" s="44"/>
      <c r="L36" s="44"/>
      <c r="M36" s="135" t="s">
        <v>47</v>
      </c>
      <c r="N36" s="44"/>
      <c r="O36" s="44"/>
      <c r="P36" s="44"/>
      <c r="Q36" s="44"/>
      <c r="R36" s="44" t="s">
        <v>29</v>
      </c>
      <c r="S36" s="44"/>
      <c r="T36" s="44" t="s">
        <v>29</v>
      </c>
      <c r="U36" s="44"/>
      <c r="V36" s="118" t="s">
        <v>436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22</v>
      </c>
      <c r="B37" s="43" t="s">
        <v>890</v>
      </c>
      <c r="C37" s="28">
        <v>44065</v>
      </c>
      <c r="D37" s="111" t="s">
        <v>58</v>
      </c>
      <c r="E37" s="112" t="s">
        <v>196</v>
      </c>
      <c r="F37" s="113" t="s">
        <v>197</v>
      </c>
      <c r="G37" s="114">
        <v>36</v>
      </c>
      <c r="H37" s="22" t="s">
        <v>69</v>
      </c>
      <c r="I37" s="22" t="s">
        <v>28</v>
      </c>
      <c r="J37" s="22">
        <v>230</v>
      </c>
      <c r="K37" s="44"/>
      <c r="L37" s="44"/>
      <c r="M37" s="135"/>
      <c r="N37" s="44"/>
      <c r="O37" s="44"/>
      <c r="P37" s="44"/>
      <c r="Q37" s="44"/>
      <c r="R37" s="115" t="s">
        <v>70</v>
      </c>
      <c r="S37" s="44" t="s">
        <v>29</v>
      </c>
      <c r="T37" s="44"/>
      <c r="U37" s="44"/>
      <c r="V37" s="118" t="s">
        <v>437</v>
      </c>
      <c r="W37" s="22"/>
      <c r="X37" s="38"/>
      <c r="Y37" s="39" t="e">
        <f t="shared" si="0"/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22</v>
      </c>
      <c r="B38" s="43" t="s">
        <v>890</v>
      </c>
      <c r="C38" s="26">
        <v>44067</v>
      </c>
      <c r="D38" s="111" t="s">
        <v>54</v>
      </c>
      <c r="E38" s="112" t="s">
        <v>196</v>
      </c>
      <c r="F38" s="113" t="s">
        <v>197</v>
      </c>
      <c r="G38" s="114">
        <v>2</v>
      </c>
      <c r="H38" s="22" t="s">
        <v>69</v>
      </c>
      <c r="I38" s="22" t="s">
        <v>28</v>
      </c>
      <c r="J38" s="22">
        <v>230</v>
      </c>
      <c r="K38" s="44"/>
      <c r="L38" s="44"/>
      <c r="M38" s="135"/>
      <c r="N38" s="44"/>
      <c r="O38" s="44"/>
      <c r="P38" s="44"/>
      <c r="Q38" s="44"/>
      <c r="R38" s="115" t="s">
        <v>70</v>
      </c>
      <c r="S38" s="44" t="s">
        <v>29</v>
      </c>
      <c r="T38" s="44"/>
      <c r="U38" s="44"/>
      <c r="V38" s="118" t="s">
        <v>438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889</v>
      </c>
      <c r="C39" s="26">
        <v>44067</v>
      </c>
      <c r="D39" s="111" t="s">
        <v>54</v>
      </c>
      <c r="E39" s="112" t="s">
        <v>196</v>
      </c>
      <c r="F39" s="113" t="s">
        <v>197</v>
      </c>
      <c r="G39" s="114">
        <v>82</v>
      </c>
      <c r="H39" s="22" t="s">
        <v>69</v>
      </c>
      <c r="I39" s="22" t="s">
        <v>28</v>
      </c>
      <c r="J39" s="22">
        <v>230</v>
      </c>
      <c r="K39" s="44"/>
      <c r="L39" s="44"/>
      <c r="M39" s="135"/>
      <c r="N39" s="44"/>
      <c r="O39" s="44"/>
      <c r="P39" s="44"/>
      <c r="Q39" s="44"/>
      <c r="R39" s="115" t="s">
        <v>70</v>
      </c>
      <c r="S39" s="44" t="s">
        <v>29</v>
      </c>
      <c r="T39" s="44"/>
      <c r="U39" s="44"/>
      <c r="V39" s="118" t="s">
        <v>438</v>
      </c>
      <c r="W39" s="22"/>
      <c r="X39" s="38"/>
      <c r="Y39" s="39" t="e">
        <f>IF(E39=E37,Y37,Y37+1)</f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889</v>
      </c>
      <c r="C40" s="28">
        <v>44067</v>
      </c>
      <c r="D40" s="111" t="s">
        <v>55</v>
      </c>
      <c r="E40" s="112" t="s">
        <v>87</v>
      </c>
      <c r="F40" s="113" t="s">
        <v>88</v>
      </c>
      <c r="G40" s="114">
        <v>46</v>
      </c>
      <c r="H40" s="22" t="s">
        <v>89</v>
      </c>
      <c r="I40" s="22" t="s">
        <v>18</v>
      </c>
      <c r="J40" s="22">
        <v>220</v>
      </c>
      <c r="K40" s="44"/>
      <c r="L40" s="44"/>
      <c r="M40" s="135" t="s">
        <v>47</v>
      </c>
      <c r="N40" s="44"/>
      <c r="O40" s="44"/>
      <c r="P40" s="44"/>
      <c r="Q40" s="44"/>
      <c r="R40" s="44" t="s">
        <v>29</v>
      </c>
      <c r="S40" s="44"/>
      <c r="T40" s="44" t="s">
        <v>29</v>
      </c>
      <c r="U40" s="44"/>
      <c r="V40" s="118" t="s">
        <v>439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28">
        <v>44067</v>
      </c>
      <c r="D41" s="111" t="s">
        <v>55</v>
      </c>
      <c r="E41" s="112" t="s">
        <v>87</v>
      </c>
      <c r="F41" s="113" t="s">
        <v>88</v>
      </c>
      <c r="G41" s="114">
        <v>4</v>
      </c>
      <c r="H41" s="22" t="s">
        <v>89</v>
      </c>
      <c r="I41" s="22" t="s">
        <v>18</v>
      </c>
      <c r="J41" s="22">
        <v>220</v>
      </c>
      <c r="K41" s="44"/>
      <c r="L41" s="44"/>
      <c r="M41" s="135" t="s">
        <v>47</v>
      </c>
      <c r="N41" s="44"/>
      <c r="O41" s="44"/>
      <c r="P41" s="44"/>
      <c r="Q41" s="44"/>
      <c r="R41" s="44" t="s">
        <v>29</v>
      </c>
      <c r="S41" s="44"/>
      <c r="T41" s="44" t="s">
        <v>29</v>
      </c>
      <c r="U41" s="44"/>
      <c r="V41" s="118" t="s">
        <v>439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28">
        <v>44067</v>
      </c>
      <c r="D42" s="111" t="s">
        <v>56</v>
      </c>
      <c r="E42" s="112" t="s">
        <v>200</v>
      </c>
      <c r="F42" s="113" t="s">
        <v>201</v>
      </c>
      <c r="G42" s="114">
        <v>71</v>
      </c>
      <c r="H42" s="22" t="s">
        <v>68</v>
      </c>
      <c r="I42" s="22" t="s">
        <v>28</v>
      </c>
      <c r="J42" s="22">
        <v>230</v>
      </c>
      <c r="K42" s="44"/>
      <c r="L42" s="44"/>
      <c r="M42" s="135"/>
      <c r="N42" s="44"/>
      <c r="O42" s="44" t="s">
        <v>29</v>
      </c>
      <c r="P42" s="44"/>
      <c r="Q42" s="44"/>
      <c r="R42" s="44" t="s">
        <v>29</v>
      </c>
      <c r="S42" s="44"/>
      <c r="T42" s="44"/>
      <c r="U42" s="44"/>
      <c r="V42" s="118" t="s">
        <v>440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24</v>
      </c>
      <c r="B43" s="43" t="s">
        <v>890</v>
      </c>
      <c r="C43" s="28">
        <v>44067</v>
      </c>
      <c r="D43" s="111" t="s">
        <v>57</v>
      </c>
      <c r="E43" s="112" t="s">
        <v>121</v>
      </c>
      <c r="F43" s="113" t="s">
        <v>122</v>
      </c>
      <c r="G43" s="114">
        <v>15</v>
      </c>
      <c r="H43" s="22" t="s">
        <v>125</v>
      </c>
      <c r="I43" s="22" t="s">
        <v>18</v>
      </c>
      <c r="J43" s="22">
        <v>220</v>
      </c>
      <c r="K43" s="44"/>
      <c r="L43" s="44"/>
      <c r="M43" s="135" t="s">
        <v>47</v>
      </c>
      <c r="N43" s="44"/>
      <c r="O43" s="44"/>
      <c r="P43" s="44"/>
      <c r="Q43" s="44"/>
      <c r="R43" s="44" t="s">
        <v>29</v>
      </c>
      <c r="S43" s="44"/>
      <c r="T43" s="44" t="s">
        <v>29</v>
      </c>
      <c r="U43" s="44"/>
      <c r="V43" s="27" t="s">
        <v>441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24</v>
      </c>
      <c r="B44" s="43" t="s">
        <v>890</v>
      </c>
      <c r="C44" s="28">
        <v>44067</v>
      </c>
      <c r="D44" s="111" t="s">
        <v>58</v>
      </c>
      <c r="E44" s="112" t="s">
        <v>74</v>
      </c>
      <c r="F44" s="113" t="s">
        <v>78</v>
      </c>
      <c r="G44" s="114">
        <v>36</v>
      </c>
      <c r="H44" s="22" t="s">
        <v>69</v>
      </c>
      <c r="I44" s="22" t="s">
        <v>28</v>
      </c>
      <c r="J44" s="22">
        <v>230</v>
      </c>
      <c r="K44" s="44"/>
      <c r="L44" s="44"/>
      <c r="M44" s="135"/>
      <c r="N44" s="44"/>
      <c r="O44" s="44"/>
      <c r="P44" s="44"/>
      <c r="Q44" s="44"/>
      <c r="R44" s="115" t="s">
        <v>70</v>
      </c>
      <c r="S44" s="44" t="s">
        <v>29</v>
      </c>
      <c r="T44" s="44"/>
      <c r="U44" s="44"/>
      <c r="V44" s="118" t="s">
        <v>784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24</v>
      </c>
      <c r="B45" s="43" t="s">
        <v>890</v>
      </c>
      <c r="C45" s="26">
        <v>44068</v>
      </c>
      <c r="D45" s="111" t="s">
        <v>54</v>
      </c>
      <c r="E45" s="112" t="s">
        <v>74</v>
      </c>
      <c r="F45" s="113" t="s">
        <v>78</v>
      </c>
      <c r="G45" s="114">
        <v>2</v>
      </c>
      <c r="H45" s="22" t="s">
        <v>69</v>
      </c>
      <c r="I45" s="22" t="s">
        <v>28</v>
      </c>
      <c r="J45" s="22">
        <v>230</v>
      </c>
      <c r="K45" s="44"/>
      <c r="L45" s="44"/>
      <c r="M45" s="135"/>
      <c r="N45" s="44"/>
      <c r="O45" s="44"/>
      <c r="P45" s="44"/>
      <c r="Q45" s="44"/>
      <c r="R45" s="115" t="s">
        <v>70</v>
      </c>
      <c r="S45" s="44" t="s">
        <v>29</v>
      </c>
      <c r="T45" s="44"/>
      <c r="U45" s="44"/>
      <c r="V45" s="118" t="s">
        <v>785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889</v>
      </c>
      <c r="C46" s="26">
        <v>44068</v>
      </c>
      <c r="D46" s="111" t="s">
        <v>54</v>
      </c>
      <c r="E46" s="112" t="s">
        <v>74</v>
      </c>
      <c r="F46" s="113" t="s">
        <v>78</v>
      </c>
      <c r="G46" s="114">
        <v>90</v>
      </c>
      <c r="H46" s="22" t="s">
        <v>69</v>
      </c>
      <c r="I46" s="22" t="s">
        <v>28</v>
      </c>
      <c r="J46" s="22">
        <v>230</v>
      </c>
      <c r="K46" s="44"/>
      <c r="L46" s="44"/>
      <c r="M46" s="135"/>
      <c r="N46" s="44"/>
      <c r="O46" s="44"/>
      <c r="P46" s="44"/>
      <c r="Q46" s="44"/>
      <c r="R46" s="115" t="s">
        <v>70</v>
      </c>
      <c r="S46" s="44" t="s">
        <v>29</v>
      </c>
      <c r="T46" s="44"/>
      <c r="U46" s="44"/>
      <c r="V46" s="118" t="s">
        <v>785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889</v>
      </c>
      <c r="C47" s="28">
        <v>44068</v>
      </c>
      <c r="D47" s="111" t="s">
        <v>55</v>
      </c>
      <c r="E47" s="112" t="s">
        <v>196</v>
      </c>
      <c r="F47" s="113" t="s">
        <v>197</v>
      </c>
      <c r="G47" s="114">
        <v>15</v>
      </c>
      <c r="H47" s="22" t="s">
        <v>69</v>
      </c>
      <c r="I47" s="22" t="s">
        <v>28</v>
      </c>
      <c r="J47" s="22">
        <v>230</v>
      </c>
      <c r="K47" s="44"/>
      <c r="L47" s="44"/>
      <c r="M47" s="135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27" t="s">
        <v>786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889</v>
      </c>
      <c r="C48" s="28">
        <v>44068</v>
      </c>
      <c r="D48" s="111" t="s">
        <v>56</v>
      </c>
      <c r="E48" s="112" t="s">
        <v>87</v>
      </c>
      <c r="F48" s="113" t="s">
        <v>88</v>
      </c>
      <c r="G48" s="114">
        <v>50</v>
      </c>
      <c r="H48" s="22" t="s">
        <v>89</v>
      </c>
      <c r="I48" s="22" t="s">
        <v>18</v>
      </c>
      <c r="J48" s="22">
        <v>220</v>
      </c>
      <c r="K48" s="44"/>
      <c r="L48" s="44"/>
      <c r="M48" s="135" t="s">
        <v>47</v>
      </c>
      <c r="N48" s="44"/>
      <c r="O48" s="44"/>
      <c r="P48" s="44"/>
      <c r="Q48" s="44"/>
      <c r="R48" s="44" t="s">
        <v>29</v>
      </c>
      <c r="S48" s="44"/>
      <c r="T48" s="44" t="s">
        <v>29</v>
      </c>
      <c r="U48" s="44"/>
      <c r="V48" s="118" t="s">
        <v>442</v>
      </c>
      <c r="W48" s="22"/>
      <c r="X48" s="95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889</v>
      </c>
      <c r="C49" s="28">
        <v>44068</v>
      </c>
      <c r="D49" s="111" t="s">
        <v>57</v>
      </c>
      <c r="E49" s="112" t="s">
        <v>116</v>
      </c>
      <c r="F49" s="113" t="s">
        <v>117</v>
      </c>
      <c r="G49" s="114">
        <v>13</v>
      </c>
      <c r="H49" s="22" t="s">
        <v>68</v>
      </c>
      <c r="I49" s="22" t="s">
        <v>18</v>
      </c>
      <c r="J49" s="22">
        <v>220</v>
      </c>
      <c r="K49" s="44"/>
      <c r="L49" s="44"/>
      <c r="M49" s="135"/>
      <c r="N49" s="44"/>
      <c r="O49" s="44"/>
      <c r="P49" s="44"/>
      <c r="Q49" s="44"/>
      <c r="R49" s="44" t="s">
        <v>29</v>
      </c>
      <c r="S49" s="44"/>
      <c r="T49" s="44" t="s">
        <v>29</v>
      </c>
      <c r="U49" s="44"/>
      <c r="V49" s="118" t="s">
        <v>443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25</v>
      </c>
      <c r="B50" s="43" t="s">
        <v>890</v>
      </c>
      <c r="C50" s="28">
        <v>44068</v>
      </c>
      <c r="D50" s="111" t="s">
        <v>57</v>
      </c>
      <c r="E50" s="112" t="s">
        <v>116</v>
      </c>
      <c r="F50" s="113" t="s">
        <v>117</v>
      </c>
      <c r="G50" s="114">
        <v>26</v>
      </c>
      <c r="H50" s="22" t="s">
        <v>68</v>
      </c>
      <c r="I50" s="22" t="s">
        <v>18</v>
      </c>
      <c r="J50" s="22">
        <v>220</v>
      </c>
      <c r="K50" s="44"/>
      <c r="L50" s="44"/>
      <c r="M50" s="135"/>
      <c r="N50" s="44"/>
      <c r="O50" s="44"/>
      <c r="P50" s="44"/>
      <c r="Q50" s="44"/>
      <c r="R50" s="44" t="s">
        <v>29</v>
      </c>
      <c r="S50" s="44"/>
      <c r="T50" s="44" t="s">
        <v>29</v>
      </c>
      <c r="U50" s="44"/>
      <c r="V50" s="118" t="s">
        <v>443</v>
      </c>
      <c r="W50" s="22"/>
      <c r="X50" s="95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25</v>
      </c>
      <c r="B51" s="43" t="s">
        <v>890</v>
      </c>
      <c r="C51" s="28">
        <v>44068</v>
      </c>
      <c r="D51" s="111" t="s">
        <v>58</v>
      </c>
      <c r="E51" s="112" t="s">
        <v>200</v>
      </c>
      <c r="F51" s="113" t="s">
        <v>201</v>
      </c>
      <c r="G51" s="114">
        <v>89</v>
      </c>
      <c r="H51" s="22" t="s">
        <v>68</v>
      </c>
      <c r="I51" s="22" t="s">
        <v>28</v>
      </c>
      <c r="J51" s="22">
        <v>230</v>
      </c>
      <c r="K51" s="44"/>
      <c r="L51" s="44"/>
      <c r="M51" s="135"/>
      <c r="N51" s="44"/>
      <c r="O51" s="44" t="s">
        <v>29</v>
      </c>
      <c r="P51" s="44"/>
      <c r="Q51" s="44"/>
      <c r="R51" s="44" t="s">
        <v>29</v>
      </c>
      <c r="S51" s="44"/>
      <c r="T51" s="44"/>
      <c r="U51" s="44"/>
      <c r="V51" s="118" t="s">
        <v>444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25</v>
      </c>
      <c r="B52" s="43" t="s">
        <v>890</v>
      </c>
      <c r="C52" s="28">
        <v>44068</v>
      </c>
      <c r="D52" s="111" t="s">
        <v>59</v>
      </c>
      <c r="E52" s="112" t="s">
        <v>121</v>
      </c>
      <c r="F52" s="113" t="s">
        <v>122</v>
      </c>
      <c r="G52" s="114">
        <v>15</v>
      </c>
      <c r="H52" s="22" t="s">
        <v>125</v>
      </c>
      <c r="I52" s="22" t="s">
        <v>18</v>
      </c>
      <c r="J52" s="22">
        <v>220</v>
      </c>
      <c r="K52" s="44"/>
      <c r="L52" s="44"/>
      <c r="M52" s="135" t="s">
        <v>47</v>
      </c>
      <c r="N52" s="44"/>
      <c r="O52" s="44"/>
      <c r="P52" s="44"/>
      <c r="Q52" s="44"/>
      <c r="R52" s="44" t="s">
        <v>29</v>
      </c>
      <c r="S52" s="44"/>
      <c r="T52" s="44" t="s">
        <v>29</v>
      </c>
      <c r="U52" s="44"/>
      <c r="V52" s="27" t="s">
        <v>445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25</v>
      </c>
      <c r="B53" s="43" t="s">
        <v>890</v>
      </c>
      <c r="C53" s="28">
        <v>44068</v>
      </c>
      <c r="D53" s="111" t="s">
        <v>60</v>
      </c>
      <c r="E53" s="112" t="s">
        <v>74</v>
      </c>
      <c r="F53" s="113" t="s">
        <v>78</v>
      </c>
      <c r="G53" s="114">
        <v>36</v>
      </c>
      <c r="H53" s="22" t="s">
        <v>69</v>
      </c>
      <c r="I53" s="22" t="s">
        <v>28</v>
      </c>
      <c r="J53" s="22">
        <v>230</v>
      </c>
      <c r="K53" s="44"/>
      <c r="L53" s="44"/>
      <c r="M53" s="135"/>
      <c r="N53" s="44"/>
      <c r="O53" s="44"/>
      <c r="P53" s="44"/>
      <c r="Q53" s="44"/>
      <c r="R53" s="115" t="s">
        <v>70</v>
      </c>
      <c r="S53" s="44" t="s">
        <v>29</v>
      </c>
      <c r="T53" s="44"/>
      <c r="U53" s="44"/>
      <c r="V53" s="118" t="s">
        <v>787</v>
      </c>
      <c r="W53" s="22"/>
      <c r="X53" s="95"/>
      <c r="Y53" s="39" t="e">
        <f t="shared" si="0"/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25</v>
      </c>
      <c r="B54" s="43" t="s">
        <v>890</v>
      </c>
      <c r="C54" s="26">
        <v>44069</v>
      </c>
      <c r="D54" s="111" t="s">
        <v>54</v>
      </c>
      <c r="E54" s="112" t="s">
        <v>74</v>
      </c>
      <c r="F54" s="113" t="s">
        <v>78</v>
      </c>
      <c r="G54" s="114">
        <v>2</v>
      </c>
      <c r="H54" s="22" t="s">
        <v>69</v>
      </c>
      <c r="I54" s="22" t="s">
        <v>28</v>
      </c>
      <c r="J54" s="22">
        <v>230</v>
      </c>
      <c r="K54" s="44"/>
      <c r="L54" s="44"/>
      <c r="M54" s="135"/>
      <c r="N54" s="44"/>
      <c r="O54" s="44"/>
      <c r="P54" s="44"/>
      <c r="Q54" s="44"/>
      <c r="R54" s="115" t="s">
        <v>70</v>
      </c>
      <c r="S54" s="44" t="s">
        <v>29</v>
      </c>
      <c r="T54" s="44"/>
      <c r="U54" s="44"/>
      <c r="V54" s="118" t="s">
        <v>788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889</v>
      </c>
      <c r="C55" s="26">
        <v>44069</v>
      </c>
      <c r="D55" s="111" t="s">
        <v>54</v>
      </c>
      <c r="E55" s="112" t="s">
        <v>74</v>
      </c>
      <c r="F55" s="113" t="s">
        <v>78</v>
      </c>
      <c r="G55" s="114">
        <v>51</v>
      </c>
      <c r="H55" s="22" t="s">
        <v>69</v>
      </c>
      <c r="I55" s="22" t="s">
        <v>28</v>
      </c>
      <c r="J55" s="22">
        <v>230</v>
      </c>
      <c r="K55" s="44"/>
      <c r="L55" s="44"/>
      <c r="M55" s="135"/>
      <c r="N55" s="44"/>
      <c r="O55" s="44"/>
      <c r="P55" s="44"/>
      <c r="Q55" s="44"/>
      <c r="R55" s="115" t="s">
        <v>70</v>
      </c>
      <c r="S55" s="44" t="s">
        <v>29</v>
      </c>
      <c r="T55" s="44"/>
      <c r="U55" s="44"/>
      <c r="V55" s="118" t="s">
        <v>788</v>
      </c>
      <c r="W55" s="22"/>
      <c r="X55" s="95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889</v>
      </c>
      <c r="C56" s="28">
        <v>44069</v>
      </c>
      <c r="D56" s="111" t="s">
        <v>55</v>
      </c>
      <c r="E56" s="112" t="s">
        <v>196</v>
      </c>
      <c r="F56" s="113" t="s">
        <v>197</v>
      </c>
      <c r="G56" s="114">
        <v>54</v>
      </c>
      <c r="H56" s="22" t="s">
        <v>69</v>
      </c>
      <c r="I56" s="22" t="s">
        <v>28</v>
      </c>
      <c r="J56" s="22">
        <v>230</v>
      </c>
      <c r="K56" s="44"/>
      <c r="L56" s="44"/>
      <c r="M56" s="135"/>
      <c r="N56" s="44"/>
      <c r="O56" s="44"/>
      <c r="P56" s="44"/>
      <c r="Q56" s="44"/>
      <c r="R56" s="115" t="s">
        <v>70</v>
      </c>
      <c r="S56" s="44" t="s">
        <v>29</v>
      </c>
      <c r="T56" s="44"/>
      <c r="U56" s="44"/>
      <c r="V56" s="27" t="s">
        <v>789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889</v>
      </c>
      <c r="C57" s="28">
        <v>44069</v>
      </c>
      <c r="D57" s="111" t="s">
        <v>56</v>
      </c>
      <c r="E57" s="112" t="s">
        <v>87</v>
      </c>
      <c r="F57" s="113" t="s">
        <v>88</v>
      </c>
      <c r="G57" s="114">
        <v>31</v>
      </c>
      <c r="H57" s="22" t="s">
        <v>89</v>
      </c>
      <c r="I57" s="22" t="s">
        <v>18</v>
      </c>
      <c r="J57" s="22">
        <v>220</v>
      </c>
      <c r="K57" s="44"/>
      <c r="L57" s="44"/>
      <c r="M57" s="135" t="s">
        <v>47</v>
      </c>
      <c r="N57" s="44"/>
      <c r="O57" s="44"/>
      <c r="P57" s="44"/>
      <c r="Q57" s="44"/>
      <c r="R57" s="44" t="s">
        <v>29</v>
      </c>
      <c r="S57" s="44"/>
      <c r="T57" s="44" t="s">
        <v>29</v>
      </c>
      <c r="U57" s="44"/>
      <c r="V57" s="118" t="s">
        <v>446</v>
      </c>
      <c r="W57" s="22"/>
      <c r="X57" s="95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26</v>
      </c>
      <c r="B58" s="43" t="s">
        <v>889</v>
      </c>
      <c r="C58" s="28">
        <v>44069</v>
      </c>
      <c r="D58" s="111" t="s">
        <v>57</v>
      </c>
      <c r="E58" s="112" t="s">
        <v>116</v>
      </c>
      <c r="F58" s="113" t="s">
        <v>117</v>
      </c>
      <c r="G58" s="114">
        <v>32</v>
      </c>
      <c r="H58" s="22" t="s">
        <v>68</v>
      </c>
      <c r="I58" s="22" t="s">
        <v>18</v>
      </c>
      <c r="J58" s="22">
        <v>220</v>
      </c>
      <c r="K58" s="44"/>
      <c r="L58" s="44"/>
      <c r="M58" s="135"/>
      <c r="N58" s="44"/>
      <c r="O58" s="44"/>
      <c r="P58" s="44"/>
      <c r="Q58" s="44"/>
      <c r="R58" s="44" t="s">
        <v>29</v>
      </c>
      <c r="S58" s="44"/>
      <c r="T58" s="44" t="s">
        <v>29</v>
      </c>
      <c r="U58" s="44"/>
      <c r="V58" s="118" t="s">
        <v>447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26</v>
      </c>
      <c r="B59" s="43" t="s">
        <v>890</v>
      </c>
      <c r="C59" s="28">
        <v>44069</v>
      </c>
      <c r="D59" s="111" t="s">
        <v>57</v>
      </c>
      <c r="E59" s="112" t="s">
        <v>116</v>
      </c>
      <c r="F59" s="113" t="s">
        <v>117</v>
      </c>
      <c r="G59" s="114">
        <v>35</v>
      </c>
      <c r="H59" s="22" t="s">
        <v>68</v>
      </c>
      <c r="I59" s="22" t="s">
        <v>18</v>
      </c>
      <c r="J59" s="22">
        <v>220</v>
      </c>
      <c r="K59" s="44"/>
      <c r="L59" s="44"/>
      <c r="M59" s="135"/>
      <c r="N59" s="44"/>
      <c r="O59" s="44"/>
      <c r="P59" s="44"/>
      <c r="Q59" s="44"/>
      <c r="R59" s="44" t="s">
        <v>29</v>
      </c>
      <c r="S59" s="44"/>
      <c r="T59" s="44" t="s">
        <v>29</v>
      </c>
      <c r="U59" s="44"/>
      <c r="V59" s="118" t="s">
        <v>447</v>
      </c>
      <c r="W59" s="22"/>
      <c r="X59" s="95"/>
      <c r="Y59" s="39" t="e">
        <f>IF(E59=E57,Y57,Y57+1)</f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26</v>
      </c>
      <c r="B60" s="43" t="s">
        <v>890</v>
      </c>
      <c r="C60" s="28">
        <v>44069</v>
      </c>
      <c r="D60" s="111" t="s">
        <v>58</v>
      </c>
      <c r="E60" s="112" t="s">
        <v>200</v>
      </c>
      <c r="F60" s="113" t="s">
        <v>201</v>
      </c>
      <c r="G60" s="114">
        <v>80</v>
      </c>
      <c r="H60" s="22" t="s">
        <v>68</v>
      </c>
      <c r="I60" s="22" t="s">
        <v>28</v>
      </c>
      <c r="J60" s="22">
        <v>230</v>
      </c>
      <c r="K60" s="44"/>
      <c r="L60" s="44"/>
      <c r="M60" s="135"/>
      <c r="N60" s="44"/>
      <c r="O60" s="44" t="s">
        <v>29</v>
      </c>
      <c r="P60" s="44"/>
      <c r="Q60" s="44"/>
      <c r="R60" s="44" t="s">
        <v>29</v>
      </c>
      <c r="S60" s="44"/>
      <c r="T60" s="44"/>
      <c r="U60" s="44"/>
      <c r="V60" s="27" t="s">
        <v>448</v>
      </c>
      <c r="W60" s="22"/>
      <c r="X60" s="95"/>
      <c r="Y60" s="39" t="e">
        <f t="shared" ref="Y60:Y137" si="1">IF(E60=E59,Y59,Y59+1)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26</v>
      </c>
      <c r="B61" s="43" t="s">
        <v>890</v>
      </c>
      <c r="C61" s="28">
        <v>44069</v>
      </c>
      <c r="D61" s="111" t="s">
        <v>59</v>
      </c>
      <c r="E61" s="112" t="s">
        <v>121</v>
      </c>
      <c r="F61" s="113" t="s">
        <v>122</v>
      </c>
      <c r="G61" s="114">
        <v>15</v>
      </c>
      <c r="H61" s="22" t="s">
        <v>125</v>
      </c>
      <c r="I61" s="22" t="s">
        <v>18</v>
      </c>
      <c r="J61" s="22">
        <v>220</v>
      </c>
      <c r="K61" s="44"/>
      <c r="L61" s="44"/>
      <c r="M61" s="135" t="s">
        <v>47</v>
      </c>
      <c r="N61" s="44"/>
      <c r="O61" s="44"/>
      <c r="P61" s="44"/>
      <c r="Q61" s="44"/>
      <c r="R61" s="44" t="s">
        <v>29</v>
      </c>
      <c r="S61" s="44"/>
      <c r="T61" s="44" t="s">
        <v>29</v>
      </c>
      <c r="U61" s="44"/>
      <c r="V61" s="27" t="s">
        <v>449</v>
      </c>
      <c r="W61" s="22"/>
      <c r="X61" s="95"/>
      <c r="Y61" s="39" t="e">
        <f t="shared" si="1"/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26</v>
      </c>
      <c r="B62" s="43" t="s">
        <v>890</v>
      </c>
      <c r="C62" s="28">
        <v>44069</v>
      </c>
      <c r="D62" s="111" t="s">
        <v>60</v>
      </c>
      <c r="E62" s="112" t="s">
        <v>74</v>
      </c>
      <c r="F62" s="113" t="s">
        <v>78</v>
      </c>
      <c r="G62" s="114">
        <v>36</v>
      </c>
      <c r="H62" s="22" t="s">
        <v>69</v>
      </c>
      <c r="I62" s="22" t="s">
        <v>28</v>
      </c>
      <c r="J62" s="22">
        <v>230</v>
      </c>
      <c r="K62" s="44"/>
      <c r="L62" s="44"/>
      <c r="M62" s="135"/>
      <c r="N62" s="44"/>
      <c r="O62" s="44"/>
      <c r="P62" s="44"/>
      <c r="Q62" s="44"/>
      <c r="R62" s="115" t="s">
        <v>70</v>
      </c>
      <c r="S62" s="44" t="s">
        <v>29</v>
      </c>
      <c r="T62" s="44"/>
      <c r="U62" s="44"/>
      <c r="V62" s="118" t="s">
        <v>790</v>
      </c>
      <c r="W62" s="22"/>
      <c r="X62" s="95"/>
      <c r="Y62" s="39" t="e">
        <f t="shared" si="1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26</v>
      </c>
      <c r="B63" s="43" t="s">
        <v>890</v>
      </c>
      <c r="C63" s="25">
        <v>44070</v>
      </c>
      <c r="D63" s="111" t="s">
        <v>54</v>
      </c>
      <c r="E63" s="112" t="s">
        <v>74</v>
      </c>
      <c r="F63" s="113" t="s">
        <v>78</v>
      </c>
      <c r="G63" s="114">
        <v>2</v>
      </c>
      <c r="H63" s="22" t="s">
        <v>69</v>
      </c>
      <c r="I63" s="22" t="s">
        <v>28</v>
      </c>
      <c r="J63" s="22">
        <v>230</v>
      </c>
      <c r="K63" s="44"/>
      <c r="L63" s="44"/>
      <c r="M63" s="135"/>
      <c r="N63" s="44"/>
      <c r="O63" s="44"/>
      <c r="P63" s="44"/>
      <c r="Q63" s="44"/>
      <c r="R63" s="115" t="s">
        <v>70</v>
      </c>
      <c r="S63" s="44" t="s">
        <v>29</v>
      </c>
      <c r="T63" s="44"/>
      <c r="U63" s="44"/>
      <c r="V63" s="118" t="s">
        <v>791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27</v>
      </c>
      <c r="B64" s="43" t="s">
        <v>889</v>
      </c>
      <c r="C64" s="25">
        <v>44070</v>
      </c>
      <c r="D64" s="111" t="s">
        <v>54</v>
      </c>
      <c r="E64" s="112" t="s">
        <v>74</v>
      </c>
      <c r="F64" s="113" t="s">
        <v>78</v>
      </c>
      <c r="G64" s="114">
        <v>89</v>
      </c>
      <c r="H64" s="22" t="s">
        <v>69</v>
      </c>
      <c r="I64" s="22" t="s">
        <v>28</v>
      </c>
      <c r="J64" s="22">
        <v>230</v>
      </c>
      <c r="K64" s="44"/>
      <c r="L64" s="44"/>
      <c r="M64" s="135"/>
      <c r="N64" s="44"/>
      <c r="O64" s="44"/>
      <c r="P64" s="44"/>
      <c r="Q64" s="44"/>
      <c r="R64" s="115" t="s">
        <v>70</v>
      </c>
      <c r="S64" s="44" t="s">
        <v>29</v>
      </c>
      <c r="T64" s="44"/>
      <c r="U64" s="44"/>
      <c r="V64" s="118" t="s">
        <v>791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27</v>
      </c>
      <c r="B65" s="43" t="s">
        <v>889</v>
      </c>
      <c r="C65" s="18">
        <v>44070</v>
      </c>
      <c r="D65" s="111" t="s">
        <v>55</v>
      </c>
      <c r="E65" s="112" t="s">
        <v>196</v>
      </c>
      <c r="F65" s="113" t="s">
        <v>197</v>
      </c>
      <c r="G65" s="114">
        <v>2</v>
      </c>
      <c r="H65" s="22" t="s">
        <v>69</v>
      </c>
      <c r="I65" s="22" t="s">
        <v>28</v>
      </c>
      <c r="J65" s="22">
        <v>230</v>
      </c>
      <c r="K65" s="44"/>
      <c r="L65" s="44"/>
      <c r="M65" s="135"/>
      <c r="N65" s="44"/>
      <c r="O65" s="44"/>
      <c r="P65" s="44"/>
      <c r="Q65" s="44"/>
      <c r="R65" s="115" t="s">
        <v>70</v>
      </c>
      <c r="S65" s="44" t="s">
        <v>29</v>
      </c>
      <c r="T65" s="44"/>
      <c r="U65" s="44"/>
      <c r="V65" s="118" t="s">
        <v>792</v>
      </c>
      <c r="W65" s="22"/>
      <c r="X65" s="95"/>
      <c r="Y65" s="39" t="e">
        <f t="shared" si="1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27</v>
      </c>
      <c r="B66" s="43" t="s">
        <v>889</v>
      </c>
      <c r="C66" s="18">
        <v>44070</v>
      </c>
      <c r="D66" s="111" t="s">
        <v>56</v>
      </c>
      <c r="E66" s="112" t="s">
        <v>87</v>
      </c>
      <c r="F66" s="113" t="s">
        <v>88</v>
      </c>
      <c r="G66" s="114">
        <v>30</v>
      </c>
      <c r="H66" s="22" t="s">
        <v>89</v>
      </c>
      <c r="I66" s="22" t="s">
        <v>18</v>
      </c>
      <c r="J66" s="22">
        <v>220</v>
      </c>
      <c r="K66" s="44"/>
      <c r="L66" s="44"/>
      <c r="M66" s="135" t="s">
        <v>47</v>
      </c>
      <c r="N66" s="44"/>
      <c r="O66" s="44"/>
      <c r="P66" s="44"/>
      <c r="Q66" s="44"/>
      <c r="R66" s="44" t="s">
        <v>29</v>
      </c>
      <c r="S66" s="44"/>
      <c r="T66" s="44" t="s">
        <v>29</v>
      </c>
      <c r="U66" s="44"/>
      <c r="V66" s="118" t="s">
        <v>450</v>
      </c>
      <c r="W66" s="22"/>
      <c r="X66" s="95"/>
      <c r="Y66" s="39" t="e">
        <f t="shared" si="1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27</v>
      </c>
      <c r="B67" s="43" t="s">
        <v>889</v>
      </c>
      <c r="C67" s="18">
        <v>44070</v>
      </c>
      <c r="D67" s="111" t="s">
        <v>57</v>
      </c>
      <c r="E67" s="112" t="s">
        <v>200</v>
      </c>
      <c r="F67" s="113" t="s">
        <v>201</v>
      </c>
      <c r="G67" s="114">
        <v>39</v>
      </c>
      <c r="H67" s="22" t="s">
        <v>68</v>
      </c>
      <c r="I67" s="22" t="s">
        <v>28</v>
      </c>
      <c r="J67" s="22">
        <v>230</v>
      </c>
      <c r="K67" s="44"/>
      <c r="L67" s="44"/>
      <c r="M67" s="135"/>
      <c r="N67" s="44"/>
      <c r="O67" s="44" t="s">
        <v>29</v>
      </c>
      <c r="P67" s="44"/>
      <c r="Q67" s="44"/>
      <c r="R67" s="44" t="s">
        <v>29</v>
      </c>
      <c r="S67" s="44"/>
      <c r="T67" s="44"/>
      <c r="U67" s="44"/>
      <c r="V67" s="118" t="s">
        <v>451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27</v>
      </c>
      <c r="B68" s="43" t="s">
        <v>890</v>
      </c>
      <c r="C68" s="18">
        <v>44070</v>
      </c>
      <c r="D68" s="111" t="s">
        <v>57</v>
      </c>
      <c r="E68" s="112" t="s">
        <v>200</v>
      </c>
      <c r="F68" s="113" t="s">
        <v>201</v>
      </c>
      <c r="G68" s="114">
        <v>27</v>
      </c>
      <c r="H68" s="22" t="s">
        <v>68</v>
      </c>
      <c r="I68" s="22" t="s">
        <v>28</v>
      </c>
      <c r="J68" s="22">
        <v>230</v>
      </c>
      <c r="K68" s="44"/>
      <c r="L68" s="44"/>
      <c r="M68" s="135"/>
      <c r="N68" s="44"/>
      <c r="O68" s="44" t="s">
        <v>29</v>
      </c>
      <c r="P68" s="44"/>
      <c r="Q68" s="44"/>
      <c r="R68" s="44" t="s">
        <v>29</v>
      </c>
      <c r="S68" s="44"/>
      <c r="T68" s="44"/>
      <c r="U68" s="44"/>
      <c r="V68" s="118" t="s">
        <v>451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27</v>
      </c>
      <c r="B69" s="43" t="s">
        <v>890</v>
      </c>
      <c r="C69" s="18">
        <v>44070</v>
      </c>
      <c r="D69" s="111" t="s">
        <v>58</v>
      </c>
      <c r="E69" s="112" t="s">
        <v>139</v>
      </c>
      <c r="F69" s="113" t="s">
        <v>140</v>
      </c>
      <c r="G69" s="114">
        <v>80</v>
      </c>
      <c r="H69" s="22" t="s">
        <v>68</v>
      </c>
      <c r="I69" s="22" t="s">
        <v>19</v>
      </c>
      <c r="J69" s="22">
        <v>220</v>
      </c>
      <c r="K69" s="44"/>
      <c r="L69" s="44"/>
      <c r="M69" s="135"/>
      <c r="N69" s="44"/>
      <c r="O69" s="44" t="s">
        <v>29</v>
      </c>
      <c r="P69" s="44"/>
      <c r="Q69" s="44"/>
      <c r="R69" s="44" t="s">
        <v>29</v>
      </c>
      <c r="S69" s="44"/>
      <c r="T69" s="44" t="s">
        <v>29</v>
      </c>
      <c r="U69" s="44"/>
      <c r="V69" s="118" t="s">
        <v>452</v>
      </c>
      <c r="W69" s="22"/>
      <c r="X69" s="95"/>
      <c r="Y69" s="39" t="e">
        <f t="shared" si="1"/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27</v>
      </c>
      <c r="B70" s="43" t="s">
        <v>890</v>
      </c>
      <c r="C70" s="18">
        <v>44070</v>
      </c>
      <c r="D70" s="144" t="s">
        <v>59</v>
      </c>
      <c r="E70" s="145" t="s">
        <v>121</v>
      </c>
      <c r="F70" s="146" t="s">
        <v>122</v>
      </c>
      <c r="G70" s="147">
        <v>15</v>
      </c>
      <c r="H70" s="90" t="s">
        <v>125</v>
      </c>
      <c r="I70" s="154" t="s">
        <v>18</v>
      </c>
      <c r="J70" s="154">
        <v>220</v>
      </c>
      <c r="K70" s="89"/>
      <c r="L70" s="89"/>
      <c r="M70" s="135" t="s">
        <v>47</v>
      </c>
      <c r="N70" s="44"/>
      <c r="O70" s="44"/>
      <c r="P70" s="44"/>
      <c r="Q70" s="44"/>
      <c r="R70" s="44" t="s">
        <v>29</v>
      </c>
      <c r="S70" s="44"/>
      <c r="T70" s="44" t="s">
        <v>29</v>
      </c>
      <c r="U70" s="44"/>
      <c r="V70" s="118" t="s">
        <v>453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27</v>
      </c>
      <c r="B71" s="43" t="s">
        <v>890</v>
      </c>
      <c r="C71" s="18">
        <v>44070</v>
      </c>
      <c r="D71" s="144" t="s">
        <v>60</v>
      </c>
      <c r="E71" s="145" t="s">
        <v>71</v>
      </c>
      <c r="F71" s="146" t="s">
        <v>75</v>
      </c>
      <c r="G71" s="147">
        <v>36</v>
      </c>
      <c r="H71" s="90" t="s">
        <v>69</v>
      </c>
      <c r="I71" s="154" t="s">
        <v>28</v>
      </c>
      <c r="J71" s="154">
        <v>230</v>
      </c>
      <c r="K71" s="89"/>
      <c r="L71" s="89"/>
      <c r="M71" s="135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793</v>
      </c>
      <c r="W71" s="22"/>
      <c r="X71" s="95"/>
      <c r="Y71" s="39" t="e">
        <f t="shared" si="1"/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27</v>
      </c>
      <c r="B72" s="43" t="s">
        <v>890</v>
      </c>
      <c r="C72" s="25">
        <v>44071</v>
      </c>
      <c r="D72" s="144" t="s">
        <v>54</v>
      </c>
      <c r="E72" s="145" t="s">
        <v>71</v>
      </c>
      <c r="F72" s="146" t="s">
        <v>75</v>
      </c>
      <c r="G72" s="147">
        <v>2</v>
      </c>
      <c r="H72" s="90" t="s">
        <v>69</v>
      </c>
      <c r="I72" s="154" t="s">
        <v>28</v>
      </c>
      <c r="J72" s="154">
        <v>230</v>
      </c>
      <c r="K72" s="89"/>
      <c r="L72" s="89"/>
      <c r="M72" s="135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9" t="s">
        <v>794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28</v>
      </c>
      <c r="B73" s="43" t="s">
        <v>889</v>
      </c>
      <c r="C73" s="25">
        <v>44071</v>
      </c>
      <c r="D73" s="144" t="s">
        <v>54</v>
      </c>
      <c r="E73" s="145" t="s">
        <v>71</v>
      </c>
      <c r="F73" s="146" t="s">
        <v>75</v>
      </c>
      <c r="G73" s="147">
        <v>82</v>
      </c>
      <c r="H73" s="90" t="s">
        <v>69</v>
      </c>
      <c r="I73" s="154" t="s">
        <v>28</v>
      </c>
      <c r="J73" s="154">
        <v>230</v>
      </c>
      <c r="K73" s="89"/>
      <c r="L73" s="89"/>
      <c r="M73" s="135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9" t="s">
        <v>794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28</v>
      </c>
      <c r="B74" s="43" t="s">
        <v>889</v>
      </c>
      <c r="C74" s="18">
        <v>44071</v>
      </c>
      <c r="D74" s="144" t="s">
        <v>55</v>
      </c>
      <c r="E74" s="145" t="s">
        <v>87</v>
      </c>
      <c r="F74" s="146" t="s">
        <v>88</v>
      </c>
      <c r="G74" s="147">
        <v>30</v>
      </c>
      <c r="H74" s="90" t="s">
        <v>89</v>
      </c>
      <c r="I74" s="154" t="s">
        <v>18</v>
      </c>
      <c r="J74" s="154">
        <v>220</v>
      </c>
      <c r="K74" s="89"/>
      <c r="L74" s="89"/>
      <c r="M74" s="135" t="s">
        <v>47</v>
      </c>
      <c r="N74" s="44"/>
      <c r="O74" s="44"/>
      <c r="P74" s="44"/>
      <c r="Q74" s="44"/>
      <c r="R74" s="44" t="s">
        <v>29</v>
      </c>
      <c r="S74" s="44"/>
      <c r="T74" s="44" t="s">
        <v>29</v>
      </c>
      <c r="U74" s="44"/>
      <c r="V74" s="19" t="s">
        <v>454</v>
      </c>
      <c r="W74" s="22"/>
      <c r="X74" s="95"/>
      <c r="Y74" s="39" t="e">
        <f t="shared" si="1"/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28</v>
      </c>
      <c r="B75" s="43" t="s">
        <v>889</v>
      </c>
      <c r="C75" s="18">
        <v>44071</v>
      </c>
      <c r="D75" s="144" t="s">
        <v>56</v>
      </c>
      <c r="E75" s="145" t="s">
        <v>116</v>
      </c>
      <c r="F75" s="146" t="s">
        <v>117</v>
      </c>
      <c r="G75" s="147">
        <v>18</v>
      </c>
      <c r="H75" s="90" t="s">
        <v>68</v>
      </c>
      <c r="I75" s="154" t="s">
        <v>18</v>
      </c>
      <c r="J75" s="154">
        <v>220</v>
      </c>
      <c r="K75" s="89"/>
      <c r="L75" s="89"/>
      <c r="M75" s="135"/>
      <c r="N75" s="44"/>
      <c r="O75" s="44"/>
      <c r="P75" s="44"/>
      <c r="Q75" s="44"/>
      <c r="R75" s="44" t="s">
        <v>29</v>
      </c>
      <c r="S75" s="44"/>
      <c r="T75" s="44" t="s">
        <v>29</v>
      </c>
      <c r="U75" s="44"/>
      <c r="V75" s="93" t="s">
        <v>455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28</v>
      </c>
      <c r="B76" s="43" t="s">
        <v>890</v>
      </c>
      <c r="C76" s="18">
        <v>44071</v>
      </c>
      <c r="D76" s="144" t="s">
        <v>56</v>
      </c>
      <c r="E76" s="145" t="s">
        <v>116</v>
      </c>
      <c r="F76" s="146" t="s">
        <v>117</v>
      </c>
      <c r="G76" s="147">
        <v>17</v>
      </c>
      <c r="H76" s="90" t="s">
        <v>68</v>
      </c>
      <c r="I76" s="154" t="s">
        <v>18</v>
      </c>
      <c r="J76" s="154">
        <v>220</v>
      </c>
      <c r="K76" s="89"/>
      <c r="L76" s="89"/>
      <c r="M76" s="135"/>
      <c r="N76" s="44"/>
      <c r="O76" s="44"/>
      <c r="P76" s="44"/>
      <c r="Q76" s="44"/>
      <c r="R76" s="44" t="s">
        <v>29</v>
      </c>
      <c r="S76" s="44"/>
      <c r="T76" s="44" t="s">
        <v>29</v>
      </c>
      <c r="U76" s="44"/>
      <c r="V76" s="93" t="s">
        <v>455</v>
      </c>
      <c r="W76" s="22"/>
      <c r="X76" s="95"/>
      <c r="Y76" s="39" t="e">
        <f>IF(E76=E74,Y74,Y74+1)</f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28</v>
      </c>
      <c r="B77" s="43" t="s">
        <v>890</v>
      </c>
      <c r="C77" s="18">
        <v>44071</v>
      </c>
      <c r="D77" s="144" t="s">
        <v>57</v>
      </c>
      <c r="E77" s="145" t="s">
        <v>139</v>
      </c>
      <c r="F77" s="146" t="s">
        <v>140</v>
      </c>
      <c r="G77" s="147">
        <v>60</v>
      </c>
      <c r="H77" s="90" t="s">
        <v>68</v>
      </c>
      <c r="I77" s="154" t="s">
        <v>19</v>
      </c>
      <c r="J77" s="154">
        <v>220</v>
      </c>
      <c r="K77" s="89"/>
      <c r="L77" s="89"/>
      <c r="M77" s="135"/>
      <c r="N77" s="44"/>
      <c r="O77" s="44" t="s">
        <v>29</v>
      </c>
      <c r="P77" s="44"/>
      <c r="Q77" s="44"/>
      <c r="R77" s="44" t="s">
        <v>29</v>
      </c>
      <c r="S77" s="44"/>
      <c r="T77" s="44" t="s">
        <v>29</v>
      </c>
      <c r="U77" s="44"/>
      <c r="V77" s="93" t="s">
        <v>456</v>
      </c>
      <c r="W77" s="22"/>
      <c r="X77" s="95"/>
      <c r="Y77" s="39" t="e">
        <f t="shared" si="1"/>
        <v>#REF!</v>
      </c>
      <c r="Z77" s="39"/>
      <c r="AA77" s="1"/>
      <c r="AB77" s="40"/>
      <c r="AC77" s="41"/>
      <c r="AD77" s="42"/>
    </row>
    <row r="78" spans="1:30" ht="39.950000000000003" customHeight="1">
      <c r="A78" s="5">
        <v>28</v>
      </c>
      <c r="B78" s="5" t="s">
        <v>890</v>
      </c>
      <c r="C78" s="18">
        <v>44071</v>
      </c>
      <c r="D78" s="144" t="s">
        <v>58</v>
      </c>
      <c r="E78" s="145" t="s">
        <v>121</v>
      </c>
      <c r="F78" s="146" t="s">
        <v>122</v>
      </c>
      <c r="G78" s="147">
        <v>15</v>
      </c>
      <c r="H78" s="90" t="s">
        <v>125</v>
      </c>
      <c r="I78" s="154" t="s">
        <v>18</v>
      </c>
      <c r="J78" s="154">
        <v>220</v>
      </c>
      <c r="K78" s="89"/>
      <c r="L78" s="89"/>
      <c r="M78" s="136" t="s">
        <v>47</v>
      </c>
      <c r="N78" s="89"/>
      <c r="O78" s="89"/>
      <c r="P78" s="89"/>
      <c r="Q78" s="89"/>
      <c r="R78" s="89" t="s">
        <v>29</v>
      </c>
      <c r="S78" s="89"/>
      <c r="T78" s="89" t="s">
        <v>29</v>
      </c>
      <c r="U78" s="89"/>
      <c r="V78" s="61" t="s">
        <v>457</v>
      </c>
      <c r="W78" s="104"/>
      <c r="Y78" s="39" t="e">
        <f t="shared" si="1"/>
        <v>#REF!</v>
      </c>
    </row>
    <row r="79" spans="1:30" ht="39.950000000000003" customHeight="1">
      <c r="A79" s="5">
        <v>28</v>
      </c>
      <c r="B79" s="5" t="s">
        <v>890</v>
      </c>
      <c r="C79" s="18">
        <v>44071</v>
      </c>
      <c r="D79" s="144" t="s">
        <v>59</v>
      </c>
      <c r="E79" s="145" t="s">
        <v>71</v>
      </c>
      <c r="F79" s="146" t="s">
        <v>75</v>
      </c>
      <c r="G79" s="147">
        <v>15</v>
      </c>
      <c r="H79" s="90" t="s">
        <v>69</v>
      </c>
      <c r="I79" s="154" t="s">
        <v>28</v>
      </c>
      <c r="J79" s="154">
        <v>230</v>
      </c>
      <c r="K79" s="89"/>
      <c r="L79" s="89"/>
      <c r="M79" s="136"/>
      <c r="N79" s="89"/>
      <c r="O79" s="89"/>
      <c r="P79" s="89"/>
      <c r="Q79" s="89"/>
      <c r="R79" s="149" t="s">
        <v>70</v>
      </c>
      <c r="S79" s="89" t="s">
        <v>29</v>
      </c>
      <c r="T79" s="89"/>
      <c r="U79" s="89"/>
      <c r="V79" s="155" t="s">
        <v>795</v>
      </c>
      <c r="W79" s="104"/>
      <c r="Y79" s="39" t="e">
        <f t="shared" si="1"/>
        <v>#REF!</v>
      </c>
    </row>
    <row r="80" spans="1:30" ht="39.950000000000003" customHeight="1">
      <c r="A80" s="5">
        <v>28</v>
      </c>
      <c r="B80" s="5" t="s">
        <v>890</v>
      </c>
      <c r="C80" s="18">
        <v>44071</v>
      </c>
      <c r="D80" s="144" t="s">
        <v>60</v>
      </c>
      <c r="E80" s="145" t="s">
        <v>74</v>
      </c>
      <c r="F80" s="146" t="s">
        <v>78</v>
      </c>
      <c r="G80" s="147">
        <v>21</v>
      </c>
      <c r="H80" s="90" t="s">
        <v>69</v>
      </c>
      <c r="I80" s="154" t="s">
        <v>28</v>
      </c>
      <c r="J80" s="154">
        <v>230</v>
      </c>
      <c r="K80" s="89"/>
      <c r="L80" s="89"/>
      <c r="M80" s="136"/>
      <c r="N80" s="148"/>
      <c r="O80" s="148"/>
      <c r="P80" s="148"/>
      <c r="Q80" s="148"/>
      <c r="R80" s="149" t="s">
        <v>70</v>
      </c>
      <c r="S80" s="148" t="s">
        <v>29</v>
      </c>
      <c r="T80" s="148"/>
      <c r="U80" s="148"/>
      <c r="V80" s="155" t="s">
        <v>796</v>
      </c>
      <c r="W80" s="104"/>
      <c r="Y80" s="39" t="e">
        <f t="shared" si="1"/>
        <v>#REF!</v>
      </c>
    </row>
    <row r="81" spans="1:25" ht="39.950000000000003" customHeight="1">
      <c r="A81" s="5">
        <v>28</v>
      </c>
      <c r="B81" s="5" t="s">
        <v>890</v>
      </c>
      <c r="C81" s="25">
        <v>44072</v>
      </c>
      <c r="D81" s="144" t="s">
        <v>54</v>
      </c>
      <c r="E81" s="145" t="s">
        <v>74</v>
      </c>
      <c r="F81" s="146" t="s">
        <v>78</v>
      </c>
      <c r="G81" s="147">
        <v>2</v>
      </c>
      <c r="H81" s="90" t="s">
        <v>69</v>
      </c>
      <c r="I81" s="154" t="s">
        <v>28</v>
      </c>
      <c r="J81" s="154">
        <v>230</v>
      </c>
      <c r="K81" s="89"/>
      <c r="L81" s="89"/>
      <c r="M81" s="136"/>
      <c r="N81" s="148"/>
      <c r="O81" s="148"/>
      <c r="P81" s="148"/>
      <c r="Q81" s="148"/>
      <c r="R81" s="149" t="s">
        <v>70</v>
      </c>
      <c r="S81" s="148" t="s">
        <v>29</v>
      </c>
      <c r="T81" s="148"/>
      <c r="U81" s="148"/>
      <c r="V81" s="155" t="s">
        <v>797</v>
      </c>
      <c r="W81" s="104"/>
      <c r="Y81" s="39" t="e">
        <f>IF(E81=E79,Y79,Y79+1)</f>
        <v>#REF!</v>
      </c>
    </row>
    <row r="82" spans="1:25" ht="39.950000000000003" customHeight="1">
      <c r="A82" s="5">
        <v>29</v>
      </c>
      <c r="B82" s="5" t="s">
        <v>889</v>
      </c>
      <c r="C82" s="25">
        <v>44072</v>
      </c>
      <c r="D82" s="144" t="s">
        <v>54</v>
      </c>
      <c r="E82" s="145" t="s">
        <v>74</v>
      </c>
      <c r="F82" s="146" t="s">
        <v>78</v>
      </c>
      <c r="G82" s="147">
        <v>28</v>
      </c>
      <c r="H82" s="90" t="s">
        <v>69</v>
      </c>
      <c r="I82" s="154" t="s">
        <v>28</v>
      </c>
      <c r="J82" s="154">
        <v>230</v>
      </c>
      <c r="K82" s="89"/>
      <c r="L82" s="89"/>
      <c r="M82" s="136"/>
      <c r="N82" s="148"/>
      <c r="O82" s="148"/>
      <c r="P82" s="148"/>
      <c r="Q82" s="148"/>
      <c r="R82" s="149" t="s">
        <v>70</v>
      </c>
      <c r="S82" s="148" t="s">
        <v>29</v>
      </c>
      <c r="T82" s="148"/>
      <c r="U82" s="148"/>
      <c r="V82" s="155" t="s">
        <v>797</v>
      </c>
      <c r="W82" s="104"/>
      <c r="Y82" s="39" t="e">
        <f>IF(E82=E80,Y80,Y80+1)</f>
        <v>#REF!</v>
      </c>
    </row>
    <row r="83" spans="1:25" ht="39.950000000000003" customHeight="1">
      <c r="A83" s="5">
        <v>29</v>
      </c>
      <c r="B83" s="5" t="s">
        <v>889</v>
      </c>
      <c r="C83" s="18">
        <v>44072</v>
      </c>
      <c r="D83" s="144" t="s">
        <v>55</v>
      </c>
      <c r="E83" s="145" t="s">
        <v>196</v>
      </c>
      <c r="F83" s="146" t="s">
        <v>197</v>
      </c>
      <c r="G83" s="147">
        <v>67</v>
      </c>
      <c r="H83" s="90" t="s">
        <v>69</v>
      </c>
      <c r="I83" s="154" t="s">
        <v>28</v>
      </c>
      <c r="J83" s="154">
        <v>230</v>
      </c>
      <c r="K83" s="89"/>
      <c r="L83" s="89"/>
      <c r="M83" s="136"/>
      <c r="N83" s="148"/>
      <c r="O83" s="148"/>
      <c r="P83" s="148"/>
      <c r="Q83" s="148"/>
      <c r="R83" s="149" t="s">
        <v>70</v>
      </c>
      <c r="S83" s="148" t="s">
        <v>29</v>
      </c>
      <c r="T83" s="148"/>
      <c r="U83" s="148"/>
      <c r="V83" s="155" t="s">
        <v>798</v>
      </c>
      <c r="W83" s="104"/>
      <c r="Y83" s="39" t="e">
        <f t="shared" si="1"/>
        <v>#REF!</v>
      </c>
    </row>
    <row r="84" spans="1:25" ht="39.950000000000003" customHeight="1">
      <c r="A84" s="5">
        <v>29</v>
      </c>
      <c r="B84" s="5" t="s">
        <v>889</v>
      </c>
      <c r="C84" s="18">
        <v>44072</v>
      </c>
      <c r="D84" s="144" t="s">
        <v>56</v>
      </c>
      <c r="E84" s="145" t="s">
        <v>121</v>
      </c>
      <c r="F84" s="146" t="s">
        <v>122</v>
      </c>
      <c r="G84" s="147">
        <v>10</v>
      </c>
      <c r="H84" s="90" t="s">
        <v>125</v>
      </c>
      <c r="I84" s="154" t="s">
        <v>18</v>
      </c>
      <c r="J84" s="154">
        <v>220</v>
      </c>
      <c r="K84" s="89"/>
      <c r="L84" s="89"/>
      <c r="M84" s="136" t="s">
        <v>47</v>
      </c>
      <c r="N84" s="148"/>
      <c r="O84" s="148"/>
      <c r="P84" s="148"/>
      <c r="Q84" s="148"/>
      <c r="R84" s="148" t="s">
        <v>29</v>
      </c>
      <c r="S84" s="148"/>
      <c r="T84" s="148" t="s">
        <v>29</v>
      </c>
      <c r="U84" s="148"/>
      <c r="V84" s="104" t="s">
        <v>458</v>
      </c>
      <c r="W84" s="104"/>
      <c r="Y84" s="39" t="e">
        <f t="shared" si="1"/>
        <v>#REF!</v>
      </c>
    </row>
    <row r="85" spans="1:25" ht="39.950000000000003" customHeight="1">
      <c r="A85" s="5">
        <v>29</v>
      </c>
      <c r="B85" s="5" t="s">
        <v>889</v>
      </c>
      <c r="C85" s="18">
        <v>44072</v>
      </c>
      <c r="D85" s="144" t="s">
        <v>57</v>
      </c>
      <c r="E85" s="145" t="s">
        <v>87</v>
      </c>
      <c r="F85" s="146" t="s">
        <v>88</v>
      </c>
      <c r="G85" s="147">
        <v>30</v>
      </c>
      <c r="H85" s="90" t="s">
        <v>89</v>
      </c>
      <c r="I85" s="154" t="s">
        <v>18</v>
      </c>
      <c r="J85" s="154">
        <v>220</v>
      </c>
      <c r="K85" s="89"/>
      <c r="L85" s="89"/>
      <c r="M85" s="136" t="s">
        <v>47</v>
      </c>
      <c r="N85" s="148"/>
      <c r="O85" s="148"/>
      <c r="P85" s="148"/>
      <c r="Q85" s="148"/>
      <c r="R85" s="148" t="s">
        <v>29</v>
      </c>
      <c r="S85" s="148"/>
      <c r="T85" s="148" t="s">
        <v>29</v>
      </c>
      <c r="U85" s="148"/>
      <c r="V85" s="155" t="s">
        <v>459</v>
      </c>
      <c r="W85" s="104"/>
      <c r="Y85" s="39" t="e">
        <f t="shared" si="1"/>
        <v>#REF!</v>
      </c>
    </row>
    <row r="86" spans="1:25" ht="39.950000000000003" customHeight="1">
      <c r="A86" s="5">
        <v>29</v>
      </c>
      <c r="B86" s="5" t="s">
        <v>889</v>
      </c>
      <c r="C86" s="18">
        <v>44072</v>
      </c>
      <c r="D86" s="144" t="s">
        <v>58</v>
      </c>
      <c r="E86" s="145" t="s">
        <v>116</v>
      </c>
      <c r="F86" s="146" t="s">
        <v>117</v>
      </c>
      <c r="G86" s="147">
        <v>25</v>
      </c>
      <c r="H86" s="90" t="s">
        <v>68</v>
      </c>
      <c r="I86" s="154" t="s">
        <v>18</v>
      </c>
      <c r="J86" s="154">
        <v>220</v>
      </c>
      <c r="K86" s="89"/>
      <c r="L86" s="89"/>
      <c r="M86" s="136"/>
      <c r="N86" s="148"/>
      <c r="O86" s="148"/>
      <c r="P86" s="148"/>
      <c r="Q86" s="148"/>
      <c r="R86" s="148" t="s">
        <v>29</v>
      </c>
      <c r="S86" s="148"/>
      <c r="T86" s="148" t="s">
        <v>29</v>
      </c>
      <c r="U86" s="148"/>
      <c r="V86" s="155" t="s">
        <v>460</v>
      </c>
      <c r="W86" s="104"/>
      <c r="Y86" s="39" t="e">
        <f>IF(E86=E84,Y84,Y84+1)</f>
        <v>#REF!</v>
      </c>
    </row>
    <row r="87" spans="1:25" ht="39.950000000000003" customHeight="1">
      <c r="A87" s="5">
        <v>29</v>
      </c>
      <c r="B87" s="5" t="s">
        <v>890</v>
      </c>
      <c r="C87" s="18">
        <v>44072</v>
      </c>
      <c r="D87" s="144" t="s">
        <v>58</v>
      </c>
      <c r="E87" s="145" t="s">
        <v>116</v>
      </c>
      <c r="F87" s="146" t="s">
        <v>117</v>
      </c>
      <c r="G87" s="147">
        <v>117</v>
      </c>
      <c r="H87" s="90" t="s">
        <v>68</v>
      </c>
      <c r="I87" s="154" t="s">
        <v>18</v>
      </c>
      <c r="J87" s="154">
        <v>220</v>
      </c>
      <c r="K87" s="89"/>
      <c r="L87" s="89"/>
      <c r="M87" s="136"/>
      <c r="N87" s="148"/>
      <c r="O87" s="148"/>
      <c r="P87" s="148"/>
      <c r="Q87" s="148"/>
      <c r="R87" s="148" t="s">
        <v>29</v>
      </c>
      <c r="S87" s="148"/>
      <c r="T87" s="148" t="s">
        <v>29</v>
      </c>
      <c r="U87" s="148"/>
      <c r="V87" s="155" t="s">
        <v>460</v>
      </c>
      <c r="W87" s="104"/>
      <c r="Y87" s="39" t="e">
        <f>IF(E87=E85,Y85,Y85+1)</f>
        <v>#REF!</v>
      </c>
    </row>
    <row r="88" spans="1:25" ht="39.950000000000003" customHeight="1">
      <c r="A88" s="5">
        <v>29</v>
      </c>
      <c r="B88" s="5" t="s">
        <v>890</v>
      </c>
      <c r="C88" s="18">
        <v>44072</v>
      </c>
      <c r="D88" s="144" t="s">
        <v>59</v>
      </c>
      <c r="E88" s="145" t="s">
        <v>121</v>
      </c>
      <c r="F88" s="146" t="s">
        <v>122</v>
      </c>
      <c r="G88" s="147">
        <v>15</v>
      </c>
      <c r="H88" s="90" t="s">
        <v>125</v>
      </c>
      <c r="I88" s="154" t="s">
        <v>18</v>
      </c>
      <c r="J88" s="154">
        <v>220</v>
      </c>
      <c r="K88" s="89"/>
      <c r="L88" s="89"/>
      <c r="M88" s="136" t="s">
        <v>47</v>
      </c>
      <c r="N88" s="148"/>
      <c r="O88" s="148"/>
      <c r="P88" s="148"/>
      <c r="Q88" s="148"/>
      <c r="R88" s="89" t="s">
        <v>29</v>
      </c>
      <c r="S88" s="148"/>
      <c r="T88" s="148" t="s">
        <v>29</v>
      </c>
      <c r="U88" s="148"/>
      <c r="V88" s="155" t="s">
        <v>461</v>
      </c>
      <c r="W88" s="104"/>
      <c r="Y88" s="39" t="e">
        <f t="shared" si="1"/>
        <v>#REF!</v>
      </c>
    </row>
    <row r="89" spans="1:25" ht="39.950000000000003" customHeight="1">
      <c r="A89" s="5">
        <v>29</v>
      </c>
      <c r="B89" s="5" t="s">
        <v>890</v>
      </c>
      <c r="C89" s="18">
        <v>44072</v>
      </c>
      <c r="D89" s="144" t="s">
        <v>60</v>
      </c>
      <c r="E89" s="145" t="s">
        <v>196</v>
      </c>
      <c r="F89" s="146" t="s">
        <v>197</v>
      </c>
      <c r="G89" s="147">
        <v>26</v>
      </c>
      <c r="H89" s="90" t="s">
        <v>69</v>
      </c>
      <c r="I89" s="154" t="s">
        <v>28</v>
      </c>
      <c r="J89" s="154">
        <v>230</v>
      </c>
      <c r="K89" s="89"/>
      <c r="L89" s="89"/>
      <c r="M89" s="136"/>
      <c r="N89" s="148"/>
      <c r="O89" s="148"/>
      <c r="P89" s="148"/>
      <c r="Q89" s="148"/>
      <c r="R89" s="149" t="s">
        <v>70</v>
      </c>
      <c r="S89" s="148" t="s">
        <v>29</v>
      </c>
      <c r="T89" s="148"/>
      <c r="U89" s="148"/>
      <c r="V89" s="155" t="s">
        <v>799</v>
      </c>
      <c r="W89" s="104"/>
      <c r="Y89" s="39" t="e">
        <f t="shared" si="1"/>
        <v>#REF!</v>
      </c>
    </row>
    <row r="90" spans="1:25" ht="39.950000000000003" customHeight="1">
      <c r="A90" s="5">
        <v>29</v>
      </c>
      <c r="B90" s="5" t="s">
        <v>890</v>
      </c>
      <c r="C90" s="25">
        <v>44074</v>
      </c>
      <c r="D90" s="144" t="s">
        <v>54</v>
      </c>
      <c r="E90" s="145" t="s">
        <v>196</v>
      </c>
      <c r="F90" s="146" t="s">
        <v>197</v>
      </c>
      <c r="G90" s="147">
        <v>2</v>
      </c>
      <c r="H90" s="90" t="s">
        <v>69</v>
      </c>
      <c r="I90" s="154" t="s">
        <v>28</v>
      </c>
      <c r="J90" s="154">
        <v>230</v>
      </c>
      <c r="K90" s="89"/>
      <c r="L90" s="89"/>
      <c r="M90" s="136"/>
      <c r="N90" s="148"/>
      <c r="O90" s="148"/>
      <c r="P90" s="148"/>
      <c r="Q90" s="148"/>
      <c r="R90" s="165" t="s">
        <v>70</v>
      </c>
      <c r="S90" s="148" t="s">
        <v>29</v>
      </c>
      <c r="T90" s="148"/>
      <c r="U90" s="148"/>
      <c r="V90" s="155" t="s">
        <v>800</v>
      </c>
      <c r="W90" s="104"/>
      <c r="Y90" s="39" t="e">
        <f>IF(E90=E88,Y88,Y88+1)</f>
        <v>#REF!</v>
      </c>
    </row>
    <row r="91" spans="1:25" ht="39.950000000000003" customHeight="1">
      <c r="A91" s="5">
        <v>31</v>
      </c>
      <c r="B91" s="5" t="s">
        <v>889</v>
      </c>
      <c r="C91" s="25">
        <v>44074</v>
      </c>
      <c r="D91" s="144" t="s">
        <v>54</v>
      </c>
      <c r="E91" s="145" t="s">
        <v>196</v>
      </c>
      <c r="F91" s="146" t="s">
        <v>197</v>
      </c>
      <c r="G91" s="147">
        <v>80</v>
      </c>
      <c r="H91" s="90" t="s">
        <v>69</v>
      </c>
      <c r="I91" s="154" t="s">
        <v>28</v>
      </c>
      <c r="J91" s="154">
        <v>230</v>
      </c>
      <c r="K91" s="89"/>
      <c r="L91" s="89"/>
      <c r="M91" s="136"/>
      <c r="N91" s="148"/>
      <c r="O91" s="148"/>
      <c r="P91" s="148"/>
      <c r="Q91" s="148"/>
      <c r="R91" s="165" t="s">
        <v>70</v>
      </c>
      <c r="S91" s="148" t="s">
        <v>29</v>
      </c>
      <c r="T91" s="148"/>
      <c r="U91" s="148"/>
      <c r="V91" s="155" t="s">
        <v>800</v>
      </c>
      <c r="W91" s="104"/>
      <c r="Y91" s="39" t="e">
        <f>IF(E91=E89,Y89,Y89+1)</f>
        <v>#REF!</v>
      </c>
    </row>
    <row r="92" spans="1:25" ht="39.950000000000003" customHeight="1">
      <c r="A92" s="5">
        <v>31</v>
      </c>
      <c r="B92" s="5" t="s">
        <v>889</v>
      </c>
      <c r="C92" s="18">
        <v>44074</v>
      </c>
      <c r="D92" s="144" t="s">
        <v>55</v>
      </c>
      <c r="E92" s="145" t="s">
        <v>121</v>
      </c>
      <c r="F92" s="146" t="s">
        <v>122</v>
      </c>
      <c r="G92" s="147">
        <v>10</v>
      </c>
      <c r="H92" s="90" t="s">
        <v>125</v>
      </c>
      <c r="I92" s="154" t="s">
        <v>18</v>
      </c>
      <c r="J92" s="154">
        <v>220</v>
      </c>
      <c r="K92" s="89"/>
      <c r="L92" s="89"/>
      <c r="M92" s="136" t="s">
        <v>47</v>
      </c>
      <c r="N92" s="148"/>
      <c r="O92" s="148"/>
      <c r="P92" s="148"/>
      <c r="Q92" s="148"/>
      <c r="R92" s="148" t="s">
        <v>29</v>
      </c>
      <c r="S92" s="148"/>
      <c r="T92" s="148" t="s">
        <v>29</v>
      </c>
      <c r="U92" s="148"/>
      <c r="V92" s="104" t="s">
        <v>462</v>
      </c>
      <c r="W92" s="104"/>
      <c r="Y92" s="39" t="e">
        <f t="shared" si="1"/>
        <v>#REF!</v>
      </c>
    </row>
    <row r="93" spans="1:25" ht="39.950000000000003" customHeight="1">
      <c r="A93" s="5">
        <v>31</v>
      </c>
      <c r="B93" s="5" t="s">
        <v>889</v>
      </c>
      <c r="C93" s="18">
        <v>44074</v>
      </c>
      <c r="D93" s="144" t="s">
        <v>56</v>
      </c>
      <c r="E93" s="145" t="s">
        <v>87</v>
      </c>
      <c r="F93" s="146" t="s">
        <v>88</v>
      </c>
      <c r="G93" s="147">
        <v>38</v>
      </c>
      <c r="H93" s="90" t="s">
        <v>89</v>
      </c>
      <c r="I93" s="154" t="s">
        <v>18</v>
      </c>
      <c r="J93" s="154">
        <v>220</v>
      </c>
      <c r="K93" s="89"/>
      <c r="L93" s="89"/>
      <c r="M93" s="136" t="s">
        <v>47</v>
      </c>
      <c r="N93" s="148"/>
      <c r="O93" s="148"/>
      <c r="P93" s="148"/>
      <c r="Q93" s="148"/>
      <c r="R93" s="89" t="s">
        <v>29</v>
      </c>
      <c r="S93" s="148"/>
      <c r="T93" s="148" t="s">
        <v>29</v>
      </c>
      <c r="U93" s="148"/>
      <c r="V93" s="104" t="s">
        <v>463</v>
      </c>
      <c r="W93" s="104"/>
      <c r="Y93" s="39" t="e">
        <f>IF(E93=E91,Y91,Y91+1)</f>
        <v>#REF!</v>
      </c>
    </row>
    <row r="94" spans="1:25" ht="39.950000000000003" customHeight="1">
      <c r="A94" s="5">
        <v>31</v>
      </c>
      <c r="B94" s="5" t="s">
        <v>890</v>
      </c>
      <c r="C94" s="18">
        <v>44074</v>
      </c>
      <c r="D94" s="144" t="s">
        <v>56</v>
      </c>
      <c r="E94" s="145" t="s">
        <v>87</v>
      </c>
      <c r="F94" s="146" t="s">
        <v>88</v>
      </c>
      <c r="G94" s="147">
        <v>3</v>
      </c>
      <c r="H94" s="90" t="s">
        <v>89</v>
      </c>
      <c r="I94" s="154" t="s">
        <v>18</v>
      </c>
      <c r="J94" s="154">
        <v>220</v>
      </c>
      <c r="K94" s="89"/>
      <c r="L94" s="89"/>
      <c r="M94" s="136" t="s">
        <v>47</v>
      </c>
      <c r="N94" s="148"/>
      <c r="O94" s="148"/>
      <c r="P94" s="148"/>
      <c r="Q94" s="148"/>
      <c r="R94" s="89" t="s">
        <v>29</v>
      </c>
      <c r="S94" s="148"/>
      <c r="T94" s="148" t="s">
        <v>29</v>
      </c>
      <c r="U94" s="148"/>
      <c r="V94" s="104" t="s">
        <v>463</v>
      </c>
      <c r="W94" s="104"/>
      <c r="Y94" s="39" t="e">
        <f>IF(E94=E92,Y92,Y92+1)</f>
        <v>#REF!</v>
      </c>
    </row>
    <row r="95" spans="1:25" ht="39.950000000000003" customHeight="1">
      <c r="A95" s="5">
        <v>31</v>
      </c>
      <c r="B95" s="5" t="s">
        <v>890</v>
      </c>
      <c r="C95" s="18">
        <v>44074</v>
      </c>
      <c r="D95" s="144" t="s">
        <v>57</v>
      </c>
      <c r="E95" s="145" t="s">
        <v>200</v>
      </c>
      <c r="F95" s="146" t="s">
        <v>201</v>
      </c>
      <c r="G95" s="147">
        <v>32</v>
      </c>
      <c r="H95" s="90" t="s">
        <v>68</v>
      </c>
      <c r="I95" s="154" t="s">
        <v>28</v>
      </c>
      <c r="J95" s="154">
        <v>230</v>
      </c>
      <c r="K95" s="89"/>
      <c r="L95" s="89"/>
      <c r="M95" s="136"/>
      <c r="N95" s="148"/>
      <c r="O95" s="148" t="s">
        <v>29</v>
      </c>
      <c r="P95" s="148"/>
      <c r="Q95" s="148"/>
      <c r="R95" s="89" t="s">
        <v>29</v>
      </c>
      <c r="S95" s="148"/>
      <c r="T95" s="148"/>
      <c r="U95" s="148"/>
      <c r="V95" s="155" t="s">
        <v>464</v>
      </c>
      <c r="W95" s="104"/>
      <c r="Y95" s="39" t="e">
        <f t="shared" si="1"/>
        <v>#REF!</v>
      </c>
    </row>
    <row r="96" spans="1:25" ht="39.950000000000003" customHeight="1">
      <c r="A96" s="5">
        <v>31</v>
      </c>
      <c r="B96" s="5" t="s">
        <v>890</v>
      </c>
      <c r="C96" s="18">
        <v>44074</v>
      </c>
      <c r="D96" s="144" t="s">
        <v>58</v>
      </c>
      <c r="E96" s="145" t="s">
        <v>139</v>
      </c>
      <c r="F96" s="146" t="s">
        <v>140</v>
      </c>
      <c r="G96" s="147">
        <v>50</v>
      </c>
      <c r="H96" s="90" t="s">
        <v>68</v>
      </c>
      <c r="I96" s="154" t="s">
        <v>19</v>
      </c>
      <c r="J96" s="154">
        <v>220</v>
      </c>
      <c r="K96" s="89"/>
      <c r="L96" s="89"/>
      <c r="M96" s="136"/>
      <c r="N96" s="148"/>
      <c r="O96" s="148" t="s">
        <v>29</v>
      </c>
      <c r="P96" s="148"/>
      <c r="Q96" s="148"/>
      <c r="R96" s="89" t="s">
        <v>29</v>
      </c>
      <c r="S96" s="148"/>
      <c r="T96" s="148" t="s">
        <v>29</v>
      </c>
      <c r="U96" s="148"/>
      <c r="V96" s="104" t="s">
        <v>465</v>
      </c>
      <c r="W96" s="104"/>
      <c r="Y96" s="39" t="e">
        <f t="shared" si="1"/>
        <v>#REF!</v>
      </c>
    </row>
    <row r="97" spans="1:25" ht="39.950000000000003" customHeight="1">
      <c r="A97" s="5">
        <v>31</v>
      </c>
      <c r="B97" s="5" t="s">
        <v>890</v>
      </c>
      <c r="C97" s="18">
        <v>44074</v>
      </c>
      <c r="D97" s="144" t="s">
        <v>59</v>
      </c>
      <c r="E97" s="145" t="s">
        <v>121</v>
      </c>
      <c r="F97" s="146" t="s">
        <v>122</v>
      </c>
      <c r="G97" s="147">
        <v>15</v>
      </c>
      <c r="H97" s="90" t="s">
        <v>125</v>
      </c>
      <c r="I97" s="154" t="s">
        <v>18</v>
      </c>
      <c r="J97" s="154">
        <v>220</v>
      </c>
      <c r="K97" s="89"/>
      <c r="L97" s="89"/>
      <c r="M97" s="136" t="s">
        <v>47</v>
      </c>
      <c r="N97" s="148"/>
      <c r="O97" s="148"/>
      <c r="P97" s="148"/>
      <c r="Q97" s="148"/>
      <c r="R97" s="148" t="s">
        <v>29</v>
      </c>
      <c r="S97" s="148"/>
      <c r="T97" s="148" t="s">
        <v>29</v>
      </c>
      <c r="U97" s="148"/>
      <c r="V97" s="104" t="s">
        <v>466</v>
      </c>
      <c r="W97" s="104"/>
      <c r="Y97" s="39" t="e">
        <f t="shared" si="1"/>
        <v>#REF!</v>
      </c>
    </row>
    <row r="98" spans="1:25" ht="39.950000000000003" customHeight="1">
      <c r="A98" s="5">
        <v>31</v>
      </c>
      <c r="B98" s="5" t="s">
        <v>890</v>
      </c>
      <c r="C98" s="18">
        <v>44074</v>
      </c>
      <c r="D98" s="144" t="s">
        <v>60</v>
      </c>
      <c r="E98" s="145" t="s">
        <v>74</v>
      </c>
      <c r="F98" s="146" t="s">
        <v>78</v>
      </c>
      <c r="G98" s="147">
        <v>26</v>
      </c>
      <c r="H98" s="90" t="s">
        <v>69</v>
      </c>
      <c r="I98" s="154" t="s">
        <v>28</v>
      </c>
      <c r="J98" s="154">
        <v>230</v>
      </c>
      <c r="K98" s="89"/>
      <c r="L98" s="89"/>
      <c r="M98" s="136"/>
      <c r="N98" s="148"/>
      <c r="O98" s="148"/>
      <c r="P98" s="148"/>
      <c r="Q98" s="148"/>
      <c r="R98" s="165" t="s">
        <v>70</v>
      </c>
      <c r="S98" s="148" t="s">
        <v>29</v>
      </c>
      <c r="T98" s="148"/>
      <c r="U98" s="148"/>
      <c r="V98" s="155" t="s">
        <v>801</v>
      </c>
      <c r="W98" s="104"/>
      <c r="Y98" s="39" t="e">
        <f t="shared" si="1"/>
        <v>#REF!</v>
      </c>
    </row>
    <row r="99" spans="1:25" ht="39.950000000000003" customHeight="1">
      <c r="A99" s="5">
        <v>31</v>
      </c>
      <c r="B99" s="5" t="s">
        <v>890</v>
      </c>
      <c r="C99" s="25">
        <v>44075</v>
      </c>
      <c r="D99" s="144" t="s">
        <v>54</v>
      </c>
      <c r="E99" s="145" t="s">
        <v>74</v>
      </c>
      <c r="F99" s="146" t="s">
        <v>78</v>
      </c>
      <c r="G99" s="147">
        <v>2</v>
      </c>
      <c r="H99" s="90" t="s">
        <v>69</v>
      </c>
      <c r="I99" s="154" t="s">
        <v>28</v>
      </c>
      <c r="J99" s="154">
        <v>230</v>
      </c>
      <c r="K99" s="89"/>
      <c r="L99" s="89"/>
      <c r="M99" s="136"/>
      <c r="N99" s="148"/>
      <c r="O99" s="148"/>
      <c r="P99" s="148"/>
      <c r="Q99" s="148"/>
      <c r="R99" s="165" t="s">
        <v>70</v>
      </c>
      <c r="S99" s="148" t="s">
        <v>29</v>
      </c>
      <c r="T99" s="148"/>
      <c r="U99" s="148"/>
      <c r="V99" s="155" t="s">
        <v>802</v>
      </c>
      <c r="W99" s="104"/>
      <c r="Y99" s="39" t="e">
        <f>IF(E99=E97,Y97,Y97+1)</f>
        <v>#REF!</v>
      </c>
    </row>
    <row r="100" spans="1:25" ht="39.950000000000003" customHeight="1">
      <c r="A100" s="5">
        <v>1</v>
      </c>
      <c r="B100" s="5" t="s">
        <v>889</v>
      </c>
      <c r="C100" s="25">
        <v>44075</v>
      </c>
      <c r="D100" s="144" t="s">
        <v>54</v>
      </c>
      <c r="E100" s="145" t="s">
        <v>74</v>
      </c>
      <c r="F100" s="146" t="s">
        <v>78</v>
      </c>
      <c r="G100" s="147">
        <v>14</v>
      </c>
      <c r="H100" s="90" t="s">
        <v>69</v>
      </c>
      <c r="I100" s="154" t="s">
        <v>28</v>
      </c>
      <c r="J100" s="154">
        <v>230</v>
      </c>
      <c r="K100" s="89"/>
      <c r="L100" s="89"/>
      <c r="M100" s="136"/>
      <c r="N100" s="148"/>
      <c r="O100" s="148"/>
      <c r="P100" s="148"/>
      <c r="Q100" s="148"/>
      <c r="R100" s="165" t="s">
        <v>70</v>
      </c>
      <c r="S100" s="148" t="s">
        <v>29</v>
      </c>
      <c r="T100" s="148"/>
      <c r="U100" s="148"/>
      <c r="V100" s="155" t="s">
        <v>802</v>
      </c>
      <c r="W100" s="104"/>
      <c r="Y100" s="39" t="e">
        <f>IF(E100=E98,Y98,Y98+1)</f>
        <v>#REF!</v>
      </c>
    </row>
    <row r="101" spans="1:25" ht="39.950000000000003" customHeight="1">
      <c r="A101" s="5">
        <v>1</v>
      </c>
      <c r="B101" s="5" t="s">
        <v>889</v>
      </c>
      <c r="C101" s="18">
        <v>44075</v>
      </c>
      <c r="D101" s="144" t="s">
        <v>55</v>
      </c>
      <c r="E101" s="145" t="s">
        <v>121</v>
      </c>
      <c r="F101" s="146" t="s">
        <v>122</v>
      </c>
      <c r="G101" s="147">
        <v>10</v>
      </c>
      <c r="H101" s="90" t="s">
        <v>125</v>
      </c>
      <c r="I101" s="154" t="s">
        <v>18</v>
      </c>
      <c r="J101" s="154">
        <v>220</v>
      </c>
      <c r="K101" s="89"/>
      <c r="L101" s="89"/>
      <c r="M101" s="136" t="s">
        <v>47</v>
      </c>
      <c r="N101" s="148"/>
      <c r="O101" s="148"/>
      <c r="P101" s="148"/>
      <c r="Q101" s="148"/>
      <c r="R101" s="148" t="s">
        <v>29</v>
      </c>
      <c r="S101" s="148"/>
      <c r="T101" s="148" t="s">
        <v>29</v>
      </c>
      <c r="U101" s="148"/>
      <c r="V101" s="104" t="s">
        <v>467</v>
      </c>
      <c r="W101" s="104"/>
      <c r="Y101" s="39" t="e">
        <f t="shared" si="1"/>
        <v>#REF!</v>
      </c>
    </row>
    <row r="102" spans="1:25" ht="39.950000000000003" customHeight="1">
      <c r="A102" s="5">
        <v>1</v>
      </c>
      <c r="B102" s="5" t="s">
        <v>889</v>
      </c>
      <c r="C102" s="18">
        <v>44075</v>
      </c>
      <c r="D102" s="144" t="s">
        <v>56</v>
      </c>
      <c r="E102" s="145" t="s">
        <v>196</v>
      </c>
      <c r="F102" s="146" t="s">
        <v>197</v>
      </c>
      <c r="G102" s="147">
        <v>66</v>
      </c>
      <c r="H102" s="90" t="s">
        <v>69</v>
      </c>
      <c r="I102" s="154" t="s">
        <v>28</v>
      </c>
      <c r="J102" s="154">
        <v>230</v>
      </c>
      <c r="K102" s="89"/>
      <c r="L102" s="89"/>
      <c r="M102" s="136"/>
      <c r="N102" s="148"/>
      <c r="O102" s="148"/>
      <c r="P102" s="148"/>
      <c r="Q102" s="148"/>
      <c r="R102" s="165" t="s">
        <v>70</v>
      </c>
      <c r="S102" s="148" t="s">
        <v>29</v>
      </c>
      <c r="T102" s="148"/>
      <c r="U102" s="148"/>
      <c r="V102" s="104" t="s">
        <v>803</v>
      </c>
      <c r="W102" s="104"/>
      <c r="Y102" s="39" t="e">
        <f t="shared" si="1"/>
        <v>#REF!</v>
      </c>
    </row>
    <row r="103" spans="1:25" ht="39.950000000000003" customHeight="1">
      <c r="A103" s="5">
        <v>1</v>
      </c>
      <c r="B103" s="5" t="s">
        <v>889</v>
      </c>
      <c r="C103" s="18">
        <v>44075</v>
      </c>
      <c r="D103" s="144" t="s">
        <v>57</v>
      </c>
      <c r="E103" s="145" t="s">
        <v>87</v>
      </c>
      <c r="F103" s="146" t="s">
        <v>88</v>
      </c>
      <c r="G103" s="147">
        <v>30</v>
      </c>
      <c r="H103" s="90" t="s">
        <v>89</v>
      </c>
      <c r="I103" s="154" t="s">
        <v>18</v>
      </c>
      <c r="J103" s="154">
        <v>220</v>
      </c>
      <c r="K103" s="89"/>
      <c r="L103" s="89"/>
      <c r="M103" s="136" t="s">
        <v>47</v>
      </c>
      <c r="N103" s="148"/>
      <c r="O103" s="148"/>
      <c r="P103" s="148"/>
      <c r="Q103" s="148"/>
      <c r="R103" s="148" t="s">
        <v>29</v>
      </c>
      <c r="S103" s="148"/>
      <c r="T103" s="148" t="s">
        <v>29</v>
      </c>
      <c r="U103" s="148"/>
      <c r="V103" s="104" t="s">
        <v>468</v>
      </c>
      <c r="W103" s="104"/>
      <c r="Y103" s="39" t="e">
        <f t="shared" si="1"/>
        <v>#REF!</v>
      </c>
    </row>
    <row r="104" spans="1:25" ht="39.950000000000003" customHeight="1">
      <c r="A104" s="5">
        <v>1</v>
      </c>
      <c r="B104" s="5" t="s">
        <v>889</v>
      </c>
      <c r="C104" s="18">
        <v>44075</v>
      </c>
      <c r="D104" s="144" t="s">
        <v>58</v>
      </c>
      <c r="E104" s="145" t="s">
        <v>116</v>
      </c>
      <c r="F104" s="146" t="s">
        <v>117</v>
      </c>
      <c r="G104" s="147">
        <v>15</v>
      </c>
      <c r="H104" s="90" t="s">
        <v>68</v>
      </c>
      <c r="I104" s="154" t="s">
        <v>18</v>
      </c>
      <c r="J104" s="154">
        <v>220</v>
      </c>
      <c r="K104" s="89"/>
      <c r="L104" s="89"/>
      <c r="M104" s="136"/>
      <c r="N104" s="148"/>
      <c r="O104" s="148"/>
      <c r="P104" s="148"/>
      <c r="Q104" s="148"/>
      <c r="R104" s="89" t="s">
        <v>29</v>
      </c>
      <c r="S104" s="148"/>
      <c r="T104" s="148" t="s">
        <v>29</v>
      </c>
      <c r="U104" s="148"/>
      <c r="V104" s="104" t="s">
        <v>469</v>
      </c>
      <c r="W104" s="104"/>
      <c r="Y104" s="39" t="e">
        <f t="shared" si="1"/>
        <v>#REF!</v>
      </c>
    </row>
    <row r="105" spans="1:25" ht="39.950000000000003" customHeight="1">
      <c r="A105" s="5">
        <v>1</v>
      </c>
      <c r="B105" s="5" t="s">
        <v>889</v>
      </c>
      <c r="C105" s="18">
        <v>44075</v>
      </c>
      <c r="D105" s="144" t="s">
        <v>59</v>
      </c>
      <c r="E105" s="145" t="s">
        <v>200</v>
      </c>
      <c r="F105" s="146" t="s">
        <v>201</v>
      </c>
      <c r="G105" s="147">
        <v>29</v>
      </c>
      <c r="H105" s="90" t="s">
        <v>68</v>
      </c>
      <c r="I105" s="154" t="s">
        <v>28</v>
      </c>
      <c r="J105" s="154">
        <v>230</v>
      </c>
      <c r="K105" s="89"/>
      <c r="L105" s="89"/>
      <c r="M105" s="136"/>
      <c r="N105" s="148"/>
      <c r="O105" s="148" t="s">
        <v>29</v>
      </c>
      <c r="P105" s="148"/>
      <c r="Q105" s="148"/>
      <c r="R105" s="148" t="s">
        <v>29</v>
      </c>
      <c r="S105" s="148"/>
      <c r="T105" s="148"/>
      <c r="U105" s="148"/>
      <c r="V105" s="155" t="s">
        <v>470</v>
      </c>
      <c r="W105" s="104"/>
      <c r="Y105" s="39" t="e">
        <f>IF(E105=E103,Y103,Y103+1)</f>
        <v>#REF!</v>
      </c>
    </row>
    <row r="106" spans="1:25" ht="39.950000000000003" customHeight="1">
      <c r="A106" s="5">
        <v>1</v>
      </c>
      <c r="B106" s="5" t="s">
        <v>890</v>
      </c>
      <c r="C106" s="18">
        <v>44075</v>
      </c>
      <c r="D106" s="144" t="s">
        <v>59</v>
      </c>
      <c r="E106" s="145" t="s">
        <v>200</v>
      </c>
      <c r="F106" s="146" t="s">
        <v>201</v>
      </c>
      <c r="G106" s="147">
        <v>71</v>
      </c>
      <c r="H106" s="90" t="s">
        <v>68</v>
      </c>
      <c r="I106" s="154" t="s">
        <v>28</v>
      </c>
      <c r="J106" s="154">
        <v>230</v>
      </c>
      <c r="K106" s="89"/>
      <c r="L106" s="89"/>
      <c r="M106" s="136"/>
      <c r="N106" s="148"/>
      <c r="O106" s="148" t="s">
        <v>29</v>
      </c>
      <c r="P106" s="148"/>
      <c r="Q106" s="148"/>
      <c r="R106" s="148" t="s">
        <v>29</v>
      </c>
      <c r="S106" s="148"/>
      <c r="T106" s="148"/>
      <c r="U106" s="148"/>
      <c r="V106" s="155" t="s">
        <v>470</v>
      </c>
      <c r="W106" s="104"/>
      <c r="Y106" s="39" t="e">
        <f>IF(E106=E104,Y104,Y104+1)</f>
        <v>#REF!</v>
      </c>
    </row>
    <row r="107" spans="1:25" ht="39.950000000000003" customHeight="1">
      <c r="A107" s="5">
        <v>1</v>
      </c>
      <c r="B107" s="5" t="s">
        <v>890</v>
      </c>
      <c r="C107" s="18">
        <v>44075</v>
      </c>
      <c r="D107" s="144" t="s">
        <v>60</v>
      </c>
      <c r="E107" s="145" t="s">
        <v>139</v>
      </c>
      <c r="F107" s="146" t="s">
        <v>140</v>
      </c>
      <c r="G107" s="147">
        <v>50</v>
      </c>
      <c r="H107" s="90" t="s">
        <v>68</v>
      </c>
      <c r="I107" s="154" t="s">
        <v>19</v>
      </c>
      <c r="J107" s="154">
        <v>220</v>
      </c>
      <c r="K107" s="89"/>
      <c r="L107" s="89"/>
      <c r="M107" s="136"/>
      <c r="N107" s="148"/>
      <c r="O107" s="148" t="s">
        <v>29</v>
      </c>
      <c r="P107" s="148"/>
      <c r="Q107" s="148"/>
      <c r="R107" s="89" t="s">
        <v>29</v>
      </c>
      <c r="S107" s="148"/>
      <c r="T107" s="148" t="s">
        <v>29</v>
      </c>
      <c r="U107" s="148"/>
      <c r="V107" s="104" t="s">
        <v>471</v>
      </c>
      <c r="W107" s="104"/>
      <c r="Y107" s="39" t="e">
        <f t="shared" si="1"/>
        <v>#REF!</v>
      </c>
    </row>
    <row r="108" spans="1:25" ht="39.950000000000003" customHeight="1">
      <c r="A108" s="5">
        <v>1</v>
      </c>
      <c r="B108" s="5" t="s">
        <v>890</v>
      </c>
      <c r="C108" s="18">
        <v>44075</v>
      </c>
      <c r="D108" s="144" t="s">
        <v>61</v>
      </c>
      <c r="E108" s="145" t="s">
        <v>121</v>
      </c>
      <c r="F108" s="146" t="s">
        <v>122</v>
      </c>
      <c r="G108" s="147">
        <v>15</v>
      </c>
      <c r="H108" s="90" t="s">
        <v>125</v>
      </c>
      <c r="I108" s="154" t="s">
        <v>18</v>
      </c>
      <c r="J108" s="154">
        <v>220</v>
      </c>
      <c r="K108" s="89"/>
      <c r="L108" s="89"/>
      <c r="M108" s="136" t="s">
        <v>47</v>
      </c>
      <c r="N108" s="148"/>
      <c r="O108" s="148"/>
      <c r="P108" s="148"/>
      <c r="Q108" s="148"/>
      <c r="R108" s="89" t="s">
        <v>29</v>
      </c>
      <c r="S108" s="148"/>
      <c r="T108" s="148" t="s">
        <v>29</v>
      </c>
      <c r="U108" s="148"/>
      <c r="V108" s="155" t="s">
        <v>472</v>
      </c>
      <c r="W108" s="104"/>
      <c r="Y108" s="39" t="e">
        <f t="shared" si="1"/>
        <v>#REF!</v>
      </c>
    </row>
    <row r="109" spans="1:25" ht="39.950000000000003" customHeight="1">
      <c r="A109" s="5">
        <v>1</v>
      </c>
      <c r="B109" s="5" t="s">
        <v>890</v>
      </c>
      <c r="C109" s="18">
        <v>44075</v>
      </c>
      <c r="D109" s="144" t="s">
        <v>63</v>
      </c>
      <c r="E109" s="145" t="s">
        <v>74</v>
      </c>
      <c r="F109" s="146" t="s">
        <v>78</v>
      </c>
      <c r="G109" s="147">
        <v>26</v>
      </c>
      <c r="H109" s="90" t="s">
        <v>69</v>
      </c>
      <c r="I109" s="154" t="s">
        <v>28</v>
      </c>
      <c r="J109" s="154">
        <v>230</v>
      </c>
      <c r="K109" s="89"/>
      <c r="L109" s="89"/>
      <c r="M109" s="136"/>
      <c r="N109" s="148"/>
      <c r="O109" s="148"/>
      <c r="P109" s="148"/>
      <c r="Q109" s="148"/>
      <c r="R109" s="149" t="s">
        <v>70</v>
      </c>
      <c r="S109" s="148" t="s">
        <v>29</v>
      </c>
      <c r="T109" s="148"/>
      <c r="U109" s="148"/>
      <c r="V109" s="155" t="s">
        <v>804</v>
      </c>
      <c r="W109" s="104"/>
      <c r="Y109" s="39" t="e">
        <f t="shared" si="1"/>
        <v>#REF!</v>
      </c>
    </row>
    <row r="110" spans="1:25" ht="39.950000000000003" customHeight="1">
      <c r="A110" s="5">
        <v>1</v>
      </c>
      <c r="B110" s="5" t="s">
        <v>890</v>
      </c>
      <c r="C110" s="25">
        <v>44076</v>
      </c>
      <c r="D110" s="144" t="s">
        <v>54</v>
      </c>
      <c r="E110" s="145" t="s">
        <v>74</v>
      </c>
      <c r="F110" s="146" t="s">
        <v>78</v>
      </c>
      <c r="G110" s="147">
        <v>2</v>
      </c>
      <c r="H110" s="90" t="s">
        <v>69</v>
      </c>
      <c r="I110" s="154" t="s">
        <v>28</v>
      </c>
      <c r="J110" s="154">
        <v>230</v>
      </c>
      <c r="K110" s="89"/>
      <c r="L110" s="89"/>
      <c r="M110" s="136"/>
      <c r="N110" s="148"/>
      <c r="O110" s="148"/>
      <c r="P110" s="148"/>
      <c r="Q110" s="148"/>
      <c r="R110" s="149" t="s">
        <v>70</v>
      </c>
      <c r="S110" s="148" t="s">
        <v>29</v>
      </c>
      <c r="T110" s="148"/>
      <c r="U110" s="148"/>
      <c r="V110" s="155" t="s">
        <v>805</v>
      </c>
      <c r="W110" s="104"/>
      <c r="Y110" s="39" t="e">
        <f>IF(E110=E108,Y108,Y108+1)</f>
        <v>#REF!</v>
      </c>
    </row>
    <row r="111" spans="1:25" ht="39.950000000000003" customHeight="1">
      <c r="A111" s="5">
        <v>2</v>
      </c>
      <c r="B111" s="5" t="s">
        <v>889</v>
      </c>
      <c r="C111" s="25">
        <v>44076</v>
      </c>
      <c r="D111" s="144" t="s">
        <v>54</v>
      </c>
      <c r="E111" s="145" t="s">
        <v>74</v>
      </c>
      <c r="F111" s="146" t="s">
        <v>78</v>
      </c>
      <c r="G111" s="147">
        <v>80</v>
      </c>
      <c r="H111" s="90" t="s">
        <v>69</v>
      </c>
      <c r="I111" s="154" t="s">
        <v>28</v>
      </c>
      <c r="J111" s="154">
        <v>230</v>
      </c>
      <c r="K111" s="89"/>
      <c r="L111" s="89"/>
      <c r="M111" s="136"/>
      <c r="N111" s="148"/>
      <c r="O111" s="148"/>
      <c r="P111" s="148"/>
      <c r="Q111" s="148"/>
      <c r="R111" s="149" t="s">
        <v>70</v>
      </c>
      <c r="S111" s="148" t="s">
        <v>29</v>
      </c>
      <c r="T111" s="148"/>
      <c r="U111" s="148"/>
      <c r="V111" s="155" t="s">
        <v>805</v>
      </c>
      <c r="W111" s="104"/>
      <c r="Y111" s="39" t="e">
        <f>IF(E111=E109,Y109,Y109+1)</f>
        <v>#REF!</v>
      </c>
    </row>
    <row r="112" spans="1:25" ht="39.950000000000003" customHeight="1">
      <c r="A112" s="5">
        <v>2</v>
      </c>
      <c r="B112" s="5" t="s">
        <v>889</v>
      </c>
      <c r="C112" s="192">
        <v>44076</v>
      </c>
      <c r="D112" s="123" t="s">
        <v>55</v>
      </c>
      <c r="E112" s="124" t="s">
        <v>121</v>
      </c>
      <c r="F112" s="125" t="s">
        <v>122</v>
      </c>
      <c r="G112" s="126">
        <v>10</v>
      </c>
      <c r="H112" s="45" t="s">
        <v>125</v>
      </c>
      <c r="I112" s="55" t="s">
        <v>18</v>
      </c>
      <c r="J112" s="55">
        <v>220</v>
      </c>
      <c r="K112" s="46"/>
      <c r="L112" s="46"/>
      <c r="M112" s="137" t="s">
        <v>47</v>
      </c>
      <c r="N112" s="97"/>
      <c r="O112" s="97"/>
      <c r="P112" s="97"/>
      <c r="Q112" s="97"/>
      <c r="R112" s="97" t="s">
        <v>29</v>
      </c>
      <c r="S112" s="97"/>
      <c r="T112" s="97" t="s">
        <v>29</v>
      </c>
      <c r="U112" s="97"/>
      <c r="V112" s="29" t="s">
        <v>473</v>
      </c>
      <c r="W112" s="29"/>
      <c r="Y112" s="39" t="e">
        <f t="shared" si="1"/>
        <v>#REF!</v>
      </c>
    </row>
    <row r="113" spans="1:25" ht="39.950000000000003" customHeight="1">
      <c r="A113" s="5">
        <v>2</v>
      </c>
      <c r="B113" s="5" t="s">
        <v>889</v>
      </c>
      <c r="C113" s="192">
        <v>44076</v>
      </c>
      <c r="D113" s="123" t="s">
        <v>56</v>
      </c>
      <c r="E113" s="124" t="s">
        <v>87</v>
      </c>
      <c r="F113" s="125" t="s">
        <v>88</v>
      </c>
      <c r="G113" s="126">
        <v>30</v>
      </c>
      <c r="H113" s="45" t="s">
        <v>89</v>
      </c>
      <c r="I113" s="55" t="s">
        <v>18</v>
      </c>
      <c r="J113" s="55">
        <v>220</v>
      </c>
      <c r="K113" s="46"/>
      <c r="L113" s="46"/>
      <c r="M113" s="137" t="s">
        <v>47</v>
      </c>
      <c r="N113" s="97"/>
      <c r="O113" s="97"/>
      <c r="P113" s="97"/>
      <c r="Q113" s="97"/>
      <c r="R113" s="46" t="s">
        <v>29</v>
      </c>
      <c r="S113" s="97"/>
      <c r="T113" s="97" t="s">
        <v>29</v>
      </c>
      <c r="U113" s="97"/>
      <c r="V113" s="96" t="s">
        <v>474</v>
      </c>
      <c r="W113" s="29"/>
      <c r="Y113" s="39" t="e">
        <f t="shared" si="1"/>
        <v>#REF!</v>
      </c>
    </row>
    <row r="114" spans="1:25" ht="39.950000000000003" customHeight="1">
      <c r="A114" s="5">
        <v>2</v>
      </c>
      <c r="B114" s="5" t="s">
        <v>889</v>
      </c>
      <c r="C114" s="133">
        <v>44076</v>
      </c>
      <c r="D114" s="108" t="s">
        <v>57</v>
      </c>
      <c r="E114" s="127" t="s">
        <v>116</v>
      </c>
      <c r="F114" s="128" t="s">
        <v>117</v>
      </c>
      <c r="G114" s="129">
        <v>36</v>
      </c>
      <c r="H114" s="29" t="s">
        <v>68</v>
      </c>
      <c r="I114" s="109" t="s">
        <v>18</v>
      </c>
      <c r="J114" s="109">
        <v>220</v>
      </c>
      <c r="K114" s="29"/>
      <c r="L114" s="29"/>
      <c r="M114" s="137"/>
      <c r="N114" s="97"/>
      <c r="O114" s="97"/>
      <c r="P114" s="97"/>
      <c r="Q114" s="97"/>
      <c r="R114" s="46" t="s">
        <v>29</v>
      </c>
      <c r="S114" s="97"/>
      <c r="T114" s="97" t="s">
        <v>29</v>
      </c>
      <c r="U114" s="97"/>
      <c r="V114" s="96" t="s">
        <v>475</v>
      </c>
      <c r="W114" s="29"/>
      <c r="Y114" s="39" t="e">
        <f t="shared" si="1"/>
        <v>#REF!</v>
      </c>
    </row>
    <row r="115" spans="1:25" ht="39.950000000000003" customHeight="1">
      <c r="A115" s="5">
        <v>2</v>
      </c>
      <c r="B115" s="5" t="s">
        <v>889</v>
      </c>
      <c r="C115" s="133">
        <v>44076</v>
      </c>
      <c r="D115" s="108" t="s">
        <v>58</v>
      </c>
      <c r="E115" s="127" t="s">
        <v>200</v>
      </c>
      <c r="F115" s="128" t="s">
        <v>201</v>
      </c>
      <c r="G115" s="129">
        <v>12</v>
      </c>
      <c r="H115" s="29" t="s">
        <v>68</v>
      </c>
      <c r="I115" s="109" t="s">
        <v>28</v>
      </c>
      <c r="J115" s="109">
        <v>230</v>
      </c>
      <c r="K115" s="29"/>
      <c r="L115" s="29"/>
      <c r="M115" s="137"/>
      <c r="N115" s="97"/>
      <c r="O115" s="97" t="s">
        <v>29</v>
      </c>
      <c r="P115" s="97"/>
      <c r="Q115" s="97"/>
      <c r="R115" s="46" t="s">
        <v>29</v>
      </c>
      <c r="S115" s="97"/>
      <c r="T115" s="97"/>
      <c r="U115" s="97"/>
      <c r="V115" s="29" t="s">
        <v>476</v>
      </c>
      <c r="W115" s="29"/>
      <c r="Y115" s="39" t="e">
        <f>IF(E115=E113,Y113,Y113+1)</f>
        <v>#REF!</v>
      </c>
    </row>
    <row r="116" spans="1:25" ht="39.950000000000003" customHeight="1">
      <c r="A116" s="5">
        <v>2</v>
      </c>
      <c r="B116" s="5" t="s">
        <v>890</v>
      </c>
      <c r="C116" s="133">
        <v>44076</v>
      </c>
      <c r="D116" s="108" t="s">
        <v>58</v>
      </c>
      <c r="E116" s="127" t="s">
        <v>200</v>
      </c>
      <c r="F116" s="128" t="s">
        <v>201</v>
      </c>
      <c r="G116" s="129">
        <v>112</v>
      </c>
      <c r="H116" s="29" t="s">
        <v>68</v>
      </c>
      <c r="I116" s="109" t="s">
        <v>28</v>
      </c>
      <c r="J116" s="109">
        <v>230</v>
      </c>
      <c r="K116" s="29"/>
      <c r="L116" s="29"/>
      <c r="M116" s="137"/>
      <c r="N116" s="97"/>
      <c r="O116" s="97" t="s">
        <v>29</v>
      </c>
      <c r="P116" s="97"/>
      <c r="Q116" s="97"/>
      <c r="R116" s="46" t="s">
        <v>29</v>
      </c>
      <c r="S116" s="97"/>
      <c r="T116" s="97"/>
      <c r="U116" s="97"/>
      <c r="V116" s="29" t="s">
        <v>476</v>
      </c>
      <c r="W116" s="29"/>
      <c r="Y116" s="39" t="e">
        <f>IF(E116=E114,Y114,Y114+1)</f>
        <v>#REF!</v>
      </c>
    </row>
    <row r="117" spans="1:25" ht="39.950000000000003" customHeight="1">
      <c r="A117" s="5">
        <v>2</v>
      </c>
      <c r="B117" s="5" t="s">
        <v>890</v>
      </c>
      <c r="C117" s="133">
        <v>44076</v>
      </c>
      <c r="D117" s="108" t="s">
        <v>59</v>
      </c>
      <c r="E117" s="127" t="s">
        <v>121</v>
      </c>
      <c r="F117" s="128" t="s">
        <v>122</v>
      </c>
      <c r="G117" s="129">
        <v>14</v>
      </c>
      <c r="H117" s="29" t="s">
        <v>125</v>
      </c>
      <c r="I117" s="109" t="s">
        <v>18</v>
      </c>
      <c r="J117" s="109">
        <v>220</v>
      </c>
      <c r="K117" s="29"/>
      <c r="L117" s="29"/>
      <c r="M117" s="137" t="s">
        <v>47</v>
      </c>
      <c r="N117" s="97"/>
      <c r="O117" s="97"/>
      <c r="P117" s="97"/>
      <c r="Q117" s="97"/>
      <c r="R117" s="97" t="s">
        <v>29</v>
      </c>
      <c r="S117" s="97"/>
      <c r="T117" s="97" t="s">
        <v>29</v>
      </c>
      <c r="U117" s="97"/>
      <c r="V117" s="29" t="s">
        <v>478</v>
      </c>
      <c r="W117" s="29"/>
      <c r="Y117" s="39" t="e">
        <f t="shared" si="1"/>
        <v>#REF!</v>
      </c>
    </row>
    <row r="118" spans="1:25" ht="39.950000000000003" customHeight="1">
      <c r="A118" s="5">
        <v>2</v>
      </c>
      <c r="B118" s="5" t="s">
        <v>890</v>
      </c>
      <c r="C118" s="133">
        <v>44076</v>
      </c>
      <c r="D118" s="108" t="s">
        <v>60</v>
      </c>
      <c r="E118" s="127" t="s">
        <v>130</v>
      </c>
      <c r="F118" s="128" t="s">
        <v>131</v>
      </c>
      <c r="G118" s="129">
        <v>13</v>
      </c>
      <c r="H118" s="29" t="s">
        <v>69</v>
      </c>
      <c r="I118" s="109" t="s">
        <v>46</v>
      </c>
      <c r="J118" s="109">
        <v>120</v>
      </c>
      <c r="K118" s="29"/>
      <c r="L118" s="29"/>
      <c r="M118" s="137"/>
      <c r="N118" s="97"/>
      <c r="O118" s="97"/>
      <c r="P118" s="97"/>
      <c r="Q118" s="97"/>
      <c r="R118" s="119" t="s">
        <v>70</v>
      </c>
      <c r="S118" s="97" t="s">
        <v>29</v>
      </c>
      <c r="T118" s="97" t="s">
        <v>29</v>
      </c>
      <c r="U118" s="97"/>
      <c r="V118" s="29" t="s">
        <v>477</v>
      </c>
      <c r="W118" s="29"/>
      <c r="Y118" s="39" t="e">
        <f t="shared" si="1"/>
        <v>#REF!</v>
      </c>
    </row>
    <row r="119" spans="1:25" ht="39.950000000000003" customHeight="1">
      <c r="A119" s="5">
        <v>2</v>
      </c>
      <c r="B119" s="5" t="s">
        <v>890</v>
      </c>
      <c r="C119" s="133">
        <v>44076</v>
      </c>
      <c r="D119" s="108" t="s">
        <v>61</v>
      </c>
      <c r="E119" s="127" t="s">
        <v>74</v>
      </c>
      <c r="F119" s="128" t="s">
        <v>78</v>
      </c>
      <c r="G119" s="129">
        <v>27</v>
      </c>
      <c r="H119" s="29" t="s">
        <v>69</v>
      </c>
      <c r="I119" s="109" t="s">
        <v>28</v>
      </c>
      <c r="J119" s="109">
        <v>230</v>
      </c>
      <c r="K119" s="29"/>
      <c r="L119" s="29"/>
      <c r="M119" s="137"/>
      <c r="N119" s="97"/>
      <c r="O119" s="97"/>
      <c r="P119" s="97"/>
      <c r="Q119" s="97"/>
      <c r="R119" s="119" t="s">
        <v>70</v>
      </c>
      <c r="S119" s="97" t="s">
        <v>29</v>
      </c>
      <c r="T119" s="97"/>
      <c r="U119" s="97"/>
      <c r="V119" s="96" t="s">
        <v>806</v>
      </c>
      <c r="W119" s="29"/>
      <c r="Y119" s="39" t="e">
        <f t="shared" si="1"/>
        <v>#REF!</v>
      </c>
    </row>
    <row r="120" spans="1:25" ht="39.950000000000003" customHeight="1">
      <c r="A120" s="5">
        <v>2</v>
      </c>
      <c r="B120" s="5" t="s">
        <v>890</v>
      </c>
      <c r="C120" s="132">
        <v>44077</v>
      </c>
      <c r="D120" s="108" t="s">
        <v>54</v>
      </c>
      <c r="E120" s="127" t="s">
        <v>74</v>
      </c>
      <c r="F120" s="128" t="s">
        <v>78</v>
      </c>
      <c r="G120" s="129">
        <v>2</v>
      </c>
      <c r="H120" s="29" t="s">
        <v>69</v>
      </c>
      <c r="I120" s="109" t="s">
        <v>28</v>
      </c>
      <c r="J120" s="109">
        <v>230</v>
      </c>
      <c r="K120" s="29"/>
      <c r="L120" s="29"/>
      <c r="M120" s="137"/>
      <c r="N120" s="97"/>
      <c r="O120" s="97"/>
      <c r="P120" s="97"/>
      <c r="Q120" s="97"/>
      <c r="R120" s="119" t="s">
        <v>70</v>
      </c>
      <c r="S120" s="97" t="s">
        <v>29</v>
      </c>
      <c r="T120" s="97"/>
      <c r="U120" s="97"/>
      <c r="V120" s="96" t="s">
        <v>807</v>
      </c>
      <c r="W120" s="29"/>
      <c r="Y120" s="39" t="e">
        <f>IF(E120=E118,Y118,Y118+1)</f>
        <v>#REF!</v>
      </c>
    </row>
    <row r="121" spans="1:25" ht="39.950000000000003" customHeight="1">
      <c r="A121" s="5">
        <v>3</v>
      </c>
      <c r="B121" s="5" t="s">
        <v>889</v>
      </c>
      <c r="C121" s="132">
        <v>44077</v>
      </c>
      <c r="D121" s="108" t="s">
        <v>54</v>
      </c>
      <c r="E121" s="127" t="s">
        <v>74</v>
      </c>
      <c r="F121" s="128" t="s">
        <v>78</v>
      </c>
      <c r="G121" s="129">
        <v>79</v>
      </c>
      <c r="H121" s="29" t="s">
        <v>69</v>
      </c>
      <c r="I121" s="109" t="s">
        <v>28</v>
      </c>
      <c r="J121" s="109">
        <v>230</v>
      </c>
      <c r="K121" s="29"/>
      <c r="L121" s="29"/>
      <c r="M121" s="137"/>
      <c r="N121" s="97"/>
      <c r="O121" s="97"/>
      <c r="P121" s="97"/>
      <c r="Q121" s="97"/>
      <c r="R121" s="119" t="s">
        <v>70</v>
      </c>
      <c r="S121" s="97" t="s">
        <v>29</v>
      </c>
      <c r="T121" s="97"/>
      <c r="U121" s="97"/>
      <c r="V121" s="96" t="s">
        <v>807</v>
      </c>
      <c r="W121" s="29"/>
      <c r="Y121" s="39" t="e">
        <f>IF(E121=E119,Y119,Y119+1)</f>
        <v>#REF!</v>
      </c>
    </row>
    <row r="122" spans="1:25" ht="39.950000000000003" customHeight="1">
      <c r="A122" s="5">
        <v>3</v>
      </c>
      <c r="B122" s="5" t="s">
        <v>889</v>
      </c>
      <c r="C122" s="133">
        <v>44077</v>
      </c>
      <c r="D122" s="108" t="s">
        <v>55</v>
      </c>
      <c r="E122" s="127" t="s">
        <v>121</v>
      </c>
      <c r="F122" s="128" t="s">
        <v>122</v>
      </c>
      <c r="G122" s="129">
        <v>10</v>
      </c>
      <c r="H122" s="29" t="s">
        <v>125</v>
      </c>
      <c r="I122" s="109" t="s">
        <v>18</v>
      </c>
      <c r="J122" s="109">
        <v>220</v>
      </c>
      <c r="K122" s="29"/>
      <c r="L122" s="29"/>
      <c r="M122" s="137" t="s">
        <v>47</v>
      </c>
      <c r="N122" s="97"/>
      <c r="O122" s="97"/>
      <c r="P122" s="97"/>
      <c r="Q122" s="97"/>
      <c r="R122" s="97" t="s">
        <v>29</v>
      </c>
      <c r="S122" s="97"/>
      <c r="T122" s="97" t="s">
        <v>29</v>
      </c>
      <c r="U122" s="97"/>
      <c r="V122" s="29" t="s">
        <v>479</v>
      </c>
      <c r="W122" s="29"/>
      <c r="Y122" s="39" t="e">
        <f t="shared" si="1"/>
        <v>#REF!</v>
      </c>
    </row>
    <row r="123" spans="1:25" ht="39.950000000000003" customHeight="1">
      <c r="A123" s="5">
        <v>3</v>
      </c>
      <c r="B123" s="5" t="s">
        <v>889</v>
      </c>
      <c r="C123" s="133">
        <v>44077</v>
      </c>
      <c r="D123" s="108" t="s">
        <v>56</v>
      </c>
      <c r="E123" s="127" t="s">
        <v>87</v>
      </c>
      <c r="F123" s="128" t="s">
        <v>88</v>
      </c>
      <c r="G123" s="129">
        <v>30</v>
      </c>
      <c r="H123" s="29" t="s">
        <v>89</v>
      </c>
      <c r="I123" s="109" t="s">
        <v>18</v>
      </c>
      <c r="J123" s="109">
        <v>220</v>
      </c>
      <c r="K123" s="29"/>
      <c r="L123" s="29"/>
      <c r="M123" s="137" t="s">
        <v>47</v>
      </c>
      <c r="N123" s="97"/>
      <c r="O123" s="97"/>
      <c r="P123" s="97"/>
      <c r="Q123" s="97"/>
      <c r="R123" s="46" t="s">
        <v>29</v>
      </c>
      <c r="S123" s="97"/>
      <c r="T123" s="97" t="s">
        <v>29</v>
      </c>
      <c r="U123" s="97"/>
      <c r="V123" s="96" t="s">
        <v>480</v>
      </c>
      <c r="W123" s="29"/>
      <c r="Y123" s="39" t="e">
        <f t="shared" si="1"/>
        <v>#REF!</v>
      </c>
    </row>
    <row r="124" spans="1:25" ht="39.950000000000003" customHeight="1">
      <c r="A124" s="5">
        <v>3</v>
      </c>
      <c r="B124" s="5" t="s">
        <v>889</v>
      </c>
      <c r="C124" s="133">
        <v>44077</v>
      </c>
      <c r="D124" s="108" t="s">
        <v>57</v>
      </c>
      <c r="E124" s="127" t="s">
        <v>116</v>
      </c>
      <c r="F124" s="128" t="s">
        <v>117</v>
      </c>
      <c r="G124" s="129">
        <v>41</v>
      </c>
      <c r="H124" s="29" t="s">
        <v>68</v>
      </c>
      <c r="I124" s="109" t="s">
        <v>18</v>
      </c>
      <c r="J124" s="109">
        <v>220</v>
      </c>
      <c r="K124" s="29"/>
      <c r="L124" s="29"/>
      <c r="M124" s="137"/>
      <c r="N124" s="97"/>
      <c r="O124" s="97"/>
      <c r="P124" s="97"/>
      <c r="Q124" s="97"/>
      <c r="R124" s="46" t="s">
        <v>29</v>
      </c>
      <c r="S124" s="97"/>
      <c r="T124" s="97" t="s">
        <v>29</v>
      </c>
      <c r="U124" s="97"/>
      <c r="V124" s="29" t="s">
        <v>481</v>
      </c>
      <c r="W124" s="29"/>
      <c r="Y124" s="39" t="e">
        <f>IF(E124=E122,Y122,Y122+1)</f>
        <v>#REF!</v>
      </c>
    </row>
    <row r="125" spans="1:25" ht="39.950000000000003" customHeight="1">
      <c r="A125" s="5">
        <v>3</v>
      </c>
      <c r="B125" s="5" t="s">
        <v>890</v>
      </c>
      <c r="C125" s="133">
        <v>44077</v>
      </c>
      <c r="D125" s="108" t="s">
        <v>57</v>
      </c>
      <c r="E125" s="127" t="s">
        <v>116</v>
      </c>
      <c r="F125" s="128" t="s">
        <v>117</v>
      </c>
      <c r="G125" s="129">
        <v>6</v>
      </c>
      <c r="H125" s="29" t="s">
        <v>68</v>
      </c>
      <c r="I125" s="109" t="s">
        <v>18</v>
      </c>
      <c r="J125" s="109">
        <v>220</v>
      </c>
      <c r="K125" s="29"/>
      <c r="L125" s="29"/>
      <c r="M125" s="137"/>
      <c r="N125" s="97"/>
      <c r="O125" s="97"/>
      <c r="P125" s="97"/>
      <c r="Q125" s="97"/>
      <c r="R125" s="46" t="s">
        <v>29</v>
      </c>
      <c r="S125" s="97"/>
      <c r="T125" s="97" t="s">
        <v>29</v>
      </c>
      <c r="U125" s="97"/>
      <c r="V125" s="29" t="s">
        <v>481</v>
      </c>
      <c r="W125" s="29"/>
      <c r="Y125" s="39" t="e">
        <f>IF(E125=E123,Y123,Y123+1)</f>
        <v>#REF!</v>
      </c>
    </row>
    <row r="126" spans="1:25" ht="39.950000000000003" customHeight="1">
      <c r="A126" s="5">
        <v>3</v>
      </c>
      <c r="B126" s="5" t="s">
        <v>890</v>
      </c>
      <c r="C126" s="133">
        <v>44077</v>
      </c>
      <c r="D126" s="108" t="s">
        <v>58</v>
      </c>
      <c r="E126" s="30" t="s">
        <v>200</v>
      </c>
      <c r="F126" s="31" t="s">
        <v>201</v>
      </c>
      <c r="G126" s="29">
        <v>111</v>
      </c>
      <c r="H126" s="29" t="s">
        <v>68</v>
      </c>
      <c r="I126" s="29" t="s">
        <v>28</v>
      </c>
      <c r="J126" s="29">
        <v>230</v>
      </c>
      <c r="K126" s="29"/>
      <c r="L126" s="29"/>
      <c r="M126" s="137"/>
      <c r="N126" s="97"/>
      <c r="O126" s="97" t="s">
        <v>29</v>
      </c>
      <c r="P126" s="97"/>
      <c r="Q126" s="97"/>
      <c r="R126" s="97" t="s">
        <v>29</v>
      </c>
      <c r="S126" s="97"/>
      <c r="T126" s="97"/>
      <c r="U126" s="97"/>
      <c r="V126" s="29" t="s">
        <v>482</v>
      </c>
      <c r="W126" s="29"/>
      <c r="Y126" s="39" t="e">
        <f t="shared" si="1"/>
        <v>#REF!</v>
      </c>
    </row>
    <row r="127" spans="1:25" ht="39.950000000000003" customHeight="1">
      <c r="A127" s="5">
        <v>3</v>
      </c>
      <c r="B127" s="5" t="s">
        <v>890</v>
      </c>
      <c r="C127" s="133">
        <v>44077</v>
      </c>
      <c r="D127" s="108" t="s">
        <v>59</v>
      </c>
      <c r="E127" s="30" t="s">
        <v>121</v>
      </c>
      <c r="F127" s="31" t="s">
        <v>122</v>
      </c>
      <c r="G127" s="29">
        <v>10</v>
      </c>
      <c r="H127" s="29" t="s">
        <v>125</v>
      </c>
      <c r="I127" s="29" t="s">
        <v>18</v>
      </c>
      <c r="J127" s="29">
        <v>220</v>
      </c>
      <c r="K127" s="29"/>
      <c r="L127" s="29"/>
      <c r="M127" s="137" t="s">
        <v>47</v>
      </c>
      <c r="N127" s="97"/>
      <c r="O127" s="97"/>
      <c r="P127" s="97"/>
      <c r="Q127" s="97"/>
      <c r="R127" s="97" t="s">
        <v>29</v>
      </c>
      <c r="S127" s="97"/>
      <c r="T127" s="97" t="s">
        <v>29</v>
      </c>
      <c r="U127" s="97"/>
      <c r="V127" s="29" t="s">
        <v>483</v>
      </c>
      <c r="W127" s="29"/>
      <c r="Y127" s="39" t="e">
        <f t="shared" si="1"/>
        <v>#REF!</v>
      </c>
    </row>
    <row r="128" spans="1:25" ht="39.950000000000003" customHeight="1">
      <c r="A128" s="5">
        <v>3</v>
      </c>
      <c r="B128" s="5" t="s">
        <v>890</v>
      </c>
      <c r="C128" s="133">
        <v>44077</v>
      </c>
      <c r="D128" s="108" t="s">
        <v>60</v>
      </c>
      <c r="E128" s="30" t="s">
        <v>74</v>
      </c>
      <c r="F128" s="31" t="s">
        <v>78</v>
      </c>
      <c r="G128" s="29">
        <v>31</v>
      </c>
      <c r="H128" s="29" t="s">
        <v>69</v>
      </c>
      <c r="I128" s="29" t="s">
        <v>28</v>
      </c>
      <c r="J128" s="29">
        <v>230</v>
      </c>
      <c r="K128" s="29"/>
      <c r="L128" s="29"/>
      <c r="M128" s="137"/>
      <c r="N128" s="97"/>
      <c r="O128" s="97"/>
      <c r="P128" s="97"/>
      <c r="Q128" s="97"/>
      <c r="R128" s="119" t="s">
        <v>70</v>
      </c>
      <c r="S128" s="97" t="s">
        <v>29</v>
      </c>
      <c r="T128" s="97"/>
      <c r="U128" s="97"/>
      <c r="V128" s="96" t="s">
        <v>808</v>
      </c>
      <c r="W128" s="29"/>
      <c r="Y128" s="39" t="e">
        <f t="shared" si="1"/>
        <v>#REF!</v>
      </c>
    </row>
    <row r="129" spans="1:25" ht="39.950000000000003" customHeight="1">
      <c r="A129" s="5">
        <v>3</v>
      </c>
      <c r="B129" s="5" t="s">
        <v>890</v>
      </c>
      <c r="C129" s="132">
        <v>44078</v>
      </c>
      <c r="D129" s="108" t="s">
        <v>54</v>
      </c>
      <c r="E129" s="30" t="s">
        <v>74</v>
      </c>
      <c r="F129" s="31" t="s">
        <v>78</v>
      </c>
      <c r="G129" s="29">
        <v>2</v>
      </c>
      <c r="H129" s="29" t="s">
        <v>69</v>
      </c>
      <c r="I129" s="29" t="s">
        <v>28</v>
      </c>
      <c r="J129" s="29">
        <v>230</v>
      </c>
      <c r="K129" s="29"/>
      <c r="L129" s="29"/>
      <c r="M129" s="137"/>
      <c r="N129" s="97"/>
      <c r="O129" s="97"/>
      <c r="P129" s="97"/>
      <c r="Q129" s="97"/>
      <c r="R129" s="119" t="s">
        <v>70</v>
      </c>
      <c r="S129" s="97" t="s">
        <v>29</v>
      </c>
      <c r="T129" s="97"/>
      <c r="U129" s="97"/>
      <c r="V129" s="96" t="s">
        <v>809</v>
      </c>
      <c r="W129" s="29"/>
      <c r="Y129" s="39" t="e">
        <f>IF(E129=E127,Y127,Y127+1)</f>
        <v>#REF!</v>
      </c>
    </row>
    <row r="130" spans="1:25" ht="39.950000000000003" customHeight="1">
      <c r="A130" s="5">
        <v>4</v>
      </c>
      <c r="B130" s="5" t="s">
        <v>889</v>
      </c>
      <c r="C130" s="132">
        <v>44078</v>
      </c>
      <c r="D130" s="108" t="s">
        <v>54</v>
      </c>
      <c r="E130" s="30" t="s">
        <v>74</v>
      </c>
      <c r="F130" s="31" t="s">
        <v>78</v>
      </c>
      <c r="G130" s="29">
        <v>75</v>
      </c>
      <c r="H130" s="29" t="s">
        <v>69</v>
      </c>
      <c r="I130" s="29" t="s">
        <v>28</v>
      </c>
      <c r="J130" s="29">
        <v>230</v>
      </c>
      <c r="K130" s="29"/>
      <c r="L130" s="29"/>
      <c r="M130" s="137"/>
      <c r="N130" s="97"/>
      <c r="O130" s="97"/>
      <c r="P130" s="97"/>
      <c r="Q130" s="97"/>
      <c r="R130" s="119" t="s">
        <v>70</v>
      </c>
      <c r="S130" s="97" t="s">
        <v>29</v>
      </c>
      <c r="T130" s="97"/>
      <c r="U130" s="97"/>
      <c r="V130" s="96" t="s">
        <v>809</v>
      </c>
      <c r="W130" s="29"/>
      <c r="Y130" s="39" t="e">
        <f>IF(E130=E128,Y128,Y128+1)</f>
        <v>#REF!</v>
      </c>
    </row>
    <row r="131" spans="1:25" ht="39.950000000000003" customHeight="1">
      <c r="A131" s="5">
        <v>4</v>
      </c>
      <c r="B131" s="5" t="s">
        <v>889</v>
      </c>
      <c r="C131" s="133">
        <v>44078</v>
      </c>
      <c r="D131" s="108" t="s">
        <v>55</v>
      </c>
      <c r="E131" s="30" t="s">
        <v>121</v>
      </c>
      <c r="F131" s="31" t="s">
        <v>122</v>
      </c>
      <c r="G131" s="29">
        <v>10</v>
      </c>
      <c r="H131" s="29" t="s">
        <v>125</v>
      </c>
      <c r="I131" s="29" t="s">
        <v>18</v>
      </c>
      <c r="J131" s="29">
        <v>220</v>
      </c>
      <c r="K131" s="29"/>
      <c r="L131" s="29"/>
      <c r="M131" s="137" t="s">
        <v>47</v>
      </c>
      <c r="N131" s="97"/>
      <c r="O131" s="97"/>
      <c r="P131" s="97"/>
      <c r="Q131" s="97"/>
      <c r="R131" s="97" t="s">
        <v>29</v>
      </c>
      <c r="S131" s="97"/>
      <c r="T131" s="97" t="s">
        <v>29</v>
      </c>
      <c r="U131" s="97"/>
      <c r="V131" s="29" t="s">
        <v>484</v>
      </c>
      <c r="W131" s="29"/>
      <c r="Y131" s="39" t="e">
        <f t="shared" si="1"/>
        <v>#REF!</v>
      </c>
    </row>
    <row r="132" spans="1:25" ht="39.950000000000003" customHeight="1">
      <c r="A132" s="5">
        <v>4</v>
      </c>
      <c r="B132" s="5" t="s">
        <v>889</v>
      </c>
      <c r="C132" s="133">
        <v>44078</v>
      </c>
      <c r="D132" s="108" t="s">
        <v>56</v>
      </c>
      <c r="E132" s="30" t="s">
        <v>87</v>
      </c>
      <c r="F132" s="31" t="s">
        <v>88</v>
      </c>
      <c r="G132" s="29">
        <v>30</v>
      </c>
      <c r="H132" s="29" t="s">
        <v>89</v>
      </c>
      <c r="I132" s="29" t="s">
        <v>18</v>
      </c>
      <c r="J132" s="29">
        <v>220</v>
      </c>
      <c r="K132" s="29"/>
      <c r="L132" s="29"/>
      <c r="M132" s="137" t="s">
        <v>47</v>
      </c>
      <c r="N132" s="97"/>
      <c r="O132" s="97"/>
      <c r="P132" s="97"/>
      <c r="Q132" s="97"/>
      <c r="R132" s="46" t="s">
        <v>29</v>
      </c>
      <c r="S132" s="97"/>
      <c r="T132" s="97" t="s">
        <v>29</v>
      </c>
      <c r="U132" s="97"/>
      <c r="V132" s="96" t="s">
        <v>485</v>
      </c>
      <c r="W132" s="29"/>
      <c r="Y132" s="39" t="e">
        <f t="shared" si="1"/>
        <v>#REF!</v>
      </c>
    </row>
    <row r="133" spans="1:25" ht="39.950000000000003" customHeight="1">
      <c r="A133" s="5">
        <v>4</v>
      </c>
      <c r="B133" s="5" t="s">
        <v>889</v>
      </c>
      <c r="C133" s="133">
        <v>44078</v>
      </c>
      <c r="D133" s="108" t="s">
        <v>57</v>
      </c>
      <c r="E133" s="30" t="s">
        <v>116</v>
      </c>
      <c r="F133" s="31" t="s">
        <v>117</v>
      </c>
      <c r="G133" s="29">
        <v>45</v>
      </c>
      <c r="H133" s="29" t="s">
        <v>68</v>
      </c>
      <c r="I133" s="29" t="s">
        <v>18</v>
      </c>
      <c r="J133" s="29">
        <v>220</v>
      </c>
      <c r="K133" s="29"/>
      <c r="L133" s="29"/>
      <c r="M133" s="137"/>
      <c r="N133" s="97"/>
      <c r="O133" s="97"/>
      <c r="P133" s="97"/>
      <c r="Q133" s="97"/>
      <c r="R133" s="97" t="s">
        <v>29</v>
      </c>
      <c r="S133" s="97"/>
      <c r="T133" s="97" t="s">
        <v>29</v>
      </c>
      <c r="U133" s="97"/>
      <c r="V133" s="29" t="s">
        <v>486</v>
      </c>
      <c r="W133" s="29"/>
      <c r="Y133" s="39" t="e">
        <f>IF(E133=E131,Y131,Y131+1)</f>
        <v>#REF!</v>
      </c>
    </row>
    <row r="134" spans="1:25" ht="39.950000000000003" customHeight="1">
      <c r="A134" s="5">
        <v>4</v>
      </c>
      <c r="B134" s="5" t="s">
        <v>890</v>
      </c>
      <c r="C134" s="133">
        <v>44078</v>
      </c>
      <c r="D134" s="108" t="s">
        <v>57</v>
      </c>
      <c r="E134" s="30" t="s">
        <v>116</v>
      </c>
      <c r="F134" s="31" t="s">
        <v>117</v>
      </c>
      <c r="G134" s="29">
        <v>46</v>
      </c>
      <c r="H134" s="29" t="s">
        <v>68</v>
      </c>
      <c r="I134" s="29" t="s">
        <v>18</v>
      </c>
      <c r="J134" s="29">
        <v>220</v>
      </c>
      <c r="K134" s="29"/>
      <c r="L134" s="29"/>
      <c r="M134" s="137"/>
      <c r="N134" s="97"/>
      <c r="O134" s="97"/>
      <c r="P134" s="97"/>
      <c r="Q134" s="97"/>
      <c r="R134" s="97" t="s">
        <v>29</v>
      </c>
      <c r="S134" s="97"/>
      <c r="T134" s="97" t="s">
        <v>29</v>
      </c>
      <c r="U134" s="97"/>
      <c r="V134" s="29" t="s">
        <v>486</v>
      </c>
      <c r="W134" s="29"/>
      <c r="Y134" s="39" t="e">
        <f>IF(E134=E132,Y132,Y132+1)</f>
        <v>#REF!</v>
      </c>
    </row>
    <row r="135" spans="1:25" ht="39.950000000000003" customHeight="1">
      <c r="A135" s="5">
        <v>4</v>
      </c>
      <c r="B135" s="5" t="s">
        <v>890</v>
      </c>
      <c r="C135" s="133">
        <v>44078</v>
      </c>
      <c r="D135" s="108" t="s">
        <v>58</v>
      </c>
      <c r="E135" s="30" t="s">
        <v>200</v>
      </c>
      <c r="F135" s="31" t="s">
        <v>201</v>
      </c>
      <c r="G135" s="29">
        <v>71</v>
      </c>
      <c r="H135" s="29" t="s">
        <v>68</v>
      </c>
      <c r="I135" s="29" t="s">
        <v>28</v>
      </c>
      <c r="J135" s="29">
        <v>230</v>
      </c>
      <c r="K135" s="29"/>
      <c r="L135" s="29"/>
      <c r="M135" s="137"/>
      <c r="N135" s="97"/>
      <c r="O135" s="97" t="s">
        <v>29</v>
      </c>
      <c r="P135" s="97"/>
      <c r="Q135" s="97"/>
      <c r="R135" s="97" t="s">
        <v>29</v>
      </c>
      <c r="S135" s="97"/>
      <c r="T135" s="97"/>
      <c r="U135" s="97"/>
      <c r="V135" s="29" t="s">
        <v>487</v>
      </c>
      <c r="W135" s="29"/>
      <c r="Y135" s="39" t="e">
        <f t="shared" si="1"/>
        <v>#REF!</v>
      </c>
    </row>
    <row r="136" spans="1:25" ht="39.950000000000003" customHeight="1">
      <c r="A136" s="5">
        <v>4</v>
      </c>
      <c r="B136" s="5" t="s">
        <v>890</v>
      </c>
      <c r="C136" s="133">
        <v>44078</v>
      </c>
      <c r="D136" s="108" t="s">
        <v>59</v>
      </c>
      <c r="E136" s="30" t="s">
        <v>121</v>
      </c>
      <c r="F136" s="31" t="s">
        <v>122</v>
      </c>
      <c r="G136" s="29">
        <v>10</v>
      </c>
      <c r="H136" s="29" t="s">
        <v>125</v>
      </c>
      <c r="I136" s="29" t="s">
        <v>18</v>
      </c>
      <c r="J136" s="29">
        <v>220</v>
      </c>
      <c r="K136" s="29"/>
      <c r="L136" s="29"/>
      <c r="M136" s="137" t="s">
        <v>47</v>
      </c>
      <c r="N136" s="97"/>
      <c r="O136" s="97"/>
      <c r="P136" s="97"/>
      <c r="Q136" s="97"/>
      <c r="R136" s="97" t="s">
        <v>29</v>
      </c>
      <c r="S136" s="97"/>
      <c r="T136" s="97" t="s">
        <v>29</v>
      </c>
      <c r="U136" s="97"/>
      <c r="V136" s="29" t="s">
        <v>488</v>
      </c>
      <c r="W136" s="29"/>
      <c r="Y136" s="39" t="e">
        <f t="shared" si="1"/>
        <v>#REF!</v>
      </c>
    </row>
    <row r="137" spans="1:25" ht="39.950000000000003" customHeight="1">
      <c r="A137" s="5">
        <v>4</v>
      </c>
      <c r="B137" s="5" t="s">
        <v>890</v>
      </c>
      <c r="C137" s="133">
        <v>44078</v>
      </c>
      <c r="D137" s="108" t="s">
        <v>60</v>
      </c>
      <c r="E137" s="30" t="s">
        <v>74</v>
      </c>
      <c r="F137" s="31" t="s">
        <v>78</v>
      </c>
      <c r="G137" s="29">
        <v>31</v>
      </c>
      <c r="H137" s="29" t="s">
        <v>69</v>
      </c>
      <c r="I137" s="29" t="s">
        <v>28</v>
      </c>
      <c r="J137" s="29">
        <v>230</v>
      </c>
      <c r="K137" s="29"/>
      <c r="L137" s="29"/>
      <c r="M137" s="137"/>
      <c r="N137" s="97"/>
      <c r="O137" s="97"/>
      <c r="P137" s="97"/>
      <c r="Q137" s="97"/>
      <c r="R137" s="119" t="s">
        <v>70</v>
      </c>
      <c r="S137" s="97" t="s">
        <v>29</v>
      </c>
      <c r="T137" s="97"/>
      <c r="U137" s="97"/>
      <c r="V137" s="96" t="s">
        <v>810</v>
      </c>
      <c r="W137" s="29"/>
      <c r="Y137" s="39" t="e">
        <f t="shared" si="1"/>
        <v>#REF!</v>
      </c>
    </row>
    <row r="138" spans="1:25" ht="39.950000000000003" customHeight="1">
      <c r="A138" s="5">
        <v>4</v>
      </c>
      <c r="B138" s="5" t="s">
        <v>890</v>
      </c>
      <c r="C138" s="132">
        <v>44079</v>
      </c>
      <c r="D138" s="108" t="s">
        <v>54</v>
      </c>
      <c r="E138" s="30" t="s">
        <v>74</v>
      </c>
      <c r="F138" s="31" t="s">
        <v>78</v>
      </c>
      <c r="G138" s="29">
        <v>2</v>
      </c>
      <c r="H138" s="29" t="s">
        <v>69</v>
      </c>
      <c r="I138" s="29" t="s">
        <v>28</v>
      </c>
      <c r="J138" s="29">
        <v>230</v>
      </c>
      <c r="K138" s="29"/>
      <c r="L138" s="29"/>
      <c r="M138" s="137"/>
      <c r="N138" s="97"/>
      <c r="O138" s="97"/>
      <c r="P138" s="97"/>
      <c r="Q138" s="97"/>
      <c r="R138" s="119" t="s">
        <v>70</v>
      </c>
      <c r="S138" s="97" t="s">
        <v>29</v>
      </c>
      <c r="T138" s="97"/>
      <c r="U138" s="97"/>
      <c r="V138" s="96" t="s">
        <v>811</v>
      </c>
      <c r="W138" s="29"/>
      <c r="Y138" s="39" t="e">
        <f>IF(E138=E136,Y136,Y136+1)</f>
        <v>#REF!</v>
      </c>
    </row>
    <row r="139" spans="1:25" ht="39.950000000000003" customHeight="1">
      <c r="A139" s="5">
        <v>8</v>
      </c>
      <c r="B139" s="5" t="s">
        <v>889</v>
      </c>
      <c r="C139" s="132">
        <v>44079</v>
      </c>
      <c r="D139" s="108" t="s">
        <v>54</v>
      </c>
      <c r="E139" s="30" t="s">
        <v>74</v>
      </c>
      <c r="F139" s="31" t="s">
        <v>78</v>
      </c>
      <c r="G139" s="29">
        <v>75</v>
      </c>
      <c r="H139" s="29" t="s">
        <v>69</v>
      </c>
      <c r="I139" s="29" t="s">
        <v>28</v>
      </c>
      <c r="J139" s="29">
        <v>230</v>
      </c>
      <c r="K139" s="29"/>
      <c r="L139" s="29"/>
      <c r="M139" s="137"/>
      <c r="N139" s="97"/>
      <c r="O139" s="97"/>
      <c r="P139" s="97"/>
      <c r="Q139" s="97"/>
      <c r="R139" s="119" t="s">
        <v>70</v>
      </c>
      <c r="S139" s="97" t="s">
        <v>29</v>
      </c>
      <c r="T139" s="97"/>
      <c r="U139" s="97"/>
      <c r="V139" s="96" t="s">
        <v>811</v>
      </c>
      <c r="W139" s="29"/>
      <c r="Y139" s="39" t="e">
        <f>IF(E139=E137,Y137,Y137+1)</f>
        <v>#REF!</v>
      </c>
    </row>
    <row r="140" spans="1:25" ht="39.950000000000003" customHeight="1">
      <c r="A140" s="5">
        <v>8</v>
      </c>
      <c r="B140" s="5" t="s">
        <v>889</v>
      </c>
      <c r="C140" s="133">
        <v>44079</v>
      </c>
      <c r="D140" s="108" t="s">
        <v>55</v>
      </c>
      <c r="E140" s="30" t="s">
        <v>87</v>
      </c>
      <c r="F140" s="31" t="s">
        <v>88</v>
      </c>
      <c r="G140" s="29">
        <v>30</v>
      </c>
      <c r="H140" s="29" t="s">
        <v>89</v>
      </c>
      <c r="I140" s="29" t="s">
        <v>18</v>
      </c>
      <c r="J140" s="29">
        <v>220</v>
      </c>
      <c r="K140" s="29"/>
      <c r="L140" s="29"/>
      <c r="M140" s="137" t="s">
        <v>47</v>
      </c>
      <c r="N140" s="97"/>
      <c r="O140" s="97"/>
      <c r="P140" s="97"/>
      <c r="Q140" s="97"/>
      <c r="R140" s="97" t="s">
        <v>29</v>
      </c>
      <c r="S140" s="97"/>
      <c r="T140" s="97" t="s">
        <v>29</v>
      </c>
      <c r="U140" s="97"/>
      <c r="V140" s="29" t="s">
        <v>489</v>
      </c>
      <c r="W140" s="29"/>
      <c r="Y140" s="39" t="e">
        <f t="shared" ref="Y140:Y214" si="2">IF(E140=E139,Y139,Y139+1)</f>
        <v>#REF!</v>
      </c>
    </row>
    <row r="141" spans="1:25" ht="39.950000000000003" customHeight="1">
      <c r="A141" s="5">
        <v>8</v>
      </c>
      <c r="B141" s="5" t="s">
        <v>889</v>
      </c>
      <c r="C141" s="133">
        <v>44079</v>
      </c>
      <c r="D141" s="108" t="s">
        <v>56</v>
      </c>
      <c r="E141" s="30" t="s">
        <v>116</v>
      </c>
      <c r="F141" s="31" t="s">
        <v>117</v>
      </c>
      <c r="G141" s="29">
        <v>12</v>
      </c>
      <c r="H141" s="29" t="s">
        <v>68</v>
      </c>
      <c r="I141" s="29" t="s">
        <v>18</v>
      </c>
      <c r="J141" s="29">
        <v>220</v>
      </c>
      <c r="K141" s="29"/>
      <c r="L141" s="29"/>
      <c r="M141" s="137"/>
      <c r="N141" s="97"/>
      <c r="O141" s="97"/>
      <c r="P141" s="97"/>
      <c r="Q141" s="97"/>
      <c r="R141" s="46" t="s">
        <v>29</v>
      </c>
      <c r="S141" s="97"/>
      <c r="T141" s="97" t="s">
        <v>29</v>
      </c>
      <c r="U141" s="97"/>
      <c r="V141" s="96" t="s">
        <v>490</v>
      </c>
      <c r="W141" s="29"/>
      <c r="Y141" s="39" t="e">
        <f t="shared" si="2"/>
        <v>#REF!</v>
      </c>
    </row>
    <row r="142" spans="1:25" ht="39.950000000000003" customHeight="1">
      <c r="A142" s="5">
        <v>8</v>
      </c>
      <c r="B142" s="5" t="s">
        <v>889</v>
      </c>
      <c r="C142" s="133">
        <v>44079</v>
      </c>
      <c r="D142" s="108" t="s">
        <v>57</v>
      </c>
      <c r="E142" s="30" t="s">
        <v>200</v>
      </c>
      <c r="F142" s="31" t="s">
        <v>201</v>
      </c>
      <c r="G142" s="29">
        <v>41</v>
      </c>
      <c r="H142" s="29" t="s">
        <v>68</v>
      </c>
      <c r="I142" s="29" t="s">
        <v>28</v>
      </c>
      <c r="J142" s="29">
        <v>230</v>
      </c>
      <c r="K142" s="29"/>
      <c r="L142" s="29"/>
      <c r="M142" s="137"/>
      <c r="N142" s="97"/>
      <c r="O142" s="97" t="s">
        <v>29</v>
      </c>
      <c r="P142" s="97"/>
      <c r="Q142" s="97"/>
      <c r="R142" s="97" t="s">
        <v>29</v>
      </c>
      <c r="S142" s="97"/>
      <c r="T142" s="97"/>
      <c r="U142" s="97"/>
      <c r="V142" s="29" t="s">
        <v>491</v>
      </c>
      <c r="W142" s="29"/>
      <c r="Y142" s="39" t="e">
        <f>IF(E142=E140,Y140,Y140+1)</f>
        <v>#REF!</v>
      </c>
    </row>
    <row r="143" spans="1:25" ht="39.950000000000003" customHeight="1">
      <c r="A143" s="5">
        <v>8</v>
      </c>
      <c r="B143" s="5" t="s">
        <v>890</v>
      </c>
      <c r="C143" s="133">
        <v>44079</v>
      </c>
      <c r="D143" s="108" t="s">
        <v>57</v>
      </c>
      <c r="E143" s="30" t="s">
        <v>200</v>
      </c>
      <c r="F143" s="31" t="s">
        <v>201</v>
      </c>
      <c r="G143" s="29">
        <v>49</v>
      </c>
      <c r="H143" s="29" t="s">
        <v>68</v>
      </c>
      <c r="I143" s="29" t="s">
        <v>28</v>
      </c>
      <c r="J143" s="29">
        <v>230</v>
      </c>
      <c r="K143" s="29"/>
      <c r="L143" s="29"/>
      <c r="M143" s="137"/>
      <c r="N143" s="97"/>
      <c r="O143" s="97" t="s">
        <v>29</v>
      </c>
      <c r="P143" s="97"/>
      <c r="Q143" s="97"/>
      <c r="R143" s="97" t="s">
        <v>29</v>
      </c>
      <c r="S143" s="97"/>
      <c r="T143" s="97"/>
      <c r="U143" s="97"/>
      <c r="V143" s="29" t="s">
        <v>491</v>
      </c>
      <c r="W143" s="29"/>
      <c r="Y143" s="39" t="e">
        <f>IF(E143=E141,Y141,Y141+1)</f>
        <v>#REF!</v>
      </c>
    </row>
    <row r="144" spans="1:25" ht="39.950000000000003" customHeight="1">
      <c r="A144" s="5">
        <v>8</v>
      </c>
      <c r="B144" s="5" t="s">
        <v>890</v>
      </c>
      <c r="C144" s="133">
        <v>44079</v>
      </c>
      <c r="D144" s="108" t="s">
        <v>58</v>
      </c>
      <c r="E144" s="30" t="s">
        <v>121</v>
      </c>
      <c r="F144" s="31" t="s">
        <v>122</v>
      </c>
      <c r="G144" s="29">
        <v>15</v>
      </c>
      <c r="H144" s="29" t="s">
        <v>125</v>
      </c>
      <c r="I144" s="29" t="s">
        <v>18</v>
      </c>
      <c r="J144" s="29">
        <v>220</v>
      </c>
      <c r="K144" s="29"/>
      <c r="L144" s="29"/>
      <c r="M144" s="137" t="s">
        <v>47</v>
      </c>
      <c r="N144" s="97"/>
      <c r="O144" s="97"/>
      <c r="P144" s="97"/>
      <c r="Q144" s="97"/>
      <c r="R144" s="97" t="s">
        <v>29</v>
      </c>
      <c r="S144" s="97"/>
      <c r="T144" s="97" t="s">
        <v>29</v>
      </c>
      <c r="U144" s="97"/>
      <c r="V144" s="29" t="s">
        <v>492</v>
      </c>
      <c r="W144" s="29"/>
      <c r="Y144" s="39" t="e">
        <f t="shared" si="2"/>
        <v>#REF!</v>
      </c>
    </row>
    <row r="145" spans="1:25" ht="39.950000000000003" customHeight="1">
      <c r="A145" s="5">
        <v>8</v>
      </c>
      <c r="B145" s="5" t="s">
        <v>890</v>
      </c>
      <c r="C145" s="133">
        <v>44079</v>
      </c>
      <c r="D145" s="108" t="s">
        <v>59</v>
      </c>
      <c r="E145" s="30" t="s">
        <v>71</v>
      </c>
      <c r="F145" s="31" t="s">
        <v>75</v>
      </c>
      <c r="G145" s="29">
        <v>36</v>
      </c>
      <c r="H145" s="29" t="s">
        <v>69</v>
      </c>
      <c r="I145" s="29" t="s">
        <v>28</v>
      </c>
      <c r="J145" s="29">
        <v>230</v>
      </c>
      <c r="K145" s="29"/>
      <c r="L145" s="29"/>
      <c r="M145" s="137"/>
      <c r="N145" s="97"/>
      <c r="O145" s="97"/>
      <c r="P145" s="97"/>
      <c r="Q145" s="97"/>
      <c r="R145" s="91" t="s">
        <v>70</v>
      </c>
      <c r="S145" s="97" t="s">
        <v>29</v>
      </c>
      <c r="T145" s="97"/>
      <c r="U145" s="97"/>
      <c r="V145" s="96" t="s">
        <v>812</v>
      </c>
      <c r="W145" s="29"/>
      <c r="Y145" s="39" t="e">
        <f t="shared" si="2"/>
        <v>#REF!</v>
      </c>
    </row>
    <row r="146" spans="1:25" ht="39.950000000000003" customHeight="1">
      <c r="A146" s="5">
        <v>8</v>
      </c>
      <c r="B146" s="5" t="s">
        <v>890</v>
      </c>
      <c r="C146" s="132">
        <v>44081</v>
      </c>
      <c r="D146" s="108" t="s">
        <v>54</v>
      </c>
      <c r="E146" s="30" t="s">
        <v>71</v>
      </c>
      <c r="F146" s="31" t="s">
        <v>75</v>
      </c>
      <c r="G146" s="29">
        <v>10</v>
      </c>
      <c r="H146" s="29" t="s">
        <v>69</v>
      </c>
      <c r="I146" s="29" t="s">
        <v>28</v>
      </c>
      <c r="J146" s="29">
        <v>230</v>
      </c>
      <c r="K146" s="29"/>
      <c r="L146" s="29"/>
      <c r="M146" s="137"/>
      <c r="N146" s="97"/>
      <c r="O146" s="97"/>
      <c r="P146" s="97"/>
      <c r="Q146" s="97"/>
      <c r="R146" s="91" t="s">
        <v>70</v>
      </c>
      <c r="S146" s="97" t="s">
        <v>29</v>
      </c>
      <c r="T146" s="97"/>
      <c r="U146" s="97"/>
      <c r="V146" s="29" t="s">
        <v>813</v>
      </c>
      <c r="W146" s="29"/>
      <c r="Y146" s="39" t="e">
        <f t="shared" si="2"/>
        <v>#REF!</v>
      </c>
    </row>
    <row r="147" spans="1:25" ht="39.950000000000003" customHeight="1">
      <c r="A147" s="5">
        <v>8</v>
      </c>
      <c r="B147" s="5" t="s">
        <v>890</v>
      </c>
      <c r="C147" s="133">
        <v>44081</v>
      </c>
      <c r="D147" s="108" t="s">
        <v>55</v>
      </c>
      <c r="E147" s="30" t="s">
        <v>196</v>
      </c>
      <c r="F147" s="31" t="s">
        <v>197</v>
      </c>
      <c r="G147" s="29">
        <v>48</v>
      </c>
      <c r="H147" s="29" t="s">
        <v>69</v>
      </c>
      <c r="I147" s="29" t="s">
        <v>28</v>
      </c>
      <c r="J147" s="29">
        <v>230</v>
      </c>
      <c r="K147" s="29"/>
      <c r="L147" s="29"/>
      <c r="M147" s="137"/>
      <c r="N147" s="97"/>
      <c r="O147" s="97"/>
      <c r="P147" s="97"/>
      <c r="Q147" s="97"/>
      <c r="R147" s="119" t="s">
        <v>70</v>
      </c>
      <c r="S147" s="97" t="s">
        <v>29</v>
      </c>
      <c r="T147" s="97"/>
      <c r="U147" s="97"/>
      <c r="V147" s="29" t="s">
        <v>814</v>
      </c>
      <c r="W147" s="29"/>
      <c r="Y147" s="39" t="e">
        <f>IF(E147=E145,Y145,Y145+1)</f>
        <v>#REF!</v>
      </c>
    </row>
    <row r="148" spans="1:25" ht="39.950000000000003" customHeight="1">
      <c r="A148" s="5">
        <v>9</v>
      </c>
      <c r="B148" s="5" t="s">
        <v>889</v>
      </c>
      <c r="C148" s="133">
        <v>44081</v>
      </c>
      <c r="D148" s="108" t="s">
        <v>55</v>
      </c>
      <c r="E148" s="30" t="s">
        <v>196</v>
      </c>
      <c r="F148" s="31" t="s">
        <v>197</v>
      </c>
      <c r="G148" s="29">
        <v>12</v>
      </c>
      <c r="H148" s="29" t="s">
        <v>69</v>
      </c>
      <c r="I148" s="29" t="s">
        <v>28</v>
      </c>
      <c r="J148" s="29">
        <v>230</v>
      </c>
      <c r="K148" s="29"/>
      <c r="L148" s="29"/>
      <c r="M148" s="137"/>
      <c r="N148" s="97"/>
      <c r="O148" s="97"/>
      <c r="P148" s="97"/>
      <c r="Q148" s="97"/>
      <c r="R148" s="119" t="s">
        <v>70</v>
      </c>
      <c r="S148" s="97" t="s">
        <v>29</v>
      </c>
      <c r="T148" s="97"/>
      <c r="U148" s="97"/>
      <c r="V148" s="29" t="s">
        <v>814</v>
      </c>
      <c r="W148" s="29"/>
      <c r="Y148" s="39" t="e">
        <f>IF(E148=E146,Y146,Y146+1)</f>
        <v>#REF!</v>
      </c>
    </row>
    <row r="149" spans="1:25" ht="39.950000000000003" customHeight="1">
      <c r="A149" s="5">
        <v>9</v>
      </c>
      <c r="B149" s="5" t="s">
        <v>889</v>
      </c>
      <c r="C149" s="133">
        <v>44081</v>
      </c>
      <c r="D149" s="108" t="s">
        <v>56</v>
      </c>
      <c r="E149" s="30" t="s">
        <v>87</v>
      </c>
      <c r="F149" s="31" t="s">
        <v>88</v>
      </c>
      <c r="G149" s="29">
        <v>91</v>
      </c>
      <c r="H149" s="29" t="s">
        <v>89</v>
      </c>
      <c r="I149" s="29" t="s">
        <v>18</v>
      </c>
      <c r="J149" s="29">
        <v>220</v>
      </c>
      <c r="K149" s="29"/>
      <c r="L149" s="29"/>
      <c r="M149" s="137" t="s">
        <v>47</v>
      </c>
      <c r="N149" s="97"/>
      <c r="O149" s="97"/>
      <c r="P149" s="97"/>
      <c r="Q149" s="97"/>
      <c r="R149" s="97" t="s">
        <v>29</v>
      </c>
      <c r="S149" s="97"/>
      <c r="T149" s="97" t="s">
        <v>29</v>
      </c>
      <c r="U149" s="97"/>
      <c r="V149" s="29" t="s">
        <v>493</v>
      </c>
      <c r="W149" s="29"/>
      <c r="Y149" s="39" t="e">
        <f t="shared" si="2"/>
        <v>#REF!</v>
      </c>
    </row>
    <row r="150" spans="1:25" ht="39.950000000000003" customHeight="1">
      <c r="A150" s="5">
        <v>9</v>
      </c>
      <c r="B150" s="5" t="s">
        <v>889</v>
      </c>
      <c r="C150" s="133">
        <v>44081</v>
      </c>
      <c r="D150" s="108" t="s">
        <v>57</v>
      </c>
      <c r="E150" s="30" t="s">
        <v>116</v>
      </c>
      <c r="F150" s="31" t="s">
        <v>117</v>
      </c>
      <c r="G150" s="29">
        <v>44</v>
      </c>
      <c r="H150" s="29" t="s">
        <v>68</v>
      </c>
      <c r="I150" s="29" t="s">
        <v>18</v>
      </c>
      <c r="J150" s="29">
        <v>220</v>
      </c>
      <c r="K150" s="29"/>
      <c r="L150" s="29"/>
      <c r="M150" s="137"/>
      <c r="N150" s="97"/>
      <c r="O150" s="97"/>
      <c r="P150" s="97"/>
      <c r="Q150" s="97"/>
      <c r="R150" s="46" t="s">
        <v>29</v>
      </c>
      <c r="S150" s="97"/>
      <c r="T150" s="97" t="s">
        <v>29</v>
      </c>
      <c r="U150" s="97"/>
      <c r="V150" s="96" t="s">
        <v>494</v>
      </c>
      <c r="W150" s="29"/>
      <c r="Y150" s="39" t="e">
        <f t="shared" si="2"/>
        <v>#REF!</v>
      </c>
    </row>
    <row r="151" spans="1:25" ht="39.950000000000003" customHeight="1">
      <c r="A151" s="5">
        <v>9</v>
      </c>
      <c r="B151" s="5" t="s">
        <v>889</v>
      </c>
      <c r="C151" s="133">
        <v>44081</v>
      </c>
      <c r="D151" s="108" t="s">
        <v>58</v>
      </c>
      <c r="E151" s="30" t="s">
        <v>121</v>
      </c>
      <c r="F151" s="31" t="s">
        <v>122</v>
      </c>
      <c r="G151" s="29">
        <v>15</v>
      </c>
      <c r="H151" s="29" t="s">
        <v>125</v>
      </c>
      <c r="I151" s="29" t="s">
        <v>18</v>
      </c>
      <c r="J151" s="29">
        <v>220</v>
      </c>
      <c r="K151" s="29"/>
      <c r="L151" s="29"/>
      <c r="M151" s="137" t="s">
        <v>47</v>
      </c>
      <c r="N151" s="97"/>
      <c r="O151" s="97"/>
      <c r="P151" s="97"/>
      <c r="Q151" s="97"/>
      <c r="R151" s="46" t="s">
        <v>29</v>
      </c>
      <c r="S151" s="97"/>
      <c r="T151" s="97" t="s">
        <v>29</v>
      </c>
      <c r="U151" s="97"/>
      <c r="V151" s="96" t="s">
        <v>495</v>
      </c>
      <c r="W151" s="29"/>
      <c r="Y151" s="39" t="e">
        <f t="shared" si="2"/>
        <v>#REF!</v>
      </c>
    </row>
    <row r="152" spans="1:25" ht="39.950000000000003" customHeight="1">
      <c r="A152" s="5">
        <v>9</v>
      </c>
      <c r="B152" s="5" t="s">
        <v>889</v>
      </c>
      <c r="C152" s="133">
        <v>44081</v>
      </c>
      <c r="D152" s="108" t="s">
        <v>59</v>
      </c>
      <c r="E152" s="30" t="s">
        <v>71</v>
      </c>
      <c r="F152" s="31" t="s">
        <v>75</v>
      </c>
      <c r="G152" s="29">
        <v>6</v>
      </c>
      <c r="H152" s="29" t="s">
        <v>69</v>
      </c>
      <c r="I152" s="29" t="s">
        <v>28</v>
      </c>
      <c r="J152" s="29">
        <v>230</v>
      </c>
      <c r="K152" s="29"/>
      <c r="L152" s="29"/>
      <c r="M152" s="137"/>
      <c r="N152" s="97"/>
      <c r="O152" s="97"/>
      <c r="P152" s="97"/>
      <c r="Q152" s="97"/>
      <c r="R152" s="91" t="s">
        <v>70</v>
      </c>
      <c r="S152" s="97" t="s">
        <v>29</v>
      </c>
      <c r="T152" s="97"/>
      <c r="U152" s="97"/>
      <c r="V152" s="29" t="s">
        <v>815</v>
      </c>
      <c r="W152" s="29"/>
      <c r="Y152" s="39" t="e">
        <f>IF(E152=E150,Y150,Y150+1)</f>
        <v>#REF!</v>
      </c>
    </row>
    <row r="153" spans="1:25" ht="39.950000000000003" customHeight="1">
      <c r="A153" s="5">
        <v>9</v>
      </c>
      <c r="B153" s="5" t="s">
        <v>890</v>
      </c>
      <c r="C153" s="133">
        <v>44081</v>
      </c>
      <c r="D153" s="108" t="s">
        <v>59</v>
      </c>
      <c r="E153" s="30" t="s">
        <v>71</v>
      </c>
      <c r="F153" s="31" t="s">
        <v>75</v>
      </c>
      <c r="G153" s="29">
        <v>30</v>
      </c>
      <c r="H153" s="29" t="s">
        <v>69</v>
      </c>
      <c r="I153" s="29" t="s">
        <v>28</v>
      </c>
      <c r="J153" s="29">
        <v>230</v>
      </c>
      <c r="K153" s="29"/>
      <c r="L153" s="29"/>
      <c r="M153" s="137"/>
      <c r="N153" s="97"/>
      <c r="O153" s="97"/>
      <c r="P153" s="97"/>
      <c r="Q153" s="97"/>
      <c r="R153" s="91" t="s">
        <v>70</v>
      </c>
      <c r="S153" s="97" t="s">
        <v>29</v>
      </c>
      <c r="T153" s="97"/>
      <c r="U153" s="97"/>
      <c r="V153" s="29" t="s">
        <v>815</v>
      </c>
      <c r="W153" s="29"/>
      <c r="Y153" s="39" t="e">
        <f>IF(E153=E151,Y151,Y151+1)</f>
        <v>#REF!</v>
      </c>
    </row>
    <row r="154" spans="1:25" ht="39.950000000000003" customHeight="1">
      <c r="A154" s="5">
        <v>9</v>
      </c>
      <c r="B154" s="5" t="s">
        <v>890</v>
      </c>
      <c r="C154" s="132">
        <v>44082</v>
      </c>
      <c r="D154" s="108" t="s">
        <v>54</v>
      </c>
      <c r="E154" s="30" t="s">
        <v>71</v>
      </c>
      <c r="F154" s="31" t="s">
        <v>75</v>
      </c>
      <c r="G154" s="29">
        <v>24</v>
      </c>
      <c r="H154" s="29" t="s">
        <v>69</v>
      </c>
      <c r="I154" s="29" t="s">
        <v>28</v>
      </c>
      <c r="J154" s="29">
        <v>230</v>
      </c>
      <c r="K154" s="29"/>
      <c r="L154" s="29"/>
      <c r="M154" s="137"/>
      <c r="N154" s="97"/>
      <c r="O154" s="97"/>
      <c r="P154" s="97"/>
      <c r="Q154" s="97"/>
      <c r="R154" s="91" t="s">
        <v>70</v>
      </c>
      <c r="S154" s="97" t="s">
        <v>29</v>
      </c>
      <c r="T154" s="97"/>
      <c r="U154" s="97"/>
      <c r="V154" s="29" t="s">
        <v>816</v>
      </c>
      <c r="W154" s="29"/>
      <c r="Y154" s="39" t="e">
        <f t="shared" si="2"/>
        <v>#REF!</v>
      </c>
    </row>
    <row r="155" spans="1:25" ht="39.950000000000003" customHeight="1">
      <c r="A155" s="5">
        <v>9</v>
      </c>
      <c r="B155" s="5" t="s">
        <v>890</v>
      </c>
      <c r="C155" s="133">
        <v>44082</v>
      </c>
      <c r="D155" s="108" t="s">
        <v>55</v>
      </c>
      <c r="E155" s="30" t="s">
        <v>196</v>
      </c>
      <c r="F155" s="31" t="s">
        <v>197</v>
      </c>
      <c r="G155" s="29">
        <v>60</v>
      </c>
      <c r="H155" s="29" t="s">
        <v>69</v>
      </c>
      <c r="I155" s="29" t="s">
        <v>28</v>
      </c>
      <c r="J155" s="29">
        <v>230</v>
      </c>
      <c r="K155" s="29"/>
      <c r="L155" s="29"/>
      <c r="M155" s="137"/>
      <c r="N155" s="97"/>
      <c r="O155" s="97"/>
      <c r="P155" s="97"/>
      <c r="Q155" s="97"/>
      <c r="R155" s="119" t="s">
        <v>70</v>
      </c>
      <c r="S155" s="97" t="s">
        <v>29</v>
      </c>
      <c r="T155" s="97"/>
      <c r="U155" s="97"/>
      <c r="V155" s="29" t="s">
        <v>817</v>
      </c>
      <c r="W155" s="29"/>
      <c r="Y155" s="39" t="e">
        <f t="shared" si="2"/>
        <v>#REF!</v>
      </c>
    </row>
    <row r="156" spans="1:25" ht="39.950000000000003" customHeight="1">
      <c r="A156" s="5">
        <v>9</v>
      </c>
      <c r="B156" s="5" t="s">
        <v>890</v>
      </c>
      <c r="C156" s="133">
        <v>44082</v>
      </c>
      <c r="D156" s="108" t="s">
        <v>56</v>
      </c>
      <c r="E156" s="30" t="s">
        <v>87</v>
      </c>
      <c r="F156" s="31" t="s">
        <v>88</v>
      </c>
      <c r="G156" s="29">
        <v>54</v>
      </c>
      <c r="H156" s="29" t="s">
        <v>89</v>
      </c>
      <c r="I156" s="29" t="s">
        <v>18</v>
      </c>
      <c r="J156" s="29">
        <v>220</v>
      </c>
      <c r="K156" s="29"/>
      <c r="L156" s="29"/>
      <c r="M156" s="29" t="s">
        <v>47</v>
      </c>
      <c r="N156" s="29"/>
      <c r="O156" s="29"/>
      <c r="P156" s="29"/>
      <c r="Q156" s="29"/>
      <c r="R156" s="97" t="s">
        <v>29</v>
      </c>
      <c r="S156" s="29"/>
      <c r="T156" s="97" t="s">
        <v>29</v>
      </c>
      <c r="U156" s="29"/>
      <c r="V156" s="29" t="s">
        <v>496</v>
      </c>
      <c r="W156" s="29"/>
      <c r="Y156" s="39" t="e">
        <f>IF(E156=E154,Y154,Y154+1)</f>
        <v>#REF!</v>
      </c>
    </row>
    <row r="157" spans="1:25" ht="39.950000000000003" customHeight="1">
      <c r="A157" s="5">
        <v>10</v>
      </c>
      <c r="B157" s="5" t="s">
        <v>889</v>
      </c>
      <c r="C157" s="133">
        <v>44082</v>
      </c>
      <c r="D157" s="108" t="s">
        <v>56</v>
      </c>
      <c r="E157" s="30" t="s">
        <v>87</v>
      </c>
      <c r="F157" s="31" t="s">
        <v>88</v>
      </c>
      <c r="G157" s="29">
        <v>26</v>
      </c>
      <c r="H157" s="29" t="s">
        <v>89</v>
      </c>
      <c r="I157" s="29" t="s">
        <v>18</v>
      </c>
      <c r="J157" s="29">
        <v>220</v>
      </c>
      <c r="K157" s="29"/>
      <c r="L157" s="29"/>
      <c r="M157" s="29" t="s">
        <v>47</v>
      </c>
      <c r="N157" s="29"/>
      <c r="O157" s="29"/>
      <c r="P157" s="29"/>
      <c r="Q157" s="29"/>
      <c r="R157" s="97" t="s">
        <v>29</v>
      </c>
      <c r="S157" s="29"/>
      <c r="T157" s="97" t="s">
        <v>29</v>
      </c>
      <c r="U157" s="29"/>
      <c r="V157" s="29" t="s">
        <v>496</v>
      </c>
      <c r="W157" s="29"/>
      <c r="Y157" s="39" t="e">
        <f>IF(E157=E155,Y155,Y155+1)</f>
        <v>#REF!</v>
      </c>
    </row>
    <row r="158" spans="1:25" ht="39.950000000000003" customHeight="1">
      <c r="A158" s="5">
        <v>10</v>
      </c>
      <c r="B158" s="5" t="s">
        <v>889</v>
      </c>
      <c r="C158" s="133">
        <v>44082</v>
      </c>
      <c r="D158" s="108" t="s">
        <v>57</v>
      </c>
      <c r="E158" s="30" t="s">
        <v>116</v>
      </c>
      <c r="F158" s="31" t="s">
        <v>117</v>
      </c>
      <c r="G158" s="29">
        <v>121</v>
      </c>
      <c r="H158" s="29" t="s">
        <v>68</v>
      </c>
      <c r="I158" s="29" t="s">
        <v>18</v>
      </c>
      <c r="J158" s="29">
        <v>220</v>
      </c>
      <c r="K158" s="29"/>
      <c r="L158" s="29"/>
      <c r="M158" s="29"/>
      <c r="N158" s="29"/>
      <c r="O158" s="29"/>
      <c r="P158" s="29"/>
      <c r="Q158" s="29"/>
      <c r="R158" s="97" t="s">
        <v>29</v>
      </c>
      <c r="S158" s="29"/>
      <c r="T158" s="97" t="s">
        <v>29</v>
      </c>
      <c r="U158" s="29"/>
      <c r="V158" s="29" t="s">
        <v>497</v>
      </c>
      <c r="W158" s="29"/>
      <c r="Y158" s="39" t="e">
        <f t="shared" si="2"/>
        <v>#REF!</v>
      </c>
    </row>
    <row r="159" spans="1:25" ht="39.950000000000003" customHeight="1">
      <c r="A159" s="5">
        <v>10</v>
      </c>
      <c r="B159" s="5" t="s">
        <v>889</v>
      </c>
      <c r="C159" s="133">
        <v>44082</v>
      </c>
      <c r="D159" s="108" t="s">
        <v>58</v>
      </c>
      <c r="E159" s="30" t="s">
        <v>121</v>
      </c>
      <c r="F159" s="31" t="s">
        <v>122</v>
      </c>
      <c r="G159" s="29">
        <v>15</v>
      </c>
      <c r="H159" s="29" t="s">
        <v>125</v>
      </c>
      <c r="I159" s="29" t="s">
        <v>18</v>
      </c>
      <c r="J159" s="29">
        <v>220</v>
      </c>
      <c r="K159" s="29"/>
      <c r="L159" s="29"/>
      <c r="M159" s="29" t="s">
        <v>47</v>
      </c>
      <c r="N159" s="29"/>
      <c r="O159" s="29"/>
      <c r="P159" s="29"/>
      <c r="Q159" s="29"/>
      <c r="R159" s="97" t="s">
        <v>29</v>
      </c>
      <c r="S159" s="29"/>
      <c r="T159" s="97" t="s">
        <v>29</v>
      </c>
      <c r="U159" s="29"/>
      <c r="V159" s="29" t="s">
        <v>498</v>
      </c>
      <c r="W159" s="29"/>
      <c r="Y159" s="39" t="e">
        <f t="shared" si="2"/>
        <v>#REF!</v>
      </c>
    </row>
    <row r="160" spans="1:25" ht="39.950000000000003" customHeight="1">
      <c r="A160" s="5">
        <v>10</v>
      </c>
      <c r="B160" s="5" t="s">
        <v>889</v>
      </c>
      <c r="C160" s="133">
        <v>44082</v>
      </c>
      <c r="D160" s="108" t="s">
        <v>59</v>
      </c>
      <c r="E160" s="30" t="s">
        <v>71</v>
      </c>
      <c r="F160" s="31" t="s">
        <v>75</v>
      </c>
      <c r="G160" s="29">
        <v>6</v>
      </c>
      <c r="H160" s="29" t="s">
        <v>69</v>
      </c>
      <c r="I160" s="29" t="s">
        <v>28</v>
      </c>
      <c r="J160" s="29">
        <v>230</v>
      </c>
      <c r="K160" s="29"/>
      <c r="L160" s="29"/>
      <c r="M160" s="29"/>
      <c r="N160" s="29"/>
      <c r="O160" s="29"/>
      <c r="P160" s="29"/>
      <c r="Q160" s="29"/>
      <c r="R160" s="119" t="s">
        <v>70</v>
      </c>
      <c r="S160" s="29" t="s">
        <v>29</v>
      </c>
      <c r="T160" s="29"/>
      <c r="U160" s="29"/>
      <c r="V160" s="29" t="s">
        <v>818</v>
      </c>
      <c r="W160" s="29"/>
      <c r="Y160" s="39" t="e">
        <f>IF(E160=E158,Y158,Y158+1)</f>
        <v>#REF!</v>
      </c>
    </row>
    <row r="161" spans="1:25" ht="39.950000000000003" customHeight="1">
      <c r="A161" s="5">
        <v>10</v>
      </c>
      <c r="B161" s="5" t="s">
        <v>890</v>
      </c>
      <c r="C161" s="133">
        <v>44082</v>
      </c>
      <c r="D161" s="108" t="s">
        <v>59</v>
      </c>
      <c r="E161" s="30" t="s">
        <v>71</v>
      </c>
      <c r="F161" s="31" t="s">
        <v>75</v>
      </c>
      <c r="G161" s="29">
        <v>30</v>
      </c>
      <c r="H161" s="29" t="s">
        <v>69</v>
      </c>
      <c r="I161" s="29" t="s">
        <v>28</v>
      </c>
      <c r="J161" s="29">
        <v>230</v>
      </c>
      <c r="K161" s="29"/>
      <c r="L161" s="29"/>
      <c r="M161" s="29"/>
      <c r="N161" s="29"/>
      <c r="O161" s="29"/>
      <c r="P161" s="29"/>
      <c r="Q161" s="29"/>
      <c r="R161" s="119" t="s">
        <v>70</v>
      </c>
      <c r="S161" s="29" t="s">
        <v>29</v>
      </c>
      <c r="T161" s="29"/>
      <c r="U161" s="29"/>
      <c r="V161" s="29" t="s">
        <v>818</v>
      </c>
      <c r="W161" s="29"/>
      <c r="Y161" s="39" t="e">
        <f>IF(E161=E159,Y159,Y159+1)</f>
        <v>#REF!</v>
      </c>
    </row>
    <row r="162" spans="1:25" ht="39.950000000000003" customHeight="1">
      <c r="A162" s="5">
        <v>10</v>
      </c>
      <c r="B162" s="5" t="s">
        <v>890</v>
      </c>
      <c r="C162" s="132">
        <v>44083</v>
      </c>
      <c r="D162" s="108" t="s">
        <v>54</v>
      </c>
      <c r="E162" s="30" t="s">
        <v>71</v>
      </c>
      <c r="F162" s="31" t="s">
        <v>75</v>
      </c>
      <c r="G162" s="29">
        <v>24</v>
      </c>
      <c r="H162" s="29" t="s">
        <v>69</v>
      </c>
      <c r="I162" s="29" t="s">
        <v>28</v>
      </c>
      <c r="J162" s="29">
        <v>230</v>
      </c>
      <c r="K162" s="29"/>
      <c r="L162" s="29"/>
      <c r="M162" s="29"/>
      <c r="N162" s="29"/>
      <c r="O162" s="29"/>
      <c r="P162" s="29"/>
      <c r="Q162" s="29"/>
      <c r="R162" s="119" t="s">
        <v>70</v>
      </c>
      <c r="S162" s="29" t="s">
        <v>29</v>
      </c>
      <c r="T162" s="29"/>
      <c r="U162" s="29"/>
      <c r="V162" s="29" t="s">
        <v>819</v>
      </c>
      <c r="W162" s="29"/>
      <c r="Y162" s="39" t="e">
        <f t="shared" si="2"/>
        <v>#REF!</v>
      </c>
    </row>
    <row r="163" spans="1:25" ht="39.950000000000003" customHeight="1">
      <c r="A163" s="5">
        <v>10</v>
      </c>
      <c r="B163" s="5" t="s">
        <v>890</v>
      </c>
      <c r="C163" s="133">
        <v>44083</v>
      </c>
      <c r="D163" s="108" t="s">
        <v>55</v>
      </c>
      <c r="E163" s="30" t="s">
        <v>196</v>
      </c>
      <c r="F163" s="31" t="s">
        <v>197</v>
      </c>
      <c r="G163" s="29">
        <v>60</v>
      </c>
      <c r="H163" s="29" t="s">
        <v>69</v>
      </c>
      <c r="I163" s="29" t="s">
        <v>28</v>
      </c>
      <c r="J163" s="29">
        <v>230</v>
      </c>
      <c r="K163" s="29"/>
      <c r="L163" s="29"/>
      <c r="M163" s="29"/>
      <c r="N163" s="29"/>
      <c r="O163" s="29"/>
      <c r="P163" s="29"/>
      <c r="Q163" s="29"/>
      <c r="R163" s="119" t="s">
        <v>70</v>
      </c>
      <c r="S163" s="29" t="s">
        <v>29</v>
      </c>
      <c r="T163" s="29"/>
      <c r="U163" s="29"/>
      <c r="V163" s="29" t="s">
        <v>820</v>
      </c>
      <c r="W163" s="29"/>
      <c r="Y163" s="39" t="e">
        <f t="shared" si="2"/>
        <v>#REF!</v>
      </c>
    </row>
    <row r="164" spans="1:25" ht="39.950000000000003" customHeight="1">
      <c r="A164" s="5">
        <v>10</v>
      </c>
      <c r="B164" s="5" t="s">
        <v>890</v>
      </c>
      <c r="C164" s="133">
        <v>44083</v>
      </c>
      <c r="D164" s="108" t="s">
        <v>56</v>
      </c>
      <c r="E164" s="30" t="s">
        <v>87</v>
      </c>
      <c r="F164" s="31" t="s">
        <v>88</v>
      </c>
      <c r="G164" s="29">
        <v>54</v>
      </c>
      <c r="H164" s="29" t="s">
        <v>89</v>
      </c>
      <c r="I164" s="29" t="s">
        <v>18</v>
      </c>
      <c r="J164" s="29">
        <v>220</v>
      </c>
      <c r="K164" s="29"/>
      <c r="L164" s="29"/>
      <c r="M164" s="29" t="s">
        <v>47</v>
      </c>
      <c r="N164" s="29"/>
      <c r="O164" s="29"/>
      <c r="P164" s="29"/>
      <c r="Q164" s="29"/>
      <c r="R164" s="97" t="s">
        <v>29</v>
      </c>
      <c r="S164" s="29"/>
      <c r="T164" s="97" t="s">
        <v>29</v>
      </c>
      <c r="U164" s="29"/>
      <c r="V164" s="29" t="s">
        <v>499</v>
      </c>
      <c r="W164" s="29"/>
      <c r="Y164" s="39" t="e">
        <f>IF(E164=E162,Y162,Y162+1)</f>
        <v>#REF!</v>
      </c>
    </row>
    <row r="165" spans="1:25" ht="39.950000000000003" customHeight="1">
      <c r="A165" s="5">
        <v>11</v>
      </c>
      <c r="B165" s="5" t="s">
        <v>889</v>
      </c>
      <c r="C165" s="133">
        <v>44083</v>
      </c>
      <c r="D165" s="108" t="s">
        <v>56</v>
      </c>
      <c r="E165" s="30" t="s">
        <v>87</v>
      </c>
      <c r="F165" s="31" t="s">
        <v>88</v>
      </c>
      <c r="G165" s="29">
        <v>26</v>
      </c>
      <c r="H165" s="29" t="s">
        <v>89</v>
      </c>
      <c r="I165" s="29" t="s">
        <v>18</v>
      </c>
      <c r="J165" s="29">
        <v>220</v>
      </c>
      <c r="K165" s="29"/>
      <c r="L165" s="29"/>
      <c r="M165" s="29" t="s">
        <v>47</v>
      </c>
      <c r="N165" s="29"/>
      <c r="O165" s="29"/>
      <c r="P165" s="29"/>
      <c r="Q165" s="29"/>
      <c r="R165" s="97" t="s">
        <v>29</v>
      </c>
      <c r="S165" s="29"/>
      <c r="T165" s="97" t="s">
        <v>29</v>
      </c>
      <c r="U165" s="29"/>
      <c r="V165" s="29" t="s">
        <v>499</v>
      </c>
      <c r="W165" s="29"/>
      <c r="Y165" s="39" t="e">
        <f>IF(E165=E163,Y163,Y163+1)</f>
        <v>#REF!</v>
      </c>
    </row>
    <row r="166" spans="1:25" ht="39.950000000000003" customHeight="1">
      <c r="A166" s="5">
        <v>11</v>
      </c>
      <c r="B166" s="5" t="s">
        <v>889</v>
      </c>
      <c r="C166" s="133">
        <v>44083</v>
      </c>
      <c r="D166" s="108" t="s">
        <v>57</v>
      </c>
      <c r="E166" s="30" t="s">
        <v>116</v>
      </c>
      <c r="F166" s="31" t="s">
        <v>117</v>
      </c>
      <c r="G166" s="29">
        <v>104</v>
      </c>
      <c r="H166" s="29" t="s">
        <v>68</v>
      </c>
      <c r="I166" s="29" t="s">
        <v>18</v>
      </c>
      <c r="J166" s="29">
        <v>220</v>
      </c>
      <c r="K166" s="29"/>
      <c r="L166" s="29"/>
      <c r="M166" s="29"/>
      <c r="N166" s="29"/>
      <c r="O166" s="29"/>
      <c r="P166" s="29"/>
      <c r="Q166" s="29"/>
      <c r="R166" s="97" t="s">
        <v>29</v>
      </c>
      <c r="S166" s="29"/>
      <c r="T166" s="97" t="s">
        <v>29</v>
      </c>
      <c r="U166" s="29"/>
      <c r="V166" s="29" t="s">
        <v>500</v>
      </c>
      <c r="W166" s="29"/>
      <c r="Y166" s="39" t="e">
        <f>IF(E166=E164,Y164,Y164+1)</f>
        <v>#REF!</v>
      </c>
    </row>
    <row r="167" spans="1:25" ht="39.950000000000003" customHeight="1">
      <c r="A167" s="5">
        <v>11</v>
      </c>
      <c r="B167" s="5" t="s">
        <v>890</v>
      </c>
      <c r="C167" s="133">
        <v>44083</v>
      </c>
      <c r="D167" s="108" t="s">
        <v>57</v>
      </c>
      <c r="E167" s="30" t="s">
        <v>116</v>
      </c>
      <c r="F167" s="31" t="s">
        <v>117</v>
      </c>
      <c r="G167" s="29">
        <v>9</v>
      </c>
      <c r="H167" s="29" t="s">
        <v>68</v>
      </c>
      <c r="I167" s="29" t="s">
        <v>18</v>
      </c>
      <c r="J167" s="29">
        <v>220</v>
      </c>
      <c r="K167" s="29"/>
      <c r="L167" s="29"/>
      <c r="M167" s="29"/>
      <c r="N167" s="29"/>
      <c r="O167" s="29"/>
      <c r="P167" s="29"/>
      <c r="Q167" s="29"/>
      <c r="R167" s="97" t="s">
        <v>29</v>
      </c>
      <c r="S167" s="29"/>
      <c r="T167" s="97" t="s">
        <v>29</v>
      </c>
      <c r="U167" s="29"/>
      <c r="V167" s="29" t="s">
        <v>500</v>
      </c>
      <c r="W167" s="29"/>
      <c r="Y167" s="39" t="e">
        <f>IF(E167=E165,Y165,Y165+1)</f>
        <v>#REF!</v>
      </c>
    </row>
    <row r="168" spans="1:25" ht="39.950000000000003" customHeight="1">
      <c r="A168" s="5">
        <v>11</v>
      </c>
      <c r="B168" s="5" t="s">
        <v>890</v>
      </c>
      <c r="C168" s="133">
        <v>44083</v>
      </c>
      <c r="D168" s="108" t="s">
        <v>58</v>
      </c>
      <c r="E168" s="30" t="s">
        <v>192</v>
      </c>
      <c r="F168" s="31" t="s">
        <v>193</v>
      </c>
      <c r="G168" s="29">
        <v>8</v>
      </c>
      <c r="H168" s="29" t="s">
        <v>68</v>
      </c>
      <c r="I168" s="29" t="s">
        <v>30</v>
      </c>
      <c r="J168" s="29">
        <v>230</v>
      </c>
      <c r="K168" s="29"/>
      <c r="L168" s="29"/>
      <c r="M168" s="29"/>
      <c r="N168" s="29"/>
      <c r="O168" s="29"/>
      <c r="P168" s="29"/>
      <c r="Q168" s="29"/>
      <c r="R168" s="97" t="s">
        <v>29</v>
      </c>
      <c r="S168" s="29"/>
      <c r="T168" s="97" t="s">
        <v>29</v>
      </c>
      <c r="U168" s="29"/>
      <c r="V168" s="29" t="s">
        <v>501</v>
      </c>
      <c r="W168" s="29"/>
      <c r="Y168" s="39" t="e">
        <f t="shared" si="2"/>
        <v>#REF!</v>
      </c>
    </row>
    <row r="169" spans="1:25" ht="39.950000000000003" customHeight="1">
      <c r="A169" s="5">
        <v>11</v>
      </c>
      <c r="B169" s="5" t="s">
        <v>890</v>
      </c>
      <c r="C169" s="133">
        <v>44083</v>
      </c>
      <c r="D169" s="108" t="s">
        <v>59</v>
      </c>
      <c r="E169" s="30" t="s">
        <v>121</v>
      </c>
      <c r="F169" s="31" t="s">
        <v>122</v>
      </c>
      <c r="G169" s="29">
        <v>15</v>
      </c>
      <c r="H169" s="29" t="s">
        <v>125</v>
      </c>
      <c r="I169" s="29" t="s">
        <v>18</v>
      </c>
      <c r="J169" s="29">
        <v>220</v>
      </c>
      <c r="K169" s="29"/>
      <c r="L169" s="29"/>
      <c r="M169" s="29" t="s">
        <v>47</v>
      </c>
      <c r="N169" s="29"/>
      <c r="O169" s="29"/>
      <c r="P169" s="29"/>
      <c r="Q169" s="29"/>
      <c r="R169" s="97" t="s">
        <v>29</v>
      </c>
      <c r="S169" s="29"/>
      <c r="T169" s="97" t="s">
        <v>29</v>
      </c>
      <c r="U169" s="29"/>
      <c r="V169" s="29" t="s">
        <v>502</v>
      </c>
      <c r="W169" s="29"/>
      <c r="Y169" s="39" t="e">
        <f t="shared" si="2"/>
        <v>#REF!</v>
      </c>
    </row>
    <row r="170" spans="1:25" ht="39.950000000000003" customHeight="1">
      <c r="A170" s="5">
        <v>11</v>
      </c>
      <c r="B170" s="5" t="s">
        <v>890</v>
      </c>
      <c r="C170" s="133">
        <v>44083</v>
      </c>
      <c r="D170" s="108" t="s">
        <v>60</v>
      </c>
      <c r="E170" s="30" t="s">
        <v>71</v>
      </c>
      <c r="F170" s="31" t="s">
        <v>75</v>
      </c>
      <c r="G170" s="29">
        <v>36</v>
      </c>
      <c r="H170" s="29" t="s">
        <v>69</v>
      </c>
      <c r="I170" s="29" t="s">
        <v>28</v>
      </c>
      <c r="J170" s="29">
        <v>230</v>
      </c>
      <c r="K170" s="29"/>
      <c r="L170" s="29"/>
      <c r="M170" s="29"/>
      <c r="N170" s="29"/>
      <c r="O170" s="29"/>
      <c r="P170" s="29"/>
      <c r="Q170" s="29"/>
      <c r="R170" s="119" t="s">
        <v>70</v>
      </c>
      <c r="S170" s="29" t="s">
        <v>29</v>
      </c>
      <c r="T170" s="29"/>
      <c r="U170" s="29"/>
      <c r="V170" s="29" t="s">
        <v>821</v>
      </c>
      <c r="W170" s="29"/>
      <c r="Y170" s="39" t="e">
        <f t="shared" si="2"/>
        <v>#REF!</v>
      </c>
    </row>
    <row r="171" spans="1:25" ht="39.950000000000003" customHeight="1">
      <c r="A171" s="5">
        <v>11</v>
      </c>
      <c r="B171" s="5" t="s">
        <v>890</v>
      </c>
      <c r="C171" s="132">
        <v>44084</v>
      </c>
      <c r="D171" s="108" t="s">
        <v>54</v>
      </c>
      <c r="E171" s="30" t="s">
        <v>71</v>
      </c>
      <c r="F171" s="31" t="s">
        <v>75</v>
      </c>
      <c r="G171" s="29">
        <v>24</v>
      </c>
      <c r="H171" s="29" t="s">
        <v>69</v>
      </c>
      <c r="I171" s="29" t="s">
        <v>28</v>
      </c>
      <c r="J171" s="29">
        <v>230</v>
      </c>
      <c r="K171" s="29"/>
      <c r="L171" s="29"/>
      <c r="M171" s="29"/>
      <c r="N171" s="29"/>
      <c r="O171" s="29"/>
      <c r="P171" s="29"/>
      <c r="Q171" s="29"/>
      <c r="R171" s="119" t="s">
        <v>70</v>
      </c>
      <c r="S171" s="29" t="s">
        <v>29</v>
      </c>
      <c r="T171" s="29"/>
      <c r="U171" s="29"/>
      <c r="V171" s="29" t="s">
        <v>822</v>
      </c>
      <c r="W171" s="29"/>
      <c r="Y171" s="39" t="e">
        <f t="shared" si="2"/>
        <v>#REF!</v>
      </c>
    </row>
    <row r="172" spans="1:25" ht="39.950000000000003" customHeight="1">
      <c r="A172" s="5">
        <v>11</v>
      </c>
      <c r="B172" s="5" t="s">
        <v>890</v>
      </c>
      <c r="C172" s="133">
        <v>44084</v>
      </c>
      <c r="D172" s="108" t="s">
        <v>55</v>
      </c>
      <c r="E172" s="30" t="s">
        <v>196</v>
      </c>
      <c r="F172" s="31" t="s">
        <v>197</v>
      </c>
      <c r="G172" s="29">
        <v>38</v>
      </c>
      <c r="H172" s="29" t="s">
        <v>69</v>
      </c>
      <c r="I172" s="29" t="s">
        <v>28</v>
      </c>
      <c r="J172" s="29">
        <v>230</v>
      </c>
      <c r="K172" s="29"/>
      <c r="L172" s="29"/>
      <c r="M172" s="29"/>
      <c r="N172" s="29"/>
      <c r="O172" s="29"/>
      <c r="P172" s="29"/>
      <c r="Q172" s="29"/>
      <c r="R172" s="119" t="s">
        <v>70</v>
      </c>
      <c r="S172" s="29" t="s">
        <v>29</v>
      </c>
      <c r="T172" s="29"/>
      <c r="U172" s="29"/>
      <c r="V172" s="29" t="s">
        <v>823</v>
      </c>
      <c r="W172" s="29"/>
      <c r="Y172" s="39" t="e">
        <f>IF(E172=E170,Y170,Y170+1)</f>
        <v>#REF!</v>
      </c>
    </row>
    <row r="173" spans="1:25" ht="39.950000000000003" customHeight="1">
      <c r="A173" s="5">
        <v>14</v>
      </c>
      <c r="B173" s="5" t="s">
        <v>889</v>
      </c>
      <c r="C173" s="133">
        <v>44084</v>
      </c>
      <c r="D173" s="108" t="s">
        <v>55</v>
      </c>
      <c r="E173" s="30" t="s">
        <v>196</v>
      </c>
      <c r="F173" s="31" t="s">
        <v>197</v>
      </c>
      <c r="G173" s="29">
        <v>22</v>
      </c>
      <c r="H173" s="29" t="s">
        <v>69</v>
      </c>
      <c r="I173" s="29" t="s">
        <v>28</v>
      </c>
      <c r="J173" s="29">
        <v>230</v>
      </c>
      <c r="K173" s="29"/>
      <c r="L173" s="29"/>
      <c r="M173" s="29"/>
      <c r="N173" s="29"/>
      <c r="O173" s="29"/>
      <c r="P173" s="29"/>
      <c r="Q173" s="29"/>
      <c r="R173" s="119" t="s">
        <v>70</v>
      </c>
      <c r="S173" s="29" t="s">
        <v>29</v>
      </c>
      <c r="T173" s="29"/>
      <c r="U173" s="29"/>
      <c r="V173" s="29" t="s">
        <v>823</v>
      </c>
      <c r="W173" s="29"/>
      <c r="Y173" s="39" t="e">
        <f>IF(E173=E171,Y171,Y171+1)</f>
        <v>#REF!</v>
      </c>
    </row>
    <row r="174" spans="1:25" ht="39.950000000000003" customHeight="1">
      <c r="A174" s="5">
        <v>14</v>
      </c>
      <c r="B174" s="5" t="s">
        <v>889</v>
      </c>
      <c r="C174" s="133">
        <v>44084</v>
      </c>
      <c r="D174" s="108" t="s">
        <v>56</v>
      </c>
      <c r="E174" s="30" t="s">
        <v>87</v>
      </c>
      <c r="F174" s="31" t="s">
        <v>88</v>
      </c>
      <c r="G174" s="29">
        <v>80</v>
      </c>
      <c r="H174" s="29" t="s">
        <v>89</v>
      </c>
      <c r="I174" s="29" t="s">
        <v>18</v>
      </c>
      <c r="J174" s="29">
        <v>220</v>
      </c>
      <c r="K174" s="29"/>
      <c r="L174" s="29"/>
      <c r="M174" s="29" t="s">
        <v>47</v>
      </c>
      <c r="N174" s="29"/>
      <c r="O174" s="29"/>
      <c r="P174" s="29"/>
      <c r="Q174" s="29"/>
      <c r="R174" s="97" t="s">
        <v>29</v>
      </c>
      <c r="S174" s="29"/>
      <c r="T174" s="97" t="s">
        <v>29</v>
      </c>
      <c r="U174" s="29"/>
      <c r="V174" s="29" t="s">
        <v>503</v>
      </c>
      <c r="W174" s="29"/>
      <c r="Y174" s="39" t="e">
        <f t="shared" si="2"/>
        <v>#REF!</v>
      </c>
    </row>
    <row r="175" spans="1:25" ht="39.950000000000003" customHeight="1">
      <c r="A175" s="5">
        <v>14</v>
      </c>
      <c r="B175" s="5" t="s">
        <v>889</v>
      </c>
      <c r="C175" s="133">
        <v>44084</v>
      </c>
      <c r="D175" s="108" t="s">
        <v>57</v>
      </c>
      <c r="E175" s="30" t="s">
        <v>116</v>
      </c>
      <c r="F175" s="31" t="s">
        <v>117</v>
      </c>
      <c r="G175" s="29">
        <v>26</v>
      </c>
      <c r="H175" s="29" t="s">
        <v>68</v>
      </c>
      <c r="I175" s="29" t="s">
        <v>18</v>
      </c>
      <c r="J175" s="29">
        <v>220</v>
      </c>
      <c r="K175" s="29"/>
      <c r="L175" s="29"/>
      <c r="M175" s="29"/>
      <c r="N175" s="29"/>
      <c r="O175" s="29"/>
      <c r="P175" s="29"/>
      <c r="Q175" s="29"/>
      <c r="R175" s="97" t="s">
        <v>29</v>
      </c>
      <c r="S175" s="29"/>
      <c r="T175" s="97" t="s">
        <v>29</v>
      </c>
      <c r="U175" s="29"/>
      <c r="V175" s="29" t="s">
        <v>504</v>
      </c>
      <c r="W175" s="29"/>
      <c r="Y175" s="39" t="e">
        <f>IF(E175=E173,Y173,Y173+1)</f>
        <v>#REF!</v>
      </c>
    </row>
    <row r="176" spans="1:25" ht="39.950000000000003" customHeight="1">
      <c r="A176" s="5">
        <v>14</v>
      </c>
      <c r="B176" s="5" t="s">
        <v>890</v>
      </c>
      <c r="C176" s="133">
        <v>44084</v>
      </c>
      <c r="D176" s="108" t="s">
        <v>57</v>
      </c>
      <c r="E176" s="30" t="s">
        <v>116</v>
      </c>
      <c r="F176" s="31" t="s">
        <v>117</v>
      </c>
      <c r="G176" s="29">
        <v>79</v>
      </c>
      <c r="H176" s="29" t="s">
        <v>68</v>
      </c>
      <c r="I176" s="29" t="s">
        <v>18</v>
      </c>
      <c r="J176" s="29">
        <v>220</v>
      </c>
      <c r="K176" s="29"/>
      <c r="L176" s="29"/>
      <c r="M176" s="29"/>
      <c r="N176" s="29"/>
      <c r="O176" s="29"/>
      <c r="P176" s="29"/>
      <c r="Q176" s="29"/>
      <c r="R176" s="97" t="s">
        <v>29</v>
      </c>
      <c r="S176" s="29"/>
      <c r="T176" s="97" t="s">
        <v>29</v>
      </c>
      <c r="U176" s="29"/>
      <c r="V176" s="29" t="s">
        <v>504</v>
      </c>
      <c r="W176" s="29"/>
      <c r="Y176" s="39" t="e">
        <f>IF(E176=E174,Y174,Y174+1)</f>
        <v>#REF!</v>
      </c>
    </row>
    <row r="177" spans="1:25" ht="39.950000000000003" customHeight="1">
      <c r="A177" s="5">
        <v>14</v>
      </c>
      <c r="B177" s="5" t="s">
        <v>890</v>
      </c>
      <c r="C177" s="133">
        <v>44084</v>
      </c>
      <c r="D177" s="108" t="s">
        <v>58</v>
      </c>
      <c r="E177" s="30" t="s">
        <v>121</v>
      </c>
      <c r="F177" s="31" t="s">
        <v>122</v>
      </c>
      <c r="G177" s="29">
        <v>12</v>
      </c>
      <c r="H177" s="29" t="s">
        <v>125</v>
      </c>
      <c r="I177" s="29" t="s">
        <v>18</v>
      </c>
      <c r="J177" s="29">
        <v>220</v>
      </c>
      <c r="K177" s="29"/>
      <c r="L177" s="29"/>
      <c r="M177" s="29" t="s">
        <v>47</v>
      </c>
      <c r="N177" s="29"/>
      <c r="O177" s="29"/>
      <c r="P177" s="29"/>
      <c r="Q177" s="29"/>
      <c r="R177" s="97" t="s">
        <v>29</v>
      </c>
      <c r="S177" s="29"/>
      <c r="T177" s="97" t="s">
        <v>29</v>
      </c>
      <c r="U177" s="29"/>
      <c r="V177" s="29" t="s">
        <v>505</v>
      </c>
      <c r="W177" s="29"/>
      <c r="Y177" s="39" t="e">
        <f t="shared" si="2"/>
        <v>#REF!</v>
      </c>
    </row>
    <row r="178" spans="1:25" ht="39.950000000000003" customHeight="1">
      <c r="A178" s="5">
        <v>14</v>
      </c>
      <c r="B178" s="5" t="s">
        <v>890</v>
      </c>
      <c r="C178" s="133">
        <v>44084</v>
      </c>
      <c r="D178" s="108" t="s">
        <v>59</v>
      </c>
      <c r="E178" s="30" t="s">
        <v>71</v>
      </c>
      <c r="F178" s="31" t="s">
        <v>75</v>
      </c>
      <c r="G178" s="29">
        <v>37</v>
      </c>
      <c r="H178" s="29" t="s">
        <v>69</v>
      </c>
      <c r="I178" s="29" t="s">
        <v>28</v>
      </c>
      <c r="J178" s="29">
        <v>230</v>
      </c>
      <c r="K178" s="29"/>
      <c r="L178" s="29"/>
      <c r="M178" s="29"/>
      <c r="N178" s="29"/>
      <c r="O178" s="29"/>
      <c r="P178" s="29"/>
      <c r="Q178" s="29"/>
      <c r="R178" s="119" t="s">
        <v>70</v>
      </c>
      <c r="S178" s="29" t="s">
        <v>29</v>
      </c>
      <c r="T178" s="29"/>
      <c r="U178" s="29"/>
      <c r="V178" s="29" t="s">
        <v>824</v>
      </c>
      <c r="W178" s="29"/>
      <c r="Y178" s="39" t="e">
        <f>IF(E178=E176,Y176,Y176+1)</f>
        <v>#REF!</v>
      </c>
    </row>
    <row r="179" spans="1:25" ht="39.950000000000003" customHeight="1">
      <c r="A179" s="5">
        <v>15</v>
      </c>
      <c r="B179" s="5" t="s">
        <v>889</v>
      </c>
      <c r="C179" s="133">
        <v>44084</v>
      </c>
      <c r="D179" s="108" t="s">
        <v>59</v>
      </c>
      <c r="E179" s="30" t="s">
        <v>71</v>
      </c>
      <c r="F179" s="31" t="s">
        <v>75</v>
      </c>
      <c r="G179" s="29">
        <v>2</v>
      </c>
      <c r="H179" s="29" t="s">
        <v>69</v>
      </c>
      <c r="I179" s="29" t="s">
        <v>28</v>
      </c>
      <c r="J179" s="29">
        <v>230</v>
      </c>
      <c r="K179" s="29"/>
      <c r="L179" s="29"/>
      <c r="M179" s="29"/>
      <c r="N179" s="29"/>
      <c r="O179" s="29"/>
      <c r="P179" s="29"/>
      <c r="Q179" s="29"/>
      <c r="R179" s="119" t="s">
        <v>70</v>
      </c>
      <c r="S179" s="29" t="s">
        <v>29</v>
      </c>
      <c r="T179" s="29"/>
      <c r="U179" s="29"/>
      <c r="V179" s="29" t="s">
        <v>824</v>
      </c>
      <c r="W179" s="29"/>
      <c r="Y179" s="39" t="e">
        <f>IF(E179=E177,Y177,Y177+1)</f>
        <v>#REF!</v>
      </c>
    </row>
    <row r="180" spans="1:25" ht="39.950000000000003" customHeight="1">
      <c r="A180" s="5">
        <v>15</v>
      </c>
      <c r="B180" s="5" t="s">
        <v>889</v>
      </c>
      <c r="C180" s="132">
        <v>44085</v>
      </c>
      <c r="D180" s="108" t="s">
        <v>54</v>
      </c>
      <c r="E180" s="30" t="s">
        <v>71</v>
      </c>
      <c r="F180" s="31" t="s">
        <v>75</v>
      </c>
      <c r="G180" s="29">
        <v>21</v>
      </c>
      <c r="H180" s="29" t="s">
        <v>69</v>
      </c>
      <c r="I180" s="29" t="s">
        <v>28</v>
      </c>
      <c r="J180" s="29">
        <v>230</v>
      </c>
      <c r="K180" s="29"/>
      <c r="L180" s="29"/>
      <c r="M180" s="29"/>
      <c r="N180" s="29"/>
      <c r="O180" s="29"/>
      <c r="P180" s="29"/>
      <c r="Q180" s="29"/>
      <c r="R180" s="119" t="s">
        <v>70</v>
      </c>
      <c r="S180" s="29" t="s">
        <v>29</v>
      </c>
      <c r="T180" s="29"/>
      <c r="U180" s="29"/>
      <c r="V180" s="29" t="s">
        <v>825</v>
      </c>
      <c r="W180" s="29"/>
      <c r="Y180" s="39" t="e">
        <f t="shared" si="2"/>
        <v>#REF!</v>
      </c>
    </row>
    <row r="181" spans="1:25" ht="39.950000000000003" customHeight="1">
      <c r="A181" s="5">
        <v>15</v>
      </c>
      <c r="B181" s="5" t="s">
        <v>889</v>
      </c>
      <c r="C181" s="133">
        <v>44085</v>
      </c>
      <c r="D181" s="108" t="s">
        <v>55</v>
      </c>
      <c r="E181" s="30" t="s">
        <v>196</v>
      </c>
      <c r="F181" s="31" t="s">
        <v>197</v>
      </c>
      <c r="G181" s="29">
        <v>60</v>
      </c>
      <c r="H181" s="29" t="s">
        <v>69</v>
      </c>
      <c r="I181" s="29" t="s">
        <v>28</v>
      </c>
      <c r="J181" s="29">
        <v>230</v>
      </c>
      <c r="K181" s="29"/>
      <c r="L181" s="29"/>
      <c r="M181" s="29"/>
      <c r="N181" s="29"/>
      <c r="O181" s="29"/>
      <c r="P181" s="29"/>
      <c r="Q181" s="29"/>
      <c r="R181" s="119" t="s">
        <v>70</v>
      </c>
      <c r="S181" s="29" t="s">
        <v>29</v>
      </c>
      <c r="T181" s="29"/>
      <c r="U181" s="29"/>
      <c r="V181" s="29" t="s">
        <v>826</v>
      </c>
      <c r="W181" s="29"/>
      <c r="Y181" s="39" t="e">
        <f t="shared" si="2"/>
        <v>#REF!</v>
      </c>
    </row>
    <row r="182" spans="1:25" ht="39.950000000000003" customHeight="1">
      <c r="A182" s="5">
        <v>15</v>
      </c>
      <c r="B182" s="5" t="s">
        <v>889</v>
      </c>
      <c r="C182" s="133">
        <v>44085</v>
      </c>
      <c r="D182" s="108" t="s">
        <v>56</v>
      </c>
      <c r="E182" s="30" t="s">
        <v>87</v>
      </c>
      <c r="F182" s="31" t="s">
        <v>88</v>
      </c>
      <c r="G182" s="29">
        <v>80</v>
      </c>
      <c r="H182" s="29" t="s">
        <v>89</v>
      </c>
      <c r="I182" s="29" t="s">
        <v>18</v>
      </c>
      <c r="J182" s="29">
        <v>220</v>
      </c>
      <c r="K182" s="29"/>
      <c r="L182" s="29"/>
      <c r="M182" s="29" t="s">
        <v>47</v>
      </c>
      <c r="N182" s="29"/>
      <c r="O182" s="29"/>
      <c r="P182" s="29"/>
      <c r="Q182" s="29"/>
      <c r="R182" s="97" t="s">
        <v>29</v>
      </c>
      <c r="S182" s="29"/>
      <c r="T182" s="97" t="s">
        <v>29</v>
      </c>
      <c r="U182" s="29"/>
      <c r="V182" s="29" t="s">
        <v>506</v>
      </c>
      <c r="W182" s="29"/>
      <c r="Y182" s="39" t="e">
        <f t="shared" si="2"/>
        <v>#REF!</v>
      </c>
    </row>
    <row r="183" spans="1:25" ht="39.950000000000003" customHeight="1">
      <c r="A183" s="5">
        <v>15</v>
      </c>
      <c r="B183" s="5" t="s">
        <v>889</v>
      </c>
      <c r="C183" s="133">
        <v>44085</v>
      </c>
      <c r="D183" s="108" t="s">
        <v>57</v>
      </c>
      <c r="E183" s="30" t="s">
        <v>116</v>
      </c>
      <c r="F183" s="31" t="s">
        <v>117</v>
      </c>
      <c r="G183" s="29">
        <v>5</v>
      </c>
      <c r="H183" s="29" t="s">
        <v>68</v>
      </c>
      <c r="I183" s="29" t="s">
        <v>18</v>
      </c>
      <c r="J183" s="29">
        <v>220</v>
      </c>
      <c r="K183" s="29"/>
      <c r="L183" s="29"/>
      <c r="M183" s="29"/>
      <c r="N183" s="29"/>
      <c r="O183" s="29"/>
      <c r="P183" s="29"/>
      <c r="Q183" s="29"/>
      <c r="R183" s="97" t="s">
        <v>29</v>
      </c>
      <c r="S183" s="29"/>
      <c r="T183" s="97" t="s">
        <v>29</v>
      </c>
      <c r="U183" s="29"/>
      <c r="V183" s="29" t="s">
        <v>507</v>
      </c>
      <c r="W183" s="29"/>
      <c r="Y183" s="39" t="e">
        <f>IF(E183=E181,Y181,Y181+1)</f>
        <v>#REF!</v>
      </c>
    </row>
    <row r="184" spans="1:25" ht="39.950000000000003" customHeight="1">
      <c r="A184" s="5">
        <v>15</v>
      </c>
      <c r="B184" s="5" t="s">
        <v>890</v>
      </c>
      <c r="C184" s="133">
        <v>44085</v>
      </c>
      <c r="D184" s="108" t="s">
        <v>57</v>
      </c>
      <c r="E184" s="30" t="s">
        <v>116</v>
      </c>
      <c r="F184" s="31" t="s">
        <v>117</v>
      </c>
      <c r="G184" s="29">
        <v>43</v>
      </c>
      <c r="H184" s="29" t="s">
        <v>68</v>
      </c>
      <c r="I184" s="29" t="s">
        <v>18</v>
      </c>
      <c r="J184" s="29">
        <v>220</v>
      </c>
      <c r="K184" s="29"/>
      <c r="L184" s="29"/>
      <c r="M184" s="29"/>
      <c r="N184" s="29"/>
      <c r="O184" s="29"/>
      <c r="P184" s="29"/>
      <c r="Q184" s="29"/>
      <c r="R184" s="97" t="s">
        <v>29</v>
      </c>
      <c r="S184" s="29"/>
      <c r="T184" s="97" t="s">
        <v>29</v>
      </c>
      <c r="U184" s="29"/>
      <c r="V184" s="29" t="s">
        <v>507</v>
      </c>
      <c r="W184" s="29"/>
      <c r="Y184" s="39" t="e">
        <f>IF(E184=E182,Y182,Y182+1)</f>
        <v>#REF!</v>
      </c>
    </row>
    <row r="185" spans="1:25" ht="39.950000000000003" customHeight="1">
      <c r="A185" s="5">
        <v>15</v>
      </c>
      <c r="B185" s="5" t="s">
        <v>890</v>
      </c>
      <c r="C185" s="133">
        <v>44085</v>
      </c>
      <c r="D185" s="108" t="s">
        <v>58</v>
      </c>
      <c r="E185" s="30" t="s">
        <v>192</v>
      </c>
      <c r="F185" s="31" t="s">
        <v>193</v>
      </c>
      <c r="G185" s="29">
        <v>12</v>
      </c>
      <c r="H185" s="29" t="s">
        <v>68</v>
      </c>
      <c r="I185" s="29" t="s">
        <v>30</v>
      </c>
      <c r="J185" s="29">
        <v>230</v>
      </c>
      <c r="K185" s="29"/>
      <c r="L185" s="29"/>
      <c r="M185" s="29"/>
      <c r="N185" s="29"/>
      <c r="O185" s="29"/>
      <c r="P185" s="29"/>
      <c r="Q185" s="29"/>
      <c r="R185" s="97" t="s">
        <v>29</v>
      </c>
      <c r="S185" s="29"/>
      <c r="T185" s="97" t="s">
        <v>29</v>
      </c>
      <c r="U185" s="29"/>
      <c r="V185" s="29" t="s">
        <v>508</v>
      </c>
      <c r="W185" s="29"/>
      <c r="Y185" s="39" t="e">
        <f t="shared" si="2"/>
        <v>#REF!</v>
      </c>
    </row>
    <row r="186" spans="1:25" ht="39.950000000000003" customHeight="1">
      <c r="A186" s="5">
        <v>15</v>
      </c>
      <c r="B186" s="5" t="s">
        <v>890</v>
      </c>
      <c r="C186" s="133">
        <v>44085</v>
      </c>
      <c r="D186" s="108" t="s">
        <v>59</v>
      </c>
      <c r="E186" s="30" t="s">
        <v>194</v>
      </c>
      <c r="F186" s="31" t="s">
        <v>195</v>
      </c>
      <c r="G186" s="29">
        <v>11</v>
      </c>
      <c r="H186" s="29" t="s">
        <v>68</v>
      </c>
      <c r="I186" s="29" t="s">
        <v>34</v>
      </c>
      <c r="J186" s="29">
        <v>120</v>
      </c>
      <c r="K186" s="29"/>
      <c r="L186" s="29"/>
      <c r="M186" s="29"/>
      <c r="N186" s="29"/>
      <c r="O186" s="97" t="s">
        <v>29</v>
      </c>
      <c r="P186" s="29"/>
      <c r="Q186" s="29"/>
      <c r="R186" s="97" t="s">
        <v>29</v>
      </c>
      <c r="S186" s="29"/>
      <c r="T186" s="29"/>
      <c r="U186" s="29"/>
      <c r="V186" s="29" t="s">
        <v>509</v>
      </c>
      <c r="W186" s="29"/>
      <c r="Y186" s="39" t="e">
        <f t="shared" si="2"/>
        <v>#REF!</v>
      </c>
    </row>
    <row r="187" spans="1:25" ht="39.950000000000003" customHeight="1">
      <c r="A187" s="5">
        <v>15</v>
      </c>
      <c r="B187" s="5" t="s">
        <v>890</v>
      </c>
      <c r="C187" s="133">
        <v>44085</v>
      </c>
      <c r="D187" s="108" t="s">
        <v>60</v>
      </c>
      <c r="E187" s="30" t="s">
        <v>200</v>
      </c>
      <c r="F187" s="31" t="s">
        <v>201</v>
      </c>
      <c r="G187" s="29">
        <v>28</v>
      </c>
      <c r="H187" s="29" t="s">
        <v>68</v>
      </c>
      <c r="I187" s="29" t="s">
        <v>28</v>
      </c>
      <c r="J187" s="29">
        <v>230</v>
      </c>
      <c r="K187" s="29"/>
      <c r="L187" s="29"/>
      <c r="M187" s="29"/>
      <c r="N187" s="29"/>
      <c r="O187" s="97" t="s">
        <v>29</v>
      </c>
      <c r="P187" s="29"/>
      <c r="Q187" s="29"/>
      <c r="R187" s="97" t="s">
        <v>29</v>
      </c>
      <c r="S187" s="29"/>
      <c r="T187" s="29"/>
      <c r="U187" s="29"/>
      <c r="V187" s="29" t="s">
        <v>510</v>
      </c>
      <c r="W187" s="29"/>
      <c r="Y187" s="39" t="e">
        <f t="shared" si="2"/>
        <v>#REF!</v>
      </c>
    </row>
    <row r="188" spans="1:25" ht="20.25" customHeight="1">
      <c r="C188" s="134"/>
      <c r="D188" s="110"/>
      <c r="E188" s="34"/>
      <c r="F188" s="32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Y188" s="39" t="e">
        <f t="shared" si="2"/>
        <v>#REF!</v>
      </c>
    </row>
    <row r="189" spans="1:25" ht="20.25" customHeight="1">
      <c r="C189" s="47"/>
      <c r="Y189" s="39" t="e">
        <f t="shared" si="2"/>
        <v>#REF!</v>
      </c>
    </row>
    <row r="190" spans="1:25" ht="20.25" customHeight="1">
      <c r="C190" s="101"/>
      <c r="Y190" s="39" t="e">
        <f t="shared" si="2"/>
        <v>#REF!</v>
      </c>
    </row>
    <row r="191" spans="1:25" ht="20.25" customHeight="1">
      <c r="C191" s="47"/>
      <c r="Y191" s="39" t="e">
        <f t="shared" si="2"/>
        <v>#REF!</v>
      </c>
    </row>
    <row r="192" spans="1:25" ht="20.25" customHeight="1">
      <c r="C192" s="101"/>
      <c r="Y192" s="39" t="e">
        <f t="shared" si="2"/>
        <v>#REF!</v>
      </c>
    </row>
    <row r="193" spans="3:25" ht="20.25" customHeight="1">
      <c r="C193" s="47"/>
      <c r="Y193" s="39" t="e">
        <f t="shared" si="2"/>
        <v>#REF!</v>
      </c>
    </row>
    <row r="194" spans="3:25" ht="20.25" customHeight="1">
      <c r="C194" s="47"/>
      <c r="Y194" s="39" t="e">
        <f t="shared" si="2"/>
        <v>#REF!</v>
      </c>
    </row>
    <row r="195" spans="3:25" ht="20.25" customHeight="1">
      <c r="C195" s="47"/>
      <c r="Y195" s="39" t="e">
        <f t="shared" si="2"/>
        <v>#REF!</v>
      </c>
    </row>
    <row r="196" spans="3:25" ht="20.25" customHeight="1">
      <c r="C196" s="101"/>
      <c r="Y196" s="39" t="e">
        <f t="shared" si="2"/>
        <v>#REF!</v>
      </c>
    </row>
    <row r="197" spans="3:25" ht="20.25" customHeight="1">
      <c r="C197" s="47"/>
      <c r="Y197" s="39" t="e">
        <f t="shared" si="2"/>
        <v>#REF!</v>
      </c>
    </row>
    <row r="198" spans="3:25" ht="20.25" customHeight="1">
      <c r="C198" s="47"/>
      <c r="Y198" s="39" t="e">
        <f t="shared" si="2"/>
        <v>#REF!</v>
      </c>
    </row>
    <row r="199" spans="3:25" ht="20.25" customHeight="1">
      <c r="C199" s="47"/>
      <c r="Y199" s="39" t="e">
        <f t="shared" si="2"/>
        <v>#REF!</v>
      </c>
    </row>
    <row r="200" spans="3:25" ht="20.25" customHeight="1">
      <c r="C200" s="47"/>
      <c r="Y200" s="39" t="e">
        <f t="shared" si="2"/>
        <v>#REF!</v>
      </c>
    </row>
    <row r="201" spans="3:25" ht="20.25" customHeight="1">
      <c r="C201" s="47"/>
      <c r="Y201" s="39" t="e">
        <f t="shared" si="2"/>
        <v>#REF!</v>
      </c>
    </row>
    <row r="202" spans="3:25" ht="20.25" customHeight="1">
      <c r="C202" s="101"/>
      <c r="Y202" s="39" t="e">
        <f t="shared" si="2"/>
        <v>#REF!</v>
      </c>
    </row>
    <row r="203" spans="3:25" ht="20.25" customHeight="1">
      <c r="C203" s="47"/>
      <c r="Y203" s="39" t="e">
        <f t="shared" si="2"/>
        <v>#REF!</v>
      </c>
    </row>
    <row r="204" spans="3:25" ht="20.25" customHeight="1">
      <c r="C204" s="101"/>
      <c r="Y204" s="39" t="e">
        <f t="shared" si="2"/>
        <v>#REF!</v>
      </c>
    </row>
    <row r="205" spans="3:25" ht="20.25" customHeight="1">
      <c r="C205" s="47"/>
      <c r="Y205" s="39" t="e">
        <f t="shared" si="2"/>
        <v>#REF!</v>
      </c>
    </row>
    <row r="206" spans="3:25" ht="20.25" customHeight="1">
      <c r="C206" s="47"/>
      <c r="Y206" s="39" t="e">
        <f t="shared" si="2"/>
        <v>#REF!</v>
      </c>
    </row>
    <row r="207" spans="3:25" ht="20.25" customHeight="1">
      <c r="C207" s="47"/>
      <c r="Y207" s="39" t="e">
        <f t="shared" si="2"/>
        <v>#REF!</v>
      </c>
    </row>
    <row r="208" spans="3:25" ht="20.25" customHeight="1">
      <c r="C208" s="101"/>
      <c r="Y208" s="39" t="e">
        <f t="shared" si="2"/>
        <v>#REF!</v>
      </c>
    </row>
    <row r="209" spans="3:25" ht="20.25" customHeight="1">
      <c r="C209" s="47"/>
      <c r="Y209" s="39" t="e">
        <f t="shared" si="2"/>
        <v>#REF!</v>
      </c>
    </row>
    <row r="210" spans="3:25" ht="20.25" customHeight="1">
      <c r="C210" s="47"/>
      <c r="Y210" s="39" t="e">
        <f t="shared" si="2"/>
        <v>#REF!</v>
      </c>
    </row>
    <row r="211" spans="3:25" ht="20.25" customHeight="1">
      <c r="C211" s="47"/>
      <c r="Y211" s="39" t="e">
        <f t="shared" si="2"/>
        <v>#REF!</v>
      </c>
    </row>
    <row r="212" spans="3:25" ht="20.25" customHeight="1">
      <c r="C212" s="101"/>
      <c r="Y212" s="39" t="e">
        <f t="shared" si="2"/>
        <v>#REF!</v>
      </c>
    </row>
    <row r="213" spans="3:25" ht="20.25" customHeight="1">
      <c r="C213" s="47"/>
      <c r="Y213" s="39" t="e">
        <f t="shared" si="2"/>
        <v>#REF!</v>
      </c>
    </row>
    <row r="214" spans="3:25" ht="20.25" customHeight="1">
      <c r="C214" s="47"/>
      <c r="Y214" s="39" t="e">
        <f t="shared" si="2"/>
        <v>#REF!</v>
      </c>
    </row>
    <row r="215" spans="3:25" ht="20.25" customHeight="1">
      <c r="C215" s="47"/>
      <c r="Y215" s="39" t="e">
        <f t="shared" ref="Y215:Y246" si="3">IF(E215=E214,Y214,Y214+1)</f>
        <v>#REF!</v>
      </c>
    </row>
    <row r="216" spans="3:25" ht="20.25" customHeight="1">
      <c r="C216" s="101"/>
      <c r="Y216" s="39" t="e">
        <f t="shared" si="3"/>
        <v>#REF!</v>
      </c>
    </row>
    <row r="217" spans="3:25" ht="20.25" customHeight="1">
      <c r="C217" s="47"/>
      <c r="Y217" s="39" t="e">
        <f t="shared" si="3"/>
        <v>#REF!</v>
      </c>
    </row>
    <row r="218" spans="3:25" ht="20.25" customHeight="1">
      <c r="C218" s="47"/>
      <c r="Y218" s="39" t="e">
        <f t="shared" si="3"/>
        <v>#REF!</v>
      </c>
    </row>
    <row r="219" spans="3:25" ht="20.25" customHeight="1">
      <c r="C219" s="47"/>
      <c r="Y219" s="39" t="e">
        <f t="shared" si="3"/>
        <v>#REF!</v>
      </c>
    </row>
    <row r="220" spans="3:25" ht="20.25" customHeight="1">
      <c r="C220" s="101"/>
      <c r="Y220" s="39" t="e">
        <f t="shared" si="3"/>
        <v>#REF!</v>
      </c>
    </row>
    <row r="221" spans="3:25" ht="20.25" customHeight="1">
      <c r="C221" s="47"/>
      <c r="Y221" s="39" t="e">
        <f t="shared" si="3"/>
        <v>#REF!</v>
      </c>
    </row>
    <row r="222" spans="3:25" ht="20.25" customHeight="1">
      <c r="C222" s="47"/>
      <c r="Y222" s="39" t="e">
        <f t="shared" si="3"/>
        <v>#REF!</v>
      </c>
    </row>
    <row r="223" spans="3:25" ht="20.25" customHeight="1">
      <c r="C223" s="47"/>
      <c r="Y223" s="39" t="e">
        <f t="shared" si="3"/>
        <v>#REF!</v>
      </c>
    </row>
    <row r="224" spans="3:25" ht="20.25" customHeight="1">
      <c r="C224" s="47"/>
      <c r="Y224" s="39" t="e">
        <f t="shared" si="3"/>
        <v>#REF!</v>
      </c>
    </row>
    <row r="225" spans="3:25" ht="20.25" customHeight="1">
      <c r="C225" s="101"/>
      <c r="Y225" s="39" t="e">
        <f t="shared" si="3"/>
        <v>#REF!</v>
      </c>
    </row>
    <row r="226" spans="3:25" ht="20.25" customHeight="1">
      <c r="C226" s="47"/>
      <c r="Y226" s="39" t="e">
        <f t="shared" si="3"/>
        <v>#REF!</v>
      </c>
    </row>
    <row r="227" spans="3:25" ht="20.25" customHeight="1">
      <c r="C227" s="47"/>
      <c r="Y227" s="39" t="e">
        <f t="shared" si="3"/>
        <v>#REF!</v>
      </c>
    </row>
    <row r="228" spans="3:25" ht="20.25" customHeight="1">
      <c r="C228" s="101"/>
      <c r="Y228" s="39" t="e">
        <f t="shared" si="3"/>
        <v>#REF!</v>
      </c>
    </row>
    <row r="229" spans="3:25" ht="20.25" customHeight="1">
      <c r="C229" s="47"/>
      <c r="Y229" s="39" t="e">
        <f t="shared" si="3"/>
        <v>#REF!</v>
      </c>
    </row>
    <row r="230" spans="3:25" ht="20.25" customHeight="1">
      <c r="C230" s="47"/>
      <c r="Y230" s="39" t="e">
        <f t="shared" si="3"/>
        <v>#REF!</v>
      </c>
    </row>
    <row r="231" spans="3:25" ht="20.25" customHeight="1">
      <c r="C231" s="47"/>
      <c r="Y231" s="39" t="e">
        <f t="shared" si="3"/>
        <v>#REF!</v>
      </c>
    </row>
    <row r="232" spans="3:25" ht="20.25" customHeight="1">
      <c r="C232" s="47"/>
      <c r="Y232" s="39" t="e">
        <f t="shared" si="3"/>
        <v>#REF!</v>
      </c>
    </row>
    <row r="233" spans="3:25" ht="20.25" customHeight="1">
      <c r="C233" s="47"/>
      <c r="Y233" s="39" t="e">
        <f t="shared" si="3"/>
        <v>#REF!</v>
      </c>
    </row>
    <row r="234" spans="3:25" ht="20.25" customHeight="1">
      <c r="C234" s="47"/>
      <c r="Y234" s="39" t="e">
        <f t="shared" si="3"/>
        <v>#REF!</v>
      </c>
    </row>
    <row r="235" spans="3:25" ht="20.25" customHeight="1">
      <c r="C235" s="101"/>
      <c r="Y235" s="39" t="e">
        <f t="shared" si="3"/>
        <v>#REF!</v>
      </c>
    </row>
    <row r="236" spans="3:25" ht="20.25" customHeight="1">
      <c r="C236" s="47"/>
      <c r="Y236" s="39" t="e">
        <f t="shared" si="3"/>
        <v>#REF!</v>
      </c>
    </row>
    <row r="237" spans="3:25" ht="20.25" customHeight="1">
      <c r="C237" s="47"/>
      <c r="Y237" s="39" t="e">
        <f t="shared" si="3"/>
        <v>#REF!</v>
      </c>
    </row>
    <row r="238" spans="3:25" ht="20.25" customHeight="1">
      <c r="C238" s="47"/>
      <c r="Y238" s="39" t="e">
        <f t="shared" si="3"/>
        <v>#REF!</v>
      </c>
    </row>
    <row r="239" spans="3:25" ht="20.25" customHeight="1">
      <c r="C239" s="47"/>
      <c r="Y239" s="39" t="e">
        <f t="shared" si="3"/>
        <v>#REF!</v>
      </c>
    </row>
    <row r="240" spans="3:25" ht="20.25" customHeight="1">
      <c r="C240" s="47"/>
      <c r="Y240" s="39" t="e">
        <f t="shared" si="3"/>
        <v>#REF!</v>
      </c>
    </row>
    <row r="241" spans="3:25" ht="20.25" customHeight="1">
      <c r="C241" s="47"/>
      <c r="Y241" s="39" t="e">
        <f t="shared" si="3"/>
        <v>#REF!</v>
      </c>
    </row>
    <row r="242" spans="3:25" ht="20.25" customHeight="1">
      <c r="C242" s="47"/>
      <c r="Y242" s="39" t="e">
        <f t="shared" si="3"/>
        <v>#REF!</v>
      </c>
    </row>
    <row r="243" spans="3:25" ht="20.25" customHeight="1">
      <c r="C243" s="47"/>
      <c r="Y243" s="39" t="e">
        <f t="shared" si="3"/>
        <v>#REF!</v>
      </c>
    </row>
    <row r="244" spans="3:25" ht="20.25" customHeight="1">
      <c r="C244" s="47"/>
      <c r="Y244" s="39" t="e">
        <f t="shared" si="3"/>
        <v>#REF!</v>
      </c>
    </row>
    <row r="245" spans="3:25" ht="20.25" customHeight="1">
      <c r="C245" s="47"/>
      <c r="Y245" s="39" t="e">
        <f t="shared" si="3"/>
        <v>#REF!</v>
      </c>
    </row>
    <row r="246" spans="3:25" ht="20.25" customHeight="1">
      <c r="C246" s="101"/>
      <c r="Y246" s="39" t="e">
        <f t="shared" si="3"/>
        <v>#REF!</v>
      </c>
    </row>
    <row r="247" spans="3:25" ht="20.25" customHeight="1">
      <c r="C247" s="47"/>
    </row>
    <row r="248" spans="3:25" ht="20.25" customHeight="1">
      <c r="C248" s="47"/>
    </row>
    <row r="249" spans="3:25" ht="20.25" customHeight="1">
      <c r="C249" s="47"/>
    </row>
    <row r="250" spans="3:25" ht="20.25" customHeight="1">
      <c r="C250" s="101"/>
    </row>
    <row r="251" spans="3:25" ht="20.25" customHeight="1">
      <c r="C251" s="47"/>
    </row>
    <row r="252" spans="3:25" ht="20.25" customHeight="1">
      <c r="C252" s="47"/>
    </row>
    <row r="253" spans="3:25" ht="20.25" customHeight="1">
      <c r="C253" s="47"/>
    </row>
    <row r="254" spans="3:25" ht="20.25" customHeight="1">
      <c r="C254" s="47"/>
    </row>
    <row r="255" spans="3:25" ht="20.25" customHeight="1">
      <c r="C255" s="101"/>
    </row>
    <row r="256" spans="3:25" ht="20.25" customHeight="1">
      <c r="C256" s="47"/>
    </row>
    <row r="257" spans="3:3" ht="20.25" customHeight="1">
      <c r="C257" s="47"/>
    </row>
    <row r="258" spans="3:3" ht="20.25" customHeight="1">
      <c r="C258" s="47"/>
    </row>
    <row r="259" spans="3:3" ht="20.25" customHeight="1">
      <c r="C259" s="101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101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47"/>
    </row>
    <row r="272" spans="3:3" ht="20.25" customHeight="1">
      <c r="C272" s="101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101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</sheetData>
  <autoFilter ref="C6:AD246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9 E11:G13 E15:G18 E20:G23 E25:G26 E28:G30 E32:G33 E35:G37 E39:G39 E41:G44 E46:G48 E50:G53 E55:G57 E59:G62 E64:G66 E68:G71 E73:G74 E76:G80 E82:G85 E87:G89 E91:G92 E94:G98 E100:G104 E106:G109 E111:G114 E116:G119 E121:G123 E125:G128 E130:G132 E134:G137 E139:G141 E143:G146 E148:G151 E153:G155 E157:G159 E161:G163 E165:G165 E167:G171 E173:G174 E176:G177 E179:G182 E184:G187">
    <cfRule type="expression" dxfId="168" priority="132">
      <formula>MOD($Y7,2)=0</formula>
    </cfRule>
  </conditionalFormatting>
  <conditionalFormatting sqref="C7:W9 C11:W13 C15:W18 C20:W23 C25:W26 C28:W30 C32:W33 C35:W37 C39:W39 C41:W44 C46:W48 C50:W53 C55:W57 C59:W62 C64:W66 C68:W71 C73:W74 C76:W80 C82:W85 C87:W89 C91:W92 C94:W98 C100:W104 C106:W109 C111:W114 C116:W119 C121:W123 C125:W128 C130:W132 C134:W137 C139:W141 C143:W146 C148:W151 C153:W155 C157:W159 C161:W163 C165:W165 C167:W171 C173:W174 C176:W177 C179:W182 C184:W187">
    <cfRule type="expression" dxfId="167" priority="131">
      <formula>$X7="OK"</formula>
    </cfRule>
    <cfRule type="expression" dxfId="166" priority="133">
      <formula>OR($D7="1",$D7=1)</formula>
    </cfRule>
  </conditionalFormatting>
  <conditionalFormatting sqref="E10:G10">
    <cfRule type="expression" dxfId="165" priority="122">
      <formula>MOD($Y10,2)=0</formula>
    </cfRule>
  </conditionalFormatting>
  <conditionalFormatting sqref="C10:W10">
    <cfRule type="expression" dxfId="164" priority="121">
      <formula>$X10="OK"</formula>
    </cfRule>
    <cfRule type="expression" dxfId="163" priority="123">
      <formula>OR($D10="1",$D10=1)</formula>
    </cfRule>
  </conditionalFormatting>
  <conditionalFormatting sqref="E14:G14">
    <cfRule type="expression" dxfId="162" priority="119">
      <formula>MOD($Y14,2)=0</formula>
    </cfRule>
  </conditionalFormatting>
  <conditionalFormatting sqref="C14:W14">
    <cfRule type="expression" dxfId="161" priority="118">
      <formula>$X14="OK"</formula>
    </cfRule>
    <cfRule type="expression" dxfId="160" priority="120">
      <formula>OR($D14="1",$D14=1)</formula>
    </cfRule>
  </conditionalFormatting>
  <conditionalFormatting sqref="E19:G19">
    <cfRule type="expression" dxfId="159" priority="116">
      <formula>MOD($Y19,2)=0</formula>
    </cfRule>
  </conditionalFormatting>
  <conditionalFormatting sqref="C19:W19">
    <cfRule type="expression" dxfId="158" priority="115">
      <formula>$X19="OK"</formula>
    </cfRule>
    <cfRule type="expression" dxfId="157" priority="117">
      <formula>OR($D19="1",$D19=1)</formula>
    </cfRule>
  </conditionalFormatting>
  <conditionalFormatting sqref="E24:G24">
    <cfRule type="expression" dxfId="156" priority="113">
      <formula>MOD($Y24,2)=0</formula>
    </cfRule>
  </conditionalFormatting>
  <conditionalFormatting sqref="C24:W24">
    <cfRule type="expression" dxfId="155" priority="112">
      <formula>$X24="OK"</formula>
    </cfRule>
    <cfRule type="expression" dxfId="154" priority="114">
      <formula>OR($D24="1",$D24=1)</formula>
    </cfRule>
  </conditionalFormatting>
  <conditionalFormatting sqref="E27:G27">
    <cfRule type="expression" dxfId="153" priority="110">
      <formula>MOD($Y27,2)=0</formula>
    </cfRule>
  </conditionalFormatting>
  <conditionalFormatting sqref="C27:W27">
    <cfRule type="expression" dxfId="152" priority="109">
      <formula>$X27="OK"</formula>
    </cfRule>
    <cfRule type="expression" dxfId="151" priority="111">
      <formula>OR($D27="1",$D27=1)</formula>
    </cfRule>
  </conditionalFormatting>
  <conditionalFormatting sqref="E31:G31">
    <cfRule type="expression" dxfId="150" priority="107">
      <formula>MOD($Y31,2)=0</formula>
    </cfRule>
  </conditionalFormatting>
  <conditionalFormatting sqref="C31:W31">
    <cfRule type="expression" dxfId="149" priority="106">
      <formula>$X31="OK"</formula>
    </cfRule>
    <cfRule type="expression" dxfId="148" priority="108">
      <formula>OR($D31="1",$D31=1)</formula>
    </cfRule>
  </conditionalFormatting>
  <conditionalFormatting sqref="E34:G34">
    <cfRule type="expression" dxfId="147" priority="104">
      <formula>MOD($Y34,2)=0</formula>
    </cfRule>
  </conditionalFormatting>
  <conditionalFormatting sqref="C34:W34">
    <cfRule type="expression" dxfId="146" priority="103">
      <formula>$X34="OK"</formula>
    </cfRule>
    <cfRule type="expression" dxfId="145" priority="105">
      <formula>OR($D34="1",$D34=1)</formula>
    </cfRule>
  </conditionalFormatting>
  <conditionalFormatting sqref="E38:G38">
    <cfRule type="expression" dxfId="144" priority="101">
      <formula>MOD($Y38,2)=0</formula>
    </cfRule>
  </conditionalFormatting>
  <conditionalFormatting sqref="C38:W38">
    <cfRule type="expression" dxfId="143" priority="100">
      <formula>$X38="OK"</formula>
    </cfRule>
    <cfRule type="expression" dxfId="142" priority="102">
      <formula>OR($D38="1",$D38=1)</formula>
    </cfRule>
  </conditionalFormatting>
  <conditionalFormatting sqref="E40:G40">
    <cfRule type="expression" dxfId="141" priority="98">
      <formula>MOD($Y40,2)=0</formula>
    </cfRule>
  </conditionalFormatting>
  <conditionalFormatting sqref="C40:W40">
    <cfRule type="expression" dxfId="140" priority="97">
      <formula>$X40="OK"</formula>
    </cfRule>
    <cfRule type="expression" dxfId="139" priority="99">
      <formula>OR($D40="1",$D40=1)</formula>
    </cfRule>
  </conditionalFormatting>
  <conditionalFormatting sqref="E45:G45">
    <cfRule type="expression" dxfId="138" priority="95">
      <formula>MOD($Y45,2)=0</formula>
    </cfRule>
  </conditionalFormatting>
  <conditionalFormatting sqref="C45:W45">
    <cfRule type="expression" dxfId="137" priority="94">
      <formula>$X45="OK"</formula>
    </cfRule>
    <cfRule type="expression" dxfId="136" priority="96">
      <formula>OR($D45="1",$D45=1)</formula>
    </cfRule>
  </conditionalFormatting>
  <conditionalFormatting sqref="E49:G49">
    <cfRule type="expression" dxfId="135" priority="92">
      <formula>MOD($Y49,2)=0</formula>
    </cfRule>
  </conditionalFormatting>
  <conditionalFormatting sqref="C49:W49">
    <cfRule type="expression" dxfId="134" priority="91">
      <formula>$X49="OK"</formula>
    </cfRule>
    <cfRule type="expression" dxfId="133" priority="93">
      <formula>OR($D49="1",$D49=1)</formula>
    </cfRule>
  </conditionalFormatting>
  <conditionalFormatting sqref="E54:G54">
    <cfRule type="expression" dxfId="132" priority="89">
      <formula>MOD($Y54,2)=0</formula>
    </cfRule>
  </conditionalFormatting>
  <conditionalFormatting sqref="C54:W54">
    <cfRule type="expression" dxfId="131" priority="88">
      <formula>$X54="OK"</formula>
    </cfRule>
    <cfRule type="expression" dxfId="130" priority="90">
      <formula>OR($D54="1",$D54=1)</formula>
    </cfRule>
  </conditionalFormatting>
  <conditionalFormatting sqref="E58:G58">
    <cfRule type="expression" dxfId="129" priority="86">
      <formula>MOD($Y58,2)=0</formula>
    </cfRule>
  </conditionalFormatting>
  <conditionalFormatting sqref="C58:W58">
    <cfRule type="expression" dxfId="128" priority="85">
      <formula>$X58="OK"</formula>
    </cfRule>
    <cfRule type="expression" dxfId="127" priority="87">
      <formula>OR($D58="1",$D58=1)</formula>
    </cfRule>
  </conditionalFormatting>
  <conditionalFormatting sqref="E63:G63">
    <cfRule type="expression" dxfId="126" priority="83">
      <formula>MOD($Y63,2)=0</formula>
    </cfRule>
  </conditionalFormatting>
  <conditionalFormatting sqref="C63:W63">
    <cfRule type="expression" dxfId="125" priority="82">
      <formula>$X63="OK"</formula>
    </cfRule>
    <cfRule type="expression" dxfId="124" priority="84">
      <formula>OR($D63="1",$D63=1)</formula>
    </cfRule>
  </conditionalFormatting>
  <conditionalFormatting sqref="E67:G67">
    <cfRule type="expression" dxfId="123" priority="80">
      <formula>MOD($Y67,2)=0</formula>
    </cfRule>
  </conditionalFormatting>
  <conditionalFormatting sqref="C67:W67">
    <cfRule type="expression" dxfId="122" priority="79">
      <formula>$X67="OK"</formula>
    </cfRule>
    <cfRule type="expression" dxfId="121" priority="81">
      <formula>OR($D67="1",$D67=1)</formula>
    </cfRule>
  </conditionalFormatting>
  <conditionalFormatting sqref="E72:G72">
    <cfRule type="expression" dxfId="120" priority="77">
      <formula>MOD($Y72,2)=0</formula>
    </cfRule>
  </conditionalFormatting>
  <conditionalFormatting sqref="C72:W72">
    <cfRule type="expression" dxfId="119" priority="76">
      <formula>$X72="OK"</formula>
    </cfRule>
    <cfRule type="expression" dxfId="118" priority="78">
      <formula>OR($D72="1",$D72=1)</formula>
    </cfRule>
  </conditionalFormatting>
  <conditionalFormatting sqref="E75:G75">
    <cfRule type="expression" dxfId="117" priority="74">
      <formula>MOD($Y75,2)=0</formula>
    </cfRule>
  </conditionalFormatting>
  <conditionalFormatting sqref="C75:W75">
    <cfRule type="expression" dxfId="116" priority="73">
      <formula>$X75="OK"</formula>
    </cfRule>
    <cfRule type="expression" dxfId="115" priority="75">
      <formula>OR($D75="1",$D75=1)</formula>
    </cfRule>
  </conditionalFormatting>
  <conditionalFormatting sqref="E81:G81">
    <cfRule type="expression" dxfId="114" priority="71">
      <formula>MOD($Y81,2)=0</formula>
    </cfRule>
  </conditionalFormatting>
  <conditionalFormatting sqref="C81:W81">
    <cfRule type="expression" dxfId="113" priority="70">
      <formula>$X81="OK"</formula>
    </cfRule>
    <cfRule type="expression" dxfId="112" priority="72">
      <formula>OR($D81="1",$D81=1)</formula>
    </cfRule>
  </conditionalFormatting>
  <conditionalFormatting sqref="E86:G86">
    <cfRule type="expression" dxfId="111" priority="68">
      <formula>MOD($Y86,2)=0</formula>
    </cfRule>
  </conditionalFormatting>
  <conditionalFormatting sqref="C86:W86">
    <cfRule type="expression" dxfId="110" priority="67">
      <formula>$X86="OK"</formula>
    </cfRule>
    <cfRule type="expression" dxfId="109" priority="69">
      <formula>OR($D86="1",$D86=1)</formula>
    </cfRule>
  </conditionalFormatting>
  <conditionalFormatting sqref="E90:G90">
    <cfRule type="expression" dxfId="108" priority="65">
      <formula>MOD($Y90,2)=0</formula>
    </cfRule>
  </conditionalFormatting>
  <conditionalFormatting sqref="C90:W90">
    <cfRule type="expression" dxfId="107" priority="64">
      <formula>$X90="OK"</formula>
    </cfRule>
    <cfRule type="expression" dxfId="106" priority="66">
      <formula>OR($D90="1",$D90=1)</formula>
    </cfRule>
  </conditionalFormatting>
  <conditionalFormatting sqref="E93:G93">
    <cfRule type="expression" dxfId="105" priority="62">
      <formula>MOD($Y93,2)=0</formula>
    </cfRule>
  </conditionalFormatting>
  <conditionalFormatting sqref="C93:W93">
    <cfRule type="expression" dxfId="104" priority="61">
      <formula>$X93="OK"</formula>
    </cfRule>
    <cfRule type="expression" dxfId="103" priority="63">
      <formula>OR($D93="1",$D93=1)</formula>
    </cfRule>
  </conditionalFormatting>
  <conditionalFormatting sqref="E99:G99">
    <cfRule type="expression" dxfId="102" priority="59">
      <formula>MOD($Y99,2)=0</formula>
    </cfRule>
  </conditionalFormatting>
  <conditionalFormatting sqref="C99:W99">
    <cfRule type="expression" dxfId="101" priority="58">
      <formula>$X99="OK"</formula>
    </cfRule>
    <cfRule type="expression" dxfId="100" priority="60">
      <formula>OR($D99="1",$D99=1)</formula>
    </cfRule>
  </conditionalFormatting>
  <conditionalFormatting sqref="E105:G105">
    <cfRule type="expression" dxfId="99" priority="56">
      <formula>MOD($Y105,2)=0</formula>
    </cfRule>
  </conditionalFormatting>
  <conditionalFormatting sqref="C105:W105">
    <cfRule type="expression" dxfId="98" priority="55">
      <formula>$X105="OK"</formula>
    </cfRule>
    <cfRule type="expression" dxfId="97" priority="57">
      <formula>OR($D105="1",$D105=1)</formula>
    </cfRule>
  </conditionalFormatting>
  <conditionalFormatting sqref="E110:G110">
    <cfRule type="expression" dxfId="96" priority="53">
      <formula>MOD($Y110,2)=0</formula>
    </cfRule>
  </conditionalFormatting>
  <conditionalFormatting sqref="C110:W110">
    <cfRule type="expression" dxfId="95" priority="52">
      <formula>$X110="OK"</formula>
    </cfRule>
    <cfRule type="expression" dxfId="94" priority="54">
      <formula>OR($D110="1",$D110=1)</formula>
    </cfRule>
  </conditionalFormatting>
  <conditionalFormatting sqref="E115:G115">
    <cfRule type="expression" dxfId="93" priority="50">
      <formula>MOD($Y115,2)=0</formula>
    </cfRule>
  </conditionalFormatting>
  <conditionalFormatting sqref="C115:W115">
    <cfRule type="expression" dxfId="92" priority="49">
      <formula>$X115="OK"</formula>
    </cfRule>
    <cfRule type="expression" dxfId="91" priority="51">
      <formula>OR($D115="1",$D115=1)</formula>
    </cfRule>
  </conditionalFormatting>
  <conditionalFormatting sqref="E120:G120">
    <cfRule type="expression" dxfId="90" priority="47">
      <formula>MOD($Y120,2)=0</formula>
    </cfRule>
  </conditionalFormatting>
  <conditionalFormatting sqref="C120:W120">
    <cfRule type="expression" dxfId="89" priority="46">
      <formula>$X120="OK"</formula>
    </cfRule>
    <cfRule type="expression" dxfId="88" priority="48">
      <formula>OR($D120="1",$D120=1)</formula>
    </cfRule>
  </conditionalFormatting>
  <conditionalFormatting sqref="E124:G124">
    <cfRule type="expression" dxfId="87" priority="44">
      <formula>MOD($Y124,2)=0</formula>
    </cfRule>
  </conditionalFormatting>
  <conditionalFormatting sqref="C124:W124">
    <cfRule type="expression" dxfId="86" priority="43">
      <formula>$X124="OK"</formula>
    </cfRule>
    <cfRule type="expression" dxfId="85" priority="45">
      <formula>OR($D124="1",$D124=1)</formula>
    </cfRule>
  </conditionalFormatting>
  <conditionalFormatting sqref="E129:G129">
    <cfRule type="expression" dxfId="84" priority="41">
      <formula>MOD($Y129,2)=0</formula>
    </cfRule>
  </conditionalFormatting>
  <conditionalFormatting sqref="C129:W129">
    <cfRule type="expression" dxfId="83" priority="40">
      <formula>$X129="OK"</formula>
    </cfRule>
    <cfRule type="expression" dxfId="82" priority="42">
      <formula>OR($D129="1",$D129=1)</formula>
    </cfRule>
  </conditionalFormatting>
  <conditionalFormatting sqref="E133:G133">
    <cfRule type="expression" dxfId="81" priority="38">
      <formula>MOD($Y133,2)=0</formula>
    </cfRule>
  </conditionalFormatting>
  <conditionalFormatting sqref="C133:W133">
    <cfRule type="expression" dxfId="80" priority="37">
      <formula>$X133="OK"</formula>
    </cfRule>
    <cfRule type="expression" dxfId="79" priority="39">
      <formula>OR($D133="1",$D133=1)</formula>
    </cfRule>
  </conditionalFormatting>
  <conditionalFormatting sqref="E138:G138">
    <cfRule type="expression" dxfId="78" priority="35">
      <formula>MOD($Y138,2)=0</formula>
    </cfRule>
  </conditionalFormatting>
  <conditionalFormatting sqref="C138:W138">
    <cfRule type="expression" dxfId="77" priority="34">
      <formula>$X138="OK"</formula>
    </cfRule>
    <cfRule type="expression" dxfId="76" priority="36">
      <formula>OR($D138="1",$D138=1)</formula>
    </cfRule>
  </conditionalFormatting>
  <conditionalFormatting sqref="E142:G142">
    <cfRule type="expression" dxfId="75" priority="32">
      <formula>MOD($Y142,2)=0</formula>
    </cfRule>
  </conditionalFormatting>
  <conditionalFormatting sqref="C142:W142">
    <cfRule type="expression" dxfId="74" priority="31">
      <formula>$X142="OK"</formula>
    </cfRule>
    <cfRule type="expression" dxfId="73" priority="33">
      <formula>OR($D142="1",$D142=1)</formula>
    </cfRule>
  </conditionalFormatting>
  <conditionalFormatting sqref="E147:G147">
    <cfRule type="expression" dxfId="72" priority="29">
      <formula>MOD($Y147,2)=0</formula>
    </cfRule>
  </conditionalFormatting>
  <conditionalFormatting sqref="C147:W147">
    <cfRule type="expression" dxfId="71" priority="28">
      <formula>$X147="OK"</formula>
    </cfRule>
    <cfRule type="expression" dxfId="70" priority="30">
      <formula>OR($D147="1",$D147=1)</formula>
    </cfRule>
  </conditionalFormatting>
  <conditionalFormatting sqref="E152:G152">
    <cfRule type="expression" dxfId="69" priority="26">
      <formula>MOD($Y152,2)=0</formula>
    </cfRule>
  </conditionalFormatting>
  <conditionalFormatting sqref="C152:W152">
    <cfRule type="expression" dxfId="68" priority="25">
      <formula>$X152="OK"</formula>
    </cfRule>
    <cfRule type="expression" dxfId="67" priority="27">
      <formula>OR($D152="1",$D152=1)</formula>
    </cfRule>
  </conditionalFormatting>
  <conditionalFormatting sqref="E156:G156">
    <cfRule type="expression" dxfId="66" priority="23">
      <formula>MOD($Y156,2)=0</formula>
    </cfRule>
  </conditionalFormatting>
  <conditionalFormatting sqref="C156:W156">
    <cfRule type="expression" dxfId="65" priority="22">
      <formula>$X156="OK"</formula>
    </cfRule>
    <cfRule type="expression" dxfId="64" priority="24">
      <formula>OR($D156="1",$D156=1)</formula>
    </cfRule>
  </conditionalFormatting>
  <conditionalFormatting sqref="E160:G160">
    <cfRule type="expression" dxfId="63" priority="20">
      <formula>MOD($Y160,2)=0</formula>
    </cfRule>
  </conditionalFormatting>
  <conditionalFormatting sqref="C160:W160">
    <cfRule type="expression" dxfId="62" priority="19">
      <formula>$X160="OK"</formula>
    </cfRule>
    <cfRule type="expression" dxfId="61" priority="21">
      <formula>OR($D160="1",$D160=1)</formula>
    </cfRule>
  </conditionalFormatting>
  <conditionalFormatting sqref="E164:G164">
    <cfRule type="expression" dxfId="60" priority="17">
      <formula>MOD($Y164,2)=0</formula>
    </cfRule>
  </conditionalFormatting>
  <conditionalFormatting sqref="C164:W164">
    <cfRule type="expression" dxfId="59" priority="16">
      <formula>$X164="OK"</formula>
    </cfRule>
    <cfRule type="expression" dxfId="58" priority="18">
      <formula>OR($D164="1",$D164=1)</formula>
    </cfRule>
  </conditionalFormatting>
  <conditionalFormatting sqref="E166:G166">
    <cfRule type="expression" dxfId="57" priority="14">
      <formula>MOD($Y166,2)=0</formula>
    </cfRule>
  </conditionalFormatting>
  <conditionalFormatting sqref="C166:W166">
    <cfRule type="expression" dxfId="56" priority="13">
      <formula>$X166="OK"</formula>
    </cfRule>
    <cfRule type="expression" dxfId="55" priority="15">
      <formula>OR($D166="1",$D166=1)</formula>
    </cfRule>
  </conditionalFormatting>
  <conditionalFormatting sqref="E172:G172">
    <cfRule type="expression" dxfId="54" priority="11">
      <formula>MOD($Y172,2)=0</formula>
    </cfRule>
  </conditionalFormatting>
  <conditionalFormatting sqref="C172:W172">
    <cfRule type="expression" dxfId="53" priority="10">
      <formula>$X172="OK"</formula>
    </cfRule>
    <cfRule type="expression" dxfId="52" priority="12">
      <formula>OR($D172="1",$D172=1)</formula>
    </cfRule>
  </conditionalFormatting>
  <conditionalFormatting sqref="E175:G175">
    <cfRule type="expression" dxfId="51" priority="8">
      <formula>MOD($Y175,2)=0</formula>
    </cfRule>
  </conditionalFormatting>
  <conditionalFormatting sqref="C175:W175">
    <cfRule type="expression" dxfId="50" priority="7">
      <formula>$X175="OK"</formula>
    </cfRule>
    <cfRule type="expression" dxfId="49" priority="9">
      <formula>OR($D175="1",$D175=1)</formula>
    </cfRule>
  </conditionalFormatting>
  <conditionalFormatting sqref="E178:G178">
    <cfRule type="expression" dxfId="48" priority="5">
      <formula>MOD($Y178,2)=0</formula>
    </cfRule>
  </conditionalFormatting>
  <conditionalFormatting sqref="C178:W178">
    <cfRule type="expression" dxfId="47" priority="4">
      <formula>$X178="OK"</formula>
    </cfRule>
    <cfRule type="expression" dxfId="46" priority="6">
      <formula>OR($D178="1",$D178=1)</formula>
    </cfRule>
  </conditionalFormatting>
  <conditionalFormatting sqref="E183:G183">
    <cfRule type="expression" dxfId="45" priority="2">
      <formula>MOD($Y183,2)=0</formula>
    </cfRule>
  </conditionalFormatting>
  <conditionalFormatting sqref="C183:W183">
    <cfRule type="expression" dxfId="44" priority="1">
      <formula>$X183="OK"</formula>
    </cfRule>
    <cfRule type="expression" dxfId="43" priority="3">
      <formula>OR($D183="1",$D183=1)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38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3969" r:id="rId4" name="Button 1">
              <controlPr defaultSize="0" print="0" autoFill="0" autoPict="0" macro="[3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0" r:id="rId5" name="Button 2">
              <controlPr defaultSize="0" print="0" autoFill="0" autoPict="0" macro="[3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1" r:id="rId6" name="Button 3">
              <controlPr defaultSize="0" print="0" autoFill="0" autoPict="0" macro="[3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2" r:id="rId7" name="Button 4">
              <controlPr defaultSize="0" print="0" autoFill="0" autoPict="0" macro="[3]!ClearBodyNo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3" r:id="rId8" name="Button 5">
              <controlPr defaultSize="0" print="0" autoFill="0" autoPict="0" macro="[3]!Get_PAD_DATA">
                <anchor>
                  <from>
                    <xdr:col>25</xdr:col>
                    <xdr:colOff>219075</xdr:colOff>
                    <xdr:row>8</xdr:row>
                    <xdr:rowOff>219075</xdr:rowOff>
                  </from>
                  <to>
                    <xdr:col>26</xdr:col>
                    <xdr:colOff>1190625</xdr:colOff>
                    <xdr:row>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4" r:id="rId9" name="Button 6">
              <controlPr defaultSize="0" print="0" autoFill="0" autoPict="0" macro="[3]!ClearData">
                <anchor>
                  <from>
                    <xdr:col>25</xdr:col>
                    <xdr:colOff>238125</xdr:colOff>
                    <xdr:row>10</xdr:row>
                    <xdr:rowOff>85725</xdr:rowOff>
                  </from>
                  <to>
                    <xdr:col>26</xdr:col>
                    <xdr:colOff>1219200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5" r:id="rId10" name="Button 7">
              <controlPr defaultSize="0" print="0" autoFill="0" autoPict="0" macro="[3]!MakeBodyNo">
                <anchor>
                  <from>
                    <xdr:col>25</xdr:col>
                    <xdr:colOff>238125</xdr:colOff>
                    <xdr:row>12</xdr:row>
                    <xdr:rowOff>381000</xdr:rowOff>
                  </from>
                  <to>
                    <xdr:col>26</xdr:col>
                    <xdr:colOff>1219200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6" r:id="rId11" name="Button 8">
              <controlPr defaultSize="0" print="0" autoFill="0" autoPict="0" macro="[3]!ClearBodyNo">
                <anchor>
                  <from>
                    <xdr:col>25</xdr:col>
                    <xdr:colOff>247650</xdr:colOff>
                    <xdr:row>14</xdr:row>
                    <xdr:rowOff>447675</xdr:rowOff>
                  </from>
                  <to>
                    <xdr:col>26</xdr:col>
                    <xdr:colOff>1219200</xdr:colOff>
                    <xdr:row>16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31"/>
  <sheetViews>
    <sheetView topLeftCell="I1" zoomScale="80" zoomScaleNormal="80" workbookViewId="0">
      <selection activeCell="AB7" sqref="AB7"/>
    </sheetView>
  </sheetViews>
  <sheetFormatPr defaultRowHeight="15"/>
  <sheetData>
    <row r="1" spans="1:43" s="205" customFormat="1" ht="18.75" customHeight="1">
      <c r="A1" s="528" t="s">
        <v>827</v>
      </c>
      <c r="B1" s="528"/>
      <c r="C1" s="202">
        <v>1</v>
      </c>
      <c r="D1" s="202">
        <v>2</v>
      </c>
      <c r="E1" s="202">
        <v>3</v>
      </c>
      <c r="F1" s="202">
        <v>4</v>
      </c>
      <c r="G1" s="202">
        <v>5</v>
      </c>
      <c r="H1" s="202">
        <v>6</v>
      </c>
      <c r="I1" s="202">
        <v>7</v>
      </c>
      <c r="J1" s="202">
        <v>8</v>
      </c>
      <c r="K1" s="202">
        <v>9</v>
      </c>
      <c r="L1" s="202">
        <v>10</v>
      </c>
      <c r="M1" s="202">
        <v>11</v>
      </c>
      <c r="N1" s="202">
        <v>12</v>
      </c>
      <c r="O1" s="202">
        <v>13</v>
      </c>
      <c r="P1" s="202">
        <v>14</v>
      </c>
      <c r="Q1" s="202">
        <v>15</v>
      </c>
      <c r="R1" s="202">
        <v>16</v>
      </c>
      <c r="S1" s="202">
        <v>17</v>
      </c>
      <c r="T1" s="202">
        <v>18</v>
      </c>
      <c r="U1" s="203">
        <v>19</v>
      </c>
      <c r="V1" s="203">
        <v>20</v>
      </c>
      <c r="W1" s="203">
        <v>21</v>
      </c>
      <c r="X1" s="203">
        <v>22</v>
      </c>
      <c r="Y1" s="202">
        <v>23</v>
      </c>
      <c r="Z1" s="203">
        <v>24</v>
      </c>
      <c r="AA1" s="203">
        <v>25</v>
      </c>
      <c r="AB1" s="203">
        <v>26</v>
      </c>
      <c r="AC1" s="203">
        <v>27</v>
      </c>
      <c r="AD1" s="203">
        <v>28</v>
      </c>
      <c r="AE1" s="203">
        <v>29</v>
      </c>
      <c r="AF1" s="202">
        <v>30</v>
      </c>
      <c r="AG1" s="203">
        <v>31</v>
      </c>
      <c r="AH1" s="204"/>
      <c r="AI1" s="204"/>
      <c r="AJ1" s="204"/>
      <c r="AK1" s="204"/>
      <c r="AQ1" s="206"/>
    </row>
    <row r="2" spans="1:43" s="205" customFormat="1" ht="18.75" customHeight="1" thickBot="1">
      <c r="A2" s="529"/>
      <c r="B2" s="529"/>
      <c r="C2" s="196" t="s">
        <v>828</v>
      </c>
      <c r="D2" s="196" t="s">
        <v>829</v>
      </c>
      <c r="E2" s="196" t="s">
        <v>830</v>
      </c>
      <c r="F2" s="196" t="s">
        <v>831</v>
      </c>
      <c r="G2" s="196" t="s">
        <v>832</v>
      </c>
      <c r="H2" s="196" t="s">
        <v>833</v>
      </c>
      <c r="I2" s="196" t="s">
        <v>834</v>
      </c>
      <c r="J2" s="196" t="s">
        <v>828</v>
      </c>
      <c r="K2" s="196" t="s">
        <v>829</v>
      </c>
      <c r="L2" s="196" t="s">
        <v>830</v>
      </c>
      <c r="M2" s="196" t="s">
        <v>831</v>
      </c>
      <c r="N2" s="196" t="s">
        <v>832</v>
      </c>
      <c r="O2" s="196" t="s">
        <v>833</v>
      </c>
      <c r="P2" s="196" t="s">
        <v>834</v>
      </c>
      <c r="Q2" s="196" t="s">
        <v>828</v>
      </c>
      <c r="R2" s="196" t="s">
        <v>829</v>
      </c>
      <c r="S2" s="196" t="s">
        <v>830</v>
      </c>
      <c r="T2" s="196" t="s">
        <v>831</v>
      </c>
      <c r="U2" s="197" t="s">
        <v>832</v>
      </c>
      <c r="V2" s="197" t="s">
        <v>833</v>
      </c>
      <c r="W2" s="197" t="s">
        <v>834</v>
      </c>
      <c r="X2" s="197" t="s">
        <v>828</v>
      </c>
      <c r="Y2" s="196" t="s">
        <v>829</v>
      </c>
      <c r="Z2" s="197" t="s">
        <v>830</v>
      </c>
      <c r="AA2" s="197" t="s">
        <v>831</v>
      </c>
      <c r="AB2" s="197" t="s">
        <v>832</v>
      </c>
      <c r="AC2" s="197" t="s">
        <v>833</v>
      </c>
      <c r="AD2" s="197" t="s">
        <v>834</v>
      </c>
      <c r="AE2" s="197" t="s">
        <v>828</v>
      </c>
      <c r="AF2" s="196" t="s">
        <v>829</v>
      </c>
      <c r="AG2" s="197" t="s">
        <v>830</v>
      </c>
      <c r="AH2" s="204"/>
      <c r="AI2" s="204"/>
      <c r="AJ2" s="204"/>
      <c r="AK2" s="204"/>
    </row>
    <row r="3" spans="1:43" s="205" customFormat="1" ht="21" customHeight="1" thickTop="1">
      <c r="A3" s="520" t="s">
        <v>835</v>
      </c>
      <c r="B3" s="521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8"/>
      <c r="S3" s="207"/>
      <c r="T3" s="207"/>
      <c r="U3" s="209"/>
      <c r="V3" s="209"/>
      <c r="W3" s="209"/>
      <c r="X3" s="209"/>
      <c r="Y3" s="207"/>
      <c r="Z3" s="209"/>
      <c r="AA3" s="210">
        <v>2</v>
      </c>
      <c r="AB3" s="210">
        <v>2</v>
      </c>
      <c r="AC3" s="210">
        <v>2</v>
      </c>
      <c r="AD3" s="211"/>
      <c r="AE3" s="212">
        <v>10</v>
      </c>
      <c r="AF3" s="208"/>
      <c r="AG3" s="211"/>
      <c r="AH3" s="204"/>
      <c r="AI3" s="204"/>
      <c r="AJ3" s="204"/>
      <c r="AK3" s="204" t="s">
        <v>858</v>
      </c>
    </row>
    <row r="4" spans="1:43" s="205" customFormat="1" ht="21" customHeight="1">
      <c r="A4" s="522" t="s">
        <v>859</v>
      </c>
      <c r="B4" s="523"/>
      <c r="C4" s="213"/>
      <c r="D4" s="213"/>
      <c r="E4" s="213">
        <v>148</v>
      </c>
      <c r="F4" s="213">
        <v>160</v>
      </c>
      <c r="G4" s="213">
        <v>160</v>
      </c>
      <c r="H4" s="213">
        <v>160</v>
      </c>
      <c r="I4" s="213">
        <v>160</v>
      </c>
      <c r="J4" s="213">
        <v>160</v>
      </c>
      <c r="K4" s="213"/>
      <c r="L4" s="213">
        <v>158</v>
      </c>
      <c r="M4" s="213">
        <v>160</v>
      </c>
      <c r="N4" s="213"/>
      <c r="O4" s="213"/>
      <c r="P4" s="213"/>
      <c r="Q4" s="213"/>
      <c r="R4" s="213"/>
      <c r="S4" s="213">
        <v>158</v>
      </c>
      <c r="T4" s="213">
        <v>160</v>
      </c>
      <c r="U4" s="214">
        <v>160</v>
      </c>
      <c r="V4" s="214">
        <v>160</v>
      </c>
      <c r="W4" s="214">
        <v>160</v>
      </c>
      <c r="X4" s="214">
        <v>160</v>
      </c>
      <c r="Y4" s="213"/>
      <c r="Z4" s="214">
        <v>258</v>
      </c>
      <c r="AA4" s="214">
        <v>360</v>
      </c>
      <c r="AB4" s="214">
        <v>360</v>
      </c>
      <c r="AC4" s="214">
        <v>360</v>
      </c>
      <c r="AD4" s="214">
        <v>288</v>
      </c>
      <c r="AE4" s="214">
        <v>360</v>
      </c>
      <c r="AF4" s="213"/>
      <c r="AG4" s="214">
        <v>300</v>
      </c>
      <c r="AH4" s="204"/>
      <c r="AI4" s="204" t="s">
        <v>860</v>
      </c>
      <c r="AJ4" s="215">
        <f>SUM(C4:AG4)</f>
        <v>4510</v>
      </c>
      <c r="AK4" s="204" t="e">
        <f>SUM(#REF!)+SUM(C7:AA7)</f>
        <v>#REF!</v>
      </c>
    </row>
    <row r="5" spans="1:43" s="205" customFormat="1" ht="21" customHeight="1">
      <c r="A5" s="524" t="s">
        <v>861</v>
      </c>
      <c r="B5" s="525"/>
      <c r="C5" s="216">
        <f t="shared" ref="C5:J5" si="0">B5+C4</f>
        <v>0</v>
      </c>
      <c r="D5" s="216">
        <f t="shared" si="0"/>
        <v>0</v>
      </c>
      <c r="E5" s="216">
        <f t="shared" si="0"/>
        <v>148</v>
      </c>
      <c r="F5" s="216">
        <f t="shared" si="0"/>
        <v>308</v>
      </c>
      <c r="G5" s="216">
        <f t="shared" si="0"/>
        <v>468</v>
      </c>
      <c r="H5" s="216">
        <f t="shared" si="0"/>
        <v>628</v>
      </c>
      <c r="I5" s="216">
        <f t="shared" si="0"/>
        <v>788</v>
      </c>
      <c r="J5" s="216">
        <f t="shared" si="0"/>
        <v>948</v>
      </c>
      <c r="K5" s="216">
        <f>J5+K4</f>
        <v>948</v>
      </c>
      <c r="L5" s="216">
        <f t="shared" ref="L5:V5" si="1">K5+L4</f>
        <v>1106</v>
      </c>
      <c r="M5" s="216">
        <f t="shared" si="1"/>
        <v>1266</v>
      </c>
      <c r="N5" s="216">
        <f t="shared" si="1"/>
        <v>1266</v>
      </c>
      <c r="O5" s="216">
        <f t="shared" si="1"/>
        <v>1266</v>
      </c>
      <c r="P5" s="216">
        <f t="shared" si="1"/>
        <v>1266</v>
      </c>
      <c r="Q5" s="216">
        <f t="shared" si="1"/>
        <v>1266</v>
      </c>
      <c r="R5" s="216">
        <f t="shared" si="1"/>
        <v>1266</v>
      </c>
      <c r="S5" s="216">
        <f t="shared" si="1"/>
        <v>1424</v>
      </c>
      <c r="T5" s="216">
        <f t="shared" si="1"/>
        <v>1584</v>
      </c>
      <c r="U5" s="217">
        <f t="shared" si="1"/>
        <v>1744</v>
      </c>
      <c r="V5" s="217">
        <f t="shared" si="1"/>
        <v>1904</v>
      </c>
      <c r="W5" s="214">
        <v>160</v>
      </c>
      <c r="X5" s="217">
        <f t="shared" ref="X5:AG5" si="2">W5+X4</f>
        <v>320</v>
      </c>
      <c r="Y5" s="216">
        <f t="shared" si="2"/>
        <v>320</v>
      </c>
      <c r="Z5" s="217">
        <f t="shared" si="2"/>
        <v>578</v>
      </c>
      <c r="AA5" s="217">
        <f t="shared" si="2"/>
        <v>938</v>
      </c>
      <c r="AB5" s="217">
        <f t="shared" si="2"/>
        <v>1298</v>
      </c>
      <c r="AC5" s="217">
        <f t="shared" si="2"/>
        <v>1658</v>
      </c>
      <c r="AD5" s="217">
        <f t="shared" si="2"/>
        <v>1946</v>
      </c>
      <c r="AE5" s="217">
        <f t="shared" si="2"/>
        <v>2306</v>
      </c>
      <c r="AF5" s="216">
        <f t="shared" si="2"/>
        <v>2306</v>
      </c>
      <c r="AG5" s="217">
        <f t="shared" si="2"/>
        <v>2606</v>
      </c>
      <c r="AH5" s="204"/>
      <c r="AI5" s="204"/>
      <c r="AJ5" s="204"/>
      <c r="AK5" s="204" t="e">
        <f>SUM(#REF!)+SUM(C8:AA8)</f>
        <v>#REF!</v>
      </c>
    </row>
    <row r="6" spans="1:43" s="205" customFormat="1" ht="21" customHeight="1">
      <c r="A6" s="526" t="s">
        <v>862</v>
      </c>
      <c r="B6" s="527"/>
      <c r="C6" s="218" t="str">
        <f t="shared" ref="C6:AG6" si="3">IF(C3=2,"200",IF(C3=2.5,"210",IF(C3=10,"210",IF(C3="","160"))))</f>
        <v>160</v>
      </c>
      <c r="D6" s="218" t="str">
        <f t="shared" si="3"/>
        <v>160</v>
      </c>
      <c r="E6" s="218" t="str">
        <f t="shared" si="3"/>
        <v>160</v>
      </c>
      <c r="F6" s="218" t="str">
        <f t="shared" si="3"/>
        <v>160</v>
      </c>
      <c r="G6" s="218" t="str">
        <f t="shared" si="3"/>
        <v>160</v>
      </c>
      <c r="H6" s="218" t="str">
        <f t="shared" si="3"/>
        <v>160</v>
      </c>
      <c r="I6" s="218" t="str">
        <f t="shared" si="3"/>
        <v>160</v>
      </c>
      <c r="J6" s="218" t="str">
        <f t="shared" si="3"/>
        <v>160</v>
      </c>
      <c r="K6" s="218" t="str">
        <f t="shared" si="3"/>
        <v>160</v>
      </c>
      <c r="L6" s="218" t="str">
        <f t="shared" si="3"/>
        <v>160</v>
      </c>
      <c r="M6" s="218" t="str">
        <f t="shared" si="3"/>
        <v>160</v>
      </c>
      <c r="N6" s="218" t="str">
        <f t="shared" si="3"/>
        <v>160</v>
      </c>
      <c r="O6" s="218" t="str">
        <f t="shared" si="3"/>
        <v>160</v>
      </c>
      <c r="P6" s="218" t="str">
        <f t="shared" si="3"/>
        <v>160</v>
      </c>
      <c r="Q6" s="218" t="str">
        <f t="shared" si="3"/>
        <v>160</v>
      </c>
      <c r="R6" s="218" t="str">
        <f t="shared" si="3"/>
        <v>160</v>
      </c>
      <c r="S6" s="218" t="str">
        <f t="shared" si="3"/>
        <v>160</v>
      </c>
      <c r="T6" s="218" t="str">
        <f t="shared" si="3"/>
        <v>160</v>
      </c>
      <c r="U6" s="219" t="str">
        <f t="shared" si="3"/>
        <v>160</v>
      </c>
      <c r="V6" s="219" t="str">
        <f t="shared" si="3"/>
        <v>160</v>
      </c>
      <c r="W6" s="219" t="str">
        <f t="shared" si="3"/>
        <v>160</v>
      </c>
      <c r="X6" s="219" t="str">
        <f t="shared" si="3"/>
        <v>160</v>
      </c>
      <c r="Y6" s="218" t="str">
        <f t="shared" si="3"/>
        <v>160</v>
      </c>
      <c r="Z6" s="214" t="str">
        <f t="shared" si="3"/>
        <v>160</v>
      </c>
      <c r="AA6" s="219" t="str">
        <f t="shared" si="3"/>
        <v>200</v>
      </c>
      <c r="AB6" s="219" t="str">
        <f t="shared" si="3"/>
        <v>200</v>
      </c>
      <c r="AC6" s="219" t="str">
        <f t="shared" si="3"/>
        <v>200</v>
      </c>
      <c r="AD6" s="219" t="str">
        <f t="shared" si="3"/>
        <v>160</v>
      </c>
      <c r="AE6" s="219" t="str">
        <f t="shared" si="3"/>
        <v>210</v>
      </c>
      <c r="AF6" s="218" t="str">
        <f t="shared" si="3"/>
        <v>160</v>
      </c>
      <c r="AG6" s="219" t="str">
        <f t="shared" si="3"/>
        <v>160</v>
      </c>
      <c r="AH6" s="204"/>
      <c r="AI6" s="204"/>
      <c r="AJ6" s="204"/>
      <c r="AK6" s="205" t="e">
        <f>AK4+AK5</f>
        <v>#REF!</v>
      </c>
    </row>
    <row r="7" spans="1:43" s="227" customFormat="1" ht="21" customHeight="1">
      <c r="A7" s="220" t="s">
        <v>863</v>
      </c>
      <c r="B7" s="221"/>
      <c r="C7" s="222"/>
      <c r="D7" s="222"/>
      <c r="E7" s="223">
        <v>160</v>
      </c>
      <c r="F7" s="223">
        <v>159</v>
      </c>
      <c r="G7" s="223">
        <v>157</v>
      </c>
      <c r="H7" s="223">
        <v>160</v>
      </c>
      <c r="I7" s="223">
        <v>160</v>
      </c>
      <c r="J7" s="223">
        <v>161</v>
      </c>
      <c r="K7" s="222"/>
      <c r="L7" s="223">
        <v>159</v>
      </c>
      <c r="M7" s="223">
        <v>160</v>
      </c>
      <c r="N7" s="222"/>
      <c r="O7" s="222"/>
      <c r="P7" s="222"/>
      <c r="Q7" s="222"/>
      <c r="R7" s="222"/>
      <c r="S7" s="223">
        <v>151</v>
      </c>
      <c r="T7" s="223">
        <v>157</v>
      </c>
      <c r="U7" s="224" t="str">
        <f t="shared" ref="U7:X7" si="4">U6</f>
        <v>160</v>
      </c>
      <c r="V7" s="224" t="str">
        <f t="shared" si="4"/>
        <v>160</v>
      </c>
      <c r="W7" s="224" t="str">
        <f t="shared" si="4"/>
        <v>160</v>
      </c>
      <c r="X7" s="224" t="str">
        <f t="shared" si="4"/>
        <v>160</v>
      </c>
      <c r="Y7" s="222"/>
      <c r="Z7" s="225">
        <v>129</v>
      </c>
      <c r="AA7" s="224">
        <f>(160*90%)/8*10</f>
        <v>180</v>
      </c>
      <c r="AB7" s="224">
        <f t="shared" ref="AB7:AE8" si="5">(160*90%)/8*10</f>
        <v>180</v>
      </c>
      <c r="AC7" s="224">
        <f t="shared" si="5"/>
        <v>180</v>
      </c>
      <c r="AD7" s="224">
        <v>144</v>
      </c>
      <c r="AE7" s="224">
        <f t="shared" si="5"/>
        <v>180</v>
      </c>
      <c r="AF7" s="222"/>
      <c r="AG7" s="226">
        <v>150</v>
      </c>
      <c r="AH7" s="204"/>
      <c r="AI7" s="204" t="s">
        <v>864</v>
      </c>
      <c r="AJ7" s="215">
        <f>SUM(C7:AG7)</f>
        <v>2727</v>
      </c>
      <c r="AK7" s="204"/>
    </row>
    <row r="8" spans="1:43" s="227" customFormat="1" ht="21" customHeight="1">
      <c r="A8" s="228" t="s">
        <v>865</v>
      </c>
      <c r="B8" s="229"/>
      <c r="C8" s="230"/>
      <c r="D8" s="230"/>
      <c r="E8" s="231"/>
      <c r="F8" s="231"/>
      <c r="G8" s="231"/>
      <c r="H8" s="231"/>
      <c r="I8" s="231"/>
      <c r="J8" s="231"/>
      <c r="K8" s="230"/>
      <c r="L8" s="231"/>
      <c r="M8" s="231"/>
      <c r="N8" s="230"/>
      <c r="O8" s="230"/>
      <c r="P8" s="230"/>
      <c r="Q8" s="230"/>
      <c r="R8" s="230"/>
      <c r="S8" s="231"/>
      <c r="T8" s="231"/>
      <c r="U8" s="232"/>
      <c r="V8" s="232"/>
      <c r="W8" s="232"/>
      <c r="X8" s="232"/>
      <c r="Y8" s="230"/>
      <c r="Z8" s="225">
        <v>129</v>
      </c>
      <c r="AA8" s="233">
        <f>(160*90%)/8*10</f>
        <v>180</v>
      </c>
      <c r="AB8" s="233">
        <f t="shared" si="5"/>
        <v>180</v>
      </c>
      <c r="AC8" s="233">
        <f t="shared" si="5"/>
        <v>180</v>
      </c>
      <c r="AD8" s="233">
        <v>144</v>
      </c>
      <c r="AE8" s="233">
        <f t="shared" si="5"/>
        <v>180</v>
      </c>
      <c r="AF8" s="230"/>
      <c r="AG8" s="234">
        <v>150</v>
      </c>
      <c r="AH8" s="204"/>
      <c r="AI8" s="204" t="s">
        <v>866</v>
      </c>
      <c r="AJ8" s="215">
        <f>SUM(C8:AG8)</f>
        <v>1143</v>
      </c>
      <c r="AK8" s="204"/>
    </row>
    <row r="9" spans="1:43" s="227" customFormat="1" ht="21" hidden="1" customHeight="1">
      <c r="A9" s="228" t="s">
        <v>867</v>
      </c>
      <c r="B9" s="229"/>
      <c r="C9" s="230"/>
      <c r="D9" s="230"/>
      <c r="E9" s="231"/>
      <c r="F9" s="231"/>
      <c r="G9" s="231"/>
      <c r="H9" s="231"/>
      <c r="I9" s="231"/>
      <c r="J9" s="231"/>
      <c r="K9" s="230"/>
      <c r="L9" s="231"/>
      <c r="M9" s="231"/>
      <c r="N9" s="230"/>
      <c r="O9" s="230"/>
      <c r="P9" s="230"/>
      <c r="Q9" s="230"/>
      <c r="R9" s="230"/>
      <c r="S9" s="231"/>
      <c r="T9" s="231"/>
      <c r="U9" s="233"/>
      <c r="V9" s="233"/>
      <c r="W9" s="233"/>
      <c r="X9" s="233"/>
      <c r="Y9" s="230"/>
      <c r="Z9" s="233"/>
      <c r="AA9" s="233"/>
      <c r="AB9" s="233"/>
      <c r="AC9" s="233"/>
      <c r="AD9" s="233"/>
      <c r="AE9" s="233"/>
      <c r="AF9" s="230"/>
      <c r="AG9" s="233"/>
      <c r="AH9" s="204"/>
      <c r="AI9" s="204" t="s">
        <v>868</v>
      </c>
      <c r="AJ9" s="215">
        <f>SUM(C9:AG9)</f>
        <v>0</v>
      </c>
      <c r="AK9" s="204"/>
    </row>
    <row r="10" spans="1:43" s="227" customFormat="1" ht="21" hidden="1" customHeight="1">
      <c r="A10" s="235" t="s">
        <v>869</v>
      </c>
      <c r="B10" s="236"/>
      <c r="C10" s="237"/>
      <c r="D10" s="237"/>
      <c r="E10" s="238"/>
      <c r="F10" s="238"/>
      <c r="G10" s="238"/>
      <c r="H10" s="238"/>
      <c r="I10" s="238"/>
      <c r="J10" s="238"/>
      <c r="K10" s="237"/>
      <c r="L10" s="238"/>
      <c r="M10" s="238"/>
      <c r="N10" s="237"/>
      <c r="O10" s="237"/>
      <c r="P10" s="237"/>
      <c r="Q10" s="237"/>
      <c r="R10" s="237"/>
      <c r="S10" s="238"/>
      <c r="T10" s="238"/>
      <c r="U10" s="239"/>
      <c r="V10" s="239"/>
      <c r="W10" s="239"/>
      <c r="X10" s="239"/>
      <c r="Y10" s="237"/>
      <c r="Z10" s="239"/>
      <c r="AA10" s="239"/>
      <c r="AB10" s="239"/>
      <c r="AC10" s="239"/>
      <c r="AD10" s="239"/>
      <c r="AE10" s="239"/>
      <c r="AF10" s="237"/>
      <c r="AG10" s="239"/>
      <c r="AH10" s="204"/>
      <c r="AI10" s="204" t="s">
        <v>870</v>
      </c>
      <c r="AJ10" s="215">
        <f>SUM(C10:AG10)</f>
        <v>0</v>
      </c>
      <c r="AK10" s="204"/>
    </row>
    <row r="11" spans="1:43" s="227" customFormat="1" ht="21" customHeight="1" thickBot="1">
      <c r="A11" s="510" t="s">
        <v>840</v>
      </c>
      <c r="B11" s="511"/>
      <c r="C11" s="240">
        <f t="shared" ref="C11:R11" si="6">C7+C8+C9+C10</f>
        <v>0</v>
      </c>
      <c r="D11" s="240">
        <f t="shared" si="6"/>
        <v>0</v>
      </c>
      <c r="E11" s="241">
        <f t="shared" si="6"/>
        <v>160</v>
      </c>
      <c r="F11" s="241">
        <f t="shared" si="6"/>
        <v>159</v>
      </c>
      <c r="G11" s="241">
        <f t="shared" si="6"/>
        <v>157</v>
      </c>
      <c r="H11" s="241">
        <f t="shared" si="6"/>
        <v>160</v>
      </c>
      <c r="I11" s="241">
        <f t="shared" si="6"/>
        <v>160</v>
      </c>
      <c r="J11" s="241">
        <f t="shared" si="6"/>
        <v>161</v>
      </c>
      <c r="K11" s="240">
        <f t="shared" si="6"/>
        <v>0</v>
      </c>
      <c r="L11" s="241">
        <f t="shared" si="6"/>
        <v>159</v>
      </c>
      <c r="M11" s="241">
        <f t="shared" si="6"/>
        <v>160</v>
      </c>
      <c r="N11" s="240">
        <f t="shared" si="6"/>
        <v>0</v>
      </c>
      <c r="O11" s="240">
        <f t="shared" si="6"/>
        <v>0</v>
      </c>
      <c r="P11" s="240">
        <f t="shared" si="6"/>
        <v>0</v>
      </c>
      <c r="Q11" s="240">
        <f t="shared" si="6"/>
        <v>0</v>
      </c>
      <c r="R11" s="240">
        <f t="shared" si="6"/>
        <v>0</v>
      </c>
      <c r="S11" s="241">
        <f>S7+S8+S9+S10</f>
        <v>151</v>
      </c>
      <c r="T11" s="241">
        <f t="shared" ref="T11:AG11" si="7">T7+T8+T9+T10</f>
        <v>157</v>
      </c>
      <c r="U11" s="242">
        <f t="shared" si="7"/>
        <v>160</v>
      </c>
      <c r="V11" s="242">
        <f t="shared" si="7"/>
        <v>160</v>
      </c>
      <c r="W11" s="242">
        <f t="shared" si="7"/>
        <v>160</v>
      </c>
      <c r="X11" s="242">
        <f t="shared" si="7"/>
        <v>160</v>
      </c>
      <c r="Y11" s="240">
        <f t="shared" si="7"/>
        <v>0</v>
      </c>
      <c r="Z11" s="242">
        <f t="shared" si="7"/>
        <v>258</v>
      </c>
      <c r="AA11" s="242">
        <f t="shared" si="7"/>
        <v>360</v>
      </c>
      <c r="AB11" s="242">
        <f t="shared" si="7"/>
        <v>360</v>
      </c>
      <c r="AC11" s="242">
        <f t="shared" si="7"/>
        <v>360</v>
      </c>
      <c r="AD11" s="242">
        <f>AD7+AD8</f>
        <v>288</v>
      </c>
      <c r="AE11" s="242">
        <f t="shared" ref="AE11" si="8">AE7+AE8+AE9+AE10</f>
        <v>360</v>
      </c>
      <c r="AF11" s="240">
        <f t="shared" si="7"/>
        <v>0</v>
      </c>
      <c r="AG11" s="242">
        <f t="shared" si="7"/>
        <v>300</v>
      </c>
      <c r="AH11" s="204"/>
      <c r="AI11" s="204" t="s">
        <v>871</v>
      </c>
      <c r="AJ11" s="215">
        <f>SUM(C11:AG11)</f>
        <v>4510</v>
      </c>
      <c r="AK11" s="204"/>
      <c r="AP11" s="227">
        <f>SUM(C11:AG11)</f>
        <v>4510</v>
      </c>
    </row>
    <row r="12" spans="1:43" s="205" customFormat="1" ht="21" hidden="1" customHeight="1">
      <c r="A12" s="512" t="s">
        <v>872</v>
      </c>
      <c r="B12" s="513"/>
      <c r="C12" s="243">
        <f t="shared" ref="C12:I12" si="9">B12+C11</f>
        <v>0</v>
      </c>
      <c r="D12" s="243">
        <f t="shared" si="9"/>
        <v>0</v>
      </c>
      <c r="E12" s="243">
        <f t="shared" si="9"/>
        <v>160</v>
      </c>
      <c r="F12" s="243">
        <f t="shared" si="9"/>
        <v>319</v>
      </c>
      <c r="G12" s="243">
        <f t="shared" si="9"/>
        <v>476</v>
      </c>
      <c r="H12" s="243">
        <f t="shared" si="9"/>
        <v>636</v>
      </c>
      <c r="I12" s="243">
        <f t="shared" si="9"/>
        <v>796</v>
      </c>
      <c r="J12" s="243">
        <f>I12+J11</f>
        <v>957</v>
      </c>
      <c r="K12" s="243">
        <f t="shared" ref="K12:AG12" si="10">J12+K11</f>
        <v>957</v>
      </c>
      <c r="L12" s="243">
        <f t="shared" si="10"/>
        <v>1116</v>
      </c>
      <c r="M12" s="243">
        <f t="shared" si="10"/>
        <v>1276</v>
      </c>
      <c r="N12" s="243">
        <f t="shared" si="10"/>
        <v>1276</v>
      </c>
      <c r="O12" s="243">
        <f t="shared" si="10"/>
        <v>1276</v>
      </c>
      <c r="P12" s="243">
        <f t="shared" si="10"/>
        <v>1276</v>
      </c>
      <c r="Q12" s="243">
        <f t="shared" si="10"/>
        <v>1276</v>
      </c>
      <c r="R12" s="243">
        <f t="shared" si="10"/>
        <v>1276</v>
      </c>
      <c r="S12" s="243">
        <f t="shared" si="10"/>
        <v>1427</v>
      </c>
      <c r="T12" s="243">
        <f t="shared" si="10"/>
        <v>1584</v>
      </c>
      <c r="U12" s="244">
        <f t="shared" si="10"/>
        <v>1744</v>
      </c>
      <c r="V12" s="244">
        <f t="shared" si="10"/>
        <v>1904</v>
      </c>
      <c r="W12" s="244">
        <f t="shared" si="10"/>
        <v>2064</v>
      </c>
      <c r="X12" s="244">
        <f t="shared" si="10"/>
        <v>2224</v>
      </c>
      <c r="Y12" s="243">
        <f t="shared" si="10"/>
        <v>2224</v>
      </c>
      <c r="Z12" s="244">
        <f t="shared" si="10"/>
        <v>2482</v>
      </c>
      <c r="AA12" s="244">
        <f t="shared" si="10"/>
        <v>2842</v>
      </c>
      <c r="AB12" s="244">
        <f t="shared" si="10"/>
        <v>3202</v>
      </c>
      <c r="AC12" s="244">
        <f t="shared" si="10"/>
        <v>3562</v>
      </c>
      <c r="AD12" s="244">
        <f t="shared" si="10"/>
        <v>3850</v>
      </c>
      <c r="AE12" s="244">
        <f t="shared" si="10"/>
        <v>4210</v>
      </c>
      <c r="AF12" s="243">
        <f t="shared" si="10"/>
        <v>4210</v>
      </c>
      <c r="AG12" s="244">
        <f t="shared" si="10"/>
        <v>4510</v>
      </c>
      <c r="AH12" s="245"/>
      <c r="AI12" s="204"/>
      <c r="AJ12" s="204"/>
      <c r="AK12" s="204"/>
    </row>
    <row r="13" spans="1:43" s="205" customFormat="1" ht="21" customHeight="1" thickBot="1">
      <c r="A13" s="514" t="s">
        <v>855</v>
      </c>
      <c r="B13" s="515"/>
      <c r="C13" s="246" t="e">
        <f>#REF!+C11-C4</f>
        <v>#REF!</v>
      </c>
      <c r="D13" s="246" t="e">
        <f t="shared" ref="D13:AG13" si="11">C13+D11-D4</f>
        <v>#REF!</v>
      </c>
      <c r="E13" s="246" t="e">
        <f t="shared" si="11"/>
        <v>#REF!</v>
      </c>
      <c r="F13" s="246" t="e">
        <f t="shared" si="11"/>
        <v>#REF!</v>
      </c>
      <c r="G13" s="246" t="e">
        <f t="shared" si="11"/>
        <v>#REF!</v>
      </c>
      <c r="H13" s="246" t="e">
        <f t="shared" si="11"/>
        <v>#REF!</v>
      </c>
      <c r="I13" s="246" t="e">
        <f t="shared" si="11"/>
        <v>#REF!</v>
      </c>
      <c r="J13" s="246" t="e">
        <f t="shared" si="11"/>
        <v>#REF!</v>
      </c>
      <c r="K13" s="246" t="e">
        <f t="shared" si="11"/>
        <v>#REF!</v>
      </c>
      <c r="L13" s="246" t="e">
        <f t="shared" si="11"/>
        <v>#REF!</v>
      </c>
      <c r="M13" s="246" t="e">
        <f t="shared" si="11"/>
        <v>#REF!</v>
      </c>
      <c r="N13" s="246" t="e">
        <f t="shared" si="11"/>
        <v>#REF!</v>
      </c>
      <c r="O13" s="246" t="e">
        <f t="shared" si="11"/>
        <v>#REF!</v>
      </c>
      <c r="P13" s="246" t="e">
        <f t="shared" si="11"/>
        <v>#REF!</v>
      </c>
      <c r="Q13" s="246" t="e">
        <f t="shared" si="11"/>
        <v>#REF!</v>
      </c>
      <c r="R13" s="246" t="e">
        <f t="shared" si="11"/>
        <v>#REF!</v>
      </c>
      <c r="S13" s="246" t="e">
        <f t="shared" si="11"/>
        <v>#REF!</v>
      </c>
      <c r="T13" s="246" t="e">
        <f t="shared" si="11"/>
        <v>#REF!</v>
      </c>
      <c r="U13" s="247" t="e">
        <f t="shared" si="11"/>
        <v>#REF!</v>
      </c>
      <c r="V13" s="247" t="e">
        <f t="shared" si="11"/>
        <v>#REF!</v>
      </c>
      <c r="W13" s="247" t="e">
        <f t="shared" si="11"/>
        <v>#REF!</v>
      </c>
      <c r="X13" s="247" t="e">
        <f t="shared" si="11"/>
        <v>#REF!</v>
      </c>
      <c r="Y13" s="246" t="e">
        <f t="shared" si="11"/>
        <v>#REF!</v>
      </c>
      <c r="Z13" s="247" t="e">
        <f t="shared" si="11"/>
        <v>#REF!</v>
      </c>
      <c r="AA13" s="247" t="e">
        <f t="shared" si="11"/>
        <v>#REF!</v>
      </c>
      <c r="AB13" s="247" t="e">
        <f t="shared" si="11"/>
        <v>#REF!</v>
      </c>
      <c r="AC13" s="247" t="e">
        <f t="shared" si="11"/>
        <v>#REF!</v>
      </c>
      <c r="AD13" s="247" t="e">
        <f t="shared" si="11"/>
        <v>#REF!</v>
      </c>
      <c r="AE13" s="247" t="e">
        <f t="shared" si="11"/>
        <v>#REF!</v>
      </c>
      <c r="AF13" s="246" t="e">
        <f t="shared" si="11"/>
        <v>#REF!</v>
      </c>
      <c r="AG13" s="246" t="e">
        <f t="shared" si="11"/>
        <v>#REF!</v>
      </c>
      <c r="AH13" s="245"/>
      <c r="AI13" s="204"/>
      <c r="AJ13" s="204"/>
      <c r="AK13" s="204"/>
    </row>
    <row r="14" spans="1:43" s="205" customFormat="1">
      <c r="A14" s="516" t="s">
        <v>857</v>
      </c>
      <c r="B14" s="517"/>
      <c r="C14" s="248" t="e">
        <f t="shared" ref="C14:R14" si="12">C13/C6*8</f>
        <v>#REF!</v>
      </c>
      <c r="D14" s="248" t="e">
        <f t="shared" si="12"/>
        <v>#REF!</v>
      </c>
      <c r="E14" s="248" t="e">
        <f t="shared" si="12"/>
        <v>#REF!</v>
      </c>
      <c r="F14" s="248" t="e">
        <f t="shared" si="12"/>
        <v>#REF!</v>
      </c>
      <c r="G14" s="248" t="e">
        <f t="shared" si="12"/>
        <v>#REF!</v>
      </c>
      <c r="H14" s="248" t="e">
        <f t="shared" si="12"/>
        <v>#REF!</v>
      </c>
      <c r="I14" s="248" t="e">
        <f t="shared" si="12"/>
        <v>#REF!</v>
      </c>
      <c r="J14" s="248" t="e">
        <f t="shared" si="12"/>
        <v>#REF!</v>
      </c>
      <c r="K14" s="248" t="e">
        <f t="shared" si="12"/>
        <v>#REF!</v>
      </c>
      <c r="L14" s="248" t="e">
        <f t="shared" si="12"/>
        <v>#REF!</v>
      </c>
      <c r="M14" s="248" t="e">
        <f t="shared" si="12"/>
        <v>#REF!</v>
      </c>
      <c r="N14" s="248" t="e">
        <f t="shared" si="12"/>
        <v>#REF!</v>
      </c>
      <c r="O14" s="248" t="e">
        <f t="shared" si="12"/>
        <v>#REF!</v>
      </c>
      <c r="P14" s="248" t="e">
        <f t="shared" si="12"/>
        <v>#REF!</v>
      </c>
      <c r="Q14" s="248" t="e">
        <f t="shared" si="12"/>
        <v>#REF!</v>
      </c>
      <c r="R14" s="248" t="e">
        <f t="shared" si="12"/>
        <v>#REF!</v>
      </c>
      <c r="S14" s="248" t="e">
        <f>S13/S6*8</f>
        <v>#REF!</v>
      </c>
      <c r="T14" s="248" t="e">
        <f t="shared" ref="T14:AG14" si="13">T13/T6*8</f>
        <v>#REF!</v>
      </c>
      <c r="U14" s="249" t="e">
        <f t="shared" si="13"/>
        <v>#REF!</v>
      </c>
      <c r="V14" s="249" t="e">
        <f t="shared" si="13"/>
        <v>#REF!</v>
      </c>
      <c r="W14" s="249" t="e">
        <f t="shared" si="13"/>
        <v>#REF!</v>
      </c>
      <c r="X14" s="249" t="e">
        <f t="shared" si="13"/>
        <v>#REF!</v>
      </c>
      <c r="Y14" s="248" t="e">
        <f t="shared" si="13"/>
        <v>#REF!</v>
      </c>
      <c r="Z14" s="249" t="e">
        <f t="shared" si="13"/>
        <v>#REF!</v>
      </c>
      <c r="AA14" s="249" t="e">
        <f t="shared" si="13"/>
        <v>#REF!</v>
      </c>
      <c r="AB14" s="249" t="e">
        <f t="shared" si="13"/>
        <v>#REF!</v>
      </c>
      <c r="AC14" s="249" t="e">
        <f t="shared" si="13"/>
        <v>#REF!</v>
      </c>
      <c r="AD14" s="249" t="e">
        <f t="shared" si="13"/>
        <v>#REF!</v>
      </c>
      <c r="AE14" s="249" t="e">
        <f t="shared" si="13"/>
        <v>#REF!</v>
      </c>
      <c r="AF14" s="248" t="e">
        <f t="shared" si="13"/>
        <v>#REF!</v>
      </c>
      <c r="AG14" s="249" t="e">
        <f t="shared" si="13"/>
        <v>#REF!</v>
      </c>
      <c r="AH14" s="245"/>
      <c r="AI14" s="204"/>
      <c r="AJ14" s="204"/>
      <c r="AK14" s="204"/>
    </row>
    <row r="18" spans="1:43" s="205" customFormat="1" ht="18.75" customHeight="1">
      <c r="A18" s="518" t="s">
        <v>873</v>
      </c>
      <c r="B18" s="518"/>
      <c r="C18" s="328">
        <v>1</v>
      </c>
      <c r="D18" s="328">
        <v>2</v>
      </c>
      <c r="E18" s="328">
        <v>3</v>
      </c>
      <c r="F18" s="328">
        <v>4</v>
      </c>
      <c r="G18" s="329">
        <v>5</v>
      </c>
      <c r="H18" s="329">
        <v>6</v>
      </c>
      <c r="I18" s="329">
        <v>7</v>
      </c>
      <c r="J18" s="328">
        <v>8</v>
      </c>
      <c r="K18" s="328">
        <v>9</v>
      </c>
      <c r="L18" s="328">
        <v>10</v>
      </c>
      <c r="M18" s="328">
        <v>11</v>
      </c>
      <c r="N18" s="328">
        <v>12</v>
      </c>
      <c r="O18" s="329">
        <v>13</v>
      </c>
      <c r="P18" s="328">
        <v>14</v>
      </c>
      <c r="Q18" s="328">
        <v>15</v>
      </c>
      <c r="R18" s="328">
        <v>16</v>
      </c>
      <c r="S18" s="328">
        <v>17</v>
      </c>
      <c r="T18" s="328">
        <v>18</v>
      </c>
      <c r="U18" s="328">
        <v>19</v>
      </c>
      <c r="V18" s="329">
        <v>20</v>
      </c>
      <c r="W18" s="328">
        <v>21</v>
      </c>
      <c r="X18" s="328">
        <v>22</v>
      </c>
      <c r="Y18" s="328">
        <v>23</v>
      </c>
      <c r="Z18" s="328">
        <v>24</v>
      </c>
      <c r="AA18" s="328">
        <v>25</v>
      </c>
      <c r="AB18" s="328">
        <v>26</v>
      </c>
      <c r="AC18" s="329">
        <v>27</v>
      </c>
      <c r="AD18" s="328">
        <v>28</v>
      </c>
      <c r="AE18" s="328">
        <v>29</v>
      </c>
      <c r="AF18" s="328">
        <v>30</v>
      </c>
      <c r="AG18" s="330">
        <v>31</v>
      </c>
      <c r="AH18" s="204"/>
      <c r="AI18" s="204"/>
      <c r="AJ18" s="204"/>
      <c r="AK18" s="204"/>
      <c r="AQ18" s="206"/>
    </row>
    <row r="19" spans="1:43" s="205" customFormat="1" ht="18.75" customHeight="1" thickBot="1">
      <c r="A19" s="519"/>
      <c r="B19" s="519"/>
      <c r="C19" s="197" t="s">
        <v>831</v>
      </c>
      <c r="D19" s="197" t="s">
        <v>832</v>
      </c>
      <c r="E19" s="197" t="s">
        <v>833</v>
      </c>
      <c r="F19" s="197" t="s">
        <v>834</v>
      </c>
      <c r="G19" s="196" t="s">
        <v>828</v>
      </c>
      <c r="H19" s="196" t="s">
        <v>829</v>
      </c>
      <c r="I19" s="196" t="s">
        <v>830</v>
      </c>
      <c r="J19" s="197" t="s">
        <v>831</v>
      </c>
      <c r="K19" s="197" t="s">
        <v>832</v>
      </c>
      <c r="L19" s="197" t="s">
        <v>833</v>
      </c>
      <c r="M19" s="197" t="s">
        <v>834</v>
      </c>
      <c r="N19" s="197" t="s">
        <v>828</v>
      </c>
      <c r="O19" s="196" t="s">
        <v>829</v>
      </c>
      <c r="P19" s="197" t="s">
        <v>830</v>
      </c>
      <c r="Q19" s="197" t="s">
        <v>831</v>
      </c>
      <c r="R19" s="197" t="s">
        <v>832</v>
      </c>
      <c r="S19" s="197" t="s">
        <v>833</v>
      </c>
      <c r="T19" s="197" t="s">
        <v>834</v>
      </c>
      <c r="U19" s="197" t="s">
        <v>828</v>
      </c>
      <c r="V19" s="196" t="s">
        <v>829</v>
      </c>
      <c r="W19" s="197" t="s">
        <v>830</v>
      </c>
      <c r="X19" s="197" t="s">
        <v>831</v>
      </c>
      <c r="Y19" s="197" t="s">
        <v>832</v>
      </c>
      <c r="Z19" s="197" t="s">
        <v>833</v>
      </c>
      <c r="AA19" s="197" t="s">
        <v>834</v>
      </c>
      <c r="AB19" s="197" t="s">
        <v>828</v>
      </c>
      <c r="AC19" s="196" t="s">
        <v>829</v>
      </c>
      <c r="AD19" s="197" t="s">
        <v>830</v>
      </c>
      <c r="AE19" s="197" t="s">
        <v>831</v>
      </c>
      <c r="AF19" s="197" t="s">
        <v>832</v>
      </c>
      <c r="AG19" s="331" t="s">
        <v>833</v>
      </c>
      <c r="AH19" s="204"/>
      <c r="AI19" s="204"/>
      <c r="AJ19" s="204"/>
      <c r="AK19" s="204"/>
    </row>
    <row r="20" spans="1:43" s="205" customFormat="1" ht="18.75" customHeight="1" thickTop="1">
      <c r="A20" s="520" t="s">
        <v>835</v>
      </c>
      <c r="B20" s="521"/>
      <c r="C20" s="209"/>
      <c r="D20" s="210">
        <v>2</v>
      </c>
      <c r="E20" s="210">
        <v>2</v>
      </c>
      <c r="F20" s="332">
        <v>10</v>
      </c>
      <c r="G20" s="207"/>
      <c r="H20" s="207"/>
      <c r="I20" s="207"/>
      <c r="J20" s="210">
        <v>2</v>
      </c>
      <c r="K20" s="210">
        <v>2.5</v>
      </c>
      <c r="L20" s="210">
        <v>2.5</v>
      </c>
      <c r="M20" s="209"/>
      <c r="N20" s="332">
        <v>10.5</v>
      </c>
      <c r="O20" s="207"/>
      <c r="P20" s="209"/>
      <c r="Q20" s="210">
        <v>2.5</v>
      </c>
      <c r="R20" s="210">
        <v>2.5</v>
      </c>
      <c r="S20" s="210">
        <v>2.5</v>
      </c>
      <c r="T20" s="210">
        <v>2.5</v>
      </c>
      <c r="U20" s="209"/>
      <c r="V20" s="207"/>
      <c r="W20" s="210">
        <v>2</v>
      </c>
      <c r="X20" s="210">
        <v>2</v>
      </c>
      <c r="Y20" s="210">
        <v>2.5</v>
      </c>
      <c r="Z20" s="210">
        <v>2.5</v>
      </c>
      <c r="AA20" s="209"/>
      <c r="AB20" s="210">
        <v>10</v>
      </c>
      <c r="AC20" s="207"/>
      <c r="AD20" s="210">
        <v>2</v>
      </c>
      <c r="AE20" s="210">
        <v>2</v>
      </c>
      <c r="AF20" s="209"/>
      <c r="AG20" s="333"/>
      <c r="AH20" s="204"/>
      <c r="AI20" s="204"/>
      <c r="AJ20" s="204"/>
      <c r="AK20" s="204" t="s">
        <v>858</v>
      </c>
    </row>
    <row r="21" spans="1:43" s="205" customFormat="1" ht="21" customHeight="1">
      <c r="A21" s="522" t="s">
        <v>859</v>
      </c>
      <c r="B21" s="523"/>
      <c r="C21" s="214">
        <v>296</v>
      </c>
      <c r="D21" s="214">
        <v>380</v>
      </c>
      <c r="E21" s="214">
        <v>380</v>
      </c>
      <c r="F21" s="214">
        <v>380</v>
      </c>
      <c r="G21" s="213">
        <v>304</v>
      </c>
      <c r="H21" s="213"/>
      <c r="I21" s="213">
        <v>396</v>
      </c>
      <c r="J21" s="214">
        <v>400</v>
      </c>
      <c r="K21" s="214">
        <v>400</v>
      </c>
      <c r="L21" s="214">
        <v>400</v>
      </c>
      <c r="M21" s="214">
        <v>317</v>
      </c>
      <c r="N21" s="214"/>
      <c r="O21" s="213"/>
      <c r="P21" s="214">
        <v>316</v>
      </c>
      <c r="Q21" s="214">
        <v>400</v>
      </c>
      <c r="R21" s="214">
        <v>400</v>
      </c>
      <c r="S21" s="214">
        <v>400</v>
      </c>
      <c r="T21" s="214">
        <v>400</v>
      </c>
      <c r="U21" s="214">
        <v>318</v>
      </c>
      <c r="V21" s="213"/>
      <c r="W21" s="214">
        <v>316</v>
      </c>
      <c r="X21" s="214">
        <v>400</v>
      </c>
      <c r="Y21" s="214">
        <v>400</v>
      </c>
      <c r="Z21" s="214">
        <v>400</v>
      </c>
      <c r="AA21" s="214">
        <v>320</v>
      </c>
      <c r="AB21" s="214">
        <v>400</v>
      </c>
      <c r="AC21" s="213"/>
      <c r="AD21" s="214">
        <v>316</v>
      </c>
      <c r="AE21" s="214">
        <v>400</v>
      </c>
      <c r="AF21" s="214">
        <v>320</v>
      </c>
      <c r="AG21" s="334"/>
      <c r="AH21" s="204"/>
      <c r="AI21" s="204" t="s">
        <v>860</v>
      </c>
      <c r="AJ21" s="215">
        <f>SUM(C21:AG21)</f>
        <v>9159</v>
      </c>
      <c r="AK21" s="204">
        <f>SUM(AB4:AG4)+SUM(C24:AA24)</f>
        <v>5510</v>
      </c>
    </row>
    <row r="22" spans="1:43" s="205" customFormat="1" ht="21" hidden="1" customHeight="1">
      <c r="A22" s="524" t="s">
        <v>861</v>
      </c>
      <c r="B22" s="525"/>
      <c r="C22" s="217">
        <f t="shared" ref="C22:J22" si="14">B22+C21</f>
        <v>296</v>
      </c>
      <c r="D22" s="217">
        <f t="shared" si="14"/>
        <v>676</v>
      </c>
      <c r="E22" s="217">
        <f t="shared" si="14"/>
        <v>1056</v>
      </c>
      <c r="F22" s="217">
        <f t="shared" si="14"/>
        <v>1436</v>
      </c>
      <c r="G22" s="216">
        <f t="shared" si="14"/>
        <v>1740</v>
      </c>
      <c r="H22" s="216">
        <f t="shared" si="14"/>
        <v>1740</v>
      </c>
      <c r="I22" s="216">
        <f t="shared" si="14"/>
        <v>2136</v>
      </c>
      <c r="J22" s="217">
        <f t="shared" si="14"/>
        <v>2536</v>
      </c>
      <c r="K22" s="217">
        <f>J22+K21</f>
        <v>2936</v>
      </c>
      <c r="L22" s="217">
        <f t="shared" ref="L22:V22" si="15">K22+L21</f>
        <v>3336</v>
      </c>
      <c r="M22" s="217">
        <f t="shared" si="15"/>
        <v>3653</v>
      </c>
      <c r="N22" s="217">
        <f t="shared" si="15"/>
        <v>3653</v>
      </c>
      <c r="O22" s="216">
        <f t="shared" si="15"/>
        <v>3653</v>
      </c>
      <c r="P22" s="217">
        <f t="shared" si="15"/>
        <v>3969</v>
      </c>
      <c r="Q22" s="217">
        <f t="shared" si="15"/>
        <v>4369</v>
      </c>
      <c r="R22" s="217">
        <f t="shared" si="15"/>
        <v>4769</v>
      </c>
      <c r="S22" s="217">
        <f t="shared" si="15"/>
        <v>5169</v>
      </c>
      <c r="T22" s="217">
        <f t="shared" si="15"/>
        <v>5569</v>
      </c>
      <c r="U22" s="217">
        <f t="shared" si="15"/>
        <v>5887</v>
      </c>
      <c r="V22" s="216">
        <f t="shared" si="15"/>
        <v>5887</v>
      </c>
      <c r="W22" s="214">
        <v>160</v>
      </c>
      <c r="X22" s="217">
        <f t="shared" ref="X22:AG22" si="16">W22+X21</f>
        <v>560</v>
      </c>
      <c r="Y22" s="217">
        <f t="shared" si="16"/>
        <v>960</v>
      </c>
      <c r="Z22" s="217">
        <f t="shared" si="16"/>
        <v>1360</v>
      </c>
      <c r="AA22" s="217">
        <f t="shared" si="16"/>
        <v>1680</v>
      </c>
      <c r="AB22" s="217">
        <f t="shared" si="16"/>
        <v>2080</v>
      </c>
      <c r="AC22" s="216">
        <f t="shared" si="16"/>
        <v>2080</v>
      </c>
      <c r="AD22" s="217">
        <f t="shared" si="16"/>
        <v>2396</v>
      </c>
      <c r="AE22" s="217">
        <f t="shared" si="16"/>
        <v>2796</v>
      </c>
      <c r="AF22" s="217">
        <f t="shared" si="16"/>
        <v>3116</v>
      </c>
      <c r="AG22" s="335">
        <f t="shared" si="16"/>
        <v>3116</v>
      </c>
      <c r="AH22" s="204"/>
      <c r="AI22" s="204"/>
      <c r="AJ22" s="204"/>
      <c r="AK22" s="204">
        <f>SUM(AB5:AG5)+SUM(C25:AA25)</f>
        <v>15962</v>
      </c>
    </row>
    <row r="23" spans="1:43" s="205" customFormat="1" ht="21" customHeight="1">
      <c r="A23" s="526" t="s">
        <v>862</v>
      </c>
      <c r="B23" s="527"/>
      <c r="C23" s="219" t="str">
        <f t="shared" ref="C23:AG23" si="17">IF(C20=2,"200",IF(C20=2.5,"210",IF(C20=10,"210",IF(C20="","160"))))</f>
        <v>160</v>
      </c>
      <c r="D23" s="219" t="str">
        <f t="shared" si="17"/>
        <v>200</v>
      </c>
      <c r="E23" s="219" t="str">
        <f t="shared" si="17"/>
        <v>200</v>
      </c>
      <c r="F23" s="219" t="str">
        <f t="shared" si="17"/>
        <v>210</v>
      </c>
      <c r="G23" s="218" t="str">
        <f t="shared" si="17"/>
        <v>160</v>
      </c>
      <c r="H23" s="218" t="str">
        <f t="shared" si="17"/>
        <v>160</v>
      </c>
      <c r="I23" s="218" t="str">
        <f t="shared" si="17"/>
        <v>160</v>
      </c>
      <c r="J23" s="219" t="str">
        <f t="shared" si="17"/>
        <v>200</v>
      </c>
      <c r="K23" s="219" t="str">
        <f t="shared" si="17"/>
        <v>210</v>
      </c>
      <c r="L23" s="219" t="str">
        <f t="shared" si="17"/>
        <v>210</v>
      </c>
      <c r="M23" s="219" t="str">
        <f t="shared" si="17"/>
        <v>160</v>
      </c>
      <c r="N23" s="219">
        <v>210</v>
      </c>
      <c r="O23" s="218" t="str">
        <f t="shared" si="17"/>
        <v>160</v>
      </c>
      <c r="P23" s="219" t="str">
        <f t="shared" si="17"/>
        <v>160</v>
      </c>
      <c r="Q23" s="219" t="str">
        <f t="shared" si="17"/>
        <v>210</v>
      </c>
      <c r="R23" s="219" t="str">
        <f t="shared" si="17"/>
        <v>210</v>
      </c>
      <c r="S23" s="219" t="str">
        <f t="shared" si="17"/>
        <v>210</v>
      </c>
      <c r="T23" s="219" t="str">
        <f t="shared" si="17"/>
        <v>210</v>
      </c>
      <c r="U23" s="219" t="str">
        <f t="shared" si="17"/>
        <v>160</v>
      </c>
      <c r="V23" s="218" t="str">
        <f t="shared" si="17"/>
        <v>160</v>
      </c>
      <c r="W23" s="219" t="str">
        <f t="shared" si="17"/>
        <v>200</v>
      </c>
      <c r="X23" s="219" t="str">
        <f t="shared" si="17"/>
        <v>200</v>
      </c>
      <c r="Y23" s="219" t="str">
        <f t="shared" si="17"/>
        <v>210</v>
      </c>
      <c r="Z23" s="219" t="str">
        <f t="shared" si="17"/>
        <v>210</v>
      </c>
      <c r="AA23" s="219" t="str">
        <f t="shared" si="17"/>
        <v>160</v>
      </c>
      <c r="AB23" s="219" t="str">
        <f t="shared" si="17"/>
        <v>210</v>
      </c>
      <c r="AC23" s="218" t="str">
        <f t="shared" si="17"/>
        <v>160</v>
      </c>
      <c r="AD23" s="219" t="str">
        <f t="shared" si="17"/>
        <v>200</v>
      </c>
      <c r="AE23" s="219" t="str">
        <f t="shared" si="17"/>
        <v>200</v>
      </c>
      <c r="AF23" s="219" t="str">
        <f t="shared" si="17"/>
        <v>160</v>
      </c>
      <c r="AG23" s="336" t="str">
        <f t="shared" si="17"/>
        <v>160</v>
      </c>
      <c r="AH23" s="204"/>
      <c r="AI23" s="204"/>
      <c r="AJ23" s="204"/>
      <c r="AK23" s="204">
        <f>SUM(AB6:AG6)+SUM(C26:AA26)</f>
        <v>0</v>
      </c>
    </row>
    <row r="24" spans="1:43" s="227" customFormat="1" ht="21" customHeight="1">
      <c r="A24" s="220" t="s">
        <v>863</v>
      </c>
      <c r="B24" s="221"/>
      <c r="C24" s="226">
        <v>148</v>
      </c>
      <c r="D24" s="224">
        <f>160*95%/8*10</f>
        <v>190</v>
      </c>
      <c r="E24" s="224">
        <v>190</v>
      </c>
      <c r="F24" s="224">
        <v>190</v>
      </c>
      <c r="G24" s="222"/>
      <c r="H24" s="222"/>
      <c r="I24" s="222"/>
      <c r="J24" s="224">
        <v>198</v>
      </c>
      <c r="K24" s="224">
        <v>210</v>
      </c>
      <c r="L24" s="224">
        <v>210</v>
      </c>
      <c r="M24" s="224">
        <v>160</v>
      </c>
      <c r="N24" s="224">
        <v>210</v>
      </c>
      <c r="O24" s="222"/>
      <c r="P24" s="224">
        <v>158</v>
      </c>
      <c r="Q24" s="224">
        <v>210</v>
      </c>
      <c r="R24" s="224">
        <v>210</v>
      </c>
      <c r="S24" s="224">
        <v>210</v>
      </c>
      <c r="T24" s="224">
        <v>210</v>
      </c>
      <c r="U24" s="224">
        <v>160</v>
      </c>
      <c r="V24" s="222"/>
      <c r="W24" s="224">
        <v>198</v>
      </c>
      <c r="X24" s="224">
        <v>200</v>
      </c>
      <c r="Y24" s="224">
        <v>210</v>
      </c>
      <c r="Z24" s="224">
        <v>210</v>
      </c>
      <c r="AA24" s="224">
        <v>160</v>
      </c>
      <c r="AB24" s="224">
        <v>200</v>
      </c>
      <c r="AC24" s="222"/>
      <c r="AD24" s="224">
        <v>198</v>
      </c>
      <c r="AE24" s="224">
        <v>200</v>
      </c>
      <c r="AF24" s="224">
        <v>160</v>
      </c>
      <c r="AG24" s="337"/>
      <c r="AH24" s="204"/>
      <c r="AI24" s="204" t="s">
        <v>864</v>
      </c>
      <c r="AJ24" s="215">
        <f>SUM(C24:AG24)</f>
        <v>4600</v>
      </c>
      <c r="AK24" s="204">
        <f>SUM(AB8:AG8)+SUM(C28:AA28)</f>
        <v>8518</v>
      </c>
    </row>
    <row r="25" spans="1:43" s="227" customFormat="1" ht="21" customHeight="1">
      <c r="A25" s="228" t="s">
        <v>865</v>
      </c>
      <c r="B25" s="229"/>
      <c r="C25" s="233">
        <v>148</v>
      </c>
      <c r="D25" s="233">
        <f>160*95%/8*10</f>
        <v>190</v>
      </c>
      <c r="E25" s="233">
        <v>190</v>
      </c>
      <c r="F25" s="233">
        <v>190</v>
      </c>
      <c r="G25" s="230"/>
      <c r="H25" s="230"/>
      <c r="I25" s="230"/>
      <c r="J25" s="233">
        <v>198</v>
      </c>
      <c r="K25" s="233">
        <v>210</v>
      </c>
      <c r="L25" s="233">
        <v>210</v>
      </c>
      <c r="M25" s="233">
        <v>160</v>
      </c>
      <c r="N25" s="233">
        <v>210</v>
      </c>
      <c r="O25" s="230"/>
      <c r="P25" s="233">
        <v>158</v>
      </c>
      <c r="Q25" s="233">
        <v>210</v>
      </c>
      <c r="R25" s="233">
        <v>210</v>
      </c>
      <c r="S25" s="233">
        <v>210</v>
      </c>
      <c r="T25" s="233">
        <v>210</v>
      </c>
      <c r="U25" s="233">
        <v>160</v>
      </c>
      <c r="V25" s="230"/>
      <c r="W25" s="233">
        <v>198</v>
      </c>
      <c r="X25" s="233">
        <v>200</v>
      </c>
      <c r="Y25" s="233">
        <v>210</v>
      </c>
      <c r="Z25" s="233">
        <v>210</v>
      </c>
      <c r="AA25" s="233">
        <v>160</v>
      </c>
      <c r="AB25" s="233">
        <v>200</v>
      </c>
      <c r="AC25" s="230"/>
      <c r="AD25" s="233">
        <v>198</v>
      </c>
      <c r="AE25" s="233">
        <v>200</v>
      </c>
      <c r="AF25" s="233">
        <v>160</v>
      </c>
      <c r="AG25" s="338"/>
      <c r="AH25" s="204"/>
      <c r="AI25" s="204" t="s">
        <v>866</v>
      </c>
      <c r="AJ25" s="215">
        <f>SUM(C25:AG25)</f>
        <v>4600</v>
      </c>
      <c r="AK25" s="204"/>
    </row>
    <row r="26" spans="1:43" s="227" customFormat="1" ht="21" hidden="1" customHeight="1">
      <c r="A26" s="228" t="s">
        <v>867</v>
      </c>
      <c r="B26" s="229"/>
      <c r="C26" s="233"/>
      <c r="D26" s="233"/>
      <c r="E26" s="233"/>
      <c r="F26" s="233"/>
      <c r="G26" s="230"/>
      <c r="H26" s="230"/>
      <c r="I26" s="230"/>
      <c r="J26" s="233"/>
      <c r="K26" s="233"/>
      <c r="L26" s="233"/>
      <c r="M26" s="233"/>
      <c r="N26" s="233"/>
      <c r="O26" s="230"/>
      <c r="P26" s="233"/>
      <c r="Q26" s="233"/>
      <c r="R26" s="233"/>
      <c r="S26" s="233"/>
      <c r="T26" s="233"/>
      <c r="U26" s="233"/>
      <c r="V26" s="230"/>
      <c r="W26" s="233"/>
      <c r="X26" s="233"/>
      <c r="Y26" s="233"/>
      <c r="Z26" s="233"/>
      <c r="AA26" s="233"/>
      <c r="AB26" s="233"/>
      <c r="AC26" s="230"/>
      <c r="AD26" s="233"/>
      <c r="AE26" s="233"/>
      <c r="AF26" s="233"/>
      <c r="AG26" s="338"/>
      <c r="AH26" s="204"/>
      <c r="AI26" s="204" t="s">
        <v>868</v>
      </c>
      <c r="AJ26" s="215">
        <f>SUM(C26:AG26)</f>
        <v>0</v>
      </c>
      <c r="AK26" s="204"/>
    </row>
    <row r="27" spans="1:43" s="227" customFormat="1" ht="21" hidden="1" customHeight="1">
      <c r="A27" s="235" t="s">
        <v>869</v>
      </c>
      <c r="B27" s="236"/>
      <c r="C27" s="239"/>
      <c r="D27" s="239"/>
      <c r="E27" s="239"/>
      <c r="F27" s="239"/>
      <c r="G27" s="237"/>
      <c r="H27" s="237"/>
      <c r="I27" s="237"/>
      <c r="J27" s="239"/>
      <c r="K27" s="239"/>
      <c r="L27" s="239"/>
      <c r="M27" s="239"/>
      <c r="N27" s="239"/>
      <c r="O27" s="237"/>
      <c r="P27" s="239"/>
      <c r="Q27" s="239"/>
      <c r="R27" s="239"/>
      <c r="S27" s="239"/>
      <c r="T27" s="239"/>
      <c r="U27" s="239"/>
      <c r="V27" s="237"/>
      <c r="W27" s="239"/>
      <c r="X27" s="239"/>
      <c r="Y27" s="239"/>
      <c r="Z27" s="239"/>
      <c r="AA27" s="239"/>
      <c r="AB27" s="239"/>
      <c r="AC27" s="237"/>
      <c r="AD27" s="239"/>
      <c r="AE27" s="239"/>
      <c r="AF27" s="239"/>
      <c r="AG27" s="339"/>
      <c r="AH27" s="204"/>
      <c r="AI27" s="204" t="s">
        <v>870</v>
      </c>
      <c r="AJ27" s="215">
        <f>SUM(C27:AG27)</f>
        <v>0</v>
      </c>
      <c r="AK27" s="204"/>
    </row>
    <row r="28" spans="1:43" s="227" customFormat="1" ht="21" customHeight="1" thickBot="1">
      <c r="A28" s="510" t="s">
        <v>840</v>
      </c>
      <c r="B28" s="511"/>
      <c r="C28" s="242">
        <f t="shared" ref="C28:R28" si="18">C24+C25+C26+C27</f>
        <v>296</v>
      </c>
      <c r="D28" s="242">
        <f t="shared" si="18"/>
        <v>380</v>
      </c>
      <c r="E28" s="242">
        <f t="shared" si="18"/>
        <v>380</v>
      </c>
      <c r="F28" s="242">
        <f t="shared" si="18"/>
        <v>380</v>
      </c>
      <c r="G28" s="240">
        <f t="shared" si="18"/>
        <v>0</v>
      </c>
      <c r="H28" s="240">
        <f t="shared" si="18"/>
        <v>0</v>
      </c>
      <c r="I28" s="240">
        <f t="shared" si="18"/>
        <v>0</v>
      </c>
      <c r="J28" s="242">
        <f t="shared" si="18"/>
        <v>396</v>
      </c>
      <c r="K28" s="242">
        <f t="shared" si="18"/>
        <v>420</v>
      </c>
      <c r="L28" s="242">
        <f t="shared" si="18"/>
        <v>420</v>
      </c>
      <c r="M28" s="242">
        <f t="shared" si="18"/>
        <v>320</v>
      </c>
      <c r="N28" s="242">
        <f t="shared" si="18"/>
        <v>420</v>
      </c>
      <c r="O28" s="240">
        <f t="shared" si="18"/>
        <v>0</v>
      </c>
      <c r="P28" s="242">
        <f t="shared" si="18"/>
        <v>316</v>
      </c>
      <c r="Q28" s="242">
        <f t="shared" si="18"/>
        <v>420</v>
      </c>
      <c r="R28" s="242">
        <f t="shared" si="18"/>
        <v>420</v>
      </c>
      <c r="S28" s="242">
        <f>S24+S25+S26+S27</f>
        <v>420</v>
      </c>
      <c r="T28" s="242">
        <f t="shared" ref="T28:AG28" si="19">T24+T25+T26+T27</f>
        <v>420</v>
      </c>
      <c r="U28" s="242">
        <f t="shared" si="19"/>
        <v>320</v>
      </c>
      <c r="V28" s="240">
        <f t="shared" si="19"/>
        <v>0</v>
      </c>
      <c r="W28" s="242">
        <f t="shared" si="19"/>
        <v>396</v>
      </c>
      <c r="X28" s="242">
        <f t="shared" si="19"/>
        <v>400</v>
      </c>
      <c r="Y28" s="242">
        <f t="shared" si="19"/>
        <v>420</v>
      </c>
      <c r="Z28" s="242">
        <f t="shared" si="19"/>
        <v>420</v>
      </c>
      <c r="AA28" s="242">
        <f t="shared" si="19"/>
        <v>320</v>
      </c>
      <c r="AB28" s="242">
        <f t="shared" si="19"/>
        <v>400</v>
      </c>
      <c r="AC28" s="240">
        <f t="shared" si="19"/>
        <v>0</v>
      </c>
      <c r="AD28" s="242">
        <f t="shared" si="19"/>
        <v>396</v>
      </c>
      <c r="AE28" s="242">
        <f t="shared" si="19"/>
        <v>400</v>
      </c>
      <c r="AF28" s="242">
        <f t="shared" si="19"/>
        <v>320</v>
      </c>
      <c r="AG28" s="340">
        <f t="shared" si="19"/>
        <v>0</v>
      </c>
      <c r="AH28" s="204"/>
      <c r="AI28" s="204" t="s">
        <v>871</v>
      </c>
      <c r="AJ28" s="215">
        <f>SUM(C28:AG28)</f>
        <v>9200</v>
      </c>
      <c r="AK28" s="204"/>
      <c r="AP28" s="227">
        <f>SUM(C28:AG28)</f>
        <v>9200</v>
      </c>
    </row>
    <row r="29" spans="1:43" s="205" customFormat="1" ht="21" hidden="1" customHeight="1">
      <c r="A29" s="512" t="s">
        <v>872</v>
      </c>
      <c r="B29" s="513"/>
      <c r="C29" s="244">
        <f t="shared" ref="C29:I29" si="20">B29+C28</f>
        <v>296</v>
      </c>
      <c r="D29" s="244">
        <f t="shared" si="20"/>
        <v>676</v>
      </c>
      <c r="E29" s="244">
        <f t="shared" si="20"/>
        <v>1056</v>
      </c>
      <c r="F29" s="244">
        <f t="shared" si="20"/>
        <v>1436</v>
      </c>
      <c r="G29" s="243">
        <f t="shared" si="20"/>
        <v>1436</v>
      </c>
      <c r="H29" s="243">
        <f t="shared" si="20"/>
        <v>1436</v>
      </c>
      <c r="I29" s="243">
        <f t="shared" si="20"/>
        <v>1436</v>
      </c>
      <c r="J29" s="244">
        <f>I29+J28</f>
        <v>1832</v>
      </c>
      <c r="K29" s="244">
        <f t="shared" ref="K29:AG29" si="21">J29+K28</f>
        <v>2252</v>
      </c>
      <c r="L29" s="244">
        <f t="shared" si="21"/>
        <v>2672</v>
      </c>
      <c r="M29" s="244">
        <f t="shared" si="21"/>
        <v>2992</v>
      </c>
      <c r="N29" s="244">
        <f t="shared" si="21"/>
        <v>3412</v>
      </c>
      <c r="O29" s="243">
        <f t="shared" si="21"/>
        <v>3412</v>
      </c>
      <c r="P29" s="244">
        <f t="shared" si="21"/>
        <v>3728</v>
      </c>
      <c r="Q29" s="244">
        <f t="shared" si="21"/>
        <v>4148</v>
      </c>
      <c r="R29" s="244">
        <f t="shared" si="21"/>
        <v>4568</v>
      </c>
      <c r="S29" s="244">
        <f t="shared" si="21"/>
        <v>4988</v>
      </c>
      <c r="T29" s="244">
        <f t="shared" si="21"/>
        <v>5408</v>
      </c>
      <c r="U29" s="244">
        <f t="shared" si="21"/>
        <v>5728</v>
      </c>
      <c r="V29" s="243">
        <f t="shared" si="21"/>
        <v>5728</v>
      </c>
      <c r="W29" s="244">
        <f t="shared" si="21"/>
        <v>6124</v>
      </c>
      <c r="X29" s="244">
        <f t="shared" si="21"/>
        <v>6524</v>
      </c>
      <c r="Y29" s="244">
        <f t="shared" si="21"/>
        <v>6944</v>
      </c>
      <c r="Z29" s="244">
        <f t="shared" si="21"/>
        <v>7364</v>
      </c>
      <c r="AA29" s="244">
        <f t="shared" si="21"/>
        <v>7684</v>
      </c>
      <c r="AB29" s="244">
        <f t="shared" si="21"/>
        <v>8084</v>
      </c>
      <c r="AC29" s="243">
        <f t="shared" si="21"/>
        <v>8084</v>
      </c>
      <c r="AD29" s="244">
        <f t="shared" si="21"/>
        <v>8480</v>
      </c>
      <c r="AE29" s="244">
        <f t="shared" si="21"/>
        <v>8880</v>
      </c>
      <c r="AF29" s="244">
        <f t="shared" si="21"/>
        <v>9200</v>
      </c>
      <c r="AG29" s="341">
        <f t="shared" si="21"/>
        <v>9200</v>
      </c>
      <c r="AH29" s="245"/>
      <c r="AI29" s="204"/>
      <c r="AJ29" s="204"/>
      <c r="AK29" s="204"/>
    </row>
    <row r="30" spans="1:43" s="205" customFormat="1" ht="21" customHeight="1" thickBot="1">
      <c r="A30" s="514" t="s">
        <v>855</v>
      </c>
      <c r="B30" s="515"/>
      <c r="C30" s="247">
        <f>AG15+C28-C21</f>
        <v>0</v>
      </c>
      <c r="D30" s="247">
        <f t="shared" ref="D30:AA30" si="22">C30+D28-D21</f>
        <v>0</v>
      </c>
      <c r="E30" s="247">
        <f t="shared" si="22"/>
        <v>0</v>
      </c>
      <c r="F30" s="247">
        <f t="shared" si="22"/>
        <v>0</v>
      </c>
      <c r="G30" s="246">
        <f t="shared" si="22"/>
        <v>-304</v>
      </c>
      <c r="H30" s="246">
        <f t="shared" si="22"/>
        <v>-304</v>
      </c>
      <c r="I30" s="246">
        <f t="shared" si="22"/>
        <v>-700</v>
      </c>
      <c r="J30" s="247">
        <f t="shared" si="22"/>
        <v>-704</v>
      </c>
      <c r="K30" s="247">
        <f t="shared" si="22"/>
        <v>-684</v>
      </c>
      <c r="L30" s="247">
        <f t="shared" si="22"/>
        <v>-664</v>
      </c>
      <c r="M30" s="247">
        <f t="shared" si="22"/>
        <v>-661</v>
      </c>
      <c r="N30" s="247">
        <f t="shared" si="22"/>
        <v>-241</v>
      </c>
      <c r="O30" s="246">
        <f t="shared" si="22"/>
        <v>-241</v>
      </c>
      <c r="P30" s="247">
        <f t="shared" si="22"/>
        <v>-241</v>
      </c>
      <c r="Q30" s="247">
        <f t="shared" si="22"/>
        <v>-221</v>
      </c>
      <c r="R30" s="247">
        <f t="shared" si="22"/>
        <v>-201</v>
      </c>
      <c r="S30" s="247">
        <f t="shared" si="22"/>
        <v>-181</v>
      </c>
      <c r="T30" s="247">
        <f t="shared" si="22"/>
        <v>-161</v>
      </c>
      <c r="U30" s="247">
        <f t="shared" si="22"/>
        <v>-159</v>
      </c>
      <c r="V30" s="246">
        <f t="shared" si="22"/>
        <v>-159</v>
      </c>
      <c r="W30" s="247">
        <f t="shared" si="22"/>
        <v>-79</v>
      </c>
      <c r="X30" s="247">
        <f t="shared" si="22"/>
        <v>-79</v>
      </c>
      <c r="Y30" s="247">
        <f t="shared" si="22"/>
        <v>-59</v>
      </c>
      <c r="Z30" s="247">
        <f t="shared" si="22"/>
        <v>-39</v>
      </c>
      <c r="AA30" s="247">
        <f t="shared" si="22"/>
        <v>-39</v>
      </c>
      <c r="AB30" s="247">
        <f>AA30+AB28-AB21</f>
        <v>-39</v>
      </c>
      <c r="AC30" s="246">
        <f t="shared" ref="AC30:AG30" si="23">AB30+AC28-AC21</f>
        <v>-39</v>
      </c>
      <c r="AD30" s="247">
        <f t="shared" si="23"/>
        <v>41</v>
      </c>
      <c r="AE30" s="247">
        <f t="shared" si="23"/>
        <v>41</v>
      </c>
      <c r="AF30" s="247">
        <f t="shared" si="23"/>
        <v>41</v>
      </c>
      <c r="AG30" s="342">
        <f t="shared" si="23"/>
        <v>41</v>
      </c>
      <c r="AH30" s="245"/>
      <c r="AI30" s="204"/>
      <c r="AJ30" s="204"/>
      <c r="AK30" s="204"/>
    </row>
    <row r="31" spans="1:43" s="205" customFormat="1">
      <c r="A31" s="516" t="s">
        <v>857</v>
      </c>
      <c r="B31" s="517"/>
      <c r="C31" s="249">
        <f t="shared" ref="C31:R31" si="24">C30/C23*8</f>
        <v>0</v>
      </c>
      <c r="D31" s="249">
        <f t="shared" si="24"/>
        <v>0</v>
      </c>
      <c r="E31" s="249">
        <f t="shared" si="24"/>
        <v>0</v>
      </c>
      <c r="F31" s="249">
        <f t="shared" si="24"/>
        <v>0</v>
      </c>
      <c r="G31" s="248">
        <f t="shared" si="24"/>
        <v>-15.2</v>
      </c>
      <c r="H31" s="248">
        <f t="shared" si="24"/>
        <v>-15.2</v>
      </c>
      <c r="I31" s="248">
        <f t="shared" si="24"/>
        <v>-35</v>
      </c>
      <c r="J31" s="249">
        <f t="shared" si="24"/>
        <v>-28.16</v>
      </c>
      <c r="K31" s="249">
        <f t="shared" si="24"/>
        <v>-26.057142857142857</v>
      </c>
      <c r="L31" s="249">
        <f t="shared" si="24"/>
        <v>-25.295238095238094</v>
      </c>
      <c r="M31" s="249">
        <f t="shared" si="24"/>
        <v>-33.049999999999997</v>
      </c>
      <c r="N31" s="249">
        <f t="shared" si="24"/>
        <v>-9.1809523809523803</v>
      </c>
      <c r="O31" s="248">
        <f t="shared" si="24"/>
        <v>-12.05</v>
      </c>
      <c r="P31" s="249">
        <f t="shared" si="24"/>
        <v>-12.05</v>
      </c>
      <c r="Q31" s="249">
        <f t="shared" si="24"/>
        <v>-8.4190476190476193</v>
      </c>
      <c r="R31" s="249">
        <f t="shared" si="24"/>
        <v>-7.6571428571428575</v>
      </c>
      <c r="S31" s="249">
        <f>S30/S23*8</f>
        <v>-6.8952380952380956</v>
      </c>
      <c r="T31" s="249">
        <f t="shared" ref="T31:AG31" si="25">T30/T23*8</f>
        <v>-6.1333333333333337</v>
      </c>
      <c r="U31" s="249">
        <f t="shared" si="25"/>
        <v>-7.95</v>
      </c>
      <c r="V31" s="248">
        <f t="shared" si="25"/>
        <v>-7.95</v>
      </c>
      <c r="W31" s="249">
        <f t="shared" si="25"/>
        <v>-3.16</v>
      </c>
      <c r="X31" s="249">
        <f t="shared" si="25"/>
        <v>-3.16</v>
      </c>
      <c r="Y31" s="249">
        <f t="shared" si="25"/>
        <v>-2.2476190476190476</v>
      </c>
      <c r="Z31" s="249">
        <f t="shared" si="25"/>
        <v>-1.4857142857142858</v>
      </c>
      <c r="AA31" s="249">
        <f t="shared" si="25"/>
        <v>-1.95</v>
      </c>
      <c r="AB31" s="249">
        <f t="shared" si="25"/>
        <v>-1.4857142857142858</v>
      </c>
      <c r="AC31" s="248">
        <f t="shared" si="25"/>
        <v>-1.95</v>
      </c>
      <c r="AD31" s="249">
        <f t="shared" si="25"/>
        <v>1.64</v>
      </c>
      <c r="AE31" s="249">
        <f t="shared" si="25"/>
        <v>1.64</v>
      </c>
      <c r="AF31" s="249">
        <f t="shared" si="25"/>
        <v>2.0499999999999998</v>
      </c>
      <c r="AG31" s="343">
        <f t="shared" si="25"/>
        <v>2.0499999999999998</v>
      </c>
      <c r="AH31" s="245"/>
      <c r="AI31" s="204"/>
      <c r="AJ31" s="204"/>
      <c r="AK31" s="204"/>
    </row>
  </sheetData>
  <mergeCells count="18">
    <mergeCell ref="A12:B12"/>
    <mergeCell ref="A13:B13"/>
    <mergeCell ref="A14:B14"/>
    <mergeCell ref="A1:B2"/>
    <mergeCell ref="A3:B3"/>
    <mergeCell ref="A4:B4"/>
    <mergeCell ref="A5:B5"/>
    <mergeCell ref="A6:B6"/>
    <mergeCell ref="A11:B11"/>
    <mergeCell ref="A28:B28"/>
    <mergeCell ref="A29:B29"/>
    <mergeCell ref="A30:B30"/>
    <mergeCell ref="A31:B31"/>
    <mergeCell ref="A18:B19"/>
    <mergeCell ref="A20:B20"/>
    <mergeCell ref="A21:B21"/>
    <mergeCell ref="A22:B22"/>
    <mergeCell ref="A23:B23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3"/>
  <sheetViews>
    <sheetView zoomScale="70" zoomScaleNormal="70" workbookViewId="0">
      <selection activeCell="B42" sqref="B42:D43"/>
    </sheetView>
  </sheetViews>
  <sheetFormatPr defaultRowHeight="15" outlineLevelRow="1"/>
  <sheetData>
    <row r="1" spans="1:33" s="252" customFormat="1" ht="15.75">
      <c r="A1" s="533" t="s">
        <v>827</v>
      </c>
      <c r="B1" s="534"/>
      <c r="C1" s="250">
        <v>1</v>
      </c>
      <c r="D1" s="250">
        <v>2</v>
      </c>
      <c r="E1" s="250">
        <v>3</v>
      </c>
      <c r="F1" s="250">
        <v>4</v>
      </c>
      <c r="G1" s="250">
        <v>5</v>
      </c>
      <c r="H1" s="250">
        <v>6</v>
      </c>
      <c r="I1" s="250">
        <v>7</v>
      </c>
      <c r="J1" s="250">
        <v>8</v>
      </c>
      <c r="K1" s="250">
        <v>9</v>
      </c>
      <c r="L1" s="250">
        <v>10</v>
      </c>
      <c r="M1" s="250">
        <v>11</v>
      </c>
      <c r="N1" s="250">
        <v>12</v>
      </c>
      <c r="O1" s="250">
        <v>13</v>
      </c>
      <c r="P1" s="250">
        <v>14</v>
      </c>
      <c r="Q1" s="250">
        <v>15</v>
      </c>
      <c r="R1" s="250">
        <v>16</v>
      </c>
      <c r="S1" s="250">
        <v>17</v>
      </c>
      <c r="T1" s="250">
        <v>18</v>
      </c>
      <c r="U1" s="251">
        <v>19</v>
      </c>
      <c r="V1" s="251">
        <v>20</v>
      </c>
      <c r="W1" s="251">
        <v>21</v>
      </c>
      <c r="X1" s="251">
        <v>22</v>
      </c>
      <c r="Y1" s="250">
        <v>23</v>
      </c>
      <c r="Z1" s="251">
        <v>24</v>
      </c>
      <c r="AA1" s="251">
        <v>25</v>
      </c>
      <c r="AB1" s="251">
        <v>26</v>
      </c>
      <c r="AC1" s="251">
        <v>27</v>
      </c>
      <c r="AD1" s="251">
        <v>28</v>
      </c>
      <c r="AE1" s="251">
        <v>29</v>
      </c>
      <c r="AF1" s="250">
        <v>30</v>
      </c>
      <c r="AG1" s="251">
        <v>31</v>
      </c>
    </row>
    <row r="2" spans="1:33" s="252" customFormat="1" ht="16.5" thickBot="1">
      <c r="A2" s="535"/>
      <c r="B2" s="536"/>
      <c r="C2" s="253" t="s">
        <v>828</v>
      </c>
      <c r="D2" s="253" t="s">
        <v>829</v>
      </c>
      <c r="E2" s="253" t="s">
        <v>830</v>
      </c>
      <c r="F2" s="253" t="s">
        <v>831</v>
      </c>
      <c r="G2" s="253" t="s">
        <v>832</v>
      </c>
      <c r="H2" s="253" t="s">
        <v>833</v>
      </c>
      <c r="I2" s="253" t="s">
        <v>834</v>
      </c>
      <c r="J2" s="253" t="s">
        <v>828</v>
      </c>
      <c r="K2" s="253" t="s">
        <v>829</v>
      </c>
      <c r="L2" s="253" t="s">
        <v>830</v>
      </c>
      <c r="M2" s="253" t="s">
        <v>831</v>
      </c>
      <c r="N2" s="253" t="s">
        <v>832</v>
      </c>
      <c r="O2" s="253" t="s">
        <v>833</v>
      </c>
      <c r="P2" s="253" t="s">
        <v>834</v>
      </c>
      <c r="Q2" s="253" t="s">
        <v>828</v>
      </c>
      <c r="R2" s="253" t="s">
        <v>829</v>
      </c>
      <c r="S2" s="253" t="s">
        <v>830</v>
      </c>
      <c r="T2" s="253" t="s">
        <v>831</v>
      </c>
      <c r="U2" s="254" t="s">
        <v>832</v>
      </c>
      <c r="V2" s="254" t="s">
        <v>833</v>
      </c>
      <c r="W2" s="254" t="s">
        <v>834</v>
      </c>
      <c r="X2" s="254" t="s">
        <v>828</v>
      </c>
      <c r="Y2" s="253" t="s">
        <v>829</v>
      </c>
      <c r="Z2" s="254" t="s">
        <v>830</v>
      </c>
      <c r="AA2" s="254" t="s">
        <v>831</v>
      </c>
      <c r="AB2" s="254" t="s">
        <v>832</v>
      </c>
      <c r="AC2" s="254" t="s">
        <v>833</v>
      </c>
      <c r="AD2" s="254" t="s">
        <v>834</v>
      </c>
      <c r="AE2" s="254" t="s">
        <v>828</v>
      </c>
      <c r="AF2" s="253" t="s">
        <v>829</v>
      </c>
      <c r="AG2" s="254" t="s">
        <v>830</v>
      </c>
    </row>
    <row r="3" spans="1:33" s="252" customFormat="1" ht="16.5" thickTop="1">
      <c r="A3" s="255" t="s">
        <v>835</v>
      </c>
      <c r="B3" s="256"/>
      <c r="C3" s="208"/>
      <c r="D3" s="208"/>
      <c r="E3" s="208"/>
      <c r="F3" s="208">
        <v>2</v>
      </c>
      <c r="G3" s="208">
        <v>2</v>
      </c>
      <c r="H3" s="208">
        <v>2</v>
      </c>
      <c r="I3" s="208">
        <v>2</v>
      </c>
      <c r="J3" s="208"/>
      <c r="K3" s="208"/>
      <c r="L3" s="208">
        <v>2</v>
      </c>
      <c r="M3" s="208"/>
      <c r="N3" s="208"/>
      <c r="O3" s="208"/>
      <c r="P3" s="208"/>
      <c r="Q3" s="208"/>
      <c r="R3" s="208"/>
      <c r="S3" s="208"/>
      <c r="T3" s="208">
        <v>2</v>
      </c>
      <c r="U3" s="212">
        <v>2</v>
      </c>
      <c r="V3" s="257">
        <v>2.5</v>
      </c>
      <c r="W3" s="212">
        <v>2</v>
      </c>
      <c r="X3" s="211"/>
      <c r="Y3" s="208"/>
      <c r="Z3" s="211"/>
      <c r="AA3" s="212">
        <v>2.5</v>
      </c>
      <c r="AB3" s="212">
        <v>2.5</v>
      </c>
      <c r="AC3" s="212">
        <v>2</v>
      </c>
      <c r="AD3" s="211"/>
      <c r="AE3" s="212">
        <v>10</v>
      </c>
      <c r="AF3" s="208"/>
      <c r="AG3" s="211"/>
    </row>
    <row r="4" spans="1:33" s="252" customFormat="1" ht="15.75">
      <c r="A4" s="537" t="s">
        <v>836</v>
      </c>
      <c r="B4" s="258" t="s">
        <v>837</v>
      </c>
      <c r="C4" s="259"/>
      <c r="D4" s="259"/>
      <c r="E4" s="260">
        <v>211</v>
      </c>
      <c r="F4" s="260">
        <v>290</v>
      </c>
      <c r="G4" s="260">
        <v>290</v>
      </c>
      <c r="H4" s="260">
        <v>290</v>
      </c>
      <c r="I4" s="260">
        <v>234</v>
      </c>
      <c r="J4" s="260">
        <v>234</v>
      </c>
      <c r="K4" s="260"/>
      <c r="L4" s="260">
        <v>304</v>
      </c>
      <c r="M4" s="260">
        <v>246</v>
      </c>
      <c r="N4" s="259"/>
      <c r="O4" s="260"/>
      <c r="P4" s="260"/>
      <c r="Q4" s="260"/>
      <c r="R4" s="260"/>
      <c r="S4" s="260">
        <v>258</v>
      </c>
      <c r="T4" s="260">
        <f>320-4</f>
        <v>316</v>
      </c>
      <c r="U4" s="261">
        <v>320</v>
      </c>
      <c r="V4" s="261">
        <v>320</v>
      </c>
      <c r="W4" s="261">
        <v>320</v>
      </c>
      <c r="X4" s="261">
        <v>260</v>
      </c>
      <c r="Y4" s="260"/>
      <c r="Z4" s="261">
        <v>256</v>
      </c>
      <c r="AA4" s="261">
        <v>336</v>
      </c>
      <c r="AB4" s="261">
        <v>336</v>
      </c>
      <c r="AC4" s="261">
        <v>320</v>
      </c>
      <c r="AD4" s="261">
        <v>260</v>
      </c>
      <c r="AE4" s="261">
        <v>320</v>
      </c>
      <c r="AF4" s="260"/>
      <c r="AG4" s="261">
        <v>256</v>
      </c>
    </row>
    <row r="5" spans="1:33" s="252" customFormat="1" ht="15.75">
      <c r="A5" s="538"/>
      <c r="B5" s="262" t="s">
        <v>838</v>
      </c>
      <c r="C5" s="263"/>
      <c r="D5" s="263"/>
      <c r="E5" s="264">
        <v>211</v>
      </c>
      <c r="F5" s="264">
        <v>290</v>
      </c>
      <c r="G5" s="264">
        <v>290</v>
      </c>
      <c r="H5" s="264">
        <v>290</v>
      </c>
      <c r="I5" s="264">
        <v>234</v>
      </c>
      <c r="J5" s="264">
        <v>234</v>
      </c>
      <c r="K5" s="264"/>
      <c r="L5" s="264">
        <v>304</v>
      </c>
      <c r="M5" s="264">
        <v>246</v>
      </c>
      <c r="N5" s="263"/>
      <c r="O5" s="264"/>
      <c r="P5" s="264"/>
      <c r="Q5" s="264"/>
      <c r="R5" s="264"/>
      <c r="S5" s="264">
        <v>258</v>
      </c>
      <c r="T5" s="264">
        <f>320+4</f>
        <v>324</v>
      </c>
      <c r="U5" s="265">
        <v>320</v>
      </c>
      <c r="V5" s="265">
        <v>320</v>
      </c>
      <c r="W5" s="265">
        <v>320</v>
      </c>
      <c r="X5" s="265">
        <v>260</v>
      </c>
      <c r="Y5" s="264"/>
      <c r="Z5" s="265">
        <v>256</v>
      </c>
      <c r="AA5" s="265">
        <v>336</v>
      </c>
      <c r="AB5" s="265">
        <v>336</v>
      </c>
      <c r="AC5" s="265">
        <v>320</v>
      </c>
      <c r="AD5" s="265">
        <v>260</v>
      </c>
      <c r="AE5" s="265">
        <v>320</v>
      </c>
      <c r="AF5" s="264"/>
      <c r="AG5" s="265">
        <v>256</v>
      </c>
    </row>
    <row r="6" spans="1:33" s="252" customFormat="1" ht="15.75">
      <c r="A6" s="538"/>
      <c r="B6" s="262" t="s">
        <v>839</v>
      </c>
      <c r="C6" s="263"/>
      <c r="D6" s="263"/>
      <c r="E6" s="264">
        <v>211</v>
      </c>
      <c r="F6" s="264">
        <v>290</v>
      </c>
      <c r="G6" s="264">
        <v>290</v>
      </c>
      <c r="H6" s="264">
        <v>290</v>
      </c>
      <c r="I6" s="264">
        <v>234</v>
      </c>
      <c r="J6" s="264">
        <v>234</v>
      </c>
      <c r="K6" s="264"/>
      <c r="L6" s="264">
        <v>304</v>
      </c>
      <c r="M6" s="264">
        <v>246</v>
      </c>
      <c r="N6" s="263"/>
      <c r="O6" s="264"/>
      <c r="P6" s="264"/>
      <c r="Q6" s="264"/>
      <c r="R6" s="264"/>
      <c r="S6" s="264">
        <v>258</v>
      </c>
      <c r="T6" s="264">
        <v>320</v>
      </c>
      <c r="U6" s="265">
        <v>320</v>
      </c>
      <c r="V6" s="265">
        <v>320</v>
      </c>
      <c r="W6" s="265">
        <v>320</v>
      </c>
      <c r="X6" s="265">
        <v>260</v>
      </c>
      <c r="Y6" s="264"/>
      <c r="Z6" s="265">
        <v>256</v>
      </c>
      <c r="AA6" s="265">
        <v>336</v>
      </c>
      <c r="AB6" s="265">
        <v>336</v>
      </c>
      <c r="AC6" s="265">
        <v>320</v>
      </c>
      <c r="AD6" s="265">
        <v>260</v>
      </c>
      <c r="AE6" s="265">
        <v>320</v>
      </c>
      <c r="AF6" s="264"/>
      <c r="AG6" s="265">
        <v>256</v>
      </c>
    </row>
    <row r="7" spans="1:33" s="252" customFormat="1" ht="15.75">
      <c r="A7" s="538"/>
      <c r="B7" s="266" t="s">
        <v>840</v>
      </c>
      <c r="C7" s="267">
        <f t="shared" ref="C7:E7" si="0">SUM(C4:C6)</f>
        <v>0</v>
      </c>
      <c r="D7" s="267">
        <f t="shared" si="0"/>
        <v>0</v>
      </c>
      <c r="E7" s="267">
        <f t="shared" si="0"/>
        <v>633</v>
      </c>
      <c r="F7" s="267">
        <f>SUM(F4:F6)</f>
        <v>870</v>
      </c>
      <c r="G7" s="267">
        <f t="shared" ref="G7:K7" si="1">SUM(G4:G6)</f>
        <v>870</v>
      </c>
      <c r="H7" s="267">
        <f t="shared" si="1"/>
        <v>870</v>
      </c>
      <c r="I7" s="267">
        <f t="shared" si="1"/>
        <v>702</v>
      </c>
      <c r="J7" s="267">
        <f t="shared" si="1"/>
        <v>702</v>
      </c>
      <c r="K7" s="267">
        <f t="shared" si="1"/>
        <v>0</v>
      </c>
      <c r="L7" s="267">
        <f>SUM(L4:L6)</f>
        <v>912</v>
      </c>
      <c r="M7" s="267">
        <f>SUM(M4:M6)</f>
        <v>738</v>
      </c>
      <c r="N7" s="267">
        <f t="shared" ref="N7:S7" si="2">SUM(N4:N6)</f>
        <v>0</v>
      </c>
      <c r="O7" s="267">
        <f t="shared" si="2"/>
        <v>0</v>
      </c>
      <c r="P7" s="267">
        <f t="shared" si="2"/>
        <v>0</v>
      </c>
      <c r="Q7" s="267">
        <f t="shared" si="2"/>
        <v>0</v>
      </c>
      <c r="R7" s="267">
        <f t="shared" si="2"/>
        <v>0</v>
      </c>
      <c r="S7" s="267">
        <f t="shared" si="2"/>
        <v>774</v>
      </c>
      <c r="T7" s="267">
        <f>SUM(T4:T6)</f>
        <v>960</v>
      </c>
      <c r="U7" s="268">
        <f t="shared" ref="U7:Z7" si="3">SUM(U4:U6)</f>
        <v>960</v>
      </c>
      <c r="V7" s="268">
        <f t="shared" si="3"/>
        <v>960</v>
      </c>
      <c r="W7" s="268">
        <f t="shared" si="3"/>
        <v>960</v>
      </c>
      <c r="X7" s="268">
        <f t="shared" si="3"/>
        <v>780</v>
      </c>
      <c r="Y7" s="267">
        <f t="shared" si="3"/>
        <v>0</v>
      </c>
      <c r="Z7" s="268">
        <f t="shared" si="3"/>
        <v>768</v>
      </c>
      <c r="AA7" s="268">
        <f>SUM(AA4:AA6)</f>
        <v>1008</v>
      </c>
      <c r="AB7" s="268">
        <f t="shared" ref="AB7:AG7" si="4">SUM(AB4:AB6)</f>
        <v>1008</v>
      </c>
      <c r="AC7" s="268">
        <f t="shared" si="4"/>
        <v>960</v>
      </c>
      <c r="AD7" s="268">
        <f t="shared" si="4"/>
        <v>780</v>
      </c>
      <c r="AE7" s="268">
        <f t="shared" si="4"/>
        <v>960</v>
      </c>
      <c r="AF7" s="267">
        <f t="shared" si="4"/>
        <v>0</v>
      </c>
      <c r="AG7" s="268">
        <f t="shared" si="4"/>
        <v>768</v>
      </c>
    </row>
    <row r="8" spans="1:33" s="252" customFormat="1" ht="15.75">
      <c r="A8" s="539"/>
      <c r="B8" s="269" t="s">
        <v>841</v>
      </c>
      <c r="C8" s="198" t="e">
        <f>#REF!+C7</f>
        <v>#REF!</v>
      </c>
      <c r="D8" s="198" t="e">
        <f t="shared" ref="D8:AG8" si="5">C8+D7</f>
        <v>#REF!</v>
      </c>
      <c r="E8" s="198" t="e">
        <f t="shared" si="5"/>
        <v>#REF!</v>
      </c>
      <c r="F8" s="198" t="e">
        <f t="shared" si="5"/>
        <v>#REF!</v>
      </c>
      <c r="G8" s="198" t="e">
        <f t="shared" si="5"/>
        <v>#REF!</v>
      </c>
      <c r="H8" s="198" t="e">
        <f t="shared" si="5"/>
        <v>#REF!</v>
      </c>
      <c r="I8" s="198" t="e">
        <f t="shared" si="5"/>
        <v>#REF!</v>
      </c>
      <c r="J8" s="198" t="e">
        <f t="shared" si="5"/>
        <v>#REF!</v>
      </c>
      <c r="K8" s="198" t="e">
        <f t="shared" si="5"/>
        <v>#REF!</v>
      </c>
      <c r="L8" s="198" t="e">
        <f t="shared" si="5"/>
        <v>#REF!</v>
      </c>
      <c r="M8" s="198" t="e">
        <f t="shared" si="5"/>
        <v>#REF!</v>
      </c>
      <c r="N8" s="198" t="e">
        <f t="shared" si="5"/>
        <v>#REF!</v>
      </c>
      <c r="O8" s="198" t="e">
        <f t="shared" si="5"/>
        <v>#REF!</v>
      </c>
      <c r="P8" s="198" t="e">
        <f t="shared" si="5"/>
        <v>#REF!</v>
      </c>
      <c r="Q8" s="198" t="e">
        <f t="shared" si="5"/>
        <v>#REF!</v>
      </c>
      <c r="R8" s="198" t="e">
        <f t="shared" si="5"/>
        <v>#REF!</v>
      </c>
      <c r="S8" s="198" t="e">
        <f t="shared" si="5"/>
        <v>#REF!</v>
      </c>
      <c r="T8" s="198" t="e">
        <f t="shared" si="5"/>
        <v>#REF!</v>
      </c>
      <c r="U8" s="199" t="e">
        <f t="shared" si="5"/>
        <v>#REF!</v>
      </c>
      <c r="V8" s="199" t="e">
        <f t="shared" si="5"/>
        <v>#REF!</v>
      </c>
      <c r="W8" s="199" t="e">
        <f t="shared" si="5"/>
        <v>#REF!</v>
      </c>
      <c r="X8" s="199" t="e">
        <f t="shared" si="5"/>
        <v>#REF!</v>
      </c>
      <c r="Y8" s="198" t="e">
        <f t="shared" si="5"/>
        <v>#REF!</v>
      </c>
      <c r="Z8" s="199" t="e">
        <f t="shared" si="5"/>
        <v>#REF!</v>
      </c>
      <c r="AA8" s="199" t="e">
        <f t="shared" si="5"/>
        <v>#REF!</v>
      </c>
      <c r="AB8" s="199" t="e">
        <f t="shared" si="5"/>
        <v>#REF!</v>
      </c>
      <c r="AC8" s="199" t="e">
        <f t="shared" si="5"/>
        <v>#REF!</v>
      </c>
      <c r="AD8" s="199" t="e">
        <f t="shared" si="5"/>
        <v>#REF!</v>
      </c>
      <c r="AE8" s="199" t="e">
        <f t="shared" si="5"/>
        <v>#REF!</v>
      </c>
      <c r="AF8" s="198" t="e">
        <f t="shared" si="5"/>
        <v>#REF!</v>
      </c>
      <c r="AG8" s="199" t="e">
        <f t="shared" si="5"/>
        <v>#REF!</v>
      </c>
    </row>
    <row r="9" spans="1:33" s="252" customFormat="1" ht="15.75">
      <c r="A9" s="270" t="s">
        <v>842</v>
      </c>
      <c r="B9" s="271"/>
      <c r="C9" s="200" t="s">
        <v>843</v>
      </c>
      <c r="D9" s="200" t="s">
        <v>843</v>
      </c>
      <c r="E9" s="200" t="s">
        <v>843</v>
      </c>
      <c r="F9" s="200" t="s">
        <v>843</v>
      </c>
      <c r="G9" s="200" t="s">
        <v>843</v>
      </c>
      <c r="H9" s="200" t="s">
        <v>843</v>
      </c>
      <c r="I9" s="200" t="s">
        <v>844</v>
      </c>
      <c r="J9" s="200" t="s">
        <v>843</v>
      </c>
      <c r="K9" s="200" t="s">
        <v>843</v>
      </c>
      <c r="L9" s="200" t="s">
        <v>843</v>
      </c>
      <c r="M9" s="200" t="s">
        <v>843</v>
      </c>
      <c r="N9" s="200" t="s">
        <v>843</v>
      </c>
      <c r="O9" s="200" t="s">
        <v>843</v>
      </c>
      <c r="P9" s="200" t="s">
        <v>843</v>
      </c>
      <c r="Q9" s="200" t="s">
        <v>843</v>
      </c>
      <c r="R9" s="200" t="s">
        <v>843</v>
      </c>
      <c r="S9" s="200" t="s">
        <v>843</v>
      </c>
      <c r="T9" s="200" t="s">
        <v>843</v>
      </c>
      <c r="U9" s="201" t="s">
        <v>843</v>
      </c>
      <c r="V9" s="201" t="s">
        <v>843</v>
      </c>
      <c r="W9" s="201" t="s">
        <v>843</v>
      </c>
      <c r="X9" s="201" t="s">
        <v>843</v>
      </c>
      <c r="Y9" s="200" t="s">
        <v>843</v>
      </c>
      <c r="Z9" s="201" t="s">
        <v>843</v>
      </c>
      <c r="AA9" s="201" t="s">
        <v>843</v>
      </c>
      <c r="AB9" s="201" t="s">
        <v>843</v>
      </c>
      <c r="AC9" s="201" t="s">
        <v>843</v>
      </c>
      <c r="AD9" s="201" t="s">
        <v>843</v>
      </c>
      <c r="AE9" s="201" t="s">
        <v>843</v>
      </c>
      <c r="AF9" s="200" t="s">
        <v>843</v>
      </c>
      <c r="AG9" s="201" t="s">
        <v>843</v>
      </c>
    </row>
    <row r="10" spans="1:33" s="252" customFormat="1" ht="15.75">
      <c r="A10" s="540" t="s">
        <v>845</v>
      </c>
      <c r="B10" s="272" t="s">
        <v>846</v>
      </c>
      <c r="C10" s="273"/>
      <c r="D10" s="273"/>
      <c r="E10" s="274">
        <v>106</v>
      </c>
      <c r="F10" s="274">
        <v>145</v>
      </c>
      <c r="G10" s="274">
        <v>130</v>
      </c>
      <c r="H10" s="274">
        <v>146</v>
      </c>
      <c r="I10" s="274">
        <v>145</v>
      </c>
      <c r="J10" s="274">
        <v>118</v>
      </c>
      <c r="K10" s="273"/>
      <c r="L10" s="274">
        <v>154</v>
      </c>
      <c r="M10" s="274">
        <v>116</v>
      </c>
      <c r="N10" s="273"/>
      <c r="O10" s="273"/>
      <c r="P10" s="273"/>
      <c r="Q10" s="273"/>
      <c r="R10" s="273"/>
      <c r="S10" s="274">
        <v>126</v>
      </c>
      <c r="T10" s="274">
        <v>160</v>
      </c>
      <c r="U10" s="226">
        <v>160</v>
      </c>
      <c r="V10" s="226">
        <v>168</v>
      </c>
      <c r="W10" s="226">
        <v>160</v>
      </c>
      <c r="X10" s="226">
        <v>130</v>
      </c>
      <c r="Y10" s="273"/>
      <c r="Z10" s="226">
        <v>128</v>
      </c>
      <c r="AA10" s="226">
        <f t="shared" ref="AA10:AE10" si="6">AA4/2</f>
        <v>168</v>
      </c>
      <c r="AB10" s="226">
        <f t="shared" si="6"/>
        <v>168</v>
      </c>
      <c r="AC10" s="226">
        <f t="shared" si="6"/>
        <v>160</v>
      </c>
      <c r="AD10" s="226">
        <f t="shared" si="6"/>
        <v>130</v>
      </c>
      <c r="AE10" s="226">
        <f t="shared" si="6"/>
        <v>160</v>
      </c>
      <c r="AF10" s="273"/>
      <c r="AG10" s="226">
        <v>128</v>
      </c>
    </row>
    <row r="11" spans="1:33" s="252" customFormat="1" ht="15.75">
      <c r="A11" s="541"/>
      <c r="B11" s="275" t="s">
        <v>847</v>
      </c>
      <c r="C11" s="276"/>
      <c r="D11" s="276"/>
      <c r="E11" s="277">
        <v>105</v>
      </c>
      <c r="F11" s="277">
        <v>145</v>
      </c>
      <c r="G11" s="277">
        <v>106</v>
      </c>
      <c r="H11" s="277">
        <v>145</v>
      </c>
      <c r="I11" s="277">
        <v>145</v>
      </c>
      <c r="J11" s="277">
        <v>117</v>
      </c>
      <c r="K11" s="276"/>
      <c r="L11" s="277">
        <v>153</v>
      </c>
      <c r="M11" s="277">
        <v>120</v>
      </c>
      <c r="N11" s="276"/>
      <c r="O11" s="276"/>
      <c r="P11" s="276"/>
      <c r="Q11" s="276"/>
      <c r="R11" s="276"/>
      <c r="S11" s="277">
        <v>126</v>
      </c>
      <c r="T11" s="277">
        <v>157</v>
      </c>
      <c r="U11" s="278">
        <v>160</v>
      </c>
      <c r="V11" s="278">
        <v>168</v>
      </c>
      <c r="W11" s="278">
        <v>160</v>
      </c>
      <c r="X11" s="278">
        <v>130</v>
      </c>
      <c r="Y11" s="276"/>
      <c r="Z11" s="278">
        <v>128</v>
      </c>
      <c r="AA11" s="278">
        <f t="shared" ref="AA11:AE11" si="7">AA10</f>
        <v>168</v>
      </c>
      <c r="AB11" s="278">
        <f t="shared" si="7"/>
        <v>168</v>
      </c>
      <c r="AC11" s="278">
        <f t="shared" si="7"/>
        <v>160</v>
      </c>
      <c r="AD11" s="278">
        <f t="shared" si="7"/>
        <v>130</v>
      </c>
      <c r="AE11" s="278">
        <f t="shared" si="7"/>
        <v>160</v>
      </c>
      <c r="AF11" s="276"/>
      <c r="AG11" s="278">
        <v>128</v>
      </c>
    </row>
    <row r="12" spans="1:33" s="252" customFormat="1" ht="15.75">
      <c r="A12" s="541"/>
      <c r="B12" s="272" t="s">
        <v>848</v>
      </c>
      <c r="C12" s="273"/>
      <c r="D12" s="273"/>
      <c r="E12" s="274">
        <v>107</v>
      </c>
      <c r="F12" s="274">
        <v>145</v>
      </c>
      <c r="G12" s="274">
        <v>128</v>
      </c>
      <c r="H12" s="274">
        <v>145</v>
      </c>
      <c r="I12" s="274">
        <v>145</v>
      </c>
      <c r="J12" s="274">
        <v>117</v>
      </c>
      <c r="K12" s="273"/>
      <c r="L12" s="274">
        <v>152</v>
      </c>
      <c r="M12" s="274">
        <v>117</v>
      </c>
      <c r="N12" s="273"/>
      <c r="O12" s="273"/>
      <c r="P12" s="273"/>
      <c r="Q12" s="273"/>
      <c r="R12" s="273"/>
      <c r="S12" s="274">
        <v>125</v>
      </c>
      <c r="T12" s="274">
        <v>155</v>
      </c>
      <c r="U12" s="226">
        <v>160</v>
      </c>
      <c r="V12" s="226">
        <v>168</v>
      </c>
      <c r="W12" s="226">
        <v>160</v>
      </c>
      <c r="X12" s="226">
        <v>130</v>
      </c>
      <c r="Y12" s="273"/>
      <c r="Z12" s="226">
        <v>128</v>
      </c>
      <c r="AA12" s="226">
        <f t="shared" ref="AA12:AE12" si="8">AA5/2</f>
        <v>168</v>
      </c>
      <c r="AB12" s="226">
        <f t="shared" si="8"/>
        <v>168</v>
      </c>
      <c r="AC12" s="226">
        <f t="shared" si="8"/>
        <v>160</v>
      </c>
      <c r="AD12" s="226">
        <f t="shared" si="8"/>
        <v>130</v>
      </c>
      <c r="AE12" s="226">
        <f t="shared" si="8"/>
        <v>160</v>
      </c>
      <c r="AF12" s="273"/>
      <c r="AG12" s="226">
        <v>128</v>
      </c>
    </row>
    <row r="13" spans="1:33" s="252" customFormat="1" ht="15.75">
      <c r="A13" s="541"/>
      <c r="B13" s="275" t="s">
        <v>849</v>
      </c>
      <c r="C13" s="237"/>
      <c r="D13" s="237"/>
      <c r="E13" s="277">
        <v>104</v>
      </c>
      <c r="F13" s="277">
        <v>147</v>
      </c>
      <c r="G13" s="277">
        <v>105</v>
      </c>
      <c r="H13" s="277">
        <v>145</v>
      </c>
      <c r="I13" s="277">
        <v>146</v>
      </c>
      <c r="J13" s="277">
        <v>117</v>
      </c>
      <c r="K13" s="276"/>
      <c r="L13" s="277">
        <v>152</v>
      </c>
      <c r="M13" s="277">
        <v>120</v>
      </c>
      <c r="N13" s="237"/>
      <c r="O13" s="276"/>
      <c r="P13" s="276"/>
      <c r="Q13" s="276"/>
      <c r="R13" s="276"/>
      <c r="S13" s="277">
        <v>126</v>
      </c>
      <c r="T13" s="277">
        <v>157</v>
      </c>
      <c r="U13" s="278">
        <v>160</v>
      </c>
      <c r="V13" s="278">
        <v>168</v>
      </c>
      <c r="W13" s="278">
        <v>160</v>
      </c>
      <c r="X13" s="278">
        <v>130</v>
      </c>
      <c r="Y13" s="276"/>
      <c r="Z13" s="278">
        <v>128</v>
      </c>
      <c r="AA13" s="278">
        <f t="shared" ref="AA13:AE13" si="9">AA12</f>
        <v>168</v>
      </c>
      <c r="AB13" s="278">
        <f t="shared" si="9"/>
        <v>168</v>
      </c>
      <c r="AC13" s="278">
        <f t="shared" si="9"/>
        <v>160</v>
      </c>
      <c r="AD13" s="278">
        <f t="shared" si="9"/>
        <v>130</v>
      </c>
      <c r="AE13" s="278">
        <f t="shared" si="9"/>
        <v>160</v>
      </c>
      <c r="AF13" s="237"/>
      <c r="AG13" s="278">
        <v>128</v>
      </c>
    </row>
    <row r="14" spans="1:33" s="252" customFormat="1" ht="15.75">
      <c r="A14" s="541"/>
      <c r="B14" s="272" t="s">
        <v>850</v>
      </c>
      <c r="C14" s="273"/>
      <c r="D14" s="273"/>
      <c r="E14" s="274">
        <v>106</v>
      </c>
      <c r="F14" s="274">
        <v>145</v>
      </c>
      <c r="G14" s="274">
        <v>130</v>
      </c>
      <c r="H14" s="274">
        <v>145</v>
      </c>
      <c r="I14" s="274">
        <v>145</v>
      </c>
      <c r="J14" s="274">
        <v>118</v>
      </c>
      <c r="K14" s="273"/>
      <c r="L14" s="274">
        <v>152</v>
      </c>
      <c r="M14" s="274">
        <v>125</v>
      </c>
      <c r="N14" s="273"/>
      <c r="O14" s="273"/>
      <c r="P14" s="273"/>
      <c r="Q14" s="273"/>
      <c r="R14" s="273"/>
      <c r="S14" s="274">
        <v>125</v>
      </c>
      <c r="T14" s="274">
        <v>160</v>
      </c>
      <c r="U14" s="226">
        <v>160</v>
      </c>
      <c r="V14" s="226">
        <v>168</v>
      </c>
      <c r="W14" s="226">
        <v>160</v>
      </c>
      <c r="X14" s="226">
        <v>130</v>
      </c>
      <c r="Y14" s="273"/>
      <c r="Z14" s="226">
        <v>128</v>
      </c>
      <c r="AA14" s="226">
        <f t="shared" ref="AA14:AE14" si="10">AA6/2</f>
        <v>168</v>
      </c>
      <c r="AB14" s="226">
        <f t="shared" si="10"/>
        <v>168</v>
      </c>
      <c r="AC14" s="226">
        <f t="shared" si="10"/>
        <v>160</v>
      </c>
      <c r="AD14" s="226">
        <f t="shared" si="10"/>
        <v>130</v>
      </c>
      <c r="AE14" s="226">
        <f t="shared" si="10"/>
        <v>160</v>
      </c>
      <c r="AF14" s="273"/>
      <c r="AG14" s="226">
        <v>128</v>
      </c>
    </row>
    <row r="15" spans="1:33" s="252" customFormat="1" ht="15.75">
      <c r="A15" s="542"/>
      <c r="B15" s="275" t="s">
        <v>851</v>
      </c>
      <c r="C15" s="237"/>
      <c r="D15" s="237"/>
      <c r="E15" s="277">
        <v>106</v>
      </c>
      <c r="F15" s="277">
        <v>146</v>
      </c>
      <c r="G15" s="277">
        <v>105</v>
      </c>
      <c r="H15" s="277">
        <v>145</v>
      </c>
      <c r="I15" s="277">
        <v>145</v>
      </c>
      <c r="J15" s="277">
        <v>117</v>
      </c>
      <c r="K15" s="276"/>
      <c r="L15" s="277">
        <v>143</v>
      </c>
      <c r="M15" s="277">
        <v>120</v>
      </c>
      <c r="N15" s="237"/>
      <c r="O15" s="276"/>
      <c r="P15" s="276"/>
      <c r="Q15" s="276"/>
      <c r="R15" s="276"/>
      <c r="S15" s="277">
        <v>126</v>
      </c>
      <c r="T15" s="277">
        <v>157</v>
      </c>
      <c r="U15" s="278">
        <v>160</v>
      </c>
      <c r="V15" s="278">
        <v>168</v>
      </c>
      <c r="W15" s="278">
        <v>160</v>
      </c>
      <c r="X15" s="278">
        <v>130</v>
      </c>
      <c r="Y15" s="276"/>
      <c r="Z15" s="278">
        <v>128</v>
      </c>
      <c r="AA15" s="278">
        <f t="shared" ref="AA15:AE15" si="11">AA14</f>
        <v>168</v>
      </c>
      <c r="AB15" s="278">
        <f t="shared" si="11"/>
        <v>168</v>
      </c>
      <c r="AC15" s="278">
        <f t="shared" si="11"/>
        <v>160</v>
      </c>
      <c r="AD15" s="278">
        <f t="shared" si="11"/>
        <v>130</v>
      </c>
      <c r="AE15" s="278">
        <f t="shared" si="11"/>
        <v>160</v>
      </c>
      <c r="AF15" s="237"/>
      <c r="AG15" s="278">
        <v>128</v>
      </c>
    </row>
    <row r="16" spans="1:33" s="252" customFormat="1" ht="15.75">
      <c r="A16" s="543" t="s">
        <v>852</v>
      </c>
      <c r="B16" s="279" t="s">
        <v>853</v>
      </c>
      <c r="C16" s="280">
        <f t="shared" ref="C16:Y16" si="12">C12+C13+C14+C15+C10+C11</f>
        <v>0</v>
      </c>
      <c r="D16" s="280">
        <f t="shared" si="12"/>
        <v>0</v>
      </c>
      <c r="E16" s="281">
        <f t="shared" si="12"/>
        <v>634</v>
      </c>
      <c r="F16" s="281">
        <f t="shared" si="12"/>
        <v>873</v>
      </c>
      <c r="G16" s="281">
        <f t="shared" si="12"/>
        <v>704</v>
      </c>
      <c r="H16" s="281">
        <f t="shared" si="12"/>
        <v>871</v>
      </c>
      <c r="I16" s="281">
        <f t="shared" si="12"/>
        <v>871</v>
      </c>
      <c r="J16" s="281">
        <f t="shared" si="12"/>
        <v>704</v>
      </c>
      <c r="K16" s="280">
        <f t="shared" si="12"/>
        <v>0</v>
      </c>
      <c r="L16" s="281">
        <f t="shared" si="12"/>
        <v>906</v>
      </c>
      <c r="M16" s="281">
        <f t="shared" si="12"/>
        <v>718</v>
      </c>
      <c r="N16" s="280">
        <f t="shared" si="12"/>
        <v>0</v>
      </c>
      <c r="O16" s="280">
        <f>O12+O13+O14+O15+O10+O11</f>
        <v>0</v>
      </c>
      <c r="P16" s="280">
        <f t="shared" si="12"/>
        <v>0</v>
      </c>
      <c r="Q16" s="280">
        <f t="shared" si="12"/>
        <v>0</v>
      </c>
      <c r="R16" s="280">
        <f t="shared" si="12"/>
        <v>0</v>
      </c>
      <c r="S16" s="281">
        <f t="shared" si="12"/>
        <v>754</v>
      </c>
      <c r="T16" s="281">
        <f t="shared" si="12"/>
        <v>946</v>
      </c>
      <c r="U16" s="234">
        <f t="shared" si="12"/>
        <v>960</v>
      </c>
      <c r="V16" s="234">
        <f t="shared" si="12"/>
        <v>1008</v>
      </c>
      <c r="W16" s="234">
        <f t="shared" si="12"/>
        <v>960</v>
      </c>
      <c r="X16" s="234">
        <f t="shared" si="12"/>
        <v>780</v>
      </c>
      <c r="Y16" s="280">
        <f t="shared" si="12"/>
        <v>0</v>
      </c>
      <c r="Z16" s="234">
        <f>Z12+Z13+Z14+Z15+Z10+Z11</f>
        <v>768</v>
      </c>
      <c r="AA16" s="234">
        <f t="shared" ref="AA16:AG16" si="13">AA12+AA13+AA14+AA15+AA10+AA11</f>
        <v>1008</v>
      </c>
      <c r="AB16" s="234">
        <f t="shared" si="13"/>
        <v>1008</v>
      </c>
      <c r="AC16" s="234">
        <f t="shared" si="13"/>
        <v>960</v>
      </c>
      <c r="AD16" s="234">
        <f t="shared" si="13"/>
        <v>780</v>
      </c>
      <c r="AE16" s="234">
        <f t="shared" si="13"/>
        <v>960</v>
      </c>
      <c r="AF16" s="280">
        <f t="shared" si="13"/>
        <v>0</v>
      </c>
      <c r="AG16" s="234">
        <f t="shared" si="13"/>
        <v>768</v>
      </c>
    </row>
    <row r="17" spans="1:43" s="252" customFormat="1" ht="16.5" thickBot="1">
      <c r="A17" s="544"/>
      <c r="B17" s="282" t="s">
        <v>854</v>
      </c>
      <c r="C17" s="283" t="e">
        <f>C16+#REF!</f>
        <v>#REF!</v>
      </c>
      <c r="D17" s="283" t="e">
        <f t="shared" ref="D17:AG17" si="14">C17+D16</f>
        <v>#REF!</v>
      </c>
      <c r="E17" s="283" t="e">
        <f t="shared" si="14"/>
        <v>#REF!</v>
      </c>
      <c r="F17" s="283" t="e">
        <f t="shared" si="14"/>
        <v>#REF!</v>
      </c>
      <c r="G17" s="283" t="e">
        <f t="shared" si="14"/>
        <v>#REF!</v>
      </c>
      <c r="H17" s="283" t="e">
        <f t="shared" si="14"/>
        <v>#REF!</v>
      </c>
      <c r="I17" s="283" t="e">
        <f t="shared" si="14"/>
        <v>#REF!</v>
      </c>
      <c r="J17" s="283" t="e">
        <f t="shared" si="14"/>
        <v>#REF!</v>
      </c>
      <c r="K17" s="283" t="e">
        <f t="shared" si="14"/>
        <v>#REF!</v>
      </c>
      <c r="L17" s="283" t="e">
        <f t="shared" si="14"/>
        <v>#REF!</v>
      </c>
      <c r="M17" s="283" t="e">
        <f t="shared" si="14"/>
        <v>#REF!</v>
      </c>
      <c r="N17" s="283" t="e">
        <f t="shared" si="14"/>
        <v>#REF!</v>
      </c>
      <c r="O17" s="284" t="e">
        <f t="shared" si="14"/>
        <v>#REF!</v>
      </c>
      <c r="P17" s="283" t="e">
        <f t="shared" si="14"/>
        <v>#REF!</v>
      </c>
      <c r="Q17" s="283" t="e">
        <f t="shared" si="14"/>
        <v>#REF!</v>
      </c>
      <c r="R17" s="283" t="e">
        <f t="shared" si="14"/>
        <v>#REF!</v>
      </c>
      <c r="S17" s="283" t="e">
        <f t="shared" si="14"/>
        <v>#REF!</v>
      </c>
      <c r="T17" s="283" t="e">
        <f t="shared" si="14"/>
        <v>#REF!</v>
      </c>
      <c r="U17" s="285" t="e">
        <f t="shared" si="14"/>
        <v>#REF!</v>
      </c>
      <c r="V17" s="285" t="e">
        <f t="shared" si="14"/>
        <v>#REF!</v>
      </c>
      <c r="W17" s="285" t="e">
        <f t="shared" si="14"/>
        <v>#REF!</v>
      </c>
      <c r="X17" s="285" t="e">
        <f t="shared" si="14"/>
        <v>#REF!</v>
      </c>
      <c r="Y17" s="283" t="e">
        <f t="shared" si="14"/>
        <v>#REF!</v>
      </c>
      <c r="Z17" s="285" t="e">
        <f t="shared" si="14"/>
        <v>#REF!</v>
      </c>
      <c r="AA17" s="285" t="e">
        <f t="shared" si="14"/>
        <v>#REF!</v>
      </c>
      <c r="AB17" s="285" t="e">
        <f t="shared" si="14"/>
        <v>#REF!</v>
      </c>
      <c r="AC17" s="285" t="e">
        <f t="shared" si="14"/>
        <v>#REF!</v>
      </c>
      <c r="AD17" s="286" t="e">
        <f t="shared" si="14"/>
        <v>#REF!</v>
      </c>
      <c r="AE17" s="287" t="e">
        <f t="shared" si="14"/>
        <v>#REF!</v>
      </c>
      <c r="AF17" s="288" t="e">
        <f t="shared" si="14"/>
        <v>#REF!</v>
      </c>
      <c r="AG17" s="289" t="e">
        <f t="shared" si="14"/>
        <v>#REF!</v>
      </c>
    </row>
    <row r="18" spans="1:43" s="252" customFormat="1" ht="15.75">
      <c r="A18" s="545" t="s">
        <v>855</v>
      </c>
      <c r="B18" s="290" t="s">
        <v>837</v>
      </c>
      <c r="C18" s="291" t="e">
        <f>SUM(C10:C11)+#REF!-C4</f>
        <v>#REF!</v>
      </c>
      <c r="D18" s="291" t="e">
        <f t="shared" ref="D18" si="15">SUM(D10:D11)+C18-D4</f>
        <v>#REF!</v>
      </c>
      <c r="E18" s="291" t="e">
        <f t="shared" ref="E18" si="16">SUM(E10:E11)+D18-E4</f>
        <v>#REF!</v>
      </c>
      <c r="F18" s="291" t="e">
        <f t="shared" ref="F18:AG18" si="17">SUM(F10:F11)+E18-F4</f>
        <v>#REF!</v>
      </c>
      <c r="G18" s="291" t="e">
        <f t="shared" si="17"/>
        <v>#REF!</v>
      </c>
      <c r="H18" s="291" t="e">
        <f t="shared" si="17"/>
        <v>#REF!</v>
      </c>
      <c r="I18" s="291" t="e">
        <f t="shared" si="17"/>
        <v>#REF!</v>
      </c>
      <c r="J18" s="291" t="e">
        <f t="shared" si="17"/>
        <v>#REF!</v>
      </c>
      <c r="K18" s="291" t="e">
        <f t="shared" si="17"/>
        <v>#REF!</v>
      </c>
      <c r="L18" s="291" t="e">
        <f t="shared" si="17"/>
        <v>#REF!</v>
      </c>
      <c r="M18" s="291" t="e">
        <f t="shared" si="17"/>
        <v>#REF!</v>
      </c>
      <c r="N18" s="291" t="e">
        <f t="shared" si="17"/>
        <v>#REF!</v>
      </c>
      <c r="O18" s="292" t="e">
        <f t="shared" si="17"/>
        <v>#REF!</v>
      </c>
      <c r="P18" s="291" t="e">
        <f t="shared" si="17"/>
        <v>#REF!</v>
      </c>
      <c r="Q18" s="291" t="e">
        <f t="shared" si="17"/>
        <v>#REF!</v>
      </c>
      <c r="R18" s="291" t="e">
        <f t="shared" si="17"/>
        <v>#REF!</v>
      </c>
      <c r="S18" s="291" t="e">
        <f t="shared" si="17"/>
        <v>#REF!</v>
      </c>
      <c r="T18" s="291" t="e">
        <f t="shared" si="17"/>
        <v>#REF!</v>
      </c>
      <c r="U18" s="293" t="e">
        <f t="shared" si="17"/>
        <v>#REF!</v>
      </c>
      <c r="V18" s="293" t="e">
        <f t="shared" si="17"/>
        <v>#REF!</v>
      </c>
      <c r="W18" s="293" t="e">
        <f t="shared" si="17"/>
        <v>#REF!</v>
      </c>
      <c r="X18" s="293" t="e">
        <f t="shared" si="17"/>
        <v>#REF!</v>
      </c>
      <c r="Y18" s="291" t="e">
        <f t="shared" si="17"/>
        <v>#REF!</v>
      </c>
      <c r="Z18" s="293" t="e">
        <f t="shared" si="17"/>
        <v>#REF!</v>
      </c>
      <c r="AA18" s="293" t="e">
        <f t="shared" si="17"/>
        <v>#REF!</v>
      </c>
      <c r="AB18" s="293" t="e">
        <f t="shared" si="17"/>
        <v>#REF!</v>
      </c>
      <c r="AC18" s="293" t="e">
        <f t="shared" si="17"/>
        <v>#REF!</v>
      </c>
      <c r="AD18" s="294" t="e">
        <f t="shared" si="17"/>
        <v>#REF!</v>
      </c>
      <c r="AE18" s="295" t="e">
        <f t="shared" si="17"/>
        <v>#REF!</v>
      </c>
      <c r="AF18" s="296" t="e">
        <f t="shared" si="17"/>
        <v>#REF!</v>
      </c>
      <c r="AG18" s="297" t="e">
        <f t="shared" si="17"/>
        <v>#REF!</v>
      </c>
    </row>
    <row r="19" spans="1:43" s="252" customFormat="1" ht="15.75">
      <c r="A19" s="546"/>
      <c r="B19" s="298" t="s">
        <v>838</v>
      </c>
      <c r="C19" s="299" t="e">
        <f>SUM(C12:C13)+#REF!-C5</f>
        <v>#REF!</v>
      </c>
      <c r="D19" s="299" t="e">
        <f t="shared" ref="D19" si="18">SUM(D12:D13)+C19-D5</f>
        <v>#REF!</v>
      </c>
      <c r="E19" s="299" t="e">
        <f t="shared" ref="E19" si="19">SUM(E12:E13)+D19-E5</f>
        <v>#REF!</v>
      </c>
      <c r="F19" s="299" t="e">
        <f t="shared" ref="F19:AG19" si="20">SUM(F12:F13)+E19-F5</f>
        <v>#REF!</v>
      </c>
      <c r="G19" s="299" t="e">
        <f t="shared" si="20"/>
        <v>#REF!</v>
      </c>
      <c r="H19" s="299" t="e">
        <f t="shared" si="20"/>
        <v>#REF!</v>
      </c>
      <c r="I19" s="299" t="e">
        <f t="shared" si="20"/>
        <v>#REF!</v>
      </c>
      <c r="J19" s="299" t="e">
        <f t="shared" si="20"/>
        <v>#REF!</v>
      </c>
      <c r="K19" s="299" t="e">
        <f t="shared" si="20"/>
        <v>#REF!</v>
      </c>
      <c r="L19" s="299" t="e">
        <f t="shared" si="20"/>
        <v>#REF!</v>
      </c>
      <c r="M19" s="299" t="e">
        <f t="shared" si="20"/>
        <v>#REF!</v>
      </c>
      <c r="N19" s="299" t="e">
        <f t="shared" si="20"/>
        <v>#REF!</v>
      </c>
      <c r="O19" s="300" t="e">
        <f t="shared" si="20"/>
        <v>#REF!</v>
      </c>
      <c r="P19" s="299" t="e">
        <f t="shared" si="20"/>
        <v>#REF!</v>
      </c>
      <c r="Q19" s="299" t="e">
        <f t="shared" si="20"/>
        <v>#REF!</v>
      </c>
      <c r="R19" s="299" t="e">
        <f t="shared" si="20"/>
        <v>#REF!</v>
      </c>
      <c r="S19" s="299" t="e">
        <f t="shared" si="20"/>
        <v>#REF!</v>
      </c>
      <c r="T19" s="299" t="e">
        <f t="shared" si="20"/>
        <v>#REF!</v>
      </c>
      <c r="U19" s="301" t="e">
        <f t="shared" si="20"/>
        <v>#REF!</v>
      </c>
      <c r="V19" s="301" t="e">
        <f t="shared" si="20"/>
        <v>#REF!</v>
      </c>
      <c r="W19" s="301" t="e">
        <f t="shared" si="20"/>
        <v>#REF!</v>
      </c>
      <c r="X19" s="301" t="e">
        <f t="shared" si="20"/>
        <v>#REF!</v>
      </c>
      <c r="Y19" s="299" t="e">
        <f t="shared" si="20"/>
        <v>#REF!</v>
      </c>
      <c r="Z19" s="301" t="e">
        <f t="shared" si="20"/>
        <v>#REF!</v>
      </c>
      <c r="AA19" s="301" t="e">
        <f t="shared" si="20"/>
        <v>#REF!</v>
      </c>
      <c r="AB19" s="301" t="e">
        <f t="shared" si="20"/>
        <v>#REF!</v>
      </c>
      <c r="AC19" s="301" t="e">
        <f t="shared" si="20"/>
        <v>#REF!</v>
      </c>
      <c r="AD19" s="302" t="e">
        <f t="shared" si="20"/>
        <v>#REF!</v>
      </c>
      <c r="AE19" s="303" t="e">
        <f t="shared" si="20"/>
        <v>#REF!</v>
      </c>
      <c r="AF19" s="304" t="e">
        <f t="shared" si="20"/>
        <v>#REF!</v>
      </c>
      <c r="AG19" s="305" t="e">
        <f t="shared" si="20"/>
        <v>#REF!</v>
      </c>
    </row>
    <row r="20" spans="1:43" s="252" customFormat="1" ht="15.75">
      <c r="A20" s="546"/>
      <c r="B20" s="282" t="s">
        <v>856</v>
      </c>
      <c r="C20" s="306" t="e">
        <f>SUM(C14:C15)+#REF!-C6</f>
        <v>#REF!</v>
      </c>
      <c r="D20" s="306" t="e">
        <f t="shared" ref="D20" si="21">SUM(D14:D15)+C20-D6</f>
        <v>#REF!</v>
      </c>
      <c r="E20" s="306" t="e">
        <f t="shared" ref="E20" si="22">SUM(E14:E15)+D20-E6</f>
        <v>#REF!</v>
      </c>
      <c r="F20" s="306" t="e">
        <f t="shared" ref="F20:G20" si="23">SUM(F14:F15)+E20-F6</f>
        <v>#REF!</v>
      </c>
      <c r="G20" s="306" t="e">
        <f t="shared" si="23"/>
        <v>#REF!</v>
      </c>
      <c r="H20" s="306" t="e">
        <f>SUM(H14:H15)+G20-H6</f>
        <v>#REF!</v>
      </c>
      <c r="I20" s="306" t="e">
        <f t="shared" ref="I20" si="24">SUM(I14:I15)+H20-I6</f>
        <v>#REF!</v>
      </c>
      <c r="J20" s="306" t="e">
        <f t="shared" ref="J20" si="25">SUM(J14:J15)+I20-J6</f>
        <v>#REF!</v>
      </c>
      <c r="K20" s="306" t="e">
        <f t="shared" ref="K20:AG20" si="26">SUM(K14:K15)+J20-K6</f>
        <v>#REF!</v>
      </c>
      <c r="L20" s="306" t="e">
        <f t="shared" si="26"/>
        <v>#REF!</v>
      </c>
      <c r="M20" s="306" t="e">
        <f t="shared" si="26"/>
        <v>#REF!</v>
      </c>
      <c r="N20" s="306" t="e">
        <f t="shared" si="26"/>
        <v>#REF!</v>
      </c>
      <c r="O20" s="307" t="e">
        <f t="shared" si="26"/>
        <v>#REF!</v>
      </c>
      <c r="P20" s="306" t="e">
        <f t="shared" si="26"/>
        <v>#REF!</v>
      </c>
      <c r="Q20" s="306" t="e">
        <f t="shared" si="26"/>
        <v>#REF!</v>
      </c>
      <c r="R20" s="306" t="e">
        <f t="shared" si="26"/>
        <v>#REF!</v>
      </c>
      <c r="S20" s="306" t="e">
        <f t="shared" si="26"/>
        <v>#REF!</v>
      </c>
      <c r="T20" s="306" t="e">
        <f t="shared" si="26"/>
        <v>#REF!</v>
      </c>
      <c r="U20" s="308" t="e">
        <f t="shared" si="26"/>
        <v>#REF!</v>
      </c>
      <c r="V20" s="308" t="e">
        <f t="shared" si="26"/>
        <v>#REF!</v>
      </c>
      <c r="W20" s="308" t="e">
        <f t="shared" si="26"/>
        <v>#REF!</v>
      </c>
      <c r="X20" s="308" t="e">
        <f t="shared" si="26"/>
        <v>#REF!</v>
      </c>
      <c r="Y20" s="306" t="e">
        <f t="shared" si="26"/>
        <v>#REF!</v>
      </c>
      <c r="Z20" s="308" t="e">
        <f t="shared" si="26"/>
        <v>#REF!</v>
      </c>
      <c r="AA20" s="308" t="e">
        <f t="shared" si="26"/>
        <v>#REF!</v>
      </c>
      <c r="AB20" s="308" t="e">
        <f t="shared" si="26"/>
        <v>#REF!</v>
      </c>
      <c r="AC20" s="308" t="e">
        <f t="shared" si="26"/>
        <v>#REF!</v>
      </c>
      <c r="AD20" s="309" t="e">
        <f t="shared" si="26"/>
        <v>#REF!</v>
      </c>
      <c r="AE20" s="310" t="e">
        <f t="shared" si="26"/>
        <v>#REF!</v>
      </c>
      <c r="AF20" s="311" t="e">
        <f t="shared" si="26"/>
        <v>#REF!</v>
      </c>
      <c r="AG20" s="312" t="e">
        <f t="shared" si="26"/>
        <v>#REF!</v>
      </c>
    </row>
    <row r="21" spans="1:43" s="252" customFormat="1" ht="16.5" thickBot="1">
      <c r="A21" s="547"/>
      <c r="B21" s="313" t="s">
        <v>840</v>
      </c>
      <c r="C21" s="314" t="e">
        <f>C17-C8</f>
        <v>#REF!</v>
      </c>
      <c r="D21" s="314" t="e">
        <f t="shared" ref="D21:R21" si="27">D17-D8</f>
        <v>#REF!</v>
      </c>
      <c r="E21" s="314" t="e">
        <f t="shared" si="27"/>
        <v>#REF!</v>
      </c>
      <c r="F21" s="314" t="e">
        <f t="shared" si="27"/>
        <v>#REF!</v>
      </c>
      <c r="G21" s="314" t="e">
        <f t="shared" si="27"/>
        <v>#REF!</v>
      </c>
      <c r="H21" s="314" t="e">
        <f t="shared" si="27"/>
        <v>#REF!</v>
      </c>
      <c r="I21" s="314" t="e">
        <f t="shared" si="27"/>
        <v>#REF!</v>
      </c>
      <c r="J21" s="314" t="e">
        <f t="shared" si="27"/>
        <v>#REF!</v>
      </c>
      <c r="K21" s="314" t="e">
        <f t="shared" si="27"/>
        <v>#REF!</v>
      </c>
      <c r="L21" s="314" t="e">
        <f t="shared" si="27"/>
        <v>#REF!</v>
      </c>
      <c r="M21" s="314" t="e">
        <f t="shared" si="27"/>
        <v>#REF!</v>
      </c>
      <c r="N21" s="314" t="e">
        <f t="shared" si="27"/>
        <v>#REF!</v>
      </c>
      <c r="O21" s="314" t="e">
        <f t="shared" si="27"/>
        <v>#REF!</v>
      </c>
      <c r="P21" s="314" t="e">
        <f t="shared" si="27"/>
        <v>#REF!</v>
      </c>
      <c r="Q21" s="314" t="e">
        <f t="shared" si="27"/>
        <v>#REF!</v>
      </c>
      <c r="R21" s="314" t="e">
        <f t="shared" si="27"/>
        <v>#REF!</v>
      </c>
      <c r="S21" s="314" t="e">
        <f>S17-S8</f>
        <v>#REF!</v>
      </c>
      <c r="T21" s="314" t="e">
        <f t="shared" ref="T21:AG21" si="28">T17-T8</f>
        <v>#REF!</v>
      </c>
      <c r="U21" s="315" t="e">
        <f t="shared" si="28"/>
        <v>#REF!</v>
      </c>
      <c r="V21" s="315" t="e">
        <f t="shared" si="28"/>
        <v>#REF!</v>
      </c>
      <c r="W21" s="315" t="e">
        <f t="shared" si="28"/>
        <v>#REF!</v>
      </c>
      <c r="X21" s="315" t="e">
        <f t="shared" si="28"/>
        <v>#REF!</v>
      </c>
      <c r="Y21" s="314" t="e">
        <f t="shared" si="28"/>
        <v>#REF!</v>
      </c>
      <c r="Z21" s="315" t="e">
        <f t="shared" si="28"/>
        <v>#REF!</v>
      </c>
      <c r="AA21" s="315" t="e">
        <f t="shared" si="28"/>
        <v>#REF!</v>
      </c>
      <c r="AB21" s="315" t="e">
        <f t="shared" si="28"/>
        <v>#REF!</v>
      </c>
      <c r="AC21" s="315" t="e">
        <f t="shared" si="28"/>
        <v>#REF!</v>
      </c>
      <c r="AD21" s="315" t="e">
        <f t="shared" si="28"/>
        <v>#REF!</v>
      </c>
      <c r="AE21" s="316" t="e">
        <f t="shared" si="28"/>
        <v>#REF!</v>
      </c>
      <c r="AF21" s="317" t="e">
        <f t="shared" si="28"/>
        <v>#REF!</v>
      </c>
      <c r="AG21" s="318" t="e">
        <f t="shared" si="28"/>
        <v>#REF!</v>
      </c>
    </row>
    <row r="22" spans="1:43" s="252" customFormat="1" ht="15.75">
      <c r="A22" s="530" t="s">
        <v>857</v>
      </c>
      <c r="B22" s="290" t="s">
        <v>837</v>
      </c>
      <c r="C22" s="319" t="e">
        <f t="shared" ref="C22:AG24" si="29">C18/133*8</f>
        <v>#REF!</v>
      </c>
      <c r="D22" s="319" t="e">
        <f t="shared" si="29"/>
        <v>#REF!</v>
      </c>
      <c r="E22" s="319" t="e">
        <f t="shared" si="29"/>
        <v>#REF!</v>
      </c>
      <c r="F22" s="319" t="e">
        <f t="shared" si="29"/>
        <v>#REF!</v>
      </c>
      <c r="G22" s="319" t="e">
        <f t="shared" si="29"/>
        <v>#REF!</v>
      </c>
      <c r="H22" s="319" t="e">
        <f t="shared" si="29"/>
        <v>#REF!</v>
      </c>
      <c r="I22" s="319" t="e">
        <f t="shared" si="29"/>
        <v>#REF!</v>
      </c>
      <c r="J22" s="319" t="e">
        <f t="shared" si="29"/>
        <v>#REF!</v>
      </c>
      <c r="K22" s="319" t="e">
        <f t="shared" si="29"/>
        <v>#REF!</v>
      </c>
      <c r="L22" s="319" t="e">
        <f t="shared" si="29"/>
        <v>#REF!</v>
      </c>
      <c r="M22" s="319" t="e">
        <f t="shared" si="29"/>
        <v>#REF!</v>
      </c>
      <c r="N22" s="319" t="e">
        <f t="shared" si="29"/>
        <v>#REF!</v>
      </c>
      <c r="O22" s="319" t="e">
        <f t="shared" si="29"/>
        <v>#REF!</v>
      </c>
      <c r="P22" s="319" t="e">
        <f t="shared" si="29"/>
        <v>#REF!</v>
      </c>
      <c r="Q22" s="319" t="e">
        <f t="shared" si="29"/>
        <v>#REF!</v>
      </c>
      <c r="R22" s="319" t="e">
        <f t="shared" si="29"/>
        <v>#REF!</v>
      </c>
      <c r="S22" s="319" t="e">
        <f t="shared" si="29"/>
        <v>#REF!</v>
      </c>
      <c r="T22" s="319" t="e">
        <f t="shared" si="29"/>
        <v>#REF!</v>
      </c>
      <c r="U22" s="320" t="e">
        <f t="shared" si="29"/>
        <v>#REF!</v>
      </c>
      <c r="V22" s="320" t="e">
        <f t="shared" si="29"/>
        <v>#REF!</v>
      </c>
      <c r="W22" s="320" t="e">
        <f t="shared" si="29"/>
        <v>#REF!</v>
      </c>
      <c r="X22" s="320" t="e">
        <f t="shared" si="29"/>
        <v>#REF!</v>
      </c>
      <c r="Y22" s="319" t="e">
        <f t="shared" si="29"/>
        <v>#REF!</v>
      </c>
      <c r="Z22" s="320" t="e">
        <f t="shared" si="29"/>
        <v>#REF!</v>
      </c>
      <c r="AA22" s="320" t="e">
        <f t="shared" si="29"/>
        <v>#REF!</v>
      </c>
      <c r="AB22" s="320" t="e">
        <f t="shared" si="29"/>
        <v>#REF!</v>
      </c>
      <c r="AC22" s="320" t="e">
        <f t="shared" si="29"/>
        <v>#REF!</v>
      </c>
      <c r="AD22" s="320" t="e">
        <f t="shared" si="29"/>
        <v>#REF!</v>
      </c>
      <c r="AE22" s="320" t="e">
        <f t="shared" si="29"/>
        <v>#REF!</v>
      </c>
      <c r="AF22" s="319" t="e">
        <f t="shared" si="29"/>
        <v>#REF!</v>
      </c>
      <c r="AG22" s="320" t="e">
        <f t="shared" si="29"/>
        <v>#REF!</v>
      </c>
    </row>
    <row r="23" spans="1:43" s="252" customFormat="1" ht="15.75">
      <c r="A23" s="531"/>
      <c r="B23" s="298" t="s">
        <v>838</v>
      </c>
      <c r="C23" s="321" t="e">
        <f t="shared" si="29"/>
        <v>#REF!</v>
      </c>
      <c r="D23" s="321" t="e">
        <f t="shared" si="29"/>
        <v>#REF!</v>
      </c>
      <c r="E23" s="321" t="e">
        <f t="shared" si="29"/>
        <v>#REF!</v>
      </c>
      <c r="F23" s="321" t="e">
        <f t="shared" si="29"/>
        <v>#REF!</v>
      </c>
      <c r="G23" s="321" t="e">
        <f t="shared" si="29"/>
        <v>#REF!</v>
      </c>
      <c r="H23" s="321" t="e">
        <f t="shared" si="29"/>
        <v>#REF!</v>
      </c>
      <c r="I23" s="321" t="e">
        <f t="shared" si="29"/>
        <v>#REF!</v>
      </c>
      <c r="J23" s="321" t="e">
        <f t="shared" si="29"/>
        <v>#REF!</v>
      </c>
      <c r="K23" s="321" t="e">
        <f t="shared" si="29"/>
        <v>#REF!</v>
      </c>
      <c r="L23" s="321" t="e">
        <f t="shared" si="29"/>
        <v>#REF!</v>
      </c>
      <c r="M23" s="321" t="e">
        <f t="shared" si="29"/>
        <v>#REF!</v>
      </c>
      <c r="N23" s="321" t="e">
        <f t="shared" si="29"/>
        <v>#REF!</v>
      </c>
      <c r="O23" s="321" t="e">
        <f t="shared" si="29"/>
        <v>#REF!</v>
      </c>
      <c r="P23" s="321" t="e">
        <f t="shared" si="29"/>
        <v>#REF!</v>
      </c>
      <c r="Q23" s="321" t="e">
        <f t="shared" si="29"/>
        <v>#REF!</v>
      </c>
      <c r="R23" s="321" t="e">
        <f t="shared" si="29"/>
        <v>#REF!</v>
      </c>
      <c r="S23" s="321" t="e">
        <f t="shared" si="29"/>
        <v>#REF!</v>
      </c>
      <c r="T23" s="321" t="e">
        <f t="shared" si="29"/>
        <v>#REF!</v>
      </c>
      <c r="U23" s="322" t="e">
        <f t="shared" si="29"/>
        <v>#REF!</v>
      </c>
      <c r="V23" s="322" t="e">
        <f t="shared" si="29"/>
        <v>#REF!</v>
      </c>
      <c r="W23" s="322" t="e">
        <f t="shared" si="29"/>
        <v>#REF!</v>
      </c>
      <c r="X23" s="322" t="e">
        <f t="shared" si="29"/>
        <v>#REF!</v>
      </c>
      <c r="Y23" s="321" t="e">
        <f t="shared" si="29"/>
        <v>#REF!</v>
      </c>
      <c r="Z23" s="322" t="e">
        <f t="shared" si="29"/>
        <v>#REF!</v>
      </c>
      <c r="AA23" s="322" t="e">
        <f t="shared" si="29"/>
        <v>#REF!</v>
      </c>
      <c r="AB23" s="322" t="e">
        <f t="shared" si="29"/>
        <v>#REF!</v>
      </c>
      <c r="AC23" s="322" t="e">
        <f t="shared" si="29"/>
        <v>#REF!</v>
      </c>
      <c r="AD23" s="322" t="e">
        <f t="shared" si="29"/>
        <v>#REF!</v>
      </c>
      <c r="AE23" s="322" t="e">
        <f t="shared" si="29"/>
        <v>#REF!</v>
      </c>
      <c r="AF23" s="321" t="e">
        <f t="shared" si="29"/>
        <v>#REF!</v>
      </c>
      <c r="AG23" s="322" t="e">
        <f t="shared" si="29"/>
        <v>#REF!</v>
      </c>
    </row>
    <row r="24" spans="1:43" s="252" customFormat="1" ht="15.75">
      <c r="A24" s="531"/>
      <c r="B24" s="282" t="s">
        <v>856</v>
      </c>
      <c r="C24" s="323" t="e">
        <f t="shared" si="29"/>
        <v>#REF!</v>
      </c>
      <c r="D24" s="323" t="e">
        <f t="shared" si="29"/>
        <v>#REF!</v>
      </c>
      <c r="E24" s="323" t="e">
        <f t="shared" si="29"/>
        <v>#REF!</v>
      </c>
      <c r="F24" s="323" t="e">
        <f t="shared" si="29"/>
        <v>#REF!</v>
      </c>
      <c r="G24" s="323" t="e">
        <f t="shared" si="29"/>
        <v>#REF!</v>
      </c>
      <c r="H24" s="323" t="e">
        <f t="shared" si="29"/>
        <v>#REF!</v>
      </c>
      <c r="I24" s="323" t="e">
        <f t="shared" si="29"/>
        <v>#REF!</v>
      </c>
      <c r="J24" s="323" t="e">
        <f t="shared" si="29"/>
        <v>#REF!</v>
      </c>
      <c r="K24" s="323" t="e">
        <f t="shared" si="29"/>
        <v>#REF!</v>
      </c>
      <c r="L24" s="323" t="e">
        <f t="shared" si="29"/>
        <v>#REF!</v>
      </c>
      <c r="M24" s="323" t="e">
        <f t="shared" si="29"/>
        <v>#REF!</v>
      </c>
      <c r="N24" s="323" t="e">
        <f t="shared" si="29"/>
        <v>#REF!</v>
      </c>
      <c r="O24" s="323" t="e">
        <f t="shared" si="29"/>
        <v>#REF!</v>
      </c>
      <c r="P24" s="323" t="e">
        <f>P20/133*8</f>
        <v>#REF!</v>
      </c>
      <c r="Q24" s="323" t="e">
        <f t="shared" si="29"/>
        <v>#REF!</v>
      </c>
      <c r="R24" s="323" t="e">
        <f t="shared" si="29"/>
        <v>#REF!</v>
      </c>
      <c r="S24" s="323" t="e">
        <f t="shared" si="29"/>
        <v>#REF!</v>
      </c>
      <c r="T24" s="323" t="e">
        <f t="shared" si="29"/>
        <v>#REF!</v>
      </c>
      <c r="U24" s="324" t="e">
        <f t="shared" si="29"/>
        <v>#REF!</v>
      </c>
      <c r="V24" s="324" t="e">
        <f t="shared" si="29"/>
        <v>#REF!</v>
      </c>
      <c r="W24" s="324" t="e">
        <f t="shared" si="29"/>
        <v>#REF!</v>
      </c>
      <c r="X24" s="324" t="e">
        <f t="shared" si="29"/>
        <v>#REF!</v>
      </c>
      <c r="Y24" s="323" t="e">
        <f t="shared" si="29"/>
        <v>#REF!</v>
      </c>
      <c r="Z24" s="324" t="e">
        <f t="shared" si="29"/>
        <v>#REF!</v>
      </c>
      <c r="AA24" s="324" t="e">
        <f t="shared" si="29"/>
        <v>#REF!</v>
      </c>
      <c r="AB24" s="324" t="e">
        <f t="shared" si="29"/>
        <v>#REF!</v>
      </c>
      <c r="AC24" s="324" t="e">
        <f t="shared" si="29"/>
        <v>#REF!</v>
      </c>
      <c r="AD24" s="324" t="e">
        <f t="shared" si="29"/>
        <v>#REF!</v>
      </c>
      <c r="AE24" s="324" t="e">
        <f t="shared" si="29"/>
        <v>#REF!</v>
      </c>
      <c r="AF24" s="323" t="e">
        <f t="shared" si="29"/>
        <v>#REF!</v>
      </c>
      <c r="AG24" s="324" t="e">
        <f t="shared" si="29"/>
        <v>#REF!</v>
      </c>
    </row>
    <row r="25" spans="1:43" s="252" customFormat="1" ht="15.75">
      <c r="A25" s="532"/>
      <c r="B25" s="325" t="s">
        <v>840</v>
      </c>
      <c r="C25" s="326" t="e">
        <f t="shared" ref="C25:AG25" si="30">C21/390*8</f>
        <v>#REF!</v>
      </c>
      <c r="D25" s="326" t="e">
        <f t="shared" si="30"/>
        <v>#REF!</v>
      </c>
      <c r="E25" s="326" t="e">
        <f t="shared" si="30"/>
        <v>#REF!</v>
      </c>
      <c r="F25" s="326" t="e">
        <f t="shared" si="30"/>
        <v>#REF!</v>
      </c>
      <c r="G25" s="326" t="e">
        <f t="shared" si="30"/>
        <v>#REF!</v>
      </c>
      <c r="H25" s="326" t="e">
        <f t="shared" si="30"/>
        <v>#REF!</v>
      </c>
      <c r="I25" s="326" t="e">
        <f t="shared" si="30"/>
        <v>#REF!</v>
      </c>
      <c r="J25" s="326" t="e">
        <f t="shared" si="30"/>
        <v>#REF!</v>
      </c>
      <c r="K25" s="326" t="e">
        <f t="shared" si="30"/>
        <v>#REF!</v>
      </c>
      <c r="L25" s="326" t="e">
        <f t="shared" si="30"/>
        <v>#REF!</v>
      </c>
      <c r="M25" s="326" t="e">
        <f t="shared" si="30"/>
        <v>#REF!</v>
      </c>
      <c r="N25" s="326" t="e">
        <f t="shared" si="30"/>
        <v>#REF!</v>
      </c>
      <c r="O25" s="326" t="e">
        <f t="shared" si="30"/>
        <v>#REF!</v>
      </c>
      <c r="P25" s="326" t="e">
        <f t="shared" si="30"/>
        <v>#REF!</v>
      </c>
      <c r="Q25" s="326" t="e">
        <f t="shared" si="30"/>
        <v>#REF!</v>
      </c>
      <c r="R25" s="326" t="e">
        <f t="shared" si="30"/>
        <v>#REF!</v>
      </c>
      <c r="S25" s="326" t="e">
        <f t="shared" si="30"/>
        <v>#REF!</v>
      </c>
      <c r="T25" s="326" t="e">
        <f t="shared" si="30"/>
        <v>#REF!</v>
      </c>
      <c r="U25" s="327" t="e">
        <f t="shared" si="30"/>
        <v>#REF!</v>
      </c>
      <c r="V25" s="327" t="e">
        <f t="shared" si="30"/>
        <v>#REF!</v>
      </c>
      <c r="W25" s="327" t="e">
        <f t="shared" si="30"/>
        <v>#REF!</v>
      </c>
      <c r="X25" s="327" t="e">
        <f t="shared" si="30"/>
        <v>#REF!</v>
      </c>
      <c r="Y25" s="326" t="e">
        <f t="shared" si="30"/>
        <v>#REF!</v>
      </c>
      <c r="Z25" s="327" t="e">
        <f t="shared" si="30"/>
        <v>#REF!</v>
      </c>
      <c r="AA25" s="327" t="e">
        <f t="shared" si="30"/>
        <v>#REF!</v>
      </c>
      <c r="AB25" s="327" t="e">
        <f t="shared" si="30"/>
        <v>#REF!</v>
      </c>
      <c r="AC25" s="327" t="e">
        <f t="shared" si="30"/>
        <v>#REF!</v>
      </c>
      <c r="AD25" s="327" t="e">
        <f t="shared" si="30"/>
        <v>#REF!</v>
      </c>
      <c r="AE25" s="327" t="e">
        <f t="shared" si="30"/>
        <v>#REF!</v>
      </c>
      <c r="AF25" s="326" t="e">
        <f t="shared" si="30"/>
        <v>#REF!</v>
      </c>
      <c r="AG25" s="327" t="e">
        <f t="shared" si="30"/>
        <v>#REF!</v>
      </c>
    </row>
    <row r="29" spans="1:43" s="205" customFormat="1" ht="18.75" customHeight="1">
      <c r="A29" s="551" t="s">
        <v>873</v>
      </c>
      <c r="B29" s="552"/>
      <c r="C29" s="328">
        <v>1</v>
      </c>
      <c r="D29" s="328">
        <v>2</v>
      </c>
      <c r="E29" s="328">
        <v>3</v>
      </c>
      <c r="F29" s="328">
        <v>4</v>
      </c>
      <c r="G29" s="329">
        <v>5</v>
      </c>
      <c r="H29" s="329">
        <v>6</v>
      </c>
      <c r="I29" s="329">
        <v>7</v>
      </c>
      <c r="J29" s="328">
        <v>8</v>
      </c>
      <c r="K29" s="328">
        <v>9</v>
      </c>
      <c r="L29" s="328">
        <v>10</v>
      </c>
      <c r="M29" s="328">
        <v>11</v>
      </c>
      <c r="N29" s="329">
        <v>12</v>
      </c>
      <c r="O29" s="329">
        <v>13</v>
      </c>
      <c r="P29" s="328">
        <v>14</v>
      </c>
      <c r="Q29" s="328">
        <v>15</v>
      </c>
      <c r="R29" s="328">
        <v>16</v>
      </c>
      <c r="S29" s="328">
        <v>17</v>
      </c>
      <c r="T29" s="328">
        <v>18</v>
      </c>
      <c r="U29" s="328">
        <v>19</v>
      </c>
      <c r="V29" s="329">
        <v>20</v>
      </c>
      <c r="W29" s="328">
        <v>21</v>
      </c>
      <c r="X29" s="328">
        <v>22</v>
      </c>
      <c r="Y29" s="328">
        <v>23</v>
      </c>
      <c r="Z29" s="328">
        <v>24</v>
      </c>
      <c r="AA29" s="328">
        <v>25</v>
      </c>
      <c r="AB29" s="329">
        <v>26</v>
      </c>
      <c r="AC29" s="329">
        <v>27</v>
      </c>
      <c r="AD29" s="328">
        <v>28</v>
      </c>
      <c r="AE29" s="328">
        <v>29</v>
      </c>
      <c r="AF29" s="328">
        <v>30</v>
      </c>
      <c r="AG29" s="329"/>
      <c r="AQ29" s="206"/>
    </row>
    <row r="30" spans="1:43" s="205" customFormat="1" ht="18.75" customHeight="1" thickBot="1">
      <c r="A30" s="553"/>
      <c r="B30" s="554"/>
      <c r="C30" s="197" t="s">
        <v>831</v>
      </c>
      <c r="D30" s="197" t="s">
        <v>832</v>
      </c>
      <c r="E30" s="197" t="s">
        <v>833</v>
      </c>
      <c r="F30" s="197" t="s">
        <v>834</v>
      </c>
      <c r="G30" s="196" t="s">
        <v>828</v>
      </c>
      <c r="H30" s="196" t="s">
        <v>829</v>
      </c>
      <c r="I30" s="196" t="s">
        <v>830</v>
      </c>
      <c r="J30" s="197" t="s">
        <v>831</v>
      </c>
      <c r="K30" s="197" t="s">
        <v>832</v>
      </c>
      <c r="L30" s="197" t="s">
        <v>833</v>
      </c>
      <c r="M30" s="197" t="s">
        <v>834</v>
      </c>
      <c r="N30" s="196" t="s">
        <v>828</v>
      </c>
      <c r="O30" s="196" t="s">
        <v>829</v>
      </c>
      <c r="P30" s="197" t="s">
        <v>830</v>
      </c>
      <c r="Q30" s="197" t="s">
        <v>831</v>
      </c>
      <c r="R30" s="197" t="s">
        <v>832</v>
      </c>
      <c r="S30" s="197" t="s">
        <v>833</v>
      </c>
      <c r="T30" s="197" t="s">
        <v>834</v>
      </c>
      <c r="U30" s="197" t="s">
        <v>828</v>
      </c>
      <c r="V30" s="196" t="s">
        <v>829</v>
      </c>
      <c r="W30" s="197" t="s">
        <v>830</v>
      </c>
      <c r="X30" s="197" t="s">
        <v>831</v>
      </c>
      <c r="Y30" s="197" t="s">
        <v>832</v>
      </c>
      <c r="Z30" s="197" t="s">
        <v>833</v>
      </c>
      <c r="AA30" s="197" t="s">
        <v>834</v>
      </c>
      <c r="AB30" s="197" t="s">
        <v>828</v>
      </c>
      <c r="AC30" s="196" t="s">
        <v>829</v>
      </c>
      <c r="AD30" s="197" t="s">
        <v>830</v>
      </c>
      <c r="AE30" s="197" t="s">
        <v>831</v>
      </c>
      <c r="AF30" s="197" t="s">
        <v>832</v>
      </c>
      <c r="AG30" s="196"/>
    </row>
    <row r="31" spans="1:43" s="353" customFormat="1" ht="25.5" customHeight="1" thickTop="1">
      <c r="A31" s="344" t="s">
        <v>835</v>
      </c>
      <c r="B31" s="345"/>
      <c r="C31" s="346">
        <v>2.5</v>
      </c>
      <c r="D31" s="346">
        <v>2.5</v>
      </c>
      <c r="E31" s="346">
        <v>2</v>
      </c>
      <c r="F31" s="347">
        <v>10</v>
      </c>
      <c r="G31" s="348"/>
      <c r="H31" s="348"/>
      <c r="I31" s="348"/>
      <c r="J31" s="346">
        <v>2</v>
      </c>
      <c r="K31" s="346">
        <v>2.5</v>
      </c>
      <c r="L31" s="346">
        <v>2.5</v>
      </c>
      <c r="M31" s="349"/>
      <c r="N31" s="347">
        <v>10.5</v>
      </c>
      <c r="O31" s="348"/>
      <c r="P31" s="349"/>
      <c r="Q31" s="347">
        <v>2.5</v>
      </c>
      <c r="R31" s="346">
        <v>2.5</v>
      </c>
      <c r="S31" s="346">
        <v>2.5</v>
      </c>
      <c r="T31" s="347">
        <v>2.5</v>
      </c>
      <c r="U31" s="349"/>
      <c r="V31" s="348"/>
      <c r="W31" s="346">
        <v>2</v>
      </c>
      <c r="X31" s="346">
        <v>2</v>
      </c>
      <c r="Y31" s="347">
        <v>2.5</v>
      </c>
      <c r="Z31" s="347">
        <v>2.5</v>
      </c>
      <c r="AA31" s="349"/>
      <c r="AB31" s="346">
        <v>10</v>
      </c>
      <c r="AC31" s="348"/>
      <c r="AD31" s="346">
        <v>2.5</v>
      </c>
      <c r="AE31" s="346">
        <v>2.5</v>
      </c>
      <c r="AF31" s="349"/>
      <c r="AG31" s="348"/>
      <c r="AH31" s="205"/>
      <c r="AI31" s="350" t="s">
        <v>874</v>
      </c>
      <c r="AJ31" s="351">
        <f>C31+D31+E31+F31+J31+K31+L31+N31+Q31+R31+S31+T31+W31+X31+Y31+Z31+AB31+AD31+AE31</f>
        <v>68.5</v>
      </c>
      <c r="AK31" s="352" t="s">
        <v>875</v>
      </c>
      <c r="AL31" s="350"/>
    </row>
    <row r="32" spans="1:43" s="362" customFormat="1" ht="25.5" customHeight="1">
      <c r="A32" s="555" t="s">
        <v>836</v>
      </c>
      <c r="B32" s="354" t="s">
        <v>837</v>
      </c>
      <c r="C32" s="355">
        <v>328</v>
      </c>
      <c r="D32" s="356">
        <v>336</v>
      </c>
      <c r="E32" s="356">
        <v>320</v>
      </c>
      <c r="F32" s="356">
        <v>320</v>
      </c>
      <c r="G32" s="357">
        <v>260</v>
      </c>
      <c r="H32" s="357"/>
      <c r="I32" s="357">
        <v>256</v>
      </c>
      <c r="J32" s="356">
        <v>336</v>
      </c>
      <c r="K32" s="356">
        <v>336</v>
      </c>
      <c r="L32" s="356">
        <v>320</v>
      </c>
      <c r="M32" s="356">
        <v>260</v>
      </c>
      <c r="N32" s="358"/>
      <c r="O32" s="357"/>
      <c r="P32" s="356">
        <v>256</v>
      </c>
      <c r="Q32" s="356">
        <v>320</v>
      </c>
      <c r="R32" s="356">
        <v>336</v>
      </c>
      <c r="S32" s="356">
        <v>336</v>
      </c>
      <c r="T32" s="356">
        <v>260</v>
      </c>
      <c r="U32" s="356">
        <v>260</v>
      </c>
      <c r="V32" s="357"/>
      <c r="W32" s="356">
        <v>256</v>
      </c>
      <c r="X32" s="356">
        <v>336</v>
      </c>
      <c r="Y32" s="356">
        <v>320</v>
      </c>
      <c r="Z32" s="356">
        <v>320</v>
      </c>
      <c r="AA32" s="356">
        <v>260</v>
      </c>
      <c r="AB32" s="356">
        <v>320</v>
      </c>
      <c r="AC32" s="357"/>
      <c r="AD32" s="356">
        <v>316</v>
      </c>
      <c r="AE32" s="356">
        <v>336</v>
      </c>
      <c r="AF32" s="356">
        <v>260</v>
      </c>
      <c r="AG32" s="357"/>
      <c r="AH32" s="205"/>
      <c r="AI32" s="350" t="s">
        <v>876</v>
      </c>
      <c r="AJ32" s="359">
        <f>SUM(C32:AG32)</f>
        <v>7564</v>
      </c>
      <c r="AK32" s="360"/>
      <c r="AL32" s="361"/>
    </row>
    <row r="33" spans="1:37" s="361" customFormat="1" ht="25.5" customHeight="1">
      <c r="A33" s="556"/>
      <c r="B33" s="363" t="s">
        <v>838</v>
      </c>
      <c r="C33" s="364">
        <v>328</v>
      </c>
      <c r="D33" s="365">
        <v>336</v>
      </c>
      <c r="E33" s="365">
        <v>320</v>
      </c>
      <c r="F33" s="365">
        <v>320</v>
      </c>
      <c r="G33" s="366">
        <v>260</v>
      </c>
      <c r="H33" s="366"/>
      <c r="I33" s="366">
        <v>256</v>
      </c>
      <c r="J33" s="365">
        <v>336</v>
      </c>
      <c r="K33" s="365">
        <v>336</v>
      </c>
      <c r="L33" s="365">
        <v>320</v>
      </c>
      <c r="M33" s="365">
        <v>260</v>
      </c>
      <c r="N33" s="367"/>
      <c r="O33" s="366"/>
      <c r="P33" s="365">
        <v>256</v>
      </c>
      <c r="Q33" s="365">
        <v>320</v>
      </c>
      <c r="R33" s="365">
        <v>336</v>
      </c>
      <c r="S33" s="365">
        <v>336</v>
      </c>
      <c r="T33" s="365">
        <v>260</v>
      </c>
      <c r="U33" s="365">
        <v>260</v>
      </c>
      <c r="V33" s="366"/>
      <c r="W33" s="365">
        <v>256</v>
      </c>
      <c r="X33" s="365">
        <v>336</v>
      </c>
      <c r="Y33" s="365">
        <v>320</v>
      </c>
      <c r="Z33" s="365">
        <v>320</v>
      </c>
      <c r="AA33" s="365">
        <v>260</v>
      </c>
      <c r="AB33" s="365">
        <v>320</v>
      </c>
      <c r="AC33" s="366"/>
      <c r="AD33" s="365">
        <v>316</v>
      </c>
      <c r="AE33" s="365">
        <v>336</v>
      </c>
      <c r="AF33" s="365">
        <v>260</v>
      </c>
      <c r="AG33" s="366"/>
      <c r="AH33" s="205"/>
      <c r="AI33" s="350" t="s">
        <v>877</v>
      </c>
      <c r="AJ33" s="359">
        <f>SUM(C33:AG33)</f>
        <v>7564</v>
      </c>
      <c r="AK33" s="360"/>
    </row>
    <row r="34" spans="1:37" s="361" customFormat="1" ht="25.5" customHeight="1">
      <c r="A34" s="556"/>
      <c r="B34" s="363" t="s">
        <v>839</v>
      </c>
      <c r="C34" s="364">
        <v>328</v>
      </c>
      <c r="D34" s="365">
        <v>336</v>
      </c>
      <c r="E34" s="365">
        <v>320</v>
      </c>
      <c r="F34" s="365">
        <v>320</v>
      </c>
      <c r="G34" s="366">
        <v>260</v>
      </c>
      <c r="H34" s="366"/>
      <c r="I34" s="366">
        <v>256</v>
      </c>
      <c r="J34" s="365">
        <v>336</v>
      </c>
      <c r="K34" s="365">
        <v>336</v>
      </c>
      <c r="L34" s="365">
        <v>320</v>
      </c>
      <c r="M34" s="365">
        <v>260</v>
      </c>
      <c r="N34" s="367"/>
      <c r="O34" s="366"/>
      <c r="P34" s="365">
        <v>256</v>
      </c>
      <c r="Q34" s="365">
        <v>320</v>
      </c>
      <c r="R34" s="365">
        <v>336</v>
      </c>
      <c r="S34" s="365">
        <v>336</v>
      </c>
      <c r="T34" s="365">
        <v>260</v>
      </c>
      <c r="U34" s="365">
        <v>260</v>
      </c>
      <c r="V34" s="366"/>
      <c r="W34" s="365">
        <v>256</v>
      </c>
      <c r="X34" s="365">
        <v>336</v>
      </c>
      <c r="Y34" s="365">
        <v>320</v>
      </c>
      <c r="Z34" s="365">
        <v>320</v>
      </c>
      <c r="AA34" s="365">
        <v>260</v>
      </c>
      <c r="AB34" s="365">
        <v>320</v>
      </c>
      <c r="AC34" s="366"/>
      <c r="AD34" s="365">
        <v>316</v>
      </c>
      <c r="AE34" s="365">
        <v>336</v>
      </c>
      <c r="AF34" s="365">
        <v>260</v>
      </c>
      <c r="AG34" s="366"/>
      <c r="AH34" s="350"/>
      <c r="AI34" s="350" t="s">
        <v>878</v>
      </c>
      <c r="AJ34" s="359">
        <f>SUM(C34:AG34)</f>
        <v>7564</v>
      </c>
      <c r="AK34" s="360"/>
    </row>
    <row r="35" spans="1:37" s="361" customFormat="1" ht="25.5" customHeight="1">
      <c r="A35" s="556"/>
      <c r="B35" s="368" t="s">
        <v>840</v>
      </c>
      <c r="C35" s="369">
        <f t="shared" ref="C35:K35" si="31">SUM(C32:C34)</f>
        <v>984</v>
      </c>
      <c r="D35" s="369">
        <f t="shared" si="31"/>
        <v>1008</v>
      </c>
      <c r="E35" s="369">
        <f t="shared" si="31"/>
        <v>960</v>
      </c>
      <c r="F35" s="369">
        <f t="shared" si="31"/>
        <v>960</v>
      </c>
      <c r="G35" s="370">
        <f t="shared" si="31"/>
        <v>780</v>
      </c>
      <c r="H35" s="370">
        <f t="shared" si="31"/>
        <v>0</v>
      </c>
      <c r="I35" s="370">
        <f t="shared" si="31"/>
        <v>768</v>
      </c>
      <c r="J35" s="369">
        <f t="shared" si="31"/>
        <v>1008</v>
      </c>
      <c r="K35" s="369">
        <f t="shared" si="31"/>
        <v>1008</v>
      </c>
      <c r="L35" s="369">
        <f>SUM(L32:L34)</f>
        <v>960</v>
      </c>
      <c r="M35" s="369">
        <f>SUM(M32:M34)</f>
        <v>780</v>
      </c>
      <c r="N35" s="370">
        <f t="shared" ref="N35:R35" si="32">SUM(N32:N34)</f>
        <v>0</v>
      </c>
      <c r="O35" s="370">
        <f t="shared" si="32"/>
        <v>0</v>
      </c>
      <c r="P35" s="369">
        <f t="shared" si="32"/>
        <v>768</v>
      </c>
      <c r="Q35" s="369">
        <f t="shared" si="32"/>
        <v>960</v>
      </c>
      <c r="R35" s="369">
        <f t="shared" si="32"/>
        <v>1008</v>
      </c>
      <c r="S35" s="369">
        <f>SUM(S32:S34)</f>
        <v>1008</v>
      </c>
      <c r="T35" s="369">
        <f>SUM(T32:T34)</f>
        <v>780</v>
      </c>
      <c r="U35" s="369">
        <f>SUM(U32:U34)</f>
        <v>780</v>
      </c>
      <c r="V35" s="370">
        <f t="shared" ref="V35:Y35" si="33">SUM(V32:V34)</f>
        <v>0</v>
      </c>
      <c r="W35" s="369">
        <f t="shared" si="33"/>
        <v>768</v>
      </c>
      <c r="X35" s="369">
        <f t="shared" si="33"/>
        <v>1008</v>
      </c>
      <c r="Y35" s="369">
        <f t="shared" si="33"/>
        <v>960</v>
      </c>
      <c r="Z35" s="369">
        <f>SUM(Z32:Z34)</f>
        <v>960</v>
      </c>
      <c r="AA35" s="369">
        <f>SUM(AA32:AA34)</f>
        <v>780</v>
      </c>
      <c r="AB35" s="369">
        <f>SUM(AB32:AB34)</f>
        <v>960</v>
      </c>
      <c r="AC35" s="370">
        <f t="shared" ref="AC35:AG35" si="34">SUM(AC32:AC34)</f>
        <v>0</v>
      </c>
      <c r="AD35" s="369">
        <f t="shared" si="34"/>
        <v>948</v>
      </c>
      <c r="AE35" s="369">
        <f t="shared" si="34"/>
        <v>1008</v>
      </c>
      <c r="AF35" s="369">
        <f>SUM(AF32:AF34)</f>
        <v>780</v>
      </c>
      <c r="AG35" s="370">
        <f t="shared" si="34"/>
        <v>0</v>
      </c>
      <c r="AH35" s="350"/>
      <c r="AI35" s="350" t="s">
        <v>879</v>
      </c>
      <c r="AJ35" s="371">
        <f>AJ32+AJ33+AJ34</f>
        <v>22692</v>
      </c>
      <c r="AK35" s="360"/>
    </row>
    <row r="36" spans="1:37" s="361" customFormat="1" ht="25.5" hidden="1" customHeight="1">
      <c r="A36" s="557"/>
      <c r="B36" s="372" t="s">
        <v>841</v>
      </c>
      <c r="C36" s="199">
        <f>AG10+C35</f>
        <v>1112</v>
      </c>
      <c r="D36" s="199">
        <f t="shared" ref="D36:AG36" si="35">C36+D35</f>
        <v>2120</v>
      </c>
      <c r="E36" s="199">
        <f t="shared" si="35"/>
        <v>3080</v>
      </c>
      <c r="F36" s="199">
        <f t="shared" si="35"/>
        <v>4040</v>
      </c>
      <c r="G36" s="198">
        <f t="shared" si="35"/>
        <v>4820</v>
      </c>
      <c r="H36" s="198">
        <f t="shared" si="35"/>
        <v>4820</v>
      </c>
      <c r="I36" s="198">
        <f t="shared" si="35"/>
        <v>5588</v>
      </c>
      <c r="J36" s="199">
        <f t="shared" si="35"/>
        <v>6596</v>
      </c>
      <c r="K36" s="199">
        <f t="shared" si="35"/>
        <v>7604</v>
      </c>
      <c r="L36" s="199">
        <f t="shared" si="35"/>
        <v>8564</v>
      </c>
      <c r="M36" s="199">
        <f t="shared" si="35"/>
        <v>9344</v>
      </c>
      <c r="N36" s="198">
        <f t="shared" si="35"/>
        <v>9344</v>
      </c>
      <c r="O36" s="198">
        <f t="shared" si="35"/>
        <v>9344</v>
      </c>
      <c r="P36" s="199">
        <f t="shared" si="35"/>
        <v>10112</v>
      </c>
      <c r="Q36" s="199">
        <f t="shared" si="35"/>
        <v>11072</v>
      </c>
      <c r="R36" s="199">
        <f t="shared" si="35"/>
        <v>12080</v>
      </c>
      <c r="S36" s="199">
        <f t="shared" si="35"/>
        <v>13088</v>
      </c>
      <c r="T36" s="199">
        <f t="shared" si="35"/>
        <v>13868</v>
      </c>
      <c r="U36" s="199">
        <f t="shared" si="35"/>
        <v>14648</v>
      </c>
      <c r="V36" s="198">
        <f t="shared" si="35"/>
        <v>14648</v>
      </c>
      <c r="W36" s="199">
        <f t="shared" si="35"/>
        <v>15416</v>
      </c>
      <c r="X36" s="199">
        <f t="shared" si="35"/>
        <v>16424</v>
      </c>
      <c r="Y36" s="199">
        <f t="shared" si="35"/>
        <v>17384</v>
      </c>
      <c r="Z36" s="199">
        <f t="shared" si="35"/>
        <v>18344</v>
      </c>
      <c r="AA36" s="199">
        <f t="shared" si="35"/>
        <v>19124</v>
      </c>
      <c r="AB36" s="199">
        <f t="shared" si="35"/>
        <v>20084</v>
      </c>
      <c r="AC36" s="198">
        <f t="shared" si="35"/>
        <v>20084</v>
      </c>
      <c r="AD36" s="199">
        <f t="shared" si="35"/>
        <v>21032</v>
      </c>
      <c r="AE36" s="199">
        <f t="shared" si="35"/>
        <v>22040</v>
      </c>
      <c r="AF36" s="199">
        <f t="shared" si="35"/>
        <v>22820</v>
      </c>
      <c r="AG36" s="198">
        <f t="shared" si="35"/>
        <v>22820</v>
      </c>
      <c r="AH36" s="373"/>
      <c r="AI36" s="373"/>
      <c r="AJ36" s="374"/>
      <c r="AK36" s="375"/>
    </row>
    <row r="37" spans="1:37" s="361" customFormat="1" ht="25.5" customHeight="1">
      <c r="A37" s="376" t="s">
        <v>842</v>
      </c>
      <c r="B37" s="377"/>
      <c r="C37" s="201" t="s">
        <v>843</v>
      </c>
      <c r="D37" s="201" t="s">
        <v>843</v>
      </c>
      <c r="E37" s="201" t="s">
        <v>843</v>
      </c>
      <c r="F37" s="201" t="s">
        <v>843</v>
      </c>
      <c r="G37" s="200" t="s">
        <v>843</v>
      </c>
      <c r="H37" s="200" t="s">
        <v>843</v>
      </c>
      <c r="I37" s="200" t="s">
        <v>843</v>
      </c>
      <c r="J37" s="201" t="s">
        <v>843</v>
      </c>
      <c r="K37" s="201" t="s">
        <v>843</v>
      </c>
      <c r="L37" s="201" t="s">
        <v>843</v>
      </c>
      <c r="M37" s="201" t="s">
        <v>843</v>
      </c>
      <c r="N37" s="200" t="s">
        <v>843</v>
      </c>
      <c r="O37" s="200" t="s">
        <v>843</v>
      </c>
      <c r="P37" s="201" t="s">
        <v>843</v>
      </c>
      <c r="Q37" s="201" t="s">
        <v>843</v>
      </c>
      <c r="R37" s="201" t="s">
        <v>843</v>
      </c>
      <c r="S37" s="201" t="s">
        <v>843</v>
      </c>
      <c r="T37" s="201" t="s">
        <v>843</v>
      </c>
      <c r="U37" s="201" t="s">
        <v>843</v>
      </c>
      <c r="V37" s="200" t="s">
        <v>843</v>
      </c>
      <c r="W37" s="201" t="s">
        <v>843</v>
      </c>
      <c r="X37" s="201" t="s">
        <v>843</v>
      </c>
      <c r="Y37" s="201" t="s">
        <v>843</v>
      </c>
      <c r="Z37" s="201" t="s">
        <v>843</v>
      </c>
      <c r="AA37" s="201" t="s">
        <v>843</v>
      </c>
      <c r="AB37" s="201" t="s">
        <v>843</v>
      </c>
      <c r="AC37" s="200" t="s">
        <v>843</v>
      </c>
      <c r="AD37" s="201" t="s">
        <v>843</v>
      </c>
      <c r="AE37" s="201" t="s">
        <v>843</v>
      </c>
      <c r="AF37" s="201" t="s">
        <v>843</v>
      </c>
      <c r="AG37" s="200" t="s">
        <v>843</v>
      </c>
      <c r="AH37" s="350"/>
      <c r="AI37" s="350"/>
      <c r="AJ37" s="359"/>
      <c r="AK37" s="360" t="s">
        <v>858</v>
      </c>
    </row>
    <row r="38" spans="1:37" s="361" customFormat="1" ht="25.5" customHeight="1">
      <c r="A38" s="558" t="s">
        <v>845</v>
      </c>
      <c r="B38" s="378" t="s">
        <v>846</v>
      </c>
      <c r="C38" s="379">
        <v>164</v>
      </c>
      <c r="D38" s="379">
        <v>168</v>
      </c>
      <c r="E38" s="379">
        <v>160</v>
      </c>
      <c r="F38" s="379">
        <v>160</v>
      </c>
      <c r="G38" s="380"/>
      <c r="H38" s="380"/>
      <c r="I38" s="380"/>
      <c r="J38" s="379">
        <v>158</v>
      </c>
      <c r="K38" s="379">
        <v>168</v>
      </c>
      <c r="L38" s="379">
        <v>168</v>
      </c>
      <c r="M38" s="379">
        <v>130</v>
      </c>
      <c r="N38" s="379">
        <v>168</v>
      </c>
      <c r="O38" s="380"/>
      <c r="P38" s="379">
        <v>128</v>
      </c>
      <c r="Q38" s="379">
        <v>168</v>
      </c>
      <c r="R38" s="379">
        <v>168</v>
      </c>
      <c r="S38" s="379">
        <v>168</v>
      </c>
      <c r="T38" s="379">
        <v>168</v>
      </c>
      <c r="U38" s="379">
        <f t="shared" ref="U38:V38" si="36">U32/2</f>
        <v>130</v>
      </c>
      <c r="V38" s="380">
        <f t="shared" si="36"/>
        <v>0</v>
      </c>
      <c r="W38" s="379">
        <v>158</v>
      </c>
      <c r="X38" s="379">
        <v>160</v>
      </c>
      <c r="Y38" s="379">
        <v>168</v>
      </c>
      <c r="Z38" s="379">
        <v>168</v>
      </c>
      <c r="AA38" s="379">
        <f t="shared" ref="AA38:AC38" si="37">AA32/2</f>
        <v>130</v>
      </c>
      <c r="AB38" s="379">
        <v>160</v>
      </c>
      <c r="AC38" s="380">
        <f t="shared" si="37"/>
        <v>0</v>
      </c>
      <c r="AD38" s="379">
        <v>166</v>
      </c>
      <c r="AE38" s="379">
        <v>168</v>
      </c>
      <c r="AF38" s="379">
        <f t="shared" ref="AF38" si="38">AF32/2</f>
        <v>130</v>
      </c>
      <c r="AG38" s="380">
        <f>AG32/2</f>
        <v>0</v>
      </c>
      <c r="AH38" s="350"/>
      <c r="AI38" s="381" t="s">
        <v>880</v>
      </c>
      <c r="AJ38" s="382">
        <f t="shared" ref="AJ38:AJ43" si="39">SUM(C38:AG38)</f>
        <v>3782</v>
      </c>
      <c r="AK38" s="383">
        <f>SUM(AB12:AG12,C38:AA38)</f>
        <v>3904</v>
      </c>
    </row>
    <row r="39" spans="1:37" s="361" customFormat="1" ht="25.5" customHeight="1">
      <c r="A39" s="559"/>
      <c r="B39" s="384" t="s">
        <v>847</v>
      </c>
      <c r="C39" s="385">
        <v>164</v>
      </c>
      <c r="D39" s="385">
        <v>168</v>
      </c>
      <c r="E39" s="385">
        <v>160</v>
      </c>
      <c r="F39" s="385">
        <v>160</v>
      </c>
      <c r="G39" s="386"/>
      <c r="H39" s="386"/>
      <c r="I39" s="386"/>
      <c r="J39" s="385">
        <v>158</v>
      </c>
      <c r="K39" s="385">
        <v>168</v>
      </c>
      <c r="L39" s="385">
        <v>168</v>
      </c>
      <c r="M39" s="385">
        <v>130</v>
      </c>
      <c r="N39" s="385">
        <v>168</v>
      </c>
      <c r="O39" s="386"/>
      <c r="P39" s="385">
        <v>128</v>
      </c>
      <c r="Q39" s="385">
        <v>168</v>
      </c>
      <c r="R39" s="385">
        <v>168</v>
      </c>
      <c r="S39" s="385">
        <v>168</v>
      </c>
      <c r="T39" s="385">
        <v>168</v>
      </c>
      <c r="U39" s="385">
        <f t="shared" ref="U39:V39" si="40">U38</f>
        <v>130</v>
      </c>
      <c r="V39" s="386">
        <f t="shared" si="40"/>
        <v>0</v>
      </c>
      <c r="W39" s="385">
        <v>158</v>
      </c>
      <c r="X39" s="385">
        <v>160</v>
      </c>
      <c r="Y39" s="385">
        <v>168</v>
      </c>
      <c r="Z39" s="385">
        <v>168</v>
      </c>
      <c r="AA39" s="385">
        <f t="shared" ref="AA39" si="41">AA38</f>
        <v>130</v>
      </c>
      <c r="AB39" s="385">
        <v>160</v>
      </c>
      <c r="AC39" s="386">
        <f t="shared" ref="AC39" si="42">AC38</f>
        <v>0</v>
      </c>
      <c r="AD39" s="385">
        <v>166</v>
      </c>
      <c r="AE39" s="385">
        <v>168</v>
      </c>
      <c r="AF39" s="385">
        <f t="shared" ref="AF39" si="43">AF38</f>
        <v>130</v>
      </c>
      <c r="AG39" s="386">
        <f>AG38</f>
        <v>0</v>
      </c>
      <c r="AH39" s="350"/>
      <c r="AI39" s="381" t="s">
        <v>881</v>
      </c>
      <c r="AJ39" s="382">
        <f t="shared" si="39"/>
        <v>3782</v>
      </c>
      <c r="AK39" s="383">
        <f t="shared" ref="AK39:AK43" si="44">SUM(AB13:AG13,C39:AA39)</f>
        <v>3904</v>
      </c>
    </row>
    <row r="40" spans="1:37" s="361" customFormat="1" ht="25.5" customHeight="1">
      <c r="A40" s="559"/>
      <c r="B40" s="378" t="s">
        <v>848</v>
      </c>
      <c r="C40" s="379">
        <v>164</v>
      </c>
      <c r="D40" s="379">
        <v>168</v>
      </c>
      <c r="E40" s="379">
        <v>160</v>
      </c>
      <c r="F40" s="379">
        <v>160</v>
      </c>
      <c r="G40" s="380"/>
      <c r="H40" s="380"/>
      <c r="I40" s="380"/>
      <c r="J40" s="379">
        <v>158</v>
      </c>
      <c r="K40" s="379">
        <v>168</v>
      </c>
      <c r="L40" s="379">
        <v>168</v>
      </c>
      <c r="M40" s="379">
        <v>130</v>
      </c>
      <c r="N40" s="379">
        <v>168</v>
      </c>
      <c r="O40" s="380"/>
      <c r="P40" s="379">
        <v>128</v>
      </c>
      <c r="Q40" s="379">
        <v>168</v>
      </c>
      <c r="R40" s="379">
        <v>168</v>
      </c>
      <c r="S40" s="379">
        <v>168</v>
      </c>
      <c r="T40" s="379">
        <v>168</v>
      </c>
      <c r="U40" s="379">
        <f t="shared" ref="U40:V40" si="45">U33/2</f>
        <v>130</v>
      </c>
      <c r="V40" s="380">
        <f t="shared" si="45"/>
        <v>0</v>
      </c>
      <c r="W40" s="379">
        <v>158</v>
      </c>
      <c r="X40" s="379">
        <v>160</v>
      </c>
      <c r="Y40" s="379">
        <v>168</v>
      </c>
      <c r="Z40" s="379">
        <v>168</v>
      </c>
      <c r="AA40" s="379">
        <f t="shared" ref="AA40:AC40" si="46">AA33/2</f>
        <v>130</v>
      </c>
      <c r="AB40" s="379">
        <v>160</v>
      </c>
      <c r="AC40" s="380">
        <f t="shared" si="46"/>
        <v>0</v>
      </c>
      <c r="AD40" s="379">
        <v>166</v>
      </c>
      <c r="AE40" s="379">
        <v>168</v>
      </c>
      <c r="AF40" s="379">
        <f t="shared" ref="AF40" si="47">AF33/2</f>
        <v>130</v>
      </c>
      <c r="AG40" s="380">
        <f>AG33/2</f>
        <v>0</v>
      </c>
      <c r="AH40" s="350"/>
      <c r="AI40" s="381" t="s">
        <v>882</v>
      </c>
      <c r="AJ40" s="382">
        <f t="shared" si="39"/>
        <v>3782</v>
      </c>
      <c r="AK40" s="383">
        <f t="shared" si="44"/>
        <v>3904</v>
      </c>
    </row>
    <row r="41" spans="1:37" s="361" customFormat="1" ht="25.5" customHeight="1">
      <c r="A41" s="559"/>
      <c r="B41" s="384" t="s">
        <v>849</v>
      </c>
      <c r="C41" s="385">
        <v>164</v>
      </c>
      <c r="D41" s="385">
        <v>168</v>
      </c>
      <c r="E41" s="385">
        <v>160</v>
      </c>
      <c r="F41" s="385">
        <v>160</v>
      </c>
      <c r="G41" s="386"/>
      <c r="H41" s="386"/>
      <c r="I41" s="386"/>
      <c r="J41" s="385">
        <v>158</v>
      </c>
      <c r="K41" s="385">
        <v>168</v>
      </c>
      <c r="L41" s="385">
        <v>168</v>
      </c>
      <c r="M41" s="385">
        <v>130</v>
      </c>
      <c r="N41" s="385">
        <v>168</v>
      </c>
      <c r="O41" s="386"/>
      <c r="P41" s="385">
        <v>128</v>
      </c>
      <c r="Q41" s="385">
        <v>168</v>
      </c>
      <c r="R41" s="385">
        <v>168</v>
      </c>
      <c r="S41" s="385">
        <v>168</v>
      </c>
      <c r="T41" s="385">
        <v>168</v>
      </c>
      <c r="U41" s="385">
        <f t="shared" ref="U41:V41" si="48">U40</f>
        <v>130</v>
      </c>
      <c r="V41" s="386">
        <f t="shared" si="48"/>
        <v>0</v>
      </c>
      <c r="W41" s="385">
        <v>158</v>
      </c>
      <c r="X41" s="385">
        <v>160</v>
      </c>
      <c r="Y41" s="385">
        <v>168</v>
      </c>
      <c r="Z41" s="385">
        <v>168</v>
      </c>
      <c r="AA41" s="385">
        <f t="shared" ref="AA41" si="49">AA40</f>
        <v>130</v>
      </c>
      <c r="AB41" s="385">
        <v>160</v>
      </c>
      <c r="AC41" s="386">
        <f t="shared" ref="AC41" si="50">AC40</f>
        <v>0</v>
      </c>
      <c r="AD41" s="385">
        <v>166</v>
      </c>
      <c r="AE41" s="385">
        <v>168</v>
      </c>
      <c r="AF41" s="385">
        <f t="shared" ref="AF41" si="51">AF40</f>
        <v>130</v>
      </c>
      <c r="AG41" s="386">
        <f>AG40</f>
        <v>0</v>
      </c>
      <c r="AH41" s="350"/>
      <c r="AI41" s="381" t="s">
        <v>883</v>
      </c>
      <c r="AJ41" s="382">
        <f t="shared" si="39"/>
        <v>3782</v>
      </c>
      <c r="AK41" s="383">
        <f t="shared" si="44"/>
        <v>3904</v>
      </c>
    </row>
    <row r="42" spans="1:37" s="361" customFormat="1" ht="25.5" customHeight="1">
      <c r="A42" s="559"/>
      <c r="B42" s="378" t="s">
        <v>850</v>
      </c>
      <c r="C42" s="379">
        <v>164</v>
      </c>
      <c r="D42" s="379">
        <v>168</v>
      </c>
      <c r="E42" s="379">
        <v>160</v>
      </c>
      <c r="F42" s="379">
        <v>160</v>
      </c>
      <c r="G42" s="380"/>
      <c r="H42" s="380"/>
      <c r="I42" s="380"/>
      <c r="J42" s="379">
        <v>158</v>
      </c>
      <c r="K42" s="379">
        <v>168</v>
      </c>
      <c r="L42" s="379">
        <v>168</v>
      </c>
      <c r="M42" s="379">
        <v>130</v>
      </c>
      <c r="N42" s="379">
        <v>168</v>
      </c>
      <c r="O42" s="380"/>
      <c r="P42" s="379">
        <v>128</v>
      </c>
      <c r="Q42" s="379">
        <v>168</v>
      </c>
      <c r="R42" s="379">
        <v>168</v>
      </c>
      <c r="S42" s="379">
        <v>168</v>
      </c>
      <c r="T42" s="379">
        <v>168</v>
      </c>
      <c r="U42" s="379">
        <f t="shared" ref="U42:V42" si="52">U34/2</f>
        <v>130</v>
      </c>
      <c r="V42" s="380">
        <f t="shared" si="52"/>
        <v>0</v>
      </c>
      <c r="W42" s="379">
        <v>158</v>
      </c>
      <c r="X42" s="379">
        <v>160</v>
      </c>
      <c r="Y42" s="379">
        <v>168</v>
      </c>
      <c r="Z42" s="379">
        <v>168</v>
      </c>
      <c r="AA42" s="379">
        <f t="shared" ref="AA42:AC42" si="53">AA34/2</f>
        <v>130</v>
      </c>
      <c r="AB42" s="379">
        <v>160</v>
      </c>
      <c r="AC42" s="380">
        <f t="shared" si="53"/>
        <v>0</v>
      </c>
      <c r="AD42" s="379">
        <v>166</v>
      </c>
      <c r="AE42" s="379">
        <v>168</v>
      </c>
      <c r="AF42" s="379">
        <f t="shared" ref="AF42" si="54">AF34/2</f>
        <v>130</v>
      </c>
      <c r="AG42" s="380">
        <f>AG34/2</f>
        <v>0</v>
      </c>
      <c r="AH42" s="350"/>
      <c r="AI42" s="381" t="s">
        <v>884</v>
      </c>
      <c r="AJ42" s="382">
        <f t="shared" si="39"/>
        <v>3782</v>
      </c>
      <c r="AK42" s="383">
        <f t="shared" si="44"/>
        <v>7634</v>
      </c>
    </row>
    <row r="43" spans="1:37" s="361" customFormat="1" ht="25.5" customHeight="1">
      <c r="A43" s="560"/>
      <c r="B43" s="384" t="s">
        <v>851</v>
      </c>
      <c r="C43" s="385">
        <v>164</v>
      </c>
      <c r="D43" s="385">
        <v>168</v>
      </c>
      <c r="E43" s="385">
        <v>160</v>
      </c>
      <c r="F43" s="385">
        <v>160</v>
      </c>
      <c r="G43" s="386"/>
      <c r="H43" s="386"/>
      <c r="I43" s="386"/>
      <c r="J43" s="385">
        <v>158</v>
      </c>
      <c r="K43" s="385">
        <v>168</v>
      </c>
      <c r="L43" s="385">
        <v>168</v>
      </c>
      <c r="M43" s="385">
        <v>130</v>
      </c>
      <c r="N43" s="385">
        <v>168</v>
      </c>
      <c r="O43" s="386"/>
      <c r="P43" s="385">
        <v>128</v>
      </c>
      <c r="Q43" s="385">
        <v>168</v>
      </c>
      <c r="R43" s="385">
        <v>168</v>
      </c>
      <c r="S43" s="385">
        <v>168</v>
      </c>
      <c r="T43" s="385">
        <v>168</v>
      </c>
      <c r="U43" s="385">
        <f t="shared" ref="U43:V43" si="55">U42</f>
        <v>130</v>
      </c>
      <c r="V43" s="386">
        <f t="shared" si="55"/>
        <v>0</v>
      </c>
      <c r="W43" s="385">
        <v>158</v>
      </c>
      <c r="X43" s="385">
        <v>160</v>
      </c>
      <c r="Y43" s="385">
        <v>168</v>
      </c>
      <c r="Z43" s="385">
        <v>168</v>
      </c>
      <c r="AA43" s="385">
        <f t="shared" ref="AA43" si="56">AA42</f>
        <v>130</v>
      </c>
      <c r="AB43" s="385">
        <v>160</v>
      </c>
      <c r="AC43" s="386">
        <f t="shared" ref="AC43" si="57">AC42</f>
        <v>0</v>
      </c>
      <c r="AD43" s="385">
        <v>166</v>
      </c>
      <c r="AE43" s="385">
        <v>168</v>
      </c>
      <c r="AF43" s="385">
        <f t="shared" ref="AF43" si="58">AF42</f>
        <v>130</v>
      </c>
      <c r="AG43" s="386">
        <f>AG42</f>
        <v>0</v>
      </c>
      <c r="AH43" s="350"/>
      <c r="AI43" s="381" t="s">
        <v>885</v>
      </c>
      <c r="AJ43" s="382">
        <f t="shared" si="39"/>
        <v>3782</v>
      </c>
      <c r="AK43" s="383" t="e">
        <f t="shared" si="44"/>
        <v>#REF!</v>
      </c>
    </row>
    <row r="44" spans="1:37" s="361" customFormat="1" ht="25.5" customHeight="1" thickBot="1">
      <c r="A44" s="561" t="s">
        <v>852</v>
      </c>
      <c r="B44" s="387" t="s">
        <v>853</v>
      </c>
      <c r="C44" s="388">
        <f t="shared" ref="C44:Y44" si="59">C40+C41+C42+C43+C38+C39</f>
        <v>984</v>
      </c>
      <c r="D44" s="388">
        <f t="shared" si="59"/>
        <v>1008</v>
      </c>
      <c r="E44" s="388">
        <f t="shared" si="59"/>
        <v>960</v>
      </c>
      <c r="F44" s="388">
        <f t="shared" si="59"/>
        <v>960</v>
      </c>
      <c r="G44" s="389">
        <f t="shared" si="59"/>
        <v>0</v>
      </c>
      <c r="H44" s="389">
        <f t="shared" si="59"/>
        <v>0</v>
      </c>
      <c r="I44" s="389">
        <f t="shared" si="59"/>
        <v>0</v>
      </c>
      <c r="J44" s="388">
        <f t="shared" si="59"/>
        <v>948</v>
      </c>
      <c r="K44" s="388">
        <f t="shared" si="59"/>
        <v>1008</v>
      </c>
      <c r="L44" s="388">
        <f t="shared" si="59"/>
        <v>1008</v>
      </c>
      <c r="M44" s="388">
        <f t="shared" si="59"/>
        <v>780</v>
      </c>
      <c r="N44" s="389">
        <f t="shared" si="59"/>
        <v>1008</v>
      </c>
      <c r="O44" s="389">
        <f t="shared" si="59"/>
        <v>0</v>
      </c>
      <c r="P44" s="388">
        <f t="shared" si="59"/>
        <v>768</v>
      </c>
      <c r="Q44" s="388">
        <f t="shared" si="59"/>
        <v>1008</v>
      </c>
      <c r="R44" s="388">
        <f t="shared" si="59"/>
        <v>1008</v>
      </c>
      <c r="S44" s="388">
        <f t="shared" si="59"/>
        <v>1008</v>
      </c>
      <c r="T44" s="388">
        <f t="shared" si="59"/>
        <v>1008</v>
      </c>
      <c r="U44" s="388">
        <f t="shared" si="59"/>
        <v>780</v>
      </c>
      <c r="V44" s="389">
        <f t="shared" si="59"/>
        <v>0</v>
      </c>
      <c r="W44" s="388">
        <f t="shared" si="59"/>
        <v>948</v>
      </c>
      <c r="X44" s="388">
        <f t="shared" si="59"/>
        <v>960</v>
      </c>
      <c r="Y44" s="388">
        <f t="shared" si="59"/>
        <v>1008</v>
      </c>
      <c r="Z44" s="388">
        <f>Z40+Z41+Z42+Z43+Z38+Z39</f>
        <v>1008</v>
      </c>
      <c r="AA44" s="388">
        <f t="shared" ref="AA44:AG44" si="60">AA40+AA41+AA42+AA43+AA38+AA39</f>
        <v>780</v>
      </c>
      <c r="AB44" s="388">
        <f t="shared" si="60"/>
        <v>960</v>
      </c>
      <c r="AC44" s="389">
        <f t="shared" si="60"/>
        <v>0</v>
      </c>
      <c r="AD44" s="388">
        <f t="shared" si="60"/>
        <v>996</v>
      </c>
      <c r="AE44" s="388">
        <f t="shared" si="60"/>
        <v>1008</v>
      </c>
      <c r="AF44" s="388">
        <f t="shared" si="60"/>
        <v>780</v>
      </c>
      <c r="AG44" s="389">
        <f t="shared" si="60"/>
        <v>0</v>
      </c>
      <c r="AH44" s="350"/>
      <c r="AI44" s="350" t="s">
        <v>886</v>
      </c>
      <c r="AJ44" s="371">
        <f>AJ38+AJ39+AJ40+AJ41+AJ42+AJ43</f>
        <v>22692</v>
      </c>
      <c r="AK44" s="360"/>
    </row>
    <row r="45" spans="1:37" s="361" customFormat="1" ht="25.5" hidden="1" customHeight="1">
      <c r="A45" s="562"/>
      <c r="B45" s="390" t="s">
        <v>854</v>
      </c>
      <c r="C45" s="391" t="e">
        <f>C44+AG19</f>
        <v>#REF!</v>
      </c>
      <c r="D45" s="391" t="e">
        <f t="shared" ref="D45:AG45" si="61">C45+D44</f>
        <v>#REF!</v>
      </c>
      <c r="E45" s="391" t="e">
        <f t="shared" si="61"/>
        <v>#REF!</v>
      </c>
      <c r="F45" s="391" t="e">
        <f t="shared" si="61"/>
        <v>#REF!</v>
      </c>
      <c r="G45" s="392" t="e">
        <f t="shared" si="61"/>
        <v>#REF!</v>
      </c>
      <c r="H45" s="392" t="e">
        <f t="shared" si="61"/>
        <v>#REF!</v>
      </c>
      <c r="I45" s="392" t="e">
        <f t="shared" si="61"/>
        <v>#REF!</v>
      </c>
      <c r="J45" s="391" t="e">
        <f t="shared" si="61"/>
        <v>#REF!</v>
      </c>
      <c r="K45" s="391" t="e">
        <f t="shared" si="61"/>
        <v>#REF!</v>
      </c>
      <c r="L45" s="391" t="e">
        <f t="shared" si="61"/>
        <v>#REF!</v>
      </c>
      <c r="M45" s="391" t="e">
        <f t="shared" si="61"/>
        <v>#REF!</v>
      </c>
      <c r="N45" s="392" t="e">
        <f t="shared" si="61"/>
        <v>#REF!</v>
      </c>
      <c r="O45" s="393" t="e">
        <f t="shared" si="61"/>
        <v>#REF!</v>
      </c>
      <c r="P45" s="391" t="e">
        <f t="shared" si="61"/>
        <v>#REF!</v>
      </c>
      <c r="Q45" s="391" t="e">
        <f t="shared" si="61"/>
        <v>#REF!</v>
      </c>
      <c r="R45" s="391" t="e">
        <f t="shared" si="61"/>
        <v>#REF!</v>
      </c>
      <c r="S45" s="391" t="e">
        <f t="shared" si="61"/>
        <v>#REF!</v>
      </c>
      <c r="T45" s="391" t="e">
        <f t="shared" si="61"/>
        <v>#REF!</v>
      </c>
      <c r="U45" s="391" t="e">
        <f t="shared" si="61"/>
        <v>#REF!</v>
      </c>
      <c r="V45" s="392" t="e">
        <f t="shared" si="61"/>
        <v>#REF!</v>
      </c>
      <c r="W45" s="391" t="e">
        <f t="shared" si="61"/>
        <v>#REF!</v>
      </c>
      <c r="X45" s="391" t="e">
        <f t="shared" si="61"/>
        <v>#REF!</v>
      </c>
      <c r="Y45" s="391" t="e">
        <f t="shared" si="61"/>
        <v>#REF!</v>
      </c>
      <c r="Z45" s="391" t="e">
        <f t="shared" si="61"/>
        <v>#REF!</v>
      </c>
      <c r="AA45" s="391" t="e">
        <f t="shared" si="61"/>
        <v>#REF!</v>
      </c>
      <c r="AB45" s="391" t="e">
        <f t="shared" si="61"/>
        <v>#REF!</v>
      </c>
      <c r="AC45" s="392" t="e">
        <f t="shared" si="61"/>
        <v>#REF!</v>
      </c>
      <c r="AD45" s="394" t="e">
        <f t="shared" si="61"/>
        <v>#REF!</v>
      </c>
      <c r="AE45" s="394" t="e">
        <f t="shared" si="61"/>
        <v>#REF!</v>
      </c>
      <c r="AF45" s="395" t="e">
        <f t="shared" si="61"/>
        <v>#REF!</v>
      </c>
      <c r="AG45" s="396" t="e">
        <f t="shared" si="61"/>
        <v>#REF!</v>
      </c>
      <c r="AH45" s="397"/>
      <c r="AI45" s="397"/>
      <c r="AJ45" s="398"/>
      <c r="AK45" s="399"/>
    </row>
    <row r="46" spans="1:37" s="361" customFormat="1" ht="25.5" customHeight="1">
      <c r="A46" s="563" t="s">
        <v>855</v>
      </c>
      <c r="B46" s="400" t="s">
        <v>837</v>
      </c>
      <c r="C46" s="401" t="e">
        <f>SUM(C38:C39)+AG20-C32</f>
        <v>#REF!</v>
      </c>
      <c r="D46" s="401" t="e">
        <f t="shared" ref="D46" si="62">SUM(D38:D39)+C46-D32</f>
        <v>#REF!</v>
      </c>
      <c r="E46" s="401" t="e">
        <f t="shared" ref="E46" si="63">SUM(E38:E39)+D46-E32</f>
        <v>#REF!</v>
      </c>
      <c r="F46" s="401" t="e">
        <f t="shared" ref="F46:AG46" si="64">SUM(F38:F39)+E46-F32</f>
        <v>#REF!</v>
      </c>
      <c r="G46" s="402" t="e">
        <f t="shared" si="64"/>
        <v>#REF!</v>
      </c>
      <c r="H46" s="402" t="e">
        <f t="shared" si="64"/>
        <v>#REF!</v>
      </c>
      <c r="I46" s="402" t="e">
        <f t="shared" si="64"/>
        <v>#REF!</v>
      </c>
      <c r="J46" s="401" t="e">
        <f t="shared" si="64"/>
        <v>#REF!</v>
      </c>
      <c r="K46" s="401" t="e">
        <f t="shared" si="64"/>
        <v>#REF!</v>
      </c>
      <c r="L46" s="401" t="e">
        <f t="shared" si="64"/>
        <v>#REF!</v>
      </c>
      <c r="M46" s="401" t="e">
        <f t="shared" si="64"/>
        <v>#REF!</v>
      </c>
      <c r="N46" s="402" t="e">
        <f t="shared" si="64"/>
        <v>#REF!</v>
      </c>
      <c r="O46" s="403" t="e">
        <f t="shared" si="64"/>
        <v>#REF!</v>
      </c>
      <c r="P46" s="401" t="e">
        <f t="shared" si="64"/>
        <v>#REF!</v>
      </c>
      <c r="Q46" s="401" t="e">
        <f t="shared" si="64"/>
        <v>#REF!</v>
      </c>
      <c r="R46" s="401" t="e">
        <f t="shared" si="64"/>
        <v>#REF!</v>
      </c>
      <c r="S46" s="401" t="e">
        <f t="shared" si="64"/>
        <v>#REF!</v>
      </c>
      <c r="T46" s="401" t="e">
        <f t="shared" si="64"/>
        <v>#REF!</v>
      </c>
      <c r="U46" s="401" t="e">
        <f t="shared" si="64"/>
        <v>#REF!</v>
      </c>
      <c r="V46" s="402" t="e">
        <f t="shared" si="64"/>
        <v>#REF!</v>
      </c>
      <c r="W46" s="401" t="e">
        <f t="shared" si="64"/>
        <v>#REF!</v>
      </c>
      <c r="X46" s="401" t="e">
        <f t="shared" si="64"/>
        <v>#REF!</v>
      </c>
      <c r="Y46" s="401" t="e">
        <f t="shared" si="64"/>
        <v>#REF!</v>
      </c>
      <c r="Z46" s="401" t="e">
        <f t="shared" si="64"/>
        <v>#REF!</v>
      </c>
      <c r="AA46" s="401" t="e">
        <f t="shared" si="64"/>
        <v>#REF!</v>
      </c>
      <c r="AB46" s="401" t="e">
        <f t="shared" si="64"/>
        <v>#REF!</v>
      </c>
      <c r="AC46" s="402" t="e">
        <f t="shared" si="64"/>
        <v>#REF!</v>
      </c>
      <c r="AD46" s="404" t="e">
        <f t="shared" si="64"/>
        <v>#REF!</v>
      </c>
      <c r="AE46" s="404" t="e">
        <f t="shared" si="64"/>
        <v>#REF!</v>
      </c>
      <c r="AF46" s="405" t="e">
        <f t="shared" si="64"/>
        <v>#REF!</v>
      </c>
      <c r="AG46" s="406" t="e">
        <f t="shared" si="64"/>
        <v>#REF!</v>
      </c>
      <c r="AH46" s="397"/>
      <c r="AI46" s="397"/>
      <c r="AJ46" s="407"/>
      <c r="AK46" s="399"/>
    </row>
    <row r="47" spans="1:37" s="361" customFormat="1" ht="25.5" customHeight="1">
      <c r="A47" s="564"/>
      <c r="B47" s="408" t="s">
        <v>838</v>
      </c>
      <c r="C47" s="409" t="e">
        <f>SUM(C40:C41)+AG21-C33</f>
        <v>#REF!</v>
      </c>
      <c r="D47" s="409" t="e">
        <f t="shared" ref="D47" si="65">SUM(D40:D41)+C47-D33</f>
        <v>#REF!</v>
      </c>
      <c r="E47" s="409" t="e">
        <f t="shared" ref="E47" si="66">SUM(E40:E41)+D47-E33</f>
        <v>#REF!</v>
      </c>
      <c r="F47" s="409" t="e">
        <f t="shared" ref="F47:AG47" si="67">SUM(F40:F41)+E47-F33</f>
        <v>#REF!</v>
      </c>
      <c r="G47" s="410" t="e">
        <f t="shared" si="67"/>
        <v>#REF!</v>
      </c>
      <c r="H47" s="410" t="e">
        <f t="shared" si="67"/>
        <v>#REF!</v>
      </c>
      <c r="I47" s="410" t="e">
        <f t="shared" si="67"/>
        <v>#REF!</v>
      </c>
      <c r="J47" s="409" t="e">
        <f t="shared" si="67"/>
        <v>#REF!</v>
      </c>
      <c r="K47" s="409" t="e">
        <f t="shared" si="67"/>
        <v>#REF!</v>
      </c>
      <c r="L47" s="409" t="e">
        <f t="shared" si="67"/>
        <v>#REF!</v>
      </c>
      <c r="M47" s="409" t="e">
        <f t="shared" si="67"/>
        <v>#REF!</v>
      </c>
      <c r="N47" s="410" t="e">
        <f t="shared" si="67"/>
        <v>#REF!</v>
      </c>
      <c r="O47" s="411" t="e">
        <f t="shared" si="67"/>
        <v>#REF!</v>
      </c>
      <c r="P47" s="409" t="e">
        <f t="shared" si="67"/>
        <v>#REF!</v>
      </c>
      <c r="Q47" s="409" t="e">
        <f t="shared" si="67"/>
        <v>#REF!</v>
      </c>
      <c r="R47" s="409" t="e">
        <f t="shared" si="67"/>
        <v>#REF!</v>
      </c>
      <c r="S47" s="409" t="e">
        <f t="shared" si="67"/>
        <v>#REF!</v>
      </c>
      <c r="T47" s="409" t="e">
        <f t="shared" si="67"/>
        <v>#REF!</v>
      </c>
      <c r="U47" s="409" t="e">
        <f t="shared" si="67"/>
        <v>#REF!</v>
      </c>
      <c r="V47" s="410" t="e">
        <f t="shared" si="67"/>
        <v>#REF!</v>
      </c>
      <c r="W47" s="409" t="e">
        <f t="shared" si="67"/>
        <v>#REF!</v>
      </c>
      <c r="X47" s="409" t="e">
        <f t="shared" si="67"/>
        <v>#REF!</v>
      </c>
      <c r="Y47" s="409" t="e">
        <f t="shared" si="67"/>
        <v>#REF!</v>
      </c>
      <c r="Z47" s="409" t="e">
        <f t="shared" si="67"/>
        <v>#REF!</v>
      </c>
      <c r="AA47" s="409" t="e">
        <f t="shared" si="67"/>
        <v>#REF!</v>
      </c>
      <c r="AB47" s="409" t="e">
        <f t="shared" si="67"/>
        <v>#REF!</v>
      </c>
      <c r="AC47" s="410" t="e">
        <f t="shared" si="67"/>
        <v>#REF!</v>
      </c>
      <c r="AD47" s="412" t="e">
        <f t="shared" si="67"/>
        <v>#REF!</v>
      </c>
      <c r="AE47" s="412" t="e">
        <f t="shared" si="67"/>
        <v>#REF!</v>
      </c>
      <c r="AF47" s="413" t="e">
        <f t="shared" si="67"/>
        <v>#REF!</v>
      </c>
      <c r="AG47" s="414" t="e">
        <f t="shared" si="67"/>
        <v>#REF!</v>
      </c>
      <c r="AH47" s="397"/>
      <c r="AI47" s="397"/>
      <c r="AJ47" s="407"/>
      <c r="AK47" s="399"/>
    </row>
    <row r="48" spans="1:37" s="361" customFormat="1" ht="25.5" customHeight="1">
      <c r="A48" s="564"/>
      <c r="B48" s="390" t="s">
        <v>856</v>
      </c>
      <c r="C48" s="415" t="e">
        <f>SUM(C42:C43)+AG22-C34</f>
        <v>#REF!</v>
      </c>
      <c r="D48" s="415" t="e">
        <f t="shared" ref="D48" si="68">SUM(D42:D43)+C48-D34</f>
        <v>#REF!</v>
      </c>
      <c r="E48" s="415" t="e">
        <f t="shared" ref="E48" si="69">SUM(E42:E43)+D48-E34</f>
        <v>#REF!</v>
      </c>
      <c r="F48" s="415" t="e">
        <f t="shared" ref="F48:G48" si="70">SUM(F42:F43)+E48-F34</f>
        <v>#REF!</v>
      </c>
      <c r="G48" s="416" t="e">
        <f t="shared" si="70"/>
        <v>#REF!</v>
      </c>
      <c r="H48" s="416" t="e">
        <f>SUM(H42:H43)+G48-H34</f>
        <v>#REF!</v>
      </c>
      <c r="I48" s="416" t="e">
        <f t="shared" ref="I48" si="71">SUM(I42:I43)+H48-I34</f>
        <v>#REF!</v>
      </c>
      <c r="J48" s="415" t="e">
        <f t="shared" ref="J48" si="72">SUM(J42:J43)+I48-J34</f>
        <v>#REF!</v>
      </c>
      <c r="K48" s="415" t="e">
        <f t="shared" ref="K48:AG48" si="73">SUM(K42:K43)+J48-K34</f>
        <v>#REF!</v>
      </c>
      <c r="L48" s="415" t="e">
        <f t="shared" si="73"/>
        <v>#REF!</v>
      </c>
      <c r="M48" s="415" t="e">
        <f t="shared" si="73"/>
        <v>#REF!</v>
      </c>
      <c r="N48" s="416" t="e">
        <f t="shared" si="73"/>
        <v>#REF!</v>
      </c>
      <c r="O48" s="417" t="e">
        <f t="shared" si="73"/>
        <v>#REF!</v>
      </c>
      <c r="P48" s="415" t="e">
        <f t="shared" si="73"/>
        <v>#REF!</v>
      </c>
      <c r="Q48" s="415" t="e">
        <f t="shared" si="73"/>
        <v>#REF!</v>
      </c>
      <c r="R48" s="415" t="e">
        <f t="shared" si="73"/>
        <v>#REF!</v>
      </c>
      <c r="S48" s="415" t="e">
        <f t="shared" si="73"/>
        <v>#REF!</v>
      </c>
      <c r="T48" s="415" t="e">
        <f t="shared" si="73"/>
        <v>#REF!</v>
      </c>
      <c r="U48" s="415" t="e">
        <f t="shared" si="73"/>
        <v>#REF!</v>
      </c>
      <c r="V48" s="416" t="e">
        <f t="shared" si="73"/>
        <v>#REF!</v>
      </c>
      <c r="W48" s="415" t="e">
        <f t="shared" si="73"/>
        <v>#REF!</v>
      </c>
      <c r="X48" s="415" t="e">
        <f t="shared" si="73"/>
        <v>#REF!</v>
      </c>
      <c r="Y48" s="415" t="e">
        <f t="shared" si="73"/>
        <v>#REF!</v>
      </c>
      <c r="Z48" s="415" t="e">
        <f t="shared" si="73"/>
        <v>#REF!</v>
      </c>
      <c r="AA48" s="415" t="e">
        <f t="shared" si="73"/>
        <v>#REF!</v>
      </c>
      <c r="AB48" s="415" t="e">
        <f t="shared" si="73"/>
        <v>#REF!</v>
      </c>
      <c r="AC48" s="416" t="e">
        <f t="shared" si="73"/>
        <v>#REF!</v>
      </c>
      <c r="AD48" s="418" t="e">
        <f t="shared" si="73"/>
        <v>#REF!</v>
      </c>
      <c r="AE48" s="418" t="e">
        <f t="shared" si="73"/>
        <v>#REF!</v>
      </c>
      <c r="AF48" s="419" t="e">
        <f t="shared" si="73"/>
        <v>#REF!</v>
      </c>
      <c r="AG48" s="420" t="e">
        <f t="shared" si="73"/>
        <v>#REF!</v>
      </c>
      <c r="AH48" s="397"/>
      <c r="AI48" s="397"/>
      <c r="AJ48" s="407"/>
      <c r="AK48" s="399"/>
    </row>
    <row r="49" spans="1:37" s="361" customFormat="1" ht="25.5" customHeight="1" thickBot="1">
      <c r="A49" s="565"/>
      <c r="B49" s="421" t="s">
        <v>840</v>
      </c>
      <c r="C49" s="422" t="e">
        <f t="shared" ref="C49:AG49" si="74">C45-C36</f>
        <v>#REF!</v>
      </c>
      <c r="D49" s="422" t="e">
        <f t="shared" si="74"/>
        <v>#REF!</v>
      </c>
      <c r="E49" s="422" t="e">
        <f t="shared" si="74"/>
        <v>#REF!</v>
      </c>
      <c r="F49" s="423" t="e">
        <f t="shared" si="74"/>
        <v>#REF!</v>
      </c>
      <c r="G49" s="423" t="e">
        <f t="shared" si="74"/>
        <v>#REF!</v>
      </c>
      <c r="H49" s="423" t="e">
        <f t="shared" si="74"/>
        <v>#REF!</v>
      </c>
      <c r="I49" s="423" t="e">
        <f t="shared" si="74"/>
        <v>#REF!</v>
      </c>
      <c r="J49" s="422" t="e">
        <f t="shared" si="74"/>
        <v>#REF!</v>
      </c>
      <c r="K49" s="422" t="e">
        <f t="shared" si="74"/>
        <v>#REF!</v>
      </c>
      <c r="L49" s="422" t="e">
        <f t="shared" si="74"/>
        <v>#REF!</v>
      </c>
      <c r="M49" s="422" t="e">
        <f t="shared" si="74"/>
        <v>#REF!</v>
      </c>
      <c r="N49" s="423" t="e">
        <f t="shared" si="74"/>
        <v>#REF!</v>
      </c>
      <c r="O49" s="423" t="e">
        <f t="shared" si="74"/>
        <v>#REF!</v>
      </c>
      <c r="P49" s="422" t="e">
        <f t="shared" si="74"/>
        <v>#REF!</v>
      </c>
      <c r="Q49" s="422" t="e">
        <f t="shared" si="74"/>
        <v>#REF!</v>
      </c>
      <c r="R49" s="422" t="e">
        <f t="shared" si="74"/>
        <v>#REF!</v>
      </c>
      <c r="S49" s="422" t="e">
        <f t="shared" si="74"/>
        <v>#REF!</v>
      </c>
      <c r="T49" s="422" t="e">
        <f t="shared" si="74"/>
        <v>#REF!</v>
      </c>
      <c r="U49" s="422" t="e">
        <f t="shared" si="74"/>
        <v>#REF!</v>
      </c>
      <c r="V49" s="423" t="e">
        <f t="shared" si="74"/>
        <v>#REF!</v>
      </c>
      <c r="W49" s="422" t="e">
        <f t="shared" si="74"/>
        <v>#REF!</v>
      </c>
      <c r="X49" s="422" t="e">
        <f t="shared" si="74"/>
        <v>#REF!</v>
      </c>
      <c r="Y49" s="422" t="e">
        <f t="shared" si="74"/>
        <v>#REF!</v>
      </c>
      <c r="Z49" s="422" t="e">
        <f t="shared" si="74"/>
        <v>#REF!</v>
      </c>
      <c r="AA49" s="422" t="e">
        <f t="shared" si="74"/>
        <v>#REF!</v>
      </c>
      <c r="AB49" s="422" t="e">
        <f t="shared" si="74"/>
        <v>#REF!</v>
      </c>
      <c r="AC49" s="423" t="e">
        <f t="shared" si="74"/>
        <v>#REF!</v>
      </c>
      <c r="AD49" s="422" t="e">
        <f t="shared" si="74"/>
        <v>#REF!</v>
      </c>
      <c r="AE49" s="422" t="e">
        <f t="shared" si="74"/>
        <v>#REF!</v>
      </c>
      <c r="AF49" s="424" t="e">
        <f t="shared" si="74"/>
        <v>#REF!</v>
      </c>
      <c r="AG49" s="425" t="e">
        <f t="shared" si="74"/>
        <v>#REF!</v>
      </c>
      <c r="AH49" s="426"/>
      <c r="AI49" s="426"/>
      <c r="AJ49" s="427"/>
      <c r="AK49" s="428"/>
    </row>
    <row r="50" spans="1:37" s="361" customFormat="1" ht="25.5" hidden="1" customHeight="1" outlineLevel="1">
      <c r="A50" s="548" t="s">
        <v>857</v>
      </c>
      <c r="B50" s="400" t="s">
        <v>837</v>
      </c>
      <c r="C50" s="429" t="e">
        <f t="shared" ref="C50:AG52" si="75">C46/133*8</f>
        <v>#REF!</v>
      </c>
      <c r="D50" s="429" t="e">
        <f t="shared" si="75"/>
        <v>#REF!</v>
      </c>
      <c r="E50" s="429" t="e">
        <f t="shared" si="75"/>
        <v>#REF!</v>
      </c>
      <c r="F50" s="430" t="e">
        <f t="shared" si="75"/>
        <v>#REF!</v>
      </c>
      <c r="G50" s="430" t="e">
        <f t="shared" si="75"/>
        <v>#REF!</v>
      </c>
      <c r="H50" s="430" t="e">
        <f t="shared" si="75"/>
        <v>#REF!</v>
      </c>
      <c r="I50" s="430" t="e">
        <f t="shared" si="75"/>
        <v>#REF!</v>
      </c>
      <c r="J50" s="429" t="e">
        <f t="shared" si="75"/>
        <v>#REF!</v>
      </c>
      <c r="K50" s="429" t="e">
        <f t="shared" si="75"/>
        <v>#REF!</v>
      </c>
      <c r="L50" s="429" t="e">
        <f t="shared" si="75"/>
        <v>#REF!</v>
      </c>
      <c r="M50" s="429" t="e">
        <f t="shared" si="75"/>
        <v>#REF!</v>
      </c>
      <c r="N50" s="430" t="e">
        <f t="shared" si="75"/>
        <v>#REF!</v>
      </c>
      <c r="O50" s="430" t="e">
        <f t="shared" si="75"/>
        <v>#REF!</v>
      </c>
      <c r="P50" s="429" t="e">
        <f t="shared" si="75"/>
        <v>#REF!</v>
      </c>
      <c r="Q50" s="429" t="e">
        <f t="shared" si="75"/>
        <v>#REF!</v>
      </c>
      <c r="R50" s="429" t="e">
        <f t="shared" si="75"/>
        <v>#REF!</v>
      </c>
      <c r="S50" s="429" t="e">
        <f t="shared" si="75"/>
        <v>#REF!</v>
      </c>
      <c r="T50" s="429" t="e">
        <f t="shared" si="75"/>
        <v>#REF!</v>
      </c>
      <c r="U50" s="429" t="e">
        <f t="shared" si="75"/>
        <v>#REF!</v>
      </c>
      <c r="V50" s="430" t="e">
        <f t="shared" si="75"/>
        <v>#REF!</v>
      </c>
      <c r="W50" s="429" t="e">
        <f t="shared" si="75"/>
        <v>#REF!</v>
      </c>
      <c r="X50" s="429" t="e">
        <f t="shared" si="75"/>
        <v>#REF!</v>
      </c>
      <c r="Y50" s="429" t="e">
        <f t="shared" si="75"/>
        <v>#REF!</v>
      </c>
      <c r="Z50" s="429" t="e">
        <f t="shared" si="75"/>
        <v>#REF!</v>
      </c>
      <c r="AA50" s="429" t="e">
        <f t="shared" si="75"/>
        <v>#REF!</v>
      </c>
      <c r="AB50" s="429" t="e">
        <f t="shared" si="75"/>
        <v>#REF!</v>
      </c>
      <c r="AC50" s="430" t="e">
        <f t="shared" si="75"/>
        <v>#REF!</v>
      </c>
      <c r="AD50" s="429" t="e">
        <f t="shared" si="75"/>
        <v>#REF!</v>
      </c>
      <c r="AE50" s="429" t="e">
        <f t="shared" si="75"/>
        <v>#REF!</v>
      </c>
      <c r="AF50" s="429" t="e">
        <f t="shared" si="75"/>
        <v>#REF!</v>
      </c>
      <c r="AG50" s="430" t="e">
        <f t="shared" si="75"/>
        <v>#REF!</v>
      </c>
      <c r="AH50" s="426"/>
      <c r="AI50" s="426"/>
      <c r="AJ50" s="427"/>
      <c r="AK50" s="428"/>
    </row>
    <row r="51" spans="1:37" s="361" customFormat="1" ht="25.5" hidden="1" customHeight="1" outlineLevel="1">
      <c r="A51" s="549"/>
      <c r="B51" s="408" t="s">
        <v>838</v>
      </c>
      <c r="C51" s="431" t="e">
        <f t="shared" si="75"/>
        <v>#REF!</v>
      </c>
      <c r="D51" s="431" t="e">
        <f t="shared" si="75"/>
        <v>#REF!</v>
      </c>
      <c r="E51" s="431" t="e">
        <f t="shared" si="75"/>
        <v>#REF!</v>
      </c>
      <c r="F51" s="432" t="e">
        <f t="shared" si="75"/>
        <v>#REF!</v>
      </c>
      <c r="G51" s="432" t="e">
        <f t="shared" si="75"/>
        <v>#REF!</v>
      </c>
      <c r="H51" s="432" t="e">
        <f t="shared" si="75"/>
        <v>#REF!</v>
      </c>
      <c r="I51" s="432" t="e">
        <f t="shared" si="75"/>
        <v>#REF!</v>
      </c>
      <c r="J51" s="431" t="e">
        <f t="shared" si="75"/>
        <v>#REF!</v>
      </c>
      <c r="K51" s="431" t="e">
        <f t="shared" si="75"/>
        <v>#REF!</v>
      </c>
      <c r="L51" s="431" t="e">
        <f t="shared" si="75"/>
        <v>#REF!</v>
      </c>
      <c r="M51" s="431" t="e">
        <f t="shared" si="75"/>
        <v>#REF!</v>
      </c>
      <c r="N51" s="432" t="e">
        <f t="shared" si="75"/>
        <v>#REF!</v>
      </c>
      <c r="O51" s="432" t="e">
        <f t="shared" si="75"/>
        <v>#REF!</v>
      </c>
      <c r="P51" s="431" t="e">
        <f t="shared" si="75"/>
        <v>#REF!</v>
      </c>
      <c r="Q51" s="431" t="e">
        <f t="shared" si="75"/>
        <v>#REF!</v>
      </c>
      <c r="R51" s="431" t="e">
        <f t="shared" si="75"/>
        <v>#REF!</v>
      </c>
      <c r="S51" s="431" t="e">
        <f t="shared" si="75"/>
        <v>#REF!</v>
      </c>
      <c r="T51" s="431" t="e">
        <f t="shared" si="75"/>
        <v>#REF!</v>
      </c>
      <c r="U51" s="431" t="e">
        <f t="shared" si="75"/>
        <v>#REF!</v>
      </c>
      <c r="V51" s="432" t="e">
        <f t="shared" si="75"/>
        <v>#REF!</v>
      </c>
      <c r="W51" s="431" t="e">
        <f t="shared" si="75"/>
        <v>#REF!</v>
      </c>
      <c r="X51" s="431" t="e">
        <f t="shared" si="75"/>
        <v>#REF!</v>
      </c>
      <c r="Y51" s="431" t="e">
        <f t="shared" si="75"/>
        <v>#REF!</v>
      </c>
      <c r="Z51" s="431" t="e">
        <f t="shared" si="75"/>
        <v>#REF!</v>
      </c>
      <c r="AA51" s="431" t="e">
        <f t="shared" si="75"/>
        <v>#REF!</v>
      </c>
      <c r="AB51" s="431" t="e">
        <f t="shared" si="75"/>
        <v>#REF!</v>
      </c>
      <c r="AC51" s="432" t="e">
        <f t="shared" si="75"/>
        <v>#REF!</v>
      </c>
      <c r="AD51" s="431" t="e">
        <f t="shared" si="75"/>
        <v>#REF!</v>
      </c>
      <c r="AE51" s="431" t="e">
        <f t="shared" si="75"/>
        <v>#REF!</v>
      </c>
      <c r="AF51" s="431" t="e">
        <f t="shared" si="75"/>
        <v>#REF!</v>
      </c>
      <c r="AG51" s="432" t="e">
        <f t="shared" si="75"/>
        <v>#REF!</v>
      </c>
      <c r="AH51" s="426"/>
      <c r="AI51" s="426"/>
      <c r="AJ51" s="427"/>
      <c r="AK51" s="428"/>
    </row>
    <row r="52" spans="1:37" s="361" customFormat="1" ht="25.5" hidden="1" customHeight="1" outlineLevel="1">
      <c r="A52" s="549"/>
      <c r="B52" s="390" t="s">
        <v>856</v>
      </c>
      <c r="C52" s="433" t="e">
        <f t="shared" si="75"/>
        <v>#REF!</v>
      </c>
      <c r="D52" s="433" t="e">
        <f t="shared" si="75"/>
        <v>#REF!</v>
      </c>
      <c r="E52" s="433" t="e">
        <f t="shared" si="75"/>
        <v>#REF!</v>
      </c>
      <c r="F52" s="434" t="e">
        <f t="shared" si="75"/>
        <v>#REF!</v>
      </c>
      <c r="G52" s="434" t="e">
        <f t="shared" si="75"/>
        <v>#REF!</v>
      </c>
      <c r="H52" s="434" t="e">
        <f t="shared" si="75"/>
        <v>#REF!</v>
      </c>
      <c r="I52" s="434" t="e">
        <f t="shared" si="75"/>
        <v>#REF!</v>
      </c>
      <c r="J52" s="433" t="e">
        <f t="shared" si="75"/>
        <v>#REF!</v>
      </c>
      <c r="K52" s="433" t="e">
        <f t="shared" si="75"/>
        <v>#REF!</v>
      </c>
      <c r="L52" s="433" t="e">
        <f t="shared" si="75"/>
        <v>#REF!</v>
      </c>
      <c r="M52" s="433" t="e">
        <f t="shared" si="75"/>
        <v>#REF!</v>
      </c>
      <c r="N52" s="434" t="e">
        <f t="shared" si="75"/>
        <v>#REF!</v>
      </c>
      <c r="O52" s="434" t="e">
        <f t="shared" si="75"/>
        <v>#REF!</v>
      </c>
      <c r="P52" s="433" t="e">
        <f t="shared" si="75"/>
        <v>#REF!</v>
      </c>
      <c r="Q52" s="433" t="e">
        <f t="shared" si="75"/>
        <v>#REF!</v>
      </c>
      <c r="R52" s="433" t="e">
        <f t="shared" si="75"/>
        <v>#REF!</v>
      </c>
      <c r="S52" s="433" t="e">
        <f t="shared" si="75"/>
        <v>#REF!</v>
      </c>
      <c r="T52" s="433" t="e">
        <f t="shared" si="75"/>
        <v>#REF!</v>
      </c>
      <c r="U52" s="433" t="e">
        <f t="shared" si="75"/>
        <v>#REF!</v>
      </c>
      <c r="V52" s="434" t="e">
        <f t="shared" si="75"/>
        <v>#REF!</v>
      </c>
      <c r="W52" s="433" t="e">
        <f t="shared" si="75"/>
        <v>#REF!</v>
      </c>
      <c r="X52" s="433" t="e">
        <f t="shared" si="75"/>
        <v>#REF!</v>
      </c>
      <c r="Y52" s="433" t="e">
        <f t="shared" si="75"/>
        <v>#REF!</v>
      </c>
      <c r="Z52" s="433" t="e">
        <f t="shared" si="75"/>
        <v>#REF!</v>
      </c>
      <c r="AA52" s="433" t="e">
        <f t="shared" si="75"/>
        <v>#REF!</v>
      </c>
      <c r="AB52" s="433" t="e">
        <f t="shared" si="75"/>
        <v>#REF!</v>
      </c>
      <c r="AC52" s="434" t="e">
        <f t="shared" si="75"/>
        <v>#REF!</v>
      </c>
      <c r="AD52" s="433" t="e">
        <f t="shared" si="75"/>
        <v>#REF!</v>
      </c>
      <c r="AE52" s="433" t="e">
        <f t="shared" si="75"/>
        <v>#REF!</v>
      </c>
      <c r="AF52" s="433" t="e">
        <f t="shared" si="75"/>
        <v>#REF!</v>
      </c>
      <c r="AG52" s="434" t="e">
        <f t="shared" si="75"/>
        <v>#REF!</v>
      </c>
      <c r="AH52" s="426"/>
      <c r="AI52" s="426"/>
      <c r="AJ52" s="427"/>
      <c r="AK52" s="428"/>
    </row>
    <row r="53" spans="1:37" s="361" customFormat="1" ht="21.75" customHeight="1" collapsed="1">
      <c r="A53" s="550"/>
      <c r="B53" s="435" t="s">
        <v>840</v>
      </c>
      <c r="C53" s="436" t="e">
        <f t="shared" ref="C53:AG53" si="76">C49/390*8</f>
        <v>#REF!</v>
      </c>
      <c r="D53" s="436" t="e">
        <f t="shared" si="76"/>
        <v>#REF!</v>
      </c>
      <c r="E53" s="436" t="e">
        <f t="shared" si="76"/>
        <v>#REF!</v>
      </c>
      <c r="F53" s="436" t="e">
        <f t="shared" si="76"/>
        <v>#REF!</v>
      </c>
      <c r="G53" s="437" t="e">
        <f t="shared" si="76"/>
        <v>#REF!</v>
      </c>
      <c r="H53" s="437" t="e">
        <f t="shared" si="76"/>
        <v>#REF!</v>
      </c>
      <c r="I53" s="437" t="e">
        <f t="shared" si="76"/>
        <v>#REF!</v>
      </c>
      <c r="J53" s="436" t="e">
        <f t="shared" si="76"/>
        <v>#REF!</v>
      </c>
      <c r="K53" s="436" t="e">
        <f t="shared" si="76"/>
        <v>#REF!</v>
      </c>
      <c r="L53" s="436" t="e">
        <f t="shared" si="76"/>
        <v>#REF!</v>
      </c>
      <c r="M53" s="436" t="e">
        <f t="shared" si="76"/>
        <v>#REF!</v>
      </c>
      <c r="N53" s="437" t="e">
        <f t="shared" si="76"/>
        <v>#REF!</v>
      </c>
      <c r="O53" s="437" t="e">
        <f t="shared" si="76"/>
        <v>#REF!</v>
      </c>
      <c r="P53" s="436" t="e">
        <f t="shared" si="76"/>
        <v>#REF!</v>
      </c>
      <c r="Q53" s="436" t="e">
        <f t="shared" si="76"/>
        <v>#REF!</v>
      </c>
      <c r="R53" s="436" t="e">
        <f t="shared" si="76"/>
        <v>#REF!</v>
      </c>
      <c r="S53" s="436" t="e">
        <f t="shared" si="76"/>
        <v>#REF!</v>
      </c>
      <c r="T53" s="436" t="e">
        <f t="shared" si="76"/>
        <v>#REF!</v>
      </c>
      <c r="U53" s="436" t="e">
        <f t="shared" si="76"/>
        <v>#REF!</v>
      </c>
      <c r="V53" s="437" t="e">
        <f t="shared" si="76"/>
        <v>#REF!</v>
      </c>
      <c r="W53" s="436" t="e">
        <f t="shared" si="76"/>
        <v>#REF!</v>
      </c>
      <c r="X53" s="436" t="e">
        <f t="shared" si="76"/>
        <v>#REF!</v>
      </c>
      <c r="Y53" s="436" t="e">
        <f t="shared" si="76"/>
        <v>#REF!</v>
      </c>
      <c r="Z53" s="436" t="e">
        <f t="shared" si="76"/>
        <v>#REF!</v>
      </c>
      <c r="AA53" s="436" t="e">
        <f t="shared" si="76"/>
        <v>#REF!</v>
      </c>
      <c r="AB53" s="436" t="e">
        <f t="shared" si="76"/>
        <v>#REF!</v>
      </c>
      <c r="AC53" s="437" t="e">
        <f t="shared" si="76"/>
        <v>#REF!</v>
      </c>
      <c r="AD53" s="436" t="e">
        <f t="shared" si="76"/>
        <v>#REF!</v>
      </c>
      <c r="AE53" s="436" t="e">
        <f t="shared" si="76"/>
        <v>#REF!</v>
      </c>
      <c r="AF53" s="436" t="e">
        <f t="shared" si="76"/>
        <v>#REF!</v>
      </c>
      <c r="AG53" s="437" t="e">
        <f t="shared" si="76"/>
        <v>#REF!</v>
      </c>
      <c r="AH53" s="350"/>
      <c r="AI53" s="350"/>
      <c r="AJ53" s="359"/>
      <c r="AK53" s="360"/>
    </row>
  </sheetData>
  <mergeCells count="12">
    <mergeCell ref="A50:A53"/>
    <mergeCell ref="A29:B30"/>
    <mergeCell ref="A32:A36"/>
    <mergeCell ref="A38:A43"/>
    <mergeCell ref="A44:A45"/>
    <mergeCell ref="A46:A49"/>
    <mergeCell ref="A22:A25"/>
    <mergeCell ref="A1:B2"/>
    <mergeCell ref="A4:A8"/>
    <mergeCell ref="A10:A15"/>
    <mergeCell ref="A16:A17"/>
    <mergeCell ref="A18:A21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X26"/>
  <sheetViews>
    <sheetView workbookViewId="0">
      <selection activeCell="A21" sqref="A21"/>
    </sheetView>
  </sheetViews>
  <sheetFormatPr defaultRowHeight="15"/>
  <cols>
    <col min="1" max="1" width="13.140625" customWidth="1"/>
    <col min="2" max="2" width="16.28515625" bestFit="1" customWidth="1"/>
    <col min="3" max="4" width="3" customWidth="1"/>
    <col min="5" max="5" width="2" customWidth="1"/>
    <col min="6" max="22" width="3" customWidth="1"/>
    <col min="23" max="23" width="7.28515625" customWidth="1"/>
    <col min="24" max="24" width="11.28515625" bestFit="1" customWidth="1"/>
  </cols>
  <sheetData>
    <row r="2" spans="1:24">
      <c r="A2" t="s">
        <v>47</v>
      </c>
    </row>
    <row r="3" spans="1:24">
      <c r="A3" s="438" t="s">
        <v>895</v>
      </c>
      <c r="B3" s="438" t="s">
        <v>891</v>
      </c>
    </row>
    <row r="4" spans="1:24">
      <c r="A4" s="438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12</v>
      </c>
      <c r="K4">
        <v>14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39" t="s">
        <v>889</v>
      </c>
      <c r="B5" s="440">
        <v>5</v>
      </c>
      <c r="C5" s="440">
        <v>3</v>
      </c>
      <c r="D5" s="440">
        <v>2</v>
      </c>
      <c r="E5" s="440">
        <v>2</v>
      </c>
      <c r="F5" s="440">
        <v>2</v>
      </c>
      <c r="G5" s="440">
        <v>7</v>
      </c>
      <c r="H5" s="440">
        <v>3</v>
      </c>
      <c r="I5" s="440">
        <v>4</v>
      </c>
      <c r="J5" s="440">
        <v>5</v>
      </c>
      <c r="K5" s="440">
        <v>1</v>
      </c>
      <c r="L5" s="440">
        <v>8</v>
      </c>
      <c r="M5" s="440">
        <v>8</v>
      </c>
      <c r="N5" s="440">
        <v>11</v>
      </c>
      <c r="O5" s="440">
        <v>10</v>
      </c>
      <c r="P5" s="440">
        <v>4</v>
      </c>
      <c r="Q5" s="440">
        <v>5</v>
      </c>
      <c r="R5" s="440">
        <v>6</v>
      </c>
      <c r="S5" s="440">
        <v>3</v>
      </c>
      <c r="T5" s="440">
        <v>4</v>
      </c>
      <c r="U5" s="440">
        <v>2</v>
      </c>
      <c r="V5" s="440">
        <v>4</v>
      </c>
      <c r="W5" s="440"/>
      <c r="X5" s="440">
        <v>99</v>
      </c>
    </row>
    <row r="6" spans="1:24">
      <c r="A6" s="439" t="s">
        <v>890</v>
      </c>
      <c r="B6" s="440">
        <v>9</v>
      </c>
      <c r="C6" s="440">
        <v>8</v>
      </c>
      <c r="D6" s="440">
        <v>8</v>
      </c>
      <c r="E6" s="440">
        <v>7</v>
      </c>
      <c r="F6" s="440">
        <v>8</v>
      </c>
      <c r="G6" s="440">
        <v>10</v>
      </c>
      <c r="H6" s="440">
        <v>12</v>
      </c>
      <c r="I6" s="440">
        <v>7</v>
      </c>
      <c r="J6" s="440">
        <v>6</v>
      </c>
      <c r="K6" s="440"/>
      <c r="L6" s="440"/>
      <c r="M6" s="440"/>
      <c r="N6" s="440"/>
      <c r="O6" s="440"/>
      <c r="P6" s="440">
        <v>11</v>
      </c>
      <c r="Q6" s="440">
        <v>7</v>
      </c>
      <c r="R6" s="440">
        <v>8</v>
      </c>
      <c r="S6" s="440">
        <v>11</v>
      </c>
      <c r="T6" s="440">
        <v>4</v>
      </c>
      <c r="U6" s="440">
        <v>14</v>
      </c>
      <c r="V6" s="440">
        <v>9</v>
      </c>
      <c r="W6" s="440"/>
      <c r="X6" s="440">
        <v>139</v>
      </c>
    </row>
    <row r="7" spans="1:24">
      <c r="A7" s="439" t="s">
        <v>892</v>
      </c>
      <c r="B7" s="440"/>
      <c r="C7" s="440"/>
      <c r="D7" s="440"/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  <c r="X7" s="440"/>
    </row>
    <row r="8" spans="1:24">
      <c r="A8" s="439" t="s">
        <v>893</v>
      </c>
      <c r="B8" s="440">
        <v>14</v>
      </c>
      <c r="C8" s="440">
        <v>11</v>
      </c>
      <c r="D8" s="440">
        <v>10</v>
      </c>
      <c r="E8" s="440">
        <v>9</v>
      </c>
      <c r="F8" s="440">
        <v>10</v>
      </c>
      <c r="G8" s="440">
        <v>17</v>
      </c>
      <c r="H8" s="440">
        <v>15</v>
      </c>
      <c r="I8" s="440">
        <v>11</v>
      </c>
      <c r="J8" s="440">
        <v>11</v>
      </c>
      <c r="K8" s="440">
        <v>1</v>
      </c>
      <c r="L8" s="440">
        <v>8</v>
      </c>
      <c r="M8" s="440">
        <v>8</v>
      </c>
      <c r="N8" s="440">
        <v>11</v>
      </c>
      <c r="O8" s="440">
        <v>10</v>
      </c>
      <c r="P8" s="440">
        <v>15</v>
      </c>
      <c r="Q8" s="440">
        <v>12</v>
      </c>
      <c r="R8" s="440">
        <v>14</v>
      </c>
      <c r="S8" s="440">
        <v>14</v>
      </c>
      <c r="T8" s="440">
        <v>8</v>
      </c>
      <c r="U8" s="440">
        <v>16</v>
      </c>
      <c r="V8" s="440">
        <v>13</v>
      </c>
      <c r="W8" s="440"/>
      <c r="X8" s="440">
        <v>238</v>
      </c>
    </row>
    <row r="11" spans="1:24">
      <c r="A11" t="s">
        <v>52</v>
      </c>
    </row>
    <row r="12" spans="1:24">
      <c r="A12" s="438" t="s">
        <v>895</v>
      </c>
      <c r="B12" s="438" t="s">
        <v>891</v>
      </c>
    </row>
    <row r="13" spans="1:24">
      <c r="A13" s="438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12</v>
      </c>
      <c r="K13">
        <v>19</v>
      </c>
      <c r="L13">
        <v>20</v>
      </c>
      <c r="M13">
        <v>21</v>
      </c>
      <c r="N13">
        <v>22</v>
      </c>
      <c r="O13">
        <v>24</v>
      </c>
      <c r="P13">
        <v>25</v>
      </c>
      <c r="Q13">
        <v>26</v>
      </c>
      <c r="R13">
        <v>27</v>
      </c>
      <c r="S13">
        <v>28</v>
      </c>
      <c r="T13">
        <v>29</v>
      </c>
      <c r="U13">
        <v>31</v>
      </c>
      <c r="V13" t="s">
        <v>892</v>
      </c>
      <c r="W13" t="s">
        <v>893</v>
      </c>
    </row>
    <row r="14" spans="1:24">
      <c r="A14" s="439" t="s">
        <v>889</v>
      </c>
      <c r="B14" s="440">
        <v>5</v>
      </c>
      <c r="C14" s="440">
        <v>3</v>
      </c>
      <c r="D14" s="440">
        <v>2</v>
      </c>
      <c r="E14" s="440">
        <v>2</v>
      </c>
      <c r="F14" s="440">
        <v>2</v>
      </c>
      <c r="G14" s="440">
        <v>7</v>
      </c>
      <c r="H14" s="440">
        <v>3</v>
      </c>
      <c r="I14" s="440">
        <v>4</v>
      </c>
      <c r="J14" s="440">
        <v>5</v>
      </c>
      <c r="K14" s="440">
        <v>8</v>
      </c>
      <c r="L14" s="440">
        <v>8</v>
      </c>
      <c r="M14" s="440">
        <v>11</v>
      </c>
      <c r="N14" s="440">
        <v>10</v>
      </c>
      <c r="O14" s="440">
        <v>4</v>
      </c>
      <c r="P14" s="440">
        <v>5</v>
      </c>
      <c r="Q14" s="440">
        <v>6</v>
      </c>
      <c r="R14" s="440">
        <v>3</v>
      </c>
      <c r="S14" s="440">
        <v>4</v>
      </c>
      <c r="T14" s="440">
        <v>2</v>
      </c>
      <c r="U14" s="440">
        <v>4</v>
      </c>
      <c r="V14" s="440"/>
      <c r="W14" s="440">
        <v>98</v>
      </c>
    </row>
    <row r="15" spans="1:24">
      <c r="A15" s="439" t="s">
        <v>890</v>
      </c>
      <c r="B15" s="440">
        <v>9</v>
      </c>
      <c r="C15" s="440">
        <v>8</v>
      </c>
      <c r="D15" s="440">
        <v>8</v>
      </c>
      <c r="E15" s="440">
        <v>7</v>
      </c>
      <c r="F15" s="440">
        <v>8</v>
      </c>
      <c r="G15" s="440">
        <v>10</v>
      </c>
      <c r="H15" s="440">
        <v>12</v>
      </c>
      <c r="I15" s="440">
        <v>7</v>
      </c>
      <c r="J15" s="440">
        <v>3</v>
      </c>
      <c r="K15" s="440"/>
      <c r="L15" s="440"/>
      <c r="M15" s="440"/>
      <c r="N15" s="440"/>
      <c r="O15" s="440">
        <v>11</v>
      </c>
      <c r="P15" s="440">
        <v>7</v>
      </c>
      <c r="Q15" s="440">
        <v>8</v>
      </c>
      <c r="R15" s="440">
        <v>11</v>
      </c>
      <c r="S15" s="440">
        <v>4</v>
      </c>
      <c r="T15" s="440">
        <v>14</v>
      </c>
      <c r="U15" s="440">
        <v>9</v>
      </c>
      <c r="V15" s="440"/>
      <c r="W15" s="440">
        <v>136</v>
      </c>
    </row>
    <row r="16" spans="1:24">
      <c r="A16" s="439" t="s">
        <v>892</v>
      </c>
      <c r="B16" s="440"/>
      <c r="C16" s="440"/>
      <c r="D16" s="440"/>
      <c r="E16" s="440"/>
      <c r="F16" s="440"/>
      <c r="G16" s="440"/>
      <c r="H16" s="440"/>
      <c r="I16" s="440"/>
      <c r="J16" s="440"/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</row>
    <row r="17" spans="1:24">
      <c r="A17" s="439" t="s">
        <v>893</v>
      </c>
      <c r="B17" s="440">
        <v>14</v>
      </c>
      <c r="C17" s="440">
        <v>11</v>
      </c>
      <c r="D17" s="440">
        <v>10</v>
      </c>
      <c r="E17" s="440">
        <v>9</v>
      </c>
      <c r="F17" s="440">
        <v>10</v>
      </c>
      <c r="G17" s="440">
        <v>17</v>
      </c>
      <c r="H17" s="440">
        <v>15</v>
      </c>
      <c r="I17" s="440">
        <v>11</v>
      </c>
      <c r="J17" s="440">
        <v>8</v>
      </c>
      <c r="K17" s="440">
        <v>8</v>
      </c>
      <c r="L17" s="440">
        <v>8</v>
      </c>
      <c r="M17" s="440">
        <v>11</v>
      </c>
      <c r="N17" s="440">
        <v>10</v>
      </c>
      <c r="O17" s="440">
        <v>15</v>
      </c>
      <c r="P17" s="440">
        <v>12</v>
      </c>
      <c r="Q17" s="440">
        <v>14</v>
      </c>
      <c r="R17" s="440">
        <v>14</v>
      </c>
      <c r="S17" s="440">
        <v>8</v>
      </c>
      <c r="T17" s="440">
        <v>16</v>
      </c>
      <c r="U17" s="440">
        <v>13</v>
      </c>
      <c r="V17" s="440"/>
      <c r="W17" s="440">
        <v>234</v>
      </c>
    </row>
    <row r="20" spans="1:24">
      <c r="A20" t="s">
        <v>48</v>
      </c>
    </row>
    <row r="21" spans="1:24">
      <c r="A21" s="438" t="s">
        <v>895</v>
      </c>
      <c r="B21" s="438" t="s">
        <v>891</v>
      </c>
    </row>
    <row r="22" spans="1:24">
      <c r="A22" s="438" t="s">
        <v>894</v>
      </c>
      <c r="B22">
        <v>1</v>
      </c>
      <c r="C22">
        <v>2</v>
      </c>
      <c r="D22">
        <v>3</v>
      </c>
      <c r="E22">
        <v>4</v>
      </c>
      <c r="F22">
        <v>8</v>
      </c>
      <c r="G22">
        <v>9</v>
      </c>
      <c r="H22">
        <v>10</v>
      </c>
      <c r="I22">
        <v>11</v>
      </c>
      <c r="J22">
        <v>12</v>
      </c>
      <c r="K22">
        <v>14</v>
      </c>
      <c r="L22">
        <v>19</v>
      </c>
      <c r="M22">
        <v>20</v>
      </c>
      <c r="N22">
        <v>21</v>
      </c>
      <c r="O22">
        <v>22</v>
      </c>
      <c r="P22">
        <v>24</v>
      </c>
      <c r="Q22">
        <v>25</v>
      </c>
      <c r="R22">
        <v>26</v>
      </c>
      <c r="S22">
        <v>27</v>
      </c>
      <c r="T22">
        <v>28</v>
      </c>
      <c r="U22">
        <v>29</v>
      </c>
      <c r="V22">
        <v>31</v>
      </c>
      <c r="W22" t="s">
        <v>892</v>
      </c>
      <c r="X22" t="s">
        <v>893</v>
      </c>
    </row>
    <row r="23" spans="1:24">
      <c r="A23" s="439" t="s">
        <v>889</v>
      </c>
      <c r="B23" s="440">
        <v>5</v>
      </c>
      <c r="C23" s="440">
        <v>3</v>
      </c>
      <c r="D23" s="440">
        <v>2</v>
      </c>
      <c r="E23" s="440">
        <v>2</v>
      </c>
      <c r="F23" s="440">
        <v>2</v>
      </c>
      <c r="G23" s="440">
        <v>7</v>
      </c>
      <c r="H23" s="440">
        <v>3</v>
      </c>
      <c r="I23" s="440">
        <v>4</v>
      </c>
      <c r="J23" s="440">
        <v>5</v>
      </c>
      <c r="K23" s="440">
        <v>4</v>
      </c>
      <c r="L23" s="440">
        <v>8</v>
      </c>
      <c r="M23" s="440">
        <v>8</v>
      </c>
      <c r="N23" s="440">
        <v>11</v>
      </c>
      <c r="O23" s="440">
        <v>10</v>
      </c>
      <c r="P23" s="440">
        <v>4</v>
      </c>
      <c r="Q23" s="440">
        <v>5</v>
      </c>
      <c r="R23" s="440">
        <v>6</v>
      </c>
      <c r="S23" s="440">
        <v>3</v>
      </c>
      <c r="T23" s="440">
        <v>4</v>
      </c>
      <c r="U23" s="440">
        <v>2</v>
      </c>
      <c r="V23" s="440">
        <v>4</v>
      </c>
      <c r="W23" s="440"/>
      <c r="X23" s="440">
        <v>102</v>
      </c>
    </row>
    <row r="24" spans="1:24">
      <c r="A24" s="439" t="s">
        <v>890</v>
      </c>
      <c r="B24" s="440">
        <v>9</v>
      </c>
      <c r="C24" s="440">
        <v>8</v>
      </c>
      <c r="D24" s="440">
        <v>8</v>
      </c>
      <c r="E24" s="440">
        <v>7</v>
      </c>
      <c r="F24" s="440">
        <v>8</v>
      </c>
      <c r="G24" s="440">
        <v>10</v>
      </c>
      <c r="H24" s="440">
        <v>12</v>
      </c>
      <c r="I24" s="440">
        <v>7</v>
      </c>
      <c r="J24" s="440">
        <v>6</v>
      </c>
      <c r="K24" s="440">
        <v>1</v>
      </c>
      <c r="L24" s="440"/>
      <c r="M24" s="440"/>
      <c r="N24" s="440"/>
      <c r="O24" s="440"/>
      <c r="P24" s="440">
        <v>11</v>
      </c>
      <c r="Q24" s="440">
        <v>7</v>
      </c>
      <c r="R24" s="440">
        <v>8</v>
      </c>
      <c r="S24" s="440">
        <v>11</v>
      </c>
      <c r="T24" s="440">
        <v>4</v>
      </c>
      <c r="U24" s="440">
        <v>14</v>
      </c>
      <c r="V24" s="440">
        <v>9</v>
      </c>
      <c r="W24" s="440"/>
      <c r="X24" s="440">
        <v>140</v>
      </c>
    </row>
    <row r="25" spans="1:24">
      <c r="A25" s="439" t="s">
        <v>892</v>
      </c>
      <c r="B25" s="440"/>
      <c r="C25" s="440"/>
      <c r="D25" s="440"/>
      <c r="E25" s="440"/>
      <c r="F25" s="440"/>
      <c r="G25" s="440"/>
      <c r="H25" s="440"/>
      <c r="I25" s="440"/>
      <c r="J25" s="440"/>
      <c r="K25" s="440"/>
      <c r="L25" s="440"/>
      <c r="M25" s="440"/>
      <c r="N25" s="440"/>
      <c r="O25" s="440"/>
      <c r="P25" s="440"/>
      <c r="Q25" s="440"/>
      <c r="R25" s="440"/>
      <c r="S25" s="440"/>
      <c r="T25" s="440"/>
      <c r="U25" s="440"/>
      <c r="V25" s="440"/>
      <c r="W25" s="440"/>
      <c r="X25" s="440"/>
    </row>
    <row r="26" spans="1:24">
      <c r="A26" s="439" t="s">
        <v>893</v>
      </c>
      <c r="B26" s="440">
        <v>14</v>
      </c>
      <c r="C26" s="440">
        <v>11</v>
      </c>
      <c r="D26" s="440">
        <v>10</v>
      </c>
      <c r="E26" s="440">
        <v>9</v>
      </c>
      <c r="F26" s="440">
        <v>10</v>
      </c>
      <c r="G26" s="440">
        <v>17</v>
      </c>
      <c r="H26" s="440">
        <v>15</v>
      </c>
      <c r="I26" s="440">
        <v>11</v>
      </c>
      <c r="J26" s="440">
        <v>11</v>
      </c>
      <c r="K26" s="440">
        <v>5</v>
      </c>
      <c r="L26" s="440">
        <v>8</v>
      </c>
      <c r="M26" s="440">
        <v>8</v>
      </c>
      <c r="N26" s="440">
        <v>11</v>
      </c>
      <c r="O26" s="440">
        <v>10</v>
      </c>
      <c r="P26" s="440">
        <v>15</v>
      </c>
      <c r="Q26" s="440">
        <v>12</v>
      </c>
      <c r="R26" s="440">
        <v>14</v>
      </c>
      <c r="S26" s="440">
        <v>14</v>
      </c>
      <c r="T26" s="440">
        <v>8</v>
      </c>
      <c r="U26" s="440">
        <v>16</v>
      </c>
      <c r="V26" s="440">
        <v>13</v>
      </c>
      <c r="W26" s="440"/>
      <c r="X26" s="440">
        <v>242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X8"/>
  <sheetViews>
    <sheetView workbookViewId="0">
      <selection activeCell="A3" sqref="A3"/>
    </sheetView>
  </sheetViews>
  <sheetFormatPr defaultRowHeight="15"/>
  <cols>
    <col min="1" max="1" width="13.140625" customWidth="1"/>
    <col min="2" max="2" width="16.28515625" bestFit="1" customWidth="1"/>
    <col min="3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438" t="s">
        <v>895</v>
      </c>
      <c r="B3" s="438" t="s">
        <v>891</v>
      </c>
    </row>
    <row r="4" spans="1:24">
      <c r="A4" s="438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39" t="s">
        <v>889</v>
      </c>
      <c r="B5" s="440">
        <v>3</v>
      </c>
      <c r="C5" s="440">
        <v>4</v>
      </c>
      <c r="D5" s="440">
        <v>3</v>
      </c>
      <c r="E5" s="440">
        <v>3</v>
      </c>
      <c r="F5" s="440">
        <v>3</v>
      </c>
      <c r="G5" s="440">
        <v>3</v>
      </c>
      <c r="H5" s="440">
        <v>2</v>
      </c>
      <c r="I5" s="440">
        <v>3</v>
      </c>
      <c r="J5" s="440">
        <v>1</v>
      </c>
      <c r="K5" s="440">
        <v>3</v>
      </c>
      <c r="L5" s="440">
        <v>5</v>
      </c>
      <c r="M5" s="440">
        <v>3</v>
      </c>
      <c r="N5" s="440">
        <v>2</v>
      </c>
      <c r="O5" s="440">
        <v>3</v>
      </c>
      <c r="P5" s="440">
        <v>4</v>
      </c>
      <c r="Q5" s="440">
        <v>3</v>
      </c>
      <c r="R5" s="440">
        <v>3</v>
      </c>
      <c r="S5" s="440">
        <v>5</v>
      </c>
      <c r="T5" s="440">
        <v>4</v>
      </c>
      <c r="U5" s="440">
        <v>4</v>
      </c>
      <c r="V5" s="440">
        <v>4</v>
      </c>
      <c r="W5" s="440"/>
      <c r="X5" s="440">
        <v>68</v>
      </c>
    </row>
    <row r="6" spans="1:24">
      <c r="A6" s="439" t="s">
        <v>890</v>
      </c>
      <c r="B6" s="440">
        <v>2</v>
      </c>
      <c r="C6" s="440">
        <v>3</v>
      </c>
      <c r="D6" s="440">
        <v>3</v>
      </c>
      <c r="E6" s="440">
        <v>3</v>
      </c>
      <c r="F6" s="440">
        <v>5</v>
      </c>
      <c r="G6" s="440">
        <v>4</v>
      </c>
      <c r="H6" s="440">
        <v>4</v>
      </c>
      <c r="I6" s="440">
        <v>4</v>
      </c>
      <c r="J6" s="440">
        <v>3</v>
      </c>
      <c r="K6" s="440">
        <v>2</v>
      </c>
      <c r="L6" s="440">
        <v>4</v>
      </c>
      <c r="M6" s="440">
        <v>5</v>
      </c>
      <c r="N6" s="440">
        <v>2</v>
      </c>
      <c r="O6" s="440">
        <v>3</v>
      </c>
      <c r="P6" s="440">
        <v>5</v>
      </c>
      <c r="Q6" s="440">
        <v>4</v>
      </c>
      <c r="R6" s="440">
        <v>3</v>
      </c>
      <c r="S6" s="440">
        <v>3</v>
      </c>
      <c r="T6" s="440">
        <v>3</v>
      </c>
      <c r="U6" s="440">
        <v>3</v>
      </c>
      <c r="V6" s="440">
        <v>3</v>
      </c>
      <c r="W6" s="440"/>
      <c r="X6" s="440">
        <v>71</v>
      </c>
    </row>
    <row r="7" spans="1:24">
      <c r="A7" s="439" t="s">
        <v>892</v>
      </c>
      <c r="B7" s="440"/>
      <c r="C7" s="440"/>
      <c r="D7" s="440"/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  <c r="X7" s="440"/>
    </row>
    <row r="8" spans="1:24">
      <c r="A8" s="439" t="s">
        <v>893</v>
      </c>
      <c r="B8" s="440">
        <v>5</v>
      </c>
      <c r="C8" s="440">
        <v>7</v>
      </c>
      <c r="D8" s="440">
        <v>6</v>
      </c>
      <c r="E8" s="440">
        <v>6</v>
      </c>
      <c r="F8" s="440">
        <v>8</v>
      </c>
      <c r="G8" s="440">
        <v>7</v>
      </c>
      <c r="H8" s="440">
        <v>6</v>
      </c>
      <c r="I8" s="440">
        <v>7</v>
      </c>
      <c r="J8" s="440">
        <v>4</v>
      </c>
      <c r="K8" s="440">
        <v>5</v>
      </c>
      <c r="L8" s="440">
        <v>9</v>
      </c>
      <c r="M8" s="440">
        <v>8</v>
      </c>
      <c r="N8" s="440">
        <v>4</v>
      </c>
      <c r="O8" s="440">
        <v>6</v>
      </c>
      <c r="P8" s="440">
        <v>9</v>
      </c>
      <c r="Q8" s="440">
        <v>7</v>
      </c>
      <c r="R8" s="440">
        <v>6</v>
      </c>
      <c r="S8" s="440">
        <v>8</v>
      </c>
      <c r="T8" s="440">
        <v>7</v>
      </c>
      <c r="U8" s="440">
        <v>7</v>
      </c>
      <c r="V8" s="440">
        <v>7</v>
      </c>
      <c r="W8" s="440"/>
      <c r="X8" s="440">
        <v>139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3" width="3" customWidth="1"/>
    <col min="4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438" t="s">
        <v>895</v>
      </c>
      <c r="B3" s="438" t="s">
        <v>891</v>
      </c>
    </row>
    <row r="4" spans="1:24">
      <c r="A4" s="438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39" t="s">
        <v>889</v>
      </c>
      <c r="B5" s="440">
        <v>6</v>
      </c>
      <c r="C5" s="440">
        <v>5</v>
      </c>
      <c r="D5" s="440">
        <v>4</v>
      </c>
      <c r="E5" s="440">
        <v>3</v>
      </c>
      <c r="F5" s="440">
        <v>3</v>
      </c>
      <c r="G5" s="440">
        <v>3</v>
      </c>
      <c r="H5" s="440">
        <v>3</v>
      </c>
      <c r="I5" s="440">
        <v>3</v>
      </c>
      <c r="J5" s="440">
        <v>2</v>
      </c>
      <c r="K5" s="440">
        <v>4</v>
      </c>
      <c r="L5" s="440">
        <v>6</v>
      </c>
      <c r="M5" s="440">
        <v>4</v>
      </c>
      <c r="N5" s="440">
        <v>4</v>
      </c>
      <c r="O5" s="440">
        <v>3</v>
      </c>
      <c r="P5" s="440">
        <v>3</v>
      </c>
      <c r="Q5" s="440">
        <v>5</v>
      </c>
      <c r="R5" s="440">
        <v>5</v>
      </c>
      <c r="S5" s="440">
        <v>3</v>
      </c>
      <c r="T5" s="440">
        <v>3</v>
      </c>
      <c r="U5" s="440">
        <v>3</v>
      </c>
      <c r="V5" s="440">
        <v>4</v>
      </c>
      <c r="W5" s="440"/>
      <c r="X5" s="440">
        <v>79</v>
      </c>
    </row>
    <row r="6" spans="1:24">
      <c r="A6" s="439" t="s">
        <v>890</v>
      </c>
      <c r="B6" s="440">
        <v>3</v>
      </c>
      <c r="C6" s="440">
        <v>5</v>
      </c>
      <c r="D6" s="440">
        <v>4</v>
      </c>
      <c r="E6" s="440">
        <v>3</v>
      </c>
      <c r="F6" s="440">
        <v>4</v>
      </c>
      <c r="G6" s="440">
        <v>5</v>
      </c>
      <c r="H6" s="440">
        <v>5</v>
      </c>
      <c r="I6" s="440">
        <v>5</v>
      </c>
      <c r="J6" s="440">
        <v>4</v>
      </c>
      <c r="K6" s="440"/>
      <c r="L6" s="440">
        <v>3</v>
      </c>
      <c r="M6" s="440">
        <v>2</v>
      </c>
      <c r="N6" s="440">
        <v>3</v>
      </c>
      <c r="O6" s="440">
        <v>2</v>
      </c>
      <c r="P6" s="440">
        <v>4</v>
      </c>
      <c r="Q6" s="440">
        <v>3</v>
      </c>
      <c r="R6" s="440">
        <v>4</v>
      </c>
      <c r="S6" s="440">
        <v>2</v>
      </c>
      <c r="T6" s="440">
        <v>3</v>
      </c>
      <c r="U6" s="440">
        <v>2</v>
      </c>
      <c r="V6" s="440">
        <v>3</v>
      </c>
      <c r="W6" s="440"/>
      <c r="X6" s="440">
        <v>69</v>
      </c>
    </row>
    <row r="7" spans="1:24">
      <c r="A7" s="439" t="s">
        <v>892</v>
      </c>
      <c r="B7" s="440"/>
      <c r="C7" s="440"/>
      <c r="D7" s="440"/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  <c r="X7" s="440"/>
    </row>
    <row r="8" spans="1:24">
      <c r="A8" s="439" t="s">
        <v>893</v>
      </c>
      <c r="B8" s="440">
        <v>9</v>
      </c>
      <c r="C8" s="440">
        <v>10</v>
      </c>
      <c r="D8" s="440">
        <v>8</v>
      </c>
      <c r="E8" s="440">
        <v>6</v>
      </c>
      <c r="F8" s="440">
        <v>7</v>
      </c>
      <c r="G8" s="440">
        <v>8</v>
      </c>
      <c r="H8" s="440">
        <v>8</v>
      </c>
      <c r="I8" s="440">
        <v>8</v>
      </c>
      <c r="J8" s="440">
        <v>6</v>
      </c>
      <c r="K8" s="440">
        <v>4</v>
      </c>
      <c r="L8" s="440">
        <v>9</v>
      </c>
      <c r="M8" s="440">
        <v>6</v>
      </c>
      <c r="N8" s="440">
        <v>7</v>
      </c>
      <c r="O8" s="440">
        <v>5</v>
      </c>
      <c r="P8" s="440">
        <v>7</v>
      </c>
      <c r="Q8" s="440">
        <v>8</v>
      </c>
      <c r="R8" s="440">
        <v>9</v>
      </c>
      <c r="S8" s="440">
        <v>5</v>
      </c>
      <c r="T8" s="440">
        <v>6</v>
      </c>
      <c r="U8" s="440">
        <v>5</v>
      </c>
      <c r="V8" s="440">
        <v>7</v>
      </c>
      <c r="W8" s="440"/>
      <c r="X8" s="440">
        <v>148</v>
      </c>
    </row>
    <row r="11" spans="1:24">
      <c r="A11" t="s">
        <v>48</v>
      </c>
    </row>
    <row r="12" spans="1:24">
      <c r="A12" s="438" t="s">
        <v>895</v>
      </c>
      <c r="B12" s="438" t="s">
        <v>891</v>
      </c>
    </row>
    <row r="13" spans="1:24">
      <c r="A13" s="438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439" t="s">
        <v>889</v>
      </c>
      <c r="B14" s="440">
        <v>6</v>
      </c>
      <c r="C14" s="440">
        <v>5</v>
      </c>
      <c r="D14" s="440">
        <v>4</v>
      </c>
      <c r="E14" s="440">
        <v>3</v>
      </c>
      <c r="F14" s="440">
        <v>3</v>
      </c>
      <c r="G14" s="440">
        <v>3</v>
      </c>
      <c r="H14" s="440">
        <v>3</v>
      </c>
      <c r="I14" s="440">
        <v>3</v>
      </c>
      <c r="J14" s="440">
        <v>2</v>
      </c>
      <c r="K14" s="440">
        <v>5</v>
      </c>
      <c r="L14" s="440">
        <v>6</v>
      </c>
      <c r="M14" s="440">
        <v>4</v>
      </c>
      <c r="N14" s="440">
        <v>4</v>
      </c>
      <c r="O14" s="440">
        <v>3</v>
      </c>
      <c r="P14" s="440">
        <v>3</v>
      </c>
      <c r="Q14" s="440">
        <v>5</v>
      </c>
      <c r="R14" s="440">
        <v>5</v>
      </c>
      <c r="S14" s="440">
        <v>3</v>
      </c>
      <c r="T14" s="440">
        <v>3</v>
      </c>
      <c r="U14" s="440">
        <v>3</v>
      </c>
      <c r="V14" s="440">
        <v>4</v>
      </c>
      <c r="W14" s="440"/>
      <c r="X14" s="440">
        <v>80</v>
      </c>
    </row>
    <row r="15" spans="1:24">
      <c r="A15" s="439" t="s">
        <v>890</v>
      </c>
      <c r="B15" s="440">
        <v>3</v>
      </c>
      <c r="C15" s="440">
        <v>5</v>
      </c>
      <c r="D15" s="440">
        <v>4</v>
      </c>
      <c r="E15" s="440">
        <v>3</v>
      </c>
      <c r="F15" s="440">
        <v>4</v>
      </c>
      <c r="G15" s="440">
        <v>5</v>
      </c>
      <c r="H15" s="440">
        <v>5</v>
      </c>
      <c r="I15" s="440">
        <v>5</v>
      </c>
      <c r="J15" s="440">
        <v>4</v>
      </c>
      <c r="K15" s="440">
        <v>3</v>
      </c>
      <c r="L15" s="440">
        <v>3</v>
      </c>
      <c r="M15" s="440">
        <v>2</v>
      </c>
      <c r="N15" s="440">
        <v>3</v>
      </c>
      <c r="O15" s="440">
        <v>2</v>
      </c>
      <c r="P15" s="440">
        <v>4</v>
      </c>
      <c r="Q15" s="440">
        <v>3</v>
      </c>
      <c r="R15" s="440">
        <v>4</v>
      </c>
      <c r="S15" s="440">
        <v>2</v>
      </c>
      <c r="T15" s="440">
        <v>3</v>
      </c>
      <c r="U15" s="440">
        <v>2</v>
      </c>
      <c r="V15" s="440">
        <v>3</v>
      </c>
      <c r="W15" s="440"/>
      <c r="X15" s="440">
        <v>72</v>
      </c>
    </row>
    <row r="16" spans="1:24">
      <c r="A16" s="439" t="s">
        <v>892</v>
      </c>
      <c r="B16" s="440"/>
      <c r="C16" s="440"/>
      <c r="D16" s="440"/>
      <c r="E16" s="440"/>
      <c r="F16" s="440"/>
      <c r="G16" s="440"/>
      <c r="H16" s="440"/>
      <c r="I16" s="440"/>
      <c r="J16" s="440"/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  <c r="X16" s="440"/>
    </row>
    <row r="17" spans="1:24">
      <c r="A17" s="439" t="s">
        <v>893</v>
      </c>
      <c r="B17" s="440">
        <v>9</v>
      </c>
      <c r="C17" s="440">
        <v>10</v>
      </c>
      <c r="D17" s="440">
        <v>8</v>
      </c>
      <c r="E17" s="440">
        <v>6</v>
      </c>
      <c r="F17" s="440">
        <v>7</v>
      </c>
      <c r="G17" s="440">
        <v>8</v>
      </c>
      <c r="H17" s="440">
        <v>8</v>
      </c>
      <c r="I17" s="440">
        <v>8</v>
      </c>
      <c r="J17" s="440">
        <v>6</v>
      </c>
      <c r="K17" s="440">
        <v>8</v>
      </c>
      <c r="L17" s="440">
        <v>9</v>
      </c>
      <c r="M17" s="440">
        <v>6</v>
      </c>
      <c r="N17" s="440">
        <v>7</v>
      </c>
      <c r="O17" s="440">
        <v>5</v>
      </c>
      <c r="P17" s="440">
        <v>7</v>
      </c>
      <c r="Q17" s="440">
        <v>8</v>
      </c>
      <c r="R17" s="440">
        <v>9</v>
      </c>
      <c r="S17" s="440">
        <v>5</v>
      </c>
      <c r="T17" s="440">
        <v>6</v>
      </c>
      <c r="U17" s="440">
        <v>5</v>
      </c>
      <c r="V17" s="440">
        <v>7</v>
      </c>
      <c r="W17" s="440"/>
      <c r="X17" s="440">
        <v>152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3" width="3" customWidth="1"/>
    <col min="4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104</v>
      </c>
    </row>
    <row r="3" spans="1:24">
      <c r="A3" s="438" t="s">
        <v>895</v>
      </c>
      <c r="B3" s="438" t="s">
        <v>891</v>
      </c>
    </row>
    <row r="4" spans="1:24">
      <c r="A4" s="438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39" t="s">
        <v>889</v>
      </c>
      <c r="B5" s="440">
        <v>6</v>
      </c>
      <c r="C5" s="440">
        <v>5</v>
      </c>
      <c r="D5" s="440">
        <v>4</v>
      </c>
      <c r="E5" s="440">
        <v>4</v>
      </c>
      <c r="F5" s="440">
        <v>4</v>
      </c>
      <c r="G5" s="440">
        <v>5</v>
      </c>
      <c r="H5" s="440">
        <v>4</v>
      </c>
      <c r="I5" s="440">
        <v>2</v>
      </c>
      <c r="J5" s="440">
        <v>3</v>
      </c>
      <c r="K5" s="440">
        <v>4</v>
      </c>
      <c r="L5" s="440">
        <v>4</v>
      </c>
      <c r="M5" s="440">
        <v>5</v>
      </c>
      <c r="N5" s="440">
        <v>3</v>
      </c>
      <c r="O5" s="440">
        <v>3</v>
      </c>
      <c r="P5" s="440">
        <v>2</v>
      </c>
      <c r="Q5" s="440">
        <v>4</v>
      </c>
      <c r="R5" s="440">
        <v>4</v>
      </c>
      <c r="S5" s="440">
        <v>4</v>
      </c>
      <c r="T5" s="440">
        <v>3</v>
      </c>
      <c r="U5" s="440">
        <v>5</v>
      </c>
      <c r="V5" s="440">
        <v>3</v>
      </c>
      <c r="W5" s="440"/>
      <c r="X5" s="440">
        <v>81</v>
      </c>
    </row>
    <row r="6" spans="1:24">
      <c r="A6" s="439" t="s">
        <v>890</v>
      </c>
      <c r="B6" s="440">
        <v>5</v>
      </c>
      <c r="C6" s="440">
        <v>5</v>
      </c>
      <c r="D6" s="440">
        <v>5</v>
      </c>
      <c r="E6" s="440">
        <v>5</v>
      </c>
      <c r="F6" s="440">
        <v>5</v>
      </c>
      <c r="G6" s="440">
        <v>4</v>
      </c>
      <c r="H6" s="440">
        <v>4</v>
      </c>
      <c r="I6" s="440">
        <v>6</v>
      </c>
      <c r="J6" s="440">
        <v>3</v>
      </c>
      <c r="K6" s="440"/>
      <c r="L6" s="440">
        <v>4</v>
      </c>
      <c r="M6" s="440">
        <v>5</v>
      </c>
      <c r="N6" s="440">
        <v>4</v>
      </c>
      <c r="O6" s="440">
        <v>4</v>
      </c>
      <c r="P6" s="440">
        <v>5</v>
      </c>
      <c r="Q6" s="440">
        <v>5</v>
      </c>
      <c r="R6" s="440">
        <v>5</v>
      </c>
      <c r="S6" s="440">
        <v>5</v>
      </c>
      <c r="T6" s="440">
        <v>6</v>
      </c>
      <c r="U6" s="440">
        <v>4</v>
      </c>
      <c r="V6" s="440">
        <v>6</v>
      </c>
      <c r="W6" s="440"/>
      <c r="X6" s="440">
        <v>95</v>
      </c>
    </row>
    <row r="7" spans="1:24">
      <c r="A7" s="439" t="s">
        <v>892</v>
      </c>
      <c r="B7" s="440"/>
      <c r="C7" s="440"/>
      <c r="D7" s="440"/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  <c r="X7" s="440"/>
    </row>
    <row r="8" spans="1:24">
      <c r="A8" s="439" t="s">
        <v>893</v>
      </c>
      <c r="B8" s="440">
        <v>11</v>
      </c>
      <c r="C8" s="440">
        <v>10</v>
      </c>
      <c r="D8" s="440">
        <v>9</v>
      </c>
      <c r="E8" s="440">
        <v>9</v>
      </c>
      <c r="F8" s="440">
        <v>9</v>
      </c>
      <c r="G8" s="440">
        <v>9</v>
      </c>
      <c r="H8" s="440">
        <v>8</v>
      </c>
      <c r="I8" s="440">
        <v>8</v>
      </c>
      <c r="J8" s="440">
        <v>6</v>
      </c>
      <c r="K8" s="440">
        <v>4</v>
      </c>
      <c r="L8" s="440">
        <v>8</v>
      </c>
      <c r="M8" s="440">
        <v>10</v>
      </c>
      <c r="N8" s="440">
        <v>7</v>
      </c>
      <c r="O8" s="440">
        <v>7</v>
      </c>
      <c r="P8" s="440">
        <v>7</v>
      </c>
      <c r="Q8" s="440">
        <v>9</v>
      </c>
      <c r="R8" s="440">
        <v>9</v>
      </c>
      <c r="S8" s="440">
        <v>9</v>
      </c>
      <c r="T8" s="440">
        <v>9</v>
      </c>
      <c r="U8" s="440">
        <v>9</v>
      </c>
      <c r="V8" s="440">
        <v>9</v>
      </c>
      <c r="W8" s="440"/>
      <c r="X8" s="440">
        <v>176</v>
      </c>
    </row>
    <row r="11" spans="1:24">
      <c r="A11" t="s">
        <v>52</v>
      </c>
    </row>
    <row r="12" spans="1:24">
      <c r="A12" s="438" t="s">
        <v>895</v>
      </c>
      <c r="B12" s="438" t="s">
        <v>891</v>
      </c>
    </row>
    <row r="13" spans="1:24">
      <c r="A13" s="438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439" t="s">
        <v>889</v>
      </c>
      <c r="B14" s="440">
        <v>6</v>
      </c>
      <c r="C14" s="440">
        <v>5</v>
      </c>
      <c r="D14" s="440">
        <v>4</v>
      </c>
      <c r="E14" s="440">
        <v>4</v>
      </c>
      <c r="F14" s="440">
        <v>4</v>
      </c>
      <c r="G14" s="440">
        <v>5</v>
      </c>
      <c r="H14" s="440">
        <v>4</v>
      </c>
      <c r="I14" s="440">
        <v>2</v>
      </c>
      <c r="J14" s="440">
        <v>3</v>
      </c>
      <c r="K14" s="440">
        <v>5</v>
      </c>
      <c r="L14" s="440">
        <v>4</v>
      </c>
      <c r="M14" s="440">
        <v>5</v>
      </c>
      <c r="N14" s="440">
        <v>3</v>
      </c>
      <c r="O14" s="440">
        <v>3</v>
      </c>
      <c r="P14" s="440">
        <v>2</v>
      </c>
      <c r="Q14" s="440">
        <v>4</v>
      </c>
      <c r="R14" s="440">
        <v>4</v>
      </c>
      <c r="S14" s="440">
        <v>4</v>
      </c>
      <c r="T14" s="440">
        <v>3</v>
      </c>
      <c r="U14" s="440">
        <v>5</v>
      </c>
      <c r="V14" s="440">
        <v>3</v>
      </c>
      <c r="W14" s="440"/>
      <c r="X14" s="440">
        <v>82</v>
      </c>
    </row>
    <row r="15" spans="1:24">
      <c r="A15" s="439" t="s">
        <v>890</v>
      </c>
      <c r="B15" s="440">
        <v>5</v>
      </c>
      <c r="C15" s="440">
        <v>5</v>
      </c>
      <c r="D15" s="440">
        <v>5</v>
      </c>
      <c r="E15" s="440">
        <v>5</v>
      </c>
      <c r="F15" s="440">
        <v>5</v>
      </c>
      <c r="G15" s="440">
        <v>4</v>
      </c>
      <c r="H15" s="440">
        <v>4</v>
      </c>
      <c r="I15" s="440">
        <v>6</v>
      </c>
      <c r="J15" s="440">
        <v>3</v>
      </c>
      <c r="K15" s="440">
        <v>4</v>
      </c>
      <c r="L15" s="440">
        <v>4</v>
      </c>
      <c r="M15" s="440">
        <v>5</v>
      </c>
      <c r="N15" s="440">
        <v>4</v>
      </c>
      <c r="O15" s="440">
        <v>4</v>
      </c>
      <c r="P15" s="440">
        <v>5</v>
      </c>
      <c r="Q15" s="440">
        <v>5</v>
      </c>
      <c r="R15" s="440">
        <v>5</v>
      </c>
      <c r="S15" s="440">
        <v>5</v>
      </c>
      <c r="T15" s="440">
        <v>6</v>
      </c>
      <c r="U15" s="440">
        <v>4</v>
      </c>
      <c r="V15" s="440">
        <v>6</v>
      </c>
      <c r="W15" s="440"/>
      <c r="X15" s="440">
        <v>99</v>
      </c>
    </row>
    <row r="16" spans="1:24">
      <c r="A16" s="439" t="s">
        <v>892</v>
      </c>
      <c r="B16" s="440"/>
      <c r="C16" s="440"/>
      <c r="D16" s="440"/>
      <c r="E16" s="440"/>
      <c r="F16" s="440"/>
      <c r="G16" s="440"/>
      <c r="H16" s="440"/>
      <c r="I16" s="440"/>
      <c r="J16" s="440"/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  <c r="X16" s="440"/>
    </row>
    <row r="17" spans="1:24">
      <c r="A17" s="439" t="s">
        <v>893</v>
      </c>
      <c r="B17" s="440">
        <v>11</v>
      </c>
      <c r="C17" s="440">
        <v>10</v>
      </c>
      <c r="D17" s="440">
        <v>9</v>
      </c>
      <c r="E17" s="440">
        <v>9</v>
      </c>
      <c r="F17" s="440">
        <v>9</v>
      </c>
      <c r="G17" s="440">
        <v>9</v>
      </c>
      <c r="H17" s="440">
        <v>8</v>
      </c>
      <c r="I17" s="440">
        <v>8</v>
      </c>
      <c r="J17" s="440">
        <v>6</v>
      </c>
      <c r="K17" s="440">
        <v>9</v>
      </c>
      <c r="L17" s="440">
        <v>8</v>
      </c>
      <c r="M17" s="440">
        <v>10</v>
      </c>
      <c r="N17" s="440">
        <v>7</v>
      </c>
      <c r="O17" s="440">
        <v>7</v>
      </c>
      <c r="P17" s="440">
        <v>7</v>
      </c>
      <c r="Q17" s="440">
        <v>9</v>
      </c>
      <c r="R17" s="440">
        <v>9</v>
      </c>
      <c r="S17" s="440">
        <v>9</v>
      </c>
      <c r="T17" s="440">
        <v>9</v>
      </c>
      <c r="U17" s="440">
        <v>9</v>
      </c>
      <c r="V17" s="440">
        <v>9</v>
      </c>
      <c r="W17" s="440"/>
      <c r="X17" s="440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34</vt:i4>
      </vt:variant>
    </vt:vector>
  </HeadingPairs>
  <TitlesOfParts>
    <vt:vector size="48" baseType="lpstr">
      <vt:lpstr>Home</vt:lpstr>
      <vt:lpstr>T599</vt:lpstr>
      <vt:lpstr>T463</vt:lpstr>
      <vt:lpstr>Time</vt:lpstr>
      <vt:lpstr>T599D</vt:lpstr>
      <vt:lpstr>T709_Cell_1</vt:lpstr>
      <vt:lpstr>T709_Cell_2</vt:lpstr>
      <vt:lpstr>T709_Cell_3</vt:lpstr>
      <vt:lpstr>MASTER PRODUCT T599</vt:lpstr>
      <vt:lpstr>MASTER PRODUCT T709</vt:lpstr>
      <vt:lpstr>T599Pivot</vt:lpstr>
      <vt:lpstr>T709_Cell_1Pivot</vt:lpstr>
      <vt:lpstr>T709_Cell_2Pivot</vt:lpstr>
      <vt:lpstr>T709_Cell_3Pivot</vt:lpstr>
      <vt:lpstr>'T463'!_DATE</vt:lpstr>
      <vt:lpstr>'T599'!_DATE</vt:lpstr>
      <vt:lpstr>T709_Cell_2!_DATE</vt:lpstr>
      <vt:lpstr>T709_Cell_3!_DATE</vt:lpstr>
      <vt:lpstr>'T463'!_MERCURY</vt:lpstr>
      <vt:lpstr>'T599'!_MERCURY</vt:lpstr>
      <vt:lpstr>T709_Cell_2!_MERCURY</vt:lpstr>
      <vt:lpstr>T709_Cell_3!_MERCURY</vt:lpstr>
      <vt:lpstr>'T463'!_NAME</vt:lpstr>
      <vt:lpstr>'T599'!_NAME</vt:lpstr>
      <vt:lpstr>T709_Cell_2!_NAME</vt:lpstr>
      <vt:lpstr>T709_Cell_3!_NAME</vt:lpstr>
      <vt:lpstr>'T463'!_OUTPUT</vt:lpstr>
      <vt:lpstr>'T599'!_OUTPUT</vt:lpstr>
      <vt:lpstr>T709_Cell_2!_OUTPUT</vt:lpstr>
      <vt:lpstr>T709_Cell_3!_OUTPUT</vt:lpstr>
      <vt:lpstr>'T463'!_PRIORITY</vt:lpstr>
      <vt:lpstr>'T599'!_PRIORITY</vt:lpstr>
      <vt:lpstr>T709_Cell_2!_PRIORITY</vt:lpstr>
      <vt:lpstr>T709_Cell_3!_PRIORITY</vt:lpstr>
      <vt:lpstr>'T463'!_QTY</vt:lpstr>
      <vt:lpstr>'T599'!_QTY</vt:lpstr>
      <vt:lpstr>T709_Cell_2!_QTY</vt:lpstr>
      <vt:lpstr>T709_Cell_3!_QTY</vt:lpstr>
      <vt:lpstr>'T463'!Print_Area</vt:lpstr>
      <vt:lpstr>'T599'!Print_Area</vt:lpstr>
      <vt:lpstr>T709_Cell_1!Print_Area</vt:lpstr>
      <vt:lpstr>T709_Cell_2!Print_Area</vt:lpstr>
      <vt:lpstr>T709_Cell_3!Print_Area</vt:lpstr>
      <vt:lpstr>'T463'!Print_Titles</vt:lpstr>
      <vt:lpstr>'T599'!Print_Titles</vt:lpstr>
      <vt:lpstr>T709_Cell_1!Print_Titles</vt:lpstr>
      <vt:lpstr>T709_Cell_2!Print_Titles</vt:lpstr>
      <vt:lpstr>T709_Cell_3!Print_Titles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Natirut Daungpak</cp:lastModifiedBy>
  <cp:lastPrinted>2020-08-11T01:35:14Z</cp:lastPrinted>
  <dcterms:created xsi:type="dcterms:W3CDTF">2019-01-15T09:15:21Z</dcterms:created>
  <dcterms:modified xsi:type="dcterms:W3CDTF">2020-09-03T05:02:36Z</dcterms:modified>
  <cp:contentStatus/>
</cp:coreProperties>
</file>