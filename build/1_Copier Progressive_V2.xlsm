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"/>
    </mc:Choice>
  </mc:AlternateContent>
  <bookViews>
    <workbookView xWindow="480" yWindow="1140" windowWidth="18195" windowHeight="11310" tabRatio="698" activeTab="1"/>
  </bookViews>
  <sheets>
    <sheet name="Home" sheetId="113" r:id="rId1"/>
    <sheet name="T599" sheetId="105" r:id="rId2"/>
    <sheet name="T463" sheetId="90" state="hidden" r:id="rId3"/>
    <sheet name="T709_Cell_1" sheetId="106" r:id="rId4"/>
    <sheet name="T709_Cell_2" sheetId="107" r:id="rId5"/>
    <sheet name="T709_Cell_3" sheetId="108" r:id="rId6"/>
    <sheet name="MASTER PRODUCT T599" sheetId="111" r:id="rId7"/>
    <sheet name="MASTER PRODUCT T709" sheetId="112" r:id="rId8"/>
  </sheets>
  <definedNames>
    <definedName name="_DATE" localSheetId="2">'T463'!$A$5</definedName>
    <definedName name="_DATE" localSheetId="1">'T599'!$A$5</definedName>
    <definedName name="_DATE" localSheetId="4">T709_Cell_2!$A$5</definedName>
    <definedName name="_DATE" localSheetId="5">T709_Cell_3!$A$5</definedName>
    <definedName name="_DATE">#REF!</definedName>
    <definedName name="_DBNAME" localSheetId="2">'T463'!#REF!</definedName>
    <definedName name="_DBNAME" localSheetId="1">'T599'!$Y$9</definedName>
    <definedName name="_DBNAME" localSheetId="4">T709_Cell_2!#REF!</definedName>
    <definedName name="_DBNAME" localSheetId="5">T709_Cell_3!#REF!</definedName>
    <definedName name="_DBNAME">#REF!</definedName>
    <definedName name="_DBPATH" localSheetId="2">'T463'!#REF!</definedName>
    <definedName name="_DBPATH" localSheetId="1">'T599'!$Y$8</definedName>
    <definedName name="_DBPATH" localSheetId="4">T709_Cell_2!#REF!</definedName>
    <definedName name="_DBPATH" localSheetId="5">T709_Cell_3!#REF!</definedName>
    <definedName name="_DBPATH">#REF!</definedName>
    <definedName name="_xlnm._FilterDatabase" localSheetId="2" hidden="1">'T463'!$A$6:$W$104</definedName>
    <definedName name="_xlnm._FilterDatabase" localSheetId="1" hidden="1">'T599'!$A$6:$AB$473</definedName>
    <definedName name="_xlnm._FilterDatabase" localSheetId="3" hidden="1">T709_Cell_1!$A$6:$AB$150</definedName>
    <definedName name="_xlnm._FilterDatabase" localSheetId="4" hidden="1">T709_Cell_2!$A$6:$AB$140</definedName>
    <definedName name="_xlnm._FilterDatabase" localSheetId="5" hidden="1">T709_Cell_3!$A$6:$AB$231</definedName>
    <definedName name="_MERCURY" localSheetId="2">'T463'!$C$5</definedName>
    <definedName name="_MERCURY" localSheetId="1">'T599'!$C$5</definedName>
    <definedName name="_MERCURY" localSheetId="4">T709_Cell_2!$C$5</definedName>
    <definedName name="_MERCURY" localSheetId="5">T709_Cell_3!$C$5</definedName>
    <definedName name="_MERCURY">#REF!</definedName>
    <definedName name="_NAME" localSheetId="2">'T463'!$D$5</definedName>
    <definedName name="_NAME" localSheetId="1">'T599'!$D$5</definedName>
    <definedName name="_NAME" localSheetId="4">T709_Cell_2!$D$5</definedName>
    <definedName name="_NAME" localSheetId="5">T709_Cell_3!$D$5</definedName>
    <definedName name="_NAME">#REF!</definedName>
    <definedName name="_OUTPUT" localSheetId="2">'T463'!$O$5</definedName>
    <definedName name="_OUTPUT" localSheetId="1">'T599'!$T$5</definedName>
    <definedName name="_OUTPUT" localSheetId="4">T709_Cell_2!$T$5</definedName>
    <definedName name="_OUTPUT" localSheetId="5">T709_Cell_3!$T$5</definedName>
    <definedName name="_OUTPUT">#REF!</definedName>
    <definedName name="_PRIORITY" localSheetId="2">'T463'!$B$5</definedName>
    <definedName name="_PRIORITY" localSheetId="1">'T599'!$B$5</definedName>
    <definedName name="_PRIORITY" localSheetId="4">T709_Cell_2!$B$5</definedName>
    <definedName name="_PRIORITY" localSheetId="5">T709_Cell_3!$B$5</definedName>
    <definedName name="_PRIORITY">#REF!</definedName>
    <definedName name="_QTY" localSheetId="2">'T463'!$E$5</definedName>
    <definedName name="_QTY" localSheetId="1">'T599'!$E$5</definedName>
    <definedName name="_QTY" localSheetId="4">T709_Cell_2!$E$5</definedName>
    <definedName name="_QTY" localSheetId="5">T709_Cell_3!$E$5</definedName>
    <definedName name="_QTY">#REF!</definedName>
    <definedName name="_xlnm.Print_Area" localSheetId="2">'T463'!$A$1:$P$38</definedName>
    <definedName name="_xlnm.Print_Area" localSheetId="1">'T599'!$A$1:$U$423</definedName>
    <definedName name="_xlnm.Print_Area" localSheetId="3">T709_Cell_1!$A$1:$U$120</definedName>
    <definedName name="_xlnm.Print_Area" localSheetId="4">T709_Cell_2!$A$1:$U$136</definedName>
    <definedName name="_xlnm.Print_Area" localSheetId="5">T709_Cell_3!$A$1:$U$172</definedName>
    <definedName name="_xlnm.Print_Titles" localSheetId="2">'T463'!$5:$6</definedName>
    <definedName name="_xlnm.Print_Titles" localSheetId="1">'T599'!$5:$6</definedName>
    <definedName name="_xlnm.Print_Titles" localSheetId="3">T709_Cell_1!$5:$6</definedName>
    <definedName name="_xlnm.Print_Titles" localSheetId="4">T709_Cell_2!$5:$6</definedName>
    <definedName name="_xlnm.Print_Titles" localSheetId="5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</workbook>
</file>

<file path=xl/calcChain.xml><?xml version="1.0" encoding="utf-8"?>
<calcChain xmlns="http://schemas.openxmlformats.org/spreadsheetml/2006/main">
  <c r="AE44" i="112" l="1"/>
  <c r="AD44" i="112"/>
  <c r="AB44" i="112"/>
  <c r="Z44" i="112"/>
  <c r="Y44" i="112"/>
  <c r="X44" i="112"/>
  <c r="W44" i="112"/>
  <c r="T44" i="112"/>
  <c r="S44" i="112"/>
  <c r="R44" i="112"/>
  <c r="Q44" i="112"/>
  <c r="P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V43" i="112"/>
  <c r="AG42" i="112"/>
  <c r="AG43" i="112" s="1"/>
  <c r="AF42" i="112"/>
  <c r="AF43" i="112" s="1"/>
  <c r="AC42" i="112"/>
  <c r="AC43" i="112" s="1"/>
  <c r="AA42" i="112"/>
  <c r="AA43" i="112" s="1"/>
  <c r="V42" i="112"/>
  <c r="U42" i="112"/>
  <c r="U43" i="112" s="1"/>
  <c r="AG41" i="112"/>
  <c r="AG40" i="112"/>
  <c r="AF40" i="112"/>
  <c r="AF41" i="112" s="1"/>
  <c r="AC40" i="112"/>
  <c r="AC41" i="112" s="1"/>
  <c r="AA40" i="112"/>
  <c r="AA41" i="112" s="1"/>
  <c r="V40" i="112"/>
  <c r="AK40" i="112" s="1"/>
  <c r="U40" i="112"/>
  <c r="AJ40" i="112" s="1"/>
  <c r="AF39" i="112"/>
  <c r="AC39" i="112"/>
  <c r="AG38" i="112"/>
  <c r="AG39" i="112" s="1"/>
  <c r="AF38" i="112"/>
  <c r="AC38" i="112"/>
  <c r="AA38" i="112"/>
  <c r="AA39" i="112" s="1"/>
  <c r="V38" i="112"/>
  <c r="V39" i="112" s="1"/>
  <c r="U38" i="112"/>
  <c r="U39" i="112" s="1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S36" i="112" s="1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S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AJ33" i="112"/>
  <c r="AJ32" i="112"/>
  <c r="AJ35" i="112" s="1"/>
  <c r="AJ31" i="112"/>
  <c r="C20" i="112"/>
  <c r="C24" i="112" s="1"/>
  <c r="C19" i="112"/>
  <c r="C23" i="112" s="1"/>
  <c r="C18" i="112"/>
  <c r="C22" i="112" s="1"/>
  <c r="D17" i="112"/>
  <c r="AG16" i="112"/>
  <c r="AF16" i="112"/>
  <c r="AD16" i="112"/>
  <c r="Z16" i="112"/>
  <c r="Y16" i="112"/>
  <c r="X16" i="112"/>
  <c r="W16" i="112"/>
  <c r="V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C17" i="112" s="1"/>
  <c r="AE15" i="112"/>
  <c r="AD15" i="112"/>
  <c r="AC15" i="112"/>
  <c r="AB15" i="112"/>
  <c r="AE14" i="112"/>
  <c r="AD14" i="112"/>
  <c r="AC14" i="112"/>
  <c r="AB14" i="112"/>
  <c r="AA14" i="112"/>
  <c r="AA15" i="112" s="1"/>
  <c r="AD13" i="112"/>
  <c r="AC13" i="112"/>
  <c r="AC16" i="112" s="1"/>
  <c r="AA13" i="112"/>
  <c r="AE12" i="112"/>
  <c r="AE13" i="112" s="1"/>
  <c r="AD12" i="112"/>
  <c r="AC12" i="112"/>
  <c r="AB12" i="112"/>
  <c r="AB13" i="112" s="1"/>
  <c r="AK39" i="112" s="1"/>
  <c r="AA12" i="112"/>
  <c r="AD11" i="112"/>
  <c r="AB11" i="112"/>
  <c r="AA11" i="112"/>
  <c r="AE10" i="112"/>
  <c r="AE11" i="112" s="1"/>
  <c r="AD10" i="112"/>
  <c r="AC10" i="112"/>
  <c r="AC11" i="112" s="1"/>
  <c r="AB10" i="112"/>
  <c r="AA10" i="112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C8" i="112" s="1"/>
  <c r="D8" i="112" s="1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5" i="112"/>
  <c r="T4" i="112"/>
  <c r="T7" i="112" s="1"/>
  <c r="C29" i="111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C28" i="111"/>
  <c r="C30" i="111" s="1"/>
  <c r="AJ27" i="111"/>
  <c r="AJ26" i="111"/>
  <c r="D25" i="111"/>
  <c r="AJ25" i="111" s="1"/>
  <c r="AJ24" i="111"/>
  <c r="D24" i="11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M23" i="111"/>
  <c r="L23" i="111"/>
  <c r="K23" i="111"/>
  <c r="J23" i="111"/>
  <c r="I23" i="111"/>
  <c r="H23" i="111"/>
  <c r="G23" i="111"/>
  <c r="F23" i="111"/>
  <c r="E23" i="111"/>
  <c r="D23" i="111"/>
  <c r="C23" i="111"/>
  <c r="AA22" i="111"/>
  <c r="AB22" i="111" s="1"/>
  <c r="AC22" i="111" s="1"/>
  <c r="AD22" i="111" s="1"/>
  <c r="AE22" i="111" s="1"/>
  <c r="AF22" i="111" s="1"/>
  <c r="AG22" i="111" s="1"/>
  <c r="Z22" i="111"/>
  <c r="Y22" i="111"/>
  <c r="X22" i="111"/>
  <c r="C22" i="111"/>
  <c r="D22" i="111" s="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AK21" i="111"/>
  <c r="AJ21" i="111"/>
  <c r="AG11" i="111"/>
  <c r="AF11" i="111"/>
  <c r="AD11" i="111"/>
  <c r="Z11" i="111"/>
  <c r="Y11" i="111"/>
  <c r="T11" i="111"/>
  <c r="S11" i="111"/>
  <c r="R11" i="111"/>
  <c r="Q11" i="111"/>
  <c r="P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C13" i="111" s="1"/>
  <c r="AJ10" i="111"/>
  <c r="AJ9" i="111"/>
  <c r="AE8" i="111"/>
  <c r="AC8" i="111"/>
  <c r="AJ8" i="111" s="1"/>
  <c r="AB8" i="111"/>
  <c r="AA8" i="111"/>
  <c r="AE7" i="111"/>
  <c r="AE11" i="111" s="1"/>
  <c r="AC7" i="111"/>
  <c r="AC11" i="111" s="1"/>
  <c r="AB7" i="111"/>
  <c r="AB11" i="111" s="1"/>
  <c r="AA7" i="111"/>
  <c r="AA11" i="111" s="1"/>
  <c r="U7" i="111"/>
  <c r="AG6" i="111"/>
  <c r="AF6" i="111"/>
  <c r="AE6" i="111"/>
  <c r="AD6" i="111"/>
  <c r="AC6" i="111"/>
  <c r="AB6" i="111"/>
  <c r="AK23" i="111" s="1"/>
  <c r="AA6" i="111"/>
  <c r="Z6" i="111"/>
  <c r="Y6" i="111"/>
  <c r="X6" i="111"/>
  <c r="X7" i="111" s="1"/>
  <c r="X11" i="111" s="1"/>
  <c r="W6" i="111"/>
  <c r="W7" i="111" s="1"/>
  <c r="W11" i="111" s="1"/>
  <c r="V6" i="111"/>
  <c r="V7" i="111" s="1"/>
  <c r="V11" i="111" s="1"/>
  <c r="U6" i="11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AK5" i="111"/>
  <c r="X5" i="111"/>
  <c r="Y5" i="111" s="1"/>
  <c r="Z5" i="111" s="1"/>
  <c r="AA5" i="111" s="1"/>
  <c r="AB5" i="111" s="1"/>
  <c r="C5" i="111"/>
  <c r="D5" i="111" s="1"/>
  <c r="E5" i="111" s="1"/>
  <c r="F5" i="111" s="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AJ4" i="111"/>
  <c r="W8" i="105"/>
  <c r="W9" i="105"/>
  <c r="W10" i="105" s="1"/>
  <c r="W11" i="105" s="1"/>
  <c r="W12" i="105" s="1"/>
  <c r="W13" i="105" s="1"/>
  <c r="W14" i="105" s="1"/>
  <c r="W15" i="105" s="1"/>
  <c r="W16" i="105" s="1"/>
  <c r="W17" i="105" s="1"/>
  <c r="W18" i="105" s="1"/>
  <c r="W19" i="105" s="1"/>
  <c r="W20" i="105" s="1"/>
  <c r="W21" i="105" s="1"/>
  <c r="W22" i="105" s="1"/>
  <c r="W23" i="105" s="1"/>
  <c r="W24" i="105" s="1"/>
  <c r="W25" i="105" s="1"/>
  <c r="W26" i="105" s="1"/>
  <c r="W27" i="105" s="1"/>
  <c r="W28" i="105" s="1"/>
  <c r="W29" i="105" s="1"/>
  <c r="W30" i="105" s="1"/>
  <c r="W31" i="105" s="1"/>
  <c r="W32" i="105" s="1"/>
  <c r="W33" i="105" s="1"/>
  <c r="W34" i="105" s="1"/>
  <c r="W35" i="105" s="1"/>
  <c r="W36" i="105" s="1"/>
  <c r="W37" i="105" s="1"/>
  <c r="W38" i="105" s="1"/>
  <c r="W39" i="105" s="1"/>
  <c r="W40" i="105" s="1"/>
  <c r="W41" i="105" s="1"/>
  <c r="W42" i="105" s="1"/>
  <c r="W43" i="105" s="1"/>
  <c r="W44" i="105" s="1"/>
  <c r="W45" i="105" s="1"/>
  <c r="W46" i="105" s="1"/>
  <c r="W47" i="105" s="1"/>
  <c r="W48" i="105" s="1"/>
  <c r="W49" i="105" s="1"/>
  <c r="W50" i="105" s="1"/>
  <c r="W51" i="105" s="1"/>
  <c r="W52" i="105" s="1"/>
  <c r="W53" i="105" s="1"/>
  <c r="W54" i="105" s="1"/>
  <c r="W55" i="105" s="1"/>
  <c r="W56" i="105" s="1"/>
  <c r="W57" i="105" s="1"/>
  <c r="W58" i="105" s="1"/>
  <c r="W59" i="105" s="1"/>
  <c r="W60" i="105" s="1"/>
  <c r="W61" i="105" s="1"/>
  <c r="W62" i="105" s="1"/>
  <c r="W63" i="105" s="1"/>
  <c r="W64" i="105" s="1"/>
  <c r="W65" i="105" s="1"/>
  <c r="W66" i="105" s="1"/>
  <c r="W67" i="105" s="1"/>
  <c r="W68" i="105" s="1"/>
  <c r="W69" i="105" s="1"/>
  <c r="W70" i="105" s="1"/>
  <c r="W71" i="105" s="1"/>
  <c r="W72" i="105" s="1"/>
  <c r="W73" i="105" s="1"/>
  <c r="W74" i="105" s="1"/>
  <c r="W75" i="105" s="1"/>
  <c r="W76" i="105" s="1"/>
  <c r="W77" i="105" s="1"/>
  <c r="W78" i="105" s="1"/>
  <c r="W79" i="105" s="1"/>
  <c r="W80" i="105" s="1"/>
  <c r="W81" i="105" s="1"/>
  <c r="W82" i="105" s="1"/>
  <c r="W83" i="105" s="1"/>
  <c r="W84" i="105" s="1"/>
  <c r="W85" i="105" s="1"/>
  <c r="W86" i="105" s="1"/>
  <c r="W87" i="105" s="1"/>
  <c r="W88" i="105" s="1"/>
  <c r="W89" i="105" s="1"/>
  <c r="W90" i="105" s="1"/>
  <c r="W91" i="105" s="1"/>
  <c r="W92" i="105" s="1"/>
  <c r="W93" i="105" s="1"/>
  <c r="W94" i="105" s="1"/>
  <c r="W95" i="105" s="1"/>
  <c r="W96" i="105" s="1"/>
  <c r="W97" i="105" s="1"/>
  <c r="W98" i="105" s="1"/>
  <c r="W99" i="105" s="1"/>
  <c r="W100" i="105" s="1"/>
  <c r="W101" i="105" s="1"/>
  <c r="W102" i="105" s="1"/>
  <c r="W103" i="105" s="1"/>
  <c r="W104" i="105" s="1"/>
  <c r="W105" i="105" s="1"/>
  <c r="W106" i="105" s="1"/>
  <c r="W107" i="105" s="1"/>
  <c r="W108" i="105" s="1"/>
  <c r="W109" i="105" s="1"/>
  <c r="W110" i="105" s="1"/>
  <c r="W111" i="105" s="1"/>
  <c r="W112" i="105" s="1"/>
  <c r="W113" i="105" s="1"/>
  <c r="W114" i="105" s="1"/>
  <c r="W115" i="105" s="1"/>
  <c r="W116" i="105" s="1"/>
  <c r="W117" i="105" s="1"/>
  <c r="W118" i="105" s="1"/>
  <c r="W119" i="105" s="1"/>
  <c r="W120" i="105" s="1"/>
  <c r="W121" i="105" s="1"/>
  <c r="W122" i="105" s="1"/>
  <c r="W123" i="105" s="1"/>
  <c r="W124" i="105" s="1"/>
  <c r="W125" i="105" s="1"/>
  <c r="W126" i="105" s="1"/>
  <c r="W127" i="105" s="1"/>
  <c r="W128" i="105" s="1"/>
  <c r="W129" i="105" s="1"/>
  <c r="W130" i="105" s="1"/>
  <c r="W131" i="105" s="1"/>
  <c r="W132" i="105" s="1"/>
  <c r="W133" i="105" s="1"/>
  <c r="W134" i="105" s="1"/>
  <c r="W135" i="105" s="1"/>
  <c r="W136" i="105" s="1"/>
  <c r="W137" i="105" s="1"/>
  <c r="W138" i="105" s="1"/>
  <c r="W139" i="105" s="1"/>
  <c r="W140" i="105" s="1"/>
  <c r="W141" i="105" s="1"/>
  <c r="W142" i="105" s="1"/>
  <c r="W143" i="105" s="1"/>
  <c r="W144" i="105" s="1"/>
  <c r="W145" i="105" s="1"/>
  <c r="W146" i="105" s="1"/>
  <c r="W147" i="105" s="1"/>
  <c r="W148" i="105" s="1"/>
  <c r="W149" i="105" s="1"/>
  <c r="W150" i="105" s="1"/>
  <c r="W151" i="105" s="1"/>
  <c r="W152" i="105" s="1"/>
  <c r="W153" i="105" s="1"/>
  <c r="W154" i="105" s="1"/>
  <c r="W155" i="105" s="1"/>
  <c r="W156" i="105" s="1"/>
  <c r="W157" i="105" s="1"/>
  <c r="W158" i="105" s="1"/>
  <c r="W159" i="105" s="1"/>
  <c r="W160" i="105" s="1"/>
  <c r="W161" i="105" s="1"/>
  <c r="W162" i="105" s="1"/>
  <c r="W163" i="105" s="1"/>
  <c r="W164" i="105" s="1"/>
  <c r="W165" i="105" s="1"/>
  <c r="W166" i="105" s="1"/>
  <c r="W167" i="105" s="1"/>
  <c r="W168" i="105" s="1"/>
  <c r="W169" i="105" s="1"/>
  <c r="W170" i="105" s="1"/>
  <c r="W171" i="105" s="1"/>
  <c r="W172" i="105" s="1"/>
  <c r="W173" i="105" s="1"/>
  <c r="W174" i="105" s="1"/>
  <c r="W175" i="105" s="1"/>
  <c r="W176" i="105" s="1"/>
  <c r="W177" i="105" s="1"/>
  <c r="W178" i="105" s="1"/>
  <c r="W179" i="105" s="1"/>
  <c r="W180" i="105" s="1"/>
  <c r="W181" i="105" s="1"/>
  <c r="W182" i="105" s="1"/>
  <c r="W183" i="105" s="1"/>
  <c r="W184" i="105" s="1"/>
  <c r="W185" i="105" s="1"/>
  <c r="W186" i="105" s="1"/>
  <c r="W187" i="105" s="1"/>
  <c r="W188" i="105" s="1"/>
  <c r="W189" i="105" s="1"/>
  <c r="W190" i="105" s="1"/>
  <c r="W191" i="105" s="1"/>
  <c r="W192" i="105" s="1"/>
  <c r="W193" i="105" s="1"/>
  <c r="W194" i="105" s="1"/>
  <c r="W195" i="105" s="1"/>
  <c r="W196" i="105" s="1"/>
  <c r="W197" i="105" s="1"/>
  <c r="W198" i="105" s="1"/>
  <c r="W199" i="105" s="1"/>
  <c r="W200" i="105" s="1"/>
  <c r="W201" i="105" s="1"/>
  <c r="W202" i="105" s="1"/>
  <c r="W203" i="105" s="1"/>
  <c r="W204" i="105" s="1"/>
  <c r="W205" i="105" s="1"/>
  <c r="W206" i="105" s="1"/>
  <c r="W207" i="105" s="1"/>
  <c r="W208" i="105" s="1"/>
  <c r="W209" i="105" s="1"/>
  <c r="W210" i="105" s="1"/>
  <c r="W211" i="105" s="1"/>
  <c r="W212" i="105" s="1"/>
  <c r="W213" i="105" s="1"/>
  <c r="W214" i="105" s="1"/>
  <c r="W215" i="105" s="1"/>
  <c r="W216" i="105" s="1"/>
  <c r="W217" i="105" s="1"/>
  <c r="W218" i="105" s="1"/>
  <c r="W219" i="105" s="1"/>
  <c r="W220" i="105" s="1"/>
  <c r="W221" i="105" s="1"/>
  <c r="W222" i="105" s="1"/>
  <c r="W223" i="105" s="1"/>
  <c r="W224" i="105" s="1"/>
  <c r="W225" i="105" s="1"/>
  <c r="W226" i="105" s="1"/>
  <c r="W227" i="105" s="1"/>
  <c r="W228" i="105" s="1"/>
  <c r="W229" i="105" s="1"/>
  <c r="W230" i="105" s="1"/>
  <c r="W231" i="105" s="1"/>
  <c r="W232" i="105" s="1"/>
  <c r="W233" i="105" s="1"/>
  <c r="W234" i="105" s="1"/>
  <c r="W235" i="105" s="1"/>
  <c r="W236" i="105" s="1"/>
  <c r="W237" i="105" s="1"/>
  <c r="W238" i="105" s="1"/>
  <c r="W239" i="105" s="1"/>
  <c r="W240" i="105" s="1"/>
  <c r="W241" i="105" s="1"/>
  <c r="W242" i="105" s="1"/>
  <c r="W243" i="105" s="1"/>
  <c r="W244" i="105" s="1"/>
  <c r="W245" i="105" s="1"/>
  <c r="W246" i="105" s="1"/>
  <c r="W247" i="105" s="1"/>
  <c r="W248" i="105" s="1"/>
  <c r="W249" i="105" s="1"/>
  <c r="W250" i="105" s="1"/>
  <c r="W251" i="105" s="1"/>
  <c r="W252" i="105" s="1"/>
  <c r="W253" i="105" s="1"/>
  <c r="W254" i="105" s="1"/>
  <c r="W255" i="105" s="1"/>
  <c r="W256" i="105" s="1"/>
  <c r="W257" i="105" s="1"/>
  <c r="W258" i="105" s="1"/>
  <c r="W259" i="105" s="1"/>
  <c r="W260" i="105" s="1"/>
  <c r="W261" i="105" s="1"/>
  <c r="W262" i="105" s="1"/>
  <c r="W263" i="105" s="1"/>
  <c r="W264" i="105" s="1"/>
  <c r="W265" i="105" s="1"/>
  <c r="W266" i="105" s="1"/>
  <c r="W267" i="105" s="1"/>
  <c r="W268" i="105" s="1"/>
  <c r="W269" i="105" s="1"/>
  <c r="W270" i="105" s="1"/>
  <c r="W271" i="105" s="1"/>
  <c r="W272" i="105" s="1"/>
  <c r="W273" i="105" s="1"/>
  <c r="W274" i="105" s="1"/>
  <c r="W275" i="105" s="1"/>
  <c r="W276" i="105" s="1"/>
  <c r="W277" i="105" s="1"/>
  <c r="W278" i="105" s="1"/>
  <c r="W279" i="105" s="1"/>
  <c r="W280" i="105" s="1"/>
  <c r="W281" i="105" s="1"/>
  <c r="W282" i="105" s="1"/>
  <c r="W283" i="105" s="1"/>
  <c r="W284" i="105" s="1"/>
  <c r="W285" i="105" s="1"/>
  <c r="W286" i="105" s="1"/>
  <c r="W287" i="105" s="1"/>
  <c r="W288" i="105" s="1"/>
  <c r="W289" i="105" s="1"/>
  <c r="W290" i="105" s="1"/>
  <c r="W291" i="105" s="1"/>
  <c r="W292" i="105" s="1"/>
  <c r="W293" i="105" s="1"/>
  <c r="W294" i="105" s="1"/>
  <c r="W295" i="105" s="1"/>
  <c r="W296" i="105" s="1"/>
  <c r="W297" i="105" s="1"/>
  <c r="W298" i="105" s="1"/>
  <c r="W299" i="105" s="1"/>
  <c r="W300" i="105" s="1"/>
  <c r="W301" i="105" s="1"/>
  <c r="W302" i="105" s="1"/>
  <c r="W303" i="105" s="1"/>
  <c r="W304" i="105" s="1"/>
  <c r="W305" i="105" s="1"/>
  <c r="W306" i="105" s="1"/>
  <c r="W307" i="105" s="1"/>
  <c r="W308" i="105" s="1"/>
  <c r="W309" i="105" s="1"/>
  <c r="W310" i="105" s="1"/>
  <c r="W311" i="105" s="1"/>
  <c r="W312" i="105" s="1"/>
  <c r="W313" i="105" s="1"/>
  <c r="W314" i="105" s="1"/>
  <c r="W315" i="105" s="1"/>
  <c r="W316" i="105" s="1"/>
  <c r="W317" i="105" s="1"/>
  <c r="W318" i="105" s="1"/>
  <c r="W319" i="105" s="1"/>
  <c r="W320" i="105" s="1"/>
  <c r="W321" i="105" s="1"/>
  <c r="W322" i="105" s="1"/>
  <c r="W323" i="105" s="1"/>
  <c r="W324" i="105" s="1"/>
  <c r="W325" i="105" s="1"/>
  <c r="W326" i="105" s="1"/>
  <c r="W327" i="105" s="1"/>
  <c r="W328" i="105" s="1"/>
  <c r="W329" i="105" s="1"/>
  <c r="W330" i="105" s="1"/>
  <c r="W331" i="105" s="1"/>
  <c r="W332" i="105" s="1"/>
  <c r="W333" i="105" s="1"/>
  <c r="W334" i="105" s="1"/>
  <c r="W335" i="105" s="1"/>
  <c r="W336" i="105" s="1"/>
  <c r="W337" i="105" s="1"/>
  <c r="W338" i="105" s="1"/>
  <c r="W339" i="105" s="1"/>
  <c r="W340" i="105" s="1"/>
  <c r="W341" i="105" s="1"/>
  <c r="W342" i="105" s="1"/>
  <c r="W343" i="105" s="1"/>
  <c r="W344" i="105" s="1"/>
  <c r="W345" i="105" s="1"/>
  <c r="W346" i="105" s="1"/>
  <c r="W347" i="105" s="1"/>
  <c r="W348" i="105" s="1"/>
  <c r="W349" i="105" s="1"/>
  <c r="W350" i="105" s="1"/>
  <c r="W351" i="105" s="1"/>
  <c r="W352" i="105" s="1"/>
  <c r="W353" i="105" s="1"/>
  <c r="W354" i="105" s="1"/>
  <c r="W355" i="105" s="1"/>
  <c r="W356" i="105" s="1"/>
  <c r="W357" i="105" s="1"/>
  <c r="W358" i="105" s="1"/>
  <c r="W359" i="105" s="1"/>
  <c r="W360" i="105" s="1"/>
  <c r="W361" i="105" s="1"/>
  <c r="W362" i="105" s="1"/>
  <c r="W363" i="105" s="1"/>
  <c r="W364" i="105" s="1"/>
  <c r="W365" i="105" s="1"/>
  <c r="W366" i="105" s="1"/>
  <c r="W367" i="105" s="1"/>
  <c r="W368" i="105" s="1"/>
  <c r="W369" i="105" s="1"/>
  <c r="W370" i="105" s="1"/>
  <c r="W371" i="105" s="1"/>
  <c r="W372" i="105" s="1"/>
  <c r="W373" i="105" s="1"/>
  <c r="W374" i="105" s="1"/>
  <c r="W375" i="105" s="1"/>
  <c r="W376" i="105" s="1"/>
  <c r="W377" i="105" s="1"/>
  <c r="W378" i="105" s="1"/>
  <c r="W379" i="105" s="1"/>
  <c r="W380" i="105" s="1"/>
  <c r="W381" i="105" s="1"/>
  <c r="W382" i="105" s="1"/>
  <c r="W383" i="105" s="1"/>
  <c r="W384" i="105" s="1"/>
  <c r="W385" i="105" s="1"/>
  <c r="W386" i="105" s="1"/>
  <c r="W387" i="105" s="1"/>
  <c r="W388" i="105" s="1"/>
  <c r="W389" i="105" s="1"/>
  <c r="W390" i="105" s="1"/>
  <c r="W391" i="105" s="1"/>
  <c r="W392" i="105" s="1"/>
  <c r="W393" i="105" s="1"/>
  <c r="W394" i="105" s="1"/>
  <c r="W395" i="105" s="1"/>
  <c r="W396" i="105" s="1"/>
  <c r="W397" i="105" s="1"/>
  <c r="W398" i="105" s="1"/>
  <c r="W399" i="105" s="1"/>
  <c r="W400" i="105" s="1"/>
  <c r="W401" i="105" s="1"/>
  <c r="W402" i="105" s="1"/>
  <c r="W403" i="105" s="1"/>
  <c r="W404" i="105" s="1"/>
  <c r="W405" i="105" s="1"/>
  <c r="W406" i="105" s="1"/>
  <c r="W407" i="105" s="1"/>
  <c r="W408" i="105" s="1"/>
  <c r="W409" i="105" s="1"/>
  <c r="W410" i="105" s="1"/>
  <c r="W411" i="105" s="1"/>
  <c r="W412" i="105" s="1"/>
  <c r="W413" i="105" s="1"/>
  <c r="W414" i="105" s="1"/>
  <c r="W415" i="105" s="1"/>
  <c r="W416" i="105" s="1"/>
  <c r="W417" i="105" s="1"/>
  <c r="W418" i="105" s="1"/>
  <c r="W419" i="105" s="1"/>
  <c r="W420" i="105" s="1"/>
  <c r="W421" i="105" s="1"/>
  <c r="W422" i="105" s="1"/>
  <c r="W423" i="105" s="1"/>
  <c r="Y46" i="105"/>
  <c r="T8" i="112" l="1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AE16" i="112"/>
  <c r="D20" i="112"/>
  <c r="D21" i="112"/>
  <c r="D25" i="112" s="1"/>
  <c r="D19" i="112"/>
  <c r="AF44" i="112"/>
  <c r="AA16" i="112"/>
  <c r="C21" i="112"/>
  <c r="C25" i="112" s="1"/>
  <c r="E17" i="112"/>
  <c r="AK38" i="112"/>
  <c r="AB16" i="112"/>
  <c r="D18" i="112"/>
  <c r="V41" i="112"/>
  <c r="V44" i="112" s="1"/>
  <c r="AJ43" i="112"/>
  <c r="AJ39" i="112"/>
  <c r="AG44" i="112"/>
  <c r="AJ38" i="112"/>
  <c r="U41" i="112"/>
  <c r="AJ41" i="112" s="1"/>
  <c r="U44" i="112"/>
  <c r="AA44" i="112"/>
  <c r="AJ42" i="112"/>
  <c r="AC44" i="112"/>
  <c r="AJ7" i="111"/>
  <c r="AJ11" i="111"/>
  <c r="C14" i="111"/>
  <c r="D13" i="111"/>
  <c r="AC5" i="111"/>
  <c r="AD5" i="111" s="1"/>
  <c r="AE5" i="111" s="1"/>
  <c r="AF5" i="111" s="1"/>
  <c r="AG5" i="111" s="1"/>
  <c r="AK22" i="111"/>
  <c r="C31" i="111"/>
  <c r="D29" i="11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U11" i="111"/>
  <c r="AP11" i="111" s="1"/>
  <c r="D28" i="111"/>
  <c r="AP28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U12" i="111" s="1"/>
  <c r="V12" i="111" s="1"/>
  <c r="W12" i="111" s="1"/>
  <c r="X12" i="111" s="1"/>
  <c r="Y12" i="111" s="1"/>
  <c r="Z12" i="111" s="1"/>
  <c r="AA12" i="111" s="1"/>
  <c r="AB12" i="111" s="1"/>
  <c r="AC12" i="111" s="1"/>
  <c r="AD12" i="111" s="1"/>
  <c r="AE12" i="111" s="1"/>
  <c r="AF12" i="111" s="1"/>
  <c r="AG12" i="111" s="1"/>
  <c r="AK4" i="111"/>
  <c r="AK6" i="111" s="1"/>
  <c r="E21" i="112" l="1"/>
  <c r="E25" i="112" s="1"/>
  <c r="F17" i="112"/>
  <c r="D24" i="112"/>
  <c r="E20" i="112"/>
  <c r="AJ44" i="112"/>
  <c r="AK41" i="112"/>
  <c r="D22" i="112"/>
  <c r="E18" i="112"/>
  <c r="AK42" i="112"/>
  <c r="D23" i="112"/>
  <c r="E19" i="112"/>
  <c r="D14" i="111"/>
  <c r="E13" i="111"/>
  <c r="D30" i="111"/>
  <c r="AJ28" i="111"/>
  <c r="AK24" i="111"/>
  <c r="F20" i="112" l="1"/>
  <c r="E24" i="112"/>
  <c r="E22" i="112"/>
  <c r="F18" i="112"/>
  <c r="F21" i="112"/>
  <c r="F25" i="112" s="1"/>
  <c r="G17" i="112"/>
  <c r="E23" i="112"/>
  <c r="F19" i="112"/>
  <c r="F13" i="111"/>
  <c r="E14" i="111"/>
  <c r="D31" i="111"/>
  <c r="E30" i="111"/>
  <c r="F22" i="112" l="1"/>
  <c r="G18" i="112"/>
  <c r="G19" i="112"/>
  <c r="F23" i="112"/>
  <c r="F24" i="112"/>
  <c r="G20" i="112"/>
  <c r="G21" i="112"/>
  <c r="G25" i="112" s="1"/>
  <c r="H17" i="112"/>
  <c r="G13" i="111"/>
  <c r="F14" i="111"/>
  <c r="E31" i="111"/>
  <c r="F30" i="111"/>
  <c r="G23" i="112" l="1"/>
  <c r="H19" i="112"/>
  <c r="I17" i="112"/>
  <c r="H21" i="112"/>
  <c r="H25" i="112" s="1"/>
  <c r="H18" i="112"/>
  <c r="G22" i="112"/>
  <c r="G24" i="112"/>
  <c r="H20" i="112"/>
  <c r="G14" i="111"/>
  <c r="H13" i="111"/>
  <c r="F31" i="111"/>
  <c r="G30" i="111"/>
  <c r="I21" i="112" l="1"/>
  <c r="I25" i="112" s="1"/>
  <c r="J17" i="112"/>
  <c r="H24" i="112"/>
  <c r="I20" i="112"/>
  <c r="H23" i="112"/>
  <c r="I19" i="112"/>
  <c r="H22" i="112"/>
  <c r="I18" i="112"/>
  <c r="G31" i="111"/>
  <c r="H30" i="111"/>
  <c r="H14" i="111"/>
  <c r="I13" i="111"/>
  <c r="I24" i="112" l="1"/>
  <c r="J20" i="112"/>
  <c r="I22" i="112"/>
  <c r="J18" i="112"/>
  <c r="J21" i="112"/>
  <c r="J25" i="112" s="1"/>
  <c r="K17" i="112"/>
  <c r="I23" i="112"/>
  <c r="J19" i="112"/>
  <c r="H31" i="111"/>
  <c r="I30" i="111"/>
  <c r="I14" i="111"/>
  <c r="J13" i="111"/>
  <c r="J22" i="112" l="1"/>
  <c r="K18" i="112"/>
  <c r="J23" i="112"/>
  <c r="K19" i="112"/>
  <c r="J24" i="112"/>
  <c r="K20" i="112"/>
  <c r="K21" i="112"/>
  <c r="K25" i="112" s="1"/>
  <c r="L17" i="112"/>
  <c r="J14" i="111"/>
  <c r="K13" i="111"/>
  <c r="I31" i="111"/>
  <c r="J30" i="111"/>
  <c r="K23" i="112" l="1"/>
  <c r="L19" i="112"/>
  <c r="L21" i="112"/>
  <c r="L25" i="112" s="1"/>
  <c r="M17" i="112"/>
  <c r="K22" i="112"/>
  <c r="L18" i="112"/>
  <c r="L20" i="112"/>
  <c r="K24" i="112"/>
  <c r="K14" i="111"/>
  <c r="L13" i="111"/>
  <c r="J31" i="111"/>
  <c r="K30" i="111"/>
  <c r="M21" i="112" l="1"/>
  <c r="M25" i="112" s="1"/>
  <c r="N17" i="112"/>
  <c r="M19" i="112"/>
  <c r="L23" i="112"/>
  <c r="L24" i="112"/>
  <c r="M20" i="112"/>
  <c r="L22" i="112"/>
  <c r="M18" i="112"/>
  <c r="K31" i="111"/>
  <c r="L30" i="111"/>
  <c r="L14" i="111"/>
  <c r="M13" i="111"/>
  <c r="M23" i="112" l="1"/>
  <c r="N19" i="112"/>
  <c r="N18" i="112"/>
  <c r="M22" i="112"/>
  <c r="N21" i="112"/>
  <c r="N25" i="112" s="1"/>
  <c r="O17" i="112"/>
  <c r="M24" i="112"/>
  <c r="N20" i="112"/>
  <c r="M14" i="111"/>
  <c r="N13" i="111"/>
  <c r="L31" i="111"/>
  <c r="M30" i="111"/>
  <c r="N22" i="112" l="1"/>
  <c r="O18" i="112"/>
  <c r="N24" i="112"/>
  <c r="O20" i="112"/>
  <c r="N23" i="112"/>
  <c r="O19" i="112"/>
  <c r="O21" i="112"/>
  <c r="O25" i="112" s="1"/>
  <c r="P17" i="112"/>
  <c r="M31" i="111"/>
  <c r="N30" i="111"/>
  <c r="N14" i="111"/>
  <c r="O13" i="111"/>
  <c r="O24" i="112" l="1"/>
  <c r="P20" i="112"/>
  <c r="O23" i="112"/>
  <c r="P19" i="112"/>
  <c r="P21" i="112"/>
  <c r="P25" i="112" s="1"/>
  <c r="Q17" i="112"/>
  <c r="O22" i="112"/>
  <c r="P18" i="112"/>
  <c r="N31" i="111"/>
  <c r="O30" i="111"/>
  <c r="O14" i="111"/>
  <c r="P13" i="111"/>
  <c r="P24" i="112" l="1"/>
  <c r="Q20" i="112"/>
  <c r="Q21" i="112"/>
  <c r="Q25" i="112" s="1"/>
  <c r="R17" i="112"/>
  <c r="P23" i="112"/>
  <c r="Q19" i="112"/>
  <c r="P22" i="112"/>
  <c r="Q18" i="112"/>
  <c r="O31" i="111"/>
  <c r="P30" i="111"/>
  <c r="P14" i="111"/>
  <c r="Q13" i="111"/>
  <c r="Q23" i="112" l="1"/>
  <c r="R19" i="112"/>
  <c r="R21" i="112"/>
  <c r="R25" i="112" s="1"/>
  <c r="S17" i="112"/>
  <c r="Q24" i="112"/>
  <c r="R20" i="112"/>
  <c r="Q22" i="112"/>
  <c r="R18" i="112"/>
  <c r="P31" i="111"/>
  <c r="Q30" i="111"/>
  <c r="Q14" i="111"/>
  <c r="R13" i="111"/>
  <c r="R24" i="112" l="1"/>
  <c r="S20" i="112"/>
  <c r="S19" i="112"/>
  <c r="R23" i="112"/>
  <c r="S21" i="112"/>
  <c r="S25" i="112" s="1"/>
  <c r="T17" i="112"/>
  <c r="R22" i="112"/>
  <c r="S18" i="112"/>
  <c r="R14" i="111"/>
  <c r="S13" i="111"/>
  <c r="Q31" i="111"/>
  <c r="R30" i="111"/>
  <c r="U17" i="112" l="1"/>
  <c r="T21" i="112"/>
  <c r="T25" i="112" s="1"/>
  <c r="S23" i="112"/>
  <c r="T19" i="112"/>
  <c r="S22" i="112"/>
  <c r="T18" i="112"/>
  <c r="S24" i="112"/>
  <c r="T20" i="112"/>
  <c r="R31" i="111"/>
  <c r="S30" i="111"/>
  <c r="S14" i="111"/>
  <c r="T13" i="111"/>
  <c r="T22" i="112" l="1"/>
  <c r="U18" i="112"/>
  <c r="T24" i="112"/>
  <c r="U20" i="112"/>
  <c r="T23" i="112"/>
  <c r="U19" i="112"/>
  <c r="U21" i="112"/>
  <c r="U25" i="112" s="1"/>
  <c r="V17" i="112"/>
  <c r="T14" i="111"/>
  <c r="U13" i="111"/>
  <c r="S31" i="111"/>
  <c r="T30" i="111"/>
  <c r="V21" i="112" l="1"/>
  <c r="V25" i="112" s="1"/>
  <c r="W17" i="112"/>
  <c r="U23" i="112"/>
  <c r="V19" i="112"/>
  <c r="U24" i="112"/>
  <c r="V20" i="112"/>
  <c r="U22" i="112"/>
  <c r="V18" i="112"/>
  <c r="T31" i="111"/>
  <c r="U30" i="111"/>
  <c r="U14" i="111"/>
  <c r="V13" i="111"/>
  <c r="W21" i="112" l="1"/>
  <c r="W25" i="112" s="1"/>
  <c r="X17" i="112"/>
  <c r="V24" i="112"/>
  <c r="W20" i="112"/>
  <c r="V23" i="112"/>
  <c r="W19" i="112"/>
  <c r="V22" i="112"/>
  <c r="W18" i="112"/>
  <c r="V14" i="111"/>
  <c r="W13" i="111"/>
  <c r="U31" i="111"/>
  <c r="V30" i="111"/>
  <c r="W23" i="112" l="1"/>
  <c r="X19" i="112"/>
  <c r="X21" i="112"/>
  <c r="X25" i="112" s="1"/>
  <c r="Y17" i="112"/>
  <c r="X20" i="112"/>
  <c r="W24" i="112"/>
  <c r="W22" i="112"/>
  <c r="X18" i="112"/>
  <c r="W14" i="111"/>
  <c r="X13" i="111"/>
  <c r="V31" i="111"/>
  <c r="W30" i="111"/>
  <c r="X24" i="112" l="1"/>
  <c r="Y20" i="112"/>
  <c r="Y21" i="112"/>
  <c r="Y25" i="112" s="1"/>
  <c r="Z17" i="112"/>
  <c r="X22" i="112"/>
  <c r="Y18" i="112"/>
  <c r="X23" i="112"/>
  <c r="Y19" i="112"/>
  <c r="W31" i="111"/>
  <c r="X30" i="111"/>
  <c r="Y13" i="111"/>
  <c r="X14" i="111"/>
  <c r="Z18" i="112" l="1"/>
  <c r="Y22" i="112"/>
  <c r="AA17" i="112"/>
  <c r="Z21" i="112"/>
  <c r="Z25" i="112" s="1"/>
  <c r="Y23" i="112"/>
  <c r="Z19" i="112"/>
  <c r="Y24" i="112"/>
  <c r="Z20" i="112"/>
  <c r="Y14" i="111"/>
  <c r="Z13" i="111"/>
  <c r="X31" i="111"/>
  <c r="Y30" i="111"/>
  <c r="Z23" i="112" l="1"/>
  <c r="AA19" i="112"/>
  <c r="Z24" i="112"/>
  <c r="AA20" i="112"/>
  <c r="AA21" i="112"/>
  <c r="AA25" i="112" s="1"/>
  <c r="AB17" i="112"/>
  <c r="Z22" i="112"/>
  <c r="AA18" i="112"/>
  <c r="Y31" i="111"/>
  <c r="Z30" i="111"/>
  <c r="Z14" i="111"/>
  <c r="AA13" i="111"/>
  <c r="AB21" i="112" l="1"/>
  <c r="AB25" i="112" s="1"/>
  <c r="AK43" i="112"/>
  <c r="AC17" i="112"/>
  <c r="AA23" i="112"/>
  <c r="AB19" i="112"/>
  <c r="AA24" i="112"/>
  <c r="AB20" i="112"/>
  <c r="AA22" i="112"/>
  <c r="AB18" i="112"/>
  <c r="AA14" i="111"/>
  <c r="AB13" i="111"/>
  <c r="Z31" i="111"/>
  <c r="AA30" i="111"/>
  <c r="AB22" i="112" l="1"/>
  <c r="AC18" i="112"/>
  <c r="AB23" i="112"/>
  <c r="AC19" i="112"/>
  <c r="AC21" i="112"/>
  <c r="AC25" i="112" s="1"/>
  <c r="AD17" i="112"/>
  <c r="AB24" i="112"/>
  <c r="AC20" i="112"/>
  <c r="AA31" i="111"/>
  <c r="AB30" i="111"/>
  <c r="AB14" i="111"/>
  <c r="AC13" i="111"/>
  <c r="AC22" i="112" l="1"/>
  <c r="AD18" i="112"/>
  <c r="AD21" i="112"/>
  <c r="AD25" i="112" s="1"/>
  <c r="AE17" i="112"/>
  <c r="AC23" i="112"/>
  <c r="AD19" i="112"/>
  <c r="AD20" i="112"/>
  <c r="AC24" i="112"/>
  <c r="AC14" i="111"/>
  <c r="AD13" i="111"/>
  <c r="AB31" i="111"/>
  <c r="AC30" i="111"/>
  <c r="AD22" i="112" l="1"/>
  <c r="AE18" i="112"/>
  <c r="AE19" i="112"/>
  <c r="AD23" i="112"/>
  <c r="AE21" i="112"/>
  <c r="AE25" i="112" s="1"/>
  <c r="AF17" i="112"/>
  <c r="AE20" i="112"/>
  <c r="AD24" i="112"/>
  <c r="AC31" i="111"/>
  <c r="AD30" i="111"/>
  <c r="AD14" i="111"/>
  <c r="AE13" i="111"/>
  <c r="AG17" i="112" l="1"/>
  <c r="AG21" i="112" s="1"/>
  <c r="AF21" i="112"/>
  <c r="AF25" i="112" s="1"/>
  <c r="AF18" i="112"/>
  <c r="AE22" i="112"/>
  <c r="AE23" i="112"/>
  <c r="AF19" i="112"/>
  <c r="AF20" i="112"/>
  <c r="AE24" i="112"/>
  <c r="AE14" i="111"/>
  <c r="AF13" i="111"/>
  <c r="AD31" i="111"/>
  <c r="AE30" i="111"/>
  <c r="AF23" i="112" l="1"/>
  <c r="AG19" i="112"/>
  <c r="AF22" i="112"/>
  <c r="AG18" i="112"/>
  <c r="AG22" i="112" s="1"/>
  <c r="C48" i="112" s="1"/>
  <c r="AF24" i="112"/>
  <c r="AG20" i="112"/>
  <c r="C47" i="112"/>
  <c r="AG25" i="112"/>
  <c r="AE31" i="111"/>
  <c r="AF30" i="111"/>
  <c r="AF14" i="111"/>
  <c r="AG13" i="111"/>
  <c r="AG14" i="111" s="1"/>
  <c r="C46" i="112" l="1"/>
  <c r="AG24" i="112"/>
  <c r="AG23" i="112"/>
  <c r="C45" i="112"/>
  <c r="C52" i="112"/>
  <c r="D48" i="112"/>
  <c r="C51" i="112"/>
  <c r="D47" i="112"/>
  <c r="AF31" i="111"/>
  <c r="AG30" i="111"/>
  <c r="AG31" i="111" s="1"/>
  <c r="D51" i="112" l="1"/>
  <c r="E47" i="112"/>
  <c r="D52" i="112"/>
  <c r="E48" i="112"/>
  <c r="D45" i="112"/>
  <c r="C49" i="112"/>
  <c r="C53" i="112" s="1"/>
  <c r="D46" i="112"/>
  <c r="C50" i="112"/>
  <c r="W8" i="108"/>
  <c r="W9" i="108" s="1"/>
  <c r="W10" i="108" s="1"/>
  <c r="W11" i="108" s="1"/>
  <c r="W12" i="108" s="1"/>
  <c r="W13" i="108" s="1"/>
  <c r="W14" i="108" s="1"/>
  <c r="W15" i="108" s="1"/>
  <c r="W16" i="108" s="1"/>
  <c r="W17" i="108" s="1"/>
  <c r="W18" i="108" s="1"/>
  <c r="W19" i="108" s="1"/>
  <c r="W20" i="108" s="1"/>
  <c r="W21" i="108" s="1"/>
  <c r="W22" i="108" s="1"/>
  <c r="W23" i="108" s="1"/>
  <c r="W24" i="108" s="1"/>
  <c r="W25" i="108" s="1"/>
  <c r="W26" i="108" s="1"/>
  <c r="W27" i="108" s="1"/>
  <c r="W28" i="108" s="1"/>
  <c r="W29" i="108" s="1"/>
  <c r="W30" i="108" s="1"/>
  <c r="W31" i="108" s="1"/>
  <c r="W32" i="108" s="1"/>
  <c r="W33" i="108" s="1"/>
  <c r="W34" i="108" s="1"/>
  <c r="W35" i="108" s="1"/>
  <c r="W36" i="108" s="1"/>
  <c r="W37" i="108" s="1"/>
  <c r="W38" i="108" s="1"/>
  <c r="W39" i="108" s="1"/>
  <c r="W40" i="108" s="1"/>
  <c r="W41" i="108" s="1"/>
  <c r="W42" i="108" s="1"/>
  <c r="W43" i="108" s="1"/>
  <c r="W44" i="108" s="1"/>
  <c r="W45" i="108" s="1"/>
  <c r="W46" i="108" s="1"/>
  <c r="W47" i="108" s="1"/>
  <c r="W48" i="108" s="1"/>
  <c r="W49" i="108" s="1"/>
  <c r="W50" i="108" s="1"/>
  <c r="W51" i="108" s="1"/>
  <c r="W52" i="108" s="1"/>
  <c r="W53" i="108" s="1"/>
  <c r="W54" i="108" s="1"/>
  <c r="W55" i="108" s="1"/>
  <c r="W56" i="108" s="1"/>
  <c r="W57" i="108" s="1"/>
  <c r="W58" i="108" s="1"/>
  <c r="W59" i="108" s="1"/>
  <c r="W60" i="108" s="1"/>
  <c r="W61" i="108" s="1"/>
  <c r="W62" i="108" s="1"/>
  <c r="W63" i="108" s="1"/>
  <c r="W64" i="108" s="1"/>
  <c r="W65" i="108" s="1"/>
  <c r="W66" i="108" s="1"/>
  <c r="W67" i="108" s="1"/>
  <c r="W68" i="108" s="1"/>
  <c r="W69" i="108" s="1"/>
  <c r="W70" i="108" s="1"/>
  <c r="W71" i="108" s="1"/>
  <c r="W72" i="108" s="1"/>
  <c r="W73" i="108" s="1"/>
  <c r="W74" i="108" s="1"/>
  <c r="W75" i="108" s="1"/>
  <c r="W76" i="108" s="1"/>
  <c r="W77" i="108" s="1"/>
  <c r="W78" i="108" s="1"/>
  <c r="W79" i="108" s="1"/>
  <c r="W80" i="108" s="1"/>
  <c r="W81" i="108" s="1"/>
  <c r="W82" i="108" s="1"/>
  <c r="W83" i="108" s="1"/>
  <c r="W84" i="108" s="1"/>
  <c r="W85" i="108" s="1"/>
  <c r="W86" i="108" s="1"/>
  <c r="W87" i="108" s="1"/>
  <c r="W88" i="108" s="1"/>
  <c r="W89" i="108" s="1"/>
  <c r="W90" i="108" s="1"/>
  <c r="W91" i="108" s="1"/>
  <c r="W92" i="108" s="1"/>
  <c r="W93" i="108" s="1"/>
  <c r="W94" i="108" s="1"/>
  <c r="W95" i="108" s="1"/>
  <c r="W96" i="108" s="1"/>
  <c r="W97" i="108" s="1"/>
  <c r="W98" i="108" s="1"/>
  <c r="W99" i="108" s="1"/>
  <c r="W100" i="108" s="1"/>
  <c r="W101" i="108" s="1"/>
  <c r="W102" i="108" s="1"/>
  <c r="W103" i="108" s="1"/>
  <c r="W104" i="108" s="1"/>
  <c r="W105" i="108" s="1"/>
  <c r="W106" i="108" s="1"/>
  <c r="W107" i="108" s="1"/>
  <c r="W108" i="108" s="1"/>
  <c r="W109" i="108" s="1"/>
  <c r="W110" i="108" s="1"/>
  <c r="W111" i="108" s="1"/>
  <c r="W112" i="108" s="1"/>
  <c r="W113" i="108" s="1"/>
  <c r="W114" i="108" s="1"/>
  <c r="W115" i="108" s="1"/>
  <c r="W116" i="108" s="1"/>
  <c r="W117" i="108" s="1"/>
  <c r="W118" i="108" s="1"/>
  <c r="W119" i="108" s="1"/>
  <c r="W120" i="108" s="1"/>
  <c r="W121" i="108" s="1"/>
  <c r="W122" i="108" s="1"/>
  <c r="W123" i="108" s="1"/>
  <c r="W124" i="108" s="1"/>
  <c r="W125" i="108" s="1"/>
  <c r="W126" i="108" s="1"/>
  <c r="W127" i="108" s="1"/>
  <c r="W128" i="108" s="1"/>
  <c r="W129" i="108" s="1"/>
  <c r="W130" i="108" s="1"/>
  <c r="W131" i="108" s="1"/>
  <c r="W132" i="108" s="1"/>
  <c r="W133" i="108" s="1"/>
  <c r="W134" i="108" s="1"/>
  <c r="W135" i="108" s="1"/>
  <c r="W136" i="108" s="1"/>
  <c r="W137" i="108" s="1"/>
  <c r="W138" i="108" s="1"/>
  <c r="W139" i="108" s="1"/>
  <c r="W140" i="108" s="1"/>
  <c r="W141" i="108" s="1"/>
  <c r="W142" i="108" s="1"/>
  <c r="W143" i="108" s="1"/>
  <c r="W144" i="108" s="1"/>
  <c r="W145" i="108" s="1"/>
  <c r="W146" i="108" s="1"/>
  <c r="W147" i="108" s="1"/>
  <c r="W148" i="108" s="1"/>
  <c r="W149" i="108" s="1"/>
  <c r="W150" i="108" s="1"/>
  <c r="W151" i="108" s="1"/>
  <c r="W152" i="108" s="1"/>
  <c r="W153" i="108" s="1"/>
  <c r="W154" i="108" s="1"/>
  <c r="W155" i="108" s="1"/>
  <c r="W156" i="108" s="1"/>
  <c r="W157" i="108" s="1"/>
  <c r="W158" i="108" s="1"/>
  <c r="W159" i="108" s="1"/>
  <c r="W160" i="108" s="1"/>
  <c r="W161" i="108" s="1"/>
  <c r="W162" i="108" s="1"/>
  <c r="W163" i="108" s="1"/>
  <c r="W164" i="108" s="1"/>
  <c r="W165" i="108" s="1"/>
  <c r="W166" i="108" s="1"/>
  <c r="W167" i="108" s="1"/>
  <c r="W168" i="108" s="1"/>
  <c r="W169" i="108" s="1"/>
  <c r="W170" i="108" s="1"/>
  <c r="W171" i="108" s="1"/>
  <c r="W172" i="108" s="1"/>
  <c r="W173" i="108" s="1"/>
  <c r="W174" i="108" s="1"/>
  <c r="W175" i="108" s="1"/>
  <c r="W176" i="108" s="1"/>
  <c r="W177" i="108" s="1"/>
  <c r="W178" i="108" s="1"/>
  <c r="W179" i="108" s="1"/>
  <c r="W180" i="108" s="1"/>
  <c r="W181" i="108" s="1"/>
  <c r="W182" i="108" s="1"/>
  <c r="W183" i="108" s="1"/>
  <c r="W184" i="108" s="1"/>
  <c r="W185" i="108" s="1"/>
  <c r="W186" i="108" s="1"/>
  <c r="W187" i="108" s="1"/>
  <c r="W188" i="108" s="1"/>
  <c r="W189" i="108" s="1"/>
  <c r="W190" i="108" s="1"/>
  <c r="W191" i="108" s="1"/>
  <c r="W192" i="108" s="1"/>
  <c r="W193" i="108" s="1"/>
  <c r="W194" i="108" s="1"/>
  <c r="W195" i="108" s="1"/>
  <c r="W196" i="108" s="1"/>
  <c r="W197" i="108" s="1"/>
  <c r="W198" i="108" s="1"/>
  <c r="W199" i="108" s="1"/>
  <c r="W200" i="108" s="1"/>
  <c r="W201" i="108" s="1"/>
  <c r="W202" i="108" s="1"/>
  <c r="W203" i="108" s="1"/>
  <c r="W204" i="108" s="1"/>
  <c r="W205" i="108" s="1"/>
  <c r="W206" i="108" s="1"/>
  <c r="W207" i="108" s="1"/>
  <c r="W208" i="108" s="1"/>
  <c r="W209" i="108" s="1"/>
  <c r="W210" i="108" s="1"/>
  <c r="W211" i="108" s="1"/>
  <c r="W212" i="108" s="1"/>
  <c r="W213" i="108" s="1"/>
  <c r="W214" i="108" s="1"/>
  <c r="W215" i="108" s="1"/>
  <c r="W216" i="108" s="1"/>
  <c r="W217" i="108" s="1"/>
  <c r="W218" i="108" s="1"/>
  <c r="W219" i="108" s="1"/>
  <c r="W220" i="108" s="1"/>
  <c r="W221" i="108" s="1"/>
  <c r="W222" i="108" s="1"/>
  <c r="W223" i="108" s="1"/>
  <c r="W224" i="108" s="1"/>
  <c r="W225" i="108" s="1"/>
  <c r="W226" i="108" s="1"/>
  <c r="W227" i="108" s="1"/>
  <c r="W228" i="108" s="1"/>
  <c r="W229" i="108" s="1"/>
  <c r="W230" i="108" s="1"/>
  <c r="W231" i="108" s="1"/>
  <c r="A4" i="108"/>
  <c r="W8" i="107"/>
  <c r="W9" i="107" s="1"/>
  <c r="W10" i="107" s="1"/>
  <c r="W11" i="107" s="1"/>
  <c r="W12" i="107" s="1"/>
  <c r="W13" i="107" s="1"/>
  <c r="W14" i="107" s="1"/>
  <c r="W15" i="107" s="1"/>
  <c r="W16" i="107" s="1"/>
  <c r="W17" i="107" s="1"/>
  <c r="W18" i="107" s="1"/>
  <c r="W19" i="107" s="1"/>
  <c r="W20" i="107" s="1"/>
  <c r="W21" i="107" s="1"/>
  <c r="W22" i="107" s="1"/>
  <c r="W23" i="107" s="1"/>
  <c r="W24" i="107" s="1"/>
  <c r="W25" i="107" s="1"/>
  <c r="W26" i="107" s="1"/>
  <c r="W27" i="107" s="1"/>
  <c r="W28" i="107" s="1"/>
  <c r="W29" i="107" s="1"/>
  <c r="W30" i="107" s="1"/>
  <c r="W31" i="107" s="1"/>
  <c r="W32" i="107" s="1"/>
  <c r="W33" i="107" s="1"/>
  <c r="W34" i="107" s="1"/>
  <c r="W35" i="107" s="1"/>
  <c r="W36" i="107" s="1"/>
  <c r="W37" i="107" s="1"/>
  <c r="W38" i="107" s="1"/>
  <c r="W39" i="107" s="1"/>
  <c r="W40" i="107" s="1"/>
  <c r="W41" i="107" s="1"/>
  <c r="W42" i="107" s="1"/>
  <c r="W43" i="107" s="1"/>
  <c r="W44" i="107" s="1"/>
  <c r="W45" i="107" s="1"/>
  <c r="W46" i="107" s="1"/>
  <c r="W47" i="107" s="1"/>
  <c r="W48" i="107" s="1"/>
  <c r="W49" i="107" s="1"/>
  <c r="W50" i="107" s="1"/>
  <c r="W51" i="107" s="1"/>
  <c r="W52" i="107" s="1"/>
  <c r="W53" i="107" s="1"/>
  <c r="W54" i="107" s="1"/>
  <c r="W55" i="107" s="1"/>
  <c r="W56" i="107" s="1"/>
  <c r="W57" i="107" s="1"/>
  <c r="W58" i="107" s="1"/>
  <c r="W59" i="107" s="1"/>
  <c r="W60" i="107" s="1"/>
  <c r="W61" i="107" s="1"/>
  <c r="W62" i="107" s="1"/>
  <c r="W63" i="107" s="1"/>
  <c r="W64" i="107" s="1"/>
  <c r="W65" i="107" s="1"/>
  <c r="W66" i="107" s="1"/>
  <c r="W67" i="107" s="1"/>
  <c r="W68" i="107" s="1"/>
  <c r="W69" i="107" s="1"/>
  <c r="W70" i="107" s="1"/>
  <c r="W71" i="107" s="1"/>
  <c r="W72" i="107" s="1"/>
  <c r="W73" i="107" s="1"/>
  <c r="W74" i="107" s="1"/>
  <c r="W75" i="107" s="1"/>
  <c r="W76" i="107" s="1"/>
  <c r="W77" i="107" s="1"/>
  <c r="W78" i="107" s="1"/>
  <c r="W79" i="107" s="1"/>
  <c r="W80" i="107" s="1"/>
  <c r="W81" i="107" s="1"/>
  <c r="W82" i="107" s="1"/>
  <c r="W83" i="107" s="1"/>
  <c r="W84" i="107" s="1"/>
  <c r="W85" i="107" s="1"/>
  <c r="W86" i="107" s="1"/>
  <c r="W87" i="107" s="1"/>
  <c r="W88" i="107" s="1"/>
  <c r="W89" i="107" s="1"/>
  <c r="W90" i="107" s="1"/>
  <c r="W91" i="107" s="1"/>
  <c r="W92" i="107" s="1"/>
  <c r="W93" i="107" s="1"/>
  <c r="W94" i="107" s="1"/>
  <c r="W95" i="107" s="1"/>
  <c r="W96" i="107" s="1"/>
  <c r="W97" i="107" s="1"/>
  <c r="W98" i="107" s="1"/>
  <c r="W99" i="107" s="1"/>
  <c r="W100" i="107" s="1"/>
  <c r="W101" i="107" s="1"/>
  <c r="W102" i="107" s="1"/>
  <c r="W103" i="107" s="1"/>
  <c r="W104" i="107" s="1"/>
  <c r="W105" i="107" s="1"/>
  <c r="W106" i="107" s="1"/>
  <c r="W107" i="107" s="1"/>
  <c r="W108" i="107" s="1"/>
  <c r="W109" i="107" s="1"/>
  <c r="W110" i="107" s="1"/>
  <c r="W111" i="107" s="1"/>
  <c r="W112" i="107" s="1"/>
  <c r="W113" i="107" s="1"/>
  <c r="W114" i="107" s="1"/>
  <c r="W115" i="107" s="1"/>
  <c r="W116" i="107" s="1"/>
  <c r="W117" i="107" s="1"/>
  <c r="W118" i="107" s="1"/>
  <c r="W119" i="107" s="1"/>
  <c r="W120" i="107" s="1"/>
  <c r="W121" i="107" s="1"/>
  <c r="W122" i="107" s="1"/>
  <c r="W123" i="107" s="1"/>
  <c r="W124" i="107" s="1"/>
  <c r="W125" i="107" s="1"/>
  <c r="W126" i="107" s="1"/>
  <c r="W127" i="107" s="1"/>
  <c r="W128" i="107" s="1"/>
  <c r="W129" i="107" s="1"/>
  <c r="W130" i="107" s="1"/>
  <c r="W131" i="107" s="1"/>
  <c r="W132" i="107" s="1"/>
  <c r="W133" i="107" s="1"/>
  <c r="W134" i="107" s="1"/>
  <c r="W135" i="107" s="1"/>
  <c r="W136" i="107" s="1"/>
  <c r="W137" i="107" s="1"/>
  <c r="W138" i="107" s="1"/>
  <c r="W139" i="107" s="1"/>
  <c r="W140" i="107" s="1"/>
  <c r="W141" i="107" s="1"/>
  <c r="W142" i="107" s="1"/>
  <c r="W143" i="107" s="1"/>
  <c r="W144" i="107" s="1"/>
  <c r="W145" i="107" s="1"/>
  <c r="W146" i="107" s="1"/>
  <c r="A4" i="107"/>
  <c r="W8" i="106"/>
  <c r="W9" i="106" s="1"/>
  <c r="W10" i="106" s="1"/>
  <c r="W11" i="106" s="1"/>
  <c r="W12" i="106" s="1"/>
  <c r="W13" i="106" s="1"/>
  <c r="W14" i="106" s="1"/>
  <c r="W15" i="106" s="1"/>
  <c r="W16" i="106" s="1"/>
  <c r="W17" i="106" s="1"/>
  <c r="W18" i="106" s="1"/>
  <c r="W19" i="106" s="1"/>
  <c r="W20" i="106" s="1"/>
  <c r="W21" i="106" s="1"/>
  <c r="W22" i="106" s="1"/>
  <c r="W23" i="106" s="1"/>
  <c r="W24" i="106" s="1"/>
  <c r="W25" i="106" s="1"/>
  <c r="W26" i="106" s="1"/>
  <c r="W27" i="106" s="1"/>
  <c r="W28" i="106" s="1"/>
  <c r="W29" i="106" s="1"/>
  <c r="W30" i="106" s="1"/>
  <c r="W31" i="106" s="1"/>
  <c r="W32" i="106" s="1"/>
  <c r="W33" i="106" s="1"/>
  <c r="W34" i="106" s="1"/>
  <c r="W35" i="106" s="1"/>
  <c r="W36" i="106" s="1"/>
  <c r="W37" i="106" s="1"/>
  <c r="W38" i="106" s="1"/>
  <c r="W39" i="106" s="1"/>
  <c r="W40" i="106" s="1"/>
  <c r="W41" i="106" s="1"/>
  <c r="W42" i="106" s="1"/>
  <c r="W43" i="106" s="1"/>
  <c r="W44" i="106" s="1"/>
  <c r="W45" i="106" s="1"/>
  <c r="W46" i="106" s="1"/>
  <c r="W47" i="106" s="1"/>
  <c r="W48" i="106" s="1"/>
  <c r="W49" i="106" s="1"/>
  <c r="W50" i="106" s="1"/>
  <c r="W51" i="106" s="1"/>
  <c r="W52" i="106" s="1"/>
  <c r="W53" i="106" s="1"/>
  <c r="W54" i="106" s="1"/>
  <c r="W55" i="106" s="1"/>
  <c r="W56" i="106" s="1"/>
  <c r="W57" i="106" s="1"/>
  <c r="W58" i="106" s="1"/>
  <c r="W59" i="106" s="1"/>
  <c r="W60" i="106" s="1"/>
  <c r="W61" i="106" s="1"/>
  <c r="W62" i="106" s="1"/>
  <c r="W63" i="106" s="1"/>
  <c r="W64" i="106" s="1"/>
  <c r="W65" i="106" s="1"/>
  <c r="W66" i="106" s="1"/>
  <c r="W67" i="106" s="1"/>
  <c r="W68" i="106" s="1"/>
  <c r="W69" i="106" s="1"/>
  <c r="W70" i="106" s="1"/>
  <c r="W71" i="106" s="1"/>
  <c r="W72" i="106" s="1"/>
  <c r="W73" i="106" s="1"/>
  <c r="W74" i="106" s="1"/>
  <c r="W75" i="106" s="1"/>
  <c r="W76" i="106" s="1"/>
  <c r="W77" i="106" s="1"/>
  <c r="W78" i="106" s="1"/>
  <c r="W79" i="106" s="1"/>
  <c r="W80" i="106" s="1"/>
  <c r="W81" i="106" s="1"/>
  <c r="W82" i="106" s="1"/>
  <c r="W83" i="106" s="1"/>
  <c r="W84" i="106" s="1"/>
  <c r="W85" i="106" s="1"/>
  <c r="W86" i="106" s="1"/>
  <c r="W87" i="106" s="1"/>
  <c r="W88" i="106" s="1"/>
  <c r="W89" i="106" s="1"/>
  <c r="W90" i="106" s="1"/>
  <c r="W91" i="106" s="1"/>
  <c r="W92" i="106" s="1"/>
  <c r="W93" i="106" s="1"/>
  <c r="W94" i="106" s="1"/>
  <c r="W95" i="106" s="1"/>
  <c r="W96" i="106" s="1"/>
  <c r="W97" i="106" s="1"/>
  <c r="W98" i="106" s="1"/>
  <c r="W99" i="106" s="1"/>
  <c r="W100" i="106" s="1"/>
  <c r="W101" i="106" s="1"/>
  <c r="W102" i="106" s="1"/>
  <c r="W103" i="106" s="1"/>
  <c r="W104" i="106" s="1"/>
  <c r="W105" i="106" s="1"/>
  <c r="W106" i="106" s="1"/>
  <c r="W107" i="106" s="1"/>
  <c r="W108" i="106" s="1"/>
  <c r="W109" i="106" s="1"/>
  <c r="W110" i="106" s="1"/>
  <c r="W111" i="106" s="1"/>
  <c r="W112" i="106" s="1"/>
  <c r="W113" i="106" s="1"/>
  <c r="W114" i="106" s="1"/>
  <c r="W115" i="106" s="1"/>
  <c r="W116" i="106" s="1"/>
  <c r="W117" i="106" s="1"/>
  <c r="W118" i="106" s="1"/>
  <c r="W119" i="106" s="1"/>
  <c r="W120" i="106" s="1"/>
  <c r="W121" i="106" s="1"/>
  <c r="W122" i="106" s="1"/>
  <c r="W123" i="106" s="1"/>
  <c r="E45" i="112" l="1"/>
  <c r="D49" i="112"/>
  <c r="D53" i="112" s="1"/>
  <c r="F48" i="112"/>
  <c r="E52" i="112"/>
  <c r="E51" i="112"/>
  <c r="F47" i="112"/>
  <c r="D50" i="112"/>
  <c r="E46" i="112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G47" i="112" l="1"/>
  <c r="F51" i="112"/>
  <c r="G48" i="112"/>
  <c r="F52" i="112"/>
  <c r="E50" i="112"/>
  <c r="F46" i="112"/>
  <c r="E49" i="112"/>
  <c r="E53" i="112" s="1"/>
  <c r="F45" i="112"/>
  <c r="F50" i="112" l="1"/>
  <c r="G46" i="112"/>
  <c r="F49" i="112"/>
  <c r="F53" i="112" s="1"/>
  <c r="G45" i="112"/>
  <c r="H48" i="112"/>
  <c r="G52" i="112"/>
  <c r="H47" i="112"/>
  <c r="G51" i="112"/>
  <c r="H52" i="112" l="1"/>
  <c r="I48" i="112"/>
  <c r="H46" i="112"/>
  <c r="G50" i="112"/>
  <c r="G49" i="112"/>
  <c r="G53" i="112" s="1"/>
  <c r="H45" i="112"/>
  <c r="I47" i="112"/>
  <c r="H51" i="112"/>
  <c r="I45" i="112" l="1"/>
  <c r="H49" i="112"/>
  <c r="H53" i="112" s="1"/>
  <c r="I52" i="112"/>
  <c r="J48" i="112"/>
  <c r="I46" i="112"/>
  <c r="H50" i="112"/>
  <c r="I51" i="112"/>
  <c r="J47" i="112"/>
  <c r="J46" i="112" l="1"/>
  <c r="I50" i="112"/>
  <c r="J52" i="112"/>
  <c r="K48" i="112"/>
  <c r="J51" i="112"/>
  <c r="K47" i="112"/>
  <c r="J45" i="112"/>
  <c r="I49" i="112"/>
  <c r="I53" i="112" s="1"/>
  <c r="K51" i="112" l="1"/>
  <c r="L47" i="112"/>
  <c r="L48" i="112"/>
  <c r="K52" i="112"/>
  <c r="K45" i="112"/>
  <c r="J49" i="112"/>
  <c r="J53" i="112" s="1"/>
  <c r="J50" i="112"/>
  <c r="K46" i="112"/>
  <c r="M48" i="112" l="1"/>
  <c r="L52" i="112"/>
  <c r="M47" i="112"/>
  <c r="L51" i="112"/>
  <c r="K49" i="112"/>
  <c r="K53" i="112" s="1"/>
  <c r="L45" i="112"/>
  <c r="K50" i="112"/>
  <c r="L46" i="112"/>
  <c r="L49" i="112" l="1"/>
  <c r="L53" i="112" s="1"/>
  <c r="M45" i="112"/>
  <c r="N47" i="112"/>
  <c r="M51" i="112"/>
  <c r="L50" i="112"/>
  <c r="M46" i="112"/>
  <c r="N48" i="112"/>
  <c r="M52" i="112"/>
  <c r="N46" i="112" l="1"/>
  <c r="M50" i="112"/>
  <c r="M49" i="112"/>
  <c r="M53" i="112" s="1"/>
  <c r="N45" i="112"/>
  <c r="O47" i="112"/>
  <c r="N51" i="112"/>
  <c r="N52" i="112"/>
  <c r="O48" i="112"/>
  <c r="O45" i="112" l="1"/>
  <c r="N49" i="112"/>
  <c r="N53" i="112" s="1"/>
  <c r="O51" i="112"/>
  <c r="P47" i="112"/>
  <c r="O52" i="112"/>
  <c r="P48" i="112"/>
  <c r="O46" i="112"/>
  <c r="N50" i="112"/>
  <c r="P52" i="112" l="1"/>
  <c r="Q48" i="112"/>
  <c r="P51" i="112"/>
  <c r="Q47" i="112"/>
  <c r="P46" i="112"/>
  <c r="O50" i="112"/>
  <c r="P45" i="112"/>
  <c r="O49" i="112"/>
  <c r="O53" i="112" s="1"/>
  <c r="P50" i="112" l="1"/>
  <c r="Q46" i="112"/>
  <c r="R48" i="112"/>
  <c r="Q52" i="112"/>
  <c r="Q51" i="112"/>
  <c r="R47" i="112"/>
  <c r="Q45" i="112"/>
  <c r="P49" i="112"/>
  <c r="P53" i="112" s="1"/>
  <c r="Q50" i="112" l="1"/>
  <c r="R46" i="112"/>
  <c r="S47" i="112"/>
  <c r="R51" i="112"/>
  <c r="S48" i="112"/>
  <c r="R52" i="112"/>
  <c r="Q49" i="112"/>
  <c r="Q53" i="112" s="1"/>
  <c r="R45" i="112"/>
  <c r="T47" i="112" l="1"/>
  <c r="S51" i="112"/>
  <c r="T48" i="112"/>
  <c r="S52" i="112"/>
  <c r="R50" i="112"/>
  <c r="S46" i="112"/>
  <c r="R49" i="112"/>
  <c r="R53" i="112" s="1"/>
  <c r="S45" i="112"/>
  <c r="S49" i="112" l="1"/>
  <c r="S53" i="112" s="1"/>
  <c r="T45" i="112"/>
  <c r="T46" i="112"/>
  <c r="S50" i="112"/>
  <c r="T52" i="112"/>
  <c r="U48" i="112"/>
  <c r="U47" i="112"/>
  <c r="T51" i="112"/>
  <c r="U52" i="112" l="1"/>
  <c r="V48" i="112"/>
  <c r="U45" i="112"/>
  <c r="T49" i="112"/>
  <c r="T53" i="112" s="1"/>
  <c r="U46" i="112"/>
  <c r="T50" i="112"/>
  <c r="U51" i="112"/>
  <c r="V47" i="112"/>
  <c r="V46" i="112" l="1"/>
  <c r="U50" i="112"/>
  <c r="V51" i="112"/>
  <c r="W47" i="112"/>
  <c r="V52" i="112"/>
  <c r="W48" i="112"/>
  <c r="V45" i="112"/>
  <c r="U49" i="112"/>
  <c r="U53" i="112" s="1"/>
  <c r="X48" i="112" l="1"/>
  <c r="W52" i="112"/>
  <c r="W51" i="112"/>
  <c r="X47" i="112"/>
  <c r="W45" i="112"/>
  <c r="V49" i="112"/>
  <c r="V53" i="112" s="1"/>
  <c r="V50" i="112"/>
  <c r="W46" i="112"/>
  <c r="W49" i="112" l="1"/>
  <c r="W53" i="112" s="1"/>
  <c r="X45" i="112"/>
  <c r="W50" i="112"/>
  <c r="X46" i="112"/>
  <c r="Y47" i="112"/>
  <c r="X51" i="112"/>
  <c r="Y48" i="112"/>
  <c r="X52" i="112"/>
  <c r="X50" i="112" l="1"/>
  <c r="Y46" i="112"/>
  <c r="X49" i="112"/>
  <c r="X53" i="112" s="1"/>
  <c r="Y45" i="112"/>
  <c r="Z47" i="112"/>
  <c r="Y51" i="112"/>
  <c r="Z48" i="112"/>
  <c r="Y52" i="112"/>
  <c r="AA47" i="112" l="1"/>
  <c r="Z51" i="112"/>
  <c r="Y49" i="112"/>
  <c r="Y53" i="112" s="1"/>
  <c r="Z45" i="112"/>
  <c r="Z46" i="112"/>
  <c r="Y50" i="112"/>
  <c r="Z52" i="112"/>
  <c r="AA48" i="112"/>
  <c r="AA45" i="112" l="1"/>
  <c r="Z49" i="112"/>
  <c r="Z53" i="112" s="1"/>
  <c r="AA46" i="112"/>
  <c r="Z50" i="112"/>
  <c r="AA52" i="112"/>
  <c r="AB48" i="112"/>
  <c r="AA51" i="112"/>
  <c r="AB47" i="112"/>
  <c r="AB52" i="112" l="1"/>
  <c r="AC48" i="112"/>
  <c r="AB46" i="112"/>
  <c r="AA50" i="112"/>
  <c r="AB51" i="112"/>
  <c r="AC47" i="112"/>
  <c r="AB45" i="112"/>
  <c r="AA49" i="112"/>
  <c r="AA53" i="112" s="1"/>
  <c r="AD48" i="112" l="1"/>
  <c r="AC52" i="112"/>
  <c r="AC51" i="112"/>
  <c r="AD47" i="112"/>
  <c r="AB50" i="112"/>
  <c r="AC46" i="112"/>
  <c r="AC45" i="112"/>
  <c r="AB49" i="112"/>
  <c r="AB53" i="112" s="1"/>
  <c r="AC50" i="112" l="1"/>
  <c r="AD46" i="112"/>
  <c r="AE47" i="112"/>
  <c r="AD51" i="112"/>
  <c r="AC49" i="112"/>
  <c r="AC53" i="112" s="1"/>
  <c r="AD45" i="112"/>
  <c r="AE48" i="112"/>
  <c r="AD52" i="112"/>
  <c r="AD50" i="112" l="1"/>
  <c r="AE46" i="112"/>
  <c r="AD49" i="112"/>
  <c r="AD53" i="112" s="1"/>
  <c r="AE45" i="112"/>
  <c r="AF47" i="112"/>
  <c r="AE51" i="112"/>
  <c r="AF48" i="112"/>
  <c r="AE52" i="112"/>
  <c r="AF46" i="112" l="1"/>
  <c r="AE50" i="112"/>
  <c r="AG47" i="112"/>
  <c r="AG51" i="112" s="1"/>
  <c r="AF51" i="112"/>
  <c r="AE49" i="112"/>
  <c r="AE53" i="112" s="1"/>
  <c r="AF45" i="112"/>
  <c r="AF52" i="112"/>
  <c r="AG48" i="112"/>
  <c r="AG52" i="112" s="1"/>
  <c r="AG45" i="112" l="1"/>
  <c r="AG49" i="112" s="1"/>
  <c r="AG53" i="112" s="1"/>
  <c r="AF49" i="112"/>
  <c r="AF53" i="112" s="1"/>
  <c r="AG46" i="112"/>
  <c r="AG50" i="112" s="1"/>
  <c r="AF50" i="112"/>
</calcChain>
</file>

<file path=xl/comments1.xml><?xml version="1.0" encoding="utf-8"?>
<comments xmlns="http://schemas.openxmlformats.org/spreadsheetml/2006/main">
  <authors>
    <author>Apinya Konsopa</author>
  </authors>
  <commentList>
    <comment ref="E20" authorId="0" shapeId="0">
      <text>
        <r>
          <rPr>
            <b/>
            <sz val="20"/>
            <color indexed="81"/>
            <rFont val="Tahoma"/>
            <family val="2"/>
          </rPr>
          <t>04/08/20
เหลือ 40 MC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>05/08/20
เหลือ 20 MC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>06/08/20
เหลือ 7 MC</t>
        </r>
      </text>
    </comment>
    <comment ref="E42" authorId="0" shapeId="0">
      <text>
        <r>
          <rPr>
            <b/>
            <sz val="20"/>
            <color indexed="81"/>
            <rFont val="Tahoma"/>
            <family val="2"/>
          </rPr>
          <t>07/08/20
เหลือ 6 MC</t>
        </r>
      </text>
    </comment>
    <comment ref="E50" authorId="0" shapeId="0">
      <text>
        <r>
          <rPr>
            <b/>
            <sz val="20"/>
            <color indexed="81"/>
            <rFont val="Tahoma"/>
            <family val="2"/>
          </rPr>
          <t>08/08/20
เหลือ 27 MC</t>
        </r>
      </text>
    </comment>
    <comment ref="E60" authorId="0" shapeId="0">
      <text>
        <r>
          <rPr>
            <b/>
            <sz val="20"/>
            <color indexed="81"/>
            <rFont val="Tahoma"/>
            <family val="2"/>
          </rPr>
          <t>10/08/20
เหลือ 1 MC</t>
        </r>
      </text>
    </comment>
    <comment ref="E78" authorId="0" shapeId="0">
      <text>
        <r>
          <rPr>
            <b/>
            <sz val="20"/>
            <color indexed="81"/>
            <rFont val="Tahoma"/>
            <family val="2"/>
          </rPr>
          <t>17/08/20
เหลือ 1 MC</t>
        </r>
      </text>
    </comment>
    <comment ref="E88" authorId="0" shapeId="0">
      <text>
        <r>
          <rPr>
            <b/>
            <sz val="20"/>
            <color indexed="81"/>
            <rFont val="Tahoma"/>
            <family val="2"/>
          </rPr>
          <t>17/08/20
เหลือ 4 MC</t>
        </r>
      </text>
    </comment>
    <comment ref="E98" authorId="0" shapeId="0">
      <text>
        <r>
          <rPr>
            <b/>
            <sz val="20"/>
            <color indexed="81"/>
            <rFont val="Tahoma"/>
            <family val="2"/>
          </rPr>
          <t>18/08/20
เหลือ 25 MC</t>
        </r>
      </text>
    </comment>
    <comment ref="E109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E10" authorId="0" shapeId="0">
      <text>
        <r>
          <rPr>
            <b/>
            <sz val="20"/>
            <color indexed="81"/>
            <rFont val="Tahoma"/>
            <family val="2"/>
          </rPr>
          <t>11/08/20
เหลือ 24 MC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>17/08/20
เหลือ 32 MC</t>
        </r>
      </text>
    </comment>
    <comment ref="E17" authorId="0" shapeId="0">
      <text>
        <r>
          <rPr>
            <b/>
            <sz val="20"/>
            <color indexed="81"/>
            <rFont val="Tahoma"/>
            <family val="2"/>
          </rPr>
          <t>18/08/20
เหลือ 39 MC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>19/08/20
เหลือ 37 MC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E7" authorId="0" shapeId="0">
      <text>
        <r>
          <rPr>
            <b/>
            <sz val="20"/>
            <color indexed="81"/>
            <rFont val="Tahoma"/>
            <family val="2"/>
          </rPr>
          <t>10/08/20
เหลือ 16 MC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>11/08/20
เหลือ 18 MC</t>
        </r>
      </text>
    </comment>
    <comment ref="E16" authorId="0" shapeId="0">
      <text>
        <r>
          <rPr>
            <b/>
            <sz val="20"/>
            <color indexed="81"/>
            <rFont val="Tahoma"/>
            <family val="2"/>
          </rPr>
          <t>17/08/20
เหลือ 25 MC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>18/08/20
เหลือ 35 MC</t>
        </r>
      </text>
    </comment>
    <comment ref="E26" authorId="0" shapeId="0">
      <text>
        <r>
          <rPr>
            <b/>
            <sz val="20"/>
            <color indexed="81"/>
            <rFont val="Tahoma"/>
            <family val="2"/>
          </rPr>
          <t>19/08/20
เหลือ 46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E7" authorId="0" shapeId="0">
      <text>
        <r>
          <rPr>
            <b/>
            <sz val="20"/>
            <color indexed="81"/>
            <rFont val="Tahoma"/>
            <family val="2"/>
          </rPr>
          <t>10/08/20
เหลือ 45 MC</t>
        </r>
      </text>
    </comment>
    <comment ref="E14" authorId="0" shapeId="0">
      <text>
        <r>
          <rPr>
            <b/>
            <sz val="20"/>
            <color indexed="81"/>
            <rFont val="Tahoma"/>
            <family val="2"/>
          </rPr>
          <t>11/08/20
เหลือ 38 MC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>17/08/20
เหลือ 5 MC</t>
        </r>
      </text>
    </comment>
    <comment ref="E26" authorId="0" shapeId="0">
      <text>
        <r>
          <rPr>
            <b/>
            <sz val="20"/>
            <color indexed="81"/>
            <rFont val="Tahoma"/>
            <family val="2"/>
          </rPr>
          <t>18/08/20
เหลือ 12 MC</t>
        </r>
      </text>
    </comment>
    <comment ref="E33" authorId="0" shapeId="0">
      <text>
        <r>
          <rPr>
            <b/>
            <sz val="20"/>
            <color indexed="81"/>
            <rFont val="Tahoma"/>
            <family val="2"/>
          </rPr>
          <t>19/08/20
เหลือ 14 MC</t>
        </r>
      </text>
    </comment>
  </commentList>
</comments>
</file>

<file path=xl/comments6.xml><?xml version="1.0" encoding="utf-8"?>
<comments xmlns="http://schemas.openxmlformats.org/spreadsheetml/2006/main">
  <authors>
    <author>Wanaporn Autri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Wanaporn Autri:
</t>
        </r>
        <r>
          <rPr>
            <b/>
            <sz val="10"/>
            <color indexed="81"/>
            <rFont val="Tahoma"/>
            <family val="2"/>
          </rPr>
          <t>Night Shift Start Progressive 90%, 95%
Cut Review 45 min / shift</t>
        </r>
      </text>
    </comment>
  </commentList>
</comments>
</file>

<file path=xl/comments7.xml><?xml version="1.0" encoding="utf-8"?>
<comments xmlns="http://schemas.openxmlformats.org/spreadsheetml/2006/main">
  <authors>
    <author>GALE-APINYA K ❤</author>
  </authors>
  <commentList>
    <comment ref="E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90%
Cut review 45 min</t>
        </r>
      </text>
    </comment>
    <comment ref="I1" authorId="0" shapeId="0">
      <text>
        <r>
          <rPr>
            <b/>
            <sz val="11"/>
            <color indexed="81"/>
            <rFont val="Tahoma"/>
            <family val="2"/>
          </rPr>
          <t>PAD req.Add OT recovery because Machine main drive NG</t>
        </r>
      </text>
    </comment>
    <comment ref="L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95%</t>
        </r>
      </text>
    </comment>
    <comment ref="T1" authorId="0" shapeId="0">
      <text>
        <r>
          <rPr>
            <b/>
            <sz val="12"/>
            <color indexed="81"/>
            <rFont val="Tahoma"/>
            <family val="2"/>
          </rPr>
          <t>Req.PAD balance plan</t>
        </r>
      </text>
    </comment>
  </commentList>
</comments>
</file>

<file path=xl/sharedStrings.xml><?xml version="1.0" encoding="utf-8"?>
<sst xmlns="http://schemas.openxmlformats.org/spreadsheetml/2006/main" count="6989" uniqueCount="1056">
  <si>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</si>
  <si>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</si>
  <si>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</si>
  <si>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</si>
  <si>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</si>
  <si>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</si>
  <si>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</si>
  <si>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</si>
  <si>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</si>
  <si>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</si>
  <si>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</si>
  <si>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</si>
  <si>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</si>
  <si>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</si>
  <si>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</si>
  <si>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</si>
  <si>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</si>
  <si>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</si>
  <si>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</si>
  <si>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</si>
  <si>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</si>
  <si>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</si>
  <si>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</si>
  <si>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</si>
  <si>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</si>
  <si>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</si>
  <si>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</si>
  <si>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</si>
  <si>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</si>
  <si>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</si>
  <si>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</si>
  <si>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</si>
  <si>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</si>
  <si>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</si>
  <si>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</si>
  <si>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</si>
  <si>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</si>
  <si>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</si>
  <si>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</si>
  <si>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</si>
  <si>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</si>
  <si>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</si>
  <si>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</si>
  <si>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</si>
  <si>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</si>
  <si>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</si>
  <si>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</si>
  <si>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</si>
  <si>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</si>
  <si>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</si>
  <si>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</si>
  <si>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</si>
  <si>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</si>
  <si>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</si>
  <si>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</si>
  <si>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</si>
  <si>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</si>
  <si>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</si>
  <si>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</si>
  <si>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</si>
  <si>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</si>
  <si>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</si>
  <si>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</si>
  <si>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</si>
  <si>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</si>
  <si>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</si>
  <si>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</si>
  <si>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</si>
  <si>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</si>
  <si>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</si>
  <si>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</si>
  <si>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</si>
  <si>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</si>
  <si>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</si>
  <si>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</si>
  <si>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</si>
  <si>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</si>
  <si>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</si>
  <si>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</si>
  <si>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</si>
  <si>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</si>
  <si>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</si>
  <si>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</si>
  <si>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</si>
  <si>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</si>
  <si>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</si>
  <si>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</si>
  <si>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</si>
  <si>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</si>
  <si>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</si>
  <si>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</si>
  <si>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</si>
  <si>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</si>
  <si>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</si>
  <si>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</si>
  <si>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</si>
  <si>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</si>
  <si>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</si>
  <si>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</si>
  <si>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</si>
  <si>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</si>
  <si>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</si>
  <si>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3808C006AA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</si>
  <si>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</si>
  <si>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</si>
  <si>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</si>
  <si>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</si>
  <si>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</si>
  <si>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</si>
  <si>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</si>
  <si>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</si>
  <si>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</si>
  <si>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3856C001AA</t>
  </si>
  <si>
    <t>iR-ADV C3730F 100V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</si>
  <si>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</si>
  <si>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</si>
  <si>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</si>
  <si>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</si>
  <si>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</si>
  <si>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</si>
  <si>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</si>
  <si>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</si>
  <si>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</si>
  <si>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</si>
  <si>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</si>
  <si>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</si>
  <si>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</si>
  <si>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</si>
  <si>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</si>
  <si>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3810C005AA</t>
  </si>
  <si>
    <t>3808C001AA</t>
  </si>
  <si>
    <t>3858C010AA</t>
  </si>
  <si>
    <t>IR-ADV C3720I TW 120V</t>
  </si>
  <si>
    <t>3858C008AA</t>
  </si>
  <si>
    <t>IR-ADV C3720 CN 220V</t>
  </si>
  <si>
    <t>3857C009AA</t>
  </si>
  <si>
    <t>iR-ADV C3725 KR 220V</t>
  </si>
  <si>
    <t>\\cptfile01\Dept\5505\08_PA_ST\2020\03. Assembly Plan\01. Copier\DB Copier\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</si>
  <si>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</si>
  <si>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</si>
  <si>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</si>
  <si>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</si>
  <si>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</si>
  <si>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</si>
  <si>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</si>
  <si>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</si>
  <si>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</si>
  <si>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</si>
  <si>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</si>
  <si>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</si>
  <si>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</si>
  <si>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</si>
  <si>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</si>
  <si>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</si>
  <si>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</si>
  <si>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</si>
  <si>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</si>
  <si>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</si>
  <si>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</si>
  <si>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</si>
  <si>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</si>
  <si>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</si>
  <si>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</si>
  <si>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</si>
  <si>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</si>
  <si>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</si>
  <si>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</si>
  <si>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</si>
  <si>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</si>
  <si>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</si>
  <si>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</si>
  <si>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</si>
  <si>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SATERA MF7525F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</si>
  <si>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</si>
  <si>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</si>
  <si>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</si>
  <si>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</si>
  <si>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</si>
  <si>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</si>
  <si>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</si>
  <si>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</si>
  <si>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</si>
  <si>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</si>
  <si>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</si>
  <si>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</si>
  <si>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</si>
  <si>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</si>
  <si>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</si>
  <si>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</si>
  <si>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</si>
  <si>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</si>
  <si>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</si>
  <si>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</si>
  <si>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3811C007AA</t>
  </si>
  <si>
    <t xml:space="preserve">iR2645 </t>
  </si>
  <si>
    <t>3858C012AA</t>
  </si>
  <si>
    <t>IR-ADV C3720I AU 230V</t>
  </si>
  <si>
    <t>3652C006AA</t>
  </si>
  <si>
    <t>IR C3120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</si>
  <si>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</si>
  <si>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</si>
  <si>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</si>
  <si>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</si>
  <si>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</si>
  <si>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</si>
  <si>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</si>
  <si>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</si>
  <si>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</si>
  <si>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</si>
  <si>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</si>
  <si>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</si>
  <si>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</si>
  <si>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</si>
  <si>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</si>
  <si>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</si>
  <si>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</si>
  <si>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</si>
  <si>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26H02590 - 26H02593</t>
  </si>
  <si>
    <t>FM1-W620-000</t>
  </si>
  <si>
    <t>UNIT_JHB_US30G</t>
  </si>
  <si>
    <t>GOV (J)</t>
  </si>
  <si>
    <t>25V03191 - 25V03205</t>
  </si>
  <si>
    <t>2VS01896 - 2VS01909</t>
  </si>
  <si>
    <t>2VP05838 - 2VP05850</t>
  </si>
  <si>
    <t>25U00639 - 25U00660</t>
  </si>
  <si>
    <t>25C00894 - 25C00905</t>
  </si>
  <si>
    <t>2VG00996 - 2VG01013</t>
  </si>
  <si>
    <t>2VA00699 - 2VA00700</t>
  </si>
  <si>
    <t>25J02945 - 25J02975</t>
  </si>
  <si>
    <t>26J00537 - 26J00541</t>
  </si>
  <si>
    <t>24X02469 - 24X02474</t>
  </si>
  <si>
    <t>24V00684 - 24V00685</t>
  </si>
  <si>
    <t>25G00638 - 25G00645</t>
  </si>
  <si>
    <t>2VP05906 - 2VP05928</t>
  </si>
  <si>
    <t>25G00646 - 25G00681</t>
  </si>
  <si>
    <t>26E00735 - 26E00755</t>
  </si>
  <si>
    <t>2VB00742 - 2VB00746</t>
  </si>
  <si>
    <t>24X02513 - 24X02548</t>
  </si>
  <si>
    <t>26E00756 - 26E00791</t>
  </si>
  <si>
    <t>2VB00747 - 2VB00786</t>
  </si>
  <si>
    <t>3808C008AA</t>
  </si>
  <si>
    <t>iR2625</t>
  </si>
  <si>
    <t>2VK00942 - 2VK00943</t>
  </si>
  <si>
    <t>2VS01910 - 2VS01959</t>
  </si>
  <si>
    <t>2VS01960 - 2VS01962</t>
  </si>
  <si>
    <t>24X02549 - 24X02583</t>
  </si>
  <si>
    <t>25M01503 - 25M01511</t>
  </si>
  <si>
    <t>2VS01963 - 2VS01978</t>
  </si>
  <si>
    <t>3809C008AA</t>
  </si>
  <si>
    <t>iR2630</t>
  </si>
  <si>
    <t>24X02584 - 24X02619</t>
  </si>
  <si>
    <t>26G00628 - 26G00639</t>
  </si>
  <si>
    <t>4055C009AA</t>
  </si>
  <si>
    <t>iR-ADV 4735i TW 120V</t>
  </si>
  <si>
    <t>26B00667 - 26B00696</t>
  </si>
  <si>
    <t>26M00863 - 26M00869</t>
  </si>
  <si>
    <t>OK</t>
  </si>
  <si>
    <t>DB T599.xlsx</t>
  </si>
  <si>
    <t>2VM01578 - 2VM01582</t>
  </si>
  <si>
    <t>25V03254 - 25V03254</t>
  </si>
  <si>
    <t>24X02620 - 24X02633</t>
  </si>
  <si>
    <t>26G00640 - 26G00642</t>
  </si>
  <si>
    <t>24V00686 - 24V00687</t>
  </si>
  <si>
    <t>25G00682 - 25G00697</t>
  </si>
  <si>
    <t>25S00989 - 25S00993</t>
  </si>
  <si>
    <t>26B00697 - 26B00701</t>
  </si>
  <si>
    <t>25C00906 - 25C00910</t>
  </si>
  <si>
    <t>26A00854 - 26A00860</t>
  </si>
  <si>
    <t>26M00870 - 26M00877</t>
  </si>
  <si>
    <t>4053C005AA</t>
  </si>
  <si>
    <t>IR-ADV 4751I EU 230V (F17-7397-000)</t>
  </si>
  <si>
    <t>25B00706 - 25B00707</t>
  </si>
  <si>
    <t>25M01512 - 25M01525</t>
  </si>
  <si>
    <t>13</t>
  </si>
  <si>
    <t>25Y01886 - 25Y01888</t>
  </si>
  <si>
    <t>14</t>
  </si>
  <si>
    <t>15</t>
  </si>
  <si>
    <t>2VM01583 - 2VM01613</t>
  </si>
  <si>
    <t>16</t>
  </si>
  <si>
    <t>25J02976 - 25J02984</t>
  </si>
  <si>
    <t>17</t>
  </si>
  <si>
    <t>25H00807 - 25H00807</t>
  </si>
  <si>
    <t>24X02634 - 24X02636</t>
  </si>
  <si>
    <t>26E00792 - 26E00829</t>
  </si>
  <si>
    <t>26M00878 - 26M00910</t>
  </si>
  <si>
    <t>2UX00603 - 2UX00603</t>
  </si>
  <si>
    <t>2VG01014 - 2VG01027</t>
  </si>
  <si>
    <t>2VA00701 - 2VA00702</t>
  </si>
  <si>
    <t>24Y00591 - 24Y00605</t>
  </si>
  <si>
    <t>2VS02032 - 2VS02065</t>
  </si>
  <si>
    <t>24X02637 - 24X02666</t>
  </si>
  <si>
    <t>25C00911 - 25C00914</t>
  </si>
  <si>
    <t>4054C006AA</t>
  </si>
  <si>
    <t>IR-ADV 4745I 230V (F17-7345-000)</t>
  </si>
  <si>
    <t>25N00770 - 25N00771</t>
  </si>
  <si>
    <t>25M01526 - 25M01546</t>
  </si>
  <si>
    <t>25K00588 - 25K00594</t>
  </si>
  <si>
    <t>26J00542 - 26J00549</t>
  </si>
  <si>
    <t>2VS02066 - 2VS02066</t>
  </si>
  <si>
    <t>24X02667 - 24X02704</t>
  </si>
  <si>
    <t>25S00994 - 25S00997</t>
  </si>
  <si>
    <t>25J02985 - 25J02994</t>
  </si>
  <si>
    <t>2VP05942 - 2VP05955</t>
  </si>
  <si>
    <t>2VJ01132 - 2VJ01137</t>
  </si>
  <si>
    <t>2VF04778 - 2VF04788</t>
  </si>
  <si>
    <t>24X02705 - 24X02722</t>
  </si>
  <si>
    <t>2UX00604 - 2UX00606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</si>
  <si>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</si>
  <si>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</si>
  <si>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</si>
  <si>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</si>
  <si>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</si>
  <si>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</si>
  <si>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</si>
  <si>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</si>
  <si>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</si>
  <si>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</si>
  <si>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26M00911 - 26M00916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</si>
  <si>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</si>
  <si>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</si>
  <si>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</si>
  <si>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</si>
  <si>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</si>
  <si>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</si>
  <si>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</si>
  <si>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</si>
  <si>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</si>
  <si>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</si>
  <si>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</si>
  <si>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</si>
  <si>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</si>
  <si>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</si>
  <si>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</si>
  <si>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</si>
  <si>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</si>
  <si>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22E13384 - 22E13394</t>
  </si>
  <si>
    <t>22W02347 - 22W02380</t>
  </si>
  <si>
    <t>2UP03384 - 2UP03386</t>
  </si>
  <si>
    <t>22D10001 - 22D10050</t>
  </si>
  <si>
    <t>2UP03387 - 2UP03399</t>
  </si>
  <si>
    <t>22W02381 - 22W02387</t>
  </si>
  <si>
    <t>22Q01998 - 22Q02097</t>
  </si>
  <si>
    <t>2UP03400 - 2UP03452</t>
  </si>
  <si>
    <t>2UP03453 - 2UP03470</t>
  </si>
  <si>
    <t>22N00887 - 22N00926</t>
  </si>
  <si>
    <t>22K00760 - 22K00786</t>
  </si>
  <si>
    <t>22Q02098 - 22Q02132</t>
  </si>
  <si>
    <t>22J00545 - 22J00556</t>
  </si>
  <si>
    <t>2UP03471 - 2UP03523</t>
  </si>
  <si>
    <t>2UP03524 - 2UP03553</t>
  </si>
  <si>
    <t>22U01223 - 22U01226</t>
  </si>
  <si>
    <t>2UP03554 - 2UP03561</t>
  </si>
  <si>
    <t>2UP03562 - 2UP03614</t>
  </si>
  <si>
    <t>2UP03615 - 2UP03666</t>
  </si>
  <si>
    <t>2UP03667 - 2UP03690</t>
  </si>
  <si>
    <t>22E13354 - 22E13383</t>
  </si>
  <si>
    <t>22E13395 - 22E13526</t>
  </si>
  <si>
    <t>22V01248 - 22V01252</t>
  </si>
  <si>
    <t>22P00970 - 22P00983</t>
  </si>
  <si>
    <t>2UQ04289 - 2UQ04306</t>
  </si>
  <si>
    <t>27V02618 - 27V02670</t>
  </si>
  <si>
    <t>27V02671 - 27V02684</t>
  </si>
  <si>
    <t>27W01290 - 27W01346</t>
  </si>
  <si>
    <t>2US00620 - 2US00621</t>
  </si>
  <si>
    <t>27V02685 - 27V02735</t>
  </si>
  <si>
    <t>27V02736 - 27V02808</t>
  </si>
  <si>
    <t>3857C010AA</t>
  </si>
  <si>
    <t>IR-ADV C3725I TW 120V</t>
  </si>
  <si>
    <t>22H00501 - 22H00501</t>
  </si>
  <si>
    <t>2UR03883 - 2UR03935</t>
  </si>
  <si>
    <t>2UR03936 - 2UR03962</t>
  </si>
  <si>
    <t>27V02809 - 27V02820</t>
  </si>
  <si>
    <t>2UA04367 - 2UA04398</t>
  </si>
  <si>
    <t>2UQ04307 - 2UQ04313</t>
  </si>
  <si>
    <t>22P00984 - 22P01046</t>
  </si>
  <si>
    <t>33G00501 - 33G00538</t>
  </si>
  <si>
    <t>2UA04399 - 2UA04413</t>
  </si>
  <si>
    <t>2UA04414 - 2UA04483</t>
  </si>
  <si>
    <t>2UR03963 - 2UR04015</t>
  </si>
  <si>
    <t>2UR04016 - 2UR04042</t>
  </si>
  <si>
    <t>2UA04484 - 2UA04526</t>
  </si>
  <si>
    <t>22L02588 - 22L02684</t>
  </si>
  <si>
    <t>2UR04043 - 2UR04095</t>
  </si>
  <si>
    <t>2UA04527 - 2UA04596</t>
  </si>
  <si>
    <t>YFA07196 - YFA07270</t>
  </si>
  <si>
    <t>YEF06619 - YEF06718</t>
  </si>
  <si>
    <t>YEJ04869 - YEJ04888</t>
  </si>
  <si>
    <t>YFA07271 - YFA07344</t>
  </si>
  <si>
    <t>YEF06719 - YEF06773</t>
  </si>
  <si>
    <t>YEJ04889 - YEJ04904</t>
  </si>
  <si>
    <t>YHL01744 - YHL01758</t>
  </si>
  <si>
    <t>YFA07345 - YFA07408</t>
  </si>
  <si>
    <t>YEJ04905 - YEJ04974</t>
  </si>
  <si>
    <t>YHL01759 - YHL01773</t>
  </si>
  <si>
    <t>YFA07409 - YFA07478</t>
  </si>
  <si>
    <t>YEF06774 - YEF06807</t>
  </si>
  <si>
    <t>YEJ04975 - YEJ05046</t>
  </si>
  <si>
    <t>YEE01297 - YEE01316</t>
  </si>
  <si>
    <t>YHL01774 - YHL01788</t>
  </si>
  <si>
    <t>YFA07479 - YFA07548</t>
  </si>
  <si>
    <t>YEF06808 - YEF06898</t>
  </si>
  <si>
    <t>YEJ05047 - YEJ05082</t>
  </si>
  <si>
    <t>YHL01789 - YHL01803</t>
  </si>
  <si>
    <t>YFA07549 - YFA07618</t>
  </si>
  <si>
    <t>YEF06899 - YEF07003</t>
  </si>
  <si>
    <t>YEG00749 - YEG00770</t>
  </si>
  <si>
    <t>YHL01804 - YHL01818</t>
  </si>
  <si>
    <t>YFA07619 - YFA07688</t>
  </si>
  <si>
    <t>YEF07004 - YEF07130</t>
  </si>
  <si>
    <t>YHL01819 - YHL01824</t>
  </si>
  <si>
    <t>YFA07689 - YFA07752</t>
  </si>
  <si>
    <t>YEF07131 - YEF07212</t>
  </si>
  <si>
    <t>2VP05851 - 2VP05897</t>
  </si>
  <si>
    <t>2VP05898 - 2VP05905</t>
  </si>
  <si>
    <t>25V03206 - 25V03253</t>
  </si>
  <si>
    <t>2VJ01105 - 2VJ01118</t>
  </si>
  <si>
    <t>2VJ01119 - 2VJ01131</t>
  </si>
  <si>
    <t>24X02475 - 24X02512</t>
  </si>
  <si>
    <t>2UX00588 - 2UX00594</t>
  </si>
  <si>
    <t>2UX00595 - 2UX00602</t>
  </si>
  <si>
    <t>25S00961 - 25S00988</t>
  </si>
  <si>
    <t>2VC01715 - 2VC01750</t>
  </si>
  <si>
    <t>2VC01751 - 2VC01753</t>
  </si>
  <si>
    <t>2VS01979 - 2VS02010</t>
  </si>
  <si>
    <t>2VS02011 - 2VS02031</t>
  </si>
  <si>
    <t>2VP05929 - 2VP05934</t>
  </si>
  <si>
    <t>2VP05935 - 2VP05941</t>
  </si>
  <si>
    <t>25B00708 - 25B00710</t>
  </si>
  <si>
    <t>25B00711 - 25B00713</t>
  </si>
  <si>
    <t>25V03255 - 25V03300</t>
  </si>
  <si>
    <t>2VF04745 - 2VF04777</t>
  </si>
  <si>
    <t>25V03301 - 25V03303</t>
  </si>
  <si>
    <t>25V03304 - 25V03309</t>
  </si>
  <si>
    <t>25S00998 - 25S01000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</si>
  <si>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</si>
  <si>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</si>
  <si>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</si>
  <si>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</si>
  <si>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</si>
  <si>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</si>
  <si>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</si>
  <si>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</si>
  <si>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</si>
  <si>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t>22D10086 - 22D10213</t>
  </si>
  <si>
    <t>22E13563 - 22E13627</t>
  </si>
  <si>
    <t>22D10214 - 22D10266</t>
  </si>
  <si>
    <t>22D10274 - 22D10329</t>
  </si>
  <si>
    <t>22D10330 - 22D10369</t>
  </si>
  <si>
    <t>22D10530 - 22D10695</t>
  </si>
  <si>
    <t>22D10696 - 22D10740</t>
  </si>
  <si>
    <t>22D10741 - 22D11007</t>
  </si>
  <si>
    <t>22D11008 - 22D11162</t>
  </si>
  <si>
    <t>22K00787 - 22K00797</t>
  </si>
  <si>
    <t>22E15246 - 22E15248</t>
  </si>
  <si>
    <t>22L02685 - 22L02764</t>
  </si>
  <si>
    <t>2UQ04314 - 2UQ04400</t>
  </si>
  <si>
    <t>22M01532 - 22M01564</t>
  </si>
  <si>
    <t>22N00927 - 22N00935</t>
  </si>
  <si>
    <t>2UQ04431 - 2UQ04561</t>
  </si>
  <si>
    <t>22L02845 - 22L02924</t>
  </si>
  <si>
    <t>2UQ04592 - 2UQ04698</t>
  </si>
  <si>
    <t>22U01227 - 22U01266</t>
  </si>
  <si>
    <t>22V01253 - 22V01265</t>
  </si>
  <si>
    <t>22V01266 - 22V01302</t>
  </si>
  <si>
    <t>22L02925 - 22L02987</t>
  </si>
  <si>
    <t>2UQ04729 - 2UQ04839</t>
  </si>
  <si>
    <t>22W02388 - 22W02443</t>
  </si>
  <si>
    <t>22U01267 - 22U01310</t>
  </si>
  <si>
    <t>22V01303 - 22V01311</t>
  </si>
  <si>
    <t>22V01312 - 22V01321</t>
  </si>
  <si>
    <t>2UQ04840 - 2UQ05010</t>
  </si>
  <si>
    <t>22W02444 - 22W02469</t>
  </si>
  <si>
    <t>2UQ05100 - 2UQ05269</t>
  </si>
  <si>
    <t>22W02470 - 22W02523</t>
  </si>
  <si>
    <t>22K00798 - 22K00850</t>
  </si>
  <si>
    <t>22K00851 - 22K00853</t>
  </si>
  <si>
    <t>22L02988 - 22L03073</t>
  </si>
  <si>
    <t>22M01565 - 22M01650</t>
  </si>
  <si>
    <t>22L03074 - 22L03237</t>
  </si>
  <si>
    <t>22U01311 - 22U01383</t>
  </si>
  <si>
    <t>22L03252 - 22L03337</t>
  </si>
  <si>
    <t>22M01651 - 22M01736</t>
  </si>
  <si>
    <t>2UQ05488 - 2UQ05589</t>
  </si>
  <si>
    <t>22W02524 - 22W02641</t>
  </si>
  <si>
    <t>2UQ05710 - 2UQ05879</t>
  </si>
  <si>
    <t>2UQ05972 - 2UQ06099</t>
  </si>
  <si>
    <t>22K00854 - 22K00862</t>
  </si>
  <si>
    <t>2UQ06215 - 2UQ06257</t>
  </si>
  <si>
    <t>22W02642 - 22W02729</t>
  </si>
  <si>
    <t>2UQ06318 - 2UQ06368</t>
  </si>
  <si>
    <t>22Q02133 - 22Q02174</t>
  </si>
  <si>
    <t>22U01384 - 22U01441</t>
  </si>
  <si>
    <t>22N00936 - 22N00982</t>
  </si>
  <si>
    <t>2UQ06429 - 2UQ06479</t>
  </si>
  <si>
    <t>2UQ06540 - 2UQ06590</t>
  </si>
  <si>
    <t>2UQ06651 - 2UQ06754</t>
  </si>
  <si>
    <t>22F09184 - 22F09283</t>
  </si>
  <si>
    <t>22D10051 - 22D10085</t>
  </si>
  <si>
    <t>22D10267 - 22D10273</t>
  </si>
  <si>
    <t>22E13628 - 22E13813</t>
  </si>
  <si>
    <t>27V02821 - 27V02873</t>
  </si>
  <si>
    <t>27V02874 - 27V02934</t>
  </si>
  <si>
    <t>27W01347 - 27W01403</t>
  </si>
  <si>
    <t>2UQ04401 - 2UQ04430</t>
  </si>
  <si>
    <t>22D11163 - 22D11217</t>
  </si>
  <si>
    <t>2UR04096 - 2UR04148</t>
  </si>
  <si>
    <t>2UR04149 - 2UR04160</t>
  </si>
  <si>
    <t>27V02935 - 27V02953</t>
  </si>
  <si>
    <t>27W01404 - 27W01490</t>
  </si>
  <si>
    <t>2UQ04562 - 2UQ04591</t>
  </si>
  <si>
    <t>22D11218 - 22D11352</t>
  </si>
  <si>
    <t>2UR04161 - 2UR04213</t>
  </si>
  <si>
    <t>2UR04214 - 2UR04223</t>
  </si>
  <si>
    <t>33G00539 - 33G00598</t>
  </si>
  <si>
    <t>2UA04597 - 2UA04644</t>
  </si>
  <si>
    <t>2UQ04699 - 2UQ04728</t>
  </si>
  <si>
    <t>22D11353 - 22D11486</t>
  </si>
  <si>
    <t>22H00502 - 22H00502</t>
  </si>
  <si>
    <t>2UA04645 - 2UA04697</t>
  </si>
  <si>
    <t>2UA04698 - 2UA04815</t>
  </si>
  <si>
    <t>22D11487 - 22D11635</t>
  </si>
  <si>
    <t>33G00599 - 33G00651</t>
  </si>
  <si>
    <t>33G00652 - 33G00725</t>
  </si>
  <si>
    <t>2UA04816 - 2UA04859</t>
  </si>
  <si>
    <t>2UQ05011 - 2UQ05099</t>
  </si>
  <si>
    <t>33G00726 - 33G00778</t>
  </si>
  <si>
    <t>33G00779 - 33G00895</t>
  </si>
  <si>
    <t>2UQ05270 - 2UQ05419</t>
  </si>
  <si>
    <t>2UR04224 - 2UR04276</t>
  </si>
  <si>
    <t>2UR04277 - 2UR04329</t>
  </si>
  <si>
    <t>27V02954 - 27V02993</t>
  </si>
  <si>
    <t>2UR04330 - 2UR04382</t>
  </si>
  <si>
    <t>2UR04383 - 2UR04391</t>
  </si>
  <si>
    <t>27V02994 - 27V03077</t>
  </si>
  <si>
    <t>22L03238 - 22L03251</t>
  </si>
  <si>
    <t>2UQ05420 - 2UQ05425</t>
  </si>
  <si>
    <t>2UR04392 - 2UR04418</t>
  </si>
  <si>
    <t>33G00896 - 33G00921</t>
  </si>
  <si>
    <t>33G00922 - 33G00975</t>
  </si>
  <si>
    <t>2UA04860 - 2UA04898</t>
  </si>
  <si>
    <t>2UQ05426 - 2UQ05487</t>
  </si>
  <si>
    <t>22H00503 - 22H00503</t>
  </si>
  <si>
    <t>33G00976 - 33G01020</t>
  </si>
  <si>
    <t>2UA04899 - 2UA04906</t>
  </si>
  <si>
    <t>2UA04907 - 2UA04999</t>
  </si>
  <si>
    <t>2UQ05590 - 2UQ05709</t>
  </si>
  <si>
    <t>22V01322 - 22V01368</t>
  </si>
  <si>
    <t>2UA05000 - 2UA05052</t>
  </si>
  <si>
    <t>2UA05053 - 2UA05145</t>
  </si>
  <si>
    <t>2UQ05880 - 2UQ05971</t>
  </si>
  <si>
    <t>33G01021 - 33G01073</t>
  </si>
  <si>
    <t>33G01074 - 33G01165</t>
  </si>
  <si>
    <t>2UQ06100 - 2UQ06214</t>
  </si>
  <si>
    <t>2UR04419 - 2UR04469</t>
  </si>
  <si>
    <t>27V03078 - 27V03079</t>
  </si>
  <si>
    <t>27V03080 - 27V03183</t>
  </si>
  <si>
    <t>2UQ06258 - 2UQ06317</t>
  </si>
  <si>
    <t>2US00622 - 2US00628</t>
  </si>
  <si>
    <t>2UR04470 - 2UR04515</t>
  </si>
  <si>
    <t>2UR04516 - 2UR04577</t>
  </si>
  <si>
    <t>2UA05146 - 2UA05194</t>
  </si>
  <si>
    <t>2UQ06369 - 2UQ06428</t>
  </si>
  <si>
    <t>33G01166 - 33G01218</t>
  </si>
  <si>
    <t>33G01219 - 33G01241</t>
  </si>
  <si>
    <t>2UA05195 - 2UA05274</t>
  </si>
  <si>
    <t>2UQ06480 - 2UQ06539</t>
  </si>
  <si>
    <t>22V01369 - 22V01405</t>
  </si>
  <si>
    <t>22P01047 - 22P01095</t>
  </si>
  <si>
    <t>33G01242 - 33G01294</t>
  </si>
  <si>
    <t>33G01295 - 33G01321</t>
  </si>
  <si>
    <t>2UA05275 - 2UA05350</t>
  </si>
  <si>
    <t>2UQ06591 - 2UQ06650</t>
  </si>
  <si>
    <t>33G01322 - 33G01374</t>
  </si>
  <si>
    <t>33G01375 - 33G01413</t>
  </si>
  <si>
    <t>2UA05351 - 2UA05414</t>
  </si>
  <si>
    <t>2UQ06755 - 2UQ06761</t>
  </si>
  <si>
    <t>33G01414 - 33G01466</t>
  </si>
  <si>
    <t>2UR04578 - 2UR04630</t>
  </si>
  <si>
    <t>22F09284 - 22F09333</t>
  </si>
  <si>
    <t>YHL01714 - YHL01721</t>
  </si>
  <si>
    <t>YHL01722 - YHL01736</t>
  </si>
  <si>
    <t>22E13527 - 22E13562</t>
  </si>
  <si>
    <t>22E13814 - 22E13856</t>
  </si>
  <si>
    <t>YHL01737 - YHL01743</t>
  </si>
  <si>
    <t>YHL01825 - YHL01839</t>
  </si>
  <si>
    <t>22F09875 - 22F09910</t>
  </si>
  <si>
    <t>22F09911 - 22F09994</t>
  </si>
  <si>
    <t>YFA07753 - YFA07802</t>
  </si>
  <si>
    <t>YEJ05083 - YEJ05153</t>
  </si>
  <si>
    <t>YHL01840 - YHL01854</t>
  </si>
  <si>
    <t>YFA07803 - YFA07852</t>
  </si>
  <si>
    <t>YEF07213 - YEF07251</t>
  </si>
  <si>
    <t>YEJ05154 - YEJ05242</t>
  </si>
  <si>
    <t>YHL01855 - YHL01869</t>
  </si>
  <si>
    <t>YFA07853 - YFA07883</t>
  </si>
  <si>
    <t>YEF07252 - YEF07318</t>
  </si>
  <si>
    <t>YEJ05243 - YEJ05322</t>
  </si>
  <si>
    <t>YHL01870 - YHL01884</t>
  </si>
  <si>
    <t>YFA07884 - YFA07913</t>
  </si>
  <si>
    <t>YEJ05323 - YEJ05388</t>
  </si>
  <si>
    <t>YEE01317 - YEE01396</t>
  </si>
  <si>
    <t>YHL01885 - YHL01899</t>
  </si>
  <si>
    <t>YFA07914 - YFA07943</t>
  </si>
  <si>
    <t>YEF07319 - YEF07353</t>
  </si>
  <si>
    <t>YEE01397 - YEE01456</t>
  </si>
  <si>
    <t>YHL01900 - YHL01914</t>
  </si>
  <si>
    <t>YHL01915 - YHL01924</t>
  </si>
  <si>
    <t>YFA07944 - YFA07973</t>
  </si>
  <si>
    <t>YEF07354 - YEF07495</t>
  </si>
  <si>
    <t>YHL01925 - YHL01939</t>
  </si>
  <si>
    <t>YHL01940 - YHL01949</t>
  </si>
  <si>
    <t>YFA07974 - YFA08014</t>
  </si>
  <si>
    <t>YEJ05389 - YEJ05420</t>
  </si>
  <si>
    <t>YEE01457 - YEE01506</t>
  </si>
  <si>
    <t>YHL01950 - YHL01964</t>
  </si>
  <si>
    <t>YHL01965 - YHL01974</t>
  </si>
  <si>
    <t>YFA08015 - YFA08044</t>
  </si>
  <si>
    <t>YEF07496 - YEF07510</t>
  </si>
  <si>
    <t>YEJ05421 - YEJ05520</t>
  </si>
  <si>
    <t>YEE01507 - YEE01556</t>
  </si>
  <si>
    <t>YHL01975 - YHL01989</t>
  </si>
  <si>
    <t>YHL01990 - YHL01999</t>
  </si>
  <si>
    <t>YFA08045 - YFA08074</t>
  </si>
  <si>
    <t>YEF07511 - YEF07546</t>
  </si>
  <si>
    <t>YEJ05521 - YEJ05644</t>
  </si>
  <si>
    <t>22J00557 - 22J00569</t>
  </si>
  <si>
    <t>YHL02000 - YHL02013</t>
  </si>
  <si>
    <t>YHL02014 - YHL02023</t>
  </si>
  <si>
    <t>YFA08075 - YFA08104</t>
  </si>
  <si>
    <t>YEF07547 - YEF07593</t>
  </si>
  <si>
    <t>YEJ05645 - YEJ05755</t>
  </si>
  <si>
    <t>YHL02024 - YHL02033</t>
  </si>
  <si>
    <t>YHL02034 - YHL02043</t>
  </si>
  <si>
    <t>YFA08105 - YFA08134</t>
  </si>
  <si>
    <t>YEF07594 - YEF07684</t>
  </si>
  <si>
    <t>YEJ05756 - YEJ05826</t>
  </si>
  <si>
    <t>YHL02044 - YHL02053</t>
  </si>
  <si>
    <t>YFA08135 - YFA08164</t>
  </si>
  <si>
    <t>YEF07685 - YEF07696</t>
  </si>
  <si>
    <t>YEJ05827 - YEJ05916</t>
  </si>
  <si>
    <t>YHL02054 - YHL02068</t>
  </si>
  <si>
    <t>YFA08165 - YFA08255</t>
  </si>
  <si>
    <t>YEF07697 - YEF07740</t>
  </si>
  <si>
    <t>YHL02069 - YHL02083</t>
  </si>
  <si>
    <t>YFA08256 - YFA08335</t>
  </si>
  <si>
    <t>YEF07741 - YEF07861</t>
  </si>
  <si>
    <t>YHL02084 - YHL02098</t>
  </si>
  <si>
    <t>YFA08336 - YFA08415</t>
  </si>
  <si>
    <t>YEF07862 - YEF07974</t>
  </si>
  <si>
    <t>YEA00679 - YEA00686</t>
  </si>
  <si>
    <t>YHL02099 - YHL02113</t>
  </si>
  <si>
    <t>YFA08416 - YFA08495</t>
  </si>
  <si>
    <t>YEF07975 - YEF08079</t>
  </si>
  <si>
    <t>YHL02114 - YHL02125</t>
  </si>
  <si>
    <t>YFA08496 - YFA08575</t>
  </si>
  <si>
    <t>YEF08080 - YEF08127</t>
  </si>
  <si>
    <t>YEA00687 - YEA00698</t>
  </si>
  <si>
    <t>YEG00771 - YEG00781</t>
  </si>
  <si>
    <t>YEJ05917 - YEJ05944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</si>
  <si>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</si>
  <si>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</si>
  <si>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3HG00786 - 3HG00790</t>
  </si>
  <si>
    <t>3HG00791 - 3HG00800</t>
  </si>
  <si>
    <t>3HG00801 - 3HG00805</t>
  </si>
  <si>
    <t>25Y01840 - 25Y01862</t>
  </si>
  <si>
    <t>26A00823 - 26A00853</t>
  </si>
  <si>
    <t>25Y01863 - 25Y01885</t>
  </si>
  <si>
    <t>3HG00806 - 3HG00820</t>
  </si>
  <si>
    <t>3HG00821 - 3HG00835</t>
  </si>
  <si>
    <t>25Y01889 - 25Y01928</t>
  </si>
  <si>
    <t>26A00861 - 26A00874</t>
  </si>
  <si>
    <t>3HG00836 - 3HG00850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</si>
  <si>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</si>
  <si>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</si>
  <si>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</si>
  <si>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</si>
  <si>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</si>
  <si>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</si>
  <si>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</si>
  <si>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</si>
  <si>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</si>
  <si>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</si>
  <si>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</si>
  <si>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</si>
  <si>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</si>
  <si>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</si>
  <si>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</si>
  <si>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</si>
  <si>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</si>
  <si>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</si>
  <si>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</si>
  <si>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</si>
  <si>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</si>
  <si>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</si>
  <si>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</si>
  <si>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</si>
  <si>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</si>
  <si>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</si>
  <si>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</si>
  <si>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</si>
  <si>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</si>
  <si>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</si>
  <si>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</si>
  <si>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</si>
  <si>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</si>
  <si>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</si>
  <si>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</si>
  <si>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</si>
  <si>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</si>
  <si>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</si>
  <si>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</si>
  <si>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</si>
  <si>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</si>
  <si>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</si>
  <si>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</si>
  <si>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</si>
  <si>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</si>
  <si>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</si>
  <si>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</si>
  <si>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</si>
  <si>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</si>
  <si>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</si>
  <si>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</si>
  <si>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</si>
  <si>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</si>
  <si>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</si>
  <si>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</si>
  <si>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</si>
  <si>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</si>
  <si>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</si>
  <si>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</si>
  <si>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</si>
  <si>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</si>
  <si>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</si>
  <si>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</si>
  <si>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</si>
  <si>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</si>
  <si>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</si>
  <si>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</si>
  <si>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</si>
  <si>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</si>
  <si>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</si>
  <si>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</si>
  <si>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</si>
  <si>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</si>
  <si>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</si>
  <si>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</si>
  <si>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</si>
  <si>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</si>
  <si>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</si>
  <si>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</si>
  <si>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</si>
  <si>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</si>
  <si>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</si>
  <si>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</si>
  <si>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</si>
  <si>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</si>
  <si>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</si>
  <si>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</si>
  <si>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</si>
  <si>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</si>
  <si>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</si>
  <si>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</si>
  <si>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</si>
  <si>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</si>
  <si>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</si>
  <si>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</si>
  <si>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</si>
  <si>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</si>
  <si>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</si>
  <si>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</si>
  <si>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</si>
  <si>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</si>
  <si>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</si>
  <si>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</si>
  <si>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</si>
  <si>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</si>
  <si>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</si>
  <si>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</si>
  <si>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</si>
  <si>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</si>
  <si>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</si>
  <si>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</si>
  <si>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</si>
  <si>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</si>
  <si>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</si>
  <si>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</si>
  <si>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</si>
  <si>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</si>
  <si>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</si>
  <si>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</si>
  <si>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</si>
  <si>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</si>
  <si>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</si>
  <si>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</si>
  <si>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</si>
  <si>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</si>
  <si>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</si>
  <si>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</si>
  <si>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</si>
  <si>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</si>
  <si>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</si>
  <si>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</si>
  <si>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</si>
  <si>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</si>
  <si>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</si>
  <si>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</si>
  <si>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</si>
  <si>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</si>
  <si>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</si>
  <si>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</si>
  <si>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</si>
  <si>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</si>
  <si>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</si>
  <si>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</si>
  <si>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</si>
  <si>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</si>
  <si>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</si>
  <si>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</si>
  <si>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</si>
  <si>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</si>
  <si>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</si>
  <si>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</si>
  <si>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</si>
  <si>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</si>
  <si>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</si>
  <si>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</si>
  <si>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</si>
  <si>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</si>
  <si>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</si>
  <si>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</si>
  <si>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</si>
  <si>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</si>
  <si>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</si>
  <si>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</si>
  <si>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</si>
  <si>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</si>
  <si>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</si>
  <si>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</si>
  <si>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</si>
  <si>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</si>
  <si>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</si>
  <si>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</si>
  <si>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</si>
  <si>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</si>
  <si>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</si>
  <si>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</si>
  <si>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</si>
  <si>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</si>
  <si>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</si>
  <si>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</si>
  <si>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</si>
  <si>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</si>
  <si>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</si>
  <si>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</si>
  <si>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</si>
  <si>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</si>
  <si>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</si>
  <si>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</si>
  <si>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</si>
  <si>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</si>
  <si>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</si>
  <si>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</si>
  <si>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</si>
  <si>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</si>
  <si>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</si>
  <si>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</si>
  <si>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</si>
  <si>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</si>
  <si>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</si>
  <si>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</si>
  <si>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</si>
  <si>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</si>
  <si>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>[11-Aug-2020]</t>
    </r>
  </si>
  <si>
    <t>T709 Daily Input/Output Plan COPIER 20200727W_REV.1</t>
  </si>
  <si>
    <t>22F09369 - 22F09517</t>
  </si>
  <si>
    <t>22D10370 - 22D10525</t>
  </si>
  <si>
    <t>22E14185 - 22E14319</t>
  </si>
  <si>
    <t>22E14482 - 22E14548</t>
  </si>
  <si>
    <t>22E15004 - 22E15045</t>
  </si>
  <si>
    <t>22E15249 - 22E15259</t>
  </si>
  <si>
    <t>22L02765 - 22L02797</t>
  </si>
  <si>
    <t>22L02798 - 22L02844</t>
  </si>
  <si>
    <t>22F09995 - 22F10099</t>
  </si>
  <si>
    <t>22E15296 - 22E15324</t>
  </si>
  <si>
    <t>22E15453 - 22E15548</t>
  </si>
  <si>
    <t>22D11672 - 22D11724</t>
  </si>
  <si>
    <t>22D11824 - 22D11852</t>
  </si>
  <si>
    <t>22E15750 - 22E15763</t>
  </si>
  <si>
    <t>22E15794 - 22E15821</t>
  </si>
  <si>
    <t>22E15822 - 22E15874</t>
  </si>
  <si>
    <t>22E15901 - 22E16011</t>
  </si>
  <si>
    <t>22D11883 - 22D11935</t>
  </si>
  <si>
    <t>22D12018 - 22D12055</t>
  </si>
  <si>
    <t>22D12056 - 22D12108</t>
  </si>
  <si>
    <t>22D12156 - 22D12202</t>
  </si>
  <si>
    <t>22D12203 - 22D12255</t>
  </si>
  <si>
    <t>22D12256 - 22D12302</t>
  </si>
  <si>
    <t>22F10659 - 22F10708</t>
  </si>
  <si>
    <t>22D12303 - 22D12355</t>
  </si>
  <si>
    <t>22D12438 - 22D12484</t>
  </si>
  <si>
    <t>22F10709 - 22F10740</t>
  </si>
  <si>
    <t>22E16383 - 22E16426</t>
  </si>
  <si>
    <t>22E16504 - 22E16575</t>
  </si>
  <si>
    <t>22D12521 - 22D12573</t>
  </si>
  <si>
    <t>22D12620 - 22D12629</t>
  </si>
  <si>
    <t>22F10801 - 22F10980</t>
  </si>
  <si>
    <t>22D12630 - 22D12682</t>
  </si>
  <si>
    <t>22D12743 - 22D12796</t>
  </si>
  <si>
    <t>22E16727 - 22E16799</t>
  </si>
  <si>
    <t>22D12797 - 22D12838</t>
  </si>
  <si>
    <t>22E16800 - 22E16810</t>
  </si>
  <si>
    <t>22E16811 - 22E17026</t>
  </si>
  <si>
    <t>22D12899 - 22D12951</t>
  </si>
  <si>
    <t>22D13091 - 22D13097</t>
  </si>
  <si>
    <t>22E17027 - 22E17175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</si>
  <si>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2 [11-Aug-2020]</t>
    </r>
  </si>
  <si>
    <t>22E13858 - 22E13991</t>
  </si>
  <si>
    <t>22D10526 - 22D10529</t>
  </si>
  <si>
    <t>22E13992 - 22E14184</t>
  </si>
  <si>
    <t>22E14320 - 22E14445</t>
  </si>
  <si>
    <t>22E14549 - 22E14745</t>
  </si>
  <si>
    <t>22E14787 - 22E14886</t>
  </si>
  <si>
    <t>22E15046 - 22E15182</t>
  </si>
  <si>
    <t>22D11853 - 22D11882</t>
  </si>
  <si>
    <t>22F10264 - 22F10343</t>
  </si>
  <si>
    <t>22D11936 - 22D12017</t>
  </si>
  <si>
    <t>22F10426 - 22F10505</t>
  </si>
  <si>
    <t>22D12109 - 22D12155</t>
  </si>
  <si>
    <t>22F10572 - 22F10651</t>
  </si>
  <si>
    <t>22F10652 - 22F10658</t>
  </si>
  <si>
    <t>22D12356 - 22D12437</t>
  </si>
  <si>
    <t>22E16576 - 22E16614</t>
  </si>
  <si>
    <t>22E16615 - 22E16726</t>
  </si>
  <si>
    <t>22F11041 - 22F11074</t>
  </si>
  <si>
    <t>22D12952 - 22D13027</t>
  </si>
  <si>
    <t>22F11135 - 22F11162</t>
  </si>
  <si>
    <t>22D13098 - 22D13141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</si>
  <si>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3 [11-Aug-2020]</t>
    </r>
  </si>
  <si>
    <t>22E13857 - 22E13857</t>
  </si>
  <si>
    <t>22F09334 - 22F09368</t>
  </si>
  <si>
    <t>22F09518 - 22F09590</t>
  </si>
  <si>
    <t>22F09591 - 22F09626</t>
  </si>
  <si>
    <t>22F09627 - 22F09699</t>
  </si>
  <si>
    <t>22F09700 - 22F09735</t>
  </si>
  <si>
    <t>22F09736 - 22F09807</t>
  </si>
  <si>
    <t>22E14446 - 22E14481</t>
  </si>
  <si>
    <t>22E14746 - 22E14750</t>
  </si>
  <si>
    <t>22F09808 - 22F09874</t>
  </si>
  <si>
    <t>22E14751 - 22E14786</t>
  </si>
  <si>
    <t>22E14887 - 22E14958</t>
  </si>
  <si>
    <t>22E14959 - 22E15003</t>
  </si>
  <si>
    <t>22E15183 - 22E15245</t>
  </si>
  <si>
    <t>22E15260 - 22E15295</t>
  </si>
  <si>
    <t>22E15325 - 22E15416</t>
  </si>
  <si>
    <t>22F10100 - 22F10114</t>
  </si>
  <si>
    <t>22E15417 - 22E15452</t>
  </si>
  <si>
    <t>22E15549 - 22E15601</t>
  </si>
  <si>
    <t>22F10115 - 22F10168</t>
  </si>
  <si>
    <t>22E15602 - 22E15637</t>
  </si>
  <si>
    <t>22E15638 - 22E15728</t>
  </si>
  <si>
    <t>22F10169 - 22F10170</t>
  </si>
  <si>
    <t>22D11636 - 22D11671</t>
  </si>
  <si>
    <t>22D11725 - 22D11808</t>
  </si>
  <si>
    <t>22D11809 - 22D11823</t>
  </si>
  <si>
    <t>22E15729 - 22E15749</t>
  </si>
  <si>
    <t>22E15764 - 22E15793</t>
  </si>
  <si>
    <t>22F10171 - 22F10237</t>
  </si>
  <si>
    <t>22F10238 - 22F10263</t>
  </si>
  <si>
    <t>22F10344 - 22F10425</t>
  </si>
  <si>
    <t>22E15875 - 22E15900</t>
  </si>
  <si>
    <t>22E16012 - 22E16027</t>
  </si>
  <si>
    <t>22F10506 - 22F10571</t>
  </si>
  <si>
    <t>22E16028 - 22E16053</t>
  </si>
  <si>
    <t>22E16054 - 22E16135</t>
  </si>
  <si>
    <t>22E16136 - 22E16162</t>
  </si>
  <si>
    <t>22E16163 - 22E16243</t>
  </si>
  <si>
    <t>22E16244 - 22E16274</t>
  </si>
  <si>
    <t>22E16275 - 22E16351</t>
  </si>
  <si>
    <t>22E16352 - 22E16382</t>
  </si>
  <si>
    <t>22E16427 - 22E16503</t>
  </si>
  <si>
    <t>22D12485 - 22D12520</t>
  </si>
  <si>
    <t>22D12574 - 22D12583</t>
  </si>
  <si>
    <t>22F10741 - 22F10800</t>
  </si>
  <si>
    <t>22D12584 - 22D12619</t>
  </si>
  <si>
    <t>22D12683 - 22D12706</t>
  </si>
  <si>
    <t>22F10981 - 22F11040</t>
  </si>
  <si>
    <t>22D12707 - 22D12742</t>
  </si>
  <si>
    <t>22D12839 - 22D12862</t>
  </si>
  <si>
    <t>22F11075 - 22F11134</t>
  </si>
  <si>
    <t>22D12863 - 22D12898</t>
  </si>
  <si>
    <t>22D13028 - 22D13051</t>
  </si>
  <si>
    <t>22F11163 - 22F11222</t>
  </si>
  <si>
    <t>22D13052 - 22D13090</t>
  </si>
  <si>
    <t>22D13142 - 22D13162</t>
  </si>
  <si>
    <t>22F11223 - 22F11282</t>
  </si>
  <si>
    <t>Aug'20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</si>
  <si>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</si>
  <si>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</si>
  <si>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</si>
  <si>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</si>
  <si>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</si>
  <si>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</si>
  <si>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</si>
  <si>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</si>
  <si>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</si>
  <si>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</si>
  <si>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</si>
  <si>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</si>
  <si>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</si>
  <si>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</si>
  <si>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</si>
  <si>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</si>
  <si>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130/130/129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</si>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</sst>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</numFmts>
  <fonts count="1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6"/>
      <color rgb="FFFF0000"/>
      <name val="Calibri"/>
      <family val="2"/>
      <scheme val="minor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ambria"/>
      <family val="1"/>
      <scheme val="major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u/>
      <sz val="11"/>
      <color theme="1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sz val="17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name val="Cambria"/>
      <family val="1"/>
      <scheme val="maj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49133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6" fillId="0" borderId="0">
      <alignment horizontal="center"/>
    </xf>
    <xf numFmtId="0" fontId="7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560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65" fontId="53" fillId="0" borderId="13" xfId="0" applyNumberFormat="1" applyFont="1" applyFill="1" applyBorder="1" applyAlignment="1">
      <alignment horizontal="center" vertical="center"/>
    </xf>
    <xf numFmtId="165" fontId="54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165" fontId="49" fillId="0" borderId="13" xfId="0" applyNumberFormat="1" applyFont="1" applyBorder="1" applyAlignment="1">
      <alignment horizontal="center" vertical="center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5" fillId="0" borderId="14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5" fillId="0" borderId="1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0" fontId="10" fillId="0" borderId="33" xfId="0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10" fillId="0" borderId="33" xfId="0" applyFont="1" applyFill="1" applyBorder="1" applyAlignment="1">
      <alignment horizontal="left" vertical="center"/>
    </xf>
    <xf numFmtId="165" fontId="10" fillId="0" borderId="33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7" fillId="0" borderId="13" xfId="0" applyFont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67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4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8" fillId="0" borderId="13" xfId="0" applyFont="1" applyBorder="1" applyAlignment="1">
      <alignment horizontal="center" vertical="center"/>
    </xf>
    <xf numFmtId="0" fontId="69" fillId="33" borderId="0" xfId="0" applyFont="1" applyFill="1" applyAlignment="1">
      <alignment horizontal="center" vertical="center"/>
    </xf>
    <xf numFmtId="0" fontId="70" fillId="33" borderId="0" xfId="0" applyFont="1" applyFill="1" applyBorder="1" applyAlignment="1">
      <alignment horizontal="center" vertical="center"/>
    </xf>
    <xf numFmtId="0" fontId="71" fillId="34" borderId="31" xfId="0" applyFont="1" applyFill="1" applyBorder="1" applyAlignment="1">
      <alignment horizontal="center" vertical="center" wrapText="1"/>
    </xf>
    <xf numFmtId="2" fontId="49" fillId="0" borderId="13" xfId="0" applyNumberFormat="1" applyFont="1" applyBorder="1" applyAlignment="1">
      <alignment horizontal="center" vertical="center"/>
    </xf>
    <xf numFmtId="0" fontId="49" fillId="0" borderId="13" xfId="0" applyNumberFormat="1" applyFont="1" applyBorder="1" applyAlignment="1">
      <alignment horizontal="left" vertical="center"/>
    </xf>
    <xf numFmtId="0" fontId="49" fillId="0" borderId="13" xfId="0" applyNumberFormat="1" applyFont="1" applyBorder="1" applyAlignment="1">
      <alignment vertical="center"/>
    </xf>
    <xf numFmtId="0" fontId="49" fillId="0" borderId="13" xfId="0" applyNumberFormat="1" applyFont="1" applyBorder="1" applyAlignment="1">
      <alignment horizontal="center" vertical="center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72" fillId="0" borderId="13" xfId="0" applyNumberFormat="1" applyFont="1" applyFill="1" applyBorder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0" fontId="73" fillId="0" borderId="13" xfId="0" applyFont="1" applyBorder="1" applyAlignment="1">
      <alignment horizontal="center" vertical="center"/>
    </xf>
    <xf numFmtId="49" fontId="10" fillId="0" borderId="13" xfId="0" applyNumberFormat="1" applyFont="1" applyFill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74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165" fontId="48" fillId="0" borderId="33" xfId="0" applyNumberFormat="1" applyFont="1" applyFill="1" applyBorder="1" applyAlignment="1">
      <alignment horizontal="center" vertical="center"/>
    </xf>
    <xf numFmtId="0" fontId="74" fillId="0" borderId="13" xfId="0" applyFont="1" applyFill="1" applyBorder="1" applyAlignment="1">
      <alignment horizontal="center" vertical="center"/>
    </xf>
    <xf numFmtId="0" fontId="75" fillId="0" borderId="0" xfId="49130" applyFill="1" applyAlignment="1">
      <alignment horizontal="left" vertical="center"/>
    </xf>
    <xf numFmtId="0" fontId="63" fillId="0" borderId="0" xfId="0" applyFont="1" applyFill="1" applyAlignment="1">
      <alignment horizontal="left"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65" fontId="72" fillId="0" borderId="33" xfId="0" applyNumberFormat="1" applyFont="1" applyFill="1" applyBorder="1" applyAlignment="1">
      <alignment horizontal="center" vertical="center"/>
    </xf>
    <xf numFmtId="11" fontId="10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165" fontId="10" fillId="0" borderId="13" xfId="0" applyNumberFormat="1" applyFont="1" applyFill="1" applyBorder="1" applyAlignment="1">
      <alignment vertical="center"/>
    </xf>
    <xf numFmtId="0" fontId="77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2" fontId="78" fillId="0" borderId="13" xfId="0" applyNumberFormat="1" applyFont="1" applyFill="1" applyBorder="1" applyAlignment="1">
      <alignment horizontal="center" vertical="center"/>
    </xf>
    <xf numFmtId="0" fontId="78" fillId="0" borderId="13" xfId="0" applyNumberFormat="1" applyFont="1" applyFill="1" applyBorder="1" applyAlignment="1">
      <alignment horizontal="left" vertical="center"/>
    </xf>
    <xf numFmtId="0" fontId="78" fillId="0" borderId="13" xfId="0" applyNumberFormat="1" applyFont="1" applyFill="1" applyBorder="1" applyAlignment="1">
      <alignment vertical="center"/>
    </xf>
    <xf numFmtId="0" fontId="78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79" fillId="33" borderId="0" xfId="0" applyFont="1" applyFill="1" applyBorder="1" applyAlignment="1">
      <alignment horizontal="left" vertical="center"/>
    </xf>
    <xf numFmtId="14" fontId="79" fillId="33" borderId="0" xfId="0" applyNumberFormat="1" applyFont="1" applyFill="1" applyBorder="1" applyAlignment="1">
      <alignment vertical="center"/>
    </xf>
    <xf numFmtId="0" fontId="7" fillId="33" borderId="0" xfId="0" applyFont="1" applyFill="1" applyBorder="1" applyAlignment="1">
      <alignment horizontal="left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80" fillId="0" borderId="0" xfId="0" applyFont="1" applyFill="1" applyAlignment="1">
      <alignment horizontal="left" vertical="center"/>
    </xf>
    <xf numFmtId="0" fontId="81" fillId="0" borderId="0" xfId="0" applyFont="1" applyFill="1" applyBorder="1" applyAlignment="1">
      <alignment horizontal="left" vertical="center"/>
    </xf>
    <xf numFmtId="49" fontId="10" fillId="0" borderId="33" xfId="0" applyNumberFormat="1" applyFont="1" applyFill="1" applyBorder="1" applyAlignment="1">
      <alignment horizontal="center" vertical="center"/>
    </xf>
    <xf numFmtId="165" fontId="10" fillId="0" borderId="33" xfId="0" applyNumberFormat="1" applyFont="1" applyFill="1" applyBorder="1" applyAlignment="1">
      <alignment vertical="center"/>
    </xf>
    <xf numFmtId="0" fontId="74" fillId="0" borderId="33" xfId="0" applyFont="1" applyFill="1" applyBorder="1" applyAlignment="1">
      <alignment horizontal="center" vertical="center"/>
    </xf>
    <xf numFmtId="0" fontId="82" fillId="0" borderId="13" xfId="0" applyFont="1" applyBorder="1" applyAlignment="1">
      <alignment horizontal="center" vertical="center"/>
    </xf>
    <xf numFmtId="0" fontId="83" fillId="0" borderId="33" xfId="0" applyFont="1" applyFill="1" applyBorder="1" applyAlignment="1">
      <alignment horizontal="center" vertical="center"/>
    </xf>
    <xf numFmtId="0" fontId="83" fillId="0" borderId="13" xfId="0" applyFont="1" applyFill="1" applyBorder="1" applyAlignment="1">
      <alignment horizontal="center" vertical="center"/>
    </xf>
    <xf numFmtId="165" fontId="83" fillId="0" borderId="13" xfId="0" applyNumberFormat="1" applyFont="1" applyFill="1" applyBorder="1" applyAlignment="1">
      <alignment horizontal="center" vertical="center"/>
    </xf>
    <xf numFmtId="0" fontId="83" fillId="0" borderId="13" xfId="0" applyFont="1" applyBorder="1" applyAlignment="1">
      <alignment horizontal="center" vertical="center"/>
    </xf>
    <xf numFmtId="0" fontId="84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49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35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84" fillId="0" borderId="35" xfId="0" applyFont="1" applyBorder="1" applyAlignment="1">
      <alignment horizontal="center" vertical="center"/>
    </xf>
    <xf numFmtId="0" fontId="73" fillId="0" borderId="35" xfId="0" applyFont="1" applyBorder="1" applyAlignment="1">
      <alignment horizontal="center" vertical="center"/>
    </xf>
    <xf numFmtId="0" fontId="50" fillId="0" borderId="3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84" fillId="0" borderId="14" xfId="0" applyFont="1" applyBorder="1" applyAlignment="1">
      <alignment horizontal="center" vertical="center"/>
    </xf>
    <xf numFmtId="0" fontId="73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164" fontId="86" fillId="0" borderId="13" xfId="0" applyNumberFormat="1" applyFont="1" applyFill="1" applyBorder="1" applyAlignment="1">
      <alignment horizontal="center" vertical="center"/>
    </xf>
    <xf numFmtId="164" fontId="10" fillId="0" borderId="3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86" fillId="33" borderId="13" xfId="0" applyNumberFormat="1" applyFont="1" applyFill="1" applyBorder="1" applyAlignment="1">
      <alignment horizontal="center" vertical="center"/>
    </xf>
    <xf numFmtId="164" fontId="87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87" fillId="0" borderId="35" xfId="0" applyNumberFormat="1" applyFont="1" applyFill="1" applyBorder="1" applyAlignment="1">
      <alignment horizontal="center" vertical="center"/>
    </xf>
    <xf numFmtId="164" fontId="87" fillId="0" borderId="1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14" fontId="11" fillId="0" borderId="13" xfId="0" applyNumberFormat="1" applyFont="1" applyFill="1" applyBorder="1" applyAlignment="1">
      <alignment horizontal="center" vertical="center"/>
    </xf>
    <xf numFmtId="0" fontId="6" fillId="34" borderId="33" xfId="0" applyFont="1" applyFill="1" applyBorder="1" applyAlignment="1">
      <alignment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vertical="center" wrapText="1"/>
    </xf>
    <xf numFmtId="0" fontId="89" fillId="44" borderId="14" xfId="0" applyFont="1" applyFill="1" applyBorder="1" applyAlignment="1">
      <alignment horizontal="center" vertical="center"/>
    </xf>
    <xf numFmtId="0" fontId="89" fillId="0" borderId="14" xfId="0" applyFont="1" applyFill="1" applyBorder="1" applyAlignment="1">
      <alignment horizontal="center" vertical="center"/>
    </xf>
    <xf numFmtId="170" fontId="90" fillId="44" borderId="10" xfId="49131" applyNumberFormat="1" applyFont="1" applyFill="1" applyBorder="1" applyAlignment="1">
      <alignment horizontal="center" vertical="center"/>
    </xf>
    <xf numFmtId="170" fontId="90" fillId="0" borderId="10" xfId="49131" applyNumberFormat="1" applyFont="1" applyFill="1" applyBorder="1" applyAlignment="1">
      <alignment horizontal="center" vertical="center"/>
    </xf>
    <xf numFmtId="49" fontId="90" fillId="44" borderId="24" xfId="0" applyNumberFormat="1" applyFont="1" applyFill="1" applyBorder="1" applyAlignment="1">
      <alignment horizontal="center" vertical="center" shrinkToFit="1"/>
    </xf>
    <xf numFmtId="49" fontId="90" fillId="0" borderId="24" xfId="0" applyNumberFormat="1" applyFont="1" applyFill="1" applyBorder="1" applyAlignment="1">
      <alignment horizontal="center" vertical="center" shrinkToFit="1"/>
    </xf>
    <xf numFmtId="0" fontId="0" fillId="44" borderId="33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169" fontId="95" fillId="0" borderId="0" xfId="0" applyNumberFormat="1" applyFont="1" applyFill="1" applyAlignment="1">
      <alignment vertical="center"/>
    </xf>
    <xf numFmtId="169" fontId="96" fillId="0" borderId="0" xfId="0" applyNumberFormat="1" applyFont="1" applyFill="1" applyAlignment="1">
      <alignment vertical="center"/>
    </xf>
    <xf numFmtId="169" fontId="97" fillId="0" borderId="0" xfId="0" applyNumberFormat="1" applyFont="1" applyFill="1" applyAlignment="1">
      <alignment vertical="center"/>
    </xf>
    <xf numFmtId="168" fontId="98" fillId="44" borderId="38" xfId="0" applyNumberFormat="1" applyFont="1" applyFill="1" applyBorder="1" applyAlignment="1">
      <alignment horizontal="center" vertical="center"/>
    </xf>
    <xf numFmtId="168" fontId="90" fillId="44" borderId="38" xfId="0" applyNumberFormat="1" applyFont="1" applyFill="1" applyBorder="1" applyAlignment="1">
      <alignment horizontal="center" vertical="center"/>
    </xf>
    <xf numFmtId="168" fontId="98" fillId="0" borderId="38" xfId="0" applyNumberFormat="1" applyFont="1" applyFill="1" applyBorder="1" applyAlignment="1">
      <alignment horizontal="center" vertical="center"/>
    </xf>
    <xf numFmtId="168" fontId="98" fillId="45" borderId="38" xfId="0" applyNumberFormat="1" applyFont="1" applyFill="1" applyBorder="1" applyAlignment="1">
      <alignment horizontal="center" vertical="center"/>
    </xf>
    <xf numFmtId="168" fontId="90" fillId="0" borderId="38" xfId="0" applyNumberFormat="1" applyFont="1" applyFill="1" applyBorder="1" applyAlignment="1">
      <alignment horizontal="center" vertical="center"/>
    </xf>
    <xf numFmtId="168" fontId="90" fillId="45" borderId="38" xfId="0" applyNumberFormat="1" applyFont="1" applyFill="1" applyBorder="1" applyAlignment="1">
      <alignment horizontal="center" vertical="center"/>
    </xf>
    <xf numFmtId="169" fontId="98" fillId="44" borderId="24" xfId="0" applyNumberFormat="1" applyFont="1" applyFill="1" applyBorder="1" applyAlignment="1">
      <alignment horizontal="center" vertical="center"/>
    </xf>
    <xf numFmtId="169" fontId="98" fillId="0" borderId="24" xfId="0" applyNumberFormat="1" applyFont="1" applyFill="1" applyBorder="1" applyAlignment="1">
      <alignment horizontal="center" vertical="center"/>
    </xf>
    <xf numFmtId="169" fontId="95" fillId="0" borderId="0" xfId="0" applyNumberFormat="1" applyFont="1" applyFill="1" applyAlignment="1">
      <alignment horizontal="left" vertical="center"/>
    </xf>
    <xf numFmtId="169" fontId="98" fillId="44" borderId="35" xfId="0" applyNumberFormat="1" applyFont="1" applyFill="1" applyBorder="1" applyAlignment="1">
      <alignment horizontal="center" vertical="center"/>
    </xf>
    <xf numFmtId="169" fontId="98" fillId="0" borderId="35" xfId="0" applyNumberFormat="1" applyFont="1" applyFill="1" applyBorder="1" applyAlignment="1">
      <alignment horizontal="center" vertical="center"/>
    </xf>
    <xf numFmtId="169" fontId="98" fillId="44" borderId="33" xfId="0" applyNumberFormat="1" applyFont="1" applyFill="1" applyBorder="1" applyAlignment="1">
      <alignment horizontal="center" vertical="center"/>
    </xf>
    <xf numFmtId="169" fontId="98" fillId="0" borderId="33" xfId="0" applyNumberFormat="1" applyFont="1" applyFill="1" applyBorder="1" applyAlignment="1">
      <alignment horizontal="center" vertical="center"/>
    </xf>
    <xf numFmtId="0" fontId="60" fillId="0" borderId="79" xfId="0" applyFont="1" applyFill="1" applyBorder="1" applyAlignment="1">
      <alignment horizontal="left" vertical="center"/>
    </xf>
    <xf numFmtId="0" fontId="59" fillId="0" borderId="79" xfId="0" applyFont="1" applyFill="1" applyBorder="1" applyAlignment="1">
      <alignment horizontal="left" vertical="center"/>
    </xf>
    <xf numFmtId="169" fontId="99" fillId="44" borderId="28" xfId="0" applyNumberFormat="1" applyFont="1" applyFill="1" applyBorder="1" applyAlignment="1">
      <alignment horizontal="center" vertical="center"/>
    </xf>
    <xf numFmtId="169" fontId="100" fillId="44" borderId="28" xfId="0" applyNumberFormat="1" applyFont="1" applyFill="1" applyBorder="1" applyAlignment="1">
      <alignment horizontal="center" vertical="center"/>
    </xf>
    <xf numFmtId="169" fontId="99" fillId="0" borderId="28" xfId="0" applyNumberFormat="1" applyFont="1" applyFill="1" applyBorder="1" applyAlignment="1">
      <alignment horizontal="center" vertical="center"/>
    </xf>
    <xf numFmtId="169" fontId="99" fillId="0" borderId="34" xfId="0" applyNumberFormat="1" applyFont="1" applyFill="1" applyBorder="1" applyAlignment="1">
      <alignment horizontal="center" vertical="center"/>
    </xf>
    <xf numFmtId="169" fontId="99" fillId="0" borderId="33" xfId="0" applyNumberFormat="1" applyFont="1" applyFill="1" applyBorder="1" applyAlignment="1">
      <alignment horizontal="center" vertical="center"/>
    </xf>
    <xf numFmtId="169" fontId="101" fillId="0" borderId="0" xfId="0" applyNumberFormat="1" applyFont="1" applyFill="1" applyAlignment="1">
      <alignment vertical="center"/>
    </xf>
    <xf numFmtId="0" fontId="60" fillId="0" borderId="80" xfId="0" applyFont="1" applyFill="1" applyBorder="1" applyAlignment="1">
      <alignment horizontal="left" vertical="center"/>
    </xf>
    <xf numFmtId="0" fontId="59" fillId="0" borderId="80" xfId="0" applyFont="1" applyFill="1" applyBorder="1" applyAlignment="1">
      <alignment horizontal="left" vertical="center"/>
    </xf>
    <xf numFmtId="169" fontId="99" fillId="44" borderId="13" xfId="0" applyNumberFormat="1" applyFont="1" applyFill="1" applyBorder="1" applyAlignment="1">
      <alignment horizontal="center" vertical="center"/>
    </xf>
    <xf numFmtId="169" fontId="100" fillId="44" borderId="13" xfId="0" applyNumberFormat="1" applyFont="1" applyFill="1" applyBorder="1" applyAlignment="1">
      <alignment horizontal="center" vertical="center"/>
    </xf>
    <xf numFmtId="169" fontId="99" fillId="43" borderId="13" xfId="0" applyNumberFormat="1" applyFont="1" applyFill="1" applyBorder="1" applyAlignment="1">
      <alignment horizontal="center" vertical="center"/>
    </xf>
    <xf numFmtId="169" fontId="99" fillId="0" borderId="13" xfId="0" applyNumberFormat="1" applyFont="1" applyFill="1" applyBorder="1" applyAlignment="1">
      <alignment horizontal="center" vertical="center"/>
    </xf>
    <xf numFmtId="169" fontId="99" fillId="0" borderId="21" xfId="0" applyNumberFormat="1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left" vertical="center"/>
    </xf>
    <xf numFmtId="0" fontId="59" fillId="0" borderId="81" xfId="0" applyFont="1" applyFill="1" applyBorder="1" applyAlignment="1">
      <alignment horizontal="left" vertical="center"/>
    </xf>
    <xf numFmtId="169" fontId="99" fillId="44" borderId="14" xfId="0" applyNumberFormat="1" applyFont="1" applyFill="1" applyBorder="1" applyAlignment="1">
      <alignment horizontal="center" vertical="center"/>
    </xf>
    <xf numFmtId="169" fontId="100" fillId="44" borderId="14" xfId="0" applyNumberFormat="1" applyFont="1" applyFill="1" applyBorder="1" applyAlignment="1">
      <alignment horizontal="center" vertical="center"/>
    </xf>
    <xf numFmtId="169" fontId="99" fillId="0" borderId="14" xfId="0" applyNumberFormat="1" applyFont="1" applyFill="1" applyBorder="1" applyAlignment="1">
      <alignment horizontal="center" vertical="center"/>
    </xf>
    <xf numFmtId="169" fontId="99" fillId="44" borderId="66" xfId="0" applyNumberFormat="1" applyFont="1" applyFill="1" applyBorder="1" applyAlignment="1">
      <alignment horizontal="center" vertical="center"/>
    </xf>
    <xf numFmtId="169" fontId="100" fillId="44" borderId="66" xfId="0" applyNumberFormat="1" applyFont="1" applyFill="1" applyBorder="1" applyAlignment="1">
      <alignment horizontal="center" vertical="center"/>
    </xf>
    <xf numFmtId="169" fontId="99" fillId="0" borderId="66" xfId="0" applyNumberFormat="1" applyFont="1" applyFill="1" applyBorder="1" applyAlignment="1">
      <alignment horizontal="center" vertical="center"/>
    </xf>
    <xf numFmtId="169" fontId="98" fillId="44" borderId="85" xfId="0" applyNumberFormat="1" applyFont="1" applyFill="1" applyBorder="1" applyAlignment="1">
      <alignment horizontal="center" vertical="center"/>
    </xf>
    <xf numFmtId="169" fontId="98" fillId="0" borderId="85" xfId="0" applyNumberFormat="1" applyFont="1" applyFill="1" applyBorder="1" applyAlignment="1">
      <alignment horizontal="center" vertical="center"/>
    </xf>
    <xf numFmtId="169" fontId="95" fillId="0" borderId="0" xfId="0" applyNumberFormat="1" applyFont="1" applyFill="1" applyBorder="1" applyAlignment="1">
      <alignment vertical="center"/>
    </xf>
    <xf numFmtId="169" fontId="98" fillId="44" borderId="87" xfId="0" applyNumberFormat="1" applyFont="1" applyFill="1" applyBorder="1" applyAlignment="1">
      <alignment horizontal="center" vertical="center"/>
    </xf>
    <xf numFmtId="169" fontId="98" fillId="0" borderId="87" xfId="0" applyNumberFormat="1" applyFont="1" applyFill="1" applyBorder="1" applyAlignment="1">
      <alignment horizontal="center" vertical="center"/>
    </xf>
    <xf numFmtId="172" fontId="88" fillId="44" borderId="88" xfId="0" applyNumberFormat="1" applyFont="1" applyFill="1" applyBorder="1" applyAlignment="1">
      <alignment horizontal="center" vertical="center"/>
    </xf>
    <xf numFmtId="172" fontId="88" fillId="0" borderId="88" xfId="0" applyNumberFormat="1" applyFont="1" applyFill="1" applyBorder="1" applyAlignment="1">
      <alignment horizontal="center" vertical="center"/>
    </xf>
    <xf numFmtId="0" fontId="90" fillId="44" borderId="33" xfId="0" applyFont="1" applyFill="1" applyBorder="1" applyAlignment="1">
      <alignment horizontal="center" vertical="center"/>
    </xf>
    <xf numFmtId="0" fontId="90" fillId="0" borderId="33" xfId="0" applyFont="1" applyFill="1" applyBorder="1" applyAlignment="1">
      <alignment horizontal="center" vertical="center"/>
    </xf>
    <xf numFmtId="0" fontId="90" fillId="0" borderId="0" xfId="0" applyFont="1"/>
    <xf numFmtId="0" fontId="98" fillId="44" borderId="14" xfId="0" applyFont="1" applyFill="1" applyBorder="1" applyAlignment="1">
      <alignment horizontal="center" vertical="center"/>
    </xf>
    <xf numFmtId="0" fontId="98" fillId="0" borderId="14" xfId="0" applyFont="1" applyFill="1" applyBorder="1" applyAlignment="1">
      <alignment horizontal="center" vertical="center"/>
    </xf>
    <xf numFmtId="0" fontId="47" fillId="0" borderId="12" xfId="0" applyNumberFormat="1" applyFont="1" applyFill="1" applyBorder="1" applyAlignment="1">
      <alignment horizontal="left" vertical="center"/>
    </xf>
    <xf numFmtId="0" fontId="47" fillId="0" borderId="20" xfId="0" applyNumberFormat="1" applyFont="1" applyFill="1" applyBorder="1" applyAlignment="1">
      <alignment horizontal="left" vertical="center"/>
    </xf>
    <xf numFmtId="168" fontId="90" fillId="46" borderId="38" xfId="0" applyNumberFormat="1" applyFont="1" applyFill="1" applyBorder="1" applyAlignment="1">
      <alignment horizontal="center" vertical="center"/>
    </xf>
    <xf numFmtId="0" fontId="47" fillId="0" borderId="39" xfId="0" applyNumberFormat="1" applyFont="1" applyFill="1" applyBorder="1" applyAlignment="1">
      <alignment horizontal="left" vertical="center"/>
    </xf>
    <xf numFmtId="1" fontId="98" fillId="44" borderId="28" xfId="0" applyNumberFormat="1" applyFont="1" applyFill="1" applyBorder="1" applyAlignment="1">
      <alignment horizontal="center" vertical="center"/>
    </xf>
    <xf numFmtId="1" fontId="90" fillId="44" borderId="28" xfId="0" applyNumberFormat="1" applyFont="1" applyFill="1" applyBorder="1" applyAlignment="1">
      <alignment horizontal="center" vertical="center"/>
    </xf>
    <xf numFmtId="1" fontId="90" fillId="0" borderId="28" xfId="0" applyNumberFormat="1" applyFont="1" applyFill="1" applyBorder="1" applyAlignment="1">
      <alignment horizontal="center" vertical="center"/>
    </xf>
    <xf numFmtId="0" fontId="47" fillId="0" borderId="41" xfId="0" applyNumberFormat="1" applyFont="1" applyFill="1" applyBorder="1" applyAlignment="1">
      <alignment horizontal="left" vertical="center"/>
    </xf>
    <xf numFmtId="1" fontId="98" fillId="44" borderId="13" xfId="0" applyNumberFormat="1" applyFont="1" applyFill="1" applyBorder="1" applyAlignment="1">
      <alignment horizontal="center" vertical="center"/>
    </xf>
    <xf numFmtId="1" fontId="90" fillId="44" borderId="13" xfId="0" applyNumberFormat="1" applyFont="1" applyFill="1" applyBorder="1" applyAlignment="1">
      <alignment horizontal="center" vertical="center"/>
    </xf>
    <xf numFmtId="1" fontId="90" fillId="0" borderId="13" xfId="0" applyNumberFormat="1" applyFont="1" applyFill="1" applyBorder="1" applyAlignment="1">
      <alignment horizontal="center" vertical="center"/>
    </xf>
    <xf numFmtId="169" fontId="47" fillId="0" borderId="42" xfId="0" applyNumberFormat="1" applyFont="1" applyFill="1" applyBorder="1" applyAlignment="1">
      <alignment vertical="center"/>
    </xf>
    <xf numFmtId="169" fontId="98" fillId="44" borderId="14" xfId="0" applyNumberFormat="1" applyFont="1" applyFill="1" applyBorder="1" applyAlignment="1">
      <alignment horizontal="center" vertical="center"/>
    </xf>
    <xf numFmtId="169" fontId="98" fillId="0" borderId="14" xfId="0" applyNumberFormat="1" applyFont="1" applyFill="1" applyBorder="1" applyAlignment="1">
      <alignment horizontal="center" vertical="center"/>
    </xf>
    <xf numFmtId="0" fontId="47" fillId="0" borderId="43" xfId="49131" applyNumberFormat="1" applyFont="1" applyFill="1" applyBorder="1" applyAlignment="1">
      <alignment vertical="center"/>
    </xf>
    <xf numFmtId="169" fontId="47" fillId="0" borderId="22" xfId="0" applyNumberFormat="1" applyFont="1" applyFill="1" applyBorder="1" applyAlignment="1">
      <alignment horizontal="left" vertical="center"/>
    </xf>
    <xf numFmtId="169" fontId="47" fillId="0" borderId="23" xfId="0" applyNumberFormat="1" applyFont="1" applyFill="1" applyBorder="1" applyAlignment="1">
      <alignment horizontal="left" vertical="center"/>
    </xf>
    <xf numFmtId="169" fontId="47" fillId="0" borderId="45" xfId="0" applyNumberFormat="1" applyFont="1" applyFill="1" applyBorder="1" applyAlignment="1">
      <alignment vertical="center"/>
    </xf>
    <xf numFmtId="169" fontId="99" fillId="44" borderId="33" xfId="0" applyNumberFormat="1" applyFont="1" applyFill="1" applyBorder="1" applyAlignment="1">
      <alignment horizontal="center" vertical="center"/>
    </xf>
    <xf numFmtId="169" fontId="100" fillId="44" borderId="33" xfId="0" applyNumberFormat="1" applyFont="1" applyFill="1" applyBorder="1" applyAlignment="1">
      <alignment horizontal="center" vertical="center"/>
    </xf>
    <xf numFmtId="169" fontId="47" fillId="0" borderId="20" xfId="0" applyNumberFormat="1" applyFont="1" applyFill="1" applyBorder="1" applyAlignment="1">
      <alignment vertical="center"/>
    </xf>
    <xf numFmtId="169" fontId="99" fillId="44" borderId="10" xfId="0" applyNumberFormat="1" applyFont="1" applyFill="1" applyBorder="1" applyAlignment="1">
      <alignment horizontal="center" vertical="center"/>
    </xf>
    <xf numFmtId="169" fontId="100" fillId="44" borderId="10" xfId="0" applyNumberFormat="1" applyFont="1" applyFill="1" applyBorder="1" applyAlignment="1">
      <alignment horizontal="center" vertical="center"/>
    </xf>
    <xf numFmtId="169" fontId="99" fillId="0" borderId="10" xfId="0" applyNumberFormat="1" applyFont="1" applyFill="1" applyBorder="1" applyAlignment="1">
      <alignment horizontal="center" vertical="center"/>
    </xf>
    <xf numFmtId="169" fontId="104" fillId="0" borderId="48" xfId="0" applyNumberFormat="1" applyFont="1" applyFill="1" applyBorder="1" applyAlignment="1">
      <alignment vertical="center"/>
    </xf>
    <xf numFmtId="169" fontId="99" fillId="44" borderId="21" xfId="0" applyNumberFormat="1" applyFont="1" applyFill="1" applyBorder="1" applyAlignment="1">
      <alignment horizontal="center" vertical="center"/>
    </xf>
    <xf numFmtId="169" fontId="100" fillId="44" borderId="21" xfId="0" applyNumberFormat="1" applyFont="1" applyFill="1" applyBorder="1" applyAlignment="1">
      <alignment horizontal="center" vertical="center"/>
    </xf>
    <xf numFmtId="0" fontId="47" fillId="0" borderId="49" xfId="49131" applyNumberFormat="1" applyFont="1" applyFill="1" applyBorder="1" applyAlignment="1">
      <alignment horizontal="left" vertical="center"/>
    </xf>
    <xf numFmtId="0" fontId="90" fillId="44" borderId="35" xfId="49131" applyNumberFormat="1" applyFont="1" applyFill="1" applyBorder="1" applyAlignment="1">
      <alignment horizontal="center" vertical="center"/>
    </xf>
    <xf numFmtId="0" fontId="90" fillId="44" borderId="50" xfId="49131" applyNumberFormat="1" applyFont="1" applyFill="1" applyBorder="1" applyAlignment="1">
      <alignment horizontal="center" vertical="center"/>
    </xf>
    <xf numFmtId="0" fontId="90" fillId="0" borderId="35" xfId="49131" applyNumberFormat="1" applyFont="1" applyFill="1" applyBorder="1" applyAlignment="1">
      <alignment horizontal="center" vertical="center"/>
    </xf>
    <xf numFmtId="0" fontId="98" fillId="0" borderId="35" xfId="49131" applyNumberFormat="1" applyFont="1" applyFill="1" applyBorder="1" applyAlignment="1">
      <alignment horizontal="center" vertical="center"/>
    </xf>
    <xf numFmtId="0" fontId="98" fillId="0" borderId="51" xfId="49131" applyNumberFormat="1" applyFont="1" applyFill="1" applyBorder="1" applyAlignment="1">
      <alignment horizontal="center" vertical="center"/>
    </xf>
    <xf numFmtId="0" fontId="98" fillId="44" borderId="51" xfId="49131" applyNumberFormat="1" applyFont="1" applyFill="1" applyBorder="1" applyAlignment="1">
      <alignment horizontal="center" vertical="center"/>
    </xf>
    <xf numFmtId="0" fontId="98" fillId="0" borderId="52" xfId="49131" applyNumberFormat="1" applyFont="1" applyFill="1" applyBorder="1" applyAlignment="1">
      <alignment horizontal="center" vertical="center"/>
    </xf>
    <xf numFmtId="0" fontId="47" fillId="0" borderId="54" xfId="49131" applyNumberFormat="1" applyFont="1" applyFill="1" applyBorder="1" applyAlignment="1">
      <alignment horizontal="left" vertical="center"/>
    </xf>
    <xf numFmtId="38" fontId="90" fillId="44" borderId="55" xfId="49131" applyNumberFormat="1" applyFont="1" applyFill="1" applyBorder="1" applyAlignment="1">
      <alignment horizontal="center" vertical="center"/>
    </xf>
    <xf numFmtId="38" fontId="90" fillId="44" borderId="56" xfId="49131" applyNumberFormat="1" applyFont="1" applyFill="1" applyBorder="1" applyAlignment="1">
      <alignment horizontal="center" vertical="center"/>
    </xf>
    <xf numFmtId="38" fontId="90" fillId="0" borderId="55" xfId="49131" applyNumberFormat="1" applyFont="1" applyFill="1" applyBorder="1" applyAlignment="1">
      <alignment horizontal="center" vertical="center"/>
    </xf>
    <xf numFmtId="38" fontId="98" fillId="0" borderId="55" xfId="49131" applyNumberFormat="1" applyFont="1" applyFill="1" applyBorder="1" applyAlignment="1">
      <alignment horizontal="center" vertical="center"/>
    </xf>
    <xf numFmtId="38" fontId="98" fillId="0" borderId="57" xfId="49131" applyNumberFormat="1" applyFont="1" applyFill="1" applyBorder="1" applyAlignment="1">
      <alignment horizontal="center" vertical="center"/>
    </xf>
    <xf numFmtId="38" fontId="98" fillId="44" borderId="57" xfId="49131" applyNumberFormat="1" applyFont="1" applyFill="1" applyBorder="1" applyAlignment="1">
      <alignment horizontal="center" vertical="center"/>
    </xf>
    <xf numFmtId="38" fontId="98" fillId="0" borderId="58" xfId="49131" applyNumberFormat="1" applyFont="1" applyFill="1" applyBorder="1" applyAlignment="1">
      <alignment horizontal="center" vertical="center"/>
    </xf>
    <xf numFmtId="0" fontId="47" fillId="0" borderId="42" xfId="49131" applyNumberFormat="1" applyFont="1" applyFill="1" applyBorder="1" applyAlignment="1">
      <alignment horizontal="left" vertical="center"/>
    </xf>
    <xf numFmtId="38" fontId="90" fillId="44" borderId="34" xfId="49131" applyNumberFormat="1" applyFont="1" applyFill="1" applyBorder="1" applyAlignment="1">
      <alignment horizontal="center" vertical="center"/>
    </xf>
    <xf numFmtId="38" fontId="90" fillId="44" borderId="60" xfId="49131" applyNumberFormat="1" applyFont="1" applyFill="1" applyBorder="1" applyAlignment="1">
      <alignment horizontal="center" vertical="center"/>
    </xf>
    <xf numFmtId="38" fontId="90" fillId="0" borderId="34" xfId="49131" applyNumberFormat="1" applyFont="1" applyFill="1" applyBorder="1" applyAlignment="1">
      <alignment horizontal="center" vertical="center"/>
    </xf>
    <xf numFmtId="38" fontId="98" fillId="0" borderId="34" xfId="49131" applyNumberFormat="1" applyFont="1" applyFill="1" applyBorder="1" applyAlignment="1">
      <alignment horizontal="center" vertical="center"/>
    </xf>
    <xf numFmtId="38" fontId="98" fillId="0" borderId="61" xfId="49131" applyNumberFormat="1" applyFont="1" applyFill="1" applyBorder="1" applyAlignment="1">
      <alignment horizontal="center" vertical="center"/>
    </xf>
    <xf numFmtId="38" fontId="98" fillId="44" borderId="61" xfId="49131" applyNumberFormat="1" applyFont="1" applyFill="1" applyBorder="1" applyAlignment="1">
      <alignment horizontal="center" vertical="center"/>
    </xf>
    <xf numFmtId="38" fontId="98" fillId="0" borderId="62" xfId="49131" applyNumberFormat="1" applyFont="1" applyFill="1" applyBorder="1" applyAlignment="1">
      <alignment horizontal="center" vertical="center"/>
    </xf>
    <xf numFmtId="38" fontId="90" fillId="44" borderId="35" xfId="49131" applyNumberFormat="1" applyFont="1" applyFill="1" applyBorder="1" applyAlignment="1">
      <alignment horizontal="center" vertical="center"/>
    </xf>
    <xf numFmtId="38" fontId="90" fillId="44" borderId="50" xfId="49131" applyNumberFormat="1" applyFont="1" applyFill="1" applyBorder="1" applyAlignment="1">
      <alignment horizontal="center" vertical="center"/>
    </xf>
    <xf numFmtId="38" fontId="90" fillId="0" borderId="35" xfId="49131" applyNumberFormat="1" applyFont="1" applyFill="1" applyBorder="1" applyAlignment="1">
      <alignment horizontal="center" vertical="center"/>
    </xf>
    <xf numFmtId="38" fontId="98" fillId="0" borderId="35" xfId="49131" applyNumberFormat="1" applyFont="1" applyFill="1" applyBorder="1" applyAlignment="1">
      <alignment horizontal="center" vertical="center"/>
    </xf>
    <xf numFmtId="38" fontId="98" fillId="0" borderId="51" xfId="49131" applyNumberFormat="1" applyFont="1" applyFill="1" applyBorder="1" applyAlignment="1">
      <alignment horizontal="center" vertical="center"/>
    </xf>
    <xf numFmtId="38" fontId="98" fillId="44" borderId="51" xfId="49131" applyNumberFormat="1" applyFont="1" applyFill="1" applyBorder="1" applyAlignment="1">
      <alignment horizontal="center" vertical="center"/>
    </xf>
    <xf numFmtId="38" fontId="98" fillId="0" borderId="63" xfId="49131" applyNumberFormat="1" applyFont="1" applyFill="1" applyBorder="1" applyAlignment="1">
      <alignment horizontal="center" vertical="center"/>
    </xf>
    <xf numFmtId="169" fontId="60" fillId="0" borderId="65" xfId="0" applyNumberFormat="1" applyFont="1" applyFill="1" applyBorder="1" applyAlignment="1">
      <alignment vertical="center"/>
    </xf>
    <xf numFmtId="171" fontId="60" fillId="44" borderId="66" xfId="49131" applyNumberFormat="1" applyFont="1" applyFill="1" applyBorder="1" applyAlignment="1">
      <alignment horizontal="center" vertical="center"/>
    </xf>
    <xf numFmtId="171" fontId="60" fillId="0" borderId="66" xfId="49131" applyNumberFormat="1" applyFont="1" applyFill="1" applyBorder="1" applyAlignment="1">
      <alignment horizontal="center" vertical="center"/>
    </xf>
    <xf numFmtId="171" fontId="60" fillId="0" borderId="67" xfId="49131" applyNumberFormat="1" applyFont="1" applyFill="1" applyBorder="1" applyAlignment="1">
      <alignment horizontal="center" vertical="center"/>
    </xf>
    <xf numFmtId="171" fontId="60" fillId="44" borderId="67" xfId="49131" applyNumberFormat="1" applyFont="1" applyFill="1" applyBorder="1" applyAlignment="1">
      <alignment horizontal="center" vertical="center"/>
    </xf>
    <xf numFmtId="171" fontId="60" fillId="0" borderId="68" xfId="49131" applyNumberFormat="1" applyFont="1" applyFill="1" applyBorder="1" applyAlignment="1">
      <alignment horizontal="center" vertical="center"/>
    </xf>
    <xf numFmtId="172" fontId="60" fillId="44" borderId="70" xfId="49131" applyNumberFormat="1" applyFont="1" applyFill="1" applyBorder="1" applyAlignment="1">
      <alignment horizontal="center" vertical="center"/>
    </xf>
    <xf numFmtId="172" fontId="60" fillId="0" borderId="70" xfId="49131" applyNumberFormat="1" applyFont="1" applyFill="1" applyBorder="1" applyAlignment="1">
      <alignment horizontal="center" vertical="center"/>
    </xf>
    <xf numFmtId="172" fontId="60" fillId="44" borderId="71" xfId="49131" applyNumberFormat="1" applyFont="1" applyFill="1" applyBorder="1" applyAlignment="1">
      <alignment horizontal="center" vertical="center"/>
    </xf>
    <xf numFmtId="172" fontId="60" fillId="0" borderId="71" xfId="49131" applyNumberFormat="1" applyFont="1" applyFill="1" applyBorder="1" applyAlignment="1">
      <alignment horizontal="center" vertical="center"/>
    </xf>
    <xf numFmtId="172" fontId="60" fillId="44" borderId="72" xfId="49131" applyNumberFormat="1" applyFont="1" applyFill="1" applyBorder="1" applyAlignment="1">
      <alignment horizontal="center" vertical="center"/>
    </xf>
    <xf numFmtId="172" fontId="60" fillId="0" borderId="72" xfId="49131" applyNumberFormat="1" applyFont="1" applyFill="1" applyBorder="1" applyAlignment="1">
      <alignment horizontal="center" vertical="center"/>
    </xf>
    <xf numFmtId="169" fontId="60" fillId="0" borderId="73" xfId="0" applyNumberFormat="1" applyFont="1" applyFill="1" applyBorder="1" applyAlignment="1">
      <alignment vertical="center"/>
    </xf>
    <xf numFmtId="172" fontId="100" fillId="44" borderId="24" xfId="0" applyNumberFormat="1" applyFont="1" applyFill="1" applyBorder="1" applyAlignment="1">
      <alignment horizontal="center" vertical="center"/>
    </xf>
    <xf numFmtId="172" fontId="100" fillId="0" borderId="24" xfId="0" applyNumberFormat="1" applyFont="1" applyFill="1" applyBorder="1" applyAlignment="1">
      <alignment horizontal="center" vertical="center"/>
    </xf>
    <xf numFmtId="0" fontId="0" fillId="48" borderId="33" xfId="0" applyFont="1" applyFill="1" applyBorder="1" applyAlignment="1">
      <alignment horizontal="center" vertical="center"/>
    </xf>
    <xf numFmtId="0" fontId="0" fillId="33" borderId="33" xfId="0" applyFont="1" applyFill="1" applyBorder="1" applyAlignment="1">
      <alignment horizontal="center" vertical="center"/>
    </xf>
    <xf numFmtId="169" fontId="99" fillId="33" borderId="28" xfId="0" applyNumberFormat="1" applyFont="1" applyFill="1" applyBorder="1" applyAlignment="1">
      <alignment horizontal="center" vertical="center"/>
    </xf>
    <xf numFmtId="169" fontId="99" fillId="47" borderId="28" xfId="0" applyNumberFormat="1" applyFont="1" applyFill="1" applyBorder="1" applyAlignment="1">
      <alignment horizontal="center" vertical="center"/>
    </xf>
    <xf numFmtId="169" fontId="99" fillId="33" borderId="3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0" fillId="47" borderId="33" xfId="0" applyFill="1" applyBorder="1" applyAlignment="1">
      <alignment horizontal="center" vertical="center"/>
    </xf>
    <xf numFmtId="0" fontId="89" fillId="47" borderId="14" xfId="0" applyFont="1" applyFill="1" applyBorder="1" applyAlignment="1">
      <alignment horizontal="center" vertical="center"/>
    </xf>
    <xf numFmtId="168" fontId="98" fillId="46" borderId="38" xfId="0" applyNumberFormat="1" applyFont="1" applyFill="1" applyBorder="1" applyAlignment="1">
      <alignment horizontal="center" vertical="center"/>
    </xf>
    <xf numFmtId="168" fontId="90" fillId="47" borderId="38" xfId="0" applyNumberFormat="1" applyFont="1" applyFill="1" applyBorder="1" applyAlignment="1">
      <alignment horizontal="center" vertical="center"/>
    </xf>
    <xf numFmtId="169" fontId="98" fillId="47" borderId="24" xfId="0" applyNumberFormat="1" applyFont="1" applyFill="1" applyBorder="1" applyAlignment="1">
      <alignment horizontal="center" vertical="center"/>
    </xf>
    <xf numFmtId="169" fontId="98" fillId="47" borderId="35" xfId="0" applyNumberFormat="1" applyFont="1" applyFill="1" applyBorder="1" applyAlignment="1">
      <alignment horizontal="center" vertical="center"/>
    </xf>
    <xf numFmtId="169" fontId="98" fillId="47" borderId="33" xfId="0" applyNumberFormat="1" applyFont="1" applyFill="1" applyBorder="1" applyAlignment="1">
      <alignment horizontal="center" vertical="center"/>
    </xf>
    <xf numFmtId="169" fontId="99" fillId="47" borderId="13" xfId="0" applyNumberFormat="1" applyFont="1" applyFill="1" applyBorder="1" applyAlignment="1">
      <alignment horizontal="center" vertical="center"/>
    </xf>
    <xf numFmtId="169" fontId="99" fillId="47" borderId="14" xfId="0" applyNumberFormat="1" applyFont="1" applyFill="1" applyBorder="1" applyAlignment="1">
      <alignment horizontal="center" vertical="center"/>
    </xf>
    <xf numFmtId="169" fontId="99" fillId="47" borderId="66" xfId="0" applyNumberFormat="1" applyFont="1" applyFill="1" applyBorder="1" applyAlignment="1">
      <alignment horizontal="center" vertical="center"/>
    </xf>
    <xf numFmtId="169" fontId="98" fillId="47" borderId="85" xfId="0" applyNumberFormat="1" applyFont="1" applyFill="1" applyBorder="1" applyAlignment="1">
      <alignment horizontal="center" vertical="center"/>
    </xf>
    <xf numFmtId="169" fontId="98" fillId="47" borderId="87" xfId="0" applyNumberFormat="1" applyFont="1" applyFill="1" applyBorder="1" applyAlignment="1">
      <alignment horizontal="center" vertical="center"/>
    </xf>
    <xf numFmtId="172" fontId="88" fillId="47" borderId="88" xfId="0" applyNumberFormat="1" applyFont="1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105" fillId="45" borderId="38" xfId="0" applyNumberFormat="1" applyFont="1" applyFill="1" applyBorder="1" applyAlignment="1">
      <alignment horizontal="center" vertical="center"/>
    </xf>
    <xf numFmtId="168" fontId="105" fillId="46" borderId="38" xfId="0" applyNumberFormat="1" applyFont="1" applyFill="1" applyBorder="1" applyAlignment="1">
      <alignment horizontal="center" vertical="center"/>
    </xf>
    <xf numFmtId="168" fontId="105" fillId="44" borderId="38" xfId="0" applyNumberFormat="1" applyFont="1" applyFill="1" applyBorder="1" applyAlignment="1">
      <alignment horizontal="center" vertical="center"/>
    </xf>
    <xf numFmtId="168" fontId="105" fillId="0" borderId="38" xfId="0" applyNumberFormat="1" applyFont="1" applyFill="1" applyBorder="1" applyAlignment="1">
      <alignment horizontal="center" vertical="center"/>
    </xf>
    <xf numFmtId="169" fontId="106" fillId="0" borderId="0" xfId="0" applyNumberFormat="1" applyFont="1" applyFill="1" applyAlignment="1">
      <alignment vertical="center"/>
    </xf>
    <xf numFmtId="173" fontId="107" fillId="0" borderId="0" xfId="0" applyNumberFormat="1" applyFont="1" applyFill="1" applyAlignment="1">
      <alignment vertical="center"/>
    </xf>
    <xf numFmtId="169" fontId="107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108" fillId="0" borderId="28" xfId="0" applyNumberFormat="1" applyFont="1" applyFill="1" applyBorder="1" applyAlignment="1">
      <alignment horizontal="center" vertical="center"/>
    </xf>
    <xf numFmtId="1" fontId="105" fillId="0" borderId="28" xfId="0" applyNumberFormat="1" applyFont="1" applyFill="1" applyBorder="1" applyAlignment="1">
      <alignment horizontal="center" vertical="center"/>
    </xf>
    <xf numFmtId="1" fontId="105" fillId="44" borderId="28" xfId="0" applyNumberFormat="1" applyFont="1" applyFill="1" applyBorder="1" applyAlignment="1">
      <alignment horizontal="center" vertical="center"/>
    </xf>
    <xf numFmtId="1" fontId="108" fillId="44" borderId="28" xfId="0" applyNumberFormat="1" applyFont="1" applyFill="1" applyBorder="1" applyAlignment="1">
      <alignment horizontal="center" vertical="center"/>
    </xf>
    <xf numFmtId="174" fontId="109" fillId="0" borderId="0" xfId="0" applyNumberFormat="1" applyFont="1" applyFill="1" applyAlignment="1">
      <alignment vertical="center"/>
    </xf>
    <xf numFmtId="169" fontId="110" fillId="0" borderId="0" xfId="0" applyNumberFormat="1" applyFont="1" applyFill="1" applyAlignment="1">
      <alignment horizontal="left" vertical="center"/>
    </xf>
    <xf numFmtId="169" fontId="106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108" fillId="0" borderId="13" xfId="0" applyNumberFormat="1" applyFont="1" applyFill="1" applyBorder="1" applyAlignment="1">
      <alignment horizontal="center" vertical="center"/>
    </xf>
    <xf numFmtId="1" fontId="105" fillId="0" borderId="13" xfId="0" applyNumberFormat="1" applyFont="1" applyFill="1" applyBorder="1" applyAlignment="1">
      <alignment horizontal="center" vertical="center"/>
    </xf>
    <xf numFmtId="1" fontId="105" fillId="44" borderId="13" xfId="0" applyNumberFormat="1" applyFont="1" applyFill="1" applyBorder="1" applyAlignment="1">
      <alignment horizontal="center" vertical="center"/>
    </xf>
    <xf numFmtId="1" fontId="108" fillId="44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108" fillId="0" borderId="14" xfId="0" applyNumberFormat="1" applyFont="1" applyFill="1" applyBorder="1" applyAlignment="1">
      <alignment horizontal="center" vertical="center"/>
    </xf>
    <xf numFmtId="169" fontId="108" fillId="44" borderId="14" xfId="0" applyNumberFormat="1" applyFont="1" applyFill="1" applyBorder="1" applyAlignment="1">
      <alignment horizontal="center" vertical="center"/>
    </xf>
    <xf numFmtId="174" fontId="111" fillId="0" borderId="0" xfId="0" applyNumberFormat="1" applyFont="1" applyFill="1" applyAlignment="1">
      <alignment vertical="center"/>
    </xf>
    <xf numFmtId="0" fontId="46" fillId="0" borderId="43" xfId="49131" applyNumberFormat="1" applyFont="1" applyFill="1" applyBorder="1" applyAlignment="1">
      <alignment vertical="center"/>
    </xf>
    <xf numFmtId="170" fontId="105" fillId="0" borderId="0" xfId="49131" applyNumberFormat="1" applyFont="1" applyFill="1" applyAlignment="1">
      <alignment vertical="center"/>
    </xf>
    <xf numFmtId="174" fontId="109" fillId="0" borderId="0" xfId="49131" applyNumberFormat="1" applyFont="1" applyFill="1" applyAlignment="1">
      <alignment vertical="center"/>
    </xf>
    <xf numFmtId="170" fontId="110" fillId="0" borderId="0" xfId="49131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12" fillId="0" borderId="33" xfId="0" applyNumberFormat="1" applyFont="1" applyFill="1" applyBorder="1" applyAlignment="1">
      <alignment horizontal="center" vertical="center"/>
    </xf>
    <xf numFmtId="169" fontId="112" fillId="44" borderId="33" xfId="0" applyNumberFormat="1" applyFont="1" applyFill="1" applyBorder="1" applyAlignment="1">
      <alignment horizontal="center" vertical="center"/>
    </xf>
    <xf numFmtId="169" fontId="113" fillId="0" borderId="0" xfId="0" applyNumberFormat="1" applyFont="1" applyFill="1" applyAlignment="1">
      <alignment vertical="center"/>
    </xf>
    <xf numFmtId="174" fontId="114" fillId="0" borderId="0" xfId="0" applyNumberFormat="1" applyFont="1" applyFill="1" applyAlignment="1">
      <alignment vertical="center"/>
    </xf>
    <xf numFmtId="169" fontId="90" fillId="0" borderId="0" xfId="0" applyNumberFormat="1" applyFont="1" applyFill="1" applyAlignment="1">
      <alignment horizontal="left" vertical="center"/>
    </xf>
    <xf numFmtId="169" fontId="46" fillId="0" borderId="20" xfId="0" applyNumberFormat="1" applyFont="1" applyFill="1" applyBorder="1" applyAlignment="1">
      <alignment vertical="center"/>
    </xf>
    <xf numFmtId="169" fontId="112" fillId="0" borderId="10" xfId="0" applyNumberFormat="1" applyFont="1" applyFill="1" applyBorder="1" applyAlignment="1">
      <alignment horizontal="center" vertical="center"/>
    </xf>
    <xf numFmtId="169" fontId="112" fillId="44" borderId="10" xfId="0" applyNumberFormat="1" applyFont="1" applyFill="1" applyBorder="1" applyAlignment="1">
      <alignment horizontal="center" vertical="center"/>
    </xf>
    <xf numFmtId="169" fontId="115" fillId="0" borderId="48" xfId="0" applyNumberFormat="1" applyFont="1" applyFill="1" applyBorder="1" applyAlignment="1">
      <alignment vertical="center"/>
    </xf>
    <xf numFmtId="169" fontId="112" fillId="0" borderId="21" xfId="0" applyNumberFormat="1" applyFont="1" applyFill="1" applyBorder="1" applyAlignment="1">
      <alignment horizontal="center" vertical="center"/>
    </xf>
    <xf numFmtId="169" fontId="112" fillId="44" borderId="21" xfId="0" applyNumberFormat="1" applyFont="1" applyFill="1" applyBorder="1" applyAlignment="1">
      <alignment horizontal="center" vertical="center"/>
    </xf>
    <xf numFmtId="0" fontId="46" fillId="0" borderId="49" xfId="49131" applyNumberFormat="1" applyFont="1" applyFill="1" applyBorder="1" applyAlignment="1">
      <alignment horizontal="left" vertical="center"/>
    </xf>
    <xf numFmtId="0" fontId="105" fillId="0" borderId="35" xfId="49131" applyNumberFormat="1" applyFont="1" applyFill="1" applyBorder="1" applyAlignment="1">
      <alignment horizontal="center" vertical="center"/>
    </xf>
    <xf numFmtId="0" fontId="105" fillId="44" borderId="35" xfId="49131" applyNumberFormat="1" applyFont="1" applyFill="1" applyBorder="1" applyAlignment="1">
      <alignment horizontal="center" vertical="center"/>
    </xf>
    <xf numFmtId="0" fontId="105" fillId="44" borderId="50" xfId="49131" applyNumberFormat="1" applyFont="1" applyFill="1" applyBorder="1" applyAlignment="1">
      <alignment horizontal="center" vertical="center"/>
    </xf>
    <xf numFmtId="0" fontId="108" fillId="0" borderId="35" xfId="49131" applyNumberFormat="1" applyFont="1" applyFill="1" applyBorder="1" applyAlignment="1">
      <alignment horizontal="center" vertical="center"/>
    </xf>
    <xf numFmtId="0" fontId="108" fillId="0" borderId="51" xfId="49131" applyNumberFormat="1" applyFont="1" applyFill="1" applyBorder="1" applyAlignment="1">
      <alignment horizontal="center" vertical="center"/>
    </xf>
    <xf numFmtId="0" fontId="108" fillId="44" borderId="52" xfId="49131" applyNumberFormat="1" applyFont="1" applyFill="1" applyBorder="1" applyAlignment="1">
      <alignment horizontal="center" vertical="center"/>
    </xf>
    <xf numFmtId="170" fontId="90" fillId="0" borderId="0" xfId="49131" applyNumberFormat="1" applyFont="1" applyFill="1" applyAlignment="1">
      <alignment vertical="center"/>
    </xf>
    <xf numFmtId="174" fontId="109" fillId="0" borderId="89" xfId="49131" applyNumberFormat="1" applyFont="1" applyFill="1" applyBorder="1" applyAlignment="1">
      <alignment vertical="center"/>
    </xf>
    <xf numFmtId="170" fontId="47" fillId="0" borderId="0" xfId="49131" applyNumberFormat="1" applyFont="1" applyFill="1" applyAlignment="1">
      <alignment horizontal="left" vertical="center"/>
    </xf>
    <xf numFmtId="0" fontId="46" fillId="0" borderId="54" xfId="49131" applyNumberFormat="1" applyFont="1" applyFill="1" applyBorder="1" applyAlignment="1">
      <alignment horizontal="left" vertical="center"/>
    </xf>
    <xf numFmtId="38" fontId="105" fillId="0" borderId="55" xfId="49131" applyNumberFormat="1" applyFont="1" applyFill="1" applyBorder="1" applyAlignment="1">
      <alignment horizontal="center" vertical="center"/>
    </xf>
    <xf numFmtId="38" fontId="105" fillId="44" borderId="55" xfId="49131" applyNumberFormat="1" applyFont="1" applyFill="1" applyBorder="1" applyAlignment="1">
      <alignment horizontal="center" vertical="center"/>
    </xf>
    <xf numFmtId="38" fontId="105" fillId="44" borderId="56" xfId="49131" applyNumberFormat="1" applyFont="1" applyFill="1" applyBorder="1" applyAlignment="1">
      <alignment horizontal="center" vertical="center"/>
    </xf>
    <xf numFmtId="38" fontId="108" fillId="0" borderId="55" xfId="49131" applyNumberFormat="1" applyFont="1" applyFill="1" applyBorder="1" applyAlignment="1">
      <alignment horizontal="center" vertical="center"/>
    </xf>
    <xf numFmtId="38" fontId="108" fillId="0" borderId="57" xfId="49131" applyNumberFormat="1" applyFont="1" applyFill="1" applyBorder="1" applyAlignment="1">
      <alignment horizontal="center" vertical="center"/>
    </xf>
    <xf numFmtId="38" fontId="108" fillId="44" borderId="58" xfId="49131" applyNumberFormat="1" applyFont="1" applyFill="1" applyBorder="1" applyAlignment="1">
      <alignment horizontal="center" vertical="center"/>
    </xf>
    <xf numFmtId="174" fontId="109" fillId="0" borderId="0" xfId="49131" applyNumberFormat="1" applyFont="1" applyFill="1" applyBorder="1" applyAlignment="1">
      <alignment vertical="center"/>
    </xf>
    <xf numFmtId="0" fontId="46" fillId="0" borderId="42" xfId="49131" applyNumberFormat="1" applyFont="1" applyFill="1" applyBorder="1" applyAlignment="1">
      <alignment horizontal="left" vertical="center"/>
    </xf>
    <xf numFmtId="38" fontId="105" fillId="0" borderId="34" xfId="49131" applyNumberFormat="1" applyFont="1" applyFill="1" applyBorder="1" applyAlignment="1">
      <alignment horizontal="center" vertical="center"/>
    </xf>
    <xf numFmtId="38" fontId="105" fillId="44" borderId="34" xfId="49131" applyNumberFormat="1" applyFont="1" applyFill="1" applyBorder="1" applyAlignment="1">
      <alignment horizontal="center" vertical="center"/>
    </xf>
    <xf numFmtId="38" fontId="105" fillId="44" borderId="60" xfId="49131" applyNumberFormat="1" applyFont="1" applyFill="1" applyBorder="1" applyAlignment="1">
      <alignment horizontal="center" vertical="center"/>
    </xf>
    <xf numFmtId="38" fontId="108" fillId="0" borderId="34" xfId="49131" applyNumberFormat="1" applyFont="1" applyFill="1" applyBorder="1" applyAlignment="1">
      <alignment horizontal="center" vertical="center"/>
    </xf>
    <xf numFmtId="38" fontId="108" fillId="0" borderId="61" xfId="49131" applyNumberFormat="1" applyFont="1" applyFill="1" applyBorder="1" applyAlignment="1">
      <alignment horizontal="center" vertical="center"/>
    </xf>
    <xf numFmtId="38" fontId="108" fillId="44" borderId="62" xfId="49131" applyNumberFormat="1" applyFont="1" applyFill="1" applyBorder="1" applyAlignment="1">
      <alignment horizontal="center" vertical="center"/>
    </xf>
    <xf numFmtId="38" fontId="105" fillId="0" borderId="35" xfId="49131" applyNumberFormat="1" applyFont="1" applyFill="1" applyBorder="1" applyAlignment="1">
      <alignment horizontal="center" vertical="center"/>
    </xf>
    <xf numFmtId="38" fontId="105" fillId="44" borderId="35" xfId="49131" applyNumberFormat="1" applyFont="1" applyFill="1" applyBorder="1" applyAlignment="1">
      <alignment horizontal="center" vertical="center"/>
    </xf>
    <xf numFmtId="38" fontId="105" fillId="44" borderId="50" xfId="49131" applyNumberFormat="1" applyFont="1" applyFill="1" applyBorder="1" applyAlignment="1">
      <alignment horizontal="center" vertical="center"/>
    </xf>
    <xf numFmtId="38" fontId="108" fillId="0" borderId="35" xfId="49131" applyNumberFormat="1" applyFont="1" applyFill="1" applyBorder="1" applyAlignment="1">
      <alignment horizontal="center" vertical="center"/>
    </xf>
    <xf numFmtId="38" fontId="108" fillId="0" borderId="51" xfId="49131" applyNumberFormat="1" applyFont="1" applyFill="1" applyBorder="1" applyAlignment="1">
      <alignment horizontal="center" vertical="center"/>
    </xf>
    <xf numFmtId="38" fontId="108" fillId="44" borderId="63" xfId="49131" applyNumberFormat="1" applyFont="1" applyFill="1" applyBorder="1" applyAlignment="1">
      <alignment horizontal="center" vertical="center"/>
    </xf>
    <xf numFmtId="169" fontId="59" fillId="0" borderId="65" xfId="0" applyNumberFormat="1" applyFont="1" applyFill="1" applyBorder="1" applyAlignment="1">
      <alignment vertical="center"/>
    </xf>
    <xf numFmtId="171" fontId="59" fillId="0" borderId="66" xfId="49131" applyNumberFormat="1" applyFont="1" applyFill="1" applyBorder="1" applyAlignment="1">
      <alignment horizontal="center" vertical="center"/>
    </xf>
    <xf numFmtId="171" fontId="59" fillId="44" borderId="66" xfId="49131" applyNumberFormat="1" applyFont="1" applyFill="1" applyBorder="1" applyAlignment="1">
      <alignment horizontal="center" vertical="center"/>
    </xf>
    <xf numFmtId="171" fontId="59" fillId="0" borderId="67" xfId="49131" applyNumberFormat="1" applyFont="1" applyFill="1" applyBorder="1" applyAlignment="1">
      <alignment horizontal="center" vertical="center"/>
    </xf>
    <xf numFmtId="171" fontId="59" fillId="44" borderId="68" xfId="49131" applyNumberFormat="1" applyFont="1" applyFill="1" applyBorder="1" applyAlignment="1">
      <alignment horizontal="center" vertical="center"/>
    </xf>
    <xf numFmtId="171" fontId="116" fillId="0" borderId="0" xfId="49131" applyNumberFormat="1" applyFont="1" applyFill="1" applyBorder="1" applyAlignment="1">
      <alignment vertical="center"/>
    </xf>
    <xf numFmtId="174" fontId="117" fillId="0" borderId="0" xfId="49131" applyNumberFormat="1" applyFont="1" applyFill="1" applyBorder="1" applyAlignment="1">
      <alignment vertical="center"/>
    </xf>
    <xf numFmtId="171" fontId="118" fillId="0" borderId="0" xfId="49131" applyNumberFormat="1" applyFont="1" applyFill="1" applyBorder="1" applyAlignment="1">
      <alignment horizontal="left" vertical="center"/>
    </xf>
    <xf numFmtId="172" fontId="119" fillId="0" borderId="70" xfId="49131" applyNumberFormat="1" applyFont="1" applyFill="1" applyBorder="1" applyAlignment="1">
      <alignment horizontal="center" vertical="center"/>
    </xf>
    <xf numFmtId="172" fontId="119" fillId="44" borderId="70" xfId="49131" applyNumberFormat="1" applyFont="1" applyFill="1" applyBorder="1" applyAlignment="1">
      <alignment horizontal="center" vertical="center"/>
    </xf>
    <xf numFmtId="172" fontId="119" fillId="0" borderId="71" xfId="49131" applyNumberFormat="1" applyFont="1" applyFill="1" applyBorder="1" applyAlignment="1">
      <alignment horizontal="center" vertical="center"/>
    </xf>
    <xf numFmtId="172" fontId="119" fillId="44" borderId="71" xfId="49131" applyNumberFormat="1" applyFont="1" applyFill="1" applyBorder="1" applyAlignment="1">
      <alignment horizontal="center" vertical="center"/>
    </xf>
    <xf numFmtId="172" fontId="119" fillId="0" borderId="72" xfId="49131" applyNumberFormat="1" applyFont="1" applyFill="1" applyBorder="1" applyAlignment="1">
      <alignment horizontal="center" vertical="center"/>
    </xf>
    <xf numFmtId="172" fontId="119" fillId="44" borderId="72" xfId="49131" applyNumberFormat="1" applyFont="1" applyFill="1" applyBorder="1" applyAlignment="1">
      <alignment horizontal="center" vertical="center"/>
    </xf>
    <xf numFmtId="169" fontId="59" fillId="0" borderId="73" xfId="0" applyNumberFormat="1" applyFont="1" applyFill="1" applyBorder="1" applyAlignment="1">
      <alignment vertical="center"/>
    </xf>
    <xf numFmtId="172" fontId="120" fillId="0" borderId="24" xfId="0" applyNumberFormat="1" applyFont="1" applyFill="1" applyBorder="1" applyAlignment="1">
      <alignment horizontal="center" vertical="center"/>
    </xf>
    <xf numFmtId="172" fontId="120" fillId="44" borderId="24" xfId="0" applyNumberFormat="1" applyFont="1" applyFill="1" applyBorder="1" applyAlignment="1">
      <alignment horizontal="center" vertical="center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60" fillId="34" borderId="28" xfId="0" applyFont="1" applyFill="1" applyBorder="1" applyAlignment="1">
      <alignment horizontal="center" vertical="center" wrapText="1"/>
    </xf>
    <xf numFmtId="0" fontId="60" fillId="34" borderId="10" xfId="0" applyFont="1" applyFill="1" applyBorder="1" applyAlignment="1">
      <alignment horizontal="center" vertical="center" wrapText="1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61" fillId="34" borderId="26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 wrapText="1"/>
    </xf>
    <xf numFmtId="0" fontId="52" fillId="34" borderId="10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7" fillId="34" borderId="28" xfId="0" applyNumberFormat="1" applyFont="1" applyFill="1" applyBorder="1" applyAlignment="1">
      <alignment horizontal="center" vertical="center" wrapText="1"/>
    </xf>
    <xf numFmtId="0" fontId="7" fillId="34" borderId="10" xfId="0" applyNumberFormat="1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33" xfId="0" applyNumberFormat="1" applyFont="1" applyFill="1" applyBorder="1" applyAlignment="1">
      <alignment horizontal="center" vertical="center" wrapText="1"/>
    </xf>
    <xf numFmtId="0" fontId="6" fillId="34" borderId="13" xfId="0" applyNumberFormat="1" applyFont="1" applyFill="1" applyBorder="1" applyAlignment="1">
      <alignment horizontal="center" vertical="center" wrapText="1"/>
    </xf>
    <xf numFmtId="0" fontId="47" fillId="34" borderId="33" xfId="0" applyFont="1" applyFill="1" applyBorder="1" applyAlignment="1">
      <alignment horizontal="center" vertical="center" wrapText="1"/>
    </xf>
    <xf numFmtId="0" fontId="47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/>
    </xf>
    <xf numFmtId="0" fontId="6" fillId="34" borderId="13" xfId="0" applyFont="1" applyFill="1" applyBorder="1" applyAlignment="1">
      <alignment horizontal="center" vertical="center"/>
    </xf>
    <xf numFmtId="0" fontId="46" fillId="34" borderId="33" xfId="0" applyFont="1" applyFill="1" applyBorder="1" applyAlignment="1">
      <alignment horizontal="center" vertical="center" wrapText="1"/>
    </xf>
    <xf numFmtId="0" fontId="46" fillId="34" borderId="13" xfId="0" applyFont="1" applyFill="1" applyBorder="1" applyAlignment="1">
      <alignment horizontal="center" vertical="center" wrapText="1"/>
    </xf>
    <xf numFmtId="169" fontId="60" fillId="0" borderId="83" xfId="0" applyNumberFormat="1" applyFont="1" applyFill="1" applyBorder="1" applyAlignment="1">
      <alignment horizontal="center" vertical="center"/>
    </xf>
    <xf numFmtId="169" fontId="60" fillId="0" borderId="84" xfId="0" applyNumberFormat="1" applyFont="1" applyFill="1" applyBorder="1" applyAlignment="1">
      <alignment horizontal="center" vertical="center"/>
    </xf>
    <xf numFmtId="169" fontId="60" fillId="0" borderId="86" xfId="0" applyNumberFormat="1" applyFont="1" applyFill="1" applyBorder="1" applyAlignment="1">
      <alignment horizontal="left" vertical="center"/>
    </xf>
    <xf numFmtId="169" fontId="60" fillId="0" borderId="84" xfId="0" applyNumberFormat="1" applyFont="1" applyFill="1" applyBorder="1" applyAlignment="1">
      <alignment horizontal="left" vertical="center"/>
    </xf>
    <xf numFmtId="172" fontId="102" fillId="0" borderId="12" xfId="0" applyNumberFormat="1" applyFont="1" applyFill="1" applyBorder="1" applyAlignment="1">
      <alignment horizontal="left" vertical="center"/>
    </xf>
    <xf numFmtId="172" fontId="102" fillId="0" borderId="20" xfId="0" applyNumberFormat="1" applyFont="1" applyFill="1" applyBorder="1" applyAlignment="1">
      <alignment horizontal="left" vertical="center"/>
    </xf>
    <xf numFmtId="0" fontId="59" fillId="0" borderId="24" xfId="0" applyFont="1" applyFill="1" applyBorder="1" applyAlignment="1">
      <alignment horizontal="center" vertical="center"/>
    </xf>
    <xf numFmtId="0" fontId="59" fillId="0" borderId="74" xfId="0" applyFont="1" applyFill="1" applyBorder="1" applyAlignment="1">
      <alignment horizontal="center" vertical="center"/>
    </xf>
    <xf numFmtId="0" fontId="60" fillId="0" borderId="75" xfId="0" applyNumberFormat="1" applyFont="1" applyFill="1" applyBorder="1" applyAlignment="1">
      <alignment horizontal="left" vertical="center"/>
    </xf>
    <xf numFmtId="0" fontId="60" fillId="0" borderId="76" xfId="0" applyNumberFormat="1" applyFont="1" applyFill="1" applyBorder="1" applyAlignment="1">
      <alignment horizontal="left" vertical="center"/>
    </xf>
    <xf numFmtId="169" fontId="60" fillId="0" borderId="22" xfId="0" applyNumberFormat="1" applyFont="1" applyFill="1" applyBorder="1" applyAlignment="1">
      <alignment horizontal="left" vertical="center"/>
    </xf>
    <xf numFmtId="169" fontId="60" fillId="0" borderId="23" xfId="0" applyNumberFormat="1" applyFont="1" applyFill="1" applyBorder="1" applyAlignment="1">
      <alignment horizontal="left" vertical="center"/>
    </xf>
    <xf numFmtId="169" fontId="60" fillId="0" borderId="40" xfId="0" applyNumberFormat="1" applyFont="1" applyFill="1" applyBorder="1" applyAlignment="1">
      <alignment horizontal="left" vertical="center"/>
    </xf>
    <xf numFmtId="169" fontId="60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169" fontId="60" fillId="0" borderId="67" xfId="0" applyNumberFormat="1" applyFont="1" applyFill="1" applyBorder="1" applyAlignment="1">
      <alignment horizontal="left" vertical="center"/>
    </xf>
    <xf numFmtId="169" fontId="60" fillId="0" borderId="82" xfId="0" applyNumberFormat="1" applyFont="1" applyFill="1" applyBorder="1" applyAlignment="1">
      <alignment horizontal="left" vertical="center"/>
    </xf>
    <xf numFmtId="0" fontId="59" fillId="0" borderId="24" xfId="49132" applyFont="1" applyFill="1" applyBorder="1" applyAlignment="1">
      <alignment horizontal="center" vertical="center"/>
    </xf>
    <xf numFmtId="0" fontId="59" fillId="0" borderId="74" xfId="49132" applyFont="1" applyFill="1" applyBorder="1" applyAlignment="1">
      <alignment horizontal="center" vertical="center"/>
    </xf>
    <xf numFmtId="169" fontId="60" fillId="0" borderId="69" xfId="0" applyNumberFormat="1" applyFont="1" applyFill="1" applyBorder="1" applyAlignment="1">
      <alignment horizontal="center" vertical="center"/>
    </xf>
    <xf numFmtId="169" fontId="60" fillId="0" borderId="46" xfId="0" applyNumberFormat="1" applyFont="1" applyFill="1" applyBorder="1" applyAlignment="1">
      <alignment horizontal="center" vertical="center"/>
    </xf>
    <xf numFmtId="169" fontId="60" fillId="0" borderId="47" xfId="0" applyNumberFormat="1" applyFont="1" applyFill="1" applyBorder="1" applyAlignment="1">
      <alignment horizontal="center" vertical="center"/>
    </xf>
    <xf numFmtId="0" fontId="60" fillId="0" borderId="26" xfId="0" applyFont="1" applyFill="1" applyBorder="1" applyAlignment="1">
      <alignment horizontal="center" vertical="center"/>
    </xf>
    <xf numFmtId="0" fontId="60" fillId="0" borderId="27" xfId="0" applyFont="1" applyFill="1" applyBorder="1" applyAlignment="1">
      <alignment horizontal="center" vertical="center"/>
    </xf>
    <xf numFmtId="0" fontId="60" fillId="0" borderId="36" xfId="0" applyFont="1" applyFill="1" applyBorder="1" applyAlignment="1">
      <alignment horizontal="center" vertical="center"/>
    </xf>
    <xf numFmtId="0" fontId="60" fillId="0" borderId="37" xfId="0" applyFont="1" applyFill="1" applyBorder="1" applyAlignment="1">
      <alignment horizontal="center" vertical="center"/>
    </xf>
    <xf numFmtId="169" fontId="47" fillId="0" borderId="26" xfId="0" applyNumberFormat="1" applyFont="1" applyFill="1" applyBorder="1" applyAlignment="1">
      <alignment horizontal="center" vertical="center"/>
    </xf>
    <xf numFmtId="169" fontId="47" fillId="0" borderId="40" xfId="0" applyNumberFormat="1" applyFont="1" applyFill="1" applyBorder="1" applyAlignment="1">
      <alignment horizontal="center" vertical="center"/>
    </xf>
    <xf numFmtId="169" fontId="47" fillId="0" borderId="12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center" vertical="center"/>
    </xf>
    <xf numFmtId="169" fontId="47" fillId="0" borderId="46" xfId="0" applyNumberFormat="1" applyFont="1" applyFill="1" applyBorder="1" applyAlignment="1">
      <alignment horizontal="center" vertical="center"/>
    </xf>
    <xf numFmtId="169" fontId="47" fillId="0" borderId="47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left" vertical="center"/>
    </xf>
    <xf numFmtId="169" fontId="47" fillId="0" borderId="46" xfId="0" applyNumberFormat="1" applyFont="1" applyFill="1" applyBorder="1" applyAlignment="1">
      <alignment horizontal="left" vertical="center"/>
    </xf>
    <xf numFmtId="169" fontId="60" fillId="0" borderId="53" xfId="0" applyNumberFormat="1" applyFont="1" applyFill="1" applyBorder="1" applyAlignment="1">
      <alignment horizontal="center" vertical="center"/>
    </xf>
    <xf numFmtId="169" fontId="60" fillId="0" borderId="59" xfId="0" applyNumberFormat="1" applyFont="1" applyFill="1" applyBorder="1" applyAlignment="1">
      <alignment horizontal="center" vertical="center"/>
    </xf>
    <xf numFmtId="169" fontId="60" fillId="0" borderId="64" xfId="0" applyNumberFormat="1" applyFont="1" applyFill="1" applyBorder="1" applyAlignment="1">
      <alignment horizontal="center" vertical="center"/>
    </xf>
    <xf numFmtId="169" fontId="59" fillId="0" borderId="69" xfId="0" applyNumberFormat="1" applyFont="1" applyFill="1" applyBorder="1" applyAlignment="1">
      <alignment horizontal="center" vertical="center"/>
    </xf>
    <xf numFmtId="169" fontId="59" fillId="0" borderId="46" xfId="0" applyNumberFormat="1" applyFont="1" applyFill="1" applyBorder="1" applyAlignment="1">
      <alignment horizontal="center" vertical="center"/>
    </xf>
    <xf numFmtId="169" fontId="59" fillId="0" borderId="47" xfId="0" applyNumberFormat="1" applyFont="1" applyFill="1" applyBorder="1" applyAlignment="1">
      <alignment horizontal="center" vertical="center"/>
    </xf>
    <xf numFmtId="0" fontId="59" fillId="0" borderId="26" xfId="0" applyFont="1" applyFill="1" applyBorder="1" applyAlignment="1">
      <alignment horizontal="center" vertical="center"/>
    </xf>
    <xf numFmtId="0" fontId="59" fillId="0" borderId="27" xfId="0" applyFont="1" applyFill="1" applyBorder="1" applyAlignment="1">
      <alignment horizontal="center" vertical="center"/>
    </xf>
    <xf numFmtId="0" fontId="59" fillId="0" borderId="36" xfId="0" applyFont="1" applyFill="1" applyBorder="1" applyAlignment="1">
      <alignment horizontal="center" vertical="center"/>
    </xf>
    <xf numFmtId="0" fontId="59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9" fillId="0" borderId="53" xfId="0" applyNumberFormat="1" applyFont="1" applyFill="1" applyBorder="1" applyAlignment="1">
      <alignment horizontal="center" vertical="center"/>
    </xf>
    <xf numFmtId="169" fontId="59" fillId="0" borderId="59" xfId="0" applyNumberFormat="1" applyFont="1" applyFill="1" applyBorder="1" applyAlignment="1">
      <alignment horizontal="center" vertical="center"/>
    </xf>
    <xf numFmtId="169" fontId="59" fillId="0" borderId="64" xfId="0" applyNumberFormat="1" applyFont="1" applyFill="1" applyBorder="1" applyAlignment="1">
      <alignment horizontal="center" vertical="center"/>
    </xf>
  </cellXfs>
  <cellStyles count="49133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1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Hyperlink" xfId="49130" builtinId="8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2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24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A94117"/>
      <color rgb="FF8D4033"/>
      <color rgb="FF36D6A4"/>
      <color rgb="FF1CF0B8"/>
      <color rgb="FFBB5B51"/>
      <color rgb="FF606DAC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nowder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6</xdr:row>
          <xdr:rowOff>0</xdr:rowOff>
        </xdr:from>
        <xdr:to>
          <xdr:col>25</xdr:col>
          <xdr:colOff>390525</xdr:colOff>
          <xdr:row>6</xdr:row>
          <xdr:rowOff>0</xdr:rowOff>
        </xdr:to>
        <xdr:sp macro="" textlink="">
          <xdr:nvSpPr>
            <xdr:cNvPr id="1354753" name="Button 1" hidden="1">
              <a:extLst>
                <a:ext uri="{63B3BB69-23CF-44E3-9099-C40C66FF867C}">
                  <a14:compatExt spid="_x0000_s135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6</xdr:row>
          <xdr:rowOff>0</xdr:rowOff>
        </xdr:from>
        <xdr:to>
          <xdr:col>25</xdr:col>
          <xdr:colOff>409575</xdr:colOff>
          <xdr:row>6</xdr:row>
          <xdr:rowOff>0</xdr:rowOff>
        </xdr:to>
        <xdr:sp macro="" textlink="">
          <xdr:nvSpPr>
            <xdr:cNvPr id="1354754" name="Button 2" hidden="1">
              <a:extLst>
                <a:ext uri="{63B3BB69-23CF-44E3-9099-C40C66FF867C}">
                  <a14:compatExt spid="_x0000_s135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6</xdr:row>
          <xdr:rowOff>0</xdr:rowOff>
        </xdr:from>
        <xdr:to>
          <xdr:col>25</xdr:col>
          <xdr:colOff>390525</xdr:colOff>
          <xdr:row>6</xdr:row>
          <xdr:rowOff>0</xdr:rowOff>
        </xdr:to>
        <xdr:sp macro="" textlink="">
          <xdr:nvSpPr>
            <xdr:cNvPr id="1354755" name="Button 3" hidden="1">
              <a:extLst>
                <a:ext uri="{63B3BB69-23CF-44E3-9099-C40C66FF867C}">
                  <a14:compatExt spid="_x0000_s135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0</xdr:colOff>
          <xdr:row>100</xdr:row>
          <xdr:rowOff>76200</xdr:rowOff>
        </xdr:from>
        <xdr:to>
          <xdr:col>25</xdr:col>
          <xdr:colOff>304800</xdr:colOff>
          <xdr:row>101</xdr:row>
          <xdr:rowOff>266700</xdr:rowOff>
        </xdr:to>
        <xdr:sp macro="" textlink="">
          <xdr:nvSpPr>
            <xdr:cNvPr id="1354756" name="Button 4" hidden="1">
              <a:extLst>
                <a:ext uri="{63B3BB69-23CF-44E3-9099-C40C66FF867C}">
                  <a14:compatExt spid="_x0000_s135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19050</xdr:colOff>
          <xdr:row>101</xdr:row>
          <xdr:rowOff>428625</xdr:rowOff>
        </xdr:from>
        <xdr:to>
          <xdr:col>25</xdr:col>
          <xdr:colOff>342900</xdr:colOff>
          <xdr:row>103</xdr:row>
          <xdr:rowOff>161925</xdr:rowOff>
        </xdr:to>
        <xdr:sp macro="" textlink="">
          <xdr:nvSpPr>
            <xdr:cNvPr id="1354757" name="Button 5" hidden="1">
              <a:extLst>
                <a:ext uri="{63B3BB69-23CF-44E3-9099-C40C66FF867C}">
                  <a14:compatExt spid="_x0000_s135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0</xdr:colOff>
          <xdr:row>103</xdr:row>
          <xdr:rowOff>238125</xdr:rowOff>
        </xdr:from>
        <xdr:to>
          <xdr:col>25</xdr:col>
          <xdr:colOff>323850</xdr:colOff>
          <xdr:row>105</xdr:row>
          <xdr:rowOff>104775</xdr:rowOff>
        </xdr:to>
        <xdr:sp macro="" textlink="">
          <xdr:nvSpPr>
            <xdr:cNvPr id="1354758" name="Button 6" hidden="1">
              <a:extLst>
                <a:ext uri="{63B3BB69-23CF-44E3-9099-C40C66FF867C}">
                  <a14:compatExt spid="_x0000_s135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647700</xdr:colOff>
          <xdr:row>105</xdr:row>
          <xdr:rowOff>447675</xdr:rowOff>
        </xdr:from>
        <xdr:to>
          <xdr:col>25</xdr:col>
          <xdr:colOff>323850</xdr:colOff>
          <xdr:row>107</xdr:row>
          <xdr:rowOff>200025</xdr:rowOff>
        </xdr:to>
        <xdr:sp macro="" textlink="">
          <xdr:nvSpPr>
            <xdr:cNvPr id="1354759" name="Button 7" hidden="1">
              <a:extLst>
                <a:ext uri="{63B3BB69-23CF-44E3-9099-C40C66FF867C}">
                  <a14:compatExt spid="_x0000_s135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152308</xdr:colOff>
          <xdr:row>0</xdr:row>
          <xdr:rowOff>0</xdr:rowOff>
        </xdr:from>
        <xdr:to>
          <xdr:col>19</xdr:col>
          <xdr:colOff>979006</xdr:colOff>
          <xdr:row>2</xdr:row>
          <xdr:rowOff>593066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$Y$2:$AB$4" spid="_x0000_s13548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1276789" y="0"/>
              <a:ext cx="5283679" cy="145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0</xdr:colOff>
      <xdr:row>41</xdr:row>
      <xdr:rowOff>1</xdr:rowOff>
    </xdr:from>
    <xdr:to>
      <xdr:col>5</xdr:col>
      <xdr:colOff>17972</xdr:colOff>
      <xdr:row>48</xdr:row>
      <xdr:rowOff>485236</xdr:rowOff>
    </xdr:to>
    <xdr:sp macro="" textlink="">
      <xdr:nvSpPr>
        <xdr:cNvPr id="10" name="Rectangle 9"/>
        <xdr:cNvSpPr/>
      </xdr:nvSpPr>
      <xdr:spPr>
        <a:xfrm>
          <a:off x="1552575" y="3810001"/>
          <a:ext cx="6428297" cy="3952335"/>
        </a:xfrm>
        <a:prstGeom prst="rect">
          <a:avLst/>
        </a:prstGeom>
        <a:noFill/>
        <a:ln w="762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0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6</xdr:row>
          <xdr:rowOff>0</xdr:rowOff>
        </xdr:from>
        <xdr:to>
          <xdr:col>25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6</xdr:row>
          <xdr:rowOff>0</xdr:rowOff>
        </xdr:from>
        <xdr:to>
          <xdr:col>25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6</xdr:row>
          <xdr:rowOff>0</xdr:rowOff>
        </xdr:from>
        <xdr:to>
          <xdr:col>25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6</xdr:row>
          <xdr:rowOff>0</xdr:rowOff>
        </xdr:from>
        <xdr:to>
          <xdr:col>25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771525</xdr:colOff>
          <xdr:row>18</xdr:row>
          <xdr:rowOff>238125</xdr:rowOff>
        </xdr:from>
        <xdr:to>
          <xdr:col>25</xdr:col>
          <xdr:colOff>1095375</xdr:colOff>
          <xdr:row>19</xdr:row>
          <xdr:rowOff>428625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790575</xdr:colOff>
          <xdr:row>20</xdr:row>
          <xdr:rowOff>104775</xdr:rowOff>
        </xdr:from>
        <xdr:to>
          <xdr:col>25</xdr:col>
          <xdr:colOff>1133475</xdr:colOff>
          <xdr:row>21</xdr:row>
          <xdr:rowOff>323850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790575</xdr:colOff>
          <xdr:row>22</xdr:row>
          <xdr:rowOff>409575</xdr:rowOff>
        </xdr:from>
        <xdr:to>
          <xdr:col>25</xdr:col>
          <xdr:colOff>1133475</xdr:colOff>
          <xdr:row>24</xdr:row>
          <xdr:rowOff>304800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809625</xdr:colOff>
          <xdr:row>24</xdr:row>
          <xdr:rowOff>466725</xdr:rowOff>
        </xdr:from>
        <xdr:to>
          <xdr:col>25</xdr:col>
          <xdr:colOff>1133475</xdr:colOff>
          <xdr:row>26</xdr:row>
          <xdr:rowOff>323850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190954</xdr:colOff>
          <xdr:row>0</xdr:row>
          <xdr:rowOff>0</xdr:rowOff>
        </xdr:from>
        <xdr:to>
          <xdr:col>21</xdr:col>
          <xdr:colOff>4052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Y$2:$AB$4" spid="_x0000_s13619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0</xdr:colOff>
      <xdr:row>14</xdr:row>
      <xdr:rowOff>17972</xdr:rowOff>
    </xdr:from>
    <xdr:to>
      <xdr:col>4</xdr:col>
      <xdr:colOff>646981</xdr:colOff>
      <xdr:row>14</xdr:row>
      <xdr:rowOff>485236</xdr:rowOff>
    </xdr:to>
    <xdr:sp macro="" textlink="">
      <xdr:nvSpPr>
        <xdr:cNvPr id="11" name="Rectangle 10"/>
        <xdr:cNvSpPr/>
      </xdr:nvSpPr>
      <xdr:spPr>
        <a:xfrm>
          <a:off x="1066800" y="10104947"/>
          <a:ext cx="6323881" cy="467264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6</xdr:row>
          <xdr:rowOff>0</xdr:rowOff>
        </xdr:from>
        <xdr:to>
          <xdr:col>25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6</xdr:row>
          <xdr:rowOff>0</xdr:rowOff>
        </xdr:from>
        <xdr:to>
          <xdr:col>25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6</xdr:row>
          <xdr:rowOff>0</xdr:rowOff>
        </xdr:from>
        <xdr:to>
          <xdr:col>25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6</xdr:row>
          <xdr:rowOff>0</xdr:rowOff>
        </xdr:from>
        <xdr:to>
          <xdr:col>25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771525</xdr:colOff>
          <xdr:row>22</xdr:row>
          <xdr:rowOff>238125</xdr:rowOff>
        </xdr:from>
        <xdr:to>
          <xdr:col>25</xdr:col>
          <xdr:colOff>1095375</xdr:colOff>
          <xdr:row>23</xdr:row>
          <xdr:rowOff>428625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790575</xdr:colOff>
          <xdr:row>24</xdr:row>
          <xdr:rowOff>104775</xdr:rowOff>
        </xdr:from>
        <xdr:to>
          <xdr:col>25</xdr:col>
          <xdr:colOff>1133475</xdr:colOff>
          <xdr:row>25</xdr:row>
          <xdr:rowOff>323850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790575</xdr:colOff>
          <xdr:row>26</xdr:row>
          <xdr:rowOff>409575</xdr:rowOff>
        </xdr:from>
        <xdr:to>
          <xdr:col>25</xdr:col>
          <xdr:colOff>1133475</xdr:colOff>
          <xdr:row>28</xdr:row>
          <xdr:rowOff>304800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809625</xdr:colOff>
          <xdr:row>28</xdr:row>
          <xdr:rowOff>466725</xdr:rowOff>
        </xdr:from>
        <xdr:to>
          <xdr:col>25</xdr:col>
          <xdr:colOff>1133475</xdr:colOff>
          <xdr:row>30</xdr:row>
          <xdr:rowOff>323850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17595</xdr:colOff>
          <xdr:row>0</xdr:row>
          <xdr:rowOff>0</xdr:rowOff>
        </xdr:from>
        <xdr:to>
          <xdr:col>20</xdr:col>
          <xdr:colOff>388643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Y$2:$AB$4" spid="_x0000_s13630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0</xdr:colOff>
      <xdr:row>22</xdr:row>
      <xdr:rowOff>17971</xdr:rowOff>
    </xdr:from>
    <xdr:to>
      <xdr:col>5</xdr:col>
      <xdr:colOff>0</xdr:colOff>
      <xdr:row>26</xdr:row>
      <xdr:rowOff>0</xdr:rowOff>
    </xdr:to>
    <xdr:sp macro="" textlink="">
      <xdr:nvSpPr>
        <xdr:cNvPr id="11" name="Rectangle 10"/>
        <xdr:cNvSpPr/>
      </xdr:nvSpPr>
      <xdr:spPr>
        <a:xfrm>
          <a:off x="1066800" y="13638721"/>
          <a:ext cx="6343650" cy="2001329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6</xdr:row>
          <xdr:rowOff>0</xdr:rowOff>
        </xdr:from>
        <xdr:to>
          <xdr:col>25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6</xdr:row>
          <xdr:rowOff>0</xdr:rowOff>
        </xdr:from>
        <xdr:to>
          <xdr:col>25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6</xdr:row>
          <xdr:rowOff>0</xdr:rowOff>
        </xdr:from>
        <xdr:to>
          <xdr:col>25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6</xdr:row>
          <xdr:rowOff>0</xdr:rowOff>
        </xdr:from>
        <xdr:to>
          <xdr:col>25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771525</xdr:colOff>
          <xdr:row>27</xdr:row>
          <xdr:rowOff>219075</xdr:rowOff>
        </xdr:from>
        <xdr:to>
          <xdr:col>25</xdr:col>
          <xdr:colOff>1095375</xdr:colOff>
          <xdr:row>28</xdr:row>
          <xdr:rowOff>409575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790575</xdr:colOff>
          <xdr:row>29</xdr:row>
          <xdr:rowOff>85725</xdr:rowOff>
        </xdr:from>
        <xdr:to>
          <xdr:col>25</xdr:col>
          <xdr:colOff>1133475</xdr:colOff>
          <xdr:row>30</xdr:row>
          <xdr:rowOff>304800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790575</xdr:colOff>
          <xdr:row>31</xdr:row>
          <xdr:rowOff>381000</xdr:rowOff>
        </xdr:from>
        <xdr:to>
          <xdr:col>25</xdr:col>
          <xdr:colOff>1133475</xdr:colOff>
          <xdr:row>33</xdr:row>
          <xdr:rowOff>285750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809625</xdr:colOff>
          <xdr:row>33</xdr:row>
          <xdr:rowOff>447675</xdr:rowOff>
        </xdr:from>
        <xdr:to>
          <xdr:col>25</xdr:col>
          <xdr:colOff>1133475</xdr:colOff>
          <xdr:row>35</xdr:row>
          <xdr:rowOff>304800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109669</xdr:colOff>
          <xdr:row>0</xdr:row>
          <xdr:rowOff>0</xdr:rowOff>
        </xdr:from>
        <xdr:to>
          <xdr:col>21</xdr:col>
          <xdr:colOff>4051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Y$2:$AB$4" spid="_x0000_s13640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35943</xdr:colOff>
      <xdr:row>19</xdr:row>
      <xdr:rowOff>0</xdr:rowOff>
    </xdr:from>
    <xdr:to>
      <xdr:col>5</xdr:col>
      <xdr:colOff>53915</xdr:colOff>
      <xdr:row>21</xdr:row>
      <xdr:rowOff>0</xdr:rowOff>
    </xdr:to>
    <xdr:sp macro="" textlink="">
      <xdr:nvSpPr>
        <xdr:cNvPr id="11" name="Rectangle 10"/>
        <xdr:cNvSpPr/>
      </xdr:nvSpPr>
      <xdr:spPr>
        <a:xfrm>
          <a:off x="1096273" y="9057736"/>
          <a:ext cx="6361982" cy="1006415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001250/AppData/01.%20Copier/DB%20Copier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1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Q16" sqref="Q16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473"/>
  <sheetViews>
    <sheetView showGridLines="0" tabSelected="1" view="pageBreakPreview" zoomScale="53" zoomScaleNormal="100" zoomScaleSheetLayoutView="53" workbookViewId="0">
      <pane xSplit="5" ySplit="6" topLeftCell="F98" activePane="bottomRight" state="frozen"/>
      <selection activeCell="E70" sqref="E70"/>
      <selection pane="topRight" activeCell="E70" sqref="E70"/>
      <selection pane="bottomLeft" activeCell="E70" sqref="E70"/>
      <selection pane="bottomRight"/>
    </sheetView>
  </sheetViews>
  <sheetFormatPr defaultRowHeight="20.25" customHeight="1"/>
  <cols>
    <col min="1" max="1" width="23.28515625" style="1" customWidth="1"/>
    <col min="2" max="2" width="8.42578125" style="70" customWidth="1"/>
    <col min="3" max="3" width="22.28515625" style="36" customWidth="1"/>
    <col min="4" max="4" width="55.42578125" style="5" customWidth="1"/>
    <col min="5" max="5" width="10" style="35" customWidth="1"/>
    <col min="6" max="6" width="10.85546875" style="35" bestFit="1" customWidth="1"/>
    <col min="7" max="8" width="10" style="35" customWidth="1"/>
    <col min="9" max="9" width="8.28515625" style="196" customWidth="1"/>
    <col min="10" max="10" width="8.28515625" style="35" hidden="1" customWidth="1"/>
    <col min="11" max="19" width="8.28515625" style="198" customWidth="1"/>
    <col min="20" max="20" width="39.140625" style="60" customWidth="1"/>
    <col min="21" max="21" width="8.7109375" style="35" customWidth="1"/>
    <col min="22" max="22" width="9.85546875" style="5" customWidth="1"/>
    <col min="23" max="24" width="10" style="5" customWidth="1"/>
    <col min="25" max="25" width="19.7109375" style="5" customWidth="1"/>
    <col min="26" max="26" width="19.7109375" style="6" customWidth="1"/>
    <col min="27" max="30" width="20" style="5" customWidth="1"/>
    <col min="31" max="16384" width="9.140625" style="5"/>
  </cols>
  <sheetData>
    <row r="1" spans="1:28" ht="37.5" customHeight="1">
      <c r="B1" s="67"/>
      <c r="C1" s="3"/>
      <c r="D1" s="4"/>
      <c r="E1" s="2"/>
      <c r="F1" s="2"/>
      <c r="G1" s="2"/>
      <c r="H1" s="2"/>
      <c r="I1" s="2"/>
      <c r="J1" s="2"/>
      <c r="K1" s="123"/>
      <c r="L1" s="2"/>
      <c r="M1" s="2"/>
      <c r="N1" s="2"/>
      <c r="O1" s="2"/>
      <c r="P1" s="2"/>
      <c r="Q1" s="2"/>
      <c r="R1" s="2"/>
      <c r="S1" s="2"/>
      <c r="T1" s="56"/>
      <c r="U1" s="2"/>
    </row>
    <row r="2" spans="1:28" ht="30" customHeight="1">
      <c r="A2" s="173" t="s">
        <v>22</v>
      </c>
      <c r="B2" s="68"/>
      <c r="C2" s="7"/>
      <c r="D2" s="7"/>
      <c r="E2" s="8"/>
      <c r="F2" s="9"/>
      <c r="G2" s="2"/>
      <c r="H2" s="9"/>
      <c r="I2" s="9"/>
      <c r="J2" s="9"/>
      <c r="K2" s="124"/>
      <c r="L2" s="9"/>
      <c r="M2" s="9"/>
      <c r="N2" s="9"/>
      <c r="O2" s="9"/>
      <c r="P2" s="9"/>
      <c r="Q2" s="9"/>
      <c r="R2" s="9"/>
      <c r="S2" s="2"/>
      <c r="T2" s="57"/>
      <c r="U2" s="2"/>
      <c r="Y2" s="74" t="s">
        <v>0</v>
      </c>
      <c r="Z2" s="75" t="s">
        <v>1</v>
      </c>
      <c r="AA2" s="74" t="s">
        <v>2</v>
      </c>
      <c r="AB2" s="74" t="s">
        <v>3</v>
      </c>
    </row>
    <row r="3" spans="1:28" ht="54.75" customHeight="1">
      <c r="A3" s="174" t="s">
        <v>659</v>
      </c>
      <c r="B3" s="68"/>
      <c r="C3" s="7"/>
      <c r="D3" s="7"/>
      <c r="E3" s="7"/>
      <c r="F3" s="12"/>
      <c r="G3" s="13"/>
      <c r="H3" s="9"/>
      <c r="I3" s="9"/>
      <c r="J3" s="9"/>
      <c r="K3" s="124"/>
      <c r="L3" s="9"/>
      <c r="M3" s="9"/>
      <c r="N3" s="9"/>
      <c r="O3" s="9"/>
      <c r="P3" s="9"/>
      <c r="Q3" s="9"/>
      <c r="R3" s="9"/>
      <c r="S3" s="13"/>
      <c r="T3" s="58"/>
      <c r="U3" s="13"/>
      <c r="Y3" s="461"/>
      <c r="Z3" s="462"/>
      <c r="AA3" s="461"/>
      <c r="AB3" s="85"/>
    </row>
    <row r="4" spans="1:28" ht="30" customHeight="1">
      <c r="A4" s="15" t="s">
        <v>660</v>
      </c>
      <c r="B4" s="69"/>
      <c r="C4" s="16"/>
      <c r="D4" s="16"/>
      <c r="E4" s="9"/>
      <c r="F4" s="9"/>
      <c r="G4" s="13"/>
      <c r="H4" s="9"/>
      <c r="I4" s="9"/>
      <c r="J4" s="9"/>
      <c r="K4" s="124"/>
      <c r="L4" s="9"/>
      <c r="M4" s="9"/>
      <c r="N4" s="9"/>
      <c r="O4" s="9"/>
      <c r="P4" s="9"/>
      <c r="Q4" s="9"/>
      <c r="R4" s="9"/>
      <c r="S4" s="13"/>
      <c r="T4" s="59"/>
      <c r="U4" s="13"/>
      <c r="Y4" s="461"/>
      <c r="Z4" s="462"/>
      <c r="AA4" s="461"/>
      <c r="AB4" s="17"/>
    </row>
    <row r="5" spans="1:28" ht="36" customHeight="1" thickBot="1">
      <c r="A5" s="465" t="s">
        <v>4</v>
      </c>
      <c r="B5" s="467" t="s">
        <v>5</v>
      </c>
      <c r="C5" s="465" t="s">
        <v>6</v>
      </c>
      <c r="D5" s="465" t="s">
        <v>7</v>
      </c>
      <c r="E5" s="465" t="s">
        <v>8</v>
      </c>
      <c r="F5" s="465" t="s">
        <v>9</v>
      </c>
      <c r="G5" s="465" t="s">
        <v>10</v>
      </c>
      <c r="H5" s="465" t="s">
        <v>11</v>
      </c>
      <c r="I5" s="471" t="s">
        <v>12</v>
      </c>
      <c r="J5" s="471" t="s">
        <v>50</v>
      </c>
      <c r="K5" s="458" t="s">
        <v>14</v>
      </c>
      <c r="L5" s="459"/>
      <c r="M5" s="459"/>
      <c r="N5" s="459"/>
      <c r="O5" s="459"/>
      <c r="P5" s="460" t="s">
        <v>23</v>
      </c>
      <c r="Q5" s="460" t="s">
        <v>27</v>
      </c>
      <c r="R5" s="460" t="s">
        <v>24</v>
      </c>
      <c r="S5" s="463" t="s">
        <v>25</v>
      </c>
      <c r="T5" s="469" t="s">
        <v>15</v>
      </c>
      <c r="U5" s="463" t="s">
        <v>16</v>
      </c>
    </row>
    <row r="6" spans="1:28" ht="33.75" customHeight="1">
      <c r="A6" s="466"/>
      <c r="B6" s="468"/>
      <c r="C6" s="466"/>
      <c r="D6" s="466"/>
      <c r="E6" s="466"/>
      <c r="F6" s="466"/>
      <c r="G6" s="466"/>
      <c r="H6" s="466"/>
      <c r="I6" s="472"/>
      <c r="J6" s="472"/>
      <c r="K6" s="125" t="s">
        <v>47</v>
      </c>
      <c r="L6" s="86" t="s">
        <v>51</v>
      </c>
      <c r="M6" s="86" t="s">
        <v>52</v>
      </c>
      <c r="N6" s="86" t="s">
        <v>26</v>
      </c>
      <c r="O6" s="87" t="s">
        <v>48</v>
      </c>
      <c r="P6" s="460"/>
      <c r="Q6" s="460"/>
      <c r="R6" s="460"/>
      <c r="S6" s="464"/>
      <c r="T6" s="470"/>
      <c r="U6" s="464"/>
      <c r="W6" s="6"/>
      <c r="X6" s="6"/>
    </row>
    <row r="7" spans="1:28" s="43" customFormat="1" ht="39.4" hidden="1" customHeight="1">
      <c r="A7" s="200">
        <v>44046</v>
      </c>
      <c r="B7" s="175" t="s">
        <v>54</v>
      </c>
      <c r="C7" s="96" t="s">
        <v>92</v>
      </c>
      <c r="D7" s="176" t="s">
        <v>161</v>
      </c>
      <c r="E7" s="97">
        <v>15</v>
      </c>
      <c r="F7" s="94" t="s">
        <v>79</v>
      </c>
      <c r="G7" s="97" t="s">
        <v>31</v>
      </c>
      <c r="H7" s="97">
        <v>120</v>
      </c>
      <c r="I7" s="179"/>
      <c r="J7" s="177"/>
      <c r="K7" s="151"/>
      <c r="L7" s="145"/>
      <c r="M7" s="145"/>
      <c r="N7" s="145"/>
      <c r="O7" s="145"/>
      <c r="P7" s="97" t="s">
        <v>70</v>
      </c>
      <c r="Q7" s="145" t="s">
        <v>29</v>
      </c>
      <c r="R7" s="145"/>
      <c r="S7" s="145"/>
      <c r="T7" s="94" t="s">
        <v>221</v>
      </c>
      <c r="U7" s="19"/>
      <c r="V7" s="38" t="s">
        <v>256</v>
      </c>
      <c r="W7" s="39">
        <v>1</v>
      </c>
      <c r="X7" s="39"/>
      <c r="Y7" s="1"/>
      <c r="Z7" s="40"/>
      <c r="AA7" s="41"/>
      <c r="AB7" s="42"/>
    </row>
    <row r="8" spans="1:28" s="43" customFormat="1" ht="39.4" hidden="1" customHeight="1">
      <c r="A8" s="199">
        <v>44046</v>
      </c>
      <c r="B8" s="141" t="s">
        <v>55</v>
      </c>
      <c r="C8" s="20" t="s">
        <v>130</v>
      </c>
      <c r="D8" s="157" t="s">
        <v>172</v>
      </c>
      <c r="E8" s="22">
        <v>14</v>
      </c>
      <c r="F8" s="19" t="s">
        <v>67</v>
      </c>
      <c r="G8" s="22" t="s">
        <v>33</v>
      </c>
      <c r="H8" s="22">
        <v>100</v>
      </c>
      <c r="I8" s="180"/>
      <c r="J8" s="146"/>
      <c r="K8" s="138" t="s">
        <v>47</v>
      </c>
      <c r="L8" s="44"/>
      <c r="M8" s="44"/>
      <c r="N8" s="44"/>
      <c r="O8" s="44"/>
      <c r="P8" s="44" t="s">
        <v>29</v>
      </c>
      <c r="Q8" s="44"/>
      <c r="R8" s="44" t="s">
        <v>29</v>
      </c>
      <c r="S8" s="44" t="s">
        <v>29</v>
      </c>
      <c r="T8" s="19" t="s">
        <v>222</v>
      </c>
      <c r="U8" s="19"/>
      <c r="V8" s="38" t="s">
        <v>256</v>
      </c>
      <c r="W8" s="39">
        <f t="shared" ref="W8:W71" si="0">IF(C8=C7,W7,W7+1)</f>
        <v>2</v>
      </c>
      <c r="X8" s="39"/>
      <c r="Y8" s="147" t="s">
        <v>137</v>
      </c>
      <c r="Z8" s="40"/>
      <c r="AA8" s="41"/>
      <c r="AB8" s="42"/>
    </row>
    <row r="9" spans="1:28" s="43" customFormat="1" ht="39.4" hidden="1" customHeight="1">
      <c r="A9" s="199">
        <v>44046</v>
      </c>
      <c r="B9" s="141" t="s">
        <v>56</v>
      </c>
      <c r="C9" s="20" t="s">
        <v>119</v>
      </c>
      <c r="D9" s="157" t="s">
        <v>157</v>
      </c>
      <c r="E9" s="22">
        <v>13</v>
      </c>
      <c r="F9" s="19" t="s">
        <v>67</v>
      </c>
      <c r="G9" s="22" t="s">
        <v>18</v>
      </c>
      <c r="H9" s="22">
        <v>220</v>
      </c>
      <c r="I9" s="180"/>
      <c r="J9" s="146"/>
      <c r="K9" s="138" t="s">
        <v>47</v>
      </c>
      <c r="L9" s="44"/>
      <c r="M9" s="44"/>
      <c r="N9" s="44"/>
      <c r="O9" s="44"/>
      <c r="P9" s="44" t="s">
        <v>29</v>
      </c>
      <c r="Q9" s="44"/>
      <c r="R9" s="44" t="s">
        <v>29</v>
      </c>
      <c r="S9" s="44"/>
      <c r="T9" s="19" t="s">
        <v>223</v>
      </c>
      <c r="U9" s="19"/>
      <c r="V9" s="38" t="s">
        <v>256</v>
      </c>
      <c r="W9" s="39">
        <f t="shared" si="0"/>
        <v>3</v>
      </c>
      <c r="X9" s="39"/>
      <c r="Y9" s="148" t="s">
        <v>257</v>
      </c>
      <c r="Z9" s="40"/>
      <c r="AA9" s="41"/>
      <c r="AB9" s="42"/>
    </row>
    <row r="10" spans="1:28" s="43" customFormat="1" ht="39.4" hidden="1" customHeight="1">
      <c r="A10" s="199">
        <v>44046</v>
      </c>
      <c r="B10" s="141" t="s">
        <v>57</v>
      </c>
      <c r="C10" s="20" t="s">
        <v>128</v>
      </c>
      <c r="D10" s="157" t="s">
        <v>169</v>
      </c>
      <c r="E10" s="22">
        <v>22</v>
      </c>
      <c r="F10" s="19" t="s">
        <v>79</v>
      </c>
      <c r="G10" s="22" t="s">
        <v>49</v>
      </c>
      <c r="H10" s="22">
        <v>100</v>
      </c>
      <c r="I10" s="180"/>
      <c r="J10" s="146"/>
      <c r="K10" s="138"/>
      <c r="L10" s="44"/>
      <c r="M10" s="44"/>
      <c r="N10" s="44"/>
      <c r="O10" s="44" t="s">
        <v>29</v>
      </c>
      <c r="P10" s="22" t="s">
        <v>70</v>
      </c>
      <c r="Q10" s="44"/>
      <c r="R10" s="44" t="s">
        <v>29</v>
      </c>
      <c r="S10" s="44" t="s">
        <v>29</v>
      </c>
      <c r="T10" s="19" t="s">
        <v>224</v>
      </c>
      <c r="U10" s="19"/>
      <c r="V10" s="38" t="s">
        <v>256</v>
      </c>
      <c r="W10" s="39">
        <f t="shared" si="0"/>
        <v>4</v>
      </c>
      <c r="X10" s="39"/>
      <c r="Y10" s="1"/>
      <c r="Z10" s="40"/>
      <c r="AA10" s="41"/>
      <c r="AB10" s="42"/>
    </row>
    <row r="11" spans="1:28" s="43" customFormat="1" ht="39.4" hidden="1" customHeight="1">
      <c r="A11" s="199">
        <v>44046</v>
      </c>
      <c r="B11" s="141" t="s">
        <v>58</v>
      </c>
      <c r="C11" s="20" t="s">
        <v>80</v>
      </c>
      <c r="D11" s="157" t="s">
        <v>165</v>
      </c>
      <c r="E11" s="22">
        <v>12</v>
      </c>
      <c r="F11" s="19" t="s">
        <v>79</v>
      </c>
      <c r="G11" s="22" t="s">
        <v>30</v>
      </c>
      <c r="H11" s="22">
        <v>230</v>
      </c>
      <c r="I11" s="180"/>
      <c r="J11" s="146"/>
      <c r="K11" s="138"/>
      <c r="L11" s="44"/>
      <c r="M11" s="44"/>
      <c r="N11" s="44"/>
      <c r="O11" s="44"/>
      <c r="P11" s="22" t="s">
        <v>70</v>
      </c>
      <c r="Q11" s="44" t="s">
        <v>29</v>
      </c>
      <c r="R11" s="44" t="s">
        <v>29</v>
      </c>
      <c r="S11" s="44"/>
      <c r="T11" s="19" t="s">
        <v>225</v>
      </c>
      <c r="U11" s="19"/>
      <c r="V11" s="38" t="s">
        <v>256</v>
      </c>
      <c r="W11" s="39">
        <f t="shared" si="0"/>
        <v>5</v>
      </c>
      <c r="X11" s="39"/>
      <c r="Y11" s="1"/>
      <c r="Z11" s="40"/>
      <c r="AA11" s="41"/>
      <c r="AB11" s="42"/>
    </row>
    <row r="12" spans="1:28" s="43" customFormat="1" ht="39.4" hidden="1" customHeight="1">
      <c r="A12" s="199">
        <v>44046</v>
      </c>
      <c r="B12" s="141" t="s">
        <v>59</v>
      </c>
      <c r="C12" s="20" t="s">
        <v>86</v>
      </c>
      <c r="D12" s="157" t="s">
        <v>155</v>
      </c>
      <c r="E12" s="22">
        <v>18</v>
      </c>
      <c r="F12" s="19" t="s">
        <v>67</v>
      </c>
      <c r="G12" s="22" t="s">
        <v>30</v>
      </c>
      <c r="H12" s="22">
        <v>230</v>
      </c>
      <c r="I12" s="180"/>
      <c r="J12" s="146"/>
      <c r="K12" s="138"/>
      <c r="L12" s="44"/>
      <c r="M12" s="44"/>
      <c r="N12" s="44"/>
      <c r="O12" s="44"/>
      <c r="P12" s="44"/>
      <c r="Q12" s="44" t="s">
        <v>29</v>
      </c>
      <c r="R12" s="44"/>
      <c r="S12" s="44"/>
      <c r="T12" s="19" t="s">
        <v>226</v>
      </c>
      <c r="U12" s="19"/>
      <c r="V12" s="38" t="s">
        <v>256</v>
      </c>
      <c r="W12" s="39">
        <f t="shared" si="0"/>
        <v>6</v>
      </c>
      <c r="X12" s="39"/>
      <c r="Y12" s="1"/>
      <c r="Z12" s="40"/>
      <c r="AA12" s="41"/>
      <c r="AB12" s="42"/>
    </row>
    <row r="13" spans="1:28" s="43" customFormat="1" ht="39.4" hidden="1" customHeight="1">
      <c r="A13" s="199">
        <v>44046</v>
      </c>
      <c r="B13" s="141" t="s">
        <v>60</v>
      </c>
      <c r="C13" s="20" t="s">
        <v>129</v>
      </c>
      <c r="D13" s="157" t="s">
        <v>156</v>
      </c>
      <c r="E13" s="22">
        <v>2</v>
      </c>
      <c r="F13" s="19" t="s">
        <v>53</v>
      </c>
      <c r="G13" s="22" t="s">
        <v>30</v>
      </c>
      <c r="H13" s="22">
        <v>230</v>
      </c>
      <c r="I13" s="180"/>
      <c r="J13" s="146"/>
      <c r="K13" s="138"/>
      <c r="L13" s="44"/>
      <c r="M13" s="44"/>
      <c r="N13" s="44"/>
      <c r="O13" s="44"/>
      <c r="P13" s="44"/>
      <c r="Q13" s="44" t="s">
        <v>29</v>
      </c>
      <c r="R13" s="44" t="s">
        <v>29</v>
      </c>
      <c r="S13" s="44"/>
      <c r="T13" s="19" t="s">
        <v>227</v>
      </c>
      <c r="U13" s="19"/>
      <c r="V13" s="38" t="s">
        <v>256</v>
      </c>
      <c r="W13" s="39">
        <f t="shared" si="0"/>
        <v>7</v>
      </c>
      <c r="X13" s="39"/>
      <c r="Y13" s="1"/>
      <c r="Z13" s="40"/>
      <c r="AA13" s="41"/>
      <c r="AB13" s="42"/>
    </row>
    <row r="14" spans="1:28" s="43" customFormat="1" ht="39.4" hidden="1" customHeight="1">
      <c r="A14" s="199">
        <v>44046</v>
      </c>
      <c r="B14" s="141" t="s">
        <v>61</v>
      </c>
      <c r="C14" s="20" t="s">
        <v>123</v>
      </c>
      <c r="D14" s="157" t="s">
        <v>160</v>
      </c>
      <c r="E14" s="22">
        <v>5</v>
      </c>
      <c r="F14" s="19" t="s">
        <v>124</v>
      </c>
      <c r="G14" s="22" t="s">
        <v>18</v>
      </c>
      <c r="H14" s="22">
        <v>220</v>
      </c>
      <c r="I14" s="180"/>
      <c r="J14" s="146"/>
      <c r="K14" s="138"/>
      <c r="L14" s="44"/>
      <c r="M14" s="44" t="s">
        <v>29</v>
      </c>
      <c r="N14" s="44"/>
      <c r="O14" s="44"/>
      <c r="P14" s="44" t="s">
        <v>29</v>
      </c>
      <c r="Q14" s="44"/>
      <c r="R14" s="44" t="s">
        <v>29</v>
      </c>
      <c r="S14" s="44"/>
      <c r="T14" s="93" t="s">
        <v>661</v>
      </c>
      <c r="U14" s="19"/>
      <c r="V14" s="38" t="s">
        <v>256</v>
      </c>
      <c r="W14" s="39">
        <f t="shared" si="0"/>
        <v>8</v>
      </c>
      <c r="X14" s="39"/>
      <c r="Y14" s="1"/>
      <c r="Z14" s="40"/>
      <c r="AA14" s="41"/>
      <c r="AB14" s="42"/>
    </row>
    <row r="15" spans="1:28" s="43" customFormat="1" ht="39.4" hidden="1" customHeight="1">
      <c r="A15" s="199">
        <v>44046</v>
      </c>
      <c r="B15" s="141" t="s">
        <v>63</v>
      </c>
      <c r="C15" s="20" t="s">
        <v>119</v>
      </c>
      <c r="D15" s="157" t="s">
        <v>157</v>
      </c>
      <c r="E15" s="22">
        <v>47</v>
      </c>
      <c r="F15" s="19" t="s">
        <v>67</v>
      </c>
      <c r="G15" s="22" t="s">
        <v>18</v>
      </c>
      <c r="H15" s="22">
        <v>220</v>
      </c>
      <c r="I15" s="180"/>
      <c r="J15" s="146"/>
      <c r="K15" s="138" t="s">
        <v>47</v>
      </c>
      <c r="L15" s="44"/>
      <c r="M15" s="44"/>
      <c r="N15" s="44"/>
      <c r="O15" s="44"/>
      <c r="P15" s="44" t="s">
        <v>29</v>
      </c>
      <c r="Q15" s="44"/>
      <c r="R15" s="44" t="s">
        <v>29</v>
      </c>
      <c r="S15" s="44"/>
      <c r="T15" s="19" t="s">
        <v>412</v>
      </c>
      <c r="U15" s="19"/>
      <c r="V15" s="38" t="s">
        <v>256</v>
      </c>
      <c r="W15" s="39">
        <f t="shared" si="0"/>
        <v>9</v>
      </c>
      <c r="X15" s="39"/>
      <c r="Y15" s="1"/>
      <c r="Z15" s="40"/>
      <c r="AA15" s="41"/>
      <c r="AB15" s="42"/>
    </row>
    <row r="16" spans="1:28" s="43" customFormat="1" ht="39.4" hidden="1" customHeight="1">
      <c r="A16" s="119">
        <v>44047</v>
      </c>
      <c r="B16" s="141" t="s">
        <v>54</v>
      </c>
      <c r="C16" s="20" t="s">
        <v>119</v>
      </c>
      <c r="D16" s="157" t="s">
        <v>157</v>
      </c>
      <c r="E16" s="22">
        <v>8</v>
      </c>
      <c r="F16" s="19" t="s">
        <v>67</v>
      </c>
      <c r="G16" s="22" t="s">
        <v>18</v>
      </c>
      <c r="H16" s="22">
        <v>220</v>
      </c>
      <c r="I16" s="180"/>
      <c r="J16" s="146"/>
      <c r="K16" s="138" t="s">
        <v>47</v>
      </c>
      <c r="L16" s="44"/>
      <c r="M16" s="44"/>
      <c r="N16" s="44"/>
      <c r="O16" s="44"/>
      <c r="P16" s="44" t="s">
        <v>29</v>
      </c>
      <c r="Q16" s="44"/>
      <c r="R16" s="44" t="s">
        <v>29</v>
      </c>
      <c r="S16" s="44"/>
      <c r="T16" s="19" t="s">
        <v>413</v>
      </c>
      <c r="U16" s="19"/>
      <c r="V16" s="38" t="s">
        <v>256</v>
      </c>
      <c r="W16" s="39">
        <f t="shared" si="0"/>
        <v>9</v>
      </c>
      <c r="X16" s="39"/>
      <c r="Y16" s="1"/>
      <c r="Z16" s="40"/>
      <c r="AA16" s="41"/>
      <c r="AB16" s="42"/>
    </row>
    <row r="17" spans="1:28" s="43" customFormat="1" ht="39.4" hidden="1" customHeight="1">
      <c r="A17" s="199">
        <v>44047</v>
      </c>
      <c r="B17" s="141" t="s">
        <v>55</v>
      </c>
      <c r="C17" s="20" t="s">
        <v>85</v>
      </c>
      <c r="D17" s="157" t="s">
        <v>171</v>
      </c>
      <c r="E17" s="22">
        <v>5</v>
      </c>
      <c r="F17" s="19" t="s">
        <v>98</v>
      </c>
      <c r="G17" s="22" t="s">
        <v>31</v>
      </c>
      <c r="H17" s="22">
        <v>120</v>
      </c>
      <c r="I17" s="180"/>
      <c r="J17" s="146"/>
      <c r="K17" s="138"/>
      <c r="L17" s="44"/>
      <c r="M17" s="44"/>
      <c r="N17" s="44"/>
      <c r="O17" s="44"/>
      <c r="P17" s="22" t="s">
        <v>70</v>
      </c>
      <c r="Q17" s="44" t="s">
        <v>29</v>
      </c>
      <c r="R17" s="44"/>
      <c r="S17" s="44"/>
      <c r="T17" s="19" t="s">
        <v>229</v>
      </c>
      <c r="U17" s="19"/>
      <c r="V17" s="38" t="s">
        <v>256</v>
      </c>
      <c r="W17" s="39">
        <f t="shared" si="0"/>
        <v>10</v>
      </c>
      <c r="X17" s="39"/>
      <c r="Y17" s="1"/>
      <c r="Z17" s="40"/>
      <c r="AA17" s="41"/>
      <c r="AB17" s="42"/>
    </row>
    <row r="18" spans="1:28" s="43" customFormat="1" ht="39.4" hidden="1" customHeight="1">
      <c r="A18" s="199">
        <v>44047</v>
      </c>
      <c r="B18" s="141" t="s">
        <v>56</v>
      </c>
      <c r="C18" s="20" t="s">
        <v>127</v>
      </c>
      <c r="D18" s="157" t="s">
        <v>151</v>
      </c>
      <c r="E18" s="22">
        <v>2</v>
      </c>
      <c r="F18" s="19" t="s">
        <v>79</v>
      </c>
      <c r="G18" s="22" t="s">
        <v>18</v>
      </c>
      <c r="H18" s="22">
        <v>220</v>
      </c>
      <c r="I18" s="180"/>
      <c r="J18" s="146"/>
      <c r="K18" s="138"/>
      <c r="L18" s="44"/>
      <c r="M18" s="44"/>
      <c r="N18" s="44"/>
      <c r="O18" s="44"/>
      <c r="P18" s="22" t="s">
        <v>70</v>
      </c>
      <c r="Q18" s="44" t="s">
        <v>29</v>
      </c>
      <c r="R18" s="44" t="s">
        <v>29</v>
      </c>
      <c r="S18" s="44"/>
      <c r="T18" s="19" t="s">
        <v>231</v>
      </c>
      <c r="U18" s="19"/>
      <c r="V18" s="38" t="s">
        <v>256</v>
      </c>
      <c r="W18" s="39">
        <f t="shared" si="0"/>
        <v>11</v>
      </c>
      <c r="X18" s="39"/>
      <c r="Y18" s="1"/>
      <c r="Z18" s="40"/>
      <c r="AA18" s="41"/>
      <c r="AB18" s="42"/>
    </row>
    <row r="19" spans="1:28" s="43" customFormat="1" ht="39.4" hidden="1" customHeight="1">
      <c r="A19" s="199">
        <v>44047</v>
      </c>
      <c r="B19" s="141" t="s">
        <v>57</v>
      </c>
      <c r="C19" s="20" t="s">
        <v>173</v>
      </c>
      <c r="D19" s="157" t="s">
        <v>174</v>
      </c>
      <c r="E19" s="22">
        <v>8</v>
      </c>
      <c r="F19" s="19" t="s">
        <v>79</v>
      </c>
      <c r="G19" s="22" t="s">
        <v>18</v>
      </c>
      <c r="H19" s="22">
        <v>220</v>
      </c>
      <c r="I19" s="180"/>
      <c r="J19" s="146"/>
      <c r="K19" s="138"/>
      <c r="L19" s="44"/>
      <c r="M19" s="44"/>
      <c r="N19" s="44"/>
      <c r="O19" s="44"/>
      <c r="P19" s="22" t="s">
        <v>70</v>
      </c>
      <c r="Q19" s="44" t="s">
        <v>29</v>
      </c>
      <c r="R19" s="44" t="s">
        <v>29</v>
      </c>
      <c r="S19" s="44"/>
      <c r="T19" s="19" t="s">
        <v>232</v>
      </c>
      <c r="U19" s="19"/>
      <c r="V19" s="38" t="s">
        <v>256</v>
      </c>
      <c r="W19" s="39">
        <f t="shared" si="0"/>
        <v>12</v>
      </c>
      <c r="X19" s="39"/>
      <c r="Y19" s="1"/>
      <c r="Z19" s="40"/>
      <c r="AA19" s="41"/>
      <c r="AB19" s="42"/>
    </row>
    <row r="20" spans="1:28" s="43" customFormat="1" ht="39.4" hidden="1" customHeight="1">
      <c r="A20" s="199">
        <v>44047</v>
      </c>
      <c r="B20" s="141" t="s">
        <v>58</v>
      </c>
      <c r="C20" s="20" t="s">
        <v>92</v>
      </c>
      <c r="D20" s="157" t="s">
        <v>161</v>
      </c>
      <c r="E20" s="142">
        <v>48</v>
      </c>
      <c r="F20" s="19" t="s">
        <v>79</v>
      </c>
      <c r="G20" s="22" t="s">
        <v>31</v>
      </c>
      <c r="H20" s="22">
        <v>120</v>
      </c>
      <c r="I20" s="180"/>
      <c r="J20" s="146"/>
      <c r="K20" s="138"/>
      <c r="L20" s="44"/>
      <c r="M20" s="44"/>
      <c r="N20" s="44"/>
      <c r="O20" s="44"/>
      <c r="P20" s="22" t="s">
        <v>70</v>
      </c>
      <c r="Q20" s="44" t="s">
        <v>29</v>
      </c>
      <c r="R20" s="44"/>
      <c r="S20" s="44"/>
      <c r="T20" s="19" t="s">
        <v>414</v>
      </c>
      <c r="U20" s="19"/>
      <c r="V20" s="38" t="s">
        <v>256</v>
      </c>
      <c r="W20" s="39">
        <f t="shared" si="0"/>
        <v>13</v>
      </c>
      <c r="X20" s="39"/>
      <c r="Y20" s="1"/>
      <c r="Z20" s="40"/>
      <c r="AA20" s="41"/>
      <c r="AB20" s="42"/>
    </row>
    <row r="21" spans="1:28" s="43" customFormat="1" ht="39.4" hidden="1" customHeight="1">
      <c r="A21" s="199">
        <v>44047</v>
      </c>
      <c r="B21" s="141" t="s">
        <v>59</v>
      </c>
      <c r="C21" s="20" t="s">
        <v>90</v>
      </c>
      <c r="D21" s="157" t="s">
        <v>150</v>
      </c>
      <c r="E21" s="22">
        <v>6</v>
      </c>
      <c r="F21" s="19" t="s">
        <v>79</v>
      </c>
      <c r="G21" s="22" t="s">
        <v>31</v>
      </c>
      <c r="H21" s="22">
        <v>120</v>
      </c>
      <c r="I21" s="180"/>
      <c r="J21" s="146"/>
      <c r="K21" s="138"/>
      <c r="L21" s="44"/>
      <c r="M21" s="44"/>
      <c r="N21" s="44"/>
      <c r="O21" s="44" t="s">
        <v>29</v>
      </c>
      <c r="P21" s="22" t="s">
        <v>70</v>
      </c>
      <c r="Q21" s="44"/>
      <c r="R21" s="44"/>
      <c r="S21" s="44"/>
      <c r="T21" s="19" t="s">
        <v>230</v>
      </c>
      <c r="U21" s="19"/>
      <c r="V21" s="38" t="s">
        <v>256</v>
      </c>
      <c r="W21" s="39">
        <f t="shared" si="0"/>
        <v>14</v>
      </c>
      <c r="X21" s="39"/>
      <c r="Y21" s="1"/>
      <c r="Z21" s="40"/>
      <c r="AA21" s="41"/>
      <c r="AB21" s="42"/>
    </row>
    <row r="22" spans="1:28" s="43" customFormat="1" ht="39.4" hidden="1" customHeight="1">
      <c r="A22" s="199">
        <v>44047</v>
      </c>
      <c r="B22" s="141" t="s">
        <v>60</v>
      </c>
      <c r="C22" s="20" t="s">
        <v>91</v>
      </c>
      <c r="D22" s="157" t="s">
        <v>162</v>
      </c>
      <c r="E22" s="22">
        <v>31</v>
      </c>
      <c r="F22" s="19" t="s">
        <v>79</v>
      </c>
      <c r="G22" s="22" t="s">
        <v>31</v>
      </c>
      <c r="H22" s="22">
        <v>120</v>
      </c>
      <c r="I22" s="180"/>
      <c r="J22" s="146"/>
      <c r="K22" s="138"/>
      <c r="L22" s="44"/>
      <c r="M22" s="44"/>
      <c r="N22" s="44"/>
      <c r="O22" s="44" t="s">
        <v>29</v>
      </c>
      <c r="P22" s="22" t="s">
        <v>70</v>
      </c>
      <c r="Q22" s="44"/>
      <c r="R22" s="44"/>
      <c r="S22" s="44"/>
      <c r="T22" s="19" t="s">
        <v>228</v>
      </c>
      <c r="U22" s="19"/>
      <c r="V22" s="38" t="s">
        <v>256</v>
      </c>
      <c r="W22" s="39">
        <f t="shared" si="0"/>
        <v>15</v>
      </c>
      <c r="X22" s="39"/>
      <c r="Y22" s="1"/>
      <c r="Z22" s="40"/>
      <c r="AA22" s="41"/>
      <c r="AB22" s="42"/>
    </row>
    <row r="23" spans="1:28" s="43" customFormat="1" ht="39.4" hidden="1" customHeight="1">
      <c r="A23" s="199">
        <v>44047</v>
      </c>
      <c r="B23" s="141" t="s">
        <v>61</v>
      </c>
      <c r="C23" s="20" t="s">
        <v>123</v>
      </c>
      <c r="D23" s="157" t="s">
        <v>160</v>
      </c>
      <c r="E23" s="22">
        <v>10</v>
      </c>
      <c r="F23" s="19" t="s">
        <v>124</v>
      </c>
      <c r="G23" s="22" t="s">
        <v>18</v>
      </c>
      <c r="H23" s="22">
        <v>220</v>
      </c>
      <c r="I23" s="180"/>
      <c r="J23" s="110"/>
      <c r="K23" s="138"/>
      <c r="L23" s="44"/>
      <c r="M23" s="44" t="s">
        <v>29</v>
      </c>
      <c r="N23" s="44"/>
      <c r="O23" s="44"/>
      <c r="P23" s="44" t="s">
        <v>29</v>
      </c>
      <c r="Q23" s="44"/>
      <c r="R23" s="44" t="s">
        <v>29</v>
      </c>
      <c r="S23" s="44"/>
      <c r="T23" s="93" t="s">
        <v>662</v>
      </c>
      <c r="U23" s="19"/>
      <c r="V23" s="38" t="s">
        <v>256</v>
      </c>
      <c r="W23" s="39">
        <f t="shared" si="0"/>
        <v>16</v>
      </c>
      <c r="X23" s="39"/>
      <c r="Y23" s="1"/>
      <c r="Z23" s="40"/>
      <c r="AA23" s="41"/>
      <c r="AB23" s="42"/>
    </row>
    <row r="24" spans="1:28" s="43" customFormat="1" ht="39.4" hidden="1" customHeight="1">
      <c r="A24" s="199">
        <v>44047</v>
      </c>
      <c r="B24" s="141" t="s">
        <v>63</v>
      </c>
      <c r="C24" s="20" t="s">
        <v>119</v>
      </c>
      <c r="D24" s="157" t="s">
        <v>157</v>
      </c>
      <c r="E24" s="22">
        <v>23</v>
      </c>
      <c r="F24" s="19" t="s">
        <v>67</v>
      </c>
      <c r="G24" s="22" t="s">
        <v>18</v>
      </c>
      <c r="H24" s="22">
        <v>220</v>
      </c>
      <c r="I24" s="180"/>
      <c r="J24" s="146"/>
      <c r="K24" s="138" t="s">
        <v>47</v>
      </c>
      <c r="L24" s="44"/>
      <c r="M24" s="44"/>
      <c r="N24" s="44"/>
      <c r="O24" s="44"/>
      <c r="P24" s="44" t="s">
        <v>29</v>
      </c>
      <c r="Q24" s="44"/>
      <c r="R24" s="44" t="s">
        <v>29</v>
      </c>
      <c r="S24" s="44"/>
      <c r="T24" s="19" t="s">
        <v>233</v>
      </c>
      <c r="U24" s="19"/>
      <c r="V24" s="38" t="s">
        <v>256</v>
      </c>
      <c r="W24" s="39">
        <f t="shared" si="0"/>
        <v>17</v>
      </c>
      <c r="X24" s="39"/>
      <c r="Y24" s="1"/>
      <c r="Z24" s="40"/>
      <c r="AA24" s="41"/>
      <c r="AB24" s="42"/>
    </row>
    <row r="25" spans="1:28" s="43" customFormat="1" ht="39.4" hidden="1" customHeight="1">
      <c r="A25" s="199">
        <v>44047</v>
      </c>
      <c r="B25" s="141" t="s">
        <v>62</v>
      </c>
      <c r="C25" s="20" t="s">
        <v>192</v>
      </c>
      <c r="D25" s="157" t="s">
        <v>163</v>
      </c>
      <c r="E25" s="22">
        <v>5</v>
      </c>
      <c r="F25" s="19" t="s">
        <v>53</v>
      </c>
      <c r="G25" s="22" t="s">
        <v>18</v>
      </c>
      <c r="H25" s="22">
        <v>220</v>
      </c>
      <c r="I25" s="180"/>
      <c r="J25" s="146"/>
      <c r="K25" s="138"/>
      <c r="L25" s="44"/>
      <c r="M25" s="44" t="s">
        <v>29</v>
      </c>
      <c r="N25" s="44"/>
      <c r="O25" s="44"/>
      <c r="P25" s="44" t="s">
        <v>29</v>
      </c>
      <c r="Q25" s="44"/>
      <c r="R25" s="44" t="s">
        <v>29</v>
      </c>
      <c r="S25" s="44"/>
      <c r="T25" s="93" t="s">
        <v>236</v>
      </c>
      <c r="U25" s="19"/>
      <c r="V25" s="38" t="s">
        <v>256</v>
      </c>
      <c r="W25" s="39">
        <f t="shared" si="0"/>
        <v>18</v>
      </c>
      <c r="X25" s="39"/>
      <c r="Y25" s="1"/>
      <c r="Z25" s="40"/>
      <c r="AA25" s="41"/>
      <c r="AB25" s="42"/>
    </row>
    <row r="26" spans="1:28" s="43" customFormat="1" ht="39.4" hidden="1" customHeight="1">
      <c r="A26" s="199">
        <v>44047</v>
      </c>
      <c r="B26" s="141" t="s">
        <v>65</v>
      </c>
      <c r="C26" s="20" t="s">
        <v>138</v>
      </c>
      <c r="D26" s="157" t="s">
        <v>149</v>
      </c>
      <c r="E26" s="22">
        <v>14</v>
      </c>
      <c r="F26" s="19" t="s">
        <v>67</v>
      </c>
      <c r="G26" s="22" t="s">
        <v>18</v>
      </c>
      <c r="H26" s="22">
        <v>220</v>
      </c>
      <c r="I26" s="180"/>
      <c r="J26" s="146"/>
      <c r="K26" s="138" t="s">
        <v>47</v>
      </c>
      <c r="L26" s="44"/>
      <c r="M26" s="44"/>
      <c r="N26" s="44"/>
      <c r="O26" s="44"/>
      <c r="P26" s="44" t="s">
        <v>29</v>
      </c>
      <c r="Q26" s="44"/>
      <c r="R26" s="44" t="s">
        <v>29</v>
      </c>
      <c r="S26" s="44"/>
      <c r="T26" s="93" t="s">
        <v>415</v>
      </c>
      <c r="U26" s="19"/>
      <c r="V26" s="38" t="s">
        <v>256</v>
      </c>
      <c r="W26" s="39">
        <f t="shared" si="0"/>
        <v>19</v>
      </c>
      <c r="X26" s="39"/>
      <c r="Y26" s="1"/>
      <c r="Z26" s="40"/>
      <c r="AA26" s="41"/>
      <c r="AB26" s="42"/>
    </row>
    <row r="27" spans="1:28" s="43" customFormat="1" ht="39.4" hidden="1" customHeight="1">
      <c r="A27" s="119">
        <v>44048</v>
      </c>
      <c r="B27" s="141" t="s">
        <v>54</v>
      </c>
      <c r="C27" s="20" t="s">
        <v>138</v>
      </c>
      <c r="D27" s="157" t="s">
        <v>149</v>
      </c>
      <c r="E27" s="22">
        <v>13</v>
      </c>
      <c r="F27" s="19" t="s">
        <v>67</v>
      </c>
      <c r="G27" s="22" t="s">
        <v>18</v>
      </c>
      <c r="H27" s="22">
        <v>220</v>
      </c>
      <c r="I27" s="180"/>
      <c r="J27" s="146"/>
      <c r="K27" s="138" t="s">
        <v>47</v>
      </c>
      <c r="L27" s="44"/>
      <c r="M27" s="44"/>
      <c r="N27" s="44"/>
      <c r="O27" s="44"/>
      <c r="P27" s="44" t="s">
        <v>29</v>
      </c>
      <c r="Q27" s="44"/>
      <c r="R27" s="44" t="s">
        <v>29</v>
      </c>
      <c r="S27" s="44"/>
      <c r="T27" s="19" t="s">
        <v>416</v>
      </c>
      <c r="U27" s="19"/>
      <c r="V27" s="38" t="s">
        <v>256</v>
      </c>
      <c r="W27" s="39">
        <f t="shared" si="0"/>
        <v>19</v>
      </c>
      <c r="X27" s="39"/>
      <c r="Y27" s="1"/>
      <c r="Z27" s="40"/>
      <c r="AA27" s="41"/>
      <c r="AB27" s="42"/>
    </row>
    <row r="28" spans="1:28" s="43" customFormat="1" ht="39.4" hidden="1" customHeight="1">
      <c r="A28" s="199">
        <v>44048</v>
      </c>
      <c r="B28" s="141" t="s">
        <v>55</v>
      </c>
      <c r="C28" s="20" t="s">
        <v>173</v>
      </c>
      <c r="D28" s="157" t="s">
        <v>174</v>
      </c>
      <c r="E28" s="90">
        <v>36</v>
      </c>
      <c r="F28" s="19" t="s">
        <v>79</v>
      </c>
      <c r="G28" s="22" t="s">
        <v>18</v>
      </c>
      <c r="H28" s="22">
        <v>220</v>
      </c>
      <c r="I28" s="180"/>
      <c r="J28" s="146"/>
      <c r="K28" s="138"/>
      <c r="L28" s="44"/>
      <c r="M28" s="44"/>
      <c r="N28" s="44"/>
      <c r="O28" s="44"/>
      <c r="P28" s="22" t="s">
        <v>70</v>
      </c>
      <c r="Q28" s="44" t="s">
        <v>29</v>
      </c>
      <c r="R28" s="44" t="s">
        <v>29</v>
      </c>
      <c r="S28" s="44"/>
      <c r="T28" s="93" t="s">
        <v>234</v>
      </c>
      <c r="U28" s="19"/>
      <c r="V28" s="38" t="s">
        <v>256</v>
      </c>
      <c r="W28" s="39">
        <f t="shared" si="0"/>
        <v>20</v>
      </c>
      <c r="X28" s="39"/>
      <c r="Y28" s="1"/>
      <c r="Z28" s="40"/>
      <c r="AA28" s="41"/>
      <c r="AB28" s="42"/>
    </row>
    <row r="29" spans="1:28" s="43" customFormat="1" ht="39.4" hidden="1" customHeight="1">
      <c r="A29" s="199">
        <v>44048</v>
      </c>
      <c r="B29" s="141" t="s">
        <v>56</v>
      </c>
      <c r="C29" s="20" t="s">
        <v>143</v>
      </c>
      <c r="D29" s="157" t="s">
        <v>166</v>
      </c>
      <c r="E29" s="22">
        <v>21</v>
      </c>
      <c r="F29" s="19" t="s">
        <v>79</v>
      </c>
      <c r="G29" s="22" t="s">
        <v>18</v>
      </c>
      <c r="H29" s="22">
        <v>220</v>
      </c>
      <c r="I29" s="180"/>
      <c r="J29" s="146"/>
      <c r="K29" s="138"/>
      <c r="L29" s="44"/>
      <c r="M29" s="44"/>
      <c r="N29" s="44"/>
      <c r="O29" s="44"/>
      <c r="P29" s="22" t="s">
        <v>70</v>
      </c>
      <c r="Q29" s="44" t="s">
        <v>29</v>
      </c>
      <c r="R29" s="44" t="s">
        <v>29</v>
      </c>
      <c r="S29" s="44"/>
      <c r="T29" s="93" t="s">
        <v>235</v>
      </c>
      <c r="U29" s="19"/>
      <c r="V29" s="38" t="s">
        <v>256</v>
      </c>
      <c r="W29" s="39">
        <f t="shared" si="0"/>
        <v>21</v>
      </c>
      <c r="X29" s="39"/>
      <c r="Y29" s="1"/>
      <c r="Z29" s="40"/>
      <c r="AA29" s="41"/>
      <c r="AB29" s="42"/>
    </row>
    <row r="30" spans="1:28" s="43" customFormat="1" ht="39.4" hidden="1" customHeight="1">
      <c r="A30" s="199">
        <v>44048</v>
      </c>
      <c r="B30" s="141" t="s">
        <v>57</v>
      </c>
      <c r="C30" s="20" t="s">
        <v>90</v>
      </c>
      <c r="D30" s="157" t="s">
        <v>150</v>
      </c>
      <c r="E30" s="22">
        <v>38</v>
      </c>
      <c r="F30" s="19" t="s">
        <v>79</v>
      </c>
      <c r="G30" s="22" t="s">
        <v>31</v>
      </c>
      <c r="H30" s="22">
        <v>120</v>
      </c>
      <c r="I30" s="180"/>
      <c r="J30" s="146"/>
      <c r="K30" s="138"/>
      <c r="L30" s="44"/>
      <c r="M30" s="44"/>
      <c r="N30" s="44"/>
      <c r="O30" s="44" t="s">
        <v>29</v>
      </c>
      <c r="P30" s="22" t="s">
        <v>70</v>
      </c>
      <c r="Q30" s="44"/>
      <c r="R30" s="44"/>
      <c r="S30" s="44"/>
      <c r="T30" s="93" t="s">
        <v>417</v>
      </c>
      <c r="U30" s="19"/>
      <c r="V30" s="38" t="s">
        <v>256</v>
      </c>
      <c r="W30" s="39">
        <f t="shared" si="0"/>
        <v>22</v>
      </c>
      <c r="X30" s="39"/>
      <c r="Y30" s="1"/>
      <c r="Z30" s="40"/>
      <c r="AA30" s="41"/>
      <c r="AB30" s="42"/>
    </row>
    <row r="31" spans="1:28" s="43" customFormat="1" ht="39.4" hidden="1" customHeight="1">
      <c r="A31" s="199">
        <v>44048</v>
      </c>
      <c r="B31" s="141" t="s">
        <v>58</v>
      </c>
      <c r="C31" s="20" t="s">
        <v>123</v>
      </c>
      <c r="D31" s="157" t="s">
        <v>160</v>
      </c>
      <c r="E31" s="22">
        <v>5</v>
      </c>
      <c r="F31" s="19" t="s">
        <v>124</v>
      </c>
      <c r="G31" s="22" t="s">
        <v>18</v>
      </c>
      <c r="H31" s="22">
        <v>220</v>
      </c>
      <c r="I31" s="180"/>
      <c r="J31" s="146"/>
      <c r="K31" s="138"/>
      <c r="L31" s="44"/>
      <c r="M31" s="44" t="s">
        <v>29</v>
      </c>
      <c r="N31" s="44"/>
      <c r="O31" s="44"/>
      <c r="P31" s="44" t="s">
        <v>29</v>
      </c>
      <c r="Q31" s="44"/>
      <c r="R31" s="44" t="s">
        <v>29</v>
      </c>
      <c r="S31" s="44"/>
      <c r="T31" s="93" t="s">
        <v>663</v>
      </c>
      <c r="U31" s="19"/>
      <c r="V31" s="38" t="s">
        <v>256</v>
      </c>
      <c r="W31" s="39">
        <f t="shared" si="0"/>
        <v>23</v>
      </c>
      <c r="X31" s="39"/>
      <c r="Y31" s="1"/>
      <c r="Z31" s="40"/>
      <c r="AA31" s="41"/>
      <c r="AB31" s="42"/>
    </row>
    <row r="32" spans="1:28" s="43" customFormat="1" ht="39.4" hidden="1" customHeight="1">
      <c r="A32" s="199">
        <v>44048</v>
      </c>
      <c r="B32" s="141" t="s">
        <v>59</v>
      </c>
      <c r="C32" s="20" t="s">
        <v>192</v>
      </c>
      <c r="D32" s="157" t="s">
        <v>163</v>
      </c>
      <c r="E32" s="22">
        <v>40</v>
      </c>
      <c r="F32" s="19" t="s">
        <v>53</v>
      </c>
      <c r="G32" s="22" t="s">
        <v>18</v>
      </c>
      <c r="H32" s="22">
        <v>220</v>
      </c>
      <c r="I32" s="180"/>
      <c r="J32" s="146"/>
      <c r="K32" s="138"/>
      <c r="L32" s="44"/>
      <c r="M32" s="44" t="s">
        <v>29</v>
      </c>
      <c r="N32" s="44"/>
      <c r="O32" s="44"/>
      <c r="P32" s="44" t="s">
        <v>29</v>
      </c>
      <c r="Q32" s="44"/>
      <c r="R32" s="44" t="s">
        <v>29</v>
      </c>
      <c r="S32" s="44"/>
      <c r="T32" s="19" t="s">
        <v>239</v>
      </c>
      <c r="U32" s="19"/>
      <c r="V32" s="38" t="s">
        <v>256</v>
      </c>
      <c r="W32" s="39">
        <f t="shared" si="0"/>
        <v>24</v>
      </c>
      <c r="X32" s="39"/>
      <c r="Y32" s="1"/>
      <c r="Z32" s="40"/>
      <c r="AA32" s="41"/>
      <c r="AB32" s="42"/>
    </row>
    <row r="33" spans="1:28" s="43" customFormat="1" ht="39.4" hidden="1" customHeight="1">
      <c r="A33" s="199">
        <v>44048</v>
      </c>
      <c r="B33" s="141" t="s">
        <v>60</v>
      </c>
      <c r="C33" s="20" t="s">
        <v>193</v>
      </c>
      <c r="D33" s="157" t="s">
        <v>194</v>
      </c>
      <c r="E33" s="22">
        <v>7</v>
      </c>
      <c r="F33" s="19" t="s">
        <v>53</v>
      </c>
      <c r="G33" s="22" t="s">
        <v>18</v>
      </c>
      <c r="H33" s="22">
        <v>220</v>
      </c>
      <c r="I33" s="180"/>
      <c r="J33" s="146"/>
      <c r="K33" s="138"/>
      <c r="L33" s="44"/>
      <c r="M33" s="44" t="s">
        <v>29</v>
      </c>
      <c r="N33" s="44"/>
      <c r="O33" s="44"/>
      <c r="P33" s="44" t="s">
        <v>29</v>
      </c>
      <c r="Q33" s="44"/>
      <c r="R33" s="44" t="s">
        <v>29</v>
      </c>
      <c r="S33" s="44"/>
      <c r="T33" s="19" t="s">
        <v>418</v>
      </c>
      <c r="U33" s="19"/>
      <c r="V33" s="38" t="s">
        <v>256</v>
      </c>
      <c r="W33" s="39">
        <f t="shared" si="0"/>
        <v>25</v>
      </c>
      <c r="X33" s="39"/>
      <c r="Y33" s="1"/>
      <c r="Z33" s="40"/>
      <c r="AA33" s="41"/>
      <c r="AB33" s="42"/>
    </row>
    <row r="34" spans="1:28" s="43" customFormat="1" ht="39.4" hidden="1" customHeight="1">
      <c r="A34" s="119">
        <v>44049</v>
      </c>
      <c r="B34" s="141" t="s">
        <v>54</v>
      </c>
      <c r="C34" s="20" t="s">
        <v>193</v>
      </c>
      <c r="D34" s="157" t="s">
        <v>194</v>
      </c>
      <c r="E34" s="22">
        <v>8</v>
      </c>
      <c r="F34" s="19" t="s">
        <v>53</v>
      </c>
      <c r="G34" s="22" t="s">
        <v>18</v>
      </c>
      <c r="H34" s="22">
        <v>220</v>
      </c>
      <c r="I34" s="180"/>
      <c r="J34" s="146"/>
      <c r="K34" s="138"/>
      <c r="L34" s="44"/>
      <c r="M34" s="44" t="s">
        <v>29</v>
      </c>
      <c r="N34" s="44"/>
      <c r="O34" s="44"/>
      <c r="P34" s="44" t="s">
        <v>29</v>
      </c>
      <c r="Q34" s="44"/>
      <c r="R34" s="44" t="s">
        <v>29</v>
      </c>
      <c r="S34" s="44"/>
      <c r="T34" s="93" t="s">
        <v>419</v>
      </c>
      <c r="U34" s="19"/>
      <c r="V34" s="38" t="s">
        <v>256</v>
      </c>
      <c r="W34" s="39">
        <f t="shared" si="0"/>
        <v>25</v>
      </c>
      <c r="X34" s="39"/>
      <c r="Y34" s="1"/>
      <c r="Z34" s="40"/>
      <c r="AA34" s="41"/>
      <c r="AB34" s="42"/>
    </row>
    <row r="35" spans="1:28" s="43" customFormat="1" ht="39.4" hidden="1" customHeight="1">
      <c r="A35" s="199">
        <v>44049</v>
      </c>
      <c r="B35" s="141" t="s">
        <v>55</v>
      </c>
      <c r="C35" s="20" t="s">
        <v>118</v>
      </c>
      <c r="D35" s="157" t="s">
        <v>152</v>
      </c>
      <c r="E35" s="90">
        <v>28</v>
      </c>
      <c r="F35" s="19" t="s">
        <v>79</v>
      </c>
      <c r="G35" s="22" t="s">
        <v>18</v>
      </c>
      <c r="H35" s="22">
        <v>220</v>
      </c>
      <c r="I35" s="180"/>
      <c r="J35" s="146"/>
      <c r="K35" s="138"/>
      <c r="L35" s="44"/>
      <c r="M35" s="44"/>
      <c r="N35" s="44"/>
      <c r="O35" s="44"/>
      <c r="P35" s="22" t="s">
        <v>70</v>
      </c>
      <c r="Q35" s="44" t="s">
        <v>29</v>
      </c>
      <c r="R35" s="44" t="s">
        <v>29</v>
      </c>
      <c r="S35" s="44"/>
      <c r="T35" s="19" t="s">
        <v>420</v>
      </c>
      <c r="U35" s="19"/>
      <c r="V35" s="38" t="s">
        <v>256</v>
      </c>
      <c r="W35" s="39">
        <f t="shared" si="0"/>
        <v>26</v>
      </c>
      <c r="X35" s="39"/>
      <c r="Y35" s="1"/>
      <c r="Z35" s="40"/>
      <c r="AA35" s="41"/>
      <c r="AB35" s="42"/>
    </row>
    <row r="36" spans="1:28" s="43" customFormat="1" ht="39.4" hidden="1" customHeight="1">
      <c r="A36" s="199">
        <v>44049</v>
      </c>
      <c r="B36" s="141" t="s">
        <v>56</v>
      </c>
      <c r="C36" s="20" t="s">
        <v>143</v>
      </c>
      <c r="D36" s="157" t="s">
        <v>166</v>
      </c>
      <c r="E36" s="22">
        <v>36</v>
      </c>
      <c r="F36" s="19" t="s">
        <v>79</v>
      </c>
      <c r="G36" s="22" t="s">
        <v>18</v>
      </c>
      <c r="H36" s="22">
        <v>220</v>
      </c>
      <c r="I36" s="180"/>
      <c r="J36" s="146"/>
      <c r="K36" s="138"/>
      <c r="L36" s="44"/>
      <c r="M36" s="44"/>
      <c r="N36" s="44"/>
      <c r="O36" s="44"/>
      <c r="P36" s="22" t="s">
        <v>70</v>
      </c>
      <c r="Q36" s="44" t="s">
        <v>29</v>
      </c>
      <c r="R36" s="44" t="s">
        <v>29</v>
      </c>
      <c r="S36" s="44"/>
      <c r="T36" s="93" t="s">
        <v>238</v>
      </c>
      <c r="U36" s="19"/>
      <c r="V36" s="38" t="s">
        <v>256</v>
      </c>
      <c r="W36" s="39">
        <f t="shared" si="0"/>
        <v>27</v>
      </c>
      <c r="X36" s="39"/>
      <c r="Y36" s="1"/>
      <c r="Z36" s="40"/>
      <c r="AA36" s="41"/>
      <c r="AB36" s="42"/>
    </row>
    <row r="37" spans="1:28" s="43" customFormat="1" ht="39.4" hidden="1" customHeight="1">
      <c r="A37" s="199">
        <v>44049</v>
      </c>
      <c r="B37" s="141" t="s">
        <v>57</v>
      </c>
      <c r="C37" s="20" t="s">
        <v>90</v>
      </c>
      <c r="D37" s="157" t="s">
        <v>150</v>
      </c>
      <c r="E37" s="22">
        <v>36</v>
      </c>
      <c r="F37" s="19" t="s">
        <v>79</v>
      </c>
      <c r="G37" s="22" t="s">
        <v>31</v>
      </c>
      <c r="H37" s="22">
        <v>120</v>
      </c>
      <c r="I37" s="180"/>
      <c r="J37" s="146"/>
      <c r="K37" s="138"/>
      <c r="L37" s="44"/>
      <c r="M37" s="44"/>
      <c r="N37" s="44"/>
      <c r="O37" s="44" t="s">
        <v>29</v>
      </c>
      <c r="P37" s="22" t="s">
        <v>70</v>
      </c>
      <c r="Q37" s="44"/>
      <c r="R37" s="44"/>
      <c r="S37" s="44"/>
      <c r="T37" s="19" t="s">
        <v>237</v>
      </c>
      <c r="U37" s="19"/>
      <c r="V37" s="38" t="s">
        <v>256</v>
      </c>
      <c r="W37" s="39">
        <f t="shared" si="0"/>
        <v>28</v>
      </c>
      <c r="X37" s="39"/>
      <c r="Y37" s="1"/>
      <c r="Z37" s="40"/>
      <c r="AA37" s="41"/>
      <c r="AB37" s="42"/>
    </row>
    <row r="38" spans="1:28" s="43" customFormat="1" ht="39.4" hidden="1" customHeight="1">
      <c r="A38" s="199">
        <v>44049</v>
      </c>
      <c r="B38" s="141" t="s">
        <v>58</v>
      </c>
      <c r="C38" s="20" t="s">
        <v>240</v>
      </c>
      <c r="D38" s="157" t="s">
        <v>241</v>
      </c>
      <c r="E38" s="22">
        <v>2</v>
      </c>
      <c r="F38" s="19" t="s">
        <v>67</v>
      </c>
      <c r="G38" s="22" t="s">
        <v>19</v>
      </c>
      <c r="H38" s="22">
        <v>220</v>
      </c>
      <c r="I38" s="180"/>
      <c r="J38" s="146"/>
      <c r="K38" s="138" t="s">
        <v>47</v>
      </c>
      <c r="L38" s="44"/>
      <c r="M38" s="44"/>
      <c r="N38" s="44"/>
      <c r="O38" s="44"/>
      <c r="P38" s="44" t="s">
        <v>29</v>
      </c>
      <c r="Q38" s="44"/>
      <c r="R38" s="44"/>
      <c r="S38" s="44"/>
      <c r="T38" s="19" t="s">
        <v>242</v>
      </c>
      <c r="U38" s="19"/>
      <c r="V38" s="38" t="s">
        <v>256</v>
      </c>
      <c r="W38" s="39">
        <f t="shared" si="0"/>
        <v>29</v>
      </c>
      <c r="X38" s="39"/>
      <c r="Y38" s="1"/>
      <c r="Z38" s="40"/>
      <c r="AA38" s="41"/>
      <c r="AB38" s="42"/>
    </row>
    <row r="39" spans="1:28" s="43" customFormat="1" ht="39.4" hidden="1" customHeight="1">
      <c r="A39" s="199">
        <v>44049</v>
      </c>
      <c r="B39" s="141" t="s">
        <v>59</v>
      </c>
      <c r="C39" s="20" t="s">
        <v>130</v>
      </c>
      <c r="D39" s="157" t="s">
        <v>172</v>
      </c>
      <c r="E39" s="22">
        <v>50</v>
      </c>
      <c r="F39" s="19" t="s">
        <v>67</v>
      </c>
      <c r="G39" s="22" t="s">
        <v>33</v>
      </c>
      <c r="H39" s="22">
        <v>100</v>
      </c>
      <c r="I39" s="180"/>
      <c r="J39" s="146"/>
      <c r="K39" s="138" t="s">
        <v>47</v>
      </c>
      <c r="L39" s="44"/>
      <c r="M39" s="44"/>
      <c r="N39" s="44"/>
      <c r="O39" s="44"/>
      <c r="P39" s="44" t="s">
        <v>29</v>
      </c>
      <c r="Q39" s="44"/>
      <c r="R39" s="44" t="s">
        <v>29</v>
      </c>
      <c r="S39" s="44" t="s">
        <v>29</v>
      </c>
      <c r="T39" s="93" t="s">
        <v>243</v>
      </c>
      <c r="U39" s="19"/>
      <c r="V39" s="38" t="s">
        <v>256</v>
      </c>
      <c r="W39" s="39">
        <f t="shared" si="0"/>
        <v>30</v>
      </c>
      <c r="X39" s="39"/>
      <c r="Y39" s="1"/>
      <c r="Z39" s="40"/>
      <c r="AA39" s="41"/>
      <c r="AB39" s="42"/>
    </row>
    <row r="40" spans="1:28" s="43" customFormat="1" ht="39.4" hidden="1" customHeight="1">
      <c r="A40" s="119">
        <v>44050</v>
      </c>
      <c r="B40" s="141" t="s">
        <v>54</v>
      </c>
      <c r="C40" s="20" t="s">
        <v>130</v>
      </c>
      <c r="D40" s="157" t="s">
        <v>172</v>
      </c>
      <c r="E40" s="22">
        <v>3</v>
      </c>
      <c r="F40" s="19" t="s">
        <v>67</v>
      </c>
      <c r="G40" s="22" t="s">
        <v>33</v>
      </c>
      <c r="H40" s="22">
        <v>100</v>
      </c>
      <c r="I40" s="180"/>
      <c r="J40" s="146"/>
      <c r="K40" s="138" t="s">
        <v>47</v>
      </c>
      <c r="L40" s="44"/>
      <c r="M40" s="44"/>
      <c r="N40" s="44"/>
      <c r="O40" s="44"/>
      <c r="P40" s="44" t="s">
        <v>29</v>
      </c>
      <c r="Q40" s="44"/>
      <c r="R40" s="44" t="s">
        <v>29</v>
      </c>
      <c r="S40" s="44" t="s">
        <v>29</v>
      </c>
      <c r="T40" s="19" t="s">
        <v>244</v>
      </c>
      <c r="U40" s="19"/>
      <c r="V40" s="38" t="s">
        <v>256</v>
      </c>
      <c r="W40" s="39">
        <f t="shared" si="0"/>
        <v>30</v>
      </c>
      <c r="X40" s="39"/>
      <c r="Y40" s="1"/>
      <c r="Z40" s="40"/>
      <c r="AA40" s="41"/>
      <c r="AB40" s="42"/>
    </row>
    <row r="41" spans="1:28" s="43" customFormat="1" ht="39.4" hidden="1" customHeight="1">
      <c r="A41" s="199">
        <v>44050</v>
      </c>
      <c r="B41" s="141" t="s">
        <v>55</v>
      </c>
      <c r="C41" s="20" t="s">
        <v>81</v>
      </c>
      <c r="D41" s="157" t="s">
        <v>153</v>
      </c>
      <c r="E41" s="22">
        <v>9</v>
      </c>
      <c r="F41" s="19" t="s">
        <v>79</v>
      </c>
      <c r="G41" s="22" t="s">
        <v>28</v>
      </c>
      <c r="H41" s="22">
        <v>230</v>
      </c>
      <c r="I41" s="180"/>
      <c r="J41" s="146"/>
      <c r="K41" s="138"/>
      <c r="L41" s="44"/>
      <c r="M41" s="44"/>
      <c r="N41" s="44"/>
      <c r="O41" s="44"/>
      <c r="P41" s="22" t="s">
        <v>70</v>
      </c>
      <c r="Q41" s="44" t="s">
        <v>29</v>
      </c>
      <c r="R41" s="44"/>
      <c r="S41" s="44"/>
      <c r="T41" s="93" t="s">
        <v>246</v>
      </c>
      <c r="U41" s="19"/>
      <c r="V41" s="38" t="s">
        <v>256</v>
      </c>
      <c r="W41" s="39">
        <f t="shared" si="0"/>
        <v>31</v>
      </c>
      <c r="X41" s="39"/>
      <c r="Y41" s="1"/>
      <c r="Z41" s="40"/>
      <c r="AA41" s="41"/>
      <c r="AB41" s="42"/>
    </row>
    <row r="42" spans="1:28" s="43" customFormat="1" ht="39.4" hidden="1" customHeight="1">
      <c r="A42" s="199">
        <v>44050</v>
      </c>
      <c r="B42" s="141" t="s">
        <v>56</v>
      </c>
      <c r="C42" s="20" t="s">
        <v>84</v>
      </c>
      <c r="D42" s="157" t="s">
        <v>154</v>
      </c>
      <c r="E42" s="22">
        <v>23</v>
      </c>
      <c r="F42" s="19" t="s">
        <v>79</v>
      </c>
      <c r="G42" s="22" t="s">
        <v>28</v>
      </c>
      <c r="H42" s="22">
        <v>230</v>
      </c>
      <c r="I42" s="180"/>
      <c r="J42" s="110"/>
      <c r="K42" s="138"/>
      <c r="L42" s="44"/>
      <c r="M42" s="44"/>
      <c r="N42" s="44"/>
      <c r="O42" s="44"/>
      <c r="P42" s="22" t="s">
        <v>70</v>
      </c>
      <c r="Q42" s="44" t="s">
        <v>29</v>
      </c>
      <c r="R42" s="44"/>
      <c r="S42" s="44"/>
      <c r="T42" s="19" t="s">
        <v>664</v>
      </c>
      <c r="U42" s="19"/>
      <c r="V42" s="38" t="s">
        <v>256</v>
      </c>
      <c r="W42" s="39">
        <f t="shared" si="0"/>
        <v>32</v>
      </c>
      <c r="X42" s="39"/>
      <c r="Y42" s="1"/>
      <c r="Z42" s="40"/>
      <c r="AA42" s="41"/>
      <c r="AB42" s="42"/>
    </row>
    <row r="43" spans="1:28" s="43" customFormat="1" ht="39.4" hidden="1" customHeight="1">
      <c r="A43" s="199">
        <v>44050</v>
      </c>
      <c r="B43" s="141" t="s">
        <v>57</v>
      </c>
      <c r="C43" s="20" t="s">
        <v>82</v>
      </c>
      <c r="D43" s="157" t="s">
        <v>167</v>
      </c>
      <c r="E43" s="22">
        <v>31</v>
      </c>
      <c r="F43" s="19" t="s">
        <v>79</v>
      </c>
      <c r="G43" s="22" t="s">
        <v>30</v>
      </c>
      <c r="H43" s="22">
        <v>230</v>
      </c>
      <c r="I43" s="180"/>
      <c r="J43" s="146"/>
      <c r="K43" s="138"/>
      <c r="L43" s="44"/>
      <c r="M43" s="44"/>
      <c r="N43" s="44"/>
      <c r="O43" s="44"/>
      <c r="P43" s="22" t="s">
        <v>70</v>
      </c>
      <c r="Q43" s="44" t="s">
        <v>29</v>
      </c>
      <c r="R43" s="44" t="s">
        <v>29</v>
      </c>
      <c r="S43" s="44"/>
      <c r="T43" s="93" t="s">
        <v>665</v>
      </c>
      <c r="U43" s="19"/>
      <c r="V43" s="38" t="s">
        <v>256</v>
      </c>
      <c r="W43" s="39">
        <f t="shared" si="0"/>
        <v>33</v>
      </c>
      <c r="X43" s="39"/>
      <c r="Y43" s="1"/>
      <c r="Z43" s="40"/>
      <c r="AA43" s="41"/>
      <c r="AB43" s="42"/>
    </row>
    <row r="44" spans="1:28" s="43" customFormat="1" ht="39.4" hidden="1" customHeight="1">
      <c r="A44" s="199">
        <v>44050</v>
      </c>
      <c r="B44" s="141" t="s">
        <v>58</v>
      </c>
      <c r="C44" s="20" t="s">
        <v>83</v>
      </c>
      <c r="D44" s="157" t="s">
        <v>168</v>
      </c>
      <c r="E44" s="22">
        <v>7</v>
      </c>
      <c r="F44" s="19" t="s">
        <v>79</v>
      </c>
      <c r="G44" s="22" t="s">
        <v>30</v>
      </c>
      <c r="H44" s="22">
        <v>230</v>
      </c>
      <c r="I44" s="180"/>
      <c r="J44" s="146"/>
      <c r="K44" s="138"/>
      <c r="L44" s="44"/>
      <c r="M44" s="44"/>
      <c r="N44" s="44"/>
      <c r="O44" s="44"/>
      <c r="P44" s="22" t="s">
        <v>70</v>
      </c>
      <c r="Q44" s="44" t="s">
        <v>29</v>
      </c>
      <c r="R44" s="44"/>
      <c r="S44" s="44"/>
      <c r="T44" s="19" t="s">
        <v>255</v>
      </c>
      <c r="U44" s="90"/>
      <c r="V44" s="38" t="s">
        <v>256</v>
      </c>
      <c r="W44" s="39">
        <f t="shared" si="0"/>
        <v>34</v>
      </c>
      <c r="X44" s="39"/>
      <c r="Y44" s="1"/>
      <c r="Z44" s="40"/>
      <c r="AA44" s="41"/>
      <c r="AB44" s="42"/>
    </row>
    <row r="45" spans="1:28" s="43" customFormat="1" ht="39.4" hidden="1" customHeight="1">
      <c r="A45" s="199">
        <v>44050</v>
      </c>
      <c r="B45" s="141" t="s">
        <v>59</v>
      </c>
      <c r="C45" s="20" t="s">
        <v>90</v>
      </c>
      <c r="D45" s="157" t="s">
        <v>150</v>
      </c>
      <c r="E45" s="22">
        <v>35</v>
      </c>
      <c r="F45" s="19" t="s">
        <v>79</v>
      </c>
      <c r="G45" s="22" t="s">
        <v>31</v>
      </c>
      <c r="H45" s="22">
        <v>120</v>
      </c>
      <c r="I45" s="180"/>
      <c r="J45" s="146"/>
      <c r="K45" s="138"/>
      <c r="L45" s="44"/>
      <c r="M45" s="44"/>
      <c r="N45" s="44"/>
      <c r="O45" s="44" t="s">
        <v>29</v>
      </c>
      <c r="P45" s="22" t="s">
        <v>70</v>
      </c>
      <c r="Q45" s="44"/>
      <c r="R45" s="44"/>
      <c r="S45" s="44"/>
      <c r="T45" s="19" t="s">
        <v>245</v>
      </c>
      <c r="U45" s="90"/>
      <c r="V45" s="38" t="s">
        <v>256</v>
      </c>
      <c r="W45" s="39">
        <f t="shared" si="0"/>
        <v>35</v>
      </c>
      <c r="X45" s="39"/>
      <c r="Y45" s="1"/>
      <c r="Z45" s="40"/>
      <c r="AA45" s="41"/>
      <c r="AB45" s="42"/>
    </row>
    <row r="46" spans="1:28" s="43" customFormat="1" ht="39.4" hidden="1" customHeight="1">
      <c r="A46" s="199">
        <v>44050</v>
      </c>
      <c r="B46" s="141" t="s">
        <v>60</v>
      </c>
      <c r="C46" s="20" t="s">
        <v>130</v>
      </c>
      <c r="D46" s="157" t="s">
        <v>172</v>
      </c>
      <c r="E46" s="22">
        <v>16</v>
      </c>
      <c r="F46" s="19" t="s">
        <v>67</v>
      </c>
      <c r="G46" s="22" t="s">
        <v>33</v>
      </c>
      <c r="H46" s="22">
        <v>100</v>
      </c>
      <c r="I46" s="180"/>
      <c r="J46" s="146"/>
      <c r="K46" s="138" t="s">
        <v>47</v>
      </c>
      <c r="L46" s="44"/>
      <c r="M46" s="44"/>
      <c r="N46" s="44"/>
      <c r="O46" s="44"/>
      <c r="P46" s="44" t="s">
        <v>29</v>
      </c>
      <c r="Q46" s="44"/>
      <c r="R46" s="44" t="s">
        <v>29</v>
      </c>
      <c r="S46" s="44" t="s">
        <v>29</v>
      </c>
      <c r="T46" s="19" t="s">
        <v>247</v>
      </c>
      <c r="U46" s="90"/>
      <c r="V46" s="38" t="s">
        <v>256</v>
      </c>
      <c r="W46" s="39">
        <f t="shared" si="0"/>
        <v>36</v>
      </c>
      <c r="X46" s="39"/>
      <c r="Y46" s="1">
        <f>23-17</f>
        <v>6</v>
      </c>
      <c r="Z46" s="40"/>
      <c r="AA46" s="41"/>
      <c r="AB46" s="42"/>
    </row>
    <row r="47" spans="1:28" s="43" customFormat="1" ht="39.4" hidden="1" customHeight="1">
      <c r="A47" s="199">
        <v>44050</v>
      </c>
      <c r="B47" s="141" t="s">
        <v>61</v>
      </c>
      <c r="C47" s="20" t="s">
        <v>248</v>
      </c>
      <c r="D47" s="157" t="s">
        <v>249</v>
      </c>
      <c r="E47" s="22">
        <v>36</v>
      </c>
      <c r="F47" s="19" t="s">
        <v>67</v>
      </c>
      <c r="G47" s="22" t="s">
        <v>19</v>
      </c>
      <c r="H47" s="22">
        <v>220</v>
      </c>
      <c r="I47" s="180"/>
      <c r="J47" s="146"/>
      <c r="K47" s="138" t="s">
        <v>47</v>
      </c>
      <c r="L47" s="44"/>
      <c r="M47" s="44"/>
      <c r="N47" s="44"/>
      <c r="O47" s="44"/>
      <c r="P47" s="44" t="s">
        <v>29</v>
      </c>
      <c r="Q47" s="44"/>
      <c r="R47" s="44"/>
      <c r="S47" s="44"/>
      <c r="T47" s="19" t="s">
        <v>421</v>
      </c>
      <c r="U47" s="90"/>
      <c r="V47" s="38" t="s">
        <v>256</v>
      </c>
      <c r="W47" s="39">
        <f t="shared" si="0"/>
        <v>37</v>
      </c>
      <c r="X47" s="39"/>
      <c r="Y47" s="1"/>
      <c r="Z47" s="40"/>
      <c r="AA47" s="41"/>
      <c r="AB47" s="42"/>
    </row>
    <row r="48" spans="1:28" s="43" customFormat="1" ht="39.4" hidden="1" customHeight="1">
      <c r="A48" s="119">
        <v>44051</v>
      </c>
      <c r="B48" s="141" t="s">
        <v>54</v>
      </c>
      <c r="C48" s="20" t="s">
        <v>248</v>
      </c>
      <c r="D48" s="157" t="s">
        <v>249</v>
      </c>
      <c r="E48" s="22">
        <v>3</v>
      </c>
      <c r="F48" s="19" t="s">
        <v>67</v>
      </c>
      <c r="G48" s="22" t="s">
        <v>19</v>
      </c>
      <c r="H48" s="22">
        <v>220</v>
      </c>
      <c r="I48" s="180"/>
      <c r="J48" s="146"/>
      <c r="K48" s="138" t="s">
        <v>47</v>
      </c>
      <c r="L48" s="44"/>
      <c r="M48" s="44"/>
      <c r="N48" s="44"/>
      <c r="O48" s="44"/>
      <c r="P48" s="44" t="s">
        <v>29</v>
      </c>
      <c r="Q48" s="44"/>
      <c r="R48" s="44"/>
      <c r="S48" s="44"/>
      <c r="T48" s="19" t="s">
        <v>422</v>
      </c>
      <c r="U48" s="90"/>
      <c r="V48" s="38" t="s">
        <v>256</v>
      </c>
      <c r="W48" s="39">
        <f t="shared" si="0"/>
        <v>37</v>
      </c>
      <c r="X48" s="39"/>
      <c r="Y48" s="1"/>
      <c r="Z48" s="40"/>
      <c r="AA48" s="41"/>
      <c r="AB48" s="42"/>
    </row>
    <row r="49" spans="1:28" s="43" customFormat="1" ht="39.4" hidden="1" customHeight="1">
      <c r="A49" s="199">
        <v>44051</v>
      </c>
      <c r="B49" s="141" t="s">
        <v>55</v>
      </c>
      <c r="C49" s="20" t="s">
        <v>84</v>
      </c>
      <c r="D49" s="157" t="s">
        <v>154</v>
      </c>
      <c r="E49" s="22">
        <v>23</v>
      </c>
      <c r="F49" s="19" t="s">
        <v>79</v>
      </c>
      <c r="G49" s="22" t="s">
        <v>28</v>
      </c>
      <c r="H49" s="22">
        <v>230</v>
      </c>
      <c r="I49" s="180"/>
      <c r="J49" s="146"/>
      <c r="K49" s="138"/>
      <c r="L49" s="44"/>
      <c r="M49" s="44"/>
      <c r="N49" s="44"/>
      <c r="O49" s="44"/>
      <c r="P49" s="22" t="s">
        <v>70</v>
      </c>
      <c r="Q49" s="44" t="s">
        <v>29</v>
      </c>
      <c r="R49" s="44"/>
      <c r="S49" s="44"/>
      <c r="T49" s="19" t="s">
        <v>666</v>
      </c>
      <c r="U49" s="90"/>
      <c r="V49" s="38" t="s">
        <v>256</v>
      </c>
      <c r="W49" s="39">
        <f t="shared" si="0"/>
        <v>38</v>
      </c>
      <c r="X49" s="39"/>
      <c r="Y49" s="1"/>
      <c r="Z49" s="40"/>
      <c r="AA49" s="41"/>
      <c r="AB49" s="42"/>
    </row>
    <row r="50" spans="1:28" s="43" customFormat="1" ht="39.4" hidden="1" customHeight="1">
      <c r="A50" s="199">
        <v>44051</v>
      </c>
      <c r="B50" s="141" t="s">
        <v>56</v>
      </c>
      <c r="C50" s="20" t="s">
        <v>252</v>
      </c>
      <c r="D50" s="157" t="s">
        <v>253</v>
      </c>
      <c r="E50" s="22">
        <v>30</v>
      </c>
      <c r="F50" s="19" t="s">
        <v>79</v>
      </c>
      <c r="G50" s="22" t="s">
        <v>46</v>
      </c>
      <c r="H50" s="22">
        <v>120</v>
      </c>
      <c r="I50" s="180"/>
      <c r="J50" s="146"/>
      <c r="K50" s="138"/>
      <c r="L50" s="44"/>
      <c r="M50" s="44"/>
      <c r="N50" s="44"/>
      <c r="O50" s="44"/>
      <c r="P50" s="22" t="s">
        <v>70</v>
      </c>
      <c r="Q50" s="44" t="s">
        <v>29</v>
      </c>
      <c r="R50" s="44" t="s">
        <v>29</v>
      </c>
      <c r="S50" s="44"/>
      <c r="T50" s="19" t="s">
        <v>254</v>
      </c>
      <c r="U50" s="90"/>
      <c r="V50" s="38" t="s">
        <v>17</v>
      </c>
      <c r="W50" s="39">
        <f t="shared" si="0"/>
        <v>39</v>
      </c>
      <c r="X50" s="39"/>
      <c r="Y50" s="1"/>
      <c r="Z50" s="40"/>
      <c r="AA50" s="41"/>
      <c r="AB50" s="42"/>
    </row>
    <row r="51" spans="1:28" s="43" customFormat="1" ht="39.4" hidden="1" customHeight="1">
      <c r="A51" s="199">
        <v>44051</v>
      </c>
      <c r="B51" s="141" t="s">
        <v>57</v>
      </c>
      <c r="C51" s="20" t="s">
        <v>93</v>
      </c>
      <c r="D51" s="157" t="s">
        <v>159</v>
      </c>
      <c r="E51" s="22">
        <v>4</v>
      </c>
      <c r="F51" s="22" t="s">
        <v>79</v>
      </c>
      <c r="G51" s="22" t="s">
        <v>31</v>
      </c>
      <c r="H51" s="22">
        <v>120</v>
      </c>
      <c r="I51" s="181"/>
      <c r="J51" s="143"/>
      <c r="K51" s="138"/>
      <c r="L51" s="44"/>
      <c r="M51" s="44"/>
      <c r="N51" s="44"/>
      <c r="O51" s="44"/>
      <c r="P51" s="22" t="s">
        <v>70</v>
      </c>
      <c r="Q51" s="44" t="s">
        <v>29</v>
      </c>
      <c r="R51" s="44"/>
      <c r="S51" s="44"/>
      <c r="T51" s="19" t="s">
        <v>217</v>
      </c>
      <c r="U51" s="90"/>
      <c r="V51" s="38" t="s">
        <v>17</v>
      </c>
      <c r="W51" s="39">
        <f t="shared" si="0"/>
        <v>40</v>
      </c>
      <c r="X51" s="39"/>
      <c r="Y51" s="1"/>
      <c r="Z51" s="40"/>
      <c r="AA51" s="41"/>
      <c r="AB51" s="42"/>
    </row>
    <row r="52" spans="1:28" s="43" customFormat="1" ht="39.4" hidden="1" customHeight="1">
      <c r="A52" s="199">
        <v>44051</v>
      </c>
      <c r="B52" s="141" t="s">
        <v>58</v>
      </c>
      <c r="C52" s="20" t="s">
        <v>120</v>
      </c>
      <c r="D52" s="157" t="s">
        <v>170</v>
      </c>
      <c r="E52" s="22">
        <v>12</v>
      </c>
      <c r="F52" s="22" t="s">
        <v>79</v>
      </c>
      <c r="G52" s="22" t="s">
        <v>49</v>
      </c>
      <c r="H52" s="22">
        <v>100</v>
      </c>
      <c r="I52" s="181"/>
      <c r="J52" s="143"/>
      <c r="K52" s="138"/>
      <c r="L52" s="44"/>
      <c r="M52" s="44" t="s">
        <v>29</v>
      </c>
      <c r="N52" s="44"/>
      <c r="O52" s="44"/>
      <c r="P52" s="22" t="s">
        <v>70</v>
      </c>
      <c r="Q52" s="44"/>
      <c r="R52" s="44" t="s">
        <v>29</v>
      </c>
      <c r="S52" s="44" t="s">
        <v>29</v>
      </c>
      <c r="T52" s="19" t="s">
        <v>251</v>
      </c>
      <c r="U52" s="90"/>
      <c r="V52" s="38" t="s">
        <v>17</v>
      </c>
      <c r="W52" s="39">
        <f t="shared" si="0"/>
        <v>41</v>
      </c>
      <c r="X52" s="39"/>
      <c r="Y52" s="1"/>
      <c r="Z52" s="40"/>
      <c r="AA52" s="41"/>
      <c r="AB52" s="42"/>
    </row>
    <row r="53" spans="1:28" s="43" customFormat="1" ht="39.4" hidden="1" customHeight="1">
      <c r="A53" s="199">
        <v>44051</v>
      </c>
      <c r="B53" s="141" t="s">
        <v>59</v>
      </c>
      <c r="C53" s="20" t="s">
        <v>90</v>
      </c>
      <c r="D53" s="157" t="s">
        <v>150</v>
      </c>
      <c r="E53" s="22">
        <v>36</v>
      </c>
      <c r="F53" s="22" t="s">
        <v>79</v>
      </c>
      <c r="G53" s="22" t="s">
        <v>31</v>
      </c>
      <c r="H53" s="22">
        <v>120</v>
      </c>
      <c r="I53" s="181"/>
      <c r="J53" s="143"/>
      <c r="K53" s="138"/>
      <c r="L53" s="44"/>
      <c r="M53" s="44"/>
      <c r="N53" s="44"/>
      <c r="O53" s="44" t="s">
        <v>29</v>
      </c>
      <c r="P53" s="22" t="s">
        <v>70</v>
      </c>
      <c r="Q53" s="44"/>
      <c r="R53" s="44"/>
      <c r="S53" s="44"/>
      <c r="T53" s="19" t="s">
        <v>250</v>
      </c>
      <c r="U53" s="90"/>
      <c r="V53" s="38" t="s">
        <v>17</v>
      </c>
      <c r="W53" s="39">
        <f t="shared" si="0"/>
        <v>42</v>
      </c>
      <c r="X53" s="39"/>
      <c r="Y53" s="1"/>
      <c r="Z53" s="40"/>
      <c r="AA53" s="41"/>
      <c r="AB53" s="42"/>
    </row>
    <row r="54" spans="1:28" s="43" customFormat="1" ht="39.4" hidden="1" customHeight="1">
      <c r="A54" s="199">
        <v>44051</v>
      </c>
      <c r="B54" s="141" t="s">
        <v>60</v>
      </c>
      <c r="C54" s="20" t="s">
        <v>123</v>
      </c>
      <c r="D54" s="157" t="s">
        <v>160</v>
      </c>
      <c r="E54" s="22">
        <v>15</v>
      </c>
      <c r="F54" s="22" t="s">
        <v>124</v>
      </c>
      <c r="G54" s="22" t="s">
        <v>18</v>
      </c>
      <c r="H54" s="22">
        <v>220</v>
      </c>
      <c r="I54" s="181"/>
      <c r="J54" s="143"/>
      <c r="K54" s="138"/>
      <c r="L54" s="44"/>
      <c r="M54" s="44" t="s">
        <v>29</v>
      </c>
      <c r="N54" s="44"/>
      <c r="O54" s="44"/>
      <c r="P54" s="44" t="s">
        <v>29</v>
      </c>
      <c r="Q54" s="44"/>
      <c r="R54" s="44" t="s">
        <v>29</v>
      </c>
      <c r="S54" s="44"/>
      <c r="T54" s="19" t="s">
        <v>667</v>
      </c>
      <c r="U54" s="90"/>
      <c r="V54" s="38" t="s">
        <v>17</v>
      </c>
      <c r="W54" s="39">
        <f t="shared" si="0"/>
        <v>43</v>
      </c>
      <c r="X54" s="39"/>
      <c r="Y54" s="1"/>
      <c r="Z54" s="40"/>
      <c r="AA54" s="41"/>
      <c r="AB54" s="42"/>
    </row>
    <row r="55" spans="1:28" s="43" customFormat="1" ht="39.4" hidden="1" customHeight="1">
      <c r="A55" s="199">
        <v>44051</v>
      </c>
      <c r="B55" s="141" t="s">
        <v>61</v>
      </c>
      <c r="C55" s="20" t="s">
        <v>103</v>
      </c>
      <c r="D55" s="157" t="s">
        <v>158</v>
      </c>
      <c r="E55" s="22">
        <v>5</v>
      </c>
      <c r="F55" s="22" t="s">
        <v>67</v>
      </c>
      <c r="G55" s="22" t="s">
        <v>30</v>
      </c>
      <c r="H55" s="22">
        <v>230</v>
      </c>
      <c r="I55" s="181"/>
      <c r="J55" s="143"/>
      <c r="K55" s="138"/>
      <c r="L55" s="44"/>
      <c r="M55" s="44"/>
      <c r="N55" s="44"/>
      <c r="O55" s="44"/>
      <c r="P55" s="44"/>
      <c r="Q55" s="44" t="s">
        <v>29</v>
      </c>
      <c r="R55" s="44"/>
      <c r="S55" s="44"/>
      <c r="T55" s="19" t="s">
        <v>258</v>
      </c>
      <c r="U55" s="90"/>
      <c r="V55" s="38" t="s">
        <v>17</v>
      </c>
      <c r="W55" s="39">
        <f t="shared" si="0"/>
        <v>44</v>
      </c>
      <c r="X55" s="39"/>
      <c r="Y55" s="1"/>
      <c r="Z55" s="40"/>
      <c r="AA55" s="41"/>
      <c r="AB55" s="42"/>
    </row>
    <row r="56" spans="1:28" s="43" customFormat="1" ht="39.4" hidden="1" customHeight="1">
      <c r="A56" s="199">
        <v>44051</v>
      </c>
      <c r="B56" s="141" t="s">
        <v>63</v>
      </c>
      <c r="C56" s="20" t="s">
        <v>130</v>
      </c>
      <c r="D56" s="157" t="s">
        <v>172</v>
      </c>
      <c r="E56" s="22">
        <v>32</v>
      </c>
      <c r="F56" s="22" t="s">
        <v>67</v>
      </c>
      <c r="G56" s="22" t="s">
        <v>33</v>
      </c>
      <c r="H56" s="22">
        <v>100</v>
      </c>
      <c r="I56" s="181"/>
      <c r="J56" s="143"/>
      <c r="K56" s="138" t="s">
        <v>47</v>
      </c>
      <c r="L56" s="44"/>
      <c r="M56" s="44"/>
      <c r="N56" s="44"/>
      <c r="O56" s="44"/>
      <c r="P56" s="44" t="s">
        <v>29</v>
      </c>
      <c r="Q56" s="44"/>
      <c r="R56" s="44" t="s">
        <v>29</v>
      </c>
      <c r="S56" s="44" t="s">
        <v>29</v>
      </c>
      <c r="T56" s="19" t="s">
        <v>423</v>
      </c>
      <c r="U56" s="90"/>
      <c r="V56" s="38" t="s">
        <v>17</v>
      </c>
      <c r="W56" s="39">
        <f t="shared" si="0"/>
        <v>45</v>
      </c>
      <c r="X56" s="39"/>
      <c r="Y56" s="1"/>
      <c r="Z56" s="40"/>
      <c r="AA56" s="41"/>
      <c r="AB56" s="42"/>
    </row>
    <row r="57" spans="1:28" s="43" customFormat="1" ht="39.4" hidden="1" customHeight="1">
      <c r="A57" s="119">
        <v>44053</v>
      </c>
      <c r="B57" s="149" t="s">
        <v>54</v>
      </c>
      <c r="C57" s="150" t="s">
        <v>130</v>
      </c>
      <c r="D57" s="21" t="s">
        <v>172</v>
      </c>
      <c r="E57" s="142">
        <v>21</v>
      </c>
      <c r="F57" s="142" t="s">
        <v>67</v>
      </c>
      <c r="G57" s="142" t="s">
        <v>33</v>
      </c>
      <c r="H57" s="142">
        <v>100</v>
      </c>
      <c r="I57" s="181"/>
      <c r="J57" s="143"/>
      <c r="K57" s="138" t="s">
        <v>47</v>
      </c>
      <c r="L57" s="44"/>
      <c r="M57" s="44"/>
      <c r="N57" s="44"/>
      <c r="O57" s="44"/>
      <c r="P57" s="44" t="s">
        <v>29</v>
      </c>
      <c r="Q57" s="44"/>
      <c r="R57" s="44" t="s">
        <v>29</v>
      </c>
      <c r="S57" s="44" t="s">
        <v>29</v>
      </c>
      <c r="T57" s="19" t="s">
        <v>424</v>
      </c>
      <c r="U57" s="90"/>
      <c r="V57" s="38" t="s">
        <v>17</v>
      </c>
      <c r="W57" s="39">
        <f t="shared" si="0"/>
        <v>45</v>
      </c>
      <c r="X57" s="39"/>
      <c r="Y57" s="1"/>
      <c r="Z57" s="40"/>
      <c r="AA57" s="41"/>
      <c r="AB57" s="42"/>
    </row>
    <row r="58" spans="1:28" s="43" customFormat="1" ht="39.4" hidden="1" customHeight="1">
      <c r="A58" s="199">
        <v>44053</v>
      </c>
      <c r="B58" s="149" t="s">
        <v>55</v>
      </c>
      <c r="C58" s="150" t="s">
        <v>127</v>
      </c>
      <c r="D58" s="21" t="s">
        <v>151</v>
      </c>
      <c r="E58" s="142">
        <v>2</v>
      </c>
      <c r="F58" s="142" t="s">
        <v>79</v>
      </c>
      <c r="G58" s="142" t="s">
        <v>18</v>
      </c>
      <c r="H58" s="142">
        <v>220</v>
      </c>
      <c r="I58" s="181"/>
      <c r="J58" s="143"/>
      <c r="K58" s="138"/>
      <c r="L58" s="44"/>
      <c r="M58" s="44"/>
      <c r="N58" s="44"/>
      <c r="O58" s="44"/>
      <c r="P58" s="22" t="s">
        <v>70</v>
      </c>
      <c r="Q58" s="44" t="s">
        <v>29</v>
      </c>
      <c r="R58" s="44" t="s">
        <v>29</v>
      </c>
      <c r="S58" s="44"/>
      <c r="T58" s="19" t="s">
        <v>262</v>
      </c>
      <c r="U58" s="90"/>
      <c r="V58" s="38" t="s">
        <v>17</v>
      </c>
      <c r="W58" s="39">
        <f t="shared" si="0"/>
        <v>46</v>
      </c>
      <c r="X58" s="39"/>
      <c r="Y58" s="1"/>
      <c r="Z58" s="40"/>
      <c r="AA58" s="41"/>
      <c r="AB58" s="42"/>
    </row>
    <row r="59" spans="1:28" s="43" customFormat="1" ht="39.4" hidden="1" customHeight="1">
      <c r="A59" s="199">
        <v>44053</v>
      </c>
      <c r="B59" s="149" t="s">
        <v>56</v>
      </c>
      <c r="C59" s="150" t="s">
        <v>269</v>
      </c>
      <c r="D59" s="21" t="s">
        <v>270</v>
      </c>
      <c r="E59" s="142">
        <v>2</v>
      </c>
      <c r="F59" s="142" t="s">
        <v>79</v>
      </c>
      <c r="G59" s="142" t="s">
        <v>28</v>
      </c>
      <c r="H59" s="142">
        <v>230</v>
      </c>
      <c r="I59" s="181"/>
      <c r="J59" s="143"/>
      <c r="K59" s="138"/>
      <c r="L59" s="44"/>
      <c r="M59" s="44"/>
      <c r="N59" s="44"/>
      <c r="O59" s="44"/>
      <c r="P59" s="22" t="s">
        <v>70</v>
      </c>
      <c r="Q59" s="44" t="s">
        <v>29</v>
      </c>
      <c r="R59" s="44"/>
      <c r="S59" s="44"/>
      <c r="T59" s="93" t="s">
        <v>271</v>
      </c>
      <c r="U59" s="90"/>
      <c r="V59" s="38" t="s">
        <v>17</v>
      </c>
      <c r="W59" s="39">
        <f t="shared" si="0"/>
        <v>47</v>
      </c>
      <c r="X59" s="39"/>
      <c r="Y59" s="1"/>
      <c r="Z59" s="40"/>
      <c r="AA59" s="41"/>
      <c r="AB59" s="42"/>
    </row>
    <row r="60" spans="1:28" s="43" customFormat="1" ht="39.4" hidden="1" customHeight="1">
      <c r="A60" s="199">
        <v>44053</v>
      </c>
      <c r="B60" s="149" t="s">
        <v>57</v>
      </c>
      <c r="C60" s="150" t="s">
        <v>80</v>
      </c>
      <c r="D60" s="21" t="s">
        <v>165</v>
      </c>
      <c r="E60" s="142">
        <v>5</v>
      </c>
      <c r="F60" s="142" t="s">
        <v>79</v>
      </c>
      <c r="G60" s="142" t="s">
        <v>30</v>
      </c>
      <c r="H60" s="142">
        <v>230</v>
      </c>
      <c r="I60" s="181"/>
      <c r="J60" s="143"/>
      <c r="K60" s="138"/>
      <c r="L60" s="44"/>
      <c r="M60" s="44"/>
      <c r="N60" s="44"/>
      <c r="O60" s="44"/>
      <c r="P60" s="22" t="s">
        <v>70</v>
      </c>
      <c r="Q60" s="44" t="s">
        <v>29</v>
      </c>
      <c r="R60" s="44" t="s">
        <v>29</v>
      </c>
      <c r="S60" s="44"/>
      <c r="T60" s="93" t="s">
        <v>266</v>
      </c>
      <c r="U60" s="90"/>
      <c r="V60" s="38" t="s">
        <v>17</v>
      </c>
      <c r="W60" s="39">
        <f t="shared" si="0"/>
        <v>48</v>
      </c>
      <c r="X60" s="39"/>
      <c r="Y60" s="1"/>
      <c r="Z60" s="40"/>
      <c r="AA60" s="41"/>
      <c r="AB60" s="42"/>
    </row>
    <row r="61" spans="1:28" s="43" customFormat="1" ht="39.4" hidden="1" customHeight="1">
      <c r="A61" s="199">
        <v>44053</v>
      </c>
      <c r="B61" s="149" t="s">
        <v>58</v>
      </c>
      <c r="C61" s="150" t="s">
        <v>81</v>
      </c>
      <c r="D61" s="21" t="s">
        <v>153</v>
      </c>
      <c r="E61" s="142">
        <v>14</v>
      </c>
      <c r="F61" s="142" t="s">
        <v>79</v>
      </c>
      <c r="G61" s="142" t="s">
        <v>28</v>
      </c>
      <c r="H61" s="142">
        <v>230</v>
      </c>
      <c r="I61" s="181"/>
      <c r="J61" s="143"/>
      <c r="K61" s="138"/>
      <c r="L61" s="44"/>
      <c r="M61" s="44"/>
      <c r="N61" s="44"/>
      <c r="O61" s="44"/>
      <c r="P61" s="22" t="s">
        <v>70</v>
      </c>
      <c r="Q61" s="44" t="s">
        <v>29</v>
      </c>
      <c r="R61" s="44"/>
      <c r="S61" s="44"/>
      <c r="T61" s="93" t="s">
        <v>272</v>
      </c>
      <c r="U61" s="90"/>
      <c r="V61" s="38" t="s">
        <v>17</v>
      </c>
      <c r="W61" s="39">
        <f t="shared" si="0"/>
        <v>49</v>
      </c>
      <c r="X61" s="39"/>
      <c r="Y61" s="1"/>
      <c r="Z61" s="40"/>
      <c r="AA61" s="41"/>
      <c r="AB61" s="42"/>
    </row>
    <row r="62" spans="1:28" s="43" customFormat="1" ht="39.4" hidden="1" customHeight="1">
      <c r="A62" s="199">
        <v>44053</v>
      </c>
      <c r="B62" s="149" t="s">
        <v>59</v>
      </c>
      <c r="C62" s="150" t="s">
        <v>173</v>
      </c>
      <c r="D62" s="21" t="s">
        <v>174</v>
      </c>
      <c r="E62" s="142">
        <v>16</v>
      </c>
      <c r="F62" s="142" t="s">
        <v>79</v>
      </c>
      <c r="G62" s="142" t="s">
        <v>18</v>
      </c>
      <c r="H62" s="142">
        <v>220</v>
      </c>
      <c r="I62" s="181"/>
      <c r="J62" s="143"/>
      <c r="K62" s="138"/>
      <c r="L62" s="44"/>
      <c r="M62" s="44"/>
      <c r="N62" s="44"/>
      <c r="O62" s="44"/>
      <c r="P62" s="22" t="s">
        <v>70</v>
      </c>
      <c r="Q62" s="44" t="s">
        <v>29</v>
      </c>
      <c r="R62" s="44" t="s">
        <v>29</v>
      </c>
      <c r="S62" s="44"/>
      <c r="T62" s="19" t="s">
        <v>263</v>
      </c>
      <c r="U62" s="90"/>
      <c r="V62" s="38" t="s">
        <v>17</v>
      </c>
      <c r="W62" s="39">
        <f t="shared" si="0"/>
        <v>50</v>
      </c>
      <c r="X62" s="39"/>
      <c r="Y62" s="1"/>
      <c r="Z62" s="40"/>
      <c r="AA62" s="41"/>
      <c r="AB62" s="42"/>
    </row>
    <row r="63" spans="1:28" s="43" customFormat="1" ht="39.4" hidden="1" customHeight="1">
      <c r="A63" s="199">
        <v>44053</v>
      </c>
      <c r="B63" s="149" t="s">
        <v>60</v>
      </c>
      <c r="C63" s="150" t="s">
        <v>92</v>
      </c>
      <c r="D63" s="21" t="s">
        <v>161</v>
      </c>
      <c r="E63" s="142">
        <v>1</v>
      </c>
      <c r="F63" s="142" t="s">
        <v>79</v>
      </c>
      <c r="G63" s="142" t="s">
        <v>31</v>
      </c>
      <c r="H63" s="142">
        <v>120</v>
      </c>
      <c r="I63" s="181"/>
      <c r="J63" s="143"/>
      <c r="K63" s="138"/>
      <c r="L63" s="44"/>
      <c r="M63" s="44"/>
      <c r="N63" s="44"/>
      <c r="O63" s="44"/>
      <c r="P63" s="22" t="s">
        <v>70</v>
      </c>
      <c r="Q63" s="44" t="s">
        <v>29</v>
      </c>
      <c r="R63" s="44"/>
      <c r="S63" s="44"/>
      <c r="T63" s="19" t="s">
        <v>259</v>
      </c>
      <c r="U63" s="90"/>
      <c r="V63" s="38" t="s">
        <v>17</v>
      </c>
      <c r="W63" s="39">
        <f t="shared" si="0"/>
        <v>51</v>
      </c>
      <c r="X63" s="39"/>
      <c r="Y63" s="1"/>
      <c r="Z63" s="40"/>
      <c r="AA63" s="41"/>
      <c r="AB63" s="42"/>
    </row>
    <row r="64" spans="1:28" s="43" customFormat="1" ht="39.4" hidden="1" customHeight="1">
      <c r="A64" s="199">
        <v>44053</v>
      </c>
      <c r="B64" s="149" t="s">
        <v>61</v>
      </c>
      <c r="C64" s="150" t="s">
        <v>84</v>
      </c>
      <c r="D64" s="21" t="s">
        <v>154</v>
      </c>
      <c r="E64" s="142">
        <v>3</v>
      </c>
      <c r="F64" s="142" t="s">
        <v>79</v>
      </c>
      <c r="G64" s="142" t="s">
        <v>28</v>
      </c>
      <c r="H64" s="142">
        <v>230</v>
      </c>
      <c r="I64" s="181"/>
      <c r="J64" s="143"/>
      <c r="K64" s="138"/>
      <c r="L64" s="44"/>
      <c r="M64" s="44"/>
      <c r="N64" s="44"/>
      <c r="O64" s="44"/>
      <c r="P64" s="22" t="s">
        <v>70</v>
      </c>
      <c r="Q64" s="44" t="s">
        <v>29</v>
      </c>
      <c r="R64" s="44"/>
      <c r="S64" s="44"/>
      <c r="T64" s="19" t="s">
        <v>274</v>
      </c>
      <c r="U64" s="90"/>
      <c r="V64" s="38" t="s">
        <v>17</v>
      </c>
      <c r="W64" s="39">
        <f t="shared" si="0"/>
        <v>52</v>
      </c>
      <c r="X64" s="39"/>
      <c r="Y64" s="1"/>
      <c r="Z64" s="40"/>
      <c r="AA64" s="41"/>
      <c r="AB64" s="42"/>
    </row>
    <row r="65" spans="1:28" s="43" customFormat="1" ht="39.4" hidden="1" customHeight="1">
      <c r="A65" s="199">
        <v>44053</v>
      </c>
      <c r="B65" s="149" t="s">
        <v>63</v>
      </c>
      <c r="C65" s="150" t="s">
        <v>82</v>
      </c>
      <c r="D65" s="21" t="s">
        <v>167</v>
      </c>
      <c r="E65" s="142">
        <v>7</v>
      </c>
      <c r="F65" s="142" t="s">
        <v>79</v>
      </c>
      <c r="G65" s="142" t="s">
        <v>30</v>
      </c>
      <c r="H65" s="142">
        <v>230</v>
      </c>
      <c r="I65" s="181"/>
      <c r="J65" s="143"/>
      <c r="K65" s="138"/>
      <c r="L65" s="44"/>
      <c r="M65" s="44"/>
      <c r="N65" s="44"/>
      <c r="O65" s="44"/>
      <c r="P65" s="22" t="s">
        <v>70</v>
      </c>
      <c r="Q65" s="44" t="s">
        <v>29</v>
      </c>
      <c r="R65" s="44" t="s">
        <v>29</v>
      </c>
      <c r="S65" s="44"/>
      <c r="T65" s="19" t="s">
        <v>267</v>
      </c>
      <c r="U65" s="90"/>
      <c r="V65" s="38" t="s">
        <v>17</v>
      </c>
      <c r="W65" s="39">
        <f t="shared" si="0"/>
        <v>53</v>
      </c>
      <c r="X65" s="39"/>
      <c r="Y65" s="1"/>
      <c r="Z65" s="40"/>
      <c r="AA65" s="41"/>
      <c r="AB65" s="42"/>
    </row>
    <row r="66" spans="1:28" s="43" customFormat="1" ht="39.4" hidden="1" customHeight="1">
      <c r="A66" s="199">
        <v>44053</v>
      </c>
      <c r="B66" s="149" t="s">
        <v>62</v>
      </c>
      <c r="C66" s="150" t="s">
        <v>252</v>
      </c>
      <c r="D66" s="21" t="s">
        <v>253</v>
      </c>
      <c r="E66" s="142">
        <v>5</v>
      </c>
      <c r="F66" s="142" t="s">
        <v>79</v>
      </c>
      <c r="G66" s="142" t="s">
        <v>46</v>
      </c>
      <c r="H66" s="142">
        <v>120</v>
      </c>
      <c r="I66" s="181"/>
      <c r="J66" s="143"/>
      <c r="K66" s="138"/>
      <c r="L66" s="44"/>
      <c r="M66" s="44"/>
      <c r="N66" s="44"/>
      <c r="O66" s="44"/>
      <c r="P66" s="22" t="s">
        <v>70</v>
      </c>
      <c r="Q66" s="44" t="s">
        <v>29</v>
      </c>
      <c r="R66" s="44" t="s">
        <v>29</v>
      </c>
      <c r="S66" s="44"/>
      <c r="T66" s="19" t="s">
        <v>265</v>
      </c>
      <c r="U66" s="90"/>
      <c r="V66" s="38" t="s">
        <v>17</v>
      </c>
      <c r="W66" s="39">
        <f t="shared" si="0"/>
        <v>54</v>
      </c>
      <c r="X66" s="39"/>
      <c r="Y66" s="1"/>
      <c r="Z66" s="40"/>
      <c r="AA66" s="41"/>
      <c r="AB66" s="42"/>
    </row>
    <row r="67" spans="1:28" s="43" customFormat="1" ht="39.4" hidden="1" customHeight="1">
      <c r="A67" s="199">
        <v>44053</v>
      </c>
      <c r="B67" s="149" t="s">
        <v>65</v>
      </c>
      <c r="C67" s="150" t="s">
        <v>118</v>
      </c>
      <c r="D67" s="21" t="s">
        <v>152</v>
      </c>
      <c r="E67" s="142">
        <v>5</v>
      </c>
      <c r="F67" s="142" t="s">
        <v>79</v>
      </c>
      <c r="G67" s="142" t="s">
        <v>18</v>
      </c>
      <c r="H67" s="142">
        <v>220</v>
      </c>
      <c r="I67" s="181"/>
      <c r="J67" s="143"/>
      <c r="K67" s="138"/>
      <c r="L67" s="44"/>
      <c r="M67" s="44"/>
      <c r="N67" s="44"/>
      <c r="O67" s="44"/>
      <c r="P67" s="22" t="s">
        <v>70</v>
      </c>
      <c r="Q67" s="44" t="s">
        <v>29</v>
      </c>
      <c r="R67" s="44" t="s">
        <v>29</v>
      </c>
      <c r="S67" s="44"/>
      <c r="T67" s="19" t="s">
        <v>264</v>
      </c>
      <c r="U67" s="90"/>
      <c r="V67" s="38" t="s">
        <v>17</v>
      </c>
      <c r="W67" s="39">
        <f t="shared" si="0"/>
        <v>55</v>
      </c>
      <c r="X67" s="39"/>
      <c r="Y67" s="1"/>
      <c r="Z67" s="40"/>
      <c r="AA67" s="41"/>
      <c r="AB67" s="42"/>
    </row>
    <row r="68" spans="1:28" s="43" customFormat="1" ht="39.4" hidden="1" customHeight="1">
      <c r="A68" s="199">
        <v>44053</v>
      </c>
      <c r="B68" s="149" t="s">
        <v>66</v>
      </c>
      <c r="C68" s="150" t="s">
        <v>83</v>
      </c>
      <c r="D68" s="21" t="s">
        <v>168</v>
      </c>
      <c r="E68" s="142">
        <v>8</v>
      </c>
      <c r="F68" s="142" t="s">
        <v>79</v>
      </c>
      <c r="G68" s="142" t="s">
        <v>30</v>
      </c>
      <c r="H68" s="142">
        <v>230</v>
      </c>
      <c r="I68" s="181"/>
      <c r="J68" s="143"/>
      <c r="K68" s="138"/>
      <c r="L68" s="44"/>
      <c r="M68" s="44"/>
      <c r="N68" s="44"/>
      <c r="O68" s="44"/>
      <c r="P68" s="22" t="s">
        <v>70</v>
      </c>
      <c r="Q68" s="44" t="s">
        <v>29</v>
      </c>
      <c r="R68" s="44"/>
      <c r="S68" s="44"/>
      <c r="T68" s="19" t="s">
        <v>268</v>
      </c>
      <c r="U68" s="90"/>
      <c r="V68" s="38" t="s">
        <v>17</v>
      </c>
      <c r="W68" s="39">
        <f t="shared" si="0"/>
        <v>56</v>
      </c>
      <c r="X68" s="39"/>
      <c r="Y68" s="1"/>
      <c r="Z68" s="40"/>
      <c r="AA68" s="41"/>
      <c r="AB68" s="42"/>
    </row>
    <row r="69" spans="1:28" s="43" customFormat="1" ht="39.4" hidden="1" customHeight="1">
      <c r="A69" s="199">
        <v>44053</v>
      </c>
      <c r="B69" s="149" t="s">
        <v>273</v>
      </c>
      <c r="C69" s="150" t="s">
        <v>120</v>
      </c>
      <c r="D69" s="21" t="s">
        <v>170</v>
      </c>
      <c r="E69" s="142">
        <v>3</v>
      </c>
      <c r="F69" s="142" t="s">
        <v>79</v>
      </c>
      <c r="G69" s="142" t="s">
        <v>49</v>
      </c>
      <c r="H69" s="142">
        <v>100</v>
      </c>
      <c r="I69" s="181"/>
      <c r="J69" s="143"/>
      <c r="K69" s="138"/>
      <c r="L69" s="44"/>
      <c r="M69" s="44" t="s">
        <v>29</v>
      </c>
      <c r="N69" s="44"/>
      <c r="O69" s="44"/>
      <c r="P69" s="22" t="s">
        <v>70</v>
      </c>
      <c r="Q69" s="44"/>
      <c r="R69" s="44" t="s">
        <v>29</v>
      </c>
      <c r="S69" s="44" t="s">
        <v>29</v>
      </c>
      <c r="T69" s="19" t="s">
        <v>261</v>
      </c>
      <c r="U69" s="90"/>
      <c r="V69" s="38" t="s">
        <v>17</v>
      </c>
      <c r="W69" s="39">
        <f t="shared" si="0"/>
        <v>57</v>
      </c>
      <c r="X69" s="39"/>
      <c r="Y69" s="1"/>
      <c r="Z69" s="40"/>
      <c r="AA69" s="41"/>
      <c r="AB69" s="42"/>
    </row>
    <row r="70" spans="1:28" s="43" customFormat="1" ht="39.4" hidden="1" customHeight="1">
      <c r="A70" s="199">
        <v>44053</v>
      </c>
      <c r="B70" s="149" t="s">
        <v>275</v>
      </c>
      <c r="C70" s="150" t="s">
        <v>90</v>
      </c>
      <c r="D70" s="21" t="s">
        <v>150</v>
      </c>
      <c r="E70" s="142">
        <v>14</v>
      </c>
      <c r="F70" s="142" t="s">
        <v>79</v>
      </c>
      <c r="G70" s="142" t="s">
        <v>31</v>
      </c>
      <c r="H70" s="142">
        <v>120</v>
      </c>
      <c r="I70" s="181"/>
      <c r="J70" s="143"/>
      <c r="K70" s="138"/>
      <c r="L70" s="44"/>
      <c r="M70" s="44"/>
      <c r="N70" s="44"/>
      <c r="O70" s="44" t="s">
        <v>29</v>
      </c>
      <c r="P70" s="22" t="s">
        <v>70</v>
      </c>
      <c r="Q70" s="44"/>
      <c r="R70" s="44"/>
      <c r="S70" s="44"/>
      <c r="T70" s="19" t="s">
        <v>260</v>
      </c>
      <c r="U70" s="90"/>
      <c r="V70" s="38" t="s">
        <v>17</v>
      </c>
      <c r="W70" s="39">
        <f t="shared" si="0"/>
        <v>58</v>
      </c>
      <c r="X70" s="39"/>
      <c r="Y70" s="1"/>
      <c r="Z70" s="40"/>
      <c r="AA70" s="41"/>
      <c r="AB70" s="42"/>
    </row>
    <row r="71" spans="1:28" s="43" customFormat="1" ht="39.4" hidden="1" customHeight="1">
      <c r="A71" s="199">
        <v>44053</v>
      </c>
      <c r="B71" s="149" t="s">
        <v>276</v>
      </c>
      <c r="C71" s="150" t="s">
        <v>123</v>
      </c>
      <c r="D71" s="21" t="s">
        <v>160</v>
      </c>
      <c r="E71" s="142">
        <v>15</v>
      </c>
      <c r="F71" s="142" t="s">
        <v>124</v>
      </c>
      <c r="G71" s="142" t="s">
        <v>18</v>
      </c>
      <c r="H71" s="142">
        <v>220</v>
      </c>
      <c r="I71" s="181"/>
      <c r="J71" s="143"/>
      <c r="K71" s="138"/>
      <c r="L71" s="44"/>
      <c r="M71" s="44" t="s">
        <v>29</v>
      </c>
      <c r="N71" s="44"/>
      <c r="O71" s="44"/>
      <c r="P71" s="44" t="s">
        <v>29</v>
      </c>
      <c r="Q71" s="44"/>
      <c r="R71" s="44" t="s">
        <v>29</v>
      </c>
      <c r="S71" s="44"/>
      <c r="T71" s="19" t="s">
        <v>668</v>
      </c>
      <c r="U71" s="90"/>
      <c r="V71" s="38" t="s">
        <v>17</v>
      </c>
      <c r="W71" s="39">
        <f t="shared" si="0"/>
        <v>59</v>
      </c>
      <c r="X71" s="39"/>
      <c r="Y71" s="1"/>
      <c r="Z71" s="40"/>
      <c r="AA71" s="41"/>
      <c r="AB71" s="42"/>
    </row>
    <row r="72" spans="1:28" s="43" customFormat="1" ht="39.4" hidden="1" customHeight="1">
      <c r="A72" s="199">
        <v>44053</v>
      </c>
      <c r="B72" s="149" t="s">
        <v>278</v>
      </c>
      <c r="C72" s="150" t="s">
        <v>103</v>
      </c>
      <c r="D72" s="21" t="s">
        <v>158</v>
      </c>
      <c r="E72" s="142">
        <v>31</v>
      </c>
      <c r="F72" s="142" t="s">
        <v>67</v>
      </c>
      <c r="G72" s="142" t="s">
        <v>30</v>
      </c>
      <c r="H72" s="142">
        <v>230</v>
      </c>
      <c r="I72" s="181"/>
      <c r="J72" s="143"/>
      <c r="K72" s="138"/>
      <c r="L72" s="44"/>
      <c r="M72" s="44"/>
      <c r="N72" s="44"/>
      <c r="O72" s="44"/>
      <c r="P72" s="44"/>
      <c r="Q72" s="44" t="s">
        <v>29</v>
      </c>
      <c r="R72" s="44"/>
      <c r="S72" s="44"/>
      <c r="T72" s="19" t="s">
        <v>277</v>
      </c>
      <c r="U72" s="90"/>
      <c r="V72" s="38" t="s">
        <v>17</v>
      </c>
      <c r="W72" s="39">
        <f t="shared" ref="W72:W135" si="1">IF(C72=C71,W71,W71+1)</f>
        <v>60</v>
      </c>
      <c r="X72" s="39"/>
      <c r="Y72" s="1"/>
      <c r="Z72" s="40"/>
      <c r="AA72" s="41"/>
      <c r="AB72" s="42"/>
    </row>
    <row r="73" spans="1:28" s="43" customFormat="1" ht="39.4" hidden="1" customHeight="1">
      <c r="A73" s="199">
        <v>44053</v>
      </c>
      <c r="B73" s="149" t="s">
        <v>280</v>
      </c>
      <c r="C73" s="150" t="s">
        <v>119</v>
      </c>
      <c r="D73" s="21" t="s">
        <v>157</v>
      </c>
      <c r="E73" s="142">
        <v>6</v>
      </c>
      <c r="F73" s="142" t="s">
        <v>67</v>
      </c>
      <c r="G73" s="142" t="s">
        <v>18</v>
      </c>
      <c r="H73" s="142">
        <v>220</v>
      </c>
      <c r="I73" s="181"/>
      <c r="J73" s="143"/>
      <c r="K73" s="138" t="s">
        <v>47</v>
      </c>
      <c r="L73" s="44"/>
      <c r="M73" s="44"/>
      <c r="N73" s="44"/>
      <c r="O73" s="44"/>
      <c r="P73" s="44" t="s">
        <v>29</v>
      </c>
      <c r="Q73" s="44"/>
      <c r="R73" s="44" t="s">
        <v>29</v>
      </c>
      <c r="S73" s="44"/>
      <c r="T73" s="19" t="s">
        <v>425</v>
      </c>
      <c r="U73" s="90"/>
      <c r="V73" s="38" t="s">
        <v>17</v>
      </c>
      <c r="W73" s="39">
        <f t="shared" si="1"/>
        <v>61</v>
      </c>
      <c r="X73" s="39"/>
      <c r="Y73" s="1"/>
      <c r="Z73" s="40"/>
      <c r="AA73" s="41"/>
      <c r="AB73" s="42"/>
    </row>
    <row r="74" spans="1:28" s="43" customFormat="1" ht="39.4" hidden="1" customHeight="1">
      <c r="A74" s="119">
        <v>44054</v>
      </c>
      <c r="B74" s="149" t="s">
        <v>54</v>
      </c>
      <c r="C74" s="150" t="s">
        <v>119</v>
      </c>
      <c r="D74" s="21" t="s">
        <v>157</v>
      </c>
      <c r="E74" s="142">
        <v>7</v>
      </c>
      <c r="F74" s="142" t="s">
        <v>67</v>
      </c>
      <c r="G74" s="142" t="s">
        <v>18</v>
      </c>
      <c r="H74" s="142">
        <v>220</v>
      </c>
      <c r="I74" s="181"/>
      <c r="J74" s="143"/>
      <c r="K74" s="138" t="s">
        <v>47</v>
      </c>
      <c r="L74" s="44"/>
      <c r="M74" s="44"/>
      <c r="N74" s="44"/>
      <c r="O74" s="44"/>
      <c r="P74" s="44" t="s">
        <v>29</v>
      </c>
      <c r="Q74" s="44"/>
      <c r="R74" s="44" t="s">
        <v>29</v>
      </c>
      <c r="S74" s="44"/>
      <c r="T74" s="93" t="s">
        <v>426</v>
      </c>
      <c r="U74" s="90"/>
      <c r="V74" s="38" t="s">
        <v>17</v>
      </c>
      <c r="W74" s="39">
        <f t="shared" si="1"/>
        <v>61</v>
      </c>
      <c r="X74" s="39"/>
      <c r="Y74" s="1"/>
      <c r="Z74" s="40"/>
      <c r="AA74" s="41"/>
      <c r="AB74" s="42"/>
    </row>
    <row r="75" spans="1:28" s="43" customFormat="1" ht="39.4" hidden="1" customHeight="1">
      <c r="A75" s="202">
        <v>44054</v>
      </c>
      <c r="B75" s="149" t="s">
        <v>55</v>
      </c>
      <c r="C75" s="150" t="s">
        <v>86</v>
      </c>
      <c r="D75" s="21" t="s">
        <v>155</v>
      </c>
      <c r="E75" s="142">
        <v>14</v>
      </c>
      <c r="F75" s="142" t="s">
        <v>67</v>
      </c>
      <c r="G75" s="142" t="s">
        <v>30</v>
      </c>
      <c r="H75" s="142">
        <v>230</v>
      </c>
      <c r="I75" s="181"/>
      <c r="J75" s="143"/>
      <c r="K75" s="138"/>
      <c r="L75" s="44"/>
      <c r="M75" s="44"/>
      <c r="N75" s="44"/>
      <c r="O75" s="44"/>
      <c r="P75" s="44"/>
      <c r="Q75" s="44" t="s">
        <v>29</v>
      </c>
      <c r="R75" s="44"/>
      <c r="S75" s="44"/>
      <c r="T75" s="93" t="s">
        <v>286</v>
      </c>
      <c r="U75" s="90"/>
      <c r="V75" s="38" t="s">
        <v>17</v>
      </c>
      <c r="W75" s="39">
        <f t="shared" si="1"/>
        <v>62</v>
      </c>
      <c r="X75" s="39"/>
      <c r="Y75" s="1"/>
      <c r="Z75" s="40"/>
      <c r="AA75" s="41"/>
      <c r="AB75" s="42"/>
    </row>
    <row r="76" spans="1:28" s="43" customFormat="1" ht="39.4" hidden="1" customHeight="1">
      <c r="A76" s="202">
        <v>44054</v>
      </c>
      <c r="B76" s="149" t="s">
        <v>56</v>
      </c>
      <c r="C76" s="150" t="s">
        <v>129</v>
      </c>
      <c r="D76" s="21" t="s">
        <v>156</v>
      </c>
      <c r="E76" s="142">
        <v>2</v>
      </c>
      <c r="F76" s="142" t="s">
        <v>53</v>
      </c>
      <c r="G76" s="142" t="s">
        <v>30</v>
      </c>
      <c r="H76" s="142">
        <v>230</v>
      </c>
      <c r="I76" s="181"/>
      <c r="J76" s="143"/>
      <c r="K76" s="138"/>
      <c r="L76" s="44"/>
      <c r="M76" s="44"/>
      <c r="N76" s="44"/>
      <c r="O76" s="44"/>
      <c r="P76" s="44"/>
      <c r="Q76" s="44" t="s">
        <v>29</v>
      </c>
      <c r="R76" s="44" t="s">
        <v>29</v>
      </c>
      <c r="S76" s="44"/>
      <c r="T76" s="19" t="s">
        <v>287</v>
      </c>
      <c r="U76" s="90"/>
      <c r="V76" s="38" t="s">
        <v>17</v>
      </c>
      <c r="W76" s="39">
        <f t="shared" si="1"/>
        <v>63</v>
      </c>
      <c r="X76" s="39"/>
      <c r="Y76" s="1"/>
      <c r="Z76" s="40"/>
      <c r="AA76" s="41"/>
      <c r="AB76" s="42"/>
    </row>
    <row r="77" spans="1:28" s="43" customFormat="1" ht="39.4" hidden="1" customHeight="1">
      <c r="A77" s="202">
        <v>44054</v>
      </c>
      <c r="B77" s="149" t="s">
        <v>57</v>
      </c>
      <c r="C77" s="150" t="s">
        <v>193</v>
      </c>
      <c r="D77" s="21" t="s">
        <v>194</v>
      </c>
      <c r="E77" s="142">
        <v>1</v>
      </c>
      <c r="F77" s="142" t="s">
        <v>53</v>
      </c>
      <c r="G77" s="142" t="s">
        <v>18</v>
      </c>
      <c r="H77" s="142">
        <v>220</v>
      </c>
      <c r="I77" s="181"/>
      <c r="J77" s="143"/>
      <c r="K77" s="138"/>
      <c r="L77" s="44"/>
      <c r="M77" s="44" t="s">
        <v>29</v>
      </c>
      <c r="N77" s="44"/>
      <c r="O77" s="44"/>
      <c r="P77" s="44" t="s">
        <v>29</v>
      </c>
      <c r="Q77" s="44"/>
      <c r="R77" s="44" t="s">
        <v>29</v>
      </c>
      <c r="S77" s="44"/>
      <c r="T77" s="19" t="s">
        <v>285</v>
      </c>
      <c r="U77" s="90"/>
      <c r="V77" s="38" t="s">
        <v>17</v>
      </c>
      <c r="W77" s="39">
        <f t="shared" si="1"/>
        <v>64</v>
      </c>
      <c r="X77" s="39"/>
      <c r="Y77" s="1"/>
      <c r="Z77" s="40"/>
      <c r="AA77" s="41"/>
      <c r="AB77" s="42"/>
    </row>
    <row r="78" spans="1:28" s="43" customFormat="1" ht="39.4" hidden="1" customHeight="1">
      <c r="A78" s="202">
        <v>44054</v>
      </c>
      <c r="B78" s="149" t="s">
        <v>58</v>
      </c>
      <c r="C78" s="150" t="s">
        <v>83</v>
      </c>
      <c r="D78" s="21" t="s">
        <v>168</v>
      </c>
      <c r="E78" s="142">
        <v>33</v>
      </c>
      <c r="F78" s="142" t="s">
        <v>79</v>
      </c>
      <c r="G78" s="142" t="s">
        <v>30</v>
      </c>
      <c r="H78" s="142">
        <v>230</v>
      </c>
      <c r="I78" s="181"/>
      <c r="J78" s="143"/>
      <c r="K78" s="138"/>
      <c r="L78" s="44"/>
      <c r="M78" s="44"/>
      <c r="N78" s="44"/>
      <c r="O78" s="44"/>
      <c r="P78" s="22" t="s">
        <v>70</v>
      </c>
      <c r="Q78" s="44" t="s">
        <v>29</v>
      </c>
      <c r="R78" s="44"/>
      <c r="S78" s="44"/>
      <c r="T78" s="19" t="s">
        <v>284</v>
      </c>
      <c r="U78" s="90"/>
      <c r="V78" s="38" t="s">
        <v>17</v>
      </c>
      <c r="W78" s="39">
        <f t="shared" si="1"/>
        <v>65</v>
      </c>
      <c r="X78" s="39"/>
      <c r="Y78" s="1"/>
      <c r="Z78" s="40"/>
      <c r="AA78" s="41"/>
      <c r="AB78" s="42"/>
    </row>
    <row r="79" spans="1:28" s="43" customFormat="1" ht="39.4" hidden="1" customHeight="1">
      <c r="A79" s="202">
        <v>44054</v>
      </c>
      <c r="B79" s="149" t="s">
        <v>59</v>
      </c>
      <c r="C79" s="150" t="s">
        <v>143</v>
      </c>
      <c r="D79" s="21" t="s">
        <v>166</v>
      </c>
      <c r="E79" s="142">
        <v>38</v>
      </c>
      <c r="F79" s="142" t="s">
        <v>79</v>
      </c>
      <c r="G79" s="142" t="s">
        <v>18</v>
      </c>
      <c r="H79" s="142">
        <v>220</v>
      </c>
      <c r="I79" s="181"/>
      <c r="J79" s="143"/>
      <c r="K79" s="138"/>
      <c r="L79" s="44"/>
      <c r="M79" s="44"/>
      <c r="N79" s="44"/>
      <c r="O79" s="44"/>
      <c r="P79" s="22" t="s">
        <v>70</v>
      </c>
      <c r="Q79" s="44" t="s">
        <v>29</v>
      </c>
      <c r="R79" s="44" t="s">
        <v>29</v>
      </c>
      <c r="S79" s="44"/>
      <c r="T79" s="93" t="s">
        <v>283</v>
      </c>
      <c r="U79" s="90"/>
      <c r="V79" s="38" t="s">
        <v>17</v>
      </c>
      <c r="W79" s="39">
        <f t="shared" si="1"/>
        <v>66</v>
      </c>
      <c r="X79" s="39"/>
      <c r="Y79" s="1"/>
      <c r="Z79" s="40"/>
      <c r="AA79" s="41"/>
      <c r="AB79" s="42"/>
    </row>
    <row r="80" spans="1:28" s="43" customFormat="1" ht="39.4" hidden="1" customHeight="1">
      <c r="A80" s="202">
        <v>44054</v>
      </c>
      <c r="B80" s="149" t="s">
        <v>60</v>
      </c>
      <c r="C80" s="150" t="s">
        <v>90</v>
      </c>
      <c r="D80" s="21" t="s">
        <v>150</v>
      </c>
      <c r="E80" s="142">
        <v>3</v>
      </c>
      <c r="F80" s="142" t="s">
        <v>79</v>
      </c>
      <c r="G80" s="142" t="s">
        <v>31</v>
      </c>
      <c r="H80" s="142">
        <v>120</v>
      </c>
      <c r="I80" s="181"/>
      <c r="J80" s="143"/>
      <c r="K80" s="138"/>
      <c r="L80" s="44"/>
      <c r="M80" s="44"/>
      <c r="N80" s="44"/>
      <c r="O80" s="44" t="s">
        <v>29</v>
      </c>
      <c r="P80" s="22" t="s">
        <v>70</v>
      </c>
      <c r="Q80" s="44"/>
      <c r="R80" s="44"/>
      <c r="S80" s="44"/>
      <c r="T80" s="19" t="s">
        <v>282</v>
      </c>
      <c r="U80" s="90"/>
      <c r="V80" s="38" t="s">
        <v>17</v>
      </c>
      <c r="W80" s="39">
        <f t="shared" si="1"/>
        <v>67</v>
      </c>
      <c r="X80" s="39"/>
      <c r="Y80" s="1"/>
      <c r="Z80" s="40"/>
      <c r="AA80" s="41"/>
      <c r="AB80" s="42"/>
    </row>
    <row r="81" spans="1:28" s="43" customFormat="1" ht="39.4" hidden="1" customHeight="1">
      <c r="A81" s="202">
        <v>44054</v>
      </c>
      <c r="B81" s="149" t="s">
        <v>61</v>
      </c>
      <c r="C81" s="150" t="s">
        <v>189</v>
      </c>
      <c r="D81" s="21" t="s">
        <v>190</v>
      </c>
      <c r="E81" s="142">
        <v>1</v>
      </c>
      <c r="F81" s="142" t="s">
        <v>79</v>
      </c>
      <c r="G81" s="142" t="s">
        <v>49</v>
      </c>
      <c r="H81" s="142">
        <v>100</v>
      </c>
      <c r="I81" s="181"/>
      <c r="J81" s="143"/>
      <c r="K81" s="138"/>
      <c r="L81" s="44"/>
      <c r="M81" s="44"/>
      <c r="N81" s="44"/>
      <c r="O81" s="44" t="s">
        <v>29</v>
      </c>
      <c r="P81" s="22" t="s">
        <v>70</v>
      </c>
      <c r="Q81" s="44"/>
      <c r="R81" s="44" t="s">
        <v>29</v>
      </c>
      <c r="S81" s="44" t="s">
        <v>29</v>
      </c>
      <c r="T81" s="93" t="s">
        <v>281</v>
      </c>
      <c r="U81" s="90"/>
      <c r="V81" s="38" t="s">
        <v>17</v>
      </c>
      <c r="W81" s="39">
        <f t="shared" si="1"/>
        <v>68</v>
      </c>
      <c r="X81" s="39"/>
      <c r="Y81" s="1"/>
      <c r="Z81" s="40"/>
      <c r="AA81" s="41"/>
      <c r="AB81" s="42"/>
    </row>
    <row r="82" spans="1:28" s="43" customFormat="1" ht="39.4" hidden="1" customHeight="1">
      <c r="A82" s="202">
        <v>44054</v>
      </c>
      <c r="B82" s="149" t="s">
        <v>63</v>
      </c>
      <c r="C82" s="150" t="s">
        <v>91</v>
      </c>
      <c r="D82" s="21" t="s">
        <v>162</v>
      </c>
      <c r="E82" s="142">
        <v>9</v>
      </c>
      <c r="F82" s="142" t="s">
        <v>79</v>
      </c>
      <c r="G82" s="142" t="s">
        <v>31</v>
      </c>
      <c r="H82" s="142">
        <v>120</v>
      </c>
      <c r="I82" s="181"/>
      <c r="J82" s="143"/>
      <c r="K82" s="138"/>
      <c r="L82" s="44"/>
      <c r="M82" s="44"/>
      <c r="N82" s="44"/>
      <c r="O82" s="44" t="s">
        <v>29</v>
      </c>
      <c r="P82" s="22" t="s">
        <v>70</v>
      </c>
      <c r="Q82" s="44"/>
      <c r="R82" s="44"/>
      <c r="S82" s="44"/>
      <c r="T82" s="19" t="s">
        <v>279</v>
      </c>
      <c r="U82" s="90"/>
      <c r="V82" s="38" t="s">
        <v>17</v>
      </c>
      <c r="W82" s="39">
        <f t="shared" si="1"/>
        <v>69</v>
      </c>
      <c r="X82" s="39"/>
      <c r="Y82" s="1"/>
      <c r="Z82" s="40"/>
      <c r="AA82" s="41"/>
      <c r="AB82" s="42"/>
    </row>
    <row r="83" spans="1:28" s="43" customFormat="1" ht="39.4" hidden="1" customHeight="1">
      <c r="A83" s="202">
        <v>44054</v>
      </c>
      <c r="B83" s="149" t="s">
        <v>62</v>
      </c>
      <c r="C83" s="150" t="s">
        <v>130</v>
      </c>
      <c r="D83" s="21" t="s">
        <v>172</v>
      </c>
      <c r="E83" s="142">
        <v>34</v>
      </c>
      <c r="F83" s="142" t="s">
        <v>67</v>
      </c>
      <c r="G83" s="142" t="s">
        <v>33</v>
      </c>
      <c r="H83" s="142">
        <v>100</v>
      </c>
      <c r="I83" s="181"/>
      <c r="J83" s="143"/>
      <c r="K83" s="138" t="s">
        <v>47</v>
      </c>
      <c r="L83" s="44"/>
      <c r="M83" s="44"/>
      <c r="N83" s="44"/>
      <c r="O83" s="44"/>
      <c r="P83" s="44" t="s">
        <v>29</v>
      </c>
      <c r="Q83" s="44"/>
      <c r="R83" s="44" t="s">
        <v>29</v>
      </c>
      <c r="S83" s="44" t="s">
        <v>29</v>
      </c>
      <c r="T83" s="19" t="s">
        <v>289</v>
      </c>
      <c r="U83" s="90"/>
      <c r="V83" s="38" t="s">
        <v>17</v>
      </c>
      <c r="W83" s="39">
        <f t="shared" si="1"/>
        <v>70</v>
      </c>
      <c r="X83" s="39"/>
      <c r="Y83" s="1"/>
      <c r="Z83" s="40"/>
      <c r="AA83" s="41"/>
      <c r="AB83" s="42"/>
    </row>
    <row r="84" spans="1:28" s="43" customFormat="1" ht="39.4" hidden="1" customHeight="1">
      <c r="A84" s="202">
        <v>44054</v>
      </c>
      <c r="B84" s="149" t="s">
        <v>65</v>
      </c>
      <c r="C84" s="150" t="s">
        <v>185</v>
      </c>
      <c r="D84" s="21" t="s">
        <v>186</v>
      </c>
      <c r="E84" s="142">
        <v>15</v>
      </c>
      <c r="F84" s="142" t="s">
        <v>98</v>
      </c>
      <c r="G84" s="142" t="s">
        <v>31</v>
      </c>
      <c r="H84" s="142">
        <v>120</v>
      </c>
      <c r="I84" s="181"/>
      <c r="J84" s="143"/>
      <c r="K84" s="138"/>
      <c r="L84" s="44"/>
      <c r="M84" s="44"/>
      <c r="N84" s="44"/>
      <c r="O84" s="44" t="s">
        <v>29</v>
      </c>
      <c r="P84" s="22" t="s">
        <v>70</v>
      </c>
      <c r="Q84" s="44"/>
      <c r="R84" s="44"/>
      <c r="S84" s="44"/>
      <c r="T84" s="19" t="s">
        <v>288</v>
      </c>
      <c r="U84" s="90"/>
      <c r="V84" s="38" t="s">
        <v>17</v>
      </c>
      <c r="W84" s="39">
        <f t="shared" si="1"/>
        <v>71</v>
      </c>
      <c r="X84" s="39"/>
      <c r="Y84" s="1"/>
      <c r="Z84" s="40"/>
      <c r="AA84" s="41"/>
      <c r="AB84" s="42"/>
    </row>
    <row r="85" spans="1:28" s="43" customFormat="1" ht="39.4" hidden="1" customHeight="1">
      <c r="A85" s="202">
        <v>44054</v>
      </c>
      <c r="B85" s="149" t="s">
        <v>66</v>
      </c>
      <c r="C85" s="150" t="s">
        <v>269</v>
      </c>
      <c r="D85" s="21" t="s">
        <v>270</v>
      </c>
      <c r="E85" s="142">
        <v>3</v>
      </c>
      <c r="F85" s="142" t="s">
        <v>79</v>
      </c>
      <c r="G85" s="142" t="s">
        <v>28</v>
      </c>
      <c r="H85" s="142">
        <v>230</v>
      </c>
      <c r="I85" s="181"/>
      <c r="J85" s="143"/>
      <c r="K85" s="138"/>
      <c r="L85" s="44"/>
      <c r="M85" s="44"/>
      <c r="N85" s="44"/>
      <c r="O85" s="44"/>
      <c r="P85" s="22" t="s">
        <v>70</v>
      </c>
      <c r="Q85" s="44" t="s">
        <v>29</v>
      </c>
      <c r="R85" s="44"/>
      <c r="S85" s="44"/>
      <c r="T85" s="19" t="s">
        <v>427</v>
      </c>
      <c r="U85" s="90"/>
      <c r="V85" s="38" t="s">
        <v>17</v>
      </c>
      <c r="W85" s="39">
        <f t="shared" si="1"/>
        <v>72</v>
      </c>
      <c r="X85" s="39"/>
      <c r="Y85" s="1"/>
      <c r="Z85" s="40"/>
      <c r="AA85" s="41"/>
      <c r="AB85" s="42"/>
    </row>
    <row r="86" spans="1:28" s="43" customFormat="1" ht="39.4" hidden="1" customHeight="1">
      <c r="A86" s="201">
        <v>44060</v>
      </c>
      <c r="B86" s="149" t="s">
        <v>54</v>
      </c>
      <c r="C86" s="150" t="s">
        <v>269</v>
      </c>
      <c r="D86" s="21" t="s">
        <v>270</v>
      </c>
      <c r="E86" s="142">
        <v>3</v>
      </c>
      <c r="F86" s="142" t="s">
        <v>79</v>
      </c>
      <c r="G86" s="142" t="s">
        <v>28</v>
      </c>
      <c r="H86" s="142">
        <v>230</v>
      </c>
      <c r="I86" s="181"/>
      <c r="J86" s="143"/>
      <c r="K86" s="138"/>
      <c r="L86" s="44"/>
      <c r="M86" s="44"/>
      <c r="N86" s="44"/>
      <c r="O86" s="44"/>
      <c r="P86" s="22" t="s">
        <v>70</v>
      </c>
      <c r="Q86" s="44" t="s">
        <v>29</v>
      </c>
      <c r="R86" s="44"/>
      <c r="S86" s="44"/>
      <c r="T86" s="19" t="s">
        <v>428</v>
      </c>
      <c r="U86" s="90"/>
      <c r="V86" s="38" t="s">
        <v>17</v>
      </c>
      <c r="W86" s="39">
        <f t="shared" si="1"/>
        <v>72</v>
      </c>
      <c r="X86" s="39"/>
      <c r="Y86" s="1"/>
      <c r="Z86" s="40"/>
      <c r="AA86" s="41"/>
      <c r="AB86" s="42"/>
    </row>
    <row r="87" spans="1:28" s="43" customFormat="1" ht="39.4" hidden="1" customHeight="1">
      <c r="A87" s="202">
        <v>44060</v>
      </c>
      <c r="B87" s="149" t="s">
        <v>55</v>
      </c>
      <c r="C87" s="150" t="s">
        <v>80</v>
      </c>
      <c r="D87" s="21" t="s">
        <v>165</v>
      </c>
      <c r="E87" s="142">
        <v>4</v>
      </c>
      <c r="F87" s="142" t="s">
        <v>79</v>
      </c>
      <c r="G87" s="142" t="s">
        <v>30</v>
      </c>
      <c r="H87" s="142">
        <v>230</v>
      </c>
      <c r="I87" s="181"/>
      <c r="J87" s="143"/>
      <c r="K87" s="138"/>
      <c r="L87" s="44"/>
      <c r="M87" s="44"/>
      <c r="N87" s="44"/>
      <c r="O87" s="44"/>
      <c r="P87" s="22" t="s">
        <v>70</v>
      </c>
      <c r="Q87" s="44" t="s">
        <v>29</v>
      </c>
      <c r="R87" s="44" t="s">
        <v>29</v>
      </c>
      <c r="S87" s="44"/>
      <c r="T87" s="19" t="s">
        <v>291</v>
      </c>
      <c r="U87" s="90"/>
      <c r="V87" s="38" t="s">
        <v>17</v>
      </c>
      <c r="W87" s="39">
        <f t="shared" si="1"/>
        <v>73</v>
      </c>
      <c r="X87" s="39"/>
      <c r="Y87" s="1"/>
      <c r="Z87" s="40"/>
      <c r="AA87" s="41"/>
      <c r="AB87" s="42"/>
    </row>
    <row r="88" spans="1:28" s="43" customFormat="1" ht="39.4" hidden="1" customHeight="1">
      <c r="A88" s="202">
        <v>44060</v>
      </c>
      <c r="B88" s="149" t="s">
        <v>56</v>
      </c>
      <c r="C88" s="150" t="s">
        <v>81</v>
      </c>
      <c r="D88" s="21" t="s">
        <v>153</v>
      </c>
      <c r="E88" s="142">
        <v>21</v>
      </c>
      <c r="F88" s="142" t="s">
        <v>79</v>
      </c>
      <c r="G88" s="142" t="s">
        <v>28</v>
      </c>
      <c r="H88" s="142">
        <v>230</v>
      </c>
      <c r="I88" s="181"/>
      <c r="J88" s="44"/>
      <c r="K88" s="138"/>
      <c r="L88" s="44"/>
      <c r="M88" s="44"/>
      <c r="N88" s="44"/>
      <c r="O88" s="44"/>
      <c r="P88" s="22" t="s">
        <v>70</v>
      </c>
      <c r="Q88" s="44" t="s">
        <v>29</v>
      </c>
      <c r="R88" s="44"/>
      <c r="S88" s="44"/>
      <c r="T88" s="19" t="s">
        <v>295</v>
      </c>
      <c r="U88" s="90"/>
      <c r="V88" s="38" t="s">
        <v>17</v>
      </c>
      <c r="W88" s="39">
        <f t="shared" si="1"/>
        <v>74</v>
      </c>
      <c r="X88" s="39"/>
      <c r="Y88" s="1"/>
      <c r="Z88" s="40"/>
      <c r="AA88" s="41"/>
      <c r="AB88" s="42"/>
    </row>
    <row r="89" spans="1:28" s="43" customFormat="1" ht="39.4" hidden="1" customHeight="1">
      <c r="A89" s="202">
        <v>44060</v>
      </c>
      <c r="B89" s="149" t="s">
        <v>57</v>
      </c>
      <c r="C89" s="150" t="s">
        <v>292</v>
      </c>
      <c r="D89" s="21" t="s">
        <v>293</v>
      </c>
      <c r="E89" s="142">
        <v>2</v>
      </c>
      <c r="F89" s="142" t="s">
        <v>79</v>
      </c>
      <c r="G89" s="142" t="s">
        <v>30</v>
      </c>
      <c r="H89" s="142">
        <v>230</v>
      </c>
      <c r="I89" s="181"/>
      <c r="J89" s="143"/>
      <c r="K89" s="138"/>
      <c r="L89" s="44"/>
      <c r="M89" s="44"/>
      <c r="N89" s="44"/>
      <c r="O89" s="44"/>
      <c r="P89" s="22" t="s">
        <v>70</v>
      </c>
      <c r="Q89" s="44" t="s">
        <v>29</v>
      </c>
      <c r="R89" s="44" t="s">
        <v>29</v>
      </c>
      <c r="S89" s="44"/>
      <c r="T89" s="19" t="s">
        <v>294</v>
      </c>
      <c r="U89" s="90"/>
      <c r="V89" s="38" t="s">
        <v>17</v>
      </c>
      <c r="W89" s="39">
        <f t="shared" si="1"/>
        <v>75</v>
      </c>
      <c r="X89" s="39"/>
      <c r="Y89" s="1"/>
      <c r="Z89" s="40"/>
      <c r="AA89" s="41"/>
      <c r="AB89" s="42"/>
    </row>
    <row r="90" spans="1:28" s="43" customFormat="1" ht="39.4" hidden="1" customHeight="1">
      <c r="A90" s="202">
        <v>44060</v>
      </c>
      <c r="B90" s="149" t="s">
        <v>58</v>
      </c>
      <c r="C90" s="150" t="s">
        <v>92</v>
      </c>
      <c r="D90" s="21" t="s">
        <v>161</v>
      </c>
      <c r="E90" s="142">
        <v>46</v>
      </c>
      <c r="F90" s="142" t="s">
        <v>79</v>
      </c>
      <c r="G90" s="142" t="s">
        <v>31</v>
      </c>
      <c r="H90" s="142">
        <v>120</v>
      </c>
      <c r="I90" s="181"/>
      <c r="J90" s="143"/>
      <c r="K90" s="138"/>
      <c r="L90" s="44"/>
      <c r="M90" s="44"/>
      <c r="N90" s="44"/>
      <c r="O90" s="44"/>
      <c r="P90" s="22" t="s">
        <v>70</v>
      </c>
      <c r="Q90" s="44" t="s">
        <v>29</v>
      </c>
      <c r="R90" s="44"/>
      <c r="S90" s="44"/>
      <c r="T90" s="19" t="s">
        <v>429</v>
      </c>
      <c r="U90" s="90"/>
      <c r="V90" s="38" t="s">
        <v>17</v>
      </c>
      <c r="W90" s="39">
        <f t="shared" si="1"/>
        <v>76</v>
      </c>
      <c r="X90" s="39"/>
      <c r="Y90" s="1"/>
      <c r="Z90" s="40"/>
      <c r="AA90" s="41"/>
      <c r="AB90" s="42"/>
    </row>
    <row r="91" spans="1:28" s="43" customFormat="1" ht="39.4" hidden="1" customHeight="1">
      <c r="A91" s="202">
        <v>44060</v>
      </c>
      <c r="B91" s="149" t="s">
        <v>59</v>
      </c>
      <c r="C91" s="150" t="s">
        <v>90</v>
      </c>
      <c r="D91" s="21" t="s">
        <v>150</v>
      </c>
      <c r="E91" s="142">
        <v>30</v>
      </c>
      <c r="F91" s="142" t="s">
        <v>79</v>
      </c>
      <c r="G91" s="142" t="s">
        <v>31</v>
      </c>
      <c r="H91" s="142">
        <v>120</v>
      </c>
      <c r="I91" s="181"/>
      <c r="J91" s="143"/>
      <c r="K91" s="138"/>
      <c r="L91" s="44"/>
      <c r="M91" s="44"/>
      <c r="N91" s="44"/>
      <c r="O91" s="44" t="s">
        <v>29</v>
      </c>
      <c r="P91" s="22" t="s">
        <v>70</v>
      </c>
      <c r="Q91" s="44"/>
      <c r="R91" s="44"/>
      <c r="S91" s="44"/>
      <c r="T91" s="19" t="s">
        <v>290</v>
      </c>
      <c r="U91" s="90"/>
      <c r="V91" s="38" t="s">
        <v>17</v>
      </c>
      <c r="W91" s="39">
        <f t="shared" si="1"/>
        <v>77</v>
      </c>
      <c r="X91" s="39"/>
      <c r="Y91" s="1"/>
      <c r="Z91" s="40"/>
      <c r="AA91" s="41"/>
      <c r="AB91" s="42"/>
    </row>
    <row r="92" spans="1:28" s="43" customFormat="1" ht="39.4" hidden="1" customHeight="1">
      <c r="A92" s="202">
        <v>44060</v>
      </c>
      <c r="B92" s="149" t="s">
        <v>60</v>
      </c>
      <c r="C92" s="150" t="s">
        <v>130</v>
      </c>
      <c r="D92" s="21" t="s">
        <v>172</v>
      </c>
      <c r="E92" s="142">
        <v>1</v>
      </c>
      <c r="F92" s="142" t="s">
        <v>67</v>
      </c>
      <c r="G92" s="142" t="s">
        <v>33</v>
      </c>
      <c r="H92" s="142">
        <v>100</v>
      </c>
      <c r="I92" s="181"/>
      <c r="J92" s="143"/>
      <c r="K92" s="138" t="s">
        <v>47</v>
      </c>
      <c r="L92" s="44"/>
      <c r="M92" s="44"/>
      <c r="N92" s="44"/>
      <c r="O92" s="44"/>
      <c r="P92" s="44" t="s">
        <v>29</v>
      </c>
      <c r="Q92" s="44"/>
      <c r="R92" s="44" t="s">
        <v>29</v>
      </c>
      <c r="S92" s="44" t="s">
        <v>29</v>
      </c>
      <c r="T92" s="19" t="s">
        <v>298</v>
      </c>
      <c r="U92" s="90"/>
      <c r="V92" s="38" t="s">
        <v>17</v>
      </c>
      <c r="W92" s="39">
        <f t="shared" si="1"/>
        <v>78</v>
      </c>
      <c r="X92" s="39"/>
      <c r="Y92" s="1"/>
      <c r="Z92" s="40"/>
      <c r="AA92" s="41"/>
      <c r="AB92" s="42"/>
    </row>
    <row r="93" spans="1:28" s="43" customFormat="1" ht="39.4" hidden="1" customHeight="1">
      <c r="A93" s="202">
        <v>44060</v>
      </c>
      <c r="B93" s="149" t="s">
        <v>61</v>
      </c>
      <c r="C93" s="150" t="s">
        <v>191</v>
      </c>
      <c r="D93" s="21" t="s">
        <v>155</v>
      </c>
      <c r="E93" s="142">
        <v>33</v>
      </c>
      <c r="F93" s="142" t="s">
        <v>67</v>
      </c>
      <c r="G93" s="142" t="s">
        <v>41</v>
      </c>
      <c r="H93" s="142">
        <v>230</v>
      </c>
      <c r="I93" s="181"/>
      <c r="J93" s="143"/>
      <c r="K93" s="138" t="s">
        <v>47</v>
      </c>
      <c r="L93" s="44"/>
      <c r="M93" s="44"/>
      <c r="N93" s="44"/>
      <c r="O93" s="44"/>
      <c r="P93" s="44" t="s">
        <v>29</v>
      </c>
      <c r="Q93" s="44"/>
      <c r="R93" s="44"/>
      <c r="S93" s="44"/>
      <c r="T93" s="19" t="s">
        <v>430</v>
      </c>
      <c r="U93" s="90"/>
      <c r="V93" s="38" t="s">
        <v>17</v>
      </c>
      <c r="W93" s="39">
        <f t="shared" si="1"/>
        <v>79</v>
      </c>
      <c r="X93" s="39"/>
      <c r="Y93" s="1"/>
      <c r="Z93" s="40"/>
      <c r="AA93" s="41"/>
      <c r="AB93" s="42"/>
    </row>
    <row r="94" spans="1:28" s="43" customFormat="1" ht="39.4" hidden="1" customHeight="1">
      <c r="A94" s="202">
        <v>44060</v>
      </c>
      <c r="B94" s="149" t="s">
        <v>63</v>
      </c>
      <c r="C94" s="150" t="s">
        <v>187</v>
      </c>
      <c r="D94" s="21" t="s">
        <v>188</v>
      </c>
      <c r="E94" s="142">
        <v>7</v>
      </c>
      <c r="F94" s="142" t="s">
        <v>98</v>
      </c>
      <c r="G94" s="142" t="s">
        <v>31</v>
      </c>
      <c r="H94" s="142">
        <v>120</v>
      </c>
      <c r="I94" s="181"/>
      <c r="J94" s="143"/>
      <c r="K94" s="138"/>
      <c r="L94" s="44"/>
      <c r="M94" s="44"/>
      <c r="N94" s="44"/>
      <c r="O94" s="44" t="s">
        <v>29</v>
      </c>
      <c r="P94" s="22" t="s">
        <v>70</v>
      </c>
      <c r="Q94" s="44"/>
      <c r="R94" s="44"/>
      <c r="S94" s="44"/>
      <c r="T94" s="19" t="s">
        <v>296</v>
      </c>
      <c r="U94" s="90"/>
      <c r="V94" s="38" t="s">
        <v>17</v>
      </c>
      <c r="W94" s="39">
        <f t="shared" si="1"/>
        <v>80</v>
      </c>
      <c r="X94" s="39"/>
      <c r="Y94" s="1"/>
      <c r="Z94" s="40"/>
      <c r="AA94" s="41"/>
      <c r="AB94" s="42"/>
    </row>
    <row r="95" spans="1:28" s="43" customFormat="1" ht="39.4" hidden="1" customHeight="1">
      <c r="A95" s="202">
        <v>44060</v>
      </c>
      <c r="B95" s="149" t="s">
        <v>62</v>
      </c>
      <c r="C95" s="150" t="s">
        <v>85</v>
      </c>
      <c r="D95" s="21" t="s">
        <v>171</v>
      </c>
      <c r="E95" s="142">
        <v>8</v>
      </c>
      <c r="F95" s="142" t="s">
        <v>98</v>
      </c>
      <c r="G95" s="142" t="s">
        <v>31</v>
      </c>
      <c r="H95" s="142">
        <v>120</v>
      </c>
      <c r="I95" s="181"/>
      <c r="J95" s="44"/>
      <c r="K95" s="138"/>
      <c r="L95" s="44"/>
      <c r="M95" s="44"/>
      <c r="N95" s="44"/>
      <c r="O95" s="44"/>
      <c r="P95" s="22" t="s">
        <v>70</v>
      </c>
      <c r="Q95" s="44" t="s">
        <v>29</v>
      </c>
      <c r="R95" s="44"/>
      <c r="S95" s="44"/>
      <c r="T95" s="19" t="s">
        <v>297</v>
      </c>
      <c r="U95" s="90"/>
      <c r="V95" s="38" t="s">
        <v>17</v>
      </c>
      <c r="W95" s="39">
        <f t="shared" si="1"/>
        <v>81</v>
      </c>
      <c r="X95" s="39"/>
      <c r="Y95" s="1"/>
      <c r="Z95" s="40"/>
      <c r="AA95" s="41"/>
      <c r="AB95" s="42"/>
    </row>
    <row r="96" spans="1:28" s="43" customFormat="1" ht="39.4" hidden="1" customHeight="1">
      <c r="A96" s="202">
        <v>44060</v>
      </c>
      <c r="B96" s="149" t="s">
        <v>65</v>
      </c>
      <c r="C96" s="150" t="s">
        <v>92</v>
      </c>
      <c r="D96" s="21" t="s">
        <v>161</v>
      </c>
      <c r="E96" s="142">
        <v>3</v>
      </c>
      <c r="F96" s="142" t="s">
        <v>79</v>
      </c>
      <c r="G96" s="142" t="s">
        <v>31</v>
      </c>
      <c r="H96" s="142">
        <v>120</v>
      </c>
      <c r="I96" s="181"/>
      <c r="J96" s="143"/>
      <c r="K96" s="138"/>
      <c r="L96" s="44"/>
      <c r="M96" s="44"/>
      <c r="N96" s="44"/>
      <c r="O96" s="44"/>
      <c r="P96" s="22" t="s">
        <v>70</v>
      </c>
      <c r="Q96" s="44" t="s">
        <v>29</v>
      </c>
      <c r="R96" s="44"/>
      <c r="S96" s="44"/>
      <c r="T96" s="93" t="s">
        <v>431</v>
      </c>
      <c r="U96" s="90"/>
      <c r="V96" s="38" t="s">
        <v>17</v>
      </c>
      <c r="W96" s="39">
        <f t="shared" si="1"/>
        <v>82</v>
      </c>
      <c r="X96" s="39"/>
      <c r="Y96" s="1"/>
      <c r="Z96" s="40"/>
      <c r="AA96" s="41"/>
      <c r="AB96" s="42"/>
    </row>
    <row r="97" spans="1:28" s="43" customFormat="1" ht="39.4" hidden="1" customHeight="1">
      <c r="A97" s="201">
        <v>44061</v>
      </c>
      <c r="B97" s="149" t="s">
        <v>54</v>
      </c>
      <c r="C97" s="150" t="s">
        <v>92</v>
      </c>
      <c r="D97" s="21" t="s">
        <v>161</v>
      </c>
      <c r="E97" s="142">
        <v>6</v>
      </c>
      <c r="F97" s="142" t="s">
        <v>79</v>
      </c>
      <c r="G97" s="142" t="s">
        <v>31</v>
      </c>
      <c r="H97" s="142">
        <v>120</v>
      </c>
      <c r="I97" s="181"/>
      <c r="J97" s="143"/>
      <c r="K97" s="138"/>
      <c r="L97" s="44"/>
      <c r="M97" s="44"/>
      <c r="N97" s="44"/>
      <c r="O97" s="44"/>
      <c r="P97" s="22" t="s">
        <v>70</v>
      </c>
      <c r="Q97" s="44" t="s">
        <v>29</v>
      </c>
      <c r="R97" s="44"/>
      <c r="S97" s="44"/>
      <c r="T97" s="19" t="s">
        <v>432</v>
      </c>
      <c r="U97" s="90"/>
      <c r="V97" s="38" t="s">
        <v>17</v>
      </c>
      <c r="W97" s="39">
        <f t="shared" si="1"/>
        <v>82</v>
      </c>
      <c r="X97" s="39"/>
      <c r="Y97" s="1"/>
      <c r="Z97" s="40"/>
      <c r="AA97" s="41"/>
      <c r="AB97" s="42"/>
    </row>
    <row r="98" spans="1:28" s="43" customFormat="1" ht="39.4" customHeight="1">
      <c r="A98" s="202">
        <v>44061</v>
      </c>
      <c r="B98" s="149" t="s">
        <v>55</v>
      </c>
      <c r="C98" s="150" t="s">
        <v>84</v>
      </c>
      <c r="D98" s="21" t="s">
        <v>154</v>
      </c>
      <c r="E98" s="142">
        <v>40</v>
      </c>
      <c r="F98" s="142" t="s">
        <v>79</v>
      </c>
      <c r="G98" s="142" t="s">
        <v>28</v>
      </c>
      <c r="H98" s="142">
        <v>230</v>
      </c>
      <c r="I98" s="181"/>
      <c r="J98" s="143"/>
      <c r="K98" s="138"/>
      <c r="L98" s="44"/>
      <c r="M98" s="44"/>
      <c r="N98" s="44"/>
      <c r="O98" s="44"/>
      <c r="P98" s="22" t="s">
        <v>70</v>
      </c>
      <c r="Q98" s="44" t="s">
        <v>29</v>
      </c>
      <c r="R98" s="44"/>
      <c r="S98" s="44"/>
      <c r="T98" s="19" t="s">
        <v>669</v>
      </c>
      <c r="U98" s="90"/>
      <c r="V98" s="38" t="s">
        <v>17</v>
      </c>
      <c r="W98" s="39">
        <f t="shared" si="1"/>
        <v>83</v>
      </c>
      <c r="X98" s="39"/>
      <c r="Y98" s="1"/>
      <c r="Z98" s="40"/>
      <c r="AA98" s="41"/>
      <c r="AB98" s="42"/>
    </row>
    <row r="99" spans="1:28" s="43" customFormat="1" ht="39.4" customHeight="1">
      <c r="A99" s="202">
        <v>44061</v>
      </c>
      <c r="B99" s="149" t="s">
        <v>56</v>
      </c>
      <c r="C99" s="150" t="s">
        <v>82</v>
      </c>
      <c r="D99" s="21" t="s">
        <v>167</v>
      </c>
      <c r="E99" s="142">
        <v>14</v>
      </c>
      <c r="F99" s="142" t="s">
        <v>79</v>
      </c>
      <c r="G99" s="142" t="s">
        <v>30</v>
      </c>
      <c r="H99" s="142">
        <v>230</v>
      </c>
      <c r="I99" s="181"/>
      <c r="J99" s="143"/>
      <c r="K99" s="138"/>
      <c r="L99" s="44"/>
      <c r="M99" s="44"/>
      <c r="N99" s="44"/>
      <c r="O99" s="44"/>
      <c r="P99" s="22" t="s">
        <v>70</v>
      </c>
      <c r="Q99" s="44" t="s">
        <v>29</v>
      </c>
      <c r="R99" s="44" t="s">
        <v>29</v>
      </c>
      <c r="S99" s="44"/>
      <c r="T99" s="19" t="s">
        <v>670</v>
      </c>
      <c r="U99" s="144"/>
      <c r="V99" s="38" t="s">
        <v>17</v>
      </c>
      <c r="W99" s="39">
        <f t="shared" si="1"/>
        <v>84</v>
      </c>
      <c r="X99" s="39"/>
      <c r="Y99" s="1"/>
      <c r="Z99" s="40"/>
      <c r="AA99" s="41"/>
      <c r="AB99" s="42"/>
    </row>
    <row r="100" spans="1:28" s="43" customFormat="1" ht="39.4" customHeight="1">
      <c r="A100" s="202">
        <v>44061</v>
      </c>
      <c r="B100" s="149" t="s">
        <v>57</v>
      </c>
      <c r="C100" s="150" t="s">
        <v>118</v>
      </c>
      <c r="D100" s="21" t="s">
        <v>152</v>
      </c>
      <c r="E100" s="142">
        <v>4</v>
      </c>
      <c r="F100" s="142" t="s">
        <v>79</v>
      </c>
      <c r="G100" s="142" t="s">
        <v>18</v>
      </c>
      <c r="H100" s="142">
        <v>220</v>
      </c>
      <c r="I100" s="181"/>
      <c r="J100" s="143"/>
      <c r="K100" s="138"/>
      <c r="L100" s="44"/>
      <c r="M100" s="44"/>
      <c r="N100" s="44"/>
      <c r="O100" s="44"/>
      <c r="P100" s="22" t="s">
        <v>70</v>
      </c>
      <c r="Q100" s="44" t="s">
        <v>29</v>
      </c>
      <c r="R100" s="44" t="s">
        <v>29</v>
      </c>
      <c r="S100" s="44"/>
      <c r="T100" s="19" t="s">
        <v>300</v>
      </c>
      <c r="U100" s="144"/>
      <c r="V100" s="38" t="s">
        <v>17</v>
      </c>
      <c r="W100" s="39">
        <f t="shared" si="1"/>
        <v>85</v>
      </c>
      <c r="X100" s="39"/>
      <c r="Y100" s="1"/>
      <c r="Z100" s="40"/>
      <c r="AA100" s="41"/>
      <c r="AB100" s="42"/>
    </row>
    <row r="101" spans="1:28" s="43" customFormat="1" ht="39.4" customHeight="1">
      <c r="A101" s="202">
        <v>44061</v>
      </c>
      <c r="B101" s="149" t="s">
        <v>58</v>
      </c>
      <c r="C101" s="150" t="s">
        <v>83</v>
      </c>
      <c r="D101" s="21" t="s">
        <v>168</v>
      </c>
      <c r="E101" s="142">
        <v>6</v>
      </c>
      <c r="F101" s="142" t="s">
        <v>79</v>
      </c>
      <c r="G101" s="142" t="s">
        <v>30</v>
      </c>
      <c r="H101" s="142">
        <v>230</v>
      </c>
      <c r="I101" s="181"/>
      <c r="J101" s="143"/>
      <c r="K101" s="138"/>
      <c r="L101" s="44"/>
      <c r="M101" s="44"/>
      <c r="N101" s="44"/>
      <c r="O101" s="44"/>
      <c r="P101" s="22" t="s">
        <v>70</v>
      </c>
      <c r="Q101" s="44" t="s">
        <v>29</v>
      </c>
      <c r="R101" s="44"/>
      <c r="S101" s="44"/>
      <c r="T101" s="19" t="s">
        <v>317</v>
      </c>
      <c r="U101" s="144"/>
      <c r="V101" s="38" t="s">
        <v>17</v>
      </c>
      <c r="W101" s="39">
        <f t="shared" si="1"/>
        <v>86</v>
      </c>
      <c r="X101" s="39"/>
      <c r="Y101" s="1"/>
      <c r="Z101" s="40"/>
      <c r="AA101" s="41"/>
      <c r="AB101" s="42"/>
    </row>
    <row r="102" spans="1:28" s="43" customFormat="1" ht="39.4" customHeight="1">
      <c r="A102" s="202">
        <v>44061</v>
      </c>
      <c r="B102" s="149" t="s">
        <v>59</v>
      </c>
      <c r="C102" s="150" t="s">
        <v>90</v>
      </c>
      <c r="D102" s="21" t="s">
        <v>150</v>
      </c>
      <c r="E102" s="142">
        <v>38</v>
      </c>
      <c r="F102" s="142" t="s">
        <v>79</v>
      </c>
      <c r="G102" s="142" t="s">
        <v>31</v>
      </c>
      <c r="H102" s="142">
        <v>120</v>
      </c>
      <c r="I102" s="181"/>
      <c r="J102" s="143"/>
      <c r="K102" s="138"/>
      <c r="L102" s="44"/>
      <c r="M102" s="44"/>
      <c r="N102" s="44"/>
      <c r="O102" s="44" t="s">
        <v>29</v>
      </c>
      <c r="P102" s="22" t="s">
        <v>70</v>
      </c>
      <c r="Q102" s="44"/>
      <c r="R102" s="44"/>
      <c r="S102" s="44"/>
      <c r="T102" s="19" t="s">
        <v>299</v>
      </c>
      <c r="U102" s="144"/>
      <c r="V102" s="38" t="s">
        <v>17</v>
      </c>
      <c r="W102" s="39">
        <f t="shared" si="1"/>
        <v>87</v>
      </c>
      <c r="X102" s="39"/>
      <c r="Y102" s="1"/>
      <c r="Z102" s="40"/>
      <c r="AA102" s="41"/>
      <c r="AB102" s="42"/>
    </row>
    <row r="103" spans="1:28" s="43" customFormat="1" ht="39.4" customHeight="1">
      <c r="A103" s="202">
        <v>44061</v>
      </c>
      <c r="B103" s="149" t="s">
        <v>60</v>
      </c>
      <c r="C103" s="150" t="s">
        <v>123</v>
      </c>
      <c r="D103" s="21" t="s">
        <v>160</v>
      </c>
      <c r="E103" s="142">
        <v>15</v>
      </c>
      <c r="F103" s="142" t="s">
        <v>124</v>
      </c>
      <c r="G103" s="142" t="s">
        <v>18</v>
      </c>
      <c r="H103" s="142">
        <v>220</v>
      </c>
      <c r="I103" s="181"/>
      <c r="J103" s="143"/>
      <c r="K103" s="138"/>
      <c r="L103" s="44"/>
      <c r="M103" s="44" t="s">
        <v>29</v>
      </c>
      <c r="N103" s="44"/>
      <c r="O103" s="44"/>
      <c r="P103" s="44" t="s">
        <v>29</v>
      </c>
      <c r="Q103" s="44"/>
      <c r="R103" s="44" t="s">
        <v>29</v>
      </c>
      <c r="S103" s="44"/>
      <c r="T103" s="93" t="s">
        <v>671</v>
      </c>
      <c r="U103" s="144"/>
      <c r="V103" s="38" t="s">
        <v>17</v>
      </c>
      <c r="W103" s="39">
        <f t="shared" si="1"/>
        <v>88</v>
      </c>
      <c r="X103" s="39"/>
      <c r="Y103" s="1"/>
      <c r="Z103" s="40"/>
      <c r="AA103" s="41"/>
      <c r="AB103" s="42"/>
    </row>
    <row r="104" spans="1:28" s="43" customFormat="1" ht="39.4" customHeight="1">
      <c r="A104" s="202">
        <v>44061</v>
      </c>
      <c r="B104" s="149" t="s">
        <v>61</v>
      </c>
      <c r="C104" s="150" t="s">
        <v>119</v>
      </c>
      <c r="D104" s="21" t="s">
        <v>157</v>
      </c>
      <c r="E104" s="142">
        <v>14</v>
      </c>
      <c r="F104" s="142" t="s">
        <v>67</v>
      </c>
      <c r="G104" s="142" t="s">
        <v>18</v>
      </c>
      <c r="H104" s="142">
        <v>220</v>
      </c>
      <c r="I104" s="181"/>
      <c r="J104" s="143"/>
      <c r="K104" s="138" t="s">
        <v>47</v>
      </c>
      <c r="L104" s="44"/>
      <c r="M104" s="44"/>
      <c r="N104" s="44"/>
      <c r="O104" s="44"/>
      <c r="P104" s="44" t="s">
        <v>29</v>
      </c>
      <c r="Q104" s="44"/>
      <c r="R104" s="44" t="s">
        <v>29</v>
      </c>
      <c r="S104" s="44"/>
      <c r="T104" s="19" t="s">
        <v>302</v>
      </c>
      <c r="U104" s="144"/>
      <c r="V104" s="38" t="s">
        <v>17</v>
      </c>
      <c r="W104" s="39">
        <f t="shared" si="1"/>
        <v>89</v>
      </c>
      <c r="X104" s="39"/>
      <c r="Y104" s="1"/>
      <c r="Z104" s="40"/>
      <c r="AA104" s="41"/>
      <c r="AB104" s="42"/>
    </row>
    <row r="105" spans="1:28" s="43" customFormat="1" ht="39.4" customHeight="1">
      <c r="A105" s="202">
        <v>44061</v>
      </c>
      <c r="B105" s="149" t="s">
        <v>63</v>
      </c>
      <c r="C105" s="150" t="s">
        <v>193</v>
      </c>
      <c r="D105" s="21" t="s">
        <v>194</v>
      </c>
      <c r="E105" s="142">
        <v>3</v>
      </c>
      <c r="F105" s="142" t="s">
        <v>53</v>
      </c>
      <c r="G105" s="142" t="s">
        <v>18</v>
      </c>
      <c r="H105" s="142">
        <v>220</v>
      </c>
      <c r="I105" s="181"/>
      <c r="J105" s="143"/>
      <c r="K105" s="138"/>
      <c r="L105" s="44"/>
      <c r="M105" s="44" t="s">
        <v>29</v>
      </c>
      <c r="N105" s="44"/>
      <c r="O105" s="44"/>
      <c r="P105" s="44" t="s">
        <v>29</v>
      </c>
      <c r="Q105" s="44"/>
      <c r="R105" s="44" t="s">
        <v>29</v>
      </c>
      <c r="S105" s="44"/>
      <c r="T105" s="19" t="s">
        <v>306</v>
      </c>
      <c r="U105" s="144"/>
      <c r="V105" s="38" t="s">
        <v>17</v>
      </c>
      <c r="W105" s="39">
        <f t="shared" si="1"/>
        <v>90</v>
      </c>
      <c r="X105" s="39"/>
      <c r="Y105" s="1"/>
      <c r="Z105" s="40"/>
      <c r="AA105" s="41"/>
      <c r="AB105" s="42"/>
    </row>
    <row r="106" spans="1:28" s="43" customFormat="1" ht="39.4" customHeight="1">
      <c r="A106" s="202">
        <v>44061</v>
      </c>
      <c r="B106" s="149" t="s">
        <v>62</v>
      </c>
      <c r="C106" s="150" t="s">
        <v>191</v>
      </c>
      <c r="D106" s="21" t="s">
        <v>155</v>
      </c>
      <c r="E106" s="142">
        <v>11</v>
      </c>
      <c r="F106" s="142" t="s">
        <v>67</v>
      </c>
      <c r="G106" s="142" t="s">
        <v>41</v>
      </c>
      <c r="H106" s="142">
        <v>230</v>
      </c>
      <c r="I106" s="181"/>
      <c r="J106" s="143"/>
      <c r="K106" s="138" t="s">
        <v>47</v>
      </c>
      <c r="L106" s="44"/>
      <c r="M106" s="44"/>
      <c r="N106" s="44"/>
      <c r="O106" s="44"/>
      <c r="P106" s="44" t="s">
        <v>29</v>
      </c>
      <c r="Q106" s="44"/>
      <c r="R106" s="44"/>
      <c r="S106" s="44"/>
      <c r="T106" s="19" t="s">
        <v>304</v>
      </c>
      <c r="U106" s="144"/>
      <c r="V106" s="38" t="s">
        <v>17</v>
      </c>
      <c r="W106" s="39">
        <f t="shared" si="1"/>
        <v>91</v>
      </c>
      <c r="X106" s="39"/>
      <c r="Y106" s="1"/>
      <c r="Z106" s="40"/>
      <c r="AA106" s="41"/>
      <c r="AB106" s="42"/>
    </row>
    <row r="107" spans="1:28" s="43" customFormat="1" ht="39.4" customHeight="1">
      <c r="A107" s="202">
        <v>44061</v>
      </c>
      <c r="B107" s="149" t="s">
        <v>65</v>
      </c>
      <c r="C107" s="150" t="s">
        <v>138</v>
      </c>
      <c r="D107" s="21" t="s">
        <v>149</v>
      </c>
      <c r="E107" s="142">
        <v>6</v>
      </c>
      <c r="F107" s="142" t="s">
        <v>67</v>
      </c>
      <c r="G107" s="142" t="s">
        <v>18</v>
      </c>
      <c r="H107" s="142">
        <v>220</v>
      </c>
      <c r="I107" s="181"/>
      <c r="J107" s="143"/>
      <c r="K107" s="138" t="s">
        <v>47</v>
      </c>
      <c r="L107" s="44"/>
      <c r="M107" s="44"/>
      <c r="N107" s="44"/>
      <c r="O107" s="44"/>
      <c r="P107" s="44" t="s">
        <v>29</v>
      </c>
      <c r="Q107" s="44"/>
      <c r="R107" s="44" t="s">
        <v>29</v>
      </c>
      <c r="S107" s="44"/>
      <c r="T107" s="19" t="s">
        <v>303</v>
      </c>
      <c r="U107" s="144"/>
      <c r="V107" s="38" t="s">
        <v>17</v>
      </c>
      <c r="W107" s="39">
        <f t="shared" si="1"/>
        <v>92</v>
      </c>
      <c r="X107" s="39"/>
      <c r="Y107" s="1"/>
      <c r="Z107" s="40"/>
      <c r="AA107" s="41"/>
      <c r="AB107" s="42"/>
    </row>
    <row r="108" spans="1:28" s="43" customFormat="1" ht="39.4" customHeight="1">
      <c r="A108" s="202">
        <v>44061</v>
      </c>
      <c r="B108" s="149" t="s">
        <v>66</v>
      </c>
      <c r="C108" s="150" t="s">
        <v>118</v>
      </c>
      <c r="D108" s="21" t="s">
        <v>152</v>
      </c>
      <c r="E108" s="142">
        <v>3</v>
      </c>
      <c r="F108" s="142" t="s">
        <v>79</v>
      </c>
      <c r="G108" s="142" t="s">
        <v>18</v>
      </c>
      <c r="H108" s="142">
        <v>220</v>
      </c>
      <c r="I108" s="181"/>
      <c r="J108" s="143"/>
      <c r="K108" s="138"/>
      <c r="L108" s="44"/>
      <c r="M108" s="44"/>
      <c r="N108" s="44"/>
      <c r="O108" s="44"/>
      <c r="P108" s="22" t="s">
        <v>70</v>
      </c>
      <c r="Q108" s="44" t="s">
        <v>29</v>
      </c>
      <c r="R108" s="44" t="s">
        <v>29</v>
      </c>
      <c r="S108" s="44"/>
      <c r="T108" s="19" t="s">
        <v>433</v>
      </c>
      <c r="U108" s="144"/>
      <c r="V108" s="38" t="s">
        <v>17</v>
      </c>
      <c r="W108" s="39">
        <f t="shared" si="1"/>
        <v>93</v>
      </c>
      <c r="X108" s="39"/>
      <c r="Y108" s="1"/>
      <c r="Z108" s="40"/>
      <c r="AA108" s="41"/>
      <c r="AB108" s="42"/>
    </row>
    <row r="109" spans="1:28" s="43" customFormat="1" ht="39.4" customHeight="1">
      <c r="A109" s="201">
        <v>44062</v>
      </c>
      <c r="B109" s="149" t="s">
        <v>54</v>
      </c>
      <c r="C109" s="150" t="s">
        <v>118</v>
      </c>
      <c r="D109" s="21" t="s">
        <v>152</v>
      </c>
      <c r="E109" s="142">
        <v>63</v>
      </c>
      <c r="F109" s="142" t="s">
        <v>79</v>
      </c>
      <c r="G109" s="142" t="s">
        <v>18</v>
      </c>
      <c r="H109" s="142">
        <v>220</v>
      </c>
      <c r="I109" s="181"/>
      <c r="J109" s="143"/>
      <c r="K109" s="138"/>
      <c r="L109" s="44"/>
      <c r="M109" s="44"/>
      <c r="N109" s="44"/>
      <c r="O109" s="44"/>
      <c r="P109" s="22" t="s">
        <v>70</v>
      </c>
      <c r="Q109" s="44" t="s">
        <v>29</v>
      </c>
      <c r="R109" s="44" t="s">
        <v>29</v>
      </c>
      <c r="S109" s="44"/>
      <c r="T109" s="19" t="s">
        <v>434</v>
      </c>
      <c r="U109" s="144"/>
      <c r="V109" s="38"/>
      <c r="W109" s="39">
        <f t="shared" si="1"/>
        <v>93</v>
      </c>
      <c r="X109" s="39"/>
      <c r="Y109" s="1"/>
      <c r="Z109" s="40"/>
      <c r="AA109" s="41"/>
      <c r="AB109" s="42"/>
    </row>
    <row r="110" spans="1:28" s="43" customFormat="1" ht="39.4" customHeight="1">
      <c r="A110" s="202">
        <v>44062</v>
      </c>
      <c r="B110" s="149" t="s">
        <v>55</v>
      </c>
      <c r="C110" s="150" t="s">
        <v>90</v>
      </c>
      <c r="D110" s="21" t="s">
        <v>150</v>
      </c>
      <c r="E110" s="142">
        <v>18</v>
      </c>
      <c r="F110" s="142" t="s">
        <v>79</v>
      </c>
      <c r="G110" s="142" t="s">
        <v>31</v>
      </c>
      <c r="H110" s="142">
        <v>120</v>
      </c>
      <c r="I110" s="181"/>
      <c r="J110" s="143"/>
      <c r="K110" s="138"/>
      <c r="L110" s="44"/>
      <c r="M110" s="44"/>
      <c r="N110" s="44"/>
      <c r="O110" s="44" t="s">
        <v>29</v>
      </c>
      <c r="P110" s="22" t="s">
        <v>70</v>
      </c>
      <c r="Q110" s="44"/>
      <c r="R110" s="44"/>
      <c r="S110" s="44"/>
      <c r="T110" s="19" t="s">
        <v>305</v>
      </c>
      <c r="U110" s="144"/>
      <c r="V110" s="38"/>
      <c r="W110" s="39">
        <f t="shared" si="1"/>
        <v>94</v>
      </c>
      <c r="X110" s="39"/>
      <c r="Y110" s="1"/>
      <c r="Z110" s="40"/>
      <c r="AA110" s="41"/>
      <c r="AB110" s="42"/>
    </row>
    <row r="111" spans="1:28" s="43" customFormat="1" ht="39.4" customHeight="1">
      <c r="A111" s="202">
        <v>44062</v>
      </c>
      <c r="B111" s="149" t="s">
        <v>56</v>
      </c>
      <c r="C111" s="150" t="s">
        <v>189</v>
      </c>
      <c r="D111" s="21" t="s">
        <v>190</v>
      </c>
      <c r="E111" s="142">
        <v>17</v>
      </c>
      <c r="F111" s="142" t="s">
        <v>79</v>
      </c>
      <c r="G111" s="142" t="s">
        <v>49</v>
      </c>
      <c r="H111" s="142">
        <v>100</v>
      </c>
      <c r="I111" s="181"/>
      <c r="J111" s="143"/>
      <c r="K111" s="138"/>
      <c r="L111" s="44"/>
      <c r="M111" s="44"/>
      <c r="N111" s="44"/>
      <c r="O111" s="44" t="s">
        <v>29</v>
      </c>
      <c r="P111" s="22" t="s">
        <v>70</v>
      </c>
      <c r="Q111" s="44"/>
      <c r="R111" s="44" t="s">
        <v>29</v>
      </c>
      <c r="S111" s="44" t="s">
        <v>29</v>
      </c>
      <c r="T111" s="93" t="s">
        <v>435</v>
      </c>
      <c r="U111" s="144"/>
      <c r="V111" s="38"/>
      <c r="W111" s="39">
        <f t="shared" si="1"/>
        <v>95</v>
      </c>
      <c r="X111" s="39"/>
      <c r="Y111" s="1"/>
      <c r="Z111" s="40"/>
      <c r="AA111" s="41"/>
      <c r="AB111" s="42"/>
    </row>
    <row r="112" spans="1:28" s="43" customFormat="1" ht="39.4" customHeight="1">
      <c r="A112" s="199">
        <v>44062</v>
      </c>
      <c r="B112" s="149" t="s">
        <v>57</v>
      </c>
      <c r="C112" s="150" t="s">
        <v>91</v>
      </c>
      <c r="D112" s="21" t="s">
        <v>162</v>
      </c>
      <c r="E112" s="142">
        <v>10</v>
      </c>
      <c r="F112" s="142" t="s">
        <v>79</v>
      </c>
      <c r="G112" s="142" t="s">
        <v>31</v>
      </c>
      <c r="H112" s="142">
        <v>120</v>
      </c>
      <c r="I112" s="181"/>
      <c r="J112" s="143"/>
      <c r="K112" s="138"/>
      <c r="L112" s="44"/>
      <c r="M112" s="44"/>
      <c r="N112" s="44"/>
      <c r="O112" s="44" t="s">
        <v>29</v>
      </c>
      <c r="P112" s="22" t="s">
        <v>70</v>
      </c>
      <c r="Q112" s="44"/>
      <c r="R112" s="44"/>
      <c r="S112" s="44"/>
      <c r="T112" s="19" t="s">
        <v>301</v>
      </c>
      <c r="U112" s="144"/>
      <c r="V112" s="38"/>
      <c r="W112" s="39">
        <f t="shared" si="1"/>
        <v>96</v>
      </c>
      <c r="X112" s="39"/>
      <c r="Y112" s="1"/>
      <c r="Z112" s="40"/>
      <c r="AA112" s="41"/>
      <c r="AB112" s="42"/>
    </row>
    <row r="113" spans="1:28" s="43" customFormat="1" ht="39.4" customHeight="1">
      <c r="A113" s="199">
        <v>44062</v>
      </c>
      <c r="B113" s="149" t="s">
        <v>58</v>
      </c>
      <c r="C113" s="150" t="s">
        <v>123</v>
      </c>
      <c r="D113" s="21" t="s">
        <v>160</v>
      </c>
      <c r="E113" s="142">
        <v>15</v>
      </c>
      <c r="F113" s="142" t="s">
        <v>124</v>
      </c>
      <c r="G113" s="142" t="s">
        <v>18</v>
      </c>
      <c r="H113" s="142">
        <v>220</v>
      </c>
      <c r="I113" s="181"/>
      <c r="J113" s="143"/>
      <c r="K113" s="138"/>
      <c r="L113" s="44"/>
      <c r="M113" s="44" t="s">
        <v>29</v>
      </c>
      <c r="N113" s="44"/>
      <c r="O113" s="44"/>
      <c r="P113" s="44" t="s">
        <v>29</v>
      </c>
      <c r="Q113" s="44"/>
      <c r="R113" s="44" t="s">
        <v>29</v>
      </c>
      <c r="S113" s="44"/>
      <c r="T113" s="19" t="s">
        <v>672</v>
      </c>
      <c r="U113" s="144"/>
      <c r="V113" s="38"/>
      <c r="W113" s="39">
        <f t="shared" si="1"/>
        <v>97</v>
      </c>
      <c r="X113" s="39"/>
      <c r="Y113" s="1"/>
      <c r="Z113" s="40"/>
      <c r="AA113" s="41"/>
      <c r="AB113" s="42"/>
    </row>
    <row r="114" spans="1:28" s="43" customFormat="1" ht="39.4" customHeight="1">
      <c r="A114" s="199">
        <v>44062</v>
      </c>
      <c r="B114" s="149" t="s">
        <v>59</v>
      </c>
      <c r="C114" s="150" t="s">
        <v>119</v>
      </c>
      <c r="D114" s="21" t="s">
        <v>157</v>
      </c>
      <c r="E114" s="142">
        <v>33</v>
      </c>
      <c r="F114" s="142" t="s">
        <v>67</v>
      </c>
      <c r="G114" s="142" t="s">
        <v>18</v>
      </c>
      <c r="H114" s="142">
        <v>220</v>
      </c>
      <c r="I114" s="181"/>
      <c r="J114" s="143"/>
      <c r="K114" s="138" t="s">
        <v>47</v>
      </c>
      <c r="L114" s="44"/>
      <c r="M114" s="44"/>
      <c r="N114" s="44"/>
      <c r="O114" s="44"/>
      <c r="P114" s="44" t="s">
        <v>29</v>
      </c>
      <c r="Q114" s="44"/>
      <c r="R114" s="44" t="s">
        <v>29</v>
      </c>
      <c r="S114" s="44"/>
      <c r="T114" s="19" t="s">
        <v>436</v>
      </c>
      <c r="U114" s="144"/>
      <c r="V114" s="38"/>
      <c r="W114" s="39">
        <f t="shared" si="1"/>
        <v>98</v>
      </c>
      <c r="X114" s="39"/>
      <c r="Y114" s="1"/>
      <c r="Z114" s="40"/>
      <c r="AA114" s="41"/>
      <c r="AB114" s="42"/>
    </row>
    <row r="115" spans="1:28" s="43" customFormat="1" ht="39.4" customHeight="1">
      <c r="A115" s="199">
        <v>44062</v>
      </c>
      <c r="B115" s="149" t="s">
        <v>60</v>
      </c>
      <c r="C115" s="150" t="s">
        <v>118</v>
      </c>
      <c r="D115" s="21" t="s">
        <v>152</v>
      </c>
      <c r="E115" s="142">
        <v>4</v>
      </c>
      <c r="F115" s="142" t="s">
        <v>79</v>
      </c>
      <c r="G115" s="142" t="s">
        <v>18</v>
      </c>
      <c r="H115" s="142">
        <v>220</v>
      </c>
      <c r="I115" s="181"/>
      <c r="J115" s="143"/>
      <c r="K115" s="138"/>
      <c r="L115" s="44"/>
      <c r="M115" s="44"/>
      <c r="N115" s="44"/>
      <c r="O115" s="44"/>
      <c r="P115" s="22" t="s">
        <v>70</v>
      </c>
      <c r="Q115" s="44" t="s">
        <v>29</v>
      </c>
      <c r="R115" s="44" t="s">
        <v>29</v>
      </c>
      <c r="S115" s="44"/>
      <c r="T115" s="19" t="s">
        <v>437</v>
      </c>
      <c r="U115" s="144"/>
      <c r="V115" s="38"/>
      <c r="W115" s="39">
        <f t="shared" si="1"/>
        <v>99</v>
      </c>
      <c r="X115" s="39"/>
      <c r="Y115" s="1"/>
      <c r="Z115" s="40"/>
      <c r="AA115" s="41"/>
      <c r="AB115" s="42"/>
    </row>
    <row r="116" spans="1:28" s="43" customFormat="1" ht="39.4" customHeight="1">
      <c r="A116" s="119">
        <v>44063</v>
      </c>
      <c r="B116" s="149" t="s">
        <v>54</v>
      </c>
      <c r="C116" s="150" t="s">
        <v>118</v>
      </c>
      <c r="D116" s="21" t="s">
        <v>152</v>
      </c>
      <c r="E116" s="142">
        <v>61</v>
      </c>
      <c r="F116" s="142" t="s">
        <v>79</v>
      </c>
      <c r="G116" s="142" t="s">
        <v>18</v>
      </c>
      <c r="H116" s="142">
        <v>220</v>
      </c>
      <c r="I116" s="181"/>
      <c r="J116" s="143"/>
      <c r="K116" s="138"/>
      <c r="L116" s="44"/>
      <c r="M116" s="44"/>
      <c r="N116" s="44"/>
      <c r="O116" s="44"/>
      <c r="P116" s="22" t="s">
        <v>70</v>
      </c>
      <c r="Q116" s="44" t="s">
        <v>29</v>
      </c>
      <c r="R116" s="44" t="s">
        <v>29</v>
      </c>
      <c r="S116" s="44"/>
      <c r="T116" s="19" t="s">
        <v>438</v>
      </c>
      <c r="U116" s="144"/>
      <c r="V116" s="38"/>
      <c r="W116" s="39">
        <f t="shared" si="1"/>
        <v>99</v>
      </c>
      <c r="X116" s="39"/>
      <c r="Y116" s="1"/>
      <c r="Z116" s="40"/>
      <c r="AA116" s="41"/>
      <c r="AB116" s="42"/>
    </row>
    <row r="117" spans="1:28" ht="39.4" customHeight="1">
      <c r="A117" s="199">
        <v>44063</v>
      </c>
      <c r="B117" s="105" t="s">
        <v>55</v>
      </c>
      <c r="C117" s="106" t="s">
        <v>143</v>
      </c>
      <c r="D117" s="23" t="s">
        <v>166</v>
      </c>
      <c r="E117" s="107">
        <v>2</v>
      </c>
      <c r="F117" s="107" t="s">
        <v>79</v>
      </c>
      <c r="G117" s="107" t="s">
        <v>18</v>
      </c>
      <c r="H117" s="107">
        <v>220</v>
      </c>
      <c r="I117" s="182"/>
      <c r="J117" s="89"/>
      <c r="K117" s="139"/>
      <c r="L117" s="89"/>
      <c r="M117" s="89"/>
      <c r="N117" s="89"/>
      <c r="O117" s="89"/>
      <c r="P117" s="90" t="s">
        <v>70</v>
      </c>
      <c r="Q117" s="89" t="s">
        <v>29</v>
      </c>
      <c r="R117" s="89" t="s">
        <v>29</v>
      </c>
      <c r="S117" s="89"/>
      <c r="T117" s="152" t="s">
        <v>308</v>
      </c>
      <c r="U117" s="107"/>
      <c r="V117" s="38"/>
      <c r="W117" s="39">
        <f t="shared" si="1"/>
        <v>100</v>
      </c>
    </row>
    <row r="118" spans="1:28" ht="39.4" customHeight="1">
      <c r="A118" s="199">
        <v>44063</v>
      </c>
      <c r="B118" s="105" t="s">
        <v>56</v>
      </c>
      <c r="C118" s="106" t="s">
        <v>91</v>
      </c>
      <c r="D118" s="23" t="s">
        <v>162</v>
      </c>
      <c r="E118" s="107">
        <v>45</v>
      </c>
      <c r="F118" s="107" t="s">
        <v>79</v>
      </c>
      <c r="G118" s="107" t="s">
        <v>31</v>
      </c>
      <c r="H118" s="107">
        <v>120</v>
      </c>
      <c r="I118" s="182"/>
      <c r="J118" s="89"/>
      <c r="K118" s="139"/>
      <c r="L118" s="89"/>
      <c r="M118" s="89"/>
      <c r="N118" s="89"/>
      <c r="O118" s="89" t="s">
        <v>29</v>
      </c>
      <c r="P118" s="90" t="s">
        <v>70</v>
      </c>
      <c r="Q118" s="89"/>
      <c r="R118" s="89"/>
      <c r="S118" s="89"/>
      <c r="T118" s="90" t="s">
        <v>307</v>
      </c>
      <c r="U118" s="107"/>
      <c r="V118" s="38"/>
      <c r="W118" s="39">
        <f t="shared" si="1"/>
        <v>101</v>
      </c>
    </row>
    <row r="119" spans="1:28" ht="39.4" customHeight="1">
      <c r="A119" s="199">
        <v>44063</v>
      </c>
      <c r="B119" s="105" t="s">
        <v>57</v>
      </c>
      <c r="C119" s="106" t="s">
        <v>123</v>
      </c>
      <c r="D119" s="23" t="s">
        <v>160</v>
      </c>
      <c r="E119" s="107">
        <v>15</v>
      </c>
      <c r="F119" s="107" t="s">
        <v>124</v>
      </c>
      <c r="G119" s="107" t="s">
        <v>18</v>
      </c>
      <c r="H119" s="107">
        <v>220</v>
      </c>
      <c r="I119" s="182"/>
      <c r="J119" s="89"/>
      <c r="K119" s="139"/>
      <c r="L119" s="89"/>
      <c r="M119" s="89" t="s">
        <v>29</v>
      </c>
      <c r="N119" s="89"/>
      <c r="O119" s="89"/>
      <c r="P119" s="89" t="s">
        <v>29</v>
      </c>
      <c r="Q119" s="89"/>
      <c r="R119" s="89" t="s">
        <v>29</v>
      </c>
      <c r="S119" s="89"/>
      <c r="T119" s="90" t="s">
        <v>673</v>
      </c>
      <c r="U119" s="107"/>
      <c r="V119" s="38"/>
      <c r="W119" s="39">
        <f t="shared" si="1"/>
        <v>102</v>
      </c>
    </row>
    <row r="120" spans="1:28" ht="39.4" customHeight="1">
      <c r="A120" s="199">
        <v>44063</v>
      </c>
      <c r="B120" s="105" t="s">
        <v>58</v>
      </c>
      <c r="C120" s="106" t="s">
        <v>119</v>
      </c>
      <c r="D120" s="23" t="s">
        <v>157</v>
      </c>
      <c r="E120" s="107">
        <v>33</v>
      </c>
      <c r="F120" s="107" t="s">
        <v>67</v>
      </c>
      <c r="G120" s="107" t="s">
        <v>18</v>
      </c>
      <c r="H120" s="107">
        <v>220</v>
      </c>
      <c r="I120" s="182"/>
      <c r="J120" s="89"/>
      <c r="K120" s="139" t="s">
        <v>47</v>
      </c>
      <c r="L120" s="89"/>
      <c r="M120" s="89"/>
      <c r="N120" s="89"/>
      <c r="O120" s="89"/>
      <c r="P120" s="89" t="s">
        <v>29</v>
      </c>
      <c r="Q120" s="89"/>
      <c r="R120" s="89" t="s">
        <v>29</v>
      </c>
      <c r="S120" s="89"/>
      <c r="T120" s="90" t="s">
        <v>439</v>
      </c>
      <c r="U120" s="107"/>
      <c r="V120" s="38"/>
      <c r="W120" s="39">
        <f t="shared" si="1"/>
        <v>103</v>
      </c>
    </row>
    <row r="121" spans="1:28" ht="39.4" customHeight="1">
      <c r="A121" s="199">
        <v>44063</v>
      </c>
      <c r="B121" s="105" t="s">
        <v>59</v>
      </c>
      <c r="C121" s="106" t="s">
        <v>127</v>
      </c>
      <c r="D121" s="23" t="s">
        <v>151</v>
      </c>
      <c r="E121" s="107">
        <v>4</v>
      </c>
      <c r="F121" s="107" t="s">
        <v>79</v>
      </c>
      <c r="G121" s="107" t="s">
        <v>18</v>
      </c>
      <c r="H121" s="107">
        <v>220</v>
      </c>
      <c r="I121" s="182"/>
      <c r="J121" s="89"/>
      <c r="K121" s="139"/>
      <c r="L121" s="89"/>
      <c r="M121" s="89"/>
      <c r="N121" s="89"/>
      <c r="O121" s="89"/>
      <c r="P121" s="90" t="s">
        <v>70</v>
      </c>
      <c r="Q121" s="89" t="s">
        <v>29</v>
      </c>
      <c r="R121" s="89" t="s">
        <v>29</v>
      </c>
      <c r="S121" s="89"/>
      <c r="T121" s="90" t="s">
        <v>440</v>
      </c>
      <c r="U121" s="107"/>
      <c r="V121" s="38"/>
      <c r="W121" s="39">
        <f t="shared" si="1"/>
        <v>104</v>
      </c>
    </row>
    <row r="122" spans="1:28" ht="39.4" customHeight="1">
      <c r="A122" s="119">
        <v>44064</v>
      </c>
      <c r="B122" s="105" t="s">
        <v>54</v>
      </c>
      <c r="C122" s="106" t="s">
        <v>127</v>
      </c>
      <c r="D122" s="23" t="s">
        <v>151</v>
      </c>
      <c r="E122" s="107">
        <v>4</v>
      </c>
      <c r="F122" s="107" t="s">
        <v>79</v>
      </c>
      <c r="G122" s="107" t="s">
        <v>18</v>
      </c>
      <c r="H122" s="107">
        <v>220</v>
      </c>
      <c r="I122" s="182"/>
      <c r="J122" s="89"/>
      <c r="K122" s="139"/>
      <c r="L122" s="89"/>
      <c r="M122" s="89"/>
      <c r="N122" s="89"/>
      <c r="O122" s="89"/>
      <c r="P122" s="90" t="s">
        <v>70</v>
      </c>
      <c r="Q122" s="89" t="s">
        <v>29</v>
      </c>
      <c r="R122" s="89" t="s">
        <v>29</v>
      </c>
      <c r="S122" s="89"/>
      <c r="T122" s="90" t="s">
        <v>441</v>
      </c>
      <c r="U122" s="107"/>
      <c r="V122" s="38"/>
      <c r="W122" s="39">
        <f t="shared" si="1"/>
        <v>104</v>
      </c>
    </row>
    <row r="123" spans="1:28" ht="39.4" customHeight="1">
      <c r="A123" s="199">
        <v>44064</v>
      </c>
      <c r="B123" s="105" t="s">
        <v>55</v>
      </c>
      <c r="C123" s="106" t="s">
        <v>173</v>
      </c>
      <c r="D123" s="23" t="s">
        <v>174</v>
      </c>
      <c r="E123" s="107">
        <v>18</v>
      </c>
      <c r="F123" s="107" t="s">
        <v>79</v>
      </c>
      <c r="G123" s="107" t="s">
        <v>18</v>
      </c>
      <c r="H123" s="107">
        <v>220</v>
      </c>
      <c r="I123" s="182"/>
      <c r="J123" s="89"/>
      <c r="K123" s="139"/>
      <c r="L123" s="89"/>
      <c r="M123" s="89"/>
      <c r="N123" s="89"/>
      <c r="O123" s="89"/>
      <c r="P123" s="90" t="s">
        <v>70</v>
      </c>
      <c r="Q123" s="89" t="s">
        <v>29</v>
      </c>
      <c r="R123" s="89" t="s">
        <v>29</v>
      </c>
      <c r="S123" s="89"/>
      <c r="T123" s="90" t="s">
        <v>310</v>
      </c>
      <c r="U123" s="107"/>
      <c r="V123" s="38"/>
      <c r="W123" s="39">
        <f t="shared" si="1"/>
        <v>105</v>
      </c>
    </row>
    <row r="124" spans="1:28" ht="39.4" customHeight="1">
      <c r="A124" s="199">
        <v>44064</v>
      </c>
      <c r="B124" s="105" t="s">
        <v>56</v>
      </c>
      <c r="C124" s="106" t="s">
        <v>143</v>
      </c>
      <c r="D124" s="23" t="s">
        <v>166</v>
      </c>
      <c r="E124" s="107">
        <v>41</v>
      </c>
      <c r="F124" s="107" t="s">
        <v>79</v>
      </c>
      <c r="G124" s="107" t="s">
        <v>18</v>
      </c>
      <c r="H124" s="107">
        <v>220</v>
      </c>
      <c r="I124" s="182"/>
      <c r="J124" s="89"/>
      <c r="K124" s="139"/>
      <c r="L124" s="89"/>
      <c r="M124" s="89"/>
      <c r="N124" s="89"/>
      <c r="O124" s="89"/>
      <c r="P124" s="90" t="s">
        <v>70</v>
      </c>
      <c r="Q124" s="89" t="s">
        <v>29</v>
      </c>
      <c r="R124" s="89" t="s">
        <v>29</v>
      </c>
      <c r="S124" s="89"/>
      <c r="T124" s="152" t="s">
        <v>311</v>
      </c>
      <c r="U124" s="107"/>
      <c r="V124" s="38"/>
      <c r="W124" s="39">
        <f t="shared" si="1"/>
        <v>106</v>
      </c>
    </row>
    <row r="125" spans="1:28" ht="39.4" customHeight="1">
      <c r="A125" s="199">
        <v>44064</v>
      </c>
      <c r="B125" s="105" t="s">
        <v>57</v>
      </c>
      <c r="C125" s="106" t="s">
        <v>91</v>
      </c>
      <c r="D125" s="23" t="s">
        <v>162</v>
      </c>
      <c r="E125" s="107">
        <v>45</v>
      </c>
      <c r="F125" s="107" t="s">
        <v>79</v>
      </c>
      <c r="G125" s="107" t="s">
        <v>31</v>
      </c>
      <c r="H125" s="107">
        <v>120</v>
      </c>
      <c r="I125" s="182"/>
      <c r="J125" s="89"/>
      <c r="K125" s="139"/>
      <c r="L125" s="89"/>
      <c r="M125" s="89"/>
      <c r="N125" s="89"/>
      <c r="O125" s="89" t="s">
        <v>29</v>
      </c>
      <c r="P125" s="90" t="s">
        <v>70</v>
      </c>
      <c r="Q125" s="89"/>
      <c r="R125" s="89"/>
      <c r="S125" s="89"/>
      <c r="T125" s="90" t="s">
        <v>309</v>
      </c>
      <c r="U125" s="107"/>
      <c r="V125" s="38"/>
      <c r="W125" s="39">
        <f t="shared" si="1"/>
        <v>107</v>
      </c>
    </row>
    <row r="126" spans="1:28" ht="39.4" customHeight="1">
      <c r="A126" s="199">
        <v>44064</v>
      </c>
      <c r="B126" s="105" t="s">
        <v>58</v>
      </c>
      <c r="C126" s="106" t="s">
        <v>123</v>
      </c>
      <c r="D126" s="23" t="s">
        <v>160</v>
      </c>
      <c r="E126" s="107">
        <v>13</v>
      </c>
      <c r="F126" s="107" t="s">
        <v>124</v>
      </c>
      <c r="G126" s="107" t="s">
        <v>18</v>
      </c>
      <c r="H126" s="107">
        <v>220</v>
      </c>
      <c r="I126" s="182"/>
      <c r="J126" s="89"/>
      <c r="K126" s="139"/>
      <c r="L126" s="89"/>
      <c r="M126" s="89" t="s">
        <v>29</v>
      </c>
      <c r="N126" s="89"/>
      <c r="O126" s="89"/>
      <c r="P126" s="89" t="s">
        <v>29</v>
      </c>
      <c r="Q126" s="89"/>
      <c r="R126" s="89" t="s">
        <v>29</v>
      </c>
      <c r="S126" s="89"/>
      <c r="T126" s="90" t="s">
        <v>674</v>
      </c>
      <c r="U126" s="107"/>
      <c r="V126" s="38"/>
      <c r="W126" s="39">
        <f t="shared" si="1"/>
        <v>108</v>
      </c>
    </row>
    <row r="127" spans="1:28" ht="39.4" customHeight="1">
      <c r="A127" s="199">
        <v>44064</v>
      </c>
      <c r="B127" s="105" t="s">
        <v>59</v>
      </c>
      <c r="C127" s="106" t="s">
        <v>103</v>
      </c>
      <c r="D127" s="23" t="s">
        <v>158</v>
      </c>
      <c r="E127" s="107">
        <v>1</v>
      </c>
      <c r="F127" s="107" t="s">
        <v>67</v>
      </c>
      <c r="G127" s="107" t="s">
        <v>30</v>
      </c>
      <c r="H127" s="107">
        <v>230</v>
      </c>
      <c r="I127" s="182"/>
      <c r="J127" s="89"/>
      <c r="K127" s="139"/>
      <c r="L127" s="89"/>
      <c r="M127" s="89"/>
      <c r="N127" s="89"/>
      <c r="O127" s="89"/>
      <c r="P127" s="89"/>
      <c r="Q127" s="89" t="s">
        <v>29</v>
      </c>
      <c r="R127" s="89"/>
      <c r="S127" s="89"/>
      <c r="T127" s="90" t="s">
        <v>312</v>
      </c>
      <c r="U127" s="107"/>
      <c r="V127" s="38"/>
      <c r="W127" s="39">
        <f t="shared" si="1"/>
        <v>109</v>
      </c>
    </row>
    <row r="128" spans="1:28" ht="39.4" customHeight="1">
      <c r="A128" s="199">
        <v>44064</v>
      </c>
      <c r="B128" s="105" t="s">
        <v>60</v>
      </c>
      <c r="C128" s="106" t="s">
        <v>318</v>
      </c>
      <c r="D128" s="23" t="s">
        <v>175</v>
      </c>
      <c r="E128" s="107">
        <v>1</v>
      </c>
      <c r="F128" s="107" t="s">
        <v>53</v>
      </c>
      <c r="G128" s="107" t="s">
        <v>41</v>
      </c>
      <c r="H128" s="107">
        <v>230</v>
      </c>
      <c r="I128" s="182"/>
      <c r="J128" s="89"/>
      <c r="K128" s="139"/>
      <c r="L128" s="89"/>
      <c r="M128" s="89" t="s">
        <v>29</v>
      </c>
      <c r="N128" s="89"/>
      <c r="O128" s="89"/>
      <c r="P128" s="89" t="s">
        <v>29</v>
      </c>
      <c r="Q128" s="89"/>
      <c r="R128" s="89"/>
      <c r="S128" s="89"/>
      <c r="T128" s="90" t="s">
        <v>319</v>
      </c>
      <c r="U128" s="107"/>
      <c r="V128" s="38"/>
      <c r="W128" s="39">
        <f t="shared" si="1"/>
        <v>110</v>
      </c>
    </row>
    <row r="129" spans="1:23" ht="39.4" customHeight="1">
      <c r="A129" s="199">
        <v>44064</v>
      </c>
      <c r="B129" s="105" t="s">
        <v>61</v>
      </c>
      <c r="C129" s="106" t="s">
        <v>191</v>
      </c>
      <c r="D129" s="23" t="s">
        <v>155</v>
      </c>
      <c r="E129" s="107">
        <v>31</v>
      </c>
      <c r="F129" s="107" t="s">
        <v>67</v>
      </c>
      <c r="G129" s="107" t="s">
        <v>41</v>
      </c>
      <c r="H129" s="107">
        <v>230</v>
      </c>
      <c r="I129" s="182"/>
      <c r="J129" s="89"/>
      <c r="K129" s="139" t="s">
        <v>47</v>
      </c>
      <c r="L129" s="89"/>
      <c r="M129" s="89"/>
      <c r="N129" s="89"/>
      <c r="O129" s="89"/>
      <c r="P129" s="89" t="s">
        <v>29</v>
      </c>
      <c r="Q129" s="89"/>
      <c r="R129" s="89"/>
      <c r="S129" s="89"/>
      <c r="T129" s="90" t="s">
        <v>314</v>
      </c>
      <c r="U129" s="107"/>
      <c r="V129" s="38"/>
      <c r="W129" s="39">
        <f t="shared" si="1"/>
        <v>111</v>
      </c>
    </row>
    <row r="130" spans="1:23" ht="39.4" customHeight="1">
      <c r="A130" s="199">
        <v>44064</v>
      </c>
      <c r="B130" s="105" t="s">
        <v>63</v>
      </c>
      <c r="C130" s="106" t="s">
        <v>84</v>
      </c>
      <c r="D130" s="23" t="s">
        <v>154</v>
      </c>
      <c r="E130" s="107">
        <v>6</v>
      </c>
      <c r="F130" s="107" t="s">
        <v>79</v>
      </c>
      <c r="G130" s="107" t="s">
        <v>28</v>
      </c>
      <c r="H130" s="107">
        <v>230</v>
      </c>
      <c r="I130" s="182"/>
      <c r="J130" s="89"/>
      <c r="K130" s="139"/>
      <c r="L130" s="89"/>
      <c r="M130" s="89"/>
      <c r="N130" s="89"/>
      <c r="O130" s="89"/>
      <c r="P130" s="90" t="s">
        <v>70</v>
      </c>
      <c r="Q130" s="89" t="s">
        <v>29</v>
      </c>
      <c r="R130" s="89"/>
      <c r="S130" s="89"/>
      <c r="T130" s="90" t="s">
        <v>675</v>
      </c>
      <c r="U130" s="107"/>
      <c r="V130" s="38"/>
      <c r="W130" s="39">
        <f t="shared" si="1"/>
        <v>112</v>
      </c>
    </row>
    <row r="131" spans="1:23" ht="39.4" customHeight="1">
      <c r="A131" s="119">
        <v>44065</v>
      </c>
      <c r="B131" s="105" t="s">
        <v>54</v>
      </c>
      <c r="C131" s="106" t="s">
        <v>84</v>
      </c>
      <c r="D131" s="23" t="s">
        <v>154</v>
      </c>
      <c r="E131" s="107">
        <v>8</v>
      </c>
      <c r="F131" s="107" t="s">
        <v>79</v>
      </c>
      <c r="G131" s="107" t="s">
        <v>28</v>
      </c>
      <c r="H131" s="107">
        <v>230</v>
      </c>
      <c r="I131" s="182"/>
      <c r="J131" s="89"/>
      <c r="K131" s="139"/>
      <c r="L131" s="89"/>
      <c r="M131" s="89"/>
      <c r="N131" s="89"/>
      <c r="O131" s="89"/>
      <c r="P131" s="90" t="s">
        <v>70</v>
      </c>
      <c r="Q131" s="89" t="s">
        <v>29</v>
      </c>
      <c r="R131" s="89"/>
      <c r="S131" s="89"/>
      <c r="T131" s="90" t="s">
        <v>676</v>
      </c>
      <c r="U131" s="107"/>
      <c r="V131" s="38"/>
      <c r="W131" s="39">
        <f t="shared" si="1"/>
        <v>112</v>
      </c>
    </row>
    <row r="132" spans="1:23" ht="39.4" customHeight="1">
      <c r="A132" s="199">
        <v>44065</v>
      </c>
      <c r="B132" s="105" t="s">
        <v>55</v>
      </c>
      <c r="C132" s="106" t="s">
        <v>252</v>
      </c>
      <c r="D132" s="23" t="s">
        <v>253</v>
      </c>
      <c r="E132" s="107">
        <v>3</v>
      </c>
      <c r="F132" s="107" t="s">
        <v>79</v>
      </c>
      <c r="G132" s="107" t="s">
        <v>46</v>
      </c>
      <c r="H132" s="107">
        <v>120</v>
      </c>
      <c r="I132" s="182"/>
      <c r="J132" s="89"/>
      <c r="K132" s="139"/>
      <c r="L132" s="89"/>
      <c r="M132" s="89"/>
      <c r="N132" s="89"/>
      <c r="O132" s="89"/>
      <c r="P132" s="90" t="s">
        <v>70</v>
      </c>
      <c r="Q132" s="89" t="s">
        <v>29</v>
      </c>
      <c r="R132" s="89" t="s">
        <v>29</v>
      </c>
      <c r="S132" s="89"/>
      <c r="T132" s="90" t="s">
        <v>316</v>
      </c>
      <c r="U132" s="107"/>
      <c r="V132" s="38"/>
      <c r="W132" s="39">
        <f t="shared" si="1"/>
        <v>113</v>
      </c>
    </row>
    <row r="133" spans="1:23" ht="39.4" customHeight="1">
      <c r="A133" s="199">
        <v>44065</v>
      </c>
      <c r="B133" s="105" t="s">
        <v>56</v>
      </c>
      <c r="C133" s="106" t="s">
        <v>93</v>
      </c>
      <c r="D133" s="23" t="s">
        <v>159</v>
      </c>
      <c r="E133" s="107">
        <v>25</v>
      </c>
      <c r="F133" s="107" t="s">
        <v>79</v>
      </c>
      <c r="G133" s="107" t="s">
        <v>31</v>
      </c>
      <c r="H133" s="107">
        <v>120</v>
      </c>
      <c r="I133" s="182"/>
      <c r="J133" s="89"/>
      <c r="K133" s="139"/>
      <c r="L133" s="89"/>
      <c r="M133" s="89"/>
      <c r="N133" s="89"/>
      <c r="O133" s="89"/>
      <c r="P133" s="90" t="s">
        <v>70</v>
      </c>
      <c r="Q133" s="89" t="s">
        <v>29</v>
      </c>
      <c r="R133" s="89"/>
      <c r="S133" s="89"/>
      <c r="T133" s="90" t="s">
        <v>442</v>
      </c>
      <c r="U133" s="107"/>
      <c r="V133" s="38"/>
      <c r="W133" s="39">
        <f t="shared" si="1"/>
        <v>114</v>
      </c>
    </row>
    <row r="134" spans="1:23" ht="39.4" customHeight="1">
      <c r="A134" s="199">
        <v>44065</v>
      </c>
      <c r="B134" s="105" t="s">
        <v>57</v>
      </c>
      <c r="C134" s="106" t="s">
        <v>120</v>
      </c>
      <c r="D134" s="23" t="s">
        <v>170</v>
      </c>
      <c r="E134" s="107">
        <v>27</v>
      </c>
      <c r="F134" s="107" t="s">
        <v>79</v>
      </c>
      <c r="G134" s="107" t="s">
        <v>49</v>
      </c>
      <c r="H134" s="107">
        <v>100</v>
      </c>
      <c r="I134" s="182"/>
      <c r="J134" s="89"/>
      <c r="K134" s="139"/>
      <c r="L134" s="89"/>
      <c r="M134" s="89" t="s">
        <v>29</v>
      </c>
      <c r="N134" s="89"/>
      <c r="O134" s="89"/>
      <c r="P134" s="90" t="s">
        <v>70</v>
      </c>
      <c r="Q134" s="89"/>
      <c r="R134" s="89" t="s">
        <v>29</v>
      </c>
      <c r="S134" s="89" t="s">
        <v>29</v>
      </c>
      <c r="T134" s="90" t="s">
        <v>315</v>
      </c>
      <c r="U134" s="107"/>
      <c r="V134" s="38"/>
      <c r="W134" s="39">
        <f t="shared" si="1"/>
        <v>115</v>
      </c>
    </row>
    <row r="135" spans="1:23" ht="39.4" customHeight="1">
      <c r="A135" s="199">
        <v>44065</v>
      </c>
      <c r="B135" s="105" t="s">
        <v>58</v>
      </c>
      <c r="C135" s="106" t="s">
        <v>91</v>
      </c>
      <c r="D135" s="23" t="s">
        <v>162</v>
      </c>
      <c r="E135" s="107">
        <v>45</v>
      </c>
      <c r="F135" s="107" t="s">
        <v>79</v>
      </c>
      <c r="G135" s="107" t="s">
        <v>31</v>
      </c>
      <c r="H135" s="107">
        <v>120</v>
      </c>
      <c r="I135" s="182"/>
      <c r="J135" s="89"/>
      <c r="K135" s="139"/>
      <c r="L135" s="89"/>
      <c r="M135" s="89"/>
      <c r="N135" s="89"/>
      <c r="O135" s="89" t="s">
        <v>29</v>
      </c>
      <c r="P135" s="90" t="s">
        <v>70</v>
      </c>
      <c r="Q135" s="89"/>
      <c r="R135" s="89"/>
      <c r="S135" s="89"/>
      <c r="T135" s="90" t="s">
        <v>313</v>
      </c>
      <c r="U135" s="107"/>
      <c r="V135" s="38"/>
      <c r="W135" s="39">
        <f t="shared" si="1"/>
        <v>116</v>
      </c>
    </row>
    <row r="136" spans="1:23" ht="39.4" customHeight="1">
      <c r="A136" s="199">
        <v>44065</v>
      </c>
      <c r="B136" s="105" t="s">
        <v>59</v>
      </c>
      <c r="C136" s="106" t="s">
        <v>123</v>
      </c>
      <c r="D136" s="23" t="s">
        <v>160</v>
      </c>
      <c r="E136" s="107">
        <v>3</v>
      </c>
      <c r="F136" s="107" t="s">
        <v>124</v>
      </c>
      <c r="G136" s="107" t="s">
        <v>18</v>
      </c>
      <c r="H136" s="107">
        <v>220</v>
      </c>
      <c r="I136" s="182"/>
      <c r="J136" s="89"/>
      <c r="K136" s="139"/>
      <c r="L136" s="89"/>
      <c r="M136" s="89" t="s">
        <v>29</v>
      </c>
      <c r="N136" s="89"/>
      <c r="O136" s="89"/>
      <c r="P136" s="89" t="s">
        <v>29</v>
      </c>
      <c r="Q136" s="89"/>
      <c r="R136" s="89" t="s">
        <v>29</v>
      </c>
      <c r="S136" s="89"/>
      <c r="T136" s="90" t="s">
        <v>677</v>
      </c>
      <c r="U136" s="107"/>
      <c r="V136" s="38"/>
      <c r="W136" s="39">
        <f t="shared" ref="W136:W199" si="2">IF(C136=C135,W135,W135+1)</f>
        <v>117</v>
      </c>
    </row>
    <row r="137" spans="1:23" ht="39.4" customHeight="1">
      <c r="A137" s="199">
        <v>44065</v>
      </c>
      <c r="B137" s="105" t="s">
        <v>60</v>
      </c>
      <c r="C137" s="106" t="s">
        <v>240</v>
      </c>
      <c r="D137" s="23" t="s">
        <v>241</v>
      </c>
      <c r="E137" s="107">
        <v>23</v>
      </c>
      <c r="F137" s="107" t="s">
        <v>67</v>
      </c>
      <c r="G137" s="107" t="s">
        <v>19</v>
      </c>
      <c r="H137" s="107">
        <v>220</v>
      </c>
      <c r="I137" s="182"/>
      <c r="J137" s="89"/>
      <c r="K137" s="139" t="s">
        <v>47</v>
      </c>
      <c r="L137" s="89"/>
      <c r="M137" s="89"/>
      <c r="N137" s="89"/>
      <c r="O137" s="89"/>
      <c r="P137" s="89" t="s">
        <v>29</v>
      </c>
      <c r="Q137" s="89"/>
      <c r="R137" s="89"/>
      <c r="S137" s="89"/>
      <c r="T137" s="90" t="s">
        <v>678</v>
      </c>
      <c r="U137" s="107"/>
      <c r="V137" s="38"/>
      <c r="W137" s="39">
        <f t="shared" si="2"/>
        <v>118</v>
      </c>
    </row>
    <row r="138" spans="1:23" ht="39.4" customHeight="1">
      <c r="A138" s="199">
        <v>44065</v>
      </c>
      <c r="B138" s="105" t="s">
        <v>61</v>
      </c>
      <c r="C138" s="106" t="s">
        <v>191</v>
      </c>
      <c r="D138" s="23" t="s">
        <v>155</v>
      </c>
      <c r="E138" s="107">
        <v>26</v>
      </c>
      <c r="F138" s="107" t="s">
        <v>67</v>
      </c>
      <c r="G138" s="107" t="s">
        <v>41</v>
      </c>
      <c r="H138" s="107">
        <v>230</v>
      </c>
      <c r="I138" s="182"/>
      <c r="J138" s="89"/>
      <c r="K138" s="139" t="s">
        <v>47</v>
      </c>
      <c r="L138" s="89"/>
      <c r="M138" s="89"/>
      <c r="N138" s="89"/>
      <c r="O138" s="89"/>
      <c r="P138" s="89" t="s">
        <v>29</v>
      </c>
      <c r="Q138" s="89"/>
      <c r="R138" s="89"/>
      <c r="S138" s="89"/>
      <c r="T138" s="90" t="s">
        <v>679</v>
      </c>
      <c r="U138" s="107"/>
      <c r="V138" s="38"/>
      <c r="W138" s="39">
        <f>IF(C138=C137,W137,W137+1)</f>
        <v>119</v>
      </c>
    </row>
    <row r="139" spans="1:23" ht="39.4" customHeight="1">
      <c r="A139" s="119">
        <v>44067</v>
      </c>
      <c r="B139" s="105" t="s">
        <v>54</v>
      </c>
      <c r="C139" s="106" t="s">
        <v>191</v>
      </c>
      <c r="D139" s="23" t="s">
        <v>155</v>
      </c>
      <c r="E139" s="107">
        <v>6</v>
      </c>
      <c r="F139" s="107" t="s">
        <v>67</v>
      </c>
      <c r="G139" s="107" t="s">
        <v>41</v>
      </c>
      <c r="H139" s="107">
        <v>230</v>
      </c>
      <c r="I139" s="182"/>
      <c r="J139" s="89"/>
      <c r="K139" s="139" t="s">
        <v>47</v>
      </c>
      <c r="L139" s="89"/>
      <c r="M139" s="89"/>
      <c r="N139" s="89"/>
      <c r="O139" s="89"/>
      <c r="P139" s="89" t="s">
        <v>29</v>
      </c>
      <c r="Q139" s="89"/>
      <c r="R139" s="89"/>
      <c r="S139" s="89"/>
      <c r="T139" s="90" t="s">
        <v>680</v>
      </c>
      <c r="U139" s="107"/>
      <c r="V139" s="38"/>
      <c r="W139" s="39">
        <f t="shared" si="2"/>
        <v>119</v>
      </c>
    </row>
    <row r="140" spans="1:23" ht="39.4" customHeight="1">
      <c r="A140" s="199">
        <v>44067</v>
      </c>
      <c r="B140" s="105" t="s">
        <v>55</v>
      </c>
      <c r="C140" s="106" t="s">
        <v>185</v>
      </c>
      <c r="D140" s="23" t="s">
        <v>186</v>
      </c>
      <c r="E140" s="107">
        <v>1</v>
      </c>
      <c r="F140" s="107" t="s">
        <v>98</v>
      </c>
      <c r="G140" s="107" t="s">
        <v>31</v>
      </c>
      <c r="H140" s="107">
        <v>120</v>
      </c>
      <c r="I140" s="182"/>
      <c r="J140" s="89"/>
      <c r="K140" s="139"/>
      <c r="L140" s="89"/>
      <c r="M140" s="89"/>
      <c r="N140" s="89"/>
      <c r="O140" s="89" t="s">
        <v>29</v>
      </c>
      <c r="P140" s="90" t="s">
        <v>70</v>
      </c>
      <c r="Q140" s="89"/>
      <c r="R140" s="89"/>
      <c r="S140" s="89"/>
      <c r="T140" s="90" t="s">
        <v>681</v>
      </c>
      <c r="U140" s="107"/>
      <c r="V140" s="38"/>
      <c r="W140" s="39">
        <f t="shared" si="2"/>
        <v>120</v>
      </c>
    </row>
    <row r="141" spans="1:23" ht="39.4" customHeight="1">
      <c r="A141" s="199">
        <v>44067</v>
      </c>
      <c r="B141" s="105" t="s">
        <v>56</v>
      </c>
      <c r="C141" s="106" t="s">
        <v>85</v>
      </c>
      <c r="D141" s="23" t="s">
        <v>171</v>
      </c>
      <c r="E141" s="107">
        <v>3</v>
      </c>
      <c r="F141" s="107" t="s">
        <v>98</v>
      </c>
      <c r="G141" s="107" t="s">
        <v>31</v>
      </c>
      <c r="H141" s="107">
        <v>120</v>
      </c>
      <c r="I141" s="182"/>
      <c r="J141" s="89"/>
      <c r="K141" s="139"/>
      <c r="L141" s="89"/>
      <c r="M141" s="89"/>
      <c r="N141" s="89"/>
      <c r="O141" s="89"/>
      <c r="P141" s="90" t="s">
        <v>70</v>
      </c>
      <c r="Q141" s="89" t="s">
        <v>29</v>
      </c>
      <c r="R141" s="89"/>
      <c r="S141" s="89"/>
      <c r="T141" s="90" t="s">
        <v>682</v>
      </c>
      <c r="U141" s="107"/>
      <c r="V141" s="38"/>
      <c r="W141" s="39">
        <f t="shared" si="2"/>
        <v>121</v>
      </c>
    </row>
    <row r="142" spans="1:23" ht="39.4" customHeight="1">
      <c r="A142" s="199">
        <v>44067</v>
      </c>
      <c r="B142" s="105" t="s">
        <v>57</v>
      </c>
      <c r="C142" s="106" t="s">
        <v>269</v>
      </c>
      <c r="D142" s="23" t="s">
        <v>270</v>
      </c>
      <c r="E142" s="107">
        <v>43</v>
      </c>
      <c r="F142" s="107" t="s">
        <v>79</v>
      </c>
      <c r="G142" s="107" t="s">
        <v>28</v>
      </c>
      <c r="H142" s="107">
        <v>230</v>
      </c>
      <c r="I142" s="182"/>
      <c r="J142" s="89"/>
      <c r="K142" s="139"/>
      <c r="L142" s="89"/>
      <c r="M142" s="89"/>
      <c r="N142" s="89"/>
      <c r="O142" s="89"/>
      <c r="P142" s="90" t="s">
        <v>70</v>
      </c>
      <c r="Q142" s="89" t="s">
        <v>29</v>
      </c>
      <c r="R142" s="89"/>
      <c r="S142" s="89"/>
      <c r="T142" s="90" t="s">
        <v>683</v>
      </c>
      <c r="U142" s="107"/>
      <c r="V142" s="38"/>
      <c r="W142" s="39">
        <f t="shared" si="2"/>
        <v>122</v>
      </c>
    </row>
    <row r="143" spans="1:23" ht="39.4" customHeight="1">
      <c r="A143" s="199">
        <v>44067</v>
      </c>
      <c r="B143" s="105" t="s">
        <v>58</v>
      </c>
      <c r="C143" s="106" t="s">
        <v>81</v>
      </c>
      <c r="D143" s="23" t="s">
        <v>153</v>
      </c>
      <c r="E143" s="107">
        <v>44</v>
      </c>
      <c r="F143" s="107" t="s">
        <v>79</v>
      </c>
      <c r="G143" s="107" t="s">
        <v>28</v>
      </c>
      <c r="H143" s="107">
        <v>230</v>
      </c>
      <c r="I143" s="182"/>
      <c r="J143" s="89"/>
      <c r="K143" s="139"/>
      <c r="L143" s="89"/>
      <c r="M143" s="89"/>
      <c r="N143" s="89"/>
      <c r="O143" s="89"/>
      <c r="P143" s="90" t="s">
        <v>70</v>
      </c>
      <c r="Q143" s="89" t="s">
        <v>29</v>
      </c>
      <c r="R143" s="89"/>
      <c r="S143" s="89"/>
      <c r="T143" s="90" t="s">
        <v>684</v>
      </c>
      <c r="U143" s="107"/>
      <c r="V143" s="38"/>
      <c r="W143" s="39">
        <f t="shared" si="2"/>
        <v>123</v>
      </c>
    </row>
    <row r="144" spans="1:23" ht="39.4" customHeight="1">
      <c r="A144" s="199">
        <v>44067</v>
      </c>
      <c r="B144" s="105" t="s">
        <v>59</v>
      </c>
      <c r="C144" s="106" t="s">
        <v>143</v>
      </c>
      <c r="D144" s="23" t="s">
        <v>166</v>
      </c>
      <c r="E144" s="107">
        <v>19</v>
      </c>
      <c r="F144" s="107" t="s">
        <v>79</v>
      </c>
      <c r="G144" s="107" t="s">
        <v>18</v>
      </c>
      <c r="H144" s="107">
        <v>220</v>
      </c>
      <c r="I144" s="182"/>
      <c r="J144" s="89"/>
      <c r="K144" s="139"/>
      <c r="L144" s="89"/>
      <c r="M144" s="89"/>
      <c r="N144" s="89"/>
      <c r="O144" s="89"/>
      <c r="P144" s="90" t="s">
        <v>70</v>
      </c>
      <c r="Q144" s="89" t="s">
        <v>29</v>
      </c>
      <c r="R144" s="89" t="s">
        <v>29</v>
      </c>
      <c r="S144" s="89"/>
      <c r="T144" s="152" t="s">
        <v>685</v>
      </c>
      <c r="U144" s="107"/>
      <c r="V144" s="38"/>
      <c r="W144" s="39">
        <f t="shared" si="2"/>
        <v>124</v>
      </c>
    </row>
    <row r="145" spans="1:23" ht="39.4" customHeight="1">
      <c r="A145" s="199">
        <v>44067</v>
      </c>
      <c r="B145" s="105" t="s">
        <v>60</v>
      </c>
      <c r="C145" s="106" t="s">
        <v>90</v>
      </c>
      <c r="D145" s="23" t="s">
        <v>150</v>
      </c>
      <c r="E145" s="107">
        <v>90</v>
      </c>
      <c r="F145" s="107" t="s">
        <v>79</v>
      </c>
      <c r="G145" s="107" t="s">
        <v>31</v>
      </c>
      <c r="H145" s="107">
        <v>120</v>
      </c>
      <c r="I145" s="182"/>
      <c r="J145" s="89"/>
      <c r="K145" s="139"/>
      <c r="L145" s="89"/>
      <c r="M145" s="89"/>
      <c r="N145" s="89"/>
      <c r="O145" s="89" t="s">
        <v>29</v>
      </c>
      <c r="P145" s="90" t="s">
        <v>70</v>
      </c>
      <c r="Q145" s="89"/>
      <c r="R145" s="89"/>
      <c r="S145" s="89"/>
      <c r="T145" s="90" t="s">
        <v>686</v>
      </c>
      <c r="U145" s="107"/>
      <c r="V145" s="38"/>
      <c r="W145" s="39">
        <f t="shared" si="2"/>
        <v>125</v>
      </c>
    </row>
    <row r="146" spans="1:23" ht="39.4" customHeight="1">
      <c r="A146" s="199">
        <v>44067</v>
      </c>
      <c r="B146" s="105" t="s">
        <v>61</v>
      </c>
      <c r="C146" s="106" t="s">
        <v>103</v>
      </c>
      <c r="D146" s="23" t="s">
        <v>158</v>
      </c>
      <c r="E146" s="107">
        <v>3</v>
      </c>
      <c r="F146" s="107" t="s">
        <v>67</v>
      </c>
      <c r="G146" s="107" t="s">
        <v>30</v>
      </c>
      <c r="H146" s="107">
        <v>230</v>
      </c>
      <c r="I146" s="182"/>
      <c r="J146" s="89"/>
      <c r="K146" s="139"/>
      <c r="L146" s="89"/>
      <c r="M146" s="89"/>
      <c r="N146" s="89"/>
      <c r="O146" s="89"/>
      <c r="P146" s="89"/>
      <c r="Q146" s="89" t="s">
        <v>29</v>
      </c>
      <c r="R146" s="89"/>
      <c r="S146" s="89"/>
      <c r="T146" s="90" t="s">
        <v>687</v>
      </c>
      <c r="U146" s="107"/>
      <c r="V146" s="38"/>
      <c r="W146" s="39">
        <f t="shared" si="2"/>
        <v>126</v>
      </c>
    </row>
    <row r="147" spans="1:23" ht="39.4" customHeight="1">
      <c r="A147" s="199">
        <v>44067</v>
      </c>
      <c r="B147" s="105" t="s">
        <v>63</v>
      </c>
      <c r="C147" s="106" t="s">
        <v>240</v>
      </c>
      <c r="D147" s="23" t="s">
        <v>241</v>
      </c>
      <c r="E147" s="107">
        <v>21</v>
      </c>
      <c r="F147" s="107" t="s">
        <v>67</v>
      </c>
      <c r="G147" s="107" t="s">
        <v>19</v>
      </c>
      <c r="H147" s="107">
        <v>220</v>
      </c>
      <c r="I147" s="182"/>
      <c r="J147" s="89"/>
      <c r="K147" s="139" t="s">
        <v>47</v>
      </c>
      <c r="L147" s="89"/>
      <c r="M147" s="89"/>
      <c r="N147" s="89"/>
      <c r="O147" s="89"/>
      <c r="P147" s="89" t="s">
        <v>29</v>
      </c>
      <c r="Q147" s="89"/>
      <c r="R147" s="89"/>
      <c r="S147" s="89"/>
      <c r="T147" s="90" t="s">
        <v>688</v>
      </c>
      <c r="U147" s="107"/>
      <c r="V147" s="38"/>
      <c r="W147" s="39">
        <f t="shared" si="2"/>
        <v>127</v>
      </c>
    </row>
    <row r="148" spans="1:23" ht="39.4" customHeight="1">
      <c r="A148" s="199">
        <v>44067</v>
      </c>
      <c r="B148" s="105" t="s">
        <v>62</v>
      </c>
      <c r="C148" s="106" t="s">
        <v>129</v>
      </c>
      <c r="D148" s="23" t="s">
        <v>156</v>
      </c>
      <c r="E148" s="107">
        <v>3</v>
      </c>
      <c r="F148" s="107" t="s">
        <v>53</v>
      </c>
      <c r="G148" s="107" t="s">
        <v>30</v>
      </c>
      <c r="H148" s="107">
        <v>230</v>
      </c>
      <c r="I148" s="182"/>
      <c r="J148" s="89"/>
      <c r="K148" s="139"/>
      <c r="L148" s="89"/>
      <c r="M148" s="89"/>
      <c r="N148" s="89"/>
      <c r="O148" s="89"/>
      <c r="P148" s="89"/>
      <c r="Q148" s="89" t="s">
        <v>29</v>
      </c>
      <c r="R148" s="89" t="s">
        <v>29</v>
      </c>
      <c r="S148" s="89"/>
      <c r="T148" s="90" t="s">
        <v>689</v>
      </c>
      <c r="U148" s="107"/>
      <c r="V148" s="38"/>
      <c r="W148" s="39">
        <f t="shared" si="2"/>
        <v>128</v>
      </c>
    </row>
    <row r="149" spans="1:23" ht="39.4" customHeight="1">
      <c r="A149" s="199">
        <v>44067</v>
      </c>
      <c r="B149" s="105" t="s">
        <v>65</v>
      </c>
      <c r="C149" s="106" t="s">
        <v>690</v>
      </c>
      <c r="D149" s="23" t="s">
        <v>158</v>
      </c>
      <c r="E149" s="107">
        <v>1</v>
      </c>
      <c r="F149" s="107" t="s">
        <v>67</v>
      </c>
      <c r="G149" s="107" t="s">
        <v>46</v>
      </c>
      <c r="H149" s="107">
        <v>120</v>
      </c>
      <c r="I149" s="182"/>
      <c r="J149" s="89"/>
      <c r="K149" s="139" t="s">
        <v>47</v>
      </c>
      <c r="L149" s="89"/>
      <c r="M149" s="89"/>
      <c r="N149" s="89"/>
      <c r="O149" s="89"/>
      <c r="P149" s="89" t="s">
        <v>29</v>
      </c>
      <c r="Q149" s="89"/>
      <c r="R149" s="89"/>
      <c r="S149" s="89"/>
      <c r="T149" s="90" t="s">
        <v>691</v>
      </c>
      <c r="U149" s="107"/>
      <c r="V149" s="38"/>
      <c r="W149" s="39">
        <f t="shared" si="2"/>
        <v>129</v>
      </c>
    </row>
    <row r="150" spans="1:23" ht="39.4" customHeight="1">
      <c r="A150" s="199">
        <v>44067</v>
      </c>
      <c r="B150" s="105" t="s">
        <v>66</v>
      </c>
      <c r="C150" s="106" t="s">
        <v>126</v>
      </c>
      <c r="D150" s="23" t="s">
        <v>149</v>
      </c>
      <c r="E150" s="107">
        <v>1</v>
      </c>
      <c r="F150" s="107" t="s">
        <v>67</v>
      </c>
      <c r="G150" s="107" t="s">
        <v>34</v>
      </c>
      <c r="H150" s="107">
        <v>120</v>
      </c>
      <c r="I150" s="182"/>
      <c r="J150" s="89"/>
      <c r="K150" s="139" t="s">
        <v>47</v>
      </c>
      <c r="L150" s="89"/>
      <c r="M150" s="89"/>
      <c r="N150" s="89"/>
      <c r="O150" s="89"/>
      <c r="P150" s="89" t="s">
        <v>29</v>
      </c>
      <c r="Q150" s="89"/>
      <c r="R150" s="89"/>
      <c r="S150" s="89"/>
      <c r="T150" s="90" t="s">
        <v>692</v>
      </c>
      <c r="U150" s="107"/>
      <c r="V150" s="38"/>
      <c r="W150" s="39">
        <f t="shared" si="2"/>
        <v>130</v>
      </c>
    </row>
    <row r="151" spans="1:23" ht="39.4" customHeight="1">
      <c r="A151" s="199">
        <v>44067</v>
      </c>
      <c r="B151" s="105" t="s">
        <v>273</v>
      </c>
      <c r="C151" s="106" t="s">
        <v>248</v>
      </c>
      <c r="D151" s="23" t="s">
        <v>249</v>
      </c>
      <c r="E151" s="107">
        <v>23</v>
      </c>
      <c r="F151" s="107" t="s">
        <v>67</v>
      </c>
      <c r="G151" s="107" t="s">
        <v>19</v>
      </c>
      <c r="H151" s="107">
        <v>220</v>
      </c>
      <c r="I151" s="182"/>
      <c r="J151" s="89"/>
      <c r="K151" s="139" t="s">
        <v>47</v>
      </c>
      <c r="L151" s="89"/>
      <c r="M151" s="89"/>
      <c r="N151" s="89"/>
      <c r="O151" s="89"/>
      <c r="P151" s="89" t="s">
        <v>29</v>
      </c>
      <c r="Q151" s="89"/>
      <c r="R151" s="89"/>
      <c r="S151" s="89"/>
      <c r="T151" s="90" t="s">
        <v>693</v>
      </c>
      <c r="U151" s="107"/>
      <c r="V151" s="38"/>
      <c r="W151" s="39">
        <f t="shared" si="2"/>
        <v>131</v>
      </c>
    </row>
    <row r="152" spans="1:23" ht="39.4" customHeight="1">
      <c r="A152" s="119">
        <v>44068</v>
      </c>
      <c r="B152" s="105" t="s">
        <v>54</v>
      </c>
      <c r="C152" s="106" t="s">
        <v>248</v>
      </c>
      <c r="D152" s="23" t="s">
        <v>249</v>
      </c>
      <c r="E152" s="107">
        <v>2</v>
      </c>
      <c r="F152" s="107" t="s">
        <v>67</v>
      </c>
      <c r="G152" s="107" t="s">
        <v>19</v>
      </c>
      <c r="H152" s="107">
        <v>220</v>
      </c>
      <c r="I152" s="182"/>
      <c r="J152" s="89"/>
      <c r="K152" s="139" t="s">
        <v>47</v>
      </c>
      <c r="L152" s="89"/>
      <c r="M152" s="89"/>
      <c r="N152" s="89"/>
      <c r="O152" s="89"/>
      <c r="P152" s="89" t="s">
        <v>29</v>
      </c>
      <c r="Q152" s="89"/>
      <c r="R152" s="89"/>
      <c r="S152" s="89"/>
      <c r="T152" s="90" t="s">
        <v>694</v>
      </c>
      <c r="U152" s="107"/>
      <c r="V152" s="38"/>
      <c r="W152" s="39">
        <f t="shared" si="2"/>
        <v>131</v>
      </c>
    </row>
    <row r="153" spans="1:23" ht="39.4" customHeight="1">
      <c r="A153" s="199">
        <v>44068</v>
      </c>
      <c r="B153" s="105" t="s">
        <v>55</v>
      </c>
      <c r="C153" s="106" t="s">
        <v>185</v>
      </c>
      <c r="D153" s="23" t="s">
        <v>186</v>
      </c>
      <c r="E153" s="107">
        <v>2</v>
      </c>
      <c r="F153" s="107" t="s">
        <v>98</v>
      </c>
      <c r="G153" s="107" t="s">
        <v>31</v>
      </c>
      <c r="H153" s="107">
        <v>120</v>
      </c>
      <c r="I153" s="182"/>
      <c r="J153" s="89"/>
      <c r="K153" s="139"/>
      <c r="L153" s="89"/>
      <c r="M153" s="89"/>
      <c r="N153" s="89"/>
      <c r="O153" s="89" t="s">
        <v>29</v>
      </c>
      <c r="P153" s="90" t="s">
        <v>70</v>
      </c>
      <c r="Q153" s="89"/>
      <c r="R153" s="89"/>
      <c r="S153" s="89"/>
      <c r="T153" s="90" t="s">
        <v>695</v>
      </c>
      <c r="U153" s="107"/>
      <c r="V153" s="38"/>
      <c r="W153" s="39">
        <f t="shared" si="2"/>
        <v>132</v>
      </c>
    </row>
    <row r="154" spans="1:23" ht="39.4" customHeight="1">
      <c r="A154" s="199">
        <v>44068</v>
      </c>
      <c r="B154" s="105" t="s">
        <v>56</v>
      </c>
      <c r="C154" s="106" t="s">
        <v>187</v>
      </c>
      <c r="D154" s="23" t="s">
        <v>188</v>
      </c>
      <c r="E154" s="107">
        <v>5</v>
      </c>
      <c r="F154" s="107" t="s">
        <v>98</v>
      </c>
      <c r="G154" s="107" t="s">
        <v>31</v>
      </c>
      <c r="H154" s="107">
        <v>120</v>
      </c>
      <c r="I154" s="182"/>
      <c r="J154" s="89"/>
      <c r="K154" s="139"/>
      <c r="L154" s="89"/>
      <c r="M154" s="89"/>
      <c r="N154" s="89"/>
      <c r="O154" s="89" t="s">
        <v>29</v>
      </c>
      <c r="P154" s="90" t="s">
        <v>70</v>
      </c>
      <c r="Q154" s="89"/>
      <c r="R154" s="89"/>
      <c r="S154" s="89"/>
      <c r="T154" s="90" t="s">
        <v>696</v>
      </c>
      <c r="U154" s="107"/>
      <c r="V154" s="38"/>
      <c r="W154" s="39">
        <f t="shared" si="2"/>
        <v>133</v>
      </c>
    </row>
    <row r="155" spans="1:23" ht="39.4" customHeight="1">
      <c r="A155" s="199">
        <v>44068</v>
      </c>
      <c r="B155" s="105" t="s">
        <v>57</v>
      </c>
      <c r="C155" s="106" t="s">
        <v>81</v>
      </c>
      <c r="D155" s="23" t="s">
        <v>153</v>
      </c>
      <c r="E155" s="107">
        <v>14</v>
      </c>
      <c r="F155" s="107" t="s">
        <v>79</v>
      </c>
      <c r="G155" s="107" t="s">
        <v>28</v>
      </c>
      <c r="H155" s="107">
        <v>230</v>
      </c>
      <c r="I155" s="182"/>
      <c r="J155" s="89"/>
      <c r="K155" s="139"/>
      <c r="L155" s="89"/>
      <c r="M155" s="89"/>
      <c r="N155" s="89"/>
      <c r="O155" s="89"/>
      <c r="P155" s="90" t="s">
        <v>70</v>
      </c>
      <c r="Q155" s="89" t="s">
        <v>29</v>
      </c>
      <c r="R155" s="89"/>
      <c r="S155" s="89"/>
      <c r="T155" s="90" t="s">
        <v>697</v>
      </c>
      <c r="U155" s="107"/>
      <c r="V155" s="38"/>
      <c r="W155" s="39">
        <f t="shared" si="2"/>
        <v>134</v>
      </c>
    </row>
    <row r="156" spans="1:23" ht="39.4" customHeight="1">
      <c r="A156" s="199">
        <v>44068</v>
      </c>
      <c r="B156" s="105" t="s">
        <v>58</v>
      </c>
      <c r="C156" s="106" t="s">
        <v>92</v>
      </c>
      <c r="D156" s="23" t="s">
        <v>161</v>
      </c>
      <c r="E156" s="107">
        <v>89</v>
      </c>
      <c r="F156" s="107" t="s">
        <v>79</v>
      </c>
      <c r="G156" s="107" t="s">
        <v>31</v>
      </c>
      <c r="H156" s="107">
        <v>120</v>
      </c>
      <c r="I156" s="182"/>
      <c r="J156" s="89"/>
      <c r="K156" s="139"/>
      <c r="L156" s="89"/>
      <c r="M156" s="89"/>
      <c r="N156" s="89"/>
      <c r="O156" s="89"/>
      <c r="P156" s="90" t="s">
        <v>70</v>
      </c>
      <c r="Q156" s="89" t="s">
        <v>29</v>
      </c>
      <c r="R156" s="89"/>
      <c r="S156" s="89"/>
      <c r="T156" s="90" t="s">
        <v>698</v>
      </c>
      <c r="U156" s="90"/>
      <c r="V156" s="38"/>
      <c r="W156" s="39">
        <f t="shared" si="2"/>
        <v>135</v>
      </c>
    </row>
    <row r="157" spans="1:23" ht="39.4" customHeight="1">
      <c r="A157" s="199">
        <v>44068</v>
      </c>
      <c r="B157" s="105" t="s">
        <v>59</v>
      </c>
      <c r="C157" s="106" t="s">
        <v>82</v>
      </c>
      <c r="D157" s="23" t="s">
        <v>167</v>
      </c>
      <c r="E157" s="107">
        <v>45</v>
      </c>
      <c r="F157" s="107" t="s">
        <v>79</v>
      </c>
      <c r="G157" s="107" t="s">
        <v>30</v>
      </c>
      <c r="H157" s="107">
        <v>230</v>
      </c>
      <c r="I157" s="182"/>
      <c r="J157" s="89"/>
      <c r="K157" s="139"/>
      <c r="L157" s="89"/>
      <c r="M157" s="89"/>
      <c r="N157" s="89"/>
      <c r="O157" s="89"/>
      <c r="P157" s="90" t="s">
        <v>70</v>
      </c>
      <c r="Q157" s="89" t="s">
        <v>29</v>
      </c>
      <c r="R157" s="89" t="s">
        <v>29</v>
      </c>
      <c r="S157" s="89"/>
      <c r="T157" s="90" t="s">
        <v>699</v>
      </c>
      <c r="U157" s="90"/>
      <c r="V157" s="38"/>
      <c r="W157" s="39">
        <f t="shared" si="2"/>
        <v>136</v>
      </c>
    </row>
    <row r="158" spans="1:23" ht="39.4" customHeight="1">
      <c r="A158" s="199">
        <v>44068</v>
      </c>
      <c r="B158" s="105" t="s">
        <v>60</v>
      </c>
      <c r="C158" s="106" t="s">
        <v>118</v>
      </c>
      <c r="D158" s="23" t="s">
        <v>152</v>
      </c>
      <c r="E158" s="107">
        <v>33</v>
      </c>
      <c r="F158" s="107" t="s">
        <v>79</v>
      </c>
      <c r="G158" s="107" t="s">
        <v>18</v>
      </c>
      <c r="H158" s="107">
        <v>220</v>
      </c>
      <c r="I158" s="182"/>
      <c r="J158" s="89"/>
      <c r="K158" s="139"/>
      <c r="L158" s="89"/>
      <c r="M158" s="89"/>
      <c r="N158" s="89"/>
      <c r="O158" s="89"/>
      <c r="P158" s="90" t="s">
        <v>70</v>
      </c>
      <c r="Q158" s="89" t="s">
        <v>29</v>
      </c>
      <c r="R158" s="89" t="s">
        <v>29</v>
      </c>
      <c r="S158" s="89"/>
      <c r="T158" s="90" t="s">
        <v>700</v>
      </c>
      <c r="U158" s="90"/>
      <c r="V158" s="38"/>
      <c r="W158" s="39">
        <f t="shared" si="2"/>
        <v>137</v>
      </c>
    </row>
    <row r="159" spans="1:23" ht="39.4" customHeight="1">
      <c r="A159" s="199">
        <v>44068</v>
      </c>
      <c r="B159" s="105" t="s">
        <v>61</v>
      </c>
      <c r="C159" s="106" t="s">
        <v>143</v>
      </c>
      <c r="D159" s="23" t="s">
        <v>166</v>
      </c>
      <c r="E159" s="107">
        <v>34</v>
      </c>
      <c r="F159" s="107" t="s">
        <v>79</v>
      </c>
      <c r="G159" s="107" t="s">
        <v>18</v>
      </c>
      <c r="H159" s="107">
        <v>220</v>
      </c>
      <c r="I159" s="182"/>
      <c r="J159" s="89"/>
      <c r="K159" s="139"/>
      <c r="L159" s="89"/>
      <c r="M159" s="89"/>
      <c r="N159" s="89"/>
      <c r="O159" s="89"/>
      <c r="P159" s="90" t="s">
        <v>70</v>
      </c>
      <c r="Q159" s="89" t="s">
        <v>29</v>
      </c>
      <c r="R159" s="89" t="s">
        <v>29</v>
      </c>
      <c r="S159" s="89"/>
      <c r="T159" s="152" t="s">
        <v>701</v>
      </c>
      <c r="U159" s="90"/>
      <c r="V159" s="38"/>
      <c r="W159" s="39">
        <f t="shared" si="2"/>
        <v>138</v>
      </c>
    </row>
    <row r="160" spans="1:23" ht="39.4" customHeight="1">
      <c r="A160" s="199">
        <v>44068</v>
      </c>
      <c r="B160" s="105" t="s">
        <v>63</v>
      </c>
      <c r="C160" s="106" t="s">
        <v>90</v>
      </c>
      <c r="D160" s="23" t="s">
        <v>150</v>
      </c>
      <c r="E160" s="107">
        <v>84</v>
      </c>
      <c r="F160" s="107" t="s">
        <v>79</v>
      </c>
      <c r="G160" s="107" t="s">
        <v>31</v>
      </c>
      <c r="H160" s="107">
        <v>120</v>
      </c>
      <c r="I160" s="182"/>
      <c r="J160" s="89"/>
      <c r="K160" s="139"/>
      <c r="L160" s="89"/>
      <c r="M160" s="89"/>
      <c r="N160" s="89"/>
      <c r="O160" s="89" t="s">
        <v>29</v>
      </c>
      <c r="P160" s="90" t="s">
        <v>70</v>
      </c>
      <c r="Q160" s="89"/>
      <c r="R160" s="89"/>
      <c r="S160" s="89"/>
      <c r="T160" s="90" t="s">
        <v>702</v>
      </c>
      <c r="U160" s="90"/>
      <c r="V160" s="38"/>
      <c r="W160" s="39">
        <f t="shared" si="2"/>
        <v>139</v>
      </c>
    </row>
    <row r="161" spans="1:23" ht="39.4" customHeight="1">
      <c r="A161" s="199">
        <v>44068</v>
      </c>
      <c r="B161" s="105" t="s">
        <v>62</v>
      </c>
      <c r="C161" s="106" t="s">
        <v>123</v>
      </c>
      <c r="D161" s="23" t="s">
        <v>160</v>
      </c>
      <c r="E161" s="107">
        <v>7</v>
      </c>
      <c r="F161" s="107" t="s">
        <v>124</v>
      </c>
      <c r="G161" s="107" t="s">
        <v>18</v>
      </c>
      <c r="H161" s="107">
        <v>220</v>
      </c>
      <c r="I161" s="182"/>
      <c r="J161" s="89"/>
      <c r="K161" s="139"/>
      <c r="L161" s="89"/>
      <c r="M161" s="89" t="s">
        <v>29</v>
      </c>
      <c r="N161" s="89"/>
      <c r="O161" s="89"/>
      <c r="P161" s="89" t="s">
        <v>29</v>
      </c>
      <c r="Q161" s="89"/>
      <c r="R161" s="89" t="s">
        <v>29</v>
      </c>
      <c r="S161" s="89"/>
      <c r="T161" s="90" t="s">
        <v>703</v>
      </c>
      <c r="U161" s="90"/>
      <c r="V161" s="38"/>
      <c r="W161" s="39">
        <f t="shared" si="2"/>
        <v>140</v>
      </c>
    </row>
    <row r="162" spans="1:23" ht="39.4" customHeight="1">
      <c r="A162" s="199">
        <v>44068</v>
      </c>
      <c r="B162" s="105" t="s">
        <v>65</v>
      </c>
      <c r="C162" s="106" t="s">
        <v>103</v>
      </c>
      <c r="D162" s="23" t="s">
        <v>158</v>
      </c>
      <c r="E162" s="107">
        <v>34</v>
      </c>
      <c r="F162" s="107" t="s">
        <v>67</v>
      </c>
      <c r="G162" s="107" t="s">
        <v>30</v>
      </c>
      <c r="H162" s="107">
        <v>230</v>
      </c>
      <c r="I162" s="182"/>
      <c r="J162" s="89"/>
      <c r="K162" s="139"/>
      <c r="L162" s="89"/>
      <c r="M162" s="89"/>
      <c r="N162" s="89"/>
      <c r="O162" s="89"/>
      <c r="P162" s="89"/>
      <c r="Q162" s="89" t="s">
        <v>29</v>
      </c>
      <c r="R162" s="89"/>
      <c r="S162" s="89"/>
      <c r="T162" s="90" t="s">
        <v>704</v>
      </c>
      <c r="U162" s="90"/>
      <c r="V162" s="38"/>
      <c r="W162" s="39">
        <f t="shared" si="2"/>
        <v>141</v>
      </c>
    </row>
    <row r="163" spans="1:23" ht="39.4" customHeight="1">
      <c r="A163" s="199">
        <v>44068</v>
      </c>
      <c r="B163" s="105" t="s">
        <v>66</v>
      </c>
      <c r="C163" s="106" t="s">
        <v>248</v>
      </c>
      <c r="D163" s="23" t="s">
        <v>249</v>
      </c>
      <c r="E163" s="107">
        <v>11</v>
      </c>
      <c r="F163" s="107" t="s">
        <v>67</v>
      </c>
      <c r="G163" s="107" t="s">
        <v>19</v>
      </c>
      <c r="H163" s="107">
        <v>220</v>
      </c>
      <c r="I163" s="182"/>
      <c r="J163" s="89"/>
      <c r="K163" s="139" t="s">
        <v>47</v>
      </c>
      <c r="L163" s="89"/>
      <c r="M163" s="89"/>
      <c r="N163" s="89"/>
      <c r="O163" s="89"/>
      <c r="P163" s="89" t="s">
        <v>29</v>
      </c>
      <c r="Q163" s="89"/>
      <c r="R163" s="89"/>
      <c r="S163" s="89"/>
      <c r="T163" s="90" t="s">
        <v>705</v>
      </c>
      <c r="U163" s="90"/>
      <c r="V163" s="38"/>
      <c r="W163" s="39">
        <f t="shared" si="2"/>
        <v>142</v>
      </c>
    </row>
    <row r="164" spans="1:23" ht="39.4" customHeight="1">
      <c r="A164" s="119">
        <v>44069</v>
      </c>
      <c r="B164" s="105" t="s">
        <v>54</v>
      </c>
      <c r="C164" s="106" t="s">
        <v>248</v>
      </c>
      <c r="D164" s="23" t="s">
        <v>249</v>
      </c>
      <c r="E164" s="107">
        <v>9</v>
      </c>
      <c r="F164" s="107" t="s">
        <v>67</v>
      </c>
      <c r="G164" s="107" t="s">
        <v>19</v>
      </c>
      <c r="H164" s="107">
        <v>220</v>
      </c>
      <c r="I164" s="182"/>
      <c r="J164" s="89"/>
      <c r="K164" s="139" t="s">
        <v>47</v>
      </c>
      <c r="L164" s="89"/>
      <c r="M164" s="89"/>
      <c r="N164" s="89"/>
      <c r="O164" s="89"/>
      <c r="P164" s="89" t="s">
        <v>29</v>
      </c>
      <c r="Q164" s="89"/>
      <c r="R164" s="89"/>
      <c r="S164" s="89"/>
      <c r="T164" s="90" t="s">
        <v>706</v>
      </c>
      <c r="U164" s="90"/>
      <c r="V164" s="38"/>
      <c r="W164" s="39">
        <f t="shared" si="2"/>
        <v>142</v>
      </c>
    </row>
    <row r="165" spans="1:23" ht="39.4" customHeight="1">
      <c r="A165" s="199">
        <v>44069</v>
      </c>
      <c r="B165" s="105" t="s">
        <v>55</v>
      </c>
      <c r="C165" s="106" t="s">
        <v>80</v>
      </c>
      <c r="D165" s="23" t="s">
        <v>165</v>
      </c>
      <c r="E165" s="107">
        <v>27</v>
      </c>
      <c r="F165" s="107" t="s">
        <v>79</v>
      </c>
      <c r="G165" s="107" t="s">
        <v>30</v>
      </c>
      <c r="H165" s="107">
        <v>230</v>
      </c>
      <c r="I165" s="182"/>
      <c r="J165" s="89"/>
      <c r="K165" s="139"/>
      <c r="L165" s="89"/>
      <c r="M165" s="89"/>
      <c r="N165" s="89"/>
      <c r="O165" s="89"/>
      <c r="P165" s="90" t="s">
        <v>70</v>
      </c>
      <c r="Q165" s="89" t="s">
        <v>29</v>
      </c>
      <c r="R165" s="89" t="s">
        <v>29</v>
      </c>
      <c r="S165" s="89"/>
      <c r="T165" s="90" t="s">
        <v>707</v>
      </c>
      <c r="U165" s="90"/>
      <c r="V165" s="38"/>
      <c r="W165" s="39">
        <f t="shared" si="2"/>
        <v>143</v>
      </c>
    </row>
    <row r="166" spans="1:23" ht="39.4" customHeight="1">
      <c r="A166" s="199">
        <v>44069</v>
      </c>
      <c r="B166" s="105" t="s">
        <v>56</v>
      </c>
      <c r="C166" s="106" t="s">
        <v>292</v>
      </c>
      <c r="D166" s="23" t="s">
        <v>293</v>
      </c>
      <c r="E166" s="107">
        <v>48</v>
      </c>
      <c r="F166" s="107" t="s">
        <v>79</v>
      </c>
      <c r="G166" s="107" t="s">
        <v>30</v>
      </c>
      <c r="H166" s="107">
        <v>230</v>
      </c>
      <c r="I166" s="182"/>
      <c r="J166" s="89"/>
      <c r="K166" s="139"/>
      <c r="L166" s="89"/>
      <c r="M166" s="89"/>
      <c r="N166" s="89"/>
      <c r="O166" s="89"/>
      <c r="P166" s="90" t="s">
        <v>70</v>
      </c>
      <c r="Q166" s="89" t="s">
        <v>29</v>
      </c>
      <c r="R166" s="89" t="s">
        <v>29</v>
      </c>
      <c r="S166" s="89"/>
      <c r="T166" s="90" t="s">
        <v>708</v>
      </c>
      <c r="U166" s="90"/>
      <c r="V166" s="38"/>
      <c r="W166" s="39">
        <f t="shared" si="2"/>
        <v>144</v>
      </c>
    </row>
    <row r="167" spans="1:23" ht="39.4" customHeight="1">
      <c r="A167" s="199">
        <v>44069</v>
      </c>
      <c r="B167" s="105" t="s">
        <v>57</v>
      </c>
      <c r="C167" s="106" t="s">
        <v>92</v>
      </c>
      <c r="D167" s="23" t="s">
        <v>161</v>
      </c>
      <c r="E167" s="107">
        <v>18</v>
      </c>
      <c r="F167" s="107" t="s">
        <v>79</v>
      </c>
      <c r="G167" s="107" t="s">
        <v>31</v>
      </c>
      <c r="H167" s="107">
        <v>120</v>
      </c>
      <c r="I167" s="182"/>
      <c r="J167" s="89"/>
      <c r="K167" s="139"/>
      <c r="L167" s="89"/>
      <c r="M167" s="89"/>
      <c r="N167" s="89"/>
      <c r="O167" s="89"/>
      <c r="P167" s="90" t="s">
        <v>70</v>
      </c>
      <c r="Q167" s="89" t="s">
        <v>29</v>
      </c>
      <c r="R167" s="89"/>
      <c r="S167" s="89"/>
      <c r="T167" s="90" t="s">
        <v>709</v>
      </c>
      <c r="U167" s="90"/>
      <c r="V167" s="38"/>
      <c r="W167" s="39">
        <f t="shared" si="2"/>
        <v>145</v>
      </c>
    </row>
    <row r="168" spans="1:23" ht="39.4" customHeight="1">
      <c r="A168" s="199">
        <v>44069</v>
      </c>
      <c r="B168" s="105" t="s">
        <v>58</v>
      </c>
      <c r="C168" s="106" t="s">
        <v>710</v>
      </c>
      <c r="D168" s="23" t="s">
        <v>711</v>
      </c>
      <c r="E168" s="107">
        <v>7</v>
      </c>
      <c r="F168" s="107" t="s">
        <v>79</v>
      </c>
      <c r="G168" s="107" t="s">
        <v>19</v>
      </c>
      <c r="H168" s="107">
        <v>230</v>
      </c>
      <c r="I168" s="182"/>
      <c r="J168" s="89"/>
      <c r="K168" s="139"/>
      <c r="L168" s="89"/>
      <c r="M168" s="89"/>
      <c r="N168" s="89"/>
      <c r="O168" s="89"/>
      <c r="P168" s="90" t="s">
        <v>70</v>
      </c>
      <c r="Q168" s="89" t="s">
        <v>29</v>
      </c>
      <c r="R168" s="89" t="s">
        <v>29</v>
      </c>
      <c r="S168" s="89"/>
      <c r="T168" s="90" t="s">
        <v>712</v>
      </c>
      <c r="U168" s="90"/>
      <c r="V168" s="38"/>
      <c r="W168" s="39">
        <f t="shared" si="2"/>
        <v>146</v>
      </c>
    </row>
    <row r="169" spans="1:23" ht="39.4" customHeight="1">
      <c r="A169" s="199">
        <v>44069</v>
      </c>
      <c r="B169" s="105" t="s">
        <v>59</v>
      </c>
      <c r="C169" s="106" t="s">
        <v>118</v>
      </c>
      <c r="D169" s="23" t="s">
        <v>152</v>
      </c>
      <c r="E169" s="107">
        <v>67</v>
      </c>
      <c r="F169" s="107" t="s">
        <v>79</v>
      </c>
      <c r="G169" s="107" t="s">
        <v>18</v>
      </c>
      <c r="H169" s="107">
        <v>220</v>
      </c>
      <c r="I169" s="182"/>
      <c r="J169" s="89"/>
      <c r="K169" s="139"/>
      <c r="L169" s="89"/>
      <c r="M169" s="89"/>
      <c r="N169" s="89"/>
      <c r="O169" s="89"/>
      <c r="P169" s="90" t="s">
        <v>70</v>
      </c>
      <c r="Q169" s="89" t="s">
        <v>29</v>
      </c>
      <c r="R169" s="89" t="s">
        <v>29</v>
      </c>
      <c r="S169" s="89"/>
      <c r="T169" s="90" t="s">
        <v>713</v>
      </c>
      <c r="U169" s="90"/>
      <c r="V169" s="38"/>
      <c r="W169" s="39">
        <f t="shared" si="2"/>
        <v>147</v>
      </c>
    </row>
    <row r="170" spans="1:23" ht="39.4" customHeight="1">
      <c r="A170" s="199">
        <v>44069</v>
      </c>
      <c r="B170" s="105" t="s">
        <v>60</v>
      </c>
      <c r="C170" s="106" t="s">
        <v>83</v>
      </c>
      <c r="D170" s="23" t="s">
        <v>168</v>
      </c>
      <c r="E170" s="107">
        <v>41</v>
      </c>
      <c r="F170" s="107" t="s">
        <v>79</v>
      </c>
      <c r="G170" s="107" t="s">
        <v>30</v>
      </c>
      <c r="H170" s="107">
        <v>230</v>
      </c>
      <c r="I170" s="182"/>
      <c r="J170" s="89"/>
      <c r="K170" s="139"/>
      <c r="L170" s="89"/>
      <c r="M170" s="89"/>
      <c r="N170" s="89"/>
      <c r="O170" s="89"/>
      <c r="P170" s="90" t="s">
        <v>70</v>
      </c>
      <c r="Q170" s="89" t="s">
        <v>29</v>
      </c>
      <c r="R170" s="89"/>
      <c r="S170" s="89"/>
      <c r="T170" s="90" t="s">
        <v>714</v>
      </c>
      <c r="U170" s="90"/>
      <c r="V170" s="38"/>
      <c r="W170" s="39">
        <f t="shared" si="2"/>
        <v>148</v>
      </c>
    </row>
    <row r="171" spans="1:23" ht="39.4" customHeight="1">
      <c r="A171" s="199">
        <v>44069</v>
      </c>
      <c r="B171" s="105" t="s">
        <v>61</v>
      </c>
      <c r="C171" s="106" t="s">
        <v>90</v>
      </c>
      <c r="D171" s="23" t="s">
        <v>150</v>
      </c>
      <c r="E171" s="107">
        <v>55</v>
      </c>
      <c r="F171" s="107" t="s">
        <v>79</v>
      </c>
      <c r="G171" s="107" t="s">
        <v>31</v>
      </c>
      <c r="H171" s="107">
        <v>120</v>
      </c>
      <c r="I171" s="182"/>
      <c r="J171" s="89"/>
      <c r="K171" s="139"/>
      <c r="L171" s="89"/>
      <c r="M171" s="89"/>
      <c r="N171" s="89"/>
      <c r="O171" s="89" t="s">
        <v>29</v>
      </c>
      <c r="P171" s="90" t="s">
        <v>70</v>
      </c>
      <c r="Q171" s="89"/>
      <c r="R171" s="89"/>
      <c r="S171" s="89"/>
      <c r="T171" s="90" t="s">
        <v>715</v>
      </c>
      <c r="U171" s="90"/>
      <c r="V171" s="38"/>
      <c r="W171" s="39">
        <f t="shared" si="2"/>
        <v>149</v>
      </c>
    </row>
    <row r="172" spans="1:23" ht="39.4" customHeight="1">
      <c r="A172" s="199">
        <v>44069</v>
      </c>
      <c r="B172" s="105" t="s">
        <v>63</v>
      </c>
      <c r="C172" s="106" t="s">
        <v>189</v>
      </c>
      <c r="D172" s="23" t="s">
        <v>190</v>
      </c>
      <c r="E172" s="107">
        <v>2</v>
      </c>
      <c r="F172" s="107" t="s">
        <v>79</v>
      </c>
      <c r="G172" s="107" t="s">
        <v>49</v>
      </c>
      <c r="H172" s="107">
        <v>100</v>
      </c>
      <c r="I172" s="182"/>
      <c r="J172" s="89"/>
      <c r="K172" s="139"/>
      <c r="L172" s="89"/>
      <c r="M172" s="89"/>
      <c r="N172" s="89"/>
      <c r="O172" s="89" t="s">
        <v>29</v>
      </c>
      <c r="P172" s="90" t="s">
        <v>70</v>
      </c>
      <c r="Q172" s="89"/>
      <c r="R172" s="89" t="s">
        <v>29</v>
      </c>
      <c r="S172" s="89" t="s">
        <v>29</v>
      </c>
      <c r="T172" s="90" t="s">
        <v>716</v>
      </c>
      <c r="U172" s="90"/>
      <c r="V172" s="38"/>
      <c r="W172" s="39">
        <f t="shared" si="2"/>
        <v>150</v>
      </c>
    </row>
    <row r="173" spans="1:23" ht="39.4" customHeight="1">
      <c r="A173" s="199">
        <v>44069</v>
      </c>
      <c r="B173" s="105" t="s">
        <v>62</v>
      </c>
      <c r="C173" s="106" t="s">
        <v>91</v>
      </c>
      <c r="D173" s="23" t="s">
        <v>162</v>
      </c>
      <c r="E173" s="107">
        <v>34</v>
      </c>
      <c r="F173" s="107" t="s">
        <v>79</v>
      </c>
      <c r="G173" s="107" t="s">
        <v>31</v>
      </c>
      <c r="H173" s="107">
        <v>120</v>
      </c>
      <c r="I173" s="182"/>
      <c r="J173" s="89"/>
      <c r="K173" s="139"/>
      <c r="L173" s="89"/>
      <c r="M173" s="89"/>
      <c r="N173" s="89"/>
      <c r="O173" s="89" t="s">
        <v>29</v>
      </c>
      <c r="P173" s="90" t="s">
        <v>70</v>
      </c>
      <c r="Q173" s="89"/>
      <c r="R173" s="89"/>
      <c r="S173" s="89"/>
      <c r="T173" s="90" t="s">
        <v>717</v>
      </c>
      <c r="U173" s="90"/>
      <c r="V173" s="38"/>
      <c r="W173" s="39">
        <f t="shared" si="2"/>
        <v>151</v>
      </c>
    </row>
    <row r="174" spans="1:23" ht="39.4" customHeight="1">
      <c r="A174" s="199">
        <v>44069</v>
      </c>
      <c r="B174" s="105" t="s">
        <v>65</v>
      </c>
      <c r="C174" s="106" t="s">
        <v>123</v>
      </c>
      <c r="D174" s="23" t="s">
        <v>160</v>
      </c>
      <c r="E174" s="107">
        <v>6</v>
      </c>
      <c r="F174" s="107" t="s">
        <v>124</v>
      </c>
      <c r="G174" s="107" t="s">
        <v>18</v>
      </c>
      <c r="H174" s="107">
        <v>220</v>
      </c>
      <c r="I174" s="182"/>
      <c r="J174" s="89"/>
      <c r="K174" s="139"/>
      <c r="L174" s="89"/>
      <c r="M174" s="89" t="s">
        <v>29</v>
      </c>
      <c r="N174" s="89"/>
      <c r="O174" s="89"/>
      <c r="P174" s="89" t="s">
        <v>29</v>
      </c>
      <c r="Q174" s="89"/>
      <c r="R174" s="89" t="s">
        <v>29</v>
      </c>
      <c r="S174" s="89"/>
      <c r="T174" s="90" t="s">
        <v>718</v>
      </c>
      <c r="U174" s="90"/>
      <c r="V174" s="38"/>
      <c r="W174" s="39">
        <f t="shared" si="2"/>
        <v>152</v>
      </c>
    </row>
    <row r="175" spans="1:23" ht="39.4" customHeight="1">
      <c r="A175" s="199">
        <v>44069</v>
      </c>
      <c r="B175" s="105" t="s">
        <v>66</v>
      </c>
      <c r="C175" s="106" t="s">
        <v>103</v>
      </c>
      <c r="D175" s="23" t="s">
        <v>158</v>
      </c>
      <c r="E175" s="107">
        <v>46</v>
      </c>
      <c r="F175" s="107" t="s">
        <v>67</v>
      </c>
      <c r="G175" s="107" t="s">
        <v>30</v>
      </c>
      <c r="H175" s="107">
        <v>230</v>
      </c>
      <c r="I175" s="182"/>
      <c r="J175" s="89"/>
      <c r="K175" s="139"/>
      <c r="L175" s="89"/>
      <c r="M175" s="89"/>
      <c r="N175" s="89"/>
      <c r="O175" s="89"/>
      <c r="P175" s="89"/>
      <c r="Q175" s="89" t="s">
        <v>29</v>
      </c>
      <c r="R175" s="89"/>
      <c r="S175" s="89"/>
      <c r="T175" s="90" t="s">
        <v>719</v>
      </c>
      <c r="U175" s="90"/>
      <c r="V175" s="38"/>
      <c r="W175" s="39">
        <f t="shared" si="2"/>
        <v>153</v>
      </c>
    </row>
    <row r="176" spans="1:23" ht="39.4" customHeight="1">
      <c r="A176" s="119">
        <v>44070</v>
      </c>
      <c r="B176" s="105" t="s">
        <v>54</v>
      </c>
      <c r="C176" s="106" t="s">
        <v>103</v>
      </c>
      <c r="D176" s="23" t="s">
        <v>158</v>
      </c>
      <c r="E176" s="107">
        <v>8</v>
      </c>
      <c r="F176" s="107" t="s">
        <v>67</v>
      </c>
      <c r="G176" s="107" t="s">
        <v>30</v>
      </c>
      <c r="H176" s="107">
        <v>230</v>
      </c>
      <c r="I176" s="182"/>
      <c r="J176" s="89"/>
      <c r="K176" s="139"/>
      <c r="L176" s="89"/>
      <c r="M176" s="89"/>
      <c r="N176" s="89"/>
      <c r="O176" s="89"/>
      <c r="P176" s="89"/>
      <c r="Q176" s="89" t="s">
        <v>29</v>
      </c>
      <c r="R176" s="89"/>
      <c r="S176" s="89"/>
      <c r="T176" s="90" t="s">
        <v>720</v>
      </c>
      <c r="U176" s="90"/>
      <c r="V176" s="38"/>
      <c r="W176" s="39">
        <f t="shared" si="2"/>
        <v>153</v>
      </c>
    </row>
    <row r="177" spans="1:23" ht="39.4" customHeight="1">
      <c r="A177" s="199">
        <v>44070</v>
      </c>
      <c r="B177" s="105" t="s">
        <v>55</v>
      </c>
      <c r="C177" s="106" t="s">
        <v>92</v>
      </c>
      <c r="D177" s="23" t="s">
        <v>161</v>
      </c>
      <c r="E177" s="107">
        <v>130</v>
      </c>
      <c r="F177" s="107" t="s">
        <v>79</v>
      </c>
      <c r="G177" s="107" t="s">
        <v>31</v>
      </c>
      <c r="H177" s="107">
        <v>120</v>
      </c>
      <c r="I177" s="182"/>
      <c r="J177" s="89"/>
      <c r="K177" s="139"/>
      <c r="L177" s="89"/>
      <c r="M177" s="89"/>
      <c r="N177" s="89"/>
      <c r="O177" s="89"/>
      <c r="P177" s="90" t="s">
        <v>70</v>
      </c>
      <c r="Q177" s="89" t="s">
        <v>29</v>
      </c>
      <c r="R177" s="89"/>
      <c r="S177" s="89"/>
      <c r="T177" s="90" t="s">
        <v>721</v>
      </c>
      <c r="U177" s="90"/>
      <c r="V177" s="38"/>
      <c r="W177" s="39">
        <f t="shared" si="2"/>
        <v>154</v>
      </c>
    </row>
    <row r="178" spans="1:23" ht="39.4" customHeight="1">
      <c r="A178" s="199">
        <v>44070</v>
      </c>
      <c r="B178" s="105" t="s">
        <v>56</v>
      </c>
      <c r="C178" s="106" t="s">
        <v>252</v>
      </c>
      <c r="D178" s="23" t="s">
        <v>253</v>
      </c>
      <c r="E178" s="107">
        <v>13</v>
      </c>
      <c r="F178" s="107" t="s">
        <v>79</v>
      </c>
      <c r="G178" s="107" t="s">
        <v>46</v>
      </c>
      <c r="H178" s="107">
        <v>120</v>
      </c>
      <c r="I178" s="182"/>
      <c r="J178" s="89"/>
      <c r="K178" s="139"/>
      <c r="L178" s="89"/>
      <c r="M178" s="89"/>
      <c r="N178" s="89"/>
      <c r="O178" s="89"/>
      <c r="P178" s="90" t="s">
        <v>70</v>
      </c>
      <c r="Q178" s="89" t="s">
        <v>29</v>
      </c>
      <c r="R178" s="89" t="s">
        <v>29</v>
      </c>
      <c r="S178" s="89"/>
      <c r="T178" s="90" t="s">
        <v>722</v>
      </c>
      <c r="U178" s="90"/>
      <c r="V178" s="38"/>
      <c r="W178" s="39">
        <f t="shared" si="2"/>
        <v>155</v>
      </c>
    </row>
    <row r="179" spans="1:23" ht="39.4" customHeight="1">
      <c r="A179" s="199">
        <v>44070</v>
      </c>
      <c r="B179" s="105" t="s">
        <v>57</v>
      </c>
      <c r="C179" s="106" t="s">
        <v>118</v>
      </c>
      <c r="D179" s="23" t="s">
        <v>152</v>
      </c>
      <c r="E179" s="107">
        <v>67</v>
      </c>
      <c r="F179" s="107" t="s">
        <v>79</v>
      </c>
      <c r="G179" s="107" t="s">
        <v>18</v>
      </c>
      <c r="H179" s="107">
        <v>220</v>
      </c>
      <c r="I179" s="182"/>
      <c r="J179" s="89"/>
      <c r="K179" s="139"/>
      <c r="L179" s="89"/>
      <c r="M179" s="89"/>
      <c r="N179" s="89"/>
      <c r="O179" s="89"/>
      <c r="P179" s="90" t="s">
        <v>70</v>
      </c>
      <c r="Q179" s="89" t="s">
        <v>29</v>
      </c>
      <c r="R179" s="89" t="s">
        <v>29</v>
      </c>
      <c r="S179" s="89"/>
      <c r="T179" s="90" t="s">
        <v>723</v>
      </c>
      <c r="U179" s="90"/>
      <c r="V179" s="38"/>
      <c r="W179" s="39">
        <f t="shared" si="2"/>
        <v>156</v>
      </c>
    </row>
    <row r="180" spans="1:23" ht="39.4" customHeight="1">
      <c r="A180" s="199">
        <v>44070</v>
      </c>
      <c r="B180" s="105" t="s">
        <v>58</v>
      </c>
      <c r="C180" s="106" t="s">
        <v>91</v>
      </c>
      <c r="D180" s="23" t="s">
        <v>162</v>
      </c>
      <c r="E180" s="107">
        <v>90</v>
      </c>
      <c r="F180" s="107" t="s">
        <v>79</v>
      </c>
      <c r="G180" s="107" t="s">
        <v>31</v>
      </c>
      <c r="H180" s="107">
        <v>120</v>
      </c>
      <c r="I180" s="182"/>
      <c r="J180" s="89"/>
      <c r="K180" s="139"/>
      <c r="L180" s="89"/>
      <c r="M180" s="89"/>
      <c r="N180" s="89"/>
      <c r="O180" s="89" t="s">
        <v>29</v>
      </c>
      <c r="P180" s="90" t="s">
        <v>70</v>
      </c>
      <c r="Q180" s="89"/>
      <c r="R180" s="89"/>
      <c r="S180" s="89"/>
      <c r="T180" s="90" t="s">
        <v>724</v>
      </c>
      <c r="U180" s="90"/>
      <c r="V180" s="38"/>
      <c r="W180" s="39">
        <f t="shared" si="2"/>
        <v>157</v>
      </c>
    </row>
    <row r="181" spans="1:23" ht="39.4" customHeight="1">
      <c r="A181" s="199">
        <v>44070</v>
      </c>
      <c r="B181" s="105" t="s">
        <v>59</v>
      </c>
      <c r="C181" s="106" t="s">
        <v>123</v>
      </c>
      <c r="D181" s="23" t="s">
        <v>160</v>
      </c>
      <c r="E181" s="107">
        <v>4</v>
      </c>
      <c r="F181" s="107" t="s">
        <v>124</v>
      </c>
      <c r="G181" s="107" t="s">
        <v>18</v>
      </c>
      <c r="H181" s="107">
        <v>220</v>
      </c>
      <c r="I181" s="182"/>
      <c r="J181" s="89"/>
      <c r="K181" s="139"/>
      <c r="L181" s="89"/>
      <c r="M181" s="89" t="s">
        <v>29</v>
      </c>
      <c r="N181" s="89"/>
      <c r="O181" s="89"/>
      <c r="P181" s="89" t="s">
        <v>29</v>
      </c>
      <c r="Q181" s="89"/>
      <c r="R181" s="89" t="s">
        <v>29</v>
      </c>
      <c r="S181" s="89"/>
      <c r="T181" s="90" t="s">
        <v>725</v>
      </c>
      <c r="U181" s="90"/>
      <c r="V181" s="38"/>
      <c r="W181" s="39">
        <f t="shared" si="2"/>
        <v>158</v>
      </c>
    </row>
    <row r="182" spans="1:23" ht="39.4" customHeight="1">
      <c r="A182" s="199">
        <v>44070</v>
      </c>
      <c r="B182" s="105" t="s">
        <v>60</v>
      </c>
      <c r="C182" s="106" t="s">
        <v>726</v>
      </c>
      <c r="D182" s="23" t="s">
        <v>727</v>
      </c>
      <c r="E182" s="107">
        <v>11</v>
      </c>
      <c r="F182" s="107" t="s">
        <v>728</v>
      </c>
      <c r="G182" s="107" t="s">
        <v>18</v>
      </c>
      <c r="H182" s="107">
        <v>220</v>
      </c>
      <c r="I182" s="182"/>
      <c r="J182" s="89"/>
      <c r="K182" s="139"/>
      <c r="L182" s="89"/>
      <c r="M182" s="89"/>
      <c r="N182" s="89"/>
      <c r="O182" s="89"/>
      <c r="P182" s="89"/>
      <c r="Q182" s="89" t="s">
        <v>29</v>
      </c>
      <c r="R182" s="89" t="s">
        <v>29</v>
      </c>
      <c r="S182" s="89"/>
      <c r="T182" s="90" t="s">
        <v>729</v>
      </c>
      <c r="U182" s="90"/>
      <c r="V182" s="38"/>
      <c r="W182" s="39">
        <f t="shared" si="2"/>
        <v>159</v>
      </c>
    </row>
    <row r="183" spans="1:23" ht="39.4" customHeight="1">
      <c r="A183" s="199">
        <v>44070</v>
      </c>
      <c r="B183" s="105" t="s">
        <v>61</v>
      </c>
      <c r="C183" s="106" t="s">
        <v>192</v>
      </c>
      <c r="D183" s="23" t="s">
        <v>163</v>
      </c>
      <c r="E183" s="107">
        <v>37</v>
      </c>
      <c r="F183" s="107" t="s">
        <v>53</v>
      </c>
      <c r="G183" s="107" t="s">
        <v>18</v>
      </c>
      <c r="H183" s="107">
        <v>220</v>
      </c>
      <c r="I183" s="182"/>
      <c r="J183" s="89"/>
      <c r="K183" s="139"/>
      <c r="L183" s="89"/>
      <c r="M183" s="89" t="s">
        <v>29</v>
      </c>
      <c r="N183" s="89"/>
      <c r="O183" s="89"/>
      <c r="P183" s="89" t="s">
        <v>29</v>
      </c>
      <c r="Q183" s="89"/>
      <c r="R183" s="89" t="s">
        <v>29</v>
      </c>
      <c r="S183" s="89"/>
      <c r="T183" s="90" t="s">
        <v>730</v>
      </c>
      <c r="U183" s="90"/>
      <c r="V183" s="38"/>
      <c r="W183" s="39">
        <f t="shared" si="2"/>
        <v>160</v>
      </c>
    </row>
    <row r="184" spans="1:23" ht="39.4" customHeight="1">
      <c r="A184" s="119">
        <v>44071</v>
      </c>
      <c r="B184" s="105" t="s">
        <v>54</v>
      </c>
      <c r="C184" s="106" t="s">
        <v>192</v>
      </c>
      <c r="D184" s="23" t="s">
        <v>163</v>
      </c>
      <c r="E184" s="107">
        <v>7</v>
      </c>
      <c r="F184" s="107" t="s">
        <v>53</v>
      </c>
      <c r="G184" s="107" t="s">
        <v>18</v>
      </c>
      <c r="H184" s="107">
        <v>220</v>
      </c>
      <c r="I184" s="182"/>
      <c r="J184" s="89"/>
      <c r="K184" s="139"/>
      <c r="L184" s="89"/>
      <c r="M184" s="89" t="s">
        <v>29</v>
      </c>
      <c r="N184" s="89"/>
      <c r="O184" s="89"/>
      <c r="P184" s="89" t="s">
        <v>29</v>
      </c>
      <c r="Q184" s="89"/>
      <c r="R184" s="89" t="s">
        <v>29</v>
      </c>
      <c r="S184" s="89"/>
      <c r="T184" s="90" t="s">
        <v>731</v>
      </c>
      <c r="U184" s="90"/>
      <c r="V184" s="38"/>
      <c r="W184" s="39">
        <f t="shared" si="2"/>
        <v>160</v>
      </c>
    </row>
    <row r="185" spans="1:23" ht="39.4" customHeight="1">
      <c r="A185" s="199">
        <v>44071</v>
      </c>
      <c r="B185" s="105" t="s">
        <v>55</v>
      </c>
      <c r="C185" s="106" t="s">
        <v>138</v>
      </c>
      <c r="D185" s="23" t="s">
        <v>149</v>
      </c>
      <c r="E185" s="107">
        <v>4</v>
      </c>
      <c r="F185" s="107" t="s">
        <v>67</v>
      </c>
      <c r="G185" s="107" t="s">
        <v>18</v>
      </c>
      <c r="H185" s="107">
        <v>220</v>
      </c>
      <c r="I185" s="182"/>
      <c r="J185" s="89"/>
      <c r="K185" s="139" t="s">
        <v>47</v>
      </c>
      <c r="L185" s="89"/>
      <c r="M185" s="89"/>
      <c r="N185" s="89"/>
      <c r="O185" s="89"/>
      <c r="P185" s="89" t="s">
        <v>29</v>
      </c>
      <c r="Q185" s="89"/>
      <c r="R185" s="89" t="s">
        <v>29</v>
      </c>
      <c r="S185" s="89"/>
      <c r="T185" s="90" t="s">
        <v>732</v>
      </c>
      <c r="U185" s="90"/>
      <c r="V185" s="38"/>
      <c r="W185" s="39">
        <f t="shared" si="2"/>
        <v>161</v>
      </c>
    </row>
    <row r="186" spans="1:23" ht="39.4" customHeight="1">
      <c r="A186" s="199">
        <v>44071</v>
      </c>
      <c r="B186" s="105" t="s">
        <v>56</v>
      </c>
      <c r="C186" s="106" t="s">
        <v>248</v>
      </c>
      <c r="D186" s="23" t="s">
        <v>249</v>
      </c>
      <c r="E186" s="107">
        <v>6</v>
      </c>
      <c r="F186" s="107" t="s">
        <v>67</v>
      </c>
      <c r="G186" s="107" t="s">
        <v>19</v>
      </c>
      <c r="H186" s="107">
        <v>220</v>
      </c>
      <c r="I186" s="182"/>
      <c r="J186" s="89"/>
      <c r="K186" s="139" t="s">
        <v>47</v>
      </c>
      <c r="L186" s="89"/>
      <c r="M186" s="89"/>
      <c r="N186" s="89"/>
      <c r="O186" s="89"/>
      <c r="P186" s="89" t="s">
        <v>29</v>
      </c>
      <c r="Q186" s="89"/>
      <c r="R186" s="89"/>
      <c r="S186" s="89"/>
      <c r="T186" s="90" t="s">
        <v>733</v>
      </c>
      <c r="U186" s="90"/>
      <c r="V186" s="38"/>
      <c r="W186" s="39">
        <f t="shared" si="2"/>
        <v>162</v>
      </c>
    </row>
    <row r="187" spans="1:23" ht="39.4" customHeight="1">
      <c r="A187" s="199">
        <v>44071</v>
      </c>
      <c r="B187" s="105" t="s">
        <v>57</v>
      </c>
      <c r="C187" s="106" t="s">
        <v>734</v>
      </c>
      <c r="D187" s="23" t="s">
        <v>735</v>
      </c>
      <c r="E187" s="107">
        <v>1</v>
      </c>
      <c r="F187" s="107" t="s">
        <v>98</v>
      </c>
      <c r="G187" s="107" t="s">
        <v>18</v>
      </c>
      <c r="H187" s="107">
        <v>220</v>
      </c>
      <c r="I187" s="182"/>
      <c r="J187" s="89"/>
      <c r="K187" s="139"/>
      <c r="L187" s="89"/>
      <c r="M187" s="89"/>
      <c r="N187" s="89"/>
      <c r="O187" s="89"/>
      <c r="P187" s="90" t="s">
        <v>70</v>
      </c>
      <c r="Q187" s="89" t="s">
        <v>29</v>
      </c>
      <c r="R187" s="89" t="s">
        <v>29</v>
      </c>
      <c r="S187" s="89"/>
      <c r="T187" s="90" t="s">
        <v>736</v>
      </c>
      <c r="U187" s="90"/>
      <c r="V187" s="38"/>
      <c r="W187" s="39">
        <f t="shared" si="2"/>
        <v>163</v>
      </c>
    </row>
    <row r="188" spans="1:23" ht="39.4" customHeight="1">
      <c r="A188" s="199">
        <v>44071</v>
      </c>
      <c r="B188" s="105" t="s">
        <v>58</v>
      </c>
      <c r="C188" s="106" t="s">
        <v>737</v>
      </c>
      <c r="D188" s="23" t="s">
        <v>738</v>
      </c>
      <c r="E188" s="107">
        <v>1</v>
      </c>
      <c r="F188" s="107" t="s">
        <v>98</v>
      </c>
      <c r="G188" s="107" t="s">
        <v>18</v>
      </c>
      <c r="H188" s="107">
        <v>220</v>
      </c>
      <c r="I188" s="182"/>
      <c r="J188" s="89"/>
      <c r="K188" s="139"/>
      <c r="L188" s="89"/>
      <c r="M188" s="89"/>
      <c r="N188" s="89"/>
      <c r="O188" s="89"/>
      <c r="P188" s="90" t="s">
        <v>70</v>
      </c>
      <c r="Q188" s="89" t="s">
        <v>29</v>
      </c>
      <c r="R188" s="89" t="s">
        <v>29</v>
      </c>
      <c r="S188" s="89"/>
      <c r="T188" s="90" t="s">
        <v>739</v>
      </c>
      <c r="U188" s="90"/>
      <c r="V188" s="38"/>
      <c r="W188" s="39">
        <f t="shared" si="2"/>
        <v>164</v>
      </c>
    </row>
    <row r="189" spans="1:23" ht="39.4" customHeight="1">
      <c r="A189" s="199">
        <v>44071</v>
      </c>
      <c r="B189" s="105" t="s">
        <v>59</v>
      </c>
      <c r="C189" s="106" t="s">
        <v>92</v>
      </c>
      <c r="D189" s="23" t="s">
        <v>161</v>
      </c>
      <c r="E189" s="107">
        <v>8</v>
      </c>
      <c r="F189" s="107" t="s">
        <v>79</v>
      </c>
      <c r="G189" s="107" t="s">
        <v>31</v>
      </c>
      <c r="H189" s="107">
        <v>120</v>
      </c>
      <c r="I189" s="182"/>
      <c r="J189" s="89"/>
      <c r="K189" s="139"/>
      <c r="L189" s="89"/>
      <c r="M189" s="89"/>
      <c r="N189" s="89"/>
      <c r="O189" s="89"/>
      <c r="P189" s="90" t="s">
        <v>70</v>
      </c>
      <c r="Q189" s="89" t="s">
        <v>29</v>
      </c>
      <c r="R189" s="89"/>
      <c r="S189" s="89"/>
      <c r="T189" s="90" t="s">
        <v>740</v>
      </c>
      <c r="U189" s="90"/>
      <c r="V189" s="38"/>
      <c r="W189" s="39">
        <f t="shared" si="2"/>
        <v>165</v>
      </c>
    </row>
    <row r="190" spans="1:23" ht="39.4" customHeight="1">
      <c r="A190" s="199">
        <v>44071</v>
      </c>
      <c r="B190" s="105" t="s">
        <v>60</v>
      </c>
      <c r="C190" s="106" t="s">
        <v>84</v>
      </c>
      <c r="D190" s="23" t="s">
        <v>154</v>
      </c>
      <c r="E190" s="107">
        <v>53</v>
      </c>
      <c r="F190" s="107" t="s">
        <v>79</v>
      </c>
      <c r="G190" s="107" t="s">
        <v>28</v>
      </c>
      <c r="H190" s="107">
        <v>230</v>
      </c>
      <c r="I190" s="182"/>
      <c r="J190" s="89"/>
      <c r="K190" s="139"/>
      <c r="L190" s="89"/>
      <c r="M190" s="89"/>
      <c r="N190" s="89"/>
      <c r="O190" s="89"/>
      <c r="P190" s="90" t="s">
        <v>70</v>
      </c>
      <c r="Q190" s="89" t="s">
        <v>29</v>
      </c>
      <c r="R190" s="89"/>
      <c r="S190" s="89"/>
      <c r="T190" s="90" t="s">
        <v>741</v>
      </c>
      <c r="U190" s="90"/>
      <c r="V190" s="38"/>
      <c r="W190" s="39">
        <f t="shared" si="2"/>
        <v>166</v>
      </c>
    </row>
    <row r="191" spans="1:23" ht="39.4" customHeight="1">
      <c r="A191" s="199">
        <v>44071</v>
      </c>
      <c r="B191" s="105" t="s">
        <v>61</v>
      </c>
      <c r="C191" s="106" t="s">
        <v>118</v>
      </c>
      <c r="D191" s="23" t="s">
        <v>152</v>
      </c>
      <c r="E191" s="107">
        <v>66</v>
      </c>
      <c r="F191" s="107" t="s">
        <v>79</v>
      </c>
      <c r="G191" s="107" t="s">
        <v>18</v>
      </c>
      <c r="H191" s="107">
        <v>220</v>
      </c>
      <c r="I191" s="182"/>
      <c r="J191" s="89"/>
      <c r="K191" s="139"/>
      <c r="L191" s="89"/>
      <c r="M191" s="89"/>
      <c r="N191" s="89"/>
      <c r="O191" s="89"/>
      <c r="P191" s="90" t="s">
        <v>70</v>
      </c>
      <c r="Q191" s="89" t="s">
        <v>29</v>
      </c>
      <c r="R191" s="89" t="s">
        <v>29</v>
      </c>
      <c r="S191" s="89"/>
      <c r="T191" s="90" t="s">
        <v>742</v>
      </c>
      <c r="U191" s="90"/>
      <c r="V191" s="38"/>
      <c r="W191" s="39">
        <f t="shared" si="2"/>
        <v>167</v>
      </c>
    </row>
    <row r="192" spans="1:23" ht="39.4" customHeight="1">
      <c r="A192" s="199">
        <v>44071</v>
      </c>
      <c r="B192" s="105" t="s">
        <v>63</v>
      </c>
      <c r="C192" s="106" t="s">
        <v>91</v>
      </c>
      <c r="D192" s="23" t="s">
        <v>162</v>
      </c>
      <c r="E192" s="107">
        <v>90</v>
      </c>
      <c r="F192" s="107" t="s">
        <v>79</v>
      </c>
      <c r="G192" s="107" t="s">
        <v>31</v>
      </c>
      <c r="H192" s="107">
        <v>120</v>
      </c>
      <c r="I192" s="182"/>
      <c r="J192" s="89"/>
      <c r="K192" s="139"/>
      <c r="L192" s="89"/>
      <c r="M192" s="89"/>
      <c r="N192" s="89"/>
      <c r="O192" s="89" t="s">
        <v>29</v>
      </c>
      <c r="P192" s="90" t="s">
        <v>70</v>
      </c>
      <c r="Q192" s="89"/>
      <c r="R192" s="89"/>
      <c r="S192" s="89"/>
      <c r="T192" s="90" t="s">
        <v>743</v>
      </c>
      <c r="U192" s="90"/>
      <c r="V192" s="38"/>
      <c r="W192" s="39">
        <f t="shared" si="2"/>
        <v>168</v>
      </c>
    </row>
    <row r="193" spans="1:23" ht="39.4" customHeight="1">
      <c r="A193" s="199">
        <v>44071</v>
      </c>
      <c r="B193" s="105" t="s">
        <v>62</v>
      </c>
      <c r="C193" s="106" t="s">
        <v>248</v>
      </c>
      <c r="D193" s="23" t="s">
        <v>249</v>
      </c>
      <c r="E193" s="107">
        <v>52</v>
      </c>
      <c r="F193" s="107" t="s">
        <v>67</v>
      </c>
      <c r="G193" s="107" t="s">
        <v>19</v>
      </c>
      <c r="H193" s="107">
        <v>220</v>
      </c>
      <c r="I193" s="182"/>
      <c r="J193" s="89"/>
      <c r="K193" s="139" t="s">
        <v>47</v>
      </c>
      <c r="L193" s="89"/>
      <c r="M193" s="89"/>
      <c r="N193" s="89"/>
      <c r="O193" s="89"/>
      <c r="P193" s="89" t="s">
        <v>29</v>
      </c>
      <c r="Q193" s="89"/>
      <c r="R193" s="89"/>
      <c r="S193" s="89"/>
      <c r="T193" s="90" t="s">
        <v>744</v>
      </c>
      <c r="U193" s="90"/>
      <c r="V193" s="38"/>
      <c r="W193" s="39">
        <f t="shared" si="2"/>
        <v>169</v>
      </c>
    </row>
    <row r="194" spans="1:23" ht="39.4" customHeight="1">
      <c r="A194" s="119">
        <v>44072</v>
      </c>
      <c r="B194" s="105" t="s">
        <v>54</v>
      </c>
      <c r="C194" s="106" t="s">
        <v>248</v>
      </c>
      <c r="D194" s="23" t="s">
        <v>249</v>
      </c>
      <c r="E194" s="107">
        <v>2</v>
      </c>
      <c r="F194" s="107" t="s">
        <v>67</v>
      </c>
      <c r="G194" s="107" t="s">
        <v>19</v>
      </c>
      <c r="H194" s="107">
        <v>220</v>
      </c>
      <c r="I194" s="182"/>
      <c r="J194" s="89"/>
      <c r="K194" s="139" t="s">
        <v>47</v>
      </c>
      <c r="L194" s="89"/>
      <c r="M194" s="89"/>
      <c r="N194" s="89"/>
      <c r="O194" s="89"/>
      <c r="P194" s="89" t="s">
        <v>29</v>
      </c>
      <c r="Q194" s="89"/>
      <c r="R194" s="89"/>
      <c r="S194" s="89"/>
      <c r="T194" s="90" t="s">
        <v>745</v>
      </c>
      <c r="U194" s="90"/>
      <c r="V194" s="38"/>
      <c r="W194" s="39">
        <f t="shared" si="2"/>
        <v>169</v>
      </c>
    </row>
    <row r="195" spans="1:23" ht="39.4" customHeight="1">
      <c r="A195" s="199">
        <v>44072</v>
      </c>
      <c r="B195" s="105" t="s">
        <v>55</v>
      </c>
      <c r="C195" s="106" t="s">
        <v>84</v>
      </c>
      <c r="D195" s="23" t="s">
        <v>154</v>
      </c>
      <c r="E195" s="107">
        <v>46</v>
      </c>
      <c r="F195" s="107" t="s">
        <v>79</v>
      </c>
      <c r="G195" s="107" t="s">
        <v>28</v>
      </c>
      <c r="H195" s="107">
        <v>230</v>
      </c>
      <c r="I195" s="182"/>
      <c r="J195" s="89"/>
      <c r="K195" s="139"/>
      <c r="L195" s="89"/>
      <c r="M195" s="89"/>
      <c r="N195" s="89"/>
      <c r="O195" s="89"/>
      <c r="P195" s="90" t="s">
        <v>70</v>
      </c>
      <c r="Q195" s="89" t="s">
        <v>29</v>
      </c>
      <c r="R195" s="89"/>
      <c r="S195" s="89"/>
      <c r="T195" s="90" t="s">
        <v>746</v>
      </c>
      <c r="U195" s="90"/>
      <c r="V195" s="38"/>
      <c r="W195" s="39">
        <f t="shared" si="2"/>
        <v>170</v>
      </c>
    </row>
    <row r="196" spans="1:23" ht="39.4" customHeight="1">
      <c r="A196" s="199">
        <v>44072</v>
      </c>
      <c r="B196" s="105" t="s">
        <v>56</v>
      </c>
      <c r="C196" s="106" t="s">
        <v>93</v>
      </c>
      <c r="D196" s="23" t="s">
        <v>159</v>
      </c>
      <c r="E196" s="107">
        <v>170</v>
      </c>
      <c r="F196" s="107" t="s">
        <v>79</v>
      </c>
      <c r="G196" s="107" t="s">
        <v>31</v>
      </c>
      <c r="H196" s="107">
        <v>120</v>
      </c>
      <c r="I196" s="182"/>
      <c r="J196" s="90"/>
      <c r="K196" s="139"/>
      <c r="L196" s="89"/>
      <c r="M196" s="89"/>
      <c r="N196" s="89"/>
      <c r="O196" s="89"/>
      <c r="P196" s="90" t="s">
        <v>70</v>
      </c>
      <c r="Q196" s="89" t="s">
        <v>29</v>
      </c>
      <c r="R196" s="89"/>
      <c r="S196" s="89"/>
      <c r="T196" s="90" t="s">
        <v>747</v>
      </c>
      <c r="U196" s="90"/>
      <c r="V196" s="38"/>
      <c r="W196" s="39">
        <f t="shared" si="2"/>
        <v>171</v>
      </c>
    </row>
    <row r="197" spans="1:23" ht="39.4" customHeight="1">
      <c r="A197" s="199">
        <v>44072</v>
      </c>
      <c r="B197" s="105" t="s">
        <v>57</v>
      </c>
      <c r="C197" s="106" t="s">
        <v>91</v>
      </c>
      <c r="D197" s="23" t="s">
        <v>162</v>
      </c>
      <c r="E197" s="107">
        <v>46</v>
      </c>
      <c r="F197" s="107" t="s">
        <v>79</v>
      </c>
      <c r="G197" s="107" t="s">
        <v>31</v>
      </c>
      <c r="H197" s="107">
        <v>120</v>
      </c>
      <c r="I197" s="182"/>
      <c r="J197" s="90"/>
      <c r="K197" s="139"/>
      <c r="L197" s="89"/>
      <c r="M197" s="89"/>
      <c r="N197" s="89"/>
      <c r="O197" s="89" t="s">
        <v>29</v>
      </c>
      <c r="P197" s="90" t="s">
        <v>70</v>
      </c>
      <c r="Q197" s="89"/>
      <c r="R197" s="89"/>
      <c r="S197" s="89"/>
      <c r="T197" s="90" t="s">
        <v>748</v>
      </c>
      <c r="U197" s="90"/>
      <c r="V197" s="38"/>
      <c r="W197" s="39">
        <f t="shared" si="2"/>
        <v>172</v>
      </c>
    </row>
    <row r="198" spans="1:23" ht="39.4" customHeight="1">
      <c r="A198" s="199">
        <v>44072</v>
      </c>
      <c r="B198" s="105" t="s">
        <v>58</v>
      </c>
      <c r="C198" s="106" t="s">
        <v>128</v>
      </c>
      <c r="D198" s="23" t="s">
        <v>169</v>
      </c>
      <c r="E198" s="107">
        <v>44</v>
      </c>
      <c r="F198" s="107" t="s">
        <v>79</v>
      </c>
      <c r="G198" s="107" t="s">
        <v>49</v>
      </c>
      <c r="H198" s="107">
        <v>100</v>
      </c>
      <c r="I198" s="182"/>
      <c r="J198" s="90"/>
      <c r="K198" s="139"/>
      <c r="L198" s="89"/>
      <c r="M198" s="89"/>
      <c r="N198" s="89"/>
      <c r="O198" s="89" t="s">
        <v>29</v>
      </c>
      <c r="P198" s="90" t="s">
        <v>70</v>
      </c>
      <c r="Q198" s="89"/>
      <c r="R198" s="89" t="s">
        <v>29</v>
      </c>
      <c r="S198" s="89" t="s">
        <v>29</v>
      </c>
      <c r="T198" s="90" t="s">
        <v>749</v>
      </c>
      <c r="U198" s="90"/>
      <c r="V198" s="38"/>
      <c r="W198" s="39">
        <f t="shared" si="2"/>
        <v>173</v>
      </c>
    </row>
    <row r="199" spans="1:23" ht="39.4" customHeight="1">
      <c r="A199" s="199">
        <v>44072</v>
      </c>
      <c r="B199" s="105" t="s">
        <v>59</v>
      </c>
      <c r="C199" s="106" t="s">
        <v>750</v>
      </c>
      <c r="D199" s="23" t="s">
        <v>158</v>
      </c>
      <c r="E199" s="107">
        <v>8</v>
      </c>
      <c r="F199" s="107" t="s">
        <v>67</v>
      </c>
      <c r="G199" s="107" t="s">
        <v>41</v>
      </c>
      <c r="H199" s="107">
        <v>230</v>
      </c>
      <c r="I199" s="182"/>
      <c r="J199" s="90"/>
      <c r="K199" s="139"/>
      <c r="L199" s="89"/>
      <c r="M199" s="89"/>
      <c r="N199" s="89"/>
      <c r="O199" s="89"/>
      <c r="P199" s="89"/>
      <c r="Q199" s="89" t="s">
        <v>29</v>
      </c>
      <c r="R199" s="89"/>
      <c r="S199" s="89"/>
      <c r="T199" s="90" t="s">
        <v>751</v>
      </c>
      <c r="U199" s="90"/>
      <c r="V199" s="38"/>
      <c r="W199" s="39">
        <f t="shared" si="2"/>
        <v>174</v>
      </c>
    </row>
    <row r="200" spans="1:23" ht="39.4" customHeight="1">
      <c r="A200" s="199">
        <v>44072</v>
      </c>
      <c r="B200" s="105" t="s">
        <v>60</v>
      </c>
      <c r="C200" s="106" t="s">
        <v>240</v>
      </c>
      <c r="D200" s="23" t="s">
        <v>241</v>
      </c>
      <c r="E200" s="107">
        <v>10</v>
      </c>
      <c r="F200" s="107" t="s">
        <v>67</v>
      </c>
      <c r="G200" s="107" t="s">
        <v>19</v>
      </c>
      <c r="H200" s="107">
        <v>220</v>
      </c>
      <c r="I200" s="182"/>
      <c r="J200" s="90"/>
      <c r="K200" s="139" t="s">
        <v>47</v>
      </c>
      <c r="L200" s="89"/>
      <c r="M200" s="89"/>
      <c r="N200" s="89"/>
      <c r="O200" s="89"/>
      <c r="P200" s="89" t="s">
        <v>29</v>
      </c>
      <c r="Q200" s="89"/>
      <c r="R200" s="89"/>
      <c r="S200" s="89"/>
      <c r="T200" s="90" t="s">
        <v>752</v>
      </c>
      <c r="U200" s="90"/>
      <c r="V200" s="38"/>
      <c r="W200" s="39">
        <f t="shared" ref="W200:W263" si="3">IF(C200=C199,W199,W199+1)</f>
        <v>175</v>
      </c>
    </row>
    <row r="201" spans="1:23" ht="39.4" customHeight="1">
      <c r="A201" s="199">
        <v>44072</v>
      </c>
      <c r="B201" s="105" t="s">
        <v>61</v>
      </c>
      <c r="C201" s="106" t="s">
        <v>690</v>
      </c>
      <c r="D201" s="23" t="s">
        <v>158</v>
      </c>
      <c r="E201" s="107">
        <v>1</v>
      </c>
      <c r="F201" s="107" t="s">
        <v>67</v>
      </c>
      <c r="G201" s="107" t="s">
        <v>46</v>
      </c>
      <c r="H201" s="107">
        <v>120</v>
      </c>
      <c r="I201" s="182"/>
      <c r="J201" s="90"/>
      <c r="K201" s="139" t="s">
        <v>47</v>
      </c>
      <c r="L201" s="89"/>
      <c r="M201" s="89"/>
      <c r="N201" s="89"/>
      <c r="O201" s="89"/>
      <c r="P201" s="89" t="s">
        <v>29</v>
      </c>
      <c r="Q201" s="89"/>
      <c r="R201" s="89"/>
      <c r="S201" s="89"/>
      <c r="T201" s="90" t="s">
        <v>753</v>
      </c>
      <c r="U201" s="90"/>
      <c r="V201" s="38"/>
      <c r="W201" s="39">
        <f t="shared" si="3"/>
        <v>176</v>
      </c>
    </row>
    <row r="202" spans="1:23" ht="39.4" customHeight="1">
      <c r="A202" s="199">
        <v>44072</v>
      </c>
      <c r="B202" s="105" t="s">
        <v>63</v>
      </c>
      <c r="C202" s="106" t="s">
        <v>126</v>
      </c>
      <c r="D202" s="23" t="s">
        <v>149</v>
      </c>
      <c r="E202" s="107">
        <v>5</v>
      </c>
      <c r="F202" s="107" t="s">
        <v>67</v>
      </c>
      <c r="G202" s="107" t="s">
        <v>34</v>
      </c>
      <c r="H202" s="107">
        <v>120</v>
      </c>
      <c r="I202" s="182"/>
      <c r="J202" s="90"/>
      <c r="K202" s="139" t="s">
        <v>47</v>
      </c>
      <c r="L202" s="89"/>
      <c r="M202" s="89"/>
      <c r="N202" s="89"/>
      <c r="O202" s="89"/>
      <c r="P202" s="89" t="s">
        <v>29</v>
      </c>
      <c r="Q202" s="89"/>
      <c r="R202" s="89"/>
      <c r="S202" s="89"/>
      <c r="T202" s="90" t="s">
        <v>754</v>
      </c>
      <c r="U202" s="90"/>
      <c r="V202" s="38"/>
      <c r="W202" s="39">
        <f t="shared" si="3"/>
        <v>177</v>
      </c>
    </row>
    <row r="203" spans="1:23" ht="39.4" customHeight="1">
      <c r="A203" s="199">
        <v>44072</v>
      </c>
      <c r="B203" s="105" t="s">
        <v>62</v>
      </c>
      <c r="C203" s="106" t="s">
        <v>191</v>
      </c>
      <c r="D203" s="23" t="s">
        <v>155</v>
      </c>
      <c r="E203" s="107">
        <v>28</v>
      </c>
      <c r="F203" s="107" t="s">
        <v>67</v>
      </c>
      <c r="G203" s="107" t="s">
        <v>41</v>
      </c>
      <c r="H203" s="107">
        <v>230</v>
      </c>
      <c r="I203" s="182"/>
      <c r="J203" s="90"/>
      <c r="K203" s="139" t="s">
        <v>47</v>
      </c>
      <c r="L203" s="89"/>
      <c r="M203" s="89"/>
      <c r="N203" s="89"/>
      <c r="O203" s="89"/>
      <c r="P203" s="89" t="s">
        <v>29</v>
      </c>
      <c r="Q203" s="89"/>
      <c r="R203" s="89"/>
      <c r="S203" s="89"/>
      <c r="T203" s="90" t="s">
        <v>755</v>
      </c>
      <c r="U203" s="90"/>
      <c r="V203" s="38"/>
      <c r="W203" s="39">
        <f t="shared" si="3"/>
        <v>178</v>
      </c>
    </row>
    <row r="204" spans="1:23" ht="39.4" customHeight="1">
      <c r="A204" s="119">
        <v>44074</v>
      </c>
      <c r="B204" s="105" t="s">
        <v>54</v>
      </c>
      <c r="C204" s="106" t="s">
        <v>191</v>
      </c>
      <c r="D204" s="23" t="s">
        <v>155</v>
      </c>
      <c r="E204" s="107">
        <v>13</v>
      </c>
      <c r="F204" s="107" t="s">
        <v>67</v>
      </c>
      <c r="G204" s="107" t="s">
        <v>41</v>
      </c>
      <c r="H204" s="107">
        <v>230</v>
      </c>
      <c r="I204" s="182"/>
      <c r="J204" s="90"/>
      <c r="K204" s="139" t="s">
        <v>47</v>
      </c>
      <c r="L204" s="89"/>
      <c r="M204" s="89"/>
      <c r="N204" s="89"/>
      <c r="O204" s="89"/>
      <c r="P204" s="89" t="s">
        <v>29</v>
      </c>
      <c r="Q204" s="89"/>
      <c r="R204" s="89"/>
      <c r="S204" s="89"/>
      <c r="T204" s="90" t="s">
        <v>756</v>
      </c>
      <c r="U204" s="90"/>
      <c r="V204" s="38"/>
      <c r="W204" s="39">
        <f t="shared" si="3"/>
        <v>178</v>
      </c>
    </row>
    <row r="205" spans="1:23" ht="39.4" customHeight="1">
      <c r="A205" s="199">
        <v>44074</v>
      </c>
      <c r="B205" s="105" t="s">
        <v>55</v>
      </c>
      <c r="C205" s="106" t="s">
        <v>105</v>
      </c>
      <c r="D205" s="23" t="s">
        <v>164</v>
      </c>
      <c r="E205" s="107">
        <v>3</v>
      </c>
      <c r="F205" s="107" t="s">
        <v>98</v>
      </c>
      <c r="G205" s="107" t="s">
        <v>31</v>
      </c>
      <c r="H205" s="107">
        <v>120</v>
      </c>
      <c r="I205" s="182"/>
      <c r="J205" s="90"/>
      <c r="K205" s="139"/>
      <c r="L205" s="89"/>
      <c r="M205" s="89"/>
      <c r="N205" s="89"/>
      <c r="O205" s="89"/>
      <c r="P205" s="90" t="s">
        <v>70</v>
      </c>
      <c r="Q205" s="89" t="s">
        <v>29</v>
      </c>
      <c r="R205" s="89"/>
      <c r="S205" s="89"/>
      <c r="T205" s="90" t="s">
        <v>757</v>
      </c>
      <c r="U205" s="90"/>
      <c r="V205" s="38"/>
      <c r="W205" s="39">
        <f t="shared" si="3"/>
        <v>179</v>
      </c>
    </row>
    <row r="206" spans="1:23" ht="39.4" customHeight="1">
      <c r="A206" s="199">
        <v>44074</v>
      </c>
      <c r="B206" s="105" t="s">
        <v>56</v>
      </c>
      <c r="C206" s="106" t="s">
        <v>85</v>
      </c>
      <c r="D206" s="23" t="s">
        <v>171</v>
      </c>
      <c r="E206" s="107">
        <v>2</v>
      </c>
      <c r="F206" s="107" t="s">
        <v>98</v>
      </c>
      <c r="G206" s="107" t="s">
        <v>31</v>
      </c>
      <c r="H206" s="107">
        <v>120</v>
      </c>
      <c r="I206" s="182"/>
      <c r="J206" s="90"/>
      <c r="K206" s="139"/>
      <c r="L206" s="89"/>
      <c r="M206" s="89"/>
      <c r="N206" s="89"/>
      <c r="O206" s="89"/>
      <c r="P206" s="90" t="s">
        <v>70</v>
      </c>
      <c r="Q206" s="89" t="s">
        <v>29</v>
      </c>
      <c r="R206" s="89"/>
      <c r="S206" s="89"/>
      <c r="T206" s="90" t="s">
        <v>758</v>
      </c>
      <c r="U206" s="90"/>
      <c r="V206" s="38"/>
      <c r="W206" s="39">
        <f t="shared" si="3"/>
        <v>180</v>
      </c>
    </row>
    <row r="207" spans="1:23" ht="39.4" customHeight="1">
      <c r="A207" s="199">
        <v>44074</v>
      </c>
      <c r="B207" s="105" t="s">
        <v>57</v>
      </c>
      <c r="C207" s="106" t="s">
        <v>737</v>
      </c>
      <c r="D207" s="23" t="s">
        <v>738</v>
      </c>
      <c r="E207" s="107">
        <v>1</v>
      </c>
      <c r="F207" s="107" t="s">
        <v>98</v>
      </c>
      <c r="G207" s="107" t="s">
        <v>18</v>
      </c>
      <c r="H207" s="107">
        <v>220</v>
      </c>
      <c r="I207" s="182"/>
      <c r="J207" s="90"/>
      <c r="K207" s="139"/>
      <c r="L207" s="89"/>
      <c r="M207" s="89"/>
      <c r="N207" s="89"/>
      <c r="O207" s="89"/>
      <c r="P207" s="90" t="s">
        <v>70</v>
      </c>
      <c r="Q207" s="89" t="s">
        <v>29</v>
      </c>
      <c r="R207" s="89" t="s">
        <v>29</v>
      </c>
      <c r="S207" s="89"/>
      <c r="T207" s="90" t="s">
        <v>759</v>
      </c>
      <c r="U207" s="90"/>
      <c r="V207" s="38"/>
      <c r="W207" s="39">
        <f t="shared" si="3"/>
        <v>181</v>
      </c>
    </row>
    <row r="208" spans="1:23" ht="39.4" customHeight="1">
      <c r="A208" s="199">
        <v>44074</v>
      </c>
      <c r="B208" s="105" t="s">
        <v>58</v>
      </c>
      <c r="C208" s="106" t="s">
        <v>760</v>
      </c>
      <c r="D208" s="23" t="s">
        <v>761</v>
      </c>
      <c r="E208" s="107">
        <v>1</v>
      </c>
      <c r="F208" s="107" t="s">
        <v>98</v>
      </c>
      <c r="G208" s="107" t="s">
        <v>18</v>
      </c>
      <c r="H208" s="107">
        <v>220</v>
      </c>
      <c r="I208" s="182"/>
      <c r="J208" s="90"/>
      <c r="K208" s="139"/>
      <c r="L208" s="89"/>
      <c r="M208" s="89"/>
      <c r="N208" s="89"/>
      <c r="O208" s="89"/>
      <c r="P208" s="90" t="s">
        <v>70</v>
      </c>
      <c r="Q208" s="89" t="s">
        <v>29</v>
      </c>
      <c r="R208" s="89" t="s">
        <v>29</v>
      </c>
      <c r="S208" s="89"/>
      <c r="T208" s="90" t="s">
        <v>762</v>
      </c>
      <c r="U208" s="90"/>
      <c r="V208" s="38"/>
      <c r="W208" s="39">
        <f t="shared" si="3"/>
        <v>182</v>
      </c>
    </row>
    <row r="209" spans="1:23" ht="39.4" customHeight="1">
      <c r="A209" s="199">
        <v>44074</v>
      </c>
      <c r="B209" s="105" t="s">
        <v>59</v>
      </c>
      <c r="C209" s="106" t="s">
        <v>269</v>
      </c>
      <c r="D209" s="23" t="s">
        <v>270</v>
      </c>
      <c r="E209" s="107">
        <v>27</v>
      </c>
      <c r="F209" s="107" t="s">
        <v>79</v>
      </c>
      <c r="G209" s="107" t="s">
        <v>28</v>
      </c>
      <c r="H209" s="107">
        <v>230</v>
      </c>
      <c r="I209" s="182"/>
      <c r="J209" s="90"/>
      <c r="K209" s="139"/>
      <c r="L209" s="89"/>
      <c r="M209" s="89"/>
      <c r="N209" s="89"/>
      <c r="O209" s="89"/>
      <c r="P209" s="90" t="s">
        <v>70</v>
      </c>
      <c r="Q209" s="89" t="s">
        <v>29</v>
      </c>
      <c r="R209" s="89"/>
      <c r="S209" s="89"/>
      <c r="T209" s="90" t="s">
        <v>763</v>
      </c>
      <c r="U209" s="90"/>
      <c r="V209" s="38"/>
      <c r="W209" s="39">
        <f t="shared" si="3"/>
        <v>183</v>
      </c>
    </row>
    <row r="210" spans="1:23" ht="39.4" customHeight="1">
      <c r="A210" s="199">
        <v>44074</v>
      </c>
      <c r="B210" s="105" t="s">
        <v>60</v>
      </c>
      <c r="C210" s="106" t="s">
        <v>81</v>
      </c>
      <c r="D210" s="23" t="s">
        <v>153</v>
      </c>
      <c r="E210" s="107">
        <v>99</v>
      </c>
      <c r="F210" s="107" t="s">
        <v>79</v>
      </c>
      <c r="G210" s="107" t="s">
        <v>28</v>
      </c>
      <c r="H210" s="107">
        <v>230</v>
      </c>
      <c r="I210" s="182"/>
      <c r="J210" s="90"/>
      <c r="K210" s="139"/>
      <c r="L210" s="89"/>
      <c r="M210" s="89"/>
      <c r="N210" s="89"/>
      <c r="O210" s="89"/>
      <c r="P210" s="90" t="s">
        <v>70</v>
      </c>
      <c r="Q210" s="89" t="s">
        <v>29</v>
      </c>
      <c r="R210" s="89"/>
      <c r="S210" s="89"/>
      <c r="T210" s="90" t="s">
        <v>764</v>
      </c>
      <c r="U210" s="90"/>
      <c r="V210" s="38"/>
      <c r="W210" s="39">
        <f t="shared" si="3"/>
        <v>184</v>
      </c>
    </row>
    <row r="211" spans="1:23" ht="39.4" customHeight="1">
      <c r="A211" s="199">
        <v>44074</v>
      </c>
      <c r="B211" s="105" t="s">
        <v>61</v>
      </c>
      <c r="C211" s="106" t="s">
        <v>92</v>
      </c>
      <c r="D211" s="23" t="s">
        <v>161</v>
      </c>
      <c r="E211" s="107">
        <v>10</v>
      </c>
      <c r="F211" s="107" t="s">
        <v>79</v>
      </c>
      <c r="G211" s="107" t="s">
        <v>31</v>
      </c>
      <c r="H211" s="107">
        <v>120</v>
      </c>
      <c r="I211" s="182"/>
      <c r="J211" s="90"/>
      <c r="K211" s="139"/>
      <c r="L211" s="89"/>
      <c r="M211" s="89"/>
      <c r="N211" s="89"/>
      <c r="O211" s="89"/>
      <c r="P211" s="90" t="s">
        <v>70</v>
      </c>
      <c r="Q211" s="89" t="s">
        <v>29</v>
      </c>
      <c r="R211" s="89"/>
      <c r="S211" s="89"/>
      <c r="T211" s="90" t="s">
        <v>765</v>
      </c>
      <c r="U211" s="90"/>
      <c r="V211" s="38"/>
      <c r="W211" s="39">
        <f t="shared" si="3"/>
        <v>185</v>
      </c>
    </row>
    <row r="212" spans="1:23" ht="39.4" customHeight="1">
      <c r="A212" s="199">
        <v>44074</v>
      </c>
      <c r="B212" s="105" t="s">
        <v>63</v>
      </c>
      <c r="C212" s="106" t="s">
        <v>90</v>
      </c>
      <c r="D212" s="23" t="s">
        <v>150</v>
      </c>
      <c r="E212" s="107">
        <v>55</v>
      </c>
      <c r="F212" s="107" t="s">
        <v>79</v>
      </c>
      <c r="G212" s="107" t="s">
        <v>31</v>
      </c>
      <c r="H212" s="107">
        <v>120</v>
      </c>
      <c r="I212" s="182"/>
      <c r="J212" s="90"/>
      <c r="K212" s="139"/>
      <c r="L212" s="89"/>
      <c r="M212" s="89"/>
      <c r="N212" s="89"/>
      <c r="O212" s="89" t="s">
        <v>29</v>
      </c>
      <c r="P212" s="90" t="s">
        <v>70</v>
      </c>
      <c r="Q212" s="89"/>
      <c r="R212" s="89"/>
      <c r="S212" s="89"/>
      <c r="T212" s="90" t="s">
        <v>766</v>
      </c>
      <c r="U212" s="90"/>
      <c r="V212" s="38"/>
      <c r="W212" s="39">
        <f t="shared" si="3"/>
        <v>186</v>
      </c>
    </row>
    <row r="213" spans="1:23" ht="39.4" customHeight="1">
      <c r="A213" s="199">
        <v>44074</v>
      </c>
      <c r="B213" s="105" t="s">
        <v>62</v>
      </c>
      <c r="C213" s="106" t="s">
        <v>189</v>
      </c>
      <c r="D213" s="23" t="s">
        <v>190</v>
      </c>
      <c r="E213" s="107">
        <v>17</v>
      </c>
      <c r="F213" s="107" t="s">
        <v>79</v>
      </c>
      <c r="G213" s="107" t="s">
        <v>49</v>
      </c>
      <c r="H213" s="107">
        <v>100</v>
      </c>
      <c r="I213" s="182"/>
      <c r="J213" s="90"/>
      <c r="K213" s="139"/>
      <c r="L213" s="89"/>
      <c r="M213" s="89"/>
      <c r="N213" s="89"/>
      <c r="O213" s="89" t="s">
        <v>29</v>
      </c>
      <c r="P213" s="90" t="s">
        <v>70</v>
      </c>
      <c r="Q213" s="89"/>
      <c r="R213" s="89" t="s">
        <v>29</v>
      </c>
      <c r="S213" s="89" t="s">
        <v>29</v>
      </c>
      <c r="T213" s="90" t="s">
        <v>767</v>
      </c>
      <c r="U213" s="90"/>
      <c r="V213" s="38"/>
      <c r="W213" s="39">
        <f t="shared" si="3"/>
        <v>187</v>
      </c>
    </row>
    <row r="214" spans="1:23" ht="39.4" customHeight="1">
      <c r="A214" s="199">
        <v>44074</v>
      </c>
      <c r="B214" s="105" t="s">
        <v>65</v>
      </c>
      <c r="C214" s="106" t="s">
        <v>128</v>
      </c>
      <c r="D214" s="23" t="s">
        <v>169</v>
      </c>
      <c r="E214" s="107">
        <v>20</v>
      </c>
      <c r="F214" s="107" t="s">
        <v>79</v>
      </c>
      <c r="G214" s="107" t="s">
        <v>49</v>
      </c>
      <c r="H214" s="107">
        <v>100</v>
      </c>
      <c r="I214" s="182"/>
      <c r="J214" s="90"/>
      <c r="K214" s="139"/>
      <c r="L214" s="89"/>
      <c r="M214" s="89"/>
      <c r="N214" s="89"/>
      <c r="O214" s="89" t="s">
        <v>29</v>
      </c>
      <c r="P214" s="90" t="s">
        <v>70</v>
      </c>
      <c r="Q214" s="89"/>
      <c r="R214" s="89" t="s">
        <v>29</v>
      </c>
      <c r="S214" s="89" t="s">
        <v>29</v>
      </c>
      <c r="T214" s="90" t="s">
        <v>768</v>
      </c>
      <c r="U214" s="90"/>
      <c r="V214" s="38"/>
      <c r="W214" s="39">
        <f t="shared" si="3"/>
        <v>188</v>
      </c>
    </row>
    <row r="215" spans="1:23" ht="39.4" customHeight="1">
      <c r="A215" s="199">
        <v>44074</v>
      </c>
      <c r="B215" s="105" t="s">
        <v>66</v>
      </c>
      <c r="C215" s="106" t="s">
        <v>123</v>
      </c>
      <c r="D215" s="23" t="s">
        <v>160</v>
      </c>
      <c r="E215" s="107">
        <v>3</v>
      </c>
      <c r="F215" s="107" t="s">
        <v>124</v>
      </c>
      <c r="G215" s="107" t="s">
        <v>18</v>
      </c>
      <c r="H215" s="107">
        <v>220</v>
      </c>
      <c r="I215" s="182"/>
      <c r="J215" s="90"/>
      <c r="K215" s="139"/>
      <c r="L215" s="89"/>
      <c r="M215" s="89" t="s">
        <v>29</v>
      </c>
      <c r="N215" s="89"/>
      <c r="O215" s="89"/>
      <c r="P215" s="89" t="s">
        <v>29</v>
      </c>
      <c r="Q215" s="89"/>
      <c r="R215" s="89" t="s">
        <v>29</v>
      </c>
      <c r="S215" s="89"/>
      <c r="T215" s="90" t="s">
        <v>769</v>
      </c>
      <c r="U215" s="90"/>
      <c r="V215" s="38"/>
      <c r="W215" s="39">
        <f t="shared" si="3"/>
        <v>189</v>
      </c>
    </row>
    <row r="216" spans="1:23" ht="39.4" customHeight="1">
      <c r="A216" s="199">
        <v>44074</v>
      </c>
      <c r="B216" s="105" t="s">
        <v>273</v>
      </c>
      <c r="C216" s="106" t="s">
        <v>103</v>
      </c>
      <c r="D216" s="23" t="s">
        <v>158</v>
      </c>
      <c r="E216" s="107">
        <v>28</v>
      </c>
      <c r="F216" s="107" t="s">
        <v>67</v>
      </c>
      <c r="G216" s="107" t="s">
        <v>30</v>
      </c>
      <c r="H216" s="107">
        <v>230</v>
      </c>
      <c r="I216" s="182"/>
      <c r="J216" s="90"/>
      <c r="K216" s="139"/>
      <c r="L216" s="89"/>
      <c r="M216" s="89"/>
      <c r="N216" s="89"/>
      <c r="O216" s="89"/>
      <c r="P216" s="89"/>
      <c r="Q216" s="89" t="s">
        <v>29</v>
      </c>
      <c r="R216" s="89"/>
      <c r="S216" s="89"/>
      <c r="T216" s="90" t="s">
        <v>770</v>
      </c>
      <c r="U216" s="90"/>
      <c r="V216" s="38"/>
      <c r="W216" s="39">
        <f t="shared" si="3"/>
        <v>190</v>
      </c>
    </row>
    <row r="217" spans="1:23" ht="39.4" customHeight="1">
      <c r="A217" s="199">
        <v>44074</v>
      </c>
      <c r="B217" s="105" t="s">
        <v>275</v>
      </c>
      <c r="C217" s="106" t="s">
        <v>191</v>
      </c>
      <c r="D217" s="23" t="s">
        <v>155</v>
      </c>
      <c r="E217" s="107">
        <v>21</v>
      </c>
      <c r="F217" s="107" t="s">
        <v>67</v>
      </c>
      <c r="G217" s="107" t="s">
        <v>41</v>
      </c>
      <c r="H217" s="107">
        <v>230</v>
      </c>
      <c r="I217" s="182"/>
      <c r="J217" s="90"/>
      <c r="K217" s="139" t="s">
        <v>47</v>
      </c>
      <c r="L217" s="89"/>
      <c r="M217" s="89"/>
      <c r="N217" s="89"/>
      <c r="O217" s="89"/>
      <c r="P217" s="89" t="s">
        <v>29</v>
      </c>
      <c r="Q217" s="89"/>
      <c r="R217" s="89"/>
      <c r="S217" s="89"/>
      <c r="T217" s="90" t="s">
        <v>771</v>
      </c>
      <c r="U217" s="90"/>
      <c r="V217" s="38"/>
      <c r="W217" s="39">
        <f t="shared" si="3"/>
        <v>191</v>
      </c>
    </row>
    <row r="218" spans="1:23" ht="39.4" customHeight="1">
      <c r="A218" s="119">
        <v>44075</v>
      </c>
      <c r="B218" s="105" t="s">
        <v>54</v>
      </c>
      <c r="C218" s="106" t="s">
        <v>191</v>
      </c>
      <c r="D218" s="23" t="s">
        <v>155</v>
      </c>
      <c r="E218" s="107">
        <v>16</v>
      </c>
      <c r="F218" s="107" t="s">
        <v>67</v>
      </c>
      <c r="G218" s="107" t="s">
        <v>41</v>
      </c>
      <c r="H218" s="107">
        <v>230</v>
      </c>
      <c r="I218" s="182"/>
      <c r="J218" s="90"/>
      <c r="K218" s="139" t="s">
        <v>47</v>
      </c>
      <c r="L218" s="89"/>
      <c r="M218" s="89"/>
      <c r="N218" s="89"/>
      <c r="O218" s="89"/>
      <c r="P218" s="89" t="s">
        <v>29</v>
      </c>
      <c r="Q218" s="89"/>
      <c r="R218" s="89"/>
      <c r="S218" s="89"/>
      <c r="T218" s="90" t="s">
        <v>772</v>
      </c>
      <c r="U218" s="90"/>
      <c r="V218" s="38"/>
      <c r="W218" s="39">
        <f t="shared" si="3"/>
        <v>191</v>
      </c>
    </row>
    <row r="219" spans="1:23" ht="39.4" customHeight="1">
      <c r="A219" s="199">
        <v>44075</v>
      </c>
      <c r="B219" s="105" t="s">
        <v>55</v>
      </c>
      <c r="C219" s="106" t="s">
        <v>185</v>
      </c>
      <c r="D219" s="23" t="s">
        <v>186</v>
      </c>
      <c r="E219" s="107">
        <v>4</v>
      </c>
      <c r="F219" s="107" t="s">
        <v>98</v>
      </c>
      <c r="G219" s="107" t="s">
        <v>31</v>
      </c>
      <c r="H219" s="107">
        <v>120</v>
      </c>
      <c r="I219" s="182"/>
      <c r="J219" s="90"/>
      <c r="K219" s="139"/>
      <c r="L219" s="89"/>
      <c r="M219" s="89"/>
      <c r="N219" s="89"/>
      <c r="O219" s="89" t="s">
        <v>29</v>
      </c>
      <c r="P219" s="90" t="s">
        <v>70</v>
      </c>
      <c r="Q219" s="89"/>
      <c r="R219" s="89"/>
      <c r="S219" s="89"/>
      <c r="T219" s="90" t="s">
        <v>773</v>
      </c>
      <c r="U219" s="90"/>
      <c r="V219" s="38"/>
      <c r="W219" s="39">
        <f t="shared" si="3"/>
        <v>192</v>
      </c>
    </row>
    <row r="220" spans="1:23" ht="39.4" customHeight="1">
      <c r="A220" s="199">
        <v>44075</v>
      </c>
      <c r="B220" s="105" t="s">
        <v>56</v>
      </c>
      <c r="C220" s="106" t="s">
        <v>187</v>
      </c>
      <c r="D220" s="23" t="s">
        <v>188</v>
      </c>
      <c r="E220" s="107">
        <v>3</v>
      </c>
      <c r="F220" s="107" t="s">
        <v>98</v>
      </c>
      <c r="G220" s="107" t="s">
        <v>31</v>
      </c>
      <c r="H220" s="107">
        <v>120</v>
      </c>
      <c r="I220" s="182"/>
      <c r="J220" s="90"/>
      <c r="K220" s="139"/>
      <c r="L220" s="89"/>
      <c r="M220" s="89"/>
      <c r="N220" s="89"/>
      <c r="O220" s="89" t="s">
        <v>29</v>
      </c>
      <c r="P220" s="90" t="s">
        <v>70</v>
      </c>
      <c r="Q220" s="89"/>
      <c r="R220" s="89"/>
      <c r="S220" s="89"/>
      <c r="T220" s="90" t="s">
        <v>774</v>
      </c>
      <c r="U220" s="90"/>
      <c r="V220" s="38"/>
      <c r="W220" s="39">
        <f t="shared" si="3"/>
        <v>193</v>
      </c>
    </row>
    <row r="221" spans="1:23" ht="39.4" customHeight="1">
      <c r="A221" s="199">
        <v>44075</v>
      </c>
      <c r="B221" s="105" t="s">
        <v>57</v>
      </c>
      <c r="C221" s="106" t="s">
        <v>292</v>
      </c>
      <c r="D221" s="23" t="s">
        <v>293</v>
      </c>
      <c r="E221" s="107">
        <v>28</v>
      </c>
      <c r="F221" s="107" t="s">
        <v>79</v>
      </c>
      <c r="G221" s="107" t="s">
        <v>30</v>
      </c>
      <c r="H221" s="107">
        <v>230</v>
      </c>
      <c r="I221" s="182"/>
      <c r="J221" s="90"/>
      <c r="K221" s="139"/>
      <c r="L221" s="89"/>
      <c r="M221" s="89"/>
      <c r="N221" s="89"/>
      <c r="O221" s="89"/>
      <c r="P221" s="90" t="s">
        <v>70</v>
      </c>
      <c r="Q221" s="89" t="s">
        <v>29</v>
      </c>
      <c r="R221" s="89" t="s">
        <v>29</v>
      </c>
      <c r="S221" s="89"/>
      <c r="T221" s="90" t="s">
        <v>775</v>
      </c>
      <c r="U221" s="45"/>
      <c r="V221" s="38"/>
      <c r="W221" s="39">
        <f t="shared" si="3"/>
        <v>194</v>
      </c>
    </row>
    <row r="222" spans="1:23" ht="39.4" customHeight="1">
      <c r="A222" s="199">
        <v>44075</v>
      </c>
      <c r="B222" s="105" t="s">
        <v>58</v>
      </c>
      <c r="C222" s="106" t="s">
        <v>92</v>
      </c>
      <c r="D222" s="23" t="s">
        <v>161</v>
      </c>
      <c r="E222" s="107">
        <v>73</v>
      </c>
      <c r="F222" s="107" t="s">
        <v>79</v>
      </c>
      <c r="G222" s="107" t="s">
        <v>31</v>
      </c>
      <c r="H222" s="107">
        <v>120</v>
      </c>
      <c r="I222" s="182"/>
      <c r="J222" s="90"/>
      <c r="K222" s="139"/>
      <c r="L222" s="89"/>
      <c r="M222" s="89"/>
      <c r="N222" s="89"/>
      <c r="O222" s="89"/>
      <c r="P222" s="90" t="s">
        <v>70</v>
      </c>
      <c r="Q222" s="89" t="s">
        <v>29</v>
      </c>
      <c r="R222" s="89"/>
      <c r="S222" s="89"/>
      <c r="T222" s="90" t="s">
        <v>776</v>
      </c>
      <c r="U222" s="45"/>
      <c r="V222" s="38"/>
      <c r="W222" s="39">
        <f t="shared" si="3"/>
        <v>195</v>
      </c>
    </row>
    <row r="223" spans="1:23" ht="39.4" customHeight="1">
      <c r="A223" s="199">
        <v>44075</v>
      </c>
      <c r="B223" s="105" t="s">
        <v>59</v>
      </c>
      <c r="C223" s="106" t="s">
        <v>83</v>
      </c>
      <c r="D223" s="23" t="s">
        <v>168</v>
      </c>
      <c r="E223" s="107">
        <v>35</v>
      </c>
      <c r="F223" s="107" t="s">
        <v>79</v>
      </c>
      <c r="G223" s="107" t="s">
        <v>30</v>
      </c>
      <c r="H223" s="107">
        <v>230</v>
      </c>
      <c r="I223" s="182"/>
      <c r="J223" s="90"/>
      <c r="K223" s="139"/>
      <c r="L223" s="89"/>
      <c r="M223" s="89"/>
      <c r="N223" s="89"/>
      <c r="O223" s="89"/>
      <c r="P223" s="90" t="s">
        <v>70</v>
      </c>
      <c r="Q223" s="89" t="s">
        <v>29</v>
      </c>
      <c r="R223" s="89"/>
      <c r="S223" s="89"/>
      <c r="T223" s="90" t="s">
        <v>777</v>
      </c>
      <c r="U223" s="45"/>
      <c r="V223" s="38"/>
      <c r="W223" s="39">
        <f t="shared" si="3"/>
        <v>196</v>
      </c>
    </row>
    <row r="224" spans="1:23" ht="39.4" customHeight="1">
      <c r="A224" s="199">
        <v>44075</v>
      </c>
      <c r="B224" s="105" t="s">
        <v>60</v>
      </c>
      <c r="C224" s="106" t="s">
        <v>90</v>
      </c>
      <c r="D224" s="23" t="s">
        <v>150</v>
      </c>
      <c r="E224" s="107">
        <v>85</v>
      </c>
      <c r="F224" s="107" t="s">
        <v>79</v>
      </c>
      <c r="G224" s="107" t="s">
        <v>31</v>
      </c>
      <c r="H224" s="107">
        <v>120</v>
      </c>
      <c r="I224" s="182"/>
      <c r="J224" s="90"/>
      <c r="K224" s="139"/>
      <c r="L224" s="89"/>
      <c r="M224" s="89"/>
      <c r="N224" s="89"/>
      <c r="O224" s="89" t="s">
        <v>29</v>
      </c>
      <c r="P224" s="90" t="s">
        <v>70</v>
      </c>
      <c r="Q224" s="89"/>
      <c r="R224" s="89"/>
      <c r="S224" s="89"/>
      <c r="T224" s="90" t="s">
        <v>778</v>
      </c>
      <c r="U224" s="45"/>
      <c r="V224" s="38"/>
      <c r="W224" s="39">
        <f t="shared" si="3"/>
        <v>197</v>
      </c>
    </row>
    <row r="225" spans="1:23" ht="39.4" customHeight="1">
      <c r="A225" s="199">
        <v>44075</v>
      </c>
      <c r="B225" s="105" t="s">
        <v>61</v>
      </c>
      <c r="C225" s="106" t="s">
        <v>123</v>
      </c>
      <c r="D225" s="23" t="s">
        <v>160</v>
      </c>
      <c r="E225" s="107">
        <v>6</v>
      </c>
      <c r="F225" s="107" t="s">
        <v>124</v>
      </c>
      <c r="G225" s="107" t="s">
        <v>18</v>
      </c>
      <c r="H225" s="107">
        <v>220</v>
      </c>
      <c r="I225" s="182"/>
      <c r="J225" s="90"/>
      <c r="K225" s="139"/>
      <c r="L225" s="89"/>
      <c r="M225" s="89" t="s">
        <v>29</v>
      </c>
      <c r="N225" s="89"/>
      <c r="O225" s="89"/>
      <c r="P225" s="89" t="s">
        <v>29</v>
      </c>
      <c r="Q225" s="89"/>
      <c r="R225" s="89" t="s">
        <v>29</v>
      </c>
      <c r="S225" s="89"/>
      <c r="T225" s="90" t="s">
        <v>779</v>
      </c>
      <c r="U225" s="45"/>
      <c r="V225" s="38"/>
      <c r="W225" s="39">
        <f t="shared" si="3"/>
        <v>198</v>
      </c>
    </row>
    <row r="226" spans="1:23" ht="39.4" customHeight="1">
      <c r="A226" s="199">
        <v>44075</v>
      </c>
      <c r="B226" s="105" t="s">
        <v>63</v>
      </c>
      <c r="C226" s="106" t="s">
        <v>726</v>
      </c>
      <c r="D226" s="23" t="s">
        <v>727</v>
      </c>
      <c r="E226" s="107">
        <v>1</v>
      </c>
      <c r="F226" s="107" t="s">
        <v>728</v>
      </c>
      <c r="G226" s="107" t="s">
        <v>18</v>
      </c>
      <c r="H226" s="107">
        <v>220</v>
      </c>
      <c r="I226" s="182"/>
      <c r="J226" s="90"/>
      <c r="K226" s="139"/>
      <c r="L226" s="89"/>
      <c r="M226" s="89"/>
      <c r="N226" s="89"/>
      <c r="O226" s="89"/>
      <c r="P226" s="89"/>
      <c r="Q226" s="89" t="s">
        <v>29</v>
      </c>
      <c r="R226" s="89" t="s">
        <v>29</v>
      </c>
      <c r="S226" s="89"/>
      <c r="T226" s="90" t="s">
        <v>780</v>
      </c>
      <c r="U226" s="45"/>
      <c r="V226" s="38"/>
      <c r="W226" s="39">
        <f t="shared" si="3"/>
        <v>199</v>
      </c>
    </row>
    <row r="227" spans="1:23" ht="39.4" customHeight="1">
      <c r="A227" s="199">
        <v>44075</v>
      </c>
      <c r="B227" s="105" t="s">
        <v>62</v>
      </c>
      <c r="C227" s="106" t="s">
        <v>103</v>
      </c>
      <c r="D227" s="23" t="s">
        <v>158</v>
      </c>
      <c r="E227" s="107">
        <v>36</v>
      </c>
      <c r="F227" s="107" t="s">
        <v>67</v>
      </c>
      <c r="G227" s="107" t="s">
        <v>30</v>
      </c>
      <c r="H227" s="107">
        <v>230</v>
      </c>
      <c r="I227" s="182"/>
      <c r="J227" s="90"/>
      <c r="K227" s="139"/>
      <c r="L227" s="89"/>
      <c r="M227" s="89"/>
      <c r="N227" s="89"/>
      <c r="O227" s="89"/>
      <c r="P227" s="89"/>
      <c r="Q227" s="89" t="s">
        <v>29</v>
      </c>
      <c r="R227" s="89"/>
      <c r="S227" s="89"/>
      <c r="T227" s="90" t="s">
        <v>781</v>
      </c>
      <c r="U227" s="45"/>
      <c r="V227" s="38"/>
      <c r="W227" s="39">
        <f t="shared" si="3"/>
        <v>200</v>
      </c>
    </row>
    <row r="228" spans="1:23" ht="39.4" customHeight="1">
      <c r="A228" s="199">
        <v>44075</v>
      </c>
      <c r="B228" s="105" t="s">
        <v>65</v>
      </c>
      <c r="C228" s="106" t="s">
        <v>86</v>
      </c>
      <c r="D228" s="23" t="s">
        <v>155</v>
      </c>
      <c r="E228" s="107">
        <v>1</v>
      </c>
      <c r="F228" s="107" t="s">
        <v>67</v>
      </c>
      <c r="G228" s="107" t="s">
        <v>30</v>
      </c>
      <c r="H228" s="107">
        <v>230</v>
      </c>
      <c r="I228" s="182"/>
      <c r="J228" s="90"/>
      <c r="K228" s="139"/>
      <c r="L228" s="89"/>
      <c r="M228" s="89"/>
      <c r="N228" s="89"/>
      <c r="O228" s="89"/>
      <c r="P228" s="89"/>
      <c r="Q228" s="89" t="s">
        <v>29</v>
      </c>
      <c r="R228" s="89"/>
      <c r="S228" s="89"/>
      <c r="T228" s="90" t="s">
        <v>782</v>
      </c>
      <c r="U228" s="45"/>
      <c r="V228" s="38"/>
      <c r="W228" s="39">
        <f t="shared" si="3"/>
        <v>201</v>
      </c>
    </row>
    <row r="229" spans="1:23" ht="39.4" customHeight="1">
      <c r="A229" s="199">
        <v>44075</v>
      </c>
      <c r="B229" s="105" t="s">
        <v>66</v>
      </c>
      <c r="C229" s="106" t="s">
        <v>129</v>
      </c>
      <c r="D229" s="23" t="s">
        <v>156</v>
      </c>
      <c r="E229" s="107">
        <v>4</v>
      </c>
      <c r="F229" s="107" t="s">
        <v>53</v>
      </c>
      <c r="G229" s="107" t="s">
        <v>30</v>
      </c>
      <c r="H229" s="107">
        <v>230</v>
      </c>
      <c r="I229" s="182"/>
      <c r="J229" s="90"/>
      <c r="K229" s="139"/>
      <c r="L229" s="89"/>
      <c r="M229" s="89"/>
      <c r="N229" s="89"/>
      <c r="O229" s="89"/>
      <c r="P229" s="89"/>
      <c r="Q229" s="89" t="s">
        <v>29</v>
      </c>
      <c r="R229" s="89" t="s">
        <v>29</v>
      </c>
      <c r="S229" s="89"/>
      <c r="T229" s="90" t="s">
        <v>783</v>
      </c>
      <c r="U229" s="45"/>
      <c r="V229" s="38"/>
      <c r="W229" s="39">
        <f t="shared" si="3"/>
        <v>202</v>
      </c>
    </row>
    <row r="230" spans="1:23" ht="39.4" customHeight="1">
      <c r="A230" s="199">
        <v>44075</v>
      </c>
      <c r="B230" s="105" t="s">
        <v>273</v>
      </c>
      <c r="C230" s="106" t="s">
        <v>191</v>
      </c>
      <c r="D230" s="23" t="s">
        <v>155</v>
      </c>
      <c r="E230" s="107">
        <v>4</v>
      </c>
      <c r="F230" s="107" t="s">
        <v>67</v>
      </c>
      <c r="G230" s="107" t="s">
        <v>41</v>
      </c>
      <c r="H230" s="107">
        <v>230</v>
      </c>
      <c r="I230" s="182"/>
      <c r="J230" s="90"/>
      <c r="K230" s="139" t="s">
        <v>47</v>
      </c>
      <c r="L230" s="89"/>
      <c r="M230" s="89"/>
      <c r="N230" s="89"/>
      <c r="O230" s="89"/>
      <c r="P230" s="89" t="s">
        <v>29</v>
      </c>
      <c r="Q230" s="89"/>
      <c r="R230" s="89"/>
      <c r="S230" s="89"/>
      <c r="T230" s="90" t="s">
        <v>784</v>
      </c>
      <c r="U230" s="45"/>
      <c r="V230" s="38"/>
      <c r="W230" s="39">
        <f t="shared" si="3"/>
        <v>203</v>
      </c>
    </row>
    <row r="231" spans="1:23" ht="39.4" customHeight="1">
      <c r="A231" s="119">
        <v>44076</v>
      </c>
      <c r="B231" s="105" t="s">
        <v>54</v>
      </c>
      <c r="C231" s="106" t="s">
        <v>191</v>
      </c>
      <c r="D231" s="23" t="s">
        <v>155</v>
      </c>
      <c r="E231" s="107">
        <v>20</v>
      </c>
      <c r="F231" s="107" t="s">
        <v>67</v>
      </c>
      <c r="G231" s="107" t="s">
        <v>41</v>
      </c>
      <c r="H231" s="107">
        <v>230</v>
      </c>
      <c r="I231" s="182"/>
      <c r="J231" s="90"/>
      <c r="K231" s="139" t="s">
        <v>47</v>
      </c>
      <c r="L231" s="89"/>
      <c r="M231" s="89"/>
      <c r="N231" s="89"/>
      <c r="O231" s="89"/>
      <c r="P231" s="89" t="s">
        <v>29</v>
      </c>
      <c r="Q231" s="89"/>
      <c r="R231" s="89"/>
      <c r="S231" s="89"/>
      <c r="T231" s="90" t="s">
        <v>785</v>
      </c>
      <c r="U231" s="45"/>
      <c r="V231" s="38"/>
      <c r="W231" s="39">
        <f t="shared" si="3"/>
        <v>203</v>
      </c>
    </row>
    <row r="232" spans="1:23" ht="39.4" customHeight="1">
      <c r="A232" s="199">
        <v>44076</v>
      </c>
      <c r="B232" s="105" t="s">
        <v>55</v>
      </c>
      <c r="C232" s="106" t="s">
        <v>80</v>
      </c>
      <c r="D232" s="23" t="s">
        <v>165</v>
      </c>
      <c r="E232" s="107">
        <v>17</v>
      </c>
      <c r="F232" s="107" t="s">
        <v>79</v>
      </c>
      <c r="G232" s="107" t="s">
        <v>30</v>
      </c>
      <c r="H232" s="107">
        <v>230</v>
      </c>
      <c r="I232" s="182"/>
      <c r="J232" s="90"/>
      <c r="K232" s="139"/>
      <c r="L232" s="89"/>
      <c r="M232" s="89"/>
      <c r="N232" s="89"/>
      <c r="O232" s="89"/>
      <c r="P232" s="90" t="s">
        <v>70</v>
      </c>
      <c r="Q232" s="89" t="s">
        <v>29</v>
      </c>
      <c r="R232" s="89" t="s">
        <v>29</v>
      </c>
      <c r="S232" s="89"/>
      <c r="T232" s="90" t="s">
        <v>786</v>
      </c>
      <c r="U232" s="45"/>
      <c r="V232" s="38"/>
      <c r="W232" s="39">
        <f t="shared" si="3"/>
        <v>204</v>
      </c>
    </row>
    <row r="233" spans="1:23" ht="39.4" customHeight="1">
      <c r="A233" s="199">
        <v>44076</v>
      </c>
      <c r="B233" s="105" t="s">
        <v>56</v>
      </c>
      <c r="C233" s="106" t="s">
        <v>92</v>
      </c>
      <c r="D233" s="23" t="s">
        <v>161</v>
      </c>
      <c r="E233" s="107">
        <v>145</v>
      </c>
      <c r="F233" s="107" t="s">
        <v>79</v>
      </c>
      <c r="G233" s="107" t="s">
        <v>31</v>
      </c>
      <c r="H233" s="107">
        <v>120</v>
      </c>
      <c r="I233" s="182"/>
      <c r="J233" s="90"/>
      <c r="K233" s="139"/>
      <c r="L233" s="89"/>
      <c r="M233" s="89"/>
      <c r="N233" s="89"/>
      <c r="O233" s="89"/>
      <c r="P233" s="90" t="s">
        <v>70</v>
      </c>
      <c r="Q233" s="89" t="s">
        <v>29</v>
      </c>
      <c r="R233" s="89"/>
      <c r="S233" s="89"/>
      <c r="T233" s="90" t="s">
        <v>787</v>
      </c>
      <c r="U233" s="45"/>
      <c r="V233" s="38"/>
      <c r="W233" s="39">
        <f t="shared" si="3"/>
        <v>205</v>
      </c>
    </row>
    <row r="234" spans="1:23" ht="39.4" customHeight="1">
      <c r="A234" s="199">
        <v>44076</v>
      </c>
      <c r="B234" s="105" t="s">
        <v>57</v>
      </c>
      <c r="C234" s="106" t="s">
        <v>82</v>
      </c>
      <c r="D234" s="23" t="s">
        <v>167</v>
      </c>
      <c r="E234" s="107">
        <v>54</v>
      </c>
      <c r="F234" s="107" t="s">
        <v>79</v>
      </c>
      <c r="G234" s="107" t="s">
        <v>30</v>
      </c>
      <c r="H234" s="107">
        <v>230</v>
      </c>
      <c r="I234" s="182"/>
      <c r="J234" s="90"/>
      <c r="K234" s="139"/>
      <c r="L234" s="89"/>
      <c r="M234" s="89"/>
      <c r="N234" s="89"/>
      <c r="O234" s="89"/>
      <c r="P234" s="90" t="s">
        <v>70</v>
      </c>
      <c r="Q234" s="89" t="s">
        <v>29</v>
      </c>
      <c r="R234" s="89" t="s">
        <v>29</v>
      </c>
      <c r="S234" s="89"/>
      <c r="T234" s="90" t="s">
        <v>788</v>
      </c>
      <c r="U234" s="45"/>
      <c r="V234" s="38"/>
      <c r="W234" s="39">
        <f t="shared" si="3"/>
        <v>206</v>
      </c>
    </row>
    <row r="235" spans="1:23" ht="39.4" customHeight="1">
      <c r="A235" s="199">
        <v>44076</v>
      </c>
      <c r="B235" s="105" t="s">
        <v>58</v>
      </c>
      <c r="C235" s="106" t="s">
        <v>90</v>
      </c>
      <c r="D235" s="23" t="s">
        <v>150</v>
      </c>
      <c r="E235" s="107">
        <v>61</v>
      </c>
      <c r="F235" s="107" t="s">
        <v>79</v>
      </c>
      <c r="G235" s="107" t="s">
        <v>31</v>
      </c>
      <c r="H235" s="107">
        <v>120</v>
      </c>
      <c r="I235" s="182"/>
      <c r="J235" s="90"/>
      <c r="K235" s="139"/>
      <c r="L235" s="89"/>
      <c r="M235" s="89"/>
      <c r="N235" s="89"/>
      <c r="O235" s="89" t="s">
        <v>29</v>
      </c>
      <c r="P235" s="90" t="s">
        <v>70</v>
      </c>
      <c r="Q235" s="89"/>
      <c r="R235" s="89"/>
      <c r="S235" s="89"/>
      <c r="T235" s="90" t="s">
        <v>789</v>
      </c>
      <c r="U235" s="45"/>
      <c r="V235" s="38"/>
      <c r="W235" s="39">
        <f t="shared" si="3"/>
        <v>207</v>
      </c>
    </row>
    <row r="236" spans="1:23" ht="39.4" customHeight="1">
      <c r="A236" s="199">
        <v>44076</v>
      </c>
      <c r="B236" s="105" t="s">
        <v>59</v>
      </c>
      <c r="C236" s="106" t="s">
        <v>91</v>
      </c>
      <c r="D236" s="23" t="s">
        <v>162</v>
      </c>
      <c r="E236" s="107">
        <v>31</v>
      </c>
      <c r="F236" s="107" t="s">
        <v>79</v>
      </c>
      <c r="G236" s="107" t="s">
        <v>31</v>
      </c>
      <c r="H236" s="107">
        <v>120</v>
      </c>
      <c r="I236" s="182"/>
      <c r="J236" s="90"/>
      <c r="K236" s="139"/>
      <c r="L236" s="89"/>
      <c r="M236" s="89"/>
      <c r="N236" s="89"/>
      <c r="O236" s="89" t="s">
        <v>29</v>
      </c>
      <c r="P236" s="90" t="s">
        <v>70</v>
      </c>
      <c r="Q236" s="89"/>
      <c r="R236" s="89"/>
      <c r="S236" s="89"/>
      <c r="T236" s="90" t="s">
        <v>790</v>
      </c>
      <c r="U236" s="45"/>
      <c r="V236" s="38"/>
      <c r="W236" s="39">
        <f t="shared" si="3"/>
        <v>208</v>
      </c>
    </row>
    <row r="237" spans="1:23" ht="39.4" customHeight="1">
      <c r="A237" s="199">
        <v>44076</v>
      </c>
      <c r="B237" s="105" t="s">
        <v>60</v>
      </c>
      <c r="C237" s="106" t="s">
        <v>123</v>
      </c>
      <c r="D237" s="23" t="s">
        <v>160</v>
      </c>
      <c r="E237" s="107">
        <v>7</v>
      </c>
      <c r="F237" s="107" t="s">
        <v>124</v>
      </c>
      <c r="G237" s="107" t="s">
        <v>18</v>
      </c>
      <c r="H237" s="107">
        <v>220</v>
      </c>
      <c r="I237" s="182"/>
      <c r="J237" s="90"/>
      <c r="K237" s="139"/>
      <c r="L237" s="89"/>
      <c r="M237" s="89" t="s">
        <v>29</v>
      </c>
      <c r="N237" s="89"/>
      <c r="O237" s="89"/>
      <c r="P237" s="89" t="s">
        <v>29</v>
      </c>
      <c r="Q237" s="89"/>
      <c r="R237" s="89" t="s">
        <v>29</v>
      </c>
      <c r="S237" s="89"/>
      <c r="T237" s="90" t="s">
        <v>791</v>
      </c>
      <c r="U237" s="45"/>
      <c r="V237" s="38"/>
      <c r="W237" s="39">
        <f t="shared" si="3"/>
        <v>209</v>
      </c>
    </row>
    <row r="238" spans="1:23" ht="39.4" customHeight="1">
      <c r="A238" s="199">
        <v>44076</v>
      </c>
      <c r="B238" s="105" t="s">
        <v>61</v>
      </c>
      <c r="C238" s="106" t="s">
        <v>191</v>
      </c>
      <c r="D238" s="23" t="s">
        <v>155</v>
      </c>
      <c r="E238" s="107">
        <v>45</v>
      </c>
      <c r="F238" s="107" t="s">
        <v>67</v>
      </c>
      <c r="G238" s="107" t="s">
        <v>41</v>
      </c>
      <c r="H238" s="107">
        <v>230</v>
      </c>
      <c r="I238" s="182"/>
      <c r="J238" s="90"/>
      <c r="K238" s="139" t="s">
        <v>47</v>
      </c>
      <c r="L238" s="89"/>
      <c r="M238" s="89"/>
      <c r="N238" s="89"/>
      <c r="O238" s="89"/>
      <c r="P238" s="89" t="s">
        <v>29</v>
      </c>
      <c r="Q238" s="89"/>
      <c r="R238" s="89"/>
      <c r="S238" s="89"/>
      <c r="T238" s="90" t="s">
        <v>792</v>
      </c>
      <c r="U238" s="45"/>
      <c r="V238" s="38"/>
      <c r="W238" s="39">
        <f t="shared" si="3"/>
        <v>210</v>
      </c>
    </row>
    <row r="239" spans="1:23" ht="39.4" customHeight="1">
      <c r="A239" s="119">
        <v>44077</v>
      </c>
      <c r="B239" s="105" t="s">
        <v>54</v>
      </c>
      <c r="C239" s="106" t="s">
        <v>191</v>
      </c>
      <c r="D239" s="23" t="s">
        <v>155</v>
      </c>
      <c r="E239" s="107">
        <v>19</v>
      </c>
      <c r="F239" s="107" t="s">
        <v>67</v>
      </c>
      <c r="G239" s="107" t="s">
        <v>41</v>
      </c>
      <c r="H239" s="107">
        <v>230</v>
      </c>
      <c r="I239" s="182"/>
      <c r="J239" s="90"/>
      <c r="K239" s="139" t="s">
        <v>47</v>
      </c>
      <c r="L239" s="89"/>
      <c r="M239" s="89"/>
      <c r="N239" s="89"/>
      <c r="O239" s="89"/>
      <c r="P239" s="89" t="s">
        <v>29</v>
      </c>
      <c r="Q239" s="89"/>
      <c r="R239" s="89"/>
      <c r="S239" s="89"/>
      <c r="T239" s="90" t="s">
        <v>793</v>
      </c>
      <c r="U239" s="45"/>
      <c r="V239" s="38"/>
      <c r="W239" s="39">
        <f t="shared" si="3"/>
        <v>210</v>
      </c>
    </row>
    <row r="240" spans="1:23" ht="39.4" customHeight="1">
      <c r="A240" s="199">
        <v>44077</v>
      </c>
      <c r="B240" s="105" t="s">
        <v>55</v>
      </c>
      <c r="C240" s="106" t="s">
        <v>138</v>
      </c>
      <c r="D240" s="23" t="s">
        <v>149</v>
      </c>
      <c r="E240" s="107">
        <v>1</v>
      </c>
      <c r="F240" s="107" t="s">
        <v>67</v>
      </c>
      <c r="G240" s="107" t="s">
        <v>18</v>
      </c>
      <c r="H240" s="107">
        <v>220</v>
      </c>
      <c r="I240" s="182"/>
      <c r="J240" s="90"/>
      <c r="K240" s="139" t="s">
        <v>47</v>
      </c>
      <c r="L240" s="89"/>
      <c r="M240" s="89"/>
      <c r="N240" s="89"/>
      <c r="O240" s="89"/>
      <c r="P240" s="89" t="s">
        <v>29</v>
      </c>
      <c r="Q240" s="89"/>
      <c r="R240" s="89" t="s">
        <v>29</v>
      </c>
      <c r="S240" s="89"/>
      <c r="T240" s="90" t="s">
        <v>794</v>
      </c>
      <c r="U240" s="45"/>
      <c r="V240" s="38"/>
      <c r="W240" s="39">
        <f t="shared" si="3"/>
        <v>211</v>
      </c>
    </row>
    <row r="241" spans="1:23" ht="39.4" customHeight="1">
      <c r="A241" s="199">
        <v>44077</v>
      </c>
      <c r="B241" s="105" t="s">
        <v>56</v>
      </c>
      <c r="C241" s="106" t="s">
        <v>92</v>
      </c>
      <c r="D241" s="23" t="s">
        <v>161</v>
      </c>
      <c r="E241" s="107">
        <v>72</v>
      </c>
      <c r="F241" s="107" t="s">
        <v>79</v>
      </c>
      <c r="G241" s="107" t="s">
        <v>31</v>
      </c>
      <c r="H241" s="107">
        <v>120</v>
      </c>
      <c r="I241" s="182"/>
      <c r="J241" s="90"/>
      <c r="K241" s="139"/>
      <c r="L241" s="89"/>
      <c r="M241" s="89"/>
      <c r="N241" s="89"/>
      <c r="O241" s="89"/>
      <c r="P241" s="90" t="s">
        <v>70</v>
      </c>
      <c r="Q241" s="89" t="s">
        <v>29</v>
      </c>
      <c r="R241" s="89"/>
      <c r="S241" s="89"/>
      <c r="T241" s="90" t="s">
        <v>795</v>
      </c>
      <c r="U241" s="45"/>
      <c r="V241" s="38"/>
      <c r="W241" s="39">
        <f t="shared" si="3"/>
        <v>212</v>
      </c>
    </row>
    <row r="242" spans="1:23" ht="39.4" customHeight="1">
      <c r="A242" s="199">
        <v>44077</v>
      </c>
      <c r="B242" s="105" t="s">
        <v>57</v>
      </c>
      <c r="C242" s="106" t="s">
        <v>84</v>
      </c>
      <c r="D242" s="23" t="s">
        <v>154</v>
      </c>
      <c r="E242" s="107">
        <v>133</v>
      </c>
      <c r="F242" s="107" t="s">
        <v>79</v>
      </c>
      <c r="G242" s="107" t="s">
        <v>28</v>
      </c>
      <c r="H242" s="107">
        <v>230</v>
      </c>
      <c r="I242" s="182"/>
      <c r="J242" s="90"/>
      <c r="K242" s="139"/>
      <c r="L242" s="89"/>
      <c r="M242" s="89"/>
      <c r="N242" s="89"/>
      <c r="O242" s="89"/>
      <c r="P242" s="90" t="s">
        <v>70</v>
      </c>
      <c r="Q242" s="89" t="s">
        <v>29</v>
      </c>
      <c r="R242" s="89"/>
      <c r="S242" s="89"/>
      <c r="T242" s="90" t="s">
        <v>796</v>
      </c>
      <c r="U242" s="45"/>
      <c r="V242" s="38"/>
      <c r="W242" s="39">
        <f t="shared" si="3"/>
        <v>213</v>
      </c>
    </row>
    <row r="243" spans="1:23" ht="39.4" customHeight="1">
      <c r="A243" s="199">
        <v>44077</v>
      </c>
      <c r="B243" s="105" t="s">
        <v>58</v>
      </c>
      <c r="C243" s="106" t="s">
        <v>710</v>
      </c>
      <c r="D243" s="23" t="s">
        <v>711</v>
      </c>
      <c r="E243" s="107">
        <v>9</v>
      </c>
      <c r="F243" s="107" t="s">
        <v>79</v>
      </c>
      <c r="G243" s="107" t="s">
        <v>19</v>
      </c>
      <c r="H243" s="107">
        <v>230</v>
      </c>
      <c r="I243" s="182"/>
      <c r="J243" s="90"/>
      <c r="K243" s="139"/>
      <c r="L243" s="89"/>
      <c r="M243" s="89"/>
      <c r="N243" s="89"/>
      <c r="O243" s="89"/>
      <c r="P243" s="90" t="s">
        <v>70</v>
      </c>
      <c r="Q243" s="89" t="s">
        <v>29</v>
      </c>
      <c r="R243" s="89" t="s">
        <v>29</v>
      </c>
      <c r="S243" s="89"/>
      <c r="T243" s="90" t="s">
        <v>797</v>
      </c>
      <c r="U243" s="45"/>
      <c r="V243" s="38"/>
      <c r="W243" s="39">
        <f t="shared" si="3"/>
        <v>214</v>
      </c>
    </row>
    <row r="244" spans="1:23" ht="39.4" customHeight="1">
      <c r="A244" s="203">
        <v>44077</v>
      </c>
      <c r="B244" s="105" t="s">
        <v>59</v>
      </c>
      <c r="C244" s="106" t="s">
        <v>252</v>
      </c>
      <c r="D244" s="23" t="s">
        <v>253</v>
      </c>
      <c r="E244" s="107">
        <v>2</v>
      </c>
      <c r="F244" s="107" t="s">
        <v>79</v>
      </c>
      <c r="G244" s="107" t="s">
        <v>46</v>
      </c>
      <c r="H244" s="107">
        <v>120</v>
      </c>
      <c r="I244" s="182"/>
      <c r="J244" s="107"/>
      <c r="K244" s="139"/>
      <c r="L244" s="89"/>
      <c r="M244" s="89"/>
      <c r="N244" s="89"/>
      <c r="O244" s="89"/>
      <c r="P244" s="90" t="s">
        <v>70</v>
      </c>
      <c r="Q244" s="89" t="s">
        <v>29</v>
      </c>
      <c r="R244" s="89" t="s">
        <v>29</v>
      </c>
      <c r="S244" s="89"/>
      <c r="T244" s="90" t="s">
        <v>798</v>
      </c>
      <c r="U244" s="45"/>
      <c r="V244" s="38"/>
      <c r="W244" s="39">
        <f t="shared" si="3"/>
        <v>215</v>
      </c>
    </row>
    <row r="245" spans="1:23" ht="39.4" customHeight="1">
      <c r="A245" s="203">
        <v>44077</v>
      </c>
      <c r="B245" s="105" t="s">
        <v>60</v>
      </c>
      <c r="C245" s="106" t="s">
        <v>91</v>
      </c>
      <c r="D245" s="23" t="s">
        <v>162</v>
      </c>
      <c r="E245" s="107">
        <v>92</v>
      </c>
      <c r="F245" s="107" t="s">
        <v>79</v>
      </c>
      <c r="G245" s="107" t="s">
        <v>31</v>
      </c>
      <c r="H245" s="107">
        <v>120</v>
      </c>
      <c r="I245" s="182"/>
      <c r="J245" s="107"/>
      <c r="K245" s="139"/>
      <c r="L245" s="89"/>
      <c r="M245" s="89"/>
      <c r="N245" s="89"/>
      <c r="O245" s="89" t="s">
        <v>29</v>
      </c>
      <c r="P245" s="90" t="s">
        <v>70</v>
      </c>
      <c r="Q245" s="89"/>
      <c r="R245" s="89"/>
      <c r="S245" s="89"/>
      <c r="T245" s="90" t="s">
        <v>799</v>
      </c>
      <c r="U245" s="45"/>
      <c r="V245" s="38"/>
      <c r="W245" s="39">
        <f t="shared" si="3"/>
        <v>216</v>
      </c>
    </row>
    <row r="246" spans="1:23" ht="39.4" customHeight="1">
      <c r="A246" s="203">
        <v>44077</v>
      </c>
      <c r="B246" s="105" t="s">
        <v>61</v>
      </c>
      <c r="C246" s="106" t="s">
        <v>123</v>
      </c>
      <c r="D246" s="23" t="s">
        <v>160</v>
      </c>
      <c r="E246" s="107">
        <v>7</v>
      </c>
      <c r="F246" s="107" t="s">
        <v>124</v>
      </c>
      <c r="G246" s="107" t="s">
        <v>18</v>
      </c>
      <c r="H246" s="107">
        <v>220</v>
      </c>
      <c r="I246" s="182"/>
      <c r="J246" s="107"/>
      <c r="K246" s="139"/>
      <c r="L246" s="89"/>
      <c r="M246" s="89" t="s">
        <v>29</v>
      </c>
      <c r="N246" s="89"/>
      <c r="O246" s="89"/>
      <c r="P246" s="89" t="s">
        <v>29</v>
      </c>
      <c r="Q246" s="89"/>
      <c r="R246" s="89" t="s">
        <v>29</v>
      </c>
      <c r="S246" s="89"/>
      <c r="T246" s="90" t="s">
        <v>800</v>
      </c>
      <c r="U246" s="45"/>
      <c r="V246" s="38"/>
      <c r="W246" s="39">
        <f t="shared" si="3"/>
        <v>217</v>
      </c>
    </row>
    <row r="247" spans="1:23" ht="39.4" customHeight="1">
      <c r="A247" s="203">
        <v>44077</v>
      </c>
      <c r="B247" s="105" t="s">
        <v>63</v>
      </c>
      <c r="C247" s="106" t="s">
        <v>191</v>
      </c>
      <c r="D247" s="23" t="s">
        <v>155</v>
      </c>
      <c r="E247" s="107">
        <v>45</v>
      </c>
      <c r="F247" s="107" t="s">
        <v>67</v>
      </c>
      <c r="G247" s="107" t="s">
        <v>41</v>
      </c>
      <c r="H247" s="107">
        <v>230</v>
      </c>
      <c r="I247" s="182"/>
      <c r="J247" s="107"/>
      <c r="K247" s="139" t="s">
        <v>47</v>
      </c>
      <c r="L247" s="89"/>
      <c r="M247" s="89"/>
      <c r="N247" s="89"/>
      <c r="O247" s="89"/>
      <c r="P247" s="89" t="s">
        <v>29</v>
      </c>
      <c r="Q247" s="89"/>
      <c r="R247" s="89"/>
      <c r="S247" s="89"/>
      <c r="T247" s="90" t="s">
        <v>801</v>
      </c>
      <c r="U247" s="45"/>
      <c r="V247" s="38"/>
      <c r="W247" s="39">
        <f t="shared" si="3"/>
        <v>218</v>
      </c>
    </row>
    <row r="248" spans="1:23" ht="39.4" customHeight="1">
      <c r="A248" s="204">
        <v>44078</v>
      </c>
      <c r="B248" s="105" t="s">
        <v>54</v>
      </c>
      <c r="C248" s="106" t="s">
        <v>191</v>
      </c>
      <c r="D248" s="23" t="s">
        <v>155</v>
      </c>
      <c r="E248" s="107">
        <v>20</v>
      </c>
      <c r="F248" s="107" t="s">
        <v>67</v>
      </c>
      <c r="G248" s="107" t="s">
        <v>41</v>
      </c>
      <c r="H248" s="107">
        <v>230</v>
      </c>
      <c r="I248" s="182"/>
      <c r="J248" s="107"/>
      <c r="K248" s="139" t="s">
        <v>47</v>
      </c>
      <c r="L248" s="89"/>
      <c r="M248" s="89"/>
      <c r="N248" s="89"/>
      <c r="O248" s="89"/>
      <c r="P248" s="89" t="s">
        <v>29</v>
      </c>
      <c r="Q248" s="89"/>
      <c r="R248" s="89"/>
      <c r="S248" s="89"/>
      <c r="T248" s="90" t="s">
        <v>802</v>
      </c>
      <c r="U248" s="45"/>
      <c r="V248" s="38"/>
      <c r="W248" s="39">
        <f t="shared" si="3"/>
        <v>218</v>
      </c>
    </row>
    <row r="249" spans="1:23" ht="39.4" customHeight="1">
      <c r="A249" s="203">
        <v>44078</v>
      </c>
      <c r="B249" s="105" t="s">
        <v>55</v>
      </c>
      <c r="C249" s="106" t="s">
        <v>252</v>
      </c>
      <c r="D249" s="23" t="s">
        <v>253</v>
      </c>
      <c r="E249" s="107">
        <v>12</v>
      </c>
      <c r="F249" s="107" t="s">
        <v>79</v>
      </c>
      <c r="G249" s="107" t="s">
        <v>46</v>
      </c>
      <c r="H249" s="107">
        <v>120</v>
      </c>
      <c r="I249" s="182"/>
      <c r="J249" s="107"/>
      <c r="K249" s="139"/>
      <c r="L249" s="89"/>
      <c r="M249" s="89"/>
      <c r="N249" s="89"/>
      <c r="O249" s="89"/>
      <c r="P249" s="90" t="s">
        <v>70</v>
      </c>
      <c r="Q249" s="89" t="s">
        <v>29</v>
      </c>
      <c r="R249" s="89" t="s">
        <v>29</v>
      </c>
      <c r="S249" s="89"/>
      <c r="T249" s="90" t="s">
        <v>803</v>
      </c>
      <c r="U249" s="45"/>
      <c r="V249" s="38"/>
      <c r="W249" s="39">
        <f t="shared" si="3"/>
        <v>219</v>
      </c>
    </row>
    <row r="250" spans="1:23" ht="39.4" customHeight="1">
      <c r="A250" s="203">
        <v>44078</v>
      </c>
      <c r="B250" s="105" t="s">
        <v>56</v>
      </c>
      <c r="C250" s="106" t="s">
        <v>93</v>
      </c>
      <c r="D250" s="23" t="s">
        <v>159</v>
      </c>
      <c r="E250" s="107">
        <v>199</v>
      </c>
      <c r="F250" s="107" t="s">
        <v>79</v>
      </c>
      <c r="G250" s="107" t="s">
        <v>31</v>
      </c>
      <c r="H250" s="107">
        <v>120</v>
      </c>
      <c r="I250" s="182"/>
      <c r="J250" s="107"/>
      <c r="K250" s="139"/>
      <c r="L250" s="89"/>
      <c r="M250" s="89"/>
      <c r="N250" s="89"/>
      <c r="O250" s="89"/>
      <c r="P250" s="90" t="s">
        <v>70</v>
      </c>
      <c r="Q250" s="89" t="s">
        <v>29</v>
      </c>
      <c r="R250" s="89"/>
      <c r="S250" s="89"/>
      <c r="T250" s="90" t="s">
        <v>804</v>
      </c>
      <c r="U250" s="45"/>
      <c r="V250" s="38"/>
      <c r="W250" s="39">
        <f t="shared" si="3"/>
        <v>220</v>
      </c>
    </row>
    <row r="251" spans="1:23" ht="39.4" customHeight="1">
      <c r="A251" s="203">
        <v>44078</v>
      </c>
      <c r="B251" s="105" t="s">
        <v>57</v>
      </c>
      <c r="C251" s="106" t="s">
        <v>805</v>
      </c>
      <c r="D251" s="23" t="s">
        <v>806</v>
      </c>
      <c r="E251" s="107">
        <v>5</v>
      </c>
      <c r="F251" s="107" t="s">
        <v>79</v>
      </c>
      <c r="G251" s="107" t="s">
        <v>28</v>
      </c>
      <c r="H251" s="107">
        <v>230</v>
      </c>
      <c r="I251" s="182"/>
      <c r="J251" s="107"/>
      <c r="K251" s="139"/>
      <c r="L251" s="89"/>
      <c r="M251" s="89"/>
      <c r="N251" s="89"/>
      <c r="O251" s="89"/>
      <c r="P251" s="90" t="s">
        <v>70</v>
      </c>
      <c r="Q251" s="89" t="s">
        <v>29</v>
      </c>
      <c r="R251" s="89"/>
      <c r="S251" s="89"/>
      <c r="T251" s="90" t="s">
        <v>807</v>
      </c>
      <c r="U251" s="45"/>
      <c r="V251" s="38"/>
      <c r="W251" s="39">
        <f t="shared" si="3"/>
        <v>221</v>
      </c>
    </row>
    <row r="252" spans="1:23" ht="39.4" customHeight="1">
      <c r="A252" s="203">
        <v>44078</v>
      </c>
      <c r="B252" s="105" t="s">
        <v>58</v>
      </c>
      <c r="C252" s="106" t="s">
        <v>91</v>
      </c>
      <c r="D252" s="23" t="s">
        <v>162</v>
      </c>
      <c r="E252" s="107">
        <v>92</v>
      </c>
      <c r="F252" s="107" t="s">
        <v>79</v>
      </c>
      <c r="G252" s="107" t="s">
        <v>31</v>
      </c>
      <c r="H252" s="107">
        <v>120</v>
      </c>
      <c r="I252" s="182"/>
      <c r="J252" s="107"/>
      <c r="K252" s="139"/>
      <c r="L252" s="89"/>
      <c r="M252" s="89"/>
      <c r="N252" s="89"/>
      <c r="O252" s="89" t="s">
        <v>29</v>
      </c>
      <c r="P252" s="90" t="s">
        <v>70</v>
      </c>
      <c r="Q252" s="89"/>
      <c r="R252" s="89"/>
      <c r="S252" s="89"/>
      <c r="T252" s="90" t="s">
        <v>808</v>
      </c>
      <c r="U252" s="45"/>
      <c r="V252" s="38"/>
      <c r="W252" s="39">
        <f t="shared" si="3"/>
        <v>222</v>
      </c>
    </row>
    <row r="253" spans="1:23" ht="39.4" customHeight="1">
      <c r="A253" s="203">
        <v>44078</v>
      </c>
      <c r="B253" s="105" t="s">
        <v>59</v>
      </c>
      <c r="C253" s="106" t="s">
        <v>123</v>
      </c>
      <c r="D253" s="23" t="s">
        <v>160</v>
      </c>
      <c r="E253" s="107">
        <v>7</v>
      </c>
      <c r="F253" s="107" t="s">
        <v>124</v>
      </c>
      <c r="G253" s="107" t="s">
        <v>18</v>
      </c>
      <c r="H253" s="107">
        <v>220</v>
      </c>
      <c r="I253" s="182"/>
      <c r="J253" s="107"/>
      <c r="K253" s="139"/>
      <c r="L253" s="89"/>
      <c r="M253" s="89" t="s">
        <v>29</v>
      </c>
      <c r="N253" s="89"/>
      <c r="O253" s="89"/>
      <c r="P253" s="89" t="s">
        <v>29</v>
      </c>
      <c r="Q253" s="89"/>
      <c r="R253" s="89" t="s">
        <v>29</v>
      </c>
      <c r="S253" s="89"/>
      <c r="T253" s="90" t="s">
        <v>809</v>
      </c>
      <c r="U253" s="45"/>
      <c r="V253" s="38"/>
      <c r="W253" s="39">
        <f t="shared" si="3"/>
        <v>223</v>
      </c>
    </row>
    <row r="254" spans="1:23" ht="39.4" customHeight="1">
      <c r="A254" s="203">
        <v>44078</v>
      </c>
      <c r="B254" s="105" t="s">
        <v>60</v>
      </c>
      <c r="C254" s="106" t="s">
        <v>191</v>
      </c>
      <c r="D254" s="23" t="s">
        <v>155</v>
      </c>
      <c r="E254" s="107">
        <v>45</v>
      </c>
      <c r="F254" s="107" t="s">
        <v>67</v>
      </c>
      <c r="G254" s="107" t="s">
        <v>41</v>
      </c>
      <c r="H254" s="107">
        <v>230</v>
      </c>
      <c r="I254" s="182"/>
      <c r="J254" s="107"/>
      <c r="K254" s="139" t="s">
        <v>47</v>
      </c>
      <c r="L254" s="89"/>
      <c r="M254" s="89"/>
      <c r="N254" s="89"/>
      <c r="O254" s="89"/>
      <c r="P254" s="89" t="s">
        <v>29</v>
      </c>
      <c r="Q254" s="89"/>
      <c r="R254" s="89"/>
      <c r="S254" s="89"/>
      <c r="T254" s="90" t="s">
        <v>810</v>
      </c>
      <c r="U254" s="45"/>
      <c r="V254" s="38"/>
      <c r="W254" s="39">
        <f t="shared" si="3"/>
        <v>224</v>
      </c>
    </row>
    <row r="255" spans="1:23" ht="39.4" customHeight="1">
      <c r="A255" s="204">
        <v>44079</v>
      </c>
      <c r="B255" s="105" t="s">
        <v>54</v>
      </c>
      <c r="C255" s="106" t="s">
        <v>248</v>
      </c>
      <c r="D255" s="23" t="s">
        <v>249</v>
      </c>
      <c r="E255" s="107">
        <v>20</v>
      </c>
      <c r="F255" s="107" t="s">
        <v>67</v>
      </c>
      <c r="G255" s="107" t="s">
        <v>19</v>
      </c>
      <c r="H255" s="107">
        <v>220</v>
      </c>
      <c r="I255" s="182"/>
      <c r="J255" s="107"/>
      <c r="K255" s="139" t="s">
        <v>47</v>
      </c>
      <c r="L255" s="89"/>
      <c r="M255" s="89"/>
      <c r="N255" s="89"/>
      <c r="O255" s="89"/>
      <c r="P255" s="89" t="s">
        <v>29</v>
      </c>
      <c r="Q255" s="89"/>
      <c r="R255" s="89"/>
      <c r="S255" s="89"/>
      <c r="T255" s="90" t="s">
        <v>811</v>
      </c>
      <c r="U255" s="45"/>
      <c r="V255" s="38"/>
      <c r="W255" s="39">
        <f t="shared" si="3"/>
        <v>225</v>
      </c>
    </row>
    <row r="256" spans="1:23" ht="39.4" customHeight="1">
      <c r="A256" s="203">
        <v>44079</v>
      </c>
      <c r="B256" s="105" t="s">
        <v>55</v>
      </c>
      <c r="C256" s="106" t="s">
        <v>805</v>
      </c>
      <c r="D256" s="23" t="s">
        <v>806</v>
      </c>
      <c r="E256" s="107">
        <v>140</v>
      </c>
      <c r="F256" s="107" t="s">
        <v>79</v>
      </c>
      <c r="G256" s="107" t="s">
        <v>28</v>
      </c>
      <c r="H256" s="107">
        <v>230</v>
      </c>
      <c r="I256" s="182"/>
      <c r="J256" s="107"/>
      <c r="K256" s="139"/>
      <c r="L256" s="89"/>
      <c r="M256" s="89"/>
      <c r="N256" s="89"/>
      <c r="O256" s="89"/>
      <c r="P256" s="90" t="s">
        <v>70</v>
      </c>
      <c r="Q256" s="89" t="s">
        <v>29</v>
      </c>
      <c r="R256" s="89"/>
      <c r="S256" s="89"/>
      <c r="T256" s="90" t="s">
        <v>812</v>
      </c>
      <c r="U256" s="45"/>
      <c r="V256" s="38"/>
      <c r="W256" s="39">
        <f t="shared" si="3"/>
        <v>226</v>
      </c>
    </row>
    <row r="257" spans="1:23" ht="39.4" customHeight="1">
      <c r="A257" s="203">
        <v>44079</v>
      </c>
      <c r="B257" s="105" t="s">
        <v>56</v>
      </c>
      <c r="C257" s="106" t="s">
        <v>91</v>
      </c>
      <c r="D257" s="23" t="s">
        <v>162</v>
      </c>
      <c r="E257" s="107">
        <v>92</v>
      </c>
      <c r="F257" s="107" t="s">
        <v>79</v>
      </c>
      <c r="G257" s="107" t="s">
        <v>31</v>
      </c>
      <c r="H257" s="107">
        <v>120</v>
      </c>
      <c r="I257" s="182"/>
      <c r="J257" s="107"/>
      <c r="K257" s="139"/>
      <c r="L257" s="89"/>
      <c r="M257" s="89"/>
      <c r="N257" s="89"/>
      <c r="O257" s="89" t="s">
        <v>29</v>
      </c>
      <c r="P257" s="90" t="s">
        <v>70</v>
      </c>
      <c r="Q257" s="89"/>
      <c r="R257" s="89"/>
      <c r="S257" s="89"/>
      <c r="T257" s="90" t="s">
        <v>813</v>
      </c>
      <c r="U257" s="45"/>
      <c r="V257" s="38"/>
      <c r="W257" s="39">
        <f t="shared" si="3"/>
        <v>227</v>
      </c>
    </row>
    <row r="258" spans="1:23" ht="39.4" customHeight="1">
      <c r="A258" s="203">
        <v>44079</v>
      </c>
      <c r="B258" s="105" t="s">
        <v>57</v>
      </c>
      <c r="C258" s="106" t="s">
        <v>119</v>
      </c>
      <c r="D258" s="23" t="s">
        <v>157</v>
      </c>
      <c r="E258" s="107">
        <v>52</v>
      </c>
      <c r="F258" s="107" t="s">
        <v>67</v>
      </c>
      <c r="G258" s="107" t="s">
        <v>18</v>
      </c>
      <c r="H258" s="107">
        <v>220</v>
      </c>
      <c r="I258" s="182"/>
      <c r="J258" s="107"/>
      <c r="K258" s="139" t="s">
        <v>47</v>
      </c>
      <c r="L258" s="89"/>
      <c r="M258" s="89"/>
      <c r="N258" s="89"/>
      <c r="O258" s="89"/>
      <c r="P258" s="89" t="s">
        <v>29</v>
      </c>
      <c r="Q258" s="89"/>
      <c r="R258" s="89" t="s">
        <v>29</v>
      </c>
      <c r="S258" s="89"/>
      <c r="T258" s="90" t="s">
        <v>814</v>
      </c>
      <c r="U258" s="45"/>
      <c r="V258" s="38"/>
      <c r="W258" s="39">
        <f t="shared" si="3"/>
        <v>228</v>
      </c>
    </row>
    <row r="259" spans="1:23" ht="39.4" customHeight="1">
      <c r="A259" s="204">
        <v>44081</v>
      </c>
      <c r="B259" s="105" t="s">
        <v>54</v>
      </c>
      <c r="C259" s="106" t="s">
        <v>119</v>
      </c>
      <c r="D259" s="23" t="s">
        <v>157</v>
      </c>
      <c r="E259" s="107">
        <v>61</v>
      </c>
      <c r="F259" s="107" t="s">
        <v>67</v>
      </c>
      <c r="G259" s="107" t="s">
        <v>18</v>
      </c>
      <c r="H259" s="107">
        <v>220</v>
      </c>
      <c r="I259" s="182"/>
      <c r="J259" s="107"/>
      <c r="K259" s="139" t="s">
        <v>47</v>
      </c>
      <c r="L259" s="89"/>
      <c r="M259" s="89"/>
      <c r="N259" s="89"/>
      <c r="O259" s="89"/>
      <c r="P259" s="89" t="s">
        <v>29</v>
      </c>
      <c r="Q259" s="89"/>
      <c r="R259" s="89" t="s">
        <v>29</v>
      </c>
      <c r="S259" s="89"/>
      <c r="T259" s="90" t="s">
        <v>815</v>
      </c>
      <c r="U259" s="45"/>
      <c r="V259" s="38"/>
      <c r="W259" s="39">
        <f t="shared" si="3"/>
        <v>228</v>
      </c>
    </row>
    <row r="260" spans="1:23" ht="39.4" customHeight="1">
      <c r="A260" s="203">
        <v>44081</v>
      </c>
      <c r="B260" s="105" t="s">
        <v>55</v>
      </c>
      <c r="C260" s="106" t="s">
        <v>816</v>
      </c>
      <c r="D260" s="23" t="s">
        <v>163</v>
      </c>
      <c r="E260" s="107">
        <v>4</v>
      </c>
      <c r="F260" s="107" t="s">
        <v>53</v>
      </c>
      <c r="G260" s="107" t="s">
        <v>19</v>
      </c>
      <c r="H260" s="107">
        <v>220</v>
      </c>
      <c r="I260" s="182"/>
      <c r="J260" s="107"/>
      <c r="K260" s="139"/>
      <c r="L260" s="89"/>
      <c r="M260" s="89" t="s">
        <v>29</v>
      </c>
      <c r="N260" s="89"/>
      <c r="O260" s="89"/>
      <c r="P260" s="89" t="s">
        <v>29</v>
      </c>
      <c r="Q260" s="89"/>
      <c r="R260" s="89" t="s">
        <v>29</v>
      </c>
      <c r="S260" s="89"/>
      <c r="T260" s="90" t="s">
        <v>817</v>
      </c>
      <c r="U260" s="45"/>
      <c r="V260" s="38"/>
      <c r="W260" s="39">
        <f t="shared" si="3"/>
        <v>229</v>
      </c>
    </row>
    <row r="261" spans="1:23" ht="39.4" customHeight="1">
      <c r="A261" s="203">
        <v>44081</v>
      </c>
      <c r="B261" s="105" t="s">
        <v>56</v>
      </c>
      <c r="C261" s="106" t="s">
        <v>126</v>
      </c>
      <c r="D261" s="23" t="s">
        <v>149</v>
      </c>
      <c r="E261" s="107">
        <v>4</v>
      </c>
      <c r="F261" s="107" t="s">
        <v>67</v>
      </c>
      <c r="G261" s="107" t="s">
        <v>34</v>
      </c>
      <c r="H261" s="107">
        <v>120</v>
      </c>
      <c r="I261" s="182"/>
      <c r="J261" s="107"/>
      <c r="K261" s="139" t="s">
        <v>47</v>
      </c>
      <c r="L261" s="89"/>
      <c r="M261" s="89"/>
      <c r="N261" s="89"/>
      <c r="O261" s="89"/>
      <c r="P261" s="89" t="s">
        <v>29</v>
      </c>
      <c r="Q261" s="89"/>
      <c r="R261" s="89"/>
      <c r="S261" s="89"/>
      <c r="T261" s="90" t="s">
        <v>818</v>
      </c>
      <c r="U261" s="45"/>
      <c r="V261" s="38"/>
      <c r="W261" s="39">
        <f t="shared" si="3"/>
        <v>230</v>
      </c>
    </row>
    <row r="262" spans="1:23" ht="39.4" customHeight="1">
      <c r="A262" s="203">
        <v>44081</v>
      </c>
      <c r="B262" s="105" t="s">
        <v>57</v>
      </c>
      <c r="C262" s="106" t="s">
        <v>191</v>
      </c>
      <c r="D262" s="23" t="s">
        <v>155</v>
      </c>
      <c r="E262" s="107">
        <v>39</v>
      </c>
      <c r="F262" s="107" t="s">
        <v>67</v>
      </c>
      <c r="G262" s="107" t="s">
        <v>41</v>
      </c>
      <c r="H262" s="107">
        <v>230</v>
      </c>
      <c r="I262" s="182"/>
      <c r="J262" s="107"/>
      <c r="K262" s="139" t="s">
        <v>47</v>
      </c>
      <c r="L262" s="89"/>
      <c r="M262" s="89"/>
      <c r="N262" s="89"/>
      <c r="O262" s="89"/>
      <c r="P262" s="89" t="s">
        <v>29</v>
      </c>
      <c r="Q262" s="89"/>
      <c r="R262" s="89"/>
      <c r="S262" s="89"/>
      <c r="T262" s="90" t="s">
        <v>819</v>
      </c>
      <c r="U262" s="45"/>
      <c r="V262" s="38"/>
      <c r="W262" s="39">
        <f t="shared" si="3"/>
        <v>231</v>
      </c>
    </row>
    <row r="263" spans="1:23" ht="39.4" customHeight="1">
      <c r="A263" s="203">
        <v>44081</v>
      </c>
      <c r="B263" s="105" t="s">
        <v>58</v>
      </c>
      <c r="C263" s="106" t="s">
        <v>105</v>
      </c>
      <c r="D263" s="23" t="s">
        <v>164</v>
      </c>
      <c r="E263" s="107">
        <v>3</v>
      </c>
      <c r="F263" s="107" t="s">
        <v>98</v>
      </c>
      <c r="G263" s="107" t="s">
        <v>31</v>
      </c>
      <c r="H263" s="107">
        <v>120</v>
      </c>
      <c r="I263" s="182"/>
      <c r="J263" s="107"/>
      <c r="K263" s="139"/>
      <c r="L263" s="89"/>
      <c r="M263" s="89"/>
      <c r="N263" s="89"/>
      <c r="O263" s="89"/>
      <c r="P263" s="90" t="s">
        <v>70</v>
      </c>
      <c r="Q263" s="89" t="s">
        <v>29</v>
      </c>
      <c r="R263" s="89"/>
      <c r="S263" s="89"/>
      <c r="T263" s="90" t="s">
        <v>820</v>
      </c>
      <c r="U263" s="45"/>
      <c r="V263" s="38"/>
      <c r="W263" s="39">
        <f t="shared" si="3"/>
        <v>232</v>
      </c>
    </row>
    <row r="264" spans="1:23" ht="39.4" customHeight="1">
      <c r="A264" s="203">
        <v>44081</v>
      </c>
      <c r="B264" s="105" t="s">
        <v>59</v>
      </c>
      <c r="C264" s="106" t="s">
        <v>85</v>
      </c>
      <c r="D264" s="23" t="s">
        <v>171</v>
      </c>
      <c r="E264" s="107">
        <v>2</v>
      </c>
      <c r="F264" s="107" t="s">
        <v>98</v>
      </c>
      <c r="G264" s="107" t="s">
        <v>31</v>
      </c>
      <c r="H264" s="107">
        <v>120</v>
      </c>
      <c r="I264" s="182"/>
      <c r="J264" s="107"/>
      <c r="K264" s="139"/>
      <c r="L264" s="89"/>
      <c r="M264" s="89"/>
      <c r="N264" s="89"/>
      <c r="O264" s="89"/>
      <c r="P264" s="90" t="s">
        <v>70</v>
      </c>
      <c r="Q264" s="89" t="s">
        <v>29</v>
      </c>
      <c r="R264" s="89"/>
      <c r="S264" s="89"/>
      <c r="T264" s="90" t="s">
        <v>821</v>
      </c>
      <c r="U264" s="45"/>
      <c r="V264" s="38"/>
      <c r="W264" s="39">
        <f t="shared" ref="W264:W327" si="4">IF(C264=C263,W263,W263+1)</f>
        <v>233</v>
      </c>
    </row>
    <row r="265" spans="1:23" ht="39.4" customHeight="1">
      <c r="A265" s="203">
        <v>44081</v>
      </c>
      <c r="B265" s="105" t="s">
        <v>60</v>
      </c>
      <c r="C265" s="106" t="s">
        <v>734</v>
      </c>
      <c r="D265" s="23" t="s">
        <v>735</v>
      </c>
      <c r="E265" s="107">
        <v>1</v>
      </c>
      <c r="F265" s="107" t="s">
        <v>98</v>
      </c>
      <c r="G265" s="107" t="s">
        <v>18</v>
      </c>
      <c r="H265" s="107">
        <v>220</v>
      </c>
      <c r="I265" s="182"/>
      <c r="J265" s="107"/>
      <c r="K265" s="139"/>
      <c r="L265" s="89"/>
      <c r="M265" s="89"/>
      <c r="N265" s="89"/>
      <c r="O265" s="89"/>
      <c r="P265" s="90" t="s">
        <v>70</v>
      </c>
      <c r="Q265" s="89" t="s">
        <v>29</v>
      </c>
      <c r="R265" s="89" t="s">
        <v>29</v>
      </c>
      <c r="S265" s="89"/>
      <c r="T265" s="90" t="s">
        <v>822</v>
      </c>
      <c r="U265" s="45"/>
      <c r="V265" s="38"/>
      <c r="W265" s="39">
        <f t="shared" si="4"/>
        <v>234</v>
      </c>
    </row>
    <row r="266" spans="1:23" ht="39.4" customHeight="1">
      <c r="A266" s="203">
        <v>44081</v>
      </c>
      <c r="B266" s="105" t="s">
        <v>61</v>
      </c>
      <c r="C266" s="106" t="s">
        <v>737</v>
      </c>
      <c r="D266" s="23" t="s">
        <v>738</v>
      </c>
      <c r="E266" s="107">
        <v>1</v>
      </c>
      <c r="F266" s="107" t="s">
        <v>98</v>
      </c>
      <c r="G266" s="107" t="s">
        <v>18</v>
      </c>
      <c r="H266" s="107">
        <v>220</v>
      </c>
      <c r="I266" s="182"/>
      <c r="J266" s="107"/>
      <c r="K266" s="139"/>
      <c r="L266" s="89"/>
      <c r="M266" s="89"/>
      <c r="N266" s="89"/>
      <c r="O266" s="89"/>
      <c r="P266" s="90" t="s">
        <v>70</v>
      </c>
      <c r="Q266" s="89" t="s">
        <v>29</v>
      </c>
      <c r="R266" s="89" t="s">
        <v>29</v>
      </c>
      <c r="S266" s="89"/>
      <c r="T266" s="90" t="s">
        <v>823</v>
      </c>
      <c r="U266" s="45"/>
      <c r="V266" s="38"/>
      <c r="W266" s="39">
        <f t="shared" si="4"/>
        <v>235</v>
      </c>
    </row>
    <row r="267" spans="1:23" ht="39.4" customHeight="1">
      <c r="A267" s="203">
        <v>44081</v>
      </c>
      <c r="B267" s="105" t="s">
        <v>63</v>
      </c>
      <c r="C267" s="106" t="s">
        <v>269</v>
      </c>
      <c r="D267" s="23" t="s">
        <v>270</v>
      </c>
      <c r="E267" s="107">
        <v>13</v>
      </c>
      <c r="F267" s="107" t="s">
        <v>79</v>
      </c>
      <c r="G267" s="107" t="s">
        <v>28</v>
      </c>
      <c r="H267" s="107">
        <v>230</v>
      </c>
      <c r="I267" s="182"/>
      <c r="J267" s="107"/>
      <c r="K267" s="139"/>
      <c r="L267" s="89"/>
      <c r="M267" s="89"/>
      <c r="N267" s="89"/>
      <c r="O267" s="89"/>
      <c r="P267" s="90" t="s">
        <v>70</v>
      </c>
      <c r="Q267" s="89" t="s">
        <v>29</v>
      </c>
      <c r="R267" s="89"/>
      <c r="S267" s="89"/>
      <c r="T267" s="90" t="s">
        <v>824</v>
      </c>
      <c r="U267" s="45"/>
      <c r="V267" s="38"/>
      <c r="W267" s="39">
        <f t="shared" si="4"/>
        <v>236</v>
      </c>
    </row>
    <row r="268" spans="1:23" ht="39.4" customHeight="1">
      <c r="A268" s="203">
        <v>44081</v>
      </c>
      <c r="B268" s="105" t="s">
        <v>62</v>
      </c>
      <c r="C268" s="106" t="s">
        <v>81</v>
      </c>
      <c r="D268" s="23" t="s">
        <v>153</v>
      </c>
      <c r="E268" s="107">
        <v>51</v>
      </c>
      <c r="F268" s="107" t="s">
        <v>79</v>
      </c>
      <c r="G268" s="107" t="s">
        <v>28</v>
      </c>
      <c r="H268" s="107">
        <v>230</v>
      </c>
      <c r="I268" s="182"/>
      <c r="J268" s="107"/>
      <c r="K268" s="139"/>
      <c r="L268" s="89"/>
      <c r="M268" s="89"/>
      <c r="N268" s="89"/>
      <c r="O268" s="89"/>
      <c r="P268" s="90" t="s">
        <v>70</v>
      </c>
      <c r="Q268" s="89" t="s">
        <v>29</v>
      </c>
      <c r="R268" s="89"/>
      <c r="S268" s="89"/>
      <c r="T268" s="90" t="s">
        <v>825</v>
      </c>
      <c r="U268" s="45"/>
      <c r="V268" s="38"/>
      <c r="W268" s="39">
        <f t="shared" si="4"/>
        <v>237</v>
      </c>
    </row>
    <row r="269" spans="1:23" ht="39.4" customHeight="1">
      <c r="A269" s="203">
        <v>44081</v>
      </c>
      <c r="B269" s="105" t="s">
        <v>65</v>
      </c>
      <c r="C269" s="106" t="s">
        <v>92</v>
      </c>
      <c r="D269" s="23" t="s">
        <v>161</v>
      </c>
      <c r="E269" s="107">
        <v>99</v>
      </c>
      <c r="F269" s="107" t="s">
        <v>79</v>
      </c>
      <c r="G269" s="107" t="s">
        <v>31</v>
      </c>
      <c r="H269" s="107">
        <v>120</v>
      </c>
      <c r="I269" s="182"/>
      <c r="J269" s="107"/>
      <c r="K269" s="139"/>
      <c r="L269" s="89"/>
      <c r="M269" s="89"/>
      <c r="N269" s="89"/>
      <c r="O269" s="89"/>
      <c r="P269" s="90" t="s">
        <v>70</v>
      </c>
      <c r="Q269" s="89" t="s">
        <v>29</v>
      </c>
      <c r="R269" s="89"/>
      <c r="S269" s="89"/>
      <c r="T269" s="90" t="s">
        <v>826</v>
      </c>
      <c r="U269" s="45"/>
      <c r="V269" s="38"/>
      <c r="W269" s="39">
        <f t="shared" si="4"/>
        <v>238</v>
      </c>
    </row>
    <row r="270" spans="1:23" ht="39.4" customHeight="1">
      <c r="A270" s="203">
        <v>44081</v>
      </c>
      <c r="B270" s="105" t="s">
        <v>66</v>
      </c>
      <c r="C270" s="106" t="s">
        <v>84</v>
      </c>
      <c r="D270" s="23" t="s">
        <v>154</v>
      </c>
      <c r="E270" s="107">
        <v>25</v>
      </c>
      <c r="F270" s="107" t="s">
        <v>79</v>
      </c>
      <c r="G270" s="107" t="s">
        <v>28</v>
      </c>
      <c r="H270" s="107">
        <v>230</v>
      </c>
      <c r="I270" s="182"/>
      <c r="J270" s="107"/>
      <c r="K270" s="139"/>
      <c r="L270" s="89"/>
      <c r="M270" s="89"/>
      <c r="N270" s="89"/>
      <c r="O270" s="89"/>
      <c r="P270" s="90" t="s">
        <v>70</v>
      </c>
      <c r="Q270" s="89" t="s">
        <v>29</v>
      </c>
      <c r="R270" s="89"/>
      <c r="S270" s="89"/>
      <c r="T270" s="90" t="s">
        <v>827</v>
      </c>
      <c r="U270" s="45"/>
      <c r="V270" s="38"/>
      <c r="W270" s="39">
        <f t="shared" si="4"/>
        <v>239</v>
      </c>
    </row>
    <row r="271" spans="1:23" ht="39.4" customHeight="1">
      <c r="A271" s="203">
        <v>44081</v>
      </c>
      <c r="B271" s="105" t="s">
        <v>273</v>
      </c>
      <c r="C271" s="106" t="s">
        <v>90</v>
      </c>
      <c r="D271" s="23" t="s">
        <v>150</v>
      </c>
      <c r="E271" s="107">
        <v>21</v>
      </c>
      <c r="F271" s="107" t="s">
        <v>79</v>
      </c>
      <c r="G271" s="107" t="s">
        <v>31</v>
      </c>
      <c r="H271" s="107">
        <v>120</v>
      </c>
      <c r="I271" s="182"/>
      <c r="J271" s="107"/>
      <c r="K271" s="139"/>
      <c r="L271" s="89"/>
      <c r="M271" s="89"/>
      <c r="N271" s="89"/>
      <c r="O271" s="89" t="s">
        <v>29</v>
      </c>
      <c r="P271" s="90" t="s">
        <v>70</v>
      </c>
      <c r="Q271" s="89"/>
      <c r="R271" s="89"/>
      <c r="S271" s="89"/>
      <c r="T271" s="90" t="s">
        <v>828</v>
      </c>
      <c r="U271" s="45"/>
      <c r="V271" s="38"/>
      <c r="W271" s="39">
        <f t="shared" si="4"/>
        <v>240</v>
      </c>
    </row>
    <row r="272" spans="1:23" ht="39.4" customHeight="1">
      <c r="A272" s="203">
        <v>44081</v>
      </c>
      <c r="B272" s="105" t="s">
        <v>275</v>
      </c>
      <c r="C272" s="106" t="s">
        <v>189</v>
      </c>
      <c r="D272" s="23" t="s">
        <v>190</v>
      </c>
      <c r="E272" s="107">
        <v>11</v>
      </c>
      <c r="F272" s="107" t="s">
        <v>79</v>
      </c>
      <c r="G272" s="107" t="s">
        <v>49</v>
      </c>
      <c r="H272" s="107">
        <v>100</v>
      </c>
      <c r="I272" s="182"/>
      <c r="J272" s="107"/>
      <c r="K272" s="139"/>
      <c r="L272" s="89"/>
      <c r="M272" s="89"/>
      <c r="N272" s="89"/>
      <c r="O272" s="89" t="s">
        <v>29</v>
      </c>
      <c r="P272" s="90" t="s">
        <v>70</v>
      </c>
      <c r="Q272" s="89"/>
      <c r="R272" s="89" t="s">
        <v>29</v>
      </c>
      <c r="S272" s="89" t="s">
        <v>29</v>
      </c>
      <c r="T272" s="90" t="s">
        <v>829</v>
      </c>
      <c r="U272" s="45"/>
      <c r="V272" s="38"/>
      <c r="W272" s="39">
        <f t="shared" si="4"/>
        <v>241</v>
      </c>
    </row>
    <row r="273" spans="1:23" ht="39.4" customHeight="1">
      <c r="A273" s="203">
        <v>44081</v>
      </c>
      <c r="B273" s="105" t="s">
        <v>276</v>
      </c>
      <c r="C273" s="106" t="s">
        <v>128</v>
      </c>
      <c r="D273" s="23" t="s">
        <v>169</v>
      </c>
      <c r="E273" s="107">
        <v>9</v>
      </c>
      <c r="F273" s="107" t="s">
        <v>79</v>
      </c>
      <c r="G273" s="107" t="s">
        <v>49</v>
      </c>
      <c r="H273" s="107">
        <v>100</v>
      </c>
      <c r="I273" s="182"/>
      <c r="J273" s="107"/>
      <c r="K273" s="139"/>
      <c r="L273" s="89"/>
      <c r="M273" s="89"/>
      <c r="N273" s="89"/>
      <c r="O273" s="89" t="s">
        <v>29</v>
      </c>
      <c r="P273" s="90" t="s">
        <v>70</v>
      </c>
      <c r="Q273" s="89"/>
      <c r="R273" s="89" t="s">
        <v>29</v>
      </c>
      <c r="S273" s="89" t="s">
        <v>29</v>
      </c>
      <c r="T273" s="90" t="s">
        <v>830</v>
      </c>
      <c r="U273" s="45"/>
      <c r="V273" s="38"/>
      <c r="W273" s="39">
        <f t="shared" si="4"/>
        <v>242</v>
      </c>
    </row>
    <row r="274" spans="1:23" ht="39.4" customHeight="1">
      <c r="A274" s="203">
        <v>44081</v>
      </c>
      <c r="B274" s="105" t="s">
        <v>278</v>
      </c>
      <c r="C274" s="106" t="s">
        <v>102</v>
      </c>
      <c r="D274" s="23" t="s">
        <v>157</v>
      </c>
      <c r="E274" s="107">
        <v>52</v>
      </c>
      <c r="F274" s="107" t="s">
        <v>67</v>
      </c>
      <c r="G274" s="107" t="s">
        <v>20</v>
      </c>
      <c r="H274" s="107">
        <v>230</v>
      </c>
      <c r="I274" s="182"/>
      <c r="J274" s="107"/>
      <c r="K274" s="139"/>
      <c r="L274" s="89"/>
      <c r="M274" s="89"/>
      <c r="N274" s="89"/>
      <c r="O274" s="89"/>
      <c r="P274" s="89"/>
      <c r="Q274" s="89" t="s">
        <v>29</v>
      </c>
      <c r="R274" s="89"/>
      <c r="S274" s="89"/>
      <c r="T274" s="90" t="s">
        <v>831</v>
      </c>
      <c r="U274" s="45"/>
      <c r="V274" s="38"/>
      <c r="W274" s="39">
        <f t="shared" si="4"/>
        <v>243</v>
      </c>
    </row>
    <row r="275" spans="1:23" ht="39.4" customHeight="1">
      <c r="A275" s="204">
        <v>44082</v>
      </c>
      <c r="B275" s="105" t="s">
        <v>54</v>
      </c>
      <c r="C275" s="106" t="s">
        <v>102</v>
      </c>
      <c r="D275" s="23" t="s">
        <v>157</v>
      </c>
      <c r="E275" s="107">
        <v>8</v>
      </c>
      <c r="F275" s="107" t="s">
        <v>67</v>
      </c>
      <c r="G275" s="107" t="s">
        <v>20</v>
      </c>
      <c r="H275" s="107">
        <v>230</v>
      </c>
      <c r="I275" s="182"/>
      <c r="J275" s="107"/>
      <c r="K275" s="139"/>
      <c r="L275" s="89"/>
      <c r="M275" s="89"/>
      <c r="N275" s="89"/>
      <c r="O275" s="89"/>
      <c r="P275" s="89"/>
      <c r="Q275" s="89" t="s">
        <v>29</v>
      </c>
      <c r="R275" s="89"/>
      <c r="S275" s="89"/>
      <c r="T275" s="90" t="s">
        <v>832</v>
      </c>
      <c r="U275" s="45"/>
      <c r="V275" s="38"/>
      <c r="W275" s="39">
        <f t="shared" si="4"/>
        <v>243</v>
      </c>
    </row>
    <row r="276" spans="1:23" ht="39.4" customHeight="1">
      <c r="A276" s="203">
        <v>44082</v>
      </c>
      <c r="B276" s="105" t="s">
        <v>55</v>
      </c>
      <c r="C276" s="106" t="s">
        <v>119</v>
      </c>
      <c r="D276" s="23" t="s">
        <v>157</v>
      </c>
      <c r="E276" s="107">
        <v>100</v>
      </c>
      <c r="F276" s="107" t="s">
        <v>67</v>
      </c>
      <c r="G276" s="107" t="s">
        <v>18</v>
      </c>
      <c r="H276" s="107">
        <v>220</v>
      </c>
      <c r="I276" s="182"/>
      <c r="J276" s="107"/>
      <c r="K276" s="139" t="s">
        <v>47</v>
      </c>
      <c r="L276" s="89"/>
      <c r="M276" s="89"/>
      <c r="N276" s="89"/>
      <c r="O276" s="89"/>
      <c r="P276" s="89" t="s">
        <v>29</v>
      </c>
      <c r="Q276" s="89"/>
      <c r="R276" s="89" t="s">
        <v>29</v>
      </c>
      <c r="S276" s="89"/>
      <c r="T276" s="90" t="s">
        <v>833</v>
      </c>
      <c r="U276" s="45"/>
      <c r="V276" s="38"/>
      <c r="W276" s="39">
        <f t="shared" si="4"/>
        <v>244</v>
      </c>
    </row>
    <row r="277" spans="1:23" ht="39.4" customHeight="1">
      <c r="A277" s="203">
        <v>44082</v>
      </c>
      <c r="B277" s="105" t="s">
        <v>56</v>
      </c>
      <c r="C277" s="106" t="s">
        <v>185</v>
      </c>
      <c r="D277" s="23" t="s">
        <v>186</v>
      </c>
      <c r="E277" s="107">
        <v>4</v>
      </c>
      <c r="F277" s="107" t="s">
        <v>98</v>
      </c>
      <c r="G277" s="107" t="s">
        <v>31</v>
      </c>
      <c r="H277" s="107">
        <v>120</v>
      </c>
      <c r="I277" s="182"/>
      <c r="J277" s="107"/>
      <c r="K277" s="139"/>
      <c r="L277" s="89"/>
      <c r="M277" s="89"/>
      <c r="N277" s="89"/>
      <c r="O277" s="89" t="s">
        <v>29</v>
      </c>
      <c r="P277" s="90" t="s">
        <v>70</v>
      </c>
      <c r="Q277" s="89"/>
      <c r="R277" s="89"/>
      <c r="S277" s="89"/>
      <c r="T277" s="90" t="s">
        <v>834</v>
      </c>
      <c r="U277" s="45"/>
      <c r="V277" s="38"/>
      <c r="W277" s="39">
        <f t="shared" si="4"/>
        <v>245</v>
      </c>
    </row>
    <row r="278" spans="1:23" ht="39.4" customHeight="1">
      <c r="A278" s="203">
        <v>44082</v>
      </c>
      <c r="B278" s="105" t="s">
        <v>57</v>
      </c>
      <c r="C278" s="106" t="s">
        <v>187</v>
      </c>
      <c r="D278" s="23" t="s">
        <v>188</v>
      </c>
      <c r="E278" s="107">
        <v>4</v>
      </c>
      <c r="F278" s="107" t="s">
        <v>98</v>
      </c>
      <c r="G278" s="107" t="s">
        <v>31</v>
      </c>
      <c r="H278" s="107">
        <v>120</v>
      </c>
      <c r="I278" s="182"/>
      <c r="J278" s="107"/>
      <c r="K278" s="139"/>
      <c r="L278" s="89"/>
      <c r="M278" s="89"/>
      <c r="N278" s="89"/>
      <c r="O278" s="89" t="s">
        <v>29</v>
      </c>
      <c r="P278" s="90" t="s">
        <v>70</v>
      </c>
      <c r="Q278" s="89"/>
      <c r="R278" s="89"/>
      <c r="S278" s="89"/>
      <c r="T278" s="90" t="s">
        <v>835</v>
      </c>
      <c r="U278" s="45"/>
      <c r="V278" s="38"/>
      <c r="W278" s="39">
        <f t="shared" si="4"/>
        <v>246</v>
      </c>
    </row>
    <row r="279" spans="1:23" ht="39.4" customHeight="1">
      <c r="A279" s="203">
        <v>44082</v>
      </c>
      <c r="B279" s="105" t="s">
        <v>58</v>
      </c>
      <c r="C279" s="106" t="s">
        <v>84</v>
      </c>
      <c r="D279" s="23" t="s">
        <v>154</v>
      </c>
      <c r="E279" s="107">
        <v>16</v>
      </c>
      <c r="F279" s="107" t="s">
        <v>79</v>
      </c>
      <c r="G279" s="107" t="s">
        <v>28</v>
      </c>
      <c r="H279" s="107">
        <v>230</v>
      </c>
      <c r="I279" s="182"/>
      <c r="J279" s="107"/>
      <c r="K279" s="139"/>
      <c r="L279" s="89"/>
      <c r="M279" s="89"/>
      <c r="N279" s="89"/>
      <c r="O279" s="89"/>
      <c r="P279" s="90" t="s">
        <v>70</v>
      </c>
      <c r="Q279" s="89" t="s">
        <v>29</v>
      </c>
      <c r="R279" s="89"/>
      <c r="S279" s="89"/>
      <c r="T279" s="90" t="s">
        <v>836</v>
      </c>
      <c r="U279" s="45"/>
      <c r="V279" s="38"/>
      <c r="W279" s="39">
        <f t="shared" si="4"/>
        <v>247</v>
      </c>
    </row>
    <row r="280" spans="1:23" ht="39.4" customHeight="1">
      <c r="A280" s="203">
        <v>44082</v>
      </c>
      <c r="B280" s="105" t="s">
        <v>59</v>
      </c>
      <c r="C280" s="106" t="s">
        <v>118</v>
      </c>
      <c r="D280" s="23" t="s">
        <v>152</v>
      </c>
      <c r="E280" s="107">
        <v>153</v>
      </c>
      <c r="F280" s="107" t="s">
        <v>79</v>
      </c>
      <c r="G280" s="107" t="s">
        <v>18</v>
      </c>
      <c r="H280" s="107">
        <v>220</v>
      </c>
      <c r="I280" s="182"/>
      <c r="J280" s="107"/>
      <c r="K280" s="139"/>
      <c r="L280" s="89"/>
      <c r="M280" s="89"/>
      <c r="N280" s="89"/>
      <c r="O280" s="89"/>
      <c r="P280" s="90" t="s">
        <v>70</v>
      </c>
      <c r="Q280" s="89" t="s">
        <v>29</v>
      </c>
      <c r="R280" s="89" t="s">
        <v>29</v>
      </c>
      <c r="S280" s="89"/>
      <c r="T280" s="90" t="s">
        <v>837</v>
      </c>
      <c r="U280" s="45"/>
      <c r="V280" s="38"/>
      <c r="W280" s="39">
        <f t="shared" si="4"/>
        <v>248</v>
      </c>
    </row>
    <row r="281" spans="1:23" ht="39.4" customHeight="1">
      <c r="A281" s="203">
        <v>44082</v>
      </c>
      <c r="B281" s="105" t="s">
        <v>60</v>
      </c>
      <c r="C281" s="106" t="s">
        <v>93</v>
      </c>
      <c r="D281" s="23" t="s">
        <v>159</v>
      </c>
      <c r="E281" s="107">
        <v>31</v>
      </c>
      <c r="F281" s="107" t="s">
        <v>79</v>
      </c>
      <c r="G281" s="107" t="s">
        <v>31</v>
      </c>
      <c r="H281" s="107">
        <v>120</v>
      </c>
      <c r="I281" s="182"/>
      <c r="J281" s="107"/>
      <c r="K281" s="139"/>
      <c r="L281" s="89"/>
      <c r="M281" s="89"/>
      <c r="N281" s="89"/>
      <c r="O281" s="89"/>
      <c r="P281" s="90" t="s">
        <v>70</v>
      </c>
      <c r="Q281" s="89" t="s">
        <v>29</v>
      </c>
      <c r="R281" s="89"/>
      <c r="S281" s="89"/>
      <c r="T281" s="90" t="s">
        <v>838</v>
      </c>
      <c r="U281" s="45"/>
      <c r="V281" s="38"/>
      <c r="W281" s="39">
        <f t="shared" si="4"/>
        <v>249</v>
      </c>
    </row>
    <row r="282" spans="1:23" ht="39.4" customHeight="1">
      <c r="A282" s="203">
        <v>44082</v>
      </c>
      <c r="B282" s="105" t="s">
        <v>61</v>
      </c>
      <c r="C282" s="106" t="s">
        <v>90</v>
      </c>
      <c r="D282" s="23" t="s">
        <v>150</v>
      </c>
      <c r="E282" s="107">
        <v>32</v>
      </c>
      <c r="F282" s="107" t="s">
        <v>79</v>
      </c>
      <c r="G282" s="107" t="s">
        <v>31</v>
      </c>
      <c r="H282" s="107">
        <v>120</v>
      </c>
      <c r="I282" s="182"/>
      <c r="J282" s="107"/>
      <c r="K282" s="139"/>
      <c r="L282" s="89"/>
      <c r="M282" s="89"/>
      <c r="N282" s="89"/>
      <c r="O282" s="89" t="s">
        <v>29</v>
      </c>
      <c r="P282" s="90" t="s">
        <v>70</v>
      </c>
      <c r="Q282" s="89"/>
      <c r="R282" s="89"/>
      <c r="S282" s="89"/>
      <c r="T282" s="90" t="s">
        <v>839</v>
      </c>
      <c r="U282" s="45"/>
      <c r="V282" s="38"/>
      <c r="W282" s="39">
        <f t="shared" si="4"/>
        <v>250</v>
      </c>
    </row>
    <row r="283" spans="1:23" ht="39.4" customHeight="1">
      <c r="A283" s="203">
        <v>44082</v>
      </c>
      <c r="B283" s="105" t="s">
        <v>63</v>
      </c>
      <c r="C283" s="106" t="s">
        <v>123</v>
      </c>
      <c r="D283" s="23" t="s">
        <v>160</v>
      </c>
      <c r="E283" s="107">
        <v>7</v>
      </c>
      <c r="F283" s="107" t="s">
        <v>124</v>
      </c>
      <c r="G283" s="107" t="s">
        <v>18</v>
      </c>
      <c r="H283" s="107">
        <v>220</v>
      </c>
      <c r="I283" s="182"/>
      <c r="J283" s="107"/>
      <c r="K283" s="139"/>
      <c r="L283" s="89"/>
      <c r="M283" s="89" t="s">
        <v>29</v>
      </c>
      <c r="N283" s="89"/>
      <c r="O283" s="89"/>
      <c r="P283" s="89" t="s">
        <v>29</v>
      </c>
      <c r="Q283" s="89"/>
      <c r="R283" s="89" t="s">
        <v>29</v>
      </c>
      <c r="S283" s="89"/>
      <c r="T283" s="90" t="s">
        <v>840</v>
      </c>
      <c r="U283" s="45"/>
      <c r="V283" s="38"/>
      <c r="W283" s="39">
        <f t="shared" si="4"/>
        <v>251</v>
      </c>
    </row>
    <row r="284" spans="1:23" ht="39.4" customHeight="1">
      <c r="A284" s="203">
        <v>44082</v>
      </c>
      <c r="B284" s="105" t="s">
        <v>62</v>
      </c>
      <c r="C284" s="106" t="s">
        <v>726</v>
      </c>
      <c r="D284" s="23" t="s">
        <v>727</v>
      </c>
      <c r="E284" s="107">
        <v>1</v>
      </c>
      <c r="F284" s="107" t="s">
        <v>728</v>
      </c>
      <c r="G284" s="107" t="s">
        <v>18</v>
      </c>
      <c r="H284" s="107">
        <v>220</v>
      </c>
      <c r="I284" s="182"/>
      <c r="J284" s="107"/>
      <c r="K284" s="139"/>
      <c r="L284" s="89"/>
      <c r="M284" s="89"/>
      <c r="N284" s="89"/>
      <c r="O284" s="89"/>
      <c r="P284" s="89"/>
      <c r="Q284" s="89" t="s">
        <v>29</v>
      </c>
      <c r="R284" s="89" t="s">
        <v>29</v>
      </c>
      <c r="S284" s="89"/>
      <c r="T284" s="90" t="s">
        <v>841</v>
      </c>
      <c r="U284" s="45"/>
      <c r="V284" s="38"/>
      <c r="W284" s="39">
        <f t="shared" si="4"/>
        <v>252</v>
      </c>
    </row>
    <row r="285" spans="1:23" ht="39.4" customHeight="1">
      <c r="A285" s="203">
        <v>44082</v>
      </c>
      <c r="B285" s="105" t="s">
        <v>65</v>
      </c>
      <c r="C285" s="106" t="s">
        <v>103</v>
      </c>
      <c r="D285" s="23" t="s">
        <v>158</v>
      </c>
      <c r="E285" s="107">
        <v>39</v>
      </c>
      <c r="F285" s="107" t="s">
        <v>67</v>
      </c>
      <c r="G285" s="107" t="s">
        <v>30</v>
      </c>
      <c r="H285" s="107">
        <v>230</v>
      </c>
      <c r="I285" s="182"/>
      <c r="J285" s="107"/>
      <c r="K285" s="139"/>
      <c r="L285" s="89"/>
      <c r="M285" s="89"/>
      <c r="N285" s="89"/>
      <c r="O285" s="89"/>
      <c r="P285" s="89"/>
      <c r="Q285" s="89" t="s">
        <v>29</v>
      </c>
      <c r="R285" s="89"/>
      <c r="S285" s="89"/>
      <c r="T285" s="90" t="s">
        <v>842</v>
      </c>
      <c r="U285" s="45"/>
      <c r="V285" s="38"/>
      <c r="W285" s="39">
        <f t="shared" si="4"/>
        <v>253</v>
      </c>
    </row>
    <row r="286" spans="1:23" ht="39.4" customHeight="1">
      <c r="A286" s="203">
        <v>44082</v>
      </c>
      <c r="B286" s="105" t="s">
        <v>66</v>
      </c>
      <c r="C286" s="106" t="s">
        <v>119</v>
      </c>
      <c r="D286" s="23" t="s">
        <v>157</v>
      </c>
      <c r="E286" s="107">
        <v>5</v>
      </c>
      <c r="F286" s="107" t="s">
        <v>67</v>
      </c>
      <c r="G286" s="107" t="s">
        <v>18</v>
      </c>
      <c r="H286" s="107">
        <v>220</v>
      </c>
      <c r="I286" s="182"/>
      <c r="J286" s="107"/>
      <c r="K286" s="139" t="s">
        <v>47</v>
      </c>
      <c r="L286" s="89"/>
      <c r="M286" s="89"/>
      <c r="N286" s="89"/>
      <c r="O286" s="89"/>
      <c r="P286" s="89" t="s">
        <v>29</v>
      </c>
      <c r="Q286" s="89"/>
      <c r="R286" s="89" t="s">
        <v>29</v>
      </c>
      <c r="S286" s="89"/>
      <c r="T286" s="90" t="s">
        <v>843</v>
      </c>
      <c r="U286" s="45"/>
      <c r="V286" s="38"/>
      <c r="W286" s="39">
        <f t="shared" si="4"/>
        <v>254</v>
      </c>
    </row>
    <row r="287" spans="1:23" ht="39.4" customHeight="1">
      <c r="A287" s="204">
        <v>44083</v>
      </c>
      <c r="B287" s="105" t="s">
        <v>54</v>
      </c>
      <c r="C287" s="106" t="s">
        <v>119</v>
      </c>
      <c r="D287" s="23" t="s">
        <v>157</v>
      </c>
      <c r="E287" s="107">
        <v>101</v>
      </c>
      <c r="F287" s="107" t="s">
        <v>67</v>
      </c>
      <c r="G287" s="107" t="s">
        <v>18</v>
      </c>
      <c r="H287" s="107">
        <v>220</v>
      </c>
      <c r="I287" s="182"/>
      <c r="J287" s="107"/>
      <c r="K287" s="139" t="s">
        <v>47</v>
      </c>
      <c r="L287" s="89"/>
      <c r="M287" s="89"/>
      <c r="N287" s="89"/>
      <c r="O287" s="89"/>
      <c r="P287" s="89" t="s">
        <v>29</v>
      </c>
      <c r="Q287" s="89"/>
      <c r="R287" s="89" t="s">
        <v>29</v>
      </c>
      <c r="S287" s="89"/>
      <c r="T287" s="90" t="s">
        <v>844</v>
      </c>
      <c r="U287" s="45"/>
      <c r="V287" s="38"/>
      <c r="W287" s="39">
        <f t="shared" si="4"/>
        <v>254</v>
      </c>
    </row>
    <row r="288" spans="1:23" ht="39.4" customHeight="1">
      <c r="A288" s="203">
        <v>44083</v>
      </c>
      <c r="B288" s="105" t="s">
        <v>55</v>
      </c>
      <c r="C288" s="106" t="s">
        <v>86</v>
      </c>
      <c r="D288" s="23" t="s">
        <v>155</v>
      </c>
      <c r="E288" s="107">
        <v>12</v>
      </c>
      <c r="F288" s="107" t="s">
        <v>67</v>
      </c>
      <c r="G288" s="107" t="s">
        <v>30</v>
      </c>
      <c r="H288" s="107">
        <v>230</v>
      </c>
      <c r="I288" s="182"/>
      <c r="J288" s="107"/>
      <c r="K288" s="139"/>
      <c r="L288" s="89"/>
      <c r="M288" s="89"/>
      <c r="N288" s="89"/>
      <c r="O288" s="89"/>
      <c r="P288" s="89"/>
      <c r="Q288" s="89" t="s">
        <v>29</v>
      </c>
      <c r="R288" s="89"/>
      <c r="S288" s="89"/>
      <c r="T288" s="90" t="s">
        <v>845</v>
      </c>
      <c r="U288" s="45"/>
      <c r="V288" s="38"/>
      <c r="W288" s="39">
        <f t="shared" si="4"/>
        <v>255</v>
      </c>
    </row>
    <row r="289" spans="1:23" ht="39.4" customHeight="1">
      <c r="A289" s="203">
        <v>44083</v>
      </c>
      <c r="B289" s="105" t="s">
        <v>56</v>
      </c>
      <c r="C289" s="106" t="s">
        <v>129</v>
      </c>
      <c r="D289" s="23" t="s">
        <v>156</v>
      </c>
      <c r="E289" s="107">
        <v>3</v>
      </c>
      <c r="F289" s="107" t="s">
        <v>53</v>
      </c>
      <c r="G289" s="107" t="s">
        <v>30</v>
      </c>
      <c r="H289" s="107">
        <v>230</v>
      </c>
      <c r="I289" s="182"/>
      <c r="J289" s="107"/>
      <c r="K289" s="139"/>
      <c r="L289" s="89"/>
      <c r="M289" s="89"/>
      <c r="N289" s="89"/>
      <c r="O289" s="89"/>
      <c r="P289" s="89"/>
      <c r="Q289" s="89" t="s">
        <v>29</v>
      </c>
      <c r="R289" s="89" t="s">
        <v>29</v>
      </c>
      <c r="S289" s="89"/>
      <c r="T289" s="90" t="s">
        <v>846</v>
      </c>
      <c r="U289" s="45"/>
      <c r="V289" s="38"/>
      <c r="W289" s="39">
        <f t="shared" si="4"/>
        <v>256</v>
      </c>
    </row>
    <row r="290" spans="1:23" ht="39.4" customHeight="1">
      <c r="A290" s="203">
        <v>44083</v>
      </c>
      <c r="B290" s="105" t="s">
        <v>57</v>
      </c>
      <c r="C290" s="106" t="s">
        <v>760</v>
      </c>
      <c r="D290" s="23" t="s">
        <v>761</v>
      </c>
      <c r="E290" s="107">
        <v>1</v>
      </c>
      <c r="F290" s="107" t="s">
        <v>98</v>
      </c>
      <c r="G290" s="107" t="s">
        <v>18</v>
      </c>
      <c r="H290" s="107">
        <v>220</v>
      </c>
      <c r="I290" s="182"/>
      <c r="J290" s="107"/>
      <c r="K290" s="139"/>
      <c r="L290" s="89"/>
      <c r="M290" s="89"/>
      <c r="N290" s="89"/>
      <c r="O290" s="89"/>
      <c r="P290" s="90" t="s">
        <v>70</v>
      </c>
      <c r="Q290" s="89" t="s">
        <v>29</v>
      </c>
      <c r="R290" s="89" t="s">
        <v>29</v>
      </c>
      <c r="S290" s="89"/>
      <c r="T290" s="90" t="s">
        <v>847</v>
      </c>
      <c r="U290" s="45"/>
      <c r="V290" s="38"/>
      <c r="W290" s="39">
        <f t="shared" si="4"/>
        <v>257</v>
      </c>
    </row>
    <row r="291" spans="1:23" ht="39.4" customHeight="1">
      <c r="A291" s="203">
        <v>44083</v>
      </c>
      <c r="B291" s="105" t="s">
        <v>58</v>
      </c>
      <c r="C291" s="106" t="s">
        <v>80</v>
      </c>
      <c r="D291" s="23" t="s">
        <v>165</v>
      </c>
      <c r="E291" s="107">
        <v>10</v>
      </c>
      <c r="F291" s="107" t="s">
        <v>79</v>
      </c>
      <c r="G291" s="107" t="s">
        <v>30</v>
      </c>
      <c r="H291" s="107">
        <v>230</v>
      </c>
      <c r="I291" s="182"/>
      <c r="J291" s="107"/>
      <c r="K291" s="139"/>
      <c r="L291" s="89"/>
      <c r="M291" s="89"/>
      <c r="N291" s="89"/>
      <c r="O291" s="89"/>
      <c r="P291" s="90" t="s">
        <v>70</v>
      </c>
      <c r="Q291" s="89" t="s">
        <v>29</v>
      </c>
      <c r="R291" s="89" t="s">
        <v>29</v>
      </c>
      <c r="S291" s="89"/>
      <c r="T291" s="90" t="s">
        <v>848</v>
      </c>
      <c r="U291" s="45"/>
      <c r="V291" s="38"/>
      <c r="W291" s="39">
        <f t="shared" si="4"/>
        <v>258</v>
      </c>
    </row>
    <row r="292" spans="1:23" ht="39.4" customHeight="1">
      <c r="A292" s="203">
        <v>44083</v>
      </c>
      <c r="B292" s="105" t="s">
        <v>59</v>
      </c>
      <c r="C292" s="106" t="s">
        <v>292</v>
      </c>
      <c r="D292" s="23" t="s">
        <v>293</v>
      </c>
      <c r="E292" s="107">
        <v>9</v>
      </c>
      <c r="F292" s="107" t="s">
        <v>79</v>
      </c>
      <c r="G292" s="107" t="s">
        <v>30</v>
      </c>
      <c r="H292" s="107">
        <v>230</v>
      </c>
      <c r="I292" s="182"/>
      <c r="J292" s="107"/>
      <c r="K292" s="139"/>
      <c r="L292" s="89"/>
      <c r="M292" s="89"/>
      <c r="N292" s="89"/>
      <c r="O292" s="89"/>
      <c r="P292" s="90" t="s">
        <v>70</v>
      </c>
      <c r="Q292" s="89" t="s">
        <v>29</v>
      </c>
      <c r="R292" s="89" t="s">
        <v>29</v>
      </c>
      <c r="S292" s="89"/>
      <c r="T292" s="90" t="s">
        <v>849</v>
      </c>
      <c r="U292" s="45"/>
      <c r="V292" s="38"/>
      <c r="W292" s="39">
        <f t="shared" si="4"/>
        <v>259</v>
      </c>
    </row>
    <row r="293" spans="1:23" ht="39.4" customHeight="1">
      <c r="A293" s="203">
        <v>44083</v>
      </c>
      <c r="B293" s="105" t="s">
        <v>60</v>
      </c>
      <c r="C293" s="106" t="s">
        <v>82</v>
      </c>
      <c r="D293" s="23" t="s">
        <v>167</v>
      </c>
      <c r="E293" s="107">
        <v>31</v>
      </c>
      <c r="F293" s="107" t="s">
        <v>79</v>
      </c>
      <c r="G293" s="107" t="s">
        <v>30</v>
      </c>
      <c r="H293" s="107">
        <v>230</v>
      </c>
      <c r="I293" s="182"/>
      <c r="J293" s="107"/>
      <c r="K293" s="139"/>
      <c r="L293" s="89"/>
      <c r="M293" s="89"/>
      <c r="N293" s="89"/>
      <c r="O293" s="89"/>
      <c r="P293" s="90" t="s">
        <v>70</v>
      </c>
      <c r="Q293" s="89" t="s">
        <v>29</v>
      </c>
      <c r="R293" s="89" t="s">
        <v>29</v>
      </c>
      <c r="S293" s="89"/>
      <c r="T293" s="90" t="s">
        <v>850</v>
      </c>
      <c r="U293" s="45"/>
      <c r="V293" s="38"/>
      <c r="W293" s="39">
        <f t="shared" si="4"/>
        <v>260</v>
      </c>
    </row>
    <row r="294" spans="1:23" ht="39.4" customHeight="1">
      <c r="A294" s="203">
        <v>44083</v>
      </c>
      <c r="B294" s="108" t="s">
        <v>61</v>
      </c>
      <c r="C294" s="30" t="s">
        <v>118</v>
      </c>
      <c r="D294" s="31" t="s">
        <v>152</v>
      </c>
      <c r="E294" s="29">
        <v>115</v>
      </c>
      <c r="F294" s="29" t="s">
        <v>79</v>
      </c>
      <c r="G294" s="29" t="s">
        <v>18</v>
      </c>
      <c r="H294" s="29">
        <v>220</v>
      </c>
      <c r="I294" s="183"/>
      <c r="J294" s="29"/>
      <c r="K294" s="140"/>
      <c r="L294" s="46"/>
      <c r="M294" s="46"/>
      <c r="N294" s="46"/>
      <c r="O294" s="46"/>
      <c r="P294" s="45" t="s">
        <v>70</v>
      </c>
      <c r="Q294" s="46" t="s">
        <v>29</v>
      </c>
      <c r="R294" s="46" t="s">
        <v>29</v>
      </c>
      <c r="S294" s="46"/>
      <c r="T294" s="45" t="s">
        <v>851</v>
      </c>
      <c r="U294" s="45"/>
      <c r="V294" s="38"/>
      <c r="W294" s="39">
        <f t="shared" si="4"/>
        <v>261</v>
      </c>
    </row>
    <row r="295" spans="1:23" ht="39.4" customHeight="1">
      <c r="A295" s="203">
        <v>44083</v>
      </c>
      <c r="B295" s="108" t="s">
        <v>63</v>
      </c>
      <c r="C295" s="30" t="s">
        <v>83</v>
      </c>
      <c r="D295" s="31" t="s">
        <v>168</v>
      </c>
      <c r="E295" s="29">
        <v>26</v>
      </c>
      <c r="F295" s="29" t="s">
        <v>79</v>
      </c>
      <c r="G295" s="29" t="s">
        <v>30</v>
      </c>
      <c r="H295" s="29">
        <v>230</v>
      </c>
      <c r="I295" s="183"/>
      <c r="J295" s="29"/>
      <c r="K295" s="140"/>
      <c r="L295" s="46"/>
      <c r="M295" s="46"/>
      <c r="N295" s="46"/>
      <c r="O295" s="46"/>
      <c r="P295" s="45" t="s">
        <v>70</v>
      </c>
      <c r="Q295" s="46" t="s">
        <v>29</v>
      </c>
      <c r="R295" s="46"/>
      <c r="S295" s="46"/>
      <c r="T295" s="45" t="s">
        <v>852</v>
      </c>
      <c r="U295" s="45"/>
      <c r="V295" s="38"/>
      <c r="W295" s="39">
        <f t="shared" si="4"/>
        <v>262</v>
      </c>
    </row>
    <row r="296" spans="1:23" ht="39.4" customHeight="1">
      <c r="A296" s="203">
        <v>44083</v>
      </c>
      <c r="B296" s="108" t="s">
        <v>62</v>
      </c>
      <c r="C296" s="30" t="s">
        <v>90</v>
      </c>
      <c r="D296" s="31" t="s">
        <v>150</v>
      </c>
      <c r="E296" s="29">
        <v>17</v>
      </c>
      <c r="F296" s="29" t="s">
        <v>79</v>
      </c>
      <c r="G296" s="29" t="s">
        <v>31</v>
      </c>
      <c r="H296" s="29">
        <v>120</v>
      </c>
      <c r="I296" s="183"/>
      <c r="J296" s="29"/>
      <c r="K296" s="140"/>
      <c r="L296" s="46"/>
      <c r="M296" s="46"/>
      <c r="N296" s="46"/>
      <c r="O296" s="46" t="s">
        <v>29</v>
      </c>
      <c r="P296" s="45" t="s">
        <v>70</v>
      </c>
      <c r="Q296" s="46"/>
      <c r="R296" s="46"/>
      <c r="S296" s="46"/>
      <c r="T296" s="45" t="s">
        <v>853</v>
      </c>
      <c r="U296" s="45"/>
      <c r="V296" s="38"/>
      <c r="W296" s="39">
        <f t="shared" si="4"/>
        <v>263</v>
      </c>
    </row>
    <row r="297" spans="1:23" ht="39.4" customHeight="1">
      <c r="A297" s="203">
        <v>44083</v>
      </c>
      <c r="B297" s="108" t="s">
        <v>65</v>
      </c>
      <c r="C297" s="30" t="s">
        <v>91</v>
      </c>
      <c r="D297" s="31" t="s">
        <v>162</v>
      </c>
      <c r="E297" s="29">
        <v>23</v>
      </c>
      <c r="F297" s="29" t="s">
        <v>79</v>
      </c>
      <c r="G297" s="29" t="s">
        <v>31</v>
      </c>
      <c r="H297" s="29">
        <v>120</v>
      </c>
      <c r="I297" s="183"/>
      <c r="J297" s="29"/>
      <c r="K297" s="140"/>
      <c r="L297" s="46"/>
      <c r="M297" s="46"/>
      <c r="N297" s="46"/>
      <c r="O297" s="46" t="s">
        <v>29</v>
      </c>
      <c r="P297" s="45" t="s">
        <v>70</v>
      </c>
      <c r="Q297" s="46"/>
      <c r="R297" s="46"/>
      <c r="S297" s="46"/>
      <c r="T297" s="45" t="s">
        <v>854</v>
      </c>
      <c r="U297" s="45"/>
      <c r="V297" s="38"/>
      <c r="W297" s="39">
        <f t="shared" si="4"/>
        <v>264</v>
      </c>
    </row>
    <row r="298" spans="1:23" ht="39.4" customHeight="1">
      <c r="A298" s="203">
        <v>44083</v>
      </c>
      <c r="B298" s="108" t="s">
        <v>66</v>
      </c>
      <c r="C298" s="30" t="s">
        <v>123</v>
      </c>
      <c r="D298" s="31" t="s">
        <v>160</v>
      </c>
      <c r="E298" s="29">
        <v>7</v>
      </c>
      <c r="F298" s="29" t="s">
        <v>124</v>
      </c>
      <c r="G298" s="29" t="s">
        <v>18</v>
      </c>
      <c r="H298" s="29">
        <v>220</v>
      </c>
      <c r="I298" s="183"/>
      <c r="J298" s="29"/>
      <c r="K298" s="140"/>
      <c r="L298" s="46"/>
      <c r="M298" s="46" t="s">
        <v>29</v>
      </c>
      <c r="N298" s="46"/>
      <c r="O298" s="46"/>
      <c r="P298" s="46" t="s">
        <v>29</v>
      </c>
      <c r="Q298" s="46"/>
      <c r="R298" s="46" t="s">
        <v>29</v>
      </c>
      <c r="S298" s="46"/>
      <c r="T298" s="45" t="s">
        <v>855</v>
      </c>
      <c r="U298" s="45"/>
      <c r="V298" s="38"/>
      <c r="W298" s="39">
        <f t="shared" si="4"/>
        <v>265</v>
      </c>
    </row>
    <row r="299" spans="1:23" ht="39.4" customHeight="1">
      <c r="A299" s="203">
        <v>44083</v>
      </c>
      <c r="B299" s="108" t="s">
        <v>273</v>
      </c>
      <c r="C299" s="30" t="s">
        <v>119</v>
      </c>
      <c r="D299" s="31" t="s">
        <v>157</v>
      </c>
      <c r="E299" s="29">
        <v>12</v>
      </c>
      <c r="F299" s="29" t="s">
        <v>67</v>
      </c>
      <c r="G299" s="29" t="s">
        <v>18</v>
      </c>
      <c r="H299" s="29">
        <v>220</v>
      </c>
      <c r="I299" s="183"/>
      <c r="J299" s="29"/>
      <c r="K299" s="140" t="s">
        <v>47</v>
      </c>
      <c r="L299" s="46"/>
      <c r="M299" s="46"/>
      <c r="N299" s="46"/>
      <c r="O299" s="46"/>
      <c r="P299" s="46" t="s">
        <v>29</v>
      </c>
      <c r="Q299" s="46"/>
      <c r="R299" s="46" t="s">
        <v>29</v>
      </c>
      <c r="S299" s="46"/>
      <c r="T299" s="45" t="s">
        <v>856</v>
      </c>
      <c r="U299" s="29"/>
      <c r="V299" s="38"/>
      <c r="W299" s="39">
        <f t="shared" si="4"/>
        <v>266</v>
      </c>
    </row>
    <row r="300" spans="1:23" ht="39.4" customHeight="1">
      <c r="A300" s="203">
        <v>44083</v>
      </c>
      <c r="B300" s="108" t="s">
        <v>275</v>
      </c>
      <c r="C300" s="30" t="s">
        <v>192</v>
      </c>
      <c r="D300" s="31" t="s">
        <v>163</v>
      </c>
      <c r="E300" s="29">
        <v>33</v>
      </c>
      <c r="F300" s="29" t="s">
        <v>53</v>
      </c>
      <c r="G300" s="29" t="s">
        <v>18</v>
      </c>
      <c r="H300" s="29">
        <v>220</v>
      </c>
      <c r="I300" s="183"/>
      <c r="J300" s="29"/>
      <c r="K300" s="140"/>
      <c r="L300" s="46"/>
      <c r="M300" s="46" t="s">
        <v>29</v>
      </c>
      <c r="N300" s="46"/>
      <c r="O300" s="46"/>
      <c r="P300" s="46" t="s">
        <v>29</v>
      </c>
      <c r="Q300" s="46"/>
      <c r="R300" s="46" t="s">
        <v>29</v>
      </c>
      <c r="S300" s="46"/>
      <c r="T300" s="45" t="s">
        <v>857</v>
      </c>
      <c r="U300" s="29"/>
      <c r="V300" s="38"/>
      <c r="W300" s="39">
        <f t="shared" si="4"/>
        <v>267</v>
      </c>
    </row>
    <row r="301" spans="1:23" ht="39.4" customHeight="1">
      <c r="A301" s="204">
        <v>44084</v>
      </c>
      <c r="B301" s="108" t="s">
        <v>54</v>
      </c>
      <c r="C301" s="30" t="s">
        <v>192</v>
      </c>
      <c r="D301" s="31" t="s">
        <v>163</v>
      </c>
      <c r="E301" s="29">
        <v>18</v>
      </c>
      <c r="F301" s="29" t="s">
        <v>53</v>
      </c>
      <c r="G301" s="29" t="s">
        <v>18</v>
      </c>
      <c r="H301" s="29">
        <v>220</v>
      </c>
      <c r="I301" s="183"/>
      <c r="J301" s="29"/>
      <c r="K301" s="140"/>
      <c r="L301" s="46"/>
      <c r="M301" s="46" t="s">
        <v>29</v>
      </c>
      <c r="N301" s="46"/>
      <c r="O301" s="46"/>
      <c r="P301" s="46" t="s">
        <v>29</v>
      </c>
      <c r="Q301" s="46"/>
      <c r="R301" s="46" t="s">
        <v>29</v>
      </c>
      <c r="S301" s="46"/>
      <c r="T301" s="45" t="s">
        <v>858</v>
      </c>
      <c r="U301" s="29"/>
      <c r="V301" s="38"/>
      <c r="W301" s="39">
        <f t="shared" si="4"/>
        <v>267</v>
      </c>
    </row>
    <row r="302" spans="1:23" ht="39.4" customHeight="1">
      <c r="A302" s="203">
        <v>44084</v>
      </c>
      <c r="B302" s="108" t="s">
        <v>55</v>
      </c>
      <c r="C302" s="30" t="s">
        <v>138</v>
      </c>
      <c r="D302" s="31" t="s">
        <v>149</v>
      </c>
      <c r="E302" s="29">
        <v>97</v>
      </c>
      <c r="F302" s="29" t="s">
        <v>67</v>
      </c>
      <c r="G302" s="29" t="s">
        <v>18</v>
      </c>
      <c r="H302" s="29">
        <v>220</v>
      </c>
      <c r="I302" s="183"/>
      <c r="J302" s="29"/>
      <c r="K302" s="140" t="s">
        <v>47</v>
      </c>
      <c r="L302" s="46"/>
      <c r="M302" s="46"/>
      <c r="N302" s="46"/>
      <c r="O302" s="46"/>
      <c r="P302" s="46" t="s">
        <v>29</v>
      </c>
      <c r="Q302" s="46"/>
      <c r="R302" s="46" t="s">
        <v>29</v>
      </c>
      <c r="S302" s="46"/>
      <c r="T302" s="45" t="s">
        <v>859</v>
      </c>
      <c r="U302" s="29"/>
      <c r="V302" s="38"/>
      <c r="W302" s="39">
        <f t="shared" si="4"/>
        <v>268</v>
      </c>
    </row>
    <row r="303" spans="1:23" ht="39.4" customHeight="1">
      <c r="A303" s="203">
        <v>44084</v>
      </c>
      <c r="B303" s="108" t="s">
        <v>56</v>
      </c>
      <c r="C303" s="30" t="s">
        <v>127</v>
      </c>
      <c r="D303" s="31" t="s">
        <v>151</v>
      </c>
      <c r="E303" s="29">
        <v>19</v>
      </c>
      <c r="F303" s="29" t="s">
        <v>79</v>
      </c>
      <c r="G303" s="29" t="s">
        <v>18</v>
      </c>
      <c r="H303" s="29">
        <v>220</v>
      </c>
      <c r="I303" s="183"/>
      <c r="J303" s="29"/>
      <c r="K303" s="140"/>
      <c r="L303" s="46"/>
      <c r="M303" s="46"/>
      <c r="N303" s="46"/>
      <c r="O303" s="46"/>
      <c r="P303" s="45" t="s">
        <v>70</v>
      </c>
      <c r="Q303" s="46" t="s">
        <v>29</v>
      </c>
      <c r="R303" s="46" t="s">
        <v>29</v>
      </c>
      <c r="S303" s="46"/>
      <c r="T303" s="45" t="s">
        <v>860</v>
      </c>
      <c r="U303" s="29"/>
      <c r="V303" s="38"/>
      <c r="W303" s="39">
        <f t="shared" si="4"/>
        <v>269</v>
      </c>
    </row>
    <row r="304" spans="1:23" ht="39.4" customHeight="1">
      <c r="A304" s="203">
        <v>44084</v>
      </c>
      <c r="B304" s="108" t="s">
        <v>57</v>
      </c>
      <c r="C304" s="30" t="s">
        <v>173</v>
      </c>
      <c r="D304" s="31" t="s">
        <v>174</v>
      </c>
      <c r="E304" s="29">
        <v>19</v>
      </c>
      <c r="F304" s="29" t="s">
        <v>79</v>
      </c>
      <c r="G304" s="29" t="s">
        <v>18</v>
      </c>
      <c r="H304" s="29">
        <v>220</v>
      </c>
      <c r="I304" s="183"/>
      <c r="J304" s="29"/>
      <c r="K304" s="140"/>
      <c r="L304" s="46"/>
      <c r="M304" s="46"/>
      <c r="N304" s="46"/>
      <c r="O304" s="46"/>
      <c r="P304" s="45" t="s">
        <v>70</v>
      </c>
      <c r="Q304" s="46" t="s">
        <v>29</v>
      </c>
      <c r="R304" s="46" t="s">
        <v>29</v>
      </c>
      <c r="S304" s="46"/>
      <c r="T304" s="45" t="s">
        <v>861</v>
      </c>
      <c r="U304" s="29"/>
      <c r="V304" s="38"/>
      <c r="W304" s="39">
        <f t="shared" si="4"/>
        <v>270</v>
      </c>
    </row>
    <row r="305" spans="1:23" ht="39.4" customHeight="1">
      <c r="A305" s="203">
        <v>44084</v>
      </c>
      <c r="B305" s="108" t="s">
        <v>58</v>
      </c>
      <c r="C305" s="30" t="s">
        <v>118</v>
      </c>
      <c r="D305" s="31" t="s">
        <v>152</v>
      </c>
      <c r="E305" s="29">
        <v>19</v>
      </c>
      <c r="F305" s="29" t="s">
        <v>79</v>
      </c>
      <c r="G305" s="29" t="s">
        <v>18</v>
      </c>
      <c r="H305" s="29">
        <v>220</v>
      </c>
      <c r="I305" s="183"/>
      <c r="J305" s="29"/>
      <c r="K305" s="140"/>
      <c r="L305" s="46"/>
      <c r="M305" s="46"/>
      <c r="N305" s="46"/>
      <c r="O305" s="46"/>
      <c r="P305" s="45" t="s">
        <v>70</v>
      </c>
      <c r="Q305" s="46" t="s">
        <v>29</v>
      </c>
      <c r="R305" s="46" t="s">
        <v>29</v>
      </c>
      <c r="S305" s="46"/>
      <c r="T305" s="45" t="s">
        <v>862</v>
      </c>
      <c r="U305" s="29"/>
      <c r="V305" s="38"/>
      <c r="W305" s="39">
        <f t="shared" si="4"/>
        <v>271</v>
      </c>
    </row>
    <row r="306" spans="1:23" ht="39.4" customHeight="1">
      <c r="A306" s="203">
        <v>44084</v>
      </c>
      <c r="B306" s="108" t="s">
        <v>59</v>
      </c>
      <c r="C306" s="30" t="s">
        <v>143</v>
      </c>
      <c r="D306" s="31" t="s">
        <v>166</v>
      </c>
      <c r="E306" s="29">
        <v>136</v>
      </c>
      <c r="F306" s="29" t="s">
        <v>79</v>
      </c>
      <c r="G306" s="29" t="s">
        <v>18</v>
      </c>
      <c r="H306" s="29">
        <v>220</v>
      </c>
      <c r="I306" s="183"/>
      <c r="J306" s="29"/>
      <c r="K306" s="140"/>
      <c r="L306" s="46"/>
      <c r="M306" s="46"/>
      <c r="N306" s="46"/>
      <c r="O306" s="46"/>
      <c r="P306" s="45" t="s">
        <v>70</v>
      </c>
      <c r="Q306" s="46" t="s">
        <v>29</v>
      </c>
      <c r="R306" s="46" t="s">
        <v>29</v>
      </c>
      <c r="S306" s="46"/>
      <c r="T306" s="184" t="s">
        <v>863</v>
      </c>
      <c r="U306" s="29"/>
      <c r="V306" s="38"/>
      <c r="W306" s="39">
        <f t="shared" si="4"/>
        <v>272</v>
      </c>
    </row>
    <row r="307" spans="1:23" ht="39.4" customHeight="1">
      <c r="A307" s="205">
        <v>44084</v>
      </c>
      <c r="B307" s="185" t="s">
        <v>60</v>
      </c>
      <c r="C307" s="186" t="s">
        <v>91</v>
      </c>
      <c r="D307" s="187" t="s">
        <v>162</v>
      </c>
      <c r="E307" s="188">
        <v>40</v>
      </c>
      <c r="F307" s="188" t="s">
        <v>79</v>
      </c>
      <c r="G307" s="188" t="s">
        <v>31</v>
      </c>
      <c r="H307" s="188">
        <v>120</v>
      </c>
      <c r="I307" s="189"/>
      <c r="J307" s="188"/>
      <c r="K307" s="190"/>
      <c r="L307" s="191"/>
      <c r="M307" s="191"/>
      <c r="N307" s="191"/>
      <c r="O307" s="191" t="s">
        <v>29</v>
      </c>
      <c r="P307" s="192" t="s">
        <v>70</v>
      </c>
      <c r="Q307" s="191"/>
      <c r="R307" s="191"/>
      <c r="S307" s="191"/>
      <c r="T307" s="192" t="s">
        <v>864</v>
      </c>
      <c r="U307" s="188"/>
      <c r="V307" s="38"/>
      <c r="W307" s="39">
        <f t="shared" si="4"/>
        <v>273</v>
      </c>
    </row>
    <row r="308" spans="1:23" ht="39.4" customHeight="1">
      <c r="A308" s="203">
        <v>44084</v>
      </c>
      <c r="B308" s="108" t="s">
        <v>61</v>
      </c>
      <c r="C308" s="30" t="s">
        <v>123</v>
      </c>
      <c r="D308" s="31" t="s">
        <v>160</v>
      </c>
      <c r="E308" s="29">
        <v>6</v>
      </c>
      <c r="F308" s="29" t="s">
        <v>124</v>
      </c>
      <c r="G308" s="29" t="s">
        <v>18</v>
      </c>
      <c r="H308" s="29">
        <v>220</v>
      </c>
      <c r="I308" s="183"/>
      <c r="J308" s="29"/>
      <c r="K308" s="140"/>
      <c r="L308" s="46"/>
      <c r="M308" s="46" t="s">
        <v>29</v>
      </c>
      <c r="N308" s="46"/>
      <c r="O308" s="46"/>
      <c r="P308" s="46" t="s">
        <v>29</v>
      </c>
      <c r="Q308" s="46"/>
      <c r="R308" s="46" t="s">
        <v>29</v>
      </c>
      <c r="S308" s="46"/>
      <c r="T308" s="45" t="s">
        <v>865</v>
      </c>
      <c r="U308" s="29"/>
      <c r="V308" s="38"/>
      <c r="W308" s="39">
        <f t="shared" si="4"/>
        <v>274</v>
      </c>
    </row>
    <row r="309" spans="1:23" ht="39.4" customHeight="1">
      <c r="A309" s="203">
        <v>44084</v>
      </c>
      <c r="B309" s="108" t="s">
        <v>63</v>
      </c>
      <c r="C309" s="30" t="s">
        <v>750</v>
      </c>
      <c r="D309" s="31" t="s">
        <v>158</v>
      </c>
      <c r="E309" s="29">
        <v>41</v>
      </c>
      <c r="F309" s="29" t="s">
        <v>67</v>
      </c>
      <c r="G309" s="29" t="s">
        <v>41</v>
      </c>
      <c r="H309" s="29">
        <v>230</v>
      </c>
      <c r="I309" s="183"/>
      <c r="J309" s="29"/>
      <c r="K309" s="140"/>
      <c r="L309" s="46"/>
      <c r="M309" s="46"/>
      <c r="N309" s="46"/>
      <c r="O309" s="46"/>
      <c r="P309" s="46"/>
      <c r="Q309" s="46" t="s">
        <v>29</v>
      </c>
      <c r="R309" s="46"/>
      <c r="S309" s="46"/>
      <c r="T309" s="45" t="s">
        <v>866</v>
      </c>
      <c r="U309" s="29"/>
      <c r="V309" s="38"/>
      <c r="W309" s="39">
        <f t="shared" si="4"/>
        <v>275</v>
      </c>
    </row>
    <row r="310" spans="1:23" ht="39.4" customHeight="1">
      <c r="A310" s="203">
        <v>44084</v>
      </c>
      <c r="B310" s="108" t="s">
        <v>62</v>
      </c>
      <c r="C310" s="30" t="s">
        <v>191</v>
      </c>
      <c r="D310" s="31" t="s">
        <v>155</v>
      </c>
      <c r="E310" s="29">
        <v>5</v>
      </c>
      <c r="F310" s="29" t="s">
        <v>67</v>
      </c>
      <c r="G310" s="29" t="s">
        <v>41</v>
      </c>
      <c r="H310" s="29">
        <v>230</v>
      </c>
      <c r="I310" s="183"/>
      <c r="J310" s="29"/>
      <c r="K310" s="140" t="s">
        <v>47</v>
      </c>
      <c r="L310" s="46"/>
      <c r="M310" s="46"/>
      <c r="N310" s="46"/>
      <c r="O310" s="46"/>
      <c r="P310" s="46" t="s">
        <v>29</v>
      </c>
      <c r="Q310" s="46"/>
      <c r="R310" s="46"/>
      <c r="S310" s="46"/>
      <c r="T310" s="45" t="s">
        <v>867</v>
      </c>
      <c r="U310" s="29"/>
      <c r="V310" s="38"/>
      <c r="W310" s="39">
        <f t="shared" si="4"/>
        <v>276</v>
      </c>
    </row>
    <row r="311" spans="1:23" ht="39.4" customHeight="1">
      <c r="A311" s="204">
        <v>44085</v>
      </c>
      <c r="B311" s="108" t="s">
        <v>54</v>
      </c>
      <c r="C311" s="30" t="s">
        <v>191</v>
      </c>
      <c r="D311" s="31" t="s">
        <v>155</v>
      </c>
      <c r="E311" s="29">
        <v>114</v>
      </c>
      <c r="F311" s="29" t="s">
        <v>67</v>
      </c>
      <c r="G311" s="29" t="s">
        <v>41</v>
      </c>
      <c r="H311" s="29">
        <v>230</v>
      </c>
      <c r="I311" s="183"/>
      <c r="J311" s="29"/>
      <c r="K311" s="140" t="s">
        <v>47</v>
      </c>
      <c r="L311" s="46"/>
      <c r="M311" s="46"/>
      <c r="N311" s="46"/>
      <c r="O311" s="46"/>
      <c r="P311" s="46" t="s">
        <v>29</v>
      </c>
      <c r="Q311" s="46"/>
      <c r="R311" s="46"/>
      <c r="S311" s="46"/>
      <c r="T311" s="45" t="s">
        <v>868</v>
      </c>
      <c r="U311" s="29"/>
      <c r="V311" s="38"/>
      <c r="W311" s="39">
        <f t="shared" si="4"/>
        <v>276</v>
      </c>
    </row>
    <row r="312" spans="1:23" ht="39.4" customHeight="1">
      <c r="A312" s="203">
        <v>44085</v>
      </c>
      <c r="B312" s="108" t="s">
        <v>55</v>
      </c>
      <c r="C312" s="30" t="s">
        <v>93</v>
      </c>
      <c r="D312" s="31" t="s">
        <v>159</v>
      </c>
      <c r="E312" s="29">
        <v>40</v>
      </c>
      <c r="F312" s="29" t="s">
        <v>79</v>
      </c>
      <c r="G312" s="29" t="s">
        <v>31</v>
      </c>
      <c r="H312" s="29">
        <v>120</v>
      </c>
      <c r="I312" s="183"/>
      <c r="J312" s="29"/>
      <c r="K312" s="140"/>
      <c r="L312" s="46"/>
      <c r="M312" s="46"/>
      <c r="N312" s="46"/>
      <c r="O312" s="46"/>
      <c r="P312" s="45" t="s">
        <v>70</v>
      </c>
      <c r="Q312" s="46" t="s">
        <v>29</v>
      </c>
      <c r="R312" s="46"/>
      <c r="S312" s="46"/>
      <c r="T312" s="45" t="s">
        <v>869</v>
      </c>
      <c r="U312" s="29"/>
      <c r="V312" s="38"/>
      <c r="W312" s="39">
        <f t="shared" si="4"/>
        <v>277</v>
      </c>
    </row>
    <row r="313" spans="1:23" ht="39.4" customHeight="1">
      <c r="A313" s="203">
        <v>44085</v>
      </c>
      <c r="B313" s="108" t="s">
        <v>56</v>
      </c>
      <c r="C313" s="30" t="s">
        <v>805</v>
      </c>
      <c r="D313" s="31" t="s">
        <v>806</v>
      </c>
      <c r="E313" s="29">
        <v>74</v>
      </c>
      <c r="F313" s="29" t="s">
        <v>79</v>
      </c>
      <c r="G313" s="29" t="s">
        <v>28</v>
      </c>
      <c r="H313" s="29">
        <v>230</v>
      </c>
      <c r="I313" s="183"/>
      <c r="J313" s="29"/>
      <c r="K313" s="140"/>
      <c r="L313" s="46"/>
      <c r="M313" s="46"/>
      <c r="N313" s="46"/>
      <c r="O313" s="46"/>
      <c r="P313" s="45" t="s">
        <v>70</v>
      </c>
      <c r="Q313" s="46" t="s">
        <v>29</v>
      </c>
      <c r="R313" s="46"/>
      <c r="S313" s="46"/>
      <c r="T313" s="45" t="s">
        <v>870</v>
      </c>
      <c r="U313" s="29"/>
      <c r="V313" s="38"/>
      <c r="W313" s="39">
        <f t="shared" si="4"/>
        <v>278</v>
      </c>
    </row>
    <row r="314" spans="1:23" ht="39.4" customHeight="1">
      <c r="A314" s="203">
        <v>44085</v>
      </c>
      <c r="B314" s="108" t="s">
        <v>57</v>
      </c>
      <c r="C314" s="30" t="s">
        <v>91</v>
      </c>
      <c r="D314" s="31" t="s">
        <v>162</v>
      </c>
      <c r="E314" s="29">
        <v>40</v>
      </c>
      <c r="F314" s="29" t="s">
        <v>79</v>
      </c>
      <c r="G314" s="29" t="s">
        <v>31</v>
      </c>
      <c r="H314" s="29">
        <v>120</v>
      </c>
      <c r="I314" s="183"/>
      <c r="J314" s="29"/>
      <c r="K314" s="140"/>
      <c r="L314" s="46"/>
      <c r="M314" s="46"/>
      <c r="N314" s="46"/>
      <c r="O314" s="46" t="s">
        <v>29</v>
      </c>
      <c r="P314" s="45" t="s">
        <v>70</v>
      </c>
      <c r="Q314" s="46"/>
      <c r="R314" s="46"/>
      <c r="S314" s="46"/>
      <c r="T314" s="45" t="s">
        <v>871</v>
      </c>
      <c r="U314" s="29"/>
      <c r="V314" s="38"/>
      <c r="W314" s="39">
        <f t="shared" si="4"/>
        <v>279</v>
      </c>
    </row>
    <row r="315" spans="1:23" ht="39.4" customHeight="1">
      <c r="A315" s="206">
        <v>44085</v>
      </c>
      <c r="B315" s="109" t="s">
        <v>58</v>
      </c>
      <c r="C315" s="34" t="s">
        <v>750</v>
      </c>
      <c r="D315" s="32" t="s">
        <v>158</v>
      </c>
      <c r="E315" s="33">
        <v>52</v>
      </c>
      <c r="F315" s="33" t="s">
        <v>67</v>
      </c>
      <c r="G315" s="33" t="s">
        <v>41</v>
      </c>
      <c r="H315" s="33">
        <v>230</v>
      </c>
      <c r="I315" s="193"/>
      <c r="J315" s="33"/>
      <c r="K315" s="194"/>
      <c r="L315" s="195"/>
      <c r="M315" s="195"/>
      <c r="N315" s="195"/>
      <c r="O315" s="195"/>
      <c r="P315" s="195"/>
      <c r="Q315" s="195" t="s">
        <v>29</v>
      </c>
      <c r="R315" s="195"/>
      <c r="S315" s="195"/>
      <c r="T315" s="92" t="s">
        <v>872</v>
      </c>
      <c r="U315" s="33"/>
      <c r="V315" s="38"/>
      <c r="W315" s="39">
        <f t="shared" si="4"/>
        <v>280</v>
      </c>
    </row>
    <row r="316" spans="1:23" ht="39.950000000000003" customHeight="1">
      <c r="A316" s="133"/>
      <c r="K316" s="197"/>
      <c r="V316" s="38"/>
      <c r="W316" s="39">
        <f t="shared" si="4"/>
        <v>281</v>
      </c>
    </row>
    <row r="317" spans="1:23" ht="39.950000000000003" customHeight="1">
      <c r="A317" s="133"/>
      <c r="V317" s="38"/>
      <c r="W317" s="39">
        <f t="shared" si="4"/>
        <v>281</v>
      </c>
    </row>
    <row r="318" spans="1:23" ht="39.950000000000003" customHeight="1">
      <c r="A318" s="133"/>
      <c r="V318" s="38"/>
      <c r="W318" s="39">
        <f t="shared" si="4"/>
        <v>281</v>
      </c>
    </row>
    <row r="319" spans="1:23" ht="39.950000000000003" customHeight="1">
      <c r="A319" s="133"/>
      <c r="V319" s="38"/>
      <c r="W319" s="39">
        <f t="shared" si="4"/>
        <v>281</v>
      </c>
    </row>
    <row r="320" spans="1:23" ht="39.950000000000003" customHeight="1">
      <c r="A320" s="133"/>
      <c r="V320" s="38"/>
      <c r="W320" s="39">
        <f t="shared" si="4"/>
        <v>281</v>
      </c>
    </row>
    <row r="321" spans="1:23" ht="39.950000000000003" customHeight="1">
      <c r="A321" s="133"/>
      <c r="V321" s="38"/>
      <c r="W321" s="39">
        <f t="shared" si="4"/>
        <v>281</v>
      </c>
    </row>
    <row r="322" spans="1:23" ht="39.950000000000003" customHeight="1">
      <c r="A322" s="133"/>
      <c r="V322" s="38"/>
      <c r="W322" s="39">
        <f t="shared" si="4"/>
        <v>281</v>
      </c>
    </row>
    <row r="323" spans="1:23" ht="39.950000000000003" customHeight="1">
      <c r="A323" s="134"/>
      <c r="V323" s="38"/>
      <c r="W323" s="39">
        <f t="shared" si="4"/>
        <v>281</v>
      </c>
    </row>
    <row r="324" spans="1:23" ht="39.950000000000003" customHeight="1">
      <c r="A324" s="133"/>
      <c r="V324" s="38"/>
      <c r="W324" s="39">
        <f t="shared" si="4"/>
        <v>281</v>
      </c>
    </row>
    <row r="325" spans="1:23" ht="39.950000000000003" customHeight="1">
      <c r="A325" s="133"/>
      <c r="V325" s="38"/>
      <c r="W325" s="39">
        <f t="shared" si="4"/>
        <v>281</v>
      </c>
    </row>
    <row r="326" spans="1:23" ht="39.950000000000003" customHeight="1">
      <c r="A326" s="133"/>
      <c r="V326" s="38"/>
      <c r="W326" s="39">
        <f t="shared" si="4"/>
        <v>281</v>
      </c>
    </row>
    <row r="327" spans="1:23" ht="39.950000000000003" customHeight="1">
      <c r="A327" s="133"/>
      <c r="V327" s="38"/>
      <c r="W327" s="39">
        <f t="shared" si="4"/>
        <v>281</v>
      </c>
    </row>
    <row r="328" spans="1:23" ht="39.950000000000003" customHeight="1">
      <c r="A328" s="133"/>
      <c r="V328" s="38"/>
      <c r="W328" s="39">
        <f t="shared" ref="W328:W391" si="5">IF(C328=C327,W327,W327+1)</f>
        <v>281</v>
      </c>
    </row>
    <row r="329" spans="1:23" ht="39.950000000000003" customHeight="1">
      <c r="A329" s="133"/>
      <c r="V329" s="38"/>
      <c r="W329" s="39">
        <f t="shared" si="5"/>
        <v>281</v>
      </c>
    </row>
    <row r="330" spans="1:23" ht="39.950000000000003" customHeight="1">
      <c r="A330" s="133"/>
      <c r="V330" s="38"/>
      <c r="W330" s="39">
        <f t="shared" si="5"/>
        <v>281</v>
      </c>
    </row>
    <row r="331" spans="1:23" ht="39.950000000000003" customHeight="1">
      <c r="A331" s="133"/>
      <c r="V331" s="38"/>
      <c r="W331" s="39">
        <f t="shared" si="5"/>
        <v>281</v>
      </c>
    </row>
    <row r="332" spans="1:23" ht="39.950000000000003" customHeight="1">
      <c r="A332" s="133"/>
      <c r="V332" s="38"/>
      <c r="W332" s="39">
        <f t="shared" si="5"/>
        <v>281</v>
      </c>
    </row>
    <row r="333" spans="1:23" ht="39.950000000000003" customHeight="1">
      <c r="A333" s="133"/>
      <c r="V333" s="38"/>
      <c r="W333" s="39">
        <f t="shared" si="5"/>
        <v>281</v>
      </c>
    </row>
    <row r="334" spans="1:23" ht="39.950000000000003" customHeight="1">
      <c r="A334" s="133"/>
      <c r="V334" s="38"/>
      <c r="W334" s="39">
        <f t="shared" si="5"/>
        <v>281</v>
      </c>
    </row>
    <row r="335" spans="1:23" ht="39.950000000000003" customHeight="1">
      <c r="A335" s="133"/>
      <c r="V335" s="38"/>
      <c r="W335" s="39">
        <f t="shared" si="5"/>
        <v>281</v>
      </c>
    </row>
    <row r="336" spans="1:23" ht="39.950000000000003" customHeight="1">
      <c r="A336" s="133"/>
      <c r="V336" s="38"/>
      <c r="W336" s="39">
        <f t="shared" si="5"/>
        <v>281</v>
      </c>
    </row>
    <row r="337" spans="1:23" ht="39.950000000000003" customHeight="1">
      <c r="A337" s="133"/>
      <c r="V337" s="38"/>
      <c r="W337" s="39">
        <f t="shared" si="5"/>
        <v>281</v>
      </c>
    </row>
    <row r="338" spans="1:23" ht="39.950000000000003" customHeight="1">
      <c r="A338" s="134"/>
      <c r="V338" s="38"/>
      <c r="W338" s="39">
        <f t="shared" si="5"/>
        <v>281</v>
      </c>
    </row>
    <row r="339" spans="1:23" ht="39.950000000000003" customHeight="1">
      <c r="A339" s="133"/>
      <c r="V339" s="38"/>
      <c r="W339" s="39">
        <f t="shared" si="5"/>
        <v>281</v>
      </c>
    </row>
    <row r="340" spans="1:23" ht="39.950000000000003" customHeight="1">
      <c r="A340" s="133"/>
      <c r="V340" s="38"/>
      <c r="W340" s="39">
        <f t="shared" si="5"/>
        <v>281</v>
      </c>
    </row>
    <row r="341" spans="1:23" ht="39.950000000000003" customHeight="1">
      <c r="A341" s="133"/>
      <c r="V341" s="38"/>
      <c r="W341" s="39">
        <f t="shared" si="5"/>
        <v>281</v>
      </c>
    </row>
    <row r="342" spans="1:23" ht="39.950000000000003" customHeight="1">
      <c r="A342" s="133"/>
      <c r="V342" s="38"/>
      <c r="W342" s="39">
        <f t="shared" si="5"/>
        <v>281</v>
      </c>
    </row>
    <row r="343" spans="1:23" ht="39.950000000000003" customHeight="1">
      <c r="A343" s="133"/>
      <c r="V343" s="38"/>
      <c r="W343" s="39">
        <f t="shared" si="5"/>
        <v>281</v>
      </c>
    </row>
    <row r="344" spans="1:23" ht="39.950000000000003" customHeight="1">
      <c r="A344" s="133"/>
      <c r="V344" s="38"/>
      <c r="W344" s="39">
        <f t="shared" si="5"/>
        <v>281</v>
      </c>
    </row>
    <row r="345" spans="1:23" ht="39.950000000000003" customHeight="1">
      <c r="A345" s="133"/>
      <c r="V345" s="38"/>
      <c r="W345" s="39">
        <f t="shared" si="5"/>
        <v>281</v>
      </c>
    </row>
    <row r="346" spans="1:23" ht="39.950000000000003" customHeight="1">
      <c r="A346" s="133"/>
      <c r="V346" s="38"/>
      <c r="W346" s="39">
        <f t="shared" si="5"/>
        <v>281</v>
      </c>
    </row>
    <row r="347" spans="1:23" ht="39.950000000000003" customHeight="1">
      <c r="A347" s="133"/>
      <c r="V347" s="38"/>
      <c r="W347" s="39">
        <f t="shared" si="5"/>
        <v>281</v>
      </c>
    </row>
    <row r="348" spans="1:23" ht="39.950000000000003" customHeight="1">
      <c r="A348" s="133"/>
      <c r="V348" s="38"/>
      <c r="W348" s="39">
        <f t="shared" si="5"/>
        <v>281</v>
      </c>
    </row>
    <row r="349" spans="1:23" ht="39.950000000000003" customHeight="1">
      <c r="A349" s="133"/>
      <c r="V349" s="38"/>
      <c r="W349" s="39">
        <f t="shared" si="5"/>
        <v>281</v>
      </c>
    </row>
    <row r="350" spans="1:23" ht="39.950000000000003" customHeight="1">
      <c r="A350" s="133"/>
      <c r="V350" s="38"/>
      <c r="W350" s="39">
        <f t="shared" si="5"/>
        <v>281</v>
      </c>
    </row>
    <row r="351" spans="1:23" ht="39.950000000000003" customHeight="1">
      <c r="A351" s="134"/>
      <c r="V351" s="38"/>
      <c r="W351" s="39">
        <f t="shared" si="5"/>
        <v>281</v>
      </c>
    </row>
    <row r="352" spans="1:23" ht="39.950000000000003" customHeight="1">
      <c r="A352" s="133"/>
      <c r="V352" s="38"/>
      <c r="W352" s="39">
        <f t="shared" si="5"/>
        <v>281</v>
      </c>
    </row>
    <row r="353" spans="1:23" ht="39.950000000000003" customHeight="1">
      <c r="A353" s="133"/>
      <c r="V353" s="38"/>
      <c r="W353" s="39">
        <f t="shared" si="5"/>
        <v>281</v>
      </c>
    </row>
    <row r="354" spans="1:23" ht="39.950000000000003" customHeight="1">
      <c r="A354" s="133"/>
      <c r="V354" s="38"/>
      <c r="W354" s="39">
        <f t="shared" si="5"/>
        <v>281</v>
      </c>
    </row>
    <row r="355" spans="1:23" ht="39.950000000000003" customHeight="1">
      <c r="A355" s="133"/>
      <c r="V355" s="38"/>
      <c r="W355" s="39">
        <f t="shared" si="5"/>
        <v>281</v>
      </c>
    </row>
    <row r="356" spans="1:23" ht="39.950000000000003" customHeight="1">
      <c r="A356" s="133"/>
      <c r="V356" s="38"/>
      <c r="W356" s="39">
        <f t="shared" si="5"/>
        <v>281</v>
      </c>
    </row>
    <row r="357" spans="1:23" ht="39.950000000000003" customHeight="1">
      <c r="A357" s="133"/>
      <c r="V357" s="38"/>
      <c r="W357" s="39">
        <f t="shared" si="5"/>
        <v>281</v>
      </c>
    </row>
    <row r="358" spans="1:23" ht="39.950000000000003" customHeight="1">
      <c r="A358" s="133"/>
      <c r="V358" s="38"/>
      <c r="W358" s="39">
        <f t="shared" si="5"/>
        <v>281</v>
      </c>
    </row>
    <row r="359" spans="1:23" ht="39.950000000000003" customHeight="1">
      <c r="A359" s="133"/>
      <c r="V359" s="38"/>
      <c r="W359" s="39">
        <f t="shared" si="5"/>
        <v>281</v>
      </c>
    </row>
    <row r="360" spans="1:23" ht="39.950000000000003" customHeight="1">
      <c r="A360" s="133"/>
      <c r="V360" s="38"/>
      <c r="W360" s="39">
        <f t="shared" si="5"/>
        <v>281</v>
      </c>
    </row>
    <row r="361" spans="1:23" ht="39.950000000000003" customHeight="1">
      <c r="A361" s="133"/>
      <c r="V361" s="38"/>
      <c r="W361" s="39">
        <f t="shared" si="5"/>
        <v>281</v>
      </c>
    </row>
    <row r="362" spans="1:23" ht="39.950000000000003" customHeight="1">
      <c r="A362" s="133"/>
      <c r="V362" s="38"/>
      <c r="W362" s="39">
        <f t="shared" si="5"/>
        <v>281</v>
      </c>
    </row>
    <row r="363" spans="1:23" ht="39.950000000000003" customHeight="1">
      <c r="A363" s="133"/>
      <c r="V363" s="38"/>
      <c r="W363" s="39">
        <f t="shared" si="5"/>
        <v>281</v>
      </c>
    </row>
    <row r="364" spans="1:23" ht="39.950000000000003" customHeight="1">
      <c r="A364" s="133"/>
      <c r="V364" s="38"/>
      <c r="W364" s="39">
        <f t="shared" si="5"/>
        <v>281</v>
      </c>
    </row>
    <row r="365" spans="1:23" ht="39.950000000000003" customHeight="1">
      <c r="A365" s="134"/>
      <c r="V365" s="38"/>
      <c r="W365" s="39">
        <f t="shared" si="5"/>
        <v>281</v>
      </c>
    </row>
    <row r="366" spans="1:23" ht="39.950000000000003" customHeight="1">
      <c r="A366" s="133"/>
      <c r="V366" s="38"/>
      <c r="W366" s="39">
        <f t="shared" si="5"/>
        <v>281</v>
      </c>
    </row>
    <row r="367" spans="1:23" ht="39.950000000000003" customHeight="1">
      <c r="A367" s="133"/>
      <c r="V367" s="38"/>
      <c r="W367" s="39">
        <f t="shared" si="5"/>
        <v>281</v>
      </c>
    </row>
    <row r="368" spans="1:23" ht="39.950000000000003" customHeight="1">
      <c r="A368" s="133"/>
      <c r="V368" s="38"/>
      <c r="W368" s="39">
        <f t="shared" si="5"/>
        <v>281</v>
      </c>
    </row>
    <row r="369" spans="1:23" ht="39.950000000000003" customHeight="1">
      <c r="A369" s="133"/>
      <c r="V369" s="38"/>
      <c r="W369" s="39">
        <f t="shared" si="5"/>
        <v>281</v>
      </c>
    </row>
    <row r="370" spans="1:23" ht="39.950000000000003" customHeight="1">
      <c r="A370" s="133"/>
      <c r="V370" s="38"/>
      <c r="W370" s="39">
        <f t="shared" si="5"/>
        <v>281</v>
      </c>
    </row>
    <row r="371" spans="1:23" ht="39.950000000000003" customHeight="1">
      <c r="A371" s="133"/>
      <c r="V371" s="38"/>
      <c r="W371" s="39">
        <f t="shared" si="5"/>
        <v>281</v>
      </c>
    </row>
    <row r="372" spans="1:23" ht="39.950000000000003" customHeight="1">
      <c r="A372" s="133"/>
      <c r="V372" s="38"/>
      <c r="W372" s="39">
        <f t="shared" si="5"/>
        <v>281</v>
      </c>
    </row>
    <row r="373" spans="1:23" ht="39.950000000000003" customHeight="1">
      <c r="A373" s="134"/>
      <c r="V373" s="38"/>
      <c r="W373" s="39">
        <f t="shared" si="5"/>
        <v>281</v>
      </c>
    </row>
    <row r="374" spans="1:23" ht="39.950000000000003" customHeight="1">
      <c r="A374" s="133"/>
      <c r="V374" s="38"/>
      <c r="W374" s="39">
        <f t="shared" si="5"/>
        <v>281</v>
      </c>
    </row>
    <row r="375" spans="1:23" ht="39.950000000000003" customHeight="1">
      <c r="A375" s="133"/>
      <c r="V375" s="38"/>
      <c r="W375" s="39">
        <f t="shared" si="5"/>
        <v>281</v>
      </c>
    </row>
    <row r="376" spans="1:23" ht="39.950000000000003" customHeight="1">
      <c r="A376" s="133"/>
      <c r="V376" s="38"/>
      <c r="W376" s="39">
        <f t="shared" si="5"/>
        <v>281</v>
      </c>
    </row>
    <row r="377" spans="1:23" ht="39.950000000000003" customHeight="1">
      <c r="A377" s="133"/>
      <c r="V377" s="38"/>
      <c r="W377" s="39">
        <f t="shared" si="5"/>
        <v>281</v>
      </c>
    </row>
    <row r="378" spans="1:23" ht="39.950000000000003" customHeight="1">
      <c r="A378" s="133"/>
      <c r="V378" s="38"/>
      <c r="W378" s="39">
        <f t="shared" si="5"/>
        <v>281</v>
      </c>
    </row>
    <row r="379" spans="1:23" ht="39.950000000000003" customHeight="1">
      <c r="A379" s="133"/>
      <c r="V379" s="38"/>
      <c r="W379" s="39">
        <f t="shared" si="5"/>
        <v>281</v>
      </c>
    </row>
    <row r="380" spans="1:23" ht="39.950000000000003" customHeight="1">
      <c r="A380" s="133"/>
      <c r="V380" s="38"/>
      <c r="W380" s="39">
        <f t="shared" si="5"/>
        <v>281</v>
      </c>
    </row>
    <row r="381" spans="1:23" ht="39.950000000000003" customHeight="1">
      <c r="A381" s="133"/>
      <c r="V381" s="38"/>
      <c r="W381" s="39">
        <f t="shared" si="5"/>
        <v>281</v>
      </c>
    </row>
    <row r="382" spans="1:23" ht="39.950000000000003" customHeight="1">
      <c r="A382" s="133"/>
      <c r="V382" s="38"/>
      <c r="W382" s="39">
        <f t="shared" si="5"/>
        <v>281</v>
      </c>
    </row>
    <row r="383" spans="1:23" ht="39.950000000000003" customHeight="1">
      <c r="A383" s="133"/>
      <c r="V383" s="38"/>
      <c r="W383" s="39">
        <f t="shared" si="5"/>
        <v>281</v>
      </c>
    </row>
    <row r="384" spans="1:23" ht="39.950000000000003" customHeight="1">
      <c r="A384" s="133"/>
      <c r="V384" s="38"/>
      <c r="W384" s="39">
        <f t="shared" si="5"/>
        <v>281</v>
      </c>
    </row>
    <row r="385" spans="1:23" ht="39.950000000000003" customHeight="1">
      <c r="A385" s="134"/>
      <c r="V385" s="38"/>
      <c r="W385" s="39">
        <f t="shared" si="5"/>
        <v>281</v>
      </c>
    </row>
    <row r="386" spans="1:23" ht="39.950000000000003" customHeight="1">
      <c r="A386" s="133"/>
      <c r="V386" s="38"/>
      <c r="W386" s="39">
        <f t="shared" si="5"/>
        <v>281</v>
      </c>
    </row>
    <row r="387" spans="1:23" ht="39.950000000000003" customHeight="1">
      <c r="A387" s="133"/>
      <c r="V387" s="38"/>
      <c r="W387" s="39">
        <f t="shared" si="5"/>
        <v>281</v>
      </c>
    </row>
    <row r="388" spans="1:23" ht="39.950000000000003" customHeight="1">
      <c r="A388" s="133"/>
      <c r="V388" s="38"/>
      <c r="W388" s="39">
        <f t="shared" si="5"/>
        <v>281</v>
      </c>
    </row>
    <row r="389" spans="1:23" ht="39.950000000000003" customHeight="1">
      <c r="A389" s="133"/>
      <c r="V389" s="38"/>
      <c r="W389" s="39">
        <f t="shared" si="5"/>
        <v>281</v>
      </c>
    </row>
    <row r="390" spans="1:23" ht="39.950000000000003" customHeight="1">
      <c r="A390" s="133"/>
      <c r="V390" s="38"/>
      <c r="W390" s="39">
        <f t="shared" si="5"/>
        <v>281</v>
      </c>
    </row>
    <row r="391" spans="1:23" ht="39.950000000000003" customHeight="1">
      <c r="A391" s="133"/>
      <c r="V391" s="38"/>
      <c r="W391" s="39">
        <f t="shared" si="5"/>
        <v>281</v>
      </c>
    </row>
    <row r="392" spans="1:23" ht="39.950000000000003" customHeight="1">
      <c r="A392" s="133"/>
      <c r="V392" s="38"/>
      <c r="W392" s="39">
        <f t="shared" ref="W392:W423" si="6">IF(C392=C391,W391,W391+1)</f>
        <v>281</v>
      </c>
    </row>
    <row r="393" spans="1:23" ht="39.950000000000003" customHeight="1">
      <c r="A393" s="133"/>
      <c r="V393" s="38"/>
      <c r="W393" s="39">
        <f t="shared" si="6"/>
        <v>281</v>
      </c>
    </row>
    <row r="394" spans="1:23" ht="39.950000000000003" customHeight="1">
      <c r="A394" s="133"/>
      <c r="V394" s="38"/>
      <c r="W394" s="39">
        <f t="shared" si="6"/>
        <v>281</v>
      </c>
    </row>
    <row r="395" spans="1:23" ht="39.950000000000003" customHeight="1">
      <c r="A395" s="133"/>
      <c r="V395" s="38"/>
      <c r="W395" s="39">
        <f t="shared" si="6"/>
        <v>281</v>
      </c>
    </row>
    <row r="396" spans="1:23" ht="39.950000000000003" customHeight="1">
      <c r="A396" s="133"/>
      <c r="V396" s="38"/>
      <c r="W396" s="39">
        <f t="shared" si="6"/>
        <v>281</v>
      </c>
    </row>
    <row r="397" spans="1:23" ht="39.950000000000003" customHeight="1">
      <c r="A397" s="133"/>
      <c r="V397" s="38"/>
      <c r="W397" s="39">
        <f t="shared" si="6"/>
        <v>281</v>
      </c>
    </row>
    <row r="398" spans="1:23" ht="39.950000000000003" customHeight="1">
      <c r="A398" s="133"/>
      <c r="V398" s="38"/>
      <c r="W398" s="39">
        <f t="shared" si="6"/>
        <v>281</v>
      </c>
    </row>
    <row r="399" spans="1:23" ht="39.950000000000003" customHeight="1">
      <c r="A399" s="134"/>
      <c r="V399" s="38"/>
      <c r="W399" s="39">
        <f t="shared" si="6"/>
        <v>281</v>
      </c>
    </row>
    <row r="400" spans="1:23" ht="39.950000000000003" customHeight="1">
      <c r="A400" s="133"/>
      <c r="V400" s="38"/>
      <c r="W400" s="39">
        <f t="shared" si="6"/>
        <v>281</v>
      </c>
    </row>
    <row r="401" spans="1:23" ht="39.950000000000003" customHeight="1">
      <c r="A401" s="133"/>
      <c r="V401" s="38"/>
      <c r="W401" s="39">
        <f t="shared" si="6"/>
        <v>281</v>
      </c>
    </row>
    <row r="402" spans="1:23" ht="39.950000000000003" customHeight="1">
      <c r="A402" s="133"/>
      <c r="V402" s="38"/>
      <c r="W402" s="39">
        <f t="shared" si="6"/>
        <v>281</v>
      </c>
    </row>
    <row r="403" spans="1:23" ht="39.950000000000003" customHeight="1">
      <c r="A403" s="133"/>
      <c r="V403" s="38"/>
      <c r="W403" s="39">
        <f t="shared" si="6"/>
        <v>281</v>
      </c>
    </row>
    <row r="404" spans="1:23" ht="39.950000000000003" customHeight="1">
      <c r="A404" s="133"/>
      <c r="V404" s="38"/>
      <c r="W404" s="39">
        <f t="shared" si="6"/>
        <v>281</v>
      </c>
    </row>
    <row r="405" spans="1:23" ht="39.950000000000003" customHeight="1">
      <c r="A405" s="133"/>
      <c r="V405" s="38"/>
      <c r="W405" s="39">
        <f t="shared" si="6"/>
        <v>281</v>
      </c>
    </row>
    <row r="406" spans="1:23" ht="39.950000000000003" customHeight="1">
      <c r="A406" s="133"/>
      <c r="V406" s="38"/>
      <c r="W406" s="39">
        <f t="shared" si="6"/>
        <v>281</v>
      </c>
    </row>
    <row r="407" spans="1:23" ht="39.950000000000003" customHeight="1">
      <c r="A407" s="133"/>
      <c r="V407" s="38"/>
      <c r="W407" s="39">
        <f t="shared" si="6"/>
        <v>281</v>
      </c>
    </row>
    <row r="408" spans="1:23" ht="39.950000000000003" customHeight="1">
      <c r="A408" s="133"/>
      <c r="V408" s="38"/>
      <c r="W408" s="39">
        <f t="shared" si="6"/>
        <v>281</v>
      </c>
    </row>
    <row r="409" spans="1:23" ht="39.950000000000003" customHeight="1">
      <c r="A409" s="133"/>
      <c r="V409" s="38"/>
      <c r="W409" s="39">
        <f t="shared" si="6"/>
        <v>281</v>
      </c>
    </row>
    <row r="410" spans="1:23" ht="39.950000000000003" customHeight="1">
      <c r="A410" s="133"/>
      <c r="V410" s="38"/>
      <c r="W410" s="39">
        <f t="shared" si="6"/>
        <v>281</v>
      </c>
    </row>
    <row r="411" spans="1:23" ht="39.950000000000003" customHeight="1">
      <c r="A411" s="133"/>
      <c r="V411" s="38"/>
      <c r="W411" s="39">
        <f t="shared" si="6"/>
        <v>281</v>
      </c>
    </row>
    <row r="412" spans="1:23" ht="39.950000000000003" customHeight="1">
      <c r="A412" s="133"/>
      <c r="V412" s="38"/>
      <c r="W412" s="39">
        <f t="shared" si="6"/>
        <v>281</v>
      </c>
    </row>
    <row r="413" spans="1:23" ht="39.950000000000003" customHeight="1">
      <c r="A413" s="133"/>
      <c r="V413" s="38"/>
      <c r="W413" s="39">
        <f t="shared" si="6"/>
        <v>281</v>
      </c>
    </row>
    <row r="414" spans="1:23" ht="39.950000000000003" customHeight="1">
      <c r="A414" s="133"/>
      <c r="V414" s="38"/>
      <c r="W414" s="39">
        <f t="shared" si="6"/>
        <v>281</v>
      </c>
    </row>
    <row r="415" spans="1:23" ht="39.950000000000003" customHeight="1">
      <c r="A415" s="134"/>
      <c r="V415" s="38"/>
      <c r="W415" s="39">
        <f t="shared" si="6"/>
        <v>281</v>
      </c>
    </row>
    <row r="416" spans="1:23" ht="39.950000000000003" customHeight="1">
      <c r="A416" s="133"/>
      <c r="V416" s="38"/>
      <c r="W416" s="39">
        <f t="shared" si="6"/>
        <v>281</v>
      </c>
    </row>
    <row r="417" spans="1:23" ht="39.950000000000003" customHeight="1">
      <c r="A417" s="133"/>
      <c r="V417" s="38"/>
      <c r="W417" s="39">
        <f t="shared" si="6"/>
        <v>281</v>
      </c>
    </row>
    <row r="418" spans="1:23" ht="39.950000000000003" customHeight="1">
      <c r="A418" s="133"/>
      <c r="V418" s="38"/>
      <c r="W418" s="39">
        <f t="shared" si="6"/>
        <v>281</v>
      </c>
    </row>
    <row r="419" spans="1:23" ht="39.950000000000003" customHeight="1">
      <c r="A419" s="133"/>
      <c r="V419" s="38"/>
      <c r="W419" s="39">
        <f t="shared" si="6"/>
        <v>281</v>
      </c>
    </row>
    <row r="420" spans="1:23" ht="39.950000000000003" customHeight="1">
      <c r="A420" s="133"/>
      <c r="V420" s="38"/>
      <c r="W420" s="39">
        <f t="shared" si="6"/>
        <v>281</v>
      </c>
    </row>
    <row r="421" spans="1:23" ht="39.950000000000003" customHeight="1">
      <c r="A421" s="133"/>
      <c r="V421" s="38"/>
      <c r="W421" s="39">
        <f t="shared" si="6"/>
        <v>281</v>
      </c>
    </row>
    <row r="422" spans="1:23" ht="39.950000000000003" customHeight="1">
      <c r="A422" s="133"/>
      <c r="V422" s="38"/>
      <c r="W422" s="39">
        <f t="shared" si="6"/>
        <v>281</v>
      </c>
    </row>
    <row r="423" spans="1:23" ht="39.950000000000003" customHeight="1">
      <c r="A423" s="133"/>
      <c r="V423" s="38"/>
      <c r="W423" s="39">
        <f t="shared" si="6"/>
        <v>281</v>
      </c>
    </row>
    <row r="424" spans="1:23" ht="20.25" customHeight="1">
      <c r="A424" s="133"/>
      <c r="V424" s="38"/>
    </row>
    <row r="425" spans="1:23" ht="20.25" customHeight="1">
      <c r="A425" s="133"/>
      <c r="V425" s="38"/>
    </row>
    <row r="426" spans="1:23" ht="20.25" customHeight="1">
      <c r="A426" s="133"/>
      <c r="V426" s="38"/>
    </row>
    <row r="427" spans="1:23" ht="20.25" customHeight="1">
      <c r="A427" s="133"/>
      <c r="V427" s="38"/>
    </row>
    <row r="428" spans="1:23" ht="20.25" customHeight="1">
      <c r="A428" s="133"/>
      <c r="V428" s="38"/>
    </row>
    <row r="429" spans="1:23" ht="20.25" customHeight="1">
      <c r="A429" s="133"/>
      <c r="V429" s="38"/>
    </row>
    <row r="430" spans="1:23" ht="20.25" customHeight="1">
      <c r="A430" s="133"/>
      <c r="V430" s="38"/>
    </row>
    <row r="431" spans="1:23" ht="20.25" customHeight="1">
      <c r="A431" s="133"/>
      <c r="V431" s="38"/>
    </row>
    <row r="432" spans="1:23" ht="20.25" customHeight="1">
      <c r="A432" s="133"/>
      <c r="V432" s="38"/>
    </row>
    <row r="433" spans="1:22" ht="20.25" customHeight="1">
      <c r="A433" s="133"/>
      <c r="V433" s="38"/>
    </row>
    <row r="434" spans="1:22" ht="20.25" customHeight="1">
      <c r="A434" s="133"/>
      <c r="V434" s="38"/>
    </row>
    <row r="435" spans="1:22" ht="20.25" customHeight="1">
      <c r="A435" s="133"/>
      <c r="V435" s="38"/>
    </row>
    <row r="436" spans="1:22" ht="20.25" customHeight="1">
      <c r="A436" s="133"/>
      <c r="V436" s="38"/>
    </row>
    <row r="437" spans="1:22" ht="20.25" customHeight="1">
      <c r="A437" s="134"/>
      <c r="V437" s="38"/>
    </row>
    <row r="438" spans="1:22" ht="20.25" customHeight="1">
      <c r="A438" s="133"/>
      <c r="V438" s="38"/>
    </row>
    <row r="439" spans="1:22" ht="20.25" customHeight="1">
      <c r="A439" s="133"/>
      <c r="V439" s="38"/>
    </row>
    <row r="440" spans="1:22" ht="20.25" customHeight="1">
      <c r="A440" s="133"/>
      <c r="V440" s="38"/>
    </row>
    <row r="441" spans="1:22" ht="20.25" customHeight="1">
      <c r="A441" s="133"/>
      <c r="V441" s="38"/>
    </row>
    <row r="442" spans="1:22" ht="20.25" customHeight="1">
      <c r="A442" s="133"/>
      <c r="V442" s="38"/>
    </row>
    <row r="443" spans="1:22" ht="20.25" customHeight="1">
      <c r="A443" s="133"/>
      <c r="V443" s="38"/>
    </row>
    <row r="444" spans="1:22" ht="20.25" customHeight="1">
      <c r="A444" s="133"/>
      <c r="V444" s="38"/>
    </row>
    <row r="445" spans="1:22" ht="20.25" customHeight="1">
      <c r="A445" s="133"/>
      <c r="V445" s="38"/>
    </row>
    <row r="446" spans="1:22" ht="20.25" customHeight="1">
      <c r="A446" s="133"/>
      <c r="V446" s="38"/>
    </row>
    <row r="447" spans="1:22" ht="20.25" customHeight="1">
      <c r="A447" s="133"/>
      <c r="V447" s="38"/>
    </row>
    <row r="448" spans="1:22" ht="20.25" customHeight="1">
      <c r="A448" s="134"/>
      <c r="V448" s="38"/>
    </row>
    <row r="449" spans="1:22" ht="20.25" customHeight="1">
      <c r="A449" s="133"/>
      <c r="V449" s="38"/>
    </row>
    <row r="450" spans="1:22" ht="20.25" customHeight="1">
      <c r="A450" s="133"/>
      <c r="V450" s="38"/>
    </row>
    <row r="451" spans="1:22" ht="20.25" customHeight="1">
      <c r="A451" s="47"/>
      <c r="V451" s="38"/>
    </row>
    <row r="452" spans="1:22" ht="20.25" customHeight="1">
      <c r="A452" s="47"/>
      <c r="V452" s="38"/>
    </row>
    <row r="453" spans="1:22" ht="20.25" customHeight="1">
      <c r="A453" s="47"/>
      <c r="V453" s="38"/>
    </row>
    <row r="454" spans="1:22" ht="20.25" customHeight="1">
      <c r="A454" s="47"/>
      <c r="V454" s="38"/>
    </row>
    <row r="455" spans="1:22" ht="20.25" customHeight="1">
      <c r="A455" s="47"/>
      <c r="V455" s="38"/>
    </row>
    <row r="456" spans="1:22" ht="20.25" customHeight="1">
      <c r="A456" s="47"/>
      <c r="V456" s="38"/>
    </row>
    <row r="457" spans="1:22" ht="20.25" customHeight="1">
      <c r="A457" s="47"/>
      <c r="V457" s="38"/>
    </row>
    <row r="458" spans="1:22" ht="20.25" customHeight="1">
      <c r="A458" s="47"/>
      <c r="V458" s="38"/>
    </row>
    <row r="459" spans="1:22" ht="20.25" customHeight="1">
      <c r="A459" s="47"/>
      <c r="V459" s="38"/>
    </row>
    <row r="460" spans="1:22" ht="20.25" customHeight="1">
      <c r="A460" s="47"/>
      <c r="V460" s="38"/>
    </row>
    <row r="461" spans="1:22" ht="20.25" customHeight="1">
      <c r="A461" s="47"/>
      <c r="V461" s="38"/>
    </row>
    <row r="462" spans="1:22" ht="20.25" customHeight="1">
      <c r="A462" s="47"/>
      <c r="V462" s="38"/>
    </row>
    <row r="463" spans="1:22" ht="20.25" customHeight="1">
      <c r="A463" s="104"/>
      <c r="V463" s="38"/>
    </row>
    <row r="464" spans="1:22" ht="20.25" customHeight="1">
      <c r="A464" s="47"/>
      <c r="V464" s="38"/>
    </row>
    <row r="465" spans="1:22" ht="20.25" customHeight="1">
      <c r="A465" s="47"/>
      <c r="V465" s="38"/>
    </row>
    <row r="466" spans="1:22" ht="20.25" customHeight="1">
      <c r="A466" s="47"/>
      <c r="V466" s="38"/>
    </row>
    <row r="467" spans="1:22" ht="20.25" customHeight="1">
      <c r="A467" s="47"/>
      <c r="V467" s="38"/>
    </row>
    <row r="468" spans="1:22" ht="20.25" customHeight="1">
      <c r="A468" s="47"/>
      <c r="V468" s="38"/>
    </row>
    <row r="469" spans="1:22" ht="20.25" customHeight="1">
      <c r="A469" s="47"/>
      <c r="V469" s="38"/>
    </row>
    <row r="470" spans="1:22" ht="20.25" customHeight="1">
      <c r="A470" s="47"/>
      <c r="V470" s="38"/>
    </row>
    <row r="471" spans="1:22" ht="20.25" customHeight="1">
      <c r="A471" s="47"/>
      <c r="V471" s="38"/>
    </row>
    <row r="472" spans="1:22" ht="20.25" customHeight="1">
      <c r="A472" s="47"/>
      <c r="V472" s="38"/>
    </row>
    <row r="473" spans="1:22" ht="20.25" customHeight="1">
      <c r="A473" s="47"/>
      <c r="V473" s="38"/>
    </row>
  </sheetData>
  <autoFilter ref="A6:AB473"/>
  <mergeCells count="20">
    <mergeCell ref="AA3:AA4"/>
    <mergeCell ref="U5:U6"/>
    <mergeCell ref="A5:A6"/>
    <mergeCell ref="B5:B6"/>
    <mergeCell ref="C5:C6"/>
    <mergeCell ref="D5:D6"/>
    <mergeCell ref="E5:E6"/>
    <mergeCell ref="F5:F6"/>
    <mergeCell ref="G5:G6"/>
    <mergeCell ref="R5:R6"/>
    <mergeCell ref="S5:S6"/>
    <mergeCell ref="T5:T6"/>
    <mergeCell ref="H5:H6"/>
    <mergeCell ref="I5:I6"/>
    <mergeCell ref="J5:J6"/>
    <mergeCell ref="K5:O5"/>
    <mergeCell ref="P5:P6"/>
    <mergeCell ref="Q5:Q6"/>
    <mergeCell ref="Y3:Y4"/>
    <mergeCell ref="Z3:Z4"/>
  </mergeCells>
  <conditionalFormatting sqref="C7:E19 C21:E27 C20:D20 C29:E34 C28:D28 C36:E1048576 C35:D35">
    <cfRule type="expression" dxfId="23" priority="11">
      <formula>MOD($W7,2)=0</formula>
    </cfRule>
  </conditionalFormatting>
  <conditionalFormatting sqref="A7:U19 A21:U27 A20:D20 F20:U20 A29:U34 A28:D28 F28:U28 A36:U1048576 A35:D35 F35:U35">
    <cfRule type="expression" dxfId="22" priority="10">
      <formula>$V7="OK"</formula>
    </cfRule>
    <cfRule type="expression" dxfId="21" priority="12">
      <formula>OR($B7="1",$B7=1)</formula>
    </cfRule>
  </conditionalFormatting>
  <conditionalFormatting sqref="E20">
    <cfRule type="expression" dxfId="20" priority="8">
      <formula>MOD($W20,2)=0</formula>
    </cfRule>
  </conditionalFormatting>
  <conditionalFormatting sqref="E20">
    <cfRule type="expression" dxfId="19" priority="7">
      <formula>$V20="OK"</formula>
    </cfRule>
    <cfRule type="expression" dxfId="18" priority="9">
      <formula>OR($B20="1",$B20=1)</formula>
    </cfRule>
  </conditionalFormatting>
  <conditionalFormatting sqref="E28">
    <cfRule type="expression" dxfId="17" priority="5">
      <formula>MOD($W28,2)=0</formula>
    </cfRule>
  </conditionalFormatting>
  <conditionalFormatting sqref="E28">
    <cfRule type="expression" dxfId="16" priority="4">
      <formula>$V28="OK"</formula>
    </cfRule>
    <cfRule type="expression" dxfId="15" priority="6">
      <formula>OR($B28="1",$B28=1)</formula>
    </cfRule>
  </conditionalFormatting>
  <conditionalFormatting sqref="E35">
    <cfRule type="expression" dxfId="14" priority="2">
      <formula>MOD($W35,2)=0</formula>
    </cfRule>
  </conditionalFormatting>
  <conditionalFormatting sqref="E35">
    <cfRule type="expression" dxfId="13" priority="1">
      <formula>$V35="OK"</formula>
    </cfRule>
    <cfRule type="expression" dxfId="12" priority="3">
      <formula>OR($B35="1",$B35=1)</formula>
    </cfRule>
  </conditionalFormatting>
  <hyperlinks>
    <hyperlink ref="Y8" r:id="rId1"/>
  </hyperlinks>
  <pageMargins left="0.5" right="0.2" top="0.52" bottom="0.3" header="0.36" footer="0.3"/>
  <pageSetup paperSize="9" scale="34" fitToHeight="6" orientation="portrait" cellComments="asDisplayed" r:id="rId2"/>
  <headerFooter>
    <oddHeader>&amp;CPage &amp;P of &amp;N&amp;R&amp;A</oddHeader>
  </headerFooter>
  <rowBreaks count="5" manualBreakCount="5">
    <brk id="85" max="16383" man="1"/>
    <brk id="138" max="16383" man="1"/>
    <brk id="193" max="16383" man="1"/>
    <brk id="247" max="16383" man="1"/>
    <brk id="300" max="16383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4753" r:id="rId5" name="Button 1">
              <controlPr defaultSize="0" print="0" autoFill="0" autoPict="0" macro="[0]!Get_PAD_DATA">
                <anchor moveWithCells="1" sizeWithCells="1">
                  <from>
                    <xdr:col>24</xdr:col>
                    <xdr:colOff>57150</xdr:colOff>
                    <xdr:row>6</xdr:row>
                    <xdr:rowOff>0</xdr:rowOff>
                  </from>
                  <to>
                    <xdr:col>25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4" r:id="rId6" name="Button 2">
              <controlPr defaultSize="0" print="0" autoFill="0" autoPict="0" macro="[0]!ClearData">
                <anchor moveWithCells="1" sizeWithCells="1">
                  <from>
                    <xdr:col>24</xdr:col>
                    <xdr:colOff>76200</xdr:colOff>
                    <xdr:row>6</xdr:row>
                    <xdr:rowOff>0</xdr:rowOff>
                  </from>
                  <to>
                    <xdr:col>25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5" r:id="rId7" name="Button 3">
              <controlPr defaultSize="0" print="0" autoFill="0" autoPict="0" macro="[0]!MakeBodyNo">
                <anchor moveWithCells="1" sizeWithCells="1">
                  <from>
                    <xdr:col>24</xdr:col>
                    <xdr:colOff>57150</xdr:colOff>
                    <xdr:row>6</xdr:row>
                    <xdr:rowOff>0</xdr:rowOff>
                  </from>
                  <to>
                    <xdr:col>25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6" r:id="rId8" name="Button 4">
              <controlPr defaultSize="0" print="0" autoFill="0" autoPict="0" macro="[0]!Get_PAD_DATA">
                <anchor>
                  <from>
                    <xdr:col>24</xdr:col>
                    <xdr:colOff>0</xdr:colOff>
                    <xdr:row>100</xdr:row>
                    <xdr:rowOff>76200</xdr:rowOff>
                  </from>
                  <to>
                    <xdr:col>25</xdr:col>
                    <xdr:colOff>304800</xdr:colOff>
                    <xdr:row>101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7" r:id="rId9" name="Button 5">
              <controlPr defaultSize="0" print="0" autoFill="0" autoPict="0" macro="[0]!ClearData">
                <anchor>
                  <from>
                    <xdr:col>24</xdr:col>
                    <xdr:colOff>19050</xdr:colOff>
                    <xdr:row>101</xdr:row>
                    <xdr:rowOff>428625</xdr:rowOff>
                  </from>
                  <to>
                    <xdr:col>25</xdr:col>
                    <xdr:colOff>342900</xdr:colOff>
                    <xdr:row>103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8" r:id="rId10" name="Button 6">
              <controlPr defaultSize="0" print="0" autoFill="0" autoPict="0" macro="[0]!MakeBodyNo">
                <anchor>
                  <from>
                    <xdr:col>24</xdr:col>
                    <xdr:colOff>0</xdr:colOff>
                    <xdr:row>103</xdr:row>
                    <xdr:rowOff>238125</xdr:rowOff>
                  </from>
                  <to>
                    <xdr:col>25</xdr:col>
                    <xdr:colOff>323850</xdr:colOff>
                    <xdr:row>105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9" r:id="rId11" name="Button 7">
              <controlPr defaultSize="0" print="0" autoFill="0" autoPict="0" macro="[0]!ClearData">
                <anchor>
                  <from>
                    <xdr:col>23</xdr:col>
                    <xdr:colOff>647700</xdr:colOff>
                    <xdr:row>105</xdr:row>
                    <xdr:rowOff>447675</xdr:rowOff>
                  </from>
                  <to>
                    <xdr:col>25</xdr:col>
                    <xdr:colOff>323850</xdr:colOff>
                    <xdr:row>107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72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4" t="s">
        <v>0</v>
      </c>
      <c r="U2" s="75" t="s">
        <v>1</v>
      </c>
      <c r="V2" s="74" t="s">
        <v>2</v>
      </c>
      <c r="W2" s="74" t="s">
        <v>3</v>
      </c>
    </row>
    <row r="3" spans="1:23" ht="32.25" customHeight="1">
      <c r="A3" s="11" t="s">
        <v>320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61"/>
      <c r="U3" s="462"/>
      <c r="V3" s="461"/>
      <c r="W3" s="85"/>
    </row>
    <row r="4" spans="1:23" ht="30" customHeight="1">
      <c r="A4" s="15" t="s">
        <v>321</v>
      </c>
      <c r="B4" s="7"/>
      <c r="C4" s="7"/>
      <c r="D4" s="7"/>
      <c r="E4" s="7"/>
      <c r="F4" s="16"/>
      <c r="G4" s="49"/>
      <c r="H4" s="16"/>
      <c r="I4" s="16"/>
      <c r="J4" s="49"/>
      <c r="K4" s="16"/>
      <c r="L4" s="49"/>
      <c r="M4" s="16"/>
      <c r="N4" s="16"/>
      <c r="O4" s="16"/>
      <c r="P4" s="16"/>
      <c r="T4" s="461"/>
      <c r="U4" s="462"/>
      <c r="V4" s="461"/>
      <c r="W4" s="17"/>
    </row>
    <row r="5" spans="1:23" ht="36" customHeight="1">
      <c r="A5" s="473" t="s">
        <v>4</v>
      </c>
      <c r="B5" s="473" t="s">
        <v>5</v>
      </c>
      <c r="C5" s="473" t="s">
        <v>6</v>
      </c>
      <c r="D5" s="473" t="s">
        <v>7</v>
      </c>
      <c r="E5" s="473" t="s">
        <v>8</v>
      </c>
      <c r="F5" s="473" t="s">
        <v>9</v>
      </c>
      <c r="G5" s="473" t="s">
        <v>10</v>
      </c>
      <c r="H5" s="473" t="s">
        <v>11</v>
      </c>
      <c r="I5" s="473" t="s">
        <v>12</v>
      </c>
      <c r="J5" s="473" t="s">
        <v>13</v>
      </c>
      <c r="K5" s="476" t="s">
        <v>14</v>
      </c>
      <c r="L5" s="477"/>
      <c r="M5" s="478"/>
      <c r="N5" s="473" t="s">
        <v>36</v>
      </c>
      <c r="O5" s="479" t="s">
        <v>15</v>
      </c>
      <c r="P5" s="473" t="s">
        <v>16</v>
      </c>
    </row>
    <row r="6" spans="1:23" ht="33.75" customHeight="1">
      <c r="A6" s="474"/>
      <c r="B6" s="475"/>
      <c r="C6" s="475"/>
      <c r="D6" s="475"/>
      <c r="E6" s="475"/>
      <c r="F6" s="475"/>
      <c r="G6" s="475"/>
      <c r="H6" s="475"/>
      <c r="I6" s="475"/>
      <c r="J6" s="475"/>
      <c r="K6" s="71" t="s">
        <v>14</v>
      </c>
      <c r="L6" s="71" t="s">
        <v>37</v>
      </c>
      <c r="M6" s="71" t="s">
        <v>38</v>
      </c>
      <c r="N6" s="475"/>
      <c r="O6" s="480"/>
      <c r="P6" s="475"/>
      <c r="R6" s="6"/>
      <c r="S6" s="6"/>
    </row>
    <row r="7" spans="1:23" s="50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99</v>
      </c>
      <c r="E7" s="22">
        <v>55</v>
      </c>
      <c r="F7" s="19" t="s">
        <v>40</v>
      </c>
      <c r="G7" s="22" t="s">
        <v>41</v>
      </c>
      <c r="H7" s="52">
        <v>230</v>
      </c>
      <c r="I7" s="88"/>
      <c r="J7" s="88"/>
      <c r="K7" s="53"/>
      <c r="L7" s="53" t="s">
        <v>42</v>
      </c>
      <c r="M7" s="53"/>
      <c r="N7" s="53"/>
      <c r="O7" s="19" t="s">
        <v>207</v>
      </c>
      <c r="P7" s="19"/>
      <c r="Q7" s="81" t="s">
        <v>17</v>
      </c>
      <c r="R7" s="23">
        <v>1</v>
      </c>
      <c r="S7" s="23"/>
      <c r="T7" s="24"/>
      <c r="U7" s="61"/>
      <c r="V7" s="62"/>
      <c r="W7" s="63"/>
    </row>
    <row r="8" spans="1:23" s="50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100</v>
      </c>
      <c r="E8" s="22">
        <v>8</v>
      </c>
      <c r="F8" s="19" t="s">
        <v>43</v>
      </c>
      <c r="G8" s="22" t="s">
        <v>44</v>
      </c>
      <c r="H8" s="52">
        <v>230</v>
      </c>
      <c r="I8" s="88"/>
      <c r="J8" s="88"/>
      <c r="K8" s="53"/>
      <c r="L8" s="53" t="s">
        <v>42</v>
      </c>
      <c r="M8" s="53"/>
      <c r="N8" s="53"/>
      <c r="O8" s="19" t="s">
        <v>208</v>
      </c>
      <c r="P8" s="19"/>
      <c r="Q8" s="81" t="s">
        <v>17</v>
      </c>
      <c r="R8" s="23">
        <f t="shared" ref="R8:R71" si="0">IF(C8=C7,R7,R7+1)</f>
        <v>2</v>
      </c>
      <c r="S8" s="23"/>
      <c r="T8" s="24"/>
      <c r="U8" s="61"/>
      <c r="V8" s="62"/>
      <c r="W8" s="63"/>
    </row>
    <row r="9" spans="1:23" s="50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99</v>
      </c>
      <c r="E9" s="22">
        <v>37</v>
      </c>
      <c r="F9" s="19" t="s">
        <v>40</v>
      </c>
      <c r="G9" s="22" t="s">
        <v>41</v>
      </c>
      <c r="H9" s="52">
        <v>230</v>
      </c>
      <c r="I9" s="88"/>
      <c r="J9" s="88"/>
      <c r="K9" s="53"/>
      <c r="L9" s="53" t="s">
        <v>42</v>
      </c>
      <c r="M9" s="53"/>
      <c r="N9" s="53"/>
      <c r="O9" s="19" t="s">
        <v>209</v>
      </c>
      <c r="P9" s="19"/>
      <c r="Q9" s="81" t="s">
        <v>17</v>
      </c>
      <c r="R9" s="23">
        <f t="shared" si="0"/>
        <v>3</v>
      </c>
      <c r="S9" s="23"/>
      <c r="T9" s="24"/>
      <c r="U9" s="61"/>
      <c r="V9" s="62"/>
      <c r="W9" s="63"/>
    </row>
    <row r="10" spans="1:23" s="50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99</v>
      </c>
      <c r="E10" s="22">
        <v>9</v>
      </c>
      <c r="F10" s="19" t="s">
        <v>40</v>
      </c>
      <c r="G10" s="22" t="s">
        <v>41</v>
      </c>
      <c r="H10" s="52">
        <v>230</v>
      </c>
      <c r="I10" s="88"/>
      <c r="J10" s="88"/>
      <c r="K10" s="53"/>
      <c r="L10" s="53" t="s">
        <v>42</v>
      </c>
      <c r="M10" s="53"/>
      <c r="N10" s="53"/>
      <c r="O10" s="19" t="s">
        <v>176</v>
      </c>
      <c r="P10" s="19"/>
      <c r="Q10" s="81" t="s">
        <v>17</v>
      </c>
      <c r="R10" s="23">
        <f t="shared" si="0"/>
        <v>3</v>
      </c>
      <c r="S10" s="23"/>
      <c r="T10" s="24"/>
      <c r="U10" s="61"/>
      <c r="V10" s="62"/>
      <c r="W10" s="63"/>
    </row>
    <row r="11" spans="1:23" s="50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101</v>
      </c>
      <c r="E11" s="22">
        <v>34</v>
      </c>
      <c r="F11" s="19" t="s">
        <v>43</v>
      </c>
      <c r="G11" s="22" t="s">
        <v>20</v>
      </c>
      <c r="H11" s="52">
        <v>230</v>
      </c>
      <c r="I11" s="88"/>
      <c r="J11" s="88"/>
      <c r="K11" s="53"/>
      <c r="L11" s="53" t="s">
        <v>42</v>
      </c>
      <c r="M11" s="53"/>
      <c r="N11" s="53"/>
      <c r="O11" s="19" t="s">
        <v>177</v>
      </c>
      <c r="P11" s="19"/>
      <c r="Q11" s="81" t="s">
        <v>17</v>
      </c>
      <c r="R11" s="23">
        <f t="shared" si="0"/>
        <v>4</v>
      </c>
      <c r="S11" s="23"/>
      <c r="T11" s="24"/>
      <c r="U11" s="61"/>
      <c r="V11" s="62"/>
      <c r="W11" s="63"/>
    </row>
    <row r="12" spans="1:23" s="50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99</v>
      </c>
      <c r="E12" s="22">
        <v>4</v>
      </c>
      <c r="F12" s="19" t="s">
        <v>40</v>
      </c>
      <c r="G12" s="22" t="s">
        <v>41</v>
      </c>
      <c r="H12" s="52">
        <v>230</v>
      </c>
      <c r="I12" s="88"/>
      <c r="J12" s="88"/>
      <c r="K12" s="53"/>
      <c r="L12" s="53" t="s">
        <v>42</v>
      </c>
      <c r="M12" s="53"/>
      <c r="N12" s="53"/>
      <c r="O12" s="19" t="s">
        <v>178</v>
      </c>
      <c r="P12" s="19"/>
      <c r="Q12" s="81" t="s">
        <v>17</v>
      </c>
      <c r="R12" s="23">
        <f t="shared" si="0"/>
        <v>5</v>
      </c>
      <c r="S12" s="23"/>
      <c r="T12" s="24"/>
      <c r="U12" s="61"/>
      <c r="V12" s="62"/>
      <c r="W12" s="63"/>
    </row>
    <row r="13" spans="1:23" s="50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101</v>
      </c>
      <c r="E13" s="22">
        <v>33</v>
      </c>
      <c r="F13" s="19" t="s">
        <v>43</v>
      </c>
      <c r="G13" s="22" t="s">
        <v>20</v>
      </c>
      <c r="H13" s="52">
        <v>230</v>
      </c>
      <c r="I13" s="88"/>
      <c r="J13" s="88"/>
      <c r="K13" s="53"/>
      <c r="L13" s="53" t="s">
        <v>42</v>
      </c>
      <c r="M13" s="53"/>
      <c r="N13" s="53"/>
      <c r="O13" s="19" t="s">
        <v>179</v>
      </c>
      <c r="P13" s="19"/>
      <c r="Q13" s="81" t="s">
        <v>17</v>
      </c>
      <c r="R13" s="23">
        <f t="shared" si="0"/>
        <v>6</v>
      </c>
      <c r="S13" s="23"/>
      <c r="T13" s="24"/>
      <c r="U13" s="61"/>
      <c r="V13" s="62"/>
      <c r="W13" s="63"/>
    </row>
    <row r="14" spans="1:23" s="50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101</v>
      </c>
      <c r="E14" s="22">
        <v>43</v>
      </c>
      <c r="F14" s="19" t="s">
        <v>43</v>
      </c>
      <c r="G14" s="22" t="s">
        <v>20</v>
      </c>
      <c r="H14" s="52">
        <v>230</v>
      </c>
      <c r="I14" s="88"/>
      <c r="J14" s="88"/>
      <c r="K14" s="53"/>
      <c r="L14" s="53" t="s">
        <v>42</v>
      </c>
      <c r="M14" s="53"/>
      <c r="N14" s="53"/>
      <c r="O14" s="19" t="s">
        <v>180</v>
      </c>
      <c r="P14" s="19"/>
      <c r="Q14" s="81" t="s">
        <v>17</v>
      </c>
      <c r="R14" s="23">
        <f t="shared" si="0"/>
        <v>6</v>
      </c>
      <c r="S14" s="23"/>
      <c r="T14" s="24"/>
      <c r="U14" s="61"/>
      <c r="V14" s="62"/>
      <c r="W14" s="63"/>
    </row>
    <row r="15" spans="1:23" s="50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100</v>
      </c>
      <c r="E15" s="22">
        <v>37</v>
      </c>
      <c r="F15" s="19" t="s">
        <v>43</v>
      </c>
      <c r="G15" s="22" t="s">
        <v>44</v>
      </c>
      <c r="H15" s="52">
        <v>230</v>
      </c>
      <c r="I15" s="88"/>
      <c r="J15" s="88"/>
      <c r="K15" s="53"/>
      <c r="L15" s="53" t="s">
        <v>42</v>
      </c>
      <c r="M15" s="53"/>
      <c r="N15" s="53"/>
      <c r="O15" s="19" t="s">
        <v>181</v>
      </c>
      <c r="P15" s="19"/>
      <c r="Q15" s="81" t="s">
        <v>17</v>
      </c>
      <c r="R15" s="23">
        <f t="shared" si="0"/>
        <v>7</v>
      </c>
      <c r="S15" s="23"/>
      <c r="T15" s="24"/>
      <c r="U15" s="61"/>
      <c r="V15" s="62"/>
      <c r="W15" s="63"/>
    </row>
    <row r="16" spans="1:23" s="50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100</v>
      </c>
      <c r="E16" s="22">
        <v>15</v>
      </c>
      <c r="F16" s="19" t="s">
        <v>43</v>
      </c>
      <c r="G16" s="22" t="s">
        <v>44</v>
      </c>
      <c r="H16" s="52">
        <v>230</v>
      </c>
      <c r="I16" s="88"/>
      <c r="J16" s="88"/>
      <c r="K16" s="53"/>
      <c r="L16" s="53" t="s">
        <v>42</v>
      </c>
      <c r="M16" s="53"/>
      <c r="N16" s="53"/>
      <c r="O16" s="19" t="s">
        <v>182</v>
      </c>
      <c r="P16" s="19"/>
      <c r="Q16" s="81" t="s">
        <v>17</v>
      </c>
      <c r="R16" s="23">
        <f t="shared" si="0"/>
        <v>7</v>
      </c>
      <c r="S16" s="23"/>
      <c r="T16" s="24"/>
      <c r="U16" s="61"/>
      <c r="V16" s="62"/>
      <c r="W16" s="63"/>
    </row>
    <row r="17" spans="1:23" s="50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101</v>
      </c>
      <c r="E17" s="22">
        <v>28</v>
      </c>
      <c r="F17" s="19" t="s">
        <v>43</v>
      </c>
      <c r="G17" s="22" t="s">
        <v>20</v>
      </c>
      <c r="H17" s="52">
        <v>230</v>
      </c>
      <c r="I17" s="88"/>
      <c r="J17" s="88"/>
      <c r="K17" s="53"/>
      <c r="L17" s="53" t="s">
        <v>42</v>
      </c>
      <c r="M17" s="53"/>
      <c r="N17" s="53"/>
      <c r="O17" s="19" t="s">
        <v>183</v>
      </c>
      <c r="P17" s="19"/>
      <c r="Q17" s="81" t="s">
        <v>17</v>
      </c>
      <c r="R17" s="23">
        <f t="shared" si="0"/>
        <v>8</v>
      </c>
      <c r="S17" s="23"/>
      <c r="T17" s="24"/>
      <c r="U17" s="61"/>
      <c r="V17" s="62"/>
      <c r="W17" s="63"/>
    </row>
    <row r="18" spans="1:23" s="50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100</v>
      </c>
      <c r="E18" s="22">
        <v>37</v>
      </c>
      <c r="F18" s="19" t="s">
        <v>43</v>
      </c>
      <c r="G18" s="22" t="s">
        <v>44</v>
      </c>
      <c r="H18" s="52">
        <v>230</v>
      </c>
      <c r="I18" s="88"/>
      <c r="J18" s="88"/>
      <c r="K18" s="53"/>
      <c r="L18" s="53" t="s">
        <v>42</v>
      </c>
      <c r="M18" s="53"/>
      <c r="N18" s="53"/>
      <c r="O18" s="19" t="s">
        <v>184</v>
      </c>
      <c r="P18" s="19"/>
      <c r="Q18" s="81" t="s">
        <v>17</v>
      </c>
      <c r="R18" s="23">
        <f t="shared" si="0"/>
        <v>9</v>
      </c>
      <c r="S18" s="23"/>
      <c r="T18" s="24"/>
      <c r="U18" s="61"/>
      <c r="V18" s="62"/>
      <c r="W18" s="63"/>
    </row>
    <row r="19" spans="1:23" s="50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100</v>
      </c>
      <c r="E19" s="22">
        <v>14</v>
      </c>
      <c r="F19" s="19" t="s">
        <v>43</v>
      </c>
      <c r="G19" s="22" t="s">
        <v>44</v>
      </c>
      <c r="H19" s="52">
        <v>230</v>
      </c>
      <c r="I19" s="88"/>
      <c r="J19" s="88"/>
      <c r="K19" s="53"/>
      <c r="L19" s="53" t="s">
        <v>42</v>
      </c>
      <c r="M19" s="53"/>
      <c r="N19" s="53"/>
      <c r="O19" s="19" t="s">
        <v>210</v>
      </c>
      <c r="P19" s="19"/>
      <c r="Q19" s="81" t="s">
        <v>17</v>
      </c>
      <c r="R19" s="23">
        <f t="shared" si="0"/>
        <v>9</v>
      </c>
      <c r="S19" s="23"/>
      <c r="T19" s="24"/>
      <c r="U19" s="61"/>
      <c r="V19" s="62"/>
      <c r="W19" s="63"/>
    </row>
    <row r="20" spans="1:23" s="50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101</v>
      </c>
      <c r="E20" s="22">
        <v>28</v>
      </c>
      <c r="F20" s="19" t="s">
        <v>43</v>
      </c>
      <c r="G20" s="22" t="s">
        <v>20</v>
      </c>
      <c r="H20" s="52">
        <v>230</v>
      </c>
      <c r="I20" s="88"/>
      <c r="J20" s="88"/>
      <c r="K20" s="53"/>
      <c r="L20" s="53" t="s">
        <v>42</v>
      </c>
      <c r="M20" s="53"/>
      <c r="N20" s="53"/>
      <c r="O20" s="19" t="s">
        <v>211</v>
      </c>
      <c r="P20" s="19"/>
      <c r="Q20" s="81" t="s">
        <v>17</v>
      </c>
      <c r="R20" s="23">
        <f t="shared" si="0"/>
        <v>10</v>
      </c>
      <c r="S20" s="23"/>
      <c r="T20" s="24"/>
      <c r="U20" s="61"/>
      <c r="V20" s="62"/>
      <c r="W20" s="63"/>
    </row>
    <row r="21" spans="1:23" s="50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100</v>
      </c>
      <c r="E21" s="22">
        <v>37</v>
      </c>
      <c r="F21" s="19" t="s">
        <v>43</v>
      </c>
      <c r="G21" s="22" t="s">
        <v>44</v>
      </c>
      <c r="H21" s="52">
        <v>230</v>
      </c>
      <c r="I21" s="88"/>
      <c r="J21" s="88"/>
      <c r="K21" s="53"/>
      <c r="L21" s="53" t="s">
        <v>42</v>
      </c>
      <c r="M21" s="53"/>
      <c r="N21" s="53"/>
      <c r="O21" s="19" t="s">
        <v>212</v>
      </c>
      <c r="P21" s="19"/>
      <c r="Q21" s="81" t="s">
        <v>17</v>
      </c>
      <c r="R21" s="23">
        <f t="shared" si="0"/>
        <v>11</v>
      </c>
      <c r="S21" s="23"/>
      <c r="T21" s="24"/>
      <c r="U21" s="61"/>
      <c r="V21" s="62"/>
      <c r="W21" s="63"/>
    </row>
    <row r="22" spans="1:23" s="50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100</v>
      </c>
      <c r="E22" s="22">
        <v>100</v>
      </c>
      <c r="F22" s="19" t="s">
        <v>43</v>
      </c>
      <c r="G22" s="22" t="s">
        <v>44</v>
      </c>
      <c r="H22" s="52">
        <v>230</v>
      </c>
      <c r="I22" s="88"/>
      <c r="J22" s="88"/>
      <c r="K22" s="53"/>
      <c r="L22" s="53" t="s">
        <v>42</v>
      </c>
      <c r="M22" s="53"/>
      <c r="N22" s="53"/>
      <c r="O22" s="19" t="s">
        <v>213</v>
      </c>
      <c r="P22" s="19"/>
      <c r="Q22" s="81" t="s">
        <v>17</v>
      </c>
      <c r="R22" s="23">
        <f t="shared" si="0"/>
        <v>11</v>
      </c>
      <c r="S22" s="23"/>
      <c r="T22" s="24"/>
      <c r="U22" s="61"/>
      <c r="V22" s="62"/>
      <c r="W22" s="63"/>
    </row>
    <row r="23" spans="1:23" s="50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100</v>
      </c>
      <c r="E23" s="22">
        <v>80</v>
      </c>
      <c r="F23" s="19" t="s">
        <v>43</v>
      </c>
      <c r="G23" s="22" t="s">
        <v>44</v>
      </c>
      <c r="H23" s="52">
        <v>230</v>
      </c>
      <c r="I23" s="88"/>
      <c r="J23" s="88"/>
      <c r="K23" s="53"/>
      <c r="L23" s="53" t="s">
        <v>42</v>
      </c>
      <c r="M23" s="53"/>
      <c r="N23" s="53"/>
      <c r="O23" s="19" t="s">
        <v>214</v>
      </c>
      <c r="P23" s="19"/>
      <c r="Q23" s="81" t="s">
        <v>17</v>
      </c>
      <c r="R23" s="23">
        <f t="shared" si="0"/>
        <v>11</v>
      </c>
      <c r="S23" s="23"/>
      <c r="T23" s="24"/>
      <c r="U23" s="61"/>
      <c r="V23" s="62"/>
      <c r="W23" s="63"/>
    </row>
    <row r="24" spans="1:23" s="50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100</v>
      </c>
      <c r="E24" s="22">
        <v>17</v>
      </c>
      <c r="F24" s="19" t="s">
        <v>43</v>
      </c>
      <c r="G24" s="22" t="s">
        <v>44</v>
      </c>
      <c r="H24" s="52">
        <v>230</v>
      </c>
      <c r="I24" s="88"/>
      <c r="J24" s="88"/>
      <c r="K24" s="53"/>
      <c r="L24" s="53" t="s">
        <v>42</v>
      </c>
      <c r="M24" s="53"/>
      <c r="N24" s="53"/>
      <c r="O24" s="19" t="s">
        <v>322</v>
      </c>
      <c r="P24" s="19"/>
      <c r="Q24" s="81" t="s">
        <v>17</v>
      </c>
      <c r="R24" s="23">
        <f t="shared" si="0"/>
        <v>11</v>
      </c>
      <c r="S24" s="23"/>
      <c r="T24" s="24"/>
      <c r="U24" s="61"/>
      <c r="V24" s="62"/>
      <c r="W24" s="63"/>
    </row>
    <row r="25" spans="1:23" s="50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101</v>
      </c>
      <c r="E25" s="22">
        <v>26</v>
      </c>
      <c r="F25" s="19" t="s">
        <v>43</v>
      </c>
      <c r="G25" s="22" t="s">
        <v>20</v>
      </c>
      <c r="H25" s="52">
        <v>230</v>
      </c>
      <c r="I25" s="88"/>
      <c r="J25" s="88"/>
      <c r="K25" s="53"/>
      <c r="L25" s="53" t="s">
        <v>42</v>
      </c>
      <c r="M25" s="53"/>
      <c r="N25" s="53"/>
      <c r="O25" s="19" t="s">
        <v>215</v>
      </c>
      <c r="P25" s="19"/>
      <c r="Q25" s="81" t="s">
        <v>17</v>
      </c>
      <c r="R25" s="23">
        <f t="shared" si="0"/>
        <v>12</v>
      </c>
      <c r="S25" s="23"/>
      <c r="T25" s="24"/>
      <c r="U25" s="61"/>
      <c r="V25" s="62"/>
      <c r="W25" s="63"/>
    </row>
    <row r="26" spans="1:23" s="50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100</v>
      </c>
      <c r="E26" s="22">
        <v>11</v>
      </c>
      <c r="F26" s="19" t="s">
        <v>43</v>
      </c>
      <c r="G26" s="22" t="s">
        <v>44</v>
      </c>
      <c r="H26" s="52">
        <v>230</v>
      </c>
      <c r="I26" s="88"/>
      <c r="J26" s="88"/>
      <c r="K26" s="53"/>
      <c r="L26" s="53" t="s">
        <v>42</v>
      </c>
      <c r="M26" s="53"/>
      <c r="N26" s="53"/>
      <c r="O26" s="19" t="s">
        <v>323</v>
      </c>
      <c r="P26" s="19"/>
      <c r="Q26" s="81" t="s">
        <v>17</v>
      </c>
      <c r="R26" s="23">
        <f t="shared" si="0"/>
        <v>13</v>
      </c>
      <c r="S26" s="23"/>
      <c r="T26" s="24"/>
      <c r="U26" s="61"/>
      <c r="V26" s="62"/>
      <c r="W26" s="63"/>
    </row>
    <row r="27" spans="1:23" s="50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101</v>
      </c>
      <c r="E27" s="22">
        <v>26</v>
      </c>
      <c r="F27" s="19" t="s">
        <v>43</v>
      </c>
      <c r="G27" s="22" t="s">
        <v>20</v>
      </c>
      <c r="H27" s="52">
        <v>230</v>
      </c>
      <c r="I27" s="88"/>
      <c r="J27" s="88"/>
      <c r="K27" s="53"/>
      <c r="L27" s="53" t="s">
        <v>42</v>
      </c>
      <c r="M27" s="53"/>
      <c r="N27" s="53"/>
      <c r="O27" s="19" t="s">
        <v>324</v>
      </c>
      <c r="P27" s="19"/>
      <c r="Q27" s="81" t="s">
        <v>17</v>
      </c>
      <c r="R27" s="23">
        <f t="shared" si="0"/>
        <v>14</v>
      </c>
      <c r="S27" s="23"/>
      <c r="T27" s="24"/>
      <c r="U27" s="61"/>
      <c r="V27" s="62"/>
      <c r="W27" s="63"/>
    </row>
    <row r="28" spans="1:23" s="50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101</v>
      </c>
      <c r="E28" s="22">
        <v>100</v>
      </c>
      <c r="F28" s="19" t="s">
        <v>43</v>
      </c>
      <c r="G28" s="22" t="s">
        <v>20</v>
      </c>
      <c r="H28" s="52">
        <v>230</v>
      </c>
      <c r="I28" s="88"/>
      <c r="J28" s="88"/>
      <c r="K28" s="53"/>
      <c r="L28" s="53" t="s">
        <v>42</v>
      </c>
      <c r="M28" s="53"/>
      <c r="N28" s="53"/>
      <c r="O28" s="19" t="s">
        <v>325</v>
      </c>
      <c r="P28" s="19"/>
      <c r="Q28" s="81" t="s">
        <v>17</v>
      </c>
      <c r="R28" s="23">
        <f t="shared" si="0"/>
        <v>14</v>
      </c>
      <c r="S28" s="23"/>
      <c r="T28" s="24"/>
      <c r="U28" s="61"/>
      <c r="V28" s="62"/>
      <c r="W28" s="63"/>
    </row>
    <row r="29" spans="1:23" s="50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101</v>
      </c>
      <c r="E29" s="22">
        <v>100</v>
      </c>
      <c r="F29" s="19" t="s">
        <v>43</v>
      </c>
      <c r="G29" s="22" t="s">
        <v>20</v>
      </c>
      <c r="H29" s="52">
        <v>230</v>
      </c>
      <c r="I29" s="88"/>
      <c r="J29" s="88"/>
      <c r="K29" s="53"/>
      <c r="L29" s="53" t="s">
        <v>42</v>
      </c>
      <c r="M29" s="53"/>
      <c r="N29" s="53"/>
      <c r="O29" s="19" t="s">
        <v>326</v>
      </c>
      <c r="P29" s="19"/>
      <c r="Q29" s="81" t="s">
        <v>17</v>
      </c>
      <c r="R29" s="23">
        <f t="shared" si="0"/>
        <v>14</v>
      </c>
      <c r="S29" s="23"/>
      <c r="T29" s="24"/>
      <c r="U29" s="61"/>
      <c r="V29" s="62"/>
      <c r="W29" s="63"/>
    </row>
    <row r="30" spans="1:23" s="50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101</v>
      </c>
      <c r="E30" s="22">
        <v>100</v>
      </c>
      <c r="F30" s="19" t="s">
        <v>43</v>
      </c>
      <c r="G30" s="22" t="s">
        <v>20</v>
      </c>
      <c r="H30" s="52">
        <v>230</v>
      </c>
      <c r="I30" s="88"/>
      <c r="J30" s="88"/>
      <c r="K30" s="53"/>
      <c r="L30" s="53" t="s">
        <v>42</v>
      </c>
      <c r="M30" s="53"/>
      <c r="N30" s="53"/>
      <c r="O30" s="19" t="s">
        <v>327</v>
      </c>
      <c r="P30" s="19"/>
      <c r="Q30" s="81" t="s">
        <v>17</v>
      </c>
      <c r="R30" s="23">
        <f t="shared" si="0"/>
        <v>14</v>
      </c>
      <c r="S30" s="23"/>
      <c r="T30" s="24"/>
      <c r="U30" s="61"/>
      <c r="V30" s="62"/>
      <c r="W30" s="63"/>
    </row>
    <row r="31" spans="1:23" s="50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101</v>
      </c>
      <c r="E31" s="22">
        <v>63</v>
      </c>
      <c r="F31" s="19" t="s">
        <v>43</v>
      </c>
      <c r="G31" s="22" t="s">
        <v>20</v>
      </c>
      <c r="H31" s="52">
        <v>230</v>
      </c>
      <c r="I31" s="88"/>
      <c r="J31" s="88"/>
      <c r="K31" s="53"/>
      <c r="L31" s="53" t="s">
        <v>42</v>
      </c>
      <c r="M31" s="53"/>
      <c r="N31" s="53"/>
      <c r="O31" s="19" t="s">
        <v>328</v>
      </c>
      <c r="P31" s="19"/>
      <c r="Q31" s="81" t="s">
        <v>17</v>
      </c>
      <c r="R31" s="23">
        <f t="shared" si="0"/>
        <v>14</v>
      </c>
      <c r="S31" s="23"/>
      <c r="T31" s="24"/>
      <c r="U31" s="61"/>
      <c r="V31" s="62"/>
      <c r="W31" s="63"/>
    </row>
    <row r="32" spans="1:23" s="50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100</v>
      </c>
      <c r="E32" s="22">
        <v>37</v>
      </c>
      <c r="F32" s="19" t="s">
        <v>43</v>
      </c>
      <c r="G32" s="22" t="s">
        <v>44</v>
      </c>
      <c r="H32" s="52">
        <v>230</v>
      </c>
      <c r="I32" s="88"/>
      <c r="J32" s="88"/>
      <c r="K32" s="53"/>
      <c r="L32" s="53" t="s">
        <v>42</v>
      </c>
      <c r="M32" s="53"/>
      <c r="N32" s="53"/>
      <c r="O32" s="19" t="s">
        <v>216</v>
      </c>
      <c r="P32" s="19"/>
      <c r="Q32" s="81" t="s">
        <v>17</v>
      </c>
      <c r="R32" s="23">
        <f t="shared" si="0"/>
        <v>15</v>
      </c>
      <c r="S32" s="23"/>
      <c r="T32" s="24"/>
      <c r="U32" s="61"/>
      <c r="V32" s="62"/>
      <c r="W32" s="63"/>
    </row>
    <row r="33" spans="1:23" s="50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100</v>
      </c>
      <c r="E33" s="22">
        <v>5</v>
      </c>
      <c r="F33" s="19" t="s">
        <v>43</v>
      </c>
      <c r="G33" s="22" t="s">
        <v>44</v>
      </c>
      <c r="H33" s="52">
        <v>230</v>
      </c>
      <c r="I33" s="88"/>
      <c r="J33" s="88"/>
      <c r="K33" s="53"/>
      <c r="L33" s="53" t="s">
        <v>42</v>
      </c>
      <c r="M33" s="53"/>
      <c r="N33" s="53"/>
      <c r="O33" s="19" t="s">
        <v>329</v>
      </c>
      <c r="P33" s="19"/>
      <c r="Q33" s="81" t="s">
        <v>17</v>
      </c>
      <c r="R33" s="23">
        <f t="shared" si="0"/>
        <v>15</v>
      </c>
      <c r="S33" s="23"/>
      <c r="T33" s="24"/>
      <c r="U33" s="61"/>
      <c r="V33" s="62"/>
      <c r="W33" s="63"/>
    </row>
    <row r="34" spans="1:23" s="50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101</v>
      </c>
      <c r="E34" s="22">
        <v>38</v>
      </c>
      <c r="F34" s="19" t="s">
        <v>43</v>
      </c>
      <c r="G34" s="22" t="s">
        <v>20</v>
      </c>
      <c r="H34" s="52">
        <v>230</v>
      </c>
      <c r="I34" s="88"/>
      <c r="J34" s="88"/>
      <c r="K34" s="53"/>
      <c r="L34" s="53" t="s">
        <v>42</v>
      </c>
      <c r="M34" s="53"/>
      <c r="N34" s="53"/>
      <c r="O34" s="19" t="s">
        <v>330</v>
      </c>
      <c r="P34" s="19"/>
      <c r="Q34" s="81" t="s">
        <v>17</v>
      </c>
      <c r="R34" s="23">
        <f t="shared" si="0"/>
        <v>16</v>
      </c>
      <c r="S34" s="23"/>
      <c r="T34" s="24"/>
      <c r="U34" s="61"/>
      <c r="V34" s="62"/>
      <c r="W34" s="63"/>
    </row>
    <row r="35" spans="1:23" s="50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100</v>
      </c>
      <c r="E35" s="22">
        <v>37</v>
      </c>
      <c r="F35" s="19" t="s">
        <v>43</v>
      </c>
      <c r="G35" s="22" t="s">
        <v>44</v>
      </c>
      <c r="H35" s="52">
        <v>230</v>
      </c>
      <c r="I35" s="88"/>
      <c r="J35" s="88"/>
      <c r="K35" s="53"/>
      <c r="L35" s="53" t="s">
        <v>42</v>
      </c>
      <c r="M35" s="53"/>
      <c r="N35" s="53"/>
      <c r="O35" s="19" t="s">
        <v>331</v>
      </c>
      <c r="P35" s="19"/>
      <c r="Q35" s="81" t="s">
        <v>17</v>
      </c>
      <c r="R35" s="23">
        <f t="shared" si="0"/>
        <v>17</v>
      </c>
      <c r="S35" s="23"/>
      <c r="T35" s="24"/>
      <c r="U35" s="61"/>
      <c r="V35" s="62"/>
      <c r="W35" s="63"/>
    </row>
    <row r="36" spans="1:23" s="50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100</v>
      </c>
      <c r="E36" s="22">
        <v>12</v>
      </c>
      <c r="F36" s="19" t="s">
        <v>43</v>
      </c>
      <c r="G36" s="22" t="s">
        <v>44</v>
      </c>
      <c r="H36" s="52">
        <v>230</v>
      </c>
      <c r="I36" s="88"/>
      <c r="J36" s="88"/>
      <c r="K36" s="53"/>
      <c r="L36" s="53" t="s">
        <v>42</v>
      </c>
      <c r="M36" s="53"/>
      <c r="N36" s="53"/>
      <c r="O36" s="19" t="s">
        <v>332</v>
      </c>
      <c r="P36" s="19"/>
      <c r="Q36" s="81" t="s">
        <v>17</v>
      </c>
      <c r="R36" s="23">
        <f t="shared" si="0"/>
        <v>17</v>
      </c>
      <c r="S36" s="23"/>
      <c r="T36" s="24"/>
      <c r="U36" s="61"/>
      <c r="V36" s="62"/>
      <c r="W36" s="63"/>
    </row>
    <row r="37" spans="1:23" s="50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100</v>
      </c>
      <c r="E37" s="22">
        <v>11</v>
      </c>
      <c r="F37" s="19" t="s">
        <v>43</v>
      </c>
      <c r="G37" s="22" t="s">
        <v>44</v>
      </c>
      <c r="H37" s="52">
        <v>230</v>
      </c>
      <c r="I37" s="88"/>
      <c r="J37" s="88"/>
      <c r="K37" s="53"/>
      <c r="L37" s="53" t="s">
        <v>42</v>
      </c>
      <c r="M37" s="53"/>
      <c r="N37" s="53"/>
      <c r="O37" s="19" t="s">
        <v>333</v>
      </c>
      <c r="P37" s="19"/>
      <c r="Q37" s="81" t="s">
        <v>17</v>
      </c>
      <c r="R37" s="23">
        <f t="shared" si="0"/>
        <v>17</v>
      </c>
      <c r="S37" s="23"/>
      <c r="T37" s="24"/>
      <c r="U37" s="61"/>
      <c r="V37" s="62"/>
      <c r="W37" s="63"/>
    </row>
    <row r="38" spans="1:23" s="50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101</v>
      </c>
      <c r="E38" s="22">
        <v>32</v>
      </c>
      <c r="F38" s="19" t="s">
        <v>43</v>
      </c>
      <c r="G38" s="22" t="s">
        <v>20</v>
      </c>
      <c r="H38" s="52">
        <v>230</v>
      </c>
      <c r="I38" s="88"/>
      <c r="J38" s="88"/>
      <c r="K38" s="53"/>
      <c r="L38" s="53" t="s">
        <v>42</v>
      </c>
      <c r="M38" s="53"/>
      <c r="N38" s="53"/>
      <c r="O38" s="19" t="s">
        <v>334</v>
      </c>
      <c r="P38" s="19"/>
      <c r="Q38" s="81" t="s">
        <v>17</v>
      </c>
      <c r="R38" s="23">
        <f t="shared" si="0"/>
        <v>18</v>
      </c>
      <c r="S38" s="23"/>
      <c r="T38" s="24"/>
      <c r="U38" s="61"/>
      <c r="V38" s="62"/>
      <c r="W38" s="63"/>
    </row>
    <row r="39" spans="1:23" s="50" customFormat="1" ht="39.950000000000003" customHeight="1">
      <c r="A39" s="18"/>
      <c r="B39" s="19"/>
      <c r="C39" s="20"/>
      <c r="D39" s="21"/>
      <c r="E39" s="22"/>
      <c r="F39" s="19"/>
      <c r="G39" s="22"/>
      <c r="H39" s="52"/>
      <c r="I39" s="88"/>
      <c r="J39" s="88"/>
      <c r="K39" s="53"/>
      <c r="L39" s="53"/>
      <c r="M39" s="53"/>
      <c r="N39" s="53"/>
      <c r="O39" s="19"/>
      <c r="P39" s="19"/>
      <c r="Q39" s="81"/>
      <c r="R39" s="23">
        <f t="shared" si="0"/>
        <v>19</v>
      </c>
      <c r="S39" s="23"/>
      <c r="T39" s="24"/>
      <c r="U39" s="61"/>
      <c r="V39" s="62"/>
      <c r="W39" s="63"/>
    </row>
    <row r="40" spans="1:23" s="50" customFormat="1" ht="39.950000000000003" customHeight="1">
      <c r="A40" s="25"/>
      <c r="B40" s="19"/>
      <c r="C40" s="20"/>
      <c r="D40" s="21"/>
      <c r="E40" s="22"/>
      <c r="F40" s="19"/>
      <c r="G40" s="22"/>
      <c r="H40" s="52"/>
      <c r="I40" s="88"/>
      <c r="J40" s="88"/>
      <c r="K40" s="53"/>
      <c r="L40" s="53"/>
      <c r="M40" s="53"/>
      <c r="N40" s="53"/>
      <c r="O40" s="19"/>
      <c r="P40" s="19"/>
      <c r="Q40" s="81"/>
      <c r="R40" s="23">
        <f t="shared" si="0"/>
        <v>19</v>
      </c>
      <c r="S40" s="23"/>
      <c r="T40" s="24"/>
      <c r="U40" s="61"/>
      <c r="V40" s="62"/>
      <c r="W40" s="63"/>
    </row>
    <row r="41" spans="1:23" s="50" customFormat="1" ht="39.950000000000003" customHeight="1">
      <c r="A41" s="18"/>
      <c r="B41" s="19"/>
      <c r="C41" s="20"/>
      <c r="D41" s="21"/>
      <c r="E41" s="22"/>
      <c r="F41" s="19"/>
      <c r="G41" s="22"/>
      <c r="H41" s="52"/>
      <c r="I41" s="88"/>
      <c r="J41" s="88"/>
      <c r="K41" s="53"/>
      <c r="L41" s="53"/>
      <c r="M41" s="53"/>
      <c r="N41" s="53"/>
      <c r="O41" s="19"/>
      <c r="P41" s="19"/>
      <c r="Q41" s="81"/>
      <c r="R41" s="23">
        <f t="shared" si="0"/>
        <v>19</v>
      </c>
      <c r="S41" s="23"/>
      <c r="T41" s="24"/>
      <c r="U41" s="61"/>
      <c r="V41" s="62"/>
      <c r="W41" s="63"/>
    </row>
    <row r="42" spans="1:23" s="50" customFormat="1" ht="39.950000000000003" customHeight="1">
      <c r="A42" s="25"/>
      <c r="B42" s="19"/>
      <c r="C42" s="20"/>
      <c r="D42" s="21"/>
      <c r="E42" s="22"/>
      <c r="F42" s="19"/>
      <c r="G42" s="22"/>
      <c r="H42" s="52"/>
      <c r="I42" s="88"/>
      <c r="J42" s="88"/>
      <c r="K42" s="53"/>
      <c r="L42" s="53"/>
      <c r="M42" s="53"/>
      <c r="N42" s="53"/>
      <c r="O42" s="19"/>
      <c r="P42" s="19"/>
      <c r="Q42" s="81"/>
      <c r="R42" s="23">
        <f t="shared" si="0"/>
        <v>19</v>
      </c>
      <c r="S42" s="23"/>
      <c r="T42" s="24"/>
      <c r="U42" s="61"/>
      <c r="V42" s="62"/>
      <c r="W42" s="63"/>
    </row>
    <row r="43" spans="1:23" s="50" customFormat="1" ht="39.950000000000003" customHeight="1">
      <c r="A43" s="25"/>
      <c r="B43" s="19"/>
      <c r="C43" s="20"/>
      <c r="D43" s="21"/>
      <c r="E43" s="22"/>
      <c r="F43" s="19"/>
      <c r="G43" s="22"/>
      <c r="H43" s="52"/>
      <c r="I43" s="88"/>
      <c r="J43" s="88"/>
      <c r="K43" s="53"/>
      <c r="L43" s="53"/>
      <c r="M43" s="53"/>
      <c r="N43" s="53"/>
      <c r="O43" s="19"/>
      <c r="P43" s="19"/>
      <c r="Q43" s="81"/>
      <c r="R43" s="23">
        <f t="shared" si="0"/>
        <v>19</v>
      </c>
      <c r="S43" s="23"/>
      <c r="T43" s="24"/>
      <c r="U43" s="61"/>
      <c r="V43" s="62"/>
      <c r="W43" s="63"/>
    </row>
    <row r="44" spans="1:23" s="50" customFormat="1" ht="39.950000000000003" customHeight="1">
      <c r="A44" s="18"/>
      <c r="B44" s="19"/>
      <c r="C44" s="20"/>
      <c r="D44" s="21"/>
      <c r="E44" s="22"/>
      <c r="F44" s="19"/>
      <c r="G44" s="22"/>
      <c r="H44" s="52"/>
      <c r="I44" s="88"/>
      <c r="J44" s="88"/>
      <c r="K44" s="53"/>
      <c r="L44" s="53"/>
      <c r="M44" s="53"/>
      <c r="N44" s="53"/>
      <c r="O44" s="19"/>
      <c r="P44" s="19"/>
      <c r="Q44" s="81"/>
      <c r="R44" s="23">
        <f t="shared" si="0"/>
        <v>19</v>
      </c>
      <c r="S44" s="23"/>
      <c r="T44" s="24"/>
      <c r="U44" s="61"/>
      <c r="V44" s="62"/>
      <c r="W44" s="63"/>
    </row>
    <row r="45" spans="1:23" s="50" customFormat="1" ht="39.950000000000003" customHeight="1">
      <c r="A45" s="18"/>
      <c r="B45" s="19"/>
      <c r="C45" s="20"/>
      <c r="D45" s="21"/>
      <c r="E45" s="22"/>
      <c r="F45" s="19"/>
      <c r="G45" s="22"/>
      <c r="H45" s="52"/>
      <c r="I45" s="88"/>
      <c r="J45" s="88"/>
      <c r="K45" s="53"/>
      <c r="L45" s="53"/>
      <c r="M45" s="53"/>
      <c r="N45" s="53"/>
      <c r="O45" s="19"/>
      <c r="P45" s="19"/>
      <c r="Q45" s="81"/>
      <c r="R45" s="23">
        <f t="shared" si="0"/>
        <v>19</v>
      </c>
      <c r="S45" s="23"/>
      <c r="T45" s="24"/>
      <c r="U45" s="61"/>
      <c r="V45" s="62"/>
      <c r="W45" s="63"/>
    </row>
    <row r="46" spans="1:23" s="50" customFormat="1" ht="39.950000000000003" customHeight="1">
      <c r="A46" s="18"/>
      <c r="B46" s="19"/>
      <c r="C46" s="20"/>
      <c r="D46" s="21"/>
      <c r="E46" s="22"/>
      <c r="F46" s="22"/>
      <c r="G46" s="22"/>
      <c r="H46" s="52"/>
      <c r="I46" s="53"/>
      <c r="J46" s="53"/>
      <c r="K46" s="53"/>
      <c r="L46" s="53"/>
      <c r="M46" s="53"/>
      <c r="N46" s="53"/>
      <c r="O46" s="19"/>
      <c r="P46" s="22"/>
      <c r="Q46" s="81"/>
      <c r="R46" s="23">
        <f t="shared" si="0"/>
        <v>19</v>
      </c>
      <c r="S46" s="23"/>
      <c r="T46" s="24"/>
      <c r="U46" s="61"/>
      <c r="V46" s="62"/>
      <c r="W46" s="63"/>
    </row>
    <row r="47" spans="1:23" s="50" customFormat="1" ht="39.950000000000003" customHeight="1">
      <c r="A47" s="25"/>
      <c r="B47" s="19"/>
      <c r="C47" s="20"/>
      <c r="D47" s="21"/>
      <c r="E47" s="22"/>
      <c r="F47" s="22"/>
      <c r="G47" s="22"/>
      <c r="H47" s="52"/>
      <c r="I47" s="53"/>
      <c r="J47" s="53"/>
      <c r="K47" s="53"/>
      <c r="L47" s="53"/>
      <c r="M47" s="53"/>
      <c r="N47" s="53"/>
      <c r="O47" s="20"/>
      <c r="P47" s="22"/>
      <c r="Q47" s="81"/>
      <c r="R47" s="23">
        <f t="shared" si="0"/>
        <v>19</v>
      </c>
      <c r="S47" s="23"/>
      <c r="T47" s="24"/>
      <c r="U47" s="61"/>
      <c r="V47" s="62"/>
      <c r="W47" s="63"/>
    </row>
    <row r="48" spans="1:23" s="50" customFormat="1" ht="39.950000000000003" customHeight="1">
      <c r="A48" s="18"/>
      <c r="B48" s="19"/>
      <c r="C48" s="20"/>
      <c r="D48" s="21"/>
      <c r="E48" s="22"/>
      <c r="F48" s="22"/>
      <c r="G48" s="22"/>
      <c r="H48" s="52"/>
      <c r="I48" s="53"/>
      <c r="J48" s="53"/>
      <c r="K48" s="53"/>
      <c r="L48" s="53"/>
      <c r="M48" s="53"/>
      <c r="N48" s="53"/>
      <c r="O48" s="19"/>
      <c r="P48" s="22"/>
      <c r="Q48" s="81"/>
      <c r="R48" s="23">
        <f t="shared" si="0"/>
        <v>19</v>
      </c>
      <c r="S48" s="23"/>
      <c r="T48" s="24"/>
      <c r="U48" s="61"/>
      <c r="V48" s="62"/>
      <c r="W48" s="63"/>
    </row>
    <row r="49" spans="1:23" s="50" customFormat="1" ht="39.950000000000003" customHeight="1">
      <c r="A49" s="25"/>
      <c r="B49" s="19"/>
      <c r="C49" s="20"/>
      <c r="D49" s="21"/>
      <c r="E49" s="22"/>
      <c r="F49" s="22"/>
      <c r="G49" s="22"/>
      <c r="H49" s="52"/>
      <c r="I49" s="53"/>
      <c r="J49" s="53"/>
      <c r="K49" s="53"/>
      <c r="L49" s="53"/>
      <c r="M49" s="53"/>
      <c r="N49" s="53"/>
      <c r="O49" s="19"/>
      <c r="P49" s="22"/>
      <c r="Q49" s="81"/>
      <c r="R49" s="23">
        <f t="shared" si="0"/>
        <v>19</v>
      </c>
      <c r="S49" s="23"/>
      <c r="T49" s="24"/>
      <c r="U49" s="61"/>
      <c r="V49" s="62"/>
      <c r="W49" s="63"/>
    </row>
    <row r="50" spans="1:23" s="50" customFormat="1" ht="39.950000000000003" customHeight="1">
      <c r="A50" s="18"/>
      <c r="B50" s="19"/>
      <c r="C50" s="20"/>
      <c r="D50" s="21"/>
      <c r="E50" s="22"/>
      <c r="F50" s="22"/>
      <c r="G50" s="22"/>
      <c r="H50" s="52"/>
      <c r="I50" s="53"/>
      <c r="J50" s="53"/>
      <c r="K50" s="53"/>
      <c r="L50" s="53"/>
      <c r="M50" s="53"/>
      <c r="N50" s="53"/>
      <c r="O50" s="19"/>
      <c r="P50" s="22"/>
      <c r="Q50" s="81"/>
      <c r="R50" s="23">
        <f t="shared" si="0"/>
        <v>19</v>
      </c>
      <c r="S50" s="23"/>
      <c r="T50" s="24"/>
      <c r="U50" s="61"/>
      <c r="V50" s="62"/>
      <c r="W50" s="63"/>
    </row>
    <row r="51" spans="1:23" s="50" customFormat="1" ht="39.950000000000003" customHeight="1">
      <c r="A51" s="18"/>
      <c r="B51" s="19"/>
      <c r="C51" s="20"/>
      <c r="D51" s="21"/>
      <c r="E51" s="22"/>
      <c r="F51" s="22"/>
      <c r="G51" s="22"/>
      <c r="H51" s="52"/>
      <c r="I51" s="53"/>
      <c r="J51" s="53"/>
      <c r="K51" s="53"/>
      <c r="L51" s="53"/>
      <c r="M51" s="53"/>
      <c r="N51" s="53"/>
      <c r="O51" s="19"/>
      <c r="P51" s="22"/>
      <c r="Q51" s="81"/>
      <c r="R51" s="23">
        <f t="shared" si="0"/>
        <v>19</v>
      </c>
      <c r="S51" s="23"/>
      <c r="T51" s="24"/>
      <c r="U51" s="61"/>
      <c r="V51" s="62"/>
      <c r="W51" s="63"/>
    </row>
    <row r="52" spans="1:23" s="50" customFormat="1" ht="30.75" customHeight="1">
      <c r="A52" s="18"/>
      <c r="B52" s="19"/>
      <c r="C52" s="20"/>
      <c r="D52" s="21"/>
      <c r="E52" s="22"/>
      <c r="F52" s="22"/>
      <c r="G52" s="22"/>
      <c r="H52" s="52"/>
      <c r="I52" s="53"/>
      <c r="J52" s="53"/>
      <c r="K52" s="53"/>
      <c r="L52" s="53"/>
      <c r="M52" s="53"/>
      <c r="N52" s="53"/>
      <c r="O52" s="19"/>
      <c r="P52" s="22"/>
      <c r="Q52" s="81"/>
      <c r="R52" s="23">
        <f t="shared" si="0"/>
        <v>19</v>
      </c>
      <c r="S52" s="23"/>
      <c r="T52" s="24"/>
      <c r="U52" s="61"/>
      <c r="V52" s="62"/>
      <c r="W52" s="63"/>
    </row>
    <row r="53" spans="1:23" s="50" customFormat="1" ht="30.75" customHeight="1">
      <c r="A53" s="25"/>
      <c r="B53" s="19"/>
      <c r="C53" s="20"/>
      <c r="D53" s="21"/>
      <c r="E53" s="22"/>
      <c r="F53" s="22"/>
      <c r="G53" s="22"/>
      <c r="H53" s="52"/>
      <c r="I53" s="53"/>
      <c r="J53" s="53"/>
      <c r="K53" s="53"/>
      <c r="L53" s="53"/>
      <c r="M53" s="53"/>
      <c r="N53" s="53"/>
      <c r="O53" s="19"/>
      <c r="P53" s="22"/>
      <c r="Q53" s="81"/>
      <c r="R53" s="23">
        <f t="shared" si="0"/>
        <v>19</v>
      </c>
      <c r="S53" s="23"/>
      <c r="T53" s="24"/>
      <c r="U53" s="61"/>
      <c r="V53" s="62"/>
      <c r="W53" s="63"/>
    </row>
    <row r="54" spans="1:23" s="50" customFormat="1" ht="30.75" customHeight="1">
      <c r="A54" s="18"/>
      <c r="B54" s="19"/>
      <c r="C54" s="20"/>
      <c r="D54" s="21"/>
      <c r="E54" s="22"/>
      <c r="F54" s="22"/>
      <c r="G54" s="22"/>
      <c r="H54" s="52"/>
      <c r="I54" s="53"/>
      <c r="J54" s="53"/>
      <c r="K54" s="53"/>
      <c r="L54" s="53"/>
      <c r="M54" s="53"/>
      <c r="N54" s="53"/>
      <c r="O54" s="19"/>
      <c r="P54" s="22"/>
      <c r="Q54" s="81"/>
      <c r="R54" s="23">
        <f t="shared" si="0"/>
        <v>19</v>
      </c>
      <c r="S54" s="23"/>
      <c r="T54" s="24"/>
      <c r="U54" s="61"/>
      <c r="V54" s="62"/>
      <c r="W54" s="63"/>
    </row>
    <row r="55" spans="1:23" s="50" customFormat="1" ht="30.75" customHeight="1">
      <c r="A55" s="18"/>
      <c r="B55" s="19"/>
      <c r="C55" s="20"/>
      <c r="D55" s="21"/>
      <c r="E55" s="22"/>
      <c r="F55" s="22"/>
      <c r="G55" s="22"/>
      <c r="H55" s="52"/>
      <c r="I55" s="53"/>
      <c r="J55" s="53"/>
      <c r="K55" s="53"/>
      <c r="L55" s="53"/>
      <c r="M55" s="53"/>
      <c r="N55" s="53"/>
      <c r="O55" s="19"/>
      <c r="P55" s="22"/>
      <c r="Q55" s="81"/>
      <c r="R55" s="23">
        <f t="shared" si="0"/>
        <v>19</v>
      </c>
      <c r="S55" s="23"/>
      <c r="T55" s="24"/>
      <c r="U55" s="61"/>
      <c r="V55" s="62"/>
      <c r="W55" s="63"/>
    </row>
    <row r="56" spans="1:23" s="50" customFormat="1" ht="30.75" customHeight="1">
      <c r="A56" s="18"/>
      <c r="B56" s="19"/>
      <c r="C56" s="20"/>
      <c r="D56" s="21"/>
      <c r="E56" s="22"/>
      <c r="F56" s="22"/>
      <c r="G56" s="22"/>
      <c r="H56" s="52"/>
      <c r="I56" s="53"/>
      <c r="J56" s="53"/>
      <c r="K56" s="53"/>
      <c r="L56" s="53"/>
      <c r="M56" s="53"/>
      <c r="N56" s="53"/>
      <c r="O56" s="19"/>
      <c r="P56" s="22"/>
      <c r="Q56" s="81"/>
      <c r="R56" s="23">
        <f t="shared" si="0"/>
        <v>19</v>
      </c>
      <c r="S56" s="23"/>
      <c r="T56" s="24"/>
      <c r="U56" s="61"/>
      <c r="V56" s="62"/>
      <c r="W56" s="63"/>
    </row>
    <row r="57" spans="1:23" s="50" customFormat="1" ht="30.75" customHeight="1">
      <c r="A57" s="25"/>
      <c r="B57" s="19"/>
      <c r="C57" s="20"/>
      <c r="D57" s="21"/>
      <c r="E57" s="22"/>
      <c r="F57" s="22"/>
      <c r="G57" s="22"/>
      <c r="H57" s="52"/>
      <c r="I57" s="53"/>
      <c r="J57" s="53"/>
      <c r="K57" s="53"/>
      <c r="L57" s="53"/>
      <c r="M57" s="53"/>
      <c r="N57" s="53"/>
      <c r="O57" s="19"/>
      <c r="P57" s="22"/>
      <c r="Q57" s="81"/>
      <c r="R57" s="23">
        <f t="shared" si="0"/>
        <v>19</v>
      </c>
      <c r="S57" s="23"/>
      <c r="T57" s="24"/>
      <c r="U57" s="61"/>
      <c r="V57" s="62"/>
      <c r="W57" s="63"/>
    </row>
    <row r="58" spans="1:23" s="50" customFormat="1" ht="30.75" customHeight="1">
      <c r="A58" s="18"/>
      <c r="B58" s="19"/>
      <c r="C58" s="20"/>
      <c r="D58" s="21"/>
      <c r="E58" s="22"/>
      <c r="F58" s="22"/>
      <c r="G58" s="22"/>
      <c r="H58" s="52"/>
      <c r="I58" s="53"/>
      <c r="J58" s="53"/>
      <c r="K58" s="53"/>
      <c r="L58" s="53"/>
      <c r="M58" s="53"/>
      <c r="N58" s="53"/>
      <c r="O58" s="19"/>
      <c r="P58" s="22"/>
      <c r="Q58" s="81"/>
      <c r="R58" s="23">
        <f t="shared" si="0"/>
        <v>19</v>
      </c>
      <c r="S58" s="23"/>
      <c r="T58" s="24"/>
      <c r="U58" s="61"/>
      <c r="V58" s="62"/>
      <c r="W58" s="63"/>
    </row>
    <row r="59" spans="1:23" s="50" customFormat="1" ht="30.75" customHeight="1">
      <c r="A59" s="18"/>
      <c r="B59" s="19"/>
      <c r="C59" s="20"/>
      <c r="D59" s="21"/>
      <c r="E59" s="22"/>
      <c r="F59" s="22"/>
      <c r="G59" s="22"/>
      <c r="H59" s="52"/>
      <c r="I59" s="53"/>
      <c r="J59" s="53"/>
      <c r="K59" s="53"/>
      <c r="L59" s="53"/>
      <c r="M59" s="53"/>
      <c r="N59" s="53"/>
      <c r="O59" s="19"/>
      <c r="P59" s="22"/>
      <c r="Q59" s="81"/>
      <c r="R59" s="23">
        <f t="shared" si="0"/>
        <v>19</v>
      </c>
      <c r="S59" s="23"/>
      <c r="T59" s="24"/>
      <c r="U59" s="61"/>
      <c r="V59" s="62"/>
      <c r="W59" s="63"/>
    </row>
    <row r="60" spans="1:23" s="50" customFormat="1" ht="30.75" customHeight="1">
      <c r="A60" s="18"/>
      <c r="B60" s="19"/>
      <c r="C60" s="20"/>
      <c r="D60" s="21"/>
      <c r="E60" s="22"/>
      <c r="F60" s="22"/>
      <c r="G60" s="22"/>
      <c r="H60" s="52"/>
      <c r="I60" s="53"/>
      <c r="J60" s="53"/>
      <c r="K60" s="53"/>
      <c r="L60" s="53"/>
      <c r="M60" s="53"/>
      <c r="N60" s="53"/>
      <c r="O60" s="19"/>
      <c r="P60" s="22"/>
      <c r="Q60" s="81"/>
      <c r="R60" s="23">
        <f t="shared" si="0"/>
        <v>19</v>
      </c>
      <c r="S60" s="23"/>
      <c r="T60" s="24"/>
      <c r="U60" s="61"/>
      <c r="V60" s="62"/>
      <c r="W60" s="63"/>
    </row>
    <row r="61" spans="1:23" s="50" customFormat="1" ht="30.75" customHeight="1">
      <c r="A61" s="25"/>
      <c r="B61" s="19"/>
      <c r="C61" s="20"/>
      <c r="D61" s="21"/>
      <c r="E61" s="22"/>
      <c r="F61" s="22"/>
      <c r="G61" s="22"/>
      <c r="H61" s="52"/>
      <c r="I61" s="53"/>
      <c r="J61" s="53"/>
      <c r="K61" s="53"/>
      <c r="L61" s="53"/>
      <c r="M61" s="53"/>
      <c r="N61" s="53"/>
      <c r="O61" s="20"/>
      <c r="P61" s="22"/>
      <c r="Q61" s="81"/>
      <c r="R61" s="23">
        <f t="shared" si="0"/>
        <v>19</v>
      </c>
      <c r="S61" s="23"/>
      <c r="T61" s="24"/>
      <c r="U61" s="61"/>
      <c r="V61" s="62"/>
      <c r="W61" s="63"/>
    </row>
    <row r="62" spans="1:23" s="50" customFormat="1" ht="30.75" customHeight="1">
      <c r="A62" s="18"/>
      <c r="B62" s="19"/>
      <c r="C62" s="20"/>
      <c r="D62" s="21"/>
      <c r="E62" s="22"/>
      <c r="F62" s="22"/>
      <c r="G62" s="22"/>
      <c r="H62" s="52"/>
      <c r="I62" s="53"/>
      <c r="J62" s="53"/>
      <c r="K62" s="53"/>
      <c r="L62" s="53"/>
      <c r="M62" s="53"/>
      <c r="N62" s="53"/>
      <c r="O62" s="19"/>
      <c r="P62" s="22"/>
      <c r="Q62" s="81"/>
      <c r="R62" s="23">
        <f t="shared" si="0"/>
        <v>19</v>
      </c>
      <c r="S62" s="23"/>
      <c r="T62" s="24"/>
      <c r="U62" s="61"/>
      <c r="V62" s="62"/>
      <c r="W62" s="63"/>
    </row>
    <row r="63" spans="1:23" s="50" customFormat="1" ht="30.75" customHeight="1">
      <c r="A63" s="18"/>
      <c r="B63" s="19"/>
      <c r="C63" s="20"/>
      <c r="D63" s="21"/>
      <c r="E63" s="22"/>
      <c r="F63" s="22"/>
      <c r="G63" s="22"/>
      <c r="H63" s="52"/>
      <c r="I63" s="53"/>
      <c r="J63" s="53"/>
      <c r="K63" s="53"/>
      <c r="L63" s="53"/>
      <c r="M63" s="53"/>
      <c r="N63" s="53"/>
      <c r="O63" s="19"/>
      <c r="P63" s="22"/>
      <c r="Q63" s="81"/>
      <c r="R63" s="23">
        <f t="shared" si="0"/>
        <v>19</v>
      </c>
      <c r="S63" s="23"/>
      <c r="T63" s="24"/>
      <c r="U63" s="61"/>
      <c r="V63" s="62"/>
      <c r="W63" s="63"/>
    </row>
    <row r="64" spans="1:23" s="50" customFormat="1" ht="30.75" customHeight="1">
      <c r="A64" s="18"/>
      <c r="B64" s="19"/>
      <c r="C64" s="20"/>
      <c r="D64" s="21"/>
      <c r="E64" s="22"/>
      <c r="F64" s="22"/>
      <c r="G64" s="22"/>
      <c r="H64" s="52"/>
      <c r="I64" s="53"/>
      <c r="J64" s="53"/>
      <c r="K64" s="53"/>
      <c r="L64" s="53"/>
      <c r="M64" s="53"/>
      <c r="N64" s="53"/>
      <c r="O64" s="19"/>
      <c r="P64" s="22"/>
      <c r="Q64" s="81"/>
      <c r="R64" s="23">
        <f t="shared" si="0"/>
        <v>19</v>
      </c>
      <c r="S64" s="23"/>
      <c r="T64" s="24"/>
      <c r="U64" s="61"/>
      <c r="V64" s="62"/>
      <c r="W64" s="63"/>
    </row>
    <row r="65" spans="1:23" s="50" customFormat="1" ht="30.75" customHeight="1">
      <c r="A65" s="18"/>
      <c r="B65" s="19"/>
      <c r="C65" s="20"/>
      <c r="D65" s="21"/>
      <c r="E65" s="22"/>
      <c r="F65" s="22"/>
      <c r="G65" s="22"/>
      <c r="H65" s="52"/>
      <c r="I65" s="53"/>
      <c r="J65" s="53"/>
      <c r="K65" s="53"/>
      <c r="L65" s="53"/>
      <c r="M65" s="53"/>
      <c r="N65" s="53"/>
      <c r="O65" s="19"/>
      <c r="P65" s="22"/>
      <c r="Q65" s="81"/>
      <c r="R65" s="23">
        <f t="shared" si="0"/>
        <v>19</v>
      </c>
      <c r="S65" s="23"/>
      <c r="T65" s="24"/>
      <c r="U65" s="61"/>
      <c r="V65" s="62"/>
      <c r="W65" s="63"/>
    </row>
    <row r="66" spans="1:23" s="50" customFormat="1" ht="30.75" customHeight="1">
      <c r="A66" s="18"/>
      <c r="B66" s="19"/>
      <c r="C66" s="20"/>
      <c r="D66" s="21"/>
      <c r="E66" s="22"/>
      <c r="F66" s="22"/>
      <c r="G66" s="22"/>
      <c r="H66" s="52"/>
      <c r="I66" s="53"/>
      <c r="J66" s="53"/>
      <c r="K66" s="53"/>
      <c r="L66" s="53"/>
      <c r="M66" s="53"/>
      <c r="N66" s="53"/>
      <c r="O66" s="19"/>
      <c r="P66" s="22"/>
      <c r="Q66" s="81"/>
      <c r="R66" s="23">
        <f t="shared" si="0"/>
        <v>19</v>
      </c>
      <c r="S66" s="23"/>
      <c r="T66" s="24"/>
      <c r="U66" s="61"/>
      <c r="V66" s="62"/>
      <c r="W66" s="63"/>
    </row>
    <row r="67" spans="1:23" s="50" customFormat="1" ht="30.75" customHeight="1">
      <c r="A67" s="25"/>
      <c r="B67" s="19"/>
      <c r="C67" s="20"/>
      <c r="D67" s="21"/>
      <c r="E67" s="22"/>
      <c r="F67" s="22"/>
      <c r="G67" s="22"/>
      <c r="H67" s="52"/>
      <c r="I67" s="53"/>
      <c r="J67" s="53"/>
      <c r="K67" s="53"/>
      <c r="L67" s="53"/>
      <c r="M67" s="53"/>
      <c r="N67" s="53"/>
      <c r="O67" s="19"/>
      <c r="P67" s="22"/>
      <c r="Q67" s="81"/>
      <c r="R67" s="23">
        <f t="shared" si="0"/>
        <v>19</v>
      </c>
      <c r="S67" s="23"/>
      <c r="T67" s="24"/>
      <c r="U67" s="61"/>
      <c r="V67" s="62"/>
      <c r="W67" s="63"/>
    </row>
    <row r="68" spans="1:23" s="50" customFormat="1" ht="30.75" customHeight="1">
      <c r="A68" s="18"/>
      <c r="B68" s="19"/>
      <c r="C68" s="20"/>
      <c r="D68" s="21"/>
      <c r="E68" s="22"/>
      <c r="F68" s="22"/>
      <c r="G68" s="22"/>
      <c r="H68" s="52"/>
      <c r="I68" s="53"/>
      <c r="J68" s="53"/>
      <c r="K68" s="53"/>
      <c r="L68" s="53"/>
      <c r="M68" s="53"/>
      <c r="N68" s="53"/>
      <c r="O68" s="19"/>
      <c r="P68" s="22"/>
      <c r="Q68" s="81"/>
      <c r="R68" s="23">
        <f t="shared" si="0"/>
        <v>19</v>
      </c>
      <c r="S68" s="23"/>
      <c r="T68" s="24"/>
      <c r="U68" s="61"/>
      <c r="V68" s="62"/>
      <c r="W68" s="63"/>
    </row>
    <row r="69" spans="1:23" s="50" customFormat="1" ht="30.75" customHeight="1">
      <c r="A69" s="18"/>
      <c r="B69" s="19"/>
      <c r="C69" s="20"/>
      <c r="D69" s="21"/>
      <c r="E69" s="22"/>
      <c r="F69" s="22"/>
      <c r="G69" s="22"/>
      <c r="H69" s="52"/>
      <c r="I69" s="53"/>
      <c r="J69" s="53"/>
      <c r="K69" s="53"/>
      <c r="L69" s="53"/>
      <c r="M69" s="53"/>
      <c r="N69" s="53"/>
      <c r="O69" s="20"/>
      <c r="P69" s="22"/>
      <c r="Q69" s="81"/>
      <c r="R69" s="23">
        <f t="shared" si="0"/>
        <v>19</v>
      </c>
      <c r="S69" s="23"/>
      <c r="T69" s="24"/>
      <c r="U69" s="61"/>
      <c r="V69" s="62"/>
      <c r="W69" s="63"/>
    </row>
    <row r="70" spans="1:23" s="50" customFormat="1" ht="30.75" customHeight="1">
      <c r="A70" s="28"/>
      <c r="B70" s="19"/>
      <c r="C70" s="20"/>
      <c r="D70" s="21"/>
      <c r="E70" s="22"/>
      <c r="F70" s="22"/>
      <c r="G70" s="22"/>
      <c r="H70" s="52"/>
      <c r="I70" s="53"/>
      <c r="J70" s="53"/>
      <c r="K70" s="53"/>
      <c r="L70" s="53"/>
      <c r="M70" s="53"/>
      <c r="N70" s="53"/>
      <c r="O70" s="27"/>
      <c r="P70" s="22"/>
      <c r="Q70" s="81"/>
      <c r="R70" s="23">
        <f t="shared" si="0"/>
        <v>19</v>
      </c>
      <c r="S70" s="23"/>
      <c r="T70" s="24"/>
      <c r="U70" s="61"/>
      <c r="V70" s="62"/>
      <c r="W70" s="63"/>
    </row>
    <row r="71" spans="1:23" s="50" customFormat="1" ht="30.75" customHeight="1">
      <c r="A71" s="28"/>
      <c r="B71" s="19"/>
      <c r="C71" s="20"/>
      <c r="D71" s="21"/>
      <c r="E71" s="22"/>
      <c r="F71" s="22"/>
      <c r="G71" s="22"/>
      <c r="H71" s="52"/>
      <c r="I71" s="53"/>
      <c r="J71" s="53"/>
      <c r="K71" s="53"/>
      <c r="L71" s="53"/>
      <c r="M71" s="53"/>
      <c r="N71" s="53"/>
      <c r="O71" s="27"/>
      <c r="P71" s="22"/>
      <c r="Q71" s="81"/>
      <c r="R71" s="23">
        <f t="shared" si="0"/>
        <v>19</v>
      </c>
      <c r="S71" s="23"/>
      <c r="T71" s="24"/>
      <c r="U71" s="61"/>
      <c r="V71" s="62"/>
      <c r="W71" s="63"/>
    </row>
    <row r="72" spans="1:23" s="50" customFormat="1" ht="30.75" customHeight="1">
      <c r="A72" s="28"/>
      <c r="B72" s="19"/>
      <c r="C72" s="20"/>
      <c r="D72" s="21"/>
      <c r="E72" s="22"/>
      <c r="F72" s="22"/>
      <c r="G72" s="22"/>
      <c r="H72" s="52"/>
      <c r="I72" s="53"/>
      <c r="J72" s="53"/>
      <c r="K72" s="53"/>
      <c r="L72" s="53"/>
      <c r="M72" s="53"/>
      <c r="N72" s="53"/>
      <c r="O72" s="27"/>
      <c r="P72" s="22"/>
      <c r="Q72" s="81"/>
      <c r="R72" s="23">
        <f t="shared" ref="R72:R135" si="1">IF(C72=C71,R71,R71+1)</f>
        <v>19</v>
      </c>
      <c r="S72" s="23"/>
      <c r="T72" s="24"/>
      <c r="U72" s="61"/>
      <c r="V72" s="62"/>
      <c r="W72" s="63"/>
    </row>
    <row r="73" spans="1:23" s="50" customFormat="1" ht="30.75" customHeight="1">
      <c r="A73" s="26"/>
      <c r="B73" s="19"/>
      <c r="C73" s="20"/>
      <c r="D73" s="21"/>
      <c r="E73" s="22"/>
      <c r="F73" s="22"/>
      <c r="G73" s="22"/>
      <c r="H73" s="52"/>
      <c r="I73" s="53"/>
      <c r="J73" s="53"/>
      <c r="K73" s="53"/>
      <c r="L73" s="53"/>
      <c r="M73" s="53"/>
      <c r="N73" s="53"/>
      <c r="O73" s="27"/>
      <c r="P73" s="22"/>
      <c r="Q73" s="81"/>
      <c r="R73" s="23">
        <f t="shared" si="1"/>
        <v>19</v>
      </c>
      <c r="S73" s="23"/>
      <c r="T73" s="24"/>
      <c r="U73" s="61"/>
      <c r="V73" s="62"/>
      <c r="W73" s="63"/>
    </row>
    <row r="74" spans="1:23" s="50" customFormat="1" ht="30.75" customHeight="1">
      <c r="A74" s="28"/>
      <c r="B74" s="19"/>
      <c r="C74" s="20"/>
      <c r="D74" s="21"/>
      <c r="E74" s="22"/>
      <c r="F74" s="22"/>
      <c r="G74" s="22"/>
      <c r="H74" s="52"/>
      <c r="I74" s="53"/>
      <c r="J74" s="53"/>
      <c r="K74" s="53"/>
      <c r="L74" s="53"/>
      <c r="M74" s="53"/>
      <c r="N74" s="53"/>
      <c r="O74" s="27"/>
      <c r="P74" s="22"/>
      <c r="Q74" s="81"/>
      <c r="R74" s="23">
        <f t="shared" si="1"/>
        <v>19</v>
      </c>
      <c r="S74" s="23"/>
      <c r="T74" s="24"/>
      <c r="U74" s="61"/>
      <c r="V74" s="62"/>
      <c r="W74" s="63"/>
    </row>
    <row r="75" spans="1:23" s="50" customFormat="1" ht="30.75" customHeight="1">
      <c r="A75" s="28"/>
      <c r="B75" s="19"/>
      <c r="C75" s="20"/>
      <c r="D75" s="21"/>
      <c r="E75" s="22"/>
      <c r="F75" s="22"/>
      <c r="G75" s="22"/>
      <c r="H75" s="52"/>
      <c r="I75" s="53"/>
      <c r="J75" s="53"/>
      <c r="K75" s="53"/>
      <c r="L75" s="53"/>
      <c r="M75" s="53"/>
      <c r="N75" s="53"/>
      <c r="O75" s="27"/>
      <c r="P75" s="22"/>
      <c r="Q75" s="81"/>
      <c r="R75" s="23">
        <f t="shared" si="1"/>
        <v>19</v>
      </c>
      <c r="S75" s="23"/>
      <c r="T75" s="24"/>
      <c r="U75" s="61"/>
      <c r="V75" s="62"/>
      <c r="W75" s="63"/>
    </row>
    <row r="76" spans="1:23" s="50" customFormat="1" ht="30.75" customHeight="1">
      <c r="A76" s="28"/>
      <c r="B76" s="19"/>
      <c r="C76" s="20"/>
      <c r="D76" s="21"/>
      <c r="E76" s="22"/>
      <c r="F76" s="22"/>
      <c r="G76" s="22"/>
      <c r="H76" s="52"/>
      <c r="I76" s="53"/>
      <c r="J76" s="53"/>
      <c r="K76" s="53"/>
      <c r="L76" s="53"/>
      <c r="M76" s="53"/>
      <c r="N76" s="53"/>
      <c r="O76" s="27"/>
      <c r="P76" s="22"/>
      <c r="Q76" s="81"/>
      <c r="R76" s="23">
        <f t="shared" si="1"/>
        <v>19</v>
      </c>
      <c r="S76" s="23"/>
      <c r="T76" s="24"/>
      <c r="U76" s="61"/>
      <c r="V76" s="62"/>
      <c r="W76" s="63"/>
    </row>
    <row r="77" spans="1:23" s="50" customFormat="1" ht="30.75" customHeight="1">
      <c r="A77" s="28"/>
      <c r="B77" s="19"/>
      <c r="C77" s="20"/>
      <c r="D77" s="21"/>
      <c r="E77" s="22"/>
      <c r="F77" s="22"/>
      <c r="G77" s="22"/>
      <c r="H77" s="52"/>
      <c r="I77" s="53"/>
      <c r="J77" s="53"/>
      <c r="K77" s="53"/>
      <c r="L77" s="53"/>
      <c r="M77" s="53"/>
      <c r="N77" s="53"/>
      <c r="O77" s="27"/>
      <c r="P77" s="22"/>
      <c r="Q77" s="81"/>
      <c r="R77" s="23">
        <f t="shared" si="1"/>
        <v>19</v>
      </c>
      <c r="S77" s="23"/>
      <c r="T77" s="24"/>
      <c r="U77" s="61"/>
      <c r="V77" s="62"/>
      <c r="W77" s="63"/>
    </row>
    <row r="78" spans="1:23" s="50" customFormat="1" ht="30.75" customHeight="1">
      <c r="A78" s="28"/>
      <c r="B78" s="19"/>
      <c r="C78" s="20"/>
      <c r="D78" s="21"/>
      <c r="E78" s="22"/>
      <c r="F78" s="22"/>
      <c r="G78" s="22"/>
      <c r="H78" s="52"/>
      <c r="I78" s="53"/>
      <c r="J78" s="53"/>
      <c r="K78" s="53"/>
      <c r="L78" s="53"/>
      <c r="M78" s="53"/>
      <c r="N78" s="53"/>
      <c r="O78" s="27"/>
      <c r="P78" s="22"/>
      <c r="Q78" s="81"/>
      <c r="R78" s="23">
        <f t="shared" si="1"/>
        <v>19</v>
      </c>
      <c r="S78" s="23"/>
      <c r="T78" s="24"/>
      <c r="U78" s="61"/>
      <c r="V78" s="62"/>
      <c r="W78" s="63"/>
    </row>
    <row r="79" spans="1:23" s="50" customFormat="1" ht="30.75" customHeight="1">
      <c r="A79" s="26"/>
      <c r="B79" s="19"/>
      <c r="C79" s="20"/>
      <c r="D79" s="21"/>
      <c r="E79" s="22"/>
      <c r="F79" s="22"/>
      <c r="G79" s="22"/>
      <c r="H79" s="52"/>
      <c r="I79" s="53"/>
      <c r="J79" s="53"/>
      <c r="K79" s="53"/>
      <c r="L79" s="53"/>
      <c r="M79" s="53"/>
      <c r="N79" s="53"/>
      <c r="O79" s="27"/>
      <c r="P79" s="22"/>
      <c r="Q79" s="81"/>
      <c r="R79" s="23">
        <f t="shared" si="1"/>
        <v>19</v>
      </c>
      <c r="S79" s="23"/>
      <c r="T79" s="24"/>
      <c r="U79" s="61"/>
      <c r="V79" s="62"/>
      <c r="W79" s="63"/>
    </row>
    <row r="80" spans="1:23" s="50" customFormat="1" ht="30.75" customHeight="1">
      <c r="A80" s="28"/>
      <c r="B80" s="19"/>
      <c r="C80" s="20"/>
      <c r="D80" s="21"/>
      <c r="E80" s="22"/>
      <c r="F80" s="22"/>
      <c r="G80" s="22"/>
      <c r="H80" s="52"/>
      <c r="I80" s="53"/>
      <c r="J80" s="53"/>
      <c r="K80" s="53"/>
      <c r="L80" s="53"/>
      <c r="M80" s="53"/>
      <c r="N80" s="53"/>
      <c r="O80" s="27"/>
      <c r="P80" s="22"/>
      <c r="Q80" s="81"/>
      <c r="R80" s="23">
        <f t="shared" si="1"/>
        <v>19</v>
      </c>
      <c r="S80" s="23"/>
      <c r="T80" s="24"/>
      <c r="U80" s="61"/>
      <c r="V80" s="62"/>
      <c r="W80" s="63"/>
    </row>
    <row r="81" spans="1:23" s="50" customFormat="1" ht="30.75" customHeight="1">
      <c r="A81" s="28"/>
      <c r="B81" s="19"/>
      <c r="C81" s="20"/>
      <c r="D81" s="21"/>
      <c r="E81" s="22"/>
      <c r="F81" s="22"/>
      <c r="G81" s="22"/>
      <c r="H81" s="52"/>
      <c r="I81" s="53"/>
      <c r="J81" s="53"/>
      <c r="K81" s="53"/>
      <c r="L81" s="53"/>
      <c r="M81" s="53"/>
      <c r="N81" s="53"/>
      <c r="O81" s="27"/>
      <c r="P81" s="22"/>
      <c r="Q81" s="81"/>
      <c r="R81" s="23">
        <f t="shared" si="1"/>
        <v>19</v>
      </c>
      <c r="S81" s="23"/>
      <c r="T81" s="24"/>
      <c r="U81" s="61"/>
      <c r="V81" s="62"/>
      <c r="W81" s="63"/>
    </row>
    <row r="82" spans="1:23" s="50" customFormat="1" ht="30.75" customHeight="1">
      <c r="A82" s="28"/>
      <c r="B82" s="19"/>
      <c r="C82" s="20"/>
      <c r="D82" s="21"/>
      <c r="E82" s="22"/>
      <c r="F82" s="22"/>
      <c r="G82" s="22"/>
      <c r="H82" s="52"/>
      <c r="I82" s="53"/>
      <c r="J82" s="53"/>
      <c r="K82" s="53"/>
      <c r="L82" s="53"/>
      <c r="M82" s="53"/>
      <c r="N82" s="53"/>
      <c r="O82" s="27"/>
      <c r="P82" s="22"/>
      <c r="Q82" s="81"/>
      <c r="R82" s="23">
        <f t="shared" si="1"/>
        <v>19</v>
      </c>
      <c r="S82" s="23"/>
      <c r="T82" s="24"/>
      <c r="U82" s="61"/>
      <c r="V82" s="62"/>
      <c r="W82" s="63"/>
    </row>
    <row r="83" spans="1:23" s="50" customFormat="1" ht="30.75" customHeight="1">
      <c r="A83" s="26"/>
      <c r="B83" s="19"/>
      <c r="C83" s="20"/>
      <c r="D83" s="21"/>
      <c r="E83" s="22"/>
      <c r="F83" s="22"/>
      <c r="G83" s="22"/>
      <c r="H83" s="52"/>
      <c r="I83" s="53"/>
      <c r="J83" s="53"/>
      <c r="K83" s="53"/>
      <c r="L83" s="53"/>
      <c r="M83" s="53"/>
      <c r="N83" s="53"/>
      <c r="O83" s="27"/>
      <c r="P83" s="22"/>
      <c r="Q83" s="81"/>
      <c r="R83" s="23">
        <f t="shared" si="1"/>
        <v>19</v>
      </c>
      <c r="S83" s="23"/>
      <c r="T83" s="24"/>
      <c r="U83" s="61"/>
      <c r="V83" s="62"/>
      <c r="W83" s="63"/>
    </row>
    <row r="84" spans="1:23" s="50" customFormat="1" ht="30.75" customHeight="1">
      <c r="A84" s="28"/>
      <c r="B84" s="19"/>
      <c r="C84" s="20"/>
      <c r="D84" s="21"/>
      <c r="E84" s="22"/>
      <c r="F84" s="22"/>
      <c r="G84" s="22"/>
      <c r="H84" s="52"/>
      <c r="I84" s="53"/>
      <c r="J84" s="53"/>
      <c r="K84" s="53"/>
      <c r="L84" s="53"/>
      <c r="M84" s="53"/>
      <c r="N84" s="53"/>
      <c r="O84" s="27"/>
      <c r="P84" s="22"/>
      <c r="R84" s="23">
        <f t="shared" si="1"/>
        <v>19</v>
      </c>
      <c r="S84" s="23"/>
      <c r="T84" s="24"/>
      <c r="U84" s="61"/>
      <c r="V84" s="62"/>
      <c r="W84" s="63"/>
    </row>
    <row r="85" spans="1:23" s="50" customFormat="1" ht="30.75" customHeight="1">
      <c r="A85" s="28"/>
      <c r="B85" s="19"/>
      <c r="C85" s="20"/>
      <c r="D85" s="21"/>
      <c r="E85" s="22"/>
      <c r="F85" s="22"/>
      <c r="G85" s="22"/>
      <c r="H85" s="52"/>
      <c r="I85" s="53"/>
      <c r="J85" s="53"/>
      <c r="K85" s="53"/>
      <c r="L85" s="53"/>
      <c r="M85" s="53"/>
      <c r="N85" s="53"/>
      <c r="O85" s="27"/>
      <c r="P85" s="22"/>
      <c r="R85" s="23">
        <f t="shared" si="1"/>
        <v>19</v>
      </c>
      <c r="S85" s="23"/>
      <c r="T85" s="24"/>
      <c r="U85" s="61"/>
      <c r="V85" s="62"/>
      <c r="W85" s="63"/>
    </row>
    <row r="86" spans="1:23" s="50" customFormat="1" ht="30.75" customHeight="1">
      <c r="A86" s="28"/>
      <c r="B86" s="19"/>
      <c r="C86" s="20"/>
      <c r="D86" s="21"/>
      <c r="E86" s="22"/>
      <c r="F86" s="22"/>
      <c r="G86" s="22"/>
      <c r="H86" s="52"/>
      <c r="I86" s="53"/>
      <c r="J86" s="53"/>
      <c r="K86" s="53"/>
      <c r="L86" s="53"/>
      <c r="M86" s="53"/>
      <c r="N86" s="53"/>
      <c r="O86" s="27"/>
      <c r="P86" s="22"/>
      <c r="R86" s="23">
        <f t="shared" si="1"/>
        <v>19</v>
      </c>
      <c r="S86" s="23"/>
      <c r="T86" s="24"/>
      <c r="U86" s="61"/>
      <c r="V86" s="62"/>
      <c r="W86" s="63"/>
    </row>
    <row r="87" spans="1:23" s="50" customFormat="1" ht="30.75" customHeight="1">
      <c r="A87" s="28"/>
      <c r="B87" s="19"/>
      <c r="C87" s="20"/>
      <c r="D87" s="21"/>
      <c r="E87" s="22"/>
      <c r="F87" s="22"/>
      <c r="G87" s="22"/>
      <c r="H87" s="52"/>
      <c r="I87" s="53"/>
      <c r="J87" s="53"/>
      <c r="K87" s="53"/>
      <c r="L87" s="53"/>
      <c r="M87" s="53"/>
      <c r="N87" s="53"/>
      <c r="O87" s="27"/>
      <c r="P87" s="22"/>
      <c r="R87" s="23">
        <f t="shared" si="1"/>
        <v>19</v>
      </c>
      <c r="S87" s="23"/>
      <c r="T87" s="24"/>
      <c r="U87" s="61"/>
      <c r="V87" s="62"/>
      <c r="W87" s="63"/>
    </row>
    <row r="88" spans="1:23" s="50" customFormat="1" ht="30.75" customHeight="1">
      <c r="A88" s="26"/>
      <c r="B88" s="19"/>
      <c r="C88" s="20"/>
      <c r="D88" s="21"/>
      <c r="E88" s="22"/>
      <c r="F88" s="22"/>
      <c r="G88" s="22"/>
      <c r="H88" s="52"/>
      <c r="I88" s="53"/>
      <c r="J88" s="53"/>
      <c r="K88" s="53"/>
      <c r="L88" s="53"/>
      <c r="M88" s="53"/>
      <c r="N88" s="53"/>
      <c r="O88" s="27"/>
      <c r="P88" s="22"/>
      <c r="R88" s="23">
        <f t="shared" si="1"/>
        <v>19</v>
      </c>
      <c r="S88" s="23"/>
      <c r="T88" s="24"/>
      <c r="U88" s="61"/>
      <c r="V88" s="62"/>
      <c r="W88" s="63"/>
    </row>
    <row r="89" spans="1:23" s="50" customFormat="1" ht="30.75" customHeight="1">
      <c r="A89" s="28"/>
      <c r="B89" s="19"/>
      <c r="C89" s="20"/>
      <c r="D89" s="21"/>
      <c r="E89" s="22"/>
      <c r="F89" s="22"/>
      <c r="G89" s="22"/>
      <c r="H89" s="52"/>
      <c r="I89" s="53"/>
      <c r="J89" s="53"/>
      <c r="K89" s="53"/>
      <c r="L89" s="53"/>
      <c r="M89" s="53"/>
      <c r="N89" s="53"/>
      <c r="O89" s="27"/>
      <c r="P89" s="22"/>
      <c r="R89" s="23">
        <f t="shared" si="1"/>
        <v>19</v>
      </c>
      <c r="S89" s="23"/>
      <c r="T89" s="24"/>
      <c r="U89" s="61"/>
      <c r="V89" s="62"/>
      <c r="W89" s="63"/>
    </row>
    <row r="90" spans="1:23" s="50" customFormat="1" ht="30.75" customHeight="1">
      <c r="A90" s="28"/>
      <c r="B90" s="19"/>
      <c r="C90" s="20"/>
      <c r="D90" s="21"/>
      <c r="E90" s="22"/>
      <c r="F90" s="22"/>
      <c r="G90" s="22"/>
      <c r="H90" s="52"/>
      <c r="I90" s="53"/>
      <c r="J90" s="53"/>
      <c r="K90" s="53"/>
      <c r="L90" s="53"/>
      <c r="M90" s="53"/>
      <c r="N90" s="53"/>
      <c r="O90" s="27"/>
      <c r="P90" s="22"/>
      <c r="R90" s="23">
        <f t="shared" si="1"/>
        <v>19</v>
      </c>
      <c r="S90" s="23"/>
      <c r="T90" s="24"/>
      <c r="U90" s="61"/>
      <c r="V90" s="62"/>
      <c r="W90" s="63"/>
    </row>
    <row r="91" spans="1:23" s="50" customFormat="1" ht="30.75" customHeight="1">
      <c r="A91" s="28"/>
      <c r="B91" s="19"/>
      <c r="C91" s="20"/>
      <c r="D91" s="21"/>
      <c r="E91" s="22"/>
      <c r="F91" s="22"/>
      <c r="G91" s="22"/>
      <c r="H91" s="52"/>
      <c r="I91" s="53"/>
      <c r="J91" s="53"/>
      <c r="K91" s="53"/>
      <c r="L91" s="53"/>
      <c r="M91" s="53"/>
      <c r="N91" s="53"/>
      <c r="O91" s="27"/>
      <c r="P91" s="22"/>
      <c r="R91" s="23">
        <f t="shared" si="1"/>
        <v>19</v>
      </c>
      <c r="S91" s="23"/>
      <c r="T91" s="24"/>
      <c r="U91" s="61"/>
      <c r="V91" s="62"/>
      <c r="W91" s="63"/>
    </row>
    <row r="92" spans="1:23" s="50" customFormat="1" ht="30.75" customHeight="1">
      <c r="A92" s="28"/>
      <c r="B92" s="19"/>
      <c r="C92" s="20"/>
      <c r="D92" s="21"/>
      <c r="E92" s="22"/>
      <c r="F92" s="22"/>
      <c r="G92" s="22"/>
      <c r="H92" s="52"/>
      <c r="I92" s="53"/>
      <c r="J92" s="53"/>
      <c r="K92" s="53"/>
      <c r="L92" s="53"/>
      <c r="M92" s="53"/>
      <c r="N92" s="53"/>
      <c r="O92" s="27"/>
      <c r="P92" s="22"/>
      <c r="R92" s="23">
        <f t="shared" si="1"/>
        <v>19</v>
      </c>
      <c r="S92" s="23"/>
      <c r="T92" s="24"/>
      <c r="U92" s="61"/>
      <c r="V92" s="62"/>
      <c r="W92" s="63"/>
    </row>
    <row r="93" spans="1:23" s="50" customFormat="1" ht="30.75" customHeight="1">
      <c r="A93" s="28"/>
      <c r="B93" s="19"/>
      <c r="C93" s="20"/>
      <c r="D93" s="21"/>
      <c r="E93" s="22"/>
      <c r="F93" s="22"/>
      <c r="G93" s="22"/>
      <c r="H93" s="52"/>
      <c r="I93" s="53"/>
      <c r="J93" s="53"/>
      <c r="K93" s="53"/>
      <c r="L93" s="53"/>
      <c r="M93" s="53"/>
      <c r="N93" s="53"/>
      <c r="O93" s="27"/>
      <c r="P93" s="22"/>
      <c r="R93" s="23">
        <f t="shared" si="1"/>
        <v>19</v>
      </c>
      <c r="S93" s="23"/>
      <c r="T93" s="24"/>
      <c r="U93" s="61"/>
      <c r="V93" s="62"/>
      <c r="W93" s="63"/>
    </row>
    <row r="94" spans="1:23" s="50" customFormat="1" ht="30.75" customHeight="1">
      <c r="A94" s="28"/>
      <c r="B94" s="19"/>
      <c r="C94" s="20"/>
      <c r="D94" s="21"/>
      <c r="E94" s="22"/>
      <c r="F94" s="22"/>
      <c r="G94" s="22"/>
      <c r="H94" s="52"/>
      <c r="I94" s="53"/>
      <c r="J94" s="53"/>
      <c r="K94" s="53"/>
      <c r="L94" s="53"/>
      <c r="M94" s="53"/>
      <c r="N94" s="53"/>
      <c r="O94" s="27"/>
      <c r="P94" s="22"/>
      <c r="R94" s="23">
        <f t="shared" si="1"/>
        <v>19</v>
      </c>
      <c r="S94" s="23"/>
      <c r="T94" s="24"/>
      <c r="U94" s="61"/>
      <c r="V94" s="62"/>
      <c r="W94" s="63"/>
    </row>
    <row r="95" spans="1:23" s="50" customFormat="1" ht="30.75" customHeight="1">
      <c r="A95" s="28"/>
      <c r="B95" s="19"/>
      <c r="C95" s="20"/>
      <c r="D95" s="21"/>
      <c r="E95" s="22"/>
      <c r="F95" s="22"/>
      <c r="G95" s="22"/>
      <c r="H95" s="52"/>
      <c r="I95" s="53"/>
      <c r="J95" s="53"/>
      <c r="K95" s="53"/>
      <c r="L95" s="53"/>
      <c r="M95" s="53"/>
      <c r="N95" s="53"/>
      <c r="O95" s="27"/>
      <c r="P95" s="22"/>
      <c r="R95" s="23">
        <f t="shared" si="1"/>
        <v>19</v>
      </c>
      <c r="S95" s="23"/>
      <c r="T95" s="24"/>
      <c r="U95" s="61"/>
      <c r="V95" s="62"/>
      <c r="W95" s="63"/>
    </row>
    <row r="96" spans="1:23" s="50" customFormat="1" ht="30.75" customHeight="1">
      <c r="A96" s="28"/>
      <c r="B96" s="19"/>
      <c r="C96" s="20"/>
      <c r="D96" s="21"/>
      <c r="E96" s="22"/>
      <c r="F96" s="22"/>
      <c r="G96" s="22"/>
      <c r="H96" s="52"/>
      <c r="I96" s="53"/>
      <c r="J96" s="53"/>
      <c r="K96" s="53"/>
      <c r="L96" s="53"/>
      <c r="M96" s="53"/>
      <c r="N96" s="53"/>
      <c r="O96" s="27"/>
      <c r="P96" s="22"/>
      <c r="R96" s="23">
        <f t="shared" si="1"/>
        <v>19</v>
      </c>
      <c r="S96" s="23"/>
      <c r="T96" s="24"/>
      <c r="U96" s="61"/>
      <c r="V96" s="62"/>
      <c r="W96" s="63"/>
    </row>
    <row r="97" spans="1:23" s="50" customFormat="1" ht="30.75" customHeight="1">
      <c r="A97" s="28"/>
      <c r="B97" s="19"/>
      <c r="C97" s="20"/>
      <c r="D97" s="21"/>
      <c r="E97" s="22"/>
      <c r="F97" s="22"/>
      <c r="G97" s="22"/>
      <c r="H97" s="52"/>
      <c r="I97" s="53"/>
      <c r="J97" s="53"/>
      <c r="K97" s="53"/>
      <c r="L97" s="53"/>
      <c r="M97" s="53"/>
      <c r="N97" s="53"/>
      <c r="O97" s="27"/>
      <c r="P97" s="22"/>
      <c r="R97" s="23">
        <f t="shared" si="1"/>
        <v>19</v>
      </c>
      <c r="S97" s="23"/>
      <c r="T97" s="24"/>
      <c r="U97" s="61"/>
      <c r="V97" s="62"/>
      <c r="W97" s="63"/>
    </row>
    <row r="98" spans="1:23" s="50" customFormat="1" ht="30.75" customHeight="1">
      <c r="A98" s="26"/>
      <c r="B98" s="19"/>
      <c r="C98" s="20"/>
      <c r="D98" s="21"/>
      <c r="E98" s="22"/>
      <c r="F98" s="22"/>
      <c r="G98" s="22"/>
      <c r="H98" s="52"/>
      <c r="I98" s="53"/>
      <c r="J98" s="53"/>
      <c r="K98" s="53"/>
      <c r="L98" s="53"/>
      <c r="M98" s="53"/>
      <c r="N98" s="53"/>
      <c r="O98" s="27"/>
      <c r="P98" s="22"/>
      <c r="R98" s="23">
        <f t="shared" si="1"/>
        <v>19</v>
      </c>
      <c r="S98" s="23"/>
      <c r="T98" s="24"/>
      <c r="U98" s="61"/>
      <c r="V98" s="62"/>
      <c r="W98" s="63"/>
    </row>
    <row r="99" spans="1:23" s="50" customFormat="1" ht="30.75" customHeight="1">
      <c r="A99" s="28"/>
      <c r="B99" s="19"/>
      <c r="C99" s="20"/>
      <c r="D99" s="21"/>
      <c r="E99" s="22"/>
      <c r="F99" s="22"/>
      <c r="G99" s="22"/>
      <c r="H99" s="52"/>
      <c r="I99" s="53"/>
      <c r="J99" s="53"/>
      <c r="K99" s="53"/>
      <c r="L99" s="53"/>
      <c r="M99" s="53"/>
      <c r="N99" s="53"/>
      <c r="O99" s="27"/>
      <c r="P99" s="22"/>
      <c r="R99" s="23">
        <f t="shared" si="1"/>
        <v>19</v>
      </c>
      <c r="S99" s="23"/>
      <c r="T99" s="24"/>
      <c r="U99" s="61"/>
      <c r="V99" s="62"/>
      <c r="W99" s="63"/>
    </row>
    <row r="100" spans="1:23" s="50" customFormat="1" ht="30.75" customHeight="1">
      <c r="A100" s="28"/>
      <c r="B100" s="19"/>
      <c r="C100" s="20"/>
      <c r="D100" s="21"/>
      <c r="E100" s="22"/>
      <c r="F100" s="22"/>
      <c r="G100" s="22"/>
      <c r="H100" s="52"/>
      <c r="I100" s="53"/>
      <c r="J100" s="53"/>
      <c r="K100" s="53"/>
      <c r="L100" s="53"/>
      <c r="M100" s="53"/>
      <c r="N100" s="53"/>
      <c r="O100" s="27"/>
      <c r="P100" s="22"/>
      <c r="R100" s="23">
        <f t="shared" si="1"/>
        <v>19</v>
      </c>
      <c r="S100" s="23"/>
      <c r="T100" s="24"/>
      <c r="U100" s="61"/>
      <c r="V100" s="62"/>
      <c r="W100" s="63"/>
    </row>
    <row r="101" spans="1:23" s="50" customFormat="1" ht="30.75" customHeight="1">
      <c r="A101" s="28"/>
      <c r="B101" s="19"/>
      <c r="C101" s="20"/>
      <c r="D101" s="21"/>
      <c r="E101" s="22"/>
      <c r="F101" s="22"/>
      <c r="G101" s="22"/>
      <c r="H101" s="52"/>
      <c r="I101" s="53"/>
      <c r="J101" s="53"/>
      <c r="K101" s="53"/>
      <c r="L101" s="53"/>
      <c r="M101" s="53"/>
      <c r="N101" s="53"/>
      <c r="O101" s="27"/>
      <c r="P101" s="22"/>
      <c r="R101" s="23">
        <f t="shared" si="1"/>
        <v>19</v>
      </c>
      <c r="S101" s="23"/>
      <c r="T101" s="24"/>
      <c r="U101" s="61"/>
      <c r="V101" s="62"/>
      <c r="W101" s="63"/>
    </row>
    <row r="102" spans="1:23" s="50" customFormat="1" ht="30.75" customHeight="1">
      <c r="A102" s="28"/>
      <c r="B102" s="19"/>
      <c r="C102" s="20"/>
      <c r="D102" s="21"/>
      <c r="E102" s="22"/>
      <c r="F102" s="22"/>
      <c r="G102" s="22"/>
      <c r="H102" s="52"/>
      <c r="I102" s="53"/>
      <c r="J102" s="53"/>
      <c r="K102" s="53"/>
      <c r="L102" s="53"/>
      <c r="M102" s="53"/>
      <c r="N102" s="53"/>
      <c r="O102" s="27"/>
      <c r="P102" s="22"/>
      <c r="R102" s="23">
        <f t="shared" si="1"/>
        <v>19</v>
      </c>
      <c r="S102" s="23"/>
      <c r="T102" s="24"/>
      <c r="U102" s="61"/>
      <c r="V102" s="62"/>
      <c r="W102" s="63"/>
    </row>
    <row r="103" spans="1:23" s="50" customFormat="1" ht="30.75" customHeight="1">
      <c r="A103" s="28"/>
      <c r="B103" s="19"/>
      <c r="C103" s="20"/>
      <c r="D103" s="21"/>
      <c r="E103" s="22"/>
      <c r="F103" s="22"/>
      <c r="G103" s="22"/>
      <c r="H103" s="52"/>
      <c r="I103" s="53"/>
      <c r="J103" s="53"/>
      <c r="K103" s="53"/>
      <c r="L103" s="53"/>
      <c r="M103" s="53"/>
      <c r="N103" s="53"/>
      <c r="O103" s="27"/>
      <c r="P103" s="22"/>
      <c r="R103" s="23">
        <f t="shared" si="1"/>
        <v>19</v>
      </c>
      <c r="S103" s="23"/>
      <c r="T103" s="24"/>
      <c r="U103" s="61"/>
      <c r="V103" s="62"/>
      <c r="W103" s="63"/>
    </row>
    <row r="104" spans="1:23" s="50" customFormat="1" ht="30.75" customHeight="1">
      <c r="A104" s="28"/>
      <c r="B104" s="19"/>
      <c r="C104" s="20"/>
      <c r="D104" s="21"/>
      <c r="E104" s="22"/>
      <c r="F104" s="22"/>
      <c r="G104" s="22"/>
      <c r="H104" s="52"/>
      <c r="I104" s="53"/>
      <c r="J104" s="53"/>
      <c r="K104" s="53"/>
      <c r="L104" s="53"/>
      <c r="M104" s="53"/>
      <c r="N104" s="53"/>
      <c r="O104" s="27"/>
      <c r="P104" s="22"/>
      <c r="R104" s="23">
        <f t="shared" si="1"/>
        <v>19</v>
      </c>
      <c r="S104" s="23"/>
      <c r="T104" s="24"/>
      <c r="U104" s="61"/>
      <c r="V104" s="62"/>
      <c r="W104" s="63"/>
    </row>
    <row r="105" spans="1:23" s="50" customFormat="1" ht="30.75" customHeight="1">
      <c r="A105" s="28"/>
      <c r="B105" s="19"/>
      <c r="C105" s="20"/>
      <c r="D105" s="21"/>
      <c r="E105" s="22"/>
      <c r="F105" s="22"/>
      <c r="G105" s="22"/>
      <c r="H105" s="52"/>
      <c r="I105" s="53"/>
      <c r="J105" s="53"/>
      <c r="K105" s="53"/>
      <c r="L105" s="53"/>
      <c r="M105" s="53"/>
      <c r="N105" s="53"/>
      <c r="O105" s="27"/>
      <c r="P105" s="22"/>
      <c r="R105" s="23">
        <f t="shared" si="1"/>
        <v>19</v>
      </c>
      <c r="S105" s="23"/>
      <c r="T105" s="24"/>
      <c r="U105" s="61"/>
      <c r="V105" s="62"/>
      <c r="W105" s="63"/>
    </row>
    <row r="106" spans="1:23" s="50" customFormat="1" ht="30.75" customHeight="1">
      <c r="A106" s="26"/>
      <c r="B106" s="19"/>
      <c r="C106" s="20"/>
      <c r="D106" s="21"/>
      <c r="E106" s="22"/>
      <c r="F106" s="22"/>
      <c r="G106" s="22"/>
      <c r="H106" s="52"/>
      <c r="I106" s="53"/>
      <c r="J106" s="53"/>
      <c r="K106" s="53"/>
      <c r="L106" s="53"/>
      <c r="M106" s="53"/>
      <c r="N106" s="53"/>
      <c r="O106" s="27"/>
      <c r="P106" s="22"/>
      <c r="R106" s="23">
        <f t="shared" si="1"/>
        <v>19</v>
      </c>
      <c r="S106" s="23"/>
      <c r="T106" s="24"/>
      <c r="U106" s="61"/>
      <c r="V106" s="62"/>
      <c r="W106" s="63"/>
    </row>
    <row r="107" spans="1:23" s="50" customFormat="1" ht="30.75" customHeight="1">
      <c r="A107" s="18"/>
      <c r="B107" s="19"/>
      <c r="C107" s="20"/>
      <c r="D107" s="21"/>
      <c r="E107" s="22"/>
      <c r="F107" s="22"/>
      <c r="G107" s="22"/>
      <c r="H107" s="52"/>
      <c r="I107" s="53"/>
      <c r="J107" s="53"/>
      <c r="K107" s="53"/>
      <c r="L107" s="53"/>
      <c r="M107" s="53"/>
      <c r="N107" s="53"/>
      <c r="O107" s="27"/>
      <c r="P107" s="22"/>
      <c r="R107" s="23">
        <f t="shared" si="1"/>
        <v>19</v>
      </c>
      <c r="S107" s="23"/>
      <c r="T107" s="24"/>
      <c r="U107" s="61"/>
      <c r="V107" s="62"/>
      <c r="W107" s="63"/>
    </row>
    <row r="108" spans="1:23" s="50" customFormat="1" ht="30.75" customHeight="1">
      <c r="A108" s="18"/>
      <c r="B108" s="19"/>
      <c r="C108" s="20"/>
      <c r="D108" s="21"/>
      <c r="E108" s="22"/>
      <c r="F108" s="22"/>
      <c r="G108" s="22"/>
      <c r="H108" s="52"/>
      <c r="I108" s="53"/>
      <c r="J108" s="53"/>
      <c r="K108" s="53"/>
      <c r="L108" s="53"/>
      <c r="M108" s="53"/>
      <c r="N108" s="53"/>
      <c r="O108" s="19"/>
      <c r="P108" s="22"/>
      <c r="R108" s="23">
        <f t="shared" si="1"/>
        <v>19</v>
      </c>
      <c r="S108" s="23"/>
      <c r="T108" s="24"/>
      <c r="U108" s="61"/>
      <c r="V108" s="62"/>
      <c r="W108" s="63"/>
    </row>
    <row r="109" spans="1:23" s="50" customFormat="1" ht="30.75" customHeight="1">
      <c r="A109" s="18"/>
      <c r="B109" s="19"/>
      <c r="C109" s="20"/>
      <c r="D109" s="21"/>
      <c r="E109" s="22"/>
      <c r="F109" s="22"/>
      <c r="G109" s="22"/>
      <c r="H109" s="52"/>
      <c r="I109" s="53"/>
      <c r="J109" s="53"/>
      <c r="K109" s="53"/>
      <c r="L109" s="53"/>
      <c r="M109" s="53"/>
      <c r="N109" s="53"/>
      <c r="O109" s="19"/>
      <c r="P109" s="22"/>
      <c r="R109" s="23">
        <f t="shared" si="1"/>
        <v>19</v>
      </c>
      <c r="S109" s="23"/>
      <c r="T109" s="24"/>
      <c r="U109" s="61"/>
      <c r="V109" s="62"/>
      <c r="W109" s="63"/>
    </row>
    <row r="110" spans="1:23" s="50" customFormat="1" ht="30.75" customHeight="1">
      <c r="A110" s="25"/>
      <c r="B110" s="19"/>
      <c r="C110" s="20"/>
      <c r="D110" s="21"/>
      <c r="E110" s="22"/>
      <c r="F110" s="22"/>
      <c r="G110" s="22"/>
      <c r="H110" s="52"/>
      <c r="I110" s="53"/>
      <c r="J110" s="53"/>
      <c r="K110" s="53"/>
      <c r="L110" s="53"/>
      <c r="M110" s="53"/>
      <c r="N110" s="53"/>
      <c r="O110" s="19"/>
      <c r="P110" s="22"/>
      <c r="R110" s="23">
        <f t="shared" si="1"/>
        <v>19</v>
      </c>
      <c r="S110" s="23"/>
      <c r="T110" s="24"/>
      <c r="U110" s="61"/>
      <c r="V110" s="62"/>
      <c r="W110" s="63"/>
    </row>
    <row r="111" spans="1:23" s="50" customFormat="1" ht="30.75" customHeight="1">
      <c r="A111" s="18"/>
      <c r="B111" s="19"/>
      <c r="C111" s="20"/>
      <c r="D111" s="21"/>
      <c r="E111" s="22"/>
      <c r="F111" s="22"/>
      <c r="G111" s="22"/>
      <c r="H111" s="52"/>
      <c r="I111" s="53"/>
      <c r="J111" s="53"/>
      <c r="K111" s="53"/>
      <c r="L111" s="53"/>
      <c r="M111" s="53"/>
      <c r="N111" s="53"/>
      <c r="O111" s="19"/>
      <c r="P111" s="22"/>
      <c r="R111" s="23">
        <f t="shared" si="1"/>
        <v>19</v>
      </c>
      <c r="S111" s="23"/>
      <c r="T111" s="24"/>
      <c r="U111" s="61"/>
      <c r="V111" s="62"/>
      <c r="W111" s="63"/>
    </row>
    <row r="112" spans="1:23" s="31" customFormat="1" ht="30.75" customHeight="1">
      <c r="A112" s="76"/>
      <c r="B112" s="29"/>
      <c r="C112" s="30"/>
      <c r="E112" s="29"/>
      <c r="F112" s="29"/>
      <c r="G112" s="29"/>
      <c r="H112" s="77"/>
      <c r="I112" s="78"/>
      <c r="J112" s="78"/>
      <c r="K112" s="78"/>
      <c r="L112" s="78"/>
      <c r="M112" s="78"/>
      <c r="N112" s="78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6"/>
      <c r="B113" s="29"/>
      <c r="C113" s="30"/>
      <c r="E113" s="29"/>
      <c r="F113" s="29"/>
      <c r="G113" s="29"/>
      <c r="H113" s="77"/>
      <c r="I113" s="78"/>
      <c r="J113" s="78"/>
      <c r="K113" s="78"/>
      <c r="L113" s="78"/>
      <c r="M113" s="78"/>
      <c r="N113" s="78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6"/>
      <c r="B114" s="29"/>
      <c r="C114" s="30"/>
      <c r="E114" s="29"/>
      <c r="F114" s="29"/>
      <c r="G114" s="29"/>
      <c r="H114" s="77"/>
      <c r="I114" s="78"/>
      <c r="J114" s="78"/>
      <c r="K114" s="78"/>
      <c r="L114" s="78"/>
      <c r="M114" s="78"/>
      <c r="N114" s="78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6"/>
      <c r="B115" s="29"/>
      <c r="C115" s="30"/>
      <c r="E115" s="29"/>
      <c r="F115" s="29"/>
      <c r="G115" s="29"/>
      <c r="H115" s="77"/>
      <c r="I115" s="78"/>
      <c r="J115" s="78"/>
      <c r="K115" s="78"/>
      <c r="L115" s="78"/>
      <c r="M115" s="78"/>
      <c r="N115" s="78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9"/>
      <c r="B116" s="29"/>
      <c r="C116" s="30"/>
      <c r="E116" s="29"/>
      <c r="F116" s="29"/>
      <c r="G116" s="29"/>
      <c r="H116" s="77"/>
      <c r="I116" s="78"/>
      <c r="J116" s="78"/>
      <c r="K116" s="78"/>
      <c r="L116" s="78"/>
      <c r="M116" s="78"/>
      <c r="N116" s="78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80"/>
      <c r="B117" s="33"/>
      <c r="C117" s="34"/>
      <c r="E117" s="33"/>
      <c r="F117" s="33"/>
      <c r="G117" s="33"/>
      <c r="H117" s="82"/>
      <c r="I117" s="83"/>
      <c r="J117" s="83"/>
      <c r="K117" s="83"/>
      <c r="L117" s="83"/>
      <c r="M117" s="83"/>
      <c r="N117" s="83"/>
      <c r="O117" s="33"/>
      <c r="P117" s="33"/>
      <c r="R117" s="23">
        <f t="shared" si="1"/>
        <v>19</v>
      </c>
      <c r="U117" s="64"/>
    </row>
    <row r="118" spans="1:21" ht="20.25" customHeight="1">
      <c r="A118" s="66"/>
      <c r="R118" s="23">
        <f t="shared" si="1"/>
        <v>19</v>
      </c>
    </row>
    <row r="119" spans="1:21" ht="20.25" customHeight="1">
      <c r="A119" s="66"/>
      <c r="R119" s="23">
        <f t="shared" si="1"/>
        <v>19</v>
      </c>
    </row>
    <row r="120" spans="1:21" ht="20.25" customHeight="1">
      <c r="A120" s="66"/>
      <c r="R120" s="23">
        <f t="shared" si="1"/>
        <v>19</v>
      </c>
    </row>
    <row r="121" spans="1:21" ht="20.25" customHeight="1">
      <c r="A121" s="66"/>
      <c r="R121" s="23">
        <f t="shared" si="1"/>
        <v>19</v>
      </c>
    </row>
    <row r="122" spans="1:21" ht="20.25" customHeight="1">
      <c r="A122" s="65"/>
      <c r="R122" s="23">
        <f t="shared" si="1"/>
        <v>19</v>
      </c>
    </row>
    <row r="123" spans="1:21" ht="20.25" customHeight="1">
      <c r="A123" s="66"/>
      <c r="R123" s="23">
        <f t="shared" si="1"/>
        <v>19</v>
      </c>
    </row>
    <row r="124" spans="1:21" ht="20.25" customHeight="1">
      <c r="A124" s="66"/>
      <c r="R124" s="23">
        <f t="shared" si="1"/>
        <v>19</v>
      </c>
    </row>
    <row r="125" spans="1:21" ht="20.25" customHeight="1">
      <c r="A125" s="66"/>
      <c r="R125" s="23">
        <f t="shared" si="1"/>
        <v>19</v>
      </c>
    </row>
    <row r="126" spans="1:21" ht="20.25" customHeight="1">
      <c r="A126" s="66"/>
      <c r="R126" s="23">
        <f t="shared" si="1"/>
        <v>19</v>
      </c>
    </row>
    <row r="127" spans="1:21" ht="20.25" customHeight="1">
      <c r="A127" s="66"/>
      <c r="R127" s="23">
        <f t="shared" si="1"/>
        <v>19</v>
      </c>
    </row>
    <row r="128" spans="1:21" ht="20.25" customHeight="1">
      <c r="A128" s="66"/>
      <c r="R128" s="23">
        <f t="shared" si="1"/>
        <v>19</v>
      </c>
    </row>
    <row r="129" spans="1:18" ht="20.25" customHeight="1">
      <c r="A129" s="66"/>
      <c r="R129" s="23">
        <f t="shared" si="1"/>
        <v>19</v>
      </c>
    </row>
    <row r="130" spans="1:18" ht="20.25" customHeight="1">
      <c r="A130" s="65"/>
      <c r="R130" s="23">
        <f t="shared" si="1"/>
        <v>19</v>
      </c>
    </row>
    <row r="131" spans="1:18" ht="20.25" customHeight="1">
      <c r="A131" s="66"/>
      <c r="R131" s="23">
        <f t="shared" si="1"/>
        <v>19</v>
      </c>
    </row>
    <row r="132" spans="1:18" ht="20.25" customHeight="1">
      <c r="A132" s="66"/>
      <c r="R132" s="23">
        <f t="shared" si="1"/>
        <v>19</v>
      </c>
    </row>
    <row r="133" spans="1:18" ht="20.25" customHeight="1">
      <c r="A133" s="66"/>
      <c r="R133" s="23">
        <f t="shared" si="1"/>
        <v>19</v>
      </c>
    </row>
    <row r="134" spans="1:18" ht="20.25" customHeight="1">
      <c r="A134" s="66"/>
      <c r="R134" s="23">
        <f t="shared" si="1"/>
        <v>19</v>
      </c>
    </row>
    <row r="135" spans="1:18" ht="20.25" customHeight="1">
      <c r="A135" s="66"/>
      <c r="R135" s="23">
        <f t="shared" si="1"/>
        <v>19</v>
      </c>
    </row>
    <row r="136" spans="1:18" ht="20.25" customHeight="1">
      <c r="A136" s="66"/>
      <c r="R136" s="23">
        <f t="shared" ref="R136:R156" si="2">IF(C136=C135,R135,R135+1)</f>
        <v>19</v>
      </c>
    </row>
    <row r="137" spans="1:18" ht="20.25" customHeight="1">
      <c r="A137" s="65"/>
      <c r="R137" s="23">
        <f t="shared" si="2"/>
        <v>19</v>
      </c>
    </row>
    <row r="138" spans="1:18" ht="20.25" customHeight="1">
      <c r="A138" s="66"/>
      <c r="R138" s="23">
        <f t="shared" si="2"/>
        <v>19</v>
      </c>
    </row>
    <row r="139" spans="1:18" ht="20.25" customHeight="1">
      <c r="A139" s="66"/>
      <c r="R139" s="23">
        <f t="shared" si="2"/>
        <v>19</v>
      </c>
    </row>
    <row r="140" spans="1:18" ht="20.25" customHeight="1">
      <c r="A140" s="66"/>
      <c r="R140" s="23">
        <f t="shared" si="2"/>
        <v>19</v>
      </c>
    </row>
    <row r="141" spans="1:18" ht="20.25" customHeight="1">
      <c r="A141" s="66"/>
      <c r="R141" s="23">
        <f t="shared" si="2"/>
        <v>19</v>
      </c>
    </row>
    <row r="142" spans="1:18" ht="20.25" customHeight="1">
      <c r="A142" s="66"/>
      <c r="R142" s="23">
        <f t="shared" si="2"/>
        <v>19</v>
      </c>
    </row>
    <row r="143" spans="1:18" ht="20.25" customHeight="1">
      <c r="A143" s="66"/>
      <c r="R143" s="23">
        <f t="shared" si="2"/>
        <v>19</v>
      </c>
    </row>
    <row r="144" spans="1:18" ht="20.25" customHeight="1">
      <c r="A144" s="65"/>
      <c r="R144" s="23">
        <f t="shared" si="2"/>
        <v>19</v>
      </c>
    </row>
    <row r="145" spans="1:18" ht="20.25" customHeight="1">
      <c r="A145" s="66"/>
      <c r="R145" s="23">
        <f t="shared" si="2"/>
        <v>19</v>
      </c>
    </row>
    <row r="146" spans="1:18" ht="20.25" customHeight="1">
      <c r="A146" s="66"/>
      <c r="R146" s="23">
        <f t="shared" si="2"/>
        <v>19</v>
      </c>
    </row>
    <row r="147" spans="1:18" ht="20.25" customHeight="1">
      <c r="A147" s="66"/>
      <c r="R147" s="23">
        <f t="shared" si="2"/>
        <v>19</v>
      </c>
    </row>
    <row r="148" spans="1:18" ht="20.25" customHeight="1">
      <c r="A148" s="66"/>
      <c r="R148" s="23">
        <f t="shared" si="2"/>
        <v>19</v>
      </c>
    </row>
    <row r="149" spans="1:18" ht="20.25" customHeight="1">
      <c r="A149" s="66"/>
      <c r="R149" s="23">
        <f t="shared" si="2"/>
        <v>19</v>
      </c>
    </row>
    <row r="150" spans="1:18" ht="20.25" customHeight="1">
      <c r="A150" s="66"/>
      <c r="R150" s="23">
        <f t="shared" si="2"/>
        <v>19</v>
      </c>
    </row>
    <row r="151" spans="1:18" ht="20.25" customHeight="1">
      <c r="A151" s="66"/>
      <c r="R151" s="23">
        <f t="shared" si="2"/>
        <v>19</v>
      </c>
    </row>
    <row r="152" spans="1:18" ht="20.25" customHeight="1">
      <c r="A152" s="66"/>
      <c r="R152" s="23">
        <f t="shared" si="2"/>
        <v>19</v>
      </c>
    </row>
    <row r="153" spans="1:18" ht="20.25" customHeight="1">
      <c r="A153" s="65"/>
      <c r="R153" s="23">
        <f t="shared" si="2"/>
        <v>19</v>
      </c>
    </row>
    <row r="154" spans="1:18" ht="20.25" customHeight="1">
      <c r="A154" s="66"/>
      <c r="R154" s="23">
        <f t="shared" si="2"/>
        <v>19</v>
      </c>
    </row>
    <row r="155" spans="1:18" ht="20.25" customHeight="1">
      <c r="A155" s="66"/>
      <c r="R155" s="23">
        <f t="shared" si="2"/>
        <v>19</v>
      </c>
    </row>
    <row r="156" spans="1:18" ht="20.25" customHeight="1">
      <c r="A156" s="66"/>
      <c r="R156" s="23">
        <f t="shared" si="2"/>
        <v>19</v>
      </c>
    </row>
    <row r="157" spans="1:18" ht="20.25" customHeight="1">
      <c r="A157" s="66"/>
    </row>
    <row r="158" spans="1:18" ht="20.25" customHeight="1">
      <c r="A158" s="66"/>
    </row>
    <row r="159" spans="1:18" ht="20.25" customHeight="1">
      <c r="A159" s="65"/>
    </row>
    <row r="160" spans="1:18" ht="20.25" customHeight="1">
      <c r="A160" s="66"/>
    </row>
    <row r="161" spans="1:1" ht="20.25" customHeight="1">
      <c r="A161" s="66"/>
    </row>
    <row r="162" spans="1:1" ht="20.25" customHeight="1">
      <c r="A162" s="66"/>
    </row>
    <row r="163" spans="1:1" ht="20.25" customHeight="1">
      <c r="A163" s="66"/>
    </row>
    <row r="164" spans="1:1" ht="20.25" customHeight="1">
      <c r="A164" s="65"/>
    </row>
    <row r="165" spans="1:1" ht="20.25" customHeight="1">
      <c r="A165" s="66"/>
    </row>
    <row r="166" spans="1:1" ht="20.25" customHeight="1">
      <c r="A166" s="66"/>
    </row>
    <row r="167" spans="1:1" ht="20.25" customHeight="1">
      <c r="A167" s="66"/>
    </row>
    <row r="168" spans="1:1" ht="20.25" customHeight="1">
      <c r="A168" s="65"/>
    </row>
    <row r="169" spans="1:1" ht="20.25" customHeight="1">
      <c r="A169" s="66"/>
    </row>
    <row r="170" spans="1:1" ht="20.25" customHeight="1">
      <c r="A170" s="66"/>
    </row>
    <row r="171" spans="1:1" ht="20.25" customHeight="1">
      <c r="A171" s="66"/>
    </row>
    <row r="172" spans="1:1" ht="20.25" customHeight="1">
      <c r="A172" s="66"/>
    </row>
    <row r="173" spans="1:1" ht="20.25" customHeight="1">
      <c r="A173" s="66"/>
    </row>
    <row r="174" spans="1:1" ht="20.25" customHeight="1">
      <c r="A174" s="65"/>
    </row>
    <row r="175" spans="1:1" ht="20.25" customHeight="1">
      <c r="A175" s="66"/>
    </row>
    <row r="176" spans="1:1" ht="20.25" customHeight="1">
      <c r="A176" s="66"/>
    </row>
    <row r="177" spans="1:1" ht="20.25" customHeight="1">
      <c r="A177" s="66"/>
    </row>
    <row r="178" spans="1:1" ht="20.25" customHeight="1">
      <c r="A178" s="66"/>
    </row>
    <row r="179" spans="1:1" ht="20.25" customHeight="1">
      <c r="A179" s="66"/>
    </row>
    <row r="180" spans="1:1" ht="20.25" customHeight="1">
      <c r="A180" s="66"/>
    </row>
    <row r="181" spans="1:1" ht="20.25" customHeight="1">
      <c r="A181" s="66"/>
    </row>
    <row r="182" spans="1:1" ht="20.25" customHeight="1">
      <c r="A182" s="66"/>
    </row>
    <row r="183" spans="1:1" ht="20.25" customHeight="1">
      <c r="A183" s="65"/>
    </row>
    <row r="184" spans="1:1" ht="20.25" customHeight="1">
      <c r="A184" s="66"/>
    </row>
    <row r="185" spans="1:1" ht="20.25" customHeight="1">
      <c r="A185" s="66"/>
    </row>
    <row r="186" spans="1:1" ht="20.25" customHeight="1">
      <c r="A186" s="66"/>
    </row>
    <row r="187" spans="1:1" ht="20.25" customHeight="1">
      <c r="A187" s="66"/>
    </row>
    <row r="188" spans="1:1" ht="20.25" customHeight="1">
      <c r="A188" s="66"/>
    </row>
    <row r="189" spans="1:1" ht="20.25" customHeight="1">
      <c r="A189" s="66"/>
    </row>
    <row r="190" spans="1:1" ht="20.25" customHeight="1">
      <c r="A190" s="66"/>
    </row>
    <row r="191" spans="1:1" ht="20.25" customHeight="1">
      <c r="A191" s="66"/>
    </row>
    <row r="192" spans="1:1" ht="20.25" customHeight="1">
      <c r="A192" s="65"/>
    </row>
    <row r="193" spans="1:1" ht="20.25" customHeight="1">
      <c r="A193" s="66"/>
    </row>
    <row r="194" spans="1:1" ht="20.25" customHeight="1">
      <c r="A194" s="66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</sheetData>
  <autoFilter ref="A6:W104"/>
  <mergeCells count="17">
    <mergeCell ref="O5:O6"/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  <mergeCell ref="N5:N6"/>
  </mergeCells>
  <conditionalFormatting sqref="C7:E117">
    <cfRule type="expression" dxfId="11" priority="2">
      <formula>MOD($R7,2)=0</formula>
    </cfRule>
  </conditionalFormatting>
  <conditionalFormatting sqref="A7:P117">
    <cfRule type="expression" dxfId="10" priority="1">
      <formula>$Q7="OK"</formula>
    </cfRule>
    <cfRule type="expression" dxfId="9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B274"/>
  <sheetViews>
    <sheetView showGridLines="0" view="pageBreakPreview" zoomScale="53" zoomScaleNormal="100" zoomScaleSheetLayoutView="53" workbookViewId="0">
      <pane xSplit="5" ySplit="6" topLeftCell="F7" activePane="bottomRight" state="frozen"/>
      <selection activeCell="I130" sqref="I130"/>
      <selection pane="topRight" activeCell="I130" sqref="I130"/>
      <selection pane="bottomLeft" activeCell="I130" sqref="I130"/>
      <selection pane="bottomRight" activeCell="H28" sqref="H28"/>
    </sheetView>
  </sheetViews>
  <sheetFormatPr defaultRowHeight="20.25" customHeight="1"/>
  <cols>
    <col min="1" max="1" width="16" style="1" customWidth="1"/>
    <col min="2" max="2" width="8.42578125" style="172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10.7109375" style="35" customWidth="1"/>
    <col min="10" max="10" width="10.7109375" style="35" hidden="1" customWidth="1"/>
    <col min="11" max="19" width="8.28515625" style="35" customWidth="1"/>
    <col min="20" max="20" width="41" style="35" customWidth="1"/>
    <col min="21" max="21" width="5.85546875" style="35" customWidth="1"/>
    <col min="22" max="22" width="9.85546875" style="5" customWidth="1"/>
    <col min="23" max="24" width="10" style="5" customWidth="1"/>
    <col min="25" max="25" width="19.7109375" style="5" customWidth="1"/>
    <col min="26" max="26" width="19.7109375" style="6" customWidth="1"/>
    <col min="27" max="30" width="20" style="5" customWidth="1"/>
    <col min="31" max="16384" width="9.140625" style="5"/>
  </cols>
  <sheetData>
    <row r="1" spans="1:28" ht="37.5" customHeight="1">
      <c r="B1" s="166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8" ht="30" customHeight="1">
      <c r="A2" s="51" t="s">
        <v>32</v>
      </c>
      <c r="B2" s="16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9"/>
      <c r="P2" s="9"/>
      <c r="Q2" s="9"/>
      <c r="R2" s="2"/>
      <c r="S2" s="2"/>
      <c r="T2" s="10"/>
      <c r="U2" s="9"/>
      <c r="Y2" s="74" t="s">
        <v>0</v>
      </c>
      <c r="Z2" s="75" t="s">
        <v>1</v>
      </c>
      <c r="AA2" s="74" t="s">
        <v>2</v>
      </c>
      <c r="AB2" s="74" t="s">
        <v>3</v>
      </c>
    </row>
    <row r="3" spans="1:28" ht="32.25" customHeight="1">
      <c r="A3" s="11" t="s">
        <v>873</v>
      </c>
      <c r="B3" s="168"/>
      <c r="C3" s="48"/>
      <c r="D3" s="48"/>
      <c r="E3" s="48"/>
      <c r="F3" s="12"/>
      <c r="G3" s="13"/>
      <c r="H3" s="9"/>
      <c r="I3" s="9"/>
      <c r="J3" s="9"/>
      <c r="K3" s="9"/>
      <c r="L3" s="9"/>
      <c r="M3" s="9"/>
      <c r="N3" s="9"/>
      <c r="O3" s="9"/>
      <c r="P3" s="9"/>
      <c r="Q3" s="9"/>
      <c r="R3" s="13"/>
      <c r="S3" s="13"/>
      <c r="T3" s="14"/>
      <c r="U3" s="9"/>
      <c r="Y3" s="461"/>
      <c r="Z3" s="462"/>
      <c r="AA3" s="461"/>
      <c r="AB3" s="85"/>
    </row>
    <row r="4" spans="1:28" ht="30" customHeight="1">
      <c r="A4" s="73" t="s">
        <v>874</v>
      </c>
      <c r="B4" s="169"/>
      <c r="C4" s="16"/>
      <c r="D4" s="16"/>
      <c r="E4" s="9"/>
      <c r="F4" s="9"/>
      <c r="G4" s="13"/>
      <c r="H4" s="9"/>
      <c r="I4" s="9"/>
      <c r="J4" s="9"/>
      <c r="K4" s="9"/>
      <c r="L4" s="9"/>
      <c r="M4" s="9"/>
      <c r="N4" s="9"/>
      <c r="O4" s="9"/>
      <c r="P4" s="9"/>
      <c r="Q4" s="9"/>
      <c r="R4" s="13"/>
      <c r="S4" s="13"/>
      <c r="T4" s="37"/>
      <c r="U4" s="9"/>
      <c r="Y4" s="461"/>
      <c r="Z4" s="462"/>
      <c r="AA4" s="461"/>
      <c r="AB4" s="17"/>
    </row>
    <row r="5" spans="1:28" ht="36" customHeight="1">
      <c r="A5" s="473" t="s">
        <v>4</v>
      </c>
      <c r="B5" s="484" t="s">
        <v>5</v>
      </c>
      <c r="C5" s="486" t="s">
        <v>6</v>
      </c>
      <c r="D5" s="486" t="s">
        <v>7</v>
      </c>
      <c r="E5" s="486" t="s">
        <v>8</v>
      </c>
      <c r="F5" s="473" t="s">
        <v>9</v>
      </c>
      <c r="G5" s="473" t="s">
        <v>10</v>
      </c>
      <c r="H5" s="473" t="s">
        <v>11</v>
      </c>
      <c r="I5" s="492" t="s">
        <v>12</v>
      </c>
      <c r="J5" s="492" t="s">
        <v>13</v>
      </c>
      <c r="K5" s="481" t="s">
        <v>14</v>
      </c>
      <c r="L5" s="481"/>
      <c r="M5" s="481"/>
      <c r="N5" s="481"/>
      <c r="O5" s="481"/>
      <c r="P5" s="481" t="s">
        <v>23</v>
      </c>
      <c r="Q5" s="482" t="s">
        <v>27</v>
      </c>
      <c r="R5" s="488" t="s">
        <v>24</v>
      </c>
      <c r="S5" s="488" t="s">
        <v>25</v>
      </c>
      <c r="T5" s="490" t="s">
        <v>15</v>
      </c>
      <c r="U5" s="84" t="s">
        <v>16</v>
      </c>
    </row>
    <row r="6" spans="1:28" ht="32.25" customHeight="1">
      <c r="A6" s="475"/>
      <c r="B6" s="485"/>
      <c r="C6" s="487"/>
      <c r="D6" s="487"/>
      <c r="E6" s="487"/>
      <c r="F6" s="475"/>
      <c r="G6" s="475"/>
      <c r="H6" s="475"/>
      <c r="I6" s="493"/>
      <c r="J6" s="493"/>
      <c r="K6" s="207" t="s">
        <v>104</v>
      </c>
      <c r="L6" s="207" t="s">
        <v>51</v>
      </c>
      <c r="M6" s="207" t="s">
        <v>52</v>
      </c>
      <c r="N6" s="207" t="s">
        <v>26</v>
      </c>
      <c r="O6" s="207" t="s">
        <v>48</v>
      </c>
      <c r="P6" s="481"/>
      <c r="Q6" s="483"/>
      <c r="R6" s="489"/>
      <c r="S6" s="489"/>
      <c r="T6" s="491"/>
      <c r="U6" s="54"/>
      <c r="W6" s="6"/>
      <c r="X6" s="6"/>
    </row>
    <row r="7" spans="1:28" s="43" customFormat="1" ht="39.950000000000003" hidden="1" customHeight="1">
      <c r="A7" s="18">
        <v>44053</v>
      </c>
      <c r="B7" s="114" t="s">
        <v>57</v>
      </c>
      <c r="C7" s="115" t="s">
        <v>74</v>
      </c>
      <c r="D7" s="116" t="s">
        <v>78</v>
      </c>
      <c r="E7" s="117">
        <v>11</v>
      </c>
      <c r="F7" s="19" t="s">
        <v>69</v>
      </c>
      <c r="G7" s="22" t="s">
        <v>28</v>
      </c>
      <c r="H7" s="22">
        <v>230</v>
      </c>
      <c r="I7" s="110"/>
      <c r="J7" s="110"/>
      <c r="K7" s="44"/>
      <c r="L7" s="44"/>
      <c r="M7" s="44"/>
      <c r="N7" s="44"/>
      <c r="O7" s="44"/>
      <c r="P7" s="118" t="s">
        <v>70</v>
      </c>
      <c r="Q7" s="44" t="s">
        <v>29</v>
      </c>
      <c r="R7" s="44"/>
      <c r="S7" s="44"/>
      <c r="T7" s="93" t="s">
        <v>335</v>
      </c>
      <c r="U7" s="19"/>
      <c r="V7" s="38" t="s">
        <v>17</v>
      </c>
      <c r="W7" s="39">
        <v>1</v>
      </c>
      <c r="X7" s="39"/>
      <c r="Y7" s="1"/>
      <c r="Z7" s="40"/>
      <c r="AA7" s="41"/>
      <c r="AB7" s="42"/>
    </row>
    <row r="8" spans="1:28" s="43" customFormat="1" ht="39.950000000000003" hidden="1" customHeight="1">
      <c r="A8" s="18">
        <v>44053</v>
      </c>
      <c r="B8" s="114" t="s">
        <v>58</v>
      </c>
      <c r="C8" s="115" t="s">
        <v>73</v>
      </c>
      <c r="D8" s="116" t="s">
        <v>77</v>
      </c>
      <c r="E8" s="117">
        <v>34</v>
      </c>
      <c r="F8" s="19" t="s">
        <v>69</v>
      </c>
      <c r="G8" s="22" t="s">
        <v>30</v>
      </c>
      <c r="H8" s="22">
        <v>230</v>
      </c>
      <c r="I8" s="110"/>
      <c r="J8" s="110"/>
      <c r="K8" s="44"/>
      <c r="L8" s="44"/>
      <c r="M8" s="44"/>
      <c r="N8" s="44"/>
      <c r="O8" s="44"/>
      <c r="P8" s="118" t="s">
        <v>70</v>
      </c>
      <c r="Q8" s="44" t="s">
        <v>29</v>
      </c>
      <c r="R8" s="44" t="s">
        <v>29</v>
      </c>
      <c r="S8" s="44"/>
      <c r="T8" s="93" t="s">
        <v>336</v>
      </c>
      <c r="U8" s="19"/>
      <c r="V8" s="38" t="s">
        <v>17</v>
      </c>
      <c r="W8" s="39">
        <f t="shared" ref="W8:W64" si="0">IF(C8=C7,W7,W7+1)</f>
        <v>2</v>
      </c>
      <c r="X8" s="39"/>
      <c r="Y8" s="1"/>
      <c r="Z8" s="40"/>
      <c r="AA8" s="41"/>
      <c r="AB8" s="42"/>
    </row>
    <row r="9" spans="1:28" s="43" customFormat="1" ht="39.950000000000003" hidden="1" customHeight="1">
      <c r="A9" s="18">
        <v>44053</v>
      </c>
      <c r="B9" s="114" t="s">
        <v>59</v>
      </c>
      <c r="C9" s="115" t="s">
        <v>112</v>
      </c>
      <c r="D9" s="116" t="s">
        <v>113</v>
      </c>
      <c r="E9" s="117">
        <v>3</v>
      </c>
      <c r="F9" s="19" t="s">
        <v>69</v>
      </c>
      <c r="G9" s="22" t="s">
        <v>33</v>
      </c>
      <c r="H9" s="22">
        <v>100</v>
      </c>
      <c r="I9" s="110"/>
      <c r="J9" s="110"/>
      <c r="K9" s="44"/>
      <c r="L9" s="44"/>
      <c r="M9" s="44" t="s">
        <v>29</v>
      </c>
      <c r="N9" s="44"/>
      <c r="O9" s="44"/>
      <c r="P9" s="118" t="s">
        <v>70</v>
      </c>
      <c r="Q9" s="44"/>
      <c r="R9" s="44" t="s">
        <v>29</v>
      </c>
      <c r="S9" s="44" t="s">
        <v>29</v>
      </c>
      <c r="T9" s="93" t="s">
        <v>337</v>
      </c>
      <c r="U9" s="19"/>
      <c r="V9" s="38" t="s">
        <v>17</v>
      </c>
      <c r="W9" s="39">
        <f t="shared" si="0"/>
        <v>3</v>
      </c>
      <c r="X9" s="39"/>
      <c r="Y9" s="1"/>
      <c r="Z9" s="40"/>
      <c r="AA9" s="41"/>
      <c r="AB9" s="42"/>
    </row>
    <row r="10" spans="1:28" s="43" customFormat="1" ht="39.950000000000003" hidden="1" customHeight="1">
      <c r="A10" s="18">
        <v>44053</v>
      </c>
      <c r="B10" s="114" t="s">
        <v>60</v>
      </c>
      <c r="C10" s="115" t="s">
        <v>71</v>
      </c>
      <c r="D10" s="116" t="s">
        <v>75</v>
      </c>
      <c r="E10" s="117">
        <v>50</v>
      </c>
      <c r="F10" s="19" t="s">
        <v>69</v>
      </c>
      <c r="G10" s="22" t="s">
        <v>28</v>
      </c>
      <c r="H10" s="22">
        <v>230</v>
      </c>
      <c r="I10" s="110"/>
      <c r="J10" s="110"/>
      <c r="K10" s="44"/>
      <c r="L10" s="44"/>
      <c r="M10" s="44"/>
      <c r="N10" s="44"/>
      <c r="O10" s="44"/>
      <c r="P10" s="118" t="s">
        <v>70</v>
      </c>
      <c r="Q10" s="44" t="s">
        <v>29</v>
      </c>
      <c r="R10" s="44"/>
      <c r="S10" s="44"/>
      <c r="T10" s="93" t="s">
        <v>338</v>
      </c>
      <c r="U10" s="19"/>
      <c r="V10" s="38" t="s">
        <v>17</v>
      </c>
      <c r="W10" s="39">
        <f t="shared" si="0"/>
        <v>4</v>
      </c>
      <c r="X10" s="39"/>
      <c r="Y10" s="1"/>
      <c r="Z10" s="40"/>
      <c r="AA10" s="41"/>
      <c r="AB10" s="42"/>
    </row>
    <row r="11" spans="1:28" s="43" customFormat="1" ht="39.950000000000003" hidden="1" customHeight="1">
      <c r="A11" s="25">
        <v>44054</v>
      </c>
      <c r="B11" s="114" t="s">
        <v>54</v>
      </c>
      <c r="C11" s="115" t="s">
        <v>71</v>
      </c>
      <c r="D11" s="116" t="s">
        <v>75</v>
      </c>
      <c r="E11" s="117">
        <v>128</v>
      </c>
      <c r="F11" s="19" t="s">
        <v>69</v>
      </c>
      <c r="G11" s="22" t="s">
        <v>28</v>
      </c>
      <c r="H11" s="22">
        <v>230</v>
      </c>
      <c r="I11" s="110"/>
      <c r="J11" s="110"/>
      <c r="K11" s="44"/>
      <c r="L11" s="44"/>
      <c r="M11" s="44"/>
      <c r="N11" s="44"/>
      <c r="O11" s="44"/>
      <c r="P11" s="118" t="s">
        <v>70</v>
      </c>
      <c r="Q11" s="44" t="s">
        <v>29</v>
      </c>
      <c r="R11" s="44"/>
      <c r="S11" s="44"/>
      <c r="T11" s="93" t="s">
        <v>443</v>
      </c>
      <c r="U11" s="19"/>
      <c r="V11" s="38" t="s">
        <v>17</v>
      </c>
      <c r="W11" s="39">
        <f t="shared" si="0"/>
        <v>4</v>
      </c>
      <c r="X11" s="39"/>
      <c r="Y11" s="1"/>
      <c r="Z11" s="40"/>
      <c r="AA11" s="41"/>
      <c r="AB11" s="42"/>
    </row>
    <row r="12" spans="1:28" s="43" customFormat="1" ht="39.950000000000003" hidden="1" customHeight="1">
      <c r="A12" s="18">
        <v>44054</v>
      </c>
      <c r="B12" s="114" t="s">
        <v>55</v>
      </c>
      <c r="C12" s="115" t="s">
        <v>74</v>
      </c>
      <c r="D12" s="116" t="s">
        <v>78</v>
      </c>
      <c r="E12" s="117">
        <v>65</v>
      </c>
      <c r="F12" s="19" t="s">
        <v>69</v>
      </c>
      <c r="G12" s="22" t="s">
        <v>28</v>
      </c>
      <c r="H12" s="22">
        <v>230</v>
      </c>
      <c r="I12" s="110"/>
      <c r="J12" s="110"/>
      <c r="K12" s="44"/>
      <c r="L12" s="44"/>
      <c r="M12" s="44"/>
      <c r="N12" s="44"/>
      <c r="O12" s="44"/>
      <c r="P12" s="118" t="s">
        <v>70</v>
      </c>
      <c r="Q12" s="44" t="s">
        <v>29</v>
      </c>
      <c r="R12" s="44"/>
      <c r="S12" s="44"/>
      <c r="T12" s="93" t="s">
        <v>444</v>
      </c>
      <c r="U12" s="19"/>
      <c r="V12" s="38" t="s">
        <v>17</v>
      </c>
      <c r="W12" s="39">
        <f t="shared" si="0"/>
        <v>5</v>
      </c>
      <c r="X12" s="39"/>
      <c r="Y12" s="1"/>
      <c r="Z12" s="40"/>
      <c r="AA12" s="41"/>
      <c r="AB12" s="42"/>
    </row>
    <row r="13" spans="1:28" s="43" customFormat="1" ht="39.950000000000003" hidden="1" customHeight="1">
      <c r="A13" s="18">
        <v>44054</v>
      </c>
      <c r="B13" s="114" t="s">
        <v>56</v>
      </c>
      <c r="C13" s="115" t="s">
        <v>71</v>
      </c>
      <c r="D13" s="116" t="s">
        <v>75</v>
      </c>
      <c r="E13" s="117">
        <v>53</v>
      </c>
      <c r="F13" s="19" t="s">
        <v>69</v>
      </c>
      <c r="G13" s="22" t="s">
        <v>28</v>
      </c>
      <c r="H13" s="22">
        <v>230</v>
      </c>
      <c r="I13" s="110"/>
      <c r="J13" s="110"/>
      <c r="K13" s="44"/>
      <c r="L13" s="44"/>
      <c r="M13" s="44"/>
      <c r="N13" s="44"/>
      <c r="O13" s="44"/>
      <c r="P13" s="118" t="s">
        <v>70</v>
      </c>
      <c r="Q13" s="44" t="s">
        <v>29</v>
      </c>
      <c r="R13" s="44"/>
      <c r="S13" s="44"/>
      <c r="T13" s="93" t="s">
        <v>445</v>
      </c>
      <c r="U13" s="19"/>
      <c r="V13" s="38" t="s">
        <v>17</v>
      </c>
      <c r="W13" s="39">
        <f t="shared" si="0"/>
        <v>6</v>
      </c>
      <c r="X13" s="39"/>
      <c r="Y13" s="1"/>
      <c r="Z13" s="40"/>
      <c r="AA13" s="41"/>
      <c r="AB13" s="42"/>
    </row>
    <row r="14" spans="1:28" s="43" customFormat="1" ht="39.950000000000003" hidden="1" customHeight="1">
      <c r="A14" s="25">
        <v>44060</v>
      </c>
      <c r="B14" s="114" t="s">
        <v>54</v>
      </c>
      <c r="C14" s="115" t="s">
        <v>71</v>
      </c>
      <c r="D14" s="116" t="s">
        <v>75</v>
      </c>
      <c r="E14" s="117">
        <v>56</v>
      </c>
      <c r="F14" s="19" t="s">
        <v>69</v>
      </c>
      <c r="G14" s="22" t="s">
        <v>28</v>
      </c>
      <c r="H14" s="22">
        <v>230</v>
      </c>
      <c r="I14" s="110"/>
      <c r="J14" s="110"/>
      <c r="K14" s="44"/>
      <c r="L14" s="44"/>
      <c r="M14" s="44"/>
      <c r="N14" s="44"/>
      <c r="O14" s="44"/>
      <c r="P14" s="118" t="s">
        <v>70</v>
      </c>
      <c r="Q14" s="44" t="s">
        <v>29</v>
      </c>
      <c r="R14" s="44"/>
      <c r="S14" s="44"/>
      <c r="T14" s="19" t="s">
        <v>446</v>
      </c>
      <c r="U14" s="19"/>
      <c r="V14" s="38" t="s">
        <v>17</v>
      </c>
      <c r="W14" s="39">
        <f t="shared" si="0"/>
        <v>6</v>
      </c>
      <c r="X14" s="39"/>
      <c r="Y14" s="1"/>
      <c r="Z14" s="40"/>
      <c r="AA14" s="41"/>
      <c r="AB14" s="42"/>
    </row>
    <row r="15" spans="1:28" s="43" customFormat="1" ht="39.950000000000003" hidden="1" customHeight="1">
      <c r="A15" s="18">
        <v>44060</v>
      </c>
      <c r="B15" s="160" t="s">
        <v>55</v>
      </c>
      <c r="C15" s="161" t="s">
        <v>201</v>
      </c>
      <c r="D15" s="162" t="s">
        <v>202</v>
      </c>
      <c r="E15" s="163">
        <v>149</v>
      </c>
      <c r="F15" s="19" t="s">
        <v>69</v>
      </c>
      <c r="G15" s="22" t="s">
        <v>28</v>
      </c>
      <c r="H15" s="22">
        <v>230</v>
      </c>
      <c r="I15" s="110"/>
      <c r="J15" s="110"/>
      <c r="K15" s="44"/>
      <c r="L15" s="44"/>
      <c r="M15" s="44"/>
      <c r="N15" s="44"/>
      <c r="O15" s="44"/>
      <c r="P15" s="118" t="s">
        <v>70</v>
      </c>
      <c r="Q15" s="44" t="s">
        <v>29</v>
      </c>
      <c r="R15" s="44"/>
      <c r="S15" s="44"/>
      <c r="T15" s="19" t="s">
        <v>875</v>
      </c>
      <c r="U15" s="19"/>
      <c r="V15" s="38" t="s">
        <v>17</v>
      </c>
      <c r="W15" s="39">
        <f t="shared" si="0"/>
        <v>7</v>
      </c>
      <c r="X15" s="39"/>
      <c r="Y15" s="1"/>
      <c r="Z15" s="40"/>
      <c r="AA15" s="41"/>
      <c r="AB15" s="42"/>
    </row>
    <row r="16" spans="1:28" s="43" customFormat="1" ht="39.950000000000003" hidden="1" customHeight="1">
      <c r="A16" s="18">
        <v>44060</v>
      </c>
      <c r="B16" s="114" t="s">
        <v>56</v>
      </c>
      <c r="C16" s="115" t="s">
        <v>112</v>
      </c>
      <c r="D16" s="116" t="s">
        <v>113</v>
      </c>
      <c r="E16" s="117">
        <v>13</v>
      </c>
      <c r="F16" s="19" t="s">
        <v>69</v>
      </c>
      <c r="G16" s="22" t="s">
        <v>33</v>
      </c>
      <c r="H16" s="22">
        <v>100</v>
      </c>
      <c r="I16" s="110"/>
      <c r="J16" s="110"/>
      <c r="K16" s="44"/>
      <c r="L16" s="44"/>
      <c r="M16" s="44" t="s">
        <v>29</v>
      </c>
      <c r="N16" s="44"/>
      <c r="O16" s="44"/>
      <c r="P16" s="118" t="s">
        <v>70</v>
      </c>
      <c r="Q16" s="44"/>
      <c r="R16" s="44" t="s">
        <v>29</v>
      </c>
      <c r="S16" s="44" t="s">
        <v>29</v>
      </c>
      <c r="T16" s="93" t="s">
        <v>339</v>
      </c>
      <c r="U16" s="19"/>
      <c r="V16" s="38" t="s">
        <v>17</v>
      </c>
      <c r="W16" s="39">
        <f t="shared" si="0"/>
        <v>8</v>
      </c>
      <c r="X16" s="39"/>
      <c r="Y16" s="1"/>
      <c r="Z16" s="40"/>
      <c r="AA16" s="41"/>
      <c r="AB16" s="42"/>
    </row>
    <row r="17" spans="1:28" s="43" customFormat="1" ht="39.950000000000003" customHeight="1">
      <c r="A17" s="18">
        <v>44060</v>
      </c>
      <c r="B17" s="114" t="s">
        <v>57</v>
      </c>
      <c r="C17" s="115" t="s">
        <v>71</v>
      </c>
      <c r="D17" s="116" t="s">
        <v>75</v>
      </c>
      <c r="E17" s="117">
        <v>40</v>
      </c>
      <c r="F17" s="19" t="s">
        <v>69</v>
      </c>
      <c r="G17" s="22" t="s">
        <v>28</v>
      </c>
      <c r="H17" s="22">
        <v>230</v>
      </c>
      <c r="I17" s="110"/>
      <c r="J17" s="110"/>
      <c r="K17" s="44"/>
      <c r="L17" s="44"/>
      <c r="M17" s="44"/>
      <c r="N17" s="44"/>
      <c r="O17" s="44"/>
      <c r="P17" s="118" t="s">
        <v>70</v>
      </c>
      <c r="Q17" s="44" t="s">
        <v>29</v>
      </c>
      <c r="R17" s="44"/>
      <c r="S17" s="44"/>
      <c r="T17" s="93" t="s">
        <v>447</v>
      </c>
      <c r="U17" s="19"/>
      <c r="V17" s="38" t="s">
        <v>17</v>
      </c>
      <c r="W17" s="39">
        <f t="shared" si="0"/>
        <v>9</v>
      </c>
      <c r="X17" s="39"/>
      <c r="Y17" s="1"/>
      <c r="Z17" s="40"/>
      <c r="AA17" s="41"/>
      <c r="AB17" s="42"/>
    </row>
    <row r="18" spans="1:28" s="43" customFormat="1" ht="39.950000000000003" customHeight="1">
      <c r="A18" s="25">
        <v>44061</v>
      </c>
      <c r="B18" s="160" t="s">
        <v>54</v>
      </c>
      <c r="C18" s="161" t="s">
        <v>71</v>
      </c>
      <c r="D18" s="162" t="s">
        <v>75</v>
      </c>
      <c r="E18" s="163">
        <v>156</v>
      </c>
      <c r="F18" s="19" t="s">
        <v>69</v>
      </c>
      <c r="G18" s="22" t="s">
        <v>28</v>
      </c>
      <c r="H18" s="22">
        <v>230</v>
      </c>
      <c r="I18" s="110"/>
      <c r="J18" s="110"/>
      <c r="K18" s="44"/>
      <c r="L18" s="44"/>
      <c r="M18" s="44"/>
      <c r="N18" s="44"/>
      <c r="O18" s="44"/>
      <c r="P18" s="118" t="s">
        <v>70</v>
      </c>
      <c r="Q18" s="44" t="s">
        <v>29</v>
      </c>
      <c r="R18" s="44"/>
      <c r="S18" s="44"/>
      <c r="T18" s="93" t="s">
        <v>876</v>
      </c>
      <c r="U18" s="19"/>
      <c r="V18" s="38" t="s">
        <v>17</v>
      </c>
      <c r="W18" s="39">
        <f t="shared" si="0"/>
        <v>9</v>
      </c>
      <c r="X18" s="39"/>
      <c r="Y18" s="1"/>
      <c r="Z18" s="40"/>
      <c r="AA18" s="41"/>
      <c r="AB18" s="42"/>
    </row>
    <row r="19" spans="1:28" s="43" customFormat="1" ht="39.950000000000003" customHeight="1">
      <c r="A19" s="18">
        <v>44061</v>
      </c>
      <c r="B19" s="114" t="s">
        <v>55</v>
      </c>
      <c r="C19" s="115" t="s">
        <v>73</v>
      </c>
      <c r="D19" s="116" t="s">
        <v>77</v>
      </c>
      <c r="E19" s="117">
        <v>7</v>
      </c>
      <c r="F19" s="19" t="s">
        <v>69</v>
      </c>
      <c r="G19" s="22" t="s">
        <v>30</v>
      </c>
      <c r="H19" s="22">
        <v>230</v>
      </c>
      <c r="I19" s="110"/>
      <c r="J19" s="110"/>
      <c r="K19" s="44"/>
      <c r="L19" s="44"/>
      <c r="M19" s="44"/>
      <c r="N19" s="44"/>
      <c r="O19" s="44"/>
      <c r="P19" s="118" t="s">
        <v>70</v>
      </c>
      <c r="Q19" s="44" t="s">
        <v>29</v>
      </c>
      <c r="R19" s="44" t="s">
        <v>29</v>
      </c>
      <c r="S19" s="44"/>
      <c r="T19" s="19" t="s">
        <v>340</v>
      </c>
      <c r="U19" s="19"/>
      <c r="V19" s="38" t="s">
        <v>17</v>
      </c>
      <c r="W19" s="39">
        <f t="shared" si="0"/>
        <v>10</v>
      </c>
      <c r="X19" s="39"/>
      <c r="Y19" s="1"/>
      <c r="Z19" s="40"/>
      <c r="AA19" s="41"/>
      <c r="AB19" s="42"/>
    </row>
    <row r="20" spans="1:28" s="43" customFormat="1" ht="39.950000000000003" customHeight="1">
      <c r="A20" s="18">
        <v>44061</v>
      </c>
      <c r="B20" s="114" t="s">
        <v>56</v>
      </c>
      <c r="C20" s="115" t="s">
        <v>133</v>
      </c>
      <c r="D20" s="116" t="s">
        <v>134</v>
      </c>
      <c r="E20" s="117">
        <v>100</v>
      </c>
      <c r="F20" s="19" t="s">
        <v>69</v>
      </c>
      <c r="G20" s="22" t="s">
        <v>18</v>
      </c>
      <c r="H20" s="22">
        <v>220</v>
      </c>
      <c r="I20" s="110"/>
      <c r="J20" s="110"/>
      <c r="K20" s="44"/>
      <c r="L20" s="44"/>
      <c r="M20" s="44"/>
      <c r="N20" s="44"/>
      <c r="O20" s="44"/>
      <c r="P20" s="118" t="s">
        <v>70</v>
      </c>
      <c r="Q20" s="44" t="s">
        <v>29</v>
      </c>
      <c r="R20" s="44" t="s">
        <v>29</v>
      </c>
      <c r="S20" s="44"/>
      <c r="T20" s="19" t="s">
        <v>341</v>
      </c>
      <c r="U20" s="19"/>
      <c r="V20" s="38" t="s">
        <v>17</v>
      </c>
      <c r="W20" s="39">
        <f t="shared" si="0"/>
        <v>11</v>
      </c>
      <c r="X20" s="39"/>
      <c r="Y20" s="1"/>
      <c r="Z20" s="40"/>
      <c r="AA20" s="41"/>
      <c r="AB20" s="42"/>
    </row>
    <row r="21" spans="1:28" s="43" customFormat="1" ht="39.950000000000003" customHeight="1">
      <c r="A21" s="18">
        <v>44061</v>
      </c>
      <c r="B21" s="114" t="s">
        <v>57</v>
      </c>
      <c r="C21" s="115" t="s">
        <v>112</v>
      </c>
      <c r="D21" s="116" t="s">
        <v>113</v>
      </c>
      <c r="E21" s="117">
        <v>53</v>
      </c>
      <c r="F21" s="19" t="s">
        <v>69</v>
      </c>
      <c r="G21" s="22" t="s">
        <v>33</v>
      </c>
      <c r="H21" s="22">
        <v>100</v>
      </c>
      <c r="I21" s="110"/>
      <c r="J21" s="110"/>
      <c r="K21" s="44"/>
      <c r="L21" s="44"/>
      <c r="M21" s="44" t="s">
        <v>29</v>
      </c>
      <c r="N21" s="44"/>
      <c r="O21" s="44"/>
      <c r="P21" s="118" t="s">
        <v>70</v>
      </c>
      <c r="Q21" s="44"/>
      <c r="R21" s="44" t="s">
        <v>29</v>
      </c>
      <c r="S21" s="44" t="s">
        <v>29</v>
      </c>
      <c r="T21" s="19" t="s">
        <v>342</v>
      </c>
      <c r="U21" s="19"/>
      <c r="V21" s="38"/>
      <c r="W21" s="39">
        <f t="shared" si="0"/>
        <v>12</v>
      </c>
      <c r="X21" s="39"/>
      <c r="Y21" s="1"/>
      <c r="Z21" s="40"/>
      <c r="AA21" s="41"/>
      <c r="AB21" s="42"/>
    </row>
    <row r="22" spans="1:28" s="43" customFormat="1" ht="39.950000000000003" customHeight="1">
      <c r="A22" s="25">
        <v>44062</v>
      </c>
      <c r="B22" s="114" t="s">
        <v>54</v>
      </c>
      <c r="C22" s="115" t="s">
        <v>112</v>
      </c>
      <c r="D22" s="116" t="s">
        <v>113</v>
      </c>
      <c r="E22" s="117">
        <v>18</v>
      </c>
      <c r="F22" s="19" t="s">
        <v>69</v>
      </c>
      <c r="G22" s="22" t="s">
        <v>33</v>
      </c>
      <c r="H22" s="22">
        <v>100</v>
      </c>
      <c r="I22" s="110"/>
      <c r="J22" s="110"/>
      <c r="K22" s="44"/>
      <c r="L22" s="44"/>
      <c r="M22" s="44" t="s">
        <v>29</v>
      </c>
      <c r="N22" s="44"/>
      <c r="O22" s="44"/>
      <c r="P22" s="118" t="s">
        <v>70</v>
      </c>
      <c r="Q22" s="44"/>
      <c r="R22" s="44" t="s">
        <v>29</v>
      </c>
      <c r="S22" s="44" t="s">
        <v>29</v>
      </c>
      <c r="T22" s="19" t="s">
        <v>343</v>
      </c>
      <c r="U22" s="19"/>
      <c r="V22" s="38"/>
      <c r="W22" s="39">
        <f t="shared" si="0"/>
        <v>12</v>
      </c>
      <c r="X22" s="39"/>
      <c r="Y22" s="1"/>
      <c r="Z22" s="40"/>
      <c r="AA22" s="41"/>
      <c r="AB22" s="42"/>
    </row>
    <row r="23" spans="1:28" s="43" customFormat="1" ht="39.950000000000003" customHeight="1">
      <c r="A23" s="18">
        <v>44062</v>
      </c>
      <c r="B23" s="114" t="s">
        <v>55</v>
      </c>
      <c r="C23" s="115" t="s">
        <v>110</v>
      </c>
      <c r="D23" s="116" t="s">
        <v>111</v>
      </c>
      <c r="E23" s="117">
        <v>40</v>
      </c>
      <c r="F23" s="19" t="s">
        <v>69</v>
      </c>
      <c r="G23" s="22" t="s">
        <v>18</v>
      </c>
      <c r="H23" s="22">
        <v>220</v>
      </c>
      <c r="I23" s="110"/>
      <c r="J23" s="110"/>
      <c r="K23" s="44"/>
      <c r="L23" s="44"/>
      <c r="M23" s="44"/>
      <c r="N23" s="44"/>
      <c r="O23" s="44"/>
      <c r="P23" s="118" t="s">
        <v>70</v>
      </c>
      <c r="Q23" s="44" t="s">
        <v>29</v>
      </c>
      <c r="R23" s="44" t="s">
        <v>29</v>
      </c>
      <c r="S23" s="44"/>
      <c r="T23" s="93" t="s">
        <v>344</v>
      </c>
      <c r="U23" s="22"/>
      <c r="V23" s="38"/>
      <c r="W23" s="39">
        <f t="shared" si="0"/>
        <v>13</v>
      </c>
      <c r="X23" s="39"/>
      <c r="Y23" s="1"/>
      <c r="Z23" s="40"/>
      <c r="AA23" s="41"/>
      <c r="AB23" s="42"/>
    </row>
    <row r="24" spans="1:28" s="43" customFormat="1" ht="39.950000000000003" customHeight="1">
      <c r="A24" s="18">
        <v>44062</v>
      </c>
      <c r="B24" s="114" t="s">
        <v>56</v>
      </c>
      <c r="C24" s="115" t="s">
        <v>144</v>
      </c>
      <c r="D24" s="116" t="s">
        <v>145</v>
      </c>
      <c r="E24" s="117">
        <v>27</v>
      </c>
      <c r="F24" s="19" t="s">
        <v>69</v>
      </c>
      <c r="G24" s="22" t="s">
        <v>19</v>
      </c>
      <c r="H24" s="22">
        <v>220</v>
      </c>
      <c r="I24" s="110"/>
      <c r="J24" s="110"/>
      <c r="K24" s="44"/>
      <c r="L24" s="44"/>
      <c r="M24" s="44" t="s">
        <v>29</v>
      </c>
      <c r="N24" s="44"/>
      <c r="O24" s="44"/>
      <c r="P24" s="118" t="s">
        <v>70</v>
      </c>
      <c r="Q24" s="44"/>
      <c r="R24" s="44" t="s">
        <v>29</v>
      </c>
      <c r="S24" s="44"/>
      <c r="T24" s="93" t="s">
        <v>345</v>
      </c>
      <c r="U24" s="22"/>
      <c r="V24" s="38"/>
      <c r="W24" s="39">
        <f t="shared" si="0"/>
        <v>14</v>
      </c>
      <c r="X24" s="39"/>
      <c r="Y24" s="1"/>
      <c r="Z24" s="40"/>
      <c r="AA24" s="41"/>
      <c r="AB24" s="42"/>
    </row>
    <row r="25" spans="1:28" s="43" customFormat="1" ht="39.950000000000003" customHeight="1">
      <c r="A25" s="18">
        <v>44062</v>
      </c>
      <c r="B25" s="114" t="s">
        <v>57</v>
      </c>
      <c r="C25" s="115" t="s">
        <v>74</v>
      </c>
      <c r="D25" s="116" t="s">
        <v>78</v>
      </c>
      <c r="E25" s="117">
        <v>135</v>
      </c>
      <c r="F25" s="19" t="s">
        <v>69</v>
      </c>
      <c r="G25" s="22" t="s">
        <v>28</v>
      </c>
      <c r="H25" s="22">
        <v>230</v>
      </c>
      <c r="I25" s="110"/>
      <c r="J25" s="110"/>
      <c r="K25" s="44"/>
      <c r="L25" s="44"/>
      <c r="M25" s="44"/>
      <c r="N25" s="44"/>
      <c r="O25" s="44"/>
      <c r="P25" s="118" t="s">
        <v>70</v>
      </c>
      <c r="Q25" s="44" t="s">
        <v>29</v>
      </c>
      <c r="R25" s="44"/>
      <c r="S25" s="44"/>
      <c r="T25" s="93" t="s">
        <v>877</v>
      </c>
      <c r="U25" s="22"/>
      <c r="V25" s="38"/>
      <c r="W25" s="39">
        <f t="shared" si="0"/>
        <v>15</v>
      </c>
      <c r="X25" s="39"/>
      <c r="Y25" s="1"/>
      <c r="Z25" s="40"/>
      <c r="AA25" s="41"/>
      <c r="AB25" s="42"/>
    </row>
    <row r="26" spans="1:28" s="43" customFormat="1" ht="39.950000000000003" customHeight="1">
      <c r="A26" s="18">
        <v>44062</v>
      </c>
      <c r="B26" s="114" t="s">
        <v>58</v>
      </c>
      <c r="C26" s="115" t="s">
        <v>133</v>
      </c>
      <c r="D26" s="116" t="s">
        <v>134</v>
      </c>
      <c r="E26" s="117">
        <v>35</v>
      </c>
      <c r="F26" s="19" t="s">
        <v>69</v>
      </c>
      <c r="G26" s="22" t="s">
        <v>18</v>
      </c>
      <c r="H26" s="22">
        <v>220</v>
      </c>
      <c r="I26" s="110"/>
      <c r="J26" s="110"/>
      <c r="K26" s="44"/>
      <c r="L26" s="44"/>
      <c r="M26" s="44"/>
      <c r="N26" s="44"/>
      <c r="O26" s="44"/>
      <c r="P26" s="118" t="s">
        <v>70</v>
      </c>
      <c r="Q26" s="44" t="s">
        <v>29</v>
      </c>
      <c r="R26" s="44" t="s">
        <v>29</v>
      </c>
      <c r="S26" s="44"/>
      <c r="T26" s="93" t="s">
        <v>346</v>
      </c>
      <c r="U26" s="22"/>
      <c r="V26" s="38"/>
      <c r="W26" s="39">
        <f t="shared" si="0"/>
        <v>16</v>
      </c>
      <c r="X26" s="39"/>
      <c r="Y26" s="1"/>
      <c r="Z26" s="40"/>
      <c r="AA26" s="41"/>
      <c r="AB26" s="42"/>
    </row>
    <row r="27" spans="1:28" s="43" customFormat="1" ht="39.950000000000003" customHeight="1">
      <c r="A27" s="18">
        <v>44062</v>
      </c>
      <c r="B27" s="114" t="s">
        <v>59</v>
      </c>
      <c r="C27" s="115" t="s">
        <v>131</v>
      </c>
      <c r="D27" s="116" t="s">
        <v>132</v>
      </c>
      <c r="E27" s="117">
        <v>12</v>
      </c>
      <c r="F27" s="19" t="s">
        <v>69</v>
      </c>
      <c r="G27" s="22" t="s">
        <v>46</v>
      </c>
      <c r="H27" s="22">
        <v>120</v>
      </c>
      <c r="I27" s="110"/>
      <c r="J27" s="110"/>
      <c r="K27" s="44"/>
      <c r="L27" s="44"/>
      <c r="M27" s="44"/>
      <c r="N27" s="44"/>
      <c r="O27" s="44"/>
      <c r="P27" s="118" t="s">
        <v>70</v>
      </c>
      <c r="Q27" s="44" t="s">
        <v>29</v>
      </c>
      <c r="R27" s="44" t="s">
        <v>29</v>
      </c>
      <c r="S27" s="44"/>
      <c r="T27" s="19" t="s">
        <v>347</v>
      </c>
      <c r="U27" s="22"/>
      <c r="V27" s="38"/>
      <c r="W27" s="39">
        <f t="shared" si="0"/>
        <v>17</v>
      </c>
      <c r="X27" s="39"/>
      <c r="Y27" s="1"/>
      <c r="Z27" s="40"/>
      <c r="AA27" s="41"/>
      <c r="AB27" s="42"/>
    </row>
    <row r="28" spans="1:28" s="43" customFormat="1" ht="39.950000000000003" customHeight="1">
      <c r="A28" s="18">
        <v>44062</v>
      </c>
      <c r="B28" s="114" t="s">
        <v>60</v>
      </c>
      <c r="C28" s="115" t="s">
        <v>112</v>
      </c>
      <c r="D28" s="116" t="s">
        <v>113</v>
      </c>
      <c r="E28" s="117">
        <v>53</v>
      </c>
      <c r="F28" s="19" t="s">
        <v>69</v>
      </c>
      <c r="G28" s="22" t="s">
        <v>33</v>
      </c>
      <c r="H28" s="22">
        <v>100</v>
      </c>
      <c r="I28" s="110"/>
      <c r="J28" s="110"/>
      <c r="K28" s="44"/>
      <c r="L28" s="44"/>
      <c r="M28" s="44" t="s">
        <v>29</v>
      </c>
      <c r="N28" s="44"/>
      <c r="O28" s="44"/>
      <c r="P28" s="118" t="s">
        <v>70</v>
      </c>
      <c r="Q28" s="44"/>
      <c r="R28" s="44" t="s">
        <v>29</v>
      </c>
      <c r="S28" s="44" t="s">
        <v>29</v>
      </c>
      <c r="T28" s="93" t="s">
        <v>348</v>
      </c>
      <c r="U28" s="22"/>
      <c r="V28" s="38"/>
      <c r="W28" s="39">
        <f t="shared" si="0"/>
        <v>18</v>
      </c>
      <c r="X28" s="39"/>
      <c r="Y28" s="1"/>
      <c r="Z28" s="40"/>
      <c r="AA28" s="41"/>
      <c r="AB28" s="42"/>
    </row>
    <row r="29" spans="1:28" s="43" customFormat="1" ht="39.950000000000003" customHeight="1">
      <c r="A29" s="25">
        <v>44063</v>
      </c>
      <c r="B29" s="114" t="s">
        <v>54</v>
      </c>
      <c r="C29" s="115" t="s">
        <v>112</v>
      </c>
      <c r="D29" s="116" t="s">
        <v>113</v>
      </c>
      <c r="E29" s="117">
        <v>30</v>
      </c>
      <c r="F29" s="19" t="s">
        <v>69</v>
      </c>
      <c r="G29" s="22" t="s">
        <v>33</v>
      </c>
      <c r="H29" s="22">
        <v>100</v>
      </c>
      <c r="I29" s="110"/>
      <c r="J29" s="110"/>
      <c r="K29" s="44"/>
      <c r="L29" s="44"/>
      <c r="M29" s="44" t="s">
        <v>29</v>
      </c>
      <c r="N29" s="44"/>
      <c r="O29" s="44"/>
      <c r="P29" s="118" t="s">
        <v>70</v>
      </c>
      <c r="Q29" s="44"/>
      <c r="R29" s="44" t="s">
        <v>29</v>
      </c>
      <c r="S29" s="44" t="s">
        <v>29</v>
      </c>
      <c r="T29" s="93" t="s">
        <v>349</v>
      </c>
      <c r="U29" s="22"/>
      <c r="V29" s="38"/>
      <c r="W29" s="39">
        <f t="shared" si="0"/>
        <v>18</v>
      </c>
      <c r="X29" s="39"/>
      <c r="Y29" s="1"/>
      <c r="Z29" s="40"/>
      <c r="AA29" s="41"/>
      <c r="AB29" s="42"/>
    </row>
    <row r="30" spans="1:28" s="43" customFormat="1" ht="39.950000000000003" customHeight="1">
      <c r="A30" s="18">
        <v>44063</v>
      </c>
      <c r="B30" s="114" t="s">
        <v>55</v>
      </c>
      <c r="C30" s="115" t="s">
        <v>71</v>
      </c>
      <c r="D30" s="116" t="s">
        <v>75</v>
      </c>
      <c r="E30" s="117">
        <v>166</v>
      </c>
      <c r="F30" s="19" t="s">
        <v>69</v>
      </c>
      <c r="G30" s="22" t="s">
        <v>28</v>
      </c>
      <c r="H30" s="22">
        <v>230</v>
      </c>
      <c r="I30" s="110"/>
      <c r="J30" s="110"/>
      <c r="K30" s="44"/>
      <c r="L30" s="44"/>
      <c r="M30" s="44"/>
      <c r="N30" s="44"/>
      <c r="O30" s="44"/>
      <c r="P30" s="118" t="s">
        <v>70</v>
      </c>
      <c r="Q30" s="44" t="s">
        <v>29</v>
      </c>
      <c r="R30" s="44"/>
      <c r="S30" s="44"/>
      <c r="T30" s="93" t="s">
        <v>448</v>
      </c>
      <c r="U30" s="22"/>
      <c r="V30" s="38"/>
      <c r="W30" s="39">
        <f t="shared" si="0"/>
        <v>19</v>
      </c>
      <c r="X30" s="39"/>
      <c r="Y30" s="1"/>
      <c r="Z30" s="40"/>
      <c r="AA30" s="41"/>
      <c r="AB30" s="42"/>
    </row>
    <row r="31" spans="1:28" s="43" customFormat="1" ht="39.950000000000003" customHeight="1">
      <c r="A31" s="18">
        <v>44063</v>
      </c>
      <c r="B31" s="114" t="s">
        <v>56</v>
      </c>
      <c r="C31" s="115" t="s">
        <v>72</v>
      </c>
      <c r="D31" s="116" t="s">
        <v>76</v>
      </c>
      <c r="E31" s="117">
        <v>4</v>
      </c>
      <c r="F31" s="19" t="s">
        <v>69</v>
      </c>
      <c r="G31" s="22" t="s">
        <v>30</v>
      </c>
      <c r="H31" s="22">
        <v>230</v>
      </c>
      <c r="I31" s="110"/>
      <c r="J31" s="110"/>
      <c r="K31" s="44"/>
      <c r="L31" s="44"/>
      <c r="M31" s="44"/>
      <c r="N31" s="44"/>
      <c r="O31" s="44"/>
      <c r="P31" s="118" t="s">
        <v>70</v>
      </c>
      <c r="Q31" s="44" t="s">
        <v>29</v>
      </c>
      <c r="R31" s="44" t="s">
        <v>29</v>
      </c>
      <c r="S31" s="44"/>
      <c r="T31" s="19" t="s">
        <v>350</v>
      </c>
      <c r="U31" s="22"/>
      <c r="V31" s="38"/>
      <c r="W31" s="39">
        <f t="shared" si="0"/>
        <v>20</v>
      </c>
      <c r="X31" s="39"/>
      <c r="Y31" s="1"/>
      <c r="Z31" s="40"/>
      <c r="AA31" s="41"/>
      <c r="AB31" s="42"/>
    </row>
    <row r="32" spans="1:28" s="43" customFormat="1" ht="39.950000000000003" customHeight="1">
      <c r="A32" s="18">
        <v>44063</v>
      </c>
      <c r="B32" s="114" t="s">
        <v>57</v>
      </c>
      <c r="C32" s="115" t="s">
        <v>74</v>
      </c>
      <c r="D32" s="116" t="s">
        <v>78</v>
      </c>
      <c r="E32" s="117">
        <v>67</v>
      </c>
      <c r="F32" s="19" t="s">
        <v>69</v>
      </c>
      <c r="G32" s="22" t="s">
        <v>28</v>
      </c>
      <c r="H32" s="22">
        <v>230</v>
      </c>
      <c r="I32" s="110"/>
      <c r="J32" s="110"/>
      <c r="K32" s="44"/>
      <c r="L32" s="44"/>
      <c r="M32" s="44"/>
      <c r="N32" s="44"/>
      <c r="O32" s="44"/>
      <c r="P32" s="118" t="s">
        <v>70</v>
      </c>
      <c r="Q32" s="44" t="s">
        <v>29</v>
      </c>
      <c r="R32" s="44"/>
      <c r="S32" s="44"/>
      <c r="T32" s="93" t="s">
        <v>878</v>
      </c>
      <c r="U32" s="22"/>
      <c r="V32" s="38"/>
      <c r="W32" s="39">
        <f t="shared" si="0"/>
        <v>21</v>
      </c>
      <c r="X32" s="39"/>
      <c r="Y32" s="1"/>
      <c r="Z32" s="40"/>
      <c r="AA32" s="41"/>
      <c r="AB32" s="42"/>
    </row>
    <row r="33" spans="1:28" s="43" customFormat="1" ht="39.950000000000003" customHeight="1">
      <c r="A33" s="18">
        <v>44063</v>
      </c>
      <c r="B33" s="114" t="s">
        <v>58</v>
      </c>
      <c r="C33" s="115" t="s">
        <v>112</v>
      </c>
      <c r="D33" s="116" t="s">
        <v>113</v>
      </c>
      <c r="E33" s="117">
        <v>8</v>
      </c>
      <c r="F33" s="19" t="s">
        <v>69</v>
      </c>
      <c r="G33" s="22" t="s">
        <v>33</v>
      </c>
      <c r="H33" s="22">
        <v>100</v>
      </c>
      <c r="I33" s="110"/>
      <c r="J33" s="110"/>
      <c r="K33" s="44"/>
      <c r="L33" s="44"/>
      <c r="M33" s="44" t="s">
        <v>29</v>
      </c>
      <c r="N33" s="44"/>
      <c r="O33" s="44"/>
      <c r="P33" s="118" t="s">
        <v>70</v>
      </c>
      <c r="Q33" s="44"/>
      <c r="R33" s="44" t="s">
        <v>29</v>
      </c>
      <c r="S33" s="44" t="s">
        <v>29</v>
      </c>
      <c r="T33" s="19" t="s">
        <v>351</v>
      </c>
      <c r="U33" s="22"/>
      <c r="V33" s="38"/>
      <c r="W33" s="39">
        <f t="shared" si="0"/>
        <v>22</v>
      </c>
      <c r="X33" s="39"/>
      <c r="Y33" s="1"/>
      <c r="Z33" s="40"/>
      <c r="AA33" s="41"/>
      <c r="AB33" s="42"/>
    </row>
    <row r="34" spans="1:28" s="43" customFormat="1" ht="39.950000000000003" customHeight="1">
      <c r="A34" s="18">
        <v>44063</v>
      </c>
      <c r="B34" s="114" t="s">
        <v>59</v>
      </c>
      <c r="C34" s="115" t="s">
        <v>71</v>
      </c>
      <c r="D34" s="116" t="s">
        <v>75</v>
      </c>
      <c r="E34" s="117">
        <v>45</v>
      </c>
      <c r="F34" s="19" t="s">
        <v>69</v>
      </c>
      <c r="G34" s="22" t="s">
        <v>28</v>
      </c>
      <c r="H34" s="22">
        <v>230</v>
      </c>
      <c r="I34" s="110"/>
      <c r="J34" s="110"/>
      <c r="K34" s="44"/>
      <c r="L34" s="44"/>
      <c r="M34" s="44"/>
      <c r="N34" s="44"/>
      <c r="O34" s="44"/>
      <c r="P34" s="118" t="s">
        <v>70</v>
      </c>
      <c r="Q34" s="44" t="s">
        <v>29</v>
      </c>
      <c r="R34" s="44"/>
      <c r="S34" s="44"/>
      <c r="T34" s="19" t="s">
        <v>449</v>
      </c>
      <c r="U34" s="22"/>
      <c r="V34" s="38"/>
      <c r="W34" s="39">
        <f t="shared" si="0"/>
        <v>23</v>
      </c>
      <c r="X34" s="39"/>
      <c r="Y34" s="1"/>
      <c r="Z34" s="40"/>
      <c r="AA34" s="41"/>
      <c r="AB34" s="42"/>
    </row>
    <row r="35" spans="1:28" s="43" customFormat="1" ht="39.950000000000003" customHeight="1">
      <c r="A35" s="25">
        <v>44064</v>
      </c>
      <c r="B35" s="114" t="s">
        <v>54</v>
      </c>
      <c r="C35" s="115" t="s">
        <v>71</v>
      </c>
      <c r="D35" s="116" t="s">
        <v>75</v>
      </c>
      <c r="E35" s="117">
        <v>267</v>
      </c>
      <c r="F35" s="19" t="s">
        <v>69</v>
      </c>
      <c r="G35" s="22" t="s">
        <v>28</v>
      </c>
      <c r="H35" s="22">
        <v>230</v>
      </c>
      <c r="I35" s="110"/>
      <c r="J35" s="110"/>
      <c r="K35" s="44"/>
      <c r="L35" s="44"/>
      <c r="M35" s="44"/>
      <c r="N35" s="44"/>
      <c r="O35" s="44"/>
      <c r="P35" s="118" t="s">
        <v>70</v>
      </c>
      <c r="Q35" s="44" t="s">
        <v>29</v>
      </c>
      <c r="R35" s="44"/>
      <c r="S35" s="44"/>
      <c r="T35" s="93" t="s">
        <v>450</v>
      </c>
      <c r="U35" s="22"/>
      <c r="V35" s="38"/>
      <c r="W35" s="39">
        <f t="shared" si="0"/>
        <v>23</v>
      </c>
      <c r="X35" s="39"/>
      <c r="Y35" s="1"/>
      <c r="Z35" s="40"/>
      <c r="AA35" s="41"/>
      <c r="AB35" s="42"/>
    </row>
    <row r="36" spans="1:28" s="43" customFormat="1" ht="39.950000000000003" customHeight="1">
      <c r="A36" s="18">
        <v>44064</v>
      </c>
      <c r="B36" s="114" t="s">
        <v>55</v>
      </c>
      <c r="C36" s="115" t="s">
        <v>112</v>
      </c>
      <c r="D36" s="116" t="s">
        <v>113</v>
      </c>
      <c r="E36" s="117">
        <v>53</v>
      </c>
      <c r="F36" s="19" t="s">
        <v>69</v>
      </c>
      <c r="G36" s="22" t="s">
        <v>33</v>
      </c>
      <c r="H36" s="22">
        <v>100</v>
      </c>
      <c r="I36" s="110"/>
      <c r="J36" s="110"/>
      <c r="K36" s="44"/>
      <c r="L36" s="44"/>
      <c r="M36" s="44" t="s">
        <v>29</v>
      </c>
      <c r="N36" s="44"/>
      <c r="O36" s="44"/>
      <c r="P36" s="118" t="s">
        <v>70</v>
      </c>
      <c r="Q36" s="44"/>
      <c r="R36" s="44" t="s">
        <v>29</v>
      </c>
      <c r="S36" s="44" t="s">
        <v>29</v>
      </c>
      <c r="T36" s="93" t="s">
        <v>352</v>
      </c>
      <c r="U36" s="22"/>
      <c r="V36" s="38"/>
      <c r="W36" s="39">
        <f t="shared" si="0"/>
        <v>24</v>
      </c>
      <c r="X36" s="39"/>
      <c r="Y36" s="1"/>
      <c r="Z36" s="40"/>
      <c r="AA36" s="41"/>
      <c r="AB36" s="42"/>
    </row>
    <row r="37" spans="1:28" s="43" customFormat="1" ht="39.950000000000003" customHeight="1">
      <c r="A37" s="25">
        <v>44065</v>
      </c>
      <c r="B37" s="114" t="s">
        <v>54</v>
      </c>
      <c r="C37" s="115" t="s">
        <v>112</v>
      </c>
      <c r="D37" s="116" t="s">
        <v>113</v>
      </c>
      <c r="E37" s="117">
        <v>52</v>
      </c>
      <c r="F37" s="19" t="s">
        <v>69</v>
      </c>
      <c r="G37" s="22" t="s">
        <v>33</v>
      </c>
      <c r="H37" s="22">
        <v>100</v>
      </c>
      <c r="I37" s="110"/>
      <c r="J37" s="110"/>
      <c r="K37" s="44"/>
      <c r="L37" s="44"/>
      <c r="M37" s="44" t="s">
        <v>29</v>
      </c>
      <c r="N37" s="44"/>
      <c r="O37" s="44"/>
      <c r="P37" s="118" t="s">
        <v>70</v>
      </c>
      <c r="Q37" s="44"/>
      <c r="R37" s="44" t="s">
        <v>29</v>
      </c>
      <c r="S37" s="44" t="s">
        <v>29</v>
      </c>
      <c r="T37" s="19" t="s">
        <v>353</v>
      </c>
      <c r="U37" s="22"/>
      <c r="V37" s="38"/>
      <c r="W37" s="39">
        <f t="shared" si="0"/>
        <v>24</v>
      </c>
      <c r="X37" s="39"/>
      <c r="Y37" s="1"/>
      <c r="Z37" s="40"/>
      <c r="AA37" s="41"/>
      <c r="AB37" s="42"/>
    </row>
    <row r="38" spans="1:28" s="43" customFormat="1" ht="39.950000000000003" customHeight="1">
      <c r="A38" s="18">
        <v>44065</v>
      </c>
      <c r="B38" s="114" t="s">
        <v>55</v>
      </c>
      <c r="C38" s="115" t="s">
        <v>71</v>
      </c>
      <c r="D38" s="116" t="s">
        <v>75</v>
      </c>
      <c r="E38" s="117">
        <v>155</v>
      </c>
      <c r="F38" s="19" t="s">
        <v>69</v>
      </c>
      <c r="G38" s="22" t="s">
        <v>28</v>
      </c>
      <c r="H38" s="22">
        <v>230</v>
      </c>
      <c r="I38" s="110"/>
      <c r="J38" s="110"/>
      <c r="K38" s="44"/>
      <c r="L38" s="44"/>
      <c r="M38" s="44"/>
      <c r="N38" s="44"/>
      <c r="O38" s="44"/>
      <c r="P38" s="118" t="s">
        <v>70</v>
      </c>
      <c r="Q38" s="44" t="s">
        <v>29</v>
      </c>
      <c r="R38" s="44"/>
      <c r="S38" s="44"/>
      <c r="T38" s="93" t="s">
        <v>451</v>
      </c>
      <c r="U38" s="22"/>
      <c r="V38" s="38"/>
      <c r="W38" s="39">
        <f t="shared" si="0"/>
        <v>25</v>
      </c>
      <c r="X38" s="39"/>
      <c r="Y38" s="1"/>
      <c r="Z38" s="40"/>
      <c r="AA38" s="41"/>
      <c r="AB38" s="42"/>
    </row>
    <row r="39" spans="1:28" s="43" customFormat="1" ht="39.950000000000003" customHeight="1">
      <c r="A39" s="18">
        <v>44065</v>
      </c>
      <c r="B39" s="114" t="s">
        <v>56</v>
      </c>
      <c r="C39" s="115" t="s">
        <v>144</v>
      </c>
      <c r="D39" s="116" t="s">
        <v>145</v>
      </c>
      <c r="E39" s="117">
        <v>11</v>
      </c>
      <c r="F39" s="19" t="s">
        <v>69</v>
      </c>
      <c r="G39" s="22" t="s">
        <v>19</v>
      </c>
      <c r="H39" s="22">
        <v>220</v>
      </c>
      <c r="I39" s="110"/>
      <c r="J39" s="110"/>
      <c r="K39" s="44"/>
      <c r="L39" s="44"/>
      <c r="M39" s="44" t="s">
        <v>29</v>
      </c>
      <c r="N39" s="44"/>
      <c r="O39" s="44"/>
      <c r="P39" s="118" t="s">
        <v>70</v>
      </c>
      <c r="Q39" s="44"/>
      <c r="R39" s="44" t="s">
        <v>29</v>
      </c>
      <c r="S39" s="44"/>
      <c r="T39" s="19" t="s">
        <v>452</v>
      </c>
      <c r="U39" s="22"/>
      <c r="V39" s="38"/>
      <c r="W39" s="39">
        <f t="shared" si="0"/>
        <v>26</v>
      </c>
      <c r="X39" s="39"/>
      <c r="Y39" s="1"/>
      <c r="Z39" s="40"/>
      <c r="AA39" s="41"/>
      <c r="AB39" s="42"/>
    </row>
    <row r="40" spans="1:28" s="43" customFormat="1" ht="39.950000000000003" customHeight="1">
      <c r="A40" s="18">
        <v>44065</v>
      </c>
      <c r="B40" s="114" t="s">
        <v>57</v>
      </c>
      <c r="C40" s="115" t="s">
        <v>74</v>
      </c>
      <c r="D40" s="116" t="s">
        <v>78</v>
      </c>
      <c r="E40" s="117">
        <v>42</v>
      </c>
      <c r="F40" s="19" t="s">
        <v>69</v>
      </c>
      <c r="G40" s="22" t="s">
        <v>28</v>
      </c>
      <c r="H40" s="22">
        <v>230</v>
      </c>
      <c r="I40" s="110"/>
      <c r="J40" s="110"/>
      <c r="K40" s="44"/>
      <c r="L40" s="44"/>
      <c r="M40" s="44"/>
      <c r="N40" s="44"/>
      <c r="O40" s="44"/>
      <c r="P40" s="118" t="s">
        <v>70</v>
      </c>
      <c r="Q40" s="44" t="s">
        <v>29</v>
      </c>
      <c r="R40" s="44"/>
      <c r="S40" s="44"/>
      <c r="T40" s="93" t="s">
        <v>879</v>
      </c>
      <c r="U40" s="22"/>
      <c r="V40" s="38"/>
      <c r="W40" s="39">
        <f t="shared" si="0"/>
        <v>27</v>
      </c>
      <c r="X40" s="39"/>
      <c r="Y40" s="1"/>
      <c r="Z40" s="40"/>
      <c r="AA40" s="41"/>
      <c r="AB40" s="42"/>
    </row>
    <row r="41" spans="1:28" s="43" customFormat="1" ht="39.950000000000003" customHeight="1">
      <c r="A41" s="25">
        <v>44067</v>
      </c>
      <c r="B41" s="114" t="s">
        <v>54</v>
      </c>
      <c r="C41" s="115" t="s">
        <v>74</v>
      </c>
      <c r="D41" s="116" t="s">
        <v>78</v>
      </c>
      <c r="E41" s="117">
        <v>3</v>
      </c>
      <c r="F41" s="19" t="s">
        <v>69</v>
      </c>
      <c r="G41" s="22" t="s">
        <v>28</v>
      </c>
      <c r="H41" s="22">
        <v>230</v>
      </c>
      <c r="I41" s="110"/>
      <c r="J41" s="110"/>
      <c r="K41" s="44"/>
      <c r="L41" s="44"/>
      <c r="M41" s="44"/>
      <c r="N41" s="44"/>
      <c r="O41" s="44"/>
      <c r="P41" s="118" t="s">
        <v>70</v>
      </c>
      <c r="Q41" s="44" t="s">
        <v>29</v>
      </c>
      <c r="R41" s="44"/>
      <c r="S41" s="44"/>
      <c r="T41" s="93" t="s">
        <v>453</v>
      </c>
      <c r="U41" s="22"/>
      <c r="V41" s="38"/>
      <c r="W41" s="39">
        <f t="shared" si="0"/>
        <v>27</v>
      </c>
      <c r="X41" s="39"/>
      <c r="Y41" s="1"/>
      <c r="Z41" s="40"/>
      <c r="AA41" s="41"/>
      <c r="AB41" s="42"/>
    </row>
    <row r="42" spans="1:28" s="43" customFormat="1" ht="39.950000000000003" customHeight="1">
      <c r="A42" s="18">
        <v>44067</v>
      </c>
      <c r="B42" s="114" t="s">
        <v>55</v>
      </c>
      <c r="C42" s="115" t="s">
        <v>135</v>
      </c>
      <c r="D42" s="116" t="s">
        <v>136</v>
      </c>
      <c r="E42" s="117">
        <v>80</v>
      </c>
      <c r="F42" s="19" t="s">
        <v>69</v>
      </c>
      <c r="G42" s="22" t="s">
        <v>19</v>
      </c>
      <c r="H42" s="22">
        <v>220</v>
      </c>
      <c r="I42" s="110"/>
      <c r="J42" s="110"/>
      <c r="K42" s="44"/>
      <c r="L42" s="44"/>
      <c r="M42" s="44" t="s">
        <v>29</v>
      </c>
      <c r="N42" s="44"/>
      <c r="O42" s="44"/>
      <c r="P42" s="118" t="s">
        <v>70</v>
      </c>
      <c r="Q42" s="44"/>
      <c r="R42" s="44" t="s">
        <v>29</v>
      </c>
      <c r="S42" s="44"/>
      <c r="T42" s="93" t="s">
        <v>454</v>
      </c>
      <c r="U42" s="22"/>
      <c r="V42" s="38"/>
      <c r="W42" s="39">
        <f t="shared" si="0"/>
        <v>28</v>
      </c>
      <c r="X42" s="39"/>
      <c r="Y42" s="1"/>
      <c r="Z42" s="40"/>
      <c r="AA42" s="41"/>
      <c r="AB42" s="42"/>
    </row>
    <row r="43" spans="1:28" s="43" customFormat="1" ht="39.950000000000003" customHeight="1">
      <c r="A43" s="18">
        <v>44067</v>
      </c>
      <c r="B43" s="114" t="s">
        <v>56</v>
      </c>
      <c r="C43" s="115" t="s">
        <v>114</v>
      </c>
      <c r="D43" s="116" t="s">
        <v>115</v>
      </c>
      <c r="E43" s="117">
        <v>87</v>
      </c>
      <c r="F43" s="19" t="s">
        <v>69</v>
      </c>
      <c r="G43" s="22" t="s">
        <v>33</v>
      </c>
      <c r="H43" s="22">
        <v>100</v>
      </c>
      <c r="I43" s="110"/>
      <c r="J43" s="110"/>
      <c r="K43" s="44"/>
      <c r="L43" s="44"/>
      <c r="M43" s="44" t="s">
        <v>29</v>
      </c>
      <c r="N43" s="44"/>
      <c r="O43" s="44"/>
      <c r="P43" s="118" t="s">
        <v>70</v>
      </c>
      <c r="Q43" s="44"/>
      <c r="R43" s="44" t="s">
        <v>29</v>
      </c>
      <c r="S43" s="44" t="s">
        <v>29</v>
      </c>
      <c r="T43" s="93" t="s">
        <v>455</v>
      </c>
      <c r="U43" s="22"/>
      <c r="V43" s="38"/>
      <c r="W43" s="39">
        <f t="shared" si="0"/>
        <v>29</v>
      </c>
      <c r="X43" s="39"/>
      <c r="Y43" s="1"/>
      <c r="Z43" s="40"/>
      <c r="AA43" s="41"/>
      <c r="AB43" s="42"/>
    </row>
    <row r="44" spans="1:28" s="43" customFormat="1" ht="39.950000000000003" customHeight="1">
      <c r="A44" s="18">
        <v>44067</v>
      </c>
      <c r="B44" s="114" t="s">
        <v>57</v>
      </c>
      <c r="C44" s="115" t="s">
        <v>108</v>
      </c>
      <c r="D44" s="116" t="s">
        <v>109</v>
      </c>
      <c r="E44" s="117">
        <v>33</v>
      </c>
      <c r="F44" s="19" t="s">
        <v>69</v>
      </c>
      <c r="G44" s="22" t="s">
        <v>19</v>
      </c>
      <c r="H44" s="22">
        <v>220</v>
      </c>
      <c r="I44" s="110"/>
      <c r="J44" s="110"/>
      <c r="K44" s="44"/>
      <c r="L44" s="44"/>
      <c r="M44" s="44" t="s">
        <v>29</v>
      </c>
      <c r="N44" s="44"/>
      <c r="O44" s="44"/>
      <c r="P44" s="118" t="s">
        <v>70</v>
      </c>
      <c r="Q44" s="44"/>
      <c r="R44" s="44" t="s">
        <v>29</v>
      </c>
      <c r="S44" s="44"/>
      <c r="T44" s="19" t="s">
        <v>456</v>
      </c>
      <c r="U44" s="22"/>
      <c r="V44" s="38"/>
      <c r="W44" s="39">
        <f t="shared" si="0"/>
        <v>30</v>
      </c>
      <c r="X44" s="39"/>
      <c r="Y44" s="1"/>
      <c r="Z44" s="40"/>
      <c r="AA44" s="41"/>
      <c r="AB44" s="42"/>
    </row>
    <row r="45" spans="1:28" s="43" customFormat="1" ht="39.950000000000003" customHeight="1">
      <c r="A45" s="18">
        <v>44067</v>
      </c>
      <c r="B45" s="114" t="s">
        <v>58</v>
      </c>
      <c r="C45" s="115" t="s">
        <v>110</v>
      </c>
      <c r="D45" s="116" t="s">
        <v>111</v>
      </c>
      <c r="E45" s="117">
        <v>9</v>
      </c>
      <c r="F45" s="19" t="s">
        <v>69</v>
      </c>
      <c r="G45" s="22" t="s">
        <v>18</v>
      </c>
      <c r="H45" s="22">
        <v>220</v>
      </c>
      <c r="I45" s="110"/>
      <c r="J45" s="110"/>
      <c r="K45" s="44"/>
      <c r="L45" s="44"/>
      <c r="M45" s="44"/>
      <c r="N45" s="44"/>
      <c r="O45" s="44"/>
      <c r="P45" s="118" t="s">
        <v>70</v>
      </c>
      <c r="Q45" s="44" t="s">
        <v>29</v>
      </c>
      <c r="R45" s="44" t="s">
        <v>29</v>
      </c>
      <c r="S45" s="44"/>
      <c r="T45" s="93" t="s">
        <v>457</v>
      </c>
      <c r="U45" s="22"/>
      <c r="V45" s="38"/>
      <c r="W45" s="39">
        <f t="shared" si="0"/>
        <v>31</v>
      </c>
      <c r="X45" s="39"/>
      <c r="Y45" s="1"/>
      <c r="Z45" s="40"/>
      <c r="AA45" s="41"/>
      <c r="AB45" s="42"/>
    </row>
    <row r="46" spans="1:28" s="43" customFormat="1" ht="39.950000000000003" customHeight="1">
      <c r="A46" s="18">
        <v>44067</v>
      </c>
      <c r="B46" s="114" t="s">
        <v>59</v>
      </c>
      <c r="C46" s="115" t="s">
        <v>74</v>
      </c>
      <c r="D46" s="116" t="s">
        <v>78</v>
      </c>
      <c r="E46" s="117">
        <v>11</v>
      </c>
      <c r="F46" s="19" t="s">
        <v>69</v>
      </c>
      <c r="G46" s="22" t="s">
        <v>28</v>
      </c>
      <c r="H46" s="22">
        <v>230</v>
      </c>
      <c r="I46" s="110"/>
      <c r="J46" s="110"/>
      <c r="K46" s="44"/>
      <c r="L46" s="44"/>
      <c r="M46" s="44"/>
      <c r="N46" s="44"/>
      <c r="O46" s="44"/>
      <c r="P46" s="118" t="s">
        <v>70</v>
      </c>
      <c r="Q46" s="44" t="s">
        <v>29</v>
      </c>
      <c r="R46" s="44"/>
      <c r="S46" s="44"/>
      <c r="T46" s="120" t="s">
        <v>880</v>
      </c>
      <c r="U46" s="22"/>
      <c r="V46" s="38"/>
      <c r="W46" s="39">
        <f t="shared" si="0"/>
        <v>32</v>
      </c>
      <c r="X46" s="39"/>
      <c r="Y46" s="1"/>
      <c r="Z46" s="40"/>
      <c r="AA46" s="41"/>
      <c r="AB46" s="42"/>
    </row>
    <row r="47" spans="1:28" s="43" customFormat="1" ht="39.950000000000003" customHeight="1">
      <c r="A47" s="18">
        <v>44067</v>
      </c>
      <c r="B47" s="114" t="s">
        <v>60</v>
      </c>
      <c r="C47" s="115" t="s">
        <v>135</v>
      </c>
      <c r="D47" s="116" t="s">
        <v>136</v>
      </c>
      <c r="E47" s="117">
        <v>33</v>
      </c>
      <c r="F47" s="19" t="s">
        <v>69</v>
      </c>
      <c r="G47" s="22" t="s">
        <v>19</v>
      </c>
      <c r="H47" s="22">
        <v>220</v>
      </c>
      <c r="I47" s="110"/>
      <c r="J47" s="110"/>
      <c r="K47" s="44"/>
      <c r="L47" s="44"/>
      <c r="M47" s="44" t="s">
        <v>29</v>
      </c>
      <c r="N47" s="44"/>
      <c r="O47" s="44"/>
      <c r="P47" s="118" t="s">
        <v>70</v>
      </c>
      <c r="Q47" s="44"/>
      <c r="R47" s="44" t="s">
        <v>29</v>
      </c>
      <c r="S47" s="44"/>
      <c r="T47" s="121" t="s">
        <v>881</v>
      </c>
      <c r="U47" s="22"/>
      <c r="V47" s="38"/>
      <c r="W47" s="39">
        <f t="shared" si="0"/>
        <v>33</v>
      </c>
      <c r="X47" s="39"/>
      <c r="Y47" s="1"/>
      <c r="Z47" s="40"/>
      <c r="AA47" s="41"/>
      <c r="AB47" s="42"/>
    </row>
    <row r="48" spans="1:28" s="43" customFormat="1" ht="39.950000000000003" customHeight="1">
      <c r="A48" s="25">
        <v>44068</v>
      </c>
      <c r="B48" s="114" t="s">
        <v>54</v>
      </c>
      <c r="C48" s="115" t="s">
        <v>135</v>
      </c>
      <c r="D48" s="116" t="s">
        <v>136</v>
      </c>
      <c r="E48" s="117">
        <v>47</v>
      </c>
      <c r="F48" s="19" t="s">
        <v>69</v>
      </c>
      <c r="G48" s="22" t="s">
        <v>19</v>
      </c>
      <c r="H48" s="22">
        <v>220</v>
      </c>
      <c r="I48" s="110"/>
      <c r="J48" s="110"/>
      <c r="K48" s="44"/>
      <c r="L48" s="44"/>
      <c r="M48" s="44" t="s">
        <v>29</v>
      </c>
      <c r="N48" s="44"/>
      <c r="O48" s="44"/>
      <c r="P48" s="118" t="s">
        <v>70</v>
      </c>
      <c r="Q48" s="44"/>
      <c r="R48" s="44" t="s">
        <v>29</v>
      </c>
      <c r="S48" s="44"/>
      <c r="T48" s="121" t="s">
        <v>882</v>
      </c>
      <c r="U48" s="22"/>
      <c r="V48" s="38"/>
      <c r="W48" s="39">
        <f t="shared" si="0"/>
        <v>33</v>
      </c>
      <c r="X48" s="39"/>
      <c r="Y48" s="1"/>
      <c r="Z48" s="40"/>
      <c r="AA48" s="41"/>
      <c r="AB48" s="42"/>
    </row>
    <row r="49" spans="1:28" s="43" customFormat="1" ht="39.950000000000003" customHeight="1">
      <c r="A49" s="18">
        <v>44068</v>
      </c>
      <c r="B49" s="114" t="s">
        <v>55</v>
      </c>
      <c r="C49" s="115" t="s">
        <v>114</v>
      </c>
      <c r="D49" s="116" t="s">
        <v>115</v>
      </c>
      <c r="E49" s="117">
        <v>131</v>
      </c>
      <c r="F49" s="19" t="s">
        <v>69</v>
      </c>
      <c r="G49" s="22" t="s">
        <v>33</v>
      </c>
      <c r="H49" s="22">
        <v>100</v>
      </c>
      <c r="I49" s="110"/>
      <c r="J49" s="110"/>
      <c r="K49" s="44"/>
      <c r="L49" s="44"/>
      <c r="M49" s="44" t="s">
        <v>29</v>
      </c>
      <c r="N49" s="44"/>
      <c r="O49" s="44"/>
      <c r="P49" s="118" t="s">
        <v>70</v>
      </c>
      <c r="Q49" s="44"/>
      <c r="R49" s="44" t="s">
        <v>29</v>
      </c>
      <c r="S49" s="44" t="s">
        <v>29</v>
      </c>
      <c r="T49" s="121" t="s">
        <v>458</v>
      </c>
      <c r="U49" s="22"/>
      <c r="V49" s="38"/>
      <c r="W49" s="39">
        <f t="shared" si="0"/>
        <v>34</v>
      </c>
      <c r="X49" s="39"/>
      <c r="Y49" s="1"/>
      <c r="Z49" s="40"/>
      <c r="AA49" s="41"/>
      <c r="AB49" s="42"/>
    </row>
    <row r="50" spans="1:28" s="43" customFormat="1" ht="39.950000000000003" customHeight="1">
      <c r="A50" s="18">
        <v>44068</v>
      </c>
      <c r="B50" s="114" t="s">
        <v>56</v>
      </c>
      <c r="C50" s="115" t="s">
        <v>201</v>
      </c>
      <c r="D50" s="116" t="s">
        <v>202</v>
      </c>
      <c r="E50" s="117">
        <v>105</v>
      </c>
      <c r="F50" s="19" t="s">
        <v>69</v>
      </c>
      <c r="G50" s="22" t="s">
        <v>28</v>
      </c>
      <c r="H50" s="22">
        <v>230</v>
      </c>
      <c r="I50" s="110"/>
      <c r="J50" s="110"/>
      <c r="K50" s="44"/>
      <c r="L50" s="44"/>
      <c r="M50" s="44"/>
      <c r="N50" s="44"/>
      <c r="O50" s="44"/>
      <c r="P50" s="118" t="s">
        <v>70</v>
      </c>
      <c r="Q50" s="44" t="s">
        <v>29</v>
      </c>
      <c r="R50" s="44"/>
      <c r="S50" s="44"/>
      <c r="T50" s="121" t="s">
        <v>883</v>
      </c>
      <c r="U50" s="22"/>
      <c r="V50" s="38"/>
      <c r="W50" s="39">
        <f t="shared" si="0"/>
        <v>35</v>
      </c>
      <c r="X50" s="39"/>
      <c r="Y50" s="1"/>
      <c r="Z50" s="40"/>
      <c r="AA50" s="41"/>
      <c r="AB50" s="42"/>
    </row>
    <row r="51" spans="1:28" s="43" customFormat="1" ht="39.950000000000003" customHeight="1">
      <c r="A51" s="18">
        <v>44068</v>
      </c>
      <c r="B51" s="114" t="s">
        <v>57</v>
      </c>
      <c r="C51" s="115" t="s">
        <v>112</v>
      </c>
      <c r="D51" s="116" t="s">
        <v>113</v>
      </c>
      <c r="E51" s="117">
        <v>24</v>
      </c>
      <c r="F51" s="19" t="s">
        <v>69</v>
      </c>
      <c r="G51" s="22" t="s">
        <v>33</v>
      </c>
      <c r="H51" s="22">
        <v>100</v>
      </c>
      <c r="I51" s="110"/>
      <c r="J51" s="110"/>
      <c r="K51" s="44"/>
      <c r="L51" s="44"/>
      <c r="M51" s="44" t="s">
        <v>29</v>
      </c>
      <c r="N51" s="44"/>
      <c r="O51" s="44"/>
      <c r="P51" s="118" t="s">
        <v>70</v>
      </c>
      <c r="Q51" s="44"/>
      <c r="R51" s="44" t="s">
        <v>29</v>
      </c>
      <c r="S51" s="44" t="s">
        <v>29</v>
      </c>
      <c r="T51" s="121" t="s">
        <v>354</v>
      </c>
      <c r="U51" s="22"/>
      <c r="V51" s="38"/>
      <c r="W51" s="39">
        <f t="shared" si="0"/>
        <v>36</v>
      </c>
      <c r="X51" s="39"/>
      <c r="Y51" s="1"/>
      <c r="Z51" s="40"/>
      <c r="AA51" s="41"/>
      <c r="AB51" s="42"/>
    </row>
    <row r="52" spans="1:28" s="43" customFormat="1" ht="39.950000000000003" customHeight="1">
      <c r="A52" s="18">
        <v>44068</v>
      </c>
      <c r="B52" s="114" t="s">
        <v>58</v>
      </c>
      <c r="C52" s="115" t="s">
        <v>74</v>
      </c>
      <c r="D52" s="116" t="s">
        <v>78</v>
      </c>
      <c r="E52" s="117">
        <v>29</v>
      </c>
      <c r="F52" s="19" t="s">
        <v>69</v>
      </c>
      <c r="G52" s="22" t="s">
        <v>28</v>
      </c>
      <c r="H52" s="22">
        <v>230</v>
      </c>
      <c r="I52" s="110"/>
      <c r="J52" s="110"/>
      <c r="K52" s="44"/>
      <c r="L52" s="44"/>
      <c r="M52" s="44"/>
      <c r="N52" s="44"/>
      <c r="O52" s="44"/>
      <c r="P52" s="118" t="s">
        <v>70</v>
      </c>
      <c r="Q52" s="44" t="s">
        <v>29</v>
      </c>
      <c r="R52" s="44"/>
      <c r="S52" s="44"/>
      <c r="T52" s="121" t="s">
        <v>884</v>
      </c>
      <c r="U52" s="22"/>
      <c r="V52" s="38"/>
      <c r="W52" s="39">
        <f t="shared" si="0"/>
        <v>37</v>
      </c>
      <c r="X52" s="39"/>
      <c r="Y52" s="1"/>
      <c r="Z52" s="40"/>
      <c r="AA52" s="41"/>
      <c r="AB52" s="42"/>
    </row>
    <row r="53" spans="1:28" s="43" customFormat="1" ht="39.950000000000003" customHeight="1">
      <c r="A53" s="25">
        <v>44069</v>
      </c>
      <c r="B53" s="114" t="s">
        <v>54</v>
      </c>
      <c r="C53" s="115" t="s">
        <v>74</v>
      </c>
      <c r="D53" s="116" t="s">
        <v>78</v>
      </c>
      <c r="E53" s="117">
        <v>96</v>
      </c>
      <c r="F53" s="19" t="s">
        <v>69</v>
      </c>
      <c r="G53" s="22" t="s">
        <v>28</v>
      </c>
      <c r="H53" s="22">
        <v>230</v>
      </c>
      <c r="I53" s="110"/>
      <c r="J53" s="110"/>
      <c r="K53" s="44"/>
      <c r="L53" s="44"/>
      <c r="M53" s="44"/>
      <c r="N53" s="44"/>
      <c r="O53" s="44"/>
      <c r="P53" s="118" t="s">
        <v>70</v>
      </c>
      <c r="Q53" s="44" t="s">
        <v>29</v>
      </c>
      <c r="R53" s="44"/>
      <c r="S53" s="44"/>
      <c r="T53" s="121" t="s">
        <v>885</v>
      </c>
      <c r="U53" s="22"/>
      <c r="V53" s="38"/>
      <c r="W53" s="39">
        <f t="shared" si="0"/>
        <v>37</v>
      </c>
      <c r="X53" s="39"/>
      <c r="Y53" s="1"/>
      <c r="Z53" s="40"/>
      <c r="AA53" s="41"/>
      <c r="AB53" s="42"/>
    </row>
    <row r="54" spans="1:28" s="43" customFormat="1" ht="39.950000000000003" customHeight="1">
      <c r="A54" s="18">
        <v>44069</v>
      </c>
      <c r="B54" s="114" t="s">
        <v>55</v>
      </c>
      <c r="C54" s="115" t="s">
        <v>135</v>
      </c>
      <c r="D54" s="116" t="s">
        <v>136</v>
      </c>
      <c r="E54" s="117">
        <v>80</v>
      </c>
      <c r="F54" s="19" t="s">
        <v>69</v>
      </c>
      <c r="G54" s="22" t="s">
        <v>19</v>
      </c>
      <c r="H54" s="22">
        <v>220</v>
      </c>
      <c r="I54" s="110"/>
      <c r="J54" s="110"/>
      <c r="K54" s="44"/>
      <c r="L54" s="44"/>
      <c r="M54" s="44" t="s">
        <v>29</v>
      </c>
      <c r="N54" s="44"/>
      <c r="O54" s="44"/>
      <c r="P54" s="118" t="s">
        <v>70</v>
      </c>
      <c r="Q54" s="44"/>
      <c r="R54" s="44" t="s">
        <v>29</v>
      </c>
      <c r="S54" s="44"/>
      <c r="T54" s="121" t="s">
        <v>459</v>
      </c>
      <c r="U54" s="22"/>
      <c r="V54" s="38"/>
      <c r="W54" s="39">
        <f t="shared" si="0"/>
        <v>38</v>
      </c>
      <c r="X54" s="39"/>
      <c r="Y54" s="1"/>
      <c r="Z54" s="40"/>
      <c r="AA54" s="41"/>
      <c r="AB54" s="42"/>
    </row>
    <row r="55" spans="1:28" s="43" customFormat="1" ht="39.950000000000003" customHeight="1">
      <c r="A55" s="28">
        <v>44069</v>
      </c>
      <c r="B55" s="114" t="s">
        <v>56</v>
      </c>
      <c r="C55" s="115" t="s">
        <v>114</v>
      </c>
      <c r="D55" s="116" t="s">
        <v>115</v>
      </c>
      <c r="E55" s="117">
        <v>107</v>
      </c>
      <c r="F55" s="22" t="s">
        <v>69</v>
      </c>
      <c r="G55" s="22" t="s">
        <v>33</v>
      </c>
      <c r="H55" s="22">
        <v>100</v>
      </c>
      <c r="I55" s="44"/>
      <c r="J55" s="44"/>
      <c r="K55" s="44"/>
      <c r="L55" s="44"/>
      <c r="M55" s="44" t="s">
        <v>29</v>
      </c>
      <c r="N55" s="44"/>
      <c r="O55" s="44"/>
      <c r="P55" s="118" t="s">
        <v>70</v>
      </c>
      <c r="Q55" s="44"/>
      <c r="R55" s="44" t="s">
        <v>29</v>
      </c>
      <c r="S55" s="44" t="s">
        <v>29</v>
      </c>
      <c r="T55" s="121" t="s">
        <v>460</v>
      </c>
      <c r="U55" s="22"/>
      <c r="V55" s="38"/>
      <c r="W55" s="39">
        <f t="shared" si="0"/>
        <v>39</v>
      </c>
      <c r="X55" s="39"/>
      <c r="Y55" s="1"/>
      <c r="Z55" s="40"/>
      <c r="AA55" s="41"/>
      <c r="AB55" s="42"/>
    </row>
    <row r="56" spans="1:28" s="43" customFormat="1" ht="39.950000000000003" customHeight="1">
      <c r="A56" s="28">
        <v>44069</v>
      </c>
      <c r="B56" s="114" t="s">
        <v>57</v>
      </c>
      <c r="C56" s="115" t="s">
        <v>72</v>
      </c>
      <c r="D56" s="116" t="s">
        <v>76</v>
      </c>
      <c r="E56" s="117">
        <v>40</v>
      </c>
      <c r="F56" s="22" t="s">
        <v>69</v>
      </c>
      <c r="G56" s="22" t="s">
        <v>30</v>
      </c>
      <c r="H56" s="22">
        <v>230</v>
      </c>
      <c r="I56" s="44"/>
      <c r="J56" s="44"/>
      <c r="K56" s="44"/>
      <c r="L56" s="44"/>
      <c r="M56" s="44"/>
      <c r="N56" s="44"/>
      <c r="O56" s="44"/>
      <c r="P56" s="118" t="s">
        <v>70</v>
      </c>
      <c r="Q56" s="44" t="s">
        <v>29</v>
      </c>
      <c r="R56" s="44" t="s">
        <v>29</v>
      </c>
      <c r="S56" s="44"/>
      <c r="T56" s="27" t="s">
        <v>461</v>
      </c>
      <c r="U56" s="22"/>
      <c r="V56" s="38"/>
      <c r="W56" s="39">
        <f t="shared" si="0"/>
        <v>40</v>
      </c>
      <c r="X56" s="39"/>
      <c r="Y56" s="1"/>
      <c r="Z56" s="40"/>
      <c r="AA56" s="41"/>
      <c r="AB56" s="42"/>
    </row>
    <row r="57" spans="1:28" s="43" customFormat="1" ht="39.950000000000003" customHeight="1">
      <c r="A57" s="28">
        <v>44069</v>
      </c>
      <c r="B57" s="114" t="s">
        <v>58</v>
      </c>
      <c r="C57" s="115" t="s">
        <v>139</v>
      </c>
      <c r="D57" s="116" t="s">
        <v>140</v>
      </c>
      <c r="E57" s="117">
        <v>13</v>
      </c>
      <c r="F57" s="22" t="s">
        <v>69</v>
      </c>
      <c r="G57" s="22" t="s">
        <v>30</v>
      </c>
      <c r="H57" s="22">
        <v>230</v>
      </c>
      <c r="I57" s="44"/>
      <c r="J57" s="44"/>
      <c r="K57" s="44"/>
      <c r="L57" s="44"/>
      <c r="M57" s="44"/>
      <c r="N57" s="44"/>
      <c r="O57" s="44"/>
      <c r="P57" s="118" t="s">
        <v>70</v>
      </c>
      <c r="Q57" s="44" t="s">
        <v>29</v>
      </c>
      <c r="R57" s="44" t="s">
        <v>29</v>
      </c>
      <c r="S57" s="44"/>
      <c r="T57" s="121" t="s">
        <v>462</v>
      </c>
      <c r="U57" s="22"/>
      <c r="V57" s="38"/>
      <c r="W57" s="39">
        <f t="shared" si="0"/>
        <v>41</v>
      </c>
      <c r="X57" s="39"/>
      <c r="Y57" s="1"/>
      <c r="Z57" s="40"/>
      <c r="AA57" s="41"/>
      <c r="AB57" s="42"/>
    </row>
    <row r="58" spans="1:28" s="43" customFormat="1" ht="39.950000000000003" customHeight="1">
      <c r="A58" s="26">
        <v>44070</v>
      </c>
      <c r="B58" s="114" t="s">
        <v>54</v>
      </c>
      <c r="C58" s="115" t="s">
        <v>139</v>
      </c>
      <c r="D58" s="116" t="s">
        <v>140</v>
      </c>
      <c r="E58" s="117">
        <v>37</v>
      </c>
      <c r="F58" s="22" t="s">
        <v>69</v>
      </c>
      <c r="G58" s="22" t="s">
        <v>30</v>
      </c>
      <c r="H58" s="22">
        <v>230</v>
      </c>
      <c r="I58" s="44"/>
      <c r="J58" s="44"/>
      <c r="K58" s="44"/>
      <c r="L58" s="44"/>
      <c r="M58" s="44"/>
      <c r="N58" s="44"/>
      <c r="O58" s="44"/>
      <c r="P58" s="118" t="s">
        <v>70</v>
      </c>
      <c r="Q58" s="44" t="s">
        <v>29</v>
      </c>
      <c r="R58" s="44" t="s">
        <v>29</v>
      </c>
      <c r="S58" s="44"/>
      <c r="T58" s="121" t="s">
        <v>463</v>
      </c>
      <c r="U58" s="22"/>
      <c r="V58" s="38"/>
      <c r="W58" s="39">
        <f t="shared" si="0"/>
        <v>41</v>
      </c>
      <c r="X58" s="39"/>
      <c r="Y58" s="1"/>
      <c r="Z58" s="40"/>
      <c r="AA58" s="41"/>
      <c r="AB58" s="42"/>
    </row>
    <row r="59" spans="1:28" s="43" customFormat="1" ht="39.950000000000003" customHeight="1">
      <c r="A59" s="28">
        <v>44070</v>
      </c>
      <c r="B59" s="114" t="s">
        <v>55</v>
      </c>
      <c r="C59" s="115" t="s">
        <v>135</v>
      </c>
      <c r="D59" s="116" t="s">
        <v>136</v>
      </c>
      <c r="E59" s="117">
        <v>63</v>
      </c>
      <c r="F59" s="22" t="s">
        <v>69</v>
      </c>
      <c r="G59" s="22" t="s">
        <v>19</v>
      </c>
      <c r="H59" s="22">
        <v>220</v>
      </c>
      <c r="I59" s="44"/>
      <c r="J59" s="44"/>
      <c r="K59" s="44"/>
      <c r="L59" s="44"/>
      <c r="M59" s="44" t="s">
        <v>29</v>
      </c>
      <c r="N59" s="44"/>
      <c r="O59" s="44"/>
      <c r="P59" s="118" t="s">
        <v>70</v>
      </c>
      <c r="Q59" s="44"/>
      <c r="R59" s="44" t="s">
        <v>29</v>
      </c>
      <c r="S59" s="44"/>
      <c r="T59" s="121" t="s">
        <v>464</v>
      </c>
      <c r="U59" s="22"/>
      <c r="V59" s="38"/>
      <c r="W59" s="39">
        <f t="shared" si="0"/>
        <v>42</v>
      </c>
      <c r="X59" s="39"/>
      <c r="Y59" s="1"/>
      <c r="Z59" s="40"/>
      <c r="AA59" s="41"/>
      <c r="AB59" s="42"/>
    </row>
    <row r="60" spans="1:28" s="43" customFormat="1" ht="39.950000000000003" customHeight="1">
      <c r="A60" s="28">
        <v>44070</v>
      </c>
      <c r="B60" s="114" t="s">
        <v>56</v>
      </c>
      <c r="C60" s="115" t="s">
        <v>114</v>
      </c>
      <c r="D60" s="116" t="s">
        <v>115</v>
      </c>
      <c r="E60" s="117">
        <v>111</v>
      </c>
      <c r="F60" s="22" t="s">
        <v>69</v>
      </c>
      <c r="G60" s="22" t="s">
        <v>33</v>
      </c>
      <c r="H60" s="22">
        <v>100</v>
      </c>
      <c r="I60" s="44"/>
      <c r="J60" s="44"/>
      <c r="K60" s="44"/>
      <c r="L60" s="44"/>
      <c r="M60" s="44" t="s">
        <v>29</v>
      </c>
      <c r="N60" s="44"/>
      <c r="O60" s="44"/>
      <c r="P60" s="118" t="s">
        <v>70</v>
      </c>
      <c r="Q60" s="44"/>
      <c r="R60" s="44" t="s">
        <v>29</v>
      </c>
      <c r="S60" s="44" t="s">
        <v>29</v>
      </c>
      <c r="T60" s="121" t="s">
        <v>465</v>
      </c>
      <c r="U60" s="22"/>
      <c r="V60" s="38"/>
      <c r="W60" s="39">
        <f t="shared" si="0"/>
        <v>43</v>
      </c>
      <c r="X60" s="39"/>
      <c r="Y60" s="1"/>
      <c r="Z60" s="40"/>
      <c r="AA60" s="41"/>
      <c r="AB60" s="42"/>
    </row>
    <row r="61" spans="1:28" s="43" customFormat="1" ht="39.950000000000003" customHeight="1">
      <c r="A61" s="28">
        <v>44070</v>
      </c>
      <c r="B61" s="114" t="s">
        <v>57</v>
      </c>
      <c r="C61" s="115" t="s">
        <v>73</v>
      </c>
      <c r="D61" s="116" t="s">
        <v>77</v>
      </c>
      <c r="E61" s="117">
        <v>56</v>
      </c>
      <c r="F61" s="22" t="s">
        <v>69</v>
      </c>
      <c r="G61" s="22" t="s">
        <v>30</v>
      </c>
      <c r="H61" s="22">
        <v>230</v>
      </c>
      <c r="I61" s="44"/>
      <c r="J61" s="44"/>
      <c r="K61" s="44"/>
      <c r="L61" s="44"/>
      <c r="M61" s="44"/>
      <c r="N61" s="44"/>
      <c r="O61" s="44"/>
      <c r="P61" s="118" t="s">
        <v>70</v>
      </c>
      <c r="Q61" s="44" t="s">
        <v>29</v>
      </c>
      <c r="R61" s="44" t="s">
        <v>29</v>
      </c>
      <c r="S61" s="44"/>
      <c r="T61" s="121" t="s">
        <v>466</v>
      </c>
      <c r="U61" s="22"/>
      <c r="V61" s="98"/>
      <c r="W61" s="39">
        <f t="shared" si="0"/>
        <v>44</v>
      </c>
      <c r="X61" s="39"/>
      <c r="Y61" s="1"/>
      <c r="Z61" s="40"/>
      <c r="AA61" s="41"/>
      <c r="AB61" s="42"/>
    </row>
    <row r="62" spans="1:28" s="43" customFormat="1" ht="39.950000000000003" customHeight="1">
      <c r="A62" s="28">
        <v>44070</v>
      </c>
      <c r="B62" s="114" t="s">
        <v>58</v>
      </c>
      <c r="C62" s="115" t="s">
        <v>72</v>
      </c>
      <c r="D62" s="116" t="s">
        <v>76</v>
      </c>
      <c r="E62" s="117">
        <v>44</v>
      </c>
      <c r="F62" s="22" t="s">
        <v>69</v>
      </c>
      <c r="G62" s="22" t="s">
        <v>30</v>
      </c>
      <c r="H62" s="22">
        <v>230</v>
      </c>
      <c r="I62" s="44"/>
      <c r="J62" s="44"/>
      <c r="K62" s="44"/>
      <c r="L62" s="44"/>
      <c r="M62" s="44"/>
      <c r="N62" s="44"/>
      <c r="O62" s="44"/>
      <c r="P62" s="118" t="s">
        <v>70</v>
      </c>
      <c r="Q62" s="44" t="s">
        <v>29</v>
      </c>
      <c r="R62" s="44" t="s">
        <v>29</v>
      </c>
      <c r="S62" s="44"/>
      <c r="T62" s="27" t="s">
        <v>467</v>
      </c>
      <c r="U62" s="22"/>
      <c r="V62" s="98"/>
      <c r="W62" s="39">
        <f t="shared" si="0"/>
        <v>45</v>
      </c>
      <c r="X62" s="39"/>
      <c r="Y62" s="1"/>
      <c r="Z62" s="40"/>
      <c r="AA62" s="41"/>
      <c r="AB62" s="42"/>
    </row>
    <row r="63" spans="1:28" s="43" customFormat="1" ht="39.950000000000003" customHeight="1">
      <c r="A63" s="28">
        <v>44070</v>
      </c>
      <c r="B63" s="114" t="s">
        <v>59</v>
      </c>
      <c r="C63" s="115" t="s">
        <v>139</v>
      </c>
      <c r="D63" s="116" t="s">
        <v>140</v>
      </c>
      <c r="E63" s="117">
        <v>9</v>
      </c>
      <c r="F63" s="22" t="s">
        <v>69</v>
      </c>
      <c r="G63" s="22" t="s">
        <v>30</v>
      </c>
      <c r="H63" s="22">
        <v>230</v>
      </c>
      <c r="I63" s="44"/>
      <c r="J63" s="44"/>
      <c r="K63" s="44"/>
      <c r="L63" s="44"/>
      <c r="M63" s="44"/>
      <c r="N63" s="44"/>
      <c r="O63" s="44"/>
      <c r="P63" s="118" t="s">
        <v>70</v>
      </c>
      <c r="Q63" s="44" t="s">
        <v>29</v>
      </c>
      <c r="R63" s="44" t="s">
        <v>29</v>
      </c>
      <c r="S63" s="44"/>
      <c r="T63" s="121" t="s">
        <v>468</v>
      </c>
      <c r="U63" s="22"/>
      <c r="V63" s="98"/>
      <c r="W63" s="39">
        <f t="shared" si="0"/>
        <v>46</v>
      </c>
      <c r="X63" s="39"/>
      <c r="Y63" s="1"/>
      <c r="Z63" s="40"/>
      <c r="AA63" s="41"/>
      <c r="AB63" s="42"/>
    </row>
    <row r="64" spans="1:28" s="43" customFormat="1" ht="39.950000000000003" customHeight="1">
      <c r="A64" s="26">
        <v>44071</v>
      </c>
      <c r="B64" s="114" t="s">
        <v>54</v>
      </c>
      <c r="C64" s="115" t="s">
        <v>139</v>
      </c>
      <c r="D64" s="116" t="s">
        <v>140</v>
      </c>
      <c r="E64" s="117">
        <v>10</v>
      </c>
      <c r="F64" s="22" t="s">
        <v>69</v>
      </c>
      <c r="G64" s="22" t="s">
        <v>30</v>
      </c>
      <c r="H64" s="22">
        <v>230</v>
      </c>
      <c r="I64" s="44"/>
      <c r="J64" s="44"/>
      <c r="K64" s="44"/>
      <c r="L64" s="44"/>
      <c r="M64" s="44"/>
      <c r="N64" s="44"/>
      <c r="O64" s="44"/>
      <c r="P64" s="118" t="s">
        <v>70</v>
      </c>
      <c r="Q64" s="44" t="s">
        <v>29</v>
      </c>
      <c r="R64" s="44" t="s">
        <v>29</v>
      </c>
      <c r="S64" s="44"/>
      <c r="T64" s="27" t="s">
        <v>469</v>
      </c>
      <c r="U64" s="22"/>
      <c r="V64" s="98"/>
      <c r="W64" s="39">
        <f t="shared" si="0"/>
        <v>46</v>
      </c>
      <c r="X64" s="39"/>
      <c r="Y64" s="1"/>
      <c r="Z64" s="40"/>
      <c r="AA64" s="41"/>
      <c r="AB64" s="42"/>
    </row>
    <row r="65" spans="1:28" s="43" customFormat="1" ht="39.950000000000003" customHeight="1">
      <c r="A65" s="28">
        <v>44071</v>
      </c>
      <c r="B65" s="114" t="s">
        <v>55</v>
      </c>
      <c r="C65" s="115" t="s">
        <v>114</v>
      </c>
      <c r="D65" s="116" t="s">
        <v>115</v>
      </c>
      <c r="E65" s="117">
        <v>171</v>
      </c>
      <c r="F65" s="22" t="s">
        <v>69</v>
      </c>
      <c r="G65" s="22" t="s">
        <v>33</v>
      </c>
      <c r="H65" s="22">
        <v>100</v>
      </c>
      <c r="I65" s="44"/>
      <c r="J65" s="44"/>
      <c r="K65" s="44"/>
      <c r="L65" s="44"/>
      <c r="M65" s="44" t="s">
        <v>29</v>
      </c>
      <c r="N65" s="44"/>
      <c r="O65" s="44"/>
      <c r="P65" s="118" t="s">
        <v>70</v>
      </c>
      <c r="Q65" s="44"/>
      <c r="R65" s="44" t="s">
        <v>29</v>
      </c>
      <c r="S65" s="44" t="s">
        <v>29</v>
      </c>
      <c r="T65" s="27" t="s">
        <v>470</v>
      </c>
      <c r="U65" s="22"/>
      <c r="V65" s="98"/>
      <c r="W65" s="39">
        <f t="shared" ref="W65:W123" si="1">IF(C65=C64,W64,W64+1)</f>
        <v>47</v>
      </c>
      <c r="X65" s="39"/>
      <c r="Y65" s="1"/>
      <c r="Z65" s="40"/>
      <c r="AA65" s="41"/>
      <c r="AB65" s="42"/>
    </row>
    <row r="66" spans="1:28" s="43" customFormat="1" ht="39.950000000000003" customHeight="1">
      <c r="A66" s="28">
        <v>44071</v>
      </c>
      <c r="B66" s="114" t="s">
        <v>56</v>
      </c>
      <c r="C66" s="115" t="s">
        <v>73</v>
      </c>
      <c r="D66" s="116" t="s">
        <v>77</v>
      </c>
      <c r="E66" s="117">
        <v>26</v>
      </c>
      <c r="F66" s="22" t="s">
        <v>69</v>
      </c>
      <c r="G66" s="22" t="s">
        <v>30</v>
      </c>
      <c r="H66" s="22">
        <v>230</v>
      </c>
      <c r="I66" s="44"/>
      <c r="J66" s="44"/>
      <c r="K66" s="44"/>
      <c r="L66" s="44"/>
      <c r="M66" s="44"/>
      <c r="N66" s="44"/>
      <c r="O66" s="44"/>
      <c r="P66" s="118" t="s">
        <v>70</v>
      </c>
      <c r="Q66" s="44" t="s">
        <v>29</v>
      </c>
      <c r="R66" s="44" t="s">
        <v>29</v>
      </c>
      <c r="S66" s="44"/>
      <c r="T66" s="121" t="s">
        <v>471</v>
      </c>
      <c r="U66" s="22"/>
      <c r="V66" s="98"/>
      <c r="W66" s="39">
        <f t="shared" si="1"/>
        <v>48</v>
      </c>
      <c r="X66" s="39"/>
      <c r="Y66" s="1"/>
      <c r="Z66" s="40"/>
      <c r="AA66" s="41"/>
      <c r="AB66" s="42"/>
    </row>
    <row r="67" spans="1:28" s="43" customFormat="1" ht="39.950000000000003" customHeight="1">
      <c r="A67" s="28">
        <v>44071</v>
      </c>
      <c r="B67" s="114" t="s">
        <v>57</v>
      </c>
      <c r="C67" s="115" t="s">
        <v>71</v>
      </c>
      <c r="D67" s="116" t="s">
        <v>75</v>
      </c>
      <c r="E67" s="117">
        <v>53</v>
      </c>
      <c r="F67" s="22" t="s">
        <v>69</v>
      </c>
      <c r="G67" s="22" t="s">
        <v>28</v>
      </c>
      <c r="H67" s="22">
        <v>230</v>
      </c>
      <c r="I67" s="44"/>
      <c r="J67" s="44"/>
      <c r="K67" s="44"/>
      <c r="L67" s="44"/>
      <c r="M67" s="44"/>
      <c r="N67" s="44"/>
      <c r="O67" s="44"/>
      <c r="P67" s="118" t="s">
        <v>70</v>
      </c>
      <c r="Q67" s="44" t="s">
        <v>29</v>
      </c>
      <c r="R67" s="44"/>
      <c r="S67" s="44"/>
      <c r="T67" s="121" t="s">
        <v>886</v>
      </c>
      <c r="U67" s="22"/>
      <c r="V67" s="98"/>
      <c r="W67" s="39">
        <f t="shared" si="1"/>
        <v>49</v>
      </c>
      <c r="X67" s="39"/>
      <c r="Y67" s="1"/>
      <c r="Z67" s="40"/>
      <c r="AA67" s="41"/>
      <c r="AB67" s="42"/>
    </row>
    <row r="68" spans="1:28" s="43" customFormat="1" ht="39.950000000000003" customHeight="1">
      <c r="A68" s="26">
        <v>44072</v>
      </c>
      <c r="B68" s="114" t="s">
        <v>54</v>
      </c>
      <c r="C68" s="115" t="s">
        <v>71</v>
      </c>
      <c r="D68" s="116" t="s">
        <v>75</v>
      </c>
      <c r="E68" s="117">
        <v>29</v>
      </c>
      <c r="F68" s="22" t="s">
        <v>69</v>
      </c>
      <c r="G68" s="22" t="s">
        <v>28</v>
      </c>
      <c r="H68" s="22">
        <v>230</v>
      </c>
      <c r="I68" s="44"/>
      <c r="J68" s="44"/>
      <c r="K68" s="44"/>
      <c r="L68" s="44"/>
      <c r="M68" s="44"/>
      <c r="N68" s="44"/>
      <c r="O68" s="44"/>
      <c r="P68" s="118" t="s">
        <v>70</v>
      </c>
      <c r="Q68" s="44" t="s">
        <v>29</v>
      </c>
      <c r="R68" s="44"/>
      <c r="S68" s="44"/>
      <c r="T68" s="121" t="s">
        <v>887</v>
      </c>
      <c r="U68" s="22"/>
      <c r="V68" s="98"/>
      <c r="W68" s="39">
        <f t="shared" si="1"/>
        <v>49</v>
      </c>
      <c r="X68" s="39"/>
      <c r="Y68" s="1"/>
      <c r="Z68" s="40"/>
      <c r="AA68" s="41"/>
      <c r="AB68" s="42"/>
    </row>
    <row r="69" spans="1:28" s="43" customFormat="1" ht="39.950000000000003" customHeight="1">
      <c r="A69" s="28">
        <v>44072</v>
      </c>
      <c r="B69" s="114" t="s">
        <v>55</v>
      </c>
      <c r="C69" s="115" t="s">
        <v>74</v>
      </c>
      <c r="D69" s="116" t="s">
        <v>78</v>
      </c>
      <c r="E69" s="117">
        <v>14</v>
      </c>
      <c r="F69" s="22" t="s">
        <v>69</v>
      </c>
      <c r="G69" s="22" t="s">
        <v>28</v>
      </c>
      <c r="H69" s="22">
        <v>230</v>
      </c>
      <c r="I69" s="44"/>
      <c r="J69" s="44"/>
      <c r="K69" s="44"/>
      <c r="L69" s="44"/>
      <c r="M69" s="44"/>
      <c r="N69" s="44"/>
      <c r="O69" s="44"/>
      <c r="P69" s="118" t="s">
        <v>70</v>
      </c>
      <c r="Q69" s="44" t="s">
        <v>29</v>
      </c>
      <c r="R69" s="44"/>
      <c r="S69" s="44"/>
      <c r="T69" s="121" t="s">
        <v>888</v>
      </c>
      <c r="U69" s="22"/>
      <c r="V69" s="98"/>
      <c r="W69" s="39">
        <f t="shared" si="1"/>
        <v>50</v>
      </c>
      <c r="X69" s="39"/>
      <c r="Y69" s="1"/>
      <c r="Z69" s="40"/>
      <c r="AA69" s="41"/>
      <c r="AB69" s="42"/>
    </row>
    <row r="70" spans="1:28" s="43" customFormat="1" ht="39.950000000000003" customHeight="1">
      <c r="A70" s="28">
        <v>44072</v>
      </c>
      <c r="B70" s="114" t="s">
        <v>56</v>
      </c>
      <c r="C70" s="115" t="s">
        <v>114</v>
      </c>
      <c r="D70" s="116" t="s">
        <v>115</v>
      </c>
      <c r="E70" s="117">
        <v>170</v>
      </c>
      <c r="F70" s="22" t="s">
        <v>69</v>
      </c>
      <c r="G70" s="22" t="s">
        <v>33</v>
      </c>
      <c r="H70" s="22">
        <v>100</v>
      </c>
      <c r="I70" s="44"/>
      <c r="J70" s="44"/>
      <c r="K70" s="44"/>
      <c r="L70" s="44"/>
      <c r="M70" s="44" t="s">
        <v>29</v>
      </c>
      <c r="N70" s="44"/>
      <c r="O70" s="44"/>
      <c r="P70" s="118" t="s">
        <v>70</v>
      </c>
      <c r="Q70" s="44"/>
      <c r="R70" s="44" t="s">
        <v>29</v>
      </c>
      <c r="S70" s="44" t="s">
        <v>29</v>
      </c>
      <c r="T70" s="27" t="s">
        <v>472</v>
      </c>
      <c r="U70" s="22"/>
      <c r="V70" s="98"/>
      <c r="W70" s="39">
        <f t="shared" si="1"/>
        <v>51</v>
      </c>
      <c r="X70" s="39"/>
      <c r="Y70" s="1"/>
      <c r="Z70" s="40"/>
      <c r="AA70" s="41"/>
      <c r="AB70" s="42"/>
    </row>
    <row r="71" spans="1:28" s="43" customFormat="1" ht="39.950000000000003" customHeight="1">
      <c r="A71" s="28">
        <v>44072</v>
      </c>
      <c r="B71" s="114" t="s">
        <v>57</v>
      </c>
      <c r="C71" s="115" t="s">
        <v>73</v>
      </c>
      <c r="D71" s="116" t="s">
        <v>77</v>
      </c>
      <c r="E71" s="117">
        <v>54</v>
      </c>
      <c r="F71" s="22" t="s">
        <v>69</v>
      </c>
      <c r="G71" s="22" t="s">
        <v>30</v>
      </c>
      <c r="H71" s="22">
        <v>230</v>
      </c>
      <c r="I71" s="44"/>
      <c r="J71" s="44"/>
      <c r="K71" s="44"/>
      <c r="L71" s="44"/>
      <c r="M71" s="44"/>
      <c r="N71" s="44"/>
      <c r="O71" s="44"/>
      <c r="P71" s="118" t="s">
        <v>70</v>
      </c>
      <c r="Q71" s="44" t="s">
        <v>29</v>
      </c>
      <c r="R71" s="44" t="s">
        <v>29</v>
      </c>
      <c r="S71" s="44"/>
      <c r="T71" s="27" t="s">
        <v>473</v>
      </c>
      <c r="U71" s="22"/>
      <c r="V71" s="98"/>
      <c r="W71" s="39">
        <f t="shared" si="1"/>
        <v>52</v>
      </c>
      <c r="X71" s="39"/>
      <c r="Y71" s="1"/>
      <c r="Z71" s="40"/>
      <c r="AA71" s="41"/>
      <c r="AB71" s="42"/>
    </row>
    <row r="72" spans="1:28" s="43" customFormat="1" ht="39.950000000000003" customHeight="1">
      <c r="A72" s="28">
        <v>44072</v>
      </c>
      <c r="B72" s="114" t="s">
        <v>58</v>
      </c>
      <c r="C72" s="115" t="s">
        <v>144</v>
      </c>
      <c r="D72" s="116" t="s">
        <v>145</v>
      </c>
      <c r="E72" s="117">
        <v>53</v>
      </c>
      <c r="F72" s="22" t="s">
        <v>69</v>
      </c>
      <c r="G72" s="22" t="s">
        <v>19</v>
      </c>
      <c r="H72" s="22">
        <v>220</v>
      </c>
      <c r="I72" s="44"/>
      <c r="J72" s="44"/>
      <c r="K72" s="44"/>
      <c r="L72" s="44"/>
      <c r="M72" s="44" t="s">
        <v>29</v>
      </c>
      <c r="N72" s="44"/>
      <c r="O72" s="44"/>
      <c r="P72" s="118" t="s">
        <v>70</v>
      </c>
      <c r="Q72" s="44"/>
      <c r="R72" s="44" t="s">
        <v>29</v>
      </c>
      <c r="S72" s="44"/>
      <c r="T72" s="27" t="s">
        <v>474</v>
      </c>
      <c r="U72" s="22"/>
      <c r="V72" s="98"/>
      <c r="W72" s="39">
        <f t="shared" si="1"/>
        <v>53</v>
      </c>
      <c r="X72" s="39"/>
      <c r="Y72" s="1"/>
      <c r="Z72" s="40"/>
      <c r="AA72" s="41"/>
      <c r="AB72" s="42"/>
    </row>
    <row r="73" spans="1:28" s="43" customFormat="1" ht="39.950000000000003" customHeight="1">
      <c r="A73" s="26">
        <v>44074</v>
      </c>
      <c r="B73" s="114" t="s">
        <v>54</v>
      </c>
      <c r="C73" s="115" t="s">
        <v>144</v>
      </c>
      <c r="D73" s="116" t="s">
        <v>145</v>
      </c>
      <c r="E73" s="117">
        <v>3</v>
      </c>
      <c r="F73" s="22" t="s">
        <v>69</v>
      </c>
      <c r="G73" s="22" t="s">
        <v>19</v>
      </c>
      <c r="H73" s="22">
        <v>220</v>
      </c>
      <c r="I73" s="44"/>
      <c r="J73" s="44"/>
      <c r="K73" s="44"/>
      <c r="L73" s="44"/>
      <c r="M73" s="44" t="s">
        <v>29</v>
      </c>
      <c r="N73" s="44"/>
      <c r="O73" s="44"/>
      <c r="P73" s="118" t="s">
        <v>70</v>
      </c>
      <c r="Q73" s="44"/>
      <c r="R73" s="44" t="s">
        <v>29</v>
      </c>
      <c r="S73" s="44"/>
      <c r="T73" s="121" t="s">
        <v>475</v>
      </c>
      <c r="U73" s="22"/>
      <c r="V73" s="98"/>
      <c r="W73" s="39">
        <f t="shared" si="1"/>
        <v>53</v>
      </c>
      <c r="X73" s="39"/>
      <c r="Y73" s="1"/>
      <c r="Z73" s="40"/>
      <c r="AA73" s="41"/>
      <c r="AB73" s="42"/>
    </row>
    <row r="74" spans="1:28" s="43" customFormat="1" ht="39.950000000000003" customHeight="1">
      <c r="A74" s="28">
        <v>44074</v>
      </c>
      <c r="B74" s="114" t="s">
        <v>55</v>
      </c>
      <c r="C74" s="115" t="s">
        <v>74</v>
      </c>
      <c r="D74" s="116" t="s">
        <v>78</v>
      </c>
      <c r="E74" s="117">
        <v>28</v>
      </c>
      <c r="F74" s="22" t="s">
        <v>69</v>
      </c>
      <c r="G74" s="22" t="s">
        <v>28</v>
      </c>
      <c r="H74" s="22">
        <v>230</v>
      </c>
      <c r="I74" s="44"/>
      <c r="J74" s="44"/>
      <c r="K74" s="44"/>
      <c r="L74" s="44"/>
      <c r="M74" s="44"/>
      <c r="N74" s="44"/>
      <c r="O74" s="44"/>
      <c r="P74" s="118" t="s">
        <v>70</v>
      </c>
      <c r="Q74" s="44" t="s">
        <v>29</v>
      </c>
      <c r="R74" s="44"/>
      <c r="S74" s="44"/>
      <c r="T74" s="121" t="s">
        <v>889</v>
      </c>
      <c r="U74" s="22"/>
      <c r="V74" s="98"/>
      <c r="W74" s="39">
        <f t="shared" si="1"/>
        <v>54</v>
      </c>
      <c r="X74" s="39"/>
      <c r="Y74" s="1"/>
      <c r="Z74" s="40"/>
      <c r="AA74" s="41"/>
      <c r="AB74" s="42"/>
    </row>
    <row r="75" spans="1:28" s="43" customFormat="1" ht="39.950000000000003" customHeight="1">
      <c r="A75" s="28">
        <v>44074</v>
      </c>
      <c r="B75" s="114" t="s">
        <v>56</v>
      </c>
      <c r="C75" s="115" t="s">
        <v>135</v>
      </c>
      <c r="D75" s="116" t="s">
        <v>136</v>
      </c>
      <c r="E75" s="117">
        <v>86</v>
      </c>
      <c r="F75" s="22" t="s">
        <v>69</v>
      </c>
      <c r="G75" s="22" t="s">
        <v>19</v>
      </c>
      <c r="H75" s="22">
        <v>220</v>
      </c>
      <c r="I75" s="44"/>
      <c r="J75" s="44"/>
      <c r="K75" s="44"/>
      <c r="L75" s="44"/>
      <c r="M75" s="44" t="s">
        <v>29</v>
      </c>
      <c r="N75" s="44"/>
      <c r="O75" s="44"/>
      <c r="P75" s="118" t="s">
        <v>70</v>
      </c>
      <c r="Q75" s="44"/>
      <c r="R75" s="44" t="s">
        <v>29</v>
      </c>
      <c r="S75" s="44"/>
      <c r="T75" s="27" t="s">
        <v>476</v>
      </c>
      <c r="U75" s="22"/>
      <c r="V75" s="98"/>
      <c r="W75" s="39">
        <f t="shared" si="1"/>
        <v>55</v>
      </c>
      <c r="X75" s="39"/>
      <c r="Y75" s="1"/>
      <c r="Z75" s="40"/>
      <c r="AA75" s="41"/>
      <c r="AB75" s="42"/>
    </row>
    <row r="76" spans="1:28" s="43" customFormat="1" ht="39.950000000000003" customHeight="1">
      <c r="A76" s="28">
        <v>44074</v>
      </c>
      <c r="B76" s="114" t="s">
        <v>57</v>
      </c>
      <c r="C76" s="115" t="s">
        <v>108</v>
      </c>
      <c r="D76" s="116" t="s">
        <v>109</v>
      </c>
      <c r="E76" s="117">
        <v>86</v>
      </c>
      <c r="F76" s="22" t="s">
        <v>69</v>
      </c>
      <c r="G76" s="22" t="s">
        <v>19</v>
      </c>
      <c r="H76" s="22">
        <v>220</v>
      </c>
      <c r="I76" s="44"/>
      <c r="J76" s="44"/>
      <c r="K76" s="44"/>
      <c r="L76" s="44"/>
      <c r="M76" s="44" t="s">
        <v>29</v>
      </c>
      <c r="N76" s="44"/>
      <c r="O76" s="44"/>
      <c r="P76" s="118" t="s">
        <v>70</v>
      </c>
      <c r="Q76" s="44"/>
      <c r="R76" s="44" t="s">
        <v>29</v>
      </c>
      <c r="S76" s="44"/>
      <c r="T76" s="27" t="s">
        <v>477</v>
      </c>
      <c r="U76" s="22"/>
      <c r="V76" s="98"/>
      <c r="W76" s="39">
        <f t="shared" si="1"/>
        <v>56</v>
      </c>
      <c r="X76" s="39"/>
      <c r="Y76" s="1"/>
      <c r="Z76" s="40"/>
      <c r="AA76" s="41"/>
      <c r="AB76" s="42"/>
    </row>
    <row r="77" spans="1:28" s="43" customFormat="1" ht="39.950000000000003" customHeight="1">
      <c r="A77" s="28">
        <v>44074</v>
      </c>
      <c r="B77" s="114" t="s">
        <v>58</v>
      </c>
      <c r="C77" s="115" t="s">
        <v>74</v>
      </c>
      <c r="D77" s="116" t="s">
        <v>78</v>
      </c>
      <c r="E77" s="117">
        <v>53</v>
      </c>
      <c r="F77" s="22" t="s">
        <v>69</v>
      </c>
      <c r="G77" s="22" t="s">
        <v>28</v>
      </c>
      <c r="H77" s="22">
        <v>230</v>
      </c>
      <c r="I77" s="44"/>
      <c r="J77" s="44"/>
      <c r="K77" s="44"/>
      <c r="L77" s="44"/>
      <c r="M77" s="44"/>
      <c r="N77" s="44"/>
      <c r="O77" s="44"/>
      <c r="P77" s="118" t="s">
        <v>70</v>
      </c>
      <c r="Q77" s="44" t="s">
        <v>29</v>
      </c>
      <c r="R77" s="44"/>
      <c r="S77" s="44"/>
      <c r="T77" s="121" t="s">
        <v>890</v>
      </c>
      <c r="U77" s="22"/>
      <c r="V77" s="98"/>
      <c r="W77" s="39">
        <f t="shared" si="1"/>
        <v>57</v>
      </c>
      <c r="X77" s="39"/>
      <c r="Y77" s="1"/>
      <c r="Z77" s="40"/>
      <c r="AA77" s="41"/>
      <c r="AB77" s="42"/>
    </row>
    <row r="78" spans="1:28" s="43" customFormat="1" ht="39.950000000000003" customHeight="1">
      <c r="A78" s="25">
        <v>44075</v>
      </c>
      <c r="B78" s="114" t="s">
        <v>54</v>
      </c>
      <c r="C78" s="115" t="s">
        <v>74</v>
      </c>
      <c r="D78" s="116" t="s">
        <v>78</v>
      </c>
      <c r="E78" s="117">
        <v>111</v>
      </c>
      <c r="F78" s="22" t="s">
        <v>69</v>
      </c>
      <c r="G78" s="22" t="s">
        <v>28</v>
      </c>
      <c r="H78" s="22">
        <v>230</v>
      </c>
      <c r="I78" s="44"/>
      <c r="J78" s="44"/>
      <c r="K78" s="44"/>
      <c r="L78" s="44"/>
      <c r="M78" s="44"/>
      <c r="N78" s="44"/>
      <c r="O78" s="44"/>
      <c r="P78" s="118" t="s">
        <v>70</v>
      </c>
      <c r="Q78" s="44" t="s">
        <v>29</v>
      </c>
      <c r="R78" s="44"/>
      <c r="S78" s="44"/>
      <c r="T78" s="121" t="s">
        <v>891</v>
      </c>
      <c r="U78" s="22"/>
      <c r="V78" s="98"/>
      <c r="W78" s="39">
        <f t="shared" si="1"/>
        <v>57</v>
      </c>
      <c r="X78" s="39"/>
      <c r="Y78" s="1"/>
      <c r="Z78" s="40"/>
      <c r="AA78" s="41"/>
      <c r="AB78" s="42"/>
    </row>
    <row r="79" spans="1:28" s="43" customFormat="1" ht="39.950000000000003" customHeight="1">
      <c r="A79" s="18">
        <v>44075</v>
      </c>
      <c r="B79" s="114" t="s">
        <v>55</v>
      </c>
      <c r="C79" s="115" t="s">
        <v>135</v>
      </c>
      <c r="D79" s="116" t="s">
        <v>136</v>
      </c>
      <c r="E79" s="117">
        <v>164</v>
      </c>
      <c r="F79" s="22" t="s">
        <v>69</v>
      </c>
      <c r="G79" s="22" t="s">
        <v>19</v>
      </c>
      <c r="H79" s="22">
        <v>220</v>
      </c>
      <c r="I79" s="44"/>
      <c r="J79" s="44"/>
      <c r="K79" s="44"/>
      <c r="L79" s="44"/>
      <c r="M79" s="44" t="s">
        <v>29</v>
      </c>
      <c r="N79" s="44"/>
      <c r="O79" s="44"/>
      <c r="P79" s="118" t="s">
        <v>70</v>
      </c>
      <c r="Q79" s="44"/>
      <c r="R79" s="44" t="s">
        <v>29</v>
      </c>
      <c r="S79" s="44"/>
      <c r="T79" s="121" t="s">
        <v>478</v>
      </c>
      <c r="U79" s="22"/>
      <c r="V79" s="98"/>
      <c r="W79" s="39">
        <f t="shared" si="1"/>
        <v>58</v>
      </c>
      <c r="X79" s="39"/>
      <c r="Y79" s="1"/>
      <c r="Z79" s="40"/>
      <c r="AA79" s="41"/>
      <c r="AB79" s="42"/>
    </row>
    <row r="80" spans="1:28" s="43" customFormat="1" ht="39.950000000000003" customHeight="1">
      <c r="A80" s="18">
        <v>44075</v>
      </c>
      <c r="B80" s="114" t="s">
        <v>56</v>
      </c>
      <c r="C80" s="115" t="s">
        <v>71</v>
      </c>
      <c r="D80" s="116" t="s">
        <v>75</v>
      </c>
      <c r="E80" s="117">
        <v>53</v>
      </c>
      <c r="F80" s="22" t="s">
        <v>69</v>
      </c>
      <c r="G80" s="22" t="s">
        <v>28</v>
      </c>
      <c r="H80" s="22">
        <v>230</v>
      </c>
      <c r="I80" s="44"/>
      <c r="J80" s="44"/>
      <c r="K80" s="44"/>
      <c r="L80" s="44"/>
      <c r="M80" s="44"/>
      <c r="N80" s="44"/>
      <c r="O80" s="44"/>
      <c r="P80" s="118" t="s">
        <v>70</v>
      </c>
      <c r="Q80" s="44" t="s">
        <v>29</v>
      </c>
      <c r="R80" s="44"/>
      <c r="S80" s="44"/>
      <c r="T80" s="121" t="s">
        <v>892</v>
      </c>
      <c r="U80" s="22"/>
      <c r="V80" s="98"/>
      <c r="W80" s="39">
        <f t="shared" si="1"/>
        <v>59</v>
      </c>
      <c r="X80" s="39"/>
      <c r="Y80" s="1"/>
      <c r="Z80" s="40"/>
      <c r="AA80" s="41"/>
      <c r="AB80" s="42"/>
    </row>
    <row r="81" spans="1:28" s="43" customFormat="1" ht="39.950000000000003" customHeight="1">
      <c r="A81" s="25">
        <v>44076</v>
      </c>
      <c r="B81" s="114" t="s">
        <v>54</v>
      </c>
      <c r="C81" s="115" t="s">
        <v>71</v>
      </c>
      <c r="D81" s="116" t="s">
        <v>75</v>
      </c>
      <c r="E81" s="117">
        <v>38</v>
      </c>
      <c r="F81" s="22" t="s">
        <v>69</v>
      </c>
      <c r="G81" s="22" t="s">
        <v>28</v>
      </c>
      <c r="H81" s="22">
        <v>230</v>
      </c>
      <c r="I81" s="44"/>
      <c r="J81" s="44"/>
      <c r="K81" s="44"/>
      <c r="L81" s="44"/>
      <c r="M81" s="44"/>
      <c r="N81" s="44"/>
      <c r="O81" s="44"/>
      <c r="P81" s="118" t="s">
        <v>70</v>
      </c>
      <c r="Q81" s="44" t="s">
        <v>29</v>
      </c>
      <c r="R81" s="44"/>
      <c r="S81" s="44"/>
      <c r="T81" s="121" t="s">
        <v>893</v>
      </c>
      <c r="U81" s="22"/>
      <c r="V81" s="98"/>
      <c r="W81" s="39">
        <f t="shared" si="1"/>
        <v>59</v>
      </c>
      <c r="X81" s="39"/>
      <c r="Y81" s="1"/>
      <c r="Z81" s="40"/>
      <c r="AA81" s="41"/>
      <c r="AB81" s="42"/>
    </row>
    <row r="82" spans="1:28" s="43" customFormat="1" ht="39.950000000000003" customHeight="1">
      <c r="A82" s="18">
        <v>44076</v>
      </c>
      <c r="B82" s="114" t="s">
        <v>55</v>
      </c>
      <c r="C82" s="115" t="s">
        <v>72</v>
      </c>
      <c r="D82" s="116" t="s">
        <v>76</v>
      </c>
      <c r="E82" s="117">
        <v>73</v>
      </c>
      <c r="F82" s="22" t="s">
        <v>69</v>
      </c>
      <c r="G82" s="22" t="s">
        <v>30</v>
      </c>
      <c r="H82" s="22">
        <v>230</v>
      </c>
      <c r="I82" s="44"/>
      <c r="J82" s="44"/>
      <c r="K82" s="44"/>
      <c r="L82" s="44"/>
      <c r="M82" s="44"/>
      <c r="N82" s="44"/>
      <c r="O82" s="44"/>
      <c r="P82" s="118" t="s">
        <v>70</v>
      </c>
      <c r="Q82" s="44" t="s">
        <v>29</v>
      </c>
      <c r="R82" s="44" t="s">
        <v>29</v>
      </c>
      <c r="S82" s="44"/>
      <c r="T82" s="121" t="s">
        <v>479</v>
      </c>
      <c r="U82" s="22"/>
      <c r="V82" s="98"/>
      <c r="W82" s="39">
        <f t="shared" si="1"/>
        <v>60</v>
      </c>
      <c r="X82" s="39"/>
      <c r="Y82" s="1"/>
      <c r="Z82" s="40"/>
      <c r="AA82" s="41"/>
      <c r="AB82" s="42"/>
    </row>
    <row r="83" spans="1:28" s="43" customFormat="1" ht="39.950000000000003" customHeight="1">
      <c r="A83" s="18">
        <v>44076</v>
      </c>
      <c r="B83" s="153" t="s">
        <v>56</v>
      </c>
      <c r="C83" s="127" t="s">
        <v>135</v>
      </c>
      <c r="D83" s="128" t="s">
        <v>136</v>
      </c>
      <c r="E83" s="129">
        <v>86</v>
      </c>
      <c r="F83" s="45" t="s">
        <v>69</v>
      </c>
      <c r="G83" s="55" t="s">
        <v>19</v>
      </c>
      <c r="H83" s="55">
        <v>220</v>
      </c>
      <c r="I83" s="46"/>
      <c r="J83" s="46"/>
      <c r="K83" s="44"/>
      <c r="L83" s="44"/>
      <c r="M83" s="44" t="s">
        <v>29</v>
      </c>
      <c r="N83" s="44"/>
      <c r="O83" s="44"/>
      <c r="P83" s="118" t="s">
        <v>70</v>
      </c>
      <c r="Q83" s="44"/>
      <c r="R83" s="44" t="s">
        <v>29</v>
      </c>
      <c r="S83" s="44"/>
      <c r="T83" s="121" t="s">
        <v>480</v>
      </c>
      <c r="U83" s="22"/>
      <c r="V83" s="98"/>
      <c r="W83" s="39">
        <f t="shared" si="1"/>
        <v>61</v>
      </c>
      <c r="X83" s="39"/>
      <c r="Y83" s="1"/>
      <c r="Z83" s="40"/>
      <c r="AA83" s="41"/>
      <c r="AB83" s="42"/>
    </row>
    <row r="84" spans="1:28" s="43" customFormat="1" ht="39.950000000000003" customHeight="1">
      <c r="A84" s="18">
        <v>44076</v>
      </c>
      <c r="B84" s="153" t="s">
        <v>57</v>
      </c>
      <c r="C84" s="127" t="s">
        <v>108</v>
      </c>
      <c r="D84" s="128" t="s">
        <v>109</v>
      </c>
      <c r="E84" s="129">
        <v>86</v>
      </c>
      <c r="F84" s="45" t="s">
        <v>69</v>
      </c>
      <c r="G84" s="55" t="s">
        <v>19</v>
      </c>
      <c r="H84" s="55">
        <v>220</v>
      </c>
      <c r="I84" s="46"/>
      <c r="J84" s="46"/>
      <c r="K84" s="44"/>
      <c r="L84" s="44"/>
      <c r="M84" s="44" t="s">
        <v>29</v>
      </c>
      <c r="N84" s="44"/>
      <c r="O84" s="44"/>
      <c r="P84" s="118" t="s">
        <v>70</v>
      </c>
      <c r="Q84" s="44"/>
      <c r="R84" s="44" t="s">
        <v>29</v>
      </c>
      <c r="S84" s="44"/>
      <c r="T84" s="121" t="s">
        <v>481</v>
      </c>
      <c r="U84" s="22"/>
      <c r="V84" s="98"/>
      <c r="W84" s="39">
        <f t="shared" si="1"/>
        <v>62</v>
      </c>
      <c r="X84" s="39"/>
      <c r="Y84" s="1"/>
      <c r="Z84" s="40"/>
      <c r="AA84" s="41"/>
      <c r="AB84" s="42"/>
    </row>
    <row r="85" spans="1:28" s="43" customFormat="1" ht="39.950000000000003" customHeight="1">
      <c r="A85" s="18">
        <v>44076</v>
      </c>
      <c r="B85" s="153" t="s">
        <v>58</v>
      </c>
      <c r="C85" s="127" t="s">
        <v>71</v>
      </c>
      <c r="D85" s="128" t="s">
        <v>75</v>
      </c>
      <c r="E85" s="129">
        <v>53</v>
      </c>
      <c r="F85" s="45" t="s">
        <v>69</v>
      </c>
      <c r="G85" s="55" t="s">
        <v>28</v>
      </c>
      <c r="H85" s="55">
        <v>230</v>
      </c>
      <c r="I85" s="46"/>
      <c r="J85" s="46"/>
      <c r="K85" s="44"/>
      <c r="L85" s="44"/>
      <c r="M85" s="44"/>
      <c r="N85" s="44"/>
      <c r="O85" s="44"/>
      <c r="P85" s="118" t="s">
        <v>70</v>
      </c>
      <c r="Q85" s="44" t="s">
        <v>29</v>
      </c>
      <c r="R85" s="44"/>
      <c r="S85" s="44"/>
      <c r="T85" s="19" t="s">
        <v>894</v>
      </c>
      <c r="U85" s="22"/>
      <c r="V85" s="98"/>
      <c r="W85" s="39">
        <f t="shared" si="1"/>
        <v>63</v>
      </c>
      <c r="X85" s="39"/>
      <c r="Y85" s="1"/>
      <c r="Z85" s="40"/>
      <c r="AA85" s="41"/>
      <c r="AB85" s="42"/>
    </row>
    <row r="86" spans="1:28" s="43" customFormat="1" ht="39.950000000000003" customHeight="1">
      <c r="A86" s="25">
        <v>44077</v>
      </c>
      <c r="B86" s="153" t="s">
        <v>54</v>
      </c>
      <c r="C86" s="127" t="s">
        <v>71</v>
      </c>
      <c r="D86" s="128" t="s">
        <v>75</v>
      </c>
      <c r="E86" s="129">
        <v>47</v>
      </c>
      <c r="F86" s="45" t="s">
        <v>69</v>
      </c>
      <c r="G86" s="55" t="s">
        <v>28</v>
      </c>
      <c r="H86" s="55">
        <v>230</v>
      </c>
      <c r="I86" s="46"/>
      <c r="J86" s="46"/>
      <c r="K86" s="44"/>
      <c r="L86" s="44"/>
      <c r="M86" s="44"/>
      <c r="N86" s="44"/>
      <c r="O86" s="44"/>
      <c r="P86" s="118" t="s">
        <v>70</v>
      </c>
      <c r="Q86" s="44" t="s">
        <v>29</v>
      </c>
      <c r="R86" s="44"/>
      <c r="S86" s="44"/>
      <c r="T86" s="19" t="s">
        <v>895</v>
      </c>
      <c r="U86" s="22"/>
      <c r="V86" s="98"/>
      <c r="W86" s="39">
        <f t="shared" si="1"/>
        <v>63</v>
      </c>
      <c r="X86" s="39"/>
      <c r="Y86" s="1"/>
      <c r="Z86" s="40"/>
      <c r="AA86" s="41"/>
      <c r="AB86" s="42"/>
    </row>
    <row r="87" spans="1:28" s="43" customFormat="1" ht="39.950000000000003" customHeight="1">
      <c r="A87" s="18">
        <v>44077</v>
      </c>
      <c r="B87" s="153" t="s">
        <v>55</v>
      </c>
      <c r="C87" s="127" t="s">
        <v>114</v>
      </c>
      <c r="D87" s="128" t="s">
        <v>115</v>
      </c>
      <c r="E87" s="129">
        <v>102</v>
      </c>
      <c r="F87" s="45" t="s">
        <v>69</v>
      </c>
      <c r="G87" s="55" t="s">
        <v>33</v>
      </c>
      <c r="H87" s="55">
        <v>100</v>
      </c>
      <c r="I87" s="46"/>
      <c r="J87" s="46"/>
      <c r="K87" s="44"/>
      <c r="L87" s="44"/>
      <c r="M87" s="44" t="s">
        <v>29</v>
      </c>
      <c r="N87" s="44"/>
      <c r="O87" s="44"/>
      <c r="P87" s="118" t="s">
        <v>70</v>
      </c>
      <c r="Q87" s="44"/>
      <c r="R87" s="44" t="s">
        <v>29</v>
      </c>
      <c r="S87" s="44" t="s">
        <v>29</v>
      </c>
      <c r="T87" s="93" t="s">
        <v>482</v>
      </c>
      <c r="U87" s="22"/>
      <c r="V87" s="98"/>
      <c r="W87" s="39">
        <f t="shared" si="1"/>
        <v>64</v>
      </c>
      <c r="X87" s="39"/>
      <c r="Y87" s="1"/>
      <c r="Z87" s="40"/>
      <c r="AA87" s="41"/>
      <c r="AB87" s="42"/>
    </row>
    <row r="88" spans="1:28" s="43" customFormat="1" ht="39.950000000000003" customHeight="1">
      <c r="A88" s="18">
        <v>44077</v>
      </c>
      <c r="B88" s="153" t="s">
        <v>56</v>
      </c>
      <c r="C88" s="127" t="s">
        <v>73</v>
      </c>
      <c r="D88" s="128" t="s">
        <v>77</v>
      </c>
      <c r="E88" s="129">
        <v>118</v>
      </c>
      <c r="F88" s="45" t="s">
        <v>69</v>
      </c>
      <c r="G88" s="55" t="s">
        <v>30</v>
      </c>
      <c r="H88" s="55">
        <v>230</v>
      </c>
      <c r="I88" s="46"/>
      <c r="J88" s="46"/>
      <c r="K88" s="44"/>
      <c r="L88" s="44"/>
      <c r="M88" s="44"/>
      <c r="N88" s="44"/>
      <c r="O88" s="44"/>
      <c r="P88" s="118" t="s">
        <v>70</v>
      </c>
      <c r="Q88" s="44" t="s">
        <v>29</v>
      </c>
      <c r="R88" s="44" t="s">
        <v>29</v>
      </c>
      <c r="S88" s="44"/>
      <c r="T88" s="93" t="s">
        <v>483</v>
      </c>
      <c r="U88" s="22"/>
      <c r="V88" s="98"/>
      <c r="W88" s="39">
        <f t="shared" si="1"/>
        <v>65</v>
      </c>
      <c r="X88" s="39"/>
      <c r="Y88" s="1"/>
      <c r="Z88" s="40"/>
      <c r="AA88" s="41"/>
      <c r="AB88" s="42"/>
    </row>
    <row r="89" spans="1:28" ht="39.950000000000003" customHeight="1">
      <c r="A89" s="18">
        <v>44077</v>
      </c>
      <c r="B89" s="153" t="s">
        <v>57</v>
      </c>
      <c r="C89" s="127" t="s">
        <v>71</v>
      </c>
      <c r="D89" s="128" t="s">
        <v>75</v>
      </c>
      <c r="E89" s="129">
        <v>53</v>
      </c>
      <c r="F89" s="45" t="s">
        <v>69</v>
      </c>
      <c r="G89" s="55" t="s">
        <v>28</v>
      </c>
      <c r="H89" s="55">
        <v>230</v>
      </c>
      <c r="I89" s="46"/>
      <c r="J89" s="46"/>
      <c r="K89" s="46"/>
      <c r="L89" s="46"/>
      <c r="M89" s="46"/>
      <c r="N89" s="46"/>
      <c r="O89" s="46"/>
      <c r="P89" s="91" t="s">
        <v>70</v>
      </c>
      <c r="Q89" s="46" t="s">
        <v>29</v>
      </c>
      <c r="R89" s="46"/>
      <c r="S89" s="46"/>
      <c r="T89" s="24" t="s">
        <v>896</v>
      </c>
      <c r="U89" s="29"/>
      <c r="W89" s="39">
        <f t="shared" si="1"/>
        <v>66</v>
      </c>
    </row>
    <row r="90" spans="1:28" ht="39.950000000000003" customHeight="1">
      <c r="A90" s="25">
        <v>44078</v>
      </c>
      <c r="B90" s="153" t="s">
        <v>54</v>
      </c>
      <c r="C90" s="127" t="s">
        <v>71</v>
      </c>
      <c r="D90" s="128" t="s">
        <v>75</v>
      </c>
      <c r="E90" s="129">
        <v>47</v>
      </c>
      <c r="F90" s="45" t="s">
        <v>69</v>
      </c>
      <c r="G90" s="55" t="s">
        <v>28</v>
      </c>
      <c r="H90" s="55">
        <v>230</v>
      </c>
      <c r="I90" s="46"/>
      <c r="J90" s="46"/>
      <c r="K90" s="46"/>
      <c r="L90" s="46"/>
      <c r="M90" s="46"/>
      <c r="N90" s="46"/>
      <c r="O90" s="46"/>
      <c r="P90" s="91" t="s">
        <v>70</v>
      </c>
      <c r="Q90" s="46" t="s">
        <v>29</v>
      </c>
      <c r="R90" s="46"/>
      <c r="S90" s="46"/>
      <c r="T90" s="99" t="s">
        <v>897</v>
      </c>
      <c r="U90" s="29"/>
      <c r="W90" s="39">
        <f t="shared" si="1"/>
        <v>66</v>
      </c>
    </row>
    <row r="91" spans="1:28" ht="39.950000000000003" customHeight="1">
      <c r="A91" s="18">
        <v>44078</v>
      </c>
      <c r="B91" s="153" t="s">
        <v>55</v>
      </c>
      <c r="C91" s="127" t="s">
        <v>114</v>
      </c>
      <c r="D91" s="128" t="s">
        <v>115</v>
      </c>
      <c r="E91" s="129">
        <v>170</v>
      </c>
      <c r="F91" s="45" t="s">
        <v>69</v>
      </c>
      <c r="G91" s="55" t="s">
        <v>33</v>
      </c>
      <c r="H91" s="55">
        <v>100</v>
      </c>
      <c r="I91" s="46"/>
      <c r="J91" s="46"/>
      <c r="K91" s="29"/>
      <c r="L91" s="100"/>
      <c r="M91" s="100" t="s">
        <v>29</v>
      </c>
      <c r="N91" s="100"/>
      <c r="O91" s="100"/>
      <c r="P91" s="91" t="s">
        <v>70</v>
      </c>
      <c r="Q91" s="100"/>
      <c r="R91" s="100" t="s">
        <v>29</v>
      </c>
      <c r="S91" s="100" t="s">
        <v>29</v>
      </c>
      <c r="T91" s="99" t="s">
        <v>484</v>
      </c>
      <c r="U91" s="29"/>
      <c r="W91" s="39">
        <f t="shared" si="1"/>
        <v>67</v>
      </c>
    </row>
    <row r="92" spans="1:28" ht="39.950000000000003" customHeight="1">
      <c r="A92" s="18">
        <v>44078</v>
      </c>
      <c r="B92" s="153" t="s">
        <v>56</v>
      </c>
      <c r="C92" s="127" t="s">
        <v>201</v>
      </c>
      <c r="D92" s="128" t="s">
        <v>202</v>
      </c>
      <c r="E92" s="129">
        <v>50</v>
      </c>
      <c r="F92" s="45" t="s">
        <v>69</v>
      </c>
      <c r="G92" s="55" t="s">
        <v>28</v>
      </c>
      <c r="H92" s="55">
        <v>230</v>
      </c>
      <c r="I92" s="46"/>
      <c r="J92" s="46"/>
      <c r="K92" s="29"/>
      <c r="L92" s="100"/>
      <c r="M92" s="100"/>
      <c r="N92" s="100"/>
      <c r="O92" s="100"/>
      <c r="P92" s="91" t="s">
        <v>70</v>
      </c>
      <c r="Q92" s="100" t="s">
        <v>29</v>
      </c>
      <c r="R92" s="100"/>
      <c r="S92" s="100"/>
      <c r="T92" s="99" t="s">
        <v>898</v>
      </c>
      <c r="U92" s="29"/>
      <c r="W92" s="39">
        <f t="shared" si="1"/>
        <v>68</v>
      </c>
    </row>
    <row r="93" spans="1:28" ht="39.950000000000003" customHeight="1">
      <c r="A93" s="18">
        <v>44078</v>
      </c>
      <c r="B93" s="153" t="s">
        <v>57</v>
      </c>
      <c r="C93" s="127" t="s">
        <v>71</v>
      </c>
      <c r="D93" s="128" t="s">
        <v>75</v>
      </c>
      <c r="E93" s="129">
        <v>53</v>
      </c>
      <c r="F93" s="45" t="s">
        <v>69</v>
      </c>
      <c r="G93" s="55" t="s">
        <v>28</v>
      </c>
      <c r="H93" s="55">
        <v>230</v>
      </c>
      <c r="I93" s="46"/>
      <c r="J93" s="46"/>
      <c r="K93" s="29"/>
      <c r="L93" s="100"/>
      <c r="M93" s="100"/>
      <c r="N93" s="100"/>
      <c r="O93" s="100"/>
      <c r="P93" s="91" t="s">
        <v>70</v>
      </c>
      <c r="Q93" s="100" t="s">
        <v>29</v>
      </c>
      <c r="R93" s="100"/>
      <c r="S93" s="100"/>
      <c r="T93" s="99" t="s">
        <v>899</v>
      </c>
      <c r="U93" s="29"/>
      <c r="W93" s="39">
        <f t="shared" si="1"/>
        <v>69</v>
      </c>
    </row>
    <row r="94" spans="1:28" ht="39.950000000000003" customHeight="1">
      <c r="A94" s="25">
        <v>44079</v>
      </c>
      <c r="B94" s="153" t="s">
        <v>54</v>
      </c>
      <c r="C94" s="127" t="s">
        <v>71</v>
      </c>
      <c r="D94" s="128" t="s">
        <v>75</v>
      </c>
      <c r="E94" s="129">
        <v>47</v>
      </c>
      <c r="F94" s="45" t="s">
        <v>69</v>
      </c>
      <c r="G94" s="55" t="s">
        <v>28</v>
      </c>
      <c r="H94" s="55">
        <v>230</v>
      </c>
      <c r="I94" s="46"/>
      <c r="J94" s="46"/>
      <c r="K94" s="29"/>
      <c r="L94" s="100"/>
      <c r="M94" s="100"/>
      <c r="N94" s="100"/>
      <c r="O94" s="100"/>
      <c r="P94" s="122" t="s">
        <v>70</v>
      </c>
      <c r="Q94" s="100" t="s">
        <v>29</v>
      </c>
      <c r="R94" s="100"/>
      <c r="S94" s="100"/>
      <c r="T94" s="29" t="s">
        <v>900</v>
      </c>
      <c r="U94" s="29"/>
      <c r="W94" s="39">
        <f t="shared" si="1"/>
        <v>69</v>
      </c>
    </row>
    <row r="95" spans="1:28" ht="39.950000000000003" customHeight="1">
      <c r="A95" s="18">
        <v>44079</v>
      </c>
      <c r="B95" s="153" t="s">
        <v>55</v>
      </c>
      <c r="C95" s="127" t="s">
        <v>114</v>
      </c>
      <c r="D95" s="128" t="s">
        <v>115</v>
      </c>
      <c r="E95" s="129">
        <v>128</v>
      </c>
      <c r="F95" s="45" t="s">
        <v>69</v>
      </c>
      <c r="G95" s="55" t="s">
        <v>33</v>
      </c>
      <c r="H95" s="55">
        <v>100</v>
      </c>
      <c r="I95" s="46"/>
      <c r="J95" s="46"/>
      <c r="K95" s="29"/>
      <c r="L95" s="100"/>
      <c r="M95" s="100" t="s">
        <v>29</v>
      </c>
      <c r="N95" s="100"/>
      <c r="O95" s="100"/>
      <c r="P95" s="122" t="s">
        <v>70</v>
      </c>
      <c r="Q95" s="100"/>
      <c r="R95" s="100" t="s">
        <v>29</v>
      </c>
      <c r="S95" s="100" t="s">
        <v>29</v>
      </c>
      <c r="T95" s="99" t="s">
        <v>485</v>
      </c>
      <c r="U95" s="29"/>
      <c r="W95" s="39">
        <f t="shared" si="1"/>
        <v>70</v>
      </c>
    </row>
    <row r="96" spans="1:28" ht="39.950000000000003" customHeight="1">
      <c r="A96" s="18">
        <v>44079</v>
      </c>
      <c r="B96" s="153" t="s">
        <v>56</v>
      </c>
      <c r="C96" s="127" t="s">
        <v>201</v>
      </c>
      <c r="D96" s="128" t="s">
        <v>202</v>
      </c>
      <c r="E96" s="129">
        <v>32</v>
      </c>
      <c r="F96" s="45" t="s">
        <v>69</v>
      </c>
      <c r="G96" s="55" t="s">
        <v>28</v>
      </c>
      <c r="H96" s="55">
        <v>230</v>
      </c>
      <c r="I96" s="46"/>
      <c r="J96" s="46"/>
      <c r="K96" s="29"/>
      <c r="L96" s="100"/>
      <c r="M96" s="100"/>
      <c r="N96" s="100"/>
      <c r="O96" s="100"/>
      <c r="P96" s="122" t="s">
        <v>70</v>
      </c>
      <c r="Q96" s="100" t="s">
        <v>29</v>
      </c>
      <c r="R96" s="100"/>
      <c r="S96" s="100"/>
      <c r="T96" s="99" t="s">
        <v>901</v>
      </c>
      <c r="U96" s="29"/>
      <c r="W96" s="39">
        <f t="shared" si="1"/>
        <v>71</v>
      </c>
    </row>
    <row r="97" spans="1:23" ht="39.950000000000003" customHeight="1">
      <c r="A97" s="18">
        <v>44079</v>
      </c>
      <c r="B97" s="153" t="s">
        <v>57</v>
      </c>
      <c r="C97" s="127" t="s">
        <v>144</v>
      </c>
      <c r="D97" s="128" t="s">
        <v>145</v>
      </c>
      <c r="E97" s="129">
        <v>9</v>
      </c>
      <c r="F97" s="45" t="s">
        <v>69</v>
      </c>
      <c r="G97" s="55" t="s">
        <v>19</v>
      </c>
      <c r="H97" s="55">
        <v>220</v>
      </c>
      <c r="I97" s="46"/>
      <c r="J97" s="46"/>
      <c r="K97" s="29"/>
      <c r="L97" s="100"/>
      <c r="M97" s="100" t="s">
        <v>29</v>
      </c>
      <c r="N97" s="100"/>
      <c r="O97" s="100"/>
      <c r="P97" s="91" t="s">
        <v>70</v>
      </c>
      <c r="Q97" s="100"/>
      <c r="R97" s="100" t="s">
        <v>29</v>
      </c>
      <c r="S97" s="100"/>
      <c r="T97" s="99" t="s">
        <v>486</v>
      </c>
      <c r="U97" s="29"/>
      <c r="W97" s="39">
        <f t="shared" si="1"/>
        <v>72</v>
      </c>
    </row>
    <row r="98" spans="1:23" ht="39.950000000000003" customHeight="1">
      <c r="A98" s="18">
        <v>44079</v>
      </c>
      <c r="B98" s="153" t="s">
        <v>58</v>
      </c>
      <c r="C98" s="127" t="s">
        <v>74</v>
      </c>
      <c r="D98" s="128" t="s">
        <v>78</v>
      </c>
      <c r="E98" s="129">
        <v>44</v>
      </c>
      <c r="F98" s="45" t="s">
        <v>69</v>
      </c>
      <c r="G98" s="55" t="s">
        <v>28</v>
      </c>
      <c r="H98" s="55">
        <v>230</v>
      </c>
      <c r="I98" s="46"/>
      <c r="J98" s="46"/>
      <c r="K98" s="29"/>
      <c r="L98" s="100"/>
      <c r="M98" s="100"/>
      <c r="N98" s="100"/>
      <c r="O98" s="100"/>
      <c r="P98" s="91" t="s">
        <v>70</v>
      </c>
      <c r="Q98" s="100" t="s">
        <v>29</v>
      </c>
      <c r="R98" s="100"/>
      <c r="S98" s="100"/>
      <c r="T98" s="99" t="s">
        <v>902</v>
      </c>
      <c r="U98" s="29"/>
      <c r="W98" s="39">
        <f t="shared" si="1"/>
        <v>73</v>
      </c>
    </row>
    <row r="99" spans="1:23" ht="39.950000000000003" customHeight="1">
      <c r="A99" s="25">
        <v>44081</v>
      </c>
      <c r="B99" s="153" t="s">
        <v>54</v>
      </c>
      <c r="C99" s="127" t="s">
        <v>74</v>
      </c>
      <c r="D99" s="128" t="s">
        <v>78</v>
      </c>
      <c r="E99" s="129">
        <v>72</v>
      </c>
      <c r="F99" s="45" t="s">
        <v>69</v>
      </c>
      <c r="G99" s="55" t="s">
        <v>28</v>
      </c>
      <c r="H99" s="55">
        <v>230</v>
      </c>
      <c r="I99" s="46"/>
      <c r="J99" s="46"/>
      <c r="K99" s="29"/>
      <c r="L99" s="100"/>
      <c r="M99" s="100"/>
      <c r="N99" s="100"/>
      <c r="O99" s="100"/>
      <c r="P99" s="122" t="s">
        <v>70</v>
      </c>
      <c r="Q99" s="100" t="s">
        <v>29</v>
      </c>
      <c r="R99" s="100"/>
      <c r="S99" s="100"/>
      <c r="T99" s="99" t="s">
        <v>903</v>
      </c>
      <c r="U99" s="29"/>
      <c r="W99" s="39">
        <f t="shared" si="1"/>
        <v>73</v>
      </c>
    </row>
    <row r="100" spans="1:23" ht="39.950000000000003" customHeight="1">
      <c r="A100" s="18">
        <v>44081</v>
      </c>
      <c r="B100" s="153" t="s">
        <v>55</v>
      </c>
      <c r="C100" s="127" t="s">
        <v>114</v>
      </c>
      <c r="D100" s="128" t="s">
        <v>115</v>
      </c>
      <c r="E100" s="129">
        <v>43</v>
      </c>
      <c r="F100" s="45" t="s">
        <v>69</v>
      </c>
      <c r="G100" s="55" t="s">
        <v>33</v>
      </c>
      <c r="H100" s="55">
        <v>100</v>
      </c>
      <c r="I100" s="46"/>
      <c r="J100" s="46"/>
      <c r="K100" s="29"/>
      <c r="L100" s="100"/>
      <c r="M100" s="100" t="s">
        <v>29</v>
      </c>
      <c r="N100" s="100"/>
      <c r="O100" s="100"/>
      <c r="P100" s="122" t="s">
        <v>70</v>
      </c>
      <c r="Q100" s="100"/>
      <c r="R100" s="100" t="s">
        <v>29</v>
      </c>
      <c r="S100" s="100" t="s">
        <v>29</v>
      </c>
      <c r="T100" s="29" t="s">
        <v>487</v>
      </c>
      <c r="U100" s="29"/>
      <c r="W100" s="39">
        <f t="shared" si="1"/>
        <v>74</v>
      </c>
    </row>
    <row r="101" spans="1:23" ht="39.950000000000003" customHeight="1">
      <c r="A101" s="18">
        <v>44081</v>
      </c>
      <c r="B101" s="153" t="s">
        <v>56</v>
      </c>
      <c r="C101" s="127" t="s">
        <v>73</v>
      </c>
      <c r="D101" s="128" t="s">
        <v>77</v>
      </c>
      <c r="E101" s="129">
        <v>88</v>
      </c>
      <c r="F101" s="45" t="s">
        <v>69</v>
      </c>
      <c r="G101" s="55" t="s">
        <v>30</v>
      </c>
      <c r="H101" s="55">
        <v>230</v>
      </c>
      <c r="I101" s="46"/>
      <c r="J101" s="46"/>
      <c r="K101" s="29"/>
      <c r="L101" s="100"/>
      <c r="M101" s="100"/>
      <c r="N101" s="100"/>
      <c r="O101" s="100"/>
      <c r="P101" s="91" t="s">
        <v>70</v>
      </c>
      <c r="Q101" s="100" t="s">
        <v>29</v>
      </c>
      <c r="R101" s="100" t="s">
        <v>29</v>
      </c>
      <c r="S101" s="100"/>
      <c r="T101" s="29" t="s">
        <v>488</v>
      </c>
      <c r="U101" s="29"/>
      <c r="W101" s="39">
        <f t="shared" si="1"/>
        <v>75</v>
      </c>
    </row>
    <row r="102" spans="1:23" ht="39.950000000000003" customHeight="1">
      <c r="A102" s="18">
        <v>44081</v>
      </c>
      <c r="B102" s="153" t="s">
        <v>57</v>
      </c>
      <c r="C102" s="127" t="s">
        <v>71</v>
      </c>
      <c r="D102" s="128" t="s">
        <v>75</v>
      </c>
      <c r="E102" s="129">
        <v>53</v>
      </c>
      <c r="F102" s="45" t="s">
        <v>69</v>
      </c>
      <c r="G102" s="55" t="s">
        <v>28</v>
      </c>
      <c r="H102" s="55">
        <v>230</v>
      </c>
      <c r="I102" s="46"/>
      <c r="J102" s="46"/>
      <c r="K102" s="29"/>
      <c r="L102" s="100"/>
      <c r="M102" s="100"/>
      <c r="N102" s="100"/>
      <c r="O102" s="100"/>
      <c r="P102" s="91" t="s">
        <v>70</v>
      </c>
      <c r="Q102" s="100" t="s">
        <v>29</v>
      </c>
      <c r="R102" s="100"/>
      <c r="S102" s="100"/>
      <c r="T102" s="99" t="s">
        <v>904</v>
      </c>
      <c r="U102" s="29"/>
      <c r="W102" s="39">
        <f t="shared" si="1"/>
        <v>76</v>
      </c>
    </row>
    <row r="103" spans="1:23" ht="39.950000000000003" customHeight="1">
      <c r="A103" s="25">
        <v>44082</v>
      </c>
      <c r="B103" s="153" t="s">
        <v>54</v>
      </c>
      <c r="C103" s="127" t="s">
        <v>71</v>
      </c>
      <c r="D103" s="128" t="s">
        <v>75</v>
      </c>
      <c r="E103" s="129">
        <v>10</v>
      </c>
      <c r="F103" s="45" t="s">
        <v>69</v>
      </c>
      <c r="G103" s="55" t="s">
        <v>28</v>
      </c>
      <c r="H103" s="55">
        <v>230</v>
      </c>
      <c r="I103" s="46"/>
      <c r="J103" s="46"/>
      <c r="K103" s="29"/>
      <c r="L103" s="100"/>
      <c r="M103" s="100"/>
      <c r="N103" s="100"/>
      <c r="O103" s="100"/>
      <c r="P103" s="91" t="s">
        <v>70</v>
      </c>
      <c r="Q103" s="100" t="s">
        <v>29</v>
      </c>
      <c r="R103" s="100"/>
      <c r="S103" s="100"/>
      <c r="T103" s="29" t="s">
        <v>905</v>
      </c>
      <c r="U103" s="29"/>
      <c r="W103" s="39">
        <f t="shared" si="1"/>
        <v>76</v>
      </c>
    </row>
    <row r="104" spans="1:23" ht="39.950000000000003" customHeight="1">
      <c r="A104" s="18">
        <v>44082</v>
      </c>
      <c r="B104" s="153" t="s">
        <v>55</v>
      </c>
      <c r="C104" s="127" t="s">
        <v>114</v>
      </c>
      <c r="D104" s="128" t="s">
        <v>115</v>
      </c>
      <c r="E104" s="129">
        <v>51</v>
      </c>
      <c r="F104" s="45" t="s">
        <v>69</v>
      </c>
      <c r="G104" s="55" t="s">
        <v>33</v>
      </c>
      <c r="H104" s="55">
        <v>100</v>
      </c>
      <c r="I104" s="46"/>
      <c r="J104" s="46"/>
      <c r="K104" s="29"/>
      <c r="L104" s="100"/>
      <c r="M104" s="100" t="s">
        <v>29</v>
      </c>
      <c r="N104" s="100"/>
      <c r="O104" s="100"/>
      <c r="P104" s="122" t="s">
        <v>70</v>
      </c>
      <c r="Q104" s="100"/>
      <c r="R104" s="100" t="s">
        <v>29</v>
      </c>
      <c r="S104" s="100" t="s">
        <v>29</v>
      </c>
      <c r="T104" s="29" t="s">
        <v>489</v>
      </c>
      <c r="U104" s="29"/>
      <c r="W104" s="39">
        <f t="shared" si="1"/>
        <v>77</v>
      </c>
    </row>
    <row r="105" spans="1:23" ht="39.950000000000003" customHeight="1">
      <c r="A105" s="18">
        <v>44082</v>
      </c>
      <c r="B105" s="153" t="s">
        <v>56</v>
      </c>
      <c r="C105" s="127" t="s">
        <v>201</v>
      </c>
      <c r="D105" s="128" t="s">
        <v>202</v>
      </c>
      <c r="E105" s="129">
        <v>180</v>
      </c>
      <c r="F105" s="45" t="s">
        <v>69</v>
      </c>
      <c r="G105" s="55" t="s">
        <v>28</v>
      </c>
      <c r="H105" s="55">
        <v>230</v>
      </c>
      <c r="I105" s="46"/>
      <c r="J105" s="46"/>
      <c r="K105" s="29"/>
      <c r="L105" s="100"/>
      <c r="M105" s="100"/>
      <c r="N105" s="100"/>
      <c r="O105" s="100"/>
      <c r="P105" s="122" t="s">
        <v>70</v>
      </c>
      <c r="Q105" s="100" t="s">
        <v>29</v>
      </c>
      <c r="R105" s="100"/>
      <c r="S105" s="100"/>
      <c r="T105" s="99" t="s">
        <v>906</v>
      </c>
      <c r="U105" s="29"/>
      <c r="W105" s="39">
        <f t="shared" si="1"/>
        <v>78</v>
      </c>
    </row>
    <row r="106" spans="1:23" ht="39.950000000000003" customHeight="1">
      <c r="A106" s="18">
        <v>44082</v>
      </c>
      <c r="B106" s="153" t="s">
        <v>57</v>
      </c>
      <c r="C106" s="127" t="s">
        <v>133</v>
      </c>
      <c r="D106" s="128" t="s">
        <v>134</v>
      </c>
      <c r="E106" s="129">
        <v>42</v>
      </c>
      <c r="F106" s="45" t="s">
        <v>69</v>
      </c>
      <c r="G106" s="55" t="s">
        <v>18</v>
      </c>
      <c r="H106" s="55">
        <v>220</v>
      </c>
      <c r="I106" s="46"/>
      <c r="J106" s="46"/>
      <c r="K106" s="29"/>
      <c r="L106" s="100"/>
      <c r="M106" s="100"/>
      <c r="N106" s="100"/>
      <c r="O106" s="100"/>
      <c r="P106" s="122" t="s">
        <v>70</v>
      </c>
      <c r="Q106" s="100" t="s">
        <v>29</v>
      </c>
      <c r="R106" s="100" t="s">
        <v>29</v>
      </c>
      <c r="S106" s="100"/>
      <c r="T106" s="29" t="s">
        <v>490</v>
      </c>
      <c r="U106" s="29"/>
      <c r="W106" s="39">
        <f t="shared" si="1"/>
        <v>79</v>
      </c>
    </row>
    <row r="107" spans="1:23" ht="39.950000000000003" customHeight="1">
      <c r="A107" s="18">
        <v>44082</v>
      </c>
      <c r="B107" s="153" t="s">
        <v>58</v>
      </c>
      <c r="C107" s="127" t="s">
        <v>71</v>
      </c>
      <c r="D107" s="128" t="s">
        <v>75</v>
      </c>
      <c r="E107" s="129">
        <v>53</v>
      </c>
      <c r="F107" s="45" t="s">
        <v>69</v>
      </c>
      <c r="G107" s="55" t="s">
        <v>28</v>
      </c>
      <c r="H107" s="55">
        <v>230</v>
      </c>
      <c r="I107" s="46"/>
      <c r="J107" s="46"/>
      <c r="K107" s="29"/>
      <c r="L107" s="100"/>
      <c r="M107" s="100"/>
      <c r="N107" s="100"/>
      <c r="O107" s="100"/>
      <c r="P107" s="122" t="s">
        <v>70</v>
      </c>
      <c r="Q107" s="100" t="s">
        <v>29</v>
      </c>
      <c r="R107" s="100"/>
      <c r="S107" s="100"/>
      <c r="T107" s="29" t="s">
        <v>907</v>
      </c>
      <c r="U107" s="29"/>
      <c r="W107" s="39">
        <f t="shared" si="1"/>
        <v>80</v>
      </c>
    </row>
    <row r="108" spans="1:23" ht="39.950000000000003" customHeight="1">
      <c r="A108" s="25">
        <v>44083</v>
      </c>
      <c r="B108" s="153" t="s">
        <v>54</v>
      </c>
      <c r="C108" s="127" t="s">
        <v>71</v>
      </c>
      <c r="D108" s="128" t="s">
        <v>75</v>
      </c>
      <c r="E108" s="129">
        <v>54</v>
      </c>
      <c r="F108" s="45" t="s">
        <v>69</v>
      </c>
      <c r="G108" s="55" t="s">
        <v>28</v>
      </c>
      <c r="H108" s="55">
        <v>230</v>
      </c>
      <c r="I108" s="46"/>
      <c r="J108" s="46"/>
      <c r="K108" s="29"/>
      <c r="L108" s="100"/>
      <c r="M108" s="100"/>
      <c r="N108" s="100"/>
      <c r="O108" s="100"/>
      <c r="P108" s="122" t="s">
        <v>70</v>
      </c>
      <c r="Q108" s="100" t="s">
        <v>29</v>
      </c>
      <c r="R108" s="100"/>
      <c r="S108" s="100"/>
      <c r="T108" s="29" t="s">
        <v>908</v>
      </c>
      <c r="U108" s="29"/>
      <c r="W108" s="39">
        <f t="shared" si="1"/>
        <v>80</v>
      </c>
    </row>
    <row r="109" spans="1:23" ht="39.950000000000003" customHeight="1">
      <c r="A109" s="18">
        <v>44083</v>
      </c>
      <c r="B109" s="153" t="s">
        <v>55</v>
      </c>
      <c r="C109" s="127" t="s">
        <v>72</v>
      </c>
      <c r="D109" s="128" t="s">
        <v>76</v>
      </c>
      <c r="E109" s="129">
        <v>58</v>
      </c>
      <c r="F109" s="45" t="s">
        <v>69</v>
      </c>
      <c r="G109" s="55" t="s">
        <v>30</v>
      </c>
      <c r="H109" s="55">
        <v>230</v>
      </c>
      <c r="I109" s="46"/>
      <c r="J109" s="46"/>
      <c r="K109" s="29"/>
      <c r="L109" s="100"/>
      <c r="M109" s="100"/>
      <c r="N109" s="100"/>
      <c r="O109" s="100"/>
      <c r="P109" s="122" t="s">
        <v>70</v>
      </c>
      <c r="Q109" s="100" t="s">
        <v>29</v>
      </c>
      <c r="R109" s="100" t="s">
        <v>29</v>
      </c>
      <c r="S109" s="100"/>
      <c r="T109" s="29" t="s">
        <v>491</v>
      </c>
      <c r="U109" s="29"/>
      <c r="W109" s="39">
        <f t="shared" si="1"/>
        <v>81</v>
      </c>
    </row>
    <row r="110" spans="1:23" ht="39.950000000000003" customHeight="1">
      <c r="A110" s="18">
        <v>44083</v>
      </c>
      <c r="B110" s="153" t="s">
        <v>56</v>
      </c>
      <c r="C110" s="127" t="s">
        <v>110</v>
      </c>
      <c r="D110" s="128" t="s">
        <v>111</v>
      </c>
      <c r="E110" s="129">
        <v>47</v>
      </c>
      <c r="F110" s="45" t="s">
        <v>69</v>
      </c>
      <c r="G110" s="55" t="s">
        <v>18</v>
      </c>
      <c r="H110" s="55">
        <v>220</v>
      </c>
      <c r="I110" s="46"/>
      <c r="J110" s="46"/>
      <c r="K110" s="29"/>
      <c r="L110" s="100"/>
      <c r="M110" s="100"/>
      <c r="N110" s="100"/>
      <c r="O110" s="100"/>
      <c r="P110" s="91" t="s">
        <v>70</v>
      </c>
      <c r="Q110" s="100" t="s">
        <v>29</v>
      </c>
      <c r="R110" s="100" t="s">
        <v>29</v>
      </c>
      <c r="S110" s="100"/>
      <c r="T110" s="29" t="s">
        <v>492</v>
      </c>
      <c r="U110" s="29"/>
      <c r="W110" s="39">
        <f t="shared" si="1"/>
        <v>82</v>
      </c>
    </row>
    <row r="111" spans="1:23" ht="39.950000000000003" customHeight="1">
      <c r="A111" s="18">
        <v>44083</v>
      </c>
      <c r="B111" s="153" t="s">
        <v>57</v>
      </c>
      <c r="C111" s="127" t="s">
        <v>74</v>
      </c>
      <c r="D111" s="128" t="s">
        <v>78</v>
      </c>
      <c r="E111" s="129">
        <v>73</v>
      </c>
      <c r="F111" s="45" t="s">
        <v>69</v>
      </c>
      <c r="G111" s="55" t="s">
        <v>28</v>
      </c>
      <c r="H111" s="55">
        <v>230</v>
      </c>
      <c r="I111" s="46"/>
      <c r="J111" s="46"/>
      <c r="K111" s="29"/>
      <c r="L111" s="100"/>
      <c r="M111" s="100"/>
      <c r="N111" s="100"/>
      <c r="O111" s="100"/>
      <c r="P111" s="122" t="s">
        <v>70</v>
      </c>
      <c r="Q111" s="100" t="s">
        <v>29</v>
      </c>
      <c r="R111" s="100"/>
      <c r="S111" s="100"/>
      <c r="T111" s="99" t="s">
        <v>909</v>
      </c>
      <c r="U111" s="29"/>
      <c r="W111" s="39">
        <f t="shared" si="1"/>
        <v>83</v>
      </c>
    </row>
    <row r="112" spans="1:23" ht="39.950000000000003" customHeight="1">
      <c r="A112" s="18">
        <v>44083</v>
      </c>
      <c r="B112" s="153" t="s">
        <v>58</v>
      </c>
      <c r="C112" s="127" t="s">
        <v>114</v>
      </c>
      <c r="D112" s="128" t="s">
        <v>115</v>
      </c>
      <c r="E112" s="129">
        <v>51</v>
      </c>
      <c r="F112" s="45" t="s">
        <v>69</v>
      </c>
      <c r="G112" s="55" t="s">
        <v>33</v>
      </c>
      <c r="H112" s="55">
        <v>100</v>
      </c>
      <c r="I112" s="46"/>
      <c r="J112" s="46"/>
      <c r="K112" s="29"/>
      <c r="L112" s="100"/>
      <c r="M112" s="100" t="s">
        <v>29</v>
      </c>
      <c r="N112" s="100"/>
      <c r="O112" s="100"/>
      <c r="P112" s="91" t="s">
        <v>70</v>
      </c>
      <c r="Q112" s="100"/>
      <c r="R112" s="100" t="s">
        <v>29</v>
      </c>
      <c r="S112" s="100" t="s">
        <v>29</v>
      </c>
      <c r="T112" s="29" t="s">
        <v>493</v>
      </c>
      <c r="U112" s="29"/>
      <c r="W112" s="39">
        <f t="shared" si="1"/>
        <v>84</v>
      </c>
    </row>
    <row r="113" spans="1:23" ht="39.950000000000003" customHeight="1">
      <c r="A113" s="18">
        <v>44083</v>
      </c>
      <c r="B113" s="153" t="s">
        <v>59</v>
      </c>
      <c r="C113" s="127" t="s">
        <v>71</v>
      </c>
      <c r="D113" s="128" t="s">
        <v>75</v>
      </c>
      <c r="E113" s="129">
        <v>42</v>
      </c>
      <c r="F113" s="45" t="s">
        <v>69</v>
      </c>
      <c r="G113" s="55" t="s">
        <v>28</v>
      </c>
      <c r="H113" s="55">
        <v>230</v>
      </c>
      <c r="I113" s="46"/>
      <c r="J113" s="46"/>
      <c r="K113" s="29"/>
      <c r="L113" s="100"/>
      <c r="M113" s="100"/>
      <c r="N113" s="100"/>
      <c r="O113" s="100"/>
      <c r="P113" s="91" t="s">
        <v>70</v>
      </c>
      <c r="Q113" s="100" t="s">
        <v>29</v>
      </c>
      <c r="R113" s="100"/>
      <c r="S113" s="100"/>
      <c r="T113" s="99" t="s">
        <v>910</v>
      </c>
      <c r="U113" s="29"/>
      <c r="W113" s="39">
        <f t="shared" si="1"/>
        <v>85</v>
      </c>
    </row>
    <row r="114" spans="1:23" ht="39.950000000000003" customHeight="1">
      <c r="A114" s="18">
        <v>44083</v>
      </c>
      <c r="B114" s="153" t="s">
        <v>60</v>
      </c>
      <c r="C114" s="127" t="s">
        <v>74</v>
      </c>
      <c r="D114" s="128" t="s">
        <v>78</v>
      </c>
      <c r="E114" s="129">
        <v>11</v>
      </c>
      <c r="F114" s="45" t="s">
        <v>69</v>
      </c>
      <c r="G114" s="55" t="s">
        <v>28</v>
      </c>
      <c r="H114" s="55">
        <v>230</v>
      </c>
      <c r="I114" s="46"/>
      <c r="J114" s="46"/>
      <c r="K114" s="29"/>
      <c r="L114" s="100"/>
      <c r="M114" s="100"/>
      <c r="N114" s="100"/>
      <c r="O114" s="100"/>
      <c r="P114" s="91" t="s">
        <v>70</v>
      </c>
      <c r="Q114" s="100" t="s">
        <v>29</v>
      </c>
      <c r="R114" s="100"/>
      <c r="S114" s="100"/>
      <c r="T114" s="99" t="s">
        <v>911</v>
      </c>
      <c r="U114" s="29"/>
      <c r="W114" s="39">
        <f t="shared" si="1"/>
        <v>86</v>
      </c>
    </row>
    <row r="115" spans="1:23" ht="39.950000000000003" customHeight="1">
      <c r="A115" s="25">
        <v>44084</v>
      </c>
      <c r="B115" s="153" t="s">
        <v>54</v>
      </c>
      <c r="C115" s="127" t="s">
        <v>74</v>
      </c>
      <c r="D115" s="128" t="s">
        <v>78</v>
      </c>
      <c r="E115" s="129">
        <v>216</v>
      </c>
      <c r="F115" s="45" t="s">
        <v>69</v>
      </c>
      <c r="G115" s="55" t="s">
        <v>28</v>
      </c>
      <c r="H115" s="55">
        <v>230</v>
      </c>
      <c r="I115" s="46"/>
      <c r="J115" s="46"/>
      <c r="K115" s="29"/>
      <c r="L115" s="100"/>
      <c r="M115" s="100"/>
      <c r="N115" s="100"/>
      <c r="O115" s="100"/>
      <c r="P115" s="91" t="s">
        <v>70</v>
      </c>
      <c r="Q115" s="100" t="s">
        <v>29</v>
      </c>
      <c r="R115" s="100"/>
      <c r="S115" s="100"/>
      <c r="T115" s="99" t="s">
        <v>912</v>
      </c>
      <c r="U115" s="29"/>
      <c r="W115" s="39">
        <f t="shared" si="1"/>
        <v>86</v>
      </c>
    </row>
    <row r="116" spans="1:23" ht="39.950000000000003" customHeight="1">
      <c r="A116" s="18">
        <v>44084</v>
      </c>
      <c r="B116" s="153" t="s">
        <v>55</v>
      </c>
      <c r="C116" s="127" t="s">
        <v>114</v>
      </c>
      <c r="D116" s="128" t="s">
        <v>115</v>
      </c>
      <c r="E116" s="129">
        <v>51</v>
      </c>
      <c r="F116" s="45" t="s">
        <v>69</v>
      </c>
      <c r="G116" s="55" t="s">
        <v>33</v>
      </c>
      <c r="H116" s="55">
        <v>100</v>
      </c>
      <c r="I116" s="46"/>
      <c r="J116" s="46"/>
      <c r="K116" s="29"/>
      <c r="L116" s="100"/>
      <c r="M116" s="100" t="s">
        <v>29</v>
      </c>
      <c r="N116" s="100"/>
      <c r="O116" s="100"/>
      <c r="P116" s="91" t="s">
        <v>70</v>
      </c>
      <c r="Q116" s="100"/>
      <c r="R116" s="100" t="s">
        <v>29</v>
      </c>
      <c r="S116" s="100" t="s">
        <v>29</v>
      </c>
      <c r="T116" s="29" t="s">
        <v>494</v>
      </c>
      <c r="U116" s="29"/>
      <c r="W116" s="39">
        <f t="shared" si="1"/>
        <v>87</v>
      </c>
    </row>
    <row r="117" spans="1:23" ht="39.950000000000003" customHeight="1">
      <c r="A117" s="18">
        <v>44084</v>
      </c>
      <c r="B117" s="153" t="s">
        <v>56</v>
      </c>
      <c r="C117" s="127" t="s">
        <v>71</v>
      </c>
      <c r="D117" s="128" t="s">
        <v>75</v>
      </c>
      <c r="E117" s="129">
        <v>53</v>
      </c>
      <c r="F117" s="45" t="s">
        <v>69</v>
      </c>
      <c r="G117" s="55" t="s">
        <v>28</v>
      </c>
      <c r="H117" s="55">
        <v>230</v>
      </c>
      <c r="I117" s="46"/>
      <c r="J117" s="46"/>
      <c r="K117" s="29"/>
      <c r="L117" s="100"/>
      <c r="M117" s="100"/>
      <c r="N117" s="100"/>
      <c r="O117" s="100"/>
      <c r="P117" s="91" t="s">
        <v>70</v>
      </c>
      <c r="Q117" s="100" t="s">
        <v>29</v>
      </c>
      <c r="R117" s="100"/>
      <c r="S117" s="100"/>
      <c r="T117" s="99" t="s">
        <v>913</v>
      </c>
      <c r="U117" s="29"/>
      <c r="W117" s="39">
        <f t="shared" si="1"/>
        <v>88</v>
      </c>
    </row>
    <row r="118" spans="1:23" ht="39.950000000000003" customHeight="1">
      <c r="A118" s="102">
        <v>44085</v>
      </c>
      <c r="B118" s="170" t="s">
        <v>54</v>
      </c>
      <c r="C118" s="130" t="s">
        <v>71</v>
      </c>
      <c r="D118" s="131" t="s">
        <v>75</v>
      </c>
      <c r="E118" s="132">
        <v>7</v>
      </c>
      <c r="F118" s="29" t="s">
        <v>69</v>
      </c>
      <c r="G118" s="112" t="s">
        <v>28</v>
      </c>
      <c r="H118" s="112">
        <v>230</v>
      </c>
      <c r="I118" s="29"/>
      <c r="J118" s="29"/>
      <c r="K118" s="29"/>
      <c r="L118" s="100"/>
      <c r="M118" s="100"/>
      <c r="N118" s="100"/>
      <c r="O118" s="100"/>
      <c r="P118" s="91" t="s">
        <v>70</v>
      </c>
      <c r="Q118" s="100" t="s">
        <v>29</v>
      </c>
      <c r="R118" s="100"/>
      <c r="S118" s="100"/>
      <c r="T118" s="99" t="s">
        <v>914</v>
      </c>
      <c r="U118" s="29"/>
      <c r="W118" s="39">
        <f t="shared" si="1"/>
        <v>88</v>
      </c>
    </row>
    <row r="119" spans="1:23" ht="39.950000000000003" customHeight="1">
      <c r="A119" s="101">
        <v>44085</v>
      </c>
      <c r="B119" s="170" t="s">
        <v>55</v>
      </c>
      <c r="C119" s="130" t="s">
        <v>74</v>
      </c>
      <c r="D119" s="131" t="s">
        <v>78</v>
      </c>
      <c r="E119" s="132">
        <v>149</v>
      </c>
      <c r="F119" s="29" t="s">
        <v>69</v>
      </c>
      <c r="G119" s="112" t="s">
        <v>28</v>
      </c>
      <c r="H119" s="112">
        <v>230</v>
      </c>
      <c r="I119" s="29"/>
      <c r="J119" s="29"/>
      <c r="K119" s="29"/>
      <c r="L119" s="100"/>
      <c r="M119" s="100"/>
      <c r="N119" s="100"/>
      <c r="O119" s="100"/>
      <c r="P119" s="91" t="s">
        <v>70</v>
      </c>
      <c r="Q119" s="100" t="s">
        <v>29</v>
      </c>
      <c r="R119" s="100"/>
      <c r="S119" s="100"/>
      <c r="T119" s="99" t="s">
        <v>915</v>
      </c>
      <c r="U119" s="29"/>
      <c r="W119" s="39">
        <f t="shared" si="1"/>
        <v>89</v>
      </c>
    </row>
    <row r="120" spans="1:23" ht="39.950000000000003" customHeight="1">
      <c r="A120" s="101">
        <v>44085</v>
      </c>
      <c r="B120" s="170" t="s">
        <v>56</v>
      </c>
      <c r="C120" s="130" t="s">
        <v>114</v>
      </c>
      <c r="D120" s="131" t="s">
        <v>115</v>
      </c>
      <c r="E120" s="132">
        <v>104</v>
      </c>
      <c r="F120" s="29" t="s">
        <v>69</v>
      </c>
      <c r="G120" s="112" t="s">
        <v>33</v>
      </c>
      <c r="H120" s="112">
        <v>100</v>
      </c>
      <c r="I120" s="29"/>
      <c r="J120" s="29"/>
      <c r="K120" s="29"/>
      <c r="L120" s="100"/>
      <c r="M120" s="100" t="s">
        <v>29</v>
      </c>
      <c r="N120" s="100"/>
      <c r="O120" s="100"/>
      <c r="P120" s="91" t="s">
        <v>70</v>
      </c>
      <c r="Q120" s="100"/>
      <c r="R120" s="100" t="s">
        <v>29</v>
      </c>
      <c r="S120" s="100" t="s">
        <v>29</v>
      </c>
      <c r="T120" s="29" t="s">
        <v>495</v>
      </c>
      <c r="U120" s="29"/>
      <c r="W120" s="39">
        <f t="shared" si="1"/>
        <v>90</v>
      </c>
    </row>
    <row r="121" spans="1:23" ht="39.950000000000003" customHeight="1">
      <c r="A121" s="135"/>
      <c r="B121" s="170"/>
      <c r="C121" s="130"/>
      <c r="D121" s="131"/>
      <c r="E121" s="132"/>
      <c r="F121" s="29"/>
      <c r="G121" s="112"/>
      <c r="H121" s="112"/>
      <c r="I121" s="29"/>
      <c r="J121" s="29"/>
      <c r="K121" s="29"/>
      <c r="L121" s="100"/>
      <c r="M121" s="100"/>
      <c r="N121" s="100"/>
      <c r="O121" s="100"/>
      <c r="P121" s="100"/>
      <c r="Q121" s="100"/>
      <c r="R121" s="100"/>
      <c r="S121" s="100"/>
      <c r="T121" s="29"/>
      <c r="U121" s="29"/>
      <c r="W121" s="39">
        <f t="shared" si="1"/>
        <v>91</v>
      </c>
    </row>
    <row r="122" spans="1:23" ht="39.950000000000003" customHeight="1">
      <c r="A122" s="136"/>
      <c r="B122" s="170"/>
      <c r="C122" s="130"/>
      <c r="D122" s="131"/>
      <c r="E122" s="132"/>
      <c r="F122" s="29"/>
      <c r="G122" s="112"/>
      <c r="H122" s="112"/>
      <c r="I122" s="29"/>
      <c r="J122" s="29"/>
      <c r="K122" s="29"/>
      <c r="L122" s="100"/>
      <c r="M122" s="100"/>
      <c r="N122" s="100"/>
      <c r="O122" s="100"/>
      <c r="P122" s="100"/>
      <c r="Q122" s="100"/>
      <c r="R122" s="100"/>
      <c r="S122" s="100"/>
      <c r="T122" s="29"/>
      <c r="U122" s="29"/>
      <c r="W122" s="39">
        <f t="shared" si="1"/>
        <v>91</v>
      </c>
    </row>
    <row r="123" spans="1:23" ht="39.950000000000003" customHeight="1">
      <c r="A123" s="136"/>
      <c r="B123" s="170"/>
      <c r="C123" s="130"/>
      <c r="D123" s="131"/>
      <c r="E123" s="132"/>
      <c r="F123" s="29"/>
      <c r="G123" s="112"/>
      <c r="H123" s="112"/>
      <c r="I123" s="29"/>
      <c r="J123" s="29"/>
      <c r="K123" s="29"/>
      <c r="L123" s="100"/>
      <c r="M123" s="100"/>
      <c r="N123" s="100"/>
      <c r="O123" s="100"/>
      <c r="P123" s="100"/>
      <c r="Q123" s="100"/>
      <c r="R123" s="100"/>
      <c r="S123" s="100"/>
      <c r="T123" s="29"/>
      <c r="U123" s="29"/>
      <c r="W123" s="39">
        <f t="shared" si="1"/>
        <v>91</v>
      </c>
    </row>
    <row r="124" spans="1:23" ht="39.950000000000003" customHeight="1">
      <c r="A124" s="136"/>
      <c r="B124" s="170"/>
      <c r="C124" s="130"/>
      <c r="D124" s="131"/>
      <c r="E124" s="132"/>
      <c r="F124" s="29"/>
      <c r="G124" s="112"/>
      <c r="H124" s="112"/>
      <c r="I124" s="29"/>
      <c r="J124" s="29"/>
      <c r="K124" s="29"/>
      <c r="L124" s="100"/>
      <c r="M124" s="100"/>
      <c r="N124" s="100"/>
      <c r="O124" s="100"/>
      <c r="P124" s="100"/>
      <c r="Q124" s="100"/>
      <c r="R124" s="100"/>
      <c r="S124" s="100"/>
      <c r="T124" s="29"/>
      <c r="U124" s="29"/>
    </row>
    <row r="125" spans="1:23" ht="39.950000000000003" customHeight="1">
      <c r="A125" s="136"/>
      <c r="B125" s="170"/>
      <c r="C125" s="130"/>
      <c r="D125" s="131"/>
      <c r="E125" s="132"/>
      <c r="F125" s="29"/>
      <c r="G125" s="112"/>
      <c r="H125" s="112"/>
      <c r="I125" s="29"/>
      <c r="J125" s="29"/>
      <c r="K125" s="29"/>
      <c r="L125" s="100"/>
      <c r="M125" s="100"/>
      <c r="N125" s="100"/>
      <c r="O125" s="100"/>
      <c r="P125" s="91"/>
      <c r="Q125" s="100"/>
      <c r="R125" s="100"/>
      <c r="S125" s="100"/>
      <c r="T125" s="99"/>
      <c r="U125" s="29"/>
    </row>
    <row r="126" spans="1:23" ht="39.950000000000003" customHeight="1">
      <c r="A126" s="136"/>
      <c r="B126" s="170"/>
      <c r="C126" s="130"/>
      <c r="D126" s="131"/>
      <c r="E126" s="132"/>
      <c r="F126" s="29"/>
      <c r="G126" s="112"/>
      <c r="H126" s="112"/>
      <c r="I126" s="29"/>
      <c r="J126" s="29"/>
      <c r="K126" s="29"/>
      <c r="L126" s="100"/>
      <c r="M126" s="100"/>
      <c r="N126" s="100"/>
      <c r="O126" s="100"/>
      <c r="P126" s="91"/>
      <c r="Q126" s="100"/>
      <c r="R126" s="100"/>
      <c r="S126" s="100"/>
      <c r="T126" s="29"/>
      <c r="U126" s="29"/>
    </row>
    <row r="127" spans="1:23" ht="39.950000000000003" customHeight="1">
      <c r="A127" s="136"/>
      <c r="B127" s="170"/>
      <c r="C127" s="30"/>
      <c r="D127" s="31"/>
      <c r="E127" s="29"/>
      <c r="F127" s="29"/>
      <c r="G127" s="29"/>
      <c r="H127" s="29"/>
      <c r="I127" s="29"/>
      <c r="J127" s="29"/>
      <c r="K127" s="29"/>
      <c r="L127" s="100"/>
      <c r="M127" s="100"/>
      <c r="N127" s="100"/>
      <c r="O127" s="100"/>
      <c r="P127" s="100"/>
      <c r="Q127" s="100"/>
      <c r="R127" s="100"/>
      <c r="S127" s="100"/>
      <c r="T127" s="29"/>
      <c r="U127" s="29"/>
    </row>
    <row r="128" spans="1:23" ht="39.950000000000003" customHeight="1">
      <c r="A128" s="135"/>
      <c r="B128" s="170"/>
      <c r="C128" s="30"/>
      <c r="D128" s="31"/>
      <c r="E128" s="29"/>
      <c r="F128" s="29"/>
      <c r="G128" s="29"/>
      <c r="H128" s="29"/>
      <c r="I128" s="29"/>
      <c r="J128" s="29"/>
      <c r="K128" s="29"/>
      <c r="L128" s="100"/>
      <c r="M128" s="100"/>
      <c r="N128" s="100"/>
      <c r="O128" s="100"/>
      <c r="P128" s="100"/>
      <c r="Q128" s="100"/>
      <c r="R128" s="100"/>
      <c r="S128" s="100"/>
      <c r="T128" s="29"/>
      <c r="U128" s="29"/>
    </row>
    <row r="129" spans="1:21" ht="39.950000000000003" customHeight="1">
      <c r="A129" s="136"/>
      <c r="B129" s="170"/>
      <c r="C129" s="30"/>
      <c r="D129" s="31"/>
      <c r="E129" s="29"/>
      <c r="F129" s="29"/>
      <c r="G129" s="29"/>
      <c r="H129" s="29"/>
      <c r="I129" s="29"/>
      <c r="J129" s="29"/>
      <c r="K129" s="29"/>
      <c r="L129" s="100"/>
      <c r="M129" s="100"/>
      <c r="N129" s="100"/>
      <c r="O129" s="100"/>
      <c r="P129" s="100"/>
      <c r="Q129" s="100"/>
      <c r="R129" s="100"/>
      <c r="S129" s="100"/>
      <c r="T129" s="29"/>
      <c r="U129" s="29"/>
    </row>
    <row r="130" spans="1:21" ht="39.950000000000003" customHeight="1">
      <c r="A130" s="136"/>
      <c r="B130" s="170"/>
      <c r="C130" s="30"/>
      <c r="D130" s="31"/>
      <c r="E130" s="29"/>
      <c r="F130" s="29"/>
      <c r="G130" s="29"/>
      <c r="H130" s="29"/>
      <c r="I130" s="29"/>
      <c r="J130" s="29"/>
      <c r="K130" s="29"/>
      <c r="L130" s="100"/>
      <c r="M130" s="100"/>
      <c r="N130" s="100"/>
      <c r="O130" s="100"/>
      <c r="P130" s="100"/>
      <c r="Q130" s="100"/>
      <c r="R130" s="100"/>
      <c r="S130" s="100"/>
      <c r="T130" s="29"/>
      <c r="U130" s="29"/>
    </row>
    <row r="131" spans="1:21" ht="39.950000000000003" customHeight="1">
      <c r="A131" s="136"/>
      <c r="B131" s="170"/>
      <c r="C131" s="30"/>
      <c r="D131" s="31"/>
      <c r="E131" s="29"/>
      <c r="F131" s="29"/>
      <c r="G131" s="29"/>
      <c r="H131" s="29"/>
      <c r="I131" s="29"/>
      <c r="J131" s="29"/>
      <c r="K131" s="29"/>
      <c r="L131" s="100"/>
      <c r="M131" s="100"/>
      <c r="N131" s="100"/>
      <c r="O131" s="100"/>
      <c r="P131" s="100"/>
      <c r="Q131" s="100"/>
      <c r="R131" s="100"/>
      <c r="S131" s="100"/>
      <c r="T131" s="29"/>
      <c r="U131" s="29"/>
    </row>
    <row r="132" spans="1:21" ht="39.950000000000003" customHeight="1">
      <c r="A132" s="136"/>
      <c r="B132" s="170"/>
      <c r="C132" s="30"/>
      <c r="D132" s="31"/>
      <c r="E132" s="29"/>
      <c r="F132" s="29"/>
      <c r="G132" s="29"/>
      <c r="H132" s="29"/>
      <c r="I132" s="29"/>
      <c r="J132" s="29"/>
      <c r="K132" s="29"/>
      <c r="L132" s="100"/>
      <c r="M132" s="100"/>
      <c r="N132" s="100"/>
      <c r="O132" s="100"/>
      <c r="P132" s="91"/>
      <c r="Q132" s="100"/>
      <c r="R132" s="100"/>
      <c r="S132" s="100"/>
      <c r="T132" s="99"/>
      <c r="U132" s="29"/>
    </row>
    <row r="133" spans="1:21" ht="39.950000000000003" customHeight="1">
      <c r="A133" s="136"/>
      <c r="B133" s="170"/>
      <c r="C133" s="30"/>
      <c r="D133" s="31"/>
      <c r="E133" s="29"/>
      <c r="F133" s="29"/>
      <c r="G133" s="29"/>
      <c r="H133" s="29"/>
      <c r="I133" s="29"/>
      <c r="J133" s="29"/>
      <c r="K133" s="29"/>
      <c r="L133" s="100"/>
      <c r="M133" s="100"/>
      <c r="N133" s="100"/>
      <c r="O133" s="100"/>
      <c r="P133" s="100"/>
      <c r="Q133" s="100"/>
      <c r="R133" s="100"/>
      <c r="S133" s="100"/>
      <c r="T133" s="29"/>
      <c r="U133" s="29"/>
    </row>
    <row r="134" spans="1:21" ht="39.950000000000003" customHeight="1">
      <c r="A134" s="135"/>
      <c r="B134" s="170"/>
      <c r="C134" s="30"/>
      <c r="D134" s="31"/>
      <c r="E134" s="29"/>
      <c r="F134" s="29"/>
      <c r="G134" s="29"/>
      <c r="H134" s="29"/>
      <c r="I134" s="29"/>
      <c r="J134" s="29"/>
      <c r="K134" s="29"/>
      <c r="L134" s="100"/>
      <c r="M134" s="100"/>
      <c r="N134" s="100"/>
      <c r="O134" s="100"/>
      <c r="P134" s="100"/>
      <c r="Q134" s="100"/>
      <c r="R134" s="100"/>
      <c r="S134" s="100"/>
      <c r="T134" s="29"/>
      <c r="U134" s="29"/>
    </row>
    <row r="135" spans="1:21" ht="39.950000000000003" customHeight="1">
      <c r="A135" s="136"/>
      <c r="B135" s="170"/>
      <c r="C135" s="30"/>
      <c r="D135" s="31"/>
      <c r="E135" s="29"/>
      <c r="F135" s="29"/>
      <c r="G135" s="29"/>
      <c r="H135" s="29"/>
      <c r="I135" s="29"/>
      <c r="J135" s="29"/>
      <c r="K135" s="29"/>
      <c r="L135" s="100"/>
      <c r="M135" s="100"/>
      <c r="N135" s="100"/>
      <c r="O135" s="100"/>
      <c r="P135" s="100"/>
      <c r="Q135" s="100"/>
      <c r="R135" s="100"/>
      <c r="S135" s="100"/>
      <c r="T135" s="29"/>
      <c r="U135" s="29"/>
    </row>
    <row r="136" spans="1:21" ht="39.950000000000003" customHeight="1">
      <c r="A136" s="136"/>
      <c r="B136" s="170"/>
      <c r="C136" s="30"/>
      <c r="D136" s="31"/>
      <c r="E136" s="29"/>
      <c r="F136" s="29"/>
      <c r="G136" s="29"/>
      <c r="H136" s="29"/>
      <c r="I136" s="29"/>
      <c r="J136" s="29"/>
      <c r="K136" s="29"/>
      <c r="L136" s="100"/>
      <c r="M136" s="100"/>
      <c r="N136" s="100"/>
      <c r="O136" s="100"/>
      <c r="P136" s="100"/>
      <c r="Q136" s="100"/>
      <c r="R136" s="100"/>
      <c r="S136" s="100"/>
      <c r="T136" s="29"/>
      <c r="U136" s="29"/>
    </row>
    <row r="137" spans="1:21" ht="39.950000000000003" customHeight="1">
      <c r="A137" s="136"/>
      <c r="B137" s="170"/>
      <c r="C137" s="30"/>
      <c r="D137" s="31"/>
      <c r="E137" s="29"/>
      <c r="F137" s="29"/>
      <c r="G137" s="29"/>
      <c r="H137" s="29"/>
      <c r="I137" s="29"/>
      <c r="J137" s="29"/>
      <c r="K137" s="29"/>
      <c r="L137" s="100"/>
      <c r="M137" s="100"/>
      <c r="N137" s="100"/>
      <c r="O137" s="100"/>
      <c r="P137" s="100"/>
      <c r="Q137" s="100"/>
      <c r="R137" s="100"/>
      <c r="S137" s="100"/>
      <c r="T137" s="29"/>
      <c r="U137" s="29"/>
    </row>
    <row r="138" spans="1:21" ht="39.950000000000003" customHeight="1">
      <c r="A138" s="136"/>
      <c r="B138" s="170"/>
      <c r="C138" s="30"/>
      <c r="D138" s="31"/>
      <c r="E138" s="29"/>
      <c r="F138" s="29"/>
      <c r="G138" s="29"/>
      <c r="H138" s="29"/>
      <c r="I138" s="29"/>
      <c r="J138" s="29"/>
      <c r="K138" s="29"/>
      <c r="L138" s="100"/>
      <c r="M138" s="100"/>
      <c r="N138" s="100"/>
      <c r="O138" s="100"/>
      <c r="P138" s="100"/>
      <c r="Q138" s="100"/>
      <c r="R138" s="100"/>
      <c r="S138" s="100"/>
      <c r="T138" s="29"/>
      <c r="U138" s="29"/>
    </row>
    <row r="139" spans="1:21" ht="39.950000000000003" customHeight="1">
      <c r="A139" s="136"/>
      <c r="B139" s="170"/>
      <c r="C139" s="30"/>
      <c r="D139" s="31"/>
      <c r="E139" s="29"/>
      <c r="F139" s="29"/>
      <c r="G139" s="29"/>
      <c r="H139" s="29"/>
      <c r="I139" s="29"/>
      <c r="J139" s="29"/>
      <c r="K139" s="29"/>
      <c r="L139" s="100"/>
      <c r="M139" s="100"/>
      <c r="N139" s="100"/>
      <c r="O139" s="100"/>
      <c r="P139" s="91"/>
      <c r="Q139" s="100"/>
      <c r="R139" s="100"/>
      <c r="S139" s="100"/>
      <c r="T139" s="99"/>
      <c r="U139" s="29"/>
    </row>
    <row r="140" spans="1:21" ht="39.950000000000003" customHeight="1">
      <c r="A140" s="136"/>
      <c r="B140" s="170"/>
      <c r="C140" s="30"/>
      <c r="D140" s="31"/>
      <c r="E140" s="29"/>
      <c r="F140" s="29"/>
      <c r="G140" s="29"/>
      <c r="H140" s="29"/>
      <c r="I140" s="29"/>
      <c r="J140" s="29"/>
      <c r="K140" s="29"/>
      <c r="L140" s="100"/>
      <c r="M140" s="100"/>
      <c r="N140" s="100"/>
      <c r="O140" s="100"/>
      <c r="P140" s="100"/>
      <c r="Q140" s="100"/>
      <c r="R140" s="100"/>
      <c r="S140" s="100"/>
      <c r="T140" s="29"/>
      <c r="U140" s="29"/>
    </row>
    <row r="141" spans="1:21" ht="39.950000000000003" customHeight="1">
      <c r="A141" s="135"/>
      <c r="B141" s="170"/>
      <c r="C141" s="30"/>
      <c r="D141" s="31"/>
      <c r="E141" s="29"/>
      <c r="F141" s="29"/>
      <c r="G141" s="29"/>
      <c r="H141" s="29"/>
      <c r="I141" s="29"/>
      <c r="J141" s="29"/>
      <c r="K141" s="29"/>
      <c r="L141" s="100"/>
      <c r="M141" s="100"/>
      <c r="N141" s="100"/>
      <c r="O141" s="100"/>
      <c r="P141" s="100"/>
      <c r="Q141" s="100"/>
      <c r="R141" s="100"/>
      <c r="S141" s="100"/>
      <c r="T141" s="29"/>
      <c r="U141" s="29"/>
    </row>
    <row r="142" spans="1:21" ht="39.950000000000003" customHeight="1">
      <c r="A142" s="136"/>
      <c r="B142" s="170"/>
      <c r="C142" s="30"/>
      <c r="D142" s="31"/>
      <c r="E142" s="29"/>
      <c r="F142" s="29"/>
      <c r="G142" s="29"/>
      <c r="H142" s="29"/>
      <c r="I142" s="29"/>
      <c r="J142" s="29"/>
      <c r="K142" s="29"/>
      <c r="L142" s="100"/>
      <c r="M142" s="100"/>
      <c r="N142" s="100"/>
      <c r="O142" s="100"/>
      <c r="P142" s="91"/>
      <c r="Q142" s="100"/>
      <c r="R142" s="100"/>
      <c r="S142" s="100"/>
      <c r="T142" s="99"/>
      <c r="U142" s="29"/>
    </row>
    <row r="143" spans="1:21" ht="39.950000000000003" customHeight="1">
      <c r="A143" s="136"/>
      <c r="B143" s="170"/>
      <c r="C143" s="30"/>
      <c r="D143" s="31"/>
      <c r="E143" s="29"/>
      <c r="F143" s="29"/>
      <c r="G143" s="29"/>
      <c r="H143" s="29"/>
      <c r="I143" s="29"/>
      <c r="J143" s="29"/>
      <c r="K143" s="29"/>
      <c r="L143" s="100"/>
      <c r="M143" s="100"/>
      <c r="N143" s="100"/>
      <c r="O143" s="100"/>
      <c r="P143" s="91"/>
      <c r="Q143" s="100"/>
      <c r="R143" s="100"/>
      <c r="S143" s="100"/>
      <c r="T143" s="29"/>
      <c r="U143" s="29"/>
    </row>
    <row r="144" spans="1:21" ht="39.950000000000003" customHeight="1">
      <c r="A144" s="136"/>
      <c r="B144" s="170"/>
      <c r="C144" s="30"/>
      <c r="D144" s="31"/>
      <c r="E144" s="29"/>
      <c r="F144" s="29"/>
      <c r="G144" s="29"/>
      <c r="H144" s="29"/>
      <c r="I144" s="29"/>
      <c r="J144" s="29"/>
      <c r="K144" s="29"/>
      <c r="L144" s="100"/>
      <c r="M144" s="100"/>
      <c r="N144" s="100"/>
      <c r="O144" s="100"/>
      <c r="P144" s="100"/>
      <c r="Q144" s="100"/>
      <c r="R144" s="100"/>
      <c r="S144" s="100"/>
      <c r="T144" s="29"/>
      <c r="U144" s="29"/>
    </row>
    <row r="145" spans="1:21" ht="39.950000000000003" customHeight="1">
      <c r="A145" s="136"/>
      <c r="B145" s="170"/>
      <c r="C145" s="30"/>
      <c r="D145" s="31"/>
      <c r="E145" s="29"/>
      <c r="F145" s="29"/>
      <c r="G145" s="29"/>
      <c r="H145" s="29"/>
      <c r="I145" s="29"/>
      <c r="J145" s="29"/>
      <c r="K145" s="29"/>
      <c r="L145" s="100"/>
      <c r="M145" s="100"/>
      <c r="N145" s="100"/>
      <c r="O145" s="100"/>
      <c r="P145" s="100"/>
      <c r="Q145" s="100"/>
      <c r="R145" s="100"/>
      <c r="S145" s="100"/>
      <c r="T145" s="29"/>
      <c r="U145" s="29"/>
    </row>
    <row r="146" spans="1:21" ht="39.950000000000003" customHeight="1">
      <c r="A146" s="136"/>
      <c r="B146" s="170"/>
      <c r="C146" s="30"/>
      <c r="D146" s="31"/>
      <c r="E146" s="29"/>
      <c r="F146" s="29"/>
      <c r="G146" s="29"/>
      <c r="H146" s="29"/>
      <c r="I146" s="29"/>
      <c r="J146" s="29"/>
      <c r="K146" s="29"/>
      <c r="L146" s="100"/>
      <c r="M146" s="100"/>
      <c r="N146" s="100"/>
      <c r="O146" s="100"/>
      <c r="P146" s="91"/>
      <c r="Q146" s="100"/>
      <c r="R146" s="100"/>
      <c r="S146" s="100"/>
      <c r="T146" s="99"/>
      <c r="U146" s="29"/>
    </row>
    <row r="147" spans="1:21" ht="39.950000000000003" customHeight="1">
      <c r="A147" s="135"/>
      <c r="B147" s="170"/>
      <c r="C147" s="30"/>
      <c r="D147" s="31"/>
      <c r="E147" s="29"/>
      <c r="F147" s="29"/>
      <c r="G147" s="29"/>
      <c r="H147" s="29"/>
      <c r="I147" s="29"/>
      <c r="J147" s="29"/>
      <c r="K147" s="29"/>
      <c r="L147" s="100"/>
      <c r="M147" s="100"/>
      <c r="N147" s="100"/>
      <c r="O147" s="100"/>
      <c r="P147" s="91"/>
      <c r="Q147" s="100"/>
      <c r="R147" s="100"/>
      <c r="S147" s="100"/>
      <c r="T147" s="99"/>
      <c r="U147" s="29"/>
    </row>
    <row r="148" spans="1:21" ht="39.950000000000003" customHeight="1">
      <c r="A148" s="136"/>
      <c r="B148" s="170"/>
      <c r="C148" s="30"/>
      <c r="D148" s="31"/>
      <c r="E148" s="29"/>
      <c r="F148" s="29"/>
      <c r="G148" s="29"/>
      <c r="H148" s="29"/>
      <c r="I148" s="29"/>
      <c r="J148" s="29"/>
      <c r="K148" s="29"/>
      <c r="L148" s="100"/>
      <c r="M148" s="100"/>
      <c r="N148" s="100"/>
      <c r="O148" s="100"/>
      <c r="P148" s="91"/>
      <c r="Q148" s="100"/>
      <c r="R148" s="100"/>
      <c r="S148" s="100"/>
      <c r="T148" s="29"/>
      <c r="U148" s="29"/>
    </row>
    <row r="149" spans="1:21" ht="39.950000000000003" customHeight="1">
      <c r="A149" s="136"/>
      <c r="B149" s="170"/>
      <c r="C149" s="30"/>
      <c r="D149" s="31"/>
      <c r="E149" s="29"/>
      <c r="F149" s="29"/>
      <c r="G149" s="29"/>
      <c r="H149" s="29"/>
      <c r="I149" s="29"/>
      <c r="J149" s="29"/>
      <c r="K149" s="29"/>
      <c r="L149" s="100"/>
      <c r="M149" s="100"/>
      <c r="N149" s="100"/>
      <c r="O149" s="100"/>
      <c r="P149" s="91"/>
      <c r="Q149" s="100"/>
      <c r="R149" s="100"/>
      <c r="S149" s="100"/>
      <c r="T149" s="29"/>
      <c r="U149" s="29"/>
    </row>
    <row r="150" spans="1:21" ht="39.950000000000003" customHeight="1">
      <c r="A150" s="137"/>
      <c r="B150" s="171"/>
      <c r="C150" s="34"/>
      <c r="D150" s="32"/>
      <c r="E150" s="33"/>
      <c r="F150" s="33"/>
      <c r="G150" s="33"/>
      <c r="H150" s="33"/>
      <c r="I150" s="33"/>
      <c r="J150" s="33"/>
      <c r="K150" s="33"/>
      <c r="L150" s="103"/>
      <c r="M150" s="103"/>
      <c r="N150" s="103"/>
      <c r="O150" s="103"/>
      <c r="P150" s="103"/>
      <c r="Q150" s="103"/>
      <c r="R150" s="103"/>
      <c r="S150" s="103"/>
      <c r="T150" s="33"/>
      <c r="U150" s="33"/>
    </row>
    <row r="151" spans="1:21" ht="20.25" customHeight="1">
      <c r="A151" s="47"/>
    </row>
    <row r="152" spans="1:21" ht="20.25" customHeight="1">
      <c r="A152" s="47"/>
    </row>
    <row r="153" spans="1:21" ht="20.25" customHeight="1">
      <c r="A153" s="104"/>
    </row>
    <row r="154" spans="1:21" ht="20.25" customHeight="1">
      <c r="A154" s="47"/>
    </row>
    <row r="155" spans="1:21" ht="20.25" customHeight="1">
      <c r="A155" s="47"/>
    </row>
    <row r="156" spans="1:21" ht="20.25" customHeight="1">
      <c r="A156" s="47"/>
    </row>
    <row r="157" spans="1:21" ht="20.25" customHeight="1">
      <c r="A157" s="47"/>
    </row>
    <row r="158" spans="1:21" ht="20.25" customHeight="1">
      <c r="A158" s="104"/>
    </row>
    <row r="159" spans="1:21" ht="20.25" customHeight="1">
      <c r="A159" s="47"/>
    </row>
    <row r="160" spans="1:21" ht="20.25" customHeight="1">
      <c r="A160" s="47"/>
    </row>
    <row r="161" spans="1:1" ht="20.25" customHeight="1">
      <c r="A161" s="47"/>
    </row>
    <row r="162" spans="1:1" ht="20.25" customHeight="1">
      <c r="A162" s="47"/>
    </row>
    <row r="163" spans="1:1" ht="20.25" customHeight="1">
      <c r="A163" s="47"/>
    </row>
    <row r="164" spans="1:1" ht="20.25" customHeight="1">
      <c r="A164" s="47"/>
    </row>
    <row r="165" spans="1:1" ht="20.25" customHeight="1">
      <c r="A165" s="104"/>
    </row>
    <row r="166" spans="1:1" ht="20.25" customHeight="1">
      <c r="A166" s="47"/>
    </row>
    <row r="167" spans="1:1" ht="20.25" customHeight="1">
      <c r="A167" s="47"/>
    </row>
    <row r="168" spans="1:1" ht="20.25" customHeight="1">
      <c r="A168" s="47"/>
    </row>
    <row r="169" spans="1:1" ht="20.25" customHeight="1">
      <c r="A169" s="104"/>
    </row>
    <row r="170" spans="1:1" ht="20.25" customHeight="1">
      <c r="A170" s="47"/>
    </row>
    <row r="171" spans="1:1" ht="20.25" customHeight="1">
      <c r="A171" s="47"/>
    </row>
    <row r="172" spans="1:1" ht="20.25" customHeight="1">
      <c r="A172" s="47"/>
    </row>
    <row r="173" spans="1:1" ht="20.25" customHeight="1">
      <c r="A173" s="47"/>
    </row>
    <row r="174" spans="1:1" ht="20.25" customHeight="1">
      <c r="A174" s="104"/>
    </row>
    <row r="175" spans="1:1" ht="20.25" customHeight="1">
      <c r="A175" s="47"/>
    </row>
    <row r="176" spans="1:1" ht="20.25" customHeight="1">
      <c r="A176" s="47"/>
    </row>
    <row r="177" spans="1:1" ht="20.25" customHeight="1">
      <c r="A177" s="104"/>
    </row>
    <row r="178" spans="1:1" ht="20.25" customHeight="1">
      <c r="A178" s="47"/>
    </row>
    <row r="179" spans="1:1" ht="20.25" customHeight="1">
      <c r="A179" s="104"/>
    </row>
    <row r="180" spans="1:1" ht="20.25" customHeight="1">
      <c r="A180" s="47"/>
    </row>
    <row r="181" spans="1:1" ht="20.25" customHeight="1">
      <c r="A181" s="47"/>
    </row>
    <row r="182" spans="1:1" ht="20.25" customHeight="1">
      <c r="A182" s="47"/>
    </row>
    <row r="183" spans="1:1" ht="20.25" customHeight="1">
      <c r="A183" s="104"/>
    </row>
    <row r="184" spans="1:1" ht="20.25" customHeight="1">
      <c r="A184" s="47"/>
    </row>
    <row r="185" spans="1:1" ht="20.25" customHeight="1">
      <c r="A185" s="47"/>
    </row>
    <row r="186" spans="1:1" ht="20.25" customHeight="1">
      <c r="A186" s="47"/>
    </row>
    <row r="187" spans="1:1" ht="20.25" customHeight="1">
      <c r="A187" s="47"/>
    </row>
    <row r="188" spans="1:1" ht="20.25" customHeight="1">
      <c r="A188" s="47"/>
    </row>
    <row r="189" spans="1:1" ht="20.25" customHeight="1">
      <c r="A189" s="104"/>
    </row>
    <row r="190" spans="1:1" ht="20.25" customHeight="1">
      <c r="A190" s="47"/>
    </row>
    <row r="191" spans="1:1" ht="20.25" customHeight="1">
      <c r="A191" s="104"/>
    </row>
    <row r="192" spans="1:1" ht="20.25" customHeight="1">
      <c r="A192" s="47"/>
    </row>
    <row r="193" spans="1:1" ht="20.25" customHeight="1">
      <c r="A193" s="47"/>
    </row>
    <row r="194" spans="1:1" ht="20.25" customHeight="1">
      <c r="A194" s="47"/>
    </row>
    <row r="195" spans="1:1" ht="20.25" customHeight="1">
      <c r="A195" s="104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  <row r="199" spans="1:1" ht="20.25" customHeight="1">
      <c r="A199" s="104"/>
    </row>
    <row r="200" spans="1:1" ht="20.25" customHeight="1">
      <c r="A200" s="47"/>
    </row>
    <row r="201" spans="1:1" ht="20.25" customHeight="1">
      <c r="A201" s="47"/>
    </row>
    <row r="202" spans="1:1" ht="20.25" customHeight="1">
      <c r="A202" s="47"/>
    </row>
    <row r="203" spans="1:1" ht="20.25" customHeight="1">
      <c r="A203" s="104"/>
    </row>
    <row r="204" spans="1:1" ht="20.25" customHeight="1">
      <c r="A204" s="47"/>
    </row>
    <row r="205" spans="1:1" ht="20.25" customHeight="1">
      <c r="A205" s="47"/>
    </row>
    <row r="206" spans="1:1" ht="20.25" customHeight="1">
      <c r="A206" s="47"/>
    </row>
    <row r="207" spans="1:1" ht="20.25" customHeight="1">
      <c r="A207" s="104"/>
    </row>
    <row r="208" spans="1:1" ht="20.25" customHeight="1">
      <c r="A208" s="47"/>
    </row>
    <row r="209" spans="1:1" ht="20.25" customHeight="1">
      <c r="A209" s="47"/>
    </row>
    <row r="210" spans="1:1" ht="20.25" customHeight="1">
      <c r="A210" s="47"/>
    </row>
    <row r="211" spans="1:1" ht="20.25" customHeight="1">
      <c r="A211" s="47"/>
    </row>
    <row r="212" spans="1:1" ht="20.25" customHeight="1">
      <c r="A212" s="104"/>
    </row>
    <row r="213" spans="1:1" ht="20.25" customHeight="1">
      <c r="A213" s="47"/>
    </row>
    <row r="214" spans="1:1" ht="20.25" customHeight="1">
      <c r="A214" s="47"/>
    </row>
    <row r="215" spans="1:1" ht="20.25" customHeight="1">
      <c r="A215" s="104"/>
    </row>
    <row r="216" spans="1:1" ht="20.25" customHeight="1">
      <c r="A216" s="47"/>
    </row>
    <row r="217" spans="1:1" ht="20.25" customHeight="1">
      <c r="A217" s="47"/>
    </row>
    <row r="218" spans="1:1" ht="20.25" customHeight="1">
      <c r="A218" s="47"/>
    </row>
    <row r="219" spans="1:1" ht="20.25" customHeight="1">
      <c r="A219" s="47"/>
    </row>
    <row r="220" spans="1:1" ht="20.25" customHeight="1">
      <c r="A220" s="47"/>
    </row>
    <row r="221" spans="1:1" ht="20.25" customHeight="1">
      <c r="A221" s="47"/>
    </row>
    <row r="222" spans="1:1" ht="20.25" customHeight="1">
      <c r="A222" s="104"/>
    </row>
    <row r="223" spans="1:1" ht="20.25" customHeight="1">
      <c r="A223" s="47"/>
    </row>
    <row r="224" spans="1:1" ht="20.25" customHeight="1">
      <c r="A224" s="47"/>
    </row>
    <row r="225" spans="1:1" ht="20.25" customHeight="1">
      <c r="A225" s="47"/>
    </row>
    <row r="226" spans="1:1" ht="20.25" customHeight="1">
      <c r="A226" s="47"/>
    </row>
    <row r="227" spans="1:1" ht="20.25" customHeight="1">
      <c r="A227" s="47"/>
    </row>
    <row r="228" spans="1:1" ht="20.25" customHeight="1">
      <c r="A228" s="47"/>
    </row>
    <row r="229" spans="1:1" ht="20.25" customHeight="1">
      <c r="A229" s="47"/>
    </row>
    <row r="230" spans="1:1" ht="20.25" customHeight="1">
      <c r="A230" s="47"/>
    </row>
    <row r="231" spans="1:1" ht="20.25" customHeight="1">
      <c r="A231" s="47"/>
    </row>
    <row r="232" spans="1:1" ht="20.25" customHeight="1">
      <c r="A232" s="47"/>
    </row>
    <row r="233" spans="1:1" ht="20.25" customHeight="1">
      <c r="A233" s="104"/>
    </row>
    <row r="234" spans="1:1" ht="20.25" customHeight="1">
      <c r="A234" s="47"/>
    </row>
    <row r="235" spans="1:1" ht="20.25" customHeight="1">
      <c r="A235" s="47"/>
    </row>
    <row r="236" spans="1:1" ht="20.25" customHeight="1">
      <c r="A236" s="47"/>
    </row>
    <row r="237" spans="1:1" ht="20.25" customHeight="1">
      <c r="A237" s="104"/>
    </row>
    <row r="238" spans="1:1" ht="20.25" customHeight="1">
      <c r="A238" s="47"/>
    </row>
    <row r="239" spans="1:1" ht="20.25" customHeight="1">
      <c r="A239" s="47"/>
    </row>
    <row r="240" spans="1:1" ht="20.25" customHeight="1">
      <c r="A240" s="47"/>
    </row>
    <row r="241" spans="1:1" ht="20.25" customHeight="1">
      <c r="A241" s="47"/>
    </row>
    <row r="242" spans="1:1" ht="20.25" customHeight="1">
      <c r="A242" s="104"/>
    </row>
    <row r="243" spans="1:1" ht="20.25" customHeight="1">
      <c r="A243" s="47"/>
    </row>
    <row r="244" spans="1:1" ht="20.25" customHeight="1">
      <c r="A244" s="47"/>
    </row>
    <row r="245" spans="1:1" ht="20.25" customHeight="1">
      <c r="A245" s="47"/>
    </row>
    <row r="246" spans="1:1" ht="20.25" customHeight="1">
      <c r="A246" s="104"/>
    </row>
    <row r="247" spans="1:1" ht="20.25" customHeight="1">
      <c r="A247" s="47"/>
    </row>
    <row r="248" spans="1:1" ht="20.25" customHeight="1">
      <c r="A248" s="47"/>
    </row>
    <row r="249" spans="1:1" ht="20.25" customHeight="1">
      <c r="A249" s="47"/>
    </row>
    <row r="250" spans="1:1" ht="20.25" customHeight="1">
      <c r="A250" s="47"/>
    </row>
    <row r="251" spans="1:1" ht="20.25" customHeight="1">
      <c r="A251" s="47"/>
    </row>
    <row r="252" spans="1:1" ht="20.25" customHeight="1">
      <c r="A252" s="104"/>
    </row>
    <row r="253" spans="1:1" ht="20.25" customHeight="1">
      <c r="A253" s="47"/>
    </row>
    <row r="254" spans="1:1" ht="20.25" customHeight="1">
      <c r="A254" s="47"/>
    </row>
    <row r="255" spans="1:1" ht="20.25" customHeight="1">
      <c r="A255" s="47"/>
    </row>
    <row r="256" spans="1:1" ht="20.25" customHeight="1">
      <c r="A256" s="47"/>
    </row>
    <row r="257" spans="1:1" ht="20.25" customHeight="1">
      <c r="A257" s="47"/>
    </row>
    <row r="258" spans="1:1" ht="20.25" customHeight="1">
      <c r="A258" s="47"/>
    </row>
    <row r="259" spans="1:1" ht="20.25" customHeight="1">
      <c r="A259" s="104"/>
    </row>
    <row r="260" spans="1:1" ht="20.25" customHeight="1">
      <c r="A260" s="47"/>
    </row>
    <row r="261" spans="1:1" ht="20.25" customHeight="1">
      <c r="A261" s="47"/>
    </row>
    <row r="262" spans="1:1" ht="20.25" customHeight="1">
      <c r="A262" s="47"/>
    </row>
    <row r="263" spans="1:1" ht="20.25" customHeight="1">
      <c r="A263" s="47"/>
    </row>
    <row r="264" spans="1:1" ht="20.25" customHeight="1">
      <c r="A264" s="47"/>
    </row>
    <row r="265" spans="1:1" ht="20.25" customHeight="1">
      <c r="A265" s="47"/>
    </row>
    <row r="266" spans="1:1" ht="20.25" customHeight="1">
      <c r="A266" s="47"/>
    </row>
    <row r="267" spans="1:1" ht="20.25" customHeight="1">
      <c r="A267" s="104"/>
    </row>
    <row r="268" spans="1:1" ht="20.25" customHeight="1">
      <c r="A268" s="47"/>
    </row>
    <row r="269" spans="1:1" ht="20.25" customHeight="1">
      <c r="A269" s="47"/>
    </row>
    <row r="270" spans="1:1" ht="20.25" customHeight="1">
      <c r="A270" s="47"/>
    </row>
    <row r="271" spans="1:1" ht="20.25" customHeight="1">
      <c r="A271" s="104"/>
    </row>
    <row r="272" spans="1:1" ht="20.25" customHeight="1">
      <c r="A272" s="47"/>
    </row>
    <row r="273" spans="1:1" ht="20.25" customHeight="1">
      <c r="A273" s="47"/>
    </row>
    <row r="274" spans="1:1" ht="20.25" customHeight="1">
      <c r="A274" s="47"/>
    </row>
  </sheetData>
  <autoFilter ref="A6:AB150"/>
  <mergeCells count="19">
    <mergeCell ref="F5:F6"/>
    <mergeCell ref="G5:G6"/>
    <mergeCell ref="R5:R6"/>
    <mergeCell ref="S5:S6"/>
    <mergeCell ref="T5:T6"/>
    <mergeCell ref="H5:H6"/>
    <mergeCell ref="I5:I6"/>
    <mergeCell ref="J5:J6"/>
    <mergeCell ref="K5:O5"/>
    <mergeCell ref="A5:A6"/>
    <mergeCell ref="B5:B6"/>
    <mergeCell ref="C5:C6"/>
    <mergeCell ref="D5:D6"/>
    <mergeCell ref="E5:E6"/>
    <mergeCell ref="P5:P6"/>
    <mergeCell ref="Q5:Q6"/>
    <mergeCell ref="Y3:Y4"/>
    <mergeCell ref="Z3:Z4"/>
    <mergeCell ref="AA3:AA4"/>
  </mergeCells>
  <conditionalFormatting sqref="C7:E120">
    <cfRule type="expression" dxfId="8" priority="2">
      <formula>MOD($W7,2)=0</formula>
    </cfRule>
  </conditionalFormatting>
  <conditionalFormatting sqref="A7:U120">
    <cfRule type="expression" dxfId="7" priority="1">
      <formula>$V7="OK"</formula>
    </cfRule>
    <cfRule type="expression" dxfId="6" priority="3">
      <formula>OR($B7="1",$B7=1)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2" manualBreakCount="2">
    <brk id="57" max="20" man="1"/>
    <brk id="114" max="2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>
                <anchor moveWithCells="1" sizeWithCells="1">
                  <from>
                    <xdr:col>24</xdr:col>
                    <xdr:colOff>57150</xdr:colOff>
                    <xdr:row>6</xdr:row>
                    <xdr:rowOff>0</xdr:rowOff>
                  </from>
                  <to>
                    <xdr:col>25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6</xdr:row>
                    <xdr:rowOff>0</xdr:rowOff>
                  </from>
                  <to>
                    <xdr:col>25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>
                <anchor moveWithCells="1" sizeWithCells="1">
                  <from>
                    <xdr:col>24</xdr:col>
                    <xdr:colOff>57150</xdr:colOff>
                    <xdr:row>6</xdr:row>
                    <xdr:rowOff>0</xdr:rowOff>
                  </from>
                  <to>
                    <xdr:col>25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>
                <anchor moveWithCells="1" sizeWithCells="1">
                  <from>
                    <xdr:col>24</xdr:col>
                    <xdr:colOff>85725</xdr:colOff>
                    <xdr:row>6</xdr:row>
                    <xdr:rowOff>0</xdr:rowOff>
                  </from>
                  <to>
                    <xdr:col>25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>
                <anchor>
                  <from>
                    <xdr:col>24</xdr:col>
                    <xdr:colOff>771525</xdr:colOff>
                    <xdr:row>18</xdr:row>
                    <xdr:rowOff>238125</xdr:rowOff>
                  </from>
                  <to>
                    <xdr:col>25</xdr:col>
                    <xdr:colOff>1095375</xdr:colOff>
                    <xdr:row>19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>
                <anchor>
                  <from>
                    <xdr:col>24</xdr:col>
                    <xdr:colOff>790575</xdr:colOff>
                    <xdr:row>20</xdr:row>
                    <xdr:rowOff>104775</xdr:rowOff>
                  </from>
                  <to>
                    <xdr:col>25</xdr:col>
                    <xdr:colOff>1133475</xdr:colOff>
                    <xdr:row>21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>
                <anchor>
                  <from>
                    <xdr:col>24</xdr:col>
                    <xdr:colOff>790575</xdr:colOff>
                    <xdr:row>22</xdr:row>
                    <xdr:rowOff>409575</xdr:rowOff>
                  </from>
                  <to>
                    <xdr:col>25</xdr:col>
                    <xdr:colOff>1133475</xdr:colOff>
                    <xdr:row>24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>
                <anchor>
                  <from>
                    <xdr:col>24</xdr:col>
                    <xdr:colOff>809625</xdr:colOff>
                    <xdr:row>24</xdr:row>
                    <xdr:rowOff>466725</xdr:rowOff>
                  </from>
                  <to>
                    <xdr:col>25</xdr:col>
                    <xdr:colOff>1133475</xdr:colOff>
                    <xdr:row>26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B264"/>
  <sheetViews>
    <sheetView showGridLines="0" view="pageBreakPreview" zoomScale="53" zoomScaleNormal="100" zoomScaleSheetLayoutView="53" workbookViewId="0">
      <pane xSplit="5" ySplit="6" topLeftCell="F7" activePane="bottomRight" state="frozen"/>
      <selection activeCell="I130" sqref="I130"/>
      <selection pane="topRight" activeCell="I130" sqref="I130"/>
      <selection pane="bottomLeft" activeCell="I130" sqref="I130"/>
      <selection pane="bottomRight" activeCell="K35" sqref="K35"/>
    </sheetView>
  </sheetViews>
  <sheetFormatPr defaultRowHeight="20.25" customHeight="1"/>
  <cols>
    <col min="1" max="1" width="16" style="1" customWidth="1"/>
    <col min="2" max="2" width="8.42578125" style="9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10.7109375" style="35" customWidth="1"/>
    <col min="10" max="10" width="10.7109375" style="35" hidden="1" customWidth="1"/>
    <col min="11" max="19" width="8.28515625" style="35" customWidth="1"/>
    <col min="20" max="20" width="41" style="35" customWidth="1"/>
    <col min="21" max="21" width="5.85546875" style="35" customWidth="1"/>
    <col min="22" max="22" width="9.85546875" style="5" customWidth="1"/>
    <col min="23" max="24" width="10" style="5" customWidth="1"/>
    <col min="25" max="25" width="19.7109375" style="5" customWidth="1"/>
    <col min="26" max="26" width="19.7109375" style="6" customWidth="1"/>
    <col min="27" max="30" width="20" style="5" customWidth="1"/>
    <col min="31" max="16384" width="9.140625" style="5"/>
  </cols>
  <sheetData>
    <row r="1" spans="1:28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8" ht="30" customHeight="1">
      <c r="A2" s="51" t="s">
        <v>32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9"/>
      <c r="P2" s="9"/>
      <c r="Q2" s="9"/>
      <c r="R2" s="2"/>
      <c r="S2" s="2"/>
      <c r="T2" s="10"/>
      <c r="U2" s="9"/>
      <c r="Y2" s="74" t="s">
        <v>0</v>
      </c>
      <c r="Z2" s="75" t="s">
        <v>1</v>
      </c>
      <c r="AA2" s="74" t="s">
        <v>2</v>
      </c>
      <c r="AB2" s="74" t="s">
        <v>3</v>
      </c>
    </row>
    <row r="3" spans="1:28" ht="32.25" customHeight="1">
      <c r="A3" s="11" t="s">
        <v>916</v>
      </c>
      <c r="B3" s="48"/>
      <c r="C3" s="48"/>
      <c r="D3" s="48"/>
      <c r="E3" s="48"/>
      <c r="F3" s="12"/>
      <c r="G3" s="13"/>
      <c r="H3" s="9"/>
      <c r="I3" s="9"/>
      <c r="J3" s="9"/>
      <c r="K3" s="9"/>
      <c r="L3" s="9"/>
      <c r="M3" s="9"/>
      <c r="N3" s="9"/>
      <c r="O3" s="9"/>
      <c r="P3" s="9"/>
      <c r="Q3" s="9"/>
      <c r="R3" s="13"/>
      <c r="S3" s="13"/>
      <c r="T3" s="14"/>
      <c r="U3" s="9"/>
      <c r="Y3" s="461"/>
      <c r="Z3" s="462"/>
      <c r="AA3" s="461"/>
      <c r="AB3" s="85"/>
    </row>
    <row r="4" spans="1:28" ht="30" customHeight="1">
      <c r="A4" s="73" t="str">
        <f>T709_Cell_1!A4</f>
        <v>T709 Daily Input/Output Plan COPIER 20200727W_REV.1</v>
      </c>
      <c r="B4" s="16"/>
      <c r="C4" s="16"/>
      <c r="D4" s="16"/>
      <c r="E4" s="9"/>
      <c r="F4" s="9"/>
      <c r="G4" s="13"/>
      <c r="H4" s="9"/>
      <c r="I4" s="9"/>
      <c r="J4" s="9"/>
      <c r="K4" s="9"/>
      <c r="L4" s="9"/>
      <c r="M4" s="9"/>
      <c r="N4" s="9"/>
      <c r="O4" s="9"/>
      <c r="P4" s="9"/>
      <c r="Q4" s="9"/>
      <c r="R4" s="13"/>
      <c r="S4" s="13"/>
      <c r="T4" s="37"/>
      <c r="U4" s="9"/>
      <c r="Y4" s="461"/>
      <c r="Z4" s="462"/>
      <c r="AA4" s="461"/>
      <c r="AB4" s="17"/>
    </row>
    <row r="5" spans="1:28" ht="36" customHeight="1">
      <c r="A5" s="473" t="s">
        <v>4</v>
      </c>
      <c r="B5" s="486" t="s">
        <v>5</v>
      </c>
      <c r="C5" s="486" t="s">
        <v>6</v>
      </c>
      <c r="D5" s="486" t="s">
        <v>7</v>
      </c>
      <c r="E5" s="486" t="s">
        <v>8</v>
      </c>
      <c r="F5" s="473" t="s">
        <v>9</v>
      </c>
      <c r="G5" s="473" t="s">
        <v>10</v>
      </c>
      <c r="H5" s="473" t="s">
        <v>11</v>
      </c>
      <c r="I5" s="492" t="s">
        <v>12</v>
      </c>
      <c r="J5" s="492" t="s">
        <v>13</v>
      </c>
      <c r="K5" s="481" t="s">
        <v>14</v>
      </c>
      <c r="L5" s="481"/>
      <c r="M5" s="481"/>
      <c r="N5" s="481"/>
      <c r="O5" s="481"/>
      <c r="P5" s="481" t="s">
        <v>23</v>
      </c>
      <c r="Q5" s="482" t="s">
        <v>27</v>
      </c>
      <c r="R5" s="488" t="s">
        <v>24</v>
      </c>
      <c r="S5" s="488" t="s">
        <v>25</v>
      </c>
      <c r="T5" s="490" t="s">
        <v>15</v>
      </c>
      <c r="U5" s="84" t="s">
        <v>16</v>
      </c>
    </row>
    <row r="6" spans="1:28" ht="32.25" customHeight="1">
      <c r="A6" s="475"/>
      <c r="B6" s="487"/>
      <c r="C6" s="487"/>
      <c r="D6" s="487"/>
      <c r="E6" s="487"/>
      <c r="F6" s="475"/>
      <c r="G6" s="475"/>
      <c r="H6" s="475"/>
      <c r="I6" s="493"/>
      <c r="J6" s="493"/>
      <c r="K6" s="207" t="s">
        <v>104</v>
      </c>
      <c r="L6" s="207" t="s">
        <v>51</v>
      </c>
      <c r="M6" s="207" t="s">
        <v>52</v>
      </c>
      <c r="N6" s="207" t="s">
        <v>26</v>
      </c>
      <c r="O6" s="207" t="s">
        <v>48</v>
      </c>
      <c r="P6" s="481"/>
      <c r="Q6" s="483"/>
      <c r="R6" s="489"/>
      <c r="S6" s="489"/>
      <c r="T6" s="491"/>
      <c r="U6" s="54"/>
      <c r="W6" s="6"/>
      <c r="X6" s="6"/>
    </row>
    <row r="7" spans="1:28" s="43" customFormat="1" ht="39.950000000000003" hidden="1" customHeight="1">
      <c r="A7" s="18">
        <v>44051</v>
      </c>
      <c r="B7" s="114" t="s">
        <v>60</v>
      </c>
      <c r="C7" s="115" t="s">
        <v>74</v>
      </c>
      <c r="D7" s="116" t="s">
        <v>78</v>
      </c>
      <c r="E7" s="117">
        <v>30</v>
      </c>
      <c r="F7" s="19" t="s">
        <v>69</v>
      </c>
      <c r="G7" s="22" t="s">
        <v>28</v>
      </c>
      <c r="H7" s="22">
        <v>230</v>
      </c>
      <c r="I7" s="110"/>
      <c r="J7" s="110"/>
      <c r="K7" s="44"/>
      <c r="L7" s="44"/>
      <c r="M7" s="44"/>
      <c r="N7" s="44"/>
      <c r="O7" s="44"/>
      <c r="P7" s="91" t="s">
        <v>70</v>
      </c>
      <c r="Q7" s="44" t="s">
        <v>29</v>
      </c>
      <c r="R7" s="44"/>
      <c r="S7" s="44"/>
      <c r="T7" s="93" t="s">
        <v>355</v>
      </c>
      <c r="U7" s="19"/>
      <c r="V7" s="5" t="s">
        <v>17</v>
      </c>
      <c r="W7" s="39">
        <v>1</v>
      </c>
      <c r="X7" s="39"/>
      <c r="Y7" s="1"/>
      <c r="Z7" s="40"/>
      <c r="AA7" s="41"/>
      <c r="AB7" s="42"/>
    </row>
    <row r="8" spans="1:28" s="43" customFormat="1" ht="39.950000000000003" hidden="1" customHeight="1">
      <c r="A8" s="25">
        <v>44053</v>
      </c>
      <c r="B8" s="114" t="s">
        <v>54</v>
      </c>
      <c r="C8" s="115" t="s">
        <v>74</v>
      </c>
      <c r="D8" s="116" t="s">
        <v>78</v>
      </c>
      <c r="E8" s="117">
        <v>132</v>
      </c>
      <c r="F8" s="19" t="s">
        <v>69</v>
      </c>
      <c r="G8" s="22" t="s">
        <v>28</v>
      </c>
      <c r="H8" s="22">
        <v>230</v>
      </c>
      <c r="I8" s="110"/>
      <c r="J8" s="110"/>
      <c r="K8" s="44"/>
      <c r="L8" s="44"/>
      <c r="M8" s="44"/>
      <c r="N8" s="44"/>
      <c r="O8" s="44"/>
      <c r="P8" s="91" t="s">
        <v>70</v>
      </c>
      <c r="Q8" s="44" t="s">
        <v>29</v>
      </c>
      <c r="R8" s="44"/>
      <c r="S8" s="44"/>
      <c r="T8" s="93" t="s">
        <v>356</v>
      </c>
      <c r="U8" s="19"/>
      <c r="V8" s="38" t="s">
        <v>17</v>
      </c>
      <c r="W8" s="39">
        <f t="shared" ref="W8:W65" si="0">IF(C8=C7,W7,W7+1)</f>
        <v>1</v>
      </c>
      <c r="X8" s="39"/>
      <c r="Y8" s="1"/>
      <c r="Z8" s="40"/>
      <c r="AA8" s="41"/>
      <c r="AB8" s="42"/>
    </row>
    <row r="9" spans="1:28" s="43" customFormat="1" ht="39.950000000000003" hidden="1" customHeight="1">
      <c r="A9" s="18">
        <v>44053</v>
      </c>
      <c r="B9" s="114" t="s">
        <v>55</v>
      </c>
      <c r="C9" s="115" t="s">
        <v>139</v>
      </c>
      <c r="D9" s="116" t="s">
        <v>140</v>
      </c>
      <c r="E9" s="117">
        <v>5</v>
      </c>
      <c r="F9" s="19" t="s">
        <v>69</v>
      </c>
      <c r="G9" s="22" t="s">
        <v>30</v>
      </c>
      <c r="H9" s="22">
        <v>230</v>
      </c>
      <c r="I9" s="110"/>
      <c r="J9" s="110"/>
      <c r="K9" s="44"/>
      <c r="L9" s="44"/>
      <c r="M9" s="44"/>
      <c r="N9" s="44"/>
      <c r="O9" s="44"/>
      <c r="P9" s="91" t="s">
        <v>70</v>
      </c>
      <c r="Q9" s="44" t="s">
        <v>29</v>
      </c>
      <c r="R9" s="44" t="s">
        <v>29</v>
      </c>
      <c r="S9" s="44"/>
      <c r="T9" s="19" t="s">
        <v>357</v>
      </c>
      <c r="U9" s="19"/>
      <c r="V9" s="38" t="s">
        <v>17</v>
      </c>
      <c r="W9" s="39">
        <f t="shared" si="0"/>
        <v>2</v>
      </c>
      <c r="X9" s="39"/>
      <c r="Y9" s="1"/>
      <c r="Z9" s="40"/>
      <c r="AA9" s="41"/>
      <c r="AB9" s="42"/>
    </row>
    <row r="10" spans="1:28" s="43" customFormat="1" ht="39.950000000000003" hidden="1" customHeight="1">
      <c r="A10" s="18">
        <v>44053</v>
      </c>
      <c r="B10" s="114" t="s">
        <v>56</v>
      </c>
      <c r="C10" s="115" t="s">
        <v>106</v>
      </c>
      <c r="D10" s="116" t="s">
        <v>107</v>
      </c>
      <c r="E10" s="117">
        <v>14</v>
      </c>
      <c r="F10" s="19" t="s">
        <v>69</v>
      </c>
      <c r="G10" s="22" t="s">
        <v>18</v>
      </c>
      <c r="H10" s="22">
        <v>220</v>
      </c>
      <c r="I10" s="110"/>
      <c r="J10" s="110"/>
      <c r="K10" s="44"/>
      <c r="L10" s="44"/>
      <c r="M10" s="44"/>
      <c r="N10" s="44"/>
      <c r="O10" s="44"/>
      <c r="P10" s="91" t="s">
        <v>70</v>
      </c>
      <c r="Q10" s="44" t="s">
        <v>29</v>
      </c>
      <c r="R10" s="44" t="s">
        <v>29</v>
      </c>
      <c r="S10" s="44"/>
      <c r="T10" s="19" t="s">
        <v>358</v>
      </c>
      <c r="U10" s="19"/>
      <c r="V10" s="38" t="s">
        <v>17</v>
      </c>
      <c r="W10" s="39">
        <f t="shared" si="0"/>
        <v>3</v>
      </c>
      <c r="X10" s="39"/>
      <c r="Y10" s="1"/>
      <c r="Z10" s="40"/>
      <c r="AA10" s="41"/>
      <c r="AB10" s="42"/>
    </row>
    <row r="11" spans="1:28" s="43" customFormat="1" ht="39.950000000000003" hidden="1" customHeight="1">
      <c r="A11" s="18">
        <v>44053</v>
      </c>
      <c r="B11" s="114" t="s">
        <v>57</v>
      </c>
      <c r="C11" s="115" t="s">
        <v>201</v>
      </c>
      <c r="D11" s="116" t="s">
        <v>202</v>
      </c>
      <c r="E11" s="117">
        <v>100</v>
      </c>
      <c r="F11" s="19" t="s">
        <v>69</v>
      </c>
      <c r="G11" s="22" t="s">
        <v>28</v>
      </c>
      <c r="H11" s="22">
        <v>230</v>
      </c>
      <c r="I11" s="110"/>
      <c r="J11" s="110"/>
      <c r="K11" s="44"/>
      <c r="L11" s="44"/>
      <c r="M11" s="44"/>
      <c r="N11" s="44"/>
      <c r="O11" s="44"/>
      <c r="P11" s="91" t="s">
        <v>70</v>
      </c>
      <c r="Q11" s="44" t="s">
        <v>29</v>
      </c>
      <c r="R11" s="44"/>
      <c r="S11" s="44"/>
      <c r="T11" s="19" t="s">
        <v>496</v>
      </c>
      <c r="U11" s="19"/>
      <c r="V11" s="38" t="s">
        <v>17</v>
      </c>
      <c r="W11" s="39">
        <f t="shared" si="0"/>
        <v>4</v>
      </c>
      <c r="X11" s="39"/>
      <c r="Y11" s="1"/>
      <c r="Z11" s="40"/>
      <c r="AA11" s="41"/>
      <c r="AB11" s="42"/>
    </row>
    <row r="12" spans="1:28" s="43" customFormat="1" ht="39.950000000000003" hidden="1" customHeight="1">
      <c r="A12" s="18">
        <v>44053</v>
      </c>
      <c r="B12" s="114" t="s">
        <v>58</v>
      </c>
      <c r="C12" s="115" t="s">
        <v>114</v>
      </c>
      <c r="D12" s="116" t="s">
        <v>115</v>
      </c>
      <c r="E12" s="117">
        <v>18</v>
      </c>
      <c r="F12" s="19" t="s">
        <v>69</v>
      </c>
      <c r="G12" s="22" t="s">
        <v>33</v>
      </c>
      <c r="H12" s="22">
        <v>100</v>
      </c>
      <c r="I12" s="110"/>
      <c r="J12" s="110"/>
      <c r="K12" s="44"/>
      <c r="L12" s="44"/>
      <c r="M12" s="44" t="s">
        <v>29</v>
      </c>
      <c r="N12" s="44"/>
      <c r="O12" s="44"/>
      <c r="P12" s="91" t="s">
        <v>70</v>
      </c>
      <c r="Q12" s="44"/>
      <c r="R12" s="44" t="s">
        <v>29</v>
      </c>
      <c r="S12" s="44" t="s">
        <v>29</v>
      </c>
      <c r="T12" s="19" t="s">
        <v>359</v>
      </c>
      <c r="U12" s="19"/>
      <c r="V12" s="38" t="s">
        <v>17</v>
      </c>
      <c r="W12" s="39">
        <f t="shared" si="0"/>
        <v>5</v>
      </c>
      <c r="X12" s="39"/>
      <c r="Y12" s="1"/>
      <c r="Z12" s="40"/>
      <c r="AA12" s="41"/>
      <c r="AB12" s="42"/>
    </row>
    <row r="13" spans="1:28" s="43" customFormat="1" ht="39.950000000000003" hidden="1" customHeight="1">
      <c r="A13" s="18">
        <v>44053</v>
      </c>
      <c r="B13" s="114" t="s">
        <v>59</v>
      </c>
      <c r="C13" s="115" t="s">
        <v>71</v>
      </c>
      <c r="D13" s="116" t="s">
        <v>75</v>
      </c>
      <c r="E13" s="117">
        <v>35</v>
      </c>
      <c r="F13" s="19" t="s">
        <v>69</v>
      </c>
      <c r="G13" s="22" t="s">
        <v>28</v>
      </c>
      <c r="H13" s="22">
        <v>230</v>
      </c>
      <c r="I13" s="110"/>
      <c r="J13" s="110"/>
      <c r="K13" s="44"/>
      <c r="L13" s="44"/>
      <c r="M13" s="44"/>
      <c r="N13" s="44"/>
      <c r="O13" s="44"/>
      <c r="P13" s="91" t="s">
        <v>70</v>
      </c>
      <c r="Q13" s="44" t="s">
        <v>29</v>
      </c>
      <c r="R13" s="44"/>
      <c r="S13" s="44"/>
      <c r="T13" s="93" t="s">
        <v>497</v>
      </c>
      <c r="U13" s="22"/>
      <c r="V13" s="38" t="s">
        <v>17</v>
      </c>
      <c r="W13" s="39">
        <f t="shared" si="0"/>
        <v>6</v>
      </c>
      <c r="X13" s="39"/>
      <c r="Y13" s="1"/>
      <c r="Z13" s="40"/>
      <c r="AA13" s="41"/>
      <c r="AB13" s="42"/>
    </row>
    <row r="14" spans="1:28" s="43" customFormat="1" ht="39.950000000000003" hidden="1" customHeight="1">
      <c r="A14" s="25">
        <v>44054</v>
      </c>
      <c r="B14" s="114" t="s">
        <v>54</v>
      </c>
      <c r="C14" s="115" t="s">
        <v>71</v>
      </c>
      <c r="D14" s="116" t="s">
        <v>75</v>
      </c>
      <c r="E14" s="117">
        <v>7</v>
      </c>
      <c r="F14" s="19" t="s">
        <v>69</v>
      </c>
      <c r="G14" s="22" t="s">
        <v>28</v>
      </c>
      <c r="H14" s="22">
        <v>230</v>
      </c>
      <c r="I14" s="110"/>
      <c r="J14" s="110"/>
      <c r="K14" s="44"/>
      <c r="L14" s="44"/>
      <c r="M14" s="44"/>
      <c r="N14" s="44"/>
      <c r="O14" s="44"/>
      <c r="P14" s="91" t="s">
        <v>70</v>
      </c>
      <c r="Q14" s="44" t="s">
        <v>29</v>
      </c>
      <c r="R14" s="44"/>
      <c r="S14" s="44"/>
      <c r="T14" s="93" t="s">
        <v>498</v>
      </c>
      <c r="U14" s="22"/>
      <c r="V14" s="38" t="s">
        <v>17</v>
      </c>
      <c r="W14" s="39">
        <f t="shared" si="0"/>
        <v>6</v>
      </c>
      <c r="X14" s="39"/>
      <c r="Y14" s="1"/>
      <c r="Z14" s="40"/>
      <c r="AA14" s="41"/>
      <c r="AB14" s="42"/>
    </row>
    <row r="15" spans="1:28" s="43" customFormat="1" ht="39.950000000000003" hidden="1" customHeight="1">
      <c r="A15" s="18">
        <v>44054</v>
      </c>
      <c r="B15" s="114" t="s">
        <v>55</v>
      </c>
      <c r="C15" s="115" t="s">
        <v>74</v>
      </c>
      <c r="D15" s="116" t="s">
        <v>78</v>
      </c>
      <c r="E15" s="117">
        <v>186</v>
      </c>
      <c r="F15" s="19" t="s">
        <v>69</v>
      </c>
      <c r="G15" s="22" t="s">
        <v>28</v>
      </c>
      <c r="H15" s="22">
        <v>230</v>
      </c>
      <c r="I15" s="110"/>
      <c r="J15" s="110"/>
      <c r="K15" s="44"/>
      <c r="L15" s="44"/>
      <c r="M15" s="44"/>
      <c r="N15" s="44"/>
      <c r="O15" s="44"/>
      <c r="P15" s="91" t="s">
        <v>70</v>
      </c>
      <c r="Q15" s="44" t="s">
        <v>29</v>
      </c>
      <c r="R15" s="44"/>
      <c r="S15" s="44"/>
      <c r="T15" s="93" t="s">
        <v>499</v>
      </c>
      <c r="U15" s="22"/>
      <c r="V15" s="38" t="s">
        <v>17</v>
      </c>
      <c r="W15" s="39">
        <f t="shared" si="0"/>
        <v>7</v>
      </c>
      <c r="X15" s="39"/>
      <c r="Y15" s="1"/>
      <c r="Z15" s="40"/>
      <c r="AA15" s="41"/>
      <c r="AB15" s="42"/>
    </row>
    <row r="16" spans="1:28" s="43" customFormat="1" ht="39.950000000000003" hidden="1" customHeight="1">
      <c r="A16" s="18">
        <v>44054</v>
      </c>
      <c r="B16" s="114" t="s">
        <v>56</v>
      </c>
      <c r="C16" s="115" t="s">
        <v>146</v>
      </c>
      <c r="D16" s="116" t="s">
        <v>147</v>
      </c>
      <c r="E16" s="117">
        <v>53</v>
      </c>
      <c r="F16" s="19" t="s">
        <v>69</v>
      </c>
      <c r="G16" s="22" t="s">
        <v>148</v>
      </c>
      <c r="H16" s="22">
        <v>230</v>
      </c>
      <c r="I16" s="110"/>
      <c r="J16" s="110"/>
      <c r="K16" s="44"/>
      <c r="L16" s="44"/>
      <c r="M16" s="44"/>
      <c r="N16" s="44"/>
      <c r="O16" s="44" t="s">
        <v>29</v>
      </c>
      <c r="P16" s="91" t="s">
        <v>70</v>
      </c>
      <c r="Q16" s="44"/>
      <c r="R16" s="44" t="s">
        <v>29</v>
      </c>
      <c r="S16" s="44"/>
      <c r="T16" s="93" t="s">
        <v>360</v>
      </c>
      <c r="U16" s="22"/>
      <c r="V16" s="38" t="s">
        <v>17</v>
      </c>
      <c r="W16" s="39">
        <f t="shared" si="0"/>
        <v>8</v>
      </c>
      <c r="X16" s="39"/>
      <c r="Y16" s="1"/>
      <c r="Z16" s="40"/>
      <c r="AA16" s="41"/>
      <c r="AB16" s="42"/>
    </row>
    <row r="17" spans="1:28" s="43" customFormat="1" ht="39.950000000000003" hidden="1" customHeight="1">
      <c r="A17" s="25">
        <v>44060</v>
      </c>
      <c r="B17" s="114" t="s">
        <v>54</v>
      </c>
      <c r="C17" s="115" t="s">
        <v>146</v>
      </c>
      <c r="D17" s="116" t="s">
        <v>147</v>
      </c>
      <c r="E17" s="117">
        <v>14</v>
      </c>
      <c r="F17" s="19" t="s">
        <v>69</v>
      </c>
      <c r="G17" s="22" t="s">
        <v>148</v>
      </c>
      <c r="H17" s="22">
        <v>230</v>
      </c>
      <c r="I17" s="110"/>
      <c r="J17" s="110"/>
      <c r="K17" s="44"/>
      <c r="L17" s="44"/>
      <c r="M17" s="44"/>
      <c r="N17" s="44"/>
      <c r="O17" s="44" t="s">
        <v>29</v>
      </c>
      <c r="P17" s="91" t="s">
        <v>70</v>
      </c>
      <c r="Q17" s="44"/>
      <c r="R17" s="44" t="s">
        <v>29</v>
      </c>
      <c r="S17" s="44"/>
      <c r="T17" s="19" t="s">
        <v>361</v>
      </c>
      <c r="U17" s="22"/>
      <c r="V17" s="38" t="s">
        <v>17</v>
      </c>
      <c r="W17" s="39">
        <f t="shared" si="0"/>
        <v>8</v>
      </c>
      <c r="X17" s="39"/>
      <c r="Y17" s="1"/>
      <c r="Z17" s="40"/>
      <c r="AA17" s="41"/>
      <c r="AB17" s="42"/>
    </row>
    <row r="18" spans="1:28" s="43" customFormat="1" ht="39.950000000000003" hidden="1" customHeight="1">
      <c r="A18" s="18">
        <v>44060</v>
      </c>
      <c r="B18" s="114" t="s">
        <v>55</v>
      </c>
      <c r="C18" s="115" t="s">
        <v>195</v>
      </c>
      <c r="D18" s="116" t="s">
        <v>196</v>
      </c>
      <c r="E18" s="117">
        <v>57</v>
      </c>
      <c r="F18" s="19" t="s">
        <v>69</v>
      </c>
      <c r="G18" s="22" t="s">
        <v>148</v>
      </c>
      <c r="H18" s="22">
        <v>230</v>
      </c>
      <c r="I18" s="110"/>
      <c r="J18" s="110"/>
      <c r="K18" s="44"/>
      <c r="L18" s="44"/>
      <c r="M18" s="44"/>
      <c r="N18" s="44"/>
      <c r="O18" s="44" t="s">
        <v>29</v>
      </c>
      <c r="P18" s="91" t="s">
        <v>70</v>
      </c>
      <c r="Q18" s="44"/>
      <c r="R18" s="44" t="s">
        <v>29</v>
      </c>
      <c r="S18" s="44"/>
      <c r="T18" s="93" t="s">
        <v>362</v>
      </c>
      <c r="U18" s="22"/>
      <c r="V18" s="38" t="s">
        <v>17</v>
      </c>
      <c r="W18" s="39">
        <f t="shared" si="0"/>
        <v>9</v>
      </c>
      <c r="X18" s="39"/>
      <c r="Y18" s="1"/>
      <c r="Z18" s="40"/>
      <c r="AA18" s="41"/>
      <c r="AB18" s="42"/>
    </row>
    <row r="19" spans="1:28" s="43" customFormat="1" ht="39.950000000000003" hidden="1" customHeight="1">
      <c r="A19" s="18">
        <v>44060</v>
      </c>
      <c r="B19" s="114" t="s">
        <v>56</v>
      </c>
      <c r="C19" s="115" t="s">
        <v>74</v>
      </c>
      <c r="D19" s="116" t="s">
        <v>78</v>
      </c>
      <c r="E19" s="117">
        <v>134</v>
      </c>
      <c r="F19" s="19" t="s">
        <v>69</v>
      </c>
      <c r="G19" s="22" t="s">
        <v>28</v>
      </c>
      <c r="H19" s="22">
        <v>230</v>
      </c>
      <c r="I19" s="110"/>
      <c r="J19" s="110"/>
      <c r="K19" s="44"/>
      <c r="L19" s="44"/>
      <c r="M19" s="44"/>
      <c r="N19" s="44"/>
      <c r="O19" s="44"/>
      <c r="P19" s="91" t="s">
        <v>70</v>
      </c>
      <c r="Q19" s="44" t="s">
        <v>29</v>
      </c>
      <c r="R19" s="44"/>
      <c r="S19" s="44"/>
      <c r="T19" s="93" t="s">
        <v>917</v>
      </c>
      <c r="U19" s="22"/>
      <c r="V19" s="38" t="s">
        <v>17</v>
      </c>
      <c r="W19" s="39">
        <f t="shared" si="0"/>
        <v>10</v>
      </c>
      <c r="X19" s="39"/>
      <c r="Y19" s="1"/>
      <c r="Z19" s="40"/>
      <c r="AA19" s="41"/>
      <c r="AB19" s="42"/>
    </row>
    <row r="20" spans="1:28" s="43" customFormat="1" ht="39.950000000000003" hidden="1" customHeight="1">
      <c r="A20" s="18">
        <v>44060</v>
      </c>
      <c r="B20" s="114" t="s">
        <v>57</v>
      </c>
      <c r="C20" s="115" t="s">
        <v>218</v>
      </c>
      <c r="D20" s="116" t="s">
        <v>219</v>
      </c>
      <c r="E20" s="117">
        <v>2</v>
      </c>
      <c r="F20" s="19" t="s">
        <v>220</v>
      </c>
      <c r="G20" s="22" t="s">
        <v>21</v>
      </c>
      <c r="H20" s="22">
        <v>120</v>
      </c>
      <c r="I20" s="110"/>
      <c r="J20" s="110"/>
      <c r="K20" s="44"/>
      <c r="L20" s="44"/>
      <c r="M20" s="44"/>
      <c r="N20" s="44"/>
      <c r="O20" s="44" t="s">
        <v>29</v>
      </c>
      <c r="P20" s="91" t="s">
        <v>70</v>
      </c>
      <c r="Q20" s="44"/>
      <c r="R20" s="44"/>
      <c r="S20" s="44"/>
      <c r="T20" s="93" t="s">
        <v>363</v>
      </c>
      <c r="U20" s="22"/>
      <c r="V20" s="38" t="s">
        <v>17</v>
      </c>
      <c r="W20" s="39">
        <f t="shared" si="0"/>
        <v>11</v>
      </c>
      <c r="X20" s="39"/>
      <c r="Y20" s="1"/>
      <c r="Z20" s="40"/>
      <c r="AA20" s="41"/>
      <c r="AB20" s="42"/>
    </row>
    <row r="21" spans="1:28" s="43" customFormat="1" ht="39.950000000000003" customHeight="1">
      <c r="A21" s="18">
        <v>44060</v>
      </c>
      <c r="B21" s="114" t="s">
        <v>58</v>
      </c>
      <c r="C21" s="115" t="s">
        <v>146</v>
      </c>
      <c r="D21" s="116" t="s">
        <v>147</v>
      </c>
      <c r="E21" s="117">
        <v>51</v>
      </c>
      <c r="F21" s="19" t="s">
        <v>69</v>
      </c>
      <c r="G21" s="22" t="s">
        <v>148</v>
      </c>
      <c r="H21" s="22">
        <v>230</v>
      </c>
      <c r="I21" s="110"/>
      <c r="J21" s="110"/>
      <c r="K21" s="44"/>
      <c r="L21" s="44"/>
      <c r="M21" s="44"/>
      <c r="N21" s="44"/>
      <c r="O21" s="44" t="s">
        <v>29</v>
      </c>
      <c r="P21" s="91" t="s">
        <v>70</v>
      </c>
      <c r="Q21" s="44"/>
      <c r="R21" s="44" t="s">
        <v>29</v>
      </c>
      <c r="S21" s="44"/>
      <c r="T21" s="19" t="s">
        <v>364</v>
      </c>
      <c r="U21" s="22"/>
      <c r="V21" s="38" t="s">
        <v>17</v>
      </c>
      <c r="W21" s="39">
        <f t="shared" si="0"/>
        <v>12</v>
      </c>
      <c r="X21" s="39"/>
      <c r="Y21" s="1"/>
      <c r="Z21" s="40"/>
      <c r="AA21" s="41"/>
      <c r="AB21" s="42"/>
    </row>
    <row r="22" spans="1:28" s="43" customFormat="1" ht="39.950000000000003" customHeight="1">
      <c r="A22" s="25">
        <v>44061</v>
      </c>
      <c r="B22" s="114" t="s">
        <v>54</v>
      </c>
      <c r="C22" s="115" t="s">
        <v>146</v>
      </c>
      <c r="D22" s="116" t="s">
        <v>147</v>
      </c>
      <c r="E22" s="117">
        <v>73</v>
      </c>
      <c r="F22" s="19" t="s">
        <v>69</v>
      </c>
      <c r="G22" s="22" t="s">
        <v>148</v>
      </c>
      <c r="H22" s="22">
        <v>230</v>
      </c>
      <c r="I22" s="110"/>
      <c r="J22" s="110"/>
      <c r="K22" s="44"/>
      <c r="L22" s="44"/>
      <c r="M22" s="44"/>
      <c r="N22" s="44"/>
      <c r="O22" s="44" t="s">
        <v>29</v>
      </c>
      <c r="P22" s="91" t="s">
        <v>70</v>
      </c>
      <c r="Q22" s="44"/>
      <c r="R22" s="44" t="s">
        <v>29</v>
      </c>
      <c r="S22" s="44"/>
      <c r="T22" s="19" t="s">
        <v>365</v>
      </c>
      <c r="U22" s="22"/>
      <c r="V22" s="38" t="s">
        <v>17</v>
      </c>
      <c r="W22" s="39">
        <f t="shared" si="0"/>
        <v>12</v>
      </c>
      <c r="X22" s="39"/>
      <c r="Y22" s="1"/>
      <c r="Z22" s="40"/>
      <c r="AA22" s="41"/>
      <c r="AB22" s="42"/>
    </row>
    <row r="23" spans="1:28" s="43" customFormat="1" ht="39.950000000000003" customHeight="1">
      <c r="A23" s="18">
        <v>44061</v>
      </c>
      <c r="B23" s="160" t="s">
        <v>55</v>
      </c>
      <c r="C23" s="161" t="s">
        <v>71</v>
      </c>
      <c r="D23" s="162" t="s">
        <v>75</v>
      </c>
      <c r="E23" s="163">
        <v>4</v>
      </c>
      <c r="F23" s="19" t="s">
        <v>69</v>
      </c>
      <c r="G23" s="22" t="s">
        <v>28</v>
      </c>
      <c r="H23" s="22">
        <v>230</v>
      </c>
      <c r="I23" s="110"/>
      <c r="J23" s="110"/>
      <c r="K23" s="44"/>
      <c r="L23" s="44"/>
      <c r="M23" s="44"/>
      <c r="N23" s="44"/>
      <c r="O23" s="44"/>
      <c r="P23" s="91" t="s">
        <v>70</v>
      </c>
      <c r="Q23" s="44" t="s">
        <v>29</v>
      </c>
      <c r="R23" s="44"/>
      <c r="S23" s="44"/>
      <c r="T23" s="93" t="s">
        <v>918</v>
      </c>
      <c r="U23" s="22"/>
      <c r="V23" s="38" t="s">
        <v>17</v>
      </c>
      <c r="W23" s="39">
        <f t="shared" si="0"/>
        <v>13</v>
      </c>
      <c r="X23" s="39"/>
      <c r="Y23" s="1"/>
      <c r="Z23" s="40"/>
      <c r="AA23" s="41"/>
      <c r="AB23" s="42"/>
    </row>
    <row r="24" spans="1:28" s="43" customFormat="1" ht="39.950000000000003" customHeight="1">
      <c r="A24" s="18">
        <v>44061</v>
      </c>
      <c r="B24" s="160" t="s">
        <v>56</v>
      </c>
      <c r="C24" s="161" t="s">
        <v>74</v>
      </c>
      <c r="D24" s="162" t="s">
        <v>78</v>
      </c>
      <c r="E24" s="163">
        <v>193</v>
      </c>
      <c r="F24" s="19" t="s">
        <v>69</v>
      </c>
      <c r="G24" s="22" t="s">
        <v>28</v>
      </c>
      <c r="H24" s="22">
        <v>230</v>
      </c>
      <c r="I24" s="110"/>
      <c r="J24" s="110"/>
      <c r="K24" s="44"/>
      <c r="L24" s="44"/>
      <c r="M24" s="44"/>
      <c r="N24" s="44"/>
      <c r="O24" s="44"/>
      <c r="P24" s="91" t="s">
        <v>70</v>
      </c>
      <c r="Q24" s="44" t="s">
        <v>29</v>
      </c>
      <c r="R24" s="44"/>
      <c r="S24" s="44"/>
      <c r="T24" s="93" t="s">
        <v>919</v>
      </c>
      <c r="U24" s="22"/>
      <c r="V24" s="38" t="s">
        <v>17</v>
      </c>
      <c r="W24" s="39">
        <f t="shared" si="0"/>
        <v>14</v>
      </c>
      <c r="X24" s="39"/>
      <c r="Y24" s="1"/>
      <c r="Z24" s="40"/>
      <c r="AA24" s="41"/>
      <c r="AB24" s="42"/>
    </row>
    <row r="25" spans="1:28" s="43" customFormat="1" ht="39.950000000000003" customHeight="1">
      <c r="A25" s="18">
        <v>44061</v>
      </c>
      <c r="B25" s="160" t="s">
        <v>57</v>
      </c>
      <c r="C25" s="161" t="s">
        <v>366</v>
      </c>
      <c r="D25" s="162" t="s">
        <v>367</v>
      </c>
      <c r="E25" s="163">
        <v>1</v>
      </c>
      <c r="F25" s="19" t="s">
        <v>69</v>
      </c>
      <c r="G25" s="22" t="s">
        <v>46</v>
      </c>
      <c r="H25" s="22">
        <v>120</v>
      </c>
      <c r="I25" s="110"/>
      <c r="J25" s="110"/>
      <c r="K25" s="44"/>
      <c r="L25" s="44"/>
      <c r="M25" s="44"/>
      <c r="N25" s="44"/>
      <c r="O25" s="44"/>
      <c r="P25" s="91" t="s">
        <v>70</v>
      </c>
      <c r="Q25" s="44" t="s">
        <v>29</v>
      </c>
      <c r="R25" s="44" t="s">
        <v>29</v>
      </c>
      <c r="S25" s="44"/>
      <c r="T25" s="93" t="s">
        <v>368</v>
      </c>
      <c r="U25" s="22"/>
      <c r="V25" s="38" t="s">
        <v>17</v>
      </c>
      <c r="W25" s="39">
        <f t="shared" si="0"/>
        <v>15</v>
      </c>
      <c r="X25" s="39"/>
      <c r="Y25" s="1"/>
      <c r="Z25" s="40"/>
      <c r="AA25" s="41"/>
      <c r="AB25" s="42"/>
    </row>
    <row r="26" spans="1:28" s="43" customFormat="1" ht="39.950000000000003" customHeight="1">
      <c r="A26" s="18">
        <v>44061</v>
      </c>
      <c r="B26" s="160" t="s">
        <v>58</v>
      </c>
      <c r="C26" s="161" t="s">
        <v>96</v>
      </c>
      <c r="D26" s="162" t="s">
        <v>97</v>
      </c>
      <c r="E26" s="163">
        <v>53</v>
      </c>
      <c r="F26" s="19" t="s">
        <v>69</v>
      </c>
      <c r="G26" s="22" t="s">
        <v>21</v>
      </c>
      <c r="H26" s="22">
        <v>120</v>
      </c>
      <c r="I26" s="110"/>
      <c r="J26" s="110"/>
      <c r="K26" s="44"/>
      <c r="L26" s="44"/>
      <c r="M26" s="44"/>
      <c r="N26" s="44"/>
      <c r="O26" s="44" t="s">
        <v>29</v>
      </c>
      <c r="P26" s="91" t="s">
        <v>70</v>
      </c>
      <c r="Q26" s="44"/>
      <c r="R26" s="44"/>
      <c r="S26" s="44"/>
      <c r="T26" s="93" t="s">
        <v>369</v>
      </c>
      <c r="U26" s="22"/>
      <c r="V26" s="38"/>
      <c r="W26" s="39">
        <f t="shared" si="0"/>
        <v>16</v>
      </c>
      <c r="X26" s="39"/>
      <c r="Y26" s="1"/>
      <c r="Z26" s="40"/>
      <c r="AA26" s="41"/>
      <c r="AB26" s="42"/>
    </row>
    <row r="27" spans="1:28" s="43" customFormat="1" ht="39.950000000000003" customHeight="1">
      <c r="A27" s="25">
        <v>44062</v>
      </c>
      <c r="B27" s="114" t="s">
        <v>54</v>
      </c>
      <c r="C27" s="115" t="s">
        <v>96</v>
      </c>
      <c r="D27" s="116" t="s">
        <v>97</v>
      </c>
      <c r="E27" s="117">
        <v>27</v>
      </c>
      <c r="F27" s="19" t="s">
        <v>69</v>
      </c>
      <c r="G27" s="22" t="s">
        <v>21</v>
      </c>
      <c r="H27" s="22">
        <v>120</v>
      </c>
      <c r="I27" s="110"/>
      <c r="J27" s="110"/>
      <c r="K27" s="44"/>
      <c r="L27" s="44"/>
      <c r="M27" s="44"/>
      <c r="N27" s="44"/>
      <c r="O27" s="44" t="s">
        <v>29</v>
      </c>
      <c r="P27" s="91" t="s">
        <v>70</v>
      </c>
      <c r="Q27" s="44"/>
      <c r="R27" s="44"/>
      <c r="S27" s="44"/>
      <c r="T27" s="93" t="s">
        <v>370</v>
      </c>
      <c r="U27" s="22"/>
      <c r="V27" s="38"/>
      <c r="W27" s="39">
        <f t="shared" si="0"/>
        <v>16</v>
      </c>
      <c r="X27" s="39"/>
      <c r="Y27" s="1"/>
      <c r="Z27" s="40"/>
      <c r="AA27" s="41"/>
      <c r="AB27" s="42"/>
    </row>
    <row r="28" spans="1:28" s="43" customFormat="1" ht="39.950000000000003" customHeight="1">
      <c r="A28" s="18">
        <v>44062</v>
      </c>
      <c r="B28" s="114" t="s">
        <v>55</v>
      </c>
      <c r="C28" s="115" t="s">
        <v>146</v>
      </c>
      <c r="D28" s="116" t="s">
        <v>147</v>
      </c>
      <c r="E28" s="117">
        <v>12</v>
      </c>
      <c r="F28" s="19" t="s">
        <v>69</v>
      </c>
      <c r="G28" s="22" t="s">
        <v>148</v>
      </c>
      <c r="H28" s="22">
        <v>230</v>
      </c>
      <c r="I28" s="110"/>
      <c r="J28" s="110"/>
      <c r="K28" s="44"/>
      <c r="L28" s="44"/>
      <c r="M28" s="44"/>
      <c r="N28" s="44"/>
      <c r="O28" s="44" t="s">
        <v>29</v>
      </c>
      <c r="P28" s="91" t="s">
        <v>70</v>
      </c>
      <c r="Q28" s="44"/>
      <c r="R28" s="44" t="s">
        <v>29</v>
      </c>
      <c r="S28" s="44"/>
      <c r="T28" s="93" t="s">
        <v>371</v>
      </c>
      <c r="U28" s="22"/>
      <c r="V28" s="38"/>
      <c r="W28" s="39">
        <f t="shared" si="0"/>
        <v>17</v>
      </c>
      <c r="X28" s="39"/>
      <c r="Y28" s="1"/>
      <c r="Z28" s="40"/>
      <c r="AA28" s="41"/>
      <c r="AB28" s="42"/>
    </row>
    <row r="29" spans="1:28" s="43" customFormat="1" ht="39.950000000000003" customHeight="1">
      <c r="A29" s="18">
        <v>44062</v>
      </c>
      <c r="B29" s="114" t="s">
        <v>56</v>
      </c>
      <c r="C29" s="115" t="s">
        <v>94</v>
      </c>
      <c r="D29" s="116" t="s">
        <v>95</v>
      </c>
      <c r="E29" s="117">
        <v>32</v>
      </c>
      <c r="F29" s="19" t="s">
        <v>69</v>
      </c>
      <c r="G29" s="22" t="s">
        <v>21</v>
      </c>
      <c r="H29" s="22">
        <v>120</v>
      </c>
      <c r="I29" s="110"/>
      <c r="J29" s="110"/>
      <c r="K29" s="44"/>
      <c r="L29" s="44"/>
      <c r="M29" s="44"/>
      <c r="N29" s="44"/>
      <c r="O29" s="44" t="s">
        <v>29</v>
      </c>
      <c r="P29" s="91" t="s">
        <v>70</v>
      </c>
      <c r="Q29" s="44"/>
      <c r="R29" s="44"/>
      <c r="S29" s="44"/>
      <c r="T29" s="19" t="s">
        <v>372</v>
      </c>
      <c r="U29" s="22"/>
      <c r="V29" s="38"/>
      <c r="W29" s="39">
        <f t="shared" si="0"/>
        <v>18</v>
      </c>
      <c r="X29" s="39"/>
      <c r="Y29" s="1"/>
      <c r="Z29" s="40"/>
      <c r="AA29" s="41"/>
      <c r="AB29" s="42"/>
    </row>
    <row r="30" spans="1:28" s="43" customFormat="1" ht="39.950000000000003" customHeight="1">
      <c r="A30" s="18">
        <v>44062</v>
      </c>
      <c r="B30" s="114" t="s">
        <v>57</v>
      </c>
      <c r="C30" s="115" t="s">
        <v>114</v>
      </c>
      <c r="D30" s="116" t="s">
        <v>115</v>
      </c>
      <c r="E30" s="117">
        <v>7</v>
      </c>
      <c r="F30" s="19" t="s">
        <v>69</v>
      </c>
      <c r="G30" s="22" t="s">
        <v>33</v>
      </c>
      <c r="H30" s="22">
        <v>100</v>
      </c>
      <c r="I30" s="110"/>
      <c r="J30" s="110"/>
      <c r="K30" s="44"/>
      <c r="L30" s="44"/>
      <c r="M30" s="44" t="s">
        <v>29</v>
      </c>
      <c r="N30" s="44"/>
      <c r="O30" s="44"/>
      <c r="P30" s="91" t="s">
        <v>70</v>
      </c>
      <c r="Q30" s="44"/>
      <c r="R30" s="44" t="s">
        <v>29</v>
      </c>
      <c r="S30" s="44" t="s">
        <v>29</v>
      </c>
      <c r="T30" s="19" t="s">
        <v>373</v>
      </c>
      <c r="U30" s="22"/>
      <c r="V30" s="38"/>
      <c r="W30" s="39">
        <f t="shared" si="0"/>
        <v>19</v>
      </c>
      <c r="X30" s="39"/>
      <c r="Y30" s="1"/>
      <c r="Z30" s="40"/>
      <c r="AA30" s="41"/>
      <c r="AB30" s="42"/>
    </row>
    <row r="31" spans="1:28" s="43" customFormat="1" ht="39.950000000000003" customHeight="1">
      <c r="A31" s="18">
        <v>44062</v>
      </c>
      <c r="B31" s="114" t="s">
        <v>58</v>
      </c>
      <c r="C31" s="115" t="s">
        <v>74</v>
      </c>
      <c r="D31" s="116" t="s">
        <v>78</v>
      </c>
      <c r="E31" s="117">
        <v>126</v>
      </c>
      <c r="F31" s="19" t="s">
        <v>69</v>
      </c>
      <c r="G31" s="22" t="s">
        <v>28</v>
      </c>
      <c r="H31" s="22">
        <v>230</v>
      </c>
      <c r="I31" s="110"/>
      <c r="J31" s="110"/>
      <c r="K31" s="44"/>
      <c r="L31" s="44"/>
      <c r="M31" s="44"/>
      <c r="N31" s="44"/>
      <c r="O31" s="44"/>
      <c r="P31" s="91" t="s">
        <v>70</v>
      </c>
      <c r="Q31" s="44" t="s">
        <v>29</v>
      </c>
      <c r="R31" s="44"/>
      <c r="S31" s="44"/>
      <c r="T31" s="93" t="s">
        <v>920</v>
      </c>
      <c r="U31" s="22"/>
      <c r="V31" s="38"/>
      <c r="W31" s="39">
        <f t="shared" si="0"/>
        <v>20</v>
      </c>
      <c r="X31" s="39"/>
      <c r="Y31" s="1"/>
      <c r="Z31" s="40"/>
      <c r="AA31" s="41"/>
      <c r="AB31" s="42"/>
    </row>
    <row r="32" spans="1:28" s="43" customFormat="1" ht="39.950000000000003" customHeight="1">
      <c r="A32" s="18">
        <v>44062</v>
      </c>
      <c r="B32" s="114" t="s">
        <v>59</v>
      </c>
      <c r="C32" s="115" t="s">
        <v>106</v>
      </c>
      <c r="D32" s="116" t="s">
        <v>107</v>
      </c>
      <c r="E32" s="117">
        <v>63</v>
      </c>
      <c r="F32" s="19" t="s">
        <v>69</v>
      </c>
      <c r="G32" s="22" t="s">
        <v>18</v>
      </c>
      <c r="H32" s="22">
        <v>220</v>
      </c>
      <c r="I32" s="110"/>
      <c r="J32" s="110"/>
      <c r="K32" s="44"/>
      <c r="L32" s="44"/>
      <c r="M32" s="44"/>
      <c r="N32" s="44"/>
      <c r="O32" s="44"/>
      <c r="P32" s="91" t="s">
        <v>70</v>
      </c>
      <c r="Q32" s="44" t="s">
        <v>29</v>
      </c>
      <c r="R32" s="44" t="s">
        <v>29</v>
      </c>
      <c r="S32" s="44"/>
      <c r="T32" s="93" t="s">
        <v>374</v>
      </c>
      <c r="U32" s="22"/>
      <c r="V32" s="38"/>
      <c r="W32" s="39">
        <f t="shared" si="0"/>
        <v>21</v>
      </c>
      <c r="X32" s="39"/>
      <c r="Y32" s="1"/>
      <c r="Z32" s="40"/>
      <c r="AA32" s="41"/>
      <c r="AB32" s="42"/>
    </row>
    <row r="33" spans="1:28" s="43" customFormat="1" ht="39.950000000000003" customHeight="1">
      <c r="A33" s="18">
        <v>44062</v>
      </c>
      <c r="B33" s="114" t="s">
        <v>60</v>
      </c>
      <c r="C33" s="115" t="s">
        <v>203</v>
      </c>
      <c r="D33" s="116" t="s">
        <v>204</v>
      </c>
      <c r="E33" s="117">
        <v>38</v>
      </c>
      <c r="F33" s="19" t="s">
        <v>69</v>
      </c>
      <c r="G33" s="22" t="s">
        <v>33</v>
      </c>
      <c r="H33" s="22">
        <v>100</v>
      </c>
      <c r="I33" s="110"/>
      <c r="J33" s="110"/>
      <c r="K33" s="44"/>
      <c r="L33" s="44"/>
      <c r="M33" s="44"/>
      <c r="N33" s="44"/>
      <c r="O33" s="44" t="s">
        <v>29</v>
      </c>
      <c r="P33" s="91" t="s">
        <v>70</v>
      </c>
      <c r="Q33" s="44"/>
      <c r="R33" s="44" t="s">
        <v>29</v>
      </c>
      <c r="S33" s="44" t="s">
        <v>29</v>
      </c>
      <c r="T33" s="93" t="s">
        <v>375</v>
      </c>
      <c r="U33" s="22"/>
      <c r="V33" s="38"/>
      <c r="W33" s="39">
        <f t="shared" si="0"/>
        <v>22</v>
      </c>
      <c r="X33" s="39"/>
      <c r="Y33" s="1"/>
      <c r="Z33" s="40"/>
      <c r="AA33" s="41"/>
      <c r="AB33" s="42"/>
    </row>
    <row r="34" spans="1:28" s="43" customFormat="1" ht="39.950000000000003" customHeight="1">
      <c r="A34" s="18">
        <v>44062</v>
      </c>
      <c r="B34" s="114" t="s">
        <v>61</v>
      </c>
      <c r="C34" s="115" t="s">
        <v>94</v>
      </c>
      <c r="D34" s="116" t="s">
        <v>95</v>
      </c>
      <c r="E34" s="117">
        <v>15</v>
      </c>
      <c r="F34" s="19" t="s">
        <v>69</v>
      </c>
      <c r="G34" s="22" t="s">
        <v>21</v>
      </c>
      <c r="H34" s="22">
        <v>120</v>
      </c>
      <c r="I34" s="110"/>
      <c r="J34" s="110"/>
      <c r="K34" s="44"/>
      <c r="L34" s="44"/>
      <c r="M34" s="44"/>
      <c r="N34" s="44"/>
      <c r="O34" s="44" t="s">
        <v>29</v>
      </c>
      <c r="P34" s="91" t="s">
        <v>70</v>
      </c>
      <c r="Q34" s="44"/>
      <c r="R34" s="44"/>
      <c r="S34" s="44"/>
      <c r="T34" s="19" t="s">
        <v>376</v>
      </c>
      <c r="U34" s="22"/>
      <c r="V34" s="38"/>
      <c r="W34" s="39">
        <f t="shared" si="0"/>
        <v>23</v>
      </c>
      <c r="X34" s="39"/>
      <c r="Y34" s="1"/>
      <c r="Z34" s="40"/>
      <c r="AA34" s="41"/>
      <c r="AB34" s="42"/>
    </row>
    <row r="35" spans="1:28" s="43" customFormat="1" ht="39.950000000000003" customHeight="1">
      <c r="A35" s="25">
        <v>44063</v>
      </c>
      <c r="B35" s="114" t="s">
        <v>54</v>
      </c>
      <c r="C35" s="115" t="s">
        <v>94</v>
      </c>
      <c r="D35" s="116" t="s">
        <v>95</v>
      </c>
      <c r="E35" s="117">
        <v>70</v>
      </c>
      <c r="F35" s="19" t="s">
        <v>69</v>
      </c>
      <c r="G35" s="22" t="s">
        <v>21</v>
      </c>
      <c r="H35" s="22">
        <v>120</v>
      </c>
      <c r="I35" s="110"/>
      <c r="J35" s="110"/>
      <c r="K35" s="44"/>
      <c r="L35" s="44"/>
      <c r="M35" s="44"/>
      <c r="N35" s="44"/>
      <c r="O35" s="44" t="s">
        <v>29</v>
      </c>
      <c r="P35" s="91" t="s">
        <v>70</v>
      </c>
      <c r="Q35" s="44"/>
      <c r="R35" s="44"/>
      <c r="S35" s="44"/>
      <c r="T35" s="93" t="s">
        <v>377</v>
      </c>
      <c r="U35" s="22"/>
      <c r="V35" s="38"/>
      <c r="W35" s="39">
        <f t="shared" si="0"/>
        <v>23</v>
      </c>
      <c r="X35" s="39"/>
      <c r="Y35" s="1"/>
      <c r="Z35" s="40"/>
      <c r="AA35" s="41"/>
      <c r="AB35" s="42"/>
    </row>
    <row r="36" spans="1:28" s="43" customFormat="1" ht="39.950000000000003" customHeight="1">
      <c r="A36" s="18">
        <v>44063</v>
      </c>
      <c r="B36" s="114" t="s">
        <v>55</v>
      </c>
      <c r="C36" s="115" t="s">
        <v>74</v>
      </c>
      <c r="D36" s="116" t="s">
        <v>78</v>
      </c>
      <c r="E36" s="117">
        <v>197</v>
      </c>
      <c r="F36" s="19" t="s">
        <v>69</v>
      </c>
      <c r="G36" s="22" t="s">
        <v>28</v>
      </c>
      <c r="H36" s="22">
        <v>230</v>
      </c>
      <c r="I36" s="110"/>
      <c r="J36" s="110"/>
      <c r="K36" s="44"/>
      <c r="L36" s="44"/>
      <c r="M36" s="44"/>
      <c r="N36" s="44"/>
      <c r="O36" s="44"/>
      <c r="P36" s="91" t="s">
        <v>70</v>
      </c>
      <c r="Q36" s="44" t="s">
        <v>29</v>
      </c>
      <c r="R36" s="44"/>
      <c r="S36" s="44"/>
      <c r="T36" s="120" t="s">
        <v>921</v>
      </c>
      <c r="U36" s="22"/>
      <c r="V36" s="38"/>
      <c r="W36" s="39">
        <f t="shared" si="0"/>
        <v>24</v>
      </c>
      <c r="X36" s="39"/>
      <c r="Y36" s="1"/>
      <c r="Z36" s="40"/>
      <c r="AA36" s="41"/>
      <c r="AB36" s="42"/>
    </row>
    <row r="37" spans="1:28" s="43" customFormat="1" ht="39.950000000000003" customHeight="1">
      <c r="A37" s="18">
        <v>44063</v>
      </c>
      <c r="B37" s="114" t="s">
        <v>56</v>
      </c>
      <c r="C37" s="115" t="s">
        <v>96</v>
      </c>
      <c r="D37" s="116" t="s">
        <v>97</v>
      </c>
      <c r="E37" s="117">
        <v>53</v>
      </c>
      <c r="F37" s="19" t="s">
        <v>69</v>
      </c>
      <c r="G37" s="22" t="s">
        <v>21</v>
      </c>
      <c r="H37" s="22">
        <v>120</v>
      </c>
      <c r="I37" s="110"/>
      <c r="J37" s="110"/>
      <c r="K37" s="44"/>
      <c r="L37" s="44"/>
      <c r="M37" s="44"/>
      <c r="N37" s="44"/>
      <c r="O37" s="44" t="s">
        <v>29</v>
      </c>
      <c r="P37" s="91" t="s">
        <v>70</v>
      </c>
      <c r="Q37" s="44"/>
      <c r="R37" s="44"/>
      <c r="S37" s="44"/>
      <c r="T37" s="121" t="s">
        <v>378</v>
      </c>
      <c r="U37" s="22"/>
      <c r="V37" s="38"/>
      <c r="W37" s="39">
        <f t="shared" si="0"/>
        <v>25</v>
      </c>
      <c r="X37" s="39"/>
      <c r="Y37" s="1"/>
      <c r="Z37" s="40"/>
      <c r="AA37" s="41"/>
      <c r="AB37" s="42"/>
    </row>
    <row r="38" spans="1:28" s="43" customFormat="1" ht="39.950000000000003" customHeight="1">
      <c r="A38" s="25">
        <v>44064</v>
      </c>
      <c r="B38" s="114" t="s">
        <v>54</v>
      </c>
      <c r="C38" s="115" t="s">
        <v>96</v>
      </c>
      <c r="D38" s="116" t="s">
        <v>97</v>
      </c>
      <c r="E38" s="117">
        <v>27</v>
      </c>
      <c r="F38" s="19" t="s">
        <v>69</v>
      </c>
      <c r="G38" s="22" t="s">
        <v>21</v>
      </c>
      <c r="H38" s="22">
        <v>120</v>
      </c>
      <c r="I38" s="110"/>
      <c r="J38" s="110"/>
      <c r="K38" s="44"/>
      <c r="L38" s="44"/>
      <c r="M38" s="44"/>
      <c r="N38" s="44"/>
      <c r="O38" s="44" t="s">
        <v>29</v>
      </c>
      <c r="P38" s="91" t="s">
        <v>70</v>
      </c>
      <c r="Q38" s="44"/>
      <c r="R38" s="44"/>
      <c r="S38" s="44"/>
      <c r="T38" s="27" t="s">
        <v>379</v>
      </c>
      <c r="U38" s="22"/>
      <c r="V38" s="38"/>
      <c r="W38" s="39">
        <f t="shared" si="0"/>
        <v>25</v>
      </c>
      <c r="X38" s="39"/>
      <c r="Y38" s="1"/>
      <c r="Z38" s="40"/>
      <c r="AA38" s="41"/>
      <c r="AB38" s="42"/>
    </row>
    <row r="39" spans="1:28" s="43" customFormat="1" ht="39.950000000000003" customHeight="1">
      <c r="A39" s="18">
        <v>44064</v>
      </c>
      <c r="B39" s="114" t="s">
        <v>55</v>
      </c>
      <c r="C39" s="115" t="s">
        <v>94</v>
      </c>
      <c r="D39" s="116" t="s">
        <v>95</v>
      </c>
      <c r="E39" s="117">
        <v>43</v>
      </c>
      <c r="F39" s="19" t="s">
        <v>69</v>
      </c>
      <c r="G39" s="22" t="s">
        <v>21</v>
      </c>
      <c r="H39" s="22">
        <v>120</v>
      </c>
      <c r="I39" s="110"/>
      <c r="J39" s="110"/>
      <c r="K39" s="44"/>
      <c r="L39" s="44"/>
      <c r="M39" s="44"/>
      <c r="N39" s="44"/>
      <c r="O39" s="44" t="s">
        <v>29</v>
      </c>
      <c r="P39" s="91" t="s">
        <v>70</v>
      </c>
      <c r="Q39" s="44"/>
      <c r="R39" s="44"/>
      <c r="S39" s="44"/>
      <c r="T39" s="121" t="s">
        <v>380</v>
      </c>
      <c r="U39" s="22"/>
      <c r="V39" s="38"/>
      <c r="W39" s="39">
        <f t="shared" si="0"/>
        <v>26</v>
      </c>
      <c r="X39" s="39"/>
      <c r="Y39" s="1"/>
      <c r="Z39" s="40"/>
      <c r="AA39" s="41"/>
      <c r="AB39" s="42"/>
    </row>
    <row r="40" spans="1:28" s="43" customFormat="1" ht="39.950000000000003" customHeight="1">
      <c r="A40" s="18">
        <v>44064</v>
      </c>
      <c r="B40" s="114" t="s">
        <v>56</v>
      </c>
      <c r="C40" s="115" t="s">
        <v>135</v>
      </c>
      <c r="D40" s="116" t="s">
        <v>136</v>
      </c>
      <c r="E40" s="117">
        <v>97</v>
      </c>
      <c r="F40" s="19" t="s">
        <v>69</v>
      </c>
      <c r="G40" s="22" t="s">
        <v>19</v>
      </c>
      <c r="H40" s="22">
        <v>220</v>
      </c>
      <c r="I40" s="110"/>
      <c r="J40" s="110"/>
      <c r="K40" s="44"/>
      <c r="L40" s="44"/>
      <c r="M40" s="44" t="s">
        <v>29</v>
      </c>
      <c r="N40" s="44"/>
      <c r="O40" s="44"/>
      <c r="P40" s="91" t="s">
        <v>70</v>
      </c>
      <c r="Q40" s="44"/>
      <c r="R40" s="44" t="s">
        <v>29</v>
      </c>
      <c r="S40" s="44"/>
      <c r="T40" s="121" t="s">
        <v>381</v>
      </c>
      <c r="U40" s="22"/>
      <c r="V40" s="38"/>
      <c r="W40" s="39">
        <f t="shared" si="0"/>
        <v>27</v>
      </c>
      <c r="X40" s="39"/>
      <c r="Y40" s="1"/>
      <c r="Z40" s="40"/>
      <c r="AA40" s="41"/>
      <c r="AB40" s="42"/>
    </row>
    <row r="41" spans="1:28" s="43" customFormat="1" ht="39.950000000000003" customHeight="1">
      <c r="A41" s="18">
        <v>44064</v>
      </c>
      <c r="B41" s="114" t="s">
        <v>57</v>
      </c>
      <c r="C41" s="115" t="s">
        <v>74</v>
      </c>
      <c r="D41" s="116" t="s">
        <v>78</v>
      </c>
      <c r="E41" s="117">
        <v>100</v>
      </c>
      <c r="F41" s="19" t="s">
        <v>69</v>
      </c>
      <c r="G41" s="22" t="s">
        <v>28</v>
      </c>
      <c r="H41" s="22">
        <v>230</v>
      </c>
      <c r="I41" s="110"/>
      <c r="J41" s="110"/>
      <c r="K41" s="44"/>
      <c r="L41" s="44"/>
      <c r="M41" s="44"/>
      <c r="N41" s="44"/>
      <c r="O41" s="44"/>
      <c r="P41" s="91" t="s">
        <v>70</v>
      </c>
      <c r="Q41" s="44" t="s">
        <v>29</v>
      </c>
      <c r="R41" s="44"/>
      <c r="S41" s="44"/>
      <c r="T41" s="121" t="s">
        <v>922</v>
      </c>
      <c r="U41" s="22"/>
      <c r="V41" s="38"/>
      <c r="W41" s="39">
        <f t="shared" si="0"/>
        <v>28</v>
      </c>
      <c r="X41" s="39"/>
      <c r="Y41" s="1"/>
      <c r="Z41" s="40"/>
      <c r="AA41" s="41"/>
      <c r="AB41" s="42"/>
    </row>
    <row r="42" spans="1:28" s="43" customFormat="1" ht="39.950000000000003" customHeight="1">
      <c r="A42" s="18">
        <v>44064</v>
      </c>
      <c r="B42" s="114" t="s">
        <v>58</v>
      </c>
      <c r="C42" s="115" t="s">
        <v>96</v>
      </c>
      <c r="D42" s="116" t="s">
        <v>97</v>
      </c>
      <c r="E42" s="117">
        <v>53</v>
      </c>
      <c r="F42" s="19" t="s">
        <v>69</v>
      </c>
      <c r="G42" s="22" t="s">
        <v>21</v>
      </c>
      <c r="H42" s="22">
        <v>120</v>
      </c>
      <c r="I42" s="110"/>
      <c r="J42" s="110"/>
      <c r="K42" s="44"/>
      <c r="L42" s="44"/>
      <c r="M42" s="44"/>
      <c r="N42" s="44"/>
      <c r="O42" s="44" t="s">
        <v>29</v>
      </c>
      <c r="P42" s="91" t="s">
        <v>70</v>
      </c>
      <c r="Q42" s="44"/>
      <c r="R42" s="44"/>
      <c r="S42" s="44"/>
      <c r="T42" s="27" t="s">
        <v>382</v>
      </c>
      <c r="U42" s="22"/>
      <c r="V42" s="38"/>
      <c r="W42" s="39">
        <f t="shared" si="0"/>
        <v>29</v>
      </c>
      <c r="X42" s="39"/>
      <c r="Y42" s="1"/>
      <c r="Z42" s="40"/>
      <c r="AA42" s="41"/>
      <c r="AB42" s="42"/>
    </row>
    <row r="43" spans="1:28" s="43" customFormat="1" ht="39.950000000000003" customHeight="1">
      <c r="A43" s="25">
        <v>44065</v>
      </c>
      <c r="B43" s="114" t="s">
        <v>54</v>
      </c>
      <c r="C43" s="115" t="s">
        <v>94</v>
      </c>
      <c r="D43" s="116" t="s">
        <v>95</v>
      </c>
      <c r="E43" s="117">
        <v>70</v>
      </c>
      <c r="F43" s="19" t="s">
        <v>69</v>
      </c>
      <c r="G43" s="22" t="s">
        <v>21</v>
      </c>
      <c r="H43" s="22">
        <v>120</v>
      </c>
      <c r="I43" s="110"/>
      <c r="J43" s="110"/>
      <c r="K43" s="44"/>
      <c r="L43" s="44"/>
      <c r="M43" s="44"/>
      <c r="N43" s="44"/>
      <c r="O43" s="44" t="s">
        <v>29</v>
      </c>
      <c r="P43" s="91" t="s">
        <v>70</v>
      </c>
      <c r="Q43" s="44"/>
      <c r="R43" s="44"/>
      <c r="S43" s="44"/>
      <c r="T43" s="27" t="s">
        <v>383</v>
      </c>
      <c r="U43" s="22"/>
      <c r="V43" s="38"/>
      <c r="W43" s="39">
        <f t="shared" si="0"/>
        <v>30</v>
      </c>
      <c r="X43" s="39"/>
      <c r="Y43" s="1"/>
      <c r="Z43" s="40"/>
      <c r="AA43" s="41"/>
      <c r="AB43" s="42"/>
    </row>
    <row r="44" spans="1:28" s="43" customFormat="1" ht="39.950000000000003" customHeight="1">
      <c r="A44" s="18">
        <v>44065</v>
      </c>
      <c r="B44" s="114" t="s">
        <v>55</v>
      </c>
      <c r="C44" s="115" t="s">
        <v>74</v>
      </c>
      <c r="D44" s="116" t="s">
        <v>78</v>
      </c>
      <c r="E44" s="117">
        <v>137</v>
      </c>
      <c r="F44" s="19" t="s">
        <v>69</v>
      </c>
      <c r="G44" s="22" t="s">
        <v>28</v>
      </c>
      <c r="H44" s="22">
        <v>230</v>
      </c>
      <c r="I44" s="110"/>
      <c r="J44" s="110"/>
      <c r="K44" s="44"/>
      <c r="L44" s="44"/>
      <c r="M44" s="44"/>
      <c r="N44" s="44"/>
      <c r="O44" s="44"/>
      <c r="P44" s="91" t="s">
        <v>70</v>
      </c>
      <c r="Q44" s="44" t="s">
        <v>29</v>
      </c>
      <c r="R44" s="44"/>
      <c r="S44" s="44"/>
      <c r="T44" s="121" t="s">
        <v>923</v>
      </c>
      <c r="U44" s="22"/>
      <c r="V44" s="38"/>
      <c r="W44" s="39">
        <f t="shared" si="0"/>
        <v>31</v>
      </c>
      <c r="X44" s="39"/>
      <c r="Y44" s="1"/>
      <c r="Z44" s="40"/>
      <c r="AA44" s="41"/>
      <c r="AB44" s="42"/>
    </row>
    <row r="45" spans="1:28" s="43" customFormat="1" ht="39.950000000000003" customHeight="1">
      <c r="A45" s="28">
        <v>44065</v>
      </c>
      <c r="B45" s="114" t="s">
        <v>56</v>
      </c>
      <c r="C45" s="115" t="s">
        <v>146</v>
      </c>
      <c r="D45" s="116" t="s">
        <v>147</v>
      </c>
      <c r="E45" s="117">
        <v>53</v>
      </c>
      <c r="F45" s="22" t="s">
        <v>69</v>
      </c>
      <c r="G45" s="22" t="s">
        <v>148</v>
      </c>
      <c r="H45" s="22">
        <v>230</v>
      </c>
      <c r="I45" s="44"/>
      <c r="J45" s="44"/>
      <c r="K45" s="44"/>
      <c r="L45" s="44"/>
      <c r="M45" s="44"/>
      <c r="N45" s="44"/>
      <c r="O45" s="44" t="s">
        <v>29</v>
      </c>
      <c r="P45" s="91" t="s">
        <v>70</v>
      </c>
      <c r="Q45" s="44"/>
      <c r="R45" s="44" t="s">
        <v>29</v>
      </c>
      <c r="S45" s="44"/>
      <c r="T45" s="121" t="s">
        <v>500</v>
      </c>
      <c r="U45" s="22"/>
      <c r="V45" s="38"/>
      <c r="W45" s="39">
        <f t="shared" si="0"/>
        <v>32</v>
      </c>
      <c r="X45" s="39"/>
      <c r="Y45" s="1"/>
      <c r="Z45" s="40"/>
      <c r="AA45" s="41"/>
      <c r="AB45" s="42"/>
    </row>
    <row r="46" spans="1:28" s="43" customFormat="1" ht="39.950000000000003" customHeight="1">
      <c r="A46" s="26">
        <v>44067</v>
      </c>
      <c r="B46" s="114" t="s">
        <v>54</v>
      </c>
      <c r="C46" s="115" t="s">
        <v>146</v>
      </c>
      <c r="D46" s="116" t="s">
        <v>147</v>
      </c>
      <c r="E46" s="117">
        <v>61</v>
      </c>
      <c r="F46" s="22" t="s">
        <v>69</v>
      </c>
      <c r="G46" s="22" t="s">
        <v>148</v>
      </c>
      <c r="H46" s="22">
        <v>230</v>
      </c>
      <c r="I46" s="44"/>
      <c r="J46" s="44"/>
      <c r="K46" s="44"/>
      <c r="L46" s="44"/>
      <c r="M46" s="44"/>
      <c r="N46" s="44"/>
      <c r="O46" s="44" t="s">
        <v>29</v>
      </c>
      <c r="P46" s="91" t="s">
        <v>70</v>
      </c>
      <c r="Q46" s="44"/>
      <c r="R46" s="44" t="s">
        <v>29</v>
      </c>
      <c r="S46" s="44"/>
      <c r="T46" s="27" t="s">
        <v>501</v>
      </c>
      <c r="U46" s="22"/>
      <c r="V46" s="38"/>
      <c r="W46" s="39">
        <f t="shared" si="0"/>
        <v>32</v>
      </c>
      <c r="X46" s="39"/>
      <c r="Y46" s="1"/>
      <c r="Z46" s="40"/>
      <c r="AA46" s="41"/>
      <c r="AB46" s="42"/>
    </row>
    <row r="47" spans="1:28" s="43" customFormat="1" ht="39.950000000000003" customHeight="1">
      <c r="A47" s="28">
        <v>44067</v>
      </c>
      <c r="B47" s="114" t="s">
        <v>55</v>
      </c>
      <c r="C47" s="115" t="s">
        <v>195</v>
      </c>
      <c r="D47" s="116" t="s">
        <v>196</v>
      </c>
      <c r="E47" s="117">
        <v>57</v>
      </c>
      <c r="F47" s="22" t="s">
        <v>69</v>
      </c>
      <c r="G47" s="22" t="s">
        <v>148</v>
      </c>
      <c r="H47" s="22">
        <v>230</v>
      </c>
      <c r="I47" s="44"/>
      <c r="J47" s="44"/>
      <c r="K47" s="44"/>
      <c r="L47" s="44"/>
      <c r="M47" s="44"/>
      <c r="N47" s="44"/>
      <c r="O47" s="44" t="s">
        <v>29</v>
      </c>
      <c r="P47" s="91" t="s">
        <v>70</v>
      </c>
      <c r="Q47" s="44"/>
      <c r="R47" s="44" t="s">
        <v>29</v>
      </c>
      <c r="S47" s="44"/>
      <c r="T47" s="121" t="s">
        <v>502</v>
      </c>
      <c r="U47" s="22"/>
      <c r="V47" s="38"/>
      <c r="W47" s="39">
        <f t="shared" si="0"/>
        <v>33</v>
      </c>
      <c r="X47" s="39"/>
      <c r="Y47" s="1"/>
      <c r="Z47" s="40"/>
      <c r="AA47" s="41"/>
      <c r="AB47" s="42"/>
    </row>
    <row r="48" spans="1:28" s="43" customFormat="1" ht="39.950000000000003" customHeight="1">
      <c r="A48" s="28">
        <v>44067</v>
      </c>
      <c r="B48" s="114" t="s">
        <v>56</v>
      </c>
      <c r="C48" s="115" t="s">
        <v>114</v>
      </c>
      <c r="D48" s="116" t="s">
        <v>115</v>
      </c>
      <c r="E48" s="117">
        <v>30</v>
      </c>
      <c r="F48" s="22" t="s">
        <v>69</v>
      </c>
      <c r="G48" s="22" t="s">
        <v>33</v>
      </c>
      <c r="H48" s="22">
        <v>100</v>
      </c>
      <c r="I48" s="44"/>
      <c r="J48" s="44"/>
      <c r="K48" s="44"/>
      <c r="L48" s="44"/>
      <c r="M48" s="44" t="s">
        <v>29</v>
      </c>
      <c r="N48" s="44"/>
      <c r="O48" s="44"/>
      <c r="P48" s="91" t="s">
        <v>70</v>
      </c>
      <c r="Q48" s="44"/>
      <c r="R48" s="44" t="s">
        <v>29</v>
      </c>
      <c r="S48" s="44" t="s">
        <v>29</v>
      </c>
      <c r="T48" s="121" t="s">
        <v>503</v>
      </c>
      <c r="U48" s="22"/>
      <c r="V48" s="38"/>
      <c r="W48" s="39">
        <f t="shared" si="0"/>
        <v>34</v>
      </c>
      <c r="X48" s="39"/>
      <c r="Y48" s="1"/>
      <c r="Z48" s="40"/>
      <c r="AA48" s="41"/>
      <c r="AB48" s="42"/>
    </row>
    <row r="49" spans="1:28" s="43" customFormat="1" ht="39.950000000000003" customHeight="1">
      <c r="A49" s="28">
        <v>44067</v>
      </c>
      <c r="B49" s="114" t="s">
        <v>57</v>
      </c>
      <c r="C49" s="115" t="s">
        <v>71</v>
      </c>
      <c r="D49" s="116" t="s">
        <v>75</v>
      </c>
      <c r="E49" s="117">
        <v>55</v>
      </c>
      <c r="F49" s="22" t="s">
        <v>69</v>
      </c>
      <c r="G49" s="22" t="s">
        <v>28</v>
      </c>
      <c r="H49" s="22">
        <v>230</v>
      </c>
      <c r="I49" s="44"/>
      <c r="J49" s="44"/>
      <c r="K49" s="44"/>
      <c r="L49" s="44"/>
      <c r="M49" s="44"/>
      <c r="N49" s="44"/>
      <c r="O49" s="44"/>
      <c r="P49" s="91" t="s">
        <v>70</v>
      </c>
      <c r="Q49" s="44" t="s">
        <v>29</v>
      </c>
      <c r="R49" s="44"/>
      <c r="S49" s="44"/>
      <c r="T49" s="121" t="s">
        <v>504</v>
      </c>
      <c r="U49" s="22"/>
      <c r="V49" s="38"/>
      <c r="W49" s="39">
        <f t="shared" si="0"/>
        <v>35</v>
      </c>
      <c r="X49" s="39"/>
      <c r="Y49" s="1"/>
      <c r="Z49" s="40"/>
      <c r="AA49" s="41"/>
      <c r="AB49" s="42"/>
    </row>
    <row r="50" spans="1:28" s="43" customFormat="1" ht="39.950000000000003" customHeight="1">
      <c r="A50" s="28">
        <v>44067</v>
      </c>
      <c r="B50" s="114" t="s">
        <v>58</v>
      </c>
      <c r="C50" s="115" t="s">
        <v>96</v>
      </c>
      <c r="D50" s="116" t="s">
        <v>97</v>
      </c>
      <c r="E50" s="117">
        <v>53</v>
      </c>
      <c r="F50" s="22" t="s">
        <v>69</v>
      </c>
      <c r="G50" s="22" t="s">
        <v>21</v>
      </c>
      <c r="H50" s="22">
        <v>120</v>
      </c>
      <c r="I50" s="44"/>
      <c r="J50" s="44"/>
      <c r="K50" s="44"/>
      <c r="L50" s="44"/>
      <c r="M50" s="44"/>
      <c r="N50" s="44"/>
      <c r="O50" s="44" t="s">
        <v>29</v>
      </c>
      <c r="P50" s="91" t="s">
        <v>70</v>
      </c>
      <c r="Q50" s="44"/>
      <c r="R50" s="44"/>
      <c r="S50" s="44"/>
      <c r="T50" s="121" t="s">
        <v>505</v>
      </c>
      <c r="U50" s="22"/>
      <c r="V50" s="38"/>
      <c r="W50" s="39">
        <f t="shared" si="0"/>
        <v>36</v>
      </c>
      <c r="X50" s="39"/>
      <c r="Y50" s="1"/>
      <c r="Z50" s="40"/>
      <c r="AA50" s="41"/>
      <c r="AB50" s="42"/>
    </row>
    <row r="51" spans="1:28" s="43" customFormat="1" ht="39.950000000000003" customHeight="1">
      <c r="A51" s="26">
        <v>44068</v>
      </c>
      <c r="B51" s="114" t="s">
        <v>54</v>
      </c>
      <c r="C51" s="115" t="s">
        <v>96</v>
      </c>
      <c r="D51" s="116" t="s">
        <v>97</v>
      </c>
      <c r="E51" s="117">
        <v>12</v>
      </c>
      <c r="F51" s="22" t="s">
        <v>69</v>
      </c>
      <c r="G51" s="22" t="s">
        <v>21</v>
      </c>
      <c r="H51" s="22">
        <v>120</v>
      </c>
      <c r="I51" s="44"/>
      <c r="J51" s="44"/>
      <c r="K51" s="44"/>
      <c r="L51" s="44"/>
      <c r="M51" s="44"/>
      <c r="N51" s="44"/>
      <c r="O51" s="44" t="s">
        <v>29</v>
      </c>
      <c r="P51" s="91" t="s">
        <v>70</v>
      </c>
      <c r="Q51" s="44"/>
      <c r="R51" s="44"/>
      <c r="S51" s="44"/>
      <c r="T51" s="121" t="s">
        <v>506</v>
      </c>
      <c r="U51" s="22"/>
      <c r="V51" s="98"/>
      <c r="W51" s="39">
        <f t="shared" si="0"/>
        <v>36</v>
      </c>
      <c r="X51" s="39"/>
      <c r="Y51" s="1"/>
      <c r="Z51" s="40"/>
      <c r="AA51" s="41"/>
      <c r="AB51" s="42"/>
    </row>
    <row r="52" spans="1:28" s="43" customFormat="1" ht="39.950000000000003" customHeight="1">
      <c r="A52" s="28">
        <v>44068</v>
      </c>
      <c r="B52" s="114" t="s">
        <v>55</v>
      </c>
      <c r="C52" s="115" t="s">
        <v>146</v>
      </c>
      <c r="D52" s="116" t="s">
        <v>147</v>
      </c>
      <c r="E52" s="117">
        <v>19</v>
      </c>
      <c r="F52" s="22" t="s">
        <v>69</v>
      </c>
      <c r="G52" s="22" t="s">
        <v>148</v>
      </c>
      <c r="H52" s="22">
        <v>230</v>
      </c>
      <c r="I52" s="44"/>
      <c r="J52" s="44"/>
      <c r="K52" s="44"/>
      <c r="L52" s="44"/>
      <c r="M52" s="44"/>
      <c r="N52" s="44"/>
      <c r="O52" s="44" t="s">
        <v>29</v>
      </c>
      <c r="P52" s="91" t="s">
        <v>70</v>
      </c>
      <c r="Q52" s="44"/>
      <c r="R52" s="44" t="s">
        <v>29</v>
      </c>
      <c r="S52" s="44"/>
      <c r="T52" s="27" t="s">
        <v>507</v>
      </c>
      <c r="U52" s="22"/>
      <c r="V52" s="98"/>
      <c r="W52" s="39">
        <f t="shared" si="0"/>
        <v>37</v>
      </c>
      <c r="X52" s="39"/>
      <c r="Y52" s="1"/>
      <c r="Z52" s="40"/>
      <c r="AA52" s="41"/>
      <c r="AB52" s="42"/>
    </row>
    <row r="53" spans="1:28" s="43" customFormat="1" ht="39.950000000000003" customHeight="1">
      <c r="A53" s="28">
        <v>44068</v>
      </c>
      <c r="B53" s="114" t="s">
        <v>56</v>
      </c>
      <c r="C53" s="115" t="s">
        <v>195</v>
      </c>
      <c r="D53" s="116" t="s">
        <v>196</v>
      </c>
      <c r="E53" s="117">
        <v>87</v>
      </c>
      <c r="F53" s="22" t="s">
        <v>69</v>
      </c>
      <c r="G53" s="22" t="s">
        <v>148</v>
      </c>
      <c r="H53" s="22">
        <v>230</v>
      </c>
      <c r="I53" s="44"/>
      <c r="J53" s="44"/>
      <c r="K53" s="44"/>
      <c r="L53" s="44"/>
      <c r="M53" s="44"/>
      <c r="N53" s="44"/>
      <c r="O53" s="44" t="s">
        <v>29</v>
      </c>
      <c r="P53" s="91" t="s">
        <v>70</v>
      </c>
      <c r="Q53" s="44"/>
      <c r="R53" s="44" t="s">
        <v>29</v>
      </c>
      <c r="S53" s="44"/>
      <c r="T53" s="121" t="s">
        <v>508</v>
      </c>
      <c r="U53" s="22"/>
      <c r="V53" s="98"/>
      <c r="W53" s="39">
        <f t="shared" si="0"/>
        <v>38</v>
      </c>
      <c r="X53" s="39"/>
      <c r="Y53" s="1"/>
      <c r="Z53" s="40"/>
      <c r="AA53" s="41"/>
      <c r="AB53" s="42"/>
    </row>
    <row r="54" spans="1:28" s="43" customFormat="1" ht="39.950000000000003" customHeight="1">
      <c r="A54" s="28">
        <v>44068</v>
      </c>
      <c r="B54" s="114" t="s">
        <v>57</v>
      </c>
      <c r="C54" s="115" t="s">
        <v>114</v>
      </c>
      <c r="D54" s="116" t="s">
        <v>115</v>
      </c>
      <c r="E54" s="117">
        <v>30</v>
      </c>
      <c r="F54" s="22" t="s">
        <v>69</v>
      </c>
      <c r="G54" s="22" t="s">
        <v>33</v>
      </c>
      <c r="H54" s="22">
        <v>100</v>
      </c>
      <c r="I54" s="44"/>
      <c r="J54" s="44"/>
      <c r="K54" s="44"/>
      <c r="L54" s="44"/>
      <c r="M54" s="44" t="s">
        <v>29</v>
      </c>
      <c r="N54" s="44"/>
      <c r="O54" s="44"/>
      <c r="P54" s="91" t="s">
        <v>70</v>
      </c>
      <c r="Q54" s="44"/>
      <c r="R54" s="44" t="s">
        <v>29</v>
      </c>
      <c r="S54" s="44" t="s">
        <v>29</v>
      </c>
      <c r="T54" s="27" t="s">
        <v>509</v>
      </c>
      <c r="U54" s="22"/>
      <c r="V54" s="98"/>
      <c r="W54" s="39">
        <f t="shared" si="0"/>
        <v>39</v>
      </c>
      <c r="X54" s="39"/>
      <c r="Y54" s="1"/>
      <c r="Z54" s="40"/>
      <c r="AA54" s="41"/>
      <c r="AB54" s="42"/>
    </row>
    <row r="55" spans="1:28" s="43" customFormat="1" ht="39.950000000000003" customHeight="1">
      <c r="A55" s="28">
        <v>44068</v>
      </c>
      <c r="B55" s="114" t="s">
        <v>58</v>
      </c>
      <c r="C55" s="115" t="s">
        <v>71</v>
      </c>
      <c r="D55" s="116" t="s">
        <v>75</v>
      </c>
      <c r="E55" s="117">
        <v>135</v>
      </c>
      <c r="F55" s="22" t="s">
        <v>69</v>
      </c>
      <c r="G55" s="22" t="s">
        <v>28</v>
      </c>
      <c r="H55" s="22">
        <v>230</v>
      </c>
      <c r="I55" s="44"/>
      <c r="J55" s="44"/>
      <c r="K55" s="44"/>
      <c r="L55" s="44"/>
      <c r="M55" s="44"/>
      <c r="N55" s="44"/>
      <c r="O55" s="44"/>
      <c r="P55" s="91" t="s">
        <v>70</v>
      </c>
      <c r="Q55" s="44" t="s">
        <v>29</v>
      </c>
      <c r="R55" s="44"/>
      <c r="S55" s="44"/>
      <c r="T55" s="27" t="s">
        <v>510</v>
      </c>
      <c r="U55" s="22"/>
      <c r="V55" s="98"/>
      <c r="W55" s="39">
        <f t="shared" si="0"/>
        <v>40</v>
      </c>
      <c r="X55" s="39"/>
      <c r="Y55" s="1"/>
      <c r="Z55" s="40"/>
      <c r="AA55" s="41"/>
      <c r="AB55" s="42"/>
    </row>
    <row r="56" spans="1:28" s="43" customFormat="1" ht="39.950000000000003" customHeight="1">
      <c r="A56" s="28">
        <v>44068</v>
      </c>
      <c r="B56" s="114" t="s">
        <v>59</v>
      </c>
      <c r="C56" s="115" t="s">
        <v>96</v>
      </c>
      <c r="D56" s="116" t="s">
        <v>97</v>
      </c>
      <c r="E56" s="117">
        <v>53</v>
      </c>
      <c r="F56" s="22" t="s">
        <v>69</v>
      </c>
      <c r="G56" s="22" t="s">
        <v>21</v>
      </c>
      <c r="H56" s="22">
        <v>120</v>
      </c>
      <c r="I56" s="44"/>
      <c r="J56" s="44"/>
      <c r="K56" s="44"/>
      <c r="L56" s="44"/>
      <c r="M56" s="44"/>
      <c r="N56" s="44"/>
      <c r="O56" s="44" t="s">
        <v>29</v>
      </c>
      <c r="P56" s="91" t="s">
        <v>70</v>
      </c>
      <c r="Q56" s="44"/>
      <c r="R56" s="44"/>
      <c r="S56" s="44"/>
      <c r="T56" s="27" t="s">
        <v>511</v>
      </c>
      <c r="U56" s="22"/>
      <c r="V56" s="98"/>
      <c r="W56" s="39">
        <f t="shared" si="0"/>
        <v>41</v>
      </c>
      <c r="X56" s="39"/>
      <c r="Y56" s="1"/>
      <c r="Z56" s="40"/>
      <c r="AA56" s="41"/>
      <c r="AB56" s="42"/>
    </row>
    <row r="57" spans="1:28" s="43" customFormat="1" ht="39.950000000000003" customHeight="1">
      <c r="A57" s="26">
        <v>44069</v>
      </c>
      <c r="B57" s="114" t="s">
        <v>54</v>
      </c>
      <c r="C57" s="115" t="s">
        <v>96</v>
      </c>
      <c r="D57" s="116" t="s">
        <v>97</v>
      </c>
      <c r="E57" s="117">
        <v>10</v>
      </c>
      <c r="F57" s="22" t="s">
        <v>69</v>
      </c>
      <c r="G57" s="22" t="s">
        <v>21</v>
      </c>
      <c r="H57" s="22">
        <v>120</v>
      </c>
      <c r="I57" s="44"/>
      <c r="J57" s="44"/>
      <c r="K57" s="44"/>
      <c r="L57" s="44"/>
      <c r="M57" s="44"/>
      <c r="N57" s="44"/>
      <c r="O57" s="44" t="s">
        <v>29</v>
      </c>
      <c r="P57" s="91" t="s">
        <v>70</v>
      </c>
      <c r="Q57" s="44"/>
      <c r="R57" s="44"/>
      <c r="S57" s="44"/>
      <c r="T57" s="121" t="s">
        <v>512</v>
      </c>
      <c r="U57" s="22"/>
      <c r="V57" s="98"/>
      <c r="W57" s="39">
        <f t="shared" si="0"/>
        <v>41</v>
      </c>
      <c r="X57" s="39"/>
      <c r="Y57" s="1"/>
      <c r="Z57" s="40"/>
      <c r="AA57" s="41"/>
      <c r="AB57" s="42"/>
    </row>
    <row r="58" spans="1:28" s="43" customFormat="1" ht="39.950000000000003" customHeight="1">
      <c r="A58" s="28">
        <v>44069</v>
      </c>
      <c r="B58" s="114" t="s">
        <v>55</v>
      </c>
      <c r="C58" s="115" t="s">
        <v>203</v>
      </c>
      <c r="D58" s="116" t="s">
        <v>204</v>
      </c>
      <c r="E58" s="117">
        <v>60</v>
      </c>
      <c r="F58" s="22" t="s">
        <v>69</v>
      </c>
      <c r="G58" s="22" t="s">
        <v>33</v>
      </c>
      <c r="H58" s="22">
        <v>100</v>
      </c>
      <c r="I58" s="44"/>
      <c r="J58" s="44"/>
      <c r="K58" s="44"/>
      <c r="L58" s="44"/>
      <c r="M58" s="44"/>
      <c r="N58" s="44"/>
      <c r="O58" s="44" t="s">
        <v>29</v>
      </c>
      <c r="P58" s="91" t="s">
        <v>70</v>
      </c>
      <c r="Q58" s="44"/>
      <c r="R58" s="44" t="s">
        <v>29</v>
      </c>
      <c r="S58" s="44" t="s">
        <v>29</v>
      </c>
      <c r="T58" s="121" t="s">
        <v>513</v>
      </c>
      <c r="U58" s="22"/>
      <c r="V58" s="98"/>
      <c r="W58" s="39">
        <f t="shared" si="0"/>
        <v>42</v>
      </c>
      <c r="X58" s="39"/>
      <c r="Y58" s="1"/>
      <c r="Z58" s="40"/>
      <c r="AA58" s="41"/>
      <c r="AB58" s="42"/>
    </row>
    <row r="59" spans="1:28" s="43" customFormat="1" ht="39.950000000000003" customHeight="1">
      <c r="A59" s="28">
        <v>44069</v>
      </c>
      <c r="B59" s="114" t="s">
        <v>56</v>
      </c>
      <c r="C59" s="115" t="s">
        <v>94</v>
      </c>
      <c r="D59" s="116" t="s">
        <v>95</v>
      </c>
      <c r="E59" s="117">
        <v>48</v>
      </c>
      <c r="F59" s="22" t="s">
        <v>69</v>
      </c>
      <c r="G59" s="22" t="s">
        <v>21</v>
      </c>
      <c r="H59" s="22">
        <v>120</v>
      </c>
      <c r="I59" s="44"/>
      <c r="J59" s="44"/>
      <c r="K59" s="44"/>
      <c r="L59" s="44"/>
      <c r="M59" s="44"/>
      <c r="N59" s="44"/>
      <c r="O59" s="44" t="s">
        <v>29</v>
      </c>
      <c r="P59" s="91" t="s">
        <v>70</v>
      </c>
      <c r="Q59" s="44"/>
      <c r="R59" s="44"/>
      <c r="S59" s="44"/>
      <c r="T59" s="27" t="s">
        <v>514</v>
      </c>
      <c r="U59" s="22"/>
      <c r="V59" s="98"/>
      <c r="W59" s="39">
        <f t="shared" si="0"/>
        <v>43</v>
      </c>
      <c r="X59" s="39"/>
      <c r="Y59" s="1"/>
      <c r="Z59" s="40"/>
      <c r="AA59" s="41"/>
      <c r="AB59" s="42"/>
    </row>
    <row r="60" spans="1:28" s="43" customFormat="1" ht="39.950000000000003" customHeight="1">
      <c r="A60" s="28">
        <v>44069</v>
      </c>
      <c r="B60" s="114" t="s">
        <v>57</v>
      </c>
      <c r="C60" s="115" t="s">
        <v>114</v>
      </c>
      <c r="D60" s="116" t="s">
        <v>115</v>
      </c>
      <c r="E60" s="117">
        <v>30</v>
      </c>
      <c r="F60" s="22" t="s">
        <v>69</v>
      </c>
      <c r="G60" s="22" t="s">
        <v>33</v>
      </c>
      <c r="H60" s="22">
        <v>100</v>
      </c>
      <c r="I60" s="44"/>
      <c r="J60" s="44"/>
      <c r="K60" s="44"/>
      <c r="L60" s="44"/>
      <c r="M60" s="44" t="s">
        <v>29</v>
      </c>
      <c r="N60" s="44"/>
      <c r="O60" s="44"/>
      <c r="P60" s="91" t="s">
        <v>70</v>
      </c>
      <c r="Q60" s="44"/>
      <c r="R60" s="44" t="s">
        <v>29</v>
      </c>
      <c r="S60" s="44" t="s">
        <v>29</v>
      </c>
      <c r="T60" s="27" t="s">
        <v>515</v>
      </c>
      <c r="U60" s="22"/>
      <c r="V60" s="98"/>
      <c r="W60" s="39">
        <f t="shared" si="0"/>
        <v>44</v>
      </c>
      <c r="X60" s="39"/>
      <c r="Y60" s="1"/>
      <c r="Z60" s="40"/>
      <c r="AA60" s="41"/>
      <c r="AB60" s="42"/>
    </row>
    <row r="61" spans="1:28" s="43" customFormat="1" ht="39.950000000000003" customHeight="1">
      <c r="A61" s="28">
        <v>44069</v>
      </c>
      <c r="B61" s="114" t="s">
        <v>58</v>
      </c>
      <c r="C61" s="115" t="s">
        <v>71</v>
      </c>
      <c r="D61" s="116" t="s">
        <v>75</v>
      </c>
      <c r="E61" s="117">
        <v>134</v>
      </c>
      <c r="F61" s="22" t="s">
        <v>69</v>
      </c>
      <c r="G61" s="22" t="s">
        <v>28</v>
      </c>
      <c r="H61" s="22">
        <v>230</v>
      </c>
      <c r="I61" s="44"/>
      <c r="J61" s="44"/>
      <c r="K61" s="44"/>
      <c r="L61" s="44"/>
      <c r="M61" s="44"/>
      <c r="N61" s="44"/>
      <c r="O61" s="44"/>
      <c r="P61" s="91" t="s">
        <v>70</v>
      </c>
      <c r="Q61" s="44" t="s">
        <v>29</v>
      </c>
      <c r="R61" s="44"/>
      <c r="S61" s="44"/>
      <c r="T61" s="27" t="s">
        <v>516</v>
      </c>
      <c r="U61" s="22"/>
      <c r="V61" s="98"/>
      <c r="W61" s="39">
        <f t="shared" si="0"/>
        <v>45</v>
      </c>
      <c r="X61" s="39"/>
      <c r="Y61" s="1"/>
      <c r="Z61" s="40"/>
      <c r="AA61" s="41"/>
      <c r="AB61" s="42"/>
    </row>
    <row r="62" spans="1:28" s="43" customFormat="1" ht="39.950000000000003" customHeight="1">
      <c r="A62" s="28">
        <v>44069</v>
      </c>
      <c r="B62" s="114" t="s">
        <v>59</v>
      </c>
      <c r="C62" s="115" t="s">
        <v>366</v>
      </c>
      <c r="D62" s="116" t="s">
        <v>367</v>
      </c>
      <c r="E62" s="117">
        <v>1</v>
      </c>
      <c r="F62" s="22" t="s">
        <v>69</v>
      </c>
      <c r="G62" s="22" t="s">
        <v>46</v>
      </c>
      <c r="H62" s="22">
        <v>120</v>
      </c>
      <c r="I62" s="44"/>
      <c r="J62" s="44"/>
      <c r="K62" s="44"/>
      <c r="L62" s="44"/>
      <c r="M62" s="44"/>
      <c r="N62" s="44"/>
      <c r="O62" s="44"/>
      <c r="P62" s="91" t="s">
        <v>70</v>
      </c>
      <c r="Q62" s="44" t="s">
        <v>29</v>
      </c>
      <c r="R62" s="44" t="s">
        <v>29</v>
      </c>
      <c r="S62" s="44"/>
      <c r="T62" s="27" t="s">
        <v>517</v>
      </c>
      <c r="U62" s="22"/>
      <c r="V62" s="98"/>
      <c r="W62" s="39">
        <f t="shared" si="0"/>
        <v>46</v>
      </c>
      <c r="X62" s="39"/>
      <c r="Y62" s="1"/>
      <c r="Z62" s="40"/>
      <c r="AA62" s="41"/>
      <c r="AB62" s="42"/>
    </row>
    <row r="63" spans="1:28" s="43" customFormat="1" ht="39.950000000000003" customHeight="1">
      <c r="A63" s="28">
        <v>44069</v>
      </c>
      <c r="B63" s="114" t="s">
        <v>60</v>
      </c>
      <c r="C63" s="115" t="s">
        <v>94</v>
      </c>
      <c r="D63" s="116" t="s">
        <v>95</v>
      </c>
      <c r="E63" s="117">
        <v>53</v>
      </c>
      <c r="F63" s="22" t="s">
        <v>69</v>
      </c>
      <c r="G63" s="22" t="s">
        <v>21</v>
      </c>
      <c r="H63" s="22">
        <v>120</v>
      </c>
      <c r="I63" s="44"/>
      <c r="J63" s="44"/>
      <c r="K63" s="44"/>
      <c r="L63" s="44"/>
      <c r="M63" s="44"/>
      <c r="N63" s="44"/>
      <c r="O63" s="44" t="s">
        <v>29</v>
      </c>
      <c r="P63" s="91" t="s">
        <v>70</v>
      </c>
      <c r="Q63" s="44"/>
      <c r="R63" s="44"/>
      <c r="S63" s="44"/>
      <c r="T63" s="121" t="s">
        <v>518</v>
      </c>
      <c r="U63" s="22"/>
      <c r="V63" s="98"/>
      <c r="W63" s="39">
        <f t="shared" si="0"/>
        <v>47</v>
      </c>
      <c r="X63" s="39"/>
      <c r="Y63" s="1"/>
      <c r="Z63" s="40"/>
      <c r="AA63" s="41"/>
      <c r="AB63" s="42"/>
    </row>
    <row r="64" spans="1:28" s="43" customFormat="1" ht="39.950000000000003" customHeight="1">
      <c r="A64" s="26">
        <v>44070</v>
      </c>
      <c r="B64" s="114" t="s">
        <v>54</v>
      </c>
      <c r="C64" s="115" t="s">
        <v>94</v>
      </c>
      <c r="D64" s="116" t="s">
        <v>95</v>
      </c>
      <c r="E64" s="117">
        <v>118</v>
      </c>
      <c r="F64" s="22" t="s">
        <v>69</v>
      </c>
      <c r="G64" s="22" t="s">
        <v>21</v>
      </c>
      <c r="H64" s="22">
        <v>120</v>
      </c>
      <c r="I64" s="44"/>
      <c r="J64" s="44"/>
      <c r="K64" s="44"/>
      <c r="L64" s="44"/>
      <c r="M64" s="44"/>
      <c r="N64" s="44"/>
      <c r="O64" s="44" t="s">
        <v>29</v>
      </c>
      <c r="P64" s="91" t="s">
        <v>70</v>
      </c>
      <c r="Q64" s="44"/>
      <c r="R64" s="44"/>
      <c r="S64" s="44"/>
      <c r="T64" s="121" t="s">
        <v>519</v>
      </c>
      <c r="U64" s="22"/>
      <c r="V64" s="98"/>
      <c r="W64" s="39">
        <f t="shared" si="0"/>
        <v>47</v>
      </c>
      <c r="X64" s="39"/>
      <c r="Y64" s="1"/>
      <c r="Z64" s="40"/>
      <c r="AA64" s="41"/>
      <c r="AB64" s="42"/>
    </row>
    <row r="65" spans="1:28" s="43" customFormat="1" ht="39.950000000000003" customHeight="1">
      <c r="A65" s="28">
        <v>44070</v>
      </c>
      <c r="B65" s="114" t="s">
        <v>55</v>
      </c>
      <c r="C65" s="115" t="s">
        <v>71</v>
      </c>
      <c r="D65" s="116" t="s">
        <v>75</v>
      </c>
      <c r="E65" s="117">
        <v>149</v>
      </c>
      <c r="F65" s="22" t="s">
        <v>69</v>
      </c>
      <c r="G65" s="22" t="s">
        <v>28</v>
      </c>
      <c r="H65" s="22">
        <v>230</v>
      </c>
      <c r="I65" s="44"/>
      <c r="J65" s="44"/>
      <c r="K65" s="44"/>
      <c r="L65" s="44"/>
      <c r="M65" s="44"/>
      <c r="N65" s="44"/>
      <c r="O65" s="44"/>
      <c r="P65" s="91" t="s">
        <v>70</v>
      </c>
      <c r="Q65" s="44" t="s">
        <v>29</v>
      </c>
      <c r="R65" s="44"/>
      <c r="S65" s="44"/>
      <c r="T65" s="27" t="s">
        <v>520</v>
      </c>
      <c r="U65" s="22"/>
      <c r="V65" s="98"/>
      <c r="W65" s="39">
        <f t="shared" si="0"/>
        <v>48</v>
      </c>
      <c r="X65" s="39"/>
      <c r="Y65" s="1"/>
      <c r="Z65" s="40"/>
      <c r="AA65" s="41"/>
      <c r="AB65" s="42"/>
    </row>
    <row r="66" spans="1:28" s="43" customFormat="1" ht="39.950000000000003" customHeight="1">
      <c r="A66" s="28">
        <v>44070</v>
      </c>
      <c r="B66" s="114" t="s">
        <v>56</v>
      </c>
      <c r="C66" s="115" t="s">
        <v>203</v>
      </c>
      <c r="D66" s="116" t="s">
        <v>204</v>
      </c>
      <c r="E66" s="117">
        <v>53</v>
      </c>
      <c r="F66" s="22" t="s">
        <v>69</v>
      </c>
      <c r="G66" s="22" t="s">
        <v>33</v>
      </c>
      <c r="H66" s="22">
        <v>100</v>
      </c>
      <c r="I66" s="44"/>
      <c r="J66" s="44"/>
      <c r="K66" s="44"/>
      <c r="L66" s="44"/>
      <c r="M66" s="44"/>
      <c r="N66" s="44"/>
      <c r="O66" s="44" t="s">
        <v>29</v>
      </c>
      <c r="P66" s="91" t="s">
        <v>70</v>
      </c>
      <c r="Q66" s="44"/>
      <c r="R66" s="44" t="s">
        <v>29</v>
      </c>
      <c r="S66" s="44" t="s">
        <v>29</v>
      </c>
      <c r="T66" s="27" t="s">
        <v>521</v>
      </c>
      <c r="U66" s="22"/>
      <c r="V66" s="98"/>
      <c r="W66" s="39">
        <f t="shared" ref="W66:W129" si="1">IF(C66=C65,W65,W65+1)</f>
        <v>49</v>
      </c>
      <c r="X66" s="39"/>
      <c r="Y66" s="1"/>
      <c r="Z66" s="40"/>
      <c r="AA66" s="41"/>
      <c r="AB66" s="42"/>
    </row>
    <row r="67" spans="1:28" s="43" customFormat="1" ht="39.950000000000003" customHeight="1">
      <c r="A67" s="26">
        <v>44071</v>
      </c>
      <c r="B67" s="114" t="s">
        <v>54</v>
      </c>
      <c r="C67" s="115" t="s">
        <v>203</v>
      </c>
      <c r="D67" s="116" t="s">
        <v>204</v>
      </c>
      <c r="E67" s="117">
        <v>74</v>
      </c>
      <c r="F67" s="22" t="s">
        <v>69</v>
      </c>
      <c r="G67" s="22" t="s">
        <v>33</v>
      </c>
      <c r="H67" s="22">
        <v>100</v>
      </c>
      <c r="I67" s="44"/>
      <c r="J67" s="44"/>
      <c r="K67" s="44"/>
      <c r="L67" s="44"/>
      <c r="M67" s="44"/>
      <c r="N67" s="44"/>
      <c r="O67" s="44" t="s">
        <v>29</v>
      </c>
      <c r="P67" s="91" t="s">
        <v>70</v>
      </c>
      <c r="Q67" s="44"/>
      <c r="R67" s="44" t="s">
        <v>29</v>
      </c>
      <c r="S67" s="44" t="s">
        <v>29</v>
      </c>
      <c r="T67" s="121" t="s">
        <v>522</v>
      </c>
      <c r="U67" s="22"/>
      <c r="V67" s="98"/>
      <c r="W67" s="39">
        <f t="shared" si="1"/>
        <v>49</v>
      </c>
      <c r="X67" s="39"/>
      <c r="Y67" s="1"/>
      <c r="Z67" s="40"/>
      <c r="AA67" s="41"/>
      <c r="AB67" s="42"/>
    </row>
    <row r="68" spans="1:28" s="43" customFormat="1" ht="39.950000000000003" customHeight="1">
      <c r="A68" s="18">
        <v>44071</v>
      </c>
      <c r="B68" s="114" t="s">
        <v>55</v>
      </c>
      <c r="C68" s="115" t="s">
        <v>94</v>
      </c>
      <c r="D68" s="116" t="s">
        <v>95</v>
      </c>
      <c r="E68" s="117">
        <v>44</v>
      </c>
      <c r="F68" s="22" t="s">
        <v>69</v>
      </c>
      <c r="G68" s="22" t="s">
        <v>21</v>
      </c>
      <c r="H68" s="22">
        <v>120</v>
      </c>
      <c r="I68" s="44"/>
      <c r="J68" s="44"/>
      <c r="K68" s="44"/>
      <c r="L68" s="44"/>
      <c r="M68" s="44"/>
      <c r="N68" s="44"/>
      <c r="O68" s="44" t="s">
        <v>29</v>
      </c>
      <c r="P68" s="91" t="s">
        <v>70</v>
      </c>
      <c r="Q68" s="44"/>
      <c r="R68" s="44"/>
      <c r="S68" s="44"/>
      <c r="T68" s="27" t="s">
        <v>523</v>
      </c>
      <c r="U68" s="22"/>
      <c r="V68" s="98"/>
      <c r="W68" s="39">
        <f t="shared" si="1"/>
        <v>50</v>
      </c>
      <c r="X68" s="39"/>
      <c r="Y68" s="1"/>
      <c r="Z68" s="40"/>
      <c r="AA68" s="41"/>
      <c r="AB68" s="42"/>
    </row>
    <row r="69" spans="1:28" s="43" customFormat="1" ht="39.950000000000003" customHeight="1">
      <c r="A69" s="18">
        <v>44071</v>
      </c>
      <c r="B69" s="114" t="s">
        <v>56</v>
      </c>
      <c r="C69" s="115" t="s">
        <v>114</v>
      </c>
      <c r="D69" s="116" t="s">
        <v>115</v>
      </c>
      <c r="E69" s="117">
        <v>89</v>
      </c>
      <c r="F69" s="22" t="s">
        <v>69</v>
      </c>
      <c r="G69" s="22" t="s">
        <v>33</v>
      </c>
      <c r="H69" s="22">
        <v>100</v>
      </c>
      <c r="I69" s="44"/>
      <c r="J69" s="44"/>
      <c r="K69" s="44"/>
      <c r="L69" s="44"/>
      <c r="M69" s="44" t="s">
        <v>29</v>
      </c>
      <c r="N69" s="44"/>
      <c r="O69" s="44"/>
      <c r="P69" s="91" t="s">
        <v>70</v>
      </c>
      <c r="Q69" s="44"/>
      <c r="R69" s="44" t="s">
        <v>29</v>
      </c>
      <c r="S69" s="44" t="s">
        <v>29</v>
      </c>
      <c r="T69" s="121" t="s">
        <v>524</v>
      </c>
      <c r="U69" s="22"/>
      <c r="V69" s="98"/>
      <c r="W69" s="39">
        <f t="shared" si="1"/>
        <v>51</v>
      </c>
      <c r="X69" s="39"/>
      <c r="Y69" s="1"/>
      <c r="Z69" s="40"/>
      <c r="AA69" s="41"/>
      <c r="AB69" s="42"/>
    </row>
    <row r="70" spans="1:28" s="43" customFormat="1" ht="39.950000000000003" customHeight="1">
      <c r="A70" s="18">
        <v>44071</v>
      </c>
      <c r="B70" s="114" t="s">
        <v>57</v>
      </c>
      <c r="C70" s="115" t="s">
        <v>203</v>
      </c>
      <c r="D70" s="116" t="s">
        <v>204</v>
      </c>
      <c r="E70" s="117">
        <v>53</v>
      </c>
      <c r="F70" s="22" t="s">
        <v>69</v>
      </c>
      <c r="G70" s="22" t="s">
        <v>33</v>
      </c>
      <c r="H70" s="22">
        <v>100</v>
      </c>
      <c r="I70" s="44"/>
      <c r="J70" s="44"/>
      <c r="K70" s="44"/>
      <c r="L70" s="44"/>
      <c r="M70" s="44"/>
      <c r="N70" s="44"/>
      <c r="O70" s="44" t="s">
        <v>29</v>
      </c>
      <c r="P70" s="91" t="s">
        <v>70</v>
      </c>
      <c r="Q70" s="44"/>
      <c r="R70" s="44" t="s">
        <v>29</v>
      </c>
      <c r="S70" s="44" t="s">
        <v>29</v>
      </c>
      <c r="T70" s="121" t="s">
        <v>525</v>
      </c>
      <c r="U70" s="22"/>
      <c r="V70" s="98"/>
      <c r="W70" s="39">
        <f t="shared" si="1"/>
        <v>52</v>
      </c>
      <c r="X70" s="39"/>
      <c r="Y70" s="1"/>
      <c r="Z70" s="40"/>
      <c r="AA70" s="41"/>
      <c r="AB70" s="42"/>
    </row>
    <row r="71" spans="1:28" s="43" customFormat="1" ht="39.950000000000003" customHeight="1">
      <c r="A71" s="25">
        <v>44072</v>
      </c>
      <c r="B71" s="114" t="s">
        <v>54</v>
      </c>
      <c r="C71" s="115" t="s">
        <v>203</v>
      </c>
      <c r="D71" s="116" t="s">
        <v>204</v>
      </c>
      <c r="E71" s="117">
        <v>117</v>
      </c>
      <c r="F71" s="22" t="s">
        <v>69</v>
      </c>
      <c r="G71" s="22" t="s">
        <v>33</v>
      </c>
      <c r="H71" s="22">
        <v>100</v>
      </c>
      <c r="I71" s="44"/>
      <c r="J71" s="44"/>
      <c r="K71" s="44"/>
      <c r="L71" s="44"/>
      <c r="M71" s="44"/>
      <c r="N71" s="44"/>
      <c r="O71" s="44" t="s">
        <v>29</v>
      </c>
      <c r="P71" s="91" t="s">
        <v>70</v>
      </c>
      <c r="Q71" s="44"/>
      <c r="R71" s="44" t="s">
        <v>29</v>
      </c>
      <c r="S71" s="44" t="s">
        <v>29</v>
      </c>
      <c r="T71" s="121" t="s">
        <v>526</v>
      </c>
      <c r="U71" s="22"/>
      <c r="V71" s="98"/>
      <c r="W71" s="39">
        <f t="shared" si="1"/>
        <v>52</v>
      </c>
      <c r="X71" s="39"/>
      <c r="Y71" s="1"/>
      <c r="Z71" s="40"/>
      <c r="AA71" s="41"/>
      <c r="AB71" s="42"/>
    </row>
    <row r="72" spans="1:28" s="43" customFormat="1" ht="39.950000000000003" customHeight="1">
      <c r="A72" s="18">
        <v>44072</v>
      </c>
      <c r="B72" s="114" t="s">
        <v>55</v>
      </c>
      <c r="C72" s="115" t="s">
        <v>114</v>
      </c>
      <c r="D72" s="116" t="s">
        <v>115</v>
      </c>
      <c r="E72" s="117">
        <v>150</v>
      </c>
      <c r="F72" s="22" t="s">
        <v>69</v>
      </c>
      <c r="G72" s="22" t="s">
        <v>33</v>
      </c>
      <c r="H72" s="22">
        <v>100</v>
      </c>
      <c r="I72" s="44"/>
      <c r="J72" s="44"/>
      <c r="K72" s="44"/>
      <c r="L72" s="44"/>
      <c r="M72" s="44" t="s">
        <v>29</v>
      </c>
      <c r="N72" s="44"/>
      <c r="O72" s="44"/>
      <c r="P72" s="91" t="s">
        <v>70</v>
      </c>
      <c r="Q72" s="44"/>
      <c r="R72" s="44" t="s">
        <v>29</v>
      </c>
      <c r="S72" s="44" t="s">
        <v>29</v>
      </c>
      <c r="T72" s="121" t="s">
        <v>527</v>
      </c>
      <c r="U72" s="22"/>
      <c r="V72" s="98"/>
      <c r="W72" s="39">
        <f t="shared" si="1"/>
        <v>53</v>
      </c>
      <c r="X72" s="39"/>
      <c r="Y72" s="1"/>
      <c r="Z72" s="40"/>
      <c r="AA72" s="41"/>
      <c r="AB72" s="42"/>
    </row>
    <row r="73" spans="1:28" s="43" customFormat="1" ht="39.950000000000003" customHeight="1">
      <c r="A73" s="18">
        <v>44072</v>
      </c>
      <c r="B73" s="153" t="s">
        <v>56</v>
      </c>
      <c r="C73" s="154" t="s">
        <v>96</v>
      </c>
      <c r="D73" s="155" t="s">
        <v>97</v>
      </c>
      <c r="E73" s="156">
        <v>53</v>
      </c>
      <c r="F73" s="90" t="s">
        <v>69</v>
      </c>
      <c r="G73" s="164" t="s">
        <v>21</v>
      </c>
      <c r="H73" s="164">
        <v>120</v>
      </c>
      <c r="I73" s="89"/>
      <c r="J73" s="89"/>
      <c r="K73" s="44"/>
      <c r="L73" s="44"/>
      <c r="M73" s="44"/>
      <c r="N73" s="44"/>
      <c r="O73" s="44" t="s">
        <v>29</v>
      </c>
      <c r="P73" s="91" t="s">
        <v>70</v>
      </c>
      <c r="Q73" s="44"/>
      <c r="R73" s="44"/>
      <c r="S73" s="44"/>
      <c r="T73" s="121" t="s">
        <v>528</v>
      </c>
      <c r="U73" s="22"/>
      <c r="V73" s="98"/>
      <c r="W73" s="39">
        <f t="shared" si="1"/>
        <v>54</v>
      </c>
      <c r="X73" s="39"/>
      <c r="Y73" s="1"/>
      <c r="Z73" s="40"/>
      <c r="AA73" s="41"/>
      <c r="AB73" s="42"/>
    </row>
    <row r="74" spans="1:28" s="43" customFormat="1" ht="39.950000000000003" customHeight="1">
      <c r="A74" s="25">
        <v>44074</v>
      </c>
      <c r="B74" s="153" t="s">
        <v>54</v>
      </c>
      <c r="C74" s="154" t="s">
        <v>96</v>
      </c>
      <c r="D74" s="155" t="s">
        <v>97</v>
      </c>
      <c r="E74" s="156">
        <v>53</v>
      </c>
      <c r="F74" s="90" t="s">
        <v>69</v>
      </c>
      <c r="G74" s="164" t="s">
        <v>21</v>
      </c>
      <c r="H74" s="164">
        <v>120</v>
      </c>
      <c r="I74" s="89"/>
      <c r="J74" s="89"/>
      <c r="K74" s="44"/>
      <c r="L74" s="44"/>
      <c r="M74" s="44"/>
      <c r="N74" s="44"/>
      <c r="O74" s="44" t="s">
        <v>29</v>
      </c>
      <c r="P74" s="91" t="s">
        <v>70</v>
      </c>
      <c r="Q74" s="44"/>
      <c r="R74" s="44"/>
      <c r="S74" s="44"/>
      <c r="T74" s="121" t="s">
        <v>529</v>
      </c>
      <c r="U74" s="22"/>
      <c r="V74" s="98"/>
      <c r="W74" s="39">
        <f t="shared" si="1"/>
        <v>54</v>
      </c>
      <c r="X74" s="39"/>
      <c r="Y74" s="1"/>
      <c r="Z74" s="40"/>
      <c r="AA74" s="41"/>
      <c r="AB74" s="42"/>
    </row>
    <row r="75" spans="1:28" s="43" customFormat="1" ht="39.950000000000003" customHeight="1">
      <c r="A75" s="18">
        <v>44074</v>
      </c>
      <c r="B75" s="153" t="s">
        <v>55</v>
      </c>
      <c r="C75" s="154" t="s">
        <v>146</v>
      </c>
      <c r="D75" s="155" t="s">
        <v>147</v>
      </c>
      <c r="E75" s="156">
        <v>40</v>
      </c>
      <c r="F75" s="90" t="s">
        <v>69</v>
      </c>
      <c r="G75" s="164" t="s">
        <v>148</v>
      </c>
      <c r="H75" s="164">
        <v>230</v>
      </c>
      <c r="I75" s="89"/>
      <c r="J75" s="89"/>
      <c r="K75" s="44"/>
      <c r="L75" s="44"/>
      <c r="M75" s="44"/>
      <c r="N75" s="44"/>
      <c r="O75" s="44" t="s">
        <v>29</v>
      </c>
      <c r="P75" s="91" t="s">
        <v>70</v>
      </c>
      <c r="Q75" s="44"/>
      <c r="R75" s="44" t="s">
        <v>29</v>
      </c>
      <c r="S75" s="44"/>
      <c r="T75" s="19" t="s">
        <v>530</v>
      </c>
      <c r="U75" s="22"/>
      <c r="V75" s="98"/>
      <c r="W75" s="39">
        <f t="shared" si="1"/>
        <v>55</v>
      </c>
      <c r="X75" s="39"/>
      <c r="Y75" s="1"/>
      <c r="Z75" s="40"/>
      <c r="AA75" s="41"/>
      <c r="AB75" s="42"/>
    </row>
    <row r="76" spans="1:28" s="43" customFormat="1" ht="39.950000000000003" customHeight="1">
      <c r="A76" s="18">
        <v>44074</v>
      </c>
      <c r="B76" s="153" t="s">
        <v>56</v>
      </c>
      <c r="C76" s="154" t="s">
        <v>71</v>
      </c>
      <c r="D76" s="155" t="s">
        <v>75</v>
      </c>
      <c r="E76" s="156">
        <v>30</v>
      </c>
      <c r="F76" s="90" t="s">
        <v>69</v>
      </c>
      <c r="G76" s="164" t="s">
        <v>28</v>
      </c>
      <c r="H76" s="164">
        <v>230</v>
      </c>
      <c r="I76" s="89"/>
      <c r="J76" s="89"/>
      <c r="K76" s="44"/>
      <c r="L76" s="44"/>
      <c r="M76" s="44"/>
      <c r="N76" s="44"/>
      <c r="O76" s="44"/>
      <c r="P76" s="91" t="s">
        <v>70</v>
      </c>
      <c r="Q76" s="44" t="s">
        <v>29</v>
      </c>
      <c r="R76" s="44"/>
      <c r="S76" s="44"/>
      <c r="T76" s="19" t="s">
        <v>924</v>
      </c>
      <c r="U76" s="22"/>
      <c r="V76" s="98"/>
      <c r="W76" s="39">
        <f t="shared" si="1"/>
        <v>56</v>
      </c>
      <c r="X76" s="39"/>
      <c r="Y76" s="1"/>
      <c r="Z76" s="40"/>
      <c r="AA76" s="41"/>
      <c r="AB76" s="42"/>
    </row>
    <row r="77" spans="1:28" s="43" customFormat="1" ht="39.950000000000003" customHeight="1">
      <c r="A77" s="18">
        <v>44074</v>
      </c>
      <c r="B77" s="153" t="s">
        <v>57</v>
      </c>
      <c r="C77" s="154" t="s">
        <v>201</v>
      </c>
      <c r="D77" s="155" t="s">
        <v>202</v>
      </c>
      <c r="E77" s="156">
        <v>80</v>
      </c>
      <c r="F77" s="90" t="s">
        <v>69</v>
      </c>
      <c r="G77" s="164" t="s">
        <v>28</v>
      </c>
      <c r="H77" s="164">
        <v>230</v>
      </c>
      <c r="I77" s="89"/>
      <c r="J77" s="89"/>
      <c r="K77" s="44"/>
      <c r="L77" s="44"/>
      <c r="M77" s="44"/>
      <c r="N77" s="44"/>
      <c r="O77" s="44"/>
      <c r="P77" s="91" t="s">
        <v>70</v>
      </c>
      <c r="Q77" s="44" t="s">
        <v>29</v>
      </c>
      <c r="R77" s="44"/>
      <c r="S77" s="44"/>
      <c r="T77" s="93" t="s">
        <v>925</v>
      </c>
      <c r="U77" s="22"/>
      <c r="V77" s="98"/>
      <c r="W77" s="39">
        <f t="shared" si="1"/>
        <v>57</v>
      </c>
      <c r="X77" s="39"/>
      <c r="Y77" s="1"/>
      <c r="Z77" s="40"/>
      <c r="AA77" s="41"/>
      <c r="AB77" s="42"/>
    </row>
    <row r="78" spans="1:28" s="43" customFormat="1" ht="39.950000000000003" customHeight="1">
      <c r="A78" s="18">
        <v>44074</v>
      </c>
      <c r="B78" s="153" t="s">
        <v>58</v>
      </c>
      <c r="C78" s="154" t="s">
        <v>96</v>
      </c>
      <c r="D78" s="155" t="s">
        <v>97</v>
      </c>
      <c r="E78" s="156">
        <v>53</v>
      </c>
      <c r="F78" s="90" t="s">
        <v>69</v>
      </c>
      <c r="G78" s="164" t="s">
        <v>21</v>
      </c>
      <c r="H78" s="164">
        <v>120</v>
      </c>
      <c r="I78" s="89"/>
      <c r="J78" s="89"/>
      <c r="K78" s="44"/>
      <c r="L78" s="44"/>
      <c r="M78" s="44"/>
      <c r="N78" s="44"/>
      <c r="O78" s="44" t="s">
        <v>29</v>
      </c>
      <c r="P78" s="91" t="s">
        <v>70</v>
      </c>
      <c r="Q78" s="44"/>
      <c r="R78" s="44"/>
      <c r="S78" s="44"/>
      <c r="T78" s="93" t="s">
        <v>531</v>
      </c>
      <c r="U78" s="22"/>
      <c r="V78" s="98"/>
      <c r="W78" s="39">
        <f t="shared" si="1"/>
        <v>58</v>
      </c>
      <c r="X78" s="39"/>
      <c r="Y78" s="1"/>
      <c r="Z78" s="40"/>
      <c r="AA78" s="41"/>
      <c r="AB78" s="42"/>
    </row>
    <row r="79" spans="1:28" ht="39.950000000000003" customHeight="1">
      <c r="A79" s="25">
        <v>44075</v>
      </c>
      <c r="B79" s="153" t="s">
        <v>54</v>
      </c>
      <c r="C79" s="154" t="s">
        <v>96</v>
      </c>
      <c r="D79" s="155" t="s">
        <v>97</v>
      </c>
      <c r="E79" s="156">
        <v>9</v>
      </c>
      <c r="F79" s="90" t="s">
        <v>69</v>
      </c>
      <c r="G79" s="164" t="s">
        <v>21</v>
      </c>
      <c r="H79" s="164">
        <v>120</v>
      </c>
      <c r="I79" s="89"/>
      <c r="J79" s="89"/>
      <c r="K79" s="89"/>
      <c r="L79" s="89"/>
      <c r="M79" s="89"/>
      <c r="N79" s="89"/>
      <c r="O79" s="89" t="s">
        <v>29</v>
      </c>
      <c r="P79" s="91" t="s">
        <v>70</v>
      </c>
      <c r="Q79" s="89"/>
      <c r="R79" s="89"/>
      <c r="S79" s="89"/>
      <c r="T79" s="61" t="s">
        <v>532</v>
      </c>
      <c r="U79" s="107"/>
      <c r="W79" s="39">
        <f t="shared" si="1"/>
        <v>58</v>
      </c>
    </row>
    <row r="80" spans="1:28" ht="39.950000000000003" customHeight="1">
      <c r="A80" s="18">
        <v>44075</v>
      </c>
      <c r="B80" s="126" t="s">
        <v>55</v>
      </c>
      <c r="C80" s="127" t="s">
        <v>146</v>
      </c>
      <c r="D80" s="128" t="s">
        <v>147</v>
      </c>
      <c r="E80" s="129">
        <v>84</v>
      </c>
      <c r="F80" s="45" t="s">
        <v>69</v>
      </c>
      <c r="G80" s="55" t="s">
        <v>148</v>
      </c>
      <c r="H80" s="55">
        <v>230</v>
      </c>
      <c r="I80" s="46"/>
      <c r="J80" s="46"/>
      <c r="K80" s="46"/>
      <c r="L80" s="46"/>
      <c r="M80" s="46"/>
      <c r="N80" s="46"/>
      <c r="O80" s="46" t="s">
        <v>29</v>
      </c>
      <c r="P80" s="91" t="s">
        <v>70</v>
      </c>
      <c r="Q80" s="46"/>
      <c r="R80" s="46" t="s">
        <v>29</v>
      </c>
      <c r="S80" s="46"/>
      <c r="T80" s="99" t="s">
        <v>533</v>
      </c>
      <c r="U80" s="29"/>
      <c r="W80" s="39">
        <f t="shared" si="1"/>
        <v>59</v>
      </c>
    </row>
    <row r="81" spans="1:23" ht="39.950000000000003" customHeight="1">
      <c r="A81" s="18">
        <v>44075</v>
      </c>
      <c r="B81" s="126" t="s">
        <v>56</v>
      </c>
      <c r="C81" s="127" t="s">
        <v>135</v>
      </c>
      <c r="D81" s="128" t="s">
        <v>136</v>
      </c>
      <c r="E81" s="129">
        <v>14</v>
      </c>
      <c r="F81" s="45" t="s">
        <v>69</v>
      </c>
      <c r="G81" s="55" t="s">
        <v>19</v>
      </c>
      <c r="H81" s="55">
        <v>220</v>
      </c>
      <c r="I81" s="46"/>
      <c r="J81" s="46"/>
      <c r="K81" s="29"/>
      <c r="L81" s="100"/>
      <c r="M81" s="100" t="s">
        <v>29</v>
      </c>
      <c r="N81" s="100"/>
      <c r="O81" s="100"/>
      <c r="P81" s="91" t="s">
        <v>70</v>
      </c>
      <c r="Q81" s="100"/>
      <c r="R81" s="100" t="s">
        <v>29</v>
      </c>
      <c r="S81" s="100"/>
      <c r="T81" s="99" t="s">
        <v>534</v>
      </c>
      <c r="U81" s="29"/>
      <c r="W81" s="39">
        <f t="shared" si="1"/>
        <v>60</v>
      </c>
    </row>
    <row r="82" spans="1:23" ht="39.950000000000003" customHeight="1">
      <c r="A82" s="18">
        <v>44075</v>
      </c>
      <c r="B82" s="126" t="s">
        <v>57</v>
      </c>
      <c r="C82" s="127" t="s">
        <v>114</v>
      </c>
      <c r="D82" s="128" t="s">
        <v>115</v>
      </c>
      <c r="E82" s="129">
        <v>6</v>
      </c>
      <c r="F82" s="45" t="s">
        <v>69</v>
      </c>
      <c r="G82" s="55" t="s">
        <v>33</v>
      </c>
      <c r="H82" s="55">
        <v>100</v>
      </c>
      <c r="I82" s="46"/>
      <c r="J82" s="46"/>
      <c r="K82" s="29"/>
      <c r="L82" s="100"/>
      <c r="M82" s="100" t="s">
        <v>29</v>
      </c>
      <c r="N82" s="100"/>
      <c r="O82" s="100"/>
      <c r="P82" s="91" t="s">
        <v>70</v>
      </c>
      <c r="Q82" s="100"/>
      <c r="R82" s="100" t="s">
        <v>29</v>
      </c>
      <c r="S82" s="100" t="s">
        <v>29</v>
      </c>
      <c r="T82" s="99" t="s">
        <v>535</v>
      </c>
      <c r="U82" s="29"/>
      <c r="W82" s="39">
        <f t="shared" si="1"/>
        <v>61</v>
      </c>
    </row>
    <row r="83" spans="1:23" ht="39.950000000000003" customHeight="1">
      <c r="A83" s="18">
        <v>44075</v>
      </c>
      <c r="B83" s="126" t="s">
        <v>58</v>
      </c>
      <c r="C83" s="127" t="s">
        <v>71</v>
      </c>
      <c r="D83" s="128" t="s">
        <v>75</v>
      </c>
      <c r="E83" s="129">
        <v>82</v>
      </c>
      <c r="F83" s="45" t="s">
        <v>69</v>
      </c>
      <c r="G83" s="55" t="s">
        <v>28</v>
      </c>
      <c r="H83" s="55">
        <v>230</v>
      </c>
      <c r="I83" s="46"/>
      <c r="J83" s="46"/>
      <c r="K83" s="29"/>
      <c r="L83" s="100"/>
      <c r="M83" s="100"/>
      <c r="N83" s="100"/>
      <c r="O83" s="100"/>
      <c r="P83" s="91" t="s">
        <v>70</v>
      </c>
      <c r="Q83" s="100" t="s">
        <v>29</v>
      </c>
      <c r="R83" s="100"/>
      <c r="S83" s="100"/>
      <c r="T83" s="99" t="s">
        <v>926</v>
      </c>
      <c r="U83" s="29"/>
      <c r="W83" s="39">
        <f t="shared" si="1"/>
        <v>62</v>
      </c>
    </row>
    <row r="84" spans="1:23" ht="39.950000000000003" customHeight="1">
      <c r="A84" s="18">
        <v>44075</v>
      </c>
      <c r="B84" s="126" t="s">
        <v>59</v>
      </c>
      <c r="C84" s="127" t="s">
        <v>201</v>
      </c>
      <c r="D84" s="128" t="s">
        <v>202</v>
      </c>
      <c r="E84" s="129">
        <v>80</v>
      </c>
      <c r="F84" s="45" t="s">
        <v>69</v>
      </c>
      <c r="G84" s="55" t="s">
        <v>28</v>
      </c>
      <c r="H84" s="55">
        <v>230</v>
      </c>
      <c r="I84" s="46"/>
      <c r="J84" s="46"/>
      <c r="K84" s="29"/>
      <c r="L84" s="100"/>
      <c r="M84" s="100"/>
      <c r="N84" s="100"/>
      <c r="O84" s="100"/>
      <c r="P84" s="91" t="s">
        <v>70</v>
      </c>
      <c r="Q84" s="100" t="s">
        <v>29</v>
      </c>
      <c r="R84" s="100"/>
      <c r="S84" s="100"/>
      <c r="T84" s="29" t="s">
        <v>927</v>
      </c>
      <c r="U84" s="29"/>
      <c r="W84" s="39">
        <f t="shared" si="1"/>
        <v>63</v>
      </c>
    </row>
    <row r="85" spans="1:23" ht="39.950000000000003" customHeight="1">
      <c r="A85" s="18">
        <v>44075</v>
      </c>
      <c r="B85" s="126" t="s">
        <v>60</v>
      </c>
      <c r="C85" s="127" t="s">
        <v>96</v>
      </c>
      <c r="D85" s="128" t="s">
        <v>97</v>
      </c>
      <c r="E85" s="129">
        <v>27</v>
      </c>
      <c r="F85" s="45" t="s">
        <v>69</v>
      </c>
      <c r="G85" s="55" t="s">
        <v>21</v>
      </c>
      <c r="H85" s="55">
        <v>120</v>
      </c>
      <c r="I85" s="46"/>
      <c r="J85" s="46"/>
      <c r="K85" s="29"/>
      <c r="L85" s="100"/>
      <c r="M85" s="100"/>
      <c r="N85" s="100"/>
      <c r="O85" s="100" t="s">
        <v>29</v>
      </c>
      <c r="P85" s="91" t="s">
        <v>70</v>
      </c>
      <c r="Q85" s="100"/>
      <c r="R85" s="100"/>
      <c r="S85" s="100"/>
      <c r="T85" s="99" t="s">
        <v>536</v>
      </c>
      <c r="U85" s="29"/>
      <c r="W85" s="39">
        <f t="shared" si="1"/>
        <v>64</v>
      </c>
    </row>
    <row r="86" spans="1:23" ht="39.950000000000003" customHeight="1">
      <c r="A86" s="18">
        <v>44075</v>
      </c>
      <c r="B86" s="126" t="s">
        <v>61</v>
      </c>
      <c r="C86" s="127" t="s">
        <v>203</v>
      </c>
      <c r="D86" s="128" t="s">
        <v>204</v>
      </c>
      <c r="E86" s="129">
        <v>26</v>
      </c>
      <c r="F86" s="45" t="s">
        <v>69</v>
      </c>
      <c r="G86" s="55" t="s">
        <v>33</v>
      </c>
      <c r="H86" s="55">
        <v>100</v>
      </c>
      <c r="I86" s="46"/>
      <c r="J86" s="46"/>
      <c r="K86" s="29"/>
      <c r="L86" s="100"/>
      <c r="M86" s="100"/>
      <c r="N86" s="100"/>
      <c r="O86" s="100" t="s">
        <v>29</v>
      </c>
      <c r="P86" s="91" t="s">
        <v>70</v>
      </c>
      <c r="Q86" s="100"/>
      <c r="R86" s="100" t="s">
        <v>29</v>
      </c>
      <c r="S86" s="100" t="s">
        <v>29</v>
      </c>
      <c r="T86" s="99" t="s">
        <v>537</v>
      </c>
      <c r="U86" s="29"/>
      <c r="W86" s="39">
        <f t="shared" si="1"/>
        <v>65</v>
      </c>
    </row>
    <row r="87" spans="1:23" ht="39.950000000000003" customHeight="1">
      <c r="A87" s="25">
        <v>44076</v>
      </c>
      <c r="B87" s="126" t="s">
        <v>54</v>
      </c>
      <c r="C87" s="127" t="s">
        <v>203</v>
      </c>
      <c r="D87" s="128" t="s">
        <v>204</v>
      </c>
      <c r="E87" s="129">
        <v>54</v>
      </c>
      <c r="F87" s="45" t="s">
        <v>69</v>
      </c>
      <c r="G87" s="55" t="s">
        <v>33</v>
      </c>
      <c r="H87" s="55">
        <v>100</v>
      </c>
      <c r="I87" s="46"/>
      <c r="J87" s="46"/>
      <c r="K87" s="29"/>
      <c r="L87" s="100"/>
      <c r="M87" s="100"/>
      <c r="N87" s="100"/>
      <c r="O87" s="100" t="s">
        <v>29</v>
      </c>
      <c r="P87" s="91" t="s">
        <v>70</v>
      </c>
      <c r="Q87" s="100"/>
      <c r="R87" s="100" t="s">
        <v>29</v>
      </c>
      <c r="S87" s="100" t="s">
        <v>29</v>
      </c>
      <c r="T87" s="99" t="s">
        <v>538</v>
      </c>
      <c r="U87" s="29"/>
      <c r="W87" s="39">
        <f t="shared" si="1"/>
        <v>65</v>
      </c>
    </row>
    <row r="88" spans="1:23" ht="39.950000000000003" customHeight="1">
      <c r="A88" s="18">
        <v>44076</v>
      </c>
      <c r="B88" s="126" t="s">
        <v>55</v>
      </c>
      <c r="C88" s="127" t="s">
        <v>94</v>
      </c>
      <c r="D88" s="128" t="s">
        <v>95</v>
      </c>
      <c r="E88" s="129">
        <v>39</v>
      </c>
      <c r="F88" s="45" t="s">
        <v>69</v>
      </c>
      <c r="G88" s="55" t="s">
        <v>21</v>
      </c>
      <c r="H88" s="55">
        <v>120</v>
      </c>
      <c r="I88" s="46"/>
      <c r="J88" s="46"/>
      <c r="K88" s="29"/>
      <c r="L88" s="100"/>
      <c r="M88" s="100"/>
      <c r="N88" s="100"/>
      <c r="O88" s="100" t="s">
        <v>29</v>
      </c>
      <c r="P88" s="91" t="s">
        <v>70</v>
      </c>
      <c r="Q88" s="100"/>
      <c r="R88" s="100"/>
      <c r="S88" s="100"/>
      <c r="T88" s="99" t="s">
        <v>539</v>
      </c>
      <c r="U88" s="29"/>
      <c r="W88" s="39">
        <f t="shared" si="1"/>
        <v>66</v>
      </c>
    </row>
    <row r="89" spans="1:23" ht="39.950000000000003" customHeight="1">
      <c r="A89" s="18">
        <v>44076</v>
      </c>
      <c r="B89" s="126" t="s">
        <v>56</v>
      </c>
      <c r="C89" s="127" t="s">
        <v>114</v>
      </c>
      <c r="D89" s="128" t="s">
        <v>115</v>
      </c>
      <c r="E89" s="129">
        <v>62</v>
      </c>
      <c r="F89" s="45" t="s">
        <v>69</v>
      </c>
      <c r="G89" s="55" t="s">
        <v>33</v>
      </c>
      <c r="H89" s="55">
        <v>100</v>
      </c>
      <c r="I89" s="46"/>
      <c r="J89" s="46"/>
      <c r="K89" s="29"/>
      <c r="L89" s="100"/>
      <c r="M89" s="100" t="s">
        <v>29</v>
      </c>
      <c r="N89" s="100"/>
      <c r="O89" s="100"/>
      <c r="P89" s="91" t="s">
        <v>70</v>
      </c>
      <c r="Q89" s="100"/>
      <c r="R89" s="100" t="s">
        <v>29</v>
      </c>
      <c r="S89" s="100" t="s">
        <v>29</v>
      </c>
      <c r="T89" s="99" t="s">
        <v>540</v>
      </c>
      <c r="U89" s="29"/>
      <c r="W89" s="39">
        <f t="shared" si="1"/>
        <v>67</v>
      </c>
    </row>
    <row r="90" spans="1:23" ht="39.950000000000003" customHeight="1">
      <c r="A90" s="18">
        <v>44076</v>
      </c>
      <c r="B90" s="126" t="s">
        <v>57</v>
      </c>
      <c r="C90" s="127" t="s">
        <v>71</v>
      </c>
      <c r="D90" s="128" t="s">
        <v>75</v>
      </c>
      <c r="E90" s="129">
        <v>47</v>
      </c>
      <c r="F90" s="45" t="s">
        <v>69</v>
      </c>
      <c r="G90" s="55" t="s">
        <v>28</v>
      </c>
      <c r="H90" s="55">
        <v>230</v>
      </c>
      <c r="I90" s="46"/>
      <c r="J90" s="46"/>
      <c r="K90" s="29"/>
      <c r="L90" s="100"/>
      <c r="M90" s="100"/>
      <c r="N90" s="100"/>
      <c r="O90" s="100"/>
      <c r="P90" s="91" t="s">
        <v>70</v>
      </c>
      <c r="Q90" s="100" t="s">
        <v>29</v>
      </c>
      <c r="R90" s="100"/>
      <c r="S90" s="100"/>
      <c r="T90" s="29" t="s">
        <v>928</v>
      </c>
      <c r="U90" s="29"/>
      <c r="W90" s="39">
        <f t="shared" si="1"/>
        <v>68</v>
      </c>
    </row>
    <row r="91" spans="1:23" ht="39.950000000000003" customHeight="1">
      <c r="A91" s="18">
        <v>44076</v>
      </c>
      <c r="B91" s="126" t="s">
        <v>58</v>
      </c>
      <c r="C91" s="127" t="s">
        <v>366</v>
      </c>
      <c r="D91" s="128" t="s">
        <v>367</v>
      </c>
      <c r="E91" s="129">
        <v>1</v>
      </c>
      <c r="F91" s="45" t="s">
        <v>69</v>
      </c>
      <c r="G91" s="55" t="s">
        <v>46</v>
      </c>
      <c r="H91" s="55">
        <v>120</v>
      </c>
      <c r="I91" s="46"/>
      <c r="J91" s="46"/>
      <c r="K91" s="29"/>
      <c r="L91" s="100"/>
      <c r="M91" s="100"/>
      <c r="N91" s="100"/>
      <c r="O91" s="100"/>
      <c r="P91" s="91" t="s">
        <v>70</v>
      </c>
      <c r="Q91" s="100" t="s">
        <v>29</v>
      </c>
      <c r="R91" s="100" t="s">
        <v>29</v>
      </c>
      <c r="S91" s="100"/>
      <c r="T91" s="29" t="s">
        <v>541</v>
      </c>
      <c r="U91" s="29"/>
      <c r="W91" s="39">
        <f t="shared" si="1"/>
        <v>69</v>
      </c>
    </row>
    <row r="92" spans="1:23" ht="39.950000000000003" customHeight="1">
      <c r="A92" s="18">
        <v>44076</v>
      </c>
      <c r="B92" s="126" t="s">
        <v>59</v>
      </c>
      <c r="C92" s="127" t="s">
        <v>201</v>
      </c>
      <c r="D92" s="128" t="s">
        <v>202</v>
      </c>
      <c r="E92" s="129">
        <v>80</v>
      </c>
      <c r="F92" s="45" t="s">
        <v>69</v>
      </c>
      <c r="G92" s="55" t="s">
        <v>28</v>
      </c>
      <c r="H92" s="55">
        <v>230</v>
      </c>
      <c r="I92" s="46"/>
      <c r="J92" s="46"/>
      <c r="K92" s="29"/>
      <c r="L92" s="100"/>
      <c r="M92" s="100"/>
      <c r="N92" s="100"/>
      <c r="O92" s="100"/>
      <c r="P92" s="91" t="s">
        <v>70</v>
      </c>
      <c r="Q92" s="100" t="s">
        <v>29</v>
      </c>
      <c r="R92" s="100"/>
      <c r="S92" s="100"/>
      <c r="T92" s="99" t="s">
        <v>929</v>
      </c>
      <c r="U92" s="29"/>
      <c r="W92" s="39">
        <f t="shared" si="1"/>
        <v>70</v>
      </c>
    </row>
    <row r="93" spans="1:23" ht="39.950000000000003" customHeight="1">
      <c r="A93" s="18">
        <v>44076</v>
      </c>
      <c r="B93" s="126" t="s">
        <v>60</v>
      </c>
      <c r="C93" s="127" t="s">
        <v>203</v>
      </c>
      <c r="D93" s="128" t="s">
        <v>204</v>
      </c>
      <c r="E93" s="129">
        <v>45</v>
      </c>
      <c r="F93" s="45" t="s">
        <v>69</v>
      </c>
      <c r="G93" s="55" t="s">
        <v>33</v>
      </c>
      <c r="H93" s="55">
        <v>100</v>
      </c>
      <c r="I93" s="46"/>
      <c r="J93" s="46"/>
      <c r="K93" s="29"/>
      <c r="L93" s="100"/>
      <c r="M93" s="100"/>
      <c r="N93" s="100"/>
      <c r="O93" s="100" t="s">
        <v>29</v>
      </c>
      <c r="P93" s="91" t="s">
        <v>70</v>
      </c>
      <c r="Q93" s="100"/>
      <c r="R93" s="100" t="s">
        <v>29</v>
      </c>
      <c r="S93" s="100" t="s">
        <v>29</v>
      </c>
      <c r="T93" s="29" t="s">
        <v>542</v>
      </c>
      <c r="U93" s="29"/>
      <c r="W93" s="39">
        <f t="shared" si="1"/>
        <v>71</v>
      </c>
    </row>
    <row r="94" spans="1:23" ht="39.950000000000003" customHeight="1">
      <c r="A94" s="18">
        <v>44076</v>
      </c>
      <c r="B94" s="126" t="s">
        <v>61</v>
      </c>
      <c r="C94" s="127" t="s">
        <v>94</v>
      </c>
      <c r="D94" s="128" t="s">
        <v>95</v>
      </c>
      <c r="E94" s="129">
        <v>8</v>
      </c>
      <c r="F94" s="45" t="s">
        <v>69</v>
      </c>
      <c r="G94" s="55" t="s">
        <v>21</v>
      </c>
      <c r="H94" s="55">
        <v>120</v>
      </c>
      <c r="I94" s="46"/>
      <c r="J94" s="46"/>
      <c r="K94" s="29"/>
      <c r="L94" s="100"/>
      <c r="M94" s="100"/>
      <c r="N94" s="100"/>
      <c r="O94" s="100" t="s">
        <v>29</v>
      </c>
      <c r="P94" s="91" t="s">
        <v>70</v>
      </c>
      <c r="Q94" s="100"/>
      <c r="R94" s="100"/>
      <c r="S94" s="100"/>
      <c r="T94" s="29" t="s">
        <v>543</v>
      </c>
      <c r="U94" s="29"/>
      <c r="W94" s="39">
        <f t="shared" si="1"/>
        <v>72</v>
      </c>
    </row>
    <row r="95" spans="1:23" ht="39.950000000000003" customHeight="1">
      <c r="A95" s="25">
        <v>44077</v>
      </c>
      <c r="B95" s="126" t="s">
        <v>54</v>
      </c>
      <c r="C95" s="127" t="s">
        <v>94</v>
      </c>
      <c r="D95" s="128" t="s">
        <v>95</v>
      </c>
      <c r="E95" s="129">
        <v>93</v>
      </c>
      <c r="F95" s="45" t="s">
        <v>69</v>
      </c>
      <c r="G95" s="55" t="s">
        <v>21</v>
      </c>
      <c r="H95" s="55">
        <v>120</v>
      </c>
      <c r="I95" s="46"/>
      <c r="J95" s="46"/>
      <c r="K95" s="29"/>
      <c r="L95" s="100"/>
      <c r="M95" s="100"/>
      <c r="N95" s="100"/>
      <c r="O95" s="100" t="s">
        <v>29</v>
      </c>
      <c r="P95" s="91" t="s">
        <v>70</v>
      </c>
      <c r="Q95" s="100"/>
      <c r="R95" s="100"/>
      <c r="S95" s="100"/>
      <c r="T95" s="99" t="s">
        <v>544</v>
      </c>
      <c r="U95" s="29"/>
      <c r="W95" s="39">
        <f t="shared" si="1"/>
        <v>72</v>
      </c>
    </row>
    <row r="96" spans="1:23" ht="39.950000000000003" customHeight="1">
      <c r="A96" s="18">
        <v>44077</v>
      </c>
      <c r="B96" s="126" t="s">
        <v>55</v>
      </c>
      <c r="C96" s="127" t="s">
        <v>114</v>
      </c>
      <c r="D96" s="128" t="s">
        <v>115</v>
      </c>
      <c r="E96" s="129">
        <v>120</v>
      </c>
      <c r="F96" s="45" t="s">
        <v>69</v>
      </c>
      <c r="G96" s="55" t="s">
        <v>33</v>
      </c>
      <c r="H96" s="55">
        <v>100</v>
      </c>
      <c r="I96" s="46"/>
      <c r="J96" s="46"/>
      <c r="K96" s="29"/>
      <c r="L96" s="100"/>
      <c r="M96" s="100" t="s">
        <v>29</v>
      </c>
      <c r="N96" s="100"/>
      <c r="O96" s="100"/>
      <c r="P96" s="91" t="s">
        <v>70</v>
      </c>
      <c r="Q96" s="100"/>
      <c r="R96" s="100" t="s">
        <v>29</v>
      </c>
      <c r="S96" s="100" t="s">
        <v>29</v>
      </c>
      <c r="T96" s="29" t="s">
        <v>545</v>
      </c>
      <c r="U96" s="29"/>
      <c r="W96" s="39">
        <f t="shared" si="1"/>
        <v>73</v>
      </c>
    </row>
    <row r="97" spans="1:23" ht="39.950000000000003" customHeight="1">
      <c r="A97" s="18">
        <v>44077</v>
      </c>
      <c r="B97" s="126" t="s">
        <v>56</v>
      </c>
      <c r="C97" s="127" t="s">
        <v>139</v>
      </c>
      <c r="D97" s="128" t="s">
        <v>140</v>
      </c>
      <c r="E97" s="129">
        <v>47</v>
      </c>
      <c r="F97" s="45" t="s">
        <v>69</v>
      </c>
      <c r="G97" s="55" t="s">
        <v>30</v>
      </c>
      <c r="H97" s="55">
        <v>230</v>
      </c>
      <c r="I97" s="46"/>
      <c r="J97" s="46"/>
      <c r="K97" s="29"/>
      <c r="L97" s="100"/>
      <c r="M97" s="100"/>
      <c r="N97" s="100"/>
      <c r="O97" s="100"/>
      <c r="P97" s="91" t="s">
        <v>70</v>
      </c>
      <c r="Q97" s="100" t="s">
        <v>29</v>
      </c>
      <c r="R97" s="100" t="s">
        <v>29</v>
      </c>
      <c r="S97" s="100"/>
      <c r="T97" s="29" t="s">
        <v>546</v>
      </c>
      <c r="U97" s="29"/>
      <c r="W97" s="39">
        <f t="shared" si="1"/>
        <v>74</v>
      </c>
    </row>
    <row r="98" spans="1:23" ht="39.950000000000003" customHeight="1">
      <c r="A98" s="18">
        <v>44077</v>
      </c>
      <c r="B98" s="126" t="s">
        <v>57</v>
      </c>
      <c r="C98" s="127" t="s">
        <v>201</v>
      </c>
      <c r="D98" s="128" t="s">
        <v>202</v>
      </c>
      <c r="E98" s="129">
        <v>7</v>
      </c>
      <c r="F98" s="45" t="s">
        <v>69</v>
      </c>
      <c r="G98" s="55" t="s">
        <v>28</v>
      </c>
      <c r="H98" s="55">
        <v>230</v>
      </c>
      <c r="I98" s="46"/>
      <c r="J98" s="46"/>
      <c r="K98" s="29"/>
      <c r="L98" s="100"/>
      <c r="M98" s="100"/>
      <c r="N98" s="100"/>
      <c r="O98" s="100"/>
      <c r="P98" s="91" t="s">
        <v>70</v>
      </c>
      <c r="Q98" s="100" t="s">
        <v>29</v>
      </c>
      <c r="R98" s="100"/>
      <c r="S98" s="100"/>
      <c r="T98" s="29" t="s">
        <v>930</v>
      </c>
      <c r="U98" s="29"/>
      <c r="W98" s="39">
        <f t="shared" si="1"/>
        <v>75</v>
      </c>
    </row>
    <row r="99" spans="1:23" ht="39.950000000000003" customHeight="1">
      <c r="A99" s="18">
        <v>44077</v>
      </c>
      <c r="B99" s="126" t="s">
        <v>58</v>
      </c>
      <c r="C99" s="127" t="s">
        <v>94</v>
      </c>
      <c r="D99" s="128" t="s">
        <v>95</v>
      </c>
      <c r="E99" s="129">
        <v>53</v>
      </c>
      <c r="F99" s="45" t="s">
        <v>69</v>
      </c>
      <c r="G99" s="55" t="s">
        <v>21</v>
      </c>
      <c r="H99" s="55">
        <v>120</v>
      </c>
      <c r="I99" s="46"/>
      <c r="J99" s="46"/>
      <c r="K99" s="29"/>
      <c r="L99" s="100"/>
      <c r="M99" s="100"/>
      <c r="N99" s="100"/>
      <c r="O99" s="100" t="s">
        <v>29</v>
      </c>
      <c r="P99" s="91" t="s">
        <v>70</v>
      </c>
      <c r="Q99" s="100"/>
      <c r="R99" s="100"/>
      <c r="S99" s="100"/>
      <c r="T99" s="29" t="s">
        <v>547</v>
      </c>
      <c r="U99" s="29"/>
      <c r="W99" s="39">
        <f t="shared" si="1"/>
        <v>76</v>
      </c>
    </row>
    <row r="100" spans="1:23" ht="39.950000000000003" customHeight="1">
      <c r="A100" s="25">
        <v>44078</v>
      </c>
      <c r="B100" s="126" t="s">
        <v>54</v>
      </c>
      <c r="C100" s="127" t="s">
        <v>94</v>
      </c>
      <c r="D100" s="128" t="s">
        <v>95</v>
      </c>
      <c r="E100" s="129">
        <v>93</v>
      </c>
      <c r="F100" s="45" t="s">
        <v>69</v>
      </c>
      <c r="G100" s="55" t="s">
        <v>21</v>
      </c>
      <c r="H100" s="55">
        <v>120</v>
      </c>
      <c r="I100" s="46"/>
      <c r="J100" s="46"/>
      <c r="K100" s="29"/>
      <c r="L100" s="100"/>
      <c r="M100" s="100"/>
      <c r="N100" s="100"/>
      <c r="O100" s="100" t="s">
        <v>29</v>
      </c>
      <c r="P100" s="91" t="s">
        <v>70</v>
      </c>
      <c r="Q100" s="100"/>
      <c r="R100" s="100"/>
      <c r="S100" s="100"/>
      <c r="T100" s="29" t="s">
        <v>548</v>
      </c>
      <c r="U100" s="29"/>
      <c r="W100" s="39">
        <f t="shared" si="1"/>
        <v>76</v>
      </c>
    </row>
    <row r="101" spans="1:23" ht="39.950000000000003" customHeight="1">
      <c r="A101" s="18">
        <v>44078</v>
      </c>
      <c r="B101" s="126" t="s">
        <v>55</v>
      </c>
      <c r="C101" s="127" t="s">
        <v>114</v>
      </c>
      <c r="D101" s="128" t="s">
        <v>115</v>
      </c>
      <c r="E101" s="129">
        <v>92</v>
      </c>
      <c r="F101" s="45" t="s">
        <v>69</v>
      </c>
      <c r="G101" s="55" t="s">
        <v>33</v>
      </c>
      <c r="H101" s="55">
        <v>100</v>
      </c>
      <c r="I101" s="46"/>
      <c r="J101" s="46"/>
      <c r="K101" s="29"/>
      <c r="L101" s="100"/>
      <c r="M101" s="100" t="s">
        <v>29</v>
      </c>
      <c r="N101" s="100"/>
      <c r="O101" s="100"/>
      <c r="P101" s="91" t="s">
        <v>70</v>
      </c>
      <c r="Q101" s="100"/>
      <c r="R101" s="100" t="s">
        <v>29</v>
      </c>
      <c r="S101" s="100" t="s">
        <v>29</v>
      </c>
      <c r="T101" s="29" t="s">
        <v>549</v>
      </c>
      <c r="U101" s="29"/>
      <c r="W101" s="39">
        <f t="shared" si="1"/>
        <v>77</v>
      </c>
    </row>
    <row r="102" spans="1:23" ht="39.950000000000003" customHeight="1">
      <c r="A102" s="18">
        <v>44078</v>
      </c>
      <c r="B102" s="126" t="s">
        <v>56</v>
      </c>
      <c r="C102" s="127" t="s">
        <v>71</v>
      </c>
      <c r="D102" s="128" t="s">
        <v>75</v>
      </c>
      <c r="E102" s="129">
        <v>82</v>
      </c>
      <c r="F102" s="45" t="s">
        <v>69</v>
      </c>
      <c r="G102" s="55" t="s">
        <v>28</v>
      </c>
      <c r="H102" s="55">
        <v>230</v>
      </c>
      <c r="I102" s="46"/>
      <c r="J102" s="46"/>
      <c r="K102" s="29"/>
      <c r="L102" s="100"/>
      <c r="M102" s="100"/>
      <c r="N102" s="100"/>
      <c r="O102" s="100"/>
      <c r="P102" s="91" t="s">
        <v>70</v>
      </c>
      <c r="Q102" s="100" t="s">
        <v>29</v>
      </c>
      <c r="R102" s="100"/>
      <c r="S102" s="100"/>
      <c r="T102" s="29" t="s">
        <v>931</v>
      </c>
      <c r="U102" s="29"/>
      <c r="W102" s="39">
        <f t="shared" si="1"/>
        <v>78</v>
      </c>
    </row>
    <row r="103" spans="1:23" ht="39.950000000000003" customHeight="1">
      <c r="A103" s="18">
        <v>44078</v>
      </c>
      <c r="B103" s="126" t="s">
        <v>57</v>
      </c>
      <c r="C103" s="127" t="s">
        <v>203</v>
      </c>
      <c r="D103" s="128" t="s">
        <v>204</v>
      </c>
      <c r="E103" s="129">
        <v>53</v>
      </c>
      <c r="F103" s="45" t="s">
        <v>69</v>
      </c>
      <c r="G103" s="55" t="s">
        <v>33</v>
      </c>
      <c r="H103" s="55">
        <v>100</v>
      </c>
      <c r="I103" s="46"/>
      <c r="J103" s="46"/>
      <c r="K103" s="29"/>
      <c r="L103" s="100"/>
      <c r="M103" s="100"/>
      <c r="N103" s="100"/>
      <c r="O103" s="100" t="s">
        <v>29</v>
      </c>
      <c r="P103" s="91" t="s">
        <v>70</v>
      </c>
      <c r="Q103" s="100"/>
      <c r="R103" s="100" t="s">
        <v>29</v>
      </c>
      <c r="S103" s="100" t="s">
        <v>29</v>
      </c>
      <c r="T103" s="99" t="s">
        <v>550</v>
      </c>
      <c r="U103" s="29"/>
      <c r="W103" s="39">
        <f t="shared" si="1"/>
        <v>79</v>
      </c>
    </row>
    <row r="104" spans="1:23" ht="39.950000000000003" customHeight="1">
      <c r="A104" s="25">
        <v>44079</v>
      </c>
      <c r="B104" s="126" t="s">
        <v>54</v>
      </c>
      <c r="C104" s="127" t="s">
        <v>203</v>
      </c>
      <c r="D104" s="128" t="s">
        <v>204</v>
      </c>
      <c r="E104" s="129">
        <v>92</v>
      </c>
      <c r="F104" s="45" t="s">
        <v>69</v>
      </c>
      <c r="G104" s="55" t="s">
        <v>33</v>
      </c>
      <c r="H104" s="55">
        <v>100</v>
      </c>
      <c r="I104" s="46"/>
      <c r="J104" s="46"/>
      <c r="K104" s="29"/>
      <c r="L104" s="100"/>
      <c r="M104" s="100"/>
      <c r="N104" s="100"/>
      <c r="O104" s="100" t="s">
        <v>29</v>
      </c>
      <c r="P104" s="91" t="s">
        <v>70</v>
      </c>
      <c r="Q104" s="100"/>
      <c r="R104" s="100" t="s">
        <v>29</v>
      </c>
      <c r="S104" s="100" t="s">
        <v>29</v>
      </c>
      <c r="T104" s="99" t="s">
        <v>551</v>
      </c>
      <c r="U104" s="29"/>
      <c r="W104" s="39">
        <f t="shared" si="1"/>
        <v>79</v>
      </c>
    </row>
    <row r="105" spans="1:23" ht="39.950000000000003" customHeight="1">
      <c r="A105" s="18">
        <v>44079</v>
      </c>
      <c r="B105" s="126" t="s">
        <v>55</v>
      </c>
      <c r="C105" s="127" t="s">
        <v>114</v>
      </c>
      <c r="D105" s="128" t="s">
        <v>115</v>
      </c>
      <c r="E105" s="129">
        <v>115</v>
      </c>
      <c r="F105" s="45" t="s">
        <v>69</v>
      </c>
      <c r="G105" s="55" t="s">
        <v>33</v>
      </c>
      <c r="H105" s="55">
        <v>100</v>
      </c>
      <c r="I105" s="46"/>
      <c r="J105" s="46"/>
      <c r="K105" s="29"/>
      <c r="L105" s="100"/>
      <c r="M105" s="100" t="s">
        <v>29</v>
      </c>
      <c r="N105" s="100"/>
      <c r="O105" s="100"/>
      <c r="P105" s="91" t="s">
        <v>70</v>
      </c>
      <c r="Q105" s="100"/>
      <c r="R105" s="100" t="s">
        <v>29</v>
      </c>
      <c r="S105" s="100" t="s">
        <v>29</v>
      </c>
      <c r="T105" s="29" t="s">
        <v>552</v>
      </c>
      <c r="U105" s="29"/>
      <c r="W105" s="39">
        <f t="shared" si="1"/>
        <v>80</v>
      </c>
    </row>
    <row r="106" spans="1:23" ht="39.950000000000003" customHeight="1">
      <c r="A106" s="18">
        <v>44079</v>
      </c>
      <c r="B106" s="126" t="s">
        <v>56</v>
      </c>
      <c r="C106" s="127" t="s">
        <v>96</v>
      </c>
      <c r="D106" s="128" t="s">
        <v>97</v>
      </c>
      <c r="E106" s="129">
        <v>51</v>
      </c>
      <c r="F106" s="45" t="s">
        <v>69</v>
      </c>
      <c r="G106" s="55" t="s">
        <v>21</v>
      </c>
      <c r="H106" s="55">
        <v>120</v>
      </c>
      <c r="I106" s="46"/>
      <c r="J106" s="46"/>
      <c r="K106" s="29"/>
      <c r="L106" s="100"/>
      <c r="M106" s="100"/>
      <c r="N106" s="100"/>
      <c r="O106" s="100" t="s">
        <v>29</v>
      </c>
      <c r="P106" s="91" t="s">
        <v>70</v>
      </c>
      <c r="Q106" s="100"/>
      <c r="R106" s="100"/>
      <c r="S106" s="100"/>
      <c r="T106" s="29" t="s">
        <v>553</v>
      </c>
      <c r="U106" s="29"/>
      <c r="W106" s="39">
        <f t="shared" si="1"/>
        <v>81</v>
      </c>
    </row>
    <row r="107" spans="1:23" ht="39.950000000000003" customHeight="1">
      <c r="A107" s="18">
        <v>44079</v>
      </c>
      <c r="B107" s="126" t="s">
        <v>57</v>
      </c>
      <c r="C107" s="127" t="s">
        <v>146</v>
      </c>
      <c r="D107" s="128" t="s">
        <v>147</v>
      </c>
      <c r="E107" s="129">
        <v>2</v>
      </c>
      <c r="F107" s="45" t="s">
        <v>69</v>
      </c>
      <c r="G107" s="55" t="s">
        <v>148</v>
      </c>
      <c r="H107" s="55">
        <v>230</v>
      </c>
      <c r="I107" s="46"/>
      <c r="J107" s="46"/>
      <c r="K107" s="29"/>
      <c r="L107" s="100"/>
      <c r="M107" s="100"/>
      <c r="N107" s="100"/>
      <c r="O107" s="100" t="s">
        <v>29</v>
      </c>
      <c r="P107" s="91" t="s">
        <v>70</v>
      </c>
      <c r="Q107" s="100"/>
      <c r="R107" s="100" t="s">
        <v>29</v>
      </c>
      <c r="S107" s="100"/>
      <c r="T107" s="99" t="s">
        <v>554</v>
      </c>
      <c r="U107" s="29"/>
      <c r="W107" s="39">
        <f t="shared" si="1"/>
        <v>82</v>
      </c>
    </row>
    <row r="108" spans="1:23" ht="39.950000000000003" customHeight="1">
      <c r="A108" s="102">
        <v>44081</v>
      </c>
      <c r="B108" s="111" t="s">
        <v>54</v>
      </c>
      <c r="C108" s="130" t="s">
        <v>146</v>
      </c>
      <c r="D108" s="131" t="s">
        <v>147</v>
      </c>
      <c r="E108" s="132">
        <v>104</v>
      </c>
      <c r="F108" s="29" t="s">
        <v>69</v>
      </c>
      <c r="G108" s="112" t="s">
        <v>148</v>
      </c>
      <c r="H108" s="112">
        <v>230</v>
      </c>
      <c r="I108" s="29"/>
      <c r="J108" s="29"/>
      <c r="K108" s="29"/>
      <c r="L108" s="100"/>
      <c r="M108" s="100"/>
      <c r="N108" s="100"/>
      <c r="O108" s="100" t="s">
        <v>29</v>
      </c>
      <c r="P108" s="91" t="s">
        <v>70</v>
      </c>
      <c r="Q108" s="100"/>
      <c r="R108" s="100" t="s">
        <v>29</v>
      </c>
      <c r="S108" s="100"/>
      <c r="T108" s="99" t="s">
        <v>555</v>
      </c>
      <c r="U108" s="29"/>
      <c r="W108" s="39">
        <f t="shared" si="1"/>
        <v>82</v>
      </c>
    </row>
    <row r="109" spans="1:23" ht="39.950000000000003" customHeight="1">
      <c r="A109" s="101">
        <v>44081</v>
      </c>
      <c r="B109" s="111" t="s">
        <v>55</v>
      </c>
      <c r="C109" s="130" t="s">
        <v>114</v>
      </c>
      <c r="D109" s="131" t="s">
        <v>115</v>
      </c>
      <c r="E109" s="132">
        <v>60</v>
      </c>
      <c r="F109" s="29" t="s">
        <v>69</v>
      </c>
      <c r="G109" s="112" t="s">
        <v>33</v>
      </c>
      <c r="H109" s="112">
        <v>100</v>
      </c>
      <c r="I109" s="29"/>
      <c r="J109" s="29"/>
      <c r="K109" s="29"/>
      <c r="L109" s="100"/>
      <c r="M109" s="100" t="s">
        <v>29</v>
      </c>
      <c r="N109" s="100"/>
      <c r="O109" s="100"/>
      <c r="P109" s="91" t="s">
        <v>70</v>
      </c>
      <c r="Q109" s="100"/>
      <c r="R109" s="100" t="s">
        <v>29</v>
      </c>
      <c r="S109" s="100" t="s">
        <v>29</v>
      </c>
      <c r="T109" s="29" t="s">
        <v>556</v>
      </c>
      <c r="U109" s="29"/>
      <c r="W109" s="39">
        <f t="shared" si="1"/>
        <v>83</v>
      </c>
    </row>
    <row r="110" spans="1:23" ht="39.950000000000003" customHeight="1">
      <c r="A110" s="101">
        <v>44081</v>
      </c>
      <c r="B110" s="111" t="s">
        <v>56</v>
      </c>
      <c r="C110" s="130" t="s">
        <v>74</v>
      </c>
      <c r="D110" s="131" t="s">
        <v>78</v>
      </c>
      <c r="E110" s="132">
        <v>39</v>
      </c>
      <c r="F110" s="29" t="s">
        <v>69</v>
      </c>
      <c r="G110" s="112" t="s">
        <v>28</v>
      </c>
      <c r="H110" s="112">
        <v>230</v>
      </c>
      <c r="I110" s="29"/>
      <c r="J110" s="29"/>
      <c r="K110" s="29"/>
      <c r="L110" s="100"/>
      <c r="M110" s="100"/>
      <c r="N110" s="100"/>
      <c r="O110" s="100"/>
      <c r="P110" s="91" t="s">
        <v>70</v>
      </c>
      <c r="Q110" s="100" t="s">
        <v>29</v>
      </c>
      <c r="R110" s="100"/>
      <c r="S110" s="100"/>
      <c r="T110" s="99" t="s">
        <v>932</v>
      </c>
      <c r="U110" s="29"/>
      <c r="W110" s="39">
        <f t="shared" si="1"/>
        <v>84</v>
      </c>
    </row>
    <row r="111" spans="1:23" ht="39.950000000000003" customHeight="1">
      <c r="A111" s="101">
        <v>44081</v>
      </c>
      <c r="B111" s="111" t="s">
        <v>57</v>
      </c>
      <c r="C111" s="130" t="s">
        <v>218</v>
      </c>
      <c r="D111" s="131" t="s">
        <v>219</v>
      </c>
      <c r="E111" s="132">
        <v>7</v>
      </c>
      <c r="F111" s="29" t="s">
        <v>220</v>
      </c>
      <c r="G111" s="112" t="s">
        <v>21</v>
      </c>
      <c r="H111" s="112">
        <v>120</v>
      </c>
      <c r="I111" s="29"/>
      <c r="J111" s="29"/>
      <c r="K111" s="29"/>
      <c r="L111" s="100"/>
      <c r="M111" s="100"/>
      <c r="N111" s="100"/>
      <c r="O111" s="100" t="s">
        <v>29</v>
      </c>
      <c r="P111" s="91" t="s">
        <v>70</v>
      </c>
      <c r="Q111" s="100"/>
      <c r="R111" s="100"/>
      <c r="S111" s="100"/>
      <c r="T111" s="29" t="s">
        <v>557</v>
      </c>
      <c r="U111" s="29"/>
      <c r="W111" s="39">
        <f t="shared" si="1"/>
        <v>85</v>
      </c>
    </row>
    <row r="112" spans="1:23" ht="39.950000000000003" customHeight="1">
      <c r="A112" s="101">
        <v>44081</v>
      </c>
      <c r="B112" s="111" t="s">
        <v>58</v>
      </c>
      <c r="C112" s="130" t="s">
        <v>96</v>
      </c>
      <c r="D112" s="131" t="s">
        <v>97</v>
      </c>
      <c r="E112" s="132">
        <v>46</v>
      </c>
      <c r="F112" s="29" t="s">
        <v>69</v>
      </c>
      <c r="G112" s="112" t="s">
        <v>21</v>
      </c>
      <c r="H112" s="112">
        <v>120</v>
      </c>
      <c r="I112" s="29"/>
      <c r="J112" s="29"/>
      <c r="K112" s="29"/>
      <c r="L112" s="100"/>
      <c r="M112" s="100"/>
      <c r="N112" s="100"/>
      <c r="O112" s="100" t="s">
        <v>29</v>
      </c>
      <c r="P112" s="91" t="s">
        <v>70</v>
      </c>
      <c r="Q112" s="100"/>
      <c r="R112" s="100"/>
      <c r="S112" s="100"/>
      <c r="T112" s="29" t="s">
        <v>558</v>
      </c>
      <c r="U112" s="29"/>
      <c r="W112" s="39">
        <f t="shared" si="1"/>
        <v>86</v>
      </c>
    </row>
    <row r="113" spans="1:23" ht="39.950000000000003" customHeight="1">
      <c r="A113" s="102">
        <v>44082</v>
      </c>
      <c r="B113" s="111" t="s">
        <v>54</v>
      </c>
      <c r="C113" s="130" t="s">
        <v>96</v>
      </c>
      <c r="D113" s="131" t="s">
        <v>97</v>
      </c>
      <c r="E113" s="132">
        <v>62</v>
      </c>
      <c r="F113" s="29" t="s">
        <v>69</v>
      </c>
      <c r="G113" s="112" t="s">
        <v>21</v>
      </c>
      <c r="H113" s="112">
        <v>120</v>
      </c>
      <c r="I113" s="29"/>
      <c r="J113" s="29"/>
      <c r="K113" s="29"/>
      <c r="L113" s="100"/>
      <c r="M113" s="100"/>
      <c r="N113" s="100"/>
      <c r="O113" s="100" t="s">
        <v>29</v>
      </c>
      <c r="P113" s="91" t="s">
        <v>70</v>
      </c>
      <c r="Q113" s="100"/>
      <c r="R113" s="100"/>
      <c r="S113" s="100"/>
      <c r="T113" s="29" t="s">
        <v>559</v>
      </c>
      <c r="U113" s="29"/>
      <c r="W113" s="39">
        <f t="shared" si="1"/>
        <v>86</v>
      </c>
    </row>
    <row r="114" spans="1:23" ht="39.950000000000003" customHeight="1">
      <c r="A114" s="101">
        <v>44082</v>
      </c>
      <c r="B114" s="111" t="s">
        <v>55</v>
      </c>
      <c r="C114" s="130" t="s">
        <v>94</v>
      </c>
      <c r="D114" s="131" t="s">
        <v>95</v>
      </c>
      <c r="E114" s="132">
        <v>49</v>
      </c>
      <c r="F114" s="29" t="s">
        <v>69</v>
      </c>
      <c r="G114" s="112" t="s">
        <v>21</v>
      </c>
      <c r="H114" s="112">
        <v>120</v>
      </c>
      <c r="I114" s="29"/>
      <c r="J114" s="29"/>
      <c r="K114" s="29"/>
      <c r="L114" s="100"/>
      <c r="M114" s="100"/>
      <c r="N114" s="100"/>
      <c r="O114" s="100" t="s">
        <v>29</v>
      </c>
      <c r="P114" s="91" t="s">
        <v>70</v>
      </c>
      <c r="Q114" s="100"/>
      <c r="R114" s="100"/>
      <c r="S114" s="100"/>
      <c r="T114" s="29" t="s">
        <v>560</v>
      </c>
      <c r="U114" s="29"/>
      <c r="W114" s="39">
        <f t="shared" si="1"/>
        <v>87</v>
      </c>
    </row>
    <row r="115" spans="1:23" ht="39.950000000000003" customHeight="1">
      <c r="A115" s="101">
        <v>44082</v>
      </c>
      <c r="B115" s="111" t="s">
        <v>56</v>
      </c>
      <c r="C115" s="130" t="s">
        <v>114</v>
      </c>
      <c r="D115" s="131" t="s">
        <v>115</v>
      </c>
      <c r="E115" s="132">
        <v>60</v>
      </c>
      <c r="F115" s="29" t="s">
        <v>69</v>
      </c>
      <c r="G115" s="112" t="s">
        <v>33</v>
      </c>
      <c r="H115" s="112">
        <v>100</v>
      </c>
      <c r="I115" s="29"/>
      <c r="J115" s="29"/>
      <c r="K115" s="29"/>
      <c r="L115" s="100"/>
      <c r="M115" s="100" t="s">
        <v>29</v>
      </c>
      <c r="N115" s="100"/>
      <c r="O115" s="100"/>
      <c r="P115" s="91" t="s">
        <v>70</v>
      </c>
      <c r="Q115" s="100"/>
      <c r="R115" s="100" t="s">
        <v>29</v>
      </c>
      <c r="S115" s="100" t="s">
        <v>29</v>
      </c>
      <c r="T115" s="99" t="s">
        <v>561</v>
      </c>
      <c r="U115" s="29"/>
      <c r="W115" s="39">
        <f t="shared" si="1"/>
        <v>88</v>
      </c>
    </row>
    <row r="116" spans="1:23" ht="39.950000000000003" customHeight="1">
      <c r="A116" s="101">
        <v>44082</v>
      </c>
      <c r="B116" s="111" t="s">
        <v>57</v>
      </c>
      <c r="C116" s="130" t="s">
        <v>74</v>
      </c>
      <c r="D116" s="131" t="s">
        <v>78</v>
      </c>
      <c r="E116" s="132">
        <v>112</v>
      </c>
      <c r="F116" s="29" t="s">
        <v>69</v>
      </c>
      <c r="G116" s="112" t="s">
        <v>28</v>
      </c>
      <c r="H116" s="112">
        <v>230</v>
      </c>
      <c r="I116" s="29"/>
      <c r="J116" s="29"/>
      <c r="K116" s="29"/>
      <c r="L116" s="100"/>
      <c r="M116" s="100"/>
      <c r="N116" s="100"/>
      <c r="O116" s="100"/>
      <c r="P116" s="91" t="s">
        <v>70</v>
      </c>
      <c r="Q116" s="100" t="s">
        <v>29</v>
      </c>
      <c r="R116" s="100"/>
      <c r="S116" s="100"/>
      <c r="T116" s="99" t="s">
        <v>933</v>
      </c>
      <c r="U116" s="29"/>
      <c r="W116" s="39">
        <f t="shared" si="1"/>
        <v>89</v>
      </c>
    </row>
    <row r="117" spans="1:23" ht="39.950000000000003" customHeight="1">
      <c r="A117" s="101">
        <v>44082</v>
      </c>
      <c r="B117" s="111" t="s">
        <v>58</v>
      </c>
      <c r="C117" s="30" t="s">
        <v>203</v>
      </c>
      <c r="D117" s="31" t="s">
        <v>204</v>
      </c>
      <c r="E117" s="29">
        <v>53</v>
      </c>
      <c r="F117" s="29" t="s">
        <v>69</v>
      </c>
      <c r="G117" s="29" t="s">
        <v>33</v>
      </c>
      <c r="H117" s="29">
        <v>100</v>
      </c>
      <c r="I117" s="29"/>
      <c r="J117" s="29"/>
      <c r="K117" s="29"/>
      <c r="L117" s="100"/>
      <c r="M117" s="100"/>
      <c r="N117" s="100"/>
      <c r="O117" s="100" t="s">
        <v>29</v>
      </c>
      <c r="P117" s="91" t="s">
        <v>70</v>
      </c>
      <c r="Q117" s="100"/>
      <c r="R117" s="100" t="s">
        <v>29</v>
      </c>
      <c r="S117" s="100" t="s">
        <v>29</v>
      </c>
      <c r="T117" s="29" t="s">
        <v>562</v>
      </c>
      <c r="U117" s="29"/>
      <c r="W117" s="39">
        <f t="shared" si="1"/>
        <v>90</v>
      </c>
    </row>
    <row r="118" spans="1:23" ht="39.950000000000003" customHeight="1">
      <c r="A118" s="102">
        <v>44083</v>
      </c>
      <c r="B118" s="111" t="s">
        <v>54</v>
      </c>
      <c r="C118" s="30" t="s">
        <v>203</v>
      </c>
      <c r="D118" s="31" t="s">
        <v>204</v>
      </c>
      <c r="E118" s="29">
        <v>23</v>
      </c>
      <c r="F118" s="29" t="s">
        <v>69</v>
      </c>
      <c r="G118" s="29" t="s">
        <v>33</v>
      </c>
      <c r="H118" s="29">
        <v>100</v>
      </c>
      <c r="I118" s="29"/>
      <c r="J118" s="29"/>
      <c r="K118" s="29"/>
      <c r="L118" s="100"/>
      <c r="M118" s="100"/>
      <c r="N118" s="100"/>
      <c r="O118" s="100" t="s">
        <v>29</v>
      </c>
      <c r="P118" s="91" t="s">
        <v>70</v>
      </c>
      <c r="Q118" s="100"/>
      <c r="R118" s="100" t="s">
        <v>29</v>
      </c>
      <c r="S118" s="100" t="s">
        <v>29</v>
      </c>
      <c r="T118" s="29" t="s">
        <v>563</v>
      </c>
      <c r="U118" s="29"/>
      <c r="W118" s="39">
        <f t="shared" si="1"/>
        <v>90</v>
      </c>
    </row>
    <row r="119" spans="1:23" ht="39.950000000000003" customHeight="1">
      <c r="A119" s="101">
        <v>44083</v>
      </c>
      <c r="B119" s="111" t="s">
        <v>55</v>
      </c>
      <c r="C119" s="30" t="s">
        <v>94</v>
      </c>
      <c r="D119" s="31" t="s">
        <v>95</v>
      </c>
      <c r="E119" s="29">
        <v>80</v>
      </c>
      <c r="F119" s="29" t="s">
        <v>69</v>
      </c>
      <c r="G119" s="29" t="s">
        <v>21</v>
      </c>
      <c r="H119" s="29">
        <v>120</v>
      </c>
      <c r="I119" s="29"/>
      <c r="J119" s="29"/>
      <c r="K119" s="29"/>
      <c r="L119" s="100"/>
      <c r="M119" s="100"/>
      <c r="N119" s="100"/>
      <c r="O119" s="100" t="s">
        <v>29</v>
      </c>
      <c r="P119" s="91" t="s">
        <v>70</v>
      </c>
      <c r="Q119" s="100"/>
      <c r="R119" s="100"/>
      <c r="S119" s="100"/>
      <c r="T119" s="29" t="s">
        <v>564</v>
      </c>
      <c r="U119" s="29"/>
      <c r="W119" s="39">
        <f t="shared" si="1"/>
        <v>91</v>
      </c>
    </row>
    <row r="120" spans="1:23" ht="39.950000000000003" customHeight="1">
      <c r="A120" s="101">
        <v>44083</v>
      </c>
      <c r="B120" s="111" t="s">
        <v>56</v>
      </c>
      <c r="C120" s="30" t="s">
        <v>114</v>
      </c>
      <c r="D120" s="31" t="s">
        <v>115</v>
      </c>
      <c r="E120" s="29">
        <v>60</v>
      </c>
      <c r="F120" s="29" t="s">
        <v>69</v>
      </c>
      <c r="G120" s="29" t="s">
        <v>33</v>
      </c>
      <c r="H120" s="29">
        <v>100</v>
      </c>
      <c r="I120" s="29"/>
      <c r="J120" s="29"/>
      <c r="K120" s="29"/>
      <c r="L120" s="100"/>
      <c r="M120" s="100" t="s">
        <v>29</v>
      </c>
      <c r="N120" s="100"/>
      <c r="O120" s="100"/>
      <c r="P120" s="91" t="s">
        <v>70</v>
      </c>
      <c r="Q120" s="100"/>
      <c r="R120" s="100" t="s">
        <v>29</v>
      </c>
      <c r="S120" s="100" t="s">
        <v>29</v>
      </c>
      <c r="T120" s="29" t="s">
        <v>565</v>
      </c>
      <c r="U120" s="29"/>
      <c r="W120" s="39">
        <f t="shared" si="1"/>
        <v>92</v>
      </c>
    </row>
    <row r="121" spans="1:23" ht="39.950000000000003" customHeight="1">
      <c r="A121" s="101">
        <v>44083</v>
      </c>
      <c r="B121" s="111" t="s">
        <v>57</v>
      </c>
      <c r="C121" s="30" t="s">
        <v>139</v>
      </c>
      <c r="D121" s="31" t="s">
        <v>140</v>
      </c>
      <c r="E121" s="29">
        <v>37</v>
      </c>
      <c r="F121" s="29" t="s">
        <v>69</v>
      </c>
      <c r="G121" s="29" t="s">
        <v>30</v>
      </c>
      <c r="H121" s="29">
        <v>230</v>
      </c>
      <c r="I121" s="29"/>
      <c r="J121" s="29"/>
      <c r="K121" s="29"/>
      <c r="L121" s="100"/>
      <c r="M121" s="100"/>
      <c r="N121" s="100"/>
      <c r="O121" s="100"/>
      <c r="P121" s="91" t="s">
        <v>70</v>
      </c>
      <c r="Q121" s="100" t="s">
        <v>29</v>
      </c>
      <c r="R121" s="100" t="s">
        <v>29</v>
      </c>
      <c r="S121" s="100"/>
      <c r="T121" s="29" t="s">
        <v>566</v>
      </c>
      <c r="U121" s="29"/>
      <c r="W121" s="39">
        <f t="shared" si="1"/>
        <v>93</v>
      </c>
    </row>
    <row r="122" spans="1:23" ht="39.950000000000003" customHeight="1">
      <c r="A122" s="101">
        <v>44083</v>
      </c>
      <c r="B122" s="111" t="s">
        <v>58</v>
      </c>
      <c r="C122" s="30" t="s">
        <v>106</v>
      </c>
      <c r="D122" s="31" t="s">
        <v>107</v>
      </c>
      <c r="E122" s="29">
        <v>49</v>
      </c>
      <c r="F122" s="29" t="s">
        <v>69</v>
      </c>
      <c r="G122" s="29" t="s">
        <v>18</v>
      </c>
      <c r="H122" s="29">
        <v>220</v>
      </c>
      <c r="I122" s="29"/>
      <c r="J122" s="29"/>
      <c r="K122" s="29"/>
      <c r="L122" s="100"/>
      <c r="M122" s="100"/>
      <c r="N122" s="100"/>
      <c r="O122" s="100"/>
      <c r="P122" s="91" t="s">
        <v>70</v>
      </c>
      <c r="Q122" s="100" t="s">
        <v>29</v>
      </c>
      <c r="R122" s="100" t="s">
        <v>29</v>
      </c>
      <c r="S122" s="100"/>
      <c r="T122" s="99" t="s">
        <v>567</v>
      </c>
      <c r="U122" s="29"/>
      <c r="W122" s="39">
        <f t="shared" si="1"/>
        <v>94</v>
      </c>
    </row>
    <row r="123" spans="1:23" ht="39.950000000000003" customHeight="1">
      <c r="A123" s="101">
        <v>44083</v>
      </c>
      <c r="B123" s="111" t="s">
        <v>59</v>
      </c>
      <c r="C123" s="30" t="s">
        <v>201</v>
      </c>
      <c r="D123" s="31" t="s">
        <v>202</v>
      </c>
      <c r="E123" s="29">
        <v>34</v>
      </c>
      <c r="F123" s="29" t="s">
        <v>69</v>
      </c>
      <c r="G123" s="29" t="s">
        <v>28</v>
      </c>
      <c r="H123" s="29">
        <v>230</v>
      </c>
      <c r="I123" s="29"/>
      <c r="J123" s="29"/>
      <c r="K123" s="29"/>
      <c r="L123" s="100"/>
      <c r="M123" s="100"/>
      <c r="N123" s="100"/>
      <c r="O123" s="100"/>
      <c r="P123" s="91" t="s">
        <v>70</v>
      </c>
      <c r="Q123" s="100" t="s">
        <v>29</v>
      </c>
      <c r="R123" s="100"/>
      <c r="S123" s="100"/>
      <c r="T123" s="29" t="s">
        <v>934</v>
      </c>
      <c r="U123" s="29"/>
      <c r="W123" s="39">
        <f t="shared" si="1"/>
        <v>95</v>
      </c>
    </row>
    <row r="124" spans="1:23" ht="39.950000000000003" customHeight="1">
      <c r="A124" s="101">
        <v>44083</v>
      </c>
      <c r="B124" s="111" t="s">
        <v>60</v>
      </c>
      <c r="C124" s="30" t="s">
        <v>203</v>
      </c>
      <c r="D124" s="31" t="s">
        <v>204</v>
      </c>
      <c r="E124" s="29">
        <v>53</v>
      </c>
      <c r="F124" s="29" t="s">
        <v>69</v>
      </c>
      <c r="G124" s="29" t="s">
        <v>33</v>
      </c>
      <c r="H124" s="29">
        <v>100</v>
      </c>
      <c r="I124" s="29"/>
      <c r="J124" s="29"/>
      <c r="K124" s="29"/>
      <c r="L124" s="100"/>
      <c r="M124" s="100"/>
      <c r="N124" s="100"/>
      <c r="O124" s="100" t="s">
        <v>29</v>
      </c>
      <c r="P124" s="91" t="s">
        <v>70</v>
      </c>
      <c r="Q124" s="100"/>
      <c r="R124" s="100" t="s">
        <v>29</v>
      </c>
      <c r="S124" s="100" t="s">
        <v>29</v>
      </c>
      <c r="T124" s="29" t="s">
        <v>568</v>
      </c>
      <c r="U124" s="29"/>
      <c r="W124" s="39">
        <f t="shared" si="1"/>
        <v>96</v>
      </c>
    </row>
    <row r="125" spans="1:23" ht="39.950000000000003" customHeight="1">
      <c r="A125" s="102">
        <v>44084</v>
      </c>
      <c r="B125" s="111" t="s">
        <v>54</v>
      </c>
      <c r="C125" s="30" t="s">
        <v>203</v>
      </c>
      <c r="D125" s="31" t="s">
        <v>204</v>
      </c>
      <c r="E125" s="29">
        <v>27</v>
      </c>
      <c r="F125" s="29" t="s">
        <v>69</v>
      </c>
      <c r="G125" s="29" t="s">
        <v>33</v>
      </c>
      <c r="H125" s="29">
        <v>100</v>
      </c>
      <c r="I125" s="29"/>
      <c r="J125" s="29"/>
      <c r="K125" s="29"/>
      <c r="L125" s="100"/>
      <c r="M125" s="100"/>
      <c r="N125" s="100"/>
      <c r="O125" s="100" t="s">
        <v>29</v>
      </c>
      <c r="P125" s="91" t="s">
        <v>70</v>
      </c>
      <c r="Q125" s="100"/>
      <c r="R125" s="100" t="s">
        <v>29</v>
      </c>
      <c r="S125" s="100" t="s">
        <v>29</v>
      </c>
      <c r="T125" s="29" t="s">
        <v>569</v>
      </c>
      <c r="U125" s="29"/>
      <c r="W125" s="39">
        <f t="shared" si="1"/>
        <v>96</v>
      </c>
    </row>
    <row r="126" spans="1:23" ht="39.950000000000003" customHeight="1">
      <c r="A126" s="101">
        <v>44084</v>
      </c>
      <c r="B126" s="111" t="s">
        <v>55</v>
      </c>
      <c r="C126" s="30" t="s">
        <v>94</v>
      </c>
      <c r="D126" s="31" t="s">
        <v>95</v>
      </c>
      <c r="E126" s="29">
        <v>76</v>
      </c>
      <c r="F126" s="29" t="s">
        <v>69</v>
      </c>
      <c r="G126" s="29" t="s">
        <v>21</v>
      </c>
      <c r="H126" s="29">
        <v>120</v>
      </c>
      <c r="I126" s="29"/>
      <c r="J126" s="29"/>
      <c r="K126" s="29"/>
      <c r="L126" s="100"/>
      <c r="M126" s="100"/>
      <c r="N126" s="100"/>
      <c r="O126" s="100" t="s">
        <v>29</v>
      </c>
      <c r="P126" s="91" t="s">
        <v>70</v>
      </c>
      <c r="Q126" s="100"/>
      <c r="R126" s="100"/>
      <c r="S126" s="100"/>
      <c r="T126" s="29" t="s">
        <v>570</v>
      </c>
      <c r="U126" s="29"/>
      <c r="W126" s="39">
        <f t="shared" si="1"/>
        <v>97</v>
      </c>
    </row>
    <row r="127" spans="1:23" ht="39.950000000000003" customHeight="1">
      <c r="A127" s="101">
        <v>44084</v>
      </c>
      <c r="B127" s="111" t="s">
        <v>56</v>
      </c>
      <c r="C127" s="30" t="s">
        <v>114</v>
      </c>
      <c r="D127" s="31" t="s">
        <v>115</v>
      </c>
      <c r="E127" s="29">
        <v>60</v>
      </c>
      <c r="F127" s="29" t="s">
        <v>69</v>
      </c>
      <c r="G127" s="29" t="s">
        <v>33</v>
      </c>
      <c r="H127" s="29">
        <v>100</v>
      </c>
      <c r="I127" s="29"/>
      <c r="J127" s="29"/>
      <c r="K127" s="29"/>
      <c r="L127" s="100"/>
      <c r="M127" s="100" t="s">
        <v>29</v>
      </c>
      <c r="N127" s="100"/>
      <c r="O127" s="100"/>
      <c r="P127" s="91" t="s">
        <v>70</v>
      </c>
      <c r="Q127" s="100"/>
      <c r="R127" s="100" t="s">
        <v>29</v>
      </c>
      <c r="S127" s="100" t="s">
        <v>29</v>
      </c>
      <c r="T127" s="29" t="s">
        <v>571</v>
      </c>
      <c r="U127" s="29"/>
      <c r="W127" s="39">
        <f t="shared" si="1"/>
        <v>98</v>
      </c>
    </row>
    <row r="128" spans="1:23" ht="39.950000000000003" customHeight="1">
      <c r="A128" s="101">
        <v>44084</v>
      </c>
      <c r="B128" s="111" t="s">
        <v>57</v>
      </c>
      <c r="C128" s="30" t="s">
        <v>71</v>
      </c>
      <c r="D128" s="31" t="s">
        <v>75</v>
      </c>
      <c r="E128" s="29">
        <v>76</v>
      </c>
      <c r="F128" s="29" t="s">
        <v>69</v>
      </c>
      <c r="G128" s="29" t="s">
        <v>28</v>
      </c>
      <c r="H128" s="29">
        <v>230</v>
      </c>
      <c r="I128" s="29"/>
      <c r="J128" s="29"/>
      <c r="K128" s="29"/>
      <c r="L128" s="100"/>
      <c r="M128" s="100"/>
      <c r="N128" s="100"/>
      <c r="O128" s="100"/>
      <c r="P128" s="91" t="s">
        <v>70</v>
      </c>
      <c r="Q128" s="100" t="s">
        <v>29</v>
      </c>
      <c r="R128" s="100"/>
      <c r="S128" s="100"/>
      <c r="T128" s="29" t="s">
        <v>935</v>
      </c>
      <c r="U128" s="29"/>
      <c r="W128" s="39">
        <f t="shared" si="1"/>
        <v>99</v>
      </c>
    </row>
    <row r="129" spans="1:23" ht="39.950000000000003" customHeight="1">
      <c r="A129" s="101">
        <v>44084</v>
      </c>
      <c r="B129" s="111" t="s">
        <v>58</v>
      </c>
      <c r="C129" s="30" t="s">
        <v>201</v>
      </c>
      <c r="D129" s="31" t="s">
        <v>202</v>
      </c>
      <c r="E129" s="29">
        <v>28</v>
      </c>
      <c r="F129" s="29" t="s">
        <v>69</v>
      </c>
      <c r="G129" s="29" t="s">
        <v>28</v>
      </c>
      <c r="H129" s="29">
        <v>230</v>
      </c>
      <c r="I129" s="29"/>
      <c r="J129" s="29"/>
      <c r="K129" s="29"/>
      <c r="L129" s="100"/>
      <c r="M129" s="100"/>
      <c r="N129" s="100"/>
      <c r="O129" s="100"/>
      <c r="P129" s="91" t="s">
        <v>70</v>
      </c>
      <c r="Q129" s="100" t="s">
        <v>29</v>
      </c>
      <c r="R129" s="100"/>
      <c r="S129" s="100"/>
      <c r="T129" s="99" t="s">
        <v>936</v>
      </c>
      <c r="U129" s="29"/>
      <c r="W129" s="39">
        <f t="shared" si="1"/>
        <v>100</v>
      </c>
    </row>
    <row r="130" spans="1:23" ht="39.950000000000003" customHeight="1">
      <c r="A130" s="101">
        <v>44084</v>
      </c>
      <c r="B130" s="111" t="s">
        <v>59</v>
      </c>
      <c r="C130" s="30" t="s">
        <v>203</v>
      </c>
      <c r="D130" s="31" t="s">
        <v>204</v>
      </c>
      <c r="E130" s="29">
        <v>53</v>
      </c>
      <c r="F130" s="29" t="s">
        <v>69</v>
      </c>
      <c r="G130" s="29" t="s">
        <v>33</v>
      </c>
      <c r="H130" s="29">
        <v>100</v>
      </c>
      <c r="I130" s="29"/>
      <c r="J130" s="29"/>
      <c r="K130" s="29"/>
      <c r="L130" s="100"/>
      <c r="M130" s="100"/>
      <c r="N130" s="100"/>
      <c r="O130" s="100" t="s">
        <v>29</v>
      </c>
      <c r="P130" s="91" t="s">
        <v>70</v>
      </c>
      <c r="Q130" s="100"/>
      <c r="R130" s="100" t="s">
        <v>29</v>
      </c>
      <c r="S130" s="100" t="s">
        <v>29</v>
      </c>
      <c r="T130" s="29" t="s">
        <v>572</v>
      </c>
      <c r="U130" s="29"/>
      <c r="W130" s="39">
        <f t="shared" ref="W130:W146" si="2">IF(C130=C129,W129,W129+1)</f>
        <v>101</v>
      </c>
    </row>
    <row r="131" spans="1:23" ht="39.950000000000003" customHeight="1">
      <c r="A131" s="102">
        <v>44085</v>
      </c>
      <c r="B131" s="111" t="s">
        <v>54</v>
      </c>
      <c r="C131" s="30" t="s">
        <v>203</v>
      </c>
      <c r="D131" s="31" t="s">
        <v>204</v>
      </c>
      <c r="E131" s="29">
        <v>39</v>
      </c>
      <c r="F131" s="29" t="s">
        <v>69</v>
      </c>
      <c r="G131" s="29" t="s">
        <v>33</v>
      </c>
      <c r="H131" s="29">
        <v>100</v>
      </c>
      <c r="I131" s="29"/>
      <c r="J131" s="29"/>
      <c r="K131" s="29"/>
      <c r="L131" s="100"/>
      <c r="M131" s="100"/>
      <c r="N131" s="100"/>
      <c r="O131" s="100" t="s">
        <v>29</v>
      </c>
      <c r="P131" s="91" t="s">
        <v>70</v>
      </c>
      <c r="Q131" s="100"/>
      <c r="R131" s="100" t="s">
        <v>29</v>
      </c>
      <c r="S131" s="100" t="s">
        <v>29</v>
      </c>
      <c r="T131" s="29" t="s">
        <v>573</v>
      </c>
      <c r="U131" s="29"/>
      <c r="W131" s="39">
        <f t="shared" si="2"/>
        <v>101</v>
      </c>
    </row>
    <row r="132" spans="1:23" ht="39.950000000000003" customHeight="1">
      <c r="A132" s="101">
        <v>44085</v>
      </c>
      <c r="B132" s="111" t="s">
        <v>55</v>
      </c>
      <c r="C132" s="30" t="s">
        <v>94</v>
      </c>
      <c r="D132" s="31" t="s">
        <v>95</v>
      </c>
      <c r="E132" s="29">
        <v>64</v>
      </c>
      <c r="F132" s="29" t="s">
        <v>69</v>
      </c>
      <c r="G132" s="29" t="s">
        <v>21</v>
      </c>
      <c r="H132" s="29">
        <v>120</v>
      </c>
      <c r="I132" s="29"/>
      <c r="J132" s="29"/>
      <c r="K132" s="29"/>
      <c r="L132" s="100"/>
      <c r="M132" s="100"/>
      <c r="N132" s="100"/>
      <c r="O132" s="100" t="s">
        <v>29</v>
      </c>
      <c r="P132" s="91" t="s">
        <v>70</v>
      </c>
      <c r="Q132" s="100"/>
      <c r="R132" s="100"/>
      <c r="S132" s="100"/>
      <c r="T132" s="99" t="s">
        <v>574</v>
      </c>
      <c r="U132" s="29"/>
      <c r="W132" s="39">
        <f t="shared" si="2"/>
        <v>102</v>
      </c>
    </row>
    <row r="133" spans="1:23" ht="39.950000000000003" customHeight="1">
      <c r="A133" s="101">
        <v>44085</v>
      </c>
      <c r="B133" s="111" t="s">
        <v>56</v>
      </c>
      <c r="C133" s="30" t="s">
        <v>114</v>
      </c>
      <c r="D133" s="31" t="s">
        <v>115</v>
      </c>
      <c r="E133" s="29">
        <v>7</v>
      </c>
      <c r="F133" s="29" t="s">
        <v>69</v>
      </c>
      <c r="G133" s="29" t="s">
        <v>33</v>
      </c>
      <c r="H133" s="29">
        <v>100</v>
      </c>
      <c r="I133" s="29"/>
      <c r="J133" s="29"/>
      <c r="K133" s="29"/>
      <c r="L133" s="100"/>
      <c r="M133" s="100" t="s">
        <v>29</v>
      </c>
      <c r="N133" s="100"/>
      <c r="O133" s="100"/>
      <c r="P133" s="91" t="s">
        <v>70</v>
      </c>
      <c r="Q133" s="100"/>
      <c r="R133" s="100" t="s">
        <v>29</v>
      </c>
      <c r="S133" s="100" t="s">
        <v>29</v>
      </c>
      <c r="T133" s="29" t="s">
        <v>575</v>
      </c>
      <c r="U133" s="29"/>
      <c r="W133" s="39">
        <f t="shared" si="2"/>
        <v>103</v>
      </c>
    </row>
    <row r="134" spans="1:23" ht="39.950000000000003" customHeight="1">
      <c r="A134" s="101">
        <v>44085</v>
      </c>
      <c r="B134" s="111" t="s">
        <v>57</v>
      </c>
      <c r="C134" s="30" t="s">
        <v>71</v>
      </c>
      <c r="D134" s="31" t="s">
        <v>75</v>
      </c>
      <c r="E134" s="29">
        <v>44</v>
      </c>
      <c r="F134" s="29" t="s">
        <v>69</v>
      </c>
      <c r="G134" s="29" t="s">
        <v>28</v>
      </c>
      <c r="H134" s="29">
        <v>230</v>
      </c>
      <c r="I134" s="29"/>
      <c r="J134" s="29"/>
      <c r="K134" s="29"/>
      <c r="L134" s="100"/>
      <c r="M134" s="100"/>
      <c r="N134" s="100"/>
      <c r="O134" s="100"/>
      <c r="P134" s="91" t="s">
        <v>70</v>
      </c>
      <c r="Q134" s="100" t="s">
        <v>29</v>
      </c>
      <c r="R134" s="100"/>
      <c r="S134" s="100"/>
      <c r="T134" s="29" t="s">
        <v>937</v>
      </c>
      <c r="U134" s="29"/>
      <c r="W134" s="39">
        <f t="shared" si="2"/>
        <v>104</v>
      </c>
    </row>
    <row r="135" spans="1:23" ht="39.950000000000003" customHeight="1">
      <c r="A135" s="101">
        <v>44085</v>
      </c>
      <c r="B135" s="111" t="s">
        <v>58</v>
      </c>
      <c r="C135" s="30" t="s">
        <v>203</v>
      </c>
      <c r="D135" s="31" t="s">
        <v>204</v>
      </c>
      <c r="E135" s="29">
        <v>53</v>
      </c>
      <c r="F135" s="29" t="s">
        <v>69</v>
      </c>
      <c r="G135" s="29" t="s">
        <v>33</v>
      </c>
      <c r="H135" s="29">
        <v>100</v>
      </c>
      <c r="I135" s="29"/>
      <c r="J135" s="29"/>
      <c r="K135" s="29"/>
      <c r="L135" s="100"/>
      <c r="M135" s="100"/>
      <c r="N135" s="100"/>
      <c r="O135" s="100" t="s">
        <v>29</v>
      </c>
      <c r="P135" s="91" t="s">
        <v>70</v>
      </c>
      <c r="Q135" s="100"/>
      <c r="R135" s="100" t="s">
        <v>29</v>
      </c>
      <c r="S135" s="100" t="s">
        <v>29</v>
      </c>
      <c r="T135" s="29" t="s">
        <v>576</v>
      </c>
      <c r="U135" s="29"/>
      <c r="W135" s="39">
        <f t="shared" si="2"/>
        <v>105</v>
      </c>
    </row>
    <row r="136" spans="1:23" ht="39.950000000000003" customHeight="1">
      <c r="A136" s="101">
        <v>44085</v>
      </c>
      <c r="B136" s="111" t="s">
        <v>59</v>
      </c>
      <c r="C136" s="30" t="s">
        <v>96</v>
      </c>
      <c r="D136" s="31" t="s">
        <v>97</v>
      </c>
      <c r="E136" s="29">
        <v>53</v>
      </c>
      <c r="F136" s="29" t="s">
        <v>69</v>
      </c>
      <c r="G136" s="29" t="s">
        <v>21</v>
      </c>
      <c r="H136" s="29">
        <v>120</v>
      </c>
      <c r="I136" s="29"/>
      <c r="J136" s="29"/>
      <c r="K136" s="29"/>
      <c r="L136" s="100"/>
      <c r="M136" s="100"/>
      <c r="N136" s="100"/>
      <c r="O136" s="100" t="s">
        <v>29</v>
      </c>
      <c r="P136" s="91" t="s">
        <v>70</v>
      </c>
      <c r="Q136" s="100"/>
      <c r="R136" s="100"/>
      <c r="S136" s="100"/>
      <c r="T136" s="99" t="s">
        <v>577</v>
      </c>
      <c r="U136" s="29"/>
      <c r="W136" s="39">
        <f t="shared" si="2"/>
        <v>106</v>
      </c>
    </row>
    <row r="137" spans="1:23" ht="39.950000000000003" customHeight="1">
      <c r="A137" s="135"/>
      <c r="B137" s="111"/>
      <c r="C137" s="30"/>
      <c r="D137" s="31"/>
      <c r="E137" s="29"/>
      <c r="F137" s="29"/>
      <c r="G137" s="29"/>
      <c r="H137" s="29"/>
      <c r="I137" s="29"/>
      <c r="J137" s="29"/>
      <c r="K137" s="29"/>
      <c r="L137" s="100"/>
      <c r="M137" s="100"/>
      <c r="N137" s="100"/>
      <c r="O137" s="100"/>
      <c r="P137" s="91"/>
      <c r="Q137" s="100"/>
      <c r="R137" s="100"/>
      <c r="S137" s="100"/>
      <c r="T137" s="99"/>
      <c r="U137" s="29"/>
      <c r="W137" s="39">
        <f t="shared" si="2"/>
        <v>107</v>
      </c>
    </row>
    <row r="138" spans="1:23" ht="39.950000000000003" customHeight="1">
      <c r="A138" s="136"/>
      <c r="B138" s="111"/>
      <c r="C138" s="30"/>
      <c r="D138" s="31"/>
      <c r="E138" s="29"/>
      <c r="F138" s="29"/>
      <c r="G138" s="29"/>
      <c r="H138" s="29"/>
      <c r="I138" s="29"/>
      <c r="J138" s="29"/>
      <c r="K138" s="29"/>
      <c r="L138" s="100"/>
      <c r="M138" s="100"/>
      <c r="N138" s="100"/>
      <c r="O138" s="100"/>
      <c r="P138" s="91"/>
      <c r="Q138" s="100"/>
      <c r="R138" s="100"/>
      <c r="S138" s="100"/>
      <c r="T138" s="29"/>
      <c r="U138" s="29"/>
      <c r="W138" s="39">
        <f t="shared" si="2"/>
        <v>107</v>
      </c>
    </row>
    <row r="139" spans="1:23" ht="39.950000000000003" customHeight="1">
      <c r="A139" s="136"/>
      <c r="B139" s="111"/>
      <c r="C139" s="30"/>
      <c r="D139" s="31"/>
      <c r="E139" s="29"/>
      <c r="F139" s="29"/>
      <c r="G139" s="29"/>
      <c r="H139" s="29"/>
      <c r="I139" s="29"/>
      <c r="J139" s="29"/>
      <c r="K139" s="29"/>
      <c r="L139" s="100"/>
      <c r="M139" s="100"/>
      <c r="N139" s="100"/>
      <c r="O139" s="100"/>
      <c r="P139" s="91"/>
      <c r="Q139" s="100"/>
      <c r="R139" s="100"/>
      <c r="S139" s="100"/>
      <c r="T139" s="29"/>
      <c r="U139" s="29"/>
      <c r="W139" s="39">
        <f t="shared" si="2"/>
        <v>107</v>
      </c>
    </row>
    <row r="140" spans="1:23" ht="39.950000000000003" customHeight="1">
      <c r="A140" s="137"/>
      <c r="B140" s="113"/>
      <c r="C140" s="34"/>
      <c r="D140" s="32"/>
      <c r="E140" s="33"/>
      <c r="F140" s="33"/>
      <c r="G140" s="33"/>
      <c r="H140" s="33"/>
      <c r="I140" s="33"/>
      <c r="J140" s="33"/>
      <c r="K140" s="33"/>
      <c r="L140" s="103"/>
      <c r="M140" s="103"/>
      <c r="N140" s="103"/>
      <c r="O140" s="103"/>
      <c r="P140" s="103"/>
      <c r="Q140" s="103"/>
      <c r="R140" s="103"/>
      <c r="S140" s="103"/>
      <c r="T140" s="33"/>
      <c r="U140" s="33"/>
      <c r="W140" s="39">
        <f t="shared" si="2"/>
        <v>107</v>
      </c>
    </row>
    <row r="141" spans="1:23" ht="20.25" customHeight="1">
      <c r="A141" s="47"/>
      <c r="W141" s="39">
        <f t="shared" si="2"/>
        <v>107</v>
      </c>
    </row>
    <row r="142" spans="1:23" ht="20.25" customHeight="1">
      <c r="A142" s="47"/>
      <c r="W142" s="39">
        <f t="shared" si="2"/>
        <v>107</v>
      </c>
    </row>
    <row r="143" spans="1:23" ht="20.25" customHeight="1">
      <c r="A143" s="104"/>
      <c r="W143" s="39">
        <f t="shared" si="2"/>
        <v>107</v>
      </c>
    </row>
    <row r="144" spans="1:23" ht="20.25" customHeight="1">
      <c r="A144" s="47"/>
      <c r="W144" s="39">
        <f t="shared" si="2"/>
        <v>107</v>
      </c>
    </row>
    <row r="145" spans="1:23" ht="20.25" customHeight="1">
      <c r="A145" s="47"/>
      <c r="W145" s="39">
        <f t="shared" si="2"/>
        <v>107</v>
      </c>
    </row>
    <row r="146" spans="1:23" ht="20.25" customHeight="1">
      <c r="A146" s="47"/>
      <c r="W146" s="39">
        <f t="shared" si="2"/>
        <v>107</v>
      </c>
    </row>
    <row r="147" spans="1:23" ht="20.25" customHeight="1">
      <c r="A147" s="47"/>
    </row>
    <row r="148" spans="1:23" ht="20.25" customHeight="1">
      <c r="A148" s="104"/>
    </row>
    <row r="149" spans="1:23" ht="20.25" customHeight="1">
      <c r="A149" s="47"/>
    </row>
    <row r="150" spans="1:23" ht="20.25" customHeight="1">
      <c r="A150" s="47"/>
    </row>
    <row r="151" spans="1:23" ht="20.25" customHeight="1">
      <c r="A151" s="47"/>
    </row>
    <row r="152" spans="1:23" ht="20.25" customHeight="1">
      <c r="A152" s="47"/>
    </row>
    <row r="153" spans="1:23" ht="20.25" customHeight="1">
      <c r="A153" s="47"/>
    </row>
    <row r="154" spans="1:23" ht="20.25" customHeight="1">
      <c r="A154" s="47"/>
    </row>
    <row r="155" spans="1:23" ht="20.25" customHeight="1">
      <c r="A155" s="104"/>
    </row>
    <row r="156" spans="1:23" ht="20.25" customHeight="1">
      <c r="A156" s="47"/>
    </row>
    <row r="157" spans="1:23" ht="20.25" customHeight="1">
      <c r="A157" s="47"/>
    </row>
    <row r="158" spans="1:23" ht="20.25" customHeight="1">
      <c r="A158" s="47"/>
    </row>
    <row r="159" spans="1:23" ht="20.25" customHeight="1">
      <c r="A159" s="104"/>
    </row>
    <row r="160" spans="1:23" ht="20.25" customHeight="1">
      <c r="A160" s="47"/>
    </row>
    <row r="161" spans="1:1" ht="20.25" customHeight="1">
      <c r="A161" s="47"/>
    </row>
    <row r="162" spans="1:1" ht="20.25" customHeight="1">
      <c r="A162" s="47"/>
    </row>
    <row r="163" spans="1:1" ht="20.25" customHeight="1">
      <c r="A163" s="47"/>
    </row>
    <row r="164" spans="1:1" ht="20.25" customHeight="1">
      <c r="A164" s="104"/>
    </row>
    <row r="165" spans="1:1" ht="20.25" customHeight="1">
      <c r="A165" s="47"/>
    </row>
    <row r="166" spans="1:1" ht="20.25" customHeight="1">
      <c r="A166" s="47"/>
    </row>
    <row r="167" spans="1:1" ht="20.25" customHeight="1">
      <c r="A167" s="104"/>
    </row>
    <row r="168" spans="1:1" ht="20.25" customHeight="1">
      <c r="A168" s="47"/>
    </row>
    <row r="169" spans="1:1" ht="20.25" customHeight="1">
      <c r="A169" s="104"/>
    </row>
    <row r="170" spans="1:1" ht="20.25" customHeight="1">
      <c r="A170" s="47"/>
    </row>
    <row r="171" spans="1:1" ht="20.25" customHeight="1">
      <c r="A171" s="47"/>
    </row>
    <row r="172" spans="1:1" ht="20.25" customHeight="1">
      <c r="A172" s="47"/>
    </row>
    <row r="173" spans="1:1" ht="20.25" customHeight="1">
      <c r="A173" s="104"/>
    </row>
    <row r="174" spans="1:1" ht="20.25" customHeight="1">
      <c r="A174" s="47"/>
    </row>
    <row r="175" spans="1:1" ht="20.25" customHeight="1">
      <c r="A175" s="47"/>
    </row>
    <row r="176" spans="1:1" ht="20.25" customHeight="1">
      <c r="A176" s="47"/>
    </row>
    <row r="177" spans="1:1" ht="20.25" customHeight="1">
      <c r="A177" s="47"/>
    </row>
    <row r="178" spans="1:1" ht="20.25" customHeight="1">
      <c r="A178" s="47"/>
    </row>
    <row r="179" spans="1:1" ht="20.25" customHeight="1">
      <c r="A179" s="104"/>
    </row>
    <row r="180" spans="1:1" ht="20.25" customHeight="1">
      <c r="A180" s="47"/>
    </row>
    <row r="181" spans="1:1" ht="20.25" customHeight="1">
      <c r="A181" s="104"/>
    </row>
    <row r="182" spans="1:1" ht="20.25" customHeight="1">
      <c r="A182" s="47"/>
    </row>
    <row r="183" spans="1:1" ht="20.25" customHeight="1">
      <c r="A183" s="47"/>
    </row>
    <row r="184" spans="1:1" ht="20.25" customHeight="1">
      <c r="A184" s="47"/>
    </row>
    <row r="185" spans="1:1" ht="20.25" customHeight="1">
      <c r="A185" s="104"/>
    </row>
    <row r="186" spans="1:1" ht="20.25" customHeight="1">
      <c r="A186" s="47"/>
    </row>
    <row r="187" spans="1:1" ht="20.25" customHeight="1">
      <c r="A187" s="47"/>
    </row>
    <row r="188" spans="1:1" ht="20.25" customHeight="1">
      <c r="A188" s="47"/>
    </row>
    <row r="189" spans="1:1" ht="20.25" customHeight="1">
      <c r="A189" s="104"/>
    </row>
    <row r="190" spans="1:1" ht="20.25" customHeight="1">
      <c r="A190" s="47"/>
    </row>
    <row r="191" spans="1:1" ht="20.25" customHeight="1">
      <c r="A191" s="47"/>
    </row>
    <row r="192" spans="1:1" ht="20.25" customHeight="1">
      <c r="A192" s="47"/>
    </row>
    <row r="193" spans="1:1" ht="20.25" customHeight="1">
      <c r="A193" s="104"/>
    </row>
    <row r="194" spans="1:1" ht="20.25" customHeight="1">
      <c r="A194" s="47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104"/>
    </row>
    <row r="198" spans="1:1" ht="20.25" customHeight="1">
      <c r="A198" s="47"/>
    </row>
    <row r="199" spans="1:1" ht="20.25" customHeight="1">
      <c r="A199" s="47"/>
    </row>
    <row r="200" spans="1:1" ht="20.25" customHeight="1">
      <c r="A200" s="47"/>
    </row>
    <row r="201" spans="1:1" ht="20.25" customHeight="1">
      <c r="A201" s="47"/>
    </row>
    <row r="202" spans="1:1" ht="20.25" customHeight="1">
      <c r="A202" s="104"/>
    </row>
    <row r="203" spans="1:1" ht="20.25" customHeight="1">
      <c r="A203" s="47"/>
    </row>
    <row r="204" spans="1:1" ht="20.25" customHeight="1">
      <c r="A204" s="47"/>
    </row>
    <row r="205" spans="1:1" ht="20.25" customHeight="1">
      <c r="A205" s="104"/>
    </row>
    <row r="206" spans="1:1" ht="20.25" customHeight="1">
      <c r="A206" s="47"/>
    </row>
    <row r="207" spans="1:1" ht="20.25" customHeight="1">
      <c r="A207" s="47"/>
    </row>
    <row r="208" spans="1:1" ht="20.25" customHeight="1">
      <c r="A208" s="47"/>
    </row>
    <row r="209" spans="1:1" ht="20.25" customHeight="1">
      <c r="A209" s="47"/>
    </row>
    <row r="210" spans="1:1" ht="20.25" customHeight="1">
      <c r="A210" s="47"/>
    </row>
    <row r="211" spans="1:1" ht="20.25" customHeight="1">
      <c r="A211" s="47"/>
    </row>
    <row r="212" spans="1:1" ht="20.25" customHeight="1">
      <c r="A212" s="104"/>
    </row>
    <row r="213" spans="1:1" ht="20.25" customHeight="1">
      <c r="A213" s="47"/>
    </row>
    <row r="214" spans="1:1" ht="20.25" customHeight="1">
      <c r="A214" s="47"/>
    </row>
    <row r="215" spans="1:1" ht="20.25" customHeight="1">
      <c r="A215" s="47"/>
    </row>
    <row r="216" spans="1:1" ht="20.25" customHeight="1">
      <c r="A216" s="47"/>
    </row>
    <row r="217" spans="1:1" ht="20.25" customHeight="1">
      <c r="A217" s="47"/>
    </row>
    <row r="218" spans="1:1" ht="20.25" customHeight="1">
      <c r="A218" s="47"/>
    </row>
    <row r="219" spans="1:1" ht="20.25" customHeight="1">
      <c r="A219" s="47"/>
    </row>
    <row r="220" spans="1:1" ht="20.25" customHeight="1">
      <c r="A220" s="47"/>
    </row>
    <row r="221" spans="1:1" ht="20.25" customHeight="1">
      <c r="A221" s="47"/>
    </row>
    <row r="222" spans="1:1" ht="20.25" customHeight="1">
      <c r="A222" s="47"/>
    </row>
    <row r="223" spans="1:1" ht="20.25" customHeight="1">
      <c r="A223" s="104"/>
    </row>
    <row r="224" spans="1:1" ht="20.25" customHeight="1">
      <c r="A224" s="47"/>
    </row>
    <row r="225" spans="1:1" ht="20.25" customHeight="1">
      <c r="A225" s="47"/>
    </row>
    <row r="226" spans="1:1" ht="20.25" customHeight="1">
      <c r="A226" s="47"/>
    </row>
    <row r="227" spans="1:1" ht="20.25" customHeight="1">
      <c r="A227" s="104"/>
    </row>
    <row r="228" spans="1:1" ht="20.25" customHeight="1">
      <c r="A228" s="47"/>
    </row>
    <row r="229" spans="1:1" ht="20.25" customHeight="1">
      <c r="A229" s="47"/>
    </row>
    <row r="230" spans="1:1" ht="20.25" customHeight="1">
      <c r="A230" s="47"/>
    </row>
    <row r="231" spans="1:1" ht="20.25" customHeight="1">
      <c r="A231" s="47"/>
    </row>
    <row r="232" spans="1:1" ht="20.25" customHeight="1">
      <c r="A232" s="104"/>
    </row>
    <row r="233" spans="1:1" ht="20.25" customHeight="1">
      <c r="A233" s="47"/>
    </row>
    <row r="234" spans="1:1" ht="20.25" customHeight="1">
      <c r="A234" s="47"/>
    </row>
    <row r="235" spans="1:1" ht="20.25" customHeight="1">
      <c r="A235" s="47"/>
    </row>
    <row r="236" spans="1:1" ht="20.25" customHeight="1">
      <c r="A236" s="104"/>
    </row>
    <row r="237" spans="1:1" ht="20.25" customHeight="1">
      <c r="A237" s="47"/>
    </row>
    <row r="238" spans="1:1" ht="20.25" customHeight="1">
      <c r="A238" s="47"/>
    </row>
    <row r="239" spans="1:1" ht="20.25" customHeight="1">
      <c r="A239" s="47"/>
    </row>
    <row r="240" spans="1:1" ht="20.25" customHeight="1">
      <c r="A240" s="47"/>
    </row>
    <row r="241" spans="1:1" ht="20.25" customHeight="1">
      <c r="A241" s="47"/>
    </row>
    <row r="242" spans="1:1" ht="20.25" customHeight="1">
      <c r="A242" s="104"/>
    </row>
    <row r="243" spans="1:1" ht="20.25" customHeight="1">
      <c r="A243" s="47"/>
    </row>
    <row r="244" spans="1:1" ht="20.25" customHeight="1">
      <c r="A244" s="47"/>
    </row>
    <row r="245" spans="1:1" ht="20.25" customHeight="1">
      <c r="A245" s="47"/>
    </row>
    <row r="246" spans="1:1" ht="20.25" customHeight="1">
      <c r="A246" s="47"/>
    </row>
    <row r="247" spans="1:1" ht="20.25" customHeight="1">
      <c r="A247" s="47"/>
    </row>
    <row r="248" spans="1:1" ht="20.25" customHeight="1">
      <c r="A248" s="47"/>
    </row>
    <row r="249" spans="1:1" ht="20.25" customHeight="1">
      <c r="A249" s="104"/>
    </row>
    <row r="250" spans="1:1" ht="20.25" customHeight="1">
      <c r="A250" s="47"/>
    </row>
    <row r="251" spans="1:1" ht="20.25" customHeight="1">
      <c r="A251" s="47"/>
    </row>
    <row r="252" spans="1:1" ht="20.25" customHeight="1">
      <c r="A252" s="47"/>
    </row>
    <row r="253" spans="1:1" ht="20.25" customHeight="1">
      <c r="A253" s="47"/>
    </row>
    <row r="254" spans="1:1" ht="20.25" customHeight="1">
      <c r="A254" s="47"/>
    </row>
    <row r="255" spans="1:1" ht="20.25" customHeight="1">
      <c r="A255" s="47"/>
    </row>
    <row r="256" spans="1:1" ht="20.25" customHeight="1">
      <c r="A256" s="47"/>
    </row>
    <row r="257" spans="1:1" ht="20.25" customHeight="1">
      <c r="A257" s="104"/>
    </row>
    <row r="258" spans="1:1" ht="20.25" customHeight="1">
      <c r="A258" s="47"/>
    </row>
    <row r="259" spans="1:1" ht="20.25" customHeight="1">
      <c r="A259" s="47"/>
    </row>
    <row r="260" spans="1:1" ht="20.25" customHeight="1">
      <c r="A260" s="47"/>
    </row>
    <row r="261" spans="1:1" ht="20.25" customHeight="1">
      <c r="A261" s="104"/>
    </row>
    <row r="262" spans="1:1" ht="20.25" customHeight="1">
      <c r="A262" s="47"/>
    </row>
    <row r="263" spans="1:1" ht="20.25" customHeight="1">
      <c r="A263" s="47"/>
    </row>
    <row r="264" spans="1:1" ht="20.25" customHeight="1">
      <c r="A264" s="47"/>
    </row>
  </sheetData>
  <autoFilter ref="A6:AB140"/>
  <mergeCells count="19">
    <mergeCell ref="F5:F6"/>
    <mergeCell ref="G5:G6"/>
    <mergeCell ref="R5:R6"/>
    <mergeCell ref="S5:S6"/>
    <mergeCell ref="T5:T6"/>
    <mergeCell ref="H5:H6"/>
    <mergeCell ref="I5:I6"/>
    <mergeCell ref="J5:J6"/>
    <mergeCell ref="K5:O5"/>
    <mergeCell ref="A5:A6"/>
    <mergeCell ref="B5:B6"/>
    <mergeCell ref="C5:C6"/>
    <mergeCell ref="D5:D6"/>
    <mergeCell ref="E5:E6"/>
    <mergeCell ref="P5:P6"/>
    <mergeCell ref="Q5:Q6"/>
    <mergeCell ref="Y3:Y4"/>
    <mergeCell ref="Z3:Z4"/>
    <mergeCell ref="AA3:AA4"/>
  </mergeCells>
  <conditionalFormatting sqref="C7:E136">
    <cfRule type="expression" dxfId="5" priority="2">
      <formula>MOD($W7,2)=0</formula>
    </cfRule>
  </conditionalFormatting>
  <conditionalFormatting sqref="A7:U136">
    <cfRule type="expression" dxfId="4" priority="1">
      <formula>$V7="OK"</formula>
    </cfRule>
    <cfRule type="expression" dxfId="3" priority="3">
      <formula>OR($B7="1",$B7=1)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2" manualBreakCount="2">
    <brk id="56" max="20" man="1"/>
    <brk id="112" max="2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>
                <anchor moveWithCells="1" sizeWithCells="1">
                  <from>
                    <xdr:col>24</xdr:col>
                    <xdr:colOff>57150</xdr:colOff>
                    <xdr:row>6</xdr:row>
                    <xdr:rowOff>0</xdr:rowOff>
                  </from>
                  <to>
                    <xdr:col>25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6</xdr:row>
                    <xdr:rowOff>0</xdr:rowOff>
                  </from>
                  <to>
                    <xdr:col>25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>
                <anchor moveWithCells="1" sizeWithCells="1">
                  <from>
                    <xdr:col>24</xdr:col>
                    <xdr:colOff>57150</xdr:colOff>
                    <xdr:row>6</xdr:row>
                    <xdr:rowOff>0</xdr:rowOff>
                  </from>
                  <to>
                    <xdr:col>25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>
                <anchor moveWithCells="1" sizeWithCells="1">
                  <from>
                    <xdr:col>24</xdr:col>
                    <xdr:colOff>85725</xdr:colOff>
                    <xdr:row>6</xdr:row>
                    <xdr:rowOff>0</xdr:rowOff>
                  </from>
                  <to>
                    <xdr:col>25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>
                <anchor>
                  <from>
                    <xdr:col>24</xdr:col>
                    <xdr:colOff>771525</xdr:colOff>
                    <xdr:row>22</xdr:row>
                    <xdr:rowOff>238125</xdr:rowOff>
                  </from>
                  <to>
                    <xdr:col>25</xdr:col>
                    <xdr:colOff>1095375</xdr:colOff>
                    <xdr:row>23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>
                <anchor>
                  <from>
                    <xdr:col>24</xdr:col>
                    <xdr:colOff>790575</xdr:colOff>
                    <xdr:row>24</xdr:row>
                    <xdr:rowOff>104775</xdr:rowOff>
                  </from>
                  <to>
                    <xdr:col>25</xdr:col>
                    <xdr:colOff>1133475</xdr:colOff>
                    <xdr:row>25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>
                <anchor>
                  <from>
                    <xdr:col>24</xdr:col>
                    <xdr:colOff>790575</xdr:colOff>
                    <xdr:row>26</xdr:row>
                    <xdr:rowOff>409575</xdr:rowOff>
                  </from>
                  <to>
                    <xdr:col>25</xdr:col>
                    <xdr:colOff>1133475</xdr:colOff>
                    <xdr:row>28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>
                <anchor>
                  <from>
                    <xdr:col>24</xdr:col>
                    <xdr:colOff>809625</xdr:colOff>
                    <xdr:row>28</xdr:row>
                    <xdr:rowOff>466725</xdr:rowOff>
                  </from>
                  <to>
                    <xdr:col>25</xdr:col>
                    <xdr:colOff>1133475</xdr:colOff>
                    <xdr:row>30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B272"/>
  <sheetViews>
    <sheetView showGridLines="0" view="pageBreakPreview" zoomScale="53" zoomScaleNormal="100" zoomScaleSheetLayoutView="53" workbookViewId="0">
      <pane xSplit="5" ySplit="6" topLeftCell="F7" activePane="bottomRight" state="frozen"/>
      <selection activeCell="I130" sqref="I130"/>
      <selection pane="topRight" activeCell="I130" sqref="I130"/>
      <selection pane="bottomLeft" activeCell="I130" sqref="I130"/>
      <selection pane="bottomRight" activeCell="K37" sqref="K37"/>
    </sheetView>
  </sheetViews>
  <sheetFormatPr defaultRowHeight="20.25" customHeight="1"/>
  <cols>
    <col min="1" max="1" width="16" style="1" customWidth="1"/>
    <col min="2" max="2" width="8.42578125" style="9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10.7109375" style="35" customWidth="1"/>
    <col min="10" max="10" width="10.7109375" style="35" hidden="1" customWidth="1"/>
    <col min="11" max="19" width="8.28515625" style="35" customWidth="1"/>
    <col min="20" max="20" width="41" style="35" customWidth="1"/>
    <col min="21" max="21" width="5.85546875" style="35" customWidth="1"/>
    <col min="22" max="22" width="9.85546875" style="5" customWidth="1"/>
    <col min="23" max="24" width="10" style="5" customWidth="1"/>
    <col min="25" max="25" width="19.7109375" style="5" customWidth="1"/>
    <col min="26" max="26" width="19.7109375" style="6" customWidth="1"/>
    <col min="27" max="30" width="20" style="5" customWidth="1"/>
    <col min="31" max="16384" width="9.140625" style="5"/>
  </cols>
  <sheetData>
    <row r="1" spans="1:28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8" ht="30" customHeight="1">
      <c r="A2" s="51" t="s">
        <v>32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9"/>
      <c r="P2" s="9"/>
      <c r="Q2" s="9"/>
      <c r="R2" s="2"/>
      <c r="S2" s="2"/>
      <c r="T2" s="10"/>
      <c r="U2" s="9"/>
      <c r="Y2" s="74" t="s">
        <v>0</v>
      </c>
      <c r="Z2" s="75" t="s">
        <v>1</v>
      </c>
      <c r="AA2" s="74" t="s">
        <v>2</v>
      </c>
      <c r="AB2" s="74" t="s">
        <v>3</v>
      </c>
    </row>
    <row r="3" spans="1:28" ht="32.25" customHeight="1">
      <c r="A3" s="11" t="s">
        <v>938</v>
      </c>
      <c r="B3" s="48"/>
      <c r="C3" s="48"/>
      <c r="D3" s="48"/>
      <c r="E3" s="48"/>
      <c r="F3" s="12"/>
      <c r="G3" s="13"/>
      <c r="H3" s="9"/>
      <c r="I3" s="9"/>
      <c r="J3" s="9"/>
      <c r="K3" s="9"/>
      <c r="L3" s="9"/>
      <c r="M3" s="9"/>
      <c r="N3" s="9"/>
      <c r="O3" s="9"/>
      <c r="P3" s="9"/>
      <c r="Q3" s="9"/>
      <c r="R3" s="13"/>
      <c r="S3" s="13"/>
      <c r="T3" s="14"/>
      <c r="U3" s="9"/>
      <c r="Y3" s="461"/>
      <c r="Z3" s="462"/>
      <c r="AA3" s="461"/>
      <c r="AB3" s="85"/>
    </row>
    <row r="4" spans="1:28" ht="30" customHeight="1">
      <c r="A4" s="73" t="str">
        <f>T709_Cell_1!A4</f>
        <v>T709 Daily Input/Output Plan COPIER 20200727W_REV.1</v>
      </c>
      <c r="B4" s="16"/>
      <c r="C4" s="16"/>
      <c r="D4" s="16"/>
      <c r="E4" s="9"/>
      <c r="F4" s="9"/>
      <c r="G4" s="13"/>
      <c r="H4" s="9"/>
      <c r="I4" s="9"/>
      <c r="J4" s="9"/>
      <c r="K4" s="9"/>
      <c r="L4" s="9"/>
      <c r="M4" s="9"/>
      <c r="N4" s="9"/>
      <c r="O4" s="9"/>
      <c r="P4" s="9"/>
      <c r="Q4" s="9"/>
      <c r="R4" s="13"/>
      <c r="S4" s="13"/>
      <c r="T4" s="37"/>
      <c r="U4" s="9"/>
      <c r="Y4" s="461"/>
      <c r="Z4" s="462"/>
      <c r="AA4" s="461"/>
      <c r="AB4" s="17"/>
    </row>
    <row r="5" spans="1:28" ht="36" customHeight="1">
      <c r="A5" s="494" t="s">
        <v>4</v>
      </c>
      <c r="B5" s="496" t="s">
        <v>5</v>
      </c>
      <c r="C5" s="496" t="s">
        <v>6</v>
      </c>
      <c r="D5" s="496" t="s">
        <v>7</v>
      </c>
      <c r="E5" s="496" t="s">
        <v>8</v>
      </c>
      <c r="F5" s="494" t="s">
        <v>9</v>
      </c>
      <c r="G5" s="494" t="s">
        <v>10</v>
      </c>
      <c r="H5" s="494" t="s">
        <v>11</v>
      </c>
      <c r="I5" s="502" t="s">
        <v>12</v>
      </c>
      <c r="J5" s="502" t="s">
        <v>13</v>
      </c>
      <c r="K5" s="494" t="s">
        <v>14</v>
      </c>
      <c r="L5" s="494"/>
      <c r="M5" s="494"/>
      <c r="N5" s="494"/>
      <c r="O5" s="494"/>
      <c r="P5" s="494" t="s">
        <v>23</v>
      </c>
      <c r="Q5" s="494" t="s">
        <v>27</v>
      </c>
      <c r="R5" s="498" t="s">
        <v>24</v>
      </c>
      <c r="S5" s="498" t="s">
        <v>25</v>
      </c>
      <c r="T5" s="500" t="s">
        <v>15</v>
      </c>
      <c r="U5" s="209" t="s">
        <v>16</v>
      </c>
    </row>
    <row r="6" spans="1:28" ht="32.25" customHeight="1">
      <c r="A6" s="495"/>
      <c r="B6" s="497"/>
      <c r="C6" s="497"/>
      <c r="D6" s="497"/>
      <c r="E6" s="497"/>
      <c r="F6" s="495"/>
      <c r="G6" s="495"/>
      <c r="H6" s="495"/>
      <c r="I6" s="503"/>
      <c r="J6" s="503"/>
      <c r="K6" s="210" t="s">
        <v>104</v>
      </c>
      <c r="L6" s="210" t="s">
        <v>51</v>
      </c>
      <c r="M6" s="210" t="s">
        <v>52</v>
      </c>
      <c r="N6" s="210" t="s">
        <v>26</v>
      </c>
      <c r="O6" s="210" t="s">
        <v>48</v>
      </c>
      <c r="P6" s="495"/>
      <c r="Q6" s="495"/>
      <c r="R6" s="499"/>
      <c r="S6" s="499"/>
      <c r="T6" s="501"/>
      <c r="U6" s="211"/>
      <c r="W6" s="6"/>
      <c r="X6" s="6"/>
    </row>
    <row r="7" spans="1:28" s="43" customFormat="1" ht="39.950000000000003" hidden="1" customHeight="1">
      <c r="A7" s="25">
        <v>44053</v>
      </c>
      <c r="B7" s="114" t="s">
        <v>54</v>
      </c>
      <c r="C7" s="115" t="s">
        <v>201</v>
      </c>
      <c r="D7" s="116" t="s">
        <v>202</v>
      </c>
      <c r="E7" s="117">
        <v>50</v>
      </c>
      <c r="F7" s="19" t="s">
        <v>69</v>
      </c>
      <c r="G7" s="22" t="s">
        <v>28</v>
      </c>
      <c r="H7" s="22">
        <v>230</v>
      </c>
      <c r="I7" s="110"/>
      <c r="J7" s="110"/>
      <c r="K7" s="138"/>
      <c r="L7" s="44"/>
      <c r="M7" s="44"/>
      <c r="N7" s="44"/>
      <c r="O7" s="44"/>
      <c r="P7" s="118" t="s">
        <v>70</v>
      </c>
      <c r="Q7" s="44" t="s">
        <v>29</v>
      </c>
      <c r="R7" s="44"/>
      <c r="S7" s="44"/>
      <c r="T7" s="19" t="s">
        <v>578</v>
      </c>
      <c r="U7" s="19"/>
      <c r="V7" s="5" t="s">
        <v>17</v>
      </c>
      <c r="W7" s="39">
        <v>1</v>
      </c>
      <c r="X7" s="39"/>
      <c r="Y7" s="1"/>
      <c r="Z7" s="40"/>
      <c r="AA7" s="41"/>
      <c r="AB7" s="42"/>
    </row>
    <row r="8" spans="1:28" s="43" customFormat="1" ht="39.950000000000003" hidden="1" customHeight="1">
      <c r="A8" s="18">
        <v>44053</v>
      </c>
      <c r="B8" s="114" t="s">
        <v>55</v>
      </c>
      <c r="C8" s="115" t="s">
        <v>121</v>
      </c>
      <c r="D8" s="116" t="s">
        <v>122</v>
      </c>
      <c r="E8" s="117">
        <v>8</v>
      </c>
      <c r="F8" s="19" t="s">
        <v>125</v>
      </c>
      <c r="G8" s="22" t="s">
        <v>18</v>
      </c>
      <c r="H8" s="22">
        <v>220</v>
      </c>
      <c r="I8" s="110"/>
      <c r="J8" s="110"/>
      <c r="K8" s="138" t="s">
        <v>47</v>
      </c>
      <c r="L8" s="44"/>
      <c r="M8" s="44"/>
      <c r="N8" s="44"/>
      <c r="O8" s="44"/>
      <c r="P8" s="44" t="s">
        <v>29</v>
      </c>
      <c r="Q8" s="44"/>
      <c r="R8" s="44" t="s">
        <v>29</v>
      </c>
      <c r="S8" s="44"/>
      <c r="T8" s="19" t="s">
        <v>579</v>
      </c>
      <c r="U8" s="19"/>
      <c r="V8" s="5" t="s">
        <v>17</v>
      </c>
      <c r="W8" s="39">
        <f t="shared" ref="W8:W71" si="0">IF(C8=C7,W7,W7+1)</f>
        <v>2</v>
      </c>
      <c r="X8" s="39"/>
      <c r="Y8" s="1"/>
      <c r="Z8" s="40"/>
      <c r="AA8" s="41"/>
      <c r="AB8" s="42"/>
    </row>
    <row r="9" spans="1:28" s="43" customFormat="1" ht="39.950000000000003" hidden="1" customHeight="1">
      <c r="A9" s="18">
        <v>44053</v>
      </c>
      <c r="B9" s="114" t="s">
        <v>56</v>
      </c>
      <c r="C9" s="115" t="s">
        <v>87</v>
      </c>
      <c r="D9" s="116" t="s">
        <v>88</v>
      </c>
      <c r="E9" s="117">
        <v>75</v>
      </c>
      <c r="F9" s="19" t="s">
        <v>89</v>
      </c>
      <c r="G9" s="22" t="s">
        <v>18</v>
      </c>
      <c r="H9" s="22">
        <v>220</v>
      </c>
      <c r="I9" s="110"/>
      <c r="J9" s="110"/>
      <c r="K9" s="138" t="s">
        <v>47</v>
      </c>
      <c r="L9" s="44"/>
      <c r="M9" s="44"/>
      <c r="N9" s="44"/>
      <c r="O9" s="44"/>
      <c r="P9" s="44" t="s">
        <v>29</v>
      </c>
      <c r="Q9" s="44"/>
      <c r="R9" s="44" t="s">
        <v>29</v>
      </c>
      <c r="S9" s="44"/>
      <c r="T9" s="93" t="s">
        <v>384</v>
      </c>
      <c r="U9" s="19"/>
      <c r="V9" s="5" t="s">
        <v>17</v>
      </c>
      <c r="W9" s="39">
        <f t="shared" si="0"/>
        <v>3</v>
      </c>
      <c r="X9" s="39"/>
      <c r="Y9" s="1"/>
      <c r="Z9" s="40"/>
      <c r="AA9" s="41"/>
      <c r="AB9" s="42"/>
    </row>
    <row r="10" spans="1:28" s="43" customFormat="1" ht="39.950000000000003" hidden="1" customHeight="1">
      <c r="A10" s="18">
        <v>44053</v>
      </c>
      <c r="B10" s="114" t="s">
        <v>57</v>
      </c>
      <c r="C10" s="115" t="s">
        <v>116</v>
      </c>
      <c r="D10" s="116" t="s">
        <v>117</v>
      </c>
      <c r="E10" s="117">
        <v>100</v>
      </c>
      <c r="F10" s="19" t="s">
        <v>68</v>
      </c>
      <c r="G10" s="22" t="s">
        <v>18</v>
      </c>
      <c r="H10" s="22">
        <v>220</v>
      </c>
      <c r="I10" s="110"/>
      <c r="J10" s="110"/>
      <c r="K10" s="138"/>
      <c r="L10" s="44"/>
      <c r="M10" s="44"/>
      <c r="N10" s="44"/>
      <c r="O10" s="44"/>
      <c r="P10" s="44" t="s">
        <v>29</v>
      </c>
      <c r="Q10" s="44"/>
      <c r="R10" s="44" t="s">
        <v>29</v>
      </c>
      <c r="S10" s="44"/>
      <c r="T10" s="93" t="s">
        <v>385</v>
      </c>
      <c r="U10" s="19"/>
      <c r="V10" s="5" t="s">
        <v>17</v>
      </c>
      <c r="W10" s="39">
        <f t="shared" si="0"/>
        <v>4</v>
      </c>
      <c r="X10" s="39"/>
      <c r="Y10" s="1"/>
      <c r="Z10" s="40"/>
      <c r="AA10" s="41"/>
      <c r="AB10" s="42"/>
    </row>
    <row r="11" spans="1:28" s="43" customFormat="1" ht="39.950000000000003" hidden="1" customHeight="1">
      <c r="A11" s="18">
        <v>44053</v>
      </c>
      <c r="B11" s="114" t="s">
        <v>58</v>
      </c>
      <c r="C11" s="115" t="s">
        <v>205</v>
      </c>
      <c r="D11" s="116" t="s">
        <v>206</v>
      </c>
      <c r="E11" s="117">
        <v>20</v>
      </c>
      <c r="F11" s="19" t="s">
        <v>68</v>
      </c>
      <c r="G11" s="22" t="s">
        <v>28</v>
      </c>
      <c r="H11" s="22">
        <v>230</v>
      </c>
      <c r="I11" s="110"/>
      <c r="J11" s="110"/>
      <c r="K11" s="138"/>
      <c r="L11" s="44"/>
      <c r="M11" s="44" t="s">
        <v>29</v>
      </c>
      <c r="N11" s="44"/>
      <c r="O11" s="44"/>
      <c r="P11" s="44" t="s">
        <v>29</v>
      </c>
      <c r="Q11" s="44"/>
      <c r="R11" s="44"/>
      <c r="S11" s="44"/>
      <c r="T11" s="93" t="s">
        <v>386</v>
      </c>
      <c r="U11" s="19"/>
      <c r="V11" s="5" t="s">
        <v>17</v>
      </c>
      <c r="W11" s="39">
        <f t="shared" si="0"/>
        <v>5</v>
      </c>
      <c r="X11" s="39"/>
      <c r="Y11" s="1"/>
      <c r="Z11" s="40"/>
      <c r="AA11" s="41"/>
      <c r="AB11" s="42"/>
    </row>
    <row r="12" spans="1:28" s="43" customFormat="1" ht="39.950000000000003" hidden="1" customHeight="1">
      <c r="A12" s="18">
        <v>44053</v>
      </c>
      <c r="B12" s="114" t="s">
        <v>59</v>
      </c>
      <c r="C12" s="115" t="s">
        <v>121</v>
      </c>
      <c r="D12" s="116" t="s">
        <v>122</v>
      </c>
      <c r="E12" s="117">
        <v>15</v>
      </c>
      <c r="F12" s="19" t="s">
        <v>125</v>
      </c>
      <c r="G12" s="22" t="s">
        <v>18</v>
      </c>
      <c r="H12" s="22">
        <v>220</v>
      </c>
      <c r="I12" s="110"/>
      <c r="J12" s="110"/>
      <c r="K12" s="138" t="s">
        <v>47</v>
      </c>
      <c r="L12" s="44"/>
      <c r="M12" s="44"/>
      <c r="N12" s="44"/>
      <c r="O12" s="44"/>
      <c r="P12" s="44" t="s">
        <v>29</v>
      </c>
      <c r="Q12" s="44"/>
      <c r="R12" s="44" t="s">
        <v>29</v>
      </c>
      <c r="S12" s="44"/>
      <c r="T12" s="19" t="s">
        <v>580</v>
      </c>
      <c r="U12" s="19"/>
      <c r="V12" s="38" t="s">
        <v>17</v>
      </c>
      <c r="W12" s="39">
        <f t="shared" si="0"/>
        <v>6</v>
      </c>
      <c r="X12" s="39"/>
      <c r="Y12" s="1"/>
      <c r="Z12" s="40"/>
      <c r="AA12" s="41"/>
      <c r="AB12" s="42"/>
    </row>
    <row r="13" spans="1:28" s="43" customFormat="1" ht="39.950000000000003" hidden="1" customHeight="1">
      <c r="A13" s="18">
        <v>44053</v>
      </c>
      <c r="B13" s="114" t="s">
        <v>60</v>
      </c>
      <c r="C13" s="115" t="s">
        <v>74</v>
      </c>
      <c r="D13" s="116" t="s">
        <v>78</v>
      </c>
      <c r="E13" s="117">
        <v>36</v>
      </c>
      <c r="F13" s="19" t="s">
        <v>69</v>
      </c>
      <c r="G13" s="22" t="s">
        <v>28</v>
      </c>
      <c r="H13" s="22">
        <v>230</v>
      </c>
      <c r="I13" s="110"/>
      <c r="J13" s="110"/>
      <c r="K13" s="138"/>
      <c r="L13" s="44"/>
      <c r="M13" s="44"/>
      <c r="N13" s="44"/>
      <c r="O13" s="44"/>
      <c r="P13" s="118" t="s">
        <v>70</v>
      </c>
      <c r="Q13" s="44" t="s">
        <v>29</v>
      </c>
      <c r="R13" s="44"/>
      <c r="S13" s="44"/>
      <c r="T13" s="93" t="s">
        <v>581</v>
      </c>
      <c r="U13" s="19"/>
      <c r="V13" s="38" t="s">
        <v>17</v>
      </c>
      <c r="W13" s="39">
        <f t="shared" si="0"/>
        <v>7</v>
      </c>
      <c r="X13" s="39"/>
      <c r="Y13" s="1"/>
      <c r="Z13" s="40"/>
      <c r="AA13" s="41"/>
      <c r="AB13" s="42"/>
    </row>
    <row r="14" spans="1:28" s="43" customFormat="1" ht="39.950000000000003" hidden="1" customHeight="1">
      <c r="A14" s="25">
        <v>44054</v>
      </c>
      <c r="B14" s="114" t="s">
        <v>54</v>
      </c>
      <c r="C14" s="115" t="s">
        <v>74</v>
      </c>
      <c r="D14" s="116" t="s">
        <v>78</v>
      </c>
      <c r="E14" s="117">
        <v>43</v>
      </c>
      <c r="F14" s="19" t="s">
        <v>69</v>
      </c>
      <c r="G14" s="22" t="s">
        <v>28</v>
      </c>
      <c r="H14" s="22">
        <v>230</v>
      </c>
      <c r="I14" s="110"/>
      <c r="J14" s="110"/>
      <c r="K14" s="138"/>
      <c r="L14" s="44"/>
      <c r="M14" s="44"/>
      <c r="N14" s="44"/>
      <c r="O14" s="44"/>
      <c r="P14" s="118" t="s">
        <v>70</v>
      </c>
      <c r="Q14" s="44" t="s">
        <v>29</v>
      </c>
      <c r="R14" s="44"/>
      <c r="S14" s="44"/>
      <c r="T14" s="93" t="s">
        <v>582</v>
      </c>
      <c r="U14" s="19"/>
      <c r="V14" s="38" t="s">
        <v>17</v>
      </c>
      <c r="W14" s="39">
        <f t="shared" si="0"/>
        <v>7</v>
      </c>
      <c r="X14" s="39"/>
      <c r="Y14" s="1"/>
      <c r="Z14" s="40"/>
      <c r="AA14" s="41"/>
      <c r="AB14" s="42"/>
    </row>
    <row r="15" spans="1:28" s="43" customFormat="1" ht="39.950000000000003" hidden="1" customHeight="1">
      <c r="A15" s="18">
        <v>44054</v>
      </c>
      <c r="B15" s="114" t="s">
        <v>55</v>
      </c>
      <c r="C15" s="115" t="s">
        <v>121</v>
      </c>
      <c r="D15" s="116" t="s">
        <v>122</v>
      </c>
      <c r="E15" s="117">
        <v>7</v>
      </c>
      <c r="F15" s="19" t="s">
        <v>125</v>
      </c>
      <c r="G15" s="22" t="s">
        <v>18</v>
      </c>
      <c r="H15" s="22">
        <v>220</v>
      </c>
      <c r="I15" s="110"/>
      <c r="J15" s="110"/>
      <c r="K15" s="138" t="s">
        <v>47</v>
      </c>
      <c r="L15" s="44"/>
      <c r="M15" s="44"/>
      <c r="N15" s="44"/>
      <c r="O15" s="44"/>
      <c r="P15" s="44" t="s">
        <v>29</v>
      </c>
      <c r="Q15" s="44"/>
      <c r="R15" s="44" t="s">
        <v>29</v>
      </c>
      <c r="S15" s="44"/>
      <c r="T15" s="93" t="s">
        <v>583</v>
      </c>
      <c r="U15" s="19"/>
      <c r="V15" s="38" t="s">
        <v>17</v>
      </c>
      <c r="W15" s="39">
        <f t="shared" si="0"/>
        <v>8</v>
      </c>
      <c r="X15" s="39"/>
      <c r="Y15" s="1"/>
      <c r="Z15" s="40"/>
      <c r="AA15" s="41"/>
      <c r="AB15" s="42"/>
    </row>
    <row r="16" spans="1:28" s="43" customFormat="1" ht="39.950000000000003" hidden="1" customHeight="1">
      <c r="A16" s="18">
        <v>44054</v>
      </c>
      <c r="B16" s="114" t="s">
        <v>56</v>
      </c>
      <c r="C16" s="115" t="s">
        <v>87</v>
      </c>
      <c r="D16" s="116" t="s">
        <v>88</v>
      </c>
      <c r="E16" s="117">
        <v>74</v>
      </c>
      <c r="F16" s="19" t="s">
        <v>89</v>
      </c>
      <c r="G16" s="22" t="s">
        <v>18</v>
      </c>
      <c r="H16" s="22">
        <v>220</v>
      </c>
      <c r="I16" s="110"/>
      <c r="J16" s="110"/>
      <c r="K16" s="138" t="s">
        <v>47</v>
      </c>
      <c r="L16" s="44"/>
      <c r="M16" s="44"/>
      <c r="N16" s="44"/>
      <c r="O16" s="44"/>
      <c r="P16" s="44" t="s">
        <v>29</v>
      </c>
      <c r="Q16" s="44"/>
      <c r="R16" s="44" t="s">
        <v>29</v>
      </c>
      <c r="S16" s="44"/>
      <c r="T16" s="19" t="s">
        <v>387</v>
      </c>
      <c r="U16" s="19"/>
      <c r="V16" s="38" t="s">
        <v>17</v>
      </c>
      <c r="W16" s="39">
        <f t="shared" si="0"/>
        <v>9</v>
      </c>
      <c r="X16" s="39"/>
      <c r="Y16" s="1"/>
      <c r="Z16" s="40"/>
      <c r="AA16" s="41"/>
      <c r="AB16" s="42"/>
    </row>
    <row r="17" spans="1:28" s="43" customFormat="1" ht="39.950000000000003" hidden="1" customHeight="1">
      <c r="A17" s="18">
        <v>44054</v>
      </c>
      <c r="B17" s="114" t="s">
        <v>57</v>
      </c>
      <c r="C17" s="115" t="s">
        <v>116</v>
      </c>
      <c r="D17" s="116" t="s">
        <v>117</v>
      </c>
      <c r="E17" s="117">
        <v>55</v>
      </c>
      <c r="F17" s="19" t="s">
        <v>68</v>
      </c>
      <c r="G17" s="22" t="s">
        <v>18</v>
      </c>
      <c r="H17" s="22">
        <v>220</v>
      </c>
      <c r="I17" s="110"/>
      <c r="J17" s="110"/>
      <c r="K17" s="138"/>
      <c r="L17" s="44"/>
      <c r="M17" s="44"/>
      <c r="N17" s="44"/>
      <c r="O17" s="44"/>
      <c r="P17" s="44" t="s">
        <v>29</v>
      </c>
      <c r="Q17" s="44"/>
      <c r="R17" s="44" t="s">
        <v>29</v>
      </c>
      <c r="S17" s="44"/>
      <c r="T17" s="19" t="s">
        <v>388</v>
      </c>
      <c r="U17" s="19"/>
      <c r="V17" s="38" t="s">
        <v>17</v>
      </c>
      <c r="W17" s="39">
        <f t="shared" si="0"/>
        <v>10</v>
      </c>
      <c r="X17" s="39"/>
      <c r="Y17" s="1"/>
      <c r="Z17" s="40"/>
      <c r="AA17" s="41"/>
      <c r="AB17" s="42"/>
    </row>
    <row r="18" spans="1:28" s="43" customFormat="1" ht="39.950000000000003" hidden="1" customHeight="1">
      <c r="A18" s="18">
        <v>44054</v>
      </c>
      <c r="B18" s="114" t="s">
        <v>58</v>
      </c>
      <c r="C18" s="115" t="s">
        <v>205</v>
      </c>
      <c r="D18" s="116" t="s">
        <v>206</v>
      </c>
      <c r="E18" s="117">
        <v>16</v>
      </c>
      <c r="F18" s="19" t="s">
        <v>68</v>
      </c>
      <c r="G18" s="22" t="s">
        <v>28</v>
      </c>
      <c r="H18" s="22">
        <v>230</v>
      </c>
      <c r="I18" s="110"/>
      <c r="J18" s="110"/>
      <c r="K18" s="138"/>
      <c r="L18" s="44"/>
      <c r="M18" s="44" t="s">
        <v>29</v>
      </c>
      <c r="N18" s="44"/>
      <c r="O18" s="44"/>
      <c r="P18" s="44" t="s">
        <v>29</v>
      </c>
      <c r="Q18" s="44"/>
      <c r="R18" s="44"/>
      <c r="S18" s="44"/>
      <c r="T18" s="19" t="s">
        <v>389</v>
      </c>
      <c r="U18" s="19"/>
      <c r="V18" s="38" t="s">
        <v>17</v>
      </c>
      <c r="W18" s="39">
        <f t="shared" si="0"/>
        <v>11</v>
      </c>
      <c r="X18" s="39"/>
      <c r="Y18" s="1"/>
      <c r="Z18" s="40"/>
      <c r="AA18" s="41"/>
      <c r="AB18" s="42"/>
    </row>
    <row r="19" spans="1:28" s="43" customFormat="1" ht="39.950000000000003" hidden="1" customHeight="1">
      <c r="A19" s="18">
        <v>44054</v>
      </c>
      <c r="B19" s="114" t="s">
        <v>59</v>
      </c>
      <c r="C19" s="115" t="s">
        <v>121</v>
      </c>
      <c r="D19" s="116" t="s">
        <v>122</v>
      </c>
      <c r="E19" s="117">
        <v>15</v>
      </c>
      <c r="F19" s="19" t="s">
        <v>125</v>
      </c>
      <c r="G19" s="22" t="s">
        <v>18</v>
      </c>
      <c r="H19" s="22">
        <v>220</v>
      </c>
      <c r="I19" s="110"/>
      <c r="J19" s="110"/>
      <c r="K19" s="138" t="s">
        <v>47</v>
      </c>
      <c r="L19" s="44"/>
      <c r="M19" s="44"/>
      <c r="N19" s="44"/>
      <c r="O19" s="44"/>
      <c r="P19" s="44" t="s">
        <v>29</v>
      </c>
      <c r="Q19" s="44"/>
      <c r="R19" s="44" t="s">
        <v>29</v>
      </c>
      <c r="S19" s="44"/>
      <c r="T19" s="19" t="s">
        <v>390</v>
      </c>
      <c r="U19" s="19"/>
      <c r="V19" s="38" t="s">
        <v>17</v>
      </c>
      <c r="W19" s="39">
        <f t="shared" si="0"/>
        <v>12</v>
      </c>
      <c r="X19" s="39"/>
      <c r="Y19" s="1"/>
      <c r="Z19" s="40"/>
      <c r="AA19" s="41"/>
      <c r="AB19" s="42"/>
    </row>
    <row r="20" spans="1:28" s="43" customFormat="1" ht="39.950000000000003" hidden="1" customHeight="1">
      <c r="A20" s="18">
        <v>44054</v>
      </c>
      <c r="B20" s="160" t="s">
        <v>60</v>
      </c>
      <c r="C20" s="161" t="s">
        <v>74</v>
      </c>
      <c r="D20" s="162" t="s">
        <v>78</v>
      </c>
      <c r="E20" s="163">
        <v>1</v>
      </c>
      <c r="F20" s="19" t="s">
        <v>69</v>
      </c>
      <c r="G20" s="22" t="s">
        <v>28</v>
      </c>
      <c r="H20" s="22">
        <v>230</v>
      </c>
      <c r="I20" s="110"/>
      <c r="J20" s="110"/>
      <c r="K20" s="138"/>
      <c r="L20" s="44"/>
      <c r="M20" s="44"/>
      <c r="N20" s="44"/>
      <c r="O20" s="44"/>
      <c r="P20" s="118" t="s">
        <v>70</v>
      </c>
      <c r="Q20" s="44" t="s">
        <v>29</v>
      </c>
      <c r="R20" s="44"/>
      <c r="S20" s="44"/>
      <c r="T20" s="93" t="s">
        <v>939</v>
      </c>
      <c r="U20" s="19"/>
      <c r="V20" s="38" t="s">
        <v>17</v>
      </c>
      <c r="W20" s="39">
        <f t="shared" si="0"/>
        <v>13</v>
      </c>
      <c r="X20" s="39"/>
      <c r="Y20" s="1"/>
      <c r="Z20" s="40"/>
      <c r="AA20" s="41"/>
      <c r="AB20" s="42"/>
    </row>
    <row r="21" spans="1:28" s="43" customFormat="1" ht="39.950000000000003" hidden="1" customHeight="1">
      <c r="A21" s="18">
        <v>44054</v>
      </c>
      <c r="B21" s="160" t="s">
        <v>61</v>
      </c>
      <c r="C21" s="161" t="s">
        <v>201</v>
      </c>
      <c r="D21" s="162" t="s">
        <v>202</v>
      </c>
      <c r="E21" s="163">
        <v>35</v>
      </c>
      <c r="F21" s="19" t="s">
        <v>69</v>
      </c>
      <c r="G21" s="22" t="s">
        <v>28</v>
      </c>
      <c r="H21" s="22">
        <v>230</v>
      </c>
      <c r="I21" s="110"/>
      <c r="J21" s="110"/>
      <c r="K21" s="138"/>
      <c r="L21" s="44"/>
      <c r="M21" s="44"/>
      <c r="N21" s="44"/>
      <c r="O21" s="44"/>
      <c r="P21" s="118" t="s">
        <v>70</v>
      </c>
      <c r="Q21" s="44" t="s">
        <v>29</v>
      </c>
      <c r="R21" s="44"/>
      <c r="S21" s="44"/>
      <c r="T21" s="93" t="s">
        <v>940</v>
      </c>
      <c r="U21" s="22"/>
      <c r="V21" s="38" t="s">
        <v>17</v>
      </c>
      <c r="W21" s="39">
        <f t="shared" si="0"/>
        <v>14</v>
      </c>
      <c r="X21" s="39"/>
      <c r="Y21" s="1"/>
      <c r="Z21" s="40"/>
      <c r="AA21" s="41"/>
      <c r="AB21" s="42"/>
    </row>
    <row r="22" spans="1:28" s="43" customFormat="1" ht="39.950000000000003" hidden="1" customHeight="1">
      <c r="A22" s="25">
        <v>44060</v>
      </c>
      <c r="B22" s="114" t="s">
        <v>54</v>
      </c>
      <c r="C22" s="115" t="s">
        <v>201</v>
      </c>
      <c r="D22" s="116" t="s">
        <v>202</v>
      </c>
      <c r="E22" s="117">
        <v>73</v>
      </c>
      <c r="F22" s="19" t="s">
        <v>69</v>
      </c>
      <c r="G22" s="22" t="s">
        <v>28</v>
      </c>
      <c r="H22" s="22">
        <v>230</v>
      </c>
      <c r="I22" s="110"/>
      <c r="J22" s="110"/>
      <c r="K22" s="138"/>
      <c r="L22" s="44"/>
      <c r="M22" s="44"/>
      <c r="N22" s="44"/>
      <c r="O22" s="44"/>
      <c r="P22" s="118" t="s">
        <v>70</v>
      </c>
      <c r="Q22" s="44" t="s">
        <v>29</v>
      </c>
      <c r="R22" s="44"/>
      <c r="S22" s="44"/>
      <c r="T22" s="93" t="s">
        <v>941</v>
      </c>
      <c r="U22" s="22"/>
      <c r="V22" s="38" t="s">
        <v>17</v>
      </c>
      <c r="W22" s="39">
        <f t="shared" si="0"/>
        <v>14</v>
      </c>
      <c r="X22" s="39"/>
      <c r="Y22" s="1"/>
      <c r="Z22" s="40"/>
      <c r="AA22" s="41"/>
      <c r="AB22" s="42"/>
    </row>
    <row r="23" spans="1:28" s="43" customFormat="1" ht="39.950000000000003" hidden="1" customHeight="1">
      <c r="A23" s="18">
        <v>44060</v>
      </c>
      <c r="B23" s="114" t="s">
        <v>55</v>
      </c>
      <c r="C23" s="115" t="s">
        <v>87</v>
      </c>
      <c r="D23" s="116" t="s">
        <v>88</v>
      </c>
      <c r="E23" s="117">
        <v>64</v>
      </c>
      <c r="F23" s="19" t="s">
        <v>89</v>
      </c>
      <c r="G23" s="22" t="s">
        <v>18</v>
      </c>
      <c r="H23" s="22">
        <v>220</v>
      </c>
      <c r="I23" s="110"/>
      <c r="J23" s="110"/>
      <c r="K23" s="138" t="s">
        <v>47</v>
      </c>
      <c r="L23" s="44"/>
      <c r="M23" s="44"/>
      <c r="N23" s="44"/>
      <c r="O23" s="44"/>
      <c r="P23" s="44" t="s">
        <v>29</v>
      </c>
      <c r="Q23" s="44"/>
      <c r="R23" s="44" t="s">
        <v>29</v>
      </c>
      <c r="S23" s="44"/>
      <c r="T23" s="93" t="s">
        <v>391</v>
      </c>
      <c r="U23" s="22"/>
      <c r="V23" s="38" t="s">
        <v>17</v>
      </c>
      <c r="W23" s="39">
        <f t="shared" si="0"/>
        <v>15</v>
      </c>
      <c r="X23" s="39"/>
      <c r="Y23" s="1"/>
      <c r="Z23" s="40"/>
      <c r="AA23" s="41"/>
      <c r="AB23" s="42"/>
    </row>
    <row r="24" spans="1:28" s="43" customFormat="1" ht="39.950000000000003" hidden="1" customHeight="1">
      <c r="A24" s="18">
        <v>44060</v>
      </c>
      <c r="B24" s="114" t="s">
        <v>56</v>
      </c>
      <c r="C24" s="115" t="s">
        <v>205</v>
      </c>
      <c r="D24" s="116" t="s">
        <v>206</v>
      </c>
      <c r="E24" s="117">
        <v>70</v>
      </c>
      <c r="F24" s="19" t="s">
        <v>68</v>
      </c>
      <c r="G24" s="22" t="s">
        <v>28</v>
      </c>
      <c r="H24" s="22">
        <v>230</v>
      </c>
      <c r="I24" s="110"/>
      <c r="J24" s="110"/>
      <c r="K24" s="138"/>
      <c r="L24" s="44"/>
      <c r="M24" s="44" t="s">
        <v>29</v>
      </c>
      <c r="N24" s="44"/>
      <c r="O24" s="44"/>
      <c r="P24" s="44" t="s">
        <v>29</v>
      </c>
      <c r="Q24" s="44"/>
      <c r="R24" s="44"/>
      <c r="S24" s="44"/>
      <c r="T24" s="93" t="s">
        <v>392</v>
      </c>
      <c r="U24" s="22"/>
      <c r="V24" s="38" t="s">
        <v>17</v>
      </c>
      <c r="W24" s="39">
        <f t="shared" si="0"/>
        <v>16</v>
      </c>
      <c r="X24" s="39"/>
      <c r="Y24" s="1"/>
      <c r="Z24" s="40"/>
      <c r="AA24" s="41"/>
      <c r="AB24" s="42"/>
    </row>
    <row r="25" spans="1:28" s="43" customFormat="1" ht="39.950000000000003" hidden="1" customHeight="1">
      <c r="A25" s="18">
        <v>44060</v>
      </c>
      <c r="B25" s="114" t="s">
        <v>57</v>
      </c>
      <c r="C25" s="115" t="s">
        <v>121</v>
      </c>
      <c r="D25" s="116" t="s">
        <v>122</v>
      </c>
      <c r="E25" s="117">
        <v>15</v>
      </c>
      <c r="F25" s="19" t="s">
        <v>125</v>
      </c>
      <c r="G25" s="22" t="s">
        <v>18</v>
      </c>
      <c r="H25" s="22">
        <v>220</v>
      </c>
      <c r="I25" s="110"/>
      <c r="J25" s="110"/>
      <c r="K25" s="138" t="s">
        <v>47</v>
      </c>
      <c r="L25" s="44"/>
      <c r="M25" s="44"/>
      <c r="N25" s="44"/>
      <c r="O25" s="44"/>
      <c r="P25" s="44" t="s">
        <v>29</v>
      </c>
      <c r="Q25" s="44"/>
      <c r="R25" s="44" t="s">
        <v>29</v>
      </c>
      <c r="S25" s="44"/>
      <c r="T25" s="19" t="s">
        <v>393</v>
      </c>
      <c r="U25" s="22"/>
      <c r="V25" s="38" t="s">
        <v>17</v>
      </c>
      <c r="W25" s="39">
        <f t="shared" si="0"/>
        <v>17</v>
      </c>
      <c r="X25" s="39"/>
      <c r="Y25" s="1"/>
      <c r="Z25" s="40"/>
      <c r="AA25" s="41"/>
      <c r="AB25" s="42"/>
    </row>
    <row r="26" spans="1:28" s="43" customFormat="1" ht="39.950000000000003" customHeight="1">
      <c r="A26" s="18">
        <v>44060</v>
      </c>
      <c r="B26" s="114" t="s">
        <v>58</v>
      </c>
      <c r="C26" s="115" t="s">
        <v>201</v>
      </c>
      <c r="D26" s="116" t="s">
        <v>202</v>
      </c>
      <c r="E26" s="117">
        <v>36</v>
      </c>
      <c r="F26" s="19" t="s">
        <v>69</v>
      </c>
      <c r="G26" s="22" t="s">
        <v>28</v>
      </c>
      <c r="H26" s="22">
        <v>230</v>
      </c>
      <c r="I26" s="110"/>
      <c r="J26" s="110"/>
      <c r="K26" s="138"/>
      <c r="L26" s="44"/>
      <c r="M26" s="44"/>
      <c r="N26" s="44"/>
      <c r="O26" s="44"/>
      <c r="P26" s="118" t="s">
        <v>70</v>
      </c>
      <c r="Q26" s="44" t="s">
        <v>29</v>
      </c>
      <c r="R26" s="44"/>
      <c r="S26" s="44"/>
      <c r="T26" s="93" t="s">
        <v>942</v>
      </c>
      <c r="U26" s="22"/>
      <c r="V26" s="38" t="s">
        <v>17</v>
      </c>
      <c r="W26" s="39">
        <f t="shared" si="0"/>
        <v>18</v>
      </c>
      <c r="X26" s="39"/>
      <c r="Y26" s="1"/>
      <c r="Z26" s="40"/>
      <c r="AA26" s="41"/>
      <c r="AB26" s="42"/>
    </row>
    <row r="27" spans="1:28" s="43" customFormat="1" ht="39.950000000000003" customHeight="1">
      <c r="A27" s="25">
        <v>44061</v>
      </c>
      <c r="B27" s="114" t="s">
        <v>54</v>
      </c>
      <c r="C27" s="115" t="s">
        <v>201</v>
      </c>
      <c r="D27" s="116" t="s">
        <v>202</v>
      </c>
      <c r="E27" s="117">
        <v>73</v>
      </c>
      <c r="F27" s="19" t="s">
        <v>69</v>
      </c>
      <c r="G27" s="22" t="s">
        <v>28</v>
      </c>
      <c r="H27" s="22">
        <v>230</v>
      </c>
      <c r="I27" s="110"/>
      <c r="J27" s="110"/>
      <c r="K27" s="138"/>
      <c r="L27" s="44"/>
      <c r="M27" s="44"/>
      <c r="N27" s="44"/>
      <c r="O27" s="44"/>
      <c r="P27" s="118" t="s">
        <v>70</v>
      </c>
      <c r="Q27" s="44" t="s">
        <v>29</v>
      </c>
      <c r="R27" s="44"/>
      <c r="S27" s="44"/>
      <c r="T27" s="93" t="s">
        <v>943</v>
      </c>
      <c r="U27" s="22"/>
      <c r="V27" s="38" t="s">
        <v>17</v>
      </c>
      <c r="W27" s="39">
        <f t="shared" si="0"/>
        <v>18</v>
      </c>
      <c r="X27" s="39"/>
      <c r="Y27" s="1"/>
      <c r="Z27" s="40"/>
      <c r="AA27" s="41"/>
      <c r="AB27" s="42"/>
    </row>
    <row r="28" spans="1:28" s="43" customFormat="1" ht="39.950000000000003" customHeight="1">
      <c r="A28" s="18">
        <v>44061</v>
      </c>
      <c r="B28" s="114" t="s">
        <v>55</v>
      </c>
      <c r="C28" s="115" t="s">
        <v>87</v>
      </c>
      <c r="D28" s="116" t="s">
        <v>88</v>
      </c>
      <c r="E28" s="117">
        <v>70</v>
      </c>
      <c r="F28" s="19" t="s">
        <v>89</v>
      </c>
      <c r="G28" s="22" t="s">
        <v>18</v>
      </c>
      <c r="H28" s="22">
        <v>220</v>
      </c>
      <c r="I28" s="110"/>
      <c r="J28" s="110"/>
      <c r="K28" s="138" t="s">
        <v>47</v>
      </c>
      <c r="L28" s="44"/>
      <c r="M28" s="44"/>
      <c r="N28" s="44"/>
      <c r="O28" s="44"/>
      <c r="P28" s="44" t="s">
        <v>29</v>
      </c>
      <c r="Q28" s="44"/>
      <c r="R28" s="44" t="s">
        <v>29</v>
      </c>
      <c r="S28" s="44"/>
      <c r="T28" s="93" t="s">
        <v>394</v>
      </c>
      <c r="U28" s="22"/>
      <c r="V28" s="38" t="s">
        <v>17</v>
      </c>
      <c r="W28" s="39">
        <f t="shared" si="0"/>
        <v>19</v>
      </c>
      <c r="X28" s="39"/>
      <c r="Y28" s="1"/>
      <c r="Z28" s="40"/>
      <c r="AA28" s="41"/>
      <c r="AB28" s="42"/>
    </row>
    <row r="29" spans="1:28" s="43" customFormat="1" ht="39.950000000000003" customHeight="1">
      <c r="A29" s="18">
        <v>44061</v>
      </c>
      <c r="B29" s="114" t="s">
        <v>56</v>
      </c>
      <c r="C29" s="115" t="s">
        <v>116</v>
      </c>
      <c r="D29" s="116" t="s">
        <v>117</v>
      </c>
      <c r="E29" s="117">
        <v>34</v>
      </c>
      <c r="F29" s="19" t="s">
        <v>68</v>
      </c>
      <c r="G29" s="22" t="s">
        <v>18</v>
      </c>
      <c r="H29" s="22">
        <v>220</v>
      </c>
      <c r="I29" s="110"/>
      <c r="J29" s="110"/>
      <c r="K29" s="138"/>
      <c r="L29" s="44"/>
      <c r="M29" s="44"/>
      <c r="N29" s="44"/>
      <c r="O29" s="44"/>
      <c r="P29" s="44" t="s">
        <v>29</v>
      </c>
      <c r="Q29" s="44"/>
      <c r="R29" s="44" t="s">
        <v>29</v>
      </c>
      <c r="S29" s="44"/>
      <c r="T29" s="19" t="s">
        <v>395</v>
      </c>
      <c r="U29" s="22"/>
      <c r="V29" s="38" t="s">
        <v>17</v>
      </c>
      <c r="W29" s="39">
        <f t="shared" si="0"/>
        <v>20</v>
      </c>
      <c r="X29" s="39"/>
      <c r="Y29" s="1"/>
      <c r="Z29" s="40"/>
      <c r="AA29" s="41"/>
      <c r="AB29" s="42"/>
    </row>
    <row r="30" spans="1:28" s="43" customFormat="1" ht="39.950000000000003" customHeight="1">
      <c r="A30" s="18">
        <v>44061</v>
      </c>
      <c r="B30" s="114" t="s">
        <v>57</v>
      </c>
      <c r="C30" s="115" t="s">
        <v>205</v>
      </c>
      <c r="D30" s="116" t="s">
        <v>206</v>
      </c>
      <c r="E30" s="117">
        <v>72</v>
      </c>
      <c r="F30" s="19" t="s">
        <v>68</v>
      </c>
      <c r="G30" s="22" t="s">
        <v>28</v>
      </c>
      <c r="H30" s="22">
        <v>230</v>
      </c>
      <c r="I30" s="110"/>
      <c r="J30" s="110"/>
      <c r="K30" s="138"/>
      <c r="L30" s="44"/>
      <c r="M30" s="44" t="s">
        <v>29</v>
      </c>
      <c r="N30" s="44"/>
      <c r="O30" s="44"/>
      <c r="P30" s="44" t="s">
        <v>29</v>
      </c>
      <c r="Q30" s="44"/>
      <c r="R30" s="44"/>
      <c r="S30" s="44"/>
      <c r="T30" s="19" t="s">
        <v>396</v>
      </c>
      <c r="U30" s="22"/>
      <c r="V30" s="38" t="s">
        <v>17</v>
      </c>
      <c r="W30" s="39">
        <f t="shared" si="0"/>
        <v>21</v>
      </c>
      <c r="X30" s="39"/>
      <c r="Y30" s="1"/>
      <c r="Z30" s="40"/>
      <c r="AA30" s="41"/>
      <c r="AB30" s="42"/>
    </row>
    <row r="31" spans="1:28" s="43" customFormat="1" ht="39.950000000000003" customHeight="1">
      <c r="A31" s="18">
        <v>44061</v>
      </c>
      <c r="B31" s="114" t="s">
        <v>58</v>
      </c>
      <c r="C31" s="115" t="s">
        <v>141</v>
      </c>
      <c r="D31" s="116" t="s">
        <v>142</v>
      </c>
      <c r="E31" s="117">
        <v>20</v>
      </c>
      <c r="F31" s="19" t="s">
        <v>68</v>
      </c>
      <c r="G31" s="22" t="s">
        <v>19</v>
      </c>
      <c r="H31" s="22">
        <v>220</v>
      </c>
      <c r="I31" s="110"/>
      <c r="J31" s="110"/>
      <c r="K31" s="138"/>
      <c r="L31" s="44"/>
      <c r="M31" s="44" t="s">
        <v>29</v>
      </c>
      <c r="N31" s="44"/>
      <c r="O31" s="44"/>
      <c r="P31" s="44" t="s">
        <v>29</v>
      </c>
      <c r="Q31" s="44"/>
      <c r="R31" s="44" t="s">
        <v>29</v>
      </c>
      <c r="S31" s="44"/>
      <c r="T31" s="19" t="s">
        <v>397</v>
      </c>
      <c r="U31" s="22"/>
      <c r="V31" s="38" t="s">
        <v>17</v>
      </c>
      <c r="W31" s="39">
        <f t="shared" si="0"/>
        <v>22</v>
      </c>
      <c r="X31" s="39"/>
      <c r="Y31" s="1"/>
      <c r="Z31" s="40"/>
      <c r="AA31" s="41"/>
      <c r="AB31" s="42"/>
    </row>
    <row r="32" spans="1:28" s="43" customFormat="1" ht="39.950000000000003" customHeight="1">
      <c r="A32" s="18">
        <v>44061</v>
      </c>
      <c r="B32" s="114" t="s">
        <v>59</v>
      </c>
      <c r="C32" s="115" t="s">
        <v>121</v>
      </c>
      <c r="D32" s="116" t="s">
        <v>122</v>
      </c>
      <c r="E32" s="117">
        <v>15</v>
      </c>
      <c r="F32" s="19" t="s">
        <v>125</v>
      </c>
      <c r="G32" s="22" t="s">
        <v>18</v>
      </c>
      <c r="H32" s="22">
        <v>220</v>
      </c>
      <c r="I32" s="110"/>
      <c r="J32" s="110"/>
      <c r="K32" s="138" t="s">
        <v>47</v>
      </c>
      <c r="L32" s="44"/>
      <c r="M32" s="44"/>
      <c r="N32" s="44"/>
      <c r="O32" s="44"/>
      <c r="P32" s="44" t="s">
        <v>29</v>
      </c>
      <c r="Q32" s="44"/>
      <c r="R32" s="44" t="s">
        <v>29</v>
      </c>
      <c r="S32" s="44"/>
      <c r="T32" s="93" t="s">
        <v>398</v>
      </c>
      <c r="U32" s="22"/>
      <c r="V32" s="38" t="s">
        <v>17</v>
      </c>
      <c r="W32" s="39">
        <f t="shared" si="0"/>
        <v>23</v>
      </c>
      <c r="X32" s="39"/>
      <c r="Y32" s="1"/>
      <c r="Z32" s="40"/>
      <c r="AA32" s="41"/>
      <c r="AB32" s="42"/>
    </row>
    <row r="33" spans="1:28" s="43" customFormat="1" ht="39.950000000000003" customHeight="1">
      <c r="A33" s="18">
        <v>44061</v>
      </c>
      <c r="B33" s="114" t="s">
        <v>60</v>
      </c>
      <c r="C33" s="115" t="s">
        <v>201</v>
      </c>
      <c r="D33" s="116" t="s">
        <v>202</v>
      </c>
      <c r="E33" s="117">
        <v>36</v>
      </c>
      <c r="F33" s="19" t="s">
        <v>69</v>
      </c>
      <c r="G33" s="22" t="s">
        <v>28</v>
      </c>
      <c r="H33" s="22">
        <v>230</v>
      </c>
      <c r="I33" s="110"/>
      <c r="J33" s="110"/>
      <c r="K33" s="138"/>
      <c r="L33" s="44"/>
      <c r="M33" s="44"/>
      <c r="N33" s="44"/>
      <c r="O33" s="44"/>
      <c r="P33" s="118" t="s">
        <v>70</v>
      </c>
      <c r="Q33" s="44" t="s">
        <v>29</v>
      </c>
      <c r="R33" s="44"/>
      <c r="S33" s="44"/>
      <c r="T33" s="93" t="s">
        <v>944</v>
      </c>
      <c r="U33" s="22"/>
      <c r="V33" s="38"/>
      <c r="W33" s="39">
        <f t="shared" si="0"/>
        <v>24</v>
      </c>
      <c r="X33" s="39"/>
      <c r="Y33" s="1"/>
      <c r="Z33" s="40"/>
      <c r="AA33" s="41"/>
      <c r="AB33" s="42"/>
    </row>
    <row r="34" spans="1:28" s="43" customFormat="1" ht="39.950000000000003" customHeight="1">
      <c r="A34" s="25">
        <v>44062</v>
      </c>
      <c r="B34" s="114" t="s">
        <v>54</v>
      </c>
      <c r="C34" s="115" t="s">
        <v>201</v>
      </c>
      <c r="D34" s="116" t="s">
        <v>202</v>
      </c>
      <c r="E34" s="117">
        <v>72</v>
      </c>
      <c r="F34" s="19" t="s">
        <v>69</v>
      </c>
      <c r="G34" s="22" t="s">
        <v>28</v>
      </c>
      <c r="H34" s="22">
        <v>230</v>
      </c>
      <c r="I34" s="110"/>
      <c r="J34" s="110"/>
      <c r="K34" s="138"/>
      <c r="L34" s="44"/>
      <c r="M34" s="44"/>
      <c r="N34" s="44"/>
      <c r="O34" s="44"/>
      <c r="P34" s="118" t="s">
        <v>70</v>
      </c>
      <c r="Q34" s="44" t="s">
        <v>29</v>
      </c>
      <c r="R34" s="44"/>
      <c r="S34" s="44"/>
      <c r="T34" s="19" t="s">
        <v>945</v>
      </c>
      <c r="U34" s="22"/>
      <c r="V34" s="38"/>
      <c r="W34" s="39">
        <f t="shared" si="0"/>
        <v>24</v>
      </c>
      <c r="X34" s="39"/>
      <c r="Y34" s="1"/>
      <c r="Z34" s="40"/>
      <c r="AA34" s="41"/>
      <c r="AB34" s="42"/>
    </row>
    <row r="35" spans="1:28" s="43" customFormat="1" ht="39.950000000000003" customHeight="1">
      <c r="A35" s="18">
        <v>44062</v>
      </c>
      <c r="B35" s="114" t="s">
        <v>55</v>
      </c>
      <c r="C35" s="115" t="s">
        <v>87</v>
      </c>
      <c r="D35" s="116" t="s">
        <v>88</v>
      </c>
      <c r="E35" s="117">
        <v>70</v>
      </c>
      <c r="F35" s="19" t="s">
        <v>89</v>
      </c>
      <c r="G35" s="22" t="s">
        <v>18</v>
      </c>
      <c r="H35" s="22">
        <v>220</v>
      </c>
      <c r="I35" s="110"/>
      <c r="J35" s="110"/>
      <c r="K35" s="138" t="s">
        <v>47</v>
      </c>
      <c r="L35" s="44"/>
      <c r="M35" s="44"/>
      <c r="N35" s="44"/>
      <c r="O35" s="44"/>
      <c r="P35" s="44" t="s">
        <v>29</v>
      </c>
      <c r="Q35" s="44"/>
      <c r="R35" s="44" t="s">
        <v>29</v>
      </c>
      <c r="S35" s="44"/>
      <c r="T35" s="19" t="s">
        <v>399</v>
      </c>
      <c r="U35" s="22"/>
      <c r="V35" s="38"/>
      <c r="W35" s="39">
        <f t="shared" si="0"/>
        <v>25</v>
      </c>
      <c r="X35" s="39"/>
      <c r="Y35" s="1"/>
      <c r="Z35" s="40"/>
      <c r="AA35" s="41"/>
      <c r="AB35" s="42"/>
    </row>
    <row r="36" spans="1:28" s="43" customFormat="1" ht="39.950000000000003" customHeight="1">
      <c r="A36" s="18">
        <v>44062</v>
      </c>
      <c r="B36" s="114" t="s">
        <v>56</v>
      </c>
      <c r="C36" s="115" t="s">
        <v>116</v>
      </c>
      <c r="D36" s="116" t="s">
        <v>117</v>
      </c>
      <c r="E36" s="117">
        <v>91</v>
      </c>
      <c r="F36" s="19" t="s">
        <v>68</v>
      </c>
      <c r="G36" s="22" t="s">
        <v>18</v>
      </c>
      <c r="H36" s="22">
        <v>220</v>
      </c>
      <c r="I36" s="110"/>
      <c r="J36" s="110"/>
      <c r="K36" s="138"/>
      <c r="L36" s="44"/>
      <c r="M36" s="44"/>
      <c r="N36" s="44"/>
      <c r="O36" s="44"/>
      <c r="P36" s="44" t="s">
        <v>29</v>
      </c>
      <c r="Q36" s="44"/>
      <c r="R36" s="44" t="s">
        <v>29</v>
      </c>
      <c r="S36" s="44"/>
      <c r="T36" s="93" t="s">
        <v>400</v>
      </c>
      <c r="U36" s="22"/>
      <c r="V36" s="38"/>
      <c r="W36" s="39">
        <f t="shared" si="0"/>
        <v>26</v>
      </c>
      <c r="X36" s="39"/>
      <c r="Y36" s="1"/>
      <c r="Z36" s="40"/>
      <c r="AA36" s="41"/>
      <c r="AB36" s="42"/>
    </row>
    <row r="37" spans="1:28" s="43" customFormat="1" ht="39.950000000000003" customHeight="1">
      <c r="A37" s="18">
        <v>44062</v>
      </c>
      <c r="B37" s="114" t="s">
        <v>57</v>
      </c>
      <c r="C37" s="115" t="s">
        <v>205</v>
      </c>
      <c r="D37" s="116" t="s">
        <v>206</v>
      </c>
      <c r="E37" s="117">
        <v>36</v>
      </c>
      <c r="F37" s="19" t="s">
        <v>68</v>
      </c>
      <c r="G37" s="22" t="s">
        <v>28</v>
      </c>
      <c r="H37" s="22">
        <v>230</v>
      </c>
      <c r="I37" s="110"/>
      <c r="J37" s="110"/>
      <c r="K37" s="138"/>
      <c r="L37" s="44"/>
      <c r="M37" s="44" t="s">
        <v>29</v>
      </c>
      <c r="N37" s="44"/>
      <c r="O37" s="44"/>
      <c r="P37" s="44" t="s">
        <v>29</v>
      </c>
      <c r="Q37" s="44"/>
      <c r="R37" s="44"/>
      <c r="S37" s="44"/>
      <c r="T37" s="19" t="s">
        <v>401</v>
      </c>
      <c r="U37" s="22"/>
      <c r="V37" s="38"/>
      <c r="W37" s="39">
        <f t="shared" si="0"/>
        <v>27</v>
      </c>
      <c r="X37" s="39"/>
      <c r="Y37" s="1"/>
      <c r="Z37" s="40"/>
      <c r="AA37" s="41"/>
      <c r="AB37" s="42"/>
    </row>
    <row r="38" spans="1:28" s="43" customFormat="1" ht="39.950000000000003" customHeight="1">
      <c r="A38" s="18">
        <v>44062</v>
      </c>
      <c r="B38" s="114" t="s">
        <v>58</v>
      </c>
      <c r="C38" s="115" t="s">
        <v>121</v>
      </c>
      <c r="D38" s="116" t="s">
        <v>122</v>
      </c>
      <c r="E38" s="117">
        <v>15</v>
      </c>
      <c r="F38" s="19" t="s">
        <v>125</v>
      </c>
      <c r="G38" s="22" t="s">
        <v>18</v>
      </c>
      <c r="H38" s="22">
        <v>220</v>
      </c>
      <c r="I38" s="110"/>
      <c r="J38" s="110"/>
      <c r="K38" s="138" t="s">
        <v>47</v>
      </c>
      <c r="L38" s="44"/>
      <c r="M38" s="44"/>
      <c r="N38" s="44"/>
      <c r="O38" s="44"/>
      <c r="P38" s="44" t="s">
        <v>29</v>
      </c>
      <c r="Q38" s="44"/>
      <c r="R38" s="44" t="s">
        <v>29</v>
      </c>
      <c r="S38" s="44"/>
      <c r="T38" s="19" t="s">
        <v>402</v>
      </c>
      <c r="U38" s="22"/>
      <c r="V38" s="38"/>
      <c r="W38" s="39">
        <f t="shared" si="0"/>
        <v>28</v>
      </c>
      <c r="X38" s="39"/>
      <c r="Y38" s="1"/>
      <c r="Z38" s="40"/>
      <c r="AA38" s="41"/>
      <c r="AB38" s="42"/>
    </row>
    <row r="39" spans="1:28" s="43" customFormat="1" ht="39.950000000000003" customHeight="1">
      <c r="A39" s="18">
        <v>44062</v>
      </c>
      <c r="B39" s="114" t="s">
        <v>59</v>
      </c>
      <c r="C39" s="115" t="s">
        <v>74</v>
      </c>
      <c r="D39" s="116" t="s">
        <v>78</v>
      </c>
      <c r="E39" s="117">
        <v>36</v>
      </c>
      <c r="F39" s="19" t="s">
        <v>69</v>
      </c>
      <c r="G39" s="22" t="s">
        <v>28</v>
      </c>
      <c r="H39" s="22">
        <v>230</v>
      </c>
      <c r="I39" s="110"/>
      <c r="J39" s="110"/>
      <c r="K39" s="138"/>
      <c r="L39" s="44"/>
      <c r="M39" s="44"/>
      <c r="N39" s="44"/>
      <c r="O39" s="44"/>
      <c r="P39" s="118" t="s">
        <v>70</v>
      </c>
      <c r="Q39" s="44" t="s">
        <v>29</v>
      </c>
      <c r="R39" s="44"/>
      <c r="S39" s="44"/>
      <c r="T39" s="93" t="s">
        <v>946</v>
      </c>
      <c r="U39" s="22"/>
      <c r="V39" s="38"/>
      <c r="W39" s="39">
        <f t="shared" si="0"/>
        <v>29</v>
      </c>
      <c r="X39" s="39"/>
      <c r="Y39" s="1"/>
      <c r="Z39" s="40"/>
      <c r="AA39" s="41"/>
      <c r="AB39" s="42"/>
    </row>
    <row r="40" spans="1:28" s="43" customFormat="1" ht="39.950000000000003" customHeight="1">
      <c r="A40" s="25">
        <v>44063</v>
      </c>
      <c r="B40" s="114" t="s">
        <v>54</v>
      </c>
      <c r="C40" s="115" t="s">
        <v>74</v>
      </c>
      <c r="D40" s="116" t="s">
        <v>78</v>
      </c>
      <c r="E40" s="117">
        <v>5</v>
      </c>
      <c r="F40" s="19" t="s">
        <v>69</v>
      </c>
      <c r="G40" s="22" t="s">
        <v>28</v>
      </c>
      <c r="H40" s="22">
        <v>230</v>
      </c>
      <c r="I40" s="110"/>
      <c r="J40" s="110"/>
      <c r="K40" s="138"/>
      <c r="L40" s="44"/>
      <c r="M40" s="44"/>
      <c r="N40" s="44"/>
      <c r="O40" s="44"/>
      <c r="P40" s="118" t="s">
        <v>70</v>
      </c>
      <c r="Q40" s="44" t="s">
        <v>29</v>
      </c>
      <c r="R40" s="44"/>
      <c r="S40" s="44"/>
      <c r="T40" s="93" t="s">
        <v>947</v>
      </c>
      <c r="U40" s="22"/>
      <c r="V40" s="38"/>
      <c r="W40" s="39">
        <f t="shared" si="0"/>
        <v>29</v>
      </c>
      <c r="X40" s="39"/>
      <c r="Y40" s="1"/>
      <c r="Z40" s="40"/>
      <c r="AA40" s="41"/>
      <c r="AB40" s="42"/>
    </row>
    <row r="41" spans="1:28" s="43" customFormat="1" ht="39.950000000000003" customHeight="1">
      <c r="A41" s="18">
        <v>44063</v>
      </c>
      <c r="B41" s="114" t="s">
        <v>55</v>
      </c>
      <c r="C41" s="115" t="s">
        <v>201</v>
      </c>
      <c r="D41" s="116" t="s">
        <v>202</v>
      </c>
      <c r="E41" s="117">
        <v>67</v>
      </c>
      <c r="F41" s="19" t="s">
        <v>69</v>
      </c>
      <c r="G41" s="22" t="s">
        <v>28</v>
      </c>
      <c r="H41" s="22">
        <v>230</v>
      </c>
      <c r="I41" s="110"/>
      <c r="J41" s="110"/>
      <c r="K41" s="138"/>
      <c r="L41" s="44"/>
      <c r="M41" s="44"/>
      <c r="N41" s="44"/>
      <c r="O41" s="44"/>
      <c r="P41" s="118" t="s">
        <v>70</v>
      </c>
      <c r="Q41" s="44" t="s">
        <v>29</v>
      </c>
      <c r="R41" s="44"/>
      <c r="S41" s="44"/>
      <c r="T41" s="93" t="s">
        <v>948</v>
      </c>
      <c r="U41" s="22"/>
      <c r="V41" s="38"/>
      <c r="W41" s="39">
        <f t="shared" si="0"/>
        <v>30</v>
      </c>
      <c r="X41" s="39"/>
      <c r="Y41" s="1"/>
      <c r="Z41" s="40"/>
      <c r="AA41" s="41"/>
      <c r="AB41" s="42"/>
    </row>
    <row r="42" spans="1:28" s="43" customFormat="1" ht="39.950000000000003" customHeight="1">
      <c r="A42" s="18">
        <v>44063</v>
      </c>
      <c r="B42" s="114" t="s">
        <v>56</v>
      </c>
      <c r="C42" s="115" t="s">
        <v>87</v>
      </c>
      <c r="D42" s="116" t="s">
        <v>88</v>
      </c>
      <c r="E42" s="117">
        <v>70</v>
      </c>
      <c r="F42" s="19" t="s">
        <v>89</v>
      </c>
      <c r="G42" s="22" t="s">
        <v>18</v>
      </c>
      <c r="H42" s="22">
        <v>220</v>
      </c>
      <c r="I42" s="110"/>
      <c r="J42" s="110"/>
      <c r="K42" s="138" t="s">
        <v>47</v>
      </c>
      <c r="L42" s="44"/>
      <c r="M42" s="44"/>
      <c r="N42" s="44"/>
      <c r="O42" s="44"/>
      <c r="P42" s="44" t="s">
        <v>29</v>
      </c>
      <c r="Q42" s="44"/>
      <c r="R42" s="44" t="s">
        <v>29</v>
      </c>
      <c r="S42" s="44"/>
      <c r="T42" s="19" t="s">
        <v>403</v>
      </c>
      <c r="U42" s="22"/>
      <c r="V42" s="38"/>
      <c r="W42" s="39">
        <f t="shared" si="0"/>
        <v>31</v>
      </c>
      <c r="X42" s="39"/>
      <c r="Y42" s="1"/>
      <c r="Z42" s="40"/>
      <c r="AA42" s="41"/>
      <c r="AB42" s="42"/>
    </row>
    <row r="43" spans="1:28" s="43" customFormat="1" ht="39.950000000000003" customHeight="1">
      <c r="A43" s="18">
        <v>44063</v>
      </c>
      <c r="B43" s="114" t="s">
        <v>57</v>
      </c>
      <c r="C43" s="115" t="s">
        <v>116</v>
      </c>
      <c r="D43" s="116" t="s">
        <v>117</v>
      </c>
      <c r="E43" s="117">
        <v>105</v>
      </c>
      <c r="F43" s="19" t="s">
        <v>68</v>
      </c>
      <c r="G43" s="22" t="s">
        <v>18</v>
      </c>
      <c r="H43" s="22">
        <v>220</v>
      </c>
      <c r="I43" s="110"/>
      <c r="J43" s="110"/>
      <c r="K43" s="138"/>
      <c r="L43" s="44"/>
      <c r="M43" s="44"/>
      <c r="N43" s="44"/>
      <c r="O43" s="44"/>
      <c r="P43" s="44" t="s">
        <v>29</v>
      </c>
      <c r="Q43" s="44"/>
      <c r="R43" s="44" t="s">
        <v>29</v>
      </c>
      <c r="S43" s="44"/>
      <c r="T43" s="19" t="s">
        <v>404</v>
      </c>
      <c r="U43" s="22"/>
      <c r="V43" s="38"/>
      <c r="W43" s="39">
        <f t="shared" si="0"/>
        <v>32</v>
      </c>
      <c r="X43" s="39"/>
      <c r="Y43" s="1"/>
      <c r="Z43" s="40"/>
      <c r="AA43" s="41"/>
      <c r="AB43" s="42"/>
    </row>
    <row r="44" spans="1:28" s="43" customFormat="1" ht="39.950000000000003" customHeight="1">
      <c r="A44" s="18">
        <v>44063</v>
      </c>
      <c r="B44" s="114" t="s">
        <v>58</v>
      </c>
      <c r="C44" s="115" t="s">
        <v>199</v>
      </c>
      <c r="D44" s="116" t="s">
        <v>200</v>
      </c>
      <c r="E44" s="117">
        <v>22</v>
      </c>
      <c r="F44" s="19" t="s">
        <v>68</v>
      </c>
      <c r="G44" s="22" t="s">
        <v>34</v>
      </c>
      <c r="H44" s="22">
        <v>120</v>
      </c>
      <c r="I44" s="110"/>
      <c r="J44" s="110"/>
      <c r="K44" s="138"/>
      <c r="L44" s="44"/>
      <c r="M44" s="44" t="s">
        <v>29</v>
      </c>
      <c r="N44" s="44"/>
      <c r="O44" s="44"/>
      <c r="P44" s="44" t="s">
        <v>29</v>
      </c>
      <c r="Q44" s="44"/>
      <c r="R44" s="44"/>
      <c r="S44" s="44"/>
      <c r="T44" s="120" t="s">
        <v>405</v>
      </c>
      <c r="U44" s="22"/>
      <c r="V44" s="38"/>
      <c r="W44" s="39">
        <f t="shared" si="0"/>
        <v>33</v>
      </c>
      <c r="X44" s="39"/>
      <c r="Y44" s="1"/>
      <c r="Z44" s="40"/>
      <c r="AA44" s="41"/>
      <c r="AB44" s="42"/>
    </row>
    <row r="45" spans="1:28" s="43" customFormat="1" ht="39.950000000000003" customHeight="1">
      <c r="A45" s="18">
        <v>44063</v>
      </c>
      <c r="B45" s="114" t="s">
        <v>59</v>
      </c>
      <c r="C45" s="115" t="s">
        <v>121</v>
      </c>
      <c r="D45" s="116" t="s">
        <v>122</v>
      </c>
      <c r="E45" s="117">
        <v>15</v>
      </c>
      <c r="F45" s="19" t="s">
        <v>125</v>
      </c>
      <c r="G45" s="22" t="s">
        <v>18</v>
      </c>
      <c r="H45" s="22">
        <v>220</v>
      </c>
      <c r="I45" s="110"/>
      <c r="J45" s="110"/>
      <c r="K45" s="138" t="s">
        <v>47</v>
      </c>
      <c r="L45" s="44"/>
      <c r="M45" s="44"/>
      <c r="N45" s="44"/>
      <c r="O45" s="44"/>
      <c r="P45" s="44" t="s">
        <v>29</v>
      </c>
      <c r="Q45" s="44"/>
      <c r="R45" s="44" t="s">
        <v>29</v>
      </c>
      <c r="S45" s="44"/>
      <c r="T45" s="121" t="s">
        <v>406</v>
      </c>
      <c r="U45" s="22"/>
      <c r="V45" s="38"/>
      <c r="W45" s="39">
        <f t="shared" si="0"/>
        <v>34</v>
      </c>
      <c r="X45" s="39"/>
      <c r="Y45" s="1"/>
      <c r="Z45" s="40"/>
      <c r="AA45" s="41"/>
      <c r="AB45" s="42"/>
    </row>
    <row r="46" spans="1:28" s="43" customFormat="1" ht="39.950000000000003" customHeight="1">
      <c r="A46" s="18">
        <v>44063</v>
      </c>
      <c r="B46" s="114" t="s">
        <v>60</v>
      </c>
      <c r="C46" s="115" t="s">
        <v>74</v>
      </c>
      <c r="D46" s="116" t="s">
        <v>78</v>
      </c>
      <c r="E46" s="117">
        <v>36</v>
      </c>
      <c r="F46" s="19" t="s">
        <v>69</v>
      </c>
      <c r="G46" s="22" t="s">
        <v>28</v>
      </c>
      <c r="H46" s="22">
        <v>230</v>
      </c>
      <c r="I46" s="110"/>
      <c r="J46" s="110"/>
      <c r="K46" s="138"/>
      <c r="L46" s="44"/>
      <c r="M46" s="44"/>
      <c r="N46" s="44"/>
      <c r="O46" s="44"/>
      <c r="P46" s="118" t="s">
        <v>70</v>
      </c>
      <c r="Q46" s="44" t="s">
        <v>29</v>
      </c>
      <c r="R46" s="44"/>
      <c r="S46" s="44"/>
      <c r="T46" s="121" t="s">
        <v>949</v>
      </c>
      <c r="U46" s="22"/>
      <c r="V46" s="38"/>
      <c r="W46" s="39">
        <f t="shared" si="0"/>
        <v>35</v>
      </c>
      <c r="X46" s="39"/>
      <c r="Y46" s="1"/>
      <c r="Z46" s="40"/>
      <c r="AA46" s="41"/>
      <c r="AB46" s="42"/>
    </row>
    <row r="47" spans="1:28" s="43" customFormat="1" ht="39.950000000000003" customHeight="1">
      <c r="A47" s="25">
        <v>44064</v>
      </c>
      <c r="B47" s="114" t="s">
        <v>54</v>
      </c>
      <c r="C47" s="115" t="s">
        <v>74</v>
      </c>
      <c r="D47" s="116" t="s">
        <v>78</v>
      </c>
      <c r="E47" s="117">
        <v>72</v>
      </c>
      <c r="F47" s="19" t="s">
        <v>69</v>
      </c>
      <c r="G47" s="22" t="s">
        <v>28</v>
      </c>
      <c r="H47" s="22">
        <v>230</v>
      </c>
      <c r="I47" s="110"/>
      <c r="J47" s="110"/>
      <c r="K47" s="138"/>
      <c r="L47" s="44"/>
      <c r="M47" s="44"/>
      <c r="N47" s="44"/>
      <c r="O47" s="44"/>
      <c r="P47" s="118" t="s">
        <v>70</v>
      </c>
      <c r="Q47" s="44" t="s">
        <v>29</v>
      </c>
      <c r="R47" s="44"/>
      <c r="S47" s="44"/>
      <c r="T47" s="121" t="s">
        <v>950</v>
      </c>
      <c r="U47" s="22"/>
      <c r="V47" s="38"/>
      <c r="W47" s="39">
        <f t="shared" si="0"/>
        <v>35</v>
      </c>
      <c r="X47" s="39"/>
      <c r="Y47" s="1"/>
      <c r="Z47" s="40"/>
      <c r="AA47" s="41"/>
      <c r="AB47" s="42"/>
    </row>
    <row r="48" spans="1:28" s="43" customFormat="1" ht="39.950000000000003" customHeight="1">
      <c r="A48" s="18">
        <v>44064</v>
      </c>
      <c r="B48" s="114" t="s">
        <v>55</v>
      </c>
      <c r="C48" s="115" t="s">
        <v>87</v>
      </c>
      <c r="D48" s="116" t="s">
        <v>88</v>
      </c>
      <c r="E48" s="117">
        <v>70</v>
      </c>
      <c r="F48" s="19" t="s">
        <v>89</v>
      </c>
      <c r="G48" s="22" t="s">
        <v>18</v>
      </c>
      <c r="H48" s="22">
        <v>220</v>
      </c>
      <c r="I48" s="110"/>
      <c r="J48" s="110"/>
      <c r="K48" s="138" t="s">
        <v>47</v>
      </c>
      <c r="L48" s="44"/>
      <c r="M48" s="44"/>
      <c r="N48" s="44"/>
      <c r="O48" s="44"/>
      <c r="P48" s="44" t="s">
        <v>29</v>
      </c>
      <c r="Q48" s="44"/>
      <c r="R48" s="44" t="s">
        <v>29</v>
      </c>
      <c r="S48" s="44"/>
      <c r="T48" s="121" t="s">
        <v>407</v>
      </c>
      <c r="U48" s="22"/>
      <c r="V48" s="38"/>
      <c r="W48" s="39">
        <f t="shared" si="0"/>
        <v>36</v>
      </c>
      <c r="X48" s="39"/>
      <c r="Y48" s="1"/>
      <c r="Z48" s="40"/>
      <c r="AA48" s="41"/>
      <c r="AB48" s="42"/>
    </row>
    <row r="49" spans="1:28" s="43" customFormat="1" ht="39.950000000000003" customHeight="1">
      <c r="A49" s="18">
        <v>44064</v>
      </c>
      <c r="B49" s="114" t="s">
        <v>56</v>
      </c>
      <c r="C49" s="115" t="s">
        <v>116</v>
      </c>
      <c r="D49" s="116" t="s">
        <v>117</v>
      </c>
      <c r="E49" s="117">
        <v>127</v>
      </c>
      <c r="F49" s="19" t="s">
        <v>68</v>
      </c>
      <c r="G49" s="22" t="s">
        <v>18</v>
      </c>
      <c r="H49" s="22">
        <v>220</v>
      </c>
      <c r="I49" s="110"/>
      <c r="J49" s="110"/>
      <c r="K49" s="138"/>
      <c r="L49" s="44"/>
      <c r="M49" s="44"/>
      <c r="N49" s="44"/>
      <c r="O49" s="44"/>
      <c r="P49" s="44" t="s">
        <v>29</v>
      </c>
      <c r="Q49" s="44"/>
      <c r="R49" s="44" t="s">
        <v>29</v>
      </c>
      <c r="S49" s="44"/>
      <c r="T49" s="121" t="s">
        <v>408</v>
      </c>
      <c r="U49" s="22"/>
      <c r="V49" s="38"/>
      <c r="W49" s="39">
        <f t="shared" si="0"/>
        <v>37</v>
      </c>
      <c r="X49" s="39"/>
      <c r="Y49" s="1"/>
      <c r="Z49" s="40"/>
      <c r="AA49" s="41"/>
      <c r="AB49" s="42"/>
    </row>
    <row r="50" spans="1:28" s="43" customFormat="1" ht="39.950000000000003" customHeight="1">
      <c r="A50" s="18">
        <v>44064</v>
      </c>
      <c r="B50" s="114" t="s">
        <v>57</v>
      </c>
      <c r="C50" s="115" t="s">
        <v>121</v>
      </c>
      <c r="D50" s="116" t="s">
        <v>122</v>
      </c>
      <c r="E50" s="117">
        <v>6</v>
      </c>
      <c r="F50" s="19" t="s">
        <v>125</v>
      </c>
      <c r="G50" s="22" t="s">
        <v>18</v>
      </c>
      <c r="H50" s="22">
        <v>220</v>
      </c>
      <c r="I50" s="110"/>
      <c r="J50" s="110"/>
      <c r="K50" s="138" t="s">
        <v>47</v>
      </c>
      <c r="L50" s="44"/>
      <c r="M50" s="44"/>
      <c r="N50" s="44"/>
      <c r="O50" s="44"/>
      <c r="P50" s="44" t="s">
        <v>29</v>
      </c>
      <c r="Q50" s="44"/>
      <c r="R50" s="44" t="s">
        <v>29</v>
      </c>
      <c r="S50" s="44"/>
      <c r="T50" s="27" t="s">
        <v>409</v>
      </c>
      <c r="U50" s="22"/>
      <c r="V50" s="38"/>
      <c r="W50" s="39">
        <f t="shared" si="0"/>
        <v>38</v>
      </c>
      <c r="X50" s="39"/>
      <c r="Y50" s="1"/>
      <c r="Z50" s="40"/>
      <c r="AA50" s="41"/>
      <c r="AB50" s="42"/>
    </row>
    <row r="51" spans="1:28" s="43" customFormat="1" ht="39.950000000000003" customHeight="1">
      <c r="A51" s="18">
        <v>44064</v>
      </c>
      <c r="B51" s="114" t="s">
        <v>58</v>
      </c>
      <c r="C51" s="115" t="s">
        <v>74</v>
      </c>
      <c r="D51" s="116" t="s">
        <v>78</v>
      </c>
      <c r="E51" s="117">
        <v>45</v>
      </c>
      <c r="F51" s="19" t="s">
        <v>69</v>
      </c>
      <c r="G51" s="22" t="s">
        <v>28</v>
      </c>
      <c r="H51" s="22">
        <v>230</v>
      </c>
      <c r="I51" s="110"/>
      <c r="J51" s="110"/>
      <c r="K51" s="138"/>
      <c r="L51" s="44"/>
      <c r="M51" s="44"/>
      <c r="N51" s="44"/>
      <c r="O51" s="44"/>
      <c r="P51" s="118" t="s">
        <v>70</v>
      </c>
      <c r="Q51" s="44" t="s">
        <v>29</v>
      </c>
      <c r="R51" s="44"/>
      <c r="S51" s="44"/>
      <c r="T51" s="121" t="s">
        <v>951</v>
      </c>
      <c r="U51" s="22"/>
      <c r="V51" s="38"/>
      <c r="W51" s="39">
        <f t="shared" si="0"/>
        <v>39</v>
      </c>
      <c r="X51" s="39"/>
      <c r="Y51" s="1"/>
      <c r="Z51" s="40"/>
      <c r="AA51" s="41"/>
      <c r="AB51" s="42"/>
    </row>
    <row r="52" spans="1:28" s="43" customFormat="1" ht="39.950000000000003" customHeight="1">
      <c r="A52" s="25">
        <v>44065</v>
      </c>
      <c r="B52" s="114" t="s">
        <v>54</v>
      </c>
      <c r="C52" s="115" t="s">
        <v>74</v>
      </c>
      <c r="D52" s="116" t="s">
        <v>78</v>
      </c>
      <c r="E52" s="117">
        <v>63</v>
      </c>
      <c r="F52" s="19" t="s">
        <v>69</v>
      </c>
      <c r="G52" s="22" t="s">
        <v>28</v>
      </c>
      <c r="H52" s="22">
        <v>230</v>
      </c>
      <c r="I52" s="110"/>
      <c r="J52" s="110"/>
      <c r="K52" s="138"/>
      <c r="L52" s="44"/>
      <c r="M52" s="44"/>
      <c r="N52" s="44"/>
      <c r="O52" s="44"/>
      <c r="P52" s="118" t="s">
        <v>70</v>
      </c>
      <c r="Q52" s="44" t="s">
        <v>29</v>
      </c>
      <c r="R52" s="44"/>
      <c r="S52" s="44"/>
      <c r="T52" s="121" t="s">
        <v>952</v>
      </c>
      <c r="U52" s="22"/>
      <c r="V52" s="38"/>
      <c r="W52" s="39">
        <f t="shared" si="0"/>
        <v>39</v>
      </c>
      <c r="X52" s="39"/>
      <c r="Y52" s="1"/>
      <c r="Z52" s="40"/>
      <c r="AA52" s="41"/>
      <c r="AB52" s="42"/>
    </row>
    <row r="53" spans="1:28" s="43" customFormat="1" ht="39.950000000000003" customHeight="1">
      <c r="A53" s="28">
        <v>44065</v>
      </c>
      <c r="B53" s="114" t="s">
        <v>55</v>
      </c>
      <c r="C53" s="115" t="s">
        <v>87</v>
      </c>
      <c r="D53" s="116" t="s">
        <v>88</v>
      </c>
      <c r="E53" s="117">
        <v>64</v>
      </c>
      <c r="F53" s="22" t="s">
        <v>89</v>
      </c>
      <c r="G53" s="22" t="s">
        <v>18</v>
      </c>
      <c r="H53" s="22">
        <v>220</v>
      </c>
      <c r="I53" s="44"/>
      <c r="J53" s="44"/>
      <c r="K53" s="138" t="s">
        <v>47</v>
      </c>
      <c r="L53" s="44"/>
      <c r="M53" s="44"/>
      <c r="N53" s="44"/>
      <c r="O53" s="44"/>
      <c r="P53" s="44" t="s">
        <v>29</v>
      </c>
      <c r="Q53" s="44"/>
      <c r="R53" s="44" t="s">
        <v>29</v>
      </c>
      <c r="S53" s="44"/>
      <c r="T53" s="121" t="s">
        <v>410</v>
      </c>
      <c r="U53" s="22"/>
      <c r="V53" s="38"/>
      <c r="W53" s="39">
        <f t="shared" si="0"/>
        <v>40</v>
      </c>
      <c r="X53" s="39"/>
      <c r="Y53" s="1"/>
      <c r="Z53" s="40"/>
      <c r="AA53" s="41"/>
      <c r="AB53" s="42"/>
    </row>
    <row r="54" spans="1:28" s="43" customFormat="1" ht="39.950000000000003" customHeight="1">
      <c r="A54" s="28">
        <v>44065</v>
      </c>
      <c r="B54" s="114" t="s">
        <v>56</v>
      </c>
      <c r="C54" s="115" t="s">
        <v>116</v>
      </c>
      <c r="D54" s="116" t="s">
        <v>117</v>
      </c>
      <c r="E54" s="117">
        <v>82</v>
      </c>
      <c r="F54" s="22" t="s">
        <v>68</v>
      </c>
      <c r="G54" s="22" t="s">
        <v>18</v>
      </c>
      <c r="H54" s="22">
        <v>220</v>
      </c>
      <c r="I54" s="44"/>
      <c r="J54" s="44"/>
      <c r="K54" s="138"/>
      <c r="L54" s="44"/>
      <c r="M54" s="44"/>
      <c r="N54" s="44"/>
      <c r="O54" s="44"/>
      <c r="P54" s="44" t="s">
        <v>29</v>
      </c>
      <c r="Q54" s="44"/>
      <c r="R54" s="44" t="s">
        <v>29</v>
      </c>
      <c r="S54" s="44"/>
      <c r="T54" s="27" t="s">
        <v>411</v>
      </c>
      <c r="U54" s="22"/>
      <c r="V54" s="38"/>
      <c r="W54" s="39">
        <f t="shared" si="0"/>
        <v>41</v>
      </c>
      <c r="X54" s="39"/>
      <c r="Y54" s="1"/>
      <c r="Z54" s="40"/>
      <c r="AA54" s="41"/>
      <c r="AB54" s="42"/>
    </row>
    <row r="55" spans="1:28" s="43" customFormat="1" ht="39.950000000000003" customHeight="1">
      <c r="A55" s="28">
        <v>44065</v>
      </c>
      <c r="B55" s="114" t="s">
        <v>57</v>
      </c>
      <c r="C55" s="115" t="s">
        <v>121</v>
      </c>
      <c r="D55" s="116" t="s">
        <v>122</v>
      </c>
      <c r="E55" s="117">
        <v>15</v>
      </c>
      <c r="F55" s="22" t="s">
        <v>125</v>
      </c>
      <c r="G55" s="22" t="s">
        <v>18</v>
      </c>
      <c r="H55" s="22">
        <v>220</v>
      </c>
      <c r="I55" s="44"/>
      <c r="J55" s="44"/>
      <c r="K55" s="138" t="s">
        <v>47</v>
      </c>
      <c r="L55" s="44"/>
      <c r="M55" s="44"/>
      <c r="N55" s="44"/>
      <c r="O55" s="44"/>
      <c r="P55" s="44" t="s">
        <v>29</v>
      </c>
      <c r="Q55" s="44"/>
      <c r="R55" s="44" t="s">
        <v>29</v>
      </c>
      <c r="S55" s="44"/>
      <c r="T55" s="121" t="s">
        <v>584</v>
      </c>
      <c r="U55" s="22"/>
      <c r="V55" s="38"/>
      <c r="W55" s="39">
        <f t="shared" si="0"/>
        <v>42</v>
      </c>
      <c r="X55" s="39"/>
      <c r="Y55" s="1"/>
      <c r="Z55" s="40"/>
      <c r="AA55" s="41"/>
      <c r="AB55" s="42"/>
    </row>
    <row r="56" spans="1:28" s="43" customFormat="1" ht="39.950000000000003" customHeight="1">
      <c r="A56" s="28">
        <v>44065</v>
      </c>
      <c r="B56" s="114" t="s">
        <v>58</v>
      </c>
      <c r="C56" s="115" t="s">
        <v>201</v>
      </c>
      <c r="D56" s="116" t="s">
        <v>202</v>
      </c>
      <c r="E56" s="117">
        <v>36</v>
      </c>
      <c r="F56" s="22" t="s">
        <v>69</v>
      </c>
      <c r="G56" s="22" t="s">
        <v>28</v>
      </c>
      <c r="H56" s="22">
        <v>230</v>
      </c>
      <c r="I56" s="44"/>
      <c r="J56" s="44"/>
      <c r="K56" s="138"/>
      <c r="L56" s="44"/>
      <c r="M56" s="44"/>
      <c r="N56" s="44"/>
      <c r="O56" s="44"/>
      <c r="P56" s="118" t="s">
        <v>70</v>
      </c>
      <c r="Q56" s="44" t="s">
        <v>29</v>
      </c>
      <c r="R56" s="44"/>
      <c r="S56" s="44"/>
      <c r="T56" s="121" t="s">
        <v>585</v>
      </c>
      <c r="U56" s="22"/>
      <c r="V56" s="38"/>
      <c r="W56" s="39">
        <f t="shared" si="0"/>
        <v>43</v>
      </c>
      <c r="X56" s="39"/>
      <c r="Y56" s="1"/>
      <c r="Z56" s="40"/>
      <c r="AA56" s="41"/>
      <c r="AB56" s="42"/>
    </row>
    <row r="57" spans="1:28" s="43" customFormat="1" ht="39.950000000000003" customHeight="1">
      <c r="A57" s="26">
        <v>44067</v>
      </c>
      <c r="B57" s="114" t="s">
        <v>54</v>
      </c>
      <c r="C57" s="115" t="s">
        <v>201</v>
      </c>
      <c r="D57" s="116" t="s">
        <v>202</v>
      </c>
      <c r="E57" s="117">
        <v>84</v>
      </c>
      <c r="F57" s="22" t="s">
        <v>69</v>
      </c>
      <c r="G57" s="22" t="s">
        <v>28</v>
      </c>
      <c r="H57" s="22">
        <v>230</v>
      </c>
      <c r="I57" s="44"/>
      <c r="J57" s="44"/>
      <c r="K57" s="138"/>
      <c r="L57" s="44"/>
      <c r="M57" s="44"/>
      <c r="N57" s="44"/>
      <c r="O57" s="44"/>
      <c r="P57" s="118" t="s">
        <v>70</v>
      </c>
      <c r="Q57" s="44" t="s">
        <v>29</v>
      </c>
      <c r="R57" s="44"/>
      <c r="S57" s="44"/>
      <c r="T57" s="121" t="s">
        <v>586</v>
      </c>
      <c r="U57" s="22"/>
      <c r="V57" s="38"/>
      <c r="W57" s="39">
        <f t="shared" si="0"/>
        <v>43</v>
      </c>
      <c r="X57" s="39"/>
      <c r="Y57" s="1"/>
      <c r="Z57" s="40"/>
      <c r="AA57" s="41"/>
      <c r="AB57" s="42"/>
    </row>
    <row r="58" spans="1:28" s="43" customFormat="1" ht="39.950000000000003" customHeight="1">
      <c r="A58" s="28">
        <v>44067</v>
      </c>
      <c r="B58" s="114" t="s">
        <v>55</v>
      </c>
      <c r="C58" s="115" t="s">
        <v>87</v>
      </c>
      <c r="D58" s="116" t="s">
        <v>88</v>
      </c>
      <c r="E58" s="117">
        <v>50</v>
      </c>
      <c r="F58" s="22" t="s">
        <v>89</v>
      </c>
      <c r="G58" s="22" t="s">
        <v>18</v>
      </c>
      <c r="H58" s="22">
        <v>220</v>
      </c>
      <c r="I58" s="44"/>
      <c r="J58" s="44"/>
      <c r="K58" s="138" t="s">
        <v>47</v>
      </c>
      <c r="L58" s="44"/>
      <c r="M58" s="44"/>
      <c r="N58" s="44"/>
      <c r="O58" s="44"/>
      <c r="P58" s="44" t="s">
        <v>29</v>
      </c>
      <c r="Q58" s="44"/>
      <c r="R58" s="44" t="s">
        <v>29</v>
      </c>
      <c r="S58" s="44"/>
      <c r="T58" s="121" t="s">
        <v>587</v>
      </c>
      <c r="U58" s="22"/>
      <c r="V58" s="38"/>
      <c r="W58" s="39">
        <f t="shared" si="0"/>
        <v>44</v>
      </c>
      <c r="X58" s="39"/>
      <c r="Y58" s="1"/>
      <c r="Z58" s="40"/>
      <c r="AA58" s="41"/>
      <c r="AB58" s="42"/>
    </row>
    <row r="59" spans="1:28" s="43" customFormat="1" ht="39.950000000000003" customHeight="1">
      <c r="A59" s="28">
        <v>44067</v>
      </c>
      <c r="B59" s="114" t="s">
        <v>56</v>
      </c>
      <c r="C59" s="115" t="s">
        <v>205</v>
      </c>
      <c r="D59" s="116" t="s">
        <v>206</v>
      </c>
      <c r="E59" s="117">
        <v>71</v>
      </c>
      <c r="F59" s="22" t="s">
        <v>68</v>
      </c>
      <c r="G59" s="22" t="s">
        <v>28</v>
      </c>
      <c r="H59" s="22">
        <v>230</v>
      </c>
      <c r="I59" s="44"/>
      <c r="J59" s="44"/>
      <c r="K59" s="138"/>
      <c r="L59" s="44"/>
      <c r="M59" s="44" t="s">
        <v>29</v>
      </c>
      <c r="N59" s="44"/>
      <c r="O59" s="44"/>
      <c r="P59" s="44" t="s">
        <v>29</v>
      </c>
      <c r="Q59" s="44"/>
      <c r="R59" s="44"/>
      <c r="S59" s="44"/>
      <c r="T59" s="121" t="s">
        <v>588</v>
      </c>
      <c r="U59" s="22"/>
      <c r="V59" s="98"/>
      <c r="W59" s="39">
        <f t="shared" si="0"/>
        <v>45</v>
      </c>
      <c r="X59" s="39"/>
      <c r="Y59" s="1"/>
      <c r="Z59" s="40"/>
      <c r="AA59" s="41"/>
      <c r="AB59" s="42"/>
    </row>
    <row r="60" spans="1:28" s="43" customFormat="1" ht="39.950000000000003" customHeight="1">
      <c r="A60" s="28">
        <v>44067</v>
      </c>
      <c r="B60" s="114" t="s">
        <v>57</v>
      </c>
      <c r="C60" s="115" t="s">
        <v>121</v>
      </c>
      <c r="D60" s="116" t="s">
        <v>122</v>
      </c>
      <c r="E60" s="117">
        <v>15</v>
      </c>
      <c r="F60" s="22" t="s">
        <v>125</v>
      </c>
      <c r="G60" s="22" t="s">
        <v>18</v>
      </c>
      <c r="H60" s="22">
        <v>220</v>
      </c>
      <c r="I60" s="44"/>
      <c r="J60" s="44"/>
      <c r="K60" s="138" t="s">
        <v>47</v>
      </c>
      <c r="L60" s="44"/>
      <c r="M60" s="44"/>
      <c r="N60" s="44"/>
      <c r="O60" s="44"/>
      <c r="P60" s="44" t="s">
        <v>29</v>
      </c>
      <c r="Q60" s="44"/>
      <c r="R60" s="44" t="s">
        <v>29</v>
      </c>
      <c r="S60" s="44"/>
      <c r="T60" s="27" t="s">
        <v>589</v>
      </c>
      <c r="U60" s="22"/>
      <c r="V60" s="98"/>
      <c r="W60" s="39">
        <f t="shared" si="0"/>
        <v>46</v>
      </c>
      <c r="X60" s="39"/>
      <c r="Y60" s="1"/>
      <c r="Z60" s="40"/>
      <c r="AA60" s="41"/>
      <c r="AB60" s="42"/>
    </row>
    <row r="61" spans="1:28" s="43" customFormat="1" ht="39.950000000000003" customHeight="1">
      <c r="A61" s="28">
        <v>44067</v>
      </c>
      <c r="B61" s="114" t="s">
        <v>58</v>
      </c>
      <c r="C61" s="115" t="s">
        <v>74</v>
      </c>
      <c r="D61" s="116" t="s">
        <v>78</v>
      </c>
      <c r="E61" s="117">
        <v>36</v>
      </c>
      <c r="F61" s="22" t="s">
        <v>69</v>
      </c>
      <c r="G61" s="22" t="s">
        <v>28</v>
      </c>
      <c r="H61" s="22">
        <v>230</v>
      </c>
      <c r="I61" s="44"/>
      <c r="J61" s="44"/>
      <c r="K61" s="138"/>
      <c r="L61" s="44"/>
      <c r="M61" s="44"/>
      <c r="N61" s="44"/>
      <c r="O61" s="44"/>
      <c r="P61" s="118" t="s">
        <v>70</v>
      </c>
      <c r="Q61" s="44" t="s">
        <v>29</v>
      </c>
      <c r="R61" s="44"/>
      <c r="S61" s="44"/>
      <c r="T61" s="121" t="s">
        <v>953</v>
      </c>
      <c r="U61" s="22"/>
      <c r="V61" s="98"/>
      <c r="W61" s="39">
        <f t="shared" si="0"/>
        <v>47</v>
      </c>
      <c r="X61" s="39"/>
      <c r="Y61" s="1"/>
      <c r="Z61" s="40"/>
      <c r="AA61" s="41"/>
      <c r="AB61" s="42"/>
    </row>
    <row r="62" spans="1:28" s="43" customFormat="1" ht="39.950000000000003" customHeight="1">
      <c r="A62" s="26">
        <v>44068</v>
      </c>
      <c r="B62" s="114" t="s">
        <v>54</v>
      </c>
      <c r="C62" s="115" t="s">
        <v>74</v>
      </c>
      <c r="D62" s="116" t="s">
        <v>78</v>
      </c>
      <c r="E62" s="117">
        <v>92</v>
      </c>
      <c r="F62" s="22" t="s">
        <v>69</v>
      </c>
      <c r="G62" s="22" t="s">
        <v>28</v>
      </c>
      <c r="H62" s="22">
        <v>230</v>
      </c>
      <c r="I62" s="44"/>
      <c r="J62" s="44"/>
      <c r="K62" s="138"/>
      <c r="L62" s="44"/>
      <c r="M62" s="44"/>
      <c r="N62" s="44"/>
      <c r="O62" s="44"/>
      <c r="P62" s="118" t="s">
        <v>70</v>
      </c>
      <c r="Q62" s="44" t="s">
        <v>29</v>
      </c>
      <c r="R62" s="44"/>
      <c r="S62" s="44"/>
      <c r="T62" s="121" t="s">
        <v>954</v>
      </c>
      <c r="U62" s="22"/>
      <c r="V62" s="98"/>
      <c r="W62" s="39">
        <f t="shared" si="0"/>
        <v>47</v>
      </c>
      <c r="X62" s="39"/>
      <c r="Y62" s="1"/>
      <c r="Z62" s="40"/>
      <c r="AA62" s="41"/>
      <c r="AB62" s="42"/>
    </row>
    <row r="63" spans="1:28" s="43" customFormat="1" ht="39.950000000000003" customHeight="1">
      <c r="A63" s="28">
        <v>44068</v>
      </c>
      <c r="B63" s="114" t="s">
        <v>55</v>
      </c>
      <c r="C63" s="115" t="s">
        <v>201</v>
      </c>
      <c r="D63" s="116" t="s">
        <v>202</v>
      </c>
      <c r="E63" s="117">
        <v>15</v>
      </c>
      <c r="F63" s="22" t="s">
        <v>69</v>
      </c>
      <c r="G63" s="22" t="s">
        <v>28</v>
      </c>
      <c r="H63" s="22">
        <v>230</v>
      </c>
      <c r="I63" s="44"/>
      <c r="J63" s="44"/>
      <c r="K63" s="138"/>
      <c r="L63" s="44"/>
      <c r="M63" s="44"/>
      <c r="N63" s="44"/>
      <c r="O63" s="44"/>
      <c r="P63" s="118" t="s">
        <v>70</v>
      </c>
      <c r="Q63" s="44" t="s">
        <v>29</v>
      </c>
      <c r="R63" s="44"/>
      <c r="S63" s="44"/>
      <c r="T63" s="27" t="s">
        <v>955</v>
      </c>
      <c r="U63" s="22"/>
      <c r="V63" s="98"/>
      <c r="W63" s="39">
        <f t="shared" si="0"/>
        <v>48</v>
      </c>
      <c r="X63" s="39"/>
      <c r="Y63" s="1"/>
      <c r="Z63" s="40"/>
      <c r="AA63" s="41"/>
      <c r="AB63" s="42"/>
    </row>
    <row r="64" spans="1:28" s="43" customFormat="1" ht="39.950000000000003" customHeight="1">
      <c r="A64" s="28">
        <v>44068</v>
      </c>
      <c r="B64" s="114" t="s">
        <v>56</v>
      </c>
      <c r="C64" s="115" t="s">
        <v>87</v>
      </c>
      <c r="D64" s="116" t="s">
        <v>88</v>
      </c>
      <c r="E64" s="117">
        <v>50</v>
      </c>
      <c r="F64" s="22" t="s">
        <v>89</v>
      </c>
      <c r="G64" s="22" t="s">
        <v>18</v>
      </c>
      <c r="H64" s="22">
        <v>220</v>
      </c>
      <c r="I64" s="44"/>
      <c r="J64" s="44"/>
      <c r="K64" s="138" t="s">
        <v>47</v>
      </c>
      <c r="L64" s="44"/>
      <c r="M64" s="44"/>
      <c r="N64" s="44"/>
      <c r="O64" s="44"/>
      <c r="P64" s="44" t="s">
        <v>29</v>
      </c>
      <c r="Q64" s="44"/>
      <c r="R64" s="44" t="s">
        <v>29</v>
      </c>
      <c r="S64" s="44"/>
      <c r="T64" s="121" t="s">
        <v>590</v>
      </c>
      <c r="U64" s="22"/>
      <c r="V64" s="98"/>
      <c r="W64" s="39">
        <f t="shared" si="0"/>
        <v>49</v>
      </c>
      <c r="X64" s="39"/>
      <c r="Y64" s="1"/>
      <c r="Z64" s="40"/>
      <c r="AA64" s="41"/>
      <c r="AB64" s="42"/>
    </row>
    <row r="65" spans="1:28" s="43" customFormat="1" ht="39.950000000000003" customHeight="1">
      <c r="A65" s="28">
        <v>44068</v>
      </c>
      <c r="B65" s="114" t="s">
        <v>57</v>
      </c>
      <c r="C65" s="115" t="s">
        <v>116</v>
      </c>
      <c r="D65" s="116" t="s">
        <v>117</v>
      </c>
      <c r="E65" s="117">
        <v>39</v>
      </c>
      <c r="F65" s="22" t="s">
        <v>68</v>
      </c>
      <c r="G65" s="22" t="s">
        <v>18</v>
      </c>
      <c r="H65" s="22">
        <v>220</v>
      </c>
      <c r="I65" s="44"/>
      <c r="J65" s="44"/>
      <c r="K65" s="138"/>
      <c r="L65" s="44"/>
      <c r="M65" s="44"/>
      <c r="N65" s="44"/>
      <c r="O65" s="44"/>
      <c r="P65" s="44" t="s">
        <v>29</v>
      </c>
      <c r="Q65" s="44"/>
      <c r="R65" s="44" t="s">
        <v>29</v>
      </c>
      <c r="S65" s="44"/>
      <c r="T65" s="121" t="s">
        <v>591</v>
      </c>
      <c r="U65" s="22"/>
      <c r="V65" s="98"/>
      <c r="W65" s="39">
        <f t="shared" si="0"/>
        <v>50</v>
      </c>
      <c r="X65" s="39"/>
      <c r="Y65" s="1"/>
      <c r="Z65" s="40"/>
      <c r="AA65" s="41"/>
      <c r="AB65" s="42"/>
    </row>
    <row r="66" spans="1:28" s="43" customFormat="1" ht="39.950000000000003" customHeight="1">
      <c r="A66" s="28">
        <v>44068</v>
      </c>
      <c r="B66" s="114" t="s">
        <v>58</v>
      </c>
      <c r="C66" s="115" t="s">
        <v>205</v>
      </c>
      <c r="D66" s="116" t="s">
        <v>206</v>
      </c>
      <c r="E66" s="117">
        <v>89</v>
      </c>
      <c r="F66" s="22" t="s">
        <v>68</v>
      </c>
      <c r="G66" s="22" t="s">
        <v>28</v>
      </c>
      <c r="H66" s="22">
        <v>230</v>
      </c>
      <c r="I66" s="44"/>
      <c r="J66" s="44"/>
      <c r="K66" s="138"/>
      <c r="L66" s="44"/>
      <c r="M66" s="44" t="s">
        <v>29</v>
      </c>
      <c r="N66" s="44"/>
      <c r="O66" s="44"/>
      <c r="P66" s="44" t="s">
        <v>29</v>
      </c>
      <c r="Q66" s="44"/>
      <c r="R66" s="44"/>
      <c r="S66" s="44"/>
      <c r="T66" s="121" t="s">
        <v>592</v>
      </c>
      <c r="U66" s="22"/>
      <c r="V66" s="98"/>
      <c r="W66" s="39">
        <f t="shared" si="0"/>
        <v>51</v>
      </c>
      <c r="X66" s="39"/>
      <c r="Y66" s="1"/>
      <c r="Z66" s="40"/>
      <c r="AA66" s="41"/>
      <c r="AB66" s="42"/>
    </row>
    <row r="67" spans="1:28" s="43" customFormat="1" ht="39.950000000000003" customHeight="1">
      <c r="A67" s="28">
        <v>44068</v>
      </c>
      <c r="B67" s="114" t="s">
        <v>59</v>
      </c>
      <c r="C67" s="115" t="s">
        <v>121</v>
      </c>
      <c r="D67" s="116" t="s">
        <v>122</v>
      </c>
      <c r="E67" s="117">
        <v>15</v>
      </c>
      <c r="F67" s="22" t="s">
        <v>125</v>
      </c>
      <c r="G67" s="22" t="s">
        <v>18</v>
      </c>
      <c r="H67" s="22">
        <v>220</v>
      </c>
      <c r="I67" s="44"/>
      <c r="J67" s="44"/>
      <c r="K67" s="138" t="s">
        <v>47</v>
      </c>
      <c r="L67" s="44"/>
      <c r="M67" s="44"/>
      <c r="N67" s="44"/>
      <c r="O67" s="44"/>
      <c r="P67" s="44" t="s">
        <v>29</v>
      </c>
      <c r="Q67" s="44"/>
      <c r="R67" s="44" t="s">
        <v>29</v>
      </c>
      <c r="S67" s="44"/>
      <c r="T67" s="27" t="s">
        <v>593</v>
      </c>
      <c r="U67" s="22"/>
      <c r="V67" s="98"/>
      <c r="W67" s="39">
        <f t="shared" si="0"/>
        <v>52</v>
      </c>
      <c r="X67" s="39"/>
      <c r="Y67" s="1"/>
      <c r="Z67" s="40"/>
      <c r="AA67" s="41"/>
      <c r="AB67" s="42"/>
    </row>
    <row r="68" spans="1:28" s="43" customFormat="1" ht="39.950000000000003" customHeight="1">
      <c r="A68" s="28">
        <v>44068</v>
      </c>
      <c r="B68" s="114" t="s">
        <v>60</v>
      </c>
      <c r="C68" s="115" t="s">
        <v>74</v>
      </c>
      <c r="D68" s="116" t="s">
        <v>78</v>
      </c>
      <c r="E68" s="117">
        <v>36</v>
      </c>
      <c r="F68" s="22" t="s">
        <v>69</v>
      </c>
      <c r="G68" s="22" t="s">
        <v>28</v>
      </c>
      <c r="H68" s="22">
        <v>230</v>
      </c>
      <c r="I68" s="44"/>
      <c r="J68" s="44"/>
      <c r="K68" s="138"/>
      <c r="L68" s="44"/>
      <c r="M68" s="44"/>
      <c r="N68" s="44"/>
      <c r="O68" s="44"/>
      <c r="P68" s="118" t="s">
        <v>70</v>
      </c>
      <c r="Q68" s="44" t="s">
        <v>29</v>
      </c>
      <c r="R68" s="44"/>
      <c r="S68" s="44"/>
      <c r="T68" s="121" t="s">
        <v>956</v>
      </c>
      <c r="U68" s="22"/>
      <c r="V68" s="98"/>
      <c r="W68" s="39">
        <f t="shared" si="0"/>
        <v>53</v>
      </c>
      <c r="X68" s="39"/>
      <c r="Y68" s="1"/>
      <c r="Z68" s="40"/>
      <c r="AA68" s="41"/>
      <c r="AB68" s="42"/>
    </row>
    <row r="69" spans="1:28" s="43" customFormat="1" ht="39.950000000000003" customHeight="1">
      <c r="A69" s="26">
        <v>44069</v>
      </c>
      <c r="B69" s="114" t="s">
        <v>54</v>
      </c>
      <c r="C69" s="115" t="s">
        <v>74</v>
      </c>
      <c r="D69" s="116" t="s">
        <v>78</v>
      </c>
      <c r="E69" s="117">
        <v>53</v>
      </c>
      <c r="F69" s="22" t="s">
        <v>69</v>
      </c>
      <c r="G69" s="22" t="s">
        <v>28</v>
      </c>
      <c r="H69" s="22">
        <v>230</v>
      </c>
      <c r="I69" s="44"/>
      <c r="J69" s="44"/>
      <c r="K69" s="138"/>
      <c r="L69" s="44"/>
      <c r="M69" s="44"/>
      <c r="N69" s="44"/>
      <c r="O69" s="44"/>
      <c r="P69" s="118" t="s">
        <v>70</v>
      </c>
      <c r="Q69" s="44" t="s">
        <v>29</v>
      </c>
      <c r="R69" s="44"/>
      <c r="S69" s="44"/>
      <c r="T69" s="121" t="s">
        <v>957</v>
      </c>
      <c r="U69" s="22"/>
      <c r="V69" s="98"/>
      <c r="W69" s="39">
        <f t="shared" si="0"/>
        <v>53</v>
      </c>
      <c r="X69" s="39"/>
      <c r="Y69" s="1"/>
      <c r="Z69" s="40"/>
      <c r="AA69" s="41"/>
      <c r="AB69" s="42"/>
    </row>
    <row r="70" spans="1:28" s="43" customFormat="1" ht="39.950000000000003" customHeight="1">
      <c r="A70" s="28">
        <v>44069</v>
      </c>
      <c r="B70" s="114" t="s">
        <v>55</v>
      </c>
      <c r="C70" s="115" t="s">
        <v>201</v>
      </c>
      <c r="D70" s="116" t="s">
        <v>202</v>
      </c>
      <c r="E70" s="117">
        <v>54</v>
      </c>
      <c r="F70" s="22" t="s">
        <v>69</v>
      </c>
      <c r="G70" s="22" t="s">
        <v>28</v>
      </c>
      <c r="H70" s="22">
        <v>230</v>
      </c>
      <c r="I70" s="44"/>
      <c r="J70" s="44"/>
      <c r="K70" s="138"/>
      <c r="L70" s="44"/>
      <c r="M70" s="44"/>
      <c r="N70" s="44"/>
      <c r="O70" s="44"/>
      <c r="P70" s="118" t="s">
        <v>70</v>
      </c>
      <c r="Q70" s="44" t="s">
        <v>29</v>
      </c>
      <c r="R70" s="44"/>
      <c r="S70" s="44"/>
      <c r="T70" s="27" t="s">
        <v>958</v>
      </c>
      <c r="U70" s="22"/>
      <c r="V70" s="98"/>
      <c r="W70" s="39">
        <f t="shared" si="0"/>
        <v>54</v>
      </c>
      <c r="X70" s="39"/>
      <c r="Y70" s="1"/>
      <c r="Z70" s="40"/>
      <c r="AA70" s="41"/>
      <c r="AB70" s="42"/>
    </row>
    <row r="71" spans="1:28" s="43" customFormat="1" ht="39.950000000000003" customHeight="1">
      <c r="A71" s="28">
        <v>44069</v>
      </c>
      <c r="B71" s="114" t="s">
        <v>56</v>
      </c>
      <c r="C71" s="115" t="s">
        <v>87</v>
      </c>
      <c r="D71" s="116" t="s">
        <v>88</v>
      </c>
      <c r="E71" s="117">
        <v>31</v>
      </c>
      <c r="F71" s="22" t="s">
        <v>89</v>
      </c>
      <c r="G71" s="22" t="s">
        <v>18</v>
      </c>
      <c r="H71" s="22">
        <v>220</v>
      </c>
      <c r="I71" s="44"/>
      <c r="J71" s="44"/>
      <c r="K71" s="138" t="s">
        <v>47</v>
      </c>
      <c r="L71" s="44"/>
      <c r="M71" s="44"/>
      <c r="N71" s="44"/>
      <c r="O71" s="44"/>
      <c r="P71" s="44" t="s">
        <v>29</v>
      </c>
      <c r="Q71" s="44"/>
      <c r="R71" s="44" t="s">
        <v>29</v>
      </c>
      <c r="S71" s="44"/>
      <c r="T71" s="121" t="s">
        <v>594</v>
      </c>
      <c r="U71" s="22"/>
      <c r="V71" s="98"/>
      <c r="W71" s="39">
        <f t="shared" si="0"/>
        <v>55</v>
      </c>
      <c r="X71" s="39"/>
      <c r="Y71" s="1"/>
      <c r="Z71" s="40"/>
      <c r="AA71" s="41"/>
      <c r="AB71" s="42"/>
    </row>
    <row r="72" spans="1:28" s="43" customFormat="1" ht="39.950000000000003" customHeight="1">
      <c r="A72" s="28">
        <v>44069</v>
      </c>
      <c r="B72" s="114" t="s">
        <v>57</v>
      </c>
      <c r="C72" s="115" t="s">
        <v>116</v>
      </c>
      <c r="D72" s="116" t="s">
        <v>117</v>
      </c>
      <c r="E72" s="117">
        <v>67</v>
      </c>
      <c r="F72" s="22" t="s">
        <v>68</v>
      </c>
      <c r="G72" s="22" t="s">
        <v>18</v>
      </c>
      <c r="H72" s="22">
        <v>220</v>
      </c>
      <c r="I72" s="44"/>
      <c r="J72" s="44"/>
      <c r="K72" s="138"/>
      <c r="L72" s="44"/>
      <c r="M72" s="44"/>
      <c r="N72" s="44"/>
      <c r="O72" s="44"/>
      <c r="P72" s="44" t="s">
        <v>29</v>
      </c>
      <c r="Q72" s="44"/>
      <c r="R72" s="44" t="s">
        <v>29</v>
      </c>
      <c r="S72" s="44"/>
      <c r="T72" s="121" t="s">
        <v>595</v>
      </c>
      <c r="U72" s="22"/>
      <c r="V72" s="98"/>
      <c r="W72" s="39">
        <f t="shared" ref="W72:W135" si="1">IF(C72=C71,W71,W71+1)</f>
        <v>56</v>
      </c>
      <c r="X72" s="39"/>
      <c r="Y72" s="1"/>
      <c r="Z72" s="40"/>
      <c r="AA72" s="41"/>
      <c r="AB72" s="42"/>
    </row>
    <row r="73" spans="1:28" s="43" customFormat="1" ht="39.950000000000003" customHeight="1">
      <c r="A73" s="28">
        <v>44069</v>
      </c>
      <c r="B73" s="114" t="s">
        <v>58</v>
      </c>
      <c r="C73" s="115" t="s">
        <v>205</v>
      </c>
      <c r="D73" s="116" t="s">
        <v>206</v>
      </c>
      <c r="E73" s="117">
        <v>80</v>
      </c>
      <c r="F73" s="22" t="s">
        <v>68</v>
      </c>
      <c r="G73" s="22" t="s">
        <v>28</v>
      </c>
      <c r="H73" s="22">
        <v>230</v>
      </c>
      <c r="I73" s="44"/>
      <c r="J73" s="44"/>
      <c r="K73" s="138"/>
      <c r="L73" s="44"/>
      <c r="M73" s="44" t="s">
        <v>29</v>
      </c>
      <c r="N73" s="44"/>
      <c r="O73" s="44"/>
      <c r="P73" s="44" t="s">
        <v>29</v>
      </c>
      <c r="Q73" s="44"/>
      <c r="R73" s="44"/>
      <c r="S73" s="44"/>
      <c r="T73" s="27" t="s">
        <v>596</v>
      </c>
      <c r="U73" s="22"/>
      <c r="V73" s="98"/>
      <c r="W73" s="39">
        <f t="shared" si="1"/>
        <v>57</v>
      </c>
      <c r="X73" s="39"/>
      <c r="Y73" s="1"/>
      <c r="Z73" s="40"/>
      <c r="AA73" s="41"/>
      <c r="AB73" s="42"/>
    </row>
    <row r="74" spans="1:28" s="43" customFormat="1" ht="39.950000000000003" customHeight="1">
      <c r="A74" s="28">
        <v>44069</v>
      </c>
      <c r="B74" s="114" t="s">
        <v>59</v>
      </c>
      <c r="C74" s="115" t="s">
        <v>121</v>
      </c>
      <c r="D74" s="116" t="s">
        <v>122</v>
      </c>
      <c r="E74" s="117">
        <v>15</v>
      </c>
      <c r="F74" s="22" t="s">
        <v>125</v>
      </c>
      <c r="G74" s="22" t="s">
        <v>18</v>
      </c>
      <c r="H74" s="22">
        <v>220</v>
      </c>
      <c r="I74" s="44"/>
      <c r="J74" s="44"/>
      <c r="K74" s="138" t="s">
        <v>47</v>
      </c>
      <c r="L74" s="44"/>
      <c r="M74" s="44"/>
      <c r="N74" s="44"/>
      <c r="O74" s="44"/>
      <c r="P74" s="44" t="s">
        <v>29</v>
      </c>
      <c r="Q74" s="44"/>
      <c r="R74" s="44" t="s">
        <v>29</v>
      </c>
      <c r="S74" s="44"/>
      <c r="T74" s="27" t="s">
        <v>597</v>
      </c>
      <c r="U74" s="22"/>
      <c r="V74" s="98"/>
      <c r="W74" s="39">
        <f t="shared" si="1"/>
        <v>58</v>
      </c>
      <c r="X74" s="39"/>
      <c r="Y74" s="1"/>
      <c r="Z74" s="40"/>
      <c r="AA74" s="41"/>
      <c r="AB74" s="42"/>
    </row>
    <row r="75" spans="1:28" s="43" customFormat="1" ht="39.950000000000003" customHeight="1">
      <c r="A75" s="28">
        <v>44069</v>
      </c>
      <c r="B75" s="114" t="s">
        <v>60</v>
      </c>
      <c r="C75" s="115" t="s">
        <v>74</v>
      </c>
      <c r="D75" s="116" t="s">
        <v>78</v>
      </c>
      <c r="E75" s="117">
        <v>36</v>
      </c>
      <c r="F75" s="22" t="s">
        <v>69</v>
      </c>
      <c r="G75" s="22" t="s">
        <v>28</v>
      </c>
      <c r="H75" s="22">
        <v>230</v>
      </c>
      <c r="I75" s="44"/>
      <c r="J75" s="44"/>
      <c r="K75" s="138"/>
      <c r="L75" s="44"/>
      <c r="M75" s="44"/>
      <c r="N75" s="44"/>
      <c r="O75" s="44"/>
      <c r="P75" s="118" t="s">
        <v>70</v>
      </c>
      <c r="Q75" s="44" t="s">
        <v>29</v>
      </c>
      <c r="R75" s="44"/>
      <c r="S75" s="44"/>
      <c r="T75" s="121" t="s">
        <v>959</v>
      </c>
      <c r="U75" s="22"/>
      <c r="V75" s="98"/>
      <c r="W75" s="39">
        <f t="shared" si="1"/>
        <v>59</v>
      </c>
      <c r="X75" s="39"/>
      <c r="Y75" s="1"/>
      <c r="Z75" s="40"/>
      <c r="AA75" s="41"/>
      <c r="AB75" s="42"/>
    </row>
    <row r="76" spans="1:28" s="43" customFormat="1" ht="39.950000000000003" customHeight="1">
      <c r="A76" s="25">
        <v>44070</v>
      </c>
      <c r="B76" s="114" t="s">
        <v>54</v>
      </c>
      <c r="C76" s="115" t="s">
        <v>74</v>
      </c>
      <c r="D76" s="116" t="s">
        <v>78</v>
      </c>
      <c r="E76" s="117">
        <v>91</v>
      </c>
      <c r="F76" s="22" t="s">
        <v>69</v>
      </c>
      <c r="G76" s="22" t="s">
        <v>28</v>
      </c>
      <c r="H76" s="22">
        <v>230</v>
      </c>
      <c r="I76" s="44"/>
      <c r="J76" s="44"/>
      <c r="K76" s="138"/>
      <c r="L76" s="44"/>
      <c r="M76" s="44"/>
      <c r="N76" s="44"/>
      <c r="O76" s="44"/>
      <c r="P76" s="118" t="s">
        <v>70</v>
      </c>
      <c r="Q76" s="44" t="s">
        <v>29</v>
      </c>
      <c r="R76" s="44"/>
      <c r="S76" s="44"/>
      <c r="T76" s="121" t="s">
        <v>960</v>
      </c>
      <c r="U76" s="22"/>
      <c r="V76" s="98"/>
      <c r="W76" s="39">
        <f t="shared" si="1"/>
        <v>59</v>
      </c>
      <c r="X76" s="39"/>
      <c r="Y76" s="1"/>
      <c r="Z76" s="40"/>
      <c r="AA76" s="41"/>
      <c r="AB76" s="42"/>
    </row>
    <row r="77" spans="1:28" s="43" customFormat="1" ht="39.950000000000003" customHeight="1">
      <c r="A77" s="18">
        <v>44070</v>
      </c>
      <c r="B77" s="114" t="s">
        <v>55</v>
      </c>
      <c r="C77" s="115" t="s">
        <v>201</v>
      </c>
      <c r="D77" s="116" t="s">
        <v>202</v>
      </c>
      <c r="E77" s="117">
        <v>2</v>
      </c>
      <c r="F77" s="22" t="s">
        <v>69</v>
      </c>
      <c r="G77" s="22" t="s">
        <v>28</v>
      </c>
      <c r="H77" s="22">
        <v>230</v>
      </c>
      <c r="I77" s="44"/>
      <c r="J77" s="44"/>
      <c r="K77" s="138"/>
      <c r="L77" s="44"/>
      <c r="M77" s="44"/>
      <c r="N77" s="44"/>
      <c r="O77" s="44"/>
      <c r="P77" s="118" t="s">
        <v>70</v>
      </c>
      <c r="Q77" s="44" t="s">
        <v>29</v>
      </c>
      <c r="R77" s="44"/>
      <c r="S77" s="44"/>
      <c r="T77" s="121" t="s">
        <v>961</v>
      </c>
      <c r="U77" s="22"/>
      <c r="V77" s="98"/>
      <c r="W77" s="39">
        <f t="shared" si="1"/>
        <v>60</v>
      </c>
      <c r="X77" s="39"/>
      <c r="Y77" s="1"/>
      <c r="Z77" s="40"/>
      <c r="AA77" s="41"/>
      <c r="AB77" s="42"/>
    </row>
    <row r="78" spans="1:28" s="43" customFormat="1" ht="39.950000000000003" customHeight="1">
      <c r="A78" s="18">
        <v>44070</v>
      </c>
      <c r="B78" s="114" t="s">
        <v>56</v>
      </c>
      <c r="C78" s="115" t="s">
        <v>87</v>
      </c>
      <c r="D78" s="116" t="s">
        <v>88</v>
      </c>
      <c r="E78" s="117">
        <v>30</v>
      </c>
      <c r="F78" s="22" t="s">
        <v>89</v>
      </c>
      <c r="G78" s="22" t="s">
        <v>18</v>
      </c>
      <c r="H78" s="22">
        <v>220</v>
      </c>
      <c r="I78" s="44"/>
      <c r="J78" s="44"/>
      <c r="K78" s="138" t="s">
        <v>47</v>
      </c>
      <c r="L78" s="44"/>
      <c r="M78" s="44"/>
      <c r="N78" s="44"/>
      <c r="O78" s="44"/>
      <c r="P78" s="44" t="s">
        <v>29</v>
      </c>
      <c r="Q78" s="44"/>
      <c r="R78" s="44" t="s">
        <v>29</v>
      </c>
      <c r="S78" s="44"/>
      <c r="T78" s="121" t="s">
        <v>598</v>
      </c>
      <c r="U78" s="22"/>
      <c r="V78" s="98"/>
      <c r="W78" s="39">
        <f t="shared" si="1"/>
        <v>61</v>
      </c>
      <c r="X78" s="39"/>
      <c r="Y78" s="1"/>
      <c r="Z78" s="40"/>
      <c r="AA78" s="41"/>
      <c r="AB78" s="42"/>
    </row>
    <row r="79" spans="1:28" s="43" customFormat="1" ht="39.950000000000003" customHeight="1">
      <c r="A79" s="18">
        <v>44070</v>
      </c>
      <c r="B79" s="114" t="s">
        <v>57</v>
      </c>
      <c r="C79" s="115" t="s">
        <v>205</v>
      </c>
      <c r="D79" s="116" t="s">
        <v>206</v>
      </c>
      <c r="E79" s="117">
        <v>66</v>
      </c>
      <c r="F79" s="22" t="s">
        <v>68</v>
      </c>
      <c r="G79" s="22" t="s">
        <v>28</v>
      </c>
      <c r="H79" s="22">
        <v>230</v>
      </c>
      <c r="I79" s="44"/>
      <c r="J79" s="44"/>
      <c r="K79" s="138"/>
      <c r="L79" s="44"/>
      <c r="M79" s="44" t="s">
        <v>29</v>
      </c>
      <c r="N79" s="44"/>
      <c r="O79" s="44"/>
      <c r="P79" s="44" t="s">
        <v>29</v>
      </c>
      <c r="Q79" s="44"/>
      <c r="R79" s="44"/>
      <c r="S79" s="44"/>
      <c r="T79" s="121" t="s">
        <v>599</v>
      </c>
      <c r="U79" s="22"/>
      <c r="V79" s="98"/>
      <c r="W79" s="39">
        <f t="shared" si="1"/>
        <v>62</v>
      </c>
      <c r="X79" s="39"/>
      <c r="Y79" s="1"/>
      <c r="Z79" s="40"/>
      <c r="AA79" s="41"/>
      <c r="AB79" s="42"/>
    </row>
    <row r="80" spans="1:28" s="43" customFormat="1" ht="39.950000000000003" customHeight="1">
      <c r="A80" s="18">
        <v>44070</v>
      </c>
      <c r="B80" s="114" t="s">
        <v>58</v>
      </c>
      <c r="C80" s="115" t="s">
        <v>141</v>
      </c>
      <c r="D80" s="116" t="s">
        <v>142</v>
      </c>
      <c r="E80" s="117">
        <v>80</v>
      </c>
      <c r="F80" s="22" t="s">
        <v>68</v>
      </c>
      <c r="G80" s="22" t="s">
        <v>19</v>
      </c>
      <c r="H80" s="22">
        <v>220</v>
      </c>
      <c r="I80" s="44"/>
      <c r="J80" s="44"/>
      <c r="K80" s="138"/>
      <c r="L80" s="44"/>
      <c r="M80" s="44" t="s">
        <v>29</v>
      </c>
      <c r="N80" s="44"/>
      <c r="O80" s="44"/>
      <c r="P80" s="44" t="s">
        <v>29</v>
      </c>
      <c r="Q80" s="44"/>
      <c r="R80" s="44" t="s">
        <v>29</v>
      </c>
      <c r="S80" s="44"/>
      <c r="T80" s="121" t="s">
        <v>600</v>
      </c>
      <c r="U80" s="22"/>
      <c r="V80" s="98"/>
      <c r="W80" s="39">
        <f t="shared" si="1"/>
        <v>63</v>
      </c>
      <c r="X80" s="39"/>
      <c r="Y80" s="1"/>
      <c r="Z80" s="40"/>
      <c r="AA80" s="41"/>
      <c r="AB80" s="42"/>
    </row>
    <row r="81" spans="1:28" s="43" customFormat="1" ht="39.950000000000003" customHeight="1">
      <c r="A81" s="18">
        <v>44070</v>
      </c>
      <c r="B81" s="153" t="s">
        <v>59</v>
      </c>
      <c r="C81" s="154" t="s">
        <v>121</v>
      </c>
      <c r="D81" s="155" t="s">
        <v>122</v>
      </c>
      <c r="E81" s="156">
        <v>15</v>
      </c>
      <c r="F81" s="90" t="s">
        <v>125</v>
      </c>
      <c r="G81" s="164" t="s">
        <v>18</v>
      </c>
      <c r="H81" s="164">
        <v>220</v>
      </c>
      <c r="I81" s="89"/>
      <c r="J81" s="89"/>
      <c r="K81" s="138" t="s">
        <v>47</v>
      </c>
      <c r="L81" s="44"/>
      <c r="M81" s="44"/>
      <c r="N81" s="44"/>
      <c r="O81" s="44"/>
      <c r="P81" s="44" t="s">
        <v>29</v>
      </c>
      <c r="Q81" s="44"/>
      <c r="R81" s="44" t="s">
        <v>29</v>
      </c>
      <c r="S81" s="44"/>
      <c r="T81" s="121" t="s">
        <v>601</v>
      </c>
      <c r="U81" s="22"/>
      <c r="V81" s="98"/>
      <c r="W81" s="39">
        <f t="shared" si="1"/>
        <v>64</v>
      </c>
      <c r="X81" s="39"/>
      <c r="Y81" s="1"/>
      <c r="Z81" s="40"/>
      <c r="AA81" s="41"/>
      <c r="AB81" s="42"/>
    </row>
    <row r="82" spans="1:28" s="43" customFormat="1" ht="39.950000000000003" customHeight="1">
      <c r="A82" s="18">
        <v>44070</v>
      </c>
      <c r="B82" s="153" t="s">
        <v>60</v>
      </c>
      <c r="C82" s="154" t="s">
        <v>71</v>
      </c>
      <c r="D82" s="155" t="s">
        <v>75</v>
      </c>
      <c r="E82" s="156">
        <v>36</v>
      </c>
      <c r="F82" s="90" t="s">
        <v>69</v>
      </c>
      <c r="G82" s="164" t="s">
        <v>28</v>
      </c>
      <c r="H82" s="164">
        <v>230</v>
      </c>
      <c r="I82" s="89"/>
      <c r="J82" s="89"/>
      <c r="K82" s="138"/>
      <c r="L82" s="44"/>
      <c r="M82" s="44"/>
      <c r="N82" s="44"/>
      <c r="O82" s="44"/>
      <c r="P82" s="118" t="s">
        <v>70</v>
      </c>
      <c r="Q82" s="44" t="s">
        <v>29</v>
      </c>
      <c r="R82" s="44"/>
      <c r="S82" s="44"/>
      <c r="T82" s="121" t="s">
        <v>962</v>
      </c>
      <c r="U82" s="22"/>
      <c r="V82" s="98"/>
      <c r="W82" s="39">
        <f t="shared" si="1"/>
        <v>65</v>
      </c>
      <c r="X82" s="39"/>
      <c r="Y82" s="1"/>
      <c r="Z82" s="40"/>
      <c r="AA82" s="41"/>
      <c r="AB82" s="42"/>
    </row>
    <row r="83" spans="1:28" s="43" customFormat="1" ht="39.950000000000003" customHeight="1">
      <c r="A83" s="25">
        <v>44071</v>
      </c>
      <c r="B83" s="153" t="s">
        <v>54</v>
      </c>
      <c r="C83" s="154" t="s">
        <v>71</v>
      </c>
      <c r="D83" s="155" t="s">
        <v>75</v>
      </c>
      <c r="E83" s="156">
        <v>84</v>
      </c>
      <c r="F83" s="90" t="s">
        <v>69</v>
      </c>
      <c r="G83" s="164" t="s">
        <v>28</v>
      </c>
      <c r="H83" s="164">
        <v>230</v>
      </c>
      <c r="I83" s="89"/>
      <c r="J83" s="89"/>
      <c r="K83" s="138"/>
      <c r="L83" s="44"/>
      <c r="M83" s="44"/>
      <c r="N83" s="44"/>
      <c r="O83" s="44"/>
      <c r="P83" s="118" t="s">
        <v>70</v>
      </c>
      <c r="Q83" s="44" t="s">
        <v>29</v>
      </c>
      <c r="R83" s="44"/>
      <c r="S83" s="44"/>
      <c r="T83" s="19" t="s">
        <v>963</v>
      </c>
      <c r="U83" s="22"/>
      <c r="V83" s="98"/>
      <c r="W83" s="39">
        <f t="shared" si="1"/>
        <v>65</v>
      </c>
      <c r="X83" s="39"/>
      <c r="Y83" s="1"/>
      <c r="Z83" s="40"/>
      <c r="AA83" s="41"/>
      <c r="AB83" s="42"/>
    </row>
    <row r="84" spans="1:28" s="43" customFormat="1" ht="39.950000000000003" customHeight="1">
      <c r="A84" s="18">
        <v>44071</v>
      </c>
      <c r="B84" s="153" t="s">
        <v>55</v>
      </c>
      <c r="C84" s="154" t="s">
        <v>87</v>
      </c>
      <c r="D84" s="155" t="s">
        <v>88</v>
      </c>
      <c r="E84" s="156">
        <v>30</v>
      </c>
      <c r="F84" s="90" t="s">
        <v>89</v>
      </c>
      <c r="G84" s="164" t="s">
        <v>18</v>
      </c>
      <c r="H84" s="164">
        <v>220</v>
      </c>
      <c r="I84" s="89"/>
      <c r="J84" s="89"/>
      <c r="K84" s="138" t="s">
        <v>47</v>
      </c>
      <c r="L84" s="44"/>
      <c r="M84" s="44"/>
      <c r="N84" s="44"/>
      <c r="O84" s="44"/>
      <c r="P84" s="44" t="s">
        <v>29</v>
      </c>
      <c r="Q84" s="44"/>
      <c r="R84" s="44" t="s">
        <v>29</v>
      </c>
      <c r="S84" s="44"/>
      <c r="T84" s="19" t="s">
        <v>602</v>
      </c>
      <c r="U84" s="22"/>
      <c r="V84" s="98"/>
      <c r="W84" s="39">
        <f t="shared" si="1"/>
        <v>66</v>
      </c>
      <c r="X84" s="39"/>
      <c r="Y84" s="1"/>
      <c r="Z84" s="40"/>
      <c r="AA84" s="41"/>
      <c r="AB84" s="42"/>
    </row>
    <row r="85" spans="1:28" s="43" customFormat="1" ht="39.950000000000003" customHeight="1">
      <c r="A85" s="18">
        <v>44071</v>
      </c>
      <c r="B85" s="153" t="s">
        <v>56</v>
      </c>
      <c r="C85" s="154" t="s">
        <v>116</v>
      </c>
      <c r="D85" s="155" t="s">
        <v>117</v>
      </c>
      <c r="E85" s="156">
        <v>35</v>
      </c>
      <c r="F85" s="90" t="s">
        <v>68</v>
      </c>
      <c r="G85" s="164" t="s">
        <v>18</v>
      </c>
      <c r="H85" s="164">
        <v>220</v>
      </c>
      <c r="I85" s="89"/>
      <c r="J85" s="89"/>
      <c r="K85" s="138"/>
      <c r="L85" s="44"/>
      <c r="M85" s="44"/>
      <c r="N85" s="44"/>
      <c r="O85" s="44"/>
      <c r="P85" s="44" t="s">
        <v>29</v>
      </c>
      <c r="Q85" s="44"/>
      <c r="R85" s="44" t="s">
        <v>29</v>
      </c>
      <c r="S85" s="44"/>
      <c r="T85" s="93" t="s">
        <v>603</v>
      </c>
      <c r="U85" s="22"/>
      <c r="V85" s="98"/>
      <c r="W85" s="39">
        <f t="shared" si="1"/>
        <v>67</v>
      </c>
      <c r="X85" s="39"/>
      <c r="Y85" s="1"/>
      <c r="Z85" s="40"/>
      <c r="AA85" s="41"/>
      <c r="AB85" s="42"/>
    </row>
    <row r="86" spans="1:28" s="43" customFormat="1" ht="39.950000000000003" customHeight="1">
      <c r="A86" s="18">
        <v>44071</v>
      </c>
      <c r="B86" s="153" t="s">
        <v>57</v>
      </c>
      <c r="C86" s="154" t="s">
        <v>141</v>
      </c>
      <c r="D86" s="155" t="s">
        <v>142</v>
      </c>
      <c r="E86" s="156">
        <v>60</v>
      </c>
      <c r="F86" s="90" t="s">
        <v>68</v>
      </c>
      <c r="G86" s="164" t="s">
        <v>19</v>
      </c>
      <c r="H86" s="164">
        <v>220</v>
      </c>
      <c r="I86" s="89"/>
      <c r="J86" s="89"/>
      <c r="K86" s="138"/>
      <c r="L86" s="44"/>
      <c r="M86" s="44" t="s">
        <v>29</v>
      </c>
      <c r="N86" s="44"/>
      <c r="O86" s="44"/>
      <c r="P86" s="44" t="s">
        <v>29</v>
      </c>
      <c r="Q86" s="44"/>
      <c r="R86" s="44" t="s">
        <v>29</v>
      </c>
      <c r="S86" s="44"/>
      <c r="T86" s="93" t="s">
        <v>604</v>
      </c>
      <c r="U86" s="22"/>
      <c r="V86" s="98"/>
      <c r="W86" s="39">
        <f t="shared" si="1"/>
        <v>68</v>
      </c>
      <c r="X86" s="39"/>
      <c r="Y86" s="1"/>
      <c r="Z86" s="40"/>
      <c r="AA86" s="41"/>
      <c r="AB86" s="42"/>
    </row>
    <row r="87" spans="1:28" ht="39.950000000000003" customHeight="1">
      <c r="A87" s="18">
        <v>44071</v>
      </c>
      <c r="B87" s="153" t="s">
        <v>58</v>
      </c>
      <c r="C87" s="154" t="s">
        <v>121</v>
      </c>
      <c r="D87" s="155" t="s">
        <v>122</v>
      </c>
      <c r="E87" s="156">
        <v>15</v>
      </c>
      <c r="F87" s="90" t="s">
        <v>125</v>
      </c>
      <c r="G87" s="164" t="s">
        <v>18</v>
      </c>
      <c r="H87" s="164">
        <v>220</v>
      </c>
      <c r="I87" s="89"/>
      <c r="J87" s="89"/>
      <c r="K87" s="139" t="s">
        <v>47</v>
      </c>
      <c r="L87" s="89"/>
      <c r="M87" s="89"/>
      <c r="N87" s="89"/>
      <c r="O87" s="89"/>
      <c r="P87" s="89" t="s">
        <v>29</v>
      </c>
      <c r="Q87" s="89"/>
      <c r="R87" s="89" t="s">
        <v>29</v>
      </c>
      <c r="S87" s="89"/>
      <c r="T87" s="61" t="s">
        <v>605</v>
      </c>
      <c r="U87" s="107"/>
      <c r="W87" s="39">
        <f t="shared" si="1"/>
        <v>69</v>
      </c>
    </row>
    <row r="88" spans="1:28" ht="39.950000000000003" customHeight="1">
      <c r="A88" s="18">
        <v>44071</v>
      </c>
      <c r="B88" s="153" t="s">
        <v>59</v>
      </c>
      <c r="C88" s="154" t="s">
        <v>71</v>
      </c>
      <c r="D88" s="155" t="s">
        <v>75</v>
      </c>
      <c r="E88" s="156">
        <v>15</v>
      </c>
      <c r="F88" s="90" t="s">
        <v>69</v>
      </c>
      <c r="G88" s="164" t="s">
        <v>28</v>
      </c>
      <c r="H88" s="164">
        <v>230</v>
      </c>
      <c r="I88" s="89"/>
      <c r="J88" s="89"/>
      <c r="K88" s="139"/>
      <c r="L88" s="89"/>
      <c r="M88" s="89"/>
      <c r="N88" s="89"/>
      <c r="O88" s="89"/>
      <c r="P88" s="159" t="s">
        <v>70</v>
      </c>
      <c r="Q88" s="89" t="s">
        <v>29</v>
      </c>
      <c r="R88" s="89"/>
      <c r="S88" s="89"/>
      <c r="T88" s="165" t="s">
        <v>964</v>
      </c>
      <c r="U88" s="107"/>
      <c r="W88" s="39">
        <f t="shared" si="1"/>
        <v>70</v>
      </c>
    </row>
    <row r="89" spans="1:28" ht="39.950000000000003" customHeight="1">
      <c r="A89" s="18">
        <v>44071</v>
      </c>
      <c r="B89" s="153" t="s">
        <v>60</v>
      </c>
      <c r="C89" s="154" t="s">
        <v>74</v>
      </c>
      <c r="D89" s="155" t="s">
        <v>78</v>
      </c>
      <c r="E89" s="156">
        <v>21</v>
      </c>
      <c r="F89" s="90" t="s">
        <v>69</v>
      </c>
      <c r="G89" s="164" t="s">
        <v>28</v>
      </c>
      <c r="H89" s="164">
        <v>230</v>
      </c>
      <c r="I89" s="89"/>
      <c r="J89" s="89"/>
      <c r="K89" s="139"/>
      <c r="L89" s="158"/>
      <c r="M89" s="158"/>
      <c r="N89" s="158"/>
      <c r="O89" s="158"/>
      <c r="P89" s="159" t="s">
        <v>70</v>
      </c>
      <c r="Q89" s="158" t="s">
        <v>29</v>
      </c>
      <c r="R89" s="158"/>
      <c r="S89" s="158"/>
      <c r="T89" s="165" t="s">
        <v>965</v>
      </c>
      <c r="U89" s="107"/>
      <c r="W89" s="39">
        <f t="shared" si="1"/>
        <v>71</v>
      </c>
    </row>
    <row r="90" spans="1:28" ht="39.950000000000003" customHeight="1">
      <c r="A90" s="25">
        <v>44072</v>
      </c>
      <c r="B90" s="153" t="s">
        <v>54</v>
      </c>
      <c r="C90" s="154" t="s">
        <v>74</v>
      </c>
      <c r="D90" s="155" t="s">
        <v>78</v>
      </c>
      <c r="E90" s="156">
        <v>30</v>
      </c>
      <c r="F90" s="90" t="s">
        <v>69</v>
      </c>
      <c r="G90" s="164" t="s">
        <v>28</v>
      </c>
      <c r="H90" s="164">
        <v>230</v>
      </c>
      <c r="I90" s="89"/>
      <c r="J90" s="89"/>
      <c r="K90" s="139"/>
      <c r="L90" s="158"/>
      <c r="M90" s="158"/>
      <c r="N90" s="158"/>
      <c r="O90" s="158"/>
      <c r="P90" s="159" t="s">
        <v>70</v>
      </c>
      <c r="Q90" s="158" t="s">
        <v>29</v>
      </c>
      <c r="R90" s="158"/>
      <c r="S90" s="158"/>
      <c r="T90" s="165" t="s">
        <v>966</v>
      </c>
      <c r="U90" s="107"/>
      <c r="W90" s="39">
        <f t="shared" si="1"/>
        <v>71</v>
      </c>
    </row>
    <row r="91" spans="1:28" ht="39.950000000000003" customHeight="1">
      <c r="A91" s="18">
        <v>44072</v>
      </c>
      <c r="B91" s="153" t="s">
        <v>55</v>
      </c>
      <c r="C91" s="154" t="s">
        <v>201</v>
      </c>
      <c r="D91" s="155" t="s">
        <v>202</v>
      </c>
      <c r="E91" s="156">
        <v>67</v>
      </c>
      <c r="F91" s="90" t="s">
        <v>69</v>
      </c>
      <c r="G91" s="164" t="s">
        <v>28</v>
      </c>
      <c r="H91" s="164">
        <v>230</v>
      </c>
      <c r="I91" s="89"/>
      <c r="J91" s="89"/>
      <c r="K91" s="139"/>
      <c r="L91" s="158"/>
      <c r="M91" s="158"/>
      <c r="N91" s="158"/>
      <c r="O91" s="158"/>
      <c r="P91" s="159" t="s">
        <v>70</v>
      </c>
      <c r="Q91" s="158" t="s">
        <v>29</v>
      </c>
      <c r="R91" s="158"/>
      <c r="S91" s="158"/>
      <c r="T91" s="165" t="s">
        <v>967</v>
      </c>
      <c r="U91" s="107"/>
      <c r="W91" s="39">
        <f t="shared" si="1"/>
        <v>72</v>
      </c>
    </row>
    <row r="92" spans="1:28" ht="39.950000000000003" customHeight="1">
      <c r="A92" s="18">
        <v>44072</v>
      </c>
      <c r="B92" s="153" t="s">
        <v>56</v>
      </c>
      <c r="C92" s="154" t="s">
        <v>121</v>
      </c>
      <c r="D92" s="155" t="s">
        <v>122</v>
      </c>
      <c r="E92" s="156">
        <v>10</v>
      </c>
      <c r="F92" s="90" t="s">
        <v>125</v>
      </c>
      <c r="G92" s="164" t="s">
        <v>18</v>
      </c>
      <c r="H92" s="164">
        <v>220</v>
      </c>
      <c r="I92" s="89"/>
      <c r="J92" s="89"/>
      <c r="K92" s="139" t="s">
        <v>47</v>
      </c>
      <c r="L92" s="158"/>
      <c r="M92" s="158"/>
      <c r="N92" s="158"/>
      <c r="O92" s="158"/>
      <c r="P92" s="158" t="s">
        <v>29</v>
      </c>
      <c r="Q92" s="158"/>
      <c r="R92" s="158" t="s">
        <v>29</v>
      </c>
      <c r="S92" s="158"/>
      <c r="T92" s="107" t="s">
        <v>606</v>
      </c>
      <c r="U92" s="107"/>
      <c r="W92" s="39">
        <f t="shared" si="1"/>
        <v>73</v>
      </c>
    </row>
    <row r="93" spans="1:28" ht="39.950000000000003" customHeight="1">
      <c r="A93" s="18">
        <v>44072</v>
      </c>
      <c r="B93" s="153" t="s">
        <v>57</v>
      </c>
      <c r="C93" s="154" t="s">
        <v>87</v>
      </c>
      <c r="D93" s="155" t="s">
        <v>88</v>
      </c>
      <c r="E93" s="156">
        <v>30</v>
      </c>
      <c r="F93" s="90" t="s">
        <v>89</v>
      </c>
      <c r="G93" s="164" t="s">
        <v>18</v>
      </c>
      <c r="H93" s="164">
        <v>220</v>
      </c>
      <c r="I93" s="89"/>
      <c r="J93" s="89"/>
      <c r="K93" s="139" t="s">
        <v>47</v>
      </c>
      <c r="L93" s="158"/>
      <c r="M93" s="158"/>
      <c r="N93" s="158"/>
      <c r="O93" s="158"/>
      <c r="P93" s="158" t="s">
        <v>29</v>
      </c>
      <c r="Q93" s="158"/>
      <c r="R93" s="158" t="s">
        <v>29</v>
      </c>
      <c r="S93" s="158"/>
      <c r="T93" s="165" t="s">
        <v>607</v>
      </c>
      <c r="U93" s="107"/>
      <c r="W93" s="39">
        <f t="shared" si="1"/>
        <v>74</v>
      </c>
    </row>
    <row r="94" spans="1:28" ht="39.950000000000003" customHeight="1">
      <c r="A94" s="18">
        <v>44072</v>
      </c>
      <c r="B94" s="153" t="s">
        <v>58</v>
      </c>
      <c r="C94" s="154" t="s">
        <v>116</v>
      </c>
      <c r="D94" s="155" t="s">
        <v>117</v>
      </c>
      <c r="E94" s="156">
        <v>142</v>
      </c>
      <c r="F94" s="90" t="s">
        <v>68</v>
      </c>
      <c r="G94" s="164" t="s">
        <v>18</v>
      </c>
      <c r="H94" s="164">
        <v>220</v>
      </c>
      <c r="I94" s="89"/>
      <c r="J94" s="89"/>
      <c r="K94" s="139"/>
      <c r="L94" s="158"/>
      <c r="M94" s="158"/>
      <c r="N94" s="158"/>
      <c r="O94" s="158"/>
      <c r="P94" s="158" t="s">
        <v>29</v>
      </c>
      <c r="Q94" s="158"/>
      <c r="R94" s="158" t="s">
        <v>29</v>
      </c>
      <c r="S94" s="158"/>
      <c r="T94" s="165" t="s">
        <v>608</v>
      </c>
      <c r="U94" s="107"/>
      <c r="W94" s="39">
        <f t="shared" si="1"/>
        <v>75</v>
      </c>
    </row>
    <row r="95" spans="1:28" ht="39.950000000000003" customHeight="1">
      <c r="A95" s="18">
        <v>44072</v>
      </c>
      <c r="B95" s="153" t="s">
        <v>59</v>
      </c>
      <c r="C95" s="154" t="s">
        <v>121</v>
      </c>
      <c r="D95" s="155" t="s">
        <v>122</v>
      </c>
      <c r="E95" s="156">
        <v>15</v>
      </c>
      <c r="F95" s="90" t="s">
        <v>125</v>
      </c>
      <c r="G95" s="164" t="s">
        <v>18</v>
      </c>
      <c r="H95" s="164">
        <v>220</v>
      </c>
      <c r="I95" s="89"/>
      <c r="J95" s="89"/>
      <c r="K95" s="139" t="s">
        <v>47</v>
      </c>
      <c r="L95" s="158"/>
      <c r="M95" s="158"/>
      <c r="N95" s="158"/>
      <c r="O95" s="158"/>
      <c r="P95" s="89" t="s">
        <v>29</v>
      </c>
      <c r="Q95" s="158"/>
      <c r="R95" s="158" t="s">
        <v>29</v>
      </c>
      <c r="S95" s="158"/>
      <c r="T95" s="165" t="s">
        <v>609</v>
      </c>
      <c r="U95" s="107"/>
      <c r="W95" s="39">
        <f t="shared" si="1"/>
        <v>76</v>
      </c>
    </row>
    <row r="96" spans="1:28" ht="39.950000000000003" customHeight="1">
      <c r="A96" s="18">
        <v>44072</v>
      </c>
      <c r="B96" s="153" t="s">
        <v>60</v>
      </c>
      <c r="C96" s="154" t="s">
        <v>201</v>
      </c>
      <c r="D96" s="155" t="s">
        <v>202</v>
      </c>
      <c r="E96" s="156">
        <v>26</v>
      </c>
      <c r="F96" s="90" t="s">
        <v>69</v>
      </c>
      <c r="G96" s="164" t="s">
        <v>28</v>
      </c>
      <c r="H96" s="164">
        <v>230</v>
      </c>
      <c r="I96" s="89"/>
      <c r="J96" s="89"/>
      <c r="K96" s="139"/>
      <c r="L96" s="158"/>
      <c r="M96" s="158"/>
      <c r="N96" s="158"/>
      <c r="O96" s="158"/>
      <c r="P96" s="159" t="s">
        <v>70</v>
      </c>
      <c r="Q96" s="158" t="s">
        <v>29</v>
      </c>
      <c r="R96" s="158"/>
      <c r="S96" s="158"/>
      <c r="T96" s="165" t="s">
        <v>968</v>
      </c>
      <c r="U96" s="107"/>
      <c r="W96" s="39">
        <f t="shared" si="1"/>
        <v>77</v>
      </c>
    </row>
    <row r="97" spans="1:23" ht="39.950000000000003" customHeight="1">
      <c r="A97" s="25">
        <v>44074</v>
      </c>
      <c r="B97" s="153" t="s">
        <v>54</v>
      </c>
      <c r="C97" s="154" t="s">
        <v>201</v>
      </c>
      <c r="D97" s="155" t="s">
        <v>202</v>
      </c>
      <c r="E97" s="156">
        <v>82</v>
      </c>
      <c r="F97" s="90" t="s">
        <v>69</v>
      </c>
      <c r="G97" s="164" t="s">
        <v>28</v>
      </c>
      <c r="H97" s="164">
        <v>230</v>
      </c>
      <c r="I97" s="89"/>
      <c r="J97" s="89"/>
      <c r="K97" s="139"/>
      <c r="L97" s="158"/>
      <c r="M97" s="158"/>
      <c r="N97" s="158"/>
      <c r="O97" s="158"/>
      <c r="P97" s="178" t="s">
        <v>70</v>
      </c>
      <c r="Q97" s="158" t="s">
        <v>29</v>
      </c>
      <c r="R97" s="158"/>
      <c r="S97" s="158"/>
      <c r="T97" s="165" t="s">
        <v>969</v>
      </c>
      <c r="U97" s="107"/>
      <c r="W97" s="39">
        <f t="shared" si="1"/>
        <v>77</v>
      </c>
    </row>
    <row r="98" spans="1:23" ht="39.950000000000003" customHeight="1">
      <c r="A98" s="18">
        <v>44074</v>
      </c>
      <c r="B98" s="153" t="s">
        <v>55</v>
      </c>
      <c r="C98" s="154" t="s">
        <v>121</v>
      </c>
      <c r="D98" s="155" t="s">
        <v>122</v>
      </c>
      <c r="E98" s="156">
        <v>10</v>
      </c>
      <c r="F98" s="90" t="s">
        <v>125</v>
      </c>
      <c r="G98" s="164" t="s">
        <v>18</v>
      </c>
      <c r="H98" s="164">
        <v>220</v>
      </c>
      <c r="I98" s="89"/>
      <c r="J98" s="89"/>
      <c r="K98" s="139" t="s">
        <v>47</v>
      </c>
      <c r="L98" s="158"/>
      <c r="M98" s="158"/>
      <c r="N98" s="158"/>
      <c r="O98" s="158"/>
      <c r="P98" s="158" t="s">
        <v>29</v>
      </c>
      <c r="Q98" s="158"/>
      <c r="R98" s="158" t="s">
        <v>29</v>
      </c>
      <c r="S98" s="158"/>
      <c r="T98" s="107" t="s">
        <v>610</v>
      </c>
      <c r="U98" s="107"/>
      <c r="W98" s="39">
        <f t="shared" si="1"/>
        <v>78</v>
      </c>
    </row>
    <row r="99" spans="1:23" ht="39.950000000000003" customHeight="1">
      <c r="A99" s="18">
        <v>44074</v>
      </c>
      <c r="B99" s="153" t="s">
        <v>56</v>
      </c>
      <c r="C99" s="154" t="s">
        <v>87</v>
      </c>
      <c r="D99" s="155" t="s">
        <v>88</v>
      </c>
      <c r="E99" s="156">
        <v>41</v>
      </c>
      <c r="F99" s="90" t="s">
        <v>89</v>
      </c>
      <c r="G99" s="164" t="s">
        <v>18</v>
      </c>
      <c r="H99" s="164">
        <v>220</v>
      </c>
      <c r="I99" s="89"/>
      <c r="J99" s="89"/>
      <c r="K99" s="139" t="s">
        <v>47</v>
      </c>
      <c r="L99" s="158"/>
      <c r="M99" s="158"/>
      <c r="N99" s="158"/>
      <c r="O99" s="158"/>
      <c r="P99" s="89" t="s">
        <v>29</v>
      </c>
      <c r="Q99" s="158"/>
      <c r="R99" s="158" t="s">
        <v>29</v>
      </c>
      <c r="S99" s="158"/>
      <c r="T99" s="107" t="s">
        <v>611</v>
      </c>
      <c r="U99" s="107"/>
      <c r="W99" s="39">
        <f t="shared" si="1"/>
        <v>79</v>
      </c>
    </row>
    <row r="100" spans="1:23" ht="39.950000000000003" customHeight="1">
      <c r="A100" s="18">
        <v>44074</v>
      </c>
      <c r="B100" s="153" t="s">
        <v>57</v>
      </c>
      <c r="C100" s="154" t="s">
        <v>205</v>
      </c>
      <c r="D100" s="155" t="s">
        <v>206</v>
      </c>
      <c r="E100" s="156">
        <v>32</v>
      </c>
      <c r="F100" s="90" t="s">
        <v>68</v>
      </c>
      <c r="G100" s="164" t="s">
        <v>28</v>
      </c>
      <c r="H100" s="164">
        <v>230</v>
      </c>
      <c r="I100" s="89"/>
      <c r="J100" s="89"/>
      <c r="K100" s="139"/>
      <c r="L100" s="158"/>
      <c r="M100" s="158" t="s">
        <v>29</v>
      </c>
      <c r="N100" s="158"/>
      <c r="O100" s="158"/>
      <c r="P100" s="89" t="s">
        <v>29</v>
      </c>
      <c r="Q100" s="158"/>
      <c r="R100" s="158"/>
      <c r="S100" s="158"/>
      <c r="T100" s="165" t="s">
        <v>612</v>
      </c>
      <c r="U100" s="107"/>
      <c r="W100" s="39">
        <f t="shared" si="1"/>
        <v>80</v>
      </c>
    </row>
    <row r="101" spans="1:23" ht="39.950000000000003" customHeight="1">
      <c r="A101" s="18">
        <v>44074</v>
      </c>
      <c r="B101" s="153" t="s">
        <v>58</v>
      </c>
      <c r="C101" s="154" t="s">
        <v>141</v>
      </c>
      <c r="D101" s="155" t="s">
        <v>142</v>
      </c>
      <c r="E101" s="156">
        <v>50</v>
      </c>
      <c r="F101" s="90" t="s">
        <v>68</v>
      </c>
      <c r="G101" s="164" t="s">
        <v>19</v>
      </c>
      <c r="H101" s="164">
        <v>220</v>
      </c>
      <c r="I101" s="89"/>
      <c r="J101" s="89"/>
      <c r="K101" s="139"/>
      <c r="L101" s="158"/>
      <c r="M101" s="158" t="s">
        <v>29</v>
      </c>
      <c r="N101" s="158"/>
      <c r="O101" s="158"/>
      <c r="P101" s="89" t="s">
        <v>29</v>
      </c>
      <c r="Q101" s="158"/>
      <c r="R101" s="158" t="s">
        <v>29</v>
      </c>
      <c r="S101" s="158"/>
      <c r="T101" s="107" t="s">
        <v>613</v>
      </c>
      <c r="U101" s="107"/>
      <c r="W101" s="39">
        <f t="shared" si="1"/>
        <v>81</v>
      </c>
    </row>
    <row r="102" spans="1:23" ht="39.950000000000003" customHeight="1">
      <c r="A102" s="18">
        <v>44074</v>
      </c>
      <c r="B102" s="153" t="s">
        <v>59</v>
      </c>
      <c r="C102" s="154" t="s">
        <v>121</v>
      </c>
      <c r="D102" s="155" t="s">
        <v>122</v>
      </c>
      <c r="E102" s="156">
        <v>15</v>
      </c>
      <c r="F102" s="90" t="s">
        <v>125</v>
      </c>
      <c r="G102" s="164" t="s">
        <v>18</v>
      </c>
      <c r="H102" s="164">
        <v>220</v>
      </c>
      <c r="I102" s="89"/>
      <c r="J102" s="89"/>
      <c r="K102" s="139" t="s">
        <v>47</v>
      </c>
      <c r="L102" s="158"/>
      <c r="M102" s="158"/>
      <c r="N102" s="158"/>
      <c r="O102" s="158"/>
      <c r="P102" s="158" t="s">
        <v>29</v>
      </c>
      <c r="Q102" s="158"/>
      <c r="R102" s="158" t="s">
        <v>29</v>
      </c>
      <c r="S102" s="158"/>
      <c r="T102" s="107" t="s">
        <v>614</v>
      </c>
      <c r="U102" s="107"/>
      <c r="W102" s="39">
        <f t="shared" si="1"/>
        <v>82</v>
      </c>
    </row>
    <row r="103" spans="1:23" ht="39.950000000000003" customHeight="1">
      <c r="A103" s="18">
        <v>44074</v>
      </c>
      <c r="B103" s="153" t="s">
        <v>60</v>
      </c>
      <c r="C103" s="154" t="s">
        <v>74</v>
      </c>
      <c r="D103" s="155" t="s">
        <v>78</v>
      </c>
      <c r="E103" s="156">
        <v>26</v>
      </c>
      <c r="F103" s="90" t="s">
        <v>69</v>
      </c>
      <c r="G103" s="164" t="s">
        <v>28</v>
      </c>
      <c r="H103" s="164">
        <v>230</v>
      </c>
      <c r="I103" s="89"/>
      <c r="J103" s="89"/>
      <c r="K103" s="139"/>
      <c r="L103" s="158"/>
      <c r="M103" s="158"/>
      <c r="N103" s="158"/>
      <c r="O103" s="158"/>
      <c r="P103" s="178" t="s">
        <v>70</v>
      </c>
      <c r="Q103" s="158" t="s">
        <v>29</v>
      </c>
      <c r="R103" s="158"/>
      <c r="S103" s="158"/>
      <c r="T103" s="165" t="s">
        <v>970</v>
      </c>
      <c r="U103" s="107"/>
      <c r="W103" s="39">
        <f t="shared" si="1"/>
        <v>83</v>
      </c>
    </row>
    <row r="104" spans="1:23" ht="39.950000000000003" customHeight="1">
      <c r="A104" s="25">
        <v>44075</v>
      </c>
      <c r="B104" s="153" t="s">
        <v>54</v>
      </c>
      <c r="C104" s="154" t="s">
        <v>74</v>
      </c>
      <c r="D104" s="155" t="s">
        <v>78</v>
      </c>
      <c r="E104" s="156">
        <v>16</v>
      </c>
      <c r="F104" s="90" t="s">
        <v>69</v>
      </c>
      <c r="G104" s="164" t="s">
        <v>28</v>
      </c>
      <c r="H104" s="164">
        <v>230</v>
      </c>
      <c r="I104" s="89"/>
      <c r="J104" s="89"/>
      <c r="K104" s="139"/>
      <c r="L104" s="158"/>
      <c r="M104" s="158"/>
      <c r="N104" s="158"/>
      <c r="O104" s="158"/>
      <c r="P104" s="178" t="s">
        <v>70</v>
      </c>
      <c r="Q104" s="158" t="s">
        <v>29</v>
      </c>
      <c r="R104" s="158"/>
      <c r="S104" s="158"/>
      <c r="T104" s="165" t="s">
        <v>971</v>
      </c>
      <c r="U104" s="107"/>
      <c r="W104" s="39">
        <f t="shared" si="1"/>
        <v>83</v>
      </c>
    </row>
    <row r="105" spans="1:23" ht="39.950000000000003" customHeight="1">
      <c r="A105" s="18">
        <v>44075</v>
      </c>
      <c r="B105" s="153" t="s">
        <v>55</v>
      </c>
      <c r="C105" s="154" t="s">
        <v>121</v>
      </c>
      <c r="D105" s="155" t="s">
        <v>122</v>
      </c>
      <c r="E105" s="156">
        <v>10</v>
      </c>
      <c r="F105" s="90" t="s">
        <v>125</v>
      </c>
      <c r="G105" s="164" t="s">
        <v>18</v>
      </c>
      <c r="H105" s="164">
        <v>220</v>
      </c>
      <c r="I105" s="89"/>
      <c r="J105" s="89"/>
      <c r="K105" s="139" t="s">
        <v>47</v>
      </c>
      <c r="L105" s="158"/>
      <c r="M105" s="158"/>
      <c r="N105" s="158"/>
      <c r="O105" s="158"/>
      <c r="P105" s="158" t="s">
        <v>29</v>
      </c>
      <c r="Q105" s="158"/>
      <c r="R105" s="158" t="s">
        <v>29</v>
      </c>
      <c r="S105" s="158"/>
      <c r="T105" s="107" t="s">
        <v>615</v>
      </c>
      <c r="U105" s="107"/>
      <c r="W105" s="39">
        <f t="shared" si="1"/>
        <v>84</v>
      </c>
    </row>
    <row r="106" spans="1:23" ht="39.950000000000003" customHeight="1">
      <c r="A106" s="18">
        <v>44075</v>
      </c>
      <c r="B106" s="153" t="s">
        <v>56</v>
      </c>
      <c r="C106" s="154" t="s">
        <v>201</v>
      </c>
      <c r="D106" s="155" t="s">
        <v>202</v>
      </c>
      <c r="E106" s="156">
        <v>66</v>
      </c>
      <c r="F106" s="90" t="s">
        <v>69</v>
      </c>
      <c r="G106" s="164" t="s">
        <v>28</v>
      </c>
      <c r="H106" s="164">
        <v>230</v>
      </c>
      <c r="I106" s="89"/>
      <c r="J106" s="89"/>
      <c r="K106" s="139"/>
      <c r="L106" s="158"/>
      <c r="M106" s="158"/>
      <c r="N106" s="158"/>
      <c r="O106" s="158"/>
      <c r="P106" s="178" t="s">
        <v>70</v>
      </c>
      <c r="Q106" s="158" t="s">
        <v>29</v>
      </c>
      <c r="R106" s="158"/>
      <c r="S106" s="158"/>
      <c r="T106" s="107" t="s">
        <v>972</v>
      </c>
      <c r="U106" s="107"/>
      <c r="W106" s="39">
        <f t="shared" si="1"/>
        <v>85</v>
      </c>
    </row>
    <row r="107" spans="1:23" ht="39.950000000000003" customHeight="1">
      <c r="A107" s="18">
        <v>44075</v>
      </c>
      <c r="B107" s="153" t="s">
        <v>57</v>
      </c>
      <c r="C107" s="154" t="s">
        <v>87</v>
      </c>
      <c r="D107" s="155" t="s">
        <v>88</v>
      </c>
      <c r="E107" s="156">
        <v>30</v>
      </c>
      <c r="F107" s="90" t="s">
        <v>89</v>
      </c>
      <c r="G107" s="164" t="s">
        <v>18</v>
      </c>
      <c r="H107" s="164">
        <v>220</v>
      </c>
      <c r="I107" s="89"/>
      <c r="J107" s="89"/>
      <c r="K107" s="139" t="s">
        <v>47</v>
      </c>
      <c r="L107" s="158"/>
      <c r="M107" s="158"/>
      <c r="N107" s="158"/>
      <c r="O107" s="158"/>
      <c r="P107" s="158" t="s">
        <v>29</v>
      </c>
      <c r="Q107" s="158"/>
      <c r="R107" s="158" t="s">
        <v>29</v>
      </c>
      <c r="S107" s="158"/>
      <c r="T107" s="107" t="s">
        <v>616</v>
      </c>
      <c r="U107" s="107"/>
      <c r="W107" s="39">
        <f t="shared" si="1"/>
        <v>86</v>
      </c>
    </row>
    <row r="108" spans="1:23" ht="39.950000000000003" customHeight="1">
      <c r="A108" s="18">
        <v>44075</v>
      </c>
      <c r="B108" s="153" t="s">
        <v>58</v>
      </c>
      <c r="C108" s="154" t="s">
        <v>116</v>
      </c>
      <c r="D108" s="155" t="s">
        <v>117</v>
      </c>
      <c r="E108" s="156">
        <v>15</v>
      </c>
      <c r="F108" s="90" t="s">
        <v>68</v>
      </c>
      <c r="G108" s="164" t="s">
        <v>18</v>
      </c>
      <c r="H108" s="164">
        <v>220</v>
      </c>
      <c r="I108" s="89"/>
      <c r="J108" s="89"/>
      <c r="K108" s="139"/>
      <c r="L108" s="158"/>
      <c r="M108" s="158"/>
      <c r="N108" s="158"/>
      <c r="O108" s="158"/>
      <c r="P108" s="89" t="s">
        <v>29</v>
      </c>
      <c r="Q108" s="158"/>
      <c r="R108" s="158" t="s">
        <v>29</v>
      </c>
      <c r="S108" s="158"/>
      <c r="T108" s="107" t="s">
        <v>617</v>
      </c>
      <c r="U108" s="107"/>
      <c r="W108" s="39">
        <f t="shared" si="1"/>
        <v>87</v>
      </c>
    </row>
    <row r="109" spans="1:23" ht="39.950000000000003" customHeight="1">
      <c r="A109" s="18">
        <v>44075</v>
      </c>
      <c r="B109" s="153" t="s">
        <v>59</v>
      </c>
      <c r="C109" s="154" t="s">
        <v>205</v>
      </c>
      <c r="D109" s="155" t="s">
        <v>206</v>
      </c>
      <c r="E109" s="156">
        <v>100</v>
      </c>
      <c r="F109" s="90" t="s">
        <v>68</v>
      </c>
      <c r="G109" s="164" t="s">
        <v>28</v>
      </c>
      <c r="H109" s="164">
        <v>230</v>
      </c>
      <c r="I109" s="89"/>
      <c r="J109" s="89"/>
      <c r="K109" s="139"/>
      <c r="L109" s="158"/>
      <c r="M109" s="158" t="s">
        <v>29</v>
      </c>
      <c r="N109" s="158"/>
      <c r="O109" s="158"/>
      <c r="P109" s="158" t="s">
        <v>29</v>
      </c>
      <c r="Q109" s="158"/>
      <c r="R109" s="158"/>
      <c r="S109" s="158"/>
      <c r="T109" s="165" t="s">
        <v>618</v>
      </c>
      <c r="U109" s="107"/>
      <c r="W109" s="39">
        <f t="shared" si="1"/>
        <v>88</v>
      </c>
    </row>
    <row r="110" spans="1:23" ht="39.950000000000003" customHeight="1">
      <c r="A110" s="18">
        <v>44075</v>
      </c>
      <c r="B110" s="153" t="s">
        <v>60</v>
      </c>
      <c r="C110" s="154" t="s">
        <v>141</v>
      </c>
      <c r="D110" s="155" t="s">
        <v>142</v>
      </c>
      <c r="E110" s="156">
        <v>50</v>
      </c>
      <c r="F110" s="90" t="s">
        <v>68</v>
      </c>
      <c r="G110" s="164" t="s">
        <v>19</v>
      </c>
      <c r="H110" s="164">
        <v>220</v>
      </c>
      <c r="I110" s="89"/>
      <c r="J110" s="89"/>
      <c r="K110" s="139"/>
      <c r="L110" s="158"/>
      <c r="M110" s="158" t="s">
        <v>29</v>
      </c>
      <c r="N110" s="158"/>
      <c r="O110" s="158"/>
      <c r="P110" s="89" t="s">
        <v>29</v>
      </c>
      <c r="Q110" s="158"/>
      <c r="R110" s="158" t="s">
        <v>29</v>
      </c>
      <c r="S110" s="158"/>
      <c r="T110" s="107" t="s">
        <v>619</v>
      </c>
      <c r="U110" s="107"/>
      <c r="W110" s="39">
        <f t="shared" si="1"/>
        <v>89</v>
      </c>
    </row>
    <row r="111" spans="1:23" ht="39.950000000000003" customHeight="1">
      <c r="A111" s="18">
        <v>44075</v>
      </c>
      <c r="B111" s="153" t="s">
        <v>61</v>
      </c>
      <c r="C111" s="154" t="s">
        <v>121</v>
      </c>
      <c r="D111" s="155" t="s">
        <v>122</v>
      </c>
      <c r="E111" s="156">
        <v>15</v>
      </c>
      <c r="F111" s="90" t="s">
        <v>125</v>
      </c>
      <c r="G111" s="164" t="s">
        <v>18</v>
      </c>
      <c r="H111" s="164">
        <v>220</v>
      </c>
      <c r="I111" s="89"/>
      <c r="J111" s="89"/>
      <c r="K111" s="139" t="s">
        <v>47</v>
      </c>
      <c r="L111" s="158"/>
      <c r="M111" s="158"/>
      <c r="N111" s="158"/>
      <c r="O111" s="158"/>
      <c r="P111" s="89" t="s">
        <v>29</v>
      </c>
      <c r="Q111" s="158"/>
      <c r="R111" s="158" t="s">
        <v>29</v>
      </c>
      <c r="S111" s="158"/>
      <c r="T111" s="165" t="s">
        <v>620</v>
      </c>
      <c r="U111" s="107"/>
      <c r="W111" s="39">
        <f t="shared" si="1"/>
        <v>90</v>
      </c>
    </row>
    <row r="112" spans="1:23" ht="39.950000000000003" customHeight="1">
      <c r="A112" s="18">
        <v>44075</v>
      </c>
      <c r="B112" s="153" t="s">
        <v>63</v>
      </c>
      <c r="C112" s="154" t="s">
        <v>74</v>
      </c>
      <c r="D112" s="155" t="s">
        <v>78</v>
      </c>
      <c r="E112" s="156">
        <v>26</v>
      </c>
      <c r="F112" s="90" t="s">
        <v>69</v>
      </c>
      <c r="G112" s="164" t="s">
        <v>28</v>
      </c>
      <c r="H112" s="164">
        <v>230</v>
      </c>
      <c r="I112" s="89"/>
      <c r="J112" s="89"/>
      <c r="K112" s="139"/>
      <c r="L112" s="158"/>
      <c r="M112" s="158"/>
      <c r="N112" s="158"/>
      <c r="O112" s="158"/>
      <c r="P112" s="159" t="s">
        <v>70</v>
      </c>
      <c r="Q112" s="158" t="s">
        <v>29</v>
      </c>
      <c r="R112" s="158"/>
      <c r="S112" s="158"/>
      <c r="T112" s="165" t="s">
        <v>973</v>
      </c>
      <c r="U112" s="107"/>
      <c r="W112" s="39">
        <f t="shared" si="1"/>
        <v>91</v>
      </c>
    </row>
    <row r="113" spans="1:23" ht="39.950000000000003" customHeight="1">
      <c r="A113" s="25">
        <v>44076</v>
      </c>
      <c r="B113" s="153" t="s">
        <v>54</v>
      </c>
      <c r="C113" s="154" t="s">
        <v>74</v>
      </c>
      <c r="D113" s="155" t="s">
        <v>78</v>
      </c>
      <c r="E113" s="156">
        <v>82</v>
      </c>
      <c r="F113" s="90" t="s">
        <v>69</v>
      </c>
      <c r="G113" s="164" t="s">
        <v>28</v>
      </c>
      <c r="H113" s="164">
        <v>230</v>
      </c>
      <c r="I113" s="89"/>
      <c r="J113" s="89"/>
      <c r="K113" s="139"/>
      <c r="L113" s="158"/>
      <c r="M113" s="158"/>
      <c r="N113" s="158"/>
      <c r="O113" s="158"/>
      <c r="P113" s="159" t="s">
        <v>70</v>
      </c>
      <c r="Q113" s="158" t="s">
        <v>29</v>
      </c>
      <c r="R113" s="158"/>
      <c r="S113" s="158"/>
      <c r="T113" s="165" t="s">
        <v>974</v>
      </c>
      <c r="U113" s="107"/>
      <c r="W113" s="39">
        <f t="shared" si="1"/>
        <v>91</v>
      </c>
    </row>
    <row r="114" spans="1:23" ht="39.950000000000003" customHeight="1">
      <c r="A114" s="208">
        <v>44076</v>
      </c>
      <c r="B114" s="126" t="s">
        <v>55</v>
      </c>
      <c r="C114" s="127" t="s">
        <v>121</v>
      </c>
      <c r="D114" s="128" t="s">
        <v>122</v>
      </c>
      <c r="E114" s="129">
        <v>10</v>
      </c>
      <c r="F114" s="45" t="s">
        <v>125</v>
      </c>
      <c r="G114" s="55" t="s">
        <v>18</v>
      </c>
      <c r="H114" s="55">
        <v>220</v>
      </c>
      <c r="I114" s="46"/>
      <c r="J114" s="46"/>
      <c r="K114" s="140" t="s">
        <v>47</v>
      </c>
      <c r="L114" s="100"/>
      <c r="M114" s="100"/>
      <c r="N114" s="100"/>
      <c r="O114" s="100"/>
      <c r="P114" s="100" t="s">
        <v>29</v>
      </c>
      <c r="Q114" s="100"/>
      <c r="R114" s="100" t="s">
        <v>29</v>
      </c>
      <c r="S114" s="100"/>
      <c r="T114" s="29" t="s">
        <v>621</v>
      </c>
      <c r="U114" s="29"/>
      <c r="W114" s="39">
        <f t="shared" si="1"/>
        <v>92</v>
      </c>
    </row>
    <row r="115" spans="1:23" ht="39.950000000000003" customHeight="1">
      <c r="A115" s="208">
        <v>44076</v>
      </c>
      <c r="B115" s="126" t="s">
        <v>56</v>
      </c>
      <c r="C115" s="127" t="s">
        <v>87</v>
      </c>
      <c r="D115" s="128" t="s">
        <v>88</v>
      </c>
      <c r="E115" s="129">
        <v>30</v>
      </c>
      <c r="F115" s="45" t="s">
        <v>89</v>
      </c>
      <c r="G115" s="55" t="s">
        <v>18</v>
      </c>
      <c r="H115" s="55">
        <v>220</v>
      </c>
      <c r="I115" s="46"/>
      <c r="J115" s="46"/>
      <c r="K115" s="140" t="s">
        <v>47</v>
      </c>
      <c r="L115" s="100"/>
      <c r="M115" s="100"/>
      <c r="N115" s="100"/>
      <c r="O115" s="100"/>
      <c r="P115" s="46" t="s">
        <v>29</v>
      </c>
      <c r="Q115" s="100"/>
      <c r="R115" s="100" t="s">
        <v>29</v>
      </c>
      <c r="S115" s="100"/>
      <c r="T115" s="99" t="s">
        <v>622</v>
      </c>
      <c r="U115" s="29"/>
      <c r="W115" s="39">
        <f t="shared" si="1"/>
        <v>93</v>
      </c>
    </row>
    <row r="116" spans="1:23" ht="39.950000000000003" customHeight="1">
      <c r="A116" s="136">
        <v>44076</v>
      </c>
      <c r="B116" s="111" t="s">
        <v>57</v>
      </c>
      <c r="C116" s="130" t="s">
        <v>116</v>
      </c>
      <c r="D116" s="131" t="s">
        <v>117</v>
      </c>
      <c r="E116" s="132">
        <v>36</v>
      </c>
      <c r="F116" s="29" t="s">
        <v>68</v>
      </c>
      <c r="G116" s="112" t="s">
        <v>18</v>
      </c>
      <c r="H116" s="112">
        <v>220</v>
      </c>
      <c r="I116" s="29"/>
      <c r="J116" s="29"/>
      <c r="K116" s="140"/>
      <c r="L116" s="100"/>
      <c r="M116" s="100"/>
      <c r="N116" s="100"/>
      <c r="O116" s="100"/>
      <c r="P116" s="46" t="s">
        <v>29</v>
      </c>
      <c r="Q116" s="100"/>
      <c r="R116" s="100" t="s">
        <v>29</v>
      </c>
      <c r="S116" s="100"/>
      <c r="T116" s="99" t="s">
        <v>623</v>
      </c>
      <c r="U116" s="29"/>
      <c r="W116" s="39">
        <f t="shared" si="1"/>
        <v>94</v>
      </c>
    </row>
    <row r="117" spans="1:23" ht="39.950000000000003" customHeight="1">
      <c r="A117" s="136">
        <v>44076</v>
      </c>
      <c r="B117" s="111" t="s">
        <v>58</v>
      </c>
      <c r="C117" s="130" t="s">
        <v>205</v>
      </c>
      <c r="D117" s="131" t="s">
        <v>206</v>
      </c>
      <c r="E117" s="132">
        <v>124</v>
      </c>
      <c r="F117" s="29" t="s">
        <v>68</v>
      </c>
      <c r="G117" s="112" t="s">
        <v>28</v>
      </c>
      <c r="H117" s="112">
        <v>230</v>
      </c>
      <c r="I117" s="29"/>
      <c r="J117" s="29"/>
      <c r="K117" s="140"/>
      <c r="L117" s="100"/>
      <c r="M117" s="100" t="s">
        <v>29</v>
      </c>
      <c r="N117" s="100"/>
      <c r="O117" s="100"/>
      <c r="P117" s="46" t="s">
        <v>29</v>
      </c>
      <c r="Q117" s="100"/>
      <c r="R117" s="100"/>
      <c r="S117" s="100"/>
      <c r="T117" s="29" t="s">
        <v>624</v>
      </c>
      <c r="U117" s="29"/>
      <c r="W117" s="39">
        <f t="shared" si="1"/>
        <v>95</v>
      </c>
    </row>
    <row r="118" spans="1:23" ht="39.950000000000003" customHeight="1">
      <c r="A118" s="136">
        <v>44076</v>
      </c>
      <c r="B118" s="111" t="s">
        <v>59</v>
      </c>
      <c r="C118" s="130" t="s">
        <v>121</v>
      </c>
      <c r="D118" s="131" t="s">
        <v>122</v>
      </c>
      <c r="E118" s="132">
        <v>14</v>
      </c>
      <c r="F118" s="29" t="s">
        <v>125</v>
      </c>
      <c r="G118" s="112" t="s">
        <v>18</v>
      </c>
      <c r="H118" s="112">
        <v>220</v>
      </c>
      <c r="I118" s="29"/>
      <c r="J118" s="29"/>
      <c r="K118" s="140" t="s">
        <v>47</v>
      </c>
      <c r="L118" s="100"/>
      <c r="M118" s="100"/>
      <c r="N118" s="100"/>
      <c r="O118" s="100"/>
      <c r="P118" s="100" t="s">
        <v>29</v>
      </c>
      <c r="Q118" s="100"/>
      <c r="R118" s="100" t="s">
        <v>29</v>
      </c>
      <c r="S118" s="100"/>
      <c r="T118" s="29" t="s">
        <v>626</v>
      </c>
      <c r="U118" s="29"/>
      <c r="W118" s="39">
        <f t="shared" si="1"/>
        <v>96</v>
      </c>
    </row>
    <row r="119" spans="1:23" ht="39.950000000000003" customHeight="1">
      <c r="A119" s="136">
        <v>44076</v>
      </c>
      <c r="B119" s="111" t="s">
        <v>60</v>
      </c>
      <c r="C119" s="130" t="s">
        <v>131</v>
      </c>
      <c r="D119" s="131" t="s">
        <v>132</v>
      </c>
      <c r="E119" s="132">
        <v>13</v>
      </c>
      <c r="F119" s="29" t="s">
        <v>69</v>
      </c>
      <c r="G119" s="112" t="s">
        <v>46</v>
      </c>
      <c r="H119" s="112">
        <v>120</v>
      </c>
      <c r="I119" s="29"/>
      <c r="J119" s="29"/>
      <c r="K119" s="140"/>
      <c r="L119" s="100"/>
      <c r="M119" s="100"/>
      <c r="N119" s="100"/>
      <c r="O119" s="100"/>
      <c r="P119" s="122" t="s">
        <v>70</v>
      </c>
      <c r="Q119" s="100" t="s">
        <v>29</v>
      </c>
      <c r="R119" s="100" t="s">
        <v>29</v>
      </c>
      <c r="S119" s="100"/>
      <c r="T119" s="29" t="s">
        <v>625</v>
      </c>
      <c r="U119" s="29"/>
      <c r="W119" s="39">
        <f t="shared" si="1"/>
        <v>97</v>
      </c>
    </row>
    <row r="120" spans="1:23" ht="39.950000000000003" customHeight="1">
      <c r="A120" s="136">
        <v>44076</v>
      </c>
      <c r="B120" s="111" t="s">
        <v>61</v>
      </c>
      <c r="C120" s="130" t="s">
        <v>74</v>
      </c>
      <c r="D120" s="131" t="s">
        <v>78</v>
      </c>
      <c r="E120" s="132">
        <v>27</v>
      </c>
      <c r="F120" s="29" t="s">
        <v>69</v>
      </c>
      <c r="G120" s="112" t="s">
        <v>28</v>
      </c>
      <c r="H120" s="112">
        <v>230</v>
      </c>
      <c r="I120" s="29"/>
      <c r="J120" s="29"/>
      <c r="K120" s="140"/>
      <c r="L120" s="100"/>
      <c r="M120" s="100"/>
      <c r="N120" s="100"/>
      <c r="O120" s="100"/>
      <c r="P120" s="122" t="s">
        <v>70</v>
      </c>
      <c r="Q120" s="100" t="s">
        <v>29</v>
      </c>
      <c r="R120" s="100"/>
      <c r="S120" s="100"/>
      <c r="T120" s="99" t="s">
        <v>975</v>
      </c>
      <c r="U120" s="29"/>
      <c r="W120" s="39">
        <f t="shared" si="1"/>
        <v>98</v>
      </c>
    </row>
    <row r="121" spans="1:23" ht="39.950000000000003" customHeight="1">
      <c r="A121" s="135">
        <v>44077</v>
      </c>
      <c r="B121" s="111" t="s">
        <v>54</v>
      </c>
      <c r="C121" s="130" t="s">
        <v>74</v>
      </c>
      <c r="D121" s="131" t="s">
        <v>78</v>
      </c>
      <c r="E121" s="132">
        <v>81</v>
      </c>
      <c r="F121" s="29" t="s">
        <v>69</v>
      </c>
      <c r="G121" s="112" t="s">
        <v>28</v>
      </c>
      <c r="H121" s="112">
        <v>230</v>
      </c>
      <c r="I121" s="29"/>
      <c r="J121" s="29"/>
      <c r="K121" s="140"/>
      <c r="L121" s="100"/>
      <c r="M121" s="100"/>
      <c r="N121" s="100"/>
      <c r="O121" s="100"/>
      <c r="P121" s="122" t="s">
        <v>70</v>
      </c>
      <c r="Q121" s="100" t="s">
        <v>29</v>
      </c>
      <c r="R121" s="100"/>
      <c r="S121" s="100"/>
      <c r="T121" s="99" t="s">
        <v>976</v>
      </c>
      <c r="U121" s="29"/>
      <c r="W121" s="39">
        <f t="shared" si="1"/>
        <v>98</v>
      </c>
    </row>
    <row r="122" spans="1:23" ht="39.950000000000003" customHeight="1">
      <c r="A122" s="136">
        <v>44077</v>
      </c>
      <c r="B122" s="111" t="s">
        <v>55</v>
      </c>
      <c r="C122" s="130" t="s">
        <v>121</v>
      </c>
      <c r="D122" s="131" t="s">
        <v>122</v>
      </c>
      <c r="E122" s="132">
        <v>10</v>
      </c>
      <c r="F122" s="29" t="s">
        <v>125</v>
      </c>
      <c r="G122" s="112" t="s">
        <v>18</v>
      </c>
      <c r="H122" s="112">
        <v>220</v>
      </c>
      <c r="I122" s="29"/>
      <c r="J122" s="29"/>
      <c r="K122" s="140" t="s">
        <v>47</v>
      </c>
      <c r="L122" s="100"/>
      <c r="M122" s="100"/>
      <c r="N122" s="100"/>
      <c r="O122" s="100"/>
      <c r="P122" s="100" t="s">
        <v>29</v>
      </c>
      <c r="Q122" s="100"/>
      <c r="R122" s="100" t="s">
        <v>29</v>
      </c>
      <c r="S122" s="100"/>
      <c r="T122" s="29" t="s">
        <v>627</v>
      </c>
      <c r="U122" s="29"/>
      <c r="W122" s="39">
        <f t="shared" si="1"/>
        <v>99</v>
      </c>
    </row>
    <row r="123" spans="1:23" ht="39.950000000000003" customHeight="1">
      <c r="A123" s="136">
        <v>44077</v>
      </c>
      <c r="B123" s="111" t="s">
        <v>56</v>
      </c>
      <c r="C123" s="130" t="s">
        <v>87</v>
      </c>
      <c r="D123" s="131" t="s">
        <v>88</v>
      </c>
      <c r="E123" s="132">
        <v>30</v>
      </c>
      <c r="F123" s="29" t="s">
        <v>89</v>
      </c>
      <c r="G123" s="112" t="s">
        <v>18</v>
      </c>
      <c r="H123" s="112">
        <v>220</v>
      </c>
      <c r="I123" s="29"/>
      <c r="J123" s="29"/>
      <c r="K123" s="140" t="s">
        <v>47</v>
      </c>
      <c r="L123" s="100"/>
      <c r="M123" s="100"/>
      <c r="N123" s="100"/>
      <c r="O123" s="100"/>
      <c r="P123" s="46" t="s">
        <v>29</v>
      </c>
      <c r="Q123" s="100"/>
      <c r="R123" s="100" t="s">
        <v>29</v>
      </c>
      <c r="S123" s="100"/>
      <c r="T123" s="99" t="s">
        <v>628</v>
      </c>
      <c r="U123" s="29"/>
      <c r="W123" s="39">
        <f t="shared" si="1"/>
        <v>100</v>
      </c>
    </row>
    <row r="124" spans="1:23" ht="39.950000000000003" customHeight="1">
      <c r="A124" s="136">
        <v>44077</v>
      </c>
      <c r="B124" s="111" t="s">
        <v>57</v>
      </c>
      <c r="C124" s="130" t="s">
        <v>116</v>
      </c>
      <c r="D124" s="131" t="s">
        <v>117</v>
      </c>
      <c r="E124" s="132">
        <v>47</v>
      </c>
      <c r="F124" s="29" t="s">
        <v>68</v>
      </c>
      <c r="G124" s="112" t="s">
        <v>18</v>
      </c>
      <c r="H124" s="112">
        <v>220</v>
      </c>
      <c r="I124" s="29"/>
      <c r="J124" s="29"/>
      <c r="K124" s="140"/>
      <c r="L124" s="100"/>
      <c r="M124" s="100"/>
      <c r="N124" s="100"/>
      <c r="O124" s="100"/>
      <c r="P124" s="46" t="s">
        <v>29</v>
      </c>
      <c r="Q124" s="100"/>
      <c r="R124" s="100" t="s">
        <v>29</v>
      </c>
      <c r="S124" s="100"/>
      <c r="T124" s="29" t="s">
        <v>629</v>
      </c>
      <c r="U124" s="29"/>
      <c r="W124" s="39">
        <f t="shared" si="1"/>
        <v>101</v>
      </c>
    </row>
    <row r="125" spans="1:23" ht="39.950000000000003" customHeight="1">
      <c r="A125" s="136">
        <v>44077</v>
      </c>
      <c r="B125" s="111" t="s">
        <v>58</v>
      </c>
      <c r="C125" s="30" t="s">
        <v>205</v>
      </c>
      <c r="D125" s="31" t="s">
        <v>206</v>
      </c>
      <c r="E125" s="29">
        <v>111</v>
      </c>
      <c r="F125" s="29" t="s">
        <v>68</v>
      </c>
      <c r="G125" s="29" t="s">
        <v>28</v>
      </c>
      <c r="H125" s="29">
        <v>230</v>
      </c>
      <c r="I125" s="29"/>
      <c r="J125" s="29"/>
      <c r="K125" s="140"/>
      <c r="L125" s="100"/>
      <c r="M125" s="100" t="s">
        <v>29</v>
      </c>
      <c r="N125" s="100"/>
      <c r="O125" s="100"/>
      <c r="P125" s="100" t="s">
        <v>29</v>
      </c>
      <c r="Q125" s="100"/>
      <c r="R125" s="100"/>
      <c r="S125" s="100"/>
      <c r="T125" s="29" t="s">
        <v>630</v>
      </c>
      <c r="U125" s="29"/>
      <c r="W125" s="39">
        <f t="shared" si="1"/>
        <v>102</v>
      </c>
    </row>
    <row r="126" spans="1:23" ht="39.950000000000003" customHeight="1">
      <c r="A126" s="136">
        <v>44077</v>
      </c>
      <c r="B126" s="111" t="s">
        <v>59</v>
      </c>
      <c r="C126" s="30" t="s">
        <v>121</v>
      </c>
      <c r="D126" s="31" t="s">
        <v>122</v>
      </c>
      <c r="E126" s="29">
        <v>10</v>
      </c>
      <c r="F126" s="29" t="s">
        <v>125</v>
      </c>
      <c r="G126" s="29" t="s">
        <v>18</v>
      </c>
      <c r="H126" s="29">
        <v>220</v>
      </c>
      <c r="I126" s="29"/>
      <c r="J126" s="29"/>
      <c r="K126" s="140" t="s">
        <v>47</v>
      </c>
      <c r="L126" s="100"/>
      <c r="M126" s="100"/>
      <c r="N126" s="100"/>
      <c r="O126" s="100"/>
      <c r="P126" s="100" t="s">
        <v>29</v>
      </c>
      <c r="Q126" s="100"/>
      <c r="R126" s="100" t="s">
        <v>29</v>
      </c>
      <c r="S126" s="100"/>
      <c r="T126" s="29" t="s">
        <v>631</v>
      </c>
      <c r="U126" s="29"/>
      <c r="W126" s="39">
        <f t="shared" si="1"/>
        <v>103</v>
      </c>
    </row>
    <row r="127" spans="1:23" ht="39.950000000000003" customHeight="1">
      <c r="A127" s="136">
        <v>44077</v>
      </c>
      <c r="B127" s="111" t="s">
        <v>60</v>
      </c>
      <c r="C127" s="30" t="s">
        <v>74</v>
      </c>
      <c r="D127" s="31" t="s">
        <v>78</v>
      </c>
      <c r="E127" s="29">
        <v>31</v>
      </c>
      <c r="F127" s="29" t="s">
        <v>69</v>
      </c>
      <c r="G127" s="29" t="s">
        <v>28</v>
      </c>
      <c r="H127" s="29">
        <v>230</v>
      </c>
      <c r="I127" s="29"/>
      <c r="J127" s="29"/>
      <c r="K127" s="140"/>
      <c r="L127" s="100"/>
      <c r="M127" s="100"/>
      <c r="N127" s="100"/>
      <c r="O127" s="100"/>
      <c r="P127" s="122" t="s">
        <v>70</v>
      </c>
      <c r="Q127" s="100" t="s">
        <v>29</v>
      </c>
      <c r="R127" s="100"/>
      <c r="S127" s="100"/>
      <c r="T127" s="99" t="s">
        <v>977</v>
      </c>
      <c r="U127" s="29"/>
      <c r="W127" s="39">
        <f t="shared" si="1"/>
        <v>104</v>
      </c>
    </row>
    <row r="128" spans="1:23" ht="39.950000000000003" customHeight="1">
      <c r="A128" s="135">
        <v>44078</v>
      </c>
      <c r="B128" s="111" t="s">
        <v>54</v>
      </c>
      <c r="C128" s="30" t="s">
        <v>74</v>
      </c>
      <c r="D128" s="31" t="s">
        <v>78</v>
      </c>
      <c r="E128" s="29">
        <v>77</v>
      </c>
      <c r="F128" s="29" t="s">
        <v>69</v>
      </c>
      <c r="G128" s="29" t="s">
        <v>28</v>
      </c>
      <c r="H128" s="29">
        <v>230</v>
      </c>
      <c r="I128" s="29"/>
      <c r="J128" s="29"/>
      <c r="K128" s="140"/>
      <c r="L128" s="100"/>
      <c r="M128" s="100"/>
      <c r="N128" s="100"/>
      <c r="O128" s="100"/>
      <c r="P128" s="122" t="s">
        <v>70</v>
      </c>
      <c r="Q128" s="100" t="s">
        <v>29</v>
      </c>
      <c r="R128" s="100"/>
      <c r="S128" s="100"/>
      <c r="T128" s="99" t="s">
        <v>978</v>
      </c>
      <c r="U128" s="29"/>
      <c r="W128" s="39">
        <f t="shared" si="1"/>
        <v>104</v>
      </c>
    </row>
    <row r="129" spans="1:23" ht="39.950000000000003" customHeight="1">
      <c r="A129" s="136">
        <v>44078</v>
      </c>
      <c r="B129" s="111" t="s">
        <v>55</v>
      </c>
      <c r="C129" s="30" t="s">
        <v>121</v>
      </c>
      <c r="D129" s="31" t="s">
        <v>122</v>
      </c>
      <c r="E129" s="29">
        <v>10</v>
      </c>
      <c r="F129" s="29" t="s">
        <v>125</v>
      </c>
      <c r="G129" s="29" t="s">
        <v>18</v>
      </c>
      <c r="H129" s="29">
        <v>220</v>
      </c>
      <c r="I129" s="29"/>
      <c r="J129" s="29"/>
      <c r="K129" s="140" t="s">
        <v>47</v>
      </c>
      <c r="L129" s="100"/>
      <c r="M129" s="100"/>
      <c r="N129" s="100"/>
      <c r="O129" s="100"/>
      <c r="P129" s="100" t="s">
        <v>29</v>
      </c>
      <c r="Q129" s="100"/>
      <c r="R129" s="100" t="s">
        <v>29</v>
      </c>
      <c r="S129" s="100"/>
      <c r="T129" s="29" t="s">
        <v>632</v>
      </c>
      <c r="U129" s="29"/>
      <c r="W129" s="39">
        <f t="shared" si="1"/>
        <v>105</v>
      </c>
    </row>
    <row r="130" spans="1:23" ht="39.950000000000003" customHeight="1">
      <c r="A130" s="136">
        <v>44078</v>
      </c>
      <c r="B130" s="111" t="s">
        <v>56</v>
      </c>
      <c r="C130" s="30" t="s">
        <v>87</v>
      </c>
      <c r="D130" s="31" t="s">
        <v>88</v>
      </c>
      <c r="E130" s="29">
        <v>30</v>
      </c>
      <c r="F130" s="29" t="s">
        <v>89</v>
      </c>
      <c r="G130" s="29" t="s">
        <v>18</v>
      </c>
      <c r="H130" s="29">
        <v>220</v>
      </c>
      <c r="I130" s="29"/>
      <c r="J130" s="29"/>
      <c r="K130" s="140" t="s">
        <v>47</v>
      </c>
      <c r="L130" s="100"/>
      <c r="M130" s="100"/>
      <c r="N130" s="100"/>
      <c r="O130" s="100"/>
      <c r="P130" s="46" t="s">
        <v>29</v>
      </c>
      <c r="Q130" s="100"/>
      <c r="R130" s="100" t="s">
        <v>29</v>
      </c>
      <c r="S130" s="100"/>
      <c r="T130" s="99" t="s">
        <v>633</v>
      </c>
      <c r="U130" s="29"/>
      <c r="W130" s="39">
        <f t="shared" si="1"/>
        <v>106</v>
      </c>
    </row>
    <row r="131" spans="1:23" ht="39.950000000000003" customHeight="1">
      <c r="A131" s="136">
        <v>44078</v>
      </c>
      <c r="B131" s="111" t="s">
        <v>57</v>
      </c>
      <c r="C131" s="30" t="s">
        <v>116</v>
      </c>
      <c r="D131" s="31" t="s">
        <v>117</v>
      </c>
      <c r="E131" s="29">
        <v>91</v>
      </c>
      <c r="F131" s="29" t="s">
        <v>68</v>
      </c>
      <c r="G131" s="29" t="s">
        <v>18</v>
      </c>
      <c r="H131" s="29">
        <v>220</v>
      </c>
      <c r="I131" s="29"/>
      <c r="J131" s="29"/>
      <c r="K131" s="140"/>
      <c r="L131" s="100"/>
      <c r="M131" s="100"/>
      <c r="N131" s="100"/>
      <c r="O131" s="100"/>
      <c r="P131" s="100" t="s">
        <v>29</v>
      </c>
      <c r="Q131" s="100"/>
      <c r="R131" s="100" t="s">
        <v>29</v>
      </c>
      <c r="S131" s="100"/>
      <c r="T131" s="29" t="s">
        <v>634</v>
      </c>
      <c r="U131" s="29"/>
      <c r="W131" s="39">
        <f t="shared" si="1"/>
        <v>107</v>
      </c>
    </row>
    <row r="132" spans="1:23" ht="39.950000000000003" customHeight="1">
      <c r="A132" s="136">
        <v>44078</v>
      </c>
      <c r="B132" s="111" t="s">
        <v>58</v>
      </c>
      <c r="C132" s="30" t="s">
        <v>205</v>
      </c>
      <c r="D132" s="31" t="s">
        <v>206</v>
      </c>
      <c r="E132" s="29">
        <v>71</v>
      </c>
      <c r="F132" s="29" t="s">
        <v>68</v>
      </c>
      <c r="G132" s="29" t="s">
        <v>28</v>
      </c>
      <c r="H132" s="29">
        <v>230</v>
      </c>
      <c r="I132" s="29"/>
      <c r="J132" s="29"/>
      <c r="K132" s="140"/>
      <c r="L132" s="100"/>
      <c r="M132" s="100" t="s">
        <v>29</v>
      </c>
      <c r="N132" s="100"/>
      <c r="O132" s="100"/>
      <c r="P132" s="100" t="s">
        <v>29</v>
      </c>
      <c r="Q132" s="100"/>
      <c r="R132" s="100"/>
      <c r="S132" s="100"/>
      <c r="T132" s="29" t="s">
        <v>635</v>
      </c>
      <c r="U132" s="29"/>
      <c r="W132" s="39">
        <f t="shared" si="1"/>
        <v>108</v>
      </c>
    </row>
    <row r="133" spans="1:23" ht="39.950000000000003" customHeight="1">
      <c r="A133" s="136">
        <v>44078</v>
      </c>
      <c r="B133" s="111" t="s">
        <v>59</v>
      </c>
      <c r="C133" s="30" t="s">
        <v>121</v>
      </c>
      <c r="D133" s="31" t="s">
        <v>122</v>
      </c>
      <c r="E133" s="29">
        <v>10</v>
      </c>
      <c r="F133" s="29" t="s">
        <v>125</v>
      </c>
      <c r="G133" s="29" t="s">
        <v>18</v>
      </c>
      <c r="H133" s="29">
        <v>220</v>
      </c>
      <c r="I133" s="29"/>
      <c r="J133" s="29"/>
      <c r="K133" s="140" t="s">
        <v>47</v>
      </c>
      <c r="L133" s="100"/>
      <c r="M133" s="100"/>
      <c r="N133" s="100"/>
      <c r="O133" s="100"/>
      <c r="P133" s="100" t="s">
        <v>29</v>
      </c>
      <c r="Q133" s="100"/>
      <c r="R133" s="100" t="s">
        <v>29</v>
      </c>
      <c r="S133" s="100"/>
      <c r="T133" s="29" t="s">
        <v>636</v>
      </c>
      <c r="U133" s="29"/>
      <c r="W133" s="39">
        <f t="shared" si="1"/>
        <v>109</v>
      </c>
    </row>
    <row r="134" spans="1:23" ht="39.950000000000003" customHeight="1">
      <c r="A134" s="136">
        <v>44078</v>
      </c>
      <c r="B134" s="111" t="s">
        <v>60</v>
      </c>
      <c r="C134" s="30" t="s">
        <v>74</v>
      </c>
      <c r="D134" s="31" t="s">
        <v>78</v>
      </c>
      <c r="E134" s="29">
        <v>31</v>
      </c>
      <c r="F134" s="29" t="s">
        <v>69</v>
      </c>
      <c r="G134" s="29" t="s">
        <v>28</v>
      </c>
      <c r="H134" s="29">
        <v>230</v>
      </c>
      <c r="I134" s="29"/>
      <c r="J134" s="29"/>
      <c r="K134" s="140"/>
      <c r="L134" s="100"/>
      <c r="M134" s="100"/>
      <c r="N134" s="100"/>
      <c r="O134" s="100"/>
      <c r="P134" s="122" t="s">
        <v>70</v>
      </c>
      <c r="Q134" s="100" t="s">
        <v>29</v>
      </c>
      <c r="R134" s="100"/>
      <c r="S134" s="100"/>
      <c r="T134" s="99" t="s">
        <v>979</v>
      </c>
      <c r="U134" s="29"/>
      <c r="W134" s="39">
        <f t="shared" si="1"/>
        <v>110</v>
      </c>
    </row>
    <row r="135" spans="1:23" ht="39.950000000000003" customHeight="1">
      <c r="A135" s="135">
        <v>44079</v>
      </c>
      <c r="B135" s="111" t="s">
        <v>54</v>
      </c>
      <c r="C135" s="30" t="s">
        <v>74</v>
      </c>
      <c r="D135" s="31" t="s">
        <v>78</v>
      </c>
      <c r="E135" s="29">
        <v>77</v>
      </c>
      <c r="F135" s="29" t="s">
        <v>69</v>
      </c>
      <c r="G135" s="29" t="s">
        <v>28</v>
      </c>
      <c r="H135" s="29">
        <v>230</v>
      </c>
      <c r="I135" s="29"/>
      <c r="J135" s="29"/>
      <c r="K135" s="140"/>
      <c r="L135" s="100"/>
      <c r="M135" s="100"/>
      <c r="N135" s="100"/>
      <c r="O135" s="100"/>
      <c r="P135" s="122" t="s">
        <v>70</v>
      </c>
      <c r="Q135" s="100" t="s">
        <v>29</v>
      </c>
      <c r="R135" s="100"/>
      <c r="S135" s="100"/>
      <c r="T135" s="99" t="s">
        <v>980</v>
      </c>
      <c r="U135" s="29"/>
      <c r="W135" s="39">
        <f t="shared" si="1"/>
        <v>110</v>
      </c>
    </row>
    <row r="136" spans="1:23" ht="39.950000000000003" customHeight="1">
      <c r="A136" s="136">
        <v>44079</v>
      </c>
      <c r="B136" s="111" t="s">
        <v>55</v>
      </c>
      <c r="C136" s="30" t="s">
        <v>87</v>
      </c>
      <c r="D136" s="31" t="s">
        <v>88</v>
      </c>
      <c r="E136" s="29">
        <v>30</v>
      </c>
      <c r="F136" s="29" t="s">
        <v>89</v>
      </c>
      <c r="G136" s="29" t="s">
        <v>18</v>
      </c>
      <c r="H136" s="29">
        <v>220</v>
      </c>
      <c r="I136" s="29"/>
      <c r="J136" s="29"/>
      <c r="K136" s="140" t="s">
        <v>47</v>
      </c>
      <c r="L136" s="100"/>
      <c r="M136" s="100"/>
      <c r="N136" s="100"/>
      <c r="O136" s="100"/>
      <c r="P136" s="100" t="s">
        <v>29</v>
      </c>
      <c r="Q136" s="100"/>
      <c r="R136" s="100" t="s">
        <v>29</v>
      </c>
      <c r="S136" s="100"/>
      <c r="T136" s="29" t="s">
        <v>637</v>
      </c>
      <c r="U136" s="29"/>
      <c r="W136" s="39">
        <f t="shared" ref="W136:W199" si="2">IF(C136=C135,W135,W135+1)</f>
        <v>111</v>
      </c>
    </row>
    <row r="137" spans="1:23" ht="39.950000000000003" customHeight="1">
      <c r="A137" s="136">
        <v>44079</v>
      </c>
      <c r="B137" s="111" t="s">
        <v>56</v>
      </c>
      <c r="C137" s="30" t="s">
        <v>116</v>
      </c>
      <c r="D137" s="31" t="s">
        <v>117</v>
      </c>
      <c r="E137" s="29">
        <v>12</v>
      </c>
      <c r="F137" s="29" t="s">
        <v>68</v>
      </c>
      <c r="G137" s="29" t="s">
        <v>18</v>
      </c>
      <c r="H137" s="29">
        <v>220</v>
      </c>
      <c r="I137" s="29"/>
      <c r="J137" s="29"/>
      <c r="K137" s="140"/>
      <c r="L137" s="100"/>
      <c r="M137" s="100"/>
      <c r="N137" s="100"/>
      <c r="O137" s="100"/>
      <c r="P137" s="46" t="s">
        <v>29</v>
      </c>
      <c r="Q137" s="100"/>
      <c r="R137" s="100" t="s">
        <v>29</v>
      </c>
      <c r="S137" s="100"/>
      <c r="T137" s="99" t="s">
        <v>638</v>
      </c>
      <c r="U137" s="29"/>
      <c r="W137" s="39">
        <f t="shared" si="2"/>
        <v>112</v>
      </c>
    </row>
    <row r="138" spans="1:23" ht="39.950000000000003" customHeight="1">
      <c r="A138" s="136">
        <v>44079</v>
      </c>
      <c r="B138" s="111" t="s">
        <v>57</v>
      </c>
      <c r="C138" s="30" t="s">
        <v>205</v>
      </c>
      <c r="D138" s="31" t="s">
        <v>206</v>
      </c>
      <c r="E138" s="29">
        <v>90</v>
      </c>
      <c r="F138" s="29" t="s">
        <v>68</v>
      </c>
      <c r="G138" s="29" t="s">
        <v>28</v>
      </c>
      <c r="H138" s="29">
        <v>230</v>
      </c>
      <c r="I138" s="29"/>
      <c r="J138" s="29"/>
      <c r="K138" s="140"/>
      <c r="L138" s="100"/>
      <c r="M138" s="100" t="s">
        <v>29</v>
      </c>
      <c r="N138" s="100"/>
      <c r="O138" s="100"/>
      <c r="P138" s="100" t="s">
        <v>29</v>
      </c>
      <c r="Q138" s="100"/>
      <c r="R138" s="100"/>
      <c r="S138" s="100"/>
      <c r="T138" s="29" t="s">
        <v>639</v>
      </c>
      <c r="U138" s="29"/>
      <c r="W138" s="39">
        <f t="shared" si="2"/>
        <v>113</v>
      </c>
    </row>
    <row r="139" spans="1:23" ht="39.950000000000003" customHeight="1">
      <c r="A139" s="136">
        <v>44079</v>
      </c>
      <c r="B139" s="111" t="s">
        <v>58</v>
      </c>
      <c r="C139" s="30" t="s">
        <v>121</v>
      </c>
      <c r="D139" s="31" t="s">
        <v>122</v>
      </c>
      <c r="E139" s="29">
        <v>15</v>
      </c>
      <c r="F139" s="29" t="s">
        <v>125</v>
      </c>
      <c r="G139" s="29" t="s">
        <v>18</v>
      </c>
      <c r="H139" s="29">
        <v>220</v>
      </c>
      <c r="I139" s="29"/>
      <c r="J139" s="29"/>
      <c r="K139" s="140" t="s">
        <v>47</v>
      </c>
      <c r="L139" s="100"/>
      <c r="M139" s="100"/>
      <c r="N139" s="100"/>
      <c r="O139" s="100"/>
      <c r="P139" s="100" t="s">
        <v>29</v>
      </c>
      <c r="Q139" s="100"/>
      <c r="R139" s="100" t="s">
        <v>29</v>
      </c>
      <c r="S139" s="100"/>
      <c r="T139" s="29" t="s">
        <v>640</v>
      </c>
      <c r="U139" s="29"/>
      <c r="W139" s="39">
        <f t="shared" si="2"/>
        <v>114</v>
      </c>
    </row>
    <row r="140" spans="1:23" ht="39.950000000000003" customHeight="1">
      <c r="A140" s="136">
        <v>44079</v>
      </c>
      <c r="B140" s="111" t="s">
        <v>59</v>
      </c>
      <c r="C140" s="30" t="s">
        <v>71</v>
      </c>
      <c r="D140" s="31" t="s">
        <v>75</v>
      </c>
      <c r="E140" s="29">
        <v>36</v>
      </c>
      <c r="F140" s="29" t="s">
        <v>69</v>
      </c>
      <c r="G140" s="29" t="s">
        <v>28</v>
      </c>
      <c r="H140" s="29">
        <v>230</v>
      </c>
      <c r="I140" s="29"/>
      <c r="J140" s="29"/>
      <c r="K140" s="140"/>
      <c r="L140" s="100"/>
      <c r="M140" s="100"/>
      <c r="N140" s="100"/>
      <c r="O140" s="100"/>
      <c r="P140" s="91" t="s">
        <v>70</v>
      </c>
      <c r="Q140" s="100" t="s">
        <v>29</v>
      </c>
      <c r="R140" s="100"/>
      <c r="S140" s="100"/>
      <c r="T140" s="99" t="s">
        <v>981</v>
      </c>
      <c r="U140" s="29"/>
      <c r="W140" s="39">
        <f t="shared" si="2"/>
        <v>115</v>
      </c>
    </row>
    <row r="141" spans="1:23" ht="39.950000000000003" customHeight="1">
      <c r="A141" s="135">
        <v>44081</v>
      </c>
      <c r="B141" s="111" t="s">
        <v>54</v>
      </c>
      <c r="C141" s="30" t="s">
        <v>71</v>
      </c>
      <c r="D141" s="31" t="s">
        <v>75</v>
      </c>
      <c r="E141" s="29">
        <v>10</v>
      </c>
      <c r="F141" s="29" t="s">
        <v>69</v>
      </c>
      <c r="G141" s="29" t="s">
        <v>28</v>
      </c>
      <c r="H141" s="29">
        <v>230</v>
      </c>
      <c r="I141" s="29"/>
      <c r="J141" s="29"/>
      <c r="K141" s="140"/>
      <c r="L141" s="100"/>
      <c r="M141" s="100"/>
      <c r="N141" s="100"/>
      <c r="O141" s="100"/>
      <c r="P141" s="91" t="s">
        <v>70</v>
      </c>
      <c r="Q141" s="100" t="s">
        <v>29</v>
      </c>
      <c r="R141" s="100"/>
      <c r="S141" s="100"/>
      <c r="T141" s="29" t="s">
        <v>982</v>
      </c>
      <c r="U141" s="29"/>
      <c r="W141" s="39">
        <f t="shared" si="2"/>
        <v>115</v>
      </c>
    </row>
    <row r="142" spans="1:23" ht="39.950000000000003" customHeight="1">
      <c r="A142" s="136">
        <v>44081</v>
      </c>
      <c r="B142" s="111" t="s">
        <v>55</v>
      </c>
      <c r="C142" s="30" t="s">
        <v>201</v>
      </c>
      <c r="D142" s="31" t="s">
        <v>202</v>
      </c>
      <c r="E142" s="29">
        <v>60</v>
      </c>
      <c r="F142" s="29" t="s">
        <v>69</v>
      </c>
      <c r="G142" s="29" t="s">
        <v>28</v>
      </c>
      <c r="H142" s="29">
        <v>230</v>
      </c>
      <c r="I142" s="29"/>
      <c r="J142" s="29"/>
      <c r="K142" s="140"/>
      <c r="L142" s="100"/>
      <c r="M142" s="100"/>
      <c r="N142" s="100"/>
      <c r="O142" s="100"/>
      <c r="P142" s="122" t="s">
        <v>70</v>
      </c>
      <c r="Q142" s="100" t="s">
        <v>29</v>
      </c>
      <c r="R142" s="100"/>
      <c r="S142" s="100"/>
      <c r="T142" s="29" t="s">
        <v>983</v>
      </c>
      <c r="U142" s="29"/>
      <c r="W142" s="39">
        <f t="shared" si="2"/>
        <v>116</v>
      </c>
    </row>
    <row r="143" spans="1:23" ht="39.950000000000003" customHeight="1">
      <c r="A143" s="136">
        <v>44081</v>
      </c>
      <c r="B143" s="111" t="s">
        <v>56</v>
      </c>
      <c r="C143" s="30" t="s">
        <v>87</v>
      </c>
      <c r="D143" s="31" t="s">
        <v>88</v>
      </c>
      <c r="E143" s="29">
        <v>91</v>
      </c>
      <c r="F143" s="29" t="s">
        <v>89</v>
      </c>
      <c r="G143" s="29" t="s">
        <v>18</v>
      </c>
      <c r="H143" s="29">
        <v>220</v>
      </c>
      <c r="I143" s="29"/>
      <c r="J143" s="29"/>
      <c r="K143" s="140" t="s">
        <v>47</v>
      </c>
      <c r="L143" s="100"/>
      <c r="M143" s="100"/>
      <c r="N143" s="100"/>
      <c r="O143" s="100"/>
      <c r="P143" s="100" t="s">
        <v>29</v>
      </c>
      <c r="Q143" s="100"/>
      <c r="R143" s="100" t="s">
        <v>29</v>
      </c>
      <c r="S143" s="100"/>
      <c r="T143" s="29" t="s">
        <v>641</v>
      </c>
      <c r="U143" s="29"/>
      <c r="W143" s="39">
        <f t="shared" si="2"/>
        <v>117</v>
      </c>
    </row>
    <row r="144" spans="1:23" ht="39.950000000000003" customHeight="1">
      <c r="A144" s="136">
        <v>44081</v>
      </c>
      <c r="B144" s="111" t="s">
        <v>57</v>
      </c>
      <c r="C144" s="30" t="s">
        <v>116</v>
      </c>
      <c r="D144" s="31" t="s">
        <v>117</v>
      </c>
      <c r="E144" s="29">
        <v>44</v>
      </c>
      <c r="F144" s="29" t="s">
        <v>68</v>
      </c>
      <c r="G144" s="29" t="s">
        <v>18</v>
      </c>
      <c r="H144" s="29">
        <v>220</v>
      </c>
      <c r="I144" s="29"/>
      <c r="J144" s="29"/>
      <c r="K144" s="140"/>
      <c r="L144" s="100"/>
      <c r="M144" s="100"/>
      <c r="N144" s="100"/>
      <c r="O144" s="100"/>
      <c r="P144" s="46" t="s">
        <v>29</v>
      </c>
      <c r="Q144" s="100"/>
      <c r="R144" s="100" t="s">
        <v>29</v>
      </c>
      <c r="S144" s="100"/>
      <c r="T144" s="99" t="s">
        <v>642</v>
      </c>
      <c r="U144" s="29"/>
      <c r="W144" s="39">
        <f t="shared" si="2"/>
        <v>118</v>
      </c>
    </row>
    <row r="145" spans="1:23" ht="39.950000000000003" customHeight="1">
      <c r="A145" s="136">
        <v>44081</v>
      </c>
      <c r="B145" s="111" t="s">
        <v>58</v>
      </c>
      <c r="C145" s="30" t="s">
        <v>121</v>
      </c>
      <c r="D145" s="31" t="s">
        <v>122</v>
      </c>
      <c r="E145" s="29">
        <v>15</v>
      </c>
      <c r="F145" s="29" t="s">
        <v>125</v>
      </c>
      <c r="G145" s="29" t="s">
        <v>18</v>
      </c>
      <c r="H145" s="29">
        <v>220</v>
      </c>
      <c r="I145" s="29"/>
      <c r="J145" s="29"/>
      <c r="K145" s="140" t="s">
        <v>47</v>
      </c>
      <c r="L145" s="100"/>
      <c r="M145" s="100"/>
      <c r="N145" s="100"/>
      <c r="O145" s="100"/>
      <c r="P145" s="46" t="s">
        <v>29</v>
      </c>
      <c r="Q145" s="100"/>
      <c r="R145" s="100" t="s">
        <v>29</v>
      </c>
      <c r="S145" s="100"/>
      <c r="T145" s="99" t="s">
        <v>643</v>
      </c>
      <c r="U145" s="29"/>
      <c r="W145" s="39">
        <f t="shared" si="2"/>
        <v>119</v>
      </c>
    </row>
    <row r="146" spans="1:23" ht="39.950000000000003" customHeight="1">
      <c r="A146" s="136">
        <v>44081</v>
      </c>
      <c r="B146" s="111" t="s">
        <v>59</v>
      </c>
      <c r="C146" s="30" t="s">
        <v>71</v>
      </c>
      <c r="D146" s="31" t="s">
        <v>75</v>
      </c>
      <c r="E146" s="29">
        <v>36</v>
      </c>
      <c r="F146" s="29" t="s">
        <v>69</v>
      </c>
      <c r="G146" s="29" t="s">
        <v>28</v>
      </c>
      <c r="H146" s="29">
        <v>230</v>
      </c>
      <c r="I146" s="29"/>
      <c r="J146" s="29"/>
      <c r="K146" s="140"/>
      <c r="L146" s="100"/>
      <c r="M146" s="100"/>
      <c r="N146" s="100"/>
      <c r="O146" s="100"/>
      <c r="P146" s="91" t="s">
        <v>70</v>
      </c>
      <c r="Q146" s="100" t="s">
        <v>29</v>
      </c>
      <c r="R146" s="100"/>
      <c r="S146" s="100"/>
      <c r="T146" s="29" t="s">
        <v>984</v>
      </c>
      <c r="U146" s="29"/>
      <c r="W146" s="39">
        <f t="shared" si="2"/>
        <v>120</v>
      </c>
    </row>
    <row r="147" spans="1:23" ht="39.950000000000003" customHeight="1">
      <c r="A147" s="135">
        <v>44082</v>
      </c>
      <c r="B147" s="111" t="s">
        <v>54</v>
      </c>
      <c r="C147" s="30" t="s">
        <v>71</v>
      </c>
      <c r="D147" s="31" t="s">
        <v>75</v>
      </c>
      <c r="E147" s="29">
        <v>24</v>
      </c>
      <c r="F147" s="29" t="s">
        <v>69</v>
      </c>
      <c r="G147" s="29" t="s">
        <v>28</v>
      </c>
      <c r="H147" s="29">
        <v>230</v>
      </c>
      <c r="I147" s="29"/>
      <c r="J147" s="29"/>
      <c r="K147" s="140"/>
      <c r="L147" s="100"/>
      <c r="M147" s="100"/>
      <c r="N147" s="100"/>
      <c r="O147" s="100"/>
      <c r="P147" s="91" t="s">
        <v>70</v>
      </c>
      <c r="Q147" s="100" t="s">
        <v>29</v>
      </c>
      <c r="R147" s="100"/>
      <c r="S147" s="100"/>
      <c r="T147" s="29" t="s">
        <v>985</v>
      </c>
      <c r="U147" s="29"/>
      <c r="W147" s="39">
        <f t="shared" si="2"/>
        <v>120</v>
      </c>
    </row>
    <row r="148" spans="1:23" ht="39.950000000000003" customHeight="1">
      <c r="A148" s="136">
        <v>44082</v>
      </c>
      <c r="B148" s="111" t="s">
        <v>55</v>
      </c>
      <c r="C148" s="30" t="s">
        <v>201</v>
      </c>
      <c r="D148" s="31" t="s">
        <v>202</v>
      </c>
      <c r="E148" s="29">
        <v>60</v>
      </c>
      <c r="F148" s="29" t="s">
        <v>69</v>
      </c>
      <c r="G148" s="29" t="s">
        <v>28</v>
      </c>
      <c r="H148" s="29">
        <v>230</v>
      </c>
      <c r="I148" s="29"/>
      <c r="J148" s="29"/>
      <c r="K148" s="140"/>
      <c r="L148" s="100"/>
      <c r="M148" s="100"/>
      <c r="N148" s="100"/>
      <c r="O148" s="100"/>
      <c r="P148" s="122" t="s">
        <v>70</v>
      </c>
      <c r="Q148" s="100" t="s">
        <v>29</v>
      </c>
      <c r="R148" s="100"/>
      <c r="S148" s="100"/>
      <c r="T148" s="29" t="s">
        <v>986</v>
      </c>
      <c r="U148" s="29"/>
      <c r="W148" s="39">
        <f t="shared" si="2"/>
        <v>121</v>
      </c>
    </row>
    <row r="149" spans="1:23" ht="39.950000000000003" customHeight="1">
      <c r="A149" s="136">
        <v>44082</v>
      </c>
      <c r="B149" s="111" t="s">
        <v>56</v>
      </c>
      <c r="C149" s="30" t="s">
        <v>87</v>
      </c>
      <c r="D149" s="31" t="s">
        <v>88</v>
      </c>
      <c r="E149" s="29">
        <v>80</v>
      </c>
      <c r="F149" s="29" t="s">
        <v>89</v>
      </c>
      <c r="G149" s="29" t="s">
        <v>18</v>
      </c>
      <c r="H149" s="29">
        <v>220</v>
      </c>
      <c r="I149" s="29"/>
      <c r="J149" s="29"/>
      <c r="K149" s="29" t="s">
        <v>47</v>
      </c>
      <c r="L149" s="29"/>
      <c r="M149" s="29"/>
      <c r="N149" s="29"/>
      <c r="O149" s="29"/>
      <c r="P149" s="100" t="s">
        <v>29</v>
      </c>
      <c r="Q149" s="29"/>
      <c r="R149" s="100" t="s">
        <v>29</v>
      </c>
      <c r="S149" s="29"/>
      <c r="T149" s="29" t="s">
        <v>644</v>
      </c>
      <c r="U149" s="29"/>
      <c r="W149" s="39">
        <f t="shared" si="2"/>
        <v>122</v>
      </c>
    </row>
    <row r="150" spans="1:23" ht="39.950000000000003" customHeight="1">
      <c r="A150" s="136">
        <v>44082</v>
      </c>
      <c r="B150" s="111" t="s">
        <v>57</v>
      </c>
      <c r="C150" s="30" t="s">
        <v>116</v>
      </c>
      <c r="D150" s="31" t="s">
        <v>117</v>
      </c>
      <c r="E150" s="29">
        <v>121</v>
      </c>
      <c r="F150" s="29" t="s">
        <v>68</v>
      </c>
      <c r="G150" s="29" t="s">
        <v>18</v>
      </c>
      <c r="H150" s="29">
        <v>220</v>
      </c>
      <c r="I150" s="29"/>
      <c r="J150" s="29"/>
      <c r="K150" s="29"/>
      <c r="L150" s="29"/>
      <c r="M150" s="29"/>
      <c r="N150" s="29"/>
      <c r="O150" s="29"/>
      <c r="P150" s="100" t="s">
        <v>29</v>
      </c>
      <c r="Q150" s="29"/>
      <c r="R150" s="100" t="s">
        <v>29</v>
      </c>
      <c r="S150" s="29"/>
      <c r="T150" s="29" t="s">
        <v>645</v>
      </c>
      <c r="U150" s="29"/>
      <c r="W150" s="39">
        <f t="shared" si="2"/>
        <v>123</v>
      </c>
    </row>
    <row r="151" spans="1:23" ht="39.950000000000003" customHeight="1">
      <c r="A151" s="136">
        <v>44082</v>
      </c>
      <c r="B151" s="111" t="s">
        <v>58</v>
      </c>
      <c r="C151" s="30" t="s">
        <v>121</v>
      </c>
      <c r="D151" s="31" t="s">
        <v>122</v>
      </c>
      <c r="E151" s="29">
        <v>15</v>
      </c>
      <c r="F151" s="29" t="s">
        <v>125</v>
      </c>
      <c r="G151" s="29" t="s">
        <v>18</v>
      </c>
      <c r="H151" s="29">
        <v>220</v>
      </c>
      <c r="I151" s="29"/>
      <c r="J151" s="29"/>
      <c r="K151" s="29" t="s">
        <v>47</v>
      </c>
      <c r="L151" s="29"/>
      <c r="M151" s="29"/>
      <c r="N151" s="29"/>
      <c r="O151" s="29"/>
      <c r="P151" s="100" t="s">
        <v>29</v>
      </c>
      <c r="Q151" s="29"/>
      <c r="R151" s="100" t="s">
        <v>29</v>
      </c>
      <c r="S151" s="29"/>
      <c r="T151" s="29" t="s">
        <v>646</v>
      </c>
      <c r="U151" s="29"/>
      <c r="W151" s="39">
        <f t="shared" si="2"/>
        <v>124</v>
      </c>
    </row>
    <row r="152" spans="1:23" ht="39.950000000000003" customHeight="1">
      <c r="A152" s="136">
        <v>44082</v>
      </c>
      <c r="B152" s="111" t="s">
        <v>59</v>
      </c>
      <c r="C152" s="30" t="s">
        <v>71</v>
      </c>
      <c r="D152" s="31" t="s">
        <v>75</v>
      </c>
      <c r="E152" s="29">
        <v>36</v>
      </c>
      <c r="F152" s="29" t="s">
        <v>69</v>
      </c>
      <c r="G152" s="29" t="s">
        <v>28</v>
      </c>
      <c r="H152" s="29">
        <v>230</v>
      </c>
      <c r="I152" s="29"/>
      <c r="J152" s="29"/>
      <c r="K152" s="29"/>
      <c r="L152" s="29"/>
      <c r="M152" s="29"/>
      <c r="N152" s="29"/>
      <c r="O152" s="29"/>
      <c r="P152" s="122" t="s">
        <v>70</v>
      </c>
      <c r="Q152" s="29" t="s">
        <v>29</v>
      </c>
      <c r="R152" s="29"/>
      <c r="S152" s="29"/>
      <c r="T152" s="29" t="s">
        <v>987</v>
      </c>
      <c r="U152" s="29"/>
      <c r="W152" s="39">
        <f t="shared" si="2"/>
        <v>125</v>
      </c>
    </row>
    <row r="153" spans="1:23" ht="39.950000000000003" customHeight="1">
      <c r="A153" s="135">
        <v>44083</v>
      </c>
      <c r="B153" s="111" t="s">
        <v>54</v>
      </c>
      <c r="C153" s="30" t="s">
        <v>71</v>
      </c>
      <c r="D153" s="31" t="s">
        <v>75</v>
      </c>
      <c r="E153" s="29">
        <v>24</v>
      </c>
      <c r="F153" s="29" t="s">
        <v>69</v>
      </c>
      <c r="G153" s="29" t="s">
        <v>28</v>
      </c>
      <c r="H153" s="29">
        <v>230</v>
      </c>
      <c r="I153" s="29"/>
      <c r="J153" s="29"/>
      <c r="K153" s="29"/>
      <c r="L153" s="29"/>
      <c r="M153" s="29"/>
      <c r="N153" s="29"/>
      <c r="O153" s="29"/>
      <c r="P153" s="122" t="s">
        <v>70</v>
      </c>
      <c r="Q153" s="29" t="s">
        <v>29</v>
      </c>
      <c r="R153" s="29"/>
      <c r="S153" s="29"/>
      <c r="T153" s="29" t="s">
        <v>988</v>
      </c>
      <c r="U153" s="29"/>
      <c r="W153" s="39">
        <f t="shared" si="2"/>
        <v>125</v>
      </c>
    </row>
    <row r="154" spans="1:23" ht="39.950000000000003" customHeight="1">
      <c r="A154" s="136">
        <v>44083</v>
      </c>
      <c r="B154" s="111" t="s">
        <v>55</v>
      </c>
      <c r="C154" s="30" t="s">
        <v>201</v>
      </c>
      <c r="D154" s="31" t="s">
        <v>202</v>
      </c>
      <c r="E154" s="29">
        <v>60</v>
      </c>
      <c r="F154" s="29" t="s">
        <v>69</v>
      </c>
      <c r="G154" s="29" t="s">
        <v>28</v>
      </c>
      <c r="H154" s="29">
        <v>230</v>
      </c>
      <c r="I154" s="29"/>
      <c r="J154" s="29"/>
      <c r="K154" s="29"/>
      <c r="L154" s="29"/>
      <c r="M154" s="29"/>
      <c r="N154" s="29"/>
      <c r="O154" s="29"/>
      <c r="P154" s="122" t="s">
        <v>70</v>
      </c>
      <c r="Q154" s="29" t="s">
        <v>29</v>
      </c>
      <c r="R154" s="29"/>
      <c r="S154" s="29"/>
      <c r="T154" s="29" t="s">
        <v>989</v>
      </c>
      <c r="U154" s="29"/>
      <c r="W154" s="39">
        <f t="shared" si="2"/>
        <v>126</v>
      </c>
    </row>
    <row r="155" spans="1:23" ht="39.950000000000003" customHeight="1">
      <c r="A155" s="136">
        <v>44083</v>
      </c>
      <c r="B155" s="111" t="s">
        <v>56</v>
      </c>
      <c r="C155" s="30" t="s">
        <v>87</v>
      </c>
      <c r="D155" s="31" t="s">
        <v>88</v>
      </c>
      <c r="E155" s="29">
        <v>80</v>
      </c>
      <c r="F155" s="29" t="s">
        <v>89</v>
      </c>
      <c r="G155" s="29" t="s">
        <v>18</v>
      </c>
      <c r="H155" s="29">
        <v>220</v>
      </c>
      <c r="I155" s="29"/>
      <c r="J155" s="29"/>
      <c r="K155" s="29" t="s">
        <v>47</v>
      </c>
      <c r="L155" s="29"/>
      <c r="M155" s="29"/>
      <c r="N155" s="29"/>
      <c r="O155" s="29"/>
      <c r="P155" s="100" t="s">
        <v>29</v>
      </c>
      <c r="Q155" s="29"/>
      <c r="R155" s="100" t="s">
        <v>29</v>
      </c>
      <c r="S155" s="29"/>
      <c r="T155" s="29" t="s">
        <v>647</v>
      </c>
      <c r="U155" s="29"/>
      <c r="W155" s="39">
        <f t="shared" si="2"/>
        <v>127</v>
      </c>
    </row>
    <row r="156" spans="1:23" ht="39.950000000000003" customHeight="1">
      <c r="A156" s="136">
        <v>44083</v>
      </c>
      <c r="B156" s="111" t="s">
        <v>57</v>
      </c>
      <c r="C156" s="30" t="s">
        <v>116</v>
      </c>
      <c r="D156" s="31" t="s">
        <v>117</v>
      </c>
      <c r="E156" s="29">
        <v>113</v>
      </c>
      <c r="F156" s="29" t="s">
        <v>68</v>
      </c>
      <c r="G156" s="29" t="s">
        <v>18</v>
      </c>
      <c r="H156" s="29">
        <v>220</v>
      </c>
      <c r="I156" s="29"/>
      <c r="J156" s="29"/>
      <c r="K156" s="29"/>
      <c r="L156" s="29"/>
      <c r="M156" s="29"/>
      <c r="N156" s="29"/>
      <c r="O156" s="29"/>
      <c r="P156" s="100" t="s">
        <v>29</v>
      </c>
      <c r="Q156" s="29"/>
      <c r="R156" s="100" t="s">
        <v>29</v>
      </c>
      <c r="S156" s="29"/>
      <c r="T156" s="29" t="s">
        <v>648</v>
      </c>
      <c r="U156" s="29"/>
      <c r="W156" s="39">
        <f t="shared" si="2"/>
        <v>128</v>
      </c>
    </row>
    <row r="157" spans="1:23" ht="39.950000000000003" customHeight="1">
      <c r="A157" s="136">
        <v>44083</v>
      </c>
      <c r="B157" s="111" t="s">
        <v>58</v>
      </c>
      <c r="C157" s="30" t="s">
        <v>197</v>
      </c>
      <c r="D157" s="31" t="s">
        <v>198</v>
      </c>
      <c r="E157" s="29">
        <v>8</v>
      </c>
      <c r="F157" s="29" t="s">
        <v>68</v>
      </c>
      <c r="G157" s="29" t="s">
        <v>30</v>
      </c>
      <c r="H157" s="29">
        <v>230</v>
      </c>
      <c r="I157" s="29"/>
      <c r="J157" s="29"/>
      <c r="K157" s="29"/>
      <c r="L157" s="29"/>
      <c r="M157" s="29"/>
      <c r="N157" s="29"/>
      <c r="O157" s="29"/>
      <c r="P157" s="100" t="s">
        <v>29</v>
      </c>
      <c r="Q157" s="29"/>
      <c r="R157" s="100" t="s">
        <v>29</v>
      </c>
      <c r="S157" s="29"/>
      <c r="T157" s="29" t="s">
        <v>649</v>
      </c>
      <c r="U157" s="29"/>
      <c r="W157" s="39">
        <f t="shared" si="2"/>
        <v>129</v>
      </c>
    </row>
    <row r="158" spans="1:23" ht="39.950000000000003" customHeight="1">
      <c r="A158" s="136">
        <v>44083</v>
      </c>
      <c r="B158" s="111" t="s">
        <v>59</v>
      </c>
      <c r="C158" s="30" t="s">
        <v>121</v>
      </c>
      <c r="D158" s="31" t="s">
        <v>122</v>
      </c>
      <c r="E158" s="29">
        <v>15</v>
      </c>
      <c r="F158" s="29" t="s">
        <v>125</v>
      </c>
      <c r="G158" s="29" t="s">
        <v>18</v>
      </c>
      <c r="H158" s="29">
        <v>220</v>
      </c>
      <c r="I158" s="29"/>
      <c r="J158" s="29"/>
      <c r="K158" s="29" t="s">
        <v>47</v>
      </c>
      <c r="L158" s="29"/>
      <c r="M158" s="29"/>
      <c r="N158" s="29"/>
      <c r="O158" s="29"/>
      <c r="P158" s="100" t="s">
        <v>29</v>
      </c>
      <c r="Q158" s="29"/>
      <c r="R158" s="100" t="s">
        <v>29</v>
      </c>
      <c r="S158" s="29"/>
      <c r="T158" s="29" t="s">
        <v>650</v>
      </c>
      <c r="U158" s="29"/>
      <c r="W158" s="39">
        <f t="shared" si="2"/>
        <v>130</v>
      </c>
    </row>
    <row r="159" spans="1:23" ht="39.950000000000003" customHeight="1">
      <c r="A159" s="136">
        <v>44083</v>
      </c>
      <c r="B159" s="111" t="s">
        <v>60</v>
      </c>
      <c r="C159" s="30" t="s">
        <v>71</v>
      </c>
      <c r="D159" s="31" t="s">
        <v>75</v>
      </c>
      <c r="E159" s="29">
        <v>36</v>
      </c>
      <c r="F159" s="29" t="s">
        <v>69</v>
      </c>
      <c r="G159" s="29" t="s">
        <v>28</v>
      </c>
      <c r="H159" s="29">
        <v>230</v>
      </c>
      <c r="I159" s="29"/>
      <c r="J159" s="29"/>
      <c r="K159" s="29"/>
      <c r="L159" s="29"/>
      <c r="M159" s="29"/>
      <c r="N159" s="29"/>
      <c r="O159" s="29"/>
      <c r="P159" s="122" t="s">
        <v>70</v>
      </c>
      <c r="Q159" s="29" t="s">
        <v>29</v>
      </c>
      <c r="R159" s="29"/>
      <c r="S159" s="29"/>
      <c r="T159" s="29" t="s">
        <v>990</v>
      </c>
      <c r="U159" s="29"/>
      <c r="W159" s="39">
        <f t="shared" si="2"/>
        <v>131</v>
      </c>
    </row>
    <row r="160" spans="1:23" ht="39.950000000000003" customHeight="1">
      <c r="A160" s="135">
        <v>44084</v>
      </c>
      <c r="B160" s="111" t="s">
        <v>54</v>
      </c>
      <c r="C160" s="30" t="s">
        <v>71</v>
      </c>
      <c r="D160" s="31" t="s">
        <v>75</v>
      </c>
      <c r="E160" s="29">
        <v>24</v>
      </c>
      <c r="F160" s="29" t="s">
        <v>69</v>
      </c>
      <c r="G160" s="29" t="s">
        <v>28</v>
      </c>
      <c r="H160" s="29">
        <v>230</v>
      </c>
      <c r="I160" s="29"/>
      <c r="J160" s="29"/>
      <c r="K160" s="29"/>
      <c r="L160" s="29"/>
      <c r="M160" s="29"/>
      <c r="N160" s="29"/>
      <c r="O160" s="29"/>
      <c r="P160" s="122" t="s">
        <v>70</v>
      </c>
      <c r="Q160" s="29" t="s">
        <v>29</v>
      </c>
      <c r="R160" s="29"/>
      <c r="S160" s="29"/>
      <c r="T160" s="29" t="s">
        <v>991</v>
      </c>
      <c r="U160" s="29"/>
      <c r="W160" s="39">
        <f t="shared" si="2"/>
        <v>131</v>
      </c>
    </row>
    <row r="161" spans="1:23" ht="39.950000000000003" customHeight="1">
      <c r="A161" s="136">
        <v>44084</v>
      </c>
      <c r="B161" s="111" t="s">
        <v>55</v>
      </c>
      <c r="C161" s="30" t="s">
        <v>201</v>
      </c>
      <c r="D161" s="31" t="s">
        <v>202</v>
      </c>
      <c r="E161" s="29">
        <v>60</v>
      </c>
      <c r="F161" s="29" t="s">
        <v>69</v>
      </c>
      <c r="G161" s="29" t="s">
        <v>28</v>
      </c>
      <c r="H161" s="29">
        <v>230</v>
      </c>
      <c r="I161" s="29"/>
      <c r="J161" s="29"/>
      <c r="K161" s="29"/>
      <c r="L161" s="29"/>
      <c r="M161" s="29"/>
      <c r="N161" s="29"/>
      <c r="O161" s="29"/>
      <c r="P161" s="122" t="s">
        <v>70</v>
      </c>
      <c r="Q161" s="29" t="s">
        <v>29</v>
      </c>
      <c r="R161" s="29"/>
      <c r="S161" s="29"/>
      <c r="T161" s="29" t="s">
        <v>992</v>
      </c>
      <c r="U161" s="29"/>
      <c r="W161" s="39">
        <f t="shared" si="2"/>
        <v>132</v>
      </c>
    </row>
    <row r="162" spans="1:23" ht="39.950000000000003" customHeight="1">
      <c r="A162" s="136">
        <v>44084</v>
      </c>
      <c r="B162" s="111" t="s">
        <v>56</v>
      </c>
      <c r="C162" s="30" t="s">
        <v>87</v>
      </c>
      <c r="D162" s="31" t="s">
        <v>88</v>
      </c>
      <c r="E162" s="29">
        <v>80</v>
      </c>
      <c r="F162" s="29" t="s">
        <v>89</v>
      </c>
      <c r="G162" s="29" t="s">
        <v>18</v>
      </c>
      <c r="H162" s="29">
        <v>220</v>
      </c>
      <c r="I162" s="29"/>
      <c r="J162" s="29"/>
      <c r="K162" s="29" t="s">
        <v>47</v>
      </c>
      <c r="L162" s="29"/>
      <c r="M162" s="29"/>
      <c r="N162" s="29"/>
      <c r="O162" s="29"/>
      <c r="P162" s="100" t="s">
        <v>29</v>
      </c>
      <c r="Q162" s="29"/>
      <c r="R162" s="100" t="s">
        <v>29</v>
      </c>
      <c r="S162" s="29"/>
      <c r="T162" s="29" t="s">
        <v>651</v>
      </c>
      <c r="U162" s="29"/>
      <c r="W162" s="39">
        <f t="shared" si="2"/>
        <v>133</v>
      </c>
    </row>
    <row r="163" spans="1:23" ht="39.950000000000003" customHeight="1">
      <c r="A163" s="136">
        <v>44084</v>
      </c>
      <c r="B163" s="111" t="s">
        <v>57</v>
      </c>
      <c r="C163" s="30" t="s">
        <v>116</v>
      </c>
      <c r="D163" s="31" t="s">
        <v>117</v>
      </c>
      <c r="E163" s="29">
        <v>105</v>
      </c>
      <c r="F163" s="29" t="s">
        <v>68</v>
      </c>
      <c r="G163" s="29" t="s">
        <v>18</v>
      </c>
      <c r="H163" s="29">
        <v>220</v>
      </c>
      <c r="I163" s="29"/>
      <c r="J163" s="29"/>
      <c r="K163" s="29"/>
      <c r="L163" s="29"/>
      <c r="M163" s="29"/>
      <c r="N163" s="29"/>
      <c r="O163" s="29"/>
      <c r="P163" s="100" t="s">
        <v>29</v>
      </c>
      <c r="Q163" s="29"/>
      <c r="R163" s="100" t="s">
        <v>29</v>
      </c>
      <c r="S163" s="29"/>
      <c r="T163" s="29" t="s">
        <v>652</v>
      </c>
      <c r="U163" s="29"/>
      <c r="W163" s="39">
        <f t="shared" si="2"/>
        <v>134</v>
      </c>
    </row>
    <row r="164" spans="1:23" ht="39.950000000000003" customHeight="1">
      <c r="A164" s="136">
        <v>44084</v>
      </c>
      <c r="B164" s="111" t="s">
        <v>58</v>
      </c>
      <c r="C164" s="30" t="s">
        <v>121</v>
      </c>
      <c r="D164" s="31" t="s">
        <v>122</v>
      </c>
      <c r="E164" s="29">
        <v>12</v>
      </c>
      <c r="F164" s="29" t="s">
        <v>125</v>
      </c>
      <c r="G164" s="29" t="s">
        <v>18</v>
      </c>
      <c r="H164" s="29">
        <v>220</v>
      </c>
      <c r="I164" s="29"/>
      <c r="J164" s="29"/>
      <c r="K164" s="29" t="s">
        <v>47</v>
      </c>
      <c r="L164" s="29"/>
      <c r="M164" s="29"/>
      <c r="N164" s="29"/>
      <c r="O164" s="29"/>
      <c r="P164" s="100" t="s">
        <v>29</v>
      </c>
      <c r="Q164" s="29"/>
      <c r="R164" s="100" t="s">
        <v>29</v>
      </c>
      <c r="S164" s="29"/>
      <c r="T164" s="29" t="s">
        <v>653</v>
      </c>
      <c r="U164" s="29"/>
      <c r="W164" s="39">
        <f t="shared" si="2"/>
        <v>135</v>
      </c>
    </row>
    <row r="165" spans="1:23" ht="39.950000000000003" customHeight="1">
      <c r="A165" s="136">
        <v>44084</v>
      </c>
      <c r="B165" s="111" t="s">
        <v>59</v>
      </c>
      <c r="C165" s="30" t="s">
        <v>71</v>
      </c>
      <c r="D165" s="31" t="s">
        <v>75</v>
      </c>
      <c r="E165" s="29">
        <v>39</v>
      </c>
      <c r="F165" s="29" t="s">
        <v>69</v>
      </c>
      <c r="G165" s="29" t="s">
        <v>28</v>
      </c>
      <c r="H165" s="29">
        <v>230</v>
      </c>
      <c r="I165" s="29"/>
      <c r="J165" s="29"/>
      <c r="K165" s="29"/>
      <c r="L165" s="29"/>
      <c r="M165" s="29"/>
      <c r="N165" s="29"/>
      <c r="O165" s="29"/>
      <c r="P165" s="122" t="s">
        <v>70</v>
      </c>
      <c r="Q165" s="29" t="s">
        <v>29</v>
      </c>
      <c r="R165" s="29"/>
      <c r="S165" s="29"/>
      <c r="T165" s="29" t="s">
        <v>993</v>
      </c>
      <c r="U165" s="29"/>
      <c r="W165" s="39">
        <f t="shared" si="2"/>
        <v>136</v>
      </c>
    </row>
    <row r="166" spans="1:23" ht="39.950000000000003" customHeight="1">
      <c r="A166" s="135">
        <v>44085</v>
      </c>
      <c r="B166" s="111" t="s">
        <v>54</v>
      </c>
      <c r="C166" s="30" t="s">
        <v>71</v>
      </c>
      <c r="D166" s="31" t="s">
        <v>75</v>
      </c>
      <c r="E166" s="29">
        <v>21</v>
      </c>
      <c r="F166" s="29" t="s">
        <v>69</v>
      </c>
      <c r="G166" s="29" t="s">
        <v>28</v>
      </c>
      <c r="H166" s="29">
        <v>230</v>
      </c>
      <c r="I166" s="29"/>
      <c r="J166" s="29"/>
      <c r="K166" s="29"/>
      <c r="L166" s="29"/>
      <c r="M166" s="29"/>
      <c r="N166" s="29"/>
      <c r="O166" s="29"/>
      <c r="P166" s="122" t="s">
        <v>70</v>
      </c>
      <c r="Q166" s="29" t="s">
        <v>29</v>
      </c>
      <c r="R166" s="29"/>
      <c r="S166" s="29"/>
      <c r="T166" s="29" t="s">
        <v>994</v>
      </c>
      <c r="U166" s="29"/>
      <c r="W166" s="39">
        <f t="shared" si="2"/>
        <v>136</v>
      </c>
    </row>
    <row r="167" spans="1:23" ht="39.950000000000003" customHeight="1">
      <c r="A167" s="136">
        <v>44085</v>
      </c>
      <c r="B167" s="111" t="s">
        <v>55</v>
      </c>
      <c r="C167" s="30" t="s">
        <v>201</v>
      </c>
      <c r="D167" s="31" t="s">
        <v>202</v>
      </c>
      <c r="E167" s="29">
        <v>60</v>
      </c>
      <c r="F167" s="29" t="s">
        <v>69</v>
      </c>
      <c r="G167" s="29" t="s">
        <v>28</v>
      </c>
      <c r="H167" s="29">
        <v>230</v>
      </c>
      <c r="I167" s="29"/>
      <c r="J167" s="29"/>
      <c r="K167" s="29"/>
      <c r="L167" s="29"/>
      <c r="M167" s="29"/>
      <c r="N167" s="29"/>
      <c r="O167" s="29"/>
      <c r="P167" s="122" t="s">
        <v>70</v>
      </c>
      <c r="Q167" s="29" t="s">
        <v>29</v>
      </c>
      <c r="R167" s="29"/>
      <c r="S167" s="29"/>
      <c r="T167" s="29" t="s">
        <v>995</v>
      </c>
      <c r="U167" s="29"/>
      <c r="W167" s="39">
        <f t="shared" si="2"/>
        <v>137</v>
      </c>
    </row>
    <row r="168" spans="1:23" ht="39.950000000000003" customHeight="1">
      <c r="A168" s="136">
        <v>44085</v>
      </c>
      <c r="B168" s="111" t="s">
        <v>56</v>
      </c>
      <c r="C168" s="30" t="s">
        <v>87</v>
      </c>
      <c r="D168" s="31" t="s">
        <v>88</v>
      </c>
      <c r="E168" s="29">
        <v>80</v>
      </c>
      <c r="F168" s="29" t="s">
        <v>89</v>
      </c>
      <c r="G168" s="29" t="s">
        <v>18</v>
      </c>
      <c r="H168" s="29">
        <v>220</v>
      </c>
      <c r="I168" s="29"/>
      <c r="J168" s="29"/>
      <c r="K168" s="29" t="s">
        <v>47</v>
      </c>
      <c r="L168" s="29"/>
      <c r="M168" s="29"/>
      <c r="N168" s="29"/>
      <c r="O168" s="29"/>
      <c r="P168" s="100" t="s">
        <v>29</v>
      </c>
      <c r="Q168" s="29"/>
      <c r="R168" s="100" t="s">
        <v>29</v>
      </c>
      <c r="S168" s="29"/>
      <c r="T168" s="29" t="s">
        <v>654</v>
      </c>
      <c r="U168" s="29"/>
      <c r="W168" s="39">
        <f t="shared" si="2"/>
        <v>138</v>
      </c>
    </row>
    <row r="169" spans="1:23" ht="39.950000000000003" customHeight="1">
      <c r="A169" s="136">
        <v>44085</v>
      </c>
      <c r="B169" s="111" t="s">
        <v>57</v>
      </c>
      <c r="C169" s="30" t="s">
        <v>116</v>
      </c>
      <c r="D169" s="31" t="s">
        <v>117</v>
      </c>
      <c r="E169" s="29">
        <v>48</v>
      </c>
      <c r="F169" s="29" t="s">
        <v>68</v>
      </c>
      <c r="G169" s="29" t="s">
        <v>18</v>
      </c>
      <c r="H169" s="29">
        <v>220</v>
      </c>
      <c r="I169" s="29"/>
      <c r="J169" s="29"/>
      <c r="K169" s="29"/>
      <c r="L169" s="29"/>
      <c r="M169" s="29"/>
      <c r="N169" s="29"/>
      <c r="O169" s="29"/>
      <c r="P169" s="100" t="s">
        <v>29</v>
      </c>
      <c r="Q169" s="29"/>
      <c r="R169" s="100" t="s">
        <v>29</v>
      </c>
      <c r="S169" s="29"/>
      <c r="T169" s="29" t="s">
        <v>655</v>
      </c>
      <c r="U169" s="29"/>
      <c r="W169" s="39">
        <f t="shared" si="2"/>
        <v>139</v>
      </c>
    </row>
    <row r="170" spans="1:23" ht="39.950000000000003" customHeight="1">
      <c r="A170" s="136">
        <v>44085</v>
      </c>
      <c r="B170" s="111" t="s">
        <v>58</v>
      </c>
      <c r="C170" s="30" t="s">
        <v>197</v>
      </c>
      <c r="D170" s="31" t="s">
        <v>198</v>
      </c>
      <c r="E170" s="29">
        <v>12</v>
      </c>
      <c r="F170" s="29" t="s">
        <v>68</v>
      </c>
      <c r="G170" s="29" t="s">
        <v>30</v>
      </c>
      <c r="H170" s="29">
        <v>230</v>
      </c>
      <c r="I170" s="29"/>
      <c r="J170" s="29"/>
      <c r="K170" s="29"/>
      <c r="L170" s="29"/>
      <c r="M170" s="29"/>
      <c r="N170" s="29"/>
      <c r="O170" s="29"/>
      <c r="P170" s="100" t="s">
        <v>29</v>
      </c>
      <c r="Q170" s="29"/>
      <c r="R170" s="100" t="s">
        <v>29</v>
      </c>
      <c r="S170" s="29"/>
      <c r="T170" s="29" t="s">
        <v>656</v>
      </c>
      <c r="U170" s="29"/>
      <c r="W170" s="39">
        <f t="shared" si="2"/>
        <v>140</v>
      </c>
    </row>
    <row r="171" spans="1:23" ht="39.950000000000003" customHeight="1">
      <c r="A171" s="136">
        <v>44085</v>
      </c>
      <c r="B171" s="111" t="s">
        <v>59</v>
      </c>
      <c r="C171" s="30" t="s">
        <v>199</v>
      </c>
      <c r="D171" s="31" t="s">
        <v>200</v>
      </c>
      <c r="E171" s="29">
        <v>11</v>
      </c>
      <c r="F171" s="29" t="s">
        <v>68</v>
      </c>
      <c r="G171" s="29" t="s">
        <v>34</v>
      </c>
      <c r="H171" s="29">
        <v>120</v>
      </c>
      <c r="I171" s="29"/>
      <c r="J171" s="29"/>
      <c r="K171" s="29"/>
      <c r="L171" s="29"/>
      <c r="M171" s="100" t="s">
        <v>29</v>
      </c>
      <c r="N171" s="29"/>
      <c r="O171" s="29"/>
      <c r="P171" s="100" t="s">
        <v>29</v>
      </c>
      <c r="Q171" s="29"/>
      <c r="R171" s="29"/>
      <c r="S171" s="29"/>
      <c r="T171" s="29" t="s">
        <v>657</v>
      </c>
      <c r="U171" s="29"/>
      <c r="W171" s="39">
        <f t="shared" si="2"/>
        <v>141</v>
      </c>
    </row>
    <row r="172" spans="1:23" ht="39.950000000000003" customHeight="1">
      <c r="A172" s="136">
        <v>44085</v>
      </c>
      <c r="B172" s="111" t="s">
        <v>60</v>
      </c>
      <c r="C172" s="30" t="s">
        <v>205</v>
      </c>
      <c r="D172" s="31" t="s">
        <v>206</v>
      </c>
      <c r="E172" s="29">
        <v>28</v>
      </c>
      <c r="F172" s="29" t="s">
        <v>68</v>
      </c>
      <c r="G172" s="29" t="s">
        <v>28</v>
      </c>
      <c r="H172" s="29">
        <v>230</v>
      </c>
      <c r="I172" s="29"/>
      <c r="J172" s="29"/>
      <c r="K172" s="29"/>
      <c r="L172" s="29"/>
      <c r="M172" s="100" t="s">
        <v>29</v>
      </c>
      <c r="N172" s="29"/>
      <c r="O172" s="29"/>
      <c r="P172" s="100" t="s">
        <v>29</v>
      </c>
      <c r="Q172" s="29"/>
      <c r="R172" s="29"/>
      <c r="S172" s="29"/>
      <c r="T172" s="29" t="s">
        <v>658</v>
      </c>
      <c r="U172" s="29"/>
      <c r="W172" s="39">
        <f t="shared" si="2"/>
        <v>142</v>
      </c>
    </row>
    <row r="173" spans="1:23" ht="20.25" customHeight="1">
      <c r="A173" s="137"/>
      <c r="B173" s="113"/>
      <c r="C173" s="34"/>
      <c r="D173" s="32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W173" s="39">
        <f t="shared" si="2"/>
        <v>143</v>
      </c>
    </row>
    <row r="174" spans="1:23" ht="20.25" customHeight="1">
      <c r="A174" s="47"/>
      <c r="W174" s="39">
        <f t="shared" si="2"/>
        <v>143</v>
      </c>
    </row>
    <row r="175" spans="1:23" ht="20.25" customHeight="1">
      <c r="A175" s="104"/>
      <c r="W175" s="39">
        <f t="shared" si="2"/>
        <v>143</v>
      </c>
    </row>
    <row r="176" spans="1:23" ht="20.25" customHeight="1">
      <c r="A176" s="47"/>
      <c r="W176" s="39">
        <f t="shared" si="2"/>
        <v>143</v>
      </c>
    </row>
    <row r="177" spans="1:23" ht="20.25" customHeight="1">
      <c r="A177" s="104"/>
      <c r="W177" s="39">
        <f t="shared" si="2"/>
        <v>143</v>
      </c>
    </row>
    <row r="178" spans="1:23" ht="20.25" customHeight="1">
      <c r="A178" s="47"/>
      <c r="W178" s="39">
        <f t="shared" si="2"/>
        <v>143</v>
      </c>
    </row>
    <row r="179" spans="1:23" ht="20.25" customHeight="1">
      <c r="A179" s="47"/>
      <c r="W179" s="39">
        <f t="shared" si="2"/>
        <v>143</v>
      </c>
    </row>
    <row r="180" spans="1:23" ht="20.25" customHeight="1">
      <c r="A180" s="47"/>
      <c r="W180" s="39">
        <f t="shared" si="2"/>
        <v>143</v>
      </c>
    </row>
    <row r="181" spans="1:23" ht="20.25" customHeight="1">
      <c r="A181" s="104"/>
      <c r="W181" s="39">
        <f t="shared" si="2"/>
        <v>143</v>
      </c>
    </row>
    <row r="182" spans="1:23" ht="20.25" customHeight="1">
      <c r="A182" s="47"/>
      <c r="W182" s="39">
        <f t="shared" si="2"/>
        <v>143</v>
      </c>
    </row>
    <row r="183" spans="1:23" ht="20.25" customHeight="1">
      <c r="A183" s="47"/>
      <c r="W183" s="39">
        <f t="shared" si="2"/>
        <v>143</v>
      </c>
    </row>
    <row r="184" spans="1:23" ht="20.25" customHeight="1">
      <c r="A184" s="47"/>
      <c r="W184" s="39">
        <f t="shared" si="2"/>
        <v>143</v>
      </c>
    </row>
    <row r="185" spans="1:23" ht="20.25" customHeight="1">
      <c r="A185" s="47"/>
      <c r="W185" s="39">
        <f t="shared" si="2"/>
        <v>143</v>
      </c>
    </row>
    <row r="186" spans="1:23" ht="20.25" customHeight="1">
      <c r="A186" s="47"/>
      <c r="W186" s="39">
        <f t="shared" si="2"/>
        <v>143</v>
      </c>
    </row>
    <row r="187" spans="1:23" ht="20.25" customHeight="1">
      <c r="A187" s="104"/>
      <c r="W187" s="39">
        <f t="shared" si="2"/>
        <v>143</v>
      </c>
    </row>
    <row r="188" spans="1:23" ht="20.25" customHeight="1">
      <c r="A188" s="47"/>
      <c r="W188" s="39">
        <f t="shared" si="2"/>
        <v>143</v>
      </c>
    </row>
    <row r="189" spans="1:23" ht="20.25" customHeight="1">
      <c r="A189" s="104"/>
      <c r="W189" s="39">
        <f t="shared" si="2"/>
        <v>143</v>
      </c>
    </row>
    <row r="190" spans="1:23" ht="20.25" customHeight="1">
      <c r="A190" s="47"/>
      <c r="W190" s="39">
        <f t="shared" si="2"/>
        <v>143</v>
      </c>
    </row>
    <row r="191" spans="1:23" ht="20.25" customHeight="1">
      <c r="A191" s="47"/>
      <c r="W191" s="39">
        <f t="shared" si="2"/>
        <v>143</v>
      </c>
    </row>
    <row r="192" spans="1:23" ht="20.25" customHeight="1">
      <c r="A192" s="47"/>
      <c r="W192" s="39">
        <f t="shared" si="2"/>
        <v>143</v>
      </c>
    </row>
    <row r="193" spans="1:23" ht="20.25" customHeight="1">
      <c r="A193" s="104"/>
      <c r="W193" s="39">
        <f t="shared" si="2"/>
        <v>143</v>
      </c>
    </row>
    <row r="194" spans="1:23" ht="20.25" customHeight="1">
      <c r="A194" s="47"/>
      <c r="W194" s="39">
        <f t="shared" si="2"/>
        <v>143</v>
      </c>
    </row>
    <row r="195" spans="1:23" ht="20.25" customHeight="1">
      <c r="A195" s="47"/>
      <c r="W195" s="39">
        <f t="shared" si="2"/>
        <v>143</v>
      </c>
    </row>
    <row r="196" spans="1:23" ht="20.25" customHeight="1">
      <c r="A196" s="47"/>
      <c r="W196" s="39">
        <f t="shared" si="2"/>
        <v>143</v>
      </c>
    </row>
    <row r="197" spans="1:23" ht="20.25" customHeight="1">
      <c r="A197" s="104"/>
      <c r="W197" s="39">
        <f t="shared" si="2"/>
        <v>143</v>
      </c>
    </row>
    <row r="198" spans="1:23" ht="20.25" customHeight="1">
      <c r="A198" s="47"/>
      <c r="W198" s="39">
        <f t="shared" si="2"/>
        <v>143</v>
      </c>
    </row>
    <row r="199" spans="1:23" ht="20.25" customHeight="1">
      <c r="A199" s="47"/>
      <c r="W199" s="39">
        <f t="shared" si="2"/>
        <v>143</v>
      </c>
    </row>
    <row r="200" spans="1:23" ht="20.25" customHeight="1">
      <c r="A200" s="47"/>
      <c r="W200" s="39">
        <f t="shared" ref="W200:W231" si="3">IF(C200=C199,W199,W199+1)</f>
        <v>143</v>
      </c>
    </row>
    <row r="201" spans="1:23" ht="20.25" customHeight="1">
      <c r="A201" s="104"/>
      <c r="W201" s="39">
        <f t="shared" si="3"/>
        <v>143</v>
      </c>
    </row>
    <row r="202" spans="1:23" ht="20.25" customHeight="1">
      <c r="A202" s="47"/>
      <c r="W202" s="39">
        <f t="shared" si="3"/>
        <v>143</v>
      </c>
    </row>
    <row r="203" spans="1:23" ht="20.25" customHeight="1">
      <c r="A203" s="47"/>
      <c r="W203" s="39">
        <f t="shared" si="3"/>
        <v>143</v>
      </c>
    </row>
    <row r="204" spans="1:23" ht="20.25" customHeight="1">
      <c r="A204" s="47"/>
      <c r="W204" s="39">
        <f t="shared" si="3"/>
        <v>143</v>
      </c>
    </row>
    <row r="205" spans="1:23" ht="20.25" customHeight="1">
      <c r="A205" s="104"/>
      <c r="W205" s="39">
        <f t="shared" si="3"/>
        <v>143</v>
      </c>
    </row>
    <row r="206" spans="1:23" ht="20.25" customHeight="1">
      <c r="A206" s="47"/>
      <c r="W206" s="39">
        <f t="shared" si="3"/>
        <v>143</v>
      </c>
    </row>
    <row r="207" spans="1:23" ht="20.25" customHeight="1">
      <c r="A207" s="47"/>
      <c r="W207" s="39">
        <f t="shared" si="3"/>
        <v>143</v>
      </c>
    </row>
    <row r="208" spans="1:23" ht="20.25" customHeight="1">
      <c r="A208" s="47"/>
      <c r="W208" s="39">
        <f t="shared" si="3"/>
        <v>143</v>
      </c>
    </row>
    <row r="209" spans="1:23" ht="20.25" customHeight="1">
      <c r="A209" s="47"/>
      <c r="W209" s="39">
        <f t="shared" si="3"/>
        <v>143</v>
      </c>
    </row>
    <row r="210" spans="1:23" ht="20.25" customHeight="1">
      <c r="A210" s="104"/>
      <c r="W210" s="39">
        <f t="shared" si="3"/>
        <v>143</v>
      </c>
    </row>
    <row r="211" spans="1:23" ht="20.25" customHeight="1">
      <c r="A211" s="47"/>
      <c r="W211" s="39">
        <f t="shared" si="3"/>
        <v>143</v>
      </c>
    </row>
    <row r="212" spans="1:23" ht="20.25" customHeight="1">
      <c r="A212" s="47"/>
      <c r="W212" s="39">
        <f t="shared" si="3"/>
        <v>143</v>
      </c>
    </row>
    <row r="213" spans="1:23" ht="20.25" customHeight="1">
      <c r="A213" s="104"/>
      <c r="W213" s="39">
        <f t="shared" si="3"/>
        <v>143</v>
      </c>
    </row>
    <row r="214" spans="1:23" ht="20.25" customHeight="1">
      <c r="A214" s="47"/>
      <c r="W214" s="39">
        <f t="shared" si="3"/>
        <v>143</v>
      </c>
    </row>
    <row r="215" spans="1:23" ht="20.25" customHeight="1">
      <c r="A215" s="47"/>
      <c r="W215" s="39">
        <f t="shared" si="3"/>
        <v>143</v>
      </c>
    </row>
    <row r="216" spans="1:23" ht="20.25" customHeight="1">
      <c r="A216" s="47"/>
      <c r="W216" s="39">
        <f t="shared" si="3"/>
        <v>143</v>
      </c>
    </row>
    <row r="217" spans="1:23" ht="20.25" customHeight="1">
      <c r="A217" s="47"/>
      <c r="W217" s="39">
        <f t="shared" si="3"/>
        <v>143</v>
      </c>
    </row>
    <row r="218" spans="1:23" ht="20.25" customHeight="1">
      <c r="A218" s="47"/>
      <c r="W218" s="39">
        <f t="shared" si="3"/>
        <v>143</v>
      </c>
    </row>
    <row r="219" spans="1:23" ht="20.25" customHeight="1">
      <c r="A219" s="47"/>
      <c r="W219" s="39">
        <f t="shared" si="3"/>
        <v>143</v>
      </c>
    </row>
    <row r="220" spans="1:23" ht="20.25" customHeight="1">
      <c r="A220" s="104"/>
      <c r="W220" s="39">
        <f t="shared" si="3"/>
        <v>143</v>
      </c>
    </row>
    <row r="221" spans="1:23" ht="20.25" customHeight="1">
      <c r="A221" s="47"/>
      <c r="W221" s="39">
        <f t="shared" si="3"/>
        <v>143</v>
      </c>
    </row>
    <row r="222" spans="1:23" ht="20.25" customHeight="1">
      <c r="A222" s="47"/>
      <c r="W222" s="39">
        <f t="shared" si="3"/>
        <v>143</v>
      </c>
    </row>
    <row r="223" spans="1:23" ht="20.25" customHeight="1">
      <c r="A223" s="47"/>
      <c r="W223" s="39">
        <f t="shared" si="3"/>
        <v>143</v>
      </c>
    </row>
    <row r="224" spans="1:23" ht="20.25" customHeight="1">
      <c r="A224" s="47"/>
      <c r="W224" s="39">
        <f t="shared" si="3"/>
        <v>143</v>
      </c>
    </row>
    <row r="225" spans="1:23" ht="20.25" customHeight="1">
      <c r="A225" s="47"/>
      <c r="W225" s="39">
        <f t="shared" si="3"/>
        <v>143</v>
      </c>
    </row>
    <row r="226" spans="1:23" ht="20.25" customHeight="1">
      <c r="A226" s="47"/>
      <c r="W226" s="39">
        <f t="shared" si="3"/>
        <v>143</v>
      </c>
    </row>
    <row r="227" spans="1:23" ht="20.25" customHeight="1">
      <c r="A227" s="47"/>
      <c r="W227" s="39">
        <f t="shared" si="3"/>
        <v>143</v>
      </c>
    </row>
    <row r="228" spans="1:23" ht="20.25" customHeight="1">
      <c r="A228" s="47"/>
      <c r="W228" s="39">
        <f t="shared" si="3"/>
        <v>143</v>
      </c>
    </row>
    <row r="229" spans="1:23" ht="20.25" customHeight="1">
      <c r="A229" s="47"/>
      <c r="W229" s="39">
        <f t="shared" si="3"/>
        <v>143</v>
      </c>
    </row>
    <row r="230" spans="1:23" ht="20.25" customHeight="1">
      <c r="A230" s="47"/>
      <c r="W230" s="39">
        <f t="shared" si="3"/>
        <v>143</v>
      </c>
    </row>
    <row r="231" spans="1:23" ht="20.25" customHeight="1">
      <c r="A231" s="104"/>
      <c r="W231" s="39">
        <f t="shared" si="3"/>
        <v>143</v>
      </c>
    </row>
    <row r="232" spans="1:23" ht="20.25" customHeight="1">
      <c r="A232" s="47"/>
    </row>
    <row r="233" spans="1:23" ht="20.25" customHeight="1">
      <c r="A233" s="47"/>
    </row>
    <row r="234" spans="1:23" ht="20.25" customHeight="1">
      <c r="A234" s="47"/>
    </row>
    <row r="235" spans="1:23" ht="20.25" customHeight="1">
      <c r="A235" s="104"/>
    </row>
    <row r="236" spans="1:23" ht="20.25" customHeight="1">
      <c r="A236" s="47"/>
    </row>
    <row r="237" spans="1:23" ht="20.25" customHeight="1">
      <c r="A237" s="47"/>
    </row>
    <row r="238" spans="1:23" ht="20.25" customHeight="1">
      <c r="A238" s="47"/>
    </row>
    <row r="239" spans="1:23" ht="20.25" customHeight="1">
      <c r="A239" s="47"/>
    </row>
    <row r="240" spans="1:23" ht="20.25" customHeight="1">
      <c r="A240" s="104"/>
    </row>
    <row r="241" spans="1:1" ht="20.25" customHeight="1">
      <c r="A241" s="47"/>
    </row>
    <row r="242" spans="1:1" ht="20.25" customHeight="1">
      <c r="A242" s="47"/>
    </row>
    <row r="243" spans="1:1" ht="20.25" customHeight="1">
      <c r="A243" s="47"/>
    </row>
    <row r="244" spans="1:1" ht="20.25" customHeight="1">
      <c r="A244" s="104"/>
    </row>
    <row r="245" spans="1:1" ht="20.25" customHeight="1">
      <c r="A245" s="47"/>
    </row>
    <row r="246" spans="1:1" ht="20.25" customHeight="1">
      <c r="A246" s="47"/>
    </row>
    <row r="247" spans="1:1" ht="20.25" customHeight="1">
      <c r="A247" s="47"/>
    </row>
    <row r="248" spans="1:1" ht="20.25" customHeight="1">
      <c r="A248" s="47"/>
    </row>
    <row r="249" spans="1:1" ht="20.25" customHeight="1">
      <c r="A249" s="47"/>
    </row>
    <row r="250" spans="1:1" ht="20.25" customHeight="1">
      <c r="A250" s="104"/>
    </row>
    <row r="251" spans="1:1" ht="20.25" customHeight="1">
      <c r="A251" s="47"/>
    </row>
    <row r="252" spans="1:1" ht="20.25" customHeight="1">
      <c r="A252" s="47"/>
    </row>
    <row r="253" spans="1:1" ht="20.25" customHeight="1">
      <c r="A253" s="47"/>
    </row>
    <row r="254" spans="1:1" ht="20.25" customHeight="1">
      <c r="A254" s="47"/>
    </row>
    <row r="255" spans="1:1" ht="20.25" customHeight="1">
      <c r="A255" s="47"/>
    </row>
    <row r="256" spans="1:1" ht="20.25" customHeight="1">
      <c r="A256" s="47"/>
    </row>
    <row r="257" spans="1:1" ht="20.25" customHeight="1">
      <c r="A257" s="104"/>
    </row>
    <row r="258" spans="1:1" ht="20.25" customHeight="1">
      <c r="A258" s="47"/>
    </row>
    <row r="259" spans="1:1" ht="20.25" customHeight="1">
      <c r="A259" s="47"/>
    </row>
    <row r="260" spans="1:1" ht="20.25" customHeight="1">
      <c r="A260" s="47"/>
    </row>
    <row r="261" spans="1:1" ht="20.25" customHeight="1">
      <c r="A261" s="47"/>
    </row>
    <row r="262" spans="1:1" ht="20.25" customHeight="1">
      <c r="A262" s="47"/>
    </row>
    <row r="263" spans="1:1" ht="20.25" customHeight="1">
      <c r="A263" s="47"/>
    </row>
    <row r="264" spans="1:1" ht="20.25" customHeight="1">
      <c r="A264" s="47"/>
    </row>
    <row r="265" spans="1:1" ht="20.25" customHeight="1">
      <c r="A265" s="104"/>
    </row>
    <row r="266" spans="1:1" ht="20.25" customHeight="1">
      <c r="A266" s="47"/>
    </row>
    <row r="267" spans="1:1" ht="20.25" customHeight="1">
      <c r="A267" s="47"/>
    </row>
    <row r="268" spans="1:1" ht="20.25" customHeight="1">
      <c r="A268" s="47"/>
    </row>
    <row r="269" spans="1:1" ht="20.25" customHeight="1">
      <c r="A269" s="104"/>
    </row>
    <row r="270" spans="1:1" ht="20.25" customHeight="1">
      <c r="A270" s="47"/>
    </row>
    <row r="271" spans="1:1" ht="20.25" customHeight="1">
      <c r="A271" s="47"/>
    </row>
    <row r="272" spans="1:1" ht="20.25" customHeight="1">
      <c r="A272" s="47"/>
    </row>
  </sheetData>
  <autoFilter ref="A6:AB231"/>
  <mergeCells count="19">
    <mergeCell ref="F5:F6"/>
    <mergeCell ref="G5:G6"/>
    <mergeCell ref="R5:R6"/>
    <mergeCell ref="S5:S6"/>
    <mergeCell ref="T5:T6"/>
    <mergeCell ref="H5:H6"/>
    <mergeCell ref="I5:I6"/>
    <mergeCell ref="J5:J6"/>
    <mergeCell ref="K5:O5"/>
    <mergeCell ref="A5:A6"/>
    <mergeCell ref="B5:B6"/>
    <mergeCell ref="C5:C6"/>
    <mergeCell ref="D5:D6"/>
    <mergeCell ref="E5:E6"/>
    <mergeCell ref="P5:P6"/>
    <mergeCell ref="Q5:Q6"/>
    <mergeCell ref="Y3:Y4"/>
    <mergeCell ref="Z3:Z4"/>
    <mergeCell ref="AA3:AA4"/>
  </mergeCells>
  <conditionalFormatting sqref="C7:E172">
    <cfRule type="expression" dxfId="2" priority="9">
      <formula>MOD($W7,2)=0</formula>
    </cfRule>
  </conditionalFormatting>
  <conditionalFormatting sqref="A7:U172">
    <cfRule type="expression" dxfId="1" priority="8">
      <formula>$V7="OK"</formula>
    </cfRule>
    <cfRule type="expression" dxfId="0" priority="10">
      <formula>OR($B7="1",$B7=1)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56" max="2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>
                <anchor moveWithCells="1" sizeWithCells="1">
                  <from>
                    <xdr:col>24</xdr:col>
                    <xdr:colOff>57150</xdr:colOff>
                    <xdr:row>6</xdr:row>
                    <xdr:rowOff>0</xdr:rowOff>
                  </from>
                  <to>
                    <xdr:col>25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6</xdr:row>
                    <xdr:rowOff>0</xdr:rowOff>
                  </from>
                  <to>
                    <xdr:col>25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>
                <anchor moveWithCells="1" sizeWithCells="1">
                  <from>
                    <xdr:col>24</xdr:col>
                    <xdr:colOff>57150</xdr:colOff>
                    <xdr:row>6</xdr:row>
                    <xdr:rowOff>0</xdr:rowOff>
                  </from>
                  <to>
                    <xdr:col>25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>
                <anchor moveWithCells="1" sizeWithCells="1">
                  <from>
                    <xdr:col>24</xdr:col>
                    <xdr:colOff>85725</xdr:colOff>
                    <xdr:row>6</xdr:row>
                    <xdr:rowOff>0</xdr:rowOff>
                  </from>
                  <to>
                    <xdr:col>25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>
                <anchor>
                  <from>
                    <xdr:col>24</xdr:col>
                    <xdr:colOff>771525</xdr:colOff>
                    <xdr:row>27</xdr:row>
                    <xdr:rowOff>219075</xdr:rowOff>
                  </from>
                  <to>
                    <xdr:col>25</xdr:col>
                    <xdr:colOff>1095375</xdr:colOff>
                    <xdr:row>28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>
                <anchor>
                  <from>
                    <xdr:col>24</xdr:col>
                    <xdr:colOff>790575</xdr:colOff>
                    <xdr:row>29</xdr:row>
                    <xdr:rowOff>85725</xdr:rowOff>
                  </from>
                  <to>
                    <xdr:col>25</xdr:col>
                    <xdr:colOff>1133475</xdr:colOff>
                    <xdr:row>30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>
                <anchor>
                  <from>
                    <xdr:col>24</xdr:col>
                    <xdr:colOff>790575</xdr:colOff>
                    <xdr:row>31</xdr:row>
                    <xdr:rowOff>381000</xdr:rowOff>
                  </from>
                  <to>
                    <xdr:col>25</xdr:col>
                    <xdr:colOff>1133475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>
                <anchor>
                  <from>
                    <xdr:col>24</xdr:col>
                    <xdr:colOff>809625</xdr:colOff>
                    <xdr:row>33</xdr:row>
                    <xdr:rowOff>447675</xdr:rowOff>
                  </from>
                  <to>
                    <xdr:col>25</xdr:col>
                    <xdr:colOff>1133475</xdr:colOff>
                    <xdr:row>35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topLeftCell="I1" zoomScale="80" zoomScaleNormal="80" workbookViewId="0">
      <selection activeCell="W6" sqref="W6"/>
    </sheetView>
  </sheetViews>
  <sheetFormatPr defaultRowHeight="15"/>
  <sheetData>
    <row r="1" spans="1:43" s="221" customFormat="1" ht="18.75" customHeight="1">
      <c r="A1" s="510" t="s">
        <v>996</v>
      </c>
      <c r="B1" s="510"/>
      <c r="C1" s="218">
        <v>1</v>
      </c>
      <c r="D1" s="218">
        <v>2</v>
      </c>
      <c r="E1" s="218">
        <v>3</v>
      </c>
      <c r="F1" s="218">
        <v>4</v>
      </c>
      <c r="G1" s="218">
        <v>5</v>
      </c>
      <c r="H1" s="218">
        <v>6</v>
      </c>
      <c r="I1" s="218">
        <v>7</v>
      </c>
      <c r="J1" s="218">
        <v>8</v>
      </c>
      <c r="K1" s="218">
        <v>9</v>
      </c>
      <c r="L1" s="218">
        <v>10</v>
      </c>
      <c r="M1" s="218">
        <v>11</v>
      </c>
      <c r="N1" s="218">
        <v>12</v>
      </c>
      <c r="O1" s="218">
        <v>13</v>
      </c>
      <c r="P1" s="218">
        <v>14</v>
      </c>
      <c r="Q1" s="218">
        <v>15</v>
      </c>
      <c r="R1" s="218">
        <v>16</v>
      </c>
      <c r="S1" s="218">
        <v>17</v>
      </c>
      <c r="T1" s="218">
        <v>18</v>
      </c>
      <c r="U1" s="345">
        <v>19</v>
      </c>
      <c r="V1" s="345">
        <v>20</v>
      </c>
      <c r="W1" s="345">
        <v>21</v>
      </c>
      <c r="X1" s="345">
        <v>22</v>
      </c>
      <c r="Y1" s="344">
        <v>23</v>
      </c>
      <c r="Z1" s="345">
        <v>24</v>
      </c>
      <c r="AA1" s="345">
        <v>25</v>
      </c>
      <c r="AB1" s="345">
        <v>26</v>
      </c>
      <c r="AC1" s="345">
        <v>27</v>
      </c>
      <c r="AD1" s="345">
        <v>28</v>
      </c>
      <c r="AE1" s="345">
        <v>29</v>
      </c>
      <c r="AF1" s="218">
        <v>30</v>
      </c>
      <c r="AG1" s="219">
        <v>31</v>
      </c>
      <c r="AH1" s="220"/>
      <c r="AI1" s="220"/>
      <c r="AJ1" s="220"/>
      <c r="AK1" s="220"/>
      <c r="AQ1" s="222"/>
    </row>
    <row r="2" spans="1:43" s="221" customFormat="1" ht="18.75" customHeight="1" thickBot="1">
      <c r="A2" s="511"/>
      <c r="B2" s="511"/>
      <c r="C2" s="212" t="s">
        <v>997</v>
      </c>
      <c r="D2" s="212" t="s">
        <v>998</v>
      </c>
      <c r="E2" s="212" t="s">
        <v>999</v>
      </c>
      <c r="F2" s="212" t="s">
        <v>1000</v>
      </c>
      <c r="G2" s="212" t="s">
        <v>1001</v>
      </c>
      <c r="H2" s="212" t="s">
        <v>1002</v>
      </c>
      <c r="I2" s="212" t="s">
        <v>1003</v>
      </c>
      <c r="J2" s="212" t="s">
        <v>997</v>
      </c>
      <c r="K2" s="212" t="s">
        <v>998</v>
      </c>
      <c r="L2" s="212" t="s">
        <v>999</v>
      </c>
      <c r="M2" s="212" t="s">
        <v>1000</v>
      </c>
      <c r="N2" s="212" t="s">
        <v>1001</v>
      </c>
      <c r="O2" s="212" t="s">
        <v>1002</v>
      </c>
      <c r="P2" s="212" t="s">
        <v>1003</v>
      </c>
      <c r="Q2" s="212" t="s">
        <v>997</v>
      </c>
      <c r="R2" s="212" t="s">
        <v>998</v>
      </c>
      <c r="S2" s="212" t="s">
        <v>999</v>
      </c>
      <c r="T2" s="212" t="s">
        <v>1000</v>
      </c>
      <c r="U2" s="213" t="s">
        <v>1001</v>
      </c>
      <c r="V2" s="213" t="s">
        <v>1002</v>
      </c>
      <c r="W2" s="213" t="s">
        <v>1003</v>
      </c>
      <c r="X2" s="213" t="s">
        <v>997</v>
      </c>
      <c r="Y2" s="212" t="s">
        <v>998</v>
      </c>
      <c r="Z2" s="213" t="s">
        <v>999</v>
      </c>
      <c r="AA2" s="213" t="s">
        <v>1000</v>
      </c>
      <c r="AB2" s="213" t="s">
        <v>1001</v>
      </c>
      <c r="AC2" s="213" t="s">
        <v>1002</v>
      </c>
      <c r="AD2" s="213" t="s">
        <v>1003</v>
      </c>
      <c r="AE2" s="213" t="s">
        <v>997</v>
      </c>
      <c r="AF2" s="212" t="s">
        <v>998</v>
      </c>
      <c r="AG2" s="213" t="s">
        <v>999</v>
      </c>
      <c r="AH2" s="220"/>
      <c r="AI2" s="220"/>
      <c r="AJ2" s="220"/>
      <c r="AK2" s="220"/>
    </row>
    <row r="3" spans="1:43" s="221" customFormat="1" ht="21" customHeight="1" thickTop="1">
      <c r="A3" s="512" t="s">
        <v>1004</v>
      </c>
      <c r="B3" s="513"/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3"/>
      <c r="R3" s="224"/>
      <c r="S3" s="223"/>
      <c r="T3" s="223"/>
      <c r="U3" s="225"/>
      <c r="V3" s="225"/>
      <c r="W3" s="225"/>
      <c r="X3" s="225"/>
      <c r="Y3" s="223"/>
      <c r="Z3" s="225"/>
      <c r="AA3" s="226">
        <v>2</v>
      </c>
      <c r="AB3" s="226">
        <v>2</v>
      </c>
      <c r="AC3" s="226">
        <v>2</v>
      </c>
      <c r="AD3" s="227"/>
      <c r="AE3" s="228">
        <v>10</v>
      </c>
      <c r="AF3" s="224"/>
      <c r="AG3" s="227"/>
      <c r="AH3" s="220"/>
      <c r="AI3" s="220"/>
      <c r="AJ3" s="220"/>
      <c r="AK3" s="220" t="s">
        <v>1027</v>
      </c>
    </row>
    <row r="4" spans="1:43" s="221" customFormat="1" ht="21" customHeight="1">
      <c r="A4" s="514" t="s">
        <v>1028</v>
      </c>
      <c r="B4" s="515"/>
      <c r="C4" s="229"/>
      <c r="D4" s="229"/>
      <c r="E4" s="229">
        <v>148</v>
      </c>
      <c r="F4" s="229">
        <v>160</v>
      </c>
      <c r="G4" s="229">
        <v>160</v>
      </c>
      <c r="H4" s="229">
        <v>160</v>
      </c>
      <c r="I4" s="229">
        <v>160</v>
      </c>
      <c r="J4" s="229">
        <v>160</v>
      </c>
      <c r="K4" s="229"/>
      <c r="L4" s="229">
        <v>158</v>
      </c>
      <c r="M4" s="229">
        <v>160</v>
      </c>
      <c r="N4" s="229"/>
      <c r="O4" s="229"/>
      <c r="P4" s="229"/>
      <c r="Q4" s="229"/>
      <c r="R4" s="229"/>
      <c r="S4" s="229">
        <v>158</v>
      </c>
      <c r="T4" s="229">
        <v>160</v>
      </c>
      <c r="U4" s="230">
        <v>160</v>
      </c>
      <c r="V4" s="230">
        <v>160</v>
      </c>
      <c r="W4" s="230">
        <v>160</v>
      </c>
      <c r="X4" s="230">
        <v>160</v>
      </c>
      <c r="Y4" s="229"/>
      <c r="Z4" s="230">
        <v>258</v>
      </c>
      <c r="AA4" s="230">
        <v>360</v>
      </c>
      <c r="AB4" s="230">
        <v>360</v>
      </c>
      <c r="AC4" s="230">
        <v>360</v>
      </c>
      <c r="AD4" s="230">
        <v>288</v>
      </c>
      <c r="AE4" s="230">
        <v>360</v>
      </c>
      <c r="AF4" s="229"/>
      <c r="AG4" s="230">
        <v>300</v>
      </c>
      <c r="AH4" s="220"/>
      <c r="AI4" s="220" t="s">
        <v>1029</v>
      </c>
      <c r="AJ4" s="231">
        <f>SUM(C4:AG4)</f>
        <v>4510</v>
      </c>
      <c r="AK4" s="220" t="e">
        <f>SUM(#REF!)+SUM(C7:AA7)</f>
        <v>#REF!</v>
      </c>
    </row>
    <row r="5" spans="1:43" s="221" customFormat="1" ht="21" customHeight="1">
      <c r="A5" s="516" t="s">
        <v>1030</v>
      </c>
      <c r="B5" s="517"/>
      <c r="C5" s="232">
        <f t="shared" ref="C5:J5" si="0">B5+C4</f>
        <v>0</v>
      </c>
      <c r="D5" s="232">
        <f t="shared" si="0"/>
        <v>0</v>
      </c>
      <c r="E5" s="232">
        <f t="shared" si="0"/>
        <v>148</v>
      </c>
      <c r="F5" s="232">
        <f t="shared" si="0"/>
        <v>308</v>
      </c>
      <c r="G5" s="232">
        <f t="shared" si="0"/>
        <v>468</v>
      </c>
      <c r="H5" s="232">
        <f t="shared" si="0"/>
        <v>628</v>
      </c>
      <c r="I5" s="232">
        <f t="shared" si="0"/>
        <v>788</v>
      </c>
      <c r="J5" s="232">
        <f t="shared" si="0"/>
        <v>948</v>
      </c>
      <c r="K5" s="232">
        <f>J5+K4</f>
        <v>948</v>
      </c>
      <c r="L5" s="232">
        <f t="shared" ref="L5:V5" si="1">K5+L4</f>
        <v>1106</v>
      </c>
      <c r="M5" s="232">
        <f t="shared" si="1"/>
        <v>1266</v>
      </c>
      <c r="N5" s="232">
        <f t="shared" si="1"/>
        <v>1266</v>
      </c>
      <c r="O5" s="232">
        <f t="shared" si="1"/>
        <v>1266</v>
      </c>
      <c r="P5" s="232">
        <f t="shared" si="1"/>
        <v>1266</v>
      </c>
      <c r="Q5" s="232">
        <f t="shared" si="1"/>
        <v>1266</v>
      </c>
      <c r="R5" s="232">
        <f t="shared" si="1"/>
        <v>1266</v>
      </c>
      <c r="S5" s="232">
        <f t="shared" si="1"/>
        <v>1424</v>
      </c>
      <c r="T5" s="232">
        <f t="shared" si="1"/>
        <v>1584</v>
      </c>
      <c r="U5" s="233">
        <f t="shared" si="1"/>
        <v>1744</v>
      </c>
      <c r="V5" s="233">
        <f t="shared" si="1"/>
        <v>1904</v>
      </c>
      <c r="W5" s="230">
        <v>160</v>
      </c>
      <c r="X5" s="233">
        <f t="shared" ref="X5:AG5" si="2">W5+X4</f>
        <v>320</v>
      </c>
      <c r="Y5" s="232">
        <f t="shared" si="2"/>
        <v>320</v>
      </c>
      <c r="Z5" s="233">
        <f t="shared" si="2"/>
        <v>578</v>
      </c>
      <c r="AA5" s="233">
        <f t="shared" si="2"/>
        <v>938</v>
      </c>
      <c r="AB5" s="233">
        <f t="shared" si="2"/>
        <v>1298</v>
      </c>
      <c r="AC5" s="233">
        <f t="shared" si="2"/>
        <v>1658</v>
      </c>
      <c r="AD5" s="233">
        <f t="shared" si="2"/>
        <v>1946</v>
      </c>
      <c r="AE5" s="233">
        <f t="shared" si="2"/>
        <v>2306</v>
      </c>
      <c r="AF5" s="232">
        <f t="shared" si="2"/>
        <v>2306</v>
      </c>
      <c r="AG5" s="233">
        <f t="shared" si="2"/>
        <v>2606</v>
      </c>
      <c r="AH5" s="220"/>
      <c r="AI5" s="220"/>
      <c r="AJ5" s="220"/>
      <c r="AK5" s="220" t="e">
        <f>SUM(#REF!)+SUM(C8:AA8)</f>
        <v>#REF!</v>
      </c>
    </row>
    <row r="6" spans="1:43" s="221" customFormat="1" ht="21" customHeight="1">
      <c r="A6" s="518" t="s">
        <v>1031</v>
      </c>
      <c r="B6" s="519"/>
      <c r="C6" s="234" t="str">
        <f t="shared" ref="C6:AG6" si="3">IF(C3=2,"200",IF(C3=2.5,"210",IF(C3=10,"210",IF(C3="","160"))))</f>
        <v>160</v>
      </c>
      <c r="D6" s="234" t="str">
        <f t="shared" si="3"/>
        <v>160</v>
      </c>
      <c r="E6" s="234" t="str">
        <f t="shared" si="3"/>
        <v>160</v>
      </c>
      <c r="F6" s="234" t="str">
        <f t="shared" si="3"/>
        <v>160</v>
      </c>
      <c r="G6" s="234" t="str">
        <f t="shared" si="3"/>
        <v>160</v>
      </c>
      <c r="H6" s="234" t="str">
        <f t="shared" si="3"/>
        <v>160</v>
      </c>
      <c r="I6" s="234" t="str">
        <f t="shared" si="3"/>
        <v>160</v>
      </c>
      <c r="J6" s="234" t="str">
        <f t="shared" si="3"/>
        <v>160</v>
      </c>
      <c r="K6" s="234" t="str">
        <f t="shared" si="3"/>
        <v>160</v>
      </c>
      <c r="L6" s="234" t="str">
        <f t="shared" si="3"/>
        <v>160</v>
      </c>
      <c r="M6" s="234" t="str">
        <f t="shared" si="3"/>
        <v>160</v>
      </c>
      <c r="N6" s="234" t="str">
        <f t="shared" si="3"/>
        <v>160</v>
      </c>
      <c r="O6" s="234" t="str">
        <f t="shared" si="3"/>
        <v>160</v>
      </c>
      <c r="P6" s="234" t="str">
        <f t="shared" si="3"/>
        <v>160</v>
      </c>
      <c r="Q6" s="234" t="str">
        <f t="shared" si="3"/>
        <v>160</v>
      </c>
      <c r="R6" s="234" t="str">
        <f t="shared" si="3"/>
        <v>160</v>
      </c>
      <c r="S6" s="234" t="str">
        <f t="shared" si="3"/>
        <v>160</v>
      </c>
      <c r="T6" s="234" t="str">
        <f t="shared" si="3"/>
        <v>160</v>
      </c>
      <c r="U6" s="235" t="str">
        <f t="shared" si="3"/>
        <v>160</v>
      </c>
      <c r="V6" s="235" t="str">
        <f t="shared" si="3"/>
        <v>160</v>
      </c>
      <c r="W6" s="235" t="str">
        <f t="shared" si="3"/>
        <v>160</v>
      </c>
      <c r="X6" s="235" t="str">
        <f t="shared" si="3"/>
        <v>160</v>
      </c>
      <c r="Y6" s="234" t="str">
        <f t="shared" si="3"/>
        <v>160</v>
      </c>
      <c r="Z6" s="230" t="str">
        <f t="shared" si="3"/>
        <v>160</v>
      </c>
      <c r="AA6" s="235" t="str">
        <f t="shared" si="3"/>
        <v>200</v>
      </c>
      <c r="AB6" s="235" t="str">
        <f t="shared" si="3"/>
        <v>200</v>
      </c>
      <c r="AC6" s="235" t="str">
        <f t="shared" si="3"/>
        <v>200</v>
      </c>
      <c r="AD6" s="235" t="str">
        <f t="shared" si="3"/>
        <v>160</v>
      </c>
      <c r="AE6" s="235" t="str">
        <f t="shared" si="3"/>
        <v>210</v>
      </c>
      <c r="AF6" s="234" t="str">
        <f t="shared" si="3"/>
        <v>160</v>
      </c>
      <c r="AG6" s="235" t="str">
        <f t="shared" si="3"/>
        <v>160</v>
      </c>
      <c r="AH6" s="220"/>
      <c r="AI6" s="220"/>
      <c r="AJ6" s="220"/>
      <c r="AK6" s="221" t="e">
        <f>AK4+AK5</f>
        <v>#REF!</v>
      </c>
    </row>
    <row r="7" spans="1:43" s="243" customFormat="1" ht="21" customHeight="1">
      <c r="A7" s="236" t="s">
        <v>1032</v>
      </c>
      <c r="B7" s="237"/>
      <c r="C7" s="238"/>
      <c r="D7" s="238"/>
      <c r="E7" s="239">
        <v>160</v>
      </c>
      <c r="F7" s="239">
        <v>159</v>
      </c>
      <c r="G7" s="239">
        <v>157</v>
      </c>
      <c r="H7" s="239">
        <v>160</v>
      </c>
      <c r="I7" s="239">
        <v>160</v>
      </c>
      <c r="J7" s="239">
        <v>161</v>
      </c>
      <c r="K7" s="238"/>
      <c r="L7" s="239">
        <v>159</v>
      </c>
      <c r="M7" s="239">
        <v>160</v>
      </c>
      <c r="N7" s="238"/>
      <c r="O7" s="238"/>
      <c r="P7" s="238"/>
      <c r="Q7" s="238"/>
      <c r="R7" s="238"/>
      <c r="S7" s="239">
        <v>151</v>
      </c>
      <c r="T7" s="239">
        <v>157</v>
      </c>
      <c r="U7" s="346" t="str">
        <f t="shared" ref="U7:X7" si="4">U6</f>
        <v>160</v>
      </c>
      <c r="V7" s="346" t="str">
        <f t="shared" si="4"/>
        <v>160</v>
      </c>
      <c r="W7" s="346" t="str">
        <f t="shared" si="4"/>
        <v>160</v>
      </c>
      <c r="X7" s="346" t="str">
        <f t="shared" si="4"/>
        <v>160</v>
      </c>
      <c r="Y7" s="347"/>
      <c r="Z7" s="348">
        <v>129</v>
      </c>
      <c r="AA7" s="346">
        <f>(160*90%)/8*10</f>
        <v>180</v>
      </c>
      <c r="AB7" s="346">
        <f t="shared" ref="AB7:AE8" si="5">(160*90%)/8*10</f>
        <v>180</v>
      </c>
      <c r="AC7" s="346">
        <f t="shared" si="5"/>
        <v>180</v>
      </c>
      <c r="AD7" s="346">
        <v>144</v>
      </c>
      <c r="AE7" s="346">
        <f t="shared" si="5"/>
        <v>180</v>
      </c>
      <c r="AF7" s="238"/>
      <c r="AG7" s="242">
        <v>150</v>
      </c>
      <c r="AH7" s="220"/>
      <c r="AI7" s="220" t="s">
        <v>1033</v>
      </c>
      <c r="AJ7" s="231">
        <f>SUM(C7:AG7)</f>
        <v>2727</v>
      </c>
      <c r="AK7" s="220"/>
    </row>
    <row r="8" spans="1:43" s="243" customFormat="1" ht="21" customHeight="1">
      <c r="A8" s="244" t="s">
        <v>1034</v>
      </c>
      <c r="B8" s="245"/>
      <c r="C8" s="246"/>
      <c r="D8" s="246"/>
      <c r="E8" s="247"/>
      <c r="F8" s="247"/>
      <c r="G8" s="247"/>
      <c r="H8" s="247"/>
      <c r="I8" s="247"/>
      <c r="J8" s="247"/>
      <c r="K8" s="246"/>
      <c r="L8" s="247"/>
      <c r="M8" s="247"/>
      <c r="N8" s="246"/>
      <c r="O8" s="246"/>
      <c r="P8" s="246"/>
      <c r="Q8" s="246"/>
      <c r="R8" s="246"/>
      <c r="S8" s="247"/>
      <c r="T8" s="247"/>
      <c r="U8" s="248"/>
      <c r="V8" s="248"/>
      <c r="W8" s="248"/>
      <c r="X8" s="248"/>
      <c r="Y8" s="246"/>
      <c r="Z8" s="241">
        <v>129</v>
      </c>
      <c r="AA8" s="249">
        <f>(160*90%)/8*10</f>
        <v>180</v>
      </c>
      <c r="AB8" s="249">
        <f t="shared" si="5"/>
        <v>180</v>
      </c>
      <c r="AC8" s="249">
        <f t="shared" si="5"/>
        <v>180</v>
      </c>
      <c r="AD8" s="249">
        <v>144</v>
      </c>
      <c r="AE8" s="249">
        <f t="shared" si="5"/>
        <v>180</v>
      </c>
      <c r="AF8" s="246"/>
      <c r="AG8" s="250">
        <v>150</v>
      </c>
      <c r="AH8" s="220"/>
      <c r="AI8" s="220" t="s">
        <v>1035</v>
      </c>
      <c r="AJ8" s="231">
        <f>SUM(C8:AG8)</f>
        <v>1143</v>
      </c>
      <c r="AK8" s="220"/>
    </row>
    <row r="9" spans="1:43" s="243" customFormat="1" ht="21" hidden="1" customHeight="1">
      <c r="A9" s="244" t="s">
        <v>1036</v>
      </c>
      <c r="B9" s="245"/>
      <c r="C9" s="246"/>
      <c r="D9" s="246"/>
      <c r="E9" s="247"/>
      <c r="F9" s="247"/>
      <c r="G9" s="247"/>
      <c r="H9" s="247"/>
      <c r="I9" s="247"/>
      <c r="J9" s="247"/>
      <c r="K9" s="246"/>
      <c r="L9" s="247"/>
      <c r="M9" s="247"/>
      <c r="N9" s="246"/>
      <c r="O9" s="246"/>
      <c r="P9" s="246"/>
      <c r="Q9" s="246"/>
      <c r="R9" s="246"/>
      <c r="S9" s="247"/>
      <c r="T9" s="247"/>
      <c r="U9" s="249"/>
      <c r="V9" s="249"/>
      <c r="W9" s="249"/>
      <c r="X9" s="249"/>
      <c r="Y9" s="246"/>
      <c r="Z9" s="249"/>
      <c r="AA9" s="249"/>
      <c r="AB9" s="249"/>
      <c r="AC9" s="249"/>
      <c r="AD9" s="249"/>
      <c r="AE9" s="249"/>
      <c r="AF9" s="246"/>
      <c r="AG9" s="249"/>
      <c r="AH9" s="220"/>
      <c r="AI9" s="220" t="s">
        <v>1037</v>
      </c>
      <c r="AJ9" s="231">
        <f>SUM(C9:AG9)</f>
        <v>0</v>
      </c>
      <c r="AK9" s="220"/>
    </row>
    <row r="10" spans="1:43" s="243" customFormat="1" ht="21" hidden="1" customHeight="1">
      <c r="A10" s="251" t="s">
        <v>1038</v>
      </c>
      <c r="B10" s="252"/>
      <c r="C10" s="253"/>
      <c r="D10" s="253"/>
      <c r="E10" s="254"/>
      <c r="F10" s="254"/>
      <c r="G10" s="254"/>
      <c r="H10" s="254"/>
      <c r="I10" s="254"/>
      <c r="J10" s="254"/>
      <c r="K10" s="253"/>
      <c r="L10" s="254"/>
      <c r="M10" s="254"/>
      <c r="N10" s="253"/>
      <c r="O10" s="253"/>
      <c r="P10" s="253"/>
      <c r="Q10" s="253"/>
      <c r="R10" s="253"/>
      <c r="S10" s="254"/>
      <c r="T10" s="254"/>
      <c r="U10" s="255"/>
      <c r="V10" s="255"/>
      <c r="W10" s="255"/>
      <c r="X10" s="255"/>
      <c r="Y10" s="253"/>
      <c r="Z10" s="255"/>
      <c r="AA10" s="255"/>
      <c r="AB10" s="255"/>
      <c r="AC10" s="255"/>
      <c r="AD10" s="255"/>
      <c r="AE10" s="255"/>
      <c r="AF10" s="253"/>
      <c r="AG10" s="255"/>
      <c r="AH10" s="220"/>
      <c r="AI10" s="220" t="s">
        <v>1039</v>
      </c>
      <c r="AJ10" s="231">
        <f>SUM(C10:AG10)</f>
        <v>0</v>
      </c>
      <c r="AK10" s="220"/>
    </row>
    <row r="11" spans="1:43" s="243" customFormat="1" ht="21" customHeight="1" thickBot="1">
      <c r="A11" s="520" t="s">
        <v>1009</v>
      </c>
      <c r="B11" s="521"/>
      <c r="C11" s="256">
        <f t="shared" ref="C11:R11" si="6">C7+C8+C9+C10</f>
        <v>0</v>
      </c>
      <c r="D11" s="256">
        <f t="shared" si="6"/>
        <v>0</v>
      </c>
      <c r="E11" s="257">
        <f t="shared" si="6"/>
        <v>160</v>
      </c>
      <c r="F11" s="257">
        <f t="shared" si="6"/>
        <v>159</v>
      </c>
      <c r="G11" s="257">
        <f t="shared" si="6"/>
        <v>157</v>
      </c>
      <c r="H11" s="257">
        <f t="shared" si="6"/>
        <v>160</v>
      </c>
      <c r="I11" s="257">
        <f t="shared" si="6"/>
        <v>160</v>
      </c>
      <c r="J11" s="257">
        <f t="shared" si="6"/>
        <v>161</v>
      </c>
      <c r="K11" s="256">
        <f t="shared" si="6"/>
        <v>0</v>
      </c>
      <c r="L11" s="257">
        <f t="shared" si="6"/>
        <v>159</v>
      </c>
      <c r="M11" s="257">
        <f t="shared" si="6"/>
        <v>160</v>
      </c>
      <c r="N11" s="256">
        <f t="shared" si="6"/>
        <v>0</v>
      </c>
      <c r="O11" s="256">
        <f t="shared" si="6"/>
        <v>0</v>
      </c>
      <c r="P11" s="256">
        <f t="shared" si="6"/>
        <v>0</v>
      </c>
      <c r="Q11" s="256">
        <f t="shared" si="6"/>
        <v>0</v>
      </c>
      <c r="R11" s="256">
        <f t="shared" si="6"/>
        <v>0</v>
      </c>
      <c r="S11" s="257">
        <f>S7+S8+S9+S10</f>
        <v>151</v>
      </c>
      <c r="T11" s="257">
        <f t="shared" ref="T11:AG11" si="7">T7+T8+T9+T10</f>
        <v>157</v>
      </c>
      <c r="U11" s="258">
        <f t="shared" si="7"/>
        <v>160</v>
      </c>
      <c r="V11" s="258">
        <f t="shared" si="7"/>
        <v>160</v>
      </c>
      <c r="W11" s="258">
        <f t="shared" si="7"/>
        <v>160</v>
      </c>
      <c r="X11" s="258">
        <f t="shared" si="7"/>
        <v>160</v>
      </c>
      <c r="Y11" s="256">
        <f t="shared" si="7"/>
        <v>0</v>
      </c>
      <c r="Z11" s="258">
        <f t="shared" si="7"/>
        <v>258</v>
      </c>
      <c r="AA11" s="258">
        <f t="shared" si="7"/>
        <v>360</v>
      </c>
      <c r="AB11" s="258">
        <f t="shared" si="7"/>
        <v>360</v>
      </c>
      <c r="AC11" s="258">
        <f t="shared" si="7"/>
        <v>360</v>
      </c>
      <c r="AD11" s="258">
        <f>AD7+AD8</f>
        <v>288</v>
      </c>
      <c r="AE11" s="258">
        <f t="shared" ref="AE11" si="8">AE7+AE8+AE9+AE10</f>
        <v>360</v>
      </c>
      <c r="AF11" s="256">
        <f t="shared" si="7"/>
        <v>0</v>
      </c>
      <c r="AG11" s="258">
        <f t="shared" si="7"/>
        <v>300</v>
      </c>
      <c r="AH11" s="220"/>
      <c r="AI11" s="220" t="s">
        <v>1040</v>
      </c>
      <c r="AJ11" s="231">
        <f>SUM(C11:AG11)</f>
        <v>4510</v>
      </c>
      <c r="AK11" s="220"/>
      <c r="AP11" s="243">
        <f>SUM(C11:AG11)</f>
        <v>4510</v>
      </c>
    </row>
    <row r="12" spans="1:43" s="221" customFormat="1" ht="21" hidden="1" customHeight="1">
      <c r="A12" s="504" t="s">
        <v>1041</v>
      </c>
      <c r="B12" s="505"/>
      <c r="C12" s="259">
        <f t="shared" ref="C12:I12" si="9">B12+C11</f>
        <v>0</v>
      </c>
      <c r="D12" s="259">
        <f t="shared" si="9"/>
        <v>0</v>
      </c>
      <c r="E12" s="259">
        <f t="shared" si="9"/>
        <v>160</v>
      </c>
      <c r="F12" s="259">
        <f t="shared" si="9"/>
        <v>319</v>
      </c>
      <c r="G12" s="259">
        <f t="shared" si="9"/>
        <v>476</v>
      </c>
      <c r="H12" s="259">
        <f t="shared" si="9"/>
        <v>636</v>
      </c>
      <c r="I12" s="259">
        <f t="shared" si="9"/>
        <v>796</v>
      </c>
      <c r="J12" s="259">
        <f>I12+J11</f>
        <v>957</v>
      </c>
      <c r="K12" s="259">
        <f t="shared" ref="K12:AG12" si="10">J12+K11</f>
        <v>957</v>
      </c>
      <c r="L12" s="259">
        <f t="shared" si="10"/>
        <v>1116</v>
      </c>
      <c r="M12" s="259">
        <f t="shared" si="10"/>
        <v>1276</v>
      </c>
      <c r="N12" s="259">
        <f t="shared" si="10"/>
        <v>1276</v>
      </c>
      <c r="O12" s="259">
        <f t="shared" si="10"/>
        <v>1276</v>
      </c>
      <c r="P12" s="259">
        <f t="shared" si="10"/>
        <v>1276</v>
      </c>
      <c r="Q12" s="259">
        <f t="shared" si="10"/>
        <v>1276</v>
      </c>
      <c r="R12" s="259">
        <f t="shared" si="10"/>
        <v>1276</v>
      </c>
      <c r="S12" s="259">
        <f t="shared" si="10"/>
        <v>1427</v>
      </c>
      <c r="T12" s="259">
        <f t="shared" si="10"/>
        <v>1584</v>
      </c>
      <c r="U12" s="260">
        <f t="shared" si="10"/>
        <v>1744</v>
      </c>
      <c r="V12" s="260">
        <f t="shared" si="10"/>
        <v>1904</v>
      </c>
      <c r="W12" s="260">
        <f t="shared" si="10"/>
        <v>2064</v>
      </c>
      <c r="X12" s="260">
        <f t="shared" si="10"/>
        <v>2224</v>
      </c>
      <c r="Y12" s="259">
        <f t="shared" si="10"/>
        <v>2224</v>
      </c>
      <c r="Z12" s="260">
        <f t="shared" si="10"/>
        <v>2482</v>
      </c>
      <c r="AA12" s="260">
        <f t="shared" si="10"/>
        <v>2842</v>
      </c>
      <c r="AB12" s="260">
        <f t="shared" si="10"/>
        <v>3202</v>
      </c>
      <c r="AC12" s="260">
        <f t="shared" si="10"/>
        <v>3562</v>
      </c>
      <c r="AD12" s="260">
        <f t="shared" si="10"/>
        <v>3850</v>
      </c>
      <c r="AE12" s="260">
        <f t="shared" si="10"/>
        <v>4210</v>
      </c>
      <c r="AF12" s="259">
        <f t="shared" si="10"/>
        <v>4210</v>
      </c>
      <c r="AG12" s="260">
        <f t="shared" si="10"/>
        <v>4510</v>
      </c>
      <c r="AH12" s="261"/>
      <c r="AI12" s="220"/>
      <c r="AJ12" s="220"/>
      <c r="AK12" s="220"/>
    </row>
    <row r="13" spans="1:43" s="221" customFormat="1" ht="21" customHeight="1" thickBot="1">
      <c r="A13" s="506" t="s">
        <v>1024</v>
      </c>
      <c r="B13" s="507"/>
      <c r="C13" s="262" t="e">
        <f>#REF!+C11-C4</f>
        <v>#REF!</v>
      </c>
      <c r="D13" s="262" t="e">
        <f t="shared" ref="D13:AG13" si="11">C13+D11-D4</f>
        <v>#REF!</v>
      </c>
      <c r="E13" s="262" t="e">
        <f t="shared" si="11"/>
        <v>#REF!</v>
      </c>
      <c r="F13" s="262" t="e">
        <f t="shared" si="11"/>
        <v>#REF!</v>
      </c>
      <c r="G13" s="262" t="e">
        <f t="shared" si="11"/>
        <v>#REF!</v>
      </c>
      <c r="H13" s="262" t="e">
        <f t="shared" si="11"/>
        <v>#REF!</v>
      </c>
      <c r="I13" s="262" t="e">
        <f t="shared" si="11"/>
        <v>#REF!</v>
      </c>
      <c r="J13" s="262" t="e">
        <f t="shared" si="11"/>
        <v>#REF!</v>
      </c>
      <c r="K13" s="262" t="e">
        <f t="shared" si="11"/>
        <v>#REF!</v>
      </c>
      <c r="L13" s="262" t="e">
        <f t="shared" si="11"/>
        <v>#REF!</v>
      </c>
      <c r="M13" s="262" t="e">
        <f t="shared" si="11"/>
        <v>#REF!</v>
      </c>
      <c r="N13" s="262" t="e">
        <f t="shared" si="11"/>
        <v>#REF!</v>
      </c>
      <c r="O13" s="262" t="e">
        <f t="shared" si="11"/>
        <v>#REF!</v>
      </c>
      <c r="P13" s="262" t="e">
        <f t="shared" si="11"/>
        <v>#REF!</v>
      </c>
      <c r="Q13" s="262" t="e">
        <f t="shared" si="11"/>
        <v>#REF!</v>
      </c>
      <c r="R13" s="262" t="e">
        <f t="shared" si="11"/>
        <v>#REF!</v>
      </c>
      <c r="S13" s="262" t="e">
        <f t="shared" si="11"/>
        <v>#REF!</v>
      </c>
      <c r="T13" s="262" t="e">
        <f t="shared" si="11"/>
        <v>#REF!</v>
      </c>
      <c r="U13" s="263" t="e">
        <f t="shared" si="11"/>
        <v>#REF!</v>
      </c>
      <c r="V13" s="263" t="e">
        <f t="shared" si="11"/>
        <v>#REF!</v>
      </c>
      <c r="W13" s="263" t="e">
        <f t="shared" si="11"/>
        <v>#REF!</v>
      </c>
      <c r="X13" s="263" t="e">
        <f t="shared" si="11"/>
        <v>#REF!</v>
      </c>
      <c r="Y13" s="262" t="e">
        <f t="shared" si="11"/>
        <v>#REF!</v>
      </c>
      <c r="Z13" s="263" t="e">
        <f t="shared" si="11"/>
        <v>#REF!</v>
      </c>
      <c r="AA13" s="263" t="e">
        <f t="shared" si="11"/>
        <v>#REF!</v>
      </c>
      <c r="AB13" s="263" t="e">
        <f t="shared" si="11"/>
        <v>#REF!</v>
      </c>
      <c r="AC13" s="263" t="e">
        <f t="shared" si="11"/>
        <v>#REF!</v>
      </c>
      <c r="AD13" s="263" t="e">
        <f t="shared" si="11"/>
        <v>#REF!</v>
      </c>
      <c r="AE13" s="263" t="e">
        <f t="shared" si="11"/>
        <v>#REF!</v>
      </c>
      <c r="AF13" s="262" t="e">
        <f t="shared" si="11"/>
        <v>#REF!</v>
      </c>
      <c r="AG13" s="262" t="e">
        <f t="shared" si="11"/>
        <v>#REF!</v>
      </c>
      <c r="AH13" s="261"/>
      <c r="AI13" s="220"/>
      <c r="AJ13" s="220"/>
      <c r="AK13" s="220"/>
    </row>
    <row r="14" spans="1:43" s="221" customFormat="1">
      <c r="A14" s="508" t="s">
        <v>1026</v>
      </c>
      <c r="B14" s="509"/>
      <c r="C14" s="264" t="e">
        <f t="shared" ref="C14:R14" si="12">C13/C6*8</f>
        <v>#REF!</v>
      </c>
      <c r="D14" s="264" t="e">
        <f t="shared" si="12"/>
        <v>#REF!</v>
      </c>
      <c r="E14" s="264" t="e">
        <f t="shared" si="12"/>
        <v>#REF!</v>
      </c>
      <c r="F14" s="264" t="e">
        <f t="shared" si="12"/>
        <v>#REF!</v>
      </c>
      <c r="G14" s="264" t="e">
        <f t="shared" si="12"/>
        <v>#REF!</v>
      </c>
      <c r="H14" s="264" t="e">
        <f t="shared" si="12"/>
        <v>#REF!</v>
      </c>
      <c r="I14" s="264" t="e">
        <f t="shared" si="12"/>
        <v>#REF!</v>
      </c>
      <c r="J14" s="264" t="e">
        <f t="shared" si="12"/>
        <v>#REF!</v>
      </c>
      <c r="K14" s="264" t="e">
        <f t="shared" si="12"/>
        <v>#REF!</v>
      </c>
      <c r="L14" s="264" t="e">
        <f t="shared" si="12"/>
        <v>#REF!</v>
      </c>
      <c r="M14" s="264" t="e">
        <f t="shared" si="12"/>
        <v>#REF!</v>
      </c>
      <c r="N14" s="264" t="e">
        <f t="shared" si="12"/>
        <v>#REF!</v>
      </c>
      <c r="O14" s="264" t="e">
        <f t="shared" si="12"/>
        <v>#REF!</v>
      </c>
      <c r="P14" s="264" t="e">
        <f t="shared" si="12"/>
        <v>#REF!</v>
      </c>
      <c r="Q14" s="264" t="e">
        <f t="shared" si="12"/>
        <v>#REF!</v>
      </c>
      <c r="R14" s="264" t="e">
        <f t="shared" si="12"/>
        <v>#REF!</v>
      </c>
      <c r="S14" s="264" t="e">
        <f>S13/S6*8</f>
        <v>#REF!</v>
      </c>
      <c r="T14" s="264" t="e">
        <f t="shared" ref="T14:AG14" si="13">T13/T6*8</f>
        <v>#REF!</v>
      </c>
      <c r="U14" s="265" t="e">
        <f t="shared" si="13"/>
        <v>#REF!</v>
      </c>
      <c r="V14" s="265" t="e">
        <f t="shared" si="13"/>
        <v>#REF!</v>
      </c>
      <c r="W14" s="265" t="e">
        <f t="shared" si="13"/>
        <v>#REF!</v>
      </c>
      <c r="X14" s="265" t="e">
        <f t="shared" si="13"/>
        <v>#REF!</v>
      </c>
      <c r="Y14" s="264" t="e">
        <f t="shared" si="13"/>
        <v>#REF!</v>
      </c>
      <c r="Z14" s="265" t="e">
        <f t="shared" si="13"/>
        <v>#REF!</v>
      </c>
      <c r="AA14" s="265" t="e">
        <f t="shared" si="13"/>
        <v>#REF!</v>
      </c>
      <c r="AB14" s="265" t="e">
        <f t="shared" si="13"/>
        <v>#REF!</v>
      </c>
      <c r="AC14" s="265" t="e">
        <f t="shared" si="13"/>
        <v>#REF!</v>
      </c>
      <c r="AD14" s="265" t="e">
        <f t="shared" si="13"/>
        <v>#REF!</v>
      </c>
      <c r="AE14" s="265" t="e">
        <f t="shared" si="13"/>
        <v>#REF!</v>
      </c>
      <c r="AF14" s="264" t="e">
        <f t="shared" si="13"/>
        <v>#REF!</v>
      </c>
      <c r="AG14" s="265" t="e">
        <f t="shared" si="13"/>
        <v>#REF!</v>
      </c>
      <c r="AH14" s="261"/>
      <c r="AI14" s="220"/>
      <c r="AJ14" s="220"/>
      <c r="AK14" s="220"/>
    </row>
    <row r="18" spans="1:43" s="221" customFormat="1" ht="18.75" customHeight="1">
      <c r="A18" s="522" t="s">
        <v>1042</v>
      </c>
      <c r="B18" s="522"/>
      <c r="C18" s="349">
        <v>1</v>
      </c>
      <c r="D18" s="349">
        <v>2</v>
      </c>
      <c r="E18" s="349">
        <v>3</v>
      </c>
      <c r="F18" s="349">
        <v>4</v>
      </c>
      <c r="G18" s="350">
        <v>5</v>
      </c>
      <c r="H18" s="350">
        <v>6</v>
      </c>
      <c r="I18" s="350">
        <v>7</v>
      </c>
      <c r="J18" s="349">
        <v>8</v>
      </c>
      <c r="K18" s="349">
        <v>9</v>
      </c>
      <c r="L18" s="349">
        <v>10</v>
      </c>
      <c r="M18" s="349">
        <v>11</v>
      </c>
      <c r="N18" s="349">
        <v>12</v>
      </c>
      <c r="O18" s="350">
        <v>13</v>
      </c>
      <c r="P18" s="349">
        <v>14</v>
      </c>
      <c r="Q18" s="349">
        <v>15</v>
      </c>
      <c r="R18" s="349">
        <v>16</v>
      </c>
      <c r="S18" s="349">
        <v>17</v>
      </c>
      <c r="T18" s="349">
        <v>18</v>
      </c>
      <c r="U18" s="349">
        <v>19</v>
      </c>
      <c r="V18" s="350">
        <v>20</v>
      </c>
      <c r="W18" s="349">
        <v>21</v>
      </c>
      <c r="X18" s="349">
        <v>22</v>
      </c>
      <c r="Y18" s="349">
        <v>23</v>
      </c>
      <c r="Z18" s="349">
        <v>24</v>
      </c>
      <c r="AA18" s="349">
        <v>25</v>
      </c>
      <c r="AB18" s="349">
        <v>26</v>
      </c>
      <c r="AC18" s="350">
        <v>27</v>
      </c>
      <c r="AD18" s="349">
        <v>28</v>
      </c>
      <c r="AE18" s="349">
        <v>29</v>
      </c>
      <c r="AF18" s="349">
        <v>30</v>
      </c>
      <c r="AG18" s="351">
        <v>31</v>
      </c>
      <c r="AH18" s="220"/>
      <c r="AI18" s="220"/>
      <c r="AJ18" s="220"/>
      <c r="AK18" s="220"/>
      <c r="AQ18" s="222"/>
    </row>
    <row r="19" spans="1:43" s="221" customFormat="1" ht="18.75" customHeight="1" thickBot="1">
      <c r="A19" s="523"/>
      <c r="B19" s="523"/>
      <c r="C19" s="213" t="s">
        <v>1000</v>
      </c>
      <c r="D19" s="213" t="s">
        <v>1001</v>
      </c>
      <c r="E19" s="213" t="s">
        <v>1002</v>
      </c>
      <c r="F19" s="213" t="s">
        <v>1003</v>
      </c>
      <c r="G19" s="212" t="s">
        <v>997</v>
      </c>
      <c r="H19" s="212" t="s">
        <v>998</v>
      </c>
      <c r="I19" s="212" t="s">
        <v>999</v>
      </c>
      <c r="J19" s="213" t="s">
        <v>1000</v>
      </c>
      <c r="K19" s="213" t="s">
        <v>1001</v>
      </c>
      <c r="L19" s="213" t="s">
        <v>1002</v>
      </c>
      <c r="M19" s="213" t="s">
        <v>1003</v>
      </c>
      <c r="N19" s="213" t="s">
        <v>997</v>
      </c>
      <c r="O19" s="212" t="s">
        <v>998</v>
      </c>
      <c r="P19" s="213" t="s">
        <v>999</v>
      </c>
      <c r="Q19" s="213" t="s">
        <v>1000</v>
      </c>
      <c r="R19" s="213" t="s">
        <v>1001</v>
      </c>
      <c r="S19" s="213" t="s">
        <v>1002</v>
      </c>
      <c r="T19" s="213" t="s">
        <v>1003</v>
      </c>
      <c r="U19" s="213" t="s">
        <v>997</v>
      </c>
      <c r="V19" s="212" t="s">
        <v>998</v>
      </c>
      <c r="W19" s="213" t="s">
        <v>999</v>
      </c>
      <c r="X19" s="213" t="s">
        <v>1000</v>
      </c>
      <c r="Y19" s="213" t="s">
        <v>1001</v>
      </c>
      <c r="Z19" s="213" t="s">
        <v>1002</v>
      </c>
      <c r="AA19" s="213" t="s">
        <v>1003</v>
      </c>
      <c r="AB19" s="213" t="s">
        <v>997</v>
      </c>
      <c r="AC19" s="212" t="s">
        <v>998</v>
      </c>
      <c r="AD19" s="213" t="s">
        <v>999</v>
      </c>
      <c r="AE19" s="213" t="s">
        <v>1000</v>
      </c>
      <c r="AF19" s="213" t="s">
        <v>1001</v>
      </c>
      <c r="AG19" s="352" t="s">
        <v>1002</v>
      </c>
      <c r="AH19" s="220"/>
      <c r="AI19" s="220"/>
      <c r="AJ19" s="220"/>
      <c r="AK19" s="220"/>
    </row>
    <row r="20" spans="1:43" s="221" customFormat="1" ht="18.75" customHeight="1" thickTop="1">
      <c r="A20" s="512" t="s">
        <v>1004</v>
      </c>
      <c r="B20" s="513"/>
      <c r="C20" s="225"/>
      <c r="D20" s="226">
        <v>2</v>
      </c>
      <c r="E20" s="226">
        <v>2</v>
      </c>
      <c r="F20" s="353">
        <v>10</v>
      </c>
      <c r="G20" s="223"/>
      <c r="H20" s="223"/>
      <c r="I20" s="223"/>
      <c r="J20" s="226">
        <v>2</v>
      </c>
      <c r="K20" s="226">
        <v>2.5</v>
      </c>
      <c r="L20" s="226">
        <v>2.5</v>
      </c>
      <c r="M20" s="225"/>
      <c r="N20" s="353">
        <v>10.5</v>
      </c>
      <c r="O20" s="223"/>
      <c r="P20" s="225"/>
      <c r="Q20" s="226">
        <v>2.5</v>
      </c>
      <c r="R20" s="226">
        <v>2.5</v>
      </c>
      <c r="S20" s="226">
        <v>2.5</v>
      </c>
      <c r="T20" s="226">
        <v>2.5</v>
      </c>
      <c r="U20" s="225"/>
      <c r="V20" s="223"/>
      <c r="W20" s="226">
        <v>2</v>
      </c>
      <c r="X20" s="226">
        <v>2</v>
      </c>
      <c r="Y20" s="226">
        <v>2.5</v>
      </c>
      <c r="Z20" s="226">
        <v>2.5</v>
      </c>
      <c r="AA20" s="225"/>
      <c r="AB20" s="226">
        <v>10</v>
      </c>
      <c r="AC20" s="223"/>
      <c r="AD20" s="226">
        <v>2</v>
      </c>
      <c r="AE20" s="226">
        <v>2</v>
      </c>
      <c r="AF20" s="225"/>
      <c r="AG20" s="354"/>
      <c r="AH20" s="220"/>
      <c r="AI20" s="220"/>
      <c r="AJ20" s="220"/>
      <c r="AK20" s="220" t="s">
        <v>1027</v>
      </c>
    </row>
    <row r="21" spans="1:43" s="221" customFormat="1" ht="21" customHeight="1">
      <c r="A21" s="514" t="s">
        <v>1028</v>
      </c>
      <c r="B21" s="515"/>
      <c r="C21" s="230">
        <v>296</v>
      </c>
      <c r="D21" s="230">
        <v>380</v>
      </c>
      <c r="E21" s="230">
        <v>380</v>
      </c>
      <c r="F21" s="230">
        <v>380</v>
      </c>
      <c r="G21" s="229">
        <v>304</v>
      </c>
      <c r="H21" s="229"/>
      <c r="I21" s="229">
        <v>396</v>
      </c>
      <c r="J21" s="230">
        <v>400</v>
      </c>
      <c r="K21" s="230">
        <v>400</v>
      </c>
      <c r="L21" s="230">
        <v>400</v>
      </c>
      <c r="M21" s="230">
        <v>317</v>
      </c>
      <c r="N21" s="230"/>
      <c r="O21" s="229"/>
      <c r="P21" s="230">
        <v>316</v>
      </c>
      <c r="Q21" s="230">
        <v>400</v>
      </c>
      <c r="R21" s="230">
        <v>400</v>
      </c>
      <c r="S21" s="230">
        <v>400</v>
      </c>
      <c r="T21" s="230">
        <v>400</v>
      </c>
      <c r="U21" s="230">
        <v>318</v>
      </c>
      <c r="V21" s="229"/>
      <c r="W21" s="230">
        <v>316</v>
      </c>
      <c r="X21" s="230">
        <v>400</v>
      </c>
      <c r="Y21" s="230">
        <v>400</v>
      </c>
      <c r="Z21" s="230">
        <v>400</v>
      </c>
      <c r="AA21" s="230">
        <v>320</v>
      </c>
      <c r="AB21" s="230">
        <v>400</v>
      </c>
      <c r="AC21" s="229"/>
      <c r="AD21" s="230">
        <v>316</v>
      </c>
      <c r="AE21" s="230">
        <v>400</v>
      </c>
      <c r="AF21" s="230">
        <v>320</v>
      </c>
      <c r="AG21" s="355"/>
      <c r="AH21" s="220"/>
      <c r="AI21" s="220" t="s">
        <v>1029</v>
      </c>
      <c r="AJ21" s="231">
        <f>SUM(C21:AG21)</f>
        <v>9159</v>
      </c>
      <c r="AK21" s="220">
        <f>SUM(AB4:AG4)+SUM(C24:AA24)</f>
        <v>5510</v>
      </c>
    </row>
    <row r="22" spans="1:43" s="221" customFormat="1" ht="21" hidden="1" customHeight="1">
      <c r="A22" s="516" t="s">
        <v>1030</v>
      </c>
      <c r="B22" s="517"/>
      <c r="C22" s="233">
        <f t="shared" ref="C22:J22" si="14">B22+C21</f>
        <v>296</v>
      </c>
      <c r="D22" s="233">
        <f t="shared" si="14"/>
        <v>676</v>
      </c>
      <c r="E22" s="233">
        <f t="shared" si="14"/>
        <v>1056</v>
      </c>
      <c r="F22" s="233">
        <f t="shared" si="14"/>
        <v>1436</v>
      </c>
      <c r="G22" s="232">
        <f t="shared" si="14"/>
        <v>1740</v>
      </c>
      <c r="H22" s="232">
        <f t="shared" si="14"/>
        <v>1740</v>
      </c>
      <c r="I22" s="232">
        <f t="shared" si="14"/>
        <v>2136</v>
      </c>
      <c r="J22" s="233">
        <f t="shared" si="14"/>
        <v>2536</v>
      </c>
      <c r="K22" s="233">
        <f>J22+K21</f>
        <v>2936</v>
      </c>
      <c r="L22" s="233">
        <f t="shared" ref="L22:V22" si="15">K22+L21</f>
        <v>3336</v>
      </c>
      <c r="M22" s="233">
        <f t="shared" si="15"/>
        <v>3653</v>
      </c>
      <c r="N22" s="233">
        <f t="shared" si="15"/>
        <v>3653</v>
      </c>
      <c r="O22" s="232">
        <f t="shared" si="15"/>
        <v>3653</v>
      </c>
      <c r="P22" s="233">
        <f t="shared" si="15"/>
        <v>3969</v>
      </c>
      <c r="Q22" s="233">
        <f t="shared" si="15"/>
        <v>4369</v>
      </c>
      <c r="R22" s="233">
        <f t="shared" si="15"/>
        <v>4769</v>
      </c>
      <c r="S22" s="233">
        <f t="shared" si="15"/>
        <v>5169</v>
      </c>
      <c r="T22" s="233">
        <f t="shared" si="15"/>
        <v>5569</v>
      </c>
      <c r="U22" s="233">
        <f t="shared" si="15"/>
        <v>5887</v>
      </c>
      <c r="V22" s="232">
        <f t="shared" si="15"/>
        <v>5887</v>
      </c>
      <c r="W22" s="230">
        <v>160</v>
      </c>
      <c r="X22" s="233">
        <f t="shared" ref="X22:AG22" si="16">W22+X21</f>
        <v>560</v>
      </c>
      <c r="Y22" s="233">
        <f t="shared" si="16"/>
        <v>960</v>
      </c>
      <c r="Z22" s="233">
        <f t="shared" si="16"/>
        <v>1360</v>
      </c>
      <c r="AA22" s="233">
        <f t="shared" si="16"/>
        <v>1680</v>
      </c>
      <c r="AB22" s="233">
        <f t="shared" si="16"/>
        <v>2080</v>
      </c>
      <c r="AC22" s="232">
        <f t="shared" si="16"/>
        <v>2080</v>
      </c>
      <c r="AD22" s="233">
        <f t="shared" si="16"/>
        <v>2396</v>
      </c>
      <c r="AE22" s="233">
        <f t="shared" si="16"/>
        <v>2796</v>
      </c>
      <c r="AF22" s="233">
        <f t="shared" si="16"/>
        <v>3116</v>
      </c>
      <c r="AG22" s="356">
        <f t="shared" si="16"/>
        <v>3116</v>
      </c>
      <c r="AH22" s="220"/>
      <c r="AI22" s="220"/>
      <c r="AJ22" s="220"/>
      <c r="AK22" s="220">
        <f>SUM(AB5:AG5)+SUM(C25:AA25)</f>
        <v>15962</v>
      </c>
    </row>
    <row r="23" spans="1:43" s="221" customFormat="1" ht="21" customHeight="1">
      <c r="A23" s="518" t="s">
        <v>1031</v>
      </c>
      <c r="B23" s="519"/>
      <c r="C23" s="235" t="str">
        <f t="shared" ref="C23:AG23" si="17">IF(C20=2,"200",IF(C20=2.5,"210",IF(C20=10,"210",IF(C20="","160"))))</f>
        <v>160</v>
      </c>
      <c r="D23" s="235" t="str">
        <f t="shared" si="17"/>
        <v>200</v>
      </c>
      <c r="E23" s="235" t="str">
        <f t="shared" si="17"/>
        <v>200</v>
      </c>
      <c r="F23" s="235" t="str">
        <f t="shared" si="17"/>
        <v>210</v>
      </c>
      <c r="G23" s="234" t="str">
        <f t="shared" si="17"/>
        <v>160</v>
      </c>
      <c r="H23" s="234" t="str">
        <f t="shared" si="17"/>
        <v>160</v>
      </c>
      <c r="I23" s="234" t="str">
        <f t="shared" si="17"/>
        <v>160</v>
      </c>
      <c r="J23" s="235" t="str">
        <f t="shared" si="17"/>
        <v>200</v>
      </c>
      <c r="K23" s="235" t="str">
        <f t="shared" si="17"/>
        <v>210</v>
      </c>
      <c r="L23" s="235" t="str">
        <f t="shared" si="17"/>
        <v>210</v>
      </c>
      <c r="M23" s="235" t="str">
        <f t="shared" si="17"/>
        <v>160</v>
      </c>
      <c r="N23" s="235">
        <v>210</v>
      </c>
      <c r="O23" s="234" t="str">
        <f t="shared" si="17"/>
        <v>160</v>
      </c>
      <c r="P23" s="235" t="str">
        <f t="shared" si="17"/>
        <v>160</v>
      </c>
      <c r="Q23" s="235" t="str">
        <f t="shared" si="17"/>
        <v>210</v>
      </c>
      <c r="R23" s="235" t="str">
        <f t="shared" si="17"/>
        <v>210</v>
      </c>
      <c r="S23" s="235" t="str">
        <f t="shared" si="17"/>
        <v>210</v>
      </c>
      <c r="T23" s="235" t="str">
        <f t="shared" si="17"/>
        <v>210</v>
      </c>
      <c r="U23" s="235" t="str">
        <f t="shared" si="17"/>
        <v>160</v>
      </c>
      <c r="V23" s="234" t="str">
        <f t="shared" si="17"/>
        <v>160</v>
      </c>
      <c r="W23" s="235" t="str">
        <f t="shared" si="17"/>
        <v>200</v>
      </c>
      <c r="X23" s="235" t="str">
        <f t="shared" si="17"/>
        <v>200</v>
      </c>
      <c r="Y23" s="235" t="str">
        <f t="shared" si="17"/>
        <v>210</v>
      </c>
      <c r="Z23" s="235" t="str">
        <f t="shared" si="17"/>
        <v>210</v>
      </c>
      <c r="AA23" s="235" t="str">
        <f t="shared" si="17"/>
        <v>160</v>
      </c>
      <c r="AB23" s="235" t="str">
        <f t="shared" si="17"/>
        <v>210</v>
      </c>
      <c r="AC23" s="234" t="str">
        <f t="shared" si="17"/>
        <v>160</v>
      </c>
      <c r="AD23" s="235" t="str">
        <f t="shared" si="17"/>
        <v>200</v>
      </c>
      <c r="AE23" s="235" t="str">
        <f t="shared" si="17"/>
        <v>200</v>
      </c>
      <c r="AF23" s="235" t="str">
        <f t="shared" si="17"/>
        <v>160</v>
      </c>
      <c r="AG23" s="357" t="str">
        <f t="shared" si="17"/>
        <v>160</v>
      </c>
      <c r="AH23" s="220"/>
      <c r="AI23" s="220"/>
      <c r="AJ23" s="220"/>
      <c r="AK23" s="220">
        <f>SUM(AB6:AG6)+SUM(C26:AA26)</f>
        <v>0</v>
      </c>
    </row>
    <row r="24" spans="1:43" s="243" customFormat="1" ht="21" customHeight="1">
      <c r="A24" s="236" t="s">
        <v>1032</v>
      </c>
      <c r="B24" s="237"/>
      <c r="C24" s="242">
        <v>148</v>
      </c>
      <c r="D24" s="240">
        <f>160*95%/8*10</f>
        <v>190</v>
      </c>
      <c r="E24" s="240">
        <v>190</v>
      </c>
      <c r="F24" s="240">
        <v>190</v>
      </c>
      <c r="G24" s="238"/>
      <c r="H24" s="238"/>
      <c r="I24" s="238"/>
      <c r="J24" s="240">
        <v>198</v>
      </c>
      <c r="K24" s="240">
        <v>210</v>
      </c>
      <c r="L24" s="240">
        <v>210</v>
      </c>
      <c r="M24" s="240">
        <v>160</v>
      </c>
      <c r="N24" s="240">
        <v>210</v>
      </c>
      <c r="O24" s="238"/>
      <c r="P24" s="240">
        <v>158</v>
      </c>
      <c r="Q24" s="240">
        <v>210</v>
      </c>
      <c r="R24" s="240">
        <v>210</v>
      </c>
      <c r="S24" s="240">
        <v>210</v>
      </c>
      <c r="T24" s="240">
        <v>210</v>
      </c>
      <c r="U24" s="240">
        <v>160</v>
      </c>
      <c r="V24" s="238"/>
      <c r="W24" s="240">
        <v>198</v>
      </c>
      <c r="X24" s="240">
        <v>200</v>
      </c>
      <c r="Y24" s="240">
        <v>210</v>
      </c>
      <c r="Z24" s="240">
        <v>210</v>
      </c>
      <c r="AA24" s="240">
        <v>160</v>
      </c>
      <c r="AB24" s="240">
        <v>200</v>
      </c>
      <c r="AC24" s="238"/>
      <c r="AD24" s="240">
        <v>198</v>
      </c>
      <c r="AE24" s="240">
        <v>200</v>
      </c>
      <c r="AF24" s="240">
        <v>160</v>
      </c>
      <c r="AG24" s="347"/>
      <c r="AH24" s="220"/>
      <c r="AI24" s="220" t="s">
        <v>1033</v>
      </c>
      <c r="AJ24" s="231">
        <f>SUM(C24:AG24)</f>
        <v>4600</v>
      </c>
      <c r="AK24" s="220">
        <f>SUM(AB8:AG8)+SUM(C28:AA28)</f>
        <v>8518</v>
      </c>
    </row>
    <row r="25" spans="1:43" s="243" customFormat="1" ht="21" customHeight="1">
      <c r="A25" s="244" t="s">
        <v>1034</v>
      </c>
      <c r="B25" s="245"/>
      <c r="C25" s="249">
        <v>148</v>
      </c>
      <c r="D25" s="249">
        <f>160*95%/8*10</f>
        <v>190</v>
      </c>
      <c r="E25" s="249">
        <v>190</v>
      </c>
      <c r="F25" s="249">
        <v>190</v>
      </c>
      <c r="G25" s="246"/>
      <c r="H25" s="246"/>
      <c r="I25" s="246"/>
      <c r="J25" s="249">
        <v>198</v>
      </c>
      <c r="K25" s="249">
        <v>210</v>
      </c>
      <c r="L25" s="249">
        <v>210</v>
      </c>
      <c r="M25" s="249">
        <v>160</v>
      </c>
      <c r="N25" s="249">
        <v>210</v>
      </c>
      <c r="O25" s="246"/>
      <c r="P25" s="249">
        <v>158</v>
      </c>
      <c r="Q25" s="249">
        <v>210</v>
      </c>
      <c r="R25" s="249">
        <v>210</v>
      </c>
      <c r="S25" s="249">
        <v>210</v>
      </c>
      <c r="T25" s="249">
        <v>210</v>
      </c>
      <c r="U25" s="249">
        <v>160</v>
      </c>
      <c r="V25" s="246"/>
      <c r="W25" s="249">
        <v>198</v>
      </c>
      <c r="X25" s="249">
        <v>200</v>
      </c>
      <c r="Y25" s="249">
        <v>210</v>
      </c>
      <c r="Z25" s="249">
        <v>210</v>
      </c>
      <c r="AA25" s="249">
        <v>160</v>
      </c>
      <c r="AB25" s="249">
        <v>200</v>
      </c>
      <c r="AC25" s="246"/>
      <c r="AD25" s="249">
        <v>198</v>
      </c>
      <c r="AE25" s="249">
        <v>200</v>
      </c>
      <c r="AF25" s="249">
        <v>160</v>
      </c>
      <c r="AG25" s="358"/>
      <c r="AH25" s="220"/>
      <c r="AI25" s="220" t="s">
        <v>1035</v>
      </c>
      <c r="AJ25" s="231">
        <f>SUM(C25:AG25)</f>
        <v>4600</v>
      </c>
      <c r="AK25" s="220"/>
    </row>
    <row r="26" spans="1:43" s="243" customFormat="1" ht="21" hidden="1" customHeight="1">
      <c r="A26" s="244" t="s">
        <v>1036</v>
      </c>
      <c r="B26" s="245"/>
      <c r="C26" s="249"/>
      <c r="D26" s="249"/>
      <c r="E26" s="249"/>
      <c r="F26" s="249"/>
      <c r="G26" s="246"/>
      <c r="H26" s="246"/>
      <c r="I26" s="246"/>
      <c r="J26" s="249"/>
      <c r="K26" s="249"/>
      <c r="L26" s="249"/>
      <c r="M26" s="249"/>
      <c r="N26" s="249"/>
      <c r="O26" s="246"/>
      <c r="P26" s="249"/>
      <c r="Q26" s="249"/>
      <c r="R26" s="249"/>
      <c r="S26" s="249"/>
      <c r="T26" s="249"/>
      <c r="U26" s="249"/>
      <c r="V26" s="246"/>
      <c r="W26" s="249"/>
      <c r="X26" s="249"/>
      <c r="Y26" s="249"/>
      <c r="Z26" s="249"/>
      <c r="AA26" s="249"/>
      <c r="AB26" s="249"/>
      <c r="AC26" s="246"/>
      <c r="AD26" s="249"/>
      <c r="AE26" s="249"/>
      <c r="AF26" s="249"/>
      <c r="AG26" s="358"/>
      <c r="AH26" s="220"/>
      <c r="AI26" s="220" t="s">
        <v>1037</v>
      </c>
      <c r="AJ26" s="231">
        <f>SUM(C26:AG26)</f>
        <v>0</v>
      </c>
      <c r="AK26" s="220"/>
    </row>
    <row r="27" spans="1:43" s="243" customFormat="1" ht="21" hidden="1" customHeight="1">
      <c r="A27" s="251" t="s">
        <v>1038</v>
      </c>
      <c r="B27" s="252"/>
      <c r="C27" s="255"/>
      <c r="D27" s="255"/>
      <c r="E27" s="255"/>
      <c r="F27" s="255"/>
      <c r="G27" s="253"/>
      <c r="H27" s="253"/>
      <c r="I27" s="253"/>
      <c r="J27" s="255"/>
      <c r="K27" s="255"/>
      <c r="L27" s="255"/>
      <c r="M27" s="255"/>
      <c r="N27" s="255"/>
      <c r="O27" s="253"/>
      <c r="P27" s="255"/>
      <c r="Q27" s="255"/>
      <c r="R27" s="255"/>
      <c r="S27" s="255"/>
      <c r="T27" s="255"/>
      <c r="U27" s="255"/>
      <c r="V27" s="253"/>
      <c r="W27" s="255"/>
      <c r="X27" s="255"/>
      <c r="Y27" s="255"/>
      <c r="Z27" s="255"/>
      <c r="AA27" s="255"/>
      <c r="AB27" s="255"/>
      <c r="AC27" s="253"/>
      <c r="AD27" s="255"/>
      <c r="AE27" s="255"/>
      <c r="AF27" s="255"/>
      <c r="AG27" s="359"/>
      <c r="AH27" s="220"/>
      <c r="AI27" s="220" t="s">
        <v>1039</v>
      </c>
      <c r="AJ27" s="231">
        <f>SUM(C27:AG27)</f>
        <v>0</v>
      </c>
      <c r="AK27" s="220"/>
    </row>
    <row r="28" spans="1:43" s="243" customFormat="1" ht="21" customHeight="1" thickBot="1">
      <c r="A28" s="520" t="s">
        <v>1009</v>
      </c>
      <c r="B28" s="521"/>
      <c r="C28" s="258">
        <f t="shared" ref="C28:R28" si="18">C24+C25+C26+C27</f>
        <v>296</v>
      </c>
      <c r="D28" s="258">
        <f t="shared" si="18"/>
        <v>380</v>
      </c>
      <c r="E28" s="258">
        <f t="shared" si="18"/>
        <v>380</v>
      </c>
      <c r="F28" s="258">
        <f t="shared" si="18"/>
        <v>380</v>
      </c>
      <c r="G28" s="256">
        <f t="shared" si="18"/>
        <v>0</v>
      </c>
      <c r="H28" s="256">
        <f t="shared" si="18"/>
        <v>0</v>
      </c>
      <c r="I28" s="256">
        <f t="shared" si="18"/>
        <v>0</v>
      </c>
      <c r="J28" s="258">
        <f t="shared" si="18"/>
        <v>396</v>
      </c>
      <c r="K28" s="258">
        <f t="shared" si="18"/>
        <v>420</v>
      </c>
      <c r="L28" s="258">
        <f t="shared" si="18"/>
        <v>420</v>
      </c>
      <c r="M28" s="258">
        <f t="shared" si="18"/>
        <v>320</v>
      </c>
      <c r="N28" s="258">
        <f t="shared" si="18"/>
        <v>420</v>
      </c>
      <c r="O28" s="256">
        <f t="shared" si="18"/>
        <v>0</v>
      </c>
      <c r="P28" s="258">
        <f t="shared" si="18"/>
        <v>316</v>
      </c>
      <c r="Q28" s="258">
        <f t="shared" si="18"/>
        <v>420</v>
      </c>
      <c r="R28" s="258">
        <f t="shared" si="18"/>
        <v>420</v>
      </c>
      <c r="S28" s="258">
        <f>S24+S25+S26+S27</f>
        <v>420</v>
      </c>
      <c r="T28" s="258">
        <f t="shared" ref="T28:AG28" si="19">T24+T25+T26+T27</f>
        <v>420</v>
      </c>
      <c r="U28" s="258">
        <f t="shared" si="19"/>
        <v>320</v>
      </c>
      <c r="V28" s="256">
        <f t="shared" si="19"/>
        <v>0</v>
      </c>
      <c r="W28" s="258">
        <f t="shared" si="19"/>
        <v>396</v>
      </c>
      <c r="X28" s="258">
        <f t="shared" si="19"/>
        <v>400</v>
      </c>
      <c r="Y28" s="258">
        <f t="shared" si="19"/>
        <v>420</v>
      </c>
      <c r="Z28" s="258">
        <f t="shared" si="19"/>
        <v>420</v>
      </c>
      <c r="AA28" s="258">
        <f t="shared" si="19"/>
        <v>320</v>
      </c>
      <c r="AB28" s="258">
        <f t="shared" si="19"/>
        <v>400</v>
      </c>
      <c r="AC28" s="256">
        <f t="shared" si="19"/>
        <v>0</v>
      </c>
      <c r="AD28" s="258">
        <f t="shared" si="19"/>
        <v>396</v>
      </c>
      <c r="AE28" s="258">
        <f t="shared" si="19"/>
        <v>400</v>
      </c>
      <c r="AF28" s="258">
        <f t="shared" si="19"/>
        <v>320</v>
      </c>
      <c r="AG28" s="360">
        <f t="shared" si="19"/>
        <v>0</v>
      </c>
      <c r="AH28" s="220"/>
      <c r="AI28" s="220" t="s">
        <v>1040</v>
      </c>
      <c r="AJ28" s="231">
        <f>SUM(C28:AG28)</f>
        <v>9200</v>
      </c>
      <c r="AK28" s="220"/>
      <c r="AP28" s="243">
        <f>SUM(C28:AG28)</f>
        <v>9200</v>
      </c>
    </row>
    <row r="29" spans="1:43" s="221" customFormat="1" ht="21" hidden="1" customHeight="1">
      <c r="A29" s="504" t="s">
        <v>1041</v>
      </c>
      <c r="B29" s="505"/>
      <c r="C29" s="260">
        <f t="shared" ref="C29:I29" si="20">B29+C28</f>
        <v>296</v>
      </c>
      <c r="D29" s="260">
        <f t="shared" si="20"/>
        <v>676</v>
      </c>
      <c r="E29" s="260">
        <f t="shared" si="20"/>
        <v>1056</v>
      </c>
      <c r="F29" s="260">
        <f t="shared" si="20"/>
        <v>1436</v>
      </c>
      <c r="G29" s="259">
        <f t="shared" si="20"/>
        <v>1436</v>
      </c>
      <c r="H29" s="259">
        <f t="shared" si="20"/>
        <v>1436</v>
      </c>
      <c r="I29" s="259">
        <f t="shared" si="20"/>
        <v>1436</v>
      </c>
      <c r="J29" s="260">
        <f>I29+J28</f>
        <v>1832</v>
      </c>
      <c r="K29" s="260">
        <f t="shared" ref="K29:AG29" si="21">J29+K28</f>
        <v>2252</v>
      </c>
      <c r="L29" s="260">
        <f t="shared" si="21"/>
        <v>2672</v>
      </c>
      <c r="M29" s="260">
        <f t="shared" si="21"/>
        <v>2992</v>
      </c>
      <c r="N29" s="260">
        <f t="shared" si="21"/>
        <v>3412</v>
      </c>
      <c r="O29" s="259">
        <f t="shared" si="21"/>
        <v>3412</v>
      </c>
      <c r="P29" s="260">
        <f t="shared" si="21"/>
        <v>3728</v>
      </c>
      <c r="Q29" s="260">
        <f t="shared" si="21"/>
        <v>4148</v>
      </c>
      <c r="R29" s="260">
        <f t="shared" si="21"/>
        <v>4568</v>
      </c>
      <c r="S29" s="260">
        <f t="shared" si="21"/>
        <v>4988</v>
      </c>
      <c r="T29" s="260">
        <f t="shared" si="21"/>
        <v>5408</v>
      </c>
      <c r="U29" s="260">
        <f t="shared" si="21"/>
        <v>5728</v>
      </c>
      <c r="V29" s="259">
        <f t="shared" si="21"/>
        <v>5728</v>
      </c>
      <c r="W29" s="260">
        <f t="shared" si="21"/>
        <v>6124</v>
      </c>
      <c r="X29" s="260">
        <f t="shared" si="21"/>
        <v>6524</v>
      </c>
      <c r="Y29" s="260">
        <f t="shared" si="21"/>
        <v>6944</v>
      </c>
      <c r="Z29" s="260">
        <f t="shared" si="21"/>
        <v>7364</v>
      </c>
      <c r="AA29" s="260">
        <f t="shared" si="21"/>
        <v>7684</v>
      </c>
      <c r="AB29" s="260">
        <f t="shared" si="21"/>
        <v>8084</v>
      </c>
      <c r="AC29" s="259">
        <f t="shared" si="21"/>
        <v>8084</v>
      </c>
      <c r="AD29" s="260">
        <f t="shared" si="21"/>
        <v>8480</v>
      </c>
      <c r="AE29" s="260">
        <f t="shared" si="21"/>
        <v>8880</v>
      </c>
      <c r="AF29" s="260">
        <f t="shared" si="21"/>
        <v>9200</v>
      </c>
      <c r="AG29" s="361">
        <f t="shared" si="21"/>
        <v>9200</v>
      </c>
      <c r="AH29" s="261"/>
      <c r="AI29" s="220"/>
      <c r="AJ29" s="220"/>
      <c r="AK29" s="220"/>
    </row>
    <row r="30" spans="1:43" s="221" customFormat="1" ht="21" customHeight="1" thickBot="1">
      <c r="A30" s="506" t="s">
        <v>1024</v>
      </c>
      <c r="B30" s="507"/>
      <c r="C30" s="263">
        <f>AG15+C28-C21</f>
        <v>0</v>
      </c>
      <c r="D30" s="263">
        <f t="shared" ref="D30:AA30" si="22">C30+D28-D21</f>
        <v>0</v>
      </c>
      <c r="E30" s="263">
        <f t="shared" si="22"/>
        <v>0</v>
      </c>
      <c r="F30" s="263">
        <f t="shared" si="22"/>
        <v>0</v>
      </c>
      <c r="G30" s="262">
        <f t="shared" si="22"/>
        <v>-304</v>
      </c>
      <c r="H30" s="262">
        <f t="shared" si="22"/>
        <v>-304</v>
      </c>
      <c r="I30" s="262">
        <f t="shared" si="22"/>
        <v>-700</v>
      </c>
      <c r="J30" s="263">
        <f t="shared" si="22"/>
        <v>-704</v>
      </c>
      <c r="K30" s="263">
        <f t="shared" si="22"/>
        <v>-684</v>
      </c>
      <c r="L30" s="263">
        <f t="shared" si="22"/>
        <v>-664</v>
      </c>
      <c r="M30" s="263">
        <f t="shared" si="22"/>
        <v>-661</v>
      </c>
      <c r="N30" s="263">
        <f t="shared" si="22"/>
        <v>-241</v>
      </c>
      <c r="O30" s="262">
        <f t="shared" si="22"/>
        <v>-241</v>
      </c>
      <c r="P30" s="263">
        <f t="shared" si="22"/>
        <v>-241</v>
      </c>
      <c r="Q30" s="263">
        <f t="shared" si="22"/>
        <v>-221</v>
      </c>
      <c r="R30" s="263">
        <f t="shared" si="22"/>
        <v>-201</v>
      </c>
      <c r="S30" s="263">
        <f t="shared" si="22"/>
        <v>-181</v>
      </c>
      <c r="T30" s="263">
        <f t="shared" si="22"/>
        <v>-161</v>
      </c>
      <c r="U30" s="263">
        <f t="shared" si="22"/>
        <v>-159</v>
      </c>
      <c r="V30" s="262">
        <f t="shared" si="22"/>
        <v>-159</v>
      </c>
      <c r="W30" s="263">
        <f t="shared" si="22"/>
        <v>-79</v>
      </c>
      <c r="X30" s="263">
        <f t="shared" si="22"/>
        <v>-79</v>
      </c>
      <c r="Y30" s="263">
        <f t="shared" si="22"/>
        <v>-59</v>
      </c>
      <c r="Z30" s="263">
        <f t="shared" si="22"/>
        <v>-39</v>
      </c>
      <c r="AA30" s="263">
        <f t="shared" si="22"/>
        <v>-39</v>
      </c>
      <c r="AB30" s="263">
        <f>AA30+AB28-AB21</f>
        <v>-39</v>
      </c>
      <c r="AC30" s="262">
        <f t="shared" ref="AC30:AG30" si="23">AB30+AC28-AC21</f>
        <v>-39</v>
      </c>
      <c r="AD30" s="263">
        <f t="shared" si="23"/>
        <v>41</v>
      </c>
      <c r="AE30" s="263">
        <f t="shared" si="23"/>
        <v>41</v>
      </c>
      <c r="AF30" s="263">
        <f t="shared" si="23"/>
        <v>41</v>
      </c>
      <c r="AG30" s="362">
        <f t="shared" si="23"/>
        <v>41</v>
      </c>
      <c r="AH30" s="261"/>
      <c r="AI30" s="220"/>
      <c r="AJ30" s="220"/>
      <c r="AK30" s="220"/>
    </row>
    <row r="31" spans="1:43" s="221" customFormat="1">
      <c r="A31" s="508" t="s">
        <v>1026</v>
      </c>
      <c r="B31" s="509"/>
      <c r="C31" s="265">
        <f t="shared" ref="C31:R31" si="24">C30/C23*8</f>
        <v>0</v>
      </c>
      <c r="D31" s="265">
        <f t="shared" si="24"/>
        <v>0</v>
      </c>
      <c r="E31" s="265">
        <f t="shared" si="24"/>
        <v>0</v>
      </c>
      <c r="F31" s="265">
        <f t="shared" si="24"/>
        <v>0</v>
      </c>
      <c r="G31" s="264">
        <f t="shared" si="24"/>
        <v>-15.2</v>
      </c>
      <c r="H31" s="264">
        <f t="shared" si="24"/>
        <v>-15.2</v>
      </c>
      <c r="I31" s="264">
        <f t="shared" si="24"/>
        <v>-35</v>
      </c>
      <c r="J31" s="265">
        <f t="shared" si="24"/>
        <v>-28.16</v>
      </c>
      <c r="K31" s="265">
        <f t="shared" si="24"/>
        <v>-26.057142857142857</v>
      </c>
      <c r="L31" s="265">
        <f t="shared" si="24"/>
        <v>-25.295238095238094</v>
      </c>
      <c r="M31" s="265">
        <f t="shared" si="24"/>
        <v>-33.049999999999997</v>
      </c>
      <c r="N31" s="265">
        <f t="shared" si="24"/>
        <v>-9.1809523809523803</v>
      </c>
      <c r="O31" s="264">
        <f t="shared" si="24"/>
        <v>-12.05</v>
      </c>
      <c r="P31" s="265">
        <f t="shared" si="24"/>
        <v>-12.05</v>
      </c>
      <c r="Q31" s="265">
        <f t="shared" si="24"/>
        <v>-8.4190476190476193</v>
      </c>
      <c r="R31" s="265">
        <f t="shared" si="24"/>
        <v>-7.6571428571428575</v>
      </c>
      <c r="S31" s="265">
        <f>S30/S23*8</f>
        <v>-6.8952380952380956</v>
      </c>
      <c r="T31" s="265">
        <f t="shared" ref="T31:AG31" si="25">T30/T23*8</f>
        <v>-6.1333333333333337</v>
      </c>
      <c r="U31" s="265">
        <f t="shared" si="25"/>
        <v>-7.95</v>
      </c>
      <c r="V31" s="264">
        <f t="shared" si="25"/>
        <v>-7.95</v>
      </c>
      <c r="W31" s="265">
        <f t="shared" si="25"/>
        <v>-3.16</v>
      </c>
      <c r="X31" s="265">
        <f t="shared" si="25"/>
        <v>-3.16</v>
      </c>
      <c r="Y31" s="265">
        <f t="shared" si="25"/>
        <v>-2.2476190476190476</v>
      </c>
      <c r="Z31" s="265">
        <f t="shared" si="25"/>
        <v>-1.4857142857142858</v>
      </c>
      <c r="AA31" s="265">
        <f t="shared" si="25"/>
        <v>-1.95</v>
      </c>
      <c r="AB31" s="265">
        <f t="shared" si="25"/>
        <v>-1.4857142857142858</v>
      </c>
      <c r="AC31" s="264">
        <f t="shared" si="25"/>
        <v>-1.95</v>
      </c>
      <c r="AD31" s="265">
        <f t="shared" si="25"/>
        <v>1.64</v>
      </c>
      <c r="AE31" s="265">
        <f t="shared" si="25"/>
        <v>1.64</v>
      </c>
      <c r="AF31" s="265">
        <f t="shared" si="25"/>
        <v>2.0499999999999998</v>
      </c>
      <c r="AG31" s="363">
        <f t="shared" si="25"/>
        <v>2.0499999999999998</v>
      </c>
      <c r="AH31" s="261"/>
      <c r="AI31" s="220"/>
      <c r="AJ31" s="220"/>
      <c r="AK31" s="220"/>
    </row>
  </sheetData>
  <mergeCells count="18"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  <mergeCell ref="A12:B12"/>
    <mergeCell ref="A13:B13"/>
    <mergeCell ref="A14:B14"/>
    <mergeCell ref="A1:B2"/>
    <mergeCell ref="A3:B3"/>
    <mergeCell ref="A4:B4"/>
    <mergeCell ref="A5:B5"/>
    <mergeCell ref="A6:B6"/>
    <mergeCell ref="A11:B11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topLeftCell="D1" zoomScale="80" zoomScaleNormal="80" workbookViewId="0">
      <selection activeCell="K27" sqref="K27"/>
    </sheetView>
  </sheetViews>
  <sheetFormatPr defaultRowHeight="15" outlineLevelRow="1"/>
  <sheetData>
    <row r="1" spans="1:33" s="268" customFormat="1" ht="15.75">
      <c r="A1" s="527" t="s">
        <v>996</v>
      </c>
      <c r="B1" s="528"/>
      <c r="C1" s="266">
        <v>1</v>
      </c>
      <c r="D1" s="266">
        <v>2</v>
      </c>
      <c r="E1" s="266">
        <v>3</v>
      </c>
      <c r="F1" s="266">
        <v>4</v>
      </c>
      <c r="G1" s="266">
        <v>5</v>
      </c>
      <c r="H1" s="266">
        <v>6</v>
      </c>
      <c r="I1" s="266">
        <v>7</v>
      </c>
      <c r="J1" s="266">
        <v>8</v>
      </c>
      <c r="K1" s="266">
        <v>9</v>
      </c>
      <c r="L1" s="266">
        <v>10</v>
      </c>
      <c r="M1" s="266">
        <v>11</v>
      </c>
      <c r="N1" s="266">
        <v>12</v>
      </c>
      <c r="O1" s="266">
        <v>13</v>
      </c>
      <c r="P1" s="266">
        <v>14</v>
      </c>
      <c r="Q1" s="266">
        <v>15</v>
      </c>
      <c r="R1" s="266">
        <v>16</v>
      </c>
      <c r="S1" s="266">
        <v>17</v>
      </c>
      <c r="T1" s="266">
        <v>18</v>
      </c>
      <c r="U1" s="267">
        <v>19</v>
      </c>
      <c r="V1" s="267">
        <v>20</v>
      </c>
      <c r="W1" s="267">
        <v>21</v>
      </c>
      <c r="X1" s="267">
        <v>22</v>
      </c>
      <c r="Y1" s="266">
        <v>23</v>
      </c>
      <c r="Z1" s="267">
        <v>24</v>
      </c>
      <c r="AA1" s="267">
        <v>25</v>
      </c>
      <c r="AB1" s="267">
        <v>26</v>
      </c>
      <c r="AC1" s="267">
        <v>27</v>
      </c>
      <c r="AD1" s="267">
        <v>28</v>
      </c>
      <c r="AE1" s="267">
        <v>29</v>
      </c>
      <c r="AF1" s="266">
        <v>30</v>
      </c>
      <c r="AG1" s="267">
        <v>31</v>
      </c>
    </row>
    <row r="2" spans="1:33" s="268" customFormat="1" ht="16.5" thickBot="1">
      <c r="A2" s="529"/>
      <c r="B2" s="530"/>
      <c r="C2" s="269" t="s">
        <v>997</v>
      </c>
      <c r="D2" s="269" t="s">
        <v>998</v>
      </c>
      <c r="E2" s="269" t="s">
        <v>999</v>
      </c>
      <c r="F2" s="269" t="s">
        <v>1000</v>
      </c>
      <c r="G2" s="269" t="s">
        <v>1001</v>
      </c>
      <c r="H2" s="269" t="s">
        <v>1002</v>
      </c>
      <c r="I2" s="269" t="s">
        <v>1003</v>
      </c>
      <c r="J2" s="269" t="s">
        <v>997</v>
      </c>
      <c r="K2" s="269" t="s">
        <v>998</v>
      </c>
      <c r="L2" s="269" t="s">
        <v>999</v>
      </c>
      <c r="M2" s="269" t="s">
        <v>1000</v>
      </c>
      <c r="N2" s="269" t="s">
        <v>1001</v>
      </c>
      <c r="O2" s="269" t="s">
        <v>1002</v>
      </c>
      <c r="P2" s="269" t="s">
        <v>1003</v>
      </c>
      <c r="Q2" s="269" t="s">
        <v>997</v>
      </c>
      <c r="R2" s="269" t="s">
        <v>998</v>
      </c>
      <c r="S2" s="269" t="s">
        <v>999</v>
      </c>
      <c r="T2" s="269" t="s">
        <v>1000</v>
      </c>
      <c r="U2" s="270" t="s">
        <v>1001</v>
      </c>
      <c r="V2" s="270" t="s">
        <v>1002</v>
      </c>
      <c r="W2" s="270" t="s">
        <v>1003</v>
      </c>
      <c r="X2" s="270" t="s">
        <v>997</v>
      </c>
      <c r="Y2" s="269" t="s">
        <v>998</v>
      </c>
      <c r="Z2" s="270" t="s">
        <v>999</v>
      </c>
      <c r="AA2" s="270" t="s">
        <v>1000</v>
      </c>
      <c r="AB2" s="270" t="s">
        <v>1001</v>
      </c>
      <c r="AC2" s="270" t="s">
        <v>1002</v>
      </c>
      <c r="AD2" s="270" t="s">
        <v>1003</v>
      </c>
      <c r="AE2" s="270" t="s">
        <v>997</v>
      </c>
      <c r="AF2" s="269" t="s">
        <v>998</v>
      </c>
      <c r="AG2" s="270" t="s">
        <v>999</v>
      </c>
    </row>
    <row r="3" spans="1:33" s="268" customFormat="1" ht="16.5" thickTop="1">
      <c r="A3" s="271" t="s">
        <v>1004</v>
      </c>
      <c r="B3" s="272"/>
      <c r="C3" s="224"/>
      <c r="D3" s="224"/>
      <c r="E3" s="224"/>
      <c r="F3" s="224">
        <v>2</v>
      </c>
      <c r="G3" s="224">
        <v>2</v>
      </c>
      <c r="H3" s="224">
        <v>2</v>
      </c>
      <c r="I3" s="224">
        <v>2</v>
      </c>
      <c r="J3" s="224"/>
      <c r="K3" s="224"/>
      <c r="L3" s="224">
        <v>2</v>
      </c>
      <c r="M3" s="224"/>
      <c r="N3" s="224"/>
      <c r="O3" s="224"/>
      <c r="P3" s="224"/>
      <c r="Q3" s="224"/>
      <c r="R3" s="224"/>
      <c r="S3" s="224"/>
      <c r="T3" s="224">
        <v>2</v>
      </c>
      <c r="U3" s="228">
        <v>2</v>
      </c>
      <c r="V3" s="273">
        <v>2.5</v>
      </c>
      <c r="W3" s="228">
        <v>2</v>
      </c>
      <c r="X3" s="227"/>
      <c r="Y3" s="224"/>
      <c r="Z3" s="227"/>
      <c r="AA3" s="228">
        <v>2.5</v>
      </c>
      <c r="AB3" s="228">
        <v>2.5</v>
      </c>
      <c r="AC3" s="228">
        <v>2</v>
      </c>
      <c r="AD3" s="227"/>
      <c r="AE3" s="228">
        <v>10</v>
      </c>
      <c r="AF3" s="224"/>
      <c r="AG3" s="227"/>
    </row>
    <row r="4" spans="1:33" s="268" customFormat="1" ht="15.75">
      <c r="A4" s="531" t="s">
        <v>1005</v>
      </c>
      <c r="B4" s="274" t="s">
        <v>1006</v>
      </c>
      <c r="C4" s="275"/>
      <c r="D4" s="275"/>
      <c r="E4" s="276">
        <v>211</v>
      </c>
      <c r="F4" s="276">
        <v>290</v>
      </c>
      <c r="G4" s="276">
        <v>290</v>
      </c>
      <c r="H4" s="276">
        <v>290</v>
      </c>
      <c r="I4" s="276">
        <v>234</v>
      </c>
      <c r="J4" s="276">
        <v>234</v>
      </c>
      <c r="K4" s="276"/>
      <c r="L4" s="276">
        <v>304</v>
      </c>
      <c r="M4" s="276">
        <v>246</v>
      </c>
      <c r="N4" s="275"/>
      <c r="O4" s="276"/>
      <c r="P4" s="276"/>
      <c r="Q4" s="276"/>
      <c r="R4" s="276"/>
      <c r="S4" s="276">
        <v>258</v>
      </c>
      <c r="T4" s="276">
        <f>320-4</f>
        <v>316</v>
      </c>
      <c r="U4" s="277">
        <v>320</v>
      </c>
      <c r="V4" s="277">
        <v>320</v>
      </c>
      <c r="W4" s="277">
        <v>320</v>
      </c>
      <c r="X4" s="277">
        <v>260</v>
      </c>
      <c r="Y4" s="276"/>
      <c r="Z4" s="277">
        <v>256</v>
      </c>
      <c r="AA4" s="277">
        <v>336</v>
      </c>
      <c r="AB4" s="277">
        <v>336</v>
      </c>
      <c r="AC4" s="277">
        <v>320</v>
      </c>
      <c r="AD4" s="277">
        <v>260</v>
      </c>
      <c r="AE4" s="277">
        <v>320</v>
      </c>
      <c r="AF4" s="276"/>
      <c r="AG4" s="277">
        <v>256</v>
      </c>
    </row>
    <row r="5" spans="1:33" s="268" customFormat="1" ht="15.75">
      <c r="A5" s="532"/>
      <c r="B5" s="278" t="s">
        <v>1007</v>
      </c>
      <c r="C5" s="279"/>
      <c r="D5" s="279"/>
      <c r="E5" s="280">
        <v>211</v>
      </c>
      <c r="F5" s="280">
        <v>290</v>
      </c>
      <c r="G5" s="280">
        <v>290</v>
      </c>
      <c r="H5" s="280">
        <v>290</v>
      </c>
      <c r="I5" s="280">
        <v>234</v>
      </c>
      <c r="J5" s="280">
        <v>234</v>
      </c>
      <c r="K5" s="280"/>
      <c r="L5" s="280">
        <v>304</v>
      </c>
      <c r="M5" s="280">
        <v>246</v>
      </c>
      <c r="N5" s="279"/>
      <c r="O5" s="280"/>
      <c r="P5" s="280"/>
      <c r="Q5" s="280"/>
      <c r="R5" s="280"/>
      <c r="S5" s="280">
        <v>258</v>
      </c>
      <c r="T5" s="280">
        <f>320+4</f>
        <v>324</v>
      </c>
      <c r="U5" s="281">
        <v>320</v>
      </c>
      <c r="V5" s="281">
        <v>320</v>
      </c>
      <c r="W5" s="281">
        <v>320</v>
      </c>
      <c r="X5" s="281">
        <v>260</v>
      </c>
      <c r="Y5" s="280"/>
      <c r="Z5" s="281">
        <v>256</v>
      </c>
      <c r="AA5" s="281">
        <v>336</v>
      </c>
      <c r="AB5" s="281">
        <v>336</v>
      </c>
      <c r="AC5" s="281">
        <v>320</v>
      </c>
      <c r="AD5" s="281">
        <v>260</v>
      </c>
      <c r="AE5" s="281">
        <v>320</v>
      </c>
      <c r="AF5" s="280"/>
      <c r="AG5" s="281">
        <v>256</v>
      </c>
    </row>
    <row r="6" spans="1:33" s="268" customFormat="1" ht="15.75">
      <c r="A6" s="532"/>
      <c r="B6" s="278" t="s">
        <v>1008</v>
      </c>
      <c r="C6" s="279"/>
      <c r="D6" s="279"/>
      <c r="E6" s="280">
        <v>211</v>
      </c>
      <c r="F6" s="280">
        <v>290</v>
      </c>
      <c r="G6" s="280">
        <v>290</v>
      </c>
      <c r="H6" s="280">
        <v>290</v>
      </c>
      <c r="I6" s="280">
        <v>234</v>
      </c>
      <c r="J6" s="280">
        <v>234</v>
      </c>
      <c r="K6" s="280"/>
      <c r="L6" s="280">
        <v>304</v>
      </c>
      <c r="M6" s="280">
        <v>246</v>
      </c>
      <c r="N6" s="279"/>
      <c r="O6" s="280"/>
      <c r="P6" s="280"/>
      <c r="Q6" s="280"/>
      <c r="R6" s="280"/>
      <c r="S6" s="280">
        <v>258</v>
      </c>
      <c r="T6" s="280">
        <v>320</v>
      </c>
      <c r="U6" s="281">
        <v>320</v>
      </c>
      <c r="V6" s="281">
        <v>320</v>
      </c>
      <c r="W6" s="281">
        <v>320</v>
      </c>
      <c r="X6" s="281">
        <v>260</v>
      </c>
      <c r="Y6" s="280"/>
      <c r="Z6" s="281">
        <v>256</v>
      </c>
      <c r="AA6" s="281">
        <v>336</v>
      </c>
      <c r="AB6" s="281">
        <v>336</v>
      </c>
      <c r="AC6" s="281">
        <v>320</v>
      </c>
      <c r="AD6" s="281">
        <v>260</v>
      </c>
      <c r="AE6" s="281">
        <v>320</v>
      </c>
      <c r="AF6" s="280"/>
      <c r="AG6" s="281">
        <v>256</v>
      </c>
    </row>
    <row r="7" spans="1:33" s="268" customFormat="1" ht="15.75">
      <c r="A7" s="532"/>
      <c r="B7" s="282" t="s">
        <v>1009</v>
      </c>
      <c r="C7" s="283">
        <f t="shared" ref="C7:E7" si="0">SUM(C4:C6)</f>
        <v>0</v>
      </c>
      <c r="D7" s="283">
        <f t="shared" si="0"/>
        <v>0</v>
      </c>
      <c r="E7" s="283">
        <f t="shared" si="0"/>
        <v>633</v>
      </c>
      <c r="F7" s="283">
        <f>SUM(F4:F6)</f>
        <v>870</v>
      </c>
      <c r="G7" s="283">
        <f t="shared" ref="G7:K7" si="1">SUM(G4:G6)</f>
        <v>870</v>
      </c>
      <c r="H7" s="283">
        <f t="shared" si="1"/>
        <v>870</v>
      </c>
      <c r="I7" s="283">
        <f t="shared" si="1"/>
        <v>702</v>
      </c>
      <c r="J7" s="283">
        <f t="shared" si="1"/>
        <v>702</v>
      </c>
      <c r="K7" s="283">
        <f t="shared" si="1"/>
        <v>0</v>
      </c>
      <c r="L7" s="283">
        <f>SUM(L4:L6)</f>
        <v>912</v>
      </c>
      <c r="M7" s="283">
        <f>SUM(M4:M6)</f>
        <v>738</v>
      </c>
      <c r="N7" s="283">
        <f t="shared" ref="N7:S7" si="2">SUM(N4:N6)</f>
        <v>0</v>
      </c>
      <c r="O7" s="283">
        <f t="shared" si="2"/>
        <v>0</v>
      </c>
      <c r="P7" s="283">
        <f t="shared" si="2"/>
        <v>0</v>
      </c>
      <c r="Q7" s="283">
        <f t="shared" si="2"/>
        <v>0</v>
      </c>
      <c r="R7" s="283">
        <f t="shared" si="2"/>
        <v>0</v>
      </c>
      <c r="S7" s="283">
        <f t="shared" si="2"/>
        <v>774</v>
      </c>
      <c r="T7" s="283">
        <f>SUM(T4:T6)</f>
        <v>960</v>
      </c>
      <c r="U7" s="284">
        <f t="shared" ref="U7:Z7" si="3">SUM(U4:U6)</f>
        <v>960</v>
      </c>
      <c r="V7" s="284">
        <f t="shared" si="3"/>
        <v>960</v>
      </c>
      <c r="W7" s="284">
        <f t="shared" si="3"/>
        <v>960</v>
      </c>
      <c r="X7" s="284">
        <f t="shared" si="3"/>
        <v>780</v>
      </c>
      <c r="Y7" s="283">
        <f t="shared" si="3"/>
        <v>0</v>
      </c>
      <c r="Z7" s="284">
        <f t="shared" si="3"/>
        <v>768</v>
      </c>
      <c r="AA7" s="284">
        <f>SUM(AA4:AA6)</f>
        <v>1008</v>
      </c>
      <c r="AB7" s="284">
        <f t="shared" ref="AB7:AG7" si="4">SUM(AB4:AB6)</f>
        <v>1008</v>
      </c>
      <c r="AC7" s="284">
        <f t="shared" si="4"/>
        <v>960</v>
      </c>
      <c r="AD7" s="284">
        <f t="shared" si="4"/>
        <v>780</v>
      </c>
      <c r="AE7" s="284">
        <f t="shared" si="4"/>
        <v>960</v>
      </c>
      <c r="AF7" s="283">
        <f t="shared" si="4"/>
        <v>0</v>
      </c>
      <c r="AG7" s="284">
        <f t="shared" si="4"/>
        <v>768</v>
      </c>
    </row>
    <row r="8" spans="1:33" s="268" customFormat="1" ht="15.75">
      <c r="A8" s="533"/>
      <c r="B8" s="285" t="s">
        <v>1010</v>
      </c>
      <c r="C8" s="214" t="e">
        <f>#REF!+C7</f>
        <v>#REF!</v>
      </c>
      <c r="D8" s="214" t="e">
        <f t="shared" ref="D8:AG8" si="5">C8+D7</f>
        <v>#REF!</v>
      </c>
      <c r="E8" s="214" t="e">
        <f t="shared" si="5"/>
        <v>#REF!</v>
      </c>
      <c r="F8" s="214" t="e">
        <f t="shared" si="5"/>
        <v>#REF!</v>
      </c>
      <c r="G8" s="214" t="e">
        <f t="shared" si="5"/>
        <v>#REF!</v>
      </c>
      <c r="H8" s="214" t="e">
        <f t="shared" si="5"/>
        <v>#REF!</v>
      </c>
      <c r="I8" s="214" t="e">
        <f t="shared" si="5"/>
        <v>#REF!</v>
      </c>
      <c r="J8" s="214" t="e">
        <f t="shared" si="5"/>
        <v>#REF!</v>
      </c>
      <c r="K8" s="214" t="e">
        <f t="shared" si="5"/>
        <v>#REF!</v>
      </c>
      <c r="L8" s="214" t="e">
        <f t="shared" si="5"/>
        <v>#REF!</v>
      </c>
      <c r="M8" s="214" t="e">
        <f t="shared" si="5"/>
        <v>#REF!</v>
      </c>
      <c r="N8" s="214" t="e">
        <f t="shared" si="5"/>
        <v>#REF!</v>
      </c>
      <c r="O8" s="214" t="e">
        <f t="shared" si="5"/>
        <v>#REF!</v>
      </c>
      <c r="P8" s="214" t="e">
        <f t="shared" si="5"/>
        <v>#REF!</v>
      </c>
      <c r="Q8" s="214" t="e">
        <f t="shared" si="5"/>
        <v>#REF!</v>
      </c>
      <c r="R8" s="214" t="e">
        <f t="shared" si="5"/>
        <v>#REF!</v>
      </c>
      <c r="S8" s="214" t="e">
        <f t="shared" si="5"/>
        <v>#REF!</v>
      </c>
      <c r="T8" s="214" t="e">
        <f t="shared" si="5"/>
        <v>#REF!</v>
      </c>
      <c r="U8" s="215" t="e">
        <f t="shared" si="5"/>
        <v>#REF!</v>
      </c>
      <c r="V8" s="215" t="e">
        <f t="shared" si="5"/>
        <v>#REF!</v>
      </c>
      <c r="W8" s="215" t="e">
        <f t="shared" si="5"/>
        <v>#REF!</v>
      </c>
      <c r="X8" s="215" t="e">
        <f t="shared" si="5"/>
        <v>#REF!</v>
      </c>
      <c r="Y8" s="214" t="e">
        <f t="shared" si="5"/>
        <v>#REF!</v>
      </c>
      <c r="Z8" s="215" t="e">
        <f t="shared" si="5"/>
        <v>#REF!</v>
      </c>
      <c r="AA8" s="215" t="e">
        <f t="shared" si="5"/>
        <v>#REF!</v>
      </c>
      <c r="AB8" s="215" t="e">
        <f t="shared" si="5"/>
        <v>#REF!</v>
      </c>
      <c r="AC8" s="215" t="e">
        <f t="shared" si="5"/>
        <v>#REF!</v>
      </c>
      <c r="AD8" s="215" t="e">
        <f t="shared" si="5"/>
        <v>#REF!</v>
      </c>
      <c r="AE8" s="215" t="e">
        <f t="shared" si="5"/>
        <v>#REF!</v>
      </c>
      <c r="AF8" s="214" t="e">
        <f t="shared" si="5"/>
        <v>#REF!</v>
      </c>
      <c r="AG8" s="215" t="e">
        <f t="shared" si="5"/>
        <v>#REF!</v>
      </c>
    </row>
    <row r="9" spans="1:33" s="268" customFormat="1" ht="15.75">
      <c r="A9" s="286" t="s">
        <v>1011</v>
      </c>
      <c r="B9" s="287"/>
      <c r="C9" s="216" t="s">
        <v>1012</v>
      </c>
      <c r="D9" s="216" t="s">
        <v>1012</v>
      </c>
      <c r="E9" s="216" t="s">
        <v>1012</v>
      </c>
      <c r="F9" s="216" t="s">
        <v>1012</v>
      </c>
      <c r="G9" s="216" t="s">
        <v>1012</v>
      </c>
      <c r="H9" s="216" t="s">
        <v>1012</v>
      </c>
      <c r="I9" s="216" t="s">
        <v>1013</v>
      </c>
      <c r="J9" s="216" t="s">
        <v>1012</v>
      </c>
      <c r="K9" s="216" t="s">
        <v>1012</v>
      </c>
      <c r="L9" s="216" t="s">
        <v>1012</v>
      </c>
      <c r="M9" s="216" t="s">
        <v>1012</v>
      </c>
      <c r="N9" s="216" t="s">
        <v>1012</v>
      </c>
      <c r="O9" s="216" t="s">
        <v>1012</v>
      </c>
      <c r="P9" s="216" t="s">
        <v>1012</v>
      </c>
      <c r="Q9" s="216" t="s">
        <v>1012</v>
      </c>
      <c r="R9" s="216" t="s">
        <v>1012</v>
      </c>
      <c r="S9" s="216" t="s">
        <v>1012</v>
      </c>
      <c r="T9" s="216" t="s">
        <v>1012</v>
      </c>
      <c r="U9" s="217" t="s">
        <v>1012</v>
      </c>
      <c r="V9" s="217" t="s">
        <v>1012</v>
      </c>
      <c r="W9" s="217" t="s">
        <v>1012</v>
      </c>
      <c r="X9" s="217" t="s">
        <v>1012</v>
      </c>
      <c r="Y9" s="216" t="s">
        <v>1012</v>
      </c>
      <c r="Z9" s="217" t="s">
        <v>1012</v>
      </c>
      <c r="AA9" s="217" t="s">
        <v>1012</v>
      </c>
      <c r="AB9" s="217" t="s">
        <v>1012</v>
      </c>
      <c r="AC9" s="217" t="s">
        <v>1012</v>
      </c>
      <c r="AD9" s="217" t="s">
        <v>1012</v>
      </c>
      <c r="AE9" s="217" t="s">
        <v>1012</v>
      </c>
      <c r="AF9" s="216" t="s">
        <v>1012</v>
      </c>
      <c r="AG9" s="217" t="s">
        <v>1012</v>
      </c>
    </row>
    <row r="10" spans="1:33" s="268" customFormat="1" ht="15.75">
      <c r="A10" s="534" t="s">
        <v>1014</v>
      </c>
      <c r="B10" s="288" t="s">
        <v>1015</v>
      </c>
      <c r="C10" s="289"/>
      <c r="D10" s="289"/>
      <c r="E10" s="290">
        <v>106</v>
      </c>
      <c r="F10" s="290">
        <v>145</v>
      </c>
      <c r="G10" s="290">
        <v>130</v>
      </c>
      <c r="H10" s="290">
        <v>146</v>
      </c>
      <c r="I10" s="290">
        <v>145</v>
      </c>
      <c r="J10" s="290">
        <v>118</v>
      </c>
      <c r="K10" s="289"/>
      <c r="L10" s="290">
        <v>154</v>
      </c>
      <c r="M10" s="290">
        <v>116</v>
      </c>
      <c r="N10" s="289"/>
      <c r="O10" s="289"/>
      <c r="P10" s="289"/>
      <c r="Q10" s="289"/>
      <c r="R10" s="289"/>
      <c r="S10" s="290">
        <v>126</v>
      </c>
      <c r="T10" s="290">
        <v>160</v>
      </c>
      <c r="U10" s="242">
        <v>160</v>
      </c>
      <c r="V10" s="242">
        <v>168</v>
      </c>
      <c r="W10" s="242">
        <v>160</v>
      </c>
      <c r="X10" s="242">
        <v>130</v>
      </c>
      <c r="Y10" s="289"/>
      <c r="Z10" s="242">
        <v>128</v>
      </c>
      <c r="AA10" s="242">
        <f t="shared" ref="AA10:AE10" si="6">AA4/2</f>
        <v>168</v>
      </c>
      <c r="AB10" s="242">
        <f t="shared" si="6"/>
        <v>168</v>
      </c>
      <c r="AC10" s="242">
        <f t="shared" si="6"/>
        <v>160</v>
      </c>
      <c r="AD10" s="242">
        <f t="shared" si="6"/>
        <v>130</v>
      </c>
      <c r="AE10" s="242">
        <f t="shared" si="6"/>
        <v>160</v>
      </c>
      <c r="AF10" s="289"/>
      <c r="AG10" s="242">
        <v>128</v>
      </c>
    </row>
    <row r="11" spans="1:33" s="268" customFormat="1" ht="15.75">
      <c r="A11" s="535"/>
      <c r="B11" s="291" t="s">
        <v>1016</v>
      </c>
      <c r="C11" s="292"/>
      <c r="D11" s="292"/>
      <c r="E11" s="293">
        <v>105</v>
      </c>
      <c r="F11" s="293">
        <v>145</v>
      </c>
      <c r="G11" s="293">
        <v>106</v>
      </c>
      <c r="H11" s="293">
        <v>145</v>
      </c>
      <c r="I11" s="293">
        <v>145</v>
      </c>
      <c r="J11" s="293">
        <v>117</v>
      </c>
      <c r="K11" s="292"/>
      <c r="L11" s="293">
        <v>153</v>
      </c>
      <c r="M11" s="293">
        <v>120</v>
      </c>
      <c r="N11" s="292"/>
      <c r="O11" s="292"/>
      <c r="P11" s="292"/>
      <c r="Q11" s="292"/>
      <c r="R11" s="292"/>
      <c r="S11" s="293">
        <v>126</v>
      </c>
      <c r="T11" s="293">
        <v>157</v>
      </c>
      <c r="U11" s="294">
        <v>160</v>
      </c>
      <c r="V11" s="294">
        <v>168</v>
      </c>
      <c r="W11" s="294">
        <v>160</v>
      </c>
      <c r="X11" s="294">
        <v>130</v>
      </c>
      <c r="Y11" s="292"/>
      <c r="Z11" s="294">
        <v>128</v>
      </c>
      <c r="AA11" s="294">
        <f t="shared" ref="AA11:AE11" si="7">AA10</f>
        <v>168</v>
      </c>
      <c r="AB11" s="294">
        <f t="shared" si="7"/>
        <v>168</v>
      </c>
      <c r="AC11" s="294">
        <f t="shared" si="7"/>
        <v>160</v>
      </c>
      <c r="AD11" s="294">
        <f t="shared" si="7"/>
        <v>130</v>
      </c>
      <c r="AE11" s="294">
        <f t="shared" si="7"/>
        <v>160</v>
      </c>
      <c r="AF11" s="292"/>
      <c r="AG11" s="294">
        <v>128</v>
      </c>
    </row>
    <row r="12" spans="1:33" s="268" customFormat="1" ht="15.75">
      <c r="A12" s="535"/>
      <c r="B12" s="288" t="s">
        <v>1017</v>
      </c>
      <c r="C12" s="289"/>
      <c r="D12" s="289"/>
      <c r="E12" s="290">
        <v>107</v>
      </c>
      <c r="F12" s="290">
        <v>145</v>
      </c>
      <c r="G12" s="290">
        <v>128</v>
      </c>
      <c r="H12" s="290">
        <v>145</v>
      </c>
      <c r="I12" s="290">
        <v>145</v>
      </c>
      <c r="J12" s="290">
        <v>117</v>
      </c>
      <c r="K12" s="289"/>
      <c r="L12" s="290">
        <v>152</v>
      </c>
      <c r="M12" s="290">
        <v>117</v>
      </c>
      <c r="N12" s="289"/>
      <c r="O12" s="289"/>
      <c r="P12" s="289"/>
      <c r="Q12" s="289"/>
      <c r="R12" s="289"/>
      <c r="S12" s="290">
        <v>125</v>
      </c>
      <c r="T12" s="290">
        <v>155</v>
      </c>
      <c r="U12" s="242">
        <v>160</v>
      </c>
      <c r="V12" s="242">
        <v>168</v>
      </c>
      <c r="W12" s="242">
        <v>160</v>
      </c>
      <c r="X12" s="242">
        <v>130</v>
      </c>
      <c r="Y12" s="289"/>
      <c r="Z12" s="242">
        <v>128</v>
      </c>
      <c r="AA12" s="242">
        <f t="shared" ref="AA12:AE12" si="8">AA5/2</f>
        <v>168</v>
      </c>
      <c r="AB12" s="242">
        <f t="shared" si="8"/>
        <v>168</v>
      </c>
      <c r="AC12" s="242">
        <f t="shared" si="8"/>
        <v>160</v>
      </c>
      <c r="AD12" s="242">
        <f t="shared" si="8"/>
        <v>130</v>
      </c>
      <c r="AE12" s="242">
        <f t="shared" si="8"/>
        <v>160</v>
      </c>
      <c r="AF12" s="289"/>
      <c r="AG12" s="242">
        <v>128</v>
      </c>
    </row>
    <row r="13" spans="1:33" s="268" customFormat="1" ht="15.75">
      <c r="A13" s="535"/>
      <c r="B13" s="291" t="s">
        <v>1018</v>
      </c>
      <c r="C13" s="253"/>
      <c r="D13" s="253"/>
      <c r="E13" s="293">
        <v>104</v>
      </c>
      <c r="F13" s="293">
        <v>147</v>
      </c>
      <c r="G13" s="293">
        <v>105</v>
      </c>
      <c r="H13" s="293">
        <v>145</v>
      </c>
      <c r="I13" s="293">
        <v>146</v>
      </c>
      <c r="J13" s="293">
        <v>117</v>
      </c>
      <c r="K13" s="292"/>
      <c r="L13" s="293">
        <v>152</v>
      </c>
      <c r="M13" s="293">
        <v>120</v>
      </c>
      <c r="N13" s="253"/>
      <c r="O13" s="292"/>
      <c r="P13" s="292"/>
      <c r="Q13" s="292"/>
      <c r="R13" s="292"/>
      <c r="S13" s="293">
        <v>126</v>
      </c>
      <c r="T13" s="293">
        <v>157</v>
      </c>
      <c r="U13" s="294">
        <v>160</v>
      </c>
      <c r="V13" s="294">
        <v>168</v>
      </c>
      <c r="W13" s="294">
        <v>160</v>
      </c>
      <c r="X13" s="294">
        <v>130</v>
      </c>
      <c r="Y13" s="292"/>
      <c r="Z13" s="294">
        <v>128</v>
      </c>
      <c r="AA13" s="294">
        <f t="shared" ref="AA13:AE13" si="9">AA12</f>
        <v>168</v>
      </c>
      <c r="AB13" s="294">
        <f t="shared" si="9"/>
        <v>168</v>
      </c>
      <c r="AC13" s="294">
        <f t="shared" si="9"/>
        <v>160</v>
      </c>
      <c r="AD13" s="294">
        <f t="shared" si="9"/>
        <v>130</v>
      </c>
      <c r="AE13" s="294">
        <f t="shared" si="9"/>
        <v>160</v>
      </c>
      <c r="AF13" s="253"/>
      <c r="AG13" s="294">
        <v>128</v>
      </c>
    </row>
    <row r="14" spans="1:33" s="268" customFormat="1" ht="15.75">
      <c r="A14" s="535"/>
      <c r="B14" s="288" t="s">
        <v>1019</v>
      </c>
      <c r="C14" s="289"/>
      <c r="D14" s="289"/>
      <c r="E14" s="290">
        <v>106</v>
      </c>
      <c r="F14" s="290">
        <v>145</v>
      </c>
      <c r="G14" s="290">
        <v>130</v>
      </c>
      <c r="H14" s="290">
        <v>145</v>
      </c>
      <c r="I14" s="290">
        <v>145</v>
      </c>
      <c r="J14" s="290">
        <v>118</v>
      </c>
      <c r="K14" s="289"/>
      <c r="L14" s="290">
        <v>152</v>
      </c>
      <c r="M14" s="290">
        <v>125</v>
      </c>
      <c r="N14" s="289"/>
      <c r="O14" s="289"/>
      <c r="P14" s="289"/>
      <c r="Q14" s="289"/>
      <c r="R14" s="289"/>
      <c r="S14" s="290">
        <v>125</v>
      </c>
      <c r="T14" s="290">
        <v>160</v>
      </c>
      <c r="U14" s="242">
        <v>160</v>
      </c>
      <c r="V14" s="242">
        <v>168</v>
      </c>
      <c r="W14" s="242">
        <v>160</v>
      </c>
      <c r="X14" s="242">
        <v>130</v>
      </c>
      <c r="Y14" s="289"/>
      <c r="Z14" s="242">
        <v>128</v>
      </c>
      <c r="AA14" s="242">
        <f t="shared" ref="AA14:AE14" si="10">AA6/2</f>
        <v>168</v>
      </c>
      <c r="AB14" s="242">
        <f t="shared" si="10"/>
        <v>168</v>
      </c>
      <c r="AC14" s="242">
        <f t="shared" si="10"/>
        <v>160</v>
      </c>
      <c r="AD14" s="242">
        <f t="shared" si="10"/>
        <v>130</v>
      </c>
      <c r="AE14" s="242">
        <f t="shared" si="10"/>
        <v>160</v>
      </c>
      <c r="AF14" s="289"/>
      <c r="AG14" s="242">
        <v>128</v>
      </c>
    </row>
    <row r="15" spans="1:33" s="268" customFormat="1" ht="15.75">
      <c r="A15" s="536"/>
      <c r="B15" s="291" t="s">
        <v>1020</v>
      </c>
      <c r="C15" s="253"/>
      <c r="D15" s="253"/>
      <c r="E15" s="293">
        <v>106</v>
      </c>
      <c r="F15" s="293">
        <v>146</v>
      </c>
      <c r="G15" s="293">
        <v>105</v>
      </c>
      <c r="H15" s="293">
        <v>145</v>
      </c>
      <c r="I15" s="293">
        <v>145</v>
      </c>
      <c r="J15" s="293">
        <v>117</v>
      </c>
      <c r="K15" s="292"/>
      <c r="L15" s="293">
        <v>143</v>
      </c>
      <c r="M15" s="293">
        <v>120</v>
      </c>
      <c r="N15" s="253"/>
      <c r="O15" s="292"/>
      <c r="P15" s="292"/>
      <c r="Q15" s="292"/>
      <c r="R15" s="292"/>
      <c r="S15" s="293">
        <v>126</v>
      </c>
      <c r="T15" s="293">
        <v>157</v>
      </c>
      <c r="U15" s="294">
        <v>160</v>
      </c>
      <c r="V15" s="294">
        <v>168</v>
      </c>
      <c r="W15" s="294">
        <v>160</v>
      </c>
      <c r="X15" s="294">
        <v>130</v>
      </c>
      <c r="Y15" s="292"/>
      <c r="Z15" s="294">
        <v>128</v>
      </c>
      <c r="AA15" s="294">
        <f t="shared" ref="AA15:AE15" si="11">AA14</f>
        <v>168</v>
      </c>
      <c r="AB15" s="294">
        <f t="shared" si="11"/>
        <v>168</v>
      </c>
      <c r="AC15" s="294">
        <f t="shared" si="11"/>
        <v>160</v>
      </c>
      <c r="AD15" s="294">
        <f t="shared" si="11"/>
        <v>130</v>
      </c>
      <c r="AE15" s="294">
        <f t="shared" si="11"/>
        <v>160</v>
      </c>
      <c r="AF15" s="253"/>
      <c r="AG15" s="294">
        <v>128</v>
      </c>
    </row>
    <row r="16" spans="1:33" s="268" customFormat="1" ht="15.75">
      <c r="A16" s="537" t="s">
        <v>1021</v>
      </c>
      <c r="B16" s="295" t="s">
        <v>1022</v>
      </c>
      <c r="C16" s="296">
        <f t="shared" ref="C16:Y16" si="12">C12+C13+C14+C15+C10+C11</f>
        <v>0</v>
      </c>
      <c r="D16" s="296">
        <f t="shared" si="12"/>
        <v>0</v>
      </c>
      <c r="E16" s="297">
        <f t="shared" si="12"/>
        <v>634</v>
      </c>
      <c r="F16" s="297">
        <f t="shared" si="12"/>
        <v>873</v>
      </c>
      <c r="G16" s="297">
        <f t="shared" si="12"/>
        <v>704</v>
      </c>
      <c r="H16" s="297">
        <f t="shared" si="12"/>
        <v>871</v>
      </c>
      <c r="I16" s="297">
        <f t="shared" si="12"/>
        <v>871</v>
      </c>
      <c r="J16" s="297">
        <f t="shared" si="12"/>
        <v>704</v>
      </c>
      <c r="K16" s="296">
        <f t="shared" si="12"/>
        <v>0</v>
      </c>
      <c r="L16" s="297">
        <f t="shared" si="12"/>
        <v>906</v>
      </c>
      <c r="M16" s="297">
        <f t="shared" si="12"/>
        <v>718</v>
      </c>
      <c r="N16" s="296">
        <f t="shared" si="12"/>
        <v>0</v>
      </c>
      <c r="O16" s="296">
        <f>O12+O13+O14+O15+O10+O11</f>
        <v>0</v>
      </c>
      <c r="P16" s="296">
        <f t="shared" si="12"/>
        <v>0</v>
      </c>
      <c r="Q16" s="296">
        <f t="shared" si="12"/>
        <v>0</v>
      </c>
      <c r="R16" s="296">
        <f t="shared" si="12"/>
        <v>0</v>
      </c>
      <c r="S16" s="297">
        <f t="shared" si="12"/>
        <v>754</v>
      </c>
      <c r="T16" s="297">
        <f t="shared" si="12"/>
        <v>946</v>
      </c>
      <c r="U16" s="250">
        <f t="shared" si="12"/>
        <v>960</v>
      </c>
      <c r="V16" s="250">
        <f t="shared" si="12"/>
        <v>1008</v>
      </c>
      <c r="W16" s="250">
        <f t="shared" si="12"/>
        <v>960</v>
      </c>
      <c r="X16" s="250">
        <f t="shared" si="12"/>
        <v>780</v>
      </c>
      <c r="Y16" s="296">
        <f t="shared" si="12"/>
        <v>0</v>
      </c>
      <c r="Z16" s="250">
        <f>Z12+Z13+Z14+Z15+Z10+Z11</f>
        <v>768</v>
      </c>
      <c r="AA16" s="250">
        <f t="shared" ref="AA16:AG16" si="13">AA12+AA13+AA14+AA15+AA10+AA11</f>
        <v>1008</v>
      </c>
      <c r="AB16" s="250">
        <f t="shared" si="13"/>
        <v>1008</v>
      </c>
      <c r="AC16" s="250">
        <f t="shared" si="13"/>
        <v>960</v>
      </c>
      <c r="AD16" s="250">
        <f t="shared" si="13"/>
        <v>780</v>
      </c>
      <c r="AE16" s="250">
        <f t="shared" si="13"/>
        <v>960</v>
      </c>
      <c r="AF16" s="296">
        <f t="shared" si="13"/>
        <v>0</v>
      </c>
      <c r="AG16" s="250">
        <f t="shared" si="13"/>
        <v>768</v>
      </c>
    </row>
    <row r="17" spans="1:43" s="268" customFormat="1" ht="16.5" thickBot="1">
      <c r="A17" s="538"/>
      <c r="B17" s="298" t="s">
        <v>1023</v>
      </c>
      <c r="C17" s="299" t="e">
        <f>C16+#REF!</f>
        <v>#REF!</v>
      </c>
      <c r="D17" s="299" t="e">
        <f t="shared" ref="D17:AG17" si="14">C17+D16</f>
        <v>#REF!</v>
      </c>
      <c r="E17" s="299" t="e">
        <f t="shared" si="14"/>
        <v>#REF!</v>
      </c>
      <c r="F17" s="299" t="e">
        <f t="shared" si="14"/>
        <v>#REF!</v>
      </c>
      <c r="G17" s="299" t="e">
        <f t="shared" si="14"/>
        <v>#REF!</v>
      </c>
      <c r="H17" s="299" t="e">
        <f t="shared" si="14"/>
        <v>#REF!</v>
      </c>
      <c r="I17" s="299" t="e">
        <f t="shared" si="14"/>
        <v>#REF!</v>
      </c>
      <c r="J17" s="299" t="e">
        <f t="shared" si="14"/>
        <v>#REF!</v>
      </c>
      <c r="K17" s="299" t="e">
        <f t="shared" si="14"/>
        <v>#REF!</v>
      </c>
      <c r="L17" s="299" t="e">
        <f t="shared" si="14"/>
        <v>#REF!</v>
      </c>
      <c r="M17" s="299" t="e">
        <f t="shared" si="14"/>
        <v>#REF!</v>
      </c>
      <c r="N17" s="299" t="e">
        <f t="shared" si="14"/>
        <v>#REF!</v>
      </c>
      <c r="O17" s="300" t="e">
        <f t="shared" si="14"/>
        <v>#REF!</v>
      </c>
      <c r="P17" s="299" t="e">
        <f t="shared" si="14"/>
        <v>#REF!</v>
      </c>
      <c r="Q17" s="299" t="e">
        <f t="shared" si="14"/>
        <v>#REF!</v>
      </c>
      <c r="R17" s="299" t="e">
        <f t="shared" si="14"/>
        <v>#REF!</v>
      </c>
      <c r="S17" s="299" t="e">
        <f t="shared" si="14"/>
        <v>#REF!</v>
      </c>
      <c r="T17" s="299" t="e">
        <f t="shared" si="14"/>
        <v>#REF!</v>
      </c>
      <c r="U17" s="301" t="e">
        <f t="shared" si="14"/>
        <v>#REF!</v>
      </c>
      <c r="V17" s="301" t="e">
        <f t="shared" si="14"/>
        <v>#REF!</v>
      </c>
      <c r="W17" s="301" t="e">
        <f t="shared" si="14"/>
        <v>#REF!</v>
      </c>
      <c r="X17" s="301" t="e">
        <f t="shared" si="14"/>
        <v>#REF!</v>
      </c>
      <c r="Y17" s="299" t="e">
        <f t="shared" si="14"/>
        <v>#REF!</v>
      </c>
      <c r="Z17" s="301" t="e">
        <f t="shared" si="14"/>
        <v>#REF!</v>
      </c>
      <c r="AA17" s="301" t="e">
        <f t="shared" si="14"/>
        <v>#REF!</v>
      </c>
      <c r="AB17" s="301" t="e">
        <f t="shared" si="14"/>
        <v>#REF!</v>
      </c>
      <c r="AC17" s="301" t="e">
        <f t="shared" si="14"/>
        <v>#REF!</v>
      </c>
      <c r="AD17" s="302" t="e">
        <f t="shared" si="14"/>
        <v>#REF!</v>
      </c>
      <c r="AE17" s="303" t="e">
        <f t="shared" si="14"/>
        <v>#REF!</v>
      </c>
      <c r="AF17" s="304" t="e">
        <f t="shared" si="14"/>
        <v>#REF!</v>
      </c>
      <c r="AG17" s="305" t="e">
        <f t="shared" si="14"/>
        <v>#REF!</v>
      </c>
    </row>
    <row r="18" spans="1:43" s="268" customFormat="1" ht="15.75">
      <c r="A18" s="539" t="s">
        <v>1024</v>
      </c>
      <c r="B18" s="306" t="s">
        <v>1006</v>
      </c>
      <c r="C18" s="307" t="e">
        <f>SUM(C10:C11)+#REF!-C4</f>
        <v>#REF!</v>
      </c>
      <c r="D18" s="307" t="e">
        <f t="shared" ref="D18" si="15">SUM(D10:D11)+C18-D4</f>
        <v>#REF!</v>
      </c>
      <c r="E18" s="307" t="e">
        <f t="shared" ref="E18" si="16">SUM(E10:E11)+D18-E4</f>
        <v>#REF!</v>
      </c>
      <c r="F18" s="307" t="e">
        <f t="shared" ref="F18:AG18" si="17">SUM(F10:F11)+E18-F4</f>
        <v>#REF!</v>
      </c>
      <c r="G18" s="307" t="e">
        <f t="shared" si="17"/>
        <v>#REF!</v>
      </c>
      <c r="H18" s="307" t="e">
        <f t="shared" si="17"/>
        <v>#REF!</v>
      </c>
      <c r="I18" s="307" t="e">
        <f t="shared" si="17"/>
        <v>#REF!</v>
      </c>
      <c r="J18" s="307" t="e">
        <f t="shared" si="17"/>
        <v>#REF!</v>
      </c>
      <c r="K18" s="307" t="e">
        <f t="shared" si="17"/>
        <v>#REF!</v>
      </c>
      <c r="L18" s="307" t="e">
        <f t="shared" si="17"/>
        <v>#REF!</v>
      </c>
      <c r="M18" s="307" t="e">
        <f t="shared" si="17"/>
        <v>#REF!</v>
      </c>
      <c r="N18" s="307" t="e">
        <f t="shared" si="17"/>
        <v>#REF!</v>
      </c>
      <c r="O18" s="308" t="e">
        <f t="shared" si="17"/>
        <v>#REF!</v>
      </c>
      <c r="P18" s="307" t="e">
        <f t="shared" si="17"/>
        <v>#REF!</v>
      </c>
      <c r="Q18" s="307" t="e">
        <f t="shared" si="17"/>
        <v>#REF!</v>
      </c>
      <c r="R18" s="307" t="e">
        <f t="shared" si="17"/>
        <v>#REF!</v>
      </c>
      <c r="S18" s="307" t="e">
        <f t="shared" si="17"/>
        <v>#REF!</v>
      </c>
      <c r="T18" s="307" t="e">
        <f t="shared" si="17"/>
        <v>#REF!</v>
      </c>
      <c r="U18" s="309" t="e">
        <f t="shared" si="17"/>
        <v>#REF!</v>
      </c>
      <c r="V18" s="309" t="e">
        <f t="shared" si="17"/>
        <v>#REF!</v>
      </c>
      <c r="W18" s="309" t="e">
        <f t="shared" si="17"/>
        <v>#REF!</v>
      </c>
      <c r="X18" s="309" t="e">
        <f t="shared" si="17"/>
        <v>#REF!</v>
      </c>
      <c r="Y18" s="307" t="e">
        <f t="shared" si="17"/>
        <v>#REF!</v>
      </c>
      <c r="Z18" s="309" t="e">
        <f t="shared" si="17"/>
        <v>#REF!</v>
      </c>
      <c r="AA18" s="309" t="e">
        <f t="shared" si="17"/>
        <v>#REF!</v>
      </c>
      <c r="AB18" s="309" t="e">
        <f t="shared" si="17"/>
        <v>#REF!</v>
      </c>
      <c r="AC18" s="309" t="e">
        <f t="shared" si="17"/>
        <v>#REF!</v>
      </c>
      <c r="AD18" s="310" t="e">
        <f t="shared" si="17"/>
        <v>#REF!</v>
      </c>
      <c r="AE18" s="311" t="e">
        <f t="shared" si="17"/>
        <v>#REF!</v>
      </c>
      <c r="AF18" s="312" t="e">
        <f t="shared" si="17"/>
        <v>#REF!</v>
      </c>
      <c r="AG18" s="313" t="e">
        <f t="shared" si="17"/>
        <v>#REF!</v>
      </c>
    </row>
    <row r="19" spans="1:43" s="268" customFormat="1" ht="15.75">
      <c r="A19" s="540"/>
      <c r="B19" s="314" t="s">
        <v>1007</v>
      </c>
      <c r="C19" s="315" t="e">
        <f>SUM(C12:C13)+#REF!-C5</f>
        <v>#REF!</v>
      </c>
      <c r="D19" s="315" t="e">
        <f t="shared" ref="D19" si="18">SUM(D12:D13)+C19-D5</f>
        <v>#REF!</v>
      </c>
      <c r="E19" s="315" t="e">
        <f t="shared" ref="E19" si="19">SUM(E12:E13)+D19-E5</f>
        <v>#REF!</v>
      </c>
      <c r="F19" s="315" t="e">
        <f t="shared" ref="F19:AG19" si="20">SUM(F12:F13)+E19-F5</f>
        <v>#REF!</v>
      </c>
      <c r="G19" s="315" t="e">
        <f t="shared" si="20"/>
        <v>#REF!</v>
      </c>
      <c r="H19" s="315" t="e">
        <f t="shared" si="20"/>
        <v>#REF!</v>
      </c>
      <c r="I19" s="315" t="e">
        <f t="shared" si="20"/>
        <v>#REF!</v>
      </c>
      <c r="J19" s="315" t="e">
        <f t="shared" si="20"/>
        <v>#REF!</v>
      </c>
      <c r="K19" s="315" t="e">
        <f t="shared" si="20"/>
        <v>#REF!</v>
      </c>
      <c r="L19" s="315" t="e">
        <f t="shared" si="20"/>
        <v>#REF!</v>
      </c>
      <c r="M19" s="315" t="e">
        <f t="shared" si="20"/>
        <v>#REF!</v>
      </c>
      <c r="N19" s="315" t="e">
        <f t="shared" si="20"/>
        <v>#REF!</v>
      </c>
      <c r="O19" s="316" t="e">
        <f t="shared" si="20"/>
        <v>#REF!</v>
      </c>
      <c r="P19" s="315" t="e">
        <f t="shared" si="20"/>
        <v>#REF!</v>
      </c>
      <c r="Q19" s="315" t="e">
        <f t="shared" si="20"/>
        <v>#REF!</v>
      </c>
      <c r="R19" s="315" t="e">
        <f t="shared" si="20"/>
        <v>#REF!</v>
      </c>
      <c r="S19" s="315" t="e">
        <f t="shared" si="20"/>
        <v>#REF!</v>
      </c>
      <c r="T19" s="315" t="e">
        <f t="shared" si="20"/>
        <v>#REF!</v>
      </c>
      <c r="U19" s="317" t="e">
        <f t="shared" si="20"/>
        <v>#REF!</v>
      </c>
      <c r="V19" s="317" t="e">
        <f t="shared" si="20"/>
        <v>#REF!</v>
      </c>
      <c r="W19" s="317" t="e">
        <f t="shared" si="20"/>
        <v>#REF!</v>
      </c>
      <c r="X19" s="317" t="e">
        <f t="shared" si="20"/>
        <v>#REF!</v>
      </c>
      <c r="Y19" s="315" t="e">
        <f t="shared" si="20"/>
        <v>#REF!</v>
      </c>
      <c r="Z19" s="317" t="e">
        <f t="shared" si="20"/>
        <v>#REF!</v>
      </c>
      <c r="AA19" s="317" t="e">
        <f t="shared" si="20"/>
        <v>#REF!</v>
      </c>
      <c r="AB19" s="317" t="e">
        <f t="shared" si="20"/>
        <v>#REF!</v>
      </c>
      <c r="AC19" s="317" t="e">
        <f t="shared" si="20"/>
        <v>#REF!</v>
      </c>
      <c r="AD19" s="318" t="e">
        <f t="shared" si="20"/>
        <v>#REF!</v>
      </c>
      <c r="AE19" s="319" t="e">
        <f t="shared" si="20"/>
        <v>#REF!</v>
      </c>
      <c r="AF19" s="320" t="e">
        <f t="shared" si="20"/>
        <v>#REF!</v>
      </c>
      <c r="AG19" s="321" t="e">
        <f t="shared" si="20"/>
        <v>#REF!</v>
      </c>
    </row>
    <row r="20" spans="1:43" s="268" customFormat="1" ht="15.75">
      <c r="A20" s="540"/>
      <c r="B20" s="298" t="s">
        <v>1025</v>
      </c>
      <c r="C20" s="322" t="e">
        <f>SUM(C14:C15)+#REF!-C6</f>
        <v>#REF!</v>
      </c>
      <c r="D20" s="322" t="e">
        <f t="shared" ref="D20" si="21">SUM(D14:D15)+C20-D6</f>
        <v>#REF!</v>
      </c>
      <c r="E20" s="322" t="e">
        <f t="shared" ref="E20" si="22">SUM(E14:E15)+D20-E6</f>
        <v>#REF!</v>
      </c>
      <c r="F20" s="322" t="e">
        <f t="shared" ref="F20:G20" si="23">SUM(F14:F15)+E20-F6</f>
        <v>#REF!</v>
      </c>
      <c r="G20" s="322" t="e">
        <f t="shared" si="23"/>
        <v>#REF!</v>
      </c>
      <c r="H20" s="322" t="e">
        <f>SUM(H14:H15)+G20-H6</f>
        <v>#REF!</v>
      </c>
      <c r="I20" s="322" t="e">
        <f t="shared" ref="I20" si="24">SUM(I14:I15)+H20-I6</f>
        <v>#REF!</v>
      </c>
      <c r="J20" s="322" t="e">
        <f t="shared" ref="J20" si="25">SUM(J14:J15)+I20-J6</f>
        <v>#REF!</v>
      </c>
      <c r="K20" s="322" t="e">
        <f t="shared" ref="K20:AG20" si="26">SUM(K14:K15)+J20-K6</f>
        <v>#REF!</v>
      </c>
      <c r="L20" s="322" t="e">
        <f t="shared" si="26"/>
        <v>#REF!</v>
      </c>
      <c r="M20" s="322" t="e">
        <f t="shared" si="26"/>
        <v>#REF!</v>
      </c>
      <c r="N20" s="322" t="e">
        <f t="shared" si="26"/>
        <v>#REF!</v>
      </c>
      <c r="O20" s="323" t="e">
        <f t="shared" si="26"/>
        <v>#REF!</v>
      </c>
      <c r="P20" s="322" t="e">
        <f t="shared" si="26"/>
        <v>#REF!</v>
      </c>
      <c r="Q20" s="322" t="e">
        <f t="shared" si="26"/>
        <v>#REF!</v>
      </c>
      <c r="R20" s="322" t="e">
        <f t="shared" si="26"/>
        <v>#REF!</v>
      </c>
      <c r="S20" s="322" t="e">
        <f t="shared" si="26"/>
        <v>#REF!</v>
      </c>
      <c r="T20" s="322" t="e">
        <f t="shared" si="26"/>
        <v>#REF!</v>
      </c>
      <c r="U20" s="324" t="e">
        <f t="shared" si="26"/>
        <v>#REF!</v>
      </c>
      <c r="V20" s="324" t="e">
        <f t="shared" si="26"/>
        <v>#REF!</v>
      </c>
      <c r="W20" s="324" t="e">
        <f t="shared" si="26"/>
        <v>#REF!</v>
      </c>
      <c r="X20" s="324" t="e">
        <f t="shared" si="26"/>
        <v>#REF!</v>
      </c>
      <c r="Y20" s="322" t="e">
        <f t="shared" si="26"/>
        <v>#REF!</v>
      </c>
      <c r="Z20" s="324" t="e">
        <f t="shared" si="26"/>
        <v>#REF!</v>
      </c>
      <c r="AA20" s="324" t="e">
        <f t="shared" si="26"/>
        <v>#REF!</v>
      </c>
      <c r="AB20" s="324" t="e">
        <f t="shared" si="26"/>
        <v>#REF!</v>
      </c>
      <c r="AC20" s="324" t="e">
        <f t="shared" si="26"/>
        <v>#REF!</v>
      </c>
      <c r="AD20" s="325" t="e">
        <f t="shared" si="26"/>
        <v>#REF!</v>
      </c>
      <c r="AE20" s="326" t="e">
        <f t="shared" si="26"/>
        <v>#REF!</v>
      </c>
      <c r="AF20" s="327" t="e">
        <f t="shared" si="26"/>
        <v>#REF!</v>
      </c>
      <c r="AG20" s="328" t="e">
        <f t="shared" si="26"/>
        <v>#REF!</v>
      </c>
    </row>
    <row r="21" spans="1:43" s="268" customFormat="1" ht="16.5" thickBot="1">
      <c r="A21" s="541"/>
      <c r="B21" s="329" t="s">
        <v>1009</v>
      </c>
      <c r="C21" s="330" t="e">
        <f>C17-C8</f>
        <v>#REF!</v>
      </c>
      <c r="D21" s="330" t="e">
        <f t="shared" ref="D21:R21" si="27">D17-D8</f>
        <v>#REF!</v>
      </c>
      <c r="E21" s="330" t="e">
        <f t="shared" si="27"/>
        <v>#REF!</v>
      </c>
      <c r="F21" s="330" t="e">
        <f t="shared" si="27"/>
        <v>#REF!</v>
      </c>
      <c r="G21" s="330" t="e">
        <f t="shared" si="27"/>
        <v>#REF!</v>
      </c>
      <c r="H21" s="330" t="e">
        <f t="shared" si="27"/>
        <v>#REF!</v>
      </c>
      <c r="I21" s="330" t="e">
        <f t="shared" si="27"/>
        <v>#REF!</v>
      </c>
      <c r="J21" s="330" t="e">
        <f t="shared" si="27"/>
        <v>#REF!</v>
      </c>
      <c r="K21" s="330" t="e">
        <f t="shared" si="27"/>
        <v>#REF!</v>
      </c>
      <c r="L21" s="330" t="e">
        <f t="shared" si="27"/>
        <v>#REF!</v>
      </c>
      <c r="M21" s="330" t="e">
        <f t="shared" si="27"/>
        <v>#REF!</v>
      </c>
      <c r="N21" s="330" t="e">
        <f t="shared" si="27"/>
        <v>#REF!</v>
      </c>
      <c r="O21" s="330" t="e">
        <f t="shared" si="27"/>
        <v>#REF!</v>
      </c>
      <c r="P21" s="330" t="e">
        <f t="shared" si="27"/>
        <v>#REF!</v>
      </c>
      <c r="Q21" s="330" t="e">
        <f t="shared" si="27"/>
        <v>#REF!</v>
      </c>
      <c r="R21" s="330" t="e">
        <f t="shared" si="27"/>
        <v>#REF!</v>
      </c>
      <c r="S21" s="330" t="e">
        <f>S17-S8</f>
        <v>#REF!</v>
      </c>
      <c r="T21" s="330" t="e">
        <f t="shared" ref="T21:AG21" si="28">T17-T8</f>
        <v>#REF!</v>
      </c>
      <c r="U21" s="331" t="e">
        <f t="shared" si="28"/>
        <v>#REF!</v>
      </c>
      <c r="V21" s="331" t="e">
        <f t="shared" si="28"/>
        <v>#REF!</v>
      </c>
      <c r="W21" s="331" t="e">
        <f t="shared" si="28"/>
        <v>#REF!</v>
      </c>
      <c r="X21" s="331" t="e">
        <f t="shared" si="28"/>
        <v>#REF!</v>
      </c>
      <c r="Y21" s="330" t="e">
        <f t="shared" si="28"/>
        <v>#REF!</v>
      </c>
      <c r="Z21" s="331" t="e">
        <f t="shared" si="28"/>
        <v>#REF!</v>
      </c>
      <c r="AA21" s="331" t="e">
        <f t="shared" si="28"/>
        <v>#REF!</v>
      </c>
      <c r="AB21" s="331" t="e">
        <f t="shared" si="28"/>
        <v>#REF!</v>
      </c>
      <c r="AC21" s="331" t="e">
        <f t="shared" si="28"/>
        <v>#REF!</v>
      </c>
      <c r="AD21" s="331" t="e">
        <f t="shared" si="28"/>
        <v>#REF!</v>
      </c>
      <c r="AE21" s="332" t="e">
        <f t="shared" si="28"/>
        <v>#REF!</v>
      </c>
      <c r="AF21" s="333" t="e">
        <f t="shared" si="28"/>
        <v>#REF!</v>
      </c>
      <c r="AG21" s="334" t="e">
        <f t="shared" si="28"/>
        <v>#REF!</v>
      </c>
    </row>
    <row r="22" spans="1:43" s="268" customFormat="1" ht="15.75">
      <c r="A22" s="524" t="s">
        <v>1026</v>
      </c>
      <c r="B22" s="306" t="s">
        <v>1006</v>
      </c>
      <c r="C22" s="335" t="e">
        <f t="shared" ref="C22:AG24" si="29">C18/133*8</f>
        <v>#REF!</v>
      </c>
      <c r="D22" s="335" t="e">
        <f t="shared" si="29"/>
        <v>#REF!</v>
      </c>
      <c r="E22" s="335" t="e">
        <f t="shared" si="29"/>
        <v>#REF!</v>
      </c>
      <c r="F22" s="335" t="e">
        <f t="shared" si="29"/>
        <v>#REF!</v>
      </c>
      <c r="G22" s="335" t="e">
        <f t="shared" si="29"/>
        <v>#REF!</v>
      </c>
      <c r="H22" s="335" t="e">
        <f t="shared" si="29"/>
        <v>#REF!</v>
      </c>
      <c r="I22" s="335" t="e">
        <f t="shared" si="29"/>
        <v>#REF!</v>
      </c>
      <c r="J22" s="335" t="e">
        <f t="shared" si="29"/>
        <v>#REF!</v>
      </c>
      <c r="K22" s="335" t="e">
        <f t="shared" si="29"/>
        <v>#REF!</v>
      </c>
      <c r="L22" s="335" t="e">
        <f t="shared" si="29"/>
        <v>#REF!</v>
      </c>
      <c r="M22" s="335" t="e">
        <f t="shared" si="29"/>
        <v>#REF!</v>
      </c>
      <c r="N22" s="335" t="e">
        <f t="shared" si="29"/>
        <v>#REF!</v>
      </c>
      <c r="O22" s="335" t="e">
        <f t="shared" si="29"/>
        <v>#REF!</v>
      </c>
      <c r="P22" s="335" t="e">
        <f t="shared" si="29"/>
        <v>#REF!</v>
      </c>
      <c r="Q22" s="335" t="e">
        <f t="shared" si="29"/>
        <v>#REF!</v>
      </c>
      <c r="R22" s="335" t="e">
        <f t="shared" si="29"/>
        <v>#REF!</v>
      </c>
      <c r="S22" s="335" t="e">
        <f t="shared" si="29"/>
        <v>#REF!</v>
      </c>
      <c r="T22" s="335" t="e">
        <f t="shared" si="29"/>
        <v>#REF!</v>
      </c>
      <c r="U22" s="336" t="e">
        <f t="shared" si="29"/>
        <v>#REF!</v>
      </c>
      <c r="V22" s="336" t="e">
        <f t="shared" si="29"/>
        <v>#REF!</v>
      </c>
      <c r="W22" s="336" t="e">
        <f t="shared" si="29"/>
        <v>#REF!</v>
      </c>
      <c r="X22" s="336" t="e">
        <f t="shared" si="29"/>
        <v>#REF!</v>
      </c>
      <c r="Y22" s="335" t="e">
        <f t="shared" si="29"/>
        <v>#REF!</v>
      </c>
      <c r="Z22" s="336" t="e">
        <f t="shared" si="29"/>
        <v>#REF!</v>
      </c>
      <c r="AA22" s="336" t="e">
        <f t="shared" si="29"/>
        <v>#REF!</v>
      </c>
      <c r="AB22" s="336" t="e">
        <f t="shared" si="29"/>
        <v>#REF!</v>
      </c>
      <c r="AC22" s="336" t="e">
        <f t="shared" si="29"/>
        <v>#REF!</v>
      </c>
      <c r="AD22" s="336" t="e">
        <f t="shared" si="29"/>
        <v>#REF!</v>
      </c>
      <c r="AE22" s="336" t="e">
        <f t="shared" si="29"/>
        <v>#REF!</v>
      </c>
      <c r="AF22" s="335" t="e">
        <f t="shared" si="29"/>
        <v>#REF!</v>
      </c>
      <c r="AG22" s="336" t="e">
        <f t="shared" si="29"/>
        <v>#REF!</v>
      </c>
    </row>
    <row r="23" spans="1:43" s="268" customFormat="1" ht="15.75">
      <c r="A23" s="525"/>
      <c r="B23" s="314" t="s">
        <v>1007</v>
      </c>
      <c r="C23" s="337" t="e">
        <f t="shared" si="29"/>
        <v>#REF!</v>
      </c>
      <c r="D23" s="337" t="e">
        <f t="shared" si="29"/>
        <v>#REF!</v>
      </c>
      <c r="E23" s="337" t="e">
        <f t="shared" si="29"/>
        <v>#REF!</v>
      </c>
      <c r="F23" s="337" t="e">
        <f t="shared" si="29"/>
        <v>#REF!</v>
      </c>
      <c r="G23" s="337" t="e">
        <f t="shared" si="29"/>
        <v>#REF!</v>
      </c>
      <c r="H23" s="337" t="e">
        <f t="shared" si="29"/>
        <v>#REF!</v>
      </c>
      <c r="I23" s="337" t="e">
        <f t="shared" si="29"/>
        <v>#REF!</v>
      </c>
      <c r="J23" s="337" t="e">
        <f t="shared" si="29"/>
        <v>#REF!</v>
      </c>
      <c r="K23" s="337" t="e">
        <f t="shared" si="29"/>
        <v>#REF!</v>
      </c>
      <c r="L23" s="337" t="e">
        <f t="shared" si="29"/>
        <v>#REF!</v>
      </c>
      <c r="M23" s="337" t="e">
        <f t="shared" si="29"/>
        <v>#REF!</v>
      </c>
      <c r="N23" s="337" t="e">
        <f t="shared" si="29"/>
        <v>#REF!</v>
      </c>
      <c r="O23" s="337" t="e">
        <f t="shared" si="29"/>
        <v>#REF!</v>
      </c>
      <c r="P23" s="337" t="e">
        <f t="shared" si="29"/>
        <v>#REF!</v>
      </c>
      <c r="Q23" s="337" t="e">
        <f t="shared" si="29"/>
        <v>#REF!</v>
      </c>
      <c r="R23" s="337" t="e">
        <f t="shared" si="29"/>
        <v>#REF!</v>
      </c>
      <c r="S23" s="337" t="e">
        <f t="shared" si="29"/>
        <v>#REF!</v>
      </c>
      <c r="T23" s="337" t="e">
        <f t="shared" si="29"/>
        <v>#REF!</v>
      </c>
      <c r="U23" s="338" t="e">
        <f t="shared" si="29"/>
        <v>#REF!</v>
      </c>
      <c r="V23" s="338" t="e">
        <f t="shared" si="29"/>
        <v>#REF!</v>
      </c>
      <c r="W23" s="338" t="e">
        <f t="shared" si="29"/>
        <v>#REF!</v>
      </c>
      <c r="X23" s="338" t="e">
        <f t="shared" si="29"/>
        <v>#REF!</v>
      </c>
      <c r="Y23" s="337" t="e">
        <f t="shared" si="29"/>
        <v>#REF!</v>
      </c>
      <c r="Z23" s="338" t="e">
        <f t="shared" si="29"/>
        <v>#REF!</v>
      </c>
      <c r="AA23" s="338" t="e">
        <f t="shared" si="29"/>
        <v>#REF!</v>
      </c>
      <c r="AB23" s="338" t="e">
        <f t="shared" si="29"/>
        <v>#REF!</v>
      </c>
      <c r="AC23" s="338" t="e">
        <f t="shared" si="29"/>
        <v>#REF!</v>
      </c>
      <c r="AD23" s="338" t="e">
        <f t="shared" si="29"/>
        <v>#REF!</v>
      </c>
      <c r="AE23" s="338" t="e">
        <f t="shared" si="29"/>
        <v>#REF!</v>
      </c>
      <c r="AF23" s="337" t="e">
        <f t="shared" si="29"/>
        <v>#REF!</v>
      </c>
      <c r="AG23" s="338" t="e">
        <f t="shared" si="29"/>
        <v>#REF!</v>
      </c>
    </row>
    <row r="24" spans="1:43" s="268" customFormat="1" ht="15.75">
      <c r="A24" s="525"/>
      <c r="B24" s="298" t="s">
        <v>1025</v>
      </c>
      <c r="C24" s="339" t="e">
        <f t="shared" si="29"/>
        <v>#REF!</v>
      </c>
      <c r="D24" s="339" t="e">
        <f t="shared" si="29"/>
        <v>#REF!</v>
      </c>
      <c r="E24" s="339" t="e">
        <f t="shared" si="29"/>
        <v>#REF!</v>
      </c>
      <c r="F24" s="339" t="e">
        <f t="shared" si="29"/>
        <v>#REF!</v>
      </c>
      <c r="G24" s="339" t="e">
        <f t="shared" si="29"/>
        <v>#REF!</v>
      </c>
      <c r="H24" s="339" t="e">
        <f t="shared" si="29"/>
        <v>#REF!</v>
      </c>
      <c r="I24" s="339" t="e">
        <f t="shared" si="29"/>
        <v>#REF!</v>
      </c>
      <c r="J24" s="339" t="e">
        <f t="shared" si="29"/>
        <v>#REF!</v>
      </c>
      <c r="K24" s="339" t="e">
        <f t="shared" si="29"/>
        <v>#REF!</v>
      </c>
      <c r="L24" s="339" t="e">
        <f t="shared" si="29"/>
        <v>#REF!</v>
      </c>
      <c r="M24" s="339" t="e">
        <f t="shared" si="29"/>
        <v>#REF!</v>
      </c>
      <c r="N24" s="339" t="e">
        <f t="shared" si="29"/>
        <v>#REF!</v>
      </c>
      <c r="O24" s="339" t="e">
        <f t="shared" si="29"/>
        <v>#REF!</v>
      </c>
      <c r="P24" s="339" t="e">
        <f>P20/133*8</f>
        <v>#REF!</v>
      </c>
      <c r="Q24" s="339" t="e">
        <f t="shared" si="29"/>
        <v>#REF!</v>
      </c>
      <c r="R24" s="339" t="e">
        <f t="shared" si="29"/>
        <v>#REF!</v>
      </c>
      <c r="S24" s="339" t="e">
        <f t="shared" si="29"/>
        <v>#REF!</v>
      </c>
      <c r="T24" s="339" t="e">
        <f t="shared" si="29"/>
        <v>#REF!</v>
      </c>
      <c r="U24" s="340" t="e">
        <f t="shared" si="29"/>
        <v>#REF!</v>
      </c>
      <c r="V24" s="340" t="e">
        <f t="shared" si="29"/>
        <v>#REF!</v>
      </c>
      <c r="W24" s="340" t="e">
        <f t="shared" si="29"/>
        <v>#REF!</v>
      </c>
      <c r="X24" s="340" t="e">
        <f t="shared" si="29"/>
        <v>#REF!</v>
      </c>
      <c r="Y24" s="339" t="e">
        <f t="shared" si="29"/>
        <v>#REF!</v>
      </c>
      <c r="Z24" s="340" t="e">
        <f t="shared" si="29"/>
        <v>#REF!</v>
      </c>
      <c r="AA24" s="340" t="e">
        <f t="shared" si="29"/>
        <v>#REF!</v>
      </c>
      <c r="AB24" s="340" t="e">
        <f t="shared" si="29"/>
        <v>#REF!</v>
      </c>
      <c r="AC24" s="340" t="e">
        <f t="shared" si="29"/>
        <v>#REF!</v>
      </c>
      <c r="AD24" s="340" t="e">
        <f t="shared" si="29"/>
        <v>#REF!</v>
      </c>
      <c r="AE24" s="340" t="e">
        <f t="shared" si="29"/>
        <v>#REF!</v>
      </c>
      <c r="AF24" s="339" t="e">
        <f t="shared" si="29"/>
        <v>#REF!</v>
      </c>
      <c r="AG24" s="340" t="e">
        <f t="shared" si="29"/>
        <v>#REF!</v>
      </c>
    </row>
    <row r="25" spans="1:43" s="268" customFormat="1" ht="15.75">
      <c r="A25" s="526"/>
      <c r="B25" s="341" t="s">
        <v>1009</v>
      </c>
      <c r="C25" s="342" t="e">
        <f t="shared" ref="C25:AG25" si="30">C21/390*8</f>
        <v>#REF!</v>
      </c>
      <c r="D25" s="342" t="e">
        <f t="shared" si="30"/>
        <v>#REF!</v>
      </c>
      <c r="E25" s="342" t="e">
        <f t="shared" si="30"/>
        <v>#REF!</v>
      </c>
      <c r="F25" s="342" t="e">
        <f t="shared" si="30"/>
        <v>#REF!</v>
      </c>
      <c r="G25" s="342" t="e">
        <f t="shared" si="30"/>
        <v>#REF!</v>
      </c>
      <c r="H25" s="342" t="e">
        <f t="shared" si="30"/>
        <v>#REF!</v>
      </c>
      <c r="I25" s="342" t="e">
        <f t="shared" si="30"/>
        <v>#REF!</v>
      </c>
      <c r="J25" s="342" t="e">
        <f t="shared" si="30"/>
        <v>#REF!</v>
      </c>
      <c r="K25" s="342" t="e">
        <f t="shared" si="30"/>
        <v>#REF!</v>
      </c>
      <c r="L25" s="342" t="e">
        <f t="shared" si="30"/>
        <v>#REF!</v>
      </c>
      <c r="M25" s="342" t="e">
        <f t="shared" si="30"/>
        <v>#REF!</v>
      </c>
      <c r="N25" s="342" t="e">
        <f t="shared" si="30"/>
        <v>#REF!</v>
      </c>
      <c r="O25" s="342" t="e">
        <f t="shared" si="30"/>
        <v>#REF!</v>
      </c>
      <c r="P25" s="342" t="e">
        <f t="shared" si="30"/>
        <v>#REF!</v>
      </c>
      <c r="Q25" s="342" t="e">
        <f t="shared" si="30"/>
        <v>#REF!</v>
      </c>
      <c r="R25" s="342" t="e">
        <f t="shared" si="30"/>
        <v>#REF!</v>
      </c>
      <c r="S25" s="342" t="e">
        <f t="shared" si="30"/>
        <v>#REF!</v>
      </c>
      <c r="T25" s="342" t="e">
        <f t="shared" si="30"/>
        <v>#REF!</v>
      </c>
      <c r="U25" s="343" t="e">
        <f t="shared" si="30"/>
        <v>#REF!</v>
      </c>
      <c r="V25" s="343" t="e">
        <f t="shared" si="30"/>
        <v>#REF!</v>
      </c>
      <c r="W25" s="343" t="e">
        <f t="shared" si="30"/>
        <v>#REF!</v>
      </c>
      <c r="X25" s="343" t="e">
        <f t="shared" si="30"/>
        <v>#REF!</v>
      </c>
      <c r="Y25" s="342" t="e">
        <f t="shared" si="30"/>
        <v>#REF!</v>
      </c>
      <c r="Z25" s="343" t="e">
        <f t="shared" si="30"/>
        <v>#REF!</v>
      </c>
      <c r="AA25" s="343" t="e">
        <f t="shared" si="30"/>
        <v>#REF!</v>
      </c>
      <c r="AB25" s="343" t="e">
        <f t="shared" si="30"/>
        <v>#REF!</v>
      </c>
      <c r="AC25" s="343" t="e">
        <f t="shared" si="30"/>
        <v>#REF!</v>
      </c>
      <c r="AD25" s="343" t="e">
        <f t="shared" si="30"/>
        <v>#REF!</v>
      </c>
      <c r="AE25" s="343" t="e">
        <f t="shared" si="30"/>
        <v>#REF!</v>
      </c>
      <c r="AF25" s="342" t="e">
        <f t="shared" si="30"/>
        <v>#REF!</v>
      </c>
      <c r="AG25" s="343" t="e">
        <f t="shared" si="30"/>
        <v>#REF!</v>
      </c>
    </row>
    <row r="29" spans="1:43" s="221" customFormat="1" ht="18.75" customHeight="1">
      <c r="A29" s="545" t="s">
        <v>1042</v>
      </c>
      <c r="B29" s="546"/>
      <c r="C29" s="349">
        <v>1</v>
      </c>
      <c r="D29" s="349">
        <v>2</v>
      </c>
      <c r="E29" s="349">
        <v>3</v>
      </c>
      <c r="F29" s="349">
        <v>4</v>
      </c>
      <c r="G29" s="350">
        <v>5</v>
      </c>
      <c r="H29" s="350">
        <v>6</v>
      </c>
      <c r="I29" s="350">
        <v>7</v>
      </c>
      <c r="J29" s="349">
        <v>8</v>
      </c>
      <c r="K29" s="349">
        <v>9</v>
      </c>
      <c r="L29" s="349">
        <v>10</v>
      </c>
      <c r="M29" s="349">
        <v>11</v>
      </c>
      <c r="N29" s="350">
        <v>12</v>
      </c>
      <c r="O29" s="350">
        <v>13</v>
      </c>
      <c r="P29" s="349">
        <v>14</v>
      </c>
      <c r="Q29" s="349">
        <v>15</v>
      </c>
      <c r="R29" s="349">
        <v>16</v>
      </c>
      <c r="S29" s="349">
        <v>17</v>
      </c>
      <c r="T29" s="349">
        <v>18</v>
      </c>
      <c r="U29" s="349">
        <v>19</v>
      </c>
      <c r="V29" s="350">
        <v>20</v>
      </c>
      <c r="W29" s="349">
        <v>21</v>
      </c>
      <c r="X29" s="349">
        <v>22</v>
      </c>
      <c r="Y29" s="349">
        <v>23</v>
      </c>
      <c r="Z29" s="349">
        <v>24</v>
      </c>
      <c r="AA29" s="349">
        <v>25</v>
      </c>
      <c r="AB29" s="350">
        <v>26</v>
      </c>
      <c r="AC29" s="350">
        <v>27</v>
      </c>
      <c r="AD29" s="349">
        <v>28</v>
      </c>
      <c r="AE29" s="349">
        <v>29</v>
      </c>
      <c r="AF29" s="349">
        <v>30</v>
      </c>
      <c r="AG29" s="350"/>
      <c r="AQ29" s="222"/>
    </row>
    <row r="30" spans="1:43" s="221" customFormat="1" ht="18.75" customHeight="1" thickBot="1">
      <c r="A30" s="547"/>
      <c r="B30" s="548"/>
      <c r="C30" s="213" t="s">
        <v>1000</v>
      </c>
      <c r="D30" s="213" t="s">
        <v>1001</v>
      </c>
      <c r="E30" s="213" t="s">
        <v>1002</v>
      </c>
      <c r="F30" s="213" t="s">
        <v>1003</v>
      </c>
      <c r="G30" s="212" t="s">
        <v>997</v>
      </c>
      <c r="H30" s="212" t="s">
        <v>998</v>
      </c>
      <c r="I30" s="212" t="s">
        <v>999</v>
      </c>
      <c r="J30" s="213" t="s">
        <v>1000</v>
      </c>
      <c r="K30" s="213" t="s">
        <v>1001</v>
      </c>
      <c r="L30" s="213" t="s">
        <v>1002</v>
      </c>
      <c r="M30" s="213" t="s">
        <v>1003</v>
      </c>
      <c r="N30" s="212" t="s">
        <v>997</v>
      </c>
      <c r="O30" s="212" t="s">
        <v>998</v>
      </c>
      <c r="P30" s="213" t="s">
        <v>999</v>
      </c>
      <c r="Q30" s="213" t="s">
        <v>1000</v>
      </c>
      <c r="R30" s="213" t="s">
        <v>1001</v>
      </c>
      <c r="S30" s="213" t="s">
        <v>1002</v>
      </c>
      <c r="T30" s="213" t="s">
        <v>1003</v>
      </c>
      <c r="U30" s="213" t="s">
        <v>997</v>
      </c>
      <c r="V30" s="212" t="s">
        <v>998</v>
      </c>
      <c r="W30" s="213" t="s">
        <v>999</v>
      </c>
      <c r="X30" s="213" t="s">
        <v>1000</v>
      </c>
      <c r="Y30" s="213" t="s">
        <v>1001</v>
      </c>
      <c r="Z30" s="213" t="s">
        <v>1002</v>
      </c>
      <c r="AA30" s="213" t="s">
        <v>1003</v>
      </c>
      <c r="AB30" s="213" t="s">
        <v>997</v>
      </c>
      <c r="AC30" s="212" t="s">
        <v>998</v>
      </c>
      <c r="AD30" s="213" t="s">
        <v>999</v>
      </c>
      <c r="AE30" s="213" t="s">
        <v>1000</v>
      </c>
      <c r="AF30" s="213" t="s">
        <v>1001</v>
      </c>
      <c r="AG30" s="212"/>
    </row>
    <row r="31" spans="1:43" s="373" customFormat="1" ht="25.5" customHeight="1" thickTop="1">
      <c r="A31" s="364" t="s">
        <v>1004</v>
      </c>
      <c r="B31" s="365"/>
      <c r="C31" s="366">
        <v>2.5</v>
      </c>
      <c r="D31" s="366">
        <v>2.5</v>
      </c>
      <c r="E31" s="366">
        <v>2</v>
      </c>
      <c r="F31" s="367">
        <v>10</v>
      </c>
      <c r="G31" s="368"/>
      <c r="H31" s="368"/>
      <c r="I31" s="368"/>
      <c r="J31" s="366">
        <v>2</v>
      </c>
      <c r="K31" s="366">
        <v>2.5</v>
      </c>
      <c r="L31" s="366">
        <v>2.5</v>
      </c>
      <c r="M31" s="369"/>
      <c r="N31" s="367">
        <v>10.5</v>
      </c>
      <c r="O31" s="368"/>
      <c r="P31" s="369"/>
      <c r="Q31" s="367">
        <v>2.5</v>
      </c>
      <c r="R31" s="366">
        <v>2.5</v>
      </c>
      <c r="S31" s="366">
        <v>2.5</v>
      </c>
      <c r="T31" s="367">
        <v>2.5</v>
      </c>
      <c r="U31" s="369"/>
      <c r="V31" s="368"/>
      <c r="W31" s="366">
        <v>2</v>
      </c>
      <c r="X31" s="366">
        <v>2</v>
      </c>
      <c r="Y31" s="367">
        <v>2.5</v>
      </c>
      <c r="Z31" s="367">
        <v>2.5</v>
      </c>
      <c r="AA31" s="369"/>
      <c r="AB31" s="366">
        <v>10</v>
      </c>
      <c r="AC31" s="368"/>
      <c r="AD31" s="366">
        <v>2.5</v>
      </c>
      <c r="AE31" s="366">
        <v>2.5</v>
      </c>
      <c r="AF31" s="369"/>
      <c r="AG31" s="368"/>
      <c r="AH31" s="221"/>
      <c r="AI31" s="370" t="s">
        <v>1043</v>
      </c>
      <c r="AJ31" s="371">
        <f>C31+D31+E31+F31+J31+K31+L31+N31+Q31+R31+S31+T31+W31+X31+Y31+Z31+AB31+AD31+AE31</f>
        <v>68.5</v>
      </c>
      <c r="AK31" s="372" t="s">
        <v>1044</v>
      </c>
      <c r="AL31" s="370"/>
    </row>
    <row r="32" spans="1:43" s="382" customFormat="1" ht="25.5" customHeight="1">
      <c r="A32" s="549" t="s">
        <v>1005</v>
      </c>
      <c r="B32" s="374" t="s">
        <v>1006</v>
      </c>
      <c r="C32" s="375">
        <v>328</v>
      </c>
      <c r="D32" s="376">
        <v>336</v>
      </c>
      <c r="E32" s="376">
        <v>320</v>
      </c>
      <c r="F32" s="376">
        <v>320</v>
      </c>
      <c r="G32" s="377">
        <v>260</v>
      </c>
      <c r="H32" s="377"/>
      <c r="I32" s="377">
        <v>256</v>
      </c>
      <c r="J32" s="376">
        <v>336</v>
      </c>
      <c r="K32" s="376">
        <v>336</v>
      </c>
      <c r="L32" s="376">
        <v>320</v>
      </c>
      <c r="M32" s="376">
        <v>260</v>
      </c>
      <c r="N32" s="378"/>
      <c r="O32" s="377"/>
      <c r="P32" s="376">
        <v>256</v>
      </c>
      <c r="Q32" s="376">
        <v>320</v>
      </c>
      <c r="R32" s="376">
        <v>336</v>
      </c>
      <c r="S32" s="376">
        <v>336</v>
      </c>
      <c r="T32" s="376">
        <v>260</v>
      </c>
      <c r="U32" s="376">
        <v>260</v>
      </c>
      <c r="V32" s="377"/>
      <c r="W32" s="376">
        <v>256</v>
      </c>
      <c r="X32" s="376">
        <v>336</v>
      </c>
      <c r="Y32" s="376">
        <v>320</v>
      </c>
      <c r="Z32" s="376">
        <v>320</v>
      </c>
      <c r="AA32" s="376">
        <v>260</v>
      </c>
      <c r="AB32" s="376">
        <v>320</v>
      </c>
      <c r="AC32" s="377"/>
      <c r="AD32" s="376">
        <v>316</v>
      </c>
      <c r="AE32" s="376">
        <v>336</v>
      </c>
      <c r="AF32" s="376">
        <v>260</v>
      </c>
      <c r="AG32" s="377"/>
      <c r="AH32" s="221"/>
      <c r="AI32" s="370" t="s">
        <v>1045</v>
      </c>
      <c r="AJ32" s="379">
        <f>SUM(C32:AG32)</f>
        <v>7564</v>
      </c>
      <c r="AK32" s="380"/>
      <c r="AL32" s="381"/>
    </row>
    <row r="33" spans="1:37" s="381" customFormat="1" ht="25.5" customHeight="1">
      <c r="A33" s="550"/>
      <c r="B33" s="383" t="s">
        <v>1007</v>
      </c>
      <c r="C33" s="384">
        <v>328</v>
      </c>
      <c r="D33" s="385">
        <v>336</v>
      </c>
      <c r="E33" s="385">
        <v>320</v>
      </c>
      <c r="F33" s="385">
        <v>320</v>
      </c>
      <c r="G33" s="386">
        <v>260</v>
      </c>
      <c r="H33" s="386"/>
      <c r="I33" s="386">
        <v>256</v>
      </c>
      <c r="J33" s="385">
        <v>336</v>
      </c>
      <c r="K33" s="385">
        <v>336</v>
      </c>
      <c r="L33" s="385">
        <v>320</v>
      </c>
      <c r="M33" s="385">
        <v>260</v>
      </c>
      <c r="N33" s="387"/>
      <c r="O33" s="386"/>
      <c r="P33" s="385">
        <v>256</v>
      </c>
      <c r="Q33" s="385">
        <v>320</v>
      </c>
      <c r="R33" s="385">
        <v>336</v>
      </c>
      <c r="S33" s="385">
        <v>336</v>
      </c>
      <c r="T33" s="385">
        <v>260</v>
      </c>
      <c r="U33" s="385">
        <v>260</v>
      </c>
      <c r="V33" s="386"/>
      <c r="W33" s="385">
        <v>256</v>
      </c>
      <c r="X33" s="385">
        <v>336</v>
      </c>
      <c r="Y33" s="385">
        <v>320</v>
      </c>
      <c r="Z33" s="385">
        <v>320</v>
      </c>
      <c r="AA33" s="385">
        <v>260</v>
      </c>
      <c r="AB33" s="385">
        <v>320</v>
      </c>
      <c r="AC33" s="386"/>
      <c r="AD33" s="385">
        <v>316</v>
      </c>
      <c r="AE33" s="385">
        <v>336</v>
      </c>
      <c r="AF33" s="385">
        <v>260</v>
      </c>
      <c r="AG33" s="386"/>
      <c r="AH33" s="221"/>
      <c r="AI33" s="370" t="s">
        <v>1046</v>
      </c>
      <c r="AJ33" s="379">
        <f>SUM(C33:AG33)</f>
        <v>7564</v>
      </c>
      <c r="AK33" s="380"/>
    </row>
    <row r="34" spans="1:37" s="381" customFormat="1" ht="25.5" customHeight="1">
      <c r="A34" s="550"/>
      <c r="B34" s="383" t="s">
        <v>1008</v>
      </c>
      <c r="C34" s="384">
        <v>328</v>
      </c>
      <c r="D34" s="385">
        <v>336</v>
      </c>
      <c r="E34" s="385">
        <v>320</v>
      </c>
      <c r="F34" s="385">
        <v>320</v>
      </c>
      <c r="G34" s="386">
        <v>260</v>
      </c>
      <c r="H34" s="386"/>
      <c r="I34" s="386">
        <v>256</v>
      </c>
      <c r="J34" s="385">
        <v>336</v>
      </c>
      <c r="K34" s="385">
        <v>336</v>
      </c>
      <c r="L34" s="385">
        <v>320</v>
      </c>
      <c r="M34" s="385">
        <v>260</v>
      </c>
      <c r="N34" s="387"/>
      <c r="O34" s="386"/>
      <c r="P34" s="385">
        <v>256</v>
      </c>
      <c r="Q34" s="385">
        <v>320</v>
      </c>
      <c r="R34" s="385">
        <v>336</v>
      </c>
      <c r="S34" s="385">
        <v>336</v>
      </c>
      <c r="T34" s="385">
        <v>260</v>
      </c>
      <c r="U34" s="385">
        <v>260</v>
      </c>
      <c r="V34" s="386"/>
      <c r="W34" s="385">
        <v>256</v>
      </c>
      <c r="X34" s="385">
        <v>336</v>
      </c>
      <c r="Y34" s="385">
        <v>320</v>
      </c>
      <c r="Z34" s="385">
        <v>320</v>
      </c>
      <c r="AA34" s="385">
        <v>260</v>
      </c>
      <c r="AB34" s="385">
        <v>320</v>
      </c>
      <c r="AC34" s="386"/>
      <c r="AD34" s="385">
        <v>316</v>
      </c>
      <c r="AE34" s="385">
        <v>336</v>
      </c>
      <c r="AF34" s="385">
        <v>260</v>
      </c>
      <c r="AG34" s="386"/>
      <c r="AH34" s="370"/>
      <c r="AI34" s="370" t="s">
        <v>1047</v>
      </c>
      <c r="AJ34" s="379">
        <f>SUM(C34:AG34)</f>
        <v>7564</v>
      </c>
      <c r="AK34" s="380"/>
    </row>
    <row r="35" spans="1:37" s="381" customFormat="1" ht="25.5" customHeight="1">
      <c r="A35" s="550"/>
      <c r="B35" s="388" t="s">
        <v>1009</v>
      </c>
      <c r="C35" s="389">
        <f t="shared" ref="C35:K35" si="31">SUM(C32:C34)</f>
        <v>984</v>
      </c>
      <c r="D35" s="389">
        <f t="shared" si="31"/>
        <v>1008</v>
      </c>
      <c r="E35" s="389">
        <f t="shared" si="31"/>
        <v>960</v>
      </c>
      <c r="F35" s="389">
        <f t="shared" si="31"/>
        <v>960</v>
      </c>
      <c r="G35" s="390">
        <f t="shared" si="31"/>
        <v>780</v>
      </c>
      <c r="H35" s="390">
        <f t="shared" si="31"/>
        <v>0</v>
      </c>
      <c r="I35" s="390">
        <f t="shared" si="31"/>
        <v>768</v>
      </c>
      <c r="J35" s="389">
        <f t="shared" si="31"/>
        <v>1008</v>
      </c>
      <c r="K35" s="389">
        <f t="shared" si="31"/>
        <v>1008</v>
      </c>
      <c r="L35" s="389">
        <f>SUM(L32:L34)</f>
        <v>960</v>
      </c>
      <c r="M35" s="389">
        <f>SUM(M32:M34)</f>
        <v>780</v>
      </c>
      <c r="N35" s="390">
        <f t="shared" ref="N35:R35" si="32">SUM(N32:N34)</f>
        <v>0</v>
      </c>
      <c r="O35" s="390">
        <f t="shared" si="32"/>
        <v>0</v>
      </c>
      <c r="P35" s="389">
        <f t="shared" si="32"/>
        <v>768</v>
      </c>
      <c r="Q35" s="389">
        <f t="shared" si="32"/>
        <v>960</v>
      </c>
      <c r="R35" s="389">
        <f t="shared" si="32"/>
        <v>1008</v>
      </c>
      <c r="S35" s="389">
        <f>SUM(S32:S34)</f>
        <v>1008</v>
      </c>
      <c r="T35" s="389">
        <f>SUM(T32:T34)</f>
        <v>780</v>
      </c>
      <c r="U35" s="389">
        <f>SUM(U32:U34)</f>
        <v>780</v>
      </c>
      <c r="V35" s="390">
        <f t="shared" ref="V35:Y35" si="33">SUM(V32:V34)</f>
        <v>0</v>
      </c>
      <c r="W35" s="389">
        <f t="shared" si="33"/>
        <v>768</v>
      </c>
      <c r="X35" s="389">
        <f t="shared" si="33"/>
        <v>1008</v>
      </c>
      <c r="Y35" s="389">
        <f t="shared" si="33"/>
        <v>960</v>
      </c>
      <c r="Z35" s="389">
        <f>SUM(Z32:Z34)</f>
        <v>960</v>
      </c>
      <c r="AA35" s="389">
        <f>SUM(AA32:AA34)</f>
        <v>780</v>
      </c>
      <c r="AB35" s="389">
        <f>SUM(AB32:AB34)</f>
        <v>960</v>
      </c>
      <c r="AC35" s="390">
        <f t="shared" ref="AC35:AG35" si="34">SUM(AC32:AC34)</f>
        <v>0</v>
      </c>
      <c r="AD35" s="389">
        <f t="shared" si="34"/>
        <v>948</v>
      </c>
      <c r="AE35" s="389">
        <f t="shared" si="34"/>
        <v>1008</v>
      </c>
      <c r="AF35" s="389">
        <f>SUM(AF32:AF34)</f>
        <v>780</v>
      </c>
      <c r="AG35" s="390">
        <f t="shared" si="34"/>
        <v>0</v>
      </c>
      <c r="AH35" s="370"/>
      <c r="AI35" s="370" t="s">
        <v>1048</v>
      </c>
      <c r="AJ35" s="391">
        <f>AJ32+AJ33+AJ34</f>
        <v>22692</v>
      </c>
      <c r="AK35" s="380"/>
    </row>
    <row r="36" spans="1:37" s="381" customFormat="1" ht="25.5" hidden="1" customHeight="1">
      <c r="A36" s="551"/>
      <c r="B36" s="392" t="s">
        <v>1010</v>
      </c>
      <c r="C36" s="215">
        <f>AG10+C35</f>
        <v>1112</v>
      </c>
      <c r="D36" s="215">
        <f t="shared" ref="D36:AG36" si="35">C36+D35</f>
        <v>2120</v>
      </c>
      <c r="E36" s="215">
        <f t="shared" si="35"/>
        <v>3080</v>
      </c>
      <c r="F36" s="215">
        <f t="shared" si="35"/>
        <v>4040</v>
      </c>
      <c r="G36" s="214">
        <f t="shared" si="35"/>
        <v>4820</v>
      </c>
      <c r="H36" s="214">
        <f t="shared" si="35"/>
        <v>4820</v>
      </c>
      <c r="I36" s="214">
        <f t="shared" si="35"/>
        <v>5588</v>
      </c>
      <c r="J36" s="215">
        <f t="shared" si="35"/>
        <v>6596</v>
      </c>
      <c r="K36" s="215">
        <f t="shared" si="35"/>
        <v>7604</v>
      </c>
      <c r="L36" s="215">
        <f t="shared" si="35"/>
        <v>8564</v>
      </c>
      <c r="M36" s="215">
        <f t="shared" si="35"/>
        <v>9344</v>
      </c>
      <c r="N36" s="214">
        <f t="shared" si="35"/>
        <v>9344</v>
      </c>
      <c r="O36" s="214">
        <f t="shared" si="35"/>
        <v>9344</v>
      </c>
      <c r="P36" s="215">
        <f t="shared" si="35"/>
        <v>10112</v>
      </c>
      <c r="Q36" s="215">
        <f t="shared" si="35"/>
        <v>11072</v>
      </c>
      <c r="R36" s="215">
        <f t="shared" si="35"/>
        <v>12080</v>
      </c>
      <c r="S36" s="215">
        <f t="shared" si="35"/>
        <v>13088</v>
      </c>
      <c r="T36" s="215">
        <f t="shared" si="35"/>
        <v>13868</v>
      </c>
      <c r="U36" s="215">
        <f t="shared" si="35"/>
        <v>14648</v>
      </c>
      <c r="V36" s="214">
        <f t="shared" si="35"/>
        <v>14648</v>
      </c>
      <c r="W36" s="215">
        <f t="shared" si="35"/>
        <v>15416</v>
      </c>
      <c r="X36" s="215">
        <f t="shared" si="35"/>
        <v>16424</v>
      </c>
      <c r="Y36" s="215">
        <f t="shared" si="35"/>
        <v>17384</v>
      </c>
      <c r="Z36" s="215">
        <f t="shared" si="35"/>
        <v>18344</v>
      </c>
      <c r="AA36" s="215">
        <f t="shared" si="35"/>
        <v>19124</v>
      </c>
      <c r="AB36" s="215">
        <f t="shared" si="35"/>
        <v>20084</v>
      </c>
      <c r="AC36" s="214">
        <f t="shared" si="35"/>
        <v>20084</v>
      </c>
      <c r="AD36" s="215">
        <f t="shared" si="35"/>
        <v>21032</v>
      </c>
      <c r="AE36" s="215">
        <f t="shared" si="35"/>
        <v>22040</v>
      </c>
      <c r="AF36" s="215">
        <f t="shared" si="35"/>
        <v>22820</v>
      </c>
      <c r="AG36" s="214">
        <f t="shared" si="35"/>
        <v>22820</v>
      </c>
      <c r="AH36" s="393"/>
      <c r="AI36" s="393"/>
      <c r="AJ36" s="394"/>
      <c r="AK36" s="395"/>
    </row>
    <row r="37" spans="1:37" s="381" customFormat="1" ht="25.5" customHeight="1">
      <c r="A37" s="396" t="s">
        <v>1011</v>
      </c>
      <c r="B37" s="397"/>
      <c r="C37" s="217" t="s">
        <v>1012</v>
      </c>
      <c r="D37" s="217" t="s">
        <v>1012</v>
      </c>
      <c r="E37" s="217" t="s">
        <v>1012</v>
      </c>
      <c r="F37" s="217" t="s">
        <v>1012</v>
      </c>
      <c r="G37" s="216" t="s">
        <v>1012</v>
      </c>
      <c r="H37" s="216" t="s">
        <v>1012</v>
      </c>
      <c r="I37" s="216" t="s">
        <v>1012</v>
      </c>
      <c r="J37" s="217" t="s">
        <v>1012</v>
      </c>
      <c r="K37" s="217" t="s">
        <v>1012</v>
      </c>
      <c r="L37" s="217" t="s">
        <v>1012</v>
      </c>
      <c r="M37" s="217" t="s">
        <v>1012</v>
      </c>
      <c r="N37" s="216" t="s">
        <v>1012</v>
      </c>
      <c r="O37" s="216" t="s">
        <v>1012</v>
      </c>
      <c r="P37" s="217" t="s">
        <v>1012</v>
      </c>
      <c r="Q37" s="217" t="s">
        <v>1012</v>
      </c>
      <c r="R37" s="217" t="s">
        <v>1012</v>
      </c>
      <c r="S37" s="217" t="s">
        <v>1012</v>
      </c>
      <c r="T37" s="217" t="s">
        <v>1012</v>
      </c>
      <c r="U37" s="217" t="s">
        <v>1012</v>
      </c>
      <c r="V37" s="216" t="s">
        <v>1012</v>
      </c>
      <c r="W37" s="217" t="s">
        <v>1012</v>
      </c>
      <c r="X37" s="217" t="s">
        <v>1012</v>
      </c>
      <c r="Y37" s="217" t="s">
        <v>1012</v>
      </c>
      <c r="Z37" s="217" t="s">
        <v>1012</v>
      </c>
      <c r="AA37" s="217" t="s">
        <v>1012</v>
      </c>
      <c r="AB37" s="217" t="s">
        <v>1012</v>
      </c>
      <c r="AC37" s="216" t="s">
        <v>1012</v>
      </c>
      <c r="AD37" s="217" t="s">
        <v>1012</v>
      </c>
      <c r="AE37" s="217" t="s">
        <v>1012</v>
      </c>
      <c r="AF37" s="217" t="s">
        <v>1012</v>
      </c>
      <c r="AG37" s="216" t="s">
        <v>1012</v>
      </c>
      <c r="AH37" s="370"/>
      <c r="AI37" s="370"/>
      <c r="AJ37" s="379"/>
      <c r="AK37" s="380" t="s">
        <v>1027</v>
      </c>
    </row>
    <row r="38" spans="1:37" s="381" customFormat="1" ht="25.5" customHeight="1">
      <c r="A38" s="552" t="s">
        <v>1014</v>
      </c>
      <c r="B38" s="398" t="s">
        <v>1015</v>
      </c>
      <c r="C38" s="399">
        <v>164</v>
      </c>
      <c r="D38" s="399">
        <v>168</v>
      </c>
      <c r="E38" s="399">
        <v>160</v>
      </c>
      <c r="F38" s="399">
        <v>160</v>
      </c>
      <c r="G38" s="400"/>
      <c r="H38" s="400"/>
      <c r="I38" s="400"/>
      <c r="J38" s="399">
        <v>158</v>
      </c>
      <c r="K38" s="399">
        <v>168</v>
      </c>
      <c r="L38" s="399">
        <v>168</v>
      </c>
      <c r="M38" s="399">
        <v>130</v>
      </c>
      <c r="N38" s="399">
        <v>168</v>
      </c>
      <c r="O38" s="400"/>
      <c r="P38" s="399">
        <v>128</v>
      </c>
      <c r="Q38" s="399">
        <v>168</v>
      </c>
      <c r="R38" s="399">
        <v>168</v>
      </c>
      <c r="S38" s="399">
        <v>168</v>
      </c>
      <c r="T38" s="399">
        <v>168</v>
      </c>
      <c r="U38" s="399">
        <f t="shared" ref="U38:V38" si="36">U32/2</f>
        <v>130</v>
      </c>
      <c r="V38" s="400">
        <f t="shared" si="36"/>
        <v>0</v>
      </c>
      <c r="W38" s="399">
        <v>158</v>
      </c>
      <c r="X38" s="399">
        <v>160</v>
      </c>
      <c r="Y38" s="399">
        <v>168</v>
      </c>
      <c r="Z38" s="399">
        <v>168</v>
      </c>
      <c r="AA38" s="399">
        <f t="shared" ref="AA38:AC38" si="37">AA32/2</f>
        <v>130</v>
      </c>
      <c r="AB38" s="399">
        <v>160</v>
      </c>
      <c r="AC38" s="400">
        <f t="shared" si="37"/>
        <v>0</v>
      </c>
      <c r="AD38" s="399">
        <v>166</v>
      </c>
      <c r="AE38" s="399">
        <v>168</v>
      </c>
      <c r="AF38" s="399">
        <f t="shared" ref="AF38" si="38">AF32/2</f>
        <v>130</v>
      </c>
      <c r="AG38" s="400">
        <f>AG32/2</f>
        <v>0</v>
      </c>
      <c r="AH38" s="370"/>
      <c r="AI38" s="401" t="s">
        <v>1049</v>
      </c>
      <c r="AJ38" s="402">
        <f t="shared" ref="AJ38:AJ43" si="39">SUM(C38:AG38)</f>
        <v>3782</v>
      </c>
      <c r="AK38" s="403">
        <f>SUM(AB12:AG12,C38:AA38)</f>
        <v>3904</v>
      </c>
    </row>
    <row r="39" spans="1:37" s="381" customFormat="1" ht="25.5" customHeight="1">
      <c r="A39" s="553"/>
      <c r="B39" s="404" t="s">
        <v>1016</v>
      </c>
      <c r="C39" s="405">
        <v>164</v>
      </c>
      <c r="D39" s="405">
        <v>168</v>
      </c>
      <c r="E39" s="405">
        <v>160</v>
      </c>
      <c r="F39" s="405">
        <v>160</v>
      </c>
      <c r="G39" s="406"/>
      <c r="H39" s="406"/>
      <c r="I39" s="406"/>
      <c r="J39" s="405">
        <v>158</v>
      </c>
      <c r="K39" s="405">
        <v>168</v>
      </c>
      <c r="L39" s="405">
        <v>168</v>
      </c>
      <c r="M39" s="405">
        <v>130</v>
      </c>
      <c r="N39" s="405">
        <v>168</v>
      </c>
      <c r="O39" s="406"/>
      <c r="P39" s="405">
        <v>128</v>
      </c>
      <c r="Q39" s="405">
        <v>168</v>
      </c>
      <c r="R39" s="405">
        <v>168</v>
      </c>
      <c r="S39" s="405">
        <v>168</v>
      </c>
      <c r="T39" s="405">
        <v>168</v>
      </c>
      <c r="U39" s="405">
        <f t="shared" ref="U39:V39" si="40">U38</f>
        <v>130</v>
      </c>
      <c r="V39" s="406">
        <f t="shared" si="40"/>
        <v>0</v>
      </c>
      <c r="W39" s="405">
        <v>158</v>
      </c>
      <c r="X39" s="405">
        <v>160</v>
      </c>
      <c r="Y39" s="405">
        <v>168</v>
      </c>
      <c r="Z39" s="405">
        <v>168</v>
      </c>
      <c r="AA39" s="405">
        <f t="shared" ref="AA39" si="41">AA38</f>
        <v>130</v>
      </c>
      <c r="AB39" s="405">
        <v>160</v>
      </c>
      <c r="AC39" s="406">
        <f t="shared" ref="AC39" si="42">AC38</f>
        <v>0</v>
      </c>
      <c r="AD39" s="405">
        <v>166</v>
      </c>
      <c r="AE39" s="405">
        <v>168</v>
      </c>
      <c r="AF39" s="405">
        <f t="shared" ref="AF39" si="43">AF38</f>
        <v>130</v>
      </c>
      <c r="AG39" s="406">
        <f>AG38</f>
        <v>0</v>
      </c>
      <c r="AH39" s="370"/>
      <c r="AI39" s="401" t="s">
        <v>1050</v>
      </c>
      <c r="AJ39" s="402">
        <f t="shared" si="39"/>
        <v>3782</v>
      </c>
      <c r="AK39" s="403">
        <f t="shared" ref="AK39:AK43" si="44">SUM(AB13:AG13,C39:AA39)</f>
        <v>3904</v>
      </c>
    </row>
    <row r="40" spans="1:37" s="381" customFormat="1" ht="25.5" customHeight="1">
      <c r="A40" s="553"/>
      <c r="B40" s="398" t="s">
        <v>1017</v>
      </c>
      <c r="C40" s="399">
        <v>164</v>
      </c>
      <c r="D40" s="399">
        <v>168</v>
      </c>
      <c r="E40" s="399">
        <v>160</v>
      </c>
      <c r="F40" s="399">
        <v>160</v>
      </c>
      <c r="G40" s="400"/>
      <c r="H40" s="400"/>
      <c r="I40" s="400"/>
      <c r="J40" s="399">
        <v>158</v>
      </c>
      <c r="K40" s="399">
        <v>168</v>
      </c>
      <c r="L40" s="399">
        <v>168</v>
      </c>
      <c r="M40" s="399">
        <v>130</v>
      </c>
      <c r="N40" s="399">
        <v>168</v>
      </c>
      <c r="O40" s="400"/>
      <c r="P40" s="399">
        <v>128</v>
      </c>
      <c r="Q40" s="399">
        <v>168</v>
      </c>
      <c r="R40" s="399">
        <v>168</v>
      </c>
      <c r="S40" s="399">
        <v>168</v>
      </c>
      <c r="T40" s="399">
        <v>168</v>
      </c>
      <c r="U40" s="399">
        <f t="shared" ref="U40:V40" si="45">U33/2</f>
        <v>130</v>
      </c>
      <c r="V40" s="400">
        <f t="shared" si="45"/>
        <v>0</v>
      </c>
      <c r="W40" s="399">
        <v>158</v>
      </c>
      <c r="X40" s="399">
        <v>160</v>
      </c>
      <c r="Y40" s="399">
        <v>168</v>
      </c>
      <c r="Z40" s="399">
        <v>168</v>
      </c>
      <c r="AA40" s="399">
        <f t="shared" ref="AA40:AC40" si="46">AA33/2</f>
        <v>130</v>
      </c>
      <c r="AB40" s="399">
        <v>160</v>
      </c>
      <c r="AC40" s="400">
        <f t="shared" si="46"/>
        <v>0</v>
      </c>
      <c r="AD40" s="399">
        <v>166</v>
      </c>
      <c r="AE40" s="399">
        <v>168</v>
      </c>
      <c r="AF40" s="399">
        <f t="shared" ref="AF40" si="47">AF33/2</f>
        <v>130</v>
      </c>
      <c r="AG40" s="400">
        <f>AG33/2</f>
        <v>0</v>
      </c>
      <c r="AH40" s="370"/>
      <c r="AI40" s="401" t="s">
        <v>1051</v>
      </c>
      <c r="AJ40" s="402">
        <f t="shared" si="39"/>
        <v>3782</v>
      </c>
      <c r="AK40" s="403">
        <f t="shared" si="44"/>
        <v>3904</v>
      </c>
    </row>
    <row r="41" spans="1:37" s="381" customFormat="1" ht="25.5" customHeight="1">
      <c r="A41" s="553"/>
      <c r="B41" s="404" t="s">
        <v>1018</v>
      </c>
      <c r="C41" s="405">
        <v>164</v>
      </c>
      <c r="D41" s="405">
        <v>168</v>
      </c>
      <c r="E41" s="405">
        <v>160</v>
      </c>
      <c r="F41" s="405">
        <v>160</v>
      </c>
      <c r="G41" s="406"/>
      <c r="H41" s="406"/>
      <c r="I41" s="406"/>
      <c r="J41" s="405">
        <v>158</v>
      </c>
      <c r="K41" s="405">
        <v>168</v>
      </c>
      <c r="L41" s="405">
        <v>168</v>
      </c>
      <c r="M41" s="405">
        <v>130</v>
      </c>
      <c r="N41" s="405">
        <v>168</v>
      </c>
      <c r="O41" s="406"/>
      <c r="P41" s="405">
        <v>128</v>
      </c>
      <c r="Q41" s="405">
        <v>168</v>
      </c>
      <c r="R41" s="405">
        <v>168</v>
      </c>
      <c r="S41" s="405">
        <v>168</v>
      </c>
      <c r="T41" s="405">
        <v>168</v>
      </c>
      <c r="U41" s="405">
        <f t="shared" ref="U41:V41" si="48">U40</f>
        <v>130</v>
      </c>
      <c r="V41" s="406">
        <f t="shared" si="48"/>
        <v>0</v>
      </c>
      <c r="W41" s="405">
        <v>158</v>
      </c>
      <c r="X41" s="405">
        <v>160</v>
      </c>
      <c r="Y41" s="405">
        <v>168</v>
      </c>
      <c r="Z41" s="405">
        <v>168</v>
      </c>
      <c r="AA41" s="405">
        <f t="shared" ref="AA41" si="49">AA40</f>
        <v>130</v>
      </c>
      <c r="AB41" s="405">
        <v>160</v>
      </c>
      <c r="AC41" s="406">
        <f t="shared" ref="AC41" si="50">AC40</f>
        <v>0</v>
      </c>
      <c r="AD41" s="405">
        <v>166</v>
      </c>
      <c r="AE41" s="405">
        <v>168</v>
      </c>
      <c r="AF41" s="405">
        <f t="shared" ref="AF41" si="51">AF40</f>
        <v>130</v>
      </c>
      <c r="AG41" s="406">
        <f>AG40</f>
        <v>0</v>
      </c>
      <c r="AH41" s="370"/>
      <c r="AI41" s="401" t="s">
        <v>1052</v>
      </c>
      <c r="AJ41" s="402">
        <f t="shared" si="39"/>
        <v>3782</v>
      </c>
      <c r="AK41" s="403">
        <f t="shared" si="44"/>
        <v>3904</v>
      </c>
    </row>
    <row r="42" spans="1:37" s="381" customFormat="1" ht="25.5" customHeight="1">
      <c r="A42" s="553"/>
      <c r="B42" s="398" t="s">
        <v>1019</v>
      </c>
      <c r="C42" s="399">
        <v>164</v>
      </c>
      <c r="D42" s="399">
        <v>168</v>
      </c>
      <c r="E42" s="399">
        <v>160</v>
      </c>
      <c r="F42" s="399">
        <v>160</v>
      </c>
      <c r="G42" s="400"/>
      <c r="H42" s="400"/>
      <c r="I42" s="400"/>
      <c r="J42" s="399">
        <v>158</v>
      </c>
      <c r="K42" s="399">
        <v>168</v>
      </c>
      <c r="L42" s="399">
        <v>168</v>
      </c>
      <c r="M42" s="399">
        <v>130</v>
      </c>
      <c r="N42" s="399">
        <v>168</v>
      </c>
      <c r="O42" s="400"/>
      <c r="P42" s="399">
        <v>128</v>
      </c>
      <c r="Q42" s="399">
        <v>168</v>
      </c>
      <c r="R42" s="399">
        <v>168</v>
      </c>
      <c r="S42" s="399">
        <v>168</v>
      </c>
      <c r="T42" s="399">
        <v>168</v>
      </c>
      <c r="U42" s="399">
        <f t="shared" ref="U42:V42" si="52">U34/2</f>
        <v>130</v>
      </c>
      <c r="V42" s="400">
        <f t="shared" si="52"/>
        <v>0</v>
      </c>
      <c r="W42" s="399">
        <v>158</v>
      </c>
      <c r="X42" s="399">
        <v>160</v>
      </c>
      <c r="Y42" s="399">
        <v>168</v>
      </c>
      <c r="Z42" s="399">
        <v>168</v>
      </c>
      <c r="AA42" s="399">
        <f t="shared" ref="AA42:AC42" si="53">AA34/2</f>
        <v>130</v>
      </c>
      <c r="AB42" s="399">
        <v>160</v>
      </c>
      <c r="AC42" s="400">
        <f t="shared" si="53"/>
        <v>0</v>
      </c>
      <c r="AD42" s="399">
        <v>166</v>
      </c>
      <c r="AE42" s="399">
        <v>168</v>
      </c>
      <c r="AF42" s="399">
        <f t="shared" ref="AF42" si="54">AF34/2</f>
        <v>130</v>
      </c>
      <c r="AG42" s="400">
        <f>AG34/2</f>
        <v>0</v>
      </c>
      <c r="AH42" s="370"/>
      <c r="AI42" s="401" t="s">
        <v>1053</v>
      </c>
      <c r="AJ42" s="402">
        <f t="shared" si="39"/>
        <v>3782</v>
      </c>
      <c r="AK42" s="403">
        <f t="shared" si="44"/>
        <v>7634</v>
      </c>
    </row>
    <row r="43" spans="1:37" s="381" customFormat="1" ht="25.5" customHeight="1">
      <c r="A43" s="554"/>
      <c r="B43" s="404" t="s">
        <v>1020</v>
      </c>
      <c r="C43" s="405">
        <v>164</v>
      </c>
      <c r="D43" s="405">
        <v>168</v>
      </c>
      <c r="E43" s="405">
        <v>160</v>
      </c>
      <c r="F43" s="405">
        <v>160</v>
      </c>
      <c r="G43" s="406"/>
      <c r="H43" s="406"/>
      <c r="I43" s="406"/>
      <c r="J43" s="405">
        <v>158</v>
      </c>
      <c r="K43" s="405">
        <v>168</v>
      </c>
      <c r="L43" s="405">
        <v>168</v>
      </c>
      <c r="M43" s="405">
        <v>130</v>
      </c>
      <c r="N43" s="405">
        <v>168</v>
      </c>
      <c r="O43" s="406"/>
      <c r="P43" s="405">
        <v>128</v>
      </c>
      <c r="Q43" s="405">
        <v>168</v>
      </c>
      <c r="R43" s="405">
        <v>168</v>
      </c>
      <c r="S43" s="405">
        <v>168</v>
      </c>
      <c r="T43" s="405">
        <v>168</v>
      </c>
      <c r="U43" s="405">
        <f t="shared" ref="U43:V43" si="55">U42</f>
        <v>130</v>
      </c>
      <c r="V43" s="406">
        <f t="shared" si="55"/>
        <v>0</v>
      </c>
      <c r="W43" s="405">
        <v>158</v>
      </c>
      <c r="X43" s="405">
        <v>160</v>
      </c>
      <c r="Y43" s="405">
        <v>168</v>
      </c>
      <c r="Z43" s="405">
        <v>168</v>
      </c>
      <c r="AA43" s="405">
        <f t="shared" ref="AA43" si="56">AA42</f>
        <v>130</v>
      </c>
      <c r="AB43" s="405">
        <v>160</v>
      </c>
      <c r="AC43" s="406">
        <f t="shared" ref="AC43" si="57">AC42</f>
        <v>0</v>
      </c>
      <c r="AD43" s="405">
        <v>166</v>
      </c>
      <c r="AE43" s="405">
        <v>168</v>
      </c>
      <c r="AF43" s="405">
        <f t="shared" ref="AF43" si="58">AF42</f>
        <v>130</v>
      </c>
      <c r="AG43" s="406">
        <f>AG42</f>
        <v>0</v>
      </c>
      <c r="AH43" s="370"/>
      <c r="AI43" s="401" t="s">
        <v>1054</v>
      </c>
      <c r="AJ43" s="402">
        <f t="shared" si="39"/>
        <v>3782</v>
      </c>
      <c r="AK43" s="403" t="e">
        <f t="shared" si="44"/>
        <v>#REF!</v>
      </c>
    </row>
    <row r="44" spans="1:37" s="381" customFormat="1" ht="25.5" customHeight="1" thickBot="1">
      <c r="A44" s="555" t="s">
        <v>1021</v>
      </c>
      <c r="B44" s="407" t="s">
        <v>1022</v>
      </c>
      <c r="C44" s="408">
        <f t="shared" ref="C44:Y44" si="59">C40+C41+C42+C43+C38+C39</f>
        <v>984</v>
      </c>
      <c r="D44" s="408">
        <f t="shared" si="59"/>
        <v>1008</v>
      </c>
      <c r="E44" s="408">
        <f t="shared" si="59"/>
        <v>960</v>
      </c>
      <c r="F44" s="408">
        <f t="shared" si="59"/>
        <v>960</v>
      </c>
      <c r="G44" s="409">
        <f t="shared" si="59"/>
        <v>0</v>
      </c>
      <c r="H44" s="409">
        <f t="shared" si="59"/>
        <v>0</v>
      </c>
      <c r="I44" s="409">
        <f t="shared" si="59"/>
        <v>0</v>
      </c>
      <c r="J44" s="408">
        <f t="shared" si="59"/>
        <v>948</v>
      </c>
      <c r="K44" s="408">
        <f t="shared" si="59"/>
        <v>1008</v>
      </c>
      <c r="L44" s="408">
        <f t="shared" si="59"/>
        <v>1008</v>
      </c>
      <c r="M44" s="408">
        <f t="shared" si="59"/>
        <v>780</v>
      </c>
      <c r="N44" s="409">
        <f t="shared" si="59"/>
        <v>1008</v>
      </c>
      <c r="O44" s="409">
        <f t="shared" si="59"/>
        <v>0</v>
      </c>
      <c r="P44" s="408">
        <f t="shared" si="59"/>
        <v>768</v>
      </c>
      <c r="Q44" s="408">
        <f t="shared" si="59"/>
        <v>1008</v>
      </c>
      <c r="R44" s="408">
        <f t="shared" si="59"/>
        <v>1008</v>
      </c>
      <c r="S44" s="408">
        <f t="shared" si="59"/>
        <v>1008</v>
      </c>
      <c r="T44" s="408">
        <f t="shared" si="59"/>
        <v>1008</v>
      </c>
      <c r="U44" s="408">
        <f t="shared" si="59"/>
        <v>780</v>
      </c>
      <c r="V44" s="409">
        <f t="shared" si="59"/>
        <v>0</v>
      </c>
      <c r="W44" s="408">
        <f t="shared" si="59"/>
        <v>948</v>
      </c>
      <c r="X44" s="408">
        <f t="shared" si="59"/>
        <v>960</v>
      </c>
      <c r="Y44" s="408">
        <f t="shared" si="59"/>
        <v>1008</v>
      </c>
      <c r="Z44" s="408">
        <f>Z40+Z41+Z42+Z43+Z38+Z39</f>
        <v>1008</v>
      </c>
      <c r="AA44" s="408">
        <f t="shared" ref="AA44:AG44" si="60">AA40+AA41+AA42+AA43+AA38+AA39</f>
        <v>780</v>
      </c>
      <c r="AB44" s="408">
        <f t="shared" si="60"/>
        <v>960</v>
      </c>
      <c r="AC44" s="409">
        <f t="shared" si="60"/>
        <v>0</v>
      </c>
      <c r="AD44" s="408">
        <f t="shared" si="60"/>
        <v>996</v>
      </c>
      <c r="AE44" s="408">
        <f t="shared" si="60"/>
        <v>1008</v>
      </c>
      <c r="AF44" s="408">
        <f t="shared" si="60"/>
        <v>780</v>
      </c>
      <c r="AG44" s="409">
        <f t="shared" si="60"/>
        <v>0</v>
      </c>
      <c r="AH44" s="370"/>
      <c r="AI44" s="370" t="s">
        <v>1055</v>
      </c>
      <c r="AJ44" s="391">
        <f>AJ38+AJ39+AJ40+AJ41+AJ42+AJ43</f>
        <v>22692</v>
      </c>
      <c r="AK44" s="380"/>
    </row>
    <row r="45" spans="1:37" s="381" customFormat="1" ht="25.5" hidden="1" customHeight="1">
      <c r="A45" s="556"/>
      <c r="B45" s="410" t="s">
        <v>1023</v>
      </c>
      <c r="C45" s="411" t="e">
        <f>C44+AG19</f>
        <v>#REF!</v>
      </c>
      <c r="D45" s="411" t="e">
        <f t="shared" ref="D45:AG45" si="61">C45+D44</f>
        <v>#REF!</v>
      </c>
      <c r="E45" s="411" t="e">
        <f t="shared" si="61"/>
        <v>#REF!</v>
      </c>
      <c r="F45" s="411" t="e">
        <f t="shared" si="61"/>
        <v>#REF!</v>
      </c>
      <c r="G45" s="412" t="e">
        <f t="shared" si="61"/>
        <v>#REF!</v>
      </c>
      <c r="H45" s="412" t="e">
        <f t="shared" si="61"/>
        <v>#REF!</v>
      </c>
      <c r="I45" s="412" t="e">
        <f t="shared" si="61"/>
        <v>#REF!</v>
      </c>
      <c r="J45" s="411" t="e">
        <f t="shared" si="61"/>
        <v>#REF!</v>
      </c>
      <c r="K45" s="411" t="e">
        <f t="shared" si="61"/>
        <v>#REF!</v>
      </c>
      <c r="L45" s="411" t="e">
        <f t="shared" si="61"/>
        <v>#REF!</v>
      </c>
      <c r="M45" s="411" t="e">
        <f t="shared" si="61"/>
        <v>#REF!</v>
      </c>
      <c r="N45" s="412" t="e">
        <f t="shared" si="61"/>
        <v>#REF!</v>
      </c>
      <c r="O45" s="413" t="e">
        <f t="shared" si="61"/>
        <v>#REF!</v>
      </c>
      <c r="P45" s="411" t="e">
        <f t="shared" si="61"/>
        <v>#REF!</v>
      </c>
      <c r="Q45" s="411" t="e">
        <f t="shared" si="61"/>
        <v>#REF!</v>
      </c>
      <c r="R45" s="411" t="e">
        <f t="shared" si="61"/>
        <v>#REF!</v>
      </c>
      <c r="S45" s="411" t="e">
        <f t="shared" si="61"/>
        <v>#REF!</v>
      </c>
      <c r="T45" s="411" t="e">
        <f t="shared" si="61"/>
        <v>#REF!</v>
      </c>
      <c r="U45" s="411" t="e">
        <f t="shared" si="61"/>
        <v>#REF!</v>
      </c>
      <c r="V45" s="412" t="e">
        <f t="shared" si="61"/>
        <v>#REF!</v>
      </c>
      <c r="W45" s="411" t="e">
        <f t="shared" si="61"/>
        <v>#REF!</v>
      </c>
      <c r="X45" s="411" t="e">
        <f t="shared" si="61"/>
        <v>#REF!</v>
      </c>
      <c r="Y45" s="411" t="e">
        <f t="shared" si="61"/>
        <v>#REF!</v>
      </c>
      <c r="Z45" s="411" t="e">
        <f t="shared" si="61"/>
        <v>#REF!</v>
      </c>
      <c r="AA45" s="411" t="e">
        <f t="shared" si="61"/>
        <v>#REF!</v>
      </c>
      <c r="AB45" s="411" t="e">
        <f t="shared" si="61"/>
        <v>#REF!</v>
      </c>
      <c r="AC45" s="412" t="e">
        <f t="shared" si="61"/>
        <v>#REF!</v>
      </c>
      <c r="AD45" s="414" t="e">
        <f t="shared" si="61"/>
        <v>#REF!</v>
      </c>
      <c r="AE45" s="414" t="e">
        <f t="shared" si="61"/>
        <v>#REF!</v>
      </c>
      <c r="AF45" s="415" t="e">
        <f t="shared" si="61"/>
        <v>#REF!</v>
      </c>
      <c r="AG45" s="416" t="e">
        <f t="shared" si="61"/>
        <v>#REF!</v>
      </c>
      <c r="AH45" s="417"/>
      <c r="AI45" s="417"/>
      <c r="AJ45" s="418"/>
      <c r="AK45" s="419"/>
    </row>
    <row r="46" spans="1:37" s="381" customFormat="1" ht="25.5" customHeight="1">
      <c r="A46" s="557" t="s">
        <v>1024</v>
      </c>
      <c r="B46" s="420" t="s">
        <v>1006</v>
      </c>
      <c r="C46" s="421" t="e">
        <f>SUM(C38:C39)+AG20-C32</f>
        <v>#REF!</v>
      </c>
      <c r="D46" s="421" t="e">
        <f t="shared" ref="D46" si="62">SUM(D38:D39)+C46-D32</f>
        <v>#REF!</v>
      </c>
      <c r="E46" s="421" t="e">
        <f t="shared" ref="E46" si="63">SUM(E38:E39)+D46-E32</f>
        <v>#REF!</v>
      </c>
      <c r="F46" s="421" t="e">
        <f t="shared" ref="F46:AG46" si="64">SUM(F38:F39)+E46-F32</f>
        <v>#REF!</v>
      </c>
      <c r="G46" s="422" t="e">
        <f t="shared" si="64"/>
        <v>#REF!</v>
      </c>
      <c r="H46" s="422" t="e">
        <f t="shared" si="64"/>
        <v>#REF!</v>
      </c>
      <c r="I46" s="422" t="e">
        <f t="shared" si="64"/>
        <v>#REF!</v>
      </c>
      <c r="J46" s="421" t="e">
        <f t="shared" si="64"/>
        <v>#REF!</v>
      </c>
      <c r="K46" s="421" t="e">
        <f t="shared" si="64"/>
        <v>#REF!</v>
      </c>
      <c r="L46" s="421" t="e">
        <f t="shared" si="64"/>
        <v>#REF!</v>
      </c>
      <c r="M46" s="421" t="e">
        <f t="shared" si="64"/>
        <v>#REF!</v>
      </c>
      <c r="N46" s="422" t="e">
        <f t="shared" si="64"/>
        <v>#REF!</v>
      </c>
      <c r="O46" s="423" t="e">
        <f t="shared" si="64"/>
        <v>#REF!</v>
      </c>
      <c r="P46" s="421" t="e">
        <f t="shared" si="64"/>
        <v>#REF!</v>
      </c>
      <c r="Q46" s="421" t="e">
        <f t="shared" si="64"/>
        <v>#REF!</v>
      </c>
      <c r="R46" s="421" t="e">
        <f t="shared" si="64"/>
        <v>#REF!</v>
      </c>
      <c r="S46" s="421" t="e">
        <f t="shared" si="64"/>
        <v>#REF!</v>
      </c>
      <c r="T46" s="421" t="e">
        <f t="shared" si="64"/>
        <v>#REF!</v>
      </c>
      <c r="U46" s="421" t="e">
        <f t="shared" si="64"/>
        <v>#REF!</v>
      </c>
      <c r="V46" s="422" t="e">
        <f t="shared" si="64"/>
        <v>#REF!</v>
      </c>
      <c r="W46" s="421" t="e">
        <f t="shared" si="64"/>
        <v>#REF!</v>
      </c>
      <c r="X46" s="421" t="e">
        <f t="shared" si="64"/>
        <v>#REF!</v>
      </c>
      <c r="Y46" s="421" t="e">
        <f t="shared" si="64"/>
        <v>#REF!</v>
      </c>
      <c r="Z46" s="421" t="e">
        <f t="shared" si="64"/>
        <v>#REF!</v>
      </c>
      <c r="AA46" s="421" t="e">
        <f t="shared" si="64"/>
        <v>#REF!</v>
      </c>
      <c r="AB46" s="421" t="e">
        <f t="shared" si="64"/>
        <v>#REF!</v>
      </c>
      <c r="AC46" s="422" t="e">
        <f t="shared" si="64"/>
        <v>#REF!</v>
      </c>
      <c r="AD46" s="424" t="e">
        <f t="shared" si="64"/>
        <v>#REF!</v>
      </c>
      <c r="AE46" s="424" t="e">
        <f t="shared" si="64"/>
        <v>#REF!</v>
      </c>
      <c r="AF46" s="425" t="e">
        <f t="shared" si="64"/>
        <v>#REF!</v>
      </c>
      <c r="AG46" s="426" t="e">
        <f t="shared" si="64"/>
        <v>#REF!</v>
      </c>
      <c r="AH46" s="417"/>
      <c r="AI46" s="417"/>
      <c r="AJ46" s="427"/>
      <c r="AK46" s="419"/>
    </row>
    <row r="47" spans="1:37" s="381" customFormat="1" ht="25.5" customHeight="1">
      <c r="A47" s="558"/>
      <c r="B47" s="428" t="s">
        <v>1007</v>
      </c>
      <c r="C47" s="429" t="e">
        <f>SUM(C40:C41)+AG21-C33</f>
        <v>#REF!</v>
      </c>
      <c r="D47" s="429" t="e">
        <f t="shared" ref="D47" si="65">SUM(D40:D41)+C47-D33</f>
        <v>#REF!</v>
      </c>
      <c r="E47" s="429" t="e">
        <f t="shared" ref="E47" si="66">SUM(E40:E41)+D47-E33</f>
        <v>#REF!</v>
      </c>
      <c r="F47" s="429" t="e">
        <f t="shared" ref="F47:AG47" si="67">SUM(F40:F41)+E47-F33</f>
        <v>#REF!</v>
      </c>
      <c r="G47" s="430" t="e">
        <f t="shared" si="67"/>
        <v>#REF!</v>
      </c>
      <c r="H47" s="430" t="e">
        <f t="shared" si="67"/>
        <v>#REF!</v>
      </c>
      <c r="I47" s="430" t="e">
        <f t="shared" si="67"/>
        <v>#REF!</v>
      </c>
      <c r="J47" s="429" t="e">
        <f t="shared" si="67"/>
        <v>#REF!</v>
      </c>
      <c r="K47" s="429" t="e">
        <f t="shared" si="67"/>
        <v>#REF!</v>
      </c>
      <c r="L47" s="429" t="e">
        <f t="shared" si="67"/>
        <v>#REF!</v>
      </c>
      <c r="M47" s="429" t="e">
        <f t="shared" si="67"/>
        <v>#REF!</v>
      </c>
      <c r="N47" s="430" t="e">
        <f t="shared" si="67"/>
        <v>#REF!</v>
      </c>
      <c r="O47" s="431" t="e">
        <f t="shared" si="67"/>
        <v>#REF!</v>
      </c>
      <c r="P47" s="429" t="e">
        <f t="shared" si="67"/>
        <v>#REF!</v>
      </c>
      <c r="Q47" s="429" t="e">
        <f t="shared" si="67"/>
        <v>#REF!</v>
      </c>
      <c r="R47" s="429" t="e">
        <f t="shared" si="67"/>
        <v>#REF!</v>
      </c>
      <c r="S47" s="429" t="e">
        <f t="shared" si="67"/>
        <v>#REF!</v>
      </c>
      <c r="T47" s="429" t="e">
        <f t="shared" si="67"/>
        <v>#REF!</v>
      </c>
      <c r="U47" s="429" t="e">
        <f t="shared" si="67"/>
        <v>#REF!</v>
      </c>
      <c r="V47" s="430" t="e">
        <f t="shared" si="67"/>
        <v>#REF!</v>
      </c>
      <c r="W47" s="429" t="e">
        <f t="shared" si="67"/>
        <v>#REF!</v>
      </c>
      <c r="X47" s="429" t="e">
        <f t="shared" si="67"/>
        <v>#REF!</v>
      </c>
      <c r="Y47" s="429" t="e">
        <f t="shared" si="67"/>
        <v>#REF!</v>
      </c>
      <c r="Z47" s="429" t="e">
        <f t="shared" si="67"/>
        <v>#REF!</v>
      </c>
      <c r="AA47" s="429" t="e">
        <f t="shared" si="67"/>
        <v>#REF!</v>
      </c>
      <c r="AB47" s="429" t="e">
        <f t="shared" si="67"/>
        <v>#REF!</v>
      </c>
      <c r="AC47" s="430" t="e">
        <f t="shared" si="67"/>
        <v>#REF!</v>
      </c>
      <c r="AD47" s="432" t="e">
        <f t="shared" si="67"/>
        <v>#REF!</v>
      </c>
      <c r="AE47" s="432" t="e">
        <f t="shared" si="67"/>
        <v>#REF!</v>
      </c>
      <c r="AF47" s="433" t="e">
        <f t="shared" si="67"/>
        <v>#REF!</v>
      </c>
      <c r="AG47" s="434" t="e">
        <f t="shared" si="67"/>
        <v>#REF!</v>
      </c>
      <c r="AH47" s="417"/>
      <c r="AI47" s="417"/>
      <c r="AJ47" s="427"/>
      <c r="AK47" s="419"/>
    </row>
    <row r="48" spans="1:37" s="381" customFormat="1" ht="25.5" customHeight="1">
      <c r="A48" s="558"/>
      <c r="B48" s="410" t="s">
        <v>1025</v>
      </c>
      <c r="C48" s="435" t="e">
        <f>SUM(C42:C43)+AG22-C34</f>
        <v>#REF!</v>
      </c>
      <c r="D48" s="435" t="e">
        <f t="shared" ref="D48" si="68">SUM(D42:D43)+C48-D34</f>
        <v>#REF!</v>
      </c>
      <c r="E48" s="435" t="e">
        <f t="shared" ref="E48" si="69">SUM(E42:E43)+D48-E34</f>
        <v>#REF!</v>
      </c>
      <c r="F48" s="435" t="e">
        <f t="shared" ref="F48:G48" si="70">SUM(F42:F43)+E48-F34</f>
        <v>#REF!</v>
      </c>
      <c r="G48" s="436" t="e">
        <f t="shared" si="70"/>
        <v>#REF!</v>
      </c>
      <c r="H48" s="436" t="e">
        <f>SUM(H42:H43)+G48-H34</f>
        <v>#REF!</v>
      </c>
      <c r="I48" s="436" t="e">
        <f t="shared" ref="I48" si="71">SUM(I42:I43)+H48-I34</f>
        <v>#REF!</v>
      </c>
      <c r="J48" s="435" t="e">
        <f t="shared" ref="J48" si="72">SUM(J42:J43)+I48-J34</f>
        <v>#REF!</v>
      </c>
      <c r="K48" s="435" t="e">
        <f t="shared" ref="K48:AG48" si="73">SUM(K42:K43)+J48-K34</f>
        <v>#REF!</v>
      </c>
      <c r="L48" s="435" t="e">
        <f t="shared" si="73"/>
        <v>#REF!</v>
      </c>
      <c r="M48" s="435" t="e">
        <f t="shared" si="73"/>
        <v>#REF!</v>
      </c>
      <c r="N48" s="436" t="e">
        <f t="shared" si="73"/>
        <v>#REF!</v>
      </c>
      <c r="O48" s="437" t="e">
        <f t="shared" si="73"/>
        <v>#REF!</v>
      </c>
      <c r="P48" s="435" t="e">
        <f t="shared" si="73"/>
        <v>#REF!</v>
      </c>
      <c r="Q48" s="435" t="e">
        <f t="shared" si="73"/>
        <v>#REF!</v>
      </c>
      <c r="R48" s="435" t="e">
        <f t="shared" si="73"/>
        <v>#REF!</v>
      </c>
      <c r="S48" s="435" t="e">
        <f t="shared" si="73"/>
        <v>#REF!</v>
      </c>
      <c r="T48" s="435" t="e">
        <f t="shared" si="73"/>
        <v>#REF!</v>
      </c>
      <c r="U48" s="435" t="e">
        <f t="shared" si="73"/>
        <v>#REF!</v>
      </c>
      <c r="V48" s="436" t="e">
        <f t="shared" si="73"/>
        <v>#REF!</v>
      </c>
      <c r="W48" s="435" t="e">
        <f t="shared" si="73"/>
        <v>#REF!</v>
      </c>
      <c r="X48" s="435" t="e">
        <f t="shared" si="73"/>
        <v>#REF!</v>
      </c>
      <c r="Y48" s="435" t="e">
        <f t="shared" si="73"/>
        <v>#REF!</v>
      </c>
      <c r="Z48" s="435" t="e">
        <f t="shared" si="73"/>
        <v>#REF!</v>
      </c>
      <c r="AA48" s="435" t="e">
        <f t="shared" si="73"/>
        <v>#REF!</v>
      </c>
      <c r="AB48" s="435" t="e">
        <f t="shared" si="73"/>
        <v>#REF!</v>
      </c>
      <c r="AC48" s="436" t="e">
        <f t="shared" si="73"/>
        <v>#REF!</v>
      </c>
      <c r="AD48" s="438" t="e">
        <f t="shared" si="73"/>
        <v>#REF!</v>
      </c>
      <c r="AE48" s="438" t="e">
        <f t="shared" si="73"/>
        <v>#REF!</v>
      </c>
      <c r="AF48" s="439" t="e">
        <f t="shared" si="73"/>
        <v>#REF!</v>
      </c>
      <c r="AG48" s="440" t="e">
        <f t="shared" si="73"/>
        <v>#REF!</v>
      </c>
      <c r="AH48" s="417"/>
      <c r="AI48" s="417"/>
      <c r="AJ48" s="427"/>
      <c r="AK48" s="419"/>
    </row>
    <row r="49" spans="1:37" s="381" customFormat="1" ht="25.5" customHeight="1" thickBot="1">
      <c r="A49" s="559"/>
      <c r="B49" s="441" t="s">
        <v>1009</v>
      </c>
      <c r="C49" s="442" t="e">
        <f t="shared" ref="C49:AG49" si="74">C45-C36</f>
        <v>#REF!</v>
      </c>
      <c r="D49" s="442" t="e">
        <f t="shared" si="74"/>
        <v>#REF!</v>
      </c>
      <c r="E49" s="442" t="e">
        <f t="shared" si="74"/>
        <v>#REF!</v>
      </c>
      <c r="F49" s="443" t="e">
        <f t="shared" si="74"/>
        <v>#REF!</v>
      </c>
      <c r="G49" s="443" t="e">
        <f t="shared" si="74"/>
        <v>#REF!</v>
      </c>
      <c r="H49" s="443" t="e">
        <f t="shared" si="74"/>
        <v>#REF!</v>
      </c>
      <c r="I49" s="443" t="e">
        <f t="shared" si="74"/>
        <v>#REF!</v>
      </c>
      <c r="J49" s="442" t="e">
        <f t="shared" si="74"/>
        <v>#REF!</v>
      </c>
      <c r="K49" s="442" t="e">
        <f t="shared" si="74"/>
        <v>#REF!</v>
      </c>
      <c r="L49" s="442" t="e">
        <f t="shared" si="74"/>
        <v>#REF!</v>
      </c>
      <c r="M49" s="442" t="e">
        <f t="shared" si="74"/>
        <v>#REF!</v>
      </c>
      <c r="N49" s="443" t="e">
        <f t="shared" si="74"/>
        <v>#REF!</v>
      </c>
      <c r="O49" s="443" t="e">
        <f t="shared" si="74"/>
        <v>#REF!</v>
      </c>
      <c r="P49" s="442" t="e">
        <f t="shared" si="74"/>
        <v>#REF!</v>
      </c>
      <c r="Q49" s="442" t="e">
        <f t="shared" si="74"/>
        <v>#REF!</v>
      </c>
      <c r="R49" s="442" t="e">
        <f t="shared" si="74"/>
        <v>#REF!</v>
      </c>
      <c r="S49" s="442" t="e">
        <f t="shared" si="74"/>
        <v>#REF!</v>
      </c>
      <c r="T49" s="442" t="e">
        <f t="shared" si="74"/>
        <v>#REF!</v>
      </c>
      <c r="U49" s="442" t="e">
        <f t="shared" si="74"/>
        <v>#REF!</v>
      </c>
      <c r="V49" s="443" t="e">
        <f t="shared" si="74"/>
        <v>#REF!</v>
      </c>
      <c r="W49" s="442" t="e">
        <f t="shared" si="74"/>
        <v>#REF!</v>
      </c>
      <c r="X49" s="442" t="e">
        <f t="shared" si="74"/>
        <v>#REF!</v>
      </c>
      <c r="Y49" s="442" t="e">
        <f t="shared" si="74"/>
        <v>#REF!</v>
      </c>
      <c r="Z49" s="442" t="e">
        <f t="shared" si="74"/>
        <v>#REF!</v>
      </c>
      <c r="AA49" s="442" t="e">
        <f t="shared" si="74"/>
        <v>#REF!</v>
      </c>
      <c r="AB49" s="442" t="e">
        <f t="shared" si="74"/>
        <v>#REF!</v>
      </c>
      <c r="AC49" s="443" t="e">
        <f t="shared" si="74"/>
        <v>#REF!</v>
      </c>
      <c r="AD49" s="442" t="e">
        <f t="shared" si="74"/>
        <v>#REF!</v>
      </c>
      <c r="AE49" s="442" t="e">
        <f t="shared" si="74"/>
        <v>#REF!</v>
      </c>
      <c r="AF49" s="444" t="e">
        <f t="shared" si="74"/>
        <v>#REF!</v>
      </c>
      <c r="AG49" s="445" t="e">
        <f t="shared" si="74"/>
        <v>#REF!</v>
      </c>
      <c r="AH49" s="446"/>
      <c r="AI49" s="446"/>
      <c r="AJ49" s="447"/>
      <c r="AK49" s="448"/>
    </row>
    <row r="50" spans="1:37" s="381" customFormat="1" ht="25.5" hidden="1" customHeight="1" outlineLevel="1">
      <c r="A50" s="542" t="s">
        <v>1026</v>
      </c>
      <c r="B50" s="420" t="s">
        <v>1006</v>
      </c>
      <c r="C50" s="449" t="e">
        <f t="shared" ref="C50:AG52" si="75">C46/133*8</f>
        <v>#REF!</v>
      </c>
      <c r="D50" s="449" t="e">
        <f t="shared" si="75"/>
        <v>#REF!</v>
      </c>
      <c r="E50" s="449" t="e">
        <f t="shared" si="75"/>
        <v>#REF!</v>
      </c>
      <c r="F50" s="450" t="e">
        <f t="shared" si="75"/>
        <v>#REF!</v>
      </c>
      <c r="G50" s="450" t="e">
        <f t="shared" si="75"/>
        <v>#REF!</v>
      </c>
      <c r="H50" s="450" t="e">
        <f t="shared" si="75"/>
        <v>#REF!</v>
      </c>
      <c r="I50" s="450" t="e">
        <f t="shared" si="75"/>
        <v>#REF!</v>
      </c>
      <c r="J50" s="449" t="e">
        <f t="shared" si="75"/>
        <v>#REF!</v>
      </c>
      <c r="K50" s="449" t="e">
        <f t="shared" si="75"/>
        <v>#REF!</v>
      </c>
      <c r="L50" s="449" t="e">
        <f t="shared" si="75"/>
        <v>#REF!</v>
      </c>
      <c r="M50" s="449" t="e">
        <f t="shared" si="75"/>
        <v>#REF!</v>
      </c>
      <c r="N50" s="450" t="e">
        <f t="shared" si="75"/>
        <v>#REF!</v>
      </c>
      <c r="O50" s="450" t="e">
        <f t="shared" si="75"/>
        <v>#REF!</v>
      </c>
      <c r="P50" s="449" t="e">
        <f t="shared" si="75"/>
        <v>#REF!</v>
      </c>
      <c r="Q50" s="449" t="e">
        <f t="shared" si="75"/>
        <v>#REF!</v>
      </c>
      <c r="R50" s="449" t="e">
        <f t="shared" si="75"/>
        <v>#REF!</v>
      </c>
      <c r="S50" s="449" t="e">
        <f t="shared" si="75"/>
        <v>#REF!</v>
      </c>
      <c r="T50" s="449" t="e">
        <f t="shared" si="75"/>
        <v>#REF!</v>
      </c>
      <c r="U50" s="449" t="e">
        <f t="shared" si="75"/>
        <v>#REF!</v>
      </c>
      <c r="V50" s="450" t="e">
        <f t="shared" si="75"/>
        <v>#REF!</v>
      </c>
      <c r="W50" s="449" t="e">
        <f t="shared" si="75"/>
        <v>#REF!</v>
      </c>
      <c r="X50" s="449" t="e">
        <f t="shared" si="75"/>
        <v>#REF!</v>
      </c>
      <c r="Y50" s="449" t="e">
        <f t="shared" si="75"/>
        <v>#REF!</v>
      </c>
      <c r="Z50" s="449" t="e">
        <f t="shared" si="75"/>
        <v>#REF!</v>
      </c>
      <c r="AA50" s="449" t="e">
        <f t="shared" si="75"/>
        <v>#REF!</v>
      </c>
      <c r="AB50" s="449" t="e">
        <f t="shared" si="75"/>
        <v>#REF!</v>
      </c>
      <c r="AC50" s="450" t="e">
        <f t="shared" si="75"/>
        <v>#REF!</v>
      </c>
      <c r="AD50" s="449" t="e">
        <f t="shared" si="75"/>
        <v>#REF!</v>
      </c>
      <c r="AE50" s="449" t="e">
        <f t="shared" si="75"/>
        <v>#REF!</v>
      </c>
      <c r="AF50" s="449" t="e">
        <f t="shared" si="75"/>
        <v>#REF!</v>
      </c>
      <c r="AG50" s="450" t="e">
        <f t="shared" si="75"/>
        <v>#REF!</v>
      </c>
      <c r="AH50" s="446"/>
      <c r="AI50" s="446"/>
      <c r="AJ50" s="447"/>
      <c r="AK50" s="448"/>
    </row>
    <row r="51" spans="1:37" s="381" customFormat="1" ht="25.5" hidden="1" customHeight="1" outlineLevel="1">
      <c r="A51" s="543"/>
      <c r="B51" s="428" t="s">
        <v>1007</v>
      </c>
      <c r="C51" s="451" t="e">
        <f t="shared" si="75"/>
        <v>#REF!</v>
      </c>
      <c r="D51" s="451" t="e">
        <f t="shared" si="75"/>
        <v>#REF!</v>
      </c>
      <c r="E51" s="451" t="e">
        <f t="shared" si="75"/>
        <v>#REF!</v>
      </c>
      <c r="F51" s="452" t="e">
        <f t="shared" si="75"/>
        <v>#REF!</v>
      </c>
      <c r="G51" s="452" t="e">
        <f t="shared" si="75"/>
        <v>#REF!</v>
      </c>
      <c r="H51" s="452" t="e">
        <f t="shared" si="75"/>
        <v>#REF!</v>
      </c>
      <c r="I51" s="452" t="e">
        <f t="shared" si="75"/>
        <v>#REF!</v>
      </c>
      <c r="J51" s="451" t="e">
        <f t="shared" si="75"/>
        <v>#REF!</v>
      </c>
      <c r="K51" s="451" t="e">
        <f t="shared" si="75"/>
        <v>#REF!</v>
      </c>
      <c r="L51" s="451" t="e">
        <f t="shared" si="75"/>
        <v>#REF!</v>
      </c>
      <c r="M51" s="451" t="e">
        <f t="shared" si="75"/>
        <v>#REF!</v>
      </c>
      <c r="N51" s="452" t="e">
        <f t="shared" si="75"/>
        <v>#REF!</v>
      </c>
      <c r="O51" s="452" t="e">
        <f t="shared" si="75"/>
        <v>#REF!</v>
      </c>
      <c r="P51" s="451" t="e">
        <f t="shared" si="75"/>
        <v>#REF!</v>
      </c>
      <c r="Q51" s="451" t="e">
        <f t="shared" si="75"/>
        <v>#REF!</v>
      </c>
      <c r="R51" s="451" t="e">
        <f t="shared" si="75"/>
        <v>#REF!</v>
      </c>
      <c r="S51" s="451" t="e">
        <f t="shared" si="75"/>
        <v>#REF!</v>
      </c>
      <c r="T51" s="451" t="e">
        <f t="shared" si="75"/>
        <v>#REF!</v>
      </c>
      <c r="U51" s="451" t="e">
        <f t="shared" si="75"/>
        <v>#REF!</v>
      </c>
      <c r="V51" s="452" t="e">
        <f t="shared" si="75"/>
        <v>#REF!</v>
      </c>
      <c r="W51" s="451" t="e">
        <f t="shared" si="75"/>
        <v>#REF!</v>
      </c>
      <c r="X51" s="451" t="e">
        <f t="shared" si="75"/>
        <v>#REF!</v>
      </c>
      <c r="Y51" s="451" t="e">
        <f t="shared" si="75"/>
        <v>#REF!</v>
      </c>
      <c r="Z51" s="451" t="e">
        <f t="shared" si="75"/>
        <v>#REF!</v>
      </c>
      <c r="AA51" s="451" t="e">
        <f t="shared" si="75"/>
        <v>#REF!</v>
      </c>
      <c r="AB51" s="451" t="e">
        <f t="shared" si="75"/>
        <v>#REF!</v>
      </c>
      <c r="AC51" s="452" t="e">
        <f t="shared" si="75"/>
        <v>#REF!</v>
      </c>
      <c r="AD51" s="451" t="e">
        <f t="shared" si="75"/>
        <v>#REF!</v>
      </c>
      <c r="AE51" s="451" t="e">
        <f t="shared" si="75"/>
        <v>#REF!</v>
      </c>
      <c r="AF51" s="451" t="e">
        <f t="shared" si="75"/>
        <v>#REF!</v>
      </c>
      <c r="AG51" s="452" t="e">
        <f t="shared" si="75"/>
        <v>#REF!</v>
      </c>
      <c r="AH51" s="446"/>
      <c r="AI51" s="446"/>
      <c r="AJ51" s="447"/>
      <c r="AK51" s="448"/>
    </row>
    <row r="52" spans="1:37" s="381" customFormat="1" ht="25.5" hidden="1" customHeight="1" outlineLevel="1">
      <c r="A52" s="543"/>
      <c r="B52" s="410" t="s">
        <v>1025</v>
      </c>
      <c r="C52" s="453" t="e">
        <f t="shared" si="75"/>
        <v>#REF!</v>
      </c>
      <c r="D52" s="453" t="e">
        <f t="shared" si="75"/>
        <v>#REF!</v>
      </c>
      <c r="E52" s="453" t="e">
        <f t="shared" si="75"/>
        <v>#REF!</v>
      </c>
      <c r="F52" s="454" t="e">
        <f t="shared" si="75"/>
        <v>#REF!</v>
      </c>
      <c r="G52" s="454" t="e">
        <f t="shared" si="75"/>
        <v>#REF!</v>
      </c>
      <c r="H52" s="454" t="e">
        <f t="shared" si="75"/>
        <v>#REF!</v>
      </c>
      <c r="I52" s="454" t="e">
        <f t="shared" si="75"/>
        <v>#REF!</v>
      </c>
      <c r="J52" s="453" t="e">
        <f t="shared" si="75"/>
        <v>#REF!</v>
      </c>
      <c r="K52" s="453" t="e">
        <f t="shared" si="75"/>
        <v>#REF!</v>
      </c>
      <c r="L52" s="453" t="e">
        <f t="shared" si="75"/>
        <v>#REF!</v>
      </c>
      <c r="M52" s="453" t="e">
        <f t="shared" si="75"/>
        <v>#REF!</v>
      </c>
      <c r="N52" s="454" t="e">
        <f t="shared" si="75"/>
        <v>#REF!</v>
      </c>
      <c r="O52" s="454" t="e">
        <f t="shared" si="75"/>
        <v>#REF!</v>
      </c>
      <c r="P52" s="453" t="e">
        <f t="shared" si="75"/>
        <v>#REF!</v>
      </c>
      <c r="Q52" s="453" t="e">
        <f t="shared" si="75"/>
        <v>#REF!</v>
      </c>
      <c r="R52" s="453" t="e">
        <f t="shared" si="75"/>
        <v>#REF!</v>
      </c>
      <c r="S52" s="453" t="e">
        <f t="shared" si="75"/>
        <v>#REF!</v>
      </c>
      <c r="T52" s="453" t="e">
        <f t="shared" si="75"/>
        <v>#REF!</v>
      </c>
      <c r="U52" s="453" t="e">
        <f t="shared" si="75"/>
        <v>#REF!</v>
      </c>
      <c r="V52" s="454" t="e">
        <f t="shared" si="75"/>
        <v>#REF!</v>
      </c>
      <c r="W52" s="453" t="e">
        <f t="shared" si="75"/>
        <v>#REF!</v>
      </c>
      <c r="X52" s="453" t="e">
        <f t="shared" si="75"/>
        <v>#REF!</v>
      </c>
      <c r="Y52" s="453" t="e">
        <f t="shared" si="75"/>
        <v>#REF!</v>
      </c>
      <c r="Z52" s="453" t="e">
        <f t="shared" si="75"/>
        <v>#REF!</v>
      </c>
      <c r="AA52" s="453" t="e">
        <f t="shared" si="75"/>
        <v>#REF!</v>
      </c>
      <c r="AB52" s="453" t="e">
        <f t="shared" si="75"/>
        <v>#REF!</v>
      </c>
      <c r="AC52" s="454" t="e">
        <f t="shared" si="75"/>
        <v>#REF!</v>
      </c>
      <c r="AD52" s="453" t="e">
        <f t="shared" si="75"/>
        <v>#REF!</v>
      </c>
      <c r="AE52" s="453" t="e">
        <f t="shared" si="75"/>
        <v>#REF!</v>
      </c>
      <c r="AF52" s="453" t="e">
        <f t="shared" si="75"/>
        <v>#REF!</v>
      </c>
      <c r="AG52" s="454" t="e">
        <f t="shared" si="75"/>
        <v>#REF!</v>
      </c>
      <c r="AH52" s="446"/>
      <c r="AI52" s="446"/>
      <c r="AJ52" s="447"/>
      <c r="AK52" s="448"/>
    </row>
    <row r="53" spans="1:37" s="381" customFormat="1" ht="21.75" customHeight="1" collapsed="1">
      <c r="A53" s="544"/>
      <c r="B53" s="455" t="s">
        <v>1009</v>
      </c>
      <c r="C53" s="456" t="e">
        <f t="shared" ref="C53:AG53" si="76">C49/390*8</f>
        <v>#REF!</v>
      </c>
      <c r="D53" s="456" t="e">
        <f t="shared" si="76"/>
        <v>#REF!</v>
      </c>
      <c r="E53" s="456" t="e">
        <f t="shared" si="76"/>
        <v>#REF!</v>
      </c>
      <c r="F53" s="456" t="e">
        <f t="shared" si="76"/>
        <v>#REF!</v>
      </c>
      <c r="G53" s="457" t="e">
        <f t="shared" si="76"/>
        <v>#REF!</v>
      </c>
      <c r="H53" s="457" t="e">
        <f t="shared" si="76"/>
        <v>#REF!</v>
      </c>
      <c r="I53" s="457" t="e">
        <f t="shared" si="76"/>
        <v>#REF!</v>
      </c>
      <c r="J53" s="456" t="e">
        <f t="shared" si="76"/>
        <v>#REF!</v>
      </c>
      <c r="K53" s="456" t="e">
        <f t="shared" si="76"/>
        <v>#REF!</v>
      </c>
      <c r="L53" s="456" t="e">
        <f t="shared" si="76"/>
        <v>#REF!</v>
      </c>
      <c r="M53" s="456" t="e">
        <f t="shared" si="76"/>
        <v>#REF!</v>
      </c>
      <c r="N53" s="457" t="e">
        <f t="shared" si="76"/>
        <v>#REF!</v>
      </c>
      <c r="O53" s="457" t="e">
        <f t="shared" si="76"/>
        <v>#REF!</v>
      </c>
      <c r="P53" s="456" t="e">
        <f t="shared" si="76"/>
        <v>#REF!</v>
      </c>
      <c r="Q53" s="456" t="e">
        <f t="shared" si="76"/>
        <v>#REF!</v>
      </c>
      <c r="R53" s="456" t="e">
        <f t="shared" si="76"/>
        <v>#REF!</v>
      </c>
      <c r="S53" s="456" t="e">
        <f t="shared" si="76"/>
        <v>#REF!</v>
      </c>
      <c r="T53" s="456" t="e">
        <f t="shared" si="76"/>
        <v>#REF!</v>
      </c>
      <c r="U53" s="456" t="e">
        <f t="shared" si="76"/>
        <v>#REF!</v>
      </c>
      <c r="V53" s="457" t="e">
        <f t="shared" si="76"/>
        <v>#REF!</v>
      </c>
      <c r="W53" s="456" t="e">
        <f t="shared" si="76"/>
        <v>#REF!</v>
      </c>
      <c r="X53" s="456" t="e">
        <f t="shared" si="76"/>
        <v>#REF!</v>
      </c>
      <c r="Y53" s="456" t="e">
        <f t="shared" si="76"/>
        <v>#REF!</v>
      </c>
      <c r="Z53" s="456" t="e">
        <f t="shared" si="76"/>
        <v>#REF!</v>
      </c>
      <c r="AA53" s="456" t="e">
        <f t="shared" si="76"/>
        <v>#REF!</v>
      </c>
      <c r="AB53" s="456" t="e">
        <f t="shared" si="76"/>
        <v>#REF!</v>
      </c>
      <c r="AC53" s="457" t="e">
        <f t="shared" si="76"/>
        <v>#REF!</v>
      </c>
      <c r="AD53" s="456" t="e">
        <f t="shared" si="76"/>
        <v>#REF!</v>
      </c>
      <c r="AE53" s="456" t="e">
        <f t="shared" si="76"/>
        <v>#REF!</v>
      </c>
      <c r="AF53" s="456" t="e">
        <f t="shared" si="76"/>
        <v>#REF!</v>
      </c>
      <c r="AG53" s="457" t="e">
        <f t="shared" si="76"/>
        <v>#REF!</v>
      </c>
      <c r="AH53" s="370"/>
      <c r="AI53" s="370"/>
      <c r="AJ53" s="379"/>
      <c r="AK53" s="380"/>
    </row>
  </sheetData>
  <mergeCells count="12">
    <mergeCell ref="A50:A53"/>
    <mergeCell ref="A29:B30"/>
    <mergeCell ref="A32:A36"/>
    <mergeCell ref="A38:A43"/>
    <mergeCell ref="A44:A45"/>
    <mergeCell ref="A46:A49"/>
    <mergeCell ref="A22:A25"/>
    <mergeCell ref="A1:B2"/>
    <mergeCell ref="A4:A8"/>
    <mergeCell ref="A10:A15"/>
    <mergeCell ref="A16:A17"/>
    <mergeCell ref="A18:A2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</vt:i4>
      </vt:variant>
    </vt:vector>
  </HeadingPairs>
  <TitlesOfParts>
    <vt:vector size="44" baseType="lpstr">
      <vt:lpstr>Home</vt:lpstr>
      <vt:lpstr>T599</vt:lpstr>
      <vt:lpstr>T463</vt:lpstr>
      <vt:lpstr>T709_Cell_1</vt:lpstr>
      <vt:lpstr>T709_Cell_2</vt:lpstr>
      <vt:lpstr>T709_Cell_3</vt:lpstr>
      <vt:lpstr>MASTER PRODUCT T599</vt:lpstr>
      <vt:lpstr>MASTER PRODUCT T709</vt:lpstr>
      <vt:lpstr>'T463'!_DATE</vt:lpstr>
      <vt:lpstr>'T599'!_DATE</vt:lpstr>
      <vt:lpstr>T709_Cell_2!_DATE</vt:lpstr>
      <vt:lpstr>T709_Cell_3!_DATE</vt:lpstr>
      <vt:lpstr>'T599'!_DBNAME</vt:lpstr>
      <vt:lpstr>'T599'!_DBPATH</vt:lpstr>
      <vt:lpstr>'T463'!_MERCURY</vt:lpstr>
      <vt:lpstr>'T599'!_MERCURY</vt:lpstr>
      <vt:lpstr>T709_Cell_2!_MERCURY</vt:lpstr>
      <vt:lpstr>T709_Cell_3!_MERCURY</vt:lpstr>
      <vt:lpstr>'T463'!_NAME</vt:lpstr>
      <vt:lpstr>'T599'!_NAME</vt:lpstr>
      <vt:lpstr>T709_Cell_2!_NAME</vt:lpstr>
      <vt:lpstr>T709_Cell_3!_NAME</vt:lpstr>
      <vt:lpstr>'T463'!_OUTPUT</vt:lpstr>
      <vt:lpstr>'T599'!_OUTPUT</vt:lpstr>
      <vt:lpstr>T709_Cell_2!_OUTPUT</vt:lpstr>
      <vt:lpstr>T709_Cell_3!_OUTPUT</vt:lpstr>
      <vt:lpstr>'T463'!_PRIORITY</vt:lpstr>
      <vt:lpstr>'T599'!_PRIORITY</vt:lpstr>
      <vt:lpstr>T709_Cell_2!_PRIORITY</vt:lpstr>
      <vt:lpstr>T709_Cell_3!_PRIORITY</vt:lpstr>
      <vt:lpstr>'T463'!_QTY</vt:lpstr>
      <vt:lpstr>'T599'!_QTY</vt:lpstr>
      <vt:lpstr>T709_Cell_2!_QTY</vt:lpstr>
      <vt:lpstr>T709_Cell_3!_QTY</vt:lpstr>
      <vt:lpstr>'T463'!Print_Area</vt:lpstr>
      <vt:lpstr>'T599'!Print_Area</vt:lpstr>
      <vt:lpstr>T709_Cell_1!Print_Area</vt:lpstr>
      <vt:lpstr>T709_Cell_2!Print_Area</vt:lpstr>
      <vt:lpstr>T709_Cell_3!Print_Area</vt:lpstr>
      <vt:lpstr>'T463'!Print_Titles</vt:lpstr>
      <vt:lpstr>'T599'!Print_Titles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2020-09-15T07:23:26Z</dcterms:modified>
  <cp:contentStatus/>
</cp:coreProperties>
</file>